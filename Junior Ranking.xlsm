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D3EBAF5B-9EBB-B047-91FA-D708C6B55F66}" xr6:coauthVersionLast="47" xr6:coauthVersionMax="47" xr10:uidLastSave="{00000000-0000-0000-0000-000000000000}"/>
  <bookViews>
    <workbookView xWindow="0" yWindow="760" windowWidth="30240" windowHeight="18880" tabRatio="500" xr2:uid="{00000000-000D-0000-FFFF-FFFF00000000}"/>
  </bookViews>
  <sheets>
    <sheet name="Info" sheetId="11" r:id="rId1"/>
    <sheet name="TRA-M" sheetId="4" r:id="rId2"/>
    <sheet name="TRA-W" sheetId="13" r:id="rId3"/>
    <sheet name="TUM-M" sheetId="14" r:id="rId4"/>
    <sheet name="TUM-W" sheetId="15" r:id="rId5"/>
    <sheet name="DMT-M" sheetId="16" r:id="rId6"/>
    <sheet name="DMT-W" sheetId="17" r:id="rId7"/>
  </sheets>
  <definedNames>
    <definedName name="_xlnm._FilterDatabase" localSheetId="5" hidden="1">'DMT-M'!$A$1:$PC$3</definedName>
    <definedName name="_xlnm._FilterDatabase" localSheetId="6" hidden="1">'DMT-W'!$A$1:$PC$4</definedName>
    <definedName name="_xlnm._FilterDatabase" localSheetId="1" hidden="1">'TRA-M'!$A$1:$NM$3</definedName>
    <definedName name="_xlnm._FilterDatabase" localSheetId="2" hidden="1">'TRA-W'!$A$1:$NM$3</definedName>
    <definedName name="_xlnm._FilterDatabase" localSheetId="3" hidden="1">'TUM-M'!$A$1:$PC$4</definedName>
    <definedName name="_xlnm._FilterDatabase" localSheetId="4" hidden="1">'TUM-W'!$A$1:$PC$3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L5" i="13" l="1"/>
  <c r="NL6" i="13"/>
  <c r="NL7" i="13"/>
  <c r="NL8" i="13"/>
  <c r="NL9" i="13"/>
  <c r="NL10" i="13"/>
  <c r="NL11" i="13"/>
  <c r="NL4" i="13"/>
  <c r="BH16" i="17"/>
  <c r="BG16" i="17"/>
  <c r="BF16" i="17"/>
  <c r="BI16" i="17" s="1"/>
  <c r="BE16" i="17"/>
  <c r="BH15" i="17"/>
  <c r="BG15" i="17"/>
  <c r="BF15" i="17"/>
  <c r="BE15" i="17"/>
  <c r="BH11" i="17"/>
  <c r="BG11" i="17"/>
  <c r="BF11" i="17"/>
  <c r="BE11" i="17"/>
  <c r="BH9" i="17"/>
  <c r="BG9" i="17"/>
  <c r="BF9" i="17"/>
  <c r="BE9" i="17"/>
  <c r="BH14" i="17"/>
  <c r="BG14" i="17"/>
  <c r="BF14" i="17"/>
  <c r="BI14" i="17" s="1"/>
  <c r="BE14" i="17"/>
  <c r="BH13" i="17"/>
  <c r="BG13" i="17"/>
  <c r="BF13" i="17"/>
  <c r="BE13" i="17"/>
  <c r="BH12" i="17"/>
  <c r="BG12" i="17"/>
  <c r="BF12" i="17"/>
  <c r="BE12" i="17"/>
  <c r="BH10" i="17"/>
  <c r="BG10" i="17"/>
  <c r="BF10" i="17"/>
  <c r="BI10" i="17" s="1"/>
  <c r="BE10" i="17"/>
  <c r="BH8" i="17"/>
  <c r="BG8" i="17"/>
  <c r="BF8" i="17"/>
  <c r="BE8" i="17"/>
  <c r="BH7" i="17"/>
  <c r="BG7" i="17"/>
  <c r="BF7" i="17"/>
  <c r="BE7" i="17"/>
  <c r="BH6" i="17"/>
  <c r="BG6" i="17"/>
  <c r="BF6" i="17"/>
  <c r="BE6" i="17"/>
  <c r="BH5" i="17"/>
  <c r="BG5" i="17"/>
  <c r="BF5" i="17"/>
  <c r="BI5" i="17" s="1"/>
  <c r="BE5" i="17"/>
  <c r="BH4" i="17"/>
  <c r="BG4" i="17"/>
  <c r="BF4" i="17"/>
  <c r="BE4" i="17"/>
  <c r="AL16" i="17"/>
  <c r="AK16" i="17"/>
  <c r="AJ16" i="17"/>
  <c r="AI16" i="17"/>
  <c r="AL15" i="17"/>
  <c r="AK15" i="17"/>
  <c r="AJ15" i="17"/>
  <c r="AM15" i="17" s="1"/>
  <c r="AI15" i="17"/>
  <c r="AL11" i="17"/>
  <c r="AK11" i="17"/>
  <c r="AJ11" i="17"/>
  <c r="AI11" i="17"/>
  <c r="AL9" i="17"/>
  <c r="AK9" i="17"/>
  <c r="AJ9" i="17"/>
  <c r="AI9" i="17"/>
  <c r="AL14" i="17"/>
  <c r="AK14" i="17"/>
  <c r="AJ14" i="17"/>
  <c r="AI14" i="17"/>
  <c r="AL13" i="17"/>
  <c r="AK13" i="17"/>
  <c r="AJ13" i="17"/>
  <c r="AM13" i="17" s="1"/>
  <c r="AI13" i="17"/>
  <c r="AL12" i="17"/>
  <c r="AK12" i="17"/>
  <c r="AJ12" i="17"/>
  <c r="AI12" i="17"/>
  <c r="AL10" i="17"/>
  <c r="AK10" i="17"/>
  <c r="AJ10" i="17"/>
  <c r="AI10" i="17"/>
  <c r="AL8" i="17"/>
  <c r="AK8" i="17"/>
  <c r="AJ8" i="17"/>
  <c r="AM8" i="17" s="1"/>
  <c r="AI8" i="17"/>
  <c r="AL7" i="17"/>
  <c r="AK7" i="17"/>
  <c r="AJ7" i="17"/>
  <c r="AI7" i="17"/>
  <c r="AL6" i="17"/>
  <c r="AK6" i="17"/>
  <c r="AJ6" i="17"/>
  <c r="AI6" i="17"/>
  <c r="AL5" i="17"/>
  <c r="AK5" i="17"/>
  <c r="AJ5" i="17"/>
  <c r="AI5" i="17"/>
  <c r="AL4" i="17"/>
  <c r="AK4" i="17"/>
  <c r="AJ4" i="17"/>
  <c r="AM4" i="17" s="1"/>
  <c r="AI4" i="17"/>
  <c r="BH15" i="16"/>
  <c r="BG15" i="16"/>
  <c r="BF15" i="16"/>
  <c r="BE15" i="16"/>
  <c r="BH14" i="16"/>
  <c r="BG14" i="16"/>
  <c r="BF14" i="16"/>
  <c r="BI14" i="16" s="1"/>
  <c r="BE14" i="16"/>
  <c r="BH11" i="16"/>
  <c r="BG11" i="16"/>
  <c r="BF11" i="16"/>
  <c r="BI11" i="16" s="1"/>
  <c r="BE11" i="16"/>
  <c r="BH13" i="16"/>
  <c r="BG13" i="16"/>
  <c r="BF13" i="16"/>
  <c r="BE13" i="16"/>
  <c r="BH9" i="16"/>
  <c r="BG9" i="16"/>
  <c r="BF9" i="16"/>
  <c r="BI9" i="16" s="1"/>
  <c r="BE9" i="16"/>
  <c r="BH7" i="16"/>
  <c r="BG7" i="16"/>
  <c r="BF7" i="16"/>
  <c r="BE7" i="16"/>
  <c r="BH10" i="16"/>
  <c r="BG10" i="16"/>
  <c r="BF10" i="16"/>
  <c r="BI10" i="16" s="1"/>
  <c r="BE10" i="16"/>
  <c r="BH12" i="16"/>
  <c r="BG12" i="16"/>
  <c r="BF12" i="16"/>
  <c r="BE12" i="16"/>
  <c r="BH8" i="16"/>
  <c r="BG8" i="16"/>
  <c r="BF8" i="16"/>
  <c r="BI8" i="16" s="1"/>
  <c r="BE8" i="16"/>
  <c r="BH6" i="16"/>
  <c r="BG6" i="16"/>
  <c r="BF6" i="16"/>
  <c r="BI6" i="16" s="1"/>
  <c r="BE6" i="16"/>
  <c r="BH5" i="16"/>
  <c r="BG5" i="16"/>
  <c r="BF5" i="16"/>
  <c r="BE5" i="16"/>
  <c r="BH4" i="16"/>
  <c r="BG4" i="16"/>
  <c r="BF4" i="16"/>
  <c r="BI4" i="16" s="1"/>
  <c r="BE4" i="16"/>
  <c r="AL15" i="16"/>
  <c r="AK15" i="16"/>
  <c r="AJ15" i="16"/>
  <c r="AI15" i="16"/>
  <c r="AL14" i="16"/>
  <c r="AK14" i="16"/>
  <c r="AJ14" i="16"/>
  <c r="AI14" i="16"/>
  <c r="AL11" i="16"/>
  <c r="AK11" i="16"/>
  <c r="AJ11" i="16"/>
  <c r="AI11" i="16"/>
  <c r="AL13" i="16"/>
  <c r="AK13" i="16"/>
  <c r="AJ13" i="16"/>
  <c r="AM13" i="16" s="1"/>
  <c r="AI13" i="16"/>
  <c r="AL9" i="16"/>
  <c r="AK9" i="16"/>
  <c r="AJ9" i="16"/>
  <c r="AI9" i="16"/>
  <c r="AL7" i="16"/>
  <c r="AK7" i="16"/>
  <c r="AJ7" i="16"/>
  <c r="AI7" i="16"/>
  <c r="AL10" i="16"/>
  <c r="AK10" i="16"/>
  <c r="AJ10" i="16"/>
  <c r="AI10" i="16"/>
  <c r="AL12" i="16"/>
  <c r="AK12" i="16"/>
  <c r="AJ12" i="16"/>
  <c r="AI12" i="16"/>
  <c r="AL8" i="16"/>
  <c r="AK8" i="16"/>
  <c r="AJ8" i="16"/>
  <c r="AI8" i="16"/>
  <c r="AL6" i="16"/>
  <c r="AK6" i="16"/>
  <c r="AJ6" i="16"/>
  <c r="AI6" i="16"/>
  <c r="AL5" i="16"/>
  <c r="AK5" i="16"/>
  <c r="AJ5" i="16"/>
  <c r="AM5" i="16" s="1"/>
  <c r="AI5" i="16"/>
  <c r="AL4" i="16"/>
  <c r="AK4" i="16"/>
  <c r="AJ4" i="16"/>
  <c r="AI4" i="16"/>
  <c r="BH9" i="15"/>
  <c r="BG9" i="15"/>
  <c r="BF9" i="15"/>
  <c r="BE9" i="15"/>
  <c r="BH6" i="15"/>
  <c r="BG6" i="15"/>
  <c r="BF6" i="15"/>
  <c r="BI6" i="15" s="1"/>
  <c r="BE6" i="15"/>
  <c r="BH8" i="15"/>
  <c r="BG8" i="15"/>
  <c r="BF8" i="15"/>
  <c r="BE8" i="15"/>
  <c r="BH7" i="15"/>
  <c r="BG7" i="15"/>
  <c r="BF7" i="15"/>
  <c r="BE7" i="15"/>
  <c r="BH5" i="15"/>
  <c r="BG5" i="15"/>
  <c r="BF5" i="15"/>
  <c r="BE5" i="15"/>
  <c r="BH4" i="15"/>
  <c r="BG4" i="15"/>
  <c r="BF4" i="15"/>
  <c r="BE4" i="15"/>
  <c r="AL9" i="15"/>
  <c r="AK9" i="15"/>
  <c r="AJ9" i="15"/>
  <c r="AI9" i="15"/>
  <c r="AL6" i="15"/>
  <c r="AK6" i="15"/>
  <c r="AJ6" i="15"/>
  <c r="AI6" i="15"/>
  <c r="AL8" i="15"/>
  <c r="AK8" i="15"/>
  <c r="AJ8" i="15"/>
  <c r="AM8" i="15" s="1"/>
  <c r="AI8" i="15"/>
  <c r="AL7" i="15"/>
  <c r="AK7" i="15"/>
  <c r="AJ7" i="15"/>
  <c r="AI7" i="15"/>
  <c r="AL5" i="15"/>
  <c r="AK5" i="15"/>
  <c r="AJ5" i="15"/>
  <c r="AI5" i="15"/>
  <c r="AL4" i="15"/>
  <c r="AK4" i="15"/>
  <c r="AJ4" i="15"/>
  <c r="AI4" i="15"/>
  <c r="BH4" i="14"/>
  <c r="BG4" i="14"/>
  <c r="BF4" i="14"/>
  <c r="BE4" i="14"/>
  <c r="BH5" i="14"/>
  <c r="BG5" i="14"/>
  <c r="BF5" i="14"/>
  <c r="BI5" i="14" s="1"/>
  <c r="BE5" i="14"/>
  <c r="AL4" i="14"/>
  <c r="AK4" i="14"/>
  <c r="AJ4" i="14"/>
  <c r="AM4" i="14" s="1"/>
  <c r="AI4" i="14"/>
  <c r="AL5" i="14"/>
  <c r="AK5" i="14"/>
  <c r="AJ5" i="14"/>
  <c r="AI5" i="14"/>
  <c r="BL11" i="13"/>
  <c r="BK11" i="13"/>
  <c r="BI11" i="13"/>
  <c r="BH11" i="13"/>
  <c r="BG11" i="13"/>
  <c r="BL10" i="13"/>
  <c r="BK10" i="13"/>
  <c r="BI10" i="13"/>
  <c r="BH10" i="13"/>
  <c r="BG10" i="13"/>
  <c r="BL9" i="13"/>
  <c r="BK9" i="13"/>
  <c r="BI9" i="13"/>
  <c r="BH9" i="13"/>
  <c r="BG9" i="13"/>
  <c r="BJ9" i="13" s="1"/>
  <c r="BL8" i="13"/>
  <c r="BK8" i="13"/>
  <c r="BI8" i="13"/>
  <c r="BH8" i="13"/>
  <c r="BG8" i="13"/>
  <c r="BL5" i="13"/>
  <c r="BK5" i="13"/>
  <c r="BI5" i="13"/>
  <c r="BH5" i="13"/>
  <c r="BG5" i="13"/>
  <c r="BL4" i="13"/>
  <c r="BK4" i="13"/>
  <c r="BI4" i="13"/>
  <c r="BH4" i="13"/>
  <c r="BG4" i="13"/>
  <c r="BL6" i="13"/>
  <c r="BK6" i="13"/>
  <c r="BI6" i="13"/>
  <c r="BH6" i="13"/>
  <c r="BG6" i="13"/>
  <c r="BL7" i="13"/>
  <c r="BK7" i="13"/>
  <c r="BI7" i="13"/>
  <c r="BH7" i="13"/>
  <c r="BG7" i="13"/>
  <c r="AO11" i="13"/>
  <c r="AN11" i="13"/>
  <c r="AL11" i="13"/>
  <c r="AK11" i="13"/>
  <c r="AJ11" i="13"/>
  <c r="AO10" i="13"/>
  <c r="AN10" i="13"/>
  <c r="AL10" i="13"/>
  <c r="AK10" i="13"/>
  <c r="AJ10" i="13"/>
  <c r="AO9" i="13"/>
  <c r="AN9" i="13"/>
  <c r="AL9" i="13"/>
  <c r="AK9" i="13"/>
  <c r="AJ9" i="13"/>
  <c r="AO8" i="13"/>
  <c r="AN8" i="13"/>
  <c r="AL8" i="13"/>
  <c r="AK8" i="13"/>
  <c r="AJ8" i="13"/>
  <c r="AO5" i="13"/>
  <c r="AN5" i="13"/>
  <c r="AL5" i="13"/>
  <c r="AK5" i="13"/>
  <c r="AJ5" i="13"/>
  <c r="AO4" i="13"/>
  <c r="AN4" i="13"/>
  <c r="AL4" i="13"/>
  <c r="AK4" i="13"/>
  <c r="AJ4" i="13"/>
  <c r="AO6" i="13"/>
  <c r="AN6" i="13"/>
  <c r="AL6" i="13"/>
  <c r="AK6" i="13"/>
  <c r="AJ6" i="13"/>
  <c r="AO7" i="13"/>
  <c r="AN7" i="13"/>
  <c r="AL7" i="13"/>
  <c r="AK7" i="13"/>
  <c r="AJ7" i="13"/>
  <c r="BL14" i="4"/>
  <c r="BK14" i="4"/>
  <c r="BI14" i="4"/>
  <c r="BH14" i="4"/>
  <c r="BG14" i="4"/>
  <c r="BL12" i="4"/>
  <c r="BK12" i="4"/>
  <c r="BI12" i="4"/>
  <c r="BH12" i="4"/>
  <c r="BG12" i="4"/>
  <c r="BL4" i="4"/>
  <c r="BK4" i="4"/>
  <c r="BI4" i="4"/>
  <c r="BH4" i="4"/>
  <c r="BG4" i="4"/>
  <c r="BL13" i="4"/>
  <c r="BK13" i="4"/>
  <c r="BI13" i="4"/>
  <c r="BH13" i="4"/>
  <c r="BG13" i="4"/>
  <c r="BL9" i="4"/>
  <c r="BK9" i="4"/>
  <c r="BI9" i="4"/>
  <c r="BH9" i="4"/>
  <c r="BG9" i="4"/>
  <c r="BJ9" i="4" s="1"/>
  <c r="BL6" i="4"/>
  <c r="BK6" i="4"/>
  <c r="BI6" i="4"/>
  <c r="BH6" i="4"/>
  <c r="BG6" i="4"/>
  <c r="BL10" i="4"/>
  <c r="BK10" i="4"/>
  <c r="BI10" i="4"/>
  <c r="BH10" i="4"/>
  <c r="BG10" i="4"/>
  <c r="BL11" i="4"/>
  <c r="BK11" i="4"/>
  <c r="BI11" i="4"/>
  <c r="BH11" i="4"/>
  <c r="BG11" i="4"/>
  <c r="BJ11" i="4" s="1"/>
  <c r="BL8" i="4"/>
  <c r="BK8" i="4"/>
  <c r="BI8" i="4"/>
  <c r="BH8" i="4"/>
  <c r="BG8" i="4"/>
  <c r="BL7" i="4"/>
  <c r="BK7" i="4"/>
  <c r="BI7" i="4"/>
  <c r="BH7" i="4"/>
  <c r="BG7" i="4"/>
  <c r="BL5" i="4"/>
  <c r="BK5" i="4"/>
  <c r="BI5" i="4"/>
  <c r="BH5" i="4"/>
  <c r="BG5" i="4"/>
  <c r="AO14" i="4"/>
  <c r="AN14" i="4"/>
  <c r="AL14" i="4"/>
  <c r="AK14" i="4"/>
  <c r="AJ14" i="4"/>
  <c r="AO12" i="4"/>
  <c r="AN12" i="4"/>
  <c r="AL12" i="4"/>
  <c r="AK12" i="4"/>
  <c r="AJ12" i="4"/>
  <c r="AO4" i="4"/>
  <c r="AN4" i="4"/>
  <c r="AL4" i="4"/>
  <c r="AK4" i="4"/>
  <c r="AJ4" i="4"/>
  <c r="AO13" i="4"/>
  <c r="AN13" i="4"/>
  <c r="AL13" i="4"/>
  <c r="AK13" i="4"/>
  <c r="AJ13" i="4"/>
  <c r="AO9" i="4"/>
  <c r="AN9" i="4"/>
  <c r="AL9" i="4"/>
  <c r="AK9" i="4"/>
  <c r="AJ9" i="4"/>
  <c r="AO6" i="4"/>
  <c r="AN6" i="4"/>
  <c r="AL6" i="4"/>
  <c r="AK6" i="4"/>
  <c r="AJ6" i="4"/>
  <c r="AO10" i="4"/>
  <c r="AN10" i="4"/>
  <c r="AL10" i="4"/>
  <c r="AK10" i="4"/>
  <c r="AJ10" i="4"/>
  <c r="AO11" i="4"/>
  <c r="AN11" i="4"/>
  <c r="AL11" i="4"/>
  <c r="AK11" i="4"/>
  <c r="AJ11" i="4"/>
  <c r="AO8" i="4"/>
  <c r="AN8" i="4"/>
  <c r="AL8" i="4"/>
  <c r="AK8" i="4"/>
  <c r="AJ8" i="4"/>
  <c r="AO7" i="4"/>
  <c r="AN7" i="4"/>
  <c r="AL7" i="4"/>
  <c r="AK7" i="4"/>
  <c r="AJ7" i="4"/>
  <c r="AO5" i="4"/>
  <c r="AN5" i="4"/>
  <c r="AL5" i="4"/>
  <c r="AK5" i="4"/>
  <c r="AJ5" i="4"/>
  <c r="CA9" i="15"/>
  <c r="CB9" i="15"/>
  <c r="CC9" i="15"/>
  <c r="CD9" i="15"/>
  <c r="DB9" i="15"/>
  <c r="DC9" i="15"/>
  <c r="DD9" i="15"/>
  <c r="DE9" i="15"/>
  <c r="DF9" i="15"/>
  <c r="EB9" i="15"/>
  <c r="EC9" i="15"/>
  <c r="ED9" i="15"/>
  <c r="EE9" i="15"/>
  <c r="EF9" i="15"/>
  <c r="FB9" i="15"/>
  <c r="FC9" i="15"/>
  <c r="FD9" i="15"/>
  <c r="FE9" i="15"/>
  <c r="FF9" i="15"/>
  <c r="GB9" i="15"/>
  <c r="GC9" i="15"/>
  <c r="GD9" i="15"/>
  <c r="GE9" i="15"/>
  <c r="GF9" i="15"/>
  <c r="HB9" i="15"/>
  <c r="HC9" i="15"/>
  <c r="HD9" i="15"/>
  <c r="HE9" i="15"/>
  <c r="HF9" i="15"/>
  <c r="IB9" i="15"/>
  <c r="IC9" i="15"/>
  <c r="ID9" i="15"/>
  <c r="IE9" i="15"/>
  <c r="IF9" i="15"/>
  <c r="JB9" i="15"/>
  <c r="JC9" i="15"/>
  <c r="JD9" i="15"/>
  <c r="JE9" i="15"/>
  <c r="JF9" i="15"/>
  <c r="KB9" i="15"/>
  <c r="KC9" i="15"/>
  <c r="KD9" i="15"/>
  <c r="KE9" i="15"/>
  <c r="KF9" i="15"/>
  <c r="LB9" i="15"/>
  <c r="LC9" i="15"/>
  <c r="LD9" i="15"/>
  <c r="LE9" i="15"/>
  <c r="LF9" i="15"/>
  <c r="MB9" i="15"/>
  <c r="MC9" i="15"/>
  <c r="MD9" i="15"/>
  <c r="ME9" i="15"/>
  <c r="MF9" i="15"/>
  <c r="MG9" i="15" s="1"/>
  <c r="NB9" i="15"/>
  <c r="NC9" i="15"/>
  <c r="ND9" i="15"/>
  <c r="NE9" i="15"/>
  <c r="NF9" i="15"/>
  <c r="OB9" i="15"/>
  <c r="OC9" i="15"/>
  <c r="OD9" i="15"/>
  <c r="OE9" i="15"/>
  <c r="OF9" i="15"/>
  <c r="OH9" i="15"/>
  <c r="OI9" i="15"/>
  <c r="OJ9" i="15"/>
  <c r="OK9" i="15"/>
  <c r="OL9" i="15"/>
  <c r="OM9" i="15"/>
  <c r="ON9" i="15"/>
  <c r="OO9" i="15"/>
  <c r="OP9" i="15"/>
  <c r="OQ9" i="15"/>
  <c r="OR9" i="15"/>
  <c r="OS9" i="15"/>
  <c r="OT9" i="15"/>
  <c r="OU9" i="15"/>
  <c r="OV9" i="15"/>
  <c r="OW9" i="15"/>
  <c r="CA15" i="16"/>
  <c r="CB15" i="16"/>
  <c r="CC15" i="16"/>
  <c r="CD15" i="16"/>
  <c r="DB15" i="16"/>
  <c r="DC15" i="16"/>
  <c r="DD15" i="16"/>
  <c r="DE15" i="16"/>
  <c r="DF15" i="16"/>
  <c r="EB15" i="16"/>
  <c r="EC15" i="16"/>
  <c r="ED15" i="16"/>
  <c r="EE15" i="16"/>
  <c r="EF15" i="16"/>
  <c r="FB15" i="16"/>
  <c r="FC15" i="16"/>
  <c r="FD15" i="16"/>
  <c r="FE15" i="16"/>
  <c r="FF15" i="16"/>
  <c r="GB15" i="16"/>
  <c r="GC15" i="16"/>
  <c r="GD15" i="16"/>
  <c r="GE15" i="16"/>
  <c r="GF15" i="16"/>
  <c r="HB15" i="16"/>
  <c r="HC15" i="16"/>
  <c r="HD15" i="16"/>
  <c r="HE15" i="16"/>
  <c r="HF15" i="16"/>
  <c r="IB15" i="16"/>
  <c r="IC15" i="16"/>
  <c r="ID15" i="16"/>
  <c r="IE15" i="16"/>
  <c r="IF15" i="16"/>
  <c r="JB15" i="16"/>
  <c r="JC15" i="16"/>
  <c r="JD15" i="16"/>
  <c r="JE15" i="16"/>
  <c r="JF15" i="16"/>
  <c r="KB15" i="16"/>
  <c r="KC15" i="16"/>
  <c r="KD15" i="16"/>
  <c r="KE15" i="16"/>
  <c r="KF15" i="16"/>
  <c r="LB15" i="16"/>
  <c r="LC15" i="16"/>
  <c r="LD15" i="16"/>
  <c r="LE15" i="16"/>
  <c r="LF15" i="16"/>
  <c r="MB15" i="16"/>
  <c r="MC15" i="16"/>
  <c r="MD15" i="16"/>
  <c r="ME15" i="16"/>
  <c r="MF15" i="16"/>
  <c r="NB15" i="16"/>
  <c r="NC15" i="16"/>
  <c r="ND15" i="16"/>
  <c r="NE15" i="16"/>
  <c r="NF15" i="16"/>
  <c r="OB15" i="16"/>
  <c r="OC15" i="16"/>
  <c r="OD15" i="16"/>
  <c r="OE15" i="16"/>
  <c r="OF15" i="16"/>
  <c r="OH15" i="16"/>
  <c r="OI15" i="16"/>
  <c r="OJ15" i="16"/>
  <c r="OK15" i="16"/>
  <c r="OL15" i="16"/>
  <c r="OM15" i="16"/>
  <c r="ON15" i="16"/>
  <c r="OO15" i="16"/>
  <c r="OP15" i="16"/>
  <c r="OQ15" i="16"/>
  <c r="OR15" i="16"/>
  <c r="OS15" i="16"/>
  <c r="OT15" i="16"/>
  <c r="OU15" i="16"/>
  <c r="OV15" i="16"/>
  <c r="OW15" i="16"/>
  <c r="NF16" i="17"/>
  <c r="NE16" i="17"/>
  <c r="ND16" i="17"/>
  <c r="NC16" i="17"/>
  <c r="NB16" i="17"/>
  <c r="NF15" i="17"/>
  <c r="NE15" i="17"/>
  <c r="ND15" i="17"/>
  <c r="NC15" i="17"/>
  <c r="NB15" i="17"/>
  <c r="NF11" i="17"/>
  <c r="NE11" i="17"/>
  <c r="ND11" i="17"/>
  <c r="NC11" i="17"/>
  <c r="NB11" i="17"/>
  <c r="NF14" i="17"/>
  <c r="NE14" i="17"/>
  <c r="ND14" i="17"/>
  <c r="NC14" i="17"/>
  <c r="NB14" i="17"/>
  <c r="NF13" i="17"/>
  <c r="NE13" i="17"/>
  <c r="ND13" i="17"/>
  <c r="NC13" i="17"/>
  <c r="NB13" i="17"/>
  <c r="NF12" i="17"/>
  <c r="NE12" i="17"/>
  <c r="ND12" i="17"/>
  <c r="NC12" i="17"/>
  <c r="NB12" i="17"/>
  <c r="NF10" i="17"/>
  <c r="NE10" i="17"/>
  <c r="ND10" i="17"/>
  <c r="NC10" i="17"/>
  <c r="NB10" i="17"/>
  <c r="NF8" i="17"/>
  <c r="NE8" i="17"/>
  <c r="ND8" i="17"/>
  <c r="NC8" i="17"/>
  <c r="NB8" i="17"/>
  <c r="NF9" i="17"/>
  <c r="NE9" i="17"/>
  <c r="ND9" i="17"/>
  <c r="NC9" i="17"/>
  <c r="NB9" i="17"/>
  <c r="NF7" i="17"/>
  <c r="NE7" i="17"/>
  <c r="ND7" i="17"/>
  <c r="NC7" i="17"/>
  <c r="NB7" i="17"/>
  <c r="NF6" i="17"/>
  <c r="NE6" i="17"/>
  <c r="ND6" i="17"/>
  <c r="NC6" i="17"/>
  <c r="NB6" i="17"/>
  <c r="NF5" i="17"/>
  <c r="NE5" i="17"/>
  <c r="ND5" i="17"/>
  <c r="NC5" i="17"/>
  <c r="NB5" i="17"/>
  <c r="NF4" i="17"/>
  <c r="NE4" i="17"/>
  <c r="ND4" i="17"/>
  <c r="NC4" i="17"/>
  <c r="NB4" i="17"/>
  <c r="MF16" i="17"/>
  <c r="ME16" i="17"/>
  <c r="MD16" i="17"/>
  <c r="MC16" i="17"/>
  <c r="MB16" i="17"/>
  <c r="MF15" i="17"/>
  <c r="ME15" i="17"/>
  <c r="MD15" i="17"/>
  <c r="MC15" i="17"/>
  <c r="MB15" i="17"/>
  <c r="MF11" i="17"/>
  <c r="ME11" i="17"/>
  <c r="MD11" i="17"/>
  <c r="MC11" i="17"/>
  <c r="MB11" i="17"/>
  <c r="MF14" i="17"/>
  <c r="ME14" i="17"/>
  <c r="MD14" i="17"/>
  <c r="MC14" i="17"/>
  <c r="MB14" i="17"/>
  <c r="MF13" i="17"/>
  <c r="ME13" i="17"/>
  <c r="MD13" i="17"/>
  <c r="MC13" i="17"/>
  <c r="MB13" i="17"/>
  <c r="MF12" i="17"/>
  <c r="ME12" i="17"/>
  <c r="MD12" i="17"/>
  <c r="MC12" i="17"/>
  <c r="MB12" i="17"/>
  <c r="MF10" i="17"/>
  <c r="ME10" i="17"/>
  <c r="MD10" i="17"/>
  <c r="MC10" i="17"/>
  <c r="MB10" i="17"/>
  <c r="MF8" i="17"/>
  <c r="ME8" i="17"/>
  <c r="MD8" i="17"/>
  <c r="MC8" i="17"/>
  <c r="MB8" i="17"/>
  <c r="MF9" i="17"/>
  <c r="ME9" i="17"/>
  <c r="MD9" i="17"/>
  <c r="MC9" i="17"/>
  <c r="MB9" i="17"/>
  <c r="MF7" i="17"/>
  <c r="ME7" i="17"/>
  <c r="MD7" i="17"/>
  <c r="MC7" i="17"/>
  <c r="MB7" i="17"/>
  <c r="MF6" i="17"/>
  <c r="ME6" i="17"/>
  <c r="MD6" i="17"/>
  <c r="MC6" i="17"/>
  <c r="MB6" i="17"/>
  <c r="MF5" i="17"/>
  <c r="ME5" i="17"/>
  <c r="MD5" i="17"/>
  <c r="MC5" i="17"/>
  <c r="MB5" i="17"/>
  <c r="MF4" i="17"/>
  <c r="ME4" i="17"/>
  <c r="MD4" i="17"/>
  <c r="MC4" i="17"/>
  <c r="MB4" i="17"/>
  <c r="LF16" i="17"/>
  <c r="LE16" i="17"/>
  <c r="LD16" i="17"/>
  <c r="LC16" i="17"/>
  <c r="LB16" i="17"/>
  <c r="LF15" i="17"/>
  <c r="LE15" i="17"/>
  <c r="LD15" i="17"/>
  <c r="LC15" i="17"/>
  <c r="LB15" i="17"/>
  <c r="LF11" i="17"/>
  <c r="LE11" i="17"/>
  <c r="LD11" i="17"/>
  <c r="LC11" i="17"/>
  <c r="LB11" i="17"/>
  <c r="LF14" i="17"/>
  <c r="LE14" i="17"/>
  <c r="LD14" i="17"/>
  <c r="LC14" i="17"/>
  <c r="LB14" i="17"/>
  <c r="LF13" i="17"/>
  <c r="LE13" i="17"/>
  <c r="LD13" i="17"/>
  <c r="LC13" i="17"/>
  <c r="LB13" i="17"/>
  <c r="LF12" i="17"/>
  <c r="LE12" i="17"/>
  <c r="LD12" i="17"/>
  <c r="LC12" i="17"/>
  <c r="LB12" i="17"/>
  <c r="LF10" i="17"/>
  <c r="LE10" i="17"/>
  <c r="LD10" i="17"/>
  <c r="LC10" i="17"/>
  <c r="LB10" i="17"/>
  <c r="LF8" i="17"/>
  <c r="LE8" i="17"/>
  <c r="LD8" i="17"/>
  <c r="LC8" i="17"/>
  <c r="LB8" i="17"/>
  <c r="LF9" i="17"/>
  <c r="LE9" i="17"/>
  <c r="LD9" i="17"/>
  <c r="LC9" i="17"/>
  <c r="LB9" i="17"/>
  <c r="LF7" i="17"/>
  <c r="LE7" i="17"/>
  <c r="LD7" i="17"/>
  <c r="LC7" i="17"/>
  <c r="LB7" i="17"/>
  <c r="LF6" i="17"/>
  <c r="LE6" i="17"/>
  <c r="LD6" i="17"/>
  <c r="LC6" i="17"/>
  <c r="LB6" i="17"/>
  <c r="LF5" i="17"/>
  <c r="LE5" i="17"/>
  <c r="LD5" i="17"/>
  <c r="LC5" i="17"/>
  <c r="LB5" i="17"/>
  <c r="LF4" i="17"/>
  <c r="LE4" i="17"/>
  <c r="LD4" i="17"/>
  <c r="LC4" i="17"/>
  <c r="LB4" i="17"/>
  <c r="KF16" i="17"/>
  <c r="KE16" i="17"/>
  <c r="KD16" i="17"/>
  <c r="KC16" i="17"/>
  <c r="KB16" i="17"/>
  <c r="KF15" i="17"/>
  <c r="KE15" i="17"/>
  <c r="KD15" i="17"/>
  <c r="KC15" i="17"/>
  <c r="KB15" i="17"/>
  <c r="KF11" i="17"/>
  <c r="KE11" i="17"/>
  <c r="KD11" i="17"/>
  <c r="KC11" i="17"/>
  <c r="KB11" i="17"/>
  <c r="KF14" i="17"/>
  <c r="KE14" i="17"/>
  <c r="KD14" i="17"/>
  <c r="KC14" i="17"/>
  <c r="KB14" i="17"/>
  <c r="KF13" i="17"/>
  <c r="KE13" i="17"/>
  <c r="KD13" i="17"/>
  <c r="KC13" i="17"/>
  <c r="KB13" i="17"/>
  <c r="KF12" i="17"/>
  <c r="KE12" i="17"/>
  <c r="KD12" i="17"/>
  <c r="KC12" i="17"/>
  <c r="KB12" i="17"/>
  <c r="KF10" i="17"/>
  <c r="KE10" i="17"/>
  <c r="KD10" i="17"/>
  <c r="KC10" i="17"/>
  <c r="KB10" i="17"/>
  <c r="KF8" i="17"/>
  <c r="KE8" i="17"/>
  <c r="KD8" i="17"/>
  <c r="KC8" i="17"/>
  <c r="KB8" i="17"/>
  <c r="KF9" i="17"/>
  <c r="KE9" i="17"/>
  <c r="KD9" i="17"/>
  <c r="KC9" i="17"/>
  <c r="KB9" i="17"/>
  <c r="KF7" i="17"/>
  <c r="KE7" i="17"/>
  <c r="KD7" i="17"/>
  <c r="KC7" i="17"/>
  <c r="KB7" i="17"/>
  <c r="KF6" i="17"/>
  <c r="KE6" i="17"/>
  <c r="KD6" i="17"/>
  <c r="KC6" i="17"/>
  <c r="KB6" i="17"/>
  <c r="KF5" i="17"/>
  <c r="KE5" i="17"/>
  <c r="KD5" i="17"/>
  <c r="KC5" i="17"/>
  <c r="KB5" i="17"/>
  <c r="KF4" i="17"/>
  <c r="KE4" i="17"/>
  <c r="KD4" i="17"/>
  <c r="KC4" i="17"/>
  <c r="KB4" i="17"/>
  <c r="JF16" i="17"/>
  <c r="JE16" i="17"/>
  <c r="JD16" i="17"/>
  <c r="JC16" i="17"/>
  <c r="JB16" i="17"/>
  <c r="JF15" i="17"/>
  <c r="JE15" i="17"/>
  <c r="JD15" i="17"/>
  <c r="JC15" i="17"/>
  <c r="JB15" i="17"/>
  <c r="JF11" i="17"/>
  <c r="JE11" i="17"/>
  <c r="JD11" i="17"/>
  <c r="JC11" i="17"/>
  <c r="JB11" i="17"/>
  <c r="JF14" i="17"/>
  <c r="JE14" i="17"/>
  <c r="JD14" i="17"/>
  <c r="JC14" i="17"/>
  <c r="JB14" i="17"/>
  <c r="JF13" i="17"/>
  <c r="JE13" i="17"/>
  <c r="JD13" i="17"/>
  <c r="JC13" i="17"/>
  <c r="JB13" i="17"/>
  <c r="JF12" i="17"/>
  <c r="JE12" i="17"/>
  <c r="JD12" i="17"/>
  <c r="JC12" i="17"/>
  <c r="JB12" i="17"/>
  <c r="JF10" i="17"/>
  <c r="JE10" i="17"/>
  <c r="JD10" i="17"/>
  <c r="JC10" i="17"/>
  <c r="JB10" i="17"/>
  <c r="JF8" i="17"/>
  <c r="JE8" i="17"/>
  <c r="JD8" i="17"/>
  <c r="JC8" i="17"/>
  <c r="JB8" i="17"/>
  <c r="JF9" i="17"/>
  <c r="JE9" i="17"/>
  <c r="JD9" i="17"/>
  <c r="JC9" i="17"/>
  <c r="JB9" i="17"/>
  <c r="JF7" i="17"/>
  <c r="JE7" i="17"/>
  <c r="JD7" i="17"/>
  <c r="JC7" i="17"/>
  <c r="JB7" i="17"/>
  <c r="JF6" i="17"/>
  <c r="JE6" i="17"/>
  <c r="JD6" i="17"/>
  <c r="JC6" i="17"/>
  <c r="JB6" i="17"/>
  <c r="JF5" i="17"/>
  <c r="JE5" i="17"/>
  <c r="JD5" i="17"/>
  <c r="JC5" i="17"/>
  <c r="JB5" i="17"/>
  <c r="JF4" i="17"/>
  <c r="JE4" i="17"/>
  <c r="JD4" i="17"/>
  <c r="JC4" i="17"/>
  <c r="JB4" i="17"/>
  <c r="IF16" i="17"/>
  <c r="IE16" i="17"/>
  <c r="ID16" i="17"/>
  <c r="IC16" i="17"/>
  <c r="IG16" i="17" s="1"/>
  <c r="IB16" i="17"/>
  <c r="IF15" i="17"/>
  <c r="IE15" i="17"/>
  <c r="ID15" i="17"/>
  <c r="IC15" i="17"/>
  <c r="IB15" i="17"/>
  <c r="IF11" i="17"/>
  <c r="IE11" i="17"/>
  <c r="ID11" i="17"/>
  <c r="IC11" i="17"/>
  <c r="IB11" i="17"/>
  <c r="IF14" i="17"/>
  <c r="IE14" i="17"/>
  <c r="ID14" i="17"/>
  <c r="IC14" i="17"/>
  <c r="IB14" i="17"/>
  <c r="IF13" i="17"/>
  <c r="IE13" i="17"/>
  <c r="ID13" i="17"/>
  <c r="IC13" i="17"/>
  <c r="IB13" i="17"/>
  <c r="IF12" i="17"/>
  <c r="IE12" i="17"/>
  <c r="ID12" i="17"/>
  <c r="IC12" i="17"/>
  <c r="IB12" i="17"/>
  <c r="IF10" i="17"/>
  <c r="IE10" i="17"/>
  <c r="ID10" i="17"/>
  <c r="IC10" i="17"/>
  <c r="IB10" i="17"/>
  <c r="IF8" i="17"/>
  <c r="IE8" i="17"/>
  <c r="ID8" i="17"/>
  <c r="IC8" i="17"/>
  <c r="IB8" i="17"/>
  <c r="IF9" i="17"/>
  <c r="IE9" i="17"/>
  <c r="ID9" i="17"/>
  <c r="IC9" i="17"/>
  <c r="IB9" i="17"/>
  <c r="IF7" i="17"/>
  <c r="IE7" i="17"/>
  <c r="ID7" i="17"/>
  <c r="IC7" i="17"/>
  <c r="IB7" i="17"/>
  <c r="IF6" i="17"/>
  <c r="IE6" i="17"/>
  <c r="ID6" i="17"/>
  <c r="IC6" i="17"/>
  <c r="IB6" i="17"/>
  <c r="IF5" i="17"/>
  <c r="IE5" i="17"/>
  <c r="ID5" i="17"/>
  <c r="IC5" i="17"/>
  <c r="IB5" i="17"/>
  <c r="IF4" i="17"/>
  <c r="IE4" i="17"/>
  <c r="ID4" i="17"/>
  <c r="IC4" i="17"/>
  <c r="IB4" i="17"/>
  <c r="HF16" i="17"/>
  <c r="HE16" i="17"/>
  <c r="HD16" i="17"/>
  <c r="HC16" i="17"/>
  <c r="HB16" i="17"/>
  <c r="HF15" i="17"/>
  <c r="HE15" i="17"/>
  <c r="HD15" i="17"/>
  <c r="HC15" i="17"/>
  <c r="HG15" i="17" s="1"/>
  <c r="HB15" i="17"/>
  <c r="HF11" i="17"/>
  <c r="HE11" i="17"/>
  <c r="HD11" i="17"/>
  <c r="HC11" i="17"/>
  <c r="HB11" i="17"/>
  <c r="HF14" i="17"/>
  <c r="HE14" i="17"/>
  <c r="HD14" i="17"/>
  <c r="HC14" i="17"/>
  <c r="HB14" i="17"/>
  <c r="HF13" i="17"/>
  <c r="HE13" i="17"/>
  <c r="HD13" i="17"/>
  <c r="HC13" i="17"/>
  <c r="HB13" i="17"/>
  <c r="HF12" i="17"/>
  <c r="HE12" i="17"/>
  <c r="HD12" i="17"/>
  <c r="HC12" i="17"/>
  <c r="HB12" i="17"/>
  <c r="HF10" i="17"/>
  <c r="HE10" i="17"/>
  <c r="HD10" i="17"/>
  <c r="HC10" i="17"/>
  <c r="HB10" i="17"/>
  <c r="HF8" i="17"/>
  <c r="HE8" i="17"/>
  <c r="HD8" i="17"/>
  <c r="HC8" i="17"/>
  <c r="HB8" i="17"/>
  <c r="HF9" i="17"/>
  <c r="HE9" i="17"/>
  <c r="HD9" i="17"/>
  <c r="HC9" i="17"/>
  <c r="HB9" i="17"/>
  <c r="HF7" i="17"/>
  <c r="HE7" i="17"/>
  <c r="HD7" i="17"/>
  <c r="HC7" i="17"/>
  <c r="HB7" i="17"/>
  <c r="HF6" i="17"/>
  <c r="HE6" i="17"/>
  <c r="HD6" i="17"/>
  <c r="HC6" i="17"/>
  <c r="HB6" i="17"/>
  <c r="HF5" i="17"/>
  <c r="HE5" i="17"/>
  <c r="HD5" i="17"/>
  <c r="HC5" i="17"/>
  <c r="HB5" i="17"/>
  <c r="HF4" i="17"/>
  <c r="HE4" i="17"/>
  <c r="HD4" i="17"/>
  <c r="HC4" i="17"/>
  <c r="HB4" i="17"/>
  <c r="GF16" i="17"/>
  <c r="GE16" i="17"/>
  <c r="GD16" i="17"/>
  <c r="GC16" i="17"/>
  <c r="GB16" i="17"/>
  <c r="GF15" i="17"/>
  <c r="GE15" i="17"/>
  <c r="GD15" i="17"/>
  <c r="GC15" i="17"/>
  <c r="GB15" i="17"/>
  <c r="GF11" i="17"/>
  <c r="GE11" i="17"/>
  <c r="GD11" i="17"/>
  <c r="GC11" i="17"/>
  <c r="GB11" i="17"/>
  <c r="GF14" i="17"/>
  <c r="GE14" i="17"/>
  <c r="GD14" i="17"/>
  <c r="GC14" i="17"/>
  <c r="GB14" i="17"/>
  <c r="GF13" i="17"/>
  <c r="GE13" i="17"/>
  <c r="GD13" i="17"/>
  <c r="GC13" i="17"/>
  <c r="GB13" i="17"/>
  <c r="GF12" i="17"/>
  <c r="GE12" i="17"/>
  <c r="GD12" i="17"/>
  <c r="GC12" i="17"/>
  <c r="GG12" i="17" s="1"/>
  <c r="GB12" i="17"/>
  <c r="GF10" i="17"/>
  <c r="GE10" i="17"/>
  <c r="GD10" i="17"/>
  <c r="GC10" i="17"/>
  <c r="GB10" i="17"/>
  <c r="GF8" i="17"/>
  <c r="GE8" i="17"/>
  <c r="GD8" i="17"/>
  <c r="GC8" i="17"/>
  <c r="GB8" i="17"/>
  <c r="GF9" i="17"/>
  <c r="GE9" i="17"/>
  <c r="GD9" i="17"/>
  <c r="GC9" i="17"/>
  <c r="GB9" i="17"/>
  <c r="GF7" i="17"/>
  <c r="GE7" i="17"/>
  <c r="GD7" i="17"/>
  <c r="GC7" i="17"/>
  <c r="GB7" i="17"/>
  <c r="GF6" i="17"/>
  <c r="GE6" i="17"/>
  <c r="GD6" i="17"/>
  <c r="GC6" i="17"/>
  <c r="GB6" i="17"/>
  <c r="GF5" i="17"/>
  <c r="GE5" i="17"/>
  <c r="GD5" i="17"/>
  <c r="GC5" i="17"/>
  <c r="GB5" i="17"/>
  <c r="GF4" i="17"/>
  <c r="GE4" i="17"/>
  <c r="GD4" i="17"/>
  <c r="GC4" i="17"/>
  <c r="GB4" i="17"/>
  <c r="FF16" i="17"/>
  <c r="FE16" i="17"/>
  <c r="FD16" i="17"/>
  <c r="FC16" i="17"/>
  <c r="FB16" i="17"/>
  <c r="FF15" i="17"/>
  <c r="FE15" i="17"/>
  <c r="FD15" i="17"/>
  <c r="FC15" i="17"/>
  <c r="FB15" i="17"/>
  <c r="FF11" i="17"/>
  <c r="FE11" i="17"/>
  <c r="FD11" i="17"/>
  <c r="FC11" i="17"/>
  <c r="FB11" i="17"/>
  <c r="FF14" i="17"/>
  <c r="FE14" i="17"/>
  <c r="FD14" i="17"/>
  <c r="FC14" i="17"/>
  <c r="FB14" i="17"/>
  <c r="FF13" i="17"/>
  <c r="FE13" i="17"/>
  <c r="FD13" i="17"/>
  <c r="FC13" i="17"/>
  <c r="FB13" i="17"/>
  <c r="FF12" i="17"/>
  <c r="FE12" i="17"/>
  <c r="FD12" i="17"/>
  <c r="FC12" i="17"/>
  <c r="FB12" i="17"/>
  <c r="FF10" i="17"/>
  <c r="FE10" i="17"/>
  <c r="FD10" i="17"/>
  <c r="FC10" i="17"/>
  <c r="FG10" i="17" s="1"/>
  <c r="FB10" i="17"/>
  <c r="FF8" i="17"/>
  <c r="FE8" i="17"/>
  <c r="FD8" i="17"/>
  <c r="FC8" i="17"/>
  <c r="FB8" i="17"/>
  <c r="FF9" i="17"/>
  <c r="FE9" i="17"/>
  <c r="FD9" i="17"/>
  <c r="FC9" i="17"/>
  <c r="FB9" i="17"/>
  <c r="FF7" i="17"/>
  <c r="FE7" i="17"/>
  <c r="FD7" i="17"/>
  <c r="FC7" i="17"/>
  <c r="FB7" i="17"/>
  <c r="FF6" i="17"/>
  <c r="FE6" i="17"/>
  <c r="FD6" i="17"/>
  <c r="FC6" i="17"/>
  <c r="FB6" i="17"/>
  <c r="FF5" i="17"/>
  <c r="FE5" i="17"/>
  <c r="FD5" i="17"/>
  <c r="FC5" i="17"/>
  <c r="FB5" i="17"/>
  <c r="FF4" i="17"/>
  <c r="FE4" i="17"/>
  <c r="FD4" i="17"/>
  <c r="FC4" i="17"/>
  <c r="FB4" i="17"/>
  <c r="EF16" i="17"/>
  <c r="EE16" i="17"/>
  <c r="ED16" i="17"/>
  <c r="EC16" i="17"/>
  <c r="EB16" i="17"/>
  <c r="EF15" i="17"/>
  <c r="EE15" i="17"/>
  <c r="ED15" i="17"/>
  <c r="EC15" i="17"/>
  <c r="EB15" i="17"/>
  <c r="EF11" i="17"/>
  <c r="EE11" i="17"/>
  <c r="ED11" i="17"/>
  <c r="EC11" i="17"/>
  <c r="EB11" i="17"/>
  <c r="EF14" i="17"/>
  <c r="EE14" i="17"/>
  <c r="ED14" i="17"/>
  <c r="EC14" i="17"/>
  <c r="EB14" i="17"/>
  <c r="EF13" i="17"/>
  <c r="EE13" i="17"/>
  <c r="ED13" i="17"/>
  <c r="EC13" i="17"/>
  <c r="EB13" i="17"/>
  <c r="EF12" i="17"/>
  <c r="EE12" i="17"/>
  <c r="ED12" i="17"/>
  <c r="EC12" i="17"/>
  <c r="EB12" i="17"/>
  <c r="EF10" i="17"/>
  <c r="EE10" i="17"/>
  <c r="ED10" i="17"/>
  <c r="EC10" i="17"/>
  <c r="EB10" i="17"/>
  <c r="EF8" i="17"/>
  <c r="EE8" i="17"/>
  <c r="ED8" i="17"/>
  <c r="EC8" i="17"/>
  <c r="EG8" i="17" s="1"/>
  <c r="EB8" i="17"/>
  <c r="EF9" i="17"/>
  <c r="EE9" i="17"/>
  <c r="ED9" i="17"/>
  <c r="EC9" i="17"/>
  <c r="EB9" i="17"/>
  <c r="EF7" i="17"/>
  <c r="EE7" i="17"/>
  <c r="ED7" i="17"/>
  <c r="EC7" i="17"/>
  <c r="EB7" i="17"/>
  <c r="EF6" i="17"/>
  <c r="EE6" i="17"/>
  <c r="ED6" i="17"/>
  <c r="EC6" i="17"/>
  <c r="EB6" i="17"/>
  <c r="EF5" i="17"/>
  <c r="EE5" i="17"/>
  <c r="ED5" i="17"/>
  <c r="EC5" i="17"/>
  <c r="EB5" i="17"/>
  <c r="EF4" i="17"/>
  <c r="EE4" i="17"/>
  <c r="ED4" i="17"/>
  <c r="EC4" i="17"/>
  <c r="EB4" i="17"/>
  <c r="DF16" i="17"/>
  <c r="DE16" i="17"/>
  <c r="DD16" i="17"/>
  <c r="DC16" i="17"/>
  <c r="DB16" i="17"/>
  <c r="DF15" i="17"/>
  <c r="DE15" i="17"/>
  <c r="DD15" i="17"/>
  <c r="DC15" i="17"/>
  <c r="DB15" i="17"/>
  <c r="DF11" i="17"/>
  <c r="DE11" i="17"/>
  <c r="DD11" i="17"/>
  <c r="DC11" i="17"/>
  <c r="DB11" i="17"/>
  <c r="DF14" i="17"/>
  <c r="DE14" i="17"/>
  <c r="DD14" i="17"/>
  <c r="DC14" i="17"/>
  <c r="DB14" i="17"/>
  <c r="DF13" i="17"/>
  <c r="DE13" i="17"/>
  <c r="DD13" i="17"/>
  <c r="DC13" i="17"/>
  <c r="DB13" i="17"/>
  <c r="DF12" i="17"/>
  <c r="DE12" i="17"/>
  <c r="DD12" i="17"/>
  <c r="DC12" i="17"/>
  <c r="DB12" i="17"/>
  <c r="DF10" i="17"/>
  <c r="DE10" i="17"/>
  <c r="DD10" i="17"/>
  <c r="DC10" i="17"/>
  <c r="DB10" i="17"/>
  <c r="DF8" i="17"/>
  <c r="DE8" i="17"/>
  <c r="DD8" i="17"/>
  <c r="DC8" i="17"/>
  <c r="DB8" i="17"/>
  <c r="DF9" i="17"/>
  <c r="DE9" i="17"/>
  <c r="DD9" i="17"/>
  <c r="DC9" i="17"/>
  <c r="DG9" i="17" s="1"/>
  <c r="DB9" i="17"/>
  <c r="DF7" i="17"/>
  <c r="DE7" i="17"/>
  <c r="DD7" i="17"/>
  <c r="DC7" i="17"/>
  <c r="DB7" i="17"/>
  <c r="DF6" i="17"/>
  <c r="DE6" i="17"/>
  <c r="DD6" i="17"/>
  <c r="DC6" i="17"/>
  <c r="DB6" i="17"/>
  <c r="DF5" i="17"/>
  <c r="DE5" i="17"/>
  <c r="DD5" i="17"/>
  <c r="DC5" i="17"/>
  <c r="DB5" i="17"/>
  <c r="DF4" i="17"/>
  <c r="DE4" i="17"/>
  <c r="DD4" i="17"/>
  <c r="DC4" i="17"/>
  <c r="DB4" i="17"/>
  <c r="NF14" i="16"/>
  <c r="NE14" i="16"/>
  <c r="ND14" i="16"/>
  <c r="NC14" i="16"/>
  <c r="NB14" i="16"/>
  <c r="NF11" i="16"/>
  <c r="NE11" i="16"/>
  <c r="ND11" i="16"/>
  <c r="NC11" i="16"/>
  <c r="NB11" i="16"/>
  <c r="NF13" i="16"/>
  <c r="NE13" i="16"/>
  <c r="ND13" i="16"/>
  <c r="NC13" i="16"/>
  <c r="NB13" i="16"/>
  <c r="NF9" i="16"/>
  <c r="NE9" i="16"/>
  <c r="ND9" i="16"/>
  <c r="NC9" i="16"/>
  <c r="NB9" i="16"/>
  <c r="NF10" i="16"/>
  <c r="NE10" i="16"/>
  <c r="ND10" i="16"/>
  <c r="NC10" i="16"/>
  <c r="NB10" i="16"/>
  <c r="NF12" i="16"/>
  <c r="NE12" i="16"/>
  <c r="ND12" i="16"/>
  <c r="NC12" i="16"/>
  <c r="NB12" i="16"/>
  <c r="NF8" i="16"/>
  <c r="NE8" i="16"/>
  <c r="ND8" i="16"/>
  <c r="NC8" i="16"/>
  <c r="NB8" i="16"/>
  <c r="NF7" i="16"/>
  <c r="NE7" i="16"/>
  <c r="ND7" i="16"/>
  <c r="NC7" i="16"/>
  <c r="NB7" i="16"/>
  <c r="NF6" i="16"/>
  <c r="NE6" i="16"/>
  <c r="ND6" i="16"/>
  <c r="NC6" i="16"/>
  <c r="NB6" i="16"/>
  <c r="NF5" i="16"/>
  <c r="NE5" i="16"/>
  <c r="ND5" i="16"/>
  <c r="NC5" i="16"/>
  <c r="NB5" i="16"/>
  <c r="NF4" i="16"/>
  <c r="NE4" i="16"/>
  <c r="ND4" i="16"/>
  <c r="NC4" i="16"/>
  <c r="NB4" i="16"/>
  <c r="MF14" i="16"/>
  <c r="ME14" i="16"/>
  <c r="MD14" i="16"/>
  <c r="MC14" i="16"/>
  <c r="MB14" i="16"/>
  <c r="MF11" i="16"/>
  <c r="ME11" i="16"/>
  <c r="MD11" i="16"/>
  <c r="MC11" i="16"/>
  <c r="MB11" i="16"/>
  <c r="MF13" i="16"/>
  <c r="ME13" i="16"/>
  <c r="MD13" i="16"/>
  <c r="MC13" i="16"/>
  <c r="MB13" i="16"/>
  <c r="MF9" i="16"/>
  <c r="ME9" i="16"/>
  <c r="MD9" i="16"/>
  <c r="MC9" i="16"/>
  <c r="MB9" i="16"/>
  <c r="MF10" i="16"/>
  <c r="ME10" i="16"/>
  <c r="MD10" i="16"/>
  <c r="MC10" i="16"/>
  <c r="MB10" i="16"/>
  <c r="MF12" i="16"/>
  <c r="ME12" i="16"/>
  <c r="MD12" i="16"/>
  <c r="MC12" i="16"/>
  <c r="MB12" i="16"/>
  <c r="MF8" i="16"/>
  <c r="ME8" i="16"/>
  <c r="MD8" i="16"/>
  <c r="MC8" i="16"/>
  <c r="MB8" i="16"/>
  <c r="MF7" i="16"/>
  <c r="ME7" i="16"/>
  <c r="MD7" i="16"/>
  <c r="MC7" i="16"/>
  <c r="MB7" i="16"/>
  <c r="MF6" i="16"/>
  <c r="ME6" i="16"/>
  <c r="MD6" i="16"/>
  <c r="MC6" i="16"/>
  <c r="MB6" i="16"/>
  <c r="MF5" i="16"/>
  <c r="ME5" i="16"/>
  <c r="MD5" i="16"/>
  <c r="MC5" i="16"/>
  <c r="MB5" i="16"/>
  <c r="MF4" i="16"/>
  <c r="ME4" i="16"/>
  <c r="MD4" i="16"/>
  <c r="MC4" i="16"/>
  <c r="MB4" i="16"/>
  <c r="LF14" i="16"/>
  <c r="LE14" i="16"/>
  <c r="LD14" i="16"/>
  <c r="LC14" i="16"/>
  <c r="LB14" i="16"/>
  <c r="LF11" i="16"/>
  <c r="LE11" i="16"/>
  <c r="LD11" i="16"/>
  <c r="LC11" i="16"/>
  <c r="LB11" i="16"/>
  <c r="LF13" i="16"/>
  <c r="LE13" i="16"/>
  <c r="LD13" i="16"/>
  <c r="LC13" i="16"/>
  <c r="LB13" i="16"/>
  <c r="LF9" i="16"/>
  <c r="LE9" i="16"/>
  <c r="LD9" i="16"/>
  <c r="LC9" i="16"/>
  <c r="LB9" i="16"/>
  <c r="LF10" i="16"/>
  <c r="LE10" i="16"/>
  <c r="LD10" i="16"/>
  <c r="LC10" i="16"/>
  <c r="LB10" i="16"/>
  <c r="LF12" i="16"/>
  <c r="LE12" i="16"/>
  <c r="LD12" i="16"/>
  <c r="LC12" i="16"/>
  <c r="LB12" i="16"/>
  <c r="LF8" i="16"/>
  <c r="LE8" i="16"/>
  <c r="LD8" i="16"/>
  <c r="LC8" i="16"/>
  <c r="LB8" i="16"/>
  <c r="LF7" i="16"/>
  <c r="LE7" i="16"/>
  <c r="LD7" i="16"/>
  <c r="LC7" i="16"/>
  <c r="LB7" i="16"/>
  <c r="LF6" i="16"/>
  <c r="LE6" i="16"/>
  <c r="LD6" i="16"/>
  <c r="LC6" i="16"/>
  <c r="LB6" i="16"/>
  <c r="LF5" i="16"/>
  <c r="LE5" i="16"/>
  <c r="LD5" i="16"/>
  <c r="LC5" i="16"/>
  <c r="LB5" i="16"/>
  <c r="LF4" i="16"/>
  <c r="LE4" i="16"/>
  <c r="LD4" i="16"/>
  <c r="LC4" i="16"/>
  <c r="LB4" i="16"/>
  <c r="KF14" i="16"/>
  <c r="KE14" i="16"/>
  <c r="KD14" i="16"/>
  <c r="KC14" i="16"/>
  <c r="KB14" i="16"/>
  <c r="KF11" i="16"/>
  <c r="KE11" i="16"/>
  <c r="KD11" i="16"/>
  <c r="KC11" i="16"/>
  <c r="KB11" i="16"/>
  <c r="KF13" i="16"/>
  <c r="KE13" i="16"/>
  <c r="KD13" i="16"/>
  <c r="KC13" i="16"/>
  <c r="KB13" i="16"/>
  <c r="KF9" i="16"/>
  <c r="KE9" i="16"/>
  <c r="KD9" i="16"/>
  <c r="KC9" i="16"/>
  <c r="KB9" i="16"/>
  <c r="KF10" i="16"/>
  <c r="KE10" i="16"/>
  <c r="KD10" i="16"/>
  <c r="KC10" i="16"/>
  <c r="KB10" i="16"/>
  <c r="KF12" i="16"/>
  <c r="KE12" i="16"/>
  <c r="KD12" i="16"/>
  <c r="KC12" i="16"/>
  <c r="KB12" i="16"/>
  <c r="KF8" i="16"/>
  <c r="KE8" i="16"/>
  <c r="KD8" i="16"/>
  <c r="KC8" i="16"/>
  <c r="KB8" i="16"/>
  <c r="KF7" i="16"/>
  <c r="KE7" i="16"/>
  <c r="KD7" i="16"/>
  <c r="KC7" i="16"/>
  <c r="KB7" i="16"/>
  <c r="KF6" i="16"/>
  <c r="KE6" i="16"/>
  <c r="KD6" i="16"/>
  <c r="KC6" i="16"/>
  <c r="KB6" i="16"/>
  <c r="KF5" i="16"/>
  <c r="KE5" i="16"/>
  <c r="KD5" i="16"/>
  <c r="KC5" i="16"/>
  <c r="KB5" i="16"/>
  <c r="KF4" i="16"/>
  <c r="KE4" i="16"/>
  <c r="KD4" i="16"/>
  <c r="KC4" i="16"/>
  <c r="KB4" i="16"/>
  <c r="JF14" i="16"/>
  <c r="JE14" i="16"/>
  <c r="JD14" i="16"/>
  <c r="JC14" i="16"/>
  <c r="JB14" i="16"/>
  <c r="JF11" i="16"/>
  <c r="JE11" i="16"/>
  <c r="JD11" i="16"/>
  <c r="JC11" i="16"/>
  <c r="JB11" i="16"/>
  <c r="JF13" i="16"/>
  <c r="JE13" i="16"/>
  <c r="JD13" i="16"/>
  <c r="JC13" i="16"/>
  <c r="JB13" i="16"/>
  <c r="JF9" i="16"/>
  <c r="JE9" i="16"/>
  <c r="JD9" i="16"/>
  <c r="JC9" i="16"/>
  <c r="JB9" i="16"/>
  <c r="JF10" i="16"/>
  <c r="JE10" i="16"/>
  <c r="JD10" i="16"/>
  <c r="JC10" i="16"/>
  <c r="JB10" i="16"/>
  <c r="JF12" i="16"/>
  <c r="JE12" i="16"/>
  <c r="JD12" i="16"/>
  <c r="JC12" i="16"/>
  <c r="JB12" i="16"/>
  <c r="JF8" i="16"/>
  <c r="JE8" i="16"/>
  <c r="JD8" i="16"/>
  <c r="JC8" i="16"/>
  <c r="JB8" i="16"/>
  <c r="JF7" i="16"/>
  <c r="JE7" i="16"/>
  <c r="JD7" i="16"/>
  <c r="JC7" i="16"/>
  <c r="JB7" i="16"/>
  <c r="JF6" i="16"/>
  <c r="JE6" i="16"/>
  <c r="JD6" i="16"/>
  <c r="JC6" i="16"/>
  <c r="JB6" i="16"/>
  <c r="JF5" i="16"/>
  <c r="JE5" i="16"/>
  <c r="JD5" i="16"/>
  <c r="JC5" i="16"/>
  <c r="JB5" i="16"/>
  <c r="JF4" i="16"/>
  <c r="JE4" i="16"/>
  <c r="JD4" i="16"/>
  <c r="JC4" i="16"/>
  <c r="JB4" i="16"/>
  <c r="IF14" i="16"/>
  <c r="IE14" i="16"/>
  <c r="ID14" i="16"/>
  <c r="IC14" i="16"/>
  <c r="IB14" i="16"/>
  <c r="IF11" i="16"/>
  <c r="IE11" i="16"/>
  <c r="ID11" i="16"/>
  <c r="IC11" i="16"/>
  <c r="IB11" i="16"/>
  <c r="IF13" i="16"/>
  <c r="IE13" i="16"/>
  <c r="ID13" i="16"/>
  <c r="IC13" i="16"/>
  <c r="IB13" i="16"/>
  <c r="IF9" i="16"/>
  <c r="IE9" i="16"/>
  <c r="ID9" i="16"/>
  <c r="IC9" i="16"/>
  <c r="IB9" i="16"/>
  <c r="IF10" i="16"/>
  <c r="IE10" i="16"/>
  <c r="ID10" i="16"/>
  <c r="IC10" i="16"/>
  <c r="IB10" i="16"/>
  <c r="IF12" i="16"/>
  <c r="IE12" i="16"/>
  <c r="ID12" i="16"/>
  <c r="IC12" i="16"/>
  <c r="IB12" i="16"/>
  <c r="IF8" i="16"/>
  <c r="IE8" i="16"/>
  <c r="ID8" i="16"/>
  <c r="IC8" i="16"/>
  <c r="IB8" i="16"/>
  <c r="IF7" i="16"/>
  <c r="IE7" i="16"/>
  <c r="ID7" i="16"/>
  <c r="IC7" i="16"/>
  <c r="IB7" i="16"/>
  <c r="IF6" i="16"/>
  <c r="IE6" i="16"/>
  <c r="ID6" i="16"/>
  <c r="IC6" i="16"/>
  <c r="IB6" i="16"/>
  <c r="IF5" i="16"/>
  <c r="IE5" i="16"/>
  <c r="ID5" i="16"/>
  <c r="IC5" i="16"/>
  <c r="IB5" i="16"/>
  <c r="IF4" i="16"/>
  <c r="IE4" i="16"/>
  <c r="ID4" i="16"/>
  <c r="IC4" i="16"/>
  <c r="IB4" i="16"/>
  <c r="HF14" i="16"/>
  <c r="HE14" i="16"/>
  <c r="HD14" i="16"/>
  <c r="HC14" i="16"/>
  <c r="HB14" i="16"/>
  <c r="HF11" i="16"/>
  <c r="HE11" i="16"/>
  <c r="HD11" i="16"/>
  <c r="HC11" i="16"/>
  <c r="HB11" i="16"/>
  <c r="HF13" i="16"/>
  <c r="HE13" i="16"/>
  <c r="HD13" i="16"/>
  <c r="HC13" i="16"/>
  <c r="HB13" i="16"/>
  <c r="HF9" i="16"/>
  <c r="HE9" i="16"/>
  <c r="HD9" i="16"/>
  <c r="HC9" i="16"/>
  <c r="HB9" i="16"/>
  <c r="HF10" i="16"/>
  <c r="HE10" i="16"/>
  <c r="HD10" i="16"/>
  <c r="HC10" i="16"/>
  <c r="HB10" i="16"/>
  <c r="HF12" i="16"/>
  <c r="HE12" i="16"/>
  <c r="HD12" i="16"/>
  <c r="HC12" i="16"/>
  <c r="HB12" i="16"/>
  <c r="HF8" i="16"/>
  <c r="HE8" i="16"/>
  <c r="HD8" i="16"/>
  <c r="HC8" i="16"/>
  <c r="HB8" i="16"/>
  <c r="HF7" i="16"/>
  <c r="HE7" i="16"/>
  <c r="HD7" i="16"/>
  <c r="HC7" i="16"/>
  <c r="HB7" i="16"/>
  <c r="HF6" i="16"/>
  <c r="HE6" i="16"/>
  <c r="HD6" i="16"/>
  <c r="HC6" i="16"/>
  <c r="HB6" i="16"/>
  <c r="HF5" i="16"/>
  <c r="HE5" i="16"/>
  <c r="HD5" i="16"/>
  <c r="HC5" i="16"/>
  <c r="HB5" i="16"/>
  <c r="HF4" i="16"/>
  <c r="HE4" i="16"/>
  <c r="HD4" i="16"/>
  <c r="HC4" i="16"/>
  <c r="HB4" i="16"/>
  <c r="GF14" i="16"/>
  <c r="GE14" i="16"/>
  <c r="GD14" i="16"/>
  <c r="GC14" i="16"/>
  <c r="GB14" i="16"/>
  <c r="GF11" i="16"/>
  <c r="GE11" i="16"/>
  <c r="GD11" i="16"/>
  <c r="GC11" i="16"/>
  <c r="GB11" i="16"/>
  <c r="GF13" i="16"/>
  <c r="GE13" i="16"/>
  <c r="GD13" i="16"/>
  <c r="GC13" i="16"/>
  <c r="GB13" i="16"/>
  <c r="GF9" i="16"/>
  <c r="GE9" i="16"/>
  <c r="GD9" i="16"/>
  <c r="GC9" i="16"/>
  <c r="GB9" i="16"/>
  <c r="GF10" i="16"/>
  <c r="GE10" i="16"/>
  <c r="GD10" i="16"/>
  <c r="GC10" i="16"/>
  <c r="GB10" i="16"/>
  <c r="GF12" i="16"/>
  <c r="GE12" i="16"/>
  <c r="GD12" i="16"/>
  <c r="GC12" i="16"/>
  <c r="GB12" i="16"/>
  <c r="GF8" i="16"/>
  <c r="GE8" i="16"/>
  <c r="GD8" i="16"/>
  <c r="GC8" i="16"/>
  <c r="GB8" i="16"/>
  <c r="GF7" i="16"/>
  <c r="GE7" i="16"/>
  <c r="GD7" i="16"/>
  <c r="GC7" i="16"/>
  <c r="GB7" i="16"/>
  <c r="GF6" i="16"/>
  <c r="GE6" i="16"/>
  <c r="GD6" i="16"/>
  <c r="GC6" i="16"/>
  <c r="GB6" i="16"/>
  <c r="GF5" i="16"/>
  <c r="GE5" i="16"/>
  <c r="GD5" i="16"/>
  <c r="GC5" i="16"/>
  <c r="GB5" i="16"/>
  <c r="GF4" i="16"/>
  <c r="GE4" i="16"/>
  <c r="GD4" i="16"/>
  <c r="GC4" i="16"/>
  <c r="GB4" i="16"/>
  <c r="FF14" i="16"/>
  <c r="FE14" i="16"/>
  <c r="FD14" i="16"/>
  <c r="FC14" i="16"/>
  <c r="FB14" i="16"/>
  <c r="FF11" i="16"/>
  <c r="FE11" i="16"/>
  <c r="FD11" i="16"/>
  <c r="FC11" i="16"/>
  <c r="FB11" i="16"/>
  <c r="FF13" i="16"/>
  <c r="FE13" i="16"/>
  <c r="FD13" i="16"/>
  <c r="FC13" i="16"/>
  <c r="FB13" i="16"/>
  <c r="FF9" i="16"/>
  <c r="FE9" i="16"/>
  <c r="FD9" i="16"/>
  <c r="FC9" i="16"/>
  <c r="FB9" i="16"/>
  <c r="FF10" i="16"/>
  <c r="FE10" i="16"/>
  <c r="FD10" i="16"/>
  <c r="FC10" i="16"/>
  <c r="FB10" i="16"/>
  <c r="FF12" i="16"/>
  <c r="FE12" i="16"/>
  <c r="FD12" i="16"/>
  <c r="FC12" i="16"/>
  <c r="FB12" i="16"/>
  <c r="FF8" i="16"/>
  <c r="FE8" i="16"/>
  <c r="FD8" i="16"/>
  <c r="FC8" i="16"/>
  <c r="FB8" i="16"/>
  <c r="FF7" i="16"/>
  <c r="FE7" i="16"/>
  <c r="FD7" i="16"/>
  <c r="FC7" i="16"/>
  <c r="FB7" i="16"/>
  <c r="FF6" i="16"/>
  <c r="FE6" i="16"/>
  <c r="FD6" i="16"/>
  <c r="FC6" i="16"/>
  <c r="FB6" i="16"/>
  <c r="FF5" i="16"/>
  <c r="FE5" i="16"/>
  <c r="FD5" i="16"/>
  <c r="FC5" i="16"/>
  <c r="FB5" i="16"/>
  <c r="FF4" i="16"/>
  <c r="FE4" i="16"/>
  <c r="FD4" i="16"/>
  <c r="FC4" i="16"/>
  <c r="FB4" i="16"/>
  <c r="EF14" i="16"/>
  <c r="EE14" i="16"/>
  <c r="ED14" i="16"/>
  <c r="EC14" i="16"/>
  <c r="EB14" i="16"/>
  <c r="EF11" i="16"/>
  <c r="EE11" i="16"/>
  <c r="ED11" i="16"/>
  <c r="EC11" i="16"/>
  <c r="EB11" i="16"/>
  <c r="EF13" i="16"/>
  <c r="EE13" i="16"/>
  <c r="ED13" i="16"/>
  <c r="EC13" i="16"/>
  <c r="EB13" i="16"/>
  <c r="EF9" i="16"/>
  <c r="EE9" i="16"/>
  <c r="ED9" i="16"/>
  <c r="EC9" i="16"/>
  <c r="EB9" i="16"/>
  <c r="EF10" i="16"/>
  <c r="EE10" i="16"/>
  <c r="ED10" i="16"/>
  <c r="EC10" i="16"/>
  <c r="EB10" i="16"/>
  <c r="EF12" i="16"/>
  <c r="EE12" i="16"/>
  <c r="ED12" i="16"/>
  <c r="EC12" i="16"/>
  <c r="EB12" i="16"/>
  <c r="EF8" i="16"/>
  <c r="EE8" i="16"/>
  <c r="ED8" i="16"/>
  <c r="EC8" i="16"/>
  <c r="EB8" i="16"/>
  <c r="EF7" i="16"/>
  <c r="EE7" i="16"/>
  <c r="ED7" i="16"/>
  <c r="EC7" i="16"/>
  <c r="EB7" i="16"/>
  <c r="EF6" i="16"/>
  <c r="EE6" i="16"/>
  <c r="ED6" i="16"/>
  <c r="EC6" i="16"/>
  <c r="EB6" i="16"/>
  <c r="EF5" i="16"/>
  <c r="EE5" i="16"/>
  <c r="ED5" i="16"/>
  <c r="EC5" i="16"/>
  <c r="EB5" i="16"/>
  <c r="EF4" i="16"/>
  <c r="EE4" i="16"/>
  <c r="ED4" i="16"/>
  <c r="EC4" i="16"/>
  <c r="EB4" i="16"/>
  <c r="DF14" i="16"/>
  <c r="DE14" i="16"/>
  <c r="DD14" i="16"/>
  <c r="DC14" i="16"/>
  <c r="DB14" i="16"/>
  <c r="DF11" i="16"/>
  <c r="DE11" i="16"/>
  <c r="DD11" i="16"/>
  <c r="DC11" i="16"/>
  <c r="DB11" i="16"/>
  <c r="DF13" i="16"/>
  <c r="DE13" i="16"/>
  <c r="DD13" i="16"/>
  <c r="DC13" i="16"/>
  <c r="DB13" i="16"/>
  <c r="DF9" i="16"/>
  <c r="DE9" i="16"/>
  <c r="DD9" i="16"/>
  <c r="DC9" i="16"/>
  <c r="DB9" i="16"/>
  <c r="DF10" i="16"/>
  <c r="DE10" i="16"/>
  <c r="DD10" i="16"/>
  <c r="DC10" i="16"/>
  <c r="DB10" i="16"/>
  <c r="DF12" i="16"/>
  <c r="DE12" i="16"/>
  <c r="DD12" i="16"/>
  <c r="DC12" i="16"/>
  <c r="DB12" i="16"/>
  <c r="DF8" i="16"/>
  <c r="DE8" i="16"/>
  <c r="DD8" i="16"/>
  <c r="DC8" i="16"/>
  <c r="DB8" i="16"/>
  <c r="DF7" i="16"/>
  <c r="DE7" i="16"/>
  <c r="DD7" i="16"/>
  <c r="DC7" i="16"/>
  <c r="DB7" i="16"/>
  <c r="DF6" i="16"/>
  <c r="DE6" i="16"/>
  <c r="DD6" i="16"/>
  <c r="DC6" i="16"/>
  <c r="DB6" i="16"/>
  <c r="DF5" i="16"/>
  <c r="DE5" i="16"/>
  <c r="DD5" i="16"/>
  <c r="DC5" i="16"/>
  <c r="DB5" i="16"/>
  <c r="DF4" i="16"/>
  <c r="DE4" i="16"/>
  <c r="DD4" i="16"/>
  <c r="DC4" i="16"/>
  <c r="DB4" i="16"/>
  <c r="NF6" i="15"/>
  <c r="NE6" i="15"/>
  <c r="ND6" i="15"/>
  <c r="NC6" i="15"/>
  <c r="NB6" i="15"/>
  <c r="NF8" i="15"/>
  <c r="NE8" i="15"/>
  <c r="ND8" i="15"/>
  <c r="NC8" i="15"/>
  <c r="NB8" i="15"/>
  <c r="NF7" i="15"/>
  <c r="NE7" i="15"/>
  <c r="ND7" i="15"/>
  <c r="NC7" i="15"/>
  <c r="NB7" i="15"/>
  <c r="NF5" i="15"/>
  <c r="NE5" i="15"/>
  <c r="ND5" i="15"/>
  <c r="NC5" i="15"/>
  <c r="NB5" i="15"/>
  <c r="NF4" i="15"/>
  <c r="NE4" i="15"/>
  <c r="ND4" i="15"/>
  <c r="NC4" i="15"/>
  <c r="NB4" i="15"/>
  <c r="MF6" i="15"/>
  <c r="ME6" i="15"/>
  <c r="MD6" i="15"/>
  <c r="MC6" i="15"/>
  <c r="MB6" i="15"/>
  <c r="MF8" i="15"/>
  <c r="ME8" i="15"/>
  <c r="MD8" i="15"/>
  <c r="MC8" i="15"/>
  <c r="MB8" i="15"/>
  <c r="MF7" i="15"/>
  <c r="ME7" i="15"/>
  <c r="MD7" i="15"/>
  <c r="MC7" i="15"/>
  <c r="MB7" i="15"/>
  <c r="MF5" i="15"/>
  <c r="ME5" i="15"/>
  <c r="MD5" i="15"/>
  <c r="MC5" i="15"/>
  <c r="MB5" i="15"/>
  <c r="MF4" i="15"/>
  <c r="ME4" i="15"/>
  <c r="MD4" i="15"/>
  <c r="MC4" i="15"/>
  <c r="MB4" i="15"/>
  <c r="LF6" i="15"/>
  <c r="LE6" i="15"/>
  <c r="LD6" i="15"/>
  <c r="LC6" i="15"/>
  <c r="LB6" i="15"/>
  <c r="LF8" i="15"/>
  <c r="LE8" i="15"/>
  <c r="LD8" i="15"/>
  <c r="LC8" i="15"/>
  <c r="LB8" i="15"/>
  <c r="LF7" i="15"/>
  <c r="LE7" i="15"/>
  <c r="LD7" i="15"/>
  <c r="LC7" i="15"/>
  <c r="LB7" i="15"/>
  <c r="LF5" i="15"/>
  <c r="LE5" i="15"/>
  <c r="LD5" i="15"/>
  <c r="LC5" i="15"/>
  <c r="LB5" i="15"/>
  <c r="LF4" i="15"/>
  <c r="LE4" i="15"/>
  <c r="LD4" i="15"/>
  <c r="LC4" i="15"/>
  <c r="LB4" i="15"/>
  <c r="KF6" i="15"/>
  <c r="KE6" i="15"/>
  <c r="KD6" i="15"/>
  <c r="KC6" i="15"/>
  <c r="KB6" i="15"/>
  <c r="KF8" i="15"/>
  <c r="KE8" i="15"/>
  <c r="KD8" i="15"/>
  <c r="KC8" i="15"/>
  <c r="KB8" i="15"/>
  <c r="KF7" i="15"/>
  <c r="KE7" i="15"/>
  <c r="KD7" i="15"/>
  <c r="KC7" i="15"/>
  <c r="KB7" i="15"/>
  <c r="KF5" i="15"/>
  <c r="KE5" i="15"/>
  <c r="KD5" i="15"/>
  <c r="KC5" i="15"/>
  <c r="KB5" i="15"/>
  <c r="KF4" i="15"/>
  <c r="KE4" i="15"/>
  <c r="KD4" i="15"/>
  <c r="KC4" i="15"/>
  <c r="KB4" i="15"/>
  <c r="JF6" i="15"/>
  <c r="JE6" i="15"/>
  <c r="JD6" i="15"/>
  <c r="JC6" i="15"/>
  <c r="JB6" i="15"/>
  <c r="JF8" i="15"/>
  <c r="JE8" i="15"/>
  <c r="JD8" i="15"/>
  <c r="JC8" i="15"/>
  <c r="JB8" i="15"/>
  <c r="JF7" i="15"/>
  <c r="JE7" i="15"/>
  <c r="JD7" i="15"/>
  <c r="JC7" i="15"/>
  <c r="JB7" i="15"/>
  <c r="JF5" i="15"/>
  <c r="JE5" i="15"/>
  <c r="JD5" i="15"/>
  <c r="JC5" i="15"/>
  <c r="JB5" i="15"/>
  <c r="JF4" i="15"/>
  <c r="JE4" i="15"/>
  <c r="JD4" i="15"/>
  <c r="JC4" i="15"/>
  <c r="JB4" i="15"/>
  <c r="IF6" i="15"/>
  <c r="IE6" i="15"/>
  <c r="ID6" i="15"/>
  <c r="IC6" i="15"/>
  <c r="IB6" i="15"/>
  <c r="IF8" i="15"/>
  <c r="IE8" i="15"/>
  <c r="ID8" i="15"/>
  <c r="IC8" i="15"/>
  <c r="IB8" i="15"/>
  <c r="IF7" i="15"/>
  <c r="IE7" i="15"/>
  <c r="ID7" i="15"/>
  <c r="IC7" i="15"/>
  <c r="IB7" i="15"/>
  <c r="IF5" i="15"/>
  <c r="IE5" i="15"/>
  <c r="ID5" i="15"/>
  <c r="IC5" i="15"/>
  <c r="IB5" i="15"/>
  <c r="IF4" i="15"/>
  <c r="IE4" i="15"/>
  <c r="ID4" i="15"/>
  <c r="IC4" i="15"/>
  <c r="IB4" i="15"/>
  <c r="HF6" i="15"/>
  <c r="HE6" i="15"/>
  <c r="HD6" i="15"/>
  <c r="HC6" i="15"/>
  <c r="HB6" i="15"/>
  <c r="HF8" i="15"/>
  <c r="HE8" i="15"/>
  <c r="HD8" i="15"/>
  <c r="HC8" i="15"/>
  <c r="HB8" i="15"/>
  <c r="HF7" i="15"/>
  <c r="HE7" i="15"/>
  <c r="HD7" i="15"/>
  <c r="HC7" i="15"/>
  <c r="HB7" i="15"/>
  <c r="HF5" i="15"/>
  <c r="HE5" i="15"/>
  <c r="HD5" i="15"/>
  <c r="HC5" i="15"/>
  <c r="HB5" i="15"/>
  <c r="HF4" i="15"/>
  <c r="HE4" i="15"/>
  <c r="HD4" i="15"/>
  <c r="HC4" i="15"/>
  <c r="HB4" i="15"/>
  <c r="GF6" i="15"/>
  <c r="GE6" i="15"/>
  <c r="GD6" i="15"/>
  <c r="GC6" i="15"/>
  <c r="GB6" i="15"/>
  <c r="GF8" i="15"/>
  <c r="GE8" i="15"/>
  <c r="GD8" i="15"/>
  <c r="GC8" i="15"/>
  <c r="GB8" i="15"/>
  <c r="GF7" i="15"/>
  <c r="GE7" i="15"/>
  <c r="GD7" i="15"/>
  <c r="GC7" i="15"/>
  <c r="GB7" i="15"/>
  <c r="GF5" i="15"/>
  <c r="GE5" i="15"/>
  <c r="GD5" i="15"/>
  <c r="GC5" i="15"/>
  <c r="GB5" i="15"/>
  <c r="GF4" i="15"/>
  <c r="GE4" i="15"/>
  <c r="GD4" i="15"/>
  <c r="GC4" i="15"/>
  <c r="GB4" i="15"/>
  <c r="FF6" i="15"/>
  <c r="FE6" i="15"/>
  <c r="FD6" i="15"/>
  <c r="FC6" i="15"/>
  <c r="FB6" i="15"/>
  <c r="FF8" i="15"/>
  <c r="FE8" i="15"/>
  <c r="FD8" i="15"/>
  <c r="FC8" i="15"/>
  <c r="FB8" i="15"/>
  <c r="FF7" i="15"/>
  <c r="FE7" i="15"/>
  <c r="FD7" i="15"/>
  <c r="FC7" i="15"/>
  <c r="FB7" i="15"/>
  <c r="FF5" i="15"/>
  <c r="FE5" i="15"/>
  <c r="FD5" i="15"/>
  <c r="FC5" i="15"/>
  <c r="FB5" i="15"/>
  <c r="FF4" i="15"/>
  <c r="FE4" i="15"/>
  <c r="FD4" i="15"/>
  <c r="FC4" i="15"/>
  <c r="FB4" i="15"/>
  <c r="EF6" i="15"/>
  <c r="EE6" i="15"/>
  <c r="ED6" i="15"/>
  <c r="EC6" i="15"/>
  <c r="EB6" i="15"/>
  <c r="EF8" i="15"/>
  <c r="EE8" i="15"/>
  <c r="ED8" i="15"/>
  <c r="EC8" i="15"/>
  <c r="EB8" i="15"/>
  <c r="EF7" i="15"/>
  <c r="EE7" i="15"/>
  <c r="ED7" i="15"/>
  <c r="EC7" i="15"/>
  <c r="EB7" i="15"/>
  <c r="EF5" i="15"/>
  <c r="EE5" i="15"/>
  <c r="ED5" i="15"/>
  <c r="EC5" i="15"/>
  <c r="EB5" i="15"/>
  <c r="EF4" i="15"/>
  <c r="EE4" i="15"/>
  <c r="ED4" i="15"/>
  <c r="EC4" i="15"/>
  <c r="EB4" i="15"/>
  <c r="DF6" i="15"/>
  <c r="DE6" i="15"/>
  <c r="DD6" i="15"/>
  <c r="DC6" i="15"/>
  <c r="DB6" i="15"/>
  <c r="DF8" i="15"/>
  <c r="DE8" i="15"/>
  <c r="DD8" i="15"/>
  <c r="DC8" i="15"/>
  <c r="DB8" i="15"/>
  <c r="DF7" i="15"/>
  <c r="DE7" i="15"/>
  <c r="DD7" i="15"/>
  <c r="DC7" i="15"/>
  <c r="DB7" i="15"/>
  <c r="DF5" i="15"/>
  <c r="DE5" i="15"/>
  <c r="DD5" i="15"/>
  <c r="DC5" i="15"/>
  <c r="DB5" i="15"/>
  <c r="DF4" i="15"/>
  <c r="DE4" i="15"/>
  <c r="DD4" i="15"/>
  <c r="DC4" i="15"/>
  <c r="DB4" i="15"/>
  <c r="NF5" i="14"/>
  <c r="NE5" i="14"/>
  <c r="ND5" i="14"/>
  <c r="NC5" i="14"/>
  <c r="NB5" i="14"/>
  <c r="NF4" i="14"/>
  <c r="NE4" i="14"/>
  <c r="ND4" i="14"/>
  <c r="NC4" i="14"/>
  <c r="NB4" i="14"/>
  <c r="MF5" i="14"/>
  <c r="ME5" i="14"/>
  <c r="MD5" i="14"/>
  <c r="MC5" i="14"/>
  <c r="MB5" i="14"/>
  <c r="MF4" i="14"/>
  <c r="ME4" i="14"/>
  <c r="MD4" i="14"/>
  <c r="MC4" i="14"/>
  <c r="MB4" i="14"/>
  <c r="LF5" i="14"/>
  <c r="LE5" i="14"/>
  <c r="LD5" i="14"/>
  <c r="LC5" i="14"/>
  <c r="LB5" i="14"/>
  <c r="LF4" i="14"/>
  <c r="LE4" i="14"/>
  <c r="LD4" i="14"/>
  <c r="LC4" i="14"/>
  <c r="LB4" i="14"/>
  <c r="KF5" i="14"/>
  <c r="KE5" i="14"/>
  <c r="KD5" i="14"/>
  <c r="KC5" i="14"/>
  <c r="KB5" i="14"/>
  <c r="KF4" i="14"/>
  <c r="KE4" i="14"/>
  <c r="KD4" i="14"/>
  <c r="KC4" i="14"/>
  <c r="KB4" i="14"/>
  <c r="JF5" i="14"/>
  <c r="JE5" i="14"/>
  <c r="JD5" i="14"/>
  <c r="JC5" i="14"/>
  <c r="JB5" i="14"/>
  <c r="JF4" i="14"/>
  <c r="JE4" i="14"/>
  <c r="JD4" i="14"/>
  <c r="JC4" i="14"/>
  <c r="JB4" i="14"/>
  <c r="IF5" i="14"/>
  <c r="IE5" i="14"/>
  <c r="ID5" i="14"/>
  <c r="IC5" i="14"/>
  <c r="IB5" i="14"/>
  <c r="IF4" i="14"/>
  <c r="IE4" i="14"/>
  <c r="ID4" i="14"/>
  <c r="IC4" i="14"/>
  <c r="IB4" i="14"/>
  <c r="HF5" i="14"/>
  <c r="HE5" i="14"/>
  <c r="HD5" i="14"/>
  <c r="HC5" i="14"/>
  <c r="HB5" i="14"/>
  <c r="HF4" i="14"/>
  <c r="HE4" i="14"/>
  <c r="HD4" i="14"/>
  <c r="HC4" i="14"/>
  <c r="HB4" i="14"/>
  <c r="GF5" i="14"/>
  <c r="GE5" i="14"/>
  <c r="GD5" i="14"/>
  <c r="GC5" i="14"/>
  <c r="GB5" i="14"/>
  <c r="GF4" i="14"/>
  <c r="GE4" i="14"/>
  <c r="GD4" i="14"/>
  <c r="GC4" i="14"/>
  <c r="GB4" i="14"/>
  <c r="FF5" i="14"/>
  <c r="FE5" i="14"/>
  <c r="FD5" i="14"/>
  <c r="FC5" i="14"/>
  <c r="FB5" i="14"/>
  <c r="FF4" i="14"/>
  <c r="FE4" i="14"/>
  <c r="FD4" i="14"/>
  <c r="FC4" i="14"/>
  <c r="FB4" i="14"/>
  <c r="EF5" i="14"/>
  <c r="EE5" i="14"/>
  <c r="ED5" i="14"/>
  <c r="EC5" i="14"/>
  <c r="EB5" i="14"/>
  <c r="EF4" i="14"/>
  <c r="EE4" i="14"/>
  <c r="ED4" i="14"/>
  <c r="EC4" i="14"/>
  <c r="EB4" i="14"/>
  <c r="DF5" i="14"/>
  <c r="DE5" i="14"/>
  <c r="DD5" i="14"/>
  <c r="DC5" i="14"/>
  <c r="DB5" i="14"/>
  <c r="DF4" i="14"/>
  <c r="DE4" i="14"/>
  <c r="DD4" i="14"/>
  <c r="DC4" i="14"/>
  <c r="DB4" i="14"/>
  <c r="LU11" i="13"/>
  <c r="LT11" i="13"/>
  <c r="LR11" i="13"/>
  <c r="LQ11" i="13"/>
  <c r="LP11" i="13"/>
  <c r="LU10" i="13"/>
  <c r="LT10" i="13"/>
  <c r="LR10" i="13"/>
  <c r="LQ10" i="13"/>
  <c r="LP10" i="13"/>
  <c r="LU9" i="13"/>
  <c r="LT9" i="13"/>
  <c r="LR9" i="13"/>
  <c r="LQ9" i="13"/>
  <c r="LP9" i="13"/>
  <c r="LU8" i="13"/>
  <c r="LT8" i="13"/>
  <c r="LR8" i="13"/>
  <c r="LQ8" i="13"/>
  <c r="LP8" i="13"/>
  <c r="LU5" i="13"/>
  <c r="LT5" i="13"/>
  <c r="LR5" i="13"/>
  <c r="LQ5" i="13"/>
  <c r="LP5" i="13"/>
  <c r="LU4" i="13"/>
  <c r="LT4" i="13"/>
  <c r="LR4" i="13"/>
  <c r="LQ4" i="13"/>
  <c r="LS4" i="13" s="1"/>
  <c r="LP4" i="13"/>
  <c r="LU6" i="13"/>
  <c r="LT6" i="13"/>
  <c r="LR6" i="13"/>
  <c r="LQ6" i="13"/>
  <c r="LP6" i="13"/>
  <c r="LU7" i="13"/>
  <c r="LT7" i="13"/>
  <c r="LR7" i="13"/>
  <c r="LQ7" i="13"/>
  <c r="LP7" i="13"/>
  <c r="KY11" i="13"/>
  <c r="KX11" i="13"/>
  <c r="KV11" i="13"/>
  <c r="KU11" i="13"/>
  <c r="KT11" i="13"/>
  <c r="KY10" i="13"/>
  <c r="KX10" i="13"/>
  <c r="KV10" i="13"/>
  <c r="KU10" i="13"/>
  <c r="KT10" i="13"/>
  <c r="KY9" i="13"/>
  <c r="KX9" i="13"/>
  <c r="KV9" i="13"/>
  <c r="KU9" i="13"/>
  <c r="KT9" i="13"/>
  <c r="KY8" i="13"/>
  <c r="KX8" i="13"/>
  <c r="KV8" i="13"/>
  <c r="KU8" i="13"/>
  <c r="KT8" i="13"/>
  <c r="KY5" i="13"/>
  <c r="KX5" i="13"/>
  <c r="KV5" i="13"/>
  <c r="KU5" i="13"/>
  <c r="KT5" i="13"/>
  <c r="KY4" i="13"/>
  <c r="KX4" i="13"/>
  <c r="KV4" i="13"/>
  <c r="KU4" i="13"/>
  <c r="KT4" i="13"/>
  <c r="KY6" i="13"/>
  <c r="KX6" i="13"/>
  <c r="KV6" i="13"/>
  <c r="KU6" i="13"/>
  <c r="KT6" i="13"/>
  <c r="KY7" i="13"/>
  <c r="KX7" i="13"/>
  <c r="KV7" i="13"/>
  <c r="KU7" i="13"/>
  <c r="KT7" i="13"/>
  <c r="KC11" i="13"/>
  <c r="KB11" i="13"/>
  <c r="JZ11" i="13"/>
  <c r="JY11" i="13"/>
  <c r="JX11" i="13"/>
  <c r="KC10" i="13"/>
  <c r="KB10" i="13"/>
  <c r="JZ10" i="13"/>
  <c r="JY10" i="13"/>
  <c r="JX10" i="13"/>
  <c r="KC9" i="13"/>
  <c r="KB9" i="13"/>
  <c r="JZ9" i="13"/>
  <c r="JY9" i="13"/>
  <c r="JX9" i="13"/>
  <c r="KC8" i="13"/>
  <c r="KB8" i="13"/>
  <c r="JZ8" i="13"/>
  <c r="JY8" i="13"/>
  <c r="KA8" i="13" s="1"/>
  <c r="JX8" i="13"/>
  <c r="KC5" i="13"/>
  <c r="KB5" i="13"/>
  <c r="JZ5" i="13"/>
  <c r="JY5" i="13"/>
  <c r="JX5" i="13"/>
  <c r="KC4" i="13"/>
  <c r="KB4" i="13"/>
  <c r="JZ4" i="13"/>
  <c r="JY4" i="13"/>
  <c r="JX4" i="13"/>
  <c r="KC6" i="13"/>
  <c r="KB6" i="13"/>
  <c r="JZ6" i="13"/>
  <c r="JY6" i="13"/>
  <c r="JX6" i="13"/>
  <c r="KC7" i="13"/>
  <c r="KB7" i="13"/>
  <c r="JZ7" i="13"/>
  <c r="JY7" i="13"/>
  <c r="JX7" i="13"/>
  <c r="JG11" i="13"/>
  <c r="JF11" i="13"/>
  <c r="JD11" i="13"/>
  <c r="JC11" i="13"/>
  <c r="JB11" i="13"/>
  <c r="JG10" i="13"/>
  <c r="JF10" i="13"/>
  <c r="JD10" i="13"/>
  <c r="JC10" i="13"/>
  <c r="JB10" i="13"/>
  <c r="JG9" i="13"/>
  <c r="JF9" i="13"/>
  <c r="JD9" i="13"/>
  <c r="JC9" i="13"/>
  <c r="JB9" i="13"/>
  <c r="JG8" i="13"/>
  <c r="JF8" i="13"/>
  <c r="JD8" i="13"/>
  <c r="JC8" i="13"/>
  <c r="JB8" i="13"/>
  <c r="JG5" i="13"/>
  <c r="JF5" i="13"/>
  <c r="JD5" i="13"/>
  <c r="JC5" i="13"/>
  <c r="JB5" i="13"/>
  <c r="JG4" i="13"/>
  <c r="JF4" i="13"/>
  <c r="JD4" i="13"/>
  <c r="JC4" i="13"/>
  <c r="JB4" i="13"/>
  <c r="JG6" i="13"/>
  <c r="JF6" i="13"/>
  <c r="JD6" i="13"/>
  <c r="JC6" i="13"/>
  <c r="JB6" i="13"/>
  <c r="JG7" i="13"/>
  <c r="JF7" i="13"/>
  <c r="JD7" i="13"/>
  <c r="JC7" i="13"/>
  <c r="JB7" i="13"/>
  <c r="IK11" i="13"/>
  <c r="IJ11" i="13"/>
  <c r="IH11" i="13"/>
  <c r="IG11" i="13"/>
  <c r="IF11" i="13"/>
  <c r="IK10" i="13"/>
  <c r="IJ10" i="13"/>
  <c r="IH10" i="13"/>
  <c r="IG10" i="13"/>
  <c r="II10" i="13" s="1"/>
  <c r="IF10" i="13"/>
  <c r="IK9" i="13"/>
  <c r="IJ9" i="13"/>
  <c r="IH9" i="13"/>
  <c r="IG9" i="13"/>
  <c r="IF9" i="13"/>
  <c r="IK8" i="13"/>
  <c r="IJ8" i="13"/>
  <c r="IH8" i="13"/>
  <c r="IG8" i="13"/>
  <c r="IF8" i="13"/>
  <c r="IK5" i="13"/>
  <c r="IJ5" i="13"/>
  <c r="IH5" i="13"/>
  <c r="IG5" i="13"/>
  <c r="IF5" i="13"/>
  <c r="IK4" i="13"/>
  <c r="IJ4" i="13"/>
  <c r="IH4" i="13"/>
  <c r="IG4" i="13"/>
  <c r="IF4" i="13"/>
  <c r="IK6" i="13"/>
  <c r="IJ6" i="13"/>
  <c r="IH6" i="13"/>
  <c r="IG6" i="13"/>
  <c r="IF6" i="13"/>
  <c r="IK7" i="13"/>
  <c r="IJ7" i="13"/>
  <c r="IH7" i="13"/>
  <c r="IG7" i="13"/>
  <c r="IF7" i="13"/>
  <c r="HO11" i="13"/>
  <c r="HN11" i="13"/>
  <c r="HL11" i="13"/>
  <c r="HK11" i="13"/>
  <c r="HJ11" i="13"/>
  <c r="HO10" i="13"/>
  <c r="HN10" i="13"/>
  <c r="HL10" i="13"/>
  <c r="HK10" i="13"/>
  <c r="HJ10" i="13"/>
  <c r="HO9" i="13"/>
  <c r="HN9" i="13"/>
  <c r="HL9" i="13"/>
  <c r="HK9" i="13"/>
  <c r="HJ9" i="13"/>
  <c r="HO8" i="13"/>
  <c r="HN8" i="13"/>
  <c r="HL8" i="13"/>
  <c r="HK8" i="13"/>
  <c r="HJ8" i="13"/>
  <c r="HO5" i="13"/>
  <c r="HN5" i="13"/>
  <c r="HL5" i="13"/>
  <c r="HK5" i="13"/>
  <c r="HJ5" i="13"/>
  <c r="HO4" i="13"/>
  <c r="HN4" i="13"/>
  <c r="HL4" i="13"/>
  <c r="HK4" i="13"/>
  <c r="HJ4" i="13"/>
  <c r="HO6" i="13"/>
  <c r="HN6" i="13"/>
  <c r="HL6" i="13"/>
  <c r="HK6" i="13"/>
  <c r="HJ6" i="13"/>
  <c r="HO7" i="13"/>
  <c r="HN7" i="13"/>
  <c r="HL7" i="13"/>
  <c r="HK7" i="13"/>
  <c r="HM7" i="13" s="1"/>
  <c r="HJ7" i="13"/>
  <c r="GS11" i="13"/>
  <c r="GR11" i="13"/>
  <c r="GP11" i="13"/>
  <c r="GO11" i="13"/>
  <c r="GN11" i="13"/>
  <c r="GS10" i="13"/>
  <c r="GR10" i="13"/>
  <c r="GP10" i="13"/>
  <c r="GO10" i="13"/>
  <c r="GN10" i="13"/>
  <c r="GS9" i="13"/>
  <c r="GR9" i="13"/>
  <c r="GP9" i="13"/>
  <c r="GO9" i="13"/>
  <c r="GN9" i="13"/>
  <c r="GS8" i="13"/>
  <c r="GR8" i="13"/>
  <c r="GP8" i="13"/>
  <c r="GO8" i="13"/>
  <c r="GN8" i="13"/>
  <c r="GS5" i="13"/>
  <c r="GR5" i="13"/>
  <c r="GP5" i="13"/>
  <c r="GO5" i="13"/>
  <c r="GN5" i="13"/>
  <c r="GS4" i="13"/>
  <c r="GR4" i="13"/>
  <c r="GP4" i="13"/>
  <c r="GO4" i="13"/>
  <c r="GN4" i="13"/>
  <c r="GS6" i="13"/>
  <c r="GR6" i="13"/>
  <c r="GP6" i="13"/>
  <c r="GO6" i="13"/>
  <c r="GN6" i="13"/>
  <c r="GS7" i="13"/>
  <c r="GR7" i="13"/>
  <c r="GP7" i="13"/>
  <c r="GO7" i="13"/>
  <c r="GN7" i="13"/>
  <c r="FW11" i="13"/>
  <c r="FV11" i="13"/>
  <c r="FT11" i="13"/>
  <c r="FS11" i="13"/>
  <c r="FR11" i="13"/>
  <c r="FW10" i="13"/>
  <c r="FV10" i="13"/>
  <c r="FT10" i="13"/>
  <c r="FS10" i="13"/>
  <c r="FR10" i="13"/>
  <c r="FW9" i="13"/>
  <c r="FV9" i="13"/>
  <c r="FT9" i="13"/>
  <c r="FS9" i="13"/>
  <c r="FR9" i="13"/>
  <c r="FW8" i="13"/>
  <c r="FV8" i="13"/>
  <c r="FT8" i="13"/>
  <c r="FS8" i="13"/>
  <c r="FR8" i="13"/>
  <c r="FW5" i="13"/>
  <c r="FV5" i="13"/>
  <c r="FT5" i="13"/>
  <c r="FS5" i="13"/>
  <c r="FR5" i="13"/>
  <c r="FW4" i="13"/>
  <c r="FV4" i="13"/>
  <c r="FT4" i="13"/>
  <c r="FS4" i="13"/>
  <c r="FU4" i="13" s="1"/>
  <c r="FR4" i="13"/>
  <c r="FW6" i="13"/>
  <c r="FV6" i="13"/>
  <c r="FT6" i="13"/>
  <c r="FS6" i="13"/>
  <c r="FR6" i="13"/>
  <c r="FW7" i="13"/>
  <c r="FV7" i="13"/>
  <c r="FT7" i="13"/>
  <c r="FS7" i="13"/>
  <c r="FR7" i="13"/>
  <c r="FA11" i="13"/>
  <c r="EZ11" i="13"/>
  <c r="EX11" i="13"/>
  <c r="EW11" i="13"/>
  <c r="EV11" i="13"/>
  <c r="FA10" i="13"/>
  <c r="EZ10" i="13"/>
  <c r="EX10" i="13"/>
  <c r="EW10" i="13"/>
  <c r="EV10" i="13"/>
  <c r="FA9" i="13"/>
  <c r="EZ9" i="13"/>
  <c r="EX9" i="13"/>
  <c r="EW9" i="13"/>
  <c r="EV9" i="13"/>
  <c r="FA8" i="13"/>
  <c r="EZ8" i="13"/>
  <c r="EX8" i="13"/>
  <c r="EW8" i="13"/>
  <c r="EV8" i="13"/>
  <c r="FA5" i="13"/>
  <c r="EZ5" i="13"/>
  <c r="EX5" i="13"/>
  <c r="EW5" i="13"/>
  <c r="EV5" i="13"/>
  <c r="FA4" i="13"/>
  <c r="EZ4" i="13"/>
  <c r="EX4" i="13"/>
  <c r="EW4" i="13"/>
  <c r="EV4" i="13"/>
  <c r="FA6" i="13"/>
  <c r="EZ6" i="13"/>
  <c r="EX6" i="13"/>
  <c r="EW6" i="13"/>
  <c r="EV6" i="13"/>
  <c r="FA7" i="13"/>
  <c r="EZ7" i="13"/>
  <c r="EX7" i="13"/>
  <c r="EW7" i="13"/>
  <c r="EV7" i="13"/>
  <c r="EE11" i="13"/>
  <c r="ED11" i="13"/>
  <c r="EB11" i="13"/>
  <c r="EA11" i="13"/>
  <c r="DZ11" i="13"/>
  <c r="EE10" i="13"/>
  <c r="ED10" i="13"/>
  <c r="EB10" i="13"/>
  <c r="EA10" i="13"/>
  <c r="EC10" i="13" s="1"/>
  <c r="DZ10" i="13"/>
  <c r="EE9" i="13"/>
  <c r="ED9" i="13"/>
  <c r="EB9" i="13"/>
  <c r="EA9" i="13"/>
  <c r="DZ9" i="13"/>
  <c r="EE8" i="13"/>
  <c r="ED8" i="13"/>
  <c r="EB8" i="13"/>
  <c r="EA8" i="13"/>
  <c r="DZ8" i="13"/>
  <c r="EE5" i="13"/>
  <c r="ED5" i="13"/>
  <c r="EB5" i="13"/>
  <c r="EA5" i="13"/>
  <c r="DZ5" i="13"/>
  <c r="EE4" i="13"/>
  <c r="ED4" i="13"/>
  <c r="EB4" i="13"/>
  <c r="EA4" i="13"/>
  <c r="DZ4" i="13"/>
  <c r="EE6" i="13"/>
  <c r="ED6" i="13"/>
  <c r="EB6" i="13"/>
  <c r="EA6" i="13"/>
  <c r="DZ6" i="13"/>
  <c r="EE7" i="13"/>
  <c r="ED7" i="13"/>
  <c r="EB7" i="13"/>
  <c r="EA7" i="13"/>
  <c r="DZ7" i="13"/>
  <c r="DI11" i="13"/>
  <c r="DH11" i="13"/>
  <c r="DF11" i="13"/>
  <c r="DE11" i="13"/>
  <c r="DD11" i="13"/>
  <c r="DI10" i="13"/>
  <c r="DH10" i="13"/>
  <c r="DF10" i="13"/>
  <c r="DE10" i="13"/>
  <c r="DD10" i="13"/>
  <c r="DI9" i="13"/>
  <c r="DH9" i="13"/>
  <c r="DF9" i="13"/>
  <c r="DE9" i="13"/>
  <c r="DD9" i="13"/>
  <c r="DI8" i="13"/>
  <c r="DH8" i="13"/>
  <c r="DF8" i="13"/>
  <c r="DE8" i="13"/>
  <c r="DD8" i="13"/>
  <c r="DI5" i="13"/>
  <c r="DH5" i="13"/>
  <c r="DF5" i="13"/>
  <c r="DE5" i="13"/>
  <c r="DD5" i="13"/>
  <c r="DI4" i="13"/>
  <c r="DH4" i="13"/>
  <c r="DF4" i="13"/>
  <c r="DE4" i="13"/>
  <c r="DD4" i="13"/>
  <c r="DI6" i="13"/>
  <c r="DH6" i="13"/>
  <c r="DF6" i="13"/>
  <c r="DE6" i="13"/>
  <c r="DD6" i="13"/>
  <c r="DI7" i="13"/>
  <c r="DH7" i="13"/>
  <c r="DF7" i="13"/>
  <c r="DE7" i="13"/>
  <c r="DG7" i="13" s="1"/>
  <c r="DD7" i="13"/>
  <c r="LU14" i="4"/>
  <c r="LT14" i="4"/>
  <c r="LR14" i="4"/>
  <c r="LQ14" i="4"/>
  <c r="LP14" i="4"/>
  <c r="LU12" i="4"/>
  <c r="LT12" i="4"/>
  <c r="LR12" i="4"/>
  <c r="LQ12" i="4"/>
  <c r="LP12" i="4"/>
  <c r="LU4" i="4"/>
  <c r="LT4" i="4"/>
  <c r="LR4" i="4"/>
  <c r="LQ4" i="4"/>
  <c r="LP4" i="4"/>
  <c r="LU13" i="4"/>
  <c r="LT13" i="4"/>
  <c r="LR13" i="4"/>
  <c r="LQ13" i="4"/>
  <c r="LP13" i="4"/>
  <c r="LU6" i="4"/>
  <c r="LT6" i="4"/>
  <c r="LR6" i="4"/>
  <c r="LQ6" i="4"/>
  <c r="LP6" i="4"/>
  <c r="LU10" i="4"/>
  <c r="LT10" i="4"/>
  <c r="LR10" i="4"/>
  <c r="LQ10" i="4"/>
  <c r="LP10" i="4"/>
  <c r="LU11" i="4"/>
  <c r="LT11" i="4"/>
  <c r="LR11" i="4"/>
  <c r="LQ11" i="4"/>
  <c r="LP11" i="4"/>
  <c r="LU9" i="4"/>
  <c r="LT9" i="4"/>
  <c r="LR9" i="4"/>
  <c r="LQ9" i="4"/>
  <c r="LP9" i="4"/>
  <c r="LU8" i="4"/>
  <c r="LT8" i="4"/>
  <c r="LR8" i="4"/>
  <c r="LQ8" i="4"/>
  <c r="LP8" i="4"/>
  <c r="LU7" i="4"/>
  <c r="LT7" i="4"/>
  <c r="LR7" i="4"/>
  <c r="LQ7" i="4"/>
  <c r="LP7" i="4"/>
  <c r="LU5" i="4"/>
  <c r="LT5" i="4"/>
  <c r="LR5" i="4"/>
  <c r="LQ5" i="4"/>
  <c r="LP5" i="4"/>
  <c r="KY14" i="4"/>
  <c r="KX14" i="4"/>
  <c r="KV14" i="4"/>
  <c r="KU14" i="4"/>
  <c r="KT14" i="4"/>
  <c r="KY12" i="4"/>
  <c r="KX12" i="4"/>
  <c r="KV12" i="4"/>
  <c r="KU12" i="4"/>
  <c r="KT12" i="4"/>
  <c r="KY4" i="4"/>
  <c r="KX4" i="4"/>
  <c r="KV4" i="4"/>
  <c r="KU4" i="4"/>
  <c r="KT4" i="4"/>
  <c r="KY13" i="4"/>
  <c r="KX13" i="4"/>
  <c r="KV13" i="4"/>
  <c r="KU13" i="4"/>
  <c r="KT13" i="4"/>
  <c r="KY6" i="4"/>
  <c r="KX6" i="4"/>
  <c r="KV6" i="4"/>
  <c r="KU6" i="4"/>
  <c r="KT6" i="4"/>
  <c r="KY10" i="4"/>
  <c r="KX10" i="4"/>
  <c r="KV10" i="4"/>
  <c r="KU10" i="4"/>
  <c r="KT10" i="4"/>
  <c r="KY11" i="4"/>
  <c r="KX11" i="4"/>
  <c r="KV11" i="4"/>
  <c r="KU11" i="4"/>
  <c r="KT11" i="4"/>
  <c r="KY9" i="4"/>
  <c r="KX9" i="4"/>
  <c r="KV9" i="4"/>
  <c r="KU9" i="4"/>
  <c r="KT9" i="4"/>
  <c r="KY8" i="4"/>
  <c r="KX8" i="4"/>
  <c r="KV8" i="4"/>
  <c r="KU8" i="4"/>
  <c r="KT8" i="4"/>
  <c r="KY7" i="4"/>
  <c r="KX7" i="4"/>
  <c r="KV7" i="4"/>
  <c r="KU7" i="4"/>
  <c r="KT7" i="4"/>
  <c r="KY5" i="4"/>
  <c r="KX5" i="4"/>
  <c r="KV5" i="4"/>
  <c r="KU5" i="4"/>
  <c r="KT5" i="4"/>
  <c r="KC14" i="4"/>
  <c r="KB14" i="4"/>
  <c r="JZ14" i="4"/>
  <c r="JY14" i="4"/>
  <c r="JX14" i="4"/>
  <c r="KC12" i="4"/>
  <c r="KB12" i="4"/>
  <c r="JZ12" i="4"/>
  <c r="JY12" i="4"/>
  <c r="JX12" i="4"/>
  <c r="KC4" i="4"/>
  <c r="KB4" i="4"/>
  <c r="JZ4" i="4"/>
  <c r="JY4" i="4"/>
  <c r="JX4" i="4"/>
  <c r="KC13" i="4"/>
  <c r="KB13" i="4"/>
  <c r="JZ13" i="4"/>
  <c r="JY13" i="4"/>
  <c r="JX13" i="4"/>
  <c r="KC6" i="4"/>
  <c r="KB6" i="4"/>
  <c r="JZ6" i="4"/>
  <c r="JY6" i="4"/>
  <c r="JX6" i="4"/>
  <c r="KC10" i="4"/>
  <c r="KB10" i="4"/>
  <c r="JZ10" i="4"/>
  <c r="JY10" i="4"/>
  <c r="JX10" i="4"/>
  <c r="KC11" i="4"/>
  <c r="KB11" i="4"/>
  <c r="JZ11" i="4"/>
  <c r="JY11" i="4"/>
  <c r="JX11" i="4"/>
  <c r="KC9" i="4"/>
  <c r="KB9" i="4"/>
  <c r="JZ9" i="4"/>
  <c r="JY9" i="4"/>
  <c r="JX9" i="4"/>
  <c r="KC8" i="4"/>
  <c r="KB8" i="4"/>
  <c r="JZ8" i="4"/>
  <c r="JY8" i="4"/>
  <c r="JX8" i="4"/>
  <c r="KC7" i="4"/>
  <c r="KB7" i="4"/>
  <c r="JZ7" i="4"/>
  <c r="JY7" i="4"/>
  <c r="JX7" i="4"/>
  <c r="KC5" i="4"/>
  <c r="KB5" i="4"/>
  <c r="JZ5" i="4"/>
  <c r="JY5" i="4"/>
  <c r="JX5" i="4"/>
  <c r="JG14" i="4"/>
  <c r="JF14" i="4"/>
  <c r="JD14" i="4"/>
  <c r="JC14" i="4"/>
  <c r="JB14" i="4"/>
  <c r="JG12" i="4"/>
  <c r="JF12" i="4"/>
  <c r="JD12" i="4"/>
  <c r="JC12" i="4"/>
  <c r="JB12" i="4"/>
  <c r="JG4" i="4"/>
  <c r="JF4" i="4"/>
  <c r="JD4" i="4"/>
  <c r="JC4" i="4"/>
  <c r="JB4" i="4"/>
  <c r="JG13" i="4"/>
  <c r="JF13" i="4"/>
  <c r="JD13" i="4"/>
  <c r="JC13" i="4"/>
  <c r="JB13" i="4"/>
  <c r="JG6" i="4"/>
  <c r="JF6" i="4"/>
  <c r="JD6" i="4"/>
  <c r="JC6" i="4"/>
  <c r="JB6" i="4"/>
  <c r="JG10" i="4"/>
  <c r="JF10" i="4"/>
  <c r="JD10" i="4"/>
  <c r="JC10" i="4"/>
  <c r="JB10" i="4"/>
  <c r="JG11" i="4"/>
  <c r="JF11" i="4"/>
  <c r="JD11" i="4"/>
  <c r="JC11" i="4"/>
  <c r="JB11" i="4"/>
  <c r="JG9" i="4"/>
  <c r="JF9" i="4"/>
  <c r="JD9" i="4"/>
  <c r="JC9" i="4"/>
  <c r="JB9" i="4"/>
  <c r="JG8" i="4"/>
  <c r="JF8" i="4"/>
  <c r="JD8" i="4"/>
  <c r="JC8" i="4"/>
  <c r="JB8" i="4"/>
  <c r="JG7" i="4"/>
  <c r="JF7" i="4"/>
  <c r="JD7" i="4"/>
  <c r="JC7" i="4"/>
  <c r="JB7" i="4"/>
  <c r="JG5" i="4"/>
  <c r="JF5" i="4"/>
  <c r="JD5" i="4"/>
  <c r="JC5" i="4"/>
  <c r="JB5" i="4"/>
  <c r="IK14" i="4"/>
  <c r="IJ14" i="4"/>
  <c r="IH14" i="4"/>
  <c r="IG14" i="4"/>
  <c r="IF14" i="4"/>
  <c r="IK12" i="4"/>
  <c r="IJ12" i="4"/>
  <c r="IH12" i="4"/>
  <c r="IG12" i="4"/>
  <c r="IF12" i="4"/>
  <c r="IK4" i="4"/>
  <c r="IJ4" i="4"/>
  <c r="IH4" i="4"/>
  <c r="IG4" i="4"/>
  <c r="IF4" i="4"/>
  <c r="IK13" i="4"/>
  <c r="IJ13" i="4"/>
  <c r="IH13" i="4"/>
  <c r="IG13" i="4"/>
  <c r="IF13" i="4"/>
  <c r="IK6" i="4"/>
  <c r="IJ6" i="4"/>
  <c r="IH6" i="4"/>
  <c r="IG6" i="4"/>
  <c r="IF6" i="4"/>
  <c r="IK10" i="4"/>
  <c r="IJ10" i="4"/>
  <c r="IH10" i="4"/>
  <c r="IG10" i="4"/>
  <c r="IF10" i="4"/>
  <c r="IK11" i="4"/>
  <c r="IJ11" i="4"/>
  <c r="IH11" i="4"/>
  <c r="IG11" i="4"/>
  <c r="IF11" i="4"/>
  <c r="IK9" i="4"/>
  <c r="IJ9" i="4"/>
  <c r="IH9" i="4"/>
  <c r="IG9" i="4"/>
  <c r="IF9" i="4"/>
  <c r="IK8" i="4"/>
  <c r="IJ8" i="4"/>
  <c r="IH8" i="4"/>
  <c r="IG8" i="4"/>
  <c r="IF8" i="4"/>
  <c r="IK7" i="4"/>
  <c r="IJ7" i="4"/>
  <c r="IH7" i="4"/>
  <c r="IG7" i="4"/>
  <c r="IF7" i="4"/>
  <c r="IK5" i="4"/>
  <c r="IJ5" i="4"/>
  <c r="IH5" i="4"/>
  <c r="IG5" i="4"/>
  <c r="IF5" i="4"/>
  <c r="HO14" i="4"/>
  <c r="HN14" i="4"/>
  <c r="HL14" i="4"/>
  <c r="HK14" i="4"/>
  <c r="HJ14" i="4"/>
  <c r="HO12" i="4"/>
  <c r="HN12" i="4"/>
  <c r="HL12" i="4"/>
  <c r="HK12" i="4"/>
  <c r="HJ12" i="4"/>
  <c r="HO4" i="4"/>
  <c r="HN4" i="4"/>
  <c r="HL4" i="4"/>
  <c r="HK4" i="4"/>
  <c r="HJ4" i="4"/>
  <c r="HO13" i="4"/>
  <c r="HN13" i="4"/>
  <c r="HL13" i="4"/>
  <c r="HK13" i="4"/>
  <c r="HJ13" i="4"/>
  <c r="HO6" i="4"/>
  <c r="HN6" i="4"/>
  <c r="HL6" i="4"/>
  <c r="HK6" i="4"/>
  <c r="HJ6" i="4"/>
  <c r="HO10" i="4"/>
  <c r="HN10" i="4"/>
  <c r="HL10" i="4"/>
  <c r="HK10" i="4"/>
  <c r="HJ10" i="4"/>
  <c r="HO11" i="4"/>
  <c r="HN11" i="4"/>
  <c r="HL11" i="4"/>
  <c r="HK11" i="4"/>
  <c r="HJ11" i="4"/>
  <c r="HO9" i="4"/>
  <c r="HN9" i="4"/>
  <c r="HL9" i="4"/>
  <c r="HK9" i="4"/>
  <c r="HJ9" i="4"/>
  <c r="HO8" i="4"/>
  <c r="HN8" i="4"/>
  <c r="HL8" i="4"/>
  <c r="HK8" i="4"/>
  <c r="HJ8" i="4"/>
  <c r="HO7" i="4"/>
  <c r="HN7" i="4"/>
  <c r="HL7" i="4"/>
  <c r="HK7" i="4"/>
  <c r="HJ7" i="4"/>
  <c r="HO5" i="4"/>
  <c r="HN5" i="4"/>
  <c r="HL5" i="4"/>
  <c r="HK5" i="4"/>
  <c r="HJ5" i="4"/>
  <c r="GS14" i="4"/>
  <c r="GR14" i="4"/>
  <c r="GP14" i="4"/>
  <c r="GO14" i="4"/>
  <c r="GN14" i="4"/>
  <c r="GS12" i="4"/>
  <c r="GR12" i="4"/>
  <c r="GP12" i="4"/>
  <c r="GO12" i="4"/>
  <c r="GN12" i="4"/>
  <c r="GS4" i="4"/>
  <c r="GR4" i="4"/>
  <c r="GP4" i="4"/>
  <c r="GO4" i="4"/>
  <c r="GN4" i="4"/>
  <c r="GS13" i="4"/>
  <c r="GR13" i="4"/>
  <c r="GP13" i="4"/>
  <c r="GO13" i="4"/>
  <c r="GN13" i="4"/>
  <c r="GS6" i="4"/>
  <c r="GR6" i="4"/>
  <c r="GP6" i="4"/>
  <c r="GO6" i="4"/>
  <c r="GN6" i="4"/>
  <c r="GS10" i="4"/>
  <c r="GR10" i="4"/>
  <c r="GP10" i="4"/>
  <c r="GO10" i="4"/>
  <c r="GN10" i="4"/>
  <c r="GS11" i="4"/>
  <c r="GR11" i="4"/>
  <c r="GP11" i="4"/>
  <c r="GO11" i="4"/>
  <c r="GN11" i="4"/>
  <c r="GS9" i="4"/>
  <c r="GR9" i="4"/>
  <c r="GP9" i="4"/>
  <c r="GO9" i="4"/>
  <c r="GN9" i="4"/>
  <c r="GS8" i="4"/>
  <c r="GR8" i="4"/>
  <c r="GP8" i="4"/>
  <c r="GO8" i="4"/>
  <c r="GN8" i="4"/>
  <c r="GS7" i="4"/>
  <c r="GR7" i="4"/>
  <c r="GP7" i="4"/>
  <c r="GO7" i="4"/>
  <c r="GN7" i="4"/>
  <c r="GS5" i="4"/>
  <c r="GR5" i="4"/>
  <c r="GP5" i="4"/>
  <c r="GO5" i="4"/>
  <c r="GN5" i="4"/>
  <c r="FW14" i="4"/>
  <c r="FV14" i="4"/>
  <c r="FT14" i="4"/>
  <c r="FS14" i="4"/>
  <c r="FR14" i="4"/>
  <c r="FW12" i="4"/>
  <c r="FV12" i="4"/>
  <c r="FT12" i="4"/>
  <c r="FS12" i="4"/>
  <c r="FR12" i="4"/>
  <c r="FW4" i="4"/>
  <c r="FV4" i="4"/>
  <c r="FT4" i="4"/>
  <c r="FS4" i="4"/>
  <c r="FR4" i="4"/>
  <c r="FW13" i="4"/>
  <c r="FV13" i="4"/>
  <c r="FT13" i="4"/>
  <c r="FS13" i="4"/>
  <c r="FR13" i="4"/>
  <c r="FW6" i="4"/>
  <c r="FV6" i="4"/>
  <c r="FT6" i="4"/>
  <c r="FS6" i="4"/>
  <c r="FR6" i="4"/>
  <c r="FW10" i="4"/>
  <c r="FV10" i="4"/>
  <c r="FT10" i="4"/>
  <c r="FS10" i="4"/>
  <c r="FR10" i="4"/>
  <c r="FW11" i="4"/>
  <c r="FV11" i="4"/>
  <c r="FT11" i="4"/>
  <c r="FS11" i="4"/>
  <c r="FR11" i="4"/>
  <c r="FW9" i="4"/>
  <c r="FV9" i="4"/>
  <c r="FT9" i="4"/>
  <c r="FS9" i="4"/>
  <c r="FR9" i="4"/>
  <c r="FW8" i="4"/>
  <c r="FV8" i="4"/>
  <c r="FT8" i="4"/>
  <c r="FS8" i="4"/>
  <c r="FR8" i="4"/>
  <c r="FW7" i="4"/>
  <c r="FV7" i="4"/>
  <c r="FT7" i="4"/>
  <c r="FS7" i="4"/>
  <c r="FR7" i="4"/>
  <c r="FW5" i="4"/>
  <c r="FV5" i="4"/>
  <c r="FT5" i="4"/>
  <c r="FS5" i="4"/>
  <c r="FR5" i="4"/>
  <c r="FA14" i="4"/>
  <c r="EZ14" i="4"/>
  <c r="EX14" i="4"/>
  <c r="EW14" i="4"/>
  <c r="EV14" i="4"/>
  <c r="FA12" i="4"/>
  <c r="EZ12" i="4"/>
  <c r="EX12" i="4"/>
  <c r="EW12" i="4"/>
  <c r="EV12" i="4"/>
  <c r="FA4" i="4"/>
  <c r="EZ4" i="4"/>
  <c r="EX4" i="4"/>
  <c r="EW4" i="4"/>
  <c r="EV4" i="4"/>
  <c r="FA13" i="4"/>
  <c r="EZ13" i="4"/>
  <c r="EX13" i="4"/>
  <c r="EW13" i="4"/>
  <c r="EV13" i="4"/>
  <c r="FA6" i="4"/>
  <c r="EZ6" i="4"/>
  <c r="EX6" i="4"/>
  <c r="EW6" i="4"/>
  <c r="EV6" i="4"/>
  <c r="FA10" i="4"/>
  <c r="EZ10" i="4"/>
  <c r="EX10" i="4"/>
  <c r="EW10" i="4"/>
  <c r="EV10" i="4"/>
  <c r="FA11" i="4"/>
  <c r="EZ11" i="4"/>
  <c r="EX11" i="4"/>
  <c r="EW11" i="4"/>
  <c r="EV11" i="4"/>
  <c r="FA9" i="4"/>
  <c r="EZ9" i="4"/>
  <c r="EX9" i="4"/>
  <c r="EW9" i="4"/>
  <c r="EV9" i="4"/>
  <c r="FA8" i="4"/>
  <c r="EZ8" i="4"/>
  <c r="EX8" i="4"/>
  <c r="EW8" i="4"/>
  <c r="EV8" i="4"/>
  <c r="FA7" i="4"/>
  <c r="EZ7" i="4"/>
  <c r="EX7" i="4"/>
  <c r="EW7" i="4"/>
  <c r="EV7" i="4"/>
  <c r="FA5" i="4"/>
  <c r="EZ5" i="4"/>
  <c r="EX5" i="4"/>
  <c r="EW5" i="4"/>
  <c r="EV5" i="4"/>
  <c r="EE14" i="4"/>
  <c r="ED14" i="4"/>
  <c r="EB14" i="4"/>
  <c r="EA14" i="4"/>
  <c r="DZ14" i="4"/>
  <c r="EE12" i="4"/>
  <c r="ED12" i="4"/>
  <c r="EB12" i="4"/>
  <c r="EA12" i="4"/>
  <c r="DZ12" i="4"/>
  <c r="EE4" i="4"/>
  <c r="ED4" i="4"/>
  <c r="EB4" i="4"/>
  <c r="EA4" i="4"/>
  <c r="DZ4" i="4"/>
  <c r="EE13" i="4"/>
  <c r="ED13" i="4"/>
  <c r="EB13" i="4"/>
  <c r="EA13" i="4"/>
  <c r="DZ13" i="4"/>
  <c r="EE6" i="4"/>
  <c r="ED6" i="4"/>
  <c r="EB6" i="4"/>
  <c r="EA6" i="4"/>
  <c r="DZ6" i="4"/>
  <c r="EE10" i="4"/>
  <c r="ED10" i="4"/>
  <c r="EB10" i="4"/>
  <c r="EA10" i="4"/>
  <c r="DZ10" i="4"/>
  <c r="EE11" i="4"/>
  <c r="ED11" i="4"/>
  <c r="EB11" i="4"/>
  <c r="EA11" i="4"/>
  <c r="DZ11" i="4"/>
  <c r="EE9" i="4"/>
  <c r="ED9" i="4"/>
  <c r="EB9" i="4"/>
  <c r="EA9" i="4"/>
  <c r="DZ9" i="4"/>
  <c r="EE8" i="4"/>
  <c r="ED8" i="4"/>
  <c r="EB8" i="4"/>
  <c r="EA8" i="4"/>
  <c r="DZ8" i="4"/>
  <c r="EE7" i="4"/>
  <c r="ED7" i="4"/>
  <c r="EB7" i="4"/>
  <c r="EA7" i="4"/>
  <c r="DZ7" i="4"/>
  <c r="EE5" i="4"/>
  <c r="ED5" i="4"/>
  <c r="EB5" i="4"/>
  <c r="EA5" i="4"/>
  <c r="DZ5" i="4"/>
  <c r="DI14" i="4"/>
  <c r="DH14" i="4"/>
  <c r="DF14" i="4"/>
  <c r="DE14" i="4"/>
  <c r="DD14" i="4"/>
  <c r="DI12" i="4"/>
  <c r="DH12" i="4"/>
  <c r="DF12" i="4"/>
  <c r="DE12" i="4"/>
  <c r="DD12" i="4"/>
  <c r="DI4" i="4"/>
  <c r="DH4" i="4"/>
  <c r="DF4" i="4"/>
  <c r="DE4" i="4"/>
  <c r="DD4" i="4"/>
  <c r="DI13" i="4"/>
  <c r="DH13" i="4"/>
  <c r="DF13" i="4"/>
  <c r="DE13" i="4"/>
  <c r="DD13" i="4"/>
  <c r="DI6" i="4"/>
  <c r="DH6" i="4"/>
  <c r="DF6" i="4"/>
  <c r="DE6" i="4"/>
  <c r="DD6" i="4"/>
  <c r="DI10" i="4"/>
  <c r="DH10" i="4"/>
  <c r="DF10" i="4"/>
  <c r="DE10" i="4"/>
  <c r="DD10" i="4"/>
  <c r="DI11" i="4"/>
  <c r="DH11" i="4"/>
  <c r="DF11" i="4"/>
  <c r="DE11" i="4"/>
  <c r="DD11" i="4"/>
  <c r="DI9" i="4"/>
  <c r="DH9" i="4"/>
  <c r="DF9" i="4"/>
  <c r="DE9" i="4"/>
  <c r="DD9" i="4"/>
  <c r="DI8" i="4"/>
  <c r="DH8" i="4"/>
  <c r="DF8" i="4"/>
  <c r="DE8" i="4"/>
  <c r="DD8" i="4"/>
  <c r="DI7" i="4"/>
  <c r="DH7" i="4"/>
  <c r="DF7" i="4"/>
  <c r="DE7" i="4"/>
  <c r="DD7" i="4"/>
  <c r="DI5" i="4"/>
  <c r="DH5" i="4"/>
  <c r="DF5" i="4"/>
  <c r="DE5" i="4"/>
  <c r="DD5" i="4"/>
  <c r="CA16" i="17"/>
  <c r="CB16" i="17"/>
  <c r="CC16" i="17"/>
  <c r="CD16" i="17"/>
  <c r="OB16" i="17"/>
  <c r="OC16" i="17"/>
  <c r="OD16" i="17"/>
  <c r="OE16" i="17"/>
  <c r="OF16" i="17"/>
  <c r="OH16" i="17"/>
  <c r="OI16" i="17"/>
  <c r="OJ16" i="17"/>
  <c r="OK16" i="17"/>
  <c r="OL16" i="17"/>
  <c r="OM16" i="17"/>
  <c r="ON16" i="17"/>
  <c r="OO16" i="17"/>
  <c r="OP16" i="17"/>
  <c r="OQ16" i="17"/>
  <c r="OR16" i="17"/>
  <c r="OS16" i="17"/>
  <c r="OT16" i="17"/>
  <c r="OU16" i="17"/>
  <c r="OV16" i="17"/>
  <c r="OW16" i="17"/>
  <c r="CA15" i="17"/>
  <c r="CB15" i="17"/>
  <c r="CC15" i="17"/>
  <c r="CD15" i="17"/>
  <c r="OB15" i="17"/>
  <c r="OC15" i="17"/>
  <c r="OD15" i="17"/>
  <c r="OE15" i="17"/>
  <c r="OF15" i="17"/>
  <c r="OH15" i="17"/>
  <c r="OI15" i="17"/>
  <c r="OJ15" i="17"/>
  <c r="OK15" i="17"/>
  <c r="OL15" i="17"/>
  <c r="OM15" i="17"/>
  <c r="ON15" i="17"/>
  <c r="OO15" i="17"/>
  <c r="OP15" i="17"/>
  <c r="OQ15" i="17"/>
  <c r="OR15" i="17"/>
  <c r="OS15" i="17"/>
  <c r="OT15" i="17"/>
  <c r="OU15" i="17"/>
  <c r="OV15" i="17"/>
  <c r="OW15" i="17"/>
  <c r="CA11" i="17"/>
  <c r="CB11" i="17"/>
  <c r="CC11" i="17"/>
  <c r="CD11" i="17"/>
  <c r="OB11" i="17"/>
  <c r="OC11" i="17"/>
  <c r="OD11" i="17"/>
  <c r="OE11" i="17"/>
  <c r="OF11" i="17"/>
  <c r="OH11" i="17"/>
  <c r="OI11" i="17"/>
  <c r="OJ11" i="17"/>
  <c r="OK11" i="17"/>
  <c r="OL11" i="17"/>
  <c r="OM11" i="17"/>
  <c r="ON11" i="17"/>
  <c r="OO11" i="17"/>
  <c r="OP11" i="17"/>
  <c r="OQ11" i="17"/>
  <c r="OR11" i="17"/>
  <c r="OS11" i="17"/>
  <c r="OT11" i="17"/>
  <c r="OU11" i="17"/>
  <c r="OV11" i="17"/>
  <c r="OW11" i="17"/>
  <c r="CA14" i="17"/>
  <c r="CB14" i="17"/>
  <c r="CC14" i="17"/>
  <c r="CD14" i="17"/>
  <c r="OB14" i="17"/>
  <c r="OC14" i="17"/>
  <c r="OD14" i="17"/>
  <c r="OE14" i="17"/>
  <c r="OF14" i="17"/>
  <c r="OH14" i="17"/>
  <c r="OI14" i="17"/>
  <c r="OJ14" i="17"/>
  <c r="OK14" i="17"/>
  <c r="OL14" i="17"/>
  <c r="OM14" i="17"/>
  <c r="ON14" i="17"/>
  <c r="OO14" i="17"/>
  <c r="OP14" i="17"/>
  <c r="OQ14" i="17"/>
  <c r="OR14" i="17"/>
  <c r="OS14" i="17"/>
  <c r="OT14" i="17"/>
  <c r="OU14" i="17"/>
  <c r="OV14" i="17"/>
  <c r="OW14" i="17"/>
  <c r="CA11" i="16"/>
  <c r="CB11" i="16"/>
  <c r="CC11" i="16"/>
  <c r="CD11" i="16"/>
  <c r="OB11" i="16"/>
  <c r="OC11" i="16"/>
  <c r="OD11" i="16"/>
  <c r="OE11" i="16"/>
  <c r="OF11" i="16"/>
  <c r="OH11" i="16"/>
  <c r="OI11" i="16"/>
  <c r="OJ11" i="16"/>
  <c r="OK11" i="16"/>
  <c r="OL11" i="16"/>
  <c r="OM11" i="16"/>
  <c r="ON11" i="16"/>
  <c r="OO11" i="16"/>
  <c r="OP11" i="16"/>
  <c r="OQ11" i="16"/>
  <c r="OR11" i="16"/>
  <c r="OS11" i="16"/>
  <c r="OT11" i="16"/>
  <c r="OU11" i="16"/>
  <c r="OV11" i="16"/>
  <c r="OW11" i="16"/>
  <c r="CA13" i="16"/>
  <c r="CB13" i="16"/>
  <c r="CC13" i="16"/>
  <c r="CD13" i="16"/>
  <c r="OB13" i="16"/>
  <c r="OC13" i="16"/>
  <c r="OD13" i="16"/>
  <c r="OE13" i="16"/>
  <c r="OF13" i="16"/>
  <c r="OH13" i="16"/>
  <c r="OI13" i="16"/>
  <c r="OJ13" i="16"/>
  <c r="OK13" i="16"/>
  <c r="OL13" i="16"/>
  <c r="OM13" i="16"/>
  <c r="ON13" i="16"/>
  <c r="OO13" i="16"/>
  <c r="OP13" i="16"/>
  <c r="OQ13" i="16"/>
  <c r="OR13" i="16"/>
  <c r="OS13" i="16"/>
  <c r="OT13" i="16"/>
  <c r="OU13" i="16"/>
  <c r="OV13" i="16"/>
  <c r="OW13" i="16"/>
  <c r="CA9" i="16"/>
  <c r="CB9" i="16"/>
  <c r="CC9" i="16"/>
  <c r="CD9" i="16"/>
  <c r="OB9" i="16"/>
  <c r="OC9" i="16"/>
  <c r="OD9" i="16"/>
  <c r="OE9" i="16"/>
  <c r="OF9" i="16"/>
  <c r="OH9" i="16"/>
  <c r="OI9" i="16"/>
  <c r="OJ9" i="16"/>
  <c r="OK9" i="16"/>
  <c r="OL9" i="16"/>
  <c r="OM9" i="16"/>
  <c r="ON9" i="16"/>
  <c r="OO9" i="16"/>
  <c r="OP9" i="16"/>
  <c r="OQ9" i="16"/>
  <c r="OR9" i="16"/>
  <c r="OS9" i="16"/>
  <c r="OT9" i="16"/>
  <c r="OU9" i="16"/>
  <c r="OV9" i="16"/>
  <c r="OW9" i="16"/>
  <c r="CA7" i="16"/>
  <c r="CB7" i="16"/>
  <c r="CC7" i="16"/>
  <c r="CD7" i="16"/>
  <c r="OB7" i="16"/>
  <c r="OC7" i="16"/>
  <c r="OD7" i="16"/>
  <c r="OE7" i="16"/>
  <c r="OF7" i="16"/>
  <c r="OH7" i="16"/>
  <c r="OI7" i="16"/>
  <c r="OJ7" i="16"/>
  <c r="OK7" i="16"/>
  <c r="OL7" i="16"/>
  <c r="OM7" i="16"/>
  <c r="ON7" i="16"/>
  <c r="OO7" i="16"/>
  <c r="OP7" i="16"/>
  <c r="OQ7" i="16"/>
  <c r="OR7" i="16"/>
  <c r="OS7" i="16"/>
  <c r="OT7" i="16"/>
  <c r="OU7" i="16"/>
  <c r="OV7" i="16"/>
  <c r="OW7" i="16"/>
  <c r="CA6" i="15"/>
  <c r="CB6" i="15"/>
  <c r="CC6" i="15"/>
  <c r="CD6" i="15"/>
  <c r="OB6" i="15"/>
  <c r="OC6" i="15"/>
  <c r="OD6" i="15"/>
  <c r="OE6" i="15"/>
  <c r="OF6" i="15"/>
  <c r="OH6" i="15"/>
  <c r="OI6" i="15"/>
  <c r="OJ6" i="15"/>
  <c r="OK6" i="15"/>
  <c r="OL6" i="15"/>
  <c r="OM6" i="15"/>
  <c r="ON6" i="15"/>
  <c r="OO6" i="15"/>
  <c r="OP6" i="15"/>
  <c r="OQ6" i="15"/>
  <c r="OR6" i="15"/>
  <c r="OS6" i="15"/>
  <c r="OT6" i="15"/>
  <c r="OU6" i="15"/>
  <c r="OV6" i="15"/>
  <c r="OW6" i="15"/>
  <c r="CA8" i="15"/>
  <c r="CB8" i="15"/>
  <c r="CC8" i="15"/>
  <c r="CD8" i="15"/>
  <c r="OB8" i="15"/>
  <c r="OC8" i="15"/>
  <c r="OD8" i="15"/>
  <c r="OE8" i="15"/>
  <c r="OF8" i="15"/>
  <c r="OH8" i="15"/>
  <c r="OI8" i="15"/>
  <c r="OJ8" i="15"/>
  <c r="OK8" i="15"/>
  <c r="OL8" i="15"/>
  <c r="OM8" i="15"/>
  <c r="ON8" i="15"/>
  <c r="OO8" i="15"/>
  <c r="OP8" i="15"/>
  <c r="OQ8" i="15"/>
  <c r="OR8" i="15"/>
  <c r="OS8" i="15"/>
  <c r="OT8" i="15"/>
  <c r="OU8" i="15"/>
  <c r="OV8" i="15"/>
  <c r="OW8" i="15"/>
  <c r="CA4" i="14"/>
  <c r="CB4" i="14"/>
  <c r="CC4" i="14"/>
  <c r="CD4" i="14"/>
  <c r="OB4" i="14"/>
  <c r="OC4" i="14"/>
  <c r="OD4" i="14"/>
  <c r="OE4" i="14"/>
  <c r="OF4" i="14"/>
  <c r="OH4" i="14"/>
  <c r="OI4" i="14"/>
  <c r="OJ4" i="14"/>
  <c r="OK4" i="14"/>
  <c r="OL4" i="14"/>
  <c r="OM4" i="14"/>
  <c r="ON4" i="14"/>
  <c r="OO4" i="14"/>
  <c r="OP4" i="14"/>
  <c r="OQ4" i="14"/>
  <c r="OR4" i="14"/>
  <c r="OS4" i="14"/>
  <c r="OT4" i="14"/>
  <c r="OU4" i="14"/>
  <c r="OV4" i="14"/>
  <c r="OW4" i="14"/>
  <c r="CD11" i="13"/>
  <c r="CE11" i="13"/>
  <c r="CF11" i="13"/>
  <c r="CH11" i="13"/>
  <c r="CI11" i="13"/>
  <c r="ML11" i="13"/>
  <c r="MM11" i="13"/>
  <c r="MN11" i="13"/>
  <c r="MP11" i="13"/>
  <c r="MQ11" i="13"/>
  <c r="MS11" i="13"/>
  <c r="MT11" i="13"/>
  <c r="MU11" i="13"/>
  <c r="MV11" i="13"/>
  <c r="MW11" i="13"/>
  <c r="MX11" i="13"/>
  <c r="MY11" i="13"/>
  <c r="MZ11" i="13"/>
  <c r="NJ11" i="13" s="1"/>
  <c r="NA11" i="13"/>
  <c r="NB11" i="13"/>
  <c r="NC11" i="13"/>
  <c r="ND11" i="13"/>
  <c r="NE11" i="13"/>
  <c r="NM11" i="13" s="1"/>
  <c r="NF11" i="13"/>
  <c r="NG11" i="13"/>
  <c r="CH10" i="4"/>
  <c r="CI10" i="4"/>
  <c r="ML10" i="4"/>
  <c r="MM10" i="4"/>
  <c r="MN10" i="4"/>
  <c r="MP10" i="4"/>
  <c r="MQ10" i="4"/>
  <c r="NC10" i="4"/>
  <c r="ND10" i="4"/>
  <c r="NE10" i="4"/>
  <c r="NM10" i="4" s="1"/>
  <c r="NF10" i="4"/>
  <c r="NG10" i="4"/>
  <c r="CH6" i="4"/>
  <c r="CI6" i="4"/>
  <c r="ML6" i="4"/>
  <c r="MM6" i="4"/>
  <c r="MN6" i="4"/>
  <c r="MP6" i="4"/>
  <c r="MQ6" i="4"/>
  <c r="NC6" i="4"/>
  <c r="ND6" i="4"/>
  <c r="NE6" i="4"/>
  <c r="NM6" i="4" s="1"/>
  <c r="NF6" i="4"/>
  <c r="NG6" i="4"/>
  <c r="CH9" i="4"/>
  <c r="CI9" i="4"/>
  <c r="ML9" i="4"/>
  <c r="MM9" i="4"/>
  <c r="MN9" i="4"/>
  <c r="MP9" i="4"/>
  <c r="MQ9" i="4"/>
  <c r="NC9" i="4"/>
  <c r="ND9" i="4"/>
  <c r="NE9" i="4"/>
  <c r="NM9" i="4" s="1"/>
  <c r="NF9" i="4"/>
  <c r="NG9" i="4"/>
  <c r="CH4" i="4"/>
  <c r="CI4" i="4"/>
  <c r="ML4" i="4"/>
  <c r="MM4" i="4"/>
  <c r="MN4" i="4"/>
  <c r="MP4" i="4"/>
  <c r="MQ4" i="4"/>
  <c r="NC4" i="4"/>
  <c r="ND4" i="4"/>
  <c r="NE4" i="4"/>
  <c r="NM4" i="4" s="1"/>
  <c r="NF4" i="4"/>
  <c r="NG4" i="4"/>
  <c r="CH12" i="4"/>
  <c r="CI12" i="4"/>
  <c r="ML12" i="4"/>
  <c r="MM12" i="4"/>
  <c r="MN12" i="4"/>
  <c r="MP12" i="4"/>
  <c r="MQ12" i="4"/>
  <c r="NC12" i="4"/>
  <c r="ND12" i="4"/>
  <c r="NE12" i="4"/>
  <c r="NM12" i="4" s="1"/>
  <c r="NF12" i="4"/>
  <c r="NG12" i="4"/>
  <c r="CD14" i="4"/>
  <c r="CE14" i="4"/>
  <c r="CF14" i="4"/>
  <c r="CH14" i="4"/>
  <c r="CI14" i="4"/>
  <c r="ML14" i="4"/>
  <c r="MM14" i="4"/>
  <c r="MN14" i="4"/>
  <c r="MP14" i="4"/>
  <c r="MQ14" i="4"/>
  <c r="MS14" i="4"/>
  <c r="MT14" i="4"/>
  <c r="MU14" i="4"/>
  <c r="MV14" i="4"/>
  <c r="MW14" i="4"/>
  <c r="MX14" i="4"/>
  <c r="MY14" i="4"/>
  <c r="MZ14" i="4"/>
  <c r="NJ14" i="4" s="1"/>
  <c r="NA14" i="4"/>
  <c r="NB14" i="4"/>
  <c r="NC14" i="4"/>
  <c r="ND14" i="4"/>
  <c r="NE14" i="4"/>
  <c r="NM14" i="4" s="1"/>
  <c r="NF14" i="4"/>
  <c r="NG14" i="4"/>
  <c r="CA13" i="17"/>
  <c r="CB13" i="17"/>
  <c r="CC13" i="17"/>
  <c r="CD13" i="17"/>
  <c r="OB13" i="17"/>
  <c r="OC13" i="17"/>
  <c r="OD13" i="17"/>
  <c r="OE13" i="17"/>
  <c r="OF13" i="17"/>
  <c r="OH13" i="17"/>
  <c r="OI13" i="17"/>
  <c r="OJ13" i="17"/>
  <c r="OK13" i="17"/>
  <c r="OL13" i="17"/>
  <c r="OM13" i="17"/>
  <c r="ON13" i="17"/>
  <c r="OO13" i="17"/>
  <c r="OP13" i="17"/>
  <c r="OQ13" i="17"/>
  <c r="OR13" i="17"/>
  <c r="OS13" i="17"/>
  <c r="OT13" i="17"/>
  <c r="OU13" i="17"/>
  <c r="OV13" i="17"/>
  <c r="OW13" i="17"/>
  <c r="CA10" i="17"/>
  <c r="CB10" i="17"/>
  <c r="CC10" i="17"/>
  <c r="CD10" i="17"/>
  <c r="OB10" i="17"/>
  <c r="OC10" i="17"/>
  <c r="OD10" i="17"/>
  <c r="OE10" i="17"/>
  <c r="OF10" i="17"/>
  <c r="OH10" i="17"/>
  <c r="OI10" i="17"/>
  <c r="OJ10" i="17"/>
  <c r="OK10" i="17"/>
  <c r="OL10" i="17"/>
  <c r="OM10" i="17"/>
  <c r="ON10" i="17"/>
  <c r="OO10" i="17"/>
  <c r="OP10" i="17"/>
  <c r="OQ10" i="17"/>
  <c r="OR10" i="17"/>
  <c r="OS10" i="17"/>
  <c r="OT10" i="17"/>
  <c r="OU10" i="17"/>
  <c r="OV10" i="17"/>
  <c r="OW10" i="17"/>
  <c r="CA9" i="17"/>
  <c r="CB9" i="17"/>
  <c r="CC9" i="17"/>
  <c r="CD9" i="17"/>
  <c r="OB9" i="17"/>
  <c r="OC9" i="17"/>
  <c r="OD9" i="17"/>
  <c r="OE9" i="17"/>
  <c r="OF9" i="17"/>
  <c r="OH9" i="17"/>
  <c r="OI9" i="17"/>
  <c r="OJ9" i="17"/>
  <c r="OK9" i="17"/>
  <c r="OL9" i="17"/>
  <c r="OM9" i="17"/>
  <c r="ON9" i="17"/>
  <c r="OO9" i="17"/>
  <c r="OP9" i="17"/>
  <c r="OQ9" i="17"/>
  <c r="OR9" i="17"/>
  <c r="OS9" i="17"/>
  <c r="OT9" i="17"/>
  <c r="OU9" i="17"/>
  <c r="OV9" i="17"/>
  <c r="OW9" i="17"/>
  <c r="CA8" i="17"/>
  <c r="CB8" i="17"/>
  <c r="CC8" i="17"/>
  <c r="CD8" i="17"/>
  <c r="OB8" i="17"/>
  <c r="OC8" i="17"/>
  <c r="OD8" i="17"/>
  <c r="OE8" i="17"/>
  <c r="OF8" i="17"/>
  <c r="OH8" i="17"/>
  <c r="OI8" i="17"/>
  <c r="OJ8" i="17"/>
  <c r="OK8" i="17"/>
  <c r="OL8" i="17"/>
  <c r="OM8" i="17"/>
  <c r="ON8" i="17"/>
  <c r="OO8" i="17"/>
  <c r="OP8" i="17"/>
  <c r="OQ8" i="17"/>
  <c r="OR8" i="17"/>
  <c r="OS8" i="17"/>
  <c r="OT8" i="17"/>
  <c r="OU8" i="17"/>
  <c r="OV8" i="17"/>
  <c r="OW8" i="17"/>
  <c r="CA12" i="17"/>
  <c r="CB12" i="17"/>
  <c r="CC12" i="17"/>
  <c r="CD12" i="17"/>
  <c r="OB12" i="17"/>
  <c r="OC12" i="17"/>
  <c r="OD12" i="17"/>
  <c r="OE12" i="17"/>
  <c r="OF12" i="17"/>
  <c r="OH12" i="17"/>
  <c r="OI12" i="17"/>
  <c r="OJ12" i="17"/>
  <c r="OK12" i="17"/>
  <c r="OL12" i="17"/>
  <c r="OM12" i="17"/>
  <c r="ON12" i="17"/>
  <c r="OO12" i="17"/>
  <c r="OP12" i="17"/>
  <c r="OQ12" i="17"/>
  <c r="OR12" i="17"/>
  <c r="OS12" i="17"/>
  <c r="OT12" i="17"/>
  <c r="OU12" i="17"/>
  <c r="OV12" i="17"/>
  <c r="OW12" i="17"/>
  <c r="CA6" i="17"/>
  <c r="CB6" i="17"/>
  <c r="CC6" i="17"/>
  <c r="CD6" i="17"/>
  <c r="OB6" i="17"/>
  <c r="OC6" i="17"/>
  <c r="OD6" i="17"/>
  <c r="OE6" i="17"/>
  <c r="OF6" i="17"/>
  <c r="OH6" i="17"/>
  <c r="OI6" i="17"/>
  <c r="OJ6" i="17"/>
  <c r="OK6" i="17"/>
  <c r="OL6" i="17"/>
  <c r="OM6" i="17"/>
  <c r="ON6" i="17"/>
  <c r="OO6" i="17"/>
  <c r="OP6" i="17"/>
  <c r="OQ6" i="17"/>
  <c r="OR6" i="17"/>
  <c r="OS6" i="17"/>
  <c r="OT6" i="17"/>
  <c r="OU6" i="17"/>
  <c r="OV6" i="17"/>
  <c r="OW6" i="17"/>
  <c r="CA6" i="16"/>
  <c r="CB6" i="16"/>
  <c r="CC6" i="16"/>
  <c r="CD6" i="16"/>
  <c r="OB6" i="16"/>
  <c r="OC6" i="16"/>
  <c r="OD6" i="16"/>
  <c r="OE6" i="16"/>
  <c r="OF6" i="16"/>
  <c r="OH6" i="16"/>
  <c r="OI6" i="16"/>
  <c r="OJ6" i="16"/>
  <c r="OK6" i="16"/>
  <c r="OL6" i="16"/>
  <c r="OM6" i="16"/>
  <c r="ON6" i="16"/>
  <c r="OO6" i="16"/>
  <c r="OP6" i="16"/>
  <c r="OQ6" i="16"/>
  <c r="OR6" i="16"/>
  <c r="OS6" i="16"/>
  <c r="OT6" i="16"/>
  <c r="OU6" i="16"/>
  <c r="OV6" i="16"/>
  <c r="OW6" i="16"/>
  <c r="CA5" i="16"/>
  <c r="CB5" i="16"/>
  <c r="CC5" i="16"/>
  <c r="CD5" i="16"/>
  <c r="OB5" i="16"/>
  <c r="OC5" i="16"/>
  <c r="OD5" i="16"/>
  <c r="OE5" i="16"/>
  <c r="OF5" i="16"/>
  <c r="OH5" i="16"/>
  <c r="OI5" i="16"/>
  <c r="OJ5" i="16"/>
  <c r="OK5" i="16"/>
  <c r="OL5" i="16"/>
  <c r="OM5" i="16"/>
  <c r="ON5" i="16"/>
  <c r="OO5" i="16"/>
  <c r="OP5" i="16"/>
  <c r="OQ5" i="16"/>
  <c r="OR5" i="16"/>
  <c r="OS5" i="16"/>
  <c r="OT5" i="16"/>
  <c r="OU5" i="16"/>
  <c r="OV5" i="16"/>
  <c r="OW5" i="16"/>
  <c r="CA12" i="16"/>
  <c r="CB12" i="16"/>
  <c r="CC12" i="16"/>
  <c r="CD12" i="16"/>
  <c r="OB12" i="16"/>
  <c r="OC12" i="16"/>
  <c r="OD12" i="16"/>
  <c r="OE12" i="16"/>
  <c r="OF12" i="16"/>
  <c r="OH12" i="16"/>
  <c r="OI12" i="16"/>
  <c r="OJ12" i="16"/>
  <c r="OK12" i="16"/>
  <c r="OL12" i="16"/>
  <c r="OM12" i="16"/>
  <c r="ON12" i="16"/>
  <c r="OO12" i="16"/>
  <c r="OP12" i="16"/>
  <c r="OQ12" i="16"/>
  <c r="OR12" i="16"/>
  <c r="OS12" i="16"/>
  <c r="OT12" i="16"/>
  <c r="OU12" i="16"/>
  <c r="OV12" i="16"/>
  <c r="OW12" i="16"/>
  <c r="CA4" i="16"/>
  <c r="CB4" i="16"/>
  <c r="CC4" i="16"/>
  <c r="CD4" i="16"/>
  <c r="OB4" i="16"/>
  <c r="OC4" i="16"/>
  <c r="OD4" i="16"/>
  <c r="OE4" i="16"/>
  <c r="OF4" i="16"/>
  <c r="OH4" i="16"/>
  <c r="OI4" i="16"/>
  <c r="OJ4" i="16"/>
  <c r="OK4" i="16"/>
  <c r="OL4" i="16"/>
  <c r="OM4" i="16"/>
  <c r="ON4" i="16"/>
  <c r="OO4" i="16"/>
  <c r="OP4" i="16"/>
  <c r="OQ4" i="16"/>
  <c r="OR4" i="16"/>
  <c r="OS4" i="16"/>
  <c r="OT4" i="16"/>
  <c r="OU4" i="16"/>
  <c r="OV4" i="16"/>
  <c r="OW4" i="16"/>
  <c r="CA8" i="16"/>
  <c r="CB8" i="16"/>
  <c r="CC8" i="16"/>
  <c r="CD8" i="16"/>
  <c r="OB8" i="16"/>
  <c r="OC8" i="16"/>
  <c r="OD8" i="16"/>
  <c r="OE8" i="16"/>
  <c r="OF8" i="16"/>
  <c r="OH8" i="16"/>
  <c r="OI8" i="16"/>
  <c r="OJ8" i="16"/>
  <c r="OK8" i="16"/>
  <c r="OL8" i="16"/>
  <c r="OM8" i="16"/>
  <c r="ON8" i="16"/>
  <c r="OO8" i="16"/>
  <c r="OP8" i="16"/>
  <c r="OQ8" i="16"/>
  <c r="OR8" i="16"/>
  <c r="OS8" i="16"/>
  <c r="OT8" i="16"/>
  <c r="OU8" i="16"/>
  <c r="OV8" i="16"/>
  <c r="OW8" i="16"/>
  <c r="CA14" i="16"/>
  <c r="CB14" i="16"/>
  <c r="CC14" i="16"/>
  <c r="CD14" i="16"/>
  <c r="OB14" i="16"/>
  <c r="OC14" i="16"/>
  <c r="OD14" i="16"/>
  <c r="OE14" i="16"/>
  <c r="OF14" i="16"/>
  <c r="OH14" i="16"/>
  <c r="OI14" i="16"/>
  <c r="OJ14" i="16"/>
  <c r="OK14" i="16"/>
  <c r="OL14" i="16"/>
  <c r="OM14" i="16"/>
  <c r="ON14" i="16"/>
  <c r="OO14" i="16"/>
  <c r="OP14" i="16"/>
  <c r="OQ14" i="16"/>
  <c r="OR14" i="16"/>
  <c r="OS14" i="16"/>
  <c r="OT14" i="16"/>
  <c r="OU14" i="16"/>
  <c r="OV14" i="16"/>
  <c r="OW14" i="16"/>
  <c r="CA10" i="16"/>
  <c r="CB10" i="16"/>
  <c r="CC10" i="16"/>
  <c r="CD10" i="16"/>
  <c r="OB10" i="16"/>
  <c r="OC10" i="16"/>
  <c r="OD10" i="16"/>
  <c r="OE10" i="16"/>
  <c r="OF10" i="16"/>
  <c r="OH10" i="16"/>
  <c r="OI10" i="16"/>
  <c r="OJ10" i="16"/>
  <c r="OK10" i="16"/>
  <c r="OL10" i="16"/>
  <c r="OM10" i="16"/>
  <c r="ON10" i="16"/>
  <c r="OO10" i="16"/>
  <c r="OP10" i="16"/>
  <c r="OQ10" i="16"/>
  <c r="OR10" i="16"/>
  <c r="OS10" i="16"/>
  <c r="OT10" i="16"/>
  <c r="OU10" i="16"/>
  <c r="OV10" i="16"/>
  <c r="OW10" i="16"/>
  <c r="CA5" i="15"/>
  <c r="CB5" i="15"/>
  <c r="CE5" i="15" s="1"/>
  <c r="CC5" i="15"/>
  <c r="CD5" i="15"/>
  <c r="OB5" i="15"/>
  <c r="OC5" i="15"/>
  <c r="OD5" i="15"/>
  <c r="OE5" i="15"/>
  <c r="OF5" i="15"/>
  <c r="OH5" i="15"/>
  <c r="OI5" i="15"/>
  <c r="OJ5" i="15"/>
  <c r="OK5" i="15"/>
  <c r="OL5" i="15"/>
  <c r="OM5" i="15"/>
  <c r="ON5" i="15"/>
  <c r="OO5" i="15"/>
  <c r="OP5" i="15"/>
  <c r="OQ5" i="15"/>
  <c r="OR5" i="15"/>
  <c r="OS5" i="15"/>
  <c r="OT5" i="15"/>
  <c r="OU5" i="15"/>
  <c r="OV5" i="15"/>
  <c r="OW5" i="15"/>
  <c r="CA7" i="15"/>
  <c r="CB7" i="15"/>
  <c r="CC7" i="15"/>
  <c r="CD7" i="15"/>
  <c r="OB7" i="15"/>
  <c r="OC7" i="15"/>
  <c r="OD7" i="15"/>
  <c r="OE7" i="15"/>
  <c r="OF7" i="15"/>
  <c r="OH7" i="15"/>
  <c r="OI7" i="15"/>
  <c r="OJ7" i="15"/>
  <c r="OK7" i="15"/>
  <c r="OL7" i="15"/>
  <c r="OM7" i="15"/>
  <c r="ON7" i="15"/>
  <c r="OO7" i="15"/>
  <c r="OP7" i="15"/>
  <c r="OQ7" i="15"/>
  <c r="OR7" i="15"/>
  <c r="OS7" i="15"/>
  <c r="OT7" i="15"/>
  <c r="OU7" i="15"/>
  <c r="OV7" i="15"/>
  <c r="OW7" i="15"/>
  <c r="CD10" i="13"/>
  <c r="CE10" i="13"/>
  <c r="CF10" i="13"/>
  <c r="CH10" i="13"/>
  <c r="CI10" i="13"/>
  <c r="ML10" i="13"/>
  <c r="MM10" i="13"/>
  <c r="MN10" i="13"/>
  <c r="MP10" i="13"/>
  <c r="MQ10" i="13"/>
  <c r="MS10" i="13"/>
  <c r="MT10" i="13"/>
  <c r="MU10" i="13"/>
  <c r="MV10" i="13"/>
  <c r="MW10" i="13"/>
  <c r="MX10" i="13"/>
  <c r="MY10" i="13"/>
  <c r="MZ10" i="13"/>
  <c r="NJ10" i="13" s="1"/>
  <c r="NA10" i="13"/>
  <c r="NB10" i="13"/>
  <c r="NC10" i="13"/>
  <c r="ND10" i="13"/>
  <c r="NE10" i="13"/>
  <c r="NM10" i="13" s="1"/>
  <c r="NF10" i="13"/>
  <c r="NG10" i="13"/>
  <c r="CD8" i="13"/>
  <c r="CE8" i="13"/>
  <c r="CF8" i="13"/>
  <c r="CH8" i="13"/>
  <c r="CI8" i="13"/>
  <c r="ML8" i="13"/>
  <c r="MM8" i="13"/>
  <c r="MN8" i="13"/>
  <c r="MP8" i="13"/>
  <c r="MQ8" i="13"/>
  <c r="MS8" i="13"/>
  <c r="MT8" i="13"/>
  <c r="MU8" i="13"/>
  <c r="MV8" i="13"/>
  <c r="MW8" i="13"/>
  <c r="MX8" i="13"/>
  <c r="MY8" i="13"/>
  <c r="MZ8" i="13"/>
  <c r="NJ8" i="13" s="1"/>
  <c r="NA8" i="13"/>
  <c r="NB8" i="13"/>
  <c r="NC8" i="13"/>
  <c r="ND8" i="13"/>
  <c r="NE8" i="13"/>
  <c r="NM8" i="13" s="1"/>
  <c r="NF8" i="13"/>
  <c r="NG8" i="13"/>
  <c r="CD4" i="13"/>
  <c r="CE4" i="13"/>
  <c r="CF4" i="13"/>
  <c r="CH4" i="13"/>
  <c r="CI4" i="13"/>
  <c r="ML4" i="13"/>
  <c r="MM4" i="13"/>
  <c r="MN4" i="13"/>
  <c r="MP4" i="13"/>
  <c r="MQ4" i="13"/>
  <c r="MS4" i="13"/>
  <c r="MT4" i="13"/>
  <c r="MU4" i="13"/>
  <c r="MV4" i="13"/>
  <c r="MW4" i="13"/>
  <c r="MX4" i="13"/>
  <c r="MY4" i="13"/>
  <c r="MZ4" i="13"/>
  <c r="NJ4" i="13" s="1"/>
  <c r="NA4" i="13"/>
  <c r="NB4" i="13"/>
  <c r="NC4" i="13"/>
  <c r="ND4" i="13"/>
  <c r="NE4" i="13"/>
  <c r="NM4" i="13" s="1"/>
  <c r="NF4" i="13"/>
  <c r="NG4" i="13"/>
  <c r="CD9" i="13"/>
  <c r="CE9" i="13"/>
  <c r="CF9" i="13"/>
  <c r="CH9" i="13"/>
  <c r="CI9" i="13"/>
  <c r="ML9" i="13"/>
  <c r="MM9" i="13"/>
  <c r="MN9" i="13"/>
  <c r="MP9" i="13"/>
  <c r="MQ9" i="13"/>
  <c r="MS9" i="13"/>
  <c r="MT9" i="13"/>
  <c r="MU9" i="13"/>
  <c r="MV9" i="13"/>
  <c r="MW9" i="13"/>
  <c r="MX9" i="13"/>
  <c r="MY9" i="13"/>
  <c r="MZ9" i="13"/>
  <c r="NJ9" i="13" s="1"/>
  <c r="NA9" i="13"/>
  <c r="NB9" i="13"/>
  <c r="NC9" i="13"/>
  <c r="ND9" i="13"/>
  <c r="NE9" i="13"/>
  <c r="NM9" i="13" s="1"/>
  <c r="NF9" i="13"/>
  <c r="NG9" i="13"/>
  <c r="CH13" i="4"/>
  <c r="CI13" i="4"/>
  <c r="ML13" i="4"/>
  <c r="MM13" i="4"/>
  <c r="MN13" i="4"/>
  <c r="MP13" i="4"/>
  <c r="MQ13" i="4"/>
  <c r="NC13" i="4"/>
  <c r="ND13" i="4"/>
  <c r="NE13" i="4"/>
  <c r="NM13" i="4" s="1"/>
  <c r="NF13" i="4"/>
  <c r="NG13" i="4"/>
  <c r="CH7" i="4"/>
  <c r="CI7" i="4"/>
  <c r="ML7" i="4"/>
  <c r="MM7" i="4"/>
  <c r="MN7" i="4"/>
  <c r="MP7" i="4"/>
  <c r="MQ7" i="4"/>
  <c r="NC7" i="4"/>
  <c r="ND7" i="4"/>
  <c r="NE7" i="4"/>
  <c r="NM7" i="4" s="1"/>
  <c r="NF7" i="4"/>
  <c r="NG7" i="4"/>
  <c r="CH8" i="4"/>
  <c r="CI8" i="4"/>
  <c r="ML8" i="4"/>
  <c r="MM8" i="4"/>
  <c r="MN8" i="4"/>
  <c r="MP8" i="4"/>
  <c r="MQ8" i="4"/>
  <c r="NC8" i="4"/>
  <c r="ND8" i="4"/>
  <c r="NE8" i="4"/>
  <c r="NM8" i="4" s="1"/>
  <c r="NF8" i="4"/>
  <c r="NG8" i="4"/>
  <c r="CH11" i="4"/>
  <c r="CI11" i="4"/>
  <c r="ML11" i="4"/>
  <c r="MM11" i="4"/>
  <c r="MN11" i="4"/>
  <c r="MP11" i="4"/>
  <c r="MQ11" i="4"/>
  <c r="NC11" i="4"/>
  <c r="ND11" i="4"/>
  <c r="NE11" i="4"/>
  <c r="NM11" i="4" s="1"/>
  <c r="NF11" i="4"/>
  <c r="NG11" i="4"/>
  <c r="KW7" i="13" l="1"/>
  <c r="KZ7" i="13" s="1"/>
  <c r="LS10" i="13"/>
  <c r="LV10" i="13" s="1"/>
  <c r="AM5" i="14"/>
  <c r="DG9" i="13"/>
  <c r="EY5" i="13"/>
  <c r="GQ6" i="13"/>
  <c r="GT6" i="13" s="1"/>
  <c r="JE9" i="13"/>
  <c r="KW5" i="13"/>
  <c r="CE16" i="17"/>
  <c r="AM7" i="16"/>
  <c r="BI5" i="16"/>
  <c r="BI13" i="16"/>
  <c r="AM4" i="15"/>
  <c r="BI5" i="15"/>
  <c r="BI8" i="15"/>
  <c r="BI4" i="14"/>
  <c r="CE4" i="14"/>
  <c r="BJ10" i="13"/>
  <c r="HM11" i="13"/>
  <c r="BJ5" i="13"/>
  <c r="BM5" i="13" s="1"/>
  <c r="EY7" i="13"/>
  <c r="FB7" i="13" s="1"/>
  <c r="FU10" i="13"/>
  <c r="FX10" i="13" s="1"/>
  <c r="AM8" i="4"/>
  <c r="BJ6" i="4"/>
  <c r="BM6" i="4" s="1"/>
  <c r="BJ5" i="4"/>
  <c r="BM5" i="4" s="1"/>
  <c r="CE10" i="17"/>
  <c r="AM16" i="17"/>
  <c r="BI6" i="17"/>
  <c r="AM5" i="17"/>
  <c r="CE12" i="17"/>
  <c r="CE14" i="17"/>
  <c r="CE13" i="17"/>
  <c r="AM10" i="17"/>
  <c r="BI12" i="17"/>
  <c r="IG10" i="17"/>
  <c r="JG12" i="17"/>
  <c r="LG14" i="17"/>
  <c r="NG15" i="17"/>
  <c r="AM14" i="17"/>
  <c r="BI9" i="17"/>
  <c r="AM7" i="17"/>
  <c r="BI8" i="17"/>
  <c r="AM12" i="17"/>
  <c r="BI13" i="17"/>
  <c r="CE15" i="17"/>
  <c r="CE8" i="17"/>
  <c r="CE11" i="17"/>
  <c r="AM9" i="17"/>
  <c r="BI11" i="17"/>
  <c r="CE9" i="17"/>
  <c r="AM11" i="17"/>
  <c r="BI15" i="17"/>
  <c r="BI4" i="17"/>
  <c r="CE6" i="17"/>
  <c r="NG8" i="17"/>
  <c r="AM6" i="17"/>
  <c r="BI7" i="17"/>
  <c r="CE4" i="16"/>
  <c r="CE8" i="16"/>
  <c r="CE10" i="16"/>
  <c r="CE11" i="16"/>
  <c r="AM12" i="16"/>
  <c r="AM15" i="16"/>
  <c r="BI7" i="16"/>
  <c r="CE14" i="16"/>
  <c r="CE13" i="16"/>
  <c r="CE9" i="16"/>
  <c r="CE6" i="16"/>
  <c r="CE15" i="16"/>
  <c r="CE5" i="16"/>
  <c r="CE12" i="16"/>
  <c r="CE7" i="16"/>
  <c r="BI12" i="16"/>
  <c r="BI15" i="16"/>
  <c r="AM4" i="16"/>
  <c r="AM9" i="16"/>
  <c r="AM6" i="16"/>
  <c r="AM11" i="16"/>
  <c r="IG7" i="16"/>
  <c r="AM8" i="16"/>
  <c r="AM14" i="16"/>
  <c r="AM10" i="16"/>
  <c r="EG12" i="16"/>
  <c r="JG15" i="16"/>
  <c r="CE9" i="15"/>
  <c r="DG8" i="15"/>
  <c r="JG5" i="15"/>
  <c r="CE8" i="15"/>
  <c r="CE7" i="15"/>
  <c r="CE6" i="15"/>
  <c r="AM5" i="15"/>
  <c r="BI7" i="15"/>
  <c r="BI9" i="15"/>
  <c r="BI4" i="15"/>
  <c r="AM9" i="15"/>
  <c r="AM7" i="15"/>
  <c r="AM6" i="15"/>
  <c r="LG5" i="14"/>
  <c r="OG4" i="14"/>
  <c r="EG5" i="14"/>
  <c r="HM8" i="13"/>
  <c r="HP8" i="13" s="1"/>
  <c r="CG9" i="13"/>
  <c r="CJ9" i="13" s="1"/>
  <c r="CG10" i="13"/>
  <c r="CJ10" i="13" s="1"/>
  <c r="AM11" i="13"/>
  <c r="AP11" i="13" s="1"/>
  <c r="AM9" i="13"/>
  <c r="AP9" i="13" s="1"/>
  <c r="BJ6" i="13"/>
  <c r="BM6" i="13" s="1"/>
  <c r="EC4" i="13"/>
  <c r="EF4" i="13" s="1"/>
  <c r="FU7" i="13"/>
  <c r="FX7" i="13" s="1"/>
  <c r="GQ10" i="13"/>
  <c r="GT10" i="13" s="1"/>
  <c r="II8" i="13"/>
  <c r="IL8" i="13" s="1"/>
  <c r="KA4" i="13"/>
  <c r="KD4" i="13" s="1"/>
  <c r="AM7" i="13"/>
  <c r="AP7" i="13" s="1"/>
  <c r="AM4" i="13"/>
  <c r="AP4" i="13" s="1"/>
  <c r="AM8" i="13"/>
  <c r="AP8" i="13" s="1"/>
  <c r="AM10" i="13"/>
  <c r="AP10" i="13" s="1"/>
  <c r="BJ7" i="13"/>
  <c r="BM7" i="13" s="1"/>
  <c r="BJ4" i="13"/>
  <c r="BM4" i="13" s="1"/>
  <c r="BJ8" i="13"/>
  <c r="BM8" i="13" s="1"/>
  <c r="CG11" i="13"/>
  <c r="CJ11" i="13" s="1"/>
  <c r="CG4" i="13"/>
  <c r="CJ4" i="13" s="1"/>
  <c r="CG8" i="13"/>
  <c r="CJ8" i="13" s="1"/>
  <c r="AM6" i="13"/>
  <c r="AP6" i="13" s="1"/>
  <c r="AM5" i="13"/>
  <c r="AP5" i="13" s="1"/>
  <c r="BJ11" i="13"/>
  <c r="BM11" i="13" s="1"/>
  <c r="DG8" i="13"/>
  <c r="DJ8" i="13" s="1"/>
  <c r="EY4" i="13"/>
  <c r="FB4" i="13" s="1"/>
  <c r="GQ7" i="13"/>
  <c r="GT7" i="13" s="1"/>
  <c r="HM10" i="13"/>
  <c r="HP10" i="13" s="1"/>
  <c r="JE8" i="13"/>
  <c r="JH8" i="13" s="1"/>
  <c r="KW4" i="13"/>
  <c r="KZ4" i="13" s="1"/>
  <c r="DG4" i="13"/>
  <c r="DJ4" i="13" s="1"/>
  <c r="EC5" i="13"/>
  <c r="EF5" i="13" s="1"/>
  <c r="FU6" i="13"/>
  <c r="FX6" i="13" s="1"/>
  <c r="KA5" i="13"/>
  <c r="KD5" i="13" s="1"/>
  <c r="BJ12" i="4"/>
  <c r="BM12" i="4" s="1"/>
  <c r="AM6" i="4"/>
  <c r="AP6" i="4" s="1"/>
  <c r="BJ4" i="4"/>
  <c r="BM4" i="4" s="1"/>
  <c r="DG7" i="4"/>
  <c r="DJ7" i="4" s="1"/>
  <c r="EC11" i="4"/>
  <c r="EF11" i="4" s="1"/>
  <c r="EY13" i="4"/>
  <c r="FB13" i="4" s="1"/>
  <c r="FU14" i="4"/>
  <c r="FX14" i="4" s="1"/>
  <c r="HM8" i="4"/>
  <c r="II10" i="4"/>
  <c r="IL10" i="4" s="1"/>
  <c r="JE4" i="4"/>
  <c r="JH4" i="4" s="1"/>
  <c r="BJ13" i="4"/>
  <c r="BM13" i="4" s="1"/>
  <c r="BJ7" i="4"/>
  <c r="BM7" i="4" s="1"/>
  <c r="BJ10" i="4"/>
  <c r="BM10" i="4" s="1"/>
  <c r="BJ8" i="4"/>
  <c r="BM8" i="4" s="1"/>
  <c r="AM4" i="4"/>
  <c r="AP4" i="4" s="1"/>
  <c r="AM7" i="4"/>
  <c r="CG14" i="4"/>
  <c r="CJ14" i="4" s="1"/>
  <c r="BJ14" i="4"/>
  <c r="BM14" i="4" s="1"/>
  <c r="AM14" i="4"/>
  <c r="AP14" i="4" s="1"/>
  <c r="AM10" i="4"/>
  <c r="AP10" i="4" s="1"/>
  <c r="AM13" i="4"/>
  <c r="AP13" i="4" s="1"/>
  <c r="HP8" i="4"/>
  <c r="AM5" i="4"/>
  <c r="AP5" i="4" s="1"/>
  <c r="DG11" i="4"/>
  <c r="DJ11" i="4" s="1"/>
  <c r="EC13" i="4"/>
  <c r="EF13" i="4" s="1"/>
  <c r="EY14" i="4"/>
  <c r="FB14" i="4" s="1"/>
  <c r="GQ8" i="4"/>
  <c r="GT8" i="4" s="1"/>
  <c r="HM10" i="4"/>
  <c r="HP10" i="4" s="1"/>
  <c r="II4" i="4"/>
  <c r="IL4" i="4" s="1"/>
  <c r="KW9" i="4"/>
  <c r="KZ9" i="4" s="1"/>
  <c r="AM12" i="4"/>
  <c r="AP12" i="4" s="1"/>
  <c r="AM11" i="4"/>
  <c r="AP11" i="4" s="1"/>
  <c r="AM9" i="4"/>
  <c r="AP9" i="4" s="1"/>
  <c r="DG6" i="4"/>
  <c r="DJ6" i="4" s="1"/>
  <c r="EC12" i="4"/>
  <c r="EF12" i="4" s="1"/>
  <c r="KA5" i="4"/>
  <c r="KD5" i="4" s="1"/>
  <c r="BM9" i="4"/>
  <c r="DG13" i="4"/>
  <c r="DJ13" i="4" s="1"/>
  <c r="EC14" i="4"/>
  <c r="EF14" i="4" s="1"/>
  <c r="FU8" i="4"/>
  <c r="FX8" i="4" s="1"/>
  <c r="GQ10" i="4"/>
  <c r="GT10" i="4" s="1"/>
  <c r="HM4" i="4"/>
  <c r="HP4" i="4" s="1"/>
  <c r="JE5" i="4"/>
  <c r="JH5" i="4" s="1"/>
  <c r="KW6" i="4"/>
  <c r="KZ6" i="4" s="1"/>
  <c r="LS12" i="4"/>
  <c r="LV12" i="4" s="1"/>
  <c r="AP8" i="4"/>
  <c r="DG4" i="4"/>
  <c r="DJ4" i="4" s="1"/>
  <c r="EY5" i="4"/>
  <c r="FB5" i="4" s="1"/>
  <c r="FU9" i="4"/>
  <c r="FX9" i="4" s="1"/>
  <c r="GQ6" i="4"/>
  <c r="GT6" i="4" s="1"/>
  <c r="HM12" i="4"/>
  <c r="HP12" i="4" s="1"/>
  <c r="JE7" i="4"/>
  <c r="JH7" i="4" s="1"/>
  <c r="KA11" i="4"/>
  <c r="KD11" i="4" s="1"/>
  <c r="KW13" i="4"/>
  <c r="KZ13" i="4" s="1"/>
  <c r="LS14" i="4"/>
  <c r="LV14" i="4" s="1"/>
  <c r="DG5" i="4"/>
  <c r="DJ5" i="4" s="1"/>
  <c r="EC9" i="4"/>
  <c r="EF9" i="4" s="1"/>
  <c r="EY6" i="4"/>
  <c r="FB6" i="4" s="1"/>
  <c r="FU12" i="4"/>
  <c r="FX12" i="4" s="1"/>
  <c r="HM7" i="4"/>
  <c r="HP7" i="4" s="1"/>
  <c r="II11" i="4"/>
  <c r="IL11" i="4" s="1"/>
  <c r="JE13" i="4"/>
  <c r="JH13" i="4" s="1"/>
  <c r="KA14" i="4"/>
  <c r="KD14" i="4" s="1"/>
  <c r="LS8" i="4"/>
  <c r="LV8" i="4" s="1"/>
  <c r="MG7" i="17"/>
  <c r="DG14" i="17"/>
  <c r="FG15" i="17"/>
  <c r="GG16" i="17"/>
  <c r="IG4" i="17"/>
  <c r="KG6" i="17"/>
  <c r="MG9" i="17"/>
  <c r="EG15" i="17"/>
  <c r="HG4" i="17"/>
  <c r="LG9" i="17"/>
  <c r="MG8" i="17"/>
  <c r="NG10" i="17"/>
  <c r="EG4" i="17"/>
  <c r="GG6" i="17"/>
  <c r="IG9" i="17"/>
  <c r="JG8" i="17"/>
  <c r="KG10" i="17"/>
  <c r="LG12" i="17"/>
  <c r="NG14" i="17"/>
  <c r="OG15" i="17"/>
  <c r="DG10" i="17"/>
  <c r="EG12" i="17"/>
  <c r="GG14" i="17"/>
  <c r="HG11" i="17"/>
  <c r="IG15" i="17"/>
  <c r="JG16" i="17"/>
  <c r="LG4" i="17"/>
  <c r="NG6" i="17"/>
  <c r="DG16" i="17"/>
  <c r="FG4" i="17"/>
  <c r="HG6" i="17"/>
  <c r="KG4" i="17"/>
  <c r="MG6" i="17"/>
  <c r="FG16" i="17"/>
  <c r="JG6" i="17"/>
  <c r="OG16" i="17"/>
  <c r="IG8" i="17"/>
  <c r="IG11" i="17"/>
  <c r="JG10" i="17"/>
  <c r="KG12" i="17"/>
  <c r="MG14" i="17"/>
  <c r="EG9" i="17"/>
  <c r="FG8" i="17"/>
  <c r="FG11" i="17"/>
  <c r="GG10" i="17"/>
  <c r="HG12" i="17"/>
  <c r="JG14" i="17"/>
  <c r="LG15" i="17"/>
  <c r="MG16" i="17"/>
  <c r="LG11" i="16"/>
  <c r="OG15" i="16"/>
  <c r="DG15" i="16"/>
  <c r="LG15" i="16"/>
  <c r="FG15" i="16"/>
  <c r="M15" i="16"/>
  <c r="N15" i="16" s="1"/>
  <c r="EG15" i="16"/>
  <c r="DG8" i="16"/>
  <c r="HG6" i="16"/>
  <c r="GG8" i="16"/>
  <c r="IG14" i="16"/>
  <c r="LG12" i="16"/>
  <c r="FG8" i="16"/>
  <c r="GG9" i="16"/>
  <c r="JG6" i="16"/>
  <c r="FG9" i="16"/>
  <c r="GG14" i="16"/>
  <c r="JG12" i="16"/>
  <c r="NG7" i="16"/>
  <c r="KG15" i="16"/>
  <c r="HG15" i="16"/>
  <c r="MG15" i="16"/>
  <c r="JG11" i="16"/>
  <c r="MG8" i="16"/>
  <c r="NG9" i="16"/>
  <c r="DG7" i="15"/>
  <c r="LG9" i="15"/>
  <c r="M9" i="15"/>
  <c r="N9" i="15" s="1"/>
  <c r="FG6" i="15"/>
  <c r="IG8" i="15"/>
  <c r="EG5" i="15"/>
  <c r="JG6" i="15"/>
  <c r="MG8" i="15"/>
  <c r="KG9" i="15"/>
  <c r="EG9" i="15"/>
  <c r="HG5" i="15"/>
  <c r="MG6" i="15"/>
  <c r="EG6" i="15"/>
  <c r="HG8" i="15"/>
  <c r="NG5" i="15"/>
  <c r="NG9" i="15"/>
  <c r="FG9" i="15"/>
  <c r="IG5" i="15"/>
  <c r="NG6" i="15"/>
  <c r="HG9" i="15"/>
  <c r="LG8" i="15"/>
  <c r="OG9" i="15"/>
  <c r="DG9" i="15"/>
  <c r="GG4" i="14"/>
  <c r="NG4" i="14"/>
  <c r="FG5" i="14"/>
  <c r="MG5" i="14"/>
  <c r="HG4" i="14"/>
  <c r="IG5" i="14"/>
  <c r="DG4" i="14"/>
  <c r="KG4" i="14"/>
  <c r="HG5" i="14"/>
  <c r="JG4" i="14"/>
  <c r="DG5" i="14"/>
  <c r="KG5" i="14"/>
  <c r="EG4" i="14"/>
  <c r="LG4" i="14"/>
  <c r="BM9" i="13"/>
  <c r="EC8" i="13"/>
  <c r="EF8" i="13" s="1"/>
  <c r="JE4" i="13"/>
  <c r="JH4" i="13" s="1"/>
  <c r="GQ11" i="13"/>
  <c r="GT11" i="13" s="1"/>
  <c r="II9" i="13"/>
  <c r="IL9" i="13" s="1"/>
  <c r="LS6" i="13"/>
  <c r="LV6" i="13" s="1"/>
  <c r="FU8" i="13"/>
  <c r="FX8" i="13" s="1"/>
  <c r="HM4" i="13"/>
  <c r="HP4" i="13" s="1"/>
  <c r="JE7" i="13"/>
  <c r="JH7" i="13" s="1"/>
  <c r="KA10" i="13"/>
  <c r="KD10" i="13" s="1"/>
  <c r="LS8" i="13"/>
  <c r="LV8" i="13" s="1"/>
  <c r="DG10" i="13"/>
  <c r="DJ10" i="13" s="1"/>
  <c r="EY8" i="13"/>
  <c r="FB8" i="13" s="1"/>
  <c r="GQ4" i="13"/>
  <c r="GT4" i="13" s="1"/>
  <c r="II7" i="13"/>
  <c r="IL7" i="13" s="1"/>
  <c r="DJ9" i="13"/>
  <c r="FB5" i="13"/>
  <c r="HP11" i="13"/>
  <c r="JH9" i="13"/>
  <c r="KZ5" i="13"/>
  <c r="JE10" i="13"/>
  <c r="JH10" i="13" s="1"/>
  <c r="KW8" i="13"/>
  <c r="KZ8" i="13" s="1"/>
  <c r="EC6" i="13"/>
  <c r="EF6" i="13" s="1"/>
  <c r="EY11" i="13"/>
  <c r="FB11" i="13" s="1"/>
  <c r="GQ9" i="13"/>
  <c r="GT9" i="13" s="1"/>
  <c r="II5" i="13"/>
  <c r="IL5" i="13" s="1"/>
  <c r="KA6" i="13"/>
  <c r="KD6" i="13" s="1"/>
  <c r="KW11" i="13"/>
  <c r="KZ11" i="13" s="1"/>
  <c r="BM10" i="13"/>
  <c r="FX4" i="13"/>
  <c r="HP7" i="13"/>
  <c r="IL10" i="13"/>
  <c r="KD8" i="13"/>
  <c r="LV4" i="13"/>
  <c r="DG6" i="13"/>
  <c r="DJ6" i="13" s="1"/>
  <c r="EC11" i="13"/>
  <c r="EF11" i="13" s="1"/>
  <c r="FU9" i="13"/>
  <c r="FX9" i="13" s="1"/>
  <c r="HM5" i="13"/>
  <c r="HP5" i="13" s="1"/>
  <c r="JE6" i="13"/>
  <c r="JH6" i="13" s="1"/>
  <c r="KA11" i="13"/>
  <c r="KD11" i="13" s="1"/>
  <c r="LS9" i="13"/>
  <c r="LV9" i="13" s="1"/>
  <c r="FU7" i="4"/>
  <c r="FX7" i="4" s="1"/>
  <c r="GQ11" i="4"/>
  <c r="GT11" i="4" s="1"/>
  <c r="HM13" i="4"/>
  <c r="HP13" i="4" s="1"/>
  <c r="II14" i="4"/>
  <c r="IL14" i="4" s="1"/>
  <c r="KA8" i="4"/>
  <c r="KD8" i="4" s="1"/>
  <c r="KW10" i="4"/>
  <c r="KZ10" i="4" s="1"/>
  <c r="LS4" i="4"/>
  <c r="LV4" i="4" s="1"/>
  <c r="AP7" i="4"/>
  <c r="KA9" i="4"/>
  <c r="KD9" i="4" s="1"/>
  <c r="EC8" i="4"/>
  <c r="EF8" i="4" s="1"/>
  <c r="EY10" i="4"/>
  <c r="FB10" i="4" s="1"/>
  <c r="FU4" i="4"/>
  <c r="FX4" i="4" s="1"/>
  <c r="HM5" i="4"/>
  <c r="HP5" i="4" s="1"/>
  <c r="II9" i="4"/>
  <c r="IL9" i="4" s="1"/>
  <c r="JE6" i="4"/>
  <c r="JH6" i="4" s="1"/>
  <c r="KA12" i="4"/>
  <c r="KD12" i="4" s="1"/>
  <c r="LS7" i="4"/>
  <c r="LV7" i="4" s="1"/>
  <c r="DG12" i="4"/>
  <c r="DJ12" i="4" s="1"/>
  <c r="EY7" i="4"/>
  <c r="FB7" i="4" s="1"/>
  <c r="FU11" i="4"/>
  <c r="FX11" i="4" s="1"/>
  <c r="GQ13" i="4"/>
  <c r="GT13" i="4" s="1"/>
  <c r="HM14" i="4"/>
  <c r="HP14" i="4" s="1"/>
  <c r="JE8" i="4"/>
  <c r="JH8" i="4" s="1"/>
  <c r="KA10" i="4"/>
  <c r="KD10" i="4" s="1"/>
  <c r="KW4" i="4"/>
  <c r="KZ4" i="4" s="1"/>
  <c r="BM11" i="4"/>
  <c r="KW5" i="4"/>
  <c r="KZ5" i="4" s="1"/>
  <c r="LS9" i="4"/>
  <c r="LV9" i="4" s="1"/>
  <c r="LS6" i="4"/>
  <c r="LV6" i="4" s="1"/>
  <c r="DG14" i="4"/>
  <c r="DJ14" i="4" s="1"/>
  <c r="EY8" i="4"/>
  <c r="FB8" i="4" s="1"/>
  <c r="FU10" i="4"/>
  <c r="FX10" i="4" s="1"/>
  <c r="GQ4" i="4"/>
  <c r="GT4" i="4" s="1"/>
  <c r="II5" i="4"/>
  <c r="IL5" i="4" s="1"/>
  <c r="JE9" i="4"/>
  <c r="JH9" i="4" s="1"/>
  <c r="KA6" i="4"/>
  <c r="KD6" i="4" s="1"/>
  <c r="KW12" i="4"/>
  <c r="KZ12" i="4" s="1"/>
  <c r="DG10" i="4"/>
  <c r="DJ10" i="4" s="1"/>
  <c r="EC4" i="4"/>
  <c r="EF4" i="4" s="1"/>
  <c r="FU5" i="4"/>
  <c r="FX5" i="4" s="1"/>
  <c r="PB9" i="15"/>
  <c r="I9" i="15"/>
  <c r="J9" i="15" s="1"/>
  <c r="JG9" i="15"/>
  <c r="IG9" i="15"/>
  <c r="GG9" i="15"/>
  <c r="G9" i="15"/>
  <c r="OZ9" i="15"/>
  <c r="OY9" i="15"/>
  <c r="PA9" i="15"/>
  <c r="F9" i="15"/>
  <c r="K9" i="15"/>
  <c r="DG6" i="15"/>
  <c r="GG8" i="15"/>
  <c r="MG5" i="15"/>
  <c r="EG4" i="15"/>
  <c r="EG8" i="15"/>
  <c r="IG7" i="15"/>
  <c r="KG5" i="15"/>
  <c r="FG5" i="15"/>
  <c r="KG6" i="15"/>
  <c r="NG8" i="15"/>
  <c r="NG15" i="16"/>
  <c r="IG15" i="16"/>
  <c r="GG15" i="16"/>
  <c r="K15" i="16"/>
  <c r="CF15" i="16" s="1"/>
  <c r="OZ15" i="16"/>
  <c r="OY15" i="16"/>
  <c r="PA15" i="16"/>
  <c r="PB15" i="16"/>
  <c r="F15" i="16"/>
  <c r="I15" i="16"/>
  <c r="G15" i="16"/>
  <c r="DG9" i="16"/>
  <c r="EG14" i="16"/>
  <c r="GG6" i="16"/>
  <c r="HG12" i="16"/>
  <c r="LG7" i="16"/>
  <c r="NG11" i="16"/>
  <c r="DG14" i="16"/>
  <c r="FG6" i="16"/>
  <c r="KG7" i="16"/>
  <c r="EG6" i="16"/>
  <c r="NG8" i="16"/>
  <c r="DG6" i="17"/>
  <c r="FG9" i="17"/>
  <c r="GG8" i="17"/>
  <c r="HG10" i="17"/>
  <c r="IG12" i="17"/>
  <c r="KG14" i="17"/>
  <c r="MG15" i="17"/>
  <c r="NG16" i="17"/>
  <c r="GG7" i="16"/>
  <c r="MG9" i="16"/>
  <c r="NG14" i="16"/>
  <c r="HG6" i="15"/>
  <c r="KG8" i="15"/>
  <c r="LS7" i="13"/>
  <c r="LV7" i="13" s="1"/>
  <c r="EC7" i="13"/>
  <c r="EF7" i="13" s="1"/>
  <c r="EY10" i="13"/>
  <c r="FB10" i="13" s="1"/>
  <c r="GQ8" i="13"/>
  <c r="GT8" i="13" s="1"/>
  <c r="II4" i="13"/>
  <c r="IL4" i="13" s="1"/>
  <c r="KA7" i="13"/>
  <c r="KD7" i="13" s="1"/>
  <c r="KW10" i="13"/>
  <c r="KZ10" i="13" s="1"/>
  <c r="GQ9" i="4"/>
  <c r="GT9" i="4" s="1"/>
  <c r="HM6" i="4"/>
  <c r="HP6" i="4" s="1"/>
  <c r="II12" i="4"/>
  <c r="IL12" i="4" s="1"/>
  <c r="KA7" i="4"/>
  <c r="KD7" i="4" s="1"/>
  <c r="KW11" i="4"/>
  <c r="KZ11" i="4" s="1"/>
  <c r="LS13" i="4"/>
  <c r="LV13" i="4" s="1"/>
  <c r="HG11" i="16"/>
  <c r="KG8" i="16"/>
  <c r="FG4" i="14"/>
  <c r="MG4" i="14"/>
  <c r="DG9" i="4"/>
  <c r="DJ9" i="4" s="1"/>
  <c r="EC6" i="4"/>
  <c r="EF6" i="4" s="1"/>
  <c r="EY12" i="4"/>
  <c r="FB12" i="4" s="1"/>
  <c r="GQ7" i="4"/>
  <c r="GT7" i="4" s="1"/>
  <c r="HM11" i="4"/>
  <c r="HP11" i="4" s="1"/>
  <c r="II13" i="4"/>
  <c r="IL13" i="4" s="1"/>
  <c r="JE14" i="4"/>
  <c r="JH14" i="4" s="1"/>
  <c r="KW8" i="4"/>
  <c r="KZ8" i="4" s="1"/>
  <c r="LS10" i="4"/>
  <c r="LV10" i="4" s="1"/>
  <c r="GG13" i="16"/>
  <c r="EG5" i="16"/>
  <c r="EG7" i="16"/>
  <c r="GG11" i="16"/>
  <c r="KG9" i="16"/>
  <c r="LG5" i="16"/>
  <c r="LG14" i="16"/>
  <c r="NG6" i="16"/>
  <c r="NG13" i="16"/>
  <c r="HG4" i="16"/>
  <c r="DG7" i="16"/>
  <c r="IG8" i="16"/>
  <c r="KG14" i="16"/>
  <c r="MG6" i="16"/>
  <c r="EG11" i="16"/>
  <c r="HG8" i="16"/>
  <c r="IG9" i="16"/>
  <c r="JG14" i="16"/>
  <c r="LG6" i="16"/>
  <c r="MG12" i="16"/>
  <c r="EG13" i="17"/>
  <c r="FG7" i="17"/>
  <c r="IG7" i="17"/>
  <c r="DG8" i="17"/>
  <c r="EG10" i="17"/>
  <c r="FG12" i="17"/>
  <c r="HG14" i="17"/>
  <c r="EG5" i="17"/>
  <c r="EG6" i="17"/>
  <c r="GG5" i="17"/>
  <c r="GG9" i="17"/>
  <c r="HG8" i="17"/>
  <c r="JG5" i="17"/>
  <c r="JG9" i="17"/>
  <c r="KG8" i="17"/>
  <c r="KG11" i="17"/>
  <c r="LG10" i="17"/>
  <c r="MG12" i="17"/>
  <c r="DG5" i="17"/>
  <c r="EG11" i="17"/>
  <c r="NG13" i="17"/>
  <c r="NG11" i="17"/>
  <c r="DG12" i="17"/>
  <c r="FG14" i="17"/>
  <c r="HG13" i="17"/>
  <c r="IG14" i="17"/>
  <c r="KG13" i="17"/>
  <c r="KG15" i="17"/>
  <c r="LG7" i="17"/>
  <c r="LG16" i="17"/>
  <c r="NG4" i="17"/>
  <c r="FG13" i="17"/>
  <c r="DG7" i="17"/>
  <c r="LG5" i="17"/>
  <c r="MG11" i="17"/>
  <c r="JG7" i="17"/>
  <c r="MG5" i="17"/>
  <c r="FG5" i="17"/>
  <c r="GG11" i="17"/>
  <c r="IG5" i="17"/>
  <c r="JG11" i="17"/>
  <c r="DG11" i="17"/>
  <c r="MG13" i="17"/>
  <c r="NG7" i="17"/>
  <c r="GG7" i="17"/>
  <c r="M16" i="17"/>
  <c r="CG16" i="17" s="1"/>
  <c r="EG14" i="17"/>
  <c r="GG13" i="17"/>
  <c r="GG15" i="17"/>
  <c r="HG7" i="17"/>
  <c r="JG13" i="17"/>
  <c r="JG15" i="17"/>
  <c r="KG7" i="17"/>
  <c r="KG16" i="17"/>
  <c r="MG4" i="17"/>
  <c r="M15" i="17"/>
  <c r="CG15" i="17" s="1"/>
  <c r="DG13" i="17"/>
  <c r="DG15" i="17"/>
  <c r="EG7" i="17"/>
  <c r="EG16" i="17"/>
  <c r="GG4" i="17"/>
  <c r="HG16" i="17"/>
  <c r="JG4" i="17"/>
  <c r="LG6" i="17"/>
  <c r="NG5" i="17"/>
  <c r="NG9" i="17"/>
  <c r="LG13" i="17"/>
  <c r="IG13" i="17"/>
  <c r="DG4" i="17"/>
  <c r="FG6" i="17"/>
  <c r="HG5" i="17"/>
  <c r="HG9" i="17"/>
  <c r="IG6" i="17"/>
  <c r="KG5" i="17"/>
  <c r="KG9" i="17"/>
  <c r="LG8" i="17"/>
  <c r="LG11" i="17"/>
  <c r="MG10" i="17"/>
  <c r="NG12" i="17"/>
  <c r="FG14" i="16"/>
  <c r="IG6" i="16"/>
  <c r="JG8" i="16"/>
  <c r="MG14" i="16"/>
  <c r="DG11" i="16"/>
  <c r="HG7" i="16"/>
  <c r="IG12" i="16"/>
  <c r="JG9" i="16"/>
  <c r="KG11" i="16"/>
  <c r="FG12" i="16"/>
  <c r="IG5" i="16"/>
  <c r="FG5" i="16"/>
  <c r="IG4" i="16"/>
  <c r="MG5" i="16"/>
  <c r="LG4" i="16"/>
  <c r="KG13" i="16"/>
  <c r="DG10" i="16"/>
  <c r="HG13" i="16"/>
  <c r="KG10" i="16"/>
  <c r="FG4" i="16"/>
  <c r="JG5" i="16"/>
  <c r="MG4" i="16"/>
  <c r="NG10" i="16"/>
  <c r="EG13" i="16"/>
  <c r="HG10" i="16"/>
  <c r="LG13" i="16"/>
  <c r="DG13" i="16"/>
  <c r="GG5" i="16"/>
  <c r="JG4" i="16"/>
  <c r="NG5" i="16"/>
  <c r="JG10" i="16"/>
  <c r="EG4" i="16"/>
  <c r="GG10" i="16"/>
  <c r="EG10" i="16"/>
  <c r="IG13" i="16"/>
  <c r="LG10" i="16"/>
  <c r="DG5" i="16"/>
  <c r="GG4" i="16"/>
  <c r="KG5" i="16"/>
  <c r="NG4" i="16"/>
  <c r="FG7" i="16"/>
  <c r="FG13" i="16"/>
  <c r="GG12" i="16"/>
  <c r="HG9" i="16"/>
  <c r="IG10" i="16"/>
  <c r="IG11" i="16"/>
  <c r="MG7" i="16"/>
  <c r="MG13" i="16"/>
  <c r="NG12" i="16"/>
  <c r="DG4" i="16"/>
  <c r="DG6" i="16"/>
  <c r="EG8" i="16"/>
  <c r="HG5" i="16"/>
  <c r="HG14" i="16"/>
  <c r="KG4" i="16"/>
  <c r="KG6" i="16"/>
  <c r="LG8" i="16"/>
  <c r="DG12" i="16"/>
  <c r="EG9" i="16"/>
  <c r="FG10" i="16"/>
  <c r="FG11" i="16"/>
  <c r="JG7" i="16"/>
  <c r="JG13" i="16"/>
  <c r="KG12" i="16"/>
  <c r="LG9" i="16"/>
  <c r="MG10" i="16"/>
  <c r="MG11" i="16"/>
  <c r="IG4" i="15"/>
  <c r="MG4" i="15"/>
  <c r="HG4" i="15"/>
  <c r="LG7" i="15"/>
  <c r="MG7" i="15"/>
  <c r="GG7" i="15"/>
  <c r="HG7" i="15"/>
  <c r="DG5" i="15"/>
  <c r="IG6" i="15"/>
  <c r="LG4" i="15"/>
  <c r="GG4" i="15"/>
  <c r="KG7" i="15"/>
  <c r="FG7" i="15"/>
  <c r="KG4" i="15"/>
  <c r="FG4" i="15"/>
  <c r="FG8" i="15"/>
  <c r="JG7" i="15"/>
  <c r="LG5" i="15"/>
  <c r="EG7" i="15"/>
  <c r="GG5" i="15"/>
  <c r="LG6" i="15"/>
  <c r="NG4" i="15"/>
  <c r="DG4" i="15"/>
  <c r="OG6" i="15"/>
  <c r="GG6" i="15"/>
  <c r="JG4" i="15"/>
  <c r="JG8" i="15"/>
  <c r="NG7" i="15"/>
  <c r="GG5" i="14"/>
  <c r="NG5" i="14"/>
  <c r="IG4" i="14"/>
  <c r="JG5" i="14"/>
  <c r="DG11" i="13"/>
  <c r="DJ11" i="13" s="1"/>
  <c r="EY9" i="13"/>
  <c r="FB9" i="13" s="1"/>
  <c r="GQ5" i="13"/>
  <c r="GT5" i="13" s="1"/>
  <c r="II6" i="13"/>
  <c r="IL6" i="13" s="1"/>
  <c r="JE11" i="13"/>
  <c r="JH11" i="13" s="1"/>
  <c r="KW9" i="13"/>
  <c r="KZ9" i="13" s="1"/>
  <c r="EC9" i="13"/>
  <c r="EF9" i="13" s="1"/>
  <c r="FU5" i="13"/>
  <c r="FX5" i="13" s="1"/>
  <c r="HM6" i="13"/>
  <c r="HP6" i="13" s="1"/>
  <c r="II11" i="13"/>
  <c r="IL11" i="13" s="1"/>
  <c r="KA9" i="13"/>
  <c r="KD9" i="13" s="1"/>
  <c r="LS5" i="13"/>
  <c r="LV5" i="13" s="1"/>
  <c r="DJ7" i="13"/>
  <c r="EF10" i="13"/>
  <c r="MO11" i="13"/>
  <c r="MR11" i="13" s="1"/>
  <c r="DG5" i="13"/>
  <c r="DJ5" i="13" s="1"/>
  <c r="EY6" i="13"/>
  <c r="FB6" i="13" s="1"/>
  <c r="FU11" i="13"/>
  <c r="FX11" i="13" s="1"/>
  <c r="HM9" i="13"/>
  <c r="HP9" i="13" s="1"/>
  <c r="JE5" i="13"/>
  <c r="JH5" i="13" s="1"/>
  <c r="KW6" i="13"/>
  <c r="KZ6" i="13" s="1"/>
  <c r="LS11" i="13"/>
  <c r="LV11" i="13" s="1"/>
  <c r="DG8" i="4"/>
  <c r="DJ8" i="4" s="1"/>
  <c r="EC10" i="4"/>
  <c r="EF10" i="4" s="1"/>
  <c r="EY4" i="4"/>
  <c r="FB4" i="4" s="1"/>
  <c r="GQ5" i="4"/>
  <c r="GT5" i="4" s="1"/>
  <c r="HM9" i="4"/>
  <c r="HP9" i="4" s="1"/>
  <c r="II6" i="4"/>
  <c r="IL6" i="4" s="1"/>
  <c r="JE12" i="4"/>
  <c r="JH12" i="4" s="1"/>
  <c r="KW7" i="4"/>
  <c r="KZ7" i="4" s="1"/>
  <c r="LS11" i="4"/>
  <c r="LV11" i="4" s="1"/>
  <c r="EC5" i="4"/>
  <c r="EF5" i="4" s="1"/>
  <c r="EY9" i="4"/>
  <c r="FB9" i="4" s="1"/>
  <c r="FU6" i="4"/>
  <c r="FX6" i="4" s="1"/>
  <c r="GQ12" i="4"/>
  <c r="GT12" i="4" s="1"/>
  <c r="II7" i="4"/>
  <c r="IL7" i="4" s="1"/>
  <c r="JE11" i="4"/>
  <c r="JH11" i="4" s="1"/>
  <c r="KA13" i="4"/>
  <c r="KD13" i="4" s="1"/>
  <c r="KW14" i="4"/>
  <c r="KZ14" i="4" s="1"/>
  <c r="MO10" i="4"/>
  <c r="MR10" i="4" s="1"/>
  <c r="EC7" i="4"/>
  <c r="EF7" i="4" s="1"/>
  <c r="EY11" i="4"/>
  <c r="FB11" i="4" s="1"/>
  <c r="FU13" i="4"/>
  <c r="FX13" i="4" s="1"/>
  <c r="GQ14" i="4"/>
  <c r="GT14" i="4" s="1"/>
  <c r="II8" i="4"/>
  <c r="IL8" i="4" s="1"/>
  <c r="JE10" i="4"/>
  <c r="JH10" i="4" s="1"/>
  <c r="KA4" i="4"/>
  <c r="KD4" i="4" s="1"/>
  <c r="LS5" i="4"/>
  <c r="LV5" i="4" s="1"/>
  <c r="M6" i="15"/>
  <c r="CG6" i="15" s="1"/>
  <c r="O12" i="4"/>
  <c r="CN12" i="4" s="1"/>
  <c r="MO12" i="4"/>
  <c r="MR12" i="4" s="1"/>
  <c r="PA15" i="17"/>
  <c r="OG9" i="16"/>
  <c r="MO4" i="13"/>
  <c r="MR4" i="13" s="1"/>
  <c r="NK11" i="13"/>
  <c r="MO6" i="4"/>
  <c r="MR6" i="4" s="1"/>
  <c r="MO4" i="4"/>
  <c r="MR4" i="4" s="1"/>
  <c r="O9" i="4"/>
  <c r="CN9" i="4" s="1"/>
  <c r="NN13" i="4"/>
  <c r="MO9" i="4"/>
  <c r="MR9" i="4" s="1"/>
  <c r="MO14" i="4"/>
  <c r="MR14" i="4" s="1"/>
  <c r="OG14" i="17"/>
  <c r="OG11" i="17"/>
  <c r="OG11" i="16"/>
  <c r="M9" i="16"/>
  <c r="CG9" i="16" s="1"/>
  <c r="M13" i="16"/>
  <c r="CG13" i="16" s="1"/>
  <c r="PA11" i="16"/>
  <c r="M11" i="16"/>
  <c r="CG11" i="16" s="1"/>
  <c r="OG8" i="15"/>
  <c r="OG5" i="15"/>
  <c r="NN10" i="4"/>
  <c r="O6" i="4"/>
  <c r="CN6" i="4" s="1"/>
  <c r="O4" i="4"/>
  <c r="P4" i="4" s="1"/>
  <c r="NN11" i="4"/>
  <c r="NK14" i="4"/>
  <c r="NN12" i="4"/>
  <c r="O10" i="4"/>
  <c r="P10" i="4" s="1"/>
  <c r="M11" i="17"/>
  <c r="CG11" i="17" s="1"/>
  <c r="I16" i="17"/>
  <c r="J16" i="17" s="1"/>
  <c r="OY16" i="17"/>
  <c r="G16" i="17"/>
  <c r="PA16" i="17"/>
  <c r="PB16" i="17"/>
  <c r="OZ16" i="17"/>
  <c r="F16" i="17"/>
  <c r="K16" i="17"/>
  <c r="M14" i="17"/>
  <c r="CG14" i="17" s="1"/>
  <c r="K15" i="17"/>
  <c r="L15" i="17" s="1"/>
  <c r="PB15" i="17"/>
  <c r="G15" i="17"/>
  <c r="OY15" i="17"/>
  <c r="OZ15" i="17"/>
  <c r="I15" i="17"/>
  <c r="J15" i="17" s="1"/>
  <c r="F15" i="17"/>
  <c r="PB11" i="17"/>
  <c r="I11" i="17"/>
  <c r="J11" i="17" s="1"/>
  <c r="G11" i="17"/>
  <c r="OZ11" i="17"/>
  <c r="OY11" i="17"/>
  <c r="PA11" i="17"/>
  <c r="F11" i="17"/>
  <c r="K11" i="17"/>
  <c r="I14" i="17"/>
  <c r="J14" i="17" s="1"/>
  <c r="OZ14" i="17"/>
  <c r="OY14" i="17"/>
  <c r="G14" i="17"/>
  <c r="PA14" i="17"/>
  <c r="PB14" i="17"/>
  <c r="F14" i="17"/>
  <c r="K14" i="17"/>
  <c r="I11" i="16"/>
  <c r="J11" i="16" s="1"/>
  <c r="PB11" i="16"/>
  <c r="F11" i="16"/>
  <c r="OZ11" i="16"/>
  <c r="OY11" i="16"/>
  <c r="K11" i="16"/>
  <c r="G11" i="16"/>
  <c r="PA13" i="16"/>
  <c r="OG13" i="16"/>
  <c r="OG7" i="16"/>
  <c r="K13" i="16"/>
  <c r="CF13" i="16" s="1"/>
  <c r="PB13" i="16"/>
  <c r="G13" i="16"/>
  <c r="OZ13" i="16"/>
  <c r="OY13" i="16"/>
  <c r="F13" i="16"/>
  <c r="I13" i="16"/>
  <c r="J13" i="16" s="1"/>
  <c r="M7" i="16"/>
  <c r="CG7" i="16" s="1"/>
  <c r="I9" i="16"/>
  <c r="J9" i="16" s="1"/>
  <c r="OZ9" i="16"/>
  <c r="OY9" i="16"/>
  <c r="G9" i="16"/>
  <c r="PA9" i="16"/>
  <c r="PB9" i="16"/>
  <c r="F9" i="16"/>
  <c r="K9" i="16"/>
  <c r="OG12" i="16"/>
  <c r="I7" i="16"/>
  <c r="J7" i="16" s="1"/>
  <c r="OZ7" i="16"/>
  <c r="OY7" i="16"/>
  <c r="G7" i="16"/>
  <c r="PA7" i="16"/>
  <c r="PB7" i="16"/>
  <c r="F7" i="16"/>
  <c r="K7" i="16"/>
  <c r="M8" i="15"/>
  <c r="CG8" i="15" s="1"/>
  <c r="I6" i="15"/>
  <c r="J6" i="15" s="1"/>
  <c r="OY6" i="15"/>
  <c r="G6" i="15"/>
  <c r="PA6" i="15"/>
  <c r="OZ6" i="15"/>
  <c r="PB6" i="15"/>
  <c r="K6" i="15"/>
  <c r="CF6" i="15" s="1"/>
  <c r="F6" i="15"/>
  <c r="I8" i="15"/>
  <c r="J8" i="15" s="1"/>
  <c r="OY8" i="15"/>
  <c r="G8" i="15"/>
  <c r="F8" i="15"/>
  <c r="PA8" i="15"/>
  <c r="PB8" i="15"/>
  <c r="OZ8" i="15"/>
  <c r="K8" i="15"/>
  <c r="I4" i="14"/>
  <c r="J4" i="14" s="1"/>
  <c r="OZ4" i="14"/>
  <c r="G4" i="14"/>
  <c r="OY4" i="14"/>
  <c r="PB4" i="14"/>
  <c r="F4" i="14"/>
  <c r="M4" i="14"/>
  <c r="CG4" i="14" s="1"/>
  <c r="K4" i="14"/>
  <c r="PA4" i="14"/>
  <c r="NI11" i="13"/>
  <c r="O11" i="13"/>
  <c r="P11" i="13" s="1"/>
  <c r="NN11" i="13"/>
  <c r="NN9" i="4"/>
  <c r="NI14" i="4"/>
  <c r="O14" i="4"/>
  <c r="CN14" i="4" s="1"/>
  <c r="NN14" i="4"/>
  <c r="OG12" i="17"/>
  <c r="OG13" i="17"/>
  <c r="OG9" i="17"/>
  <c r="M6" i="16"/>
  <c r="N6" i="16" s="1"/>
  <c r="OG6" i="16"/>
  <c r="MO13" i="4"/>
  <c r="MR13" i="4" s="1"/>
  <c r="MO7" i="4"/>
  <c r="MR7" i="4" s="1"/>
  <c r="M12" i="17"/>
  <c r="CG12" i="17" s="1"/>
  <c r="M9" i="17"/>
  <c r="N9" i="17" s="1"/>
  <c r="OG10" i="17"/>
  <c r="OG8" i="17"/>
  <c r="OG10" i="16"/>
  <c r="M10" i="16"/>
  <c r="CG10" i="16" s="1"/>
  <c r="OG14" i="16"/>
  <c r="OG5" i="16"/>
  <c r="OG4" i="16"/>
  <c r="M12" i="16"/>
  <c r="N12" i="16" s="1"/>
  <c r="K4" i="16"/>
  <c r="OG8" i="16"/>
  <c r="OG7" i="15"/>
  <c r="MO10" i="13"/>
  <c r="MR10" i="13" s="1"/>
  <c r="MO8" i="13"/>
  <c r="MR8" i="13" s="1"/>
  <c r="MO9" i="13"/>
  <c r="MR9" i="13" s="1"/>
  <c r="MO8" i="4"/>
  <c r="MR8" i="4" s="1"/>
  <c r="OY8" i="17"/>
  <c r="NN6" i="4"/>
  <c r="OY5" i="16"/>
  <c r="PA8" i="17"/>
  <c r="PB8" i="17"/>
  <c r="OY10" i="17"/>
  <c r="PA10" i="17"/>
  <c r="OY9" i="17"/>
  <c r="G9" i="17"/>
  <c r="OZ8" i="17"/>
  <c r="I13" i="17"/>
  <c r="J13" i="17" s="1"/>
  <c r="F13" i="17"/>
  <c r="PB10" i="17"/>
  <c r="K9" i="17"/>
  <c r="OY13" i="17"/>
  <c r="M10" i="17"/>
  <c r="CG10" i="17" s="1"/>
  <c r="F9" i="17"/>
  <c r="PA13" i="17"/>
  <c r="I8" i="17"/>
  <c r="J8" i="17" s="1"/>
  <c r="OZ9" i="17"/>
  <c r="OZ10" i="17"/>
  <c r="G13" i="17"/>
  <c r="F8" i="17"/>
  <c r="PB13" i="17"/>
  <c r="PA9" i="17"/>
  <c r="PB9" i="17"/>
  <c r="F10" i="17"/>
  <c r="M8" i="17"/>
  <c r="CG8" i="17" s="1"/>
  <c r="I10" i="17"/>
  <c r="J10" i="17" s="1"/>
  <c r="OZ13" i="17"/>
  <c r="K10" i="17"/>
  <c r="M13" i="17"/>
  <c r="N13" i="17" s="1"/>
  <c r="K8" i="17"/>
  <c r="PA5" i="16"/>
  <c r="PB5" i="16"/>
  <c r="OY8" i="16"/>
  <c r="OY4" i="16"/>
  <c r="OZ4" i="16"/>
  <c r="K8" i="16"/>
  <c r="PA4" i="16"/>
  <c r="PB4" i="16"/>
  <c r="PA6" i="16"/>
  <c r="OZ8" i="16"/>
  <c r="M4" i="16"/>
  <c r="CG4" i="16" s="1"/>
  <c r="PA8" i="16"/>
  <c r="OY14" i="16"/>
  <c r="PB8" i="16"/>
  <c r="M5" i="16"/>
  <c r="N5" i="16" s="1"/>
  <c r="I12" i="16"/>
  <c r="J12" i="16" s="1"/>
  <c r="M14" i="16"/>
  <c r="N14" i="16" s="1"/>
  <c r="I6" i="16"/>
  <c r="J6" i="16" s="1"/>
  <c r="M7" i="15"/>
  <c r="CG7" i="15" s="1"/>
  <c r="PB5" i="15"/>
  <c r="M5" i="15"/>
  <c r="N5" i="15" s="1"/>
  <c r="NK10" i="13"/>
  <c r="NK8" i="13"/>
  <c r="NK9" i="13"/>
  <c r="NI10" i="13"/>
  <c r="NN9" i="13"/>
  <c r="NN7" i="4"/>
  <c r="O8" i="4"/>
  <c r="P8" i="4" s="1"/>
  <c r="G10" i="17"/>
  <c r="G8" i="17"/>
  <c r="K13" i="17"/>
  <c r="I9" i="17"/>
  <c r="OG6" i="17"/>
  <c r="M6" i="17"/>
  <c r="CG6" i="17" s="1"/>
  <c r="I12" i="17"/>
  <c r="J12" i="17" s="1"/>
  <c r="OZ12" i="17"/>
  <c r="OY12" i="17"/>
  <c r="PA12" i="17"/>
  <c r="PB12" i="17"/>
  <c r="F12" i="17"/>
  <c r="K12" i="17"/>
  <c r="G12" i="17"/>
  <c r="I6" i="17"/>
  <c r="J6" i="17" s="1"/>
  <c r="OZ6" i="17"/>
  <c r="OY6" i="17"/>
  <c r="G6" i="17"/>
  <c r="PA6" i="17"/>
  <c r="PB6" i="17"/>
  <c r="F6" i="17"/>
  <c r="K6" i="17"/>
  <c r="OZ5" i="16"/>
  <c r="PB14" i="16"/>
  <c r="K5" i="16"/>
  <c r="OZ14" i="16"/>
  <c r="PA14" i="16"/>
  <c r="OZ12" i="16"/>
  <c r="OY12" i="16"/>
  <c r="G12" i="16"/>
  <c r="G6" i="16"/>
  <c r="F12" i="16"/>
  <c r="PB6" i="16"/>
  <c r="PA12" i="16"/>
  <c r="OZ6" i="16"/>
  <c r="PC6" i="16" s="1"/>
  <c r="M8" i="16"/>
  <c r="N8" i="16" s="1"/>
  <c r="PB12" i="16"/>
  <c r="OY6" i="16"/>
  <c r="F5" i="16"/>
  <c r="I4" i="16"/>
  <c r="J4" i="16" s="1"/>
  <c r="I5" i="16"/>
  <c r="J5" i="16" s="1"/>
  <c r="I14" i="16"/>
  <c r="J14" i="16" s="1"/>
  <c r="F8" i="16"/>
  <c r="F6" i="16"/>
  <c r="G14" i="16"/>
  <c r="F14" i="16"/>
  <c r="I8" i="16"/>
  <c r="J8" i="16" s="1"/>
  <c r="F4" i="16"/>
  <c r="G4" i="16"/>
  <c r="G5" i="16"/>
  <c r="K14" i="16"/>
  <c r="K12" i="16"/>
  <c r="K6" i="16"/>
  <c r="G8" i="16"/>
  <c r="PA10" i="16"/>
  <c r="I10" i="16"/>
  <c r="J10" i="16" s="1"/>
  <c r="PB10" i="16"/>
  <c r="G10" i="16"/>
  <c r="OZ10" i="16"/>
  <c r="OY10" i="16"/>
  <c r="F10" i="16"/>
  <c r="K10" i="16"/>
  <c r="I5" i="15"/>
  <c r="J5" i="15" s="1"/>
  <c r="G5" i="15"/>
  <c r="OZ5" i="15"/>
  <c r="OY5" i="15"/>
  <c r="PA5" i="15"/>
  <c r="F5" i="15"/>
  <c r="K5" i="15"/>
  <c r="PB7" i="15"/>
  <c r="I7" i="15"/>
  <c r="J7" i="15" s="1"/>
  <c r="G7" i="15"/>
  <c r="OZ7" i="15"/>
  <c r="OY7" i="15"/>
  <c r="PA7" i="15"/>
  <c r="F7" i="15"/>
  <c r="K7" i="15"/>
  <c r="NI4" i="13"/>
  <c r="O10" i="13"/>
  <c r="P10" i="13" s="1"/>
  <c r="NK4" i="13"/>
  <c r="O4" i="13"/>
  <c r="CN4" i="13" s="1"/>
  <c r="NI8" i="13"/>
  <c r="NI9" i="13"/>
  <c r="NN8" i="13"/>
  <c r="O8" i="13"/>
  <c r="P8" i="13" s="1"/>
  <c r="O9" i="13"/>
  <c r="O13" i="4"/>
  <c r="CN13" i="4" s="1"/>
  <c r="MO11" i="4"/>
  <c r="MR11" i="4" s="1"/>
  <c r="O7" i="4"/>
  <c r="P7" i="4" s="1"/>
  <c r="O11" i="4"/>
  <c r="CN11" i="4" s="1"/>
  <c r="NN8" i="4"/>
  <c r="PC16" i="17" l="1"/>
  <c r="PC13" i="17"/>
  <c r="PC10" i="17"/>
  <c r="PC9" i="17"/>
  <c r="PC11" i="17"/>
  <c r="PC6" i="17"/>
  <c r="PC14" i="17"/>
  <c r="PC15" i="17"/>
  <c r="PC12" i="17"/>
  <c r="PC8" i="17"/>
  <c r="PC4" i="16"/>
  <c r="L15" i="16"/>
  <c r="PC12" i="16"/>
  <c r="PC13" i="16"/>
  <c r="PC11" i="16"/>
  <c r="PC14" i="16"/>
  <c r="PC7" i="16"/>
  <c r="CG15" i="16"/>
  <c r="PC15" i="16"/>
  <c r="PC5" i="16"/>
  <c r="PC8" i="16"/>
  <c r="PC10" i="16"/>
  <c r="PC9" i="16"/>
  <c r="PC5" i="15"/>
  <c r="PC9" i="15"/>
  <c r="PC7" i="15"/>
  <c r="PC6" i="15"/>
  <c r="CG9" i="15"/>
  <c r="H9" i="15"/>
  <c r="A9" i="15" s="1" a="1"/>
  <c r="A9" i="15" s="1"/>
  <c r="PC8" i="15"/>
  <c r="PC4" i="14"/>
  <c r="NL14" i="4"/>
  <c r="L9" i="15"/>
  <c r="CF9" i="15"/>
  <c r="O15" i="16"/>
  <c r="Q15" i="16" s="1"/>
  <c r="H15" i="16"/>
  <c r="A15" i="16" s="1" a="1"/>
  <c r="A15" i="16" s="1"/>
  <c r="J15" i="16"/>
  <c r="N15" i="17"/>
  <c r="P9" i="4"/>
  <c r="N16" i="17"/>
  <c r="N14" i="17"/>
  <c r="N6" i="15"/>
  <c r="P12" i="4"/>
  <c r="N11" i="17"/>
  <c r="H11" i="17"/>
  <c r="A11" i="17" s="1" a="1"/>
  <c r="A11" i="17" s="1"/>
  <c r="L10" i="17"/>
  <c r="CN10" i="4"/>
  <c r="P6" i="4"/>
  <c r="H13" i="16"/>
  <c r="A13" i="16" s="1" a="1"/>
  <c r="A13" i="16" s="1"/>
  <c r="L8" i="17"/>
  <c r="N11" i="16"/>
  <c r="N4" i="14"/>
  <c r="NO11" i="13"/>
  <c r="CN11" i="13"/>
  <c r="H16" i="17"/>
  <c r="A16" i="17" s="1" a="1"/>
  <c r="A16" i="17" s="1"/>
  <c r="N13" i="16"/>
  <c r="L8" i="16"/>
  <c r="N9" i="16"/>
  <c r="N8" i="15"/>
  <c r="L6" i="15"/>
  <c r="I11" i="13"/>
  <c r="F11" i="13"/>
  <c r="G11" i="13"/>
  <c r="H11" i="13" s="1"/>
  <c r="A11" i="13" s="1" a="1"/>
  <c r="A11" i="13" s="1"/>
  <c r="CN4" i="4"/>
  <c r="NO14" i="4"/>
  <c r="I14" i="4"/>
  <c r="M14" i="4" s="1"/>
  <c r="N14" i="4" s="1"/>
  <c r="CF15" i="17"/>
  <c r="O15" i="17" s="1"/>
  <c r="CF16" i="17"/>
  <c r="O16" i="17" s="1"/>
  <c r="L16" i="17"/>
  <c r="H15" i="17"/>
  <c r="A15" i="17" s="1" a="1"/>
  <c r="A15" i="17" s="1"/>
  <c r="H14" i="17"/>
  <c r="A14" i="17" s="1" a="1"/>
  <c r="A14" i="17" s="1"/>
  <c r="CF11" i="17"/>
  <c r="O11" i="17" s="1"/>
  <c r="L11" i="17"/>
  <c r="CG9" i="17"/>
  <c r="CF14" i="17"/>
  <c r="O14" i="17" s="1"/>
  <c r="L14" i="17"/>
  <c r="L5" i="16"/>
  <c r="N7" i="16"/>
  <c r="L13" i="16"/>
  <c r="H7" i="16"/>
  <c r="A7" i="16" s="1" a="1"/>
  <c r="A7" i="16" s="1"/>
  <c r="H11" i="16"/>
  <c r="A11" i="16" s="1" a="1"/>
  <c r="A11" i="16" s="1"/>
  <c r="CF11" i="16"/>
  <c r="O11" i="16" s="1"/>
  <c r="L11" i="16"/>
  <c r="O13" i="16"/>
  <c r="H9" i="16"/>
  <c r="A9" i="16" s="1" a="1"/>
  <c r="A9" i="16" s="1"/>
  <c r="CF9" i="16"/>
  <c r="O9" i="16" s="1"/>
  <c r="L9" i="16"/>
  <c r="CF7" i="16"/>
  <c r="O7" i="16" s="1"/>
  <c r="L7" i="16"/>
  <c r="H6" i="15"/>
  <c r="A6" i="15" s="1" a="1"/>
  <c r="A6" i="15" s="1"/>
  <c r="O6" i="15"/>
  <c r="H8" i="15"/>
  <c r="A8" i="15" s="1" a="1"/>
  <c r="A8" i="15" s="1"/>
  <c r="CF8" i="15"/>
  <c r="O8" i="15" s="1"/>
  <c r="L8" i="15"/>
  <c r="H4" i="14"/>
  <c r="A4" i="14" s="1" a="1"/>
  <c r="A4" i="14" s="1"/>
  <c r="CF4" i="14"/>
  <c r="O4" i="14" s="1"/>
  <c r="L4" i="14"/>
  <c r="P14" i="4"/>
  <c r="F14" i="4"/>
  <c r="G14" i="4"/>
  <c r="H14" i="4" s="1"/>
  <c r="A14" i="4" s="1" a="1"/>
  <c r="A14" i="4" s="1"/>
  <c r="L9" i="17"/>
  <c r="H9" i="17"/>
  <c r="A9" i="17" s="1" a="1"/>
  <c r="A9" i="17" s="1"/>
  <c r="L4" i="16"/>
  <c r="CG6" i="16"/>
  <c r="CN8" i="4"/>
  <c r="CF9" i="17"/>
  <c r="CF4" i="16"/>
  <c r="O4" i="16" s="1"/>
  <c r="N12" i="17"/>
  <c r="CG12" i="16"/>
  <c r="N10" i="16"/>
  <c r="CF8" i="16"/>
  <c r="G10" i="13"/>
  <c r="H10" i="13" s="1"/>
  <c r="I9" i="13"/>
  <c r="F8" i="13"/>
  <c r="I8" i="13"/>
  <c r="I10" i="13"/>
  <c r="F10" i="13"/>
  <c r="F9" i="13"/>
  <c r="H5" i="15"/>
  <c r="A5" i="15" s="1" a="1"/>
  <c r="A5" i="15" s="1"/>
  <c r="I4" i="13"/>
  <c r="F4" i="13"/>
  <c r="N7" i="15"/>
  <c r="N4" i="16"/>
  <c r="H8" i="17"/>
  <c r="A8" i="17" s="1" a="1"/>
  <c r="A8" i="17" s="1"/>
  <c r="CG13" i="17"/>
  <c r="N10" i="17"/>
  <c r="CF10" i="17"/>
  <c r="O10" i="17" s="1"/>
  <c r="N6" i="17"/>
  <c r="H13" i="17"/>
  <c r="A13" i="17" s="1" a="1"/>
  <c r="A13" i="17" s="1"/>
  <c r="H10" i="17"/>
  <c r="A10" i="17" s="1" a="1"/>
  <c r="A10" i="17" s="1"/>
  <c r="CF8" i="17"/>
  <c r="O8" i="17" s="1"/>
  <c r="Q8" i="17" s="1"/>
  <c r="N8" i="17"/>
  <c r="CF5" i="16"/>
  <c r="CG5" i="16"/>
  <c r="H6" i="16"/>
  <c r="H12" i="16"/>
  <c r="CG14" i="16"/>
  <c r="H5" i="16"/>
  <c r="CG5" i="15"/>
  <c r="G4" i="13"/>
  <c r="H4" i="13" s="1"/>
  <c r="G9" i="13"/>
  <c r="H9" i="13" s="1"/>
  <c r="CN10" i="13"/>
  <c r="P13" i="4"/>
  <c r="J9" i="17"/>
  <c r="CF13" i="17"/>
  <c r="L13" i="17"/>
  <c r="H12" i="17"/>
  <c r="A12" i="17" s="1" a="1"/>
  <c r="A12" i="17" s="1"/>
  <c r="CF12" i="17"/>
  <c r="O12" i="17" s="1"/>
  <c r="L12" i="17"/>
  <c r="H6" i="17"/>
  <c r="CF6" i="17"/>
  <c r="O6" i="17" s="1"/>
  <c r="L6" i="17"/>
  <c r="H8" i="16"/>
  <c r="CG8" i="16"/>
  <c r="H14" i="16"/>
  <c r="H4" i="16"/>
  <c r="CF14" i="16"/>
  <c r="L14" i="16"/>
  <c r="CF6" i="16"/>
  <c r="L6" i="16"/>
  <c r="CF12" i="16"/>
  <c r="L12" i="16"/>
  <c r="H10" i="16"/>
  <c r="CF10" i="16"/>
  <c r="O10" i="16" s="1"/>
  <c r="L10" i="16"/>
  <c r="CF5" i="15"/>
  <c r="L5" i="15"/>
  <c r="H7" i="15"/>
  <c r="CF7" i="15"/>
  <c r="O7" i="15" s="1"/>
  <c r="L7" i="15"/>
  <c r="P4" i="13"/>
  <c r="G8" i="13"/>
  <c r="H8" i="13" s="1"/>
  <c r="CN8" i="13"/>
  <c r="CN9" i="13"/>
  <c r="P9" i="13"/>
  <c r="CN7" i="4"/>
  <c r="P11" i="4"/>
  <c r="P15" i="16" l="1"/>
  <c r="O9" i="15"/>
  <c r="E9" i="15" s="1"/>
  <c r="K4" i="13"/>
  <c r="M4" i="13"/>
  <c r="CL4" i="13" s="1"/>
  <c r="J10" i="13"/>
  <c r="M10" i="13"/>
  <c r="J11" i="13"/>
  <c r="M11" i="13"/>
  <c r="N11" i="13" s="1"/>
  <c r="K8" i="13"/>
  <c r="CK8" i="13" s="1"/>
  <c r="M8" i="13"/>
  <c r="CL8" i="13" s="1"/>
  <c r="K9" i="13"/>
  <c r="CK9" i="13" s="1"/>
  <c r="M9" i="13"/>
  <c r="N9" i="13" s="1"/>
  <c r="E15" i="16"/>
  <c r="E15" i="17"/>
  <c r="P15" i="17"/>
  <c r="Q15" i="17"/>
  <c r="E6" i="15"/>
  <c r="CM11" i="13"/>
  <c r="K11" i="13"/>
  <c r="CK11" i="13" s="1"/>
  <c r="K14" i="4"/>
  <c r="CK14" i="4" s="1"/>
  <c r="J14" i="4"/>
  <c r="CM14" i="4"/>
  <c r="E13" i="16"/>
  <c r="O8" i="16"/>
  <c r="E8" i="16" s="1"/>
  <c r="P6" i="15"/>
  <c r="Q6" i="15"/>
  <c r="O9" i="17"/>
  <c r="Q9" i="17" s="1"/>
  <c r="E16" i="17"/>
  <c r="Q16" i="17"/>
  <c r="P16" i="17"/>
  <c r="E11" i="17"/>
  <c r="Q11" i="17"/>
  <c r="P11" i="17"/>
  <c r="E14" i="17"/>
  <c r="Q14" i="17"/>
  <c r="P14" i="17"/>
  <c r="E11" i="16"/>
  <c r="Q11" i="16"/>
  <c r="P11" i="16"/>
  <c r="P13" i="16"/>
  <c r="Q13" i="16"/>
  <c r="O6" i="16"/>
  <c r="Q6" i="16" s="1"/>
  <c r="E9" i="16"/>
  <c r="Q9" i="16"/>
  <c r="P9" i="16"/>
  <c r="E7" i="16"/>
  <c r="Q7" i="16"/>
  <c r="P7" i="16"/>
  <c r="E8" i="15"/>
  <c r="Q8" i="15"/>
  <c r="P8" i="15"/>
  <c r="E4" i="14"/>
  <c r="Q4" i="14"/>
  <c r="P4" i="14"/>
  <c r="NO8" i="13"/>
  <c r="CL14" i="4"/>
  <c r="O12" i="16"/>
  <c r="E12" i="16" s="1"/>
  <c r="O13" i="17"/>
  <c r="E13" i="17" s="1"/>
  <c r="O5" i="16"/>
  <c r="P5" i="16" s="1"/>
  <c r="CM9" i="13"/>
  <c r="J9" i="13"/>
  <c r="CM8" i="13"/>
  <c r="J8" i="13"/>
  <c r="E4" i="16"/>
  <c r="J4" i="13"/>
  <c r="L4" i="13" s="1"/>
  <c r="K10" i="13"/>
  <c r="L10" i="13" s="1"/>
  <c r="CM4" i="13"/>
  <c r="CM10" i="13"/>
  <c r="NO9" i="13"/>
  <c r="O5" i="15"/>
  <c r="E5" i="15" s="1"/>
  <c r="Q4" i="16"/>
  <c r="P4" i="16"/>
  <c r="P8" i="17"/>
  <c r="E8" i="17"/>
  <c r="O14" i="16"/>
  <c r="Q14" i="16" s="1"/>
  <c r="P10" i="17"/>
  <c r="Q10" i="17"/>
  <c r="E10" i="17"/>
  <c r="E12" i="17"/>
  <c r="Q12" i="17"/>
  <c r="P12" i="17"/>
  <c r="E6" i="17"/>
  <c r="Q6" i="17"/>
  <c r="P6" i="17"/>
  <c r="E10" i="16"/>
  <c r="A10" i="16" s="1" a="1"/>
  <c r="A10" i="16" s="1"/>
  <c r="Q10" i="16"/>
  <c r="P10" i="16"/>
  <c r="E7" i="15"/>
  <c r="A7" i="15" s="1" a="1"/>
  <c r="A7" i="15" s="1"/>
  <c r="Q7" i="15"/>
  <c r="P7" i="15"/>
  <c r="CK4" i="13"/>
  <c r="N10" i="13" l="1"/>
  <c r="L8" i="13"/>
  <c r="P9" i="15"/>
  <c r="Q9" i="15"/>
  <c r="CL11" i="13"/>
  <c r="N8" i="13"/>
  <c r="N4" i="13"/>
  <c r="L9" i="13"/>
  <c r="CL9" i="13"/>
  <c r="Q9" i="13" s="1"/>
  <c r="L11" i="13"/>
  <c r="Q11" i="13"/>
  <c r="S11" i="13" s="1"/>
  <c r="L14" i="4"/>
  <c r="Q8" i="16"/>
  <c r="P8" i="16"/>
  <c r="E9" i="17"/>
  <c r="P9" i="17"/>
  <c r="E6" i="16"/>
  <c r="Q13" i="17"/>
  <c r="P13" i="17"/>
  <c r="P6" i="16"/>
  <c r="P12" i="16"/>
  <c r="Q12" i="16"/>
  <c r="E5" i="16"/>
  <c r="Q5" i="16"/>
  <c r="CL10" i="13"/>
  <c r="Q14" i="4"/>
  <c r="P5" i="15"/>
  <c r="Q5" i="15"/>
  <c r="CK10" i="13"/>
  <c r="E14" i="16"/>
  <c r="Q4" i="13"/>
  <c r="R4" i="13" s="1"/>
  <c r="P14" i="16"/>
  <c r="A8" i="16" a="1"/>
  <c r="A8" i="16" s="1"/>
  <c r="A14" i="16" a="1"/>
  <c r="A14" i="16" s="1"/>
  <c r="Q8" i="13"/>
  <c r="R11" i="13" l="1"/>
  <c r="E11" i="13"/>
  <c r="Q10" i="13"/>
  <c r="S10" i="13" s="1"/>
  <c r="E8" i="13"/>
  <c r="E9" i="13"/>
  <c r="R14" i="4"/>
  <c r="S14" i="4"/>
  <c r="E14" i="4"/>
  <c r="E4" i="13"/>
  <c r="S4" i="13"/>
  <c r="S9" i="13"/>
  <c r="R9" i="13"/>
  <c r="R8" i="13"/>
  <c r="S8" i="13"/>
  <c r="R10" i="13" l="1"/>
  <c r="E10" i="13"/>
  <c r="A10" i="13" a="1"/>
  <c r="A10" i="13" s="1"/>
  <c r="A4" i="13" a="1"/>
  <c r="A4" i="13" s="1"/>
  <c r="A9" i="13" a="1"/>
  <c r="A9" i="13" s="1"/>
  <c r="A8" i="13" a="1"/>
  <c r="A8" i="13" s="1"/>
  <c r="CA7" i="17" l="1"/>
  <c r="CB7" i="17"/>
  <c r="CC7" i="17"/>
  <c r="CD7" i="17"/>
  <c r="OB7" i="17"/>
  <c r="OC7" i="17"/>
  <c r="OD7" i="17"/>
  <c r="OE7" i="17"/>
  <c r="OF7" i="17"/>
  <c r="OH7" i="17"/>
  <c r="OI7" i="17"/>
  <c r="OJ7" i="17"/>
  <c r="OK7" i="17"/>
  <c r="OL7" i="17"/>
  <c r="OM7" i="17"/>
  <c r="ON7" i="17"/>
  <c r="OO7" i="17"/>
  <c r="OP7" i="17"/>
  <c r="OQ7" i="17"/>
  <c r="OR7" i="17"/>
  <c r="OS7" i="17"/>
  <c r="OT7" i="17"/>
  <c r="OU7" i="17"/>
  <c r="OV7" i="17"/>
  <c r="OW7" i="17"/>
  <c r="CA4" i="15"/>
  <c r="CB4" i="15"/>
  <c r="CC4" i="15"/>
  <c r="CD4" i="15"/>
  <c r="OB4" i="15"/>
  <c r="OC4" i="15"/>
  <c r="OD4" i="15"/>
  <c r="OE4" i="15"/>
  <c r="OF4" i="15"/>
  <c r="OH4" i="15"/>
  <c r="OI4" i="15"/>
  <c r="OJ4" i="15"/>
  <c r="OK4" i="15"/>
  <c r="OL4" i="15"/>
  <c r="OM4" i="15"/>
  <c r="ON4" i="15"/>
  <c r="OO4" i="15"/>
  <c r="OP4" i="15"/>
  <c r="OQ4" i="15"/>
  <c r="OR4" i="15"/>
  <c r="OS4" i="15"/>
  <c r="OT4" i="15"/>
  <c r="OU4" i="15"/>
  <c r="OV4" i="15"/>
  <c r="OW4" i="15"/>
  <c r="CE7" i="17" l="1"/>
  <c r="CE4" i="15"/>
  <c r="I7" i="17"/>
  <c r="J7" i="17" s="1"/>
  <c r="M4" i="15"/>
  <c r="N4" i="15" s="1"/>
  <c r="OG7" i="17"/>
  <c r="M7" i="17"/>
  <c r="N7" i="17" s="1"/>
  <c r="OZ7" i="17"/>
  <c r="K7" i="17"/>
  <c r="PA7" i="17"/>
  <c r="OY7" i="17"/>
  <c r="F7" i="17"/>
  <c r="G7" i="17"/>
  <c r="PB7" i="17"/>
  <c r="OG4" i="15"/>
  <c r="PB4" i="15"/>
  <c r="PA4" i="15"/>
  <c r="OY4" i="15"/>
  <c r="OZ4" i="15"/>
  <c r="PC4" i="15" s="1"/>
  <c r="F4" i="15"/>
  <c r="I4" i="15"/>
  <c r="J4" i="15" s="1"/>
  <c r="G4" i="15"/>
  <c r="K4" i="15"/>
  <c r="CA5" i="17"/>
  <c r="CB5" i="17"/>
  <c r="CC5" i="17"/>
  <c r="CD5" i="17"/>
  <c r="OB5" i="17"/>
  <c r="OC5" i="17"/>
  <c r="OD5" i="17"/>
  <c r="OE5" i="17"/>
  <c r="OF5" i="17"/>
  <c r="OH5" i="17"/>
  <c r="OI5" i="17"/>
  <c r="OJ5" i="17"/>
  <c r="OK5" i="17"/>
  <c r="OL5" i="17"/>
  <c r="OM5" i="17"/>
  <c r="ON5" i="17"/>
  <c r="OO5" i="17"/>
  <c r="OP5" i="17"/>
  <c r="OQ5" i="17"/>
  <c r="OR5" i="17"/>
  <c r="OS5" i="17"/>
  <c r="OT5" i="17"/>
  <c r="OU5" i="17"/>
  <c r="OV5" i="17"/>
  <c r="OW5" i="17"/>
  <c r="CD7" i="13"/>
  <c r="CE7" i="13"/>
  <c r="CF7" i="13"/>
  <c r="CH7" i="13"/>
  <c r="CI7" i="13"/>
  <c r="ML7" i="13"/>
  <c r="MM7" i="13"/>
  <c r="MN7" i="13"/>
  <c r="MP7" i="13"/>
  <c r="MQ7" i="13"/>
  <c r="MS7" i="13"/>
  <c r="MT7" i="13"/>
  <c r="MU7" i="13"/>
  <c r="MV7" i="13"/>
  <c r="MW7" i="13"/>
  <c r="MX7" i="13"/>
  <c r="MY7" i="13"/>
  <c r="MZ7" i="13"/>
  <c r="NJ7" i="13" s="1"/>
  <c r="NA7" i="13"/>
  <c r="NB7" i="13"/>
  <c r="NC7" i="13"/>
  <c r="ND7" i="13"/>
  <c r="NE7" i="13"/>
  <c r="NM7" i="13" s="1"/>
  <c r="NF7" i="13"/>
  <c r="NG7" i="13"/>
  <c r="CD6" i="13"/>
  <c r="CE6" i="13"/>
  <c r="CF6" i="13"/>
  <c r="CH6" i="13"/>
  <c r="CI6" i="13"/>
  <c r="ML6" i="13"/>
  <c r="MM6" i="13"/>
  <c r="MN6" i="13"/>
  <c r="MP6" i="13"/>
  <c r="MQ6" i="13"/>
  <c r="MS6" i="13"/>
  <c r="MT6" i="13"/>
  <c r="MU6" i="13"/>
  <c r="MV6" i="13"/>
  <c r="MW6" i="13"/>
  <c r="MX6" i="13"/>
  <c r="MY6" i="13"/>
  <c r="MZ6" i="13"/>
  <c r="NJ6" i="13" s="1"/>
  <c r="NA6" i="13"/>
  <c r="NB6" i="13"/>
  <c r="NC6" i="13"/>
  <c r="ND6" i="13"/>
  <c r="NE6" i="13"/>
  <c r="NM6" i="13" s="1"/>
  <c r="NF6" i="13"/>
  <c r="NG6" i="13"/>
  <c r="CD5" i="4"/>
  <c r="CE5" i="4"/>
  <c r="CF5" i="4"/>
  <c r="CH5" i="4"/>
  <c r="CI5" i="4"/>
  <c r="ML5" i="4"/>
  <c r="MM5" i="4"/>
  <c r="MN5" i="4"/>
  <c r="MP5" i="4"/>
  <c r="MQ5" i="4"/>
  <c r="MS5" i="4"/>
  <c r="MT5" i="4"/>
  <c r="MU5" i="4"/>
  <c r="MV5" i="4"/>
  <c r="MW5" i="4"/>
  <c r="MX5" i="4"/>
  <c r="MY5" i="4"/>
  <c r="MZ5" i="4"/>
  <c r="NJ5" i="4" s="1"/>
  <c r="NA5" i="4"/>
  <c r="NB5" i="4"/>
  <c r="NC5" i="4"/>
  <c r="ND5" i="4"/>
  <c r="NE5" i="4"/>
  <c r="NM5" i="4" s="1"/>
  <c r="NF5" i="4"/>
  <c r="NG5" i="4"/>
  <c r="NN5" i="4" s="1"/>
  <c r="CA5" i="14"/>
  <c r="CB5" i="14"/>
  <c r="CC5" i="14"/>
  <c r="CD5" i="14"/>
  <c r="OB5" i="14"/>
  <c r="OC5" i="14"/>
  <c r="OD5" i="14"/>
  <c r="OE5" i="14"/>
  <c r="OF5" i="14"/>
  <c r="OH5" i="14"/>
  <c r="OI5" i="14"/>
  <c r="OJ5" i="14"/>
  <c r="OK5" i="14"/>
  <c r="OL5" i="14"/>
  <c r="OM5" i="14"/>
  <c r="ON5" i="14"/>
  <c r="OO5" i="14"/>
  <c r="OP5" i="14"/>
  <c r="OQ5" i="14"/>
  <c r="OR5" i="14"/>
  <c r="OS5" i="14"/>
  <c r="OT5" i="14"/>
  <c r="OU5" i="14"/>
  <c r="OV5" i="14"/>
  <c r="OW5" i="14"/>
  <c r="CE5" i="14" l="1"/>
  <c r="CG7" i="13"/>
  <c r="CE5" i="17"/>
  <c r="PC7" i="17"/>
  <c r="CG6" i="13"/>
  <c r="CG5" i="4"/>
  <c r="L4" i="15"/>
  <c r="CG4" i="15"/>
  <c r="CF7" i="17"/>
  <c r="L7" i="17"/>
  <c r="CG7" i="17"/>
  <c r="H7" i="17"/>
  <c r="H4" i="15"/>
  <c r="CF4" i="15"/>
  <c r="OY5" i="17"/>
  <c r="OG5" i="17"/>
  <c r="PA5" i="17"/>
  <c r="M5" i="17"/>
  <c r="N5" i="17" s="1"/>
  <c r="PB5" i="17"/>
  <c r="OZ5" i="17"/>
  <c r="K5" i="17"/>
  <c r="F5" i="17"/>
  <c r="I5" i="17"/>
  <c r="G5" i="17"/>
  <c r="OG5" i="14"/>
  <c r="CJ7" i="13"/>
  <c r="CJ6" i="13"/>
  <c r="NK7" i="13"/>
  <c r="MO6" i="13"/>
  <c r="MR6" i="13" s="1"/>
  <c r="O7" i="13"/>
  <c r="CN7" i="13" s="1"/>
  <c r="MO7" i="13"/>
  <c r="MR7" i="13" s="1"/>
  <c r="NI7" i="13"/>
  <c r="NK6" i="13"/>
  <c r="NI6" i="13"/>
  <c r="O6" i="13"/>
  <c r="P6" i="13" s="1"/>
  <c r="O5" i="4"/>
  <c r="P5" i="4" s="1"/>
  <c r="NN4" i="4"/>
  <c r="MO5" i="4"/>
  <c r="MR5" i="4" s="1"/>
  <c r="NK5" i="4"/>
  <c r="NI5" i="4"/>
  <c r="M5" i="14"/>
  <c r="N5" i="14" s="1"/>
  <c r="OZ5" i="14"/>
  <c r="PB5" i="14"/>
  <c r="PA5" i="14"/>
  <c r="OY5" i="14"/>
  <c r="G5" i="14"/>
  <c r="F5" i="14"/>
  <c r="I5" i="14"/>
  <c r="K5" i="14"/>
  <c r="PC5" i="14" l="1"/>
  <c r="PC5" i="17"/>
  <c r="NL5" i="4"/>
  <c r="O4" i="15"/>
  <c r="E4" i="15" s="1"/>
  <c r="O7" i="17"/>
  <c r="E7" i="17" s="1"/>
  <c r="L5" i="17"/>
  <c r="L5" i="14"/>
  <c r="CG5" i="17"/>
  <c r="CF5" i="17"/>
  <c r="H5" i="17"/>
  <c r="J5" i="17"/>
  <c r="I5" i="4"/>
  <c r="I7" i="13"/>
  <c r="F7" i="13"/>
  <c r="I6" i="13"/>
  <c r="M6" i="13" s="1"/>
  <c r="G6" i="13"/>
  <c r="H6" i="13" s="1"/>
  <c r="A6" i="13" s="1" a="1"/>
  <c r="A6" i="13" s="1"/>
  <c r="G7" i="13"/>
  <c r="H7" i="13" s="1"/>
  <c r="P7" i="13"/>
  <c r="F6" i="13"/>
  <c r="CN6" i="13"/>
  <c r="CN5" i="4"/>
  <c r="F5" i="4"/>
  <c r="CJ5" i="4"/>
  <c r="G5" i="4"/>
  <c r="H5" i="4" s="1"/>
  <c r="CG5" i="14"/>
  <c r="H5" i="14"/>
  <c r="J5" i="14"/>
  <c r="CF5" i="14"/>
  <c r="CM7" i="13" l="1"/>
  <c r="M7" i="13"/>
  <c r="J5" i="4"/>
  <c r="M5" i="4"/>
  <c r="N5" i="4" s="1"/>
  <c r="A5" i="16" a="1"/>
  <c r="A5" i="16" s="1"/>
  <c r="A12" i="16" a="1"/>
  <c r="A12" i="16" s="1"/>
  <c r="A6" i="16" a="1"/>
  <c r="A6" i="16" s="1"/>
  <c r="P4" i="15"/>
  <c r="Q4" i="15"/>
  <c r="Q7" i="17"/>
  <c r="P7" i="17"/>
  <c r="O5" i="17"/>
  <c r="P5" i="17" s="1"/>
  <c r="K5" i="4"/>
  <c r="CK5" i="4" s="1"/>
  <c r="CM5" i="4"/>
  <c r="K6" i="13"/>
  <c r="CK6" i="13" s="1"/>
  <c r="A4" i="16" a="1"/>
  <c r="A4" i="16" s="1"/>
  <c r="K7" i="13"/>
  <c r="CK7" i="13" s="1"/>
  <c r="CL7" i="13"/>
  <c r="J7" i="13"/>
  <c r="CM6" i="13"/>
  <c r="J6" i="13"/>
  <c r="N6" i="13" s="1"/>
  <c r="CL6" i="13"/>
  <c r="O5" i="14"/>
  <c r="E5" i="14" s="1"/>
  <c r="N7" i="13" l="1"/>
  <c r="CL5" i="4"/>
  <c r="Q5" i="4" s="1"/>
  <c r="Q5" i="17"/>
  <c r="E5" i="17"/>
  <c r="L5" i="4"/>
  <c r="L7" i="13"/>
  <c r="L6" i="13"/>
  <c r="Q5" i="14"/>
  <c r="P5" i="14"/>
  <c r="Q7" i="13"/>
  <c r="S7" i="13" s="1"/>
  <c r="Q6" i="13"/>
  <c r="E5" i="4" l="1"/>
  <c r="E6" i="13"/>
  <c r="R7" i="13"/>
  <c r="E7" i="13"/>
  <c r="S6" i="13"/>
  <c r="R6" i="13"/>
  <c r="S5" i="4"/>
  <c r="R5" i="4"/>
  <c r="CD5" i="13"/>
  <c r="CE5" i="13"/>
  <c r="CF5" i="13"/>
  <c r="CH5" i="13"/>
  <c r="CI5" i="13"/>
  <c r="ML5" i="13"/>
  <c r="MM5" i="13"/>
  <c r="MN5" i="13"/>
  <c r="MP5" i="13"/>
  <c r="MQ5" i="13"/>
  <c r="MS5" i="13"/>
  <c r="MT5" i="13"/>
  <c r="MU5" i="13"/>
  <c r="MV5" i="13"/>
  <c r="MW5" i="13"/>
  <c r="MX5" i="13"/>
  <c r="MY5" i="13"/>
  <c r="MZ5" i="13"/>
  <c r="NJ5" i="13" s="1"/>
  <c r="NA5" i="13"/>
  <c r="NB5" i="13"/>
  <c r="NC5" i="13"/>
  <c r="ND5" i="13"/>
  <c r="NE5" i="13"/>
  <c r="NM5" i="13" s="1"/>
  <c r="NF5" i="13"/>
  <c r="NG5" i="13"/>
  <c r="CG5" i="13" l="1"/>
  <c r="CJ5" i="13" s="1"/>
  <c r="NN7" i="13"/>
  <c r="NN6" i="13"/>
  <c r="NN10" i="13"/>
  <c r="NN5" i="13"/>
  <c r="MO5" i="13"/>
  <c r="MR5" i="13" s="1"/>
  <c r="O5" i="13"/>
  <c r="CN5" i="13" s="1"/>
  <c r="NK5" i="13"/>
  <c r="NI5" i="13"/>
  <c r="OW4" i="17"/>
  <c r="OV4" i="17"/>
  <c r="OU4" i="17"/>
  <c r="OT4" i="17"/>
  <c r="OS4" i="17"/>
  <c r="OR4" i="17"/>
  <c r="OQ4" i="17"/>
  <c r="OP4" i="17"/>
  <c r="OO4" i="17"/>
  <c r="ON4" i="17"/>
  <c r="OM4" i="17"/>
  <c r="OL4" i="17"/>
  <c r="OK4" i="17"/>
  <c r="OJ4" i="17"/>
  <c r="OI4" i="17"/>
  <c r="OH4" i="17"/>
  <c r="OF4" i="17"/>
  <c r="OE4" i="17"/>
  <c r="OD4" i="17"/>
  <c r="OC4" i="17"/>
  <c r="OB4" i="17"/>
  <c r="CD4" i="17"/>
  <c r="CC4" i="17"/>
  <c r="CB4" i="17"/>
  <c r="CE4" i="17" s="1"/>
  <c r="CA4" i="17"/>
  <c r="OG4" i="17" l="1"/>
  <c r="A5" i="4" a="1"/>
  <c r="A5" i="4" s="1"/>
  <c r="P5" i="13"/>
  <c r="I5" i="13"/>
  <c r="M5" i="13" s="1"/>
  <c r="F5" i="13"/>
  <c r="G5" i="13"/>
  <c r="H5" i="13" s="1"/>
  <c r="M4" i="17"/>
  <c r="CG4" i="17" s="1"/>
  <c r="G4" i="17"/>
  <c r="OY4" i="17"/>
  <c r="PB4" i="17"/>
  <c r="PA4" i="17"/>
  <c r="OZ4" i="17"/>
  <c r="PC4" i="17" s="1"/>
  <c r="I4" i="17"/>
  <c r="K4" i="17"/>
  <c r="F4" i="17"/>
  <c r="NO6" i="13" l="1"/>
  <c r="NO7" i="13"/>
  <c r="CF4" i="17"/>
  <c r="L4" i="17"/>
  <c r="NO5" i="13"/>
  <c r="NO10" i="13"/>
  <c r="K5" i="13"/>
  <c r="CK5" i="13" s="1"/>
  <c r="CM5" i="13"/>
  <c r="J5" i="13"/>
  <c r="N5" i="13" s="1"/>
  <c r="CL5" i="13"/>
  <c r="N4" i="17"/>
  <c r="H4" i="17"/>
  <c r="J4" i="17"/>
  <c r="L5" i="13" l="1"/>
  <c r="Q5" i="13"/>
  <c r="O4" i="17"/>
  <c r="E4" i="17" s="1"/>
  <c r="A6" i="17" s="1" a="1"/>
  <c r="A6" i="17" s="1"/>
  <c r="A4" i="15" l="1" a="1"/>
  <c r="A4" i="15" s="1"/>
  <c r="A7" i="17" a="1"/>
  <c r="A7" i="17" s="1"/>
  <c r="A5" i="17" a="1"/>
  <c r="A5" i="17" s="1"/>
  <c r="A4" i="17" a="1"/>
  <c r="A4" i="17" s="1"/>
  <c r="A5" i="14" a="1"/>
  <c r="A5" i="14" s="1"/>
  <c r="E5" i="13"/>
  <c r="A7" i="13" s="1" a="1"/>
  <c r="A7" i="13" s="1"/>
  <c r="R5" i="13"/>
  <c r="S5" i="13"/>
  <c r="Q4" i="17"/>
  <c r="P4" i="17"/>
  <c r="A5" i="13" l="1" a="1"/>
  <c r="A5" i="13" s="1"/>
  <c r="D12" i="11"/>
  <c r="C11" i="11"/>
  <c r="D13" i="11"/>
  <c r="D11" i="11"/>
  <c r="C12" i="11"/>
  <c r="C10" i="11"/>
  <c r="D10" i="11"/>
  <c r="C13" i="11"/>
  <c r="C14" i="11"/>
  <c r="C19" i="11"/>
  <c r="D20" i="11"/>
  <c r="C21" i="11"/>
  <c r="D21" i="11"/>
  <c r="C20" i="11"/>
  <c r="D19" i="11"/>
  <c r="C18" i="11"/>
  <c r="D14" i="11"/>
  <c r="C15" i="11"/>
  <c r="D18" i="11"/>
  <c r="D17" i="11"/>
  <c r="D16" i="11"/>
  <c r="D15" i="11"/>
  <c r="C17" i="11"/>
  <c r="C16" i="11"/>
  <c r="D25" i="11"/>
  <c r="C23" i="11"/>
  <c r="C25" i="11"/>
  <c r="D24" i="11"/>
  <c r="C24" i="11"/>
  <c r="C22" i="11"/>
  <c r="D23" i="11"/>
  <c r="D22" i="11"/>
  <c r="NN4" i="13" l="1"/>
  <c r="NO4" i="13" l="1"/>
  <c r="D8" i="11" l="1"/>
  <c r="D7" i="11"/>
  <c r="C9" i="11"/>
  <c r="C8" i="11"/>
  <c r="C6" i="11"/>
  <c r="D9" i="11"/>
  <c r="C7" i="11"/>
  <c r="D6" i="11"/>
  <c r="MS6" i="4" l="1"/>
  <c r="MS7" i="4"/>
  <c r="MS10" i="4"/>
  <c r="MS11" i="4"/>
  <c r="MS8" i="4"/>
  <c r="MS4" i="4"/>
  <c r="CD7" i="4"/>
  <c r="CG7" i="4" s="1"/>
  <c r="MS13" i="4"/>
  <c r="CD6" i="4"/>
  <c r="CG6" i="4" s="1"/>
  <c r="MS9" i="4"/>
  <c r="CD8" i="4"/>
  <c r="CD13" i="4"/>
  <c r="CG13" i="4" s="1"/>
  <c r="CD12" i="4"/>
  <c r="CG12" i="4" s="1"/>
  <c r="MS12" i="4"/>
  <c r="CD9" i="4"/>
  <c r="CD11" i="4"/>
  <c r="CD4" i="4"/>
  <c r="CD10" i="4"/>
  <c r="MX6" i="4"/>
  <c r="MX12" i="4"/>
  <c r="MX11" i="4"/>
  <c r="MX9" i="4"/>
  <c r="MX8" i="4"/>
  <c r="MX13" i="4"/>
  <c r="MX4" i="4"/>
  <c r="MX10" i="4"/>
  <c r="MX7" i="4"/>
  <c r="MT11" i="4"/>
  <c r="MU8" i="4"/>
  <c r="MT9" i="4"/>
  <c r="NB10" i="4"/>
  <c r="MW7" i="4"/>
  <c r="NA13" i="4"/>
  <c r="MY12" i="4"/>
  <c r="MW6" i="4"/>
  <c r="CF6" i="4"/>
  <c r="NA10" i="4"/>
  <c r="NB4" i="4"/>
  <c r="MV6" i="4"/>
  <c r="MZ6" i="4"/>
  <c r="NJ6" i="4" s="1"/>
  <c r="NA6" i="4"/>
  <c r="MZ7" i="4"/>
  <c r="NJ7" i="4" s="1"/>
  <c r="MV9" i="4"/>
  <c r="MU9" i="4"/>
  <c r="MW12" i="4"/>
  <c r="CF12" i="4"/>
  <c r="NA4" i="4"/>
  <c r="MY10" i="4"/>
  <c r="MT4" i="4"/>
  <c r="MT6" i="4"/>
  <c r="CF9" i="4"/>
  <c r="MW8" i="4"/>
  <c r="MV8" i="4"/>
  <c r="MW10" i="4"/>
  <c r="NB7" i="4"/>
  <c r="NA7" i="4"/>
  <c r="MW9" i="4"/>
  <c r="CF7" i="4"/>
  <c r="MT7" i="4"/>
  <c r="MW13" i="4"/>
  <c r="MY4" i="4"/>
  <c r="NB8" i="4"/>
  <c r="MV13" i="4"/>
  <c r="MT12" i="4"/>
  <c r="NB9" i="4"/>
  <c r="MV10" i="4"/>
  <c r="MZ10" i="4"/>
  <c r="NJ10" i="4" s="1"/>
  <c r="MT8" i="4"/>
  <c r="NB11" i="4"/>
  <c r="MY13" i="4"/>
  <c r="MV12" i="4"/>
  <c r="MZ12" i="4"/>
  <c r="NJ12" i="4" s="1"/>
  <c r="MY11" i="4"/>
  <c r="CF13" i="4"/>
  <c r="CF10" i="4"/>
  <c r="MW11" i="4"/>
  <c r="MU13" i="4"/>
  <c r="MW4" i="4"/>
  <c r="CF4" i="4"/>
  <c r="NA9" i="4"/>
  <c r="MU10" i="4"/>
  <c r="NB6" i="4"/>
  <c r="CF8" i="4"/>
  <c r="MZ13" i="4"/>
  <c r="NJ13" i="4" s="1"/>
  <c r="MU7" i="4"/>
  <c r="MU6" i="4"/>
  <c r="MU12" i="4"/>
  <c r="CF11" i="4"/>
  <c r="NA8" i="4"/>
  <c r="MV11" i="4"/>
  <c r="MZ11" i="4"/>
  <c r="NJ11" i="4" s="1"/>
  <c r="MZ8" i="4"/>
  <c r="NJ8" i="4" s="1"/>
  <c r="MT13" i="4"/>
  <c r="MV4" i="4"/>
  <c r="MZ4" i="4"/>
  <c r="NJ4" i="4" s="1"/>
  <c r="MZ9" i="4"/>
  <c r="NJ9" i="4" s="1"/>
  <c r="MT10" i="4"/>
  <c r="NB12" i="4"/>
  <c r="MY7" i="4"/>
  <c r="NA12" i="4"/>
  <c r="MY6" i="4"/>
  <c r="NB13" i="4"/>
  <c r="MV7" i="4"/>
  <c r="NA11" i="4"/>
  <c r="CE11" i="4"/>
  <c r="MU11" i="4"/>
  <c r="MY8" i="4"/>
  <c r="CE8" i="4"/>
  <c r="CE7" i="4"/>
  <c r="CE13" i="4"/>
  <c r="CE12" i="4"/>
  <c r="CE4" i="4"/>
  <c r="MU4" i="4"/>
  <c r="MY9" i="4"/>
  <c r="CE9" i="4"/>
  <c r="CE6" i="4"/>
  <c r="CE10" i="4"/>
  <c r="CG8" i="4" l="1"/>
  <c r="CG10" i="4"/>
  <c r="CG4" i="4"/>
  <c r="CG11" i="4"/>
  <c r="CG9" i="4"/>
  <c r="G9" i="4" s="1"/>
  <c r="H9" i="4" s="1"/>
  <c r="A9" i="4" s="1" a="1"/>
  <c r="A9" i="4" s="1"/>
  <c r="NI11" i="4"/>
  <c r="NI6" i="4"/>
  <c r="NI12" i="4"/>
  <c r="NK11" i="4"/>
  <c r="G4" i="4"/>
  <c r="H4" i="4" s="1"/>
  <c r="A4" i="4" s="1" a="1"/>
  <c r="A4" i="4" s="1"/>
  <c r="F8" i="4"/>
  <c r="F12" i="4"/>
  <c r="I13" i="4"/>
  <c r="M13" i="4" s="1"/>
  <c r="N13" i="4" s="1"/>
  <c r="I10" i="4"/>
  <c r="M10" i="4" s="1"/>
  <c r="N10" i="4" s="1"/>
  <c r="NI10" i="4"/>
  <c r="NI8" i="4"/>
  <c r="NK8" i="4"/>
  <c r="NK9" i="4"/>
  <c r="NI7" i="4"/>
  <c r="CJ11" i="4"/>
  <c r="NI9" i="4"/>
  <c r="F6" i="4"/>
  <c r="NK4" i="4"/>
  <c r="NI4" i="4"/>
  <c r="NL4" i="4" s="1"/>
  <c r="NO4" i="4" s="1"/>
  <c r="NK6" i="4"/>
  <c r="NI13" i="4"/>
  <c r="NK7" i="4"/>
  <c r="G7" i="4"/>
  <c r="H7" i="4" s="1"/>
  <c r="A7" i="4" s="1" a="1"/>
  <c r="A7" i="4" s="1"/>
  <c r="NK12" i="4"/>
  <c r="NK10" i="4"/>
  <c r="NK13" i="4"/>
  <c r="F10" i="4" l="1"/>
  <c r="NL8" i="4"/>
  <c r="NL10" i="4"/>
  <c r="NL12" i="4"/>
  <c r="NL13" i="4"/>
  <c r="NL6" i="4"/>
  <c r="NL9" i="4"/>
  <c r="NL7" i="4"/>
  <c r="NL11" i="4"/>
  <c r="NO10" i="4" s="1"/>
  <c r="I4" i="4"/>
  <c r="G8" i="4"/>
  <c r="H8" i="4" s="1"/>
  <c r="A8" i="4" s="1" a="1"/>
  <c r="A8" i="4" s="1"/>
  <c r="F4" i="4"/>
  <c r="I7" i="4"/>
  <c r="I9" i="4"/>
  <c r="F7" i="4"/>
  <c r="CJ7" i="4"/>
  <c r="G13" i="4"/>
  <c r="H13" i="4" s="1"/>
  <c r="A13" i="4" s="1" a="1"/>
  <c r="A13" i="4" s="1"/>
  <c r="I8" i="4"/>
  <c r="CJ9" i="4"/>
  <c r="F13" i="4"/>
  <c r="I12" i="4"/>
  <c r="M12" i="4" s="1"/>
  <c r="CJ4" i="4"/>
  <c r="G12" i="4"/>
  <c r="H12" i="4" s="1"/>
  <c r="A12" i="4" s="1" a="1"/>
  <c r="A12" i="4" s="1"/>
  <c r="F9" i="4"/>
  <c r="F11" i="4"/>
  <c r="CJ12" i="4"/>
  <c r="CJ8" i="4"/>
  <c r="CJ10" i="4"/>
  <c r="G10" i="4"/>
  <c r="H10" i="4" s="1"/>
  <c r="A10" i="4" s="1" a="1"/>
  <c r="A10" i="4" s="1"/>
  <c r="CJ13" i="4"/>
  <c r="G6" i="4"/>
  <c r="H6" i="4" s="1"/>
  <c r="A6" i="4" s="1" a="1"/>
  <c r="A6" i="4" s="1"/>
  <c r="I6" i="4"/>
  <c r="CJ6" i="4"/>
  <c r="I11" i="4"/>
  <c r="G11" i="4"/>
  <c r="H11" i="4" s="1"/>
  <c r="A11" i="4" s="1" a="1"/>
  <c r="A11" i="4" s="1"/>
  <c r="K13" i="4"/>
  <c r="CM13" i="4"/>
  <c r="J13" i="4"/>
  <c r="CM10" i="4"/>
  <c r="J10" i="4"/>
  <c r="K10" i="4"/>
  <c r="J9" i="4" l="1"/>
  <c r="M9" i="4"/>
  <c r="N9" i="4" s="1"/>
  <c r="J7" i="4"/>
  <c r="M7" i="4"/>
  <c r="N7" i="4" s="1"/>
  <c r="CM4" i="4"/>
  <c r="M4" i="4"/>
  <c r="N4" i="4" s="1"/>
  <c r="K11" i="4"/>
  <c r="CK11" i="4" s="1"/>
  <c r="M11" i="4"/>
  <c r="N11" i="4" s="1"/>
  <c r="J6" i="4"/>
  <c r="M6" i="4"/>
  <c r="N6" i="4" s="1"/>
  <c r="J8" i="4"/>
  <c r="M8" i="4"/>
  <c r="N8" i="4" s="1"/>
  <c r="K4" i="4"/>
  <c r="L4" i="4" s="1"/>
  <c r="K7" i="4"/>
  <c r="CK7" i="4" s="1"/>
  <c r="J4" i="4"/>
  <c r="CM7" i="4"/>
  <c r="CM9" i="4"/>
  <c r="K9" i="4"/>
  <c r="L9" i="4" s="1"/>
  <c r="CL9" i="4"/>
  <c r="NO11" i="4"/>
  <c r="CM8" i="4"/>
  <c r="K8" i="4"/>
  <c r="K12" i="4"/>
  <c r="CK12" i="4" s="1"/>
  <c r="CM12" i="4"/>
  <c r="NO6" i="4"/>
  <c r="J12" i="4"/>
  <c r="N12" i="4" s="1"/>
  <c r="CM6" i="4"/>
  <c r="K6" i="4"/>
  <c r="CK6" i="4" s="1"/>
  <c r="NO12" i="4"/>
  <c r="NO5" i="4"/>
  <c r="NO9" i="4"/>
  <c r="D2" i="11"/>
  <c r="NO8" i="4"/>
  <c r="J11" i="4"/>
  <c r="NO13" i="4"/>
  <c r="NO7" i="4"/>
  <c r="CM11" i="4"/>
  <c r="C2" i="11"/>
  <c r="C5" i="11"/>
  <c r="C4" i="11"/>
  <c r="D3" i="11"/>
  <c r="D4" i="11"/>
  <c r="D5" i="11"/>
  <c r="C3" i="11"/>
  <c r="L10" i="4"/>
  <c r="CK10" i="4"/>
  <c r="CL13" i="4"/>
  <c r="CK13" i="4"/>
  <c r="L13" i="4"/>
  <c r="CL10" i="4"/>
  <c r="CL7" i="4"/>
  <c r="CL12" i="4"/>
  <c r="L7" i="4" l="1"/>
  <c r="L11" i="4"/>
  <c r="L8" i="4"/>
  <c r="CK4" i="4"/>
  <c r="CL6" i="4"/>
  <c r="Q6" i="4" s="1"/>
  <c r="CK9" i="4"/>
  <c r="Q9" i="4" s="1"/>
  <c r="S9" i="4" s="1"/>
  <c r="CL4" i="4"/>
  <c r="CL8" i="4"/>
  <c r="L12" i="4"/>
  <c r="CK8" i="4"/>
  <c r="L6" i="4"/>
  <c r="Q10" i="4"/>
  <c r="S10" i="4" s="1"/>
  <c r="CL11" i="4"/>
  <c r="Q11" i="4" s="1"/>
  <c r="Q12" i="4"/>
  <c r="Q13" i="4"/>
  <c r="E13" i="4" s="1"/>
  <c r="Q7" i="4"/>
  <c r="R7" i="4" s="1"/>
  <c r="Q4" i="4" l="1"/>
  <c r="R4" i="4" s="1"/>
  <c r="R6" i="4"/>
  <c r="S6" i="4"/>
  <c r="Q8" i="4"/>
  <c r="S8" i="4" s="1"/>
  <c r="E12" i="4"/>
  <c r="E11" i="4"/>
  <c r="E6" i="4"/>
  <c r="E4" i="4"/>
  <c r="E10" i="4"/>
  <c r="S12" i="4"/>
  <c r="R10" i="4"/>
  <c r="R12" i="4"/>
  <c r="R9" i="4"/>
  <c r="S4" i="4"/>
  <c r="E7" i="4"/>
  <c r="E9" i="4"/>
  <c r="S13" i="4"/>
  <c r="R13" i="4"/>
  <c r="S7" i="4"/>
  <c r="R11" i="4"/>
  <c r="S11" i="4"/>
  <c r="E8" i="4" l="1"/>
  <c r="R8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<sst xmlns="http://schemas.openxmlformats.org/spreadsheetml/2006/main" count="3103" uniqueCount="123">
  <si>
    <t>Province</t>
  </si>
  <si>
    <t>Rank</t>
  </si>
  <si>
    <t>Total Points</t>
  </si>
  <si>
    <t>QC</t>
  </si>
  <si>
    <t>DD</t>
  </si>
  <si>
    <t>Team Score</t>
  </si>
  <si>
    <t>Standing</t>
  </si>
  <si>
    <t>Best Prelim</t>
  </si>
  <si>
    <t>Best Vol 1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</si>
  <si>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</si>
  <si>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</si>
  <si>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</si>
  <si>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</si>
  <si>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</si>
  <si>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</si>
  <si>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</si>
  <si>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</si>
  <si>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</si>
  <si>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</si>
  <si>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</si>
  <si>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</si>
  <si>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</si>
  <si>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</si>
  <si>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</si>
  <si>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</si>
  <si>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</si>
  <si>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</si>
  <si>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</si>
  <si>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</si>
  <si>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</si>
  <si>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</si>
  <si>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</si>
  <si>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</si>
  <si>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</si>
  <si>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</si>
  <si>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</si>
  <si>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</si>
  <si>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</si>
  <si>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</si>
  <si>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</si>
  <si>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</si>
  <si>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</si>
  <si>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</si>
  <si>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</si>
  <si>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</si>
  <si>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</si>
  <si>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</si>
  <si>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</si>
  <si>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</si>
  <si>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</si>
  <si>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</si>
  <si>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</si>
  <si>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</si>
  <si>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</si>
  <si>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</si>
  <si>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</si>
  <si>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</si>
  <si>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</si>
  <si>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</si>
  <si>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Merit DD</t>
  </si>
  <si>
    <t>Vol 2 DD</t>
  </si>
  <si>
    <t>Best Vol 2</t>
  </si>
  <si>
    <t>ON</t>
  </si>
  <si>
    <t>LEE-McMEEKEN, Brooklyn</t>
  </si>
  <si>
    <t>BC</t>
  </si>
  <si>
    <t>Best Q1</t>
  </si>
  <si>
    <t>2nd Best Q1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</si>
  <si>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</si>
  <si>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</si>
  <si>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</si>
  <si>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</si>
  <si>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</si>
  <si>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</si>
  <si>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</si>
  <si>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</si>
  <si>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LEE-MCMEEKEN, Brooklyn</t>
  </si>
  <si>
    <t>GOOD, Hayden</t>
  </si>
  <si>
    <t>LEPORÉ, Amylia</t>
  </si>
  <si>
    <t>HUGHES, Arya</t>
  </si>
  <si>
    <t>JEAN-LOUIS, Jayda</t>
  </si>
  <si>
    <t>2025 Elite Canada</t>
  </si>
  <si>
    <t>RENOU, Brayden</t>
  </si>
  <si>
    <t>LALIBERTÉ, Félix</t>
  </si>
  <si>
    <t>CAHILL, Benjamin</t>
  </si>
  <si>
    <t>OUGHTRED, Max</t>
  </si>
  <si>
    <t>NELSON, Cooper</t>
  </si>
  <si>
    <t>AB</t>
  </si>
  <si>
    <t>KURTZ, Lily</t>
  </si>
  <si>
    <t>MOBORG, Reese</t>
  </si>
  <si>
    <t>SLUGA, Arianna</t>
  </si>
  <si>
    <t>ALDOUS, Addison</t>
  </si>
  <si>
    <t>BEIRAM, Évita</t>
  </si>
  <si>
    <t>LEWIS, Jordyn</t>
  </si>
  <si>
    <t>LANQUETIN, Yannick</t>
  </si>
  <si>
    <t>KISKO, Roman</t>
  </si>
  <si>
    <t>MORRISON, Xavier</t>
  </si>
  <si>
    <t>MACINTOSH, Braxton</t>
  </si>
  <si>
    <t>SANDERSON, Aurora</t>
  </si>
  <si>
    <t>MACDOUGALL, Kira</t>
  </si>
  <si>
    <t>NOVOTNY, Ella</t>
  </si>
  <si>
    <t>2025 Nationals</t>
  </si>
  <si>
    <t>PATEL, Blaine</t>
  </si>
  <si>
    <t>MORNEAU, Benjamin</t>
  </si>
  <si>
    <t>JENKINSON, Bentley</t>
  </si>
  <si>
    <t>FORTINO, Louis</t>
  </si>
  <si>
    <t>NS</t>
  </si>
  <si>
    <t>LAURIN, Abby</t>
  </si>
  <si>
    <t>MCFARLANE, Michael</t>
  </si>
  <si>
    <t>MOSIER, Bella</t>
  </si>
  <si>
    <t>MILLIN, Declan</t>
  </si>
  <si>
    <t>BONDY, Philippe</t>
  </si>
  <si>
    <t>GORMICK, Liam</t>
  </si>
  <si>
    <t>MATHIEU, Angéline</t>
  </si>
  <si>
    <t>FLETCHER-BOSTWICK, Aja</t>
  </si>
  <si>
    <t>OLDFIELD, Isla</t>
  </si>
  <si>
    <t>BILO, Eva</t>
  </si>
  <si>
    <t>2025 Coimbra Gym Fest (July 6)</t>
  </si>
  <si>
    <t>TOLOSA, Kaizen</t>
  </si>
  <si>
    <t>EVITA, Beiram</t>
  </si>
  <si>
    <t>2025 3rd Domestic Trial</t>
  </si>
  <si>
    <t>Prelim DD</t>
  </si>
  <si>
    <t>2025 WAGC (Nov 16)</t>
  </si>
  <si>
    <t>2025 WAGC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</si>
</sst>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82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164" fontId="0" fillId="3" borderId="0" xfId="0" applyNumberFormat="1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3" fillId="0" borderId="0" xfId="0" applyFont="1"/>
    <xf numFmtId="0" fontId="0" fillId="10" borderId="0" xfId="0" applyFill="1"/>
    <xf numFmtId="164" fontId="0" fillId="10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12" fillId="11" borderId="0" xfId="0" applyFont="1" applyFill="1" applyAlignment="1">
      <alignment horizontal="center"/>
    </xf>
    <xf numFmtId="164" fontId="6" fillId="0" borderId="0" xfId="0" applyNumberFormat="1" applyFont="1"/>
    <xf numFmtId="164" fontId="6" fillId="4" borderId="1" xfId="1" applyNumberFormat="1" applyFont="1" applyFill="1" applyBorder="1" applyProtection="1">
      <protection locked="0"/>
    </xf>
    <xf numFmtId="164" fontId="17" fillId="6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7" fillId="6" borderId="0" xfId="0" applyFont="1" applyFill="1"/>
    <xf numFmtId="0" fontId="10" fillId="7" borderId="0" xfId="0" applyFont="1" applyFill="1"/>
    <xf numFmtId="0" fontId="11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9" fillId="3" borderId="1" xfId="0" applyNumberFormat="1" applyFont="1" applyFill="1" applyBorder="1" applyAlignment="1" applyProtection="1">
      <alignment horizontal="center"/>
      <protection locked="0"/>
    </xf>
    <xf numFmtId="164" fontId="19" fillId="4" borderId="1" xfId="0" applyNumberFormat="1" applyFont="1" applyFill="1" applyBorder="1" applyAlignment="1" applyProtection="1">
      <alignment horizontal="center"/>
      <protection locked="0"/>
    </xf>
    <xf numFmtId="0" fontId="16" fillId="0" borderId="0" xfId="0" applyFont="1"/>
    <xf numFmtId="0" fontId="20" fillId="13" borderId="0" xfId="0" applyFont="1" applyFill="1"/>
    <xf numFmtId="0" fontId="2" fillId="14" borderId="0" xfId="0" applyFont="1" applyFill="1"/>
    <xf numFmtId="164" fontId="20" fillId="13" borderId="0" xfId="0" applyNumberFormat="1" applyFont="1" applyFill="1" applyProtection="1">
      <protection locked="0"/>
    </xf>
    <xf numFmtId="164" fontId="2" fillId="14" borderId="0" xfId="0" applyNumberFormat="1" applyFont="1" applyFill="1" applyProtection="1">
      <protection locked="0"/>
    </xf>
    <xf numFmtId="164" fontId="20" fillId="15" borderId="0" xfId="0" applyNumberFormat="1" applyFont="1" applyFill="1" applyProtection="1">
      <protection locked="0"/>
    </xf>
    <xf numFmtId="0" fontId="21" fillId="16" borderId="0" xfId="0" applyFont="1" applyFill="1"/>
    <xf numFmtId="164" fontId="21" fillId="16" borderId="0" xfId="0" applyNumberFormat="1" applyFont="1" applyFill="1" applyProtection="1">
      <protection locked="0"/>
    </xf>
    <xf numFmtId="0" fontId="23" fillId="5" borderId="0" xfId="0" applyFont="1" applyFill="1"/>
    <xf numFmtId="164" fontId="23" fillId="5" borderId="0" xfId="0" applyNumberFormat="1" applyFont="1" applyFill="1" applyProtection="1">
      <protection locked="0"/>
    </xf>
    <xf numFmtId="0" fontId="22" fillId="17" borderId="0" xfId="0" applyFont="1" applyFill="1"/>
    <xf numFmtId="164" fontId="22" fillId="17" borderId="0" xfId="0" applyNumberFormat="1" applyFont="1" applyFill="1" applyProtection="1">
      <protection locked="0"/>
    </xf>
    <xf numFmtId="164" fontId="6" fillId="0" borderId="0" xfId="0" applyNumberFormat="1" applyFont="1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0" fontId="12" fillId="0" borderId="0" xfId="0" applyFont="1" applyAlignment="1">
      <alignment horizontal="right"/>
    </xf>
    <xf numFmtId="0" fontId="12" fillId="9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164" fontId="0" fillId="3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7" fillId="6" borderId="0" xfId="0" applyNumberFormat="1" applyFont="1" applyFill="1" applyAlignment="1" applyProtection="1">
      <alignment horizontal="center"/>
      <protection locked="0"/>
    </xf>
    <xf numFmtId="164" fontId="20" fillId="13" borderId="0" xfId="0" applyNumberFormat="1" applyFont="1" applyFill="1" applyAlignment="1" applyProtection="1">
      <alignment horizontal="center"/>
      <protection locked="0"/>
    </xf>
    <xf numFmtId="164" fontId="2" fillId="14" borderId="0" xfId="0" applyNumberFormat="1" applyFont="1" applyFill="1" applyAlignment="1" applyProtection="1">
      <alignment horizontal="center"/>
      <protection locked="0"/>
    </xf>
    <xf numFmtId="164" fontId="22" fillId="17" borderId="0" xfId="0" applyNumberFormat="1" applyFont="1" applyFill="1" applyAlignment="1" applyProtection="1">
      <alignment horizontal="center"/>
      <protection locked="0"/>
    </xf>
    <xf numFmtId="164" fontId="23" fillId="5" borderId="0" xfId="0" applyNumberFormat="1" applyFont="1" applyFill="1" applyAlignment="1" applyProtection="1">
      <alignment horizontal="center"/>
      <protection locked="0"/>
    </xf>
    <xf numFmtId="164" fontId="10" fillId="7" borderId="0" xfId="0" applyNumberFormat="1" applyFont="1" applyFill="1" applyAlignment="1" applyProtection="1">
      <alignment horizontal="center"/>
      <protection locked="0"/>
    </xf>
    <xf numFmtId="164" fontId="21" fillId="16" borderId="0" xfId="0" applyNumberFormat="1" applyFont="1" applyFill="1" applyAlignment="1" applyProtection="1">
      <alignment horizontal="center"/>
      <protection locked="0"/>
    </xf>
    <xf numFmtId="164" fontId="11" fillId="8" borderId="0" xfId="0" applyNumberFormat="1" applyFont="1" applyFill="1" applyAlignment="1" applyProtection="1">
      <alignment horizontal="center"/>
      <protection locked="0"/>
    </xf>
    <xf numFmtId="164" fontId="18" fillId="12" borderId="0" xfId="0" applyNumberFormat="1" applyFont="1" applyFill="1" applyAlignment="1" applyProtection="1">
      <alignment horizontal="center"/>
      <protection locked="0"/>
    </xf>
    <xf numFmtId="164" fontId="9" fillId="5" borderId="0" xfId="0" applyNumberFormat="1" applyFont="1" applyFill="1" applyAlignment="1" applyProtection="1">
      <alignment horizontal="center"/>
      <protection locked="0"/>
    </xf>
    <xf numFmtId="0" fontId="5" fillId="0" borderId="0" xfId="0" applyFont="1"/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0" borderId="0" xfId="0" applyFont="1" applyAlignment="1">
      <alignment horizontal="center" vertical="center" wrapText="1"/>
    </xf>
    <xf numFmtId="0" fontId="12" fillId="9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3" fillId="4" borderId="0" xfId="0" applyFont="1" applyFill="1" applyAlignment="1">
      <alignment horizontal="center" vertical="center" wrapText="1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232"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FFAF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62" name="Button 14" descr="Remove Ineligibl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35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30</v>
      </c>
      <c r="B1" t="s">
        <v>1</v>
      </c>
      <c r="C1" t="s">
        <v>32</v>
      </c>
      <c r="D1" s="47" t="s">
        <v>6</v>
      </c>
    </row>
    <row r="2" spans="1:6" hidden="1" x14ac:dyDescent="0.2">
      <c r="A2" s="6" t="s">
        <v>31</v>
      </c>
      <c r="B2" s="6">
        <v>1</v>
      </c>
      <c r="C2" s="6" t="str">
        <f>IF(B2&gt;MAX('TRA-M'!A:A),"",INDEX('TRA-M'!B:B,MATCH(B2,'TRA-M'!A:A,0)))</f>
        <v/>
      </c>
      <c r="D2" s="16" t="str">
        <f>IF(B2&gt;MAX('TRA-M'!A:A),"",INDEX('TRA-M'!H:H,MATCH(B2,'TRA-M'!A:A,0)))</f>
        <v/>
      </c>
      <c r="E2" s="15"/>
      <c r="F2" s="15"/>
    </row>
    <row r="3" spans="1:6" hidden="1" x14ac:dyDescent="0.2">
      <c r="A3" s="6"/>
      <c r="B3" s="6">
        <v>2</v>
      </c>
      <c r="C3" s="6" t="str">
        <f>IF(B3&gt;MAX('TRA-M'!A:A),"",INDEX('TRA-M'!B:B,MATCH(B3,'TRA-M'!A:A,0)))</f>
        <v/>
      </c>
      <c r="D3" s="16" t="str">
        <f>IF(B3&gt;MAX('TRA-M'!A:A),"",INDEX('TRA-M'!H:H,MATCH(B3,'TRA-M'!A:A,0)))</f>
        <v/>
      </c>
      <c r="E3" s="15"/>
      <c r="F3" s="15"/>
    </row>
    <row r="4" spans="1:6" hidden="1" x14ac:dyDescent="0.2">
      <c r="A4" s="6"/>
      <c r="B4" s="6">
        <v>3</v>
      </c>
      <c r="C4" s="6" t="str">
        <f>IF(B4&gt;MAX('TRA-M'!A:A),"",INDEX('TRA-M'!B:B,MATCH(B4,'TRA-M'!A:A,0)))</f>
        <v/>
      </c>
      <c r="D4" s="16" t="str">
        <f>IF(B4&gt;MAX('TRA-M'!A:A),"",INDEX('TRA-M'!H:H,MATCH(B4,'TRA-M'!A:A,0)))</f>
        <v/>
      </c>
      <c r="E4" s="15"/>
      <c r="F4" s="15"/>
    </row>
    <row r="5" spans="1:6" hidden="1" x14ac:dyDescent="0.2">
      <c r="A5" s="6"/>
      <c r="B5" s="6">
        <v>4</v>
      </c>
      <c r="C5" s="6" t="str">
        <f>IF(B5&gt;MAX('TRA-M'!A:A),"",INDEX('TRA-M'!B:B,MATCH(B5,'TRA-M'!A:A,0)))</f>
        <v/>
      </c>
      <c r="D5" s="16" t="str">
        <f>IF(B5&gt;MAX('TRA-M'!A:A),"",INDEX('TRA-M'!H:H,MATCH(B5,'TRA-M'!A:A,0)))</f>
        <v/>
      </c>
    </row>
    <row r="6" spans="1:6" hidden="1" x14ac:dyDescent="0.2">
      <c r="A6" s="8" t="s">
        <v>34</v>
      </c>
      <c r="B6" s="8">
        <v>1</v>
      </c>
      <c r="C6" s="8" t="str">
        <f>IF(B2&gt;MAX('TRA-W'!A:A),"",INDEX('TRA-W'!B:B,MATCH(B2,'TRA-W'!A:A,0)))</f>
        <v/>
      </c>
      <c r="D6" s="17" t="str">
        <f>IF(B2&gt;MAX('TRA-W'!A:A),"",INDEX('TRA-W'!H:H,MATCH(B2,'TRA-W'!A:A,0)))</f>
        <v/>
      </c>
    </row>
    <row r="7" spans="1:6" hidden="1" x14ac:dyDescent="0.2">
      <c r="A7" s="8"/>
      <c r="B7" s="8">
        <v>2</v>
      </c>
      <c r="C7" s="8" t="str">
        <f>IF(B3&gt;MAX('TRA-W'!A:A),"",INDEX('TRA-W'!B:B,MATCH(B3,'TRA-W'!A:A,0)))</f>
        <v/>
      </c>
      <c r="D7" s="17" t="str">
        <f>IF(B3&gt;MAX('TRA-W'!A:A),"",INDEX('TRA-W'!H:H,MATCH(B3,'TRA-W'!A:A,0)))</f>
        <v/>
      </c>
    </row>
    <row r="8" spans="1:6" hidden="1" x14ac:dyDescent="0.2">
      <c r="A8" s="8"/>
      <c r="B8" s="8">
        <v>3</v>
      </c>
      <c r="C8" s="8" t="str">
        <f>IF(B4&gt;MAX('TRA-W'!A:A),"",INDEX('TRA-W'!B:B,MATCH(B4,'TRA-W'!A:A,0)))</f>
        <v/>
      </c>
      <c r="D8" s="17" t="str">
        <f>IF(B4&gt;MAX('TRA-W'!A:A),"",INDEX('TRA-W'!H:H,MATCH(B4,'TRA-W'!A:A,0)))</f>
        <v/>
      </c>
    </row>
    <row r="9" spans="1:6" hidden="1" x14ac:dyDescent="0.2">
      <c r="A9" s="8"/>
      <c r="B9" s="8">
        <v>4</v>
      </c>
      <c r="C9" s="8" t="str">
        <f>IF(B5&gt;MAX('TRA-W'!A:A),"",INDEX('TRA-W'!B:B,MATCH(B5,'TRA-W'!A:A,0)))</f>
        <v/>
      </c>
      <c r="D9" s="17" t="str">
        <f>IF(B5&gt;MAX('TRA-W'!A:A),"",INDEX('TRA-W'!H:H,MATCH(B5,'TRA-W'!A:A,0)))</f>
        <v/>
      </c>
    </row>
    <row r="10" spans="1:6" hidden="1" x14ac:dyDescent="0.2">
      <c r="A10" s="6" t="s">
        <v>35</v>
      </c>
      <c r="B10" s="6">
        <v>1</v>
      </c>
      <c r="C10" s="6" t="str">
        <f>IF(B2&gt;MAX('TUM-M'!A:A),"",INDEX('TUM-M'!B:B,MATCH(B2,'TUM-M'!A:A,0)))</f>
        <v/>
      </c>
      <c r="D10" s="16" t="str">
        <f>IF(B2&gt;MAX('TUM-M'!A:A),"",INDEX('TUM-M'!H:H,MATCH(B2,'TUM-M'!A:A,0)))</f>
        <v/>
      </c>
    </row>
    <row r="11" spans="1:6" hidden="1" x14ac:dyDescent="0.2">
      <c r="A11" s="6"/>
      <c r="B11" s="6">
        <v>2</v>
      </c>
      <c r="C11" s="6" t="str">
        <f>IF(B3&gt;MAX('TUM-M'!A:A),"",INDEX('TUM-M'!B:B,MATCH(B3,'TUM-M'!A:A,0)))</f>
        <v/>
      </c>
      <c r="D11" s="16" t="str">
        <f>IF(B3&gt;MAX('TUM-M'!A:A),"",INDEX('TUM-M'!H:H,MATCH(B3,'TUM-M'!A:A,0)))</f>
        <v/>
      </c>
    </row>
    <row r="12" spans="1:6" hidden="1" x14ac:dyDescent="0.2">
      <c r="A12" s="6"/>
      <c r="B12" s="6">
        <v>3</v>
      </c>
      <c r="C12" s="6" t="str">
        <f>IF(B4&gt;MAX('TUM-M'!A:A),"",INDEX('TUM-M'!B:B,MATCH(B4,'TUM-M'!A:A,0)))</f>
        <v/>
      </c>
      <c r="D12" s="16" t="str">
        <f>IF(B4&gt;MAX('TUM-M'!A:A),"",INDEX('TUM-M'!H:H,MATCH(B4,'TUM-M'!A:A,0)))</f>
        <v/>
      </c>
    </row>
    <row r="13" spans="1:6" hidden="1" x14ac:dyDescent="0.2">
      <c r="A13" s="6"/>
      <c r="B13" s="6">
        <v>4</v>
      </c>
      <c r="C13" s="6" t="str">
        <f>IF(B5&gt;MAX('TUM-M'!A:A),"",INDEX('TUM-M'!B:B,MATCH(B5,'TUM-M'!A:A,0)))</f>
        <v/>
      </c>
      <c r="D13" s="16" t="str">
        <f>IF(B5&gt;MAX('TUM-M'!A:A),"",INDEX('TUM-M'!H:H,MATCH(B5,'TUM-M'!A:A,0)))</f>
        <v/>
      </c>
    </row>
    <row r="14" spans="1:6" x14ac:dyDescent="0.2">
      <c r="A14" s="8" t="s">
        <v>36</v>
      </c>
      <c r="B14" s="8">
        <v>1</v>
      </c>
      <c r="C14" s="8" t="str">
        <f>IF(B2&gt;MAX('TUM-W'!A:A),"",INDEX('TUM-W'!B:B,MATCH(B2,'TUM-W'!A:A,0)))</f>
        <v>HUGHES, Arya</v>
      </c>
      <c r="D14" s="17" t="str">
        <f>IF(B2&gt;MAX('TUM-W'!A:A),"",INDEX('TUM-W'!H:H,MATCH(B2,'TUM-W'!A:A,0)))</f>
        <v>National Team</v>
      </c>
    </row>
    <row r="15" spans="1:6" hidden="1" x14ac:dyDescent="0.2">
      <c r="A15" s="8"/>
      <c r="B15" s="8">
        <v>2</v>
      </c>
      <c r="C15" s="8" t="str">
        <f>IF(B3&gt;MAX('TUM-W'!A:A),"",INDEX('TUM-W'!B:B,MATCH(B3,'TUM-W'!A:A,0)))</f>
        <v/>
      </c>
      <c r="D15" s="17" t="str">
        <f>IF(B3&gt;MAX('TUM-W'!A:A),"",INDEX('TUM-W'!H:H,MATCH(B3,'TUM-W'!A:A,0)))</f>
        <v/>
      </c>
    </row>
    <row r="16" spans="1:6" hidden="1" x14ac:dyDescent="0.2">
      <c r="A16" s="8"/>
      <c r="B16" s="8">
        <v>3</v>
      </c>
      <c r="C16" s="8" t="str">
        <f>IF(B4&gt;MAX('TUM-W'!A:A),"",INDEX('TUM-W'!B:B,MATCH(B4,'TUM-W'!A:A,0)))</f>
        <v/>
      </c>
      <c r="D16" s="17" t="str">
        <f>IF(B4&gt;MAX('TUM-W'!A:A),"",INDEX('TUM-W'!H:H,MATCH(B4,'TUM-W'!A:A,0)))</f>
        <v/>
      </c>
    </row>
    <row r="17" spans="1:5" hidden="1" x14ac:dyDescent="0.2">
      <c r="A17" s="8"/>
      <c r="B17" s="8">
        <v>4</v>
      </c>
      <c r="C17" s="8" t="str">
        <f>IF(B5&gt;MAX('TUM-W'!A:A),"",INDEX('TUM-W'!B:B,MATCH(B5,'TUM-W'!A:A,0)))</f>
        <v/>
      </c>
      <c r="D17" s="17" t="str">
        <f>IF(B5&gt;MAX('TUM-W'!A:A),"",INDEX('TUM-W'!H:H,MATCH(B5,'TUM-W'!A:A,0)))</f>
        <v/>
      </c>
    </row>
    <row r="18" spans="1:5" x14ac:dyDescent="0.2">
      <c r="A18" s="6" t="s">
        <v>37</v>
      </c>
      <c r="B18" s="6">
        <v>1</v>
      </c>
      <c r="C18" s="6" t="str">
        <f>IF(B2&gt;MAX('DMT-M'!A:A),"",INDEX('DMT-M'!B:B,MATCH(B2,'DMT-M'!A:A,0)))</f>
        <v>OUGHTRED, Max</v>
      </c>
      <c r="D18" s="16" t="str">
        <f>IF(B2&gt;MAX('DMT-M'!A:A),"",INDEX('DMT-M'!H:H,MATCH(B2,'DMT-M'!A:A,0)))</f>
        <v>National Team</v>
      </c>
    </row>
    <row r="19" spans="1:5" x14ac:dyDescent="0.2">
      <c r="A19" s="6"/>
      <c r="B19" s="6">
        <v>2</v>
      </c>
      <c r="C19" s="6" t="str">
        <f>IF(B3&gt;MAX('DMT-M'!A:A),"",INDEX('DMT-M'!B:B,MATCH(B3,'DMT-M'!A:A,0)))</f>
        <v>LANQUETIN, Yannick</v>
      </c>
      <c r="D19" s="16" t="str">
        <f>IF(B3&gt;MAX('DMT-M'!A:A),"",INDEX('DMT-M'!H:H,MATCH(B3,'DMT-M'!A:A,0)))</f>
        <v>National Team</v>
      </c>
    </row>
    <row r="20" spans="1:5" hidden="1" x14ac:dyDescent="0.2">
      <c r="A20" s="6"/>
      <c r="B20" s="6">
        <v>3</v>
      </c>
      <c r="C20" s="6" t="str">
        <f>IF(B4&gt;MAX('DMT-M'!A:A),"",INDEX('DMT-M'!B:B,MATCH(B4,'DMT-M'!A:A,0)))</f>
        <v/>
      </c>
      <c r="D20" s="16" t="str">
        <f>IF(B4&gt;MAX('DMT-M'!A:A),"",INDEX('DMT-M'!H:H,MATCH(B4,'DMT-M'!A:A,0)))</f>
        <v/>
      </c>
    </row>
    <row r="21" spans="1:5" hidden="1" x14ac:dyDescent="0.2">
      <c r="A21" s="6"/>
      <c r="B21" s="6">
        <v>4</v>
      </c>
      <c r="C21" s="6" t="str">
        <f>IF(B5&gt;MAX('DMT-M'!A:A),"",INDEX('DMT-M'!B:B,MATCH(B5,'DMT-M'!A:A,0)))</f>
        <v/>
      </c>
      <c r="D21" s="16" t="str">
        <f>IF(B5&gt;MAX('DMT-M'!A:A),"",INDEX('DMT-M'!H:H,MATCH(B5,'DMT-M'!A:A,0)))</f>
        <v/>
      </c>
    </row>
    <row r="22" spans="1:5" x14ac:dyDescent="0.2">
      <c r="A22" s="8" t="s">
        <v>38</v>
      </c>
      <c r="B22" s="8">
        <v>1</v>
      </c>
      <c r="C22" s="8" t="str">
        <f>IF(B2&gt;MAX('DMT-W'!A:A),"",INDEX('DMT-W'!B:B,MATCH(B2,'DMT-W'!A:A,0)))</f>
        <v>LEE-McMEEKEN, Brooklyn</v>
      </c>
      <c r="D22" s="17" t="str">
        <f>IF(B2&gt;MAX('DMT-W'!A:A),"",INDEX('DMT-W'!H:H,MATCH(B2,'DMT-W'!A:A,0)))</f>
        <v>National Team</v>
      </c>
    </row>
    <row r="23" spans="1:5" x14ac:dyDescent="0.2">
      <c r="A23" s="8"/>
      <c r="B23" s="8">
        <v>2</v>
      </c>
      <c r="C23" s="8" t="str">
        <f>IF(B3&gt;MAX('DMT-W'!A:A),"",INDEX('DMT-W'!B:B,MATCH(B3,'DMT-W'!A:A,0)))</f>
        <v>GOOD, Hayden</v>
      </c>
      <c r="D23" s="17" t="str">
        <f>IF(B3&gt;MAX('DMT-W'!A:A),"",INDEX('DMT-W'!H:H,MATCH(B3,'DMT-W'!A:A,0)))</f>
        <v>National Team</v>
      </c>
    </row>
    <row r="24" spans="1:5" x14ac:dyDescent="0.2">
      <c r="A24" s="8"/>
      <c r="B24" s="8">
        <v>3</v>
      </c>
      <c r="C24" s="8" t="str">
        <f>IF(B4&gt;MAX('DMT-W'!A:A),"",INDEX('DMT-W'!B:B,MATCH(B4,'DMT-W'!A:A,0)))</f>
        <v>LEPORÉ, Amylia</v>
      </c>
      <c r="D24" s="17" t="str">
        <f>IF(B4&gt;MAX('DMT-W'!A:A),"",INDEX('DMT-W'!H:H,MATCH(B4,'DMT-W'!A:A,0)))</f>
        <v>National Team</v>
      </c>
    </row>
    <row r="25" spans="1:5" x14ac:dyDescent="0.2">
      <c r="A25" s="8"/>
      <c r="B25" s="8">
        <v>4</v>
      </c>
      <c r="C25" s="8" t="str">
        <f>IF(B5&gt;MAX('DMT-W'!A:A),"",INDEX('DMT-W'!B:B,MATCH(B5,'DMT-W'!A:A,0)))</f>
        <v>JEAN-LOUIS, Jayda</v>
      </c>
      <c r="D25" s="17" t="str">
        <f>IF(B5&gt;MAX('DMT-W'!A:A),"",INDEX('DMT-W'!H:H,MATCH(B5,'DMT-W'!A:A,0)))</f>
        <v>National Team</v>
      </c>
    </row>
    <row r="26" spans="1:5" x14ac:dyDescent="0.2">
      <c r="D26" s="47"/>
    </row>
    <row r="27" spans="1:5" x14ac:dyDescent="0.2">
      <c r="B27" t="s">
        <v>29</v>
      </c>
    </row>
    <row r="28" spans="1:5" x14ac:dyDescent="0.2">
      <c r="B28" t="s">
        <v>27</v>
      </c>
    </row>
    <row r="29" spans="1:5" x14ac:dyDescent="0.2">
      <c r="B29" t="s">
        <v>28</v>
      </c>
    </row>
    <row r="30" spans="1:5" x14ac:dyDescent="0.2">
      <c r="B30" s="15" t="s">
        <v>49</v>
      </c>
      <c r="D30" t="s">
        <v>47</v>
      </c>
    </row>
    <row r="31" spans="1:5" x14ac:dyDescent="0.2">
      <c r="B31" s="15" t="s">
        <v>57</v>
      </c>
      <c r="D31" t="s">
        <v>47</v>
      </c>
      <c r="E31" t="s">
        <v>47</v>
      </c>
    </row>
    <row r="32" spans="1:5" x14ac:dyDescent="0.2">
      <c r="B32" t="s">
        <v>48</v>
      </c>
    </row>
    <row r="33" spans="1:3" x14ac:dyDescent="0.2">
      <c r="B33" t="s">
        <v>58</v>
      </c>
    </row>
    <row r="34" spans="1:3" x14ac:dyDescent="0.2">
      <c r="A34" t="s">
        <v>33</v>
      </c>
      <c r="B34" s="68">
        <v>45977</v>
      </c>
      <c r="C34" s="68"/>
    </row>
    <row r="35" spans="1:3" x14ac:dyDescent="0.2">
      <c r="B35" t="s">
        <v>122</v>
      </c>
    </row>
  </sheetData>
  <sheetProtection formatCells="0" formatColumns="0" formatRows="0"/>
  <mergeCells count="1">
    <mergeCell ref="B34:C34"/>
  </mergeCells>
  <conditionalFormatting sqref="D2:D25">
    <cfRule type="containsText" dxfId="231" priority="1" operator="containsText" text="No DD">
      <formula>NOT(ISERROR(SEARCH("No DD",D2)))</formula>
    </cfRule>
    <cfRule type="containsText" dxfId="230" priority="4" operator="containsText" text="Merit">
      <formula>NOT(ISERROR(SEARCH("Merit",D2)))</formula>
    </cfRule>
    <cfRule type="containsText" dxfId="229" priority="5" operator="containsText" text="Excellence">
      <formula>NOT(ISERROR(SEARCH("Excellence",D2)))</formula>
    </cfRule>
    <cfRule type="containsText" dxfId="228" priority="6" operator="containsText" text="Worlds Team">
      <formula>NOT(ISERROR(SEARCH("Worlds Team",D2)))</formula>
    </cfRule>
    <cfRule type="containsText" dxfId="227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0" name="Button 1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O4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4.1640625" bestFit="1" customWidth="1"/>
    <col min="8" max="8" width="13.33203125" bestFit="1" customWidth="1"/>
    <col min="9" max="9" width="10.83203125" customWidth="1"/>
    <col min="10" max="10" width="20.5" bestFit="1" customWidth="1"/>
    <col min="12" max="12" width="20.5" bestFit="1" customWidth="1"/>
    <col min="14" max="14" width="20.5" bestFit="1" customWidth="1"/>
    <col min="16" max="16" width="20.5" bestFit="1" customWidth="1"/>
    <col min="17" max="17" width="24.6640625" bestFit="1" customWidth="1"/>
    <col min="18" max="18" width="13" bestFit="1" customWidth="1"/>
    <col min="19" max="19" width="43.5" bestFit="1" customWidth="1"/>
    <col min="20" max="35" width="10.83203125" hidden="1" customWidth="1"/>
    <col min="36" max="42" width="10.83203125" customWidth="1"/>
    <col min="43" max="58" width="10.83203125" hidden="1" customWidth="1"/>
    <col min="59" max="65" width="10.83203125" customWidth="1"/>
    <col min="66" max="81" width="10.83203125" hidden="1" customWidth="1"/>
    <col min="82" max="92" width="10.83203125" customWidth="1"/>
    <col min="93" max="107" width="10.83203125" hidden="1" customWidth="1"/>
    <col min="108" max="114" width="10.83203125" customWidth="1"/>
    <col min="115" max="379" width="10.83203125" hidden="1" customWidth="1"/>
    <col min="380" max="381" width="10.83203125" customWidth="1"/>
  </cols>
  <sheetData>
    <row r="1" spans="1:37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4" t="s">
        <v>5</v>
      </c>
      <c r="H1" s="74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61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1" t="s">
        <v>80</v>
      </c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2" t="s">
        <v>100</v>
      </c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1" t="s">
        <v>119</v>
      </c>
      <c r="BO1" s="71"/>
      <c r="BP1" s="7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3" t="s">
        <v>10</v>
      </c>
      <c r="CL1" s="73"/>
      <c r="CM1" s="73"/>
      <c r="CN1" s="73"/>
      <c r="CO1" s="71" t="s">
        <v>121</v>
      </c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1"/>
      <c r="EH1" s="71"/>
      <c r="EI1" s="71"/>
      <c r="EJ1" s="71"/>
      <c r="EK1" s="71"/>
      <c r="EL1" s="71"/>
      <c r="EM1" s="71"/>
      <c r="EN1" s="71"/>
      <c r="EO1" s="71"/>
      <c r="EP1" s="71"/>
      <c r="EQ1" s="71"/>
      <c r="ER1" s="71"/>
      <c r="ES1" s="71"/>
      <c r="ET1" s="71"/>
      <c r="EU1" s="71"/>
      <c r="EV1" s="71"/>
      <c r="EW1" s="71"/>
      <c r="EX1" s="71"/>
      <c r="EY1" s="71"/>
      <c r="EZ1" s="71"/>
      <c r="FA1" s="71"/>
      <c r="FB1" s="71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1"/>
      <c r="GP1" s="71"/>
      <c r="GQ1" s="71"/>
      <c r="GR1" s="71"/>
      <c r="GS1" s="71"/>
      <c r="GT1" s="71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1"/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71"/>
      <c r="IC1" s="71"/>
      <c r="ID1" s="71"/>
      <c r="IE1" s="71"/>
      <c r="IF1" s="71"/>
      <c r="IG1" s="71"/>
      <c r="IH1" s="71"/>
      <c r="II1" s="71"/>
      <c r="IJ1" s="71"/>
      <c r="IK1" s="71"/>
      <c r="IL1" s="71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1"/>
      <c r="JX1" s="71"/>
      <c r="JY1" s="71"/>
      <c r="JZ1" s="71"/>
      <c r="KA1" s="71"/>
      <c r="KB1" s="71"/>
      <c r="KC1" s="71"/>
      <c r="KD1" s="71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2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1" t="s">
        <v>55</v>
      </c>
      <c r="MT1" s="71"/>
      <c r="MU1" s="71"/>
      <c r="MV1" s="71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</row>
    <row r="2" spans="1:379" x14ac:dyDescent="0.2">
      <c r="A2" s="74"/>
      <c r="B2" s="74"/>
      <c r="C2" s="74"/>
      <c r="D2" s="74"/>
      <c r="E2" s="74"/>
      <c r="F2" s="77"/>
      <c r="G2" s="74"/>
      <c r="H2" s="74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19</v>
      </c>
      <c r="AE2" s="69"/>
      <c r="AF2" s="69"/>
      <c r="AG2" s="69"/>
      <c r="AH2" s="69"/>
      <c r="AI2" s="16"/>
      <c r="AJ2" s="6" t="s">
        <v>17</v>
      </c>
      <c r="AK2" s="6" t="s">
        <v>60</v>
      </c>
      <c r="AL2" s="6" t="s">
        <v>18</v>
      </c>
      <c r="AM2" s="6" t="s">
        <v>20</v>
      </c>
      <c r="AN2" s="6" t="s">
        <v>56</v>
      </c>
      <c r="AO2" s="6" t="s">
        <v>19</v>
      </c>
      <c r="AP2" s="6" t="s">
        <v>14</v>
      </c>
      <c r="AQ2" s="70" t="s">
        <v>15</v>
      </c>
      <c r="AR2" s="70"/>
      <c r="AS2" s="70"/>
      <c r="AT2" s="70"/>
      <c r="AU2" s="70"/>
      <c r="AV2" s="70" t="s">
        <v>16</v>
      </c>
      <c r="AW2" s="70"/>
      <c r="AX2" s="70"/>
      <c r="AY2" s="70"/>
      <c r="AZ2" s="70"/>
      <c r="BA2" s="70" t="s">
        <v>19</v>
      </c>
      <c r="BB2" s="70"/>
      <c r="BC2" s="70"/>
      <c r="BD2" s="70"/>
      <c r="BE2" s="70"/>
      <c r="BF2" s="17"/>
      <c r="BG2" s="8" t="s">
        <v>17</v>
      </c>
      <c r="BH2" s="8" t="s">
        <v>60</v>
      </c>
      <c r="BI2" s="8" t="s">
        <v>18</v>
      </c>
      <c r="BJ2" s="8" t="s">
        <v>20</v>
      </c>
      <c r="BK2" s="8" t="s">
        <v>56</v>
      </c>
      <c r="BL2" s="8" t="s">
        <v>19</v>
      </c>
      <c r="BM2" s="8" t="s">
        <v>14</v>
      </c>
      <c r="BN2" s="69" t="s">
        <v>15</v>
      </c>
      <c r="BO2" s="69"/>
      <c r="BP2" s="69"/>
      <c r="BQ2" s="69"/>
      <c r="BR2" s="69"/>
      <c r="BS2" s="69" t="s">
        <v>16</v>
      </c>
      <c r="BT2" s="69"/>
      <c r="BU2" s="69"/>
      <c r="BV2" s="69"/>
      <c r="BW2" s="69"/>
      <c r="BX2" s="69" t="s">
        <v>19</v>
      </c>
      <c r="BY2" s="69"/>
      <c r="BZ2" s="69"/>
      <c r="CA2" s="69"/>
      <c r="CB2" s="69"/>
      <c r="CC2" s="16"/>
      <c r="CD2" s="6" t="s">
        <v>17</v>
      </c>
      <c r="CE2" s="6" t="s">
        <v>60</v>
      </c>
      <c r="CF2" s="6" t="s">
        <v>18</v>
      </c>
      <c r="CG2" s="6" t="s">
        <v>20</v>
      </c>
      <c r="CH2" s="6" t="s">
        <v>56</v>
      </c>
      <c r="CI2" s="6" t="s">
        <v>19</v>
      </c>
      <c r="CJ2" s="6" t="s">
        <v>14</v>
      </c>
      <c r="CK2" s="12" t="s">
        <v>17</v>
      </c>
      <c r="CL2" s="12" t="s">
        <v>18</v>
      </c>
      <c r="CM2" s="12" t="s">
        <v>20</v>
      </c>
      <c r="CN2" s="12" t="s">
        <v>19</v>
      </c>
      <c r="CO2" s="69" t="s">
        <v>15</v>
      </c>
      <c r="CP2" s="69"/>
      <c r="CQ2" s="69"/>
      <c r="CR2" s="69"/>
      <c r="CS2" s="69"/>
      <c r="CT2" s="69" t="s">
        <v>16</v>
      </c>
      <c r="CU2" s="69"/>
      <c r="CV2" s="69"/>
      <c r="CW2" s="69"/>
      <c r="CX2" s="69"/>
      <c r="CY2" s="69" t="s">
        <v>19</v>
      </c>
      <c r="CZ2" s="69"/>
      <c r="DA2" s="69"/>
      <c r="DB2" s="69"/>
      <c r="DC2" s="69"/>
      <c r="DD2" s="16" t="s">
        <v>50</v>
      </c>
      <c r="DE2" s="6" t="s">
        <v>17</v>
      </c>
      <c r="DF2" s="6" t="s">
        <v>18</v>
      </c>
      <c r="DG2" s="6" t="s">
        <v>20</v>
      </c>
      <c r="DH2" s="6" t="s">
        <v>56</v>
      </c>
      <c r="DI2" s="6" t="s">
        <v>19</v>
      </c>
      <c r="DJ2" s="6" t="s">
        <v>14</v>
      </c>
      <c r="DK2" s="70" t="s">
        <v>15</v>
      </c>
      <c r="DL2" s="70"/>
      <c r="DM2" s="70"/>
      <c r="DN2" s="70"/>
      <c r="DO2" s="70"/>
      <c r="DP2" s="70" t="s">
        <v>16</v>
      </c>
      <c r="DQ2" s="70"/>
      <c r="DR2" s="70"/>
      <c r="DS2" s="70"/>
      <c r="DT2" s="70"/>
      <c r="DU2" s="70" t="s">
        <v>19</v>
      </c>
      <c r="DV2" s="70"/>
      <c r="DW2" s="70"/>
      <c r="DX2" s="70"/>
      <c r="DY2" s="70"/>
      <c r="DZ2" s="17" t="s">
        <v>50</v>
      </c>
      <c r="EA2" s="8" t="s">
        <v>17</v>
      </c>
      <c r="EB2" s="8" t="s">
        <v>18</v>
      </c>
      <c r="EC2" s="8" t="s">
        <v>20</v>
      </c>
      <c r="ED2" s="8" t="s">
        <v>56</v>
      </c>
      <c r="EE2" s="8" t="s">
        <v>19</v>
      </c>
      <c r="EF2" s="8" t="s">
        <v>14</v>
      </c>
      <c r="EG2" s="69" t="s">
        <v>15</v>
      </c>
      <c r="EH2" s="69"/>
      <c r="EI2" s="69"/>
      <c r="EJ2" s="69"/>
      <c r="EK2" s="69"/>
      <c r="EL2" s="69" t="s">
        <v>16</v>
      </c>
      <c r="EM2" s="69"/>
      <c r="EN2" s="69"/>
      <c r="EO2" s="69"/>
      <c r="EP2" s="69"/>
      <c r="EQ2" s="69" t="s">
        <v>19</v>
      </c>
      <c r="ER2" s="69"/>
      <c r="ES2" s="69"/>
      <c r="ET2" s="69"/>
      <c r="EU2" s="69"/>
      <c r="EV2" s="16" t="s">
        <v>50</v>
      </c>
      <c r="EW2" s="6" t="s">
        <v>17</v>
      </c>
      <c r="EX2" s="6" t="s">
        <v>18</v>
      </c>
      <c r="EY2" s="6" t="s">
        <v>20</v>
      </c>
      <c r="EZ2" s="6" t="s">
        <v>56</v>
      </c>
      <c r="FA2" s="6" t="s">
        <v>19</v>
      </c>
      <c r="FB2" s="6" t="s">
        <v>14</v>
      </c>
      <c r="FC2" s="70" t="s">
        <v>15</v>
      </c>
      <c r="FD2" s="70"/>
      <c r="FE2" s="70"/>
      <c r="FF2" s="70"/>
      <c r="FG2" s="70"/>
      <c r="FH2" s="70" t="s">
        <v>16</v>
      </c>
      <c r="FI2" s="70"/>
      <c r="FJ2" s="70"/>
      <c r="FK2" s="70"/>
      <c r="FL2" s="70"/>
      <c r="FM2" s="70" t="s">
        <v>19</v>
      </c>
      <c r="FN2" s="70"/>
      <c r="FO2" s="70"/>
      <c r="FP2" s="70"/>
      <c r="FQ2" s="70"/>
      <c r="FR2" s="17" t="s">
        <v>50</v>
      </c>
      <c r="FS2" s="8" t="s">
        <v>17</v>
      </c>
      <c r="FT2" s="8" t="s">
        <v>18</v>
      </c>
      <c r="FU2" s="8" t="s">
        <v>20</v>
      </c>
      <c r="FV2" s="8" t="s">
        <v>56</v>
      </c>
      <c r="FW2" s="8" t="s">
        <v>19</v>
      </c>
      <c r="FX2" s="8" t="s">
        <v>14</v>
      </c>
      <c r="FY2" s="69" t="s">
        <v>15</v>
      </c>
      <c r="FZ2" s="69"/>
      <c r="GA2" s="69"/>
      <c r="GB2" s="69"/>
      <c r="GC2" s="69"/>
      <c r="GD2" s="69" t="s">
        <v>16</v>
      </c>
      <c r="GE2" s="69"/>
      <c r="GF2" s="69"/>
      <c r="GG2" s="69"/>
      <c r="GH2" s="69"/>
      <c r="GI2" s="69" t="s">
        <v>19</v>
      </c>
      <c r="GJ2" s="69"/>
      <c r="GK2" s="69"/>
      <c r="GL2" s="69"/>
      <c r="GM2" s="69"/>
      <c r="GN2" s="16" t="s">
        <v>50</v>
      </c>
      <c r="GO2" s="6" t="s">
        <v>17</v>
      </c>
      <c r="GP2" s="6" t="s">
        <v>18</v>
      </c>
      <c r="GQ2" s="6" t="s">
        <v>20</v>
      </c>
      <c r="GR2" s="6" t="s">
        <v>56</v>
      </c>
      <c r="GS2" s="6" t="s">
        <v>19</v>
      </c>
      <c r="GT2" s="6" t="s">
        <v>14</v>
      </c>
      <c r="GU2" s="70" t="s">
        <v>15</v>
      </c>
      <c r="GV2" s="70"/>
      <c r="GW2" s="70"/>
      <c r="GX2" s="70"/>
      <c r="GY2" s="70"/>
      <c r="GZ2" s="70" t="s">
        <v>16</v>
      </c>
      <c r="HA2" s="70"/>
      <c r="HB2" s="70"/>
      <c r="HC2" s="70"/>
      <c r="HD2" s="70"/>
      <c r="HE2" s="70" t="s">
        <v>19</v>
      </c>
      <c r="HF2" s="70"/>
      <c r="HG2" s="70"/>
      <c r="HH2" s="70"/>
      <c r="HI2" s="70"/>
      <c r="HJ2" s="17" t="s">
        <v>50</v>
      </c>
      <c r="HK2" s="8" t="s">
        <v>17</v>
      </c>
      <c r="HL2" s="8" t="s">
        <v>18</v>
      </c>
      <c r="HM2" s="8" t="s">
        <v>20</v>
      </c>
      <c r="HN2" s="8" t="s">
        <v>56</v>
      </c>
      <c r="HO2" s="8" t="s">
        <v>19</v>
      </c>
      <c r="HP2" s="8" t="s">
        <v>14</v>
      </c>
      <c r="HQ2" s="69" t="s">
        <v>15</v>
      </c>
      <c r="HR2" s="69"/>
      <c r="HS2" s="69"/>
      <c r="HT2" s="69"/>
      <c r="HU2" s="69"/>
      <c r="HV2" s="69" t="s">
        <v>16</v>
      </c>
      <c r="HW2" s="69"/>
      <c r="HX2" s="69"/>
      <c r="HY2" s="69"/>
      <c r="HZ2" s="69"/>
      <c r="IA2" s="69" t="s">
        <v>19</v>
      </c>
      <c r="IB2" s="69"/>
      <c r="IC2" s="69"/>
      <c r="ID2" s="69"/>
      <c r="IE2" s="69"/>
      <c r="IF2" s="16" t="s">
        <v>50</v>
      </c>
      <c r="IG2" s="6" t="s">
        <v>17</v>
      </c>
      <c r="IH2" s="6" t="s">
        <v>18</v>
      </c>
      <c r="II2" s="6" t="s">
        <v>20</v>
      </c>
      <c r="IJ2" s="6" t="s">
        <v>56</v>
      </c>
      <c r="IK2" s="6" t="s">
        <v>19</v>
      </c>
      <c r="IL2" s="6" t="s">
        <v>14</v>
      </c>
      <c r="IM2" s="70" t="s">
        <v>15</v>
      </c>
      <c r="IN2" s="70"/>
      <c r="IO2" s="70"/>
      <c r="IP2" s="70"/>
      <c r="IQ2" s="70"/>
      <c r="IR2" s="70" t="s">
        <v>16</v>
      </c>
      <c r="IS2" s="70"/>
      <c r="IT2" s="70"/>
      <c r="IU2" s="70"/>
      <c r="IV2" s="70"/>
      <c r="IW2" s="70" t="s">
        <v>19</v>
      </c>
      <c r="IX2" s="70"/>
      <c r="IY2" s="70"/>
      <c r="IZ2" s="70"/>
      <c r="JA2" s="70"/>
      <c r="JB2" s="17" t="s">
        <v>50</v>
      </c>
      <c r="JC2" s="8" t="s">
        <v>17</v>
      </c>
      <c r="JD2" s="8" t="s">
        <v>18</v>
      </c>
      <c r="JE2" s="8" t="s">
        <v>20</v>
      </c>
      <c r="JF2" s="8" t="s">
        <v>56</v>
      </c>
      <c r="JG2" s="8" t="s">
        <v>19</v>
      </c>
      <c r="JH2" s="8" t="s">
        <v>14</v>
      </c>
      <c r="JI2" s="69" t="s">
        <v>15</v>
      </c>
      <c r="JJ2" s="69"/>
      <c r="JK2" s="69"/>
      <c r="JL2" s="69"/>
      <c r="JM2" s="69"/>
      <c r="JN2" s="69" t="s">
        <v>16</v>
      </c>
      <c r="JO2" s="69"/>
      <c r="JP2" s="69"/>
      <c r="JQ2" s="69"/>
      <c r="JR2" s="69"/>
      <c r="JS2" s="69" t="s">
        <v>19</v>
      </c>
      <c r="JT2" s="69"/>
      <c r="JU2" s="69"/>
      <c r="JV2" s="69"/>
      <c r="JW2" s="69"/>
      <c r="JX2" s="16" t="s">
        <v>50</v>
      </c>
      <c r="JY2" s="6" t="s">
        <v>17</v>
      </c>
      <c r="JZ2" s="6" t="s">
        <v>18</v>
      </c>
      <c r="KA2" s="6" t="s">
        <v>20</v>
      </c>
      <c r="KB2" s="6" t="s">
        <v>56</v>
      </c>
      <c r="KC2" s="6" t="s">
        <v>19</v>
      </c>
      <c r="KD2" s="6" t="s">
        <v>14</v>
      </c>
      <c r="KE2" s="70" t="s">
        <v>15</v>
      </c>
      <c r="KF2" s="70"/>
      <c r="KG2" s="70"/>
      <c r="KH2" s="70"/>
      <c r="KI2" s="70"/>
      <c r="KJ2" s="70" t="s">
        <v>16</v>
      </c>
      <c r="KK2" s="70"/>
      <c r="KL2" s="70"/>
      <c r="KM2" s="70"/>
      <c r="KN2" s="70"/>
      <c r="KO2" s="70" t="s">
        <v>19</v>
      </c>
      <c r="KP2" s="70"/>
      <c r="KQ2" s="70"/>
      <c r="KR2" s="70"/>
      <c r="KS2" s="70"/>
      <c r="KT2" s="17" t="s">
        <v>50</v>
      </c>
      <c r="KU2" s="8" t="s">
        <v>17</v>
      </c>
      <c r="KV2" s="8" t="s">
        <v>18</v>
      </c>
      <c r="KW2" s="8" t="s">
        <v>20</v>
      </c>
      <c r="KX2" s="8" t="s">
        <v>56</v>
      </c>
      <c r="KY2" s="8" t="s">
        <v>19</v>
      </c>
      <c r="KZ2" s="8" t="s">
        <v>14</v>
      </c>
      <c r="LA2" s="69" t="s">
        <v>15</v>
      </c>
      <c r="LB2" s="69"/>
      <c r="LC2" s="69"/>
      <c r="LD2" s="69"/>
      <c r="LE2" s="69"/>
      <c r="LF2" s="69" t="s">
        <v>16</v>
      </c>
      <c r="LG2" s="69"/>
      <c r="LH2" s="69"/>
      <c r="LI2" s="69"/>
      <c r="LJ2" s="69"/>
      <c r="LK2" s="69" t="s">
        <v>19</v>
      </c>
      <c r="LL2" s="69"/>
      <c r="LM2" s="69"/>
      <c r="LN2" s="69"/>
      <c r="LO2" s="69"/>
      <c r="LP2" s="16" t="s">
        <v>50</v>
      </c>
      <c r="LQ2" s="6" t="s">
        <v>17</v>
      </c>
      <c r="LR2" s="6" t="s">
        <v>18</v>
      </c>
      <c r="LS2" s="6" t="s">
        <v>20</v>
      </c>
      <c r="LT2" s="6" t="s">
        <v>56</v>
      </c>
      <c r="LU2" s="6" t="s">
        <v>19</v>
      </c>
      <c r="LV2" s="6" t="s">
        <v>14</v>
      </c>
      <c r="LW2" s="70" t="s">
        <v>15</v>
      </c>
      <c r="LX2" s="70"/>
      <c r="LY2" s="70"/>
      <c r="LZ2" s="70"/>
      <c r="MA2" s="70"/>
      <c r="MB2" s="70" t="s">
        <v>16</v>
      </c>
      <c r="MC2" s="70"/>
      <c r="MD2" s="70"/>
      <c r="ME2" s="70"/>
      <c r="MF2" s="70"/>
      <c r="MG2" s="70" t="s">
        <v>19</v>
      </c>
      <c r="MH2" s="70"/>
      <c r="MI2" s="70"/>
      <c r="MJ2" s="70"/>
      <c r="MK2" s="70"/>
      <c r="ML2" s="17" t="s">
        <v>50</v>
      </c>
      <c r="MM2" s="8" t="s">
        <v>17</v>
      </c>
      <c r="MN2" s="8" t="s">
        <v>18</v>
      </c>
      <c r="MO2" s="8" t="s">
        <v>20</v>
      </c>
      <c r="MP2" s="8" t="s">
        <v>56</v>
      </c>
      <c r="MQ2" s="8" t="s">
        <v>19</v>
      </c>
      <c r="MR2" s="8" t="s">
        <v>14</v>
      </c>
      <c r="MS2" s="69" t="s">
        <v>15</v>
      </c>
      <c r="MT2" s="69"/>
      <c r="MU2" s="69"/>
      <c r="MV2" s="69"/>
      <c r="MW2" s="69"/>
      <c r="MX2" s="69" t="s">
        <v>16</v>
      </c>
      <c r="MY2" s="69"/>
      <c r="MZ2" s="69"/>
      <c r="NA2" s="69"/>
      <c r="NB2" s="69"/>
      <c r="NC2" s="69" t="s">
        <v>19</v>
      </c>
      <c r="ND2" s="69"/>
      <c r="NE2" s="69"/>
      <c r="NF2" s="69"/>
      <c r="NG2" s="69"/>
      <c r="NH2" s="16"/>
      <c r="NI2" s="6" t="s">
        <v>17</v>
      </c>
      <c r="NJ2" s="6" t="s">
        <v>60</v>
      </c>
      <c r="NK2" s="6" t="s">
        <v>18</v>
      </c>
      <c r="NL2" s="6" t="s">
        <v>20</v>
      </c>
      <c r="NM2" s="6" t="s">
        <v>56</v>
      </c>
      <c r="NN2" s="6" t="s">
        <v>19</v>
      </c>
      <c r="NO2" s="6" t="s">
        <v>14</v>
      </c>
    </row>
    <row r="3" spans="1:379" x14ac:dyDescent="0.2">
      <c r="A3" s="74"/>
      <c r="B3" s="74"/>
      <c r="C3" s="74"/>
      <c r="D3" s="74"/>
      <c r="E3" s="74"/>
      <c r="F3" s="77"/>
      <c r="G3" s="74"/>
      <c r="H3" s="74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43</v>
      </c>
      <c r="AJ3" s="6"/>
      <c r="AK3" s="6"/>
      <c r="AL3" s="6"/>
      <c r="AM3" s="6"/>
      <c r="AN3" s="6"/>
      <c r="AO3" s="6"/>
      <c r="AP3" s="6"/>
      <c r="AQ3" s="17" t="s">
        <v>11</v>
      </c>
      <c r="AR3" s="17" t="s">
        <v>12</v>
      </c>
      <c r="AS3" s="17" t="s">
        <v>4</v>
      </c>
      <c r="AT3" s="17" t="s">
        <v>13</v>
      </c>
      <c r="AU3" s="17" t="s">
        <v>22</v>
      </c>
      <c r="AV3" s="17" t="s">
        <v>11</v>
      </c>
      <c r="AW3" s="17" t="s">
        <v>12</v>
      </c>
      <c r="AX3" s="17" t="s">
        <v>4</v>
      </c>
      <c r="AY3" s="17" t="s">
        <v>13</v>
      </c>
      <c r="AZ3" s="17" t="s">
        <v>22</v>
      </c>
      <c r="BA3" s="17" t="s">
        <v>11</v>
      </c>
      <c r="BB3" s="17" t="s">
        <v>12</v>
      </c>
      <c r="BC3" s="17" t="s">
        <v>4</v>
      </c>
      <c r="BD3" s="17" t="s">
        <v>13</v>
      </c>
      <c r="BE3" s="17" t="s">
        <v>22</v>
      </c>
      <c r="BF3" s="17" t="s">
        <v>43</v>
      </c>
      <c r="BG3" s="8"/>
      <c r="BH3" s="8"/>
      <c r="BI3" s="8"/>
      <c r="BJ3" s="8"/>
      <c r="BK3" s="8"/>
      <c r="BL3" s="8"/>
      <c r="BM3" s="8"/>
      <c r="BN3" s="16" t="s">
        <v>11</v>
      </c>
      <c r="BO3" s="16" t="s">
        <v>12</v>
      </c>
      <c r="BP3" s="16" t="s">
        <v>4</v>
      </c>
      <c r="BQ3" s="16" t="s">
        <v>13</v>
      </c>
      <c r="BR3" s="16" t="s">
        <v>22</v>
      </c>
      <c r="BS3" s="16" t="s">
        <v>11</v>
      </c>
      <c r="BT3" s="16" t="s">
        <v>12</v>
      </c>
      <c r="BU3" s="16" t="s">
        <v>4</v>
      </c>
      <c r="BV3" s="16" t="s">
        <v>13</v>
      </c>
      <c r="BW3" s="16" t="s">
        <v>22</v>
      </c>
      <c r="BX3" s="16" t="s">
        <v>11</v>
      </c>
      <c r="BY3" s="16" t="s">
        <v>12</v>
      </c>
      <c r="BZ3" s="16" t="s">
        <v>4</v>
      </c>
      <c r="CA3" s="16" t="s">
        <v>13</v>
      </c>
      <c r="CB3" s="16" t="s">
        <v>22</v>
      </c>
      <c r="CC3" s="16" t="s">
        <v>43</v>
      </c>
      <c r="CD3" s="6"/>
      <c r="CE3" s="6"/>
      <c r="CF3" s="6"/>
      <c r="CG3" s="6"/>
      <c r="CH3" s="6"/>
      <c r="CI3" s="6"/>
      <c r="CJ3" s="6"/>
      <c r="CK3" s="12"/>
      <c r="CL3" s="12"/>
      <c r="CM3" s="12"/>
      <c r="CN3" s="12"/>
      <c r="CO3" s="16" t="s">
        <v>11</v>
      </c>
      <c r="CP3" s="16" t="s">
        <v>12</v>
      </c>
      <c r="CQ3" s="16" t="s">
        <v>4</v>
      </c>
      <c r="CR3" s="16" t="s">
        <v>13</v>
      </c>
      <c r="CS3" s="16" t="s">
        <v>22</v>
      </c>
      <c r="CT3" s="16" t="s">
        <v>11</v>
      </c>
      <c r="CU3" s="16" t="s">
        <v>12</v>
      </c>
      <c r="CV3" s="16" t="s">
        <v>4</v>
      </c>
      <c r="CW3" s="16" t="s">
        <v>13</v>
      </c>
      <c r="CX3" s="16" t="s">
        <v>22</v>
      </c>
      <c r="CY3" s="16" t="s">
        <v>11</v>
      </c>
      <c r="CZ3" s="16" t="s">
        <v>12</v>
      </c>
      <c r="DA3" s="16" t="s">
        <v>4</v>
      </c>
      <c r="DB3" s="16" t="s">
        <v>13</v>
      </c>
      <c r="DC3" s="16" t="s">
        <v>22</v>
      </c>
      <c r="DD3" s="6"/>
      <c r="DE3" s="6"/>
      <c r="DF3" s="6"/>
      <c r="DG3" s="6"/>
      <c r="DH3" s="6"/>
      <c r="DI3" s="6"/>
      <c r="DJ3" s="6"/>
      <c r="DK3" s="17" t="s">
        <v>11</v>
      </c>
      <c r="DL3" s="17" t="s">
        <v>12</v>
      </c>
      <c r="DM3" s="17" t="s">
        <v>4</v>
      </c>
      <c r="DN3" s="17" t="s">
        <v>13</v>
      </c>
      <c r="DO3" s="17" t="s">
        <v>22</v>
      </c>
      <c r="DP3" s="17" t="s">
        <v>11</v>
      </c>
      <c r="DQ3" s="17" t="s">
        <v>12</v>
      </c>
      <c r="DR3" s="17" t="s">
        <v>4</v>
      </c>
      <c r="DS3" s="17" t="s">
        <v>13</v>
      </c>
      <c r="DT3" s="17" t="s">
        <v>22</v>
      </c>
      <c r="DU3" s="17" t="s">
        <v>11</v>
      </c>
      <c r="DV3" s="17" t="s">
        <v>12</v>
      </c>
      <c r="DW3" s="17" t="s">
        <v>4</v>
      </c>
      <c r="DX3" s="17" t="s">
        <v>13</v>
      </c>
      <c r="DY3" s="21" t="s">
        <v>22</v>
      </c>
      <c r="DZ3" s="8"/>
      <c r="EA3" s="8"/>
      <c r="EB3" s="8"/>
      <c r="EC3" s="8"/>
      <c r="ED3" s="8"/>
      <c r="EE3" s="8"/>
      <c r="EF3" s="8"/>
      <c r="EG3" s="16" t="s">
        <v>11</v>
      </c>
      <c r="EH3" s="16" t="s">
        <v>12</v>
      </c>
      <c r="EI3" s="16" t="s">
        <v>4</v>
      </c>
      <c r="EJ3" s="16" t="s">
        <v>13</v>
      </c>
      <c r="EK3" s="16" t="s">
        <v>22</v>
      </c>
      <c r="EL3" s="16" t="s">
        <v>11</v>
      </c>
      <c r="EM3" s="16" t="s">
        <v>12</v>
      </c>
      <c r="EN3" s="16" t="s">
        <v>4</v>
      </c>
      <c r="EO3" s="16" t="s">
        <v>13</v>
      </c>
      <c r="EP3" s="16" t="s">
        <v>22</v>
      </c>
      <c r="EQ3" s="16" t="s">
        <v>11</v>
      </c>
      <c r="ER3" s="16" t="s">
        <v>12</v>
      </c>
      <c r="ES3" s="16" t="s">
        <v>4</v>
      </c>
      <c r="ET3" s="16" t="s">
        <v>13</v>
      </c>
      <c r="EU3" s="16" t="s">
        <v>22</v>
      </c>
      <c r="EV3" s="6"/>
      <c r="EW3" s="6"/>
      <c r="EX3" s="6"/>
      <c r="EY3" s="6"/>
      <c r="EZ3" s="6"/>
      <c r="FA3" s="6"/>
      <c r="FB3" s="6"/>
      <c r="FC3" s="17" t="s">
        <v>11</v>
      </c>
      <c r="FD3" s="17" t="s">
        <v>12</v>
      </c>
      <c r="FE3" s="17" t="s">
        <v>4</v>
      </c>
      <c r="FF3" s="17" t="s">
        <v>13</v>
      </c>
      <c r="FG3" s="17" t="s">
        <v>22</v>
      </c>
      <c r="FH3" s="17" t="s">
        <v>11</v>
      </c>
      <c r="FI3" s="17" t="s">
        <v>12</v>
      </c>
      <c r="FJ3" s="17" t="s">
        <v>4</v>
      </c>
      <c r="FK3" s="17" t="s">
        <v>13</v>
      </c>
      <c r="FL3" s="17" t="s">
        <v>22</v>
      </c>
      <c r="FM3" s="17" t="s">
        <v>11</v>
      </c>
      <c r="FN3" s="17" t="s">
        <v>12</v>
      </c>
      <c r="FO3" s="17" t="s">
        <v>4</v>
      </c>
      <c r="FP3" s="17" t="s">
        <v>13</v>
      </c>
      <c r="FQ3" s="17" t="s">
        <v>22</v>
      </c>
      <c r="FR3" s="8"/>
      <c r="FS3" s="8"/>
      <c r="FT3" s="8"/>
      <c r="FU3" s="8"/>
      <c r="FV3" s="8"/>
      <c r="FW3" s="8"/>
      <c r="FX3" s="8"/>
      <c r="FY3" s="16" t="s">
        <v>11</v>
      </c>
      <c r="FZ3" s="16" t="s">
        <v>12</v>
      </c>
      <c r="GA3" s="16" t="s">
        <v>4</v>
      </c>
      <c r="GB3" s="16" t="s">
        <v>13</v>
      </c>
      <c r="GC3" s="16" t="s">
        <v>22</v>
      </c>
      <c r="GD3" s="16" t="s">
        <v>11</v>
      </c>
      <c r="GE3" s="16" t="s">
        <v>12</v>
      </c>
      <c r="GF3" s="16" t="s">
        <v>4</v>
      </c>
      <c r="GG3" s="16" t="s">
        <v>13</v>
      </c>
      <c r="GH3" s="16" t="s">
        <v>22</v>
      </c>
      <c r="GI3" s="16" t="s">
        <v>11</v>
      </c>
      <c r="GJ3" s="16" t="s">
        <v>12</v>
      </c>
      <c r="GK3" s="16" t="s">
        <v>4</v>
      </c>
      <c r="GL3" s="16" t="s">
        <v>13</v>
      </c>
      <c r="GM3" s="16" t="s">
        <v>22</v>
      </c>
      <c r="GN3" s="6"/>
      <c r="GO3" s="6"/>
      <c r="GP3" s="6"/>
      <c r="GQ3" s="6"/>
      <c r="GR3" s="6"/>
      <c r="GS3" s="6"/>
      <c r="GT3" s="6"/>
      <c r="GU3" s="17" t="s">
        <v>11</v>
      </c>
      <c r="GV3" s="17" t="s">
        <v>12</v>
      </c>
      <c r="GW3" s="17" t="s">
        <v>4</v>
      </c>
      <c r="GX3" s="17" t="s">
        <v>13</v>
      </c>
      <c r="GY3" s="17" t="s">
        <v>22</v>
      </c>
      <c r="GZ3" s="17" t="s">
        <v>11</v>
      </c>
      <c r="HA3" s="17" t="s">
        <v>12</v>
      </c>
      <c r="HB3" s="17" t="s">
        <v>4</v>
      </c>
      <c r="HC3" s="17" t="s">
        <v>13</v>
      </c>
      <c r="HD3" s="17" t="s">
        <v>22</v>
      </c>
      <c r="HE3" s="17" t="s">
        <v>11</v>
      </c>
      <c r="HF3" s="17" t="s">
        <v>12</v>
      </c>
      <c r="HG3" s="17" t="s">
        <v>4</v>
      </c>
      <c r="HH3" s="17" t="s">
        <v>13</v>
      </c>
      <c r="HI3" s="17" t="s">
        <v>22</v>
      </c>
      <c r="HJ3" s="8"/>
      <c r="HK3" s="8"/>
      <c r="HL3" s="8"/>
      <c r="HM3" s="8"/>
      <c r="HN3" s="8"/>
      <c r="HO3" s="8"/>
      <c r="HP3" s="8"/>
      <c r="HQ3" s="16" t="s">
        <v>11</v>
      </c>
      <c r="HR3" s="16" t="s">
        <v>12</v>
      </c>
      <c r="HS3" s="16" t="s">
        <v>4</v>
      </c>
      <c r="HT3" s="16" t="s">
        <v>13</v>
      </c>
      <c r="HU3" s="16" t="s">
        <v>22</v>
      </c>
      <c r="HV3" s="16" t="s">
        <v>11</v>
      </c>
      <c r="HW3" s="16" t="s">
        <v>12</v>
      </c>
      <c r="HX3" s="16" t="s">
        <v>4</v>
      </c>
      <c r="HY3" s="16" t="s">
        <v>13</v>
      </c>
      <c r="HZ3" s="16" t="s">
        <v>22</v>
      </c>
      <c r="IA3" s="16" t="s">
        <v>11</v>
      </c>
      <c r="IB3" s="16" t="s">
        <v>12</v>
      </c>
      <c r="IC3" s="16" t="s">
        <v>4</v>
      </c>
      <c r="ID3" s="16" t="s">
        <v>13</v>
      </c>
      <c r="IE3" s="16" t="s">
        <v>22</v>
      </c>
      <c r="IF3" s="6"/>
      <c r="IG3" s="6"/>
      <c r="IH3" s="6"/>
      <c r="II3" s="6"/>
      <c r="IJ3" s="6"/>
      <c r="IK3" s="6"/>
      <c r="IL3" s="6"/>
      <c r="IM3" s="17" t="s">
        <v>11</v>
      </c>
      <c r="IN3" s="17" t="s">
        <v>12</v>
      </c>
      <c r="IO3" s="17" t="s">
        <v>4</v>
      </c>
      <c r="IP3" s="17" t="s">
        <v>13</v>
      </c>
      <c r="IQ3" s="17" t="s">
        <v>22</v>
      </c>
      <c r="IR3" s="17" t="s">
        <v>11</v>
      </c>
      <c r="IS3" s="17" t="s">
        <v>12</v>
      </c>
      <c r="IT3" s="17" t="s">
        <v>4</v>
      </c>
      <c r="IU3" s="17" t="s">
        <v>13</v>
      </c>
      <c r="IV3" s="17" t="s">
        <v>22</v>
      </c>
      <c r="IW3" s="17" t="s">
        <v>11</v>
      </c>
      <c r="IX3" s="17" t="s">
        <v>12</v>
      </c>
      <c r="IY3" s="17" t="s">
        <v>4</v>
      </c>
      <c r="IZ3" s="17" t="s">
        <v>13</v>
      </c>
      <c r="JA3" s="17" t="s">
        <v>22</v>
      </c>
      <c r="JB3" s="8"/>
      <c r="JC3" s="8"/>
      <c r="JD3" s="8"/>
      <c r="JE3" s="8"/>
      <c r="JF3" s="8"/>
      <c r="JG3" s="8"/>
      <c r="JH3" s="8"/>
      <c r="JI3" s="16" t="s">
        <v>11</v>
      </c>
      <c r="JJ3" s="16" t="s">
        <v>12</v>
      </c>
      <c r="JK3" s="16" t="s">
        <v>4</v>
      </c>
      <c r="JL3" s="16" t="s">
        <v>13</v>
      </c>
      <c r="JM3" s="16" t="s">
        <v>22</v>
      </c>
      <c r="JN3" s="16" t="s">
        <v>11</v>
      </c>
      <c r="JO3" s="16" t="s">
        <v>12</v>
      </c>
      <c r="JP3" s="16" t="s">
        <v>4</v>
      </c>
      <c r="JQ3" s="16" t="s">
        <v>13</v>
      </c>
      <c r="JR3" s="16" t="s">
        <v>22</v>
      </c>
      <c r="JS3" s="16" t="s">
        <v>11</v>
      </c>
      <c r="JT3" s="16" t="s">
        <v>12</v>
      </c>
      <c r="JU3" s="16" t="s">
        <v>4</v>
      </c>
      <c r="JV3" s="16" t="s">
        <v>13</v>
      </c>
      <c r="JW3" s="16" t="s">
        <v>22</v>
      </c>
      <c r="JX3" s="6"/>
      <c r="JY3" s="6"/>
      <c r="JZ3" s="6"/>
      <c r="KA3" s="6"/>
      <c r="KB3" s="6"/>
      <c r="KC3" s="6"/>
      <c r="KD3" s="6"/>
      <c r="KE3" s="17" t="s">
        <v>11</v>
      </c>
      <c r="KF3" s="17" t="s">
        <v>12</v>
      </c>
      <c r="KG3" s="17" t="s">
        <v>4</v>
      </c>
      <c r="KH3" s="17" t="s">
        <v>13</v>
      </c>
      <c r="KI3" s="17" t="s">
        <v>22</v>
      </c>
      <c r="KJ3" s="17" t="s">
        <v>11</v>
      </c>
      <c r="KK3" s="17" t="s">
        <v>12</v>
      </c>
      <c r="KL3" s="17" t="s">
        <v>4</v>
      </c>
      <c r="KM3" s="17" t="s">
        <v>13</v>
      </c>
      <c r="KN3" s="17" t="s">
        <v>22</v>
      </c>
      <c r="KO3" s="17" t="s">
        <v>11</v>
      </c>
      <c r="KP3" s="17" t="s">
        <v>12</v>
      </c>
      <c r="KQ3" s="17" t="s">
        <v>4</v>
      </c>
      <c r="KR3" s="17" t="s">
        <v>13</v>
      </c>
      <c r="KS3" s="17" t="s">
        <v>22</v>
      </c>
      <c r="KT3" s="8"/>
      <c r="KU3" s="8"/>
      <c r="KV3" s="8"/>
      <c r="KW3" s="8"/>
      <c r="KX3" s="8"/>
      <c r="KY3" s="8"/>
      <c r="KZ3" s="8"/>
      <c r="LA3" s="16" t="s">
        <v>11</v>
      </c>
      <c r="LB3" s="16" t="s">
        <v>12</v>
      </c>
      <c r="LC3" s="16" t="s">
        <v>4</v>
      </c>
      <c r="LD3" s="16" t="s">
        <v>13</v>
      </c>
      <c r="LE3" s="16" t="s">
        <v>22</v>
      </c>
      <c r="LF3" s="16" t="s">
        <v>11</v>
      </c>
      <c r="LG3" s="16" t="s">
        <v>12</v>
      </c>
      <c r="LH3" s="16" t="s">
        <v>4</v>
      </c>
      <c r="LI3" s="16" t="s">
        <v>13</v>
      </c>
      <c r="LJ3" s="16" t="s">
        <v>22</v>
      </c>
      <c r="LK3" s="16" t="s">
        <v>11</v>
      </c>
      <c r="LL3" s="16" t="s">
        <v>12</v>
      </c>
      <c r="LM3" s="16" t="s">
        <v>4</v>
      </c>
      <c r="LN3" s="16" t="s">
        <v>13</v>
      </c>
      <c r="LO3" s="16" t="s">
        <v>22</v>
      </c>
      <c r="LP3" s="6"/>
      <c r="LQ3" s="6"/>
      <c r="LR3" s="6"/>
      <c r="LS3" s="6"/>
      <c r="LT3" s="6"/>
      <c r="LU3" s="6"/>
      <c r="LV3" s="6"/>
      <c r="LW3" s="17" t="s">
        <v>11</v>
      </c>
      <c r="LX3" s="17" t="s">
        <v>12</v>
      </c>
      <c r="LY3" s="17" t="s">
        <v>4</v>
      </c>
      <c r="LZ3" s="17" t="s">
        <v>13</v>
      </c>
      <c r="MA3" s="17" t="s">
        <v>22</v>
      </c>
      <c r="MB3" s="17" t="s">
        <v>11</v>
      </c>
      <c r="MC3" s="17" t="s">
        <v>12</v>
      </c>
      <c r="MD3" s="17" t="s">
        <v>4</v>
      </c>
      <c r="ME3" s="17" t="s">
        <v>13</v>
      </c>
      <c r="MF3" s="17" t="s">
        <v>22</v>
      </c>
      <c r="MG3" s="17" t="s">
        <v>11</v>
      </c>
      <c r="MH3" s="17" t="s">
        <v>12</v>
      </c>
      <c r="MI3" s="17" t="s">
        <v>4</v>
      </c>
      <c r="MJ3" s="17" t="s">
        <v>13</v>
      </c>
      <c r="MK3" s="17" t="s">
        <v>22</v>
      </c>
      <c r="ML3" s="8"/>
      <c r="MM3" s="8"/>
      <c r="MN3" s="8"/>
      <c r="MO3" s="8"/>
      <c r="MP3" s="8"/>
      <c r="MQ3" s="8"/>
      <c r="MR3" s="8"/>
      <c r="MS3" s="16" t="s">
        <v>11</v>
      </c>
      <c r="MT3" s="16" t="s">
        <v>12</v>
      </c>
      <c r="MU3" s="16" t="s">
        <v>4</v>
      </c>
      <c r="MV3" s="16" t="s">
        <v>13</v>
      </c>
      <c r="MW3" s="16" t="s">
        <v>22</v>
      </c>
      <c r="MX3" s="16" t="s">
        <v>11</v>
      </c>
      <c r="MY3" s="16" t="s">
        <v>12</v>
      </c>
      <c r="MZ3" s="16" t="s">
        <v>4</v>
      </c>
      <c r="NA3" s="16" t="s">
        <v>13</v>
      </c>
      <c r="NB3" s="16" t="s">
        <v>22</v>
      </c>
      <c r="NC3" s="16" t="s">
        <v>11</v>
      </c>
      <c r="ND3" s="16" t="s">
        <v>12</v>
      </c>
      <c r="NE3" s="16" t="s">
        <v>4</v>
      </c>
      <c r="NF3" s="16" t="s">
        <v>13</v>
      </c>
      <c r="NG3" s="16" t="s">
        <v>22</v>
      </c>
      <c r="NH3" s="16" t="s">
        <v>43</v>
      </c>
      <c r="NI3" s="6"/>
      <c r="NJ3" s="6"/>
      <c r="NK3" s="6"/>
      <c r="NL3" s="6"/>
      <c r="NM3" s="6"/>
      <c r="NN3" s="6"/>
      <c r="NO3" s="6"/>
    </row>
    <row r="4" spans="1:379" x14ac:dyDescent="0.2">
      <c r="A4" s="4" t="str" cm="1">
        <f t="array" ref="A4">IF(AND(H4&lt;&gt;"",H4&lt;&gt;"No DD"),SUMPRODUCT((H$4:H$15&lt;&gt;"")*(H$4:H$15&lt;&gt;"No DD")*(E$4:E$15&gt;E4))+1,IF(H4="No DD",SUMPRODUCT((H$4:H$15="No DD")*(E$4:E$15&gt;E4))+1+SUMPRODUCT((H$4:H$15&lt;&gt;"")*(H$4:H$15&lt;&gt;"No DD")),""))</f>
        <v/>
      </c>
      <c r="B4" s="5" t="s">
        <v>104</v>
      </c>
      <c r="C4" s="4" t="s">
        <v>62</v>
      </c>
      <c r="D4" s="4">
        <v>2010</v>
      </c>
      <c r="E4" s="10">
        <f t="shared" ref="E4:E14" si="0">SUM(I4:Q4)</f>
        <v>235.07000000000002</v>
      </c>
      <c r="F4" s="3" t="str">
        <f t="shared" ref="F4:F14" si="1">IF(OR(AND(AK4&gt;=AP$17,AM4&gt;=AP$21,AJ4&lt;&gt;"",AI4=""),AND(BH4&gt;=BM$17,BJ4&gt;=BM$21,BG4&lt;&gt;"",BF4=""),AND(CE4&gt;=CJ$17,CG4&gt;=CJ$21,CD4&lt;&gt;"",CC4=""),AND(DD4&gt;=DJ$17,DG4&gt;=DJ$21,DD4&lt;&gt;""),AND(DZ4&gt;=EF$17,EC4&gt;=EF$21,DZ4&lt;&gt;""),AND(EV4&gt;=FB$17,EY4&gt;=FB$21,EV4&lt;&gt;""),AND(FR4&gt;=FX$17,FU4&gt;=FX$21,FR4&lt;&gt;""),AND(GN4&gt;=GT$17,GQ4&gt;=GT$21,GN4&lt;&gt;""),AND(HJ4&gt;=HP$17,HM4&gt;=HP$21,HJ4&lt;&gt;""),AND(IF4&gt;=IL$17,II4&gt;=IL$21,IF4&lt;&gt;""),AND(JB4&gt;=JH$17,JE4&gt;=JH$21,JB4&lt;&gt;""),AND(JX4&gt;=KD$17,KA4&gt;=KD$21,JX4&lt;&gt;""),AND(KT4&gt;=KZ$17,KW4&gt;=KZ$21,KT4&lt;&gt;""),AND(LP4&gt;=LV$17,LS4&gt;=LV$21,LP4&lt;&gt;""),AND(ML4&gt;=MR$17,MO4&gt;=MR$21,ML4&lt;&gt;"")),"P","")</f>
        <v/>
      </c>
      <c r="G4" s="3" t="str">
        <f t="shared" ref="G4:G14" si="2">IF(OR(AND(AM4&gt;=AP$21,AJ4&lt;&gt;"",AI4=""),AND(BJ4&gt;=BM$21,BG4&lt;&gt;"",BF4=""),AND(CG4&gt;=CJ$21,CD4&lt;&gt;"",CC4=""),AND(DG4&gt;=DJ$21,DD4&lt;&gt;""),AND(EC4&gt;=EF$21,DZ4&lt;&gt;""),AND(EY4&gt;=FB$21,EV4&lt;&gt;""),AND(FU4&gt;=FX$21,FR4&lt;&gt;""),AND(GQ4&gt;=GT$21,GN4&lt;&gt;""),AND(HM4&gt;=HP$21,HJ4&lt;&gt;""),AND(II4&gt;=IL$21,IF4&lt;&gt;""),AND(JE4&gt;=JH$21,JB4&lt;&gt;""),AND(KA4&gt;=KD$21,JX4&lt;&gt;""),AND(KW4&gt;=KZ$21,KT4&lt;&gt;""),AND(LS4&gt;=LV$21,LP4&lt;&gt;""),AND(MO4&gt;=MR$21,ML4&lt;&gt;"")),"P","")</f>
        <v/>
      </c>
      <c r="H4" s="47" t="str">
        <f t="shared" ref="H4:H14" si="3">IF(OR(AND(AK4&gt;=AP$20,AL4&gt;=AP$24,AK4&lt;&gt;"",AI4=""),AND(AN4&gt;=AP$20,AO4&gt;=AP$24,AN4&lt;&gt;"",AI4=""),AND(BH4&gt;=BM$20,BI4&gt;=BM$24,BH4&lt;&gt;"",BF4=""),AND(BK4&gt;=BM$20,BL4&gt;=BM$24,BK4&lt;&gt;"",BF4=""),AND(CE4&gt;=CJ$20,CF4&gt;=CJ$24,CE4&lt;&gt;"",CC4=""),AND(CH4&gt;=CJ$20,CI4&gt;=CJ$24,CH4&lt;&gt;"",CC4=""),AND(DD4&gt;=DJ$20,DF4&gt;=DJ$24,DD4&lt;&gt;""),AND(DH4&gt;=DJ$20,DI4&gt;=DJ$24,DH4&lt;&gt;""),AND(DZ4&gt;=EF$20,EB4&gt;=EF$24,DZ4&lt;&gt;""),AND(ED4&gt;=EF$20,EE4&gt;=EF$24,ED4&lt;&gt;""),AND(EV4&gt;=FB$20,EX4&gt;=FB$24,EV4&lt;&gt;""),AND(EZ4&gt;=FB$20,FA4&gt;=FB$24,EZ4&lt;&gt;""),AND(FR4&gt;=FX$20,FT4&gt;=FX$24,FR4&lt;&gt;""),AND(FV4&gt;=FX$20,FW4&gt;=FX$24,FV4&lt;&gt;""),AND(GN4&gt;=GT$20,GP4&gt;=GT$24,GN4&lt;&gt;""),AND(GR4&gt;=GT$20,GS4&gt;=GT$24,GR4&lt;&gt;""),AND(HJ4&gt;=HP$20,HL4&gt;=HP$24,HJ4&lt;&gt;""),AND(HN4&gt;=HP$20,HO4&gt;=HP$24,HN4&lt;&gt;""),AND(IF4&gt;=IL$20,IH4&gt;=IL$24,IF4&lt;&gt;""),AND(IJ4&gt;=IL$20,IK4&gt;=IL$24,IJ4&lt;&gt;""),AND(JB4&gt;=JH$20,JD4&gt;=JH$24,JB4&lt;&gt;""),AND(JF4&gt;=JH$20,JG4&gt;=JH$24,JF4&lt;&gt;""),AND(JX4&gt;=KD$20,JZ4&gt;=KD$24,JX4&lt;&gt;""),AND(KB4&gt;=KD$20,KC4&gt;=KD$24,KB4&lt;&gt;""),AND(KT4&gt;=KZ$20,KV4&gt;=KZ$24,KT4&lt;&gt;""),AND(KX4&gt;=KZ$20,KY4&gt;=KZ$24,KX4&lt;&gt;""),AND(LP4&gt;=LV$20,LR4&gt;=LV$24,LP4&lt;&gt;""),AND(LT4&gt;=LV$20,LU4&gt;=LV$24,LT4&lt;&gt;""),AND(ML4&gt;=MR$20,MN4&gt;=MR$24,ML4&lt;&gt;""),AND(MP4&gt;=MR$20,MQ4&gt;=MR$24,MP4&lt;&gt;"")),"Merit",IF(OR(AND(AK4&gt;=AP$19,AM4&gt;=AP$23,AJ4&lt;&gt;"",AI4=""),AND(BH4&gt;=BM$19,BJ4&gt;=BM$23,BG4&lt;&gt;"",BF4=""),AND(CE4&gt;=CJ$19,CG4&gt;=CJ$23,CD4&lt;&gt;"",CC4=""),AND(DD4&gt;=DJ$19,DG4&gt;=DJ$23,DD4&lt;&gt;""),AND(DZ4&gt;=EF$19,EC4&gt;=EF$23,DZ4&lt;&gt;""),AND(EV4&gt;=FB$19,EY4&gt;=FB$23,EV4&lt;&gt;""),AND(FR4&gt;=FX$19,FU4&gt;=FX$23,FR4&lt;&gt;""),AND(GN4&gt;=GT$19,GQ4&gt;=GT$23,GN4&lt;&gt;""),AND(HJ4&gt;=HP$19,HM4&gt;=HP$23,HJ4&lt;&gt;""),AND(IF4&gt;=IL$19,II4&gt;=IL$23,IF4&lt;&gt;""),AND(JB4&gt;=JH$19,JE4&gt;=JH$23,JB4&lt;&gt;""),AND(JX4&gt;=KD$19,KA4&gt;=KD$23,JX4&lt;&gt;""),AND(KT4&gt;=KZ$19,KW4&gt;=KZ$23,KT4&lt;&gt;""),AND(LP4&gt;=LV$19,LS4&gt;=LV$23,LP4&lt;&gt;""),AND(ML4&gt;=MR$19,MO4&gt;=MR$23,ML4&lt;&gt;"")),"Excellence",IF(OR(AND(AK4&gt;=AP$17,AM4&gt;=AP$21,AJ4&lt;&gt;"",AI4=""),AND(BH4&gt;=BM$17,BJ4&gt;=BM$21,BG4&lt;&gt;"",BF4=""),AND(CE4&gt;=CJ$17,CG4&gt;=CJ$21,CD4&lt;&gt;"",CC4=""),AND(DD4&gt;=DJ$17,DG4&gt;=DJ$21,DD4&lt;&gt;""),AND(DZ4&gt;=EF$17,EC4&gt;=EF$21,DZ4&lt;&gt;""),AND(EV4&gt;=FB$17,EY4&gt;=FB$21,EV4&lt;&gt;""),AND(FR4&gt;=FX$17,FU4&gt;=FX$21,FR4&lt;&gt;""),AND(GN4&gt;=GT$17,GQ4&gt;=GT$21,GN4&lt;&gt;""),AND(HJ4&gt;=HP$17,HM4&gt;=HP$21,HJ4&lt;&gt;""),AND(IF4&gt;=IL$17,II4&gt;=IL$21,IF4&lt;&gt;""),AND(JB4&gt;=JH$17,JE4&gt;=JH$21,JB4&lt;&gt;""),AND(JX4&gt;=KD$17,KA4&gt;=KD$21,JX4&lt;&gt;""),AND(KT4&gt;=KZ$17,KW4&gt;=KZ$21,KT4&lt;&gt;""),AND(LP4&gt;=LV$17,LS4&gt;=LV$21,LP4&lt;&gt;""),AND(ML4&gt;=MR$17,MO4&gt;=MR$21,ML4&lt;&gt;"")),"National Team",IF(G4="P","No DD",""))))</f>
        <v/>
      </c>
      <c r="I4" s="9">
        <f t="shared" ref="I4:I14" si="4">IF(MAX(AM4,BJ4,CG4)&gt;0,MAX(AM4,BJ4,CG4),0)</f>
        <v>92.19</v>
      </c>
      <c r="J4" s="9" t="str">
        <f t="shared" ref="J4:J14" si="5">IF(I4=0,"",IF(I4=CG4,$BN$1,IF(I4=BJ4,$AQ$1,IF(I4=AM4,$T$1,""))))</f>
        <v>2025 3rd Domestic Trial</v>
      </c>
      <c r="K4" s="9">
        <f t="shared" ref="K4:K14" si="6">IF($I4=$AM4,MAX(BG4,CD4),IF($I4=$BJ4,MAX(AJ4,CD4),IF($I4=$CG4,MAX(AJ4,BG4),MAX(AJ4,BG4,CD4))))</f>
        <v>40.480000000000004</v>
      </c>
      <c r="L4" s="9" t="str">
        <f t="shared" ref="L4:L14" si="7">IF(K4=0,"",IF(AND(K4=CD4,$J4&lt;&gt;$BN$1),$BN$1,IF(AND(K4=BG4,$J4&lt;&gt;$AQ$1),$AQ$1,IF(AND(K4=AJ4,$J4&lt;&gt;$T$1),$T$1,""))))</f>
        <v>2025 Nationals</v>
      </c>
      <c r="M4" s="9">
        <f t="shared" ref="M4:M14" si="8">IF(I4-N(AJ4)=AL4,MAX(BI4,CF4),IF(I4-N(BG4)=BI4,MAX(AL4,CF4),IF(I4-N(CD4)=CF4,MAX(AL4,BI4))))</f>
        <v>15.559999999999999</v>
      </c>
      <c r="N4" s="9" t="str">
        <f t="shared" ref="N4:N14" si="9">IF(M4=0,"",IF(AND(OR(M4=CF4),$J4&lt;&gt;$BN$1),$BN$1,IF(AND(OR(M4=BI4),$J4&lt;&gt;$AQ$1),$AQ$1,IF(AND(OR(M4=AL4),$J4&lt;&gt;$T$1),$T$1,""))))</f>
        <v>2025 Nationals</v>
      </c>
      <c r="O4" s="9">
        <f t="shared" ref="O4:O14" si="10">MAX(AO4,BL4,CI4)</f>
        <v>50.629999999999995</v>
      </c>
      <c r="P4" s="9" t="str">
        <f t="shared" ref="P4:P14" si="11">IF(O4=0,"",IF(O4=CI4,$BN$1,IF(O4=BL4,$AQ$1,IF(O4=AO4,$T$1,""))))</f>
        <v>2025 Nationals</v>
      </c>
      <c r="Q4" s="9">
        <f t="shared" ref="Q4:Q14" si="12">IF(MAX(CK4,CL4,CM4,CN4)&gt;0,MAX(CK4,CL4,CM4,CN4),"")</f>
        <v>36.210000000000008</v>
      </c>
      <c r="R4" s="14" t="str">
        <f t="shared" ref="R4:R14" si="13">IF(Q4="","",IF(Q4=CK4,"(Vol 1)",IF(Q4=CL4,"(Vol 2)",IF(Q4=CM4,"(Prelim)",IF(Q4=CN4,"(Final)")))))</f>
        <v>(Vol 2)</v>
      </c>
      <c r="S4" s="9" t="str">
        <f t="shared" ref="S4:S14" si="14">IF(Q4="","",IF(Q4=CK4,IF(Q4+IF(K4="",0,K4)=MM4,$LW$1,IF(Q4+IF(K4="",0,K4)=LQ4,$LA$1,IF(Q4+IF(K4="",0,K4)=KU4,$KE$1,IF(Q4+IF(K4="",0,K4)=JY4,$JI$1,IF(Q4+IF(K4="",0,K4)=JC4,$IM$1,IF(Q4+IF(K4="",0,K4)=IG4,$HQ$1,IF(Q4+IF(K4="",0,K4)=HK4,$GU$1,IF(Q4+IF(K4="",0,K4)=GO4,$FY$1,IF(Q4+IF(K4="",0,K4)=FS4,$FC$1,IF(Q4+IF(K4="",0,K4)=EW4,$EG$1,IF(Q4+IF(K4="",0,K4)=EA4,$DK$1,IF(Q4+IF(K4="",0,K4)=DE4,$CO$1)))))))))))),IF(Q4=CL4,IF(Q4+IF(M4="",0,M4)=MN4,$LW$1,IF(Q4+IF(M4="",0,M4)=LR4,$LA$1,IF(Q4+IF(M4="",0,M4)=KV4,$KE$1,IF(Q4+IF(M4="",0,M4)=JZ4,$JI$1,IF(Q4+IF(M4="",0,M4)=JD4,$IM$1,IF(Q4+IF(M4="",0,M4)=IH4,$HQ$1,IF(Q4+IF(M4="",0,M4)=HL4,$GU$1,IF(Q4+IF(M4="",0,M4)=GP4,$FY$1,IF(Q4+IF(M4="",0,M4)=FT4,$FC$1,IF(Q4+IF(M4="",0,M4)=EX4,$EG$1,IF(Q4+IF(M4="",0,M4)=EB4,$DK$1,IF(Q4+IF(M4="",0,M4)=DF4,$CO$1)))))))))))),IF(Q4=CM4,IF(Q4+IF(I4="",0,I4)=MO4,$LW$1,IF(Q4+IF(I4="",0,I4)=LS4,$LA$1,IF(Q4+IF(I4="",0,I4)=KW4,$KE$1,IF(Q4+IF(I4="",0,I4)=KA4,$JI$1,IF(Q4+IF(I4="",0,I4)=JE4,$IM$1,IF(Q4+IF(I4="",0,I4)=II4,$HQ$1,IF(Q4+IF(I4="",0,I4)=HM4,$GU$1,IF(Q4+IF(I4="",0,I4)=GQ4,$FY$1,IF(Q4+IF(I4="",0,I4)=FU4,$FC$1,IF(Q4+IF(I4="",0,I4)=EY4,$EG$1,IF(Q4+IF(I4="",0,I4)=EC4,$DK$1,IF(Q4+IF(I4="",0,I4)=DG4,$CO$1)))))))))))),IF(Q4=CN4,IF(Q4+IF(O4="",0,O4)=MQ4,$LW$1,IF(Q4+IF(O4="",0,O4)=LU4,$LA$1,IF(Q4+IF(O4="",0,O4)=KY4,$KE$1,IF(Q4+IF(O4="",0,O4)=KC4,$JI$1,IF(Q4+IF(O4="",0,O4)=JG4,$IM$1,IF(Q4+IF(O4="",0,O4)=IK4,$HQ$1,IF(Q4+IF(O4="",0,O4)=HO4,$GU$1,IF(Q4+IF(O4="",0,O4)=GS4,$FY$1,IF(Q4+IF(O4="",0,O4)=FW4,$FC$1,IF(Q4+IF(O4="",0,O4)=FA4,$EG$1,IF(Q4+IF(O4="",0,O4)=EE4,$DK$1,IF(Q4+IF(O4="",0,O4)=DI4,$CO$1)))))))))))))))))</f>
        <v>2025 WAGC (Nov 16)</v>
      </c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32"/>
      <c r="AJ4" s="7" t="str">
        <f t="shared" ref="AJ4:AJ14" si="15">IF(SUM(T4:W4)-X4&gt;0,SUM(T4:W4)-X4,"")</f>
        <v/>
      </c>
      <c r="AK4" s="7" t="str">
        <f t="shared" ref="AK4:AK14" si="16">IF(AA4&gt;0,AA4,"")</f>
        <v/>
      </c>
      <c r="AL4" s="7" t="str">
        <f t="shared" ref="AL4:AL14" si="17">IF(SUM(Y4:AB4)-AC4&gt;0,SUM(Y4:AB4)-AC4,"")</f>
        <v/>
      </c>
      <c r="AM4" s="7" t="str">
        <f t="shared" ref="AM4:AM14" si="18">IF(AJ4="",IF(AL4&gt;0,AL4,""),AL4+AJ4)</f>
        <v/>
      </c>
      <c r="AN4" s="7" t="str">
        <f t="shared" ref="AN4:AN14" si="19">IF(AF4&gt;0,AF4,"")</f>
        <v/>
      </c>
      <c r="AO4" s="7" t="str">
        <f t="shared" ref="AO4:AO14" si="20">IF(SUM(AD4:AG4)-AH4&gt;0,SUM(AD4:AG4)-AH4,"")</f>
        <v/>
      </c>
      <c r="AP4" s="7" t="str">
        <f t="shared" ref="AP4:AP14" si="21">IF(SUM(AM4,AO4)&gt;0,SUM(AM4,AO4),"")</f>
        <v/>
      </c>
      <c r="AQ4" s="23">
        <v>16</v>
      </c>
      <c r="AR4" s="23">
        <v>9.3000000000000007</v>
      </c>
      <c r="AS4" s="23">
        <v>0</v>
      </c>
      <c r="AT4" s="23">
        <v>15.18</v>
      </c>
      <c r="AU4" s="23">
        <v>0</v>
      </c>
      <c r="AV4" s="23">
        <v>4.2</v>
      </c>
      <c r="AW4" s="23">
        <v>2.5</v>
      </c>
      <c r="AX4" s="23">
        <v>4.3</v>
      </c>
      <c r="AY4" s="23">
        <v>4.5599999999999996</v>
      </c>
      <c r="AZ4" s="23">
        <v>0</v>
      </c>
      <c r="BA4" s="23">
        <v>13.1</v>
      </c>
      <c r="BB4" s="23">
        <v>9.1</v>
      </c>
      <c r="BC4" s="23">
        <v>13.6</v>
      </c>
      <c r="BD4" s="23">
        <v>14.83</v>
      </c>
      <c r="BE4" s="23">
        <v>0</v>
      </c>
      <c r="BF4" s="33"/>
      <c r="BG4" s="9">
        <f t="shared" ref="BG4:BG14" si="22">IF(SUM(AQ4:AT4)-AU4&gt;0,SUM(AQ4:AT4)-AU4,"")</f>
        <v>40.480000000000004</v>
      </c>
      <c r="BH4" s="9">
        <f t="shared" ref="BH4:BH14" si="23">IF(AX4&gt;0,AX4,"")</f>
        <v>4.3</v>
      </c>
      <c r="BI4" s="9">
        <f t="shared" ref="BI4:BI14" si="24">IF(SUM(AV4:AY4)-AZ4&gt;0,SUM(AV4:AY4)-AZ4,"")</f>
        <v>15.559999999999999</v>
      </c>
      <c r="BJ4" s="9">
        <f t="shared" ref="BJ4:BJ14" si="25">IF(BG4="",IF(BI4&gt;0,BI4,""),BI4+BG4)</f>
        <v>56.040000000000006</v>
      </c>
      <c r="BK4" s="9">
        <f t="shared" ref="BK4:BK14" si="26">IF(BC4&gt;0,BC4,"")</f>
        <v>13.6</v>
      </c>
      <c r="BL4" s="9">
        <f t="shared" ref="BL4:BL14" si="27">IF(SUM(BA4:BD4)-BE4&gt;0,SUM(BA4:BD4)-BE4,"")</f>
        <v>50.629999999999995</v>
      </c>
      <c r="BM4" s="9">
        <f t="shared" ref="BM4:BM14" si="28">IF(SUM(BJ4,BL4)&gt;0,SUM(BJ4,BL4),"")</f>
        <v>106.67</v>
      </c>
      <c r="BN4" s="27">
        <v>16.5</v>
      </c>
      <c r="BO4" s="27">
        <v>9.4</v>
      </c>
      <c r="BP4" s="27">
        <v>0</v>
      </c>
      <c r="BQ4" s="27">
        <v>15.51</v>
      </c>
      <c r="BR4" s="27">
        <v>0</v>
      </c>
      <c r="BS4" s="27">
        <v>13.4</v>
      </c>
      <c r="BT4" s="27">
        <v>8.8000000000000007</v>
      </c>
      <c r="BU4" s="27">
        <v>13</v>
      </c>
      <c r="BV4" s="27">
        <v>15.58</v>
      </c>
      <c r="BW4" s="27">
        <v>0</v>
      </c>
      <c r="BX4" s="27">
        <v>11.7</v>
      </c>
      <c r="BY4" s="27">
        <v>9.1999999999999993</v>
      </c>
      <c r="BZ4" s="27">
        <v>12.1</v>
      </c>
      <c r="CA4" s="27">
        <v>15.21</v>
      </c>
      <c r="CB4" s="27">
        <v>0.2</v>
      </c>
      <c r="CC4" s="32"/>
      <c r="CD4" s="7">
        <f t="shared" ref="CD4:CD14" si="29">IF(SUM(BN4:BQ4)-BR4&gt;0,SUM(BN4:BQ4)-BR4,"")</f>
        <v>41.41</v>
      </c>
      <c r="CE4" s="7">
        <f t="shared" ref="CE4:CE14" si="30">IF(BU4&gt;0,BU4,"")</f>
        <v>13</v>
      </c>
      <c r="CF4" s="7">
        <f t="shared" ref="CF4:CF14" si="31">IF(SUM(BS4:BV4)-BW4&gt;0,SUM(BS4:BV4)-BW4,"")</f>
        <v>50.78</v>
      </c>
      <c r="CG4" s="7">
        <f t="shared" ref="CG4:CG14" si="32">IF(CD4="",IF(CF4&gt;0,CF4,""),CF4+CD4)</f>
        <v>92.19</v>
      </c>
      <c r="CH4" s="7">
        <f t="shared" ref="CH4:CH14" si="33">IF(BZ4&gt;0,BZ4,"")</f>
        <v>12.1</v>
      </c>
      <c r="CI4" s="7">
        <f t="shared" ref="CI4:CI14" si="34">IF(SUM(BX4:CA4)-CB4&gt;0,SUM(BX4:CA4)-CB4,"")</f>
        <v>48.01</v>
      </c>
      <c r="CJ4" s="7">
        <f t="shared" ref="CJ4:CJ14" si="35">IF(SUM(CG4,CI4)&gt;0,SUM(CG4,CI4),"")</f>
        <v>140.19999999999999</v>
      </c>
      <c r="CK4" s="13">
        <f t="shared" ref="CK4:CK14" si="36">IF(MAX(DE4,EA4,EW4,FS4,GO4,HK4,IG4,JC4,JY4,KU4,LQ4,MM4)-IF(K4="",0,K4)&gt;0.001,MAX(DE4,EA4,EW4,FS4,GO4,HK4,IG4,JC4,JY4,KU4,LQ4,MM4)-IF(K4="",0,K4),"")</f>
        <v>0.5</v>
      </c>
      <c r="CL4" s="13">
        <f t="shared" ref="CL4:CL14" si="37">IF(MAX(DF4,EB4,EX4,FT4,GP4,HL4,IH4,JD4,JZ4,KV4,LR4,MN4)-IF(M4="",0,M4)&gt;0.001,MAX(DF4,EB4,EX4,FT4,GP4,HL4,IH4,JD4,JZ4,KV4,LR4,MN4)-IF(M4="",0,M4),"")</f>
        <v>36.210000000000008</v>
      </c>
      <c r="CM4" s="13">
        <f t="shared" ref="CM4:CM14" si="38">IF(MAX(DG4,EC4,EY4,FU4,GQ4,HM4,II4,JE4,KA4,KW4,LS4,MO4)-IF(I4="",0,I4)&gt;0.001,MAX(DG4,EC4,EY4,FU4,GQ4,HM4,II4,JE4,KA4,KW4,LS4,MO4)-IF(I4="",0,I4),"")</f>
        <v>0.56000000000000227</v>
      </c>
      <c r="CN4" s="13" t="str">
        <f t="shared" ref="CN4:CN14" si="39">IF(MAX(DI4,EE4,FA4,FW4,GS4,HO4,IK4,JG4,KC4,KY4,LU4,MQ4)-IF(O4="",0,O4)&gt;0.001,MAX(DI4,EE4,FA4,FW4,GS4,HO4,IK4,JG4,KC4,KY4,LU4,MQ4)-IF(O4="",0,O4),"")</f>
        <v/>
      </c>
      <c r="CO4" s="18">
        <v>16.100000000000001</v>
      </c>
      <c r="CP4" s="18">
        <v>9.1999999999999993</v>
      </c>
      <c r="CQ4" s="18">
        <v>0</v>
      </c>
      <c r="CR4" s="18">
        <v>15.68</v>
      </c>
      <c r="CS4" s="18">
        <v>0</v>
      </c>
      <c r="CT4" s="18">
        <v>13.8</v>
      </c>
      <c r="CU4" s="18">
        <v>9.3000000000000007</v>
      </c>
      <c r="CV4" s="18">
        <v>13.6</v>
      </c>
      <c r="CW4" s="18">
        <v>15.07</v>
      </c>
      <c r="CX4" s="18">
        <v>0</v>
      </c>
      <c r="CY4" s="18"/>
      <c r="CZ4" s="18"/>
      <c r="DA4" s="18"/>
      <c r="DB4" s="18"/>
      <c r="DC4" s="18"/>
      <c r="DD4" s="7">
        <f t="shared" ref="DD4:DD14" si="40">IF(CV4&gt;0,CV4,"")</f>
        <v>13.6</v>
      </c>
      <c r="DE4" s="7">
        <f t="shared" ref="DE4:DE14" si="41">IF(SUM(CO4:CR4)-CS4&gt;0,SUM(CO4:CR4)-CS4,"")</f>
        <v>40.980000000000004</v>
      </c>
      <c r="DF4" s="7">
        <f t="shared" ref="DF4:DF14" si="42">IF(SUM(CT4:CW4)-CX4&gt;0,SUM(CT4:CW4)-CX4,"")</f>
        <v>51.77</v>
      </c>
      <c r="DG4" s="7">
        <f t="shared" ref="DG4:DG14" si="43">IF(SUM(DE4:DF4)&gt;0,SUM(DE4:DF4),"")</f>
        <v>92.75</v>
      </c>
      <c r="DH4" s="7" t="str">
        <f t="shared" ref="DH4:DH14" si="44">IF(DA4&gt;0,DA4,"")</f>
        <v/>
      </c>
      <c r="DI4" s="7" t="str">
        <f t="shared" ref="DI4:DI14" si="45">IF(SUM(CY4:DB4)-DC4&gt;0,SUM(CY4:DB4)-DC4,"")</f>
        <v/>
      </c>
      <c r="DJ4" s="7">
        <f t="shared" ref="DJ4:DJ14" si="46">IF(SUM(DG4,DI4)&gt;0,SUM(DG4,DI4),"")</f>
        <v>92.75</v>
      </c>
      <c r="DK4" s="19"/>
      <c r="DL4" s="19"/>
      <c r="DM4" s="19"/>
      <c r="DN4" s="19"/>
      <c r="DO4" s="19"/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9" t="str">
        <f t="shared" ref="DZ4:DZ14" si="47">IF(DR4&gt;0,DR4,"")</f>
        <v/>
      </c>
      <c r="EA4" s="9" t="str">
        <f t="shared" ref="EA4:EA14" si="48">IF(SUM(DK4:DN4)-DO4&gt;0,SUM(DK4:DN4)-DO4,"")</f>
        <v/>
      </c>
      <c r="EB4" s="9" t="str">
        <f t="shared" ref="EB4:EB14" si="49">IF(SUM(DP4:DS4)-DT4&gt;0,SUM(DP4:DS4)-DT4,"")</f>
        <v/>
      </c>
      <c r="EC4" s="9" t="str">
        <f t="shared" ref="EC4:EC14" si="50">IF(SUM(EA4:EB4)&gt;0,SUM(EA4:EB4),"")</f>
        <v/>
      </c>
      <c r="ED4" s="9" t="str">
        <f t="shared" ref="ED4:ED14" si="51">IF(DW4&gt;0,DW4,"")</f>
        <v/>
      </c>
      <c r="EE4" s="9" t="str">
        <f t="shared" ref="EE4:EE14" si="52">IF(SUM(DU4:DX4)-DY4&gt;0,SUM(DU4:DX4)-DY4,"")</f>
        <v/>
      </c>
      <c r="EF4" s="9" t="str">
        <f t="shared" ref="EF4:EF14" si="53">IF(SUM(EC4,EE4)&gt;0,SUM(EC4,EE4),"")</f>
        <v/>
      </c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7" t="str">
        <f t="shared" ref="EV4:EV14" si="54">IF(EN4&gt;0,EN4,"")</f>
        <v/>
      </c>
      <c r="EW4" s="7" t="str">
        <f t="shared" ref="EW4:EW14" si="55">IF(SUM(EG4:EJ4)-EK4&gt;0,SUM(EG4:EJ4)-EK4,"")</f>
        <v/>
      </c>
      <c r="EX4" s="7" t="str">
        <f t="shared" ref="EX4:EX14" si="56">IF(SUM(EL4:EO4)-EP4&gt;0,SUM(EL4:EO4)-EP4,"")</f>
        <v/>
      </c>
      <c r="EY4" s="7" t="str">
        <f t="shared" ref="EY4:EY14" si="57">IF(SUM(EW4:EX4)&gt;0,SUM(EW4:EX4),"")</f>
        <v/>
      </c>
      <c r="EZ4" s="7" t="str">
        <f t="shared" ref="EZ4:EZ14" si="58">IF(ES4&gt;0,ES4,"")</f>
        <v/>
      </c>
      <c r="FA4" s="7" t="str">
        <f t="shared" ref="FA4:FA14" si="59">IF(SUM(EQ4:ET4)-EU4&gt;0,SUM(EQ4:ET4)-EU4,"")</f>
        <v/>
      </c>
      <c r="FB4" s="7" t="str">
        <f t="shared" ref="FB4:FB14" si="60">IF(SUM(EY4,FA4)&gt;0,SUM(EY4,FA4),"")</f>
        <v/>
      </c>
      <c r="FC4" s="19"/>
      <c r="FD4" s="19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9" t="str">
        <f t="shared" ref="FR4:FR14" si="61">IF(FJ4&gt;0,FJ4,"")</f>
        <v/>
      </c>
      <c r="FS4" s="9" t="str">
        <f t="shared" ref="FS4:FS14" si="62">IF(SUM(FC4:FF4)-FG4&gt;0,SUM(FC4:FF4)-FG4,"")</f>
        <v/>
      </c>
      <c r="FT4" s="9" t="str">
        <f t="shared" ref="FT4:FT14" si="63">IF(SUM(FH4:FK4)-FL4&gt;0,SUM(FH4:FK4)-FL4,"")</f>
        <v/>
      </c>
      <c r="FU4" s="9" t="str">
        <f t="shared" ref="FU4:FU14" si="64">IF(SUM(FS4:FT4)&gt;0,SUM(FS4:FT4),"")</f>
        <v/>
      </c>
      <c r="FV4" s="9" t="str">
        <f t="shared" ref="FV4:FV14" si="65">IF(FO4&gt;0,FO4,"")</f>
        <v/>
      </c>
      <c r="FW4" s="9" t="str">
        <f t="shared" ref="FW4:FW14" si="66">IF(SUM(FM4:FP4)-FQ4&gt;0,SUM(FM4:FP4)-FQ4,"")</f>
        <v/>
      </c>
      <c r="FX4" s="9" t="str">
        <f t="shared" ref="FX4:FX14" si="67">IF(SUM(FU4,FW4)&gt;0,SUM(FU4,FW4),"")</f>
        <v/>
      </c>
      <c r="FY4" s="18"/>
      <c r="FZ4" s="18"/>
      <c r="GA4" s="18"/>
      <c r="GB4" s="18"/>
      <c r="GC4" s="18"/>
      <c r="GD4" s="18"/>
      <c r="GE4" s="18"/>
      <c r="GF4" s="18"/>
      <c r="GG4" s="18"/>
      <c r="GH4" s="18"/>
      <c r="GI4" s="18"/>
      <c r="GJ4" s="18"/>
      <c r="GK4" s="18"/>
      <c r="GL4" s="18"/>
      <c r="GM4" s="18"/>
      <c r="GN4" s="7" t="str">
        <f t="shared" ref="GN4:GN14" si="68">IF(GF4&gt;0,GF4,"")</f>
        <v/>
      </c>
      <c r="GO4" s="7" t="str">
        <f t="shared" ref="GO4:GO14" si="69">IF(SUM(FY4:GB4)-GC4&gt;0,SUM(FY4:GB4)-GC4,"")</f>
        <v/>
      </c>
      <c r="GP4" s="7" t="str">
        <f t="shared" ref="GP4:GP14" si="70">IF(SUM(GD4:GG4)-GH4&gt;0,SUM(GD4:GG4)-GH4,"")</f>
        <v/>
      </c>
      <c r="GQ4" s="7" t="str">
        <f t="shared" ref="GQ4:GQ14" si="71">IF(SUM(GO4:GP4)&gt;0,SUM(GO4:GP4),"")</f>
        <v/>
      </c>
      <c r="GR4" s="7" t="str">
        <f t="shared" ref="GR4:GR14" si="72">IF(GK4&gt;0,GK4,"")</f>
        <v/>
      </c>
      <c r="GS4" s="7" t="str">
        <f t="shared" ref="GS4:GS14" si="73">IF(SUM(GI4:GL4)-GM4&gt;0,SUM(GI4:GL4)-GM4,"")</f>
        <v/>
      </c>
      <c r="GT4" s="7" t="str">
        <f t="shared" ref="GT4:GT14" si="74">IF(SUM(GQ4,GS4)&gt;0,SUM(GQ4,GS4),"")</f>
        <v/>
      </c>
      <c r="GU4" s="19"/>
      <c r="GV4" s="19"/>
      <c r="GW4" s="19"/>
      <c r="GX4" s="19"/>
      <c r="GY4" s="19"/>
      <c r="GZ4" s="19"/>
      <c r="HA4" s="19"/>
      <c r="HB4" s="19"/>
      <c r="HC4" s="19"/>
      <c r="HD4" s="19"/>
      <c r="HE4" s="19"/>
      <c r="HF4" s="19"/>
      <c r="HG4" s="19"/>
      <c r="HH4" s="19"/>
      <c r="HI4" s="19"/>
      <c r="HJ4" s="9" t="str">
        <f t="shared" ref="HJ4:HJ14" si="75">IF(HB4&gt;0,HB4,"")</f>
        <v/>
      </c>
      <c r="HK4" s="9" t="str">
        <f t="shared" ref="HK4:HK14" si="76">IF(SUM(GU4:GX4)-GY4&gt;0,SUM(GU4:GX4)-GY4,"")</f>
        <v/>
      </c>
      <c r="HL4" s="9" t="str">
        <f t="shared" ref="HL4:HL14" si="77">IF(SUM(GZ4:HC4)-HD4&gt;0,SUM(GZ4:HC4)-HD4,"")</f>
        <v/>
      </c>
      <c r="HM4" s="9" t="str">
        <f t="shared" ref="HM4:HM14" si="78">IF(SUM(HK4:HL4)&gt;0,SUM(HK4:HL4),"")</f>
        <v/>
      </c>
      <c r="HN4" s="9" t="str">
        <f t="shared" ref="HN4:HN14" si="79">IF(HG4&gt;0,HG4,"")</f>
        <v/>
      </c>
      <c r="HO4" s="9" t="str">
        <f t="shared" ref="HO4:HO14" si="80">IF(SUM(HE4:HH4)-HI4&gt;0,SUM(HE4:HH4)-HI4,"")</f>
        <v/>
      </c>
      <c r="HP4" s="9" t="str">
        <f t="shared" ref="HP4:HP14" si="81">IF(SUM(HM4,HO4)&gt;0,SUM(HM4,HO4),"")</f>
        <v/>
      </c>
      <c r="HQ4" s="18"/>
      <c r="HR4" s="18"/>
      <c r="HS4" s="18"/>
      <c r="HT4" s="18"/>
      <c r="HU4" s="18"/>
      <c r="HV4" s="18"/>
      <c r="HW4" s="18"/>
      <c r="HX4" s="18"/>
      <c r="HY4" s="18"/>
      <c r="HZ4" s="18"/>
      <c r="IA4" s="18"/>
      <c r="IB4" s="18"/>
      <c r="IC4" s="18"/>
      <c r="ID4" s="18"/>
      <c r="IE4" s="18"/>
      <c r="IF4" s="7" t="str">
        <f t="shared" ref="IF4:IF14" si="82">IF(HX4&gt;0,HX4,"")</f>
        <v/>
      </c>
      <c r="IG4" s="7" t="str">
        <f t="shared" ref="IG4:IG14" si="83">IF(SUM(HQ4:HT4)-HU4&gt;0,SUM(HQ4:HT4)-HU4,"")</f>
        <v/>
      </c>
      <c r="IH4" s="7" t="str">
        <f t="shared" ref="IH4:IH14" si="84">IF(SUM(HV4:HY4)-HZ4&gt;0,SUM(HV4:HY4)-HZ4,"")</f>
        <v/>
      </c>
      <c r="II4" s="7" t="str">
        <f t="shared" ref="II4:II14" si="85">IF(SUM(IG4:IH4)&gt;0,SUM(IG4:IH4),"")</f>
        <v/>
      </c>
      <c r="IJ4" s="7" t="str">
        <f t="shared" ref="IJ4:IJ14" si="86">IF(IC4&gt;0,IC4,"")</f>
        <v/>
      </c>
      <c r="IK4" s="7" t="str">
        <f t="shared" ref="IK4:IK14" si="87">IF(SUM(IA4:ID4)-IE4&gt;0,SUM(IA4:ID4)-IE4,"")</f>
        <v/>
      </c>
      <c r="IL4" s="7" t="str">
        <f t="shared" ref="IL4:IL14" si="88">IF(SUM(II4,IK4)&gt;0,SUM(II4,IK4),"")</f>
        <v/>
      </c>
      <c r="IM4" s="19"/>
      <c r="IN4" s="19"/>
      <c r="IO4" s="19"/>
      <c r="IP4" s="19"/>
      <c r="IQ4" s="19"/>
      <c r="IR4" s="19"/>
      <c r="IS4" s="19"/>
      <c r="IT4" s="19"/>
      <c r="IU4" s="19"/>
      <c r="IV4" s="19"/>
      <c r="IW4" s="19"/>
      <c r="IX4" s="19"/>
      <c r="IY4" s="19"/>
      <c r="IZ4" s="19"/>
      <c r="JA4" s="19"/>
      <c r="JB4" s="9" t="str">
        <f t="shared" ref="JB4:JB14" si="89">IF(IT4&gt;0,IT4,"")</f>
        <v/>
      </c>
      <c r="JC4" s="9" t="str">
        <f t="shared" ref="JC4:JC14" si="90">IF(SUM(IM4:IP4)-IQ4&gt;0,SUM(IM4:IP4)-IQ4,"")</f>
        <v/>
      </c>
      <c r="JD4" s="9" t="str">
        <f t="shared" ref="JD4:JD14" si="91">IF(SUM(IR4:IU4)-IV4&gt;0,SUM(IR4:IU4)-IV4,"")</f>
        <v/>
      </c>
      <c r="JE4" s="9" t="str">
        <f t="shared" ref="JE4:JE14" si="92">IF(SUM(JC4:JD4)&gt;0,SUM(JC4:JD4),"")</f>
        <v/>
      </c>
      <c r="JF4" s="9" t="str">
        <f t="shared" ref="JF4:JF14" si="93">IF(IY4&gt;0,IY4,"")</f>
        <v/>
      </c>
      <c r="JG4" s="9" t="str">
        <f t="shared" ref="JG4:JG14" si="94">IF(SUM(IW4:IZ4)-JA4&gt;0,SUM(IW4:IZ4)-JA4,"")</f>
        <v/>
      </c>
      <c r="JH4" s="9" t="str">
        <f t="shared" ref="JH4:JH14" si="95">IF(SUM(JE4,JG4)&gt;0,SUM(JE4,JG4),"")</f>
        <v/>
      </c>
      <c r="JI4" s="18"/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7" t="str">
        <f t="shared" ref="JX4:JX14" si="96">IF(JP4&gt;0,JP4,"")</f>
        <v/>
      </c>
      <c r="JY4" s="7" t="str">
        <f t="shared" ref="JY4:JY14" si="97">IF(SUM(JI4:JL4)-JM4&gt;0,SUM(JI4:JL4)-JM4,"")</f>
        <v/>
      </c>
      <c r="JZ4" s="7" t="str">
        <f t="shared" ref="JZ4:JZ14" si="98">IF(SUM(JN4:JQ4)-JR4&gt;0,SUM(JN4:JQ4)-JR4,"")</f>
        <v/>
      </c>
      <c r="KA4" s="7" t="str">
        <f t="shared" ref="KA4:KA14" si="99">IF(SUM(JY4:JZ4)&gt;0,SUM(JY4:JZ4),"")</f>
        <v/>
      </c>
      <c r="KB4" s="7" t="str">
        <f t="shared" ref="KB4:KB14" si="100">IF(JU4&gt;0,JU4,"")</f>
        <v/>
      </c>
      <c r="KC4" s="7" t="str">
        <f t="shared" ref="KC4:KC14" si="101">IF(SUM(JS4:JV4)-JW4&gt;0,SUM(JS4:JV4)-JW4,"")</f>
        <v/>
      </c>
      <c r="KD4" s="7" t="str">
        <f t="shared" ref="KD4:KD14" si="102">IF(SUM(KA4,KC4)&gt;0,SUM(KA4,KC4),"")</f>
        <v/>
      </c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9"/>
      <c r="KR4" s="19"/>
      <c r="KS4" s="19"/>
      <c r="KT4" s="9" t="str">
        <f t="shared" ref="KT4:KT14" si="103">IF(KL4&gt;0,KL4,"")</f>
        <v/>
      </c>
      <c r="KU4" s="9" t="str">
        <f t="shared" ref="KU4:KU14" si="104">IF(SUM(KE4:KH4)-KI4&gt;0,SUM(KE4:KH4)-KI4,"")</f>
        <v/>
      </c>
      <c r="KV4" s="9" t="str">
        <f t="shared" ref="KV4:KV14" si="105">IF(SUM(KJ4:KM4)-KN4&gt;0,SUM(KJ4:KM4)-KN4,"")</f>
        <v/>
      </c>
      <c r="KW4" s="9" t="str">
        <f t="shared" ref="KW4:KW14" si="106">IF(SUM(KU4:KV4)&gt;0,SUM(KU4:KV4),"")</f>
        <v/>
      </c>
      <c r="KX4" s="9" t="str">
        <f t="shared" ref="KX4:KX14" si="107">IF(KQ4&gt;0,KQ4,"")</f>
        <v/>
      </c>
      <c r="KY4" s="9" t="str">
        <f t="shared" ref="KY4:KY14" si="108">IF(SUM(KO4:KR4)-KS4&gt;0,SUM(KO4:KR4)-KS4,"")</f>
        <v/>
      </c>
      <c r="KZ4" s="9" t="str">
        <f t="shared" ref="KZ4:KZ14" si="109">IF(SUM(KW4,KY4)&gt;0,SUM(KW4,KY4),"")</f>
        <v/>
      </c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7" t="str">
        <f t="shared" ref="LP4:LP14" si="110">IF(LH4&gt;0,LH4,"")</f>
        <v/>
      </c>
      <c r="LQ4" s="7" t="str">
        <f t="shared" ref="LQ4:LQ14" si="111">IF(SUM(LA4:LD4)-LE4&gt;0,SUM(LA4:LD4)-LE4,"")</f>
        <v/>
      </c>
      <c r="LR4" s="7" t="str">
        <f t="shared" ref="LR4:LR14" si="112">IF(SUM(LF4:LI4)-LJ4&gt;0,SUM(LF4:LI4)-LJ4,"")</f>
        <v/>
      </c>
      <c r="LS4" s="7" t="str">
        <f t="shared" ref="LS4:LS14" si="113">IF(SUM(LQ4:LR4)&gt;0,SUM(LQ4:LR4),"")</f>
        <v/>
      </c>
      <c r="LT4" s="7" t="str">
        <f t="shared" ref="LT4:LT14" si="114">IF(LM4&gt;0,LM4,"")</f>
        <v/>
      </c>
      <c r="LU4" s="7" t="str">
        <f t="shared" ref="LU4:LU14" si="115">IF(SUM(LK4:LN4)-LO4&gt;0,SUM(LK4:LN4)-LO4,"")</f>
        <v/>
      </c>
      <c r="LV4" s="7" t="str">
        <f t="shared" ref="LV4:LV14" si="116">IF(SUM(LS4,LU4)&gt;0,SUM(LS4,LU4),"")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9" t="str">
        <f t="shared" ref="ML4:ML14" si="117">IF(MD4&gt;0,MD4,"")</f>
        <v/>
      </c>
      <c r="MM4" s="9" t="str">
        <f t="shared" ref="MM4:MM14" si="118">IF(SUM(LW4:LZ4)-MA4&gt;0,SUM(LW4:LZ4)-MA4,"")</f>
        <v/>
      </c>
      <c r="MN4" s="9" t="str">
        <f t="shared" ref="MN4:MN14" si="119">IF(SUM(MB4:ME4)-MF4&gt;0,SUM(MB4:ME4)-MF4,"")</f>
        <v/>
      </c>
      <c r="MO4" s="9" t="str">
        <f t="shared" ref="MO4:MO14" si="120">IF(SUM(MM4:MN4)&gt;0,SUM(MM4:MN4),"")</f>
        <v/>
      </c>
      <c r="MP4" s="9" t="str">
        <f t="shared" ref="MP4:MP14" si="121">IF(MI4&gt;0,MI4,"")</f>
        <v/>
      </c>
      <c r="MQ4" s="9" t="str">
        <f t="shared" ref="MQ4:MQ14" si="122">IF(SUM(MG4:MJ4)-MK4&gt;0,SUM(MG4:MJ4)-MK4,"")</f>
        <v/>
      </c>
      <c r="MR4" s="9" t="str">
        <f t="shared" ref="MR4:MR14" si="123">IF(SUM(MO4,MQ4)&gt;0,SUM(MO4,MQ4),"")</f>
        <v/>
      </c>
      <c r="MS4" s="27">
        <f t="shared" ref="MS4:MS14" si="124">IF($CC4="P",BN4,(BN4+AQ4)/2)</f>
        <v>16.25</v>
      </c>
      <c r="MT4" s="27">
        <f t="shared" ref="MT4:MT14" si="125">IF($CC4="P",BO4,(BO4+AR4)/2)</f>
        <v>9.3500000000000014</v>
      </c>
      <c r="MU4" s="27">
        <f t="shared" ref="MU4:MU14" si="126">IF($CC4="P",BP4,(BP4+AS4)/2)</f>
        <v>0</v>
      </c>
      <c r="MV4" s="27">
        <f t="shared" ref="MV4:MV14" si="127">IF($CC4="P",BQ4,(BQ4+AT4)/2)</f>
        <v>15.344999999999999</v>
      </c>
      <c r="MW4" s="27">
        <f t="shared" ref="MW4:MW14" si="128">IF($CC4="P",BR4,(BR4+AU4)/2)</f>
        <v>0</v>
      </c>
      <c r="MX4" s="27">
        <f t="shared" ref="MX4:MX14" si="129">IF($CC4="P",BS4,(BS4+AV4)/2)</f>
        <v>8.8000000000000007</v>
      </c>
      <c r="MY4" s="27">
        <f t="shared" ref="MY4:MY14" si="130">IF($CC4="P",BT4,(BT4+AW4)/2)</f>
        <v>5.65</v>
      </c>
      <c r="MZ4" s="27">
        <f t="shared" ref="MZ4:MZ14" si="131">IF($CC4="P",BU4,(BU4+AX4)/2)</f>
        <v>8.65</v>
      </c>
      <c r="NA4" s="27">
        <f t="shared" ref="NA4:NA14" si="132">IF($CC4="P",BV4,(BV4+AY4)/2)</f>
        <v>10.07</v>
      </c>
      <c r="NB4" s="27">
        <f t="shared" ref="NB4:NB14" si="133">IF($CC4="P",BW4,(BW4+AZ4)/2)</f>
        <v>0</v>
      </c>
      <c r="NC4" s="27">
        <f t="shared" ref="NC4:NC14" si="134">IF($CC4="P",BX4,(BX4+BA4)/2)</f>
        <v>12.399999999999999</v>
      </c>
      <c r="ND4" s="27">
        <f t="shared" ref="ND4:ND14" si="135">IF($CC4="P",BY4,(BY4+BB4)/2)</f>
        <v>9.1499999999999986</v>
      </c>
      <c r="NE4" s="27">
        <f t="shared" ref="NE4:NE14" si="136">IF($CC4="P",BZ4,(BZ4+BC4)/2)</f>
        <v>12.85</v>
      </c>
      <c r="NF4" s="27">
        <f t="shared" ref="NF4:NF14" si="137">IF($CC4="P",CA4,(CA4+BD4)/2)</f>
        <v>15.02</v>
      </c>
      <c r="NG4" s="27">
        <f t="shared" ref="NG4:NG14" si="138">IF($CC4="P",CB4,(CB4+BE4)/2)</f>
        <v>0.1</v>
      </c>
      <c r="NH4" s="32" t="s">
        <v>44</v>
      </c>
      <c r="NI4" s="7">
        <f t="shared" ref="NI4:NI14" si="139">IF(SUM(MS4:MV4)-MW4&gt;0,SUM(MS4:MV4)-MW4,"")</f>
        <v>40.945</v>
      </c>
      <c r="NJ4" s="7">
        <f t="shared" ref="NJ4:NJ14" si="140">IF(MZ4&gt;0,MZ4,"")</f>
        <v>8.65</v>
      </c>
      <c r="NK4" s="7">
        <f t="shared" ref="NK4:NK14" si="141">IF(SUM(MX4:NA4)-NB4&gt;0,SUM(MX4:NA4)-NB4,"")</f>
        <v>33.17</v>
      </c>
      <c r="NL4" s="7">
        <f t="shared" ref="NL4:NL14" si="142">IF(OR(NI4&lt;&gt;"",NK4&lt;&gt;""),NI4+NK4,"")</f>
        <v>74.115000000000009</v>
      </c>
      <c r="NM4" s="7">
        <f t="shared" ref="NM4:NM14" si="143">IF(NE4&gt;0,NE4,"")</f>
        <v>12.85</v>
      </c>
      <c r="NN4" s="7">
        <f t="shared" ref="NN4:NN14" si="144">IF(SUM(NC4:NF4)-NG4&gt;0,SUM(NC4:NF4)-NG4,"")</f>
        <v>49.32</v>
      </c>
      <c r="NO4" s="7">
        <f>IF(SUM(NL4,NN4)&gt;0,SUM(NL4,NN4),"")</f>
        <v>123.435</v>
      </c>
    </row>
    <row r="5" spans="1:379" x14ac:dyDescent="0.2">
      <c r="A5" s="4" t="str" cm="1">
        <f t="array" ref="A5">IF(AND(H5&lt;&gt;"",H5&lt;&gt;"No DD"),SUMPRODUCT((H$4:H$15&lt;&gt;"")*(H$4:H$15&lt;&gt;"No DD")*(E$4:E$15&gt;E5))+1,IF(H5="No DD",SUMPRODUCT((H$4:H$15="No DD")*(E$4:E$15&gt;E5))+1+SUMPRODUCT((H$4:H$15&lt;&gt;"")*(H$4:H$15&lt;&gt;"No DD")),""))</f>
        <v/>
      </c>
      <c r="B5" s="5" t="s">
        <v>81</v>
      </c>
      <c r="C5" s="4" t="s">
        <v>64</v>
      </c>
      <c r="D5" s="4">
        <v>2012</v>
      </c>
      <c r="E5" s="10">
        <f t="shared" si="0"/>
        <v>230.45000000000002</v>
      </c>
      <c r="F5" s="3" t="str">
        <f t="shared" si="1"/>
        <v/>
      </c>
      <c r="G5" s="3" t="str">
        <f t="shared" si="2"/>
        <v/>
      </c>
      <c r="H5" s="47" t="str">
        <f t="shared" si="3"/>
        <v/>
      </c>
      <c r="I5" s="9">
        <f t="shared" si="4"/>
        <v>90.070000000000007</v>
      </c>
      <c r="J5" s="9" t="str">
        <f t="shared" si="5"/>
        <v>2025 Nationals</v>
      </c>
      <c r="K5" s="9">
        <f t="shared" si="6"/>
        <v>40.130000000000003</v>
      </c>
      <c r="L5" s="9" t="str">
        <f t="shared" si="7"/>
        <v>2025 Elite Canada</v>
      </c>
      <c r="M5" s="9">
        <f t="shared" si="8"/>
        <v>48.19</v>
      </c>
      <c r="N5" s="9" t="str">
        <f t="shared" si="9"/>
        <v>2025 Elite Canada</v>
      </c>
      <c r="O5" s="9">
        <f t="shared" si="10"/>
        <v>49.69</v>
      </c>
      <c r="P5" s="9" t="str">
        <f t="shared" si="11"/>
        <v>2025 Nationals</v>
      </c>
      <c r="Q5" s="9">
        <f t="shared" si="12"/>
        <v>2.3700000000000045</v>
      </c>
      <c r="R5" s="14" t="str">
        <f t="shared" si="13"/>
        <v>(Vol 2)</v>
      </c>
      <c r="S5" s="9" t="str">
        <f t="shared" si="14"/>
        <v>2025 WAGC (Nov 16)</v>
      </c>
      <c r="T5" s="27">
        <v>16.899999999999999</v>
      </c>
      <c r="U5" s="27">
        <v>9.6</v>
      </c>
      <c r="V5" s="27">
        <v>0</v>
      </c>
      <c r="W5" s="27">
        <v>13.63</v>
      </c>
      <c r="X5" s="27">
        <v>0</v>
      </c>
      <c r="Y5" s="27">
        <v>14.4</v>
      </c>
      <c r="Z5" s="27">
        <v>9.6999999999999993</v>
      </c>
      <c r="AA5" s="27">
        <v>10.9</v>
      </c>
      <c r="AB5" s="27">
        <v>13.19</v>
      </c>
      <c r="AC5" s="27">
        <v>0</v>
      </c>
      <c r="AD5" s="27">
        <v>15</v>
      </c>
      <c r="AE5" s="27">
        <v>9.6999999999999993</v>
      </c>
      <c r="AF5" s="27">
        <v>10.9</v>
      </c>
      <c r="AG5" s="27">
        <v>13.02</v>
      </c>
      <c r="AH5" s="27">
        <v>0</v>
      </c>
      <c r="AI5" s="32"/>
      <c r="AJ5" s="7">
        <f t="shared" si="15"/>
        <v>40.130000000000003</v>
      </c>
      <c r="AK5" s="7">
        <f t="shared" si="16"/>
        <v>10.9</v>
      </c>
      <c r="AL5" s="7">
        <f t="shared" si="17"/>
        <v>48.19</v>
      </c>
      <c r="AM5" s="7">
        <f t="shared" si="18"/>
        <v>88.32</v>
      </c>
      <c r="AN5" s="7">
        <f t="shared" si="19"/>
        <v>10.9</v>
      </c>
      <c r="AO5" s="7">
        <f t="shared" si="20"/>
        <v>48.620000000000005</v>
      </c>
      <c r="AP5" s="7">
        <f t="shared" si="21"/>
        <v>136.94</v>
      </c>
      <c r="AQ5" s="23">
        <v>17.8</v>
      </c>
      <c r="AR5" s="23">
        <v>9.1</v>
      </c>
      <c r="AS5" s="23">
        <v>0</v>
      </c>
      <c r="AT5" s="23">
        <v>13.99</v>
      </c>
      <c r="AU5" s="23">
        <v>0</v>
      </c>
      <c r="AV5" s="23">
        <v>15.5</v>
      </c>
      <c r="AW5" s="23">
        <v>9.3000000000000007</v>
      </c>
      <c r="AX5" s="23">
        <v>10.9</v>
      </c>
      <c r="AY5" s="23">
        <v>13.48</v>
      </c>
      <c r="AZ5" s="23">
        <v>0</v>
      </c>
      <c r="BA5" s="23">
        <v>15.8</v>
      </c>
      <c r="BB5" s="23">
        <v>9.6</v>
      </c>
      <c r="BC5" s="23">
        <v>10.9</v>
      </c>
      <c r="BD5" s="23">
        <v>13.39</v>
      </c>
      <c r="BE5" s="23">
        <v>0</v>
      </c>
      <c r="BF5" s="33"/>
      <c r="BG5" s="9">
        <f t="shared" si="22"/>
        <v>40.89</v>
      </c>
      <c r="BH5" s="9">
        <f t="shared" si="23"/>
        <v>10.9</v>
      </c>
      <c r="BI5" s="9">
        <f t="shared" si="24"/>
        <v>49.180000000000007</v>
      </c>
      <c r="BJ5" s="9">
        <f t="shared" si="25"/>
        <v>90.070000000000007</v>
      </c>
      <c r="BK5" s="9">
        <f t="shared" si="26"/>
        <v>10.9</v>
      </c>
      <c r="BL5" s="9">
        <f t="shared" si="27"/>
        <v>49.69</v>
      </c>
      <c r="BM5" s="9">
        <f t="shared" si="28"/>
        <v>139.76</v>
      </c>
      <c r="BN5" s="27"/>
      <c r="BO5" s="27"/>
      <c r="BP5" s="27"/>
      <c r="BQ5" s="27"/>
      <c r="BR5" s="27"/>
      <c r="BS5" s="27"/>
      <c r="BT5" s="27"/>
      <c r="BU5" s="27"/>
      <c r="BV5" s="27"/>
      <c r="BW5" s="27"/>
      <c r="BX5" s="27"/>
      <c r="BY5" s="27"/>
      <c r="BZ5" s="27"/>
      <c r="CA5" s="27"/>
      <c r="CB5" s="27"/>
      <c r="CC5" s="32"/>
      <c r="CD5" s="7" t="str">
        <f t="shared" si="29"/>
        <v/>
      </c>
      <c r="CE5" s="7" t="str">
        <f t="shared" si="30"/>
        <v/>
      </c>
      <c r="CF5" s="7" t="str">
        <f t="shared" si="31"/>
        <v/>
      </c>
      <c r="CG5" s="7" t="str">
        <f t="shared" si="32"/>
        <v/>
      </c>
      <c r="CH5" s="7" t="str">
        <f t="shared" si="33"/>
        <v/>
      </c>
      <c r="CI5" s="7" t="str">
        <f t="shared" si="34"/>
        <v/>
      </c>
      <c r="CJ5" s="7" t="str">
        <f t="shared" si="35"/>
        <v/>
      </c>
      <c r="CK5" s="13">
        <f t="shared" si="36"/>
        <v>1.3999999999999986</v>
      </c>
      <c r="CL5" s="13">
        <f t="shared" si="37"/>
        <v>2.3700000000000045</v>
      </c>
      <c r="CM5" s="13">
        <f t="shared" si="38"/>
        <v>2.019999999999996</v>
      </c>
      <c r="CN5" s="13" t="str">
        <f t="shared" si="39"/>
        <v/>
      </c>
      <c r="CO5" s="18">
        <v>17.3</v>
      </c>
      <c r="CP5" s="18">
        <v>9.6</v>
      </c>
      <c r="CQ5" s="18">
        <v>14.63</v>
      </c>
      <c r="CR5" s="18">
        <v>0</v>
      </c>
      <c r="CS5" s="18">
        <v>0</v>
      </c>
      <c r="CT5" s="18">
        <v>15.3</v>
      </c>
      <c r="CU5" s="18">
        <v>9.5</v>
      </c>
      <c r="CV5" s="18">
        <v>11.8</v>
      </c>
      <c r="CW5" s="18">
        <v>13.96</v>
      </c>
      <c r="CX5" s="18">
        <v>0</v>
      </c>
      <c r="CY5" s="18"/>
      <c r="CZ5" s="18"/>
      <c r="DA5" s="18"/>
      <c r="DB5" s="18"/>
      <c r="DC5" s="18"/>
      <c r="DD5" s="7">
        <f t="shared" si="40"/>
        <v>11.8</v>
      </c>
      <c r="DE5" s="7">
        <f t="shared" si="41"/>
        <v>41.53</v>
      </c>
      <c r="DF5" s="7">
        <f t="shared" si="42"/>
        <v>50.56</v>
      </c>
      <c r="DG5" s="7">
        <f t="shared" si="43"/>
        <v>92.09</v>
      </c>
      <c r="DH5" s="7" t="str">
        <f t="shared" si="44"/>
        <v/>
      </c>
      <c r="DI5" s="7" t="str">
        <f t="shared" si="45"/>
        <v/>
      </c>
      <c r="DJ5" s="7">
        <f t="shared" si="46"/>
        <v>92.09</v>
      </c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9" t="str">
        <f t="shared" si="47"/>
        <v/>
      </c>
      <c r="EA5" s="9" t="str">
        <f t="shared" si="48"/>
        <v/>
      </c>
      <c r="EB5" s="9" t="str">
        <f t="shared" si="49"/>
        <v/>
      </c>
      <c r="EC5" s="9" t="str">
        <f t="shared" si="50"/>
        <v/>
      </c>
      <c r="ED5" s="9" t="str">
        <f t="shared" si="51"/>
        <v/>
      </c>
      <c r="EE5" s="9" t="str">
        <f t="shared" si="52"/>
        <v/>
      </c>
      <c r="EF5" s="9" t="str">
        <f t="shared" si="53"/>
        <v/>
      </c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7" t="str">
        <f t="shared" si="54"/>
        <v/>
      </c>
      <c r="EW5" s="7" t="str">
        <f t="shared" si="55"/>
        <v/>
      </c>
      <c r="EX5" s="7" t="str">
        <f t="shared" si="56"/>
        <v/>
      </c>
      <c r="EY5" s="7" t="str">
        <f t="shared" si="57"/>
        <v/>
      </c>
      <c r="EZ5" s="7" t="str">
        <f t="shared" si="58"/>
        <v/>
      </c>
      <c r="FA5" s="7" t="str">
        <f t="shared" si="59"/>
        <v/>
      </c>
      <c r="FB5" s="7" t="str">
        <f t="shared" si="60"/>
        <v/>
      </c>
      <c r="FC5" s="19"/>
      <c r="FD5" s="19"/>
      <c r="FE5" s="19"/>
      <c r="FF5" s="19"/>
      <c r="FG5" s="19"/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9" t="str">
        <f t="shared" si="61"/>
        <v/>
      </c>
      <c r="FS5" s="9" t="str">
        <f t="shared" si="62"/>
        <v/>
      </c>
      <c r="FT5" s="9" t="str">
        <f t="shared" si="63"/>
        <v/>
      </c>
      <c r="FU5" s="9" t="str">
        <f t="shared" si="64"/>
        <v/>
      </c>
      <c r="FV5" s="9" t="str">
        <f t="shared" si="65"/>
        <v/>
      </c>
      <c r="FW5" s="9" t="str">
        <f t="shared" si="66"/>
        <v/>
      </c>
      <c r="FX5" s="9" t="str">
        <f t="shared" si="67"/>
        <v/>
      </c>
      <c r="FY5" s="18"/>
      <c r="FZ5" s="18"/>
      <c r="GA5" s="18"/>
      <c r="GB5" s="18"/>
      <c r="GC5" s="18"/>
      <c r="GD5" s="18"/>
      <c r="GE5" s="18"/>
      <c r="GF5" s="18"/>
      <c r="GG5" s="18"/>
      <c r="GH5" s="18"/>
      <c r="GI5" s="18"/>
      <c r="GJ5" s="18"/>
      <c r="GK5" s="18"/>
      <c r="GL5" s="18"/>
      <c r="GM5" s="18"/>
      <c r="GN5" s="7" t="str">
        <f t="shared" si="68"/>
        <v/>
      </c>
      <c r="GO5" s="7" t="str">
        <f t="shared" si="69"/>
        <v/>
      </c>
      <c r="GP5" s="7" t="str">
        <f t="shared" si="70"/>
        <v/>
      </c>
      <c r="GQ5" s="7" t="str">
        <f t="shared" si="71"/>
        <v/>
      </c>
      <c r="GR5" s="7" t="str">
        <f t="shared" si="72"/>
        <v/>
      </c>
      <c r="GS5" s="7" t="str">
        <f t="shared" si="73"/>
        <v/>
      </c>
      <c r="GT5" s="7" t="str">
        <f t="shared" si="74"/>
        <v/>
      </c>
      <c r="GU5" s="19"/>
      <c r="GV5" s="19"/>
      <c r="GW5" s="19"/>
      <c r="GX5" s="19"/>
      <c r="GY5" s="19"/>
      <c r="GZ5" s="19"/>
      <c r="HA5" s="19"/>
      <c r="HB5" s="19"/>
      <c r="HC5" s="19"/>
      <c r="HD5" s="19"/>
      <c r="HE5" s="19"/>
      <c r="HF5" s="19"/>
      <c r="HG5" s="19"/>
      <c r="HH5" s="19"/>
      <c r="HI5" s="19"/>
      <c r="HJ5" s="9" t="str">
        <f t="shared" si="75"/>
        <v/>
      </c>
      <c r="HK5" s="9" t="str">
        <f t="shared" si="76"/>
        <v/>
      </c>
      <c r="HL5" s="9" t="str">
        <f t="shared" si="77"/>
        <v/>
      </c>
      <c r="HM5" s="9" t="str">
        <f t="shared" si="78"/>
        <v/>
      </c>
      <c r="HN5" s="9" t="str">
        <f t="shared" si="79"/>
        <v/>
      </c>
      <c r="HO5" s="9" t="str">
        <f t="shared" si="80"/>
        <v/>
      </c>
      <c r="HP5" s="9" t="str">
        <f t="shared" si="81"/>
        <v/>
      </c>
      <c r="HQ5" s="18"/>
      <c r="HR5" s="18"/>
      <c r="HS5" s="18"/>
      <c r="HT5" s="18"/>
      <c r="HU5" s="18"/>
      <c r="HV5" s="18"/>
      <c r="HW5" s="18"/>
      <c r="HX5" s="18"/>
      <c r="HY5" s="18"/>
      <c r="HZ5" s="18"/>
      <c r="IA5" s="18"/>
      <c r="IB5" s="18"/>
      <c r="IC5" s="18"/>
      <c r="ID5" s="18"/>
      <c r="IE5" s="18"/>
      <c r="IF5" s="7" t="str">
        <f t="shared" si="82"/>
        <v/>
      </c>
      <c r="IG5" s="7" t="str">
        <f t="shared" si="83"/>
        <v/>
      </c>
      <c r="IH5" s="7" t="str">
        <f t="shared" si="84"/>
        <v/>
      </c>
      <c r="II5" s="7" t="str">
        <f t="shared" si="85"/>
        <v/>
      </c>
      <c r="IJ5" s="7" t="str">
        <f t="shared" si="86"/>
        <v/>
      </c>
      <c r="IK5" s="7" t="str">
        <f t="shared" si="87"/>
        <v/>
      </c>
      <c r="IL5" s="7" t="str">
        <f t="shared" si="88"/>
        <v/>
      </c>
      <c r="IM5" s="19"/>
      <c r="IN5" s="19"/>
      <c r="IO5" s="19"/>
      <c r="IP5" s="19"/>
      <c r="IQ5" s="19"/>
      <c r="IR5" s="19"/>
      <c r="IS5" s="19"/>
      <c r="IT5" s="19"/>
      <c r="IU5" s="19"/>
      <c r="IV5" s="19"/>
      <c r="IW5" s="19"/>
      <c r="IX5" s="19"/>
      <c r="IY5" s="19"/>
      <c r="IZ5" s="19"/>
      <c r="JA5" s="19"/>
      <c r="JB5" s="9" t="str">
        <f t="shared" si="89"/>
        <v/>
      </c>
      <c r="JC5" s="9" t="str">
        <f t="shared" si="90"/>
        <v/>
      </c>
      <c r="JD5" s="9" t="str">
        <f t="shared" si="91"/>
        <v/>
      </c>
      <c r="JE5" s="9" t="str">
        <f t="shared" si="92"/>
        <v/>
      </c>
      <c r="JF5" s="9" t="str">
        <f t="shared" si="93"/>
        <v/>
      </c>
      <c r="JG5" s="9" t="str">
        <f t="shared" si="94"/>
        <v/>
      </c>
      <c r="JH5" s="9" t="str">
        <f t="shared" si="95"/>
        <v/>
      </c>
      <c r="JI5" s="18"/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7" t="str">
        <f t="shared" si="96"/>
        <v/>
      </c>
      <c r="JY5" s="7" t="str">
        <f t="shared" si="97"/>
        <v/>
      </c>
      <c r="JZ5" s="7" t="str">
        <f t="shared" si="98"/>
        <v/>
      </c>
      <c r="KA5" s="7" t="str">
        <f t="shared" si="99"/>
        <v/>
      </c>
      <c r="KB5" s="7" t="str">
        <f t="shared" si="100"/>
        <v/>
      </c>
      <c r="KC5" s="7" t="str">
        <f t="shared" si="101"/>
        <v/>
      </c>
      <c r="KD5" s="7" t="str">
        <f t="shared" si="102"/>
        <v/>
      </c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9"/>
      <c r="KR5" s="19"/>
      <c r="KS5" s="19"/>
      <c r="KT5" s="9" t="str">
        <f t="shared" si="103"/>
        <v/>
      </c>
      <c r="KU5" s="9" t="str">
        <f t="shared" si="104"/>
        <v/>
      </c>
      <c r="KV5" s="9" t="str">
        <f t="shared" si="105"/>
        <v/>
      </c>
      <c r="KW5" s="9" t="str">
        <f t="shared" si="106"/>
        <v/>
      </c>
      <c r="KX5" s="9" t="str">
        <f t="shared" si="107"/>
        <v/>
      </c>
      <c r="KY5" s="9" t="str">
        <f t="shared" si="108"/>
        <v/>
      </c>
      <c r="KZ5" s="9" t="str">
        <f t="shared" si="109"/>
        <v/>
      </c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7" t="str">
        <f t="shared" si="110"/>
        <v/>
      </c>
      <c r="LQ5" s="7" t="str">
        <f t="shared" si="111"/>
        <v/>
      </c>
      <c r="LR5" s="7" t="str">
        <f t="shared" si="112"/>
        <v/>
      </c>
      <c r="LS5" s="7" t="str">
        <f t="shared" si="113"/>
        <v/>
      </c>
      <c r="LT5" s="7" t="str">
        <f t="shared" si="114"/>
        <v/>
      </c>
      <c r="LU5" s="7" t="str">
        <f t="shared" si="115"/>
        <v/>
      </c>
      <c r="LV5" s="7" t="str">
        <f t="shared" si="116"/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9" t="str">
        <f t="shared" si="117"/>
        <v/>
      </c>
      <c r="MM5" s="9" t="str">
        <f t="shared" si="118"/>
        <v/>
      </c>
      <c r="MN5" s="9" t="str">
        <f t="shared" si="119"/>
        <v/>
      </c>
      <c r="MO5" s="9" t="str">
        <f t="shared" si="120"/>
        <v/>
      </c>
      <c r="MP5" s="9" t="str">
        <f t="shared" si="121"/>
        <v/>
      </c>
      <c r="MQ5" s="9" t="str">
        <f t="shared" si="122"/>
        <v/>
      </c>
      <c r="MR5" s="9" t="str">
        <f t="shared" si="123"/>
        <v/>
      </c>
      <c r="MS5" s="27">
        <f t="shared" si="124"/>
        <v>8.9</v>
      </c>
      <c r="MT5" s="27">
        <f t="shared" si="125"/>
        <v>4.55</v>
      </c>
      <c r="MU5" s="27">
        <f t="shared" si="126"/>
        <v>0</v>
      </c>
      <c r="MV5" s="27">
        <f t="shared" si="127"/>
        <v>6.9950000000000001</v>
      </c>
      <c r="MW5" s="27">
        <f t="shared" si="128"/>
        <v>0</v>
      </c>
      <c r="MX5" s="27">
        <f t="shared" si="129"/>
        <v>7.75</v>
      </c>
      <c r="MY5" s="27">
        <f t="shared" si="130"/>
        <v>4.6500000000000004</v>
      </c>
      <c r="MZ5" s="27">
        <f t="shared" si="131"/>
        <v>5.45</v>
      </c>
      <c r="NA5" s="27">
        <f t="shared" si="132"/>
        <v>6.74</v>
      </c>
      <c r="NB5" s="27">
        <f t="shared" si="133"/>
        <v>0</v>
      </c>
      <c r="NC5" s="27">
        <f t="shared" si="134"/>
        <v>7.9</v>
      </c>
      <c r="ND5" s="27">
        <f t="shared" si="135"/>
        <v>4.8</v>
      </c>
      <c r="NE5" s="27">
        <f t="shared" si="136"/>
        <v>5.45</v>
      </c>
      <c r="NF5" s="27">
        <f t="shared" si="137"/>
        <v>6.6950000000000003</v>
      </c>
      <c r="NG5" s="27">
        <f t="shared" si="138"/>
        <v>0</v>
      </c>
      <c r="NH5" s="32" t="s">
        <v>44</v>
      </c>
      <c r="NI5" s="7">
        <f t="shared" si="139"/>
        <v>20.445</v>
      </c>
      <c r="NJ5" s="7">
        <f t="shared" si="140"/>
        <v>5.45</v>
      </c>
      <c r="NK5" s="7">
        <f t="shared" si="141"/>
        <v>24.590000000000003</v>
      </c>
      <c r="NL5" s="7">
        <f t="shared" si="142"/>
        <v>45.035000000000004</v>
      </c>
      <c r="NM5" s="7">
        <f t="shared" si="143"/>
        <v>5.45</v>
      </c>
      <c r="NN5" s="7">
        <f t="shared" si="144"/>
        <v>24.844999999999999</v>
      </c>
      <c r="NO5" s="7">
        <f t="shared" ref="NO5:NO7" si="145">IF(SUM(NL5,NN5)&gt;0,SUM(NL5,NN5),"")</f>
        <v>69.88</v>
      </c>
    </row>
    <row r="6" spans="1:379" x14ac:dyDescent="0.2">
      <c r="A6" s="4" t="str" cm="1">
        <f t="array" ref="A6">IF(AND(H6&lt;&gt;"",H6&lt;&gt;"No DD"),SUMPRODUCT((H$4:H$15&lt;&gt;"")*(H$4:H$15&lt;&gt;"No DD")*(E$4:E$15&gt;E6))+1,IF(H6="No DD",SUMPRODUCT((H$4:H$15="No DD")*(E$4:E$15&gt;E6))+1+SUMPRODUCT((H$4:H$15&lt;&gt;"")*(H$4:H$15&lt;&gt;"No DD")),""))</f>
        <v/>
      </c>
      <c r="B6" s="5" t="s">
        <v>102</v>
      </c>
      <c r="C6" s="4" t="s">
        <v>3</v>
      </c>
      <c r="D6" s="4">
        <v>2010</v>
      </c>
      <c r="E6" s="10">
        <f t="shared" si="0"/>
        <v>227.89</v>
      </c>
      <c r="F6" s="3" t="str">
        <f t="shared" si="1"/>
        <v/>
      </c>
      <c r="G6" s="3" t="str">
        <f t="shared" si="2"/>
        <v/>
      </c>
      <c r="H6" s="47" t="str">
        <f t="shared" si="3"/>
        <v/>
      </c>
      <c r="I6" s="9">
        <f t="shared" si="4"/>
        <v>91.210000000000008</v>
      </c>
      <c r="J6" s="9" t="str">
        <f t="shared" si="5"/>
        <v>2025 3rd Domestic Trial</v>
      </c>
      <c r="K6" s="9">
        <f t="shared" si="6"/>
        <v>41.48</v>
      </c>
      <c r="L6" s="9" t="str">
        <f t="shared" si="7"/>
        <v>2025 Nationals</v>
      </c>
      <c r="M6" s="9">
        <f t="shared" si="8"/>
        <v>47.69</v>
      </c>
      <c r="N6" s="9" t="str">
        <f t="shared" si="9"/>
        <v>2025 Nationals</v>
      </c>
      <c r="O6" s="9">
        <f t="shared" si="10"/>
        <v>47.51</v>
      </c>
      <c r="P6" s="9" t="str">
        <f t="shared" si="11"/>
        <v>2025 3rd Domestic Trial</v>
      </c>
      <c r="Q6" s="9" t="str">
        <f t="shared" si="12"/>
        <v/>
      </c>
      <c r="R6" s="14" t="str">
        <f t="shared" si="13"/>
        <v/>
      </c>
      <c r="S6" s="9" t="str">
        <f t="shared" si="14"/>
        <v/>
      </c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32"/>
      <c r="AJ6" s="7" t="str">
        <f t="shared" si="15"/>
        <v/>
      </c>
      <c r="AK6" s="7" t="str">
        <f t="shared" si="16"/>
        <v/>
      </c>
      <c r="AL6" s="7" t="str">
        <f t="shared" si="17"/>
        <v/>
      </c>
      <c r="AM6" s="7" t="str">
        <f t="shared" si="18"/>
        <v/>
      </c>
      <c r="AN6" s="7" t="str">
        <f t="shared" si="19"/>
        <v/>
      </c>
      <c r="AO6" s="7" t="str">
        <f t="shared" si="20"/>
        <v/>
      </c>
      <c r="AP6" s="7" t="str">
        <f t="shared" si="21"/>
        <v/>
      </c>
      <c r="AQ6" s="23">
        <v>17.399999999999999</v>
      </c>
      <c r="AR6" s="23">
        <v>9.4</v>
      </c>
      <c r="AS6" s="23">
        <v>0</v>
      </c>
      <c r="AT6" s="23">
        <v>14.68</v>
      </c>
      <c r="AU6" s="23">
        <v>0</v>
      </c>
      <c r="AV6" s="23">
        <v>14.4</v>
      </c>
      <c r="AW6" s="23">
        <v>8.9</v>
      </c>
      <c r="AX6" s="23">
        <v>10.1</v>
      </c>
      <c r="AY6" s="23">
        <v>14.29</v>
      </c>
      <c r="AZ6" s="23">
        <v>0</v>
      </c>
      <c r="BA6" s="23">
        <v>13.7</v>
      </c>
      <c r="BB6" s="23">
        <v>8.9</v>
      </c>
      <c r="BC6" s="23">
        <v>10.1</v>
      </c>
      <c r="BD6" s="23">
        <v>13.69</v>
      </c>
      <c r="BE6" s="23">
        <v>0.2</v>
      </c>
      <c r="BF6" s="33"/>
      <c r="BG6" s="9">
        <f t="shared" si="22"/>
        <v>41.48</v>
      </c>
      <c r="BH6" s="9">
        <f t="shared" si="23"/>
        <v>10.1</v>
      </c>
      <c r="BI6" s="9">
        <f t="shared" si="24"/>
        <v>47.69</v>
      </c>
      <c r="BJ6" s="9">
        <f t="shared" si="25"/>
        <v>89.169999999999987</v>
      </c>
      <c r="BK6" s="9">
        <f t="shared" si="26"/>
        <v>10.1</v>
      </c>
      <c r="BL6" s="9">
        <f t="shared" si="27"/>
        <v>46.19</v>
      </c>
      <c r="BM6" s="9">
        <f t="shared" si="28"/>
        <v>135.35999999999999</v>
      </c>
      <c r="BN6" s="27">
        <v>17.2</v>
      </c>
      <c r="BO6" s="27">
        <v>9.3000000000000007</v>
      </c>
      <c r="BP6" s="27">
        <v>0</v>
      </c>
      <c r="BQ6" s="27">
        <v>15.36</v>
      </c>
      <c r="BR6" s="27">
        <v>0</v>
      </c>
      <c r="BS6" s="27">
        <v>14.8</v>
      </c>
      <c r="BT6" s="27">
        <v>9.6999999999999993</v>
      </c>
      <c r="BU6" s="27">
        <v>10.1</v>
      </c>
      <c r="BV6" s="27">
        <v>14.75</v>
      </c>
      <c r="BW6" s="27">
        <v>0</v>
      </c>
      <c r="BX6" s="27">
        <v>14.5</v>
      </c>
      <c r="BY6" s="27">
        <v>8.6</v>
      </c>
      <c r="BZ6" s="27">
        <v>10.1</v>
      </c>
      <c r="CA6" s="27">
        <v>14.51</v>
      </c>
      <c r="CB6" s="27">
        <v>0.2</v>
      </c>
      <c r="CC6" s="32"/>
      <c r="CD6" s="7">
        <f t="shared" si="29"/>
        <v>41.86</v>
      </c>
      <c r="CE6" s="7">
        <f t="shared" si="30"/>
        <v>10.1</v>
      </c>
      <c r="CF6" s="7">
        <f t="shared" si="31"/>
        <v>49.35</v>
      </c>
      <c r="CG6" s="7">
        <f t="shared" si="32"/>
        <v>91.210000000000008</v>
      </c>
      <c r="CH6" s="7">
        <f t="shared" si="33"/>
        <v>10.1</v>
      </c>
      <c r="CI6" s="7">
        <f t="shared" si="34"/>
        <v>47.51</v>
      </c>
      <c r="CJ6" s="7">
        <f t="shared" si="35"/>
        <v>138.72</v>
      </c>
      <c r="CK6" s="13" t="str">
        <f t="shared" si="36"/>
        <v/>
      </c>
      <c r="CL6" s="13" t="str">
        <f t="shared" si="37"/>
        <v/>
      </c>
      <c r="CM6" s="13" t="str">
        <f t="shared" si="38"/>
        <v/>
      </c>
      <c r="CN6" s="13" t="str">
        <f t="shared" si="39"/>
        <v/>
      </c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7" t="str">
        <f t="shared" si="40"/>
        <v/>
      </c>
      <c r="DE6" s="7" t="str">
        <f t="shared" si="41"/>
        <v/>
      </c>
      <c r="DF6" s="7" t="str">
        <f t="shared" si="42"/>
        <v/>
      </c>
      <c r="DG6" s="7" t="str">
        <f t="shared" si="43"/>
        <v/>
      </c>
      <c r="DH6" s="7" t="str">
        <f t="shared" si="44"/>
        <v/>
      </c>
      <c r="DI6" s="7" t="str">
        <f t="shared" si="45"/>
        <v/>
      </c>
      <c r="DJ6" s="7" t="str">
        <f t="shared" si="46"/>
        <v/>
      </c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9" t="str">
        <f t="shared" si="47"/>
        <v/>
      </c>
      <c r="EA6" s="9" t="str">
        <f t="shared" si="48"/>
        <v/>
      </c>
      <c r="EB6" s="9" t="str">
        <f t="shared" si="49"/>
        <v/>
      </c>
      <c r="EC6" s="9" t="str">
        <f t="shared" si="50"/>
        <v/>
      </c>
      <c r="ED6" s="9" t="str">
        <f t="shared" si="51"/>
        <v/>
      </c>
      <c r="EE6" s="9" t="str">
        <f t="shared" si="52"/>
        <v/>
      </c>
      <c r="EF6" s="9" t="str">
        <f t="shared" si="53"/>
        <v/>
      </c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7" t="str">
        <f t="shared" si="54"/>
        <v/>
      </c>
      <c r="EW6" s="7" t="str">
        <f t="shared" si="55"/>
        <v/>
      </c>
      <c r="EX6" s="7" t="str">
        <f t="shared" si="56"/>
        <v/>
      </c>
      <c r="EY6" s="7" t="str">
        <f t="shared" si="57"/>
        <v/>
      </c>
      <c r="EZ6" s="7" t="str">
        <f t="shared" si="58"/>
        <v/>
      </c>
      <c r="FA6" s="7" t="str">
        <f t="shared" si="59"/>
        <v/>
      </c>
      <c r="FB6" s="7" t="str">
        <f t="shared" si="60"/>
        <v/>
      </c>
      <c r="FC6" s="19"/>
      <c r="FD6" s="19"/>
      <c r="FE6" s="19"/>
      <c r="FF6" s="19"/>
      <c r="FG6" s="19"/>
      <c r="FH6" s="19"/>
      <c r="FI6" s="19"/>
      <c r="FJ6" s="19"/>
      <c r="FK6" s="19"/>
      <c r="FL6" s="19"/>
      <c r="FM6" s="19"/>
      <c r="FN6" s="19"/>
      <c r="FO6" s="19"/>
      <c r="FP6" s="19"/>
      <c r="FQ6" s="19"/>
      <c r="FR6" s="9" t="str">
        <f t="shared" si="61"/>
        <v/>
      </c>
      <c r="FS6" s="9" t="str">
        <f t="shared" si="62"/>
        <v/>
      </c>
      <c r="FT6" s="9" t="str">
        <f t="shared" si="63"/>
        <v/>
      </c>
      <c r="FU6" s="9" t="str">
        <f t="shared" si="64"/>
        <v/>
      </c>
      <c r="FV6" s="9" t="str">
        <f t="shared" si="65"/>
        <v/>
      </c>
      <c r="FW6" s="9" t="str">
        <f t="shared" si="66"/>
        <v/>
      </c>
      <c r="FX6" s="9" t="str">
        <f t="shared" si="67"/>
        <v/>
      </c>
      <c r="FY6" s="18"/>
      <c r="FZ6" s="18"/>
      <c r="GA6" s="18"/>
      <c r="GB6" s="18"/>
      <c r="GC6" s="18"/>
      <c r="GD6" s="18"/>
      <c r="GE6" s="18"/>
      <c r="GF6" s="18"/>
      <c r="GG6" s="18"/>
      <c r="GH6" s="18"/>
      <c r="GI6" s="18"/>
      <c r="GJ6" s="18"/>
      <c r="GK6" s="18"/>
      <c r="GL6" s="18"/>
      <c r="GM6" s="18"/>
      <c r="GN6" s="7" t="str">
        <f t="shared" si="68"/>
        <v/>
      </c>
      <c r="GO6" s="7" t="str">
        <f t="shared" si="69"/>
        <v/>
      </c>
      <c r="GP6" s="7" t="str">
        <f t="shared" si="70"/>
        <v/>
      </c>
      <c r="GQ6" s="7" t="str">
        <f t="shared" si="71"/>
        <v/>
      </c>
      <c r="GR6" s="7" t="str">
        <f t="shared" si="72"/>
        <v/>
      </c>
      <c r="GS6" s="7" t="str">
        <f t="shared" si="73"/>
        <v/>
      </c>
      <c r="GT6" s="7" t="str">
        <f t="shared" si="74"/>
        <v/>
      </c>
      <c r="GU6" s="19"/>
      <c r="GV6" s="19"/>
      <c r="GW6" s="19"/>
      <c r="GX6" s="19"/>
      <c r="GY6" s="19"/>
      <c r="GZ6" s="19"/>
      <c r="HA6" s="19"/>
      <c r="HB6" s="19"/>
      <c r="HC6" s="19"/>
      <c r="HD6" s="19"/>
      <c r="HE6" s="19"/>
      <c r="HF6" s="19"/>
      <c r="HG6" s="19"/>
      <c r="HH6" s="19"/>
      <c r="HI6" s="19"/>
      <c r="HJ6" s="9" t="str">
        <f t="shared" si="75"/>
        <v/>
      </c>
      <c r="HK6" s="9" t="str">
        <f t="shared" si="76"/>
        <v/>
      </c>
      <c r="HL6" s="9" t="str">
        <f t="shared" si="77"/>
        <v/>
      </c>
      <c r="HM6" s="9" t="str">
        <f t="shared" si="78"/>
        <v/>
      </c>
      <c r="HN6" s="9" t="str">
        <f t="shared" si="79"/>
        <v/>
      </c>
      <c r="HO6" s="9" t="str">
        <f t="shared" si="80"/>
        <v/>
      </c>
      <c r="HP6" s="9" t="str">
        <f t="shared" si="81"/>
        <v/>
      </c>
      <c r="HQ6" s="18"/>
      <c r="HR6" s="18"/>
      <c r="HS6" s="18"/>
      <c r="HT6" s="18"/>
      <c r="HU6" s="18"/>
      <c r="HV6" s="18"/>
      <c r="HW6" s="18"/>
      <c r="HX6" s="18"/>
      <c r="HY6" s="18"/>
      <c r="HZ6" s="18"/>
      <c r="IA6" s="18"/>
      <c r="IB6" s="18"/>
      <c r="IC6" s="18"/>
      <c r="ID6" s="18"/>
      <c r="IE6" s="18"/>
      <c r="IF6" s="7" t="str">
        <f t="shared" si="82"/>
        <v/>
      </c>
      <c r="IG6" s="7" t="str">
        <f t="shared" si="83"/>
        <v/>
      </c>
      <c r="IH6" s="7" t="str">
        <f t="shared" si="84"/>
        <v/>
      </c>
      <c r="II6" s="7" t="str">
        <f t="shared" si="85"/>
        <v/>
      </c>
      <c r="IJ6" s="7" t="str">
        <f t="shared" si="86"/>
        <v/>
      </c>
      <c r="IK6" s="7" t="str">
        <f t="shared" si="87"/>
        <v/>
      </c>
      <c r="IL6" s="7" t="str">
        <f t="shared" si="88"/>
        <v/>
      </c>
      <c r="IM6" s="19"/>
      <c r="IN6" s="19"/>
      <c r="IO6" s="19"/>
      <c r="IP6" s="19"/>
      <c r="IQ6" s="19"/>
      <c r="IR6" s="19"/>
      <c r="IS6" s="19"/>
      <c r="IT6" s="19"/>
      <c r="IU6" s="19"/>
      <c r="IV6" s="19"/>
      <c r="IW6" s="19"/>
      <c r="IX6" s="19"/>
      <c r="IY6" s="19"/>
      <c r="IZ6" s="19"/>
      <c r="JA6" s="19"/>
      <c r="JB6" s="9" t="str">
        <f t="shared" si="89"/>
        <v/>
      </c>
      <c r="JC6" s="9" t="str">
        <f t="shared" si="90"/>
        <v/>
      </c>
      <c r="JD6" s="9" t="str">
        <f t="shared" si="91"/>
        <v/>
      </c>
      <c r="JE6" s="9" t="str">
        <f t="shared" si="92"/>
        <v/>
      </c>
      <c r="JF6" s="9" t="str">
        <f t="shared" si="93"/>
        <v/>
      </c>
      <c r="JG6" s="9" t="str">
        <f t="shared" si="94"/>
        <v/>
      </c>
      <c r="JH6" s="9" t="str">
        <f t="shared" si="95"/>
        <v/>
      </c>
      <c r="JI6" s="18"/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7" t="str">
        <f t="shared" si="96"/>
        <v/>
      </c>
      <c r="JY6" s="7" t="str">
        <f t="shared" si="97"/>
        <v/>
      </c>
      <c r="JZ6" s="7" t="str">
        <f t="shared" si="98"/>
        <v/>
      </c>
      <c r="KA6" s="7" t="str">
        <f t="shared" si="99"/>
        <v/>
      </c>
      <c r="KB6" s="7" t="str">
        <f t="shared" si="100"/>
        <v/>
      </c>
      <c r="KC6" s="7" t="str">
        <f t="shared" si="101"/>
        <v/>
      </c>
      <c r="KD6" s="7" t="str">
        <f t="shared" si="102"/>
        <v/>
      </c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9"/>
      <c r="KR6" s="19"/>
      <c r="KS6" s="19"/>
      <c r="KT6" s="9" t="str">
        <f t="shared" si="103"/>
        <v/>
      </c>
      <c r="KU6" s="9" t="str">
        <f t="shared" si="104"/>
        <v/>
      </c>
      <c r="KV6" s="9" t="str">
        <f t="shared" si="105"/>
        <v/>
      </c>
      <c r="KW6" s="9" t="str">
        <f t="shared" si="106"/>
        <v/>
      </c>
      <c r="KX6" s="9" t="str">
        <f t="shared" si="107"/>
        <v/>
      </c>
      <c r="KY6" s="9" t="str">
        <f t="shared" si="108"/>
        <v/>
      </c>
      <c r="KZ6" s="9" t="str">
        <f t="shared" si="109"/>
        <v/>
      </c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7" t="str">
        <f t="shared" si="110"/>
        <v/>
      </c>
      <c r="LQ6" s="7" t="str">
        <f t="shared" si="111"/>
        <v/>
      </c>
      <c r="LR6" s="7" t="str">
        <f t="shared" si="112"/>
        <v/>
      </c>
      <c r="LS6" s="7" t="str">
        <f t="shared" si="113"/>
        <v/>
      </c>
      <c r="LT6" s="7" t="str">
        <f t="shared" si="114"/>
        <v/>
      </c>
      <c r="LU6" s="7" t="str">
        <f t="shared" si="115"/>
        <v/>
      </c>
      <c r="LV6" s="7" t="str">
        <f t="shared" si="116"/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9" t="str">
        <f t="shared" si="117"/>
        <v/>
      </c>
      <c r="MM6" s="9" t="str">
        <f t="shared" si="118"/>
        <v/>
      </c>
      <c r="MN6" s="9" t="str">
        <f t="shared" si="119"/>
        <v/>
      </c>
      <c r="MO6" s="9" t="str">
        <f t="shared" si="120"/>
        <v/>
      </c>
      <c r="MP6" s="9" t="str">
        <f t="shared" si="121"/>
        <v/>
      </c>
      <c r="MQ6" s="9" t="str">
        <f t="shared" si="122"/>
        <v/>
      </c>
      <c r="MR6" s="9" t="str">
        <f t="shared" si="123"/>
        <v/>
      </c>
      <c r="MS6" s="27">
        <f t="shared" si="124"/>
        <v>17.299999999999997</v>
      </c>
      <c r="MT6" s="27">
        <f t="shared" si="125"/>
        <v>9.3500000000000014</v>
      </c>
      <c r="MU6" s="27">
        <f t="shared" si="126"/>
        <v>0</v>
      </c>
      <c r="MV6" s="27">
        <f t="shared" si="127"/>
        <v>15.02</v>
      </c>
      <c r="MW6" s="27">
        <f t="shared" si="128"/>
        <v>0</v>
      </c>
      <c r="MX6" s="27">
        <f t="shared" si="129"/>
        <v>14.600000000000001</v>
      </c>
      <c r="MY6" s="27">
        <f t="shared" si="130"/>
        <v>9.3000000000000007</v>
      </c>
      <c r="MZ6" s="27">
        <f t="shared" si="131"/>
        <v>10.1</v>
      </c>
      <c r="NA6" s="27">
        <f t="shared" si="132"/>
        <v>14.52</v>
      </c>
      <c r="NB6" s="27">
        <f t="shared" si="133"/>
        <v>0</v>
      </c>
      <c r="NC6" s="27">
        <f t="shared" si="134"/>
        <v>14.1</v>
      </c>
      <c r="ND6" s="27">
        <f t="shared" si="135"/>
        <v>8.75</v>
      </c>
      <c r="NE6" s="27">
        <f t="shared" si="136"/>
        <v>10.1</v>
      </c>
      <c r="NF6" s="27">
        <f t="shared" si="137"/>
        <v>14.1</v>
      </c>
      <c r="NG6" s="27">
        <f t="shared" si="138"/>
        <v>0.2</v>
      </c>
      <c r="NH6" s="32" t="s">
        <v>44</v>
      </c>
      <c r="NI6" s="7">
        <f t="shared" si="139"/>
        <v>41.67</v>
      </c>
      <c r="NJ6" s="7">
        <f t="shared" si="140"/>
        <v>10.1</v>
      </c>
      <c r="NK6" s="7">
        <f t="shared" si="141"/>
        <v>48.519999999999996</v>
      </c>
      <c r="NL6" s="7">
        <f t="shared" si="142"/>
        <v>90.19</v>
      </c>
      <c r="NM6" s="7">
        <f t="shared" si="143"/>
        <v>10.1</v>
      </c>
      <c r="NN6" s="7">
        <f t="shared" si="144"/>
        <v>46.85</v>
      </c>
      <c r="NO6" s="7">
        <f t="shared" si="145"/>
        <v>137.04</v>
      </c>
    </row>
    <row r="7" spans="1:379" x14ac:dyDescent="0.2">
      <c r="A7" s="4" t="str" cm="1">
        <f t="array" ref="A7">IF(AND(H7&lt;&gt;"",H7&lt;&gt;"No DD"),SUMPRODUCT((H$4:H$15&lt;&gt;"")*(H$4:H$15&lt;&gt;"No DD")*(E$4:E$15&gt;E7))+1,IF(H7="No DD",SUMPRODUCT((H$4:H$15="No DD")*(E$4:E$15&gt;E7))+1+SUMPRODUCT((H$4:H$15&lt;&gt;"")*(H$4:H$15&lt;&gt;"No DD")),""))</f>
        <v/>
      </c>
      <c r="B7" s="5" t="s">
        <v>83</v>
      </c>
      <c r="C7" s="4" t="s">
        <v>3</v>
      </c>
      <c r="D7" s="4">
        <v>2010</v>
      </c>
      <c r="E7" s="10">
        <f t="shared" si="0"/>
        <v>225.67000000000002</v>
      </c>
      <c r="F7" s="3" t="str">
        <f t="shared" si="1"/>
        <v/>
      </c>
      <c r="G7" s="3" t="str">
        <f t="shared" si="2"/>
        <v/>
      </c>
      <c r="H7" s="47" t="str">
        <f t="shared" si="3"/>
        <v/>
      </c>
      <c r="I7" s="9">
        <f t="shared" si="4"/>
        <v>87.75</v>
      </c>
      <c r="J7" s="9" t="str">
        <f t="shared" si="5"/>
        <v>2025 3rd Domestic Trial</v>
      </c>
      <c r="K7" s="9">
        <f t="shared" si="6"/>
        <v>39.83</v>
      </c>
      <c r="L7" s="9" t="str">
        <f t="shared" si="7"/>
        <v>2025 Nationals</v>
      </c>
      <c r="M7" s="9">
        <f t="shared" si="8"/>
        <v>47.730000000000004</v>
      </c>
      <c r="N7" s="9" t="str">
        <f t="shared" si="9"/>
        <v>2025 Nationals</v>
      </c>
      <c r="O7" s="9">
        <f t="shared" si="10"/>
        <v>50.36</v>
      </c>
      <c r="P7" s="9" t="str">
        <f t="shared" si="11"/>
        <v>2025 Nationals</v>
      </c>
      <c r="Q7" s="9" t="str">
        <f t="shared" si="12"/>
        <v/>
      </c>
      <c r="R7" s="14" t="str">
        <f t="shared" si="13"/>
        <v/>
      </c>
      <c r="S7" s="9" t="str">
        <f t="shared" si="14"/>
        <v/>
      </c>
      <c r="T7" s="27">
        <v>15.3</v>
      </c>
      <c r="U7" s="27">
        <v>9.5</v>
      </c>
      <c r="V7" s="27">
        <v>0</v>
      </c>
      <c r="W7" s="27">
        <v>14.54</v>
      </c>
      <c r="X7" s="27">
        <v>0</v>
      </c>
      <c r="Y7" s="27">
        <v>13.1</v>
      </c>
      <c r="Z7" s="27">
        <v>9.3000000000000007</v>
      </c>
      <c r="AA7" s="27">
        <v>10.1</v>
      </c>
      <c r="AB7" s="27">
        <v>14.32</v>
      </c>
      <c r="AC7" s="27">
        <v>0</v>
      </c>
      <c r="AD7" s="27">
        <v>11.3</v>
      </c>
      <c r="AE7" s="27">
        <v>8.1</v>
      </c>
      <c r="AF7" s="27">
        <v>8.8000000000000007</v>
      </c>
      <c r="AG7" s="27">
        <v>12.91</v>
      </c>
      <c r="AH7" s="27">
        <v>0</v>
      </c>
      <c r="AI7" s="32"/>
      <c r="AJ7" s="7">
        <f t="shared" si="15"/>
        <v>39.340000000000003</v>
      </c>
      <c r="AK7" s="7">
        <f t="shared" si="16"/>
        <v>10.1</v>
      </c>
      <c r="AL7" s="7">
        <f t="shared" si="17"/>
        <v>46.82</v>
      </c>
      <c r="AM7" s="7">
        <f t="shared" si="18"/>
        <v>86.16</v>
      </c>
      <c r="AN7" s="7">
        <f t="shared" si="19"/>
        <v>8.8000000000000007</v>
      </c>
      <c r="AO7" s="7">
        <f t="shared" si="20"/>
        <v>41.11</v>
      </c>
      <c r="AP7" s="7">
        <f t="shared" si="21"/>
        <v>127.27</v>
      </c>
      <c r="AQ7" s="23">
        <v>16.100000000000001</v>
      </c>
      <c r="AR7" s="23">
        <v>9.3000000000000007</v>
      </c>
      <c r="AS7" s="23">
        <v>0</v>
      </c>
      <c r="AT7" s="23">
        <v>14.43</v>
      </c>
      <c r="AU7" s="23">
        <v>0</v>
      </c>
      <c r="AV7" s="23">
        <v>12.9</v>
      </c>
      <c r="AW7" s="23">
        <v>9.1999999999999993</v>
      </c>
      <c r="AX7" s="23">
        <v>11.6</v>
      </c>
      <c r="AY7" s="23">
        <v>14.03</v>
      </c>
      <c r="AZ7" s="23">
        <v>0</v>
      </c>
      <c r="BA7" s="23">
        <v>15.2</v>
      </c>
      <c r="BB7" s="23">
        <v>9.1</v>
      </c>
      <c r="BC7" s="23">
        <v>11.6</v>
      </c>
      <c r="BD7" s="23">
        <v>14.46</v>
      </c>
      <c r="BE7" s="23">
        <v>0</v>
      </c>
      <c r="BF7" s="33"/>
      <c r="BG7" s="9">
        <f t="shared" si="22"/>
        <v>39.83</v>
      </c>
      <c r="BH7" s="9">
        <f t="shared" si="23"/>
        <v>11.6</v>
      </c>
      <c r="BI7" s="9">
        <f t="shared" si="24"/>
        <v>47.730000000000004</v>
      </c>
      <c r="BJ7" s="9">
        <f t="shared" si="25"/>
        <v>87.56</v>
      </c>
      <c r="BK7" s="9">
        <f t="shared" si="26"/>
        <v>11.6</v>
      </c>
      <c r="BL7" s="9">
        <f t="shared" si="27"/>
        <v>50.36</v>
      </c>
      <c r="BM7" s="9">
        <f t="shared" si="28"/>
        <v>137.92000000000002</v>
      </c>
      <c r="BN7" s="27">
        <v>16.2</v>
      </c>
      <c r="BO7" s="27">
        <v>9.3000000000000007</v>
      </c>
      <c r="BP7" s="27">
        <v>0</v>
      </c>
      <c r="BQ7" s="27">
        <v>14.41</v>
      </c>
      <c r="BR7" s="27">
        <v>0</v>
      </c>
      <c r="BS7" s="27">
        <v>13.7</v>
      </c>
      <c r="BT7" s="27">
        <v>8.8000000000000007</v>
      </c>
      <c r="BU7" s="27">
        <v>10.9</v>
      </c>
      <c r="BV7" s="27">
        <v>14.44</v>
      </c>
      <c r="BW7" s="27">
        <v>0</v>
      </c>
      <c r="BX7" s="27">
        <v>15</v>
      </c>
      <c r="BY7" s="27">
        <v>9.1999999999999993</v>
      </c>
      <c r="BZ7" s="27">
        <v>10.9</v>
      </c>
      <c r="CA7" s="27">
        <v>14.45</v>
      </c>
      <c r="CB7" s="27">
        <v>0</v>
      </c>
      <c r="CC7" s="32"/>
      <c r="CD7" s="7">
        <f t="shared" si="29"/>
        <v>39.909999999999997</v>
      </c>
      <c r="CE7" s="7">
        <f t="shared" si="30"/>
        <v>10.9</v>
      </c>
      <c r="CF7" s="7">
        <f t="shared" si="31"/>
        <v>47.839999999999996</v>
      </c>
      <c r="CG7" s="7">
        <f t="shared" si="32"/>
        <v>87.75</v>
      </c>
      <c r="CH7" s="7">
        <f t="shared" si="33"/>
        <v>10.9</v>
      </c>
      <c r="CI7" s="7">
        <f t="shared" si="34"/>
        <v>49.55</v>
      </c>
      <c r="CJ7" s="7">
        <f t="shared" si="35"/>
        <v>137.30000000000001</v>
      </c>
      <c r="CK7" s="13" t="str">
        <f t="shared" si="36"/>
        <v/>
      </c>
      <c r="CL7" s="13" t="str">
        <f t="shared" si="37"/>
        <v/>
      </c>
      <c r="CM7" s="13" t="str">
        <f t="shared" si="38"/>
        <v/>
      </c>
      <c r="CN7" s="13" t="str">
        <f t="shared" si="39"/>
        <v/>
      </c>
      <c r="CO7" s="18">
        <v>15.1</v>
      </c>
      <c r="CP7" s="18">
        <v>9.6</v>
      </c>
      <c r="CQ7" s="18">
        <v>0</v>
      </c>
      <c r="CR7" s="18">
        <v>14.68</v>
      </c>
      <c r="CS7" s="18">
        <v>0</v>
      </c>
      <c r="CT7" s="18">
        <v>12.9</v>
      </c>
      <c r="CU7" s="18">
        <v>8.6999999999999993</v>
      </c>
      <c r="CV7" s="18">
        <v>11.6</v>
      </c>
      <c r="CW7" s="18">
        <v>14.32</v>
      </c>
      <c r="CX7" s="18">
        <v>0</v>
      </c>
      <c r="CY7" s="18"/>
      <c r="CZ7" s="18"/>
      <c r="DA7" s="18"/>
      <c r="DB7" s="18"/>
      <c r="DC7" s="18"/>
      <c r="DD7" s="7">
        <f t="shared" si="40"/>
        <v>11.6</v>
      </c>
      <c r="DE7" s="7">
        <f t="shared" si="41"/>
        <v>39.379999999999995</v>
      </c>
      <c r="DF7" s="7">
        <f t="shared" si="42"/>
        <v>47.52</v>
      </c>
      <c r="DG7" s="7">
        <f t="shared" si="43"/>
        <v>86.9</v>
      </c>
      <c r="DH7" s="7" t="str">
        <f t="shared" si="44"/>
        <v/>
      </c>
      <c r="DI7" s="7" t="str">
        <f t="shared" si="45"/>
        <v/>
      </c>
      <c r="DJ7" s="7">
        <f t="shared" si="46"/>
        <v>86.9</v>
      </c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  <c r="DW7" s="19"/>
      <c r="DX7" s="19"/>
      <c r="DY7" s="19"/>
      <c r="DZ7" s="9" t="str">
        <f t="shared" si="47"/>
        <v/>
      </c>
      <c r="EA7" s="9" t="str">
        <f t="shared" si="48"/>
        <v/>
      </c>
      <c r="EB7" s="9" t="str">
        <f t="shared" si="49"/>
        <v/>
      </c>
      <c r="EC7" s="9" t="str">
        <f t="shared" si="50"/>
        <v/>
      </c>
      <c r="ED7" s="9" t="str">
        <f t="shared" si="51"/>
        <v/>
      </c>
      <c r="EE7" s="9" t="str">
        <f t="shared" si="52"/>
        <v/>
      </c>
      <c r="EF7" s="9" t="str">
        <f t="shared" si="53"/>
        <v/>
      </c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7" t="str">
        <f t="shared" si="54"/>
        <v/>
      </c>
      <c r="EW7" s="7" t="str">
        <f t="shared" si="55"/>
        <v/>
      </c>
      <c r="EX7" s="7" t="str">
        <f t="shared" si="56"/>
        <v/>
      </c>
      <c r="EY7" s="7" t="str">
        <f t="shared" si="57"/>
        <v/>
      </c>
      <c r="EZ7" s="7" t="str">
        <f t="shared" si="58"/>
        <v/>
      </c>
      <c r="FA7" s="7" t="str">
        <f t="shared" si="59"/>
        <v/>
      </c>
      <c r="FB7" s="7" t="str">
        <f t="shared" si="60"/>
        <v/>
      </c>
      <c r="FC7" s="19"/>
      <c r="FD7" s="19"/>
      <c r="FE7" s="19"/>
      <c r="FF7" s="19"/>
      <c r="FG7" s="19"/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9" t="str">
        <f t="shared" si="61"/>
        <v/>
      </c>
      <c r="FS7" s="9" t="str">
        <f t="shared" si="62"/>
        <v/>
      </c>
      <c r="FT7" s="9" t="str">
        <f t="shared" si="63"/>
        <v/>
      </c>
      <c r="FU7" s="9" t="str">
        <f t="shared" si="64"/>
        <v/>
      </c>
      <c r="FV7" s="9" t="str">
        <f t="shared" si="65"/>
        <v/>
      </c>
      <c r="FW7" s="9" t="str">
        <f t="shared" si="66"/>
        <v/>
      </c>
      <c r="FX7" s="9" t="str">
        <f t="shared" si="67"/>
        <v/>
      </c>
      <c r="FY7" s="18"/>
      <c r="FZ7" s="18"/>
      <c r="GA7" s="18"/>
      <c r="GB7" s="18"/>
      <c r="GC7" s="18"/>
      <c r="GD7" s="18"/>
      <c r="GE7" s="18"/>
      <c r="GF7" s="18"/>
      <c r="GG7" s="18"/>
      <c r="GH7" s="18"/>
      <c r="GI7" s="18"/>
      <c r="GJ7" s="18"/>
      <c r="GK7" s="18"/>
      <c r="GL7" s="18"/>
      <c r="GM7" s="18"/>
      <c r="GN7" s="7" t="str">
        <f t="shared" si="68"/>
        <v/>
      </c>
      <c r="GO7" s="7" t="str">
        <f t="shared" si="69"/>
        <v/>
      </c>
      <c r="GP7" s="7" t="str">
        <f t="shared" si="70"/>
        <v/>
      </c>
      <c r="GQ7" s="7" t="str">
        <f t="shared" si="71"/>
        <v/>
      </c>
      <c r="GR7" s="7" t="str">
        <f t="shared" si="72"/>
        <v/>
      </c>
      <c r="GS7" s="7" t="str">
        <f t="shared" si="73"/>
        <v/>
      </c>
      <c r="GT7" s="7" t="str">
        <f t="shared" si="74"/>
        <v/>
      </c>
      <c r="GU7" s="19"/>
      <c r="GV7" s="19"/>
      <c r="GW7" s="19"/>
      <c r="GX7" s="19"/>
      <c r="GY7" s="19"/>
      <c r="GZ7" s="19"/>
      <c r="HA7" s="19"/>
      <c r="HB7" s="19"/>
      <c r="HC7" s="19"/>
      <c r="HD7" s="19"/>
      <c r="HE7" s="19"/>
      <c r="HF7" s="19"/>
      <c r="HG7" s="19"/>
      <c r="HH7" s="19"/>
      <c r="HI7" s="19"/>
      <c r="HJ7" s="9" t="str">
        <f t="shared" si="75"/>
        <v/>
      </c>
      <c r="HK7" s="9" t="str">
        <f t="shared" si="76"/>
        <v/>
      </c>
      <c r="HL7" s="9" t="str">
        <f t="shared" si="77"/>
        <v/>
      </c>
      <c r="HM7" s="9" t="str">
        <f t="shared" si="78"/>
        <v/>
      </c>
      <c r="HN7" s="9" t="str">
        <f t="shared" si="79"/>
        <v/>
      </c>
      <c r="HO7" s="9" t="str">
        <f t="shared" si="80"/>
        <v/>
      </c>
      <c r="HP7" s="9" t="str">
        <f t="shared" si="81"/>
        <v/>
      </c>
      <c r="HQ7" s="18"/>
      <c r="HR7" s="18"/>
      <c r="HS7" s="18"/>
      <c r="HT7" s="18"/>
      <c r="HU7" s="18"/>
      <c r="HV7" s="18"/>
      <c r="HW7" s="18"/>
      <c r="HX7" s="18"/>
      <c r="HY7" s="18"/>
      <c r="HZ7" s="18"/>
      <c r="IA7" s="18"/>
      <c r="IB7" s="18"/>
      <c r="IC7" s="18"/>
      <c r="ID7" s="18"/>
      <c r="IE7" s="18"/>
      <c r="IF7" s="7" t="str">
        <f t="shared" si="82"/>
        <v/>
      </c>
      <c r="IG7" s="7" t="str">
        <f t="shared" si="83"/>
        <v/>
      </c>
      <c r="IH7" s="7" t="str">
        <f t="shared" si="84"/>
        <v/>
      </c>
      <c r="II7" s="7" t="str">
        <f t="shared" si="85"/>
        <v/>
      </c>
      <c r="IJ7" s="7" t="str">
        <f t="shared" si="86"/>
        <v/>
      </c>
      <c r="IK7" s="7" t="str">
        <f t="shared" si="87"/>
        <v/>
      </c>
      <c r="IL7" s="7" t="str">
        <f t="shared" si="88"/>
        <v/>
      </c>
      <c r="IM7" s="19"/>
      <c r="IN7" s="19"/>
      <c r="IO7" s="19"/>
      <c r="IP7" s="19"/>
      <c r="IQ7" s="19"/>
      <c r="IR7" s="19"/>
      <c r="IS7" s="19"/>
      <c r="IT7" s="19"/>
      <c r="IU7" s="19"/>
      <c r="IV7" s="19"/>
      <c r="IW7" s="19"/>
      <c r="IX7" s="19"/>
      <c r="IY7" s="19"/>
      <c r="IZ7" s="19"/>
      <c r="JA7" s="19"/>
      <c r="JB7" s="9" t="str">
        <f t="shared" si="89"/>
        <v/>
      </c>
      <c r="JC7" s="9" t="str">
        <f t="shared" si="90"/>
        <v/>
      </c>
      <c r="JD7" s="9" t="str">
        <f t="shared" si="91"/>
        <v/>
      </c>
      <c r="JE7" s="9" t="str">
        <f t="shared" si="92"/>
        <v/>
      </c>
      <c r="JF7" s="9" t="str">
        <f t="shared" si="93"/>
        <v/>
      </c>
      <c r="JG7" s="9" t="str">
        <f t="shared" si="94"/>
        <v/>
      </c>
      <c r="JH7" s="9" t="str">
        <f t="shared" si="95"/>
        <v/>
      </c>
      <c r="JI7" s="18"/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7" t="str">
        <f t="shared" si="96"/>
        <v/>
      </c>
      <c r="JY7" s="7" t="str">
        <f t="shared" si="97"/>
        <v/>
      </c>
      <c r="JZ7" s="7" t="str">
        <f t="shared" si="98"/>
        <v/>
      </c>
      <c r="KA7" s="7" t="str">
        <f t="shared" si="99"/>
        <v/>
      </c>
      <c r="KB7" s="7" t="str">
        <f t="shared" si="100"/>
        <v/>
      </c>
      <c r="KC7" s="7" t="str">
        <f t="shared" si="101"/>
        <v/>
      </c>
      <c r="KD7" s="7" t="str">
        <f t="shared" si="102"/>
        <v/>
      </c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9"/>
      <c r="KR7" s="19"/>
      <c r="KS7" s="19"/>
      <c r="KT7" s="9" t="str">
        <f t="shared" si="103"/>
        <v/>
      </c>
      <c r="KU7" s="9" t="str">
        <f t="shared" si="104"/>
        <v/>
      </c>
      <c r="KV7" s="9" t="str">
        <f t="shared" si="105"/>
        <v/>
      </c>
      <c r="KW7" s="9" t="str">
        <f t="shared" si="106"/>
        <v/>
      </c>
      <c r="KX7" s="9" t="str">
        <f t="shared" si="107"/>
        <v/>
      </c>
      <c r="KY7" s="9" t="str">
        <f t="shared" si="108"/>
        <v/>
      </c>
      <c r="KZ7" s="9" t="str">
        <f t="shared" si="109"/>
        <v/>
      </c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7" t="str">
        <f t="shared" si="110"/>
        <v/>
      </c>
      <c r="LQ7" s="7" t="str">
        <f t="shared" si="111"/>
        <v/>
      </c>
      <c r="LR7" s="7" t="str">
        <f t="shared" si="112"/>
        <v/>
      </c>
      <c r="LS7" s="7" t="str">
        <f t="shared" si="113"/>
        <v/>
      </c>
      <c r="LT7" s="7" t="str">
        <f t="shared" si="114"/>
        <v/>
      </c>
      <c r="LU7" s="7" t="str">
        <f t="shared" si="115"/>
        <v/>
      </c>
      <c r="LV7" s="7" t="str">
        <f t="shared" si="116"/>
        <v/>
      </c>
      <c r="LW7" s="19"/>
      <c r="LX7" s="19"/>
      <c r="LY7" s="19"/>
      <c r="LZ7" s="19"/>
      <c r="MA7" s="19"/>
      <c r="MB7" s="19"/>
      <c r="MC7" s="19"/>
      <c r="MD7" s="19"/>
      <c r="ME7" s="19"/>
      <c r="MF7" s="19"/>
      <c r="MG7" s="19"/>
      <c r="MH7" s="19"/>
      <c r="MI7" s="19"/>
      <c r="MJ7" s="19"/>
      <c r="MK7" s="19"/>
      <c r="ML7" s="9" t="str">
        <f t="shared" si="117"/>
        <v/>
      </c>
      <c r="MM7" s="9" t="str">
        <f t="shared" si="118"/>
        <v/>
      </c>
      <c r="MN7" s="9" t="str">
        <f t="shared" si="119"/>
        <v/>
      </c>
      <c r="MO7" s="9" t="str">
        <f t="shared" si="120"/>
        <v/>
      </c>
      <c r="MP7" s="9" t="str">
        <f t="shared" si="121"/>
        <v/>
      </c>
      <c r="MQ7" s="9" t="str">
        <f t="shared" si="122"/>
        <v/>
      </c>
      <c r="MR7" s="9" t="str">
        <f t="shared" si="123"/>
        <v/>
      </c>
      <c r="MS7" s="27">
        <f t="shared" si="124"/>
        <v>16.149999999999999</v>
      </c>
      <c r="MT7" s="27">
        <f t="shared" si="125"/>
        <v>9.3000000000000007</v>
      </c>
      <c r="MU7" s="27">
        <f t="shared" si="126"/>
        <v>0</v>
      </c>
      <c r="MV7" s="27">
        <f t="shared" si="127"/>
        <v>14.42</v>
      </c>
      <c r="MW7" s="27">
        <f t="shared" si="128"/>
        <v>0</v>
      </c>
      <c r="MX7" s="27">
        <f t="shared" si="129"/>
        <v>13.3</v>
      </c>
      <c r="MY7" s="27">
        <f t="shared" si="130"/>
        <v>9</v>
      </c>
      <c r="MZ7" s="27">
        <f t="shared" si="131"/>
        <v>11.25</v>
      </c>
      <c r="NA7" s="27">
        <f t="shared" si="132"/>
        <v>14.234999999999999</v>
      </c>
      <c r="NB7" s="27">
        <f t="shared" si="133"/>
        <v>0</v>
      </c>
      <c r="NC7" s="27">
        <f t="shared" si="134"/>
        <v>15.1</v>
      </c>
      <c r="ND7" s="27">
        <f t="shared" si="135"/>
        <v>9.1499999999999986</v>
      </c>
      <c r="NE7" s="27">
        <f t="shared" si="136"/>
        <v>11.25</v>
      </c>
      <c r="NF7" s="27">
        <f t="shared" si="137"/>
        <v>14.455</v>
      </c>
      <c r="NG7" s="27">
        <f t="shared" si="138"/>
        <v>0</v>
      </c>
      <c r="NH7" s="32" t="s">
        <v>44</v>
      </c>
      <c r="NI7" s="7">
        <f t="shared" si="139"/>
        <v>39.869999999999997</v>
      </c>
      <c r="NJ7" s="7">
        <f t="shared" si="140"/>
        <v>11.25</v>
      </c>
      <c r="NK7" s="7">
        <f t="shared" si="141"/>
        <v>47.784999999999997</v>
      </c>
      <c r="NL7" s="7">
        <f t="shared" si="142"/>
        <v>87.655000000000001</v>
      </c>
      <c r="NM7" s="7">
        <f t="shared" si="143"/>
        <v>11.25</v>
      </c>
      <c r="NN7" s="7">
        <f t="shared" si="144"/>
        <v>49.954999999999998</v>
      </c>
      <c r="NO7" s="7">
        <f t="shared" si="145"/>
        <v>137.61000000000001</v>
      </c>
    </row>
    <row r="8" spans="1:379" x14ac:dyDescent="0.2">
      <c r="A8" s="4" t="str" cm="1">
        <f t="array" ref="A8">IF(AND(H8&lt;&gt;"",H8&lt;&gt;"No DD"),SUMPRODUCT((H$4:H$15&lt;&gt;"")*(H$4:H$15&lt;&gt;"No DD")*(E$4:E$15&gt;E8))+1,IF(H8="No DD",SUMPRODUCT((H$4:H$15="No DD")*(E$4:E$15&gt;E8))+1+SUMPRODUCT((H$4:H$15&lt;&gt;"")*(H$4:H$15&lt;&gt;"No DD")),""))</f>
        <v/>
      </c>
      <c r="B8" s="5" t="s">
        <v>84</v>
      </c>
      <c r="C8" s="4" t="s">
        <v>64</v>
      </c>
      <c r="D8" s="4">
        <v>2009</v>
      </c>
      <c r="E8" s="10">
        <f t="shared" si="0"/>
        <v>214.68</v>
      </c>
      <c r="F8" s="3" t="str">
        <f t="shared" si="1"/>
        <v/>
      </c>
      <c r="G8" s="3" t="str">
        <f t="shared" si="2"/>
        <v/>
      </c>
      <c r="H8" s="47" t="str">
        <f t="shared" si="3"/>
        <v/>
      </c>
      <c r="I8" s="9">
        <f t="shared" si="4"/>
        <v>90.22</v>
      </c>
      <c r="J8" s="9" t="str">
        <f t="shared" si="5"/>
        <v>2025 Nationals</v>
      </c>
      <c r="K8" s="9">
        <f t="shared" si="6"/>
        <v>40.97</v>
      </c>
      <c r="L8" s="9" t="str">
        <f t="shared" si="7"/>
        <v>2025 3rd Domestic Trial</v>
      </c>
      <c r="M8" s="9">
        <f t="shared" si="8"/>
        <v>48.42</v>
      </c>
      <c r="N8" s="9" t="str">
        <f t="shared" si="9"/>
        <v>2025 Elite Canada</v>
      </c>
      <c r="O8" s="9">
        <f t="shared" si="10"/>
        <v>35.07</v>
      </c>
      <c r="P8" s="9" t="str">
        <f t="shared" si="11"/>
        <v>2025 3rd Domestic Trial</v>
      </c>
      <c r="Q8" s="9" t="str">
        <f t="shared" si="12"/>
        <v/>
      </c>
      <c r="R8" s="14" t="str">
        <f t="shared" si="13"/>
        <v/>
      </c>
      <c r="S8" s="9" t="str">
        <f t="shared" si="14"/>
        <v/>
      </c>
      <c r="T8" s="27">
        <v>15.8</v>
      </c>
      <c r="U8" s="27">
        <v>9.4</v>
      </c>
      <c r="V8" s="27">
        <v>0</v>
      </c>
      <c r="W8" s="27">
        <v>14.76</v>
      </c>
      <c r="X8" s="27">
        <v>0</v>
      </c>
      <c r="Y8" s="27">
        <v>13.4</v>
      </c>
      <c r="Z8" s="27">
        <v>9.1999999999999993</v>
      </c>
      <c r="AA8" s="27">
        <v>11</v>
      </c>
      <c r="AB8" s="27">
        <v>14.82</v>
      </c>
      <c r="AC8" s="27">
        <v>0</v>
      </c>
      <c r="AD8" s="27">
        <v>5</v>
      </c>
      <c r="AE8" s="27">
        <v>3.5</v>
      </c>
      <c r="AF8" s="27">
        <v>4.8</v>
      </c>
      <c r="AG8" s="27">
        <v>6.44</v>
      </c>
      <c r="AH8" s="27">
        <v>0</v>
      </c>
      <c r="AI8" s="32"/>
      <c r="AJ8" s="7">
        <f t="shared" si="15"/>
        <v>39.96</v>
      </c>
      <c r="AK8" s="7">
        <f t="shared" si="16"/>
        <v>11</v>
      </c>
      <c r="AL8" s="7">
        <f t="shared" si="17"/>
        <v>48.42</v>
      </c>
      <c r="AM8" s="7">
        <f t="shared" si="18"/>
        <v>88.38</v>
      </c>
      <c r="AN8" s="7">
        <f t="shared" si="19"/>
        <v>4.8</v>
      </c>
      <c r="AO8" s="7">
        <f t="shared" si="20"/>
        <v>19.740000000000002</v>
      </c>
      <c r="AP8" s="7">
        <f t="shared" si="21"/>
        <v>108.12</v>
      </c>
      <c r="AQ8" s="23">
        <v>17</v>
      </c>
      <c r="AR8" s="23">
        <v>9.5</v>
      </c>
      <c r="AS8" s="23">
        <v>0</v>
      </c>
      <c r="AT8" s="23">
        <v>15.02</v>
      </c>
      <c r="AU8" s="23">
        <v>0</v>
      </c>
      <c r="AV8" s="23">
        <v>13</v>
      </c>
      <c r="AW8" s="23">
        <v>9.1</v>
      </c>
      <c r="AX8" s="23">
        <v>11.2</v>
      </c>
      <c r="AY8" s="23">
        <v>15.4</v>
      </c>
      <c r="AZ8" s="23">
        <v>0</v>
      </c>
      <c r="BA8" s="23">
        <v>1.6</v>
      </c>
      <c r="BB8" s="23">
        <v>1</v>
      </c>
      <c r="BC8" s="23">
        <v>1.7</v>
      </c>
      <c r="BD8" s="23">
        <v>1.69</v>
      </c>
      <c r="BE8" s="23">
        <v>0</v>
      </c>
      <c r="BF8" s="33"/>
      <c r="BG8" s="9">
        <f t="shared" si="22"/>
        <v>41.519999999999996</v>
      </c>
      <c r="BH8" s="9">
        <f t="shared" si="23"/>
        <v>11.2</v>
      </c>
      <c r="BI8" s="9">
        <f t="shared" si="24"/>
        <v>48.699999999999996</v>
      </c>
      <c r="BJ8" s="9">
        <f t="shared" si="25"/>
        <v>90.22</v>
      </c>
      <c r="BK8" s="9">
        <f t="shared" si="26"/>
        <v>1.7</v>
      </c>
      <c r="BL8" s="9">
        <f t="shared" si="27"/>
        <v>5.99</v>
      </c>
      <c r="BM8" s="9">
        <f t="shared" si="28"/>
        <v>96.21</v>
      </c>
      <c r="BN8" s="27">
        <v>16.8</v>
      </c>
      <c r="BO8" s="27">
        <v>8.9</v>
      </c>
      <c r="BP8" s="27">
        <v>0</v>
      </c>
      <c r="BQ8" s="27">
        <v>15.27</v>
      </c>
      <c r="BR8" s="27">
        <v>0</v>
      </c>
      <c r="BS8" s="27">
        <v>12.7</v>
      </c>
      <c r="BT8" s="27">
        <v>8.3000000000000007</v>
      </c>
      <c r="BU8" s="27">
        <v>12.5</v>
      </c>
      <c r="BV8" s="27">
        <v>14.75</v>
      </c>
      <c r="BW8" s="27">
        <v>0</v>
      </c>
      <c r="BX8" s="27">
        <v>9.3000000000000007</v>
      </c>
      <c r="BY8" s="27">
        <v>5.6</v>
      </c>
      <c r="BZ8" s="27">
        <v>8.8000000000000007</v>
      </c>
      <c r="CA8" s="27">
        <v>11.37</v>
      </c>
      <c r="CB8" s="27">
        <v>0</v>
      </c>
      <c r="CC8" s="32"/>
      <c r="CD8" s="7">
        <f t="shared" si="29"/>
        <v>40.97</v>
      </c>
      <c r="CE8" s="7">
        <f t="shared" si="30"/>
        <v>12.5</v>
      </c>
      <c r="CF8" s="7">
        <f t="shared" si="31"/>
        <v>48.25</v>
      </c>
      <c r="CG8" s="7">
        <f t="shared" si="32"/>
        <v>89.22</v>
      </c>
      <c r="CH8" s="7">
        <f t="shared" si="33"/>
        <v>8.8000000000000007</v>
      </c>
      <c r="CI8" s="7">
        <f t="shared" si="34"/>
        <v>35.07</v>
      </c>
      <c r="CJ8" s="7">
        <f t="shared" si="35"/>
        <v>124.28999999999999</v>
      </c>
      <c r="CK8" s="13" t="str">
        <f t="shared" si="36"/>
        <v/>
      </c>
      <c r="CL8" s="13" t="str">
        <f t="shared" si="37"/>
        <v/>
      </c>
      <c r="CM8" s="13" t="str">
        <f t="shared" si="38"/>
        <v/>
      </c>
      <c r="CN8" s="13" t="str">
        <f t="shared" si="39"/>
        <v/>
      </c>
      <c r="CO8" s="18">
        <v>15.6</v>
      </c>
      <c r="CP8" s="18">
        <v>9</v>
      </c>
      <c r="CQ8" s="18">
        <v>0</v>
      </c>
      <c r="CR8" s="18">
        <v>15.87</v>
      </c>
      <c r="CS8" s="18">
        <v>0</v>
      </c>
      <c r="CT8" s="18">
        <v>12.2</v>
      </c>
      <c r="CU8" s="18">
        <v>8.9</v>
      </c>
      <c r="CV8" s="18">
        <v>9.3000000000000007</v>
      </c>
      <c r="CW8" s="18">
        <v>15.4</v>
      </c>
      <c r="CX8" s="18">
        <v>0.2</v>
      </c>
      <c r="CY8" s="18"/>
      <c r="CZ8" s="18"/>
      <c r="DA8" s="18"/>
      <c r="DB8" s="18"/>
      <c r="DC8" s="18"/>
      <c r="DD8" s="7">
        <f t="shared" si="40"/>
        <v>9.3000000000000007</v>
      </c>
      <c r="DE8" s="7">
        <f t="shared" si="41"/>
        <v>40.47</v>
      </c>
      <c r="DF8" s="7">
        <f t="shared" si="42"/>
        <v>45.6</v>
      </c>
      <c r="DG8" s="7">
        <f t="shared" si="43"/>
        <v>86.07</v>
      </c>
      <c r="DH8" s="7" t="str">
        <f t="shared" si="44"/>
        <v/>
      </c>
      <c r="DI8" s="7" t="str">
        <f t="shared" si="45"/>
        <v/>
      </c>
      <c r="DJ8" s="7">
        <f t="shared" si="46"/>
        <v>86.07</v>
      </c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  <c r="DZ8" s="9" t="str">
        <f t="shared" si="47"/>
        <v/>
      </c>
      <c r="EA8" s="9" t="str">
        <f t="shared" si="48"/>
        <v/>
      </c>
      <c r="EB8" s="9" t="str">
        <f t="shared" si="49"/>
        <v/>
      </c>
      <c r="EC8" s="9" t="str">
        <f t="shared" si="50"/>
        <v/>
      </c>
      <c r="ED8" s="9" t="str">
        <f t="shared" si="51"/>
        <v/>
      </c>
      <c r="EE8" s="9" t="str">
        <f t="shared" si="52"/>
        <v/>
      </c>
      <c r="EF8" s="9" t="str">
        <f t="shared" si="53"/>
        <v/>
      </c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7" t="str">
        <f t="shared" si="54"/>
        <v/>
      </c>
      <c r="EW8" s="7" t="str">
        <f t="shared" si="55"/>
        <v/>
      </c>
      <c r="EX8" s="7" t="str">
        <f t="shared" si="56"/>
        <v/>
      </c>
      <c r="EY8" s="7" t="str">
        <f t="shared" si="57"/>
        <v/>
      </c>
      <c r="EZ8" s="7" t="str">
        <f t="shared" si="58"/>
        <v/>
      </c>
      <c r="FA8" s="7" t="str">
        <f t="shared" si="59"/>
        <v/>
      </c>
      <c r="FB8" s="7" t="str">
        <f t="shared" si="60"/>
        <v/>
      </c>
      <c r="FC8" s="19"/>
      <c r="FD8" s="19"/>
      <c r="FE8" s="19"/>
      <c r="FF8" s="19"/>
      <c r="FG8" s="19"/>
      <c r="FH8" s="19"/>
      <c r="FI8" s="19"/>
      <c r="FJ8" s="19"/>
      <c r="FK8" s="19"/>
      <c r="FL8" s="19"/>
      <c r="FM8" s="19"/>
      <c r="FN8" s="19"/>
      <c r="FO8" s="19"/>
      <c r="FP8" s="19"/>
      <c r="FQ8" s="19"/>
      <c r="FR8" s="9" t="str">
        <f t="shared" si="61"/>
        <v/>
      </c>
      <c r="FS8" s="9" t="str">
        <f t="shared" si="62"/>
        <v/>
      </c>
      <c r="FT8" s="9" t="str">
        <f t="shared" si="63"/>
        <v/>
      </c>
      <c r="FU8" s="9" t="str">
        <f t="shared" si="64"/>
        <v/>
      </c>
      <c r="FV8" s="9" t="str">
        <f t="shared" si="65"/>
        <v/>
      </c>
      <c r="FW8" s="9" t="str">
        <f t="shared" si="66"/>
        <v/>
      </c>
      <c r="FX8" s="9" t="str">
        <f t="shared" si="67"/>
        <v/>
      </c>
      <c r="FY8" s="18"/>
      <c r="FZ8" s="18"/>
      <c r="GA8" s="18"/>
      <c r="GB8" s="18"/>
      <c r="GC8" s="18"/>
      <c r="GD8" s="18"/>
      <c r="GE8" s="18"/>
      <c r="GF8" s="18"/>
      <c r="GG8" s="18"/>
      <c r="GH8" s="18"/>
      <c r="GI8" s="18"/>
      <c r="GJ8" s="18"/>
      <c r="GK8" s="18"/>
      <c r="GL8" s="18"/>
      <c r="GM8" s="18"/>
      <c r="GN8" s="7" t="str">
        <f t="shared" si="68"/>
        <v/>
      </c>
      <c r="GO8" s="7" t="str">
        <f t="shared" si="69"/>
        <v/>
      </c>
      <c r="GP8" s="7" t="str">
        <f t="shared" si="70"/>
        <v/>
      </c>
      <c r="GQ8" s="7" t="str">
        <f t="shared" si="71"/>
        <v/>
      </c>
      <c r="GR8" s="7" t="str">
        <f t="shared" si="72"/>
        <v/>
      </c>
      <c r="GS8" s="7" t="str">
        <f t="shared" si="73"/>
        <v/>
      </c>
      <c r="GT8" s="7" t="str">
        <f t="shared" si="74"/>
        <v/>
      </c>
      <c r="GU8" s="19"/>
      <c r="GV8" s="19"/>
      <c r="GW8" s="19"/>
      <c r="GX8" s="19"/>
      <c r="GY8" s="19"/>
      <c r="GZ8" s="19"/>
      <c r="HA8" s="19"/>
      <c r="HB8" s="19"/>
      <c r="HC8" s="19"/>
      <c r="HD8" s="19"/>
      <c r="HE8" s="19"/>
      <c r="HF8" s="19"/>
      <c r="HG8" s="19"/>
      <c r="HH8" s="19"/>
      <c r="HI8" s="19"/>
      <c r="HJ8" s="9" t="str">
        <f t="shared" si="75"/>
        <v/>
      </c>
      <c r="HK8" s="9" t="str">
        <f t="shared" si="76"/>
        <v/>
      </c>
      <c r="HL8" s="9" t="str">
        <f t="shared" si="77"/>
        <v/>
      </c>
      <c r="HM8" s="9" t="str">
        <f t="shared" si="78"/>
        <v/>
      </c>
      <c r="HN8" s="9" t="str">
        <f t="shared" si="79"/>
        <v/>
      </c>
      <c r="HO8" s="9" t="str">
        <f t="shared" si="80"/>
        <v/>
      </c>
      <c r="HP8" s="9" t="str">
        <f t="shared" si="81"/>
        <v/>
      </c>
      <c r="HQ8" s="18"/>
      <c r="HR8" s="18"/>
      <c r="HS8" s="18"/>
      <c r="HT8" s="18"/>
      <c r="HU8" s="18"/>
      <c r="HV8" s="18"/>
      <c r="HW8" s="18"/>
      <c r="HX8" s="18"/>
      <c r="HY8" s="18"/>
      <c r="HZ8" s="18"/>
      <c r="IA8" s="18"/>
      <c r="IB8" s="18"/>
      <c r="IC8" s="18"/>
      <c r="ID8" s="18"/>
      <c r="IE8" s="18"/>
      <c r="IF8" s="7" t="str">
        <f t="shared" si="82"/>
        <v/>
      </c>
      <c r="IG8" s="7" t="str">
        <f t="shared" si="83"/>
        <v/>
      </c>
      <c r="IH8" s="7" t="str">
        <f t="shared" si="84"/>
        <v/>
      </c>
      <c r="II8" s="7" t="str">
        <f t="shared" si="85"/>
        <v/>
      </c>
      <c r="IJ8" s="7" t="str">
        <f t="shared" si="86"/>
        <v/>
      </c>
      <c r="IK8" s="7" t="str">
        <f t="shared" si="87"/>
        <v/>
      </c>
      <c r="IL8" s="7" t="str">
        <f t="shared" si="88"/>
        <v/>
      </c>
      <c r="IM8" s="19"/>
      <c r="IN8" s="19"/>
      <c r="IO8" s="19"/>
      <c r="IP8" s="19"/>
      <c r="IQ8" s="19"/>
      <c r="IR8" s="19"/>
      <c r="IS8" s="19"/>
      <c r="IT8" s="19"/>
      <c r="IU8" s="19"/>
      <c r="IV8" s="19"/>
      <c r="IW8" s="19"/>
      <c r="IX8" s="19"/>
      <c r="IY8" s="19"/>
      <c r="IZ8" s="19"/>
      <c r="JA8" s="19"/>
      <c r="JB8" s="9" t="str">
        <f t="shared" si="89"/>
        <v/>
      </c>
      <c r="JC8" s="9" t="str">
        <f t="shared" si="90"/>
        <v/>
      </c>
      <c r="JD8" s="9" t="str">
        <f t="shared" si="91"/>
        <v/>
      </c>
      <c r="JE8" s="9" t="str">
        <f t="shared" si="92"/>
        <v/>
      </c>
      <c r="JF8" s="9" t="str">
        <f t="shared" si="93"/>
        <v/>
      </c>
      <c r="JG8" s="9" t="str">
        <f t="shared" si="94"/>
        <v/>
      </c>
      <c r="JH8" s="9" t="str">
        <f t="shared" si="95"/>
        <v/>
      </c>
      <c r="JI8" s="18"/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7" t="str">
        <f t="shared" si="96"/>
        <v/>
      </c>
      <c r="JY8" s="7" t="str">
        <f t="shared" si="97"/>
        <v/>
      </c>
      <c r="JZ8" s="7" t="str">
        <f t="shared" si="98"/>
        <v/>
      </c>
      <c r="KA8" s="7" t="str">
        <f t="shared" si="99"/>
        <v/>
      </c>
      <c r="KB8" s="7" t="str">
        <f t="shared" si="100"/>
        <v/>
      </c>
      <c r="KC8" s="7" t="str">
        <f t="shared" si="101"/>
        <v/>
      </c>
      <c r="KD8" s="7" t="str">
        <f t="shared" si="102"/>
        <v/>
      </c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9"/>
      <c r="KR8" s="19"/>
      <c r="KS8" s="19"/>
      <c r="KT8" s="9" t="str">
        <f t="shared" si="103"/>
        <v/>
      </c>
      <c r="KU8" s="9" t="str">
        <f t="shared" si="104"/>
        <v/>
      </c>
      <c r="KV8" s="9" t="str">
        <f t="shared" si="105"/>
        <v/>
      </c>
      <c r="KW8" s="9" t="str">
        <f t="shared" si="106"/>
        <v/>
      </c>
      <c r="KX8" s="9" t="str">
        <f t="shared" si="107"/>
        <v/>
      </c>
      <c r="KY8" s="9" t="str">
        <f t="shared" si="108"/>
        <v/>
      </c>
      <c r="KZ8" s="9" t="str">
        <f t="shared" si="109"/>
        <v/>
      </c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7" t="str">
        <f t="shared" si="110"/>
        <v/>
      </c>
      <c r="LQ8" s="7" t="str">
        <f t="shared" si="111"/>
        <v/>
      </c>
      <c r="LR8" s="7" t="str">
        <f t="shared" si="112"/>
        <v/>
      </c>
      <c r="LS8" s="7" t="str">
        <f t="shared" si="113"/>
        <v/>
      </c>
      <c r="LT8" s="7" t="str">
        <f t="shared" si="114"/>
        <v/>
      </c>
      <c r="LU8" s="7" t="str">
        <f t="shared" si="115"/>
        <v/>
      </c>
      <c r="LV8" s="7" t="str">
        <f t="shared" si="116"/>
        <v/>
      </c>
      <c r="LW8" s="19"/>
      <c r="LX8" s="19"/>
      <c r="LY8" s="19"/>
      <c r="LZ8" s="19"/>
      <c r="MA8" s="19"/>
      <c r="MB8" s="19"/>
      <c r="MC8" s="19"/>
      <c r="MD8" s="19"/>
      <c r="ME8" s="19"/>
      <c r="MF8" s="19"/>
      <c r="MG8" s="19"/>
      <c r="MH8" s="19"/>
      <c r="MI8" s="19"/>
      <c r="MJ8" s="19"/>
      <c r="MK8" s="19"/>
      <c r="ML8" s="9" t="str">
        <f t="shared" si="117"/>
        <v/>
      </c>
      <c r="MM8" s="9" t="str">
        <f t="shared" si="118"/>
        <v/>
      </c>
      <c r="MN8" s="9" t="str">
        <f t="shared" si="119"/>
        <v/>
      </c>
      <c r="MO8" s="9" t="str">
        <f t="shared" si="120"/>
        <v/>
      </c>
      <c r="MP8" s="9" t="str">
        <f t="shared" si="121"/>
        <v/>
      </c>
      <c r="MQ8" s="9" t="str">
        <f t="shared" si="122"/>
        <v/>
      </c>
      <c r="MR8" s="9" t="str">
        <f t="shared" si="123"/>
        <v/>
      </c>
      <c r="MS8" s="27">
        <f t="shared" si="124"/>
        <v>16.899999999999999</v>
      </c>
      <c r="MT8" s="27">
        <f t="shared" si="125"/>
        <v>9.1999999999999993</v>
      </c>
      <c r="MU8" s="27">
        <f t="shared" si="126"/>
        <v>0</v>
      </c>
      <c r="MV8" s="27">
        <f t="shared" si="127"/>
        <v>15.145</v>
      </c>
      <c r="MW8" s="27">
        <f t="shared" si="128"/>
        <v>0</v>
      </c>
      <c r="MX8" s="27">
        <f t="shared" si="129"/>
        <v>12.85</v>
      </c>
      <c r="MY8" s="27">
        <f t="shared" si="130"/>
        <v>8.6999999999999993</v>
      </c>
      <c r="MZ8" s="27">
        <f t="shared" si="131"/>
        <v>11.85</v>
      </c>
      <c r="NA8" s="27">
        <f t="shared" si="132"/>
        <v>15.074999999999999</v>
      </c>
      <c r="NB8" s="27">
        <f t="shared" si="133"/>
        <v>0</v>
      </c>
      <c r="NC8" s="27">
        <f t="shared" si="134"/>
        <v>5.45</v>
      </c>
      <c r="ND8" s="27">
        <f t="shared" si="135"/>
        <v>3.3</v>
      </c>
      <c r="NE8" s="27">
        <f t="shared" si="136"/>
        <v>5.25</v>
      </c>
      <c r="NF8" s="27">
        <f t="shared" si="137"/>
        <v>6.5299999999999994</v>
      </c>
      <c r="NG8" s="27">
        <f t="shared" si="138"/>
        <v>0</v>
      </c>
      <c r="NH8" s="32" t="s">
        <v>44</v>
      </c>
      <c r="NI8" s="7">
        <f t="shared" si="139"/>
        <v>41.244999999999997</v>
      </c>
      <c r="NJ8" s="7">
        <f t="shared" si="140"/>
        <v>11.85</v>
      </c>
      <c r="NK8" s="7">
        <f t="shared" si="141"/>
        <v>48.474999999999994</v>
      </c>
      <c r="NL8" s="7">
        <f t="shared" si="142"/>
        <v>89.72</v>
      </c>
      <c r="NM8" s="7">
        <f t="shared" si="143"/>
        <v>5.25</v>
      </c>
      <c r="NN8" s="7">
        <f t="shared" si="144"/>
        <v>20.53</v>
      </c>
      <c r="NO8" s="7">
        <f t="shared" ref="NO8:NO13" si="146">IF(SUM(NL8,NN8)&gt;0,SUM(NL8,NN8),"")</f>
        <v>110.25</v>
      </c>
    </row>
    <row r="9" spans="1:379" x14ac:dyDescent="0.2">
      <c r="A9" s="4" t="str" cm="1">
        <f t="array" ref="A9">IF(AND(H9&lt;&gt;"",H9&lt;&gt;"No DD"),SUMPRODUCT((H$4:H$15&lt;&gt;"")*(H$4:H$15&lt;&gt;"No DD")*(E$4:E$15&gt;E9))+1,IF(H9="No DD",SUMPRODUCT((H$4:H$15="No DD")*(E$4:E$15&gt;E9))+1+SUMPRODUCT((H$4:H$15&lt;&gt;"")*(H$4:H$15&lt;&gt;"No DD")),""))</f>
        <v/>
      </c>
      <c r="B9" s="5" t="s">
        <v>103</v>
      </c>
      <c r="C9" s="4" t="s">
        <v>105</v>
      </c>
      <c r="D9" s="4">
        <v>2010</v>
      </c>
      <c r="E9" s="10">
        <f t="shared" si="0"/>
        <v>210.22</v>
      </c>
      <c r="F9" s="3" t="str">
        <f t="shared" si="1"/>
        <v/>
      </c>
      <c r="G9" s="3" t="str">
        <f t="shared" si="2"/>
        <v/>
      </c>
      <c r="H9" s="47" t="str">
        <f t="shared" si="3"/>
        <v/>
      </c>
      <c r="I9" s="9">
        <f t="shared" si="4"/>
        <v>85.64</v>
      </c>
      <c r="J9" s="9" t="str">
        <f t="shared" si="5"/>
        <v>2025 Nationals</v>
      </c>
      <c r="K9" s="9">
        <f t="shared" si="6"/>
        <v>38.36</v>
      </c>
      <c r="L9" s="9" t="str">
        <f t="shared" si="7"/>
        <v>2025 3rd Domestic Trial</v>
      </c>
      <c r="M9" s="9">
        <f t="shared" si="8"/>
        <v>40.200000000000003</v>
      </c>
      <c r="N9" s="9" t="str">
        <f t="shared" si="9"/>
        <v>2025 3rd Domestic Trial</v>
      </c>
      <c r="O9" s="9">
        <f t="shared" si="10"/>
        <v>46.02</v>
      </c>
      <c r="P9" s="9" t="str">
        <f t="shared" si="11"/>
        <v>2025 Nationals</v>
      </c>
      <c r="Q9" s="9" t="str">
        <f t="shared" si="12"/>
        <v/>
      </c>
      <c r="R9" s="14" t="str">
        <f t="shared" si="13"/>
        <v/>
      </c>
      <c r="S9" s="9" t="str">
        <f t="shared" si="14"/>
        <v/>
      </c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32"/>
      <c r="AJ9" s="7" t="str">
        <f t="shared" si="15"/>
        <v/>
      </c>
      <c r="AK9" s="7" t="str">
        <f t="shared" si="16"/>
        <v/>
      </c>
      <c r="AL9" s="7" t="str">
        <f t="shared" si="17"/>
        <v/>
      </c>
      <c r="AM9" s="7" t="str">
        <f t="shared" si="18"/>
        <v/>
      </c>
      <c r="AN9" s="7" t="str">
        <f t="shared" si="19"/>
        <v/>
      </c>
      <c r="AO9" s="7" t="str">
        <f t="shared" si="20"/>
        <v/>
      </c>
      <c r="AP9" s="7" t="str">
        <f t="shared" si="21"/>
        <v/>
      </c>
      <c r="AQ9" s="23">
        <v>15.1</v>
      </c>
      <c r="AR9" s="23">
        <v>9.1999999999999993</v>
      </c>
      <c r="AS9" s="23">
        <v>0</v>
      </c>
      <c r="AT9" s="23">
        <v>14.09</v>
      </c>
      <c r="AU9" s="23">
        <v>0</v>
      </c>
      <c r="AV9" s="23">
        <v>12.4</v>
      </c>
      <c r="AW9" s="23">
        <v>9.1999999999999993</v>
      </c>
      <c r="AX9" s="23">
        <v>12.5</v>
      </c>
      <c r="AY9" s="23">
        <v>13.15</v>
      </c>
      <c r="AZ9" s="23">
        <v>0</v>
      </c>
      <c r="BA9" s="23">
        <v>13.1</v>
      </c>
      <c r="BB9" s="23">
        <v>8.6</v>
      </c>
      <c r="BC9" s="23">
        <v>11</v>
      </c>
      <c r="BD9" s="23">
        <v>13.32</v>
      </c>
      <c r="BE9" s="23">
        <v>0</v>
      </c>
      <c r="BF9" s="33"/>
      <c r="BG9" s="9">
        <f t="shared" si="22"/>
        <v>38.39</v>
      </c>
      <c r="BH9" s="9">
        <f t="shared" si="23"/>
        <v>12.5</v>
      </c>
      <c r="BI9" s="9">
        <f t="shared" si="24"/>
        <v>47.25</v>
      </c>
      <c r="BJ9" s="9">
        <f t="shared" si="25"/>
        <v>85.64</v>
      </c>
      <c r="BK9" s="9">
        <f t="shared" si="26"/>
        <v>11</v>
      </c>
      <c r="BL9" s="9">
        <f t="shared" si="27"/>
        <v>46.02</v>
      </c>
      <c r="BM9" s="9">
        <f t="shared" si="28"/>
        <v>131.66</v>
      </c>
      <c r="BN9" s="27">
        <v>15</v>
      </c>
      <c r="BO9" s="27">
        <v>9.4</v>
      </c>
      <c r="BP9" s="27">
        <v>0</v>
      </c>
      <c r="BQ9" s="27">
        <v>13.96</v>
      </c>
      <c r="BR9" s="27">
        <v>0</v>
      </c>
      <c r="BS9" s="27">
        <v>13</v>
      </c>
      <c r="BT9" s="27">
        <v>9.1</v>
      </c>
      <c r="BU9" s="27">
        <v>7.6</v>
      </c>
      <c r="BV9" s="27">
        <v>13</v>
      </c>
      <c r="BW9" s="27">
        <v>2.5</v>
      </c>
      <c r="BX9" s="27">
        <v>1.1000000000000001</v>
      </c>
      <c r="BY9" s="27">
        <v>0.9</v>
      </c>
      <c r="BZ9" s="27">
        <v>1.3</v>
      </c>
      <c r="CA9" s="27">
        <v>1.44</v>
      </c>
      <c r="CB9" s="27">
        <v>0</v>
      </c>
      <c r="CC9" s="32"/>
      <c r="CD9" s="7">
        <f t="shared" si="29"/>
        <v>38.36</v>
      </c>
      <c r="CE9" s="7">
        <f t="shared" si="30"/>
        <v>7.6</v>
      </c>
      <c r="CF9" s="7">
        <f t="shared" si="31"/>
        <v>40.200000000000003</v>
      </c>
      <c r="CG9" s="7">
        <f t="shared" si="32"/>
        <v>78.56</v>
      </c>
      <c r="CH9" s="7">
        <f t="shared" si="33"/>
        <v>1.3</v>
      </c>
      <c r="CI9" s="7">
        <f t="shared" si="34"/>
        <v>4.74</v>
      </c>
      <c r="CJ9" s="7">
        <f t="shared" si="35"/>
        <v>83.3</v>
      </c>
      <c r="CK9" s="13" t="str">
        <f t="shared" si="36"/>
        <v/>
      </c>
      <c r="CL9" s="13" t="str">
        <f t="shared" si="37"/>
        <v/>
      </c>
      <c r="CM9" s="13" t="str">
        <f t="shared" si="38"/>
        <v/>
      </c>
      <c r="CN9" s="13" t="str">
        <f t="shared" si="39"/>
        <v/>
      </c>
      <c r="CO9" s="18"/>
      <c r="CP9" s="18"/>
      <c r="CQ9" s="18"/>
      <c r="CR9" s="18"/>
      <c r="CS9" s="18"/>
      <c r="CT9" s="18"/>
      <c r="CU9" s="18"/>
      <c r="CV9" s="18"/>
      <c r="CW9" s="18"/>
      <c r="CX9" s="18"/>
      <c r="CY9" s="18"/>
      <c r="CZ9" s="18"/>
      <c r="DA9" s="18"/>
      <c r="DB9" s="18"/>
      <c r="DC9" s="18"/>
      <c r="DD9" s="7" t="str">
        <f t="shared" si="40"/>
        <v/>
      </c>
      <c r="DE9" s="7" t="str">
        <f t="shared" si="41"/>
        <v/>
      </c>
      <c r="DF9" s="7" t="str">
        <f t="shared" si="42"/>
        <v/>
      </c>
      <c r="DG9" s="7" t="str">
        <f t="shared" si="43"/>
        <v/>
      </c>
      <c r="DH9" s="7" t="str">
        <f t="shared" si="44"/>
        <v/>
      </c>
      <c r="DI9" s="7" t="str">
        <f t="shared" si="45"/>
        <v/>
      </c>
      <c r="DJ9" s="7" t="str">
        <f t="shared" si="46"/>
        <v/>
      </c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  <c r="DZ9" s="9" t="str">
        <f t="shared" si="47"/>
        <v/>
      </c>
      <c r="EA9" s="9" t="str">
        <f t="shared" si="48"/>
        <v/>
      </c>
      <c r="EB9" s="9" t="str">
        <f t="shared" si="49"/>
        <v/>
      </c>
      <c r="EC9" s="9" t="str">
        <f t="shared" si="50"/>
        <v/>
      </c>
      <c r="ED9" s="9" t="str">
        <f t="shared" si="51"/>
        <v/>
      </c>
      <c r="EE9" s="9" t="str">
        <f t="shared" si="52"/>
        <v/>
      </c>
      <c r="EF9" s="9" t="str">
        <f t="shared" si="53"/>
        <v/>
      </c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7" t="str">
        <f t="shared" si="54"/>
        <v/>
      </c>
      <c r="EW9" s="7" t="str">
        <f t="shared" si="55"/>
        <v/>
      </c>
      <c r="EX9" s="7" t="str">
        <f t="shared" si="56"/>
        <v/>
      </c>
      <c r="EY9" s="7" t="str">
        <f t="shared" si="57"/>
        <v/>
      </c>
      <c r="EZ9" s="7" t="str">
        <f t="shared" si="58"/>
        <v/>
      </c>
      <c r="FA9" s="7" t="str">
        <f t="shared" si="59"/>
        <v/>
      </c>
      <c r="FB9" s="7" t="str">
        <f t="shared" si="60"/>
        <v/>
      </c>
      <c r="FC9" s="19"/>
      <c r="FD9" s="19"/>
      <c r="FE9" s="19"/>
      <c r="FF9" s="19"/>
      <c r="FG9" s="19"/>
      <c r="FH9" s="19"/>
      <c r="FI9" s="19"/>
      <c r="FJ9" s="19"/>
      <c r="FK9" s="19"/>
      <c r="FL9" s="19"/>
      <c r="FM9" s="19"/>
      <c r="FN9" s="19"/>
      <c r="FO9" s="19"/>
      <c r="FP9" s="19"/>
      <c r="FQ9" s="19"/>
      <c r="FR9" s="9" t="str">
        <f t="shared" si="61"/>
        <v/>
      </c>
      <c r="FS9" s="9" t="str">
        <f t="shared" si="62"/>
        <v/>
      </c>
      <c r="FT9" s="9" t="str">
        <f t="shared" si="63"/>
        <v/>
      </c>
      <c r="FU9" s="9" t="str">
        <f t="shared" si="64"/>
        <v/>
      </c>
      <c r="FV9" s="9" t="str">
        <f t="shared" si="65"/>
        <v/>
      </c>
      <c r="FW9" s="9" t="str">
        <f t="shared" si="66"/>
        <v/>
      </c>
      <c r="FX9" s="9" t="str">
        <f t="shared" si="67"/>
        <v/>
      </c>
      <c r="FY9" s="18"/>
      <c r="FZ9" s="18"/>
      <c r="GA9" s="18"/>
      <c r="GB9" s="18"/>
      <c r="GC9" s="18"/>
      <c r="GD9" s="18"/>
      <c r="GE9" s="18"/>
      <c r="GF9" s="18"/>
      <c r="GG9" s="18"/>
      <c r="GH9" s="18"/>
      <c r="GI9" s="18"/>
      <c r="GJ9" s="18"/>
      <c r="GK9" s="18"/>
      <c r="GL9" s="18"/>
      <c r="GM9" s="18"/>
      <c r="GN9" s="7" t="str">
        <f t="shared" si="68"/>
        <v/>
      </c>
      <c r="GO9" s="7" t="str">
        <f t="shared" si="69"/>
        <v/>
      </c>
      <c r="GP9" s="7" t="str">
        <f t="shared" si="70"/>
        <v/>
      </c>
      <c r="GQ9" s="7" t="str">
        <f t="shared" si="71"/>
        <v/>
      </c>
      <c r="GR9" s="7" t="str">
        <f t="shared" si="72"/>
        <v/>
      </c>
      <c r="GS9" s="7" t="str">
        <f t="shared" si="73"/>
        <v/>
      </c>
      <c r="GT9" s="7" t="str">
        <f t="shared" si="74"/>
        <v/>
      </c>
      <c r="GU9" s="19"/>
      <c r="GV9" s="19"/>
      <c r="GW9" s="19"/>
      <c r="GX9" s="19"/>
      <c r="GY9" s="19"/>
      <c r="GZ9" s="19"/>
      <c r="HA9" s="19"/>
      <c r="HB9" s="19"/>
      <c r="HC9" s="19"/>
      <c r="HD9" s="19"/>
      <c r="HE9" s="19"/>
      <c r="HF9" s="19"/>
      <c r="HG9" s="19"/>
      <c r="HH9" s="19"/>
      <c r="HI9" s="19"/>
      <c r="HJ9" s="9" t="str">
        <f t="shared" si="75"/>
        <v/>
      </c>
      <c r="HK9" s="9" t="str">
        <f t="shared" si="76"/>
        <v/>
      </c>
      <c r="HL9" s="9" t="str">
        <f t="shared" si="77"/>
        <v/>
      </c>
      <c r="HM9" s="9" t="str">
        <f t="shared" si="78"/>
        <v/>
      </c>
      <c r="HN9" s="9" t="str">
        <f t="shared" si="79"/>
        <v/>
      </c>
      <c r="HO9" s="9" t="str">
        <f t="shared" si="80"/>
        <v/>
      </c>
      <c r="HP9" s="9" t="str">
        <f t="shared" si="81"/>
        <v/>
      </c>
      <c r="HQ9" s="18"/>
      <c r="HR9" s="18"/>
      <c r="HS9" s="18"/>
      <c r="HT9" s="18"/>
      <c r="HU9" s="18"/>
      <c r="HV9" s="18"/>
      <c r="HW9" s="18"/>
      <c r="HX9" s="18"/>
      <c r="HY9" s="18"/>
      <c r="HZ9" s="18"/>
      <c r="IA9" s="18"/>
      <c r="IB9" s="18"/>
      <c r="IC9" s="18"/>
      <c r="ID9" s="18"/>
      <c r="IE9" s="18"/>
      <c r="IF9" s="7" t="str">
        <f t="shared" si="82"/>
        <v/>
      </c>
      <c r="IG9" s="7" t="str">
        <f t="shared" si="83"/>
        <v/>
      </c>
      <c r="IH9" s="7" t="str">
        <f t="shared" si="84"/>
        <v/>
      </c>
      <c r="II9" s="7" t="str">
        <f t="shared" si="85"/>
        <v/>
      </c>
      <c r="IJ9" s="7" t="str">
        <f t="shared" si="86"/>
        <v/>
      </c>
      <c r="IK9" s="7" t="str">
        <f t="shared" si="87"/>
        <v/>
      </c>
      <c r="IL9" s="7" t="str">
        <f t="shared" si="88"/>
        <v/>
      </c>
      <c r="IM9" s="19"/>
      <c r="IN9" s="19"/>
      <c r="IO9" s="19"/>
      <c r="IP9" s="19"/>
      <c r="IQ9" s="19"/>
      <c r="IR9" s="19"/>
      <c r="IS9" s="19"/>
      <c r="IT9" s="19"/>
      <c r="IU9" s="19"/>
      <c r="IV9" s="19"/>
      <c r="IW9" s="19"/>
      <c r="IX9" s="19"/>
      <c r="IY9" s="19"/>
      <c r="IZ9" s="19"/>
      <c r="JA9" s="19"/>
      <c r="JB9" s="9" t="str">
        <f t="shared" si="89"/>
        <v/>
      </c>
      <c r="JC9" s="9" t="str">
        <f t="shared" si="90"/>
        <v/>
      </c>
      <c r="JD9" s="9" t="str">
        <f t="shared" si="91"/>
        <v/>
      </c>
      <c r="JE9" s="9" t="str">
        <f t="shared" si="92"/>
        <v/>
      </c>
      <c r="JF9" s="9" t="str">
        <f t="shared" si="93"/>
        <v/>
      </c>
      <c r="JG9" s="9" t="str">
        <f t="shared" si="94"/>
        <v/>
      </c>
      <c r="JH9" s="9" t="str">
        <f t="shared" si="95"/>
        <v/>
      </c>
      <c r="JI9" s="18"/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7" t="str">
        <f t="shared" si="96"/>
        <v/>
      </c>
      <c r="JY9" s="7" t="str">
        <f t="shared" si="97"/>
        <v/>
      </c>
      <c r="JZ9" s="7" t="str">
        <f t="shared" si="98"/>
        <v/>
      </c>
      <c r="KA9" s="7" t="str">
        <f t="shared" si="99"/>
        <v/>
      </c>
      <c r="KB9" s="7" t="str">
        <f t="shared" si="100"/>
        <v/>
      </c>
      <c r="KC9" s="7" t="str">
        <f t="shared" si="101"/>
        <v/>
      </c>
      <c r="KD9" s="7" t="str">
        <f t="shared" si="102"/>
        <v/>
      </c>
      <c r="KE9" s="19"/>
      <c r="KF9" s="19"/>
      <c r="KG9" s="19"/>
      <c r="KH9" s="19"/>
      <c r="KI9" s="19"/>
      <c r="KJ9" s="19"/>
      <c r="KK9" s="19"/>
      <c r="KL9" s="19"/>
      <c r="KM9" s="19"/>
      <c r="KN9" s="19"/>
      <c r="KO9" s="19"/>
      <c r="KP9" s="19"/>
      <c r="KQ9" s="19"/>
      <c r="KR9" s="19"/>
      <c r="KS9" s="19"/>
      <c r="KT9" s="9" t="str">
        <f t="shared" si="103"/>
        <v/>
      </c>
      <c r="KU9" s="9" t="str">
        <f t="shared" si="104"/>
        <v/>
      </c>
      <c r="KV9" s="9" t="str">
        <f t="shared" si="105"/>
        <v/>
      </c>
      <c r="KW9" s="9" t="str">
        <f t="shared" si="106"/>
        <v/>
      </c>
      <c r="KX9" s="9" t="str">
        <f t="shared" si="107"/>
        <v/>
      </c>
      <c r="KY9" s="9" t="str">
        <f t="shared" si="108"/>
        <v/>
      </c>
      <c r="KZ9" s="9" t="str">
        <f t="shared" si="109"/>
        <v/>
      </c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7" t="str">
        <f t="shared" si="110"/>
        <v/>
      </c>
      <c r="LQ9" s="7" t="str">
        <f t="shared" si="111"/>
        <v/>
      </c>
      <c r="LR9" s="7" t="str">
        <f t="shared" si="112"/>
        <v/>
      </c>
      <c r="LS9" s="7" t="str">
        <f t="shared" si="113"/>
        <v/>
      </c>
      <c r="LT9" s="7" t="str">
        <f t="shared" si="114"/>
        <v/>
      </c>
      <c r="LU9" s="7" t="str">
        <f t="shared" si="115"/>
        <v/>
      </c>
      <c r="LV9" s="7" t="str">
        <f t="shared" si="116"/>
        <v/>
      </c>
      <c r="LW9" s="19"/>
      <c r="LX9" s="19"/>
      <c r="LY9" s="19"/>
      <c r="LZ9" s="19"/>
      <c r="MA9" s="19"/>
      <c r="MB9" s="19"/>
      <c r="MC9" s="19"/>
      <c r="MD9" s="19"/>
      <c r="ME9" s="19"/>
      <c r="MF9" s="19"/>
      <c r="MG9" s="19"/>
      <c r="MH9" s="19"/>
      <c r="MI9" s="19"/>
      <c r="MJ9" s="19"/>
      <c r="MK9" s="19"/>
      <c r="ML9" s="9" t="str">
        <f t="shared" si="117"/>
        <v/>
      </c>
      <c r="MM9" s="9" t="str">
        <f t="shared" si="118"/>
        <v/>
      </c>
      <c r="MN9" s="9" t="str">
        <f t="shared" si="119"/>
        <v/>
      </c>
      <c r="MO9" s="9" t="str">
        <f t="shared" si="120"/>
        <v/>
      </c>
      <c r="MP9" s="9" t="str">
        <f t="shared" si="121"/>
        <v/>
      </c>
      <c r="MQ9" s="9" t="str">
        <f t="shared" si="122"/>
        <v/>
      </c>
      <c r="MR9" s="9" t="str">
        <f t="shared" si="123"/>
        <v/>
      </c>
      <c r="MS9" s="27">
        <f t="shared" si="124"/>
        <v>15.05</v>
      </c>
      <c r="MT9" s="27">
        <f t="shared" si="125"/>
        <v>9.3000000000000007</v>
      </c>
      <c r="MU9" s="27">
        <f t="shared" si="126"/>
        <v>0</v>
      </c>
      <c r="MV9" s="27">
        <f t="shared" si="127"/>
        <v>14.025</v>
      </c>
      <c r="MW9" s="27">
        <f t="shared" si="128"/>
        <v>0</v>
      </c>
      <c r="MX9" s="27">
        <f t="shared" si="129"/>
        <v>12.7</v>
      </c>
      <c r="MY9" s="27">
        <f t="shared" si="130"/>
        <v>9.1499999999999986</v>
      </c>
      <c r="MZ9" s="27">
        <f t="shared" si="131"/>
        <v>10.050000000000001</v>
      </c>
      <c r="NA9" s="27">
        <f t="shared" si="132"/>
        <v>13.074999999999999</v>
      </c>
      <c r="NB9" s="27">
        <f t="shared" si="133"/>
        <v>1.25</v>
      </c>
      <c r="NC9" s="27">
        <f t="shared" si="134"/>
        <v>7.1</v>
      </c>
      <c r="ND9" s="27">
        <f t="shared" si="135"/>
        <v>4.75</v>
      </c>
      <c r="NE9" s="27">
        <f t="shared" si="136"/>
        <v>6.15</v>
      </c>
      <c r="NF9" s="27">
        <f t="shared" si="137"/>
        <v>7.38</v>
      </c>
      <c r="NG9" s="27">
        <f t="shared" si="138"/>
        <v>0</v>
      </c>
      <c r="NH9" s="32" t="s">
        <v>44</v>
      </c>
      <c r="NI9" s="7">
        <f t="shared" si="139"/>
        <v>38.375</v>
      </c>
      <c r="NJ9" s="7">
        <f t="shared" si="140"/>
        <v>10.050000000000001</v>
      </c>
      <c r="NK9" s="7">
        <f t="shared" si="141"/>
        <v>43.724999999999994</v>
      </c>
      <c r="NL9" s="7">
        <f t="shared" si="142"/>
        <v>82.1</v>
      </c>
      <c r="NM9" s="7">
        <f t="shared" si="143"/>
        <v>6.15</v>
      </c>
      <c r="NN9" s="7">
        <f t="shared" si="144"/>
        <v>25.38</v>
      </c>
      <c r="NO9" s="7">
        <f t="shared" si="146"/>
        <v>107.47999999999999</v>
      </c>
    </row>
    <row r="10" spans="1:379" x14ac:dyDescent="0.2">
      <c r="A10" s="4" t="str" cm="1">
        <f t="array" ref="A10">IF(AND(H10&lt;&gt;"",H10&lt;&gt;"No DD"),SUMPRODUCT((H$4:H$15&lt;&gt;"")*(H$4:H$15&lt;&gt;"No DD")*(E$4:E$15&gt;E10))+1,IF(H10="No DD",SUMPRODUCT((H$4:H$15="No DD")*(E$4:E$15&gt;E10))+1+SUMPRODUCT((H$4:H$15&lt;&gt;"")*(H$4:H$15&lt;&gt;"No DD")),""))</f>
        <v/>
      </c>
      <c r="B10" s="5" t="s">
        <v>101</v>
      </c>
      <c r="C10" s="4" t="s">
        <v>62</v>
      </c>
      <c r="D10" s="4">
        <v>2010</v>
      </c>
      <c r="E10" s="10">
        <f t="shared" si="0"/>
        <v>188.49</v>
      </c>
      <c r="F10" s="3" t="str">
        <f t="shared" si="1"/>
        <v/>
      </c>
      <c r="G10" s="3" t="str">
        <f t="shared" si="2"/>
        <v/>
      </c>
      <c r="H10" s="47" t="str">
        <f t="shared" si="3"/>
        <v/>
      </c>
      <c r="I10" s="9">
        <f t="shared" si="4"/>
        <v>89.62</v>
      </c>
      <c r="J10" s="9" t="str">
        <f t="shared" si="5"/>
        <v>2025 Nationals</v>
      </c>
      <c r="K10" s="9">
        <f t="shared" si="6"/>
        <v>0</v>
      </c>
      <c r="L10" s="9" t="str">
        <f t="shared" si="7"/>
        <v/>
      </c>
      <c r="M10" s="9">
        <f t="shared" si="8"/>
        <v>0</v>
      </c>
      <c r="N10" s="9" t="str">
        <f t="shared" si="9"/>
        <v/>
      </c>
      <c r="O10" s="9">
        <f t="shared" si="10"/>
        <v>49.040000000000006</v>
      </c>
      <c r="P10" s="9" t="str">
        <f t="shared" si="11"/>
        <v>2025 Nationals</v>
      </c>
      <c r="Q10" s="9">
        <f t="shared" si="12"/>
        <v>49.83</v>
      </c>
      <c r="R10" s="14" t="str">
        <f t="shared" si="13"/>
        <v>(Vol 2)</v>
      </c>
      <c r="S10" s="9" t="str">
        <f t="shared" si="14"/>
        <v>2025 WAGC (Nov 16)</v>
      </c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32"/>
      <c r="AJ10" s="7" t="str">
        <f t="shared" si="15"/>
        <v/>
      </c>
      <c r="AK10" s="7" t="str">
        <f t="shared" si="16"/>
        <v/>
      </c>
      <c r="AL10" s="7" t="str">
        <f t="shared" si="17"/>
        <v/>
      </c>
      <c r="AM10" s="7" t="str">
        <f t="shared" si="18"/>
        <v/>
      </c>
      <c r="AN10" s="7" t="str">
        <f t="shared" si="19"/>
        <v/>
      </c>
      <c r="AO10" s="7" t="str">
        <f t="shared" si="20"/>
        <v/>
      </c>
      <c r="AP10" s="7" t="str">
        <f t="shared" si="21"/>
        <v/>
      </c>
      <c r="AQ10" s="23">
        <v>16.8</v>
      </c>
      <c r="AR10" s="23">
        <v>9.5</v>
      </c>
      <c r="AS10" s="23">
        <v>0</v>
      </c>
      <c r="AT10" s="23">
        <v>14.95</v>
      </c>
      <c r="AU10" s="23">
        <v>0</v>
      </c>
      <c r="AV10" s="23">
        <v>12.7</v>
      </c>
      <c r="AW10" s="23">
        <v>9.1</v>
      </c>
      <c r="AX10" s="23">
        <v>12</v>
      </c>
      <c r="AY10" s="23">
        <v>14.57</v>
      </c>
      <c r="AZ10" s="23">
        <v>0</v>
      </c>
      <c r="BA10" s="23">
        <v>13.5</v>
      </c>
      <c r="BB10" s="23">
        <v>9.1999999999999993</v>
      </c>
      <c r="BC10" s="23">
        <v>12</v>
      </c>
      <c r="BD10" s="23">
        <v>14.34</v>
      </c>
      <c r="BE10" s="23">
        <v>0</v>
      </c>
      <c r="BF10" s="33"/>
      <c r="BG10" s="9">
        <f t="shared" si="22"/>
        <v>41.25</v>
      </c>
      <c r="BH10" s="9">
        <f t="shared" si="23"/>
        <v>12</v>
      </c>
      <c r="BI10" s="9">
        <f t="shared" si="24"/>
        <v>48.37</v>
      </c>
      <c r="BJ10" s="9">
        <f t="shared" si="25"/>
        <v>89.62</v>
      </c>
      <c r="BK10" s="9">
        <f t="shared" si="26"/>
        <v>12</v>
      </c>
      <c r="BL10" s="9">
        <f t="shared" si="27"/>
        <v>49.040000000000006</v>
      </c>
      <c r="BM10" s="9">
        <f t="shared" si="28"/>
        <v>138.66000000000003</v>
      </c>
      <c r="BN10" s="27"/>
      <c r="BO10" s="27"/>
      <c r="BP10" s="27"/>
      <c r="BQ10" s="27"/>
      <c r="BR10" s="27"/>
      <c r="BS10" s="27"/>
      <c r="BT10" s="27"/>
      <c r="BU10" s="27"/>
      <c r="BV10" s="27"/>
      <c r="BW10" s="27"/>
      <c r="BX10" s="27"/>
      <c r="BY10" s="27"/>
      <c r="BZ10" s="27"/>
      <c r="CA10" s="27"/>
      <c r="CB10" s="27"/>
      <c r="CC10" s="32"/>
      <c r="CD10" s="7" t="str">
        <f t="shared" si="29"/>
        <v/>
      </c>
      <c r="CE10" s="7" t="str">
        <f t="shared" si="30"/>
        <v/>
      </c>
      <c r="CF10" s="7" t="str">
        <f t="shared" si="31"/>
        <v/>
      </c>
      <c r="CG10" s="7" t="str">
        <f t="shared" si="32"/>
        <v/>
      </c>
      <c r="CH10" s="7" t="str">
        <f t="shared" si="33"/>
        <v/>
      </c>
      <c r="CI10" s="7" t="str">
        <f t="shared" si="34"/>
        <v/>
      </c>
      <c r="CJ10" s="7" t="str">
        <f t="shared" si="35"/>
        <v/>
      </c>
      <c r="CK10" s="13">
        <f t="shared" si="36"/>
        <v>39.090000000000003</v>
      </c>
      <c r="CL10" s="13">
        <f t="shared" si="37"/>
        <v>49.83</v>
      </c>
      <c r="CM10" s="13" t="str">
        <f t="shared" si="38"/>
        <v/>
      </c>
      <c r="CN10" s="13" t="str">
        <f t="shared" si="39"/>
        <v/>
      </c>
      <c r="CO10" s="18">
        <v>13.7</v>
      </c>
      <c r="CP10" s="18">
        <v>9.1999999999999993</v>
      </c>
      <c r="CQ10" s="18">
        <v>0</v>
      </c>
      <c r="CR10" s="18">
        <v>16.190000000000001</v>
      </c>
      <c r="CS10" s="18">
        <v>0</v>
      </c>
      <c r="CT10" s="18">
        <v>11.2</v>
      </c>
      <c r="CU10" s="18">
        <v>9.4</v>
      </c>
      <c r="CV10" s="18">
        <v>14</v>
      </c>
      <c r="CW10" s="18">
        <v>15.23</v>
      </c>
      <c r="CX10" s="18">
        <v>0</v>
      </c>
      <c r="CY10" s="18"/>
      <c r="CZ10" s="18"/>
      <c r="DA10" s="18"/>
      <c r="DB10" s="18"/>
      <c r="DC10" s="18"/>
      <c r="DD10" s="7">
        <f t="shared" si="40"/>
        <v>14</v>
      </c>
      <c r="DE10" s="7">
        <f t="shared" si="41"/>
        <v>39.090000000000003</v>
      </c>
      <c r="DF10" s="7">
        <f t="shared" si="42"/>
        <v>49.83</v>
      </c>
      <c r="DG10" s="7">
        <f t="shared" si="43"/>
        <v>88.92</v>
      </c>
      <c r="DH10" s="7" t="str">
        <f t="shared" si="44"/>
        <v/>
      </c>
      <c r="DI10" s="7" t="str">
        <f t="shared" si="45"/>
        <v/>
      </c>
      <c r="DJ10" s="7">
        <f t="shared" si="46"/>
        <v>88.92</v>
      </c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9" t="str">
        <f t="shared" si="47"/>
        <v/>
      </c>
      <c r="EA10" s="9" t="str">
        <f t="shared" si="48"/>
        <v/>
      </c>
      <c r="EB10" s="9" t="str">
        <f t="shared" si="49"/>
        <v/>
      </c>
      <c r="EC10" s="9" t="str">
        <f t="shared" si="50"/>
        <v/>
      </c>
      <c r="ED10" s="9" t="str">
        <f t="shared" si="51"/>
        <v/>
      </c>
      <c r="EE10" s="9" t="str">
        <f t="shared" si="52"/>
        <v/>
      </c>
      <c r="EF10" s="9" t="str">
        <f t="shared" si="53"/>
        <v/>
      </c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7" t="str">
        <f t="shared" si="54"/>
        <v/>
      </c>
      <c r="EW10" s="7" t="str">
        <f t="shared" si="55"/>
        <v/>
      </c>
      <c r="EX10" s="7" t="str">
        <f t="shared" si="56"/>
        <v/>
      </c>
      <c r="EY10" s="7" t="str">
        <f t="shared" si="57"/>
        <v/>
      </c>
      <c r="EZ10" s="7" t="str">
        <f t="shared" si="58"/>
        <v/>
      </c>
      <c r="FA10" s="7" t="str">
        <f t="shared" si="59"/>
        <v/>
      </c>
      <c r="FB10" s="7" t="str">
        <f t="shared" si="60"/>
        <v/>
      </c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9" t="str">
        <f t="shared" si="61"/>
        <v/>
      </c>
      <c r="FS10" s="9" t="str">
        <f t="shared" si="62"/>
        <v/>
      </c>
      <c r="FT10" s="9" t="str">
        <f t="shared" si="63"/>
        <v/>
      </c>
      <c r="FU10" s="9" t="str">
        <f t="shared" si="64"/>
        <v/>
      </c>
      <c r="FV10" s="9" t="str">
        <f t="shared" si="65"/>
        <v/>
      </c>
      <c r="FW10" s="9" t="str">
        <f t="shared" si="66"/>
        <v/>
      </c>
      <c r="FX10" s="9" t="str">
        <f t="shared" si="67"/>
        <v/>
      </c>
      <c r="FY10" s="18"/>
      <c r="FZ10" s="18"/>
      <c r="GA10" s="18"/>
      <c r="GB10" s="18"/>
      <c r="GC10" s="18"/>
      <c r="GD10" s="18"/>
      <c r="GE10" s="18"/>
      <c r="GF10" s="18"/>
      <c r="GG10" s="18"/>
      <c r="GH10" s="18"/>
      <c r="GI10" s="18"/>
      <c r="GJ10" s="18"/>
      <c r="GK10" s="18"/>
      <c r="GL10" s="18"/>
      <c r="GM10" s="18"/>
      <c r="GN10" s="7" t="str">
        <f t="shared" si="68"/>
        <v/>
      </c>
      <c r="GO10" s="7" t="str">
        <f t="shared" si="69"/>
        <v/>
      </c>
      <c r="GP10" s="7" t="str">
        <f t="shared" si="70"/>
        <v/>
      </c>
      <c r="GQ10" s="7" t="str">
        <f t="shared" si="71"/>
        <v/>
      </c>
      <c r="GR10" s="7" t="str">
        <f t="shared" si="72"/>
        <v/>
      </c>
      <c r="GS10" s="7" t="str">
        <f t="shared" si="73"/>
        <v/>
      </c>
      <c r="GT10" s="7" t="str">
        <f t="shared" si="74"/>
        <v/>
      </c>
      <c r="GU10" s="19"/>
      <c r="GV10" s="19"/>
      <c r="GW10" s="19"/>
      <c r="GX10" s="19"/>
      <c r="GY10" s="19"/>
      <c r="GZ10" s="19"/>
      <c r="HA10" s="19"/>
      <c r="HB10" s="19"/>
      <c r="HC10" s="19"/>
      <c r="HD10" s="19"/>
      <c r="HE10" s="19"/>
      <c r="HF10" s="19"/>
      <c r="HG10" s="19"/>
      <c r="HH10" s="19"/>
      <c r="HI10" s="19"/>
      <c r="HJ10" s="9" t="str">
        <f t="shared" si="75"/>
        <v/>
      </c>
      <c r="HK10" s="9" t="str">
        <f t="shared" si="76"/>
        <v/>
      </c>
      <c r="HL10" s="9" t="str">
        <f t="shared" si="77"/>
        <v/>
      </c>
      <c r="HM10" s="9" t="str">
        <f t="shared" si="78"/>
        <v/>
      </c>
      <c r="HN10" s="9" t="str">
        <f t="shared" si="79"/>
        <v/>
      </c>
      <c r="HO10" s="9" t="str">
        <f t="shared" si="80"/>
        <v/>
      </c>
      <c r="HP10" s="9" t="str">
        <f t="shared" si="81"/>
        <v/>
      </c>
      <c r="HQ10" s="18"/>
      <c r="HR10" s="18"/>
      <c r="HS10" s="18"/>
      <c r="HT10" s="18"/>
      <c r="HU10" s="18"/>
      <c r="HV10" s="18"/>
      <c r="HW10" s="18"/>
      <c r="HX10" s="18"/>
      <c r="HY10" s="18"/>
      <c r="HZ10" s="18"/>
      <c r="IA10" s="18"/>
      <c r="IB10" s="18"/>
      <c r="IC10" s="18"/>
      <c r="ID10" s="18"/>
      <c r="IE10" s="18"/>
      <c r="IF10" s="7" t="str">
        <f t="shared" si="82"/>
        <v/>
      </c>
      <c r="IG10" s="7" t="str">
        <f t="shared" si="83"/>
        <v/>
      </c>
      <c r="IH10" s="7" t="str">
        <f t="shared" si="84"/>
        <v/>
      </c>
      <c r="II10" s="7" t="str">
        <f t="shared" si="85"/>
        <v/>
      </c>
      <c r="IJ10" s="7" t="str">
        <f t="shared" si="86"/>
        <v/>
      </c>
      <c r="IK10" s="7" t="str">
        <f t="shared" si="87"/>
        <v/>
      </c>
      <c r="IL10" s="7" t="str">
        <f t="shared" si="88"/>
        <v/>
      </c>
      <c r="IM10" s="19"/>
      <c r="IN10" s="19"/>
      <c r="IO10" s="19"/>
      <c r="IP10" s="19"/>
      <c r="IQ10" s="19"/>
      <c r="IR10" s="19"/>
      <c r="IS10" s="19"/>
      <c r="IT10" s="19"/>
      <c r="IU10" s="19"/>
      <c r="IV10" s="19"/>
      <c r="IW10" s="19"/>
      <c r="IX10" s="19"/>
      <c r="IY10" s="19"/>
      <c r="IZ10" s="19"/>
      <c r="JA10" s="19"/>
      <c r="JB10" s="9" t="str">
        <f t="shared" si="89"/>
        <v/>
      </c>
      <c r="JC10" s="9" t="str">
        <f t="shared" si="90"/>
        <v/>
      </c>
      <c r="JD10" s="9" t="str">
        <f t="shared" si="91"/>
        <v/>
      </c>
      <c r="JE10" s="9" t="str">
        <f t="shared" si="92"/>
        <v/>
      </c>
      <c r="JF10" s="9" t="str">
        <f t="shared" si="93"/>
        <v/>
      </c>
      <c r="JG10" s="9" t="str">
        <f t="shared" si="94"/>
        <v/>
      </c>
      <c r="JH10" s="9" t="str">
        <f t="shared" si="95"/>
        <v/>
      </c>
      <c r="JI10" s="18"/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7" t="str">
        <f t="shared" si="96"/>
        <v/>
      </c>
      <c r="JY10" s="7" t="str">
        <f t="shared" si="97"/>
        <v/>
      </c>
      <c r="JZ10" s="7" t="str">
        <f t="shared" si="98"/>
        <v/>
      </c>
      <c r="KA10" s="7" t="str">
        <f t="shared" si="99"/>
        <v/>
      </c>
      <c r="KB10" s="7" t="str">
        <f t="shared" si="100"/>
        <v/>
      </c>
      <c r="KC10" s="7" t="str">
        <f t="shared" si="101"/>
        <v/>
      </c>
      <c r="KD10" s="7" t="str">
        <f t="shared" si="102"/>
        <v/>
      </c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9"/>
      <c r="KR10" s="19"/>
      <c r="KS10" s="19"/>
      <c r="KT10" s="9" t="str">
        <f t="shared" si="103"/>
        <v/>
      </c>
      <c r="KU10" s="9" t="str">
        <f t="shared" si="104"/>
        <v/>
      </c>
      <c r="KV10" s="9" t="str">
        <f t="shared" si="105"/>
        <v/>
      </c>
      <c r="KW10" s="9" t="str">
        <f t="shared" si="106"/>
        <v/>
      </c>
      <c r="KX10" s="9" t="str">
        <f t="shared" si="107"/>
        <v/>
      </c>
      <c r="KY10" s="9" t="str">
        <f t="shared" si="108"/>
        <v/>
      </c>
      <c r="KZ10" s="9" t="str">
        <f t="shared" si="109"/>
        <v/>
      </c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7" t="str">
        <f t="shared" si="110"/>
        <v/>
      </c>
      <c r="LQ10" s="7" t="str">
        <f t="shared" si="111"/>
        <v/>
      </c>
      <c r="LR10" s="7" t="str">
        <f t="shared" si="112"/>
        <v/>
      </c>
      <c r="LS10" s="7" t="str">
        <f t="shared" si="113"/>
        <v/>
      </c>
      <c r="LT10" s="7" t="str">
        <f t="shared" si="114"/>
        <v/>
      </c>
      <c r="LU10" s="7" t="str">
        <f t="shared" si="115"/>
        <v/>
      </c>
      <c r="LV10" s="7" t="str">
        <f t="shared" si="116"/>
        <v/>
      </c>
      <c r="LW10" s="19"/>
      <c r="LX10" s="19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9" t="str">
        <f t="shared" si="117"/>
        <v/>
      </c>
      <c r="MM10" s="9" t="str">
        <f t="shared" si="118"/>
        <v/>
      </c>
      <c r="MN10" s="9" t="str">
        <f t="shared" si="119"/>
        <v/>
      </c>
      <c r="MO10" s="9" t="str">
        <f t="shared" si="120"/>
        <v/>
      </c>
      <c r="MP10" s="9" t="str">
        <f t="shared" si="121"/>
        <v/>
      </c>
      <c r="MQ10" s="9" t="str">
        <f t="shared" si="122"/>
        <v/>
      </c>
      <c r="MR10" s="9" t="str">
        <f t="shared" si="123"/>
        <v/>
      </c>
      <c r="MS10" s="27">
        <f t="shared" si="124"/>
        <v>8.4</v>
      </c>
      <c r="MT10" s="27">
        <f t="shared" si="125"/>
        <v>4.75</v>
      </c>
      <c r="MU10" s="27">
        <f t="shared" si="126"/>
        <v>0</v>
      </c>
      <c r="MV10" s="27">
        <f t="shared" si="127"/>
        <v>7.4749999999999996</v>
      </c>
      <c r="MW10" s="27">
        <f t="shared" si="128"/>
        <v>0</v>
      </c>
      <c r="MX10" s="27">
        <f t="shared" si="129"/>
        <v>6.35</v>
      </c>
      <c r="MY10" s="27">
        <f t="shared" si="130"/>
        <v>4.55</v>
      </c>
      <c r="MZ10" s="27">
        <f t="shared" si="131"/>
        <v>6</v>
      </c>
      <c r="NA10" s="27">
        <f t="shared" si="132"/>
        <v>7.2850000000000001</v>
      </c>
      <c r="NB10" s="27">
        <f t="shared" si="133"/>
        <v>0</v>
      </c>
      <c r="NC10" s="27">
        <f t="shared" si="134"/>
        <v>6.75</v>
      </c>
      <c r="ND10" s="27">
        <f t="shared" si="135"/>
        <v>4.5999999999999996</v>
      </c>
      <c r="NE10" s="27">
        <f t="shared" si="136"/>
        <v>6</v>
      </c>
      <c r="NF10" s="27">
        <f t="shared" si="137"/>
        <v>7.17</v>
      </c>
      <c r="NG10" s="27">
        <f t="shared" si="138"/>
        <v>0</v>
      </c>
      <c r="NH10" s="32" t="s">
        <v>44</v>
      </c>
      <c r="NI10" s="7">
        <f t="shared" si="139"/>
        <v>20.625</v>
      </c>
      <c r="NJ10" s="7">
        <f t="shared" si="140"/>
        <v>6</v>
      </c>
      <c r="NK10" s="7">
        <f t="shared" si="141"/>
        <v>24.184999999999999</v>
      </c>
      <c r="NL10" s="7">
        <f t="shared" si="142"/>
        <v>44.81</v>
      </c>
      <c r="NM10" s="7">
        <f t="shared" si="143"/>
        <v>6</v>
      </c>
      <c r="NN10" s="7">
        <f t="shared" si="144"/>
        <v>24.520000000000003</v>
      </c>
      <c r="NO10" s="7">
        <f t="shared" si="146"/>
        <v>69.330000000000013</v>
      </c>
    </row>
    <row r="11" spans="1:379" x14ac:dyDescent="0.2">
      <c r="A11" s="4" t="str" cm="1">
        <f t="array" ref="A11">IF(AND(H11&lt;&gt;"",H11&lt;&gt;"No DD"),SUMPRODUCT((H$4:H$15&lt;&gt;"")*(H$4:H$15&lt;&gt;"No DD")*(E$4:E$15&gt;E11))+1,IF(H11="No DD",SUMPRODUCT((H$4:H$15="No DD")*(E$4:E$15&gt;E11))+1+SUMPRODUCT((H$4:H$15&lt;&gt;"")*(H$4:H$15&lt;&gt;"No DD")),""))</f>
        <v/>
      </c>
      <c r="B11" s="5" t="s">
        <v>85</v>
      </c>
      <c r="C11" s="4" t="s">
        <v>86</v>
      </c>
      <c r="D11" s="4">
        <v>2009</v>
      </c>
      <c r="E11" s="10">
        <f t="shared" si="0"/>
        <v>160.68</v>
      </c>
      <c r="F11" s="3" t="str">
        <f t="shared" si="1"/>
        <v/>
      </c>
      <c r="G11" s="3" t="str">
        <f t="shared" si="2"/>
        <v/>
      </c>
      <c r="H11" s="47" t="str">
        <f t="shared" si="3"/>
        <v/>
      </c>
      <c r="I11" s="9">
        <f t="shared" si="4"/>
        <v>57.44</v>
      </c>
      <c r="J11" s="9" t="str">
        <f t="shared" si="5"/>
        <v>2025 3rd Domestic Trial</v>
      </c>
      <c r="K11" s="9">
        <f t="shared" si="6"/>
        <v>37.89</v>
      </c>
      <c r="L11" s="9" t="str">
        <f t="shared" si="7"/>
        <v>2025 Nationals</v>
      </c>
      <c r="M11" s="9">
        <f t="shared" si="8"/>
        <v>18.63</v>
      </c>
      <c r="N11" s="9" t="str">
        <f t="shared" si="9"/>
        <v>2025 Elite Canada</v>
      </c>
      <c r="O11" s="9">
        <f t="shared" si="10"/>
        <v>46.72</v>
      </c>
      <c r="P11" s="9" t="str">
        <f t="shared" si="11"/>
        <v>2025 3rd Domestic Trial</v>
      </c>
      <c r="Q11" s="9" t="str">
        <f t="shared" si="12"/>
        <v/>
      </c>
      <c r="R11" s="14" t="str">
        <f t="shared" si="13"/>
        <v/>
      </c>
      <c r="S11" s="9" t="str">
        <f t="shared" si="14"/>
        <v/>
      </c>
      <c r="T11" s="27">
        <v>12.3</v>
      </c>
      <c r="U11" s="27">
        <v>9.1</v>
      </c>
      <c r="V11" s="27">
        <v>0</v>
      </c>
      <c r="W11" s="27">
        <v>14.78</v>
      </c>
      <c r="X11" s="27">
        <v>0</v>
      </c>
      <c r="Y11" s="27">
        <v>4.5999999999999996</v>
      </c>
      <c r="Z11" s="27">
        <v>3.3</v>
      </c>
      <c r="AA11" s="27">
        <v>5</v>
      </c>
      <c r="AB11" s="27">
        <v>5.73</v>
      </c>
      <c r="AC11" s="27">
        <v>0</v>
      </c>
      <c r="AD11" s="27"/>
      <c r="AE11" s="27"/>
      <c r="AF11" s="27"/>
      <c r="AG11" s="27"/>
      <c r="AH11" s="27"/>
      <c r="AI11" s="32"/>
      <c r="AJ11" s="7">
        <f t="shared" si="15"/>
        <v>36.18</v>
      </c>
      <c r="AK11" s="7">
        <f t="shared" si="16"/>
        <v>5</v>
      </c>
      <c r="AL11" s="7">
        <f t="shared" si="17"/>
        <v>18.63</v>
      </c>
      <c r="AM11" s="7">
        <f t="shared" si="18"/>
        <v>54.81</v>
      </c>
      <c r="AN11" s="7" t="str">
        <f t="shared" si="19"/>
        <v/>
      </c>
      <c r="AO11" s="7" t="str">
        <f t="shared" si="20"/>
        <v/>
      </c>
      <c r="AP11" s="7">
        <f t="shared" si="21"/>
        <v>54.81</v>
      </c>
      <c r="AQ11" s="23">
        <v>13.7</v>
      </c>
      <c r="AR11" s="23">
        <v>9.4</v>
      </c>
      <c r="AS11" s="23">
        <v>0</v>
      </c>
      <c r="AT11" s="23">
        <v>14.79</v>
      </c>
      <c r="AU11" s="23">
        <v>0</v>
      </c>
      <c r="AV11" s="23">
        <v>3.6</v>
      </c>
      <c r="AW11" s="23">
        <v>2.7</v>
      </c>
      <c r="AX11" s="23">
        <v>3.4</v>
      </c>
      <c r="AY11" s="23">
        <v>4.45</v>
      </c>
      <c r="AZ11" s="23">
        <v>0</v>
      </c>
      <c r="BA11" s="23">
        <v>10</v>
      </c>
      <c r="BB11" s="23">
        <v>8.8000000000000007</v>
      </c>
      <c r="BC11" s="23">
        <v>11.8</v>
      </c>
      <c r="BD11" s="23">
        <v>14.34</v>
      </c>
      <c r="BE11" s="23">
        <v>0</v>
      </c>
      <c r="BF11" s="33"/>
      <c r="BG11" s="9">
        <f t="shared" si="22"/>
        <v>37.89</v>
      </c>
      <c r="BH11" s="9">
        <f t="shared" si="23"/>
        <v>3.4</v>
      </c>
      <c r="BI11" s="9">
        <f t="shared" si="24"/>
        <v>14.150000000000002</v>
      </c>
      <c r="BJ11" s="9">
        <f t="shared" si="25"/>
        <v>52.040000000000006</v>
      </c>
      <c r="BK11" s="9">
        <f t="shared" si="26"/>
        <v>11.8</v>
      </c>
      <c r="BL11" s="9">
        <f t="shared" si="27"/>
        <v>44.94</v>
      </c>
      <c r="BM11" s="9">
        <f t="shared" si="28"/>
        <v>96.98</v>
      </c>
      <c r="BN11" s="27">
        <v>14.4</v>
      </c>
      <c r="BO11" s="27">
        <v>9.9</v>
      </c>
      <c r="BP11" s="27">
        <v>0</v>
      </c>
      <c r="BQ11" s="27">
        <v>14.98</v>
      </c>
      <c r="BR11" s="27">
        <v>0</v>
      </c>
      <c r="BS11" s="27">
        <v>4.5999999999999996</v>
      </c>
      <c r="BT11" s="27">
        <v>3.6</v>
      </c>
      <c r="BU11" s="27">
        <v>4.7</v>
      </c>
      <c r="BV11" s="27">
        <v>5.26</v>
      </c>
      <c r="BW11" s="27">
        <v>0</v>
      </c>
      <c r="BX11" s="27">
        <v>11.3</v>
      </c>
      <c r="BY11" s="27">
        <v>9.3000000000000007</v>
      </c>
      <c r="BZ11" s="27">
        <v>11.7</v>
      </c>
      <c r="CA11" s="27">
        <v>14.42</v>
      </c>
      <c r="CB11" s="27">
        <v>0</v>
      </c>
      <c r="CC11" s="32"/>
      <c r="CD11" s="7">
        <f t="shared" si="29"/>
        <v>39.28</v>
      </c>
      <c r="CE11" s="7">
        <f t="shared" si="30"/>
        <v>4.7</v>
      </c>
      <c r="CF11" s="7">
        <f t="shared" si="31"/>
        <v>18.159999999999997</v>
      </c>
      <c r="CG11" s="7">
        <f t="shared" si="32"/>
        <v>57.44</v>
      </c>
      <c r="CH11" s="7">
        <f t="shared" si="33"/>
        <v>11.7</v>
      </c>
      <c r="CI11" s="7">
        <f t="shared" si="34"/>
        <v>46.72</v>
      </c>
      <c r="CJ11" s="7">
        <f t="shared" si="35"/>
        <v>104.16</v>
      </c>
      <c r="CK11" s="13" t="str">
        <f t="shared" si="36"/>
        <v/>
      </c>
      <c r="CL11" s="13" t="str">
        <f t="shared" si="37"/>
        <v/>
      </c>
      <c r="CM11" s="13" t="str">
        <f t="shared" si="38"/>
        <v/>
      </c>
      <c r="CN11" s="13" t="str">
        <f t="shared" si="39"/>
        <v/>
      </c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7" t="str">
        <f t="shared" si="40"/>
        <v/>
      </c>
      <c r="DE11" s="7" t="str">
        <f t="shared" si="41"/>
        <v/>
      </c>
      <c r="DF11" s="7" t="str">
        <f t="shared" si="42"/>
        <v/>
      </c>
      <c r="DG11" s="7" t="str">
        <f t="shared" si="43"/>
        <v/>
      </c>
      <c r="DH11" s="7" t="str">
        <f t="shared" si="44"/>
        <v/>
      </c>
      <c r="DI11" s="7" t="str">
        <f t="shared" si="45"/>
        <v/>
      </c>
      <c r="DJ11" s="7" t="str">
        <f t="shared" si="46"/>
        <v/>
      </c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  <c r="DZ11" s="9" t="str">
        <f t="shared" si="47"/>
        <v/>
      </c>
      <c r="EA11" s="9" t="str">
        <f t="shared" si="48"/>
        <v/>
      </c>
      <c r="EB11" s="9" t="str">
        <f t="shared" si="49"/>
        <v/>
      </c>
      <c r="EC11" s="9" t="str">
        <f t="shared" si="50"/>
        <v/>
      </c>
      <c r="ED11" s="9" t="str">
        <f t="shared" si="51"/>
        <v/>
      </c>
      <c r="EE11" s="9" t="str">
        <f t="shared" si="52"/>
        <v/>
      </c>
      <c r="EF11" s="9" t="str">
        <f t="shared" si="53"/>
        <v/>
      </c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7" t="str">
        <f t="shared" si="54"/>
        <v/>
      </c>
      <c r="EW11" s="7" t="str">
        <f t="shared" si="55"/>
        <v/>
      </c>
      <c r="EX11" s="7" t="str">
        <f t="shared" si="56"/>
        <v/>
      </c>
      <c r="EY11" s="7" t="str">
        <f t="shared" si="57"/>
        <v/>
      </c>
      <c r="EZ11" s="7" t="str">
        <f t="shared" si="58"/>
        <v/>
      </c>
      <c r="FA11" s="7" t="str">
        <f t="shared" si="59"/>
        <v/>
      </c>
      <c r="FB11" s="7" t="str">
        <f t="shared" si="60"/>
        <v/>
      </c>
      <c r="FC11" s="19"/>
      <c r="FD11" s="19"/>
      <c r="FE11" s="19"/>
      <c r="FF11" s="19"/>
      <c r="FG11" s="19"/>
      <c r="FH11" s="19"/>
      <c r="FI11" s="19"/>
      <c r="FJ11" s="19"/>
      <c r="FK11" s="19"/>
      <c r="FL11" s="19"/>
      <c r="FM11" s="19"/>
      <c r="FN11" s="19"/>
      <c r="FO11" s="19"/>
      <c r="FP11" s="19"/>
      <c r="FQ11" s="19"/>
      <c r="FR11" s="9" t="str">
        <f t="shared" si="61"/>
        <v/>
      </c>
      <c r="FS11" s="9" t="str">
        <f t="shared" si="62"/>
        <v/>
      </c>
      <c r="FT11" s="9" t="str">
        <f t="shared" si="63"/>
        <v/>
      </c>
      <c r="FU11" s="9" t="str">
        <f t="shared" si="64"/>
        <v/>
      </c>
      <c r="FV11" s="9" t="str">
        <f t="shared" si="65"/>
        <v/>
      </c>
      <c r="FW11" s="9" t="str">
        <f t="shared" si="66"/>
        <v/>
      </c>
      <c r="FX11" s="9" t="str">
        <f t="shared" si="67"/>
        <v/>
      </c>
      <c r="FY11" s="18"/>
      <c r="FZ11" s="18"/>
      <c r="GA11" s="18"/>
      <c r="GB11" s="18"/>
      <c r="GC11" s="18"/>
      <c r="GD11" s="18"/>
      <c r="GE11" s="18"/>
      <c r="GF11" s="18"/>
      <c r="GG11" s="18"/>
      <c r="GH11" s="18"/>
      <c r="GI11" s="18"/>
      <c r="GJ11" s="18"/>
      <c r="GK11" s="18"/>
      <c r="GL11" s="18"/>
      <c r="GM11" s="18"/>
      <c r="GN11" s="7" t="str">
        <f t="shared" si="68"/>
        <v/>
      </c>
      <c r="GO11" s="7" t="str">
        <f t="shared" si="69"/>
        <v/>
      </c>
      <c r="GP11" s="7" t="str">
        <f t="shared" si="70"/>
        <v/>
      </c>
      <c r="GQ11" s="7" t="str">
        <f t="shared" si="71"/>
        <v/>
      </c>
      <c r="GR11" s="7" t="str">
        <f t="shared" si="72"/>
        <v/>
      </c>
      <c r="GS11" s="7" t="str">
        <f t="shared" si="73"/>
        <v/>
      </c>
      <c r="GT11" s="7" t="str">
        <f t="shared" si="74"/>
        <v/>
      </c>
      <c r="GU11" s="19"/>
      <c r="GV11" s="19"/>
      <c r="GW11" s="19"/>
      <c r="GX11" s="19"/>
      <c r="GY11" s="19"/>
      <c r="GZ11" s="19"/>
      <c r="HA11" s="19"/>
      <c r="HB11" s="19"/>
      <c r="HC11" s="19"/>
      <c r="HD11" s="19"/>
      <c r="HE11" s="19"/>
      <c r="HF11" s="19"/>
      <c r="HG11" s="19"/>
      <c r="HH11" s="19"/>
      <c r="HI11" s="19"/>
      <c r="HJ11" s="9" t="str">
        <f t="shared" si="75"/>
        <v/>
      </c>
      <c r="HK11" s="9" t="str">
        <f t="shared" si="76"/>
        <v/>
      </c>
      <c r="HL11" s="9" t="str">
        <f t="shared" si="77"/>
        <v/>
      </c>
      <c r="HM11" s="9" t="str">
        <f t="shared" si="78"/>
        <v/>
      </c>
      <c r="HN11" s="9" t="str">
        <f t="shared" si="79"/>
        <v/>
      </c>
      <c r="HO11" s="9" t="str">
        <f t="shared" si="80"/>
        <v/>
      </c>
      <c r="HP11" s="9" t="str">
        <f t="shared" si="81"/>
        <v/>
      </c>
      <c r="HQ11" s="18"/>
      <c r="HR11" s="18"/>
      <c r="HS11" s="18"/>
      <c r="HT11" s="18"/>
      <c r="HU11" s="18"/>
      <c r="HV11" s="18"/>
      <c r="HW11" s="18"/>
      <c r="HX11" s="18"/>
      <c r="HY11" s="18"/>
      <c r="HZ11" s="18"/>
      <c r="IA11" s="18"/>
      <c r="IB11" s="18"/>
      <c r="IC11" s="18"/>
      <c r="ID11" s="18"/>
      <c r="IE11" s="18"/>
      <c r="IF11" s="7" t="str">
        <f t="shared" si="82"/>
        <v/>
      </c>
      <c r="IG11" s="7" t="str">
        <f t="shared" si="83"/>
        <v/>
      </c>
      <c r="IH11" s="7" t="str">
        <f t="shared" si="84"/>
        <v/>
      </c>
      <c r="II11" s="7" t="str">
        <f t="shared" si="85"/>
        <v/>
      </c>
      <c r="IJ11" s="7" t="str">
        <f t="shared" si="86"/>
        <v/>
      </c>
      <c r="IK11" s="7" t="str">
        <f t="shared" si="87"/>
        <v/>
      </c>
      <c r="IL11" s="7" t="str">
        <f t="shared" si="88"/>
        <v/>
      </c>
      <c r="IM11" s="19"/>
      <c r="IN11" s="19"/>
      <c r="IO11" s="19"/>
      <c r="IP11" s="19"/>
      <c r="IQ11" s="19"/>
      <c r="IR11" s="19"/>
      <c r="IS11" s="19"/>
      <c r="IT11" s="19"/>
      <c r="IU11" s="19"/>
      <c r="IV11" s="19"/>
      <c r="IW11" s="19"/>
      <c r="IX11" s="19"/>
      <c r="IY11" s="19"/>
      <c r="IZ11" s="19"/>
      <c r="JA11" s="19"/>
      <c r="JB11" s="9" t="str">
        <f t="shared" si="89"/>
        <v/>
      </c>
      <c r="JC11" s="9" t="str">
        <f t="shared" si="90"/>
        <v/>
      </c>
      <c r="JD11" s="9" t="str">
        <f t="shared" si="91"/>
        <v/>
      </c>
      <c r="JE11" s="9" t="str">
        <f t="shared" si="92"/>
        <v/>
      </c>
      <c r="JF11" s="9" t="str">
        <f t="shared" si="93"/>
        <v/>
      </c>
      <c r="JG11" s="9" t="str">
        <f t="shared" si="94"/>
        <v/>
      </c>
      <c r="JH11" s="9" t="str">
        <f t="shared" si="95"/>
        <v/>
      </c>
      <c r="JI11" s="18"/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7" t="str">
        <f t="shared" si="96"/>
        <v/>
      </c>
      <c r="JY11" s="7" t="str">
        <f t="shared" si="97"/>
        <v/>
      </c>
      <c r="JZ11" s="7" t="str">
        <f t="shared" si="98"/>
        <v/>
      </c>
      <c r="KA11" s="7" t="str">
        <f t="shared" si="99"/>
        <v/>
      </c>
      <c r="KB11" s="7" t="str">
        <f t="shared" si="100"/>
        <v/>
      </c>
      <c r="KC11" s="7" t="str">
        <f t="shared" si="101"/>
        <v/>
      </c>
      <c r="KD11" s="7" t="str">
        <f t="shared" si="102"/>
        <v/>
      </c>
      <c r="KE11" s="19"/>
      <c r="KF11" s="19"/>
      <c r="KG11" s="19"/>
      <c r="KH11" s="19"/>
      <c r="KI11" s="19"/>
      <c r="KJ11" s="19"/>
      <c r="KK11" s="19"/>
      <c r="KL11" s="19"/>
      <c r="KM11" s="19"/>
      <c r="KN11" s="19"/>
      <c r="KO11" s="19"/>
      <c r="KP11" s="19"/>
      <c r="KQ11" s="19"/>
      <c r="KR11" s="19"/>
      <c r="KS11" s="19"/>
      <c r="KT11" s="9" t="str">
        <f t="shared" si="103"/>
        <v/>
      </c>
      <c r="KU11" s="9" t="str">
        <f t="shared" si="104"/>
        <v/>
      </c>
      <c r="KV11" s="9" t="str">
        <f t="shared" si="105"/>
        <v/>
      </c>
      <c r="KW11" s="9" t="str">
        <f t="shared" si="106"/>
        <v/>
      </c>
      <c r="KX11" s="9" t="str">
        <f t="shared" si="107"/>
        <v/>
      </c>
      <c r="KY11" s="9" t="str">
        <f t="shared" si="108"/>
        <v/>
      </c>
      <c r="KZ11" s="9" t="str">
        <f t="shared" si="109"/>
        <v/>
      </c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7" t="str">
        <f t="shared" si="110"/>
        <v/>
      </c>
      <c r="LQ11" s="7" t="str">
        <f t="shared" si="111"/>
        <v/>
      </c>
      <c r="LR11" s="7" t="str">
        <f t="shared" si="112"/>
        <v/>
      </c>
      <c r="LS11" s="7" t="str">
        <f t="shared" si="113"/>
        <v/>
      </c>
      <c r="LT11" s="7" t="str">
        <f t="shared" si="114"/>
        <v/>
      </c>
      <c r="LU11" s="7" t="str">
        <f t="shared" si="115"/>
        <v/>
      </c>
      <c r="LV11" s="7" t="str">
        <f t="shared" si="116"/>
        <v/>
      </c>
      <c r="LW11" s="19"/>
      <c r="LX11" s="19"/>
      <c r="LY11" s="19"/>
      <c r="LZ11" s="19"/>
      <c r="MA11" s="19"/>
      <c r="MB11" s="19"/>
      <c r="MC11" s="19"/>
      <c r="MD11" s="19"/>
      <c r="ME11" s="19"/>
      <c r="MF11" s="19"/>
      <c r="MG11" s="19"/>
      <c r="MH11" s="19"/>
      <c r="MI11" s="19"/>
      <c r="MJ11" s="19"/>
      <c r="MK11" s="19"/>
      <c r="ML11" s="9" t="str">
        <f t="shared" si="117"/>
        <v/>
      </c>
      <c r="MM11" s="9" t="str">
        <f t="shared" si="118"/>
        <v/>
      </c>
      <c r="MN11" s="9" t="str">
        <f t="shared" si="119"/>
        <v/>
      </c>
      <c r="MO11" s="9" t="str">
        <f t="shared" si="120"/>
        <v/>
      </c>
      <c r="MP11" s="9" t="str">
        <f t="shared" si="121"/>
        <v/>
      </c>
      <c r="MQ11" s="9" t="str">
        <f t="shared" si="122"/>
        <v/>
      </c>
      <c r="MR11" s="9" t="str">
        <f t="shared" si="123"/>
        <v/>
      </c>
      <c r="MS11" s="27">
        <f t="shared" si="124"/>
        <v>14.05</v>
      </c>
      <c r="MT11" s="27">
        <f t="shared" si="125"/>
        <v>9.65</v>
      </c>
      <c r="MU11" s="27">
        <f t="shared" si="126"/>
        <v>0</v>
      </c>
      <c r="MV11" s="27">
        <f t="shared" si="127"/>
        <v>14.885</v>
      </c>
      <c r="MW11" s="27">
        <f t="shared" si="128"/>
        <v>0</v>
      </c>
      <c r="MX11" s="27">
        <f t="shared" si="129"/>
        <v>4.0999999999999996</v>
      </c>
      <c r="MY11" s="27">
        <f t="shared" si="130"/>
        <v>3.1500000000000004</v>
      </c>
      <c r="MZ11" s="27">
        <f t="shared" si="131"/>
        <v>4.05</v>
      </c>
      <c r="NA11" s="27">
        <f t="shared" si="132"/>
        <v>4.8550000000000004</v>
      </c>
      <c r="NB11" s="27">
        <f t="shared" si="133"/>
        <v>0</v>
      </c>
      <c r="NC11" s="27">
        <f t="shared" si="134"/>
        <v>10.65</v>
      </c>
      <c r="ND11" s="27">
        <f t="shared" si="135"/>
        <v>9.0500000000000007</v>
      </c>
      <c r="NE11" s="27">
        <f t="shared" si="136"/>
        <v>11.75</v>
      </c>
      <c r="NF11" s="27">
        <f t="shared" si="137"/>
        <v>14.379999999999999</v>
      </c>
      <c r="NG11" s="27">
        <f t="shared" si="138"/>
        <v>0</v>
      </c>
      <c r="NH11" s="32" t="s">
        <v>44</v>
      </c>
      <c r="NI11" s="7">
        <f t="shared" si="139"/>
        <v>38.585000000000001</v>
      </c>
      <c r="NJ11" s="7">
        <f t="shared" si="140"/>
        <v>4.05</v>
      </c>
      <c r="NK11" s="7">
        <f t="shared" si="141"/>
        <v>16.155000000000001</v>
      </c>
      <c r="NL11" s="7">
        <f t="shared" si="142"/>
        <v>54.74</v>
      </c>
      <c r="NM11" s="7">
        <f t="shared" si="143"/>
        <v>11.75</v>
      </c>
      <c r="NN11" s="7">
        <f t="shared" si="144"/>
        <v>45.83</v>
      </c>
      <c r="NO11" s="7">
        <f t="shared" si="146"/>
        <v>100.57</v>
      </c>
    </row>
    <row r="12" spans="1:379" x14ac:dyDescent="0.2">
      <c r="A12" s="4" t="str" cm="1">
        <f t="array" ref="A12">IF(AND(H12&lt;&gt;"",H12&lt;&gt;"No DD"),SUMPRODUCT((H$4:H$15&lt;&gt;"")*(H$4:H$15&lt;&gt;"No DD")*(E$4:E$15&gt;E12))+1,IF(H12="No DD",SUMPRODUCT((H$4:H$15="No DD")*(E$4:E$15&gt;E12))+1+SUMPRODUCT((H$4:H$15&lt;&gt;"")*(H$4:H$15&lt;&gt;"No DD")),""))</f>
        <v/>
      </c>
      <c r="B12" s="5" t="s">
        <v>95</v>
      </c>
      <c r="C12" s="4" t="s">
        <v>64</v>
      </c>
      <c r="D12" s="4">
        <v>2009</v>
      </c>
      <c r="E12" s="10">
        <f t="shared" si="0"/>
        <v>142.08000000000001</v>
      </c>
      <c r="F12" s="3" t="str">
        <f t="shared" si="1"/>
        <v/>
      </c>
      <c r="G12" s="3" t="str">
        <f t="shared" si="2"/>
        <v/>
      </c>
      <c r="H12" s="47" t="str">
        <f t="shared" si="3"/>
        <v/>
      </c>
      <c r="I12" s="9">
        <f t="shared" si="4"/>
        <v>64.349999999999994</v>
      </c>
      <c r="J12" s="9" t="str">
        <f t="shared" si="5"/>
        <v>2025 3rd Domestic Trial</v>
      </c>
      <c r="K12" s="9">
        <f t="shared" si="6"/>
        <v>39.450000000000003</v>
      </c>
      <c r="L12" s="9" t="str">
        <f t="shared" si="7"/>
        <v>2025 Nationals</v>
      </c>
      <c r="M12" s="9">
        <f t="shared" si="8"/>
        <v>19.59</v>
      </c>
      <c r="N12" s="9" t="str">
        <f t="shared" si="9"/>
        <v>2025 Nationals</v>
      </c>
      <c r="O12" s="9">
        <f t="shared" si="10"/>
        <v>18.690000000000001</v>
      </c>
      <c r="P12" s="9" t="str">
        <f t="shared" si="11"/>
        <v>2025 Nationals</v>
      </c>
      <c r="Q12" s="9" t="str">
        <f t="shared" si="12"/>
        <v/>
      </c>
      <c r="R12" s="14" t="str">
        <f t="shared" si="13"/>
        <v/>
      </c>
      <c r="S12" s="9" t="str">
        <f t="shared" si="14"/>
        <v/>
      </c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32"/>
      <c r="AJ12" s="7" t="str">
        <f t="shared" si="15"/>
        <v/>
      </c>
      <c r="AK12" s="7" t="str">
        <f t="shared" si="16"/>
        <v/>
      </c>
      <c r="AL12" s="7" t="str">
        <f t="shared" si="17"/>
        <v/>
      </c>
      <c r="AM12" s="7" t="str">
        <f t="shared" si="18"/>
        <v/>
      </c>
      <c r="AN12" s="7" t="str">
        <f t="shared" si="19"/>
        <v/>
      </c>
      <c r="AO12" s="7" t="str">
        <f t="shared" si="20"/>
        <v/>
      </c>
      <c r="AP12" s="7" t="str">
        <f t="shared" si="21"/>
        <v/>
      </c>
      <c r="AQ12" s="23">
        <v>15.3</v>
      </c>
      <c r="AR12" s="23">
        <v>9.1999999999999993</v>
      </c>
      <c r="AS12" s="23">
        <v>0</v>
      </c>
      <c r="AT12" s="23">
        <v>14.95</v>
      </c>
      <c r="AU12" s="23">
        <v>0</v>
      </c>
      <c r="AV12" s="23">
        <v>4.5999999999999996</v>
      </c>
      <c r="AW12" s="23">
        <v>3.4</v>
      </c>
      <c r="AX12" s="23">
        <v>5.6</v>
      </c>
      <c r="AY12" s="23">
        <v>5.99</v>
      </c>
      <c r="AZ12" s="23">
        <v>0</v>
      </c>
      <c r="BA12" s="23">
        <v>5.2</v>
      </c>
      <c r="BB12" s="23">
        <v>3.3</v>
      </c>
      <c r="BC12" s="23">
        <v>4.3</v>
      </c>
      <c r="BD12" s="23">
        <v>5.89</v>
      </c>
      <c r="BE12" s="23">
        <v>0</v>
      </c>
      <c r="BF12" s="33"/>
      <c r="BG12" s="9">
        <f t="shared" si="22"/>
        <v>39.450000000000003</v>
      </c>
      <c r="BH12" s="9">
        <f t="shared" si="23"/>
        <v>5.6</v>
      </c>
      <c r="BI12" s="9">
        <f t="shared" si="24"/>
        <v>19.59</v>
      </c>
      <c r="BJ12" s="9">
        <f t="shared" si="25"/>
        <v>59.040000000000006</v>
      </c>
      <c r="BK12" s="9">
        <f t="shared" si="26"/>
        <v>4.3</v>
      </c>
      <c r="BL12" s="9">
        <f t="shared" si="27"/>
        <v>18.690000000000001</v>
      </c>
      <c r="BM12" s="9">
        <f t="shared" si="28"/>
        <v>77.73</v>
      </c>
      <c r="BN12" s="27">
        <v>11.2</v>
      </c>
      <c r="BO12" s="27">
        <v>6</v>
      </c>
      <c r="BP12" s="27">
        <v>0</v>
      </c>
      <c r="BQ12" s="27">
        <v>10.5</v>
      </c>
      <c r="BR12" s="27">
        <v>0</v>
      </c>
      <c r="BS12" s="27">
        <v>9.1</v>
      </c>
      <c r="BT12" s="27">
        <v>6.5</v>
      </c>
      <c r="BU12" s="27">
        <v>9.8000000000000007</v>
      </c>
      <c r="BV12" s="27">
        <v>11.25</v>
      </c>
      <c r="BW12" s="27">
        <v>0</v>
      </c>
      <c r="BX12" s="27"/>
      <c r="BY12" s="27"/>
      <c r="BZ12" s="27"/>
      <c r="CA12" s="27"/>
      <c r="CB12" s="27"/>
      <c r="CC12" s="32"/>
      <c r="CD12" s="7">
        <f t="shared" si="29"/>
        <v>27.7</v>
      </c>
      <c r="CE12" s="7">
        <f t="shared" si="30"/>
        <v>9.8000000000000007</v>
      </c>
      <c r="CF12" s="7">
        <f t="shared" si="31"/>
        <v>36.65</v>
      </c>
      <c r="CG12" s="7">
        <f t="shared" si="32"/>
        <v>64.349999999999994</v>
      </c>
      <c r="CH12" s="7" t="str">
        <f t="shared" si="33"/>
        <v/>
      </c>
      <c r="CI12" s="7" t="str">
        <f t="shared" si="34"/>
        <v/>
      </c>
      <c r="CJ12" s="7">
        <f t="shared" si="35"/>
        <v>64.349999999999994</v>
      </c>
      <c r="CK12" s="13" t="str">
        <f t="shared" si="36"/>
        <v/>
      </c>
      <c r="CL12" s="13" t="str">
        <f t="shared" si="37"/>
        <v/>
      </c>
      <c r="CM12" s="13" t="str">
        <f t="shared" si="38"/>
        <v/>
      </c>
      <c r="CN12" s="13" t="str">
        <f t="shared" si="39"/>
        <v/>
      </c>
      <c r="CO12" s="18"/>
      <c r="CP12" s="18"/>
      <c r="CQ12" s="18"/>
      <c r="CR12" s="18"/>
      <c r="CS12" s="18"/>
      <c r="CT12" s="18"/>
      <c r="CU12" s="18"/>
      <c r="CV12" s="18"/>
      <c r="CW12" s="18"/>
      <c r="CX12" s="18"/>
      <c r="CY12" s="18"/>
      <c r="CZ12" s="18"/>
      <c r="DA12" s="18"/>
      <c r="DB12" s="18"/>
      <c r="DC12" s="18"/>
      <c r="DD12" s="7" t="str">
        <f t="shared" si="40"/>
        <v/>
      </c>
      <c r="DE12" s="7" t="str">
        <f t="shared" si="41"/>
        <v/>
      </c>
      <c r="DF12" s="7" t="str">
        <f t="shared" si="42"/>
        <v/>
      </c>
      <c r="DG12" s="7" t="str">
        <f t="shared" si="43"/>
        <v/>
      </c>
      <c r="DH12" s="7" t="str">
        <f t="shared" si="44"/>
        <v/>
      </c>
      <c r="DI12" s="7" t="str">
        <f t="shared" si="45"/>
        <v/>
      </c>
      <c r="DJ12" s="7" t="str">
        <f t="shared" si="46"/>
        <v/>
      </c>
      <c r="DK12" s="19"/>
      <c r="DL12" s="19"/>
      <c r="DM12" s="19"/>
      <c r="DN12" s="19"/>
      <c r="DO12" s="19"/>
      <c r="DP12" s="19"/>
      <c r="DQ12" s="19"/>
      <c r="DR12" s="19"/>
      <c r="DS12" s="19"/>
      <c r="DT12" s="19"/>
      <c r="DU12" s="19"/>
      <c r="DV12" s="19"/>
      <c r="DW12" s="19"/>
      <c r="DX12" s="19"/>
      <c r="DY12" s="19"/>
      <c r="DZ12" s="9" t="str">
        <f t="shared" si="47"/>
        <v/>
      </c>
      <c r="EA12" s="9" t="str">
        <f t="shared" si="48"/>
        <v/>
      </c>
      <c r="EB12" s="9" t="str">
        <f t="shared" si="49"/>
        <v/>
      </c>
      <c r="EC12" s="9" t="str">
        <f t="shared" si="50"/>
        <v/>
      </c>
      <c r="ED12" s="9" t="str">
        <f t="shared" si="51"/>
        <v/>
      </c>
      <c r="EE12" s="9" t="str">
        <f t="shared" si="52"/>
        <v/>
      </c>
      <c r="EF12" s="9" t="str">
        <f t="shared" si="53"/>
        <v/>
      </c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7" t="str">
        <f t="shared" si="54"/>
        <v/>
      </c>
      <c r="EW12" s="7" t="str">
        <f t="shared" si="55"/>
        <v/>
      </c>
      <c r="EX12" s="7" t="str">
        <f t="shared" si="56"/>
        <v/>
      </c>
      <c r="EY12" s="7" t="str">
        <f t="shared" si="57"/>
        <v/>
      </c>
      <c r="EZ12" s="7" t="str">
        <f t="shared" si="58"/>
        <v/>
      </c>
      <c r="FA12" s="7" t="str">
        <f t="shared" si="59"/>
        <v/>
      </c>
      <c r="FB12" s="7" t="str">
        <f t="shared" si="60"/>
        <v/>
      </c>
      <c r="FC12" s="19"/>
      <c r="FD12" s="19"/>
      <c r="FE12" s="19"/>
      <c r="FF12" s="19"/>
      <c r="FG12" s="19"/>
      <c r="FH12" s="19"/>
      <c r="FI12" s="19"/>
      <c r="FJ12" s="19"/>
      <c r="FK12" s="19"/>
      <c r="FL12" s="19"/>
      <c r="FM12" s="19"/>
      <c r="FN12" s="19"/>
      <c r="FO12" s="19"/>
      <c r="FP12" s="19"/>
      <c r="FQ12" s="19"/>
      <c r="FR12" s="9" t="str">
        <f t="shared" si="61"/>
        <v/>
      </c>
      <c r="FS12" s="9" t="str">
        <f t="shared" si="62"/>
        <v/>
      </c>
      <c r="FT12" s="9" t="str">
        <f t="shared" si="63"/>
        <v/>
      </c>
      <c r="FU12" s="9" t="str">
        <f t="shared" si="64"/>
        <v/>
      </c>
      <c r="FV12" s="9" t="str">
        <f t="shared" si="65"/>
        <v/>
      </c>
      <c r="FW12" s="9" t="str">
        <f t="shared" si="66"/>
        <v/>
      </c>
      <c r="FX12" s="9" t="str">
        <f t="shared" si="67"/>
        <v/>
      </c>
      <c r="FY12" s="18"/>
      <c r="FZ12" s="18"/>
      <c r="GA12" s="18"/>
      <c r="GB12" s="18"/>
      <c r="GC12" s="18"/>
      <c r="GD12" s="18"/>
      <c r="GE12" s="18"/>
      <c r="GF12" s="18"/>
      <c r="GG12" s="18"/>
      <c r="GH12" s="18"/>
      <c r="GI12" s="18"/>
      <c r="GJ12" s="18"/>
      <c r="GK12" s="18"/>
      <c r="GL12" s="18"/>
      <c r="GM12" s="18"/>
      <c r="GN12" s="7" t="str">
        <f t="shared" si="68"/>
        <v/>
      </c>
      <c r="GO12" s="7" t="str">
        <f t="shared" si="69"/>
        <v/>
      </c>
      <c r="GP12" s="7" t="str">
        <f t="shared" si="70"/>
        <v/>
      </c>
      <c r="GQ12" s="7" t="str">
        <f t="shared" si="71"/>
        <v/>
      </c>
      <c r="GR12" s="7" t="str">
        <f t="shared" si="72"/>
        <v/>
      </c>
      <c r="GS12" s="7" t="str">
        <f t="shared" si="73"/>
        <v/>
      </c>
      <c r="GT12" s="7" t="str">
        <f t="shared" si="74"/>
        <v/>
      </c>
      <c r="GU12" s="19"/>
      <c r="GV12" s="19"/>
      <c r="GW12" s="19"/>
      <c r="GX12" s="19"/>
      <c r="GY12" s="19"/>
      <c r="GZ12" s="19"/>
      <c r="HA12" s="19"/>
      <c r="HB12" s="19"/>
      <c r="HC12" s="19"/>
      <c r="HD12" s="19"/>
      <c r="HE12" s="19"/>
      <c r="HF12" s="19"/>
      <c r="HG12" s="19"/>
      <c r="HH12" s="19"/>
      <c r="HI12" s="19"/>
      <c r="HJ12" s="9" t="str">
        <f t="shared" si="75"/>
        <v/>
      </c>
      <c r="HK12" s="9" t="str">
        <f t="shared" si="76"/>
        <v/>
      </c>
      <c r="HL12" s="9" t="str">
        <f t="shared" si="77"/>
        <v/>
      </c>
      <c r="HM12" s="9" t="str">
        <f t="shared" si="78"/>
        <v/>
      </c>
      <c r="HN12" s="9" t="str">
        <f t="shared" si="79"/>
        <v/>
      </c>
      <c r="HO12" s="9" t="str">
        <f t="shared" si="80"/>
        <v/>
      </c>
      <c r="HP12" s="9" t="str">
        <f t="shared" si="81"/>
        <v/>
      </c>
      <c r="HQ12" s="18"/>
      <c r="HR12" s="18"/>
      <c r="HS12" s="18"/>
      <c r="HT12" s="18"/>
      <c r="HU12" s="18"/>
      <c r="HV12" s="18"/>
      <c r="HW12" s="18"/>
      <c r="HX12" s="18"/>
      <c r="HY12" s="18"/>
      <c r="HZ12" s="18"/>
      <c r="IA12" s="18"/>
      <c r="IB12" s="18"/>
      <c r="IC12" s="18"/>
      <c r="ID12" s="18"/>
      <c r="IE12" s="18"/>
      <c r="IF12" s="7" t="str">
        <f t="shared" si="82"/>
        <v/>
      </c>
      <c r="IG12" s="7" t="str">
        <f t="shared" si="83"/>
        <v/>
      </c>
      <c r="IH12" s="7" t="str">
        <f t="shared" si="84"/>
        <v/>
      </c>
      <c r="II12" s="7" t="str">
        <f t="shared" si="85"/>
        <v/>
      </c>
      <c r="IJ12" s="7" t="str">
        <f t="shared" si="86"/>
        <v/>
      </c>
      <c r="IK12" s="7" t="str">
        <f t="shared" si="87"/>
        <v/>
      </c>
      <c r="IL12" s="7" t="str">
        <f t="shared" si="88"/>
        <v/>
      </c>
      <c r="IM12" s="19"/>
      <c r="IN12" s="19"/>
      <c r="IO12" s="19"/>
      <c r="IP12" s="19"/>
      <c r="IQ12" s="19"/>
      <c r="IR12" s="19"/>
      <c r="IS12" s="19"/>
      <c r="IT12" s="19"/>
      <c r="IU12" s="19"/>
      <c r="IV12" s="19"/>
      <c r="IW12" s="19"/>
      <c r="IX12" s="19"/>
      <c r="IY12" s="19"/>
      <c r="IZ12" s="19"/>
      <c r="JA12" s="19"/>
      <c r="JB12" s="9" t="str">
        <f t="shared" si="89"/>
        <v/>
      </c>
      <c r="JC12" s="9" t="str">
        <f t="shared" si="90"/>
        <v/>
      </c>
      <c r="JD12" s="9" t="str">
        <f t="shared" si="91"/>
        <v/>
      </c>
      <c r="JE12" s="9" t="str">
        <f t="shared" si="92"/>
        <v/>
      </c>
      <c r="JF12" s="9" t="str">
        <f t="shared" si="93"/>
        <v/>
      </c>
      <c r="JG12" s="9" t="str">
        <f t="shared" si="94"/>
        <v/>
      </c>
      <c r="JH12" s="9" t="str">
        <f t="shared" si="95"/>
        <v/>
      </c>
      <c r="JI12" s="18"/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7" t="str">
        <f t="shared" si="96"/>
        <v/>
      </c>
      <c r="JY12" s="7" t="str">
        <f t="shared" si="97"/>
        <v/>
      </c>
      <c r="JZ12" s="7" t="str">
        <f t="shared" si="98"/>
        <v/>
      </c>
      <c r="KA12" s="7" t="str">
        <f t="shared" si="99"/>
        <v/>
      </c>
      <c r="KB12" s="7" t="str">
        <f t="shared" si="100"/>
        <v/>
      </c>
      <c r="KC12" s="7" t="str">
        <f t="shared" si="101"/>
        <v/>
      </c>
      <c r="KD12" s="7" t="str">
        <f t="shared" si="102"/>
        <v/>
      </c>
      <c r="KE12" s="19"/>
      <c r="KF12" s="19"/>
      <c r="KG12" s="19"/>
      <c r="KH12" s="19"/>
      <c r="KI12" s="19"/>
      <c r="KJ12" s="19"/>
      <c r="KK12" s="19"/>
      <c r="KL12" s="19"/>
      <c r="KM12" s="19"/>
      <c r="KN12" s="19"/>
      <c r="KO12" s="19"/>
      <c r="KP12" s="19"/>
      <c r="KQ12" s="19"/>
      <c r="KR12" s="19"/>
      <c r="KS12" s="19"/>
      <c r="KT12" s="9" t="str">
        <f t="shared" si="103"/>
        <v/>
      </c>
      <c r="KU12" s="9" t="str">
        <f t="shared" si="104"/>
        <v/>
      </c>
      <c r="KV12" s="9" t="str">
        <f t="shared" si="105"/>
        <v/>
      </c>
      <c r="KW12" s="9" t="str">
        <f t="shared" si="106"/>
        <v/>
      </c>
      <c r="KX12" s="9" t="str">
        <f t="shared" si="107"/>
        <v/>
      </c>
      <c r="KY12" s="9" t="str">
        <f t="shared" si="108"/>
        <v/>
      </c>
      <c r="KZ12" s="9" t="str">
        <f t="shared" si="109"/>
        <v/>
      </c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7" t="str">
        <f t="shared" si="110"/>
        <v/>
      </c>
      <c r="LQ12" s="7" t="str">
        <f t="shared" si="111"/>
        <v/>
      </c>
      <c r="LR12" s="7" t="str">
        <f t="shared" si="112"/>
        <v/>
      </c>
      <c r="LS12" s="7" t="str">
        <f t="shared" si="113"/>
        <v/>
      </c>
      <c r="LT12" s="7" t="str">
        <f t="shared" si="114"/>
        <v/>
      </c>
      <c r="LU12" s="7" t="str">
        <f t="shared" si="115"/>
        <v/>
      </c>
      <c r="LV12" s="7" t="str">
        <f t="shared" si="116"/>
        <v/>
      </c>
      <c r="LW12" s="19"/>
      <c r="LX12" s="19"/>
      <c r="LY12" s="19"/>
      <c r="LZ12" s="19"/>
      <c r="MA12" s="19"/>
      <c r="MB12" s="19"/>
      <c r="MC12" s="19"/>
      <c r="MD12" s="19"/>
      <c r="ME12" s="19"/>
      <c r="MF12" s="19"/>
      <c r="MG12" s="19"/>
      <c r="MH12" s="19"/>
      <c r="MI12" s="19"/>
      <c r="MJ12" s="19"/>
      <c r="MK12" s="19"/>
      <c r="ML12" s="9" t="str">
        <f t="shared" si="117"/>
        <v/>
      </c>
      <c r="MM12" s="9" t="str">
        <f t="shared" si="118"/>
        <v/>
      </c>
      <c r="MN12" s="9" t="str">
        <f t="shared" si="119"/>
        <v/>
      </c>
      <c r="MO12" s="9" t="str">
        <f t="shared" si="120"/>
        <v/>
      </c>
      <c r="MP12" s="9" t="str">
        <f t="shared" si="121"/>
        <v/>
      </c>
      <c r="MQ12" s="9" t="str">
        <f t="shared" si="122"/>
        <v/>
      </c>
      <c r="MR12" s="9" t="str">
        <f t="shared" si="123"/>
        <v/>
      </c>
      <c r="MS12" s="27">
        <f t="shared" si="124"/>
        <v>13.25</v>
      </c>
      <c r="MT12" s="27">
        <f t="shared" si="125"/>
        <v>7.6</v>
      </c>
      <c r="MU12" s="27">
        <f t="shared" si="126"/>
        <v>0</v>
      </c>
      <c r="MV12" s="27">
        <f t="shared" si="127"/>
        <v>12.725</v>
      </c>
      <c r="MW12" s="27">
        <f t="shared" si="128"/>
        <v>0</v>
      </c>
      <c r="MX12" s="27">
        <f t="shared" si="129"/>
        <v>6.85</v>
      </c>
      <c r="MY12" s="27">
        <f t="shared" si="130"/>
        <v>4.95</v>
      </c>
      <c r="MZ12" s="27">
        <f t="shared" si="131"/>
        <v>7.7</v>
      </c>
      <c r="NA12" s="27">
        <f t="shared" si="132"/>
        <v>8.620000000000001</v>
      </c>
      <c r="NB12" s="27">
        <f t="shared" si="133"/>
        <v>0</v>
      </c>
      <c r="NC12" s="27">
        <f t="shared" si="134"/>
        <v>2.6</v>
      </c>
      <c r="ND12" s="27">
        <f t="shared" si="135"/>
        <v>1.65</v>
      </c>
      <c r="NE12" s="27">
        <f t="shared" si="136"/>
        <v>2.15</v>
      </c>
      <c r="NF12" s="27">
        <f t="shared" si="137"/>
        <v>2.9449999999999998</v>
      </c>
      <c r="NG12" s="27">
        <f t="shared" si="138"/>
        <v>0</v>
      </c>
      <c r="NH12" s="32" t="s">
        <v>44</v>
      </c>
      <c r="NI12" s="7">
        <f t="shared" si="139"/>
        <v>33.575000000000003</v>
      </c>
      <c r="NJ12" s="7">
        <f t="shared" si="140"/>
        <v>7.7</v>
      </c>
      <c r="NK12" s="7">
        <f t="shared" si="141"/>
        <v>28.12</v>
      </c>
      <c r="NL12" s="7">
        <f t="shared" si="142"/>
        <v>61.695000000000007</v>
      </c>
      <c r="NM12" s="7">
        <f t="shared" si="143"/>
        <v>2.15</v>
      </c>
      <c r="NN12" s="7">
        <f t="shared" si="144"/>
        <v>9.3450000000000006</v>
      </c>
      <c r="NO12" s="7">
        <f t="shared" si="146"/>
        <v>71.040000000000006</v>
      </c>
    </row>
    <row r="13" spans="1:379" x14ac:dyDescent="0.2">
      <c r="A13" s="4" t="str" cm="1">
        <f t="array" ref="A13">IF(AND(H13&lt;&gt;"",H13&lt;&gt;"No DD"),SUMPRODUCT((H$4:H$15&lt;&gt;"")*(H$4:H$15&lt;&gt;"No DD")*(E$4:E$15&gt;E13))+1,IF(H13="No DD",SUMPRODUCT((H$4:H$15="No DD")*(E$4:E$15&gt;E13))+1+SUMPRODUCT((H$4:H$15&lt;&gt;"")*(H$4:H$15&lt;&gt;"No DD")),""))</f>
        <v/>
      </c>
      <c r="B13" s="5" t="s">
        <v>82</v>
      </c>
      <c r="C13" s="4" t="s">
        <v>3</v>
      </c>
      <c r="D13" s="4">
        <v>2009</v>
      </c>
      <c r="E13" s="10">
        <f t="shared" si="0"/>
        <v>131.35</v>
      </c>
      <c r="F13" s="3" t="str">
        <f t="shared" si="1"/>
        <v/>
      </c>
      <c r="G13" s="3" t="str">
        <f t="shared" si="2"/>
        <v/>
      </c>
      <c r="H13" s="47" t="str">
        <f t="shared" si="3"/>
        <v/>
      </c>
      <c r="I13" s="9">
        <f t="shared" si="4"/>
        <v>85.89</v>
      </c>
      <c r="J13" s="9" t="str">
        <f t="shared" si="5"/>
        <v>2025 Elite Canada</v>
      </c>
      <c r="K13" s="9">
        <f t="shared" si="6"/>
        <v>0</v>
      </c>
      <c r="L13" s="9" t="str">
        <f t="shared" si="7"/>
        <v/>
      </c>
      <c r="M13" s="9">
        <f t="shared" si="8"/>
        <v>0</v>
      </c>
      <c r="N13" s="9" t="str">
        <f t="shared" si="9"/>
        <v/>
      </c>
      <c r="O13" s="9">
        <f t="shared" si="10"/>
        <v>45.46</v>
      </c>
      <c r="P13" s="9" t="str">
        <f t="shared" si="11"/>
        <v>2025 Elite Canada</v>
      </c>
      <c r="Q13" s="9" t="str">
        <f t="shared" si="12"/>
        <v/>
      </c>
      <c r="R13" s="14" t="str">
        <f t="shared" si="13"/>
        <v/>
      </c>
      <c r="S13" s="9" t="str">
        <f t="shared" si="14"/>
        <v/>
      </c>
      <c r="T13" s="27">
        <v>14.7</v>
      </c>
      <c r="U13" s="27">
        <v>9.1</v>
      </c>
      <c r="V13" s="27">
        <v>0</v>
      </c>
      <c r="W13" s="27">
        <v>14.74</v>
      </c>
      <c r="X13" s="27">
        <v>0</v>
      </c>
      <c r="Y13" s="27">
        <v>12.9</v>
      </c>
      <c r="Z13" s="27">
        <v>9.8000000000000007</v>
      </c>
      <c r="AA13" s="27">
        <v>10.3</v>
      </c>
      <c r="AB13" s="27">
        <v>14.35</v>
      </c>
      <c r="AC13" s="27">
        <v>0</v>
      </c>
      <c r="AD13" s="27">
        <v>14.3</v>
      </c>
      <c r="AE13" s="27">
        <v>9.4</v>
      </c>
      <c r="AF13" s="27">
        <v>8.8000000000000007</v>
      </c>
      <c r="AG13" s="27">
        <v>14.26</v>
      </c>
      <c r="AH13" s="27">
        <v>1.3</v>
      </c>
      <c r="AI13" s="32"/>
      <c r="AJ13" s="7">
        <f t="shared" si="15"/>
        <v>38.54</v>
      </c>
      <c r="AK13" s="7">
        <f t="shared" si="16"/>
        <v>10.3</v>
      </c>
      <c r="AL13" s="7">
        <f t="shared" si="17"/>
        <v>47.35</v>
      </c>
      <c r="AM13" s="7">
        <f t="shared" si="18"/>
        <v>85.89</v>
      </c>
      <c r="AN13" s="7">
        <f t="shared" si="19"/>
        <v>8.8000000000000007</v>
      </c>
      <c r="AO13" s="7">
        <f t="shared" si="20"/>
        <v>45.46</v>
      </c>
      <c r="AP13" s="7">
        <f t="shared" si="21"/>
        <v>131.35</v>
      </c>
      <c r="AQ13" s="23"/>
      <c r="AR13" s="23"/>
      <c r="AS13" s="23"/>
      <c r="AT13" s="23"/>
      <c r="AU13" s="23"/>
      <c r="AV13" s="23"/>
      <c r="AW13" s="23"/>
      <c r="AX13" s="23"/>
      <c r="AY13" s="23"/>
      <c r="AZ13" s="23"/>
      <c r="BA13" s="23"/>
      <c r="BB13" s="23"/>
      <c r="BC13" s="23"/>
      <c r="BD13" s="23"/>
      <c r="BE13" s="23"/>
      <c r="BF13" s="33"/>
      <c r="BG13" s="9" t="str">
        <f t="shared" si="22"/>
        <v/>
      </c>
      <c r="BH13" s="9" t="str">
        <f t="shared" si="23"/>
        <v/>
      </c>
      <c r="BI13" s="9" t="str">
        <f t="shared" si="24"/>
        <v/>
      </c>
      <c r="BJ13" s="9" t="str">
        <f t="shared" si="25"/>
        <v/>
      </c>
      <c r="BK13" s="9" t="str">
        <f t="shared" si="26"/>
        <v/>
      </c>
      <c r="BL13" s="9" t="str">
        <f t="shared" si="27"/>
        <v/>
      </c>
      <c r="BM13" s="9" t="str">
        <f t="shared" si="28"/>
        <v/>
      </c>
      <c r="BN13" s="27"/>
      <c r="BO13" s="27"/>
      <c r="BP13" s="27"/>
      <c r="BQ13" s="27"/>
      <c r="BR13" s="27"/>
      <c r="BS13" s="27"/>
      <c r="BT13" s="27"/>
      <c r="BU13" s="27"/>
      <c r="BV13" s="27"/>
      <c r="BW13" s="27"/>
      <c r="BX13" s="27"/>
      <c r="BY13" s="27"/>
      <c r="BZ13" s="27"/>
      <c r="CA13" s="27"/>
      <c r="CB13" s="27"/>
      <c r="CC13" s="32"/>
      <c r="CD13" s="7" t="str">
        <f t="shared" si="29"/>
        <v/>
      </c>
      <c r="CE13" s="7" t="str">
        <f t="shared" si="30"/>
        <v/>
      </c>
      <c r="CF13" s="7" t="str">
        <f t="shared" si="31"/>
        <v/>
      </c>
      <c r="CG13" s="7" t="str">
        <f t="shared" si="32"/>
        <v/>
      </c>
      <c r="CH13" s="7" t="str">
        <f t="shared" si="33"/>
        <v/>
      </c>
      <c r="CI13" s="7" t="str">
        <f t="shared" si="34"/>
        <v/>
      </c>
      <c r="CJ13" s="7" t="str">
        <f t="shared" si="35"/>
        <v/>
      </c>
      <c r="CK13" s="13" t="str">
        <f t="shared" si="36"/>
        <v/>
      </c>
      <c r="CL13" s="13" t="str">
        <f t="shared" si="37"/>
        <v/>
      </c>
      <c r="CM13" s="13" t="str">
        <f t="shared" si="38"/>
        <v/>
      </c>
      <c r="CN13" s="13" t="str">
        <f t="shared" si="39"/>
        <v/>
      </c>
      <c r="CO13" s="18"/>
      <c r="CP13" s="18"/>
      <c r="CQ13" s="18"/>
      <c r="CR13" s="18"/>
      <c r="CS13" s="18"/>
      <c r="CT13" s="18"/>
      <c r="CU13" s="18"/>
      <c r="CV13" s="18"/>
      <c r="CW13" s="18"/>
      <c r="CX13" s="18"/>
      <c r="CY13" s="18"/>
      <c r="CZ13" s="18"/>
      <c r="DA13" s="18"/>
      <c r="DB13" s="18"/>
      <c r="DC13" s="18"/>
      <c r="DD13" s="7" t="str">
        <f t="shared" si="40"/>
        <v/>
      </c>
      <c r="DE13" s="7" t="str">
        <f t="shared" si="41"/>
        <v/>
      </c>
      <c r="DF13" s="7" t="str">
        <f t="shared" si="42"/>
        <v/>
      </c>
      <c r="DG13" s="7" t="str">
        <f t="shared" si="43"/>
        <v/>
      </c>
      <c r="DH13" s="7" t="str">
        <f t="shared" si="44"/>
        <v/>
      </c>
      <c r="DI13" s="7" t="str">
        <f t="shared" si="45"/>
        <v/>
      </c>
      <c r="DJ13" s="7" t="str">
        <f t="shared" si="46"/>
        <v/>
      </c>
      <c r="DK13" s="19"/>
      <c r="DL13" s="19"/>
      <c r="DM13" s="19"/>
      <c r="DN13" s="19"/>
      <c r="DO13" s="19"/>
      <c r="DP13" s="19"/>
      <c r="DQ13" s="19"/>
      <c r="DR13" s="19"/>
      <c r="DS13" s="19"/>
      <c r="DT13" s="19"/>
      <c r="DU13" s="19"/>
      <c r="DV13" s="19"/>
      <c r="DW13" s="19"/>
      <c r="DX13" s="19"/>
      <c r="DY13" s="19"/>
      <c r="DZ13" s="9" t="str">
        <f t="shared" si="47"/>
        <v/>
      </c>
      <c r="EA13" s="9" t="str">
        <f t="shared" si="48"/>
        <v/>
      </c>
      <c r="EB13" s="9" t="str">
        <f t="shared" si="49"/>
        <v/>
      </c>
      <c r="EC13" s="9" t="str">
        <f t="shared" si="50"/>
        <v/>
      </c>
      <c r="ED13" s="9" t="str">
        <f t="shared" si="51"/>
        <v/>
      </c>
      <c r="EE13" s="9" t="str">
        <f t="shared" si="52"/>
        <v/>
      </c>
      <c r="EF13" s="9" t="str">
        <f t="shared" si="53"/>
        <v/>
      </c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7" t="str">
        <f t="shared" si="54"/>
        <v/>
      </c>
      <c r="EW13" s="7" t="str">
        <f t="shared" si="55"/>
        <v/>
      </c>
      <c r="EX13" s="7" t="str">
        <f t="shared" si="56"/>
        <v/>
      </c>
      <c r="EY13" s="7" t="str">
        <f t="shared" si="57"/>
        <v/>
      </c>
      <c r="EZ13" s="7" t="str">
        <f t="shared" si="58"/>
        <v/>
      </c>
      <c r="FA13" s="7" t="str">
        <f t="shared" si="59"/>
        <v/>
      </c>
      <c r="FB13" s="7" t="str">
        <f t="shared" si="60"/>
        <v/>
      </c>
      <c r="FC13" s="19"/>
      <c r="FD13" s="19"/>
      <c r="FE13" s="19"/>
      <c r="FF13" s="19"/>
      <c r="FG13" s="19"/>
      <c r="FH13" s="19"/>
      <c r="FI13" s="19"/>
      <c r="FJ13" s="19"/>
      <c r="FK13" s="19"/>
      <c r="FL13" s="19"/>
      <c r="FM13" s="19"/>
      <c r="FN13" s="19"/>
      <c r="FO13" s="19"/>
      <c r="FP13" s="19"/>
      <c r="FQ13" s="19"/>
      <c r="FR13" s="9" t="str">
        <f t="shared" si="61"/>
        <v/>
      </c>
      <c r="FS13" s="9" t="str">
        <f t="shared" si="62"/>
        <v/>
      </c>
      <c r="FT13" s="9" t="str">
        <f t="shared" si="63"/>
        <v/>
      </c>
      <c r="FU13" s="9" t="str">
        <f t="shared" si="64"/>
        <v/>
      </c>
      <c r="FV13" s="9" t="str">
        <f t="shared" si="65"/>
        <v/>
      </c>
      <c r="FW13" s="9" t="str">
        <f t="shared" si="66"/>
        <v/>
      </c>
      <c r="FX13" s="9" t="str">
        <f t="shared" si="67"/>
        <v/>
      </c>
      <c r="FY13" s="18"/>
      <c r="FZ13" s="18"/>
      <c r="GA13" s="18"/>
      <c r="GB13" s="18"/>
      <c r="GC13" s="18"/>
      <c r="GD13" s="18"/>
      <c r="GE13" s="18"/>
      <c r="GF13" s="18"/>
      <c r="GG13" s="18"/>
      <c r="GH13" s="18"/>
      <c r="GI13" s="18"/>
      <c r="GJ13" s="18"/>
      <c r="GK13" s="18"/>
      <c r="GL13" s="18"/>
      <c r="GM13" s="18"/>
      <c r="GN13" s="7" t="str">
        <f t="shared" si="68"/>
        <v/>
      </c>
      <c r="GO13" s="7" t="str">
        <f t="shared" si="69"/>
        <v/>
      </c>
      <c r="GP13" s="7" t="str">
        <f t="shared" si="70"/>
        <v/>
      </c>
      <c r="GQ13" s="7" t="str">
        <f t="shared" si="71"/>
        <v/>
      </c>
      <c r="GR13" s="7" t="str">
        <f t="shared" si="72"/>
        <v/>
      </c>
      <c r="GS13" s="7" t="str">
        <f t="shared" si="73"/>
        <v/>
      </c>
      <c r="GT13" s="7" t="str">
        <f t="shared" si="74"/>
        <v/>
      </c>
      <c r="GU13" s="19"/>
      <c r="GV13" s="19"/>
      <c r="GW13" s="19"/>
      <c r="GX13" s="19"/>
      <c r="GY13" s="19"/>
      <c r="GZ13" s="19"/>
      <c r="HA13" s="19"/>
      <c r="HB13" s="19"/>
      <c r="HC13" s="19"/>
      <c r="HD13" s="19"/>
      <c r="HE13" s="19"/>
      <c r="HF13" s="19"/>
      <c r="HG13" s="19"/>
      <c r="HH13" s="19"/>
      <c r="HI13" s="19"/>
      <c r="HJ13" s="9" t="str">
        <f t="shared" si="75"/>
        <v/>
      </c>
      <c r="HK13" s="9" t="str">
        <f t="shared" si="76"/>
        <v/>
      </c>
      <c r="HL13" s="9" t="str">
        <f t="shared" si="77"/>
        <v/>
      </c>
      <c r="HM13" s="9" t="str">
        <f t="shared" si="78"/>
        <v/>
      </c>
      <c r="HN13" s="9" t="str">
        <f t="shared" si="79"/>
        <v/>
      </c>
      <c r="HO13" s="9" t="str">
        <f t="shared" si="80"/>
        <v/>
      </c>
      <c r="HP13" s="9" t="str">
        <f t="shared" si="81"/>
        <v/>
      </c>
      <c r="HQ13" s="18"/>
      <c r="HR13" s="18"/>
      <c r="HS13" s="18"/>
      <c r="HT13" s="18"/>
      <c r="HU13" s="18"/>
      <c r="HV13" s="18"/>
      <c r="HW13" s="18"/>
      <c r="HX13" s="18"/>
      <c r="HY13" s="18"/>
      <c r="HZ13" s="18"/>
      <c r="IA13" s="18"/>
      <c r="IB13" s="18"/>
      <c r="IC13" s="18"/>
      <c r="ID13" s="18"/>
      <c r="IE13" s="18"/>
      <c r="IF13" s="7" t="str">
        <f t="shared" si="82"/>
        <v/>
      </c>
      <c r="IG13" s="7" t="str">
        <f t="shared" si="83"/>
        <v/>
      </c>
      <c r="IH13" s="7" t="str">
        <f t="shared" si="84"/>
        <v/>
      </c>
      <c r="II13" s="7" t="str">
        <f t="shared" si="85"/>
        <v/>
      </c>
      <c r="IJ13" s="7" t="str">
        <f t="shared" si="86"/>
        <v/>
      </c>
      <c r="IK13" s="7" t="str">
        <f t="shared" si="87"/>
        <v/>
      </c>
      <c r="IL13" s="7" t="str">
        <f t="shared" si="88"/>
        <v/>
      </c>
      <c r="IM13" s="19"/>
      <c r="IN13" s="19"/>
      <c r="IO13" s="19"/>
      <c r="IP13" s="19"/>
      <c r="IQ13" s="19"/>
      <c r="IR13" s="19"/>
      <c r="IS13" s="19"/>
      <c r="IT13" s="19"/>
      <c r="IU13" s="19"/>
      <c r="IV13" s="19"/>
      <c r="IW13" s="19"/>
      <c r="IX13" s="19"/>
      <c r="IY13" s="19"/>
      <c r="IZ13" s="19"/>
      <c r="JA13" s="19"/>
      <c r="JB13" s="9" t="str">
        <f t="shared" si="89"/>
        <v/>
      </c>
      <c r="JC13" s="9" t="str">
        <f t="shared" si="90"/>
        <v/>
      </c>
      <c r="JD13" s="9" t="str">
        <f t="shared" si="91"/>
        <v/>
      </c>
      <c r="JE13" s="9" t="str">
        <f t="shared" si="92"/>
        <v/>
      </c>
      <c r="JF13" s="9" t="str">
        <f t="shared" si="93"/>
        <v/>
      </c>
      <c r="JG13" s="9" t="str">
        <f t="shared" si="94"/>
        <v/>
      </c>
      <c r="JH13" s="9" t="str">
        <f t="shared" si="95"/>
        <v/>
      </c>
      <c r="JI13" s="18"/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7" t="str">
        <f t="shared" si="96"/>
        <v/>
      </c>
      <c r="JY13" s="7" t="str">
        <f t="shared" si="97"/>
        <v/>
      </c>
      <c r="JZ13" s="7" t="str">
        <f t="shared" si="98"/>
        <v/>
      </c>
      <c r="KA13" s="7" t="str">
        <f t="shared" si="99"/>
        <v/>
      </c>
      <c r="KB13" s="7" t="str">
        <f t="shared" si="100"/>
        <v/>
      </c>
      <c r="KC13" s="7" t="str">
        <f t="shared" si="101"/>
        <v/>
      </c>
      <c r="KD13" s="7" t="str">
        <f t="shared" si="102"/>
        <v/>
      </c>
      <c r="KE13" s="19"/>
      <c r="KF13" s="19"/>
      <c r="KG13" s="19"/>
      <c r="KH13" s="19"/>
      <c r="KI13" s="19"/>
      <c r="KJ13" s="19"/>
      <c r="KK13" s="19"/>
      <c r="KL13" s="19"/>
      <c r="KM13" s="19"/>
      <c r="KN13" s="19"/>
      <c r="KO13" s="19"/>
      <c r="KP13" s="19"/>
      <c r="KQ13" s="19"/>
      <c r="KR13" s="19"/>
      <c r="KS13" s="19"/>
      <c r="KT13" s="9" t="str">
        <f t="shared" si="103"/>
        <v/>
      </c>
      <c r="KU13" s="9" t="str">
        <f t="shared" si="104"/>
        <v/>
      </c>
      <c r="KV13" s="9" t="str">
        <f t="shared" si="105"/>
        <v/>
      </c>
      <c r="KW13" s="9" t="str">
        <f t="shared" si="106"/>
        <v/>
      </c>
      <c r="KX13" s="9" t="str">
        <f t="shared" si="107"/>
        <v/>
      </c>
      <c r="KY13" s="9" t="str">
        <f t="shared" si="108"/>
        <v/>
      </c>
      <c r="KZ13" s="9" t="str">
        <f t="shared" si="109"/>
        <v/>
      </c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7" t="str">
        <f t="shared" si="110"/>
        <v/>
      </c>
      <c r="LQ13" s="7" t="str">
        <f t="shared" si="111"/>
        <v/>
      </c>
      <c r="LR13" s="7" t="str">
        <f t="shared" si="112"/>
        <v/>
      </c>
      <c r="LS13" s="7" t="str">
        <f t="shared" si="113"/>
        <v/>
      </c>
      <c r="LT13" s="7" t="str">
        <f t="shared" si="114"/>
        <v/>
      </c>
      <c r="LU13" s="7" t="str">
        <f t="shared" si="115"/>
        <v/>
      </c>
      <c r="LV13" s="7" t="str">
        <f t="shared" si="116"/>
        <v/>
      </c>
      <c r="LW13" s="19"/>
      <c r="LX13" s="19"/>
      <c r="LY13" s="19"/>
      <c r="LZ13" s="19"/>
      <c r="MA13" s="19"/>
      <c r="MB13" s="19"/>
      <c r="MC13" s="19"/>
      <c r="MD13" s="19"/>
      <c r="ME13" s="19"/>
      <c r="MF13" s="19"/>
      <c r="MG13" s="19"/>
      <c r="MH13" s="19"/>
      <c r="MI13" s="19"/>
      <c r="MJ13" s="19"/>
      <c r="MK13" s="19"/>
      <c r="ML13" s="9" t="str">
        <f t="shared" si="117"/>
        <v/>
      </c>
      <c r="MM13" s="9" t="str">
        <f t="shared" si="118"/>
        <v/>
      </c>
      <c r="MN13" s="9" t="str">
        <f t="shared" si="119"/>
        <v/>
      </c>
      <c r="MO13" s="9" t="str">
        <f t="shared" si="120"/>
        <v/>
      </c>
      <c r="MP13" s="9" t="str">
        <f t="shared" si="121"/>
        <v/>
      </c>
      <c r="MQ13" s="9" t="str">
        <f t="shared" si="122"/>
        <v/>
      </c>
      <c r="MR13" s="9" t="str">
        <f t="shared" si="123"/>
        <v/>
      </c>
      <c r="MS13" s="27">
        <f t="shared" si="124"/>
        <v>0</v>
      </c>
      <c r="MT13" s="27">
        <f t="shared" si="125"/>
        <v>0</v>
      </c>
      <c r="MU13" s="27">
        <f t="shared" si="126"/>
        <v>0</v>
      </c>
      <c r="MV13" s="27">
        <f t="shared" si="127"/>
        <v>0</v>
      </c>
      <c r="MW13" s="27">
        <f t="shared" si="128"/>
        <v>0</v>
      </c>
      <c r="MX13" s="27">
        <f t="shared" si="129"/>
        <v>0</v>
      </c>
      <c r="MY13" s="27">
        <f t="shared" si="130"/>
        <v>0</v>
      </c>
      <c r="MZ13" s="27">
        <f t="shared" si="131"/>
        <v>0</v>
      </c>
      <c r="NA13" s="27">
        <f t="shared" si="132"/>
        <v>0</v>
      </c>
      <c r="NB13" s="27">
        <f t="shared" si="133"/>
        <v>0</v>
      </c>
      <c r="NC13" s="27">
        <f t="shared" si="134"/>
        <v>0</v>
      </c>
      <c r="ND13" s="27">
        <f t="shared" si="135"/>
        <v>0</v>
      </c>
      <c r="NE13" s="27">
        <f t="shared" si="136"/>
        <v>0</v>
      </c>
      <c r="NF13" s="27">
        <f t="shared" si="137"/>
        <v>0</v>
      </c>
      <c r="NG13" s="27">
        <f t="shared" si="138"/>
        <v>0</v>
      </c>
      <c r="NH13" s="32" t="s">
        <v>44</v>
      </c>
      <c r="NI13" s="7" t="str">
        <f t="shared" si="139"/>
        <v/>
      </c>
      <c r="NJ13" s="7" t="str">
        <f t="shared" si="140"/>
        <v/>
      </c>
      <c r="NK13" s="7" t="str">
        <f t="shared" si="141"/>
        <v/>
      </c>
      <c r="NL13" s="7" t="str">
        <f t="shared" si="142"/>
        <v/>
      </c>
      <c r="NM13" s="7" t="str">
        <f t="shared" si="143"/>
        <v/>
      </c>
      <c r="NN13" s="7" t="str">
        <f t="shared" si="144"/>
        <v/>
      </c>
      <c r="NO13" s="7" t="str">
        <f t="shared" si="146"/>
        <v/>
      </c>
    </row>
    <row r="14" spans="1:379" x14ac:dyDescent="0.2">
      <c r="A14" s="4" t="str" cm="1">
        <f t="array" ref="A14">IF(AND(H14&lt;&gt;"",H14&lt;&gt;"No DD"),SUMPRODUCT((H$4:H$15&lt;&gt;"")*(H$4:H$15&lt;&gt;"No DD")*(E$4:E$15&gt;E14))+1,IF(H14="No DD",SUMPRODUCT((H$4:H$15="No DD")*(E$4:E$15&gt;E14))+1+SUMPRODUCT((H$4:H$15&lt;&gt;"")*(H$4:H$15&lt;&gt;"No DD")),""))</f>
        <v/>
      </c>
      <c r="B14" s="5" t="s">
        <v>93</v>
      </c>
      <c r="C14" s="4" t="s">
        <v>86</v>
      </c>
      <c r="D14" s="4">
        <v>2009</v>
      </c>
      <c r="E14" s="10">
        <f t="shared" si="0"/>
        <v>73.61</v>
      </c>
      <c r="F14" s="3" t="str">
        <f t="shared" si="1"/>
        <v/>
      </c>
      <c r="G14" s="3" t="str">
        <f t="shared" si="2"/>
        <v/>
      </c>
      <c r="H14" s="47" t="str">
        <f t="shared" si="3"/>
        <v/>
      </c>
      <c r="I14" s="9">
        <f t="shared" si="4"/>
        <v>54.940000000000005</v>
      </c>
      <c r="J14" s="9" t="str">
        <f t="shared" si="5"/>
        <v>2025 Nationals</v>
      </c>
      <c r="K14" s="9">
        <f t="shared" si="6"/>
        <v>0</v>
      </c>
      <c r="L14" s="9" t="str">
        <f t="shared" si="7"/>
        <v/>
      </c>
      <c r="M14" s="9">
        <f t="shared" si="8"/>
        <v>0</v>
      </c>
      <c r="N14" s="9" t="str">
        <f t="shared" si="9"/>
        <v/>
      </c>
      <c r="O14" s="9">
        <f t="shared" si="10"/>
        <v>18.669999999999998</v>
      </c>
      <c r="P14" s="9" t="str">
        <f t="shared" si="11"/>
        <v>2025 Nationals</v>
      </c>
      <c r="Q14" s="9" t="str">
        <f t="shared" si="12"/>
        <v/>
      </c>
      <c r="R14" s="14" t="str">
        <f t="shared" si="13"/>
        <v/>
      </c>
      <c r="S14" s="9" t="str">
        <f t="shared" si="14"/>
        <v/>
      </c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32"/>
      <c r="AJ14" s="7" t="str">
        <f t="shared" si="15"/>
        <v/>
      </c>
      <c r="AK14" s="7" t="str">
        <f t="shared" si="16"/>
        <v/>
      </c>
      <c r="AL14" s="7" t="str">
        <f t="shared" si="17"/>
        <v/>
      </c>
      <c r="AM14" s="7" t="str">
        <f t="shared" si="18"/>
        <v/>
      </c>
      <c r="AN14" s="7" t="str">
        <f t="shared" si="19"/>
        <v/>
      </c>
      <c r="AO14" s="7" t="str">
        <f t="shared" si="20"/>
        <v/>
      </c>
      <c r="AP14" s="7" t="str">
        <f t="shared" si="21"/>
        <v/>
      </c>
      <c r="AQ14" s="23">
        <v>15.8</v>
      </c>
      <c r="AR14" s="23">
        <v>9.4</v>
      </c>
      <c r="AS14" s="23">
        <v>0</v>
      </c>
      <c r="AT14" s="23">
        <v>14.89</v>
      </c>
      <c r="AU14" s="23">
        <v>0</v>
      </c>
      <c r="AV14" s="23">
        <v>4.0999999999999996</v>
      </c>
      <c r="AW14" s="23">
        <v>2.7</v>
      </c>
      <c r="AX14" s="23">
        <v>3.6</v>
      </c>
      <c r="AY14" s="23">
        <v>4.45</v>
      </c>
      <c r="AZ14" s="23">
        <v>0</v>
      </c>
      <c r="BA14" s="23">
        <v>5.2</v>
      </c>
      <c r="BB14" s="23">
        <v>3.2</v>
      </c>
      <c r="BC14" s="23">
        <v>4.3</v>
      </c>
      <c r="BD14" s="23">
        <v>5.97</v>
      </c>
      <c r="BE14" s="23">
        <v>0</v>
      </c>
      <c r="BF14" s="33"/>
      <c r="BG14" s="9">
        <f t="shared" si="22"/>
        <v>40.090000000000003</v>
      </c>
      <c r="BH14" s="9">
        <f t="shared" si="23"/>
        <v>3.6</v>
      </c>
      <c r="BI14" s="9">
        <f t="shared" si="24"/>
        <v>14.850000000000001</v>
      </c>
      <c r="BJ14" s="9">
        <f t="shared" si="25"/>
        <v>54.940000000000005</v>
      </c>
      <c r="BK14" s="9">
        <f t="shared" si="26"/>
        <v>4.3</v>
      </c>
      <c r="BL14" s="9">
        <f t="shared" si="27"/>
        <v>18.669999999999998</v>
      </c>
      <c r="BM14" s="9">
        <f t="shared" si="28"/>
        <v>73.61</v>
      </c>
      <c r="BN14" s="27"/>
      <c r="BO14" s="27"/>
      <c r="BP14" s="27"/>
      <c r="BQ14" s="27"/>
      <c r="BR14" s="27"/>
      <c r="BS14" s="27"/>
      <c r="BT14" s="27"/>
      <c r="BU14" s="27"/>
      <c r="BV14" s="27"/>
      <c r="BW14" s="27"/>
      <c r="BX14" s="27"/>
      <c r="BY14" s="27"/>
      <c r="BZ14" s="27"/>
      <c r="CA14" s="27"/>
      <c r="CB14" s="27"/>
      <c r="CC14" s="32"/>
      <c r="CD14" s="7" t="str">
        <f t="shared" si="29"/>
        <v/>
      </c>
      <c r="CE14" s="7" t="str">
        <f t="shared" si="30"/>
        <v/>
      </c>
      <c r="CF14" s="7" t="str">
        <f t="shared" si="31"/>
        <v/>
      </c>
      <c r="CG14" s="7" t="str">
        <f t="shared" si="32"/>
        <v/>
      </c>
      <c r="CH14" s="7" t="str">
        <f t="shared" si="33"/>
        <v/>
      </c>
      <c r="CI14" s="7" t="str">
        <f t="shared" si="34"/>
        <v/>
      </c>
      <c r="CJ14" s="7" t="str">
        <f t="shared" si="35"/>
        <v/>
      </c>
      <c r="CK14" s="13" t="str">
        <f t="shared" si="36"/>
        <v/>
      </c>
      <c r="CL14" s="13" t="str">
        <f t="shared" si="37"/>
        <v/>
      </c>
      <c r="CM14" s="13" t="str">
        <f t="shared" si="38"/>
        <v/>
      </c>
      <c r="CN14" s="13" t="str">
        <f t="shared" si="39"/>
        <v/>
      </c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8"/>
      <c r="CZ14" s="18"/>
      <c r="DA14" s="18"/>
      <c r="DB14" s="18"/>
      <c r="DC14" s="18"/>
      <c r="DD14" s="7" t="str">
        <f t="shared" si="40"/>
        <v/>
      </c>
      <c r="DE14" s="7" t="str">
        <f t="shared" si="41"/>
        <v/>
      </c>
      <c r="DF14" s="7" t="str">
        <f t="shared" si="42"/>
        <v/>
      </c>
      <c r="DG14" s="7" t="str">
        <f t="shared" si="43"/>
        <v/>
      </c>
      <c r="DH14" s="7" t="str">
        <f t="shared" si="44"/>
        <v/>
      </c>
      <c r="DI14" s="7" t="str">
        <f t="shared" si="45"/>
        <v/>
      </c>
      <c r="DJ14" s="7" t="str">
        <f t="shared" si="46"/>
        <v/>
      </c>
      <c r="DK14" s="19"/>
      <c r="DL14" s="19"/>
      <c r="DM14" s="19"/>
      <c r="DN14" s="19"/>
      <c r="DO14" s="19"/>
      <c r="DP14" s="19"/>
      <c r="DQ14" s="19"/>
      <c r="DR14" s="19"/>
      <c r="DS14" s="19"/>
      <c r="DT14" s="19"/>
      <c r="DU14" s="19"/>
      <c r="DV14" s="19"/>
      <c r="DW14" s="19"/>
      <c r="DX14" s="19"/>
      <c r="DY14" s="19"/>
      <c r="DZ14" s="9" t="str">
        <f t="shared" si="47"/>
        <v/>
      </c>
      <c r="EA14" s="9" t="str">
        <f t="shared" si="48"/>
        <v/>
      </c>
      <c r="EB14" s="9" t="str">
        <f t="shared" si="49"/>
        <v/>
      </c>
      <c r="EC14" s="9" t="str">
        <f t="shared" si="50"/>
        <v/>
      </c>
      <c r="ED14" s="9" t="str">
        <f t="shared" si="51"/>
        <v/>
      </c>
      <c r="EE14" s="9" t="str">
        <f t="shared" si="52"/>
        <v/>
      </c>
      <c r="EF14" s="9" t="str">
        <f t="shared" si="53"/>
        <v/>
      </c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7" t="str">
        <f t="shared" si="54"/>
        <v/>
      </c>
      <c r="EW14" s="7" t="str">
        <f t="shared" si="55"/>
        <v/>
      </c>
      <c r="EX14" s="7" t="str">
        <f t="shared" si="56"/>
        <v/>
      </c>
      <c r="EY14" s="7" t="str">
        <f t="shared" si="57"/>
        <v/>
      </c>
      <c r="EZ14" s="7" t="str">
        <f t="shared" si="58"/>
        <v/>
      </c>
      <c r="FA14" s="7" t="str">
        <f t="shared" si="59"/>
        <v/>
      </c>
      <c r="FB14" s="7" t="str">
        <f t="shared" si="60"/>
        <v/>
      </c>
      <c r="FC14" s="19"/>
      <c r="FD14" s="19"/>
      <c r="FE14" s="19"/>
      <c r="FF14" s="19"/>
      <c r="FG14" s="19"/>
      <c r="FH14" s="19"/>
      <c r="FI14" s="19"/>
      <c r="FJ14" s="19"/>
      <c r="FK14" s="19"/>
      <c r="FL14" s="19"/>
      <c r="FM14" s="19"/>
      <c r="FN14" s="19"/>
      <c r="FO14" s="19"/>
      <c r="FP14" s="19"/>
      <c r="FQ14" s="19"/>
      <c r="FR14" s="9" t="str">
        <f t="shared" si="61"/>
        <v/>
      </c>
      <c r="FS14" s="9" t="str">
        <f t="shared" si="62"/>
        <v/>
      </c>
      <c r="FT14" s="9" t="str">
        <f t="shared" si="63"/>
        <v/>
      </c>
      <c r="FU14" s="9" t="str">
        <f t="shared" si="64"/>
        <v/>
      </c>
      <c r="FV14" s="9" t="str">
        <f t="shared" si="65"/>
        <v/>
      </c>
      <c r="FW14" s="9" t="str">
        <f t="shared" si="66"/>
        <v/>
      </c>
      <c r="FX14" s="9" t="str">
        <f t="shared" si="67"/>
        <v/>
      </c>
      <c r="FY14" s="18"/>
      <c r="FZ14" s="18"/>
      <c r="GA14" s="18"/>
      <c r="GB14" s="18"/>
      <c r="GC14" s="18"/>
      <c r="GD14" s="18"/>
      <c r="GE14" s="18"/>
      <c r="GF14" s="18"/>
      <c r="GG14" s="18"/>
      <c r="GH14" s="18"/>
      <c r="GI14" s="18"/>
      <c r="GJ14" s="18"/>
      <c r="GK14" s="18"/>
      <c r="GL14" s="18"/>
      <c r="GM14" s="18"/>
      <c r="GN14" s="7" t="str">
        <f t="shared" si="68"/>
        <v/>
      </c>
      <c r="GO14" s="7" t="str">
        <f t="shared" si="69"/>
        <v/>
      </c>
      <c r="GP14" s="7" t="str">
        <f t="shared" si="70"/>
        <v/>
      </c>
      <c r="GQ14" s="7" t="str">
        <f t="shared" si="71"/>
        <v/>
      </c>
      <c r="GR14" s="7" t="str">
        <f t="shared" si="72"/>
        <v/>
      </c>
      <c r="GS14" s="7" t="str">
        <f t="shared" si="73"/>
        <v/>
      </c>
      <c r="GT14" s="7" t="str">
        <f t="shared" si="74"/>
        <v/>
      </c>
      <c r="GU14" s="19"/>
      <c r="GV14" s="19"/>
      <c r="GW14" s="19"/>
      <c r="GX14" s="19"/>
      <c r="GY14" s="19"/>
      <c r="GZ14" s="19"/>
      <c r="HA14" s="19"/>
      <c r="HB14" s="19"/>
      <c r="HC14" s="19"/>
      <c r="HD14" s="19"/>
      <c r="HE14" s="19"/>
      <c r="HF14" s="19"/>
      <c r="HG14" s="19"/>
      <c r="HH14" s="19"/>
      <c r="HI14" s="19"/>
      <c r="HJ14" s="9" t="str">
        <f t="shared" si="75"/>
        <v/>
      </c>
      <c r="HK14" s="9" t="str">
        <f t="shared" si="76"/>
        <v/>
      </c>
      <c r="HL14" s="9" t="str">
        <f t="shared" si="77"/>
        <v/>
      </c>
      <c r="HM14" s="9" t="str">
        <f t="shared" si="78"/>
        <v/>
      </c>
      <c r="HN14" s="9" t="str">
        <f t="shared" si="79"/>
        <v/>
      </c>
      <c r="HO14" s="9" t="str">
        <f t="shared" si="80"/>
        <v/>
      </c>
      <c r="HP14" s="9" t="str">
        <f t="shared" si="81"/>
        <v/>
      </c>
      <c r="HQ14" s="18"/>
      <c r="HR14" s="18"/>
      <c r="HS14" s="18"/>
      <c r="HT14" s="18"/>
      <c r="HU14" s="18"/>
      <c r="HV14" s="18"/>
      <c r="HW14" s="18"/>
      <c r="HX14" s="18"/>
      <c r="HY14" s="18"/>
      <c r="HZ14" s="18"/>
      <c r="IA14" s="18"/>
      <c r="IB14" s="18"/>
      <c r="IC14" s="18"/>
      <c r="ID14" s="18"/>
      <c r="IE14" s="18"/>
      <c r="IF14" s="7" t="str">
        <f t="shared" si="82"/>
        <v/>
      </c>
      <c r="IG14" s="7" t="str">
        <f t="shared" si="83"/>
        <v/>
      </c>
      <c r="IH14" s="7" t="str">
        <f t="shared" si="84"/>
        <v/>
      </c>
      <c r="II14" s="7" t="str">
        <f t="shared" si="85"/>
        <v/>
      </c>
      <c r="IJ14" s="7" t="str">
        <f t="shared" si="86"/>
        <v/>
      </c>
      <c r="IK14" s="7" t="str">
        <f t="shared" si="87"/>
        <v/>
      </c>
      <c r="IL14" s="7" t="str">
        <f t="shared" si="88"/>
        <v/>
      </c>
      <c r="IM14" s="19"/>
      <c r="IN14" s="19"/>
      <c r="IO14" s="19"/>
      <c r="IP14" s="19"/>
      <c r="IQ14" s="19"/>
      <c r="IR14" s="19"/>
      <c r="IS14" s="19"/>
      <c r="IT14" s="19"/>
      <c r="IU14" s="19"/>
      <c r="IV14" s="19"/>
      <c r="IW14" s="19"/>
      <c r="IX14" s="19"/>
      <c r="IY14" s="19"/>
      <c r="IZ14" s="19"/>
      <c r="JA14" s="19"/>
      <c r="JB14" s="9" t="str">
        <f t="shared" si="89"/>
        <v/>
      </c>
      <c r="JC14" s="9" t="str">
        <f t="shared" si="90"/>
        <v/>
      </c>
      <c r="JD14" s="9" t="str">
        <f t="shared" si="91"/>
        <v/>
      </c>
      <c r="JE14" s="9" t="str">
        <f t="shared" si="92"/>
        <v/>
      </c>
      <c r="JF14" s="9" t="str">
        <f t="shared" si="93"/>
        <v/>
      </c>
      <c r="JG14" s="9" t="str">
        <f t="shared" si="94"/>
        <v/>
      </c>
      <c r="JH14" s="9" t="str">
        <f t="shared" si="95"/>
        <v/>
      </c>
      <c r="JI14" s="18"/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7" t="str">
        <f t="shared" si="96"/>
        <v/>
      </c>
      <c r="JY14" s="7" t="str">
        <f t="shared" si="97"/>
        <v/>
      </c>
      <c r="JZ14" s="7" t="str">
        <f t="shared" si="98"/>
        <v/>
      </c>
      <c r="KA14" s="7" t="str">
        <f t="shared" si="99"/>
        <v/>
      </c>
      <c r="KB14" s="7" t="str">
        <f t="shared" si="100"/>
        <v/>
      </c>
      <c r="KC14" s="7" t="str">
        <f t="shared" si="101"/>
        <v/>
      </c>
      <c r="KD14" s="7" t="str">
        <f t="shared" si="102"/>
        <v/>
      </c>
      <c r="KE14" s="19"/>
      <c r="KF14" s="19"/>
      <c r="KG14" s="19"/>
      <c r="KH14" s="19"/>
      <c r="KI14" s="19"/>
      <c r="KJ14" s="19"/>
      <c r="KK14" s="19"/>
      <c r="KL14" s="19"/>
      <c r="KM14" s="19"/>
      <c r="KN14" s="19"/>
      <c r="KO14" s="19"/>
      <c r="KP14" s="19"/>
      <c r="KQ14" s="19"/>
      <c r="KR14" s="19"/>
      <c r="KS14" s="19"/>
      <c r="KT14" s="9" t="str">
        <f t="shared" si="103"/>
        <v/>
      </c>
      <c r="KU14" s="9" t="str">
        <f t="shared" si="104"/>
        <v/>
      </c>
      <c r="KV14" s="9" t="str">
        <f t="shared" si="105"/>
        <v/>
      </c>
      <c r="KW14" s="9" t="str">
        <f t="shared" si="106"/>
        <v/>
      </c>
      <c r="KX14" s="9" t="str">
        <f t="shared" si="107"/>
        <v/>
      </c>
      <c r="KY14" s="9" t="str">
        <f t="shared" si="108"/>
        <v/>
      </c>
      <c r="KZ14" s="9" t="str">
        <f t="shared" si="109"/>
        <v/>
      </c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7" t="str">
        <f t="shared" si="110"/>
        <v/>
      </c>
      <c r="LQ14" s="7" t="str">
        <f t="shared" si="111"/>
        <v/>
      </c>
      <c r="LR14" s="7" t="str">
        <f t="shared" si="112"/>
        <v/>
      </c>
      <c r="LS14" s="7" t="str">
        <f t="shared" si="113"/>
        <v/>
      </c>
      <c r="LT14" s="7" t="str">
        <f t="shared" si="114"/>
        <v/>
      </c>
      <c r="LU14" s="7" t="str">
        <f t="shared" si="115"/>
        <v/>
      </c>
      <c r="LV14" s="7" t="str">
        <f t="shared" si="116"/>
        <v/>
      </c>
      <c r="LW14" s="19"/>
      <c r="LX14" s="19"/>
      <c r="LY14" s="19"/>
      <c r="LZ14" s="19"/>
      <c r="MA14" s="19"/>
      <c r="MB14" s="19"/>
      <c r="MC14" s="19"/>
      <c r="MD14" s="19"/>
      <c r="ME14" s="19"/>
      <c r="MF14" s="19"/>
      <c r="MG14" s="19"/>
      <c r="MH14" s="19"/>
      <c r="MI14" s="19"/>
      <c r="MJ14" s="19"/>
      <c r="MK14" s="19"/>
      <c r="ML14" s="9" t="str">
        <f t="shared" si="117"/>
        <v/>
      </c>
      <c r="MM14" s="9" t="str">
        <f t="shared" si="118"/>
        <v/>
      </c>
      <c r="MN14" s="9" t="str">
        <f t="shared" si="119"/>
        <v/>
      </c>
      <c r="MO14" s="9" t="str">
        <f t="shared" si="120"/>
        <v/>
      </c>
      <c r="MP14" s="9" t="str">
        <f t="shared" si="121"/>
        <v/>
      </c>
      <c r="MQ14" s="9" t="str">
        <f t="shared" si="122"/>
        <v/>
      </c>
      <c r="MR14" s="9" t="str">
        <f t="shared" si="123"/>
        <v/>
      </c>
      <c r="MS14" s="27">
        <f t="shared" si="124"/>
        <v>7.9</v>
      </c>
      <c r="MT14" s="27">
        <f t="shared" si="125"/>
        <v>4.7</v>
      </c>
      <c r="MU14" s="27">
        <f t="shared" si="126"/>
        <v>0</v>
      </c>
      <c r="MV14" s="27">
        <f t="shared" si="127"/>
        <v>7.4450000000000003</v>
      </c>
      <c r="MW14" s="27">
        <f t="shared" si="128"/>
        <v>0</v>
      </c>
      <c r="MX14" s="27">
        <f t="shared" si="129"/>
        <v>2.0499999999999998</v>
      </c>
      <c r="MY14" s="27">
        <f t="shared" si="130"/>
        <v>1.35</v>
      </c>
      <c r="MZ14" s="27">
        <f t="shared" si="131"/>
        <v>1.8</v>
      </c>
      <c r="NA14" s="27">
        <f t="shared" si="132"/>
        <v>2.2250000000000001</v>
      </c>
      <c r="NB14" s="27">
        <f t="shared" si="133"/>
        <v>0</v>
      </c>
      <c r="NC14" s="27">
        <f t="shared" si="134"/>
        <v>2.6</v>
      </c>
      <c r="ND14" s="27">
        <f t="shared" si="135"/>
        <v>1.6</v>
      </c>
      <c r="NE14" s="27">
        <f t="shared" si="136"/>
        <v>2.15</v>
      </c>
      <c r="NF14" s="27">
        <f t="shared" si="137"/>
        <v>2.9849999999999999</v>
      </c>
      <c r="NG14" s="27">
        <f t="shared" si="138"/>
        <v>0</v>
      </c>
      <c r="NH14" s="32" t="s">
        <v>44</v>
      </c>
      <c r="NI14" s="7">
        <f t="shared" si="139"/>
        <v>20.045000000000002</v>
      </c>
      <c r="NJ14" s="7">
        <f t="shared" si="140"/>
        <v>1.8</v>
      </c>
      <c r="NK14" s="7">
        <f t="shared" si="141"/>
        <v>7.4250000000000007</v>
      </c>
      <c r="NL14" s="7">
        <f t="shared" si="142"/>
        <v>27.470000000000002</v>
      </c>
      <c r="NM14" s="7">
        <f t="shared" si="143"/>
        <v>2.15</v>
      </c>
      <c r="NN14" s="7">
        <f t="shared" si="144"/>
        <v>9.3349999999999991</v>
      </c>
      <c r="NO14" s="7">
        <f t="shared" ref="NO14" si="147">IF(SUM(NL14,NN14)&gt;0,SUM(NL14,NN14),"")</f>
        <v>36.805</v>
      </c>
    </row>
    <row r="15" spans="1:379" x14ac:dyDescent="0.2">
      <c r="B15" s="5"/>
      <c r="D15" s="1"/>
    </row>
    <row r="17" spans="1:356" x14ac:dyDescent="0.2">
      <c r="B17" s="28" t="s">
        <v>42</v>
      </c>
      <c r="C17" s="5"/>
      <c r="AK17" s="46"/>
      <c r="AL17" s="46"/>
      <c r="AN17" s="2"/>
      <c r="AP17" s="24">
        <v>13.4</v>
      </c>
      <c r="BH17" s="46"/>
      <c r="BI17" s="46"/>
      <c r="BK17" s="2"/>
      <c r="BM17" s="24">
        <v>13.4</v>
      </c>
      <c r="CE17" s="46"/>
      <c r="CF17" s="46"/>
      <c r="CH17" s="2"/>
      <c r="CJ17" s="24">
        <v>13.4</v>
      </c>
      <c r="DD17" s="5"/>
      <c r="DH17" s="2"/>
      <c r="DJ17" s="24">
        <v>13.4</v>
      </c>
      <c r="DZ17" s="5"/>
      <c r="ED17" s="2"/>
      <c r="EF17" s="24">
        <v>13.4</v>
      </c>
      <c r="EV17" s="5"/>
      <c r="EZ17" s="2"/>
      <c r="FB17" s="24">
        <v>13.4</v>
      </c>
      <c r="FR17" s="5"/>
      <c r="FV17" s="2"/>
      <c r="FX17" s="24">
        <v>13.4</v>
      </c>
      <c r="GN17" s="5"/>
      <c r="GR17" s="2"/>
      <c r="GT17" s="24">
        <v>13.4</v>
      </c>
      <c r="HJ17" s="5"/>
      <c r="HN17" s="2"/>
      <c r="HP17" s="24">
        <v>13.4</v>
      </c>
      <c r="IF17" s="5"/>
      <c r="IJ17" s="2"/>
      <c r="IL17" s="24">
        <v>13.4</v>
      </c>
      <c r="JB17" s="5"/>
      <c r="JF17" s="2"/>
      <c r="JH17" s="24">
        <v>13.4</v>
      </c>
      <c r="JX17" s="5"/>
      <c r="KB17" s="2"/>
      <c r="KD17" s="24">
        <v>13.4</v>
      </c>
      <c r="KT17" s="5"/>
      <c r="KX17" s="2"/>
      <c r="KZ17" s="24">
        <v>13.4</v>
      </c>
      <c r="LP17" s="5"/>
      <c r="LT17" s="2"/>
      <c r="LV17" s="24">
        <v>13.4</v>
      </c>
      <c r="ML17" s="5"/>
      <c r="MP17" s="2"/>
      <c r="MR17" s="24">
        <v>13.4</v>
      </c>
    </row>
    <row r="18" spans="1:356" hidden="1" x14ac:dyDescent="0.2">
      <c r="B18" s="35" t="s">
        <v>41</v>
      </c>
      <c r="C18" s="5"/>
      <c r="AK18" s="46"/>
      <c r="AL18" s="46"/>
      <c r="AN18" s="2"/>
      <c r="AP18" s="39">
        <v>1000</v>
      </c>
      <c r="BH18" s="46"/>
      <c r="BI18" s="46"/>
      <c r="BK18" s="2"/>
      <c r="BM18" s="39">
        <v>1000</v>
      </c>
      <c r="CE18" s="46"/>
      <c r="CF18" s="46"/>
      <c r="CH18" s="2"/>
      <c r="CJ18" s="39">
        <v>1000</v>
      </c>
      <c r="DD18" s="5"/>
      <c r="DH18" s="2"/>
      <c r="DJ18" s="39">
        <v>1000</v>
      </c>
      <c r="DZ18" s="5"/>
      <c r="ED18" s="2"/>
      <c r="EF18" s="39">
        <v>1000</v>
      </c>
      <c r="EV18" s="5"/>
      <c r="EZ18" s="2"/>
      <c r="FB18" s="39">
        <v>1000</v>
      </c>
      <c r="FR18" s="5"/>
      <c r="FV18" s="2"/>
      <c r="FX18" s="39">
        <v>1000</v>
      </c>
      <c r="GN18" s="5"/>
      <c r="GR18" s="2"/>
      <c r="GT18" s="39">
        <v>1000</v>
      </c>
      <c r="HJ18" s="5"/>
      <c r="HN18" s="2"/>
      <c r="HP18" s="39">
        <v>1000</v>
      </c>
      <c r="IF18" s="5"/>
      <c r="IJ18" s="2"/>
      <c r="IL18" s="39">
        <v>1000</v>
      </c>
      <c r="JB18" s="5"/>
      <c r="JF18" s="2"/>
      <c r="JH18" s="39">
        <v>1000</v>
      </c>
      <c r="JX18" s="5"/>
      <c r="KB18" s="2"/>
      <c r="KD18" s="39">
        <v>1000</v>
      </c>
      <c r="KT18" s="5"/>
      <c r="KX18" s="2"/>
      <c r="KZ18" s="39">
        <v>1000</v>
      </c>
      <c r="LP18" s="5"/>
      <c r="LT18" s="2"/>
      <c r="LV18" s="39">
        <v>1000</v>
      </c>
      <c r="ML18" s="5"/>
      <c r="MP18" s="2"/>
      <c r="MR18" s="39">
        <v>1000</v>
      </c>
    </row>
    <row r="19" spans="1:356" hidden="1" x14ac:dyDescent="0.2">
      <c r="A19" s="5"/>
      <c r="B19" s="36" t="s">
        <v>54</v>
      </c>
      <c r="C19" s="5"/>
      <c r="AK19" s="46"/>
      <c r="AL19" s="46"/>
      <c r="AM19" s="2"/>
      <c r="AN19" s="2"/>
      <c r="AO19" s="2"/>
      <c r="AP19" s="38">
        <v>1000</v>
      </c>
      <c r="BH19" s="46"/>
      <c r="BI19" s="46"/>
      <c r="BK19" s="2"/>
      <c r="BM19" s="38">
        <v>1000</v>
      </c>
      <c r="CE19" s="46"/>
      <c r="CF19" s="46"/>
      <c r="CG19" s="2"/>
      <c r="CH19" s="2"/>
      <c r="CI19" s="2"/>
      <c r="CJ19" s="38">
        <v>1000</v>
      </c>
      <c r="DD19" s="5"/>
      <c r="DH19" s="2"/>
      <c r="DJ19" s="38">
        <v>1000</v>
      </c>
      <c r="DZ19" s="5"/>
      <c r="ED19" s="2"/>
      <c r="EF19" s="38">
        <v>1000</v>
      </c>
      <c r="EV19" s="5"/>
      <c r="EZ19" s="2"/>
      <c r="FB19" s="38">
        <v>1000</v>
      </c>
      <c r="FR19" s="5"/>
      <c r="FV19" s="2"/>
      <c r="FX19" s="38">
        <v>1000</v>
      </c>
      <c r="GN19" s="5"/>
      <c r="GR19" s="2"/>
      <c r="GT19" s="38">
        <v>1000</v>
      </c>
      <c r="HJ19" s="5"/>
      <c r="HN19" s="2"/>
      <c r="HP19" s="38">
        <v>1000</v>
      </c>
      <c r="IF19" s="5"/>
      <c r="IJ19" s="2"/>
      <c r="IL19" s="38">
        <v>1000</v>
      </c>
      <c r="JB19" s="5"/>
      <c r="JF19" s="2"/>
      <c r="JH19" s="38">
        <v>1000</v>
      </c>
      <c r="JX19" s="5"/>
      <c r="KB19" s="2"/>
      <c r="KD19" s="38">
        <v>1000</v>
      </c>
      <c r="KT19" s="5"/>
      <c r="KX19" s="2"/>
      <c r="KZ19" s="38">
        <v>1000</v>
      </c>
      <c r="LP19" s="5"/>
      <c r="LT19" s="2"/>
      <c r="LV19" s="38">
        <v>1000</v>
      </c>
      <c r="ML19" s="5"/>
      <c r="MP19" s="2"/>
      <c r="MR19" s="38">
        <v>1000</v>
      </c>
    </row>
    <row r="20" spans="1:356" hidden="1" x14ac:dyDescent="0.2">
      <c r="A20" s="5"/>
      <c r="B20" s="44" t="s">
        <v>59</v>
      </c>
      <c r="C20" s="5"/>
      <c r="AK20" s="46"/>
      <c r="AL20" s="46"/>
      <c r="AM20" s="2"/>
      <c r="AN20" s="2"/>
      <c r="AO20" s="2"/>
      <c r="AP20" s="45">
        <v>1000</v>
      </c>
      <c r="BH20" s="46"/>
      <c r="BI20" s="46"/>
      <c r="BK20" s="2"/>
      <c r="BM20" s="45">
        <v>1000</v>
      </c>
      <c r="CE20" s="46"/>
      <c r="CF20" s="46"/>
      <c r="CG20" s="2"/>
      <c r="CH20" s="2"/>
      <c r="CI20" s="2"/>
      <c r="CJ20" s="45">
        <v>1000</v>
      </c>
      <c r="DD20" s="5"/>
      <c r="DH20" s="2"/>
      <c r="DJ20" s="45">
        <v>1000</v>
      </c>
      <c r="DZ20" s="5"/>
      <c r="ED20" s="2"/>
      <c r="EF20" s="45">
        <v>1000</v>
      </c>
      <c r="EV20" s="5"/>
      <c r="EZ20" s="2"/>
      <c r="FB20" s="45">
        <v>1000</v>
      </c>
      <c r="FR20" s="5"/>
      <c r="FV20" s="2"/>
      <c r="FX20" s="45">
        <v>1000</v>
      </c>
      <c r="GN20" s="5"/>
      <c r="GR20" s="2"/>
      <c r="GT20" s="45">
        <v>1000</v>
      </c>
      <c r="HJ20" s="5"/>
      <c r="HN20" s="2"/>
      <c r="HP20" s="45">
        <v>1000</v>
      </c>
      <c r="IF20" s="5"/>
      <c r="IJ20" s="2"/>
      <c r="IL20" s="45">
        <v>1000</v>
      </c>
      <c r="JB20" s="5"/>
      <c r="JF20" s="2"/>
      <c r="JH20" s="45">
        <v>1000</v>
      </c>
      <c r="JX20" s="5"/>
      <c r="KB20" s="2"/>
      <c r="KD20" s="45">
        <v>1000</v>
      </c>
      <c r="KT20" s="5"/>
      <c r="KX20" s="2"/>
      <c r="KZ20" s="45">
        <v>1000</v>
      </c>
      <c r="LP20" s="5"/>
      <c r="LT20" s="2"/>
      <c r="LV20" s="45">
        <v>1000</v>
      </c>
      <c r="ML20" s="5"/>
      <c r="MP20" s="2"/>
      <c r="MR20" s="45">
        <v>1000</v>
      </c>
    </row>
    <row r="21" spans="1:356" x14ac:dyDescent="0.2">
      <c r="A21" s="5"/>
      <c r="B21" s="42" t="s">
        <v>39</v>
      </c>
      <c r="C21" s="5"/>
      <c r="M21" s="2"/>
      <c r="AK21" s="46"/>
      <c r="AL21" s="46"/>
      <c r="AM21" s="2"/>
      <c r="AN21" s="2"/>
      <c r="AO21" s="2"/>
      <c r="AP21" s="43">
        <v>93.9</v>
      </c>
      <c r="BH21" s="46"/>
      <c r="BI21" s="46"/>
      <c r="BK21" s="2"/>
      <c r="BM21" s="43">
        <v>93.9</v>
      </c>
      <c r="CE21" s="46"/>
      <c r="CF21" s="46"/>
      <c r="CG21" s="2"/>
      <c r="CH21" s="2"/>
      <c r="CI21" s="2"/>
      <c r="CJ21" s="43">
        <v>93.9</v>
      </c>
      <c r="DD21" s="5"/>
      <c r="DH21" s="2"/>
      <c r="DJ21" s="43">
        <v>93.9</v>
      </c>
      <c r="DZ21" s="5"/>
      <c r="ED21" s="2"/>
      <c r="EF21" s="43">
        <v>93.9</v>
      </c>
      <c r="EV21" s="5"/>
      <c r="EZ21" s="2"/>
      <c r="FB21" s="43">
        <v>93.9</v>
      </c>
      <c r="FR21" s="5"/>
      <c r="FV21" s="2"/>
      <c r="FX21" s="43">
        <v>93.9</v>
      </c>
      <c r="GN21" s="5"/>
      <c r="GR21" s="2"/>
      <c r="GT21" s="43">
        <v>93.9</v>
      </c>
      <c r="HJ21" s="5"/>
      <c r="HN21" s="2"/>
      <c r="HP21" s="43">
        <v>93.9</v>
      </c>
      <c r="IF21" s="5"/>
      <c r="IJ21" s="2"/>
      <c r="IL21" s="43">
        <v>93.9</v>
      </c>
      <c r="JB21" s="5"/>
      <c r="JF21" s="2"/>
      <c r="JH21" s="43">
        <v>93.9</v>
      </c>
      <c r="JX21" s="5"/>
      <c r="KB21" s="2"/>
      <c r="KD21" s="43">
        <v>93.9</v>
      </c>
      <c r="KT21" s="5"/>
      <c r="KX21" s="2"/>
      <c r="KZ21" s="43">
        <v>93.9</v>
      </c>
      <c r="LP21" s="5"/>
      <c r="LT21" s="2"/>
      <c r="LV21" s="43">
        <v>93.9</v>
      </c>
      <c r="ML21" s="5"/>
      <c r="MP21" s="2"/>
      <c r="MR21" s="43">
        <v>93.9</v>
      </c>
    </row>
    <row r="22" spans="1:356" hidden="1" x14ac:dyDescent="0.2">
      <c r="A22" s="5"/>
      <c r="B22" s="29" t="s">
        <v>40</v>
      </c>
      <c r="C22" s="5"/>
      <c r="M22" s="2"/>
      <c r="AK22" s="46"/>
      <c r="AL22" s="46"/>
      <c r="AM22" s="2"/>
      <c r="AN22" s="2"/>
      <c r="AO22" s="2"/>
      <c r="AP22" s="25">
        <v>1000</v>
      </c>
      <c r="BH22" s="46"/>
      <c r="BI22" s="46"/>
      <c r="BK22" s="2"/>
      <c r="BM22" s="25">
        <v>1000</v>
      </c>
      <c r="CE22" s="46"/>
      <c r="CF22" s="46"/>
      <c r="CG22" s="2"/>
      <c r="CH22" s="2"/>
      <c r="CI22" s="2"/>
      <c r="CJ22" s="25">
        <v>1000</v>
      </c>
      <c r="DD22" s="5"/>
      <c r="DH22" s="2"/>
      <c r="DJ22" s="25">
        <v>1000</v>
      </c>
      <c r="DZ22" s="5"/>
      <c r="ED22" s="2"/>
      <c r="EF22" s="25">
        <v>1000</v>
      </c>
      <c r="EV22" s="5"/>
      <c r="EZ22" s="2"/>
      <c r="FB22" s="25">
        <v>1000</v>
      </c>
      <c r="FR22" s="5"/>
      <c r="FV22" s="2"/>
      <c r="FX22" s="25">
        <v>1000</v>
      </c>
      <c r="GN22" s="5"/>
      <c r="GR22" s="2"/>
      <c r="GT22" s="25">
        <v>1000</v>
      </c>
      <c r="HJ22" s="5"/>
      <c r="HN22" s="2"/>
      <c r="HP22" s="25">
        <v>1000</v>
      </c>
      <c r="IF22" s="5"/>
      <c r="IJ22" s="2"/>
      <c r="IL22" s="25">
        <v>1000</v>
      </c>
      <c r="JB22" s="5"/>
      <c r="JF22" s="2"/>
      <c r="JH22" s="25">
        <v>1000</v>
      </c>
      <c r="JX22" s="5"/>
      <c r="KB22" s="2"/>
      <c r="KD22" s="25">
        <v>1000</v>
      </c>
      <c r="KT22" s="5"/>
      <c r="KX22" s="2"/>
      <c r="KZ22" s="25">
        <v>1000</v>
      </c>
      <c r="LP22" s="5"/>
      <c r="LT22" s="2"/>
      <c r="LV22" s="25">
        <v>1000</v>
      </c>
      <c r="ML22" s="5"/>
      <c r="MP22" s="2"/>
      <c r="MR22" s="25">
        <v>1000</v>
      </c>
    </row>
    <row r="23" spans="1:356" hidden="1" x14ac:dyDescent="0.2">
      <c r="A23" s="5"/>
      <c r="B23" s="40" t="s">
        <v>53</v>
      </c>
      <c r="C23" s="5"/>
      <c r="AK23" s="46"/>
      <c r="AL23" s="46"/>
      <c r="AM23" s="2"/>
      <c r="AN23" s="2"/>
      <c r="AO23" s="2"/>
      <c r="AP23" s="41">
        <v>1000</v>
      </c>
      <c r="BH23" s="46"/>
      <c r="BI23" s="46"/>
      <c r="BK23" s="2"/>
      <c r="BL23" s="48"/>
      <c r="BM23" s="41">
        <v>1000</v>
      </c>
      <c r="CE23" s="46"/>
      <c r="CF23" s="46"/>
      <c r="CG23" s="2"/>
      <c r="CH23" s="2"/>
      <c r="CI23" s="2"/>
      <c r="CJ23" s="41">
        <v>1000</v>
      </c>
      <c r="DD23" s="5"/>
      <c r="DH23" s="2"/>
      <c r="DI23" s="48"/>
      <c r="DJ23" s="41">
        <v>1000</v>
      </c>
      <c r="DZ23" s="5"/>
      <c r="ED23" s="2"/>
      <c r="EF23" s="41">
        <v>1000</v>
      </c>
      <c r="EV23" s="5"/>
      <c r="EZ23" s="2"/>
      <c r="FB23" s="41">
        <v>1000</v>
      </c>
      <c r="FR23" s="5"/>
      <c r="FV23" s="2"/>
      <c r="FW23" s="48"/>
      <c r="FX23" s="41">
        <v>1000</v>
      </c>
      <c r="GN23" s="5"/>
      <c r="GR23" s="2"/>
      <c r="GS23" s="48"/>
      <c r="GT23" s="41">
        <v>1000</v>
      </c>
      <c r="HJ23" s="5"/>
      <c r="HN23" s="2"/>
      <c r="HO23" s="48"/>
      <c r="HP23" s="41">
        <v>1000</v>
      </c>
      <c r="IF23" s="5"/>
      <c r="IJ23" s="2"/>
      <c r="IL23" s="41">
        <v>1000</v>
      </c>
      <c r="JB23" s="5"/>
      <c r="JF23" s="2"/>
      <c r="JH23" s="41">
        <v>1000</v>
      </c>
      <c r="JX23" s="5"/>
      <c r="KB23" s="2"/>
      <c r="KD23" s="41">
        <v>1000</v>
      </c>
      <c r="KT23" s="5"/>
      <c r="KX23" s="2"/>
      <c r="KZ23" s="41">
        <v>1000</v>
      </c>
      <c r="LP23" s="5"/>
      <c r="LT23" s="2"/>
      <c r="LV23" s="41">
        <v>1000</v>
      </c>
      <c r="ML23" s="5"/>
      <c r="MP23" s="2"/>
      <c r="MR23" s="41">
        <v>1000</v>
      </c>
    </row>
    <row r="24" spans="1:356" hidden="1" x14ac:dyDescent="0.2">
      <c r="A24" s="5"/>
      <c r="B24" s="30" t="s">
        <v>26</v>
      </c>
      <c r="C24" s="5"/>
      <c r="M24" s="2"/>
      <c r="AK24" s="46"/>
      <c r="AL24" s="46"/>
      <c r="AM24" s="2"/>
      <c r="AN24" s="2"/>
      <c r="AO24" s="2"/>
      <c r="AP24" s="26">
        <v>1000</v>
      </c>
      <c r="BH24" s="46"/>
      <c r="BI24" s="46"/>
      <c r="BK24" s="2"/>
      <c r="BM24" s="26">
        <v>1000</v>
      </c>
      <c r="CE24" s="46"/>
      <c r="CF24" s="46"/>
      <c r="CG24" s="2"/>
      <c r="CH24" s="2"/>
      <c r="CI24" s="2"/>
      <c r="CJ24" s="26">
        <v>1000</v>
      </c>
      <c r="DD24" s="5"/>
      <c r="DH24" s="2"/>
      <c r="DJ24" s="26">
        <v>1000</v>
      </c>
      <c r="DZ24" s="5"/>
      <c r="ED24" s="2"/>
      <c r="EF24" s="26">
        <v>1000</v>
      </c>
      <c r="EV24" s="5"/>
      <c r="EZ24" s="2"/>
      <c r="FB24" s="26">
        <v>1000</v>
      </c>
      <c r="FR24" s="5"/>
      <c r="FV24" s="2"/>
      <c r="FX24" s="26">
        <v>1000</v>
      </c>
      <c r="GN24" s="5"/>
      <c r="GR24" s="2"/>
      <c r="GT24" s="26">
        <v>1000</v>
      </c>
      <c r="HJ24" s="5"/>
      <c r="HN24" s="2"/>
      <c r="HO24" s="48"/>
      <c r="HP24" s="26">
        <v>1000</v>
      </c>
      <c r="IF24" s="5"/>
      <c r="IJ24" s="2"/>
      <c r="IL24" s="26">
        <v>1000</v>
      </c>
      <c r="JB24" s="5"/>
      <c r="JF24" s="2"/>
      <c r="JH24" s="26">
        <v>1000</v>
      </c>
      <c r="JX24" s="5"/>
      <c r="KB24" s="2"/>
      <c r="KD24" s="26">
        <v>1000</v>
      </c>
      <c r="KT24" s="5"/>
      <c r="KX24" s="2"/>
      <c r="KZ24" s="26">
        <v>1000</v>
      </c>
      <c r="LP24" s="5"/>
      <c r="LT24" s="2"/>
      <c r="LV24" s="26">
        <v>1000</v>
      </c>
      <c r="ML24" s="5"/>
      <c r="MP24" s="2"/>
      <c r="MR24" s="26">
        <v>1000</v>
      </c>
    </row>
    <row r="25" spans="1:356" x14ac:dyDescent="0.2">
      <c r="B25" s="34" t="s">
        <v>45</v>
      </c>
      <c r="C25" s="2"/>
      <c r="AM25" s="2"/>
      <c r="AO25" s="2"/>
      <c r="CG25" s="2"/>
      <c r="CI25" s="2"/>
      <c r="EA25" s="2"/>
    </row>
    <row r="26" spans="1:356" x14ac:dyDescent="0.2">
      <c r="A26" s="5"/>
      <c r="B26" s="5"/>
      <c r="C26" s="22"/>
      <c r="AJ26" s="2"/>
      <c r="AK26" s="2"/>
      <c r="AL26" s="2"/>
      <c r="AM26" s="2"/>
      <c r="AO26" s="2"/>
      <c r="CD26" s="2"/>
      <c r="CE26" s="2"/>
      <c r="CF26" s="2"/>
      <c r="CG26" s="2"/>
      <c r="CI26" s="2"/>
    </row>
    <row r="27" spans="1:356" ht="17" x14ac:dyDescent="0.2">
      <c r="A27" s="5"/>
      <c r="B27" s="5"/>
      <c r="C27" s="22"/>
      <c r="Q27" s="11"/>
      <c r="R27" s="11"/>
      <c r="AJ27" s="2"/>
      <c r="AK27" s="2"/>
      <c r="AL27" s="2"/>
      <c r="AM27" s="2"/>
      <c r="AO27" s="2"/>
      <c r="CD27" s="2"/>
      <c r="CE27" s="2"/>
      <c r="CF27" s="2"/>
      <c r="CG27" s="2"/>
      <c r="CI27" s="2"/>
    </row>
    <row r="28" spans="1:356" ht="17" x14ac:dyDescent="0.2">
      <c r="A28" s="5"/>
      <c r="B28" s="5"/>
      <c r="C28" s="22"/>
      <c r="Q28" s="11"/>
      <c r="AJ28" s="2"/>
      <c r="AK28" s="2"/>
      <c r="AL28" s="2"/>
      <c r="AM28" s="2"/>
      <c r="AO28" s="2"/>
      <c r="CD28" s="2"/>
      <c r="CE28" s="2"/>
      <c r="CF28" s="2"/>
      <c r="CG28" s="2"/>
      <c r="CI28" s="2"/>
    </row>
    <row r="29" spans="1:356" ht="17" x14ac:dyDescent="0.2">
      <c r="Q29" s="11"/>
      <c r="R29" s="11"/>
      <c r="AJ29" s="2"/>
      <c r="AK29" s="2"/>
      <c r="AL29" s="2"/>
      <c r="AM29" s="2"/>
      <c r="AO29" s="2"/>
      <c r="CD29" s="2"/>
      <c r="CE29" s="2"/>
      <c r="CF29" s="2"/>
      <c r="CG29" s="2"/>
      <c r="CI29" s="2"/>
    </row>
    <row r="30" spans="1:356" ht="17" x14ac:dyDescent="0.2">
      <c r="Q30" s="11"/>
      <c r="R30" s="11"/>
      <c r="AJ30" s="2"/>
      <c r="AK30" s="2"/>
      <c r="AL30" s="2"/>
      <c r="AM30" s="2"/>
      <c r="AO30" s="2"/>
      <c r="CD30" s="2"/>
      <c r="CE30" s="2"/>
      <c r="CF30" s="2"/>
      <c r="CG30" s="2"/>
      <c r="CI30" s="2"/>
    </row>
    <row r="31" spans="1:356" ht="17" x14ac:dyDescent="0.2">
      <c r="Q31" s="11"/>
      <c r="R31" s="11"/>
      <c r="AJ31" s="2"/>
      <c r="AK31" s="2"/>
      <c r="AL31" s="2"/>
      <c r="AM31" s="2"/>
      <c r="AO31" s="2"/>
      <c r="CD31" s="2"/>
      <c r="CE31" s="2"/>
      <c r="CF31" s="2"/>
      <c r="CG31" s="2"/>
      <c r="CI31" s="2"/>
    </row>
    <row r="32" spans="1:356" ht="17" x14ac:dyDescent="0.2">
      <c r="Q32" s="11"/>
      <c r="R32" s="11"/>
      <c r="S32" s="11"/>
    </row>
    <row r="33" spans="10:19" ht="17" x14ac:dyDescent="0.2">
      <c r="Q33" s="11"/>
      <c r="R33" s="11"/>
      <c r="S33" s="11"/>
    </row>
    <row r="34" spans="10:19" ht="17" x14ac:dyDescent="0.2">
      <c r="Q34" s="11"/>
      <c r="R34" s="11"/>
      <c r="S34" s="11"/>
    </row>
    <row r="35" spans="10:19" ht="17" x14ac:dyDescent="0.2">
      <c r="Q35" s="11"/>
      <c r="R35" s="11"/>
      <c r="S35" s="11"/>
    </row>
    <row r="36" spans="10:19" ht="17" x14ac:dyDescent="0.2">
      <c r="Q36" s="11"/>
      <c r="R36" s="11"/>
      <c r="S36" s="11"/>
    </row>
    <row r="37" spans="10:19" ht="17" x14ac:dyDescent="0.2">
      <c r="Q37" s="11"/>
      <c r="R37" s="11"/>
      <c r="S37" s="11"/>
    </row>
    <row r="38" spans="10:19" ht="17" x14ac:dyDescent="0.2">
      <c r="J38" s="5"/>
      <c r="K38" s="4"/>
      <c r="L38" s="4"/>
      <c r="Q38" s="11"/>
      <c r="R38" s="11"/>
      <c r="S38" s="11"/>
    </row>
    <row r="39" spans="10:19" ht="17" x14ac:dyDescent="0.2">
      <c r="J39" s="5"/>
      <c r="K39" s="4"/>
      <c r="L39" s="4"/>
      <c r="Q39" s="11"/>
      <c r="R39" s="11"/>
      <c r="S39" s="11"/>
    </row>
    <row r="40" spans="10:19" ht="17" x14ac:dyDescent="0.2">
      <c r="J40" s="5"/>
      <c r="K40" s="4"/>
      <c r="L40" s="4"/>
      <c r="Q40" s="11"/>
      <c r="R40" s="11"/>
      <c r="S40" s="11"/>
    </row>
    <row r="41" spans="10:19" ht="17" x14ac:dyDescent="0.2">
      <c r="Q41" s="11"/>
      <c r="R41" s="11"/>
      <c r="S41" s="11"/>
    </row>
    <row r="42" spans="10:19" ht="17" x14ac:dyDescent="0.2">
      <c r="Q42" s="11"/>
      <c r="R42" s="11"/>
      <c r="S42" s="11"/>
    </row>
    <row r="43" spans="10:19" ht="17" x14ac:dyDescent="0.2">
      <c r="Q43" s="11"/>
      <c r="R43" s="11"/>
      <c r="S43" s="11"/>
    </row>
    <row r="44" spans="10:19" ht="17" x14ac:dyDescent="0.2">
      <c r="Q44" s="11"/>
      <c r="R44" s="11"/>
      <c r="S44" s="11"/>
    </row>
    <row r="45" spans="10:19" ht="17" x14ac:dyDescent="0.2">
      <c r="Q45" s="11"/>
      <c r="R45" s="11"/>
      <c r="S45" s="11"/>
    </row>
    <row r="46" spans="10:19" ht="17" x14ac:dyDescent="0.2">
      <c r="Q46" s="11"/>
      <c r="R46" s="11"/>
      <c r="S46" s="11"/>
    </row>
  </sheetData>
  <sheetProtection sheet="1" formatCells="0" formatColumns="0" formatRows="0"/>
  <autoFilter ref="A1:NM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8" showButton="0"/>
    <filterColumn colId="89" showButton="0"/>
    <filterColumn colId="90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sortState xmlns:xlrd2="http://schemas.microsoft.com/office/spreadsheetml/2017/richdata2" ref="A6:NM14">
      <sortCondition descending="1" ref="F1:F15"/>
    </sortState>
  </autoFilter>
  <sortState xmlns:xlrd2="http://schemas.microsoft.com/office/spreadsheetml/2017/richdata2" ref="A1:N3">
    <sortCondition ref="A1"/>
  </sortState>
  <mergeCells count="84">
    <mergeCell ref="MX2:NB2"/>
    <mergeCell ref="MS1:NM1"/>
    <mergeCell ref="MS2:MW2"/>
    <mergeCell ref="NC2:NG2"/>
    <mergeCell ref="FH2:FL2"/>
    <mergeCell ref="FC1:FX1"/>
    <mergeCell ref="HQ1:IL1"/>
    <mergeCell ref="FY1:GT1"/>
    <mergeCell ref="GU1:HP1"/>
    <mergeCell ref="FY2:GC2"/>
    <mergeCell ref="HE2:HI2"/>
    <mergeCell ref="FC2:FG2"/>
    <mergeCell ref="LA2:LE2"/>
    <mergeCell ref="KO2:KS2"/>
    <mergeCell ref="LW1:MR1"/>
    <mergeCell ref="JI2:JM2"/>
    <mergeCell ref="IW2:JA2"/>
    <mergeCell ref="LA1:LV1"/>
    <mergeCell ref="MG2:MK2"/>
    <mergeCell ref="MB2:MF2"/>
    <mergeCell ref="LW2:MA2"/>
    <mergeCell ref="LK2:LO2"/>
    <mergeCell ref="LF2:LJ2"/>
    <mergeCell ref="JS2:JW2"/>
    <mergeCell ref="JN2:JR2"/>
    <mergeCell ref="KE1:KZ1"/>
    <mergeCell ref="KJ2:KN2"/>
    <mergeCell ref="KE2:KI2"/>
    <mergeCell ref="IM1:JH1"/>
    <mergeCell ref="JI1:KD1"/>
    <mergeCell ref="IR2:IV2"/>
    <mergeCell ref="IM2:IQ2"/>
    <mergeCell ref="FM2:FQ2"/>
    <mergeCell ref="IA2:IE2"/>
    <mergeCell ref="HV2:HZ2"/>
    <mergeCell ref="HQ2:HU2"/>
    <mergeCell ref="GZ2:HD2"/>
    <mergeCell ref="GU2:GY2"/>
    <mergeCell ref="GI2:GM2"/>
    <mergeCell ref="GD2:GH2"/>
    <mergeCell ref="A1:A3"/>
    <mergeCell ref="B1:B3"/>
    <mergeCell ref="C1:C3"/>
    <mergeCell ref="E1:E3"/>
    <mergeCell ref="G1:G3"/>
    <mergeCell ref="D1:D3"/>
    <mergeCell ref="F1:F3"/>
    <mergeCell ref="N1:N3"/>
    <mergeCell ref="P1:P3"/>
    <mergeCell ref="T1:AP1"/>
    <mergeCell ref="AD2:AH2"/>
    <mergeCell ref="O1:O3"/>
    <mergeCell ref="Q1:Q3"/>
    <mergeCell ref="S1:S3"/>
    <mergeCell ref="R1:R3"/>
    <mergeCell ref="T2:X2"/>
    <mergeCell ref="Y2:AC2"/>
    <mergeCell ref="H1:H3"/>
    <mergeCell ref="I1:I3"/>
    <mergeCell ref="K1:K3"/>
    <mergeCell ref="M1:M3"/>
    <mergeCell ref="J1:J3"/>
    <mergeCell ref="L1:L3"/>
    <mergeCell ref="AQ1:BM1"/>
    <mergeCell ref="AQ2:AU2"/>
    <mergeCell ref="CY2:DC2"/>
    <mergeCell ref="CT2:CX2"/>
    <mergeCell ref="CO1:DJ1"/>
    <mergeCell ref="BA2:BE2"/>
    <mergeCell ref="CO2:CS2"/>
    <mergeCell ref="CK1:CN1"/>
    <mergeCell ref="BN1:CJ1"/>
    <mergeCell ref="BN2:BR2"/>
    <mergeCell ref="AV2:AZ2"/>
    <mergeCell ref="BS2:BW2"/>
    <mergeCell ref="BX2:CB2"/>
    <mergeCell ref="EQ2:EU2"/>
    <mergeCell ref="EL2:EP2"/>
    <mergeCell ref="DP2:DT2"/>
    <mergeCell ref="EG1:FB1"/>
    <mergeCell ref="DK2:DO2"/>
    <mergeCell ref="DK1:EF1"/>
    <mergeCell ref="DU2:DY2"/>
    <mergeCell ref="EG2:EK2"/>
  </mergeCells>
  <conditionalFormatting sqref="H1:H1048576">
    <cfRule type="containsText" dxfId="226" priority="6" operator="containsText" text="No DD">
      <formula>NOT(ISERROR(SEARCH("No DD",H1)))</formula>
    </cfRule>
    <cfRule type="containsText" dxfId="225" priority="7" operator="containsText" text="Merit">
      <formula>NOT(ISERROR(SEARCH("Merit",H1)))</formula>
    </cfRule>
    <cfRule type="containsText" dxfId="224" priority="8" operator="containsText" text="Excellence">
      <formula>NOT(ISERROR(SEARCH("Excellence",H1)))</formula>
    </cfRule>
    <cfRule type="containsText" dxfId="223" priority="9" operator="containsText" text="Worlds Team">
      <formula>NOT(ISERROR(SEARCH("Worlds Team",H1)))</formula>
    </cfRule>
    <cfRule type="containsText" dxfId="222" priority="10" operator="containsText" text="National Team">
      <formula>NOT(ISERROR(SEARCH("National Team",H1)))</formula>
    </cfRule>
  </conditionalFormatting>
  <conditionalFormatting sqref="A4:A1048576">
    <cfRule type="expression" dxfId="221" priority="1">
      <formula>AND(G4&lt;&gt;"",F4="")</formula>
    </cfRule>
    <cfRule type="expression" dxfId="220" priority="48705">
      <formula>IF(A4&gt;4,1,0)</formula>
    </cfRule>
  </conditionalFormatting>
  <conditionalFormatting sqref="DF1:DF1048576 EB1:EB1048576 EX1:EX1048576 FT1:FT1048576 GP1:GP1048576 HL1:HL1048576 IH1:IH1048576 JD1:JD1048576 JZ1:JZ1048576 KV1:KV1048576 LR1:LR1048576 MN1:MN1048576">
    <cfRule type="cellIs" dxfId="219" priority="59174" stopIfTrue="1" operator="between">
      <formula>DJ$24</formula>
      <formula>1000</formula>
    </cfRule>
    <cfRule type="cellIs" dxfId="218" priority="59175" operator="between">
      <formula>DJ$23</formula>
      <formula>DJ$24</formula>
    </cfRule>
  </conditionalFormatting>
  <conditionalFormatting sqref="DG1:DG1048576 EC1:EC1048576 EY1:EY1048576 FU1:FU1048576 GQ1:GQ1048576 HM1:HM1048576 II1:II1048576 JE1:JE1048576 KA1:KA1048576 KW1:KW1048576 LS1:LS1048576 MO1:MO1048576 AM1:AM1048576 BJ1:BJ1048576 CG1:CG1048576">
    <cfRule type="cellIs" dxfId="217" priority="59264" operator="between">
      <formula>AP$23</formula>
      <formula>1000</formula>
    </cfRule>
    <cfRule type="cellIs" dxfId="216" priority="59265" operator="between">
      <formula>AP$22</formula>
      <formula>AP$23</formula>
    </cfRule>
    <cfRule type="cellIs" dxfId="215" priority="59266" operator="between">
      <formula>AP$21</formula>
      <formula>AP$22</formula>
    </cfRule>
  </conditionalFormatting>
  <conditionalFormatting sqref="AO1:AO1048576 BL1:BL1048576 CI1:CI1048576 DI1:DI1048576 EE1:EE1048576 FA1:FA1048576 FW1:FW1048576 GS1:GS1048576 HO1:HO1048576 IK1:IK1048576 JG1:JG1048576 KC1:KC1048576 KY1:KY1048576 LU1:LU1048576 MQ1:MQ1048576">
    <cfRule type="cellIs" dxfId="214" priority="59399" operator="between">
      <formula>AP$24</formula>
      <formula>1000</formula>
    </cfRule>
  </conditionalFormatting>
  <conditionalFormatting sqref="DD1:DD1048576 DZ1:DZ1048576 EV1:EV1048576 FR1:FR1048576 GN1:GN1048576 HJ1:HJ1048576 IF1:IF1048576 JB1:JB1048576 JX1:JX1048576 KT1:KT1048576 LP1:LP1048576 ML1:ML1048576">
    <cfRule type="cellIs" dxfId="213" priority="59444" operator="between">
      <formula>DJ$20</formula>
      <formula>1000</formula>
    </cfRule>
    <cfRule type="cellIs" dxfId="212" priority="59445" operator="between">
      <formula>DJ$19</formula>
      <formula>DJ$20</formula>
    </cfRule>
    <cfRule type="cellIs" dxfId="211" priority="59446" operator="between">
      <formula>DJ$18</formula>
      <formula>DJ$19</formula>
    </cfRule>
    <cfRule type="cellIs" dxfId="210" priority="59447" operator="between">
      <formula>DJ$17</formula>
      <formula>DJ$18</formula>
    </cfRule>
  </conditionalFormatting>
  <conditionalFormatting sqref="CE1:CE1048576">
    <cfRule type="cellIs" dxfId="209" priority="59588" operator="between">
      <formula>CJ$20</formula>
      <formula>1000</formula>
    </cfRule>
    <cfRule type="cellIs" dxfId="208" priority="59589" operator="between">
      <formula>CJ$19</formula>
      <formula>CJ$20</formula>
    </cfRule>
    <cfRule type="cellIs" dxfId="207" priority="59590" operator="between">
      <formula>CJ$18</formula>
      <formula>CJ$19</formula>
    </cfRule>
    <cfRule type="cellIs" dxfId="206" priority="59591" operator="between">
      <formula>CJ$17</formula>
      <formula>CJ$18</formula>
    </cfRule>
  </conditionalFormatting>
  <conditionalFormatting sqref="CF1:CF1048576">
    <cfRule type="cellIs" dxfId="205" priority="59624" operator="between">
      <formula>CJ$24</formula>
      <formula>1000</formula>
    </cfRule>
  </conditionalFormatting>
  <conditionalFormatting sqref="AN1:AN1048576 CH1:CH1048576 BK1:BK1048576 DH1:DH1048576 ED1:ED1048576 EZ1:EZ1048576 FV1:FV1048576 GR1:GR1048576 HN1:HN1048576 IJ1:IJ1048576 JF1:JF1048576 KB1:KB1048576 KX1:KX1048576 LT1:LT1048576 MP1:MP1048576">
    <cfRule type="cellIs" dxfId="204" priority="59669" operator="between">
      <formula>AP$20</formula>
      <formula>1000</formula>
    </cfRule>
    <cfRule type="cellIs" dxfId="203" priority="59670" operator="between">
      <formula>AP$19</formula>
      <formula>AP$20</formula>
    </cfRule>
    <cfRule type="cellIs" dxfId="202" priority="59671" operator="between">
      <formula>AP$18</formula>
      <formula>AP$19</formula>
    </cfRule>
    <cfRule type="cellIs" dxfId="201" priority="59672" operator="between">
      <formula>AP$17</formula>
      <formula>AP$18</formula>
    </cfRule>
  </conditionalFormatting>
  <conditionalFormatting sqref="AK1:AK1048576 BH1:BH1048576">
    <cfRule type="cellIs" dxfId="200" priority="70305" operator="between">
      <formula>AP$20</formula>
      <formula>1000</formula>
    </cfRule>
    <cfRule type="cellIs" dxfId="199" priority="70306" operator="between">
      <formula>AP$19</formula>
      <formula>AP$20</formula>
    </cfRule>
    <cfRule type="cellIs" dxfId="198" priority="70307" operator="between">
      <formula>AP$18</formula>
      <formula>AP$19</formula>
    </cfRule>
    <cfRule type="cellIs" dxfId="197" priority="70308" operator="between">
      <formula>AP$17</formula>
      <formula>AP$18</formula>
    </cfRule>
  </conditionalFormatting>
  <conditionalFormatting sqref="AL1:AL1048576 BI1:BI1048576">
    <cfRule type="cellIs" dxfId="196" priority="70309" operator="between">
      <formula>AP$24</formula>
      <formula>1000</formula>
    </cfRule>
  </conditionalFormatting>
  <conditionalFormatting sqref="T4:AP14">
    <cfRule type="expression" dxfId="195" priority="70310" stopIfTrue="1">
      <formula>IF($AI4&lt;&gt;"",1,0)</formula>
    </cfRule>
  </conditionalFormatting>
  <conditionalFormatting sqref="AQ4:BM14">
    <cfRule type="expression" dxfId="194" priority="70325" stopIfTrue="1">
      <formula>IF($BF4&lt;&gt;"",1,0)</formula>
    </cfRule>
  </conditionalFormatting>
  <conditionalFormatting sqref="J41:J1048576 L41:L1048576 L1:L37 P1:P1048576 J1:J37 N1:N1048576">
    <cfRule type="expression" dxfId="193" priority="70327">
      <formula>IF(J1=$BN$1,1,0)</formula>
    </cfRule>
    <cfRule type="expression" dxfId="192" priority="70328">
      <formula>IF(J1=$AQ$1,1,0)</formula>
    </cfRule>
    <cfRule type="expression" dxfId="191" priority="70329">
      <formula>IF(J1=$T$1,1,0)</formula>
    </cfRule>
  </conditionalFormatting>
  <conditionalFormatting sqref="BN4:CJ14">
    <cfRule type="expression" dxfId="190" priority="70330" stopIfTrue="1">
      <formula>IF($CC4&lt;&gt;"",1,0)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9519-A026-7A45-801A-5E36CBEFC065}">
  <sheetPr codeName="Sheet8"/>
  <dimension ref="A1:NO4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6640625" bestFit="1" customWidth="1"/>
    <col min="3" max="3" width="8.1640625" bestFit="1" customWidth="1"/>
    <col min="4" max="4" width="12" customWidth="1"/>
    <col min="6" max="6" width="14.1640625" customWidth="1"/>
    <col min="7" max="7" width="14.1640625" style="67" bestFit="1" customWidth="1"/>
    <col min="8" max="8" width="13.33203125" bestFit="1" customWidth="1"/>
    <col min="9" max="9" width="10.83203125" customWidth="1"/>
    <col min="10" max="10" width="27.5" bestFit="1" customWidth="1"/>
    <col min="12" max="12" width="20.5" bestFit="1" customWidth="1"/>
    <col min="14" max="14" width="20.5" bestFit="1" customWidth="1"/>
    <col min="16" max="16" width="27.5" bestFit="1" customWidth="1"/>
    <col min="17" max="17" width="24.6640625" bestFit="1" customWidth="1"/>
    <col min="18" max="18" width="13" bestFit="1" customWidth="1"/>
    <col min="19" max="19" width="43.5" bestFit="1" customWidth="1"/>
    <col min="20" max="35" width="10.83203125" hidden="1" customWidth="1"/>
    <col min="36" max="42" width="10.83203125" customWidth="1"/>
    <col min="43" max="58" width="10.83203125" hidden="1" customWidth="1"/>
    <col min="59" max="65" width="10.83203125" customWidth="1"/>
    <col min="66" max="81" width="10.83203125" hidden="1" customWidth="1"/>
    <col min="82" max="92" width="10.83203125" customWidth="1"/>
    <col min="93" max="107" width="10.83203125" hidden="1" customWidth="1"/>
    <col min="108" max="114" width="10.83203125" customWidth="1"/>
    <col min="115" max="129" width="10.83203125" hidden="1" customWidth="1"/>
    <col min="130" max="136" width="10.83203125" customWidth="1"/>
    <col min="137" max="379" width="10.83203125" hidden="1" customWidth="1"/>
    <col min="380" max="381" width="10.83203125" customWidth="1"/>
  </cols>
  <sheetData>
    <row r="1" spans="1:37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4" t="s">
        <v>5</v>
      </c>
      <c r="H1" s="74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61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1" t="s">
        <v>80</v>
      </c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2" t="s">
        <v>100</v>
      </c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1" t="s">
        <v>119</v>
      </c>
      <c r="BO1" s="71"/>
      <c r="BP1" s="7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3" t="s">
        <v>10</v>
      </c>
      <c r="CL1" s="73"/>
      <c r="CM1" s="73"/>
      <c r="CN1" s="73"/>
      <c r="CO1" s="71" t="s">
        <v>116</v>
      </c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2" t="s">
        <v>121</v>
      </c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1"/>
      <c r="EH1" s="71"/>
      <c r="EI1" s="71"/>
      <c r="EJ1" s="71"/>
      <c r="EK1" s="71"/>
      <c r="EL1" s="71"/>
      <c r="EM1" s="71"/>
      <c r="EN1" s="71"/>
      <c r="EO1" s="71"/>
      <c r="EP1" s="71"/>
      <c r="EQ1" s="71"/>
      <c r="ER1" s="71"/>
      <c r="ES1" s="71"/>
      <c r="ET1" s="71"/>
      <c r="EU1" s="71"/>
      <c r="EV1" s="71"/>
      <c r="EW1" s="71"/>
      <c r="EX1" s="71"/>
      <c r="EY1" s="71"/>
      <c r="EZ1" s="71"/>
      <c r="FA1" s="71"/>
      <c r="FB1" s="71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1"/>
      <c r="GP1" s="71"/>
      <c r="GQ1" s="71"/>
      <c r="GR1" s="71"/>
      <c r="GS1" s="71"/>
      <c r="GT1" s="71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1"/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71"/>
      <c r="IC1" s="71"/>
      <c r="ID1" s="71"/>
      <c r="IE1" s="71"/>
      <c r="IF1" s="71"/>
      <c r="IG1" s="71"/>
      <c r="IH1" s="71"/>
      <c r="II1" s="71"/>
      <c r="IJ1" s="71"/>
      <c r="IK1" s="71"/>
      <c r="IL1" s="71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1"/>
      <c r="JX1" s="71"/>
      <c r="JY1" s="71"/>
      <c r="JZ1" s="71"/>
      <c r="KA1" s="71"/>
      <c r="KB1" s="71"/>
      <c r="KC1" s="71"/>
      <c r="KD1" s="71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2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1" t="s">
        <v>55</v>
      </c>
      <c r="MT1" s="71"/>
      <c r="MU1" s="71"/>
      <c r="MV1" s="71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</row>
    <row r="2" spans="1:379" x14ac:dyDescent="0.2">
      <c r="A2" s="74"/>
      <c r="B2" s="74"/>
      <c r="C2" s="74"/>
      <c r="D2" s="74"/>
      <c r="E2" s="74"/>
      <c r="F2" s="77"/>
      <c r="G2" s="74"/>
      <c r="H2" s="74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19</v>
      </c>
      <c r="AE2" s="69"/>
      <c r="AF2" s="69"/>
      <c r="AG2" s="69"/>
      <c r="AH2" s="69"/>
      <c r="AI2" s="16"/>
      <c r="AJ2" s="6" t="s">
        <v>17</v>
      </c>
      <c r="AK2" s="6" t="s">
        <v>60</v>
      </c>
      <c r="AL2" s="6" t="s">
        <v>18</v>
      </c>
      <c r="AM2" s="6" t="s">
        <v>20</v>
      </c>
      <c r="AN2" s="6" t="s">
        <v>56</v>
      </c>
      <c r="AO2" s="6" t="s">
        <v>19</v>
      </c>
      <c r="AP2" s="6" t="s">
        <v>14</v>
      </c>
      <c r="AQ2" s="70" t="s">
        <v>15</v>
      </c>
      <c r="AR2" s="70"/>
      <c r="AS2" s="70"/>
      <c r="AT2" s="70"/>
      <c r="AU2" s="70"/>
      <c r="AV2" s="70" t="s">
        <v>16</v>
      </c>
      <c r="AW2" s="70"/>
      <c r="AX2" s="70"/>
      <c r="AY2" s="70"/>
      <c r="AZ2" s="70"/>
      <c r="BA2" s="70" t="s">
        <v>19</v>
      </c>
      <c r="BB2" s="70"/>
      <c r="BC2" s="70"/>
      <c r="BD2" s="70"/>
      <c r="BE2" s="70"/>
      <c r="BF2" s="17"/>
      <c r="BG2" s="8" t="s">
        <v>17</v>
      </c>
      <c r="BH2" s="8" t="s">
        <v>60</v>
      </c>
      <c r="BI2" s="8" t="s">
        <v>18</v>
      </c>
      <c r="BJ2" s="8" t="s">
        <v>20</v>
      </c>
      <c r="BK2" s="8" t="s">
        <v>56</v>
      </c>
      <c r="BL2" s="8" t="s">
        <v>19</v>
      </c>
      <c r="BM2" s="8" t="s">
        <v>14</v>
      </c>
      <c r="BN2" s="69" t="s">
        <v>15</v>
      </c>
      <c r="BO2" s="69"/>
      <c r="BP2" s="69"/>
      <c r="BQ2" s="69"/>
      <c r="BR2" s="69"/>
      <c r="BS2" s="69" t="s">
        <v>16</v>
      </c>
      <c r="BT2" s="69"/>
      <c r="BU2" s="69"/>
      <c r="BV2" s="69"/>
      <c r="BW2" s="69"/>
      <c r="BX2" s="69" t="s">
        <v>19</v>
      </c>
      <c r="BY2" s="69"/>
      <c r="BZ2" s="69"/>
      <c r="CA2" s="69"/>
      <c r="CB2" s="69"/>
      <c r="CC2" s="16"/>
      <c r="CD2" s="6" t="s">
        <v>17</v>
      </c>
      <c r="CE2" s="6" t="s">
        <v>60</v>
      </c>
      <c r="CF2" s="6" t="s">
        <v>18</v>
      </c>
      <c r="CG2" s="6" t="s">
        <v>20</v>
      </c>
      <c r="CH2" s="6" t="s">
        <v>56</v>
      </c>
      <c r="CI2" s="6" t="s">
        <v>19</v>
      </c>
      <c r="CJ2" s="6" t="s">
        <v>14</v>
      </c>
      <c r="CK2" s="12" t="s">
        <v>17</v>
      </c>
      <c r="CL2" s="12" t="s">
        <v>18</v>
      </c>
      <c r="CM2" s="12" t="s">
        <v>20</v>
      </c>
      <c r="CN2" s="12" t="s">
        <v>19</v>
      </c>
      <c r="CO2" s="69" t="s">
        <v>15</v>
      </c>
      <c r="CP2" s="69"/>
      <c r="CQ2" s="69"/>
      <c r="CR2" s="69"/>
      <c r="CS2" s="69"/>
      <c r="CT2" s="69" t="s">
        <v>16</v>
      </c>
      <c r="CU2" s="69"/>
      <c r="CV2" s="69"/>
      <c r="CW2" s="69"/>
      <c r="CX2" s="69"/>
      <c r="CY2" s="69" t="s">
        <v>19</v>
      </c>
      <c r="CZ2" s="69"/>
      <c r="DA2" s="69"/>
      <c r="DB2" s="69"/>
      <c r="DC2" s="69"/>
      <c r="DD2" s="16" t="s">
        <v>50</v>
      </c>
      <c r="DE2" s="6" t="s">
        <v>17</v>
      </c>
      <c r="DF2" s="6" t="s">
        <v>18</v>
      </c>
      <c r="DG2" s="6" t="s">
        <v>20</v>
      </c>
      <c r="DH2" s="6" t="s">
        <v>56</v>
      </c>
      <c r="DI2" s="6" t="s">
        <v>19</v>
      </c>
      <c r="DJ2" s="6" t="s">
        <v>14</v>
      </c>
      <c r="DK2" s="70" t="s">
        <v>15</v>
      </c>
      <c r="DL2" s="70"/>
      <c r="DM2" s="70"/>
      <c r="DN2" s="70"/>
      <c r="DO2" s="70"/>
      <c r="DP2" s="70" t="s">
        <v>16</v>
      </c>
      <c r="DQ2" s="70"/>
      <c r="DR2" s="70"/>
      <c r="DS2" s="70"/>
      <c r="DT2" s="70"/>
      <c r="DU2" s="70" t="s">
        <v>19</v>
      </c>
      <c r="DV2" s="70"/>
      <c r="DW2" s="70"/>
      <c r="DX2" s="70"/>
      <c r="DY2" s="70"/>
      <c r="DZ2" s="17" t="s">
        <v>50</v>
      </c>
      <c r="EA2" s="8" t="s">
        <v>17</v>
      </c>
      <c r="EB2" s="8" t="s">
        <v>18</v>
      </c>
      <c r="EC2" s="8" t="s">
        <v>20</v>
      </c>
      <c r="ED2" s="8" t="s">
        <v>56</v>
      </c>
      <c r="EE2" s="8" t="s">
        <v>19</v>
      </c>
      <c r="EF2" s="8" t="s">
        <v>14</v>
      </c>
      <c r="EG2" s="69" t="s">
        <v>15</v>
      </c>
      <c r="EH2" s="69"/>
      <c r="EI2" s="69"/>
      <c r="EJ2" s="69"/>
      <c r="EK2" s="69"/>
      <c r="EL2" s="69" t="s">
        <v>16</v>
      </c>
      <c r="EM2" s="69"/>
      <c r="EN2" s="69"/>
      <c r="EO2" s="69"/>
      <c r="EP2" s="69"/>
      <c r="EQ2" s="69" t="s">
        <v>19</v>
      </c>
      <c r="ER2" s="69"/>
      <c r="ES2" s="69"/>
      <c r="ET2" s="69"/>
      <c r="EU2" s="69"/>
      <c r="EV2" s="16" t="s">
        <v>50</v>
      </c>
      <c r="EW2" s="6" t="s">
        <v>17</v>
      </c>
      <c r="EX2" s="6" t="s">
        <v>18</v>
      </c>
      <c r="EY2" s="6" t="s">
        <v>20</v>
      </c>
      <c r="EZ2" s="6" t="s">
        <v>56</v>
      </c>
      <c r="FA2" s="6" t="s">
        <v>19</v>
      </c>
      <c r="FB2" s="6" t="s">
        <v>14</v>
      </c>
      <c r="FC2" s="70" t="s">
        <v>15</v>
      </c>
      <c r="FD2" s="70"/>
      <c r="FE2" s="70"/>
      <c r="FF2" s="70"/>
      <c r="FG2" s="70"/>
      <c r="FH2" s="70" t="s">
        <v>16</v>
      </c>
      <c r="FI2" s="70"/>
      <c r="FJ2" s="70"/>
      <c r="FK2" s="70"/>
      <c r="FL2" s="70"/>
      <c r="FM2" s="70" t="s">
        <v>19</v>
      </c>
      <c r="FN2" s="70"/>
      <c r="FO2" s="70"/>
      <c r="FP2" s="70"/>
      <c r="FQ2" s="70"/>
      <c r="FR2" s="17" t="s">
        <v>50</v>
      </c>
      <c r="FS2" s="8" t="s">
        <v>17</v>
      </c>
      <c r="FT2" s="8" t="s">
        <v>18</v>
      </c>
      <c r="FU2" s="8" t="s">
        <v>20</v>
      </c>
      <c r="FV2" s="8" t="s">
        <v>56</v>
      </c>
      <c r="FW2" s="8" t="s">
        <v>19</v>
      </c>
      <c r="FX2" s="8" t="s">
        <v>14</v>
      </c>
      <c r="FY2" s="69" t="s">
        <v>15</v>
      </c>
      <c r="FZ2" s="69"/>
      <c r="GA2" s="69"/>
      <c r="GB2" s="69"/>
      <c r="GC2" s="69"/>
      <c r="GD2" s="69" t="s">
        <v>16</v>
      </c>
      <c r="GE2" s="69"/>
      <c r="GF2" s="69"/>
      <c r="GG2" s="69"/>
      <c r="GH2" s="69"/>
      <c r="GI2" s="69" t="s">
        <v>19</v>
      </c>
      <c r="GJ2" s="69"/>
      <c r="GK2" s="69"/>
      <c r="GL2" s="69"/>
      <c r="GM2" s="69"/>
      <c r="GN2" s="16" t="s">
        <v>50</v>
      </c>
      <c r="GO2" s="6" t="s">
        <v>17</v>
      </c>
      <c r="GP2" s="6" t="s">
        <v>18</v>
      </c>
      <c r="GQ2" s="6" t="s">
        <v>20</v>
      </c>
      <c r="GR2" s="6" t="s">
        <v>56</v>
      </c>
      <c r="GS2" s="6" t="s">
        <v>19</v>
      </c>
      <c r="GT2" s="6" t="s">
        <v>14</v>
      </c>
      <c r="GU2" s="70" t="s">
        <v>15</v>
      </c>
      <c r="GV2" s="70"/>
      <c r="GW2" s="70"/>
      <c r="GX2" s="70"/>
      <c r="GY2" s="70"/>
      <c r="GZ2" s="70" t="s">
        <v>16</v>
      </c>
      <c r="HA2" s="70"/>
      <c r="HB2" s="70"/>
      <c r="HC2" s="70"/>
      <c r="HD2" s="70"/>
      <c r="HE2" s="70" t="s">
        <v>19</v>
      </c>
      <c r="HF2" s="70"/>
      <c r="HG2" s="70"/>
      <c r="HH2" s="70"/>
      <c r="HI2" s="70"/>
      <c r="HJ2" s="17" t="s">
        <v>50</v>
      </c>
      <c r="HK2" s="8" t="s">
        <v>17</v>
      </c>
      <c r="HL2" s="8" t="s">
        <v>18</v>
      </c>
      <c r="HM2" s="8" t="s">
        <v>20</v>
      </c>
      <c r="HN2" s="8" t="s">
        <v>56</v>
      </c>
      <c r="HO2" s="8" t="s">
        <v>19</v>
      </c>
      <c r="HP2" s="8" t="s">
        <v>14</v>
      </c>
      <c r="HQ2" s="69" t="s">
        <v>15</v>
      </c>
      <c r="HR2" s="69"/>
      <c r="HS2" s="69"/>
      <c r="HT2" s="69"/>
      <c r="HU2" s="69"/>
      <c r="HV2" s="69" t="s">
        <v>16</v>
      </c>
      <c r="HW2" s="69"/>
      <c r="HX2" s="69"/>
      <c r="HY2" s="69"/>
      <c r="HZ2" s="69"/>
      <c r="IA2" s="69" t="s">
        <v>19</v>
      </c>
      <c r="IB2" s="69"/>
      <c r="IC2" s="69"/>
      <c r="ID2" s="69"/>
      <c r="IE2" s="69"/>
      <c r="IF2" s="16" t="s">
        <v>50</v>
      </c>
      <c r="IG2" s="6" t="s">
        <v>17</v>
      </c>
      <c r="IH2" s="6" t="s">
        <v>18</v>
      </c>
      <c r="II2" s="6" t="s">
        <v>20</v>
      </c>
      <c r="IJ2" s="6" t="s">
        <v>56</v>
      </c>
      <c r="IK2" s="6" t="s">
        <v>19</v>
      </c>
      <c r="IL2" s="6" t="s">
        <v>14</v>
      </c>
      <c r="IM2" s="70" t="s">
        <v>15</v>
      </c>
      <c r="IN2" s="70"/>
      <c r="IO2" s="70"/>
      <c r="IP2" s="70"/>
      <c r="IQ2" s="70"/>
      <c r="IR2" s="70" t="s">
        <v>16</v>
      </c>
      <c r="IS2" s="70"/>
      <c r="IT2" s="70"/>
      <c r="IU2" s="70"/>
      <c r="IV2" s="70"/>
      <c r="IW2" s="70" t="s">
        <v>19</v>
      </c>
      <c r="IX2" s="70"/>
      <c r="IY2" s="70"/>
      <c r="IZ2" s="70"/>
      <c r="JA2" s="70"/>
      <c r="JB2" s="17" t="s">
        <v>50</v>
      </c>
      <c r="JC2" s="8" t="s">
        <v>17</v>
      </c>
      <c r="JD2" s="8" t="s">
        <v>18</v>
      </c>
      <c r="JE2" s="8" t="s">
        <v>20</v>
      </c>
      <c r="JF2" s="8" t="s">
        <v>56</v>
      </c>
      <c r="JG2" s="8" t="s">
        <v>19</v>
      </c>
      <c r="JH2" s="8" t="s">
        <v>14</v>
      </c>
      <c r="JI2" s="69" t="s">
        <v>15</v>
      </c>
      <c r="JJ2" s="69"/>
      <c r="JK2" s="69"/>
      <c r="JL2" s="69"/>
      <c r="JM2" s="69"/>
      <c r="JN2" s="69" t="s">
        <v>16</v>
      </c>
      <c r="JO2" s="69"/>
      <c r="JP2" s="69"/>
      <c r="JQ2" s="69"/>
      <c r="JR2" s="69"/>
      <c r="JS2" s="69" t="s">
        <v>19</v>
      </c>
      <c r="JT2" s="69"/>
      <c r="JU2" s="69"/>
      <c r="JV2" s="69"/>
      <c r="JW2" s="69"/>
      <c r="JX2" s="16" t="s">
        <v>50</v>
      </c>
      <c r="JY2" s="6" t="s">
        <v>17</v>
      </c>
      <c r="JZ2" s="6" t="s">
        <v>18</v>
      </c>
      <c r="KA2" s="6" t="s">
        <v>20</v>
      </c>
      <c r="KB2" s="6" t="s">
        <v>56</v>
      </c>
      <c r="KC2" s="6" t="s">
        <v>19</v>
      </c>
      <c r="KD2" s="6" t="s">
        <v>14</v>
      </c>
      <c r="KE2" s="70" t="s">
        <v>15</v>
      </c>
      <c r="KF2" s="70"/>
      <c r="KG2" s="70"/>
      <c r="KH2" s="70"/>
      <c r="KI2" s="70"/>
      <c r="KJ2" s="70" t="s">
        <v>16</v>
      </c>
      <c r="KK2" s="70"/>
      <c r="KL2" s="70"/>
      <c r="KM2" s="70"/>
      <c r="KN2" s="70"/>
      <c r="KO2" s="70" t="s">
        <v>19</v>
      </c>
      <c r="KP2" s="70"/>
      <c r="KQ2" s="70"/>
      <c r="KR2" s="70"/>
      <c r="KS2" s="70"/>
      <c r="KT2" s="17" t="s">
        <v>50</v>
      </c>
      <c r="KU2" s="8" t="s">
        <v>17</v>
      </c>
      <c r="KV2" s="8" t="s">
        <v>18</v>
      </c>
      <c r="KW2" s="8" t="s">
        <v>20</v>
      </c>
      <c r="KX2" s="8" t="s">
        <v>56</v>
      </c>
      <c r="KY2" s="8" t="s">
        <v>19</v>
      </c>
      <c r="KZ2" s="8" t="s">
        <v>14</v>
      </c>
      <c r="LA2" s="69" t="s">
        <v>15</v>
      </c>
      <c r="LB2" s="69"/>
      <c r="LC2" s="69"/>
      <c r="LD2" s="69"/>
      <c r="LE2" s="69"/>
      <c r="LF2" s="69" t="s">
        <v>16</v>
      </c>
      <c r="LG2" s="69"/>
      <c r="LH2" s="69"/>
      <c r="LI2" s="69"/>
      <c r="LJ2" s="69"/>
      <c r="LK2" s="69" t="s">
        <v>19</v>
      </c>
      <c r="LL2" s="69"/>
      <c r="LM2" s="69"/>
      <c r="LN2" s="69"/>
      <c r="LO2" s="69"/>
      <c r="LP2" s="16" t="s">
        <v>50</v>
      </c>
      <c r="LQ2" s="6" t="s">
        <v>17</v>
      </c>
      <c r="LR2" s="6" t="s">
        <v>18</v>
      </c>
      <c r="LS2" s="6" t="s">
        <v>20</v>
      </c>
      <c r="LT2" s="6" t="s">
        <v>56</v>
      </c>
      <c r="LU2" s="6" t="s">
        <v>19</v>
      </c>
      <c r="LV2" s="6" t="s">
        <v>14</v>
      </c>
      <c r="LW2" s="70" t="s">
        <v>15</v>
      </c>
      <c r="LX2" s="70"/>
      <c r="LY2" s="70"/>
      <c r="LZ2" s="70"/>
      <c r="MA2" s="70"/>
      <c r="MB2" s="70" t="s">
        <v>16</v>
      </c>
      <c r="MC2" s="70"/>
      <c r="MD2" s="70"/>
      <c r="ME2" s="70"/>
      <c r="MF2" s="70"/>
      <c r="MG2" s="70" t="s">
        <v>19</v>
      </c>
      <c r="MH2" s="70"/>
      <c r="MI2" s="70"/>
      <c r="MJ2" s="70"/>
      <c r="MK2" s="70"/>
      <c r="ML2" s="17" t="s">
        <v>50</v>
      </c>
      <c r="MM2" s="8" t="s">
        <v>17</v>
      </c>
      <c r="MN2" s="8" t="s">
        <v>18</v>
      </c>
      <c r="MO2" s="8" t="s">
        <v>20</v>
      </c>
      <c r="MP2" s="8" t="s">
        <v>56</v>
      </c>
      <c r="MQ2" s="8" t="s">
        <v>19</v>
      </c>
      <c r="MR2" s="8" t="s">
        <v>14</v>
      </c>
      <c r="MS2" s="69" t="s">
        <v>15</v>
      </c>
      <c r="MT2" s="69"/>
      <c r="MU2" s="69"/>
      <c r="MV2" s="69"/>
      <c r="MW2" s="69"/>
      <c r="MX2" s="69" t="s">
        <v>16</v>
      </c>
      <c r="MY2" s="69"/>
      <c r="MZ2" s="69"/>
      <c r="NA2" s="69"/>
      <c r="NB2" s="69"/>
      <c r="NC2" s="69" t="s">
        <v>19</v>
      </c>
      <c r="ND2" s="69"/>
      <c r="NE2" s="69"/>
      <c r="NF2" s="69"/>
      <c r="NG2" s="69"/>
      <c r="NH2" s="16"/>
      <c r="NI2" s="6" t="s">
        <v>17</v>
      </c>
      <c r="NJ2" s="6" t="s">
        <v>60</v>
      </c>
      <c r="NK2" s="6" t="s">
        <v>18</v>
      </c>
      <c r="NL2" s="6" t="s">
        <v>20</v>
      </c>
      <c r="NM2" s="6" t="s">
        <v>56</v>
      </c>
      <c r="NN2" s="6" t="s">
        <v>19</v>
      </c>
      <c r="NO2" s="6" t="s">
        <v>14</v>
      </c>
    </row>
    <row r="3" spans="1:379" x14ac:dyDescent="0.2">
      <c r="A3" s="74"/>
      <c r="B3" s="74"/>
      <c r="C3" s="74"/>
      <c r="D3" s="74"/>
      <c r="E3" s="74"/>
      <c r="F3" s="77"/>
      <c r="G3" s="74"/>
      <c r="H3" s="74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43</v>
      </c>
      <c r="AJ3" s="6"/>
      <c r="AK3" s="6"/>
      <c r="AL3" s="6"/>
      <c r="AM3" s="6"/>
      <c r="AN3" s="6"/>
      <c r="AO3" s="6"/>
      <c r="AP3" s="6"/>
      <c r="AQ3" s="17" t="s">
        <v>11</v>
      </c>
      <c r="AR3" s="17" t="s">
        <v>12</v>
      </c>
      <c r="AS3" s="17" t="s">
        <v>4</v>
      </c>
      <c r="AT3" s="17" t="s">
        <v>13</v>
      </c>
      <c r="AU3" s="17" t="s">
        <v>22</v>
      </c>
      <c r="AV3" s="17" t="s">
        <v>11</v>
      </c>
      <c r="AW3" s="17" t="s">
        <v>12</v>
      </c>
      <c r="AX3" s="17" t="s">
        <v>4</v>
      </c>
      <c r="AY3" s="17" t="s">
        <v>13</v>
      </c>
      <c r="AZ3" s="17" t="s">
        <v>22</v>
      </c>
      <c r="BA3" s="17" t="s">
        <v>11</v>
      </c>
      <c r="BB3" s="17" t="s">
        <v>12</v>
      </c>
      <c r="BC3" s="17" t="s">
        <v>4</v>
      </c>
      <c r="BD3" s="17" t="s">
        <v>13</v>
      </c>
      <c r="BE3" s="17" t="s">
        <v>22</v>
      </c>
      <c r="BF3" s="17" t="s">
        <v>43</v>
      </c>
      <c r="BG3" s="8"/>
      <c r="BH3" s="8"/>
      <c r="BI3" s="8"/>
      <c r="BJ3" s="8"/>
      <c r="BK3" s="8"/>
      <c r="BL3" s="8"/>
      <c r="BM3" s="8"/>
      <c r="BN3" s="16" t="s">
        <v>11</v>
      </c>
      <c r="BO3" s="16" t="s">
        <v>12</v>
      </c>
      <c r="BP3" s="16" t="s">
        <v>4</v>
      </c>
      <c r="BQ3" s="16" t="s">
        <v>13</v>
      </c>
      <c r="BR3" s="16" t="s">
        <v>22</v>
      </c>
      <c r="BS3" s="16" t="s">
        <v>11</v>
      </c>
      <c r="BT3" s="16" t="s">
        <v>12</v>
      </c>
      <c r="BU3" s="16" t="s">
        <v>4</v>
      </c>
      <c r="BV3" s="16" t="s">
        <v>13</v>
      </c>
      <c r="BW3" s="16" t="s">
        <v>22</v>
      </c>
      <c r="BX3" s="16" t="s">
        <v>11</v>
      </c>
      <c r="BY3" s="16" t="s">
        <v>12</v>
      </c>
      <c r="BZ3" s="16" t="s">
        <v>4</v>
      </c>
      <c r="CA3" s="16" t="s">
        <v>13</v>
      </c>
      <c r="CB3" s="16" t="s">
        <v>22</v>
      </c>
      <c r="CC3" s="16" t="s">
        <v>43</v>
      </c>
      <c r="CD3" s="6"/>
      <c r="CE3" s="6"/>
      <c r="CF3" s="6"/>
      <c r="CG3" s="6"/>
      <c r="CH3" s="6"/>
      <c r="CI3" s="6"/>
      <c r="CJ3" s="6"/>
      <c r="CK3" s="12"/>
      <c r="CL3" s="12"/>
      <c r="CM3" s="12"/>
      <c r="CN3" s="12"/>
      <c r="CO3" s="16" t="s">
        <v>11</v>
      </c>
      <c r="CP3" s="16" t="s">
        <v>12</v>
      </c>
      <c r="CQ3" s="16" t="s">
        <v>4</v>
      </c>
      <c r="CR3" s="16" t="s">
        <v>13</v>
      </c>
      <c r="CS3" s="16" t="s">
        <v>22</v>
      </c>
      <c r="CT3" s="16" t="s">
        <v>11</v>
      </c>
      <c r="CU3" s="16" t="s">
        <v>12</v>
      </c>
      <c r="CV3" s="16" t="s">
        <v>4</v>
      </c>
      <c r="CW3" s="16" t="s">
        <v>13</v>
      </c>
      <c r="CX3" s="16" t="s">
        <v>22</v>
      </c>
      <c r="CY3" s="16" t="s">
        <v>11</v>
      </c>
      <c r="CZ3" s="16" t="s">
        <v>12</v>
      </c>
      <c r="DA3" s="16" t="s">
        <v>4</v>
      </c>
      <c r="DB3" s="16" t="s">
        <v>13</v>
      </c>
      <c r="DC3" s="16" t="s">
        <v>22</v>
      </c>
      <c r="DD3" s="6"/>
      <c r="DE3" s="6"/>
      <c r="DF3" s="6"/>
      <c r="DG3" s="6"/>
      <c r="DH3" s="6"/>
      <c r="DI3" s="6"/>
      <c r="DJ3" s="6"/>
      <c r="DK3" s="17" t="s">
        <v>11</v>
      </c>
      <c r="DL3" s="17" t="s">
        <v>12</v>
      </c>
      <c r="DM3" s="17" t="s">
        <v>4</v>
      </c>
      <c r="DN3" s="17" t="s">
        <v>13</v>
      </c>
      <c r="DO3" s="17" t="s">
        <v>22</v>
      </c>
      <c r="DP3" s="17" t="s">
        <v>11</v>
      </c>
      <c r="DQ3" s="17" t="s">
        <v>12</v>
      </c>
      <c r="DR3" s="17" t="s">
        <v>4</v>
      </c>
      <c r="DS3" s="17" t="s">
        <v>13</v>
      </c>
      <c r="DT3" s="17" t="s">
        <v>22</v>
      </c>
      <c r="DU3" s="17" t="s">
        <v>11</v>
      </c>
      <c r="DV3" s="17" t="s">
        <v>12</v>
      </c>
      <c r="DW3" s="17" t="s">
        <v>4</v>
      </c>
      <c r="DX3" s="17" t="s">
        <v>13</v>
      </c>
      <c r="DY3" s="21" t="s">
        <v>22</v>
      </c>
      <c r="DZ3" s="8"/>
      <c r="EA3" s="8"/>
      <c r="EB3" s="8"/>
      <c r="EC3" s="8"/>
      <c r="ED3" s="8"/>
      <c r="EE3" s="8"/>
      <c r="EF3" s="8"/>
      <c r="EG3" s="16" t="s">
        <v>11</v>
      </c>
      <c r="EH3" s="16" t="s">
        <v>12</v>
      </c>
      <c r="EI3" s="16" t="s">
        <v>4</v>
      </c>
      <c r="EJ3" s="16" t="s">
        <v>13</v>
      </c>
      <c r="EK3" s="16" t="s">
        <v>22</v>
      </c>
      <c r="EL3" s="16" t="s">
        <v>11</v>
      </c>
      <c r="EM3" s="16" t="s">
        <v>12</v>
      </c>
      <c r="EN3" s="16" t="s">
        <v>4</v>
      </c>
      <c r="EO3" s="16" t="s">
        <v>13</v>
      </c>
      <c r="EP3" s="16" t="s">
        <v>22</v>
      </c>
      <c r="EQ3" s="16" t="s">
        <v>11</v>
      </c>
      <c r="ER3" s="16" t="s">
        <v>12</v>
      </c>
      <c r="ES3" s="16" t="s">
        <v>4</v>
      </c>
      <c r="ET3" s="16" t="s">
        <v>13</v>
      </c>
      <c r="EU3" s="16" t="s">
        <v>22</v>
      </c>
      <c r="EV3" s="6"/>
      <c r="EW3" s="6"/>
      <c r="EX3" s="6"/>
      <c r="EY3" s="6"/>
      <c r="EZ3" s="6"/>
      <c r="FA3" s="6"/>
      <c r="FB3" s="6"/>
      <c r="FC3" s="17" t="s">
        <v>11</v>
      </c>
      <c r="FD3" s="17" t="s">
        <v>12</v>
      </c>
      <c r="FE3" s="17" t="s">
        <v>4</v>
      </c>
      <c r="FF3" s="17" t="s">
        <v>13</v>
      </c>
      <c r="FG3" s="17" t="s">
        <v>22</v>
      </c>
      <c r="FH3" s="17" t="s">
        <v>11</v>
      </c>
      <c r="FI3" s="17" t="s">
        <v>12</v>
      </c>
      <c r="FJ3" s="17" t="s">
        <v>4</v>
      </c>
      <c r="FK3" s="17" t="s">
        <v>13</v>
      </c>
      <c r="FL3" s="17" t="s">
        <v>22</v>
      </c>
      <c r="FM3" s="17" t="s">
        <v>11</v>
      </c>
      <c r="FN3" s="17" t="s">
        <v>12</v>
      </c>
      <c r="FO3" s="17" t="s">
        <v>4</v>
      </c>
      <c r="FP3" s="17" t="s">
        <v>13</v>
      </c>
      <c r="FQ3" s="17" t="s">
        <v>22</v>
      </c>
      <c r="FR3" s="8"/>
      <c r="FS3" s="8"/>
      <c r="FT3" s="8"/>
      <c r="FU3" s="8"/>
      <c r="FV3" s="8"/>
      <c r="FW3" s="8"/>
      <c r="FX3" s="8"/>
      <c r="FY3" s="16" t="s">
        <v>11</v>
      </c>
      <c r="FZ3" s="16" t="s">
        <v>12</v>
      </c>
      <c r="GA3" s="16" t="s">
        <v>4</v>
      </c>
      <c r="GB3" s="16" t="s">
        <v>13</v>
      </c>
      <c r="GC3" s="16" t="s">
        <v>22</v>
      </c>
      <c r="GD3" s="16" t="s">
        <v>11</v>
      </c>
      <c r="GE3" s="16" t="s">
        <v>12</v>
      </c>
      <c r="GF3" s="16" t="s">
        <v>4</v>
      </c>
      <c r="GG3" s="16" t="s">
        <v>13</v>
      </c>
      <c r="GH3" s="16" t="s">
        <v>22</v>
      </c>
      <c r="GI3" s="16" t="s">
        <v>11</v>
      </c>
      <c r="GJ3" s="16" t="s">
        <v>12</v>
      </c>
      <c r="GK3" s="16" t="s">
        <v>4</v>
      </c>
      <c r="GL3" s="16" t="s">
        <v>13</v>
      </c>
      <c r="GM3" s="16" t="s">
        <v>22</v>
      </c>
      <c r="GN3" s="6"/>
      <c r="GO3" s="6"/>
      <c r="GP3" s="6"/>
      <c r="GQ3" s="6"/>
      <c r="GR3" s="6"/>
      <c r="GS3" s="6"/>
      <c r="GT3" s="6"/>
      <c r="GU3" s="17" t="s">
        <v>11</v>
      </c>
      <c r="GV3" s="17" t="s">
        <v>12</v>
      </c>
      <c r="GW3" s="17" t="s">
        <v>4</v>
      </c>
      <c r="GX3" s="17" t="s">
        <v>13</v>
      </c>
      <c r="GY3" s="17" t="s">
        <v>22</v>
      </c>
      <c r="GZ3" s="17" t="s">
        <v>11</v>
      </c>
      <c r="HA3" s="17" t="s">
        <v>12</v>
      </c>
      <c r="HB3" s="17" t="s">
        <v>4</v>
      </c>
      <c r="HC3" s="17" t="s">
        <v>13</v>
      </c>
      <c r="HD3" s="17" t="s">
        <v>22</v>
      </c>
      <c r="HE3" s="17" t="s">
        <v>11</v>
      </c>
      <c r="HF3" s="17" t="s">
        <v>12</v>
      </c>
      <c r="HG3" s="17" t="s">
        <v>4</v>
      </c>
      <c r="HH3" s="17" t="s">
        <v>13</v>
      </c>
      <c r="HI3" s="17" t="s">
        <v>22</v>
      </c>
      <c r="HJ3" s="8"/>
      <c r="HK3" s="8"/>
      <c r="HL3" s="8"/>
      <c r="HM3" s="8"/>
      <c r="HN3" s="8"/>
      <c r="HO3" s="8"/>
      <c r="HP3" s="8"/>
      <c r="HQ3" s="16" t="s">
        <v>11</v>
      </c>
      <c r="HR3" s="16" t="s">
        <v>12</v>
      </c>
      <c r="HS3" s="16" t="s">
        <v>4</v>
      </c>
      <c r="HT3" s="16" t="s">
        <v>13</v>
      </c>
      <c r="HU3" s="16" t="s">
        <v>22</v>
      </c>
      <c r="HV3" s="16" t="s">
        <v>11</v>
      </c>
      <c r="HW3" s="16" t="s">
        <v>12</v>
      </c>
      <c r="HX3" s="16" t="s">
        <v>4</v>
      </c>
      <c r="HY3" s="16" t="s">
        <v>13</v>
      </c>
      <c r="HZ3" s="16" t="s">
        <v>22</v>
      </c>
      <c r="IA3" s="16" t="s">
        <v>11</v>
      </c>
      <c r="IB3" s="16" t="s">
        <v>12</v>
      </c>
      <c r="IC3" s="16" t="s">
        <v>4</v>
      </c>
      <c r="ID3" s="16" t="s">
        <v>13</v>
      </c>
      <c r="IE3" s="16" t="s">
        <v>22</v>
      </c>
      <c r="IF3" s="6"/>
      <c r="IG3" s="6"/>
      <c r="IH3" s="6"/>
      <c r="II3" s="6"/>
      <c r="IJ3" s="6"/>
      <c r="IK3" s="6"/>
      <c r="IL3" s="6"/>
      <c r="IM3" s="17" t="s">
        <v>11</v>
      </c>
      <c r="IN3" s="17" t="s">
        <v>12</v>
      </c>
      <c r="IO3" s="17" t="s">
        <v>4</v>
      </c>
      <c r="IP3" s="17" t="s">
        <v>13</v>
      </c>
      <c r="IQ3" s="17" t="s">
        <v>22</v>
      </c>
      <c r="IR3" s="17" t="s">
        <v>11</v>
      </c>
      <c r="IS3" s="17" t="s">
        <v>12</v>
      </c>
      <c r="IT3" s="17" t="s">
        <v>4</v>
      </c>
      <c r="IU3" s="17" t="s">
        <v>13</v>
      </c>
      <c r="IV3" s="17" t="s">
        <v>22</v>
      </c>
      <c r="IW3" s="17" t="s">
        <v>11</v>
      </c>
      <c r="IX3" s="17" t="s">
        <v>12</v>
      </c>
      <c r="IY3" s="17" t="s">
        <v>4</v>
      </c>
      <c r="IZ3" s="17" t="s">
        <v>13</v>
      </c>
      <c r="JA3" s="17" t="s">
        <v>22</v>
      </c>
      <c r="JB3" s="8"/>
      <c r="JC3" s="8"/>
      <c r="JD3" s="8"/>
      <c r="JE3" s="8"/>
      <c r="JF3" s="8"/>
      <c r="JG3" s="8"/>
      <c r="JH3" s="8"/>
      <c r="JI3" s="16" t="s">
        <v>11</v>
      </c>
      <c r="JJ3" s="16" t="s">
        <v>12</v>
      </c>
      <c r="JK3" s="16" t="s">
        <v>4</v>
      </c>
      <c r="JL3" s="16" t="s">
        <v>13</v>
      </c>
      <c r="JM3" s="16" t="s">
        <v>22</v>
      </c>
      <c r="JN3" s="16" t="s">
        <v>11</v>
      </c>
      <c r="JO3" s="16" t="s">
        <v>12</v>
      </c>
      <c r="JP3" s="16" t="s">
        <v>4</v>
      </c>
      <c r="JQ3" s="16" t="s">
        <v>13</v>
      </c>
      <c r="JR3" s="16" t="s">
        <v>22</v>
      </c>
      <c r="JS3" s="16" t="s">
        <v>11</v>
      </c>
      <c r="JT3" s="16" t="s">
        <v>12</v>
      </c>
      <c r="JU3" s="16" t="s">
        <v>4</v>
      </c>
      <c r="JV3" s="16" t="s">
        <v>13</v>
      </c>
      <c r="JW3" s="16" t="s">
        <v>22</v>
      </c>
      <c r="JX3" s="6"/>
      <c r="JY3" s="6"/>
      <c r="JZ3" s="6"/>
      <c r="KA3" s="6"/>
      <c r="KB3" s="6"/>
      <c r="KC3" s="6"/>
      <c r="KD3" s="6"/>
      <c r="KE3" s="17" t="s">
        <v>11</v>
      </c>
      <c r="KF3" s="17" t="s">
        <v>12</v>
      </c>
      <c r="KG3" s="17" t="s">
        <v>4</v>
      </c>
      <c r="KH3" s="17" t="s">
        <v>13</v>
      </c>
      <c r="KI3" s="17" t="s">
        <v>22</v>
      </c>
      <c r="KJ3" s="17" t="s">
        <v>11</v>
      </c>
      <c r="KK3" s="17" t="s">
        <v>12</v>
      </c>
      <c r="KL3" s="17" t="s">
        <v>4</v>
      </c>
      <c r="KM3" s="17" t="s">
        <v>13</v>
      </c>
      <c r="KN3" s="17" t="s">
        <v>22</v>
      </c>
      <c r="KO3" s="17" t="s">
        <v>11</v>
      </c>
      <c r="KP3" s="17" t="s">
        <v>12</v>
      </c>
      <c r="KQ3" s="17" t="s">
        <v>4</v>
      </c>
      <c r="KR3" s="17" t="s">
        <v>13</v>
      </c>
      <c r="KS3" s="17" t="s">
        <v>22</v>
      </c>
      <c r="KT3" s="8"/>
      <c r="KU3" s="8"/>
      <c r="KV3" s="8"/>
      <c r="KW3" s="8"/>
      <c r="KX3" s="8"/>
      <c r="KY3" s="8"/>
      <c r="KZ3" s="8"/>
      <c r="LA3" s="16" t="s">
        <v>11</v>
      </c>
      <c r="LB3" s="16" t="s">
        <v>12</v>
      </c>
      <c r="LC3" s="16" t="s">
        <v>4</v>
      </c>
      <c r="LD3" s="16" t="s">
        <v>13</v>
      </c>
      <c r="LE3" s="16" t="s">
        <v>22</v>
      </c>
      <c r="LF3" s="16" t="s">
        <v>11</v>
      </c>
      <c r="LG3" s="16" t="s">
        <v>12</v>
      </c>
      <c r="LH3" s="16" t="s">
        <v>4</v>
      </c>
      <c r="LI3" s="16" t="s">
        <v>13</v>
      </c>
      <c r="LJ3" s="16" t="s">
        <v>22</v>
      </c>
      <c r="LK3" s="16" t="s">
        <v>11</v>
      </c>
      <c r="LL3" s="16" t="s">
        <v>12</v>
      </c>
      <c r="LM3" s="16" t="s">
        <v>4</v>
      </c>
      <c r="LN3" s="16" t="s">
        <v>13</v>
      </c>
      <c r="LO3" s="16" t="s">
        <v>22</v>
      </c>
      <c r="LP3" s="6"/>
      <c r="LQ3" s="6"/>
      <c r="LR3" s="6"/>
      <c r="LS3" s="6"/>
      <c r="LT3" s="6"/>
      <c r="LU3" s="6"/>
      <c r="LV3" s="6"/>
      <c r="LW3" s="17" t="s">
        <v>11</v>
      </c>
      <c r="LX3" s="17" t="s">
        <v>12</v>
      </c>
      <c r="LY3" s="17" t="s">
        <v>4</v>
      </c>
      <c r="LZ3" s="17" t="s">
        <v>13</v>
      </c>
      <c r="MA3" s="17" t="s">
        <v>22</v>
      </c>
      <c r="MB3" s="17" t="s">
        <v>11</v>
      </c>
      <c r="MC3" s="17" t="s">
        <v>12</v>
      </c>
      <c r="MD3" s="17" t="s">
        <v>4</v>
      </c>
      <c r="ME3" s="17" t="s">
        <v>13</v>
      </c>
      <c r="MF3" s="17" t="s">
        <v>22</v>
      </c>
      <c r="MG3" s="17" t="s">
        <v>11</v>
      </c>
      <c r="MH3" s="17" t="s">
        <v>12</v>
      </c>
      <c r="MI3" s="17" t="s">
        <v>4</v>
      </c>
      <c r="MJ3" s="17" t="s">
        <v>13</v>
      </c>
      <c r="MK3" s="17" t="s">
        <v>22</v>
      </c>
      <c r="ML3" s="8"/>
      <c r="MM3" s="8"/>
      <c r="MN3" s="8"/>
      <c r="MO3" s="8"/>
      <c r="MP3" s="8"/>
      <c r="MQ3" s="8"/>
      <c r="MR3" s="8"/>
      <c r="MS3" s="16" t="s">
        <v>11</v>
      </c>
      <c r="MT3" s="16" t="s">
        <v>12</v>
      </c>
      <c r="MU3" s="16" t="s">
        <v>4</v>
      </c>
      <c r="MV3" s="16" t="s">
        <v>13</v>
      </c>
      <c r="MW3" s="16" t="s">
        <v>22</v>
      </c>
      <c r="MX3" s="16" t="s">
        <v>11</v>
      </c>
      <c r="MY3" s="16" t="s">
        <v>12</v>
      </c>
      <c r="MZ3" s="16" t="s">
        <v>4</v>
      </c>
      <c r="NA3" s="16" t="s">
        <v>13</v>
      </c>
      <c r="NB3" s="16" t="s">
        <v>22</v>
      </c>
      <c r="NC3" s="16" t="s">
        <v>11</v>
      </c>
      <c r="ND3" s="16" t="s">
        <v>12</v>
      </c>
      <c r="NE3" s="16" t="s">
        <v>4</v>
      </c>
      <c r="NF3" s="16" t="s">
        <v>13</v>
      </c>
      <c r="NG3" s="16" t="s">
        <v>22</v>
      </c>
      <c r="NH3" s="16" t="s">
        <v>43</v>
      </c>
      <c r="NI3" s="6"/>
      <c r="NJ3" s="6"/>
      <c r="NK3" s="6"/>
      <c r="NL3" s="6"/>
      <c r="NM3" s="6"/>
      <c r="NN3" s="6"/>
      <c r="NO3" s="6"/>
    </row>
    <row r="4" spans="1:379" x14ac:dyDescent="0.2">
      <c r="A4" s="4" t="str" cm="1">
        <f t="array" ref="A4">IF(AND(H4&lt;&gt;"",H4&lt;&gt;"No DD"),SUMPRODUCT((H$4:H$12&lt;&gt;"")*(H$4:H$12&lt;&gt;"No DD")*(E$4:E$12&gt;E4))+1,IF(H4="No DD",SUMPRODUCT((H$4:H$12="No DD")*(E$4:E$12&gt;E4))+1+SUMPRODUCT((H$4:H$12&lt;&gt;"")*(H$4:H$12&lt;&gt;"No DD")),""))</f>
        <v/>
      </c>
      <c r="B4" s="5" t="s">
        <v>89</v>
      </c>
      <c r="C4" s="4" t="s">
        <v>62</v>
      </c>
      <c r="D4" s="4">
        <v>2010</v>
      </c>
      <c r="E4" s="10">
        <f t="shared" ref="E4:E11" si="0">SUM(I4:Q4)</f>
        <v>229.51999999999998</v>
      </c>
      <c r="F4" s="3" t="str">
        <f t="shared" ref="F4:F11" si="1">IF(OR(AND(AK4&gt;=AP$14,AM4&gt;=AP$18,AJ4&lt;&gt;"",AI4=""),AND(BH4&gt;=BM$14,BJ4&gt;=BM$18,BG4&lt;&gt;"",BF4=""),AND(CE4&gt;=CJ$14,CG4&gt;=CJ$18,CD4&lt;&gt;"",CC4=""),AND(DD4&gt;=DJ$14,DG4&gt;=DJ$18,DD4&lt;&gt;""),AND(DZ4&gt;=EF$14,EC4&gt;=EF$18,DZ4&lt;&gt;""),AND(EV4&gt;=FB$14,EY4&gt;=FB$18,EV4&lt;&gt;""),AND(FR4&gt;=FX$14,FU4&gt;=FX$18,FR4&lt;&gt;""),AND(GN4&gt;=GT$14,GQ4&gt;=GT$18,GN4&lt;&gt;""),AND(HJ4&gt;=HP$14,HM4&gt;=HP$18,HJ4&lt;&gt;""),AND(IF4&gt;=IL$14,II4&gt;=IL$18,IF4&lt;&gt;""),AND(JB4&gt;=JH$14,JE4&gt;=JH$18,JB4&lt;&gt;""),AND(JX4&gt;=KD$14,KA4&gt;=KD$18,JX4&lt;&gt;""),AND(KT4&gt;=KZ$14,KW4&gt;=KZ$18,KT4&lt;&gt;""),AND(LP4&gt;=LV$14,LS4&gt;=LV$18,LP4&lt;&gt;""),AND(ML4&gt;=MR$14,MO4&gt;=MR$18,ML4&lt;&gt;"")),"P","")</f>
        <v/>
      </c>
      <c r="G4" s="3" t="str">
        <f t="shared" ref="G4:G11" si="2">IF(OR(AND(AM4&gt;=AP$18,AJ4&lt;&gt;"",AI4=""),AND(BJ4&gt;=BM$18,BG4&lt;&gt;"",BF4=""),AND(CG4&gt;=CJ$18,CD4&lt;&gt;"",CC4=""),AND(DG4&gt;=DJ$18,DD4&lt;&gt;""),AND(EC4&gt;=EF$18,DZ4&lt;&gt;""),AND(EY4&gt;=FB$18,EV4&lt;&gt;""),AND(FU4&gt;=FX$18,FR4&lt;&gt;""),AND(GQ4&gt;=GT$18,GN4&lt;&gt;""),AND(HM4&gt;=HP$18,HJ4&lt;&gt;""),AND(II4&gt;=IL$18,IF4&lt;&gt;""),AND(JE4&gt;=JH$18,JB4&lt;&gt;""),AND(KA4&gt;=KD$18,JX4&lt;&gt;""),AND(KW4&gt;=KZ$18,KT4&lt;&gt;""),AND(LS4&gt;=LV$18,LP4&lt;&gt;""),AND(MO4&gt;=MR$18,ML4&lt;&gt;"")),"P","")</f>
        <v/>
      </c>
      <c r="H4" s="47" t="str">
        <f t="shared" ref="H4:H11" si="3">IF(OR(AND(AK4&gt;=AP$17,AL4&gt;=AP$21,AK4&lt;&gt;"",AI4=""),AND(AN4&gt;=AP$17,AO4&gt;=AP$21,AN4&lt;&gt;"",AI4=""),AND(BH4&gt;=BM$17,BI4&gt;=BM$21,BH4&lt;&gt;"",BF4=""),AND(BK4&gt;=BM$17,BL4&gt;=BM$21,BK4&lt;&gt;"",BF4=""),AND(CE4&gt;=CJ$17,CF4&gt;=CJ$21,CE4&lt;&gt;"",CC4=""),AND(CH4&gt;=CJ$17,CI4&gt;=CJ$21,CH4&lt;&gt;"",CC4=""),AND(DD4&gt;=DJ$17,DF4&gt;=DJ$21,DD4&lt;&gt;""),AND(DH4&gt;=DJ$17,DI4&gt;=DJ$21,DH4&lt;&gt;""),AND(DZ4&gt;=EF$17,EB4&gt;=EF$21,DZ4&lt;&gt;""),AND(ED4&gt;=EF$17,EE4&gt;=EF$21,ED4&lt;&gt;""),AND(EV4&gt;=FB$17,EX4&gt;=FB$21,EV4&lt;&gt;""),AND(EZ4&gt;=FB$17,FA4&gt;=FB$21,EZ4&lt;&gt;""),AND(FR4&gt;=FX$17,FT4&gt;=FX$21,FR4&lt;&gt;""),AND(FV4&gt;=FX$17,FW4&gt;=FX$21,FV4&lt;&gt;""),AND(GN4&gt;=GT$17,GP4&gt;=GT$21,GN4&lt;&gt;""),AND(GR4&gt;=GT$17,GS4&gt;=GT$21,GR4&lt;&gt;""),AND(HJ4&gt;=HP$17,HL4&gt;=HP$21,HJ4&lt;&gt;""),AND(HN4&gt;=HP$17,HO4&gt;=HP$21,HN4&lt;&gt;""),AND(IF4&gt;=IL$17,IH4&gt;=IL$21,IF4&lt;&gt;""),AND(IJ4&gt;=IL$17,IK4&gt;=IL$21,IJ4&lt;&gt;""),AND(JB4&gt;=JH$17,JD4&gt;=JH$21,JB4&lt;&gt;""),AND(JF4&gt;=JH$17,JG4&gt;=JH$21,JF4&lt;&gt;""),AND(JX4&gt;=KD$17,JZ4&gt;=KD$21,JX4&lt;&gt;""),AND(KB4&gt;=KD$17,KC4&gt;=KD$21,KB4&lt;&gt;""),AND(KT4&gt;=KZ$17,KV4&gt;=KZ$21,KT4&lt;&gt;""),AND(KX4&gt;=KZ$17,KY4&gt;=KZ$21,KX4&lt;&gt;""),AND(LP4&gt;=LV$17,LR4&gt;=LV$21,LP4&lt;&gt;""),AND(LT4&gt;=LV$17,LU4&gt;=LV$21,LT4&lt;&gt;""),AND(ML4&gt;=MR$17,MN4&gt;=MR$21,ML4&lt;&gt;""),AND(MP4&gt;=MR$17,MQ4&gt;=MR$21,MP4&lt;&gt;"")),"Merit",IF(OR(AND(AK4&gt;=AP$16,AM4&gt;=AP$20,AJ4&lt;&gt;"",AI4=""),AND(BH4&gt;=BM$16,BJ4&gt;=BM$20,BG4&lt;&gt;"",BF4=""),AND(CE4&gt;=CJ$16,CG4&gt;=CJ$20,CD4&lt;&gt;"",CC4=""),AND(DD4&gt;=DJ$16,DG4&gt;=DJ$20,DD4&lt;&gt;""),AND(DZ4&gt;=EF$16,EC4&gt;=EF$20,DZ4&lt;&gt;""),AND(EV4&gt;=FB$16,EY4&gt;=FB$20,EV4&lt;&gt;""),AND(FR4&gt;=FX$16,FU4&gt;=FX$20,FR4&lt;&gt;""),AND(GN4&gt;=GT$16,GQ4&gt;=GT$20,GN4&lt;&gt;""),AND(HJ4&gt;=HP$16,HM4&gt;=HP$20,HJ4&lt;&gt;""),AND(IF4&gt;=IL$16,II4&gt;=IL$20,IF4&lt;&gt;""),AND(JB4&gt;=JH$16,JE4&gt;=JH$20,JB4&lt;&gt;""),AND(JX4&gt;=KD$16,KA4&gt;=KD$20,JX4&lt;&gt;""),AND(KT4&gt;=KZ$16,KW4&gt;=KZ$20,KT4&lt;&gt;""),AND(LP4&gt;=LV$16,LS4&gt;=LV$20,LP4&lt;&gt;""),AND(ML4&gt;=MR$16,MO4&gt;=MR$20,ML4&lt;&gt;"")),"Excellence",IF(OR(AND(AK4&gt;=AP$14,AM4&gt;=AP$18,AJ4&lt;&gt;"",AI4=""),AND(BH4&gt;=BM$14,BJ4&gt;=BM$18,BG4&lt;&gt;"",BF4=""),AND(CE4&gt;=CJ$14,CG4&gt;=CJ$18,CD4&lt;&gt;"",CC4=""),AND(DD4&gt;=DJ$14,DG4&gt;=DJ$18,DD4&lt;&gt;""),AND(DZ4&gt;=EF$14,EC4&gt;=EF$18,DZ4&lt;&gt;""),AND(EV4&gt;=FB$14,EY4&gt;=FB$18,EV4&lt;&gt;""),AND(FR4&gt;=FX$14,FU4&gt;=FX$18,FR4&lt;&gt;""),AND(GN4&gt;=GT$14,GQ4&gt;=GT$18,GN4&lt;&gt;""),AND(HJ4&gt;=HP$14,HM4&gt;=HP$18,HJ4&lt;&gt;""),AND(IF4&gt;=IL$14,II4&gt;=IL$18,IF4&lt;&gt;""),AND(JB4&gt;=JH$14,JE4&gt;=JH$18,JB4&lt;&gt;""),AND(JX4&gt;=KD$14,KA4&gt;=KD$18,JX4&lt;&gt;""),AND(KT4&gt;=KZ$14,KW4&gt;=KZ$18,KT4&lt;&gt;""),AND(LP4&gt;=LV$14,LS4&gt;=LV$18,LP4&lt;&gt;""),AND(ML4&gt;=MR$14,MO4&gt;=MR$18,ML4&lt;&gt;"")),"National Team",IF(G4="P","No DD",""))))</f>
        <v/>
      </c>
      <c r="I4" s="9">
        <f t="shared" ref="I4:I11" si="4">IF(MAX(AM4,BJ4,CG4)&gt;0,MAX(AM4,BJ4,CG4),0)</f>
        <v>89.67</v>
      </c>
      <c r="J4" s="9" t="str">
        <f t="shared" ref="J4:J11" si="5">IF(I4=0,"",IF(I4=CG4,$BN$1,IF(I4=BJ4,$AQ$1,IF(I4=AM4,$T$1,""))))</f>
        <v>2025 3rd Domestic Trial</v>
      </c>
      <c r="K4" s="9">
        <f t="shared" ref="K4:K11" si="6">IF($I4=$AM4,MAX(BG4,CD4),IF($I4=$BJ4,MAX(AJ4,CD4),IF($I4=$CG4,MAX(AJ4,BG4),MAX(AJ4,BG4,CD4))))</f>
        <v>40.019999999999996</v>
      </c>
      <c r="L4" s="9" t="str">
        <f t="shared" ref="L4:L11" si="7">IF(K4=0,"",IF(AND(K4=CD4,$J4&lt;&gt;$BN$1),$BN$1,IF(AND(K4=BG4,$J4&lt;&gt;$AQ$1),$AQ$1,IF(AND(K4=AJ4,$J4&lt;&gt;$T$1),$T$1,""))))</f>
        <v>2025 Nationals</v>
      </c>
      <c r="M4" s="9">
        <f t="shared" ref="M4:M11" si="8">IF(I4-N(AJ4)=AL4,MAX(BI4,CF4),IF(I4-N(BG4)=BI4,MAX(AL4,CF4),IF(I4-N(CD4)=CF4,MAX(AL4,BI4))))</f>
        <v>49.519999999999996</v>
      </c>
      <c r="N4" s="9" t="str">
        <f t="shared" ref="N4:N11" si="9">IF(M4=0,"",IF(AND(OR(M4=CF4),$J4&lt;&gt;$BN$1),$BN$1,IF(AND(OR(M4=BI4),$J4&lt;&gt;$AQ$1),$AQ$1,IF(AND(OR(M4=AL4),$J4&lt;&gt;$T$1),$T$1,""))))</f>
        <v>2025 Nationals</v>
      </c>
      <c r="O4" s="9">
        <f t="shared" ref="O4:O11" si="10">MAX(AO4,BL4,CI4)</f>
        <v>49.940000000000005</v>
      </c>
      <c r="P4" s="9" t="str">
        <f t="shared" ref="P4:P11" si="11">IF(O4=0,"",IF(O4=CI4,$BN$1,IF(O4=BL4,$AQ$1,IF(O4=AO4,$T$1,""))))</f>
        <v>2025 3rd Domestic Trial</v>
      </c>
      <c r="Q4" s="9">
        <f t="shared" ref="Q4:Q11" si="12">IF(MAX(CK4,CL4,CM4,CN4)&gt;0,MAX(CK4,CL4,CM4,CN4),"")</f>
        <v>0.37000000000000455</v>
      </c>
      <c r="R4" s="14" t="str">
        <f t="shared" ref="R4:R11" si="13">IF(Q4="","",IF(Q4=CK4,"(Vol 1)",IF(Q4=CL4,"(Vol 2)",IF(Q4=CM4,"(Prelim)",IF(Q4=CN4,"(Final)")))))</f>
        <v>(Vol 1)</v>
      </c>
      <c r="S4" s="9" t="str">
        <f t="shared" ref="S4:S11" si="14">IF(Q4="","",IF(Q4=CK4,IF(Q4+IF(K4="",0,K4)=MM4,$LW$1,IF(Q4+IF(K4="",0,K4)=LQ4,$LA$1,IF(Q4+IF(K4="",0,K4)=KU4,$KE$1,IF(Q4+IF(K4="",0,K4)=JY4,$JI$1,IF(Q4+IF(K4="",0,K4)=JC4,$IM$1,IF(Q4+IF(K4="",0,K4)=IG4,$HQ$1,IF(Q4+IF(K4="",0,K4)=HK4,$GU$1,IF(Q4+IF(K4="",0,K4)=GO4,$FY$1,IF(Q4+IF(K4="",0,K4)=FS4,$FC$1,IF(Q4+IF(K4="",0,K4)=EW4,$EG$1,IF(Q4+IF(K4="",0,K4)=EA4,$DK$1,IF(Q4+IF(K4="",0,K4)=DE4,$CO$1)))))))))))),IF(Q4=CL4,IF(Q4+IF(M4="",0,M4)=MN4,$LW$1,IF(Q4+IF(M4="",0,M4)=LR4,$LA$1,IF(Q4+IF(M4="",0,M4)=KV4,$KE$1,IF(Q4+IF(M4="",0,M4)=JZ4,$JI$1,IF(Q4+IF(M4="",0,M4)=JD4,$IM$1,IF(Q4+IF(M4="",0,M4)=IH4,$HQ$1,IF(Q4+IF(M4="",0,M4)=HL4,$GU$1,IF(Q4+IF(M4="",0,M4)=GP4,$FY$1,IF(Q4+IF(M4="",0,M4)=FT4,$FC$1,IF(Q4+IF(M4="",0,M4)=EX4,$EG$1,IF(Q4+IF(M4="",0,M4)=EB4,$DK$1,IF(Q4+IF(M4="",0,M4)=DF4,$CO$1)))))))))))),IF(Q4=CM4,IF(Q4+IF(I4="",0,I4)=MO4,$LW$1,IF(Q4+IF(I4="",0,I4)=LS4,$LA$1,IF(Q4+IF(I4="",0,I4)=KW4,$KE$1,IF(Q4+IF(I4="",0,I4)=KA4,$JI$1,IF(Q4+IF(I4="",0,I4)=JE4,$IM$1,IF(Q4+IF(I4="",0,I4)=II4,$HQ$1,IF(Q4+IF(I4="",0,I4)=HM4,$GU$1,IF(Q4+IF(I4="",0,I4)=GQ4,$FY$1,IF(Q4+IF(I4="",0,I4)=FU4,$FC$1,IF(Q4+IF(I4="",0,I4)=EY4,$EG$1,IF(Q4+IF(I4="",0,I4)=EC4,$DK$1,IF(Q4+IF(I4="",0,I4)=DG4,$CO$1)))))))))))),IF(Q4=CN4,IF(Q4+IF(O4="",0,O4)=MQ4,$LW$1,IF(Q4+IF(O4="",0,O4)=LU4,$LA$1,IF(Q4+IF(O4="",0,O4)=KY4,$KE$1,IF(Q4+IF(O4="",0,O4)=KC4,$JI$1,IF(Q4+IF(O4="",0,O4)=JG4,$IM$1,IF(Q4+IF(O4="",0,O4)=IK4,$HQ$1,IF(Q4+IF(O4="",0,O4)=HO4,$GU$1,IF(Q4+IF(O4="",0,O4)=GS4,$FY$1,IF(Q4+IF(O4="",0,O4)=FW4,$FC$1,IF(Q4+IF(O4="",0,O4)=FA4,$EG$1,IF(Q4+IF(O4="",0,O4)=EE4,$DK$1,IF(Q4+IF(O4="",0,O4)=DI4,$CO$1)))))))))))))))))</f>
        <v>2025 WAGC (Nov 16)</v>
      </c>
      <c r="T4" s="27">
        <v>16.600000000000001</v>
      </c>
      <c r="U4" s="27">
        <v>9.4</v>
      </c>
      <c r="V4" s="27">
        <v>0</v>
      </c>
      <c r="W4" s="27">
        <v>13.63</v>
      </c>
      <c r="X4" s="27">
        <v>0</v>
      </c>
      <c r="Y4" s="27">
        <v>14.6</v>
      </c>
      <c r="Z4" s="27">
        <v>8.9</v>
      </c>
      <c r="AA4" s="27">
        <v>10.9</v>
      </c>
      <c r="AB4" s="27">
        <v>13.91</v>
      </c>
      <c r="AC4" s="27">
        <v>0</v>
      </c>
      <c r="AD4" s="27">
        <v>1.4</v>
      </c>
      <c r="AE4" s="27">
        <v>0.9</v>
      </c>
      <c r="AF4" s="27">
        <v>1.5</v>
      </c>
      <c r="AG4" s="27">
        <v>1.44</v>
      </c>
      <c r="AH4" s="27">
        <v>0</v>
      </c>
      <c r="AI4" s="32"/>
      <c r="AJ4" s="7">
        <f t="shared" ref="AJ4:AJ11" si="15">IF(SUM(T4:W4)-X4&gt;0,SUM(T4:W4)-X4,"")</f>
        <v>39.630000000000003</v>
      </c>
      <c r="AK4" s="7">
        <f t="shared" ref="AK4:AK11" si="16">IF(AA4&gt;0,AA4,"")</f>
        <v>10.9</v>
      </c>
      <c r="AL4" s="7">
        <f t="shared" ref="AL4:AL11" si="17">IF(SUM(Y4:AB4)-AC4&gt;0,SUM(Y4:AB4)-AC4,"")</f>
        <v>48.31</v>
      </c>
      <c r="AM4" s="7">
        <f t="shared" ref="AM4:AM11" si="18">IF(AJ4="",IF(AL4&gt;0,AL4,""),AL4+AJ4)</f>
        <v>87.94</v>
      </c>
      <c r="AN4" s="7">
        <f t="shared" ref="AN4:AN11" si="19">IF(AF4&gt;0,AF4,"")</f>
        <v>1.5</v>
      </c>
      <c r="AO4" s="7">
        <f t="shared" ref="AO4:AO11" si="20">IF(SUM(AD4:AG4)-AH4&gt;0,SUM(AD4:AG4)-AH4,"")</f>
        <v>5.24</v>
      </c>
      <c r="AP4" s="7">
        <f t="shared" ref="AP4:AP11" si="21">IF(SUM(AM4,AO4)&gt;0,SUM(AM4,AO4),"")</f>
        <v>93.179999999999993</v>
      </c>
      <c r="AQ4" s="31">
        <v>16.2</v>
      </c>
      <c r="AR4" s="31">
        <v>9.6</v>
      </c>
      <c r="AS4" s="31">
        <v>0</v>
      </c>
      <c r="AT4" s="31">
        <v>14.22</v>
      </c>
      <c r="AU4" s="31">
        <v>0</v>
      </c>
      <c r="AV4" s="31">
        <v>14.6</v>
      </c>
      <c r="AW4" s="31">
        <v>9.5</v>
      </c>
      <c r="AX4" s="31">
        <v>10.9</v>
      </c>
      <c r="AY4" s="31">
        <v>14.52</v>
      </c>
      <c r="AZ4" s="31">
        <v>0</v>
      </c>
      <c r="BA4" s="31">
        <v>15.4</v>
      </c>
      <c r="BB4" s="31">
        <v>9.3000000000000007</v>
      </c>
      <c r="BC4" s="31">
        <v>10.9</v>
      </c>
      <c r="BD4" s="31">
        <v>14</v>
      </c>
      <c r="BE4" s="31">
        <v>0</v>
      </c>
      <c r="BF4" s="33"/>
      <c r="BG4" s="9">
        <f t="shared" ref="BG4:BG11" si="22">IF(SUM(AQ4:AT4)-AU4&gt;0,SUM(AQ4:AT4)-AU4,"")</f>
        <v>40.019999999999996</v>
      </c>
      <c r="BH4" s="9">
        <f t="shared" ref="BH4:BH11" si="23">IF(AX4&gt;0,AX4,"")</f>
        <v>10.9</v>
      </c>
      <c r="BI4" s="9">
        <f t="shared" ref="BI4:BI11" si="24">IF(SUM(AV4:AY4)-AZ4&gt;0,SUM(AV4:AY4)-AZ4,"")</f>
        <v>49.519999999999996</v>
      </c>
      <c r="BJ4" s="9">
        <f t="shared" ref="BJ4:BJ11" si="25">IF(BG4="",IF(BI4&gt;0,BI4,""),BI4+BG4)</f>
        <v>89.539999999999992</v>
      </c>
      <c r="BK4" s="9">
        <f t="shared" ref="BK4:BK11" si="26">IF(BC4&gt;0,BC4,"")</f>
        <v>10.9</v>
      </c>
      <c r="BL4" s="9">
        <f t="shared" ref="BL4:BL11" si="27">IF(SUM(BA4:BD4)-BE4&gt;0,SUM(BA4:BD4)-BE4,"")</f>
        <v>49.6</v>
      </c>
      <c r="BM4" s="9">
        <f t="shared" ref="BM4:BM11" si="28">IF(SUM(BJ4,BL4)&gt;0,SUM(BJ4,BL4),"")</f>
        <v>139.13999999999999</v>
      </c>
      <c r="BN4" s="27">
        <v>15.9</v>
      </c>
      <c r="BO4" s="27">
        <v>9.6</v>
      </c>
      <c r="BP4" s="27">
        <v>0</v>
      </c>
      <c r="BQ4" s="27">
        <v>14.42</v>
      </c>
      <c r="BR4" s="27">
        <v>0</v>
      </c>
      <c r="BS4" s="27">
        <v>14.5</v>
      </c>
      <c r="BT4" s="27">
        <v>9.1</v>
      </c>
      <c r="BU4" s="27">
        <v>11.6</v>
      </c>
      <c r="BV4" s="27">
        <v>14.55</v>
      </c>
      <c r="BW4" s="27">
        <v>0</v>
      </c>
      <c r="BX4" s="27">
        <v>14.6</v>
      </c>
      <c r="BY4" s="27">
        <v>9</v>
      </c>
      <c r="BZ4" s="27">
        <v>11.6</v>
      </c>
      <c r="CA4" s="27">
        <v>14.74</v>
      </c>
      <c r="CB4" s="27">
        <v>0</v>
      </c>
      <c r="CC4" s="32"/>
      <c r="CD4" s="7">
        <f t="shared" ref="CD4:CD11" si="29">IF(SUM(BN4:BQ4)-BR4&gt;0,SUM(BN4:BQ4)-BR4,"")</f>
        <v>39.92</v>
      </c>
      <c r="CE4" s="7">
        <f t="shared" ref="CE4:CE11" si="30">IF(BU4&gt;0,BU4,"")</f>
        <v>11.6</v>
      </c>
      <c r="CF4" s="7">
        <f t="shared" ref="CF4:CF11" si="31">IF(SUM(BS4:BV4)-BW4&gt;0,SUM(BS4:BV4)-BW4,"")</f>
        <v>49.75</v>
      </c>
      <c r="CG4" s="7">
        <f t="shared" ref="CG4:CG11" si="32">IF(CD4="",IF(CF4&gt;0,CF4,""),CF4+CD4)</f>
        <v>89.67</v>
      </c>
      <c r="CH4" s="7">
        <f t="shared" ref="CH4:CH11" si="33">IF(BZ4&gt;0,BZ4,"")</f>
        <v>11.6</v>
      </c>
      <c r="CI4" s="7">
        <f t="shared" ref="CI4:CI11" si="34">IF(SUM(BX4:CA4)-CB4&gt;0,SUM(BX4:CA4)-CB4,"")</f>
        <v>49.940000000000005</v>
      </c>
      <c r="CJ4" s="7">
        <f t="shared" ref="CJ4:CJ11" si="35">IF(SUM(CG4,CI4)&gt;0,SUM(CG4,CI4),"")</f>
        <v>139.61000000000001</v>
      </c>
      <c r="CK4" s="13">
        <f t="shared" ref="CK4:CK11" si="36">IF(MAX(DE4,EA4,EW4,FS4,GO4,HK4,IG4,JC4,JY4,KU4,LQ4,MM4)-IF(K4="",0,K4)&gt;0.001,MAX(DE4,EA4,EW4,FS4,GO4,HK4,IG4,JC4,JY4,KU4,LQ4,MM4)-IF(K4="",0,K4),"")</f>
        <v>0.37000000000000455</v>
      </c>
      <c r="CL4" s="13" t="str">
        <f t="shared" ref="CL4:CL11" si="37">IF(MAX(DF4,EB4,EX4,FT4,GP4,HL4,IH4,JD4,JZ4,KV4,LR4,MN4)-IF(M4="",0,M4)&gt;0.001,MAX(DF4,EB4,EX4,FT4,GP4,HL4,IH4,JD4,JZ4,KV4,LR4,MN4)-IF(M4="",0,M4),"")</f>
        <v/>
      </c>
      <c r="CM4" s="13" t="str">
        <f t="shared" ref="CM4:CM11" si="38">IF(MAX(DG4,EC4,EY4,FU4,GQ4,HM4,II4,JE4,KA4,KW4,LS4,MO4)-IF(I4="",0,I4)&gt;0.001,MAX(DG4,EC4,EY4,FU4,GQ4,HM4,II4,JE4,KA4,KW4,LS4,MO4)-IF(I4="",0,I4),"")</f>
        <v/>
      </c>
      <c r="CN4" s="13" t="str">
        <f t="shared" ref="CN4:CN11" si="39">IF(MAX(DI4,EE4,FA4,FW4,GS4,HO4,IK4,JG4,KC4,KY4,LU4,MQ4)-IF(O4="",0,O4)&gt;0.001,MAX(DI4,EE4,FA4,FW4,GS4,HO4,IK4,JG4,KC4,KY4,LU4,MQ4)-IF(O4="",0,O4),"")</f>
        <v/>
      </c>
      <c r="CO4" s="18"/>
      <c r="CP4" s="18"/>
      <c r="CQ4" s="18"/>
      <c r="CR4" s="18"/>
      <c r="CS4" s="18"/>
      <c r="CT4" s="18"/>
      <c r="CU4" s="18"/>
      <c r="CV4" s="18"/>
      <c r="CW4" s="18"/>
      <c r="CX4" s="18"/>
      <c r="CY4" s="18"/>
      <c r="CZ4" s="18"/>
      <c r="DA4" s="18"/>
      <c r="DB4" s="18"/>
      <c r="DC4" s="18"/>
      <c r="DD4" s="7" t="str">
        <f t="shared" ref="DD4:DD11" si="40">IF(CV4&gt;0,CV4,"")</f>
        <v/>
      </c>
      <c r="DE4" s="7" t="str">
        <f t="shared" ref="DE4:DE11" si="41">IF(SUM(CO4:CR4)-CS4&gt;0,SUM(CO4:CR4)-CS4,"")</f>
        <v/>
      </c>
      <c r="DF4" s="7" t="str">
        <f t="shared" ref="DF4:DF11" si="42">IF(SUM(CT4:CW4)-CX4&gt;0,SUM(CT4:CW4)-CX4,"")</f>
        <v/>
      </c>
      <c r="DG4" s="7" t="str">
        <f t="shared" ref="DG4:DG11" si="43">IF(SUM(DE4:DF4)&gt;0,SUM(DE4:DF4),"")</f>
        <v/>
      </c>
      <c r="DH4" s="7" t="str">
        <f t="shared" ref="DH4:DH11" si="44">IF(DA4&gt;0,DA4,"")</f>
        <v/>
      </c>
      <c r="DI4" s="7" t="str">
        <f t="shared" ref="DI4:DI11" si="45">IF(SUM(CY4:DB4)-DC4&gt;0,SUM(CY4:DB4)-DC4,"")</f>
        <v/>
      </c>
      <c r="DJ4" s="7" t="str">
        <f t="shared" ref="DJ4:DJ11" si="46">IF(SUM(DG4,DI4)&gt;0,SUM(DG4,DI4),"")</f>
        <v/>
      </c>
      <c r="DK4" s="19">
        <v>16.3</v>
      </c>
      <c r="DL4" s="19">
        <v>9.8000000000000007</v>
      </c>
      <c r="DM4" s="19">
        <v>0</v>
      </c>
      <c r="DN4" s="19">
        <v>14.29</v>
      </c>
      <c r="DO4" s="19">
        <v>0</v>
      </c>
      <c r="DP4" s="19">
        <v>2.7</v>
      </c>
      <c r="DQ4" s="19">
        <v>1.8</v>
      </c>
      <c r="DR4" s="19">
        <v>2.1</v>
      </c>
      <c r="DS4" s="19">
        <v>2.98</v>
      </c>
      <c r="DT4" s="19">
        <v>0</v>
      </c>
      <c r="DU4" s="19"/>
      <c r="DV4" s="19"/>
      <c r="DW4" s="19"/>
      <c r="DX4" s="19"/>
      <c r="DY4" s="19"/>
      <c r="DZ4" s="9">
        <f t="shared" ref="DZ4:DZ11" si="47">IF(DR4&gt;0,DR4,"")</f>
        <v>2.1</v>
      </c>
      <c r="EA4" s="9">
        <f t="shared" ref="EA4:EA11" si="48">IF(SUM(DK4:DN4)-DO4&gt;0,SUM(DK4:DN4)-DO4,"")</f>
        <v>40.39</v>
      </c>
      <c r="EB4" s="9">
        <f t="shared" ref="EB4:EB11" si="49">IF(SUM(DP4:DS4)-DT4&gt;0,SUM(DP4:DS4)-DT4,"")</f>
        <v>9.58</v>
      </c>
      <c r="EC4" s="9">
        <f t="shared" ref="EC4:EC11" si="50">IF(SUM(EA4:EB4)&gt;0,SUM(EA4:EB4),"")</f>
        <v>49.97</v>
      </c>
      <c r="ED4" s="9" t="str">
        <f t="shared" ref="ED4:ED11" si="51">IF(DW4&gt;0,DW4,"")</f>
        <v/>
      </c>
      <c r="EE4" s="9" t="str">
        <f t="shared" ref="EE4:EE11" si="52">IF(SUM(DU4:DX4)-DY4&gt;0,SUM(DU4:DX4)-DY4,"")</f>
        <v/>
      </c>
      <c r="EF4" s="9">
        <f t="shared" ref="EF4:EF11" si="53">IF(SUM(EC4,EE4)&gt;0,SUM(EC4,EE4),"")</f>
        <v>49.97</v>
      </c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7" t="str">
        <f t="shared" ref="EV4:EV11" si="54">IF(EN4&gt;0,EN4,"")</f>
        <v/>
      </c>
      <c r="EW4" s="7" t="str">
        <f t="shared" ref="EW4:EW11" si="55">IF(SUM(EG4:EJ4)-EK4&gt;0,SUM(EG4:EJ4)-EK4,"")</f>
        <v/>
      </c>
      <c r="EX4" s="7" t="str">
        <f t="shared" ref="EX4:EX11" si="56">IF(SUM(EL4:EO4)-EP4&gt;0,SUM(EL4:EO4)-EP4,"")</f>
        <v/>
      </c>
      <c r="EY4" s="7" t="str">
        <f t="shared" ref="EY4:EY11" si="57">IF(SUM(EW4:EX4)&gt;0,SUM(EW4:EX4),"")</f>
        <v/>
      </c>
      <c r="EZ4" s="7" t="str">
        <f t="shared" ref="EZ4:EZ11" si="58">IF(ES4&gt;0,ES4,"")</f>
        <v/>
      </c>
      <c r="FA4" s="7" t="str">
        <f t="shared" ref="FA4:FA11" si="59">IF(SUM(EQ4:ET4)-EU4&gt;0,SUM(EQ4:ET4)-EU4,"")</f>
        <v/>
      </c>
      <c r="FB4" s="7" t="str">
        <f t="shared" ref="FB4:FB11" si="60">IF(SUM(EY4,FA4)&gt;0,SUM(EY4,FA4),"")</f>
        <v/>
      </c>
      <c r="FC4" s="19"/>
      <c r="FD4" s="19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9" t="str">
        <f t="shared" ref="FR4:FR11" si="61">IF(FJ4&gt;0,FJ4,"")</f>
        <v/>
      </c>
      <c r="FS4" s="9" t="str">
        <f t="shared" ref="FS4:FS11" si="62">IF(SUM(FC4:FF4)-FG4&gt;0,SUM(FC4:FF4)-FG4,"")</f>
        <v/>
      </c>
      <c r="FT4" s="9" t="str">
        <f t="shared" ref="FT4:FT11" si="63">IF(SUM(FH4:FK4)-FL4&gt;0,SUM(FH4:FK4)-FL4,"")</f>
        <v/>
      </c>
      <c r="FU4" s="9" t="str">
        <f t="shared" ref="FU4:FU11" si="64">IF(SUM(FS4:FT4)&gt;0,SUM(FS4:FT4),"")</f>
        <v/>
      </c>
      <c r="FV4" s="9" t="str">
        <f t="shared" ref="FV4:FV11" si="65">IF(FO4&gt;0,FO4,"")</f>
        <v/>
      </c>
      <c r="FW4" s="9" t="str">
        <f t="shared" ref="FW4:FW11" si="66">IF(SUM(FM4:FP4)-FQ4&gt;0,SUM(FM4:FP4)-FQ4,"")</f>
        <v/>
      </c>
      <c r="FX4" s="9" t="str">
        <f t="shared" ref="FX4:FX11" si="67">IF(SUM(FU4,FW4)&gt;0,SUM(FU4,FW4),"")</f>
        <v/>
      </c>
      <c r="FY4" s="18"/>
      <c r="FZ4" s="18"/>
      <c r="GA4" s="18"/>
      <c r="GB4" s="18"/>
      <c r="GC4" s="18"/>
      <c r="GD4" s="18"/>
      <c r="GE4" s="18"/>
      <c r="GF4" s="18"/>
      <c r="GG4" s="18"/>
      <c r="GH4" s="18"/>
      <c r="GI4" s="18"/>
      <c r="GJ4" s="18"/>
      <c r="GK4" s="18"/>
      <c r="GL4" s="18"/>
      <c r="GM4" s="18"/>
      <c r="GN4" s="7" t="str">
        <f t="shared" ref="GN4:GN11" si="68">IF(GF4&gt;0,GF4,"")</f>
        <v/>
      </c>
      <c r="GO4" s="7" t="str">
        <f t="shared" ref="GO4:GO11" si="69">IF(SUM(FY4:GB4)-GC4&gt;0,SUM(FY4:GB4)-GC4,"")</f>
        <v/>
      </c>
      <c r="GP4" s="7" t="str">
        <f t="shared" ref="GP4:GP11" si="70">IF(SUM(GD4:GG4)-GH4&gt;0,SUM(GD4:GG4)-GH4,"")</f>
        <v/>
      </c>
      <c r="GQ4" s="7" t="str">
        <f t="shared" ref="GQ4:GQ11" si="71">IF(SUM(GO4:GP4)&gt;0,SUM(GO4:GP4),"")</f>
        <v/>
      </c>
      <c r="GR4" s="7" t="str">
        <f t="shared" ref="GR4:GR11" si="72">IF(GK4&gt;0,GK4,"")</f>
        <v/>
      </c>
      <c r="GS4" s="7" t="str">
        <f t="shared" ref="GS4:GS11" si="73">IF(SUM(GI4:GL4)-GM4&gt;0,SUM(GI4:GL4)-GM4,"")</f>
        <v/>
      </c>
      <c r="GT4" s="7" t="str">
        <f t="shared" ref="GT4:GT11" si="74">IF(SUM(GQ4,GS4)&gt;0,SUM(GQ4,GS4),"")</f>
        <v/>
      </c>
      <c r="GU4" s="19"/>
      <c r="GV4" s="19"/>
      <c r="GW4" s="19"/>
      <c r="GX4" s="19"/>
      <c r="GY4" s="19"/>
      <c r="GZ4" s="19"/>
      <c r="HA4" s="19"/>
      <c r="HB4" s="19"/>
      <c r="HC4" s="19"/>
      <c r="HD4" s="19"/>
      <c r="HE4" s="19"/>
      <c r="HF4" s="19"/>
      <c r="HG4" s="19"/>
      <c r="HH4" s="19"/>
      <c r="HI4" s="19"/>
      <c r="HJ4" s="9" t="str">
        <f t="shared" ref="HJ4:HJ11" si="75">IF(HB4&gt;0,HB4,"")</f>
        <v/>
      </c>
      <c r="HK4" s="9" t="str">
        <f t="shared" ref="HK4:HK11" si="76">IF(SUM(GU4:GX4)-GY4&gt;0,SUM(GU4:GX4)-GY4,"")</f>
        <v/>
      </c>
      <c r="HL4" s="9" t="str">
        <f t="shared" ref="HL4:HL11" si="77">IF(SUM(GZ4:HC4)-HD4&gt;0,SUM(GZ4:HC4)-HD4,"")</f>
        <v/>
      </c>
      <c r="HM4" s="9" t="str">
        <f t="shared" ref="HM4:HM11" si="78">IF(SUM(HK4:HL4)&gt;0,SUM(HK4:HL4),"")</f>
        <v/>
      </c>
      <c r="HN4" s="9" t="str">
        <f t="shared" ref="HN4:HN11" si="79">IF(HG4&gt;0,HG4,"")</f>
        <v/>
      </c>
      <c r="HO4" s="9" t="str">
        <f t="shared" ref="HO4:HO11" si="80">IF(SUM(HE4:HH4)-HI4&gt;0,SUM(HE4:HH4)-HI4,"")</f>
        <v/>
      </c>
      <c r="HP4" s="9" t="str">
        <f t="shared" ref="HP4:HP11" si="81">IF(SUM(HM4,HO4)&gt;0,SUM(HM4,HO4),"")</f>
        <v/>
      </c>
      <c r="HQ4" s="18"/>
      <c r="HR4" s="18"/>
      <c r="HS4" s="18"/>
      <c r="HT4" s="18"/>
      <c r="HU4" s="18"/>
      <c r="HV4" s="18"/>
      <c r="HW4" s="18"/>
      <c r="HX4" s="18"/>
      <c r="HY4" s="18"/>
      <c r="HZ4" s="18"/>
      <c r="IA4" s="18"/>
      <c r="IB4" s="18"/>
      <c r="IC4" s="18"/>
      <c r="ID4" s="18"/>
      <c r="IE4" s="18"/>
      <c r="IF4" s="7" t="str">
        <f t="shared" ref="IF4:IF11" si="82">IF(HX4&gt;0,HX4,"")</f>
        <v/>
      </c>
      <c r="IG4" s="7" t="str">
        <f t="shared" ref="IG4:IG11" si="83">IF(SUM(HQ4:HT4)-HU4&gt;0,SUM(HQ4:HT4)-HU4,"")</f>
        <v/>
      </c>
      <c r="IH4" s="7" t="str">
        <f t="shared" ref="IH4:IH11" si="84">IF(SUM(HV4:HY4)-HZ4&gt;0,SUM(HV4:HY4)-HZ4,"")</f>
        <v/>
      </c>
      <c r="II4" s="7" t="str">
        <f t="shared" ref="II4:II11" si="85">IF(SUM(IG4:IH4)&gt;0,SUM(IG4:IH4),"")</f>
        <v/>
      </c>
      <c r="IJ4" s="7" t="str">
        <f t="shared" ref="IJ4:IJ11" si="86">IF(IC4&gt;0,IC4,"")</f>
        <v/>
      </c>
      <c r="IK4" s="7" t="str">
        <f t="shared" ref="IK4:IK11" si="87">IF(SUM(IA4:ID4)-IE4&gt;0,SUM(IA4:ID4)-IE4,"")</f>
        <v/>
      </c>
      <c r="IL4" s="7" t="str">
        <f t="shared" ref="IL4:IL11" si="88">IF(SUM(II4,IK4)&gt;0,SUM(II4,IK4),"")</f>
        <v/>
      </c>
      <c r="IM4" s="19"/>
      <c r="IN4" s="19"/>
      <c r="IO4" s="19"/>
      <c r="IP4" s="19"/>
      <c r="IQ4" s="19"/>
      <c r="IR4" s="19"/>
      <c r="IS4" s="19"/>
      <c r="IT4" s="19"/>
      <c r="IU4" s="19"/>
      <c r="IV4" s="19"/>
      <c r="IW4" s="19"/>
      <c r="IX4" s="19"/>
      <c r="IY4" s="19"/>
      <c r="IZ4" s="19"/>
      <c r="JA4" s="19"/>
      <c r="JB4" s="9" t="str">
        <f t="shared" ref="JB4:JB11" si="89">IF(IT4&gt;0,IT4,"")</f>
        <v/>
      </c>
      <c r="JC4" s="9" t="str">
        <f t="shared" ref="JC4:JC11" si="90">IF(SUM(IM4:IP4)-IQ4&gt;0,SUM(IM4:IP4)-IQ4,"")</f>
        <v/>
      </c>
      <c r="JD4" s="9" t="str">
        <f t="shared" ref="JD4:JD11" si="91">IF(SUM(IR4:IU4)-IV4&gt;0,SUM(IR4:IU4)-IV4,"")</f>
        <v/>
      </c>
      <c r="JE4" s="9" t="str">
        <f t="shared" ref="JE4:JE11" si="92">IF(SUM(JC4:JD4)&gt;0,SUM(JC4:JD4),"")</f>
        <v/>
      </c>
      <c r="JF4" s="9" t="str">
        <f t="shared" ref="JF4:JF11" si="93">IF(IY4&gt;0,IY4,"")</f>
        <v/>
      </c>
      <c r="JG4" s="9" t="str">
        <f t="shared" ref="JG4:JG11" si="94">IF(SUM(IW4:IZ4)-JA4&gt;0,SUM(IW4:IZ4)-JA4,"")</f>
        <v/>
      </c>
      <c r="JH4" s="9" t="str">
        <f t="shared" ref="JH4:JH11" si="95">IF(SUM(JE4,JG4)&gt;0,SUM(JE4,JG4),"")</f>
        <v/>
      </c>
      <c r="JI4" s="18"/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7" t="str">
        <f t="shared" ref="JX4:JX11" si="96">IF(JP4&gt;0,JP4,"")</f>
        <v/>
      </c>
      <c r="JY4" s="7" t="str">
        <f t="shared" ref="JY4:JY11" si="97">IF(SUM(JI4:JL4)-JM4&gt;0,SUM(JI4:JL4)-JM4,"")</f>
        <v/>
      </c>
      <c r="JZ4" s="7" t="str">
        <f t="shared" ref="JZ4:JZ11" si="98">IF(SUM(JN4:JQ4)-JR4&gt;0,SUM(JN4:JQ4)-JR4,"")</f>
        <v/>
      </c>
      <c r="KA4" s="7" t="str">
        <f t="shared" ref="KA4:KA11" si="99">IF(SUM(JY4:JZ4)&gt;0,SUM(JY4:JZ4),"")</f>
        <v/>
      </c>
      <c r="KB4" s="7" t="str">
        <f t="shared" ref="KB4:KB11" si="100">IF(JU4&gt;0,JU4,"")</f>
        <v/>
      </c>
      <c r="KC4" s="7" t="str">
        <f t="shared" ref="KC4:KC11" si="101">IF(SUM(JS4:JV4)-JW4&gt;0,SUM(JS4:JV4)-JW4,"")</f>
        <v/>
      </c>
      <c r="KD4" s="7" t="str">
        <f t="shared" ref="KD4:KD11" si="102">IF(SUM(KA4,KC4)&gt;0,SUM(KA4,KC4),"")</f>
        <v/>
      </c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9"/>
      <c r="KR4" s="19"/>
      <c r="KS4" s="19"/>
      <c r="KT4" s="9" t="str">
        <f t="shared" ref="KT4:KT11" si="103">IF(KL4&gt;0,KL4,"")</f>
        <v/>
      </c>
      <c r="KU4" s="9" t="str">
        <f t="shared" ref="KU4:KU11" si="104">IF(SUM(KE4:KH4)-KI4&gt;0,SUM(KE4:KH4)-KI4,"")</f>
        <v/>
      </c>
      <c r="KV4" s="9" t="str">
        <f t="shared" ref="KV4:KV11" si="105">IF(SUM(KJ4:KM4)-KN4&gt;0,SUM(KJ4:KM4)-KN4,"")</f>
        <v/>
      </c>
      <c r="KW4" s="9" t="str">
        <f t="shared" ref="KW4:KW11" si="106">IF(SUM(KU4:KV4)&gt;0,SUM(KU4:KV4),"")</f>
        <v/>
      </c>
      <c r="KX4" s="9" t="str">
        <f t="shared" ref="KX4:KX11" si="107">IF(KQ4&gt;0,KQ4,"")</f>
        <v/>
      </c>
      <c r="KY4" s="9" t="str">
        <f t="shared" ref="KY4:KY11" si="108">IF(SUM(KO4:KR4)-KS4&gt;0,SUM(KO4:KR4)-KS4,"")</f>
        <v/>
      </c>
      <c r="KZ4" s="9" t="str">
        <f t="shared" ref="KZ4:KZ11" si="109">IF(SUM(KW4,KY4)&gt;0,SUM(KW4,KY4),"")</f>
        <v/>
      </c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7" t="str">
        <f t="shared" ref="LP4:LP11" si="110">IF(LH4&gt;0,LH4,"")</f>
        <v/>
      </c>
      <c r="LQ4" s="7" t="str">
        <f t="shared" ref="LQ4:LQ11" si="111">IF(SUM(LA4:LD4)-LE4&gt;0,SUM(LA4:LD4)-LE4,"")</f>
        <v/>
      </c>
      <c r="LR4" s="7" t="str">
        <f t="shared" ref="LR4:LR11" si="112">IF(SUM(LF4:LI4)-LJ4&gt;0,SUM(LF4:LI4)-LJ4,"")</f>
        <v/>
      </c>
      <c r="LS4" s="7" t="str">
        <f t="shared" ref="LS4:LS11" si="113">IF(SUM(LQ4:LR4)&gt;0,SUM(LQ4:LR4),"")</f>
        <v/>
      </c>
      <c r="LT4" s="7" t="str">
        <f t="shared" ref="LT4:LT11" si="114">IF(LM4&gt;0,LM4,"")</f>
        <v/>
      </c>
      <c r="LU4" s="7" t="str">
        <f t="shared" ref="LU4:LU11" si="115">IF(SUM(LK4:LN4)-LO4&gt;0,SUM(LK4:LN4)-LO4,"")</f>
        <v/>
      </c>
      <c r="LV4" s="7" t="str">
        <f t="shared" ref="LV4:LV11" si="116">IF(SUM(LS4,LU4)&gt;0,SUM(LS4,LU4),"")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9" t="str">
        <f t="shared" ref="ML4:ML11" si="117">IF(MD4&gt;0,MD4,"")</f>
        <v/>
      </c>
      <c r="MM4" s="9" t="str">
        <f t="shared" ref="MM4:MM11" si="118">IF(SUM(LW4:LZ4)-MA4&gt;0,SUM(LW4:LZ4)-MA4,"")</f>
        <v/>
      </c>
      <c r="MN4" s="9" t="str">
        <f t="shared" ref="MN4:MN11" si="119">IF(SUM(MB4:ME4)-MF4&gt;0,SUM(MB4:ME4)-MF4,"")</f>
        <v/>
      </c>
      <c r="MO4" s="9" t="str">
        <f t="shared" ref="MO4:MO11" si="120">IF(SUM(MM4:MN4)&gt;0,SUM(MM4:MN4),"")</f>
        <v/>
      </c>
      <c r="MP4" s="9" t="str">
        <f t="shared" ref="MP4:MP11" si="121">IF(MI4&gt;0,MI4,"")</f>
        <v/>
      </c>
      <c r="MQ4" s="9" t="str">
        <f t="shared" ref="MQ4:MQ11" si="122">IF(SUM(MG4:MJ4)-MK4&gt;0,SUM(MG4:MJ4)-MK4,"")</f>
        <v/>
      </c>
      <c r="MR4" s="9" t="str">
        <f t="shared" ref="MR4:MR11" si="123">IF(SUM(MO4,MQ4)&gt;0,SUM(MO4,MQ4),"")</f>
        <v/>
      </c>
      <c r="MS4" s="27">
        <f t="shared" ref="MS4:NB11" si="124">IF($CC4="P",BN4,(BN4+AQ4)/2)</f>
        <v>16.05</v>
      </c>
      <c r="MT4" s="27">
        <f t="shared" si="124"/>
        <v>9.6</v>
      </c>
      <c r="MU4" s="27">
        <f t="shared" si="124"/>
        <v>0</v>
      </c>
      <c r="MV4" s="27">
        <f t="shared" si="124"/>
        <v>14.32</v>
      </c>
      <c r="MW4" s="27">
        <f t="shared" si="124"/>
        <v>0</v>
      </c>
      <c r="MX4" s="27">
        <f t="shared" si="124"/>
        <v>14.55</v>
      </c>
      <c r="MY4" s="27">
        <f t="shared" si="124"/>
        <v>9.3000000000000007</v>
      </c>
      <c r="MZ4" s="27">
        <f t="shared" si="124"/>
        <v>11.25</v>
      </c>
      <c r="NA4" s="27">
        <f t="shared" si="124"/>
        <v>14.535</v>
      </c>
      <c r="NB4" s="27">
        <f t="shared" si="124"/>
        <v>0</v>
      </c>
      <c r="NC4" s="27">
        <f>IF($CC4="P",BX4,(BX4+BA4)/2)</f>
        <v>15</v>
      </c>
      <c r="ND4" s="27">
        <f>IF($CC4="P",BY4,(BY4+BB4)/2)</f>
        <v>9.15</v>
      </c>
      <c r="NE4" s="27">
        <f>IF($CC4="P",BZ4,(BZ4+BC4)/2)</f>
        <v>11.25</v>
      </c>
      <c r="NF4" s="27">
        <f>IF($CC4="P",CA4,(CA4+BD4)/2)</f>
        <v>14.370000000000001</v>
      </c>
      <c r="NG4" s="27">
        <f>IF($CC4="P",CB4,(CB4+BE4)/2)</f>
        <v>0</v>
      </c>
      <c r="NH4" s="32" t="s">
        <v>44</v>
      </c>
      <c r="NI4" s="7">
        <f>IF(SUM(MS4:MV4)-MW4&gt;0,SUM(MS4:MV4)-MW4,"")</f>
        <v>39.97</v>
      </c>
      <c r="NJ4" s="7">
        <f>IF(MZ4&gt;0,MZ4,"")</f>
        <v>11.25</v>
      </c>
      <c r="NK4" s="7">
        <f>IF(SUM(MX4:NA4)-NB4&gt;0,SUM(MX4:NA4)-NB4,"")</f>
        <v>49.635000000000005</v>
      </c>
      <c r="NL4" s="7">
        <f>IF(OR(NI4&lt;&gt;"",NK4&lt;&gt;""),NI4+NK4,"")</f>
        <v>89.605000000000004</v>
      </c>
      <c r="NM4" s="7">
        <f t="shared" ref="NM4:NM11" si="125">IF(NE4&gt;0,NE4,"")</f>
        <v>11.25</v>
      </c>
      <c r="NN4" s="7">
        <f>IF(SUM(NC4:NF4)-NG4&gt;0,SUM(NC4:NF4)-NG4,"")</f>
        <v>49.769999999999996</v>
      </c>
      <c r="NO4" s="7">
        <f t="shared" ref="NO4" si="126">IF(SUM(NL4,NN4)&gt;0,SUM(NL4,NN4),"")</f>
        <v>139.375</v>
      </c>
    </row>
    <row r="5" spans="1:379" x14ac:dyDescent="0.2">
      <c r="A5" s="4" t="str" cm="1">
        <f t="array" ref="A5">IF(AND(H5&lt;&gt;"",H5&lt;&gt;"No DD"),SUMPRODUCT((H$4:H$12&lt;&gt;"")*(H$4:H$12&lt;&gt;"No DD")*(E$4:E$12&gt;E5))+1,IF(H5="No DD",SUMPRODUCT((H$4:H$12="No DD")*(E$4:E$12&gt;E5))+1+SUMPRODUCT((H$4:H$12&lt;&gt;"")*(H$4:H$12&lt;&gt;"No DD")),""))</f>
        <v/>
      </c>
      <c r="B5" s="5" t="s">
        <v>75</v>
      </c>
      <c r="C5" s="4" t="s">
        <v>64</v>
      </c>
      <c r="D5" s="4">
        <v>2009</v>
      </c>
      <c r="E5" s="10">
        <f t="shared" si="0"/>
        <v>225.73000000000002</v>
      </c>
      <c r="F5" s="3" t="str">
        <f t="shared" si="1"/>
        <v/>
      </c>
      <c r="G5" s="3" t="str">
        <f t="shared" si="2"/>
        <v/>
      </c>
      <c r="H5" s="47" t="str">
        <f t="shared" si="3"/>
        <v/>
      </c>
      <c r="I5" s="9">
        <f t="shared" si="4"/>
        <v>88.97999999999999</v>
      </c>
      <c r="J5" s="9" t="str">
        <f t="shared" si="5"/>
        <v>2025 Nationals</v>
      </c>
      <c r="K5" s="9">
        <f t="shared" si="6"/>
        <v>41.13</v>
      </c>
      <c r="L5" s="9" t="str">
        <f t="shared" si="7"/>
        <v>2025 Elite Canada</v>
      </c>
      <c r="M5" s="9">
        <f t="shared" si="8"/>
        <v>47.830000000000005</v>
      </c>
      <c r="N5" s="9" t="str">
        <f t="shared" si="9"/>
        <v>2025 Elite Canada</v>
      </c>
      <c r="O5" s="9">
        <f t="shared" si="10"/>
        <v>47.790000000000006</v>
      </c>
      <c r="P5" s="9" t="str">
        <f t="shared" si="11"/>
        <v>2025 Nationals</v>
      </c>
      <c r="Q5" s="9" t="str">
        <f t="shared" si="12"/>
        <v/>
      </c>
      <c r="R5" s="14" t="str">
        <f t="shared" si="13"/>
        <v/>
      </c>
      <c r="S5" s="9" t="str">
        <f t="shared" si="14"/>
        <v/>
      </c>
      <c r="T5" s="27">
        <v>17.600000000000001</v>
      </c>
      <c r="U5" s="27">
        <v>9.8000000000000007</v>
      </c>
      <c r="V5" s="27">
        <v>0</v>
      </c>
      <c r="W5" s="27">
        <v>13.73</v>
      </c>
      <c r="X5" s="27">
        <v>0</v>
      </c>
      <c r="Y5" s="27">
        <v>12.8</v>
      </c>
      <c r="Z5" s="27">
        <v>9.4</v>
      </c>
      <c r="AA5" s="27">
        <v>12</v>
      </c>
      <c r="AB5" s="27">
        <v>13.63</v>
      </c>
      <c r="AC5" s="27">
        <v>0</v>
      </c>
      <c r="AD5" s="27">
        <v>12.5</v>
      </c>
      <c r="AE5" s="27">
        <v>9.3000000000000007</v>
      </c>
      <c r="AF5" s="27">
        <v>11.2</v>
      </c>
      <c r="AG5" s="27">
        <v>13.45</v>
      </c>
      <c r="AH5" s="27">
        <v>0</v>
      </c>
      <c r="AI5" s="32"/>
      <c r="AJ5" s="7">
        <f t="shared" si="15"/>
        <v>41.13</v>
      </c>
      <c r="AK5" s="7">
        <f t="shared" si="16"/>
        <v>12</v>
      </c>
      <c r="AL5" s="7">
        <f t="shared" si="17"/>
        <v>47.830000000000005</v>
      </c>
      <c r="AM5" s="7">
        <f t="shared" si="18"/>
        <v>88.960000000000008</v>
      </c>
      <c r="AN5" s="7">
        <f t="shared" si="19"/>
        <v>11.2</v>
      </c>
      <c r="AO5" s="7">
        <f t="shared" si="20"/>
        <v>46.45</v>
      </c>
      <c r="AP5" s="7">
        <f t="shared" si="21"/>
        <v>135.41000000000003</v>
      </c>
      <c r="AQ5" s="31">
        <v>17.899999999999999</v>
      </c>
      <c r="AR5" s="31">
        <v>9.9</v>
      </c>
      <c r="AS5" s="31">
        <v>0</v>
      </c>
      <c r="AT5" s="31">
        <v>14.26</v>
      </c>
      <c r="AU5" s="31">
        <v>0</v>
      </c>
      <c r="AV5" s="31">
        <v>12.9</v>
      </c>
      <c r="AW5" s="31">
        <v>8.9</v>
      </c>
      <c r="AX5" s="31">
        <v>11.5</v>
      </c>
      <c r="AY5" s="31">
        <v>13.62</v>
      </c>
      <c r="AZ5" s="31">
        <v>0</v>
      </c>
      <c r="BA5" s="31">
        <v>13.9</v>
      </c>
      <c r="BB5" s="31">
        <v>8.6999999999999993</v>
      </c>
      <c r="BC5" s="31">
        <v>11.6</v>
      </c>
      <c r="BD5" s="31">
        <v>13.59</v>
      </c>
      <c r="BE5" s="31">
        <v>0</v>
      </c>
      <c r="BF5" s="33"/>
      <c r="BG5" s="9">
        <f t="shared" si="22"/>
        <v>42.059999999999995</v>
      </c>
      <c r="BH5" s="9">
        <f t="shared" si="23"/>
        <v>11.5</v>
      </c>
      <c r="BI5" s="9">
        <f t="shared" si="24"/>
        <v>46.919999999999995</v>
      </c>
      <c r="BJ5" s="9">
        <f t="shared" si="25"/>
        <v>88.97999999999999</v>
      </c>
      <c r="BK5" s="9">
        <f t="shared" si="26"/>
        <v>11.6</v>
      </c>
      <c r="BL5" s="9">
        <f t="shared" si="27"/>
        <v>47.790000000000006</v>
      </c>
      <c r="BM5" s="9">
        <f t="shared" si="28"/>
        <v>136.76999999999998</v>
      </c>
      <c r="BN5" s="27">
        <v>16.3</v>
      </c>
      <c r="BO5" s="27">
        <v>9.6999999999999993</v>
      </c>
      <c r="BP5" s="27">
        <v>0</v>
      </c>
      <c r="BQ5" s="27">
        <v>14.13</v>
      </c>
      <c r="BR5" s="27">
        <v>2</v>
      </c>
      <c r="BS5" s="27">
        <v>12.5</v>
      </c>
      <c r="BT5" s="27">
        <v>9.1999999999999993</v>
      </c>
      <c r="BU5" s="27">
        <v>12.4</v>
      </c>
      <c r="BV5" s="27">
        <v>13.68</v>
      </c>
      <c r="BW5" s="27">
        <v>0</v>
      </c>
      <c r="BX5" s="27">
        <v>12.4</v>
      </c>
      <c r="BY5" s="27">
        <v>7.8</v>
      </c>
      <c r="BZ5" s="27">
        <v>10.3</v>
      </c>
      <c r="CA5" s="27">
        <v>1.36</v>
      </c>
      <c r="CB5" s="27">
        <v>0</v>
      </c>
      <c r="CC5" s="32"/>
      <c r="CD5" s="7">
        <f t="shared" si="29"/>
        <v>38.130000000000003</v>
      </c>
      <c r="CE5" s="7">
        <f t="shared" si="30"/>
        <v>12.4</v>
      </c>
      <c r="CF5" s="7">
        <f t="shared" si="31"/>
        <v>47.78</v>
      </c>
      <c r="CG5" s="7">
        <f t="shared" si="32"/>
        <v>85.91</v>
      </c>
      <c r="CH5" s="7">
        <f t="shared" si="33"/>
        <v>10.3</v>
      </c>
      <c r="CI5" s="7">
        <f t="shared" si="34"/>
        <v>31.86</v>
      </c>
      <c r="CJ5" s="7">
        <f t="shared" si="35"/>
        <v>117.77</v>
      </c>
      <c r="CK5" s="13" t="str">
        <f t="shared" si="36"/>
        <v/>
      </c>
      <c r="CL5" s="13" t="str">
        <f t="shared" si="37"/>
        <v/>
      </c>
      <c r="CM5" s="13" t="str">
        <f t="shared" si="38"/>
        <v/>
      </c>
      <c r="CN5" s="13" t="str">
        <f t="shared" si="39"/>
        <v/>
      </c>
      <c r="CO5" s="18"/>
      <c r="CP5" s="18"/>
      <c r="CQ5" s="18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18"/>
      <c r="DC5" s="18"/>
      <c r="DD5" s="7" t="str">
        <f t="shared" si="40"/>
        <v/>
      </c>
      <c r="DE5" s="7" t="str">
        <f t="shared" si="41"/>
        <v/>
      </c>
      <c r="DF5" s="7" t="str">
        <f t="shared" si="42"/>
        <v/>
      </c>
      <c r="DG5" s="7" t="str">
        <f t="shared" si="43"/>
        <v/>
      </c>
      <c r="DH5" s="7" t="str">
        <f t="shared" si="44"/>
        <v/>
      </c>
      <c r="DI5" s="7" t="str">
        <f t="shared" si="45"/>
        <v/>
      </c>
      <c r="DJ5" s="7" t="str">
        <f t="shared" si="46"/>
        <v/>
      </c>
      <c r="DK5" s="19">
        <v>16.3</v>
      </c>
      <c r="DL5" s="19">
        <v>9.5</v>
      </c>
      <c r="DM5" s="19">
        <v>0</v>
      </c>
      <c r="DN5" s="19">
        <v>14.47</v>
      </c>
      <c r="DO5" s="19">
        <v>0</v>
      </c>
      <c r="DP5" s="19">
        <v>8.6999999999999993</v>
      </c>
      <c r="DQ5" s="19">
        <v>5.2</v>
      </c>
      <c r="DR5" s="19">
        <v>6.6</v>
      </c>
      <c r="DS5" s="19">
        <v>8.51</v>
      </c>
      <c r="DT5" s="19">
        <v>0</v>
      </c>
      <c r="DU5" s="19"/>
      <c r="DV5" s="19"/>
      <c r="DW5" s="19"/>
      <c r="DX5" s="19"/>
      <c r="DY5" s="19"/>
      <c r="DZ5" s="9">
        <f t="shared" si="47"/>
        <v>6.6</v>
      </c>
      <c r="EA5" s="9">
        <f t="shared" si="48"/>
        <v>40.270000000000003</v>
      </c>
      <c r="EB5" s="9">
        <f t="shared" si="49"/>
        <v>29.009999999999998</v>
      </c>
      <c r="EC5" s="9">
        <f t="shared" si="50"/>
        <v>69.28</v>
      </c>
      <c r="ED5" s="9" t="str">
        <f t="shared" si="51"/>
        <v/>
      </c>
      <c r="EE5" s="9" t="str">
        <f t="shared" si="52"/>
        <v/>
      </c>
      <c r="EF5" s="9">
        <f t="shared" si="53"/>
        <v>69.28</v>
      </c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7" t="str">
        <f t="shared" si="54"/>
        <v/>
      </c>
      <c r="EW5" s="7" t="str">
        <f t="shared" si="55"/>
        <v/>
      </c>
      <c r="EX5" s="7" t="str">
        <f t="shared" si="56"/>
        <v/>
      </c>
      <c r="EY5" s="7" t="str">
        <f t="shared" si="57"/>
        <v/>
      </c>
      <c r="EZ5" s="7" t="str">
        <f t="shared" si="58"/>
        <v/>
      </c>
      <c r="FA5" s="7" t="str">
        <f t="shared" si="59"/>
        <v/>
      </c>
      <c r="FB5" s="7" t="str">
        <f t="shared" si="60"/>
        <v/>
      </c>
      <c r="FC5" s="19"/>
      <c r="FD5" s="19"/>
      <c r="FE5" s="19"/>
      <c r="FF5" s="19"/>
      <c r="FG5" s="19"/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9" t="str">
        <f t="shared" si="61"/>
        <v/>
      </c>
      <c r="FS5" s="9" t="str">
        <f t="shared" si="62"/>
        <v/>
      </c>
      <c r="FT5" s="9" t="str">
        <f t="shared" si="63"/>
        <v/>
      </c>
      <c r="FU5" s="9" t="str">
        <f t="shared" si="64"/>
        <v/>
      </c>
      <c r="FV5" s="9" t="str">
        <f t="shared" si="65"/>
        <v/>
      </c>
      <c r="FW5" s="9" t="str">
        <f t="shared" si="66"/>
        <v/>
      </c>
      <c r="FX5" s="9" t="str">
        <f t="shared" si="67"/>
        <v/>
      </c>
      <c r="FY5" s="18"/>
      <c r="FZ5" s="18"/>
      <c r="GA5" s="18"/>
      <c r="GB5" s="18"/>
      <c r="GC5" s="18"/>
      <c r="GD5" s="18"/>
      <c r="GE5" s="18"/>
      <c r="GF5" s="18"/>
      <c r="GG5" s="18"/>
      <c r="GH5" s="18"/>
      <c r="GI5" s="18"/>
      <c r="GJ5" s="18"/>
      <c r="GK5" s="18"/>
      <c r="GL5" s="18"/>
      <c r="GM5" s="18"/>
      <c r="GN5" s="7" t="str">
        <f t="shared" si="68"/>
        <v/>
      </c>
      <c r="GO5" s="7" t="str">
        <f t="shared" si="69"/>
        <v/>
      </c>
      <c r="GP5" s="7" t="str">
        <f t="shared" si="70"/>
        <v/>
      </c>
      <c r="GQ5" s="7" t="str">
        <f t="shared" si="71"/>
        <v/>
      </c>
      <c r="GR5" s="7" t="str">
        <f t="shared" si="72"/>
        <v/>
      </c>
      <c r="GS5" s="7" t="str">
        <f t="shared" si="73"/>
        <v/>
      </c>
      <c r="GT5" s="7" t="str">
        <f t="shared" si="74"/>
        <v/>
      </c>
      <c r="GU5" s="19"/>
      <c r="GV5" s="19"/>
      <c r="GW5" s="19"/>
      <c r="GX5" s="19"/>
      <c r="GY5" s="19"/>
      <c r="GZ5" s="19"/>
      <c r="HA5" s="19"/>
      <c r="HB5" s="19"/>
      <c r="HC5" s="19"/>
      <c r="HD5" s="19"/>
      <c r="HE5" s="19"/>
      <c r="HF5" s="19"/>
      <c r="HG5" s="19"/>
      <c r="HH5" s="19"/>
      <c r="HI5" s="19"/>
      <c r="HJ5" s="9" t="str">
        <f t="shared" si="75"/>
        <v/>
      </c>
      <c r="HK5" s="9" t="str">
        <f t="shared" si="76"/>
        <v/>
      </c>
      <c r="HL5" s="9" t="str">
        <f t="shared" si="77"/>
        <v/>
      </c>
      <c r="HM5" s="9" t="str">
        <f t="shared" si="78"/>
        <v/>
      </c>
      <c r="HN5" s="9" t="str">
        <f t="shared" si="79"/>
        <v/>
      </c>
      <c r="HO5" s="9" t="str">
        <f t="shared" si="80"/>
        <v/>
      </c>
      <c r="HP5" s="9" t="str">
        <f t="shared" si="81"/>
        <v/>
      </c>
      <c r="HQ5" s="18"/>
      <c r="HR5" s="18"/>
      <c r="HS5" s="18"/>
      <c r="HT5" s="18"/>
      <c r="HU5" s="18"/>
      <c r="HV5" s="18"/>
      <c r="HW5" s="18"/>
      <c r="HX5" s="18"/>
      <c r="HY5" s="18"/>
      <c r="HZ5" s="18"/>
      <c r="IA5" s="18"/>
      <c r="IB5" s="18"/>
      <c r="IC5" s="18"/>
      <c r="ID5" s="18"/>
      <c r="IE5" s="18"/>
      <c r="IF5" s="7" t="str">
        <f t="shared" si="82"/>
        <v/>
      </c>
      <c r="IG5" s="7" t="str">
        <f t="shared" si="83"/>
        <v/>
      </c>
      <c r="IH5" s="7" t="str">
        <f t="shared" si="84"/>
        <v/>
      </c>
      <c r="II5" s="7" t="str">
        <f t="shared" si="85"/>
        <v/>
      </c>
      <c r="IJ5" s="7" t="str">
        <f t="shared" si="86"/>
        <v/>
      </c>
      <c r="IK5" s="7" t="str">
        <f t="shared" si="87"/>
        <v/>
      </c>
      <c r="IL5" s="7" t="str">
        <f t="shared" si="88"/>
        <v/>
      </c>
      <c r="IM5" s="19"/>
      <c r="IN5" s="19"/>
      <c r="IO5" s="19"/>
      <c r="IP5" s="19"/>
      <c r="IQ5" s="19"/>
      <c r="IR5" s="19"/>
      <c r="IS5" s="19"/>
      <c r="IT5" s="19"/>
      <c r="IU5" s="19"/>
      <c r="IV5" s="19"/>
      <c r="IW5" s="19"/>
      <c r="IX5" s="19"/>
      <c r="IY5" s="19"/>
      <c r="IZ5" s="19"/>
      <c r="JA5" s="19"/>
      <c r="JB5" s="9" t="str">
        <f t="shared" si="89"/>
        <v/>
      </c>
      <c r="JC5" s="9" t="str">
        <f t="shared" si="90"/>
        <v/>
      </c>
      <c r="JD5" s="9" t="str">
        <f t="shared" si="91"/>
        <v/>
      </c>
      <c r="JE5" s="9" t="str">
        <f t="shared" si="92"/>
        <v/>
      </c>
      <c r="JF5" s="9" t="str">
        <f t="shared" si="93"/>
        <v/>
      </c>
      <c r="JG5" s="9" t="str">
        <f t="shared" si="94"/>
        <v/>
      </c>
      <c r="JH5" s="9" t="str">
        <f t="shared" si="95"/>
        <v/>
      </c>
      <c r="JI5" s="18"/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7" t="str">
        <f t="shared" si="96"/>
        <v/>
      </c>
      <c r="JY5" s="7" t="str">
        <f t="shared" si="97"/>
        <v/>
      </c>
      <c r="JZ5" s="7" t="str">
        <f t="shared" si="98"/>
        <v/>
      </c>
      <c r="KA5" s="7" t="str">
        <f t="shared" si="99"/>
        <v/>
      </c>
      <c r="KB5" s="7" t="str">
        <f t="shared" si="100"/>
        <v/>
      </c>
      <c r="KC5" s="7" t="str">
        <f t="shared" si="101"/>
        <v/>
      </c>
      <c r="KD5" s="7" t="str">
        <f t="shared" si="102"/>
        <v/>
      </c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9"/>
      <c r="KR5" s="19"/>
      <c r="KS5" s="19"/>
      <c r="KT5" s="9" t="str">
        <f t="shared" si="103"/>
        <v/>
      </c>
      <c r="KU5" s="9" t="str">
        <f t="shared" si="104"/>
        <v/>
      </c>
      <c r="KV5" s="9" t="str">
        <f t="shared" si="105"/>
        <v/>
      </c>
      <c r="KW5" s="9" t="str">
        <f t="shared" si="106"/>
        <v/>
      </c>
      <c r="KX5" s="9" t="str">
        <f t="shared" si="107"/>
        <v/>
      </c>
      <c r="KY5" s="9" t="str">
        <f t="shared" si="108"/>
        <v/>
      </c>
      <c r="KZ5" s="9" t="str">
        <f t="shared" si="109"/>
        <v/>
      </c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7" t="str">
        <f t="shared" si="110"/>
        <v/>
      </c>
      <c r="LQ5" s="7" t="str">
        <f t="shared" si="111"/>
        <v/>
      </c>
      <c r="LR5" s="7" t="str">
        <f t="shared" si="112"/>
        <v/>
      </c>
      <c r="LS5" s="7" t="str">
        <f t="shared" si="113"/>
        <v/>
      </c>
      <c r="LT5" s="7" t="str">
        <f t="shared" si="114"/>
        <v/>
      </c>
      <c r="LU5" s="7" t="str">
        <f t="shared" si="115"/>
        <v/>
      </c>
      <c r="LV5" s="7" t="str">
        <f t="shared" si="116"/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9" t="str">
        <f t="shared" si="117"/>
        <v/>
      </c>
      <c r="MM5" s="9" t="str">
        <f t="shared" si="118"/>
        <v/>
      </c>
      <c r="MN5" s="9" t="str">
        <f t="shared" si="119"/>
        <v/>
      </c>
      <c r="MO5" s="9" t="str">
        <f t="shared" si="120"/>
        <v/>
      </c>
      <c r="MP5" s="9" t="str">
        <f t="shared" si="121"/>
        <v/>
      </c>
      <c r="MQ5" s="9" t="str">
        <f t="shared" si="122"/>
        <v/>
      </c>
      <c r="MR5" s="9" t="str">
        <f t="shared" si="123"/>
        <v/>
      </c>
      <c r="MS5" s="27">
        <f t="shared" si="124"/>
        <v>17.100000000000001</v>
      </c>
      <c r="MT5" s="27">
        <f t="shared" si="124"/>
        <v>9.8000000000000007</v>
      </c>
      <c r="MU5" s="27">
        <f t="shared" si="124"/>
        <v>0</v>
      </c>
      <c r="MV5" s="27">
        <f t="shared" si="124"/>
        <v>14.195</v>
      </c>
      <c r="MW5" s="27">
        <f t="shared" si="124"/>
        <v>1</v>
      </c>
      <c r="MX5" s="27">
        <f t="shared" si="124"/>
        <v>12.7</v>
      </c>
      <c r="MY5" s="27">
        <f t="shared" si="124"/>
        <v>9.0500000000000007</v>
      </c>
      <c r="MZ5" s="27">
        <f t="shared" si="124"/>
        <v>11.95</v>
      </c>
      <c r="NA5" s="27">
        <f t="shared" si="124"/>
        <v>13.649999999999999</v>
      </c>
      <c r="NB5" s="27">
        <f t="shared" si="124"/>
        <v>0</v>
      </c>
      <c r="NC5" s="27">
        <f>IF($CC5="P",BX5,(BX5+BA5)/2)</f>
        <v>13.15</v>
      </c>
      <c r="ND5" s="27">
        <f>IF($CC5="P",BY5,(BY5+BB5)/2)</f>
        <v>8.25</v>
      </c>
      <c r="NE5" s="27">
        <f>IF($CC5="P",BZ5,(BZ5+BC5)/2)</f>
        <v>10.95</v>
      </c>
      <c r="NF5" s="27">
        <f>IF($CC5="P",CA5,(CA5+BD5)/2)</f>
        <v>7.4749999999999996</v>
      </c>
      <c r="NG5" s="27">
        <f>IF($CC5="P",CB5,(CB5+BE5)/2)</f>
        <v>0</v>
      </c>
      <c r="NH5" s="32" t="s">
        <v>44</v>
      </c>
      <c r="NI5" s="7">
        <f>IF(SUM(MS5:MV5)-MW5&gt;0,SUM(MS5:MV5)-MW5,"")</f>
        <v>40.094999999999999</v>
      </c>
      <c r="NJ5" s="7">
        <f>IF(MZ5&gt;0,MZ5,"")</f>
        <v>11.95</v>
      </c>
      <c r="NK5" s="7">
        <f>IF(SUM(MX5:NA5)-NB5&gt;0,SUM(MX5:NA5)-NB5,"")</f>
        <v>47.35</v>
      </c>
      <c r="NL5" s="7">
        <f t="shared" ref="NL5:NL11" si="127">IF(OR(NI5&lt;&gt;"",NK5&lt;&gt;""),NI5+NK5,"")</f>
        <v>87.444999999999993</v>
      </c>
      <c r="NM5" s="7">
        <f t="shared" si="125"/>
        <v>10.95</v>
      </c>
      <c r="NN5" s="7">
        <f>IF(SUM(NC5:NF5)-NG5&gt;0,SUM(NC5:NF5)-NG5,"")</f>
        <v>39.824999999999996</v>
      </c>
      <c r="NO5" s="7">
        <f t="shared" ref="NO5" si="128">IF(SUM(NL5,NN5)&gt;0,SUM(NL5,NN5),"")</f>
        <v>127.26999999999998</v>
      </c>
    </row>
    <row r="6" spans="1:379" x14ac:dyDescent="0.2">
      <c r="A6" s="4" t="str" cm="1">
        <f t="array" ref="A6">IF(AND(H6&lt;&gt;"",H6&lt;&gt;"No DD"),SUMPRODUCT((H$4:H$12&lt;&gt;"")*(H$4:H$12&lt;&gt;"No DD")*(E$4:E$12&gt;E6))+1,IF(H6="No DD",SUMPRODUCT((H$4:H$12="No DD")*(E$4:E$12&gt;E6))+1+SUMPRODUCT((H$4:H$12&lt;&gt;"")*(H$4:H$12&lt;&gt;"No DD")),""))</f>
        <v/>
      </c>
      <c r="B6" s="5" t="s">
        <v>76</v>
      </c>
      <c r="C6" s="4" t="s">
        <v>64</v>
      </c>
      <c r="D6" s="4">
        <v>2009</v>
      </c>
      <c r="E6" s="10">
        <f t="shared" si="0"/>
        <v>221.42</v>
      </c>
      <c r="F6" s="3" t="str">
        <f t="shared" si="1"/>
        <v/>
      </c>
      <c r="G6" s="3" t="str">
        <f t="shared" si="2"/>
        <v/>
      </c>
      <c r="H6" s="47" t="str">
        <f t="shared" si="3"/>
        <v/>
      </c>
      <c r="I6" s="9">
        <f t="shared" si="4"/>
        <v>90.289999999999992</v>
      </c>
      <c r="J6" s="9" t="str">
        <f t="shared" si="5"/>
        <v>2025 Nationals</v>
      </c>
      <c r="K6" s="9">
        <f t="shared" si="6"/>
        <v>39.78</v>
      </c>
      <c r="L6" s="9" t="str">
        <f t="shared" si="7"/>
        <v>2025 3rd Domestic Trial</v>
      </c>
      <c r="M6" s="9">
        <f t="shared" si="8"/>
        <v>42.56</v>
      </c>
      <c r="N6" s="9" t="str">
        <f t="shared" si="9"/>
        <v>2025 3rd Domestic Trial</v>
      </c>
      <c r="O6" s="9">
        <f t="shared" si="10"/>
        <v>48.73</v>
      </c>
      <c r="P6" s="9" t="str">
        <f t="shared" si="11"/>
        <v>2025 Nationals</v>
      </c>
      <c r="Q6" s="9">
        <f t="shared" si="12"/>
        <v>5.9999999999995168E-2</v>
      </c>
      <c r="R6" s="14" t="str">
        <f t="shared" si="13"/>
        <v>(Vol 1)</v>
      </c>
      <c r="S6" s="9" t="str">
        <f t="shared" si="14"/>
        <v>2025 WAGC (Nov 16)</v>
      </c>
      <c r="T6" s="27">
        <v>15.6</v>
      </c>
      <c r="U6" s="27">
        <v>9.6</v>
      </c>
      <c r="V6" s="27">
        <v>0</v>
      </c>
      <c r="W6" s="27">
        <v>14.33</v>
      </c>
      <c r="X6" s="27">
        <v>0</v>
      </c>
      <c r="Y6" s="27">
        <v>11.4</v>
      </c>
      <c r="Z6" s="27">
        <v>8.8000000000000007</v>
      </c>
      <c r="AA6" s="27">
        <v>8.4</v>
      </c>
      <c r="AB6" s="27">
        <v>12.65</v>
      </c>
      <c r="AC6" s="27">
        <v>0</v>
      </c>
      <c r="AD6" s="27">
        <v>12.7</v>
      </c>
      <c r="AE6" s="27">
        <v>9.6999999999999993</v>
      </c>
      <c r="AF6" s="27">
        <v>11</v>
      </c>
      <c r="AG6" s="27">
        <v>14.06</v>
      </c>
      <c r="AH6" s="27">
        <v>0</v>
      </c>
      <c r="AI6" s="32"/>
      <c r="AJ6" s="7">
        <f t="shared" si="15"/>
        <v>39.53</v>
      </c>
      <c r="AK6" s="7">
        <f t="shared" si="16"/>
        <v>8.4</v>
      </c>
      <c r="AL6" s="7">
        <f t="shared" si="17"/>
        <v>41.25</v>
      </c>
      <c r="AM6" s="7">
        <f t="shared" si="18"/>
        <v>80.78</v>
      </c>
      <c r="AN6" s="7">
        <f t="shared" si="19"/>
        <v>11</v>
      </c>
      <c r="AO6" s="7">
        <f t="shared" si="20"/>
        <v>47.46</v>
      </c>
      <c r="AP6" s="7">
        <f t="shared" si="21"/>
        <v>128.24</v>
      </c>
      <c r="AQ6" s="31">
        <v>17.5</v>
      </c>
      <c r="AR6" s="31">
        <v>9.8000000000000007</v>
      </c>
      <c r="AS6" s="31">
        <v>0</v>
      </c>
      <c r="AT6" s="31">
        <v>14.97</v>
      </c>
      <c r="AU6" s="31">
        <v>0</v>
      </c>
      <c r="AV6" s="31">
        <v>13.5</v>
      </c>
      <c r="AW6" s="31">
        <v>9.1999999999999993</v>
      </c>
      <c r="AX6" s="31">
        <v>10.8</v>
      </c>
      <c r="AY6" s="31">
        <v>14.52</v>
      </c>
      <c r="AZ6" s="31">
        <v>0</v>
      </c>
      <c r="BA6" s="31">
        <v>13.5</v>
      </c>
      <c r="BB6" s="31">
        <v>9.1999999999999993</v>
      </c>
      <c r="BC6" s="31">
        <v>11.7</v>
      </c>
      <c r="BD6" s="31">
        <v>14.33</v>
      </c>
      <c r="BE6" s="31">
        <v>0</v>
      </c>
      <c r="BF6" s="33"/>
      <c r="BG6" s="9">
        <f t="shared" si="22"/>
        <v>42.27</v>
      </c>
      <c r="BH6" s="9">
        <f t="shared" si="23"/>
        <v>10.8</v>
      </c>
      <c r="BI6" s="9">
        <f t="shared" si="24"/>
        <v>48.019999999999996</v>
      </c>
      <c r="BJ6" s="9">
        <f t="shared" si="25"/>
        <v>90.289999999999992</v>
      </c>
      <c r="BK6" s="9">
        <f t="shared" si="26"/>
        <v>11.7</v>
      </c>
      <c r="BL6" s="9">
        <f t="shared" si="27"/>
        <v>48.73</v>
      </c>
      <c r="BM6" s="9">
        <f t="shared" si="28"/>
        <v>139.01999999999998</v>
      </c>
      <c r="BN6" s="27">
        <v>15.2</v>
      </c>
      <c r="BO6" s="27">
        <v>9.6</v>
      </c>
      <c r="BP6" s="27">
        <v>0</v>
      </c>
      <c r="BQ6" s="27">
        <v>14.98</v>
      </c>
      <c r="BR6" s="27">
        <v>0</v>
      </c>
      <c r="BS6" s="27">
        <v>10.4</v>
      </c>
      <c r="BT6" s="27">
        <v>9.4</v>
      </c>
      <c r="BU6" s="27">
        <v>8.6999999999999993</v>
      </c>
      <c r="BV6" s="27">
        <v>14.56</v>
      </c>
      <c r="BW6" s="27">
        <v>0.5</v>
      </c>
      <c r="BX6" s="27">
        <v>12.3</v>
      </c>
      <c r="BY6" s="27">
        <v>8.8000000000000007</v>
      </c>
      <c r="BZ6" s="27">
        <v>9</v>
      </c>
      <c r="CA6" s="27">
        <v>14.31</v>
      </c>
      <c r="CB6" s="27">
        <v>0.2</v>
      </c>
      <c r="CC6" s="32"/>
      <c r="CD6" s="7">
        <f t="shared" si="29"/>
        <v>39.78</v>
      </c>
      <c r="CE6" s="7">
        <f t="shared" si="30"/>
        <v>8.6999999999999993</v>
      </c>
      <c r="CF6" s="7">
        <f t="shared" si="31"/>
        <v>42.56</v>
      </c>
      <c r="CG6" s="7">
        <f t="shared" si="32"/>
        <v>82.34</v>
      </c>
      <c r="CH6" s="7">
        <f t="shared" si="33"/>
        <v>9</v>
      </c>
      <c r="CI6" s="7">
        <f t="shared" si="34"/>
        <v>44.21</v>
      </c>
      <c r="CJ6" s="7">
        <f t="shared" si="35"/>
        <v>126.55000000000001</v>
      </c>
      <c r="CK6" s="13">
        <f t="shared" si="36"/>
        <v>5.9999999999995168E-2</v>
      </c>
      <c r="CL6" s="13" t="str">
        <f t="shared" si="37"/>
        <v/>
      </c>
      <c r="CM6" s="13" t="str">
        <f t="shared" si="38"/>
        <v/>
      </c>
      <c r="CN6" s="13" t="str">
        <f t="shared" si="39"/>
        <v/>
      </c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7" t="str">
        <f t="shared" si="40"/>
        <v/>
      </c>
      <c r="DE6" s="7" t="str">
        <f t="shared" si="41"/>
        <v/>
      </c>
      <c r="DF6" s="7" t="str">
        <f t="shared" si="42"/>
        <v/>
      </c>
      <c r="DG6" s="7" t="str">
        <f t="shared" si="43"/>
        <v/>
      </c>
      <c r="DH6" s="7" t="str">
        <f t="shared" si="44"/>
        <v/>
      </c>
      <c r="DI6" s="7" t="str">
        <f t="shared" si="45"/>
        <v/>
      </c>
      <c r="DJ6" s="7" t="str">
        <f t="shared" si="46"/>
        <v/>
      </c>
      <c r="DK6" s="19">
        <v>15.2</v>
      </c>
      <c r="DL6" s="19">
        <v>9.6</v>
      </c>
      <c r="DM6" s="19">
        <v>0</v>
      </c>
      <c r="DN6" s="19">
        <v>15.04</v>
      </c>
      <c r="DO6" s="19">
        <v>0</v>
      </c>
      <c r="DP6" s="19">
        <v>3.8</v>
      </c>
      <c r="DQ6" s="19">
        <v>2.7</v>
      </c>
      <c r="DR6" s="19">
        <v>3.9</v>
      </c>
      <c r="DS6" s="19">
        <v>4.54</v>
      </c>
      <c r="DT6" s="19">
        <v>0</v>
      </c>
      <c r="DU6" s="19"/>
      <c r="DV6" s="19"/>
      <c r="DW6" s="19"/>
      <c r="DX6" s="19"/>
      <c r="DY6" s="19"/>
      <c r="DZ6" s="9">
        <f t="shared" si="47"/>
        <v>3.9</v>
      </c>
      <c r="EA6" s="9">
        <f t="shared" si="48"/>
        <v>39.839999999999996</v>
      </c>
      <c r="EB6" s="9">
        <f t="shared" si="49"/>
        <v>14.940000000000001</v>
      </c>
      <c r="EC6" s="9">
        <f t="shared" si="50"/>
        <v>54.78</v>
      </c>
      <c r="ED6" s="9" t="str">
        <f t="shared" si="51"/>
        <v/>
      </c>
      <c r="EE6" s="9" t="str">
        <f t="shared" si="52"/>
        <v/>
      </c>
      <c r="EF6" s="9">
        <f t="shared" si="53"/>
        <v>54.78</v>
      </c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7" t="str">
        <f t="shared" si="54"/>
        <v/>
      </c>
      <c r="EW6" s="7" t="str">
        <f t="shared" si="55"/>
        <v/>
      </c>
      <c r="EX6" s="7" t="str">
        <f t="shared" si="56"/>
        <v/>
      </c>
      <c r="EY6" s="7" t="str">
        <f t="shared" si="57"/>
        <v/>
      </c>
      <c r="EZ6" s="7" t="str">
        <f t="shared" si="58"/>
        <v/>
      </c>
      <c r="FA6" s="7" t="str">
        <f t="shared" si="59"/>
        <v/>
      </c>
      <c r="FB6" s="7" t="str">
        <f t="shared" si="60"/>
        <v/>
      </c>
      <c r="FC6" s="19"/>
      <c r="FD6" s="19"/>
      <c r="FE6" s="19"/>
      <c r="FF6" s="19"/>
      <c r="FG6" s="19"/>
      <c r="FH6" s="19"/>
      <c r="FI6" s="19"/>
      <c r="FJ6" s="19"/>
      <c r="FK6" s="19"/>
      <c r="FL6" s="19"/>
      <c r="FM6" s="19"/>
      <c r="FN6" s="19"/>
      <c r="FO6" s="19"/>
      <c r="FP6" s="19"/>
      <c r="FQ6" s="19"/>
      <c r="FR6" s="9" t="str">
        <f t="shared" si="61"/>
        <v/>
      </c>
      <c r="FS6" s="9" t="str">
        <f t="shared" si="62"/>
        <v/>
      </c>
      <c r="FT6" s="9" t="str">
        <f t="shared" si="63"/>
        <v/>
      </c>
      <c r="FU6" s="9" t="str">
        <f t="shared" si="64"/>
        <v/>
      </c>
      <c r="FV6" s="9" t="str">
        <f t="shared" si="65"/>
        <v/>
      </c>
      <c r="FW6" s="9" t="str">
        <f t="shared" si="66"/>
        <v/>
      </c>
      <c r="FX6" s="9" t="str">
        <f t="shared" si="67"/>
        <v/>
      </c>
      <c r="FY6" s="18"/>
      <c r="FZ6" s="18"/>
      <c r="GA6" s="18"/>
      <c r="GB6" s="18"/>
      <c r="GC6" s="18"/>
      <c r="GD6" s="18"/>
      <c r="GE6" s="18"/>
      <c r="GF6" s="18"/>
      <c r="GG6" s="18"/>
      <c r="GH6" s="18"/>
      <c r="GI6" s="18"/>
      <c r="GJ6" s="18"/>
      <c r="GK6" s="18"/>
      <c r="GL6" s="18"/>
      <c r="GM6" s="18"/>
      <c r="GN6" s="7" t="str">
        <f t="shared" si="68"/>
        <v/>
      </c>
      <c r="GO6" s="7" t="str">
        <f t="shared" si="69"/>
        <v/>
      </c>
      <c r="GP6" s="7" t="str">
        <f t="shared" si="70"/>
        <v/>
      </c>
      <c r="GQ6" s="7" t="str">
        <f t="shared" si="71"/>
        <v/>
      </c>
      <c r="GR6" s="7" t="str">
        <f t="shared" si="72"/>
        <v/>
      </c>
      <c r="GS6" s="7" t="str">
        <f t="shared" si="73"/>
        <v/>
      </c>
      <c r="GT6" s="7" t="str">
        <f t="shared" si="74"/>
        <v/>
      </c>
      <c r="GU6" s="19"/>
      <c r="GV6" s="19"/>
      <c r="GW6" s="19"/>
      <c r="GX6" s="19"/>
      <c r="GY6" s="19"/>
      <c r="GZ6" s="19"/>
      <c r="HA6" s="19"/>
      <c r="HB6" s="19"/>
      <c r="HC6" s="19"/>
      <c r="HD6" s="19"/>
      <c r="HE6" s="19"/>
      <c r="HF6" s="19"/>
      <c r="HG6" s="19"/>
      <c r="HH6" s="19"/>
      <c r="HI6" s="19"/>
      <c r="HJ6" s="9" t="str">
        <f t="shared" si="75"/>
        <v/>
      </c>
      <c r="HK6" s="9" t="str">
        <f t="shared" si="76"/>
        <v/>
      </c>
      <c r="HL6" s="9" t="str">
        <f t="shared" si="77"/>
        <v/>
      </c>
      <c r="HM6" s="9" t="str">
        <f t="shared" si="78"/>
        <v/>
      </c>
      <c r="HN6" s="9" t="str">
        <f t="shared" si="79"/>
        <v/>
      </c>
      <c r="HO6" s="9" t="str">
        <f t="shared" si="80"/>
        <v/>
      </c>
      <c r="HP6" s="9" t="str">
        <f t="shared" si="81"/>
        <v/>
      </c>
      <c r="HQ6" s="18"/>
      <c r="HR6" s="18"/>
      <c r="HS6" s="18"/>
      <c r="HT6" s="18"/>
      <c r="HU6" s="18"/>
      <c r="HV6" s="18"/>
      <c r="HW6" s="18"/>
      <c r="HX6" s="18"/>
      <c r="HY6" s="18"/>
      <c r="HZ6" s="18"/>
      <c r="IA6" s="18"/>
      <c r="IB6" s="18"/>
      <c r="IC6" s="18"/>
      <c r="ID6" s="18"/>
      <c r="IE6" s="18"/>
      <c r="IF6" s="7" t="str">
        <f t="shared" si="82"/>
        <v/>
      </c>
      <c r="IG6" s="7" t="str">
        <f t="shared" si="83"/>
        <v/>
      </c>
      <c r="IH6" s="7" t="str">
        <f t="shared" si="84"/>
        <v/>
      </c>
      <c r="II6" s="7" t="str">
        <f t="shared" si="85"/>
        <v/>
      </c>
      <c r="IJ6" s="7" t="str">
        <f t="shared" si="86"/>
        <v/>
      </c>
      <c r="IK6" s="7" t="str">
        <f t="shared" si="87"/>
        <v/>
      </c>
      <c r="IL6" s="7" t="str">
        <f t="shared" si="88"/>
        <v/>
      </c>
      <c r="IM6" s="19"/>
      <c r="IN6" s="19"/>
      <c r="IO6" s="19"/>
      <c r="IP6" s="19"/>
      <c r="IQ6" s="19"/>
      <c r="IR6" s="19"/>
      <c r="IS6" s="19"/>
      <c r="IT6" s="19"/>
      <c r="IU6" s="19"/>
      <c r="IV6" s="19"/>
      <c r="IW6" s="19"/>
      <c r="IX6" s="19"/>
      <c r="IY6" s="19"/>
      <c r="IZ6" s="19"/>
      <c r="JA6" s="19"/>
      <c r="JB6" s="9" t="str">
        <f t="shared" si="89"/>
        <v/>
      </c>
      <c r="JC6" s="9" t="str">
        <f t="shared" si="90"/>
        <v/>
      </c>
      <c r="JD6" s="9" t="str">
        <f t="shared" si="91"/>
        <v/>
      </c>
      <c r="JE6" s="9" t="str">
        <f t="shared" si="92"/>
        <v/>
      </c>
      <c r="JF6" s="9" t="str">
        <f t="shared" si="93"/>
        <v/>
      </c>
      <c r="JG6" s="9" t="str">
        <f t="shared" si="94"/>
        <v/>
      </c>
      <c r="JH6" s="9" t="str">
        <f t="shared" si="95"/>
        <v/>
      </c>
      <c r="JI6" s="18"/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7" t="str">
        <f t="shared" si="96"/>
        <v/>
      </c>
      <c r="JY6" s="7" t="str">
        <f t="shared" si="97"/>
        <v/>
      </c>
      <c r="JZ6" s="7" t="str">
        <f t="shared" si="98"/>
        <v/>
      </c>
      <c r="KA6" s="7" t="str">
        <f t="shared" si="99"/>
        <v/>
      </c>
      <c r="KB6" s="7" t="str">
        <f t="shared" si="100"/>
        <v/>
      </c>
      <c r="KC6" s="7" t="str">
        <f t="shared" si="101"/>
        <v/>
      </c>
      <c r="KD6" s="7" t="str">
        <f t="shared" si="102"/>
        <v/>
      </c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9"/>
      <c r="KR6" s="19"/>
      <c r="KS6" s="19"/>
      <c r="KT6" s="9" t="str">
        <f t="shared" si="103"/>
        <v/>
      </c>
      <c r="KU6" s="9" t="str">
        <f t="shared" si="104"/>
        <v/>
      </c>
      <c r="KV6" s="9" t="str">
        <f t="shared" si="105"/>
        <v/>
      </c>
      <c r="KW6" s="9" t="str">
        <f t="shared" si="106"/>
        <v/>
      </c>
      <c r="KX6" s="9" t="str">
        <f t="shared" si="107"/>
        <v/>
      </c>
      <c r="KY6" s="9" t="str">
        <f t="shared" si="108"/>
        <v/>
      </c>
      <c r="KZ6" s="9" t="str">
        <f t="shared" si="109"/>
        <v/>
      </c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7" t="str">
        <f t="shared" si="110"/>
        <v/>
      </c>
      <c r="LQ6" s="7" t="str">
        <f t="shared" si="111"/>
        <v/>
      </c>
      <c r="LR6" s="7" t="str">
        <f t="shared" si="112"/>
        <v/>
      </c>
      <c r="LS6" s="7" t="str">
        <f t="shared" si="113"/>
        <v/>
      </c>
      <c r="LT6" s="7" t="str">
        <f t="shared" si="114"/>
        <v/>
      </c>
      <c r="LU6" s="7" t="str">
        <f t="shared" si="115"/>
        <v/>
      </c>
      <c r="LV6" s="7" t="str">
        <f t="shared" si="116"/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9" t="str">
        <f t="shared" si="117"/>
        <v/>
      </c>
      <c r="MM6" s="9" t="str">
        <f t="shared" si="118"/>
        <v/>
      </c>
      <c r="MN6" s="9" t="str">
        <f t="shared" si="119"/>
        <v/>
      </c>
      <c r="MO6" s="9" t="str">
        <f t="shared" si="120"/>
        <v/>
      </c>
      <c r="MP6" s="9" t="str">
        <f t="shared" si="121"/>
        <v/>
      </c>
      <c r="MQ6" s="9" t="str">
        <f t="shared" si="122"/>
        <v/>
      </c>
      <c r="MR6" s="9" t="str">
        <f t="shared" si="123"/>
        <v/>
      </c>
      <c r="MS6" s="27">
        <f t="shared" si="124"/>
        <v>16.350000000000001</v>
      </c>
      <c r="MT6" s="27">
        <f t="shared" si="124"/>
        <v>9.6999999999999993</v>
      </c>
      <c r="MU6" s="27">
        <f t="shared" si="124"/>
        <v>0</v>
      </c>
      <c r="MV6" s="27">
        <f t="shared" si="124"/>
        <v>14.975000000000001</v>
      </c>
      <c r="MW6" s="27">
        <f t="shared" si="124"/>
        <v>0</v>
      </c>
      <c r="MX6" s="27">
        <f t="shared" si="124"/>
        <v>11.95</v>
      </c>
      <c r="MY6" s="27">
        <f t="shared" si="124"/>
        <v>9.3000000000000007</v>
      </c>
      <c r="MZ6" s="27">
        <f t="shared" si="124"/>
        <v>9.75</v>
      </c>
      <c r="NA6" s="27">
        <f t="shared" si="124"/>
        <v>14.54</v>
      </c>
      <c r="NB6" s="27">
        <f t="shared" si="124"/>
        <v>0.25</v>
      </c>
      <c r="NC6" s="27">
        <f>IF($CC6="P",BX6,(BX6+BA6)/2)</f>
        <v>12.9</v>
      </c>
      <c r="ND6" s="27">
        <f>IF($CC6="P",BY6,(BY6+BB6)/2)</f>
        <v>9</v>
      </c>
      <c r="NE6" s="27">
        <f>IF($CC6="P",BZ6,(BZ6+BC6)/2)</f>
        <v>10.35</v>
      </c>
      <c r="NF6" s="27">
        <f>IF($CC6="P",CA6,(CA6+BD6)/2)</f>
        <v>14.32</v>
      </c>
      <c r="NG6" s="27">
        <f>IF($CC6="P",CB6,(CB6+BE6)/2)</f>
        <v>0.1</v>
      </c>
      <c r="NH6" s="32" t="s">
        <v>44</v>
      </c>
      <c r="NI6" s="7">
        <f>IF(SUM(MS6:MV6)-MW6&gt;0,SUM(MS6:MV6)-MW6,"")</f>
        <v>41.025000000000006</v>
      </c>
      <c r="NJ6" s="7">
        <f>IF(MZ6&gt;0,MZ6,"")</f>
        <v>9.75</v>
      </c>
      <c r="NK6" s="7">
        <f>IF(SUM(MX6:NA6)-NB6&gt;0,SUM(MX6:NA6)-NB6,"")</f>
        <v>45.29</v>
      </c>
      <c r="NL6" s="7">
        <f t="shared" si="127"/>
        <v>86.314999999999998</v>
      </c>
      <c r="NM6" s="7">
        <f t="shared" si="125"/>
        <v>10.35</v>
      </c>
      <c r="NN6" s="7">
        <f>IF(SUM(NC6:NF6)-NG6&gt;0,SUM(NC6:NF6)-NG6,"")</f>
        <v>46.47</v>
      </c>
      <c r="NO6" s="7">
        <f t="shared" ref="NO6:NO9" si="129">IF(SUM(NL6,NN6)&gt;0,SUM(NL6,NN6),"")</f>
        <v>132.785</v>
      </c>
    </row>
    <row r="7" spans="1:379" x14ac:dyDescent="0.2">
      <c r="A7" s="4" t="str" cm="1">
        <f t="array" ref="A7">IF(AND(H7&lt;&gt;"",H7&lt;&gt;"No DD"),SUMPRODUCT((H$4:H$12&lt;&gt;"")*(H$4:H$12&lt;&gt;"No DD")*(E$4:E$12&gt;E7))+1,IF(H7="No DD",SUMPRODUCT((H$4:H$12="No DD")*(E$4:E$12&gt;E7))+1+SUMPRODUCT((H$4:H$12&lt;&gt;"")*(H$4:H$12&lt;&gt;"No DD")),""))</f>
        <v/>
      </c>
      <c r="B7" s="5" t="s">
        <v>77</v>
      </c>
      <c r="C7" s="4" t="s">
        <v>3</v>
      </c>
      <c r="D7" s="4">
        <v>2009</v>
      </c>
      <c r="E7" s="10">
        <f t="shared" si="0"/>
        <v>216.71999999999997</v>
      </c>
      <c r="F7" s="3" t="str">
        <f t="shared" si="1"/>
        <v/>
      </c>
      <c r="G7" s="3" t="str">
        <f t="shared" si="2"/>
        <v/>
      </c>
      <c r="H7" s="47" t="str">
        <f t="shared" si="3"/>
        <v/>
      </c>
      <c r="I7" s="9">
        <f t="shared" si="4"/>
        <v>90.97</v>
      </c>
      <c r="J7" s="9" t="str">
        <f t="shared" si="5"/>
        <v>2025 Elite Canada</v>
      </c>
      <c r="K7" s="9">
        <f t="shared" si="6"/>
        <v>42.839999999999996</v>
      </c>
      <c r="L7" s="9" t="str">
        <f t="shared" si="7"/>
        <v>2025 Nationals</v>
      </c>
      <c r="M7" s="9">
        <f t="shared" si="8"/>
        <v>28.33</v>
      </c>
      <c r="N7" s="9" t="str">
        <f t="shared" si="9"/>
        <v>2025 Nationals</v>
      </c>
      <c r="O7" s="9">
        <f t="shared" si="10"/>
        <v>50.95</v>
      </c>
      <c r="P7" s="9" t="str">
        <f t="shared" si="11"/>
        <v>2025 Nationals</v>
      </c>
      <c r="Q7" s="9">
        <f t="shared" si="12"/>
        <v>3.6300000000000026</v>
      </c>
      <c r="R7" s="14" t="str">
        <f t="shared" si="13"/>
        <v>(Vol 2)</v>
      </c>
      <c r="S7" s="9" t="str">
        <f t="shared" si="14"/>
        <v>2025 WAGC (Nov 16)</v>
      </c>
      <c r="T7" s="27">
        <v>16.399999999999999</v>
      </c>
      <c r="U7" s="27">
        <v>9.6</v>
      </c>
      <c r="V7" s="27">
        <v>0</v>
      </c>
      <c r="W7" s="27">
        <v>14.52</v>
      </c>
      <c r="X7" s="27">
        <v>0</v>
      </c>
      <c r="Y7" s="27">
        <v>15.7</v>
      </c>
      <c r="Z7" s="27">
        <v>9.4</v>
      </c>
      <c r="AA7" s="27">
        <v>11.3</v>
      </c>
      <c r="AB7" s="27">
        <v>14.05</v>
      </c>
      <c r="AC7" s="27">
        <v>0</v>
      </c>
      <c r="AD7" s="27">
        <v>14.1</v>
      </c>
      <c r="AE7" s="27">
        <v>9</v>
      </c>
      <c r="AF7" s="27">
        <v>11.1</v>
      </c>
      <c r="AG7" s="27">
        <v>14.08</v>
      </c>
      <c r="AH7" s="27">
        <v>0</v>
      </c>
      <c r="AI7" s="32"/>
      <c r="AJ7" s="7">
        <f t="shared" si="15"/>
        <v>40.519999999999996</v>
      </c>
      <c r="AK7" s="7">
        <f t="shared" si="16"/>
        <v>11.3</v>
      </c>
      <c r="AL7" s="7">
        <f t="shared" si="17"/>
        <v>50.45</v>
      </c>
      <c r="AM7" s="7">
        <f t="shared" si="18"/>
        <v>90.97</v>
      </c>
      <c r="AN7" s="7">
        <f t="shared" si="19"/>
        <v>11.1</v>
      </c>
      <c r="AO7" s="7">
        <f t="shared" si="20"/>
        <v>48.28</v>
      </c>
      <c r="AP7" s="7">
        <f t="shared" si="21"/>
        <v>139.25</v>
      </c>
      <c r="AQ7" s="31">
        <v>18.3</v>
      </c>
      <c r="AR7" s="31">
        <v>9.6</v>
      </c>
      <c r="AS7" s="31">
        <v>0</v>
      </c>
      <c r="AT7" s="31">
        <v>14.94</v>
      </c>
      <c r="AU7" s="31">
        <v>0</v>
      </c>
      <c r="AV7" s="31">
        <v>7.3</v>
      </c>
      <c r="AW7" s="31">
        <v>5.3</v>
      </c>
      <c r="AX7" s="31">
        <v>7.2</v>
      </c>
      <c r="AY7" s="31">
        <v>8.5299999999999994</v>
      </c>
      <c r="AZ7" s="31">
        <v>0</v>
      </c>
      <c r="BA7" s="31">
        <v>14.4</v>
      </c>
      <c r="BB7" s="31">
        <v>9.1999999999999993</v>
      </c>
      <c r="BC7" s="31">
        <v>13.1</v>
      </c>
      <c r="BD7" s="31">
        <v>14.25</v>
      </c>
      <c r="BE7" s="31">
        <v>0</v>
      </c>
      <c r="BF7" s="33"/>
      <c r="BG7" s="9">
        <f t="shared" si="22"/>
        <v>42.839999999999996</v>
      </c>
      <c r="BH7" s="9">
        <f t="shared" si="23"/>
        <v>7.2</v>
      </c>
      <c r="BI7" s="9">
        <f t="shared" si="24"/>
        <v>28.33</v>
      </c>
      <c r="BJ7" s="9">
        <f t="shared" si="25"/>
        <v>71.169999999999987</v>
      </c>
      <c r="BK7" s="9">
        <f t="shared" si="26"/>
        <v>13.1</v>
      </c>
      <c r="BL7" s="9">
        <f t="shared" si="27"/>
        <v>50.95</v>
      </c>
      <c r="BM7" s="9">
        <f t="shared" si="28"/>
        <v>122.11999999999999</v>
      </c>
      <c r="BN7" s="27">
        <v>16.7</v>
      </c>
      <c r="BO7" s="27">
        <v>9.6999999999999993</v>
      </c>
      <c r="BP7" s="27">
        <v>0</v>
      </c>
      <c r="BQ7" s="27">
        <v>15.34</v>
      </c>
      <c r="BR7" s="27">
        <v>0</v>
      </c>
      <c r="BS7" s="27">
        <v>1.4</v>
      </c>
      <c r="BT7" s="27">
        <v>0.8</v>
      </c>
      <c r="BU7" s="27">
        <v>2</v>
      </c>
      <c r="BV7" s="27">
        <v>1.59</v>
      </c>
      <c r="BW7" s="27">
        <v>0.2</v>
      </c>
      <c r="BX7" s="27">
        <v>7</v>
      </c>
      <c r="BY7" s="27">
        <v>4.5999999999999996</v>
      </c>
      <c r="BZ7" s="27">
        <v>6.9</v>
      </c>
      <c r="CA7" s="27">
        <v>7.31</v>
      </c>
      <c r="CB7" s="27">
        <v>0</v>
      </c>
      <c r="CC7" s="32"/>
      <c r="CD7" s="7">
        <f t="shared" si="29"/>
        <v>41.739999999999995</v>
      </c>
      <c r="CE7" s="7">
        <f t="shared" si="30"/>
        <v>2</v>
      </c>
      <c r="CF7" s="7">
        <f t="shared" si="31"/>
        <v>5.59</v>
      </c>
      <c r="CG7" s="7">
        <f t="shared" si="32"/>
        <v>47.33</v>
      </c>
      <c r="CH7" s="7">
        <f t="shared" si="33"/>
        <v>6.9</v>
      </c>
      <c r="CI7" s="7">
        <f t="shared" si="34"/>
        <v>25.81</v>
      </c>
      <c r="CJ7" s="7">
        <f t="shared" si="35"/>
        <v>73.14</v>
      </c>
      <c r="CK7" s="13" t="str">
        <f t="shared" si="36"/>
        <v/>
      </c>
      <c r="CL7" s="13">
        <f t="shared" si="37"/>
        <v>3.6300000000000026</v>
      </c>
      <c r="CM7" s="13" t="str">
        <f t="shared" si="38"/>
        <v/>
      </c>
      <c r="CN7" s="13" t="str">
        <f t="shared" si="39"/>
        <v/>
      </c>
      <c r="CO7" s="18">
        <v>17.3</v>
      </c>
      <c r="CP7" s="18">
        <v>0</v>
      </c>
      <c r="CQ7" s="18">
        <v>9.6</v>
      </c>
      <c r="CR7" s="18">
        <v>15.05</v>
      </c>
      <c r="CS7" s="18">
        <v>0</v>
      </c>
      <c r="CT7" s="18">
        <v>8.1999999999999993</v>
      </c>
      <c r="CU7" s="18">
        <v>7.8</v>
      </c>
      <c r="CV7" s="18">
        <v>5.5</v>
      </c>
      <c r="CW7" s="18">
        <v>8.83</v>
      </c>
      <c r="CX7" s="18">
        <v>0.2</v>
      </c>
      <c r="CY7" s="18"/>
      <c r="CZ7" s="18"/>
      <c r="DA7" s="18"/>
      <c r="DB7" s="18"/>
      <c r="DC7" s="18"/>
      <c r="DD7" s="7">
        <f t="shared" si="40"/>
        <v>5.5</v>
      </c>
      <c r="DE7" s="7">
        <f t="shared" si="41"/>
        <v>41.95</v>
      </c>
      <c r="DF7" s="7">
        <f t="shared" si="42"/>
        <v>30.13</v>
      </c>
      <c r="DG7" s="7">
        <f t="shared" si="43"/>
        <v>72.08</v>
      </c>
      <c r="DH7" s="7" t="str">
        <f t="shared" si="44"/>
        <v/>
      </c>
      <c r="DI7" s="7" t="str">
        <f t="shared" si="45"/>
        <v/>
      </c>
      <c r="DJ7" s="7">
        <f t="shared" si="46"/>
        <v>72.08</v>
      </c>
      <c r="DK7" s="19">
        <v>16.2</v>
      </c>
      <c r="DL7" s="19">
        <v>9.5</v>
      </c>
      <c r="DM7" s="19">
        <v>0</v>
      </c>
      <c r="DN7" s="19">
        <v>15.35</v>
      </c>
      <c r="DO7" s="19">
        <v>0</v>
      </c>
      <c r="DP7" s="19">
        <v>9.6</v>
      </c>
      <c r="DQ7" s="19">
        <v>6.1</v>
      </c>
      <c r="DR7" s="19">
        <v>5.8</v>
      </c>
      <c r="DS7" s="19">
        <v>10.46</v>
      </c>
      <c r="DT7" s="19">
        <v>0</v>
      </c>
      <c r="DU7" s="19"/>
      <c r="DV7" s="19"/>
      <c r="DW7" s="19"/>
      <c r="DX7" s="19"/>
      <c r="DY7" s="19"/>
      <c r="DZ7" s="9">
        <f t="shared" si="47"/>
        <v>5.8</v>
      </c>
      <c r="EA7" s="9">
        <f t="shared" si="48"/>
        <v>41.05</v>
      </c>
      <c r="EB7" s="9">
        <f t="shared" si="49"/>
        <v>31.96</v>
      </c>
      <c r="EC7" s="9">
        <f t="shared" si="50"/>
        <v>73.009999999999991</v>
      </c>
      <c r="ED7" s="9" t="str">
        <f t="shared" si="51"/>
        <v/>
      </c>
      <c r="EE7" s="9" t="str">
        <f t="shared" si="52"/>
        <v/>
      </c>
      <c r="EF7" s="9">
        <f t="shared" si="53"/>
        <v>73.009999999999991</v>
      </c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7" t="str">
        <f t="shared" si="54"/>
        <v/>
      </c>
      <c r="EW7" s="7" t="str">
        <f t="shared" si="55"/>
        <v/>
      </c>
      <c r="EX7" s="7" t="str">
        <f t="shared" si="56"/>
        <v/>
      </c>
      <c r="EY7" s="7" t="str">
        <f t="shared" si="57"/>
        <v/>
      </c>
      <c r="EZ7" s="7" t="str">
        <f t="shared" si="58"/>
        <v/>
      </c>
      <c r="FA7" s="7" t="str">
        <f t="shared" si="59"/>
        <v/>
      </c>
      <c r="FB7" s="7" t="str">
        <f t="shared" si="60"/>
        <v/>
      </c>
      <c r="FC7" s="19"/>
      <c r="FD7" s="19"/>
      <c r="FE7" s="19"/>
      <c r="FF7" s="19"/>
      <c r="FG7" s="19"/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9" t="str">
        <f t="shared" si="61"/>
        <v/>
      </c>
      <c r="FS7" s="9" t="str">
        <f t="shared" si="62"/>
        <v/>
      </c>
      <c r="FT7" s="9" t="str">
        <f t="shared" si="63"/>
        <v/>
      </c>
      <c r="FU7" s="9" t="str">
        <f t="shared" si="64"/>
        <v/>
      </c>
      <c r="FV7" s="9" t="str">
        <f t="shared" si="65"/>
        <v/>
      </c>
      <c r="FW7" s="9" t="str">
        <f t="shared" si="66"/>
        <v/>
      </c>
      <c r="FX7" s="9" t="str">
        <f t="shared" si="67"/>
        <v/>
      </c>
      <c r="FY7" s="18"/>
      <c r="FZ7" s="18"/>
      <c r="GA7" s="18"/>
      <c r="GB7" s="18"/>
      <c r="GC7" s="18"/>
      <c r="GD7" s="18"/>
      <c r="GE7" s="18"/>
      <c r="GF7" s="18"/>
      <c r="GG7" s="18"/>
      <c r="GH7" s="18"/>
      <c r="GI7" s="18"/>
      <c r="GJ7" s="18"/>
      <c r="GK7" s="18"/>
      <c r="GL7" s="18"/>
      <c r="GM7" s="18"/>
      <c r="GN7" s="7" t="str">
        <f t="shared" si="68"/>
        <v/>
      </c>
      <c r="GO7" s="7" t="str">
        <f t="shared" si="69"/>
        <v/>
      </c>
      <c r="GP7" s="7" t="str">
        <f t="shared" si="70"/>
        <v/>
      </c>
      <c r="GQ7" s="7" t="str">
        <f t="shared" si="71"/>
        <v/>
      </c>
      <c r="GR7" s="7" t="str">
        <f t="shared" si="72"/>
        <v/>
      </c>
      <c r="GS7" s="7" t="str">
        <f t="shared" si="73"/>
        <v/>
      </c>
      <c r="GT7" s="7" t="str">
        <f t="shared" si="74"/>
        <v/>
      </c>
      <c r="GU7" s="19"/>
      <c r="GV7" s="19"/>
      <c r="GW7" s="19"/>
      <c r="GX7" s="19"/>
      <c r="GY7" s="19"/>
      <c r="GZ7" s="19"/>
      <c r="HA7" s="19"/>
      <c r="HB7" s="19"/>
      <c r="HC7" s="19"/>
      <c r="HD7" s="19"/>
      <c r="HE7" s="19"/>
      <c r="HF7" s="19"/>
      <c r="HG7" s="19"/>
      <c r="HH7" s="19"/>
      <c r="HI7" s="19"/>
      <c r="HJ7" s="9" t="str">
        <f t="shared" si="75"/>
        <v/>
      </c>
      <c r="HK7" s="9" t="str">
        <f t="shared" si="76"/>
        <v/>
      </c>
      <c r="HL7" s="9" t="str">
        <f t="shared" si="77"/>
        <v/>
      </c>
      <c r="HM7" s="9" t="str">
        <f t="shared" si="78"/>
        <v/>
      </c>
      <c r="HN7" s="9" t="str">
        <f t="shared" si="79"/>
        <v/>
      </c>
      <c r="HO7" s="9" t="str">
        <f t="shared" si="80"/>
        <v/>
      </c>
      <c r="HP7" s="9" t="str">
        <f t="shared" si="81"/>
        <v/>
      </c>
      <c r="HQ7" s="18"/>
      <c r="HR7" s="18"/>
      <c r="HS7" s="18"/>
      <c r="HT7" s="18"/>
      <c r="HU7" s="18"/>
      <c r="HV7" s="18"/>
      <c r="HW7" s="18"/>
      <c r="HX7" s="18"/>
      <c r="HY7" s="18"/>
      <c r="HZ7" s="18"/>
      <c r="IA7" s="18"/>
      <c r="IB7" s="18"/>
      <c r="IC7" s="18"/>
      <c r="ID7" s="18"/>
      <c r="IE7" s="18"/>
      <c r="IF7" s="7" t="str">
        <f t="shared" si="82"/>
        <v/>
      </c>
      <c r="IG7" s="7" t="str">
        <f t="shared" si="83"/>
        <v/>
      </c>
      <c r="IH7" s="7" t="str">
        <f t="shared" si="84"/>
        <v/>
      </c>
      <c r="II7" s="7" t="str">
        <f t="shared" si="85"/>
        <v/>
      </c>
      <c r="IJ7" s="7" t="str">
        <f t="shared" si="86"/>
        <v/>
      </c>
      <c r="IK7" s="7" t="str">
        <f t="shared" si="87"/>
        <v/>
      </c>
      <c r="IL7" s="7" t="str">
        <f t="shared" si="88"/>
        <v/>
      </c>
      <c r="IM7" s="19"/>
      <c r="IN7" s="19"/>
      <c r="IO7" s="19"/>
      <c r="IP7" s="19"/>
      <c r="IQ7" s="19"/>
      <c r="IR7" s="19"/>
      <c r="IS7" s="19"/>
      <c r="IT7" s="19"/>
      <c r="IU7" s="19"/>
      <c r="IV7" s="19"/>
      <c r="IW7" s="19"/>
      <c r="IX7" s="19"/>
      <c r="IY7" s="19"/>
      <c r="IZ7" s="19"/>
      <c r="JA7" s="19"/>
      <c r="JB7" s="9" t="str">
        <f t="shared" si="89"/>
        <v/>
      </c>
      <c r="JC7" s="9" t="str">
        <f t="shared" si="90"/>
        <v/>
      </c>
      <c r="JD7" s="9" t="str">
        <f t="shared" si="91"/>
        <v/>
      </c>
      <c r="JE7" s="9" t="str">
        <f t="shared" si="92"/>
        <v/>
      </c>
      <c r="JF7" s="9" t="str">
        <f t="shared" si="93"/>
        <v/>
      </c>
      <c r="JG7" s="9" t="str">
        <f t="shared" si="94"/>
        <v/>
      </c>
      <c r="JH7" s="9" t="str">
        <f t="shared" si="95"/>
        <v/>
      </c>
      <c r="JI7" s="18"/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7" t="str">
        <f t="shared" si="96"/>
        <v/>
      </c>
      <c r="JY7" s="7" t="str">
        <f t="shared" si="97"/>
        <v/>
      </c>
      <c r="JZ7" s="7" t="str">
        <f t="shared" si="98"/>
        <v/>
      </c>
      <c r="KA7" s="7" t="str">
        <f t="shared" si="99"/>
        <v/>
      </c>
      <c r="KB7" s="7" t="str">
        <f t="shared" si="100"/>
        <v/>
      </c>
      <c r="KC7" s="7" t="str">
        <f t="shared" si="101"/>
        <v/>
      </c>
      <c r="KD7" s="7" t="str">
        <f t="shared" si="102"/>
        <v/>
      </c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9"/>
      <c r="KR7" s="19"/>
      <c r="KS7" s="19"/>
      <c r="KT7" s="9" t="str">
        <f t="shared" si="103"/>
        <v/>
      </c>
      <c r="KU7" s="9" t="str">
        <f t="shared" si="104"/>
        <v/>
      </c>
      <c r="KV7" s="9" t="str">
        <f t="shared" si="105"/>
        <v/>
      </c>
      <c r="KW7" s="9" t="str">
        <f t="shared" si="106"/>
        <v/>
      </c>
      <c r="KX7" s="9" t="str">
        <f t="shared" si="107"/>
        <v/>
      </c>
      <c r="KY7" s="9" t="str">
        <f t="shared" si="108"/>
        <v/>
      </c>
      <c r="KZ7" s="9" t="str">
        <f t="shared" si="109"/>
        <v/>
      </c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7" t="str">
        <f t="shared" si="110"/>
        <v/>
      </c>
      <c r="LQ7" s="7" t="str">
        <f t="shared" si="111"/>
        <v/>
      </c>
      <c r="LR7" s="7" t="str">
        <f t="shared" si="112"/>
        <v/>
      </c>
      <c r="LS7" s="7" t="str">
        <f t="shared" si="113"/>
        <v/>
      </c>
      <c r="LT7" s="7" t="str">
        <f t="shared" si="114"/>
        <v/>
      </c>
      <c r="LU7" s="7" t="str">
        <f t="shared" si="115"/>
        <v/>
      </c>
      <c r="LV7" s="7" t="str">
        <f t="shared" si="116"/>
        <v/>
      </c>
      <c r="LW7" s="19"/>
      <c r="LX7" s="19"/>
      <c r="LY7" s="19"/>
      <c r="LZ7" s="19"/>
      <c r="MA7" s="19"/>
      <c r="MB7" s="19"/>
      <c r="MC7" s="19"/>
      <c r="MD7" s="19"/>
      <c r="ME7" s="19"/>
      <c r="MF7" s="19"/>
      <c r="MG7" s="19"/>
      <c r="MH7" s="19"/>
      <c r="MI7" s="19"/>
      <c r="MJ7" s="19"/>
      <c r="MK7" s="19"/>
      <c r="ML7" s="9" t="str">
        <f t="shared" si="117"/>
        <v/>
      </c>
      <c r="MM7" s="9" t="str">
        <f t="shared" si="118"/>
        <v/>
      </c>
      <c r="MN7" s="9" t="str">
        <f t="shared" si="119"/>
        <v/>
      </c>
      <c r="MO7" s="9" t="str">
        <f t="shared" si="120"/>
        <v/>
      </c>
      <c r="MP7" s="9" t="str">
        <f t="shared" si="121"/>
        <v/>
      </c>
      <c r="MQ7" s="9" t="str">
        <f t="shared" si="122"/>
        <v/>
      </c>
      <c r="MR7" s="9" t="str">
        <f t="shared" si="123"/>
        <v/>
      </c>
      <c r="MS7" s="27">
        <f t="shared" si="124"/>
        <v>17.5</v>
      </c>
      <c r="MT7" s="27">
        <f t="shared" si="124"/>
        <v>9.6499999999999986</v>
      </c>
      <c r="MU7" s="27">
        <f t="shared" si="124"/>
        <v>0</v>
      </c>
      <c r="MV7" s="27">
        <f t="shared" si="124"/>
        <v>15.14</v>
      </c>
      <c r="MW7" s="27">
        <f t="shared" si="124"/>
        <v>0</v>
      </c>
      <c r="MX7" s="27">
        <f t="shared" si="124"/>
        <v>4.3499999999999996</v>
      </c>
      <c r="MY7" s="27">
        <f t="shared" si="124"/>
        <v>3.05</v>
      </c>
      <c r="MZ7" s="27">
        <f t="shared" si="124"/>
        <v>4.5999999999999996</v>
      </c>
      <c r="NA7" s="27">
        <f t="shared" si="124"/>
        <v>5.0599999999999996</v>
      </c>
      <c r="NB7" s="27">
        <f t="shared" si="124"/>
        <v>0.1</v>
      </c>
      <c r="NC7" s="27">
        <f>IF($CC7="P",BX7,(BX7+BA7)/2)</f>
        <v>10.7</v>
      </c>
      <c r="ND7" s="27">
        <f>IF($CC7="P",BY7,(BY7+BB7)/2)</f>
        <v>6.8999999999999995</v>
      </c>
      <c r="NE7" s="27">
        <f>IF($CC7="P",BZ7,(BZ7+BC7)/2)</f>
        <v>10</v>
      </c>
      <c r="NF7" s="27">
        <f>IF($CC7="P",CA7,(CA7+BD7)/2)</f>
        <v>10.78</v>
      </c>
      <c r="NG7" s="27">
        <f>IF($CC7="P",CB7,(CB7+BE7)/2)</f>
        <v>0</v>
      </c>
      <c r="NH7" s="32" t="s">
        <v>44</v>
      </c>
      <c r="NI7" s="7">
        <f>IF(SUM(MS7:MV7)-MW7&gt;0,SUM(MS7:MV7)-MW7,"")</f>
        <v>42.29</v>
      </c>
      <c r="NJ7" s="7">
        <f>IF(MZ7&gt;0,MZ7,"")</f>
        <v>4.5999999999999996</v>
      </c>
      <c r="NK7" s="7">
        <f>IF(SUM(MX7:NA7)-NB7&gt;0,SUM(MX7:NA7)-NB7,"")</f>
        <v>16.959999999999997</v>
      </c>
      <c r="NL7" s="7">
        <f t="shared" si="127"/>
        <v>59.25</v>
      </c>
      <c r="NM7" s="7">
        <f t="shared" si="125"/>
        <v>10</v>
      </c>
      <c r="NN7" s="7">
        <f>IF(SUM(NC7:NF7)-NG7&gt;0,SUM(NC7:NF7)-NG7,"")</f>
        <v>38.379999999999995</v>
      </c>
      <c r="NO7" s="7">
        <f t="shared" si="129"/>
        <v>97.63</v>
      </c>
    </row>
    <row r="8" spans="1:379" x14ac:dyDescent="0.2">
      <c r="A8" s="4" t="str" cm="1">
        <f t="array" ref="A8">IF(AND(H8&lt;&gt;"",H8&lt;&gt;"No DD"),SUMPRODUCT((H$4:H$12&lt;&gt;"")*(H$4:H$12&lt;&gt;"No DD")*(E$4:E$12&gt;E8))+1,IF(H8="No DD",SUMPRODUCT((H$4:H$12="No DD")*(E$4:E$12&gt;E8))+1+SUMPRODUCT((H$4:H$12&lt;&gt;"")*(H$4:H$12&lt;&gt;"No DD")),""))</f>
        <v/>
      </c>
      <c r="B8" s="5" t="s">
        <v>88</v>
      </c>
      <c r="C8" s="4" t="s">
        <v>86</v>
      </c>
      <c r="D8" s="4">
        <v>2010</v>
      </c>
      <c r="E8" s="10">
        <f t="shared" si="0"/>
        <v>213.22</v>
      </c>
      <c r="F8" s="3" t="str">
        <f t="shared" si="1"/>
        <v/>
      </c>
      <c r="G8" s="3" t="str">
        <f t="shared" si="2"/>
        <v/>
      </c>
      <c r="H8" s="47" t="str">
        <f t="shared" si="3"/>
        <v/>
      </c>
      <c r="I8" s="9">
        <f t="shared" si="4"/>
        <v>85</v>
      </c>
      <c r="J8" s="9" t="str">
        <f t="shared" si="5"/>
        <v>2025 Nationals</v>
      </c>
      <c r="K8" s="9">
        <f t="shared" si="6"/>
        <v>37.29</v>
      </c>
      <c r="L8" s="9" t="str">
        <f t="shared" si="7"/>
        <v>2025 Elite Canada</v>
      </c>
      <c r="M8" s="9">
        <f t="shared" si="8"/>
        <v>45.47</v>
      </c>
      <c r="N8" s="9" t="str">
        <f t="shared" si="9"/>
        <v>2025 Elite Canada</v>
      </c>
      <c r="O8" s="9">
        <f t="shared" si="10"/>
        <v>45.46</v>
      </c>
      <c r="P8" s="9" t="str">
        <f t="shared" si="11"/>
        <v>2025 Elite Canada</v>
      </c>
      <c r="Q8" s="9" t="str">
        <f t="shared" si="12"/>
        <v/>
      </c>
      <c r="R8" s="14" t="str">
        <f t="shared" si="13"/>
        <v/>
      </c>
      <c r="S8" s="9" t="str">
        <f t="shared" si="14"/>
        <v/>
      </c>
      <c r="T8" s="27">
        <v>15</v>
      </c>
      <c r="U8" s="27">
        <v>9.5</v>
      </c>
      <c r="V8" s="27">
        <v>0</v>
      </c>
      <c r="W8" s="27">
        <v>12.79</v>
      </c>
      <c r="X8" s="27">
        <v>0</v>
      </c>
      <c r="Y8" s="27">
        <v>13.4</v>
      </c>
      <c r="Z8" s="27">
        <v>9.1</v>
      </c>
      <c r="AA8" s="27">
        <v>10.1</v>
      </c>
      <c r="AB8" s="27">
        <v>12.87</v>
      </c>
      <c r="AC8" s="27">
        <v>0</v>
      </c>
      <c r="AD8" s="27">
        <v>13.2</v>
      </c>
      <c r="AE8" s="27">
        <v>9.1</v>
      </c>
      <c r="AF8" s="27">
        <v>10.1</v>
      </c>
      <c r="AG8" s="27">
        <v>13.06</v>
      </c>
      <c r="AH8" s="27">
        <v>0</v>
      </c>
      <c r="AI8" s="32"/>
      <c r="AJ8" s="7">
        <f t="shared" si="15"/>
        <v>37.29</v>
      </c>
      <c r="AK8" s="7">
        <f t="shared" si="16"/>
        <v>10.1</v>
      </c>
      <c r="AL8" s="7">
        <f t="shared" si="17"/>
        <v>45.47</v>
      </c>
      <c r="AM8" s="7">
        <f t="shared" si="18"/>
        <v>82.759999999999991</v>
      </c>
      <c r="AN8" s="7">
        <f t="shared" si="19"/>
        <v>10.1</v>
      </c>
      <c r="AO8" s="7">
        <f t="shared" si="20"/>
        <v>45.46</v>
      </c>
      <c r="AP8" s="7">
        <f t="shared" si="21"/>
        <v>128.22</v>
      </c>
      <c r="AQ8" s="31">
        <v>15.7</v>
      </c>
      <c r="AR8" s="31">
        <v>9.6</v>
      </c>
      <c r="AS8" s="31">
        <v>0</v>
      </c>
      <c r="AT8" s="31">
        <v>12.17</v>
      </c>
      <c r="AU8" s="31">
        <v>0</v>
      </c>
      <c r="AV8" s="31">
        <v>14.7</v>
      </c>
      <c r="AW8" s="31">
        <v>9.1999999999999993</v>
      </c>
      <c r="AX8" s="31">
        <v>10.1</v>
      </c>
      <c r="AY8" s="31">
        <v>13.53</v>
      </c>
      <c r="AZ8" s="31">
        <v>0</v>
      </c>
      <c r="BA8" s="31">
        <v>8.1</v>
      </c>
      <c r="BB8" s="31">
        <v>5.8</v>
      </c>
      <c r="BC8" s="31">
        <v>5.6</v>
      </c>
      <c r="BD8" s="31">
        <v>8.1</v>
      </c>
      <c r="BE8" s="31">
        <v>0</v>
      </c>
      <c r="BF8" s="33"/>
      <c r="BG8" s="9">
        <f t="shared" si="22"/>
        <v>37.47</v>
      </c>
      <c r="BH8" s="9">
        <f t="shared" si="23"/>
        <v>10.1</v>
      </c>
      <c r="BI8" s="9">
        <f t="shared" si="24"/>
        <v>47.53</v>
      </c>
      <c r="BJ8" s="9">
        <f t="shared" si="25"/>
        <v>85</v>
      </c>
      <c r="BK8" s="9">
        <f t="shared" si="26"/>
        <v>5.6</v>
      </c>
      <c r="BL8" s="9">
        <f t="shared" si="27"/>
        <v>27.6</v>
      </c>
      <c r="BM8" s="9">
        <f t="shared" si="28"/>
        <v>112.6</v>
      </c>
      <c r="BN8" s="27"/>
      <c r="BO8" s="27"/>
      <c r="BP8" s="27"/>
      <c r="BQ8" s="27"/>
      <c r="BR8" s="27"/>
      <c r="BS8" s="27"/>
      <c r="BT8" s="27"/>
      <c r="BU8" s="27"/>
      <c r="BV8" s="27"/>
      <c r="BW8" s="27"/>
      <c r="BX8" s="27"/>
      <c r="BY8" s="27"/>
      <c r="BZ8" s="27"/>
      <c r="CA8" s="27"/>
      <c r="CB8" s="27"/>
      <c r="CC8" s="32"/>
      <c r="CD8" s="7" t="str">
        <f t="shared" si="29"/>
        <v/>
      </c>
      <c r="CE8" s="7" t="str">
        <f t="shared" si="30"/>
        <v/>
      </c>
      <c r="CF8" s="7" t="str">
        <f t="shared" si="31"/>
        <v/>
      </c>
      <c r="CG8" s="7" t="str">
        <f t="shared" si="32"/>
        <v/>
      </c>
      <c r="CH8" s="7" t="str">
        <f t="shared" si="33"/>
        <v/>
      </c>
      <c r="CI8" s="7" t="str">
        <f t="shared" si="34"/>
        <v/>
      </c>
      <c r="CJ8" s="7" t="str">
        <f t="shared" si="35"/>
        <v/>
      </c>
      <c r="CK8" s="13" t="str">
        <f t="shared" si="36"/>
        <v/>
      </c>
      <c r="CL8" s="13" t="str">
        <f t="shared" si="37"/>
        <v/>
      </c>
      <c r="CM8" s="13" t="str">
        <f t="shared" si="38"/>
        <v/>
      </c>
      <c r="CN8" s="13" t="str">
        <f t="shared" si="39"/>
        <v/>
      </c>
      <c r="CO8" s="18"/>
      <c r="CP8" s="18"/>
      <c r="CQ8" s="18"/>
      <c r="CR8" s="18"/>
      <c r="CS8" s="18"/>
      <c r="CT8" s="18"/>
      <c r="CU8" s="18"/>
      <c r="CV8" s="18"/>
      <c r="CW8" s="18"/>
      <c r="CX8" s="18"/>
      <c r="CY8" s="18"/>
      <c r="CZ8" s="18"/>
      <c r="DA8" s="18"/>
      <c r="DB8" s="18"/>
      <c r="DC8" s="18"/>
      <c r="DD8" s="7" t="str">
        <f t="shared" si="40"/>
        <v/>
      </c>
      <c r="DE8" s="7" t="str">
        <f t="shared" si="41"/>
        <v/>
      </c>
      <c r="DF8" s="7" t="str">
        <f t="shared" si="42"/>
        <v/>
      </c>
      <c r="DG8" s="7" t="str">
        <f t="shared" si="43"/>
        <v/>
      </c>
      <c r="DH8" s="7" t="str">
        <f t="shared" si="44"/>
        <v/>
      </c>
      <c r="DI8" s="7" t="str">
        <f t="shared" si="45"/>
        <v/>
      </c>
      <c r="DJ8" s="7" t="str">
        <f t="shared" si="46"/>
        <v/>
      </c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  <c r="DZ8" s="9" t="str">
        <f t="shared" si="47"/>
        <v/>
      </c>
      <c r="EA8" s="9" t="str">
        <f t="shared" si="48"/>
        <v/>
      </c>
      <c r="EB8" s="9" t="str">
        <f t="shared" si="49"/>
        <v/>
      </c>
      <c r="EC8" s="9" t="str">
        <f t="shared" si="50"/>
        <v/>
      </c>
      <c r="ED8" s="9" t="str">
        <f t="shared" si="51"/>
        <v/>
      </c>
      <c r="EE8" s="9" t="str">
        <f t="shared" si="52"/>
        <v/>
      </c>
      <c r="EF8" s="9" t="str">
        <f t="shared" si="53"/>
        <v/>
      </c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7" t="str">
        <f t="shared" si="54"/>
        <v/>
      </c>
      <c r="EW8" s="7" t="str">
        <f t="shared" si="55"/>
        <v/>
      </c>
      <c r="EX8" s="7" t="str">
        <f t="shared" si="56"/>
        <v/>
      </c>
      <c r="EY8" s="7" t="str">
        <f t="shared" si="57"/>
        <v/>
      </c>
      <c r="EZ8" s="7" t="str">
        <f t="shared" si="58"/>
        <v/>
      </c>
      <c r="FA8" s="7" t="str">
        <f t="shared" si="59"/>
        <v/>
      </c>
      <c r="FB8" s="7" t="str">
        <f t="shared" si="60"/>
        <v/>
      </c>
      <c r="FC8" s="19"/>
      <c r="FD8" s="19"/>
      <c r="FE8" s="19"/>
      <c r="FF8" s="19"/>
      <c r="FG8" s="19"/>
      <c r="FH8" s="19"/>
      <c r="FI8" s="19"/>
      <c r="FJ8" s="19"/>
      <c r="FK8" s="19"/>
      <c r="FL8" s="19"/>
      <c r="FM8" s="19"/>
      <c r="FN8" s="19"/>
      <c r="FO8" s="19"/>
      <c r="FP8" s="19"/>
      <c r="FQ8" s="19"/>
      <c r="FR8" s="9" t="str">
        <f t="shared" si="61"/>
        <v/>
      </c>
      <c r="FS8" s="9" t="str">
        <f t="shared" si="62"/>
        <v/>
      </c>
      <c r="FT8" s="9" t="str">
        <f t="shared" si="63"/>
        <v/>
      </c>
      <c r="FU8" s="9" t="str">
        <f t="shared" si="64"/>
        <v/>
      </c>
      <c r="FV8" s="9" t="str">
        <f t="shared" si="65"/>
        <v/>
      </c>
      <c r="FW8" s="9" t="str">
        <f t="shared" si="66"/>
        <v/>
      </c>
      <c r="FX8" s="9" t="str">
        <f t="shared" si="67"/>
        <v/>
      </c>
      <c r="FY8" s="18"/>
      <c r="FZ8" s="18"/>
      <c r="GA8" s="18"/>
      <c r="GB8" s="18"/>
      <c r="GC8" s="18"/>
      <c r="GD8" s="18"/>
      <c r="GE8" s="18"/>
      <c r="GF8" s="18"/>
      <c r="GG8" s="18"/>
      <c r="GH8" s="18"/>
      <c r="GI8" s="18"/>
      <c r="GJ8" s="18"/>
      <c r="GK8" s="18"/>
      <c r="GL8" s="18"/>
      <c r="GM8" s="18"/>
      <c r="GN8" s="7" t="str">
        <f t="shared" si="68"/>
        <v/>
      </c>
      <c r="GO8" s="7" t="str">
        <f t="shared" si="69"/>
        <v/>
      </c>
      <c r="GP8" s="7" t="str">
        <f t="shared" si="70"/>
        <v/>
      </c>
      <c r="GQ8" s="7" t="str">
        <f t="shared" si="71"/>
        <v/>
      </c>
      <c r="GR8" s="7" t="str">
        <f t="shared" si="72"/>
        <v/>
      </c>
      <c r="GS8" s="7" t="str">
        <f t="shared" si="73"/>
        <v/>
      </c>
      <c r="GT8" s="7" t="str">
        <f t="shared" si="74"/>
        <v/>
      </c>
      <c r="GU8" s="19"/>
      <c r="GV8" s="19"/>
      <c r="GW8" s="19"/>
      <c r="GX8" s="19"/>
      <c r="GY8" s="19"/>
      <c r="GZ8" s="19"/>
      <c r="HA8" s="19"/>
      <c r="HB8" s="19"/>
      <c r="HC8" s="19"/>
      <c r="HD8" s="19"/>
      <c r="HE8" s="19"/>
      <c r="HF8" s="19"/>
      <c r="HG8" s="19"/>
      <c r="HH8" s="19"/>
      <c r="HI8" s="19"/>
      <c r="HJ8" s="9" t="str">
        <f t="shared" si="75"/>
        <v/>
      </c>
      <c r="HK8" s="9" t="str">
        <f t="shared" si="76"/>
        <v/>
      </c>
      <c r="HL8" s="9" t="str">
        <f t="shared" si="77"/>
        <v/>
      </c>
      <c r="HM8" s="9" t="str">
        <f t="shared" si="78"/>
        <v/>
      </c>
      <c r="HN8" s="9" t="str">
        <f t="shared" si="79"/>
        <v/>
      </c>
      <c r="HO8" s="9" t="str">
        <f t="shared" si="80"/>
        <v/>
      </c>
      <c r="HP8" s="9" t="str">
        <f t="shared" si="81"/>
        <v/>
      </c>
      <c r="HQ8" s="18"/>
      <c r="HR8" s="18"/>
      <c r="HS8" s="18"/>
      <c r="HT8" s="18"/>
      <c r="HU8" s="18"/>
      <c r="HV8" s="18"/>
      <c r="HW8" s="18"/>
      <c r="HX8" s="18"/>
      <c r="HY8" s="18"/>
      <c r="HZ8" s="18"/>
      <c r="IA8" s="18"/>
      <c r="IB8" s="18"/>
      <c r="IC8" s="18"/>
      <c r="ID8" s="18"/>
      <c r="IE8" s="18"/>
      <c r="IF8" s="7" t="str">
        <f t="shared" si="82"/>
        <v/>
      </c>
      <c r="IG8" s="7" t="str">
        <f t="shared" si="83"/>
        <v/>
      </c>
      <c r="IH8" s="7" t="str">
        <f t="shared" si="84"/>
        <v/>
      </c>
      <c r="II8" s="7" t="str">
        <f t="shared" si="85"/>
        <v/>
      </c>
      <c r="IJ8" s="7" t="str">
        <f t="shared" si="86"/>
        <v/>
      </c>
      <c r="IK8" s="7" t="str">
        <f t="shared" si="87"/>
        <v/>
      </c>
      <c r="IL8" s="7" t="str">
        <f t="shared" si="88"/>
        <v/>
      </c>
      <c r="IM8" s="19"/>
      <c r="IN8" s="19"/>
      <c r="IO8" s="19"/>
      <c r="IP8" s="19"/>
      <c r="IQ8" s="19"/>
      <c r="IR8" s="19"/>
      <c r="IS8" s="19"/>
      <c r="IT8" s="19"/>
      <c r="IU8" s="19"/>
      <c r="IV8" s="19"/>
      <c r="IW8" s="19"/>
      <c r="IX8" s="19"/>
      <c r="IY8" s="19"/>
      <c r="IZ8" s="19"/>
      <c r="JA8" s="19"/>
      <c r="JB8" s="9" t="str">
        <f t="shared" si="89"/>
        <v/>
      </c>
      <c r="JC8" s="9" t="str">
        <f t="shared" si="90"/>
        <v/>
      </c>
      <c r="JD8" s="9" t="str">
        <f t="shared" si="91"/>
        <v/>
      </c>
      <c r="JE8" s="9" t="str">
        <f t="shared" si="92"/>
        <v/>
      </c>
      <c r="JF8" s="9" t="str">
        <f t="shared" si="93"/>
        <v/>
      </c>
      <c r="JG8" s="9" t="str">
        <f t="shared" si="94"/>
        <v/>
      </c>
      <c r="JH8" s="9" t="str">
        <f t="shared" si="95"/>
        <v/>
      </c>
      <c r="JI8" s="18"/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7" t="str">
        <f t="shared" si="96"/>
        <v/>
      </c>
      <c r="JY8" s="7" t="str">
        <f t="shared" si="97"/>
        <v/>
      </c>
      <c r="JZ8" s="7" t="str">
        <f t="shared" si="98"/>
        <v/>
      </c>
      <c r="KA8" s="7" t="str">
        <f t="shared" si="99"/>
        <v/>
      </c>
      <c r="KB8" s="7" t="str">
        <f t="shared" si="100"/>
        <v/>
      </c>
      <c r="KC8" s="7" t="str">
        <f t="shared" si="101"/>
        <v/>
      </c>
      <c r="KD8" s="7" t="str">
        <f t="shared" si="102"/>
        <v/>
      </c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9"/>
      <c r="KR8" s="19"/>
      <c r="KS8" s="19"/>
      <c r="KT8" s="9" t="str">
        <f t="shared" si="103"/>
        <v/>
      </c>
      <c r="KU8" s="9" t="str">
        <f t="shared" si="104"/>
        <v/>
      </c>
      <c r="KV8" s="9" t="str">
        <f t="shared" si="105"/>
        <v/>
      </c>
      <c r="KW8" s="9" t="str">
        <f t="shared" si="106"/>
        <v/>
      </c>
      <c r="KX8" s="9" t="str">
        <f t="shared" si="107"/>
        <v/>
      </c>
      <c r="KY8" s="9" t="str">
        <f t="shared" si="108"/>
        <v/>
      </c>
      <c r="KZ8" s="9" t="str">
        <f t="shared" si="109"/>
        <v/>
      </c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7" t="str">
        <f t="shared" si="110"/>
        <v/>
      </c>
      <c r="LQ8" s="7" t="str">
        <f t="shared" si="111"/>
        <v/>
      </c>
      <c r="LR8" s="7" t="str">
        <f t="shared" si="112"/>
        <v/>
      </c>
      <c r="LS8" s="7" t="str">
        <f t="shared" si="113"/>
        <v/>
      </c>
      <c r="LT8" s="7" t="str">
        <f t="shared" si="114"/>
        <v/>
      </c>
      <c r="LU8" s="7" t="str">
        <f t="shared" si="115"/>
        <v/>
      </c>
      <c r="LV8" s="7" t="str">
        <f t="shared" si="116"/>
        <v/>
      </c>
      <c r="LW8" s="19"/>
      <c r="LX8" s="19"/>
      <c r="LY8" s="19"/>
      <c r="LZ8" s="19"/>
      <c r="MA8" s="19"/>
      <c r="MB8" s="19"/>
      <c r="MC8" s="19"/>
      <c r="MD8" s="19"/>
      <c r="ME8" s="19"/>
      <c r="MF8" s="19"/>
      <c r="MG8" s="19"/>
      <c r="MH8" s="19"/>
      <c r="MI8" s="19"/>
      <c r="MJ8" s="19"/>
      <c r="MK8" s="19"/>
      <c r="ML8" s="9" t="str">
        <f t="shared" si="117"/>
        <v/>
      </c>
      <c r="MM8" s="9" t="str">
        <f t="shared" si="118"/>
        <v/>
      </c>
      <c r="MN8" s="9" t="str">
        <f t="shared" si="119"/>
        <v/>
      </c>
      <c r="MO8" s="9" t="str">
        <f t="shared" si="120"/>
        <v/>
      </c>
      <c r="MP8" s="9" t="str">
        <f t="shared" si="121"/>
        <v/>
      </c>
      <c r="MQ8" s="9" t="str">
        <f t="shared" si="122"/>
        <v/>
      </c>
      <c r="MR8" s="9" t="str">
        <f t="shared" si="123"/>
        <v/>
      </c>
      <c r="MS8" s="27">
        <f t="shared" si="124"/>
        <v>7.85</v>
      </c>
      <c r="MT8" s="27">
        <f t="shared" si="124"/>
        <v>4.8</v>
      </c>
      <c r="MU8" s="27">
        <f t="shared" si="124"/>
        <v>0</v>
      </c>
      <c r="MV8" s="27">
        <f t="shared" si="124"/>
        <v>6.085</v>
      </c>
      <c r="MW8" s="27">
        <f t="shared" si="124"/>
        <v>0</v>
      </c>
      <c r="MX8" s="27">
        <f t="shared" si="124"/>
        <v>7.35</v>
      </c>
      <c r="MY8" s="27">
        <f t="shared" si="124"/>
        <v>4.5999999999999996</v>
      </c>
      <c r="MZ8" s="27">
        <f t="shared" si="124"/>
        <v>5.05</v>
      </c>
      <c r="NA8" s="27">
        <f t="shared" si="124"/>
        <v>6.7649999999999997</v>
      </c>
      <c r="NB8" s="27">
        <f t="shared" si="124"/>
        <v>0</v>
      </c>
      <c r="NC8" s="27">
        <f>IF($CC8="P",BX8,(BX8+BA8)/2)</f>
        <v>4.05</v>
      </c>
      <c r="ND8" s="27">
        <f>IF($CC8="P",BY8,(BY8+BB8)/2)</f>
        <v>2.9</v>
      </c>
      <c r="NE8" s="27">
        <f>IF($CC8="P",BZ8,(BZ8+BC8)/2)</f>
        <v>2.8</v>
      </c>
      <c r="NF8" s="27">
        <f>IF($CC8="P",CA8,(CA8+BD8)/2)</f>
        <v>4.05</v>
      </c>
      <c r="NG8" s="27">
        <f>IF($CC8="P",CB8,(CB8+BE8)/2)</f>
        <v>0</v>
      </c>
      <c r="NH8" s="32" t="s">
        <v>44</v>
      </c>
      <c r="NI8" s="7">
        <f>IF(SUM(MS8:MV8)-MW8&gt;0,SUM(MS8:MV8)-MW8,"")</f>
        <v>18.734999999999999</v>
      </c>
      <c r="NJ8" s="7">
        <f>IF(MZ8&gt;0,MZ8,"")</f>
        <v>5.05</v>
      </c>
      <c r="NK8" s="7">
        <f>IF(SUM(MX8:NA8)-NB8&gt;0,SUM(MX8:NA8)-NB8,"")</f>
        <v>23.765000000000001</v>
      </c>
      <c r="NL8" s="7">
        <f t="shared" si="127"/>
        <v>42.5</v>
      </c>
      <c r="NM8" s="7">
        <f t="shared" si="125"/>
        <v>2.8</v>
      </c>
      <c r="NN8" s="7">
        <f>IF(SUM(NC8:NF8)-NG8&gt;0,SUM(NC8:NF8)-NG8,"")</f>
        <v>13.8</v>
      </c>
      <c r="NO8" s="7">
        <f t="shared" si="129"/>
        <v>56.3</v>
      </c>
    </row>
    <row r="9" spans="1:379" x14ac:dyDescent="0.2">
      <c r="A9" s="4" t="str" cm="1">
        <f t="array" ref="A9">IF(AND(H9&lt;&gt;"",H9&lt;&gt;"No DD"),SUMPRODUCT((H$4:H$12&lt;&gt;"")*(H$4:H$12&lt;&gt;"No DD")*(E$4:E$12&gt;E9))+1,IF(H9="No DD",SUMPRODUCT((H$4:H$12="No DD")*(E$4:E$12&gt;E9))+1+SUMPRODUCT((H$4:H$12&lt;&gt;"")*(H$4:H$12&lt;&gt;"No DD")),""))</f>
        <v/>
      </c>
      <c r="B9" s="5" t="s">
        <v>90</v>
      </c>
      <c r="C9" s="4" t="s">
        <v>86</v>
      </c>
      <c r="D9" s="4">
        <v>2009</v>
      </c>
      <c r="E9" s="10">
        <f t="shared" si="0"/>
        <v>205.32</v>
      </c>
      <c r="F9" s="3" t="str">
        <f t="shared" si="1"/>
        <v/>
      </c>
      <c r="G9" s="3" t="str">
        <f t="shared" si="2"/>
        <v/>
      </c>
      <c r="H9" s="47" t="str">
        <f t="shared" si="3"/>
        <v/>
      </c>
      <c r="I9" s="9">
        <f t="shared" si="4"/>
        <v>80.88</v>
      </c>
      <c r="J9" s="9" t="str">
        <f t="shared" si="5"/>
        <v>2025 Nationals</v>
      </c>
      <c r="K9" s="9">
        <f t="shared" si="6"/>
        <v>37.64</v>
      </c>
      <c r="L9" s="9" t="str">
        <f t="shared" si="7"/>
        <v>2025 Elite Canada</v>
      </c>
      <c r="M9" s="9">
        <f t="shared" si="8"/>
        <v>41.000000000000007</v>
      </c>
      <c r="N9" s="9" t="str">
        <f t="shared" si="9"/>
        <v>2025 Elite Canada</v>
      </c>
      <c r="O9" s="9">
        <f t="shared" si="10"/>
        <v>45.8</v>
      </c>
      <c r="P9" s="9" t="str">
        <f t="shared" si="11"/>
        <v>2025 Nationals</v>
      </c>
      <c r="Q9" s="9" t="str">
        <f t="shared" si="12"/>
        <v/>
      </c>
      <c r="R9" s="14" t="str">
        <f t="shared" si="13"/>
        <v/>
      </c>
      <c r="S9" s="9" t="str">
        <f t="shared" si="14"/>
        <v/>
      </c>
      <c r="T9" s="27">
        <v>15.1</v>
      </c>
      <c r="U9" s="27">
        <v>9.1999999999999993</v>
      </c>
      <c r="V9" s="27">
        <v>0</v>
      </c>
      <c r="W9" s="27">
        <v>13.34</v>
      </c>
      <c r="X9" s="27">
        <v>0</v>
      </c>
      <c r="Y9" s="27">
        <v>11.4</v>
      </c>
      <c r="Z9" s="27">
        <v>9.3000000000000007</v>
      </c>
      <c r="AA9" s="27">
        <v>8.3000000000000007</v>
      </c>
      <c r="AB9" s="27">
        <v>12.9</v>
      </c>
      <c r="AC9" s="27">
        <v>0.9</v>
      </c>
      <c r="AD9" s="27">
        <v>0</v>
      </c>
      <c r="AE9" s="27">
        <v>0</v>
      </c>
      <c r="AF9" s="27">
        <v>0</v>
      </c>
      <c r="AG9" s="27">
        <v>0</v>
      </c>
      <c r="AH9" s="27">
        <v>0</v>
      </c>
      <c r="AI9" s="32"/>
      <c r="AJ9" s="7">
        <f t="shared" si="15"/>
        <v>37.64</v>
      </c>
      <c r="AK9" s="7">
        <f t="shared" si="16"/>
        <v>8.3000000000000007</v>
      </c>
      <c r="AL9" s="7">
        <f t="shared" si="17"/>
        <v>41.000000000000007</v>
      </c>
      <c r="AM9" s="7">
        <f t="shared" si="18"/>
        <v>78.640000000000015</v>
      </c>
      <c r="AN9" s="7" t="str">
        <f t="shared" si="19"/>
        <v/>
      </c>
      <c r="AO9" s="7" t="str">
        <f t="shared" si="20"/>
        <v/>
      </c>
      <c r="AP9" s="7">
        <f t="shared" si="21"/>
        <v>78.640000000000015</v>
      </c>
      <c r="AQ9" s="31">
        <v>15.5</v>
      </c>
      <c r="AR9" s="31">
        <v>9.5</v>
      </c>
      <c r="AS9" s="31">
        <v>0</v>
      </c>
      <c r="AT9" s="31">
        <v>13.88</v>
      </c>
      <c r="AU9" s="31">
        <v>0</v>
      </c>
      <c r="AV9" s="31">
        <v>11.5</v>
      </c>
      <c r="AW9" s="31">
        <v>9</v>
      </c>
      <c r="AX9" s="31">
        <v>8.6999999999999993</v>
      </c>
      <c r="AY9" s="31">
        <v>13.3</v>
      </c>
      <c r="AZ9" s="31">
        <v>0.5</v>
      </c>
      <c r="BA9" s="31">
        <v>13.3</v>
      </c>
      <c r="BB9" s="31">
        <v>9.6</v>
      </c>
      <c r="BC9" s="31">
        <v>9.6</v>
      </c>
      <c r="BD9" s="31">
        <v>13.3</v>
      </c>
      <c r="BE9" s="31">
        <v>0</v>
      </c>
      <c r="BF9" s="33"/>
      <c r="BG9" s="9">
        <f t="shared" si="22"/>
        <v>38.880000000000003</v>
      </c>
      <c r="BH9" s="9">
        <f t="shared" si="23"/>
        <v>8.6999999999999993</v>
      </c>
      <c r="BI9" s="9">
        <f t="shared" si="24"/>
        <v>42</v>
      </c>
      <c r="BJ9" s="9">
        <f t="shared" si="25"/>
        <v>80.88</v>
      </c>
      <c r="BK9" s="9">
        <f t="shared" si="26"/>
        <v>9.6</v>
      </c>
      <c r="BL9" s="9">
        <f t="shared" si="27"/>
        <v>45.8</v>
      </c>
      <c r="BM9" s="9">
        <f t="shared" si="28"/>
        <v>126.67999999999999</v>
      </c>
      <c r="BN9" s="27"/>
      <c r="BO9" s="27"/>
      <c r="BP9" s="27"/>
      <c r="BQ9" s="27"/>
      <c r="BR9" s="27"/>
      <c r="BS9" s="27"/>
      <c r="BT9" s="27"/>
      <c r="BU9" s="27"/>
      <c r="BV9" s="27"/>
      <c r="BW9" s="27"/>
      <c r="BX9" s="27"/>
      <c r="BY9" s="27"/>
      <c r="BZ9" s="27"/>
      <c r="CA9" s="27"/>
      <c r="CB9" s="27"/>
      <c r="CC9" s="32"/>
      <c r="CD9" s="7" t="str">
        <f t="shared" si="29"/>
        <v/>
      </c>
      <c r="CE9" s="7" t="str">
        <f t="shared" si="30"/>
        <v/>
      </c>
      <c r="CF9" s="7" t="str">
        <f t="shared" si="31"/>
        <v/>
      </c>
      <c r="CG9" s="7" t="str">
        <f t="shared" si="32"/>
        <v/>
      </c>
      <c r="CH9" s="7" t="str">
        <f t="shared" si="33"/>
        <v/>
      </c>
      <c r="CI9" s="7" t="str">
        <f t="shared" si="34"/>
        <v/>
      </c>
      <c r="CJ9" s="7" t="str">
        <f t="shared" si="35"/>
        <v/>
      </c>
      <c r="CK9" s="13" t="str">
        <f t="shared" si="36"/>
        <v/>
      </c>
      <c r="CL9" s="13" t="str">
        <f t="shared" si="37"/>
        <v/>
      </c>
      <c r="CM9" s="13" t="str">
        <f t="shared" si="38"/>
        <v/>
      </c>
      <c r="CN9" s="13" t="str">
        <f t="shared" si="39"/>
        <v/>
      </c>
      <c r="CO9" s="18"/>
      <c r="CP9" s="18"/>
      <c r="CQ9" s="18"/>
      <c r="CR9" s="18"/>
      <c r="CS9" s="18"/>
      <c r="CT9" s="18"/>
      <c r="CU9" s="18"/>
      <c r="CV9" s="18"/>
      <c r="CW9" s="18"/>
      <c r="CX9" s="18"/>
      <c r="CY9" s="18"/>
      <c r="CZ9" s="18"/>
      <c r="DA9" s="18"/>
      <c r="DB9" s="18"/>
      <c r="DC9" s="18"/>
      <c r="DD9" s="7" t="str">
        <f t="shared" si="40"/>
        <v/>
      </c>
      <c r="DE9" s="7" t="str">
        <f t="shared" si="41"/>
        <v/>
      </c>
      <c r="DF9" s="7" t="str">
        <f t="shared" si="42"/>
        <v/>
      </c>
      <c r="DG9" s="7" t="str">
        <f t="shared" si="43"/>
        <v/>
      </c>
      <c r="DH9" s="7" t="str">
        <f t="shared" si="44"/>
        <v/>
      </c>
      <c r="DI9" s="7" t="str">
        <f t="shared" si="45"/>
        <v/>
      </c>
      <c r="DJ9" s="7" t="str">
        <f t="shared" si="46"/>
        <v/>
      </c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  <c r="DZ9" s="9" t="str">
        <f t="shared" si="47"/>
        <v/>
      </c>
      <c r="EA9" s="9" t="str">
        <f t="shared" si="48"/>
        <v/>
      </c>
      <c r="EB9" s="9" t="str">
        <f t="shared" si="49"/>
        <v/>
      </c>
      <c r="EC9" s="9" t="str">
        <f t="shared" si="50"/>
        <v/>
      </c>
      <c r="ED9" s="9" t="str">
        <f t="shared" si="51"/>
        <v/>
      </c>
      <c r="EE9" s="9" t="str">
        <f t="shared" si="52"/>
        <v/>
      </c>
      <c r="EF9" s="9" t="str">
        <f t="shared" si="53"/>
        <v/>
      </c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7" t="str">
        <f t="shared" si="54"/>
        <v/>
      </c>
      <c r="EW9" s="7" t="str">
        <f t="shared" si="55"/>
        <v/>
      </c>
      <c r="EX9" s="7" t="str">
        <f t="shared" si="56"/>
        <v/>
      </c>
      <c r="EY9" s="7" t="str">
        <f t="shared" si="57"/>
        <v/>
      </c>
      <c r="EZ9" s="7" t="str">
        <f t="shared" si="58"/>
        <v/>
      </c>
      <c r="FA9" s="7" t="str">
        <f t="shared" si="59"/>
        <v/>
      </c>
      <c r="FB9" s="7" t="str">
        <f t="shared" si="60"/>
        <v/>
      </c>
      <c r="FC9" s="19"/>
      <c r="FD9" s="19"/>
      <c r="FE9" s="19"/>
      <c r="FF9" s="19"/>
      <c r="FG9" s="19"/>
      <c r="FH9" s="19"/>
      <c r="FI9" s="19"/>
      <c r="FJ9" s="19"/>
      <c r="FK9" s="19"/>
      <c r="FL9" s="19"/>
      <c r="FM9" s="19"/>
      <c r="FN9" s="19"/>
      <c r="FO9" s="19"/>
      <c r="FP9" s="19"/>
      <c r="FQ9" s="19"/>
      <c r="FR9" s="9" t="str">
        <f t="shared" si="61"/>
        <v/>
      </c>
      <c r="FS9" s="9" t="str">
        <f t="shared" si="62"/>
        <v/>
      </c>
      <c r="FT9" s="9" t="str">
        <f t="shared" si="63"/>
        <v/>
      </c>
      <c r="FU9" s="9" t="str">
        <f t="shared" si="64"/>
        <v/>
      </c>
      <c r="FV9" s="9" t="str">
        <f t="shared" si="65"/>
        <v/>
      </c>
      <c r="FW9" s="9" t="str">
        <f t="shared" si="66"/>
        <v/>
      </c>
      <c r="FX9" s="9" t="str">
        <f t="shared" si="67"/>
        <v/>
      </c>
      <c r="FY9" s="18"/>
      <c r="FZ9" s="18"/>
      <c r="GA9" s="18"/>
      <c r="GB9" s="18"/>
      <c r="GC9" s="18"/>
      <c r="GD9" s="18"/>
      <c r="GE9" s="18"/>
      <c r="GF9" s="18"/>
      <c r="GG9" s="18"/>
      <c r="GH9" s="18"/>
      <c r="GI9" s="18"/>
      <c r="GJ9" s="18"/>
      <c r="GK9" s="18"/>
      <c r="GL9" s="18"/>
      <c r="GM9" s="18"/>
      <c r="GN9" s="7" t="str">
        <f t="shared" si="68"/>
        <v/>
      </c>
      <c r="GO9" s="7" t="str">
        <f t="shared" si="69"/>
        <v/>
      </c>
      <c r="GP9" s="7" t="str">
        <f t="shared" si="70"/>
        <v/>
      </c>
      <c r="GQ9" s="7" t="str">
        <f t="shared" si="71"/>
        <v/>
      </c>
      <c r="GR9" s="7" t="str">
        <f t="shared" si="72"/>
        <v/>
      </c>
      <c r="GS9" s="7" t="str">
        <f t="shared" si="73"/>
        <v/>
      </c>
      <c r="GT9" s="7" t="str">
        <f t="shared" si="74"/>
        <v/>
      </c>
      <c r="GU9" s="19"/>
      <c r="GV9" s="19"/>
      <c r="GW9" s="19"/>
      <c r="GX9" s="19"/>
      <c r="GY9" s="19"/>
      <c r="GZ9" s="19"/>
      <c r="HA9" s="19"/>
      <c r="HB9" s="19"/>
      <c r="HC9" s="19"/>
      <c r="HD9" s="19"/>
      <c r="HE9" s="19"/>
      <c r="HF9" s="19"/>
      <c r="HG9" s="19"/>
      <c r="HH9" s="19"/>
      <c r="HI9" s="19"/>
      <c r="HJ9" s="9" t="str">
        <f t="shared" si="75"/>
        <v/>
      </c>
      <c r="HK9" s="9" t="str">
        <f t="shared" si="76"/>
        <v/>
      </c>
      <c r="HL9" s="9" t="str">
        <f t="shared" si="77"/>
        <v/>
      </c>
      <c r="HM9" s="9" t="str">
        <f t="shared" si="78"/>
        <v/>
      </c>
      <c r="HN9" s="9" t="str">
        <f t="shared" si="79"/>
        <v/>
      </c>
      <c r="HO9" s="9" t="str">
        <f t="shared" si="80"/>
        <v/>
      </c>
      <c r="HP9" s="9" t="str">
        <f t="shared" si="81"/>
        <v/>
      </c>
      <c r="HQ9" s="18"/>
      <c r="HR9" s="18"/>
      <c r="HS9" s="18"/>
      <c r="HT9" s="18"/>
      <c r="HU9" s="18"/>
      <c r="HV9" s="18"/>
      <c r="HW9" s="18"/>
      <c r="HX9" s="18"/>
      <c r="HY9" s="18"/>
      <c r="HZ9" s="18"/>
      <c r="IA9" s="18"/>
      <c r="IB9" s="18"/>
      <c r="IC9" s="18"/>
      <c r="ID9" s="18"/>
      <c r="IE9" s="18"/>
      <c r="IF9" s="7" t="str">
        <f t="shared" si="82"/>
        <v/>
      </c>
      <c r="IG9" s="7" t="str">
        <f t="shared" si="83"/>
        <v/>
      </c>
      <c r="IH9" s="7" t="str">
        <f t="shared" si="84"/>
        <v/>
      </c>
      <c r="II9" s="7" t="str">
        <f t="shared" si="85"/>
        <v/>
      </c>
      <c r="IJ9" s="7" t="str">
        <f t="shared" si="86"/>
        <v/>
      </c>
      <c r="IK9" s="7" t="str">
        <f t="shared" si="87"/>
        <v/>
      </c>
      <c r="IL9" s="7" t="str">
        <f t="shared" si="88"/>
        <v/>
      </c>
      <c r="IM9" s="19"/>
      <c r="IN9" s="19"/>
      <c r="IO9" s="19"/>
      <c r="IP9" s="19"/>
      <c r="IQ9" s="19"/>
      <c r="IR9" s="19"/>
      <c r="IS9" s="19"/>
      <c r="IT9" s="19"/>
      <c r="IU9" s="19"/>
      <c r="IV9" s="19"/>
      <c r="IW9" s="19"/>
      <c r="IX9" s="19"/>
      <c r="IY9" s="19"/>
      <c r="IZ9" s="19"/>
      <c r="JA9" s="19"/>
      <c r="JB9" s="9" t="str">
        <f t="shared" si="89"/>
        <v/>
      </c>
      <c r="JC9" s="9" t="str">
        <f t="shared" si="90"/>
        <v/>
      </c>
      <c r="JD9" s="9" t="str">
        <f t="shared" si="91"/>
        <v/>
      </c>
      <c r="JE9" s="9" t="str">
        <f t="shared" si="92"/>
        <v/>
      </c>
      <c r="JF9" s="9" t="str">
        <f t="shared" si="93"/>
        <v/>
      </c>
      <c r="JG9" s="9" t="str">
        <f t="shared" si="94"/>
        <v/>
      </c>
      <c r="JH9" s="9" t="str">
        <f t="shared" si="95"/>
        <v/>
      </c>
      <c r="JI9" s="18"/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7" t="str">
        <f t="shared" si="96"/>
        <v/>
      </c>
      <c r="JY9" s="7" t="str">
        <f t="shared" si="97"/>
        <v/>
      </c>
      <c r="JZ9" s="7" t="str">
        <f t="shared" si="98"/>
        <v/>
      </c>
      <c r="KA9" s="7" t="str">
        <f t="shared" si="99"/>
        <v/>
      </c>
      <c r="KB9" s="7" t="str">
        <f t="shared" si="100"/>
        <v/>
      </c>
      <c r="KC9" s="7" t="str">
        <f t="shared" si="101"/>
        <v/>
      </c>
      <c r="KD9" s="7" t="str">
        <f t="shared" si="102"/>
        <v/>
      </c>
      <c r="KE9" s="19"/>
      <c r="KF9" s="19"/>
      <c r="KG9" s="19"/>
      <c r="KH9" s="19"/>
      <c r="KI9" s="19"/>
      <c r="KJ9" s="19"/>
      <c r="KK9" s="19"/>
      <c r="KL9" s="19"/>
      <c r="KM9" s="19"/>
      <c r="KN9" s="19"/>
      <c r="KO9" s="19"/>
      <c r="KP9" s="19"/>
      <c r="KQ9" s="19"/>
      <c r="KR9" s="19"/>
      <c r="KS9" s="19"/>
      <c r="KT9" s="9" t="str">
        <f t="shared" si="103"/>
        <v/>
      </c>
      <c r="KU9" s="9" t="str">
        <f t="shared" si="104"/>
        <v/>
      </c>
      <c r="KV9" s="9" t="str">
        <f t="shared" si="105"/>
        <v/>
      </c>
      <c r="KW9" s="9" t="str">
        <f t="shared" si="106"/>
        <v/>
      </c>
      <c r="KX9" s="9" t="str">
        <f t="shared" si="107"/>
        <v/>
      </c>
      <c r="KY9" s="9" t="str">
        <f t="shared" si="108"/>
        <v/>
      </c>
      <c r="KZ9" s="9" t="str">
        <f t="shared" si="109"/>
        <v/>
      </c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7" t="str">
        <f t="shared" si="110"/>
        <v/>
      </c>
      <c r="LQ9" s="7" t="str">
        <f t="shared" si="111"/>
        <v/>
      </c>
      <c r="LR9" s="7" t="str">
        <f t="shared" si="112"/>
        <v/>
      </c>
      <c r="LS9" s="7" t="str">
        <f t="shared" si="113"/>
        <v/>
      </c>
      <c r="LT9" s="7" t="str">
        <f t="shared" si="114"/>
        <v/>
      </c>
      <c r="LU9" s="7" t="str">
        <f t="shared" si="115"/>
        <v/>
      </c>
      <c r="LV9" s="7" t="str">
        <f t="shared" si="116"/>
        <v/>
      </c>
      <c r="LW9" s="19"/>
      <c r="LX9" s="19"/>
      <c r="LY9" s="19"/>
      <c r="LZ9" s="19"/>
      <c r="MA9" s="19"/>
      <c r="MB9" s="19"/>
      <c r="MC9" s="19"/>
      <c r="MD9" s="19"/>
      <c r="ME9" s="19"/>
      <c r="MF9" s="19"/>
      <c r="MG9" s="19"/>
      <c r="MH9" s="19"/>
      <c r="MI9" s="19"/>
      <c r="MJ9" s="19"/>
      <c r="MK9" s="19"/>
      <c r="ML9" s="9" t="str">
        <f t="shared" si="117"/>
        <v/>
      </c>
      <c r="MM9" s="9" t="str">
        <f t="shared" si="118"/>
        <v/>
      </c>
      <c r="MN9" s="9" t="str">
        <f t="shared" si="119"/>
        <v/>
      </c>
      <c r="MO9" s="9" t="str">
        <f t="shared" si="120"/>
        <v/>
      </c>
      <c r="MP9" s="9" t="str">
        <f t="shared" si="121"/>
        <v/>
      </c>
      <c r="MQ9" s="9" t="str">
        <f t="shared" si="122"/>
        <v/>
      </c>
      <c r="MR9" s="9" t="str">
        <f t="shared" si="123"/>
        <v/>
      </c>
      <c r="MS9" s="27">
        <f t="shared" si="124"/>
        <v>7.75</v>
      </c>
      <c r="MT9" s="27">
        <f t="shared" si="124"/>
        <v>4.75</v>
      </c>
      <c r="MU9" s="27">
        <f t="shared" si="124"/>
        <v>0</v>
      </c>
      <c r="MV9" s="27">
        <f t="shared" si="124"/>
        <v>6.94</v>
      </c>
      <c r="MW9" s="27">
        <f t="shared" si="124"/>
        <v>0</v>
      </c>
      <c r="MX9" s="27">
        <f t="shared" si="124"/>
        <v>5.75</v>
      </c>
      <c r="MY9" s="27">
        <f t="shared" si="124"/>
        <v>4.5</v>
      </c>
      <c r="MZ9" s="27">
        <f t="shared" si="124"/>
        <v>4.3499999999999996</v>
      </c>
      <c r="NA9" s="27">
        <f t="shared" si="124"/>
        <v>6.65</v>
      </c>
      <c r="NB9" s="27">
        <f t="shared" si="124"/>
        <v>0.25</v>
      </c>
      <c r="NC9" s="27">
        <f>IF($CC9="P",BX9,(BX9+BA9)/2)</f>
        <v>6.65</v>
      </c>
      <c r="ND9" s="27">
        <f>IF($CC9="P",BY9,(BY9+BB9)/2)</f>
        <v>4.8</v>
      </c>
      <c r="NE9" s="27">
        <f>IF($CC9="P",BZ9,(BZ9+BC9)/2)</f>
        <v>4.8</v>
      </c>
      <c r="NF9" s="27">
        <f>IF($CC9="P",CA9,(CA9+BD9)/2)</f>
        <v>6.65</v>
      </c>
      <c r="NG9" s="27">
        <f>IF($CC9="P",CB9,(CB9+BE9)/2)</f>
        <v>0</v>
      </c>
      <c r="NH9" s="32" t="s">
        <v>44</v>
      </c>
      <c r="NI9" s="7">
        <f>IF(SUM(MS9:MV9)-MW9&gt;0,SUM(MS9:MV9)-MW9,"")</f>
        <v>19.440000000000001</v>
      </c>
      <c r="NJ9" s="7">
        <f>IF(MZ9&gt;0,MZ9,"")</f>
        <v>4.3499999999999996</v>
      </c>
      <c r="NK9" s="7">
        <f>IF(SUM(MX9:NA9)-NB9&gt;0,SUM(MX9:NA9)-NB9,"")</f>
        <v>21</v>
      </c>
      <c r="NL9" s="7">
        <f t="shared" si="127"/>
        <v>40.44</v>
      </c>
      <c r="NM9" s="7">
        <f t="shared" si="125"/>
        <v>4.8</v>
      </c>
      <c r="NN9" s="7">
        <f>IF(SUM(NC9:NF9)-NG9&gt;0,SUM(NC9:NF9)-NG9,"")</f>
        <v>22.9</v>
      </c>
      <c r="NO9" s="7">
        <f t="shared" si="129"/>
        <v>63.339999999999996</v>
      </c>
    </row>
    <row r="10" spans="1:379" x14ac:dyDescent="0.2">
      <c r="A10" s="4" t="str" cm="1">
        <f t="array" ref="A10">IF(AND(H10&lt;&gt;"",H10&lt;&gt;"No DD"),SUMPRODUCT((H$4:H$12&lt;&gt;"")*(H$4:H$12&lt;&gt;"No DD")*(E$4:E$12&gt;E10))+1,IF(H10="No DD",SUMPRODUCT((H$4:H$12="No DD")*(E$4:E$12&gt;E10))+1+SUMPRODUCT((H$4:H$12&lt;&gt;"")*(H$4:H$12&lt;&gt;"No DD")),""))</f>
        <v/>
      </c>
      <c r="B10" s="5" t="s">
        <v>87</v>
      </c>
      <c r="C10" s="4" t="s">
        <v>62</v>
      </c>
      <c r="D10" s="4">
        <v>2009</v>
      </c>
      <c r="E10" s="10">
        <f t="shared" si="0"/>
        <v>182.97</v>
      </c>
      <c r="F10" s="3" t="str">
        <f t="shared" si="1"/>
        <v/>
      </c>
      <c r="G10" s="3" t="str">
        <f t="shared" si="2"/>
        <v/>
      </c>
      <c r="H10" s="47" t="str">
        <f t="shared" si="3"/>
        <v/>
      </c>
      <c r="I10" s="9">
        <f t="shared" si="4"/>
        <v>83.52</v>
      </c>
      <c r="J10" s="9" t="str">
        <f t="shared" si="5"/>
        <v>2025 Elite Canada</v>
      </c>
      <c r="K10" s="9">
        <f t="shared" si="6"/>
        <v>39.29</v>
      </c>
      <c r="L10" s="9" t="str">
        <f t="shared" si="7"/>
        <v>2025 Nationals</v>
      </c>
      <c r="M10" s="9">
        <f t="shared" si="8"/>
        <v>14.129999999999999</v>
      </c>
      <c r="N10" s="9" t="str">
        <f t="shared" si="9"/>
        <v>2025 Nationals</v>
      </c>
      <c r="O10" s="9">
        <f t="shared" si="10"/>
        <v>46.029999999999994</v>
      </c>
      <c r="P10" s="9" t="str">
        <f t="shared" si="11"/>
        <v>2025 Elite Canada</v>
      </c>
      <c r="Q10" s="9" t="str">
        <f t="shared" si="12"/>
        <v/>
      </c>
      <c r="R10" s="14" t="str">
        <f t="shared" si="13"/>
        <v/>
      </c>
      <c r="S10" s="9" t="str">
        <f t="shared" si="14"/>
        <v/>
      </c>
      <c r="T10" s="27">
        <v>16.600000000000001</v>
      </c>
      <c r="U10" s="27">
        <v>9.5</v>
      </c>
      <c r="V10" s="27">
        <v>0</v>
      </c>
      <c r="W10" s="27">
        <v>13.25</v>
      </c>
      <c r="X10" s="27">
        <v>0</v>
      </c>
      <c r="Y10" s="27">
        <v>13.5</v>
      </c>
      <c r="Z10" s="27">
        <v>8.6999999999999993</v>
      </c>
      <c r="AA10" s="27">
        <v>9</v>
      </c>
      <c r="AB10" s="27">
        <v>13.17</v>
      </c>
      <c r="AC10" s="27">
        <v>0.2</v>
      </c>
      <c r="AD10" s="27">
        <v>15.3</v>
      </c>
      <c r="AE10" s="27">
        <v>9</v>
      </c>
      <c r="AF10" s="27">
        <v>9</v>
      </c>
      <c r="AG10" s="27">
        <v>12.93</v>
      </c>
      <c r="AH10" s="27">
        <v>0.2</v>
      </c>
      <c r="AI10" s="32"/>
      <c r="AJ10" s="7">
        <f t="shared" si="15"/>
        <v>39.35</v>
      </c>
      <c r="AK10" s="7">
        <f t="shared" si="16"/>
        <v>9</v>
      </c>
      <c r="AL10" s="7">
        <f t="shared" si="17"/>
        <v>44.169999999999995</v>
      </c>
      <c r="AM10" s="7">
        <f t="shared" si="18"/>
        <v>83.52</v>
      </c>
      <c r="AN10" s="7">
        <f t="shared" si="19"/>
        <v>9</v>
      </c>
      <c r="AO10" s="7">
        <f t="shared" si="20"/>
        <v>46.029999999999994</v>
      </c>
      <c r="AP10" s="7">
        <f t="shared" si="21"/>
        <v>129.54999999999998</v>
      </c>
      <c r="AQ10" s="31">
        <v>16.8</v>
      </c>
      <c r="AR10" s="31">
        <v>9.3000000000000007</v>
      </c>
      <c r="AS10" s="31">
        <v>0</v>
      </c>
      <c r="AT10" s="31">
        <v>13.19</v>
      </c>
      <c r="AU10" s="31">
        <v>0</v>
      </c>
      <c r="AV10" s="31">
        <v>4.0999999999999996</v>
      </c>
      <c r="AW10" s="31">
        <v>2.6</v>
      </c>
      <c r="AX10" s="31">
        <v>3.4</v>
      </c>
      <c r="AY10" s="31">
        <v>4.03</v>
      </c>
      <c r="AZ10" s="31">
        <v>0</v>
      </c>
      <c r="BA10" s="31">
        <v>11.8</v>
      </c>
      <c r="BB10" s="31">
        <v>9.1999999999999993</v>
      </c>
      <c r="BC10" s="31">
        <v>9.3000000000000007</v>
      </c>
      <c r="BD10" s="31">
        <v>12.66</v>
      </c>
      <c r="BE10" s="31">
        <v>0</v>
      </c>
      <c r="BF10" s="33"/>
      <c r="BG10" s="9">
        <f t="shared" si="22"/>
        <v>39.29</v>
      </c>
      <c r="BH10" s="9">
        <f t="shared" si="23"/>
        <v>3.4</v>
      </c>
      <c r="BI10" s="9">
        <f t="shared" si="24"/>
        <v>14.129999999999999</v>
      </c>
      <c r="BJ10" s="9">
        <f t="shared" si="25"/>
        <v>53.42</v>
      </c>
      <c r="BK10" s="9">
        <f t="shared" si="26"/>
        <v>9.3000000000000007</v>
      </c>
      <c r="BL10" s="9">
        <f t="shared" si="27"/>
        <v>42.96</v>
      </c>
      <c r="BM10" s="9">
        <f t="shared" si="28"/>
        <v>96.38</v>
      </c>
      <c r="BN10" s="27"/>
      <c r="BO10" s="27"/>
      <c r="BP10" s="27"/>
      <c r="BQ10" s="27"/>
      <c r="BR10" s="27"/>
      <c r="BS10" s="27"/>
      <c r="BT10" s="27"/>
      <c r="BU10" s="27"/>
      <c r="BV10" s="27"/>
      <c r="BW10" s="27"/>
      <c r="BX10" s="27"/>
      <c r="BY10" s="27"/>
      <c r="BZ10" s="27"/>
      <c r="CA10" s="27"/>
      <c r="CB10" s="27"/>
      <c r="CC10" s="32"/>
      <c r="CD10" s="7" t="str">
        <f t="shared" si="29"/>
        <v/>
      </c>
      <c r="CE10" s="7" t="str">
        <f t="shared" si="30"/>
        <v/>
      </c>
      <c r="CF10" s="7" t="str">
        <f t="shared" si="31"/>
        <v/>
      </c>
      <c r="CG10" s="7" t="str">
        <f t="shared" si="32"/>
        <v/>
      </c>
      <c r="CH10" s="7" t="str">
        <f t="shared" si="33"/>
        <v/>
      </c>
      <c r="CI10" s="7" t="str">
        <f t="shared" si="34"/>
        <v/>
      </c>
      <c r="CJ10" s="7" t="str">
        <f t="shared" si="35"/>
        <v/>
      </c>
      <c r="CK10" s="13" t="str">
        <f t="shared" si="36"/>
        <v/>
      </c>
      <c r="CL10" s="13" t="str">
        <f t="shared" si="37"/>
        <v/>
      </c>
      <c r="CM10" s="13" t="str">
        <f t="shared" si="38"/>
        <v/>
      </c>
      <c r="CN10" s="13" t="str">
        <f t="shared" si="39"/>
        <v/>
      </c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/>
      <c r="CZ10" s="18"/>
      <c r="DA10" s="18"/>
      <c r="DB10" s="18"/>
      <c r="DC10" s="18"/>
      <c r="DD10" s="7" t="str">
        <f t="shared" si="40"/>
        <v/>
      </c>
      <c r="DE10" s="7" t="str">
        <f t="shared" si="41"/>
        <v/>
      </c>
      <c r="DF10" s="7" t="str">
        <f t="shared" si="42"/>
        <v/>
      </c>
      <c r="DG10" s="7" t="str">
        <f t="shared" si="43"/>
        <v/>
      </c>
      <c r="DH10" s="7" t="str">
        <f t="shared" si="44"/>
        <v/>
      </c>
      <c r="DI10" s="7" t="str">
        <f t="shared" si="45"/>
        <v/>
      </c>
      <c r="DJ10" s="7" t="str">
        <f t="shared" si="46"/>
        <v/>
      </c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9" t="str">
        <f t="shared" si="47"/>
        <v/>
      </c>
      <c r="EA10" s="9" t="str">
        <f t="shared" si="48"/>
        <v/>
      </c>
      <c r="EB10" s="9" t="str">
        <f t="shared" si="49"/>
        <v/>
      </c>
      <c r="EC10" s="9" t="str">
        <f t="shared" si="50"/>
        <v/>
      </c>
      <c r="ED10" s="9" t="str">
        <f t="shared" si="51"/>
        <v/>
      </c>
      <c r="EE10" s="9" t="str">
        <f t="shared" si="52"/>
        <v/>
      </c>
      <c r="EF10" s="9" t="str">
        <f t="shared" si="53"/>
        <v/>
      </c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7" t="str">
        <f t="shared" si="54"/>
        <v/>
      </c>
      <c r="EW10" s="7" t="str">
        <f t="shared" si="55"/>
        <v/>
      </c>
      <c r="EX10" s="7" t="str">
        <f t="shared" si="56"/>
        <v/>
      </c>
      <c r="EY10" s="7" t="str">
        <f t="shared" si="57"/>
        <v/>
      </c>
      <c r="EZ10" s="7" t="str">
        <f t="shared" si="58"/>
        <v/>
      </c>
      <c r="FA10" s="7" t="str">
        <f t="shared" si="59"/>
        <v/>
      </c>
      <c r="FB10" s="7" t="str">
        <f t="shared" si="60"/>
        <v/>
      </c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9" t="str">
        <f t="shared" si="61"/>
        <v/>
      </c>
      <c r="FS10" s="9" t="str">
        <f t="shared" si="62"/>
        <v/>
      </c>
      <c r="FT10" s="9" t="str">
        <f t="shared" si="63"/>
        <v/>
      </c>
      <c r="FU10" s="9" t="str">
        <f t="shared" si="64"/>
        <v/>
      </c>
      <c r="FV10" s="9" t="str">
        <f t="shared" si="65"/>
        <v/>
      </c>
      <c r="FW10" s="9" t="str">
        <f t="shared" si="66"/>
        <v/>
      </c>
      <c r="FX10" s="9" t="str">
        <f t="shared" si="67"/>
        <v/>
      </c>
      <c r="FY10" s="18"/>
      <c r="FZ10" s="18"/>
      <c r="GA10" s="18"/>
      <c r="GB10" s="18"/>
      <c r="GC10" s="18"/>
      <c r="GD10" s="18"/>
      <c r="GE10" s="18"/>
      <c r="GF10" s="18"/>
      <c r="GG10" s="18"/>
      <c r="GH10" s="18"/>
      <c r="GI10" s="18"/>
      <c r="GJ10" s="18"/>
      <c r="GK10" s="18"/>
      <c r="GL10" s="18"/>
      <c r="GM10" s="18"/>
      <c r="GN10" s="7" t="str">
        <f t="shared" si="68"/>
        <v/>
      </c>
      <c r="GO10" s="7" t="str">
        <f t="shared" si="69"/>
        <v/>
      </c>
      <c r="GP10" s="7" t="str">
        <f t="shared" si="70"/>
        <v/>
      </c>
      <c r="GQ10" s="7" t="str">
        <f t="shared" si="71"/>
        <v/>
      </c>
      <c r="GR10" s="7" t="str">
        <f t="shared" si="72"/>
        <v/>
      </c>
      <c r="GS10" s="7" t="str">
        <f t="shared" si="73"/>
        <v/>
      </c>
      <c r="GT10" s="7" t="str">
        <f t="shared" si="74"/>
        <v/>
      </c>
      <c r="GU10" s="19"/>
      <c r="GV10" s="19"/>
      <c r="GW10" s="19"/>
      <c r="GX10" s="19"/>
      <c r="GY10" s="19"/>
      <c r="GZ10" s="19"/>
      <c r="HA10" s="19"/>
      <c r="HB10" s="19"/>
      <c r="HC10" s="19"/>
      <c r="HD10" s="19"/>
      <c r="HE10" s="19"/>
      <c r="HF10" s="19"/>
      <c r="HG10" s="19"/>
      <c r="HH10" s="19"/>
      <c r="HI10" s="19"/>
      <c r="HJ10" s="9" t="str">
        <f t="shared" si="75"/>
        <v/>
      </c>
      <c r="HK10" s="9" t="str">
        <f t="shared" si="76"/>
        <v/>
      </c>
      <c r="HL10" s="9" t="str">
        <f t="shared" si="77"/>
        <v/>
      </c>
      <c r="HM10" s="9" t="str">
        <f t="shared" si="78"/>
        <v/>
      </c>
      <c r="HN10" s="9" t="str">
        <f t="shared" si="79"/>
        <v/>
      </c>
      <c r="HO10" s="9" t="str">
        <f t="shared" si="80"/>
        <v/>
      </c>
      <c r="HP10" s="9" t="str">
        <f t="shared" si="81"/>
        <v/>
      </c>
      <c r="HQ10" s="18"/>
      <c r="HR10" s="18"/>
      <c r="HS10" s="18"/>
      <c r="HT10" s="18"/>
      <c r="HU10" s="18"/>
      <c r="HV10" s="18"/>
      <c r="HW10" s="18"/>
      <c r="HX10" s="18"/>
      <c r="HY10" s="18"/>
      <c r="HZ10" s="18"/>
      <c r="IA10" s="18"/>
      <c r="IB10" s="18"/>
      <c r="IC10" s="18"/>
      <c r="ID10" s="18"/>
      <c r="IE10" s="18"/>
      <c r="IF10" s="7" t="str">
        <f t="shared" si="82"/>
        <v/>
      </c>
      <c r="IG10" s="7" t="str">
        <f t="shared" si="83"/>
        <v/>
      </c>
      <c r="IH10" s="7" t="str">
        <f t="shared" si="84"/>
        <v/>
      </c>
      <c r="II10" s="7" t="str">
        <f t="shared" si="85"/>
        <v/>
      </c>
      <c r="IJ10" s="7" t="str">
        <f t="shared" si="86"/>
        <v/>
      </c>
      <c r="IK10" s="7" t="str">
        <f t="shared" si="87"/>
        <v/>
      </c>
      <c r="IL10" s="7" t="str">
        <f t="shared" si="88"/>
        <v/>
      </c>
      <c r="IM10" s="19"/>
      <c r="IN10" s="19"/>
      <c r="IO10" s="19"/>
      <c r="IP10" s="19"/>
      <c r="IQ10" s="19"/>
      <c r="IR10" s="19"/>
      <c r="IS10" s="19"/>
      <c r="IT10" s="19"/>
      <c r="IU10" s="19"/>
      <c r="IV10" s="19"/>
      <c r="IW10" s="19"/>
      <c r="IX10" s="19"/>
      <c r="IY10" s="19"/>
      <c r="IZ10" s="19"/>
      <c r="JA10" s="19"/>
      <c r="JB10" s="9" t="str">
        <f t="shared" si="89"/>
        <v/>
      </c>
      <c r="JC10" s="9" t="str">
        <f t="shared" si="90"/>
        <v/>
      </c>
      <c r="JD10" s="9" t="str">
        <f t="shared" si="91"/>
        <v/>
      </c>
      <c r="JE10" s="9" t="str">
        <f t="shared" si="92"/>
        <v/>
      </c>
      <c r="JF10" s="9" t="str">
        <f t="shared" si="93"/>
        <v/>
      </c>
      <c r="JG10" s="9" t="str">
        <f t="shared" si="94"/>
        <v/>
      </c>
      <c r="JH10" s="9" t="str">
        <f t="shared" si="95"/>
        <v/>
      </c>
      <c r="JI10" s="18"/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7" t="str">
        <f t="shared" si="96"/>
        <v/>
      </c>
      <c r="JY10" s="7" t="str">
        <f t="shared" si="97"/>
        <v/>
      </c>
      <c r="JZ10" s="7" t="str">
        <f t="shared" si="98"/>
        <v/>
      </c>
      <c r="KA10" s="7" t="str">
        <f t="shared" si="99"/>
        <v/>
      </c>
      <c r="KB10" s="7" t="str">
        <f t="shared" si="100"/>
        <v/>
      </c>
      <c r="KC10" s="7" t="str">
        <f t="shared" si="101"/>
        <v/>
      </c>
      <c r="KD10" s="7" t="str">
        <f t="shared" si="102"/>
        <v/>
      </c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9"/>
      <c r="KR10" s="19"/>
      <c r="KS10" s="19"/>
      <c r="KT10" s="9" t="str">
        <f t="shared" si="103"/>
        <v/>
      </c>
      <c r="KU10" s="9" t="str">
        <f t="shared" si="104"/>
        <v/>
      </c>
      <c r="KV10" s="9" t="str">
        <f t="shared" si="105"/>
        <v/>
      </c>
      <c r="KW10" s="9" t="str">
        <f t="shared" si="106"/>
        <v/>
      </c>
      <c r="KX10" s="9" t="str">
        <f t="shared" si="107"/>
        <v/>
      </c>
      <c r="KY10" s="9" t="str">
        <f t="shared" si="108"/>
        <v/>
      </c>
      <c r="KZ10" s="9" t="str">
        <f t="shared" si="109"/>
        <v/>
      </c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7" t="str">
        <f t="shared" si="110"/>
        <v/>
      </c>
      <c r="LQ10" s="7" t="str">
        <f t="shared" si="111"/>
        <v/>
      </c>
      <c r="LR10" s="7" t="str">
        <f t="shared" si="112"/>
        <v/>
      </c>
      <c r="LS10" s="7" t="str">
        <f t="shared" si="113"/>
        <v/>
      </c>
      <c r="LT10" s="7" t="str">
        <f t="shared" si="114"/>
        <v/>
      </c>
      <c r="LU10" s="7" t="str">
        <f t="shared" si="115"/>
        <v/>
      </c>
      <c r="LV10" s="7" t="str">
        <f t="shared" si="116"/>
        <v/>
      </c>
      <c r="LW10" s="19"/>
      <c r="LX10" s="19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9" t="str">
        <f t="shared" si="117"/>
        <v/>
      </c>
      <c r="MM10" s="9" t="str">
        <f t="shared" si="118"/>
        <v/>
      </c>
      <c r="MN10" s="9" t="str">
        <f t="shared" si="119"/>
        <v/>
      </c>
      <c r="MO10" s="9" t="str">
        <f t="shared" si="120"/>
        <v/>
      </c>
      <c r="MP10" s="9" t="str">
        <f t="shared" si="121"/>
        <v/>
      </c>
      <c r="MQ10" s="9" t="str">
        <f t="shared" si="122"/>
        <v/>
      </c>
      <c r="MR10" s="9" t="str">
        <f t="shared" si="123"/>
        <v/>
      </c>
      <c r="MS10" s="27">
        <f t="shared" si="124"/>
        <v>8.4</v>
      </c>
      <c r="MT10" s="27">
        <f t="shared" si="124"/>
        <v>4.6500000000000004</v>
      </c>
      <c r="MU10" s="27">
        <f t="shared" si="124"/>
        <v>0</v>
      </c>
      <c r="MV10" s="27">
        <f t="shared" si="124"/>
        <v>6.5949999999999998</v>
      </c>
      <c r="MW10" s="27">
        <f t="shared" si="124"/>
        <v>0</v>
      </c>
      <c r="MX10" s="27">
        <f t="shared" si="124"/>
        <v>2.0499999999999998</v>
      </c>
      <c r="MY10" s="27">
        <f t="shared" si="124"/>
        <v>1.3</v>
      </c>
      <c r="MZ10" s="27">
        <f t="shared" si="124"/>
        <v>1.7</v>
      </c>
      <c r="NA10" s="27">
        <f t="shared" si="124"/>
        <v>2.0150000000000001</v>
      </c>
      <c r="NB10" s="27">
        <f t="shared" si="124"/>
        <v>0</v>
      </c>
      <c r="NC10" s="27">
        <f>IF($CC10="P",BX10,(BX10+BA10)/2)</f>
        <v>5.9</v>
      </c>
      <c r="ND10" s="27">
        <f>IF($CC10="P",BY10,(BY10+BB10)/2)</f>
        <v>4.5999999999999996</v>
      </c>
      <c r="NE10" s="27">
        <f>IF($CC10="P",BZ10,(BZ10+BC10)/2)</f>
        <v>4.6500000000000004</v>
      </c>
      <c r="NF10" s="27">
        <f>IF($CC10="P",CA10,(CA10+BD10)/2)</f>
        <v>6.33</v>
      </c>
      <c r="NG10" s="27">
        <f>IF($CC10="P",CB10,(CB10+BE10)/2)</f>
        <v>0</v>
      </c>
      <c r="NH10" s="32" t="s">
        <v>44</v>
      </c>
      <c r="NI10" s="7">
        <f>IF(SUM(MS10:MV10)-MW10&gt;0,SUM(MS10:MV10)-MW10,"")</f>
        <v>19.645</v>
      </c>
      <c r="NJ10" s="7">
        <f>IF(MZ10&gt;0,MZ10,"")</f>
        <v>1.7</v>
      </c>
      <c r="NK10" s="7">
        <f>IF(SUM(MX10:NA10)-NB10&gt;0,SUM(MX10:NA10)-NB10,"")</f>
        <v>7.0649999999999995</v>
      </c>
      <c r="NL10" s="7">
        <f t="shared" si="127"/>
        <v>26.71</v>
      </c>
      <c r="NM10" s="7">
        <f t="shared" si="125"/>
        <v>4.6500000000000004</v>
      </c>
      <c r="NN10" s="7">
        <f>IF(SUM(NC10:NF10)-NG10&gt;0,SUM(NC10:NF10)-NG10,"")</f>
        <v>21.48</v>
      </c>
      <c r="NO10" s="7">
        <f t="shared" ref="NO10" si="130">IF(SUM(NL10,NN10)&gt;0,SUM(NL10,NN10),"")</f>
        <v>48.19</v>
      </c>
    </row>
    <row r="11" spans="1:379" x14ac:dyDescent="0.2">
      <c r="A11" s="4" t="str" cm="1">
        <f t="array" ref="A11">IF(AND(H11&lt;&gt;"",H11&lt;&gt;"No DD"),SUMPRODUCT((H$4:H$12&lt;&gt;"")*(H$4:H$12&lt;&gt;"No DD")*(E$4:E$12&gt;E11))+1,IF(H11="No DD",SUMPRODUCT((H$4:H$12="No DD")*(E$4:E$12&gt;E11))+1+SUMPRODUCT((H$4:H$12&lt;&gt;"")*(H$4:H$12&lt;&gt;"No DD")),""))</f>
        <v/>
      </c>
      <c r="B11" s="5" t="s">
        <v>106</v>
      </c>
      <c r="C11" s="4" t="s">
        <v>62</v>
      </c>
      <c r="D11" s="4">
        <v>2009</v>
      </c>
      <c r="E11" s="10">
        <f t="shared" si="0"/>
        <v>134.28</v>
      </c>
      <c r="F11" s="3" t="str">
        <f t="shared" si="1"/>
        <v/>
      </c>
      <c r="G11" s="3" t="str">
        <f t="shared" si="2"/>
        <v/>
      </c>
      <c r="H11" s="47" t="str">
        <f t="shared" si="3"/>
        <v/>
      </c>
      <c r="I11" s="9">
        <f t="shared" si="4"/>
        <v>86.61</v>
      </c>
      <c r="J11" s="9" t="str">
        <f t="shared" si="5"/>
        <v>2025 Nationals</v>
      </c>
      <c r="K11" s="9">
        <f t="shared" si="6"/>
        <v>0</v>
      </c>
      <c r="L11" s="9" t="str">
        <f t="shared" si="7"/>
        <v/>
      </c>
      <c r="M11" s="9">
        <f t="shared" si="8"/>
        <v>0</v>
      </c>
      <c r="N11" s="9" t="str">
        <f t="shared" si="9"/>
        <v/>
      </c>
      <c r="O11" s="9">
        <f t="shared" si="10"/>
        <v>47.669999999999995</v>
      </c>
      <c r="P11" s="9" t="str">
        <f t="shared" si="11"/>
        <v>2025 Nationals</v>
      </c>
      <c r="Q11" s="9" t="str">
        <f t="shared" si="12"/>
        <v/>
      </c>
      <c r="R11" s="14" t="str">
        <f t="shared" si="13"/>
        <v/>
      </c>
      <c r="S11" s="9" t="str">
        <f t="shared" si="14"/>
        <v/>
      </c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32"/>
      <c r="AJ11" s="7" t="str">
        <f t="shared" si="15"/>
        <v/>
      </c>
      <c r="AK11" s="7" t="str">
        <f t="shared" si="16"/>
        <v/>
      </c>
      <c r="AL11" s="7" t="str">
        <f t="shared" si="17"/>
        <v/>
      </c>
      <c r="AM11" s="7" t="str">
        <f t="shared" si="18"/>
        <v/>
      </c>
      <c r="AN11" s="7" t="str">
        <f t="shared" si="19"/>
        <v/>
      </c>
      <c r="AO11" s="7" t="str">
        <f t="shared" si="20"/>
        <v/>
      </c>
      <c r="AP11" s="7" t="str">
        <f t="shared" si="21"/>
        <v/>
      </c>
      <c r="AQ11" s="31">
        <v>16.8</v>
      </c>
      <c r="AR11" s="31">
        <v>9.3000000000000007</v>
      </c>
      <c r="AS11" s="31">
        <v>0</v>
      </c>
      <c r="AT11" s="31">
        <v>14.37</v>
      </c>
      <c r="AU11" s="31">
        <v>0</v>
      </c>
      <c r="AV11" s="31">
        <v>13.3</v>
      </c>
      <c r="AW11" s="31">
        <v>9.1999999999999993</v>
      </c>
      <c r="AX11" s="31">
        <v>9.1999999999999993</v>
      </c>
      <c r="AY11" s="31">
        <v>14.44</v>
      </c>
      <c r="AZ11" s="31">
        <v>0</v>
      </c>
      <c r="BA11" s="31">
        <v>14.9</v>
      </c>
      <c r="BB11" s="31">
        <v>9.1999999999999993</v>
      </c>
      <c r="BC11" s="31">
        <v>9.1999999999999993</v>
      </c>
      <c r="BD11" s="31">
        <v>14.37</v>
      </c>
      <c r="BE11" s="31">
        <v>0</v>
      </c>
      <c r="BF11" s="33"/>
      <c r="BG11" s="9">
        <f t="shared" si="22"/>
        <v>40.47</v>
      </c>
      <c r="BH11" s="9">
        <f t="shared" si="23"/>
        <v>9.1999999999999993</v>
      </c>
      <c r="BI11" s="9">
        <f t="shared" si="24"/>
        <v>46.14</v>
      </c>
      <c r="BJ11" s="9">
        <f t="shared" si="25"/>
        <v>86.61</v>
      </c>
      <c r="BK11" s="9">
        <f t="shared" si="26"/>
        <v>9.1999999999999993</v>
      </c>
      <c r="BL11" s="9">
        <f t="shared" si="27"/>
        <v>47.669999999999995</v>
      </c>
      <c r="BM11" s="9">
        <f t="shared" si="28"/>
        <v>134.28</v>
      </c>
      <c r="BN11" s="27"/>
      <c r="BO11" s="27"/>
      <c r="BP11" s="27"/>
      <c r="BQ11" s="27"/>
      <c r="BR11" s="27"/>
      <c r="BS11" s="27"/>
      <c r="BT11" s="27"/>
      <c r="BU11" s="27"/>
      <c r="BV11" s="27"/>
      <c r="BW11" s="27"/>
      <c r="BX11" s="27"/>
      <c r="BY11" s="27"/>
      <c r="BZ11" s="27"/>
      <c r="CA11" s="27"/>
      <c r="CB11" s="27"/>
      <c r="CC11" s="32"/>
      <c r="CD11" s="7" t="str">
        <f t="shared" si="29"/>
        <v/>
      </c>
      <c r="CE11" s="7" t="str">
        <f t="shared" si="30"/>
        <v/>
      </c>
      <c r="CF11" s="7" t="str">
        <f t="shared" si="31"/>
        <v/>
      </c>
      <c r="CG11" s="7" t="str">
        <f t="shared" si="32"/>
        <v/>
      </c>
      <c r="CH11" s="7" t="str">
        <f t="shared" si="33"/>
        <v/>
      </c>
      <c r="CI11" s="7" t="str">
        <f t="shared" si="34"/>
        <v/>
      </c>
      <c r="CJ11" s="7" t="str">
        <f t="shared" si="35"/>
        <v/>
      </c>
      <c r="CK11" s="13" t="str">
        <f t="shared" si="36"/>
        <v/>
      </c>
      <c r="CL11" s="13" t="str">
        <f t="shared" si="37"/>
        <v/>
      </c>
      <c r="CM11" s="13" t="str">
        <f t="shared" si="38"/>
        <v/>
      </c>
      <c r="CN11" s="13" t="str">
        <f t="shared" si="39"/>
        <v/>
      </c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7" t="str">
        <f t="shared" si="40"/>
        <v/>
      </c>
      <c r="DE11" s="7" t="str">
        <f t="shared" si="41"/>
        <v/>
      </c>
      <c r="DF11" s="7" t="str">
        <f t="shared" si="42"/>
        <v/>
      </c>
      <c r="DG11" s="7" t="str">
        <f t="shared" si="43"/>
        <v/>
      </c>
      <c r="DH11" s="7" t="str">
        <f t="shared" si="44"/>
        <v/>
      </c>
      <c r="DI11" s="7" t="str">
        <f t="shared" si="45"/>
        <v/>
      </c>
      <c r="DJ11" s="7" t="str">
        <f t="shared" si="46"/>
        <v/>
      </c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  <c r="DZ11" s="9" t="str">
        <f t="shared" si="47"/>
        <v/>
      </c>
      <c r="EA11" s="9" t="str">
        <f t="shared" si="48"/>
        <v/>
      </c>
      <c r="EB11" s="9" t="str">
        <f t="shared" si="49"/>
        <v/>
      </c>
      <c r="EC11" s="9" t="str">
        <f t="shared" si="50"/>
        <v/>
      </c>
      <c r="ED11" s="9" t="str">
        <f t="shared" si="51"/>
        <v/>
      </c>
      <c r="EE11" s="9" t="str">
        <f t="shared" si="52"/>
        <v/>
      </c>
      <c r="EF11" s="9" t="str">
        <f t="shared" si="53"/>
        <v/>
      </c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7" t="str">
        <f t="shared" si="54"/>
        <v/>
      </c>
      <c r="EW11" s="7" t="str">
        <f t="shared" si="55"/>
        <v/>
      </c>
      <c r="EX11" s="7" t="str">
        <f t="shared" si="56"/>
        <v/>
      </c>
      <c r="EY11" s="7" t="str">
        <f t="shared" si="57"/>
        <v/>
      </c>
      <c r="EZ11" s="7" t="str">
        <f t="shared" si="58"/>
        <v/>
      </c>
      <c r="FA11" s="7" t="str">
        <f t="shared" si="59"/>
        <v/>
      </c>
      <c r="FB11" s="7" t="str">
        <f t="shared" si="60"/>
        <v/>
      </c>
      <c r="FC11" s="19"/>
      <c r="FD11" s="19"/>
      <c r="FE11" s="19"/>
      <c r="FF11" s="19"/>
      <c r="FG11" s="19"/>
      <c r="FH11" s="19"/>
      <c r="FI11" s="19"/>
      <c r="FJ11" s="19"/>
      <c r="FK11" s="19"/>
      <c r="FL11" s="19"/>
      <c r="FM11" s="19"/>
      <c r="FN11" s="19"/>
      <c r="FO11" s="19"/>
      <c r="FP11" s="19"/>
      <c r="FQ11" s="19"/>
      <c r="FR11" s="9" t="str">
        <f t="shared" si="61"/>
        <v/>
      </c>
      <c r="FS11" s="9" t="str">
        <f t="shared" si="62"/>
        <v/>
      </c>
      <c r="FT11" s="9" t="str">
        <f t="shared" si="63"/>
        <v/>
      </c>
      <c r="FU11" s="9" t="str">
        <f t="shared" si="64"/>
        <v/>
      </c>
      <c r="FV11" s="9" t="str">
        <f t="shared" si="65"/>
        <v/>
      </c>
      <c r="FW11" s="9" t="str">
        <f t="shared" si="66"/>
        <v/>
      </c>
      <c r="FX11" s="9" t="str">
        <f t="shared" si="67"/>
        <v/>
      </c>
      <c r="FY11" s="18"/>
      <c r="FZ11" s="18"/>
      <c r="GA11" s="18"/>
      <c r="GB11" s="18"/>
      <c r="GC11" s="18"/>
      <c r="GD11" s="18"/>
      <c r="GE11" s="18"/>
      <c r="GF11" s="18"/>
      <c r="GG11" s="18"/>
      <c r="GH11" s="18"/>
      <c r="GI11" s="18"/>
      <c r="GJ11" s="18"/>
      <c r="GK11" s="18"/>
      <c r="GL11" s="18"/>
      <c r="GM11" s="18"/>
      <c r="GN11" s="7" t="str">
        <f t="shared" si="68"/>
        <v/>
      </c>
      <c r="GO11" s="7" t="str">
        <f t="shared" si="69"/>
        <v/>
      </c>
      <c r="GP11" s="7" t="str">
        <f t="shared" si="70"/>
        <v/>
      </c>
      <c r="GQ11" s="7" t="str">
        <f t="shared" si="71"/>
        <v/>
      </c>
      <c r="GR11" s="7" t="str">
        <f t="shared" si="72"/>
        <v/>
      </c>
      <c r="GS11" s="7" t="str">
        <f t="shared" si="73"/>
        <v/>
      </c>
      <c r="GT11" s="7" t="str">
        <f t="shared" si="74"/>
        <v/>
      </c>
      <c r="GU11" s="19"/>
      <c r="GV11" s="19"/>
      <c r="GW11" s="19"/>
      <c r="GX11" s="19"/>
      <c r="GY11" s="19"/>
      <c r="GZ11" s="19"/>
      <c r="HA11" s="19"/>
      <c r="HB11" s="19"/>
      <c r="HC11" s="19"/>
      <c r="HD11" s="19"/>
      <c r="HE11" s="19"/>
      <c r="HF11" s="19"/>
      <c r="HG11" s="19"/>
      <c r="HH11" s="19"/>
      <c r="HI11" s="19"/>
      <c r="HJ11" s="9" t="str">
        <f t="shared" si="75"/>
        <v/>
      </c>
      <c r="HK11" s="9" t="str">
        <f t="shared" si="76"/>
        <v/>
      </c>
      <c r="HL11" s="9" t="str">
        <f t="shared" si="77"/>
        <v/>
      </c>
      <c r="HM11" s="9" t="str">
        <f t="shared" si="78"/>
        <v/>
      </c>
      <c r="HN11" s="9" t="str">
        <f t="shared" si="79"/>
        <v/>
      </c>
      <c r="HO11" s="9" t="str">
        <f t="shared" si="80"/>
        <v/>
      </c>
      <c r="HP11" s="9" t="str">
        <f t="shared" si="81"/>
        <v/>
      </c>
      <c r="HQ11" s="18"/>
      <c r="HR11" s="18"/>
      <c r="HS11" s="18"/>
      <c r="HT11" s="18"/>
      <c r="HU11" s="18"/>
      <c r="HV11" s="18"/>
      <c r="HW11" s="18"/>
      <c r="HX11" s="18"/>
      <c r="HY11" s="18"/>
      <c r="HZ11" s="18"/>
      <c r="IA11" s="18"/>
      <c r="IB11" s="18"/>
      <c r="IC11" s="18"/>
      <c r="ID11" s="18"/>
      <c r="IE11" s="18"/>
      <c r="IF11" s="7" t="str">
        <f t="shared" si="82"/>
        <v/>
      </c>
      <c r="IG11" s="7" t="str">
        <f t="shared" si="83"/>
        <v/>
      </c>
      <c r="IH11" s="7" t="str">
        <f t="shared" si="84"/>
        <v/>
      </c>
      <c r="II11" s="7" t="str">
        <f t="shared" si="85"/>
        <v/>
      </c>
      <c r="IJ11" s="7" t="str">
        <f t="shared" si="86"/>
        <v/>
      </c>
      <c r="IK11" s="7" t="str">
        <f t="shared" si="87"/>
        <v/>
      </c>
      <c r="IL11" s="7" t="str">
        <f t="shared" si="88"/>
        <v/>
      </c>
      <c r="IM11" s="19"/>
      <c r="IN11" s="19"/>
      <c r="IO11" s="19"/>
      <c r="IP11" s="19"/>
      <c r="IQ11" s="19"/>
      <c r="IR11" s="19"/>
      <c r="IS11" s="19"/>
      <c r="IT11" s="19"/>
      <c r="IU11" s="19"/>
      <c r="IV11" s="19"/>
      <c r="IW11" s="19"/>
      <c r="IX11" s="19"/>
      <c r="IY11" s="19"/>
      <c r="IZ11" s="19"/>
      <c r="JA11" s="19"/>
      <c r="JB11" s="9" t="str">
        <f t="shared" si="89"/>
        <v/>
      </c>
      <c r="JC11" s="9" t="str">
        <f t="shared" si="90"/>
        <v/>
      </c>
      <c r="JD11" s="9" t="str">
        <f t="shared" si="91"/>
        <v/>
      </c>
      <c r="JE11" s="9" t="str">
        <f t="shared" si="92"/>
        <v/>
      </c>
      <c r="JF11" s="9" t="str">
        <f t="shared" si="93"/>
        <v/>
      </c>
      <c r="JG11" s="9" t="str">
        <f t="shared" si="94"/>
        <v/>
      </c>
      <c r="JH11" s="9" t="str">
        <f t="shared" si="95"/>
        <v/>
      </c>
      <c r="JI11" s="18"/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7" t="str">
        <f t="shared" si="96"/>
        <v/>
      </c>
      <c r="JY11" s="7" t="str">
        <f t="shared" si="97"/>
        <v/>
      </c>
      <c r="JZ11" s="7" t="str">
        <f t="shared" si="98"/>
        <v/>
      </c>
      <c r="KA11" s="7" t="str">
        <f t="shared" si="99"/>
        <v/>
      </c>
      <c r="KB11" s="7" t="str">
        <f t="shared" si="100"/>
        <v/>
      </c>
      <c r="KC11" s="7" t="str">
        <f t="shared" si="101"/>
        <v/>
      </c>
      <c r="KD11" s="7" t="str">
        <f t="shared" si="102"/>
        <v/>
      </c>
      <c r="KE11" s="19"/>
      <c r="KF11" s="19"/>
      <c r="KG11" s="19"/>
      <c r="KH11" s="19"/>
      <c r="KI11" s="19"/>
      <c r="KJ11" s="19"/>
      <c r="KK11" s="19"/>
      <c r="KL11" s="19"/>
      <c r="KM11" s="19"/>
      <c r="KN11" s="19"/>
      <c r="KO11" s="19"/>
      <c r="KP11" s="19"/>
      <c r="KQ11" s="19"/>
      <c r="KR11" s="19"/>
      <c r="KS11" s="19"/>
      <c r="KT11" s="9" t="str">
        <f t="shared" si="103"/>
        <v/>
      </c>
      <c r="KU11" s="9" t="str">
        <f t="shared" si="104"/>
        <v/>
      </c>
      <c r="KV11" s="9" t="str">
        <f t="shared" si="105"/>
        <v/>
      </c>
      <c r="KW11" s="9" t="str">
        <f t="shared" si="106"/>
        <v/>
      </c>
      <c r="KX11" s="9" t="str">
        <f t="shared" si="107"/>
        <v/>
      </c>
      <c r="KY11" s="9" t="str">
        <f t="shared" si="108"/>
        <v/>
      </c>
      <c r="KZ11" s="9" t="str">
        <f t="shared" si="109"/>
        <v/>
      </c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7" t="str">
        <f t="shared" si="110"/>
        <v/>
      </c>
      <c r="LQ11" s="7" t="str">
        <f t="shared" si="111"/>
        <v/>
      </c>
      <c r="LR11" s="7" t="str">
        <f t="shared" si="112"/>
        <v/>
      </c>
      <c r="LS11" s="7" t="str">
        <f t="shared" si="113"/>
        <v/>
      </c>
      <c r="LT11" s="7" t="str">
        <f t="shared" si="114"/>
        <v/>
      </c>
      <c r="LU11" s="7" t="str">
        <f t="shared" si="115"/>
        <v/>
      </c>
      <c r="LV11" s="7" t="str">
        <f t="shared" si="116"/>
        <v/>
      </c>
      <c r="LW11" s="19"/>
      <c r="LX11" s="19"/>
      <c r="LY11" s="19"/>
      <c r="LZ11" s="19"/>
      <c r="MA11" s="19"/>
      <c r="MB11" s="19"/>
      <c r="MC11" s="19"/>
      <c r="MD11" s="19"/>
      <c r="ME11" s="19"/>
      <c r="MF11" s="19"/>
      <c r="MG11" s="19"/>
      <c r="MH11" s="19"/>
      <c r="MI11" s="19"/>
      <c r="MJ11" s="19"/>
      <c r="MK11" s="19"/>
      <c r="ML11" s="9" t="str">
        <f t="shared" si="117"/>
        <v/>
      </c>
      <c r="MM11" s="9" t="str">
        <f t="shared" si="118"/>
        <v/>
      </c>
      <c r="MN11" s="9" t="str">
        <f t="shared" si="119"/>
        <v/>
      </c>
      <c r="MO11" s="9" t="str">
        <f t="shared" si="120"/>
        <v/>
      </c>
      <c r="MP11" s="9" t="str">
        <f t="shared" si="121"/>
        <v/>
      </c>
      <c r="MQ11" s="9" t="str">
        <f t="shared" si="122"/>
        <v/>
      </c>
      <c r="MR11" s="9" t="str">
        <f t="shared" si="123"/>
        <v/>
      </c>
      <c r="MS11" s="27">
        <f t="shared" si="124"/>
        <v>8.4</v>
      </c>
      <c r="MT11" s="27">
        <f t="shared" si="124"/>
        <v>4.6500000000000004</v>
      </c>
      <c r="MU11" s="27">
        <f t="shared" si="124"/>
        <v>0</v>
      </c>
      <c r="MV11" s="27">
        <f t="shared" si="124"/>
        <v>7.1849999999999996</v>
      </c>
      <c r="MW11" s="27">
        <f t="shared" si="124"/>
        <v>0</v>
      </c>
      <c r="MX11" s="27">
        <f t="shared" si="124"/>
        <v>6.65</v>
      </c>
      <c r="MY11" s="27">
        <f t="shared" si="124"/>
        <v>4.5999999999999996</v>
      </c>
      <c r="MZ11" s="27">
        <f t="shared" si="124"/>
        <v>4.5999999999999996</v>
      </c>
      <c r="NA11" s="27">
        <f t="shared" si="124"/>
        <v>7.22</v>
      </c>
      <c r="NB11" s="27">
        <f t="shared" si="124"/>
        <v>0</v>
      </c>
      <c r="NC11" s="27">
        <f>IF($CC11="P",BX11,(BX11+BA11)/2)</f>
        <v>7.45</v>
      </c>
      <c r="ND11" s="27">
        <f>IF($CC11="P",BY11,(BY11+BB11)/2)</f>
        <v>4.5999999999999996</v>
      </c>
      <c r="NE11" s="27">
        <f>IF($CC11="P",BZ11,(BZ11+BC11)/2)</f>
        <v>4.5999999999999996</v>
      </c>
      <c r="NF11" s="27">
        <f>IF($CC11="P",CA11,(CA11+BD11)/2)</f>
        <v>7.1849999999999996</v>
      </c>
      <c r="NG11" s="27">
        <f>IF($CC11="P",CB11,(CB11+BE11)/2)</f>
        <v>0</v>
      </c>
      <c r="NH11" s="32" t="s">
        <v>44</v>
      </c>
      <c r="NI11" s="7">
        <f>IF(SUM(MS11:MV11)-MW11&gt;0,SUM(MS11:MV11)-MW11,"")</f>
        <v>20.234999999999999</v>
      </c>
      <c r="NJ11" s="7">
        <f>IF(MZ11&gt;0,MZ11,"")</f>
        <v>4.5999999999999996</v>
      </c>
      <c r="NK11" s="7">
        <f>IF(SUM(MX11:NA11)-NB11&gt;0,SUM(MX11:NA11)-NB11,"")</f>
        <v>23.07</v>
      </c>
      <c r="NL11" s="7">
        <f t="shared" si="127"/>
        <v>43.305</v>
      </c>
      <c r="NM11" s="7">
        <f t="shared" si="125"/>
        <v>4.5999999999999996</v>
      </c>
      <c r="NN11" s="7">
        <f>IF(SUM(NC11:NF11)-NG11&gt;0,SUM(NC11:NF11)-NG11,"")</f>
        <v>23.834999999999997</v>
      </c>
      <c r="NO11" s="7">
        <f t="shared" ref="NO11" si="131">IF(SUM(NL11,NN11)&gt;0,SUM(NL11,NN11),"")</f>
        <v>67.14</v>
      </c>
    </row>
    <row r="12" spans="1:379" x14ac:dyDescent="0.2">
      <c r="B12" s="5"/>
      <c r="D12" s="1"/>
    </row>
    <row r="14" spans="1:379" x14ac:dyDescent="0.2">
      <c r="B14" s="28" t="s">
        <v>42</v>
      </c>
      <c r="C14" s="5"/>
      <c r="AK14" s="46"/>
      <c r="AL14" s="46"/>
      <c r="AN14" s="2"/>
      <c r="AP14" s="24">
        <v>11.6</v>
      </c>
      <c r="BH14" s="46"/>
      <c r="BI14" s="46"/>
      <c r="BK14" s="2"/>
      <c r="BM14" s="24">
        <v>11.6</v>
      </c>
      <c r="CE14" s="46"/>
      <c r="CF14" s="46"/>
      <c r="CH14" s="2"/>
      <c r="CJ14" s="24">
        <v>11.6</v>
      </c>
      <c r="DD14" s="5"/>
      <c r="DH14" s="2"/>
      <c r="DJ14" s="24">
        <v>11.6</v>
      </c>
      <c r="DZ14" s="5"/>
      <c r="ED14" s="2"/>
      <c r="EF14" s="24">
        <v>11.6</v>
      </c>
      <c r="EV14" s="5"/>
      <c r="EZ14" s="2"/>
      <c r="FB14" s="24">
        <v>11.6</v>
      </c>
      <c r="FR14" s="5"/>
      <c r="FV14" s="2"/>
      <c r="FX14" s="24">
        <v>11.6</v>
      </c>
      <c r="GN14" s="5"/>
      <c r="GR14" s="2"/>
      <c r="GT14" s="24">
        <v>11.6</v>
      </c>
      <c r="HJ14" s="5"/>
      <c r="HN14" s="2"/>
      <c r="HP14" s="24">
        <v>11.6</v>
      </c>
      <c r="IF14" s="5"/>
      <c r="IJ14" s="2"/>
      <c r="IL14" s="24">
        <v>11.6</v>
      </c>
      <c r="JB14" s="5"/>
      <c r="JF14" s="2"/>
      <c r="JH14" s="24">
        <v>11.6</v>
      </c>
      <c r="JX14" s="5"/>
      <c r="KB14" s="2"/>
      <c r="KD14" s="24">
        <v>11.6</v>
      </c>
      <c r="KT14" s="5"/>
      <c r="KX14" s="2"/>
      <c r="KZ14" s="24">
        <v>11.6</v>
      </c>
      <c r="LP14" s="5"/>
      <c r="LT14" s="2"/>
      <c r="LV14" s="24">
        <v>11.6</v>
      </c>
      <c r="ML14" s="5"/>
      <c r="MP14" s="2"/>
      <c r="MR14" s="24">
        <v>11.6</v>
      </c>
    </row>
    <row r="15" spans="1:379" hidden="1" x14ac:dyDescent="0.2">
      <c r="B15" s="35" t="s">
        <v>41</v>
      </c>
      <c r="C15" s="5"/>
      <c r="AK15" s="46"/>
      <c r="AL15" s="46"/>
      <c r="AN15" s="2"/>
      <c r="AP15" s="37">
        <v>1000</v>
      </c>
      <c r="BH15" s="46"/>
      <c r="BI15" s="46"/>
      <c r="BK15" s="2"/>
      <c r="BM15" s="37">
        <v>1000</v>
      </c>
      <c r="CE15" s="46"/>
      <c r="CF15" s="46"/>
      <c r="CH15" s="2"/>
      <c r="CJ15" s="37">
        <v>1000</v>
      </c>
      <c r="DD15" s="5"/>
      <c r="DH15" s="2"/>
      <c r="DJ15" s="37">
        <v>1000</v>
      </c>
      <c r="DZ15" s="5"/>
      <c r="ED15" s="2"/>
      <c r="EF15" s="37">
        <v>1000</v>
      </c>
      <c r="EV15" s="5"/>
      <c r="EZ15" s="2"/>
      <c r="FB15" s="37">
        <v>1000</v>
      </c>
      <c r="FR15" s="5"/>
      <c r="FV15" s="2"/>
      <c r="FX15" s="37">
        <v>1000</v>
      </c>
      <c r="GN15" s="5"/>
      <c r="GR15" s="2"/>
      <c r="GT15" s="37">
        <v>1000</v>
      </c>
      <c r="HJ15" s="5"/>
      <c r="HN15" s="2"/>
      <c r="HP15" s="37">
        <v>1000</v>
      </c>
      <c r="IF15" s="5"/>
      <c r="IJ15" s="2"/>
      <c r="IL15" s="37">
        <v>1000</v>
      </c>
      <c r="JB15" s="5"/>
      <c r="JF15" s="2"/>
      <c r="JH15" s="37">
        <v>1000</v>
      </c>
      <c r="JX15" s="5"/>
      <c r="KB15" s="2"/>
      <c r="KD15" s="37">
        <v>1000</v>
      </c>
      <c r="KT15" s="5"/>
      <c r="KX15" s="2"/>
      <c r="KZ15" s="37">
        <v>1000</v>
      </c>
      <c r="LP15" s="5"/>
      <c r="LT15" s="2"/>
      <c r="LV15" s="37">
        <v>1000</v>
      </c>
      <c r="ML15" s="5"/>
      <c r="MP15" s="2"/>
      <c r="MR15" s="37">
        <v>1000</v>
      </c>
    </row>
    <row r="16" spans="1:379" hidden="1" x14ac:dyDescent="0.2">
      <c r="A16" s="5"/>
      <c r="B16" s="36" t="s">
        <v>54</v>
      </c>
      <c r="C16" s="5"/>
      <c r="AK16" s="46"/>
      <c r="AL16" s="46"/>
      <c r="AM16" s="2"/>
      <c r="AN16" s="2"/>
      <c r="AO16" s="2"/>
      <c r="AP16" s="38">
        <v>1000</v>
      </c>
      <c r="BH16" s="46"/>
      <c r="BI16" s="46"/>
      <c r="BK16" s="2"/>
      <c r="BM16" s="38">
        <v>1000</v>
      </c>
      <c r="CE16" s="46"/>
      <c r="CF16" s="46"/>
      <c r="CG16" s="2"/>
      <c r="CH16" s="2"/>
      <c r="CI16" s="2"/>
      <c r="CJ16" s="38">
        <v>1000</v>
      </c>
      <c r="DD16" s="5"/>
      <c r="DH16" s="2"/>
      <c r="DJ16" s="38">
        <v>1000</v>
      </c>
      <c r="DZ16" s="5"/>
      <c r="ED16" s="2"/>
      <c r="EF16" s="38">
        <v>1000</v>
      </c>
      <c r="EV16" s="5"/>
      <c r="EZ16" s="2"/>
      <c r="FB16" s="38">
        <v>1000</v>
      </c>
      <c r="FR16" s="5"/>
      <c r="FV16" s="2"/>
      <c r="FX16" s="38">
        <v>1000</v>
      </c>
      <c r="GN16" s="5"/>
      <c r="GR16" s="2"/>
      <c r="GT16" s="38">
        <v>1000</v>
      </c>
      <c r="HJ16" s="5"/>
      <c r="HN16" s="2"/>
      <c r="HP16" s="38">
        <v>1000</v>
      </c>
      <c r="IF16" s="5"/>
      <c r="IJ16" s="2"/>
      <c r="IL16" s="38">
        <v>1000</v>
      </c>
      <c r="JB16" s="5"/>
      <c r="JF16" s="2"/>
      <c r="JH16" s="38">
        <v>1000</v>
      </c>
      <c r="JX16" s="5"/>
      <c r="KB16" s="2"/>
      <c r="KD16" s="38">
        <v>1000</v>
      </c>
      <c r="KT16" s="5"/>
      <c r="KX16" s="2"/>
      <c r="KZ16" s="38">
        <v>1000</v>
      </c>
      <c r="LP16" s="5"/>
      <c r="LT16" s="2"/>
      <c r="LV16" s="38">
        <v>1000</v>
      </c>
      <c r="ML16" s="5"/>
      <c r="MP16" s="2"/>
      <c r="MR16" s="38">
        <v>1000</v>
      </c>
    </row>
    <row r="17" spans="1:356" hidden="1" x14ac:dyDescent="0.2">
      <c r="A17" s="5"/>
      <c r="B17" s="44" t="s">
        <v>59</v>
      </c>
      <c r="C17" s="5"/>
      <c r="AK17" s="46"/>
      <c r="AL17" s="46"/>
      <c r="AM17" s="2"/>
      <c r="AN17" s="2"/>
      <c r="AO17" s="2"/>
      <c r="AP17" s="45">
        <v>1000</v>
      </c>
      <c r="BH17" s="46"/>
      <c r="BI17" s="46"/>
      <c r="BK17" s="2"/>
      <c r="BM17" s="45">
        <v>1000</v>
      </c>
      <c r="CE17" s="46"/>
      <c r="CF17" s="46"/>
      <c r="CG17" s="2"/>
      <c r="CH17" s="2"/>
      <c r="CI17" s="2"/>
      <c r="CJ17" s="45">
        <v>1000</v>
      </c>
      <c r="DD17" s="5"/>
      <c r="DH17" s="2"/>
      <c r="DJ17" s="45">
        <v>1000</v>
      </c>
      <c r="DZ17" s="5"/>
      <c r="ED17" s="2"/>
      <c r="EF17" s="45">
        <v>1000</v>
      </c>
      <c r="EV17" s="5"/>
      <c r="EZ17" s="2"/>
      <c r="FB17" s="45">
        <v>1000</v>
      </c>
      <c r="FR17" s="5"/>
      <c r="FV17" s="2"/>
      <c r="FX17" s="45">
        <v>1000</v>
      </c>
      <c r="GN17" s="5"/>
      <c r="GR17" s="2"/>
      <c r="GT17" s="45">
        <v>1000</v>
      </c>
      <c r="HJ17" s="5"/>
      <c r="HN17" s="2"/>
      <c r="HP17" s="45">
        <v>1000</v>
      </c>
      <c r="IF17" s="5"/>
      <c r="IJ17" s="2"/>
      <c r="IL17" s="45">
        <v>1000</v>
      </c>
      <c r="JB17" s="5"/>
      <c r="JF17" s="2"/>
      <c r="JH17" s="45">
        <v>1000</v>
      </c>
      <c r="JX17" s="5"/>
      <c r="KB17" s="2"/>
      <c r="KD17" s="45">
        <v>1000</v>
      </c>
      <c r="KT17" s="5"/>
      <c r="KX17" s="2"/>
      <c r="KZ17" s="45">
        <v>1000</v>
      </c>
      <c r="LP17" s="5"/>
      <c r="LT17" s="2"/>
      <c r="LV17" s="45">
        <v>1000</v>
      </c>
      <c r="ML17" s="5"/>
      <c r="MP17" s="2"/>
      <c r="MR17" s="45">
        <v>1000</v>
      </c>
    </row>
    <row r="18" spans="1:356" x14ac:dyDescent="0.2">
      <c r="A18" s="5"/>
      <c r="B18" s="42" t="s">
        <v>39</v>
      </c>
      <c r="C18" s="5"/>
      <c r="M18" s="2"/>
      <c r="AK18" s="46"/>
      <c r="AL18" s="46"/>
      <c r="AM18" s="2"/>
      <c r="AN18" s="2"/>
      <c r="AO18" s="2"/>
      <c r="AP18" s="43">
        <v>92</v>
      </c>
      <c r="BH18" s="46"/>
      <c r="BI18" s="46"/>
      <c r="BK18" s="2"/>
      <c r="BM18" s="43">
        <v>92</v>
      </c>
      <c r="CE18" s="46"/>
      <c r="CF18" s="46"/>
      <c r="CG18" s="2"/>
      <c r="CH18" s="2"/>
      <c r="CI18" s="2"/>
      <c r="CJ18" s="43">
        <v>92</v>
      </c>
      <c r="DD18" s="5"/>
      <c r="DH18" s="2"/>
      <c r="DJ18" s="43">
        <v>92</v>
      </c>
      <c r="DZ18" s="5"/>
      <c r="ED18" s="2"/>
      <c r="EF18" s="43">
        <v>92</v>
      </c>
      <c r="EV18" s="5"/>
      <c r="EZ18" s="2"/>
      <c r="FB18" s="43">
        <v>92</v>
      </c>
      <c r="FR18" s="5"/>
      <c r="FV18" s="2"/>
      <c r="FX18" s="43">
        <v>92</v>
      </c>
      <c r="GN18" s="5"/>
      <c r="GR18" s="2"/>
      <c r="GT18" s="43">
        <v>92</v>
      </c>
      <c r="HJ18" s="5"/>
      <c r="HN18" s="2"/>
      <c r="HP18" s="43">
        <v>92</v>
      </c>
      <c r="IF18" s="5"/>
      <c r="IJ18" s="2"/>
      <c r="IL18" s="43">
        <v>92</v>
      </c>
      <c r="JB18" s="5"/>
      <c r="JF18" s="2"/>
      <c r="JH18" s="43">
        <v>92</v>
      </c>
      <c r="JX18" s="5"/>
      <c r="KB18" s="2"/>
      <c r="KD18" s="43">
        <v>92</v>
      </c>
      <c r="KT18" s="5"/>
      <c r="KX18" s="2"/>
      <c r="KZ18" s="43">
        <v>92</v>
      </c>
      <c r="LP18" s="5"/>
      <c r="LT18" s="2"/>
      <c r="LV18" s="43">
        <v>92</v>
      </c>
      <c r="ML18" s="5"/>
      <c r="MP18" s="2"/>
      <c r="MR18" s="43">
        <v>92</v>
      </c>
    </row>
    <row r="19" spans="1:356" hidden="1" x14ac:dyDescent="0.2">
      <c r="A19" s="5"/>
      <c r="B19" s="29" t="s">
        <v>40</v>
      </c>
      <c r="C19" s="5"/>
      <c r="M19" s="2"/>
      <c r="AK19" s="46"/>
      <c r="AL19" s="46"/>
      <c r="AM19" s="2"/>
      <c r="AN19" s="2"/>
      <c r="AO19" s="2"/>
      <c r="AP19" s="25">
        <v>1000</v>
      </c>
      <c r="BH19" s="46"/>
      <c r="BI19" s="46"/>
      <c r="BK19" s="2"/>
      <c r="BM19" s="25">
        <v>1000</v>
      </c>
      <c r="CE19" s="46"/>
      <c r="CF19" s="46"/>
      <c r="CG19" s="2"/>
      <c r="CH19" s="2"/>
      <c r="CI19" s="2"/>
      <c r="CJ19" s="25">
        <v>1000</v>
      </c>
      <c r="DD19" s="5"/>
      <c r="DH19" s="2"/>
      <c r="DJ19" s="25">
        <v>1000</v>
      </c>
      <c r="DZ19" s="5"/>
      <c r="ED19" s="2"/>
      <c r="EF19" s="25">
        <v>1000</v>
      </c>
      <c r="EV19" s="5"/>
      <c r="EZ19" s="2"/>
      <c r="FB19" s="25">
        <v>1000</v>
      </c>
      <c r="FR19" s="5"/>
      <c r="FV19" s="2"/>
      <c r="FX19" s="25">
        <v>1000</v>
      </c>
      <c r="GN19" s="5"/>
      <c r="GR19" s="2"/>
      <c r="GT19" s="25">
        <v>1000</v>
      </c>
      <c r="HJ19" s="5"/>
      <c r="HN19" s="2"/>
      <c r="HP19" s="25">
        <v>1000</v>
      </c>
      <c r="IF19" s="5"/>
      <c r="IJ19" s="2"/>
      <c r="IL19" s="25">
        <v>1000</v>
      </c>
      <c r="JB19" s="5"/>
      <c r="JF19" s="2"/>
      <c r="JH19" s="25">
        <v>1000</v>
      </c>
      <c r="JX19" s="5"/>
      <c r="KB19" s="2"/>
      <c r="KD19" s="25">
        <v>1000</v>
      </c>
      <c r="KT19" s="5"/>
      <c r="KX19" s="2"/>
      <c r="KZ19" s="25">
        <v>1000</v>
      </c>
      <c r="LP19" s="5"/>
      <c r="LT19" s="2"/>
      <c r="LV19" s="25">
        <v>1000</v>
      </c>
      <c r="ML19" s="5"/>
      <c r="MP19" s="2"/>
      <c r="MR19" s="25">
        <v>1000</v>
      </c>
    </row>
    <row r="20" spans="1:356" hidden="1" x14ac:dyDescent="0.2">
      <c r="A20" s="5"/>
      <c r="B20" s="40" t="s">
        <v>53</v>
      </c>
      <c r="C20" s="5"/>
      <c r="AK20" s="46"/>
      <c r="AL20" s="46"/>
      <c r="AM20" s="2"/>
      <c r="AN20" s="2"/>
      <c r="AO20" s="49"/>
      <c r="AP20" s="41">
        <v>1000</v>
      </c>
      <c r="BH20" s="46"/>
      <c r="BI20" s="46"/>
      <c r="BK20" s="2"/>
      <c r="BL20" s="48"/>
      <c r="BM20" s="41">
        <v>1000</v>
      </c>
      <c r="CE20" s="46"/>
      <c r="CF20" s="46"/>
      <c r="CG20" s="2"/>
      <c r="CH20" s="2"/>
      <c r="CI20" s="2"/>
      <c r="CJ20" s="41">
        <v>1000</v>
      </c>
      <c r="DD20" s="5"/>
      <c r="DH20" s="2"/>
      <c r="DJ20" s="41">
        <v>1000</v>
      </c>
      <c r="DZ20" s="5"/>
      <c r="ED20" s="2"/>
      <c r="EF20" s="41">
        <v>1000</v>
      </c>
      <c r="EV20" s="5"/>
      <c r="EZ20" s="2"/>
      <c r="FB20" s="41">
        <v>1000</v>
      </c>
      <c r="FR20" s="5"/>
      <c r="FV20" s="2"/>
      <c r="FW20" s="48"/>
      <c r="FX20" s="41">
        <v>1000</v>
      </c>
      <c r="GN20" s="5"/>
      <c r="GR20" s="2"/>
      <c r="GS20" s="48"/>
      <c r="GT20" s="41">
        <v>1000</v>
      </c>
      <c r="HJ20" s="5"/>
      <c r="HN20" s="2"/>
      <c r="HP20" s="41">
        <v>1000</v>
      </c>
      <c r="IF20" s="5"/>
      <c r="IJ20" s="2"/>
      <c r="IL20" s="41">
        <v>1000</v>
      </c>
      <c r="JB20" s="5"/>
      <c r="JF20" s="2"/>
      <c r="JG20" s="50"/>
      <c r="JH20" s="41">
        <v>1000</v>
      </c>
      <c r="JX20" s="5"/>
      <c r="KB20" s="2"/>
      <c r="KD20" s="41">
        <v>1000</v>
      </c>
      <c r="KT20" s="5"/>
      <c r="KX20" s="2"/>
      <c r="KZ20" s="41">
        <v>1000</v>
      </c>
      <c r="LP20" s="5"/>
      <c r="LT20" s="2"/>
      <c r="LU20" s="50"/>
      <c r="LV20" s="41">
        <v>1000</v>
      </c>
      <c r="ML20" s="5"/>
      <c r="MP20" s="2"/>
      <c r="MR20" s="41">
        <v>1000</v>
      </c>
    </row>
    <row r="21" spans="1:356" hidden="1" x14ac:dyDescent="0.2">
      <c r="A21" s="5"/>
      <c r="B21" s="30" t="s">
        <v>26</v>
      </c>
      <c r="C21" s="5"/>
      <c r="M21" s="2"/>
      <c r="AK21" s="46"/>
      <c r="AL21" s="46"/>
      <c r="AM21" s="2"/>
      <c r="AN21" s="2"/>
      <c r="AO21" s="2"/>
      <c r="AP21" s="26">
        <v>1000</v>
      </c>
      <c r="BH21" s="46"/>
      <c r="BI21" s="46"/>
      <c r="BK21" s="2"/>
      <c r="BM21" s="26">
        <v>1000</v>
      </c>
      <c r="CE21" s="46"/>
      <c r="CF21" s="46"/>
      <c r="CG21" s="2"/>
      <c r="CH21" s="2"/>
      <c r="CI21" s="2"/>
      <c r="CJ21" s="26">
        <v>1000</v>
      </c>
      <c r="DD21" s="5"/>
      <c r="DH21" s="2"/>
      <c r="DJ21" s="26">
        <v>1000</v>
      </c>
      <c r="DZ21" s="5"/>
      <c r="ED21" s="2"/>
      <c r="EF21" s="26">
        <v>1000</v>
      </c>
      <c r="EV21" s="5"/>
      <c r="EZ21" s="2"/>
      <c r="FB21" s="26">
        <v>1000</v>
      </c>
      <c r="FR21" s="5"/>
      <c r="FV21" s="2"/>
      <c r="FW21" s="48"/>
      <c r="FX21" s="26">
        <v>1000</v>
      </c>
      <c r="GN21" s="5"/>
      <c r="GR21" s="2"/>
      <c r="GT21" s="26">
        <v>1000</v>
      </c>
      <c r="HJ21" s="5"/>
      <c r="HN21" s="2"/>
      <c r="HP21" s="26">
        <v>1000</v>
      </c>
      <c r="IF21" s="5"/>
      <c r="IJ21" s="2"/>
      <c r="IL21" s="26">
        <v>1000</v>
      </c>
      <c r="JB21" s="5"/>
      <c r="JF21" s="2"/>
      <c r="JH21" s="26">
        <v>1000</v>
      </c>
      <c r="JX21" s="5"/>
      <c r="KB21" s="2"/>
      <c r="KD21" s="26">
        <v>1000</v>
      </c>
      <c r="KT21" s="5"/>
      <c r="KX21" s="2"/>
      <c r="KZ21" s="26">
        <v>1000</v>
      </c>
      <c r="LP21" s="5"/>
      <c r="LT21" s="2"/>
      <c r="LV21" s="26">
        <v>1000</v>
      </c>
      <c r="ML21" s="5"/>
      <c r="MP21" s="2"/>
      <c r="MR21" s="26">
        <v>1000</v>
      </c>
    </row>
    <row r="22" spans="1:356" x14ac:dyDescent="0.2">
      <c r="B22" s="34" t="s">
        <v>45</v>
      </c>
      <c r="C22" s="2"/>
      <c r="AM22" s="2"/>
      <c r="AO22" s="2"/>
      <c r="CG22" s="2"/>
      <c r="CI22" s="2"/>
      <c r="EA22" s="2"/>
    </row>
    <row r="23" spans="1:356" x14ac:dyDescent="0.2">
      <c r="A23" s="5"/>
      <c r="B23" s="5"/>
      <c r="C23" s="22"/>
      <c r="AJ23" s="2"/>
      <c r="AK23" s="2"/>
      <c r="AL23" s="2"/>
      <c r="AM23" s="2"/>
      <c r="AO23" s="2"/>
      <c r="CD23" s="2"/>
      <c r="CE23" s="2"/>
      <c r="CF23" s="2"/>
      <c r="CG23" s="2"/>
      <c r="CI23" s="2"/>
    </row>
    <row r="24" spans="1:356" ht="17" x14ac:dyDescent="0.2">
      <c r="A24" s="5"/>
      <c r="B24" s="5"/>
      <c r="C24" s="22"/>
      <c r="Q24" s="11"/>
      <c r="R24" s="11"/>
      <c r="AJ24" s="2"/>
      <c r="AK24" s="2"/>
      <c r="AL24" s="2"/>
      <c r="AM24" s="2"/>
      <c r="AO24" s="2"/>
      <c r="CD24" s="2"/>
      <c r="CE24" s="2"/>
      <c r="CF24" s="2"/>
      <c r="CG24" s="2"/>
      <c r="CI24" s="2"/>
    </row>
    <row r="25" spans="1:356" ht="17" x14ac:dyDescent="0.2">
      <c r="A25" s="5"/>
      <c r="B25" s="5"/>
      <c r="C25" s="22"/>
      <c r="Q25" s="11"/>
      <c r="AJ25" s="2"/>
      <c r="AK25" s="2"/>
      <c r="AL25" s="2"/>
      <c r="AM25" s="2"/>
      <c r="AO25" s="2"/>
      <c r="CD25" s="2"/>
      <c r="CE25" s="2"/>
      <c r="CF25" s="2"/>
      <c r="CG25" s="2"/>
      <c r="CI25" s="2"/>
    </row>
    <row r="26" spans="1:356" ht="17" x14ac:dyDescent="0.2">
      <c r="Q26" s="11"/>
      <c r="R26" s="11"/>
      <c r="AJ26" s="2"/>
      <c r="AK26" s="2"/>
      <c r="AL26" s="2"/>
      <c r="AM26" s="2"/>
      <c r="AO26" s="2"/>
      <c r="CD26" s="2"/>
      <c r="CE26" s="2"/>
      <c r="CF26" s="2"/>
      <c r="CG26" s="2"/>
      <c r="CI26" s="2"/>
    </row>
    <row r="27" spans="1:356" ht="17" x14ac:dyDescent="0.2">
      <c r="Q27" s="11"/>
      <c r="R27" s="11"/>
      <c r="AJ27" s="2"/>
      <c r="AK27" s="2"/>
      <c r="AL27" s="2"/>
      <c r="AM27" s="2"/>
      <c r="AO27" s="2"/>
      <c r="CD27" s="2"/>
      <c r="CE27" s="2"/>
      <c r="CF27" s="2"/>
      <c r="CG27" s="2"/>
      <c r="CI27" s="2"/>
    </row>
    <row r="28" spans="1:356" ht="17" x14ac:dyDescent="0.2">
      <c r="Q28" s="11"/>
      <c r="R28" s="11"/>
      <c r="AJ28" s="2"/>
      <c r="AK28" s="2"/>
      <c r="AL28" s="2"/>
      <c r="AM28" s="2"/>
      <c r="AO28" s="2"/>
      <c r="CD28" s="2"/>
      <c r="CE28" s="2"/>
      <c r="CF28" s="2"/>
      <c r="CG28" s="2"/>
      <c r="CI28" s="2"/>
    </row>
    <row r="29" spans="1:356" ht="17" x14ac:dyDescent="0.2">
      <c r="Q29" s="11"/>
      <c r="R29" s="11"/>
      <c r="S29" s="11"/>
    </row>
    <row r="30" spans="1:356" ht="17" x14ac:dyDescent="0.2">
      <c r="Q30" s="11"/>
      <c r="R30" s="11"/>
      <c r="S30" s="11"/>
    </row>
    <row r="31" spans="1:356" ht="17" x14ac:dyDescent="0.2">
      <c r="Q31" s="11"/>
      <c r="R31" s="11"/>
      <c r="S31" s="11"/>
    </row>
    <row r="32" spans="1:356" ht="17" x14ac:dyDescent="0.2">
      <c r="Q32" s="11"/>
      <c r="R32" s="11"/>
      <c r="S32" s="11"/>
    </row>
    <row r="33" spans="17:19" ht="17" x14ac:dyDescent="0.2">
      <c r="Q33" s="11"/>
      <c r="R33" s="11"/>
      <c r="S33" s="11"/>
    </row>
    <row r="34" spans="17:19" ht="17" x14ac:dyDescent="0.2">
      <c r="Q34" s="11"/>
      <c r="R34" s="11"/>
      <c r="S34" s="11"/>
    </row>
    <row r="35" spans="17:19" ht="17" x14ac:dyDescent="0.2">
      <c r="Q35" s="11"/>
      <c r="R35" s="11"/>
      <c r="S35" s="11"/>
    </row>
    <row r="36" spans="17:19" ht="17" x14ac:dyDescent="0.2">
      <c r="Q36" s="11"/>
      <c r="R36" s="11"/>
      <c r="S36" s="11"/>
    </row>
    <row r="37" spans="17:19" ht="17" x14ac:dyDescent="0.2">
      <c r="Q37" s="11"/>
      <c r="R37" s="11"/>
      <c r="S37" s="11"/>
    </row>
    <row r="38" spans="17:19" ht="17" x14ac:dyDescent="0.2">
      <c r="Q38" s="11"/>
      <c r="R38" s="11"/>
      <c r="S38" s="11"/>
    </row>
    <row r="39" spans="17:19" ht="17" x14ac:dyDescent="0.2">
      <c r="Q39" s="11"/>
      <c r="R39" s="11"/>
      <c r="S39" s="11"/>
    </row>
    <row r="40" spans="17:19" ht="17" x14ac:dyDescent="0.2">
      <c r="Q40" s="11"/>
      <c r="R40" s="11"/>
      <c r="S40" s="11"/>
    </row>
    <row r="41" spans="17:19" ht="17" x14ac:dyDescent="0.2">
      <c r="Q41" s="11"/>
      <c r="R41" s="11"/>
      <c r="S41" s="11"/>
    </row>
    <row r="42" spans="17:19" ht="17" x14ac:dyDescent="0.2">
      <c r="Q42" s="11"/>
      <c r="R42" s="11"/>
      <c r="S42" s="11"/>
    </row>
    <row r="43" spans="17:19" ht="17" x14ac:dyDescent="0.2">
      <c r="Q43" s="11"/>
      <c r="R43" s="11"/>
      <c r="S43" s="11"/>
    </row>
  </sheetData>
  <sheetProtection sheet="1" formatCells="0" formatColumns="0" formatRows="0"/>
  <autoFilter ref="A1:NM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8" showButton="0"/>
    <filterColumn colId="89" showButton="0"/>
    <filterColumn colId="90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sortState xmlns:xlrd2="http://schemas.microsoft.com/office/spreadsheetml/2017/richdata2" ref="A6:NM11">
      <sortCondition descending="1" ref="F1:F12"/>
    </sortState>
  </autoFilter>
  <mergeCells count="84">
    <mergeCell ref="MS2:MW2"/>
    <mergeCell ref="MX2:NB2"/>
    <mergeCell ref="NC2:NG2"/>
    <mergeCell ref="LA2:LE2"/>
    <mergeCell ref="LF2:LJ2"/>
    <mergeCell ref="LK2:LO2"/>
    <mergeCell ref="LW2:MA2"/>
    <mergeCell ref="MB2:MF2"/>
    <mergeCell ref="MG2:MK2"/>
    <mergeCell ref="KO2:KS2"/>
    <mergeCell ref="HQ2:HU2"/>
    <mergeCell ref="HV2:HZ2"/>
    <mergeCell ref="IA2:IE2"/>
    <mergeCell ref="IM2:IQ2"/>
    <mergeCell ref="IR2:IV2"/>
    <mergeCell ref="IW2:JA2"/>
    <mergeCell ref="JI2:JM2"/>
    <mergeCell ref="JN2:JR2"/>
    <mergeCell ref="JS2:JW2"/>
    <mergeCell ref="KE2:KI2"/>
    <mergeCell ref="KJ2:KN2"/>
    <mergeCell ref="DK1:EF1"/>
    <mergeCell ref="EG1:FB1"/>
    <mergeCell ref="GD2:GH2"/>
    <mergeCell ref="GI2:GM2"/>
    <mergeCell ref="GU2:GY2"/>
    <mergeCell ref="DU2:DY2"/>
    <mergeCell ref="FM2:FQ2"/>
    <mergeCell ref="FY2:GC2"/>
    <mergeCell ref="HE2:HI2"/>
    <mergeCell ref="EG2:EK2"/>
    <mergeCell ref="EL2:EP2"/>
    <mergeCell ref="EQ2:EU2"/>
    <mergeCell ref="FC2:FG2"/>
    <mergeCell ref="FH2:FL2"/>
    <mergeCell ref="GZ2:HD2"/>
    <mergeCell ref="CO2:CS2"/>
    <mergeCell ref="CT2:CX2"/>
    <mergeCell ref="CY2:DC2"/>
    <mergeCell ref="DK2:DO2"/>
    <mergeCell ref="DP2:DT2"/>
    <mergeCell ref="FC1:FX1"/>
    <mergeCell ref="FY1:GT1"/>
    <mergeCell ref="MS1:NM1"/>
    <mergeCell ref="KE1:KZ1"/>
    <mergeCell ref="LA1:LV1"/>
    <mergeCell ref="LW1:MR1"/>
    <mergeCell ref="GU1:HP1"/>
    <mergeCell ref="HQ1:IL1"/>
    <mergeCell ref="IM1:JH1"/>
    <mergeCell ref="JI1:KD1"/>
    <mergeCell ref="R1:R3"/>
    <mergeCell ref="S1:S3"/>
    <mergeCell ref="T1:AP1"/>
    <mergeCell ref="AQ1:BM1"/>
    <mergeCell ref="BN1:CJ1"/>
    <mergeCell ref="T2:X2"/>
    <mergeCell ref="Y2:AC2"/>
    <mergeCell ref="AD2:AH2"/>
    <mergeCell ref="AQ2:AU2"/>
    <mergeCell ref="AV2:AZ2"/>
    <mergeCell ref="BA2:BE2"/>
    <mergeCell ref="BN2:BR2"/>
    <mergeCell ref="M1:M3"/>
    <mergeCell ref="N1:N3"/>
    <mergeCell ref="O1:O3"/>
    <mergeCell ref="P1:P3"/>
    <mergeCell ref="Q1:Q3"/>
    <mergeCell ref="CO1:DJ1"/>
    <mergeCell ref="K1:K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F1:F3"/>
    <mergeCell ref="CK1:CN1"/>
    <mergeCell ref="BS2:BW2"/>
    <mergeCell ref="BX2:CB2"/>
    <mergeCell ref="L1:L3"/>
  </mergeCells>
  <conditionalFormatting sqref="H4:H1048576">
    <cfRule type="containsText" dxfId="189" priority="17" operator="containsText" text="No DD">
      <formula>NOT(ISERROR(SEARCH("No DD",H4)))</formula>
    </cfRule>
    <cfRule type="containsText" dxfId="188" priority="18" operator="containsText" text="Merit">
      <formula>NOT(ISERROR(SEARCH("Merit",H4)))</formula>
    </cfRule>
    <cfRule type="containsText" dxfId="187" priority="19" operator="containsText" text="Excellence">
      <formula>NOT(ISERROR(SEARCH("Excellence",H4)))</formula>
    </cfRule>
    <cfRule type="containsText" dxfId="186" priority="20" operator="containsText" text="Worlds Team">
      <formula>NOT(ISERROR(SEARCH("Worlds Team",H4)))</formula>
    </cfRule>
    <cfRule type="containsText" dxfId="185" priority="21" operator="containsText" text="National Team">
      <formula>NOT(ISERROR(SEARCH("National Team",H4)))</formula>
    </cfRule>
  </conditionalFormatting>
  <conditionalFormatting sqref="FW22:FW1048576 GS21:GS1048576 JG21:JG1048576 LU21:LU1048576 AO1:AO1048576 BL1:BL1048576 CI1:CI1048576 DI1:DI1048576 EE1:EE1048576 FA1:FA1048576 FW1:FW19 GS1:GS19 HO1:HO1048576 IK1:IK1048576 JG1:JG19 KC1:KC1048576 KY1:KY1048576 LU1:LU19 MQ1:MQ1048576">
    <cfRule type="cellIs" dxfId="184" priority="37585" operator="between">
      <formula>AP$21</formula>
      <formula>1000</formula>
    </cfRule>
  </conditionalFormatting>
  <conditionalFormatting sqref="H1:H3">
    <cfRule type="containsText" dxfId="183" priority="2" operator="containsText" text="No DD">
      <formula>NOT(ISERROR(SEARCH("No DD",H1)))</formula>
    </cfRule>
    <cfRule type="containsText" dxfId="182" priority="3" operator="containsText" text="Merit">
      <formula>NOT(ISERROR(SEARCH("Merit",H1)))</formula>
    </cfRule>
    <cfRule type="containsText" dxfId="181" priority="4" operator="containsText" text="Excellence">
      <formula>NOT(ISERROR(SEARCH("Excellence",H1)))</formula>
    </cfRule>
    <cfRule type="containsText" dxfId="180" priority="5" operator="containsText" text="Worlds Team">
      <formula>NOT(ISERROR(SEARCH("Worlds Team",H1)))</formula>
    </cfRule>
    <cfRule type="containsText" dxfId="179" priority="6" operator="containsText" text="National Team">
      <formula>NOT(ISERROR(SEARCH("National Team",H1)))</formula>
    </cfRule>
  </conditionalFormatting>
  <conditionalFormatting sqref="A4:A1048576">
    <cfRule type="expression" dxfId="178" priority="1">
      <formula>AND(G4&lt;&gt;"",F4="")</formula>
    </cfRule>
    <cfRule type="expression" dxfId="177" priority="48720">
      <formula>IF(A4&gt;4,1,0)</formula>
    </cfRule>
  </conditionalFormatting>
  <conditionalFormatting sqref="DF1:DF1048576 EB1:EB1048576 EX1:EX1048576 FT1:FT1048576 GP1:GP1048576 HL1:HL1048576 IH1:IH1048576 JD1:JD1048576 JZ1:JZ1048576 KV1:KV1048576 LR1:LR1048576 MN1:MN1048576">
    <cfRule type="cellIs" dxfId="176" priority="60893" operator="between">
      <formula>DJ$21</formula>
      <formula>1000</formula>
    </cfRule>
    <cfRule type="cellIs" dxfId="175" priority="60894" operator="between">
      <formula>DJ$20</formula>
      <formula>DJ$21</formula>
    </cfRule>
  </conditionalFormatting>
  <conditionalFormatting sqref="DG1:DG1048576 EC1:EC1048576 EY1:EY1048576 FU1:FU1048576 GQ1:GQ1048576 HM1:HM1048576 II1:II1048576 JE1:JE1048576 KA1:KA1048576 KW1:KW1048576 LS1:LS1048576 MO1:MO1048576 AM1:AM1048576 BJ1:BJ1048576 CG1:CG1048576">
    <cfRule type="cellIs" dxfId="174" priority="60983" operator="between">
      <formula>AP$20</formula>
      <formula>1000</formula>
    </cfRule>
    <cfRule type="cellIs" dxfId="173" priority="60984" operator="between">
      <formula>AP$19</formula>
      <formula>AP$20</formula>
    </cfRule>
    <cfRule type="cellIs" dxfId="172" priority="60985" operator="between">
      <formula>AP$18</formula>
      <formula>AP$19</formula>
    </cfRule>
  </conditionalFormatting>
  <conditionalFormatting sqref="DD1:DD1048576 DZ1:DZ1048576 EV1:EV1048576 FR1:FR1048576 GN1:GN1048576 HJ1:HJ1048576 IF1:IF1048576 JB1:JB1048576 JX1:JX1048576 KT1:KT1048576 LP1:LP1048576 ML1:ML1048576">
    <cfRule type="cellIs" dxfId="171" priority="61118" operator="between">
      <formula>DJ$17</formula>
      <formula>1000</formula>
    </cfRule>
    <cfRule type="cellIs" dxfId="170" priority="61119" operator="between">
      <formula>DJ$16</formula>
      <formula>DJ$17</formula>
    </cfRule>
    <cfRule type="cellIs" dxfId="169" priority="61120" operator="between">
      <formula>DJ$15</formula>
      <formula>DJ$16</formula>
    </cfRule>
    <cfRule type="cellIs" dxfId="168" priority="61121" operator="between">
      <formula>DJ$14</formula>
      <formula>DJ$15</formula>
    </cfRule>
  </conditionalFormatting>
  <conditionalFormatting sqref="AK1:AK1048576">
    <cfRule type="cellIs" dxfId="167" priority="61262" operator="between">
      <formula>AP$17</formula>
      <formula>1000</formula>
    </cfRule>
    <cfRule type="cellIs" dxfId="166" priority="61263" operator="between">
      <formula>AP$16</formula>
      <formula>AP$17</formula>
    </cfRule>
    <cfRule type="cellIs" dxfId="165" priority="61264" operator="between">
      <formula>AP$15</formula>
      <formula>AP$16</formula>
    </cfRule>
    <cfRule type="cellIs" dxfId="164" priority="61265" operator="between">
      <formula>AP$14</formula>
      <formula>AP$15</formula>
    </cfRule>
  </conditionalFormatting>
  <conditionalFormatting sqref="AL1:AL1048576">
    <cfRule type="cellIs" dxfId="163" priority="61298" operator="between">
      <formula>AP$21</formula>
      <formula>1000</formula>
    </cfRule>
  </conditionalFormatting>
  <conditionalFormatting sqref="AN1:AN1048576 CH1:CH1048576 BK1:BK1048576 DH1:DH1048576 ED1:ED1048576 EZ1:EZ1048576 FV1:FV1048576 GR1:GR1048576 HN1:HN1048576 IJ1:IJ1048576 JF1:JF1048576 KB1:KB1048576 KX1:KX1048576 LT1:LT1048576 MP1:MP1048576">
    <cfRule type="cellIs" dxfId="162" priority="61343" operator="between">
      <formula>AP$17</formula>
      <formula>1000</formula>
    </cfRule>
    <cfRule type="cellIs" dxfId="161" priority="61344" operator="between">
      <formula>AP$16</formula>
      <formula>AP$17</formula>
    </cfRule>
    <cfRule type="cellIs" dxfId="160" priority="61345" operator="between">
      <formula>AP$15</formula>
      <formula>AP$16</formula>
    </cfRule>
    <cfRule type="cellIs" dxfId="159" priority="61346" operator="between">
      <formula>AP$14</formula>
      <formula>AP$15</formula>
    </cfRule>
  </conditionalFormatting>
  <conditionalFormatting sqref="CE1:CE1048576 BH1:BH1048576">
    <cfRule type="cellIs" dxfId="158" priority="70333" operator="between">
      <formula>BM$17</formula>
      <formula>1000</formula>
    </cfRule>
    <cfRule type="cellIs" dxfId="157" priority="70334" operator="between">
      <formula>BM$16</formula>
      <formula>BM$17</formula>
    </cfRule>
    <cfRule type="cellIs" dxfId="156" priority="70335" operator="between">
      <formula>BM$15</formula>
      <formula>BM$16</formula>
    </cfRule>
    <cfRule type="cellIs" dxfId="155" priority="70336" operator="between">
      <formula>BM$14</formula>
      <formula>BM$15</formula>
    </cfRule>
  </conditionalFormatting>
  <conditionalFormatting sqref="CF1:CF1048576 BI1:BI1048576">
    <cfRule type="cellIs" dxfId="154" priority="70337" operator="between">
      <formula>BM$21</formula>
      <formula>1000</formula>
    </cfRule>
  </conditionalFormatting>
  <conditionalFormatting sqref="BN4:CJ11">
    <cfRule type="expression" dxfId="153" priority="70338" stopIfTrue="1">
      <formula>IF($CC4&lt;&gt;"",1,0)</formula>
    </cfRule>
  </conditionalFormatting>
  <conditionalFormatting sqref="AQ4:BM11">
    <cfRule type="expression" dxfId="152" priority="70344" stopIfTrue="1">
      <formula>IF($BF4&lt;&gt;"",1,0)</formula>
    </cfRule>
  </conditionalFormatting>
  <conditionalFormatting sqref="T4:AP11">
    <cfRule type="expression" dxfId="151" priority="70354" stopIfTrue="1">
      <formula>IF($AI4&lt;&gt;"",1,0)</formula>
    </cfRule>
  </conditionalFormatting>
  <conditionalFormatting sqref="L1:L1048576 P1:P1048576 J1:J1048576 N1:N1048576">
    <cfRule type="expression" dxfId="150" priority="70356">
      <formula>IF(J1=$BN$1,1,0)</formula>
    </cfRule>
    <cfRule type="expression" dxfId="149" priority="70357">
      <formula>IF(J1=$AQ$1,1,0)</formula>
    </cfRule>
    <cfRule type="expression" dxfId="148" priority="70358">
      <formula>IF(J1=$T$1,1,0)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3A0F1-87BA-754E-A4A8-47AC0EFDA5EB}">
  <sheetPr codeName="Sheet11"/>
  <dimension ref="A1:PC2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4" width="10.83203125" hidden="1" customWidth="1"/>
    <col min="35" max="39" width="10.83203125" style="47" customWidth="1"/>
    <col min="40" max="56" width="10.83203125" hidden="1" customWidth="1"/>
    <col min="57" max="61" width="10.83203125" style="47" customWidth="1"/>
    <col min="62" max="78" width="10.83203125" hidden="1" customWidth="1"/>
    <col min="79" max="83" width="10.83203125" style="47" customWidth="1"/>
    <col min="84" max="85" width="10.83203125" style="47"/>
    <col min="86" max="105" width="10.83203125" hidden="1" customWidth="1"/>
    <col min="106" max="111" width="10.83203125" style="47" customWidth="1"/>
    <col min="112" max="131" width="10.83203125" hidden="1" customWidth="1"/>
    <col min="132" max="137" width="10.83203125" style="47" hidden="1" customWidth="1"/>
    <col min="138" max="157" width="10.83203125" hidden="1" customWidth="1"/>
    <col min="158" max="163" width="10.83203125" style="47" hidden="1" customWidth="1"/>
    <col min="164" max="183" width="10.83203125" hidden="1" customWidth="1"/>
    <col min="184" max="189" width="10.83203125" style="47" hidden="1" customWidth="1"/>
    <col min="190" max="209" width="10.83203125" hidden="1" customWidth="1"/>
    <col min="210" max="215" width="10.83203125" style="47" hidden="1" customWidth="1"/>
    <col min="216" max="235" width="10.83203125" hidden="1" customWidth="1"/>
    <col min="236" max="241" width="10.83203125" style="47" hidden="1" customWidth="1"/>
    <col min="242" max="261" width="10.83203125" hidden="1" customWidth="1"/>
    <col min="262" max="267" width="10.83203125" style="47" hidden="1" customWidth="1"/>
    <col min="268" max="287" width="10.83203125" hidden="1" customWidth="1"/>
    <col min="288" max="293" width="10.83203125" style="47" hidden="1" customWidth="1"/>
    <col min="294" max="313" width="10.83203125" hidden="1" customWidth="1"/>
    <col min="314" max="319" width="10.83203125" style="47" hidden="1" customWidth="1"/>
    <col min="320" max="339" width="10.83203125" hidden="1" customWidth="1"/>
    <col min="340" max="345" width="10.83203125" style="47" hidden="1" customWidth="1"/>
    <col min="346" max="365" width="10.83203125" hidden="1" customWidth="1"/>
    <col min="366" max="371" width="10.83203125" style="47" hidden="1" customWidth="1"/>
    <col min="372" max="391" width="10.83203125" hidden="1" customWidth="1"/>
    <col min="392" max="397" width="10.83203125" style="47" hidden="1" customWidth="1"/>
    <col min="398" max="414" width="10.83203125" hidden="1" customWidth="1"/>
    <col min="415" max="419" width="10.83203125" style="47" hidden="1" customWidth="1"/>
  </cols>
  <sheetData>
    <row r="1" spans="1:41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65</v>
      </c>
      <c r="J1" s="75" t="s">
        <v>24</v>
      </c>
      <c r="K1" s="81" t="s">
        <v>66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80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2" t="s">
        <v>100</v>
      </c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1" t="s">
        <v>119</v>
      </c>
      <c r="BK1" s="71"/>
      <c r="BL1" s="71"/>
      <c r="BM1" s="71"/>
      <c r="BN1" s="71"/>
      <c r="BO1" s="71"/>
      <c r="BP1" s="7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3" t="s">
        <v>51</v>
      </c>
      <c r="CG1" s="73"/>
      <c r="CH1" s="71" t="s">
        <v>121</v>
      </c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1"/>
      <c r="EI1" s="71"/>
      <c r="EJ1" s="71"/>
      <c r="EK1" s="71"/>
      <c r="EL1" s="71"/>
      <c r="EM1" s="71"/>
      <c r="EN1" s="71"/>
      <c r="EO1" s="71"/>
      <c r="EP1" s="71"/>
      <c r="EQ1" s="71"/>
      <c r="ER1" s="71"/>
      <c r="ES1" s="71"/>
      <c r="ET1" s="71"/>
      <c r="EU1" s="71"/>
      <c r="EV1" s="71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1"/>
      <c r="GI1" s="71"/>
      <c r="GJ1" s="71"/>
      <c r="GK1" s="71"/>
      <c r="GL1" s="71"/>
      <c r="GM1" s="71"/>
      <c r="GN1" s="71"/>
      <c r="GO1" s="71"/>
      <c r="GP1" s="71"/>
      <c r="GQ1" s="71"/>
      <c r="GR1" s="71"/>
      <c r="GS1" s="71"/>
      <c r="GT1" s="71"/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1"/>
      <c r="II1" s="71"/>
      <c r="IJ1" s="71"/>
      <c r="IK1" s="71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1" t="s">
        <v>55</v>
      </c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1"/>
      <c r="OY1" s="71"/>
      <c r="OZ1" s="71"/>
      <c r="PA1" s="71"/>
      <c r="PB1" s="71"/>
      <c r="PC1" s="71"/>
    </row>
    <row r="2" spans="1:41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67</v>
      </c>
      <c r="S2" s="69"/>
      <c r="T2" s="69"/>
      <c r="U2" s="69"/>
      <c r="V2" s="69" t="s">
        <v>68</v>
      </c>
      <c r="W2" s="69"/>
      <c r="X2" s="69"/>
      <c r="Y2" s="69"/>
      <c r="Z2" s="69" t="s">
        <v>70</v>
      </c>
      <c r="AA2" s="69"/>
      <c r="AB2" s="69"/>
      <c r="AC2" s="69"/>
      <c r="AD2" s="78" t="s">
        <v>71</v>
      </c>
      <c r="AE2" s="78"/>
      <c r="AF2" s="78"/>
      <c r="AG2" s="78"/>
      <c r="AH2" s="16"/>
      <c r="AI2" s="16" t="s">
        <v>120</v>
      </c>
      <c r="AJ2" s="16" t="s">
        <v>20</v>
      </c>
      <c r="AK2" s="16" t="s">
        <v>56</v>
      </c>
      <c r="AL2" s="16" t="s">
        <v>74</v>
      </c>
      <c r="AM2" s="16" t="s">
        <v>14</v>
      </c>
      <c r="AN2" s="70" t="s">
        <v>67</v>
      </c>
      <c r="AO2" s="70"/>
      <c r="AP2" s="70"/>
      <c r="AQ2" s="70"/>
      <c r="AR2" s="70" t="s">
        <v>68</v>
      </c>
      <c r="AS2" s="70"/>
      <c r="AT2" s="70"/>
      <c r="AU2" s="70"/>
      <c r="AV2" s="70" t="s">
        <v>70</v>
      </c>
      <c r="AW2" s="70"/>
      <c r="AX2" s="70"/>
      <c r="AY2" s="70"/>
      <c r="AZ2" s="79" t="s">
        <v>71</v>
      </c>
      <c r="BA2" s="79"/>
      <c r="BB2" s="79"/>
      <c r="BC2" s="79"/>
      <c r="BD2" s="17"/>
      <c r="BE2" s="17" t="s">
        <v>120</v>
      </c>
      <c r="BF2" s="17" t="s">
        <v>20</v>
      </c>
      <c r="BG2" s="17" t="s">
        <v>56</v>
      </c>
      <c r="BH2" s="17" t="s">
        <v>74</v>
      </c>
      <c r="BI2" s="17" t="s">
        <v>14</v>
      </c>
      <c r="BJ2" s="69" t="s">
        <v>67</v>
      </c>
      <c r="BK2" s="69"/>
      <c r="BL2" s="69"/>
      <c r="BM2" s="69"/>
      <c r="BN2" s="69" t="s">
        <v>68</v>
      </c>
      <c r="BO2" s="69"/>
      <c r="BP2" s="69"/>
      <c r="BQ2" s="69"/>
      <c r="BR2" s="69" t="s">
        <v>70</v>
      </c>
      <c r="BS2" s="69"/>
      <c r="BT2" s="69"/>
      <c r="BU2" s="69"/>
      <c r="BV2" s="78" t="s">
        <v>71</v>
      </c>
      <c r="BW2" s="78"/>
      <c r="BX2" s="78"/>
      <c r="BY2" s="78"/>
      <c r="BZ2" s="16"/>
      <c r="CA2" s="16" t="s">
        <v>120</v>
      </c>
      <c r="CB2" s="16" t="s">
        <v>20</v>
      </c>
      <c r="CC2" s="16" t="s">
        <v>56</v>
      </c>
      <c r="CD2" s="16" t="s">
        <v>74</v>
      </c>
      <c r="CE2" s="16" t="s">
        <v>14</v>
      </c>
      <c r="CF2" s="54" t="s">
        <v>73</v>
      </c>
      <c r="CG2" s="54" t="s">
        <v>19</v>
      </c>
      <c r="CH2" s="69" t="s">
        <v>67</v>
      </c>
      <c r="CI2" s="69"/>
      <c r="CJ2" s="69"/>
      <c r="CK2" s="69"/>
      <c r="CL2" s="69" t="s">
        <v>68</v>
      </c>
      <c r="CM2" s="69"/>
      <c r="CN2" s="69"/>
      <c r="CO2" s="69"/>
      <c r="CP2" s="69" t="s">
        <v>69</v>
      </c>
      <c r="CQ2" s="69"/>
      <c r="CR2" s="69"/>
      <c r="CS2" s="69"/>
      <c r="CT2" s="69" t="s">
        <v>70</v>
      </c>
      <c r="CU2" s="69"/>
      <c r="CV2" s="69"/>
      <c r="CW2" s="69"/>
      <c r="CX2" s="80" t="s">
        <v>71</v>
      </c>
      <c r="CY2" s="80"/>
      <c r="CZ2" s="80"/>
      <c r="DA2" s="80"/>
      <c r="DB2" s="16" t="s">
        <v>72</v>
      </c>
      <c r="DC2" s="16" t="s">
        <v>73</v>
      </c>
      <c r="DD2" s="16" t="s">
        <v>69</v>
      </c>
      <c r="DE2" s="16" t="s">
        <v>56</v>
      </c>
      <c r="DF2" s="16" t="s">
        <v>74</v>
      </c>
      <c r="DG2" s="16" t="s">
        <v>14</v>
      </c>
      <c r="DH2" s="70" t="s">
        <v>67</v>
      </c>
      <c r="DI2" s="70"/>
      <c r="DJ2" s="70"/>
      <c r="DK2" s="70"/>
      <c r="DL2" s="70" t="s">
        <v>68</v>
      </c>
      <c r="DM2" s="70"/>
      <c r="DN2" s="70"/>
      <c r="DO2" s="70"/>
      <c r="DP2" s="70" t="s">
        <v>69</v>
      </c>
      <c r="DQ2" s="70"/>
      <c r="DR2" s="70"/>
      <c r="DS2" s="70"/>
      <c r="DT2" s="70" t="s">
        <v>70</v>
      </c>
      <c r="DU2" s="70"/>
      <c r="DV2" s="70"/>
      <c r="DW2" s="70"/>
      <c r="DX2" s="79" t="s">
        <v>71</v>
      </c>
      <c r="DY2" s="79"/>
      <c r="DZ2" s="79"/>
      <c r="EA2" s="79"/>
      <c r="EB2" s="17" t="s">
        <v>72</v>
      </c>
      <c r="EC2" s="17" t="s">
        <v>73</v>
      </c>
      <c r="ED2" s="17" t="s">
        <v>69</v>
      </c>
      <c r="EE2" s="17" t="s">
        <v>56</v>
      </c>
      <c r="EF2" s="17" t="s">
        <v>74</v>
      </c>
      <c r="EG2" s="17" t="s">
        <v>14</v>
      </c>
      <c r="EH2" s="69" t="s">
        <v>67</v>
      </c>
      <c r="EI2" s="69"/>
      <c r="EJ2" s="69"/>
      <c r="EK2" s="69"/>
      <c r="EL2" s="69" t="s">
        <v>68</v>
      </c>
      <c r="EM2" s="69"/>
      <c r="EN2" s="69"/>
      <c r="EO2" s="69"/>
      <c r="EP2" s="69" t="s">
        <v>69</v>
      </c>
      <c r="EQ2" s="69"/>
      <c r="ER2" s="69"/>
      <c r="ES2" s="69"/>
      <c r="ET2" s="69" t="s">
        <v>70</v>
      </c>
      <c r="EU2" s="69"/>
      <c r="EV2" s="69"/>
      <c r="EW2" s="69"/>
      <c r="EX2" s="80" t="s">
        <v>71</v>
      </c>
      <c r="EY2" s="80"/>
      <c r="EZ2" s="80"/>
      <c r="FA2" s="80"/>
      <c r="FB2" s="16" t="s">
        <v>72</v>
      </c>
      <c r="FC2" s="16" t="s">
        <v>73</v>
      </c>
      <c r="FD2" s="16" t="s">
        <v>69</v>
      </c>
      <c r="FE2" s="16" t="s">
        <v>56</v>
      </c>
      <c r="FF2" s="16" t="s">
        <v>74</v>
      </c>
      <c r="FG2" s="16" t="s">
        <v>14</v>
      </c>
      <c r="FH2" s="70" t="s">
        <v>67</v>
      </c>
      <c r="FI2" s="70"/>
      <c r="FJ2" s="70"/>
      <c r="FK2" s="70"/>
      <c r="FL2" s="70" t="s">
        <v>68</v>
      </c>
      <c r="FM2" s="70"/>
      <c r="FN2" s="70"/>
      <c r="FO2" s="70"/>
      <c r="FP2" s="70" t="s">
        <v>69</v>
      </c>
      <c r="FQ2" s="70"/>
      <c r="FR2" s="70"/>
      <c r="FS2" s="70"/>
      <c r="FT2" s="70" t="s">
        <v>70</v>
      </c>
      <c r="FU2" s="70"/>
      <c r="FV2" s="70"/>
      <c r="FW2" s="70"/>
      <c r="FX2" s="79" t="s">
        <v>71</v>
      </c>
      <c r="FY2" s="79"/>
      <c r="FZ2" s="79"/>
      <c r="GA2" s="79"/>
      <c r="GB2" s="17" t="s">
        <v>72</v>
      </c>
      <c r="GC2" s="17" t="s">
        <v>73</v>
      </c>
      <c r="GD2" s="17" t="s">
        <v>69</v>
      </c>
      <c r="GE2" s="17" t="s">
        <v>56</v>
      </c>
      <c r="GF2" s="17" t="s">
        <v>74</v>
      </c>
      <c r="GG2" s="17" t="s">
        <v>14</v>
      </c>
      <c r="GH2" s="69" t="s">
        <v>67</v>
      </c>
      <c r="GI2" s="69"/>
      <c r="GJ2" s="69"/>
      <c r="GK2" s="69"/>
      <c r="GL2" s="69" t="s">
        <v>68</v>
      </c>
      <c r="GM2" s="69"/>
      <c r="GN2" s="69"/>
      <c r="GO2" s="69"/>
      <c r="GP2" s="69" t="s">
        <v>69</v>
      </c>
      <c r="GQ2" s="69"/>
      <c r="GR2" s="69"/>
      <c r="GS2" s="69"/>
      <c r="GT2" s="69" t="s">
        <v>70</v>
      </c>
      <c r="GU2" s="69"/>
      <c r="GV2" s="69"/>
      <c r="GW2" s="69"/>
      <c r="GX2" s="80" t="s">
        <v>71</v>
      </c>
      <c r="GY2" s="80"/>
      <c r="GZ2" s="80"/>
      <c r="HA2" s="80"/>
      <c r="HB2" s="16" t="s">
        <v>72</v>
      </c>
      <c r="HC2" s="16" t="s">
        <v>73</v>
      </c>
      <c r="HD2" s="16" t="s">
        <v>69</v>
      </c>
      <c r="HE2" s="16" t="s">
        <v>56</v>
      </c>
      <c r="HF2" s="16" t="s">
        <v>74</v>
      </c>
      <c r="HG2" s="16" t="s">
        <v>14</v>
      </c>
      <c r="HH2" s="70" t="s">
        <v>67</v>
      </c>
      <c r="HI2" s="70"/>
      <c r="HJ2" s="70"/>
      <c r="HK2" s="70"/>
      <c r="HL2" s="70" t="s">
        <v>68</v>
      </c>
      <c r="HM2" s="70"/>
      <c r="HN2" s="70"/>
      <c r="HO2" s="70"/>
      <c r="HP2" s="70" t="s">
        <v>69</v>
      </c>
      <c r="HQ2" s="70"/>
      <c r="HR2" s="70"/>
      <c r="HS2" s="70"/>
      <c r="HT2" s="70" t="s">
        <v>70</v>
      </c>
      <c r="HU2" s="70"/>
      <c r="HV2" s="70"/>
      <c r="HW2" s="70"/>
      <c r="HX2" s="79" t="s">
        <v>71</v>
      </c>
      <c r="HY2" s="79"/>
      <c r="HZ2" s="79"/>
      <c r="IA2" s="79"/>
      <c r="IB2" s="17" t="s">
        <v>72</v>
      </c>
      <c r="IC2" s="17" t="s">
        <v>73</v>
      </c>
      <c r="ID2" s="17" t="s">
        <v>69</v>
      </c>
      <c r="IE2" s="17" t="s">
        <v>56</v>
      </c>
      <c r="IF2" s="17" t="s">
        <v>74</v>
      </c>
      <c r="IG2" s="17" t="s">
        <v>14</v>
      </c>
      <c r="IH2" s="69" t="s">
        <v>67</v>
      </c>
      <c r="II2" s="69"/>
      <c r="IJ2" s="69"/>
      <c r="IK2" s="69"/>
      <c r="IL2" s="69" t="s">
        <v>68</v>
      </c>
      <c r="IM2" s="69"/>
      <c r="IN2" s="69"/>
      <c r="IO2" s="69"/>
      <c r="IP2" s="69" t="s">
        <v>69</v>
      </c>
      <c r="IQ2" s="69"/>
      <c r="IR2" s="69"/>
      <c r="IS2" s="69"/>
      <c r="IT2" s="69" t="s">
        <v>70</v>
      </c>
      <c r="IU2" s="69"/>
      <c r="IV2" s="69"/>
      <c r="IW2" s="69"/>
      <c r="IX2" s="80" t="s">
        <v>71</v>
      </c>
      <c r="IY2" s="80"/>
      <c r="IZ2" s="80"/>
      <c r="JA2" s="80"/>
      <c r="JB2" s="16" t="s">
        <v>72</v>
      </c>
      <c r="JC2" s="16" t="s">
        <v>73</v>
      </c>
      <c r="JD2" s="16" t="s">
        <v>69</v>
      </c>
      <c r="JE2" s="16" t="s">
        <v>56</v>
      </c>
      <c r="JF2" s="16" t="s">
        <v>74</v>
      </c>
      <c r="JG2" s="16" t="s">
        <v>14</v>
      </c>
      <c r="JH2" s="70" t="s">
        <v>67</v>
      </c>
      <c r="JI2" s="70"/>
      <c r="JJ2" s="70"/>
      <c r="JK2" s="70"/>
      <c r="JL2" s="70" t="s">
        <v>68</v>
      </c>
      <c r="JM2" s="70"/>
      <c r="JN2" s="70"/>
      <c r="JO2" s="70"/>
      <c r="JP2" s="70" t="s">
        <v>69</v>
      </c>
      <c r="JQ2" s="70"/>
      <c r="JR2" s="70"/>
      <c r="JS2" s="70"/>
      <c r="JT2" s="70" t="s">
        <v>70</v>
      </c>
      <c r="JU2" s="70"/>
      <c r="JV2" s="70"/>
      <c r="JW2" s="70"/>
      <c r="JX2" s="79" t="s">
        <v>71</v>
      </c>
      <c r="JY2" s="79"/>
      <c r="JZ2" s="79"/>
      <c r="KA2" s="79"/>
      <c r="KB2" s="17" t="s">
        <v>72</v>
      </c>
      <c r="KC2" s="17" t="s">
        <v>73</v>
      </c>
      <c r="KD2" s="17" t="s">
        <v>69</v>
      </c>
      <c r="KE2" s="17" t="s">
        <v>56</v>
      </c>
      <c r="KF2" s="17" t="s">
        <v>74</v>
      </c>
      <c r="KG2" s="17" t="s">
        <v>14</v>
      </c>
      <c r="KH2" s="69" t="s">
        <v>67</v>
      </c>
      <c r="KI2" s="69"/>
      <c r="KJ2" s="69"/>
      <c r="KK2" s="69"/>
      <c r="KL2" s="69" t="s">
        <v>68</v>
      </c>
      <c r="KM2" s="69"/>
      <c r="KN2" s="69"/>
      <c r="KO2" s="69"/>
      <c r="KP2" s="69" t="s">
        <v>69</v>
      </c>
      <c r="KQ2" s="69"/>
      <c r="KR2" s="69"/>
      <c r="KS2" s="69"/>
      <c r="KT2" s="69" t="s">
        <v>70</v>
      </c>
      <c r="KU2" s="69"/>
      <c r="KV2" s="69"/>
      <c r="KW2" s="69"/>
      <c r="KX2" s="80" t="s">
        <v>71</v>
      </c>
      <c r="KY2" s="80"/>
      <c r="KZ2" s="80"/>
      <c r="LA2" s="80"/>
      <c r="LB2" s="16" t="s">
        <v>72</v>
      </c>
      <c r="LC2" s="16" t="s">
        <v>73</v>
      </c>
      <c r="LD2" s="16" t="s">
        <v>69</v>
      </c>
      <c r="LE2" s="16" t="s">
        <v>56</v>
      </c>
      <c r="LF2" s="16" t="s">
        <v>74</v>
      </c>
      <c r="LG2" s="16" t="s">
        <v>14</v>
      </c>
      <c r="LH2" s="70" t="s">
        <v>67</v>
      </c>
      <c r="LI2" s="70"/>
      <c r="LJ2" s="70"/>
      <c r="LK2" s="70"/>
      <c r="LL2" s="70" t="s">
        <v>68</v>
      </c>
      <c r="LM2" s="70"/>
      <c r="LN2" s="70"/>
      <c r="LO2" s="70"/>
      <c r="LP2" s="70" t="s">
        <v>69</v>
      </c>
      <c r="LQ2" s="70"/>
      <c r="LR2" s="70"/>
      <c r="LS2" s="70"/>
      <c r="LT2" s="70" t="s">
        <v>70</v>
      </c>
      <c r="LU2" s="70"/>
      <c r="LV2" s="70"/>
      <c r="LW2" s="70"/>
      <c r="LX2" s="79" t="s">
        <v>71</v>
      </c>
      <c r="LY2" s="79"/>
      <c r="LZ2" s="79"/>
      <c r="MA2" s="79"/>
      <c r="MB2" s="17" t="s">
        <v>72</v>
      </c>
      <c r="MC2" s="17" t="s">
        <v>73</v>
      </c>
      <c r="MD2" s="17" t="s">
        <v>69</v>
      </c>
      <c r="ME2" s="17" t="s">
        <v>56</v>
      </c>
      <c r="MF2" s="17" t="s">
        <v>74</v>
      </c>
      <c r="MG2" s="17" t="s">
        <v>14</v>
      </c>
      <c r="MH2" s="69" t="s">
        <v>67</v>
      </c>
      <c r="MI2" s="69"/>
      <c r="MJ2" s="69"/>
      <c r="MK2" s="69"/>
      <c r="ML2" s="69" t="s">
        <v>68</v>
      </c>
      <c r="MM2" s="69"/>
      <c r="MN2" s="69"/>
      <c r="MO2" s="69"/>
      <c r="MP2" s="69" t="s">
        <v>69</v>
      </c>
      <c r="MQ2" s="69"/>
      <c r="MR2" s="69"/>
      <c r="MS2" s="69"/>
      <c r="MT2" s="69" t="s">
        <v>70</v>
      </c>
      <c r="MU2" s="69"/>
      <c r="MV2" s="69"/>
      <c r="MW2" s="69"/>
      <c r="MX2" s="80" t="s">
        <v>71</v>
      </c>
      <c r="MY2" s="80"/>
      <c r="MZ2" s="80"/>
      <c r="NA2" s="80"/>
      <c r="NB2" s="16" t="s">
        <v>72</v>
      </c>
      <c r="NC2" s="16" t="s">
        <v>73</v>
      </c>
      <c r="ND2" s="16" t="s">
        <v>69</v>
      </c>
      <c r="NE2" s="16" t="s">
        <v>56</v>
      </c>
      <c r="NF2" s="16" t="s">
        <v>74</v>
      </c>
      <c r="NG2" s="16" t="s">
        <v>14</v>
      </c>
      <c r="NH2" s="70" t="s">
        <v>67</v>
      </c>
      <c r="NI2" s="70"/>
      <c r="NJ2" s="70"/>
      <c r="NK2" s="70"/>
      <c r="NL2" s="70" t="s">
        <v>68</v>
      </c>
      <c r="NM2" s="70"/>
      <c r="NN2" s="70"/>
      <c r="NO2" s="70"/>
      <c r="NP2" s="70" t="s">
        <v>69</v>
      </c>
      <c r="NQ2" s="70"/>
      <c r="NR2" s="70"/>
      <c r="NS2" s="70"/>
      <c r="NT2" s="70" t="s">
        <v>70</v>
      </c>
      <c r="NU2" s="70"/>
      <c r="NV2" s="70"/>
      <c r="NW2" s="70"/>
      <c r="NX2" s="79" t="s">
        <v>71</v>
      </c>
      <c r="NY2" s="79"/>
      <c r="NZ2" s="79"/>
      <c r="OA2" s="79"/>
      <c r="OB2" s="17" t="s">
        <v>72</v>
      </c>
      <c r="OC2" s="17" t="s">
        <v>73</v>
      </c>
      <c r="OD2" s="17" t="s">
        <v>69</v>
      </c>
      <c r="OE2" s="17" t="s">
        <v>56</v>
      </c>
      <c r="OF2" s="17" t="s">
        <v>74</v>
      </c>
      <c r="OG2" s="17" t="s">
        <v>14</v>
      </c>
      <c r="OH2" s="69" t="s">
        <v>67</v>
      </c>
      <c r="OI2" s="69"/>
      <c r="OJ2" s="69"/>
      <c r="OK2" s="69"/>
      <c r="OL2" s="69" t="s">
        <v>68</v>
      </c>
      <c r="OM2" s="69"/>
      <c r="ON2" s="69"/>
      <c r="OO2" s="69"/>
      <c r="OP2" s="69" t="s">
        <v>70</v>
      </c>
      <c r="OQ2" s="69"/>
      <c r="OR2" s="69"/>
      <c r="OS2" s="69"/>
      <c r="OT2" s="78" t="s">
        <v>71</v>
      </c>
      <c r="OU2" s="78"/>
      <c r="OV2" s="78"/>
      <c r="OW2" s="78"/>
      <c r="OX2" s="16"/>
      <c r="OY2" s="16" t="s">
        <v>120</v>
      </c>
      <c r="OZ2" s="16" t="s">
        <v>20</v>
      </c>
      <c r="PA2" s="16" t="s">
        <v>56</v>
      </c>
      <c r="PB2" s="16" t="s">
        <v>74</v>
      </c>
      <c r="PC2" s="16" t="s">
        <v>14</v>
      </c>
    </row>
    <row r="3" spans="1:41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51" t="s">
        <v>11</v>
      </c>
      <c r="AE3" s="51" t="s">
        <v>4</v>
      </c>
      <c r="AF3" s="51" t="s">
        <v>22</v>
      </c>
      <c r="AG3" s="51" t="s">
        <v>23</v>
      </c>
      <c r="AH3" s="16" t="s">
        <v>43</v>
      </c>
      <c r="AI3" s="16"/>
      <c r="AJ3" s="16"/>
      <c r="AK3" s="16"/>
      <c r="AL3" s="16"/>
      <c r="AM3" s="16"/>
      <c r="AN3" s="17" t="s">
        <v>11</v>
      </c>
      <c r="AO3" s="17" t="s">
        <v>4</v>
      </c>
      <c r="AP3" s="17" t="s">
        <v>22</v>
      </c>
      <c r="AQ3" s="17" t="s">
        <v>23</v>
      </c>
      <c r="AR3" s="17" t="s">
        <v>11</v>
      </c>
      <c r="AS3" s="17" t="s">
        <v>4</v>
      </c>
      <c r="AT3" s="17" t="s">
        <v>22</v>
      </c>
      <c r="AU3" s="17" t="s">
        <v>23</v>
      </c>
      <c r="AV3" s="17" t="s">
        <v>11</v>
      </c>
      <c r="AW3" s="17" t="s">
        <v>4</v>
      </c>
      <c r="AX3" s="17" t="s">
        <v>22</v>
      </c>
      <c r="AY3" s="17" t="s">
        <v>23</v>
      </c>
      <c r="AZ3" s="53" t="s">
        <v>11</v>
      </c>
      <c r="BA3" s="53" t="s">
        <v>4</v>
      </c>
      <c r="BB3" s="53" t="s">
        <v>22</v>
      </c>
      <c r="BC3" s="53" t="s">
        <v>23</v>
      </c>
      <c r="BD3" s="17" t="s">
        <v>43</v>
      </c>
      <c r="BE3" s="17"/>
      <c r="BF3" s="17"/>
      <c r="BG3" s="17"/>
      <c r="BH3" s="17"/>
      <c r="BI3" s="17"/>
      <c r="BJ3" s="16" t="s">
        <v>11</v>
      </c>
      <c r="BK3" s="16" t="s">
        <v>4</v>
      </c>
      <c r="BL3" s="16" t="s">
        <v>22</v>
      </c>
      <c r="BM3" s="16" t="s">
        <v>23</v>
      </c>
      <c r="BN3" s="16" t="s">
        <v>11</v>
      </c>
      <c r="BO3" s="16" t="s">
        <v>4</v>
      </c>
      <c r="BP3" s="16" t="s">
        <v>22</v>
      </c>
      <c r="BQ3" s="16" t="s">
        <v>23</v>
      </c>
      <c r="BR3" s="16" t="s">
        <v>11</v>
      </c>
      <c r="BS3" s="16" t="s">
        <v>4</v>
      </c>
      <c r="BT3" s="16" t="s">
        <v>22</v>
      </c>
      <c r="BU3" s="16" t="s">
        <v>23</v>
      </c>
      <c r="BV3" s="51" t="s">
        <v>11</v>
      </c>
      <c r="BW3" s="51" t="s">
        <v>4</v>
      </c>
      <c r="BX3" s="51" t="s">
        <v>22</v>
      </c>
      <c r="BY3" s="51" t="s">
        <v>23</v>
      </c>
      <c r="BZ3" s="16" t="s">
        <v>43</v>
      </c>
      <c r="CA3" s="16"/>
      <c r="CB3" s="16"/>
      <c r="CC3" s="16"/>
      <c r="CD3" s="16"/>
      <c r="CE3" s="16"/>
      <c r="CF3" s="54"/>
      <c r="CG3" s="54"/>
      <c r="CH3" s="16" t="s">
        <v>11</v>
      </c>
      <c r="CI3" s="16" t="s">
        <v>4</v>
      </c>
      <c r="CJ3" s="16" t="s">
        <v>22</v>
      </c>
      <c r="CK3" s="16" t="s">
        <v>23</v>
      </c>
      <c r="CL3" s="16" t="s">
        <v>11</v>
      </c>
      <c r="CM3" s="16" t="s">
        <v>4</v>
      </c>
      <c r="CN3" s="16" t="s">
        <v>22</v>
      </c>
      <c r="CO3" s="16" t="s">
        <v>23</v>
      </c>
      <c r="CP3" s="16" t="s">
        <v>11</v>
      </c>
      <c r="CQ3" s="16" t="s">
        <v>4</v>
      </c>
      <c r="CR3" s="16" t="s">
        <v>22</v>
      </c>
      <c r="CS3" s="16" t="s">
        <v>23</v>
      </c>
      <c r="CT3" s="16" t="s">
        <v>11</v>
      </c>
      <c r="CU3" s="16" t="s">
        <v>4</v>
      </c>
      <c r="CV3" s="16" t="s">
        <v>22</v>
      </c>
      <c r="CW3" s="16" t="s">
        <v>23</v>
      </c>
      <c r="CX3" s="52" t="s">
        <v>11</v>
      </c>
      <c r="CY3" s="52" t="s">
        <v>4</v>
      </c>
      <c r="CZ3" s="52" t="s">
        <v>22</v>
      </c>
      <c r="DA3" s="52" t="s">
        <v>23</v>
      </c>
      <c r="DB3" s="16"/>
      <c r="DC3" s="16"/>
      <c r="DD3" s="16"/>
      <c r="DE3" s="16"/>
      <c r="DF3" s="16"/>
      <c r="DG3" s="16"/>
      <c r="DH3" s="17" t="s">
        <v>11</v>
      </c>
      <c r="DI3" s="17" t="s">
        <v>4</v>
      </c>
      <c r="DJ3" s="17" t="s">
        <v>22</v>
      </c>
      <c r="DK3" s="17" t="s">
        <v>23</v>
      </c>
      <c r="DL3" s="17" t="s">
        <v>11</v>
      </c>
      <c r="DM3" s="17" t="s">
        <v>4</v>
      </c>
      <c r="DN3" s="17" t="s">
        <v>22</v>
      </c>
      <c r="DO3" s="17" t="s">
        <v>23</v>
      </c>
      <c r="DP3" s="17" t="s">
        <v>11</v>
      </c>
      <c r="DQ3" s="17" t="s">
        <v>4</v>
      </c>
      <c r="DR3" s="17" t="s">
        <v>22</v>
      </c>
      <c r="DS3" s="17" t="s">
        <v>23</v>
      </c>
      <c r="DT3" s="17" t="s">
        <v>11</v>
      </c>
      <c r="DU3" s="17" t="s">
        <v>4</v>
      </c>
      <c r="DV3" s="17" t="s">
        <v>22</v>
      </c>
      <c r="DW3" s="17" t="s">
        <v>23</v>
      </c>
      <c r="DX3" s="53" t="s">
        <v>11</v>
      </c>
      <c r="DY3" s="53" t="s">
        <v>4</v>
      </c>
      <c r="DZ3" s="53" t="s">
        <v>22</v>
      </c>
      <c r="EA3" s="53" t="s">
        <v>23</v>
      </c>
      <c r="EB3" s="17"/>
      <c r="EC3" s="17"/>
      <c r="ED3" s="17"/>
      <c r="EE3" s="17"/>
      <c r="EF3" s="17"/>
      <c r="EG3" s="17"/>
      <c r="EH3" s="16" t="s">
        <v>11</v>
      </c>
      <c r="EI3" s="16" t="s">
        <v>4</v>
      </c>
      <c r="EJ3" s="16" t="s">
        <v>22</v>
      </c>
      <c r="EK3" s="16" t="s">
        <v>23</v>
      </c>
      <c r="EL3" s="16" t="s">
        <v>11</v>
      </c>
      <c r="EM3" s="16" t="s">
        <v>4</v>
      </c>
      <c r="EN3" s="16" t="s">
        <v>22</v>
      </c>
      <c r="EO3" s="16" t="s">
        <v>23</v>
      </c>
      <c r="EP3" s="16" t="s">
        <v>11</v>
      </c>
      <c r="EQ3" s="16" t="s">
        <v>4</v>
      </c>
      <c r="ER3" s="16" t="s">
        <v>22</v>
      </c>
      <c r="ES3" s="16" t="s">
        <v>23</v>
      </c>
      <c r="ET3" s="16" t="s">
        <v>11</v>
      </c>
      <c r="EU3" s="16" t="s">
        <v>4</v>
      </c>
      <c r="EV3" s="16" t="s">
        <v>22</v>
      </c>
      <c r="EW3" s="16" t="s">
        <v>23</v>
      </c>
      <c r="EX3" s="52" t="s">
        <v>11</v>
      </c>
      <c r="EY3" s="52" t="s">
        <v>4</v>
      </c>
      <c r="EZ3" s="52" t="s">
        <v>22</v>
      </c>
      <c r="FA3" s="52" t="s">
        <v>23</v>
      </c>
      <c r="FB3" s="16"/>
      <c r="FC3" s="16"/>
      <c r="FD3" s="16"/>
      <c r="FE3" s="16"/>
      <c r="FF3" s="16"/>
      <c r="FG3" s="16"/>
      <c r="FH3" s="17" t="s">
        <v>11</v>
      </c>
      <c r="FI3" s="17" t="s">
        <v>4</v>
      </c>
      <c r="FJ3" s="17" t="s">
        <v>22</v>
      </c>
      <c r="FK3" s="17" t="s">
        <v>23</v>
      </c>
      <c r="FL3" s="17" t="s">
        <v>11</v>
      </c>
      <c r="FM3" s="17" t="s">
        <v>4</v>
      </c>
      <c r="FN3" s="17" t="s">
        <v>22</v>
      </c>
      <c r="FO3" s="17" t="s">
        <v>23</v>
      </c>
      <c r="FP3" s="17" t="s">
        <v>11</v>
      </c>
      <c r="FQ3" s="17" t="s">
        <v>4</v>
      </c>
      <c r="FR3" s="17" t="s">
        <v>22</v>
      </c>
      <c r="FS3" s="17" t="s">
        <v>23</v>
      </c>
      <c r="FT3" s="17" t="s">
        <v>11</v>
      </c>
      <c r="FU3" s="17" t="s">
        <v>4</v>
      </c>
      <c r="FV3" s="17" t="s">
        <v>22</v>
      </c>
      <c r="FW3" s="17" t="s">
        <v>23</v>
      </c>
      <c r="FX3" s="53" t="s">
        <v>11</v>
      </c>
      <c r="FY3" s="53" t="s">
        <v>4</v>
      </c>
      <c r="FZ3" s="53" t="s">
        <v>22</v>
      </c>
      <c r="GA3" s="53" t="s">
        <v>23</v>
      </c>
      <c r="GB3" s="17"/>
      <c r="GC3" s="17"/>
      <c r="GD3" s="17"/>
      <c r="GE3" s="17"/>
      <c r="GF3" s="17"/>
      <c r="GG3" s="17"/>
      <c r="GH3" s="16" t="s">
        <v>11</v>
      </c>
      <c r="GI3" s="16" t="s">
        <v>4</v>
      </c>
      <c r="GJ3" s="16" t="s">
        <v>22</v>
      </c>
      <c r="GK3" s="16" t="s">
        <v>23</v>
      </c>
      <c r="GL3" s="16" t="s">
        <v>11</v>
      </c>
      <c r="GM3" s="16" t="s">
        <v>4</v>
      </c>
      <c r="GN3" s="16" t="s">
        <v>22</v>
      </c>
      <c r="GO3" s="16" t="s">
        <v>23</v>
      </c>
      <c r="GP3" s="16" t="s">
        <v>11</v>
      </c>
      <c r="GQ3" s="16" t="s">
        <v>4</v>
      </c>
      <c r="GR3" s="16" t="s">
        <v>22</v>
      </c>
      <c r="GS3" s="16" t="s">
        <v>23</v>
      </c>
      <c r="GT3" s="16" t="s">
        <v>11</v>
      </c>
      <c r="GU3" s="16" t="s">
        <v>4</v>
      </c>
      <c r="GV3" s="16" t="s">
        <v>22</v>
      </c>
      <c r="GW3" s="16" t="s">
        <v>23</v>
      </c>
      <c r="GX3" s="52" t="s">
        <v>11</v>
      </c>
      <c r="GY3" s="52" t="s">
        <v>4</v>
      </c>
      <c r="GZ3" s="52" t="s">
        <v>22</v>
      </c>
      <c r="HA3" s="52" t="s">
        <v>23</v>
      </c>
      <c r="HB3" s="16"/>
      <c r="HC3" s="16"/>
      <c r="HD3" s="16"/>
      <c r="HE3" s="16"/>
      <c r="HF3" s="16"/>
      <c r="HG3" s="16"/>
      <c r="HH3" s="17" t="s">
        <v>11</v>
      </c>
      <c r="HI3" s="17" t="s">
        <v>4</v>
      </c>
      <c r="HJ3" s="17" t="s">
        <v>22</v>
      </c>
      <c r="HK3" s="17" t="s">
        <v>23</v>
      </c>
      <c r="HL3" s="17" t="s">
        <v>11</v>
      </c>
      <c r="HM3" s="17" t="s">
        <v>4</v>
      </c>
      <c r="HN3" s="17" t="s">
        <v>22</v>
      </c>
      <c r="HO3" s="17" t="s">
        <v>23</v>
      </c>
      <c r="HP3" s="17" t="s">
        <v>11</v>
      </c>
      <c r="HQ3" s="17" t="s">
        <v>4</v>
      </c>
      <c r="HR3" s="17" t="s">
        <v>22</v>
      </c>
      <c r="HS3" s="17" t="s">
        <v>23</v>
      </c>
      <c r="HT3" s="17" t="s">
        <v>11</v>
      </c>
      <c r="HU3" s="17" t="s">
        <v>4</v>
      </c>
      <c r="HV3" s="17" t="s">
        <v>22</v>
      </c>
      <c r="HW3" s="17" t="s">
        <v>23</v>
      </c>
      <c r="HX3" s="53" t="s">
        <v>11</v>
      </c>
      <c r="HY3" s="53" t="s">
        <v>4</v>
      </c>
      <c r="HZ3" s="53" t="s">
        <v>22</v>
      </c>
      <c r="IA3" s="53" t="s">
        <v>23</v>
      </c>
      <c r="IB3" s="17"/>
      <c r="IC3" s="17"/>
      <c r="ID3" s="17"/>
      <c r="IE3" s="17"/>
      <c r="IF3" s="17"/>
      <c r="IG3" s="17"/>
      <c r="IH3" s="16" t="s">
        <v>11</v>
      </c>
      <c r="II3" s="16" t="s">
        <v>4</v>
      </c>
      <c r="IJ3" s="16" t="s">
        <v>22</v>
      </c>
      <c r="IK3" s="16" t="s">
        <v>23</v>
      </c>
      <c r="IL3" s="16" t="s">
        <v>11</v>
      </c>
      <c r="IM3" s="16" t="s">
        <v>4</v>
      </c>
      <c r="IN3" s="16" t="s">
        <v>22</v>
      </c>
      <c r="IO3" s="16" t="s">
        <v>23</v>
      </c>
      <c r="IP3" s="16" t="s">
        <v>11</v>
      </c>
      <c r="IQ3" s="16" t="s">
        <v>4</v>
      </c>
      <c r="IR3" s="16" t="s">
        <v>22</v>
      </c>
      <c r="IS3" s="16" t="s">
        <v>23</v>
      </c>
      <c r="IT3" s="16" t="s">
        <v>11</v>
      </c>
      <c r="IU3" s="16" t="s">
        <v>4</v>
      </c>
      <c r="IV3" s="16" t="s">
        <v>22</v>
      </c>
      <c r="IW3" s="16" t="s">
        <v>23</v>
      </c>
      <c r="IX3" s="52" t="s">
        <v>11</v>
      </c>
      <c r="IY3" s="52" t="s">
        <v>4</v>
      </c>
      <c r="IZ3" s="52" t="s">
        <v>22</v>
      </c>
      <c r="JA3" s="52" t="s">
        <v>23</v>
      </c>
      <c r="JB3" s="16"/>
      <c r="JC3" s="16"/>
      <c r="JD3" s="16"/>
      <c r="JE3" s="16"/>
      <c r="JF3" s="16"/>
      <c r="JG3" s="16"/>
      <c r="JH3" s="17" t="s">
        <v>11</v>
      </c>
      <c r="JI3" s="17" t="s">
        <v>4</v>
      </c>
      <c r="JJ3" s="17" t="s">
        <v>22</v>
      </c>
      <c r="JK3" s="17" t="s">
        <v>23</v>
      </c>
      <c r="JL3" s="17" t="s">
        <v>11</v>
      </c>
      <c r="JM3" s="17" t="s">
        <v>4</v>
      </c>
      <c r="JN3" s="17" t="s">
        <v>22</v>
      </c>
      <c r="JO3" s="17" t="s">
        <v>23</v>
      </c>
      <c r="JP3" s="17" t="s">
        <v>11</v>
      </c>
      <c r="JQ3" s="17" t="s">
        <v>4</v>
      </c>
      <c r="JR3" s="17" t="s">
        <v>22</v>
      </c>
      <c r="JS3" s="17" t="s">
        <v>23</v>
      </c>
      <c r="JT3" s="17" t="s">
        <v>11</v>
      </c>
      <c r="JU3" s="17" t="s">
        <v>4</v>
      </c>
      <c r="JV3" s="17" t="s">
        <v>22</v>
      </c>
      <c r="JW3" s="17" t="s">
        <v>23</v>
      </c>
      <c r="JX3" s="53" t="s">
        <v>11</v>
      </c>
      <c r="JY3" s="53" t="s">
        <v>4</v>
      </c>
      <c r="JZ3" s="53" t="s">
        <v>22</v>
      </c>
      <c r="KA3" s="53" t="s">
        <v>23</v>
      </c>
      <c r="KB3" s="17"/>
      <c r="KC3" s="17"/>
      <c r="KD3" s="17"/>
      <c r="KE3" s="17"/>
      <c r="KF3" s="17"/>
      <c r="KG3" s="17"/>
      <c r="KH3" s="16" t="s">
        <v>11</v>
      </c>
      <c r="KI3" s="16" t="s">
        <v>4</v>
      </c>
      <c r="KJ3" s="16" t="s">
        <v>22</v>
      </c>
      <c r="KK3" s="16" t="s">
        <v>23</v>
      </c>
      <c r="KL3" s="16" t="s">
        <v>11</v>
      </c>
      <c r="KM3" s="16" t="s">
        <v>4</v>
      </c>
      <c r="KN3" s="16" t="s">
        <v>22</v>
      </c>
      <c r="KO3" s="16" t="s">
        <v>23</v>
      </c>
      <c r="KP3" s="16" t="s">
        <v>11</v>
      </c>
      <c r="KQ3" s="16" t="s">
        <v>4</v>
      </c>
      <c r="KR3" s="16" t="s">
        <v>22</v>
      </c>
      <c r="KS3" s="16" t="s">
        <v>23</v>
      </c>
      <c r="KT3" s="16" t="s">
        <v>11</v>
      </c>
      <c r="KU3" s="16" t="s">
        <v>4</v>
      </c>
      <c r="KV3" s="16" t="s">
        <v>22</v>
      </c>
      <c r="KW3" s="16" t="s">
        <v>23</v>
      </c>
      <c r="KX3" s="52" t="s">
        <v>11</v>
      </c>
      <c r="KY3" s="52" t="s">
        <v>4</v>
      </c>
      <c r="KZ3" s="52" t="s">
        <v>22</v>
      </c>
      <c r="LA3" s="52" t="s">
        <v>23</v>
      </c>
      <c r="LB3" s="16"/>
      <c r="LC3" s="16"/>
      <c r="LD3" s="16"/>
      <c r="LE3" s="16"/>
      <c r="LF3" s="16"/>
      <c r="LG3" s="16"/>
      <c r="LH3" s="17" t="s">
        <v>11</v>
      </c>
      <c r="LI3" s="17" t="s">
        <v>4</v>
      </c>
      <c r="LJ3" s="17" t="s">
        <v>22</v>
      </c>
      <c r="LK3" s="17" t="s">
        <v>23</v>
      </c>
      <c r="LL3" s="17" t="s">
        <v>11</v>
      </c>
      <c r="LM3" s="17" t="s">
        <v>4</v>
      </c>
      <c r="LN3" s="17" t="s">
        <v>22</v>
      </c>
      <c r="LO3" s="17" t="s">
        <v>23</v>
      </c>
      <c r="LP3" s="17" t="s">
        <v>11</v>
      </c>
      <c r="LQ3" s="17" t="s">
        <v>4</v>
      </c>
      <c r="LR3" s="17" t="s">
        <v>22</v>
      </c>
      <c r="LS3" s="17" t="s">
        <v>23</v>
      </c>
      <c r="LT3" s="17" t="s">
        <v>11</v>
      </c>
      <c r="LU3" s="17" t="s">
        <v>4</v>
      </c>
      <c r="LV3" s="17" t="s">
        <v>22</v>
      </c>
      <c r="LW3" s="17" t="s">
        <v>23</v>
      </c>
      <c r="LX3" s="53" t="s">
        <v>11</v>
      </c>
      <c r="LY3" s="53" t="s">
        <v>4</v>
      </c>
      <c r="LZ3" s="53" t="s">
        <v>22</v>
      </c>
      <c r="MA3" s="53" t="s">
        <v>23</v>
      </c>
      <c r="MB3" s="17"/>
      <c r="MC3" s="17"/>
      <c r="MD3" s="17"/>
      <c r="ME3" s="17"/>
      <c r="MF3" s="17"/>
      <c r="MG3" s="17"/>
      <c r="MH3" s="16" t="s">
        <v>11</v>
      </c>
      <c r="MI3" s="16" t="s">
        <v>4</v>
      </c>
      <c r="MJ3" s="16" t="s">
        <v>22</v>
      </c>
      <c r="MK3" s="16" t="s">
        <v>23</v>
      </c>
      <c r="ML3" s="16" t="s">
        <v>11</v>
      </c>
      <c r="MM3" s="16" t="s">
        <v>4</v>
      </c>
      <c r="MN3" s="16" t="s">
        <v>22</v>
      </c>
      <c r="MO3" s="16" t="s">
        <v>23</v>
      </c>
      <c r="MP3" s="16" t="s">
        <v>11</v>
      </c>
      <c r="MQ3" s="16" t="s">
        <v>4</v>
      </c>
      <c r="MR3" s="16" t="s">
        <v>22</v>
      </c>
      <c r="MS3" s="16" t="s">
        <v>23</v>
      </c>
      <c r="MT3" s="16" t="s">
        <v>11</v>
      </c>
      <c r="MU3" s="16" t="s">
        <v>4</v>
      </c>
      <c r="MV3" s="16" t="s">
        <v>22</v>
      </c>
      <c r="MW3" s="16" t="s">
        <v>23</v>
      </c>
      <c r="MX3" s="52" t="s">
        <v>11</v>
      </c>
      <c r="MY3" s="52" t="s">
        <v>4</v>
      </c>
      <c r="MZ3" s="52" t="s">
        <v>22</v>
      </c>
      <c r="NA3" s="52" t="s">
        <v>23</v>
      </c>
      <c r="NB3" s="16"/>
      <c r="NC3" s="16"/>
      <c r="ND3" s="16"/>
      <c r="NE3" s="16"/>
      <c r="NF3" s="16"/>
      <c r="NG3" s="16"/>
      <c r="NH3" s="17" t="s">
        <v>11</v>
      </c>
      <c r="NI3" s="17" t="s">
        <v>4</v>
      </c>
      <c r="NJ3" s="17" t="s">
        <v>22</v>
      </c>
      <c r="NK3" s="17" t="s">
        <v>23</v>
      </c>
      <c r="NL3" s="17" t="s">
        <v>11</v>
      </c>
      <c r="NM3" s="17" t="s">
        <v>4</v>
      </c>
      <c r="NN3" s="17" t="s">
        <v>22</v>
      </c>
      <c r="NO3" s="17" t="s">
        <v>23</v>
      </c>
      <c r="NP3" s="17" t="s">
        <v>11</v>
      </c>
      <c r="NQ3" s="17" t="s">
        <v>4</v>
      </c>
      <c r="NR3" s="17" t="s">
        <v>22</v>
      </c>
      <c r="NS3" s="17" t="s">
        <v>23</v>
      </c>
      <c r="NT3" s="17" t="s">
        <v>11</v>
      </c>
      <c r="NU3" s="17" t="s">
        <v>4</v>
      </c>
      <c r="NV3" s="17" t="s">
        <v>22</v>
      </c>
      <c r="NW3" s="17" t="s">
        <v>23</v>
      </c>
      <c r="NX3" s="53" t="s">
        <v>11</v>
      </c>
      <c r="NY3" s="53" t="s">
        <v>4</v>
      </c>
      <c r="NZ3" s="53" t="s">
        <v>22</v>
      </c>
      <c r="OA3" s="53" t="s">
        <v>23</v>
      </c>
      <c r="OB3" s="17"/>
      <c r="OC3" s="17"/>
      <c r="OD3" s="17"/>
      <c r="OE3" s="17"/>
      <c r="OF3" s="17"/>
      <c r="OG3" s="17"/>
      <c r="OH3" s="16" t="s">
        <v>11</v>
      </c>
      <c r="OI3" s="16" t="s">
        <v>4</v>
      </c>
      <c r="OJ3" s="16" t="s">
        <v>22</v>
      </c>
      <c r="OK3" s="16" t="s">
        <v>23</v>
      </c>
      <c r="OL3" s="16" t="s">
        <v>11</v>
      </c>
      <c r="OM3" s="16" t="s">
        <v>4</v>
      </c>
      <c r="ON3" s="16" t="s">
        <v>22</v>
      </c>
      <c r="OO3" s="16" t="s">
        <v>23</v>
      </c>
      <c r="OP3" s="16" t="s">
        <v>11</v>
      </c>
      <c r="OQ3" s="16" t="s">
        <v>4</v>
      </c>
      <c r="OR3" s="16" t="s">
        <v>22</v>
      </c>
      <c r="OS3" s="16" t="s">
        <v>23</v>
      </c>
      <c r="OT3" s="51" t="s">
        <v>11</v>
      </c>
      <c r="OU3" s="51" t="s">
        <v>4</v>
      </c>
      <c r="OV3" s="51" t="s">
        <v>22</v>
      </c>
      <c r="OW3" s="51" t="s">
        <v>23</v>
      </c>
      <c r="OX3" s="16" t="s">
        <v>43</v>
      </c>
      <c r="OY3" s="16"/>
      <c r="OZ3" s="16"/>
      <c r="PA3" s="16"/>
      <c r="PB3" s="16"/>
      <c r="PC3" s="16"/>
    </row>
    <row r="4" spans="1:419" x14ac:dyDescent="0.2">
      <c r="A4" s="4" t="str" cm="1">
        <f t="array" ref="A4">IF(AND(H4&lt;&gt;"",H4&lt;&gt;"No DD"),SUMPRODUCT((H$4:H$6&lt;&gt;"")*(H$4:H$6&lt;&gt;"No DD")*(E$4:E$6&gt;E4))+1,IF(H4="No DD",SUMPRODUCT((H$4:H$6="No DD")*(E$4:E$6&gt;E4))+1+SUMPRODUCT((H$4:H$6&lt;&gt;"")*(H$4:H$6&lt;&gt;"No DD")),""))</f>
        <v/>
      </c>
      <c r="B4" s="5" t="s">
        <v>107</v>
      </c>
      <c r="C4" s="4" t="s">
        <v>62</v>
      </c>
      <c r="D4" s="4">
        <v>2010</v>
      </c>
      <c r="E4" s="10">
        <f>SUM(I4:O4)+SUM(I4:M4)*0.0000001+SUM(I4)*0.0000000000001</f>
        <v>125.10000861000431</v>
      </c>
      <c r="F4" s="3" t="str">
        <f>IF(OR(AND(AI4&gt;=AM$8,AJ4&gt;=AM$12,AI4&lt;&gt;"",AH4=""),AND(AK4&gt;=AM$8,AL4&gt;=AM$12,AK4&lt;&gt;"",AH4=""),AND(BE4&gt;=BI$8,BF4&gt;=BI$12,BE4&lt;&gt;"",BD4=""),AND(BG4&gt;=BI$8,BH4&gt;=BI$12,BG4&lt;&gt;"",BD4=""),AND(CA4&gt;=CE$8,CB4&gt;=CE$12,CA4&lt;&gt;"",BZ4=""),AND(CC4&gt;=CE$8,CD4&gt;=CE$12,CC4&lt;&gt;""),AND(DB4&gt;=DG$8,DC4&gt;=DG$12,DB4&lt;&gt;""),AND(DE4&gt;=DG$8,DF4&gt;=DG$12,DE4&lt;&gt;""),AND(EB4&gt;=EG$8,EC4&gt;=EG$12,EB4&lt;&gt;""),AND(EE4&gt;=EG$8,EF4&gt;=EG$12,EE4&lt;&gt;""),AND(FB4&gt;=FG$8,FC4&gt;=FG$12,FB4&lt;&gt;""),AND(FE4&gt;=FG$8,FF4&gt;=FG$12,FE4&lt;&gt;""),AND(GB4&gt;=GG$8,GC4&gt;=GG$12,GB4&lt;&gt;""),AND(GE4&gt;=GG$8,GF4&gt;=GG$12,GE4&lt;&gt;""),AND(HB4&gt;=HG$8,HC4&gt;=HG$12,HB4&lt;&gt;""),AND(HE4&gt;=HG$8,HF4&gt;=HG$12,HE4&lt;&gt;""),AND(IB4&gt;=IG$8,IC4&gt;=IG$12,IB4&lt;&gt;""),AND(IE4&gt;=IG$8,IF4&gt;=IG$12,IE4&lt;&gt;""),AND(JB4&gt;=JG$8,JC4&gt;=JG$12,JB4&lt;&gt;""),AND(JE4&gt;=JG$8,JF4&gt;=JG$12,JE4&lt;&gt;""),AND(KB4&gt;=KG$8,KC4&gt;=KG$12,KB4&lt;&gt;""),AND(KE4&gt;=KG$8,KF4&gt;=KG$12,KE4&lt;&gt;""),AND(LB4&gt;=LG$8,LC4&gt;=LG$12,LB4&lt;&gt;""),AND(LE4&gt;=LG$8,LF4&gt;=LG$12,LE4&lt;&gt;""),AND(MB4&gt;=MG$8,MC4&gt;=MG$12,MB4&lt;&gt;""),AND(ME4&gt;=MG$8,MF4&gt;=MG$12,ME4&lt;&gt;""),AND(NB4&gt;=NG$8,NC4&gt;=NG$12,NB4&lt;&gt;""),AND(NE4&gt;=NG$8,NF4&gt;=NG$12,NE4&lt;&gt;""),AND(OB4&gt;=OG$8,OC4&gt;=OG$12,OB4&lt;&gt;""),AND(OE4&gt;=OG$8,OF4&gt;=OG$12,OE4&lt;&gt;"")),"P","")</f>
        <v/>
      </c>
      <c r="G4" s="3" t="str">
        <f>IF(OR(AND(AJ4&gt;=AM$12,AJ4&lt;&gt;"",AH4=""),AND(AL4&gt;=AM$12,AL4&lt;&gt;"",AH4=""),AND(BF4&gt;=BI$12,BF4&lt;&gt;"",BD4=""),AND(BH4&gt;=BI$12,BH4&lt;&gt;"",BD4=""),AND(CB4&gt;=CE$12,CB4&lt;&gt;"",BZ4=""),AND(CD4&gt;=CE$12,CD4&lt;&gt;"",BZ4=""),AND(DC4&gt;=DG$12,DC4&lt;&gt;""),AND(DF4&gt;=DG$12,DF4&lt;&gt;""),AND(EC4&gt;=EG$12,EC4&lt;&gt;""),AND(EF4&gt;=EG$12,EF4&lt;&gt;""),AND(FC4&gt;=FG$12,FC4&lt;&gt;""),AND(FF4&gt;=FG$12,FF4&lt;&gt;""),AND(GC4&gt;=GG$12,GC4&lt;&gt;""),AND(GF4&gt;=GG$12,GF4&lt;&gt;""),AND(HC4&gt;=HG$12,HC4&lt;&gt;""),AND(HF4&gt;=HG$12,HF4&lt;&gt;""),AND(IC4&gt;=IG$12,IC4&lt;&gt;""),AND(IF4&gt;=IG$12,IF4&lt;&gt;""),AND(JC4&gt;=JG$12,JC4&lt;&gt;""),AND(JF4&gt;=JG$12,JF4&lt;&gt;""),AND(KC4&gt;=KG$12,KC4&lt;&gt;""),AND(KF4&gt;=KG$12,KF4&lt;&gt;""),AND(LC4&gt;=LG$12,LC4&lt;&gt;""),AND(LF4&gt;=LG$12,LF4&lt;&gt;""),AND(MC4&gt;=MG$12,MC4&lt;&gt;""),AND(MF4&gt;=MG$12,MF4&lt;&gt;""),AND(NC4&gt;=NG$12,NC4&lt;&gt;""),AND(NF4&gt;=NG$12,NF4&lt;&gt;""),AND(OC4&gt;=OG$12,OC4&lt;&gt;""),AND(OF4&gt;=OG$12,OF4&lt;&gt;"")),"P","")</f>
        <v/>
      </c>
      <c r="H4" s="47" t="str">
        <f>IF(AND(G4="P",F4=""),"No DD",IF(OR(AND(AI4&gt;=AM$11,AJ4&gt;=AM$15,AI4&lt;&gt;"",AH4=""),AND(AK4&gt;=AM$11,AL4&gt;=AM$15,AK4&lt;&gt;"",AH4=""),AND(BE4&gt;=BI$11,BF4&gt;=BI$15,BE4&lt;&gt;"",BD4=""),AND(BG4&gt;=BI$11,BH4&gt;=BI$15,BG4&lt;&gt;"",BD4=""),AND(CA4&gt;=CE$11,CB4&gt;=CE$15,CA4&lt;&gt;"",BZ4=""),AND(CC4&gt;=CE$11,CD4&gt;=CE$15,CC4&lt;&gt;""),AND(DB4&gt;=DG$11,DC4&gt;=DG$15,DB4&lt;&gt;""),AND(DE4&gt;=DG$11,DF4&gt;=DG$15,DE4&lt;&gt;""),AND(EB4&gt;=EG$11,EC4&gt;=EG$15,EB4&lt;&gt;""),AND(EE4&gt;=EG$11,EF4&gt;=EG$15,EE4&lt;&gt;""),AND(FB4&gt;=FG$11,FC4&gt;=FG$15,FB4&lt;&gt;""),AND(FE4&gt;=FG$11,FF4&gt;=FG$15,FE4&lt;&gt;""),AND(GB4&gt;=GG$11,GC4&gt;=GG$15,GB4&lt;&gt;""),AND(GE4&gt;=GG$11,GF4&gt;=GG$15,GE4&lt;&gt;""),AND(HB4&gt;=HG$11,HC4&gt;=HG$15,HB4&lt;&gt;""),AND(HE4&gt;=HG$11,HF4&gt;=HG$15,HE4&lt;&gt;""),AND(IB4&gt;=IG$11,IC4&gt;=IG$15,IB4&lt;&gt;""),AND(IE4&gt;=IG$11,IF4&gt;=IG$15,IE4&lt;&gt;""),AND(JB4&gt;=JG$11,JC4&gt;=JG$15,JB4&lt;&gt;""),AND(JE4&gt;=JG$11,JF4&gt;=JG$15,JE4&lt;&gt;""),AND(KB4&gt;=KG$11,KC4&gt;=KG$15,KB4&lt;&gt;""),AND(KE4&gt;=KG$11,KF4&gt;=KG$15,KE4&lt;&gt;""),AND(LB4&gt;=LG$11,LC4&gt;=LG$15,LB4&lt;&gt;""),AND(LE4&gt;=LG$11,LF4&gt;=LG$15,LE4&lt;&gt;""),AND(MB4&gt;=MG$11,MC4&gt;=MG$15,MB4&lt;&gt;""),AND(ME4&gt;=MG$11,MF4&gt;=MG$15,ME4&lt;&gt;""),AND(NB4&gt;=NG$11,NC4&gt;=NG$15,NB4&lt;&gt;""),AND(NE4&gt;=NG$11,NF4&gt;=NG$15,NE4&lt;&gt;""),AND(OB4&gt;=OG$11,OC4&gt;=OG$15,OB4&lt;&gt;""),AND(OE4&gt;=OG$11,OF4&gt;=OG$15,OE4&lt;&gt;"")),"Merit",IF(OR(AND(AI4&gt;=AM$10,AJ4&gt;=AM$14,AI4&lt;&gt;"",AH4=""),AND(AK4&gt;=AM$10,AL4&gt;=AM$14,AK4&lt;&gt;"",AH4=""),AND(BE4&gt;=BI$10,BF4&gt;=BI$14,BE4&lt;&gt;"",BD4=""),AND(BG4&gt;=BI$10,BH4&gt;=BI$14,BG4&lt;&gt;"",BD4=""),AND(CA4&gt;=CE$10,CB4&gt;=CE$14,CA4&lt;&gt;"",BZ4=""),AND(CC4&gt;=CE$10,CD4&gt;=CE$14,CC4&lt;&gt;""),AND(DB4&gt;=DG$10,DC4&gt;=DG$14,DB4&lt;&gt;""),AND(DE4&gt;=DG$10,DF4&gt;=DG$14,DE4&lt;&gt;""),AND(EB4&gt;=EG$10,EC4&gt;=EG$14,EB4&lt;&gt;""),AND(EE4&gt;=EG$10,EF4&gt;=EG$14,EE4&lt;&gt;""),AND(FB4&gt;=FG$10,FC4&gt;=FG$14,FB4&lt;&gt;""),AND(FE4&gt;=FG$10,FF4&gt;=FG$14,FE4&lt;&gt;""),AND(GB4&gt;=GG$10,GC4&gt;=GG$14,GB4&lt;&gt;""),AND(GE4&gt;=GG$10,GF4&gt;=GG$14,GE4&lt;&gt;""),AND(HB4&gt;=HG$10,HC4&gt;=HG$14,HB4&lt;&gt;""),AND(HE4&gt;=HG$10,HF4&gt;=HG$14,HE4&lt;&gt;""),AND(IB4&gt;=IG$10,IC4&gt;=IG$14,IB4&lt;&gt;""),AND(IE4&gt;=IG$10,IF4&gt;=IG$14,IE4&lt;&gt;""),AND(JB4&gt;=JG$10,JC4&gt;=JG$14,JB4&lt;&gt;""),AND(JE4&gt;=JG$10,JF4&gt;=JG$14,JE4&lt;&gt;""),AND(KB4&gt;=KG$10,KC4&gt;=KG$14,KB4&lt;&gt;""),AND(KE4&gt;=KG$10,KF4&gt;=KG$14,KE4&lt;&gt;""),AND(LB4&gt;=LG$10,LC4&gt;=LG$14,LB4&lt;&gt;""),AND(LE4&gt;=LG$10,LF4&gt;=LG$14,LE4&lt;&gt;""),AND(MB4&gt;=MG$10,MC4&gt;=MG$14,MB4&lt;&gt;""),AND(ME4&gt;=MG$10,MF4&gt;=MG$14,ME4&lt;&gt;""),AND(NB4&gt;=NG$10,NC4&gt;=NG$14,NB4&lt;&gt;""),AND(NE4&gt;=NG$10,NF4&gt;=NG$14,NE4&lt;&gt;""),AND(OB4&gt;=OG$10,OC4&gt;=OG$14,OB4&lt;&gt;""),AND(OE4&gt;=OG$10,OF4&gt;=OG$14,OE4&lt;&gt;"")),"Excellence",IF(F4="P","National Team",""))))</f>
        <v/>
      </c>
      <c r="I4" s="9">
        <f>IF(COUNT(AJ4,BF4,CB4)&gt;0,LARGE((AJ4,BF4,CB4),1),0)</f>
        <v>43.199999999999996</v>
      </c>
      <c r="J4" s="9" t="str">
        <f>IF(I4=0,"",IF(I4=CB4,$BJ$1,IF(I4=BF4,$AN$1,IF(I4=AJ4,$R$1,""))))</f>
        <v>2025 Nationals</v>
      </c>
      <c r="K4" s="9">
        <f>IF(COUNT(AJ4,BF4,CB4)&gt;1,LARGE((AJ4,BF4,CB4),2),0)</f>
        <v>0</v>
      </c>
      <c r="L4" s="9" t="str">
        <f>IF(K4=0,"",IF(AND(K4=I4,K4=AJ4,K4=BF4),$R$1,IF(AND(K4=I4,K4=AJ4,K4=CB4),$R$1,IF(AND(K4=I4,K4=CB4,K4=BF4),$AN$1,IF(K4=CB4,$BJ$1,IF(K4=BF4,$AN$1,IF(K4=AJ4,$R$1,"")))))))</f>
        <v/>
      </c>
      <c r="M4" s="9">
        <f>IF(MAX(AL4,BH4,CD4)&gt;0,MAX(AL4,BH4,CD4),0)</f>
        <v>42.9</v>
      </c>
      <c r="N4" s="9" t="str">
        <f>IF(M4=0,"",IF(M4=CD4,$BJ$1,IF(M4=BH4,$AN$1,IF(M4=AL4,$R$1,""))))</f>
        <v>2025 Nationals</v>
      </c>
      <c r="O4" s="9">
        <f>IF(MAX(CF4:CG4)&gt;0,MAX(CF4:CG4),"")</f>
        <v>39</v>
      </c>
      <c r="P4" s="14" t="str">
        <f>IF(O4="","",IF(O4=CF4,"("&amp;CF$2&amp;")",IF(O4=CG4,"("&amp;CG$2&amp;")")))</f>
        <v>(Q1)</v>
      </c>
      <c r="Q4" s="9" t="str">
        <f>IF(O4="","",IF(O4=CF4,IF(O4+IF(K4="",0,K4)=OC4,$NH$1,IF(O4+IF(K4="",0,K4)=NC4,$MH$1,IF(O4+IF(K4="",0,K4)=MC4,$LH$1,IF(O4+IF(K4="",0,K4)=LC4,$KH$1,IF(O4+IF(K4="",0,K4)=KC4,$JH$1,IF(O4+IF(K4="",0,K4)=JC4,$IH$1,IF(O4+IF(K4="",0,K4)=IC4,$HH$1,IF(O4+IF(K4="",0,K4)=HC4,$GH$1,IF(O4+IF(K4="",0,K4)=GC4,$FH$1,IF(O4+IF(K4="",0,K4)=FC4,$EH$1,IF(O4+IF(K4="",0,K4)=EC4,$DH$1,IF(O4+IF(K4="",0,K4)=DC4,$CH$1)))))))))))),IF(O4=CG4,IF(O4+IF(M4="",0,M4)=OF4,$NH$1,IF(O4+IF(M4="",0,M4)=NF4,$MH$1,IF(O4+IF(M4="",0,M4)=MF4,$LH$1,IF(O4+IF(M4="",0,M4)=LF4,$KH$1,IF(O4+IF(M4="",0,M4)=KF4,$JH$1,IF(O4+IF(M4="",0,M4)=JF4,$IH$1,IF(O4+IF(M4="",0,M4)=IF4,$HH$1,IF(O4+IF(M4="",0,M4)=HF4,$GH$1,IF(O4+IF(M4="",0,M4)=GF4,$FH$1,IF(O4+IF(M4="",0,M4)=FF4,$EH$1,IF(O4+IF(M4="",0,M4)=EF4,$DH$1,IF(O4+IF(M4="",0,M4)=DF4,$CH$1)))))))))))))))</f>
        <v>2025 WAGC (Nov 16)</v>
      </c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32"/>
      <c r="AI4" s="55" t="str">
        <f>IF(SUM(S4,W4)&gt;0,SUM(S4,W4),"")</f>
        <v/>
      </c>
      <c r="AJ4" s="55" t="str">
        <f>IF(SUM(R4:S4,U4:W4,Y4)-T4-X4&gt;0,SUM(R4:S4,U4:W4,Y4)-T4-X4,"")</f>
        <v/>
      </c>
      <c r="AK4" s="55" t="str">
        <f>IF(SUM(AA4,AE4)&gt;0,SUM(AA4,AE4),"")</f>
        <v/>
      </c>
      <c r="AL4" s="55" t="str">
        <f>IF(SUM(Z4:AA4,AC4:AE4,AG4)-SUM(AB4,AF4)&gt;0,SUM(Z4:AA4,AC4:AE4,AG4)-SUM(AB4,AF4),"")</f>
        <v/>
      </c>
      <c r="AM4" s="55" t="str">
        <f>IF(SUM(AJ4,AL4)&gt;0,SUM(AJ4,AL4),"")</f>
        <v/>
      </c>
      <c r="AN4" s="19">
        <v>17.2</v>
      </c>
      <c r="AO4" s="19">
        <v>4.5999999999999996</v>
      </c>
      <c r="AP4" s="19">
        <v>0</v>
      </c>
      <c r="AQ4" s="19">
        <v>0</v>
      </c>
      <c r="AR4" s="19">
        <v>17.5</v>
      </c>
      <c r="AS4" s="19">
        <v>3.9</v>
      </c>
      <c r="AT4" s="19">
        <v>0</v>
      </c>
      <c r="AU4" s="19">
        <v>0</v>
      </c>
      <c r="AV4" s="19">
        <v>17</v>
      </c>
      <c r="AW4" s="19">
        <v>4.5999999999999996</v>
      </c>
      <c r="AX4" s="19">
        <v>0</v>
      </c>
      <c r="AY4" s="19">
        <v>0</v>
      </c>
      <c r="AZ4" s="19">
        <v>16.5</v>
      </c>
      <c r="BA4" s="19">
        <v>4.8</v>
      </c>
      <c r="BB4" s="19">
        <v>0</v>
      </c>
      <c r="BC4" s="19">
        <v>0</v>
      </c>
      <c r="BD4" s="33"/>
      <c r="BE4" s="14">
        <f>IF(SUM(AO4,AS4)&gt;0,SUM(AO4,AS4),"")</f>
        <v>8.5</v>
      </c>
      <c r="BF4" s="14">
        <f>IF(SUM(AN4:AO4,AQ4:AS4,AU4)-AP4-AT4&gt;0,SUM(AN4:AO4,AQ4:AS4,AU4)-AP4-AT4,"")</f>
        <v>43.199999999999996</v>
      </c>
      <c r="BG4" s="14">
        <f>IF(SUM(AW4,BA4)&gt;0,SUM(AW4,BA4),"")</f>
        <v>9.3999999999999986</v>
      </c>
      <c r="BH4" s="14">
        <f>IF(SUM(AV4:AW4,AY4:BA4,BC4)-SUM(AX4,BB4)&gt;0,SUM(AV4:AW4,AY4:BA4,BC4)-SUM(AX4,BB4),"")</f>
        <v>42.9</v>
      </c>
      <c r="BI4" s="14">
        <f>IF(SUM(BF4,BH4)&gt;0,SUM(BF4,BH4),"")</f>
        <v>86.1</v>
      </c>
      <c r="BJ4" s="20"/>
      <c r="BK4" s="20"/>
      <c r="BL4" s="20"/>
      <c r="BM4" s="20"/>
      <c r="BN4" s="20"/>
      <c r="BO4" s="20"/>
      <c r="BP4" s="20"/>
      <c r="BQ4" s="20"/>
      <c r="BR4" s="20"/>
      <c r="BS4" s="20"/>
      <c r="BT4" s="20"/>
      <c r="BU4" s="20"/>
      <c r="BV4" s="20"/>
      <c r="BW4" s="20"/>
      <c r="BX4" s="20"/>
      <c r="BY4" s="20"/>
      <c r="BZ4" s="32"/>
      <c r="CA4" s="55" t="str">
        <f>IF(SUM(BK4,BO4)&gt;0,SUM(BK4,BO4),"")</f>
        <v/>
      </c>
      <c r="CB4" s="55" t="str">
        <f>IF(SUM(BJ4:BK4,BM4:BO4,BQ4)-BL4-BP4&gt;0,SUM(BJ4:BK4,BM4:BO4,BQ4)-BL4-BP4,"")</f>
        <v/>
      </c>
      <c r="CC4" s="55" t="str">
        <f>IF(SUM(BS4,BW4)&gt;0,SUM(BS4,BW4),"")</f>
        <v/>
      </c>
      <c r="CD4" s="55" t="str">
        <f>IF(SUM(BR4:BS4,BU4:BW4,BY4)-SUM(BT4,BX4)&gt;0,SUM(BR4:BS4,BU4:BW4,BY4)-SUM(BT4,BX4),"")</f>
        <v/>
      </c>
      <c r="CE4" s="55" t="str">
        <f>IF(SUM(CB4,CD4)&gt;0,SUM(CB4,CD4),"")</f>
        <v/>
      </c>
      <c r="CF4" s="56">
        <f>IF(MAX(DC4,EC4,FC4,GC4,HC4,IC4,JC4,KC4,LC4,MC4,NC4,OC4)-IF(K4="",0,K4)&gt;0.001,MAX(DC4,EC4,FC4,GC4,HC4,IC4,JC4,KC4,LC4,MC4,NC4,OC4)-IF(K4="",0,K4),"")</f>
        <v>39</v>
      </c>
      <c r="CG4" s="56" t="str">
        <f>IF(MAX(DF4,EF4,FF4,GF4,HF4,IF4,JF4,KF4,LF4,MF4,NF4,OF4)-IF(M4="",0,M4)&gt;0.001,MAX(DF4,EF4,FF4,GF4,HF4,IF4,JF4,KF4,LF4,MF4,NF4,OF4)-IF(M4="",0,M4),"")</f>
        <v/>
      </c>
      <c r="CH4" s="18">
        <v>15.8</v>
      </c>
      <c r="CI4" s="18">
        <v>2.6</v>
      </c>
      <c r="CJ4" s="18">
        <v>0</v>
      </c>
      <c r="CK4" s="18">
        <v>0</v>
      </c>
      <c r="CL4" s="18">
        <v>16.399999999999999</v>
      </c>
      <c r="CM4" s="18">
        <v>4.5999999999999996</v>
      </c>
      <c r="CN4" s="18">
        <v>0.4</v>
      </c>
      <c r="CO4" s="18">
        <v>0</v>
      </c>
      <c r="CP4" s="18"/>
      <c r="CQ4" s="18"/>
      <c r="CR4" s="18"/>
      <c r="CS4" s="18"/>
      <c r="CT4" s="18"/>
      <c r="CU4" s="18"/>
      <c r="CV4" s="18"/>
      <c r="CW4" s="18"/>
      <c r="CX4" s="18"/>
      <c r="CY4" s="18"/>
      <c r="CZ4" s="18"/>
      <c r="DA4" s="18"/>
      <c r="DB4" s="55">
        <f>IF(SUM(CI4,CM4)&gt;0,SUM(CI4,CM4),"")</f>
        <v>7.1999999999999993</v>
      </c>
      <c r="DC4" s="55">
        <f>IF(SUM(CH4:CI4,CK4:CM4,CO4)-CJ4-CN4&gt;0,SUM(CH4:CI4,CK4:CM4,CO4)-CJ4-CN4,"")</f>
        <v>39</v>
      </c>
      <c r="DD4" s="55" t="str">
        <f>IF(SUM(CP4:CQ4,CS4)-CR4&gt;0,SUM(CP4:CQ4,CS4)-CR4,"")</f>
        <v/>
      </c>
      <c r="DE4" s="55" t="str">
        <f>IF(SUM(CU4,CY4)&gt;0,SUM(CU4,CY4),"")</f>
        <v/>
      </c>
      <c r="DF4" s="55" t="str">
        <f>IF(SUM(CT4:CU4,CW4:CY4,DA4)-SUM(CV4,CZ4)&gt;0,SUM(CT4:CU4,CW4:CY4,DA4)-SUM(CV4,CZ4),"")</f>
        <v/>
      </c>
      <c r="DG4" s="55">
        <f>IF(SUM(DC4,DD4,DF4)&gt;0,SUM(DC4,DD4,DF4),"")</f>
        <v>39</v>
      </c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19"/>
      <c r="EA4" s="19"/>
      <c r="EB4" s="14" t="str">
        <f>IF(SUM(DI4,DM4)&gt;0,SUM(DI4,DM4),"")</f>
        <v/>
      </c>
      <c r="EC4" s="14" t="str">
        <f>IF(SUM(DH4:DI4,DK4:DM4,DO4)-DJ4-DN4&gt;0,SUM(DH4:DI4,DK4:DM4,DO4)-DJ4-DN4,"")</f>
        <v/>
      </c>
      <c r="ED4" s="14" t="str">
        <f>IF(SUM(DP4:DQ4,DS4)-DR4&gt;0,SUM(DP4:DQ4,DS4)-DR4,"")</f>
        <v/>
      </c>
      <c r="EE4" s="14" t="str">
        <f>IF(SUM(DU4,DY4)&gt;0,SUM(DU4,DY4),"")</f>
        <v/>
      </c>
      <c r="EF4" s="14" t="str">
        <f>IF(SUM(DT4:DU4,DW4:DY4,EA4)-SUM(DV4,DZ4)&gt;0,SUM(DT4:DU4,DW4:DY4,EA4)-SUM(DV4,DZ4),"")</f>
        <v/>
      </c>
      <c r="EG4" s="14" t="str">
        <f>IF(SUM(EC4,ED4,EF4)&gt;0,SUM(EC4,ED4,EF4),"")</f>
        <v/>
      </c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55" t="str">
        <f>IF(SUM(EI4,EM4)&gt;0,SUM(EI4,EM4),"")</f>
        <v/>
      </c>
      <c r="FC4" s="55" t="str">
        <f>IF(SUM(EH4:EI4,EK4:EM4,EO4)-EJ4-EN4&gt;0,SUM(EH4:EI4,EK4:EM4,EO4)-EJ4-EN4,"")</f>
        <v/>
      </c>
      <c r="FD4" s="55" t="str">
        <f>IF(SUM(EP4:EQ4,ES4)-ER4&gt;0,SUM(EP4:EQ4,ES4)-ER4,"")</f>
        <v/>
      </c>
      <c r="FE4" s="55" t="str">
        <f>IF(SUM(EU4,EY4)&gt;0,SUM(EU4,EY4),"")</f>
        <v/>
      </c>
      <c r="FF4" s="55" t="str">
        <f>IF(SUM(ET4:EU4,EW4:EY4,FA4)-SUM(EV4,EZ4)&gt;0,SUM(ET4:EU4,EW4:EY4,FA4)-SUM(EV4,EZ4),"")</f>
        <v/>
      </c>
      <c r="FG4" s="55" t="str">
        <f>IF(SUM(FC4,FD4,FF4)&gt;0,SUM(FC4,FD4,FF4),"")</f>
        <v/>
      </c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9"/>
      <c r="FV4" s="19"/>
      <c r="FW4" s="19"/>
      <c r="FX4" s="19"/>
      <c r="FY4" s="19"/>
      <c r="FZ4" s="19"/>
      <c r="GA4" s="19"/>
      <c r="GB4" s="14" t="str">
        <f>IF(SUM(FI4,FM4)&gt;0,SUM(FI4,FM4),"")</f>
        <v/>
      </c>
      <c r="GC4" s="14" t="str">
        <f>IF(SUM(FH4:FI4,FK4:FM4,FO4)-FJ4-FN4&gt;0,SUM(FH4:FI4,FK4:FM4,FO4)-FJ4-FN4,"")</f>
        <v/>
      </c>
      <c r="GD4" s="14" t="str">
        <f>IF(SUM(FP4:FQ4,FS4)-FR4&gt;0,SUM(FP4:FQ4,FS4)-FR4,"")</f>
        <v/>
      </c>
      <c r="GE4" s="14" t="str">
        <f>IF(SUM(FU4,FY4)&gt;0,SUM(FU4,FY4),"")</f>
        <v/>
      </c>
      <c r="GF4" s="14" t="str">
        <f>IF(SUM(FT4:FU4,FW4:FY4,GA4)-SUM(FV4,FZ4)&gt;0,SUM(FT4:FU4,FW4:FY4,GA4)-SUM(FV4,FZ4),"")</f>
        <v/>
      </c>
      <c r="GG4" s="14" t="str">
        <f>IF(SUM(GC4,GD4,GF4)&gt;0,SUM(GC4,GD4,GF4),"")</f>
        <v/>
      </c>
      <c r="GH4" s="18"/>
      <c r="GI4" s="18"/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55" t="str">
        <f>IF(SUM(GI4,GM4)&gt;0,SUM(GI4,GM4),"")</f>
        <v/>
      </c>
      <c r="HC4" s="55" t="str">
        <f>IF(SUM(GH4:GI4,GK4:GM4,GO4)-GJ4-GN4&gt;0,SUM(GH4:GI4,GK4:GM4,GO4)-GJ4-GN4,"")</f>
        <v/>
      </c>
      <c r="HD4" s="55" t="str">
        <f>IF(SUM(GP4:GQ4,GS4)-GR4&gt;0,SUM(GP4:GQ4,GS4)-GR4,"")</f>
        <v/>
      </c>
      <c r="HE4" s="55" t="str">
        <f>IF(SUM(GU4,GY4)&gt;0,SUM(GU4,GY4),"")</f>
        <v/>
      </c>
      <c r="HF4" s="55" t="str">
        <f>IF(SUM(GT4:GU4,GW4:GY4,HA4)-SUM(GV4,GZ4)&gt;0,SUM(GT4:GU4,GW4:GY4,HA4)-SUM(GV4,GZ4),"")</f>
        <v/>
      </c>
      <c r="HG4" s="55" t="str">
        <f>IF(SUM(HC4,HD4,HF4)&gt;0,SUM(HC4,HD4,HF4),"")</f>
        <v/>
      </c>
      <c r="HH4" s="19"/>
      <c r="HI4" s="19"/>
      <c r="HJ4" s="19"/>
      <c r="HK4" s="19"/>
      <c r="HL4" s="19"/>
      <c r="HM4" s="19"/>
      <c r="HN4" s="19"/>
      <c r="HO4" s="19"/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4" t="str">
        <f>IF(SUM(HI4,HM4)&gt;0,SUM(HI4,HM4),"")</f>
        <v/>
      </c>
      <c r="IC4" s="14" t="str">
        <f>IF(SUM(HH4:HI4,HK4:HM4,HO4)-HJ4-HN4&gt;0,SUM(HH4:HI4,HK4:HM4,HO4)-HJ4-HN4,"")</f>
        <v/>
      </c>
      <c r="ID4" s="14" t="str">
        <f>IF(SUM(HP4:HQ4,HS4)-HR4&gt;0,SUM(HP4:HQ4,HS4)-HR4,"")</f>
        <v/>
      </c>
      <c r="IE4" s="14" t="str">
        <f>IF(SUM(HU4,HY4)&gt;0,SUM(HU4,HY4),"")</f>
        <v/>
      </c>
      <c r="IF4" s="14" t="str">
        <f>IF(SUM(HT4:HU4,HW4:HY4,IA4)-SUM(HV4,HZ4)&gt;0,SUM(HT4:HU4,HW4:HY4,IA4)-SUM(HV4,HZ4),"")</f>
        <v/>
      </c>
      <c r="IG4" s="14" t="str">
        <f>IF(SUM(IC4,ID4,IF4)&gt;0,SUM(IC4,ID4,IF4),"")</f>
        <v/>
      </c>
      <c r="IH4" s="18"/>
      <c r="II4" s="18"/>
      <c r="IJ4" s="18"/>
      <c r="IK4" s="18"/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55" t="str">
        <f>IF(SUM(II4,IM4)&gt;0,SUM(II4,IM4),"")</f>
        <v/>
      </c>
      <c r="JC4" s="55" t="str">
        <f>IF(SUM(IH4:II4,IK4:IM4,IO4)-IJ4-IN4&gt;0,SUM(IH4:II4,IK4:IM4,IO4)-IJ4-IN4,"")</f>
        <v/>
      </c>
      <c r="JD4" s="55" t="str">
        <f>IF(SUM(IP4:IQ4,IS4)-IR4&gt;0,SUM(IP4:IQ4,IS4)-IR4,"")</f>
        <v/>
      </c>
      <c r="JE4" s="55" t="str">
        <f>IF(SUM(IU4,IY4)&gt;0,SUM(IU4,IY4),"")</f>
        <v/>
      </c>
      <c r="JF4" s="55" t="str">
        <f>IF(SUM(IT4:IU4,IW4:IY4,JA4)-SUM(IV4,IZ4)&gt;0,SUM(IT4:IU4,IW4:IY4,JA4)-SUM(IV4,IZ4),"")</f>
        <v/>
      </c>
      <c r="JG4" s="55" t="str">
        <f>IF(SUM(JC4,JD4,JF4)&gt;0,SUM(JC4,JD4,JF4),"")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19"/>
      <c r="JX4" s="19"/>
      <c r="JY4" s="19"/>
      <c r="JZ4" s="19"/>
      <c r="KA4" s="19"/>
      <c r="KB4" s="14" t="str">
        <f>IF(SUM(JI4,JM4)&gt;0,SUM(JI4,JM4),"")</f>
        <v/>
      </c>
      <c r="KC4" s="14" t="str">
        <f>IF(SUM(JH4:JI4,JK4:JM4,JO4)-JJ4-JN4&gt;0,SUM(JH4:JI4,JK4:JM4,JO4)-JJ4-JN4,"")</f>
        <v/>
      </c>
      <c r="KD4" s="14" t="str">
        <f>IF(SUM(JP4:JQ4,JS4)-JR4&gt;0,SUM(JP4:JQ4,JS4)-JR4,"")</f>
        <v/>
      </c>
      <c r="KE4" s="14" t="str">
        <f>IF(SUM(JU4,JY4)&gt;0,SUM(JU4,JY4),"")</f>
        <v/>
      </c>
      <c r="KF4" s="14" t="str">
        <f>IF(SUM(JT4:JU4,JW4:JY4,KA4)-SUM(JV4,JZ4)&gt;0,SUM(JT4:JU4,JW4:JY4,KA4)-SUM(JV4,JZ4),"")</f>
        <v/>
      </c>
      <c r="KG4" s="14" t="str">
        <f>IF(SUM(KC4,KD4,KF4)&gt;0,SUM(KC4,KD4,KF4),"")</f>
        <v/>
      </c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55" t="str">
        <f>IF(SUM(KI4,KM4)&gt;0,SUM(KI4,KM4),"")</f>
        <v/>
      </c>
      <c r="LC4" s="55" t="str">
        <f>IF(SUM(KH4:KI4,KK4:KM4,KO4)-KJ4-KN4&gt;0,SUM(KH4:KI4,KK4:KM4,KO4)-KJ4-KN4,"")</f>
        <v/>
      </c>
      <c r="LD4" s="55" t="str">
        <f>IF(SUM(KP4:KQ4,KS4)-KR4&gt;0,SUM(KP4:KQ4,KS4)-KR4,"")</f>
        <v/>
      </c>
      <c r="LE4" s="55" t="str">
        <f>IF(SUM(KU4,KY4)&gt;0,SUM(KU4,KY4),"")</f>
        <v/>
      </c>
      <c r="LF4" s="55" t="str">
        <f>IF(SUM(KT4:KU4,KW4:KY4,LA4)-SUM(KV4,KZ4)&gt;0,SUM(KT4:KU4,KW4:KY4,LA4)-SUM(KV4,KZ4),"")</f>
        <v/>
      </c>
      <c r="LG4" s="55" t="str">
        <f>IF(SUM(LC4,LD4,LF4)&gt;0,SUM(LC4,LD4,LF4),"")</f>
        <v/>
      </c>
      <c r="LH4" s="19"/>
      <c r="LI4" s="19"/>
      <c r="LJ4" s="19"/>
      <c r="LK4" s="19"/>
      <c r="LL4" s="19"/>
      <c r="LM4" s="19"/>
      <c r="LN4" s="19"/>
      <c r="LO4" s="19"/>
      <c r="LP4" s="19"/>
      <c r="LQ4" s="19"/>
      <c r="LR4" s="19"/>
      <c r="LS4" s="19"/>
      <c r="LT4" s="19"/>
      <c r="LU4" s="19"/>
      <c r="LV4" s="19"/>
      <c r="LW4" s="19"/>
      <c r="LX4" s="19"/>
      <c r="LY4" s="19"/>
      <c r="LZ4" s="19"/>
      <c r="MA4" s="19"/>
      <c r="MB4" s="14" t="str">
        <f>IF(SUM(LI4,LM4)&gt;0,SUM(LI4,LM4),"")</f>
        <v/>
      </c>
      <c r="MC4" s="14" t="str">
        <f>IF(SUM(LH4:LI4,LK4:LM4,LO4)-LJ4-LN4&gt;0,SUM(LH4:LI4,LK4:LM4,LO4)-LJ4-LN4,"")</f>
        <v/>
      </c>
      <c r="MD4" s="14" t="str">
        <f>IF(SUM(LP4:LQ4,LS4)-LR4&gt;0,SUM(LP4:LQ4,LS4)-LR4,"")</f>
        <v/>
      </c>
      <c r="ME4" s="14" t="str">
        <f>IF(SUM(LU4,LY4)&gt;0,SUM(LU4,LY4),"")</f>
        <v/>
      </c>
      <c r="MF4" s="14" t="str">
        <f>IF(SUM(LT4:LU4,LW4:LY4,MA4)-SUM(LV4,LZ4)&gt;0,SUM(LT4:LU4,LW4:LY4,MA4)-SUM(LV4,LZ4),"")</f>
        <v/>
      </c>
      <c r="MG4" s="14" t="str">
        <f>IF(SUM(MC4,MD4,MF4)&gt;0,SUM(MC4,MD4,MF4),"")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55" t="str">
        <f>IF(SUM(MI4,MM4)&gt;0,SUM(MI4,MM4),"")</f>
        <v/>
      </c>
      <c r="NC4" s="55" t="str">
        <f>IF(SUM(MH4:MI4,MK4:MM4,MO4)-MJ4-MN4&gt;0,SUM(MH4:MI4,MK4:MM4,MO4)-MJ4-MN4,"")</f>
        <v/>
      </c>
      <c r="ND4" s="55" t="str">
        <f>IF(SUM(MP4:MQ4,MS4)-MR4&gt;0,SUM(MP4:MQ4,MS4)-MR4,"")</f>
        <v/>
      </c>
      <c r="NE4" s="55" t="str">
        <f>IF(SUM(MU4,MY4)&gt;0,SUM(MU4,MY4),"")</f>
        <v/>
      </c>
      <c r="NF4" s="55" t="str">
        <f>IF(SUM(MT4:MU4,MW4:MY4,NA4)-SUM(MV4,MZ4)&gt;0,SUM(MT4:MU4,MW4:MY4,NA4)-SUM(MV4,MZ4),"")</f>
        <v/>
      </c>
      <c r="NG4" s="55" t="str">
        <f>IF(SUM(NC4,ND4,NF4)&gt;0,SUM(NC4,ND4,NF4),"")</f>
        <v/>
      </c>
      <c r="NH4" s="19"/>
      <c r="NI4" s="19"/>
      <c r="NJ4" s="19"/>
      <c r="NK4" s="19"/>
      <c r="NL4" s="19"/>
      <c r="NM4" s="19"/>
      <c r="NN4" s="19"/>
      <c r="NO4" s="19"/>
      <c r="NP4" s="19"/>
      <c r="NQ4" s="19"/>
      <c r="NR4" s="19"/>
      <c r="NS4" s="19"/>
      <c r="NT4" s="19"/>
      <c r="NU4" s="19"/>
      <c r="NV4" s="19"/>
      <c r="NW4" s="19"/>
      <c r="NX4" s="19"/>
      <c r="NY4" s="19"/>
      <c r="NZ4" s="19"/>
      <c r="OA4" s="19"/>
      <c r="OB4" s="14" t="str">
        <f>IF(SUM(NI4,NM4)&gt;0,SUM(NI4,NM4),"")</f>
        <v/>
      </c>
      <c r="OC4" s="14" t="str">
        <f>IF(SUM(NH4:NI4,NK4:NM4,NO4)-NJ4-NN4&gt;0,SUM(NH4:NI4,NK4:NM4,NO4)-NJ4-NN4,"")</f>
        <v/>
      </c>
      <c r="OD4" s="14" t="str">
        <f>IF(SUM(NP4:NQ4,NS4)-NR4&gt;0,SUM(NP4:NQ4,NS4)-NR4,"")</f>
        <v/>
      </c>
      <c r="OE4" s="14" t="str">
        <f>IF(SUM(NU4,NY4)&gt;0,SUM(NU4,NY4),"")</f>
        <v/>
      </c>
      <c r="OF4" s="14" t="str">
        <f>IF(SUM(NT4:NU4,NW4:NY4,OA4)-SUM(NV4,NZ4)&gt;0,SUM(NT4:NU4,NW4:NY4,OA4)-SUM(NV4,NZ4),"")</f>
        <v/>
      </c>
      <c r="OG4" s="14" t="str">
        <f>IF(SUM(OC4,OD4,OF4)&gt;0,SUM(OC4,OD4,OF4),"")</f>
        <v/>
      </c>
      <c r="OH4" s="27">
        <f t="shared" ref="OH4:OW5" si="0">IF($BZ4="P",BJ4,(BJ4+AN4)/2)</f>
        <v>8.6</v>
      </c>
      <c r="OI4" s="27">
        <f t="shared" si="0"/>
        <v>2.2999999999999998</v>
      </c>
      <c r="OJ4" s="27">
        <f t="shared" si="0"/>
        <v>0</v>
      </c>
      <c r="OK4" s="27">
        <f t="shared" si="0"/>
        <v>0</v>
      </c>
      <c r="OL4" s="27">
        <f t="shared" si="0"/>
        <v>8.75</v>
      </c>
      <c r="OM4" s="27">
        <f t="shared" si="0"/>
        <v>1.95</v>
      </c>
      <c r="ON4" s="27">
        <f t="shared" si="0"/>
        <v>0</v>
      </c>
      <c r="OO4" s="27">
        <f t="shared" si="0"/>
        <v>0</v>
      </c>
      <c r="OP4" s="27">
        <f t="shared" si="0"/>
        <v>8.5</v>
      </c>
      <c r="OQ4" s="27">
        <f t="shared" si="0"/>
        <v>2.2999999999999998</v>
      </c>
      <c r="OR4" s="27">
        <f t="shared" si="0"/>
        <v>0</v>
      </c>
      <c r="OS4" s="27">
        <f t="shared" si="0"/>
        <v>0</v>
      </c>
      <c r="OT4" s="27">
        <f t="shared" si="0"/>
        <v>8.25</v>
      </c>
      <c r="OU4" s="27">
        <f t="shared" si="0"/>
        <v>2.4</v>
      </c>
      <c r="OV4" s="27">
        <f t="shared" si="0"/>
        <v>0</v>
      </c>
      <c r="OW4" s="27">
        <f t="shared" si="0"/>
        <v>0</v>
      </c>
      <c r="OX4" s="32" t="s">
        <v>44</v>
      </c>
      <c r="OY4" s="55">
        <f>IF(SUM(OI4,OM4)&gt;0,SUM(OI4,OM4),"")</f>
        <v>4.25</v>
      </c>
      <c r="OZ4" s="55">
        <f>IF(SUM(OH4:OI4,OK4:OM4,OO4)-OJ4-ON4&gt;0,SUM(OH4:OI4,OK4:OM4,OO4)-OJ4-ON4,"")</f>
        <v>21.599999999999998</v>
      </c>
      <c r="PA4" s="55">
        <f>IF(SUM(OQ4,OU4)&gt;0,SUM(OQ4,OU4),"")</f>
        <v>4.6999999999999993</v>
      </c>
      <c r="PB4" s="55">
        <f>IF(SUM(OP4:OQ4,OS4:OU4,OW4)-SUM(OR4,OV4)&gt;0,SUM(OP4:OQ4,OS4:OU4,OW4)-SUM(OR4,OV4),"")</f>
        <v>21.45</v>
      </c>
      <c r="PC4" s="55">
        <f>IF(SUM(OZ4,PB4)&gt;0,SUM(OZ4,PB4),"")</f>
        <v>43.05</v>
      </c>
    </row>
    <row r="5" spans="1:419" x14ac:dyDescent="0.2">
      <c r="A5" s="4" t="str" cm="1">
        <f t="array" ref="A5">IF(AND(H5&lt;&gt;"",H5&lt;&gt;"No DD"),SUMPRODUCT((H$4:H$6&lt;&gt;"")*(H$4:H$6&lt;&gt;"No DD")*(E$4:E$6&gt;E5))+1,IF(H5="No DD",SUMPRODUCT((H$4:H$6="No DD")*(E$4:E$6&gt;E5))+1+SUMPRODUCT((H$4:H$6&lt;&gt;"")*(H$4:H$6&lt;&gt;"No DD")),""))</f>
        <v/>
      </c>
      <c r="B5" s="5" t="s">
        <v>81</v>
      </c>
      <c r="C5" s="4" t="s">
        <v>64</v>
      </c>
      <c r="D5" s="4">
        <v>2012</v>
      </c>
      <c r="E5" s="10">
        <f>SUM(I5:O5)+SUM(I5:M5)*0.0000001+SUM(I5)*0.0000000000001</f>
        <v>123.40001204000416</v>
      </c>
      <c r="F5" s="3" t="str">
        <f>IF(OR(AND(AI5&gt;=AM$8,AJ5&gt;=AM$12,AI5&lt;&gt;"",AH5=""),AND(AK5&gt;=AM$8,AL5&gt;=AM$12,AK5&lt;&gt;"",AH5=""),AND(BE5&gt;=BI$8,BF5&gt;=BI$12,BE5&lt;&gt;"",BD5=""),AND(BG5&gt;=BI$8,BH5&gt;=BI$12,BG5&lt;&gt;"",BD5=""),AND(CA5&gt;=CE$8,CB5&gt;=CE$12,CA5&lt;&gt;"",BZ5=""),AND(CC5&gt;=CE$8,CD5&gt;=CE$12,CC5&lt;&gt;""),AND(DB5&gt;=DG$8,DC5&gt;=DG$12,DB5&lt;&gt;""),AND(DE5&gt;=DG$8,DF5&gt;=DG$12,DE5&lt;&gt;""),AND(EB5&gt;=EG$8,EC5&gt;=EG$12,EB5&lt;&gt;""),AND(EE5&gt;=EG$8,EF5&gt;=EG$12,EE5&lt;&gt;""),AND(FB5&gt;=FG$8,FC5&gt;=FG$12,FB5&lt;&gt;""),AND(FE5&gt;=FG$8,FF5&gt;=FG$12,FE5&lt;&gt;""),AND(GB5&gt;=GG$8,GC5&gt;=GG$12,GB5&lt;&gt;""),AND(GE5&gt;=GG$8,GF5&gt;=GG$12,GE5&lt;&gt;""),AND(HB5&gt;=HG$8,HC5&gt;=HG$12,HB5&lt;&gt;""),AND(HE5&gt;=HG$8,HF5&gt;=HG$12,HE5&lt;&gt;""),AND(IB5&gt;=IG$8,IC5&gt;=IG$12,IB5&lt;&gt;""),AND(IE5&gt;=IG$8,IF5&gt;=IG$12,IE5&lt;&gt;""),AND(JB5&gt;=JG$8,JC5&gt;=JG$12,JB5&lt;&gt;""),AND(JE5&gt;=JG$8,JF5&gt;=JG$12,JE5&lt;&gt;""),AND(KB5&gt;=KG$8,KC5&gt;=KG$12,KB5&lt;&gt;""),AND(KE5&gt;=KG$8,KF5&gt;=KG$12,KE5&lt;&gt;""),AND(LB5&gt;=LG$8,LC5&gt;=LG$12,LB5&lt;&gt;""),AND(LE5&gt;=LG$8,LF5&gt;=LG$12,LE5&lt;&gt;""),AND(MB5&gt;=MG$8,MC5&gt;=MG$12,MB5&lt;&gt;""),AND(ME5&gt;=MG$8,MF5&gt;=MG$12,ME5&lt;&gt;""),AND(NB5&gt;=NG$8,NC5&gt;=NG$12,NB5&lt;&gt;""),AND(NE5&gt;=NG$8,NF5&gt;=NG$12,NE5&lt;&gt;""),AND(OB5&gt;=OG$8,OC5&gt;=OG$12,OB5&lt;&gt;""),AND(OE5&gt;=OG$8,OF5&gt;=OG$12,OE5&lt;&gt;"")),"P","")</f>
        <v/>
      </c>
      <c r="G5" s="3" t="str">
        <f>IF(OR(AND(AJ5&gt;=AM$12,AJ5&lt;&gt;"",AH5=""),AND(AL5&gt;=AM$12,AL5&lt;&gt;"",AH5=""),AND(BF5&gt;=BI$12,BF5&lt;&gt;"",BD5=""),AND(BH5&gt;=BI$12,BH5&lt;&gt;"",BD5=""),AND(CB5&gt;=CE$12,CB5&lt;&gt;"",BZ5=""),AND(CD5&gt;=CE$12,CD5&lt;&gt;"",BZ5=""),AND(DC5&gt;=DG$12,DC5&lt;&gt;""),AND(DF5&gt;=DG$12,DF5&lt;&gt;""),AND(EC5&gt;=EG$12,EC5&lt;&gt;""),AND(EF5&gt;=EG$12,EF5&lt;&gt;""),AND(FC5&gt;=FG$12,FC5&lt;&gt;""),AND(FF5&gt;=FG$12,FF5&lt;&gt;""),AND(GC5&gt;=GG$12,GC5&lt;&gt;""),AND(GF5&gt;=GG$12,GF5&lt;&gt;""),AND(HC5&gt;=HG$12,HC5&lt;&gt;""),AND(HF5&gt;=HG$12,HF5&lt;&gt;""),AND(IC5&gt;=IG$12,IC5&lt;&gt;""),AND(IF5&gt;=IG$12,IF5&lt;&gt;""),AND(JC5&gt;=JG$12,JC5&lt;&gt;""),AND(JF5&gt;=JG$12,JF5&lt;&gt;""),AND(KC5&gt;=KG$12,KC5&lt;&gt;""),AND(KF5&gt;=KG$12,KF5&lt;&gt;""),AND(LC5&gt;=LG$12,LC5&lt;&gt;""),AND(LF5&gt;=LG$12,LF5&lt;&gt;""),AND(MC5&gt;=MG$12,MC5&lt;&gt;""),AND(MF5&gt;=MG$12,MF5&lt;&gt;""),AND(NC5&gt;=NG$12,NC5&lt;&gt;""),AND(NF5&gt;=NG$12,NF5&lt;&gt;""),AND(OC5&gt;=OG$12,OC5&lt;&gt;""),AND(OF5&gt;=OG$12,OF5&lt;&gt;"")),"P","")</f>
        <v/>
      </c>
      <c r="H5" s="47" t="str">
        <f>IF(AND(G5="P",F5=""),"No DD",IF(OR(AND(AI5&gt;=AM$11,AJ5&gt;=AM$15,AI5&lt;&gt;"",AH5=""),AND(AK5&gt;=AM$11,AL5&gt;=AM$15,AK5&lt;&gt;"",AH5=""),AND(BE5&gt;=BI$11,BF5&gt;=BI$15,BE5&lt;&gt;"",BD5=""),AND(BG5&gt;=BI$11,BH5&gt;=BI$15,BG5&lt;&gt;"",BD5=""),AND(CA5&gt;=CE$11,CB5&gt;=CE$15,CA5&lt;&gt;"",BZ5=""),AND(CC5&gt;=CE$11,CD5&gt;=CE$15,CC5&lt;&gt;""),AND(DB5&gt;=DG$11,DC5&gt;=DG$15,DB5&lt;&gt;""),AND(DE5&gt;=DG$11,DF5&gt;=DG$15,DE5&lt;&gt;""),AND(EB5&gt;=EG$11,EC5&gt;=EG$15,EB5&lt;&gt;""),AND(EE5&gt;=EG$11,EF5&gt;=EG$15,EE5&lt;&gt;""),AND(FB5&gt;=FG$11,FC5&gt;=FG$15,FB5&lt;&gt;""),AND(FE5&gt;=FG$11,FF5&gt;=FG$15,FE5&lt;&gt;""),AND(GB5&gt;=GG$11,GC5&gt;=GG$15,GB5&lt;&gt;""),AND(GE5&gt;=GG$11,GF5&gt;=GG$15,GE5&lt;&gt;""),AND(HB5&gt;=HG$11,HC5&gt;=HG$15,HB5&lt;&gt;""),AND(HE5&gt;=HG$11,HF5&gt;=HG$15,HE5&lt;&gt;""),AND(IB5&gt;=IG$11,IC5&gt;=IG$15,IB5&lt;&gt;""),AND(IE5&gt;=IG$11,IF5&gt;=IG$15,IE5&lt;&gt;""),AND(JB5&gt;=JG$11,JC5&gt;=JG$15,JB5&lt;&gt;""),AND(JE5&gt;=JG$11,JF5&gt;=JG$15,JE5&lt;&gt;""),AND(KB5&gt;=KG$11,KC5&gt;=KG$15,KB5&lt;&gt;""),AND(KE5&gt;=KG$11,KF5&gt;=KG$15,KE5&lt;&gt;""),AND(LB5&gt;=LG$11,LC5&gt;=LG$15,LB5&lt;&gt;""),AND(LE5&gt;=LG$11,LF5&gt;=LG$15,LE5&lt;&gt;""),AND(MB5&gt;=MG$11,MC5&gt;=MG$15,MB5&lt;&gt;""),AND(ME5&gt;=MG$11,MF5&gt;=MG$15,ME5&lt;&gt;""),AND(NB5&gt;=NG$11,NC5&gt;=NG$15,NB5&lt;&gt;""),AND(NE5&gt;=NG$11,NF5&gt;=NG$15,NE5&lt;&gt;""),AND(OB5&gt;=OG$11,OC5&gt;=OG$15,OB5&lt;&gt;""),AND(OE5&gt;=OG$11,OF5&gt;=OG$15,OE5&lt;&gt;"")),"Merit",IF(OR(AND(AI5&gt;=AM$10,AJ5&gt;=AM$14,AI5&lt;&gt;"",AH5=""),AND(AK5&gt;=AM$10,AL5&gt;=AM$14,AK5&lt;&gt;"",AH5=""),AND(BE5&gt;=BI$10,BF5&gt;=BI$14,BE5&lt;&gt;"",BD5=""),AND(BG5&gt;=BI$10,BH5&gt;=BI$14,BG5&lt;&gt;"",BD5=""),AND(CA5&gt;=CE$10,CB5&gt;=CE$14,CA5&lt;&gt;"",BZ5=""),AND(CC5&gt;=CE$10,CD5&gt;=CE$14,CC5&lt;&gt;""),AND(DB5&gt;=DG$10,DC5&gt;=DG$14,DB5&lt;&gt;""),AND(DE5&gt;=DG$10,DF5&gt;=DG$14,DE5&lt;&gt;""),AND(EB5&gt;=EG$10,EC5&gt;=EG$14,EB5&lt;&gt;""),AND(EE5&gt;=EG$10,EF5&gt;=EG$14,EE5&lt;&gt;""),AND(FB5&gt;=FG$10,FC5&gt;=FG$14,FB5&lt;&gt;""),AND(FE5&gt;=FG$10,FF5&gt;=FG$14,FE5&lt;&gt;""),AND(GB5&gt;=GG$10,GC5&gt;=GG$14,GB5&lt;&gt;""),AND(GE5&gt;=GG$10,GF5&gt;=GG$14,GE5&lt;&gt;""),AND(HB5&gt;=HG$10,HC5&gt;=HG$14,HB5&lt;&gt;""),AND(HE5&gt;=HG$10,HF5&gt;=HG$14,HE5&lt;&gt;""),AND(IB5&gt;=IG$10,IC5&gt;=IG$14,IB5&lt;&gt;""),AND(IE5&gt;=IG$10,IF5&gt;=IG$14,IE5&lt;&gt;""),AND(JB5&gt;=JG$10,JC5&gt;=JG$14,JB5&lt;&gt;""),AND(JE5&gt;=JG$10,JF5&gt;=JG$14,JE5&lt;&gt;""),AND(KB5&gt;=KG$10,KC5&gt;=KG$14,KB5&lt;&gt;""),AND(KE5&gt;=KG$10,KF5&gt;=KG$14,KE5&lt;&gt;""),AND(LB5&gt;=LG$10,LC5&gt;=LG$14,LB5&lt;&gt;""),AND(LE5&gt;=LG$10,LF5&gt;=LG$14,LE5&lt;&gt;""),AND(MB5&gt;=MG$10,MC5&gt;=MG$14,MB5&lt;&gt;""),AND(ME5&gt;=MG$10,MF5&gt;=MG$14,ME5&lt;&gt;""),AND(NB5&gt;=NG$10,NC5&gt;=NG$14,NB5&lt;&gt;""),AND(NE5&gt;=NG$10,NF5&gt;=NG$14,NE5&lt;&gt;""),AND(OB5&gt;=OG$10,OC5&gt;=OG$14,OB5&lt;&gt;""),AND(OE5&gt;=OG$10,OF5&gt;=OG$14,OE5&lt;&gt;"")),"Excellence",IF(F5="P","National Team",""))))</f>
        <v/>
      </c>
      <c r="I5" s="9">
        <f>IF(COUNT(AJ5,BF5,CB5)&gt;0,LARGE((AJ5,BF5,CB5),1),0)</f>
        <v>41.500000000000007</v>
      </c>
      <c r="J5" s="9" t="str">
        <f>IF(I5=0,"",IF(I5=CB5,$BJ$1,IF(I5=BF5,$AN$1,IF(I5=AJ5,$R$1,""))))</f>
        <v>2025 Nationals</v>
      </c>
      <c r="K5" s="9">
        <f>IF(COUNT(AJ5,BF5,CB5)&gt;1,LARGE((AJ5,BF5,CB5),2),0)</f>
        <v>38.800000000000004</v>
      </c>
      <c r="L5" s="9" t="str">
        <f>IF(K5=0,"",IF(AND(K5=I5,K5=AJ5,K5=BF5),$R$1,IF(AND(K5=I5,K5=AJ5,K5=CB5),$R$1,IF(AND(K5=I5,K5=CB5,K5=BF5),$AN$1,IF(K5=CB5,$BJ$1,IF(K5=BF5,$AN$1,IF(K5=AJ5,$R$1,"")))))))</f>
        <v>2025 Elite Canada</v>
      </c>
      <c r="M5" s="9">
        <f>IF(MAX(AL5,BH5,CD5)&gt;0,MAX(AL5,BH5,CD5),0)</f>
        <v>40.1</v>
      </c>
      <c r="N5" s="9" t="str">
        <f>IF(M5=0,"",IF(M5=CD5,$BJ$1,IF(M5=BH5,$AN$1,IF(M5=AL5,$R$1,""))))</f>
        <v>2025 Elite Canada</v>
      </c>
      <c r="O5" s="9">
        <f>IF(MAX(CF5:CG5)&gt;0,MAX(CF5:CG5),"")</f>
        <v>2.9999999999999929</v>
      </c>
      <c r="P5" s="14" t="str">
        <f>IF(O5="","",IF(O5=CF5,"("&amp;CF$2&amp;")",IF(O5=CG5,"("&amp;CG$2&amp;")")))</f>
        <v>(Q1)</v>
      </c>
      <c r="Q5" s="9" t="str">
        <f>IF(O5="","",IF(O5=CF5,IF(O5+IF(K5="",0,K5)=OC5,$NH$1,IF(O5+IF(K5="",0,K5)=NC5,$MH$1,IF(O5+IF(K5="",0,K5)=MC5,$LH$1,IF(O5+IF(K5="",0,K5)=LC5,$KH$1,IF(O5+IF(K5="",0,K5)=KC5,$JH$1,IF(O5+IF(K5="",0,K5)=JC5,$IH$1,IF(O5+IF(K5="",0,K5)=IC5,$HH$1,IF(O5+IF(K5="",0,K5)=HC5,$GH$1,IF(O5+IF(K5="",0,K5)=GC5,$FH$1,IF(O5+IF(K5="",0,K5)=FC5,$EH$1,IF(O5+IF(K5="",0,K5)=EC5,$DH$1,IF(O5+IF(K5="",0,K5)=DC5,$CH$1)))))))))))),IF(O5=CG5,IF(O5+IF(M5="",0,M5)=OF5,$NH$1,IF(O5+IF(M5="",0,M5)=NF5,$MH$1,IF(O5+IF(M5="",0,M5)=MF5,$LH$1,IF(O5+IF(M5="",0,M5)=LF5,$KH$1,IF(O5+IF(M5="",0,M5)=KF5,$JH$1,IF(O5+IF(M5="",0,M5)=JF5,$IH$1,IF(O5+IF(M5="",0,M5)=IF5,$HH$1,IF(O5+IF(M5="",0,M5)=HF5,$GH$1,IF(O5+IF(M5="",0,M5)=GF5,$FH$1,IF(O5+IF(M5="",0,M5)=FF5,$EH$1,IF(O5+IF(M5="",0,M5)=EF5,$DH$1,IF(O5+IF(M5="",0,M5)=DF5,$CH$1)))))))))))))))</f>
        <v>2025 WAGC (Nov 16)</v>
      </c>
      <c r="R5" s="20">
        <v>16.600000000000001</v>
      </c>
      <c r="S5" s="20">
        <v>1.3</v>
      </c>
      <c r="T5" s="20">
        <v>0</v>
      </c>
      <c r="U5" s="20">
        <v>0</v>
      </c>
      <c r="V5" s="20">
        <v>16.600000000000001</v>
      </c>
      <c r="W5" s="20">
        <v>4.7</v>
      </c>
      <c r="X5" s="20">
        <v>0.4</v>
      </c>
      <c r="Y5" s="20">
        <v>0</v>
      </c>
      <c r="Z5" s="20">
        <v>17.5</v>
      </c>
      <c r="AA5" s="20">
        <v>3.5</v>
      </c>
      <c r="AB5" s="20">
        <v>0.4</v>
      </c>
      <c r="AC5" s="20">
        <v>0</v>
      </c>
      <c r="AD5" s="20">
        <v>15.5</v>
      </c>
      <c r="AE5" s="20">
        <v>4</v>
      </c>
      <c r="AF5" s="20">
        <v>0</v>
      </c>
      <c r="AG5" s="20">
        <v>0</v>
      </c>
      <c r="AH5" s="32"/>
      <c r="AI5" s="55">
        <f>IF(SUM(S5,W5)&gt;0,SUM(S5,W5),"")</f>
        <v>6</v>
      </c>
      <c r="AJ5" s="55">
        <f>IF(SUM(R5:S5,U5:W5,Y5)-T5-X5&gt;0,SUM(R5:S5,U5:W5,Y5)-T5-X5,"")</f>
        <v>38.800000000000004</v>
      </c>
      <c r="AK5" s="55">
        <f>IF(SUM(AA5,AE5)&gt;0,SUM(AA5,AE5),"")</f>
        <v>7.5</v>
      </c>
      <c r="AL5" s="55">
        <f>IF(SUM(Z5:AA5,AC5:AE5,AG5)-SUM(AB5,AF5)&gt;0,SUM(Z5:AA5,AC5:AE5,AG5)-SUM(AB5,AF5),"")</f>
        <v>40.1</v>
      </c>
      <c r="AM5" s="55">
        <f>IF(SUM(AJ5,AL5)&gt;0,SUM(AJ5,AL5),"")</f>
        <v>78.900000000000006</v>
      </c>
      <c r="AN5" s="19">
        <v>17.2</v>
      </c>
      <c r="AO5" s="19">
        <v>3.5</v>
      </c>
      <c r="AP5" s="19">
        <v>0.4</v>
      </c>
      <c r="AQ5" s="19">
        <v>0</v>
      </c>
      <c r="AR5" s="19">
        <v>16.5</v>
      </c>
      <c r="AS5" s="19">
        <v>4.7</v>
      </c>
      <c r="AT5" s="19">
        <v>0</v>
      </c>
      <c r="AU5" s="19">
        <v>0</v>
      </c>
      <c r="AV5" s="19">
        <v>17</v>
      </c>
      <c r="AW5" s="19">
        <v>3.5</v>
      </c>
      <c r="AX5" s="19">
        <v>0.4</v>
      </c>
      <c r="AY5" s="19">
        <v>0</v>
      </c>
      <c r="AZ5" s="19">
        <v>15.8</v>
      </c>
      <c r="BA5" s="19">
        <v>4</v>
      </c>
      <c r="BB5" s="19">
        <v>0</v>
      </c>
      <c r="BC5" s="19">
        <v>0</v>
      </c>
      <c r="BD5" s="33"/>
      <c r="BE5" s="14">
        <f>IF(SUM(AO5,AS5)&gt;0,SUM(AO5,AS5),"")</f>
        <v>8.1999999999999993</v>
      </c>
      <c r="BF5" s="14">
        <f>IF(SUM(AN5:AO5,AQ5:AS5,AU5)-AP5-AT5&gt;0,SUM(AN5:AO5,AQ5:AS5,AU5)-AP5-AT5,"")</f>
        <v>41.500000000000007</v>
      </c>
      <c r="BG5" s="14">
        <f>IF(SUM(AW5,BA5)&gt;0,SUM(AW5,BA5),"")</f>
        <v>7.5</v>
      </c>
      <c r="BH5" s="14">
        <f>IF(SUM(AV5:AW5,AY5:BA5,BC5)-SUM(AX5,BB5)&gt;0,SUM(AV5:AW5,AY5:BA5,BC5)-SUM(AX5,BB5),"")</f>
        <v>39.9</v>
      </c>
      <c r="BI5" s="14">
        <f>IF(SUM(BF5,BH5)&gt;0,SUM(BF5,BH5),"")</f>
        <v>81.400000000000006</v>
      </c>
      <c r="BJ5" s="20"/>
      <c r="BK5" s="20"/>
      <c r="BL5" s="20"/>
      <c r="BM5" s="20"/>
      <c r="BN5" s="20"/>
      <c r="BO5" s="20"/>
      <c r="BP5" s="20"/>
      <c r="BQ5" s="20"/>
      <c r="BR5" s="20"/>
      <c r="BS5" s="20"/>
      <c r="BT5" s="20"/>
      <c r="BU5" s="20"/>
      <c r="BV5" s="20"/>
      <c r="BW5" s="20"/>
      <c r="BX5" s="20"/>
      <c r="BY5" s="20"/>
      <c r="BZ5" s="32"/>
      <c r="CA5" s="55" t="str">
        <f>IF(SUM(BK5,BO5)&gt;0,SUM(BK5,BO5),"")</f>
        <v/>
      </c>
      <c r="CB5" s="55" t="str">
        <f>IF(SUM(BJ5:BK5,BM5:BO5,BQ5)-BL5-BP5&gt;0,SUM(BJ5:BK5,BM5:BO5,BQ5)-BL5-BP5,"")</f>
        <v/>
      </c>
      <c r="CC5" s="55" t="str">
        <f>IF(SUM(BS5,BW5)&gt;0,SUM(BS5,BW5),"")</f>
        <v/>
      </c>
      <c r="CD5" s="55" t="str">
        <f>IF(SUM(BR5:BS5,BU5:BW5,BY5)-SUM(BT5,BX5)&gt;0,SUM(BR5:BS5,BU5:BW5,BY5)-SUM(BT5,BX5),"")</f>
        <v/>
      </c>
      <c r="CE5" s="55" t="str">
        <f>IF(SUM(CB5,CD5)&gt;0,SUM(CB5,CD5),"")</f>
        <v/>
      </c>
      <c r="CF5" s="56">
        <f>IF(MAX(DC5,EC5,FC5,GC5,HC5,IC5,JC5,KC5,LC5,MC5,NC5,OC5)-IF(K5="",0,K5)&gt;0.001,MAX(DC5,EC5,FC5,GC5,HC5,IC5,JC5,KC5,LC5,MC5,NC5,OC5)-IF(K5="",0,K5),"")</f>
        <v>2.9999999999999929</v>
      </c>
      <c r="CG5" s="56" t="str">
        <f>IF(MAX(DF5,EF5,FF5,GF5,HF5,IF5,JF5,KF5,LF5,MF5,NF5,OF5)-IF(M5="",0,M5)&gt;0.001,MAX(DF5,EF5,FF5,GF5,HF5,IF5,JF5,KF5,LF5,MF5,NF5,OF5)-IF(M5="",0,M5),"")</f>
        <v/>
      </c>
      <c r="CH5" s="18">
        <v>16.399999999999999</v>
      </c>
      <c r="CI5" s="18">
        <v>4.2</v>
      </c>
      <c r="CJ5" s="18">
        <v>0</v>
      </c>
      <c r="CK5" s="18">
        <v>0</v>
      </c>
      <c r="CL5" s="18">
        <v>16.5</v>
      </c>
      <c r="CM5" s="18">
        <v>4.7</v>
      </c>
      <c r="CN5" s="18">
        <v>0</v>
      </c>
      <c r="CO5" s="18">
        <v>0</v>
      </c>
      <c r="CP5" s="18"/>
      <c r="CQ5" s="18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55">
        <f>IF(SUM(CI5,CM5)&gt;0,SUM(CI5,CM5),"")</f>
        <v>8.9</v>
      </c>
      <c r="DC5" s="55">
        <f>IF(SUM(CH5:CI5,CK5:CM5,CO5)-CJ5-CN5&gt;0,SUM(CH5:CI5,CK5:CM5,CO5)-CJ5-CN5,"")</f>
        <v>41.8</v>
      </c>
      <c r="DD5" s="55" t="str">
        <f>IF(SUM(CP5:CQ5,CS5)-CR5&gt;0,SUM(CP5:CQ5,CS5)-CR5,"")</f>
        <v/>
      </c>
      <c r="DE5" s="55" t="str">
        <f>IF(SUM(CU5,CY5)&gt;0,SUM(CU5,CY5),"")</f>
        <v/>
      </c>
      <c r="DF5" s="55" t="str">
        <f>IF(SUM(CT5:CU5,CW5:CY5,DA5)-SUM(CV5,CZ5)&gt;0,SUM(CT5:CU5,CW5:CY5,DA5)-SUM(CV5,CZ5),"")</f>
        <v/>
      </c>
      <c r="DG5" s="55">
        <f>IF(SUM(DC5,DD5,DF5)&gt;0,SUM(DC5,DD5,DF5),"")</f>
        <v>41.8</v>
      </c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4" t="str">
        <f>IF(SUM(DI5,DM5)&gt;0,SUM(DI5,DM5),"")</f>
        <v/>
      </c>
      <c r="EC5" s="14" t="str">
        <f>IF(SUM(DH5:DI5,DK5:DM5,DO5)-DJ5-DN5&gt;0,SUM(DH5:DI5,DK5:DM5,DO5)-DJ5-DN5,"")</f>
        <v/>
      </c>
      <c r="ED5" s="14" t="str">
        <f>IF(SUM(DP5:DQ5,DS5)-DR5&gt;0,SUM(DP5:DQ5,DS5)-DR5,"")</f>
        <v/>
      </c>
      <c r="EE5" s="14" t="str">
        <f>IF(SUM(DU5,DY5)&gt;0,SUM(DU5,DY5),"")</f>
        <v/>
      </c>
      <c r="EF5" s="14" t="str">
        <f>IF(SUM(DT5:DU5,DW5:DY5,EA5)-SUM(DV5,DZ5)&gt;0,SUM(DT5:DU5,DW5:DY5,EA5)-SUM(DV5,DZ5),"")</f>
        <v/>
      </c>
      <c r="EG5" s="14" t="str">
        <f>IF(SUM(EC5,ED5,EF5)&gt;0,SUM(EC5,ED5,EF5),"")</f>
        <v/>
      </c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55" t="str">
        <f>IF(SUM(EI5,EM5)&gt;0,SUM(EI5,EM5),"")</f>
        <v/>
      </c>
      <c r="FC5" s="55" t="str">
        <f>IF(SUM(EH5:EI5,EK5:EM5,EO5)-EJ5-EN5&gt;0,SUM(EH5:EI5,EK5:EM5,EO5)-EJ5-EN5,"")</f>
        <v/>
      </c>
      <c r="FD5" s="55" t="str">
        <f>IF(SUM(EP5:EQ5,ES5)-ER5&gt;0,SUM(EP5:EQ5,ES5)-ER5,"")</f>
        <v/>
      </c>
      <c r="FE5" s="55" t="str">
        <f>IF(SUM(EU5,EY5)&gt;0,SUM(EU5,EY5),"")</f>
        <v/>
      </c>
      <c r="FF5" s="55" t="str">
        <f>IF(SUM(ET5:EU5,EW5:EY5,FA5)-SUM(EV5,EZ5)&gt;0,SUM(ET5:EU5,EW5:EY5,FA5)-SUM(EV5,EZ5),"")</f>
        <v/>
      </c>
      <c r="FG5" s="55" t="str">
        <f>IF(SUM(FC5,FD5,FF5)&gt;0,SUM(FC5,FD5,FF5),"")</f>
        <v/>
      </c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19"/>
      <c r="FS5" s="19"/>
      <c r="FT5" s="19"/>
      <c r="FU5" s="19"/>
      <c r="FV5" s="19"/>
      <c r="FW5" s="19"/>
      <c r="FX5" s="19"/>
      <c r="FY5" s="19"/>
      <c r="FZ5" s="19"/>
      <c r="GA5" s="19"/>
      <c r="GB5" s="14" t="str">
        <f>IF(SUM(FI5,FM5)&gt;0,SUM(FI5,FM5),"")</f>
        <v/>
      </c>
      <c r="GC5" s="14" t="str">
        <f>IF(SUM(FH5:FI5,FK5:FM5,FO5)-FJ5-FN5&gt;0,SUM(FH5:FI5,FK5:FM5,FO5)-FJ5-FN5,"")</f>
        <v/>
      </c>
      <c r="GD5" s="14" t="str">
        <f>IF(SUM(FP5:FQ5,FS5)-FR5&gt;0,SUM(FP5:FQ5,FS5)-FR5,"")</f>
        <v/>
      </c>
      <c r="GE5" s="14" t="str">
        <f>IF(SUM(FU5,FY5)&gt;0,SUM(FU5,FY5),"")</f>
        <v/>
      </c>
      <c r="GF5" s="14" t="str">
        <f>IF(SUM(FT5:FU5,FW5:FY5,GA5)-SUM(FV5,FZ5)&gt;0,SUM(FT5:FU5,FW5:FY5,GA5)-SUM(FV5,FZ5),"")</f>
        <v/>
      </c>
      <c r="GG5" s="14" t="str">
        <f>IF(SUM(GC5,GD5,GF5)&gt;0,SUM(GC5,GD5,GF5),"")</f>
        <v/>
      </c>
      <c r="GH5" s="18"/>
      <c r="GI5" s="18"/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55" t="str">
        <f>IF(SUM(GI5,GM5)&gt;0,SUM(GI5,GM5),"")</f>
        <v/>
      </c>
      <c r="HC5" s="55" t="str">
        <f>IF(SUM(GH5:GI5,GK5:GM5,GO5)-GJ5-GN5&gt;0,SUM(GH5:GI5,GK5:GM5,GO5)-GJ5-GN5,"")</f>
        <v/>
      </c>
      <c r="HD5" s="55" t="str">
        <f>IF(SUM(GP5:GQ5,GS5)-GR5&gt;0,SUM(GP5:GQ5,GS5)-GR5,"")</f>
        <v/>
      </c>
      <c r="HE5" s="55" t="str">
        <f>IF(SUM(GU5,GY5)&gt;0,SUM(GU5,GY5),"")</f>
        <v/>
      </c>
      <c r="HF5" s="55" t="str">
        <f>IF(SUM(GT5:GU5,GW5:GY5,HA5)-SUM(GV5,GZ5)&gt;0,SUM(GT5:GU5,GW5:GY5,HA5)-SUM(GV5,GZ5),"")</f>
        <v/>
      </c>
      <c r="HG5" s="55" t="str">
        <f>IF(SUM(HC5,HD5,HF5)&gt;0,SUM(HC5,HD5,HF5),"")</f>
        <v/>
      </c>
      <c r="HH5" s="19"/>
      <c r="HI5" s="19"/>
      <c r="HJ5" s="19"/>
      <c r="HK5" s="19"/>
      <c r="HL5" s="19"/>
      <c r="HM5" s="19"/>
      <c r="HN5" s="19"/>
      <c r="HO5" s="19"/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4" t="str">
        <f>IF(SUM(HI5,HM5)&gt;0,SUM(HI5,HM5),"")</f>
        <v/>
      </c>
      <c r="IC5" s="14" t="str">
        <f>IF(SUM(HH5:HI5,HK5:HM5,HO5)-HJ5-HN5&gt;0,SUM(HH5:HI5,HK5:HM5,HO5)-HJ5-HN5,"")</f>
        <v/>
      </c>
      <c r="ID5" s="14" t="str">
        <f>IF(SUM(HP5:HQ5,HS5)-HR5&gt;0,SUM(HP5:HQ5,HS5)-HR5,"")</f>
        <v/>
      </c>
      <c r="IE5" s="14" t="str">
        <f>IF(SUM(HU5,HY5)&gt;0,SUM(HU5,HY5),"")</f>
        <v/>
      </c>
      <c r="IF5" s="14" t="str">
        <f>IF(SUM(HT5:HU5,HW5:HY5,IA5)-SUM(HV5,HZ5)&gt;0,SUM(HT5:HU5,HW5:HY5,IA5)-SUM(HV5,HZ5),"")</f>
        <v/>
      </c>
      <c r="IG5" s="14" t="str">
        <f>IF(SUM(IC5,ID5,IF5)&gt;0,SUM(IC5,ID5,IF5),"")</f>
        <v/>
      </c>
      <c r="IH5" s="18"/>
      <c r="II5" s="18"/>
      <c r="IJ5" s="18"/>
      <c r="IK5" s="18"/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55" t="str">
        <f>IF(SUM(II5,IM5)&gt;0,SUM(II5,IM5),"")</f>
        <v/>
      </c>
      <c r="JC5" s="55" t="str">
        <f>IF(SUM(IH5:II5,IK5:IM5,IO5)-IJ5-IN5&gt;0,SUM(IH5:II5,IK5:IM5,IO5)-IJ5-IN5,"")</f>
        <v/>
      </c>
      <c r="JD5" s="55" t="str">
        <f>IF(SUM(IP5:IQ5,IS5)-IR5&gt;0,SUM(IP5:IQ5,IS5)-IR5,"")</f>
        <v/>
      </c>
      <c r="JE5" s="55" t="str">
        <f>IF(SUM(IU5,IY5)&gt;0,SUM(IU5,IY5),"")</f>
        <v/>
      </c>
      <c r="JF5" s="55" t="str">
        <f>IF(SUM(IT5:IU5,IW5:IY5,JA5)-SUM(IV5,IZ5)&gt;0,SUM(IT5:IU5,IW5:IY5,JA5)-SUM(IV5,IZ5),"")</f>
        <v/>
      </c>
      <c r="JG5" s="55" t="str">
        <f>IF(SUM(JC5,JD5,JF5)&gt;0,SUM(JC5,JD5,JF5),"")</f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19"/>
      <c r="JX5" s="19"/>
      <c r="JY5" s="19"/>
      <c r="JZ5" s="19"/>
      <c r="KA5" s="19"/>
      <c r="KB5" s="14" t="str">
        <f>IF(SUM(JI5,JM5)&gt;0,SUM(JI5,JM5),"")</f>
        <v/>
      </c>
      <c r="KC5" s="14" t="str">
        <f>IF(SUM(JH5:JI5,JK5:JM5,JO5)-JJ5-JN5&gt;0,SUM(JH5:JI5,JK5:JM5,JO5)-JJ5-JN5,"")</f>
        <v/>
      </c>
      <c r="KD5" s="14" t="str">
        <f>IF(SUM(JP5:JQ5,JS5)-JR5&gt;0,SUM(JP5:JQ5,JS5)-JR5,"")</f>
        <v/>
      </c>
      <c r="KE5" s="14" t="str">
        <f>IF(SUM(JU5,JY5)&gt;0,SUM(JU5,JY5),"")</f>
        <v/>
      </c>
      <c r="KF5" s="14" t="str">
        <f>IF(SUM(JT5:JU5,JW5:JY5,KA5)-SUM(JV5,JZ5)&gt;0,SUM(JT5:JU5,JW5:JY5,KA5)-SUM(JV5,JZ5),"")</f>
        <v/>
      </c>
      <c r="KG5" s="14" t="str">
        <f>IF(SUM(KC5,KD5,KF5)&gt;0,SUM(KC5,KD5,KF5),"")</f>
        <v/>
      </c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55" t="str">
        <f>IF(SUM(KI5,KM5)&gt;0,SUM(KI5,KM5),"")</f>
        <v/>
      </c>
      <c r="LC5" s="55" t="str">
        <f>IF(SUM(KH5:KI5,KK5:KM5,KO5)-KJ5-KN5&gt;0,SUM(KH5:KI5,KK5:KM5,KO5)-KJ5-KN5,"")</f>
        <v/>
      </c>
      <c r="LD5" s="55" t="str">
        <f>IF(SUM(KP5:KQ5,KS5)-KR5&gt;0,SUM(KP5:KQ5,KS5)-KR5,"")</f>
        <v/>
      </c>
      <c r="LE5" s="55" t="str">
        <f>IF(SUM(KU5,KY5)&gt;0,SUM(KU5,KY5),"")</f>
        <v/>
      </c>
      <c r="LF5" s="55" t="str">
        <f>IF(SUM(KT5:KU5,KW5:KY5,LA5)-SUM(KV5,KZ5)&gt;0,SUM(KT5:KU5,KW5:KY5,LA5)-SUM(KV5,KZ5),"")</f>
        <v/>
      </c>
      <c r="LG5" s="55" t="str">
        <f>IF(SUM(LC5,LD5,LF5)&gt;0,SUM(LC5,LD5,LF5),"")</f>
        <v/>
      </c>
      <c r="LH5" s="19"/>
      <c r="LI5" s="19"/>
      <c r="LJ5" s="19"/>
      <c r="LK5" s="19"/>
      <c r="LL5" s="19"/>
      <c r="LM5" s="19"/>
      <c r="LN5" s="19"/>
      <c r="LO5" s="19"/>
      <c r="LP5" s="19"/>
      <c r="LQ5" s="19"/>
      <c r="LR5" s="19"/>
      <c r="LS5" s="19"/>
      <c r="LT5" s="19"/>
      <c r="LU5" s="19"/>
      <c r="LV5" s="19"/>
      <c r="LW5" s="19"/>
      <c r="LX5" s="19"/>
      <c r="LY5" s="19"/>
      <c r="LZ5" s="19"/>
      <c r="MA5" s="19"/>
      <c r="MB5" s="14" t="str">
        <f>IF(SUM(LI5,LM5)&gt;0,SUM(LI5,LM5),"")</f>
        <v/>
      </c>
      <c r="MC5" s="14" t="str">
        <f>IF(SUM(LH5:LI5,LK5:LM5,LO5)-LJ5-LN5&gt;0,SUM(LH5:LI5,LK5:LM5,LO5)-LJ5-LN5,"")</f>
        <v/>
      </c>
      <c r="MD5" s="14" t="str">
        <f>IF(SUM(LP5:LQ5,LS5)-LR5&gt;0,SUM(LP5:LQ5,LS5)-LR5,"")</f>
        <v/>
      </c>
      <c r="ME5" s="14" t="str">
        <f>IF(SUM(LU5,LY5)&gt;0,SUM(LU5,LY5),"")</f>
        <v/>
      </c>
      <c r="MF5" s="14" t="str">
        <f>IF(SUM(LT5:LU5,LW5:LY5,MA5)-SUM(LV5,LZ5)&gt;0,SUM(LT5:LU5,LW5:LY5,MA5)-SUM(LV5,LZ5),"")</f>
        <v/>
      </c>
      <c r="MG5" s="14" t="str">
        <f>IF(SUM(MC5,MD5,MF5)&gt;0,SUM(MC5,MD5,MF5),"")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55" t="str">
        <f>IF(SUM(MI5,MM5)&gt;0,SUM(MI5,MM5),"")</f>
        <v/>
      </c>
      <c r="NC5" s="55" t="str">
        <f>IF(SUM(MH5:MI5,MK5:MM5,MO5)-MJ5-MN5&gt;0,SUM(MH5:MI5,MK5:MM5,MO5)-MJ5-MN5,"")</f>
        <v/>
      </c>
      <c r="ND5" s="55" t="str">
        <f>IF(SUM(MP5:MQ5,MS5)-MR5&gt;0,SUM(MP5:MQ5,MS5)-MR5,"")</f>
        <v/>
      </c>
      <c r="NE5" s="55" t="str">
        <f>IF(SUM(MU5,MY5)&gt;0,SUM(MU5,MY5),"")</f>
        <v/>
      </c>
      <c r="NF5" s="55" t="str">
        <f>IF(SUM(MT5:MU5,MW5:MY5,NA5)-SUM(MV5,MZ5)&gt;0,SUM(MT5:MU5,MW5:MY5,NA5)-SUM(MV5,MZ5),"")</f>
        <v/>
      </c>
      <c r="NG5" s="55" t="str">
        <f>IF(SUM(NC5,ND5,NF5)&gt;0,SUM(NC5,ND5,NF5),"")</f>
        <v/>
      </c>
      <c r="NH5" s="19"/>
      <c r="NI5" s="19"/>
      <c r="NJ5" s="19"/>
      <c r="NK5" s="19"/>
      <c r="NL5" s="19"/>
      <c r="NM5" s="19"/>
      <c r="NN5" s="19"/>
      <c r="NO5" s="19"/>
      <c r="NP5" s="19"/>
      <c r="NQ5" s="19"/>
      <c r="NR5" s="19"/>
      <c r="NS5" s="19"/>
      <c r="NT5" s="19"/>
      <c r="NU5" s="19"/>
      <c r="NV5" s="19"/>
      <c r="NW5" s="19"/>
      <c r="NX5" s="19"/>
      <c r="NY5" s="19"/>
      <c r="NZ5" s="19"/>
      <c r="OA5" s="19"/>
      <c r="OB5" s="14" t="str">
        <f>IF(SUM(NI5,NM5)&gt;0,SUM(NI5,NM5),"")</f>
        <v/>
      </c>
      <c r="OC5" s="14" t="str">
        <f>IF(SUM(NH5:NI5,NK5:NM5,NO5)-NJ5-NN5&gt;0,SUM(NH5:NI5,NK5:NM5,NO5)-NJ5-NN5,"")</f>
        <v/>
      </c>
      <c r="OD5" s="14" t="str">
        <f>IF(SUM(NP5:NQ5,NS5)-NR5&gt;0,SUM(NP5:NQ5,NS5)-NR5,"")</f>
        <v/>
      </c>
      <c r="OE5" s="14" t="str">
        <f>IF(SUM(NU5,NY5)&gt;0,SUM(NU5,NY5),"")</f>
        <v/>
      </c>
      <c r="OF5" s="14" t="str">
        <f>IF(SUM(NT5:NU5,NW5:NY5,OA5)-SUM(NV5,NZ5)&gt;0,SUM(NT5:NU5,NW5:NY5,OA5)-SUM(NV5,NZ5),"")</f>
        <v/>
      </c>
      <c r="OG5" s="14" t="str">
        <f>IF(SUM(OC5,OD5,OF5)&gt;0,SUM(OC5,OD5,OF5),"")</f>
        <v/>
      </c>
      <c r="OH5" s="27">
        <f t="shared" si="0"/>
        <v>8.6</v>
      </c>
      <c r="OI5" s="27">
        <f t="shared" si="0"/>
        <v>1.75</v>
      </c>
      <c r="OJ5" s="27">
        <f t="shared" si="0"/>
        <v>0.2</v>
      </c>
      <c r="OK5" s="27">
        <f t="shared" si="0"/>
        <v>0</v>
      </c>
      <c r="OL5" s="27">
        <f t="shared" si="0"/>
        <v>8.25</v>
      </c>
      <c r="OM5" s="27">
        <f t="shared" si="0"/>
        <v>2.35</v>
      </c>
      <c r="ON5" s="27">
        <f t="shared" si="0"/>
        <v>0</v>
      </c>
      <c r="OO5" s="27">
        <f t="shared" si="0"/>
        <v>0</v>
      </c>
      <c r="OP5" s="27">
        <f t="shared" si="0"/>
        <v>8.5</v>
      </c>
      <c r="OQ5" s="27">
        <f t="shared" si="0"/>
        <v>1.75</v>
      </c>
      <c r="OR5" s="27">
        <f t="shared" si="0"/>
        <v>0.2</v>
      </c>
      <c r="OS5" s="27">
        <f t="shared" si="0"/>
        <v>0</v>
      </c>
      <c r="OT5" s="27">
        <f t="shared" si="0"/>
        <v>7.9</v>
      </c>
      <c r="OU5" s="27">
        <f t="shared" si="0"/>
        <v>2</v>
      </c>
      <c r="OV5" s="27">
        <f t="shared" si="0"/>
        <v>0</v>
      </c>
      <c r="OW5" s="27">
        <f t="shared" si="0"/>
        <v>0</v>
      </c>
      <c r="OX5" s="32" t="s">
        <v>44</v>
      </c>
      <c r="OY5" s="55">
        <f>IF(SUM(OI5,OM5)&gt;0,SUM(OI5,OM5),"")</f>
        <v>4.0999999999999996</v>
      </c>
      <c r="OZ5" s="55">
        <f>IF(SUM(OH5:OI5,OK5:OM5,OO5)-OJ5-ON5&gt;0,SUM(OH5:OI5,OK5:OM5,OO5)-OJ5-ON5,"")</f>
        <v>20.750000000000004</v>
      </c>
      <c r="PA5" s="55">
        <f>IF(SUM(OQ5,OU5)&gt;0,SUM(OQ5,OU5),"")</f>
        <v>3.75</v>
      </c>
      <c r="PB5" s="55">
        <f>IF(SUM(OP5:OQ5,OS5:OU5,OW5)-SUM(OR5,OV5)&gt;0,SUM(OP5:OQ5,OS5:OU5,OW5)-SUM(OR5,OV5),"")</f>
        <v>19.95</v>
      </c>
      <c r="PC5" s="55">
        <f>IF(SUM(OZ5,PB5)&gt;0,SUM(OZ5,PB5),"")</f>
        <v>40.700000000000003</v>
      </c>
    </row>
    <row r="6" spans="1:419" ht="17" x14ac:dyDescent="0.2">
      <c r="O6" s="11"/>
      <c r="P6" s="11"/>
      <c r="Q6" s="11"/>
    </row>
    <row r="7" spans="1:419" ht="17" x14ac:dyDescent="0.2">
      <c r="O7" s="11"/>
      <c r="P7" s="11"/>
      <c r="Q7" s="11"/>
    </row>
    <row r="8" spans="1:419" ht="17" x14ac:dyDescent="0.2">
      <c r="B8" s="28" t="s">
        <v>42</v>
      </c>
      <c r="O8" s="11"/>
      <c r="P8" s="11"/>
      <c r="Q8" s="11"/>
      <c r="AI8" s="4"/>
      <c r="AM8" s="57">
        <v>8.6</v>
      </c>
      <c r="BE8" s="4"/>
      <c r="BI8" s="57">
        <v>8.6</v>
      </c>
      <c r="CA8" s="4"/>
      <c r="CE8" s="57">
        <v>8.6</v>
      </c>
      <c r="DB8" s="4"/>
      <c r="DG8" s="57">
        <v>8.6</v>
      </c>
      <c r="EB8" s="4"/>
      <c r="EG8" s="57">
        <v>8.6</v>
      </c>
      <c r="FB8" s="4"/>
      <c r="FG8" s="57">
        <v>8.6</v>
      </c>
      <c r="GB8" s="4"/>
      <c r="GG8" s="57">
        <v>8.6</v>
      </c>
      <c r="HB8" s="4"/>
      <c r="HG8" s="57">
        <v>8.6</v>
      </c>
      <c r="IB8" s="4"/>
      <c r="IG8" s="57">
        <v>8.6</v>
      </c>
      <c r="JB8" s="4"/>
      <c r="JG8" s="57">
        <v>8.6</v>
      </c>
      <c r="KB8" s="4"/>
      <c r="KG8" s="57">
        <v>8.6</v>
      </c>
      <c r="LB8" s="4"/>
      <c r="LG8" s="57">
        <v>8.6</v>
      </c>
      <c r="MB8" s="4"/>
      <c r="MG8" s="57">
        <v>8.6</v>
      </c>
      <c r="NB8" s="4"/>
      <c r="NG8" s="57">
        <v>8.6</v>
      </c>
      <c r="OB8" s="4"/>
      <c r="OG8" s="57">
        <v>8.6</v>
      </c>
    </row>
    <row r="9" spans="1:419" ht="17" hidden="1" x14ac:dyDescent="0.2">
      <c r="B9" s="35" t="s">
        <v>41</v>
      </c>
      <c r="O9" s="11"/>
      <c r="P9" s="11"/>
      <c r="Q9" s="11"/>
      <c r="AI9" s="4"/>
      <c r="AM9" s="58">
        <v>1000</v>
      </c>
      <c r="BE9" s="4"/>
      <c r="BI9" s="58">
        <v>1000</v>
      </c>
      <c r="CA9" s="4"/>
      <c r="CE9" s="58">
        <v>1000</v>
      </c>
      <c r="DB9" s="4"/>
      <c r="DG9" s="58">
        <v>1000</v>
      </c>
      <c r="EB9" s="4"/>
      <c r="EG9" s="58">
        <v>1000</v>
      </c>
      <c r="FB9" s="4"/>
      <c r="FG9" s="58">
        <v>1000</v>
      </c>
      <c r="GB9" s="4"/>
      <c r="GG9" s="58">
        <v>1000</v>
      </c>
      <c r="HB9" s="4"/>
      <c r="HG9" s="58">
        <v>1000</v>
      </c>
      <c r="IB9" s="4"/>
      <c r="IG9" s="58">
        <v>1000</v>
      </c>
      <c r="JB9" s="4"/>
      <c r="JG9" s="58">
        <v>1000</v>
      </c>
      <c r="KB9" s="4"/>
      <c r="KG9" s="58">
        <v>1000</v>
      </c>
      <c r="LB9" s="4"/>
      <c r="LG9" s="58">
        <v>1000</v>
      </c>
      <c r="MB9" s="4"/>
      <c r="MG9" s="58">
        <v>1000</v>
      </c>
      <c r="NB9" s="4"/>
      <c r="NG9" s="58">
        <v>1000</v>
      </c>
      <c r="OB9" s="4"/>
      <c r="OG9" s="58">
        <v>1000</v>
      </c>
    </row>
    <row r="10" spans="1:419" ht="17" hidden="1" x14ac:dyDescent="0.2">
      <c r="A10" s="5"/>
      <c r="B10" s="36" t="s">
        <v>54</v>
      </c>
      <c r="C10" s="22"/>
      <c r="O10" s="11"/>
      <c r="P10" s="11"/>
      <c r="Q10" s="11"/>
      <c r="AI10" s="4"/>
      <c r="AM10" s="59">
        <v>1000</v>
      </c>
      <c r="BE10" s="4"/>
      <c r="BI10" s="59">
        <v>1000</v>
      </c>
      <c r="CA10" s="4"/>
      <c r="CE10" s="59">
        <v>1000</v>
      </c>
      <c r="DB10" s="4"/>
      <c r="DG10" s="59">
        <v>1000</v>
      </c>
      <c r="EB10" s="4"/>
      <c r="EG10" s="59">
        <v>1000</v>
      </c>
      <c r="FB10" s="4"/>
      <c r="FG10" s="59">
        <v>1000</v>
      </c>
      <c r="GB10" s="4"/>
      <c r="GG10" s="59">
        <v>1000</v>
      </c>
      <c r="HB10" s="4"/>
      <c r="HG10" s="59">
        <v>1000</v>
      </c>
      <c r="IB10" s="4"/>
      <c r="IG10" s="59">
        <v>1000</v>
      </c>
      <c r="JB10" s="4"/>
      <c r="JG10" s="59">
        <v>1000</v>
      </c>
      <c r="KB10" s="4"/>
      <c r="KG10" s="59">
        <v>1000</v>
      </c>
      <c r="LB10" s="4"/>
      <c r="LG10" s="59">
        <v>1000</v>
      </c>
      <c r="MB10" s="4"/>
      <c r="MG10" s="59">
        <v>1000</v>
      </c>
      <c r="NB10" s="4"/>
      <c r="NG10" s="59">
        <v>1000</v>
      </c>
      <c r="OB10" s="4"/>
      <c r="OG10" s="59">
        <v>1000</v>
      </c>
    </row>
    <row r="11" spans="1:419" ht="17" hidden="1" x14ac:dyDescent="0.2">
      <c r="A11" s="5"/>
      <c r="B11" s="44" t="s">
        <v>59</v>
      </c>
      <c r="C11" s="22"/>
      <c r="O11" s="11"/>
      <c r="P11" s="11"/>
      <c r="Q11" s="11"/>
      <c r="AI11" s="4"/>
      <c r="AM11" s="60">
        <v>1000</v>
      </c>
      <c r="BE11" s="4"/>
      <c r="BI11" s="60">
        <v>1000</v>
      </c>
      <c r="CA11" s="4"/>
      <c r="CE11" s="60">
        <v>1000</v>
      </c>
      <c r="DB11" s="4"/>
      <c r="DG11" s="60">
        <v>1000</v>
      </c>
      <c r="EB11" s="4"/>
      <c r="EG11" s="60">
        <v>1000</v>
      </c>
      <c r="FB11" s="4"/>
      <c r="FG11" s="60">
        <v>1000</v>
      </c>
      <c r="GB11" s="4"/>
      <c r="GG11" s="60">
        <v>1000</v>
      </c>
      <c r="HB11" s="4"/>
      <c r="HG11" s="60">
        <v>1000</v>
      </c>
      <c r="IB11" s="4"/>
      <c r="IG11" s="60">
        <v>1000</v>
      </c>
      <c r="JB11" s="4"/>
      <c r="JG11" s="60">
        <v>1000</v>
      </c>
      <c r="KB11" s="4"/>
      <c r="KG11" s="60">
        <v>1000</v>
      </c>
      <c r="LB11" s="4"/>
      <c r="LG11" s="60">
        <v>1000</v>
      </c>
      <c r="MB11" s="4"/>
      <c r="MG11" s="60">
        <v>1000</v>
      </c>
      <c r="NB11" s="4"/>
      <c r="NG11" s="60">
        <v>1000</v>
      </c>
      <c r="OB11" s="4"/>
      <c r="OG11" s="60">
        <v>1000</v>
      </c>
    </row>
    <row r="12" spans="1:419" ht="17" x14ac:dyDescent="0.2">
      <c r="A12" s="5"/>
      <c r="B12" s="42" t="s">
        <v>39</v>
      </c>
      <c r="C12" s="22"/>
      <c r="O12" s="11"/>
      <c r="P12" s="11"/>
      <c r="Q12" s="11"/>
      <c r="AI12" s="4"/>
      <c r="AM12" s="61">
        <v>43.8</v>
      </c>
      <c r="BE12" s="4"/>
      <c r="BI12" s="61">
        <v>43.8</v>
      </c>
      <c r="CA12" s="4"/>
      <c r="CE12" s="61">
        <v>43.8</v>
      </c>
      <c r="DB12" s="4"/>
      <c r="DG12" s="61">
        <v>43.8</v>
      </c>
      <c r="EB12" s="4"/>
      <c r="EG12" s="61">
        <v>43.8</v>
      </c>
      <c r="FB12" s="4"/>
      <c r="FG12" s="61">
        <v>43.8</v>
      </c>
      <c r="GB12" s="4"/>
      <c r="GG12" s="61">
        <v>43.8</v>
      </c>
      <c r="HB12" s="4"/>
      <c r="HG12" s="61">
        <v>43.8</v>
      </c>
      <c r="IB12" s="4"/>
      <c r="IG12" s="61">
        <v>43.8</v>
      </c>
      <c r="JB12" s="4"/>
      <c r="JG12" s="61">
        <v>43.8</v>
      </c>
      <c r="KB12" s="4"/>
      <c r="KG12" s="61">
        <v>43.8</v>
      </c>
      <c r="LB12" s="4"/>
      <c r="LG12" s="61">
        <v>43.8</v>
      </c>
      <c r="MB12" s="4"/>
      <c r="MG12" s="61">
        <v>43.8</v>
      </c>
      <c r="NB12" s="4"/>
      <c r="NG12" s="61">
        <v>43.8</v>
      </c>
      <c r="OB12" s="4"/>
      <c r="OG12" s="61">
        <v>43.8</v>
      </c>
    </row>
    <row r="13" spans="1:419" ht="17" hidden="1" x14ac:dyDescent="0.2">
      <c r="A13" s="5"/>
      <c r="B13" s="29" t="s">
        <v>40</v>
      </c>
      <c r="C13" s="22"/>
      <c r="O13" s="11"/>
      <c r="P13" s="11"/>
      <c r="Q13" s="11"/>
      <c r="AI13" s="4"/>
      <c r="AM13" s="62">
        <v>1000</v>
      </c>
      <c r="BE13" s="4"/>
      <c r="BI13" s="62">
        <v>1000</v>
      </c>
      <c r="CA13" s="4"/>
      <c r="CE13" s="62">
        <v>1000</v>
      </c>
      <c r="DB13" s="4"/>
      <c r="DG13" s="62">
        <v>1000</v>
      </c>
      <c r="EB13" s="4"/>
      <c r="EG13" s="62">
        <v>1000</v>
      </c>
      <c r="FB13" s="4"/>
      <c r="FG13" s="62">
        <v>1000</v>
      </c>
      <c r="GB13" s="4"/>
      <c r="GG13" s="62">
        <v>1000</v>
      </c>
      <c r="HB13" s="4"/>
      <c r="HG13" s="62">
        <v>1000</v>
      </c>
      <c r="IB13" s="4"/>
      <c r="IG13" s="62">
        <v>1000</v>
      </c>
      <c r="JB13" s="4"/>
      <c r="JG13" s="62">
        <v>1000</v>
      </c>
      <c r="KB13" s="4"/>
      <c r="KG13" s="62">
        <v>1000</v>
      </c>
      <c r="LB13" s="4"/>
      <c r="LG13" s="62">
        <v>1000</v>
      </c>
      <c r="MB13" s="4"/>
      <c r="MG13" s="62">
        <v>1000</v>
      </c>
      <c r="NB13" s="4"/>
      <c r="NG13" s="62">
        <v>1000</v>
      </c>
      <c r="OB13" s="4"/>
      <c r="OG13" s="62">
        <v>1000</v>
      </c>
    </row>
    <row r="14" spans="1:419" ht="17" hidden="1" x14ac:dyDescent="0.2">
      <c r="A14" s="5"/>
      <c r="B14" s="40" t="s">
        <v>53</v>
      </c>
      <c r="C14" s="22"/>
      <c r="O14" s="11"/>
      <c r="P14" s="11"/>
      <c r="Q14" s="11"/>
      <c r="AI14" s="4"/>
      <c r="AM14" s="63">
        <v>1000</v>
      </c>
      <c r="BE14" s="4"/>
      <c r="BI14" s="63">
        <v>1000</v>
      </c>
      <c r="CA14" s="4"/>
      <c r="CE14" s="63">
        <v>1000</v>
      </c>
      <c r="DB14" s="4"/>
      <c r="DG14" s="63">
        <v>1000</v>
      </c>
      <c r="EB14" s="4"/>
      <c r="EG14" s="63">
        <v>1000</v>
      </c>
      <c r="FB14" s="4"/>
      <c r="FG14" s="63">
        <v>1000</v>
      </c>
      <c r="GB14" s="4"/>
      <c r="GG14" s="63">
        <v>1000</v>
      </c>
      <c r="HB14" s="4"/>
      <c r="HG14" s="63">
        <v>1000</v>
      </c>
      <c r="IB14" s="4"/>
      <c r="IG14" s="63">
        <v>1000</v>
      </c>
      <c r="JB14" s="4"/>
      <c r="JG14" s="63">
        <v>1000</v>
      </c>
      <c r="KB14" s="4"/>
      <c r="KG14" s="63">
        <v>1000</v>
      </c>
      <c r="LB14" s="4"/>
      <c r="LG14" s="63">
        <v>1000</v>
      </c>
      <c r="MB14" s="4"/>
      <c r="MG14" s="63">
        <v>1000</v>
      </c>
      <c r="NB14" s="4"/>
      <c r="NG14" s="63">
        <v>1000</v>
      </c>
      <c r="OB14" s="4"/>
      <c r="OG14" s="63">
        <v>1000</v>
      </c>
    </row>
    <row r="15" spans="1:419" ht="17" hidden="1" x14ac:dyDescent="0.2">
      <c r="A15" s="5"/>
      <c r="B15" s="30" t="s">
        <v>26</v>
      </c>
      <c r="C15" s="22"/>
      <c r="O15" s="11"/>
      <c r="P15" s="11"/>
      <c r="Q15" s="11"/>
      <c r="AI15" s="4"/>
      <c r="AM15" s="64">
        <v>1000</v>
      </c>
      <c r="BE15" s="4"/>
      <c r="BI15" s="64">
        <v>1000</v>
      </c>
      <c r="CA15" s="4"/>
      <c r="CE15" s="64">
        <v>1000</v>
      </c>
      <c r="DB15" s="4"/>
      <c r="DG15" s="64">
        <v>1000</v>
      </c>
      <c r="EB15" s="4"/>
      <c r="EG15" s="64">
        <v>1000</v>
      </c>
      <c r="FB15" s="4"/>
      <c r="FG15" s="64">
        <v>1000</v>
      </c>
      <c r="GB15" s="4"/>
      <c r="GG15" s="64">
        <v>1000</v>
      </c>
      <c r="HB15" s="4"/>
      <c r="HG15" s="64">
        <v>1000</v>
      </c>
      <c r="IB15" s="4"/>
      <c r="IG15" s="64">
        <v>1000</v>
      </c>
      <c r="JB15" s="4"/>
      <c r="JG15" s="64">
        <v>1000</v>
      </c>
      <c r="KB15" s="4"/>
      <c r="KG15" s="64">
        <v>1000</v>
      </c>
      <c r="LB15" s="4"/>
      <c r="LG15" s="64">
        <v>1000</v>
      </c>
      <c r="MB15" s="4"/>
      <c r="MG15" s="64">
        <v>1000</v>
      </c>
      <c r="NB15" s="4"/>
      <c r="NG15" s="64">
        <v>1000</v>
      </c>
      <c r="OB15" s="4"/>
      <c r="OG15" s="64">
        <v>1000</v>
      </c>
    </row>
    <row r="16" spans="1:419" x14ac:dyDescent="0.2">
      <c r="B16" s="34" t="s">
        <v>45</v>
      </c>
      <c r="C16" s="2"/>
    </row>
    <row r="17" spans="1:3" x14ac:dyDescent="0.2">
      <c r="A17" s="5"/>
      <c r="B17" s="5"/>
      <c r="C17" s="22"/>
    </row>
    <row r="18" spans="1:3" x14ac:dyDescent="0.2">
      <c r="A18" s="5"/>
      <c r="B18" s="5"/>
      <c r="C18" s="22"/>
    </row>
    <row r="19" spans="1:3" x14ac:dyDescent="0.2">
      <c r="A19" s="5"/>
      <c r="B19" s="5"/>
      <c r="C19" s="22"/>
    </row>
    <row r="20" spans="1:3" x14ac:dyDescent="0.2">
      <c r="A20" s="5"/>
      <c r="B20" s="5"/>
      <c r="C20" s="5"/>
    </row>
  </sheetData>
  <sheetProtection sheet="1" formatCells="0" formatColumns="0" formatRows="0"/>
  <autoFilter ref="A1:PC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3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sortState xmlns:xlrd2="http://schemas.microsoft.com/office/spreadsheetml/2017/richdata2" ref="A6:PC5">
      <sortCondition descending="1" ref="F1:F6"/>
    </sortState>
  </autoFilter>
  <mergeCells count="110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H1:OG1"/>
    <mergeCell ref="OH1:PC1"/>
    <mergeCell ref="R2:U2"/>
    <mergeCell ref="V2:Y2"/>
    <mergeCell ref="Z2:AC2"/>
    <mergeCell ref="AD2:AG2"/>
    <mergeCell ref="EH1:FG1"/>
    <mergeCell ref="FH1:GG1"/>
    <mergeCell ref="GH1:HG1"/>
    <mergeCell ref="HH1:IG1"/>
    <mergeCell ref="IH1:JG1"/>
    <mergeCell ref="JH1:KG1"/>
    <mergeCell ref="R1:AM1"/>
    <mergeCell ref="AN1:BI1"/>
    <mergeCell ref="BJ1:CE1"/>
    <mergeCell ref="CF1:CG1"/>
    <mergeCell ref="CH1:DG1"/>
    <mergeCell ref="DH1:EG1"/>
    <mergeCell ref="AN2:AQ2"/>
    <mergeCell ref="AR2:AU2"/>
    <mergeCell ref="AV2:AY2"/>
    <mergeCell ref="AZ2:BC2"/>
    <mergeCell ref="BJ2:BM2"/>
    <mergeCell ref="KH1:LG1"/>
    <mergeCell ref="LH1:MG1"/>
    <mergeCell ref="MH1:NG1"/>
    <mergeCell ref="CP2:CS2"/>
    <mergeCell ref="CT2:CW2"/>
    <mergeCell ref="CX2:DA2"/>
    <mergeCell ref="DH2:DK2"/>
    <mergeCell ref="DL2:DO2"/>
    <mergeCell ref="DP2:DS2"/>
    <mergeCell ref="BN2:BQ2"/>
    <mergeCell ref="BR2:BU2"/>
    <mergeCell ref="BV2:BY2"/>
    <mergeCell ref="CH2:CK2"/>
    <mergeCell ref="CL2:CO2"/>
    <mergeCell ref="EX2:FA2"/>
    <mergeCell ref="FH2:FK2"/>
    <mergeCell ref="FL2:FO2"/>
    <mergeCell ref="FP2:FS2"/>
    <mergeCell ref="FT2:FW2"/>
    <mergeCell ref="FX2:GA2"/>
    <mergeCell ref="DT2:DW2"/>
    <mergeCell ref="DX2:EA2"/>
    <mergeCell ref="EH2:EK2"/>
    <mergeCell ref="EL2:EO2"/>
    <mergeCell ref="EP2:ES2"/>
    <mergeCell ref="IP2:IS2"/>
    <mergeCell ref="IT2:IW2"/>
    <mergeCell ref="IX2:JA2"/>
    <mergeCell ref="JH2:JK2"/>
    <mergeCell ref="JL2:JO2"/>
    <mergeCell ref="JP2:JS2"/>
    <mergeCell ref="ET2:EW2"/>
    <mergeCell ref="HL2:HO2"/>
    <mergeCell ref="HP2:HS2"/>
    <mergeCell ref="HT2:HW2"/>
    <mergeCell ref="HX2:IA2"/>
    <mergeCell ref="IH2:IK2"/>
    <mergeCell ref="IL2:IO2"/>
    <mergeCell ref="GH2:GK2"/>
    <mergeCell ref="GL2:GO2"/>
    <mergeCell ref="GP2:GS2"/>
    <mergeCell ref="GT2:GW2"/>
    <mergeCell ref="GX2:HA2"/>
    <mergeCell ref="HH2:HK2"/>
    <mergeCell ref="KX2:LA2"/>
    <mergeCell ref="LH2:LK2"/>
    <mergeCell ref="LL2:LO2"/>
    <mergeCell ref="LP2:LS2"/>
    <mergeCell ref="LT2:LW2"/>
    <mergeCell ref="LX2:MA2"/>
    <mergeCell ref="JT2:JW2"/>
    <mergeCell ref="JX2:KA2"/>
    <mergeCell ref="KH2:KK2"/>
    <mergeCell ref="KL2:KO2"/>
    <mergeCell ref="KP2:KS2"/>
    <mergeCell ref="KT2:KW2"/>
    <mergeCell ref="OP2:OS2"/>
    <mergeCell ref="OT2:OW2"/>
    <mergeCell ref="NL2:NO2"/>
    <mergeCell ref="NP2:NS2"/>
    <mergeCell ref="NT2:NW2"/>
    <mergeCell ref="NX2:OA2"/>
    <mergeCell ref="OH2:OK2"/>
    <mergeCell ref="OL2:OO2"/>
    <mergeCell ref="MH2:MK2"/>
    <mergeCell ref="ML2:MO2"/>
    <mergeCell ref="MP2:MS2"/>
    <mergeCell ref="MT2:MW2"/>
    <mergeCell ref="MX2:NA2"/>
    <mergeCell ref="NH2:NK2"/>
  </mergeCells>
  <conditionalFormatting sqref="A4:A1048576">
    <cfRule type="expression" dxfId="147" priority="1">
      <formula>AND(G4&lt;&gt;"",F4="")</formula>
    </cfRule>
    <cfRule type="expression" dxfId="146" priority="13" stopIfTrue="1">
      <formula>IF(A4&gt;4,1,0)</formula>
    </cfRule>
  </conditionalFormatting>
  <conditionalFormatting sqref="H1:H1048576">
    <cfRule type="containsText" dxfId="145" priority="5" operator="containsText" text="No DD">
      <formula>NOT(ISERROR(SEARCH("No DD",H1)))</formula>
    </cfRule>
    <cfRule type="containsText" dxfId="144" priority="6" operator="containsText" text="Merit">
      <formula>NOT(ISERROR(SEARCH("Merit",H1)))</formula>
    </cfRule>
    <cfRule type="containsText" dxfId="143" priority="7" operator="containsText" text="Excellence">
      <formula>NOT(ISERROR(SEARCH("Excellence",H1)))</formula>
    </cfRule>
    <cfRule type="containsText" dxfId="142" priority="8" operator="containsText" text="Worlds Team">
      <formula>NOT(ISERROR(SEARCH("Worlds Team",H1)))</formula>
    </cfRule>
    <cfRule type="containsText" dxfId="141" priority="9" operator="containsText" text="National Team">
      <formula>NOT(ISERROR(SEARCH("National Team",H1)))</formula>
    </cfRule>
  </conditionalFormatting>
  <conditionalFormatting sqref="OB1:OB1048576 DB1:DB1048576 EB1:EB1048576 FB1:FB1048576 GB1:GB1048576 HB1:HB1048576 IB1:IB1048576 JB1:JB1048576 KB1:KB1048576 LB1:LB1048576 MB1:MB1048576 NB1:NB1048576">
    <cfRule type="cellIs" dxfId="140" priority="61993" operator="between">
      <formula>DG$11</formula>
      <formula>1000</formula>
    </cfRule>
    <cfRule type="cellIs" dxfId="139" priority="61994" operator="between">
      <formula>DG$10</formula>
      <formula>DG$11</formula>
    </cfRule>
    <cfRule type="cellIs" dxfId="138" priority="61995" operator="between">
      <formula>DG$9</formula>
      <formula>DG$10</formula>
    </cfRule>
    <cfRule type="cellIs" dxfId="137" priority="61996" operator="between">
      <formula>DG$8</formula>
      <formula>DG$9</formula>
    </cfRule>
  </conditionalFormatting>
  <conditionalFormatting sqref="OC1:OC1048576 DC1:DC1048576 EC1:EC1048576 FC1:FC1048576 GC1:GC1048576 HC1:HC1048576 IC1:IC1048576 JC1:JC1048576 KC1:KC1048576 LC1:LC1048576 MC1:MC1048576 NC1:NC1048576">
    <cfRule type="cellIs" dxfId="136" priority="62173" operator="between">
      <formula>DG$15</formula>
      <formula>1000</formula>
    </cfRule>
    <cfRule type="cellIs" dxfId="135" priority="62174" operator="between">
      <formula>DG$14</formula>
      <formula>DG$15</formula>
    </cfRule>
    <cfRule type="cellIs" dxfId="134" priority="62175" operator="between">
      <formula>DG$13</formula>
      <formula>DG$14</formula>
    </cfRule>
    <cfRule type="cellIs" dxfId="133" priority="62176" operator="between">
      <formula>DG$12</formula>
      <formula>DG$13</formula>
    </cfRule>
  </conditionalFormatting>
  <conditionalFormatting sqref="AK1:AK1048576 BG1:BG1048576 CC1:CC1048576 DE1:DE1048576 EE1:EE1048576 FE1:FE1048576 GE1:GE1048576 HE1:HE1048576 IE1:IE1048576 JE1:JE1048576 KE1:KE1048576 LE1:LE1048576 ME1:ME1048576 NE1:NE1048576 OE1:OE1048576">
    <cfRule type="cellIs" dxfId="132" priority="62353" operator="between">
      <formula>AM$8</formula>
      <formula>AM$9</formula>
    </cfRule>
    <cfRule type="cellIs" dxfId="131" priority="62354" operator="between">
      <formula>AM$9</formula>
      <formula>AM$10</formula>
    </cfRule>
    <cfRule type="cellIs" dxfId="130" priority="62355" operator="between">
      <formula>AM$10</formula>
      <formula>AM$11</formula>
    </cfRule>
    <cfRule type="cellIs" dxfId="129" priority="62356" operator="between">
      <formula>AM$11</formula>
      <formula>1000</formula>
    </cfRule>
  </conditionalFormatting>
  <conditionalFormatting sqref="AL1:AL1048576 BH1:BH1048576 CD1:CD1048576 DF1:DF1048576 EF1:EF1048576 FF1:FF1048576 GF1:GF1048576 HF1:HF1048576 IF1:IF1048576 JF1:JF1048576 KF1:KF1048576 LF1:LF1048576 MF1:MF1048576 NF1:NF1048576 OF1:OF1048576">
    <cfRule type="cellIs" dxfId="128" priority="62533" operator="between">
      <formula>AM$12</formula>
      <formula>AM$13</formula>
    </cfRule>
    <cfRule type="cellIs" dxfId="127" priority="62534" operator="between">
      <formula>AM$13</formula>
      <formula>AM$14</formula>
    </cfRule>
    <cfRule type="cellIs" dxfId="126" priority="62535" operator="between">
      <formula>AM$14</formula>
      <formula>AM$15</formula>
    </cfRule>
    <cfRule type="cellIs" dxfId="125" priority="62536" operator="between">
      <formula>AM$15</formula>
      <formula>1000</formula>
    </cfRule>
  </conditionalFormatting>
  <conditionalFormatting sqref="R4:AM5">
    <cfRule type="expression" dxfId="124" priority="70359" stopIfTrue="1">
      <formula>IF($AH4&lt;&gt;"",1,0)</formula>
    </cfRule>
  </conditionalFormatting>
  <conditionalFormatting sqref="AI1:AI1048576 BE1:BE1048576 CA1:CA1048576">
    <cfRule type="cellIs" dxfId="123" priority="70364" operator="between">
      <formula>AM$11</formula>
      <formula>1000</formula>
    </cfRule>
    <cfRule type="cellIs" dxfId="122" priority="70365" operator="between">
      <formula>AM$10</formula>
      <formula>AM$11</formula>
    </cfRule>
    <cfRule type="cellIs" dxfId="121" priority="70366" operator="between">
      <formula>AM$9</formula>
      <formula>AM$10</formula>
    </cfRule>
    <cfRule type="cellIs" dxfId="120" priority="70367" operator="between">
      <formula>AM$8</formula>
      <formula>AM$9</formula>
    </cfRule>
  </conditionalFormatting>
  <conditionalFormatting sqref="AJ1:AJ1048576 BF1:BF1048576 CB1:CB1048576">
    <cfRule type="cellIs" dxfId="119" priority="70368" operator="between">
      <formula>AM$15</formula>
      <formula>1000</formula>
    </cfRule>
    <cfRule type="cellIs" dxfId="118" priority="70369" operator="between">
      <formula>AM$14</formula>
      <formula>AM$15</formula>
    </cfRule>
    <cfRule type="cellIs" dxfId="117" priority="70370" operator="between">
      <formula>AM$13</formula>
      <formula>AM$14</formula>
    </cfRule>
    <cfRule type="cellIs" dxfId="116" priority="70371" operator="between">
      <formula>AM$12</formula>
      <formula>AM$13</formula>
    </cfRule>
  </conditionalFormatting>
  <conditionalFormatting sqref="AN4:BI5">
    <cfRule type="expression" dxfId="115" priority="70377" stopIfTrue="1">
      <formula>IF($BD4&lt;&gt;"",1,0)</formula>
    </cfRule>
  </conditionalFormatting>
  <conditionalFormatting sqref="J1:J1048576 N1:N1048576 L1:L1048576">
    <cfRule type="expression" dxfId="114" priority="70392">
      <formula>IF(J1=$BJ$1,1,0)</formula>
    </cfRule>
    <cfRule type="expression" dxfId="113" priority="70393">
      <formula>IF(J1=$AN$1,1,0)</formula>
    </cfRule>
    <cfRule type="expression" dxfId="112" priority="70394">
      <formula>IF(J1=$R$1,1,0)</formula>
    </cfRule>
  </conditionalFormatting>
  <conditionalFormatting sqref="BJ4:CE5">
    <cfRule type="expression" dxfId="111" priority="70395" stopIfTrue="1">
      <formula>IF($BZ4&lt;&gt;"",1,0)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011BB-4763-BD4C-B497-3AAC8E8A62E4}">
  <sheetPr codeName="Sheet12"/>
  <dimension ref="A1:PC24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4" width="10.83203125" hidden="1" customWidth="1"/>
    <col min="35" max="39" width="10.83203125" style="47" customWidth="1"/>
    <col min="40" max="56" width="10.83203125" hidden="1" customWidth="1"/>
    <col min="57" max="61" width="10.83203125" style="47" customWidth="1"/>
    <col min="62" max="78" width="10.83203125" hidden="1" customWidth="1"/>
    <col min="79" max="83" width="10.83203125" style="47" customWidth="1"/>
    <col min="84" max="85" width="10.83203125" style="47"/>
    <col min="86" max="105" width="10.83203125" hidden="1" customWidth="1"/>
    <col min="106" max="111" width="10.83203125" style="47" customWidth="1"/>
    <col min="112" max="131" width="10.83203125" hidden="1" customWidth="1"/>
    <col min="132" max="137" width="10.83203125" style="47" hidden="1" customWidth="1"/>
    <col min="138" max="157" width="10.83203125" hidden="1" customWidth="1"/>
    <col min="158" max="163" width="10.83203125" style="47" hidden="1" customWidth="1"/>
    <col min="164" max="183" width="10.83203125" hidden="1" customWidth="1"/>
    <col min="184" max="189" width="10.83203125" style="47" hidden="1" customWidth="1"/>
    <col min="190" max="209" width="10.83203125" hidden="1" customWidth="1"/>
    <col min="210" max="215" width="10.83203125" style="47" hidden="1" customWidth="1"/>
    <col min="216" max="235" width="10.83203125" hidden="1" customWidth="1"/>
    <col min="236" max="241" width="10.83203125" style="47" hidden="1" customWidth="1"/>
    <col min="242" max="261" width="10.83203125" hidden="1" customWidth="1"/>
    <col min="262" max="267" width="10.83203125" style="47" hidden="1" customWidth="1"/>
    <col min="268" max="287" width="10.83203125" hidden="1" customWidth="1"/>
    <col min="288" max="293" width="10.83203125" style="47" hidden="1" customWidth="1"/>
    <col min="294" max="313" width="10.83203125" hidden="1" customWidth="1"/>
    <col min="314" max="319" width="10.83203125" style="47" hidden="1" customWidth="1"/>
    <col min="320" max="339" width="10.83203125" hidden="1" customWidth="1"/>
    <col min="340" max="345" width="10.83203125" style="47" hidden="1" customWidth="1"/>
    <col min="346" max="365" width="10.83203125" hidden="1" customWidth="1"/>
    <col min="366" max="371" width="10.83203125" style="47" hidden="1" customWidth="1"/>
    <col min="372" max="391" width="10.83203125" hidden="1" customWidth="1"/>
    <col min="392" max="397" width="10.83203125" style="47" hidden="1" customWidth="1"/>
    <col min="398" max="414" width="10.83203125" hidden="1" customWidth="1"/>
    <col min="415" max="419" width="10.83203125" style="47" hidden="1" customWidth="1"/>
  </cols>
  <sheetData>
    <row r="1" spans="1:41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65</v>
      </c>
      <c r="J1" s="75" t="s">
        <v>24</v>
      </c>
      <c r="K1" s="81" t="s">
        <v>66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80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2" t="s">
        <v>100</v>
      </c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1" t="s">
        <v>119</v>
      </c>
      <c r="BK1" s="71"/>
      <c r="BL1" s="71"/>
      <c r="BM1" s="71"/>
      <c r="BN1" s="71"/>
      <c r="BO1" s="71"/>
      <c r="BP1" s="7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3" t="s">
        <v>51</v>
      </c>
      <c r="CG1" s="73"/>
      <c r="CH1" s="71" t="s">
        <v>121</v>
      </c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1"/>
      <c r="EI1" s="71"/>
      <c r="EJ1" s="71"/>
      <c r="EK1" s="71"/>
      <c r="EL1" s="71"/>
      <c r="EM1" s="71"/>
      <c r="EN1" s="71"/>
      <c r="EO1" s="71"/>
      <c r="EP1" s="71"/>
      <c r="EQ1" s="71"/>
      <c r="ER1" s="71"/>
      <c r="ES1" s="71"/>
      <c r="ET1" s="71"/>
      <c r="EU1" s="71"/>
      <c r="EV1" s="71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1"/>
      <c r="GI1" s="71"/>
      <c r="GJ1" s="71"/>
      <c r="GK1" s="71"/>
      <c r="GL1" s="71"/>
      <c r="GM1" s="71"/>
      <c r="GN1" s="71"/>
      <c r="GO1" s="71"/>
      <c r="GP1" s="71"/>
      <c r="GQ1" s="71"/>
      <c r="GR1" s="71"/>
      <c r="GS1" s="71"/>
      <c r="GT1" s="71"/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1"/>
      <c r="II1" s="71"/>
      <c r="IJ1" s="71"/>
      <c r="IK1" s="71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1" t="s">
        <v>55</v>
      </c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1"/>
      <c r="OY1" s="71"/>
      <c r="OZ1" s="71"/>
      <c r="PA1" s="71"/>
      <c r="PB1" s="71"/>
      <c r="PC1" s="71"/>
    </row>
    <row r="2" spans="1:41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67</v>
      </c>
      <c r="S2" s="69"/>
      <c r="T2" s="69"/>
      <c r="U2" s="69"/>
      <c r="V2" s="69" t="s">
        <v>68</v>
      </c>
      <c r="W2" s="69"/>
      <c r="X2" s="69"/>
      <c r="Y2" s="69"/>
      <c r="Z2" s="69" t="s">
        <v>70</v>
      </c>
      <c r="AA2" s="69"/>
      <c r="AB2" s="69"/>
      <c r="AC2" s="69"/>
      <c r="AD2" s="78" t="s">
        <v>71</v>
      </c>
      <c r="AE2" s="78"/>
      <c r="AF2" s="78"/>
      <c r="AG2" s="78"/>
      <c r="AH2" s="16"/>
      <c r="AI2" s="16" t="s">
        <v>120</v>
      </c>
      <c r="AJ2" s="16" t="s">
        <v>20</v>
      </c>
      <c r="AK2" s="16" t="s">
        <v>56</v>
      </c>
      <c r="AL2" s="16" t="s">
        <v>74</v>
      </c>
      <c r="AM2" s="16" t="s">
        <v>14</v>
      </c>
      <c r="AN2" s="70" t="s">
        <v>67</v>
      </c>
      <c r="AO2" s="70"/>
      <c r="AP2" s="70"/>
      <c r="AQ2" s="70"/>
      <c r="AR2" s="70" t="s">
        <v>68</v>
      </c>
      <c r="AS2" s="70"/>
      <c r="AT2" s="70"/>
      <c r="AU2" s="70"/>
      <c r="AV2" s="70" t="s">
        <v>70</v>
      </c>
      <c r="AW2" s="70"/>
      <c r="AX2" s="70"/>
      <c r="AY2" s="70"/>
      <c r="AZ2" s="79" t="s">
        <v>71</v>
      </c>
      <c r="BA2" s="79"/>
      <c r="BB2" s="79"/>
      <c r="BC2" s="79"/>
      <c r="BD2" s="17"/>
      <c r="BE2" s="17" t="s">
        <v>120</v>
      </c>
      <c r="BF2" s="17" t="s">
        <v>20</v>
      </c>
      <c r="BG2" s="17" t="s">
        <v>56</v>
      </c>
      <c r="BH2" s="17" t="s">
        <v>74</v>
      </c>
      <c r="BI2" s="17" t="s">
        <v>14</v>
      </c>
      <c r="BJ2" s="69" t="s">
        <v>67</v>
      </c>
      <c r="BK2" s="69"/>
      <c r="BL2" s="69"/>
      <c r="BM2" s="69"/>
      <c r="BN2" s="69" t="s">
        <v>68</v>
      </c>
      <c r="BO2" s="69"/>
      <c r="BP2" s="69"/>
      <c r="BQ2" s="69"/>
      <c r="BR2" s="69" t="s">
        <v>70</v>
      </c>
      <c r="BS2" s="69"/>
      <c r="BT2" s="69"/>
      <c r="BU2" s="69"/>
      <c r="BV2" s="78" t="s">
        <v>71</v>
      </c>
      <c r="BW2" s="78"/>
      <c r="BX2" s="78"/>
      <c r="BY2" s="78"/>
      <c r="BZ2" s="16"/>
      <c r="CA2" s="16" t="s">
        <v>120</v>
      </c>
      <c r="CB2" s="16" t="s">
        <v>20</v>
      </c>
      <c r="CC2" s="16" t="s">
        <v>56</v>
      </c>
      <c r="CD2" s="16" t="s">
        <v>74</v>
      </c>
      <c r="CE2" s="16" t="s">
        <v>14</v>
      </c>
      <c r="CF2" s="54" t="s">
        <v>73</v>
      </c>
      <c r="CG2" s="54" t="s">
        <v>19</v>
      </c>
      <c r="CH2" s="69" t="s">
        <v>67</v>
      </c>
      <c r="CI2" s="69"/>
      <c r="CJ2" s="69"/>
      <c r="CK2" s="69"/>
      <c r="CL2" s="69" t="s">
        <v>68</v>
      </c>
      <c r="CM2" s="69"/>
      <c r="CN2" s="69"/>
      <c r="CO2" s="69"/>
      <c r="CP2" s="69" t="s">
        <v>69</v>
      </c>
      <c r="CQ2" s="69"/>
      <c r="CR2" s="69"/>
      <c r="CS2" s="69"/>
      <c r="CT2" s="69" t="s">
        <v>70</v>
      </c>
      <c r="CU2" s="69"/>
      <c r="CV2" s="69"/>
      <c r="CW2" s="69"/>
      <c r="CX2" s="80" t="s">
        <v>71</v>
      </c>
      <c r="CY2" s="80"/>
      <c r="CZ2" s="80"/>
      <c r="DA2" s="80"/>
      <c r="DB2" s="16" t="s">
        <v>72</v>
      </c>
      <c r="DC2" s="16" t="s">
        <v>73</v>
      </c>
      <c r="DD2" s="16" t="s">
        <v>69</v>
      </c>
      <c r="DE2" s="16" t="s">
        <v>56</v>
      </c>
      <c r="DF2" s="16" t="s">
        <v>74</v>
      </c>
      <c r="DG2" s="16" t="s">
        <v>14</v>
      </c>
      <c r="DH2" s="70" t="s">
        <v>67</v>
      </c>
      <c r="DI2" s="70"/>
      <c r="DJ2" s="70"/>
      <c r="DK2" s="70"/>
      <c r="DL2" s="70" t="s">
        <v>68</v>
      </c>
      <c r="DM2" s="70"/>
      <c r="DN2" s="70"/>
      <c r="DO2" s="70"/>
      <c r="DP2" s="70" t="s">
        <v>69</v>
      </c>
      <c r="DQ2" s="70"/>
      <c r="DR2" s="70"/>
      <c r="DS2" s="70"/>
      <c r="DT2" s="70" t="s">
        <v>70</v>
      </c>
      <c r="DU2" s="70"/>
      <c r="DV2" s="70"/>
      <c r="DW2" s="70"/>
      <c r="DX2" s="79" t="s">
        <v>71</v>
      </c>
      <c r="DY2" s="79"/>
      <c r="DZ2" s="79"/>
      <c r="EA2" s="79"/>
      <c r="EB2" s="17" t="s">
        <v>72</v>
      </c>
      <c r="EC2" s="17" t="s">
        <v>73</v>
      </c>
      <c r="ED2" s="17" t="s">
        <v>69</v>
      </c>
      <c r="EE2" s="17" t="s">
        <v>56</v>
      </c>
      <c r="EF2" s="17" t="s">
        <v>74</v>
      </c>
      <c r="EG2" s="17" t="s">
        <v>14</v>
      </c>
      <c r="EH2" s="69" t="s">
        <v>67</v>
      </c>
      <c r="EI2" s="69"/>
      <c r="EJ2" s="69"/>
      <c r="EK2" s="69"/>
      <c r="EL2" s="69" t="s">
        <v>68</v>
      </c>
      <c r="EM2" s="69"/>
      <c r="EN2" s="69"/>
      <c r="EO2" s="69"/>
      <c r="EP2" s="69" t="s">
        <v>69</v>
      </c>
      <c r="EQ2" s="69"/>
      <c r="ER2" s="69"/>
      <c r="ES2" s="69"/>
      <c r="ET2" s="69" t="s">
        <v>70</v>
      </c>
      <c r="EU2" s="69"/>
      <c r="EV2" s="69"/>
      <c r="EW2" s="69"/>
      <c r="EX2" s="80" t="s">
        <v>71</v>
      </c>
      <c r="EY2" s="80"/>
      <c r="EZ2" s="80"/>
      <c r="FA2" s="80"/>
      <c r="FB2" s="16" t="s">
        <v>72</v>
      </c>
      <c r="FC2" s="16" t="s">
        <v>73</v>
      </c>
      <c r="FD2" s="16" t="s">
        <v>69</v>
      </c>
      <c r="FE2" s="16" t="s">
        <v>56</v>
      </c>
      <c r="FF2" s="16" t="s">
        <v>74</v>
      </c>
      <c r="FG2" s="16" t="s">
        <v>14</v>
      </c>
      <c r="FH2" s="70" t="s">
        <v>67</v>
      </c>
      <c r="FI2" s="70"/>
      <c r="FJ2" s="70"/>
      <c r="FK2" s="70"/>
      <c r="FL2" s="70" t="s">
        <v>68</v>
      </c>
      <c r="FM2" s="70"/>
      <c r="FN2" s="70"/>
      <c r="FO2" s="70"/>
      <c r="FP2" s="70" t="s">
        <v>69</v>
      </c>
      <c r="FQ2" s="70"/>
      <c r="FR2" s="70"/>
      <c r="FS2" s="70"/>
      <c r="FT2" s="70" t="s">
        <v>70</v>
      </c>
      <c r="FU2" s="70"/>
      <c r="FV2" s="70"/>
      <c r="FW2" s="70"/>
      <c r="FX2" s="79" t="s">
        <v>71</v>
      </c>
      <c r="FY2" s="79"/>
      <c r="FZ2" s="79"/>
      <c r="GA2" s="79"/>
      <c r="GB2" s="17" t="s">
        <v>72</v>
      </c>
      <c r="GC2" s="17" t="s">
        <v>73</v>
      </c>
      <c r="GD2" s="17" t="s">
        <v>69</v>
      </c>
      <c r="GE2" s="17" t="s">
        <v>56</v>
      </c>
      <c r="GF2" s="17" t="s">
        <v>74</v>
      </c>
      <c r="GG2" s="17" t="s">
        <v>14</v>
      </c>
      <c r="GH2" s="69" t="s">
        <v>67</v>
      </c>
      <c r="GI2" s="69"/>
      <c r="GJ2" s="69"/>
      <c r="GK2" s="69"/>
      <c r="GL2" s="69" t="s">
        <v>68</v>
      </c>
      <c r="GM2" s="69"/>
      <c r="GN2" s="69"/>
      <c r="GO2" s="69"/>
      <c r="GP2" s="69" t="s">
        <v>69</v>
      </c>
      <c r="GQ2" s="69"/>
      <c r="GR2" s="69"/>
      <c r="GS2" s="69"/>
      <c r="GT2" s="69" t="s">
        <v>70</v>
      </c>
      <c r="GU2" s="69"/>
      <c r="GV2" s="69"/>
      <c r="GW2" s="69"/>
      <c r="GX2" s="80" t="s">
        <v>71</v>
      </c>
      <c r="GY2" s="80"/>
      <c r="GZ2" s="80"/>
      <c r="HA2" s="80"/>
      <c r="HB2" s="16" t="s">
        <v>72</v>
      </c>
      <c r="HC2" s="16" t="s">
        <v>73</v>
      </c>
      <c r="HD2" s="16" t="s">
        <v>69</v>
      </c>
      <c r="HE2" s="16" t="s">
        <v>56</v>
      </c>
      <c r="HF2" s="16" t="s">
        <v>74</v>
      </c>
      <c r="HG2" s="16" t="s">
        <v>14</v>
      </c>
      <c r="HH2" s="70" t="s">
        <v>67</v>
      </c>
      <c r="HI2" s="70"/>
      <c r="HJ2" s="70"/>
      <c r="HK2" s="70"/>
      <c r="HL2" s="70" t="s">
        <v>68</v>
      </c>
      <c r="HM2" s="70"/>
      <c r="HN2" s="70"/>
      <c r="HO2" s="70"/>
      <c r="HP2" s="70" t="s">
        <v>69</v>
      </c>
      <c r="HQ2" s="70"/>
      <c r="HR2" s="70"/>
      <c r="HS2" s="70"/>
      <c r="HT2" s="70" t="s">
        <v>70</v>
      </c>
      <c r="HU2" s="70"/>
      <c r="HV2" s="70"/>
      <c r="HW2" s="70"/>
      <c r="HX2" s="79" t="s">
        <v>71</v>
      </c>
      <c r="HY2" s="79"/>
      <c r="HZ2" s="79"/>
      <c r="IA2" s="79"/>
      <c r="IB2" s="17" t="s">
        <v>72</v>
      </c>
      <c r="IC2" s="17" t="s">
        <v>73</v>
      </c>
      <c r="ID2" s="17" t="s">
        <v>69</v>
      </c>
      <c r="IE2" s="17" t="s">
        <v>56</v>
      </c>
      <c r="IF2" s="17" t="s">
        <v>74</v>
      </c>
      <c r="IG2" s="17" t="s">
        <v>14</v>
      </c>
      <c r="IH2" s="69" t="s">
        <v>67</v>
      </c>
      <c r="II2" s="69"/>
      <c r="IJ2" s="69"/>
      <c r="IK2" s="69"/>
      <c r="IL2" s="69" t="s">
        <v>68</v>
      </c>
      <c r="IM2" s="69"/>
      <c r="IN2" s="69"/>
      <c r="IO2" s="69"/>
      <c r="IP2" s="69" t="s">
        <v>69</v>
      </c>
      <c r="IQ2" s="69"/>
      <c r="IR2" s="69"/>
      <c r="IS2" s="69"/>
      <c r="IT2" s="69" t="s">
        <v>70</v>
      </c>
      <c r="IU2" s="69"/>
      <c r="IV2" s="69"/>
      <c r="IW2" s="69"/>
      <c r="IX2" s="80" t="s">
        <v>71</v>
      </c>
      <c r="IY2" s="80"/>
      <c r="IZ2" s="80"/>
      <c r="JA2" s="80"/>
      <c r="JB2" s="16" t="s">
        <v>72</v>
      </c>
      <c r="JC2" s="16" t="s">
        <v>73</v>
      </c>
      <c r="JD2" s="16" t="s">
        <v>69</v>
      </c>
      <c r="JE2" s="16" t="s">
        <v>56</v>
      </c>
      <c r="JF2" s="16" t="s">
        <v>74</v>
      </c>
      <c r="JG2" s="16" t="s">
        <v>14</v>
      </c>
      <c r="JH2" s="70" t="s">
        <v>67</v>
      </c>
      <c r="JI2" s="70"/>
      <c r="JJ2" s="70"/>
      <c r="JK2" s="70"/>
      <c r="JL2" s="70" t="s">
        <v>68</v>
      </c>
      <c r="JM2" s="70"/>
      <c r="JN2" s="70"/>
      <c r="JO2" s="70"/>
      <c r="JP2" s="70" t="s">
        <v>69</v>
      </c>
      <c r="JQ2" s="70"/>
      <c r="JR2" s="70"/>
      <c r="JS2" s="70"/>
      <c r="JT2" s="70" t="s">
        <v>70</v>
      </c>
      <c r="JU2" s="70"/>
      <c r="JV2" s="70"/>
      <c r="JW2" s="70"/>
      <c r="JX2" s="79" t="s">
        <v>71</v>
      </c>
      <c r="JY2" s="79"/>
      <c r="JZ2" s="79"/>
      <c r="KA2" s="79"/>
      <c r="KB2" s="17" t="s">
        <v>72</v>
      </c>
      <c r="KC2" s="17" t="s">
        <v>73</v>
      </c>
      <c r="KD2" s="17" t="s">
        <v>69</v>
      </c>
      <c r="KE2" s="17" t="s">
        <v>56</v>
      </c>
      <c r="KF2" s="17" t="s">
        <v>74</v>
      </c>
      <c r="KG2" s="17" t="s">
        <v>14</v>
      </c>
      <c r="KH2" s="69" t="s">
        <v>67</v>
      </c>
      <c r="KI2" s="69"/>
      <c r="KJ2" s="69"/>
      <c r="KK2" s="69"/>
      <c r="KL2" s="69" t="s">
        <v>68</v>
      </c>
      <c r="KM2" s="69"/>
      <c r="KN2" s="69"/>
      <c r="KO2" s="69"/>
      <c r="KP2" s="69" t="s">
        <v>69</v>
      </c>
      <c r="KQ2" s="69"/>
      <c r="KR2" s="69"/>
      <c r="KS2" s="69"/>
      <c r="KT2" s="69" t="s">
        <v>70</v>
      </c>
      <c r="KU2" s="69"/>
      <c r="KV2" s="69"/>
      <c r="KW2" s="69"/>
      <c r="KX2" s="80" t="s">
        <v>71</v>
      </c>
      <c r="KY2" s="80"/>
      <c r="KZ2" s="80"/>
      <c r="LA2" s="80"/>
      <c r="LB2" s="16" t="s">
        <v>72</v>
      </c>
      <c r="LC2" s="16" t="s">
        <v>73</v>
      </c>
      <c r="LD2" s="16" t="s">
        <v>69</v>
      </c>
      <c r="LE2" s="16" t="s">
        <v>56</v>
      </c>
      <c r="LF2" s="16" t="s">
        <v>74</v>
      </c>
      <c r="LG2" s="16" t="s">
        <v>14</v>
      </c>
      <c r="LH2" s="70" t="s">
        <v>67</v>
      </c>
      <c r="LI2" s="70"/>
      <c r="LJ2" s="70"/>
      <c r="LK2" s="70"/>
      <c r="LL2" s="70" t="s">
        <v>68</v>
      </c>
      <c r="LM2" s="70"/>
      <c r="LN2" s="70"/>
      <c r="LO2" s="70"/>
      <c r="LP2" s="70" t="s">
        <v>69</v>
      </c>
      <c r="LQ2" s="70"/>
      <c r="LR2" s="70"/>
      <c r="LS2" s="70"/>
      <c r="LT2" s="70" t="s">
        <v>70</v>
      </c>
      <c r="LU2" s="70"/>
      <c r="LV2" s="70"/>
      <c r="LW2" s="70"/>
      <c r="LX2" s="79" t="s">
        <v>71</v>
      </c>
      <c r="LY2" s="79"/>
      <c r="LZ2" s="79"/>
      <c r="MA2" s="79"/>
      <c r="MB2" s="17" t="s">
        <v>72</v>
      </c>
      <c r="MC2" s="17" t="s">
        <v>73</v>
      </c>
      <c r="MD2" s="17" t="s">
        <v>69</v>
      </c>
      <c r="ME2" s="17" t="s">
        <v>56</v>
      </c>
      <c r="MF2" s="17" t="s">
        <v>74</v>
      </c>
      <c r="MG2" s="17" t="s">
        <v>14</v>
      </c>
      <c r="MH2" s="69" t="s">
        <v>67</v>
      </c>
      <c r="MI2" s="69"/>
      <c r="MJ2" s="69"/>
      <c r="MK2" s="69"/>
      <c r="ML2" s="69" t="s">
        <v>68</v>
      </c>
      <c r="MM2" s="69"/>
      <c r="MN2" s="69"/>
      <c r="MO2" s="69"/>
      <c r="MP2" s="69" t="s">
        <v>69</v>
      </c>
      <c r="MQ2" s="69"/>
      <c r="MR2" s="69"/>
      <c r="MS2" s="69"/>
      <c r="MT2" s="69" t="s">
        <v>70</v>
      </c>
      <c r="MU2" s="69"/>
      <c r="MV2" s="69"/>
      <c r="MW2" s="69"/>
      <c r="MX2" s="80" t="s">
        <v>71</v>
      </c>
      <c r="MY2" s="80"/>
      <c r="MZ2" s="80"/>
      <c r="NA2" s="80"/>
      <c r="NB2" s="16" t="s">
        <v>72</v>
      </c>
      <c r="NC2" s="16" t="s">
        <v>73</v>
      </c>
      <c r="ND2" s="16" t="s">
        <v>69</v>
      </c>
      <c r="NE2" s="16" t="s">
        <v>56</v>
      </c>
      <c r="NF2" s="16" t="s">
        <v>74</v>
      </c>
      <c r="NG2" s="16" t="s">
        <v>14</v>
      </c>
      <c r="NH2" s="70" t="s">
        <v>67</v>
      </c>
      <c r="NI2" s="70"/>
      <c r="NJ2" s="70"/>
      <c r="NK2" s="70"/>
      <c r="NL2" s="70" t="s">
        <v>68</v>
      </c>
      <c r="NM2" s="70"/>
      <c r="NN2" s="70"/>
      <c r="NO2" s="70"/>
      <c r="NP2" s="70" t="s">
        <v>69</v>
      </c>
      <c r="NQ2" s="70"/>
      <c r="NR2" s="70"/>
      <c r="NS2" s="70"/>
      <c r="NT2" s="70" t="s">
        <v>70</v>
      </c>
      <c r="NU2" s="70"/>
      <c r="NV2" s="70"/>
      <c r="NW2" s="70"/>
      <c r="NX2" s="79" t="s">
        <v>71</v>
      </c>
      <c r="NY2" s="79"/>
      <c r="NZ2" s="79"/>
      <c r="OA2" s="79"/>
      <c r="OB2" s="17" t="s">
        <v>72</v>
      </c>
      <c r="OC2" s="17" t="s">
        <v>73</v>
      </c>
      <c r="OD2" s="17" t="s">
        <v>69</v>
      </c>
      <c r="OE2" s="17" t="s">
        <v>56</v>
      </c>
      <c r="OF2" s="17" t="s">
        <v>74</v>
      </c>
      <c r="OG2" s="17" t="s">
        <v>14</v>
      </c>
      <c r="OH2" s="69" t="s">
        <v>67</v>
      </c>
      <c r="OI2" s="69"/>
      <c r="OJ2" s="69"/>
      <c r="OK2" s="69"/>
      <c r="OL2" s="69" t="s">
        <v>68</v>
      </c>
      <c r="OM2" s="69"/>
      <c r="ON2" s="69"/>
      <c r="OO2" s="69"/>
      <c r="OP2" s="69" t="s">
        <v>70</v>
      </c>
      <c r="OQ2" s="69"/>
      <c r="OR2" s="69"/>
      <c r="OS2" s="69"/>
      <c r="OT2" s="78" t="s">
        <v>71</v>
      </c>
      <c r="OU2" s="78"/>
      <c r="OV2" s="78"/>
      <c r="OW2" s="78"/>
      <c r="OX2" s="16"/>
      <c r="OY2" s="16" t="s">
        <v>120</v>
      </c>
      <c r="OZ2" s="16" t="s">
        <v>20</v>
      </c>
      <c r="PA2" s="16" t="s">
        <v>56</v>
      </c>
      <c r="PB2" s="16" t="s">
        <v>74</v>
      </c>
      <c r="PC2" s="16" t="s">
        <v>14</v>
      </c>
    </row>
    <row r="3" spans="1:41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51" t="s">
        <v>11</v>
      </c>
      <c r="AE3" s="51" t="s">
        <v>4</v>
      </c>
      <c r="AF3" s="51" t="s">
        <v>22</v>
      </c>
      <c r="AG3" s="51" t="s">
        <v>23</v>
      </c>
      <c r="AH3" s="16" t="s">
        <v>43</v>
      </c>
      <c r="AI3" s="16"/>
      <c r="AJ3" s="16"/>
      <c r="AK3" s="16"/>
      <c r="AL3" s="16"/>
      <c r="AM3" s="16"/>
      <c r="AN3" s="17" t="s">
        <v>11</v>
      </c>
      <c r="AO3" s="17" t="s">
        <v>4</v>
      </c>
      <c r="AP3" s="17" t="s">
        <v>22</v>
      </c>
      <c r="AQ3" s="17" t="s">
        <v>23</v>
      </c>
      <c r="AR3" s="17" t="s">
        <v>11</v>
      </c>
      <c r="AS3" s="17" t="s">
        <v>4</v>
      </c>
      <c r="AT3" s="17" t="s">
        <v>22</v>
      </c>
      <c r="AU3" s="17" t="s">
        <v>23</v>
      </c>
      <c r="AV3" s="17" t="s">
        <v>11</v>
      </c>
      <c r="AW3" s="17" t="s">
        <v>4</v>
      </c>
      <c r="AX3" s="17" t="s">
        <v>22</v>
      </c>
      <c r="AY3" s="17" t="s">
        <v>23</v>
      </c>
      <c r="AZ3" s="53" t="s">
        <v>11</v>
      </c>
      <c r="BA3" s="53" t="s">
        <v>4</v>
      </c>
      <c r="BB3" s="53" t="s">
        <v>22</v>
      </c>
      <c r="BC3" s="53" t="s">
        <v>23</v>
      </c>
      <c r="BD3" s="17" t="s">
        <v>43</v>
      </c>
      <c r="BE3" s="17"/>
      <c r="BF3" s="17"/>
      <c r="BG3" s="17"/>
      <c r="BH3" s="17"/>
      <c r="BI3" s="17"/>
      <c r="BJ3" s="16" t="s">
        <v>11</v>
      </c>
      <c r="BK3" s="16" t="s">
        <v>4</v>
      </c>
      <c r="BL3" s="16" t="s">
        <v>22</v>
      </c>
      <c r="BM3" s="16" t="s">
        <v>23</v>
      </c>
      <c r="BN3" s="16" t="s">
        <v>11</v>
      </c>
      <c r="BO3" s="16" t="s">
        <v>4</v>
      </c>
      <c r="BP3" s="16" t="s">
        <v>22</v>
      </c>
      <c r="BQ3" s="16" t="s">
        <v>23</v>
      </c>
      <c r="BR3" s="16" t="s">
        <v>11</v>
      </c>
      <c r="BS3" s="16" t="s">
        <v>4</v>
      </c>
      <c r="BT3" s="16" t="s">
        <v>22</v>
      </c>
      <c r="BU3" s="16" t="s">
        <v>23</v>
      </c>
      <c r="BV3" s="51" t="s">
        <v>11</v>
      </c>
      <c r="BW3" s="51" t="s">
        <v>4</v>
      </c>
      <c r="BX3" s="51" t="s">
        <v>22</v>
      </c>
      <c r="BY3" s="51" t="s">
        <v>23</v>
      </c>
      <c r="BZ3" s="16" t="s">
        <v>43</v>
      </c>
      <c r="CA3" s="16"/>
      <c r="CB3" s="16"/>
      <c r="CC3" s="16"/>
      <c r="CD3" s="16"/>
      <c r="CE3" s="16"/>
      <c r="CF3" s="54"/>
      <c r="CG3" s="54"/>
      <c r="CH3" s="16" t="s">
        <v>11</v>
      </c>
      <c r="CI3" s="16" t="s">
        <v>4</v>
      </c>
      <c r="CJ3" s="16" t="s">
        <v>22</v>
      </c>
      <c r="CK3" s="16" t="s">
        <v>23</v>
      </c>
      <c r="CL3" s="16" t="s">
        <v>11</v>
      </c>
      <c r="CM3" s="16" t="s">
        <v>4</v>
      </c>
      <c r="CN3" s="16" t="s">
        <v>22</v>
      </c>
      <c r="CO3" s="16" t="s">
        <v>23</v>
      </c>
      <c r="CP3" s="16" t="s">
        <v>11</v>
      </c>
      <c r="CQ3" s="16" t="s">
        <v>4</v>
      </c>
      <c r="CR3" s="16" t="s">
        <v>22</v>
      </c>
      <c r="CS3" s="16" t="s">
        <v>23</v>
      </c>
      <c r="CT3" s="16" t="s">
        <v>11</v>
      </c>
      <c r="CU3" s="16" t="s">
        <v>4</v>
      </c>
      <c r="CV3" s="16" t="s">
        <v>22</v>
      </c>
      <c r="CW3" s="16" t="s">
        <v>23</v>
      </c>
      <c r="CX3" s="52" t="s">
        <v>11</v>
      </c>
      <c r="CY3" s="52" t="s">
        <v>4</v>
      </c>
      <c r="CZ3" s="52" t="s">
        <v>22</v>
      </c>
      <c r="DA3" s="52" t="s">
        <v>23</v>
      </c>
      <c r="DB3" s="16"/>
      <c r="DC3" s="16"/>
      <c r="DD3" s="16"/>
      <c r="DE3" s="16"/>
      <c r="DF3" s="16"/>
      <c r="DG3" s="16"/>
      <c r="DH3" s="17" t="s">
        <v>11</v>
      </c>
      <c r="DI3" s="17" t="s">
        <v>4</v>
      </c>
      <c r="DJ3" s="17" t="s">
        <v>22</v>
      </c>
      <c r="DK3" s="17" t="s">
        <v>23</v>
      </c>
      <c r="DL3" s="17" t="s">
        <v>11</v>
      </c>
      <c r="DM3" s="17" t="s">
        <v>4</v>
      </c>
      <c r="DN3" s="17" t="s">
        <v>22</v>
      </c>
      <c r="DO3" s="17" t="s">
        <v>23</v>
      </c>
      <c r="DP3" s="17" t="s">
        <v>11</v>
      </c>
      <c r="DQ3" s="17" t="s">
        <v>4</v>
      </c>
      <c r="DR3" s="17" t="s">
        <v>22</v>
      </c>
      <c r="DS3" s="17" t="s">
        <v>23</v>
      </c>
      <c r="DT3" s="17" t="s">
        <v>11</v>
      </c>
      <c r="DU3" s="17" t="s">
        <v>4</v>
      </c>
      <c r="DV3" s="17" t="s">
        <v>22</v>
      </c>
      <c r="DW3" s="17" t="s">
        <v>23</v>
      </c>
      <c r="DX3" s="53" t="s">
        <v>11</v>
      </c>
      <c r="DY3" s="53" t="s">
        <v>4</v>
      </c>
      <c r="DZ3" s="53" t="s">
        <v>22</v>
      </c>
      <c r="EA3" s="53" t="s">
        <v>23</v>
      </c>
      <c r="EB3" s="17"/>
      <c r="EC3" s="17"/>
      <c r="ED3" s="17"/>
      <c r="EE3" s="17"/>
      <c r="EF3" s="17"/>
      <c r="EG3" s="17"/>
      <c r="EH3" s="16" t="s">
        <v>11</v>
      </c>
      <c r="EI3" s="16" t="s">
        <v>4</v>
      </c>
      <c r="EJ3" s="16" t="s">
        <v>22</v>
      </c>
      <c r="EK3" s="16" t="s">
        <v>23</v>
      </c>
      <c r="EL3" s="16" t="s">
        <v>11</v>
      </c>
      <c r="EM3" s="16" t="s">
        <v>4</v>
      </c>
      <c r="EN3" s="16" t="s">
        <v>22</v>
      </c>
      <c r="EO3" s="16" t="s">
        <v>23</v>
      </c>
      <c r="EP3" s="16" t="s">
        <v>11</v>
      </c>
      <c r="EQ3" s="16" t="s">
        <v>4</v>
      </c>
      <c r="ER3" s="16" t="s">
        <v>22</v>
      </c>
      <c r="ES3" s="16" t="s">
        <v>23</v>
      </c>
      <c r="ET3" s="16" t="s">
        <v>11</v>
      </c>
      <c r="EU3" s="16" t="s">
        <v>4</v>
      </c>
      <c r="EV3" s="16" t="s">
        <v>22</v>
      </c>
      <c r="EW3" s="16" t="s">
        <v>23</v>
      </c>
      <c r="EX3" s="52" t="s">
        <v>11</v>
      </c>
      <c r="EY3" s="52" t="s">
        <v>4</v>
      </c>
      <c r="EZ3" s="52" t="s">
        <v>22</v>
      </c>
      <c r="FA3" s="52" t="s">
        <v>23</v>
      </c>
      <c r="FB3" s="16"/>
      <c r="FC3" s="16"/>
      <c r="FD3" s="16"/>
      <c r="FE3" s="16"/>
      <c r="FF3" s="16"/>
      <c r="FG3" s="16"/>
      <c r="FH3" s="17" t="s">
        <v>11</v>
      </c>
      <c r="FI3" s="17" t="s">
        <v>4</v>
      </c>
      <c r="FJ3" s="17" t="s">
        <v>22</v>
      </c>
      <c r="FK3" s="17" t="s">
        <v>23</v>
      </c>
      <c r="FL3" s="17" t="s">
        <v>11</v>
      </c>
      <c r="FM3" s="17" t="s">
        <v>4</v>
      </c>
      <c r="FN3" s="17" t="s">
        <v>22</v>
      </c>
      <c r="FO3" s="17" t="s">
        <v>23</v>
      </c>
      <c r="FP3" s="17" t="s">
        <v>11</v>
      </c>
      <c r="FQ3" s="17" t="s">
        <v>4</v>
      </c>
      <c r="FR3" s="17" t="s">
        <v>22</v>
      </c>
      <c r="FS3" s="17" t="s">
        <v>23</v>
      </c>
      <c r="FT3" s="17" t="s">
        <v>11</v>
      </c>
      <c r="FU3" s="17" t="s">
        <v>4</v>
      </c>
      <c r="FV3" s="17" t="s">
        <v>22</v>
      </c>
      <c r="FW3" s="17" t="s">
        <v>23</v>
      </c>
      <c r="FX3" s="53" t="s">
        <v>11</v>
      </c>
      <c r="FY3" s="53" t="s">
        <v>4</v>
      </c>
      <c r="FZ3" s="53" t="s">
        <v>22</v>
      </c>
      <c r="GA3" s="53" t="s">
        <v>23</v>
      </c>
      <c r="GB3" s="17"/>
      <c r="GC3" s="17"/>
      <c r="GD3" s="17"/>
      <c r="GE3" s="17"/>
      <c r="GF3" s="17"/>
      <c r="GG3" s="17"/>
      <c r="GH3" s="16" t="s">
        <v>11</v>
      </c>
      <c r="GI3" s="16" t="s">
        <v>4</v>
      </c>
      <c r="GJ3" s="16" t="s">
        <v>22</v>
      </c>
      <c r="GK3" s="16" t="s">
        <v>23</v>
      </c>
      <c r="GL3" s="16" t="s">
        <v>11</v>
      </c>
      <c r="GM3" s="16" t="s">
        <v>4</v>
      </c>
      <c r="GN3" s="16" t="s">
        <v>22</v>
      </c>
      <c r="GO3" s="16" t="s">
        <v>23</v>
      </c>
      <c r="GP3" s="16" t="s">
        <v>11</v>
      </c>
      <c r="GQ3" s="16" t="s">
        <v>4</v>
      </c>
      <c r="GR3" s="16" t="s">
        <v>22</v>
      </c>
      <c r="GS3" s="16" t="s">
        <v>23</v>
      </c>
      <c r="GT3" s="16" t="s">
        <v>11</v>
      </c>
      <c r="GU3" s="16" t="s">
        <v>4</v>
      </c>
      <c r="GV3" s="16" t="s">
        <v>22</v>
      </c>
      <c r="GW3" s="16" t="s">
        <v>23</v>
      </c>
      <c r="GX3" s="52" t="s">
        <v>11</v>
      </c>
      <c r="GY3" s="52" t="s">
        <v>4</v>
      </c>
      <c r="GZ3" s="52" t="s">
        <v>22</v>
      </c>
      <c r="HA3" s="52" t="s">
        <v>23</v>
      </c>
      <c r="HB3" s="16"/>
      <c r="HC3" s="16"/>
      <c r="HD3" s="16"/>
      <c r="HE3" s="16"/>
      <c r="HF3" s="16"/>
      <c r="HG3" s="16"/>
      <c r="HH3" s="17" t="s">
        <v>11</v>
      </c>
      <c r="HI3" s="17" t="s">
        <v>4</v>
      </c>
      <c r="HJ3" s="17" t="s">
        <v>22</v>
      </c>
      <c r="HK3" s="17" t="s">
        <v>23</v>
      </c>
      <c r="HL3" s="17" t="s">
        <v>11</v>
      </c>
      <c r="HM3" s="17" t="s">
        <v>4</v>
      </c>
      <c r="HN3" s="17" t="s">
        <v>22</v>
      </c>
      <c r="HO3" s="17" t="s">
        <v>23</v>
      </c>
      <c r="HP3" s="17" t="s">
        <v>11</v>
      </c>
      <c r="HQ3" s="17" t="s">
        <v>4</v>
      </c>
      <c r="HR3" s="17" t="s">
        <v>22</v>
      </c>
      <c r="HS3" s="17" t="s">
        <v>23</v>
      </c>
      <c r="HT3" s="17" t="s">
        <v>11</v>
      </c>
      <c r="HU3" s="17" t="s">
        <v>4</v>
      </c>
      <c r="HV3" s="17" t="s">
        <v>22</v>
      </c>
      <c r="HW3" s="17" t="s">
        <v>23</v>
      </c>
      <c r="HX3" s="53" t="s">
        <v>11</v>
      </c>
      <c r="HY3" s="53" t="s">
        <v>4</v>
      </c>
      <c r="HZ3" s="53" t="s">
        <v>22</v>
      </c>
      <c r="IA3" s="53" t="s">
        <v>23</v>
      </c>
      <c r="IB3" s="17"/>
      <c r="IC3" s="17"/>
      <c r="ID3" s="17"/>
      <c r="IE3" s="17"/>
      <c r="IF3" s="17"/>
      <c r="IG3" s="17"/>
      <c r="IH3" s="16" t="s">
        <v>11</v>
      </c>
      <c r="II3" s="16" t="s">
        <v>4</v>
      </c>
      <c r="IJ3" s="16" t="s">
        <v>22</v>
      </c>
      <c r="IK3" s="16" t="s">
        <v>23</v>
      </c>
      <c r="IL3" s="16" t="s">
        <v>11</v>
      </c>
      <c r="IM3" s="16" t="s">
        <v>4</v>
      </c>
      <c r="IN3" s="16" t="s">
        <v>22</v>
      </c>
      <c r="IO3" s="16" t="s">
        <v>23</v>
      </c>
      <c r="IP3" s="16" t="s">
        <v>11</v>
      </c>
      <c r="IQ3" s="16" t="s">
        <v>4</v>
      </c>
      <c r="IR3" s="16" t="s">
        <v>22</v>
      </c>
      <c r="IS3" s="16" t="s">
        <v>23</v>
      </c>
      <c r="IT3" s="16" t="s">
        <v>11</v>
      </c>
      <c r="IU3" s="16" t="s">
        <v>4</v>
      </c>
      <c r="IV3" s="16" t="s">
        <v>22</v>
      </c>
      <c r="IW3" s="16" t="s">
        <v>23</v>
      </c>
      <c r="IX3" s="52" t="s">
        <v>11</v>
      </c>
      <c r="IY3" s="52" t="s">
        <v>4</v>
      </c>
      <c r="IZ3" s="52" t="s">
        <v>22</v>
      </c>
      <c r="JA3" s="52" t="s">
        <v>23</v>
      </c>
      <c r="JB3" s="16"/>
      <c r="JC3" s="16"/>
      <c r="JD3" s="16"/>
      <c r="JE3" s="16"/>
      <c r="JF3" s="16"/>
      <c r="JG3" s="16"/>
      <c r="JH3" s="17" t="s">
        <v>11</v>
      </c>
      <c r="JI3" s="17" t="s">
        <v>4</v>
      </c>
      <c r="JJ3" s="17" t="s">
        <v>22</v>
      </c>
      <c r="JK3" s="17" t="s">
        <v>23</v>
      </c>
      <c r="JL3" s="17" t="s">
        <v>11</v>
      </c>
      <c r="JM3" s="17" t="s">
        <v>4</v>
      </c>
      <c r="JN3" s="17" t="s">
        <v>22</v>
      </c>
      <c r="JO3" s="17" t="s">
        <v>23</v>
      </c>
      <c r="JP3" s="17" t="s">
        <v>11</v>
      </c>
      <c r="JQ3" s="17" t="s">
        <v>4</v>
      </c>
      <c r="JR3" s="17" t="s">
        <v>22</v>
      </c>
      <c r="JS3" s="17" t="s">
        <v>23</v>
      </c>
      <c r="JT3" s="17" t="s">
        <v>11</v>
      </c>
      <c r="JU3" s="17" t="s">
        <v>4</v>
      </c>
      <c r="JV3" s="17" t="s">
        <v>22</v>
      </c>
      <c r="JW3" s="17" t="s">
        <v>23</v>
      </c>
      <c r="JX3" s="53" t="s">
        <v>11</v>
      </c>
      <c r="JY3" s="53" t="s">
        <v>4</v>
      </c>
      <c r="JZ3" s="53" t="s">
        <v>22</v>
      </c>
      <c r="KA3" s="53" t="s">
        <v>23</v>
      </c>
      <c r="KB3" s="17"/>
      <c r="KC3" s="17"/>
      <c r="KD3" s="17"/>
      <c r="KE3" s="17"/>
      <c r="KF3" s="17"/>
      <c r="KG3" s="17"/>
      <c r="KH3" s="16" t="s">
        <v>11</v>
      </c>
      <c r="KI3" s="16" t="s">
        <v>4</v>
      </c>
      <c r="KJ3" s="16" t="s">
        <v>22</v>
      </c>
      <c r="KK3" s="16" t="s">
        <v>23</v>
      </c>
      <c r="KL3" s="16" t="s">
        <v>11</v>
      </c>
      <c r="KM3" s="16" t="s">
        <v>4</v>
      </c>
      <c r="KN3" s="16" t="s">
        <v>22</v>
      </c>
      <c r="KO3" s="16" t="s">
        <v>23</v>
      </c>
      <c r="KP3" s="16" t="s">
        <v>11</v>
      </c>
      <c r="KQ3" s="16" t="s">
        <v>4</v>
      </c>
      <c r="KR3" s="16" t="s">
        <v>22</v>
      </c>
      <c r="KS3" s="16" t="s">
        <v>23</v>
      </c>
      <c r="KT3" s="16" t="s">
        <v>11</v>
      </c>
      <c r="KU3" s="16" t="s">
        <v>4</v>
      </c>
      <c r="KV3" s="16" t="s">
        <v>22</v>
      </c>
      <c r="KW3" s="16" t="s">
        <v>23</v>
      </c>
      <c r="KX3" s="52" t="s">
        <v>11</v>
      </c>
      <c r="KY3" s="52" t="s">
        <v>4</v>
      </c>
      <c r="KZ3" s="52" t="s">
        <v>22</v>
      </c>
      <c r="LA3" s="52" t="s">
        <v>23</v>
      </c>
      <c r="LB3" s="16"/>
      <c r="LC3" s="16"/>
      <c r="LD3" s="16"/>
      <c r="LE3" s="16"/>
      <c r="LF3" s="16"/>
      <c r="LG3" s="16"/>
      <c r="LH3" s="17" t="s">
        <v>11</v>
      </c>
      <c r="LI3" s="17" t="s">
        <v>4</v>
      </c>
      <c r="LJ3" s="17" t="s">
        <v>22</v>
      </c>
      <c r="LK3" s="17" t="s">
        <v>23</v>
      </c>
      <c r="LL3" s="17" t="s">
        <v>11</v>
      </c>
      <c r="LM3" s="17" t="s">
        <v>4</v>
      </c>
      <c r="LN3" s="17" t="s">
        <v>22</v>
      </c>
      <c r="LO3" s="17" t="s">
        <v>23</v>
      </c>
      <c r="LP3" s="17" t="s">
        <v>11</v>
      </c>
      <c r="LQ3" s="17" t="s">
        <v>4</v>
      </c>
      <c r="LR3" s="17" t="s">
        <v>22</v>
      </c>
      <c r="LS3" s="17" t="s">
        <v>23</v>
      </c>
      <c r="LT3" s="17" t="s">
        <v>11</v>
      </c>
      <c r="LU3" s="17" t="s">
        <v>4</v>
      </c>
      <c r="LV3" s="17" t="s">
        <v>22</v>
      </c>
      <c r="LW3" s="17" t="s">
        <v>23</v>
      </c>
      <c r="LX3" s="53" t="s">
        <v>11</v>
      </c>
      <c r="LY3" s="53" t="s">
        <v>4</v>
      </c>
      <c r="LZ3" s="53" t="s">
        <v>22</v>
      </c>
      <c r="MA3" s="53" t="s">
        <v>23</v>
      </c>
      <c r="MB3" s="17"/>
      <c r="MC3" s="17"/>
      <c r="MD3" s="17"/>
      <c r="ME3" s="17"/>
      <c r="MF3" s="17"/>
      <c r="MG3" s="17"/>
      <c r="MH3" s="16" t="s">
        <v>11</v>
      </c>
      <c r="MI3" s="16" t="s">
        <v>4</v>
      </c>
      <c r="MJ3" s="16" t="s">
        <v>22</v>
      </c>
      <c r="MK3" s="16" t="s">
        <v>23</v>
      </c>
      <c r="ML3" s="16" t="s">
        <v>11</v>
      </c>
      <c r="MM3" s="16" t="s">
        <v>4</v>
      </c>
      <c r="MN3" s="16" t="s">
        <v>22</v>
      </c>
      <c r="MO3" s="16" t="s">
        <v>23</v>
      </c>
      <c r="MP3" s="16" t="s">
        <v>11</v>
      </c>
      <c r="MQ3" s="16" t="s">
        <v>4</v>
      </c>
      <c r="MR3" s="16" t="s">
        <v>22</v>
      </c>
      <c r="MS3" s="16" t="s">
        <v>23</v>
      </c>
      <c r="MT3" s="16" t="s">
        <v>11</v>
      </c>
      <c r="MU3" s="16" t="s">
        <v>4</v>
      </c>
      <c r="MV3" s="16" t="s">
        <v>22</v>
      </c>
      <c r="MW3" s="16" t="s">
        <v>23</v>
      </c>
      <c r="MX3" s="52" t="s">
        <v>11</v>
      </c>
      <c r="MY3" s="52" t="s">
        <v>4</v>
      </c>
      <c r="MZ3" s="52" t="s">
        <v>22</v>
      </c>
      <c r="NA3" s="52" t="s">
        <v>23</v>
      </c>
      <c r="NB3" s="16"/>
      <c r="NC3" s="16"/>
      <c r="ND3" s="16"/>
      <c r="NE3" s="16"/>
      <c r="NF3" s="16"/>
      <c r="NG3" s="16"/>
      <c r="NH3" s="17" t="s">
        <v>11</v>
      </c>
      <c r="NI3" s="17" t="s">
        <v>4</v>
      </c>
      <c r="NJ3" s="17" t="s">
        <v>22</v>
      </c>
      <c r="NK3" s="17" t="s">
        <v>23</v>
      </c>
      <c r="NL3" s="17" t="s">
        <v>11</v>
      </c>
      <c r="NM3" s="17" t="s">
        <v>4</v>
      </c>
      <c r="NN3" s="17" t="s">
        <v>22</v>
      </c>
      <c r="NO3" s="17" t="s">
        <v>23</v>
      </c>
      <c r="NP3" s="17" t="s">
        <v>11</v>
      </c>
      <c r="NQ3" s="17" t="s">
        <v>4</v>
      </c>
      <c r="NR3" s="17" t="s">
        <v>22</v>
      </c>
      <c r="NS3" s="17" t="s">
        <v>23</v>
      </c>
      <c r="NT3" s="17" t="s">
        <v>11</v>
      </c>
      <c r="NU3" s="17" t="s">
        <v>4</v>
      </c>
      <c r="NV3" s="17" t="s">
        <v>22</v>
      </c>
      <c r="NW3" s="17" t="s">
        <v>23</v>
      </c>
      <c r="NX3" s="53" t="s">
        <v>11</v>
      </c>
      <c r="NY3" s="53" t="s">
        <v>4</v>
      </c>
      <c r="NZ3" s="53" t="s">
        <v>22</v>
      </c>
      <c r="OA3" s="53" t="s">
        <v>23</v>
      </c>
      <c r="OB3" s="17"/>
      <c r="OC3" s="17"/>
      <c r="OD3" s="17"/>
      <c r="OE3" s="17"/>
      <c r="OF3" s="17"/>
      <c r="OG3" s="17"/>
      <c r="OH3" s="16" t="s">
        <v>11</v>
      </c>
      <c r="OI3" s="16" t="s">
        <v>4</v>
      </c>
      <c r="OJ3" s="16" t="s">
        <v>22</v>
      </c>
      <c r="OK3" s="16" t="s">
        <v>23</v>
      </c>
      <c r="OL3" s="16" t="s">
        <v>11</v>
      </c>
      <c r="OM3" s="16" t="s">
        <v>4</v>
      </c>
      <c r="ON3" s="16" t="s">
        <v>22</v>
      </c>
      <c r="OO3" s="16" t="s">
        <v>23</v>
      </c>
      <c r="OP3" s="16" t="s">
        <v>11</v>
      </c>
      <c r="OQ3" s="16" t="s">
        <v>4</v>
      </c>
      <c r="OR3" s="16" t="s">
        <v>22</v>
      </c>
      <c r="OS3" s="16" t="s">
        <v>23</v>
      </c>
      <c r="OT3" s="51" t="s">
        <v>11</v>
      </c>
      <c r="OU3" s="51" t="s">
        <v>4</v>
      </c>
      <c r="OV3" s="51" t="s">
        <v>22</v>
      </c>
      <c r="OW3" s="51" t="s">
        <v>23</v>
      </c>
      <c r="OX3" s="16" t="s">
        <v>43</v>
      </c>
      <c r="OY3" s="16"/>
      <c r="OZ3" s="16"/>
      <c r="PA3" s="16"/>
      <c r="PB3" s="16"/>
      <c r="PC3" s="16"/>
    </row>
    <row r="4" spans="1:419" x14ac:dyDescent="0.2">
      <c r="A4" s="4" cm="1">
        <f t="array" ref="A4">IF(AND(H4&lt;&gt;"",H4&lt;&gt;"No DD"),SUMPRODUCT((H$4:H$10&lt;&gt;"")*(H$4:H$10&lt;&gt;"No DD")*(E$4:E$10&gt;E4))+1,IF(H4="No DD",SUMPRODUCT((H$4:H$10="No DD")*(E$4:E$10&gt;E4))+1+SUMPRODUCT((H$4:H$10&lt;&gt;"")*(H$4:H$10&lt;&gt;"No DD")),""))</f>
        <v>1</v>
      </c>
      <c r="B4" s="5" t="s">
        <v>78</v>
      </c>
      <c r="C4" s="4" t="s">
        <v>62</v>
      </c>
      <c r="D4" s="4">
        <v>2010</v>
      </c>
      <c r="E4" s="10">
        <f t="shared" ref="E4:E9" si="0">SUM(I4:O4)+SUM(I4:M4)*0.0000001+SUM(I4)*0.0000000000001</f>
        <v>125.30001253000415</v>
      </c>
      <c r="F4" s="3" t="str">
        <f t="shared" ref="F4:F9" si="1">IF(OR(AND(AI4&gt;=AM$12,AJ4&gt;=AM$16,AI4&lt;&gt;"",AH4=""),AND(AK4&gt;=AM$12,AL4&gt;=AM$16,AK4&lt;&gt;"",AH4=""),AND(BE4&gt;=BI$12,BF4&gt;=BI$16,BE4&lt;&gt;"",BD4=""),AND(BG4&gt;=BI$12,BH4&gt;=BI$16,BG4&lt;&gt;"",BD4=""),AND(CA4&gt;=CE$12,CB4&gt;=CE$16,CA4&lt;&gt;"",BZ4=""),AND(CC4&gt;=CE$12,CD4&gt;=CE$16,CC4&lt;&gt;""),AND(DB4&gt;=DG$12,DC4&gt;=DG$16,DB4&lt;&gt;""),AND(DE4&gt;=DG$12,DF4&gt;=DG$16,DE4&lt;&gt;""),AND(EB4&gt;=EG$12,EC4&gt;=EG$16,EB4&lt;&gt;""),AND(EE4&gt;=EG$12,EF4&gt;=EG$16,EE4&lt;&gt;""),AND(FB4&gt;=FG$12,FC4&gt;=FG$16,FB4&lt;&gt;""),AND(FE4&gt;=FG$12,FF4&gt;=FG$16,FE4&lt;&gt;""),AND(GB4&gt;=GG$12,GC4&gt;=GG$16,GB4&lt;&gt;""),AND(GE4&gt;=GG$12,GF4&gt;=GG$16,GE4&lt;&gt;""),AND(HB4&gt;=HG$12,HC4&gt;=HG$16,HB4&lt;&gt;""),AND(HE4&gt;=HG$12,HF4&gt;=HG$16,HE4&lt;&gt;""),AND(IB4&gt;=IG$12,IC4&gt;=IG$16,IB4&lt;&gt;""),AND(IE4&gt;=IG$12,IF4&gt;=IG$16,IE4&lt;&gt;""),AND(JB4&gt;=JG$12,JC4&gt;=JG$16,JB4&lt;&gt;""),AND(JE4&gt;=JG$12,JF4&gt;=JG$16,JE4&lt;&gt;""),AND(KB4&gt;=KG$12,KC4&gt;=KG$16,KB4&lt;&gt;""),AND(KE4&gt;=KG$12,KF4&gt;=KG$16,KE4&lt;&gt;""),AND(LB4&gt;=LG$12,LC4&gt;=LG$16,LB4&lt;&gt;""),AND(LE4&gt;=LG$12,LF4&gt;=LG$16,LE4&lt;&gt;""),AND(MB4&gt;=MG$12,MC4&gt;=MG$16,MB4&lt;&gt;""),AND(ME4&gt;=MG$12,MF4&gt;=MG$16,ME4&lt;&gt;""),AND(NB4&gt;=NG$12,NC4&gt;=NG$16,NB4&lt;&gt;""),AND(NE4&gt;=NG$12,NF4&gt;=NG$16,NE4&lt;&gt;""),AND(OB4&gt;=OG$12,OC4&gt;=OG$16,OB4&lt;&gt;""),AND(OE4&gt;=OG$12,OF4&gt;=OG$16,OE4&lt;&gt;"")),"P","")</f>
        <v>P</v>
      </c>
      <c r="G4" s="3" t="str">
        <f t="shared" ref="G4:G9" si="2">IF(OR(AND(AJ4&gt;=AM$16,AJ4&lt;&gt;"",AH4=""),AND(AL4&gt;=AM$16,AL4&lt;&gt;"",AH4=""),AND(BF4&gt;=BI$16,BF4&lt;&gt;"",BD4=""),AND(BH4&gt;=BI$16,BH4&lt;&gt;"",BD4=""),AND(CB4&gt;=CE$16,CB4&lt;&gt;"",BZ4=""),AND(CD4&gt;=CE$16,CD4&lt;&gt;"",BZ4=""),AND(DC4&gt;=DG$16,DC4&lt;&gt;""),AND(DF4&gt;=DG$16,DF4&lt;&gt;""),AND(EC4&gt;=EG$16,EC4&lt;&gt;""),AND(EF4&gt;=EG$16,EF4&lt;&gt;""),AND(FC4&gt;=FG$16,FC4&lt;&gt;""),AND(FF4&gt;=FG$16,FF4&lt;&gt;""),AND(GC4&gt;=GG$16,GC4&lt;&gt;""),AND(GF4&gt;=GG$16,GF4&lt;&gt;""),AND(HC4&gt;=HG$16,HC4&lt;&gt;""),AND(HF4&gt;=HG$16,HF4&lt;&gt;""),AND(IC4&gt;=IG$16,IC4&lt;&gt;""),AND(IF4&gt;=IG$16,IF4&lt;&gt;""),AND(JC4&gt;=JG$16,JC4&lt;&gt;""),AND(JF4&gt;=JG$16,JF4&lt;&gt;""),AND(KC4&gt;=KG$16,KC4&lt;&gt;""),AND(KF4&gt;=KG$16,KF4&lt;&gt;""),AND(LC4&gt;=LG$16,LC4&lt;&gt;""),AND(LF4&gt;=LG$16,LF4&lt;&gt;""),AND(MC4&gt;=MG$16,MC4&lt;&gt;""),AND(MF4&gt;=MG$16,MF4&lt;&gt;""),AND(NC4&gt;=NG$16,NC4&lt;&gt;""),AND(NF4&gt;=NG$16,NF4&lt;&gt;""),AND(OC4&gt;=OG$16,OC4&lt;&gt;""),AND(OF4&gt;=OG$16,OF4&lt;&gt;"")),"P","")</f>
        <v>P</v>
      </c>
      <c r="H4" s="47" t="str">
        <f t="shared" ref="H4:H9" si="3">IF(AND(G4="P",F4=""),"No DD",IF(OR(AND(AI4&gt;=AM$15,AJ4&gt;=AM$19,AI4&lt;&gt;"",AH4=""),AND(AK4&gt;=AM$15,AL4&gt;=AM$19,AK4&lt;&gt;"",AH4=""),AND(BE4&gt;=BI$15,BF4&gt;=BI$19,BE4&lt;&gt;"",BD4=""),AND(BG4&gt;=BI$15,BH4&gt;=BI$19,BG4&lt;&gt;"",BD4=""),AND(CA4&gt;=CE$15,CB4&gt;=CE$19,CA4&lt;&gt;"",BZ4=""),AND(CC4&gt;=CE$15,CD4&gt;=CE$19,CC4&lt;&gt;""),AND(DB4&gt;=DG$15,DC4&gt;=DG$19,DB4&lt;&gt;""),AND(DE4&gt;=DG$15,DF4&gt;=DG$19,DE4&lt;&gt;""),AND(EB4&gt;=EG$15,EC4&gt;=EG$19,EB4&lt;&gt;""),AND(EE4&gt;=EG$15,EF4&gt;=EG$19,EE4&lt;&gt;""),AND(FB4&gt;=FG$15,FC4&gt;=FG$19,FB4&lt;&gt;""),AND(FE4&gt;=FG$15,FF4&gt;=FG$19,FE4&lt;&gt;""),AND(GB4&gt;=GG$15,GC4&gt;=GG$19,GB4&lt;&gt;""),AND(GE4&gt;=GG$15,GF4&gt;=GG$19,GE4&lt;&gt;""),AND(HB4&gt;=HG$15,HC4&gt;=HG$19,HB4&lt;&gt;""),AND(HE4&gt;=HG$15,HF4&gt;=HG$19,HE4&lt;&gt;""),AND(IB4&gt;=IG$15,IC4&gt;=IG$19,IB4&lt;&gt;""),AND(IE4&gt;=IG$15,IF4&gt;=IG$19,IE4&lt;&gt;""),AND(JB4&gt;=JG$15,JC4&gt;=JG$19,JB4&lt;&gt;""),AND(JE4&gt;=JG$15,JF4&gt;=JG$19,JE4&lt;&gt;""),AND(KB4&gt;=KG$15,KC4&gt;=KG$19,KB4&lt;&gt;""),AND(KE4&gt;=KG$15,KF4&gt;=KG$19,KE4&lt;&gt;""),AND(LB4&gt;=LG$15,LC4&gt;=LG$19,LB4&lt;&gt;""),AND(LE4&gt;=LG$15,LF4&gt;=LG$19,LE4&lt;&gt;""),AND(MB4&gt;=MG$15,MC4&gt;=MG$19,MB4&lt;&gt;""),AND(ME4&gt;=MG$15,MF4&gt;=MG$19,ME4&lt;&gt;""),AND(NB4&gt;=NG$15,NC4&gt;=NG$19,NB4&lt;&gt;""),AND(NE4&gt;=NG$15,NF4&gt;=NG$19,NE4&lt;&gt;""),AND(OB4&gt;=OG$15,OC4&gt;=OG$19,OB4&lt;&gt;""),AND(OE4&gt;=OG$15,OF4&gt;=OG$19,OE4&lt;&gt;"")),"Merit",IF(OR(AND(AI4&gt;=AM$14,AJ4&gt;=AM$18,AI4&lt;&gt;"",AH4=""),AND(AK4&gt;=AM$14,AL4&gt;=AM$18,AK4&lt;&gt;"",AH4=""),AND(BE4&gt;=BI$14,BF4&gt;=BI$18,BE4&lt;&gt;"",BD4=""),AND(BG4&gt;=BI$14,BH4&gt;=BI$18,BG4&lt;&gt;"",BD4=""),AND(CA4&gt;=CE$14,CB4&gt;=CE$18,CA4&lt;&gt;"",BZ4=""),AND(CC4&gt;=CE$14,CD4&gt;=CE$18,CC4&lt;&gt;""),AND(DB4&gt;=DG$14,DC4&gt;=DG$18,DB4&lt;&gt;""),AND(DE4&gt;=DG$14,DF4&gt;=DG$18,DE4&lt;&gt;""),AND(EB4&gt;=EG$14,EC4&gt;=EG$18,EB4&lt;&gt;""),AND(EE4&gt;=EG$14,EF4&gt;=EG$18,EE4&lt;&gt;""),AND(FB4&gt;=FG$14,FC4&gt;=FG$18,FB4&lt;&gt;""),AND(FE4&gt;=FG$14,FF4&gt;=FG$18,FE4&lt;&gt;""),AND(GB4&gt;=GG$14,GC4&gt;=GG$18,GB4&lt;&gt;""),AND(GE4&gt;=GG$14,GF4&gt;=GG$18,GE4&lt;&gt;""),AND(HB4&gt;=HG$14,HC4&gt;=HG$18,HB4&lt;&gt;""),AND(HE4&gt;=HG$14,HF4&gt;=HG$18,HE4&lt;&gt;""),AND(IB4&gt;=IG$14,IC4&gt;=IG$18,IB4&lt;&gt;""),AND(IE4&gt;=IG$14,IF4&gt;=IG$18,IE4&lt;&gt;""),AND(JB4&gt;=JG$14,JC4&gt;=JG$18,JB4&lt;&gt;""),AND(JE4&gt;=JG$14,JF4&gt;=JG$18,JE4&lt;&gt;""),AND(KB4&gt;=KG$14,KC4&gt;=KG$18,KB4&lt;&gt;""),AND(KE4&gt;=KG$14,KF4&gt;=KG$18,KE4&lt;&gt;""),AND(LB4&gt;=LG$14,LC4&gt;=LG$18,LB4&lt;&gt;""),AND(LE4&gt;=LG$14,LF4&gt;=LG$18,LE4&lt;&gt;""),AND(MB4&gt;=MG$14,MC4&gt;=MG$18,MB4&lt;&gt;""),AND(ME4&gt;=MG$14,MF4&gt;=MG$18,ME4&lt;&gt;""),AND(NB4&gt;=NG$14,NC4&gt;=NG$18,NB4&lt;&gt;""),AND(NE4&gt;=NG$14,NF4&gt;=NG$18,NE4&lt;&gt;""),AND(OB4&gt;=OG$14,OC4&gt;=OG$18,OB4&lt;&gt;""),AND(OE4&gt;=OG$14,OF4&gt;=OG$18,OE4&lt;&gt;"")),"Excellence",IF(F4="P","National Team",""))))</f>
        <v>National Team</v>
      </c>
      <c r="I4" s="9">
        <f>IF(COUNT(AJ4,BF4,CB4)&gt;0,LARGE((AJ4,BF4,CB4),1),0)</f>
        <v>41.499999999999993</v>
      </c>
      <c r="J4" s="9" t="str">
        <f t="shared" ref="J4:J9" si="4">IF(I4=0,"",IF(I4=CB4,$BJ$1,IF(I4=BF4,$AN$1,IF(I4=AJ4,$R$1,""))))</f>
        <v>2025 3rd Domestic Trial</v>
      </c>
      <c r="K4" s="9">
        <f>IF(COUNT(AJ4,BF4,CB4)&gt;1,LARGE((AJ4,BF4,CB4),2),0)</f>
        <v>41.1</v>
      </c>
      <c r="L4" s="9" t="str">
        <f t="shared" ref="L4:L9" si="5">IF(K4=0,"",IF(AND(K4=I4,K4=AJ4,K4=BF4),$R$1,IF(AND(K4=I4,K4=AJ4,K4=CB4),$R$1,IF(AND(K4=I4,K4=CB4,K4=BF4),$AN$1,IF(K4=CB4,$BJ$1,IF(K4=BF4,$AN$1,IF(K4=AJ4,$R$1,"")))))))</f>
        <v>2025 Nationals</v>
      </c>
      <c r="M4" s="9">
        <f t="shared" ref="M4:M9" si="6">IF(MAX(AL4,BH4,CD4)&gt;0,MAX(AL4,BH4,CD4),0)</f>
        <v>42.7</v>
      </c>
      <c r="N4" s="9" t="str">
        <f t="shared" ref="N4:N9" si="7">IF(M4=0,"",IF(M4=CD4,$BJ$1,IF(M4=BH4,$AN$1,IF(M4=AL4,$R$1,""))))</f>
        <v>2025 Nationals</v>
      </c>
      <c r="O4" s="9" t="str">
        <f t="shared" ref="O4:O9" si="8">IF(MAX(CF4:CG4)&gt;0,MAX(CF4:CG4),"")</f>
        <v/>
      </c>
      <c r="P4" s="14" t="str">
        <f t="shared" ref="P4:P9" si="9">IF(O4="","",IF(O4=CF4,"("&amp;CF$2&amp;")",IF(O4=CG4,"("&amp;CG$2&amp;")")))</f>
        <v/>
      </c>
      <c r="Q4" s="9" t="str">
        <f t="shared" ref="Q4:Q9" si="10">IF(O4="","",IF(O4=CF4,IF(O4+IF(K4="",0,K4)=OC4,$NH$1,IF(O4+IF(K4="",0,K4)=NC4,$MH$1,IF(O4+IF(K4="",0,K4)=MC4,$LH$1,IF(O4+IF(K4="",0,K4)=LC4,$KH$1,IF(O4+IF(K4="",0,K4)=KC4,$JH$1,IF(O4+IF(K4="",0,K4)=JC4,$IH$1,IF(O4+IF(K4="",0,K4)=IC4,$HH$1,IF(O4+IF(K4="",0,K4)=HC4,$GH$1,IF(O4+IF(K4="",0,K4)=GC4,$FH$1,IF(O4+IF(K4="",0,K4)=FC4,$EH$1,IF(O4+IF(K4="",0,K4)=EC4,$DH$1,IF(O4+IF(K4="",0,K4)=DC4,$CH$1)))))))))))),IF(O4=CG4,IF(O4+IF(M4="",0,M4)=OF4,$NH$1,IF(O4+IF(M4="",0,M4)=NF4,$MH$1,IF(O4+IF(M4="",0,M4)=MF4,$LH$1,IF(O4+IF(M4="",0,M4)=LF4,$KH$1,IF(O4+IF(M4="",0,M4)=KF4,$JH$1,IF(O4+IF(M4="",0,M4)=JF4,$IH$1,IF(O4+IF(M4="",0,M4)=IF4,$HH$1,IF(O4+IF(M4="",0,M4)=HF4,$GH$1,IF(O4+IF(M4="",0,M4)=GF4,$FH$1,IF(O4+IF(M4="",0,M4)=FF4,$EH$1,IF(O4+IF(M4="",0,M4)=EF4,$DH$1,IF(O4+IF(M4="",0,M4)=DF4,$CH$1)))))))))))))))</f>
        <v/>
      </c>
      <c r="R4" s="20">
        <v>15.1</v>
      </c>
      <c r="S4" s="20">
        <v>3.9</v>
      </c>
      <c r="T4" s="20">
        <v>0.2</v>
      </c>
      <c r="U4" s="20">
        <v>0</v>
      </c>
      <c r="V4" s="20">
        <v>16.899999999999999</v>
      </c>
      <c r="W4" s="20">
        <v>2.8</v>
      </c>
      <c r="X4" s="20">
        <v>0.2</v>
      </c>
      <c r="Y4" s="20">
        <v>0</v>
      </c>
      <c r="Z4" s="20">
        <v>17.2</v>
      </c>
      <c r="AA4" s="20">
        <v>3.9</v>
      </c>
      <c r="AB4" s="20">
        <v>0</v>
      </c>
      <c r="AC4" s="20">
        <v>0</v>
      </c>
      <c r="AD4" s="20">
        <v>17.5</v>
      </c>
      <c r="AE4" s="20">
        <v>3.4</v>
      </c>
      <c r="AF4" s="20">
        <v>0</v>
      </c>
      <c r="AG4" s="20">
        <v>0</v>
      </c>
      <c r="AH4" s="32"/>
      <c r="AI4" s="55">
        <f t="shared" ref="AI4:AI9" si="11">IF(SUM(S4,W4)&gt;0,SUM(S4,W4),"")</f>
        <v>6.6999999999999993</v>
      </c>
      <c r="AJ4" s="55">
        <f t="shared" ref="AJ4:AJ9" si="12">IF(SUM(R4:S4,U4:W4,Y4)-T4-X4&gt;0,SUM(R4:S4,U4:W4,Y4)-T4-X4,"")</f>
        <v>38.29999999999999</v>
      </c>
      <c r="AK4" s="55">
        <f t="shared" ref="AK4:AK9" si="13">IF(SUM(AA4,AE4)&gt;0,SUM(AA4,AE4),"")</f>
        <v>7.3</v>
      </c>
      <c r="AL4" s="55">
        <f t="shared" ref="AL4:AL9" si="14">IF(SUM(Z4:AA4,AC4:AE4,AG4)-SUM(AB4,AF4)&gt;0,SUM(Z4:AA4,AC4:AE4,AG4)-SUM(AB4,AF4),"")</f>
        <v>41.999999999999993</v>
      </c>
      <c r="AM4" s="55">
        <f t="shared" ref="AM4:AM9" si="15">IF(SUM(AJ4,AL4)&gt;0,SUM(AJ4,AL4),"")</f>
        <v>80.299999999999983</v>
      </c>
      <c r="AN4" s="19">
        <v>17.3</v>
      </c>
      <c r="AO4" s="19">
        <v>3.9</v>
      </c>
      <c r="AP4" s="19">
        <v>0</v>
      </c>
      <c r="AQ4" s="19">
        <v>0</v>
      </c>
      <c r="AR4" s="19">
        <v>15.8</v>
      </c>
      <c r="AS4" s="19">
        <v>4.0999999999999996</v>
      </c>
      <c r="AT4" s="19">
        <v>0</v>
      </c>
      <c r="AU4" s="19">
        <v>0</v>
      </c>
      <c r="AV4" s="19">
        <v>17.399999999999999</v>
      </c>
      <c r="AW4" s="19">
        <v>4.0999999999999996</v>
      </c>
      <c r="AX4" s="19">
        <v>0</v>
      </c>
      <c r="AY4" s="19">
        <v>0</v>
      </c>
      <c r="AZ4" s="19">
        <v>18</v>
      </c>
      <c r="BA4" s="19">
        <v>3.2</v>
      </c>
      <c r="BB4" s="19">
        <v>0</v>
      </c>
      <c r="BC4" s="19">
        <v>0</v>
      </c>
      <c r="BD4" s="33"/>
      <c r="BE4" s="14">
        <f t="shared" ref="BE4:BE9" si="16">IF(SUM(AO4,AS4)&gt;0,SUM(AO4,AS4),"")</f>
        <v>8</v>
      </c>
      <c r="BF4" s="14">
        <f t="shared" ref="BF4:BF9" si="17">IF(SUM(AN4:AO4,AQ4:AS4,AU4)-AP4-AT4&gt;0,SUM(AN4:AO4,AQ4:AS4,AU4)-AP4-AT4,"")</f>
        <v>41.1</v>
      </c>
      <c r="BG4" s="14">
        <f t="shared" ref="BG4:BG9" si="18">IF(SUM(AW4,BA4)&gt;0,SUM(AW4,BA4),"")</f>
        <v>7.3</v>
      </c>
      <c r="BH4" s="14">
        <f t="shared" ref="BH4:BH9" si="19">IF(SUM(AV4:AW4,AY4:BA4,BC4)-SUM(AX4,BB4)&gt;0,SUM(AV4:AW4,AY4:BA4,BC4)-SUM(AX4,BB4),"")</f>
        <v>42.7</v>
      </c>
      <c r="BI4" s="14">
        <f t="shared" ref="BI4:BI9" si="20">IF(SUM(BF4,BH4)&gt;0,SUM(BF4,BH4),"")</f>
        <v>83.800000000000011</v>
      </c>
      <c r="BJ4" s="20">
        <v>17.5</v>
      </c>
      <c r="BK4" s="20">
        <v>3.4</v>
      </c>
      <c r="BL4" s="20">
        <v>0</v>
      </c>
      <c r="BM4" s="20">
        <v>0</v>
      </c>
      <c r="BN4" s="20">
        <v>16.7</v>
      </c>
      <c r="BO4" s="20">
        <v>3.9</v>
      </c>
      <c r="BP4" s="20">
        <v>0</v>
      </c>
      <c r="BQ4" s="20">
        <v>0</v>
      </c>
      <c r="BR4" s="20">
        <v>16</v>
      </c>
      <c r="BS4" s="20">
        <v>3.4</v>
      </c>
      <c r="BT4" s="20">
        <v>0.2</v>
      </c>
      <c r="BU4" s="20">
        <v>0</v>
      </c>
      <c r="BV4" s="20">
        <v>5.7</v>
      </c>
      <c r="BW4" s="20">
        <v>0.1</v>
      </c>
      <c r="BX4" s="20">
        <v>0.2</v>
      </c>
      <c r="BY4" s="20">
        <v>0</v>
      </c>
      <c r="BZ4" s="32"/>
      <c r="CA4" s="55">
        <f t="shared" ref="CA4:CA9" si="21">IF(SUM(BK4,BO4)&gt;0,SUM(BK4,BO4),"")</f>
        <v>7.3</v>
      </c>
      <c r="CB4" s="55">
        <f t="shared" ref="CB4:CB9" si="22">IF(SUM(BJ4:BK4,BM4:BO4,BQ4)-BL4-BP4&gt;0,SUM(BJ4:BK4,BM4:BO4,BQ4)-BL4-BP4,"")</f>
        <v>41.499999999999993</v>
      </c>
      <c r="CC4" s="55">
        <f t="shared" ref="CC4:CC9" si="23">IF(SUM(BS4,BW4)&gt;0,SUM(BS4,BW4),"")</f>
        <v>3.5</v>
      </c>
      <c r="CD4" s="55">
        <f t="shared" ref="CD4:CD9" si="24">IF(SUM(BR4:BS4,BU4:BW4,BY4)-SUM(BT4,BX4)&gt;0,SUM(BR4:BS4,BU4:BW4,BY4)-SUM(BT4,BX4),"")</f>
        <v>24.8</v>
      </c>
      <c r="CE4" s="55">
        <f t="shared" ref="CE4:CE9" si="25">IF(SUM(CB4,CD4)&gt;0,SUM(CB4,CD4),"")</f>
        <v>66.3</v>
      </c>
      <c r="CF4" s="56" t="str">
        <f t="shared" ref="CF4:CF9" si="26">IF(MAX(DC4,EC4,FC4,GC4,HC4,IC4,JC4,KC4,LC4,MC4,NC4,OC4)-IF(K4="",0,K4)&gt;0.001,MAX(DC4,EC4,FC4,GC4,HC4,IC4,JC4,KC4,LC4,MC4,NC4,OC4)-IF(K4="",0,K4),"")</f>
        <v/>
      </c>
      <c r="CG4" s="56" t="str">
        <f t="shared" ref="CG4:CG9" si="27">IF(MAX(DF4,EF4,FF4,GF4,HF4,IF4,JF4,KF4,LF4,MF4,NF4,OF4)-IF(M4="",0,M4)&gt;0.001,MAX(DF4,EF4,FF4,GF4,HF4,IF4,JF4,KF4,LF4,MF4,NF4,OF4)-IF(M4="",0,M4),"")</f>
        <v/>
      </c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/>
      <c r="CV4" s="18"/>
      <c r="CW4" s="18"/>
      <c r="CX4" s="18"/>
      <c r="CY4" s="18"/>
      <c r="CZ4" s="18"/>
      <c r="DA4" s="18"/>
      <c r="DB4" s="55" t="str">
        <f t="shared" ref="DB4:DB9" si="28">IF(SUM(CI4,CM4)&gt;0,SUM(CI4,CM4),"")</f>
        <v/>
      </c>
      <c r="DC4" s="55" t="str">
        <f t="shared" ref="DC4:DC9" si="29">IF(SUM(CH4:CI4,CK4:CM4,CO4)-CJ4-CN4&gt;0,SUM(CH4:CI4,CK4:CM4,CO4)-CJ4-CN4,"")</f>
        <v/>
      </c>
      <c r="DD4" s="55" t="str">
        <f t="shared" ref="DD4:DD9" si="30">IF(SUM(CP4:CQ4,CS4)-CR4&gt;0,SUM(CP4:CQ4,CS4)-CR4,"")</f>
        <v/>
      </c>
      <c r="DE4" s="55" t="str">
        <f t="shared" ref="DE4:DE9" si="31">IF(SUM(CU4,CY4)&gt;0,SUM(CU4,CY4),"")</f>
        <v/>
      </c>
      <c r="DF4" s="55" t="str">
        <f t="shared" ref="DF4:DF9" si="32">IF(SUM(CT4:CU4,CW4:CY4,DA4)-SUM(CV4,CZ4)&gt;0,SUM(CT4:CU4,CW4:CY4,DA4)-SUM(CV4,CZ4),"")</f>
        <v/>
      </c>
      <c r="DG4" s="55" t="str">
        <f t="shared" ref="DG4:DG9" si="33">IF(SUM(DC4,DD4,DF4)&gt;0,SUM(DC4,DD4,DF4),"")</f>
        <v/>
      </c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19"/>
      <c r="EA4" s="19"/>
      <c r="EB4" s="14" t="str">
        <f t="shared" ref="EB4:EB9" si="34">IF(SUM(DI4,DM4)&gt;0,SUM(DI4,DM4),"")</f>
        <v/>
      </c>
      <c r="EC4" s="14" t="str">
        <f t="shared" ref="EC4:EC9" si="35">IF(SUM(DH4:DI4,DK4:DM4,DO4)-DJ4-DN4&gt;0,SUM(DH4:DI4,DK4:DM4,DO4)-DJ4-DN4,"")</f>
        <v/>
      </c>
      <c r="ED4" s="14" t="str">
        <f t="shared" ref="ED4:ED9" si="36">IF(SUM(DP4:DQ4,DS4)-DR4&gt;0,SUM(DP4:DQ4,DS4)-DR4,"")</f>
        <v/>
      </c>
      <c r="EE4" s="14" t="str">
        <f t="shared" ref="EE4:EE9" si="37">IF(SUM(DU4,DY4)&gt;0,SUM(DU4,DY4),"")</f>
        <v/>
      </c>
      <c r="EF4" s="14" t="str">
        <f t="shared" ref="EF4:EF9" si="38">IF(SUM(DT4:DU4,DW4:DY4,EA4)-SUM(DV4,DZ4)&gt;0,SUM(DT4:DU4,DW4:DY4,EA4)-SUM(DV4,DZ4),"")</f>
        <v/>
      </c>
      <c r="EG4" s="14" t="str">
        <f t="shared" ref="EG4:EG9" si="39">IF(SUM(EC4,ED4,EF4)&gt;0,SUM(EC4,ED4,EF4),"")</f>
        <v/>
      </c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55" t="str">
        <f t="shared" ref="FB4:FB9" si="40">IF(SUM(EI4,EM4)&gt;0,SUM(EI4,EM4),"")</f>
        <v/>
      </c>
      <c r="FC4" s="55" t="str">
        <f t="shared" ref="FC4:FC9" si="41">IF(SUM(EH4:EI4,EK4:EM4,EO4)-EJ4-EN4&gt;0,SUM(EH4:EI4,EK4:EM4,EO4)-EJ4-EN4,"")</f>
        <v/>
      </c>
      <c r="FD4" s="55" t="str">
        <f t="shared" ref="FD4:FD9" si="42">IF(SUM(EP4:EQ4,ES4)-ER4&gt;0,SUM(EP4:EQ4,ES4)-ER4,"")</f>
        <v/>
      </c>
      <c r="FE4" s="55" t="str">
        <f t="shared" ref="FE4:FE9" si="43">IF(SUM(EU4,EY4)&gt;0,SUM(EU4,EY4),"")</f>
        <v/>
      </c>
      <c r="FF4" s="55" t="str">
        <f t="shared" ref="FF4:FF9" si="44">IF(SUM(ET4:EU4,EW4:EY4,FA4)-SUM(EV4,EZ4)&gt;0,SUM(ET4:EU4,EW4:EY4,FA4)-SUM(EV4,EZ4),"")</f>
        <v/>
      </c>
      <c r="FG4" s="55" t="str">
        <f t="shared" ref="FG4:FG9" si="45">IF(SUM(FC4,FD4,FF4)&gt;0,SUM(FC4,FD4,FF4),"")</f>
        <v/>
      </c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9"/>
      <c r="FV4" s="19"/>
      <c r="FW4" s="19"/>
      <c r="FX4" s="19"/>
      <c r="FY4" s="19"/>
      <c r="FZ4" s="19"/>
      <c r="GA4" s="19"/>
      <c r="GB4" s="14" t="str">
        <f t="shared" ref="GB4:GB9" si="46">IF(SUM(FI4,FM4)&gt;0,SUM(FI4,FM4),"")</f>
        <v/>
      </c>
      <c r="GC4" s="14" t="str">
        <f t="shared" ref="GC4:GC9" si="47">IF(SUM(FH4:FI4,FK4:FM4,FO4)-FJ4-FN4&gt;0,SUM(FH4:FI4,FK4:FM4,FO4)-FJ4-FN4,"")</f>
        <v/>
      </c>
      <c r="GD4" s="14" t="str">
        <f t="shared" ref="GD4:GD9" si="48">IF(SUM(FP4:FQ4,FS4)-FR4&gt;0,SUM(FP4:FQ4,FS4)-FR4,"")</f>
        <v/>
      </c>
      <c r="GE4" s="14" t="str">
        <f t="shared" ref="GE4:GE9" si="49">IF(SUM(FU4,FY4)&gt;0,SUM(FU4,FY4),"")</f>
        <v/>
      </c>
      <c r="GF4" s="14" t="str">
        <f t="shared" ref="GF4:GF9" si="50">IF(SUM(FT4:FU4,FW4:FY4,GA4)-SUM(FV4,FZ4)&gt;0,SUM(FT4:FU4,FW4:FY4,GA4)-SUM(FV4,FZ4),"")</f>
        <v/>
      </c>
      <c r="GG4" s="14" t="str">
        <f t="shared" ref="GG4:GG9" si="51">IF(SUM(GC4,GD4,GF4)&gt;0,SUM(GC4,GD4,GF4),"")</f>
        <v/>
      </c>
      <c r="GH4" s="18"/>
      <c r="GI4" s="18"/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55" t="str">
        <f t="shared" ref="HB4:HB9" si="52">IF(SUM(GI4,GM4)&gt;0,SUM(GI4,GM4),"")</f>
        <v/>
      </c>
      <c r="HC4" s="55" t="str">
        <f t="shared" ref="HC4:HC9" si="53">IF(SUM(GH4:GI4,GK4:GM4,GO4)-GJ4-GN4&gt;0,SUM(GH4:GI4,GK4:GM4,GO4)-GJ4-GN4,"")</f>
        <v/>
      </c>
      <c r="HD4" s="55" t="str">
        <f t="shared" ref="HD4:HD9" si="54">IF(SUM(GP4:GQ4,GS4)-GR4&gt;0,SUM(GP4:GQ4,GS4)-GR4,"")</f>
        <v/>
      </c>
      <c r="HE4" s="55" t="str">
        <f t="shared" ref="HE4:HE9" si="55">IF(SUM(GU4,GY4)&gt;0,SUM(GU4,GY4),"")</f>
        <v/>
      </c>
      <c r="HF4" s="55" t="str">
        <f t="shared" ref="HF4:HF9" si="56">IF(SUM(GT4:GU4,GW4:GY4,HA4)-SUM(GV4,GZ4)&gt;0,SUM(GT4:GU4,GW4:GY4,HA4)-SUM(GV4,GZ4),"")</f>
        <v/>
      </c>
      <c r="HG4" s="55" t="str">
        <f t="shared" ref="HG4:HG9" si="57">IF(SUM(HC4,HD4,HF4)&gt;0,SUM(HC4,HD4,HF4),"")</f>
        <v/>
      </c>
      <c r="HH4" s="19"/>
      <c r="HI4" s="19"/>
      <c r="HJ4" s="19"/>
      <c r="HK4" s="19"/>
      <c r="HL4" s="19"/>
      <c r="HM4" s="19"/>
      <c r="HN4" s="19"/>
      <c r="HO4" s="19"/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4" t="str">
        <f t="shared" ref="IB4:IB9" si="58">IF(SUM(HI4,HM4)&gt;0,SUM(HI4,HM4),"")</f>
        <v/>
      </c>
      <c r="IC4" s="14" t="str">
        <f t="shared" ref="IC4:IC9" si="59">IF(SUM(HH4:HI4,HK4:HM4,HO4)-HJ4-HN4&gt;0,SUM(HH4:HI4,HK4:HM4,HO4)-HJ4-HN4,"")</f>
        <v/>
      </c>
      <c r="ID4" s="14" t="str">
        <f t="shared" ref="ID4:ID9" si="60">IF(SUM(HP4:HQ4,HS4)-HR4&gt;0,SUM(HP4:HQ4,HS4)-HR4,"")</f>
        <v/>
      </c>
      <c r="IE4" s="14" t="str">
        <f t="shared" ref="IE4:IE9" si="61">IF(SUM(HU4,HY4)&gt;0,SUM(HU4,HY4),"")</f>
        <v/>
      </c>
      <c r="IF4" s="14" t="str">
        <f t="shared" ref="IF4:IF9" si="62">IF(SUM(HT4:HU4,HW4:HY4,IA4)-SUM(HV4,HZ4)&gt;0,SUM(HT4:HU4,HW4:HY4,IA4)-SUM(HV4,HZ4),"")</f>
        <v/>
      </c>
      <c r="IG4" s="14" t="str">
        <f t="shared" ref="IG4:IG9" si="63">IF(SUM(IC4,ID4,IF4)&gt;0,SUM(IC4,ID4,IF4),"")</f>
        <v/>
      </c>
      <c r="IH4" s="18"/>
      <c r="II4" s="18"/>
      <c r="IJ4" s="18"/>
      <c r="IK4" s="18"/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55" t="str">
        <f t="shared" ref="JB4:JB9" si="64">IF(SUM(II4,IM4)&gt;0,SUM(II4,IM4),"")</f>
        <v/>
      </c>
      <c r="JC4" s="55" t="str">
        <f t="shared" ref="JC4:JC9" si="65">IF(SUM(IH4:II4,IK4:IM4,IO4)-IJ4-IN4&gt;0,SUM(IH4:II4,IK4:IM4,IO4)-IJ4-IN4,"")</f>
        <v/>
      </c>
      <c r="JD4" s="55" t="str">
        <f t="shared" ref="JD4:JD9" si="66">IF(SUM(IP4:IQ4,IS4)-IR4&gt;0,SUM(IP4:IQ4,IS4)-IR4,"")</f>
        <v/>
      </c>
      <c r="JE4" s="55" t="str">
        <f t="shared" ref="JE4:JE9" si="67">IF(SUM(IU4,IY4)&gt;0,SUM(IU4,IY4),"")</f>
        <v/>
      </c>
      <c r="JF4" s="55" t="str">
        <f t="shared" ref="JF4:JF9" si="68">IF(SUM(IT4:IU4,IW4:IY4,JA4)-SUM(IV4,IZ4)&gt;0,SUM(IT4:IU4,IW4:IY4,JA4)-SUM(IV4,IZ4),"")</f>
        <v/>
      </c>
      <c r="JG4" s="55" t="str">
        <f t="shared" ref="JG4:JG9" si="69">IF(SUM(JC4,JD4,JF4)&gt;0,SUM(JC4,JD4,JF4),"")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19"/>
      <c r="JX4" s="19"/>
      <c r="JY4" s="19"/>
      <c r="JZ4" s="19"/>
      <c r="KA4" s="19"/>
      <c r="KB4" s="14" t="str">
        <f t="shared" ref="KB4:KB9" si="70">IF(SUM(JI4,JM4)&gt;0,SUM(JI4,JM4),"")</f>
        <v/>
      </c>
      <c r="KC4" s="14" t="str">
        <f t="shared" ref="KC4:KC9" si="71">IF(SUM(JH4:JI4,JK4:JM4,JO4)-JJ4-JN4&gt;0,SUM(JH4:JI4,JK4:JM4,JO4)-JJ4-JN4,"")</f>
        <v/>
      </c>
      <c r="KD4" s="14" t="str">
        <f t="shared" ref="KD4:KD9" si="72">IF(SUM(JP4:JQ4,JS4)-JR4&gt;0,SUM(JP4:JQ4,JS4)-JR4,"")</f>
        <v/>
      </c>
      <c r="KE4" s="14" t="str">
        <f t="shared" ref="KE4:KE9" si="73">IF(SUM(JU4,JY4)&gt;0,SUM(JU4,JY4),"")</f>
        <v/>
      </c>
      <c r="KF4" s="14" t="str">
        <f t="shared" ref="KF4:KF9" si="74">IF(SUM(JT4:JU4,JW4:JY4,KA4)-SUM(JV4,JZ4)&gt;0,SUM(JT4:JU4,JW4:JY4,KA4)-SUM(JV4,JZ4),"")</f>
        <v/>
      </c>
      <c r="KG4" s="14" t="str">
        <f t="shared" ref="KG4:KG9" si="75">IF(SUM(KC4,KD4,KF4)&gt;0,SUM(KC4,KD4,KF4),"")</f>
        <v/>
      </c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55" t="str">
        <f t="shared" ref="LB4:LB9" si="76">IF(SUM(KI4,KM4)&gt;0,SUM(KI4,KM4),"")</f>
        <v/>
      </c>
      <c r="LC4" s="55" t="str">
        <f t="shared" ref="LC4:LC9" si="77">IF(SUM(KH4:KI4,KK4:KM4,KO4)-KJ4-KN4&gt;0,SUM(KH4:KI4,KK4:KM4,KO4)-KJ4-KN4,"")</f>
        <v/>
      </c>
      <c r="LD4" s="55" t="str">
        <f t="shared" ref="LD4:LD9" si="78">IF(SUM(KP4:KQ4,KS4)-KR4&gt;0,SUM(KP4:KQ4,KS4)-KR4,"")</f>
        <v/>
      </c>
      <c r="LE4" s="55" t="str">
        <f t="shared" ref="LE4:LE9" si="79">IF(SUM(KU4,KY4)&gt;0,SUM(KU4,KY4),"")</f>
        <v/>
      </c>
      <c r="LF4" s="55" t="str">
        <f t="shared" ref="LF4:LF9" si="80">IF(SUM(KT4:KU4,KW4:KY4,LA4)-SUM(KV4,KZ4)&gt;0,SUM(KT4:KU4,KW4:KY4,LA4)-SUM(KV4,KZ4),"")</f>
        <v/>
      </c>
      <c r="LG4" s="55" t="str">
        <f t="shared" ref="LG4:LG9" si="81">IF(SUM(LC4,LD4,LF4)&gt;0,SUM(LC4,LD4,LF4),"")</f>
        <v/>
      </c>
      <c r="LH4" s="19"/>
      <c r="LI4" s="19"/>
      <c r="LJ4" s="19"/>
      <c r="LK4" s="19"/>
      <c r="LL4" s="19"/>
      <c r="LM4" s="19"/>
      <c r="LN4" s="19"/>
      <c r="LO4" s="19"/>
      <c r="LP4" s="19"/>
      <c r="LQ4" s="19"/>
      <c r="LR4" s="19"/>
      <c r="LS4" s="19"/>
      <c r="LT4" s="19"/>
      <c r="LU4" s="19"/>
      <c r="LV4" s="19"/>
      <c r="LW4" s="19"/>
      <c r="LX4" s="19"/>
      <c r="LY4" s="19"/>
      <c r="LZ4" s="19"/>
      <c r="MA4" s="19"/>
      <c r="MB4" s="14" t="str">
        <f t="shared" ref="MB4:MB9" si="82">IF(SUM(LI4,LM4)&gt;0,SUM(LI4,LM4),"")</f>
        <v/>
      </c>
      <c r="MC4" s="14" t="str">
        <f t="shared" ref="MC4:MC9" si="83">IF(SUM(LH4:LI4,LK4:LM4,LO4)-LJ4-LN4&gt;0,SUM(LH4:LI4,LK4:LM4,LO4)-LJ4-LN4,"")</f>
        <v/>
      </c>
      <c r="MD4" s="14" t="str">
        <f t="shared" ref="MD4:MD9" si="84">IF(SUM(LP4:LQ4,LS4)-LR4&gt;0,SUM(LP4:LQ4,LS4)-LR4,"")</f>
        <v/>
      </c>
      <c r="ME4" s="14" t="str">
        <f t="shared" ref="ME4:ME9" si="85">IF(SUM(LU4,LY4)&gt;0,SUM(LU4,LY4),"")</f>
        <v/>
      </c>
      <c r="MF4" s="14" t="str">
        <f t="shared" ref="MF4:MF9" si="86">IF(SUM(LT4:LU4,LW4:LY4,MA4)-SUM(LV4,LZ4)&gt;0,SUM(LT4:LU4,LW4:LY4,MA4)-SUM(LV4,LZ4),"")</f>
        <v/>
      </c>
      <c r="MG4" s="14" t="str">
        <f t="shared" ref="MG4:MG9" si="87">IF(SUM(MC4,MD4,MF4)&gt;0,SUM(MC4,MD4,MF4),"")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55" t="str">
        <f t="shared" ref="NB4:NB9" si="88">IF(SUM(MI4,MM4)&gt;0,SUM(MI4,MM4),"")</f>
        <v/>
      </c>
      <c r="NC4" s="55" t="str">
        <f t="shared" ref="NC4:NC9" si="89">IF(SUM(MH4:MI4,MK4:MM4,MO4)-MJ4-MN4&gt;0,SUM(MH4:MI4,MK4:MM4,MO4)-MJ4-MN4,"")</f>
        <v/>
      </c>
      <c r="ND4" s="55" t="str">
        <f t="shared" ref="ND4:ND9" si="90">IF(SUM(MP4:MQ4,MS4)-MR4&gt;0,SUM(MP4:MQ4,MS4)-MR4,"")</f>
        <v/>
      </c>
      <c r="NE4" s="55" t="str">
        <f t="shared" ref="NE4:NE9" si="91">IF(SUM(MU4,MY4)&gt;0,SUM(MU4,MY4),"")</f>
        <v/>
      </c>
      <c r="NF4" s="55" t="str">
        <f t="shared" ref="NF4:NF9" si="92">IF(SUM(MT4:MU4,MW4:MY4,NA4)-SUM(MV4,MZ4)&gt;0,SUM(MT4:MU4,MW4:MY4,NA4)-SUM(MV4,MZ4),"")</f>
        <v/>
      </c>
      <c r="NG4" s="55" t="str">
        <f t="shared" ref="NG4:NG9" si="93">IF(SUM(NC4,ND4,NF4)&gt;0,SUM(NC4,ND4,NF4),"")</f>
        <v/>
      </c>
      <c r="NH4" s="19"/>
      <c r="NI4" s="19"/>
      <c r="NJ4" s="19"/>
      <c r="NK4" s="19"/>
      <c r="NL4" s="19"/>
      <c r="NM4" s="19"/>
      <c r="NN4" s="19"/>
      <c r="NO4" s="19"/>
      <c r="NP4" s="19"/>
      <c r="NQ4" s="19"/>
      <c r="NR4" s="19"/>
      <c r="NS4" s="19"/>
      <c r="NT4" s="19"/>
      <c r="NU4" s="19"/>
      <c r="NV4" s="19"/>
      <c r="NW4" s="19"/>
      <c r="NX4" s="19"/>
      <c r="NY4" s="19"/>
      <c r="NZ4" s="19"/>
      <c r="OA4" s="19"/>
      <c r="OB4" s="14" t="str">
        <f t="shared" ref="OB4:OB9" si="94">IF(SUM(NI4,NM4)&gt;0,SUM(NI4,NM4),"")</f>
        <v/>
      </c>
      <c r="OC4" s="14" t="str">
        <f t="shared" ref="OC4:OC9" si="95">IF(SUM(NH4:NI4,NK4:NM4,NO4)-NJ4-NN4&gt;0,SUM(NH4:NI4,NK4:NM4,NO4)-NJ4-NN4,"")</f>
        <v/>
      </c>
      <c r="OD4" s="14" t="str">
        <f t="shared" ref="OD4:OD9" si="96">IF(SUM(NP4:NQ4,NS4)-NR4&gt;0,SUM(NP4:NQ4,NS4)-NR4,"")</f>
        <v/>
      </c>
      <c r="OE4" s="14" t="str">
        <f t="shared" ref="OE4:OE9" si="97">IF(SUM(NU4,NY4)&gt;0,SUM(NU4,NY4),"")</f>
        <v/>
      </c>
      <c r="OF4" s="14" t="str">
        <f t="shared" ref="OF4:OF9" si="98">IF(SUM(NT4:NU4,NW4:NY4,OA4)-SUM(NV4,NZ4)&gt;0,SUM(NT4:NU4,NW4:NY4,OA4)-SUM(NV4,NZ4),"")</f>
        <v/>
      </c>
      <c r="OG4" s="14" t="str">
        <f t="shared" ref="OG4:OG9" si="99">IF(SUM(OC4,OD4,OF4)&gt;0,SUM(OC4,OD4,OF4),"")</f>
        <v/>
      </c>
      <c r="OH4" s="27">
        <f t="shared" ref="OH4:OW9" si="100">IF($BZ4="P",BJ4,(BJ4+AN4)/2)</f>
        <v>17.399999999999999</v>
      </c>
      <c r="OI4" s="27">
        <f t="shared" si="100"/>
        <v>3.65</v>
      </c>
      <c r="OJ4" s="27">
        <f t="shared" si="100"/>
        <v>0</v>
      </c>
      <c r="OK4" s="27">
        <f t="shared" si="100"/>
        <v>0</v>
      </c>
      <c r="OL4" s="27">
        <f t="shared" si="100"/>
        <v>16.25</v>
      </c>
      <c r="OM4" s="27">
        <f t="shared" si="100"/>
        <v>4</v>
      </c>
      <c r="ON4" s="27">
        <f t="shared" si="100"/>
        <v>0</v>
      </c>
      <c r="OO4" s="27">
        <f t="shared" si="100"/>
        <v>0</v>
      </c>
      <c r="OP4" s="27">
        <f t="shared" si="100"/>
        <v>16.7</v>
      </c>
      <c r="OQ4" s="27">
        <f t="shared" si="100"/>
        <v>3.75</v>
      </c>
      <c r="OR4" s="27">
        <f t="shared" si="100"/>
        <v>0.1</v>
      </c>
      <c r="OS4" s="27">
        <f t="shared" si="100"/>
        <v>0</v>
      </c>
      <c r="OT4" s="27">
        <f t="shared" si="100"/>
        <v>11.85</v>
      </c>
      <c r="OU4" s="27">
        <f t="shared" si="100"/>
        <v>1.6500000000000001</v>
      </c>
      <c r="OV4" s="27">
        <f t="shared" si="100"/>
        <v>0.1</v>
      </c>
      <c r="OW4" s="27">
        <f t="shared" si="100"/>
        <v>0</v>
      </c>
      <c r="OX4" s="32" t="s">
        <v>44</v>
      </c>
      <c r="OY4" s="55">
        <f t="shared" ref="OY4:OY9" si="101">IF(SUM(OI4,OM4)&gt;0,SUM(OI4,OM4),"")</f>
        <v>7.65</v>
      </c>
      <c r="OZ4" s="55">
        <f t="shared" ref="OZ4:OZ9" si="102">IF(SUM(OH4:OI4,OK4:OM4,OO4)-OJ4-ON4&gt;0,SUM(OH4:OI4,OK4:OM4,OO4)-OJ4-ON4,"")</f>
        <v>41.3</v>
      </c>
      <c r="PA4" s="55">
        <f t="shared" ref="PA4:PA9" si="103">IF(SUM(OQ4,OU4)&gt;0,SUM(OQ4,OU4),"")</f>
        <v>5.4</v>
      </c>
      <c r="PB4" s="55">
        <f t="shared" ref="PB4:PB9" si="104">IF(SUM(OP4:OQ4,OS4:OU4,OW4)-SUM(OR4,OV4)&gt;0,SUM(OP4:OQ4,OS4:OU4,OW4)-SUM(OR4,OV4),"")</f>
        <v>33.749999999999993</v>
      </c>
      <c r="PC4" s="55">
        <f t="shared" ref="PC4:PC9" si="105">IF(SUM(OZ4,PB4)&gt;0,SUM(OZ4,PB4),"")</f>
        <v>75.049999999999983</v>
      </c>
    </row>
    <row r="5" spans="1:419" x14ac:dyDescent="0.2">
      <c r="A5" s="4" t="str" cm="1">
        <f t="array" ref="A5">IF(AND(H5&lt;&gt;"",H5&lt;&gt;"No DD"),SUMPRODUCT((H$4:H$10&lt;&gt;"")*(H$4:H$10&lt;&gt;"No DD")*(E$4:E$10&gt;E5))+1,IF(H5="No DD",SUMPRODUCT((H$4:H$10="No DD")*(E$4:E$10&gt;E5))+1+SUMPRODUCT((H$4:H$10&lt;&gt;"")*(H$4:H$10&lt;&gt;"No DD")),""))</f>
        <v/>
      </c>
      <c r="B5" s="5" t="s">
        <v>91</v>
      </c>
      <c r="C5" s="4" t="s">
        <v>3</v>
      </c>
      <c r="D5" s="4">
        <v>2009</v>
      </c>
      <c r="E5" s="10">
        <f t="shared" si="0"/>
        <v>120.30001188000388</v>
      </c>
      <c r="F5" s="3" t="str">
        <f t="shared" si="1"/>
        <v/>
      </c>
      <c r="G5" s="3" t="str">
        <f t="shared" si="2"/>
        <v/>
      </c>
      <c r="H5" s="47" t="str">
        <f t="shared" si="3"/>
        <v/>
      </c>
      <c r="I5" s="9">
        <f>IF(COUNT(AJ5,BF5,CB5)&gt;0,LARGE((AJ5,BF5,CB5),1),0)</f>
        <v>38.899999999999991</v>
      </c>
      <c r="J5" s="9" t="str">
        <f t="shared" si="4"/>
        <v>2025 Elite Canada</v>
      </c>
      <c r="K5" s="9">
        <f>IF(COUNT(AJ5,BF5,CB5)&gt;1,LARGE((AJ5,BF5,CB5),2),0)</f>
        <v>38.299999999999997</v>
      </c>
      <c r="L5" s="9" t="str">
        <f t="shared" si="5"/>
        <v>2025 Nationals</v>
      </c>
      <c r="M5" s="9">
        <f t="shared" si="6"/>
        <v>41.6</v>
      </c>
      <c r="N5" s="9" t="str">
        <f t="shared" si="7"/>
        <v>2025 Nationals</v>
      </c>
      <c r="O5" s="9">
        <f t="shared" si="8"/>
        <v>1.5</v>
      </c>
      <c r="P5" s="14" t="str">
        <f t="shared" si="9"/>
        <v>(Q1)</v>
      </c>
      <c r="Q5" s="9" t="str">
        <f t="shared" si="10"/>
        <v>2025 WAGC (Nov 16)</v>
      </c>
      <c r="R5" s="20">
        <v>14.7</v>
      </c>
      <c r="S5" s="20">
        <v>4.0999999999999996</v>
      </c>
      <c r="T5" s="20">
        <v>0.2</v>
      </c>
      <c r="U5" s="20">
        <v>0</v>
      </c>
      <c r="V5" s="20">
        <v>16.399999999999999</v>
      </c>
      <c r="W5" s="20">
        <v>3.9</v>
      </c>
      <c r="X5" s="20">
        <v>0</v>
      </c>
      <c r="Y5" s="20">
        <v>0</v>
      </c>
      <c r="Z5" s="20">
        <v>14.7</v>
      </c>
      <c r="AA5" s="20">
        <v>3.9</v>
      </c>
      <c r="AB5" s="20">
        <v>0.2</v>
      </c>
      <c r="AC5" s="20">
        <v>0</v>
      </c>
      <c r="AD5" s="20">
        <v>16.100000000000001</v>
      </c>
      <c r="AE5" s="20">
        <v>2.4</v>
      </c>
      <c r="AF5" s="20">
        <v>0.6</v>
      </c>
      <c r="AG5" s="20">
        <v>0</v>
      </c>
      <c r="AH5" s="32"/>
      <c r="AI5" s="55">
        <f t="shared" si="11"/>
        <v>8</v>
      </c>
      <c r="AJ5" s="55">
        <f t="shared" si="12"/>
        <v>38.899999999999991</v>
      </c>
      <c r="AK5" s="55">
        <f t="shared" si="13"/>
        <v>6.3</v>
      </c>
      <c r="AL5" s="55">
        <f t="shared" si="14"/>
        <v>36.300000000000004</v>
      </c>
      <c r="AM5" s="55">
        <f t="shared" si="15"/>
        <v>75.199999999999989</v>
      </c>
      <c r="AN5" s="19">
        <v>16.600000000000001</v>
      </c>
      <c r="AO5" s="19">
        <v>3.9</v>
      </c>
      <c r="AP5" s="19">
        <v>0</v>
      </c>
      <c r="AQ5" s="19">
        <v>0</v>
      </c>
      <c r="AR5" s="19">
        <v>15.9</v>
      </c>
      <c r="AS5" s="19">
        <v>1.9</v>
      </c>
      <c r="AT5" s="19">
        <v>0</v>
      </c>
      <c r="AU5" s="19">
        <v>0</v>
      </c>
      <c r="AV5" s="19">
        <v>16.899999999999999</v>
      </c>
      <c r="AW5" s="19">
        <v>3.9</v>
      </c>
      <c r="AX5" s="19">
        <v>0</v>
      </c>
      <c r="AY5" s="19">
        <v>0</v>
      </c>
      <c r="AZ5" s="19">
        <v>16.7</v>
      </c>
      <c r="BA5" s="19">
        <v>4.0999999999999996</v>
      </c>
      <c r="BB5" s="19">
        <v>0</v>
      </c>
      <c r="BC5" s="19">
        <v>0</v>
      </c>
      <c r="BD5" s="33"/>
      <c r="BE5" s="14">
        <f t="shared" si="16"/>
        <v>5.8</v>
      </c>
      <c r="BF5" s="14">
        <f t="shared" si="17"/>
        <v>38.299999999999997</v>
      </c>
      <c r="BG5" s="14">
        <f t="shared" si="18"/>
        <v>8</v>
      </c>
      <c r="BH5" s="14">
        <f t="shared" si="19"/>
        <v>41.6</v>
      </c>
      <c r="BI5" s="14">
        <f t="shared" si="20"/>
        <v>79.900000000000006</v>
      </c>
      <c r="BJ5" s="20"/>
      <c r="BK5" s="20"/>
      <c r="BL5" s="20"/>
      <c r="BM5" s="20"/>
      <c r="BN5" s="20"/>
      <c r="BO5" s="20"/>
      <c r="BP5" s="20"/>
      <c r="BQ5" s="20"/>
      <c r="BR5" s="20"/>
      <c r="BS5" s="20"/>
      <c r="BT5" s="20"/>
      <c r="BU5" s="20"/>
      <c r="BV5" s="20"/>
      <c r="BW5" s="20"/>
      <c r="BX5" s="20"/>
      <c r="BY5" s="20"/>
      <c r="BZ5" s="32"/>
      <c r="CA5" s="55" t="str">
        <f t="shared" si="21"/>
        <v/>
      </c>
      <c r="CB5" s="55" t="str">
        <f t="shared" si="22"/>
        <v/>
      </c>
      <c r="CC5" s="55" t="str">
        <f t="shared" si="23"/>
        <v/>
      </c>
      <c r="CD5" s="55" t="str">
        <f t="shared" si="24"/>
        <v/>
      </c>
      <c r="CE5" s="55" t="str">
        <f t="shared" si="25"/>
        <v/>
      </c>
      <c r="CF5" s="56">
        <f t="shared" si="26"/>
        <v>1.5</v>
      </c>
      <c r="CG5" s="56" t="str">
        <f t="shared" si="27"/>
        <v/>
      </c>
      <c r="CH5" s="18">
        <v>16.399999999999999</v>
      </c>
      <c r="CI5" s="18">
        <v>4.0999999999999996</v>
      </c>
      <c r="CJ5" s="18">
        <v>0</v>
      </c>
      <c r="CK5" s="18">
        <v>0</v>
      </c>
      <c r="CL5" s="18">
        <v>15.9</v>
      </c>
      <c r="CM5" s="18">
        <v>3.6</v>
      </c>
      <c r="CN5" s="18">
        <v>0.2</v>
      </c>
      <c r="CO5" s="18">
        <v>0</v>
      </c>
      <c r="CP5" s="18"/>
      <c r="CQ5" s="18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55">
        <f t="shared" si="28"/>
        <v>7.6999999999999993</v>
      </c>
      <c r="DC5" s="55">
        <f t="shared" si="29"/>
        <v>39.799999999999997</v>
      </c>
      <c r="DD5" s="55" t="str">
        <f t="shared" si="30"/>
        <v/>
      </c>
      <c r="DE5" s="55" t="str">
        <f t="shared" si="31"/>
        <v/>
      </c>
      <c r="DF5" s="55" t="str">
        <f t="shared" si="32"/>
        <v/>
      </c>
      <c r="DG5" s="55">
        <f t="shared" si="33"/>
        <v>39.799999999999997</v>
      </c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4" t="str">
        <f t="shared" si="34"/>
        <v/>
      </c>
      <c r="EC5" s="14" t="str">
        <f t="shared" si="35"/>
        <v/>
      </c>
      <c r="ED5" s="14" t="str">
        <f t="shared" si="36"/>
        <v/>
      </c>
      <c r="EE5" s="14" t="str">
        <f t="shared" si="37"/>
        <v/>
      </c>
      <c r="EF5" s="14" t="str">
        <f t="shared" si="38"/>
        <v/>
      </c>
      <c r="EG5" s="14" t="str">
        <f t="shared" si="39"/>
        <v/>
      </c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55" t="str">
        <f t="shared" si="40"/>
        <v/>
      </c>
      <c r="FC5" s="55" t="str">
        <f t="shared" si="41"/>
        <v/>
      </c>
      <c r="FD5" s="55" t="str">
        <f t="shared" si="42"/>
        <v/>
      </c>
      <c r="FE5" s="55" t="str">
        <f t="shared" si="43"/>
        <v/>
      </c>
      <c r="FF5" s="55" t="str">
        <f t="shared" si="44"/>
        <v/>
      </c>
      <c r="FG5" s="55" t="str">
        <f t="shared" si="45"/>
        <v/>
      </c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19"/>
      <c r="FS5" s="19"/>
      <c r="FT5" s="19"/>
      <c r="FU5" s="19"/>
      <c r="FV5" s="19"/>
      <c r="FW5" s="19"/>
      <c r="FX5" s="19"/>
      <c r="FY5" s="19"/>
      <c r="FZ5" s="19"/>
      <c r="GA5" s="19"/>
      <c r="GB5" s="14" t="str">
        <f t="shared" si="46"/>
        <v/>
      </c>
      <c r="GC5" s="14" t="str">
        <f t="shared" si="47"/>
        <v/>
      </c>
      <c r="GD5" s="14" t="str">
        <f t="shared" si="48"/>
        <v/>
      </c>
      <c r="GE5" s="14" t="str">
        <f t="shared" si="49"/>
        <v/>
      </c>
      <c r="GF5" s="14" t="str">
        <f t="shared" si="50"/>
        <v/>
      </c>
      <c r="GG5" s="14" t="str">
        <f t="shared" si="51"/>
        <v/>
      </c>
      <c r="GH5" s="18"/>
      <c r="GI5" s="18"/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55" t="str">
        <f t="shared" si="52"/>
        <v/>
      </c>
      <c r="HC5" s="55" t="str">
        <f t="shared" si="53"/>
        <v/>
      </c>
      <c r="HD5" s="55" t="str">
        <f t="shared" si="54"/>
        <v/>
      </c>
      <c r="HE5" s="55" t="str">
        <f t="shared" si="55"/>
        <v/>
      </c>
      <c r="HF5" s="55" t="str">
        <f t="shared" si="56"/>
        <v/>
      </c>
      <c r="HG5" s="55" t="str">
        <f t="shared" si="57"/>
        <v/>
      </c>
      <c r="HH5" s="19"/>
      <c r="HI5" s="19"/>
      <c r="HJ5" s="19"/>
      <c r="HK5" s="19"/>
      <c r="HL5" s="19"/>
      <c r="HM5" s="19"/>
      <c r="HN5" s="19"/>
      <c r="HO5" s="19"/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4" t="str">
        <f t="shared" si="58"/>
        <v/>
      </c>
      <c r="IC5" s="14" t="str">
        <f t="shared" si="59"/>
        <v/>
      </c>
      <c r="ID5" s="14" t="str">
        <f t="shared" si="60"/>
        <v/>
      </c>
      <c r="IE5" s="14" t="str">
        <f t="shared" si="61"/>
        <v/>
      </c>
      <c r="IF5" s="14" t="str">
        <f t="shared" si="62"/>
        <v/>
      </c>
      <c r="IG5" s="14" t="str">
        <f t="shared" si="63"/>
        <v/>
      </c>
      <c r="IH5" s="18"/>
      <c r="II5" s="18"/>
      <c r="IJ5" s="18"/>
      <c r="IK5" s="18"/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55" t="str">
        <f t="shared" si="64"/>
        <v/>
      </c>
      <c r="JC5" s="55" t="str">
        <f t="shared" si="65"/>
        <v/>
      </c>
      <c r="JD5" s="55" t="str">
        <f t="shared" si="66"/>
        <v/>
      </c>
      <c r="JE5" s="55" t="str">
        <f t="shared" si="67"/>
        <v/>
      </c>
      <c r="JF5" s="55" t="str">
        <f t="shared" si="68"/>
        <v/>
      </c>
      <c r="JG5" s="55" t="str">
        <f t="shared" si="69"/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19"/>
      <c r="JX5" s="19"/>
      <c r="JY5" s="19"/>
      <c r="JZ5" s="19"/>
      <c r="KA5" s="19"/>
      <c r="KB5" s="14" t="str">
        <f t="shared" si="70"/>
        <v/>
      </c>
      <c r="KC5" s="14" t="str">
        <f t="shared" si="71"/>
        <v/>
      </c>
      <c r="KD5" s="14" t="str">
        <f t="shared" si="72"/>
        <v/>
      </c>
      <c r="KE5" s="14" t="str">
        <f t="shared" si="73"/>
        <v/>
      </c>
      <c r="KF5" s="14" t="str">
        <f t="shared" si="74"/>
        <v/>
      </c>
      <c r="KG5" s="14" t="str">
        <f t="shared" si="75"/>
        <v/>
      </c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55" t="str">
        <f t="shared" si="76"/>
        <v/>
      </c>
      <c r="LC5" s="55" t="str">
        <f t="shared" si="77"/>
        <v/>
      </c>
      <c r="LD5" s="55" t="str">
        <f t="shared" si="78"/>
        <v/>
      </c>
      <c r="LE5" s="55" t="str">
        <f t="shared" si="79"/>
        <v/>
      </c>
      <c r="LF5" s="55" t="str">
        <f t="shared" si="80"/>
        <v/>
      </c>
      <c r="LG5" s="55" t="str">
        <f t="shared" si="81"/>
        <v/>
      </c>
      <c r="LH5" s="19"/>
      <c r="LI5" s="19"/>
      <c r="LJ5" s="19"/>
      <c r="LK5" s="19"/>
      <c r="LL5" s="19"/>
      <c r="LM5" s="19"/>
      <c r="LN5" s="19"/>
      <c r="LO5" s="19"/>
      <c r="LP5" s="19"/>
      <c r="LQ5" s="19"/>
      <c r="LR5" s="19"/>
      <c r="LS5" s="19"/>
      <c r="LT5" s="19"/>
      <c r="LU5" s="19"/>
      <c r="LV5" s="19"/>
      <c r="LW5" s="19"/>
      <c r="LX5" s="19"/>
      <c r="LY5" s="19"/>
      <c r="LZ5" s="19"/>
      <c r="MA5" s="19"/>
      <c r="MB5" s="14" t="str">
        <f t="shared" si="82"/>
        <v/>
      </c>
      <c r="MC5" s="14" t="str">
        <f t="shared" si="83"/>
        <v/>
      </c>
      <c r="MD5" s="14" t="str">
        <f t="shared" si="84"/>
        <v/>
      </c>
      <c r="ME5" s="14" t="str">
        <f t="shared" si="85"/>
        <v/>
      </c>
      <c r="MF5" s="14" t="str">
        <f t="shared" si="86"/>
        <v/>
      </c>
      <c r="MG5" s="14" t="str">
        <f t="shared" si="87"/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55" t="str">
        <f t="shared" si="88"/>
        <v/>
      </c>
      <c r="NC5" s="55" t="str">
        <f t="shared" si="89"/>
        <v/>
      </c>
      <c r="ND5" s="55" t="str">
        <f t="shared" si="90"/>
        <v/>
      </c>
      <c r="NE5" s="55" t="str">
        <f t="shared" si="91"/>
        <v/>
      </c>
      <c r="NF5" s="55" t="str">
        <f t="shared" si="92"/>
        <v/>
      </c>
      <c r="NG5" s="55" t="str">
        <f t="shared" si="93"/>
        <v/>
      </c>
      <c r="NH5" s="19"/>
      <c r="NI5" s="19"/>
      <c r="NJ5" s="19"/>
      <c r="NK5" s="19"/>
      <c r="NL5" s="19"/>
      <c r="NM5" s="19"/>
      <c r="NN5" s="19"/>
      <c r="NO5" s="19"/>
      <c r="NP5" s="19"/>
      <c r="NQ5" s="19"/>
      <c r="NR5" s="19"/>
      <c r="NS5" s="19"/>
      <c r="NT5" s="19"/>
      <c r="NU5" s="19"/>
      <c r="NV5" s="19"/>
      <c r="NW5" s="19"/>
      <c r="NX5" s="19"/>
      <c r="NY5" s="19"/>
      <c r="NZ5" s="19"/>
      <c r="OA5" s="19"/>
      <c r="OB5" s="14" t="str">
        <f t="shared" si="94"/>
        <v/>
      </c>
      <c r="OC5" s="14" t="str">
        <f t="shared" si="95"/>
        <v/>
      </c>
      <c r="OD5" s="14" t="str">
        <f t="shared" si="96"/>
        <v/>
      </c>
      <c r="OE5" s="14" t="str">
        <f t="shared" si="97"/>
        <v/>
      </c>
      <c r="OF5" s="14" t="str">
        <f t="shared" si="98"/>
        <v/>
      </c>
      <c r="OG5" s="14" t="str">
        <f t="shared" si="99"/>
        <v/>
      </c>
      <c r="OH5" s="27">
        <f t="shared" si="100"/>
        <v>8.3000000000000007</v>
      </c>
      <c r="OI5" s="27">
        <f t="shared" si="100"/>
        <v>1.95</v>
      </c>
      <c r="OJ5" s="27">
        <f t="shared" si="100"/>
        <v>0</v>
      </c>
      <c r="OK5" s="27">
        <f t="shared" si="100"/>
        <v>0</v>
      </c>
      <c r="OL5" s="27">
        <f t="shared" si="100"/>
        <v>7.95</v>
      </c>
      <c r="OM5" s="27">
        <f t="shared" si="100"/>
        <v>0.95</v>
      </c>
      <c r="ON5" s="27">
        <f t="shared" si="100"/>
        <v>0</v>
      </c>
      <c r="OO5" s="27">
        <f t="shared" si="100"/>
        <v>0</v>
      </c>
      <c r="OP5" s="27">
        <f t="shared" si="100"/>
        <v>8.4499999999999993</v>
      </c>
      <c r="OQ5" s="27">
        <f t="shared" si="100"/>
        <v>1.95</v>
      </c>
      <c r="OR5" s="27">
        <f t="shared" si="100"/>
        <v>0</v>
      </c>
      <c r="OS5" s="27">
        <f t="shared" si="100"/>
        <v>0</v>
      </c>
      <c r="OT5" s="27">
        <f t="shared" si="100"/>
        <v>8.35</v>
      </c>
      <c r="OU5" s="27">
        <f t="shared" si="100"/>
        <v>2.0499999999999998</v>
      </c>
      <c r="OV5" s="27">
        <f t="shared" si="100"/>
        <v>0</v>
      </c>
      <c r="OW5" s="27">
        <f t="shared" si="100"/>
        <v>0</v>
      </c>
      <c r="OX5" s="32" t="s">
        <v>44</v>
      </c>
      <c r="OY5" s="55">
        <f t="shared" si="101"/>
        <v>2.9</v>
      </c>
      <c r="OZ5" s="55">
        <f t="shared" si="102"/>
        <v>19.149999999999999</v>
      </c>
      <c r="PA5" s="55">
        <f t="shared" si="103"/>
        <v>4</v>
      </c>
      <c r="PB5" s="55">
        <f t="shared" si="104"/>
        <v>20.8</v>
      </c>
      <c r="PC5" s="55">
        <f t="shared" si="105"/>
        <v>39.950000000000003</v>
      </c>
    </row>
    <row r="6" spans="1:419" x14ac:dyDescent="0.2">
      <c r="A6" s="4" t="str" cm="1">
        <f t="array" ref="A6">IF(AND(H6&lt;&gt;"",H6&lt;&gt;"No DD"),SUMPRODUCT((H$4:H$10&lt;&gt;"")*(H$4:H$10&lt;&gt;"No DD")*(E$4:E$10&gt;E6))+1,IF(H6="No DD",SUMPRODUCT((H$4:H$10="No DD")*(E$4:E$10&gt;E6))+1+SUMPRODUCT((H$4:H$10&lt;&gt;"")*(H$4:H$10&lt;&gt;"No DD")),""))</f>
        <v/>
      </c>
      <c r="B6" s="5" t="s">
        <v>79</v>
      </c>
      <c r="C6" s="4" t="s">
        <v>86</v>
      </c>
      <c r="D6" s="4">
        <v>2009</v>
      </c>
      <c r="E6" s="10">
        <f t="shared" si="0"/>
        <v>113.90000762000388</v>
      </c>
      <c r="F6" s="3" t="str">
        <f t="shared" si="1"/>
        <v/>
      </c>
      <c r="G6" s="3" t="str">
        <f t="shared" si="2"/>
        <v/>
      </c>
      <c r="H6" s="47" t="str">
        <f t="shared" si="3"/>
        <v/>
      </c>
      <c r="I6" s="9">
        <f>IF(COUNT(AJ6,BF6,CB6)&gt;0,LARGE((AJ6,BF6,CB6),1),0)</f>
        <v>38.799999999999997</v>
      </c>
      <c r="J6" s="9" t="str">
        <f t="shared" si="4"/>
        <v>2025 Nationals</v>
      </c>
      <c r="K6" s="9">
        <f>IF(COUNT(AJ6,BF6,CB6)&gt;1,LARGE((AJ6,BF6,CB6),2),0)</f>
        <v>0</v>
      </c>
      <c r="L6" s="9" t="str">
        <f t="shared" si="5"/>
        <v/>
      </c>
      <c r="M6" s="9">
        <f t="shared" si="6"/>
        <v>37.4</v>
      </c>
      <c r="N6" s="9" t="str">
        <f t="shared" si="7"/>
        <v>2025 Nationals</v>
      </c>
      <c r="O6" s="9">
        <f t="shared" si="8"/>
        <v>37.700000000000003</v>
      </c>
      <c r="P6" s="14" t="str">
        <f t="shared" si="9"/>
        <v>(Q1)</v>
      </c>
      <c r="Q6" s="9" t="str">
        <f t="shared" si="10"/>
        <v>2025 WAGC (Nov 16)</v>
      </c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32"/>
      <c r="AI6" s="55" t="str">
        <f t="shared" si="11"/>
        <v/>
      </c>
      <c r="AJ6" s="55" t="str">
        <f t="shared" si="12"/>
        <v/>
      </c>
      <c r="AK6" s="55" t="str">
        <f t="shared" si="13"/>
        <v/>
      </c>
      <c r="AL6" s="55" t="str">
        <f t="shared" si="14"/>
        <v/>
      </c>
      <c r="AM6" s="55" t="str">
        <f t="shared" si="15"/>
        <v/>
      </c>
      <c r="AN6" s="19">
        <v>16.399999999999999</v>
      </c>
      <c r="AO6" s="19">
        <v>3.2</v>
      </c>
      <c r="AP6" s="19">
        <v>0</v>
      </c>
      <c r="AQ6" s="19">
        <v>0</v>
      </c>
      <c r="AR6" s="19">
        <v>16.399999999999999</v>
      </c>
      <c r="AS6" s="19">
        <v>2.9</v>
      </c>
      <c r="AT6" s="19">
        <v>0.1</v>
      </c>
      <c r="AU6" s="19">
        <v>0</v>
      </c>
      <c r="AV6" s="19">
        <v>15.8</v>
      </c>
      <c r="AW6" s="19">
        <v>2.2000000000000002</v>
      </c>
      <c r="AX6" s="19">
        <v>0.8</v>
      </c>
      <c r="AY6" s="19">
        <v>0</v>
      </c>
      <c r="AZ6" s="19">
        <v>16.3</v>
      </c>
      <c r="BA6" s="19">
        <v>3.9</v>
      </c>
      <c r="BB6" s="19">
        <v>0</v>
      </c>
      <c r="BC6" s="19">
        <v>0</v>
      </c>
      <c r="BD6" s="33"/>
      <c r="BE6" s="14">
        <f t="shared" si="16"/>
        <v>6.1</v>
      </c>
      <c r="BF6" s="14">
        <f t="shared" si="17"/>
        <v>38.799999999999997</v>
      </c>
      <c r="BG6" s="14">
        <f t="shared" si="18"/>
        <v>6.1</v>
      </c>
      <c r="BH6" s="14">
        <f t="shared" si="19"/>
        <v>37.4</v>
      </c>
      <c r="BI6" s="14">
        <f t="shared" si="20"/>
        <v>76.199999999999989</v>
      </c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32"/>
      <c r="CA6" s="55" t="str">
        <f t="shared" si="21"/>
        <v/>
      </c>
      <c r="CB6" s="55" t="str">
        <f t="shared" si="22"/>
        <v/>
      </c>
      <c r="CC6" s="55" t="str">
        <f t="shared" si="23"/>
        <v/>
      </c>
      <c r="CD6" s="55" t="str">
        <f t="shared" si="24"/>
        <v/>
      </c>
      <c r="CE6" s="55" t="str">
        <f t="shared" si="25"/>
        <v/>
      </c>
      <c r="CF6" s="56">
        <f t="shared" si="26"/>
        <v>37.700000000000003</v>
      </c>
      <c r="CG6" s="56" t="str">
        <f t="shared" si="27"/>
        <v/>
      </c>
      <c r="CH6" s="18">
        <v>15.8</v>
      </c>
      <c r="CI6" s="18">
        <v>3.8</v>
      </c>
      <c r="CJ6" s="18">
        <v>0.4</v>
      </c>
      <c r="CK6" s="18">
        <v>0</v>
      </c>
      <c r="CL6" s="18">
        <v>15.3</v>
      </c>
      <c r="CM6" s="18">
        <v>3.4</v>
      </c>
      <c r="CN6" s="18">
        <v>0.2</v>
      </c>
      <c r="CO6" s="18">
        <v>0</v>
      </c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55">
        <f t="shared" si="28"/>
        <v>7.1999999999999993</v>
      </c>
      <c r="DC6" s="55">
        <f t="shared" si="29"/>
        <v>37.700000000000003</v>
      </c>
      <c r="DD6" s="55" t="str">
        <f t="shared" si="30"/>
        <v/>
      </c>
      <c r="DE6" s="55" t="str">
        <f t="shared" si="31"/>
        <v/>
      </c>
      <c r="DF6" s="55" t="str">
        <f t="shared" si="32"/>
        <v/>
      </c>
      <c r="DG6" s="55">
        <f t="shared" si="33"/>
        <v>37.700000000000003</v>
      </c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19"/>
      <c r="EA6" s="19"/>
      <c r="EB6" s="14" t="str">
        <f t="shared" si="34"/>
        <v/>
      </c>
      <c r="EC6" s="14" t="str">
        <f t="shared" si="35"/>
        <v/>
      </c>
      <c r="ED6" s="14" t="str">
        <f t="shared" si="36"/>
        <v/>
      </c>
      <c r="EE6" s="14" t="str">
        <f t="shared" si="37"/>
        <v/>
      </c>
      <c r="EF6" s="14" t="str">
        <f t="shared" si="38"/>
        <v/>
      </c>
      <c r="EG6" s="14" t="str">
        <f t="shared" si="39"/>
        <v/>
      </c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55" t="str">
        <f t="shared" si="40"/>
        <v/>
      </c>
      <c r="FC6" s="55" t="str">
        <f t="shared" si="41"/>
        <v/>
      </c>
      <c r="FD6" s="55" t="str">
        <f t="shared" si="42"/>
        <v/>
      </c>
      <c r="FE6" s="55" t="str">
        <f t="shared" si="43"/>
        <v/>
      </c>
      <c r="FF6" s="55" t="str">
        <f t="shared" si="44"/>
        <v/>
      </c>
      <c r="FG6" s="55" t="str">
        <f t="shared" si="45"/>
        <v/>
      </c>
      <c r="FH6" s="19"/>
      <c r="FI6" s="19"/>
      <c r="FJ6" s="19"/>
      <c r="FK6" s="19"/>
      <c r="FL6" s="19"/>
      <c r="FM6" s="19"/>
      <c r="FN6" s="19"/>
      <c r="FO6" s="19"/>
      <c r="FP6" s="19"/>
      <c r="FQ6" s="19"/>
      <c r="FR6" s="19"/>
      <c r="FS6" s="19"/>
      <c r="FT6" s="19"/>
      <c r="FU6" s="19"/>
      <c r="FV6" s="19"/>
      <c r="FW6" s="19"/>
      <c r="FX6" s="19"/>
      <c r="FY6" s="19"/>
      <c r="FZ6" s="19"/>
      <c r="GA6" s="19"/>
      <c r="GB6" s="14" t="str">
        <f t="shared" si="46"/>
        <v/>
      </c>
      <c r="GC6" s="14" t="str">
        <f t="shared" si="47"/>
        <v/>
      </c>
      <c r="GD6" s="14" t="str">
        <f t="shared" si="48"/>
        <v/>
      </c>
      <c r="GE6" s="14" t="str">
        <f t="shared" si="49"/>
        <v/>
      </c>
      <c r="GF6" s="14" t="str">
        <f t="shared" si="50"/>
        <v/>
      </c>
      <c r="GG6" s="14" t="str">
        <f t="shared" si="51"/>
        <v/>
      </c>
      <c r="GH6" s="18"/>
      <c r="GI6" s="18"/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55" t="str">
        <f t="shared" si="52"/>
        <v/>
      </c>
      <c r="HC6" s="55" t="str">
        <f t="shared" si="53"/>
        <v/>
      </c>
      <c r="HD6" s="55" t="str">
        <f t="shared" si="54"/>
        <v/>
      </c>
      <c r="HE6" s="55" t="str">
        <f t="shared" si="55"/>
        <v/>
      </c>
      <c r="HF6" s="55" t="str">
        <f t="shared" si="56"/>
        <v/>
      </c>
      <c r="HG6" s="55" t="str">
        <f t="shared" si="57"/>
        <v/>
      </c>
      <c r="HH6" s="19"/>
      <c r="HI6" s="19"/>
      <c r="HJ6" s="19"/>
      <c r="HK6" s="19"/>
      <c r="HL6" s="19"/>
      <c r="HM6" s="19"/>
      <c r="HN6" s="19"/>
      <c r="HO6" s="19"/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4" t="str">
        <f t="shared" si="58"/>
        <v/>
      </c>
      <c r="IC6" s="14" t="str">
        <f t="shared" si="59"/>
        <v/>
      </c>
      <c r="ID6" s="14" t="str">
        <f t="shared" si="60"/>
        <v/>
      </c>
      <c r="IE6" s="14" t="str">
        <f t="shared" si="61"/>
        <v/>
      </c>
      <c r="IF6" s="14" t="str">
        <f t="shared" si="62"/>
        <v/>
      </c>
      <c r="IG6" s="14" t="str">
        <f t="shared" si="63"/>
        <v/>
      </c>
      <c r="IH6" s="18"/>
      <c r="II6" s="18"/>
      <c r="IJ6" s="18"/>
      <c r="IK6" s="18"/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55" t="str">
        <f t="shared" si="64"/>
        <v/>
      </c>
      <c r="JC6" s="55" t="str">
        <f t="shared" si="65"/>
        <v/>
      </c>
      <c r="JD6" s="55" t="str">
        <f t="shared" si="66"/>
        <v/>
      </c>
      <c r="JE6" s="55" t="str">
        <f t="shared" si="67"/>
        <v/>
      </c>
      <c r="JF6" s="55" t="str">
        <f t="shared" si="68"/>
        <v/>
      </c>
      <c r="JG6" s="55" t="str">
        <f t="shared" si="69"/>
        <v/>
      </c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19"/>
      <c r="JX6" s="19"/>
      <c r="JY6" s="19"/>
      <c r="JZ6" s="19"/>
      <c r="KA6" s="19"/>
      <c r="KB6" s="14" t="str">
        <f t="shared" si="70"/>
        <v/>
      </c>
      <c r="KC6" s="14" t="str">
        <f t="shared" si="71"/>
        <v/>
      </c>
      <c r="KD6" s="14" t="str">
        <f t="shared" si="72"/>
        <v/>
      </c>
      <c r="KE6" s="14" t="str">
        <f t="shared" si="73"/>
        <v/>
      </c>
      <c r="KF6" s="14" t="str">
        <f t="shared" si="74"/>
        <v/>
      </c>
      <c r="KG6" s="14" t="str">
        <f t="shared" si="75"/>
        <v/>
      </c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55" t="str">
        <f t="shared" si="76"/>
        <v/>
      </c>
      <c r="LC6" s="55" t="str">
        <f t="shared" si="77"/>
        <v/>
      </c>
      <c r="LD6" s="55" t="str">
        <f t="shared" si="78"/>
        <v/>
      </c>
      <c r="LE6" s="55" t="str">
        <f t="shared" si="79"/>
        <v/>
      </c>
      <c r="LF6" s="55" t="str">
        <f t="shared" si="80"/>
        <v/>
      </c>
      <c r="LG6" s="55" t="str">
        <f t="shared" si="81"/>
        <v/>
      </c>
      <c r="LH6" s="19"/>
      <c r="LI6" s="19"/>
      <c r="LJ6" s="19"/>
      <c r="LK6" s="19"/>
      <c r="LL6" s="19"/>
      <c r="LM6" s="19"/>
      <c r="LN6" s="19"/>
      <c r="LO6" s="19"/>
      <c r="LP6" s="19"/>
      <c r="LQ6" s="19"/>
      <c r="LR6" s="19"/>
      <c r="LS6" s="19"/>
      <c r="LT6" s="19"/>
      <c r="LU6" s="19"/>
      <c r="LV6" s="19"/>
      <c r="LW6" s="19"/>
      <c r="LX6" s="19"/>
      <c r="LY6" s="19"/>
      <c r="LZ6" s="19"/>
      <c r="MA6" s="19"/>
      <c r="MB6" s="14" t="str">
        <f t="shared" si="82"/>
        <v/>
      </c>
      <c r="MC6" s="14" t="str">
        <f t="shared" si="83"/>
        <v/>
      </c>
      <c r="MD6" s="14" t="str">
        <f t="shared" si="84"/>
        <v/>
      </c>
      <c r="ME6" s="14" t="str">
        <f t="shared" si="85"/>
        <v/>
      </c>
      <c r="MF6" s="14" t="str">
        <f t="shared" si="86"/>
        <v/>
      </c>
      <c r="MG6" s="14" t="str">
        <f t="shared" si="87"/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55" t="str">
        <f t="shared" si="88"/>
        <v/>
      </c>
      <c r="NC6" s="55" t="str">
        <f t="shared" si="89"/>
        <v/>
      </c>
      <c r="ND6" s="55" t="str">
        <f t="shared" si="90"/>
        <v/>
      </c>
      <c r="NE6" s="55" t="str">
        <f t="shared" si="91"/>
        <v/>
      </c>
      <c r="NF6" s="55" t="str">
        <f t="shared" si="92"/>
        <v/>
      </c>
      <c r="NG6" s="55" t="str">
        <f t="shared" si="93"/>
        <v/>
      </c>
      <c r="NH6" s="19"/>
      <c r="NI6" s="19"/>
      <c r="NJ6" s="19"/>
      <c r="NK6" s="19"/>
      <c r="NL6" s="19"/>
      <c r="NM6" s="19"/>
      <c r="NN6" s="19"/>
      <c r="NO6" s="19"/>
      <c r="NP6" s="19"/>
      <c r="NQ6" s="19"/>
      <c r="NR6" s="19"/>
      <c r="NS6" s="19"/>
      <c r="NT6" s="19"/>
      <c r="NU6" s="19"/>
      <c r="NV6" s="19"/>
      <c r="NW6" s="19"/>
      <c r="NX6" s="19"/>
      <c r="NY6" s="19"/>
      <c r="NZ6" s="19"/>
      <c r="OA6" s="19"/>
      <c r="OB6" s="14" t="str">
        <f t="shared" si="94"/>
        <v/>
      </c>
      <c r="OC6" s="14" t="str">
        <f t="shared" si="95"/>
        <v/>
      </c>
      <c r="OD6" s="14" t="str">
        <f t="shared" si="96"/>
        <v/>
      </c>
      <c r="OE6" s="14" t="str">
        <f t="shared" si="97"/>
        <v/>
      </c>
      <c r="OF6" s="14" t="str">
        <f t="shared" si="98"/>
        <v/>
      </c>
      <c r="OG6" s="14" t="str">
        <f t="shared" si="99"/>
        <v/>
      </c>
      <c r="OH6" s="27">
        <f t="shared" si="100"/>
        <v>8.1999999999999993</v>
      </c>
      <c r="OI6" s="27">
        <f t="shared" si="100"/>
        <v>1.6</v>
      </c>
      <c r="OJ6" s="27">
        <f t="shared" si="100"/>
        <v>0</v>
      </c>
      <c r="OK6" s="27">
        <f t="shared" si="100"/>
        <v>0</v>
      </c>
      <c r="OL6" s="27">
        <f t="shared" si="100"/>
        <v>8.1999999999999993</v>
      </c>
      <c r="OM6" s="27">
        <f t="shared" si="100"/>
        <v>1.45</v>
      </c>
      <c r="ON6" s="27">
        <f t="shared" si="100"/>
        <v>0.05</v>
      </c>
      <c r="OO6" s="27">
        <f t="shared" si="100"/>
        <v>0</v>
      </c>
      <c r="OP6" s="27">
        <f t="shared" si="100"/>
        <v>7.9</v>
      </c>
      <c r="OQ6" s="27">
        <f t="shared" si="100"/>
        <v>1.1000000000000001</v>
      </c>
      <c r="OR6" s="27">
        <f t="shared" si="100"/>
        <v>0.4</v>
      </c>
      <c r="OS6" s="27">
        <f t="shared" si="100"/>
        <v>0</v>
      </c>
      <c r="OT6" s="27">
        <f t="shared" si="100"/>
        <v>8.15</v>
      </c>
      <c r="OU6" s="27">
        <f t="shared" si="100"/>
        <v>1.95</v>
      </c>
      <c r="OV6" s="27">
        <f t="shared" si="100"/>
        <v>0</v>
      </c>
      <c r="OW6" s="27">
        <f t="shared" si="100"/>
        <v>0</v>
      </c>
      <c r="OX6" s="32" t="s">
        <v>44</v>
      </c>
      <c r="OY6" s="55">
        <f t="shared" si="101"/>
        <v>3.05</v>
      </c>
      <c r="OZ6" s="55">
        <f t="shared" si="102"/>
        <v>19.399999999999999</v>
      </c>
      <c r="PA6" s="55">
        <f t="shared" si="103"/>
        <v>3.05</v>
      </c>
      <c r="PB6" s="55">
        <f t="shared" si="104"/>
        <v>18.7</v>
      </c>
      <c r="PC6" s="55">
        <f t="shared" si="105"/>
        <v>38.099999999999994</v>
      </c>
    </row>
    <row r="7" spans="1:419" x14ac:dyDescent="0.2">
      <c r="A7" s="4" t="str" cm="1">
        <f t="array" ref="A7">IF(AND(H7&lt;&gt;"",H7&lt;&gt;"No DD"),SUMPRODUCT((H$4:H$10&lt;&gt;"")*(H$4:H$10&lt;&gt;"No DD")*(E$4:E$10&gt;E7))+1,IF(H7="No DD",SUMPRODUCT((H$4:H$10="No DD")*(E$4:E$10&gt;E7))+1+SUMPRODUCT((H$4:H$10&lt;&gt;"")*(H$4:H$10&lt;&gt;"No DD")),""))</f>
        <v/>
      </c>
      <c r="B7" s="5" t="s">
        <v>92</v>
      </c>
      <c r="C7" s="4" t="s">
        <v>62</v>
      </c>
      <c r="D7" s="4">
        <v>2009</v>
      </c>
      <c r="E7" s="10">
        <f t="shared" si="0"/>
        <v>110.80001108000366</v>
      </c>
      <c r="F7" s="3" t="str">
        <f t="shared" si="1"/>
        <v/>
      </c>
      <c r="G7" s="3" t="str">
        <f t="shared" si="2"/>
        <v/>
      </c>
      <c r="H7" s="47" t="str">
        <f t="shared" si="3"/>
        <v/>
      </c>
      <c r="I7" s="9">
        <f>IF(COUNT(AJ7,BF7,CB7)&gt;0,LARGE((AJ7,BF7,CB7),1),0)</f>
        <v>36.6</v>
      </c>
      <c r="J7" s="9" t="str">
        <f t="shared" si="4"/>
        <v>2025 Nationals</v>
      </c>
      <c r="K7" s="9">
        <f>IF(COUNT(AJ7,BF7,CB7)&gt;1,LARGE((AJ7,BF7,CB7),2),0)</f>
        <v>36.599999999999994</v>
      </c>
      <c r="L7" s="9" t="str">
        <f t="shared" si="5"/>
        <v>2025 Elite Canada</v>
      </c>
      <c r="M7" s="9">
        <f t="shared" si="6"/>
        <v>37.600000000000009</v>
      </c>
      <c r="N7" s="9" t="str">
        <f t="shared" si="7"/>
        <v>2025 Nationals</v>
      </c>
      <c r="O7" s="9" t="str">
        <f t="shared" si="8"/>
        <v/>
      </c>
      <c r="P7" s="14" t="str">
        <f t="shared" si="9"/>
        <v/>
      </c>
      <c r="Q7" s="9" t="str">
        <f t="shared" si="10"/>
        <v/>
      </c>
      <c r="R7" s="20">
        <v>17.399999999999999</v>
      </c>
      <c r="S7" s="20">
        <v>1.8</v>
      </c>
      <c r="T7" s="20">
        <v>1</v>
      </c>
      <c r="U7" s="20">
        <v>0</v>
      </c>
      <c r="V7" s="20">
        <v>17.2</v>
      </c>
      <c r="W7" s="20">
        <v>3.2</v>
      </c>
      <c r="X7" s="20">
        <v>2</v>
      </c>
      <c r="Y7" s="20">
        <v>0</v>
      </c>
      <c r="Z7" s="20">
        <v>16.600000000000001</v>
      </c>
      <c r="AA7" s="20">
        <v>1.2</v>
      </c>
      <c r="AB7" s="20">
        <v>0</v>
      </c>
      <c r="AC7" s="20">
        <v>0</v>
      </c>
      <c r="AD7" s="20">
        <v>16.600000000000001</v>
      </c>
      <c r="AE7" s="20">
        <v>3.2</v>
      </c>
      <c r="AF7" s="20">
        <v>0</v>
      </c>
      <c r="AG7" s="20">
        <v>0</v>
      </c>
      <c r="AH7" s="32"/>
      <c r="AI7" s="55">
        <f t="shared" si="11"/>
        <v>5</v>
      </c>
      <c r="AJ7" s="55">
        <f t="shared" si="12"/>
        <v>36.6</v>
      </c>
      <c r="AK7" s="55">
        <f t="shared" si="13"/>
        <v>4.4000000000000004</v>
      </c>
      <c r="AL7" s="55">
        <f t="shared" si="14"/>
        <v>37.600000000000009</v>
      </c>
      <c r="AM7" s="55">
        <f t="shared" si="15"/>
        <v>74.200000000000017</v>
      </c>
      <c r="AN7" s="19">
        <v>16</v>
      </c>
      <c r="AO7" s="19">
        <v>1.2</v>
      </c>
      <c r="AP7" s="19">
        <v>0</v>
      </c>
      <c r="AQ7" s="19">
        <v>0</v>
      </c>
      <c r="AR7" s="19">
        <v>16.8</v>
      </c>
      <c r="AS7" s="19">
        <v>2.8</v>
      </c>
      <c r="AT7" s="19">
        <v>0.2</v>
      </c>
      <c r="AU7" s="19">
        <v>0</v>
      </c>
      <c r="AV7" s="19">
        <v>17.3</v>
      </c>
      <c r="AW7" s="19">
        <v>2.8</v>
      </c>
      <c r="AX7" s="19">
        <v>0.2</v>
      </c>
      <c r="AY7" s="19">
        <v>0</v>
      </c>
      <c r="AZ7" s="19">
        <v>16.5</v>
      </c>
      <c r="BA7" s="19">
        <v>1.2</v>
      </c>
      <c r="BB7" s="19">
        <v>0</v>
      </c>
      <c r="BC7" s="19">
        <v>0</v>
      </c>
      <c r="BD7" s="33"/>
      <c r="BE7" s="14">
        <f t="shared" si="16"/>
        <v>4</v>
      </c>
      <c r="BF7" s="14">
        <f t="shared" si="17"/>
        <v>36.599999999999994</v>
      </c>
      <c r="BG7" s="14">
        <f t="shared" si="18"/>
        <v>4</v>
      </c>
      <c r="BH7" s="14">
        <f t="shared" si="19"/>
        <v>37.6</v>
      </c>
      <c r="BI7" s="14">
        <f t="shared" si="20"/>
        <v>74.199999999999989</v>
      </c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32"/>
      <c r="CA7" s="55" t="str">
        <f t="shared" si="21"/>
        <v/>
      </c>
      <c r="CB7" s="55" t="str">
        <f t="shared" si="22"/>
        <v/>
      </c>
      <c r="CC7" s="55" t="str">
        <f t="shared" si="23"/>
        <v/>
      </c>
      <c r="CD7" s="55" t="str">
        <f t="shared" si="24"/>
        <v/>
      </c>
      <c r="CE7" s="55" t="str">
        <f t="shared" si="25"/>
        <v/>
      </c>
      <c r="CF7" s="56" t="str">
        <f t="shared" si="26"/>
        <v/>
      </c>
      <c r="CG7" s="56" t="str">
        <f t="shared" si="27"/>
        <v/>
      </c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55" t="str">
        <f t="shared" si="28"/>
        <v/>
      </c>
      <c r="DC7" s="55" t="str">
        <f t="shared" si="29"/>
        <v/>
      </c>
      <c r="DD7" s="55" t="str">
        <f t="shared" si="30"/>
        <v/>
      </c>
      <c r="DE7" s="55" t="str">
        <f t="shared" si="31"/>
        <v/>
      </c>
      <c r="DF7" s="55" t="str">
        <f t="shared" si="32"/>
        <v/>
      </c>
      <c r="DG7" s="55" t="str">
        <f t="shared" si="33"/>
        <v/>
      </c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  <c r="DW7" s="19"/>
      <c r="DX7" s="19"/>
      <c r="DY7" s="19"/>
      <c r="DZ7" s="19"/>
      <c r="EA7" s="19"/>
      <c r="EB7" s="14" t="str">
        <f t="shared" si="34"/>
        <v/>
      </c>
      <c r="EC7" s="14" t="str">
        <f t="shared" si="35"/>
        <v/>
      </c>
      <c r="ED7" s="14" t="str">
        <f t="shared" si="36"/>
        <v/>
      </c>
      <c r="EE7" s="14" t="str">
        <f t="shared" si="37"/>
        <v/>
      </c>
      <c r="EF7" s="14" t="str">
        <f t="shared" si="38"/>
        <v/>
      </c>
      <c r="EG7" s="14" t="str">
        <f t="shared" si="39"/>
        <v/>
      </c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55" t="str">
        <f t="shared" si="40"/>
        <v/>
      </c>
      <c r="FC7" s="55" t="str">
        <f t="shared" si="41"/>
        <v/>
      </c>
      <c r="FD7" s="55" t="str">
        <f t="shared" si="42"/>
        <v/>
      </c>
      <c r="FE7" s="55" t="str">
        <f t="shared" si="43"/>
        <v/>
      </c>
      <c r="FF7" s="55" t="str">
        <f t="shared" si="44"/>
        <v/>
      </c>
      <c r="FG7" s="55" t="str">
        <f t="shared" si="45"/>
        <v/>
      </c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9"/>
      <c r="FY7" s="19"/>
      <c r="FZ7" s="19"/>
      <c r="GA7" s="19"/>
      <c r="GB7" s="14" t="str">
        <f t="shared" si="46"/>
        <v/>
      </c>
      <c r="GC7" s="14" t="str">
        <f t="shared" si="47"/>
        <v/>
      </c>
      <c r="GD7" s="14" t="str">
        <f t="shared" si="48"/>
        <v/>
      </c>
      <c r="GE7" s="14" t="str">
        <f t="shared" si="49"/>
        <v/>
      </c>
      <c r="GF7" s="14" t="str">
        <f t="shared" si="50"/>
        <v/>
      </c>
      <c r="GG7" s="14" t="str">
        <f t="shared" si="51"/>
        <v/>
      </c>
      <c r="GH7" s="18"/>
      <c r="GI7" s="18"/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55" t="str">
        <f t="shared" si="52"/>
        <v/>
      </c>
      <c r="HC7" s="55" t="str">
        <f t="shared" si="53"/>
        <v/>
      </c>
      <c r="HD7" s="55" t="str">
        <f t="shared" si="54"/>
        <v/>
      </c>
      <c r="HE7" s="55" t="str">
        <f t="shared" si="55"/>
        <v/>
      </c>
      <c r="HF7" s="55" t="str">
        <f t="shared" si="56"/>
        <v/>
      </c>
      <c r="HG7" s="55" t="str">
        <f t="shared" si="57"/>
        <v/>
      </c>
      <c r="HH7" s="19"/>
      <c r="HI7" s="19"/>
      <c r="HJ7" s="19"/>
      <c r="HK7" s="19"/>
      <c r="HL7" s="19"/>
      <c r="HM7" s="19"/>
      <c r="HN7" s="19"/>
      <c r="HO7" s="19"/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4" t="str">
        <f t="shared" si="58"/>
        <v/>
      </c>
      <c r="IC7" s="14" t="str">
        <f t="shared" si="59"/>
        <v/>
      </c>
      <c r="ID7" s="14" t="str">
        <f t="shared" si="60"/>
        <v/>
      </c>
      <c r="IE7" s="14" t="str">
        <f t="shared" si="61"/>
        <v/>
      </c>
      <c r="IF7" s="14" t="str">
        <f t="shared" si="62"/>
        <v/>
      </c>
      <c r="IG7" s="14" t="str">
        <f t="shared" si="63"/>
        <v/>
      </c>
      <c r="IH7" s="18"/>
      <c r="II7" s="18"/>
      <c r="IJ7" s="18"/>
      <c r="IK7" s="18"/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55" t="str">
        <f t="shared" si="64"/>
        <v/>
      </c>
      <c r="JC7" s="55" t="str">
        <f t="shared" si="65"/>
        <v/>
      </c>
      <c r="JD7" s="55" t="str">
        <f t="shared" si="66"/>
        <v/>
      </c>
      <c r="JE7" s="55" t="str">
        <f t="shared" si="67"/>
        <v/>
      </c>
      <c r="JF7" s="55" t="str">
        <f t="shared" si="68"/>
        <v/>
      </c>
      <c r="JG7" s="55" t="str">
        <f t="shared" si="69"/>
        <v/>
      </c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19"/>
      <c r="JX7" s="19"/>
      <c r="JY7" s="19"/>
      <c r="JZ7" s="19"/>
      <c r="KA7" s="19"/>
      <c r="KB7" s="14" t="str">
        <f t="shared" si="70"/>
        <v/>
      </c>
      <c r="KC7" s="14" t="str">
        <f t="shared" si="71"/>
        <v/>
      </c>
      <c r="KD7" s="14" t="str">
        <f t="shared" si="72"/>
        <v/>
      </c>
      <c r="KE7" s="14" t="str">
        <f t="shared" si="73"/>
        <v/>
      </c>
      <c r="KF7" s="14" t="str">
        <f t="shared" si="74"/>
        <v/>
      </c>
      <c r="KG7" s="14" t="str">
        <f t="shared" si="75"/>
        <v/>
      </c>
      <c r="KH7" s="18"/>
      <c r="KI7" s="18"/>
      <c r="KJ7" s="18"/>
      <c r="KK7" s="18"/>
      <c r="KL7" s="18"/>
      <c r="KM7" s="18"/>
      <c r="KN7" s="18"/>
      <c r="KO7" s="18"/>
      <c r="KP7" s="18"/>
      <c r="KQ7" s="18"/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55" t="str">
        <f t="shared" si="76"/>
        <v/>
      </c>
      <c r="LC7" s="55" t="str">
        <f t="shared" si="77"/>
        <v/>
      </c>
      <c r="LD7" s="55" t="str">
        <f t="shared" si="78"/>
        <v/>
      </c>
      <c r="LE7" s="55" t="str">
        <f t="shared" si="79"/>
        <v/>
      </c>
      <c r="LF7" s="55" t="str">
        <f t="shared" si="80"/>
        <v/>
      </c>
      <c r="LG7" s="55" t="str">
        <f t="shared" si="81"/>
        <v/>
      </c>
      <c r="LH7" s="19"/>
      <c r="LI7" s="19"/>
      <c r="LJ7" s="19"/>
      <c r="LK7" s="19"/>
      <c r="LL7" s="19"/>
      <c r="LM7" s="19"/>
      <c r="LN7" s="19"/>
      <c r="LO7" s="19"/>
      <c r="LP7" s="19"/>
      <c r="LQ7" s="19"/>
      <c r="LR7" s="19"/>
      <c r="LS7" s="19"/>
      <c r="LT7" s="19"/>
      <c r="LU7" s="19"/>
      <c r="LV7" s="19"/>
      <c r="LW7" s="19"/>
      <c r="LX7" s="19"/>
      <c r="LY7" s="19"/>
      <c r="LZ7" s="19"/>
      <c r="MA7" s="19"/>
      <c r="MB7" s="14" t="str">
        <f t="shared" si="82"/>
        <v/>
      </c>
      <c r="MC7" s="14" t="str">
        <f t="shared" si="83"/>
        <v/>
      </c>
      <c r="MD7" s="14" t="str">
        <f t="shared" si="84"/>
        <v/>
      </c>
      <c r="ME7" s="14" t="str">
        <f t="shared" si="85"/>
        <v/>
      </c>
      <c r="MF7" s="14" t="str">
        <f t="shared" si="86"/>
        <v/>
      </c>
      <c r="MG7" s="14" t="str">
        <f t="shared" si="87"/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55" t="str">
        <f t="shared" si="88"/>
        <v/>
      </c>
      <c r="NC7" s="55" t="str">
        <f t="shared" si="89"/>
        <v/>
      </c>
      <c r="ND7" s="55" t="str">
        <f t="shared" si="90"/>
        <v/>
      </c>
      <c r="NE7" s="55" t="str">
        <f t="shared" si="91"/>
        <v/>
      </c>
      <c r="NF7" s="55" t="str">
        <f t="shared" si="92"/>
        <v/>
      </c>
      <c r="NG7" s="55" t="str">
        <f t="shared" si="93"/>
        <v/>
      </c>
      <c r="NH7" s="19"/>
      <c r="NI7" s="19"/>
      <c r="NJ7" s="19"/>
      <c r="NK7" s="19"/>
      <c r="NL7" s="19"/>
      <c r="NM7" s="19"/>
      <c r="NN7" s="19"/>
      <c r="NO7" s="19"/>
      <c r="NP7" s="19"/>
      <c r="NQ7" s="19"/>
      <c r="NR7" s="19"/>
      <c r="NS7" s="19"/>
      <c r="NT7" s="19"/>
      <c r="NU7" s="19"/>
      <c r="NV7" s="19"/>
      <c r="NW7" s="19"/>
      <c r="NX7" s="19"/>
      <c r="NY7" s="19"/>
      <c r="NZ7" s="19"/>
      <c r="OA7" s="19"/>
      <c r="OB7" s="14" t="str">
        <f t="shared" si="94"/>
        <v/>
      </c>
      <c r="OC7" s="14" t="str">
        <f t="shared" si="95"/>
        <v/>
      </c>
      <c r="OD7" s="14" t="str">
        <f t="shared" si="96"/>
        <v/>
      </c>
      <c r="OE7" s="14" t="str">
        <f t="shared" si="97"/>
        <v/>
      </c>
      <c r="OF7" s="14" t="str">
        <f t="shared" si="98"/>
        <v/>
      </c>
      <c r="OG7" s="14" t="str">
        <f t="shared" si="99"/>
        <v/>
      </c>
      <c r="OH7" s="27">
        <f t="shared" si="100"/>
        <v>8</v>
      </c>
      <c r="OI7" s="27">
        <f t="shared" si="100"/>
        <v>0.6</v>
      </c>
      <c r="OJ7" s="27">
        <f t="shared" si="100"/>
        <v>0</v>
      </c>
      <c r="OK7" s="27">
        <f t="shared" si="100"/>
        <v>0</v>
      </c>
      <c r="OL7" s="27">
        <f t="shared" si="100"/>
        <v>8.4</v>
      </c>
      <c r="OM7" s="27">
        <f t="shared" si="100"/>
        <v>1.4</v>
      </c>
      <c r="ON7" s="27">
        <f t="shared" si="100"/>
        <v>0.1</v>
      </c>
      <c r="OO7" s="27">
        <f t="shared" si="100"/>
        <v>0</v>
      </c>
      <c r="OP7" s="27">
        <f t="shared" si="100"/>
        <v>8.65</v>
      </c>
      <c r="OQ7" s="27">
        <f t="shared" si="100"/>
        <v>1.4</v>
      </c>
      <c r="OR7" s="27">
        <f t="shared" si="100"/>
        <v>0.1</v>
      </c>
      <c r="OS7" s="27">
        <f t="shared" si="100"/>
        <v>0</v>
      </c>
      <c r="OT7" s="27">
        <f t="shared" si="100"/>
        <v>8.25</v>
      </c>
      <c r="OU7" s="27">
        <f t="shared" si="100"/>
        <v>0.6</v>
      </c>
      <c r="OV7" s="27">
        <f t="shared" si="100"/>
        <v>0</v>
      </c>
      <c r="OW7" s="27">
        <f t="shared" si="100"/>
        <v>0</v>
      </c>
      <c r="OX7" s="32" t="s">
        <v>44</v>
      </c>
      <c r="OY7" s="55">
        <f t="shared" si="101"/>
        <v>2</v>
      </c>
      <c r="OZ7" s="55">
        <f t="shared" si="102"/>
        <v>18.299999999999997</v>
      </c>
      <c r="PA7" s="55">
        <f t="shared" si="103"/>
        <v>2</v>
      </c>
      <c r="PB7" s="55">
        <f t="shared" si="104"/>
        <v>18.8</v>
      </c>
      <c r="PC7" s="55">
        <f t="shared" si="105"/>
        <v>37.099999999999994</v>
      </c>
    </row>
    <row r="8" spans="1:419" x14ac:dyDescent="0.2">
      <c r="A8" s="4" t="str" cm="1">
        <f t="array" ref="A8">IF(AND(H8&lt;&gt;"",H8&lt;&gt;"No DD"),SUMPRODUCT((H$4:H$10&lt;&gt;"")*(H$4:H$10&lt;&gt;"No DD")*(E$4:E$10&gt;E8))+1,IF(H8="No DD",SUMPRODUCT((H$4:H$10="No DD")*(E$4:E$10&gt;E8))+1+SUMPRODUCT((H$4:H$10&lt;&gt;"")*(H$4:H$10&lt;&gt;"No DD")),""))</f>
        <v/>
      </c>
      <c r="B8" s="5" t="s">
        <v>108</v>
      </c>
      <c r="C8" s="4" t="s">
        <v>86</v>
      </c>
      <c r="D8" s="4">
        <v>2011</v>
      </c>
      <c r="E8" s="10">
        <f t="shared" si="0"/>
        <v>106.90000796000388</v>
      </c>
      <c r="F8" s="3" t="str">
        <f t="shared" si="1"/>
        <v/>
      </c>
      <c r="G8" s="3" t="str">
        <f t="shared" si="2"/>
        <v/>
      </c>
      <c r="H8" s="47" t="str">
        <f t="shared" si="3"/>
        <v/>
      </c>
      <c r="I8" s="9">
        <f>IF(COUNT(AJ8,BF8,CB8)&gt;0,LARGE((AJ8,BF8,CB8),1),0)</f>
        <v>38.799999999999997</v>
      </c>
      <c r="J8" s="9" t="str">
        <f t="shared" si="4"/>
        <v>2025 Nationals</v>
      </c>
      <c r="K8" s="9">
        <f>IF(COUNT(AJ8,BF8,CB8)&gt;1,LARGE((AJ8,BF8,CB8),2),0)</f>
        <v>0</v>
      </c>
      <c r="L8" s="9" t="str">
        <f t="shared" si="5"/>
        <v/>
      </c>
      <c r="M8" s="9">
        <f t="shared" si="6"/>
        <v>40.799999999999997</v>
      </c>
      <c r="N8" s="9" t="str">
        <f t="shared" si="7"/>
        <v>2025 Nationals</v>
      </c>
      <c r="O8" s="9">
        <f t="shared" si="8"/>
        <v>27.3</v>
      </c>
      <c r="P8" s="14" t="str">
        <f t="shared" si="9"/>
        <v>(Q1)</v>
      </c>
      <c r="Q8" s="9" t="str">
        <f t="shared" si="10"/>
        <v>2025 WAGC (Nov 16)</v>
      </c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32"/>
      <c r="AI8" s="55" t="str">
        <f t="shared" si="11"/>
        <v/>
      </c>
      <c r="AJ8" s="55" t="str">
        <f t="shared" si="12"/>
        <v/>
      </c>
      <c r="AK8" s="55" t="str">
        <f t="shared" si="13"/>
        <v/>
      </c>
      <c r="AL8" s="55" t="str">
        <f t="shared" si="14"/>
        <v/>
      </c>
      <c r="AM8" s="55" t="str">
        <f t="shared" si="15"/>
        <v/>
      </c>
      <c r="AN8" s="19">
        <v>16.3</v>
      </c>
      <c r="AO8" s="19">
        <v>3.4</v>
      </c>
      <c r="AP8" s="19">
        <v>0</v>
      </c>
      <c r="AQ8" s="19">
        <v>0</v>
      </c>
      <c r="AR8" s="19">
        <v>15.4</v>
      </c>
      <c r="AS8" s="19">
        <v>3.9</v>
      </c>
      <c r="AT8" s="19">
        <v>0.2</v>
      </c>
      <c r="AU8" s="19">
        <v>0</v>
      </c>
      <c r="AV8" s="19">
        <v>16.5</v>
      </c>
      <c r="AW8" s="19">
        <v>3.4</v>
      </c>
      <c r="AX8" s="19">
        <v>0</v>
      </c>
      <c r="AY8" s="19">
        <v>0</v>
      </c>
      <c r="AZ8" s="19">
        <v>17</v>
      </c>
      <c r="BA8" s="19">
        <v>3.9</v>
      </c>
      <c r="BB8" s="19">
        <v>0</v>
      </c>
      <c r="BC8" s="19">
        <v>0</v>
      </c>
      <c r="BD8" s="33"/>
      <c r="BE8" s="14">
        <f t="shared" si="16"/>
        <v>7.3</v>
      </c>
      <c r="BF8" s="14">
        <f t="shared" si="17"/>
        <v>38.799999999999997</v>
      </c>
      <c r="BG8" s="14">
        <f t="shared" si="18"/>
        <v>7.3</v>
      </c>
      <c r="BH8" s="14">
        <f t="shared" si="19"/>
        <v>40.799999999999997</v>
      </c>
      <c r="BI8" s="14">
        <f t="shared" si="20"/>
        <v>79.599999999999994</v>
      </c>
      <c r="BJ8" s="20"/>
      <c r="BK8" s="20"/>
      <c r="BL8" s="20"/>
      <c r="BM8" s="20"/>
      <c r="BN8" s="20"/>
      <c r="BO8" s="20"/>
      <c r="BP8" s="20"/>
      <c r="BQ8" s="20"/>
      <c r="BR8" s="20"/>
      <c r="BS8" s="20"/>
      <c r="BT8" s="20"/>
      <c r="BU8" s="20"/>
      <c r="BV8" s="20"/>
      <c r="BW8" s="20"/>
      <c r="BX8" s="20"/>
      <c r="BY8" s="20"/>
      <c r="BZ8" s="32"/>
      <c r="CA8" s="55" t="str">
        <f t="shared" si="21"/>
        <v/>
      </c>
      <c r="CB8" s="55" t="str">
        <f t="shared" si="22"/>
        <v/>
      </c>
      <c r="CC8" s="55" t="str">
        <f t="shared" si="23"/>
        <v/>
      </c>
      <c r="CD8" s="55" t="str">
        <f t="shared" si="24"/>
        <v/>
      </c>
      <c r="CE8" s="55" t="str">
        <f t="shared" si="25"/>
        <v/>
      </c>
      <c r="CF8" s="56">
        <f t="shared" si="26"/>
        <v>27.3</v>
      </c>
      <c r="CG8" s="56" t="str">
        <f t="shared" si="27"/>
        <v/>
      </c>
      <c r="CH8" s="18">
        <v>13.8</v>
      </c>
      <c r="CI8" s="18">
        <v>1.7</v>
      </c>
      <c r="CJ8" s="18">
        <v>0</v>
      </c>
      <c r="CK8" s="18">
        <v>0</v>
      </c>
      <c r="CL8" s="18">
        <v>9.6999999999999993</v>
      </c>
      <c r="CM8" s="18">
        <v>2.1</v>
      </c>
      <c r="CN8" s="18">
        <v>0</v>
      </c>
      <c r="CO8" s="18">
        <v>0</v>
      </c>
      <c r="CP8" s="18"/>
      <c r="CQ8" s="18"/>
      <c r="CR8" s="18"/>
      <c r="CS8" s="18"/>
      <c r="CT8" s="18"/>
      <c r="CU8" s="18"/>
      <c r="CV8" s="18"/>
      <c r="CW8" s="18"/>
      <c r="CX8" s="18"/>
      <c r="CY8" s="18"/>
      <c r="CZ8" s="18"/>
      <c r="DA8" s="18"/>
      <c r="DB8" s="55">
        <f t="shared" si="28"/>
        <v>3.8</v>
      </c>
      <c r="DC8" s="55">
        <f t="shared" si="29"/>
        <v>27.3</v>
      </c>
      <c r="DD8" s="55" t="str">
        <f t="shared" si="30"/>
        <v/>
      </c>
      <c r="DE8" s="55" t="str">
        <f t="shared" si="31"/>
        <v/>
      </c>
      <c r="DF8" s="55" t="str">
        <f t="shared" si="32"/>
        <v/>
      </c>
      <c r="DG8" s="55">
        <f t="shared" si="33"/>
        <v>27.3</v>
      </c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  <c r="DZ8" s="19"/>
      <c r="EA8" s="19"/>
      <c r="EB8" s="14" t="str">
        <f t="shared" si="34"/>
        <v/>
      </c>
      <c r="EC8" s="14" t="str">
        <f t="shared" si="35"/>
        <v/>
      </c>
      <c r="ED8" s="14" t="str">
        <f t="shared" si="36"/>
        <v/>
      </c>
      <c r="EE8" s="14" t="str">
        <f t="shared" si="37"/>
        <v/>
      </c>
      <c r="EF8" s="14" t="str">
        <f t="shared" si="38"/>
        <v/>
      </c>
      <c r="EG8" s="14" t="str">
        <f t="shared" si="39"/>
        <v/>
      </c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55" t="str">
        <f t="shared" si="40"/>
        <v/>
      </c>
      <c r="FC8" s="55" t="str">
        <f t="shared" si="41"/>
        <v/>
      </c>
      <c r="FD8" s="55" t="str">
        <f t="shared" si="42"/>
        <v/>
      </c>
      <c r="FE8" s="55" t="str">
        <f t="shared" si="43"/>
        <v/>
      </c>
      <c r="FF8" s="55" t="str">
        <f t="shared" si="44"/>
        <v/>
      </c>
      <c r="FG8" s="55" t="str">
        <f t="shared" si="45"/>
        <v/>
      </c>
      <c r="FH8" s="19"/>
      <c r="FI8" s="19"/>
      <c r="FJ8" s="19"/>
      <c r="FK8" s="19"/>
      <c r="FL8" s="19"/>
      <c r="FM8" s="19"/>
      <c r="FN8" s="19"/>
      <c r="FO8" s="19"/>
      <c r="FP8" s="19"/>
      <c r="FQ8" s="19"/>
      <c r="FR8" s="19"/>
      <c r="FS8" s="19"/>
      <c r="FT8" s="19"/>
      <c r="FU8" s="19"/>
      <c r="FV8" s="19"/>
      <c r="FW8" s="19"/>
      <c r="FX8" s="19"/>
      <c r="FY8" s="19"/>
      <c r="FZ8" s="19"/>
      <c r="GA8" s="19"/>
      <c r="GB8" s="14" t="str">
        <f t="shared" si="46"/>
        <v/>
      </c>
      <c r="GC8" s="14" t="str">
        <f t="shared" si="47"/>
        <v/>
      </c>
      <c r="GD8" s="14" t="str">
        <f t="shared" si="48"/>
        <v/>
      </c>
      <c r="GE8" s="14" t="str">
        <f t="shared" si="49"/>
        <v/>
      </c>
      <c r="GF8" s="14" t="str">
        <f t="shared" si="50"/>
        <v/>
      </c>
      <c r="GG8" s="14" t="str">
        <f t="shared" si="51"/>
        <v/>
      </c>
      <c r="GH8" s="18"/>
      <c r="GI8" s="18"/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55" t="str">
        <f t="shared" si="52"/>
        <v/>
      </c>
      <c r="HC8" s="55" t="str">
        <f t="shared" si="53"/>
        <v/>
      </c>
      <c r="HD8" s="55" t="str">
        <f t="shared" si="54"/>
        <v/>
      </c>
      <c r="HE8" s="55" t="str">
        <f t="shared" si="55"/>
        <v/>
      </c>
      <c r="HF8" s="55" t="str">
        <f t="shared" si="56"/>
        <v/>
      </c>
      <c r="HG8" s="55" t="str">
        <f t="shared" si="57"/>
        <v/>
      </c>
      <c r="HH8" s="19"/>
      <c r="HI8" s="19"/>
      <c r="HJ8" s="19"/>
      <c r="HK8" s="19"/>
      <c r="HL8" s="19"/>
      <c r="HM8" s="19"/>
      <c r="HN8" s="19"/>
      <c r="HO8" s="19"/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4" t="str">
        <f t="shared" si="58"/>
        <v/>
      </c>
      <c r="IC8" s="14" t="str">
        <f t="shared" si="59"/>
        <v/>
      </c>
      <c r="ID8" s="14" t="str">
        <f t="shared" si="60"/>
        <v/>
      </c>
      <c r="IE8" s="14" t="str">
        <f t="shared" si="61"/>
        <v/>
      </c>
      <c r="IF8" s="14" t="str">
        <f t="shared" si="62"/>
        <v/>
      </c>
      <c r="IG8" s="14" t="str">
        <f t="shared" si="63"/>
        <v/>
      </c>
      <c r="IH8" s="18"/>
      <c r="II8" s="18"/>
      <c r="IJ8" s="18"/>
      <c r="IK8" s="18"/>
      <c r="IL8" s="18"/>
      <c r="IM8" s="18"/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55" t="str">
        <f t="shared" si="64"/>
        <v/>
      </c>
      <c r="JC8" s="55" t="str">
        <f t="shared" si="65"/>
        <v/>
      </c>
      <c r="JD8" s="55" t="str">
        <f t="shared" si="66"/>
        <v/>
      </c>
      <c r="JE8" s="55" t="str">
        <f t="shared" si="67"/>
        <v/>
      </c>
      <c r="JF8" s="55" t="str">
        <f t="shared" si="68"/>
        <v/>
      </c>
      <c r="JG8" s="55" t="str">
        <f t="shared" si="69"/>
        <v/>
      </c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19"/>
      <c r="JX8" s="19"/>
      <c r="JY8" s="19"/>
      <c r="JZ8" s="19"/>
      <c r="KA8" s="19"/>
      <c r="KB8" s="14" t="str">
        <f t="shared" si="70"/>
        <v/>
      </c>
      <c r="KC8" s="14" t="str">
        <f t="shared" si="71"/>
        <v/>
      </c>
      <c r="KD8" s="14" t="str">
        <f t="shared" si="72"/>
        <v/>
      </c>
      <c r="KE8" s="14" t="str">
        <f t="shared" si="73"/>
        <v/>
      </c>
      <c r="KF8" s="14" t="str">
        <f t="shared" si="74"/>
        <v/>
      </c>
      <c r="KG8" s="14" t="str">
        <f t="shared" si="75"/>
        <v/>
      </c>
      <c r="KH8" s="18"/>
      <c r="KI8" s="18"/>
      <c r="KJ8" s="18"/>
      <c r="KK8" s="18"/>
      <c r="KL8" s="18"/>
      <c r="KM8" s="18"/>
      <c r="KN8" s="18"/>
      <c r="KO8" s="18"/>
      <c r="KP8" s="18"/>
      <c r="KQ8" s="18"/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55" t="str">
        <f t="shared" si="76"/>
        <v/>
      </c>
      <c r="LC8" s="55" t="str">
        <f t="shared" si="77"/>
        <v/>
      </c>
      <c r="LD8" s="55" t="str">
        <f t="shared" si="78"/>
        <v/>
      </c>
      <c r="LE8" s="55" t="str">
        <f t="shared" si="79"/>
        <v/>
      </c>
      <c r="LF8" s="55" t="str">
        <f t="shared" si="80"/>
        <v/>
      </c>
      <c r="LG8" s="55" t="str">
        <f t="shared" si="81"/>
        <v/>
      </c>
      <c r="LH8" s="19"/>
      <c r="LI8" s="19"/>
      <c r="LJ8" s="19"/>
      <c r="LK8" s="19"/>
      <c r="LL8" s="19"/>
      <c r="LM8" s="19"/>
      <c r="LN8" s="19"/>
      <c r="LO8" s="19"/>
      <c r="LP8" s="19"/>
      <c r="LQ8" s="19"/>
      <c r="LR8" s="19"/>
      <c r="LS8" s="19"/>
      <c r="LT8" s="19"/>
      <c r="LU8" s="19"/>
      <c r="LV8" s="19"/>
      <c r="LW8" s="19"/>
      <c r="LX8" s="19"/>
      <c r="LY8" s="19"/>
      <c r="LZ8" s="19"/>
      <c r="MA8" s="19"/>
      <c r="MB8" s="14" t="str">
        <f t="shared" si="82"/>
        <v/>
      </c>
      <c r="MC8" s="14" t="str">
        <f t="shared" si="83"/>
        <v/>
      </c>
      <c r="MD8" s="14" t="str">
        <f t="shared" si="84"/>
        <v/>
      </c>
      <c r="ME8" s="14" t="str">
        <f t="shared" si="85"/>
        <v/>
      </c>
      <c r="MF8" s="14" t="str">
        <f t="shared" si="86"/>
        <v/>
      </c>
      <c r="MG8" s="14" t="str">
        <f t="shared" si="87"/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55" t="str">
        <f t="shared" si="88"/>
        <v/>
      </c>
      <c r="NC8" s="55" t="str">
        <f t="shared" si="89"/>
        <v/>
      </c>
      <c r="ND8" s="55" t="str">
        <f t="shared" si="90"/>
        <v/>
      </c>
      <c r="NE8" s="55" t="str">
        <f t="shared" si="91"/>
        <v/>
      </c>
      <c r="NF8" s="55" t="str">
        <f t="shared" si="92"/>
        <v/>
      </c>
      <c r="NG8" s="55" t="str">
        <f t="shared" si="93"/>
        <v/>
      </c>
      <c r="NH8" s="19"/>
      <c r="NI8" s="19"/>
      <c r="NJ8" s="19"/>
      <c r="NK8" s="19"/>
      <c r="NL8" s="19"/>
      <c r="NM8" s="19"/>
      <c r="NN8" s="19"/>
      <c r="NO8" s="19"/>
      <c r="NP8" s="19"/>
      <c r="NQ8" s="19"/>
      <c r="NR8" s="19"/>
      <c r="NS8" s="19"/>
      <c r="NT8" s="19"/>
      <c r="NU8" s="19"/>
      <c r="NV8" s="19"/>
      <c r="NW8" s="19"/>
      <c r="NX8" s="19"/>
      <c r="NY8" s="19"/>
      <c r="NZ8" s="19"/>
      <c r="OA8" s="19"/>
      <c r="OB8" s="14" t="str">
        <f t="shared" si="94"/>
        <v/>
      </c>
      <c r="OC8" s="14" t="str">
        <f t="shared" si="95"/>
        <v/>
      </c>
      <c r="OD8" s="14" t="str">
        <f t="shared" si="96"/>
        <v/>
      </c>
      <c r="OE8" s="14" t="str">
        <f t="shared" si="97"/>
        <v/>
      </c>
      <c r="OF8" s="14" t="str">
        <f t="shared" si="98"/>
        <v/>
      </c>
      <c r="OG8" s="14" t="str">
        <f t="shared" si="99"/>
        <v/>
      </c>
      <c r="OH8" s="27">
        <f t="shared" si="100"/>
        <v>8.15</v>
      </c>
      <c r="OI8" s="27">
        <f t="shared" si="100"/>
        <v>1.7</v>
      </c>
      <c r="OJ8" s="27">
        <f t="shared" si="100"/>
        <v>0</v>
      </c>
      <c r="OK8" s="27">
        <f t="shared" si="100"/>
        <v>0</v>
      </c>
      <c r="OL8" s="27">
        <f t="shared" si="100"/>
        <v>7.7</v>
      </c>
      <c r="OM8" s="27">
        <f t="shared" si="100"/>
        <v>1.95</v>
      </c>
      <c r="ON8" s="27">
        <f t="shared" si="100"/>
        <v>0.1</v>
      </c>
      <c r="OO8" s="27">
        <f t="shared" si="100"/>
        <v>0</v>
      </c>
      <c r="OP8" s="27">
        <f t="shared" si="100"/>
        <v>8.25</v>
      </c>
      <c r="OQ8" s="27">
        <f t="shared" si="100"/>
        <v>1.7</v>
      </c>
      <c r="OR8" s="27">
        <f t="shared" si="100"/>
        <v>0</v>
      </c>
      <c r="OS8" s="27">
        <f t="shared" si="100"/>
        <v>0</v>
      </c>
      <c r="OT8" s="27">
        <f t="shared" si="100"/>
        <v>8.5</v>
      </c>
      <c r="OU8" s="27">
        <f t="shared" si="100"/>
        <v>1.95</v>
      </c>
      <c r="OV8" s="27">
        <f t="shared" si="100"/>
        <v>0</v>
      </c>
      <c r="OW8" s="27">
        <f t="shared" si="100"/>
        <v>0</v>
      </c>
      <c r="OX8" s="32" t="s">
        <v>44</v>
      </c>
      <c r="OY8" s="55">
        <f t="shared" si="101"/>
        <v>3.65</v>
      </c>
      <c r="OZ8" s="55">
        <f t="shared" si="102"/>
        <v>19.399999999999999</v>
      </c>
      <c r="PA8" s="55">
        <f t="shared" si="103"/>
        <v>3.65</v>
      </c>
      <c r="PB8" s="55">
        <f t="shared" si="104"/>
        <v>20.399999999999999</v>
      </c>
      <c r="PC8" s="55">
        <f t="shared" si="105"/>
        <v>39.799999999999997</v>
      </c>
    </row>
    <row r="9" spans="1:419" x14ac:dyDescent="0.2">
      <c r="A9" s="4" t="str" cm="1">
        <f t="array" ref="A9">IF(AND(H9&lt;&gt;"",H9&lt;&gt;"No DD"),SUMPRODUCT((H$4:H$10&lt;&gt;"")*(H$4:H$10&lt;&gt;"No DD")*(E$4:E$10&gt;E9))+1,IF(H9="No DD",SUMPRODUCT((H$4:H$10="No DD")*(E$4:E$10&gt;E9))+1+SUMPRODUCT((H$4:H$10&lt;&gt;"")*(H$4:H$10&lt;&gt;"No DD")),""))</f>
        <v/>
      </c>
      <c r="B9" s="5" t="s">
        <v>118</v>
      </c>
      <c r="C9" s="4" t="s">
        <v>3</v>
      </c>
      <c r="D9" s="4">
        <v>2009</v>
      </c>
      <c r="E9" s="10">
        <f t="shared" si="0"/>
        <v>70.900007090003712</v>
      </c>
      <c r="F9" s="3" t="str">
        <f t="shared" si="1"/>
        <v/>
      </c>
      <c r="G9" s="3" t="str">
        <f t="shared" si="2"/>
        <v/>
      </c>
      <c r="H9" s="47" t="str">
        <f t="shared" si="3"/>
        <v/>
      </c>
      <c r="I9" s="9">
        <f>IF(COUNT(AJ9,BF9,CB9)&gt;0,LARGE((AJ9,BF9,CB9),1),0)</f>
        <v>37.299999999999997</v>
      </c>
      <c r="J9" s="9" t="str">
        <f t="shared" si="4"/>
        <v>2025 3rd Domestic Trial</v>
      </c>
      <c r="K9" s="9">
        <f>IF(COUNT(AJ9,BF9,CB9)&gt;1,LARGE((AJ9,BF9,CB9),2),0)</f>
        <v>0</v>
      </c>
      <c r="L9" s="9" t="str">
        <f t="shared" si="5"/>
        <v/>
      </c>
      <c r="M9" s="9">
        <f t="shared" si="6"/>
        <v>33.599999999999994</v>
      </c>
      <c r="N9" s="9" t="str">
        <f t="shared" si="7"/>
        <v>2025 3rd Domestic Trial</v>
      </c>
      <c r="O9" s="9" t="str">
        <f t="shared" si="8"/>
        <v/>
      </c>
      <c r="P9" s="14" t="str">
        <f t="shared" si="9"/>
        <v/>
      </c>
      <c r="Q9" s="9" t="str">
        <f t="shared" si="10"/>
        <v/>
      </c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32"/>
      <c r="AI9" s="55" t="str">
        <f t="shared" si="11"/>
        <v/>
      </c>
      <c r="AJ9" s="55" t="str">
        <f t="shared" si="12"/>
        <v/>
      </c>
      <c r="AK9" s="55" t="str">
        <f t="shared" si="13"/>
        <v/>
      </c>
      <c r="AL9" s="55" t="str">
        <f t="shared" si="14"/>
        <v/>
      </c>
      <c r="AM9" s="55" t="str">
        <f t="shared" si="15"/>
        <v/>
      </c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33"/>
      <c r="BE9" s="14" t="str">
        <f t="shared" si="16"/>
        <v/>
      </c>
      <c r="BF9" s="14" t="str">
        <f t="shared" si="17"/>
        <v/>
      </c>
      <c r="BG9" s="14" t="str">
        <f t="shared" si="18"/>
        <v/>
      </c>
      <c r="BH9" s="14" t="str">
        <f t="shared" si="19"/>
        <v/>
      </c>
      <c r="BI9" s="14" t="str">
        <f t="shared" si="20"/>
        <v/>
      </c>
      <c r="BJ9" s="20">
        <v>16.3</v>
      </c>
      <c r="BK9" s="20">
        <v>3.9</v>
      </c>
      <c r="BL9" s="20">
        <v>0.4</v>
      </c>
      <c r="BM9" s="20">
        <v>0</v>
      </c>
      <c r="BN9" s="20">
        <v>15.8</v>
      </c>
      <c r="BO9" s="20">
        <v>1.9</v>
      </c>
      <c r="BP9" s="20">
        <v>0.2</v>
      </c>
      <c r="BQ9" s="20">
        <v>0</v>
      </c>
      <c r="BR9" s="20">
        <v>15.7</v>
      </c>
      <c r="BS9" s="20">
        <v>1.9</v>
      </c>
      <c r="BT9" s="20">
        <v>0.2</v>
      </c>
      <c r="BU9" s="20">
        <v>0</v>
      </c>
      <c r="BV9" s="20">
        <v>14.6</v>
      </c>
      <c r="BW9" s="20">
        <v>2.9</v>
      </c>
      <c r="BX9" s="20">
        <v>1.3</v>
      </c>
      <c r="BY9" s="20">
        <v>0</v>
      </c>
      <c r="BZ9" s="32"/>
      <c r="CA9" s="55">
        <f t="shared" si="21"/>
        <v>5.8</v>
      </c>
      <c r="CB9" s="55">
        <f t="shared" si="22"/>
        <v>37.299999999999997</v>
      </c>
      <c r="CC9" s="55">
        <f t="shared" si="23"/>
        <v>4.8</v>
      </c>
      <c r="CD9" s="55">
        <f t="shared" si="24"/>
        <v>33.599999999999994</v>
      </c>
      <c r="CE9" s="55">
        <f t="shared" si="25"/>
        <v>70.899999999999991</v>
      </c>
      <c r="CF9" s="56" t="str">
        <f t="shared" si="26"/>
        <v/>
      </c>
      <c r="CG9" s="56" t="str">
        <f t="shared" si="27"/>
        <v/>
      </c>
      <c r="CH9" s="18"/>
      <c r="CI9" s="18"/>
      <c r="CJ9" s="18"/>
      <c r="CK9" s="18"/>
      <c r="CL9" s="18"/>
      <c r="CM9" s="18"/>
      <c r="CN9" s="18"/>
      <c r="CO9" s="18"/>
      <c r="CP9" s="18"/>
      <c r="CQ9" s="18"/>
      <c r="CR9" s="18"/>
      <c r="CS9" s="18"/>
      <c r="CT9" s="18"/>
      <c r="CU9" s="18"/>
      <c r="CV9" s="18"/>
      <c r="CW9" s="18"/>
      <c r="CX9" s="18"/>
      <c r="CY9" s="18"/>
      <c r="CZ9" s="18"/>
      <c r="DA9" s="18"/>
      <c r="DB9" s="55" t="str">
        <f t="shared" si="28"/>
        <v/>
      </c>
      <c r="DC9" s="55" t="str">
        <f t="shared" si="29"/>
        <v/>
      </c>
      <c r="DD9" s="55" t="str">
        <f t="shared" si="30"/>
        <v/>
      </c>
      <c r="DE9" s="55" t="str">
        <f t="shared" si="31"/>
        <v/>
      </c>
      <c r="DF9" s="55" t="str">
        <f t="shared" si="32"/>
        <v/>
      </c>
      <c r="DG9" s="55" t="str">
        <f t="shared" si="33"/>
        <v/>
      </c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  <c r="DZ9" s="19"/>
      <c r="EA9" s="19"/>
      <c r="EB9" s="14" t="str">
        <f t="shared" si="34"/>
        <v/>
      </c>
      <c r="EC9" s="14" t="str">
        <f t="shared" si="35"/>
        <v/>
      </c>
      <c r="ED9" s="14" t="str">
        <f t="shared" si="36"/>
        <v/>
      </c>
      <c r="EE9" s="14" t="str">
        <f t="shared" si="37"/>
        <v/>
      </c>
      <c r="EF9" s="14" t="str">
        <f t="shared" si="38"/>
        <v/>
      </c>
      <c r="EG9" s="14" t="str">
        <f t="shared" si="39"/>
        <v/>
      </c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55" t="str">
        <f t="shared" si="40"/>
        <v/>
      </c>
      <c r="FC9" s="55" t="str">
        <f t="shared" si="41"/>
        <v/>
      </c>
      <c r="FD9" s="55" t="str">
        <f t="shared" si="42"/>
        <v/>
      </c>
      <c r="FE9" s="55" t="str">
        <f t="shared" si="43"/>
        <v/>
      </c>
      <c r="FF9" s="55" t="str">
        <f t="shared" si="44"/>
        <v/>
      </c>
      <c r="FG9" s="55" t="str">
        <f t="shared" si="45"/>
        <v/>
      </c>
      <c r="FH9" s="19"/>
      <c r="FI9" s="19"/>
      <c r="FJ9" s="19"/>
      <c r="FK9" s="19"/>
      <c r="FL9" s="19"/>
      <c r="FM9" s="19"/>
      <c r="FN9" s="19"/>
      <c r="FO9" s="19"/>
      <c r="FP9" s="19"/>
      <c r="FQ9" s="19"/>
      <c r="FR9" s="19"/>
      <c r="FS9" s="19"/>
      <c r="FT9" s="19"/>
      <c r="FU9" s="19"/>
      <c r="FV9" s="19"/>
      <c r="FW9" s="19"/>
      <c r="FX9" s="19"/>
      <c r="FY9" s="19"/>
      <c r="FZ9" s="19"/>
      <c r="GA9" s="19"/>
      <c r="GB9" s="14" t="str">
        <f t="shared" si="46"/>
        <v/>
      </c>
      <c r="GC9" s="14" t="str">
        <f t="shared" si="47"/>
        <v/>
      </c>
      <c r="GD9" s="14" t="str">
        <f t="shared" si="48"/>
        <v/>
      </c>
      <c r="GE9" s="14" t="str">
        <f t="shared" si="49"/>
        <v/>
      </c>
      <c r="GF9" s="14" t="str">
        <f t="shared" si="50"/>
        <v/>
      </c>
      <c r="GG9" s="14" t="str">
        <f t="shared" si="51"/>
        <v/>
      </c>
      <c r="GH9" s="18"/>
      <c r="GI9" s="18"/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55" t="str">
        <f t="shared" si="52"/>
        <v/>
      </c>
      <c r="HC9" s="55" t="str">
        <f t="shared" si="53"/>
        <v/>
      </c>
      <c r="HD9" s="55" t="str">
        <f t="shared" si="54"/>
        <v/>
      </c>
      <c r="HE9" s="55" t="str">
        <f t="shared" si="55"/>
        <v/>
      </c>
      <c r="HF9" s="55" t="str">
        <f t="shared" si="56"/>
        <v/>
      </c>
      <c r="HG9" s="55" t="str">
        <f t="shared" si="57"/>
        <v/>
      </c>
      <c r="HH9" s="19"/>
      <c r="HI9" s="19"/>
      <c r="HJ9" s="19"/>
      <c r="HK9" s="19"/>
      <c r="HL9" s="19"/>
      <c r="HM9" s="19"/>
      <c r="HN9" s="19"/>
      <c r="HO9" s="19"/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4" t="str">
        <f t="shared" si="58"/>
        <v/>
      </c>
      <c r="IC9" s="14" t="str">
        <f t="shared" si="59"/>
        <v/>
      </c>
      <c r="ID9" s="14" t="str">
        <f t="shared" si="60"/>
        <v/>
      </c>
      <c r="IE9" s="14" t="str">
        <f t="shared" si="61"/>
        <v/>
      </c>
      <c r="IF9" s="14" t="str">
        <f t="shared" si="62"/>
        <v/>
      </c>
      <c r="IG9" s="14" t="str">
        <f t="shared" si="63"/>
        <v/>
      </c>
      <c r="IH9" s="18"/>
      <c r="II9" s="18"/>
      <c r="IJ9" s="18"/>
      <c r="IK9" s="18"/>
      <c r="IL9" s="18"/>
      <c r="IM9" s="18"/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55" t="str">
        <f t="shared" si="64"/>
        <v/>
      </c>
      <c r="JC9" s="55" t="str">
        <f t="shared" si="65"/>
        <v/>
      </c>
      <c r="JD9" s="55" t="str">
        <f t="shared" si="66"/>
        <v/>
      </c>
      <c r="JE9" s="55" t="str">
        <f t="shared" si="67"/>
        <v/>
      </c>
      <c r="JF9" s="55" t="str">
        <f t="shared" si="68"/>
        <v/>
      </c>
      <c r="JG9" s="55" t="str">
        <f t="shared" si="69"/>
        <v/>
      </c>
      <c r="JH9" s="19"/>
      <c r="JI9" s="19"/>
      <c r="JJ9" s="19"/>
      <c r="JK9" s="19"/>
      <c r="JL9" s="19"/>
      <c r="JM9" s="19"/>
      <c r="JN9" s="19"/>
      <c r="JO9" s="19"/>
      <c r="JP9" s="19"/>
      <c r="JQ9" s="19"/>
      <c r="JR9" s="19"/>
      <c r="JS9" s="19"/>
      <c r="JT9" s="19"/>
      <c r="JU9" s="19"/>
      <c r="JV9" s="19"/>
      <c r="JW9" s="19"/>
      <c r="JX9" s="19"/>
      <c r="JY9" s="19"/>
      <c r="JZ9" s="19"/>
      <c r="KA9" s="19"/>
      <c r="KB9" s="14" t="str">
        <f t="shared" si="70"/>
        <v/>
      </c>
      <c r="KC9" s="14" t="str">
        <f t="shared" si="71"/>
        <v/>
      </c>
      <c r="KD9" s="14" t="str">
        <f t="shared" si="72"/>
        <v/>
      </c>
      <c r="KE9" s="14" t="str">
        <f t="shared" si="73"/>
        <v/>
      </c>
      <c r="KF9" s="14" t="str">
        <f t="shared" si="74"/>
        <v/>
      </c>
      <c r="KG9" s="14" t="str">
        <f t="shared" si="75"/>
        <v/>
      </c>
      <c r="KH9" s="18"/>
      <c r="KI9" s="18"/>
      <c r="KJ9" s="18"/>
      <c r="KK9" s="18"/>
      <c r="KL9" s="18"/>
      <c r="KM9" s="18"/>
      <c r="KN9" s="18"/>
      <c r="KO9" s="18"/>
      <c r="KP9" s="18"/>
      <c r="KQ9" s="18"/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55" t="str">
        <f t="shared" si="76"/>
        <v/>
      </c>
      <c r="LC9" s="55" t="str">
        <f t="shared" si="77"/>
        <v/>
      </c>
      <c r="LD9" s="55" t="str">
        <f t="shared" si="78"/>
        <v/>
      </c>
      <c r="LE9" s="55" t="str">
        <f t="shared" si="79"/>
        <v/>
      </c>
      <c r="LF9" s="55" t="str">
        <f t="shared" si="80"/>
        <v/>
      </c>
      <c r="LG9" s="55" t="str">
        <f t="shared" si="81"/>
        <v/>
      </c>
      <c r="LH9" s="19"/>
      <c r="LI9" s="19"/>
      <c r="LJ9" s="19"/>
      <c r="LK9" s="19"/>
      <c r="LL9" s="19"/>
      <c r="LM9" s="19"/>
      <c r="LN9" s="19"/>
      <c r="LO9" s="19"/>
      <c r="LP9" s="19"/>
      <c r="LQ9" s="19"/>
      <c r="LR9" s="19"/>
      <c r="LS9" s="19"/>
      <c r="LT9" s="19"/>
      <c r="LU9" s="19"/>
      <c r="LV9" s="19"/>
      <c r="LW9" s="19"/>
      <c r="LX9" s="19"/>
      <c r="LY9" s="19"/>
      <c r="LZ9" s="19"/>
      <c r="MA9" s="19"/>
      <c r="MB9" s="14" t="str">
        <f t="shared" si="82"/>
        <v/>
      </c>
      <c r="MC9" s="14" t="str">
        <f t="shared" si="83"/>
        <v/>
      </c>
      <c r="MD9" s="14" t="str">
        <f t="shared" si="84"/>
        <v/>
      </c>
      <c r="ME9" s="14" t="str">
        <f t="shared" si="85"/>
        <v/>
      </c>
      <c r="MF9" s="14" t="str">
        <f t="shared" si="86"/>
        <v/>
      </c>
      <c r="MG9" s="14" t="str">
        <f t="shared" si="87"/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55" t="str">
        <f t="shared" si="88"/>
        <v/>
      </c>
      <c r="NC9" s="55" t="str">
        <f t="shared" si="89"/>
        <v/>
      </c>
      <c r="ND9" s="55" t="str">
        <f t="shared" si="90"/>
        <v/>
      </c>
      <c r="NE9" s="55" t="str">
        <f t="shared" si="91"/>
        <v/>
      </c>
      <c r="NF9" s="55" t="str">
        <f t="shared" si="92"/>
        <v/>
      </c>
      <c r="NG9" s="55" t="str">
        <f t="shared" si="93"/>
        <v/>
      </c>
      <c r="NH9" s="19"/>
      <c r="NI9" s="19"/>
      <c r="NJ9" s="19"/>
      <c r="NK9" s="19"/>
      <c r="NL9" s="19"/>
      <c r="NM9" s="19"/>
      <c r="NN9" s="19"/>
      <c r="NO9" s="19"/>
      <c r="NP9" s="19"/>
      <c r="NQ9" s="19"/>
      <c r="NR9" s="19"/>
      <c r="NS9" s="19"/>
      <c r="NT9" s="19"/>
      <c r="NU9" s="19"/>
      <c r="NV9" s="19"/>
      <c r="NW9" s="19"/>
      <c r="NX9" s="19"/>
      <c r="NY9" s="19"/>
      <c r="NZ9" s="19"/>
      <c r="OA9" s="19"/>
      <c r="OB9" s="14" t="str">
        <f t="shared" si="94"/>
        <v/>
      </c>
      <c r="OC9" s="14" t="str">
        <f t="shared" si="95"/>
        <v/>
      </c>
      <c r="OD9" s="14" t="str">
        <f t="shared" si="96"/>
        <v/>
      </c>
      <c r="OE9" s="14" t="str">
        <f t="shared" si="97"/>
        <v/>
      </c>
      <c r="OF9" s="14" t="str">
        <f t="shared" si="98"/>
        <v/>
      </c>
      <c r="OG9" s="14" t="str">
        <f t="shared" si="99"/>
        <v/>
      </c>
      <c r="OH9" s="27">
        <f t="shared" si="100"/>
        <v>8.15</v>
      </c>
      <c r="OI9" s="27">
        <f t="shared" si="100"/>
        <v>1.95</v>
      </c>
      <c r="OJ9" s="27">
        <f t="shared" si="100"/>
        <v>0.2</v>
      </c>
      <c r="OK9" s="27">
        <f t="shared" si="100"/>
        <v>0</v>
      </c>
      <c r="OL9" s="27">
        <f t="shared" si="100"/>
        <v>7.9</v>
      </c>
      <c r="OM9" s="27">
        <f t="shared" si="100"/>
        <v>0.95</v>
      </c>
      <c r="ON9" s="27">
        <f t="shared" si="100"/>
        <v>0.1</v>
      </c>
      <c r="OO9" s="27">
        <f t="shared" si="100"/>
        <v>0</v>
      </c>
      <c r="OP9" s="27">
        <f t="shared" si="100"/>
        <v>7.85</v>
      </c>
      <c r="OQ9" s="27">
        <f t="shared" si="100"/>
        <v>0.95</v>
      </c>
      <c r="OR9" s="27">
        <f t="shared" si="100"/>
        <v>0.1</v>
      </c>
      <c r="OS9" s="27">
        <f t="shared" si="100"/>
        <v>0</v>
      </c>
      <c r="OT9" s="27">
        <f t="shared" si="100"/>
        <v>7.3</v>
      </c>
      <c r="OU9" s="27">
        <f t="shared" si="100"/>
        <v>1.45</v>
      </c>
      <c r="OV9" s="27">
        <f t="shared" si="100"/>
        <v>0.65</v>
      </c>
      <c r="OW9" s="27">
        <f t="shared" si="100"/>
        <v>0</v>
      </c>
      <c r="OX9" s="32" t="s">
        <v>44</v>
      </c>
      <c r="OY9" s="55">
        <f t="shared" si="101"/>
        <v>2.9</v>
      </c>
      <c r="OZ9" s="55">
        <f t="shared" si="102"/>
        <v>18.649999999999999</v>
      </c>
      <c r="PA9" s="55">
        <f t="shared" si="103"/>
        <v>2.4</v>
      </c>
      <c r="PB9" s="55">
        <f t="shared" si="104"/>
        <v>16.799999999999997</v>
      </c>
      <c r="PC9" s="55">
        <f t="shared" si="105"/>
        <v>35.449999999999996</v>
      </c>
    </row>
    <row r="10" spans="1:419" ht="17" x14ac:dyDescent="0.2">
      <c r="O10" s="11"/>
      <c r="P10" s="11"/>
      <c r="Q10" s="11"/>
    </row>
    <row r="11" spans="1:419" ht="17" x14ac:dyDescent="0.2">
      <c r="O11" s="11"/>
      <c r="P11" s="11"/>
      <c r="Q11" s="11"/>
    </row>
    <row r="12" spans="1:419" ht="17" x14ac:dyDescent="0.2">
      <c r="B12" s="28" t="s">
        <v>42</v>
      </c>
      <c r="O12" s="11"/>
      <c r="P12" s="11"/>
      <c r="Q12" s="11"/>
      <c r="AI12" s="4"/>
      <c r="AM12" s="57">
        <v>7.3</v>
      </c>
      <c r="BE12" s="4"/>
      <c r="BI12" s="57">
        <v>7.3</v>
      </c>
      <c r="CA12" s="4"/>
      <c r="CE12" s="57">
        <v>7.3</v>
      </c>
      <c r="DB12" s="4"/>
      <c r="DG12" s="57">
        <v>7.3</v>
      </c>
      <c r="EB12" s="4"/>
      <c r="EG12" s="57">
        <v>7.3</v>
      </c>
      <c r="FB12" s="4"/>
      <c r="FG12" s="57">
        <v>7.3</v>
      </c>
      <c r="GB12" s="4"/>
      <c r="GG12" s="57">
        <v>7.3</v>
      </c>
      <c r="HB12" s="4"/>
      <c r="HG12" s="57">
        <v>7.3</v>
      </c>
      <c r="IB12" s="4"/>
      <c r="IG12" s="57">
        <v>7.3</v>
      </c>
      <c r="JB12" s="4"/>
      <c r="JG12" s="57">
        <v>7.3</v>
      </c>
      <c r="KB12" s="4"/>
      <c r="KG12" s="57">
        <v>7.3</v>
      </c>
      <c r="LB12" s="4"/>
      <c r="LG12" s="57">
        <v>7.3</v>
      </c>
      <c r="MB12" s="4"/>
      <c r="MG12" s="57">
        <v>7.3</v>
      </c>
      <c r="NB12" s="4"/>
      <c r="NG12" s="57">
        <v>7.3</v>
      </c>
      <c r="OB12" s="4"/>
      <c r="OG12" s="57">
        <v>7.3</v>
      </c>
    </row>
    <row r="13" spans="1:419" ht="17" hidden="1" x14ac:dyDescent="0.2">
      <c r="B13" s="35" t="s">
        <v>41</v>
      </c>
      <c r="O13" s="11"/>
      <c r="P13" s="11"/>
      <c r="Q13" s="11"/>
      <c r="AI13" s="4"/>
      <c r="AM13" s="58">
        <v>1000</v>
      </c>
      <c r="BE13" s="4"/>
      <c r="BI13" s="58">
        <v>1000</v>
      </c>
      <c r="CA13" s="4"/>
      <c r="CE13" s="58">
        <v>1000</v>
      </c>
      <c r="DB13" s="4"/>
      <c r="DG13" s="58">
        <v>1000</v>
      </c>
      <c r="EB13" s="4"/>
      <c r="EG13" s="58">
        <v>1000</v>
      </c>
      <c r="FB13" s="4"/>
      <c r="FG13" s="58">
        <v>1000</v>
      </c>
      <c r="GB13" s="4"/>
      <c r="GG13" s="58">
        <v>1000</v>
      </c>
      <c r="HB13" s="4"/>
      <c r="HG13" s="58">
        <v>1000</v>
      </c>
      <c r="IB13" s="4"/>
      <c r="IG13" s="58">
        <v>1000</v>
      </c>
      <c r="JB13" s="4"/>
      <c r="JG13" s="58">
        <v>1000</v>
      </c>
      <c r="KB13" s="4"/>
      <c r="KG13" s="58">
        <v>1000</v>
      </c>
      <c r="LB13" s="4"/>
      <c r="LG13" s="58">
        <v>1000</v>
      </c>
      <c r="MB13" s="4"/>
      <c r="MG13" s="58">
        <v>1000</v>
      </c>
      <c r="NB13" s="4"/>
      <c r="NG13" s="58">
        <v>1000</v>
      </c>
      <c r="OB13" s="4"/>
      <c r="OG13" s="58">
        <v>1000</v>
      </c>
    </row>
    <row r="14" spans="1:419" ht="17" hidden="1" x14ac:dyDescent="0.2">
      <c r="A14" s="5"/>
      <c r="B14" s="36" t="s">
        <v>54</v>
      </c>
      <c r="C14" s="22"/>
      <c r="O14" s="11"/>
      <c r="P14" s="11"/>
      <c r="Q14" s="11"/>
      <c r="AI14" s="4"/>
      <c r="AM14" s="59">
        <v>1000</v>
      </c>
      <c r="BE14" s="4"/>
      <c r="BI14" s="59">
        <v>1000</v>
      </c>
      <c r="CA14" s="4"/>
      <c r="CE14" s="59">
        <v>1000</v>
      </c>
      <c r="DB14" s="4"/>
      <c r="DG14" s="59">
        <v>1000</v>
      </c>
      <c r="EB14" s="4"/>
      <c r="EG14" s="59">
        <v>1000</v>
      </c>
      <c r="FB14" s="4"/>
      <c r="FG14" s="59">
        <v>1000</v>
      </c>
      <c r="GB14" s="4"/>
      <c r="GG14" s="59">
        <v>1000</v>
      </c>
      <c r="HB14" s="4"/>
      <c r="HG14" s="59">
        <v>1000</v>
      </c>
      <c r="IB14" s="4"/>
      <c r="IG14" s="59">
        <v>1000</v>
      </c>
      <c r="JB14" s="4"/>
      <c r="JG14" s="59">
        <v>1000</v>
      </c>
      <c r="KB14" s="4"/>
      <c r="KG14" s="59">
        <v>1000</v>
      </c>
      <c r="LB14" s="4"/>
      <c r="LG14" s="59">
        <v>1000</v>
      </c>
      <c r="MB14" s="4"/>
      <c r="MG14" s="59">
        <v>1000</v>
      </c>
      <c r="NB14" s="4"/>
      <c r="NG14" s="59">
        <v>1000</v>
      </c>
      <c r="OB14" s="4"/>
      <c r="OG14" s="59">
        <v>1000</v>
      </c>
    </row>
    <row r="15" spans="1:419" ht="17" hidden="1" x14ac:dyDescent="0.2">
      <c r="A15" s="5"/>
      <c r="B15" s="44" t="s">
        <v>59</v>
      </c>
      <c r="C15" s="22"/>
      <c r="O15" s="11"/>
      <c r="P15" s="11"/>
      <c r="Q15" s="11"/>
      <c r="AI15" s="4"/>
      <c r="AM15" s="60">
        <v>1000</v>
      </c>
      <c r="BE15" s="4"/>
      <c r="BI15" s="60">
        <v>1000</v>
      </c>
      <c r="CA15" s="4"/>
      <c r="CE15" s="60">
        <v>1000</v>
      </c>
      <c r="DB15" s="4"/>
      <c r="DG15" s="60">
        <v>1000</v>
      </c>
      <c r="EB15" s="4"/>
      <c r="EG15" s="60">
        <v>1000</v>
      </c>
      <c r="FB15" s="4"/>
      <c r="FG15" s="60">
        <v>1000</v>
      </c>
      <c r="GB15" s="4"/>
      <c r="GG15" s="60">
        <v>1000</v>
      </c>
      <c r="HB15" s="4"/>
      <c r="HG15" s="60">
        <v>1000</v>
      </c>
      <c r="IB15" s="4"/>
      <c r="IG15" s="60">
        <v>1000</v>
      </c>
      <c r="JB15" s="4"/>
      <c r="JG15" s="60">
        <v>1000</v>
      </c>
      <c r="KB15" s="4"/>
      <c r="KG15" s="60">
        <v>1000</v>
      </c>
      <c r="LB15" s="4"/>
      <c r="LG15" s="60">
        <v>1000</v>
      </c>
      <c r="MB15" s="4"/>
      <c r="MG15" s="60">
        <v>1000</v>
      </c>
      <c r="NB15" s="4"/>
      <c r="NG15" s="60">
        <v>1000</v>
      </c>
      <c r="OB15" s="4"/>
      <c r="OG15" s="60">
        <v>1000</v>
      </c>
    </row>
    <row r="16" spans="1:419" ht="17" x14ac:dyDescent="0.2">
      <c r="A16" s="5"/>
      <c r="B16" s="42" t="s">
        <v>39</v>
      </c>
      <c r="C16" s="22"/>
      <c r="O16" s="11"/>
      <c r="P16" s="11"/>
      <c r="Q16" s="11"/>
      <c r="AI16" s="4"/>
      <c r="AM16" s="61">
        <v>42.5</v>
      </c>
      <c r="BE16" s="4"/>
      <c r="BI16" s="61">
        <v>42.5</v>
      </c>
      <c r="CA16" s="4"/>
      <c r="CE16" s="61">
        <v>42.5</v>
      </c>
      <c r="DB16" s="4"/>
      <c r="DG16" s="61">
        <v>42.5</v>
      </c>
      <c r="EB16" s="4"/>
      <c r="EG16" s="61">
        <v>42.5</v>
      </c>
      <c r="FB16" s="4"/>
      <c r="FG16" s="61">
        <v>42.5</v>
      </c>
      <c r="GB16" s="4"/>
      <c r="GG16" s="61">
        <v>42.5</v>
      </c>
      <c r="HB16" s="4"/>
      <c r="HG16" s="61">
        <v>42.5</v>
      </c>
      <c r="IB16" s="4"/>
      <c r="IG16" s="61">
        <v>42.5</v>
      </c>
      <c r="JB16" s="4"/>
      <c r="JG16" s="61">
        <v>42.5</v>
      </c>
      <c r="KB16" s="4"/>
      <c r="KG16" s="61">
        <v>42.5</v>
      </c>
      <c r="LB16" s="4"/>
      <c r="LG16" s="61">
        <v>42.5</v>
      </c>
      <c r="MB16" s="4"/>
      <c r="MG16" s="61">
        <v>42.5</v>
      </c>
      <c r="NB16" s="4"/>
      <c r="NG16" s="61">
        <v>42.5</v>
      </c>
      <c r="OB16" s="4"/>
      <c r="OG16" s="61">
        <v>42.5</v>
      </c>
    </row>
    <row r="17" spans="1:397" ht="17" hidden="1" x14ac:dyDescent="0.2">
      <c r="A17" s="5"/>
      <c r="B17" s="29" t="s">
        <v>40</v>
      </c>
      <c r="C17" s="22"/>
      <c r="O17" s="11"/>
      <c r="P17" s="11"/>
      <c r="Q17" s="11"/>
      <c r="AI17" s="4"/>
      <c r="AM17" s="62">
        <v>1000</v>
      </c>
      <c r="BE17" s="4"/>
      <c r="BI17" s="62">
        <v>1000</v>
      </c>
      <c r="CA17" s="4"/>
      <c r="CE17" s="62">
        <v>1000</v>
      </c>
      <c r="DB17" s="4"/>
      <c r="DG17" s="62">
        <v>1000</v>
      </c>
      <c r="EB17" s="4"/>
      <c r="EG17" s="62">
        <v>1000</v>
      </c>
      <c r="FB17" s="4"/>
      <c r="FG17" s="62">
        <v>1000</v>
      </c>
      <c r="GB17" s="4"/>
      <c r="GG17" s="62">
        <v>1000</v>
      </c>
      <c r="HB17" s="4"/>
      <c r="HG17" s="62">
        <v>1000</v>
      </c>
      <c r="IB17" s="4"/>
      <c r="IG17" s="62">
        <v>1000</v>
      </c>
      <c r="JB17" s="4"/>
      <c r="JG17" s="62">
        <v>1000</v>
      </c>
      <c r="KB17" s="4"/>
      <c r="KG17" s="62">
        <v>1000</v>
      </c>
      <c r="LB17" s="4"/>
      <c r="LG17" s="62">
        <v>1000</v>
      </c>
      <c r="MB17" s="4"/>
      <c r="MG17" s="62">
        <v>1000</v>
      </c>
      <c r="NB17" s="4"/>
      <c r="NG17" s="62">
        <v>1000</v>
      </c>
      <c r="OB17" s="4"/>
      <c r="OG17" s="62">
        <v>1000</v>
      </c>
    </row>
    <row r="18" spans="1:397" ht="17" hidden="1" x14ac:dyDescent="0.2">
      <c r="A18" s="5"/>
      <c r="B18" s="40" t="s">
        <v>53</v>
      </c>
      <c r="C18" s="22"/>
      <c r="O18" s="11"/>
      <c r="P18" s="11"/>
      <c r="Q18" s="11"/>
      <c r="AI18" s="4"/>
      <c r="AM18" s="63">
        <v>1000</v>
      </c>
      <c r="BE18" s="4"/>
      <c r="BI18" s="63">
        <v>1000</v>
      </c>
      <c r="CA18" s="4"/>
      <c r="CE18" s="63">
        <v>1000</v>
      </c>
      <c r="DB18" s="4"/>
      <c r="DG18" s="63">
        <v>1000</v>
      </c>
      <c r="EB18" s="4"/>
      <c r="EG18" s="63">
        <v>1000</v>
      </c>
      <c r="FB18" s="4"/>
      <c r="FG18" s="63">
        <v>1000</v>
      </c>
      <c r="GB18" s="4"/>
      <c r="GG18" s="63">
        <v>1000</v>
      </c>
      <c r="HB18" s="4"/>
      <c r="HG18" s="63">
        <v>1000</v>
      </c>
      <c r="IB18" s="4"/>
      <c r="IG18" s="63">
        <v>1000</v>
      </c>
      <c r="JB18" s="4"/>
      <c r="JG18" s="63">
        <v>1000</v>
      </c>
      <c r="KB18" s="4"/>
      <c r="KG18" s="63">
        <v>1000</v>
      </c>
      <c r="LB18" s="4"/>
      <c r="LG18" s="63">
        <v>1000</v>
      </c>
      <c r="MB18" s="4"/>
      <c r="MG18" s="63">
        <v>1000</v>
      </c>
      <c r="NB18" s="4"/>
      <c r="NG18" s="63">
        <v>1000</v>
      </c>
      <c r="OB18" s="4"/>
      <c r="OG18" s="63">
        <v>1000</v>
      </c>
    </row>
    <row r="19" spans="1:397" ht="17" hidden="1" x14ac:dyDescent="0.2">
      <c r="A19" s="5"/>
      <c r="B19" s="30" t="s">
        <v>26</v>
      </c>
      <c r="C19" s="22"/>
      <c r="O19" s="11"/>
      <c r="P19" s="11"/>
      <c r="Q19" s="11"/>
      <c r="AI19" s="4"/>
      <c r="AM19" s="64">
        <v>1000</v>
      </c>
      <c r="BE19" s="4"/>
      <c r="BI19" s="64">
        <v>1000</v>
      </c>
      <c r="CA19" s="4"/>
      <c r="CE19" s="64">
        <v>1000</v>
      </c>
      <c r="DB19" s="4"/>
      <c r="DG19" s="64">
        <v>1000</v>
      </c>
      <c r="EB19" s="4"/>
      <c r="EG19" s="64">
        <v>1000</v>
      </c>
      <c r="FB19" s="4"/>
      <c r="FG19" s="64">
        <v>1000</v>
      </c>
      <c r="GB19" s="4"/>
      <c r="GG19" s="64">
        <v>1000</v>
      </c>
      <c r="HB19" s="4"/>
      <c r="HG19" s="64">
        <v>1000</v>
      </c>
      <c r="IB19" s="4"/>
      <c r="IG19" s="64">
        <v>1000</v>
      </c>
      <c r="JB19" s="4"/>
      <c r="JG19" s="64">
        <v>1000</v>
      </c>
      <c r="KB19" s="4"/>
      <c r="KG19" s="64">
        <v>1000</v>
      </c>
      <c r="LB19" s="4"/>
      <c r="LG19" s="64">
        <v>1000</v>
      </c>
      <c r="MB19" s="4"/>
      <c r="MG19" s="64">
        <v>1000</v>
      </c>
      <c r="NB19" s="4"/>
      <c r="NG19" s="64">
        <v>1000</v>
      </c>
      <c r="OB19" s="4"/>
      <c r="OG19" s="64">
        <v>1000</v>
      </c>
    </row>
    <row r="20" spans="1:397" x14ac:dyDescent="0.2">
      <c r="B20" s="34" t="s">
        <v>45</v>
      </c>
      <c r="C20" s="2"/>
    </row>
    <row r="21" spans="1:397" x14ac:dyDescent="0.2">
      <c r="A21" s="5"/>
      <c r="B21" s="5"/>
      <c r="C21" s="22"/>
    </row>
    <row r="22" spans="1:397" x14ac:dyDescent="0.2">
      <c r="A22" s="5"/>
      <c r="B22" s="5"/>
      <c r="C22" s="22"/>
    </row>
    <row r="23" spans="1:397" x14ac:dyDescent="0.2">
      <c r="A23" s="5"/>
      <c r="B23" s="5"/>
      <c r="C23" s="22"/>
    </row>
    <row r="24" spans="1:397" x14ac:dyDescent="0.2">
      <c r="A24" s="5"/>
      <c r="B24" s="5"/>
      <c r="C24" s="5"/>
    </row>
  </sheetData>
  <sheetProtection sheet="1" formatCells="0" formatColumns="0" formatRows="0"/>
  <autoFilter ref="A1:PC3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3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sortState xmlns:xlrd2="http://schemas.microsoft.com/office/spreadsheetml/2017/richdata2" ref="A6:PC9">
      <sortCondition descending="1" ref="F1:F10"/>
    </sortState>
  </autoFilter>
  <mergeCells count="110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H1:OG1"/>
    <mergeCell ref="OH1:PC1"/>
    <mergeCell ref="R2:U2"/>
    <mergeCell ref="V2:Y2"/>
    <mergeCell ref="Z2:AC2"/>
    <mergeCell ref="AD2:AG2"/>
    <mergeCell ref="EH1:FG1"/>
    <mergeCell ref="FH1:GG1"/>
    <mergeCell ref="GH1:HG1"/>
    <mergeCell ref="HH1:IG1"/>
    <mergeCell ref="IH1:JG1"/>
    <mergeCell ref="JH1:KG1"/>
    <mergeCell ref="R1:AM1"/>
    <mergeCell ref="AN1:BI1"/>
    <mergeCell ref="BJ1:CE1"/>
    <mergeCell ref="CF1:CG1"/>
    <mergeCell ref="CH1:DG1"/>
    <mergeCell ref="DH1:EG1"/>
    <mergeCell ref="AN2:AQ2"/>
    <mergeCell ref="AR2:AU2"/>
    <mergeCell ref="AV2:AY2"/>
    <mergeCell ref="AZ2:BC2"/>
    <mergeCell ref="BJ2:BM2"/>
    <mergeCell ref="KH1:LG1"/>
    <mergeCell ref="LH1:MG1"/>
    <mergeCell ref="MH1:NG1"/>
    <mergeCell ref="CP2:CS2"/>
    <mergeCell ref="CT2:CW2"/>
    <mergeCell ref="CX2:DA2"/>
    <mergeCell ref="DH2:DK2"/>
    <mergeCell ref="DL2:DO2"/>
    <mergeCell ref="DP2:DS2"/>
    <mergeCell ref="BN2:BQ2"/>
    <mergeCell ref="BR2:BU2"/>
    <mergeCell ref="BV2:BY2"/>
    <mergeCell ref="CH2:CK2"/>
    <mergeCell ref="CL2:CO2"/>
    <mergeCell ref="EX2:FA2"/>
    <mergeCell ref="FH2:FK2"/>
    <mergeCell ref="FL2:FO2"/>
    <mergeCell ref="FP2:FS2"/>
    <mergeCell ref="FT2:FW2"/>
    <mergeCell ref="FX2:GA2"/>
    <mergeCell ref="DT2:DW2"/>
    <mergeCell ref="DX2:EA2"/>
    <mergeCell ref="EH2:EK2"/>
    <mergeCell ref="EL2:EO2"/>
    <mergeCell ref="EP2:ES2"/>
    <mergeCell ref="IP2:IS2"/>
    <mergeCell ref="IT2:IW2"/>
    <mergeCell ref="IX2:JA2"/>
    <mergeCell ref="JH2:JK2"/>
    <mergeCell ref="JL2:JO2"/>
    <mergeCell ref="JP2:JS2"/>
    <mergeCell ref="ET2:EW2"/>
    <mergeCell ref="HL2:HO2"/>
    <mergeCell ref="HP2:HS2"/>
    <mergeCell ref="HT2:HW2"/>
    <mergeCell ref="HX2:IA2"/>
    <mergeCell ref="IH2:IK2"/>
    <mergeCell ref="IL2:IO2"/>
    <mergeCell ref="GH2:GK2"/>
    <mergeCell ref="GL2:GO2"/>
    <mergeCell ref="GP2:GS2"/>
    <mergeCell ref="GT2:GW2"/>
    <mergeCell ref="GX2:HA2"/>
    <mergeCell ref="HH2:HK2"/>
    <mergeCell ref="KX2:LA2"/>
    <mergeCell ref="LH2:LK2"/>
    <mergeCell ref="LL2:LO2"/>
    <mergeCell ref="LP2:LS2"/>
    <mergeCell ref="LT2:LW2"/>
    <mergeCell ref="LX2:MA2"/>
    <mergeCell ref="JT2:JW2"/>
    <mergeCell ref="JX2:KA2"/>
    <mergeCell ref="KH2:KK2"/>
    <mergeCell ref="KL2:KO2"/>
    <mergeCell ref="KP2:KS2"/>
    <mergeCell ref="KT2:KW2"/>
    <mergeCell ref="OP2:OS2"/>
    <mergeCell ref="OT2:OW2"/>
    <mergeCell ref="NL2:NO2"/>
    <mergeCell ref="NP2:NS2"/>
    <mergeCell ref="NT2:NW2"/>
    <mergeCell ref="NX2:OA2"/>
    <mergeCell ref="OH2:OK2"/>
    <mergeCell ref="OL2:OO2"/>
    <mergeCell ref="MH2:MK2"/>
    <mergeCell ref="ML2:MO2"/>
    <mergeCell ref="MP2:MS2"/>
    <mergeCell ref="MT2:MW2"/>
    <mergeCell ref="MX2:NA2"/>
    <mergeCell ref="NH2:NK2"/>
  </mergeCells>
  <conditionalFormatting sqref="A4:A1048576">
    <cfRule type="expression" dxfId="110" priority="1">
      <formula>AND(G4&lt;&gt;"",F4="")</formula>
    </cfRule>
    <cfRule type="expression" dxfId="109" priority="21">
      <formula>IF(A4&gt;4,1,0)</formula>
    </cfRule>
  </conditionalFormatting>
  <conditionalFormatting sqref="H1:H1048576">
    <cfRule type="containsText" dxfId="108" priority="13" operator="containsText" text="No DD">
      <formula>NOT(ISERROR(SEARCH("No DD",H1)))</formula>
    </cfRule>
    <cfRule type="containsText" dxfId="107" priority="14" operator="containsText" text="Merit">
      <formula>NOT(ISERROR(SEARCH("Merit",H1)))</formula>
    </cfRule>
    <cfRule type="containsText" dxfId="106" priority="15" operator="containsText" text="Excellence">
      <formula>NOT(ISERROR(SEARCH("Excellence",H1)))</formula>
    </cfRule>
    <cfRule type="containsText" dxfId="105" priority="16" operator="containsText" text="Worlds Team">
      <formula>NOT(ISERROR(SEARCH("Worlds Team",H1)))</formula>
    </cfRule>
    <cfRule type="containsText" dxfId="104" priority="17" operator="containsText" text="National Team">
      <formula>NOT(ISERROR(SEARCH("National Team",H1)))</formula>
    </cfRule>
  </conditionalFormatting>
  <conditionalFormatting sqref="OB1:OB1048576 DB1:DB1048576 EB1:EB1048576 FB1:FB1048576 GB1:GB1048576 HB1:HB1048576 IB1:IB1048576 JB1:JB1048576 KB1:KB1048576 LB1:LB1048576 MB1:MB1048576 NB1:NB1048576">
    <cfRule type="cellIs" dxfId="103" priority="63183" operator="between">
      <formula>DG$15</formula>
      <formula>1000</formula>
    </cfRule>
    <cfRule type="cellIs" dxfId="102" priority="63184" operator="between">
      <formula>DG$14</formula>
      <formula>DG$15</formula>
    </cfRule>
    <cfRule type="cellIs" dxfId="101" priority="63185" operator="between">
      <formula>DG$13</formula>
      <formula>DG$14</formula>
    </cfRule>
    <cfRule type="cellIs" dxfId="100" priority="63186" operator="between">
      <formula>DG$12</formula>
      <formula>DG$13</formula>
    </cfRule>
  </conditionalFormatting>
  <conditionalFormatting sqref="OC1:OC1048576 DC1:DC1048576 EC1:EC1048576 FC1:FC1048576 GC1:GC1048576 HC1:HC1048576 IC1:IC1048576 JC1:JC1048576 KC1:KC1048576 LC1:LC1048576 MC1:MC1048576 NC1:NC1048576">
    <cfRule type="cellIs" dxfId="99" priority="63363" operator="between">
      <formula>DG$19</formula>
      <formula>1000</formula>
    </cfRule>
    <cfRule type="cellIs" dxfId="98" priority="63364" operator="between">
      <formula>DG$18</formula>
      <formula>DG$19</formula>
    </cfRule>
    <cfRule type="cellIs" dxfId="97" priority="63365" operator="between">
      <formula>DG$17</formula>
      <formula>DG$18</formula>
    </cfRule>
    <cfRule type="cellIs" dxfId="96" priority="63366" operator="between">
      <formula>DG$16</formula>
      <formula>DG$17</formula>
    </cfRule>
  </conditionalFormatting>
  <conditionalFormatting sqref="AK1:AK1048576 BG1:BG1048576 CC1:CC1048576 DE1:DE1048576 EE1:EE1048576 FE1:FE1048576 GE1:GE1048576 HE1:HE1048576 IE1:IE1048576 JE1:JE1048576 KE1:KE1048576 LE1:LE1048576 ME1:ME1048576 NE1:NE1048576 OE1:OE1048576">
    <cfRule type="cellIs" dxfId="95" priority="63543" operator="between">
      <formula>AM$12</formula>
      <formula>AM$13</formula>
    </cfRule>
    <cfRule type="cellIs" dxfId="94" priority="63544" operator="between">
      <formula>AM$13</formula>
      <formula>AM$14</formula>
    </cfRule>
    <cfRule type="cellIs" dxfId="93" priority="63545" operator="between">
      <formula>AM$14</formula>
      <formula>AM$15</formula>
    </cfRule>
    <cfRule type="cellIs" dxfId="92" priority="63546" operator="between">
      <formula>AM$15</formula>
      <formula>1000</formula>
    </cfRule>
  </conditionalFormatting>
  <conditionalFormatting sqref="AL1:AL1048576 BH1:BH1048576 CD1:CD1048576 DF1:DF1048576 EF1:EF1048576 FF1:FF1048576 GF1:GF1048576 HF1:HF1048576 IF1:IF1048576 JF1:JF1048576 KF1:KF1048576 LF1:LF1048576 MF1:MF1048576 NF1:NF1048576 OF1:OF1048576">
    <cfRule type="cellIs" dxfId="91" priority="63723" operator="between">
      <formula>AM$16</formula>
      <formula>AM$17</formula>
    </cfRule>
    <cfRule type="cellIs" dxfId="90" priority="63724" operator="between">
      <formula>AM$17</formula>
      <formula>AM$18</formula>
    </cfRule>
    <cfRule type="cellIs" dxfId="89" priority="63725" operator="between">
      <formula>AM$18</formula>
      <formula>AM$19</formula>
    </cfRule>
    <cfRule type="cellIs" dxfId="88" priority="63726" operator="between">
      <formula>AM$19</formula>
      <formula>1000</formula>
    </cfRule>
  </conditionalFormatting>
  <conditionalFormatting sqref="R4:AM9">
    <cfRule type="expression" dxfId="87" priority="70396" stopIfTrue="1">
      <formula>IF($AH4&lt;&gt;"",1,0)</formula>
    </cfRule>
  </conditionalFormatting>
  <conditionalFormatting sqref="AI1:AI1048576 BE1:BE1048576 CA1:CA1048576">
    <cfRule type="cellIs" dxfId="86" priority="70401" operator="between">
      <formula>AM$15</formula>
      <formula>1000</formula>
    </cfRule>
    <cfRule type="cellIs" dxfId="85" priority="70402" operator="between">
      <formula>AM$14</formula>
      <formula>AM$15</formula>
    </cfRule>
    <cfRule type="cellIs" dxfId="84" priority="70403" operator="between">
      <formula>AM$13</formula>
      <formula>AM$14</formula>
    </cfRule>
    <cfRule type="cellIs" dxfId="83" priority="70404" operator="between">
      <formula>AM$12</formula>
      <formula>AM$13</formula>
    </cfRule>
  </conditionalFormatting>
  <conditionalFormatting sqref="AJ1:AJ1048576 BF1:BF1048576 CB1:CB1048576">
    <cfRule type="cellIs" dxfId="82" priority="70405" operator="between">
      <formula>AM$19</formula>
      <formula>1000</formula>
    </cfRule>
    <cfRule type="cellIs" dxfId="81" priority="70406" operator="between">
      <formula>AM$18</formula>
      <formula>AM$19</formula>
    </cfRule>
    <cfRule type="cellIs" dxfId="80" priority="70407" operator="between">
      <formula>AM$17</formula>
      <formula>AM$18</formula>
    </cfRule>
    <cfRule type="cellIs" dxfId="79" priority="70408" operator="between">
      <formula>AM$16</formula>
      <formula>AM$17</formula>
    </cfRule>
  </conditionalFormatting>
  <conditionalFormatting sqref="AN4:BI9">
    <cfRule type="expression" dxfId="78" priority="70414" stopIfTrue="1">
      <formula>IF($BD4&lt;&gt;"",1,0)</formula>
    </cfRule>
  </conditionalFormatting>
  <conditionalFormatting sqref="J1:J1048576 N1:N1048576 L1:L1048576">
    <cfRule type="expression" dxfId="77" priority="70429">
      <formula>IF(J1=$BJ$1,1,0)</formula>
    </cfRule>
    <cfRule type="expression" dxfId="76" priority="70430">
      <formula>IF(J1=$AN$1,1,0)</formula>
    </cfRule>
    <cfRule type="expression" dxfId="75" priority="70431">
      <formula>IF(J1=$R$1,1,0)</formula>
    </cfRule>
  </conditionalFormatting>
  <conditionalFormatting sqref="BJ4:CE9">
    <cfRule type="expression" dxfId="74" priority="70432" stopIfTrue="1">
      <formula>IF($BZ4&lt;&gt;"",1,0)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81935-3E78-E34D-9EE7-56EB07CD630F}">
  <sheetPr codeName="Sheet13"/>
  <dimension ref="A1:PC3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3.33203125" bestFit="1" customWidth="1"/>
    <col min="18" max="34" width="10.83203125" hidden="1" customWidth="1"/>
    <col min="35" max="39" width="10.83203125" style="47" customWidth="1"/>
    <col min="40" max="56" width="10.83203125" hidden="1" customWidth="1"/>
    <col min="57" max="61" width="10.83203125" style="47" customWidth="1"/>
    <col min="62" max="78" width="10.83203125" hidden="1" customWidth="1"/>
    <col min="79" max="83" width="10.83203125" style="47" customWidth="1"/>
    <col min="84" max="85" width="10.83203125" style="47"/>
    <col min="86" max="105" width="10.83203125" hidden="1" customWidth="1"/>
    <col min="106" max="111" width="10.83203125" style="47" customWidth="1"/>
    <col min="112" max="131" width="10.83203125" hidden="1" customWidth="1"/>
    <col min="132" max="137" width="10.83203125" style="47" hidden="1" customWidth="1"/>
    <col min="138" max="157" width="10.83203125" hidden="1" customWidth="1"/>
    <col min="158" max="163" width="10.83203125" style="47" hidden="1" customWidth="1"/>
    <col min="164" max="183" width="10.83203125" hidden="1" customWidth="1"/>
    <col min="184" max="189" width="10.83203125" style="47" hidden="1" customWidth="1"/>
    <col min="190" max="209" width="10.83203125" hidden="1" customWidth="1"/>
    <col min="210" max="215" width="10.83203125" style="47" hidden="1" customWidth="1"/>
    <col min="216" max="235" width="10.83203125" hidden="1" customWidth="1"/>
    <col min="236" max="241" width="10.83203125" style="47" hidden="1" customWidth="1"/>
    <col min="242" max="261" width="10.83203125" hidden="1" customWidth="1"/>
    <col min="262" max="267" width="10.83203125" style="47" hidden="1" customWidth="1"/>
    <col min="268" max="287" width="10.83203125" hidden="1" customWidth="1"/>
    <col min="288" max="293" width="10.83203125" style="47" hidden="1" customWidth="1"/>
    <col min="294" max="313" width="10.83203125" hidden="1" customWidth="1"/>
    <col min="314" max="319" width="10.83203125" style="47" hidden="1" customWidth="1"/>
    <col min="320" max="339" width="10.83203125" hidden="1" customWidth="1"/>
    <col min="340" max="345" width="10.83203125" style="47" hidden="1" customWidth="1"/>
    <col min="346" max="365" width="10.83203125" hidden="1" customWidth="1"/>
    <col min="366" max="371" width="10.83203125" style="47" hidden="1" customWidth="1"/>
    <col min="372" max="391" width="10.83203125" hidden="1" customWidth="1"/>
    <col min="392" max="397" width="10.83203125" style="47" hidden="1" customWidth="1"/>
    <col min="398" max="414" width="10.83203125" hidden="1" customWidth="1"/>
    <col min="415" max="419" width="10.83203125" style="47" hidden="1" customWidth="1"/>
  </cols>
  <sheetData>
    <row r="1" spans="1:41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65</v>
      </c>
      <c r="J1" s="75" t="s">
        <v>24</v>
      </c>
      <c r="K1" s="81" t="s">
        <v>66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80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2" t="s">
        <v>100</v>
      </c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1" t="s">
        <v>119</v>
      </c>
      <c r="BK1" s="71"/>
      <c r="BL1" s="71"/>
      <c r="BM1" s="71"/>
      <c r="BN1" s="71"/>
      <c r="BO1" s="71"/>
      <c r="BP1" s="7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3" t="s">
        <v>51</v>
      </c>
      <c r="CG1" s="73"/>
      <c r="CH1" s="71" t="s">
        <v>121</v>
      </c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1"/>
      <c r="EI1" s="71"/>
      <c r="EJ1" s="71"/>
      <c r="EK1" s="71"/>
      <c r="EL1" s="71"/>
      <c r="EM1" s="71"/>
      <c r="EN1" s="71"/>
      <c r="EO1" s="71"/>
      <c r="EP1" s="71"/>
      <c r="EQ1" s="71"/>
      <c r="ER1" s="71"/>
      <c r="ES1" s="71"/>
      <c r="ET1" s="71"/>
      <c r="EU1" s="71"/>
      <c r="EV1" s="71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1"/>
      <c r="GI1" s="71"/>
      <c r="GJ1" s="71"/>
      <c r="GK1" s="71"/>
      <c r="GL1" s="71"/>
      <c r="GM1" s="71"/>
      <c r="GN1" s="71"/>
      <c r="GO1" s="71"/>
      <c r="GP1" s="71"/>
      <c r="GQ1" s="71"/>
      <c r="GR1" s="71"/>
      <c r="GS1" s="71"/>
      <c r="GT1" s="71"/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1"/>
      <c r="II1" s="71"/>
      <c r="IJ1" s="71"/>
      <c r="IK1" s="71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1" t="s">
        <v>55</v>
      </c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1"/>
      <c r="OY1" s="71"/>
      <c r="OZ1" s="71"/>
      <c r="PA1" s="71"/>
      <c r="PB1" s="71"/>
      <c r="PC1" s="71"/>
    </row>
    <row r="2" spans="1:41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67</v>
      </c>
      <c r="S2" s="69"/>
      <c r="T2" s="69"/>
      <c r="U2" s="69"/>
      <c r="V2" s="69" t="s">
        <v>68</v>
      </c>
      <c r="W2" s="69"/>
      <c r="X2" s="69"/>
      <c r="Y2" s="69"/>
      <c r="Z2" s="69" t="s">
        <v>70</v>
      </c>
      <c r="AA2" s="69"/>
      <c r="AB2" s="69"/>
      <c r="AC2" s="69"/>
      <c r="AD2" s="78" t="s">
        <v>71</v>
      </c>
      <c r="AE2" s="78"/>
      <c r="AF2" s="78"/>
      <c r="AG2" s="78"/>
      <c r="AH2" s="16"/>
      <c r="AI2" s="16" t="s">
        <v>120</v>
      </c>
      <c r="AJ2" s="16" t="s">
        <v>20</v>
      </c>
      <c r="AK2" s="16" t="s">
        <v>56</v>
      </c>
      <c r="AL2" s="16" t="s">
        <v>74</v>
      </c>
      <c r="AM2" s="16" t="s">
        <v>14</v>
      </c>
      <c r="AN2" s="70" t="s">
        <v>67</v>
      </c>
      <c r="AO2" s="70"/>
      <c r="AP2" s="70"/>
      <c r="AQ2" s="70"/>
      <c r="AR2" s="70" t="s">
        <v>68</v>
      </c>
      <c r="AS2" s="70"/>
      <c r="AT2" s="70"/>
      <c r="AU2" s="70"/>
      <c r="AV2" s="70" t="s">
        <v>70</v>
      </c>
      <c r="AW2" s="70"/>
      <c r="AX2" s="70"/>
      <c r="AY2" s="70"/>
      <c r="AZ2" s="79" t="s">
        <v>71</v>
      </c>
      <c r="BA2" s="79"/>
      <c r="BB2" s="79"/>
      <c r="BC2" s="79"/>
      <c r="BD2" s="17"/>
      <c r="BE2" s="17" t="s">
        <v>120</v>
      </c>
      <c r="BF2" s="17" t="s">
        <v>20</v>
      </c>
      <c r="BG2" s="17" t="s">
        <v>56</v>
      </c>
      <c r="BH2" s="17" t="s">
        <v>74</v>
      </c>
      <c r="BI2" s="17" t="s">
        <v>14</v>
      </c>
      <c r="BJ2" s="69" t="s">
        <v>67</v>
      </c>
      <c r="BK2" s="69"/>
      <c r="BL2" s="69"/>
      <c r="BM2" s="69"/>
      <c r="BN2" s="69" t="s">
        <v>68</v>
      </c>
      <c r="BO2" s="69"/>
      <c r="BP2" s="69"/>
      <c r="BQ2" s="69"/>
      <c r="BR2" s="69" t="s">
        <v>70</v>
      </c>
      <c r="BS2" s="69"/>
      <c r="BT2" s="69"/>
      <c r="BU2" s="69"/>
      <c r="BV2" s="78" t="s">
        <v>71</v>
      </c>
      <c r="BW2" s="78"/>
      <c r="BX2" s="78"/>
      <c r="BY2" s="78"/>
      <c r="BZ2" s="16"/>
      <c r="CA2" s="16" t="s">
        <v>120</v>
      </c>
      <c r="CB2" s="16" t="s">
        <v>20</v>
      </c>
      <c r="CC2" s="16" t="s">
        <v>56</v>
      </c>
      <c r="CD2" s="16" t="s">
        <v>74</v>
      </c>
      <c r="CE2" s="16" t="s">
        <v>14</v>
      </c>
      <c r="CF2" s="54" t="s">
        <v>73</v>
      </c>
      <c r="CG2" s="54" t="s">
        <v>19</v>
      </c>
      <c r="CH2" s="69" t="s">
        <v>67</v>
      </c>
      <c r="CI2" s="69"/>
      <c r="CJ2" s="69"/>
      <c r="CK2" s="69"/>
      <c r="CL2" s="69" t="s">
        <v>68</v>
      </c>
      <c r="CM2" s="69"/>
      <c r="CN2" s="69"/>
      <c r="CO2" s="69"/>
      <c r="CP2" s="69" t="s">
        <v>69</v>
      </c>
      <c r="CQ2" s="69"/>
      <c r="CR2" s="69"/>
      <c r="CS2" s="69"/>
      <c r="CT2" s="69" t="s">
        <v>70</v>
      </c>
      <c r="CU2" s="69"/>
      <c r="CV2" s="69"/>
      <c r="CW2" s="69"/>
      <c r="CX2" s="80" t="s">
        <v>71</v>
      </c>
      <c r="CY2" s="80"/>
      <c r="CZ2" s="80"/>
      <c r="DA2" s="80"/>
      <c r="DB2" s="16" t="s">
        <v>72</v>
      </c>
      <c r="DC2" s="16" t="s">
        <v>73</v>
      </c>
      <c r="DD2" s="16" t="s">
        <v>69</v>
      </c>
      <c r="DE2" s="16" t="s">
        <v>56</v>
      </c>
      <c r="DF2" s="16" t="s">
        <v>74</v>
      </c>
      <c r="DG2" s="16" t="s">
        <v>14</v>
      </c>
      <c r="DH2" s="70" t="s">
        <v>67</v>
      </c>
      <c r="DI2" s="70"/>
      <c r="DJ2" s="70"/>
      <c r="DK2" s="70"/>
      <c r="DL2" s="70" t="s">
        <v>68</v>
      </c>
      <c r="DM2" s="70"/>
      <c r="DN2" s="70"/>
      <c r="DO2" s="70"/>
      <c r="DP2" s="70" t="s">
        <v>69</v>
      </c>
      <c r="DQ2" s="70"/>
      <c r="DR2" s="70"/>
      <c r="DS2" s="70"/>
      <c r="DT2" s="70" t="s">
        <v>70</v>
      </c>
      <c r="DU2" s="70"/>
      <c r="DV2" s="70"/>
      <c r="DW2" s="70"/>
      <c r="DX2" s="79" t="s">
        <v>71</v>
      </c>
      <c r="DY2" s="79"/>
      <c r="DZ2" s="79"/>
      <c r="EA2" s="79"/>
      <c r="EB2" s="17" t="s">
        <v>72</v>
      </c>
      <c r="EC2" s="17" t="s">
        <v>73</v>
      </c>
      <c r="ED2" s="17" t="s">
        <v>69</v>
      </c>
      <c r="EE2" s="17" t="s">
        <v>56</v>
      </c>
      <c r="EF2" s="17" t="s">
        <v>74</v>
      </c>
      <c r="EG2" s="17" t="s">
        <v>14</v>
      </c>
      <c r="EH2" s="69" t="s">
        <v>67</v>
      </c>
      <c r="EI2" s="69"/>
      <c r="EJ2" s="69"/>
      <c r="EK2" s="69"/>
      <c r="EL2" s="69" t="s">
        <v>68</v>
      </c>
      <c r="EM2" s="69"/>
      <c r="EN2" s="69"/>
      <c r="EO2" s="69"/>
      <c r="EP2" s="69" t="s">
        <v>69</v>
      </c>
      <c r="EQ2" s="69"/>
      <c r="ER2" s="69"/>
      <c r="ES2" s="69"/>
      <c r="ET2" s="69" t="s">
        <v>70</v>
      </c>
      <c r="EU2" s="69"/>
      <c r="EV2" s="69"/>
      <c r="EW2" s="69"/>
      <c r="EX2" s="80" t="s">
        <v>71</v>
      </c>
      <c r="EY2" s="80"/>
      <c r="EZ2" s="80"/>
      <c r="FA2" s="80"/>
      <c r="FB2" s="16" t="s">
        <v>72</v>
      </c>
      <c r="FC2" s="16" t="s">
        <v>73</v>
      </c>
      <c r="FD2" s="16" t="s">
        <v>69</v>
      </c>
      <c r="FE2" s="16" t="s">
        <v>56</v>
      </c>
      <c r="FF2" s="16" t="s">
        <v>74</v>
      </c>
      <c r="FG2" s="16" t="s">
        <v>14</v>
      </c>
      <c r="FH2" s="70" t="s">
        <v>67</v>
      </c>
      <c r="FI2" s="70"/>
      <c r="FJ2" s="70"/>
      <c r="FK2" s="70"/>
      <c r="FL2" s="70" t="s">
        <v>68</v>
      </c>
      <c r="FM2" s="70"/>
      <c r="FN2" s="70"/>
      <c r="FO2" s="70"/>
      <c r="FP2" s="70" t="s">
        <v>69</v>
      </c>
      <c r="FQ2" s="70"/>
      <c r="FR2" s="70"/>
      <c r="FS2" s="70"/>
      <c r="FT2" s="70" t="s">
        <v>70</v>
      </c>
      <c r="FU2" s="70"/>
      <c r="FV2" s="70"/>
      <c r="FW2" s="70"/>
      <c r="FX2" s="79" t="s">
        <v>71</v>
      </c>
      <c r="FY2" s="79"/>
      <c r="FZ2" s="79"/>
      <c r="GA2" s="79"/>
      <c r="GB2" s="17" t="s">
        <v>72</v>
      </c>
      <c r="GC2" s="17" t="s">
        <v>73</v>
      </c>
      <c r="GD2" s="17" t="s">
        <v>69</v>
      </c>
      <c r="GE2" s="17" t="s">
        <v>56</v>
      </c>
      <c r="GF2" s="17" t="s">
        <v>74</v>
      </c>
      <c r="GG2" s="17" t="s">
        <v>14</v>
      </c>
      <c r="GH2" s="69" t="s">
        <v>67</v>
      </c>
      <c r="GI2" s="69"/>
      <c r="GJ2" s="69"/>
      <c r="GK2" s="69"/>
      <c r="GL2" s="69" t="s">
        <v>68</v>
      </c>
      <c r="GM2" s="69"/>
      <c r="GN2" s="69"/>
      <c r="GO2" s="69"/>
      <c r="GP2" s="69" t="s">
        <v>69</v>
      </c>
      <c r="GQ2" s="69"/>
      <c r="GR2" s="69"/>
      <c r="GS2" s="69"/>
      <c r="GT2" s="69" t="s">
        <v>70</v>
      </c>
      <c r="GU2" s="69"/>
      <c r="GV2" s="69"/>
      <c r="GW2" s="69"/>
      <c r="GX2" s="80" t="s">
        <v>71</v>
      </c>
      <c r="GY2" s="80"/>
      <c r="GZ2" s="80"/>
      <c r="HA2" s="80"/>
      <c r="HB2" s="16" t="s">
        <v>72</v>
      </c>
      <c r="HC2" s="16" t="s">
        <v>73</v>
      </c>
      <c r="HD2" s="16" t="s">
        <v>69</v>
      </c>
      <c r="HE2" s="16" t="s">
        <v>56</v>
      </c>
      <c r="HF2" s="16" t="s">
        <v>74</v>
      </c>
      <c r="HG2" s="16" t="s">
        <v>14</v>
      </c>
      <c r="HH2" s="70" t="s">
        <v>67</v>
      </c>
      <c r="HI2" s="70"/>
      <c r="HJ2" s="70"/>
      <c r="HK2" s="70"/>
      <c r="HL2" s="70" t="s">
        <v>68</v>
      </c>
      <c r="HM2" s="70"/>
      <c r="HN2" s="70"/>
      <c r="HO2" s="70"/>
      <c r="HP2" s="70" t="s">
        <v>69</v>
      </c>
      <c r="HQ2" s="70"/>
      <c r="HR2" s="70"/>
      <c r="HS2" s="70"/>
      <c r="HT2" s="70" t="s">
        <v>70</v>
      </c>
      <c r="HU2" s="70"/>
      <c r="HV2" s="70"/>
      <c r="HW2" s="70"/>
      <c r="HX2" s="79" t="s">
        <v>71</v>
      </c>
      <c r="HY2" s="79"/>
      <c r="HZ2" s="79"/>
      <c r="IA2" s="79"/>
      <c r="IB2" s="17" t="s">
        <v>72</v>
      </c>
      <c r="IC2" s="17" t="s">
        <v>73</v>
      </c>
      <c r="ID2" s="17" t="s">
        <v>69</v>
      </c>
      <c r="IE2" s="17" t="s">
        <v>56</v>
      </c>
      <c r="IF2" s="17" t="s">
        <v>74</v>
      </c>
      <c r="IG2" s="17" t="s">
        <v>14</v>
      </c>
      <c r="IH2" s="69" t="s">
        <v>67</v>
      </c>
      <c r="II2" s="69"/>
      <c r="IJ2" s="69"/>
      <c r="IK2" s="69"/>
      <c r="IL2" s="69" t="s">
        <v>68</v>
      </c>
      <c r="IM2" s="69"/>
      <c r="IN2" s="69"/>
      <c r="IO2" s="69"/>
      <c r="IP2" s="69" t="s">
        <v>69</v>
      </c>
      <c r="IQ2" s="69"/>
      <c r="IR2" s="69"/>
      <c r="IS2" s="69"/>
      <c r="IT2" s="69" t="s">
        <v>70</v>
      </c>
      <c r="IU2" s="69"/>
      <c r="IV2" s="69"/>
      <c r="IW2" s="69"/>
      <c r="IX2" s="80" t="s">
        <v>71</v>
      </c>
      <c r="IY2" s="80"/>
      <c r="IZ2" s="80"/>
      <c r="JA2" s="80"/>
      <c r="JB2" s="16" t="s">
        <v>72</v>
      </c>
      <c r="JC2" s="16" t="s">
        <v>73</v>
      </c>
      <c r="JD2" s="16" t="s">
        <v>69</v>
      </c>
      <c r="JE2" s="16" t="s">
        <v>56</v>
      </c>
      <c r="JF2" s="16" t="s">
        <v>74</v>
      </c>
      <c r="JG2" s="16" t="s">
        <v>14</v>
      </c>
      <c r="JH2" s="70" t="s">
        <v>67</v>
      </c>
      <c r="JI2" s="70"/>
      <c r="JJ2" s="70"/>
      <c r="JK2" s="70"/>
      <c r="JL2" s="70" t="s">
        <v>68</v>
      </c>
      <c r="JM2" s="70"/>
      <c r="JN2" s="70"/>
      <c r="JO2" s="70"/>
      <c r="JP2" s="70" t="s">
        <v>69</v>
      </c>
      <c r="JQ2" s="70"/>
      <c r="JR2" s="70"/>
      <c r="JS2" s="70"/>
      <c r="JT2" s="70" t="s">
        <v>70</v>
      </c>
      <c r="JU2" s="70"/>
      <c r="JV2" s="70"/>
      <c r="JW2" s="70"/>
      <c r="JX2" s="79" t="s">
        <v>71</v>
      </c>
      <c r="JY2" s="79"/>
      <c r="JZ2" s="79"/>
      <c r="KA2" s="79"/>
      <c r="KB2" s="17" t="s">
        <v>72</v>
      </c>
      <c r="KC2" s="17" t="s">
        <v>73</v>
      </c>
      <c r="KD2" s="17" t="s">
        <v>69</v>
      </c>
      <c r="KE2" s="17" t="s">
        <v>56</v>
      </c>
      <c r="KF2" s="17" t="s">
        <v>74</v>
      </c>
      <c r="KG2" s="17" t="s">
        <v>14</v>
      </c>
      <c r="KH2" s="69" t="s">
        <v>67</v>
      </c>
      <c r="KI2" s="69"/>
      <c r="KJ2" s="69"/>
      <c r="KK2" s="69"/>
      <c r="KL2" s="69" t="s">
        <v>68</v>
      </c>
      <c r="KM2" s="69"/>
      <c r="KN2" s="69"/>
      <c r="KO2" s="69"/>
      <c r="KP2" s="69" t="s">
        <v>69</v>
      </c>
      <c r="KQ2" s="69"/>
      <c r="KR2" s="69"/>
      <c r="KS2" s="69"/>
      <c r="KT2" s="69" t="s">
        <v>70</v>
      </c>
      <c r="KU2" s="69"/>
      <c r="KV2" s="69"/>
      <c r="KW2" s="69"/>
      <c r="KX2" s="80" t="s">
        <v>71</v>
      </c>
      <c r="KY2" s="80"/>
      <c r="KZ2" s="80"/>
      <c r="LA2" s="80"/>
      <c r="LB2" s="16" t="s">
        <v>72</v>
      </c>
      <c r="LC2" s="16" t="s">
        <v>73</v>
      </c>
      <c r="LD2" s="16" t="s">
        <v>69</v>
      </c>
      <c r="LE2" s="16" t="s">
        <v>56</v>
      </c>
      <c r="LF2" s="16" t="s">
        <v>74</v>
      </c>
      <c r="LG2" s="16" t="s">
        <v>14</v>
      </c>
      <c r="LH2" s="70" t="s">
        <v>67</v>
      </c>
      <c r="LI2" s="70"/>
      <c r="LJ2" s="70"/>
      <c r="LK2" s="70"/>
      <c r="LL2" s="70" t="s">
        <v>68</v>
      </c>
      <c r="LM2" s="70"/>
      <c r="LN2" s="70"/>
      <c r="LO2" s="70"/>
      <c r="LP2" s="70" t="s">
        <v>69</v>
      </c>
      <c r="LQ2" s="70"/>
      <c r="LR2" s="70"/>
      <c r="LS2" s="70"/>
      <c r="LT2" s="70" t="s">
        <v>70</v>
      </c>
      <c r="LU2" s="70"/>
      <c r="LV2" s="70"/>
      <c r="LW2" s="70"/>
      <c r="LX2" s="79" t="s">
        <v>71</v>
      </c>
      <c r="LY2" s="79"/>
      <c r="LZ2" s="79"/>
      <c r="MA2" s="79"/>
      <c r="MB2" s="17" t="s">
        <v>72</v>
      </c>
      <c r="MC2" s="17" t="s">
        <v>73</v>
      </c>
      <c r="MD2" s="17" t="s">
        <v>69</v>
      </c>
      <c r="ME2" s="17" t="s">
        <v>56</v>
      </c>
      <c r="MF2" s="17" t="s">
        <v>74</v>
      </c>
      <c r="MG2" s="17" t="s">
        <v>14</v>
      </c>
      <c r="MH2" s="69" t="s">
        <v>67</v>
      </c>
      <c r="MI2" s="69"/>
      <c r="MJ2" s="69"/>
      <c r="MK2" s="69"/>
      <c r="ML2" s="69" t="s">
        <v>68</v>
      </c>
      <c r="MM2" s="69"/>
      <c r="MN2" s="69"/>
      <c r="MO2" s="69"/>
      <c r="MP2" s="69" t="s">
        <v>69</v>
      </c>
      <c r="MQ2" s="69"/>
      <c r="MR2" s="69"/>
      <c r="MS2" s="69"/>
      <c r="MT2" s="69" t="s">
        <v>70</v>
      </c>
      <c r="MU2" s="69"/>
      <c r="MV2" s="69"/>
      <c r="MW2" s="69"/>
      <c r="MX2" s="80" t="s">
        <v>71</v>
      </c>
      <c r="MY2" s="80"/>
      <c r="MZ2" s="80"/>
      <c r="NA2" s="80"/>
      <c r="NB2" s="16" t="s">
        <v>72</v>
      </c>
      <c r="NC2" s="16" t="s">
        <v>73</v>
      </c>
      <c r="ND2" s="16" t="s">
        <v>69</v>
      </c>
      <c r="NE2" s="16" t="s">
        <v>56</v>
      </c>
      <c r="NF2" s="16" t="s">
        <v>74</v>
      </c>
      <c r="NG2" s="16" t="s">
        <v>14</v>
      </c>
      <c r="NH2" s="70" t="s">
        <v>67</v>
      </c>
      <c r="NI2" s="70"/>
      <c r="NJ2" s="70"/>
      <c r="NK2" s="70"/>
      <c r="NL2" s="70" t="s">
        <v>68</v>
      </c>
      <c r="NM2" s="70"/>
      <c r="NN2" s="70"/>
      <c r="NO2" s="70"/>
      <c r="NP2" s="70" t="s">
        <v>69</v>
      </c>
      <c r="NQ2" s="70"/>
      <c r="NR2" s="70"/>
      <c r="NS2" s="70"/>
      <c r="NT2" s="70" t="s">
        <v>70</v>
      </c>
      <c r="NU2" s="70"/>
      <c r="NV2" s="70"/>
      <c r="NW2" s="70"/>
      <c r="NX2" s="79" t="s">
        <v>71</v>
      </c>
      <c r="NY2" s="79"/>
      <c r="NZ2" s="79"/>
      <c r="OA2" s="79"/>
      <c r="OB2" s="17" t="s">
        <v>72</v>
      </c>
      <c r="OC2" s="17" t="s">
        <v>73</v>
      </c>
      <c r="OD2" s="17" t="s">
        <v>69</v>
      </c>
      <c r="OE2" s="17" t="s">
        <v>56</v>
      </c>
      <c r="OF2" s="17" t="s">
        <v>74</v>
      </c>
      <c r="OG2" s="17" t="s">
        <v>14</v>
      </c>
      <c r="OH2" s="69" t="s">
        <v>67</v>
      </c>
      <c r="OI2" s="69"/>
      <c r="OJ2" s="69"/>
      <c r="OK2" s="69"/>
      <c r="OL2" s="69" t="s">
        <v>68</v>
      </c>
      <c r="OM2" s="69"/>
      <c r="ON2" s="69"/>
      <c r="OO2" s="69"/>
      <c r="OP2" s="69" t="s">
        <v>70</v>
      </c>
      <c r="OQ2" s="69"/>
      <c r="OR2" s="69"/>
      <c r="OS2" s="69"/>
      <c r="OT2" s="78" t="s">
        <v>71</v>
      </c>
      <c r="OU2" s="78"/>
      <c r="OV2" s="78"/>
      <c r="OW2" s="78"/>
      <c r="OX2" s="16"/>
      <c r="OY2" s="16" t="s">
        <v>120</v>
      </c>
      <c r="OZ2" s="16" t="s">
        <v>20</v>
      </c>
      <c r="PA2" s="16" t="s">
        <v>56</v>
      </c>
      <c r="PB2" s="16" t="s">
        <v>74</v>
      </c>
      <c r="PC2" s="16" t="s">
        <v>14</v>
      </c>
    </row>
    <row r="3" spans="1:41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51" t="s">
        <v>11</v>
      </c>
      <c r="AE3" s="51" t="s">
        <v>4</v>
      </c>
      <c r="AF3" s="51" t="s">
        <v>22</v>
      </c>
      <c r="AG3" s="51" t="s">
        <v>23</v>
      </c>
      <c r="AH3" s="16" t="s">
        <v>43</v>
      </c>
      <c r="AI3" s="16"/>
      <c r="AJ3" s="16"/>
      <c r="AK3" s="16"/>
      <c r="AL3" s="16"/>
      <c r="AM3" s="16"/>
      <c r="AN3" s="17" t="s">
        <v>11</v>
      </c>
      <c r="AO3" s="17" t="s">
        <v>4</v>
      </c>
      <c r="AP3" s="17" t="s">
        <v>22</v>
      </c>
      <c r="AQ3" s="17" t="s">
        <v>23</v>
      </c>
      <c r="AR3" s="17" t="s">
        <v>11</v>
      </c>
      <c r="AS3" s="17" t="s">
        <v>4</v>
      </c>
      <c r="AT3" s="17" t="s">
        <v>22</v>
      </c>
      <c r="AU3" s="17" t="s">
        <v>23</v>
      </c>
      <c r="AV3" s="17" t="s">
        <v>11</v>
      </c>
      <c r="AW3" s="17" t="s">
        <v>4</v>
      </c>
      <c r="AX3" s="17" t="s">
        <v>22</v>
      </c>
      <c r="AY3" s="17" t="s">
        <v>23</v>
      </c>
      <c r="AZ3" s="53" t="s">
        <v>11</v>
      </c>
      <c r="BA3" s="53" t="s">
        <v>4</v>
      </c>
      <c r="BB3" s="53" t="s">
        <v>22</v>
      </c>
      <c r="BC3" s="53" t="s">
        <v>23</v>
      </c>
      <c r="BD3" s="17" t="s">
        <v>43</v>
      </c>
      <c r="BE3" s="17"/>
      <c r="BF3" s="17"/>
      <c r="BG3" s="17"/>
      <c r="BH3" s="17"/>
      <c r="BI3" s="17"/>
      <c r="BJ3" s="16" t="s">
        <v>11</v>
      </c>
      <c r="BK3" s="16" t="s">
        <v>4</v>
      </c>
      <c r="BL3" s="16" t="s">
        <v>22</v>
      </c>
      <c r="BM3" s="16" t="s">
        <v>23</v>
      </c>
      <c r="BN3" s="16" t="s">
        <v>11</v>
      </c>
      <c r="BO3" s="16" t="s">
        <v>4</v>
      </c>
      <c r="BP3" s="16" t="s">
        <v>22</v>
      </c>
      <c r="BQ3" s="16" t="s">
        <v>23</v>
      </c>
      <c r="BR3" s="16" t="s">
        <v>11</v>
      </c>
      <c r="BS3" s="16" t="s">
        <v>4</v>
      </c>
      <c r="BT3" s="16" t="s">
        <v>22</v>
      </c>
      <c r="BU3" s="16" t="s">
        <v>23</v>
      </c>
      <c r="BV3" s="51" t="s">
        <v>11</v>
      </c>
      <c r="BW3" s="51" t="s">
        <v>4</v>
      </c>
      <c r="BX3" s="51" t="s">
        <v>22</v>
      </c>
      <c r="BY3" s="51" t="s">
        <v>23</v>
      </c>
      <c r="BZ3" s="16" t="s">
        <v>43</v>
      </c>
      <c r="CA3" s="16"/>
      <c r="CB3" s="16"/>
      <c r="CC3" s="16"/>
      <c r="CD3" s="16"/>
      <c r="CE3" s="16"/>
      <c r="CF3" s="54"/>
      <c r="CG3" s="54"/>
      <c r="CH3" s="16" t="s">
        <v>11</v>
      </c>
      <c r="CI3" s="16" t="s">
        <v>4</v>
      </c>
      <c r="CJ3" s="16" t="s">
        <v>22</v>
      </c>
      <c r="CK3" s="16" t="s">
        <v>23</v>
      </c>
      <c r="CL3" s="16" t="s">
        <v>11</v>
      </c>
      <c r="CM3" s="16" t="s">
        <v>4</v>
      </c>
      <c r="CN3" s="16" t="s">
        <v>22</v>
      </c>
      <c r="CO3" s="16" t="s">
        <v>23</v>
      </c>
      <c r="CP3" s="16" t="s">
        <v>11</v>
      </c>
      <c r="CQ3" s="16" t="s">
        <v>4</v>
      </c>
      <c r="CR3" s="16" t="s">
        <v>22</v>
      </c>
      <c r="CS3" s="16" t="s">
        <v>23</v>
      </c>
      <c r="CT3" s="16" t="s">
        <v>11</v>
      </c>
      <c r="CU3" s="16" t="s">
        <v>4</v>
      </c>
      <c r="CV3" s="16" t="s">
        <v>22</v>
      </c>
      <c r="CW3" s="16" t="s">
        <v>23</v>
      </c>
      <c r="CX3" s="52" t="s">
        <v>11</v>
      </c>
      <c r="CY3" s="52" t="s">
        <v>4</v>
      </c>
      <c r="CZ3" s="52" t="s">
        <v>22</v>
      </c>
      <c r="DA3" s="52" t="s">
        <v>23</v>
      </c>
      <c r="DB3" s="16"/>
      <c r="DC3" s="16"/>
      <c r="DD3" s="16"/>
      <c r="DE3" s="16"/>
      <c r="DF3" s="16"/>
      <c r="DG3" s="16"/>
      <c r="DH3" s="17" t="s">
        <v>11</v>
      </c>
      <c r="DI3" s="17" t="s">
        <v>4</v>
      </c>
      <c r="DJ3" s="17" t="s">
        <v>22</v>
      </c>
      <c r="DK3" s="17" t="s">
        <v>23</v>
      </c>
      <c r="DL3" s="17" t="s">
        <v>11</v>
      </c>
      <c r="DM3" s="17" t="s">
        <v>4</v>
      </c>
      <c r="DN3" s="17" t="s">
        <v>22</v>
      </c>
      <c r="DO3" s="17" t="s">
        <v>23</v>
      </c>
      <c r="DP3" s="17" t="s">
        <v>11</v>
      </c>
      <c r="DQ3" s="17" t="s">
        <v>4</v>
      </c>
      <c r="DR3" s="17" t="s">
        <v>22</v>
      </c>
      <c r="DS3" s="17" t="s">
        <v>23</v>
      </c>
      <c r="DT3" s="17" t="s">
        <v>11</v>
      </c>
      <c r="DU3" s="17" t="s">
        <v>4</v>
      </c>
      <c r="DV3" s="17" t="s">
        <v>22</v>
      </c>
      <c r="DW3" s="17" t="s">
        <v>23</v>
      </c>
      <c r="DX3" s="53" t="s">
        <v>11</v>
      </c>
      <c r="DY3" s="53" t="s">
        <v>4</v>
      </c>
      <c r="DZ3" s="53" t="s">
        <v>22</v>
      </c>
      <c r="EA3" s="53" t="s">
        <v>23</v>
      </c>
      <c r="EB3" s="17"/>
      <c r="EC3" s="17"/>
      <c r="ED3" s="17"/>
      <c r="EE3" s="17"/>
      <c r="EF3" s="17"/>
      <c r="EG3" s="17"/>
      <c r="EH3" s="16" t="s">
        <v>11</v>
      </c>
      <c r="EI3" s="16" t="s">
        <v>4</v>
      </c>
      <c r="EJ3" s="16" t="s">
        <v>22</v>
      </c>
      <c r="EK3" s="16" t="s">
        <v>23</v>
      </c>
      <c r="EL3" s="16" t="s">
        <v>11</v>
      </c>
      <c r="EM3" s="16" t="s">
        <v>4</v>
      </c>
      <c r="EN3" s="16" t="s">
        <v>22</v>
      </c>
      <c r="EO3" s="16" t="s">
        <v>23</v>
      </c>
      <c r="EP3" s="16" t="s">
        <v>11</v>
      </c>
      <c r="EQ3" s="16" t="s">
        <v>4</v>
      </c>
      <c r="ER3" s="16" t="s">
        <v>22</v>
      </c>
      <c r="ES3" s="16" t="s">
        <v>23</v>
      </c>
      <c r="ET3" s="16" t="s">
        <v>11</v>
      </c>
      <c r="EU3" s="16" t="s">
        <v>4</v>
      </c>
      <c r="EV3" s="16" t="s">
        <v>22</v>
      </c>
      <c r="EW3" s="16" t="s">
        <v>23</v>
      </c>
      <c r="EX3" s="52" t="s">
        <v>11</v>
      </c>
      <c r="EY3" s="52" t="s">
        <v>4</v>
      </c>
      <c r="EZ3" s="52" t="s">
        <v>22</v>
      </c>
      <c r="FA3" s="52" t="s">
        <v>23</v>
      </c>
      <c r="FB3" s="16"/>
      <c r="FC3" s="16"/>
      <c r="FD3" s="16"/>
      <c r="FE3" s="16"/>
      <c r="FF3" s="16"/>
      <c r="FG3" s="16"/>
      <c r="FH3" s="17" t="s">
        <v>11</v>
      </c>
      <c r="FI3" s="17" t="s">
        <v>4</v>
      </c>
      <c r="FJ3" s="17" t="s">
        <v>22</v>
      </c>
      <c r="FK3" s="17" t="s">
        <v>23</v>
      </c>
      <c r="FL3" s="17" t="s">
        <v>11</v>
      </c>
      <c r="FM3" s="17" t="s">
        <v>4</v>
      </c>
      <c r="FN3" s="17" t="s">
        <v>22</v>
      </c>
      <c r="FO3" s="17" t="s">
        <v>23</v>
      </c>
      <c r="FP3" s="17" t="s">
        <v>11</v>
      </c>
      <c r="FQ3" s="17" t="s">
        <v>4</v>
      </c>
      <c r="FR3" s="17" t="s">
        <v>22</v>
      </c>
      <c r="FS3" s="17" t="s">
        <v>23</v>
      </c>
      <c r="FT3" s="17" t="s">
        <v>11</v>
      </c>
      <c r="FU3" s="17" t="s">
        <v>4</v>
      </c>
      <c r="FV3" s="17" t="s">
        <v>22</v>
      </c>
      <c r="FW3" s="17" t="s">
        <v>23</v>
      </c>
      <c r="FX3" s="53" t="s">
        <v>11</v>
      </c>
      <c r="FY3" s="53" t="s">
        <v>4</v>
      </c>
      <c r="FZ3" s="53" t="s">
        <v>22</v>
      </c>
      <c r="GA3" s="53" t="s">
        <v>23</v>
      </c>
      <c r="GB3" s="17"/>
      <c r="GC3" s="17"/>
      <c r="GD3" s="17"/>
      <c r="GE3" s="17"/>
      <c r="GF3" s="17"/>
      <c r="GG3" s="17"/>
      <c r="GH3" s="16" t="s">
        <v>11</v>
      </c>
      <c r="GI3" s="16" t="s">
        <v>4</v>
      </c>
      <c r="GJ3" s="16" t="s">
        <v>22</v>
      </c>
      <c r="GK3" s="16" t="s">
        <v>23</v>
      </c>
      <c r="GL3" s="16" t="s">
        <v>11</v>
      </c>
      <c r="GM3" s="16" t="s">
        <v>4</v>
      </c>
      <c r="GN3" s="16" t="s">
        <v>22</v>
      </c>
      <c r="GO3" s="16" t="s">
        <v>23</v>
      </c>
      <c r="GP3" s="16" t="s">
        <v>11</v>
      </c>
      <c r="GQ3" s="16" t="s">
        <v>4</v>
      </c>
      <c r="GR3" s="16" t="s">
        <v>22</v>
      </c>
      <c r="GS3" s="16" t="s">
        <v>23</v>
      </c>
      <c r="GT3" s="16" t="s">
        <v>11</v>
      </c>
      <c r="GU3" s="16" t="s">
        <v>4</v>
      </c>
      <c r="GV3" s="16" t="s">
        <v>22</v>
      </c>
      <c r="GW3" s="16" t="s">
        <v>23</v>
      </c>
      <c r="GX3" s="52" t="s">
        <v>11</v>
      </c>
      <c r="GY3" s="52" t="s">
        <v>4</v>
      </c>
      <c r="GZ3" s="52" t="s">
        <v>22</v>
      </c>
      <c r="HA3" s="52" t="s">
        <v>23</v>
      </c>
      <c r="HB3" s="16"/>
      <c r="HC3" s="16"/>
      <c r="HD3" s="16"/>
      <c r="HE3" s="16"/>
      <c r="HF3" s="16"/>
      <c r="HG3" s="16"/>
      <c r="HH3" s="17" t="s">
        <v>11</v>
      </c>
      <c r="HI3" s="17" t="s">
        <v>4</v>
      </c>
      <c r="HJ3" s="17" t="s">
        <v>22</v>
      </c>
      <c r="HK3" s="17" t="s">
        <v>23</v>
      </c>
      <c r="HL3" s="17" t="s">
        <v>11</v>
      </c>
      <c r="HM3" s="17" t="s">
        <v>4</v>
      </c>
      <c r="HN3" s="17" t="s">
        <v>22</v>
      </c>
      <c r="HO3" s="17" t="s">
        <v>23</v>
      </c>
      <c r="HP3" s="17" t="s">
        <v>11</v>
      </c>
      <c r="HQ3" s="17" t="s">
        <v>4</v>
      </c>
      <c r="HR3" s="17" t="s">
        <v>22</v>
      </c>
      <c r="HS3" s="17" t="s">
        <v>23</v>
      </c>
      <c r="HT3" s="17" t="s">
        <v>11</v>
      </c>
      <c r="HU3" s="17" t="s">
        <v>4</v>
      </c>
      <c r="HV3" s="17" t="s">
        <v>22</v>
      </c>
      <c r="HW3" s="17" t="s">
        <v>23</v>
      </c>
      <c r="HX3" s="53" t="s">
        <v>11</v>
      </c>
      <c r="HY3" s="53" t="s">
        <v>4</v>
      </c>
      <c r="HZ3" s="53" t="s">
        <v>22</v>
      </c>
      <c r="IA3" s="53" t="s">
        <v>23</v>
      </c>
      <c r="IB3" s="17"/>
      <c r="IC3" s="17"/>
      <c r="ID3" s="17"/>
      <c r="IE3" s="17"/>
      <c r="IF3" s="17"/>
      <c r="IG3" s="17"/>
      <c r="IH3" s="16" t="s">
        <v>11</v>
      </c>
      <c r="II3" s="16" t="s">
        <v>4</v>
      </c>
      <c r="IJ3" s="16" t="s">
        <v>22</v>
      </c>
      <c r="IK3" s="16" t="s">
        <v>23</v>
      </c>
      <c r="IL3" s="16" t="s">
        <v>11</v>
      </c>
      <c r="IM3" s="16" t="s">
        <v>4</v>
      </c>
      <c r="IN3" s="16" t="s">
        <v>22</v>
      </c>
      <c r="IO3" s="16" t="s">
        <v>23</v>
      </c>
      <c r="IP3" s="16" t="s">
        <v>11</v>
      </c>
      <c r="IQ3" s="16" t="s">
        <v>4</v>
      </c>
      <c r="IR3" s="16" t="s">
        <v>22</v>
      </c>
      <c r="IS3" s="16" t="s">
        <v>23</v>
      </c>
      <c r="IT3" s="16" t="s">
        <v>11</v>
      </c>
      <c r="IU3" s="16" t="s">
        <v>4</v>
      </c>
      <c r="IV3" s="16" t="s">
        <v>22</v>
      </c>
      <c r="IW3" s="16" t="s">
        <v>23</v>
      </c>
      <c r="IX3" s="52" t="s">
        <v>11</v>
      </c>
      <c r="IY3" s="52" t="s">
        <v>4</v>
      </c>
      <c r="IZ3" s="52" t="s">
        <v>22</v>
      </c>
      <c r="JA3" s="52" t="s">
        <v>23</v>
      </c>
      <c r="JB3" s="16"/>
      <c r="JC3" s="16"/>
      <c r="JD3" s="16"/>
      <c r="JE3" s="16"/>
      <c r="JF3" s="16"/>
      <c r="JG3" s="16"/>
      <c r="JH3" s="17" t="s">
        <v>11</v>
      </c>
      <c r="JI3" s="17" t="s">
        <v>4</v>
      </c>
      <c r="JJ3" s="17" t="s">
        <v>22</v>
      </c>
      <c r="JK3" s="17" t="s">
        <v>23</v>
      </c>
      <c r="JL3" s="17" t="s">
        <v>11</v>
      </c>
      <c r="JM3" s="17" t="s">
        <v>4</v>
      </c>
      <c r="JN3" s="17" t="s">
        <v>22</v>
      </c>
      <c r="JO3" s="17" t="s">
        <v>23</v>
      </c>
      <c r="JP3" s="17" t="s">
        <v>11</v>
      </c>
      <c r="JQ3" s="17" t="s">
        <v>4</v>
      </c>
      <c r="JR3" s="17" t="s">
        <v>22</v>
      </c>
      <c r="JS3" s="17" t="s">
        <v>23</v>
      </c>
      <c r="JT3" s="17" t="s">
        <v>11</v>
      </c>
      <c r="JU3" s="17" t="s">
        <v>4</v>
      </c>
      <c r="JV3" s="17" t="s">
        <v>22</v>
      </c>
      <c r="JW3" s="17" t="s">
        <v>23</v>
      </c>
      <c r="JX3" s="53" t="s">
        <v>11</v>
      </c>
      <c r="JY3" s="53" t="s">
        <v>4</v>
      </c>
      <c r="JZ3" s="53" t="s">
        <v>22</v>
      </c>
      <c r="KA3" s="53" t="s">
        <v>23</v>
      </c>
      <c r="KB3" s="17"/>
      <c r="KC3" s="17"/>
      <c r="KD3" s="17"/>
      <c r="KE3" s="17"/>
      <c r="KF3" s="17"/>
      <c r="KG3" s="17"/>
      <c r="KH3" s="16" t="s">
        <v>11</v>
      </c>
      <c r="KI3" s="16" t="s">
        <v>4</v>
      </c>
      <c r="KJ3" s="16" t="s">
        <v>22</v>
      </c>
      <c r="KK3" s="16" t="s">
        <v>23</v>
      </c>
      <c r="KL3" s="16" t="s">
        <v>11</v>
      </c>
      <c r="KM3" s="16" t="s">
        <v>4</v>
      </c>
      <c r="KN3" s="16" t="s">
        <v>22</v>
      </c>
      <c r="KO3" s="16" t="s">
        <v>23</v>
      </c>
      <c r="KP3" s="16" t="s">
        <v>11</v>
      </c>
      <c r="KQ3" s="16" t="s">
        <v>4</v>
      </c>
      <c r="KR3" s="16" t="s">
        <v>22</v>
      </c>
      <c r="KS3" s="16" t="s">
        <v>23</v>
      </c>
      <c r="KT3" s="16" t="s">
        <v>11</v>
      </c>
      <c r="KU3" s="16" t="s">
        <v>4</v>
      </c>
      <c r="KV3" s="16" t="s">
        <v>22</v>
      </c>
      <c r="KW3" s="16" t="s">
        <v>23</v>
      </c>
      <c r="KX3" s="52" t="s">
        <v>11</v>
      </c>
      <c r="KY3" s="52" t="s">
        <v>4</v>
      </c>
      <c r="KZ3" s="52" t="s">
        <v>22</v>
      </c>
      <c r="LA3" s="52" t="s">
        <v>23</v>
      </c>
      <c r="LB3" s="16"/>
      <c r="LC3" s="16"/>
      <c r="LD3" s="16"/>
      <c r="LE3" s="16"/>
      <c r="LF3" s="16"/>
      <c r="LG3" s="16"/>
      <c r="LH3" s="17" t="s">
        <v>11</v>
      </c>
      <c r="LI3" s="17" t="s">
        <v>4</v>
      </c>
      <c r="LJ3" s="17" t="s">
        <v>22</v>
      </c>
      <c r="LK3" s="17" t="s">
        <v>23</v>
      </c>
      <c r="LL3" s="17" t="s">
        <v>11</v>
      </c>
      <c r="LM3" s="17" t="s">
        <v>4</v>
      </c>
      <c r="LN3" s="17" t="s">
        <v>22</v>
      </c>
      <c r="LO3" s="17" t="s">
        <v>23</v>
      </c>
      <c r="LP3" s="17" t="s">
        <v>11</v>
      </c>
      <c r="LQ3" s="17" t="s">
        <v>4</v>
      </c>
      <c r="LR3" s="17" t="s">
        <v>22</v>
      </c>
      <c r="LS3" s="17" t="s">
        <v>23</v>
      </c>
      <c r="LT3" s="17" t="s">
        <v>11</v>
      </c>
      <c r="LU3" s="17" t="s">
        <v>4</v>
      </c>
      <c r="LV3" s="17" t="s">
        <v>22</v>
      </c>
      <c r="LW3" s="17" t="s">
        <v>23</v>
      </c>
      <c r="LX3" s="53" t="s">
        <v>11</v>
      </c>
      <c r="LY3" s="53" t="s">
        <v>4</v>
      </c>
      <c r="LZ3" s="53" t="s">
        <v>22</v>
      </c>
      <c r="MA3" s="53" t="s">
        <v>23</v>
      </c>
      <c r="MB3" s="17"/>
      <c r="MC3" s="17"/>
      <c r="MD3" s="17"/>
      <c r="ME3" s="17"/>
      <c r="MF3" s="17"/>
      <c r="MG3" s="17"/>
      <c r="MH3" s="16" t="s">
        <v>11</v>
      </c>
      <c r="MI3" s="16" t="s">
        <v>4</v>
      </c>
      <c r="MJ3" s="16" t="s">
        <v>22</v>
      </c>
      <c r="MK3" s="16" t="s">
        <v>23</v>
      </c>
      <c r="ML3" s="16" t="s">
        <v>11</v>
      </c>
      <c r="MM3" s="16" t="s">
        <v>4</v>
      </c>
      <c r="MN3" s="16" t="s">
        <v>22</v>
      </c>
      <c r="MO3" s="16" t="s">
        <v>23</v>
      </c>
      <c r="MP3" s="16" t="s">
        <v>11</v>
      </c>
      <c r="MQ3" s="16" t="s">
        <v>4</v>
      </c>
      <c r="MR3" s="16" t="s">
        <v>22</v>
      </c>
      <c r="MS3" s="16" t="s">
        <v>23</v>
      </c>
      <c r="MT3" s="16" t="s">
        <v>11</v>
      </c>
      <c r="MU3" s="16" t="s">
        <v>4</v>
      </c>
      <c r="MV3" s="16" t="s">
        <v>22</v>
      </c>
      <c r="MW3" s="16" t="s">
        <v>23</v>
      </c>
      <c r="MX3" s="52" t="s">
        <v>11</v>
      </c>
      <c r="MY3" s="52" t="s">
        <v>4</v>
      </c>
      <c r="MZ3" s="52" t="s">
        <v>22</v>
      </c>
      <c r="NA3" s="52" t="s">
        <v>23</v>
      </c>
      <c r="NB3" s="16"/>
      <c r="NC3" s="16"/>
      <c r="ND3" s="16"/>
      <c r="NE3" s="16"/>
      <c r="NF3" s="16"/>
      <c r="NG3" s="16"/>
      <c r="NH3" s="17" t="s">
        <v>11</v>
      </c>
      <c r="NI3" s="17" t="s">
        <v>4</v>
      </c>
      <c r="NJ3" s="17" t="s">
        <v>22</v>
      </c>
      <c r="NK3" s="17" t="s">
        <v>23</v>
      </c>
      <c r="NL3" s="17" t="s">
        <v>11</v>
      </c>
      <c r="NM3" s="17" t="s">
        <v>4</v>
      </c>
      <c r="NN3" s="17" t="s">
        <v>22</v>
      </c>
      <c r="NO3" s="17" t="s">
        <v>23</v>
      </c>
      <c r="NP3" s="17" t="s">
        <v>11</v>
      </c>
      <c r="NQ3" s="17" t="s">
        <v>4</v>
      </c>
      <c r="NR3" s="17" t="s">
        <v>22</v>
      </c>
      <c r="NS3" s="17" t="s">
        <v>23</v>
      </c>
      <c r="NT3" s="17" t="s">
        <v>11</v>
      </c>
      <c r="NU3" s="17" t="s">
        <v>4</v>
      </c>
      <c r="NV3" s="17" t="s">
        <v>22</v>
      </c>
      <c r="NW3" s="17" t="s">
        <v>23</v>
      </c>
      <c r="NX3" s="53" t="s">
        <v>11</v>
      </c>
      <c r="NY3" s="53" t="s">
        <v>4</v>
      </c>
      <c r="NZ3" s="53" t="s">
        <v>22</v>
      </c>
      <c r="OA3" s="53" t="s">
        <v>23</v>
      </c>
      <c r="OB3" s="17"/>
      <c r="OC3" s="17"/>
      <c r="OD3" s="17"/>
      <c r="OE3" s="17"/>
      <c r="OF3" s="17"/>
      <c r="OG3" s="17"/>
      <c r="OH3" s="16" t="s">
        <v>11</v>
      </c>
      <c r="OI3" s="16" t="s">
        <v>4</v>
      </c>
      <c r="OJ3" s="16" t="s">
        <v>22</v>
      </c>
      <c r="OK3" s="16" t="s">
        <v>23</v>
      </c>
      <c r="OL3" s="16" t="s">
        <v>11</v>
      </c>
      <c r="OM3" s="16" t="s">
        <v>4</v>
      </c>
      <c r="ON3" s="16" t="s">
        <v>22</v>
      </c>
      <c r="OO3" s="16" t="s">
        <v>23</v>
      </c>
      <c r="OP3" s="16" t="s">
        <v>11</v>
      </c>
      <c r="OQ3" s="16" t="s">
        <v>4</v>
      </c>
      <c r="OR3" s="16" t="s">
        <v>22</v>
      </c>
      <c r="OS3" s="16" t="s">
        <v>23</v>
      </c>
      <c r="OT3" s="51" t="s">
        <v>11</v>
      </c>
      <c r="OU3" s="51" t="s">
        <v>4</v>
      </c>
      <c r="OV3" s="51" t="s">
        <v>22</v>
      </c>
      <c r="OW3" s="51" t="s">
        <v>23</v>
      </c>
      <c r="OX3" s="16" t="s">
        <v>43</v>
      </c>
      <c r="OY3" s="16"/>
      <c r="OZ3" s="16"/>
      <c r="PA3" s="16"/>
      <c r="PB3" s="16"/>
      <c r="PC3" s="16"/>
    </row>
    <row r="4" spans="1:419" x14ac:dyDescent="0.2">
      <c r="A4" s="4" cm="1">
        <f t="array" ref="A4">IF(AND(H4&lt;&gt;"",H4&lt;&gt;"No DD"),SUMPRODUCT((H$4:H$16&lt;&gt;"")*(H$4:H$16&lt;&gt;"No DD")*(E$4:E$16&gt;E4))+1,IF(H4="No DD",SUMPRODUCT((H$4:H$16="No DD")*(E$4:E$16&gt;E4))+1+SUMPRODUCT((H$4:H$16&lt;&gt;"")*(H$4:H$16&lt;&gt;"No DD")),""))</f>
        <v>1</v>
      </c>
      <c r="B4" s="5" t="s">
        <v>84</v>
      </c>
      <c r="C4" s="4" t="s">
        <v>64</v>
      </c>
      <c r="D4" s="4">
        <v>2009</v>
      </c>
      <c r="E4" s="10">
        <f t="shared" ref="E4:E15" si="0">SUM(I4:O4)+SUM(I4:M4)*0.0000001+SUM(I4)*0.0000000000001</f>
        <v>152.00001496000505</v>
      </c>
      <c r="F4" s="3" t="str">
        <f t="shared" ref="F4:F15" si="1">IF(OR(AND(AI4&gt;=AM$18,AJ4&gt;=AM$22,AI4&lt;&gt;"",AH4=""),AND(AK4&gt;=AM$18,AL4&gt;=AM$22,AK4&lt;&gt;"",AH4=""),AND(BE4&gt;=BI$18,BF4&gt;=BI$22,BE4&lt;&gt;"",BD4=""),AND(BG4&gt;=BI$18,BH4&gt;=BI$22,BG4&lt;&gt;"",BD4=""),AND(CA4&gt;=CE$18,CB4&gt;=CE$22,CA4&lt;&gt;"",BZ4=""),AND(CC4&gt;=CE$18,CD4&gt;=CE$22,CC4&lt;&gt;""),AND(DB4&gt;=DG$18,DC4&gt;=DG$22,DB4&lt;&gt;""),AND(DE4&gt;=DG$18,DF4&gt;=DG$22,DE4&lt;&gt;""),AND(EB4&gt;=EG$18,EC4&gt;=EG$22,EB4&lt;&gt;""),AND(EE4&gt;=EG$18,EF4&gt;=EG$22,EE4&lt;&gt;""),AND(FB4&gt;=FG$18,FC4&gt;=FG$22,FB4&lt;&gt;""),AND(FE4&gt;=FG$18,FF4&gt;=FG$22,FE4&lt;&gt;""),AND(GB4&gt;=GG$18,GC4&gt;=GG$22,GB4&lt;&gt;""),AND(GE4&gt;=GG$18,GF4&gt;=GG$22,GE4&lt;&gt;""),AND(HB4&gt;=HG$18,HC4&gt;=HG$22,HB4&lt;&gt;""),AND(HE4&gt;=HG$18,HF4&gt;=HG$22,HE4&lt;&gt;""),AND(IB4&gt;=IG$18,IC4&gt;=IG$22,IB4&lt;&gt;""),AND(IE4&gt;=IG$18,IF4&gt;=IG$22,IE4&lt;&gt;""),AND(JB4&gt;=JG$18,JC4&gt;=JG$22,JB4&lt;&gt;""),AND(JE4&gt;=JG$18,JF4&gt;=JG$22,JE4&lt;&gt;""),AND(KB4&gt;=KG$18,KC4&gt;=KG$22,KB4&lt;&gt;""),AND(KE4&gt;=KG$18,KF4&gt;=KG$22,KE4&lt;&gt;""),AND(LB4&gt;=LG$18,LC4&gt;=LG$22,LB4&lt;&gt;""),AND(LE4&gt;=LG$18,LF4&gt;=LG$22,LE4&lt;&gt;""),AND(MB4&gt;=MG$18,MC4&gt;=MG$22,MB4&lt;&gt;""),AND(ME4&gt;=MG$18,MF4&gt;=MG$22,ME4&lt;&gt;""),AND(NB4&gt;=NG$18,NC4&gt;=NG$22,NB4&lt;&gt;""),AND(NE4&gt;=NG$18,NF4&gt;=NG$22,NE4&lt;&gt;""),AND(OB4&gt;=OG$18,OC4&gt;=OG$22,OB4&lt;&gt;""),AND(OE4&gt;=OG$18,OF4&gt;=OG$22,OE4&lt;&gt;"")),"P","")</f>
        <v>P</v>
      </c>
      <c r="G4" s="3" t="str">
        <f t="shared" ref="G4:G15" si="2">IF(OR(AND(AJ4&gt;=AM$22,AJ4&lt;&gt;"",AH4=""),AND(AL4&gt;=AM$22,AL4&lt;&gt;"",AH4=""),AND(BF4&gt;=BI$22,BF4&lt;&gt;"",BD4=""),AND(BH4&gt;=BI$22,BH4&lt;&gt;"",BD4=""),AND(CB4&gt;=CE$22,CB4&lt;&gt;"",BZ4=""),AND(CD4&gt;=CE$22,CD4&lt;&gt;"",BZ4=""),AND(DC4&gt;=DG$22,DC4&lt;&gt;""),AND(DF4&gt;=DG$22,DF4&lt;&gt;""),AND(EC4&gt;=EG$22,EC4&lt;&gt;""),AND(EF4&gt;=EG$22,EF4&lt;&gt;""),AND(FC4&gt;=FG$22,FC4&lt;&gt;""),AND(FF4&gt;=FG$22,FF4&lt;&gt;""),AND(GC4&gt;=GG$22,GC4&lt;&gt;""),AND(GF4&gt;=GG$22,GF4&lt;&gt;""),AND(HC4&gt;=HG$22,HC4&lt;&gt;""),AND(HF4&gt;=HG$22,HF4&lt;&gt;""),AND(IC4&gt;=IG$22,IC4&lt;&gt;""),AND(IF4&gt;=IG$22,IF4&lt;&gt;""),AND(JC4&gt;=JG$22,JC4&lt;&gt;""),AND(JF4&gt;=JG$22,JF4&lt;&gt;""),AND(KC4&gt;=KG$22,KC4&lt;&gt;""),AND(KF4&gt;=KG$22,KF4&lt;&gt;""),AND(LC4&gt;=LG$22,LC4&lt;&gt;""),AND(LF4&gt;=LG$22,LF4&lt;&gt;""),AND(MC4&gt;=MG$22,MC4&lt;&gt;""),AND(MF4&gt;=MG$22,MF4&lt;&gt;""),AND(NC4&gt;=NG$22,NC4&lt;&gt;""),AND(NF4&gt;=NG$22,NF4&lt;&gt;""),AND(OC4&gt;=OG$22,OC4&lt;&gt;""),AND(OF4&gt;=OG$22,OF4&lt;&gt;"")),"P","")</f>
        <v>P</v>
      </c>
      <c r="H4" s="47" t="str">
        <f t="shared" ref="H4:H15" si="3">IF(AND(G4="P",F4=""),"No DD",IF(OR(AND(AI4&gt;=AM$21,AJ4&gt;=AM$25,AI4&lt;&gt;"",AH4=""),AND(AK4&gt;=AM$21,AL4&gt;=AM$25,AK4&lt;&gt;"",AH4=""),AND(BE4&gt;=BI$21,BF4&gt;=BI$25,BE4&lt;&gt;"",BD4=""),AND(BG4&gt;=BI$21,BH4&gt;=BI$25,BG4&lt;&gt;"",BD4=""),AND(CA4&gt;=CE$21,CB4&gt;=CE$25,CA4&lt;&gt;"",BZ4=""),AND(CC4&gt;=CE$21,CD4&gt;=CE$25,CC4&lt;&gt;""),AND(DB4&gt;=DG$21,DC4&gt;=DG$25,DB4&lt;&gt;""),AND(DE4&gt;=DG$21,DF4&gt;=DG$25,DE4&lt;&gt;""),AND(EB4&gt;=EG$21,EC4&gt;=EG$25,EB4&lt;&gt;""),AND(EE4&gt;=EG$21,EF4&gt;=EG$25,EE4&lt;&gt;""),AND(FB4&gt;=FG$21,FC4&gt;=FG$25,FB4&lt;&gt;""),AND(FE4&gt;=FG$21,FF4&gt;=FG$25,FE4&lt;&gt;""),AND(GB4&gt;=GG$21,GC4&gt;=GG$25,GB4&lt;&gt;""),AND(GE4&gt;=GG$21,GF4&gt;=GG$25,GE4&lt;&gt;""),AND(HB4&gt;=HG$21,HC4&gt;=HG$25,HB4&lt;&gt;""),AND(HE4&gt;=HG$21,HF4&gt;=HG$25,HE4&lt;&gt;""),AND(IB4&gt;=IG$21,IC4&gt;=IG$25,IB4&lt;&gt;""),AND(IE4&gt;=IG$21,IF4&gt;=IG$25,IE4&lt;&gt;""),AND(JB4&gt;=JG$21,JC4&gt;=JG$25,JB4&lt;&gt;""),AND(JE4&gt;=JG$21,JF4&gt;=JG$25,JE4&lt;&gt;""),AND(KB4&gt;=KG$21,KC4&gt;=KG$25,KB4&lt;&gt;""),AND(KE4&gt;=KG$21,KF4&gt;=KG$25,KE4&lt;&gt;""),AND(LB4&gt;=LG$21,LC4&gt;=LG$25,LB4&lt;&gt;""),AND(LE4&gt;=LG$21,LF4&gt;=LG$25,LE4&lt;&gt;""),AND(MB4&gt;=MG$21,MC4&gt;=MG$25,MB4&lt;&gt;""),AND(ME4&gt;=MG$21,MF4&gt;=MG$25,ME4&lt;&gt;""),AND(NB4&gt;=NG$21,NC4&gt;=NG$25,NB4&lt;&gt;""),AND(NE4&gt;=NG$21,NF4&gt;=NG$25,NE4&lt;&gt;""),AND(OB4&gt;=OG$21,OC4&gt;=OG$25,OB4&lt;&gt;""),AND(OE4&gt;=OG$21,OF4&gt;=OG$25,OE4&lt;&gt;"")),"Merit",IF(OR(AND(AI4&gt;=AM$20,AJ4&gt;=AM$24,AI4&lt;&gt;"",AH4=""),AND(AK4&gt;=AM$20,AL4&gt;=AM$24,AK4&lt;&gt;"",AH4=""),AND(BE4&gt;=BI$20,BF4&gt;=BI$24,BE4&lt;&gt;"",BD4=""),AND(BG4&gt;=BI$20,BH4&gt;=BI$24,BG4&lt;&gt;"",BD4=""),AND(CA4&gt;=CE$20,CB4&gt;=CE$24,CA4&lt;&gt;"",BZ4=""),AND(CC4&gt;=CE$20,CD4&gt;=CE$24,CC4&lt;&gt;""),AND(DB4&gt;=DG$20,DC4&gt;=DG$24,DB4&lt;&gt;""),AND(DE4&gt;=DG$20,DF4&gt;=DG$24,DE4&lt;&gt;""),AND(EB4&gt;=EG$20,EC4&gt;=EG$24,EB4&lt;&gt;""),AND(EE4&gt;=EG$20,EF4&gt;=EG$24,EE4&lt;&gt;""),AND(FB4&gt;=FG$20,FC4&gt;=FG$24,FB4&lt;&gt;""),AND(FE4&gt;=FG$20,FF4&gt;=FG$24,FE4&lt;&gt;""),AND(GB4&gt;=GG$20,GC4&gt;=GG$24,GB4&lt;&gt;""),AND(GE4&gt;=GG$20,GF4&gt;=GG$24,GE4&lt;&gt;""),AND(HB4&gt;=HG$20,HC4&gt;=HG$24,HB4&lt;&gt;""),AND(HE4&gt;=HG$20,HF4&gt;=HG$24,HE4&lt;&gt;""),AND(IB4&gt;=IG$20,IC4&gt;=IG$24,IB4&lt;&gt;""),AND(IE4&gt;=IG$20,IF4&gt;=IG$24,IE4&lt;&gt;""),AND(JB4&gt;=JG$20,JC4&gt;=JG$24,JB4&lt;&gt;""),AND(JE4&gt;=JG$20,JF4&gt;=JG$24,JE4&lt;&gt;""),AND(KB4&gt;=KG$20,KC4&gt;=KG$24,KB4&lt;&gt;""),AND(KE4&gt;=KG$20,KF4&gt;=KG$24,KE4&lt;&gt;""),AND(LB4&gt;=LG$20,LC4&gt;=LG$24,LB4&lt;&gt;""),AND(LE4&gt;=LG$20,LF4&gt;=LG$24,LE4&lt;&gt;""),AND(MB4&gt;=MG$20,MC4&gt;=MG$24,MB4&lt;&gt;""),AND(ME4&gt;=MG$20,MF4&gt;=MG$24,ME4&lt;&gt;""),AND(NB4&gt;=NG$20,NC4&gt;=NG$24,NB4&lt;&gt;""),AND(NE4&gt;=NG$20,NF4&gt;=NG$24,NE4&lt;&gt;""),AND(OB4&gt;=OG$20,OC4&gt;=OG$24,OB4&lt;&gt;""),AND(OE4&gt;=OG$20,OF4&gt;=OG$24,OE4&lt;&gt;"")),"Excellence",IF(F4="P","National Team",""))))</f>
        <v>National Team</v>
      </c>
      <c r="I4" s="9">
        <f>IF(COUNT(AJ4,BF4,CB4)&gt;0,LARGE((AJ4,BF4,CB4),1),0)</f>
        <v>50.599999999999994</v>
      </c>
      <c r="J4" s="9" t="str">
        <f t="shared" ref="J4:J15" si="4">IF(I4=0,"",IF(I4=CB4,$BJ$1,IF(I4=BF4,$AN$1,IF(I4=AJ4,$R$1,""))))</f>
        <v>2025 Nationals</v>
      </c>
      <c r="K4" s="9">
        <f>IF(COUNT(AJ4,BF4,CB4)&gt;1,LARGE((AJ4,BF4,CB4),2),0)</f>
        <v>48.599999999999994</v>
      </c>
      <c r="L4" s="9" t="str">
        <f t="shared" ref="L4:L15" si="5">IF(K4=0,"",IF(AND(K4=I4,K4=AJ4,K4=BF4),$R$1,IF(AND(K4=I4,K4=AJ4,K4=CB4),$R$1,IF(AND(K4=I4,K4=CB4,K4=BF4),$AN$1,IF(K4=CB4,$BJ$1,IF(K4=BF4,$AN$1,IF(K4=AJ4,$R$1,"")))))))</f>
        <v>2025 3rd Domestic Trial</v>
      </c>
      <c r="M4" s="9">
        <f t="shared" ref="M4:M15" si="6">IF(MAX(AL4,BH4,CD4)&gt;0,MAX(AL4,BH4,CD4),0)</f>
        <v>50.4</v>
      </c>
      <c r="N4" s="9" t="str">
        <f t="shared" ref="N4:N15" si="7">IF(M4=0,"",IF(M4=CD4,$BJ$1,IF(M4=BH4,$AN$1,IF(M4=AL4,$R$1,""))))</f>
        <v>2025 Nationals</v>
      </c>
      <c r="O4" s="9">
        <f t="shared" ref="O4:O15" si="8">IF(MAX(CF4:CG4)&gt;0,MAX(CF4:CG4),"")</f>
        <v>2.3999999999999986</v>
      </c>
      <c r="P4" s="14" t="str">
        <f t="shared" ref="P4:P15" si="9">IF(O4="","",IF(O4=CF4,"("&amp;CF$2&amp;")",IF(O4=CG4,"("&amp;CG$2&amp;")")))</f>
        <v>(Q1)</v>
      </c>
      <c r="Q4" s="9" t="str">
        <f t="shared" ref="Q4:Q15" si="10">IF(O4="","",IF(O4=CF4,IF(O4+IF(K4="",0,K4)=OC4,$NH$1,IF(O4+IF(K4="",0,K4)=NC4,$MH$1,IF(O4+IF(K4="",0,K4)=MC4,$LH$1,IF(O4+IF(K4="",0,K4)=LC4,$KH$1,IF(O4+IF(K4="",0,K4)=KC4,$JH$1,IF(O4+IF(K4="",0,K4)=JC4,$IH$1,IF(O4+IF(K4="",0,K4)=IC4,$HH$1,IF(O4+IF(K4="",0,K4)=HC4,$GH$1,IF(O4+IF(K4="",0,K4)=GC4,$FH$1,IF(O4+IF(K4="",0,K4)=FC4,$EH$1,IF(O4+IF(K4="",0,K4)=EC4,$DH$1,IF(O4+IF(K4="",0,K4)=DC4,$CH$1)))))))))))),IF(O4=CG4,IF(O4+IF(M4="",0,M4)=OF4,$NH$1,IF(O4+IF(M4="",0,M4)=NF4,$MH$1,IF(O4+IF(M4="",0,M4)=MF4,$LH$1,IF(O4+IF(M4="",0,M4)=LF4,$KH$1,IF(O4+IF(M4="",0,M4)=KF4,$JH$1,IF(O4+IF(M4="",0,M4)=JF4,$IH$1,IF(O4+IF(M4="",0,M4)=IF4,$HH$1,IF(O4+IF(M4="",0,M4)=HF4,$GH$1,IF(O4+IF(M4="",0,M4)=GF4,$FH$1,IF(O4+IF(M4="",0,M4)=FF4,$EH$1,IF(O4+IF(M4="",0,M4)=EF4,$DH$1,IF(O4+IF(M4="",0,M4)=DF4,$CH$1)))))))))))))))</f>
        <v>2025 WAGC (Nov 16)</v>
      </c>
      <c r="R4" s="20">
        <v>16.5</v>
      </c>
      <c r="S4" s="20">
        <v>6</v>
      </c>
      <c r="T4" s="20">
        <v>0</v>
      </c>
      <c r="U4" s="20">
        <v>0</v>
      </c>
      <c r="V4" s="20">
        <v>17.899999999999999</v>
      </c>
      <c r="W4" s="20">
        <v>4.8</v>
      </c>
      <c r="X4" s="20">
        <v>0.8</v>
      </c>
      <c r="Y4" s="20">
        <v>0</v>
      </c>
      <c r="Z4" s="20">
        <v>18</v>
      </c>
      <c r="AA4" s="20">
        <v>6</v>
      </c>
      <c r="AB4" s="20">
        <v>0.6</v>
      </c>
      <c r="AC4" s="20">
        <v>0</v>
      </c>
      <c r="AD4" s="20">
        <v>18.8</v>
      </c>
      <c r="AE4" s="20">
        <v>5.6</v>
      </c>
      <c r="AF4" s="20">
        <v>0.6</v>
      </c>
      <c r="AG4" s="20">
        <v>0</v>
      </c>
      <c r="AH4" s="32"/>
      <c r="AI4" s="55">
        <f t="shared" ref="AI4:AI15" si="11">IF(SUM(S4,W4)&gt;0,SUM(S4,W4),"")</f>
        <v>10.8</v>
      </c>
      <c r="AJ4" s="55">
        <f t="shared" ref="AJ4:AJ15" si="12">IF(SUM(R4:S4,U4:W4,Y4)-T4-X4&gt;0,SUM(R4:S4,U4:W4,Y4)-T4-X4,"")</f>
        <v>44.4</v>
      </c>
      <c r="AK4" s="55">
        <f t="shared" ref="AK4:AK15" si="13">IF(SUM(AA4,AE4)&gt;0,SUM(AA4,AE4),"")</f>
        <v>11.6</v>
      </c>
      <c r="AL4" s="55">
        <f t="shared" ref="AL4:AL15" si="14">IF(SUM(Z4:AA4,AC4:AE4,AG4)-SUM(AB4,AF4)&gt;0,SUM(Z4:AA4,AC4:AE4,AG4)-SUM(AB4,AF4),"")</f>
        <v>47.199999999999996</v>
      </c>
      <c r="AM4" s="55">
        <f t="shared" ref="AM4:AM15" si="15">IF(SUM(AJ4,AL4)&gt;0,SUM(AJ4,AL4),"")</f>
        <v>91.6</v>
      </c>
      <c r="AN4" s="19">
        <v>18.8</v>
      </c>
      <c r="AO4" s="19">
        <v>6.4</v>
      </c>
      <c r="AP4" s="19">
        <v>0.2</v>
      </c>
      <c r="AQ4" s="19">
        <v>0</v>
      </c>
      <c r="AR4" s="19">
        <v>18.8</v>
      </c>
      <c r="AS4" s="19">
        <v>6.8</v>
      </c>
      <c r="AT4" s="19">
        <v>0</v>
      </c>
      <c r="AU4" s="19">
        <v>0</v>
      </c>
      <c r="AV4" s="19">
        <v>19</v>
      </c>
      <c r="AW4" s="19">
        <v>6.4</v>
      </c>
      <c r="AX4" s="19">
        <v>0.2</v>
      </c>
      <c r="AY4" s="19">
        <v>0</v>
      </c>
      <c r="AZ4" s="19">
        <v>19</v>
      </c>
      <c r="BA4" s="19">
        <v>6.8</v>
      </c>
      <c r="BB4" s="19">
        <v>0.6</v>
      </c>
      <c r="BC4" s="19">
        <v>0</v>
      </c>
      <c r="BD4" s="33"/>
      <c r="BE4" s="14">
        <f t="shared" ref="BE4:BE15" si="16">IF(SUM(AO4,AS4)&gt;0,SUM(AO4,AS4),"")</f>
        <v>13.2</v>
      </c>
      <c r="BF4" s="14">
        <f t="shared" ref="BF4:BF15" si="17">IF(SUM(AN4:AO4,AQ4:AS4,AU4)-AP4-AT4&gt;0,SUM(AN4:AO4,AQ4:AS4,AU4)-AP4-AT4,"")</f>
        <v>50.599999999999994</v>
      </c>
      <c r="BG4" s="14">
        <f t="shared" ref="BG4:BG15" si="18">IF(SUM(AW4,BA4)&gt;0,SUM(AW4,BA4),"")</f>
        <v>13.2</v>
      </c>
      <c r="BH4" s="14">
        <f t="shared" ref="BH4:BH15" si="19">IF(SUM(AV4:AW4,AY4:BA4,BC4)-SUM(AX4,BB4)&gt;0,SUM(AV4:AW4,AY4:BA4,BC4)-SUM(AX4,BB4),"")</f>
        <v>50.4</v>
      </c>
      <c r="BI4" s="14">
        <f t="shared" ref="BI4:BI15" si="20">IF(SUM(BF4,BH4)&gt;0,SUM(BF4,BH4),"")</f>
        <v>101</v>
      </c>
      <c r="BJ4" s="20">
        <v>18.3</v>
      </c>
      <c r="BK4" s="20">
        <v>5.6</v>
      </c>
      <c r="BL4" s="20">
        <v>0.6</v>
      </c>
      <c r="BM4" s="20">
        <v>0</v>
      </c>
      <c r="BN4" s="20">
        <v>19.100000000000001</v>
      </c>
      <c r="BO4" s="20">
        <v>6.8</v>
      </c>
      <c r="BP4" s="20">
        <v>0.6</v>
      </c>
      <c r="BQ4" s="20">
        <v>0</v>
      </c>
      <c r="BR4" s="20">
        <v>18.8</v>
      </c>
      <c r="BS4" s="20">
        <v>6</v>
      </c>
      <c r="BT4" s="20">
        <v>0.6</v>
      </c>
      <c r="BU4" s="20">
        <v>0</v>
      </c>
      <c r="BV4" s="20">
        <v>18.899999999999999</v>
      </c>
      <c r="BW4" s="20">
        <v>4.4000000000000004</v>
      </c>
      <c r="BX4" s="20">
        <v>0.6</v>
      </c>
      <c r="BY4" s="20">
        <v>0</v>
      </c>
      <c r="BZ4" s="32"/>
      <c r="CA4" s="55">
        <f t="shared" ref="CA4:CA15" si="21">IF(SUM(BK4,BO4)&gt;0,SUM(BK4,BO4),"")</f>
        <v>12.399999999999999</v>
      </c>
      <c r="CB4" s="55">
        <f t="shared" ref="CB4:CB15" si="22">IF(SUM(BJ4:BK4,BM4:BO4,BQ4)-BL4-BP4&gt;0,SUM(BJ4:BK4,BM4:BO4,BQ4)-BL4-BP4,"")</f>
        <v>48.599999999999994</v>
      </c>
      <c r="CC4" s="55">
        <f t="shared" ref="CC4:CC15" si="23">IF(SUM(BS4,BW4)&gt;0,SUM(BS4,BW4),"")</f>
        <v>10.4</v>
      </c>
      <c r="CD4" s="55">
        <f t="shared" ref="CD4:CD15" si="24">IF(SUM(BR4:BS4,BU4:BW4,BY4)-SUM(BT4,BX4)&gt;0,SUM(BR4:BS4,BU4:BW4,BY4)-SUM(BT4,BX4),"")</f>
        <v>46.9</v>
      </c>
      <c r="CE4" s="55">
        <f t="shared" ref="CE4:CE15" si="25">IF(SUM(CB4,CD4)&gt;0,SUM(CB4,CD4),"")</f>
        <v>95.5</v>
      </c>
      <c r="CF4" s="56">
        <f t="shared" ref="CF4:CF15" si="26">IF(MAX(DC4,EC4,FC4,GC4,HC4,IC4,JC4,KC4,LC4,MC4,NC4,OC4)-IF(K4="",0,K4)&gt;0.001,MAX(DC4,EC4,FC4,GC4,HC4,IC4,JC4,KC4,LC4,MC4,NC4,OC4)-IF(K4="",0,K4),"")</f>
        <v>2.3999999999999986</v>
      </c>
      <c r="CG4" s="56" t="str">
        <f t="shared" ref="CG4:CG15" si="27">IF(MAX(DF4,EF4,FF4,GF4,HF4,IF4,JF4,KF4,LF4,MF4,NF4,OF4)-IF(M4="",0,M4)&gt;0.001,MAX(DF4,EF4,FF4,GF4,HF4,IF4,JF4,KF4,LF4,MF4,NF4,OF4)-IF(M4="",0,M4),"")</f>
        <v/>
      </c>
      <c r="CH4" s="18">
        <v>18.7</v>
      </c>
      <c r="CI4" s="18">
        <v>7.2</v>
      </c>
      <c r="CJ4" s="18">
        <v>0.2</v>
      </c>
      <c r="CK4" s="18">
        <v>0</v>
      </c>
      <c r="CL4" s="18">
        <v>18.399999999999999</v>
      </c>
      <c r="CM4" s="18">
        <v>6.9</v>
      </c>
      <c r="CN4" s="18">
        <v>0</v>
      </c>
      <c r="CO4" s="18">
        <v>0</v>
      </c>
      <c r="CP4" s="18">
        <v>19</v>
      </c>
      <c r="CQ4" s="18">
        <v>7.2</v>
      </c>
      <c r="CR4" s="18">
        <v>0</v>
      </c>
      <c r="CS4" s="18">
        <v>0</v>
      </c>
      <c r="CT4" s="18">
        <v>18.399999999999999</v>
      </c>
      <c r="CU4" s="18">
        <v>8.4</v>
      </c>
      <c r="CV4" s="18">
        <v>0.2</v>
      </c>
      <c r="CW4" s="18">
        <v>0</v>
      </c>
      <c r="CX4" s="18"/>
      <c r="CY4" s="18"/>
      <c r="CZ4" s="18"/>
      <c r="DA4" s="18"/>
      <c r="DB4" s="55">
        <f t="shared" ref="DB4:DB15" si="28">IF(SUM(CI4,CM4)&gt;0,SUM(CI4,CM4),"")</f>
        <v>14.100000000000001</v>
      </c>
      <c r="DC4" s="55">
        <f t="shared" ref="DC4:DC15" si="29">IF(SUM(CH4:CI4,CK4:CM4,CO4)-CJ4-CN4&gt;0,SUM(CH4:CI4,CK4:CM4,CO4)-CJ4-CN4,"")</f>
        <v>50.999999999999993</v>
      </c>
      <c r="DD4" s="55">
        <f t="shared" ref="DD4:DD15" si="30">IF(SUM(CP4:CQ4,CS4)-CR4&gt;0,SUM(CP4:CQ4,CS4)-CR4,"")</f>
        <v>26.2</v>
      </c>
      <c r="DE4" s="55">
        <f t="shared" ref="DE4:DE15" si="31">IF(SUM(CU4,CY4)&gt;0,SUM(CU4,CY4),"")</f>
        <v>8.4</v>
      </c>
      <c r="DF4" s="55">
        <f t="shared" ref="DF4:DF15" si="32">IF(SUM(CT4:CU4,CW4:CY4,DA4)-SUM(CV4,CZ4)&gt;0,SUM(CT4:CU4,CW4:CY4,DA4)-SUM(CV4,CZ4),"")</f>
        <v>26.599999999999998</v>
      </c>
      <c r="DG4" s="55">
        <f t="shared" ref="DG4:DG15" si="33">IF(SUM(DC4,DD4,DF4)&gt;0,SUM(DC4,DD4,DF4),"")</f>
        <v>103.79999999999998</v>
      </c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19"/>
      <c r="EA4" s="19"/>
      <c r="EB4" s="14" t="str">
        <f t="shared" ref="EB4:EB15" si="34">IF(SUM(DI4,DM4)&gt;0,SUM(DI4,DM4),"")</f>
        <v/>
      </c>
      <c r="EC4" s="14" t="str">
        <f t="shared" ref="EC4:EC15" si="35">IF(SUM(DH4:DI4,DK4:DM4,DO4)-DJ4-DN4&gt;0,SUM(DH4:DI4,DK4:DM4,DO4)-DJ4-DN4,"")</f>
        <v/>
      </c>
      <c r="ED4" s="14" t="str">
        <f t="shared" ref="ED4:ED15" si="36">IF(SUM(DP4:DQ4,DS4)-DR4&gt;0,SUM(DP4:DQ4,DS4)-DR4,"")</f>
        <v/>
      </c>
      <c r="EE4" s="14" t="str">
        <f t="shared" ref="EE4:EE15" si="37">IF(SUM(DU4,DY4)&gt;0,SUM(DU4,DY4),"")</f>
        <v/>
      </c>
      <c r="EF4" s="14" t="str">
        <f t="shared" ref="EF4:EF15" si="38">IF(SUM(DT4:DU4,DW4:DY4,EA4)-SUM(DV4,DZ4)&gt;0,SUM(DT4:DU4,DW4:DY4,EA4)-SUM(DV4,DZ4),"")</f>
        <v/>
      </c>
      <c r="EG4" s="14" t="str">
        <f t="shared" ref="EG4:EG15" si="39">IF(SUM(EC4,ED4,EF4)&gt;0,SUM(EC4,ED4,EF4),"")</f>
        <v/>
      </c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55" t="str">
        <f t="shared" ref="FB4:FB15" si="40">IF(SUM(EI4,EM4)&gt;0,SUM(EI4,EM4),"")</f>
        <v/>
      </c>
      <c r="FC4" s="55" t="str">
        <f t="shared" ref="FC4:FC15" si="41">IF(SUM(EH4:EI4,EK4:EM4,EO4)-EJ4-EN4&gt;0,SUM(EH4:EI4,EK4:EM4,EO4)-EJ4-EN4,"")</f>
        <v/>
      </c>
      <c r="FD4" s="55" t="str">
        <f t="shared" ref="FD4:FD15" si="42">IF(SUM(EP4:EQ4,ES4)-ER4&gt;0,SUM(EP4:EQ4,ES4)-ER4,"")</f>
        <v/>
      </c>
      <c r="FE4" s="55" t="str">
        <f t="shared" ref="FE4:FE15" si="43">IF(SUM(EU4,EY4)&gt;0,SUM(EU4,EY4),"")</f>
        <v/>
      </c>
      <c r="FF4" s="55" t="str">
        <f t="shared" ref="FF4:FF15" si="44">IF(SUM(ET4:EU4,EW4:EY4,FA4)-SUM(EV4,EZ4)&gt;0,SUM(ET4:EU4,EW4:EY4,FA4)-SUM(EV4,EZ4),"")</f>
        <v/>
      </c>
      <c r="FG4" s="55" t="str">
        <f t="shared" ref="FG4:FG15" si="45">IF(SUM(FC4,FD4,FF4)&gt;0,SUM(FC4,FD4,FF4),"")</f>
        <v/>
      </c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9"/>
      <c r="FV4" s="19"/>
      <c r="FW4" s="19"/>
      <c r="FX4" s="19"/>
      <c r="FY4" s="19"/>
      <c r="FZ4" s="19"/>
      <c r="GA4" s="19"/>
      <c r="GB4" s="14" t="str">
        <f t="shared" ref="GB4:GB15" si="46">IF(SUM(FI4,FM4)&gt;0,SUM(FI4,FM4),"")</f>
        <v/>
      </c>
      <c r="GC4" s="14" t="str">
        <f t="shared" ref="GC4:GC15" si="47">IF(SUM(FH4:FI4,FK4:FM4,FO4)-FJ4-FN4&gt;0,SUM(FH4:FI4,FK4:FM4,FO4)-FJ4-FN4,"")</f>
        <v/>
      </c>
      <c r="GD4" s="14" t="str">
        <f t="shared" ref="GD4:GD15" si="48">IF(SUM(FP4:FQ4,FS4)-FR4&gt;0,SUM(FP4:FQ4,FS4)-FR4,"")</f>
        <v/>
      </c>
      <c r="GE4" s="14" t="str">
        <f t="shared" ref="GE4:GE15" si="49">IF(SUM(FU4,FY4)&gt;0,SUM(FU4,FY4),"")</f>
        <v/>
      </c>
      <c r="GF4" s="14" t="str">
        <f t="shared" ref="GF4:GF15" si="50">IF(SUM(FT4:FU4,FW4:FY4,GA4)-SUM(FV4,FZ4)&gt;0,SUM(FT4:FU4,FW4:FY4,GA4)-SUM(FV4,FZ4),"")</f>
        <v/>
      </c>
      <c r="GG4" s="14" t="str">
        <f t="shared" ref="GG4:GG15" si="51">IF(SUM(GC4,GD4,GF4)&gt;0,SUM(GC4,GD4,GF4),"")</f>
        <v/>
      </c>
      <c r="GH4" s="18"/>
      <c r="GI4" s="18"/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55" t="str">
        <f t="shared" ref="HB4:HB15" si="52">IF(SUM(GI4,GM4)&gt;0,SUM(GI4,GM4),"")</f>
        <v/>
      </c>
      <c r="HC4" s="55" t="str">
        <f t="shared" ref="HC4:HC15" si="53">IF(SUM(GH4:GI4,GK4:GM4,GO4)-GJ4-GN4&gt;0,SUM(GH4:GI4,GK4:GM4,GO4)-GJ4-GN4,"")</f>
        <v/>
      </c>
      <c r="HD4" s="55" t="str">
        <f t="shared" ref="HD4:HD15" si="54">IF(SUM(GP4:GQ4,GS4)-GR4&gt;0,SUM(GP4:GQ4,GS4)-GR4,"")</f>
        <v/>
      </c>
      <c r="HE4" s="55" t="str">
        <f t="shared" ref="HE4:HE15" si="55">IF(SUM(GU4,GY4)&gt;0,SUM(GU4,GY4),"")</f>
        <v/>
      </c>
      <c r="HF4" s="55" t="str">
        <f t="shared" ref="HF4:HF15" si="56">IF(SUM(GT4:GU4,GW4:GY4,HA4)-SUM(GV4,GZ4)&gt;0,SUM(GT4:GU4,GW4:GY4,HA4)-SUM(GV4,GZ4),"")</f>
        <v/>
      </c>
      <c r="HG4" s="55" t="str">
        <f t="shared" ref="HG4:HG15" si="57">IF(SUM(HC4,HD4,HF4)&gt;0,SUM(HC4,HD4,HF4),"")</f>
        <v/>
      </c>
      <c r="HH4" s="19"/>
      <c r="HI4" s="19"/>
      <c r="HJ4" s="19"/>
      <c r="HK4" s="19"/>
      <c r="HL4" s="19"/>
      <c r="HM4" s="19"/>
      <c r="HN4" s="19"/>
      <c r="HO4" s="19"/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4" t="str">
        <f t="shared" ref="IB4:IB15" si="58">IF(SUM(HI4,HM4)&gt;0,SUM(HI4,HM4),"")</f>
        <v/>
      </c>
      <c r="IC4" s="14" t="str">
        <f t="shared" ref="IC4:IC15" si="59">IF(SUM(HH4:HI4,HK4:HM4,HO4)-HJ4-HN4&gt;0,SUM(HH4:HI4,HK4:HM4,HO4)-HJ4-HN4,"")</f>
        <v/>
      </c>
      <c r="ID4" s="14" t="str">
        <f t="shared" ref="ID4:ID15" si="60">IF(SUM(HP4:HQ4,HS4)-HR4&gt;0,SUM(HP4:HQ4,HS4)-HR4,"")</f>
        <v/>
      </c>
      <c r="IE4" s="14" t="str">
        <f t="shared" ref="IE4:IE15" si="61">IF(SUM(HU4,HY4)&gt;0,SUM(HU4,HY4),"")</f>
        <v/>
      </c>
      <c r="IF4" s="14" t="str">
        <f t="shared" ref="IF4:IF15" si="62">IF(SUM(HT4:HU4,HW4:HY4,IA4)-SUM(HV4,HZ4)&gt;0,SUM(HT4:HU4,HW4:HY4,IA4)-SUM(HV4,HZ4),"")</f>
        <v/>
      </c>
      <c r="IG4" s="14" t="str">
        <f t="shared" ref="IG4:IG15" si="63">IF(SUM(IC4,ID4,IF4)&gt;0,SUM(IC4,ID4,IF4),"")</f>
        <v/>
      </c>
      <c r="IH4" s="18"/>
      <c r="II4" s="18"/>
      <c r="IJ4" s="18"/>
      <c r="IK4" s="18"/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55" t="str">
        <f t="shared" ref="JB4:JB15" si="64">IF(SUM(II4,IM4)&gt;0,SUM(II4,IM4),"")</f>
        <v/>
      </c>
      <c r="JC4" s="55" t="str">
        <f t="shared" ref="JC4:JC15" si="65">IF(SUM(IH4:II4,IK4:IM4,IO4)-IJ4-IN4&gt;0,SUM(IH4:II4,IK4:IM4,IO4)-IJ4-IN4,"")</f>
        <v/>
      </c>
      <c r="JD4" s="55" t="str">
        <f t="shared" ref="JD4:JD15" si="66">IF(SUM(IP4:IQ4,IS4)-IR4&gt;0,SUM(IP4:IQ4,IS4)-IR4,"")</f>
        <v/>
      </c>
      <c r="JE4" s="55" t="str">
        <f t="shared" ref="JE4:JE15" si="67">IF(SUM(IU4,IY4)&gt;0,SUM(IU4,IY4),"")</f>
        <v/>
      </c>
      <c r="JF4" s="55" t="str">
        <f t="shared" ref="JF4:JF15" si="68">IF(SUM(IT4:IU4,IW4:IY4,JA4)-SUM(IV4,IZ4)&gt;0,SUM(IT4:IU4,IW4:IY4,JA4)-SUM(IV4,IZ4),"")</f>
        <v/>
      </c>
      <c r="JG4" s="55" t="str">
        <f t="shared" ref="JG4:JG15" si="69">IF(SUM(JC4,JD4,JF4)&gt;0,SUM(JC4,JD4,JF4),"")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19"/>
      <c r="JX4" s="19"/>
      <c r="JY4" s="19"/>
      <c r="JZ4" s="19"/>
      <c r="KA4" s="19"/>
      <c r="KB4" s="14" t="str">
        <f t="shared" ref="KB4:KB15" si="70">IF(SUM(JI4,JM4)&gt;0,SUM(JI4,JM4),"")</f>
        <v/>
      </c>
      <c r="KC4" s="14" t="str">
        <f t="shared" ref="KC4:KC15" si="71">IF(SUM(JH4:JI4,JK4:JM4,JO4)-JJ4-JN4&gt;0,SUM(JH4:JI4,JK4:JM4,JO4)-JJ4-JN4,"")</f>
        <v/>
      </c>
      <c r="KD4" s="14" t="str">
        <f t="shared" ref="KD4:KD15" si="72">IF(SUM(JP4:JQ4,JS4)-JR4&gt;0,SUM(JP4:JQ4,JS4)-JR4,"")</f>
        <v/>
      </c>
      <c r="KE4" s="14" t="str">
        <f t="shared" ref="KE4:KE15" si="73">IF(SUM(JU4,JY4)&gt;0,SUM(JU4,JY4),"")</f>
        <v/>
      </c>
      <c r="KF4" s="14" t="str">
        <f t="shared" ref="KF4:KF15" si="74">IF(SUM(JT4:JU4,JW4:JY4,KA4)-SUM(JV4,JZ4)&gt;0,SUM(JT4:JU4,JW4:JY4,KA4)-SUM(JV4,JZ4),"")</f>
        <v/>
      </c>
      <c r="KG4" s="14" t="str">
        <f t="shared" ref="KG4:KG15" si="75">IF(SUM(KC4,KD4,KF4)&gt;0,SUM(KC4,KD4,KF4),"")</f>
        <v/>
      </c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55" t="str">
        <f t="shared" ref="LB4:LB15" si="76">IF(SUM(KI4,KM4)&gt;0,SUM(KI4,KM4),"")</f>
        <v/>
      </c>
      <c r="LC4" s="55" t="str">
        <f t="shared" ref="LC4:LC15" si="77">IF(SUM(KH4:KI4,KK4:KM4,KO4)-KJ4-KN4&gt;0,SUM(KH4:KI4,KK4:KM4,KO4)-KJ4-KN4,"")</f>
        <v/>
      </c>
      <c r="LD4" s="55" t="str">
        <f t="shared" ref="LD4:LD15" si="78">IF(SUM(KP4:KQ4,KS4)-KR4&gt;0,SUM(KP4:KQ4,KS4)-KR4,"")</f>
        <v/>
      </c>
      <c r="LE4" s="55" t="str">
        <f t="shared" ref="LE4:LE15" si="79">IF(SUM(KU4,KY4)&gt;0,SUM(KU4,KY4),"")</f>
        <v/>
      </c>
      <c r="LF4" s="55" t="str">
        <f t="shared" ref="LF4:LF15" si="80">IF(SUM(KT4:KU4,KW4:KY4,LA4)-SUM(KV4,KZ4)&gt;0,SUM(KT4:KU4,KW4:KY4,LA4)-SUM(KV4,KZ4),"")</f>
        <v/>
      </c>
      <c r="LG4" s="55" t="str">
        <f t="shared" ref="LG4:LG15" si="81">IF(SUM(LC4,LD4,LF4)&gt;0,SUM(LC4,LD4,LF4),"")</f>
        <v/>
      </c>
      <c r="LH4" s="19"/>
      <c r="LI4" s="19"/>
      <c r="LJ4" s="19"/>
      <c r="LK4" s="19"/>
      <c r="LL4" s="19"/>
      <c r="LM4" s="19"/>
      <c r="LN4" s="19"/>
      <c r="LO4" s="19"/>
      <c r="LP4" s="19"/>
      <c r="LQ4" s="19"/>
      <c r="LR4" s="19"/>
      <c r="LS4" s="19"/>
      <c r="LT4" s="19"/>
      <c r="LU4" s="19"/>
      <c r="LV4" s="19"/>
      <c r="LW4" s="19"/>
      <c r="LX4" s="19"/>
      <c r="LY4" s="19"/>
      <c r="LZ4" s="19"/>
      <c r="MA4" s="19"/>
      <c r="MB4" s="14" t="str">
        <f t="shared" ref="MB4:MB15" si="82">IF(SUM(LI4,LM4)&gt;0,SUM(LI4,LM4),"")</f>
        <v/>
      </c>
      <c r="MC4" s="14" t="str">
        <f t="shared" ref="MC4:MC15" si="83">IF(SUM(LH4:LI4,LK4:LM4,LO4)-LJ4-LN4&gt;0,SUM(LH4:LI4,LK4:LM4,LO4)-LJ4-LN4,"")</f>
        <v/>
      </c>
      <c r="MD4" s="14" t="str">
        <f t="shared" ref="MD4:MD15" si="84">IF(SUM(LP4:LQ4,LS4)-LR4&gt;0,SUM(LP4:LQ4,LS4)-LR4,"")</f>
        <v/>
      </c>
      <c r="ME4" s="14" t="str">
        <f t="shared" ref="ME4:ME15" si="85">IF(SUM(LU4,LY4)&gt;0,SUM(LU4,LY4),"")</f>
        <v/>
      </c>
      <c r="MF4" s="14" t="str">
        <f t="shared" ref="MF4:MF15" si="86">IF(SUM(LT4:LU4,LW4:LY4,MA4)-SUM(LV4,LZ4)&gt;0,SUM(LT4:LU4,LW4:LY4,MA4)-SUM(LV4,LZ4),"")</f>
        <v/>
      </c>
      <c r="MG4" s="14" t="str">
        <f t="shared" ref="MG4:MG15" si="87">IF(SUM(MC4,MD4,MF4)&gt;0,SUM(MC4,MD4,MF4),"")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55" t="str">
        <f t="shared" ref="NB4:NB15" si="88">IF(SUM(MI4,MM4)&gt;0,SUM(MI4,MM4),"")</f>
        <v/>
      </c>
      <c r="NC4" s="55" t="str">
        <f t="shared" ref="NC4:NC15" si="89">IF(SUM(MH4:MI4,MK4:MM4,MO4)-MJ4-MN4&gt;0,SUM(MH4:MI4,MK4:MM4,MO4)-MJ4-MN4,"")</f>
        <v/>
      </c>
      <c r="ND4" s="55" t="str">
        <f t="shared" ref="ND4:ND15" si="90">IF(SUM(MP4:MQ4,MS4)-MR4&gt;0,SUM(MP4:MQ4,MS4)-MR4,"")</f>
        <v/>
      </c>
      <c r="NE4" s="55" t="str">
        <f t="shared" ref="NE4:NE15" si="91">IF(SUM(MU4,MY4)&gt;0,SUM(MU4,MY4),"")</f>
        <v/>
      </c>
      <c r="NF4" s="55" t="str">
        <f t="shared" ref="NF4:NF15" si="92">IF(SUM(MT4:MU4,MW4:MY4,NA4)-SUM(MV4,MZ4)&gt;0,SUM(MT4:MU4,MW4:MY4,NA4)-SUM(MV4,MZ4),"")</f>
        <v/>
      </c>
      <c r="NG4" s="55" t="str">
        <f t="shared" ref="NG4:NG15" si="93">IF(SUM(NC4,ND4,NF4)&gt;0,SUM(NC4,ND4,NF4),"")</f>
        <v/>
      </c>
      <c r="NH4" s="19"/>
      <c r="NI4" s="19"/>
      <c r="NJ4" s="19"/>
      <c r="NK4" s="19"/>
      <c r="NL4" s="19"/>
      <c r="NM4" s="19"/>
      <c r="NN4" s="19"/>
      <c r="NO4" s="19"/>
      <c r="NP4" s="19"/>
      <c r="NQ4" s="19"/>
      <c r="NR4" s="19"/>
      <c r="NS4" s="19"/>
      <c r="NT4" s="19"/>
      <c r="NU4" s="19"/>
      <c r="NV4" s="19"/>
      <c r="NW4" s="19"/>
      <c r="NX4" s="19"/>
      <c r="NY4" s="19"/>
      <c r="NZ4" s="19"/>
      <c r="OA4" s="19"/>
      <c r="OB4" s="14" t="str">
        <f t="shared" ref="OB4:OB15" si="94">IF(SUM(NI4,NM4)&gt;0,SUM(NI4,NM4),"")</f>
        <v/>
      </c>
      <c r="OC4" s="14" t="str">
        <f t="shared" ref="OC4:OC15" si="95">IF(SUM(NH4:NI4,NK4:NM4,NO4)-NJ4-NN4&gt;0,SUM(NH4:NI4,NK4:NM4,NO4)-NJ4-NN4,"")</f>
        <v/>
      </c>
      <c r="OD4" s="14" t="str">
        <f t="shared" ref="OD4:OD15" si="96">IF(SUM(NP4:NQ4,NS4)-NR4&gt;0,SUM(NP4:NQ4,NS4)-NR4,"")</f>
        <v/>
      </c>
      <c r="OE4" s="14" t="str">
        <f t="shared" ref="OE4:OE15" si="97">IF(SUM(NU4,NY4)&gt;0,SUM(NU4,NY4),"")</f>
        <v/>
      </c>
      <c r="OF4" s="14" t="str">
        <f t="shared" ref="OF4:OF15" si="98">IF(SUM(NT4:NU4,NW4:NY4,OA4)-SUM(NV4,NZ4)&gt;0,SUM(NT4:NU4,NW4:NY4,OA4)-SUM(NV4,NZ4),"")</f>
        <v/>
      </c>
      <c r="OG4" s="14" t="str">
        <f t="shared" ref="OG4:OG15" si="99">IF(SUM(OC4,OD4,OF4)&gt;0,SUM(OC4,OD4,OF4),"")</f>
        <v/>
      </c>
      <c r="OH4" s="27">
        <f t="shared" ref="OH4:OH15" si="100">IF($BZ4="P",BJ4,(BJ4+AN4)/2)</f>
        <v>18.55</v>
      </c>
      <c r="OI4" s="27">
        <f t="shared" ref="OI4:OI15" si="101">IF($BZ4="P",BK4,(BK4+AO4)/2)</f>
        <v>6</v>
      </c>
      <c r="OJ4" s="27">
        <f t="shared" ref="OJ4:OJ15" si="102">IF($BZ4="P",BL4,(BL4+AP4)/2)</f>
        <v>0.4</v>
      </c>
      <c r="OK4" s="27">
        <f t="shared" ref="OK4:OK15" si="103">IF($BZ4="P",BM4,(BM4+AQ4)/2)</f>
        <v>0</v>
      </c>
      <c r="OL4" s="27">
        <f t="shared" ref="OL4:OL15" si="104">IF($BZ4="P",BN4,(BN4+AR4)/2)</f>
        <v>18.950000000000003</v>
      </c>
      <c r="OM4" s="27">
        <f t="shared" ref="OM4:OM15" si="105">IF($BZ4="P",BO4,(BO4+AS4)/2)</f>
        <v>6.8</v>
      </c>
      <c r="ON4" s="27">
        <f t="shared" ref="ON4:ON15" si="106">IF($BZ4="P",BP4,(BP4+AT4)/2)</f>
        <v>0.3</v>
      </c>
      <c r="OO4" s="27">
        <f t="shared" ref="OO4:OO15" si="107">IF($BZ4="P",BQ4,(BQ4+AU4)/2)</f>
        <v>0</v>
      </c>
      <c r="OP4" s="27">
        <f t="shared" ref="OP4:OP15" si="108">IF($BZ4="P",BR4,(BR4+AV4)/2)</f>
        <v>18.899999999999999</v>
      </c>
      <c r="OQ4" s="27">
        <f t="shared" ref="OQ4:OQ15" si="109">IF($BZ4="P",BS4,(BS4+AW4)/2)</f>
        <v>6.2</v>
      </c>
      <c r="OR4" s="27">
        <f t="shared" ref="OR4:OR15" si="110">IF($BZ4="P",BT4,(BT4+AX4)/2)</f>
        <v>0.4</v>
      </c>
      <c r="OS4" s="27">
        <f t="shared" ref="OS4:OS15" si="111">IF($BZ4="P",BU4,(BU4+AY4)/2)</f>
        <v>0</v>
      </c>
      <c r="OT4" s="27">
        <f t="shared" ref="OT4:OT15" si="112">IF($BZ4="P",BV4,(BV4+AZ4)/2)</f>
        <v>18.95</v>
      </c>
      <c r="OU4" s="27">
        <f t="shared" ref="OU4:OU15" si="113">IF($BZ4="P",BW4,(BW4+BA4)/2)</f>
        <v>5.6</v>
      </c>
      <c r="OV4" s="27">
        <f t="shared" ref="OV4:OV15" si="114">IF($BZ4="P",BX4,(BX4+BB4)/2)</f>
        <v>0.6</v>
      </c>
      <c r="OW4" s="27">
        <f t="shared" ref="OW4:OW15" si="115">IF($BZ4="P",BY4,(BY4+BC4)/2)</f>
        <v>0</v>
      </c>
      <c r="OX4" s="32" t="s">
        <v>44</v>
      </c>
      <c r="OY4" s="55">
        <f t="shared" ref="OY4:OY15" si="116">IF(SUM(OI4,OM4)&gt;0,SUM(OI4,OM4),"")</f>
        <v>12.8</v>
      </c>
      <c r="OZ4" s="55">
        <f t="shared" ref="OZ4:OZ15" si="117">IF(SUM(OH4:OI4,OK4:OM4,OO4)-OJ4-ON4&gt;0,SUM(OH4:OI4,OK4:OM4,OO4)-OJ4-ON4,"")</f>
        <v>49.6</v>
      </c>
      <c r="PA4" s="55">
        <f t="shared" ref="PA4:PA15" si="118">IF(SUM(OQ4,OU4)&gt;0,SUM(OQ4,OU4),"")</f>
        <v>11.8</v>
      </c>
      <c r="PB4" s="55">
        <f t="shared" ref="PB4:PB15" si="119">IF(SUM(OP4:OQ4,OS4:OU4,OW4)-SUM(OR4,OV4)&gt;0,SUM(OP4:OQ4,OS4:OU4,OW4)-SUM(OR4,OV4),"")</f>
        <v>48.65</v>
      </c>
      <c r="PC4" s="55">
        <f t="shared" ref="PC4:PC15" si="120">IF(SUM(OZ4,PB4)&gt;0,SUM(OZ4,PB4),"")</f>
        <v>98.25</v>
      </c>
    </row>
    <row r="5" spans="1:419" x14ac:dyDescent="0.2">
      <c r="A5" s="4" cm="1">
        <f t="array" ref="A5">IF(AND(H5&lt;&gt;"",H5&lt;&gt;"No DD"),SUMPRODUCT((H$4:H$16&lt;&gt;"")*(H$4:H$16&lt;&gt;"No DD")*(E$4:E$16&gt;E5))+1,IF(H5="No DD",SUMPRODUCT((H$4:H$16="No DD")*(E$4:E$16&gt;E5))+1+SUMPRODUCT((H$4:H$16&lt;&gt;"")*(H$4:H$16&lt;&gt;"No DD")),""))</f>
        <v>2</v>
      </c>
      <c r="B5" s="5" t="s">
        <v>93</v>
      </c>
      <c r="C5" s="4" t="s">
        <v>62</v>
      </c>
      <c r="D5" s="4">
        <v>2009</v>
      </c>
      <c r="E5" s="10">
        <f t="shared" si="0"/>
        <v>149.900014720005</v>
      </c>
      <c r="F5" s="3" t="str">
        <f t="shared" si="1"/>
        <v>P</v>
      </c>
      <c r="G5" s="3" t="str">
        <f t="shared" si="2"/>
        <v>P</v>
      </c>
      <c r="H5" s="47" t="str">
        <f t="shared" si="3"/>
        <v>National Team</v>
      </c>
      <c r="I5" s="9">
        <f>IF(COUNT(AJ5,BF5,CB5)&gt;0,LARGE((AJ5,BF5,CB5),1),0)</f>
        <v>49.6</v>
      </c>
      <c r="J5" s="9" t="str">
        <f t="shared" si="4"/>
        <v>2025 Nationals</v>
      </c>
      <c r="K5" s="9">
        <f>IF(COUNT(AJ5,BF5,CB5)&gt;1,LARGE((AJ5,BF5,CB5),2),0)</f>
        <v>48.7</v>
      </c>
      <c r="L5" s="9" t="str">
        <f t="shared" si="5"/>
        <v>2025 Elite Canada</v>
      </c>
      <c r="M5" s="9">
        <f t="shared" si="6"/>
        <v>48.900000000000006</v>
      </c>
      <c r="N5" s="9" t="str">
        <f t="shared" si="7"/>
        <v>2025 Nationals</v>
      </c>
      <c r="O5" s="9">
        <f t="shared" si="8"/>
        <v>2.7000000000000028</v>
      </c>
      <c r="P5" s="14" t="str">
        <f t="shared" si="9"/>
        <v>(Q1)</v>
      </c>
      <c r="Q5" s="9" t="str">
        <f t="shared" si="10"/>
        <v>2025 WAGC (Nov 16)</v>
      </c>
      <c r="R5" s="20">
        <v>18.3</v>
      </c>
      <c r="S5" s="20">
        <v>6.4</v>
      </c>
      <c r="T5" s="20">
        <v>0</v>
      </c>
      <c r="U5" s="20">
        <v>0</v>
      </c>
      <c r="V5" s="20">
        <v>18.2</v>
      </c>
      <c r="W5" s="20">
        <v>6</v>
      </c>
      <c r="X5" s="20">
        <v>0.2</v>
      </c>
      <c r="Y5" s="20">
        <v>0</v>
      </c>
      <c r="Z5" s="20">
        <v>18.600000000000001</v>
      </c>
      <c r="AA5" s="20">
        <v>6.4</v>
      </c>
      <c r="AB5" s="20">
        <v>0.2</v>
      </c>
      <c r="AC5" s="20">
        <v>0</v>
      </c>
      <c r="AD5" s="20">
        <v>18.3</v>
      </c>
      <c r="AE5" s="20">
        <v>5.2</v>
      </c>
      <c r="AF5" s="20">
        <v>0</v>
      </c>
      <c r="AG5" s="20">
        <v>0</v>
      </c>
      <c r="AH5" s="32"/>
      <c r="AI5" s="55">
        <f t="shared" si="11"/>
        <v>12.4</v>
      </c>
      <c r="AJ5" s="55">
        <f t="shared" si="12"/>
        <v>48.7</v>
      </c>
      <c r="AK5" s="55">
        <f t="shared" si="13"/>
        <v>11.600000000000001</v>
      </c>
      <c r="AL5" s="55">
        <f t="shared" si="14"/>
        <v>48.3</v>
      </c>
      <c r="AM5" s="55">
        <f t="shared" si="15"/>
        <v>97</v>
      </c>
      <c r="AN5" s="19">
        <v>18.5</v>
      </c>
      <c r="AO5" s="19">
        <v>7.2</v>
      </c>
      <c r="AP5" s="19">
        <v>0.8</v>
      </c>
      <c r="AQ5" s="19">
        <v>0</v>
      </c>
      <c r="AR5" s="19">
        <v>18.7</v>
      </c>
      <c r="AS5" s="19">
        <v>6.8</v>
      </c>
      <c r="AT5" s="19">
        <v>0.8</v>
      </c>
      <c r="AU5" s="19">
        <v>0</v>
      </c>
      <c r="AV5" s="19">
        <v>18.100000000000001</v>
      </c>
      <c r="AW5" s="19">
        <v>6</v>
      </c>
      <c r="AX5" s="19">
        <v>0.6</v>
      </c>
      <c r="AY5" s="19">
        <v>0</v>
      </c>
      <c r="AZ5" s="19">
        <v>19</v>
      </c>
      <c r="BA5" s="19">
        <v>7.2</v>
      </c>
      <c r="BB5" s="19">
        <v>0.8</v>
      </c>
      <c r="BC5" s="19">
        <v>0</v>
      </c>
      <c r="BD5" s="33"/>
      <c r="BE5" s="14">
        <f t="shared" si="16"/>
        <v>14</v>
      </c>
      <c r="BF5" s="14">
        <f t="shared" si="17"/>
        <v>49.6</v>
      </c>
      <c r="BG5" s="14">
        <f t="shared" si="18"/>
        <v>13.2</v>
      </c>
      <c r="BH5" s="14">
        <f t="shared" si="19"/>
        <v>48.900000000000006</v>
      </c>
      <c r="BI5" s="14">
        <f t="shared" si="20"/>
        <v>98.5</v>
      </c>
      <c r="BJ5" s="20"/>
      <c r="BK5" s="20"/>
      <c r="BL5" s="20"/>
      <c r="BM5" s="20"/>
      <c r="BN5" s="20"/>
      <c r="BO5" s="20"/>
      <c r="BP5" s="20"/>
      <c r="BQ5" s="20"/>
      <c r="BR5" s="20"/>
      <c r="BS5" s="20"/>
      <c r="BT5" s="20"/>
      <c r="BU5" s="20"/>
      <c r="BV5" s="20"/>
      <c r="BW5" s="20"/>
      <c r="BX5" s="20"/>
      <c r="BY5" s="20"/>
      <c r="BZ5" s="32"/>
      <c r="CA5" s="55" t="str">
        <f t="shared" si="21"/>
        <v/>
      </c>
      <c r="CB5" s="55" t="str">
        <f t="shared" si="22"/>
        <v/>
      </c>
      <c r="CC5" s="55" t="str">
        <f t="shared" si="23"/>
        <v/>
      </c>
      <c r="CD5" s="55" t="str">
        <f t="shared" si="24"/>
        <v/>
      </c>
      <c r="CE5" s="55" t="str">
        <f t="shared" si="25"/>
        <v/>
      </c>
      <c r="CF5" s="56">
        <f t="shared" si="26"/>
        <v>2.7000000000000028</v>
      </c>
      <c r="CG5" s="56" t="str">
        <f t="shared" si="27"/>
        <v/>
      </c>
      <c r="CH5" s="18">
        <v>18.8</v>
      </c>
      <c r="CI5" s="18">
        <v>8.4</v>
      </c>
      <c r="CJ5" s="18">
        <v>0.2</v>
      </c>
      <c r="CK5" s="18">
        <v>0</v>
      </c>
      <c r="CL5" s="18">
        <v>18</v>
      </c>
      <c r="CM5" s="18">
        <v>7.2</v>
      </c>
      <c r="CN5" s="18">
        <v>0.8</v>
      </c>
      <c r="CO5" s="18">
        <v>0</v>
      </c>
      <c r="CP5" s="18">
        <v>15.2</v>
      </c>
      <c r="CQ5" s="18">
        <v>3.6</v>
      </c>
      <c r="CR5" s="18">
        <v>0</v>
      </c>
      <c r="CS5" s="18">
        <v>0</v>
      </c>
      <c r="CT5" s="18"/>
      <c r="CU5" s="18"/>
      <c r="CV5" s="18"/>
      <c r="CW5" s="18"/>
      <c r="CX5" s="18"/>
      <c r="CY5" s="18"/>
      <c r="CZ5" s="18"/>
      <c r="DA5" s="18"/>
      <c r="DB5" s="55">
        <f t="shared" si="28"/>
        <v>15.600000000000001</v>
      </c>
      <c r="DC5" s="55">
        <f t="shared" si="29"/>
        <v>51.400000000000006</v>
      </c>
      <c r="DD5" s="55">
        <f t="shared" si="30"/>
        <v>18.8</v>
      </c>
      <c r="DE5" s="55" t="str">
        <f t="shared" si="31"/>
        <v/>
      </c>
      <c r="DF5" s="55" t="str">
        <f t="shared" si="32"/>
        <v/>
      </c>
      <c r="DG5" s="55">
        <f t="shared" si="33"/>
        <v>70.2</v>
      </c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4" t="str">
        <f t="shared" si="34"/>
        <v/>
      </c>
      <c r="EC5" s="14" t="str">
        <f t="shared" si="35"/>
        <v/>
      </c>
      <c r="ED5" s="14" t="str">
        <f t="shared" si="36"/>
        <v/>
      </c>
      <c r="EE5" s="14" t="str">
        <f t="shared" si="37"/>
        <v/>
      </c>
      <c r="EF5" s="14" t="str">
        <f t="shared" si="38"/>
        <v/>
      </c>
      <c r="EG5" s="14" t="str">
        <f t="shared" si="39"/>
        <v/>
      </c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55" t="str">
        <f t="shared" si="40"/>
        <v/>
      </c>
      <c r="FC5" s="55" t="str">
        <f t="shared" si="41"/>
        <v/>
      </c>
      <c r="FD5" s="55" t="str">
        <f t="shared" si="42"/>
        <v/>
      </c>
      <c r="FE5" s="55" t="str">
        <f t="shared" si="43"/>
        <v/>
      </c>
      <c r="FF5" s="55" t="str">
        <f t="shared" si="44"/>
        <v/>
      </c>
      <c r="FG5" s="55" t="str">
        <f t="shared" si="45"/>
        <v/>
      </c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19"/>
      <c r="FS5" s="19"/>
      <c r="FT5" s="19"/>
      <c r="FU5" s="19"/>
      <c r="FV5" s="19"/>
      <c r="FW5" s="19"/>
      <c r="FX5" s="19"/>
      <c r="FY5" s="19"/>
      <c r="FZ5" s="19"/>
      <c r="GA5" s="19"/>
      <c r="GB5" s="14" t="str">
        <f t="shared" si="46"/>
        <v/>
      </c>
      <c r="GC5" s="14" t="str">
        <f t="shared" si="47"/>
        <v/>
      </c>
      <c r="GD5" s="14" t="str">
        <f t="shared" si="48"/>
        <v/>
      </c>
      <c r="GE5" s="14" t="str">
        <f t="shared" si="49"/>
        <v/>
      </c>
      <c r="GF5" s="14" t="str">
        <f t="shared" si="50"/>
        <v/>
      </c>
      <c r="GG5" s="14" t="str">
        <f t="shared" si="51"/>
        <v/>
      </c>
      <c r="GH5" s="18"/>
      <c r="GI5" s="18"/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55" t="str">
        <f t="shared" si="52"/>
        <v/>
      </c>
      <c r="HC5" s="55" t="str">
        <f t="shared" si="53"/>
        <v/>
      </c>
      <c r="HD5" s="55" t="str">
        <f t="shared" si="54"/>
        <v/>
      </c>
      <c r="HE5" s="55" t="str">
        <f t="shared" si="55"/>
        <v/>
      </c>
      <c r="HF5" s="55" t="str">
        <f t="shared" si="56"/>
        <v/>
      </c>
      <c r="HG5" s="55" t="str">
        <f t="shared" si="57"/>
        <v/>
      </c>
      <c r="HH5" s="19"/>
      <c r="HI5" s="19"/>
      <c r="HJ5" s="19"/>
      <c r="HK5" s="19"/>
      <c r="HL5" s="19"/>
      <c r="HM5" s="19"/>
      <c r="HN5" s="19"/>
      <c r="HO5" s="19"/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4" t="str">
        <f t="shared" si="58"/>
        <v/>
      </c>
      <c r="IC5" s="14" t="str">
        <f t="shared" si="59"/>
        <v/>
      </c>
      <c r="ID5" s="14" t="str">
        <f t="shared" si="60"/>
        <v/>
      </c>
      <c r="IE5" s="14" t="str">
        <f t="shared" si="61"/>
        <v/>
      </c>
      <c r="IF5" s="14" t="str">
        <f t="shared" si="62"/>
        <v/>
      </c>
      <c r="IG5" s="14" t="str">
        <f t="shared" si="63"/>
        <v/>
      </c>
      <c r="IH5" s="18"/>
      <c r="II5" s="18"/>
      <c r="IJ5" s="18"/>
      <c r="IK5" s="18"/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55" t="str">
        <f t="shared" si="64"/>
        <v/>
      </c>
      <c r="JC5" s="55" t="str">
        <f t="shared" si="65"/>
        <v/>
      </c>
      <c r="JD5" s="55" t="str">
        <f t="shared" si="66"/>
        <v/>
      </c>
      <c r="JE5" s="55" t="str">
        <f t="shared" si="67"/>
        <v/>
      </c>
      <c r="JF5" s="55" t="str">
        <f t="shared" si="68"/>
        <v/>
      </c>
      <c r="JG5" s="55" t="str">
        <f t="shared" si="69"/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19"/>
      <c r="JX5" s="19"/>
      <c r="JY5" s="19"/>
      <c r="JZ5" s="19"/>
      <c r="KA5" s="19"/>
      <c r="KB5" s="14" t="str">
        <f t="shared" si="70"/>
        <v/>
      </c>
      <c r="KC5" s="14" t="str">
        <f t="shared" si="71"/>
        <v/>
      </c>
      <c r="KD5" s="14" t="str">
        <f t="shared" si="72"/>
        <v/>
      </c>
      <c r="KE5" s="14" t="str">
        <f t="shared" si="73"/>
        <v/>
      </c>
      <c r="KF5" s="14" t="str">
        <f t="shared" si="74"/>
        <v/>
      </c>
      <c r="KG5" s="14" t="str">
        <f t="shared" si="75"/>
        <v/>
      </c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55" t="str">
        <f t="shared" si="76"/>
        <v/>
      </c>
      <c r="LC5" s="55" t="str">
        <f t="shared" si="77"/>
        <v/>
      </c>
      <c r="LD5" s="55" t="str">
        <f t="shared" si="78"/>
        <v/>
      </c>
      <c r="LE5" s="55" t="str">
        <f t="shared" si="79"/>
        <v/>
      </c>
      <c r="LF5" s="55" t="str">
        <f t="shared" si="80"/>
        <v/>
      </c>
      <c r="LG5" s="55" t="str">
        <f t="shared" si="81"/>
        <v/>
      </c>
      <c r="LH5" s="19"/>
      <c r="LI5" s="19"/>
      <c r="LJ5" s="19"/>
      <c r="LK5" s="19"/>
      <c r="LL5" s="19"/>
      <c r="LM5" s="19"/>
      <c r="LN5" s="19"/>
      <c r="LO5" s="19"/>
      <c r="LP5" s="19"/>
      <c r="LQ5" s="19"/>
      <c r="LR5" s="19"/>
      <c r="LS5" s="19"/>
      <c r="LT5" s="19"/>
      <c r="LU5" s="19"/>
      <c r="LV5" s="19"/>
      <c r="LW5" s="19"/>
      <c r="LX5" s="19"/>
      <c r="LY5" s="19"/>
      <c r="LZ5" s="19"/>
      <c r="MA5" s="19"/>
      <c r="MB5" s="14" t="str">
        <f t="shared" si="82"/>
        <v/>
      </c>
      <c r="MC5" s="14" t="str">
        <f t="shared" si="83"/>
        <v/>
      </c>
      <c r="MD5" s="14" t="str">
        <f t="shared" si="84"/>
        <v/>
      </c>
      <c r="ME5" s="14" t="str">
        <f t="shared" si="85"/>
        <v/>
      </c>
      <c r="MF5" s="14" t="str">
        <f t="shared" si="86"/>
        <v/>
      </c>
      <c r="MG5" s="14" t="str">
        <f t="shared" si="87"/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55" t="str">
        <f t="shared" si="88"/>
        <v/>
      </c>
      <c r="NC5" s="55" t="str">
        <f t="shared" si="89"/>
        <v/>
      </c>
      <c r="ND5" s="55" t="str">
        <f t="shared" si="90"/>
        <v/>
      </c>
      <c r="NE5" s="55" t="str">
        <f t="shared" si="91"/>
        <v/>
      </c>
      <c r="NF5" s="55" t="str">
        <f t="shared" si="92"/>
        <v/>
      </c>
      <c r="NG5" s="55" t="str">
        <f t="shared" si="93"/>
        <v/>
      </c>
      <c r="NH5" s="19"/>
      <c r="NI5" s="19"/>
      <c r="NJ5" s="19"/>
      <c r="NK5" s="19"/>
      <c r="NL5" s="19"/>
      <c r="NM5" s="19"/>
      <c r="NN5" s="19"/>
      <c r="NO5" s="19"/>
      <c r="NP5" s="19"/>
      <c r="NQ5" s="19"/>
      <c r="NR5" s="19"/>
      <c r="NS5" s="19"/>
      <c r="NT5" s="19"/>
      <c r="NU5" s="19"/>
      <c r="NV5" s="19"/>
      <c r="NW5" s="19"/>
      <c r="NX5" s="19"/>
      <c r="NY5" s="19"/>
      <c r="NZ5" s="19"/>
      <c r="OA5" s="19"/>
      <c r="OB5" s="14" t="str">
        <f t="shared" si="94"/>
        <v/>
      </c>
      <c r="OC5" s="14" t="str">
        <f t="shared" si="95"/>
        <v/>
      </c>
      <c r="OD5" s="14" t="str">
        <f t="shared" si="96"/>
        <v/>
      </c>
      <c r="OE5" s="14" t="str">
        <f t="shared" si="97"/>
        <v/>
      </c>
      <c r="OF5" s="14" t="str">
        <f t="shared" si="98"/>
        <v/>
      </c>
      <c r="OG5" s="14" t="str">
        <f t="shared" si="99"/>
        <v/>
      </c>
      <c r="OH5" s="27">
        <f t="shared" si="100"/>
        <v>9.25</v>
      </c>
      <c r="OI5" s="27">
        <f t="shared" si="101"/>
        <v>3.6</v>
      </c>
      <c r="OJ5" s="27">
        <f t="shared" si="102"/>
        <v>0.4</v>
      </c>
      <c r="OK5" s="27">
        <f t="shared" si="103"/>
        <v>0</v>
      </c>
      <c r="OL5" s="27">
        <f t="shared" si="104"/>
        <v>9.35</v>
      </c>
      <c r="OM5" s="27">
        <f t="shared" si="105"/>
        <v>3.4</v>
      </c>
      <c r="ON5" s="27">
        <f t="shared" si="106"/>
        <v>0.4</v>
      </c>
      <c r="OO5" s="27">
        <f t="shared" si="107"/>
        <v>0</v>
      </c>
      <c r="OP5" s="27">
        <f t="shared" si="108"/>
        <v>9.0500000000000007</v>
      </c>
      <c r="OQ5" s="27">
        <f t="shared" si="109"/>
        <v>3</v>
      </c>
      <c r="OR5" s="27">
        <f t="shared" si="110"/>
        <v>0.3</v>
      </c>
      <c r="OS5" s="27">
        <f t="shared" si="111"/>
        <v>0</v>
      </c>
      <c r="OT5" s="27">
        <f t="shared" si="112"/>
        <v>9.5</v>
      </c>
      <c r="OU5" s="27">
        <f t="shared" si="113"/>
        <v>3.6</v>
      </c>
      <c r="OV5" s="27">
        <f t="shared" si="114"/>
        <v>0.4</v>
      </c>
      <c r="OW5" s="27">
        <f t="shared" si="115"/>
        <v>0</v>
      </c>
      <c r="OX5" s="32" t="s">
        <v>44</v>
      </c>
      <c r="OY5" s="55">
        <f t="shared" si="116"/>
        <v>7</v>
      </c>
      <c r="OZ5" s="55">
        <f t="shared" si="117"/>
        <v>24.8</v>
      </c>
      <c r="PA5" s="55">
        <f t="shared" si="118"/>
        <v>6.6</v>
      </c>
      <c r="PB5" s="55">
        <f t="shared" si="119"/>
        <v>24.450000000000003</v>
      </c>
      <c r="PC5" s="55">
        <f t="shared" si="120"/>
        <v>49.25</v>
      </c>
    </row>
    <row r="6" spans="1:419" x14ac:dyDescent="0.2">
      <c r="A6" s="4" t="str" cm="1">
        <f t="array" ref="A6">IF(AND(H6&lt;&gt;"",H6&lt;&gt;"No DD"),SUMPRODUCT((H$4:H$16&lt;&gt;"")*(H$4:H$16&lt;&gt;"No DD")*(E$4:E$16&gt;E6))+1,IF(H6="No DD",SUMPRODUCT((H$4:H$16="No DD")*(E$4:E$16&gt;E6))+1+SUMPRODUCT((H$4:H$16&lt;&gt;"")*(H$4:H$16&lt;&gt;"No DD")),""))</f>
        <v/>
      </c>
      <c r="B6" s="5" t="s">
        <v>81</v>
      </c>
      <c r="C6" s="4" t="s">
        <v>64</v>
      </c>
      <c r="D6" s="4">
        <v>2012</v>
      </c>
      <c r="E6" s="10">
        <f t="shared" si="0"/>
        <v>147.70001472000493</v>
      </c>
      <c r="F6" s="3" t="str">
        <f t="shared" si="1"/>
        <v/>
      </c>
      <c r="G6" s="3" t="str">
        <f t="shared" si="2"/>
        <v/>
      </c>
      <c r="H6" s="47" t="str">
        <f t="shared" si="3"/>
        <v/>
      </c>
      <c r="I6" s="9">
        <f>IF(COUNT(AJ6,BF6,CB6)&gt;0,LARGE((AJ6,BF6,CB6),1),0)</f>
        <v>49.1</v>
      </c>
      <c r="J6" s="9" t="str">
        <f t="shared" si="4"/>
        <v>2025 Nationals</v>
      </c>
      <c r="K6" s="9">
        <f>IF(COUNT(AJ6,BF6,CB6)&gt;1,LARGE((AJ6,BF6,CB6),2),0)</f>
        <v>48.500000000000007</v>
      </c>
      <c r="L6" s="9" t="str">
        <f t="shared" si="5"/>
        <v>2025 Elite Canada</v>
      </c>
      <c r="M6" s="9">
        <f t="shared" si="6"/>
        <v>49.6</v>
      </c>
      <c r="N6" s="9" t="str">
        <f t="shared" si="7"/>
        <v>2025 Nationals</v>
      </c>
      <c r="O6" s="9">
        <f t="shared" si="8"/>
        <v>0.49999999999999289</v>
      </c>
      <c r="P6" s="14" t="str">
        <f t="shared" si="9"/>
        <v>(Q1)</v>
      </c>
      <c r="Q6" s="9" t="str">
        <f t="shared" si="10"/>
        <v>2025 WAGC (Nov 16)</v>
      </c>
      <c r="R6" s="20">
        <v>19.100000000000001</v>
      </c>
      <c r="S6" s="20">
        <v>5.2</v>
      </c>
      <c r="T6" s="20">
        <v>0</v>
      </c>
      <c r="U6" s="20">
        <v>0</v>
      </c>
      <c r="V6" s="20">
        <v>18.600000000000001</v>
      </c>
      <c r="W6" s="20">
        <v>5.6</v>
      </c>
      <c r="X6" s="20">
        <v>0</v>
      </c>
      <c r="Y6" s="20">
        <v>0</v>
      </c>
      <c r="Z6" s="20">
        <v>19</v>
      </c>
      <c r="AA6" s="20">
        <v>6</v>
      </c>
      <c r="AB6" s="20">
        <v>0</v>
      </c>
      <c r="AC6" s="20">
        <v>0</v>
      </c>
      <c r="AD6" s="20">
        <v>18.600000000000001</v>
      </c>
      <c r="AE6" s="20">
        <v>5.6</v>
      </c>
      <c r="AF6" s="20">
        <v>0.2</v>
      </c>
      <c r="AG6" s="20">
        <v>0</v>
      </c>
      <c r="AH6" s="32"/>
      <c r="AI6" s="55">
        <f t="shared" si="11"/>
        <v>10.8</v>
      </c>
      <c r="AJ6" s="55">
        <f t="shared" si="12"/>
        <v>48.500000000000007</v>
      </c>
      <c r="AK6" s="55">
        <f t="shared" si="13"/>
        <v>11.6</v>
      </c>
      <c r="AL6" s="55">
        <f t="shared" si="14"/>
        <v>49</v>
      </c>
      <c r="AM6" s="55">
        <f t="shared" si="15"/>
        <v>97.5</v>
      </c>
      <c r="AN6" s="19">
        <v>19</v>
      </c>
      <c r="AO6" s="19">
        <v>6</v>
      </c>
      <c r="AP6" s="19">
        <v>0.6</v>
      </c>
      <c r="AQ6" s="19">
        <v>0</v>
      </c>
      <c r="AR6" s="19">
        <v>19.100000000000001</v>
      </c>
      <c r="AS6" s="19">
        <v>5.6</v>
      </c>
      <c r="AT6" s="19">
        <v>0</v>
      </c>
      <c r="AU6" s="19">
        <v>0</v>
      </c>
      <c r="AV6" s="19">
        <v>19.2</v>
      </c>
      <c r="AW6" s="19">
        <v>6</v>
      </c>
      <c r="AX6" s="19">
        <v>0</v>
      </c>
      <c r="AY6" s="19">
        <v>0</v>
      </c>
      <c r="AZ6" s="19">
        <v>18.8</v>
      </c>
      <c r="BA6" s="19">
        <v>5.6</v>
      </c>
      <c r="BB6" s="19">
        <v>0</v>
      </c>
      <c r="BC6" s="19">
        <v>0</v>
      </c>
      <c r="BD6" s="33"/>
      <c r="BE6" s="14">
        <f t="shared" si="16"/>
        <v>11.6</v>
      </c>
      <c r="BF6" s="14">
        <f t="shared" si="17"/>
        <v>49.1</v>
      </c>
      <c r="BG6" s="14">
        <f t="shared" si="18"/>
        <v>11.6</v>
      </c>
      <c r="BH6" s="14">
        <f t="shared" si="19"/>
        <v>49.6</v>
      </c>
      <c r="BI6" s="14">
        <f t="shared" si="20"/>
        <v>98.7</v>
      </c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32"/>
      <c r="CA6" s="55" t="str">
        <f t="shared" si="21"/>
        <v/>
      </c>
      <c r="CB6" s="55" t="str">
        <f t="shared" si="22"/>
        <v/>
      </c>
      <c r="CC6" s="55" t="str">
        <f t="shared" si="23"/>
        <v/>
      </c>
      <c r="CD6" s="55" t="str">
        <f t="shared" si="24"/>
        <v/>
      </c>
      <c r="CE6" s="55" t="str">
        <f t="shared" si="25"/>
        <v/>
      </c>
      <c r="CF6" s="56">
        <f t="shared" si="26"/>
        <v>0.49999999999999289</v>
      </c>
      <c r="CG6" s="56" t="str">
        <f t="shared" si="27"/>
        <v/>
      </c>
      <c r="CH6" s="18">
        <v>18.8</v>
      </c>
      <c r="CI6" s="18">
        <v>6</v>
      </c>
      <c r="CJ6" s="18">
        <v>0.6</v>
      </c>
      <c r="CK6" s="18">
        <v>0</v>
      </c>
      <c r="CL6" s="18">
        <v>19.2</v>
      </c>
      <c r="CM6" s="18">
        <v>5.6</v>
      </c>
      <c r="CN6" s="18">
        <v>0</v>
      </c>
      <c r="CO6" s="18">
        <v>0</v>
      </c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55">
        <f t="shared" si="28"/>
        <v>11.6</v>
      </c>
      <c r="DC6" s="55">
        <f t="shared" si="29"/>
        <v>49</v>
      </c>
      <c r="DD6" s="55" t="str">
        <f t="shared" si="30"/>
        <v/>
      </c>
      <c r="DE6" s="55" t="str">
        <f t="shared" si="31"/>
        <v/>
      </c>
      <c r="DF6" s="55" t="str">
        <f t="shared" si="32"/>
        <v/>
      </c>
      <c r="DG6" s="55">
        <f t="shared" si="33"/>
        <v>49</v>
      </c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19"/>
      <c r="EA6" s="19"/>
      <c r="EB6" s="14" t="str">
        <f t="shared" si="34"/>
        <v/>
      </c>
      <c r="EC6" s="14" t="str">
        <f t="shared" si="35"/>
        <v/>
      </c>
      <c r="ED6" s="14" t="str">
        <f t="shared" si="36"/>
        <v/>
      </c>
      <c r="EE6" s="14" t="str">
        <f t="shared" si="37"/>
        <v/>
      </c>
      <c r="EF6" s="14" t="str">
        <f t="shared" si="38"/>
        <v/>
      </c>
      <c r="EG6" s="14" t="str">
        <f t="shared" si="39"/>
        <v/>
      </c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55" t="str">
        <f t="shared" si="40"/>
        <v/>
      </c>
      <c r="FC6" s="55" t="str">
        <f t="shared" si="41"/>
        <v/>
      </c>
      <c r="FD6" s="55" t="str">
        <f t="shared" si="42"/>
        <v/>
      </c>
      <c r="FE6" s="55" t="str">
        <f t="shared" si="43"/>
        <v/>
      </c>
      <c r="FF6" s="55" t="str">
        <f t="shared" si="44"/>
        <v/>
      </c>
      <c r="FG6" s="55" t="str">
        <f t="shared" si="45"/>
        <v/>
      </c>
      <c r="FH6" s="19"/>
      <c r="FI6" s="19"/>
      <c r="FJ6" s="19"/>
      <c r="FK6" s="19"/>
      <c r="FL6" s="19"/>
      <c r="FM6" s="19"/>
      <c r="FN6" s="19"/>
      <c r="FO6" s="19"/>
      <c r="FP6" s="19"/>
      <c r="FQ6" s="19"/>
      <c r="FR6" s="19"/>
      <c r="FS6" s="19"/>
      <c r="FT6" s="19"/>
      <c r="FU6" s="19"/>
      <c r="FV6" s="19"/>
      <c r="FW6" s="19"/>
      <c r="FX6" s="19"/>
      <c r="FY6" s="19"/>
      <c r="FZ6" s="19"/>
      <c r="GA6" s="19"/>
      <c r="GB6" s="14" t="str">
        <f t="shared" si="46"/>
        <v/>
      </c>
      <c r="GC6" s="14" t="str">
        <f t="shared" si="47"/>
        <v/>
      </c>
      <c r="GD6" s="14" t="str">
        <f t="shared" si="48"/>
        <v/>
      </c>
      <c r="GE6" s="14" t="str">
        <f t="shared" si="49"/>
        <v/>
      </c>
      <c r="GF6" s="14" t="str">
        <f t="shared" si="50"/>
        <v/>
      </c>
      <c r="GG6" s="14" t="str">
        <f t="shared" si="51"/>
        <v/>
      </c>
      <c r="GH6" s="18"/>
      <c r="GI6" s="18"/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55" t="str">
        <f t="shared" si="52"/>
        <v/>
      </c>
      <c r="HC6" s="55" t="str">
        <f t="shared" si="53"/>
        <v/>
      </c>
      <c r="HD6" s="55" t="str">
        <f t="shared" si="54"/>
        <v/>
      </c>
      <c r="HE6" s="55" t="str">
        <f t="shared" si="55"/>
        <v/>
      </c>
      <c r="HF6" s="55" t="str">
        <f t="shared" si="56"/>
        <v/>
      </c>
      <c r="HG6" s="55" t="str">
        <f t="shared" si="57"/>
        <v/>
      </c>
      <c r="HH6" s="19"/>
      <c r="HI6" s="19"/>
      <c r="HJ6" s="19"/>
      <c r="HK6" s="19"/>
      <c r="HL6" s="19"/>
      <c r="HM6" s="19"/>
      <c r="HN6" s="19"/>
      <c r="HO6" s="19"/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4" t="str">
        <f t="shared" si="58"/>
        <v/>
      </c>
      <c r="IC6" s="14" t="str">
        <f t="shared" si="59"/>
        <v/>
      </c>
      <c r="ID6" s="14" t="str">
        <f t="shared" si="60"/>
        <v/>
      </c>
      <c r="IE6" s="14" t="str">
        <f t="shared" si="61"/>
        <v/>
      </c>
      <c r="IF6" s="14" t="str">
        <f t="shared" si="62"/>
        <v/>
      </c>
      <c r="IG6" s="14" t="str">
        <f t="shared" si="63"/>
        <v/>
      </c>
      <c r="IH6" s="18"/>
      <c r="II6" s="18"/>
      <c r="IJ6" s="18"/>
      <c r="IK6" s="18"/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55" t="str">
        <f t="shared" si="64"/>
        <v/>
      </c>
      <c r="JC6" s="55" t="str">
        <f t="shared" si="65"/>
        <v/>
      </c>
      <c r="JD6" s="55" t="str">
        <f t="shared" si="66"/>
        <v/>
      </c>
      <c r="JE6" s="55" t="str">
        <f t="shared" si="67"/>
        <v/>
      </c>
      <c r="JF6" s="55" t="str">
        <f t="shared" si="68"/>
        <v/>
      </c>
      <c r="JG6" s="55" t="str">
        <f t="shared" si="69"/>
        <v/>
      </c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19"/>
      <c r="JX6" s="19"/>
      <c r="JY6" s="19"/>
      <c r="JZ6" s="19"/>
      <c r="KA6" s="19"/>
      <c r="KB6" s="14" t="str">
        <f t="shared" si="70"/>
        <v/>
      </c>
      <c r="KC6" s="14" t="str">
        <f t="shared" si="71"/>
        <v/>
      </c>
      <c r="KD6" s="14" t="str">
        <f t="shared" si="72"/>
        <v/>
      </c>
      <c r="KE6" s="14" t="str">
        <f t="shared" si="73"/>
        <v/>
      </c>
      <c r="KF6" s="14" t="str">
        <f t="shared" si="74"/>
        <v/>
      </c>
      <c r="KG6" s="14" t="str">
        <f t="shared" si="75"/>
        <v/>
      </c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55" t="str">
        <f t="shared" si="76"/>
        <v/>
      </c>
      <c r="LC6" s="55" t="str">
        <f t="shared" si="77"/>
        <v/>
      </c>
      <c r="LD6" s="55" t="str">
        <f t="shared" si="78"/>
        <v/>
      </c>
      <c r="LE6" s="55" t="str">
        <f t="shared" si="79"/>
        <v/>
      </c>
      <c r="LF6" s="55" t="str">
        <f t="shared" si="80"/>
        <v/>
      </c>
      <c r="LG6" s="55" t="str">
        <f t="shared" si="81"/>
        <v/>
      </c>
      <c r="LH6" s="19"/>
      <c r="LI6" s="19"/>
      <c r="LJ6" s="19"/>
      <c r="LK6" s="19"/>
      <c r="LL6" s="19"/>
      <c r="LM6" s="19"/>
      <c r="LN6" s="19"/>
      <c r="LO6" s="19"/>
      <c r="LP6" s="19"/>
      <c r="LQ6" s="19"/>
      <c r="LR6" s="19"/>
      <c r="LS6" s="19"/>
      <c r="LT6" s="19"/>
      <c r="LU6" s="19"/>
      <c r="LV6" s="19"/>
      <c r="LW6" s="19"/>
      <c r="LX6" s="19"/>
      <c r="LY6" s="19"/>
      <c r="LZ6" s="19"/>
      <c r="MA6" s="19"/>
      <c r="MB6" s="14" t="str">
        <f t="shared" si="82"/>
        <v/>
      </c>
      <c r="MC6" s="14" t="str">
        <f t="shared" si="83"/>
        <v/>
      </c>
      <c r="MD6" s="14" t="str">
        <f t="shared" si="84"/>
        <v/>
      </c>
      <c r="ME6" s="14" t="str">
        <f t="shared" si="85"/>
        <v/>
      </c>
      <c r="MF6" s="14" t="str">
        <f t="shared" si="86"/>
        <v/>
      </c>
      <c r="MG6" s="14" t="str">
        <f t="shared" si="87"/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55" t="str">
        <f t="shared" si="88"/>
        <v/>
      </c>
      <c r="NC6" s="55" t="str">
        <f t="shared" si="89"/>
        <v/>
      </c>
      <c r="ND6" s="55" t="str">
        <f t="shared" si="90"/>
        <v/>
      </c>
      <c r="NE6" s="55" t="str">
        <f t="shared" si="91"/>
        <v/>
      </c>
      <c r="NF6" s="55" t="str">
        <f t="shared" si="92"/>
        <v/>
      </c>
      <c r="NG6" s="55" t="str">
        <f t="shared" si="93"/>
        <v/>
      </c>
      <c r="NH6" s="19"/>
      <c r="NI6" s="19"/>
      <c r="NJ6" s="19"/>
      <c r="NK6" s="19"/>
      <c r="NL6" s="19"/>
      <c r="NM6" s="19"/>
      <c r="NN6" s="19"/>
      <c r="NO6" s="19"/>
      <c r="NP6" s="19"/>
      <c r="NQ6" s="19"/>
      <c r="NR6" s="19"/>
      <c r="NS6" s="19"/>
      <c r="NT6" s="19"/>
      <c r="NU6" s="19"/>
      <c r="NV6" s="19"/>
      <c r="NW6" s="19"/>
      <c r="NX6" s="19"/>
      <c r="NY6" s="19"/>
      <c r="NZ6" s="19"/>
      <c r="OA6" s="19"/>
      <c r="OB6" s="14" t="str">
        <f t="shared" si="94"/>
        <v/>
      </c>
      <c r="OC6" s="14" t="str">
        <f t="shared" si="95"/>
        <v/>
      </c>
      <c r="OD6" s="14" t="str">
        <f t="shared" si="96"/>
        <v/>
      </c>
      <c r="OE6" s="14" t="str">
        <f t="shared" si="97"/>
        <v/>
      </c>
      <c r="OF6" s="14" t="str">
        <f t="shared" si="98"/>
        <v/>
      </c>
      <c r="OG6" s="14" t="str">
        <f t="shared" si="99"/>
        <v/>
      </c>
      <c r="OH6" s="27">
        <f t="shared" si="100"/>
        <v>9.5</v>
      </c>
      <c r="OI6" s="27">
        <f t="shared" si="101"/>
        <v>3</v>
      </c>
      <c r="OJ6" s="27">
        <f t="shared" si="102"/>
        <v>0.3</v>
      </c>
      <c r="OK6" s="27">
        <f t="shared" si="103"/>
        <v>0</v>
      </c>
      <c r="OL6" s="27">
        <f t="shared" si="104"/>
        <v>9.5500000000000007</v>
      </c>
      <c r="OM6" s="27">
        <f t="shared" si="105"/>
        <v>2.8</v>
      </c>
      <c r="ON6" s="27">
        <f t="shared" si="106"/>
        <v>0</v>
      </c>
      <c r="OO6" s="27">
        <f t="shared" si="107"/>
        <v>0</v>
      </c>
      <c r="OP6" s="27">
        <f t="shared" si="108"/>
        <v>9.6</v>
      </c>
      <c r="OQ6" s="27">
        <f t="shared" si="109"/>
        <v>3</v>
      </c>
      <c r="OR6" s="27">
        <f t="shared" si="110"/>
        <v>0</v>
      </c>
      <c r="OS6" s="27">
        <f t="shared" si="111"/>
        <v>0</v>
      </c>
      <c r="OT6" s="27">
        <f t="shared" si="112"/>
        <v>9.4</v>
      </c>
      <c r="OU6" s="27">
        <f t="shared" si="113"/>
        <v>2.8</v>
      </c>
      <c r="OV6" s="27">
        <f t="shared" si="114"/>
        <v>0</v>
      </c>
      <c r="OW6" s="27">
        <f t="shared" si="115"/>
        <v>0</v>
      </c>
      <c r="OX6" s="32" t="s">
        <v>44</v>
      </c>
      <c r="OY6" s="55">
        <f t="shared" si="116"/>
        <v>5.8</v>
      </c>
      <c r="OZ6" s="55">
        <f t="shared" si="117"/>
        <v>24.55</v>
      </c>
      <c r="PA6" s="55">
        <f t="shared" si="118"/>
        <v>5.8</v>
      </c>
      <c r="PB6" s="55">
        <f t="shared" si="119"/>
        <v>24.8</v>
      </c>
      <c r="PC6" s="55">
        <f t="shared" si="120"/>
        <v>49.35</v>
      </c>
    </row>
    <row r="7" spans="1:419" x14ac:dyDescent="0.2">
      <c r="A7" s="4" t="str" cm="1">
        <f t="array" ref="A7">IF(AND(H7&lt;&gt;"",H7&lt;&gt;"No DD"),SUMPRODUCT((H$4:H$16&lt;&gt;"")*(H$4:H$16&lt;&gt;"No DD")*(E$4:E$16&gt;E7))+1,IF(H7="No DD",SUMPRODUCT((H$4:H$16="No DD")*(E$4:E$16&gt;E7))+1+SUMPRODUCT((H$4:H$16&lt;&gt;"")*(H$4:H$16&lt;&gt;"No DD")),""))</f>
        <v/>
      </c>
      <c r="B7" s="5" t="s">
        <v>103</v>
      </c>
      <c r="C7" s="4" t="s">
        <v>105</v>
      </c>
      <c r="D7" s="4">
        <v>2010</v>
      </c>
      <c r="E7" s="10">
        <f t="shared" si="0"/>
        <v>144.30001443000486</v>
      </c>
      <c r="F7" s="3" t="str">
        <f t="shared" si="1"/>
        <v/>
      </c>
      <c r="G7" s="3" t="str">
        <f t="shared" si="2"/>
        <v/>
      </c>
      <c r="H7" s="47" t="str">
        <f t="shared" si="3"/>
        <v/>
      </c>
      <c r="I7" s="9">
        <f>IF(COUNT(AJ7,BF7,CB7)&gt;0,LARGE((AJ7,BF7,CB7),1),0)</f>
        <v>48.499999999999993</v>
      </c>
      <c r="J7" s="9" t="str">
        <f t="shared" si="4"/>
        <v>2025 Nationals</v>
      </c>
      <c r="K7" s="9">
        <f>IF(COUNT(AJ7,BF7,CB7)&gt;1,LARGE((AJ7,BF7,CB7),2),0)</f>
        <v>46.000000000000007</v>
      </c>
      <c r="L7" s="9" t="str">
        <f t="shared" si="5"/>
        <v>2025 3rd Domestic Trial</v>
      </c>
      <c r="M7" s="9">
        <f t="shared" si="6"/>
        <v>49.800000000000004</v>
      </c>
      <c r="N7" s="9" t="str">
        <f t="shared" si="7"/>
        <v>2025 3rd Domestic Trial</v>
      </c>
      <c r="O7" s="9" t="str">
        <f t="shared" si="8"/>
        <v/>
      </c>
      <c r="P7" s="14" t="str">
        <f t="shared" si="9"/>
        <v/>
      </c>
      <c r="Q7" s="9" t="str">
        <f t="shared" si="10"/>
        <v/>
      </c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32"/>
      <c r="AI7" s="55" t="str">
        <f t="shared" si="11"/>
        <v/>
      </c>
      <c r="AJ7" s="55" t="str">
        <f t="shared" si="12"/>
        <v/>
      </c>
      <c r="AK7" s="55" t="str">
        <f t="shared" si="13"/>
        <v/>
      </c>
      <c r="AL7" s="55" t="str">
        <f t="shared" si="14"/>
        <v/>
      </c>
      <c r="AM7" s="55" t="str">
        <f t="shared" si="15"/>
        <v/>
      </c>
      <c r="AN7" s="19">
        <v>18.600000000000001</v>
      </c>
      <c r="AO7" s="19">
        <v>6</v>
      </c>
      <c r="AP7" s="19">
        <v>0.2</v>
      </c>
      <c r="AQ7" s="19">
        <v>0</v>
      </c>
      <c r="AR7" s="19">
        <v>18.7</v>
      </c>
      <c r="AS7" s="19">
        <v>6</v>
      </c>
      <c r="AT7" s="19">
        <v>0.6</v>
      </c>
      <c r="AU7" s="19">
        <v>0</v>
      </c>
      <c r="AV7" s="19">
        <v>18.8</v>
      </c>
      <c r="AW7" s="19">
        <v>6</v>
      </c>
      <c r="AX7" s="19">
        <v>0.6</v>
      </c>
      <c r="AY7" s="19">
        <v>0</v>
      </c>
      <c r="AZ7" s="19">
        <v>18.600000000000001</v>
      </c>
      <c r="BA7" s="19">
        <v>6</v>
      </c>
      <c r="BB7" s="19">
        <v>0.6</v>
      </c>
      <c r="BC7" s="19">
        <v>0</v>
      </c>
      <c r="BD7" s="33"/>
      <c r="BE7" s="14">
        <f t="shared" si="16"/>
        <v>12</v>
      </c>
      <c r="BF7" s="14">
        <f t="shared" si="17"/>
        <v>48.499999999999993</v>
      </c>
      <c r="BG7" s="14">
        <f t="shared" si="18"/>
        <v>12</v>
      </c>
      <c r="BH7" s="14">
        <f t="shared" si="19"/>
        <v>48.2</v>
      </c>
      <c r="BI7" s="14">
        <f t="shared" si="20"/>
        <v>96.699999999999989</v>
      </c>
      <c r="BJ7" s="20">
        <v>18.8</v>
      </c>
      <c r="BK7" s="20">
        <v>6.8</v>
      </c>
      <c r="BL7" s="20">
        <v>0.8</v>
      </c>
      <c r="BM7" s="20">
        <v>0</v>
      </c>
      <c r="BN7" s="20">
        <v>18.399999999999999</v>
      </c>
      <c r="BO7" s="20">
        <v>3.6</v>
      </c>
      <c r="BP7" s="20">
        <v>0.8</v>
      </c>
      <c r="BQ7" s="20">
        <v>0</v>
      </c>
      <c r="BR7" s="20">
        <v>18.600000000000001</v>
      </c>
      <c r="BS7" s="20">
        <v>6.8</v>
      </c>
      <c r="BT7" s="20">
        <v>0.8</v>
      </c>
      <c r="BU7" s="20">
        <v>0</v>
      </c>
      <c r="BV7" s="20">
        <v>18.8</v>
      </c>
      <c r="BW7" s="20">
        <v>6.4</v>
      </c>
      <c r="BX7" s="20">
        <v>0</v>
      </c>
      <c r="BY7" s="20">
        <v>0</v>
      </c>
      <c r="BZ7" s="32"/>
      <c r="CA7" s="55">
        <f t="shared" si="21"/>
        <v>10.4</v>
      </c>
      <c r="CB7" s="55">
        <f t="shared" si="22"/>
        <v>46.000000000000007</v>
      </c>
      <c r="CC7" s="55">
        <f t="shared" si="23"/>
        <v>13.2</v>
      </c>
      <c r="CD7" s="55">
        <f t="shared" si="24"/>
        <v>49.800000000000004</v>
      </c>
      <c r="CE7" s="55">
        <f t="shared" si="25"/>
        <v>95.800000000000011</v>
      </c>
      <c r="CF7" s="56" t="str">
        <f t="shared" si="26"/>
        <v/>
      </c>
      <c r="CG7" s="56" t="str">
        <f t="shared" si="27"/>
        <v/>
      </c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55" t="str">
        <f t="shared" si="28"/>
        <v/>
      </c>
      <c r="DC7" s="55" t="str">
        <f t="shared" si="29"/>
        <v/>
      </c>
      <c r="DD7" s="55" t="str">
        <f t="shared" si="30"/>
        <v/>
      </c>
      <c r="DE7" s="55" t="str">
        <f t="shared" si="31"/>
        <v/>
      </c>
      <c r="DF7" s="55" t="str">
        <f t="shared" si="32"/>
        <v/>
      </c>
      <c r="DG7" s="55" t="str">
        <f t="shared" si="33"/>
        <v/>
      </c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  <c r="DW7" s="19"/>
      <c r="DX7" s="19"/>
      <c r="DY7" s="19"/>
      <c r="DZ7" s="19"/>
      <c r="EA7" s="19"/>
      <c r="EB7" s="14" t="str">
        <f t="shared" si="34"/>
        <v/>
      </c>
      <c r="EC7" s="14" t="str">
        <f t="shared" si="35"/>
        <v/>
      </c>
      <c r="ED7" s="14" t="str">
        <f t="shared" si="36"/>
        <v/>
      </c>
      <c r="EE7" s="14" t="str">
        <f t="shared" si="37"/>
        <v/>
      </c>
      <c r="EF7" s="14" t="str">
        <f t="shared" si="38"/>
        <v/>
      </c>
      <c r="EG7" s="14" t="str">
        <f t="shared" si="39"/>
        <v/>
      </c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55" t="str">
        <f t="shared" si="40"/>
        <v/>
      </c>
      <c r="FC7" s="55" t="str">
        <f t="shared" si="41"/>
        <v/>
      </c>
      <c r="FD7" s="55" t="str">
        <f t="shared" si="42"/>
        <v/>
      </c>
      <c r="FE7" s="55" t="str">
        <f t="shared" si="43"/>
        <v/>
      </c>
      <c r="FF7" s="55" t="str">
        <f t="shared" si="44"/>
        <v/>
      </c>
      <c r="FG7" s="55" t="str">
        <f t="shared" si="45"/>
        <v/>
      </c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9"/>
      <c r="FY7" s="19"/>
      <c r="FZ7" s="19"/>
      <c r="GA7" s="19"/>
      <c r="GB7" s="14" t="str">
        <f t="shared" si="46"/>
        <v/>
      </c>
      <c r="GC7" s="14" t="str">
        <f t="shared" si="47"/>
        <v/>
      </c>
      <c r="GD7" s="14" t="str">
        <f t="shared" si="48"/>
        <v/>
      </c>
      <c r="GE7" s="14" t="str">
        <f t="shared" si="49"/>
        <v/>
      </c>
      <c r="GF7" s="14" t="str">
        <f t="shared" si="50"/>
        <v/>
      </c>
      <c r="GG7" s="14" t="str">
        <f t="shared" si="51"/>
        <v/>
      </c>
      <c r="GH7" s="18"/>
      <c r="GI7" s="18"/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55" t="str">
        <f t="shared" si="52"/>
        <v/>
      </c>
      <c r="HC7" s="55" t="str">
        <f t="shared" si="53"/>
        <v/>
      </c>
      <c r="HD7" s="55" t="str">
        <f t="shared" si="54"/>
        <v/>
      </c>
      <c r="HE7" s="55" t="str">
        <f t="shared" si="55"/>
        <v/>
      </c>
      <c r="HF7" s="55" t="str">
        <f t="shared" si="56"/>
        <v/>
      </c>
      <c r="HG7" s="55" t="str">
        <f t="shared" si="57"/>
        <v/>
      </c>
      <c r="HH7" s="19"/>
      <c r="HI7" s="19"/>
      <c r="HJ7" s="19"/>
      <c r="HK7" s="19"/>
      <c r="HL7" s="19"/>
      <c r="HM7" s="19"/>
      <c r="HN7" s="19"/>
      <c r="HO7" s="19"/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4" t="str">
        <f t="shared" si="58"/>
        <v/>
      </c>
      <c r="IC7" s="14" t="str">
        <f t="shared" si="59"/>
        <v/>
      </c>
      <c r="ID7" s="14" t="str">
        <f t="shared" si="60"/>
        <v/>
      </c>
      <c r="IE7" s="14" t="str">
        <f t="shared" si="61"/>
        <v/>
      </c>
      <c r="IF7" s="14" t="str">
        <f t="shared" si="62"/>
        <v/>
      </c>
      <c r="IG7" s="14" t="str">
        <f t="shared" si="63"/>
        <v/>
      </c>
      <c r="IH7" s="18"/>
      <c r="II7" s="18"/>
      <c r="IJ7" s="18"/>
      <c r="IK7" s="18"/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55" t="str">
        <f t="shared" si="64"/>
        <v/>
      </c>
      <c r="JC7" s="55" t="str">
        <f t="shared" si="65"/>
        <v/>
      </c>
      <c r="JD7" s="55" t="str">
        <f t="shared" si="66"/>
        <v/>
      </c>
      <c r="JE7" s="55" t="str">
        <f t="shared" si="67"/>
        <v/>
      </c>
      <c r="JF7" s="55" t="str">
        <f t="shared" si="68"/>
        <v/>
      </c>
      <c r="JG7" s="55" t="str">
        <f t="shared" si="69"/>
        <v/>
      </c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19"/>
      <c r="JX7" s="19"/>
      <c r="JY7" s="19"/>
      <c r="JZ7" s="19"/>
      <c r="KA7" s="19"/>
      <c r="KB7" s="14" t="str">
        <f t="shared" si="70"/>
        <v/>
      </c>
      <c r="KC7" s="14" t="str">
        <f t="shared" si="71"/>
        <v/>
      </c>
      <c r="KD7" s="14" t="str">
        <f t="shared" si="72"/>
        <v/>
      </c>
      <c r="KE7" s="14" t="str">
        <f t="shared" si="73"/>
        <v/>
      </c>
      <c r="KF7" s="14" t="str">
        <f t="shared" si="74"/>
        <v/>
      </c>
      <c r="KG7" s="14" t="str">
        <f t="shared" si="75"/>
        <v/>
      </c>
      <c r="KH7" s="18"/>
      <c r="KI7" s="18"/>
      <c r="KJ7" s="18"/>
      <c r="KK7" s="18"/>
      <c r="KL7" s="18"/>
      <c r="KM7" s="18"/>
      <c r="KN7" s="18"/>
      <c r="KO7" s="18"/>
      <c r="KP7" s="18"/>
      <c r="KQ7" s="18"/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55" t="str">
        <f t="shared" si="76"/>
        <v/>
      </c>
      <c r="LC7" s="55" t="str">
        <f t="shared" si="77"/>
        <v/>
      </c>
      <c r="LD7" s="55" t="str">
        <f t="shared" si="78"/>
        <v/>
      </c>
      <c r="LE7" s="55" t="str">
        <f t="shared" si="79"/>
        <v/>
      </c>
      <c r="LF7" s="55" t="str">
        <f t="shared" si="80"/>
        <v/>
      </c>
      <c r="LG7" s="55" t="str">
        <f t="shared" si="81"/>
        <v/>
      </c>
      <c r="LH7" s="19"/>
      <c r="LI7" s="19"/>
      <c r="LJ7" s="19"/>
      <c r="LK7" s="19"/>
      <c r="LL7" s="19"/>
      <c r="LM7" s="19"/>
      <c r="LN7" s="19"/>
      <c r="LO7" s="19"/>
      <c r="LP7" s="19"/>
      <c r="LQ7" s="19"/>
      <c r="LR7" s="19"/>
      <c r="LS7" s="19"/>
      <c r="LT7" s="19"/>
      <c r="LU7" s="19"/>
      <c r="LV7" s="19"/>
      <c r="LW7" s="19"/>
      <c r="LX7" s="19"/>
      <c r="LY7" s="19"/>
      <c r="LZ7" s="19"/>
      <c r="MA7" s="19"/>
      <c r="MB7" s="14" t="str">
        <f t="shared" si="82"/>
        <v/>
      </c>
      <c r="MC7" s="14" t="str">
        <f t="shared" si="83"/>
        <v/>
      </c>
      <c r="MD7" s="14" t="str">
        <f t="shared" si="84"/>
        <v/>
      </c>
      <c r="ME7" s="14" t="str">
        <f t="shared" si="85"/>
        <v/>
      </c>
      <c r="MF7" s="14" t="str">
        <f t="shared" si="86"/>
        <v/>
      </c>
      <c r="MG7" s="14" t="str">
        <f t="shared" si="87"/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55" t="str">
        <f t="shared" si="88"/>
        <v/>
      </c>
      <c r="NC7" s="55" t="str">
        <f t="shared" si="89"/>
        <v/>
      </c>
      <c r="ND7" s="55" t="str">
        <f t="shared" si="90"/>
        <v/>
      </c>
      <c r="NE7" s="55" t="str">
        <f t="shared" si="91"/>
        <v/>
      </c>
      <c r="NF7" s="55" t="str">
        <f t="shared" si="92"/>
        <v/>
      </c>
      <c r="NG7" s="55" t="str">
        <f t="shared" si="93"/>
        <v/>
      </c>
      <c r="NH7" s="19"/>
      <c r="NI7" s="19"/>
      <c r="NJ7" s="19"/>
      <c r="NK7" s="19"/>
      <c r="NL7" s="19"/>
      <c r="NM7" s="19"/>
      <c r="NN7" s="19"/>
      <c r="NO7" s="19"/>
      <c r="NP7" s="19"/>
      <c r="NQ7" s="19"/>
      <c r="NR7" s="19"/>
      <c r="NS7" s="19"/>
      <c r="NT7" s="19"/>
      <c r="NU7" s="19"/>
      <c r="NV7" s="19"/>
      <c r="NW7" s="19"/>
      <c r="NX7" s="19"/>
      <c r="NY7" s="19"/>
      <c r="NZ7" s="19"/>
      <c r="OA7" s="19"/>
      <c r="OB7" s="14" t="str">
        <f t="shared" si="94"/>
        <v/>
      </c>
      <c r="OC7" s="14" t="str">
        <f t="shared" si="95"/>
        <v/>
      </c>
      <c r="OD7" s="14" t="str">
        <f t="shared" si="96"/>
        <v/>
      </c>
      <c r="OE7" s="14" t="str">
        <f t="shared" si="97"/>
        <v/>
      </c>
      <c r="OF7" s="14" t="str">
        <f t="shared" si="98"/>
        <v/>
      </c>
      <c r="OG7" s="14" t="str">
        <f t="shared" si="99"/>
        <v/>
      </c>
      <c r="OH7" s="27">
        <f t="shared" si="100"/>
        <v>18.700000000000003</v>
      </c>
      <c r="OI7" s="27">
        <f t="shared" si="101"/>
        <v>6.4</v>
      </c>
      <c r="OJ7" s="27">
        <f t="shared" si="102"/>
        <v>0.5</v>
      </c>
      <c r="OK7" s="27">
        <f t="shared" si="103"/>
        <v>0</v>
      </c>
      <c r="OL7" s="27">
        <f t="shared" si="104"/>
        <v>18.549999999999997</v>
      </c>
      <c r="OM7" s="27">
        <f t="shared" si="105"/>
        <v>4.8</v>
      </c>
      <c r="ON7" s="27">
        <f t="shared" si="106"/>
        <v>0.7</v>
      </c>
      <c r="OO7" s="27">
        <f t="shared" si="107"/>
        <v>0</v>
      </c>
      <c r="OP7" s="27">
        <f t="shared" si="108"/>
        <v>18.700000000000003</v>
      </c>
      <c r="OQ7" s="27">
        <f t="shared" si="109"/>
        <v>6.4</v>
      </c>
      <c r="OR7" s="27">
        <f t="shared" si="110"/>
        <v>0.7</v>
      </c>
      <c r="OS7" s="27">
        <f t="shared" si="111"/>
        <v>0</v>
      </c>
      <c r="OT7" s="27">
        <f t="shared" si="112"/>
        <v>18.700000000000003</v>
      </c>
      <c r="OU7" s="27">
        <f t="shared" si="113"/>
        <v>6.2</v>
      </c>
      <c r="OV7" s="27">
        <f t="shared" si="114"/>
        <v>0.3</v>
      </c>
      <c r="OW7" s="27">
        <f t="shared" si="115"/>
        <v>0</v>
      </c>
      <c r="OX7" s="32" t="s">
        <v>44</v>
      </c>
      <c r="OY7" s="55">
        <f t="shared" si="116"/>
        <v>11.2</v>
      </c>
      <c r="OZ7" s="55">
        <f t="shared" si="117"/>
        <v>47.249999999999993</v>
      </c>
      <c r="PA7" s="55">
        <f t="shared" si="118"/>
        <v>12.600000000000001</v>
      </c>
      <c r="PB7" s="55">
        <f t="shared" si="119"/>
        <v>49.000000000000007</v>
      </c>
      <c r="PC7" s="55">
        <f t="shared" si="120"/>
        <v>96.25</v>
      </c>
    </row>
    <row r="8" spans="1:419" x14ac:dyDescent="0.2">
      <c r="A8" s="4" t="str" cm="1">
        <f t="array" ref="A8">IF(AND(H8&lt;&gt;"",H8&lt;&gt;"No DD"),SUMPRODUCT((H$4:H$16&lt;&gt;"")*(H$4:H$16&lt;&gt;"No DD")*(E$4:E$16&gt;E8))+1,IF(H8="No DD",SUMPRODUCT((H$4:H$16="No DD")*(E$4:E$16&gt;E8))+1+SUMPRODUCT((H$4:H$16&lt;&gt;"")*(H$4:H$16&lt;&gt;"No DD")),""))</f>
        <v/>
      </c>
      <c r="B8" s="5" t="s">
        <v>95</v>
      </c>
      <c r="C8" s="4" t="s">
        <v>64</v>
      </c>
      <c r="D8" s="4">
        <v>2009</v>
      </c>
      <c r="E8" s="10">
        <f t="shared" si="0"/>
        <v>142.20001422000479</v>
      </c>
      <c r="F8" s="3" t="str">
        <f t="shared" si="1"/>
        <v/>
      </c>
      <c r="G8" s="3" t="str">
        <f t="shared" si="2"/>
        <v/>
      </c>
      <c r="H8" s="47" t="str">
        <f t="shared" si="3"/>
        <v/>
      </c>
      <c r="I8" s="9">
        <f>IF(COUNT(AJ8,BF8,CB8)&gt;0,LARGE((AJ8,BF8,CB8),1),0)</f>
        <v>48.1</v>
      </c>
      <c r="J8" s="9" t="str">
        <f t="shared" si="4"/>
        <v>2025 3rd Domestic Trial</v>
      </c>
      <c r="K8" s="9">
        <f>IF(COUNT(AJ8,BF8,CB8)&gt;1,LARGE((AJ8,BF8,CB8),2),0)</f>
        <v>45.6</v>
      </c>
      <c r="L8" s="9" t="str">
        <f t="shared" si="5"/>
        <v>2025 Elite Canada</v>
      </c>
      <c r="M8" s="9">
        <f t="shared" si="6"/>
        <v>48.5</v>
      </c>
      <c r="N8" s="9" t="str">
        <f t="shared" si="7"/>
        <v>2025 Nationals</v>
      </c>
      <c r="O8" s="9" t="str">
        <f t="shared" si="8"/>
        <v/>
      </c>
      <c r="P8" s="14" t="str">
        <f t="shared" si="9"/>
        <v/>
      </c>
      <c r="Q8" s="9" t="str">
        <f t="shared" si="10"/>
        <v/>
      </c>
      <c r="R8" s="20">
        <v>18.2</v>
      </c>
      <c r="S8" s="20">
        <v>4.8</v>
      </c>
      <c r="T8" s="20">
        <v>0.6</v>
      </c>
      <c r="U8" s="20">
        <v>0</v>
      </c>
      <c r="V8" s="20">
        <v>18</v>
      </c>
      <c r="W8" s="20">
        <v>6</v>
      </c>
      <c r="X8" s="20">
        <v>0.8</v>
      </c>
      <c r="Y8" s="20">
        <v>0</v>
      </c>
      <c r="Z8" s="20">
        <v>17.100000000000001</v>
      </c>
      <c r="AA8" s="20">
        <v>6.4</v>
      </c>
      <c r="AB8" s="20">
        <v>0.8</v>
      </c>
      <c r="AC8" s="20">
        <v>0</v>
      </c>
      <c r="AD8" s="20">
        <v>17.5</v>
      </c>
      <c r="AE8" s="20">
        <v>6</v>
      </c>
      <c r="AF8" s="20">
        <v>0.8</v>
      </c>
      <c r="AG8" s="20">
        <v>0</v>
      </c>
      <c r="AH8" s="32"/>
      <c r="AI8" s="55">
        <f t="shared" si="11"/>
        <v>10.8</v>
      </c>
      <c r="AJ8" s="55">
        <f t="shared" si="12"/>
        <v>45.6</v>
      </c>
      <c r="AK8" s="55">
        <f t="shared" si="13"/>
        <v>12.4</v>
      </c>
      <c r="AL8" s="55">
        <f t="shared" si="14"/>
        <v>45.4</v>
      </c>
      <c r="AM8" s="55">
        <f t="shared" si="15"/>
        <v>91</v>
      </c>
      <c r="AN8" s="19">
        <v>15.4</v>
      </c>
      <c r="AO8" s="19">
        <v>2.4</v>
      </c>
      <c r="AP8" s="19">
        <v>0</v>
      </c>
      <c r="AQ8" s="19">
        <v>0</v>
      </c>
      <c r="AR8" s="19">
        <v>18.3</v>
      </c>
      <c r="AS8" s="19">
        <v>5.6</v>
      </c>
      <c r="AT8" s="19">
        <v>0.2</v>
      </c>
      <c r="AU8" s="19">
        <v>0</v>
      </c>
      <c r="AV8" s="19">
        <v>18.7</v>
      </c>
      <c r="AW8" s="19">
        <v>6.8</v>
      </c>
      <c r="AX8" s="19">
        <v>0.8</v>
      </c>
      <c r="AY8" s="19">
        <v>0</v>
      </c>
      <c r="AZ8" s="19">
        <v>18.399999999999999</v>
      </c>
      <c r="BA8" s="19">
        <v>5.6</v>
      </c>
      <c r="BB8" s="19">
        <v>0.2</v>
      </c>
      <c r="BC8" s="19">
        <v>0</v>
      </c>
      <c r="BD8" s="33"/>
      <c r="BE8" s="14">
        <f t="shared" si="16"/>
        <v>8</v>
      </c>
      <c r="BF8" s="14">
        <f t="shared" si="17"/>
        <v>41.5</v>
      </c>
      <c r="BG8" s="14">
        <f t="shared" si="18"/>
        <v>12.399999999999999</v>
      </c>
      <c r="BH8" s="14">
        <f t="shared" si="19"/>
        <v>48.5</v>
      </c>
      <c r="BI8" s="14">
        <f t="shared" si="20"/>
        <v>90</v>
      </c>
      <c r="BJ8" s="20">
        <v>18.100000000000001</v>
      </c>
      <c r="BK8" s="20">
        <v>7.2</v>
      </c>
      <c r="BL8" s="20">
        <v>0.2</v>
      </c>
      <c r="BM8" s="20">
        <v>0</v>
      </c>
      <c r="BN8" s="20">
        <v>17.8</v>
      </c>
      <c r="BO8" s="20">
        <v>6</v>
      </c>
      <c r="BP8" s="20">
        <v>0.8</v>
      </c>
      <c r="BQ8" s="20">
        <v>0</v>
      </c>
      <c r="BR8" s="20">
        <v>0</v>
      </c>
      <c r="BS8" s="20">
        <v>0</v>
      </c>
      <c r="BT8" s="20">
        <v>0</v>
      </c>
      <c r="BU8" s="20">
        <v>0</v>
      </c>
      <c r="BV8" s="20">
        <v>18.100000000000001</v>
      </c>
      <c r="BW8" s="20">
        <v>7.6</v>
      </c>
      <c r="BX8" s="20">
        <v>0.8</v>
      </c>
      <c r="BY8" s="20">
        <v>0</v>
      </c>
      <c r="BZ8" s="32"/>
      <c r="CA8" s="55">
        <f t="shared" si="21"/>
        <v>13.2</v>
      </c>
      <c r="CB8" s="55">
        <f t="shared" si="22"/>
        <v>48.1</v>
      </c>
      <c r="CC8" s="55">
        <f t="shared" si="23"/>
        <v>7.6</v>
      </c>
      <c r="CD8" s="55">
        <f t="shared" si="24"/>
        <v>24.900000000000002</v>
      </c>
      <c r="CE8" s="55">
        <f t="shared" si="25"/>
        <v>73</v>
      </c>
      <c r="CF8" s="56" t="str">
        <f t="shared" si="26"/>
        <v/>
      </c>
      <c r="CG8" s="56" t="str">
        <f t="shared" si="27"/>
        <v/>
      </c>
      <c r="CH8" s="18">
        <v>15.2</v>
      </c>
      <c r="CI8" s="18">
        <v>2.4</v>
      </c>
      <c r="CJ8" s="18">
        <v>0</v>
      </c>
      <c r="CK8" s="18">
        <v>0</v>
      </c>
      <c r="CL8" s="18">
        <v>18.2</v>
      </c>
      <c r="CM8" s="18">
        <v>7.6</v>
      </c>
      <c r="CN8" s="18">
        <v>0.8</v>
      </c>
      <c r="CO8" s="18">
        <v>0</v>
      </c>
      <c r="CP8" s="18"/>
      <c r="CQ8" s="18"/>
      <c r="CR8" s="18"/>
      <c r="CS8" s="18"/>
      <c r="CT8" s="18"/>
      <c r="CU8" s="18"/>
      <c r="CV8" s="18"/>
      <c r="CW8" s="18"/>
      <c r="CX8" s="18"/>
      <c r="CY8" s="18"/>
      <c r="CZ8" s="18"/>
      <c r="DA8" s="18"/>
      <c r="DB8" s="55">
        <f t="shared" si="28"/>
        <v>10</v>
      </c>
      <c r="DC8" s="55">
        <f t="shared" si="29"/>
        <v>42.6</v>
      </c>
      <c r="DD8" s="55" t="str">
        <f t="shared" si="30"/>
        <v/>
      </c>
      <c r="DE8" s="55" t="str">
        <f t="shared" si="31"/>
        <v/>
      </c>
      <c r="DF8" s="55" t="str">
        <f t="shared" si="32"/>
        <v/>
      </c>
      <c r="DG8" s="55">
        <f t="shared" si="33"/>
        <v>42.6</v>
      </c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  <c r="DZ8" s="19"/>
      <c r="EA8" s="19"/>
      <c r="EB8" s="14" t="str">
        <f t="shared" si="34"/>
        <v/>
      </c>
      <c r="EC8" s="14" t="str">
        <f t="shared" si="35"/>
        <v/>
      </c>
      <c r="ED8" s="14" t="str">
        <f t="shared" si="36"/>
        <v/>
      </c>
      <c r="EE8" s="14" t="str">
        <f t="shared" si="37"/>
        <v/>
      </c>
      <c r="EF8" s="14" t="str">
        <f t="shared" si="38"/>
        <v/>
      </c>
      <c r="EG8" s="14" t="str">
        <f t="shared" si="39"/>
        <v/>
      </c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55" t="str">
        <f t="shared" si="40"/>
        <v/>
      </c>
      <c r="FC8" s="55" t="str">
        <f t="shared" si="41"/>
        <v/>
      </c>
      <c r="FD8" s="55" t="str">
        <f t="shared" si="42"/>
        <v/>
      </c>
      <c r="FE8" s="55" t="str">
        <f t="shared" si="43"/>
        <v/>
      </c>
      <c r="FF8" s="55" t="str">
        <f t="shared" si="44"/>
        <v/>
      </c>
      <c r="FG8" s="55" t="str">
        <f t="shared" si="45"/>
        <v/>
      </c>
      <c r="FH8" s="19"/>
      <c r="FI8" s="19"/>
      <c r="FJ8" s="19"/>
      <c r="FK8" s="19"/>
      <c r="FL8" s="19"/>
      <c r="FM8" s="19"/>
      <c r="FN8" s="19"/>
      <c r="FO8" s="19"/>
      <c r="FP8" s="19"/>
      <c r="FQ8" s="19"/>
      <c r="FR8" s="19"/>
      <c r="FS8" s="19"/>
      <c r="FT8" s="19"/>
      <c r="FU8" s="19"/>
      <c r="FV8" s="19"/>
      <c r="FW8" s="19"/>
      <c r="FX8" s="19"/>
      <c r="FY8" s="19"/>
      <c r="FZ8" s="19"/>
      <c r="GA8" s="19"/>
      <c r="GB8" s="14" t="str">
        <f t="shared" si="46"/>
        <v/>
      </c>
      <c r="GC8" s="14" t="str">
        <f t="shared" si="47"/>
        <v/>
      </c>
      <c r="GD8" s="14" t="str">
        <f t="shared" si="48"/>
        <v/>
      </c>
      <c r="GE8" s="14" t="str">
        <f t="shared" si="49"/>
        <v/>
      </c>
      <c r="GF8" s="14" t="str">
        <f t="shared" si="50"/>
        <v/>
      </c>
      <c r="GG8" s="14" t="str">
        <f t="shared" si="51"/>
        <v/>
      </c>
      <c r="GH8" s="18"/>
      <c r="GI8" s="18"/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55" t="str">
        <f t="shared" si="52"/>
        <v/>
      </c>
      <c r="HC8" s="55" t="str">
        <f t="shared" si="53"/>
        <v/>
      </c>
      <c r="HD8" s="55" t="str">
        <f t="shared" si="54"/>
        <v/>
      </c>
      <c r="HE8" s="55" t="str">
        <f t="shared" si="55"/>
        <v/>
      </c>
      <c r="HF8" s="55" t="str">
        <f t="shared" si="56"/>
        <v/>
      </c>
      <c r="HG8" s="55" t="str">
        <f t="shared" si="57"/>
        <v/>
      </c>
      <c r="HH8" s="19"/>
      <c r="HI8" s="19"/>
      <c r="HJ8" s="19"/>
      <c r="HK8" s="19"/>
      <c r="HL8" s="19"/>
      <c r="HM8" s="19"/>
      <c r="HN8" s="19"/>
      <c r="HO8" s="19"/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4" t="str">
        <f t="shared" si="58"/>
        <v/>
      </c>
      <c r="IC8" s="14" t="str">
        <f t="shared" si="59"/>
        <v/>
      </c>
      <c r="ID8" s="14" t="str">
        <f t="shared" si="60"/>
        <v/>
      </c>
      <c r="IE8" s="14" t="str">
        <f t="shared" si="61"/>
        <v/>
      </c>
      <c r="IF8" s="14" t="str">
        <f t="shared" si="62"/>
        <v/>
      </c>
      <c r="IG8" s="14" t="str">
        <f t="shared" si="63"/>
        <v/>
      </c>
      <c r="IH8" s="18"/>
      <c r="II8" s="18"/>
      <c r="IJ8" s="18"/>
      <c r="IK8" s="18"/>
      <c r="IL8" s="18"/>
      <c r="IM8" s="18"/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55" t="str">
        <f t="shared" si="64"/>
        <v/>
      </c>
      <c r="JC8" s="55" t="str">
        <f t="shared" si="65"/>
        <v/>
      </c>
      <c r="JD8" s="55" t="str">
        <f t="shared" si="66"/>
        <v/>
      </c>
      <c r="JE8" s="55" t="str">
        <f t="shared" si="67"/>
        <v/>
      </c>
      <c r="JF8" s="55" t="str">
        <f t="shared" si="68"/>
        <v/>
      </c>
      <c r="JG8" s="55" t="str">
        <f t="shared" si="69"/>
        <v/>
      </c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19"/>
      <c r="JX8" s="19"/>
      <c r="JY8" s="19"/>
      <c r="JZ8" s="19"/>
      <c r="KA8" s="19"/>
      <c r="KB8" s="14" t="str">
        <f t="shared" si="70"/>
        <v/>
      </c>
      <c r="KC8" s="14" t="str">
        <f t="shared" si="71"/>
        <v/>
      </c>
      <c r="KD8" s="14" t="str">
        <f t="shared" si="72"/>
        <v/>
      </c>
      <c r="KE8" s="14" t="str">
        <f t="shared" si="73"/>
        <v/>
      </c>
      <c r="KF8" s="14" t="str">
        <f t="shared" si="74"/>
        <v/>
      </c>
      <c r="KG8" s="14" t="str">
        <f t="shared" si="75"/>
        <v/>
      </c>
      <c r="KH8" s="18"/>
      <c r="KI8" s="18"/>
      <c r="KJ8" s="18"/>
      <c r="KK8" s="18"/>
      <c r="KL8" s="18"/>
      <c r="KM8" s="18"/>
      <c r="KN8" s="18"/>
      <c r="KO8" s="18"/>
      <c r="KP8" s="18"/>
      <c r="KQ8" s="18"/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55" t="str">
        <f t="shared" si="76"/>
        <v/>
      </c>
      <c r="LC8" s="55" t="str">
        <f t="shared" si="77"/>
        <v/>
      </c>
      <c r="LD8" s="55" t="str">
        <f t="shared" si="78"/>
        <v/>
      </c>
      <c r="LE8" s="55" t="str">
        <f t="shared" si="79"/>
        <v/>
      </c>
      <c r="LF8" s="55" t="str">
        <f t="shared" si="80"/>
        <v/>
      </c>
      <c r="LG8" s="55" t="str">
        <f t="shared" si="81"/>
        <v/>
      </c>
      <c r="LH8" s="19"/>
      <c r="LI8" s="19"/>
      <c r="LJ8" s="19"/>
      <c r="LK8" s="19"/>
      <c r="LL8" s="19"/>
      <c r="LM8" s="19"/>
      <c r="LN8" s="19"/>
      <c r="LO8" s="19"/>
      <c r="LP8" s="19"/>
      <c r="LQ8" s="19"/>
      <c r="LR8" s="19"/>
      <c r="LS8" s="19"/>
      <c r="LT8" s="19"/>
      <c r="LU8" s="19"/>
      <c r="LV8" s="19"/>
      <c r="LW8" s="19"/>
      <c r="LX8" s="19"/>
      <c r="LY8" s="19"/>
      <c r="LZ8" s="19"/>
      <c r="MA8" s="19"/>
      <c r="MB8" s="14" t="str">
        <f t="shared" si="82"/>
        <v/>
      </c>
      <c r="MC8" s="14" t="str">
        <f t="shared" si="83"/>
        <v/>
      </c>
      <c r="MD8" s="14" t="str">
        <f t="shared" si="84"/>
        <v/>
      </c>
      <c r="ME8" s="14" t="str">
        <f t="shared" si="85"/>
        <v/>
      </c>
      <c r="MF8" s="14" t="str">
        <f t="shared" si="86"/>
        <v/>
      </c>
      <c r="MG8" s="14" t="str">
        <f t="shared" si="87"/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55" t="str">
        <f t="shared" si="88"/>
        <v/>
      </c>
      <c r="NC8" s="55" t="str">
        <f t="shared" si="89"/>
        <v/>
      </c>
      <c r="ND8" s="55" t="str">
        <f t="shared" si="90"/>
        <v/>
      </c>
      <c r="NE8" s="55" t="str">
        <f t="shared" si="91"/>
        <v/>
      </c>
      <c r="NF8" s="55" t="str">
        <f t="shared" si="92"/>
        <v/>
      </c>
      <c r="NG8" s="55" t="str">
        <f t="shared" si="93"/>
        <v/>
      </c>
      <c r="NH8" s="19"/>
      <c r="NI8" s="19"/>
      <c r="NJ8" s="19"/>
      <c r="NK8" s="19"/>
      <c r="NL8" s="19"/>
      <c r="NM8" s="19"/>
      <c r="NN8" s="19"/>
      <c r="NO8" s="19"/>
      <c r="NP8" s="19"/>
      <c r="NQ8" s="19"/>
      <c r="NR8" s="19"/>
      <c r="NS8" s="19"/>
      <c r="NT8" s="19"/>
      <c r="NU8" s="19"/>
      <c r="NV8" s="19"/>
      <c r="NW8" s="19"/>
      <c r="NX8" s="19"/>
      <c r="NY8" s="19"/>
      <c r="NZ8" s="19"/>
      <c r="OA8" s="19"/>
      <c r="OB8" s="14" t="str">
        <f t="shared" si="94"/>
        <v/>
      </c>
      <c r="OC8" s="14" t="str">
        <f t="shared" si="95"/>
        <v/>
      </c>
      <c r="OD8" s="14" t="str">
        <f t="shared" si="96"/>
        <v/>
      </c>
      <c r="OE8" s="14" t="str">
        <f t="shared" si="97"/>
        <v/>
      </c>
      <c r="OF8" s="14" t="str">
        <f t="shared" si="98"/>
        <v/>
      </c>
      <c r="OG8" s="14" t="str">
        <f t="shared" si="99"/>
        <v/>
      </c>
      <c r="OH8" s="27">
        <f t="shared" si="100"/>
        <v>16.75</v>
      </c>
      <c r="OI8" s="27">
        <f t="shared" si="101"/>
        <v>4.8</v>
      </c>
      <c r="OJ8" s="27">
        <f t="shared" si="102"/>
        <v>0.1</v>
      </c>
      <c r="OK8" s="27">
        <f t="shared" si="103"/>
        <v>0</v>
      </c>
      <c r="OL8" s="27">
        <f t="shared" si="104"/>
        <v>18.05</v>
      </c>
      <c r="OM8" s="27">
        <f t="shared" si="105"/>
        <v>5.8</v>
      </c>
      <c r="ON8" s="27">
        <f t="shared" si="106"/>
        <v>0.5</v>
      </c>
      <c r="OO8" s="27">
        <f t="shared" si="107"/>
        <v>0</v>
      </c>
      <c r="OP8" s="27">
        <f t="shared" si="108"/>
        <v>9.35</v>
      </c>
      <c r="OQ8" s="27">
        <f t="shared" si="109"/>
        <v>3.4</v>
      </c>
      <c r="OR8" s="27">
        <f t="shared" si="110"/>
        <v>0.4</v>
      </c>
      <c r="OS8" s="27">
        <f t="shared" si="111"/>
        <v>0</v>
      </c>
      <c r="OT8" s="27">
        <f t="shared" si="112"/>
        <v>18.25</v>
      </c>
      <c r="OU8" s="27">
        <f t="shared" si="113"/>
        <v>6.6</v>
      </c>
      <c r="OV8" s="27">
        <f t="shared" si="114"/>
        <v>0.5</v>
      </c>
      <c r="OW8" s="27">
        <f t="shared" si="115"/>
        <v>0</v>
      </c>
      <c r="OX8" s="32" t="s">
        <v>44</v>
      </c>
      <c r="OY8" s="55">
        <f t="shared" si="116"/>
        <v>10.6</v>
      </c>
      <c r="OZ8" s="55">
        <f t="shared" si="117"/>
        <v>44.8</v>
      </c>
      <c r="PA8" s="55">
        <f t="shared" si="118"/>
        <v>10</v>
      </c>
      <c r="PB8" s="55">
        <f t="shared" si="119"/>
        <v>36.700000000000003</v>
      </c>
      <c r="PC8" s="55">
        <f t="shared" si="120"/>
        <v>81.5</v>
      </c>
    </row>
    <row r="9" spans="1:419" x14ac:dyDescent="0.2">
      <c r="A9" s="4" t="str" cm="1">
        <f t="array" ref="A9">IF(AND(H9&lt;&gt;"",H9&lt;&gt;"No DD"),SUMPRODUCT((H$4:H$16&lt;&gt;"")*(H$4:H$16&lt;&gt;"No DD")*(E$4:E$16&gt;E9))+1,IF(H9="No DD",SUMPRODUCT((H$4:H$16="No DD")*(E$4:E$16&gt;E9))+1+SUMPRODUCT((H$4:H$16&lt;&gt;"")*(H$4:H$16&lt;&gt;"No DD")),""))</f>
        <v/>
      </c>
      <c r="B9" s="5" t="s">
        <v>109</v>
      </c>
      <c r="C9" s="4" t="s">
        <v>64</v>
      </c>
      <c r="D9" s="4">
        <v>2012</v>
      </c>
      <c r="E9" s="10">
        <f t="shared" si="0"/>
        <v>140.60001385000476</v>
      </c>
      <c r="F9" s="3" t="str">
        <f t="shared" si="1"/>
        <v/>
      </c>
      <c r="G9" s="3" t="str">
        <f t="shared" si="2"/>
        <v/>
      </c>
      <c r="H9" s="47" t="str">
        <f t="shared" si="3"/>
        <v/>
      </c>
      <c r="I9" s="9">
        <f>IF(COUNT(AJ9,BF9,CB9)&gt;0,LARGE((AJ9,BF9,CB9),1),0)</f>
        <v>47.5</v>
      </c>
      <c r="J9" s="9" t="str">
        <f t="shared" si="4"/>
        <v>2025 Nationals</v>
      </c>
      <c r="K9" s="9">
        <f>IF(COUNT(AJ9,BF9,CB9)&gt;1,LARGE((AJ9,BF9,CB9),2),0)</f>
        <v>43.399999999999991</v>
      </c>
      <c r="L9" s="9" t="str">
        <f t="shared" si="5"/>
        <v>2025 3rd Domestic Trial</v>
      </c>
      <c r="M9" s="9">
        <f t="shared" si="6"/>
        <v>47.599999999999994</v>
      </c>
      <c r="N9" s="9" t="str">
        <f t="shared" si="7"/>
        <v>2025 Nationals</v>
      </c>
      <c r="O9" s="9">
        <f t="shared" si="8"/>
        <v>2.1000000000000156</v>
      </c>
      <c r="P9" s="14" t="str">
        <f t="shared" si="9"/>
        <v>(Q1)</v>
      </c>
      <c r="Q9" s="9" t="str">
        <f t="shared" si="10"/>
        <v>2025 WAGC (Nov 16)</v>
      </c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32"/>
      <c r="AI9" s="55" t="str">
        <f t="shared" si="11"/>
        <v/>
      </c>
      <c r="AJ9" s="55" t="str">
        <f t="shared" si="12"/>
        <v/>
      </c>
      <c r="AK9" s="55" t="str">
        <f t="shared" si="13"/>
        <v/>
      </c>
      <c r="AL9" s="55" t="str">
        <f t="shared" si="14"/>
        <v/>
      </c>
      <c r="AM9" s="55" t="str">
        <f t="shared" si="15"/>
        <v/>
      </c>
      <c r="AN9" s="19">
        <v>18.3</v>
      </c>
      <c r="AO9" s="19">
        <v>5.6</v>
      </c>
      <c r="AP9" s="19">
        <v>0</v>
      </c>
      <c r="AQ9" s="19">
        <v>0</v>
      </c>
      <c r="AR9" s="19">
        <v>18.8</v>
      </c>
      <c r="AS9" s="19">
        <v>4.8</v>
      </c>
      <c r="AT9" s="19">
        <v>0</v>
      </c>
      <c r="AU9" s="19">
        <v>0</v>
      </c>
      <c r="AV9" s="19">
        <v>18.7</v>
      </c>
      <c r="AW9" s="19">
        <v>5.6</v>
      </c>
      <c r="AX9" s="19">
        <v>0</v>
      </c>
      <c r="AY9" s="19">
        <v>0</v>
      </c>
      <c r="AZ9" s="19">
        <v>18.5</v>
      </c>
      <c r="BA9" s="19">
        <v>4.8</v>
      </c>
      <c r="BB9" s="19">
        <v>0</v>
      </c>
      <c r="BC9" s="19">
        <v>0</v>
      </c>
      <c r="BD9" s="33"/>
      <c r="BE9" s="14">
        <f t="shared" si="16"/>
        <v>10.399999999999999</v>
      </c>
      <c r="BF9" s="14">
        <f t="shared" si="17"/>
        <v>47.5</v>
      </c>
      <c r="BG9" s="14">
        <f t="shared" si="18"/>
        <v>10.399999999999999</v>
      </c>
      <c r="BH9" s="14">
        <f t="shared" si="19"/>
        <v>47.599999999999994</v>
      </c>
      <c r="BI9" s="14">
        <f t="shared" si="20"/>
        <v>95.1</v>
      </c>
      <c r="BJ9" s="20">
        <v>18.100000000000001</v>
      </c>
      <c r="BK9" s="20">
        <v>5.2</v>
      </c>
      <c r="BL9" s="20">
        <v>0.2</v>
      </c>
      <c r="BM9" s="20">
        <v>0</v>
      </c>
      <c r="BN9" s="20">
        <v>18.5</v>
      </c>
      <c r="BO9" s="20">
        <v>2.8</v>
      </c>
      <c r="BP9" s="20">
        <v>1</v>
      </c>
      <c r="BQ9" s="20">
        <v>0</v>
      </c>
      <c r="BR9" s="20">
        <v>18.2</v>
      </c>
      <c r="BS9" s="20">
        <v>6</v>
      </c>
      <c r="BT9" s="20">
        <v>0.2</v>
      </c>
      <c r="BU9" s="20">
        <v>0</v>
      </c>
      <c r="BV9" s="20">
        <v>18.399999999999999</v>
      </c>
      <c r="BW9" s="20">
        <v>5.2</v>
      </c>
      <c r="BX9" s="20">
        <v>0.2</v>
      </c>
      <c r="BY9" s="20">
        <v>0</v>
      </c>
      <c r="BZ9" s="32"/>
      <c r="CA9" s="55">
        <f t="shared" si="21"/>
        <v>8</v>
      </c>
      <c r="CB9" s="55">
        <f t="shared" si="22"/>
        <v>43.399999999999991</v>
      </c>
      <c r="CC9" s="55">
        <f t="shared" si="23"/>
        <v>11.2</v>
      </c>
      <c r="CD9" s="55">
        <f t="shared" si="24"/>
        <v>47.4</v>
      </c>
      <c r="CE9" s="55">
        <f t="shared" si="25"/>
        <v>90.799999999999983</v>
      </c>
      <c r="CF9" s="56">
        <f t="shared" si="26"/>
        <v>2.1000000000000156</v>
      </c>
      <c r="CG9" s="56" t="str">
        <f t="shared" si="27"/>
        <v/>
      </c>
      <c r="CH9" s="18">
        <v>18.600000000000001</v>
      </c>
      <c r="CI9" s="18">
        <v>4.3</v>
      </c>
      <c r="CJ9" s="18">
        <v>0</v>
      </c>
      <c r="CK9" s="18">
        <v>0</v>
      </c>
      <c r="CL9" s="18">
        <v>18</v>
      </c>
      <c r="CM9" s="18">
        <v>5.2</v>
      </c>
      <c r="CN9" s="18">
        <v>0.6</v>
      </c>
      <c r="CO9" s="18">
        <v>0</v>
      </c>
      <c r="CP9" s="18"/>
      <c r="CQ9" s="18"/>
      <c r="CR9" s="18"/>
      <c r="CS9" s="18"/>
      <c r="CT9" s="18"/>
      <c r="CU9" s="18"/>
      <c r="CV9" s="18"/>
      <c r="CW9" s="18"/>
      <c r="CX9" s="18"/>
      <c r="CY9" s="18"/>
      <c r="CZ9" s="18"/>
      <c r="DA9" s="18"/>
      <c r="DB9" s="55">
        <f t="shared" si="28"/>
        <v>9.5</v>
      </c>
      <c r="DC9" s="55">
        <f t="shared" si="29"/>
        <v>45.500000000000007</v>
      </c>
      <c r="DD9" s="55" t="str">
        <f t="shared" si="30"/>
        <v/>
      </c>
      <c r="DE9" s="55" t="str">
        <f t="shared" si="31"/>
        <v/>
      </c>
      <c r="DF9" s="55" t="str">
        <f t="shared" si="32"/>
        <v/>
      </c>
      <c r="DG9" s="55">
        <f t="shared" si="33"/>
        <v>45.500000000000007</v>
      </c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  <c r="DZ9" s="19"/>
      <c r="EA9" s="19"/>
      <c r="EB9" s="14" t="str">
        <f t="shared" si="34"/>
        <v/>
      </c>
      <c r="EC9" s="14" t="str">
        <f t="shared" si="35"/>
        <v/>
      </c>
      <c r="ED9" s="14" t="str">
        <f t="shared" si="36"/>
        <v/>
      </c>
      <c r="EE9" s="14" t="str">
        <f t="shared" si="37"/>
        <v/>
      </c>
      <c r="EF9" s="14" t="str">
        <f t="shared" si="38"/>
        <v/>
      </c>
      <c r="EG9" s="14" t="str">
        <f t="shared" si="39"/>
        <v/>
      </c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55" t="str">
        <f t="shared" si="40"/>
        <v/>
      </c>
      <c r="FC9" s="55" t="str">
        <f t="shared" si="41"/>
        <v/>
      </c>
      <c r="FD9" s="55" t="str">
        <f t="shared" si="42"/>
        <v/>
      </c>
      <c r="FE9" s="55" t="str">
        <f t="shared" si="43"/>
        <v/>
      </c>
      <c r="FF9" s="55" t="str">
        <f t="shared" si="44"/>
        <v/>
      </c>
      <c r="FG9" s="55" t="str">
        <f t="shared" si="45"/>
        <v/>
      </c>
      <c r="FH9" s="19"/>
      <c r="FI9" s="19"/>
      <c r="FJ9" s="19"/>
      <c r="FK9" s="19"/>
      <c r="FL9" s="19"/>
      <c r="FM9" s="19"/>
      <c r="FN9" s="19"/>
      <c r="FO9" s="19"/>
      <c r="FP9" s="19"/>
      <c r="FQ9" s="19"/>
      <c r="FR9" s="19"/>
      <c r="FS9" s="19"/>
      <c r="FT9" s="19"/>
      <c r="FU9" s="19"/>
      <c r="FV9" s="19"/>
      <c r="FW9" s="19"/>
      <c r="FX9" s="19"/>
      <c r="FY9" s="19"/>
      <c r="FZ9" s="19"/>
      <c r="GA9" s="19"/>
      <c r="GB9" s="14" t="str">
        <f t="shared" si="46"/>
        <v/>
      </c>
      <c r="GC9" s="14" t="str">
        <f t="shared" si="47"/>
        <v/>
      </c>
      <c r="GD9" s="14" t="str">
        <f t="shared" si="48"/>
        <v/>
      </c>
      <c r="GE9" s="14" t="str">
        <f t="shared" si="49"/>
        <v/>
      </c>
      <c r="GF9" s="14" t="str">
        <f t="shared" si="50"/>
        <v/>
      </c>
      <c r="GG9" s="14" t="str">
        <f t="shared" si="51"/>
        <v/>
      </c>
      <c r="GH9" s="18"/>
      <c r="GI9" s="18"/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55" t="str">
        <f t="shared" si="52"/>
        <v/>
      </c>
      <c r="HC9" s="55" t="str">
        <f t="shared" si="53"/>
        <v/>
      </c>
      <c r="HD9" s="55" t="str">
        <f t="shared" si="54"/>
        <v/>
      </c>
      <c r="HE9" s="55" t="str">
        <f t="shared" si="55"/>
        <v/>
      </c>
      <c r="HF9" s="55" t="str">
        <f t="shared" si="56"/>
        <v/>
      </c>
      <c r="HG9" s="55" t="str">
        <f t="shared" si="57"/>
        <v/>
      </c>
      <c r="HH9" s="19"/>
      <c r="HI9" s="19"/>
      <c r="HJ9" s="19"/>
      <c r="HK9" s="19"/>
      <c r="HL9" s="19"/>
      <c r="HM9" s="19"/>
      <c r="HN9" s="19"/>
      <c r="HO9" s="19"/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4" t="str">
        <f t="shared" si="58"/>
        <v/>
      </c>
      <c r="IC9" s="14" t="str">
        <f t="shared" si="59"/>
        <v/>
      </c>
      <c r="ID9" s="14" t="str">
        <f t="shared" si="60"/>
        <v/>
      </c>
      <c r="IE9" s="14" t="str">
        <f t="shared" si="61"/>
        <v/>
      </c>
      <c r="IF9" s="14" t="str">
        <f t="shared" si="62"/>
        <v/>
      </c>
      <c r="IG9" s="14" t="str">
        <f t="shared" si="63"/>
        <v/>
      </c>
      <c r="IH9" s="18"/>
      <c r="II9" s="18"/>
      <c r="IJ9" s="18"/>
      <c r="IK9" s="18"/>
      <c r="IL9" s="18"/>
      <c r="IM9" s="18"/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55" t="str">
        <f t="shared" si="64"/>
        <v/>
      </c>
      <c r="JC9" s="55" t="str">
        <f t="shared" si="65"/>
        <v/>
      </c>
      <c r="JD9" s="55" t="str">
        <f t="shared" si="66"/>
        <v/>
      </c>
      <c r="JE9" s="55" t="str">
        <f t="shared" si="67"/>
        <v/>
      </c>
      <c r="JF9" s="55" t="str">
        <f t="shared" si="68"/>
        <v/>
      </c>
      <c r="JG9" s="55" t="str">
        <f t="shared" si="69"/>
        <v/>
      </c>
      <c r="JH9" s="19"/>
      <c r="JI9" s="19"/>
      <c r="JJ9" s="19"/>
      <c r="JK9" s="19"/>
      <c r="JL9" s="19"/>
      <c r="JM9" s="19"/>
      <c r="JN9" s="19"/>
      <c r="JO9" s="19"/>
      <c r="JP9" s="19"/>
      <c r="JQ9" s="19"/>
      <c r="JR9" s="19"/>
      <c r="JS9" s="19"/>
      <c r="JT9" s="19"/>
      <c r="JU9" s="19"/>
      <c r="JV9" s="19"/>
      <c r="JW9" s="19"/>
      <c r="JX9" s="19"/>
      <c r="JY9" s="19"/>
      <c r="JZ9" s="19"/>
      <c r="KA9" s="19"/>
      <c r="KB9" s="14" t="str">
        <f t="shared" si="70"/>
        <v/>
      </c>
      <c r="KC9" s="14" t="str">
        <f t="shared" si="71"/>
        <v/>
      </c>
      <c r="KD9" s="14" t="str">
        <f t="shared" si="72"/>
        <v/>
      </c>
      <c r="KE9" s="14" t="str">
        <f t="shared" si="73"/>
        <v/>
      </c>
      <c r="KF9" s="14" t="str">
        <f t="shared" si="74"/>
        <v/>
      </c>
      <c r="KG9" s="14" t="str">
        <f t="shared" si="75"/>
        <v/>
      </c>
      <c r="KH9" s="18"/>
      <c r="KI9" s="18"/>
      <c r="KJ9" s="18"/>
      <c r="KK9" s="18"/>
      <c r="KL9" s="18"/>
      <c r="KM9" s="18"/>
      <c r="KN9" s="18"/>
      <c r="KO9" s="18"/>
      <c r="KP9" s="18"/>
      <c r="KQ9" s="18"/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55" t="str">
        <f t="shared" si="76"/>
        <v/>
      </c>
      <c r="LC9" s="55" t="str">
        <f t="shared" si="77"/>
        <v/>
      </c>
      <c r="LD9" s="55" t="str">
        <f t="shared" si="78"/>
        <v/>
      </c>
      <c r="LE9" s="55" t="str">
        <f t="shared" si="79"/>
        <v/>
      </c>
      <c r="LF9" s="55" t="str">
        <f t="shared" si="80"/>
        <v/>
      </c>
      <c r="LG9" s="55" t="str">
        <f t="shared" si="81"/>
        <v/>
      </c>
      <c r="LH9" s="19"/>
      <c r="LI9" s="19"/>
      <c r="LJ9" s="19"/>
      <c r="LK9" s="19"/>
      <c r="LL9" s="19"/>
      <c r="LM9" s="19"/>
      <c r="LN9" s="19"/>
      <c r="LO9" s="19"/>
      <c r="LP9" s="19"/>
      <c r="LQ9" s="19"/>
      <c r="LR9" s="19"/>
      <c r="LS9" s="19"/>
      <c r="LT9" s="19"/>
      <c r="LU9" s="19"/>
      <c r="LV9" s="19"/>
      <c r="LW9" s="19"/>
      <c r="LX9" s="19"/>
      <c r="LY9" s="19"/>
      <c r="LZ9" s="19"/>
      <c r="MA9" s="19"/>
      <c r="MB9" s="14" t="str">
        <f t="shared" si="82"/>
        <v/>
      </c>
      <c r="MC9" s="14" t="str">
        <f t="shared" si="83"/>
        <v/>
      </c>
      <c r="MD9" s="14" t="str">
        <f t="shared" si="84"/>
        <v/>
      </c>
      <c r="ME9" s="14" t="str">
        <f t="shared" si="85"/>
        <v/>
      </c>
      <c r="MF9" s="14" t="str">
        <f t="shared" si="86"/>
        <v/>
      </c>
      <c r="MG9" s="14" t="str">
        <f t="shared" si="87"/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55" t="str">
        <f t="shared" si="88"/>
        <v/>
      </c>
      <c r="NC9" s="55" t="str">
        <f t="shared" si="89"/>
        <v/>
      </c>
      <c r="ND9" s="55" t="str">
        <f t="shared" si="90"/>
        <v/>
      </c>
      <c r="NE9" s="55" t="str">
        <f t="shared" si="91"/>
        <v/>
      </c>
      <c r="NF9" s="55" t="str">
        <f t="shared" si="92"/>
        <v/>
      </c>
      <c r="NG9" s="55" t="str">
        <f t="shared" si="93"/>
        <v/>
      </c>
      <c r="NH9" s="19"/>
      <c r="NI9" s="19"/>
      <c r="NJ9" s="19"/>
      <c r="NK9" s="19"/>
      <c r="NL9" s="19"/>
      <c r="NM9" s="19"/>
      <c r="NN9" s="19"/>
      <c r="NO9" s="19"/>
      <c r="NP9" s="19"/>
      <c r="NQ9" s="19"/>
      <c r="NR9" s="19"/>
      <c r="NS9" s="19"/>
      <c r="NT9" s="19"/>
      <c r="NU9" s="19"/>
      <c r="NV9" s="19"/>
      <c r="NW9" s="19"/>
      <c r="NX9" s="19"/>
      <c r="NY9" s="19"/>
      <c r="NZ9" s="19"/>
      <c r="OA9" s="19"/>
      <c r="OB9" s="14" t="str">
        <f t="shared" si="94"/>
        <v/>
      </c>
      <c r="OC9" s="14" t="str">
        <f t="shared" si="95"/>
        <v/>
      </c>
      <c r="OD9" s="14" t="str">
        <f t="shared" si="96"/>
        <v/>
      </c>
      <c r="OE9" s="14" t="str">
        <f t="shared" si="97"/>
        <v/>
      </c>
      <c r="OF9" s="14" t="str">
        <f t="shared" si="98"/>
        <v/>
      </c>
      <c r="OG9" s="14" t="str">
        <f t="shared" si="99"/>
        <v/>
      </c>
      <c r="OH9" s="27">
        <f t="shared" si="100"/>
        <v>18.200000000000003</v>
      </c>
      <c r="OI9" s="27">
        <f t="shared" si="101"/>
        <v>5.4</v>
      </c>
      <c r="OJ9" s="27">
        <f t="shared" si="102"/>
        <v>0.1</v>
      </c>
      <c r="OK9" s="27">
        <f t="shared" si="103"/>
        <v>0</v>
      </c>
      <c r="OL9" s="27">
        <f t="shared" si="104"/>
        <v>18.649999999999999</v>
      </c>
      <c r="OM9" s="27">
        <f t="shared" si="105"/>
        <v>3.8</v>
      </c>
      <c r="ON9" s="27">
        <f t="shared" si="106"/>
        <v>0.5</v>
      </c>
      <c r="OO9" s="27">
        <f t="shared" si="107"/>
        <v>0</v>
      </c>
      <c r="OP9" s="27">
        <f t="shared" si="108"/>
        <v>18.45</v>
      </c>
      <c r="OQ9" s="27">
        <f t="shared" si="109"/>
        <v>5.8</v>
      </c>
      <c r="OR9" s="27">
        <f t="shared" si="110"/>
        <v>0.1</v>
      </c>
      <c r="OS9" s="27">
        <f t="shared" si="111"/>
        <v>0</v>
      </c>
      <c r="OT9" s="27">
        <f t="shared" si="112"/>
        <v>18.45</v>
      </c>
      <c r="OU9" s="27">
        <f t="shared" si="113"/>
        <v>5</v>
      </c>
      <c r="OV9" s="27">
        <f t="shared" si="114"/>
        <v>0.1</v>
      </c>
      <c r="OW9" s="27">
        <f t="shared" si="115"/>
        <v>0</v>
      </c>
      <c r="OX9" s="32" t="s">
        <v>44</v>
      </c>
      <c r="OY9" s="55">
        <f t="shared" si="116"/>
        <v>9.1999999999999993</v>
      </c>
      <c r="OZ9" s="55">
        <f t="shared" si="117"/>
        <v>45.449999999999996</v>
      </c>
      <c r="PA9" s="55">
        <f t="shared" si="118"/>
        <v>10.8</v>
      </c>
      <c r="PB9" s="55">
        <f t="shared" si="119"/>
        <v>47.5</v>
      </c>
      <c r="PC9" s="55">
        <f t="shared" si="120"/>
        <v>92.949999999999989</v>
      </c>
    </row>
    <row r="10" spans="1:419" x14ac:dyDescent="0.2">
      <c r="A10" s="4" t="str" cm="1">
        <f t="array" ref="A10">IF(AND(H10&lt;&gt;"",H10&lt;&gt;"No DD"),SUMPRODUCT((H$4:H$16&lt;&gt;"")*(H$4:H$16&lt;&gt;"No DD")*(E$4:E$16&gt;E10))+1,IF(H10="No DD",SUMPRODUCT((H$4:H$16="No DD")*(E$4:E$16&gt;E10))+1+SUMPRODUCT((H$4:H$16&lt;&gt;"")*(H$4:H$16&lt;&gt;"No DD")),""))</f>
        <v/>
      </c>
      <c r="B10" s="5" t="s">
        <v>85</v>
      </c>
      <c r="C10" s="4" t="s">
        <v>86</v>
      </c>
      <c r="D10" s="4">
        <v>2009</v>
      </c>
      <c r="E10" s="10">
        <f t="shared" si="0"/>
        <v>139.10001391000486</v>
      </c>
      <c r="F10" s="3" t="str">
        <f t="shared" si="1"/>
        <v/>
      </c>
      <c r="G10" s="3" t="str">
        <f t="shared" si="2"/>
        <v/>
      </c>
      <c r="H10" s="47" t="str">
        <f t="shared" si="3"/>
        <v/>
      </c>
      <c r="I10" s="9">
        <f>IF(COUNT(AJ10,BF10,CB10)&gt;0,LARGE((AJ10,BF10,CB10),1),0)</f>
        <v>48.6</v>
      </c>
      <c r="J10" s="9" t="str">
        <f t="shared" si="4"/>
        <v>2025 3rd Domestic Trial</v>
      </c>
      <c r="K10" s="9">
        <f>IF(COUNT(AJ10,BF10,CB10)&gt;1,LARGE((AJ10,BF10,CB10),2),0)</f>
        <v>41.699999999999996</v>
      </c>
      <c r="L10" s="9" t="str">
        <f t="shared" si="5"/>
        <v>2025 Nationals</v>
      </c>
      <c r="M10" s="9">
        <f t="shared" si="6"/>
        <v>48.800000000000004</v>
      </c>
      <c r="N10" s="9" t="str">
        <f t="shared" si="7"/>
        <v>2025 3rd Domestic Trial</v>
      </c>
      <c r="O10" s="9" t="str">
        <f t="shared" si="8"/>
        <v/>
      </c>
      <c r="P10" s="14" t="str">
        <f t="shared" si="9"/>
        <v/>
      </c>
      <c r="Q10" s="9" t="str">
        <f t="shared" si="10"/>
        <v/>
      </c>
      <c r="R10" s="20">
        <v>0</v>
      </c>
      <c r="S10" s="20">
        <v>0</v>
      </c>
      <c r="T10" s="20">
        <v>0</v>
      </c>
      <c r="U10" s="20">
        <v>0</v>
      </c>
      <c r="V10" s="20">
        <v>16.5</v>
      </c>
      <c r="W10" s="20">
        <v>6.4</v>
      </c>
      <c r="X10" s="20">
        <v>0</v>
      </c>
      <c r="Y10" s="20">
        <v>0</v>
      </c>
      <c r="Z10" s="20"/>
      <c r="AA10" s="20"/>
      <c r="AB10" s="20"/>
      <c r="AC10" s="20"/>
      <c r="AD10" s="20"/>
      <c r="AE10" s="20"/>
      <c r="AF10" s="20"/>
      <c r="AG10" s="20"/>
      <c r="AH10" s="32"/>
      <c r="AI10" s="55">
        <f t="shared" si="11"/>
        <v>6.4</v>
      </c>
      <c r="AJ10" s="55">
        <f t="shared" si="12"/>
        <v>22.9</v>
      </c>
      <c r="AK10" s="55" t="str">
        <f t="shared" si="13"/>
        <v/>
      </c>
      <c r="AL10" s="55" t="str">
        <f t="shared" si="14"/>
        <v/>
      </c>
      <c r="AM10" s="55">
        <f t="shared" si="15"/>
        <v>22.9</v>
      </c>
      <c r="AN10" s="19">
        <v>15.3</v>
      </c>
      <c r="AO10" s="19">
        <v>2.4</v>
      </c>
      <c r="AP10" s="19">
        <v>0</v>
      </c>
      <c r="AQ10" s="19">
        <v>0</v>
      </c>
      <c r="AR10" s="19">
        <v>18.399999999999999</v>
      </c>
      <c r="AS10" s="19">
        <v>6.4</v>
      </c>
      <c r="AT10" s="19">
        <v>0.8</v>
      </c>
      <c r="AU10" s="19">
        <v>0</v>
      </c>
      <c r="AV10" s="19">
        <v>18.100000000000001</v>
      </c>
      <c r="AW10" s="19">
        <v>5.2</v>
      </c>
      <c r="AX10" s="19">
        <v>0.8</v>
      </c>
      <c r="AY10" s="19">
        <v>0</v>
      </c>
      <c r="AZ10" s="19">
        <v>15.2</v>
      </c>
      <c r="BA10" s="19">
        <v>2.8</v>
      </c>
      <c r="BB10" s="19">
        <v>0.2</v>
      </c>
      <c r="BC10" s="19">
        <v>0</v>
      </c>
      <c r="BD10" s="33"/>
      <c r="BE10" s="14">
        <f t="shared" si="16"/>
        <v>8.8000000000000007</v>
      </c>
      <c r="BF10" s="14">
        <f t="shared" si="17"/>
        <v>41.699999999999996</v>
      </c>
      <c r="BG10" s="14">
        <f t="shared" si="18"/>
        <v>8</v>
      </c>
      <c r="BH10" s="14">
        <f t="shared" si="19"/>
        <v>40.299999999999997</v>
      </c>
      <c r="BI10" s="14">
        <f t="shared" si="20"/>
        <v>82</v>
      </c>
      <c r="BJ10" s="20">
        <v>18.7</v>
      </c>
      <c r="BK10" s="20">
        <v>6</v>
      </c>
      <c r="BL10" s="20">
        <v>0</v>
      </c>
      <c r="BM10" s="20">
        <v>0</v>
      </c>
      <c r="BN10" s="20">
        <v>18.5</v>
      </c>
      <c r="BO10" s="20">
        <v>5.6</v>
      </c>
      <c r="BP10" s="20">
        <v>0.2</v>
      </c>
      <c r="BQ10" s="20">
        <v>0</v>
      </c>
      <c r="BR10" s="20">
        <v>18.5</v>
      </c>
      <c r="BS10" s="20">
        <v>6</v>
      </c>
      <c r="BT10" s="20">
        <v>0</v>
      </c>
      <c r="BU10" s="20">
        <v>0</v>
      </c>
      <c r="BV10" s="20">
        <v>18.7</v>
      </c>
      <c r="BW10" s="20">
        <v>5.6</v>
      </c>
      <c r="BX10" s="20">
        <v>0</v>
      </c>
      <c r="BY10" s="20">
        <v>0</v>
      </c>
      <c r="BZ10" s="32"/>
      <c r="CA10" s="55">
        <f t="shared" si="21"/>
        <v>11.6</v>
      </c>
      <c r="CB10" s="55">
        <f t="shared" si="22"/>
        <v>48.6</v>
      </c>
      <c r="CC10" s="55">
        <f t="shared" si="23"/>
        <v>11.6</v>
      </c>
      <c r="CD10" s="55">
        <f t="shared" si="24"/>
        <v>48.800000000000004</v>
      </c>
      <c r="CE10" s="55">
        <f t="shared" si="25"/>
        <v>97.4</v>
      </c>
      <c r="CF10" s="56" t="str">
        <f t="shared" si="26"/>
        <v/>
      </c>
      <c r="CG10" s="56" t="str">
        <f t="shared" si="27"/>
        <v/>
      </c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/>
      <c r="CZ10" s="18"/>
      <c r="DA10" s="18"/>
      <c r="DB10" s="55" t="str">
        <f t="shared" si="28"/>
        <v/>
      </c>
      <c r="DC10" s="55" t="str">
        <f t="shared" si="29"/>
        <v/>
      </c>
      <c r="DD10" s="55" t="str">
        <f t="shared" si="30"/>
        <v/>
      </c>
      <c r="DE10" s="55" t="str">
        <f t="shared" si="31"/>
        <v/>
      </c>
      <c r="DF10" s="55" t="str">
        <f t="shared" si="32"/>
        <v/>
      </c>
      <c r="DG10" s="55" t="str">
        <f t="shared" si="33"/>
        <v/>
      </c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4" t="str">
        <f t="shared" si="34"/>
        <v/>
      </c>
      <c r="EC10" s="14" t="str">
        <f t="shared" si="35"/>
        <v/>
      </c>
      <c r="ED10" s="14" t="str">
        <f t="shared" si="36"/>
        <v/>
      </c>
      <c r="EE10" s="14" t="str">
        <f t="shared" si="37"/>
        <v/>
      </c>
      <c r="EF10" s="14" t="str">
        <f t="shared" si="38"/>
        <v/>
      </c>
      <c r="EG10" s="14" t="str">
        <f t="shared" si="39"/>
        <v/>
      </c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55" t="str">
        <f t="shared" si="40"/>
        <v/>
      </c>
      <c r="FC10" s="55" t="str">
        <f t="shared" si="41"/>
        <v/>
      </c>
      <c r="FD10" s="55" t="str">
        <f t="shared" si="42"/>
        <v/>
      </c>
      <c r="FE10" s="55" t="str">
        <f t="shared" si="43"/>
        <v/>
      </c>
      <c r="FF10" s="55" t="str">
        <f t="shared" si="44"/>
        <v/>
      </c>
      <c r="FG10" s="55" t="str">
        <f t="shared" si="45"/>
        <v/>
      </c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4" t="str">
        <f t="shared" si="46"/>
        <v/>
      </c>
      <c r="GC10" s="14" t="str">
        <f t="shared" si="47"/>
        <v/>
      </c>
      <c r="GD10" s="14" t="str">
        <f t="shared" si="48"/>
        <v/>
      </c>
      <c r="GE10" s="14" t="str">
        <f t="shared" si="49"/>
        <v/>
      </c>
      <c r="GF10" s="14" t="str">
        <f t="shared" si="50"/>
        <v/>
      </c>
      <c r="GG10" s="14" t="str">
        <f t="shared" si="51"/>
        <v/>
      </c>
      <c r="GH10" s="18"/>
      <c r="GI10" s="18"/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55" t="str">
        <f t="shared" si="52"/>
        <v/>
      </c>
      <c r="HC10" s="55" t="str">
        <f t="shared" si="53"/>
        <v/>
      </c>
      <c r="HD10" s="55" t="str">
        <f t="shared" si="54"/>
        <v/>
      </c>
      <c r="HE10" s="55" t="str">
        <f t="shared" si="55"/>
        <v/>
      </c>
      <c r="HF10" s="55" t="str">
        <f t="shared" si="56"/>
        <v/>
      </c>
      <c r="HG10" s="55" t="str">
        <f t="shared" si="57"/>
        <v/>
      </c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4" t="str">
        <f t="shared" si="58"/>
        <v/>
      </c>
      <c r="IC10" s="14" t="str">
        <f t="shared" si="59"/>
        <v/>
      </c>
      <c r="ID10" s="14" t="str">
        <f t="shared" si="60"/>
        <v/>
      </c>
      <c r="IE10" s="14" t="str">
        <f t="shared" si="61"/>
        <v/>
      </c>
      <c r="IF10" s="14" t="str">
        <f t="shared" si="62"/>
        <v/>
      </c>
      <c r="IG10" s="14" t="str">
        <f t="shared" si="63"/>
        <v/>
      </c>
      <c r="IH10" s="18"/>
      <c r="II10" s="18"/>
      <c r="IJ10" s="18"/>
      <c r="IK10" s="18"/>
      <c r="IL10" s="18"/>
      <c r="IM10" s="18"/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55" t="str">
        <f t="shared" si="64"/>
        <v/>
      </c>
      <c r="JC10" s="55" t="str">
        <f t="shared" si="65"/>
        <v/>
      </c>
      <c r="JD10" s="55" t="str">
        <f t="shared" si="66"/>
        <v/>
      </c>
      <c r="JE10" s="55" t="str">
        <f t="shared" si="67"/>
        <v/>
      </c>
      <c r="JF10" s="55" t="str">
        <f t="shared" si="68"/>
        <v/>
      </c>
      <c r="JG10" s="55" t="str">
        <f t="shared" si="69"/>
        <v/>
      </c>
      <c r="JH10" s="19"/>
      <c r="JI10" s="19"/>
      <c r="JJ10" s="19"/>
      <c r="JK10" s="19"/>
      <c r="JL10" s="19"/>
      <c r="JM10" s="19"/>
      <c r="JN10" s="19"/>
      <c r="JO10" s="19"/>
      <c r="JP10" s="19"/>
      <c r="JQ10" s="19"/>
      <c r="JR10" s="19"/>
      <c r="JS10" s="19"/>
      <c r="JT10" s="19"/>
      <c r="JU10" s="19"/>
      <c r="JV10" s="19"/>
      <c r="JW10" s="19"/>
      <c r="JX10" s="19"/>
      <c r="JY10" s="19"/>
      <c r="JZ10" s="19"/>
      <c r="KA10" s="19"/>
      <c r="KB10" s="14" t="str">
        <f t="shared" si="70"/>
        <v/>
      </c>
      <c r="KC10" s="14" t="str">
        <f t="shared" si="71"/>
        <v/>
      </c>
      <c r="KD10" s="14" t="str">
        <f t="shared" si="72"/>
        <v/>
      </c>
      <c r="KE10" s="14" t="str">
        <f t="shared" si="73"/>
        <v/>
      </c>
      <c r="KF10" s="14" t="str">
        <f t="shared" si="74"/>
        <v/>
      </c>
      <c r="KG10" s="14" t="str">
        <f t="shared" si="75"/>
        <v/>
      </c>
      <c r="KH10" s="18"/>
      <c r="KI10" s="18"/>
      <c r="KJ10" s="18"/>
      <c r="KK10" s="18"/>
      <c r="KL10" s="18"/>
      <c r="KM10" s="18"/>
      <c r="KN10" s="18"/>
      <c r="KO10" s="18"/>
      <c r="KP10" s="18"/>
      <c r="KQ10" s="18"/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55" t="str">
        <f t="shared" si="76"/>
        <v/>
      </c>
      <c r="LC10" s="55" t="str">
        <f t="shared" si="77"/>
        <v/>
      </c>
      <c r="LD10" s="55" t="str">
        <f t="shared" si="78"/>
        <v/>
      </c>
      <c r="LE10" s="55" t="str">
        <f t="shared" si="79"/>
        <v/>
      </c>
      <c r="LF10" s="55" t="str">
        <f t="shared" si="80"/>
        <v/>
      </c>
      <c r="LG10" s="55" t="str">
        <f t="shared" si="81"/>
        <v/>
      </c>
      <c r="LH10" s="19"/>
      <c r="LI10" s="19"/>
      <c r="LJ10" s="19"/>
      <c r="LK10" s="19"/>
      <c r="LL10" s="19"/>
      <c r="LM10" s="19"/>
      <c r="LN10" s="19"/>
      <c r="LO10" s="19"/>
      <c r="LP10" s="19"/>
      <c r="LQ10" s="19"/>
      <c r="LR10" s="19"/>
      <c r="LS10" s="19"/>
      <c r="LT10" s="19"/>
      <c r="LU10" s="19"/>
      <c r="LV10" s="19"/>
      <c r="LW10" s="19"/>
      <c r="LX10" s="19"/>
      <c r="LY10" s="19"/>
      <c r="LZ10" s="19"/>
      <c r="MA10" s="19"/>
      <c r="MB10" s="14" t="str">
        <f t="shared" si="82"/>
        <v/>
      </c>
      <c r="MC10" s="14" t="str">
        <f t="shared" si="83"/>
        <v/>
      </c>
      <c r="MD10" s="14" t="str">
        <f t="shared" si="84"/>
        <v/>
      </c>
      <c r="ME10" s="14" t="str">
        <f t="shared" si="85"/>
        <v/>
      </c>
      <c r="MF10" s="14" t="str">
        <f t="shared" si="86"/>
        <v/>
      </c>
      <c r="MG10" s="14" t="str">
        <f t="shared" si="87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55" t="str">
        <f t="shared" si="88"/>
        <v/>
      </c>
      <c r="NC10" s="55" t="str">
        <f t="shared" si="89"/>
        <v/>
      </c>
      <c r="ND10" s="55" t="str">
        <f t="shared" si="90"/>
        <v/>
      </c>
      <c r="NE10" s="55" t="str">
        <f t="shared" si="91"/>
        <v/>
      </c>
      <c r="NF10" s="55" t="str">
        <f t="shared" si="92"/>
        <v/>
      </c>
      <c r="NG10" s="55" t="str">
        <f t="shared" si="93"/>
        <v/>
      </c>
      <c r="NH10" s="19"/>
      <c r="NI10" s="19"/>
      <c r="NJ10" s="19"/>
      <c r="NK10" s="19"/>
      <c r="NL10" s="19"/>
      <c r="NM10" s="19"/>
      <c r="NN10" s="19"/>
      <c r="NO10" s="19"/>
      <c r="NP10" s="19"/>
      <c r="NQ10" s="19"/>
      <c r="NR10" s="19"/>
      <c r="NS10" s="19"/>
      <c r="NT10" s="19"/>
      <c r="NU10" s="19"/>
      <c r="NV10" s="19"/>
      <c r="NW10" s="19"/>
      <c r="NX10" s="19"/>
      <c r="NY10" s="19"/>
      <c r="NZ10" s="19"/>
      <c r="OA10" s="19"/>
      <c r="OB10" s="14" t="str">
        <f t="shared" si="94"/>
        <v/>
      </c>
      <c r="OC10" s="14" t="str">
        <f t="shared" si="95"/>
        <v/>
      </c>
      <c r="OD10" s="14" t="str">
        <f t="shared" si="96"/>
        <v/>
      </c>
      <c r="OE10" s="14" t="str">
        <f t="shared" si="97"/>
        <v/>
      </c>
      <c r="OF10" s="14" t="str">
        <f t="shared" si="98"/>
        <v/>
      </c>
      <c r="OG10" s="14" t="str">
        <f t="shared" si="99"/>
        <v/>
      </c>
      <c r="OH10" s="27">
        <f t="shared" si="100"/>
        <v>17</v>
      </c>
      <c r="OI10" s="27">
        <f t="shared" si="101"/>
        <v>4.2</v>
      </c>
      <c r="OJ10" s="27">
        <f t="shared" si="102"/>
        <v>0</v>
      </c>
      <c r="OK10" s="27">
        <f t="shared" si="103"/>
        <v>0</v>
      </c>
      <c r="OL10" s="27">
        <f t="shared" si="104"/>
        <v>18.45</v>
      </c>
      <c r="OM10" s="27">
        <f t="shared" si="105"/>
        <v>6</v>
      </c>
      <c r="ON10" s="27">
        <f t="shared" si="106"/>
        <v>0.5</v>
      </c>
      <c r="OO10" s="27">
        <f t="shared" si="107"/>
        <v>0</v>
      </c>
      <c r="OP10" s="27">
        <f t="shared" si="108"/>
        <v>18.3</v>
      </c>
      <c r="OQ10" s="27">
        <f t="shared" si="109"/>
        <v>5.6</v>
      </c>
      <c r="OR10" s="27">
        <f t="shared" si="110"/>
        <v>0.4</v>
      </c>
      <c r="OS10" s="27">
        <f t="shared" si="111"/>
        <v>0</v>
      </c>
      <c r="OT10" s="27">
        <f t="shared" si="112"/>
        <v>16.95</v>
      </c>
      <c r="OU10" s="27">
        <f t="shared" si="113"/>
        <v>4.1999999999999993</v>
      </c>
      <c r="OV10" s="27">
        <f t="shared" si="114"/>
        <v>0.1</v>
      </c>
      <c r="OW10" s="27">
        <f t="shared" si="115"/>
        <v>0</v>
      </c>
      <c r="OX10" s="32" t="s">
        <v>44</v>
      </c>
      <c r="OY10" s="55">
        <f t="shared" si="116"/>
        <v>10.199999999999999</v>
      </c>
      <c r="OZ10" s="55">
        <f t="shared" si="117"/>
        <v>45.15</v>
      </c>
      <c r="PA10" s="55">
        <f t="shared" si="118"/>
        <v>9.7999999999999989</v>
      </c>
      <c r="PB10" s="55">
        <f t="shared" si="119"/>
        <v>44.55</v>
      </c>
      <c r="PC10" s="55">
        <f t="shared" si="120"/>
        <v>89.699999999999989</v>
      </c>
    </row>
    <row r="11" spans="1:419" x14ac:dyDescent="0.2">
      <c r="A11" s="4" t="str" cm="1">
        <f t="array" ref="A11">IF(AND(H11&lt;&gt;"",H11&lt;&gt;"No DD"),SUMPRODUCT((H$4:H$16&lt;&gt;"")*(H$4:H$16&lt;&gt;"No DD")*(E$4:E$16&gt;E11))+1,IF(H11="No DD",SUMPRODUCT((H$4:H$16="No DD")*(E$4:E$16&gt;E11))+1+SUMPRODUCT((H$4:H$16&lt;&gt;"")*(H$4:H$16&lt;&gt;"No DD")),""))</f>
        <v/>
      </c>
      <c r="B11" s="5" t="s">
        <v>111</v>
      </c>
      <c r="C11" s="4" t="s">
        <v>64</v>
      </c>
      <c r="D11" s="4">
        <v>2012</v>
      </c>
      <c r="E11" s="10">
        <f t="shared" si="0"/>
        <v>135.80001089000413</v>
      </c>
      <c r="F11" s="3" t="str">
        <f t="shared" si="1"/>
        <v/>
      </c>
      <c r="G11" s="3" t="str">
        <f t="shared" si="2"/>
        <v/>
      </c>
      <c r="H11" s="47" t="str">
        <f t="shared" si="3"/>
        <v/>
      </c>
      <c r="I11" s="9">
        <f>IF(COUNT(AJ11,BF11,CB11)&gt;0,LARGE((AJ11,BF11,CB11),1),0)</f>
        <v>41.099999999999994</v>
      </c>
      <c r="J11" s="9" t="str">
        <f t="shared" si="4"/>
        <v>2025 Nationals</v>
      </c>
      <c r="K11" s="9">
        <f>IF(COUNT(AJ11,BF11,CB11)&gt;1,LARGE((AJ11,BF11,CB11),2),0)</f>
        <v>22.1</v>
      </c>
      <c r="L11" s="9" t="str">
        <f t="shared" si="5"/>
        <v>2025 3rd Domestic Trial</v>
      </c>
      <c r="M11" s="9">
        <f t="shared" si="6"/>
        <v>45.7</v>
      </c>
      <c r="N11" s="9" t="str">
        <f t="shared" si="7"/>
        <v>2025 Nationals</v>
      </c>
      <c r="O11" s="9">
        <f t="shared" si="8"/>
        <v>26.9</v>
      </c>
      <c r="P11" s="14" t="str">
        <f t="shared" si="9"/>
        <v>(Q1)</v>
      </c>
      <c r="Q11" s="9" t="str">
        <f t="shared" si="10"/>
        <v>2025 WAGC (Nov 16)</v>
      </c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32"/>
      <c r="AI11" s="55" t="str">
        <f t="shared" si="11"/>
        <v/>
      </c>
      <c r="AJ11" s="55" t="str">
        <f t="shared" si="12"/>
        <v/>
      </c>
      <c r="AK11" s="55" t="str">
        <f t="shared" si="13"/>
        <v/>
      </c>
      <c r="AL11" s="55" t="str">
        <f t="shared" si="14"/>
        <v/>
      </c>
      <c r="AM11" s="55" t="str">
        <f t="shared" si="15"/>
        <v/>
      </c>
      <c r="AN11" s="19">
        <v>17.899999999999999</v>
      </c>
      <c r="AO11" s="19">
        <v>5.2</v>
      </c>
      <c r="AP11" s="19">
        <v>0.2</v>
      </c>
      <c r="AQ11" s="19">
        <v>0</v>
      </c>
      <c r="AR11" s="19">
        <v>15</v>
      </c>
      <c r="AS11" s="19">
        <v>3.2</v>
      </c>
      <c r="AT11" s="19">
        <v>0</v>
      </c>
      <c r="AU11" s="19">
        <v>0</v>
      </c>
      <c r="AV11" s="19">
        <v>18.399999999999999</v>
      </c>
      <c r="AW11" s="19">
        <v>5.2</v>
      </c>
      <c r="AX11" s="19">
        <v>0.2</v>
      </c>
      <c r="AY11" s="19">
        <v>0</v>
      </c>
      <c r="AZ11" s="19">
        <v>18.100000000000001</v>
      </c>
      <c r="BA11" s="19">
        <v>4.8</v>
      </c>
      <c r="BB11" s="19">
        <v>0.6</v>
      </c>
      <c r="BC11" s="19">
        <v>0</v>
      </c>
      <c r="BD11" s="33"/>
      <c r="BE11" s="14">
        <f t="shared" si="16"/>
        <v>8.4</v>
      </c>
      <c r="BF11" s="14">
        <f t="shared" si="17"/>
        <v>41.099999999999994</v>
      </c>
      <c r="BG11" s="14">
        <f t="shared" si="18"/>
        <v>10</v>
      </c>
      <c r="BH11" s="14">
        <f t="shared" si="19"/>
        <v>45.7</v>
      </c>
      <c r="BI11" s="14">
        <f t="shared" si="20"/>
        <v>86.8</v>
      </c>
      <c r="BJ11" s="20">
        <v>0</v>
      </c>
      <c r="BK11" s="20">
        <v>0</v>
      </c>
      <c r="BL11" s="20">
        <v>0</v>
      </c>
      <c r="BM11" s="20">
        <v>0</v>
      </c>
      <c r="BN11" s="20">
        <v>18.100000000000001</v>
      </c>
      <c r="BO11" s="20">
        <v>4.4000000000000004</v>
      </c>
      <c r="BP11" s="20">
        <v>0.4</v>
      </c>
      <c r="BQ11" s="20">
        <v>0</v>
      </c>
      <c r="BR11" s="20">
        <v>18.100000000000001</v>
      </c>
      <c r="BS11" s="20">
        <v>4.4000000000000004</v>
      </c>
      <c r="BT11" s="20">
        <v>0.6</v>
      </c>
      <c r="BU11" s="20">
        <v>0</v>
      </c>
      <c r="BV11" s="20">
        <v>18.2</v>
      </c>
      <c r="BW11" s="20">
        <v>1.2</v>
      </c>
      <c r="BX11" s="20">
        <v>1.4</v>
      </c>
      <c r="BY11" s="20">
        <v>0</v>
      </c>
      <c r="BZ11" s="32"/>
      <c r="CA11" s="55">
        <f t="shared" si="21"/>
        <v>4.4000000000000004</v>
      </c>
      <c r="CB11" s="55">
        <f t="shared" si="22"/>
        <v>22.1</v>
      </c>
      <c r="CC11" s="55">
        <f t="shared" si="23"/>
        <v>5.6000000000000005</v>
      </c>
      <c r="CD11" s="55">
        <f t="shared" si="24"/>
        <v>39.900000000000006</v>
      </c>
      <c r="CE11" s="55">
        <f t="shared" si="25"/>
        <v>62.000000000000007</v>
      </c>
      <c r="CF11" s="56">
        <f t="shared" si="26"/>
        <v>26.9</v>
      </c>
      <c r="CG11" s="56" t="str">
        <f t="shared" si="27"/>
        <v/>
      </c>
      <c r="CH11" s="18">
        <v>18.600000000000001</v>
      </c>
      <c r="CI11" s="18">
        <v>5.6</v>
      </c>
      <c r="CJ11" s="18">
        <v>0</v>
      </c>
      <c r="CK11" s="18">
        <v>0</v>
      </c>
      <c r="CL11" s="18">
        <v>18.8</v>
      </c>
      <c r="CM11" s="18">
        <v>6</v>
      </c>
      <c r="CN11" s="18">
        <v>0</v>
      </c>
      <c r="CO11" s="18">
        <v>0</v>
      </c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55">
        <f t="shared" si="28"/>
        <v>11.6</v>
      </c>
      <c r="DC11" s="55">
        <f t="shared" si="29"/>
        <v>49</v>
      </c>
      <c r="DD11" s="55" t="str">
        <f t="shared" si="30"/>
        <v/>
      </c>
      <c r="DE11" s="55" t="str">
        <f t="shared" si="31"/>
        <v/>
      </c>
      <c r="DF11" s="55" t="str">
        <f t="shared" si="32"/>
        <v/>
      </c>
      <c r="DG11" s="55">
        <f t="shared" si="33"/>
        <v>49</v>
      </c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  <c r="DZ11" s="19"/>
      <c r="EA11" s="19"/>
      <c r="EB11" s="14" t="str">
        <f t="shared" si="34"/>
        <v/>
      </c>
      <c r="EC11" s="14" t="str">
        <f t="shared" si="35"/>
        <v/>
      </c>
      <c r="ED11" s="14" t="str">
        <f t="shared" si="36"/>
        <v/>
      </c>
      <c r="EE11" s="14" t="str">
        <f t="shared" si="37"/>
        <v/>
      </c>
      <c r="EF11" s="14" t="str">
        <f t="shared" si="38"/>
        <v/>
      </c>
      <c r="EG11" s="14" t="str">
        <f t="shared" si="39"/>
        <v/>
      </c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55" t="str">
        <f t="shared" si="40"/>
        <v/>
      </c>
      <c r="FC11" s="55" t="str">
        <f t="shared" si="41"/>
        <v/>
      </c>
      <c r="FD11" s="55" t="str">
        <f t="shared" si="42"/>
        <v/>
      </c>
      <c r="FE11" s="55" t="str">
        <f t="shared" si="43"/>
        <v/>
      </c>
      <c r="FF11" s="55" t="str">
        <f t="shared" si="44"/>
        <v/>
      </c>
      <c r="FG11" s="55" t="str">
        <f t="shared" si="45"/>
        <v/>
      </c>
      <c r="FH11" s="19"/>
      <c r="FI11" s="19"/>
      <c r="FJ11" s="19"/>
      <c r="FK11" s="19"/>
      <c r="FL11" s="19"/>
      <c r="FM11" s="19"/>
      <c r="FN11" s="19"/>
      <c r="FO11" s="19"/>
      <c r="FP11" s="19"/>
      <c r="FQ11" s="19"/>
      <c r="FR11" s="19"/>
      <c r="FS11" s="19"/>
      <c r="FT11" s="19"/>
      <c r="FU11" s="19"/>
      <c r="FV11" s="19"/>
      <c r="FW11" s="19"/>
      <c r="FX11" s="19"/>
      <c r="FY11" s="19"/>
      <c r="FZ11" s="19"/>
      <c r="GA11" s="19"/>
      <c r="GB11" s="14" t="str">
        <f t="shared" si="46"/>
        <v/>
      </c>
      <c r="GC11" s="14" t="str">
        <f t="shared" si="47"/>
        <v/>
      </c>
      <c r="GD11" s="14" t="str">
        <f t="shared" si="48"/>
        <v/>
      </c>
      <c r="GE11" s="14" t="str">
        <f t="shared" si="49"/>
        <v/>
      </c>
      <c r="GF11" s="14" t="str">
        <f t="shared" si="50"/>
        <v/>
      </c>
      <c r="GG11" s="14" t="str">
        <f t="shared" si="51"/>
        <v/>
      </c>
      <c r="GH11" s="18"/>
      <c r="GI11" s="18"/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55" t="str">
        <f t="shared" si="52"/>
        <v/>
      </c>
      <c r="HC11" s="55" t="str">
        <f t="shared" si="53"/>
        <v/>
      </c>
      <c r="HD11" s="55" t="str">
        <f t="shared" si="54"/>
        <v/>
      </c>
      <c r="HE11" s="55" t="str">
        <f t="shared" si="55"/>
        <v/>
      </c>
      <c r="HF11" s="55" t="str">
        <f t="shared" si="56"/>
        <v/>
      </c>
      <c r="HG11" s="55" t="str">
        <f t="shared" si="57"/>
        <v/>
      </c>
      <c r="HH11" s="19"/>
      <c r="HI11" s="19"/>
      <c r="HJ11" s="19"/>
      <c r="HK11" s="19"/>
      <c r="HL11" s="19"/>
      <c r="HM11" s="19"/>
      <c r="HN11" s="19"/>
      <c r="HO11" s="19"/>
      <c r="HP11" s="19"/>
      <c r="HQ11" s="19"/>
      <c r="HR11" s="19"/>
      <c r="HS11" s="19"/>
      <c r="HT11" s="19"/>
      <c r="HU11" s="19"/>
      <c r="HV11" s="19"/>
      <c r="HW11" s="19"/>
      <c r="HX11" s="19"/>
      <c r="HY11" s="19"/>
      <c r="HZ11" s="19"/>
      <c r="IA11" s="19"/>
      <c r="IB11" s="14" t="str">
        <f t="shared" si="58"/>
        <v/>
      </c>
      <c r="IC11" s="14" t="str">
        <f t="shared" si="59"/>
        <v/>
      </c>
      <c r="ID11" s="14" t="str">
        <f t="shared" si="60"/>
        <v/>
      </c>
      <c r="IE11" s="14" t="str">
        <f t="shared" si="61"/>
        <v/>
      </c>
      <c r="IF11" s="14" t="str">
        <f t="shared" si="62"/>
        <v/>
      </c>
      <c r="IG11" s="14" t="str">
        <f t="shared" si="63"/>
        <v/>
      </c>
      <c r="IH11" s="18"/>
      <c r="II11" s="18"/>
      <c r="IJ11" s="18"/>
      <c r="IK11" s="18"/>
      <c r="IL11" s="18"/>
      <c r="IM11" s="18"/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55" t="str">
        <f t="shared" si="64"/>
        <v/>
      </c>
      <c r="JC11" s="55" t="str">
        <f t="shared" si="65"/>
        <v/>
      </c>
      <c r="JD11" s="55" t="str">
        <f t="shared" si="66"/>
        <v/>
      </c>
      <c r="JE11" s="55" t="str">
        <f t="shared" si="67"/>
        <v/>
      </c>
      <c r="JF11" s="55" t="str">
        <f t="shared" si="68"/>
        <v/>
      </c>
      <c r="JG11" s="55" t="str">
        <f t="shared" si="69"/>
        <v/>
      </c>
      <c r="JH11" s="19"/>
      <c r="JI11" s="19"/>
      <c r="JJ11" s="19"/>
      <c r="JK11" s="19"/>
      <c r="JL11" s="19"/>
      <c r="JM11" s="19"/>
      <c r="JN11" s="19"/>
      <c r="JO11" s="19"/>
      <c r="JP11" s="19"/>
      <c r="JQ11" s="19"/>
      <c r="JR11" s="19"/>
      <c r="JS11" s="19"/>
      <c r="JT11" s="19"/>
      <c r="JU11" s="19"/>
      <c r="JV11" s="19"/>
      <c r="JW11" s="19"/>
      <c r="JX11" s="19"/>
      <c r="JY11" s="19"/>
      <c r="JZ11" s="19"/>
      <c r="KA11" s="19"/>
      <c r="KB11" s="14" t="str">
        <f t="shared" si="70"/>
        <v/>
      </c>
      <c r="KC11" s="14" t="str">
        <f t="shared" si="71"/>
        <v/>
      </c>
      <c r="KD11" s="14" t="str">
        <f t="shared" si="72"/>
        <v/>
      </c>
      <c r="KE11" s="14" t="str">
        <f t="shared" si="73"/>
        <v/>
      </c>
      <c r="KF11" s="14" t="str">
        <f t="shared" si="74"/>
        <v/>
      </c>
      <c r="KG11" s="14" t="str">
        <f t="shared" si="75"/>
        <v/>
      </c>
      <c r="KH11" s="18"/>
      <c r="KI11" s="18"/>
      <c r="KJ11" s="18"/>
      <c r="KK11" s="18"/>
      <c r="KL11" s="18"/>
      <c r="KM11" s="18"/>
      <c r="KN11" s="18"/>
      <c r="KO11" s="18"/>
      <c r="KP11" s="18"/>
      <c r="KQ11" s="18"/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55" t="str">
        <f t="shared" si="76"/>
        <v/>
      </c>
      <c r="LC11" s="55" t="str">
        <f t="shared" si="77"/>
        <v/>
      </c>
      <c r="LD11" s="55" t="str">
        <f t="shared" si="78"/>
        <v/>
      </c>
      <c r="LE11" s="55" t="str">
        <f t="shared" si="79"/>
        <v/>
      </c>
      <c r="LF11" s="55" t="str">
        <f t="shared" si="80"/>
        <v/>
      </c>
      <c r="LG11" s="55" t="str">
        <f t="shared" si="81"/>
        <v/>
      </c>
      <c r="LH11" s="19"/>
      <c r="LI11" s="19"/>
      <c r="LJ11" s="19"/>
      <c r="LK11" s="19"/>
      <c r="LL11" s="19"/>
      <c r="LM11" s="19"/>
      <c r="LN11" s="19"/>
      <c r="LO11" s="19"/>
      <c r="LP11" s="19"/>
      <c r="LQ11" s="19"/>
      <c r="LR11" s="19"/>
      <c r="LS11" s="19"/>
      <c r="LT11" s="19"/>
      <c r="LU11" s="19"/>
      <c r="LV11" s="19"/>
      <c r="LW11" s="19"/>
      <c r="LX11" s="19"/>
      <c r="LY11" s="19"/>
      <c r="LZ11" s="19"/>
      <c r="MA11" s="19"/>
      <c r="MB11" s="14" t="str">
        <f t="shared" si="82"/>
        <v/>
      </c>
      <c r="MC11" s="14" t="str">
        <f t="shared" si="83"/>
        <v/>
      </c>
      <c r="MD11" s="14" t="str">
        <f t="shared" si="84"/>
        <v/>
      </c>
      <c r="ME11" s="14" t="str">
        <f t="shared" si="85"/>
        <v/>
      </c>
      <c r="MF11" s="14" t="str">
        <f t="shared" si="86"/>
        <v/>
      </c>
      <c r="MG11" s="14" t="str">
        <f t="shared" si="87"/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55" t="str">
        <f t="shared" si="88"/>
        <v/>
      </c>
      <c r="NC11" s="55" t="str">
        <f t="shared" si="89"/>
        <v/>
      </c>
      <c r="ND11" s="55" t="str">
        <f t="shared" si="90"/>
        <v/>
      </c>
      <c r="NE11" s="55" t="str">
        <f t="shared" si="91"/>
        <v/>
      </c>
      <c r="NF11" s="55" t="str">
        <f t="shared" si="92"/>
        <v/>
      </c>
      <c r="NG11" s="55" t="str">
        <f t="shared" si="93"/>
        <v/>
      </c>
      <c r="NH11" s="19"/>
      <c r="NI11" s="19"/>
      <c r="NJ11" s="19"/>
      <c r="NK11" s="19"/>
      <c r="NL11" s="19"/>
      <c r="NM11" s="19"/>
      <c r="NN11" s="19"/>
      <c r="NO11" s="19"/>
      <c r="NP11" s="19"/>
      <c r="NQ11" s="19"/>
      <c r="NR11" s="19"/>
      <c r="NS11" s="19"/>
      <c r="NT11" s="19"/>
      <c r="NU11" s="19"/>
      <c r="NV11" s="19"/>
      <c r="NW11" s="19"/>
      <c r="NX11" s="19"/>
      <c r="NY11" s="19"/>
      <c r="NZ11" s="19"/>
      <c r="OA11" s="19"/>
      <c r="OB11" s="14" t="str">
        <f t="shared" si="94"/>
        <v/>
      </c>
      <c r="OC11" s="14" t="str">
        <f t="shared" si="95"/>
        <v/>
      </c>
      <c r="OD11" s="14" t="str">
        <f t="shared" si="96"/>
        <v/>
      </c>
      <c r="OE11" s="14" t="str">
        <f t="shared" si="97"/>
        <v/>
      </c>
      <c r="OF11" s="14" t="str">
        <f t="shared" si="98"/>
        <v/>
      </c>
      <c r="OG11" s="14" t="str">
        <f t="shared" si="99"/>
        <v/>
      </c>
      <c r="OH11" s="27">
        <f t="shared" si="100"/>
        <v>8.9499999999999993</v>
      </c>
      <c r="OI11" s="27">
        <f t="shared" si="101"/>
        <v>2.6</v>
      </c>
      <c r="OJ11" s="27">
        <f t="shared" si="102"/>
        <v>0.1</v>
      </c>
      <c r="OK11" s="27">
        <f t="shared" si="103"/>
        <v>0</v>
      </c>
      <c r="OL11" s="27">
        <f t="shared" si="104"/>
        <v>16.55</v>
      </c>
      <c r="OM11" s="27">
        <f t="shared" si="105"/>
        <v>3.8000000000000003</v>
      </c>
      <c r="ON11" s="27">
        <f t="shared" si="106"/>
        <v>0.2</v>
      </c>
      <c r="OO11" s="27">
        <f t="shared" si="107"/>
        <v>0</v>
      </c>
      <c r="OP11" s="27">
        <f t="shared" si="108"/>
        <v>18.25</v>
      </c>
      <c r="OQ11" s="27">
        <f t="shared" si="109"/>
        <v>4.8000000000000007</v>
      </c>
      <c r="OR11" s="27">
        <f t="shared" si="110"/>
        <v>0.4</v>
      </c>
      <c r="OS11" s="27">
        <f t="shared" si="111"/>
        <v>0</v>
      </c>
      <c r="OT11" s="27">
        <f t="shared" si="112"/>
        <v>18.149999999999999</v>
      </c>
      <c r="OU11" s="27">
        <f t="shared" si="113"/>
        <v>3</v>
      </c>
      <c r="OV11" s="27">
        <f t="shared" si="114"/>
        <v>1</v>
      </c>
      <c r="OW11" s="27">
        <f t="shared" si="115"/>
        <v>0</v>
      </c>
      <c r="OX11" s="32" t="s">
        <v>44</v>
      </c>
      <c r="OY11" s="55">
        <f t="shared" si="116"/>
        <v>6.4</v>
      </c>
      <c r="OZ11" s="55">
        <f t="shared" si="117"/>
        <v>31.6</v>
      </c>
      <c r="PA11" s="55">
        <f t="shared" si="118"/>
        <v>7.8000000000000007</v>
      </c>
      <c r="PB11" s="55">
        <f t="shared" si="119"/>
        <v>42.800000000000004</v>
      </c>
      <c r="PC11" s="55">
        <f t="shared" si="120"/>
        <v>74.400000000000006</v>
      </c>
    </row>
    <row r="12" spans="1:419" x14ac:dyDescent="0.2">
      <c r="A12" s="4" t="str" cm="1">
        <f t="array" ref="A12">IF(AND(H12&lt;&gt;"",H12&lt;&gt;"No DD"),SUMPRODUCT((H$4:H$16&lt;&gt;"")*(H$4:H$16&lt;&gt;"No DD")*(E$4:E$16&gt;E12))+1,IF(H12="No DD",SUMPRODUCT((H$4:H$16="No DD")*(E$4:E$16&gt;E12))+1+SUMPRODUCT((H$4:H$16&lt;&gt;"")*(H$4:H$16&lt;&gt;"No DD")),""))</f>
        <v/>
      </c>
      <c r="B12" s="5" t="s">
        <v>94</v>
      </c>
      <c r="C12" s="4" t="s">
        <v>62</v>
      </c>
      <c r="D12" s="4">
        <v>2009</v>
      </c>
      <c r="E12" s="10">
        <f t="shared" si="0"/>
        <v>134.70001347000462</v>
      </c>
      <c r="F12" s="3" t="str">
        <f t="shared" si="1"/>
        <v/>
      </c>
      <c r="G12" s="3" t="str">
        <f t="shared" si="2"/>
        <v/>
      </c>
      <c r="H12" s="47" t="str">
        <f t="shared" si="3"/>
        <v/>
      </c>
      <c r="I12" s="9">
        <f>IF(COUNT(AJ12,BF12,CB12)&gt;0,LARGE((AJ12,BF12,CB12),1),0)</f>
        <v>46.000000000000007</v>
      </c>
      <c r="J12" s="9" t="str">
        <f t="shared" si="4"/>
        <v>2025 Elite Canada</v>
      </c>
      <c r="K12" s="9">
        <f>IF(COUNT(AJ12,BF12,CB12)&gt;1,LARGE((AJ12,BF12,CB12),2),0)</f>
        <v>41.000000000000007</v>
      </c>
      <c r="L12" s="9" t="str">
        <f t="shared" si="5"/>
        <v>2025 Nationals</v>
      </c>
      <c r="M12" s="9">
        <f t="shared" si="6"/>
        <v>47.7</v>
      </c>
      <c r="N12" s="9" t="str">
        <f t="shared" si="7"/>
        <v>2025 Nationals</v>
      </c>
      <c r="O12" s="9" t="str">
        <f t="shared" si="8"/>
        <v/>
      </c>
      <c r="P12" s="14" t="str">
        <f t="shared" si="9"/>
        <v/>
      </c>
      <c r="Q12" s="9" t="str">
        <f t="shared" si="10"/>
        <v/>
      </c>
      <c r="R12" s="20">
        <v>18.600000000000001</v>
      </c>
      <c r="S12" s="20">
        <v>5.2</v>
      </c>
      <c r="T12" s="20">
        <v>0.8</v>
      </c>
      <c r="U12" s="20">
        <v>0</v>
      </c>
      <c r="V12" s="20">
        <v>18.2</v>
      </c>
      <c r="W12" s="20">
        <v>5.6</v>
      </c>
      <c r="X12" s="20">
        <v>0.8</v>
      </c>
      <c r="Y12" s="20">
        <v>0</v>
      </c>
      <c r="Z12" s="20">
        <v>18.2</v>
      </c>
      <c r="AA12" s="20">
        <v>5.6</v>
      </c>
      <c r="AB12" s="20">
        <v>0.2</v>
      </c>
      <c r="AC12" s="20">
        <v>0</v>
      </c>
      <c r="AD12" s="20">
        <v>18.2</v>
      </c>
      <c r="AE12" s="20">
        <v>6</v>
      </c>
      <c r="AF12" s="20">
        <v>0.4</v>
      </c>
      <c r="AG12" s="20">
        <v>0</v>
      </c>
      <c r="AH12" s="32"/>
      <c r="AI12" s="55">
        <f t="shared" si="11"/>
        <v>10.8</v>
      </c>
      <c r="AJ12" s="55">
        <f t="shared" si="12"/>
        <v>46.000000000000007</v>
      </c>
      <c r="AK12" s="55">
        <f t="shared" si="13"/>
        <v>11.6</v>
      </c>
      <c r="AL12" s="55">
        <f t="shared" si="14"/>
        <v>47.4</v>
      </c>
      <c r="AM12" s="55">
        <f t="shared" si="15"/>
        <v>93.4</v>
      </c>
      <c r="AN12" s="19">
        <v>17.899999999999999</v>
      </c>
      <c r="AO12" s="19">
        <v>5.6</v>
      </c>
      <c r="AP12" s="19">
        <v>0.8</v>
      </c>
      <c r="AQ12" s="19">
        <v>0</v>
      </c>
      <c r="AR12" s="19">
        <v>15.1</v>
      </c>
      <c r="AS12" s="19">
        <v>3.2</v>
      </c>
      <c r="AT12" s="19">
        <v>0</v>
      </c>
      <c r="AU12" s="19">
        <v>0</v>
      </c>
      <c r="AV12" s="19">
        <v>18</v>
      </c>
      <c r="AW12" s="19">
        <v>6.8</v>
      </c>
      <c r="AX12" s="19">
        <v>1</v>
      </c>
      <c r="AY12" s="19">
        <v>0</v>
      </c>
      <c r="AZ12" s="19">
        <v>17.899999999999999</v>
      </c>
      <c r="BA12" s="19">
        <v>6</v>
      </c>
      <c r="BB12" s="19">
        <v>0</v>
      </c>
      <c r="BC12" s="19">
        <v>0</v>
      </c>
      <c r="BD12" s="33"/>
      <c r="BE12" s="14">
        <f t="shared" si="16"/>
        <v>8.8000000000000007</v>
      </c>
      <c r="BF12" s="14">
        <f t="shared" si="17"/>
        <v>41.000000000000007</v>
      </c>
      <c r="BG12" s="14">
        <f t="shared" si="18"/>
        <v>12.8</v>
      </c>
      <c r="BH12" s="14">
        <f t="shared" si="19"/>
        <v>47.7</v>
      </c>
      <c r="BI12" s="14">
        <f t="shared" si="20"/>
        <v>88.700000000000017</v>
      </c>
      <c r="BJ12" s="20"/>
      <c r="BK12" s="20"/>
      <c r="BL12" s="20"/>
      <c r="BM12" s="20"/>
      <c r="BN12" s="20"/>
      <c r="BO12" s="20"/>
      <c r="BP12" s="20"/>
      <c r="BQ12" s="20"/>
      <c r="BR12" s="20"/>
      <c r="BS12" s="20"/>
      <c r="BT12" s="20"/>
      <c r="BU12" s="20"/>
      <c r="BV12" s="20"/>
      <c r="BW12" s="20"/>
      <c r="BX12" s="20"/>
      <c r="BY12" s="20"/>
      <c r="BZ12" s="32"/>
      <c r="CA12" s="55" t="str">
        <f t="shared" si="21"/>
        <v/>
      </c>
      <c r="CB12" s="55" t="str">
        <f t="shared" si="22"/>
        <v/>
      </c>
      <c r="CC12" s="55" t="str">
        <f t="shared" si="23"/>
        <v/>
      </c>
      <c r="CD12" s="55" t="str">
        <f t="shared" si="24"/>
        <v/>
      </c>
      <c r="CE12" s="55" t="str">
        <f t="shared" si="25"/>
        <v/>
      </c>
      <c r="CF12" s="56" t="str">
        <f t="shared" si="26"/>
        <v/>
      </c>
      <c r="CG12" s="56" t="str">
        <f t="shared" si="27"/>
        <v/>
      </c>
      <c r="CH12" s="18"/>
      <c r="CI12" s="18"/>
      <c r="CJ12" s="18"/>
      <c r="CK12" s="18"/>
      <c r="CL12" s="18"/>
      <c r="CM12" s="18"/>
      <c r="CN12" s="18"/>
      <c r="CO12" s="18"/>
      <c r="CP12" s="18"/>
      <c r="CQ12" s="18"/>
      <c r="CR12" s="18"/>
      <c r="CS12" s="18"/>
      <c r="CT12" s="18"/>
      <c r="CU12" s="18"/>
      <c r="CV12" s="18"/>
      <c r="CW12" s="18"/>
      <c r="CX12" s="18"/>
      <c r="CY12" s="18"/>
      <c r="CZ12" s="18"/>
      <c r="DA12" s="18"/>
      <c r="DB12" s="55" t="str">
        <f t="shared" si="28"/>
        <v/>
      </c>
      <c r="DC12" s="55" t="str">
        <f t="shared" si="29"/>
        <v/>
      </c>
      <c r="DD12" s="55" t="str">
        <f t="shared" si="30"/>
        <v/>
      </c>
      <c r="DE12" s="55" t="str">
        <f t="shared" si="31"/>
        <v/>
      </c>
      <c r="DF12" s="55" t="str">
        <f t="shared" si="32"/>
        <v/>
      </c>
      <c r="DG12" s="55" t="str">
        <f t="shared" si="33"/>
        <v/>
      </c>
      <c r="DH12" s="19"/>
      <c r="DI12" s="19"/>
      <c r="DJ12" s="19"/>
      <c r="DK12" s="19"/>
      <c r="DL12" s="19"/>
      <c r="DM12" s="19"/>
      <c r="DN12" s="19"/>
      <c r="DO12" s="19"/>
      <c r="DP12" s="19"/>
      <c r="DQ12" s="19"/>
      <c r="DR12" s="19"/>
      <c r="DS12" s="19"/>
      <c r="DT12" s="19"/>
      <c r="DU12" s="19"/>
      <c r="DV12" s="19"/>
      <c r="DW12" s="19"/>
      <c r="DX12" s="19"/>
      <c r="DY12" s="19"/>
      <c r="DZ12" s="19"/>
      <c r="EA12" s="19"/>
      <c r="EB12" s="14" t="str">
        <f t="shared" si="34"/>
        <v/>
      </c>
      <c r="EC12" s="14" t="str">
        <f t="shared" si="35"/>
        <v/>
      </c>
      <c r="ED12" s="14" t="str">
        <f t="shared" si="36"/>
        <v/>
      </c>
      <c r="EE12" s="14" t="str">
        <f t="shared" si="37"/>
        <v/>
      </c>
      <c r="EF12" s="14" t="str">
        <f t="shared" si="38"/>
        <v/>
      </c>
      <c r="EG12" s="14" t="str">
        <f t="shared" si="39"/>
        <v/>
      </c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55" t="str">
        <f t="shared" si="40"/>
        <v/>
      </c>
      <c r="FC12" s="55" t="str">
        <f t="shared" si="41"/>
        <v/>
      </c>
      <c r="FD12" s="55" t="str">
        <f t="shared" si="42"/>
        <v/>
      </c>
      <c r="FE12" s="55" t="str">
        <f t="shared" si="43"/>
        <v/>
      </c>
      <c r="FF12" s="55" t="str">
        <f t="shared" si="44"/>
        <v/>
      </c>
      <c r="FG12" s="55" t="str">
        <f t="shared" si="45"/>
        <v/>
      </c>
      <c r="FH12" s="19"/>
      <c r="FI12" s="19"/>
      <c r="FJ12" s="19"/>
      <c r="FK12" s="19"/>
      <c r="FL12" s="19"/>
      <c r="FM12" s="19"/>
      <c r="FN12" s="19"/>
      <c r="FO12" s="19"/>
      <c r="FP12" s="19"/>
      <c r="FQ12" s="19"/>
      <c r="FR12" s="19"/>
      <c r="FS12" s="19"/>
      <c r="FT12" s="19"/>
      <c r="FU12" s="19"/>
      <c r="FV12" s="19"/>
      <c r="FW12" s="19"/>
      <c r="FX12" s="19"/>
      <c r="FY12" s="19"/>
      <c r="FZ12" s="19"/>
      <c r="GA12" s="19"/>
      <c r="GB12" s="14" t="str">
        <f t="shared" si="46"/>
        <v/>
      </c>
      <c r="GC12" s="14" t="str">
        <f t="shared" si="47"/>
        <v/>
      </c>
      <c r="GD12" s="14" t="str">
        <f t="shared" si="48"/>
        <v/>
      </c>
      <c r="GE12" s="14" t="str">
        <f t="shared" si="49"/>
        <v/>
      </c>
      <c r="GF12" s="14" t="str">
        <f t="shared" si="50"/>
        <v/>
      </c>
      <c r="GG12" s="14" t="str">
        <f t="shared" si="51"/>
        <v/>
      </c>
      <c r="GH12" s="18"/>
      <c r="GI12" s="18"/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55" t="str">
        <f t="shared" si="52"/>
        <v/>
      </c>
      <c r="HC12" s="55" t="str">
        <f t="shared" si="53"/>
        <v/>
      </c>
      <c r="HD12" s="55" t="str">
        <f t="shared" si="54"/>
        <v/>
      </c>
      <c r="HE12" s="55" t="str">
        <f t="shared" si="55"/>
        <v/>
      </c>
      <c r="HF12" s="55" t="str">
        <f t="shared" si="56"/>
        <v/>
      </c>
      <c r="HG12" s="55" t="str">
        <f t="shared" si="57"/>
        <v/>
      </c>
      <c r="HH12" s="19"/>
      <c r="HI12" s="19"/>
      <c r="HJ12" s="19"/>
      <c r="HK12" s="19"/>
      <c r="HL12" s="19"/>
      <c r="HM12" s="19"/>
      <c r="HN12" s="19"/>
      <c r="HO12" s="19"/>
      <c r="HP12" s="19"/>
      <c r="HQ12" s="19"/>
      <c r="HR12" s="19"/>
      <c r="HS12" s="19"/>
      <c r="HT12" s="19"/>
      <c r="HU12" s="19"/>
      <c r="HV12" s="19"/>
      <c r="HW12" s="19"/>
      <c r="HX12" s="19"/>
      <c r="HY12" s="19"/>
      <c r="HZ12" s="19"/>
      <c r="IA12" s="19"/>
      <c r="IB12" s="14" t="str">
        <f t="shared" si="58"/>
        <v/>
      </c>
      <c r="IC12" s="14" t="str">
        <f t="shared" si="59"/>
        <v/>
      </c>
      <c r="ID12" s="14" t="str">
        <f t="shared" si="60"/>
        <v/>
      </c>
      <c r="IE12" s="14" t="str">
        <f t="shared" si="61"/>
        <v/>
      </c>
      <c r="IF12" s="14" t="str">
        <f t="shared" si="62"/>
        <v/>
      </c>
      <c r="IG12" s="14" t="str">
        <f t="shared" si="63"/>
        <v/>
      </c>
      <c r="IH12" s="18"/>
      <c r="II12" s="18"/>
      <c r="IJ12" s="18"/>
      <c r="IK12" s="18"/>
      <c r="IL12" s="18"/>
      <c r="IM12" s="18"/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55" t="str">
        <f t="shared" si="64"/>
        <v/>
      </c>
      <c r="JC12" s="55" t="str">
        <f t="shared" si="65"/>
        <v/>
      </c>
      <c r="JD12" s="55" t="str">
        <f t="shared" si="66"/>
        <v/>
      </c>
      <c r="JE12" s="55" t="str">
        <f t="shared" si="67"/>
        <v/>
      </c>
      <c r="JF12" s="55" t="str">
        <f t="shared" si="68"/>
        <v/>
      </c>
      <c r="JG12" s="55" t="str">
        <f t="shared" si="69"/>
        <v/>
      </c>
      <c r="JH12" s="19"/>
      <c r="JI12" s="19"/>
      <c r="JJ12" s="19"/>
      <c r="JK12" s="19"/>
      <c r="JL12" s="19"/>
      <c r="JM12" s="19"/>
      <c r="JN12" s="19"/>
      <c r="JO12" s="19"/>
      <c r="JP12" s="19"/>
      <c r="JQ12" s="19"/>
      <c r="JR12" s="19"/>
      <c r="JS12" s="19"/>
      <c r="JT12" s="19"/>
      <c r="JU12" s="19"/>
      <c r="JV12" s="19"/>
      <c r="JW12" s="19"/>
      <c r="JX12" s="19"/>
      <c r="JY12" s="19"/>
      <c r="JZ12" s="19"/>
      <c r="KA12" s="19"/>
      <c r="KB12" s="14" t="str">
        <f t="shared" si="70"/>
        <v/>
      </c>
      <c r="KC12" s="14" t="str">
        <f t="shared" si="71"/>
        <v/>
      </c>
      <c r="KD12" s="14" t="str">
        <f t="shared" si="72"/>
        <v/>
      </c>
      <c r="KE12" s="14" t="str">
        <f t="shared" si="73"/>
        <v/>
      </c>
      <c r="KF12" s="14" t="str">
        <f t="shared" si="74"/>
        <v/>
      </c>
      <c r="KG12" s="14" t="str">
        <f t="shared" si="75"/>
        <v/>
      </c>
      <c r="KH12" s="18"/>
      <c r="KI12" s="18"/>
      <c r="KJ12" s="18"/>
      <c r="KK12" s="18"/>
      <c r="KL12" s="18"/>
      <c r="KM12" s="18"/>
      <c r="KN12" s="18"/>
      <c r="KO12" s="18"/>
      <c r="KP12" s="18"/>
      <c r="KQ12" s="18"/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55" t="str">
        <f t="shared" si="76"/>
        <v/>
      </c>
      <c r="LC12" s="55" t="str">
        <f t="shared" si="77"/>
        <v/>
      </c>
      <c r="LD12" s="55" t="str">
        <f t="shared" si="78"/>
        <v/>
      </c>
      <c r="LE12" s="55" t="str">
        <f t="shared" si="79"/>
        <v/>
      </c>
      <c r="LF12" s="55" t="str">
        <f t="shared" si="80"/>
        <v/>
      </c>
      <c r="LG12" s="55" t="str">
        <f t="shared" si="81"/>
        <v/>
      </c>
      <c r="LH12" s="19"/>
      <c r="LI12" s="19"/>
      <c r="LJ12" s="19"/>
      <c r="LK12" s="19"/>
      <c r="LL12" s="19"/>
      <c r="LM12" s="19"/>
      <c r="LN12" s="19"/>
      <c r="LO12" s="19"/>
      <c r="LP12" s="19"/>
      <c r="LQ12" s="19"/>
      <c r="LR12" s="19"/>
      <c r="LS12" s="19"/>
      <c r="LT12" s="19"/>
      <c r="LU12" s="19"/>
      <c r="LV12" s="19"/>
      <c r="LW12" s="19"/>
      <c r="LX12" s="19"/>
      <c r="LY12" s="19"/>
      <c r="LZ12" s="19"/>
      <c r="MA12" s="19"/>
      <c r="MB12" s="14" t="str">
        <f t="shared" si="82"/>
        <v/>
      </c>
      <c r="MC12" s="14" t="str">
        <f t="shared" si="83"/>
        <v/>
      </c>
      <c r="MD12" s="14" t="str">
        <f t="shared" si="84"/>
        <v/>
      </c>
      <c r="ME12" s="14" t="str">
        <f t="shared" si="85"/>
        <v/>
      </c>
      <c r="MF12" s="14" t="str">
        <f t="shared" si="86"/>
        <v/>
      </c>
      <c r="MG12" s="14" t="str">
        <f t="shared" si="87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55" t="str">
        <f t="shared" si="88"/>
        <v/>
      </c>
      <c r="NC12" s="55" t="str">
        <f t="shared" si="89"/>
        <v/>
      </c>
      <c r="ND12" s="55" t="str">
        <f t="shared" si="90"/>
        <v/>
      </c>
      <c r="NE12" s="55" t="str">
        <f t="shared" si="91"/>
        <v/>
      </c>
      <c r="NF12" s="55" t="str">
        <f t="shared" si="92"/>
        <v/>
      </c>
      <c r="NG12" s="55" t="str">
        <f t="shared" si="93"/>
        <v/>
      </c>
      <c r="NH12" s="19"/>
      <c r="NI12" s="19"/>
      <c r="NJ12" s="19"/>
      <c r="NK12" s="19"/>
      <c r="NL12" s="19"/>
      <c r="NM12" s="19"/>
      <c r="NN12" s="19"/>
      <c r="NO12" s="19"/>
      <c r="NP12" s="19"/>
      <c r="NQ12" s="19"/>
      <c r="NR12" s="19"/>
      <c r="NS12" s="19"/>
      <c r="NT12" s="19"/>
      <c r="NU12" s="19"/>
      <c r="NV12" s="19"/>
      <c r="NW12" s="19"/>
      <c r="NX12" s="19"/>
      <c r="NY12" s="19"/>
      <c r="NZ12" s="19"/>
      <c r="OA12" s="19"/>
      <c r="OB12" s="14" t="str">
        <f t="shared" si="94"/>
        <v/>
      </c>
      <c r="OC12" s="14" t="str">
        <f t="shared" si="95"/>
        <v/>
      </c>
      <c r="OD12" s="14" t="str">
        <f t="shared" si="96"/>
        <v/>
      </c>
      <c r="OE12" s="14" t="str">
        <f t="shared" si="97"/>
        <v/>
      </c>
      <c r="OF12" s="14" t="str">
        <f t="shared" si="98"/>
        <v/>
      </c>
      <c r="OG12" s="14" t="str">
        <f t="shared" si="99"/>
        <v/>
      </c>
      <c r="OH12" s="27">
        <f t="shared" si="100"/>
        <v>8.9499999999999993</v>
      </c>
      <c r="OI12" s="27">
        <f t="shared" si="101"/>
        <v>2.8</v>
      </c>
      <c r="OJ12" s="27">
        <f t="shared" si="102"/>
        <v>0.4</v>
      </c>
      <c r="OK12" s="27">
        <f t="shared" si="103"/>
        <v>0</v>
      </c>
      <c r="OL12" s="27">
        <f t="shared" si="104"/>
        <v>7.55</v>
      </c>
      <c r="OM12" s="27">
        <f t="shared" si="105"/>
        <v>1.6</v>
      </c>
      <c r="ON12" s="27">
        <f t="shared" si="106"/>
        <v>0</v>
      </c>
      <c r="OO12" s="27">
        <f t="shared" si="107"/>
        <v>0</v>
      </c>
      <c r="OP12" s="27">
        <f t="shared" si="108"/>
        <v>9</v>
      </c>
      <c r="OQ12" s="27">
        <f t="shared" si="109"/>
        <v>3.4</v>
      </c>
      <c r="OR12" s="27">
        <f t="shared" si="110"/>
        <v>0.5</v>
      </c>
      <c r="OS12" s="27">
        <f t="shared" si="111"/>
        <v>0</v>
      </c>
      <c r="OT12" s="27">
        <f t="shared" si="112"/>
        <v>8.9499999999999993</v>
      </c>
      <c r="OU12" s="27">
        <f t="shared" si="113"/>
        <v>3</v>
      </c>
      <c r="OV12" s="27">
        <f t="shared" si="114"/>
        <v>0</v>
      </c>
      <c r="OW12" s="27">
        <f t="shared" si="115"/>
        <v>0</v>
      </c>
      <c r="OX12" s="32" t="s">
        <v>44</v>
      </c>
      <c r="OY12" s="55">
        <f t="shared" si="116"/>
        <v>4.4000000000000004</v>
      </c>
      <c r="OZ12" s="55">
        <f t="shared" si="117"/>
        <v>20.500000000000004</v>
      </c>
      <c r="PA12" s="55">
        <f t="shared" si="118"/>
        <v>6.4</v>
      </c>
      <c r="PB12" s="55">
        <f t="shared" si="119"/>
        <v>23.85</v>
      </c>
      <c r="PC12" s="55">
        <f t="shared" si="120"/>
        <v>44.350000000000009</v>
      </c>
    </row>
    <row r="13" spans="1:419" x14ac:dyDescent="0.2">
      <c r="A13" s="4" t="str" cm="1">
        <f t="array" ref="A13">IF(AND(H13&lt;&gt;"",H13&lt;&gt;"No DD"),SUMPRODUCT((H$4:H$16&lt;&gt;"")*(H$4:H$16&lt;&gt;"No DD")*(E$4:E$16&gt;E13))+1,IF(H13="No DD",SUMPRODUCT((H$4:H$16="No DD")*(E$4:E$16&gt;E13))+1+SUMPRODUCT((H$4:H$16&lt;&gt;"")*(H$4:H$16&lt;&gt;"No DD")),""))</f>
        <v/>
      </c>
      <c r="B13" s="5" t="s">
        <v>110</v>
      </c>
      <c r="C13" s="4" t="s">
        <v>62</v>
      </c>
      <c r="D13" s="4">
        <v>2009</v>
      </c>
      <c r="E13" s="10">
        <f t="shared" si="0"/>
        <v>92.000009200004484</v>
      </c>
      <c r="F13" s="3" t="str">
        <f t="shared" si="1"/>
        <v/>
      </c>
      <c r="G13" s="3" t="str">
        <f t="shared" si="2"/>
        <v/>
      </c>
      <c r="H13" s="47" t="str">
        <f t="shared" si="3"/>
        <v/>
      </c>
      <c r="I13" s="9">
        <f>IF(COUNT(AJ13,BF13,CB13)&gt;0,LARGE((AJ13,BF13,CB13),1),0)</f>
        <v>44.900000000000006</v>
      </c>
      <c r="J13" s="9" t="str">
        <f t="shared" si="4"/>
        <v>2025 Nationals</v>
      </c>
      <c r="K13" s="9">
        <f>IF(COUNT(AJ13,BF13,CB13)&gt;1,LARGE((AJ13,BF13,CB13),2),0)</f>
        <v>0</v>
      </c>
      <c r="L13" s="9" t="str">
        <f t="shared" si="5"/>
        <v/>
      </c>
      <c r="M13" s="9">
        <f t="shared" si="6"/>
        <v>47.1</v>
      </c>
      <c r="N13" s="9" t="str">
        <f t="shared" si="7"/>
        <v>2025 Nationals</v>
      </c>
      <c r="O13" s="9" t="str">
        <f t="shared" si="8"/>
        <v/>
      </c>
      <c r="P13" s="14" t="str">
        <f t="shared" si="9"/>
        <v/>
      </c>
      <c r="Q13" s="9" t="str">
        <f t="shared" si="10"/>
        <v/>
      </c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32"/>
      <c r="AI13" s="55" t="str">
        <f t="shared" si="11"/>
        <v/>
      </c>
      <c r="AJ13" s="55" t="str">
        <f t="shared" si="12"/>
        <v/>
      </c>
      <c r="AK13" s="55" t="str">
        <f t="shared" si="13"/>
        <v/>
      </c>
      <c r="AL13" s="55" t="str">
        <f t="shared" si="14"/>
        <v/>
      </c>
      <c r="AM13" s="55" t="str">
        <f t="shared" si="15"/>
        <v/>
      </c>
      <c r="AN13" s="19">
        <v>18.399999999999999</v>
      </c>
      <c r="AO13" s="19">
        <v>6</v>
      </c>
      <c r="AP13" s="19">
        <v>0</v>
      </c>
      <c r="AQ13" s="19">
        <v>0</v>
      </c>
      <c r="AR13" s="19">
        <v>16.3</v>
      </c>
      <c r="AS13" s="19">
        <v>5.2</v>
      </c>
      <c r="AT13" s="19">
        <v>1</v>
      </c>
      <c r="AU13" s="19">
        <v>0</v>
      </c>
      <c r="AV13" s="19">
        <v>18.5</v>
      </c>
      <c r="AW13" s="19">
        <v>6.4</v>
      </c>
      <c r="AX13" s="19">
        <v>0</v>
      </c>
      <c r="AY13" s="19">
        <v>0</v>
      </c>
      <c r="AZ13" s="19">
        <v>18</v>
      </c>
      <c r="BA13" s="19">
        <v>5.2</v>
      </c>
      <c r="BB13" s="19">
        <v>1</v>
      </c>
      <c r="BC13" s="19">
        <v>0</v>
      </c>
      <c r="BD13" s="33"/>
      <c r="BE13" s="14">
        <f t="shared" si="16"/>
        <v>11.2</v>
      </c>
      <c r="BF13" s="14">
        <f t="shared" si="17"/>
        <v>44.900000000000006</v>
      </c>
      <c r="BG13" s="14">
        <f t="shared" si="18"/>
        <v>11.600000000000001</v>
      </c>
      <c r="BH13" s="14">
        <f t="shared" si="19"/>
        <v>47.1</v>
      </c>
      <c r="BI13" s="14">
        <f t="shared" si="20"/>
        <v>92</v>
      </c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32"/>
      <c r="CA13" s="55" t="str">
        <f t="shared" si="21"/>
        <v/>
      </c>
      <c r="CB13" s="55" t="str">
        <f t="shared" si="22"/>
        <v/>
      </c>
      <c r="CC13" s="55" t="str">
        <f t="shared" si="23"/>
        <v/>
      </c>
      <c r="CD13" s="55" t="str">
        <f t="shared" si="24"/>
        <v/>
      </c>
      <c r="CE13" s="55" t="str">
        <f t="shared" si="25"/>
        <v/>
      </c>
      <c r="CF13" s="56" t="str">
        <f t="shared" si="26"/>
        <v/>
      </c>
      <c r="CG13" s="56" t="str">
        <f t="shared" si="27"/>
        <v/>
      </c>
      <c r="CH13" s="18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  <c r="CY13" s="18"/>
      <c r="CZ13" s="18"/>
      <c r="DA13" s="18"/>
      <c r="DB13" s="55" t="str">
        <f t="shared" si="28"/>
        <v/>
      </c>
      <c r="DC13" s="55" t="str">
        <f t="shared" si="29"/>
        <v/>
      </c>
      <c r="DD13" s="55" t="str">
        <f t="shared" si="30"/>
        <v/>
      </c>
      <c r="DE13" s="55" t="str">
        <f t="shared" si="31"/>
        <v/>
      </c>
      <c r="DF13" s="55" t="str">
        <f t="shared" si="32"/>
        <v/>
      </c>
      <c r="DG13" s="55" t="str">
        <f t="shared" si="33"/>
        <v/>
      </c>
      <c r="DH13" s="19"/>
      <c r="DI13" s="19"/>
      <c r="DJ13" s="19"/>
      <c r="DK13" s="19"/>
      <c r="DL13" s="19"/>
      <c r="DM13" s="19"/>
      <c r="DN13" s="19"/>
      <c r="DO13" s="19"/>
      <c r="DP13" s="19"/>
      <c r="DQ13" s="19"/>
      <c r="DR13" s="19"/>
      <c r="DS13" s="19"/>
      <c r="DT13" s="19"/>
      <c r="DU13" s="19"/>
      <c r="DV13" s="19"/>
      <c r="DW13" s="19"/>
      <c r="DX13" s="19"/>
      <c r="DY13" s="19"/>
      <c r="DZ13" s="19"/>
      <c r="EA13" s="19"/>
      <c r="EB13" s="14" t="str">
        <f t="shared" si="34"/>
        <v/>
      </c>
      <c r="EC13" s="14" t="str">
        <f t="shared" si="35"/>
        <v/>
      </c>
      <c r="ED13" s="14" t="str">
        <f t="shared" si="36"/>
        <v/>
      </c>
      <c r="EE13" s="14" t="str">
        <f t="shared" si="37"/>
        <v/>
      </c>
      <c r="EF13" s="14" t="str">
        <f t="shared" si="38"/>
        <v/>
      </c>
      <c r="EG13" s="14" t="str">
        <f t="shared" si="39"/>
        <v/>
      </c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55" t="str">
        <f t="shared" si="40"/>
        <v/>
      </c>
      <c r="FC13" s="55" t="str">
        <f t="shared" si="41"/>
        <v/>
      </c>
      <c r="FD13" s="55" t="str">
        <f t="shared" si="42"/>
        <v/>
      </c>
      <c r="FE13" s="55" t="str">
        <f t="shared" si="43"/>
        <v/>
      </c>
      <c r="FF13" s="55" t="str">
        <f t="shared" si="44"/>
        <v/>
      </c>
      <c r="FG13" s="55" t="str">
        <f t="shared" si="45"/>
        <v/>
      </c>
      <c r="FH13" s="19"/>
      <c r="FI13" s="19"/>
      <c r="FJ13" s="19"/>
      <c r="FK13" s="19"/>
      <c r="FL13" s="19"/>
      <c r="FM13" s="19"/>
      <c r="FN13" s="19"/>
      <c r="FO13" s="19"/>
      <c r="FP13" s="19"/>
      <c r="FQ13" s="19"/>
      <c r="FR13" s="19"/>
      <c r="FS13" s="19"/>
      <c r="FT13" s="19"/>
      <c r="FU13" s="19"/>
      <c r="FV13" s="19"/>
      <c r="FW13" s="19"/>
      <c r="FX13" s="19"/>
      <c r="FY13" s="19"/>
      <c r="FZ13" s="19"/>
      <c r="GA13" s="19"/>
      <c r="GB13" s="14" t="str">
        <f t="shared" si="46"/>
        <v/>
      </c>
      <c r="GC13" s="14" t="str">
        <f t="shared" si="47"/>
        <v/>
      </c>
      <c r="GD13" s="14" t="str">
        <f t="shared" si="48"/>
        <v/>
      </c>
      <c r="GE13" s="14" t="str">
        <f t="shared" si="49"/>
        <v/>
      </c>
      <c r="GF13" s="14" t="str">
        <f t="shared" si="50"/>
        <v/>
      </c>
      <c r="GG13" s="14" t="str">
        <f t="shared" si="51"/>
        <v/>
      </c>
      <c r="GH13" s="18"/>
      <c r="GI13" s="18"/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55" t="str">
        <f t="shared" si="52"/>
        <v/>
      </c>
      <c r="HC13" s="55" t="str">
        <f t="shared" si="53"/>
        <v/>
      </c>
      <c r="HD13" s="55" t="str">
        <f t="shared" si="54"/>
        <v/>
      </c>
      <c r="HE13" s="55" t="str">
        <f t="shared" si="55"/>
        <v/>
      </c>
      <c r="HF13" s="55" t="str">
        <f t="shared" si="56"/>
        <v/>
      </c>
      <c r="HG13" s="55" t="str">
        <f t="shared" si="57"/>
        <v/>
      </c>
      <c r="HH13" s="19"/>
      <c r="HI13" s="19"/>
      <c r="HJ13" s="19"/>
      <c r="HK13" s="19"/>
      <c r="HL13" s="19"/>
      <c r="HM13" s="19"/>
      <c r="HN13" s="19"/>
      <c r="HO13" s="19"/>
      <c r="HP13" s="19"/>
      <c r="HQ13" s="19"/>
      <c r="HR13" s="19"/>
      <c r="HS13" s="19"/>
      <c r="HT13" s="19"/>
      <c r="HU13" s="19"/>
      <c r="HV13" s="19"/>
      <c r="HW13" s="19"/>
      <c r="HX13" s="19"/>
      <c r="HY13" s="19"/>
      <c r="HZ13" s="19"/>
      <c r="IA13" s="19"/>
      <c r="IB13" s="14" t="str">
        <f t="shared" si="58"/>
        <v/>
      </c>
      <c r="IC13" s="14" t="str">
        <f t="shared" si="59"/>
        <v/>
      </c>
      <c r="ID13" s="14" t="str">
        <f t="shared" si="60"/>
        <v/>
      </c>
      <c r="IE13" s="14" t="str">
        <f t="shared" si="61"/>
        <v/>
      </c>
      <c r="IF13" s="14" t="str">
        <f t="shared" si="62"/>
        <v/>
      </c>
      <c r="IG13" s="14" t="str">
        <f t="shared" si="63"/>
        <v/>
      </c>
      <c r="IH13" s="18"/>
      <c r="II13" s="18"/>
      <c r="IJ13" s="18"/>
      <c r="IK13" s="18"/>
      <c r="IL13" s="18"/>
      <c r="IM13" s="18"/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55" t="str">
        <f t="shared" si="64"/>
        <v/>
      </c>
      <c r="JC13" s="55" t="str">
        <f t="shared" si="65"/>
        <v/>
      </c>
      <c r="JD13" s="55" t="str">
        <f t="shared" si="66"/>
        <v/>
      </c>
      <c r="JE13" s="55" t="str">
        <f t="shared" si="67"/>
        <v/>
      </c>
      <c r="JF13" s="55" t="str">
        <f t="shared" si="68"/>
        <v/>
      </c>
      <c r="JG13" s="55" t="str">
        <f t="shared" si="69"/>
        <v/>
      </c>
      <c r="JH13" s="19"/>
      <c r="JI13" s="19"/>
      <c r="JJ13" s="19"/>
      <c r="JK13" s="19"/>
      <c r="JL13" s="19"/>
      <c r="JM13" s="19"/>
      <c r="JN13" s="19"/>
      <c r="JO13" s="19"/>
      <c r="JP13" s="19"/>
      <c r="JQ13" s="19"/>
      <c r="JR13" s="19"/>
      <c r="JS13" s="19"/>
      <c r="JT13" s="19"/>
      <c r="JU13" s="19"/>
      <c r="JV13" s="19"/>
      <c r="JW13" s="19"/>
      <c r="JX13" s="19"/>
      <c r="JY13" s="19"/>
      <c r="JZ13" s="19"/>
      <c r="KA13" s="19"/>
      <c r="KB13" s="14" t="str">
        <f t="shared" si="70"/>
        <v/>
      </c>
      <c r="KC13" s="14" t="str">
        <f t="shared" si="71"/>
        <v/>
      </c>
      <c r="KD13" s="14" t="str">
        <f t="shared" si="72"/>
        <v/>
      </c>
      <c r="KE13" s="14" t="str">
        <f t="shared" si="73"/>
        <v/>
      </c>
      <c r="KF13" s="14" t="str">
        <f t="shared" si="74"/>
        <v/>
      </c>
      <c r="KG13" s="14" t="str">
        <f t="shared" si="75"/>
        <v/>
      </c>
      <c r="KH13" s="18"/>
      <c r="KI13" s="18"/>
      <c r="KJ13" s="18"/>
      <c r="KK13" s="18"/>
      <c r="KL13" s="18"/>
      <c r="KM13" s="18"/>
      <c r="KN13" s="18"/>
      <c r="KO13" s="18"/>
      <c r="KP13" s="18"/>
      <c r="KQ13" s="18"/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55" t="str">
        <f t="shared" si="76"/>
        <v/>
      </c>
      <c r="LC13" s="55" t="str">
        <f t="shared" si="77"/>
        <v/>
      </c>
      <c r="LD13" s="55" t="str">
        <f t="shared" si="78"/>
        <v/>
      </c>
      <c r="LE13" s="55" t="str">
        <f t="shared" si="79"/>
        <v/>
      </c>
      <c r="LF13" s="55" t="str">
        <f t="shared" si="80"/>
        <v/>
      </c>
      <c r="LG13" s="55" t="str">
        <f t="shared" si="81"/>
        <v/>
      </c>
      <c r="LH13" s="19"/>
      <c r="LI13" s="19"/>
      <c r="LJ13" s="19"/>
      <c r="LK13" s="19"/>
      <c r="LL13" s="19"/>
      <c r="LM13" s="19"/>
      <c r="LN13" s="19"/>
      <c r="LO13" s="19"/>
      <c r="LP13" s="19"/>
      <c r="LQ13" s="19"/>
      <c r="LR13" s="19"/>
      <c r="LS13" s="19"/>
      <c r="LT13" s="19"/>
      <c r="LU13" s="19"/>
      <c r="LV13" s="19"/>
      <c r="LW13" s="19"/>
      <c r="LX13" s="19"/>
      <c r="LY13" s="19"/>
      <c r="LZ13" s="19"/>
      <c r="MA13" s="19"/>
      <c r="MB13" s="14" t="str">
        <f t="shared" si="82"/>
        <v/>
      </c>
      <c r="MC13" s="14" t="str">
        <f t="shared" si="83"/>
        <v/>
      </c>
      <c r="MD13" s="14" t="str">
        <f t="shared" si="84"/>
        <v/>
      </c>
      <c r="ME13" s="14" t="str">
        <f t="shared" si="85"/>
        <v/>
      </c>
      <c r="MF13" s="14" t="str">
        <f t="shared" si="86"/>
        <v/>
      </c>
      <c r="MG13" s="14" t="str">
        <f t="shared" si="87"/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55" t="str">
        <f t="shared" si="88"/>
        <v/>
      </c>
      <c r="NC13" s="55" t="str">
        <f t="shared" si="89"/>
        <v/>
      </c>
      <c r="ND13" s="55" t="str">
        <f t="shared" si="90"/>
        <v/>
      </c>
      <c r="NE13" s="55" t="str">
        <f t="shared" si="91"/>
        <v/>
      </c>
      <c r="NF13" s="55" t="str">
        <f t="shared" si="92"/>
        <v/>
      </c>
      <c r="NG13" s="55" t="str">
        <f t="shared" si="93"/>
        <v/>
      </c>
      <c r="NH13" s="19"/>
      <c r="NI13" s="19"/>
      <c r="NJ13" s="19"/>
      <c r="NK13" s="19"/>
      <c r="NL13" s="19"/>
      <c r="NM13" s="19"/>
      <c r="NN13" s="19"/>
      <c r="NO13" s="19"/>
      <c r="NP13" s="19"/>
      <c r="NQ13" s="19"/>
      <c r="NR13" s="19"/>
      <c r="NS13" s="19"/>
      <c r="NT13" s="19"/>
      <c r="NU13" s="19"/>
      <c r="NV13" s="19"/>
      <c r="NW13" s="19"/>
      <c r="NX13" s="19"/>
      <c r="NY13" s="19"/>
      <c r="NZ13" s="19"/>
      <c r="OA13" s="19"/>
      <c r="OB13" s="14" t="str">
        <f t="shared" si="94"/>
        <v/>
      </c>
      <c r="OC13" s="14" t="str">
        <f t="shared" si="95"/>
        <v/>
      </c>
      <c r="OD13" s="14" t="str">
        <f t="shared" si="96"/>
        <v/>
      </c>
      <c r="OE13" s="14" t="str">
        <f t="shared" si="97"/>
        <v/>
      </c>
      <c r="OF13" s="14" t="str">
        <f t="shared" si="98"/>
        <v/>
      </c>
      <c r="OG13" s="14" t="str">
        <f t="shared" si="99"/>
        <v/>
      </c>
      <c r="OH13" s="27">
        <f t="shared" si="100"/>
        <v>9.1999999999999993</v>
      </c>
      <c r="OI13" s="27">
        <f t="shared" si="101"/>
        <v>3</v>
      </c>
      <c r="OJ13" s="27">
        <f t="shared" si="102"/>
        <v>0</v>
      </c>
      <c r="OK13" s="27">
        <f t="shared" si="103"/>
        <v>0</v>
      </c>
      <c r="OL13" s="27">
        <f t="shared" si="104"/>
        <v>8.15</v>
      </c>
      <c r="OM13" s="27">
        <f t="shared" si="105"/>
        <v>2.6</v>
      </c>
      <c r="ON13" s="27">
        <f t="shared" si="106"/>
        <v>0.5</v>
      </c>
      <c r="OO13" s="27">
        <f t="shared" si="107"/>
        <v>0</v>
      </c>
      <c r="OP13" s="27">
        <f t="shared" si="108"/>
        <v>9.25</v>
      </c>
      <c r="OQ13" s="27">
        <f t="shared" si="109"/>
        <v>3.2</v>
      </c>
      <c r="OR13" s="27">
        <f t="shared" si="110"/>
        <v>0</v>
      </c>
      <c r="OS13" s="27">
        <f t="shared" si="111"/>
        <v>0</v>
      </c>
      <c r="OT13" s="27">
        <f t="shared" si="112"/>
        <v>9</v>
      </c>
      <c r="OU13" s="27">
        <f t="shared" si="113"/>
        <v>2.6</v>
      </c>
      <c r="OV13" s="27">
        <f t="shared" si="114"/>
        <v>0.5</v>
      </c>
      <c r="OW13" s="27">
        <f t="shared" si="115"/>
        <v>0</v>
      </c>
      <c r="OX13" s="32" t="s">
        <v>44</v>
      </c>
      <c r="OY13" s="55">
        <f t="shared" si="116"/>
        <v>5.6</v>
      </c>
      <c r="OZ13" s="55">
        <f t="shared" si="117"/>
        <v>22.450000000000003</v>
      </c>
      <c r="PA13" s="55">
        <f t="shared" si="118"/>
        <v>5.8000000000000007</v>
      </c>
      <c r="PB13" s="55">
        <f t="shared" si="119"/>
        <v>23.55</v>
      </c>
      <c r="PC13" s="55">
        <f t="shared" si="120"/>
        <v>46</v>
      </c>
    </row>
    <row r="14" spans="1:419" x14ac:dyDescent="0.2">
      <c r="A14" s="4" t="str" cm="1">
        <f t="array" ref="A14">IF(AND(H14&lt;&gt;"",H14&lt;&gt;"No DD"),SUMPRODUCT((H$4:H$16&lt;&gt;"")*(H$4:H$16&lt;&gt;"No DD")*(E$4:E$16&gt;E14))+1,IF(H14="No DD",SUMPRODUCT((H$4:H$16="No DD")*(E$4:E$16&gt;E14))+1+SUMPRODUCT((H$4:H$16&lt;&gt;"")*(H$4:H$16&lt;&gt;"No DD")),""))</f>
        <v/>
      </c>
      <c r="B14" s="5" t="s">
        <v>96</v>
      </c>
      <c r="C14" s="4" t="s">
        <v>62</v>
      </c>
      <c r="D14" s="4">
        <v>2010</v>
      </c>
      <c r="E14" s="10">
        <f t="shared" si="0"/>
        <v>83.930008393004471</v>
      </c>
      <c r="F14" s="3" t="str">
        <f t="shared" si="1"/>
        <v/>
      </c>
      <c r="G14" s="3" t="str">
        <f t="shared" si="2"/>
        <v/>
      </c>
      <c r="H14" s="47" t="str">
        <f t="shared" si="3"/>
        <v/>
      </c>
      <c r="I14" s="9">
        <f>IF(COUNT(AJ14,BF14,CB14)&gt;0,LARGE((AJ14,BF14,CB14),1),0)</f>
        <v>44.63</v>
      </c>
      <c r="J14" s="9" t="str">
        <f t="shared" si="4"/>
        <v>2025 Elite Canada</v>
      </c>
      <c r="K14" s="9">
        <f>IF(COUNT(AJ14,BF14,CB14)&gt;1,LARGE((AJ14,BF14,CB14),2),0)</f>
        <v>0</v>
      </c>
      <c r="L14" s="9" t="str">
        <f t="shared" si="5"/>
        <v/>
      </c>
      <c r="M14" s="9">
        <f t="shared" si="6"/>
        <v>39.299999999999997</v>
      </c>
      <c r="N14" s="9" t="str">
        <f t="shared" si="7"/>
        <v>2025 Elite Canada</v>
      </c>
      <c r="O14" s="9" t="str">
        <f t="shared" si="8"/>
        <v/>
      </c>
      <c r="P14" s="14" t="str">
        <f t="shared" si="9"/>
        <v/>
      </c>
      <c r="Q14" s="9" t="str">
        <f t="shared" si="10"/>
        <v/>
      </c>
      <c r="R14" s="20">
        <v>17.63</v>
      </c>
      <c r="S14" s="20">
        <v>4.4000000000000004</v>
      </c>
      <c r="T14" s="20">
        <v>0.8</v>
      </c>
      <c r="U14" s="20">
        <v>0</v>
      </c>
      <c r="V14" s="20">
        <v>18</v>
      </c>
      <c r="W14" s="20">
        <v>5.6</v>
      </c>
      <c r="X14" s="20">
        <v>0.2</v>
      </c>
      <c r="Y14" s="20">
        <v>0</v>
      </c>
      <c r="Z14" s="20">
        <v>15.2</v>
      </c>
      <c r="AA14" s="20">
        <v>2.8</v>
      </c>
      <c r="AB14" s="20">
        <v>0</v>
      </c>
      <c r="AC14" s="20">
        <v>0</v>
      </c>
      <c r="AD14" s="20">
        <v>16.3</v>
      </c>
      <c r="AE14" s="20">
        <v>5.2</v>
      </c>
      <c r="AF14" s="20">
        <v>0.2</v>
      </c>
      <c r="AG14" s="20">
        <v>0</v>
      </c>
      <c r="AH14" s="32"/>
      <c r="AI14" s="55">
        <f t="shared" si="11"/>
        <v>10</v>
      </c>
      <c r="AJ14" s="55">
        <f t="shared" si="12"/>
        <v>44.63</v>
      </c>
      <c r="AK14" s="55">
        <f t="shared" si="13"/>
        <v>8</v>
      </c>
      <c r="AL14" s="55">
        <f t="shared" si="14"/>
        <v>39.299999999999997</v>
      </c>
      <c r="AM14" s="55">
        <f t="shared" si="15"/>
        <v>83.93</v>
      </c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33"/>
      <c r="BE14" s="14" t="str">
        <f t="shared" si="16"/>
        <v/>
      </c>
      <c r="BF14" s="14" t="str">
        <f t="shared" si="17"/>
        <v/>
      </c>
      <c r="BG14" s="14" t="str">
        <f t="shared" si="18"/>
        <v/>
      </c>
      <c r="BH14" s="14" t="str">
        <f t="shared" si="19"/>
        <v/>
      </c>
      <c r="BI14" s="14" t="str">
        <f t="shared" si="20"/>
        <v/>
      </c>
      <c r="BJ14" s="20"/>
      <c r="BK14" s="20"/>
      <c r="BL14" s="20"/>
      <c r="BM14" s="20"/>
      <c r="BN14" s="20"/>
      <c r="BO14" s="20"/>
      <c r="BP14" s="20"/>
      <c r="BQ14" s="20"/>
      <c r="BR14" s="20"/>
      <c r="BS14" s="20"/>
      <c r="BT14" s="20"/>
      <c r="BU14" s="20"/>
      <c r="BV14" s="20"/>
      <c r="BW14" s="20"/>
      <c r="BX14" s="20"/>
      <c r="BY14" s="20"/>
      <c r="BZ14" s="32"/>
      <c r="CA14" s="55" t="str">
        <f t="shared" si="21"/>
        <v/>
      </c>
      <c r="CB14" s="55" t="str">
        <f t="shared" si="22"/>
        <v/>
      </c>
      <c r="CC14" s="55" t="str">
        <f t="shared" si="23"/>
        <v/>
      </c>
      <c r="CD14" s="55" t="str">
        <f t="shared" si="24"/>
        <v/>
      </c>
      <c r="CE14" s="55" t="str">
        <f t="shared" si="25"/>
        <v/>
      </c>
      <c r="CF14" s="56" t="str">
        <f t="shared" si="26"/>
        <v/>
      </c>
      <c r="CG14" s="56" t="str">
        <f t="shared" si="27"/>
        <v/>
      </c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8"/>
      <c r="CZ14" s="18"/>
      <c r="DA14" s="18"/>
      <c r="DB14" s="55" t="str">
        <f t="shared" si="28"/>
        <v/>
      </c>
      <c r="DC14" s="55" t="str">
        <f t="shared" si="29"/>
        <v/>
      </c>
      <c r="DD14" s="55" t="str">
        <f t="shared" si="30"/>
        <v/>
      </c>
      <c r="DE14" s="55" t="str">
        <f t="shared" si="31"/>
        <v/>
      </c>
      <c r="DF14" s="55" t="str">
        <f t="shared" si="32"/>
        <v/>
      </c>
      <c r="DG14" s="55" t="str">
        <f t="shared" si="33"/>
        <v/>
      </c>
      <c r="DH14" s="19"/>
      <c r="DI14" s="19"/>
      <c r="DJ14" s="19"/>
      <c r="DK14" s="19"/>
      <c r="DL14" s="19"/>
      <c r="DM14" s="19"/>
      <c r="DN14" s="19"/>
      <c r="DO14" s="19"/>
      <c r="DP14" s="19"/>
      <c r="DQ14" s="19"/>
      <c r="DR14" s="19"/>
      <c r="DS14" s="19"/>
      <c r="DT14" s="19"/>
      <c r="DU14" s="19"/>
      <c r="DV14" s="19"/>
      <c r="DW14" s="19"/>
      <c r="DX14" s="19"/>
      <c r="DY14" s="19"/>
      <c r="DZ14" s="19"/>
      <c r="EA14" s="19"/>
      <c r="EB14" s="14" t="str">
        <f t="shared" si="34"/>
        <v/>
      </c>
      <c r="EC14" s="14" t="str">
        <f t="shared" si="35"/>
        <v/>
      </c>
      <c r="ED14" s="14" t="str">
        <f t="shared" si="36"/>
        <v/>
      </c>
      <c r="EE14" s="14" t="str">
        <f t="shared" si="37"/>
        <v/>
      </c>
      <c r="EF14" s="14" t="str">
        <f t="shared" si="38"/>
        <v/>
      </c>
      <c r="EG14" s="14" t="str">
        <f t="shared" si="39"/>
        <v/>
      </c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55" t="str">
        <f t="shared" si="40"/>
        <v/>
      </c>
      <c r="FC14" s="55" t="str">
        <f t="shared" si="41"/>
        <v/>
      </c>
      <c r="FD14" s="55" t="str">
        <f t="shared" si="42"/>
        <v/>
      </c>
      <c r="FE14" s="55" t="str">
        <f t="shared" si="43"/>
        <v/>
      </c>
      <c r="FF14" s="55" t="str">
        <f t="shared" si="44"/>
        <v/>
      </c>
      <c r="FG14" s="55" t="str">
        <f t="shared" si="45"/>
        <v/>
      </c>
      <c r="FH14" s="19"/>
      <c r="FI14" s="19"/>
      <c r="FJ14" s="19"/>
      <c r="FK14" s="19"/>
      <c r="FL14" s="19"/>
      <c r="FM14" s="19"/>
      <c r="FN14" s="19"/>
      <c r="FO14" s="19"/>
      <c r="FP14" s="19"/>
      <c r="FQ14" s="19"/>
      <c r="FR14" s="19"/>
      <c r="FS14" s="19"/>
      <c r="FT14" s="19"/>
      <c r="FU14" s="19"/>
      <c r="FV14" s="19"/>
      <c r="FW14" s="19"/>
      <c r="FX14" s="19"/>
      <c r="FY14" s="19"/>
      <c r="FZ14" s="19"/>
      <c r="GA14" s="19"/>
      <c r="GB14" s="14" t="str">
        <f t="shared" si="46"/>
        <v/>
      </c>
      <c r="GC14" s="14" t="str">
        <f t="shared" si="47"/>
        <v/>
      </c>
      <c r="GD14" s="14" t="str">
        <f t="shared" si="48"/>
        <v/>
      </c>
      <c r="GE14" s="14" t="str">
        <f t="shared" si="49"/>
        <v/>
      </c>
      <c r="GF14" s="14" t="str">
        <f t="shared" si="50"/>
        <v/>
      </c>
      <c r="GG14" s="14" t="str">
        <f t="shared" si="51"/>
        <v/>
      </c>
      <c r="GH14" s="18"/>
      <c r="GI14" s="18"/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55" t="str">
        <f t="shared" si="52"/>
        <v/>
      </c>
      <c r="HC14" s="55" t="str">
        <f t="shared" si="53"/>
        <v/>
      </c>
      <c r="HD14" s="55" t="str">
        <f t="shared" si="54"/>
        <v/>
      </c>
      <c r="HE14" s="55" t="str">
        <f t="shared" si="55"/>
        <v/>
      </c>
      <c r="HF14" s="55" t="str">
        <f t="shared" si="56"/>
        <v/>
      </c>
      <c r="HG14" s="55" t="str">
        <f t="shared" si="57"/>
        <v/>
      </c>
      <c r="HH14" s="19"/>
      <c r="HI14" s="19"/>
      <c r="HJ14" s="19"/>
      <c r="HK14" s="19"/>
      <c r="HL14" s="19"/>
      <c r="HM14" s="19"/>
      <c r="HN14" s="19"/>
      <c r="HO14" s="19"/>
      <c r="HP14" s="19"/>
      <c r="HQ14" s="19"/>
      <c r="HR14" s="19"/>
      <c r="HS14" s="19"/>
      <c r="HT14" s="19"/>
      <c r="HU14" s="19"/>
      <c r="HV14" s="19"/>
      <c r="HW14" s="19"/>
      <c r="HX14" s="19"/>
      <c r="HY14" s="19"/>
      <c r="HZ14" s="19"/>
      <c r="IA14" s="19"/>
      <c r="IB14" s="14" t="str">
        <f t="shared" si="58"/>
        <v/>
      </c>
      <c r="IC14" s="14" t="str">
        <f t="shared" si="59"/>
        <v/>
      </c>
      <c r="ID14" s="14" t="str">
        <f t="shared" si="60"/>
        <v/>
      </c>
      <c r="IE14" s="14" t="str">
        <f t="shared" si="61"/>
        <v/>
      </c>
      <c r="IF14" s="14" t="str">
        <f t="shared" si="62"/>
        <v/>
      </c>
      <c r="IG14" s="14" t="str">
        <f t="shared" si="63"/>
        <v/>
      </c>
      <c r="IH14" s="18"/>
      <c r="II14" s="18"/>
      <c r="IJ14" s="18"/>
      <c r="IK14" s="18"/>
      <c r="IL14" s="18"/>
      <c r="IM14" s="18"/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55" t="str">
        <f t="shared" si="64"/>
        <v/>
      </c>
      <c r="JC14" s="55" t="str">
        <f t="shared" si="65"/>
        <v/>
      </c>
      <c r="JD14" s="55" t="str">
        <f t="shared" si="66"/>
        <v/>
      </c>
      <c r="JE14" s="55" t="str">
        <f t="shared" si="67"/>
        <v/>
      </c>
      <c r="JF14" s="55" t="str">
        <f t="shared" si="68"/>
        <v/>
      </c>
      <c r="JG14" s="55" t="str">
        <f t="shared" si="69"/>
        <v/>
      </c>
      <c r="JH14" s="19"/>
      <c r="JI14" s="19"/>
      <c r="JJ14" s="19"/>
      <c r="JK14" s="19"/>
      <c r="JL14" s="19"/>
      <c r="JM14" s="19"/>
      <c r="JN14" s="19"/>
      <c r="JO14" s="19"/>
      <c r="JP14" s="19"/>
      <c r="JQ14" s="19"/>
      <c r="JR14" s="19"/>
      <c r="JS14" s="19"/>
      <c r="JT14" s="19"/>
      <c r="JU14" s="19"/>
      <c r="JV14" s="19"/>
      <c r="JW14" s="19"/>
      <c r="JX14" s="19"/>
      <c r="JY14" s="19"/>
      <c r="JZ14" s="19"/>
      <c r="KA14" s="19"/>
      <c r="KB14" s="14" t="str">
        <f t="shared" si="70"/>
        <v/>
      </c>
      <c r="KC14" s="14" t="str">
        <f t="shared" si="71"/>
        <v/>
      </c>
      <c r="KD14" s="14" t="str">
        <f t="shared" si="72"/>
        <v/>
      </c>
      <c r="KE14" s="14" t="str">
        <f t="shared" si="73"/>
        <v/>
      </c>
      <c r="KF14" s="14" t="str">
        <f t="shared" si="74"/>
        <v/>
      </c>
      <c r="KG14" s="14" t="str">
        <f t="shared" si="75"/>
        <v/>
      </c>
      <c r="KH14" s="18"/>
      <c r="KI14" s="18"/>
      <c r="KJ14" s="18"/>
      <c r="KK14" s="18"/>
      <c r="KL14" s="18"/>
      <c r="KM14" s="18"/>
      <c r="KN14" s="18"/>
      <c r="KO14" s="18"/>
      <c r="KP14" s="18"/>
      <c r="KQ14" s="18"/>
      <c r="KR14" s="18"/>
      <c r="KS14" s="18"/>
      <c r="KT14" s="18"/>
      <c r="KU14" s="18"/>
      <c r="KV14" s="18"/>
      <c r="KW14" s="18"/>
      <c r="KX14" s="18"/>
      <c r="KY14" s="18"/>
      <c r="KZ14" s="18"/>
      <c r="LA14" s="18"/>
      <c r="LB14" s="55" t="str">
        <f t="shared" si="76"/>
        <v/>
      </c>
      <c r="LC14" s="55" t="str">
        <f t="shared" si="77"/>
        <v/>
      </c>
      <c r="LD14" s="55" t="str">
        <f t="shared" si="78"/>
        <v/>
      </c>
      <c r="LE14" s="55" t="str">
        <f t="shared" si="79"/>
        <v/>
      </c>
      <c r="LF14" s="55" t="str">
        <f t="shared" si="80"/>
        <v/>
      </c>
      <c r="LG14" s="55" t="str">
        <f t="shared" si="81"/>
        <v/>
      </c>
      <c r="LH14" s="19"/>
      <c r="LI14" s="19"/>
      <c r="LJ14" s="19"/>
      <c r="LK14" s="19"/>
      <c r="LL14" s="19"/>
      <c r="LM14" s="19"/>
      <c r="LN14" s="19"/>
      <c r="LO14" s="19"/>
      <c r="LP14" s="19"/>
      <c r="LQ14" s="19"/>
      <c r="LR14" s="19"/>
      <c r="LS14" s="19"/>
      <c r="LT14" s="19"/>
      <c r="LU14" s="19"/>
      <c r="LV14" s="19"/>
      <c r="LW14" s="19"/>
      <c r="LX14" s="19"/>
      <c r="LY14" s="19"/>
      <c r="LZ14" s="19"/>
      <c r="MA14" s="19"/>
      <c r="MB14" s="14" t="str">
        <f t="shared" si="82"/>
        <v/>
      </c>
      <c r="MC14" s="14" t="str">
        <f t="shared" si="83"/>
        <v/>
      </c>
      <c r="MD14" s="14" t="str">
        <f t="shared" si="84"/>
        <v/>
      </c>
      <c r="ME14" s="14" t="str">
        <f t="shared" si="85"/>
        <v/>
      </c>
      <c r="MF14" s="14" t="str">
        <f t="shared" si="86"/>
        <v/>
      </c>
      <c r="MG14" s="14" t="str">
        <f t="shared" si="87"/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55" t="str">
        <f t="shared" si="88"/>
        <v/>
      </c>
      <c r="NC14" s="55" t="str">
        <f t="shared" si="89"/>
        <v/>
      </c>
      <c r="ND14" s="55" t="str">
        <f t="shared" si="90"/>
        <v/>
      </c>
      <c r="NE14" s="55" t="str">
        <f t="shared" si="91"/>
        <v/>
      </c>
      <c r="NF14" s="55" t="str">
        <f t="shared" si="92"/>
        <v/>
      </c>
      <c r="NG14" s="55" t="str">
        <f t="shared" si="93"/>
        <v/>
      </c>
      <c r="NH14" s="19"/>
      <c r="NI14" s="19"/>
      <c r="NJ14" s="19"/>
      <c r="NK14" s="19"/>
      <c r="NL14" s="19"/>
      <c r="NM14" s="19"/>
      <c r="NN14" s="19"/>
      <c r="NO14" s="19"/>
      <c r="NP14" s="19"/>
      <c r="NQ14" s="19"/>
      <c r="NR14" s="19"/>
      <c r="NS14" s="19"/>
      <c r="NT14" s="19"/>
      <c r="NU14" s="19"/>
      <c r="NV14" s="19"/>
      <c r="NW14" s="19"/>
      <c r="NX14" s="19"/>
      <c r="NY14" s="19"/>
      <c r="NZ14" s="19"/>
      <c r="OA14" s="19"/>
      <c r="OB14" s="14" t="str">
        <f t="shared" si="94"/>
        <v/>
      </c>
      <c r="OC14" s="14" t="str">
        <f t="shared" si="95"/>
        <v/>
      </c>
      <c r="OD14" s="14" t="str">
        <f t="shared" si="96"/>
        <v/>
      </c>
      <c r="OE14" s="14" t="str">
        <f t="shared" si="97"/>
        <v/>
      </c>
      <c r="OF14" s="14" t="str">
        <f t="shared" si="98"/>
        <v/>
      </c>
      <c r="OG14" s="14" t="str">
        <f t="shared" si="99"/>
        <v/>
      </c>
      <c r="OH14" s="27">
        <f t="shared" si="100"/>
        <v>0</v>
      </c>
      <c r="OI14" s="27">
        <f t="shared" si="101"/>
        <v>0</v>
      </c>
      <c r="OJ14" s="27">
        <f t="shared" si="102"/>
        <v>0</v>
      </c>
      <c r="OK14" s="27">
        <f t="shared" si="103"/>
        <v>0</v>
      </c>
      <c r="OL14" s="27">
        <f t="shared" si="104"/>
        <v>0</v>
      </c>
      <c r="OM14" s="27">
        <f t="shared" si="105"/>
        <v>0</v>
      </c>
      <c r="ON14" s="27">
        <f t="shared" si="106"/>
        <v>0</v>
      </c>
      <c r="OO14" s="27">
        <f t="shared" si="107"/>
        <v>0</v>
      </c>
      <c r="OP14" s="27">
        <f t="shared" si="108"/>
        <v>0</v>
      </c>
      <c r="OQ14" s="27">
        <f t="shared" si="109"/>
        <v>0</v>
      </c>
      <c r="OR14" s="27">
        <f t="shared" si="110"/>
        <v>0</v>
      </c>
      <c r="OS14" s="27">
        <f t="shared" si="111"/>
        <v>0</v>
      </c>
      <c r="OT14" s="27">
        <f t="shared" si="112"/>
        <v>0</v>
      </c>
      <c r="OU14" s="27">
        <f t="shared" si="113"/>
        <v>0</v>
      </c>
      <c r="OV14" s="27">
        <f t="shared" si="114"/>
        <v>0</v>
      </c>
      <c r="OW14" s="27">
        <f t="shared" si="115"/>
        <v>0</v>
      </c>
      <c r="OX14" s="32" t="s">
        <v>44</v>
      </c>
      <c r="OY14" s="55" t="str">
        <f t="shared" si="116"/>
        <v/>
      </c>
      <c r="OZ14" s="55" t="str">
        <f t="shared" si="117"/>
        <v/>
      </c>
      <c r="PA14" s="55" t="str">
        <f t="shared" si="118"/>
        <v/>
      </c>
      <c r="PB14" s="55" t="str">
        <f t="shared" si="119"/>
        <v/>
      </c>
      <c r="PC14" s="55" t="str">
        <f t="shared" si="120"/>
        <v/>
      </c>
    </row>
    <row r="15" spans="1:419" x14ac:dyDescent="0.2">
      <c r="A15" s="4" t="str" cm="1">
        <f t="array" ref="A15">IF(AND(H15&lt;&gt;"",H15&lt;&gt;"No DD"),SUMPRODUCT((H$4:H$16&lt;&gt;"")*(H$4:H$16&lt;&gt;"No DD")*(E$4:E$16&gt;E15))+1,IF(H15="No DD",SUMPRODUCT((H$4:H$16="No DD")*(E$4:E$16&gt;E15))+1+SUMPRODUCT((H$4:H$16&lt;&gt;"")*(H$4:H$16&lt;&gt;"No DD")),""))</f>
        <v/>
      </c>
      <c r="B15" s="5" t="s">
        <v>117</v>
      </c>
      <c r="C15" s="4" t="s">
        <v>64</v>
      </c>
      <c r="D15" s="4">
        <v>2011</v>
      </c>
      <c r="E15" s="10">
        <f t="shared" si="0"/>
        <v>80.800008080004218</v>
      </c>
      <c r="F15" s="3" t="str">
        <f t="shared" si="1"/>
        <v/>
      </c>
      <c r="G15" s="3" t="str">
        <f t="shared" si="2"/>
        <v/>
      </c>
      <c r="H15" s="47" t="str">
        <f t="shared" si="3"/>
        <v/>
      </c>
      <c r="I15" s="9">
        <f>IF(COUNT(AJ15,BF15,CB15)&gt;0,LARGE((AJ15,BF15,CB15),1),0)</f>
        <v>42.2</v>
      </c>
      <c r="J15" s="9" t="str">
        <f t="shared" si="4"/>
        <v>2025 3rd Domestic Trial</v>
      </c>
      <c r="K15" s="9">
        <f>IF(COUNT(AJ15,BF15,CB15)&gt;1,LARGE((AJ15,BF15,CB15),2),0)</f>
        <v>0</v>
      </c>
      <c r="L15" s="9" t="str">
        <f t="shared" si="5"/>
        <v/>
      </c>
      <c r="M15" s="9">
        <f t="shared" si="6"/>
        <v>38.599999999999994</v>
      </c>
      <c r="N15" s="9" t="str">
        <f t="shared" si="7"/>
        <v>2025 3rd Domestic Trial</v>
      </c>
      <c r="O15" s="9" t="str">
        <f t="shared" si="8"/>
        <v/>
      </c>
      <c r="P15" s="14" t="str">
        <f t="shared" si="9"/>
        <v/>
      </c>
      <c r="Q15" s="9" t="str">
        <f t="shared" si="10"/>
        <v/>
      </c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32"/>
      <c r="AI15" s="55" t="str">
        <f t="shared" si="11"/>
        <v/>
      </c>
      <c r="AJ15" s="55" t="str">
        <f t="shared" si="12"/>
        <v/>
      </c>
      <c r="AK15" s="55" t="str">
        <f t="shared" si="13"/>
        <v/>
      </c>
      <c r="AL15" s="55" t="str">
        <f t="shared" si="14"/>
        <v/>
      </c>
      <c r="AM15" s="55" t="str">
        <f t="shared" si="15"/>
        <v/>
      </c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33"/>
      <c r="BE15" s="14" t="str">
        <f t="shared" si="16"/>
        <v/>
      </c>
      <c r="BF15" s="14" t="str">
        <f t="shared" si="17"/>
        <v/>
      </c>
      <c r="BG15" s="14" t="str">
        <f t="shared" si="18"/>
        <v/>
      </c>
      <c r="BH15" s="14" t="str">
        <f t="shared" si="19"/>
        <v/>
      </c>
      <c r="BI15" s="14" t="str">
        <f t="shared" si="20"/>
        <v/>
      </c>
      <c r="BJ15" s="20">
        <v>15.2</v>
      </c>
      <c r="BK15" s="20">
        <v>2.8</v>
      </c>
      <c r="BL15" s="20">
        <v>0</v>
      </c>
      <c r="BM15" s="20">
        <v>0</v>
      </c>
      <c r="BN15" s="20">
        <v>19</v>
      </c>
      <c r="BO15" s="20">
        <v>5.2</v>
      </c>
      <c r="BP15" s="20">
        <v>0</v>
      </c>
      <c r="BQ15" s="20">
        <v>0</v>
      </c>
      <c r="BR15" s="20">
        <v>18.3</v>
      </c>
      <c r="BS15" s="20">
        <v>5.2</v>
      </c>
      <c r="BT15" s="20">
        <v>0.2</v>
      </c>
      <c r="BU15" s="20">
        <v>0</v>
      </c>
      <c r="BV15" s="20">
        <v>15.3</v>
      </c>
      <c r="BW15" s="20">
        <v>0</v>
      </c>
      <c r="BX15" s="20">
        <v>0</v>
      </c>
      <c r="BY15" s="20">
        <v>0</v>
      </c>
      <c r="BZ15" s="32"/>
      <c r="CA15" s="55">
        <f t="shared" si="21"/>
        <v>8</v>
      </c>
      <c r="CB15" s="55">
        <f t="shared" si="22"/>
        <v>42.2</v>
      </c>
      <c r="CC15" s="55">
        <f t="shared" si="23"/>
        <v>5.2</v>
      </c>
      <c r="CD15" s="55">
        <f t="shared" si="24"/>
        <v>38.599999999999994</v>
      </c>
      <c r="CE15" s="55">
        <f t="shared" si="25"/>
        <v>80.8</v>
      </c>
      <c r="CF15" s="56" t="str">
        <f t="shared" si="26"/>
        <v/>
      </c>
      <c r="CG15" s="56" t="str">
        <f t="shared" si="27"/>
        <v/>
      </c>
      <c r="CH15" s="18"/>
      <c r="CI15" s="18"/>
      <c r="CJ15" s="18"/>
      <c r="CK15" s="18"/>
      <c r="CL15" s="18"/>
      <c r="CM15" s="18"/>
      <c r="CN15" s="18"/>
      <c r="CO15" s="18"/>
      <c r="CP15" s="18"/>
      <c r="CQ15" s="18"/>
      <c r="CR15" s="18"/>
      <c r="CS15" s="18"/>
      <c r="CT15" s="18"/>
      <c r="CU15" s="18"/>
      <c r="CV15" s="18"/>
      <c r="CW15" s="18"/>
      <c r="CX15" s="18"/>
      <c r="CY15" s="18"/>
      <c r="CZ15" s="18"/>
      <c r="DA15" s="18"/>
      <c r="DB15" s="55" t="str">
        <f t="shared" si="28"/>
        <v/>
      </c>
      <c r="DC15" s="55" t="str">
        <f t="shared" si="29"/>
        <v/>
      </c>
      <c r="DD15" s="55" t="str">
        <f t="shared" si="30"/>
        <v/>
      </c>
      <c r="DE15" s="55" t="str">
        <f t="shared" si="31"/>
        <v/>
      </c>
      <c r="DF15" s="55" t="str">
        <f t="shared" si="32"/>
        <v/>
      </c>
      <c r="DG15" s="55" t="str">
        <f t="shared" si="33"/>
        <v/>
      </c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4" t="str">
        <f t="shared" si="34"/>
        <v/>
      </c>
      <c r="EC15" s="14" t="str">
        <f t="shared" si="35"/>
        <v/>
      </c>
      <c r="ED15" s="14" t="str">
        <f t="shared" si="36"/>
        <v/>
      </c>
      <c r="EE15" s="14" t="str">
        <f t="shared" si="37"/>
        <v/>
      </c>
      <c r="EF15" s="14" t="str">
        <f t="shared" si="38"/>
        <v/>
      </c>
      <c r="EG15" s="14" t="str">
        <f t="shared" si="39"/>
        <v/>
      </c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55" t="str">
        <f t="shared" si="40"/>
        <v/>
      </c>
      <c r="FC15" s="55" t="str">
        <f t="shared" si="41"/>
        <v/>
      </c>
      <c r="FD15" s="55" t="str">
        <f t="shared" si="42"/>
        <v/>
      </c>
      <c r="FE15" s="55" t="str">
        <f t="shared" si="43"/>
        <v/>
      </c>
      <c r="FF15" s="55" t="str">
        <f t="shared" si="44"/>
        <v/>
      </c>
      <c r="FG15" s="55" t="str">
        <f t="shared" si="45"/>
        <v/>
      </c>
      <c r="FH15" s="19"/>
      <c r="FI15" s="19"/>
      <c r="FJ15" s="19"/>
      <c r="FK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  <c r="FZ15" s="19"/>
      <c r="GA15" s="19"/>
      <c r="GB15" s="14" t="str">
        <f t="shared" si="46"/>
        <v/>
      </c>
      <c r="GC15" s="14" t="str">
        <f t="shared" si="47"/>
        <v/>
      </c>
      <c r="GD15" s="14" t="str">
        <f t="shared" si="48"/>
        <v/>
      </c>
      <c r="GE15" s="14" t="str">
        <f t="shared" si="49"/>
        <v/>
      </c>
      <c r="GF15" s="14" t="str">
        <f t="shared" si="50"/>
        <v/>
      </c>
      <c r="GG15" s="14" t="str">
        <f t="shared" si="51"/>
        <v/>
      </c>
      <c r="GH15" s="18"/>
      <c r="GI15" s="18"/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55" t="str">
        <f t="shared" si="52"/>
        <v/>
      </c>
      <c r="HC15" s="55" t="str">
        <f t="shared" si="53"/>
        <v/>
      </c>
      <c r="HD15" s="55" t="str">
        <f t="shared" si="54"/>
        <v/>
      </c>
      <c r="HE15" s="55" t="str">
        <f t="shared" si="55"/>
        <v/>
      </c>
      <c r="HF15" s="55" t="str">
        <f t="shared" si="56"/>
        <v/>
      </c>
      <c r="HG15" s="55" t="str">
        <f t="shared" si="57"/>
        <v/>
      </c>
      <c r="HH15" s="19"/>
      <c r="HI15" s="19"/>
      <c r="HJ15" s="19"/>
      <c r="HK15" s="19"/>
      <c r="HL15" s="19"/>
      <c r="HM15" s="19"/>
      <c r="HN15" s="19"/>
      <c r="HO15" s="19"/>
      <c r="HP15" s="19"/>
      <c r="HQ15" s="19"/>
      <c r="HR15" s="19"/>
      <c r="HS15" s="19"/>
      <c r="HT15" s="19"/>
      <c r="HU15" s="19"/>
      <c r="HV15" s="19"/>
      <c r="HW15" s="19"/>
      <c r="HX15" s="19"/>
      <c r="HY15" s="19"/>
      <c r="HZ15" s="19"/>
      <c r="IA15" s="19"/>
      <c r="IB15" s="14" t="str">
        <f t="shared" si="58"/>
        <v/>
      </c>
      <c r="IC15" s="14" t="str">
        <f t="shared" si="59"/>
        <v/>
      </c>
      <c r="ID15" s="14" t="str">
        <f t="shared" si="60"/>
        <v/>
      </c>
      <c r="IE15" s="14" t="str">
        <f t="shared" si="61"/>
        <v/>
      </c>
      <c r="IF15" s="14" t="str">
        <f t="shared" si="62"/>
        <v/>
      </c>
      <c r="IG15" s="14" t="str">
        <f t="shared" si="63"/>
        <v/>
      </c>
      <c r="IH15" s="18"/>
      <c r="II15" s="18"/>
      <c r="IJ15" s="18"/>
      <c r="IK15" s="18"/>
      <c r="IL15" s="18"/>
      <c r="IM15" s="18"/>
      <c r="IN15" s="18"/>
      <c r="IO15" s="18"/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55" t="str">
        <f t="shared" si="64"/>
        <v/>
      </c>
      <c r="JC15" s="55" t="str">
        <f t="shared" si="65"/>
        <v/>
      </c>
      <c r="JD15" s="55" t="str">
        <f t="shared" si="66"/>
        <v/>
      </c>
      <c r="JE15" s="55" t="str">
        <f t="shared" si="67"/>
        <v/>
      </c>
      <c r="JF15" s="55" t="str">
        <f t="shared" si="68"/>
        <v/>
      </c>
      <c r="JG15" s="55" t="str">
        <f t="shared" si="69"/>
        <v/>
      </c>
      <c r="JH15" s="19"/>
      <c r="JI15" s="19"/>
      <c r="JJ15" s="19"/>
      <c r="JK15" s="19"/>
      <c r="JL15" s="19"/>
      <c r="JM15" s="19"/>
      <c r="JN15" s="19"/>
      <c r="JO15" s="19"/>
      <c r="JP15" s="19"/>
      <c r="JQ15" s="19"/>
      <c r="JR15" s="19"/>
      <c r="JS15" s="19"/>
      <c r="JT15" s="19"/>
      <c r="JU15" s="19"/>
      <c r="JV15" s="19"/>
      <c r="JW15" s="19"/>
      <c r="JX15" s="19"/>
      <c r="JY15" s="19"/>
      <c r="JZ15" s="19"/>
      <c r="KA15" s="19"/>
      <c r="KB15" s="14" t="str">
        <f t="shared" si="70"/>
        <v/>
      </c>
      <c r="KC15" s="14" t="str">
        <f t="shared" si="71"/>
        <v/>
      </c>
      <c r="KD15" s="14" t="str">
        <f t="shared" si="72"/>
        <v/>
      </c>
      <c r="KE15" s="14" t="str">
        <f t="shared" si="73"/>
        <v/>
      </c>
      <c r="KF15" s="14" t="str">
        <f t="shared" si="74"/>
        <v/>
      </c>
      <c r="KG15" s="14" t="str">
        <f t="shared" si="75"/>
        <v/>
      </c>
      <c r="KH15" s="18"/>
      <c r="KI15" s="18"/>
      <c r="KJ15" s="18"/>
      <c r="KK15" s="18"/>
      <c r="KL15" s="18"/>
      <c r="KM15" s="18"/>
      <c r="KN15" s="18"/>
      <c r="KO15" s="18"/>
      <c r="KP15" s="18"/>
      <c r="KQ15" s="18"/>
      <c r="KR15" s="18"/>
      <c r="KS15" s="18"/>
      <c r="KT15" s="18"/>
      <c r="KU15" s="18"/>
      <c r="KV15" s="18"/>
      <c r="KW15" s="18"/>
      <c r="KX15" s="18"/>
      <c r="KY15" s="18"/>
      <c r="KZ15" s="18"/>
      <c r="LA15" s="18"/>
      <c r="LB15" s="55" t="str">
        <f t="shared" si="76"/>
        <v/>
      </c>
      <c r="LC15" s="55" t="str">
        <f t="shared" si="77"/>
        <v/>
      </c>
      <c r="LD15" s="55" t="str">
        <f t="shared" si="78"/>
        <v/>
      </c>
      <c r="LE15" s="55" t="str">
        <f t="shared" si="79"/>
        <v/>
      </c>
      <c r="LF15" s="55" t="str">
        <f t="shared" si="80"/>
        <v/>
      </c>
      <c r="LG15" s="55" t="str">
        <f t="shared" si="81"/>
        <v/>
      </c>
      <c r="LH15" s="19"/>
      <c r="LI15" s="19"/>
      <c r="LJ15" s="19"/>
      <c r="LK15" s="19"/>
      <c r="LL15" s="19"/>
      <c r="LM15" s="19"/>
      <c r="LN15" s="19"/>
      <c r="LO15" s="19"/>
      <c r="LP15" s="19"/>
      <c r="LQ15" s="19"/>
      <c r="LR15" s="19"/>
      <c r="LS15" s="19"/>
      <c r="LT15" s="19"/>
      <c r="LU15" s="19"/>
      <c r="LV15" s="19"/>
      <c r="LW15" s="19"/>
      <c r="LX15" s="19"/>
      <c r="LY15" s="19"/>
      <c r="LZ15" s="19"/>
      <c r="MA15" s="19"/>
      <c r="MB15" s="14" t="str">
        <f t="shared" si="82"/>
        <v/>
      </c>
      <c r="MC15" s="14" t="str">
        <f t="shared" si="83"/>
        <v/>
      </c>
      <c r="MD15" s="14" t="str">
        <f t="shared" si="84"/>
        <v/>
      </c>
      <c r="ME15" s="14" t="str">
        <f t="shared" si="85"/>
        <v/>
      </c>
      <c r="MF15" s="14" t="str">
        <f t="shared" si="86"/>
        <v/>
      </c>
      <c r="MG15" s="14" t="str">
        <f t="shared" si="87"/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55" t="str">
        <f t="shared" si="88"/>
        <v/>
      </c>
      <c r="NC15" s="55" t="str">
        <f t="shared" si="89"/>
        <v/>
      </c>
      <c r="ND15" s="55" t="str">
        <f t="shared" si="90"/>
        <v/>
      </c>
      <c r="NE15" s="55" t="str">
        <f t="shared" si="91"/>
        <v/>
      </c>
      <c r="NF15" s="55" t="str">
        <f t="shared" si="92"/>
        <v/>
      </c>
      <c r="NG15" s="55" t="str">
        <f t="shared" si="93"/>
        <v/>
      </c>
      <c r="NH15" s="19"/>
      <c r="NI15" s="19"/>
      <c r="NJ15" s="19"/>
      <c r="NK15" s="19"/>
      <c r="NL15" s="19"/>
      <c r="NM15" s="19"/>
      <c r="NN15" s="19"/>
      <c r="NO15" s="19"/>
      <c r="NP15" s="19"/>
      <c r="NQ15" s="19"/>
      <c r="NR15" s="19"/>
      <c r="NS15" s="19"/>
      <c r="NT15" s="19"/>
      <c r="NU15" s="19"/>
      <c r="NV15" s="19"/>
      <c r="NW15" s="19"/>
      <c r="NX15" s="19"/>
      <c r="NY15" s="19"/>
      <c r="NZ15" s="19"/>
      <c r="OA15" s="19"/>
      <c r="OB15" s="14" t="str">
        <f t="shared" si="94"/>
        <v/>
      </c>
      <c r="OC15" s="14" t="str">
        <f t="shared" si="95"/>
        <v/>
      </c>
      <c r="OD15" s="14" t="str">
        <f t="shared" si="96"/>
        <v/>
      </c>
      <c r="OE15" s="14" t="str">
        <f t="shared" si="97"/>
        <v/>
      </c>
      <c r="OF15" s="14" t="str">
        <f t="shared" si="98"/>
        <v/>
      </c>
      <c r="OG15" s="14" t="str">
        <f t="shared" si="99"/>
        <v/>
      </c>
      <c r="OH15" s="27">
        <f t="shared" si="100"/>
        <v>7.6</v>
      </c>
      <c r="OI15" s="27">
        <f t="shared" si="101"/>
        <v>1.4</v>
      </c>
      <c r="OJ15" s="27">
        <f t="shared" si="102"/>
        <v>0</v>
      </c>
      <c r="OK15" s="27">
        <f t="shared" si="103"/>
        <v>0</v>
      </c>
      <c r="OL15" s="27">
        <f t="shared" si="104"/>
        <v>9.5</v>
      </c>
      <c r="OM15" s="27">
        <f t="shared" si="105"/>
        <v>2.6</v>
      </c>
      <c r="ON15" s="27">
        <f t="shared" si="106"/>
        <v>0</v>
      </c>
      <c r="OO15" s="27">
        <f t="shared" si="107"/>
        <v>0</v>
      </c>
      <c r="OP15" s="27">
        <f t="shared" si="108"/>
        <v>9.15</v>
      </c>
      <c r="OQ15" s="27">
        <f t="shared" si="109"/>
        <v>2.6</v>
      </c>
      <c r="OR15" s="27">
        <f t="shared" si="110"/>
        <v>0.1</v>
      </c>
      <c r="OS15" s="27">
        <f t="shared" si="111"/>
        <v>0</v>
      </c>
      <c r="OT15" s="27">
        <f t="shared" si="112"/>
        <v>7.65</v>
      </c>
      <c r="OU15" s="27">
        <f t="shared" si="113"/>
        <v>0</v>
      </c>
      <c r="OV15" s="27">
        <f t="shared" si="114"/>
        <v>0</v>
      </c>
      <c r="OW15" s="27">
        <f t="shared" si="115"/>
        <v>0</v>
      </c>
      <c r="OX15" s="32" t="s">
        <v>44</v>
      </c>
      <c r="OY15" s="55">
        <f t="shared" si="116"/>
        <v>4</v>
      </c>
      <c r="OZ15" s="55">
        <f t="shared" si="117"/>
        <v>21.1</v>
      </c>
      <c r="PA15" s="55">
        <f t="shared" si="118"/>
        <v>2.6</v>
      </c>
      <c r="PB15" s="55">
        <f t="shared" si="119"/>
        <v>19.299999999999997</v>
      </c>
      <c r="PC15" s="55">
        <f t="shared" si="120"/>
        <v>40.4</v>
      </c>
    </row>
    <row r="16" spans="1:419" ht="17" x14ac:dyDescent="0.2">
      <c r="O16" s="11"/>
      <c r="P16" s="11"/>
      <c r="Q16" s="11"/>
    </row>
    <row r="17" spans="1:397" ht="17" x14ac:dyDescent="0.2">
      <c r="O17" s="11"/>
      <c r="P17" s="11"/>
      <c r="Q17" s="11"/>
    </row>
    <row r="18" spans="1:397" ht="17" x14ac:dyDescent="0.2">
      <c r="B18" s="28" t="s">
        <v>42</v>
      </c>
      <c r="O18" s="11"/>
      <c r="P18" s="11"/>
      <c r="Q18" s="11"/>
      <c r="AI18" s="4"/>
      <c r="AM18" s="57">
        <v>13.2</v>
      </c>
      <c r="BE18" s="4"/>
      <c r="BI18" s="57">
        <v>13.2</v>
      </c>
      <c r="CA18" s="4"/>
      <c r="CE18" s="57">
        <v>13.2</v>
      </c>
      <c r="DB18" s="4"/>
      <c r="DG18" s="57">
        <v>13.2</v>
      </c>
      <c r="EB18" s="4"/>
      <c r="EG18" s="57">
        <v>13.2</v>
      </c>
      <c r="FB18" s="4"/>
      <c r="FG18" s="57">
        <v>13.2</v>
      </c>
      <c r="GB18" s="4"/>
      <c r="GG18" s="57">
        <v>13.2</v>
      </c>
      <c r="HB18" s="4"/>
      <c r="HG18" s="57">
        <v>13.2</v>
      </c>
      <c r="IB18" s="4"/>
      <c r="IG18" s="57">
        <v>13.2</v>
      </c>
      <c r="JB18" s="4"/>
      <c r="JG18" s="57">
        <v>13.2</v>
      </c>
      <c r="KB18" s="4"/>
      <c r="KG18" s="57">
        <v>13.2</v>
      </c>
      <c r="LB18" s="4"/>
      <c r="LG18" s="57">
        <v>13.2</v>
      </c>
      <c r="MB18" s="4"/>
      <c r="MG18" s="57">
        <v>13.2</v>
      </c>
      <c r="NB18" s="4"/>
      <c r="NG18" s="57">
        <v>13.2</v>
      </c>
      <c r="OB18" s="4"/>
      <c r="OG18" s="57">
        <v>13.2</v>
      </c>
    </row>
    <row r="19" spans="1:397" ht="17" hidden="1" x14ac:dyDescent="0.2">
      <c r="B19" s="35" t="s">
        <v>41</v>
      </c>
      <c r="O19" s="11"/>
      <c r="P19" s="11"/>
      <c r="Q19" s="11"/>
      <c r="AI19" s="4"/>
      <c r="AM19" s="58">
        <v>1000</v>
      </c>
      <c r="BE19" s="4"/>
      <c r="BI19" s="58">
        <v>1000</v>
      </c>
      <c r="CA19" s="4"/>
      <c r="CE19" s="58">
        <v>1000</v>
      </c>
      <c r="DB19" s="4"/>
      <c r="DG19" s="58">
        <v>1000</v>
      </c>
      <c r="EB19" s="4"/>
      <c r="EG19" s="58">
        <v>1000</v>
      </c>
      <c r="FB19" s="4"/>
      <c r="FG19" s="58">
        <v>1000</v>
      </c>
      <c r="GB19" s="4"/>
      <c r="GG19" s="58">
        <v>1000</v>
      </c>
      <c r="HB19" s="4"/>
      <c r="HG19" s="58">
        <v>1000</v>
      </c>
      <c r="IB19" s="4"/>
      <c r="IG19" s="58">
        <v>1000</v>
      </c>
      <c r="JB19" s="4"/>
      <c r="JG19" s="58">
        <v>1000</v>
      </c>
      <c r="KB19" s="4"/>
      <c r="KG19" s="58">
        <v>1000</v>
      </c>
      <c r="LB19" s="4"/>
      <c r="LG19" s="58">
        <v>1000</v>
      </c>
      <c r="MB19" s="4"/>
      <c r="MG19" s="58">
        <v>1000</v>
      </c>
      <c r="NB19" s="4"/>
      <c r="NG19" s="58">
        <v>1000</v>
      </c>
      <c r="OB19" s="4"/>
      <c r="OG19" s="58">
        <v>1000</v>
      </c>
    </row>
    <row r="20" spans="1:397" ht="17" hidden="1" x14ac:dyDescent="0.2">
      <c r="A20" s="5"/>
      <c r="B20" s="36" t="s">
        <v>54</v>
      </c>
      <c r="C20" s="22"/>
      <c r="O20" s="11"/>
      <c r="P20" s="11"/>
      <c r="Q20" s="11"/>
      <c r="AI20" s="4"/>
      <c r="AM20" s="59">
        <v>1000</v>
      </c>
      <c r="BE20" s="4"/>
      <c r="BI20" s="59">
        <v>1000</v>
      </c>
      <c r="CA20" s="4"/>
      <c r="CE20" s="59">
        <v>1000</v>
      </c>
      <c r="DB20" s="4"/>
      <c r="DG20" s="59">
        <v>1000</v>
      </c>
      <c r="EB20" s="4"/>
      <c r="EG20" s="59">
        <v>1000</v>
      </c>
      <c r="FB20" s="4"/>
      <c r="FG20" s="59">
        <v>1000</v>
      </c>
      <c r="GB20" s="4"/>
      <c r="GG20" s="59">
        <v>1000</v>
      </c>
      <c r="HB20" s="4"/>
      <c r="HG20" s="59">
        <v>1000</v>
      </c>
      <c r="IB20" s="4"/>
      <c r="IG20" s="59">
        <v>1000</v>
      </c>
      <c r="JB20" s="4"/>
      <c r="JG20" s="59">
        <v>1000</v>
      </c>
      <c r="KB20" s="4"/>
      <c r="KG20" s="59">
        <v>1000</v>
      </c>
      <c r="LB20" s="4"/>
      <c r="LG20" s="59">
        <v>1000</v>
      </c>
      <c r="MB20" s="4"/>
      <c r="MG20" s="59">
        <v>1000</v>
      </c>
      <c r="NB20" s="4"/>
      <c r="NG20" s="59">
        <v>1000</v>
      </c>
      <c r="OB20" s="4"/>
      <c r="OG20" s="59">
        <v>1000</v>
      </c>
    </row>
    <row r="21" spans="1:397" ht="17" hidden="1" x14ac:dyDescent="0.2">
      <c r="A21" s="5"/>
      <c r="B21" s="44" t="s">
        <v>59</v>
      </c>
      <c r="C21" s="22"/>
      <c r="O21" s="11"/>
      <c r="P21" s="11"/>
      <c r="Q21" s="11"/>
      <c r="AI21" s="4"/>
      <c r="AM21" s="65">
        <v>1000</v>
      </c>
      <c r="BE21" s="4"/>
      <c r="BI21" s="65">
        <v>1000</v>
      </c>
      <c r="CA21" s="4"/>
      <c r="CE21" s="65">
        <v>1000</v>
      </c>
      <c r="DB21" s="4"/>
      <c r="DG21" s="65">
        <v>1000</v>
      </c>
      <c r="EB21" s="4"/>
      <c r="EG21" s="65">
        <v>1000</v>
      </c>
      <c r="FB21" s="4"/>
      <c r="FG21" s="65">
        <v>1000</v>
      </c>
      <c r="GB21" s="4"/>
      <c r="GG21" s="65">
        <v>1000</v>
      </c>
      <c r="HB21" s="4"/>
      <c r="HG21" s="65">
        <v>1000</v>
      </c>
      <c r="IB21" s="4"/>
      <c r="IG21" s="65">
        <v>1000</v>
      </c>
      <c r="JB21" s="4"/>
      <c r="JG21" s="65">
        <v>1000</v>
      </c>
      <c r="KB21" s="4"/>
      <c r="KG21" s="65">
        <v>1000</v>
      </c>
      <c r="LB21" s="4"/>
      <c r="LG21" s="65">
        <v>1000</v>
      </c>
      <c r="MB21" s="4"/>
      <c r="MG21" s="65">
        <v>1000</v>
      </c>
      <c r="NB21" s="4"/>
      <c r="NG21" s="65">
        <v>1000</v>
      </c>
      <c r="OB21" s="4"/>
      <c r="OG21" s="65">
        <v>1000</v>
      </c>
    </row>
    <row r="22" spans="1:397" ht="17" x14ac:dyDescent="0.2">
      <c r="A22" s="5"/>
      <c r="B22" s="42" t="s">
        <v>39</v>
      </c>
      <c r="C22" s="22"/>
      <c r="O22" s="11"/>
      <c r="P22" s="11"/>
      <c r="Q22" s="11"/>
      <c r="AI22" s="4"/>
      <c r="AM22" s="66">
        <v>50</v>
      </c>
      <c r="BE22" s="4"/>
      <c r="BI22" s="66">
        <v>50</v>
      </c>
      <c r="CA22" s="4"/>
      <c r="CE22" s="66">
        <v>50</v>
      </c>
      <c r="DB22" s="4"/>
      <c r="DG22" s="66">
        <v>50</v>
      </c>
      <c r="EB22" s="4"/>
      <c r="EG22" s="66">
        <v>50</v>
      </c>
      <c r="FB22" s="4"/>
      <c r="FG22" s="66">
        <v>50</v>
      </c>
      <c r="GB22" s="4"/>
      <c r="GG22" s="66">
        <v>50</v>
      </c>
      <c r="HB22" s="4"/>
      <c r="HG22" s="66">
        <v>50</v>
      </c>
      <c r="IB22" s="4"/>
      <c r="IG22" s="66">
        <v>50</v>
      </c>
      <c r="JB22" s="4"/>
      <c r="JG22" s="66">
        <v>50</v>
      </c>
      <c r="KB22" s="4"/>
      <c r="KG22" s="66">
        <v>50</v>
      </c>
      <c r="LB22" s="4"/>
      <c r="LG22" s="66">
        <v>50</v>
      </c>
      <c r="MB22" s="4"/>
      <c r="MG22" s="66">
        <v>50</v>
      </c>
      <c r="NB22" s="4"/>
      <c r="NG22" s="66">
        <v>50</v>
      </c>
      <c r="OB22" s="4"/>
      <c r="OG22" s="66">
        <v>50</v>
      </c>
    </row>
    <row r="23" spans="1:397" ht="17" hidden="1" x14ac:dyDescent="0.2">
      <c r="A23" s="5"/>
      <c r="B23" s="29" t="s">
        <v>40</v>
      </c>
      <c r="C23" s="22"/>
      <c r="O23" s="11"/>
      <c r="P23" s="11"/>
      <c r="Q23" s="11"/>
      <c r="AI23" s="4"/>
      <c r="AM23" s="62">
        <v>1000</v>
      </c>
      <c r="BE23" s="4"/>
      <c r="BI23" s="62">
        <v>1000</v>
      </c>
      <c r="CA23" s="4"/>
      <c r="CE23" s="62">
        <v>1000</v>
      </c>
      <c r="DB23" s="4"/>
      <c r="DG23" s="62">
        <v>1000</v>
      </c>
      <c r="EB23" s="4"/>
      <c r="EG23" s="62">
        <v>1000</v>
      </c>
      <c r="FB23" s="4"/>
      <c r="FG23" s="62">
        <v>1000</v>
      </c>
      <c r="GB23" s="4"/>
      <c r="GG23" s="62">
        <v>1000</v>
      </c>
      <c r="HB23" s="4"/>
      <c r="HG23" s="62">
        <v>1000</v>
      </c>
      <c r="IB23" s="4"/>
      <c r="IG23" s="62">
        <v>1000</v>
      </c>
      <c r="JB23" s="4"/>
      <c r="JG23" s="62">
        <v>1000</v>
      </c>
      <c r="KB23" s="4"/>
      <c r="KG23" s="62">
        <v>1000</v>
      </c>
      <c r="LB23" s="4"/>
      <c r="LG23" s="62">
        <v>1000</v>
      </c>
      <c r="MB23" s="4"/>
      <c r="MG23" s="62">
        <v>1000</v>
      </c>
      <c r="NB23" s="4"/>
      <c r="NG23" s="62">
        <v>1000</v>
      </c>
      <c r="OB23" s="4"/>
      <c r="OG23" s="62">
        <v>1000</v>
      </c>
    </row>
    <row r="24" spans="1:397" ht="17" hidden="1" x14ac:dyDescent="0.2">
      <c r="A24" s="5"/>
      <c r="B24" s="40" t="s">
        <v>53</v>
      </c>
      <c r="C24" s="22"/>
      <c r="O24" s="11"/>
      <c r="P24" s="11"/>
      <c r="Q24" s="11"/>
      <c r="AI24" s="4"/>
      <c r="AM24" s="63">
        <v>1000</v>
      </c>
      <c r="BE24" s="4"/>
      <c r="BI24" s="63">
        <v>1000</v>
      </c>
      <c r="CA24" s="4"/>
      <c r="CE24" s="63">
        <v>1000</v>
      </c>
      <c r="DB24" s="4"/>
      <c r="DG24" s="63">
        <v>1000</v>
      </c>
      <c r="EB24" s="4"/>
      <c r="EG24" s="63">
        <v>1000</v>
      </c>
      <c r="FB24" s="4"/>
      <c r="FG24" s="63">
        <v>1000</v>
      </c>
      <c r="GB24" s="4"/>
      <c r="GG24" s="63">
        <v>1000</v>
      </c>
      <c r="HB24" s="4"/>
      <c r="HG24" s="63">
        <v>1000</v>
      </c>
      <c r="IB24" s="4"/>
      <c r="IG24" s="63">
        <v>1000</v>
      </c>
      <c r="JB24" s="4"/>
      <c r="JG24" s="63">
        <v>1000</v>
      </c>
      <c r="KB24" s="4"/>
      <c r="KG24" s="63">
        <v>1000</v>
      </c>
      <c r="LB24" s="4"/>
      <c r="LG24" s="63">
        <v>1000</v>
      </c>
      <c r="MB24" s="4"/>
      <c r="MG24" s="63">
        <v>1000</v>
      </c>
      <c r="NB24" s="4"/>
      <c r="NG24" s="63">
        <v>1000</v>
      </c>
      <c r="OB24" s="4"/>
      <c r="OG24" s="63">
        <v>1000</v>
      </c>
    </row>
    <row r="25" spans="1:397" ht="17" hidden="1" x14ac:dyDescent="0.2">
      <c r="A25" s="5"/>
      <c r="B25" s="30" t="s">
        <v>26</v>
      </c>
      <c r="C25" s="22"/>
      <c r="O25" s="11"/>
      <c r="P25" s="11"/>
      <c r="Q25" s="11"/>
      <c r="AI25" s="4"/>
      <c r="AM25" s="64">
        <v>1000</v>
      </c>
      <c r="BE25" s="4"/>
      <c r="BI25" s="64">
        <v>1000</v>
      </c>
      <c r="CA25" s="4"/>
      <c r="CE25" s="64">
        <v>1000</v>
      </c>
      <c r="DB25" s="4"/>
      <c r="DG25" s="64">
        <v>1000</v>
      </c>
      <c r="EB25" s="4"/>
      <c r="EG25" s="64">
        <v>1000</v>
      </c>
      <c r="FB25" s="4"/>
      <c r="FG25" s="64">
        <v>1000</v>
      </c>
      <c r="GB25" s="4"/>
      <c r="GG25" s="64">
        <v>1000</v>
      </c>
      <c r="HB25" s="4"/>
      <c r="HG25" s="64">
        <v>1000</v>
      </c>
      <c r="IB25" s="4"/>
      <c r="IG25" s="64">
        <v>1000</v>
      </c>
      <c r="JB25" s="4"/>
      <c r="JG25" s="64">
        <v>1000</v>
      </c>
      <c r="KB25" s="4"/>
      <c r="KG25" s="64">
        <v>1000</v>
      </c>
      <c r="LB25" s="4"/>
      <c r="LG25" s="64">
        <v>1000</v>
      </c>
      <c r="MB25" s="4"/>
      <c r="MG25" s="64">
        <v>1000</v>
      </c>
      <c r="NB25" s="4"/>
      <c r="NG25" s="64">
        <v>1000</v>
      </c>
      <c r="OB25" s="4"/>
      <c r="OG25" s="64">
        <v>1000</v>
      </c>
    </row>
    <row r="26" spans="1:397" x14ac:dyDescent="0.2">
      <c r="B26" s="34" t="s">
        <v>45</v>
      </c>
      <c r="C26" s="2"/>
    </row>
    <row r="27" spans="1:397" x14ac:dyDescent="0.2">
      <c r="A27" s="5"/>
      <c r="B27" s="5"/>
      <c r="C27" s="22"/>
    </row>
    <row r="28" spans="1:397" x14ac:dyDescent="0.2">
      <c r="A28" s="5"/>
      <c r="B28" s="5"/>
      <c r="C28" s="22"/>
    </row>
    <row r="29" spans="1:397" x14ac:dyDescent="0.2">
      <c r="A29" s="5"/>
      <c r="B29" s="5"/>
      <c r="C29" s="22"/>
    </row>
    <row r="30" spans="1:397" x14ac:dyDescent="0.2">
      <c r="A30" s="5"/>
      <c r="B30" s="5"/>
      <c r="C30" s="5"/>
    </row>
  </sheetData>
  <sheetProtection sheet="1" formatCells="0" formatColumns="0" formatRows="0"/>
  <autoFilter ref="A1:PC3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3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sortState xmlns:xlrd2="http://schemas.microsoft.com/office/spreadsheetml/2017/richdata2" ref="A6:PC15">
      <sortCondition descending="1" ref="F1:F16"/>
    </sortState>
  </autoFilter>
  <mergeCells count="110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H1:OG1"/>
    <mergeCell ref="OH1:PC1"/>
    <mergeCell ref="R2:U2"/>
    <mergeCell ref="V2:Y2"/>
    <mergeCell ref="Z2:AC2"/>
    <mergeCell ref="AD2:AG2"/>
    <mergeCell ref="EH1:FG1"/>
    <mergeCell ref="FH1:GG1"/>
    <mergeCell ref="GH1:HG1"/>
    <mergeCell ref="HH1:IG1"/>
    <mergeCell ref="IH1:JG1"/>
    <mergeCell ref="JH1:KG1"/>
    <mergeCell ref="R1:AM1"/>
    <mergeCell ref="AN1:BI1"/>
    <mergeCell ref="BJ1:CE1"/>
    <mergeCell ref="CF1:CG1"/>
    <mergeCell ref="CH1:DG1"/>
    <mergeCell ref="DH1:EG1"/>
    <mergeCell ref="AN2:AQ2"/>
    <mergeCell ref="AR2:AU2"/>
    <mergeCell ref="AV2:AY2"/>
    <mergeCell ref="AZ2:BC2"/>
    <mergeCell ref="BJ2:BM2"/>
    <mergeCell ref="KH1:LG1"/>
    <mergeCell ref="LH1:MG1"/>
    <mergeCell ref="MH1:NG1"/>
    <mergeCell ref="CP2:CS2"/>
    <mergeCell ref="CT2:CW2"/>
    <mergeCell ref="CX2:DA2"/>
    <mergeCell ref="DH2:DK2"/>
    <mergeCell ref="DL2:DO2"/>
    <mergeCell ref="DP2:DS2"/>
    <mergeCell ref="BN2:BQ2"/>
    <mergeCell ref="BR2:BU2"/>
    <mergeCell ref="BV2:BY2"/>
    <mergeCell ref="CH2:CK2"/>
    <mergeCell ref="CL2:CO2"/>
    <mergeCell ref="EX2:FA2"/>
    <mergeCell ref="FH2:FK2"/>
    <mergeCell ref="FL2:FO2"/>
    <mergeCell ref="FP2:FS2"/>
    <mergeCell ref="FT2:FW2"/>
    <mergeCell ref="FX2:GA2"/>
    <mergeCell ref="DT2:DW2"/>
    <mergeCell ref="DX2:EA2"/>
    <mergeCell ref="EH2:EK2"/>
    <mergeCell ref="EL2:EO2"/>
    <mergeCell ref="EP2:ES2"/>
    <mergeCell ref="IP2:IS2"/>
    <mergeCell ref="IT2:IW2"/>
    <mergeCell ref="IX2:JA2"/>
    <mergeCell ref="JH2:JK2"/>
    <mergeCell ref="JL2:JO2"/>
    <mergeCell ref="JP2:JS2"/>
    <mergeCell ref="ET2:EW2"/>
    <mergeCell ref="HL2:HO2"/>
    <mergeCell ref="HP2:HS2"/>
    <mergeCell ref="HT2:HW2"/>
    <mergeCell ref="HX2:IA2"/>
    <mergeCell ref="IH2:IK2"/>
    <mergeCell ref="IL2:IO2"/>
    <mergeCell ref="GH2:GK2"/>
    <mergeCell ref="GL2:GO2"/>
    <mergeCell ref="GP2:GS2"/>
    <mergeCell ref="GT2:GW2"/>
    <mergeCell ref="GX2:HA2"/>
    <mergeCell ref="HH2:HK2"/>
    <mergeCell ref="KX2:LA2"/>
    <mergeCell ref="LH2:LK2"/>
    <mergeCell ref="LL2:LO2"/>
    <mergeCell ref="LP2:LS2"/>
    <mergeCell ref="LT2:LW2"/>
    <mergeCell ref="LX2:MA2"/>
    <mergeCell ref="JT2:JW2"/>
    <mergeCell ref="JX2:KA2"/>
    <mergeCell ref="KH2:KK2"/>
    <mergeCell ref="KL2:KO2"/>
    <mergeCell ref="KP2:KS2"/>
    <mergeCell ref="KT2:KW2"/>
    <mergeCell ref="OP2:OS2"/>
    <mergeCell ref="OT2:OW2"/>
    <mergeCell ref="NL2:NO2"/>
    <mergeCell ref="NP2:NS2"/>
    <mergeCell ref="NT2:NW2"/>
    <mergeCell ref="NX2:OA2"/>
    <mergeCell ref="OH2:OK2"/>
    <mergeCell ref="OL2:OO2"/>
    <mergeCell ref="MH2:MK2"/>
    <mergeCell ref="ML2:MO2"/>
    <mergeCell ref="MP2:MS2"/>
    <mergeCell ref="MT2:MW2"/>
    <mergeCell ref="MX2:NA2"/>
    <mergeCell ref="NH2:NK2"/>
  </mergeCells>
  <conditionalFormatting sqref="A4:A1048576">
    <cfRule type="expression" dxfId="73" priority="1">
      <formula>AND(G4&lt;&gt;"",F4="")</formula>
    </cfRule>
    <cfRule type="expression" dxfId="72" priority="13" stopIfTrue="1">
      <formula>IF(A4&gt;4,1,0)</formula>
    </cfRule>
  </conditionalFormatting>
  <conditionalFormatting sqref="H1:H1048576">
    <cfRule type="containsText" dxfId="71" priority="5" operator="containsText" text="No DD">
      <formula>NOT(ISERROR(SEARCH("No DD",H1)))</formula>
    </cfRule>
    <cfRule type="containsText" dxfId="70" priority="6" operator="containsText" text="Merit">
      <formula>NOT(ISERROR(SEARCH("Merit",H1)))</formula>
    </cfRule>
    <cfRule type="containsText" dxfId="69" priority="7" operator="containsText" text="Excellence">
      <formula>NOT(ISERROR(SEARCH("Excellence",H1)))</formula>
    </cfRule>
    <cfRule type="containsText" dxfId="68" priority="8" operator="containsText" text="Worlds Team">
      <formula>NOT(ISERROR(SEARCH("Worlds Team",H1)))</formula>
    </cfRule>
    <cfRule type="containsText" dxfId="67" priority="9" operator="containsText" text="National Team">
      <formula>NOT(ISERROR(SEARCH("National Team",H1)))</formula>
    </cfRule>
  </conditionalFormatting>
  <conditionalFormatting sqref="OB1:OB1048576 DB1:DB1048576 EB1:EB1048576 FB1:FB1048576 GB1:GB1048576 HB1:HB1048576 IB1:IB1048576 JB1:JB1048576 KB1:KB1048576 LB1:LB1048576 MB1:MB1048576 NB1:NB1048576">
    <cfRule type="cellIs" dxfId="66" priority="69741" operator="between">
      <formula>DG$21</formula>
      <formula>1000</formula>
    </cfRule>
    <cfRule type="cellIs" dxfId="65" priority="69742" operator="between">
      <formula>DG$20</formula>
      <formula>DG$21</formula>
    </cfRule>
    <cfRule type="cellIs" dxfId="64" priority="69743" operator="between">
      <formula>DG$19</formula>
      <formula>DG$20</formula>
    </cfRule>
    <cfRule type="cellIs" dxfId="63" priority="69744" operator="between">
      <formula>DG$18</formula>
      <formula>DG$19</formula>
    </cfRule>
  </conditionalFormatting>
  <conditionalFormatting sqref="OC1:OC1048576 DC1:DC1048576 EC1:EC1048576 FC1:FC1048576 GC1:GC1048576 HC1:HC1048576 IC1:IC1048576 JC1:JC1048576 KC1:KC1048576 LC1:LC1048576 MC1:MC1048576 NC1:NC1048576">
    <cfRule type="cellIs" dxfId="62" priority="69921" operator="between">
      <formula>DG$25</formula>
      <formula>1000</formula>
    </cfRule>
    <cfRule type="cellIs" dxfId="61" priority="69922" operator="between">
      <formula>DG$24</formula>
      <formula>DG$25</formula>
    </cfRule>
    <cfRule type="cellIs" dxfId="60" priority="69923" operator="between">
      <formula>DG$23</formula>
      <formula>DG$24</formula>
    </cfRule>
    <cfRule type="cellIs" dxfId="59" priority="69924" operator="between">
      <formula>DG$22</formula>
      <formula>DG$23</formula>
    </cfRule>
  </conditionalFormatting>
  <conditionalFormatting sqref="AK1:AK1048576 BG1:BG1048576 CC1:CC1048576 DE1:DE1048576 EE1:EE1048576 FE1:FE1048576 GE1:GE1048576 HE1:HE1048576 IE1:IE1048576 JE1:JE1048576 KE1:KE1048576 LE1:LE1048576 ME1:ME1048576 NE1:NE1048576 OE1:OE1048576">
    <cfRule type="cellIs" dxfId="58" priority="70101" operator="between">
      <formula>AM$21</formula>
      <formula>1000</formula>
    </cfRule>
    <cfRule type="cellIs" dxfId="57" priority="70102" operator="between">
      <formula>AM$20</formula>
      <formula>AM$21</formula>
    </cfRule>
    <cfRule type="cellIs" dxfId="56" priority="70103" operator="between">
      <formula>AM$19</formula>
      <formula>AM$20</formula>
    </cfRule>
    <cfRule type="cellIs" dxfId="55" priority="70104" operator="between">
      <formula>AM$18</formula>
      <formula>AM$19</formula>
    </cfRule>
  </conditionalFormatting>
  <conditionalFormatting sqref="AL1:AL1048576 BH1:BH1048576 CD1:CD1048576 DF1:DF1048576 EF1:EF1048576 FF1:FF1048576 GF1:GF1048576 HF1:HF1048576 IF1:IF1048576 JF1:JF1048576 KF1:KF1048576 LF1:LF1048576 MF1:MF1048576 NF1:NF1048576 OF1:OF1048576">
    <cfRule type="cellIs" dxfId="54" priority="70281" operator="between">
      <formula>AM$22</formula>
      <formula>AM$23</formula>
    </cfRule>
    <cfRule type="cellIs" dxfId="53" priority="70282" operator="between">
      <formula>AM$23</formula>
      <formula>AM$24</formula>
    </cfRule>
    <cfRule type="cellIs" dxfId="52" priority="70283" operator="between">
      <formula>AM$24</formula>
      <formula>AM$25</formula>
    </cfRule>
    <cfRule type="cellIs" dxfId="51" priority="70284" operator="between">
      <formula>AM$25</formula>
      <formula>1000</formula>
    </cfRule>
  </conditionalFormatting>
  <conditionalFormatting sqref="R4:AM15">
    <cfRule type="expression" dxfId="50" priority="70433" stopIfTrue="1">
      <formula>IF($AH4&lt;&gt;"",1,0)</formula>
    </cfRule>
  </conditionalFormatting>
  <conditionalFormatting sqref="AI1:AI1048576 BE1:BE1048576 CA1:CA1048576">
    <cfRule type="cellIs" dxfId="49" priority="70438" operator="between">
      <formula>AM$21</formula>
      <formula>1000</formula>
    </cfRule>
    <cfRule type="cellIs" dxfId="48" priority="70439" operator="between">
      <formula>AM$20</formula>
      <formula>AM$21</formula>
    </cfRule>
    <cfRule type="cellIs" dxfId="47" priority="70440" operator="between">
      <formula>AM$19</formula>
      <formula>AM$20</formula>
    </cfRule>
    <cfRule type="cellIs" dxfId="46" priority="70441" operator="between">
      <formula>AM$18</formula>
      <formula>AM$19</formula>
    </cfRule>
  </conditionalFormatting>
  <conditionalFormatting sqref="AJ1:AJ1048576 BF1:BF1048576 CB1:CB1048576">
    <cfRule type="cellIs" dxfId="45" priority="70442" operator="between">
      <formula>AM$25</formula>
      <formula>1000</formula>
    </cfRule>
    <cfRule type="cellIs" dxfId="44" priority="70443" operator="between">
      <formula>AM$24</formula>
      <formula>AM$25</formula>
    </cfRule>
    <cfRule type="cellIs" dxfId="43" priority="70444" operator="between">
      <formula>AM$23</formula>
      <formula>AM$24</formula>
    </cfRule>
    <cfRule type="cellIs" dxfId="42" priority="70445" operator="between">
      <formula>AM$22</formula>
      <formula>AM$23</formula>
    </cfRule>
  </conditionalFormatting>
  <conditionalFormatting sqref="AN4:BI15">
    <cfRule type="expression" dxfId="41" priority="70451" stopIfTrue="1">
      <formula>IF($BD4&lt;&gt;"",1,0)</formula>
    </cfRule>
  </conditionalFormatting>
  <conditionalFormatting sqref="J1:J1048576 N1:N1048576 L1:L1048576">
    <cfRule type="expression" dxfId="40" priority="70466">
      <formula>IF(J1=$BJ$1,1,0)</formula>
    </cfRule>
    <cfRule type="expression" dxfId="39" priority="70467">
      <formula>IF(J1=$AN$1,1,0)</formula>
    </cfRule>
    <cfRule type="expression" dxfId="38" priority="70468">
      <formula>IF(J1=$R$1,1,0)</formula>
    </cfRule>
  </conditionalFormatting>
  <conditionalFormatting sqref="BJ4:CE15">
    <cfRule type="expression" dxfId="37" priority="70469" stopIfTrue="1">
      <formula>IF($BZ4&lt;&gt;"",1,0)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2F278-5193-5D44-8CBB-35AE88FBAF54}">
  <sheetPr codeName="Sheet14"/>
  <dimension ref="A1:PC3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4" width="10.83203125" hidden="1" customWidth="1"/>
    <col min="35" max="39" width="10.83203125" style="47" customWidth="1"/>
    <col min="40" max="56" width="10.83203125" hidden="1" customWidth="1"/>
    <col min="57" max="61" width="10.83203125" style="47" customWidth="1"/>
    <col min="62" max="78" width="10.83203125" hidden="1" customWidth="1"/>
    <col min="79" max="83" width="10.83203125" style="47" customWidth="1"/>
    <col min="84" max="85" width="10.83203125" style="47"/>
    <col min="86" max="105" width="10.83203125" hidden="1" customWidth="1"/>
    <col min="106" max="111" width="10.83203125" style="47" customWidth="1"/>
    <col min="112" max="131" width="10.83203125" hidden="1" customWidth="1"/>
    <col min="132" max="137" width="10.83203125" style="47" hidden="1" customWidth="1"/>
    <col min="138" max="157" width="10.83203125" hidden="1" customWidth="1"/>
    <col min="158" max="163" width="10.83203125" style="47" hidden="1" customWidth="1"/>
    <col min="164" max="183" width="10.83203125" hidden="1" customWidth="1"/>
    <col min="184" max="189" width="10.83203125" style="47" hidden="1" customWidth="1"/>
    <col min="190" max="209" width="10.83203125" hidden="1" customWidth="1"/>
    <col min="210" max="215" width="10.83203125" style="47" hidden="1" customWidth="1"/>
    <col min="216" max="235" width="10.83203125" hidden="1" customWidth="1"/>
    <col min="236" max="241" width="10.83203125" style="47" hidden="1" customWidth="1"/>
    <col min="242" max="261" width="10.83203125" hidden="1" customWidth="1"/>
    <col min="262" max="267" width="10.83203125" style="47" hidden="1" customWidth="1"/>
    <col min="268" max="287" width="10.83203125" hidden="1" customWidth="1"/>
    <col min="288" max="293" width="10.83203125" style="47" hidden="1" customWidth="1"/>
    <col min="294" max="313" width="10.83203125" hidden="1" customWidth="1"/>
    <col min="314" max="319" width="10.83203125" style="47" hidden="1" customWidth="1"/>
    <col min="320" max="339" width="10.83203125" hidden="1" customWidth="1"/>
    <col min="340" max="345" width="10.83203125" style="47" hidden="1" customWidth="1"/>
    <col min="346" max="365" width="10.83203125" hidden="1" customWidth="1"/>
    <col min="366" max="371" width="10.83203125" style="47" hidden="1" customWidth="1"/>
    <col min="372" max="391" width="10.83203125" hidden="1" customWidth="1"/>
    <col min="392" max="397" width="10.83203125" style="47" hidden="1" customWidth="1"/>
    <col min="398" max="414" width="10.83203125" hidden="1" customWidth="1"/>
    <col min="415" max="419" width="10.83203125" style="47" hidden="1" customWidth="1"/>
  </cols>
  <sheetData>
    <row r="1" spans="1:41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65</v>
      </c>
      <c r="J1" s="75" t="s">
        <v>24</v>
      </c>
      <c r="K1" s="81" t="s">
        <v>66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80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2" t="s">
        <v>100</v>
      </c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1" t="s">
        <v>119</v>
      </c>
      <c r="BK1" s="71"/>
      <c r="BL1" s="71"/>
      <c r="BM1" s="71"/>
      <c r="BN1" s="71"/>
      <c r="BO1" s="71"/>
      <c r="BP1" s="71"/>
      <c r="BQ1" s="71"/>
      <c r="BR1" s="71"/>
      <c r="BS1" s="71"/>
      <c r="BT1" s="71"/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3" t="s">
        <v>51</v>
      </c>
      <c r="CG1" s="73"/>
      <c r="CH1" s="71" t="s">
        <v>121</v>
      </c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1"/>
      <c r="EI1" s="71"/>
      <c r="EJ1" s="71"/>
      <c r="EK1" s="71"/>
      <c r="EL1" s="71"/>
      <c r="EM1" s="71"/>
      <c r="EN1" s="71"/>
      <c r="EO1" s="71"/>
      <c r="EP1" s="71"/>
      <c r="EQ1" s="71"/>
      <c r="ER1" s="71"/>
      <c r="ES1" s="71"/>
      <c r="ET1" s="71"/>
      <c r="EU1" s="71"/>
      <c r="EV1" s="71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1"/>
      <c r="GI1" s="71"/>
      <c r="GJ1" s="71"/>
      <c r="GK1" s="71"/>
      <c r="GL1" s="71"/>
      <c r="GM1" s="71"/>
      <c r="GN1" s="71"/>
      <c r="GO1" s="71"/>
      <c r="GP1" s="71"/>
      <c r="GQ1" s="71"/>
      <c r="GR1" s="71"/>
      <c r="GS1" s="71"/>
      <c r="GT1" s="71"/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1"/>
      <c r="II1" s="71"/>
      <c r="IJ1" s="71"/>
      <c r="IK1" s="71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1" t="s">
        <v>55</v>
      </c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1"/>
      <c r="OY1" s="71"/>
      <c r="OZ1" s="71"/>
      <c r="PA1" s="71"/>
      <c r="PB1" s="71"/>
      <c r="PC1" s="71"/>
    </row>
    <row r="2" spans="1:41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67</v>
      </c>
      <c r="S2" s="69"/>
      <c r="T2" s="69"/>
      <c r="U2" s="69"/>
      <c r="V2" s="69" t="s">
        <v>68</v>
      </c>
      <c r="W2" s="69"/>
      <c r="X2" s="69"/>
      <c r="Y2" s="69"/>
      <c r="Z2" s="69" t="s">
        <v>70</v>
      </c>
      <c r="AA2" s="69"/>
      <c r="AB2" s="69"/>
      <c r="AC2" s="69"/>
      <c r="AD2" s="78" t="s">
        <v>71</v>
      </c>
      <c r="AE2" s="78"/>
      <c r="AF2" s="78"/>
      <c r="AG2" s="78"/>
      <c r="AH2" s="16"/>
      <c r="AI2" s="16" t="s">
        <v>120</v>
      </c>
      <c r="AJ2" s="16" t="s">
        <v>20</v>
      </c>
      <c r="AK2" s="16" t="s">
        <v>56</v>
      </c>
      <c r="AL2" s="16" t="s">
        <v>74</v>
      </c>
      <c r="AM2" s="16" t="s">
        <v>14</v>
      </c>
      <c r="AN2" s="70" t="s">
        <v>67</v>
      </c>
      <c r="AO2" s="70"/>
      <c r="AP2" s="70"/>
      <c r="AQ2" s="70"/>
      <c r="AR2" s="70" t="s">
        <v>68</v>
      </c>
      <c r="AS2" s="70"/>
      <c r="AT2" s="70"/>
      <c r="AU2" s="70"/>
      <c r="AV2" s="70" t="s">
        <v>70</v>
      </c>
      <c r="AW2" s="70"/>
      <c r="AX2" s="70"/>
      <c r="AY2" s="70"/>
      <c r="AZ2" s="79" t="s">
        <v>71</v>
      </c>
      <c r="BA2" s="79"/>
      <c r="BB2" s="79"/>
      <c r="BC2" s="79"/>
      <c r="BD2" s="17"/>
      <c r="BE2" s="17" t="s">
        <v>120</v>
      </c>
      <c r="BF2" s="17" t="s">
        <v>20</v>
      </c>
      <c r="BG2" s="17" t="s">
        <v>56</v>
      </c>
      <c r="BH2" s="17" t="s">
        <v>74</v>
      </c>
      <c r="BI2" s="17" t="s">
        <v>14</v>
      </c>
      <c r="BJ2" s="69" t="s">
        <v>67</v>
      </c>
      <c r="BK2" s="69"/>
      <c r="BL2" s="69"/>
      <c r="BM2" s="69"/>
      <c r="BN2" s="69" t="s">
        <v>68</v>
      </c>
      <c r="BO2" s="69"/>
      <c r="BP2" s="69"/>
      <c r="BQ2" s="69"/>
      <c r="BR2" s="69" t="s">
        <v>70</v>
      </c>
      <c r="BS2" s="69"/>
      <c r="BT2" s="69"/>
      <c r="BU2" s="69"/>
      <c r="BV2" s="78" t="s">
        <v>71</v>
      </c>
      <c r="BW2" s="78"/>
      <c r="BX2" s="78"/>
      <c r="BY2" s="78"/>
      <c r="BZ2" s="16"/>
      <c r="CA2" s="16" t="s">
        <v>120</v>
      </c>
      <c r="CB2" s="16" t="s">
        <v>20</v>
      </c>
      <c r="CC2" s="16" t="s">
        <v>56</v>
      </c>
      <c r="CD2" s="16" t="s">
        <v>74</v>
      </c>
      <c r="CE2" s="16" t="s">
        <v>14</v>
      </c>
      <c r="CF2" s="54" t="s">
        <v>73</v>
      </c>
      <c r="CG2" s="54" t="s">
        <v>19</v>
      </c>
      <c r="CH2" s="69" t="s">
        <v>67</v>
      </c>
      <c r="CI2" s="69"/>
      <c r="CJ2" s="69"/>
      <c r="CK2" s="69"/>
      <c r="CL2" s="69" t="s">
        <v>68</v>
      </c>
      <c r="CM2" s="69"/>
      <c r="CN2" s="69"/>
      <c r="CO2" s="69"/>
      <c r="CP2" s="69" t="s">
        <v>69</v>
      </c>
      <c r="CQ2" s="69"/>
      <c r="CR2" s="69"/>
      <c r="CS2" s="69"/>
      <c r="CT2" s="69" t="s">
        <v>70</v>
      </c>
      <c r="CU2" s="69"/>
      <c r="CV2" s="69"/>
      <c r="CW2" s="69"/>
      <c r="CX2" s="80" t="s">
        <v>71</v>
      </c>
      <c r="CY2" s="80"/>
      <c r="CZ2" s="80"/>
      <c r="DA2" s="80"/>
      <c r="DB2" s="16" t="s">
        <v>72</v>
      </c>
      <c r="DC2" s="16" t="s">
        <v>73</v>
      </c>
      <c r="DD2" s="16" t="s">
        <v>69</v>
      </c>
      <c r="DE2" s="16" t="s">
        <v>56</v>
      </c>
      <c r="DF2" s="16" t="s">
        <v>74</v>
      </c>
      <c r="DG2" s="16" t="s">
        <v>14</v>
      </c>
      <c r="DH2" s="70" t="s">
        <v>67</v>
      </c>
      <c r="DI2" s="70"/>
      <c r="DJ2" s="70"/>
      <c r="DK2" s="70"/>
      <c r="DL2" s="70" t="s">
        <v>68</v>
      </c>
      <c r="DM2" s="70"/>
      <c r="DN2" s="70"/>
      <c r="DO2" s="70"/>
      <c r="DP2" s="70" t="s">
        <v>69</v>
      </c>
      <c r="DQ2" s="70"/>
      <c r="DR2" s="70"/>
      <c r="DS2" s="70"/>
      <c r="DT2" s="70" t="s">
        <v>70</v>
      </c>
      <c r="DU2" s="70"/>
      <c r="DV2" s="70"/>
      <c r="DW2" s="70"/>
      <c r="DX2" s="79" t="s">
        <v>71</v>
      </c>
      <c r="DY2" s="79"/>
      <c r="DZ2" s="79"/>
      <c r="EA2" s="79"/>
      <c r="EB2" s="17" t="s">
        <v>72</v>
      </c>
      <c r="EC2" s="17" t="s">
        <v>73</v>
      </c>
      <c r="ED2" s="17" t="s">
        <v>69</v>
      </c>
      <c r="EE2" s="17" t="s">
        <v>56</v>
      </c>
      <c r="EF2" s="17" t="s">
        <v>74</v>
      </c>
      <c r="EG2" s="17" t="s">
        <v>14</v>
      </c>
      <c r="EH2" s="69" t="s">
        <v>67</v>
      </c>
      <c r="EI2" s="69"/>
      <c r="EJ2" s="69"/>
      <c r="EK2" s="69"/>
      <c r="EL2" s="69" t="s">
        <v>68</v>
      </c>
      <c r="EM2" s="69"/>
      <c r="EN2" s="69"/>
      <c r="EO2" s="69"/>
      <c r="EP2" s="69" t="s">
        <v>69</v>
      </c>
      <c r="EQ2" s="69"/>
      <c r="ER2" s="69"/>
      <c r="ES2" s="69"/>
      <c r="ET2" s="69" t="s">
        <v>70</v>
      </c>
      <c r="EU2" s="69"/>
      <c r="EV2" s="69"/>
      <c r="EW2" s="69"/>
      <c r="EX2" s="80" t="s">
        <v>71</v>
      </c>
      <c r="EY2" s="80"/>
      <c r="EZ2" s="80"/>
      <c r="FA2" s="80"/>
      <c r="FB2" s="16" t="s">
        <v>72</v>
      </c>
      <c r="FC2" s="16" t="s">
        <v>73</v>
      </c>
      <c r="FD2" s="16" t="s">
        <v>69</v>
      </c>
      <c r="FE2" s="16" t="s">
        <v>56</v>
      </c>
      <c r="FF2" s="16" t="s">
        <v>74</v>
      </c>
      <c r="FG2" s="16" t="s">
        <v>14</v>
      </c>
      <c r="FH2" s="70" t="s">
        <v>67</v>
      </c>
      <c r="FI2" s="70"/>
      <c r="FJ2" s="70"/>
      <c r="FK2" s="70"/>
      <c r="FL2" s="70" t="s">
        <v>68</v>
      </c>
      <c r="FM2" s="70"/>
      <c r="FN2" s="70"/>
      <c r="FO2" s="70"/>
      <c r="FP2" s="70" t="s">
        <v>69</v>
      </c>
      <c r="FQ2" s="70"/>
      <c r="FR2" s="70"/>
      <c r="FS2" s="70"/>
      <c r="FT2" s="70" t="s">
        <v>70</v>
      </c>
      <c r="FU2" s="70"/>
      <c r="FV2" s="70"/>
      <c r="FW2" s="70"/>
      <c r="FX2" s="79" t="s">
        <v>71</v>
      </c>
      <c r="FY2" s="79"/>
      <c r="FZ2" s="79"/>
      <c r="GA2" s="79"/>
      <c r="GB2" s="17" t="s">
        <v>72</v>
      </c>
      <c r="GC2" s="17" t="s">
        <v>73</v>
      </c>
      <c r="GD2" s="17" t="s">
        <v>69</v>
      </c>
      <c r="GE2" s="17" t="s">
        <v>56</v>
      </c>
      <c r="GF2" s="17" t="s">
        <v>74</v>
      </c>
      <c r="GG2" s="17" t="s">
        <v>14</v>
      </c>
      <c r="GH2" s="69" t="s">
        <v>67</v>
      </c>
      <c r="GI2" s="69"/>
      <c r="GJ2" s="69"/>
      <c r="GK2" s="69"/>
      <c r="GL2" s="69" t="s">
        <v>68</v>
      </c>
      <c r="GM2" s="69"/>
      <c r="GN2" s="69"/>
      <c r="GO2" s="69"/>
      <c r="GP2" s="69" t="s">
        <v>69</v>
      </c>
      <c r="GQ2" s="69"/>
      <c r="GR2" s="69"/>
      <c r="GS2" s="69"/>
      <c r="GT2" s="69" t="s">
        <v>70</v>
      </c>
      <c r="GU2" s="69"/>
      <c r="GV2" s="69"/>
      <c r="GW2" s="69"/>
      <c r="GX2" s="80" t="s">
        <v>71</v>
      </c>
      <c r="GY2" s="80"/>
      <c r="GZ2" s="80"/>
      <c r="HA2" s="80"/>
      <c r="HB2" s="16" t="s">
        <v>72</v>
      </c>
      <c r="HC2" s="16" t="s">
        <v>73</v>
      </c>
      <c r="HD2" s="16" t="s">
        <v>69</v>
      </c>
      <c r="HE2" s="16" t="s">
        <v>56</v>
      </c>
      <c r="HF2" s="16" t="s">
        <v>74</v>
      </c>
      <c r="HG2" s="16" t="s">
        <v>14</v>
      </c>
      <c r="HH2" s="70" t="s">
        <v>67</v>
      </c>
      <c r="HI2" s="70"/>
      <c r="HJ2" s="70"/>
      <c r="HK2" s="70"/>
      <c r="HL2" s="70" t="s">
        <v>68</v>
      </c>
      <c r="HM2" s="70"/>
      <c r="HN2" s="70"/>
      <c r="HO2" s="70"/>
      <c r="HP2" s="70" t="s">
        <v>69</v>
      </c>
      <c r="HQ2" s="70"/>
      <c r="HR2" s="70"/>
      <c r="HS2" s="70"/>
      <c r="HT2" s="70" t="s">
        <v>70</v>
      </c>
      <c r="HU2" s="70"/>
      <c r="HV2" s="70"/>
      <c r="HW2" s="70"/>
      <c r="HX2" s="79" t="s">
        <v>71</v>
      </c>
      <c r="HY2" s="79"/>
      <c r="HZ2" s="79"/>
      <c r="IA2" s="79"/>
      <c r="IB2" s="17" t="s">
        <v>72</v>
      </c>
      <c r="IC2" s="17" t="s">
        <v>73</v>
      </c>
      <c r="ID2" s="17" t="s">
        <v>69</v>
      </c>
      <c r="IE2" s="17" t="s">
        <v>56</v>
      </c>
      <c r="IF2" s="17" t="s">
        <v>74</v>
      </c>
      <c r="IG2" s="17" t="s">
        <v>14</v>
      </c>
      <c r="IH2" s="69" t="s">
        <v>67</v>
      </c>
      <c r="II2" s="69"/>
      <c r="IJ2" s="69"/>
      <c r="IK2" s="69"/>
      <c r="IL2" s="69" t="s">
        <v>68</v>
      </c>
      <c r="IM2" s="69"/>
      <c r="IN2" s="69"/>
      <c r="IO2" s="69"/>
      <c r="IP2" s="69" t="s">
        <v>69</v>
      </c>
      <c r="IQ2" s="69"/>
      <c r="IR2" s="69"/>
      <c r="IS2" s="69"/>
      <c r="IT2" s="69" t="s">
        <v>70</v>
      </c>
      <c r="IU2" s="69"/>
      <c r="IV2" s="69"/>
      <c r="IW2" s="69"/>
      <c r="IX2" s="80" t="s">
        <v>71</v>
      </c>
      <c r="IY2" s="80"/>
      <c r="IZ2" s="80"/>
      <c r="JA2" s="80"/>
      <c r="JB2" s="16" t="s">
        <v>72</v>
      </c>
      <c r="JC2" s="16" t="s">
        <v>73</v>
      </c>
      <c r="JD2" s="16" t="s">
        <v>69</v>
      </c>
      <c r="JE2" s="16" t="s">
        <v>56</v>
      </c>
      <c r="JF2" s="16" t="s">
        <v>74</v>
      </c>
      <c r="JG2" s="16" t="s">
        <v>14</v>
      </c>
      <c r="JH2" s="70" t="s">
        <v>67</v>
      </c>
      <c r="JI2" s="70"/>
      <c r="JJ2" s="70"/>
      <c r="JK2" s="70"/>
      <c r="JL2" s="70" t="s">
        <v>68</v>
      </c>
      <c r="JM2" s="70"/>
      <c r="JN2" s="70"/>
      <c r="JO2" s="70"/>
      <c r="JP2" s="70" t="s">
        <v>69</v>
      </c>
      <c r="JQ2" s="70"/>
      <c r="JR2" s="70"/>
      <c r="JS2" s="70"/>
      <c r="JT2" s="70" t="s">
        <v>70</v>
      </c>
      <c r="JU2" s="70"/>
      <c r="JV2" s="70"/>
      <c r="JW2" s="70"/>
      <c r="JX2" s="79" t="s">
        <v>71</v>
      </c>
      <c r="JY2" s="79"/>
      <c r="JZ2" s="79"/>
      <c r="KA2" s="79"/>
      <c r="KB2" s="17" t="s">
        <v>72</v>
      </c>
      <c r="KC2" s="17" t="s">
        <v>73</v>
      </c>
      <c r="KD2" s="17" t="s">
        <v>69</v>
      </c>
      <c r="KE2" s="17" t="s">
        <v>56</v>
      </c>
      <c r="KF2" s="17" t="s">
        <v>74</v>
      </c>
      <c r="KG2" s="17" t="s">
        <v>14</v>
      </c>
      <c r="KH2" s="69" t="s">
        <v>67</v>
      </c>
      <c r="KI2" s="69"/>
      <c r="KJ2" s="69"/>
      <c r="KK2" s="69"/>
      <c r="KL2" s="69" t="s">
        <v>68</v>
      </c>
      <c r="KM2" s="69"/>
      <c r="KN2" s="69"/>
      <c r="KO2" s="69"/>
      <c r="KP2" s="69" t="s">
        <v>69</v>
      </c>
      <c r="KQ2" s="69"/>
      <c r="KR2" s="69"/>
      <c r="KS2" s="69"/>
      <c r="KT2" s="69" t="s">
        <v>70</v>
      </c>
      <c r="KU2" s="69"/>
      <c r="KV2" s="69"/>
      <c r="KW2" s="69"/>
      <c r="KX2" s="80" t="s">
        <v>71</v>
      </c>
      <c r="KY2" s="80"/>
      <c r="KZ2" s="80"/>
      <c r="LA2" s="80"/>
      <c r="LB2" s="16" t="s">
        <v>72</v>
      </c>
      <c r="LC2" s="16" t="s">
        <v>73</v>
      </c>
      <c r="LD2" s="16" t="s">
        <v>69</v>
      </c>
      <c r="LE2" s="16" t="s">
        <v>56</v>
      </c>
      <c r="LF2" s="16" t="s">
        <v>74</v>
      </c>
      <c r="LG2" s="16" t="s">
        <v>14</v>
      </c>
      <c r="LH2" s="70" t="s">
        <v>67</v>
      </c>
      <c r="LI2" s="70"/>
      <c r="LJ2" s="70"/>
      <c r="LK2" s="70"/>
      <c r="LL2" s="70" t="s">
        <v>68</v>
      </c>
      <c r="LM2" s="70"/>
      <c r="LN2" s="70"/>
      <c r="LO2" s="70"/>
      <c r="LP2" s="70" t="s">
        <v>69</v>
      </c>
      <c r="LQ2" s="70"/>
      <c r="LR2" s="70"/>
      <c r="LS2" s="70"/>
      <c r="LT2" s="70" t="s">
        <v>70</v>
      </c>
      <c r="LU2" s="70"/>
      <c r="LV2" s="70"/>
      <c r="LW2" s="70"/>
      <c r="LX2" s="79" t="s">
        <v>71</v>
      </c>
      <c r="LY2" s="79"/>
      <c r="LZ2" s="79"/>
      <c r="MA2" s="79"/>
      <c r="MB2" s="17" t="s">
        <v>72</v>
      </c>
      <c r="MC2" s="17" t="s">
        <v>73</v>
      </c>
      <c r="MD2" s="17" t="s">
        <v>69</v>
      </c>
      <c r="ME2" s="17" t="s">
        <v>56</v>
      </c>
      <c r="MF2" s="17" t="s">
        <v>74</v>
      </c>
      <c r="MG2" s="17" t="s">
        <v>14</v>
      </c>
      <c r="MH2" s="69" t="s">
        <v>67</v>
      </c>
      <c r="MI2" s="69"/>
      <c r="MJ2" s="69"/>
      <c r="MK2" s="69"/>
      <c r="ML2" s="69" t="s">
        <v>68</v>
      </c>
      <c r="MM2" s="69"/>
      <c r="MN2" s="69"/>
      <c r="MO2" s="69"/>
      <c r="MP2" s="69" t="s">
        <v>69</v>
      </c>
      <c r="MQ2" s="69"/>
      <c r="MR2" s="69"/>
      <c r="MS2" s="69"/>
      <c r="MT2" s="69" t="s">
        <v>70</v>
      </c>
      <c r="MU2" s="69"/>
      <c r="MV2" s="69"/>
      <c r="MW2" s="69"/>
      <c r="MX2" s="80" t="s">
        <v>71</v>
      </c>
      <c r="MY2" s="80"/>
      <c r="MZ2" s="80"/>
      <c r="NA2" s="80"/>
      <c r="NB2" s="16" t="s">
        <v>72</v>
      </c>
      <c r="NC2" s="16" t="s">
        <v>73</v>
      </c>
      <c r="ND2" s="16" t="s">
        <v>69</v>
      </c>
      <c r="NE2" s="16" t="s">
        <v>56</v>
      </c>
      <c r="NF2" s="16" t="s">
        <v>74</v>
      </c>
      <c r="NG2" s="16" t="s">
        <v>14</v>
      </c>
      <c r="NH2" s="70" t="s">
        <v>67</v>
      </c>
      <c r="NI2" s="70"/>
      <c r="NJ2" s="70"/>
      <c r="NK2" s="70"/>
      <c r="NL2" s="70" t="s">
        <v>68</v>
      </c>
      <c r="NM2" s="70"/>
      <c r="NN2" s="70"/>
      <c r="NO2" s="70"/>
      <c r="NP2" s="70" t="s">
        <v>69</v>
      </c>
      <c r="NQ2" s="70"/>
      <c r="NR2" s="70"/>
      <c r="NS2" s="70"/>
      <c r="NT2" s="70" t="s">
        <v>70</v>
      </c>
      <c r="NU2" s="70"/>
      <c r="NV2" s="70"/>
      <c r="NW2" s="70"/>
      <c r="NX2" s="79" t="s">
        <v>71</v>
      </c>
      <c r="NY2" s="79"/>
      <c r="NZ2" s="79"/>
      <c r="OA2" s="79"/>
      <c r="OB2" s="17" t="s">
        <v>72</v>
      </c>
      <c r="OC2" s="17" t="s">
        <v>73</v>
      </c>
      <c r="OD2" s="17" t="s">
        <v>69</v>
      </c>
      <c r="OE2" s="17" t="s">
        <v>56</v>
      </c>
      <c r="OF2" s="17" t="s">
        <v>74</v>
      </c>
      <c r="OG2" s="17" t="s">
        <v>14</v>
      </c>
      <c r="OH2" s="69" t="s">
        <v>67</v>
      </c>
      <c r="OI2" s="69"/>
      <c r="OJ2" s="69"/>
      <c r="OK2" s="69"/>
      <c r="OL2" s="69" t="s">
        <v>68</v>
      </c>
      <c r="OM2" s="69"/>
      <c r="ON2" s="69"/>
      <c r="OO2" s="69"/>
      <c r="OP2" s="69" t="s">
        <v>70</v>
      </c>
      <c r="OQ2" s="69"/>
      <c r="OR2" s="69"/>
      <c r="OS2" s="69"/>
      <c r="OT2" s="78" t="s">
        <v>71</v>
      </c>
      <c r="OU2" s="78"/>
      <c r="OV2" s="78"/>
      <c r="OW2" s="78"/>
      <c r="OX2" s="16"/>
      <c r="OY2" s="16" t="s">
        <v>120</v>
      </c>
      <c r="OZ2" s="16" t="s">
        <v>20</v>
      </c>
      <c r="PA2" s="16" t="s">
        <v>56</v>
      </c>
      <c r="PB2" s="16" t="s">
        <v>74</v>
      </c>
      <c r="PC2" s="16" t="s">
        <v>14</v>
      </c>
    </row>
    <row r="3" spans="1:41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51" t="s">
        <v>11</v>
      </c>
      <c r="AE3" s="51" t="s">
        <v>4</v>
      </c>
      <c r="AF3" s="51" t="s">
        <v>22</v>
      </c>
      <c r="AG3" s="51" t="s">
        <v>23</v>
      </c>
      <c r="AH3" s="16" t="s">
        <v>43</v>
      </c>
      <c r="AI3" s="16"/>
      <c r="AJ3" s="16"/>
      <c r="AK3" s="16"/>
      <c r="AL3" s="16"/>
      <c r="AM3" s="16"/>
      <c r="AN3" s="17" t="s">
        <v>11</v>
      </c>
      <c r="AO3" s="17" t="s">
        <v>4</v>
      </c>
      <c r="AP3" s="17" t="s">
        <v>22</v>
      </c>
      <c r="AQ3" s="17" t="s">
        <v>23</v>
      </c>
      <c r="AR3" s="17" t="s">
        <v>11</v>
      </c>
      <c r="AS3" s="17" t="s">
        <v>4</v>
      </c>
      <c r="AT3" s="17" t="s">
        <v>22</v>
      </c>
      <c r="AU3" s="17" t="s">
        <v>23</v>
      </c>
      <c r="AV3" s="17" t="s">
        <v>11</v>
      </c>
      <c r="AW3" s="17" t="s">
        <v>4</v>
      </c>
      <c r="AX3" s="17" t="s">
        <v>22</v>
      </c>
      <c r="AY3" s="17" t="s">
        <v>23</v>
      </c>
      <c r="AZ3" s="53" t="s">
        <v>11</v>
      </c>
      <c r="BA3" s="53" t="s">
        <v>4</v>
      </c>
      <c r="BB3" s="53" t="s">
        <v>22</v>
      </c>
      <c r="BC3" s="53" t="s">
        <v>23</v>
      </c>
      <c r="BD3" s="17" t="s">
        <v>43</v>
      </c>
      <c r="BE3" s="17"/>
      <c r="BF3" s="17"/>
      <c r="BG3" s="17"/>
      <c r="BH3" s="17"/>
      <c r="BI3" s="17"/>
      <c r="BJ3" s="16" t="s">
        <v>11</v>
      </c>
      <c r="BK3" s="16" t="s">
        <v>4</v>
      </c>
      <c r="BL3" s="16" t="s">
        <v>22</v>
      </c>
      <c r="BM3" s="16" t="s">
        <v>23</v>
      </c>
      <c r="BN3" s="16" t="s">
        <v>11</v>
      </c>
      <c r="BO3" s="16" t="s">
        <v>4</v>
      </c>
      <c r="BP3" s="16" t="s">
        <v>22</v>
      </c>
      <c r="BQ3" s="16" t="s">
        <v>23</v>
      </c>
      <c r="BR3" s="16" t="s">
        <v>11</v>
      </c>
      <c r="BS3" s="16" t="s">
        <v>4</v>
      </c>
      <c r="BT3" s="16" t="s">
        <v>22</v>
      </c>
      <c r="BU3" s="16" t="s">
        <v>23</v>
      </c>
      <c r="BV3" s="51" t="s">
        <v>11</v>
      </c>
      <c r="BW3" s="51" t="s">
        <v>4</v>
      </c>
      <c r="BX3" s="51" t="s">
        <v>22</v>
      </c>
      <c r="BY3" s="51" t="s">
        <v>23</v>
      </c>
      <c r="BZ3" s="16" t="s">
        <v>43</v>
      </c>
      <c r="CA3" s="16"/>
      <c r="CB3" s="16"/>
      <c r="CC3" s="16"/>
      <c r="CD3" s="16"/>
      <c r="CE3" s="16"/>
      <c r="CF3" s="54"/>
      <c r="CG3" s="54"/>
      <c r="CH3" s="16" t="s">
        <v>11</v>
      </c>
      <c r="CI3" s="16" t="s">
        <v>4</v>
      </c>
      <c r="CJ3" s="16" t="s">
        <v>22</v>
      </c>
      <c r="CK3" s="16" t="s">
        <v>23</v>
      </c>
      <c r="CL3" s="16" t="s">
        <v>11</v>
      </c>
      <c r="CM3" s="16" t="s">
        <v>4</v>
      </c>
      <c r="CN3" s="16" t="s">
        <v>22</v>
      </c>
      <c r="CO3" s="16" t="s">
        <v>23</v>
      </c>
      <c r="CP3" s="16" t="s">
        <v>11</v>
      </c>
      <c r="CQ3" s="16" t="s">
        <v>4</v>
      </c>
      <c r="CR3" s="16" t="s">
        <v>22</v>
      </c>
      <c r="CS3" s="16" t="s">
        <v>23</v>
      </c>
      <c r="CT3" s="16" t="s">
        <v>11</v>
      </c>
      <c r="CU3" s="16" t="s">
        <v>4</v>
      </c>
      <c r="CV3" s="16" t="s">
        <v>22</v>
      </c>
      <c r="CW3" s="16" t="s">
        <v>23</v>
      </c>
      <c r="CX3" s="52" t="s">
        <v>11</v>
      </c>
      <c r="CY3" s="52" t="s">
        <v>4</v>
      </c>
      <c r="CZ3" s="52" t="s">
        <v>22</v>
      </c>
      <c r="DA3" s="52" t="s">
        <v>23</v>
      </c>
      <c r="DB3" s="16"/>
      <c r="DC3" s="16"/>
      <c r="DD3" s="16"/>
      <c r="DE3" s="16"/>
      <c r="DF3" s="16"/>
      <c r="DG3" s="16"/>
      <c r="DH3" s="17" t="s">
        <v>11</v>
      </c>
      <c r="DI3" s="17" t="s">
        <v>4</v>
      </c>
      <c r="DJ3" s="17" t="s">
        <v>22</v>
      </c>
      <c r="DK3" s="17" t="s">
        <v>23</v>
      </c>
      <c r="DL3" s="17" t="s">
        <v>11</v>
      </c>
      <c r="DM3" s="17" t="s">
        <v>4</v>
      </c>
      <c r="DN3" s="17" t="s">
        <v>22</v>
      </c>
      <c r="DO3" s="17" t="s">
        <v>23</v>
      </c>
      <c r="DP3" s="17" t="s">
        <v>11</v>
      </c>
      <c r="DQ3" s="17" t="s">
        <v>4</v>
      </c>
      <c r="DR3" s="17" t="s">
        <v>22</v>
      </c>
      <c r="DS3" s="17" t="s">
        <v>23</v>
      </c>
      <c r="DT3" s="17" t="s">
        <v>11</v>
      </c>
      <c r="DU3" s="17" t="s">
        <v>4</v>
      </c>
      <c r="DV3" s="17" t="s">
        <v>22</v>
      </c>
      <c r="DW3" s="17" t="s">
        <v>23</v>
      </c>
      <c r="DX3" s="53" t="s">
        <v>11</v>
      </c>
      <c r="DY3" s="53" t="s">
        <v>4</v>
      </c>
      <c r="DZ3" s="53" t="s">
        <v>22</v>
      </c>
      <c r="EA3" s="53" t="s">
        <v>23</v>
      </c>
      <c r="EB3" s="17"/>
      <c r="EC3" s="17"/>
      <c r="ED3" s="17"/>
      <c r="EE3" s="17"/>
      <c r="EF3" s="17"/>
      <c r="EG3" s="17"/>
      <c r="EH3" s="16" t="s">
        <v>11</v>
      </c>
      <c r="EI3" s="16" t="s">
        <v>4</v>
      </c>
      <c r="EJ3" s="16" t="s">
        <v>22</v>
      </c>
      <c r="EK3" s="16" t="s">
        <v>23</v>
      </c>
      <c r="EL3" s="16" t="s">
        <v>11</v>
      </c>
      <c r="EM3" s="16" t="s">
        <v>4</v>
      </c>
      <c r="EN3" s="16" t="s">
        <v>22</v>
      </c>
      <c r="EO3" s="16" t="s">
        <v>23</v>
      </c>
      <c r="EP3" s="16" t="s">
        <v>11</v>
      </c>
      <c r="EQ3" s="16" t="s">
        <v>4</v>
      </c>
      <c r="ER3" s="16" t="s">
        <v>22</v>
      </c>
      <c r="ES3" s="16" t="s">
        <v>23</v>
      </c>
      <c r="ET3" s="16" t="s">
        <v>11</v>
      </c>
      <c r="EU3" s="16" t="s">
        <v>4</v>
      </c>
      <c r="EV3" s="16" t="s">
        <v>22</v>
      </c>
      <c r="EW3" s="16" t="s">
        <v>23</v>
      </c>
      <c r="EX3" s="52" t="s">
        <v>11</v>
      </c>
      <c r="EY3" s="52" t="s">
        <v>4</v>
      </c>
      <c r="EZ3" s="52" t="s">
        <v>22</v>
      </c>
      <c r="FA3" s="52" t="s">
        <v>23</v>
      </c>
      <c r="FB3" s="16"/>
      <c r="FC3" s="16"/>
      <c r="FD3" s="16"/>
      <c r="FE3" s="16"/>
      <c r="FF3" s="16"/>
      <c r="FG3" s="16"/>
      <c r="FH3" s="17" t="s">
        <v>11</v>
      </c>
      <c r="FI3" s="17" t="s">
        <v>4</v>
      </c>
      <c r="FJ3" s="17" t="s">
        <v>22</v>
      </c>
      <c r="FK3" s="17" t="s">
        <v>23</v>
      </c>
      <c r="FL3" s="17" t="s">
        <v>11</v>
      </c>
      <c r="FM3" s="17" t="s">
        <v>4</v>
      </c>
      <c r="FN3" s="17" t="s">
        <v>22</v>
      </c>
      <c r="FO3" s="17" t="s">
        <v>23</v>
      </c>
      <c r="FP3" s="17" t="s">
        <v>11</v>
      </c>
      <c r="FQ3" s="17" t="s">
        <v>4</v>
      </c>
      <c r="FR3" s="17" t="s">
        <v>22</v>
      </c>
      <c r="FS3" s="17" t="s">
        <v>23</v>
      </c>
      <c r="FT3" s="17" t="s">
        <v>11</v>
      </c>
      <c r="FU3" s="17" t="s">
        <v>4</v>
      </c>
      <c r="FV3" s="17" t="s">
        <v>22</v>
      </c>
      <c r="FW3" s="17" t="s">
        <v>23</v>
      </c>
      <c r="FX3" s="53" t="s">
        <v>11</v>
      </c>
      <c r="FY3" s="53" t="s">
        <v>4</v>
      </c>
      <c r="FZ3" s="53" t="s">
        <v>22</v>
      </c>
      <c r="GA3" s="53" t="s">
        <v>23</v>
      </c>
      <c r="GB3" s="17"/>
      <c r="GC3" s="17"/>
      <c r="GD3" s="17"/>
      <c r="GE3" s="17"/>
      <c r="GF3" s="17"/>
      <c r="GG3" s="17"/>
      <c r="GH3" s="16" t="s">
        <v>11</v>
      </c>
      <c r="GI3" s="16" t="s">
        <v>4</v>
      </c>
      <c r="GJ3" s="16" t="s">
        <v>22</v>
      </c>
      <c r="GK3" s="16" t="s">
        <v>23</v>
      </c>
      <c r="GL3" s="16" t="s">
        <v>11</v>
      </c>
      <c r="GM3" s="16" t="s">
        <v>4</v>
      </c>
      <c r="GN3" s="16" t="s">
        <v>22</v>
      </c>
      <c r="GO3" s="16" t="s">
        <v>23</v>
      </c>
      <c r="GP3" s="16" t="s">
        <v>11</v>
      </c>
      <c r="GQ3" s="16" t="s">
        <v>4</v>
      </c>
      <c r="GR3" s="16" t="s">
        <v>22</v>
      </c>
      <c r="GS3" s="16" t="s">
        <v>23</v>
      </c>
      <c r="GT3" s="16" t="s">
        <v>11</v>
      </c>
      <c r="GU3" s="16" t="s">
        <v>4</v>
      </c>
      <c r="GV3" s="16" t="s">
        <v>22</v>
      </c>
      <c r="GW3" s="16" t="s">
        <v>23</v>
      </c>
      <c r="GX3" s="52" t="s">
        <v>11</v>
      </c>
      <c r="GY3" s="52" t="s">
        <v>4</v>
      </c>
      <c r="GZ3" s="52" t="s">
        <v>22</v>
      </c>
      <c r="HA3" s="52" t="s">
        <v>23</v>
      </c>
      <c r="HB3" s="16"/>
      <c r="HC3" s="16"/>
      <c r="HD3" s="16"/>
      <c r="HE3" s="16"/>
      <c r="HF3" s="16"/>
      <c r="HG3" s="16"/>
      <c r="HH3" s="17" t="s">
        <v>11</v>
      </c>
      <c r="HI3" s="17" t="s">
        <v>4</v>
      </c>
      <c r="HJ3" s="17" t="s">
        <v>22</v>
      </c>
      <c r="HK3" s="17" t="s">
        <v>23</v>
      </c>
      <c r="HL3" s="17" t="s">
        <v>11</v>
      </c>
      <c r="HM3" s="17" t="s">
        <v>4</v>
      </c>
      <c r="HN3" s="17" t="s">
        <v>22</v>
      </c>
      <c r="HO3" s="17" t="s">
        <v>23</v>
      </c>
      <c r="HP3" s="17" t="s">
        <v>11</v>
      </c>
      <c r="HQ3" s="17" t="s">
        <v>4</v>
      </c>
      <c r="HR3" s="17" t="s">
        <v>22</v>
      </c>
      <c r="HS3" s="17" t="s">
        <v>23</v>
      </c>
      <c r="HT3" s="17" t="s">
        <v>11</v>
      </c>
      <c r="HU3" s="17" t="s">
        <v>4</v>
      </c>
      <c r="HV3" s="17" t="s">
        <v>22</v>
      </c>
      <c r="HW3" s="17" t="s">
        <v>23</v>
      </c>
      <c r="HX3" s="53" t="s">
        <v>11</v>
      </c>
      <c r="HY3" s="53" t="s">
        <v>4</v>
      </c>
      <c r="HZ3" s="53" t="s">
        <v>22</v>
      </c>
      <c r="IA3" s="53" t="s">
        <v>23</v>
      </c>
      <c r="IB3" s="17"/>
      <c r="IC3" s="17"/>
      <c r="ID3" s="17"/>
      <c r="IE3" s="17"/>
      <c r="IF3" s="17"/>
      <c r="IG3" s="17"/>
      <c r="IH3" s="16" t="s">
        <v>11</v>
      </c>
      <c r="II3" s="16" t="s">
        <v>4</v>
      </c>
      <c r="IJ3" s="16" t="s">
        <v>22</v>
      </c>
      <c r="IK3" s="16" t="s">
        <v>23</v>
      </c>
      <c r="IL3" s="16" t="s">
        <v>11</v>
      </c>
      <c r="IM3" s="16" t="s">
        <v>4</v>
      </c>
      <c r="IN3" s="16" t="s">
        <v>22</v>
      </c>
      <c r="IO3" s="16" t="s">
        <v>23</v>
      </c>
      <c r="IP3" s="16" t="s">
        <v>11</v>
      </c>
      <c r="IQ3" s="16" t="s">
        <v>4</v>
      </c>
      <c r="IR3" s="16" t="s">
        <v>22</v>
      </c>
      <c r="IS3" s="16" t="s">
        <v>23</v>
      </c>
      <c r="IT3" s="16" t="s">
        <v>11</v>
      </c>
      <c r="IU3" s="16" t="s">
        <v>4</v>
      </c>
      <c r="IV3" s="16" t="s">
        <v>22</v>
      </c>
      <c r="IW3" s="16" t="s">
        <v>23</v>
      </c>
      <c r="IX3" s="52" t="s">
        <v>11</v>
      </c>
      <c r="IY3" s="52" t="s">
        <v>4</v>
      </c>
      <c r="IZ3" s="52" t="s">
        <v>22</v>
      </c>
      <c r="JA3" s="52" t="s">
        <v>23</v>
      </c>
      <c r="JB3" s="16"/>
      <c r="JC3" s="16"/>
      <c r="JD3" s="16"/>
      <c r="JE3" s="16"/>
      <c r="JF3" s="16"/>
      <c r="JG3" s="16"/>
      <c r="JH3" s="17" t="s">
        <v>11</v>
      </c>
      <c r="JI3" s="17" t="s">
        <v>4</v>
      </c>
      <c r="JJ3" s="17" t="s">
        <v>22</v>
      </c>
      <c r="JK3" s="17" t="s">
        <v>23</v>
      </c>
      <c r="JL3" s="17" t="s">
        <v>11</v>
      </c>
      <c r="JM3" s="17" t="s">
        <v>4</v>
      </c>
      <c r="JN3" s="17" t="s">
        <v>22</v>
      </c>
      <c r="JO3" s="17" t="s">
        <v>23</v>
      </c>
      <c r="JP3" s="17" t="s">
        <v>11</v>
      </c>
      <c r="JQ3" s="17" t="s">
        <v>4</v>
      </c>
      <c r="JR3" s="17" t="s">
        <v>22</v>
      </c>
      <c r="JS3" s="17" t="s">
        <v>23</v>
      </c>
      <c r="JT3" s="17" t="s">
        <v>11</v>
      </c>
      <c r="JU3" s="17" t="s">
        <v>4</v>
      </c>
      <c r="JV3" s="17" t="s">
        <v>22</v>
      </c>
      <c r="JW3" s="17" t="s">
        <v>23</v>
      </c>
      <c r="JX3" s="53" t="s">
        <v>11</v>
      </c>
      <c r="JY3" s="53" t="s">
        <v>4</v>
      </c>
      <c r="JZ3" s="53" t="s">
        <v>22</v>
      </c>
      <c r="KA3" s="53" t="s">
        <v>23</v>
      </c>
      <c r="KB3" s="17"/>
      <c r="KC3" s="17"/>
      <c r="KD3" s="17"/>
      <c r="KE3" s="17"/>
      <c r="KF3" s="17"/>
      <c r="KG3" s="17"/>
      <c r="KH3" s="16" t="s">
        <v>11</v>
      </c>
      <c r="KI3" s="16" t="s">
        <v>4</v>
      </c>
      <c r="KJ3" s="16" t="s">
        <v>22</v>
      </c>
      <c r="KK3" s="16" t="s">
        <v>23</v>
      </c>
      <c r="KL3" s="16" t="s">
        <v>11</v>
      </c>
      <c r="KM3" s="16" t="s">
        <v>4</v>
      </c>
      <c r="KN3" s="16" t="s">
        <v>22</v>
      </c>
      <c r="KO3" s="16" t="s">
        <v>23</v>
      </c>
      <c r="KP3" s="16" t="s">
        <v>11</v>
      </c>
      <c r="KQ3" s="16" t="s">
        <v>4</v>
      </c>
      <c r="KR3" s="16" t="s">
        <v>22</v>
      </c>
      <c r="KS3" s="16" t="s">
        <v>23</v>
      </c>
      <c r="KT3" s="16" t="s">
        <v>11</v>
      </c>
      <c r="KU3" s="16" t="s">
        <v>4</v>
      </c>
      <c r="KV3" s="16" t="s">
        <v>22</v>
      </c>
      <c r="KW3" s="16" t="s">
        <v>23</v>
      </c>
      <c r="KX3" s="52" t="s">
        <v>11</v>
      </c>
      <c r="KY3" s="52" t="s">
        <v>4</v>
      </c>
      <c r="KZ3" s="52" t="s">
        <v>22</v>
      </c>
      <c r="LA3" s="52" t="s">
        <v>23</v>
      </c>
      <c r="LB3" s="16"/>
      <c r="LC3" s="16"/>
      <c r="LD3" s="16"/>
      <c r="LE3" s="16"/>
      <c r="LF3" s="16"/>
      <c r="LG3" s="16"/>
      <c r="LH3" s="17" t="s">
        <v>11</v>
      </c>
      <c r="LI3" s="17" t="s">
        <v>4</v>
      </c>
      <c r="LJ3" s="17" t="s">
        <v>22</v>
      </c>
      <c r="LK3" s="17" t="s">
        <v>23</v>
      </c>
      <c r="LL3" s="17" t="s">
        <v>11</v>
      </c>
      <c r="LM3" s="17" t="s">
        <v>4</v>
      </c>
      <c r="LN3" s="17" t="s">
        <v>22</v>
      </c>
      <c r="LO3" s="17" t="s">
        <v>23</v>
      </c>
      <c r="LP3" s="17" t="s">
        <v>11</v>
      </c>
      <c r="LQ3" s="17" t="s">
        <v>4</v>
      </c>
      <c r="LR3" s="17" t="s">
        <v>22</v>
      </c>
      <c r="LS3" s="17" t="s">
        <v>23</v>
      </c>
      <c r="LT3" s="17" t="s">
        <v>11</v>
      </c>
      <c r="LU3" s="17" t="s">
        <v>4</v>
      </c>
      <c r="LV3" s="17" t="s">
        <v>22</v>
      </c>
      <c r="LW3" s="17" t="s">
        <v>23</v>
      </c>
      <c r="LX3" s="53" t="s">
        <v>11</v>
      </c>
      <c r="LY3" s="53" t="s">
        <v>4</v>
      </c>
      <c r="LZ3" s="53" t="s">
        <v>22</v>
      </c>
      <c r="MA3" s="53" t="s">
        <v>23</v>
      </c>
      <c r="MB3" s="17"/>
      <c r="MC3" s="17"/>
      <c r="MD3" s="17"/>
      <c r="ME3" s="17"/>
      <c r="MF3" s="17"/>
      <c r="MG3" s="17"/>
      <c r="MH3" s="16" t="s">
        <v>11</v>
      </c>
      <c r="MI3" s="16" t="s">
        <v>4</v>
      </c>
      <c r="MJ3" s="16" t="s">
        <v>22</v>
      </c>
      <c r="MK3" s="16" t="s">
        <v>23</v>
      </c>
      <c r="ML3" s="16" t="s">
        <v>11</v>
      </c>
      <c r="MM3" s="16" t="s">
        <v>4</v>
      </c>
      <c r="MN3" s="16" t="s">
        <v>22</v>
      </c>
      <c r="MO3" s="16" t="s">
        <v>23</v>
      </c>
      <c r="MP3" s="16" t="s">
        <v>11</v>
      </c>
      <c r="MQ3" s="16" t="s">
        <v>4</v>
      </c>
      <c r="MR3" s="16" t="s">
        <v>22</v>
      </c>
      <c r="MS3" s="16" t="s">
        <v>23</v>
      </c>
      <c r="MT3" s="16" t="s">
        <v>11</v>
      </c>
      <c r="MU3" s="16" t="s">
        <v>4</v>
      </c>
      <c r="MV3" s="16" t="s">
        <v>22</v>
      </c>
      <c r="MW3" s="16" t="s">
        <v>23</v>
      </c>
      <c r="MX3" s="52" t="s">
        <v>11</v>
      </c>
      <c r="MY3" s="52" t="s">
        <v>4</v>
      </c>
      <c r="MZ3" s="52" t="s">
        <v>22</v>
      </c>
      <c r="NA3" s="52" t="s">
        <v>23</v>
      </c>
      <c r="NB3" s="16"/>
      <c r="NC3" s="16"/>
      <c r="ND3" s="16"/>
      <c r="NE3" s="16"/>
      <c r="NF3" s="16"/>
      <c r="NG3" s="16"/>
      <c r="NH3" s="17" t="s">
        <v>11</v>
      </c>
      <c r="NI3" s="17" t="s">
        <v>4</v>
      </c>
      <c r="NJ3" s="17" t="s">
        <v>22</v>
      </c>
      <c r="NK3" s="17" t="s">
        <v>23</v>
      </c>
      <c r="NL3" s="17" t="s">
        <v>11</v>
      </c>
      <c r="NM3" s="17" t="s">
        <v>4</v>
      </c>
      <c r="NN3" s="17" t="s">
        <v>22</v>
      </c>
      <c r="NO3" s="17" t="s">
        <v>23</v>
      </c>
      <c r="NP3" s="17" t="s">
        <v>11</v>
      </c>
      <c r="NQ3" s="17" t="s">
        <v>4</v>
      </c>
      <c r="NR3" s="17" t="s">
        <v>22</v>
      </c>
      <c r="NS3" s="17" t="s">
        <v>23</v>
      </c>
      <c r="NT3" s="17" t="s">
        <v>11</v>
      </c>
      <c r="NU3" s="17" t="s">
        <v>4</v>
      </c>
      <c r="NV3" s="17" t="s">
        <v>22</v>
      </c>
      <c r="NW3" s="17" t="s">
        <v>23</v>
      </c>
      <c r="NX3" s="53" t="s">
        <v>11</v>
      </c>
      <c r="NY3" s="53" t="s">
        <v>4</v>
      </c>
      <c r="NZ3" s="53" t="s">
        <v>22</v>
      </c>
      <c r="OA3" s="53" t="s">
        <v>23</v>
      </c>
      <c r="OB3" s="17"/>
      <c r="OC3" s="17"/>
      <c r="OD3" s="17"/>
      <c r="OE3" s="17"/>
      <c r="OF3" s="17"/>
      <c r="OG3" s="17"/>
      <c r="OH3" s="16" t="s">
        <v>11</v>
      </c>
      <c r="OI3" s="16" t="s">
        <v>4</v>
      </c>
      <c r="OJ3" s="16" t="s">
        <v>22</v>
      </c>
      <c r="OK3" s="16" t="s">
        <v>23</v>
      </c>
      <c r="OL3" s="16" t="s">
        <v>11</v>
      </c>
      <c r="OM3" s="16" t="s">
        <v>4</v>
      </c>
      <c r="ON3" s="16" t="s">
        <v>22</v>
      </c>
      <c r="OO3" s="16" t="s">
        <v>23</v>
      </c>
      <c r="OP3" s="16" t="s">
        <v>11</v>
      </c>
      <c r="OQ3" s="16" t="s">
        <v>4</v>
      </c>
      <c r="OR3" s="16" t="s">
        <v>22</v>
      </c>
      <c r="OS3" s="16" t="s">
        <v>23</v>
      </c>
      <c r="OT3" s="51" t="s">
        <v>11</v>
      </c>
      <c r="OU3" s="51" t="s">
        <v>4</v>
      </c>
      <c r="OV3" s="51" t="s">
        <v>22</v>
      </c>
      <c r="OW3" s="51" t="s">
        <v>23</v>
      </c>
      <c r="OX3" s="16" t="s">
        <v>43</v>
      </c>
      <c r="OY3" s="16"/>
      <c r="OZ3" s="16"/>
      <c r="PA3" s="16"/>
      <c r="PB3" s="16"/>
      <c r="PC3" s="16"/>
    </row>
    <row r="4" spans="1:419" x14ac:dyDescent="0.2">
      <c r="A4" s="4" cm="1">
        <f t="array" ref="A4">IF(AND(H4&lt;&gt;"",H4&lt;&gt;"No DD"),SUMPRODUCT((H$4:H$17&lt;&gt;"")*(H$4:H$17&lt;&gt;"No DD")*(E$4:E$17&gt;E4))+1,IF(H4="No DD",SUMPRODUCT((H$4:H$17="No DD")*(E$4:E$17&gt;E4))+1+SUMPRODUCT((H$4:H$17&lt;&gt;"")*(H$4:H$17&lt;&gt;"No DD")),""))</f>
        <v>1</v>
      </c>
      <c r="B4" s="5" t="s">
        <v>63</v>
      </c>
      <c r="C4" s="4" t="s">
        <v>64</v>
      </c>
      <c r="D4" s="4">
        <v>2009</v>
      </c>
      <c r="E4" s="10">
        <f t="shared" ref="E4:E16" si="0">SUM(I4:O4)+SUM(I4:M4)*0.0000001+SUM(I4)*0.0000000000001</f>
        <v>154.60001542000512</v>
      </c>
      <c r="F4" s="3" t="str">
        <f t="shared" ref="F4:F16" si="1">IF(OR(AND(AI4&gt;=AM$19,AJ4&gt;=AM$23,AI4&lt;&gt;"",AH4=""),AND(AK4&gt;=AM$19,AL4&gt;=AM$23,AK4&lt;&gt;"",AH4=""),AND(BE4&gt;=BI$19,BF4&gt;=BI$23,BE4&lt;&gt;"",BD4=""),AND(BG4&gt;=BI$19,BH4&gt;=BI$23,BG4&lt;&gt;"",BD4=""),AND(CA4&gt;=CE$19,CB4&gt;=CE$23,CA4&lt;&gt;"",BZ4=""),AND(CC4&gt;=CE$19,CD4&gt;=CE$23,CC4&lt;&gt;""),AND(DB4&gt;=DG$19,DC4&gt;=DG$23,DB4&lt;&gt;""),AND(DE4&gt;=DG$19,DF4&gt;=DG$23,DE4&lt;&gt;""),AND(EB4&gt;=EG$19,EC4&gt;=EG$23,EB4&lt;&gt;""),AND(EE4&gt;=EG$19,EF4&gt;=EG$23,EE4&lt;&gt;""),AND(FB4&gt;=FG$19,FC4&gt;=FG$23,FB4&lt;&gt;""),AND(FE4&gt;=FG$19,FF4&gt;=FG$23,FE4&lt;&gt;""),AND(GB4&gt;=GG$19,GC4&gt;=GG$23,GB4&lt;&gt;""),AND(GE4&gt;=GG$19,GF4&gt;=GG$23,GE4&lt;&gt;""),AND(HB4&gt;=HG$19,HC4&gt;=HG$23,HB4&lt;&gt;""),AND(HE4&gt;=HG$19,HF4&gt;=HG$23,HE4&lt;&gt;""),AND(IB4&gt;=IG$19,IC4&gt;=IG$23,IB4&lt;&gt;""),AND(IE4&gt;=IG$19,IF4&gt;=IG$23,IE4&lt;&gt;""),AND(JB4&gt;=JG$19,JC4&gt;=JG$23,JB4&lt;&gt;""),AND(JE4&gt;=JG$19,JF4&gt;=JG$23,JE4&lt;&gt;""),AND(KB4&gt;=KG$19,KC4&gt;=KG$23,KB4&lt;&gt;""),AND(KE4&gt;=KG$19,KF4&gt;=KG$23,KE4&lt;&gt;""),AND(LB4&gt;=LG$19,LC4&gt;=LG$23,LB4&lt;&gt;""),AND(LE4&gt;=LG$19,LF4&gt;=LG$23,LE4&lt;&gt;""),AND(MB4&gt;=MG$19,MC4&gt;=MG$23,MB4&lt;&gt;""),AND(ME4&gt;=MG$19,MF4&gt;=MG$23,ME4&lt;&gt;""),AND(NB4&gt;=NG$19,NC4&gt;=NG$23,NB4&lt;&gt;""),AND(NE4&gt;=NG$19,NF4&gt;=NG$23,NE4&lt;&gt;""),AND(OB4&gt;=OG$19,OC4&gt;=OG$23,OB4&lt;&gt;""),AND(OE4&gt;=OG$19,OF4&gt;=OG$23,OE4&lt;&gt;"")),"P","")</f>
        <v>P</v>
      </c>
      <c r="G4" s="3" t="str">
        <f t="shared" ref="G4:G16" si="2">IF(OR(AND(AJ4&gt;=AM$23,AJ4&lt;&gt;"",AH4=""),AND(AL4&gt;=AM$23,AL4&lt;&gt;"",AH4=""),AND(BF4&gt;=BI$23,BF4&lt;&gt;"",BD4=""),AND(BH4&gt;=BI$23,BH4&lt;&gt;"",BD4=""),AND(CB4&gt;=CE$23,CB4&lt;&gt;"",BZ4=""),AND(CD4&gt;=CE$23,CD4&lt;&gt;"",BZ4=""),AND(DC4&gt;=DG$23,DC4&lt;&gt;""),AND(DF4&gt;=DG$23,DF4&lt;&gt;""),AND(EC4&gt;=EG$23,EC4&lt;&gt;""),AND(EF4&gt;=EG$23,EF4&lt;&gt;""),AND(FC4&gt;=FG$23,FC4&lt;&gt;""),AND(FF4&gt;=FG$23,FF4&lt;&gt;""),AND(GC4&gt;=GG$23,GC4&lt;&gt;""),AND(GF4&gt;=GG$23,GF4&lt;&gt;""),AND(HC4&gt;=HG$23,HC4&lt;&gt;""),AND(HF4&gt;=HG$23,HF4&lt;&gt;""),AND(IC4&gt;=IG$23,IC4&lt;&gt;""),AND(IF4&gt;=IG$23,IF4&lt;&gt;""),AND(JC4&gt;=JG$23,JC4&lt;&gt;""),AND(JF4&gt;=JG$23,JF4&lt;&gt;""),AND(KC4&gt;=KG$23,KC4&lt;&gt;""),AND(KF4&gt;=KG$23,KF4&lt;&gt;""),AND(LC4&gt;=LG$23,LC4&lt;&gt;""),AND(LF4&gt;=LG$23,LF4&lt;&gt;""),AND(MC4&gt;=MG$23,MC4&lt;&gt;""),AND(MF4&gt;=MG$23,MF4&lt;&gt;""),AND(NC4&gt;=NG$23,NC4&lt;&gt;""),AND(NF4&gt;=NG$23,NF4&lt;&gt;""),AND(OC4&gt;=OG$23,OC4&lt;&gt;""),AND(OF4&gt;=OG$23,OF4&lt;&gt;"")),"P","")</f>
        <v>P</v>
      </c>
      <c r="H4" s="47" t="str">
        <f t="shared" ref="H4:H16" si="3">IF(AND(G4="P",F4=""),"No DD",IF(OR(AND(AI4&gt;=AM$22,AJ4&gt;=AM$26,AI4&lt;&gt;"",AH4=""),AND(AK4&gt;=AM$22,AL4&gt;=AM$26,AK4&lt;&gt;"",AH4=""),AND(BE4&gt;=BI$22,BF4&gt;=BI$26,BE4&lt;&gt;"",BD4=""),AND(BG4&gt;=BI$22,BH4&gt;=BI$26,BG4&lt;&gt;"",BD4=""),AND(CA4&gt;=CE$22,CB4&gt;=CE$26,CA4&lt;&gt;"",BZ4=""),AND(CC4&gt;=CE$22,CD4&gt;=CE$26,CC4&lt;&gt;""),AND(DB4&gt;=DG$22,DC4&gt;=DG$26,DB4&lt;&gt;""),AND(DE4&gt;=DG$22,DF4&gt;=DG$26,DE4&lt;&gt;""),AND(EB4&gt;=EG$22,EC4&gt;=EG$26,EB4&lt;&gt;""),AND(EE4&gt;=EG$22,EF4&gt;=EG$26,EE4&lt;&gt;""),AND(FB4&gt;=FG$22,FC4&gt;=FG$26,FB4&lt;&gt;""),AND(FE4&gt;=FG$22,FF4&gt;=FG$26,FE4&lt;&gt;""),AND(GB4&gt;=GG$22,GC4&gt;=GG$26,GB4&lt;&gt;""),AND(GE4&gt;=GG$22,GF4&gt;=GG$26,GE4&lt;&gt;""),AND(HB4&gt;=HG$22,HC4&gt;=HG$26,HB4&lt;&gt;""),AND(HE4&gt;=HG$22,HF4&gt;=HG$26,HE4&lt;&gt;""),AND(IB4&gt;=IG$22,IC4&gt;=IG$26,IB4&lt;&gt;""),AND(IE4&gt;=IG$22,IF4&gt;=IG$26,IE4&lt;&gt;""),AND(JB4&gt;=JG$22,JC4&gt;=JG$26,JB4&lt;&gt;""),AND(JE4&gt;=JG$22,JF4&gt;=JG$26,JE4&lt;&gt;""),AND(KB4&gt;=KG$22,KC4&gt;=KG$26,KB4&lt;&gt;""),AND(KE4&gt;=KG$22,KF4&gt;=KG$26,KE4&lt;&gt;""),AND(LB4&gt;=LG$22,LC4&gt;=LG$26,LB4&lt;&gt;""),AND(LE4&gt;=LG$22,LF4&gt;=LG$26,LE4&lt;&gt;""),AND(MB4&gt;=MG$22,MC4&gt;=MG$26,MB4&lt;&gt;""),AND(ME4&gt;=MG$22,MF4&gt;=MG$26,ME4&lt;&gt;""),AND(NB4&gt;=NG$22,NC4&gt;=NG$26,NB4&lt;&gt;""),AND(NE4&gt;=NG$22,NF4&gt;=NG$26,NE4&lt;&gt;""),AND(OB4&gt;=OG$22,OC4&gt;=OG$26,OB4&lt;&gt;""),AND(OE4&gt;=OG$22,OF4&gt;=OG$26,OE4&lt;&gt;"")),"Merit",IF(OR(AND(AI4&gt;=AM$21,AJ4&gt;=AM$25,AI4&lt;&gt;"",AH4=""),AND(AK4&gt;=AM$21,AL4&gt;=AM$25,AK4&lt;&gt;"",AH4=""),AND(BE4&gt;=BI$21,BF4&gt;=BI$25,BE4&lt;&gt;"",BD4=""),AND(BG4&gt;=BI$21,BH4&gt;=BI$25,BG4&lt;&gt;"",BD4=""),AND(CA4&gt;=CE$21,CB4&gt;=CE$25,CA4&lt;&gt;"",BZ4=""),AND(CC4&gt;=CE$21,CD4&gt;=CE$25,CC4&lt;&gt;""),AND(DB4&gt;=DG$21,DC4&gt;=DG$25,DB4&lt;&gt;""),AND(DE4&gt;=DG$21,DF4&gt;=DG$25,DE4&lt;&gt;""),AND(EB4&gt;=EG$21,EC4&gt;=EG$25,EB4&lt;&gt;""),AND(EE4&gt;=EG$21,EF4&gt;=EG$25,EE4&lt;&gt;""),AND(FB4&gt;=FG$21,FC4&gt;=FG$25,FB4&lt;&gt;""),AND(FE4&gt;=FG$21,FF4&gt;=FG$25,FE4&lt;&gt;""),AND(GB4&gt;=GG$21,GC4&gt;=GG$25,GB4&lt;&gt;""),AND(GE4&gt;=GG$21,GF4&gt;=GG$25,GE4&lt;&gt;""),AND(HB4&gt;=HG$21,HC4&gt;=HG$25,HB4&lt;&gt;""),AND(HE4&gt;=HG$21,HF4&gt;=HG$25,HE4&lt;&gt;""),AND(IB4&gt;=IG$21,IC4&gt;=IG$25,IB4&lt;&gt;""),AND(IE4&gt;=IG$21,IF4&gt;=IG$25,IE4&lt;&gt;""),AND(JB4&gt;=JG$21,JC4&gt;=JG$25,JB4&lt;&gt;""),AND(JE4&gt;=JG$21,JF4&gt;=JG$25,JE4&lt;&gt;""),AND(KB4&gt;=KG$21,KC4&gt;=KG$25,KB4&lt;&gt;""),AND(KE4&gt;=KG$21,KF4&gt;=KG$25,KE4&lt;&gt;""),AND(LB4&gt;=LG$21,LC4&gt;=LG$25,LB4&lt;&gt;""),AND(LE4&gt;=LG$21,LF4&gt;=LG$25,LE4&lt;&gt;""),AND(MB4&gt;=MG$21,MC4&gt;=MG$25,MB4&lt;&gt;""),AND(ME4&gt;=MG$21,MF4&gt;=MG$25,ME4&lt;&gt;""),AND(NB4&gt;=NG$21,NC4&gt;=NG$25,NB4&lt;&gt;""),AND(NE4&gt;=NG$21,NF4&gt;=NG$25,NE4&lt;&gt;""),AND(OB4&gt;=OG$21,OC4&gt;=OG$25,OB4&lt;&gt;""),AND(OE4&gt;=OG$21,OF4&gt;=OG$25,OE4&lt;&gt;"")),"Excellence",IF(F4="P","National Team",""))))</f>
        <v>National Team</v>
      </c>
      <c r="I4" s="9">
        <f>IF(COUNT(AJ4,BF4,CB4)&gt;0,LARGE((AJ4,BF4,CB4),1),0)</f>
        <v>51.199999999999996</v>
      </c>
      <c r="J4" s="9" t="str">
        <f t="shared" ref="J4:J16" si="4">IF(I4=0,"",IF(I4=CB4,$BJ$1,IF(I4=BF4,$AN$1,IF(I4=AJ4,$R$1,""))))</f>
        <v>2025 Elite Canada</v>
      </c>
      <c r="K4" s="9">
        <f>IF(COUNT(AJ4,BF4,CB4)&gt;1,LARGE((AJ4,BF4,CB4),2),0)</f>
        <v>50.9</v>
      </c>
      <c r="L4" s="9" t="str">
        <f t="shared" ref="L4:L16" si="5">IF(K4=0,"",IF(AND(K4=I4,K4=AJ4,K4=BF4),$R$1,IF(AND(K4=I4,K4=AJ4,K4=CB4),$R$1,IF(AND(K4=I4,K4=CB4,K4=BF4),$AN$1,IF(K4=CB4,$BJ$1,IF(K4=BF4,$AN$1,IF(K4=AJ4,$R$1,"")))))))</f>
        <v>2025 Nationals</v>
      </c>
      <c r="M4" s="9">
        <f t="shared" ref="M4:M16" si="6">IF(MAX(AL4,BH4,CD4)&gt;0,MAX(AL4,BH4,CD4),0)</f>
        <v>52.1</v>
      </c>
      <c r="N4" s="9" t="str">
        <f t="shared" ref="N4:N16" si="7">IF(M4=0,"",IF(M4=CD4,$BJ$1,IF(M4=BH4,$AN$1,IF(M4=AL4,$R$1,""))))</f>
        <v>2025 Nationals</v>
      </c>
      <c r="O4" s="9">
        <f t="shared" ref="O4:O16" si="8">IF(MAX(CF4:CG4)&gt;0,MAX(CF4:CG4),"")</f>
        <v>0.39999999999999858</v>
      </c>
      <c r="P4" s="14" t="str">
        <f t="shared" ref="P4:P16" si="9">IF(O4="","",IF(O4=CF4,"("&amp;CF$2&amp;")",IF(O4=CG4,"("&amp;CG$2&amp;")")))</f>
        <v>(Q1)</v>
      </c>
      <c r="Q4" s="9" t="str">
        <f t="shared" ref="Q4:Q16" si="10">IF(O4="","",IF(O4=CF4,IF(O4+IF(K4="",0,K4)=OC4,$NH$1,IF(O4+IF(K4="",0,K4)=NC4,$MH$1,IF(O4+IF(K4="",0,K4)=MC4,$LH$1,IF(O4+IF(K4="",0,K4)=LC4,$KH$1,IF(O4+IF(K4="",0,K4)=KC4,$JH$1,IF(O4+IF(K4="",0,K4)=JC4,$IH$1,IF(O4+IF(K4="",0,K4)=IC4,$HH$1,IF(O4+IF(K4="",0,K4)=HC4,$GH$1,IF(O4+IF(K4="",0,K4)=GC4,$FH$1,IF(O4+IF(K4="",0,K4)=FC4,$EH$1,IF(O4+IF(K4="",0,K4)=EC4,$DH$1,IF(O4+IF(K4="",0,K4)=DC4,$CH$1)))))))))))),IF(O4=CG4,IF(O4+IF(M4="",0,M4)=OF4,$NH$1,IF(O4+IF(M4="",0,M4)=NF4,$MH$1,IF(O4+IF(M4="",0,M4)=MF4,$LH$1,IF(O4+IF(M4="",0,M4)=LF4,$KH$1,IF(O4+IF(M4="",0,M4)=KF4,$JH$1,IF(O4+IF(M4="",0,M4)=JF4,$IH$1,IF(O4+IF(M4="",0,M4)=IF4,$HH$1,IF(O4+IF(M4="",0,M4)=HF4,$GH$1,IF(O4+IF(M4="",0,M4)=GF4,$FH$1,IF(O4+IF(M4="",0,M4)=FF4,$EH$1,IF(O4+IF(M4="",0,M4)=EF4,$DH$1,IF(O4+IF(M4="",0,M4)=DF4,$CH$1)))))))))))))))</f>
        <v>2025 WAGC (Nov 16)</v>
      </c>
      <c r="R4" s="20">
        <v>19</v>
      </c>
      <c r="S4" s="20">
        <v>6.4</v>
      </c>
      <c r="T4" s="20">
        <v>0</v>
      </c>
      <c r="U4" s="20">
        <v>0</v>
      </c>
      <c r="V4" s="20">
        <v>19</v>
      </c>
      <c r="W4" s="20">
        <v>6.8</v>
      </c>
      <c r="X4" s="20">
        <v>0</v>
      </c>
      <c r="Y4" s="20">
        <v>0</v>
      </c>
      <c r="Z4" s="20">
        <v>18.7</v>
      </c>
      <c r="AA4" s="20">
        <v>6.4</v>
      </c>
      <c r="AB4" s="20">
        <v>0</v>
      </c>
      <c r="AC4" s="20">
        <v>0</v>
      </c>
      <c r="AD4" s="20">
        <v>18.5</v>
      </c>
      <c r="AE4" s="20">
        <v>7.6</v>
      </c>
      <c r="AF4" s="20">
        <v>0.2</v>
      </c>
      <c r="AG4" s="20">
        <v>0</v>
      </c>
      <c r="AH4" s="32"/>
      <c r="AI4" s="55">
        <f t="shared" ref="AI4:AI16" si="11">IF(SUM(S4,W4)&gt;0,SUM(S4,W4),"")</f>
        <v>13.2</v>
      </c>
      <c r="AJ4" s="55">
        <f t="shared" ref="AJ4:AJ16" si="12">IF(SUM(R4:S4,U4:W4,Y4)-T4-X4&gt;0,SUM(R4:S4,U4:W4,Y4)-T4-X4,"")</f>
        <v>51.199999999999996</v>
      </c>
      <c r="AK4" s="55">
        <f t="shared" ref="AK4:AK16" si="13">IF(SUM(AA4,AE4)&gt;0,SUM(AA4,AE4),"")</f>
        <v>14</v>
      </c>
      <c r="AL4" s="55">
        <f t="shared" ref="AL4:AL16" si="14">IF(SUM(Z4:AA4,AC4:AE4,AG4)-SUM(AB4,AF4)&gt;0,SUM(Z4:AA4,AC4:AE4,AG4)-SUM(AB4,AF4),"")</f>
        <v>51</v>
      </c>
      <c r="AM4" s="55">
        <f t="shared" ref="AM4:AM16" si="15">IF(SUM(AJ4,AL4)&gt;0,SUM(AJ4,AL4),"")</f>
        <v>102.19999999999999</v>
      </c>
      <c r="AN4" s="19">
        <v>19.2</v>
      </c>
      <c r="AO4" s="19">
        <v>6.4</v>
      </c>
      <c r="AP4" s="19">
        <v>0</v>
      </c>
      <c r="AQ4" s="19">
        <v>0</v>
      </c>
      <c r="AR4" s="19">
        <v>19.100000000000001</v>
      </c>
      <c r="AS4" s="19">
        <v>6.8</v>
      </c>
      <c r="AT4" s="19">
        <v>0.6</v>
      </c>
      <c r="AU4" s="19">
        <v>0</v>
      </c>
      <c r="AV4" s="19">
        <v>18.7</v>
      </c>
      <c r="AW4" s="19">
        <v>6.8</v>
      </c>
      <c r="AX4" s="19">
        <v>0</v>
      </c>
      <c r="AY4" s="19">
        <v>0</v>
      </c>
      <c r="AZ4" s="19">
        <v>18.600000000000001</v>
      </c>
      <c r="BA4" s="19">
        <v>8</v>
      </c>
      <c r="BB4" s="19">
        <v>0</v>
      </c>
      <c r="BC4" s="19">
        <v>0</v>
      </c>
      <c r="BD4" s="33"/>
      <c r="BE4" s="14">
        <f t="shared" ref="BE4:BE16" si="16">IF(SUM(AO4,AS4)&gt;0,SUM(AO4,AS4),"")</f>
        <v>13.2</v>
      </c>
      <c r="BF4" s="14">
        <f t="shared" ref="BF4:BF16" si="17">IF(SUM(AN4:AO4,AQ4:AS4,AU4)-AP4-AT4&gt;0,SUM(AN4:AO4,AQ4:AS4,AU4)-AP4-AT4,"")</f>
        <v>50.9</v>
      </c>
      <c r="BG4" s="14">
        <f t="shared" ref="BG4:BG16" si="18">IF(SUM(AW4,BA4)&gt;0,SUM(AW4,BA4),"")</f>
        <v>14.8</v>
      </c>
      <c r="BH4" s="14">
        <f t="shared" ref="BH4:BH16" si="19">IF(SUM(AV4:AW4,AY4:BA4,BC4)-SUM(AX4,BB4)&gt;0,SUM(AV4:AW4,AY4:BA4,BC4)-SUM(AX4,BB4),"")</f>
        <v>52.1</v>
      </c>
      <c r="BI4" s="14">
        <f t="shared" ref="BI4:BI16" si="20">IF(SUM(BF4,BH4)&gt;0,SUM(BF4,BH4),"")</f>
        <v>103</v>
      </c>
      <c r="BJ4" s="20">
        <v>18.8</v>
      </c>
      <c r="BK4" s="20">
        <v>6.4</v>
      </c>
      <c r="BL4" s="20">
        <v>0</v>
      </c>
      <c r="BM4" s="20">
        <v>0</v>
      </c>
      <c r="BN4" s="20">
        <v>15.3</v>
      </c>
      <c r="BO4" s="20">
        <v>3.2</v>
      </c>
      <c r="BP4" s="20">
        <v>0</v>
      </c>
      <c r="BQ4" s="20">
        <v>0</v>
      </c>
      <c r="BR4" s="20">
        <v>18.100000000000001</v>
      </c>
      <c r="BS4" s="20">
        <v>4.8</v>
      </c>
      <c r="BT4" s="20">
        <v>0</v>
      </c>
      <c r="BU4" s="20">
        <v>0</v>
      </c>
      <c r="BV4" s="20">
        <v>18.8</v>
      </c>
      <c r="BW4" s="20">
        <v>5.2</v>
      </c>
      <c r="BX4" s="20">
        <v>0.2</v>
      </c>
      <c r="BY4" s="20">
        <v>0</v>
      </c>
      <c r="BZ4" s="32"/>
      <c r="CA4" s="55">
        <f t="shared" ref="CA4:CA16" si="21">IF(SUM(BK4,BO4)&gt;0,SUM(BK4,BO4),"")</f>
        <v>9.6000000000000014</v>
      </c>
      <c r="CB4" s="55">
        <f t="shared" ref="CB4:CB16" si="22">IF(SUM(BJ4:BK4,BM4:BO4,BQ4)-BL4-BP4&gt;0,SUM(BJ4:BK4,BM4:BO4,BQ4)-BL4-BP4,"")</f>
        <v>43.7</v>
      </c>
      <c r="CC4" s="55">
        <f t="shared" ref="CC4:CC16" si="23">IF(SUM(BS4,BW4)&gt;0,SUM(BS4,BW4),"")</f>
        <v>10</v>
      </c>
      <c r="CD4" s="55">
        <f t="shared" ref="CD4:CD16" si="24">IF(SUM(BR4:BS4,BU4:BW4,BY4)-SUM(BT4,BX4)&gt;0,SUM(BR4:BS4,BU4:BW4,BY4)-SUM(BT4,BX4),"")</f>
        <v>46.7</v>
      </c>
      <c r="CE4" s="55">
        <f t="shared" ref="CE4:CE16" si="25">IF(SUM(CB4,CD4)&gt;0,SUM(CB4,CD4),"")</f>
        <v>90.4</v>
      </c>
      <c r="CF4" s="56">
        <f t="shared" ref="CF4:CF16" si="26">IF(MAX(DC4,EC4,FC4,GC4,HC4,IC4,JC4,KC4,LC4,MC4,NC4,OC4)-IF(K4="",0,K4)&gt;0.001,MAX(DC4,EC4,FC4,GC4,HC4,IC4,JC4,KC4,LC4,MC4,NC4,OC4)-IF(K4="",0,K4),"")</f>
        <v>0.39999999999999858</v>
      </c>
      <c r="CG4" s="56" t="str">
        <f t="shared" ref="CG4:CG16" si="27">IF(MAX(DF4,EF4,FF4,GF4,HF4,IF4,JF4,KF4,LF4,MF4,NF4,OF4)-IF(M4="",0,M4)&gt;0.001,MAX(DF4,EF4,FF4,GF4,HF4,IF4,JF4,KF4,LF4,MF4,NF4,OF4)-IF(M4="",0,M4),"")</f>
        <v/>
      </c>
      <c r="CH4" s="18">
        <v>18.899999999999999</v>
      </c>
      <c r="CI4" s="18">
        <v>6.4</v>
      </c>
      <c r="CJ4" s="18">
        <v>0</v>
      </c>
      <c r="CK4" s="18">
        <v>0</v>
      </c>
      <c r="CL4" s="18">
        <v>19.2</v>
      </c>
      <c r="CM4" s="18">
        <v>6.8</v>
      </c>
      <c r="CN4" s="18">
        <v>0</v>
      </c>
      <c r="CO4" s="18">
        <v>0</v>
      </c>
      <c r="CP4" s="18">
        <v>18.600000000000001</v>
      </c>
      <c r="CQ4" s="18">
        <v>6.8</v>
      </c>
      <c r="CR4" s="18">
        <v>0</v>
      </c>
      <c r="CS4" s="18">
        <v>0</v>
      </c>
      <c r="CT4" s="18">
        <v>18.8</v>
      </c>
      <c r="CU4" s="18">
        <v>6.4</v>
      </c>
      <c r="CV4" s="18">
        <v>0.6</v>
      </c>
      <c r="CW4" s="18">
        <v>0</v>
      </c>
      <c r="CX4" s="18"/>
      <c r="CY4" s="18"/>
      <c r="CZ4" s="18"/>
      <c r="DA4" s="18"/>
      <c r="DB4" s="55">
        <f t="shared" ref="DB4:DB16" si="28">IF(SUM(CI4,CM4)&gt;0,SUM(CI4,CM4),"")</f>
        <v>13.2</v>
      </c>
      <c r="DC4" s="55">
        <f t="shared" ref="DC4:DC16" si="29">IF(SUM(CH4:CI4,CK4:CM4,CO4)-CJ4-CN4&gt;0,SUM(CH4:CI4,CK4:CM4,CO4)-CJ4-CN4,"")</f>
        <v>51.3</v>
      </c>
      <c r="DD4" s="55">
        <f t="shared" ref="DD4:DD16" si="30">IF(SUM(CP4:CQ4,CS4)-CR4&gt;0,SUM(CP4:CQ4,CS4)-CR4,"")</f>
        <v>25.400000000000002</v>
      </c>
      <c r="DE4" s="55">
        <f t="shared" ref="DE4:DE16" si="31">IF(SUM(CU4,CY4)&gt;0,SUM(CU4,CY4),"")</f>
        <v>6.4</v>
      </c>
      <c r="DF4" s="55">
        <f t="shared" ref="DF4:DF16" si="32">IF(SUM(CT4:CU4,CW4:CY4,DA4)-SUM(CV4,CZ4)&gt;0,SUM(CT4:CU4,CW4:CY4,DA4)-SUM(CV4,CZ4),"")</f>
        <v>24.6</v>
      </c>
      <c r="DG4" s="55">
        <f t="shared" ref="DG4:DG16" si="33">IF(SUM(DC4,DD4,DF4)&gt;0,SUM(DC4,DD4,DF4),"")</f>
        <v>101.30000000000001</v>
      </c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19"/>
      <c r="EA4" s="19"/>
      <c r="EB4" s="14" t="str">
        <f t="shared" ref="EB4:EB16" si="34">IF(SUM(DI4,DM4)&gt;0,SUM(DI4,DM4),"")</f>
        <v/>
      </c>
      <c r="EC4" s="14" t="str">
        <f t="shared" ref="EC4:EC16" si="35">IF(SUM(DH4:DI4,DK4:DM4,DO4)-DJ4-DN4&gt;0,SUM(DH4:DI4,DK4:DM4,DO4)-DJ4-DN4,"")</f>
        <v/>
      </c>
      <c r="ED4" s="14" t="str">
        <f t="shared" ref="ED4:ED16" si="36">IF(SUM(DP4:DQ4,DS4)-DR4&gt;0,SUM(DP4:DQ4,DS4)-DR4,"")</f>
        <v/>
      </c>
      <c r="EE4" s="14" t="str">
        <f t="shared" ref="EE4:EE16" si="37">IF(SUM(DU4,DY4)&gt;0,SUM(DU4,DY4),"")</f>
        <v/>
      </c>
      <c r="EF4" s="14" t="str">
        <f t="shared" ref="EF4:EF16" si="38">IF(SUM(DT4:DU4,DW4:DY4,EA4)-SUM(DV4,DZ4)&gt;0,SUM(DT4:DU4,DW4:DY4,EA4)-SUM(DV4,DZ4),"")</f>
        <v/>
      </c>
      <c r="EG4" s="14" t="str">
        <f t="shared" ref="EG4:EG16" si="39">IF(SUM(EC4,ED4,EF4)&gt;0,SUM(EC4,ED4,EF4),"")</f>
        <v/>
      </c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55" t="str">
        <f t="shared" ref="FB4:FB16" si="40">IF(SUM(EI4,EM4)&gt;0,SUM(EI4,EM4),"")</f>
        <v/>
      </c>
      <c r="FC4" s="55" t="str">
        <f t="shared" ref="FC4:FC16" si="41">IF(SUM(EH4:EI4,EK4:EM4,EO4)-EJ4-EN4&gt;0,SUM(EH4:EI4,EK4:EM4,EO4)-EJ4-EN4,"")</f>
        <v/>
      </c>
      <c r="FD4" s="55" t="str">
        <f t="shared" ref="FD4:FD16" si="42">IF(SUM(EP4:EQ4,ES4)-ER4&gt;0,SUM(EP4:EQ4,ES4)-ER4,"")</f>
        <v/>
      </c>
      <c r="FE4" s="55" t="str">
        <f t="shared" ref="FE4:FE16" si="43">IF(SUM(EU4,EY4)&gt;0,SUM(EU4,EY4),"")</f>
        <v/>
      </c>
      <c r="FF4" s="55" t="str">
        <f t="shared" ref="FF4:FF16" si="44">IF(SUM(ET4:EU4,EW4:EY4,FA4)-SUM(EV4,EZ4)&gt;0,SUM(ET4:EU4,EW4:EY4,FA4)-SUM(EV4,EZ4),"")</f>
        <v/>
      </c>
      <c r="FG4" s="55" t="str">
        <f t="shared" ref="FG4:FG16" si="45">IF(SUM(FC4,FD4,FF4)&gt;0,SUM(FC4,FD4,FF4),"")</f>
        <v/>
      </c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9"/>
      <c r="FV4" s="19"/>
      <c r="FW4" s="19"/>
      <c r="FX4" s="19"/>
      <c r="FY4" s="19"/>
      <c r="FZ4" s="19"/>
      <c r="GA4" s="19"/>
      <c r="GB4" s="14" t="str">
        <f t="shared" ref="GB4:GB16" si="46">IF(SUM(FI4,FM4)&gt;0,SUM(FI4,FM4),"")</f>
        <v/>
      </c>
      <c r="GC4" s="14" t="str">
        <f t="shared" ref="GC4:GC16" si="47">IF(SUM(FH4:FI4,FK4:FM4,FO4)-FJ4-FN4&gt;0,SUM(FH4:FI4,FK4:FM4,FO4)-FJ4-FN4,"")</f>
        <v/>
      </c>
      <c r="GD4" s="14" t="str">
        <f t="shared" ref="GD4:GD16" si="48">IF(SUM(FP4:FQ4,FS4)-FR4&gt;0,SUM(FP4:FQ4,FS4)-FR4,"")</f>
        <v/>
      </c>
      <c r="GE4" s="14" t="str">
        <f t="shared" ref="GE4:GE16" si="49">IF(SUM(FU4,FY4)&gt;0,SUM(FU4,FY4),"")</f>
        <v/>
      </c>
      <c r="GF4" s="14" t="str">
        <f t="shared" ref="GF4:GF16" si="50">IF(SUM(FT4:FU4,FW4:FY4,GA4)-SUM(FV4,FZ4)&gt;0,SUM(FT4:FU4,FW4:FY4,GA4)-SUM(FV4,FZ4),"")</f>
        <v/>
      </c>
      <c r="GG4" s="14" t="str">
        <f t="shared" ref="GG4:GG16" si="51">IF(SUM(GC4,GD4,GF4)&gt;0,SUM(GC4,GD4,GF4),"")</f>
        <v/>
      </c>
      <c r="GH4" s="18"/>
      <c r="GI4" s="18"/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55" t="str">
        <f t="shared" ref="HB4:HB16" si="52">IF(SUM(GI4,GM4)&gt;0,SUM(GI4,GM4),"")</f>
        <v/>
      </c>
      <c r="HC4" s="55" t="str">
        <f t="shared" ref="HC4:HC16" si="53">IF(SUM(GH4:GI4,GK4:GM4,GO4)-GJ4-GN4&gt;0,SUM(GH4:GI4,GK4:GM4,GO4)-GJ4-GN4,"")</f>
        <v/>
      </c>
      <c r="HD4" s="55" t="str">
        <f t="shared" ref="HD4:HD16" si="54">IF(SUM(GP4:GQ4,GS4)-GR4&gt;0,SUM(GP4:GQ4,GS4)-GR4,"")</f>
        <v/>
      </c>
      <c r="HE4" s="55" t="str">
        <f t="shared" ref="HE4:HE16" si="55">IF(SUM(GU4,GY4)&gt;0,SUM(GU4,GY4),"")</f>
        <v/>
      </c>
      <c r="HF4" s="55" t="str">
        <f t="shared" ref="HF4:HF16" si="56">IF(SUM(GT4:GU4,GW4:GY4,HA4)-SUM(GV4,GZ4)&gt;0,SUM(GT4:GU4,GW4:GY4,HA4)-SUM(GV4,GZ4),"")</f>
        <v/>
      </c>
      <c r="HG4" s="55" t="str">
        <f t="shared" ref="HG4:HG16" si="57">IF(SUM(HC4,HD4,HF4)&gt;0,SUM(HC4,HD4,HF4),"")</f>
        <v/>
      </c>
      <c r="HH4" s="19"/>
      <c r="HI4" s="19"/>
      <c r="HJ4" s="19"/>
      <c r="HK4" s="19"/>
      <c r="HL4" s="19"/>
      <c r="HM4" s="19"/>
      <c r="HN4" s="19"/>
      <c r="HO4" s="19"/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4" t="str">
        <f t="shared" ref="IB4:IB16" si="58">IF(SUM(HI4,HM4)&gt;0,SUM(HI4,HM4),"")</f>
        <v/>
      </c>
      <c r="IC4" s="14" t="str">
        <f t="shared" ref="IC4:IC16" si="59">IF(SUM(HH4:HI4,HK4:HM4,HO4)-HJ4-HN4&gt;0,SUM(HH4:HI4,HK4:HM4,HO4)-HJ4-HN4,"")</f>
        <v/>
      </c>
      <c r="ID4" s="14" t="str">
        <f t="shared" ref="ID4:ID16" si="60">IF(SUM(HP4:HQ4,HS4)-HR4&gt;0,SUM(HP4:HQ4,HS4)-HR4,"")</f>
        <v/>
      </c>
      <c r="IE4" s="14" t="str">
        <f t="shared" ref="IE4:IE16" si="61">IF(SUM(HU4,HY4)&gt;0,SUM(HU4,HY4),"")</f>
        <v/>
      </c>
      <c r="IF4" s="14" t="str">
        <f t="shared" ref="IF4:IF16" si="62">IF(SUM(HT4:HU4,HW4:HY4,IA4)-SUM(HV4,HZ4)&gt;0,SUM(HT4:HU4,HW4:HY4,IA4)-SUM(HV4,HZ4),"")</f>
        <v/>
      </c>
      <c r="IG4" s="14" t="str">
        <f t="shared" ref="IG4:IG16" si="63">IF(SUM(IC4,ID4,IF4)&gt;0,SUM(IC4,ID4,IF4),"")</f>
        <v/>
      </c>
      <c r="IH4" s="18"/>
      <c r="II4" s="18"/>
      <c r="IJ4" s="18"/>
      <c r="IK4" s="18"/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55" t="str">
        <f t="shared" ref="JB4:JB16" si="64">IF(SUM(II4,IM4)&gt;0,SUM(II4,IM4),"")</f>
        <v/>
      </c>
      <c r="JC4" s="55" t="str">
        <f t="shared" ref="JC4:JC16" si="65">IF(SUM(IH4:II4,IK4:IM4,IO4)-IJ4-IN4&gt;0,SUM(IH4:II4,IK4:IM4,IO4)-IJ4-IN4,"")</f>
        <v/>
      </c>
      <c r="JD4" s="55" t="str">
        <f t="shared" ref="JD4:JD16" si="66">IF(SUM(IP4:IQ4,IS4)-IR4&gt;0,SUM(IP4:IQ4,IS4)-IR4,"")</f>
        <v/>
      </c>
      <c r="JE4" s="55" t="str">
        <f t="shared" ref="JE4:JE16" si="67">IF(SUM(IU4,IY4)&gt;0,SUM(IU4,IY4),"")</f>
        <v/>
      </c>
      <c r="JF4" s="55" t="str">
        <f t="shared" ref="JF4:JF16" si="68">IF(SUM(IT4:IU4,IW4:IY4,JA4)-SUM(IV4,IZ4)&gt;0,SUM(IT4:IU4,IW4:IY4,JA4)-SUM(IV4,IZ4),"")</f>
        <v/>
      </c>
      <c r="JG4" s="55" t="str">
        <f t="shared" ref="JG4:JG16" si="69">IF(SUM(JC4,JD4,JF4)&gt;0,SUM(JC4,JD4,JF4),"")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19"/>
      <c r="JX4" s="19"/>
      <c r="JY4" s="19"/>
      <c r="JZ4" s="19"/>
      <c r="KA4" s="19"/>
      <c r="KB4" s="14" t="str">
        <f t="shared" ref="KB4:KB16" si="70">IF(SUM(JI4,JM4)&gt;0,SUM(JI4,JM4),"")</f>
        <v/>
      </c>
      <c r="KC4" s="14" t="str">
        <f t="shared" ref="KC4:KC16" si="71">IF(SUM(JH4:JI4,JK4:JM4,JO4)-JJ4-JN4&gt;0,SUM(JH4:JI4,JK4:JM4,JO4)-JJ4-JN4,"")</f>
        <v/>
      </c>
      <c r="KD4" s="14" t="str">
        <f t="shared" ref="KD4:KD16" si="72">IF(SUM(JP4:JQ4,JS4)-JR4&gt;0,SUM(JP4:JQ4,JS4)-JR4,"")</f>
        <v/>
      </c>
      <c r="KE4" s="14" t="str">
        <f t="shared" ref="KE4:KE16" si="73">IF(SUM(JU4,JY4)&gt;0,SUM(JU4,JY4),"")</f>
        <v/>
      </c>
      <c r="KF4" s="14" t="str">
        <f t="shared" ref="KF4:KF16" si="74">IF(SUM(JT4:JU4,JW4:JY4,KA4)-SUM(JV4,JZ4)&gt;0,SUM(JT4:JU4,JW4:JY4,KA4)-SUM(JV4,JZ4),"")</f>
        <v/>
      </c>
      <c r="KG4" s="14" t="str">
        <f t="shared" ref="KG4:KG16" si="75">IF(SUM(KC4,KD4,KF4)&gt;0,SUM(KC4,KD4,KF4),"")</f>
        <v/>
      </c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55" t="str">
        <f t="shared" ref="LB4:LB16" si="76">IF(SUM(KI4,KM4)&gt;0,SUM(KI4,KM4),"")</f>
        <v/>
      </c>
      <c r="LC4" s="55" t="str">
        <f t="shared" ref="LC4:LC16" si="77">IF(SUM(KH4:KI4,KK4:KM4,KO4)-KJ4-KN4&gt;0,SUM(KH4:KI4,KK4:KM4,KO4)-KJ4-KN4,"")</f>
        <v/>
      </c>
      <c r="LD4" s="55" t="str">
        <f t="shared" ref="LD4:LD16" si="78">IF(SUM(KP4:KQ4,KS4)-KR4&gt;0,SUM(KP4:KQ4,KS4)-KR4,"")</f>
        <v/>
      </c>
      <c r="LE4" s="55" t="str">
        <f t="shared" ref="LE4:LE16" si="79">IF(SUM(KU4,KY4)&gt;0,SUM(KU4,KY4),"")</f>
        <v/>
      </c>
      <c r="LF4" s="55" t="str">
        <f t="shared" ref="LF4:LF16" si="80">IF(SUM(KT4:KU4,KW4:KY4,LA4)-SUM(KV4,KZ4)&gt;0,SUM(KT4:KU4,KW4:KY4,LA4)-SUM(KV4,KZ4),"")</f>
        <v/>
      </c>
      <c r="LG4" s="55" t="str">
        <f t="shared" ref="LG4:LG16" si="81">IF(SUM(LC4,LD4,LF4)&gt;0,SUM(LC4,LD4,LF4),"")</f>
        <v/>
      </c>
      <c r="LH4" s="19"/>
      <c r="LI4" s="19"/>
      <c r="LJ4" s="19"/>
      <c r="LK4" s="19"/>
      <c r="LL4" s="19"/>
      <c r="LM4" s="19"/>
      <c r="LN4" s="19"/>
      <c r="LO4" s="19"/>
      <c r="LP4" s="19"/>
      <c r="LQ4" s="19"/>
      <c r="LR4" s="19"/>
      <c r="LS4" s="19"/>
      <c r="LT4" s="19"/>
      <c r="LU4" s="19"/>
      <c r="LV4" s="19"/>
      <c r="LW4" s="19"/>
      <c r="LX4" s="19"/>
      <c r="LY4" s="19"/>
      <c r="LZ4" s="19"/>
      <c r="MA4" s="19"/>
      <c r="MB4" s="14" t="str">
        <f t="shared" ref="MB4:MB16" si="82">IF(SUM(LI4,LM4)&gt;0,SUM(LI4,LM4),"")</f>
        <v/>
      </c>
      <c r="MC4" s="14" t="str">
        <f t="shared" ref="MC4:MC16" si="83">IF(SUM(LH4:LI4,LK4:LM4,LO4)-LJ4-LN4&gt;0,SUM(LH4:LI4,LK4:LM4,LO4)-LJ4-LN4,"")</f>
        <v/>
      </c>
      <c r="MD4" s="14" t="str">
        <f t="shared" ref="MD4:MD16" si="84">IF(SUM(LP4:LQ4,LS4)-LR4&gt;0,SUM(LP4:LQ4,LS4)-LR4,"")</f>
        <v/>
      </c>
      <c r="ME4" s="14" t="str">
        <f t="shared" ref="ME4:ME16" si="85">IF(SUM(LU4,LY4)&gt;0,SUM(LU4,LY4),"")</f>
        <v/>
      </c>
      <c r="MF4" s="14" t="str">
        <f t="shared" ref="MF4:MF16" si="86">IF(SUM(LT4:LU4,LW4:LY4,MA4)-SUM(LV4,LZ4)&gt;0,SUM(LT4:LU4,LW4:LY4,MA4)-SUM(LV4,LZ4),"")</f>
        <v/>
      </c>
      <c r="MG4" s="14" t="str">
        <f t="shared" ref="MG4:MG16" si="87">IF(SUM(MC4,MD4,MF4)&gt;0,SUM(MC4,MD4,MF4),"")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55" t="str">
        <f t="shared" ref="NB4:NB16" si="88">IF(SUM(MI4,MM4)&gt;0,SUM(MI4,MM4),"")</f>
        <v/>
      </c>
      <c r="NC4" s="55" t="str">
        <f t="shared" ref="NC4:NC16" si="89">IF(SUM(MH4:MI4,MK4:MM4,MO4)-MJ4-MN4&gt;0,SUM(MH4:MI4,MK4:MM4,MO4)-MJ4-MN4,"")</f>
        <v/>
      </c>
      <c r="ND4" s="55" t="str">
        <f t="shared" ref="ND4:ND16" si="90">IF(SUM(MP4:MQ4,MS4)-MR4&gt;0,SUM(MP4:MQ4,MS4)-MR4,"")</f>
        <v/>
      </c>
      <c r="NE4" s="55" t="str">
        <f t="shared" ref="NE4:NE16" si="91">IF(SUM(MU4,MY4)&gt;0,SUM(MU4,MY4),"")</f>
        <v/>
      </c>
      <c r="NF4" s="55" t="str">
        <f t="shared" ref="NF4:NF16" si="92">IF(SUM(MT4:MU4,MW4:MY4,NA4)-SUM(MV4,MZ4)&gt;0,SUM(MT4:MU4,MW4:MY4,NA4)-SUM(MV4,MZ4),"")</f>
        <v/>
      </c>
      <c r="NG4" s="55" t="str">
        <f t="shared" ref="NG4:NG16" si="93">IF(SUM(NC4,ND4,NF4)&gt;0,SUM(NC4,ND4,NF4),"")</f>
        <v/>
      </c>
      <c r="NH4" s="19"/>
      <c r="NI4" s="19"/>
      <c r="NJ4" s="19"/>
      <c r="NK4" s="19"/>
      <c r="NL4" s="19"/>
      <c r="NM4" s="19"/>
      <c r="NN4" s="19"/>
      <c r="NO4" s="19"/>
      <c r="NP4" s="19"/>
      <c r="NQ4" s="19"/>
      <c r="NR4" s="19"/>
      <c r="NS4" s="19"/>
      <c r="NT4" s="19"/>
      <c r="NU4" s="19"/>
      <c r="NV4" s="19"/>
      <c r="NW4" s="19"/>
      <c r="NX4" s="19"/>
      <c r="NY4" s="19"/>
      <c r="NZ4" s="19"/>
      <c r="OA4" s="19"/>
      <c r="OB4" s="14" t="str">
        <f t="shared" ref="OB4:OB16" si="94">IF(SUM(NI4,NM4)&gt;0,SUM(NI4,NM4),"")</f>
        <v/>
      </c>
      <c r="OC4" s="14" t="str">
        <f t="shared" ref="OC4:OC16" si="95">IF(SUM(NH4:NI4,NK4:NM4,NO4)-NJ4-NN4&gt;0,SUM(NH4:NI4,NK4:NM4,NO4)-NJ4-NN4,"")</f>
        <v/>
      </c>
      <c r="OD4" s="14" t="str">
        <f t="shared" ref="OD4:OD16" si="96">IF(SUM(NP4:NQ4,NS4)-NR4&gt;0,SUM(NP4:NQ4,NS4)-NR4,"")</f>
        <v/>
      </c>
      <c r="OE4" s="14" t="str">
        <f t="shared" ref="OE4:OE16" si="97">IF(SUM(NU4,NY4)&gt;0,SUM(NU4,NY4),"")</f>
        <v/>
      </c>
      <c r="OF4" s="14" t="str">
        <f t="shared" ref="OF4:OF16" si="98">IF(SUM(NT4:NU4,NW4:NY4,OA4)-SUM(NV4,NZ4)&gt;0,SUM(NT4:NU4,NW4:NY4,OA4)-SUM(NV4,NZ4),"")</f>
        <v/>
      </c>
      <c r="OG4" s="14" t="str">
        <f t="shared" ref="OG4:OG16" si="99">IF(SUM(OC4,OD4,OF4)&gt;0,SUM(OC4,OD4,OF4),"")</f>
        <v/>
      </c>
      <c r="OH4" s="27">
        <f t="shared" ref="OH4:OH16" si="100">IF($BZ4="P",BJ4,(BJ4+AN4)/2)</f>
        <v>19</v>
      </c>
      <c r="OI4" s="27">
        <f t="shared" ref="OI4:OI16" si="101">IF($BZ4="P",BK4,(BK4+AO4)/2)</f>
        <v>6.4</v>
      </c>
      <c r="OJ4" s="27">
        <f t="shared" ref="OJ4:OJ16" si="102">IF($BZ4="P",BL4,(BL4+AP4)/2)</f>
        <v>0</v>
      </c>
      <c r="OK4" s="27">
        <f t="shared" ref="OK4:OK16" si="103">IF($BZ4="P",BM4,(BM4+AQ4)/2)</f>
        <v>0</v>
      </c>
      <c r="OL4" s="27">
        <f t="shared" ref="OL4:OL16" si="104">IF($BZ4="P",BN4,(BN4+AR4)/2)</f>
        <v>17.200000000000003</v>
      </c>
      <c r="OM4" s="27">
        <f t="shared" ref="OM4:OM16" si="105">IF($BZ4="P",BO4,(BO4+AS4)/2)</f>
        <v>5</v>
      </c>
      <c r="ON4" s="27">
        <f t="shared" ref="ON4:ON16" si="106">IF($BZ4="P",BP4,(BP4+AT4)/2)</f>
        <v>0.3</v>
      </c>
      <c r="OO4" s="27">
        <f t="shared" ref="OO4:OO16" si="107">IF($BZ4="P",BQ4,(BQ4+AU4)/2)</f>
        <v>0</v>
      </c>
      <c r="OP4" s="27">
        <f t="shared" ref="OP4:OP16" si="108">IF($BZ4="P",BR4,(BR4+AV4)/2)</f>
        <v>18.399999999999999</v>
      </c>
      <c r="OQ4" s="27">
        <f t="shared" ref="OQ4:OQ16" si="109">IF($BZ4="P",BS4,(BS4+AW4)/2)</f>
        <v>5.8</v>
      </c>
      <c r="OR4" s="27">
        <f t="shared" ref="OR4:OR16" si="110">IF($BZ4="P",BT4,(BT4+AX4)/2)</f>
        <v>0</v>
      </c>
      <c r="OS4" s="27">
        <f t="shared" ref="OS4:OS16" si="111">IF($BZ4="P",BU4,(BU4+AY4)/2)</f>
        <v>0</v>
      </c>
      <c r="OT4" s="27">
        <f t="shared" ref="OT4:OT16" si="112">IF($BZ4="P",BV4,(BV4+AZ4)/2)</f>
        <v>18.700000000000003</v>
      </c>
      <c r="OU4" s="27">
        <f t="shared" ref="OU4:OU16" si="113">IF($BZ4="P",BW4,(BW4+BA4)/2)</f>
        <v>6.6</v>
      </c>
      <c r="OV4" s="27">
        <f t="shared" ref="OV4:OV16" si="114">IF($BZ4="P",BX4,(BX4+BB4)/2)</f>
        <v>0.1</v>
      </c>
      <c r="OW4" s="27">
        <f t="shared" ref="OW4:OW16" si="115">IF($BZ4="P",BY4,(BY4+BC4)/2)</f>
        <v>0</v>
      </c>
      <c r="OX4" s="32" t="s">
        <v>44</v>
      </c>
      <c r="OY4" s="55">
        <f t="shared" ref="OY4:OY16" si="116">IF(SUM(OI4,OM4)&gt;0,SUM(OI4,OM4),"")</f>
        <v>11.4</v>
      </c>
      <c r="OZ4" s="55">
        <f t="shared" ref="OZ4:OZ16" si="117">IF(SUM(OH4:OI4,OK4:OM4,OO4)-OJ4-ON4&gt;0,SUM(OH4:OI4,OK4:OM4,OO4)-OJ4-ON4,"")</f>
        <v>47.300000000000004</v>
      </c>
      <c r="PA4" s="55">
        <f t="shared" ref="PA4:PA16" si="118">IF(SUM(OQ4,OU4)&gt;0,SUM(OQ4,OU4),"")</f>
        <v>12.399999999999999</v>
      </c>
      <c r="PB4" s="55">
        <f t="shared" ref="PB4:PB16" si="119">IF(SUM(OP4:OQ4,OS4:OU4,OW4)-SUM(OR4,OV4)&gt;0,SUM(OP4:OQ4,OS4:OU4,OW4)-SUM(OR4,OV4),"")</f>
        <v>49.400000000000006</v>
      </c>
      <c r="PC4" s="55">
        <f t="shared" ref="PC4:PC16" si="120">IF(SUM(OZ4,PB4)&gt;0,SUM(OZ4,PB4),"")</f>
        <v>96.700000000000017</v>
      </c>
    </row>
    <row r="5" spans="1:419" x14ac:dyDescent="0.2">
      <c r="A5" s="4" cm="1">
        <f t="array" ref="A5">IF(AND(H5&lt;&gt;"",H5&lt;&gt;"No DD"),SUMPRODUCT((H$4:H$17&lt;&gt;"")*(H$4:H$17&lt;&gt;"No DD")*(E$4:E$17&gt;E5))+1,IF(H5="No DD",SUMPRODUCT((H$4:H$17="No DD")*(E$4:E$17&gt;E5))+1+SUMPRODUCT((H$4:H$17&lt;&gt;"")*(H$4:H$17&lt;&gt;"No DD")),""))</f>
        <v>2</v>
      </c>
      <c r="B5" s="5" t="s">
        <v>76</v>
      </c>
      <c r="C5" s="4" t="s">
        <v>64</v>
      </c>
      <c r="D5" s="4">
        <v>2009</v>
      </c>
      <c r="E5" s="10">
        <f t="shared" si="0"/>
        <v>146.80001439000483</v>
      </c>
      <c r="F5" s="3" t="str">
        <f t="shared" si="1"/>
        <v>P</v>
      </c>
      <c r="G5" s="3" t="str">
        <f t="shared" si="2"/>
        <v>P</v>
      </c>
      <c r="H5" s="47" t="str">
        <f t="shared" si="3"/>
        <v>National Team</v>
      </c>
      <c r="I5" s="9">
        <f>IF(COUNT(AJ5,BF5,CB5)&gt;0,LARGE((AJ5,BF5,CB5),1),0)</f>
        <v>48.800000000000004</v>
      </c>
      <c r="J5" s="9" t="str">
        <f t="shared" si="4"/>
        <v>2025 Elite Canada</v>
      </c>
      <c r="K5" s="9">
        <f>IF(COUNT(AJ5,BF5,CB5)&gt;1,LARGE((AJ5,BF5,CB5),2),0)</f>
        <v>46.8</v>
      </c>
      <c r="L5" s="9" t="str">
        <f t="shared" si="5"/>
        <v>2025 Nationals</v>
      </c>
      <c r="M5" s="9">
        <f t="shared" si="6"/>
        <v>48.3</v>
      </c>
      <c r="N5" s="9" t="str">
        <f t="shared" si="7"/>
        <v>2025 Nationals</v>
      </c>
      <c r="O5" s="9">
        <f t="shared" si="8"/>
        <v>2.8999999999999915</v>
      </c>
      <c r="P5" s="14" t="str">
        <f t="shared" si="9"/>
        <v>(Q1)</v>
      </c>
      <c r="Q5" s="9" t="str">
        <f t="shared" si="10"/>
        <v>2025 WAGC (Nov 16)</v>
      </c>
      <c r="R5" s="20">
        <v>18.600000000000001</v>
      </c>
      <c r="S5" s="20">
        <v>5.6</v>
      </c>
      <c r="T5" s="20">
        <v>0</v>
      </c>
      <c r="U5" s="20">
        <v>0</v>
      </c>
      <c r="V5" s="20">
        <v>18.600000000000001</v>
      </c>
      <c r="W5" s="20">
        <v>6</v>
      </c>
      <c r="X5" s="20">
        <v>0</v>
      </c>
      <c r="Y5" s="20">
        <v>0</v>
      </c>
      <c r="Z5" s="20">
        <v>18.2</v>
      </c>
      <c r="AA5" s="20">
        <v>5.6</v>
      </c>
      <c r="AB5" s="20">
        <v>0.2</v>
      </c>
      <c r="AC5" s="20">
        <v>0</v>
      </c>
      <c r="AD5" s="20">
        <v>18</v>
      </c>
      <c r="AE5" s="20">
        <v>5.2</v>
      </c>
      <c r="AF5" s="20">
        <v>0.2</v>
      </c>
      <c r="AG5" s="20">
        <v>0</v>
      </c>
      <c r="AH5" s="32"/>
      <c r="AI5" s="55">
        <f t="shared" si="11"/>
        <v>11.6</v>
      </c>
      <c r="AJ5" s="55">
        <f t="shared" si="12"/>
        <v>48.800000000000004</v>
      </c>
      <c r="AK5" s="55">
        <f t="shared" si="13"/>
        <v>10.8</v>
      </c>
      <c r="AL5" s="55">
        <f t="shared" si="14"/>
        <v>46.6</v>
      </c>
      <c r="AM5" s="55">
        <f t="shared" si="15"/>
        <v>95.4</v>
      </c>
      <c r="AN5" s="19">
        <v>17.899999999999999</v>
      </c>
      <c r="AO5" s="19">
        <v>5.6</v>
      </c>
      <c r="AP5" s="19">
        <v>0.2</v>
      </c>
      <c r="AQ5" s="19">
        <v>0</v>
      </c>
      <c r="AR5" s="19">
        <v>18.3</v>
      </c>
      <c r="AS5" s="19">
        <v>6</v>
      </c>
      <c r="AT5" s="19">
        <v>0.8</v>
      </c>
      <c r="AU5" s="19">
        <v>0</v>
      </c>
      <c r="AV5" s="19">
        <v>18.7</v>
      </c>
      <c r="AW5" s="19">
        <v>5.6</v>
      </c>
      <c r="AX5" s="19">
        <v>0</v>
      </c>
      <c r="AY5" s="19">
        <v>0</v>
      </c>
      <c r="AZ5" s="19">
        <v>18.2</v>
      </c>
      <c r="BA5" s="19">
        <v>6</v>
      </c>
      <c r="BB5" s="19">
        <v>0.2</v>
      </c>
      <c r="BC5" s="19">
        <v>0</v>
      </c>
      <c r="BD5" s="33"/>
      <c r="BE5" s="14">
        <f t="shared" si="16"/>
        <v>11.6</v>
      </c>
      <c r="BF5" s="14">
        <f t="shared" si="17"/>
        <v>46.8</v>
      </c>
      <c r="BG5" s="14">
        <f t="shared" si="18"/>
        <v>11.6</v>
      </c>
      <c r="BH5" s="14">
        <f t="shared" si="19"/>
        <v>48.3</v>
      </c>
      <c r="BI5" s="14">
        <f t="shared" si="20"/>
        <v>95.1</v>
      </c>
      <c r="BJ5" s="20">
        <v>17.7</v>
      </c>
      <c r="BK5" s="20">
        <v>4.4000000000000004</v>
      </c>
      <c r="BL5" s="20">
        <v>0</v>
      </c>
      <c r="BM5" s="20">
        <v>0</v>
      </c>
      <c r="BN5" s="20">
        <v>18.8</v>
      </c>
      <c r="BO5" s="20">
        <v>4.3</v>
      </c>
      <c r="BP5" s="20">
        <v>0</v>
      </c>
      <c r="BQ5" s="20">
        <v>0</v>
      </c>
      <c r="BR5" s="20">
        <v>17.8</v>
      </c>
      <c r="BS5" s="20">
        <v>5.2</v>
      </c>
      <c r="BT5" s="20">
        <v>0</v>
      </c>
      <c r="BU5" s="20">
        <v>0</v>
      </c>
      <c r="BV5" s="20">
        <v>19.100000000000001</v>
      </c>
      <c r="BW5" s="20">
        <v>4.3</v>
      </c>
      <c r="BX5" s="20">
        <v>0</v>
      </c>
      <c r="BY5" s="20">
        <v>0</v>
      </c>
      <c r="BZ5" s="32"/>
      <c r="CA5" s="55">
        <f t="shared" si="21"/>
        <v>8.6999999999999993</v>
      </c>
      <c r="CB5" s="55">
        <f t="shared" si="22"/>
        <v>45.2</v>
      </c>
      <c r="CC5" s="55">
        <f t="shared" si="23"/>
        <v>9.5</v>
      </c>
      <c r="CD5" s="55">
        <f t="shared" si="24"/>
        <v>46.4</v>
      </c>
      <c r="CE5" s="55">
        <f t="shared" si="25"/>
        <v>91.6</v>
      </c>
      <c r="CF5" s="56">
        <f t="shared" si="26"/>
        <v>2.8999999999999915</v>
      </c>
      <c r="CG5" s="56">
        <f t="shared" si="27"/>
        <v>1.2999999999999972</v>
      </c>
      <c r="CH5" s="18">
        <v>18.5</v>
      </c>
      <c r="CI5" s="18">
        <v>6.4</v>
      </c>
      <c r="CJ5" s="18">
        <v>0</v>
      </c>
      <c r="CK5" s="18">
        <v>0</v>
      </c>
      <c r="CL5" s="18">
        <v>18.2</v>
      </c>
      <c r="CM5" s="18">
        <v>6.8</v>
      </c>
      <c r="CN5" s="18">
        <v>0.2</v>
      </c>
      <c r="CO5" s="18">
        <v>0</v>
      </c>
      <c r="CP5" s="18">
        <v>18.600000000000001</v>
      </c>
      <c r="CQ5" s="18">
        <v>6.8</v>
      </c>
      <c r="CR5" s="18">
        <v>0.2</v>
      </c>
      <c r="CS5" s="18">
        <v>0</v>
      </c>
      <c r="CT5" s="18">
        <v>18.399999999999999</v>
      </c>
      <c r="CU5" s="18">
        <v>6.8</v>
      </c>
      <c r="CV5" s="18">
        <v>0</v>
      </c>
      <c r="CW5" s="18">
        <v>0</v>
      </c>
      <c r="CX5" s="18">
        <v>18.600000000000001</v>
      </c>
      <c r="CY5" s="18">
        <v>6.4</v>
      </c>
      <c r="CZ5" s="18">
        <v>0.6</v>
      </c>
      <c r="DA5" s="18">
        <v>0</v>
      </c>
      <c r="DB5" s="55">
        <f t="shared" si="28"/>
        <v>13.2</v>
      </c>
      <c r="DC5" s="55">
        <f t="shared" si="29"/>
        <v>49.699999999999989</v>
      </c>
      <c r="DD5" s="55">
        <f t="shared" si="30"/>
        <v>25.200000000000003</v>
      </c>
      <c r="DE5" s="55">
        <f t="shared" si="31"/>
        <v>13.2</v>
      </c>
      <c r="DF5" s="55">
        <f t="shared" si="32"/>
        <v>49.599999999999994</v>
      </c>
      <c r="DG5" s="55">
        <f t="shared" si="33"/>
        <v>124.49999999999999</v>
      </c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4" t="str">
        <f t="shared" si="34"/>
        <v/>
      </c>
      <c r="EC5" s="14" t="str">
        <f t="shared" si="35"/>
        <v/>
      </c>
      <c r="ED5" s="14" t="str">
        <f t="shared" si="36"/>
        <v/>
      </c>
      <c r="EE5" s="14" t="str">
        <f t="shared" si="37"/>
        <v/>
      </c>
      <c r="EF5" s="14" t="str">
        <f t="shared" si="38"/>
        <v/>
      </c>
      <c r="EG5" s="14" t="str">
        <f t="shared" si="39"/>
        <v/>
      </c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55" t="str">
        <f t="shared" si="40"/>
        <v/>
      </c>
      <c r="FC5" s="55" t="str">
        <f t="shared" si="41"/>
        <v/>
      </c>
      <c r="FD5" s="55" t="str">
        <f t="shared" si="42"/>
        <v/>
      </c>
      <c r="FE5" s="55" t="str">
        <f t="shared" si="43"/>
        <v/>
      </c>
      <c r="FF5" s="55" t="str">
        <f t="shared" si="44"/>
        <v/>
      </c>
      <c r="FG5" s="55" t="str">
        <f t="shared" si="45"/>
        <v/>
      </c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19"/>
      <c r="FS5" s="19"/>
      <c r="FT5" s="19"/>
      <c r="FU5" s="19"/>
      <c r="FV5" s="19"/>
      <c r="FW5" s="19"/>
      <c r="FX5" s="19"/>
      <c r="FY5" s="19"/>
      <c r="FZ5" s="19"/>
      <c r="GA5" s="19"/>
      <c r="GB5" s="14" t="str">
        <f t="shared" si="46"/>
        <v/>
      </c>
      <c r="GC5" s="14" t="str">
        <f t="shared" si="47"/>
        <v/>
      </c>
      <c r="GD5" s="14" t="str">
        <f t="shared" si="48"/>
        <v/>
      </c>
      <c r="GE5" s="14" t="str">
        <f t="shared" si="49"/>
        <v/>
      </c>
      <c r="GF5" s="14" t="str">
        <f t="shared" si="50"/>
        <v/>
      </c>
      <c r="GG5" s="14" t="str">
        <f t="shared" si="51"/>
        <v/>
      </c>
      <c r="GH5" s="18"/>
      <c r="GI5" s="18"/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55" t="str">
        <f t="shared" si="52"/>
        <v/>
      </c>
      <c r="HC5" s="55" t="str">
        <f t="shared" si="53"/>
        <v/>
      </c>
      <c r="HD5" s="55" t="str">
        <f t="shared" si="54"/>
        <v/>
      </c>
      <c r="HE5" s="55" t="str">
        <f t="shared" si="55"/>
        <v/>
      </c>
      <c r="HF5" s="55" t="str">
        <f t="shared" si="56"/>
        <v/>
      </c>
      <c r="HG5" s="55" t="str">
        <f t="shared" si="57"/>
        <v/>
      </c>
      <c r="HH5" s="19"/>
      <c r="HI5" s="19"/>
      <c r="HJ5" s="19"/>
      <c r="HK5" s="19"/>
      <c r="HL5" s="19"/>
      <c r="HM5" s="19"/>
      <c r="HN5" s="19"/>
      <c r="HO5" s="19"/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4" t="str">
        <f t="shared" si="58"/>
        <v/>
      </c>
      <c r="IC5" s="14" t="str">
        <f t="shared" si="59"/>
        <v/>
      </c>
      <c r="ID5" s="14" t="str">
        <f t="shared" si="60"/>
        <v/>
      </c>
      <c r="IE5" s="14" t="str">
        <f t="shared" si="61"/>
        <v/>
      </c>
      <c r="IF5" s="14" t="str">
        <f t="shared" si="62"/>
        <v/>
      </c>
      <c r="IG5" s="14" t="str">
        <f t="shared" si="63"/>
        <v/>
      </c>
      <c r="IH5" s="18"/>
      <c r="II5" s="18"/>
      <c r="IJ5" s="18"/>
      <c r="IK5" s="18"/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55" t="str">
        <f t="shared" si="64"/>
        <v/>
      </c>
      <c r="JC5" s="55" t="str">
        <f t="shared" si="65"/>
        <v/>
      </c>
      <c r="JD5" s="55" t="str">
        <f t="shared" si="66"/>
        <v/>
      </c>
      <c r="JE5" s="55" t="str">
        <f t="shared" si="67"/>
        <v/>
      </c>
      <c r="JF5" s="55" t="str">
        <f t="shared" si="68"/>
        <v/>
      </c>
      <c r="JG5" s="55" t="str">
        <f t="shared" si="69"/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19"/>
      <c r="JX5" s="19"/>
      <c r="JY5" s="19"/>
      <c r="JZ5" s="19"/>
      <c r="KA5" s="19"/>
      <c r="KB5" s="14" t="str">
        <f t="shared" si="70"/>
        <v/>
      </c>
      <c r="KC5" s="14" t="str">
        <f t="shared" si="71"/>
        <v/>
      </c>
      <c r="KD5" s="14" t="str">
        <f t="shared" si="72"/>
        <v/>
      </c>
      <c r="KE5" s="14" t="str">
        <f t="shared" si="73"/>
        <v/>
      </c>
      <c r="KF5" s="14" t="str">
        <f t="shared" si="74"/>
        <v/>
      </c>
      <c r="KG5" s="14" t="str">
        <f t="shared" si="75"/>
        <v/>
      </c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55" t="str">
        <f t="shared" si="76"/>
        <v/>
      </c>
      <c r="LC5" s="55" t="str">
        <f t="shared" si="77"/>
        <v/>
      </c>
      <c r="LD5" s="55" t="str">
        <f t="shared" si="78"/>
        <v/>
      </c>
      <c r="LE5" s="55" t="str">
        <f t="shared" si="79"/>
        <v/>
      </c>
      <c r="LF5" s="55" t="str">
        <f t="shared" si="80"/>
        <v/>
      </c>
      <c r="LG5" s="55" t="str">
        <f t="shared" si="81"/>
        <v/>
      </c>
      <c r="LH5" s="19"/>
      <c r="LI5" s="19"/>
      <c r="LJ5" s="19"/>
      <c r="LK5" s="19"/>
      <c r="LL5" s="19"/>
      <c r="LM5" s="19"/>
      <c r="LN5" s="19"/>
      <c r="LO5" s="19"/>
      <c r="LP5" s="19"/>
      <c r="LQ5" s="19"/>
      <c r="LR5" s="19"/>
      <c r="LS5" s="19"/>
      <c r="LT5" s="19"/>
      <c r="LU5" s="19"/>
      <c r="LV5" s="19"/>
      <c r="LW5" s="19"/>
      <c r="LX5" s="19"/>
      <c r="LY5" s="19"/>
      <c r="LZ5" s="19"/>
      <c r="MA5" s="19"/>
      <c r="MB5" s="14" t="str">
        <f t="shared" si="82"/>
        <v/>
      </c>
      <c r="MC5" s="14" t="str">
        <f t="shared" si="83"/>
        <v/>
      </c>
      <c r="MD5" s="14" t="str">
        <f t="shared" si="84"/>
        <v/>
      </c>
      <c r="ME5" s="14" t="str">
        <f t="shared" si="85"/>
        <v/>
      </c>
      <c r="MF5" s="14" t="str">
        <f t="shared" si="86"/>
        <v/>
      </c>
      <c r="MG5" s="14" t="str">
        <f t="shared" si="87"/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55" t="str">
        <f t="shared" si="88"/>
        <v/>
      </c>
      <c r="NC5" s="55" t="str">
        <f t="shared" si="89"/>
        <v/>
      </c>
      <c r="ND5" s="55" t="str">
        <f t="shared" si="90"/>
        <v/>
      </c>
      <c r="NE5" s="55" t="str">
        <f t="shared" si="91"/>
        <v/>
      </c>
      <c r="NF5" s="55" t="str">
        <f t="shared" si="92"/>
        <v/>
      </c>
      <c r="NG5" s="55" t="str">
        <f t="shared" si="93"/>
        <v/>
      </c>
      <c r="NH5" s="19"/>
      <c r="NI5" s="19"/>
      <c r="NJ5" s="19"/>
      <c r="NK5" s="19"/>
      <c r="NL5" s="19"/>
      <c r="NM5" s="19"/>
      <c r="NN5" s="19"/>
      <c r="NO5" s="19"/>
      <c r="NP5" s="19"/>
      <c r="NQ5" s="19"/>
      <c r="NR5" s="19"/>
      <c r="NS5" s="19"/>
      <c r="NT5" s="19"/>
      <c r="NU5" s="19"/>
      <c r="NV5" s="19"/>
      <c r="NW5" s="19"/>
      <c r="NX5" s="19"/>
      <c r="NY5" s="19"/>
      <c r="NZ5" s="19"/>
      <c r="OA5" s="19"/>
      <c r="OB5" s="14" t="str">
        <f t="shared" si="94"/>
        <v/>
      </c>
      <c r="OC5" s="14" t="str">
        <f t="shared" si="95"/>
        <v/>
      </c>
      <c r="OD5" s="14" t="str">
        <f t="shared" si="96"/>
        <v/>
      </c>
      <c r="OE5" s="14" t="str">
        <f t="shared" si="97"/>
        <v/>
      </c>
      <c r="OF5" s="14" t="str">
        <f t="shared" si="98"/>
        <v/>
      </c>
      <c r="OG5" s="14" t="str">
        <f t="shared" si="99"/>
        <v/>
      </c>
      <c r="OH5" s="27">
        <f t="shared" si="100"/>
        <v>17.799999999999997</v>
      </c>
      <c r="OI5" s="27">
        <f t="shared" si="101"/>
        <v>5</v>
      </c>
      <c r="OJ5" s="27">
        <f t="shared" si="102"/>
        <v>0.1</v>
      </c>
      <c r="OK5" s="27">
        <f t="shared" si="103"/>
        <v>0</v>
      </c>
      <c r="OL5" s="27">
        <f t="shared" si="104"/>
        <v>18.55</v>
      </c>
      <c r="OM5" s="27">
        <f t="shared" si="105"/>
        <v>5.15</v>
      </c>
      <c r="ON5" s="27">
        <f t="shared" si="106"/>
        <v>0.4</v>
      </c>
      <c r="OO5" s="27">
        <f t="shared" si="107"/>
        <v>0</v>
      </c>
      <c r="OP5" s="27">
        <f t="shared" si="108"/>
        <v>18.25</v>
      </c>
      <c r="OQ5" s="27">
        <f t="shared" si="109"/>
        <v>5.4</v>
      </c>
      <c r="OR5" s="27">
        <f t="shared" si="110"/>
        <v>0</v>
      </c>
      <c r="OS5" s="27">
        <f t="shared" si="111"/>
        <v>0</v>
      </c>
      <c r="OT5" s="27">
        <f t="shared" si="112"/>
        <v>18.649999999999999</v>
      </c>
      <c r="OU5" s="27">
        <f t="shared" si="113"/>
        <v>5.15</v>
      </c>
      <c r="OV5" s="27">
        <f t="shared" si="114"/>
        <v>0.1</v>
      </c>
      <c r="OW5" s="27">
        <f t="shared" si="115"/>
        <v>0</v>
      </c>
      <c r="OX5" s="32" t="s">
        <v>44</v>
      </c>
      <c r="OY5" s="55">
        <f t="shared" si="116"/>
        <v>10.15</v>
      </c>
      <c r="OZ5" s="55">
        <f t="shared" si="117"/>
        <v>45.999999999999993</v>
      </c>
      <c r="PA5" s="55">
        <f t="shared" si="118"/>
        <v>10.55</v>
      </c>
      <c r="PB5" s="55">
        <f t="shared" si="119"/>
        <v>47.349999999999994</v>
      </c>
      <c r="PC5" s="55">
        <f t="shared" si="120"/>
        <v>93.35</v>
      </c>
    </row>
    <row r="6" spans="1:419" x14ac:dyDescent="0.2">
      <c r="A6" s="4" cm="1">
        <f t="array" ref="A6">IF(AND(H6&lt;&gt;"",H6&lt;&gt;"No DD"),SUMPRODUCT((H$4:H$17&lt;&gt;"")*(H$4:H$17&lt;&gt;"No DD")*(E$4:E$17&gt;E6))+1,IF(H6="No DD",SUMPRODUCT((H$4:H$17="No DD")*(E$4:E$17&gt;E6))+1+SUMPRODUCT((H$4:H$17&lt;&gt;"")*(H$4:H$17&lt;&gt;"No DD")),""))</f>
        <v>3</v>
      </c>
      <c r="B6" s="5" t="s">
        <v>77</v>
      </c>
      <c r="C6" s="4" t="s">
        <v>3</v>
      </c>
      <c r="D6" s="4">
        <v>2009</v>
      </c>
      <c r="E6" s="10">
        <f t="shared" si="0"/>
        <v>140.10001401000468</v>
      </c>
      <c r="F6" s="3" t="str">
        <f t="shared" si="1"/>
        <v>P</v>
      </c>
      <c r="G6" s="3" t="str">
        <f t="shared" si="2"/>
        <v>P</v>
      </c>
      <c r="H6" s="47" t="str">
        <f t="shared" si="3"/>
        <v>National Team</v>
      </c>
      <c r="I6" s="9">
        <f>IF(COUNT(AJ6,BF6,CB6)&gt;0,LARGE((AJ6,BF6,CB6),1),0)</f>
        <v>47</v>
      </c>
      <c r="J6" s="9" t="str">
        <f t="shared" si="4"/>
        <v>2025 Nationals</v>
      </c>
      <c r="K6" s="9">
        <f>IF(COUNT(AJ6,BF6,CB6)&gt;1,LARGE((AJ6,BF6,CB6),2),0)</f>
        <v>46.2</v>
      </c>
      <c r="L6" s="9" t="str">
        <f t="shared" si="5"/>
        <v>2025 3rd Domestic Trial</v>
      </c>
      <c r="M6" s="9">
        <f t="shared" si="6"/>
        <v>46.9</v>
      </c>
      <c r="N6" s="9" t="str">
        <f t="shared" si="7"/>
        <v>2025 3rd Domestic Trial</v>
      </c>
      <c r="O6" s="9" t="str">
        <f t="shared" si="8"/>
        <v/>
      </c>
      <c r="P6" s="14" t="str">
        <f t="shared" si="9"/>
        <v/>
      </c>
      <c r="Q6" s="9" t="str">
        <f t="shared" si="10"/>
        <v/>
      </c>
      <c r="R6" s="20">
        <v>18.7</v>
      </c>
      <c r="S6" s="20">
        <v>3.9</v>
      </c>
      <c r="T6" s="20">
        <v>0.2</v>
      </c>
      <c r="U6" s="20">
        <v>0</v>
      </c>
      <c r="V6" s="20">
        <v>18.5</v>
      </c>
      <c r="W6" s="20">
        <v>5.2</v>
      </c>
      <c r="X6" s="20">
        <v>0</v>
      </c>
      <c r="Y6" s="20">
        <v>0</v>
      </c>
      <c r="Z6" s="20">
        <v>18.3</v>
      </c>
      <c r="AA6" s="20">
        <v>4.8</v>
      </c>
      <c r="AB6" s="20">
        <v>0.2</v>
      </c>
      <c r="AC6" s="20">
        <v>0</v>
      </c>
      <c r="AD6" s="20">
        <v>18.3</v>
      </c>
      <c r="AE6" s="20">
        <v>5.2</v>
      </c>
      <c r="AF6" s="20">
        <v>1</v>
      </c>
      <c r="AG6" s="20">
        <v>0</v>
      </c>
      <c r="AH6" s="32"/>
      <c r="AI6" s="55">
        <f t="shared" si="11"/>
        <v>9.1</v>
      </c>
      <c r="AJ6" s="55">
        <f t="shared" si="12"/>
        <v>46.099999999999994</v>
      </c>
      <c r="AK6" s="55">
        <f t="shared" si="13"/>
        <v>10</v>
      </c>
      <c r="AL6" s="55">
        <f t="shared" si="14"/>
        <v>45.400000000000006</v>
      </c>
      <c r="AM6" s="55">
        <f t="shared" si="15"/>
        <v>91.5</v>
      </c>
      <c r="AN6" s="19">
        <v>18.5</v>
      </c>
      <c r="AO6" s="19">
        <v>4.3</v>
      </c>
      <c r="AP6" s="19">
        <v>0</v>
      </c>
      <c r="AQ6" s="19">
        <v>0</v>
      </c>
      <c r="AR6" s="19">
        <v>18.8</v>
      </c>
      <c r="AS6" s="19">
        <v>5.6</v>
      </c>
      <c r="AT6" s="19">
        <v>0.2</v>
      </c>
      <c r="AU6" s="19">
        <v>0</v>
      </c>
      <c r="AV6" s="19">
        <v>18.600000000000001</v>
      </c>
      <c r="AW6" s="19">
        <v>5.2</v>
      </c>
      <c r="AX6" s="19">
        <v>0</v>
      </c>
      <c r="AY6" s="19">
        <v>0</v>
      </c>
      <c r="AZ6" s="19">
        <v>18.899999999999999</v>
      </c>
      <c r="BA6" s="19">
        <v>4.3</v>
      </c>
      <c r="BB6" s="19">
        <v>0.6</v>
      </c>
      <c r="BC6" s="19">
        <v>0</v>
      </c>
      <c r="BD6" s="33"/>
      <c r="BE6" s="14">
        <f t="shared" si="16"/>
        <v>9.8999999999999986</v>
      </c>
      <c r="BF6" s="14">
        <f t="shared" si="17"/>
        <v>47</v>
      </c>
      <c r="BG6" s="14">
        <f t="shared" si="18"/>
        <v>9.5</v>
      </c>
      <c r="BH6" s="14">
        <f t="shared" si="19"/>
        <v>46.4</v>
      </c>
      <c r="BI6" s="14">
        <f t="shared" si="20"/>
        <v>93.4</v>
      </c>
      <c r="BJ6" s="20">
        <v>17.600000000000001</v>
      </c>
      <c r="BK6" s="20">
        <v>5.6</v>
      </c>
      <c r="BL6" s="20">
        <v>1</v>
      </c>
      <c r="BM6" s="20">
        <v>0</v>
      </c>
      <c r="BN6" s="20">
        <v>18.399999999999999</v>
      </c>
      <c r="BO6" s="20">
        <v>6</v>
      </c>
      <c r="BP6" s="20">
        <v>0.4</v>
      </c>
      <c r="BQ6" s="20">
        <v>0</v>
      </c>
      <c r="BR6" s="20">
        <v>16.5</v>
      </c>
      <c r="BS6" s="20">
        <v>6.4</v>
      </c>
      <c r="BT6" s="20">
        <v>0.4</v>
      </c>
      <c r="BU6" s="20">
        <v>0</v>
      </c>
      <c r="BV6" s="20">
        <v>18.600000000000001</v>
      </c>
      <c r="BW6" s="20">
        <v>6</v>
      </c>
      <c r="BX6" s="20">
        <v>0.2</v>
      </c>
      <c r="BY6" s="20">
        <v>0</v>
      </c>
      <c r="BZ6" s="32"/>
      <c r="CA6" s="55">
        <f t="shared" si="21"/>
        <v>11.6</v>
      </c>
      <c r="CB6" s="55">
        <f t="shared" si="22"/>
        <v>46.2</v>
      </c>
      <c r="CC6" s="55">
        <f t="shared" si="23"/>
        <v>12.4</v>
      </c>
      <c r="CD6" s="55">
        <f t="shared" si="24"/>
        <v>46.9</v>
      </c>
      <c r="CE6" s="55">
        <f t="shared" si="25"/>
        <v>93.1</v>
      </c>
      <c r="CF6" s="56" t="str">
        <f t="shared" si="26"/>
        <v/>
      </c>
      <c r="CG6" s="56" t="str">
        <f t="shared" si="27"/>
        <v/>
      </c>
      <c r="CH6" s="18">
        <v>18.399999999999999</v>
      </c>
      <c r="CI6" s="18">
        <v>5.2</v>
      </c>
      <c r="CJ6" s="18">
        <v>0.2</v>
      </c>
      <c r="CK6" s="18">
        <v>0</v>
      </c>
      <c r="CL6" s="18">
        <v>18.399999999999999</v>
      </c>
      <c r="CM6" s="18">
        <v>3.6</v>
      </c>
      <c r="CN6" s="18">
        <v>0.2</v>
      </c>
      <c r="CO6" s="18">
        <v>0</v>
      </c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55">
        <f t="shared" si="28"/>
        <v>8.8000000000000007</v>
      </c>
      <c r="DC6" s="55">
        <f t="shared" si="29"/>
        <v>45.199999999999996</v>
      </c>
      <c r="DD6" s="55" t="str">
        <f t="shared" si="30"/>
        <v/>
      </c>
      <c r="DE6" s="55" t="str">
        <f t="shared" si="31"/>
        <v/>
      </c>
      <c r="DF6" s="55" t="str">
        <f t="shared" si="32"/>
        <v/>
      </c>
      <c r="DG6" s="55">
        <f t="shared" si="33"/>
        <v>45.199999999999996</v>
      </c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19"/>
      <c r="EA6" s="19"/>
      <c r="EB6" s="14" t="str">
        <f t="shared" si="34"/>
        <v/>
      </c>
      <c r="EC6" s="14" t="str">
        <f t="shared" si="35"/>
        <v/>
      </c>
      <c r="ED6" s="14" t="str">
        <f t="shared" si="36"/>
        <v/>
      </c>
      <c r="EE6" s="14" t="str">
        <f t="shared" si="37"/>
        <v/>
      </c>
      <c r="EF6" s="14" t="str">
        <f t="shared" si="38"/>
        <v/>
      </c>
      <c r="EG6" s="14" t="str">
        <f t="shared" si="39"/>
        <v/>
      </c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55" t="str">
        <f t="shared" si="40"/>
        <v/>
      </c>
      <c r="FC6" s="55" t="str">
        <f t="shared" si="41"/>
        <v/>
      </c>
      <c r="FD6" s="55" t="str">
        <f t="shared" si="42"/>
        <v/>
      </c>
      <c r="FE6" s="55" t="str">
        <f t="shared" si="43"/>
        <v/>
      </c>
      <c r="FF6" s="55" t="str">
        <f t="shared" si="44"/>
        <v/>
      </c>
      <c r="FG6" s="55" t="str">
        <f t="shared" si="45"/>
        <v/>
      </c>
      <c r="FH6" s="19"/>
      <c r="FI6" s="19"/>
      <c r="FJ6" s="19"/>
      <c r="FK6" s="19"/>
      <c r="FL6" s="19"/>
      <c r="FM6" s="19"/>
      <c r="FN6" s="19"/>
      <c r="FO6" s="19"/>
      <c r="FP6" s="19"/>
      <c r="FQ6" s="19"/>
      <c r="FR6" s="19"/>
      <c r="FS6" s="19"/>
      <c r="FT6" s="19"/>
      <c r="FU6" s="19"/>
      <c r="FV6" s="19"/>
      <c r="FW6" s="19"/>
      <c r="FX6" s="19"/>
      <c r="FY6" s="19"/>
      <c r="FZ6" s="19"/>
      <c r="GA6" s="19"/>
      <c r="GB6" s="14" t="str">
        <f t="shared" si="46"/>
        <v/>
      </c>
      <c r="GC6" s="14" t="str">
        <f t="shared" si="47"/>
        <v/>
      </c>
      <c r="GD6" s="14" t="str">
        <f t="shared" si="48"/>
        <v/>
      </c>
      <c r="GE6" s="14" t="str">
        <f t="shared" si="49"/>
        <v/>
      </c>
      <c r="GF6" s="14" t="str">
        <f t="shared" si="50"/>
        <v/>
      </c>
      <c r="GG6" s="14" t="str">
        <f t="shared" si="51"/>
        <v/>
      </c>
      <c r="GH6" s="18"/>
      <c r="GI6" s="18"/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55" t="str">
        <f t="shared" si="52"/>
        <v/>
      </c>
      <c r="HC6" s="55" t="str">
        <f t="shared" si="53"/>
        <v/>
      </c>
      <c r="HD6" s="55" t="str">
        <f t="shared" si="54"/>
        <v/>
      </c>
      <c r="HE6" s="55" t="str">
        <f t="shared" si="55"/>
        <v/>
      </c>
      <c r="HF6" s="55" t="str">
        <f t="shared" si="56"/>
        <v/>
      </c>
      <c r="HG6" s="55" t="str">
        <f t="shared" si="57"/>
        <v/>
      </c>
      <c r="HH6" s="19"/>
      <c r="HI6" s="19"/>
      <c r="HJ6" s="19"/>
      <c r="HK6" s="19"/>
      <c r="HL6" s="19"/>
      <c r="HM6" s="19"/>
      <c r="HN6" s="19"/>
      <c r="HO6" s="19"/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4" t="str">
        <f t="shared" si="58"/>
        <v/>
      </c>
      <c r="IC6" s="14" t="str">
        <f t="shared" si="59"/>
        <v/>
      </c>
      <c r="ID6" s="14" t="str">
        <f t="shared" si="60"/>
        <v/>
      </c>
      <c r="IE6" s="14" t="str">
        <f t="shared" si="61"/>
        <v/>
      </c>
      <c r="IF6" s="14" t="str">
        <f t="shared" si="62"/>
        <v/>
      </c>
      <c r="IG6" s="14" t="str">
        <f t="shared" si="63"/>
        <v/>
      </c>
      <c r="IH6" s="18"/>
      <c r="II6" s="18"/>
      <c r="IJ6" s="18"/>
      <c r="IK6" s="18"/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55" t="str">
        <f t="shared" si="64"/>
        <v/>
      </c>
      <c r="JC6" s="55" t="str">
        <f t="shared" si="65"/>
        <v/>
      </c>
      <c r="JD6" s="55" t="str">
        <f t="shared" si="66"/>
        <v/>
      </c>
      <c r="JE6" s="55" t="str">
        <f t="shared" si="67"/>
        <v/>
      </c>
      <c r="JF6" s="55" t="str">
        <f t="shared" si="68"/>
        <v/>
      </c>
      <c r="JG6" s="55" t="str">
        <f t="shared" si="69"/>
        <v/>
      </c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19"/>
      <c r="JX6" s="19"/>
      <c r="JY6" s="19"/>
      <c r="JZ6" s="19"/>
      <c r="KA6" s="19"/>
      <c r="KB6" s="14" t="str">
        <f t="shared" si="70"/>
        <v/>
      </c>
      <c r="KC6" s="14" t="str">
        <f t="shared" si="71"/>
        <v/>
      </c>
      <c r="KD6" s="14" t="str">
        <f t="shared" si="72"/>
        <v/>
      </c>
      <c r="KE6" s="14" t="str">
        <f t="shared" si="73"/>
        <v/>
      </c>
      <c r="KF6" s="14" t="str">
        <f t="shared" si="74"/>
        <v/>
      </c>
      <c r="KG6" s="14" t="str">
        <f t="shared" si="75"/>
        <v/>
      </c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18"/>
      <c r="KT6" s="18"/>
      <c r="KU6" s="18"/>
      <c r="KV6" s="18"/>
      <c r="KW6" s="18"/>
      <c r="KX6" s="18"/>
      <c r="KY6" s="18"/>
      <c r="KZ6" s="18"/>
      <c r="LA6" s="18"/>
      <c r="LB6" s="55" t="str">
        <f t="shared" si="76"/>
        <v/>
      </c>
      <c r="LC6" s="55" t="str">
        <f t="shared" si="77"/>
        <v/>
      </c>
      <c r="LD6" s="55" t="str">
        <f t="shared" si="78"/>
        <v/>
      </c>
      <c r="LE6" s="55" t="str">
        <f t="shared" si="79"/>
        <v/>
      </c>
      <c r="LF6" s="55" t="str">
        <f t="shared" si="80"/>
        <v/>
      </c>
      <c r="LG6" s="55" t="str">
        <f t="shared" si="81"/>
        <v/>
      </c>
      <c r="LH6" s="19"/>
      <c r="LI6" s="19"/>
      <c r="LJ6" s="19"/>
      <c r="LK6" s="19"/>
      <c r="LL6" s="19"/>
      <c r="LM6" s="19"/>
      <c r="LN6" s="19"/>
      <c r="LO6" s="19"/>
      <c r="LP6" s="19"/>
      <c r="LQ6" s="19"/>
      <c r="LR6" s="19"/>
      <c r="LS6" s="19"/>
      <c r="LT6" s="19"/>
      <c r="LU6" s="19"/>
      <c r="LV6" s="19"/>
      <c r="LW6" s="19"/>
      <c r="LX6" s="19"/>
      <c r="LY6" s="19"/>
      <c r="LZ6" s="19"/>
      <c r="MA6" s="19"/>
      <c r="MB6" s="14" t="str">
        <f t="shared" si="82"/>
        <v/>
      </c>
      <c r="MC6" s="14" t="str">
        <f t="shared" si="83"/>
        <v/>
      </c>
      <c r="MD6" s="14" t="str">
        <f t="shared" si="84"/>
        <v/>
      </c>
      <c r="ME6" s="14" t="str">
        <f t="shared" si="85"/>
        <v/>
      </c>
      <c r="MF6" s="14" t="str">
        <f t="shared" si="86"/>
        <v/>
      </c>
      <c r="MG6" s="14" t="str">
        <f t="shared" si="87"/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55" t="str">
        <f t="shared" si="88"/>
        <v/>
      </c>
      <c r="NC6" s="55" t="str">
        <f t="shared" si="89"/>
        <v/>
      </c>
      <c r="ND6" s="55" t="str">
        <f t="shared" si="90"/>
        <v/>
      </c>
      <c r="NE6" s="55" t="str">
        <f t="shared" si="91"/>
        <v/>
      </c>
      <c r="NF6" s="55" t="str">
        <f t="shared" si="92"/>
        <v/>
      </c>
      <c r="NG6" s="55" t="str">
        <f t="shared" si="93"/>
        <v/>
      </c>
      <c r="NH6" s="19"/>
      <c r="NI6" s="19"/>
      <c r="NJ6" s="19"/>
      <c r="NK6" s="19"/>
      <c r="NL6" s="19"/>
      <c r="NM6" s="19"/>
      <c r="NN6" s="19"/>
      <c r="NO6" s="19"/>
      <c r="NP6" s="19"/>
      <c r="NQ6" s="19"/>
      <c r="NR6" s="19"/>
      <c r="NS6" s="19"/>
      <c r="NT6" s="19"/>
      <c r="NU6" s="19"/>
      <c r="NV6" s="19"/>
      <c r="NW6" s="19"/>
      <c r="NX6" s="19"/>
      <c r="NY6" s="19"/>
      <c r="NZ6" s="19"/>
      <c r="OA6" s="19"/>
      <c r="OB6" s="14" t="str">
        <f t="shared" si="94"/>
        <v/>
      </c>
      <c r="OC6" s="14" t="str">
        <f t="shared" si="95"/>
        <v/>
      </c>
      <c r="OD6" s="14" t="str">
        <f t="shared" si="96"/>
        <v/>
      </c>
      <c r="OE6" s="14" t="str">
        <f t="shared" si="97"/>
        <v/>
      </c>
      <c r="OF6" s="14" t="str">
        <f t="shared" si="98"/>
        <v/>
      </c>
      <c r="OG6" s="14" t="str">
        <f t="shared" si="99"/>
        <v/>
      </c>
      <c r="OH6" s="27">
        <f t="shared" si="100"/>
        <v>18.05</v>
      </c>
      <c r="OI6" s="27">
        <f t="shared" si="101"/>
        <v>4.9499999999999993</v>
      </c>
      <c r="OJ6" s="27">
        <f t="shared" si="102"/>
        <v>0.5</v>
      </c>
      <c r="OK6" s="27">
        <f t="shared" si="103"/>
        <v>0</v>
      </c>
      <c r="OL6" s="27">
        <f t="shared" si="104"/>
        <v>18.600000000000001</v>
      </c>
      <c r="OM6" s="27">
        <f t="shared" si="105"/>
        <v>5.8</v>
      </c>
      <c r="ON6" s="27">
        <f t="shared" si="106"/>
        <v>0.30000000000000004</v>
      </c>
      <c r="OO6" s="27">
        <f t="shared" si="107"/>
        <v>0</v>
      </c>
      <c r="OP6" s="27">
        <f t="shared" si="108"/>
        <v>17.55</v>
      </c>
      <c r="OQ6" s="27">
        <f t="shared" si="109"/>
        <v>5.8000000000000007</v>
      </c>
      <c r="OR6" s="27">
        <f t="shared" si="110"/>
        <v>0.2</v>
      </c>
      <c r="OS6" s="27">
        <f t="shared" si="111"/>
        <v>0</v>
      </c>
      <c r="OT6" s="27">
        <f t="shared" si="112"/>
        <v>18.75</v>
      </c>
      <c r="OU6" s="27">
        <f t="shared" si="113"/>
        <v>5.15</v>
      </c>
      <c r="OV6" s="27">
        <f t="shared" si="114"/>
        <v>0.4</v>
      </c>
      <c r="OW6" s="27">
        <f t="shared" si="115"/>
        <v>0</v>
      </c>
      <c r="OX6" s="32" t="s">
        <v>44</v>
      </c>
      <c r="OY6" s="55">
        <f t="shared" si="116"/>
        <v>10.75</v>
      </c>
      <c r="OZ6" s="55">
        <f t="shared" si="117"/>
        <v>46.6</v>
      </c>
      <c r="PA6" s="55">
        <f t="shared" si="118"/>
        <v>10.950000000000001</v>
      </c>
      <c r="PB6" s="55">
        <f t="shared" si="119"/>
        <v>46.65</v>
      </c>
      <c r="PC6" s="55">
        <f t="shared" si="120"/>
        <v>93.25</v>
      </c>
    </row>
    <row r="7" spans="1:419" x14ac:dyDescent="0.2">
      <c r="A7" s="4" cm="1">
        <f t="array" ref="A7">IF(AND(H7&lt;&gt;"",H7&lt;&gt;"No DD"),SUMPRODUCT((H$4:H$17&lt;&gt;"")*(H$4:H$17&lt;&gt;"No DD")*(E$4:E$17&gt;E7))+1,IF(H7="No DD",SUMPRODUCT((H$4:H$17="No DD")*(E$4:E$17&gt;E7))+1+SUMPRODUCT((H$4:H$17&lt;&gt;"")*(H$4:H$17&lt;&gt;"No DD")),""))</f>
        <v>4</v>
      </c>
      <c r="B7" s="5" t="s">
        <v>79</v>
      </c>
      <c r="C7" s="4" t="s">
        <v>64</v>
      </c>
      <c r="D7" s="4">
        <v>2009</v>
      </c>
      <c r="E7" s="10">
        <f t="shared" si="0"/>
        <v>132.50001325000446</v>
      </c>
      <c r="F7" s="3" t="str">
        <f t="shared" si="1"/>
        <v>P</v>
      </c>
      <c r="G7" s="3" t="str">
        <f t="shared" si="2"/>
        <v>P</v>
      </c>
      <c r="H7" s="47" t="str">
        <f t="shared" si="3"/>
        <v>National Team</v>
      </c>
      <c r="I7" s="9">
        <f>IF(COUNT(AJ7,BF7,CB7)&gt;0,LARGE((AJ7,BF7,CB7),1),0)</f>
        <v>44.699999999999996</v>
      </c>
      <c r="J7" s="9" t="str">
        <f t="shared" si="4"/>
        <v>2025 Nationals</v>
      </c>
      <c r="K7" s="9">
        <f>IF(COUNT(AJ7,BF7,CB7)&gt;1,LARGE((AJ7,BF7,CB7),2),0)</f>
        <v>41.4</v>
      </c>
      <c r="L7" s="9" t="str">
        <f t="shared" si="5"/>
        <v>2025 Elite Canada</v>
      </c>
      <c r="M7" s="9">
        <f t="shared" si="6"/>
        <v>46.4</v>
      </c>
      <c r="N7" s="9" t="str">
        <f t="shared" si="7"/>
        <v>2025 Elite Canada</v>
      </c>
      <c r="O7" s="9" t="str">
        <f t="shared" si="8"/>
        <v/>
      </c>
      <c r="P7" s="14" t="str">
        <f t="shared" si="9"/>
        <v/>
      </c>
      <c r="Q7" s="9" t="str">
        <f t="shared" si="10"/>
        <v/>
      </c>
      <c r="R7" s="20">
        <v>18</v>
      </c>
      <c r="S7" s="20">
        <v>6</v>
      </c>
      <c r="T7" s="20">
        <v>0.6</v>
      </c>
      <c r="U7" s="20">
        <v>0</v>
      </c>
      <c r="V7" s="20">
        <v>15.2</v>
      </c>
      <c r="W7" s="20">
        <v>2.8</v>
      </c>
      <c r="X7" s="20">
        <v>0</v>
      </c>
      <c r="Y7" s="20">
        <v>0</v>
      </c>
      <c r="Z7" s="20">
        <v>18.399999999999999</v>
      </c>
      <c r="AA7" s="20">
        <v>5.2</v>
      </c>
      <c r="AB7" s="20">
        <v>0.2</v>
      </c>
      <c r="AC7" s="20">
        <v>0</v>
      </c>
      <c r="AD7" s="20">
        <v>18</v>
      </c>
      <c r="AE7" s="20">
        <v>5.2</v>
      </c>
      <c r="AF7" s="20">
        <v>0.2</v>
      </c>
      <c r="AG7" s="20">
        <v>0</v>
      </c>
      <c r="AH7" s="32"/>
      <c r="AI7" s="55">
        <f t="shared" si="11"/>
        <v>8.8000000000000007</v>
      </c>
      <c r="AJ7" s="55">
        <f t="shared" si="12"/>
        <v>41.4</v>
      </c>
      <c r="AK7" s="55">
        <f t="shared" si="13"/>
        <v>10.4</v>
      </c>
      <c r="AL7" s="55">
        <f t="shared" si="14"/>
        <v>46.4</v>
      </c>
      <c r="AM7" s="55">
        <f t="shared" si="15"/>
        <v>87.8</v>
      </c>
      <c r="AN7" s="19">
        <v>16.7</v>
      </c>
      <c r="AO7" s="19">
        <v>5.2</v>
      </c>
      <c r="AP7" s="19">
        <v>0.2</v>
      </c>
      <c r="AQ7" s="19">
        <v>0</v>
      </c>
      <c r="AR7" s="19">
        <v>18</v>
      </c>
      <c r="AS7" s="19">
        <v>5.2</v>
      </c>
      <c r="AT7" s="19">
        <v>0.2</v>
      </c>
      <c r="AU7" s="19">
        <v>0</v>
      </c>
      <c r="AV7" s="19">
        <v>15.4</v>
      </c>
      <c r="AW7" s="19">
        <v>2.4</v>
      </c>
      <c r="AX7" s="19">
        <v>0</v>
      </c>
      <c r="AY7" s="19">
        <v>0</v>
      </c>
      <c r="AZ7" s="19">
        <v>18.2</v>
      </c>
      <c r="BA7" s="19">
        <v>5.2</v>
      </c>
      <c r="BB7" s="19">
        <v>0</v>
      </c>
      <c r="BC7" s="19">
        <v>0</v>
      </c>
      <c r="BD7" s="33"/>
      <c r="BE7" s="14">
        <f t="shared" si="16"/>
        <v>10.4</v>
      </c>
      <c r="BF7" s="14">
        <f t="shared" si="17"/>
        <v>44.699999999999996</v>
      </c>
      <c r="BG7" s="14">
        <f t="shared" si="18"/>
        <v>7.6</v>
      </c>
      <c r="BH7" s="14">
        <f t="shared" si="19"/>
        <v>41.2</v>
      </c>
      <c r="BI7" s="14">
        <f t="shared" si="20"/>
        <v>85.9</v>
      </c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32"/>
      <c r="CA7" s="55" t="str">
        <f t="shared" si="21"/>
        <v/>
      </c>
      <c r="CB7" s="55" t="str">
        <f t="shared" si="22"/>
        <v/>
      </c>
      <c r="CC7" s="55" t="str">
        <f t="shared" si="23"/>
        <v/>
      </c>
      <c r="CD7" s="55" t="str">
        <f t="shared" si="24"/>
        <v/>
      </c>
      <c r="CE7" s="55" t="str">
        <f t="shared" si="25"/>
        <v/>
      </c>
      <c r="CF7" s="56" t="str">
        <f t="shared" si="26"/>
        <v/>
      </c>
      <c r="CG7" s="56" t="str">
        <f t="shared" si="27"/>
        <v/>
      </c>
      <c r="CH7" s="18">
        <v>15.2</v>
      </c>
      <c r="CI7" s="18">
        <v>2.4</v>
      </c>
      <c r="CJ7" s="18">
        <v>0</v>
      </c>
      <c r="CK7" s="18">
        <v>0</v>
      </c>
      <c r="CL7" s="18">
        <v>17.8</v>
      </c>
      <c r="CM7" s="18">
        <v>4.8</v>
      </c>
      <c r="CN7" s="18">
        <v>1</v>
      </c>
      <c r="CO7" s="18">
        <v>0</v>
      </c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55">
        <f t="shared" si="28"/>
        <v>7.1999999999999993</v>
      </c>
      <c r="DC7" s="55">
        <f t="shared" si="29"/>
        <v>39.199999999999996</v>
      </c>
      <c r="DD7" s="55" t="str">
        <f t="shared" si="30"/>
        <v/>
      </c>
      <c r="DE7" s="55" t="str">
        <f t="shared" si="31"/>
        <v/>
      </c>
      <c r="DF7" s="55" t="str">
        <f t="shared" si="32"/>
        <v/>
      </c>
      <c r="DG7" s="55">
        <f t="shared" si="33"/>
        <v>39.199999999999996</v>
      </c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  <c r="DW7" s="19"/>
      <c r="DX7" s="19"/>
      <c r="DY7" s="19"/>
      <c r="DZ7" s="19"/>
      <c r="EA7" s="19"/>
      <c r="EB7" s="14" t="str">
        <f t="shared" si="34"/>
        <v/>
      </c>
      <c r="EC7" s="14" t="str">
        <f t="shared" si="35"/>
        <v/>
      </c>
      <c r="ED7" s="14" t="str">
        <f t="shared" si="36"/>
        <v/>
      </c>
      <c r="EE7" s="14" t="str">
        <f t="shared" si="37"/>
        <v/>
      </c>
      <c r="EF7" s="14" t="str">
        <f t="shared" si="38"/>
        <v/>
      </c>
      <c r="EG7" s="14" t="str">
        <f t="shared" si="39"/>
        <v/>
      </c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55" t="str">
        <f t="shared" si="40"/>
        <v/>
      </c>
      <c r="FC7" s="55" t="str">
        <f t="shared" si="41"/>
        <v/>
      </c>
      <c r="FD7" s="55" t="str">
        <f t="shared" si="42"/>
        <v/>
      </c>
      <c r="FE7" s="55" t="str">
        <f t="shared" si="43"/>
        <v/>
      </c>
      <c r="FF7" s="55" t="str">
        <f t="shared" si="44"/>
        <v/>
      </c>
      <c r="FG7" s="55" t="str">
        <f t="shared" si="45"/>
        <v/>
      </c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9"/>
      <c r="FY7" s="19"/>
      <c r="FZ7" s="19"/>
      <c r="GA7" s="19"/>
      <c r="GB7" s="14" t="str">
        <f t="shared" si="46"/>
        <v/>
      </c>
      <c r="GC7" s="14" t="str">
        <f t="shared" si="47"/>
        <v/>
      </c>
      <c r="GD7" s="14" t="str">
        <f t="shared" si="48"/>
        <v/>
      </c>
      <c r="GE7" s="14" t="str">
        <f t="shared" si="49"/>
        <v/>
      </c>
      <c r="GF7" s="14" t="str">
        <f t="shared" si="50"/>
        <v/>
      </c>
      <c r="GG7" s="14" t="str">
        <f t="shared" si="51"/>
        <v/>
      </c>
      <c r="GH7" s="18"/>
      <c r="GI7" s="18"/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55" t="str">
        <f t="shared" si="52"/>
        <v/>
      </c>
      <c r="HC7" s="55" t="str">
        <f t="shared" si="53"/>
        <v/>
      </c>
      <c r="HD7" s="55" t="str">
        <f t="shared" si="54"/>
        <v/>
      </c>
      <c r="HE7" s="55" t="str">
        <f t="shared" si="55"/>
        <v/>
      </c>
      <c r="HF7" s="55" t="str">
        <f t="shared" si="56"/>
        <v/>
      </c>
      <c r="HG7" s="55" t="str">
        <f t="shared" si="57"/>
        <v/>
      </c>
      <c r="HH7" s="19"/>
      <c r="HI7" s="19"/>
      <c r="HJ7" s="19"/>
      <c r="HK7" s="19"/>
      <c r="HL7" s="19"/>
      <c r="HM7" s="19"/>
      <c r="HN7" s="19"/>
      <c r="HO7" s="19"/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4" t="str">
        <f t="shared" si="58"/>
        <v/>
      </c>
      <c r="IC7" s="14" t="str">
        <f t="shared" si="59"/>
        <v/>
      </c>
      <c r="ID7" s="14" t="str">
        <f t="shared" si="60"/>
        <v/>
      </c>
      <c r="IE7" s="14" t="str">
        <f t="shared" si="61"/>
        <v/>
      </c>
      <c r="IF7" s="14" t="str">
        <f t="shared" si="62"/>
        <v/>
      </c>
      <c r="IG7" s="14" t="str">
        <f t="shared" si="63"/>
        <v/>
      </c>
      <c r="IH7" s="18"/>
      <c r="II7" s="18"/>
      <c r="IJ7" s="18"/>
      <c r="IK7" s="18"/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55" t="str">
        <f t="shared" si="64"/>
        <v/>
      </c>
      <c r="JC7" s="55" t="str">
        <f t="shared" si="65"/>
        <v/>
      </c>
      <c r="JD7" s="55" t="str">
        <f t="shared" si="66"/>
        <v/>
      </c>
      <c r="JE7" s="55" t="str">
        <f t="shared" si="67"/>
        <v/>
      </c>
      <c r="JF7" s="55" t="str">
        <f t="shared" si="68"/>
        <v/>
      </c>
      <c r="JG7" s="55" t="str">
        <f t="shared" si="69"/>
        <v/>
      </c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19"/>
      <c r="JX7" s="19"/>
      <c r="JY7" s="19"/>
      <c r="JZ7" s="19"/>
      <c r="KA7" s="19"/>
      <c r="KB7" s="14" t="str">
        <f t="shared" si="70"/>
        <v/>
      </c>
      <c r="KC7" s="14" t="str">
        <f t="shared" si="71"/>
        <v/>
      </c>
      <c r="KD7" s="14" t="str">
        <f t="shared" si="72"/>
        <v/>
      </c>
      <c r="KE7" s="14" t="str">
        <f t="shared" si="73"/>
        <v/>
      </c>
      <c r="KF7" s="14" t="str">
        <f t="shared" si="74"/>
        <v/>
      </c>
      <c r="KG7" s="14" t="str">
        <f t="shared" si="75"/>
        <v/>
      </c>
      <c r="KH7" s="18"/>
      <c r="KI7" s="18"/>
      <c r="KJ7" s="18"/>
      <c r="KK7" s="18"/>
      <c r="KL7" s="18"/>
      <c r="KM7" s="18"/>
      <c r="KN7" s="18"/>
      <c r="KO7" s="18"/>
      <c r="KP7" s="18"/>
      <c r="KQ7" s="18"/>
      <c r="KR7" s="18"/>
      <c r="KS7" s="18"/>
      <c r="KT7" s="18"/>
      <c r="KU7" s="18"/>
      <c r="KV7" s="18"/>
      <c r="KW7" s="18"/>
      <c r="KX7" s="18"/>
      <c r="KY7" s="18"/>
      <c r="KZ7" s="18"/>
      <c r="LA7" s="18"/>
      <c r="LB7" s="55" t="str">
        <f t="shared" si="76"/>
        <v/>
      </c>
      <c r="LC7" s="55" t="str">
        <f t="shared" si="77"/>
        <v/>
      </c>
      <c r="LD7" s="55" t="str">
        <f t="shared" si="78"/>
        <v/>
      </c>
      <c r="LE7" s="55" t="str">
        <f t="shared" si="79"/>
        <v/>
      </c>
      <c r="LF7" s="55" t="str">
        <f t="shared" si="80"/>
        <v/>
      </c>
      <c r="LG7" s="55" t="str">
        <f t="shared" si="81"/>
        <v/>
      </c>
      <c r="LH7" s="19"/>
      <c r="LI7" s="19"/>
      <c r="LJ7" s="19"/>
      <c r="LK7" s="19"/>
      <c r="LL7" s="19"/>
      <c r="LM7" s="19"/>
      <c r="LN7" s="19"/>
      <c r="LO7" s="19"/>
      <c r="LP7" s="19"/>
      <c r="LQ7" s="19"/>
      <c r="LR7" s="19"/>
      <c r="LS7" s="19"/>
      <c r="LT7" s="19"/>
      <c r="LU7" s="19"/>
      <c r="LV7" s="19"/>
      <c r="LW7" s="19"/>
      <c r="LX7" s="19"/>
      <c r="LY7" s="19"/>
      <c r="LZ7" s="19"/>
      <c r="MA7" s="19"/>
      <c r="MB7" s="14" t="str">
        <f t="shared" si="82"/>
        <v/>
      </c>
      <c r="MC7" s="14" t="str">
        <f t="shared" si="83"/>
        <v/>
      </c>
      <c r="MD7" s="14" t="str">
        <f t="shared" si="84"/>
        <v/>
      </c>
      <c r="ME7" s="14" t="str">
        <f t="shared" si="85"/>
        <v/>
      </c>
      <c r="MF7" s="14" t="str">
        <f t="shared" si="86"/>
        <v/>
      </c>
      <c r="MG7" s="14" t="str">
        <f t="shared" si="87"/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55" t="str">
        <f t="shared" si="88"/>
        <v/>
      </c>
      <c r="NC7" s="55" t="str">
        <f t="shared" si="89"/>
        <v/>
      </c>
      <c r="ND7" s="55" t="str">
        <f t="shared" si="90"/>
        <v/>
      </c>
      <c r="NE7" s="55" t="str">
        <f t="shared" si="91"/>
        <v/>
      </c>
      <c r="NF7" s="55" t="str">
        <f t="shared" si="92"/>
        <v/>
      </c>
      <c r="NG7" s="55" t="str">
        <f t="shared" si="93"/>
        <v/>
      </c>
      <c r="NH7" s="19"/>
      <c r="NI7" s="19"/>
      <c r="NJ7" s="19"/>
      <c r="NK7" s="19"/>
      <c r="NL7" s="19"/>
      <c r="NM7" s="19"/>
      <c r="NN7" s="19"/>
      <c r="NO7" s="19"/>
      <c r="NP7" s="19"/>
      <c r="NQ7" s="19"/>
      <c r="NR7" s="19"/>
      <c r="NS7" s="19"/>
      <c r="NT7" s="19"/>
      <c r="NU7" s="19"/>
      <c r="NV7" s="19"/>
      <c r="NW7" s="19"/>
      <c r="NX7" s="19"/>
      <c r="NY7" s="19"/>
      <c r="NZ7" s="19"/>
      <c r="OA7" s="19"/>
      <c r="OB7" s="14" t="str">
        <f t="shared" si="94"/>
        <v/>
      </c>
      <c r="OC7" s="14" t="str">
        <f t="shared" si="95"/>
        <v/>
      </c>
      <c r="OD7" s="14" t="str">
        <f t="shared" si="96"/>
        <v/>
      </c>
      <c r="OE7" s="14" t="str">
        <f t="shared" si="97"/>
        <v/>
      </c>
      <c r="OF7" s="14" t="str">
        <f t="shared" si="98"/>
        <v/>
      </c>
      <c r="OG7" s="14" t="str">
        <f t="shared" si="99"/>
        <v/>
      </c>
      <c r="OH7" s="27">
        <f t="shared" si="100"/>
        <v>8.35</v>
      </c>
      <c r="OI7" s="27">
        <f t="shared" si="101"/>
        <v>2.6</v>
      </c>
      <c r="OJ7" s="27">
        <f t="shared" si="102"/>
        <v>0.1</v>
      </c>
      <c r="OK7" s="27">
        <f t="shared" si="103"/>
        <v>0</v>
      </c>
      <c r="OL7" s="27">
        <f t="shared" si="104"/>
        <v>9</v>
      </c>
      <c r="OM7" s="27">
        <f t="shared" si="105"/>
        <v>2.6</v>
      </c>
      <c r="ON7" s="27">
        <f t="shared" si="106"/>
        <v>0.1</v>
      </c>
      <c r="OO7" s="27">
        <f t="shared" si="107"/>
        <v>0</v>
      </c>
      <c r="OP7" s="27">
        <f t="shared" si="108"/>
        <v>7.7</v>
      </c>
      <c r="OQ7" s="27">
        <f t="shared" si="109"/>
        <v>1.2</v>
      </c>
      <c r="OR7" s="27">
        <f t="shared" si="110"/>
        <v>0</v>
      </c>
      <c r="OS7" s="27">
        <f t="shared" si="111"/>
        <v>0</v>
      </c>
      <c r="OT7" s="27">
        <f t="shared" si="112"/>
        <v>9.1</v>
      </c>
      <c r="OU7" s="27">
        <f t="shared" si="113"/>
        <v>2.6</v>
      </c>
      <c r="OV7" s="27">
        <f t="shared" si="114"/>
        <v>0</v>
      </c>
      <c r="OW7" s="27">
        <f t="shared" si="115"/>
        <v>0</v>
      </c>
      <c r="OX7" s="32" t="s">
        <v>44</v>
      </c>
      <c r="OY7" s="55">
        <f t="shared" si="116"/>
        <v>5.2</v>
      </c>
      <c r="OZ7" s="55">
        <f t="shared" si="117"/>
        <v>22.349999999999998</v>
      </c>
      <c r="PA7" s="55">
        <f t="shared" si="118"/>
        <v>3.8</v>
      </c>
      <c r="PB7" s="55">
        <f t="shared" si="119"/>
        <v>20.6</v>
      </c>
      <c r="PC7" s="55">
        <f t="shared" si="120"/>
        <v>42.95</v>
      </c>
    </row>
    <row r="8" spans="1:419" x14ac:dyDescent="0.2">
      <c r="A8" s="4" t="str" cm="1">
        <f t="array" ref="A8">IF(AND(H8&lt;&gt;"",H8&lt;&gt;"No DD"),SUMPRODUCT((H$4:H$17&lt;&gt;"")*(H$4:H$17&lt;&gt;"No DD")*(E$4:E$17&gt;E8))+1,IF(H8="No DD",SUMPRODUCT((H$4:H$17="No DD")*(E$4:E$17&gt;E8))+1+SUMPRODUCT((H$4:H$17&lt;&gt;"")*(H$4:H$17&lt;&gt;"No DD")),""))</f>
        <v/>
      </c>
      <c r="B8" s="5" t="s">
        <v>90</v>
      </c>
      <c r="C8" s="4" t="s">
        <v>86</v>
      </c>
      <c r="D8" s="4">
        <v>2009</v>
      </c>
      <c r="E8" s="10">
        <f t="shared" si="0"/>
        <v>129.30001293000447</v>
      </c>
      <c r="F8" s="3" t="str">
        <f t="shared" si="1"/>
        <v/>
      </c>
      <c r="G8" s="3" t="str">
        <f t="shared" si="2"/>
        <v/>
      </c>
      <c r="H8" s="47" t="str">
        <f t="shared" si="3"/>
        <v/>
      </c>
      <c r="I8" s="9">
        <f>IF(COUNT(AJ8,BF8,CB8)&gt;0,LARGE((AJ8,BF8,CB8),1),0)</f>
        <v>44.699999999999996</v>
      </c>
      <c r="J8" s="9" t="str">
        <f t="shared" si="4"/>
        <v>2025 Nationals</v>
      </c>
      <c r="K8" s="9">
        <f>IF(COUNT(AJ8,BF8,CB8)&gt;1,LARGE((AJ8,BF8,CB8),2),0)</f>
        <v>40.700000000000003</v>
      </c>
      <c r="L8" s="9" t="str">
        <f t="shared" si="5"/>
        <v>2025 Elite Canada</v>
      </c>
      <c r="M8" s="9">
        <f t="shared" si="6"/>
        <v>43.9</v>
      </c>
      <c r="N8" s="9" t="str">
        <f t="shared" si="7"/>
        <v>2025 Nationals</v>
      </c>
      <c r="O8" s="9" t="str">
        <f t="shared" si="8"/>
        <v/>
      </c>
      <c r="P8" s="14" t="str">
        <f t="shared" si="9"/>
        <v/>
      </c>
      <c r="Q8" s="9" t="str">
        <f t="shared" si="10"/>
        <v/>
      </c>
      <c r="R8" s="20">
        <v>18.2</v>
      </c>
      <c r="S8" s="20">
        <v>3.5</v>
      </c>
      <c r="T8" s="20">
        <v>0.6</v>
      </c>
      <c r="U8" s="20">
        <v>0</v>
      </c>
      <c r="V8" s="20">
        <v>16</v>
      </c>
      <c r="W8" s="20">
        <v>4.4000000000000004</v>
      </c>
      <c r="X8" s="20">
        <v>0.8</v>
      </c>
      <c r="Y8" s="20">
        <v>0</v>
      </c>
      <c r="Z8" s="20">
        <v>15.6</v>
      </c>
      <c r="AA8" s="20">
        <v>0.7</v>
      </c>
      <c r="AB8" s="20">
        <v>0</v>
      </c>
      <c r="AC8" s="20">
        <v>0</v>
      </c>
      <c r="AD8" s="20">
        <v>17.899999999999999</v>
      </c>
      <c r="AE8" s="20">
        <v>4.4000000000000004</v>
      </c>
      <c r="AF8" s="20">
        <v>0</v>
      </c>
      <c r="AG8" s="20">
        <v>0</v>
      </c>
      <c r="AH8" s="32"/>
      <c r="AI8" s="55">
        <f t="shared" si="11"/>
        <v>7.9</v>
      </c>
      <c r="AJ8" s="55">
        <f t="shared" si="12"/>
        <v>40.700000000000003</v>
      </c>
      <c r="AK8" s="55">
        <f t="shared" si="13"/>
        <v>5.1000000000000005</v>
      </c>
      <c r="AL8" s="55">
        <f t="shared" si="14"/>
        <v>38.6</v>
      </c>
      <c r="AM8" s="55">
        <f t="shared" si="15"/>
        <v>79.300000000000011</v>
      </c>
      <c r="AN8" s="19">
        <v>18.600000000000001</v>
      </c>
      <c r="AO8" s="19">
        <v>3.5</v>
      </c>
      <c r="AP8" s="19">
        <v>0</v>
      </c>
      <c r="AQ8" s="19">
        <v>0</v>
      </c>
      <c r="AR8" s="19">
        <v>18.2</v>
      </c>
      <c r="AS8" s="19">
        <v>4.4000000000000004</v>
      </c>
      <c r="AT8" s="19">
        <v>0</v>
      </c>
      <c r="AU8" s="19">
        <v>0</v>
      </c>
      <c r="AV8" s="19">
        <v>18.600000000000001</v>
      </c>
      <c r="AW8" s="19">
        <v>3.5</v>
      </c>
      <c r="AX8" s="19">
        <v>0</v>
      </c>
      <c r="AY8" s="19">
        <v>0</v>
      </c>
      <c r="AZ8" s="19">
        <v>18</v>
      </c>
      <c r="BA8" s="19">
        <v>4.4000000000000004</v>
      </c>
      <c r="BB8" s="19">
        <v>0.6</v>
      </c>
      <c r="BC8" s="19">
        <v>0</v>
      </c>
      <c r="BD8" s="33"/>
      <c r="BE8" s="14">
        <f t="shared" si="16"/>
        <v>7.9</v>
      </c>
      <c r="BF8" s="14">
        <f t="shared" si="17"/>
        <v>44.699999999999996</v>
      </c>
      <c r="BG8" s="14">
        <f t="shared" si="18"/>
        <v>7.9</v>
      </c>
      <c r="BH8" s="14">
        <f t="shared" si="19"/>
        <v>43.9</v>
      </c>
      <c r="BI8" s="14">
        <f t="shared" si="20"/>
        <v>88.6</v>
      </c>
      <c r="BJ8" s="20"/>
      <c r="BK8" s="20"/>
      <c r="BL8" s="20"/>
      <c r="BM8" s="20"/>
      <c r="BN8" s="20"/>
      <c r="BO8" s="20"/>
      <c r="BP8" s="20"/>
      <c r="BQ8" s="20"/>
      <c r="BR8" s="20"/>
      <c r="BS8" s="20"/>
      <c r="BT8" s="20"/>
      <c r="BU8" s="20"/>
      <c r="BV8" s="20"/>
      <c r="BW8" s="20"/>
      <c r="BX8" s="20"/>
      <c r="BY8" s="20"/>
      <c r="BZ8" s="32"/>
      <c r="CA8" s="55" t="str">
        <f t="shared" si="21"/>
        <v/>
      </c>
      <c r="CB8" s="55" t="str">
        <f t="shared" si="22"/>
        <v/>
      </c>
      <c r="CC8" s="55" t="str">
        <f t="shared" si="23"/>
        <v/>
      </c>
      <c r="CD8" s="55" t="str">
        <f t="shared" si="24"/>
        <v/>
      </c>
      <c r="CE8" s="55" t="str">
        <f t="shared" si="25"/>
        <v/>
      </c>
      <c r="CF8" s="56" t="str">
        <f t="shared" si="26"/>
        <v/>
      </c>
      <c r="CG8" s="56" t="str">
        <f t="shared" si="27"/>
        <v/>
      </c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  <c r="CU8" s="18"/>
      <c r="CV8" s="18"/>
      <c r="CW8" s="18"/>
      <c r="CX8" s="18"/>
      <c r="CY8" s="18"/>
      <c r="CZ8" s="18"/>
      <c r="DA8" s="18"/>
      <c r="DB8" s="55" t="str">
        <f t="shared" si="28"/>
        <v/>
      </c>
      <c r="DC8" s="55" t="str">
        <f t="shared" si="29"/>
        <v/>
      </c>
      <c r="DD8" s="55" t="str">
        <f t="shared" si="30"/>
        <v/>
      </c>
      <c r="DE8" s="55" t="str">
        <f t="shared" si="31"/>
        <v/>
      </c>
      <c r="DF8" s="55" t="str">
        <f t="shared" si="32"/>
        <v/>
      </c>
      <c r="DG8" s="55" t="str">
        <f t="shared" si="33"/>
        <v/>
      </c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  <c r="DZ8" s="19"/>
      <c r="EA8" s="19"/>
      <c r="EB8" s="14" t="str">
        <f t="shared" si="34"/>
        <v/>
      </c>
      <c r="EC8" s="14" t="str">
        <f t="shared" si="35"/>
        <v/>
      </c>
      <c r="ED8" s="14" t="str">
        <f t="shared" si="36"/>
        <v/>
      </c>
      <c r="EE8" s="14" t="str">
        <f t="shared" si="37"/>
        <v/>
      </c>
      <c r="EF8" s="14" t="str">
        <f t="shared" si="38"/>
        <v/>
      </c>
      <c r="EG8" s="14" t="str">
        <f t="shared" si="39"/>
        <v/>
      </c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55" t="str">
        <f t="shared" si="40"/>
        <v/>
      </c>
      <c r="FC8" s="55" t="str">
        <f t="shared" si="41"/>
        <v/>
      </c>
      <c r="FD8" s="55" t="str">
        <f t="shared" si="42"/>
        <v/>
      </c>
      <c r="FE8" s="55" t="str">
        <f t="shared" si="43"/>
        <v/>
      </c>
      <c r="FF8" s="55" t="str">
        <f t="shared" si="44"/>
        <v/>
      </c>
      <c r="FG8" s="55" t="str">
        <f t="shared" si="45"/>
        <v/>
      </c>
      <c r="FH8" s="19"/>
      <c r="FI8" s="19"/>
      <c r="FJ8" s="19"/>
      <c r="FK8" s="19"/>
      <c r="FL8" s="19"/>
      <c r="FM8" s="19"/>
      <c r="FN8" s="19"/>
      <c r="FO8" s="19"/>
      <c r="FP8" s="19"/>
      <c r="FQ8" s="19"/>
      <c r="FR8" s="19"/>
      <c r="FS8" s="19"/>
      <c r="FT8" s="19"/>
      <c r="FU8" s="19"/>
      <c r="FV8" s="19"/>
      <c r="FW8" s="19"/>
      <c r="FX8" s="19"/>
      <c r="FY8" s="19"/>
      <c r="FZ8" s="19"/>
      <c r="GA8" s="19"/>
      <c r="GB8" s="14" t="str">
        <f t="shared" si="46"/>
        <v/>
      </c>
      <c r="GC8" s="14" t="str">
        <f t="shared" si="47"/>
        <v/>
      </c>
      <c r="GD8" s="14" t="str">
        <f t="shared" si="48"/>
        <v/>
      </c>
      <c r="GE8" s="14" t="str">
        <f t="shared" si="49"/>
        <v/>
      </c>
      <c r="GF8" s="14" t="str">
        <f t="shared" si="50"/>
        <v/>
      </c>
      <c r="GG8" s="14" t="str">
        <f t="shared" si="51"/>
        <v/>
      </c>
      <c r="GH8" s="18"/>
      <c r="GI8" s="18"/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55" t="str">
        <f t="shared" si="52"/>
        <v/>
      </c>
      <c r="HC8" s="55" t="str">
        <f t="shared" si="53"/>
        <v/>
      </c>
      <c r="HD8" s="55" t="str">
        <f t="shared" si="54"/>
        <v/>
      </c>
      <c r="HE8" s="55" t="str">
        <f t="shared" si="55"/>
        <v/>
      </c>
      <c r="HF8" s="55" t="str">
        <f t="shared" si="56"/>
        <v/>
      </c>
      <c r="HG8" s="55" t="str">
        <f t="shared" si="57"/>
        <v/>
      </c>
      <c r="HH8" s="19"/>
      <c r="HI8" s="19"/>
      <c r="HJ8" s="19"/>
      <c r="HK8" s="19"/>
      <c r="HL8" s="19"/>
      <c r="HM8" s="19"/>
      <c r="HN8" s="19"/>
      <c r="HO8" s="19"/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4" t="str">
        <f t="shared" si="58"/>
        <v/>
      </c>
      <c r="IC8" s="14" t="str">
        <f t="shared" si="59"/>
        <v/>
      </c>
      <c r="ID8" s="14" t="str">
        <f t="shared" si="60"/>
        <v/>
      </c>
      <c r="IE8" s="14" t="str">
        <f t="shared" si="61"/>
        <v/>
      </c>
      <c r="IF8" s="14" t="str">
        <f t="shared" si="62"/>
        <v/>
      </c>
      <c r="IG8" s="14" t="str">
        <f t="shared" si="63"/>
        <v/>
      </c>
      <c r="IH8" s="18"/>
      <c r="II8" s="18"/>
      <c r="IJ8" s="18"/>
      <c r="IK8" s="18"/>
      <c r="IL8" s="18"/>
      <c r="IM8" s="18"/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55" t="str">
        <f t="shared" si="64"/>
        <v/>
      </c>
      <c r="JC8" s="55" t="str">
        <f t="shared" si="65"/>
        <v/>
      </c>
      <c r="JD8" s="55" t="str">
        <f t="shared" si="66"/>
        <v/>
      </c>
      <c r="JE8" s="55" t="str">
        <f t="shared" si="67"/>
        <v/>
      </c>
      <c r="JF8" s="55" t="str">
        <f t="shared" si="68"/>
        <v/>
      </c>
      <c r="JG8" s="55" t="str">
        <f t="shared" si="69"/>
        <v/>
      </c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19"/>
      <c r="JX8" s="19"/>
      <c r="JY8" s="19"/>
      <c r="JZ8" s="19"/>
      <c r="KA8" s="19"/>
      <c r="KB8" s="14" t="str">
        <f t="shared" si="70"/>
        <v/>
      </c>
      <c r="KC8" s="14" t="str">
        <f t="shared" si="71"/>
        <v/>
      </c>
      <c r="KD8" s="14" t="str">
        <f t="shared" si="72"/>
        <v/>
      </c>
      <c r="KE8" s="14" t="str">
        <f t="shared" si="73"/>
        <v/>
      </c>
      <c r="KF8" s="14" t="str">
        <f t="shared" si="74"/>
        <v/>
      </c>
      <c r="KG8" s="14" t="str">
        <f t="shared" si="75"/>
        <v/>
      </c>
      <c r="KH8" s="18"/>
      <c r="KI8" s="18"/>
      <c r="KJ8" s="18"/>
      <c r="KK8" s="18"/>
      <c r="KL8" s="18"/>
      <c r="KM8" s="18"/>
      <c r="KN8" s="18"/>
      <c r="KO8" s="18"/>
      <c r="KP8" s="18"/>
      <c r="KQ8" s="18"/>
      <c r="KR8" s="18"/>
      <c r="KS8" s="18"/>
      <c r="KT8" s="18"/>
      <c r="KU8" s="18"/>
      <c r="KV8" s="18"/>
      <c r="KW8" s="18"/>
      <c r="KX8" s="18"/>
      <c r="KY8" s="18"/>
      <c r="KZ8" s="18"/>
      <c r="LA8" s="18"/>
      <c r="LB8" s="55" t="str">
        <f t="shared" si="76"/>
        <v/>
      </c>
      <c r="LC8" s="55" t="str">
        <f t="shared" si="77"/>
        <v/>
      </c>
      <c r="LD8" s="55" t="str">
        <f t="shared" si="78"/>
        <v/>
      </c>
      <c r="LE8" s="55" t="str">
        <f t="shared" si="79"/>
        <v/>
      </c>
      <c r="LF8" s="55" t="str">
        <f t="shared" si="80"/>
        <v/>
      </c>
      <c r="LG8" s="55" t="str">
        <f t="shared" si="81"/>
        <v/>
      </c>
      <c r="LH8" s="19"/>
      <c r="LI8" s="19"/>
      <c r="LJ8" s="19"/>
      <c r="LK8" s="19"/>
      <c r="LL8" s="19"/>
      <c r="LM8" s="19"/>
      <c r="LN8" s="19"/>
      <c r="LO8" s="19"/>
      <c r="LP8" s="19"/>
      <c r="LQ8" s="19"/>
      <c r="LR8" s="19"/>
      <c r="LS8" s="19"/>
      <c r="LT8" s="19"/>
      <c r="LU8" s="19"/>
      <c r="LV8" s="19"/>
      <c r="LW8" s="19"/>
      <c r="LX8" s="19"/>
      <c r="LY8" s="19"/>
      <c r="LZ8" s="19"/>
      <c r="MA8" s="19"/>
      <c r="MB8" s="14" t="str">
        <f t="shared" si="82"/>
        <v/>
      </c>
      <c r="MC8" s="14" t="str">
        <f t="shared" si="83"/>
        <v/>
      </c>
      <c r="MD8" s="14" t="str">
        <f t="shared" si="84"/>
        <v/>
      </c>
      <c r="ME8" s="14" t="str">
        <f t="shared" si="85"/>
        <v/>
      </c>
      <c r="MF8" s="14" t="str">
        <f t="shared" si="86"/>
        <v/>
      </c>
      <c r="MG8" s="14" t="str">
        <f t="shared" si="87"/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55" t="str">
        <f t="shared" si="88"/>
        <v/>
      </c>
      <c r="NC8" s="55" t="str">
        <f t="shared" si="89"/>
        <v/>
      </c>
      <c r="ND8" s="55" t="str">
        <f t="shared" si="90"/>
        <v/>
      </c>
      <c r="NE8" s="55" t="str">
        <f t="shared" si="91"/>
        <v/>
      </c>
      <c r="NF8" s="55" t="str">
        <f t="shared" si="92"/>
        <v/>
      </c>
      <c r="NG8" s="55" t="str">
        <f t="shared" si="93"/>
        <v/>
      </c>
      <c r="NH8" s="19"/>
      <c r="NI8" s="19"/>
      <c r="NJ8" s="19"/>
      <c r="NK8" s="19"/>
      <c r="NL8" s="19"/>
      <c r="NM8" s="19"/>
      <c r="NN8" s="19"/>
      <c r="NO8" s="19"/>
      <c r="NP8" s="19"/>
      <c r="NQ8" s="19"/>
      <c r="NR8" s="19"/>
      <c r="NS8" s="19"/>
      <c r="NT8" s="19"/>
      <c r="NU8" s="19"/>
      <c r="NV8" s="19"/>
      <c r="NW8" s="19"/>
      <c r="NX8" s="19"/>
      <c r="NY8" s="19"/>
      <c r="NZ8" s="19"/>
      <c r="OA8" s="19"/>
      <c r="OB8" s="14" t="str">
        <f t="shared" si="94"/>
        <v/>
      </c>
      <c r="OC8" s="14" t="str">
        <f t="shared" si="95"/>
        <v/>
      </c>
      <c r="OD8" s="14" t="str">
        <f t="shared" si="96"/>
        <v/>
      </c>
      <c r="OE8" s="14" t="str">
        <f t="shared" si="97"/>
        <v/>
      </c>
      <c r="OF8" s="14" t="str">
        <f t="shared" si="98"/>
        <v/>
      </c>
      <c r="OG8" s="14" t="str">
        <f t="shared" si="99"/>
        <v/>
      </c>
      <c r="OH8" s="27">
        <f t="shared" si="100"/>
        <v>9.3000000000000007</v>
      </c>
      <c r="OI8" s="27">
        <f t="shared" si="101"/>
        <v>1.75</v>
      </c>
      <c r="OJ8" s="27">
        <f t="shared" si="102"/>
        <v>0</v>
      </c>
      <c r="OK8" s="27">
        <f t="shared" si="103"/>
        <v>0</v>
      </c>
      <c r="OL8" s="27">
        <f t="shared" si="104"/>
        <v>9.1</v>
      </c>
      <c r="OM8" s="27">
        <f t="shared" si="105"/>
        <v>2.2000000000000002</v>
      </c>
      <c r="ON8" s="27">
        <f t="shared" si="106"/>
        <v>0</v>
      </c>
      <c r="OO8" s="27">
        <f t="shared" si="107"/>
        <v>0</v>
      </c>
      <c r="OP8" s="27">
        <f t="shared" si="108"/>
        <v>9.3000000000000007</v>
      </c>
      <c r="OQ8" s="27">
        <f t="shared" si="109"/>
        <v>1.75</v>
      </c>
      <c r="OR8" s="27">
        <f t="shared" si="110"/>
        <v>0</v>
      </c>
      <c r="OS8" s="27">
        <f t="shared" si="111"/>
        <v>0</v>
      </c>
      <c r="OT8" s="27">
        <f t="shared" si="112"/>
        <v>9</v>
      </c>
      <c r="OU8" s="27">
        <f t="shared" si="113"/>
        <v>2.2000000000000002</v>
      </c>
      <c r="OV8" s="27">
        <f t="shared" si="114"/>
        <v>0.3</v>
      </c>
      <c r="OW8" s="27">
        <f t="shared" si="115"/>
        <v>0</v>
      </c>
      <c r="OX8" s="32" t="s">
        <v>44</v>
      </c>
      <c r="OY8" s="55">
        <f t="shared" si="116"/>
        <v>3.95</v>
      </c>
      <c r="OZ8" s="55">
        <f t="shared" si="117"/>
        <v>22.349999999999998</v>
      </c>
      <c r="PA8" s="55">
        <f t="shared" si="118"/>
        <v>3.95</v>
      </c>
      <c r="PB8" s="55">
        <f t="shared" si="119"/>
        <v>21.95</v>
      </c>
      <c r="PC8" s="55">
        <f t="shared" si="120"/>
        <v>44.3</v>
      </c>
    </row>
    <row r="9" spans="1:419" x14ac:dyDescent="0.2">
      <c r="A9" s="4" t="str" cm="1">
        <f t="array" ref="A9">IF(AND(H9&lt;&gt;"",H9&lt;&gt;"No DD"),SUMPRODUCT((H$4:H$17&lt;&gt;"")*(H$4:H$17&lt;&gt;"No DD")*(E$4:E$17&gt;E9))+1,IF(H9="No DD",SUMPRODUCT((H$4:H$17="No DD")*(E$4:E$17&gt;E9))+1+SUMPRODUCT((H$4:H$17&lt;&gt;"")*(H$4:H$17&lt;&gt;"No DD")),""))</f>
        <v/>
      </c>
      <c r="B9" s="5" t="s">
        <v>98</v>
      </c>
      <c r="C9" s="4" t="s">
        <v>64</v>
      </c>
      <c r="D9" s="4">
        <v>2010</v>
      </c>
      <c r="E9" s="10">
        <f t="shared" si="0"/>
        <v>127.10001271000451</v>
      </c>
      <c r="F9" s="3" t="str">
        <f t="shared" si="1"/>
        <v/>
      </c>
      <c r="G9" s="3" t="str">
        <f t="shared" si="2"/>
        <v/>
      </c>
      <c r="H9" s="47" t="str">
        <f t="shared" si="3"/>
        <v/>
      </c>
      <c r="I9" s="9">
        <f>IF(COUNT(AJ9,BF9,CB9)&gt;0,LARGE((AJ9,BF9,CB9),1),0)</f>
        <v>45.199999999999996</v>
      </c>
      <c r="J9" s="9" t="str">
        <f t="shared" si="4"/>
        <v>2025 Elite Canada</v>
      </c>
      <c r="K9" s="9">
        <f>IF(COUNT(AJ9,BF9,CB9)&gt;1,LARGE((AJ9,BF9,CB9),2),0)</f>
        <v>40.400000000000006</v>
      </c>
      <c r="L9" s="9" t="str">
        <f t="shared" si="5"/>
        <v>2025 3rd Domestic Trial</v>
      </c>
      <c r="M9" s="9">
        <f t="shared" si="6"/>
        <v>41.5</v>
      </c>
      <c r="N9" s="9" t="str">
        <f t="shared" si="7"/>
        <v>2025 Elite Canada</v>
      </c>
      <c r="O9" s="9" t="str">
        <f t="shared" si="8"/>
        <v/>
      </c>
      <c r="P9" s="14" t="str">
        <f t="shared" si="9"/>
        <v/>
      </c>
      <c r="Q9" s="9" t="str">
        <f t="shared" si="10"/>
        <v/>
      </c>
      <c r="R9" s="20">
        <v>19</v>
      </c>
      <c r="S9" s="20">
        <v>3.5</v>
      </c>
      <c r="T9" s="20">
        <v>0</v>
      </c>
      <c r="U9" s="20">
        <v>0</v>
      </c>
      <c r="V9" s="20">
        <v>17.899999999999999</v>
      </c>
      <c r="W9" s="20">
        <v>4.8</v>
      </c>
      <c r="X9" s="20">
        <v>0</v>
      </c>
      <c r="Y9" s="20">
        <v>0</v>
      </c>
      <c r="Z9" s="20">
        <v>18.600000000000001</v>
      </c>
      <c r="AA9" s="20">
        <v>4</v>
      </c>
      <c r="AB9" s="20">
        <v>0</v>
      </c>
      <c r="AC9" s="20">
        <v>0</v>
      </c>
      <c r="AD9" s="20">
        <v>17.399999999999999</v>
      </c>
      <c r="AE9" s="20">
        <v>2.9</v>
      </c>
      <c r="AF9" s="20">
        <v>1.4</v>
      </c>
      <c r="AG9" s="20">
        <v>0</v>
      </c>
      <c r="AH9" s="32"/>
      <c r="AI9" s="55">
        <f t="shared" si="11"/>
        <v>8.3000000000000007</v>
      </c>
      <c r="AJ9" s="55">
        <f t="shared" si="12"/>
        <v>45.199999999999996</v>
      </c>
      <c r="AK9" s="55">
        <f t="shared" si="13"/>
        <v>6.9</v>
      </c>
      <c r="AL9" s="55">
        <f t="shared" si="14"/>
        <v>41.5</v>
      </c>
      <c r="AM9" s="55">
        <f t="shared" si="15"/>
        <v>86.699999999999989</v>
      </c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33"/>
      <c r="BE9" s="14" t="str">
        <f t="shared" si="16"/>
        <v/>
      </c>
      <c r="BF9" s="14" t="str">
        <f t="shared" si="17"/>
        <v/>
      </c>
      <c r="BG9" s="14" t="str">
        <f t="shared" si="18"/>
        <v/>
      </c>
      <c r="BH9" s="14" t="str">
        <f t="shared" si="19"/>
        <v/>
      </c>
      <c r="BI9" s="14" t="str">
        <f t="shared" si="20"/>
        <v/>
      </c>
      <c r="BJ9" s="20">
        <v>18.5</v>
      </c>
      <c r="BK9" s="20">
        <v>3.6</v>
      </c>
      <c r="BL9" s="20">
        <v>0</v>
      </c>
      <c r="BM9" s="20">
        <v>0</v>
      </c>
      <c r="BN9" s="20">
        <v>16.600000000000001</v>
      </c>
      <c r="BO9" s="20">
        <v>2.7</v>
      </c>
      <c r="BP9" s="20">
        <v>1</v>
      </c>
      <c r="BQ9" s="20">
        <v>0</v>
      </c>
      <c r="BR9" s="20">
        <v>15.77</v>
      </c>
      <c r="BS9" s="20">
        <v>0.7</v>
      </c>
      <c r="BT9" s="20">
        <v>0</v>
      </c>
      <c r="BU9" s="20">
        <v>0</v>
      </c>
      <c r="BV9" s="20">
        <v>16.8</v>
      </c>
      <c r="BW9" s="20">
        <v>3.6</v>
      </c>
      <c r="BX9" s="20">
        <v>0.2</v>
      </c>
      <c r="BY9" s="20">
        <v>0</v>
      </c>
      <c r="BZ9" s="32"/>
      <c r="CA9" s="55">
        <f t="shared" si="21"/>
        <v>6.3000000000000007</v>
      </c>
      <c r="CB9" s="55">
        <f t="shared" si="22"/>
        <v>40.400000000000006</v>
      </c>
      <c r="CC9" s="55">
        <f t="shared" si="23"/>
        <v>4.3</v>
      </c>
      <c r="CD9" s="55">
        <f t="shared" si="24"/>
        <v>36.669999999999995</v>
      </c>
      <c r="CE9" s="55">
        <f t="shared" si="25"/>
        <v>77.069999999999993</v>
      </c>
      <c r="CF9" s="56" t="str">
        <f t="shared" si="26"/>
        <v/>
      </c>
      <c r="CG9" s="56" t="str">
        <f t="shared" si="27"/>
        <v/>
      </c>
      <c r="CH9" s="18"/>
      <c r="CI9" s="18"/>
      <c r="CJ9" s="18"/>
      <c r="CK9" s="18"/>
      <c r="CL9" s="18"/>
      <c r="CM9" s="18"/>
      <c r="CN9" s="18"/>
      <c r="CO9" s="18"/>
      <c r="CP9" s="18"/>
      <c r="CQ9" s="18"/>
      <c r="CR9" s="18"/>
      <c r="CS9" s="18"/>
      <c r="CT9" s="18"/>
      <c r="CU9" s="18"/>
      <c r="CV9" s="18"/>
      <c r="CW9" s="18"/>
      <c r="CX9" s="18"/>
      <c r="CY9" s="18"/>
      <c r="CZ9" s="18"/>
      <c r="DA9" s="18"/>
      <c r="DB9" s="55" t="str">
        <f t="shared" si="28"/>
        <v/>
      </c>
      <c r="DC9" s="55" t="str">
        <f t="shared" si="29"/>
        <v/>
      </c>
      <c r="DD9" s="55" t="str">
        <f t="shared" si="30"/>
        <v/>
      </c>
      <c r="DE9" s="55" t="str">
        <f t="shared" si="31"/>
        <v/>
      </c>
      <c r="DF9" s="55" t="str">
        <f t="shared" si="32"/>
        <v/>
      </c>
      <c r="DG9" s="55" t="str">
        <f t="shared" si="33"/>
        <v/>
      </c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  <c r="DZ9" s="19"/>
      <c r="EA9" s="19"/>
      <c r="EB9" s="14" t="str">
        <f t="shared" si="34"/>
        <v/>
      </c>
      <c r="EC9" s="14" t="str">
        <f t="shared" si="35"/>
        <v/>
      </c>
      <c r="ED9" s="14" t="str">
        <f t="shared" si="36"/>
        <v/>
      </c>
      <c r="EE9" s="14" t="str">
        <f t="shared" si="37"/>
        <v/>
      </c>
      <c r="EF9" s="14" t="str">
        <f t="shared" si="38"/>
        <v/>
      </c>
      <c r="EG9" s="14" t="str">
        <f t="shared" si="39"/>
        <v/>
      </c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55" t="str">
        <f t="shared" si="40"/>
        <v/>
      </c>
      <c r="FC9" s="55" t="str">
        <f t="shared" si="41"/>
        <v/>
      </c>
      <c r="FD9" s="55" t="str">
        <f t="shared" si="42"/>
        <v/>
      </c>
      <c r="FE9" s="55" t="str">
        <f t="shared" si="43"/>
        <v/>
      </c>
      <c r="FF9" s="55" t="str">
        <f t="shared" si="44"/>
        <v/>
      </c>
      <c r="FG9" s="55" t="str">
        <f t="shared" si="45"/>
        <v/>
      </c>
      <c r="FH9" s="19"/>
      <c r="FI9" s="19"/>
      <c r="FJ9" s="19"/>
      <c r="FK9" s="19"/>
      <c r="FL9" s="19"/>
      <c r="FM9" s="19"/>
      <c r="FN9" s="19"/>
      <c r="FO9" s="19"/>
      <c r="FP9" s="19"/>
      <c r="FQ9" s="19"/>
      <c r="FR9" s="19"/>
      <c r="FS9" s="19"/>
      <c r="FT9" s="19"/>
      <c r="FU9" s="19"/>
      <c r="FV9" s="19"/>
      <c r="FW9" s="19"/>
      <c r="FX9" s="19"/>
      <c r="FY9" s="19"/>
      <c r="FZ9" s="19"/>
      <c r="GA9" s="19"/>
      <c r="GB9" s="14" t="str">
        <f t="shared" si="46"/>
        <v/>
      </c>
      <c r="GC9" s="14" t="str">
        <f t="shared" si="47"/>
        <v/>
      </c>
      <c r="GD9" s="14" t="str">
        <f t="shared" si="48"/>
        <v/>
      </c>
      <c r="GE9" s="14" t="str">
        <f t="shared" si="49"/>
        <v/>
      </c>
      <c r="GF9" s="14" t="str">
        <f t="shared" si="50"/>
        <v/>
      </c>
      <c r="GG9" s="14" t="str">
        <f t="shared" si="51"/>
        <v/>
      </c>
      <c r="GH9" s="18"/>
      <c r="GI9" s="18"/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55" t="str">
        <f t="shared" si="52"/>
        <v/>
      </c>
      <c r="HC9" s="55" t="str">
        <f t="shared" si="53"/>
        <v/>
      </c>
      <c r="HD9" s="55" t="str">
        <f t="shared" si="54"/>
        <v/>
      </c>
      <c r="HE9" s="55" t="str">
        <f t="shared" si="55"/>
        <v/>
      </c>
      <c r="HF9" s="55" t="str">
        <f t="shared" si="56"/>
        <v/>
      </c>
      <c r="HG9" s="55" t="str">
        <f t="shared" si="57"/>
        <v/>
      </c>
      <c r="HH9" s="19"/>
      <c r="HI9" s="19"/>
      <c r="HJ9" s="19"/>
      <c r="HK9" s="19"/>
      <c r="HL9" s="19"/>
      <c r="HM9" s="19"/>
      <c r="HN9" s="19"/>
      <c r="HO9" s="19"/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4" t="str">
        <f t="shared" si="58"/>
        <v/>
      </c>
      <c r="IC9" s="14" t="str">
        <f t="shared" si="59"/>
        <v/>
      </c>
      <c r="ID9" s="14" t="str">
        <f t="shared" si="60"/>
        <v/>
      </c>
      <c r="IE9" s="14" t="str">
        <f t="shared" si="61"/>
        <v/>
      </c>
      <c r="IF9" s="14" t="str">
        <f t="shared" si="62"/>
        <v/>
      </c>
      <c r="IG9" s="14" t="str">
        <f t="shared" si="63"/>
        <v/>
      </c>
      <c r="IH9" s="18"/>
      <c r="II9" s="18"/>
      <c r="IJ9" s="18"/>
      <c r="IK9" s="18"/>
      <c r="IL9" s="18"/>
      <c r="IM9" s="18"/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55" t="str">
        <f t="shared" si="64"/>
        <v/>
      </c>
      <c r="JC9" s="55" t="str">
        <f t="shared" si="65"/>
        <v/>
      </c>
      <c r="JD9" s="55" t="str">
        <f t="shared" si="66"/>
        <v/>
      </c>
      <c r="JE9" s="55" t="str">
        <f t="shared" si="67"/>
        <v/>
      </c>
      <c r="JF9" s="55" t="str">
        <f t="shared" si="68"/>
        <v/>
      </c>
      <c r="JG9" s="55" t="str">
        <f t="shared" si="69"/>
        <v/>
      </c>
      <c r="JH9" s="19"/>
      <c r="JI9" s="19"/>
      <c r="JJ9" s="19"/>
      <c r="JK9" s="19"/>
      <c r="JL9" s="19"/>
      <c r="JM9" s="19"/>
      <c r="JN9" s="19"/>
      <c r="JO9" s="19"/>
      <c r="JP9" s="19"/>
      <c r="JQ9" s="19"/>
      <c r="JR9" s="19"/>
      <c r="JS9" s="19"/>
      <c r="JT9" s="19"/>
      <c r="JU9" s="19"/>
      <c r="JV9" s="19"/>
      <c r="JW9" s="19"/>
      <c r="JX9" s="19"/>
      <c r="JY9" s="19"/>
      <c r="JZ9" s="19"/>
      <c r="KA9" s="19"/>
      <c r="KB9" s="14" t="str">
        <f t="shared" si="70"/>
        <v/>
      </c>
      <c r="KC9" s="14" t="str">
        <f t="shared" si="71"/>
        <v/>
      </c>
      <c r="KD9" s="14" t="str">
        <f t="shared" si="72"/>
        <v/>
      </c>
      <c r="KE9" s="14" t="str">
        <f t="shared" si="73"/>
        <v/>
      </c>
      <c r="KF9" s="14" t="str">
        <f t="shared" si="74"/>
        <v/>
      </c>
      <c r="KG9" s="14" t="str">
        <f t="shared" si="75"/>
        <v/>
      </c>
      <c r="KH9" s="18"/>
      <c r="KI9" s="18"/>
      <c r="KJ9" s="18"/>
      <c r="KK9" s="18"/>
      <c r="KL9" s="18"/>
      <c r="KM9" s="18"/>
      <c r="KN9" s="18"/>
      <c r="KO9" s="18"/>
      <c r="KP9" s="18"/>
      <c r="KQ9" s="18"/>
      <c r="KR9" s="18"/>
      <c r="KS9" s="18"/>
      <c r="KT9" s="18"/>
      <c r="KU9" s="18"/>
      <c r="KV9" s="18"/>
      <c r="KW9" s="18"/>
      <c r="KX9" s="18"/>
      <c r="KY9" s="18"/>
      <c r="KZ9" s="18"/>
      <c r="LA9" s="18"/>
      <c r="LB9" s="55" t="str">
        <f t="shared" si="76"/>
        <v/>
      </c>
      <c r="LC9" s="55" t="str">
        <f t="shared" si="77"/>
        <v/>
      </c>
      <c r="LD9" s="55" t="str">
        <f t="shared" si="78"/>
        <v/>
      </c>
      <c r="LE9" s="55" t="str">
        <f t="shared" si="79"/>
        <v/>
      </c>
      <c r="LF9" s="55" t="str">
        <f t="shared" si="80"/>
        <v/>
      </c>
      <c r="LG9" s="55" t="str">
        <f t="shared" si="81"/>
        <v/>
      </c>
      <c r="LH9" s="19"/>
      <c r="LI9" s="19"/>
      <c r="LJ9" s="19"/>
      <c r="LK9" s="19"/>
      <c r="LL9" s="19"/>
      <c r="LM9" s="19"/>
      <c r="LN9" s="19"/>
      <c r="LO9" s="19"/>
      <c r="LP9" s="19"/>
      <c r="LQ9" s="19"/>
      <c r="LR9" s="19"/>
      <c r="LS9" s="19"/>
      <c r="LT9" s="19"/>
      <c r="LU9" s="19"/>
      <c r="LV9" s="19"/>
      <c r="LW9" s="19"/>
      <c r="LX9" s="19"/>
      <c r="LY9" s="19"/>
      <c r="LZ9" s="19"/>
      <c r="MA9" s="19"/>
      <c r="MB9" s="14" t="str">
        <f t="shared" si="82"/>
        <v/>
      </c>
      <c r="MC9" s="14" t="str">
        <f t="shared" si="83"/>
        <v/>
      </c>
      <c r="MD9" s="14" t="str">
        <f t="shared" si="84"/>
        <v/>
      </c>
      <c r="ME9" s="14" t="str">
        <f t="shared" si="85"/>
        <v/>
      </c>
      <c r="MF9" s="14" t="str">
        <f t="shared" si="86"/>
        <v/>
      </c>
      <c r="MG9" s="14" t="str">
        <f t="shared" si="87"/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55" t="str">
        <f t="shared" si="88"/>
        <v/>
      </c>
      <c r="NC9" s="55" t="str">
        <f t="shared" si="89"/>
        <v/>
      </c>
      <c r="ND9" s="55" t="str">
        <f t="shared" si="90"/>
        <v/>
      </c>
      <c r="NE9" s="55" t="str">
        <f t="shared" si="91"/>
        <v/>
      </c>
      <c r="NF9" s="55" t="str">
        <f t="shared" si="92"/>
        <v/>
      </c>
      <c r="NG9" s="55" t="str">
        <f t="shared" si="93"/>
        <v/>
      </c>
      <c r="NH9" s="19"/>
      <c r="NI9" s="19"/>
      <c r="NJ9" s="19"/>
      <c r="NK9" s="19"/>
      <c r="NL9" s="19"/>
      <c r="NM9" s="19"/>
      <c r="NN9" s="19"/>
      <c r="NO9" s="19"/>
      <c r="NP9" s="19"/>
      <c r="NQ9" s="19"/>
      <c r="NR9" s="19"/>
      <c r="NS9" s="19"/>
      <c r="NT9" s="19"/>
      <c r="NU9" s="19"/>
      <c r="NV9" s="19"/>
      <c r="NW9" s="19"/>
      <c r="NX9" s="19"/>
      <c r="NY9" s="19"/>
      <c r="NZ9" s="19"/>
      <c r="OA9" s="19"/>
      <c r="OB9" s="14" t="str">
        <f t="shared" si="94"/>
        <v/>
      </c>
      <c r="OC9" s="14" t="str">
        <f t="shared" si="95"/>
        <v/>
      </c>
      <c r="OD9" s="14" t="str">
        <f t="shared" si="96"/>
        <v/>
      </c>
      <c r="OE9" s="14" t="str">
        <f t="shared" si="97"/>
        <v/>
      </c>
      <c r="OF9" s="14" t="str">
        <f t="shared" si="98"/>
        <v/>
      </c>
      <c r="OG9" s="14" t="str">
        <f t="shared" si="99"/>
        <v/>
      </c>
      <c r="OH9" s="27">
        <f t="shared" si="100"/>
        <v>9.25</v>
      </c>
      <c r="OI9" s="27">
        <f t="shared" si="101"/>
        <v>1.8</v>
      </c>
      <c r="OJ9" s="27">
        <f t="shared" si="102"/>
        <v>0</v>
      </c>
      <c r="OK9" s="27">
        <f t="shared" si="103"/>
        <v>0</v>
      </c>
      <c r="OL9" s="27">
        <f t="shared" si="104"/>
        <v>8.3000000000000007</v>
      </c>
      <c r="OM9" s="27">
        <f t="shared" si="105"/>
        <v>1.35</v>
      </c>
      <c r="ON9" s="27">
        <f t="shared" si="106"/>
        <v>0.5</v>
      </c>
      <c r="OO9" s="27">
        <f t="shared" si="107"/>
        <v>0</v>
      </c>
      <c r="OP9" s="27">
        <f t="shared" si="108"/>
        <v>7.8849999999999998</v>
      </c>
      <c r="OQ9" s="27">
        <f t="shared" si="109"/>
        <v>0.35</v>
      </c>
      <c r="OR9" s="27">
        <f t="shared" si="110"/>
        <v>0</v>
      </c>
      <c r="OS9" s="27">
        <f t="shared" si="111"/>
        <v>0</v>
      </c>
      <c r="OT9" s="27">
        <f t="shared" si="112"/>
        <v>8.4</v>
      </c>
      <c r="OU9" s="27">
        <f t="shared" si="113"/>
        <v>1.8</v>
      </c>
      <c r="OV9" s="27">
        <f t="shared" si="114"/>
        <v>0.1</v>
      </c>
      <c r="OW9" s="27">
        <f t="shared" si="115"/>
        <v>0</v>
      </c>
      <c r="OX9" s="32" t="s">
        <v>44</v>
      </c>
      <c r="OY9" s="55">
        <f t="shared" si="116"/>
        <v>3.1500000000000004</v>
      </c>
      <c r="OZ9" s="55">
        <f t="shared" si="117"/>
        <v>20.200000000000003</v>
      </c>
      <c r="PA9" s="55">
        <f t="shared" si="118"/>
        <v>2.15</v>
      </c>
      <c r="PB9" s="55">
        <f t="shared" si="119"/>
        <v>18.334999999999997</v>
      </c>
      <c r="PC9" s="55">
        <f t="shared" si="120"/>
        <v>38.534999999999997</v>
      </c>
    </row>
    <row r="10" spans="1:419" x14ac:dyDescent="0.2">
      <c r="A10" s="4" t="str" cm="1">
        <f t="array" ref="A10">IF(AND(H10&lt;&gt;"",H10&lt;&gt;"No DD"),SUMPRODUCT((H$4:H$17&lt;&gt;"")*(H$4:H$17&lt;&gt;"No DD")*(E$4:E$17&gt;E10))+1,IF(H10="No DD",SUMPRODUCT((H$4:H$17="No DD")*(E$4:E$17&gt;E10))+1+SUMPRODUCT((H$4:H$17&lt;&gt;"")*(H$4:H$17&lt;&gt;"No DD")),""))</f>
        <v/>
      </c>
      <c r="B10" s="5" t="s">
        <v>97</v>
      </c>
      <c r="C10" s="4" t="s">
        <v>64</v>
      </c>
      <c r="D10" s="4">
        <v>2010</v>
      </c>
      <c r="E10" s="10">
        <f t="shared" si="0"/>
        <v>126.60001266000444</v>
      </c>
      <c r="F10" s="3" t="str">
        <f t="shared" si="1"/>
        <v/>
      </c>
      <c r="G10" s="3" t="str">
        <f t="shared" si="2"/>
        <v/>
      </c>
      <c r="H10" s="47" t="str">
        <f t="shared" si="3"/>
        <v/>
      </c>
      <c r="I10" s="9">
        <f>IF(COUNT(AJ10,BF10,CB10)&gt;0,LARGE((AJ10,BF10,CB10),1),0)</f>
        <v>44.499999999999993</v>
      </c>
      <c r="J10" s="9" t="str">
        <f t="shared" si="4"/>
        <v>2025 Nationals</v>
      </c>
      <c r="K10" s="9">
        <f>IF(COUNT(AJ10,BF10,CB10)&gt;1,LARGE((AJ10,BF10,CB10),2),0)</f>
        <v>38.099999999999994</v>
      </c>
      <c r="L10" s="9" t="str">
        <f t="shared" si="5"/>
        <v>2025 Elite Canada</v>
      </c>
      <c r="M10" s="9">
        <f t="shared" si="6"/>
        <v>44</v>
      </c>
      <c r="N10" s="9" t="str">
        <f t="shared" si="7"/>
        <v>2025 Elite Canada</v>
      </c>
      <c r="O10" s="9" t="str">
        <f t="shared" si="8"/>
        <v/>
      </c>
      <c r="P10" s="14" t="str">
        <f t="shared" si="9"/>
        <v/>
      </c>
      <c r="Q10" s="9" t="str">
        <f t="shared" si="10"/>
        <v/>
      </c>
      <c r="R10" s="20">
        <v>15.4</v>
      </c>
      <c r="S10" s="20">
        <v>1.2</v>
      </c>
      <c r="T10" s="20">
        <v>0</v>
      </c>
      <c r="U10" s="20">
        <v>0</v>
      </c>
      <c r="V10" s="20">
        <v>17.7</v>
      </c>
      <c r="W10" s="20">
        <v>4.4000000000000004</v>
      </c>
      <c r="X10" s="20">
        <v>0.6</v>
      </c>
      <c r="Y10" s="20">
        <v>0</v>
      </c>
      <c r="Z10" s="20">
        <v>18.5</v>
      </c>
      <c r="AA10" s="20">
        <v>3.6</v>
      </c>
      <c r="AB10" s="20">
        <v>0</v>
      </c>
      <c r="AC10" s="20">
        <v>0</v>
      </c>
      <c r="AD10" s="20">
        <v>18.100000000000001</v>
      </c>
      <c r="AE10" s="20">
        <v>4.4000000000000004</v>
      </c>
      <c r="AF10" s="20">
        <v>0.6</v>
      </c>
      <c r="AG10" s="20">
        <v>0</v>
      </c>
      <c r="AH10" s="32"/>
      <c r="AI10" s="55">
        <f t="shared" si="11"/>
        <v>5.6000000000000005</v>
      </c>
      <c r="AJ10" s="55">
        <f t="shared" si="12"/>
        <v>38.099999999999994</v>
      </c>
      <c r="AK10" s="55">
        <f t="shared" si="13"/>
        <v>8</v>
      </c>
      <c r="AL10" s="55">
        <f t="shared" si="14"/>
        <v>44</v>
      </c>
      <c r="AM10" s="55">
        <f t="shared" si="15"/>
        <v>82.1</v>
      </c>
      <c r="AN10" s="19">
        <v>18.399999999999999</v>
      </c>
      <c r="AO10" s="19">
        <v>4.4000000000000004</v>
      </c>
      <c r="AP10" s="19">
        <v>0</v>
      </c>
      <c r="AQ10" s="19">
        <v>0</v>
      </c>
      <c r="AR10" s="19">
        <v>18.3</v>
      </c>
      <c r="AS10" s="19">
        <v>3.6</v>
      </c>
      <c r="AT10" s="19">
        <v>0.2</v>
      </c>
      <c r="AU10" s="19">
        <v>0</v>
      </c>
      <c r="AV10" s="19">
        <v>18.2</v>
      </c>
      <c r="AW10" s="19">
        <v>4.4000000000000004</v>
      </c>
      <c r="AX10" s="19">
        <v>0.8</v>
      </c>
      <c r="AY10" s="19">
        <v>0</v>
      </c>
      <c r="AZ10" s="19">
        <v>0</v>
      </c>
      <c r="BA10" s="19">
        <v>0</v>
      </c>
      <c r="BB10" s="19">
        <v>0</v>
      </c>
      <c r="BC10" s="19">
        <v>0</v>
      </c>
      <c r="BD10" s="33"/>
      <c r="BE10" s="14">
        <f t="shared" si="16"/>
        <v>8</v>
      </c>
      <c r="BF10" s="14">
        <f t="shared" si="17"/>
        <v>44.499999999999993</v>
      </c>
      <c r="BG10" s="14">
        <f t="shared" si="18"/>
        <v>4.4000000000000004</v>
      </c>
      <c r="BH10" s="14">
        <f t="shared" si="19"/>
        <v>21.8</v>
      </c>
      <c r="BI10" s="14">
        <f t="shared" si="20"/>
        <v>66.3</v>
      </c>
      <c r="BJ10" s="20"/>
      <c r="BK10" s="20"/>
      <c r="BL10" s="20"/>
      <c r="BM10" s="20"/>
      <c r="BN10" s="20"/>
      <c r="BO10" s="20"/>
      <c r="BP10" s="20"/>
      <c r="BQ10" s="20"/>
      <c r="BR10" s="20"/>
      <c r="BS10" s="20"/>
      <c r="BT10" s="20"/>
      <c r="BU10" s="20"/>
      <c r="BV10" s="20"/>
      <c r="BW10" s="20"/>
      <c r="BX10" s="20"/>
      <c r="BY10" s="20"/>
      <c r="BZ10" s="32"/>
      <c r="CA10" s="55" t="str">
        <f t="shared" si="21"/>
        <v/>
      </c>
      <c r="CB10" s="55" t="str">
        <f t="shared" si="22"/>
        <v/>
      </c>
      <c r="CC10" s="55" t="str">
        <f t="shared" si="23"/>
        <v/>
      </c>
      <c r="CD10" s="55" t="str">
        <f t="shared" si="24"/>
        <v/>
      </c>
      <c r="CE10" s="55" t="str">
        <f t="shared" si="25"/>
        <v/>
      </c>
      <c r="CF10" s="56" t="str">
        <f t="shared" si="26"/>
        <v/>
      </c>
      <c r="CG10" s="56" t="str">
        <f t="shared" si="27"/>
        <v/>
      </c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/>
      <c r="CZ10" s="18"/>
      <c r="DA10" s="18"/>
      <c r="DB10" s="55" t="str">
        <f t="shared" si="28"/>
        <v/>
      </c>
      <c r="DC10" s="55" t="str">
        <f t="shared" si="29"/>
        <v/>
      </c>
      <c r="DD10" s="55" t="str">
        <f t="shared" si="30"/>
        <v/>
      </c>
      <c r="DE10" s="55" t="str">
        <f t="shared" si="31"/>
        <v/>
      </c>
      <c r="DF10" s="55" t="str">
        <f t="shared" si="32"/>
        <v/>
      </c>
      <c r="DG10" s="55" t="str">
        <f t="shared" si="33"/>
        <v/>
      </c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4" t="str">
        <f t="shared" si="34"/>
        <v/>
      </c>
      <c r="EC10" s="14" t="str">
        <f t="shared" si="35"/>
        <v/>
      </c>
      <c r="ED10" s="14" t="str">
        <f t="shared" si="36"/>
        <v/>
      </c>
      <c r="EE10" s="14" t="str">
        <f t="shared" si="37"/>
        <v/>
      </c>
      <c r="EF10" s="14" t="str">
        <f t="shared" si="38"/>
        <v/>
      </c>
      <c r="EG10" s="14" t="str">
        <f t="shared" si="39"/>
        <v/>
      </c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55" t="str">
        <f t="shared" si="40"/>
        <v/>
      </c>
      <c r="FC10" s="55" t="str">
        <f t="shared" si="41"/>
        <v/>
      </c>
      <c r="FD10" s="55" t="str">
        <f t="shared" si="42"/>
        <v/>
      </c>
      <c r="FE10" s="55" t="str">
        <f t="shared" si="43"/>
        <v/>
      </c>
      <c r="FF10" s="55" t="str">
        <f t="shared" si="44"/>
        <v/>
      </c>
      <c r="FG10" s="55" t="str">
        <f t="shared" si="45"/>
        <v/>
      </c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4" t="str">
        <f t="shared" si="46"/>
        <v/>
      </c>
      <c r="GC10" s="14" t="str">
        <f t="shared" si="47"/>
        <v/>
      </c>
      <c r="GD10" s="14" t="str">
        <f t="shared" si="48"/>
        <v/>
      </c>
      <c r="GE10" s="14" t="str">
        <f t="shared" si="49"/>
        <v/>
      </c>
      <c r="GF10" s="14" t="str">
        <f t="shared" si="50"/>
        <v/>
      </c>
      <c r="GG10" s="14" t="str">
        <f t="shared" si="51"/>
        <v/>
      </c>
      <c r="GH10" s="18"/>
      <c r="GI10" s="18"/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55" t="str">
        <f t="shared" si="52"/>
        <v/>
      </c>
      <c r="HC10" s="55" t="str">
        <f t="shared" si="53"/>
        <v/>
      </c>
      <c r="HD10" s="55" t="str">
        <f t="shared" si="54"/>
        <v/>
      </c>
      <c r="HE10" s="55" t="str">
        <f t="shared" si="55"/>
        <v/>
      </c>
      <c r="HF10" s="55" t="str">
        <f t="shared" si="56"/>
        <v/>
      </c>
      <c r="HG10" s="55" t="str">
        <f t="shared" si="57"/>
        <v/>
      </c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4" t="str">
        <f t="shared" si="58"/>
        <v/>
      </c>
      <c r="IC10" s="14" t="str">
        <f t="shared" si="59"/>
        <v/>
      </c>
      <c r="ID10" s="14" t="str">
        <f t="shared" si="60"/>
        <v/>
      </c>
      <c r="IE10" s="14" t="str">
        <f t="shared" si="61"/>
        <v/>
      </c>
      <c r="IF10" s="14" t="str">
        <f t="shared" si="62"/>
        <v/>
      </c>
      <c r="IG10" s="14" t="str">
        <f t="shared" si="63"/>
        <v/>
      </c>
      <c r="IH10" s="18"/>
      <c r="II10" s="18"/>
      <c r="IJ10" s="18"/>
      <c r="IK10" s="18"/>
      <c r="IL10" s="18"/>
      <c r="IM10" s="18"/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55" t="str">
        <f t="shared" si="64"/>
        <v/>
      </c>
      <c r="JC10" s="55" t="str">
        <f t="shared" si="65"/>
        <v/>
      </c>
      <c r="JD10" s="55" t="str">
        <f t="shared" si="66"/>
        <v/>
      </c>
      <c r="JE10" s="55" t="str">
        <f t="shared" si="67"/>
        <v/>
      </c>
      <c r="JF10" s="55" t="str">
        <f t="shared" si="68"/>
        <v/>
      </c>
      <c r="JG10" s="55" t="str">
        <f t="shared" si="69"/>
        <v/>
      </c>
      <c r="JH10" s="19"/>
      <c r="JI10" s="19"/>
      <c r="JJ10" s="19"/>
      <c r="JK10" s="19"/>
      <c r="JL10" s="19"/>
      <c r="JM10" s="19"/>
      <c r="JN10" s="19"/>
      <c r="JO10" s="19"/>
      <c r="JP10" s="19"/>
      <c r="JQ10" s="19"/>
      <c r="JR10" s="19"/>
      <c r="JS10" s="19"/>
      <c r="JT10" s="19"/>
      <c r="JU10" s="19"/>
      <c r="JV10" s="19"/>
      <c r="JW10" s="19"/>
      <c r="JX10" s="19"/>
      <c r="JY10" s="19"/>
      <c r="JZ10" s="19"/>
      <c r="KA10" s="19"/>
      <c r="KB10" s="14" t="str">
        <f t="shared" si="70"/>
        <v/>
      </c>
      <c r="KC10" s="14" t="str">
        <f t="shared" si="71"/>
        <v/>
      </c>
      <c r="KD10" s="14" t="str">
        <f t="shared" si="72"/>
        <v/>
      </c>
      <c r="KE10" s="14" t="str">
        <f t="shared" si="73"/>
        <v/>
      </c>
      <c r="KF10" s="14" t="str">
        <f t="shared" si="74"/>
        <v/>
      </c>
      <c r="KG10" s="14" t="str">
        <f t="shared" si="75"/>
        <v/>
      </c>
      <c r="KH10" s="18"/>
      <c r="KI10" s="18"/>
      <c r="KJ10" s="18"/>
      <c r="KK10" s="18"/>
      <c r="KL10" s="18"/>
      <c r="KM10" s="18"/>
      <c r="KN10" s="18"/>
      <c r="KO10" s="18"/>
      <c r="KP10" s="18"/>
      <c r="KQ10" s="18"/>
      <c r="KR10" s="18"/>
      <c r="KS10" s="18"/>
      <c r="KT10" s="18"/>
      <c r="KU10" s="18"/>
      <c r="KV10" s="18"/>
      <c r="KW10" s="18"/>
      <c r="KX10" s="18"/>
      <c r="KY10" s="18"/>
      <c r="KZ10" s="18"/>
      <c r="LA10" s="18"/>
      <c r="LB10" s="55" t="str">
        <f t="shared" si="76"/>
        <v/>
      </c>
      <c r="LC10" s="55" t="str">
        <f t="shared" si="77"/>
        <v/>
      </c>
      <c r="LD10" s="55" t="str">
        <f t="shared" si="78"/>
        <v/>
      </c>
      <c r="LE10" s="55" t="str">
        <f t="shared" si="79"/>
        <v/>
      </c>
      <c r="LF10" s="55" t="str">
        <f t="shared" si="80"/>
        <v/>
      </c>
      <c r="LG10" s="55" t="str">
        <f t="shared" si="81"/>
        <v/>
      </c>
      <c r="LH10" s="19"/>
      <c r="LI10" s="19"/>
      <c r="LJ10" s="19"/>
      <c r="LK10" s="19"/>
      <c r="LL10" s="19"/>
      <c r="LM10" s="19"/>
      <c r="LN10" s="19"/>
      <c r="LO10" s="19"/>
      <c r="LP10" s="19"/>
      <c r="LQ10" s="19"/>
      <c r="LR10" s="19"/>
      <c r="LS10" s="19"/>
      <c r="LT10" s="19"/>
      <c r="LU10" s="19"/>
      <c r="LV10" s="19"/>
      <c r="LW10" s="19"/>
      <c r="LX10" s="19"/>
      <c r="LY10" s="19"/>
      <c r="LZ10" s="19"/>
      <c r="MA10" s="19"/>
      <c r="MB10" s="14" t="str">
        <f t="shared" si="82"/>
        <v/>
      </c>
      <c r="MC10" s="14" t="str">
        <f t="shared" si="83"/>
        <v/>
      </c>
      <c r="MD10" s="14" t="str">
        <f t="shared" si="84"/>
        <v/>
      </c>
      <c r="ME10" s="14" t="str">
        <f t="shared" si="85"/>
        <v/>
      </c>
      <c r="MF10" s="14" t="str">
        <f t="shared" si="86"/>
        <v/>
      </c>
      <c r="MG10" s="14" t="str">
        <f t="shared" si="87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55" t="str">
        <f t="shared" si="88"/>
        <v/>
      </c>
      <c r="NC10" s="55" t="str">
        <f t="shared" si="89"/>
        <v/>
      </c>
      <c r="ND10" s="55" t="str">
        <f t="shared" si="90"/>
        <v/>
      </c>
      <c r="NE10" s="55" t="str">
        <f t="shared" si="91"/>
        <v/>
      </c>
      <c r="NF10" s="55" t="str">
        <f t="shared" si="92"/>
        <v/>
      </c>
      <c r="NG10" s="55" t="str">
        <f t="shared" si="93"/>
        <v/>
      </c>
      <c r="NH10" s="19"/>
      <c r="NI10" s="19"/>
      <c r="NJ10" s="19"/>
      <c r="NK10" s="19"/>
      <c r="NL10" s="19"/>
      <c r="NM10" s="19"/>
      <c r="NN10" s="19"/>
      <c r="NO10" s="19"/>
      <c r="NP10" s="19"/>
      <c r="NQ10" s="19"/>
      <c r="NR10" s="19"/>
      <c r="NS10" s="19"/>
      <c r="NT10" s="19"/>
      <c r="NU10" s="19"/>
      <c r="NV10" s="19"/>
      <c r="NW10" s="19"/>
      <c r="NX10" s="19"/>
      <c r="NY10" s="19"/>
      <c r="NZ10" s="19"/>
      <c r="OA10" s="19"/>
      <c r="OB10" s="14" t="str">
        <f t="shared" si="94"/>
        <v/>
      </c>
      <c r="OC10" s="14" t="str">
        <f t="shared" si="95"/>
        <v/>
      </c>
      <c r="OD10" s="14" t="str">
        <f t="shared" si="96"/>
        <v/>
      </c>
      <c r="OE10" s="14" t="str">
        <f t="shared" si="97"/>
        <v/>
      </c>
      <c r="OF10" s="14" t="str">
        <f t="shared" si="98"/>
        <v/>
      </c>
      <c r="OG10" s="14" t="str">
        <f t="shared" si="99"/>
        <v/>
      </c>
      <c r="OH10" s="27">
        <f t="shared" si="100"/>
        <v>9.1999999999999993</v>
      </c>
      <c r="OI10" s="27">
        <f t="shared" si="101"/>
        <v>2.2000000000000002</v>
      </c>
      <c r="OJ10" s="27">
        <f t="shared" si="102"/>
        <v>0</v>
      </c>
      <c r="OK10" s="27">
        <f t="shared" si="103"/>
        <v>0</v>
      </c>
      <c r="OL10" s="27">
        <f t="shared" si="104"/>
        <v>9.15</v>
      </c>
      <c r="OM10" s="27">
        <f t="shared" si="105"/>
        <v>1.8</v>
      </c>
      <c r="ON10" s="27">
        <f t="shared" si="106"/>
        <v>0.1</v>
      </c>
      <c r="OO10" s="27">
        <f t="shared" si="107"/>
        <v>0</v>
      </c>
      <c r="OP10" s="27">
        <f t="shared" si="108"/>
        <v>9.1</v>
      </c>
      <c r="OQ10" s="27">
        <f t="shared" si="109"/>
        <v>2.2000000000000002</v>
      </c>
      <c r="OR10" s="27">
        <f t="shared" si="110"/>
        <v>0.4</v>
      </c>
      <c r="OS10" s="27">
        <f t="shared" si="111"/>
        <v>0</v>
      </c>
      <c r="OT10" s="27">
        <f t="shared" si="112"/>
        <v>0</v>
      </c>
      <c r="OU10" s="27">
        <f t="shared" si="113"/>
        <v>0</v>
      </c>
      <c r="OV10" s="27">
        <f t="shared" si="114"/>
        <v>0</v>
      </c>
      <c r="OW10" s="27">
        <f t="shared" si="115"/>
        <v>0</v>
      </c>
      <c r="OX10" s="32" t="s">
        <v>44</v>
      </c>
      <c r="OY10" s="55">
        <f t="shared" si="116"/>
        <v>4</v>
      </c>
      <c r="OZ10" s="55">
        <f t="shared" si="117"/>
        <v>22.249999999999996</v>
      </c>
      <c r="PA10" s="55">
        <f t="shared" si="118"/>
        <v>2.2000000000000002</v>
      </c>
      <c r="PB10" s="55">
        <f t="shared" si="119"/>
        <v>10.9</v>
      </c>
      <c r="PC10" s="55">
        <f t="shared" si="120"/>
        <v>33.15</v>
      </c>
    </row>
    <row r="11" spans="1:419" x14ac:dyDescent="0.2">
      <c r="A11" s="4" t="str" cm="1">
        <f t="array" ref="A11">IF(AND(H11&lt;&gt;"",H11&lt;&gt;"No DD"),SUMPRODUCT((H$4:H$17&lt;&gt;"")*(H$4:H$17&lt;&gt;"No DD")*(E$4:E$17&gt;E11))+1,IF(H11="No DD",SUMPRODUCT((H$4:H$17="No DD")*(E$4:E$17&gt;E11))+1+SUMPRODUCT((H$4:H$17&lt;&gt;"")*(H$4:H$17&lt;&gt;"No DD")),""))</f>
        <v/>
      </c>
      <c r="B11" s="5" t="s">
        <v>113</v>
      </c>
      <c r="C11" s="4" t="s">
        <v>64</v>
      </c>
      <c r="D11" s="4">
        <v>2009</v>
      </c>
      <c r="E11" s="10">
        <f t="shared" si="0"/>
        <v>125.70001257000415</v>
      </c>
      <c r="F11" s="3" t="str">
        <f t="shared" si="1"/>
        <v/>
      </c>
      <c r="G11" s="3" t="str">
        <f t="shared" si="2"/>
        <v/>
      </c>
      <c r="H11" s="47" t="str">
        <f t="shared" si="3"/>
        <v/>
      </c>
      <c r="I11" s="9">
        <f>IF(COUNT(AJ11,BF11,CB11)&gt;0,LARGE((AJ11,BF11,CB11),1),0)</f>
        <v>41.699999999999996</v>
      </c>
      <c r="J11" s="9" t="str">
        <f t="shared" si="4"/>
        <v>2025 Nationals</v>
      </c>
      <c r="K11" s="9">
        <f>IF(COUNT(AJ11,BF11,CB11)&gt;1,LARGE((AJ11,BF11,CB11),2),0)</f>
        <v>39.799999999999997</v>
      </c>
      <c r="L11" s="9" t="str">
        <f t="shared" si="5"/>
        <v>2025 3rd Domestic Trial</v>
      </c>
      <c r="M11" s="9">
        <f t="shared" si="6"/>
        <v>44.199999999999996</v>
      </c>
      <c r="N11" s="9" t="str">
        <f t="shared" si="7"/>
        <v>2025 Nationals</v>
      </c>
      <c r="O11" s="9" t="str">
        <f t="shared" si="8"/>
        <v/>
      </c>
      <c r="P11" s="14" t="str">
        <f t="shared" si="9"/>
        <v/>
      </c>
      <c r="Q11" s="9" t="str">
        <f t="shared" si="10"/>
        <v/>
      </c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32"/>
      <c r="AI11" s="55" t="str">
        <f t="shared" si="11"/>
        <v/>
      </c>
      <c r="AJ11" s="55" t="str">
        <f t="shared" si="12"/>
        <v/>
      </c>
      <c r="AK11" s="55" t="str">
        <f t="shared" si="13"/>
        <v/>
      </c>
      <c r="AL11" s="55" t="str">
        <f t="shared" si="14"/>
        <v/>
      </c>
      <c r="AM11" s="55" t="str">
        <f t="shared" si="15"/>
        <v/>
      </c>
      <c r="AN11" s="19">
        <v>18.7</v>
      </c>
      <c r="AO11" s="19">
        <v>3.5</v>
      </c>
      <c r="AP11" s="19">
        <v>0.2</v>
      </c>
      <c r="AQ11" s="19">
        <v>0</v>
      </c>
      <c r="AR11" s="19">
        <v>16.3</v>
      </c>
      <c r="AS11" s="19">
        <v>4.4000000000000004</v>
      </c>
      <c r="AT11" s="19">
        <v>1</v>
      </c>
      <c r="AU11" s="19">
        <v>0</v>
      </c>
      <c r="AV11" s="19">
        <v>18.399999999999999</v>
      </c>
      <c r="AW11" s="19">
        <v>3.5</v>
      </c>
      <c r="AX11" s="19">
        <v>0</v>
      </c>
      <c r="AY11" s="19">
        <v>0</v>
      </c>
      <c r="AZ11" s="19">
        <v>18.100000000000001</v>
      </c>
      <c r="BA11" s="19">
        <v>4.8</v>
      </c>
      <c r="BB11" s="19">
        <v>0.6</v>
      </c>
      <c r="BC11" s="19">
        <v>0</v>
      </c>
      <c r="BD11" s="33"/>
      <c r="BE11" s="14">
        <f t="shared" si="16"/>
        <v>7.9</v>
      </c>
      <c r="BF11" s="14">
        <f t="shared" si="17"/>
        <v>41.699999999999996</v>
      </c>
      <c r="BG11" s="14">
        <f t="shared" si="18"/>
        <v>8.3000000000000007</v>
      </c>
      <c r="BH11" s="14">
        <f t="shared" si="19"/>
        <v>44.199999999999996</v>
      </c>
      <c r="BI11" s="14">
        <f t="shared" si="20"/>
        <v>85.899999999999991</v>
      </c>
      <c r="BJ11" s="20">
        <v>18.2</v>
      </c>
      <c r="BK11" s="20">
        <v>2.7</v>
      </c>
      <c r="BL11" s="20">
        <v>1.4</v>
      </c>
      <c r="BM11" s="20">
        <v>0</v>
      </c>
      <c r="BN11" s="20">
        <v>18</v>
      </c>
      <c r="BO11" s="20">
        <v>3</v>
      </c>
      <c r="BP11" s="20">
        <v>0.7</v>
      </c>
      <c r="BQ11" s="20">
        <v>0</v>
      </c>
      <c r="BR11" s="20">
        <v>18.3</v>
      </c>
      <c r="BS11" s="20">
        <v>3.5</v>
      </c>
      <c r="BT11" s="20">
        <v>0</v>
      </c>
      <c r="BU11" s="20">
        <v>0</v>
      </c>
      <c r="BV11" s="20">
        <v>17.899999999999999</v>
      </c>
      <c r="BW11" s="20">
        <v>2.9</v>
      </c>
      <c r="BX11" s="20">
        <v>1.2</v>
      </c>
      <c r="BY11" s="20">
        <v>0</v>
      </c>
      <c r="BZ11" s="32"/>
      <c r="CA11" s="55">
        <f t="shared" si="21"/>
        <v>5.7</v>
      </c>
      <c r="CB11" s="55">
        <f t="shared" si="22"/>
        <v>39.799999999999997</v>
      </c>
      <c r="CC11" s="55">
        <f t="shared" si="23"/>
        <v>6.4</v>
      </c>
      <c r="CD11" s="55">
        <f t="shared" si="24"/>
        <v>41.4</v>
      </c>
      <c r="CE11" s="55">
        <f t="shared" si="25"/>
        <v>81.199999999999989</v>
      </c>
      <c r="CF11" s="56" t="str">
        <f t="shared" si="26"/>
        <v/>
      </c>
      <c r="CG11" s="56" t="str">
        <f t="shared" si="27"/>
        <v/>
      </c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55" t="str">
        <f t="shared" si="28"/>
        <v/>
      </c>
      <c r="DC11" s="55" t="str">
        <f t="shared" si="29"/>
        <v/>
      </c>
      <c r="DD11" s="55" t="str">
        <f t="shared" si="30"/>
        <v/>
      </c>
      <c r="DE11" s="55" t="str">
        <f t="shared" si="31"/>
        <v/>
      </c>
      <c r="DF11" s="55" t="str">
        <f t="shared" si="32"/>
        <v/>
      </c>
      <c r="DG11" s="55" t="str">
        <f t="shared" si="33"/>
        <v/>
      </c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  <c r="DZ11" s="19"/>
      <c r="EA11" s="19"/>
      <c r="EB11" s="14" t="str">
        <f t="shared" si="34"/>
        <v/>
      </c>
      <c r="EC11" s="14" t="str">
        <f t="shared" si="35"/>
        <v/>
      </c>
      <c r="ED11" s="14" t="str">
        <f t="shared" si="36"/>
        <v/>
      </c>
      <c r="EE11" s="14" t="str">
        <f t="shared" si="37"/>
        <v/>
      </c>
      <c r="EF11" s="14" t="str">
        <f t="shared" si="38"/>
        <v/>
      </c>
      <c r="EG11" s="14" t="str">
        <f t="shared" si="39"/>
        <v/>
      </c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55" t="str">
        <f t="shared" si="40"/>
        <v/>
      </c>
      <c r="FC11" s="55" t="str">
        <f t="shared" si="41"/>
        <v/>
      </c>
      <c r="FD11" s="55" t="str">
        <f t="shared" si="42"/>
        <v/>
      </c>
      <c r="FE11" s="55" t="str">
        <f t="shared" si="43"/>
        <v/>
      </c>
      <c r="FF11" s="55" t="str">
        <f t="shared" si="44"/>
        <v/>
      </c>
      <c r="FG11" s="55" t="str">
        <f t="shared" si="45"/>
        <v/>
      </c>
      <c r="FH11" s="19"/>
      <c r="FI11" s="19"/>
      <c r="FJ11" s="19"/>
      <c r="FK11" s="19"/>
      <c r="FL11" s="19"/>
      <c r="FM11" s="19"/>
      <c r="FN11" s="19"/>
      <c r="FO11" s="19"/>
      <c r="FP11" s="19"/>
      <c r="FQ11" s="19"/>
      <c r="FR11" s="19"/>
      <c r="FS11" s="19"/>
      <c r="FT11" s="19"/>
      <c r="FU11" s="19"/>
      <c r="FV11" s="19"/>
      <c r="FW11" s="19"/>
      <c r="FX11" s="19"/>
      <c r="FY11" s="19"/>
      <c r="FZ11" s="19"/>
      <c r="GA11" s="19"/>
      <c r="GB11" s="14" t="str">
        <f t="shared" si="46"/>
        <v/>
      </c>
      <c r="GC11" s="14" t="str">
        <f t="shared" si="47"/>
        <v/>
      </c>
      <c r="GD11" s="14" t="str">
        <f t="shared" si="48"/>
        <v/>
      </c>
      <c r="GE11" s="14" t="str">
        <f t="shared" si="49"/>
        <v/>
      </c>
      <c r="GF11" s="14" t="str">
        <f t="shared" si="50"/>
        <v/>
      </c>
      <c r="GG11" s="14" t="str">
        <f t="shared" si="51"/>
        <v/>
      </c>
      <c r="GH11" s="18"/>
      <c r="GI11" s="18"/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55" t="str">
        <f t="shared" si="52"/>
        <v/>
      </c>
      <c r="HC11" s="55" t="str">
        <f t="shared" si="53"/>
        <v/>
      </c>
      <c r="HD11" s="55" t="str">
        <f t="shared" si="54"/>
        <v/>
      </c>
      <c r="HE11" s="55" t="str">
        <f t="shared" si="55"/>
        <v/>
      </c>
      <c r="HF11" s="55" t="str">
        <f t="shared" si="56"/>
        <v/>
      </c>
      <c r="HG11" s="55" t="str">
        <f t="shared" si="57"/>
        <v/>
      </c>
      <c r="HH11" s="19"/>
      <c r="HI11" s="19"/>
      <c r="HJ11" s="19"/>
      <c r="HK11" s="19"/>
      <c r="HL11" s="19"/>
      <c r="HM11" s="19"/>
      <c r="HN11" s="19"/>
      <c r="HO11" s="19"/>
      <c r="HP11" s="19"/>
      <c r="HQ11" s="19"/>
      <c r="HR11" s="19"/>
      <c r="HS11" s="19"/>
      <c r="HT11" s="19"/>
      <c r="HU11" s="19"/>
      <c r="HV11" s="19"/>
      <c r="HW11" s="19"/>
      <c r="HX11" s="19"/>
      <c r="HY11" s="19"/>
      <c r="HZ11" s="19"/>
      <c r="IA11" s="19"/>
      <c r="IB11" s="14" t="str">
        <f t="shared" si="58"/>
        <v/>
      </c>
      <c r="IC11" s="14" t="str">
        <f t="shared" si="59"/>
        <v/>
      </c>
      <c r="ID11" s="14" t="str">
        <f t="shared" si="60"/>
        <v/>
      </c>
      <c r="IE11" s="14" t="str">
        <f t="shared" si="61"/>
        <v/>
      </c>
      <c r="IF11" s="14" t="str">
        <f t="shared" si="62"/>
        <v/>
      </c>
      <c r="IG11" s="14" t="str">
        <f t="shared" si="63"/>
        <v/>
      </c>
      <c r="IH11" s="18"/>
      <c r="II11" s="18"/>
      <c r="IJ11" s="18"/>
      <c r="IK11" s="18"/>
      <c r="IL11" s="18"/>
      <c r="IM11" s="18"/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55" t="str">
        <f t="shared" si="64"/>
        <v/>
      </c>
      <c r="JC11" s="55" t="str">
        <f t="shared" si="65"/>
        <v/>
      </c>
      <c r="JD11" s="55" t="str">
        <f t="shared" si="66"/>
        <v/>
      </c>
      <c r="JE11" s="55" t="str">
        <f t="shared" si="67"/>
        <v/>
      </c>
      <c r="JF11" s="55" t="str">
        <f t="shared" si="68"/>
        <v/>
      </c>
      <c r="JG11" s="55" t="str">
        <f t="shared" si="69"/>
        <v/>
      </c>
      <c r="JH11" s="19"/>
      <c r="JI11" s="19"/>
      <c r="JJ11" s="19"/>
      <c r="JK11" s="19"/>
      <c r="JL11" s="19"/>
      <c r="JM11" s="19"/>
      <c r="JN11" s="19"/>
      <c r="JO11" s="19"/>
      <c r="JP11" s="19"/>
      <c r="JQ11" s="19"/>
      <c r="JR11" s="19"/>
      <c r="JS11" s="19"/>
      <c r="JT11" s="19"/>
      <c r="JU11" s="19"/>
      <c r="JV11" s="19"/>
      <c r="JW11" s="19"/>
      <c r="JX11" s="19"/>
      <c r="JY11" s="19"/>
      <c r="JZ11" s="19"/>
      <c r="KA11" s="19"/>
      <c r="KB11" s="14" t="str">
        <f t="shared" si="70"/>
        <v/>
      </c>
      <c r="KC11" s="14" t="str">
        <f t="shared" si="71"/>
        <v/>
      </c>
      <c r="KD11" s="14" t="str">
        <f t="shared" si="72"/>
        <v/>
      </c>
      <c r="KE11" s="14" t="str">
        <f t="shared" si="73"/>
        <v/>
      </c>
      <c r="KF11" s="14" t="str">
        <f t="shared" si="74"/>
        <v/>
      </c>
      <c r="KG11" s="14" t="str">
        <f t="shared" si="75"/>
        <v/>
      </c>
      <c r="KH11" s="18"/>
      <c r="KI11" s="18"/>
      <c r="KJ11" s="18"/>
      <c r="KK11" s="18"/>
      <c r="KL11" s="18"/>
      <c r="KM11" s="18"/>
      <c r="KN11" s="18"/>
      <c r="KO11" s="18"/>
      <c r="KP11" s="18"/>
      <c r="KQ11" s="18"/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55" t="str">
        <f t="shared" si="76"/>
        <v/>
      </c>
      <c r="LC11" s="55" t="str">
        <f t="shared" si="77"/>
        <v/>
      </c>
      <c r="LD11" s="55" t="str">
        <f t="shared" si="78"/>
        <v/>
      </c>
      <c r="LE11" s="55" t="str">
        <f t="shared" si="79"/>
        <v/>
      </c>
      <c r="LF11" s="55" t="str">
        <f t="shared" si="80"/>
        <v/>
      </c>
      <c r="LG11" s="55" t="str">
        <f t="shared" si="81"/>
        <v/>
      </c>
      <c r="LH11" s="19"/>
      <c r="LI11" s="19"/>
      <c r="LJ11" s="19"/>
      <c r="LK11" s="19"/>
      <c r="LL11" s="19"/>
      <c r="LM11" s="19"/>
      <c r="LN11" s="19"/>
      <c r="LO11" s="19"/>
      <c r="LP11" s="19"/>
      <c r="LQ11" s="19"/>
      <c r="LR11" s="19"/>
      <c r="LS11" s="19"/>
      <c r="LT11" s="19"/>
      <c r="LU11" s="19"/>
      <c r="LV11" s="19"/>
      <c r="LW11" s="19"/>
      <c r="LX11" s="19"/>
      <c r="LY11" s="19"/>
      <c r="LZ11" s="19"/>
      <c r="MA11" s="19"/>
      <c r="MB11" s="14" t="str">
        <f t="shared" si="82"/>
        <v/>
      </c>
      <c r="MC11" s="14" t="str">
        <f t="shared" si="83"/>
        <v/>
      </c>
      <c r="MD11" s="14" t="str">
        <f t="shared" si="84"/>
        <v/>
      </c>
      <c r="ME11" s="14" t="str">
        <f t="shared" si="85"/>
        <v/>
      </c>
      <c r="MF11" s="14" t="str">
        <f t="shared" si="86"/>
        <v/>
      </c>
      <c r="MG11" s="14" t="str">
        <f t="shared" si="87"/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55" t="str">
        <f t="shared" si="88"/>
        <v/>
      </c>
      <c r="NC11" s="55" t="str">
        <f t="shared" si="89"/>
        <v/>
      </c>
      <c r="ND11" s="55" t="str">
        <f t="shared" si="90"/>
        <v/>
      </c>
      <c r="NE11" s="55" t="str">
        <f t="shared" si="91"/>
        <v/>
      </c>
      <c r="NF11" s="55" t="str">
        <f t="shared" si="92"/>
        <v/>
      </c>
      <c r="NG11" s="55" t="str">
        <f t="shared" si="93"/>
        <v/>
      </c>
      <c r="NH11" s="19"/>
      <c r="NI11" s="19"/>
      <c r="NJ11" s="19"/>
      <c r="NK11" s="19"/>
      <c r="NL11" s="19"/>
      <c r="NM11" s="19"/>
      <c r="NN11" s="19"/>
      <c r="NO11" s="19"/>
      <c r="NP11" s="19"/>
      <c r="NQ11" s="19"/>
      <c r="NR11" s="19"/>
      <c r="NS11" s="19"/>
      <c r="NT11" s="19"/>
      <c r="NU11" s="19"/>
      <c r="NV11" s="19"/>
      <c r="NW11" s="19"/>
      <c r="NX11" s="19"/>
      <c r="NY11" s="19"/>
      <c r="NZ11" s="19"/>
      <c r="OA11" s="19"/>
      <c r="OB11" s="14" t="str">
        <f t="shared" si="94"/>
        <v/>
      </c>
      <c r="OC11" s="14" t="str">
        <f t="shared" si="95"/>
        <v/>
      </c>
      <c r="OD11" s="14" t="str">
        <f t="shared" si="96"/>
        <v/>
      </c>
      <c r="OE11" s="14" t="str">
        <f t="shared" si="97"/>
        <v/>
      </c>
      <c r="OF11" s="14" t="str">
        <f t="shared" si="98"/>
        <v/>
      </c>
      <c r="OG11" s="14" t="str">
        <f t="shared" si="99"/>
        <v/>
      </c>
      <c r="OH11" s="27">
        <f t="shared" si="100"/>
        <v>18.45</v>
      </c>
      <c r="OI11" s="27">
        <f t="shared" si="101"/>
        <v>3.1</v>
      </c>
      <c r="OJ11" s="27">
        <f t="shared" si="102"/>
        <v>0.79999999999999993</v>
      </c>
      <c r="OK11" s="27">
        <f t="shared" si="103"/>
        <v>0</v>
      </c>
      <c r="OL11" s="27">
        <f t="shared" si="104"/>
        <v>17.149999999999999</v>
      </c>
      <c r="OM11" s="27">
        <f t="shared" si="105"/>
        <v>3.7</v>
      </c>
      <c r="ON11" s="27">
        <f t="shared" si="106"/>
        <v>0.85</v>
      </c>
      <c r="OO11" s="27">
        <f t="shared" si="107"/>
        <v>0</v>
      </c>
      <c r="OP11" s="27">
        <f t="shared" si="108"/>
        <v>18.350000000000001</v>
      </c>
      <c r="OQ11" s="27">
        <f t="shared" si="109"/>
        <v>3.5</v>
      </c>
      <c r="OR11" s="27">
        <f t="shared" si="110"/>
        <v>0</v>
      </c>
      <c r="OS11" s="27">
        <f t="shared" si="111"/>
        <v>0</v>
      </c>
      <c r="OT11" s="27">
        <f t="shared" si="112"/>
        <v>18</v>
      </c>
      <c r="OU11" s="27">
        <f t="shared" si="113"/>
        <v>3.8499999999999996</v>
      </c>
      <c r="OV11" s="27">
        <f t="shared" si="114"/>
        <v>0.89999999999999991</v>
      </c>
      <c r="OW11" s="27">
        <f t="shared" si="115"/>
        <v>0</v>
      </c>
      <c r="OX11" s="32" t="s">
        <v>44</v>
      </c>
      <c r="OY11" s="55">
        <f t="shared" si="116"/>
        <v>6.8000000000000007</v>
      </c>
      <c r="OZ11" s="55">
        <f t="shared" si="117"/>
        <v>40.750000000000007</v>
      </c>
      <c r="PA11" s="55">
        <f t="shared" si="118"/>
        <v>7.35</v>
      </c>
      <c r="PB11" s="55">
        <f t="shared" si="119"/>
        <v>42.800000000000004</v>
      </c>
      <c r="PC11" s="55">
        <f t="shared" si="120"/>
        <v>83.550000000000011</v>
      </c>
    </row>
    <row r="12" spans="1:419" x14ac:dyDescent="0.2">
      <c r="A12" s="4" t="str" cm="1">
        <f t="array" ref="A12">IF(AND(H12&lt;&gt;"",H12&lt;&gt;"No DD"),SUMPRODUCT((H$4:H$17&lt;&gt;"")*(H$4:H$17&lt;&gt;"No DD")*(E$4:E$17&gt;E12))+1,IF(H12="No DD",SUMPRODUCT((H$4:H$17="No DD")*(E$4:E$17&gt;E12))+1+SUMPRODUCT((H$4:H$17&lt;&gt;"")*(H$4:H$17&lt;&gt;"No DD")),""))</f>
        <v/>
      </c>
      <c r="B12" s="5" t="s">
        <v>99</v>
      </c>
      <c r="C12" s="4" t="s">
        <v>86</v>
      </c>
      <c r="D12" s="4">
        <v>2009</v>
      </c>
      <c r="E12" s="10">
        <f t="shared" si="0"/>
        <v>122.80001228000448</v>
      </c>
      <c r="F12" s="3" t="str">
        <f t="shared" si="1"/>
        <v/>
      </c>
      <c r="G12" s="3" t="str">
        <f t="shared" si="2"/>
        <v/>
      </c>
      <c r="H12" s="47" t="str">
        <f t="shared" si="3"/>
        <v/>
      </c>
      <c r="I12" s="9">
        <f>IF(COUNT(AJ12,BF12,CB12)&gt;0,LARGE((AJ12,BF12,CB12),1),0)</f>
        <v>44.6</v>
      </c>
      <c r="J12" s="9" t="str">
        <f t="shared" si="4"/>
        <v>2025 Nationals</v>
      </c>
      <c r="K12" s="9">
        <f>IF(COUNT(AJ12,BF12,CB12)&gt;1,LARGE((AJ12,BF12,CB12),2),0)</f>
        <v>33.1</v>
      </c>
      <c r="L12" s="9" t="str">
        <f t="shared" si="5"/>
        <v>2025 Elite Canada</v>
      </c>
      <c r="M12" s="9">
        <f t="shared" si="6"/>
        <v>45.1</v>
      </c>
      <c r="N12" s="9" t="str">
        <f t="shared" si="7"/>
        <v>2025 Nationals</v>
      </c>
      <c r="O12" s="9" t="str">
        <f t="shared" si="8"/>
        <v/>
      </c>
      <c r="P12" s="14" t="str">
        <f t="shared" si="9"/>
        <v/>
      </c>
      <c r="Q12" s="9" t="str">
        <f t="shared" si="10"/>
        <v/>
      </c>
      <c r="R12" s="20">
        <v>15.8</v>
      </c>
      <c r="S12" s="20">
        <v>0.7</v>
      </c>
      <c r="T12" s="20">
        <v>0</v>
      </c>
      <c r="U12" s="20">
        <v>0</v>
      </c>
      <c r="V12" s="20">
        <v>15.4</v>
      </c>
      <c r="W12" s="20">
        <v>1.2</v>
      </c>
      <c r="X12" s="20">
        <v>0</v>
      </c>
      <c r="Y12" s="20">
        <v>0</v>
      </c>
      <c r="Z12" s="20"/>
      <c r="AA12" s="20"/>
      <c r="AB12" s="20"/>
      <c r="AC12" s="20"/>
      <c r="AD12" s="20"/>
      <c r="AE12" s="20"/>
      <c r="AF12" s="20"/>
      <c r="AG12" s="20"/>
      <c r="AH12" s="32"/>
      <c r="AI12" s="55">
        <f t="shared" si="11"/>
        <v>1.9</v>
      </c>
      <c r="AJ12" s="55">
        <f t="shared" si="12"/>
        <v>33.1</v>
      </c>
      <c r="AK12" s="55" t="str">
        <f t="shared" si="13"/>
        <v/>
      </c>
      <c r="AL12" s="55" t="str">
        <f t="shared" si="14"/>
        <v/>
      </c>
      <c r="AM12" s="55">
        <f t="shared" si="15"/>
        <v>33.1</v>
      </c>
      <c r="AN12" s="19">
        <v>19</v>
      </c>
      <c r="AO12" s="19">
        <v>3.6</v>
      </c>
      <c r="AP12" s="19">
        <v>0</v>
      </c>
      <c r="AQ12" s="19">
        <v>0</v>
      </c>
      <c r="AR12" s="19">
        <v>19.100000000000001</v>
      </c>
      <c r="AS12" s="19">
        <v>3.5</v>
      </c>
      <c r="AT12" s="19">
        <v>0.6</v>
      </c>
      <c r="AU12" s="19">
        <v>0</v>
      </c>
      <c r="AV12" s="19">
        <v>18.8</v>
      </c>
      <c r="AW12" s="19">
        <v>3.6</v>
      </c>
      <c r="AX12" s="19">
        <v>0</v>
      </c>
      <c r="AY12" s="19">
        <v>0</v>
      </c>
      <c r="AZ12" s="19">
        <v>19.2</v>
      </c>
      <c r="BA12" s="19">
        <v>3.5</v>
      </c>
      <c r="BB12" s="19">
        <v>0</v>
      </c>
      <c r="BC12" s="19">
        <v>0</v>
      </c>
      <c r="BD12" s="33"/>
      <c r="BE12" s="14">
        <f t="shared" si="16"/>
        <v>7.1</v>
      </c>
      <c r="BF12" s="14">
        <f t="shared" si="17"/>
        <v>44.6</v>
      </c>
      <c r="BG12" s="14">
        <f t="shared" si="18"/>
        <v>7.1</v>
      </c>
      <c r="BH12" s="14">
        <f t="shared" si="19"/>
        <v>45.1</v>
      </c>
      <c r="BI12" s="14">
        <f t="shared" si="20"/>
        <v>89.7</v>
      </c>
      <c r="BJ12" s="20"/>
      <c r="BK12" s="20"/>
      <c r="BL12" s="20"/>
      <c r="BM12" s="20"/>
      <c r="BN12" s="20"/>
      <c r="BO12" s="20"/>
      <c r="BP12" s="20"/>
      <c r="BQ12" s="20"/>
      <c r="BR12" s="20"/>
      <c r="BS12" s="20"/>
      <c r="BT12" s="20"/>
      <c r="BU12" s="20"/>
      <c r="BV12" s="20"/>
      <c r="BW12" s="20"/>
      <c r="BX12" s="20"/>
      <c r="BY12" s="20"/>
      <c r="BZ12" s="32"/>
      <c r="CA12" s="55" t="str">
        <f t="shared" si="21"/>
        <v/>
      </c>
      <c r="CB12" s="55" t="str">
        <f t="shared" si="22"/>
        <v/>
      </c>
      <c r="CC12" s="55" t="str">
        <f t="shared" si="23"/>
        <v/>
      </c>
      <c r="CD12" s="55" t="str">
        <f t="shared" si="24"/>
        <v/>
      </c>
      <c r="CE12" s="55" t="str">
        <f t="shared" si="25"/>
        <v/>
      </c>
      <c r="CF12" s="56" t="str">
        <f t="shared" si="26"/>
        <v/>
      </c>
      <c r="CG12" s="56" t="str">
        <f t="shared" si="27"/>
        <v/>
      </c>
      <c r="CH12" s="18"/>
      <c r="CI12" s="18"/>
      <c r="CJ12" s="18"/>
      <c r="CK12" s="18"/>
      <c r="CL12" s="18"/>
      <c r="CM12" s="18"/>
      <c r="CN12" s="18"/>
      <c r="CO12" s="18"/>
      <c r="CP12" s="18"/>
      <c r="CQ12" s="18"/>
      <c r="CR12" s="18"/>
      <c r="CS12" s="18"/>
      <c r="CT12" s="18"/>
      <c r="CU12" s="18"/>
      <c r="CV12" s="18"/>
      <c r="CW12" s="18"/>
      <c r="CX12" s="18"/>
      <c r="CY12" s="18"/>
      <c r="CZ12" s="18"/>
      <c r="DA12" s="18"/>
      <c r="DB12" s="55" t="str">
        <f t="shared" si="28"/>
        <v/>
      </c>
      <c r="DC12" s="55" t="str">
        <f t="shared" si="29"/>
        <v/>
      </c>
      <c r="DD12" s="55" t="str">
        <f t="shared" si="30"/>
        <v/>
      </c>
      <c r="DE12" s="55" t="str">
        <f t="shared" si="31"/>
        <v/>
      </c>
      <c r="DF12" s="55" t="str">
        <f t="shared" si="32"/>
        <v/>
      </c>
      <c r="DG12" s="55" t="str">
        <f t="shared" si="33"/>
        <v/>
      </c>
      <c r="DH12" s="19"/>
      <c r="DI12" s="19"/>
      <c r="DJ12" s="19"/>
      <c r="DK12" s="19"/>
      <c r="DL12" s="19"/>
      <c r="DM12" s="19"/>
      <c r="DN12" s="19"/>
      <c r="DO12" s="19"/>
      <c r="DP12" s="19"/>
      <c r="DQ12" s="19"/>
      <c r="DR12" s="19"/>
      <c r="DS12" s="19"/>
      <c r="DT12" s="19"/>
      <c r="DU12" s="19"/>
      <c r="DV12" s="19"/>
      <c r="DW12" s="19"/>
      <c r="DX12" s="19"/>
      <c r="DY12" s="19"/>
      <c r="DZ12" s="19"/>
      <c r="EA12" s="19"/>
      <c r="EB12" s="14" t="str">
        <f t="shared" si="34"/>
        <v/>
      </c>
      <c r="EC12" s="14" t="str">
        <f t="shared" si="35"/>
        <v/>
      </c>
      <c r="ED12" s="14" t="str">
        <f t="shared" si="36"/>
        <v/>
      </c>
      <c r="EE12" s="14" t="str">
        <f t="shared" si="37"/>
        <v/>
      </c>
      <c r="EF12" s="14" t="str">
        <f t="shared" si="38"/>
        <v/>
      </c>
      <c r="EG12" s="14" t="str">
        <f t="shared" si="39"/>
        <v/>
      </c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55" t="str">
        <f t="shared" si="40"/>
        <v/>
      </c>
      <c r="FC12" s="55" t="str">
        <f t="shared" si="41"/>
        <v/>
      </c>
      <c r="FD12" s="55" t="str">
        <f t="shared" si="42"/>
        <v/>
      </c>
      <c r="FE12" s="55" t="str">
        <f t="shared" si="43"/>
        <v/>
      </c>
      <c r="FF12" s="55" t="str">
        <f t="shared" si="44"/>
        <v/>
      </c>
      <c r="FG12" s="55" t="str">
        <f t="shared" si="45"/>
        <v/>
      </c>
      <c r="FH12" s="19"/>
      <c r="FI12" s="19"/>
      <c r="FJ12" s="19"/>
      <c r="FK12" s="19"/>
      <c r="FL12" s="19"/>
      <c r="FM12" s="19"/>
      <c r="FN12" s="19"/>
      <c r="FO12" s="19"/>
      <c r="FP12" s="19"/>
      <c r="FQ12" s="19"/>
      <c r="FR12" s="19"/>
      <c r="FS12" s="19"/>
      <c r="FT12" s="19"/>
      <c r="FU12" s="19"/>
      <c r="FV12" s="19"/>
      <c r="FW12" s="19"/>
      <c r="FX12" s="19"/>
      <c r="FY12" s="19"/>
      <c r="FZ12" s="19"/>
      <c r="GA12" s="19"/>
      <c r="GB12" s="14" t="str">
        <f t="shared" si="46"/>
        <v/>
      </c>
      <c r="GC12" s="14" t="str">
        <f t="shared" si="47"/>
        <v/>
      </c>
      <c r="GD12" s="14" t="str">
        <f t="shared" si="48"/>
        <v/>
      </c>
      <c r="GE12" s="14" t="str">
        <f t="shared" si="49"/>
        <v/>
      </c>
      <c r="GF12" s="14" t="str">
        <f t="shared" si="50"/>
        <v/>
      </c>
      <c r="GG12" s="14" t="str">
        <f t="shared" si="51"/>
        <v/>
      </c>
      <c r="GH12" s="18"/>
      <c r="GI12" s="18"/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55" t="str">
        <f t="shared" si="52"/>
        <v/>
      </c>
      <c r="HC12" s="55" t="str">
        <f t="shared" si="53"/>
        <v/>
      </c>
      <c r="HD12" s="55" t="str">
        <f t="shared" si="54"/>
        <v/>
      </c>
      <c r="HE12" s="55" t="str">
        <f t="shared" si="55"/>
        <v/>
      </c>
      <c r="HF12" s="55" t="str">
        <f t="shared" si="56"/>
        <v/>
      </c>
      <c r="HG12" s="55" t="str">
        <f t="shared" si="57"/>
        <v/>
      </c>
      <c r="HH12" s="19"/>
      <c r="HI12" s="19"/>
      <c r="HJ12" s="19"/>
      <c r="HK12" s="19"/>
      <c r="HL12" s="19"/>
      <c r="HM12" s="19"/>
      <c r="HN12" s="19"/>
      <c r="HO12" s="19"/>
      <c r="HP12" s="19"/>
      <c r="HQ12" s="19"/>
      <c r="HR12" s="19"/>
      <c r="HS12" s="19"/>
      <c r="HT12" s="19"/>
      <c r="HU12" s="19"/>
      <c r="HV12" s="19"/>
      <c r="HW12" s="19"/>
      <c r="HX12" s="19"/>
      <c r="HY12" s="19"/>
      <c r="HZ12" s="19"/>
      <c r="IA12" s="19"/>
      <c r="IB12" s="14" t="str">
        <f t="shared" si="58"/>
        <v/>
      </c>
      <c r="IC12" s="14" t="str">
        <f t="shared" si="59"/>
        <v/>
      </c>
      <c r="ID12" s="14" t="str">
        <f t="shared" si="60"/>
        <v/>
      </c>
      <c r="IE12" s="14" t="str">
        <f t="shared" si="61"/>
        <v/>
      </c>
      <c r="IF12" s="14" t="str">
        <f t="shared" si="62"/>
        <v/>
      </c>
      <c r="IG12" s="14" t="str">
        <f t="shared" si="63"/>
        <v/>
      </c>
      <c r="IH12" s="18"/>
      <c r="II12" s="18"/>
      <c r="IJ12" s="18"/>
      <c r="IK12" s="18"/>
      <c r="IL12" s="18"/>
      <c r="IM12" s="18"/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55" t="str">
        <f t="shared" si="64"/>
        <v/>
      </c>
      <c r="JC12" s="55" t="str">
        <f t="shared" si="65"/>
        <v/>
      </c>
      <c r="JD12" s="55" t="str">
        <f t="shared" si="66"/>
        <v/>
      </c>
      <c r="JE12" s="55" t="str">
        <f t="shared" si="67"/>
        <v/>
      </c>
      <c r="JF12" s="55" t="str">
        <f t="shared" si="68"/>
        <v/>
      </c>
      <c r="JG12" s="55" t="str">
        <f t="shared" si="69"/>
        <v/>
      </c>
      <c r="JH12" s="19"/>
      <c r="JI12" s="19"/>
      <c r="JJ12" s="19"/>
      <c r="JK12" s="19"/>
      <c r="JL12" s="19"/>
      <c r="JM12" s="19"/>
      <c r="JN12" s="19"/>
      <c r="JO12" s="19"/>
      <c r="JP12" s="19"/>
      <c r="JQ12" s="19"/>
      <c r="JR12" s="19"/>
      <c r="JS12" s="19"/>
      <c r="JT12" s="19"/>
      <c r="JU12" s="19"/>
      <c r="JV12" s="19"/>
      <c r="JW12" s="19"/>
      <c r="JX12" s="19"/>
      <c r="JY12" s="19"/>
      <c r="JZ12" s="19"/>
      <c r="KA12" s="19"/>
      <c r="KB12" s="14" t="str">
        <f t="shared" si="70"/>
        <v/>
      </c>
      <c r="KC12" s="14" t="str">
        <f t="shared" si="71"/>
        <v/>
      </c>
      <c r="KD12" s="14" t="str">
        <f t="shared" si="72"/>
        <v/>
      </c>
      <c r="KE12" s="14" t="str">
        <f t="shared" si="73"/>
        <v/>
      </c>
      <c r="KF12" s="14" t="str">
        <f t="shared" si="74"/>
        <v/>
      </c>
      <c r="KG12" s="14" t="str">
        <f t="shared" si="75"/>
        <v/>
      </c>
      <c r="KH12" s="18"/>
      <c r="KI12" s="18"/>
      <c r="KJ12" s="18"/>
      <c r="KK12" s="18"/>
      <c r="KL12" s="18"/>
      <c r="KM12" s="18"/>
      <c r="KN12" s="18"/>
      <c r="KO12" s="18"/>
      <c r="KP12" s="18"/>
      <c r="KQ12" s="18"/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55" t="str">
        <f t="shared" si="76"/>
        <v/>
      </c>
      <c r="LC12" s="55" t="str">
        <f t="shared" si="77"/>
        <v/>
      </c>
      <c r="LD12" s="55" t="str">
        <f t="shared" si="78"/>
        <v/>
      </c>
      <c r="LE12" s="55" t="str">
        <f t="shared" si="79"/>
        <v/>
      </c>
      <c r="LF12" s="55" t="str">
        <f t="shared" si="80"/>
        <v/>
      </c>
      <c r="LG12" s="55" t="str">
        <f t="shared" si="81"/>
        <v/>
      </c>
      <c r="LH12" s="19"/>
      <c r="LI12" s="19"/>
      <c r="LJ12" s="19"/>
      <c r="LK12" s="19"/>
      <c r="LL12" s="19"/>
      <c r="LM12" s="19"/>
      <c r="LN12" s="19"/>
      <c r="LO12" s="19"/>
      <c r="LP12" s="19"/>
      <c r="LQ12" s="19"/>
      <c r="LR12" s="19"/>
      <c r="LS12" s="19"/>
      <c r="LT12" s="19"/>
      <c r="LU12" s="19"/>
      <c r="LV12" s="19"/>
      <c r="LW12" s="19"/>
      <c r="LX12" s="19"/>
      <c r="LY12" s="19"/>
      <c r="LZ12" s="19"/>
      <c r="MA12" s="19"/>
      <c r="MB12" s="14" t="str">
        <f t="shared" si="82"/>
        <v/>
      </c>
      <c r="MC12" s="14" t="str">
        <f t="shared" si="83"/>
        <v/>
      </c>
      <c r="MD12" s="14" t="str">
        <f t="shared" si="84"/>
        <v/>
      </c>
      <c r="ME12" s="14" t="str">
        <f t="shared" si="85"/>
        <v/>
      </c>
      <c r="MF12" s="14" t="str">
        <f t="shared" si="86"/>
        <v/>
      </c>
      <c r="MG12" s="14" t="str">
        <f t="shared" si="87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55" t="str">
        <f t="shared" si="88"/>
        <v/>
      </c>
      <c r="NC12" s="55" t="str">
        <f t="shared" si="89"/>
        <v/>
      </c>
      <c r="ND12" s="55" t="str">
        <f t="shared" si="90"/>
        <v/>
      </c>
      <c r="NE12" s="55" t="str">
        <f t="shared" si="91"/>
        <v/>
      </c>
      <c r="NF12" s="55" t="str">
        <f t="shared" si="92"/>
        <v/>
      </c>
      <c r="NG12" s="55" t="str">
        <f t="shared" si="93"/>
        <v/>
      </c>
      <c r="NH12" s="19"/>
      <c r="NI12" s="19"/>
      <c r="NJ12" s="19"/>
      <c r="NK12" s="19"/>
      <c r="NL12" s="19"/>
      <c r="NM12" s="19"/>
      <c r="NN12" s="19"/>
      <c r="NO12" s="19"/>
      <c r="NP12" s="19"/>
      <c r="NQ12" s="19"/>
      <c r="NR12" s="19"/>
      <c r="NS12" s="19"/>
      <c r="NT12" s="19"/>
      <c r="NU12" s="19"/>
      <c r="NV12" s="19"/>
      <c r="NW12" s="19"/>
      <c r="NX12" s="19"/>
      <c r="NY12" s="19"/>
      <c r="NZ12" s="19"/>
      <c r="OA12" s="19"/>
      <c r="OB12" s="14" t="str">
        <f t="shared" si="94"/>
        <v/>
      </c>
      <c r="OC12" s="14" t="str">
        <f t="shared" si="95"/>
        <v/>
      </c>
      <c r="OD12" s="14" t="str">
        <f t="shared" si="96"/>
        <v/>
      </c>
      <c r="OE12" s="14" t="str">
        <f t="shared" si="97"/>
        <v/>
      </c>
      <c r="OF12" s="14" t="str">
        <f t="shared" si="98"/>
        <v/>
      </c>
      <c r="OG12" s="14" t="str">
        <f t="shared" si="99"/>
        <v/>
      </c>
      <c r="OH12" s="27">
        <f t="shared" si="100"/>
        <v>9.5</v>
      </c>
      <c r="OI12" s="27">
        <f t="shared" si="101"/>
        <v>1.8</v>
      </c>
      <c r="OJ12" s="27">
        <f t="shared" si="102"/>
        <v>0</v>
      </c>
      <c r="OK12" s="27">
        <f t="shared" si="103"/>
        <v>0</v>
      </c>
      <c r="OL12" s="27">
        <f t="shared" si="104"/>
        <v>9.5500000000000007</v>
      </c>
      <c r="OM12" s="27">
        <f t="shared" si="105"/>
        <v>1.75</v>
      </c>
      <c r="ON12" s="27">
        <f t="shared" si="106"/>
        <v>0.3</v>
      </c>
      <c r="OO12" s="27">
        <f t="shared" si="107"/>
        <v>0</v>
      </c>
      <c r="OP12" s="27">
        <f t="shared" si="108"/>
        <v>9.4</v>
      </c>
      <c r="OQ12" s="27">
        <f t="shared" si="109"/>
        <v>1.8</v>
      </c>
      <c r="OR12" s="27">
        <f t="shared" si="110"/>
        <v>0</v>
      </c>
      <c r="OS12" s="27">
        <f t="shared" si="111"/>
        <v>0</v>
      </c>
      <c r="OT12" s="27">
        <f t="shared" si="112"/>
        <v>9.6</v>
      </c>
      <c r="OU12" s="27">
        <f t="shared" si="113"/>
        <v>1.75</v>
      </c>
      <c r="OV12" s="27">
        <f t="shared" si="114"/>
        <v>0</v>
      </c>
      <c r="OW12" s="27">
        <f t="shared" si="115"/>
        <v>0</v>
      </c>
      <c r="OX12" s="32" t="s">
        <v>44</v>
      </c>
      <c r="OY12" s="55">
        <f t="shared" si="116"/>
        <v>3.55</v>
      </c>
      <c r="OZ12" s="55">
        <f t="shared" si="117"/>
        <v>22.3</v>
      </c>
      <c r="PA12" s="55">
        <f t="shared" si="118"/>
        <v>3.55</v>
      </c>
      <c r="PB12" s="55">
        <f t="shared" si="119"/>
        <v>22.55</v>
      </c>
      <c r="PC12" s="55">
        <f t="shared" si="120"/>
        <v>44.85</v>
      </c>
    </row>
    <row r="13" spans="1:419" x14ac:dyDescent="0.2">
      <c r="A13" s="4" t="str" cm="1">
        <f t="array" ref="A13">IF(AND(H13&lt;&gt;"",H13&lt;&gt;"No DD"),SUMPRODUCT((H$4:H$17&lt;&gt;"")*(H$4:H$17&lt;&gt;"No DD")*(E$4:E$17&gt;E13))+1,IF(H13="No DD",SUMPRODUCT((H$4:H$17="No DD")*(E$4:E$17&gt;E13))+1+SUMPRODUCT((H$4:H$17&lt;&gt;"")*(H$4:H$17&lt;&gt;"No DD")),""))</f>
        <v/>
      </c>
      <c r="B13" s="5" t="s">
        <v>88</v>
      </c>
      <c r="C13" s="4" t="s">
        <v>86</v>
      </c>
      <c r="D13" s="4">
        <v>2010</v>
      </c>
      <c r="E13" s="10">
        <f t="shared" si="0"/>
        <v>122.30001223000438</v>
      </c>
      <c r="F13" s="3" t="str">
        <f t="shared" si="1"/>
        <v/>
      </c>
      <c r="G13" s="3" t="str">
        <f t="shared" si="2"/>
        <v/>
      </c>
      <c r="H13" s="47" t="str">
        <f t="shared" si="3"/>
        <v/>
      </c>
      <c r="I13" s="9">
        <f>IF(COUNT(AJ13,BF13,CB13)&gt;0,LARGE((AJ13,BF13,CB13),1),0)</f>
        <v>43.7</v>
      </c>
      <c r="J13" s="9" t="str">
        <f t="shared" si="4"/>
        <v>2025 Elite Canada</v>
      </c>
      <c r="K13" s="9">
        <f>IF(COUNT(AJ13,BF13,CB13)&gt;1,LARGE((AJ13,BF13,CB13),2),0)</f>
        <v>34.1</v>
      </c>
      <c r="L13" s="9" t="str">
        <f t="shared" si="5"/>
        <v>2025 Nationals</v>
      </c>
      <c r="M13" s="9">
        <f t="shared" si="6"/>
        <v>44.499999999999993</v>
      </c>
      <c r="N13" s="9" t="str">
        <f t="shared" si="7"/>
        <v>2025 Elite Canada</v>
      </c>
      <c r="O13" s="9" t="str">
        <f t="shared" si="8"/>
        <v/>
      </c>
      <c r="P13" s="14" t="str">
        <f t="shared" si="9"/>
        <v/>
      </c>
      <c r="Q13" s="9" t="str">
        <f t="shared" si="10"/>
        <v/>
      </c>
      <c r="R13" s="20">
        <v>18.600000000000001</v>
      </c>
      <c r="S13" s="20">
        <v>3.5</v>
      </c>
      <c r="T13" s="20">
        <v>0</v>
      </c>
      <c r="U13" s="20">
        <v>0</v>
      </c>
      <c r="V13" s="20">
        <v>17.8</v>
      </c>
      <c r="W13" s="20">
        <v>4.4000000000000004</v>
      </c>
      <c r="X13" s="20">
        <v>0.6</v>
      </c>
      <c r="Y13" s="20">
        <v>0</v>
      </c>
      <c r="Z13" s="20">
        <v>18.399999999999999</v>
      </c>
      <c r="AA13" s="20">
        <v>3.5</v>
      </c>
      <c r="AB13" s="20">
        <v>0</v>
      </c>
      <c r="AC13" s="20">
        <v>0</v>
      </c>
      <c r="AD13" s="20">
        <v>18.2</v>
      </c>
      <c r="AE13" s="20">
        <v>4.4000000000000004</v>
      </c>
      <c r="AF13" s="20">
        <v>0</v>
      </c>
      <c r="AG13" s="20">
        <v>0</v>
      </c>
      <c r="AH13" s="32"/>
      <c r="AI13" s="55">
        <f t="shared" si="11"/>
        <v>7.9</v>
      </c>
      <c r="AJ13" s="55">
        <f t="shared" si="12"/>
        <v>43.7</v>
      </c>
      <c r="AK13" s="55">
        <f t="shared" si="13"/>
        <v>7.9</v>
      </c>
      <c r="AL13" s="55">
        <f t="shared" si="14"/>
        <v>44.499999999999993</v>
      </c>
      <c r="AM13" s="55">
        <f t="shared" si="15"/>
        <v>88.199999999999989</v>
      </c>
      <c r="AN13" s="19">
        <v>15.8</v>
      </c>
      <c r="AO13" s="19">
        <v>0.7</v>
      </c>
      <c r="AP13" s="19">
        <v>0</v>
      </c>
      <c r="AQ13" s="19">
        <v>0</v>
      </c>
      <c r="AR13" s="19">
        <v>15.2</v>
      </c>
      <c r="AS13" s="19">
        <v>2.4</v>
      </c>
      <c r="AT13" s="19">
        <v>0</v>
      </c>
      <c r="AU13" s="19">
        <v>0</v>
      </c>
      <c r="AV13" s="19"/>
      <c r="AW13" s="19"/>
      <c r="AX13" s="19"/>
      <c r="AY13" s="19"/>
      <c r="AZ13" s="19"/>
      <c r="BA13" s="19"/>
      <c r="BB13" s="19"/>
      <c r="BC13" s="19"/>
      <c r="BD13" s="33"/>
      <c r="BE13" s="14">
        <f t="shared" si="16"/>
        <v>3.0999999999999996</v>
      </c>
      <c r="BF13" s="14">
        <f t="shared" si="17"/>
        <v>34.1</v>
      </c>
      <c r="BG13" s="14" t="str">
        <f t="shared" si="18"/>
        <v/>
      </c>
      <c r="BH13" s="14" t="str">
        <f t="shared" si="19"/>
        <v/>
      </c>
      <c r="BI13" s="14">
        <f t="shared" si="20"/>
        <v>34.1</v>
      </c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32"/>
      <c r="CA13" s="55" t="str">
        <f t="shared" si="21"/>
        <v/>
      </c>
      <c r="CB13" s="55" t="str">
        <f t="shared" si="22"/>
        <v/>
      </c>
      <c r="CC13" s="55" t="str">
        <f t="shared" si="23"/>
        <v/>
      </c>
      <c r="CD13" s="55" t="str">
        <f t="shared" si="24"/>
        <v/>
      </c>
      <c r="CE13" s="55" t="str">
        <f t="shared" si="25"/>
        <v/>
      </c>
      <c r="CF13" s="56" t="str">
        <f t="shared" si="26"/>
        <v/>
      </c>
      <c r="CG13" s="56" t="str">
        <f t="shared" si="27"/>
        <v/>
      </c>
      <c r="CH13" s="18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  <c r="CY13" s="18"/>
      <c r="CZ13" s="18"/>
      <c r="DA13" s="18"/>
      <c r="DB13" s="55" t="str">
        <f t="shared" si="28"/>
        <v/>
      </c>
      <c r="DC13" s="55" t="str">
        <f t="shared" si="29"/>
        <v/>
      </c>
      <c r="DD13" s="55" t="str">
        <f t="shared" si="30"/>
        <v/>
      </c>
      <c r="DE13" s="55" t="str">
        <f t="shared" si="31"/>
        <v/>
      </c>
      <c r="DF13" s="55" t="str">
        <f t="shared" si="32"/>
        <v/>
      </c>
      <c r="DG13" s="55" t="str">
        <f t="shared" si="33"/>
        <v/>
      </c>
      <c r="DH13" s="19"/>
      <c r="DI13" s="19"/>
      <c r="DJ13" s="19"/>
      <c r="DK13" s="19"/>
      <c r="DL13" s="19"/>
      <c r="DM13" s="19"/>
      <c r="DN13" s="19"/>
      <c r="DO13" s="19"/>
      <c r="DP13" s="19"/>
      <c r="DQ13" s="19"/>
      <c r="DR13" s="19"/>
      <c r="DS13" s="19"/>
      <c r="DT13" s="19"/>
      <c r="DU13" s="19"/>
      <c r="DV13" s="19"/>
      <c r="DW13" s="19"/>
      <c r="DX13" s="19"/>
      <c r="DY13" s="19"/>
      <c r="DZ13" s="19"/>
      <c r="EA13" s="19"/>
      <c r="EB13" s="14" t="str">
        <f t="shared" si="34"/>
        <v/>
      </c>
      <c r="EC13" s="14" t="str">
        <f t="shared" si="35"/>
        <v/>
      </c>
      <c r="ED13" s="14" t="str">
        <f t="shared" si="36"/>
        <v/>
      </c>
      <c r="EE13" s="14" t="str">
        <f t="shared" si="37"/>
        <v/>
      </c>
      <c r="EF13" s="14" t="str">
        <f t="shared" si="38"/>
        <v/>
      </c>
      <c r="EG13" s="14" t="str">
        <f t="shared" si="39"/>
        <v/>
      </c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55" t="str">
        <f t="shared" si="40"/>
        <v/>
      </c>
      <c r="FC13" s="55" t="str">
        <f t="shared" si="41"/>
        <v/>
      </c>
      <c r="FD13" s="55" t="str">
        <f t="shared" si="42"/>
        <v/>
      </c>
      <c r="FE13" s="55" t="str">
        <f t="shared" si="43"/>
        <v/>
      </c>
      <c r="FF13" s="55" t="str">
        <f t="shared" si="44"/>
        <v/>
      </c>
      <c r="FG13" s="55" t="str">
        <f t="shared" si="45"/>
        <v/>
      </c>
      <c r="FH13" s="19"/>
      <c r="FI13" s="19"/>
      <c r="FJ13" s="19"/>
      <c r="FK13" s="19"/>
      <c r="FL13" s="19"/>
      <c r="FM13" s="19"/>
      <c r="FN13" s="19"/>
      <c r="FO13" s="19"/>
      <c r="FP13" s="19"/>
      <c r="FQ13" s="19"/>
      <c r="FR13" s="19"/>
      <c r="FS13" s="19"/>
      <c r="FT13" s="19"/>
      <c r="FU13" s="19"/>
      <c r="FV13" s="19"/>
      <c r="FW13" s="19"/>
      <c r="FX13" s="19"/>
      <c r="FY13" s="19"/>
      <c r="FZ13" s="19"/>
      <c r="GA13" s="19"/>
      <c r="GB13" s="14" t="str">
        <f t="shared" si="46"/>
        <v/>
      </c>
      <c r="GC13" s="14" t="str">
        <f t="shared" si="47"/>
        <v/>
      </c>
      <c r="GD13" s="14" t="str">
        <f t="shared" si="48"/>
        <v/>
      </c>
      <c r="GE13" s="14" t="str">
        <f t="shared" si="49"/>
        <v/>
      </c>
      <c r="GF13" s="14" t="str">
        <f t="shared" si="50"/>
        <v/>
      </c>
      <c r="GG13" s="14" t="str">
        <f t="shared" si="51"/>
        <v/>
      </c>
      <c r="GH13" s="18"/>
      <c r="GI13" s="18"/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55" t="str">
        <f t="shared" si="52"/>
        <v/>
      </c>
      <c r="HC13" s="55" t="str">
        <f t="shared" si="53"/>
        <v/>
      </c>
      <c r="HD13" s="55" t="str">
        <f t="shared" si="54"/>
        <v/>
      </c>
      <c r="HE13" s="55" t="str">
        <f t="shared" si="55"/>
        <v/>
      </c>
      <c r="HF13" s="55" t="str">
        <f t="shared" si="56"/>
        <v/>
      </c>
      <c r="HG13" s="55" t="str">
        <f t="shared" si="57"/>
        <v/>
      </c>
      <c r="HH13" s="19"/>
      <c r="HI13" s="19"/>
      <c r="HJ13" s="19"/>
      <c r="HK13" s="19"/>
      <c r="HL13" s="19"/>
      <c r="HM13" s="19"/>
      <c r="HN13" s="19"/>
      <c r="HO13" s="19"/>
      <c r="HP13" s="19"/>
      <c r="HQ13" s="19"/>
      <c r="HR13" s="19"/>
      <c r="HS13" s="19"/>
      <c r="HT13" s="19"/>
      <c r="HU13" s="19"/>
      <c r="HV13" s="19"/>
      <c r="HW13" s="19"/>
      <c r="HX13" s="19"/>
      <c r="HY13" s="19"/>
      <c r="HZ13" s="19"/>
      <c r="IA13" s="19"/>
      <c r="IB13" s="14" t="str">
        <f t="shared" si="58"/>
        <v/>
      </c>
      <c r="IC13" s="14" t="str">
        <f t="shared" si="59"/>
        <v/>
      </c>
      <c r="ID13" s="14" t="str">
        <f t="shared" si="60"/>
        <v/>
      </c>
      <c r="IE13" s="14" t="str">
        <f t="shared" si="61"/>
        <v/>
      </c>
      <c r="IF13" s="14" t="str">
        <f t="shared" si="62"/>
        <v/>
      </c>
      <c r="IG13" s="14" t="str">
        <f t="shared" si="63"/>
        <v/>
      </c>
      <c r="IH13" s="18"/>
      <c r="II13" s="18"/>
      <c r="IJ13" s="18"/>
      <c r="IK13" s="18"/>
      <c r="IL13" s="18"/>
      <c r="IM13" s="18"/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55" t="str">
        <f t="shared" si="64"/>
        <v/>
      </c>
      <c r="JC13" s="55" t="str">
        <f t="shared" si="65"/>
        <v/>
      </c>
      <c r="JD13" s="55" t="str">
        <f t="shared" si="66"/>
        <v/>
      </c>
      <c r="JE13" s="55" t="str">
        <f t="shared" si="67"/>
        <v/>
      </c>
      <c r="JF13" s="55" t="str">
        <f t="shared" si="68"/>
        <v/>
      </c>
      <c r="JG13" s="55" t="str">
        <f t="shared" si="69"/>
        <v/>
      </c>
      <c r="JH13" s="19"/>
      <c r="JI13" s="19"/>
      <c r="JJ13" s="19"/>
      <c r="JK13" s="19"/>
      <c r="JL13" s="19"/>
      <c r="JM13" s="19"/>
      <c r="JN13" s="19"/>
      <c r="JO13" s="19"/>
      <c r="JP13" s="19"/>
      <c r="JQ13" s="19"/>
      <c r="JR13" s="19"/>
      <c r="JS13" s="19"/>
      <c r="JT13" s="19"/>
      <c r="JU13" s="19"/>
      <c r="JV13" s="19"/>
      <c r="JW13" s="19"/>
      <c r="JX13" s="19"/>
      <c r="JY13" s="19"/>
      <c r="JZ13" s="19"/>
      <c r="KA13" s="19"/>
      <c r="KB13" s="14" t="str">
        <f t="shared" si="70"/>
        <v/>
      </c>
      <c r="KC13" s="14" t="str">
        <f t="shared" si="71"/>
        <v/>
      </c>
      <c r="KD13" s="14" t="str">
        <f t="shared" si="72"/>
        <v/>
      </c>
      <c r="KE13" s="14" t="str">
        <f t="shared" si="73"/>
        <v/>
      </c>
      <c r="KF13" s="14" t="str">
        <f t="shared" si="74"/>
        <v/>
      </c>
      <c r="KG13" s="14" t="str">
        <f t="shared" si="75"/>
        <v/>
      </c>
      <c r="KH13" s="18"/>
      <c r="KI13" s="18"/>
      <c r="KJ13" s="18"/>
      <c r="KK13" s="18"/>
      <c r="KL13" s="18"/>
      <c r="KM13" s="18"/>
      <c r="KN13" s="18"/>
      <c r="KO13" s="18"/>
      <c r="KP13" s="18"/>
      <c r="KQ13" s="18"/>
      <c r="KR13" s="18"/>
      <c r="KS13" s="18"/>
      <c r="KT13" s="18"/>
      <c r="KU13" s="18"/>
      <c r="KV13" s="18"/>
      <c r="KW13" s="18"/>
      <c r="KX13" s="18"/>
      <c r="KY13" s="18"/>
      <c r="KZ13" s="18"/>
      <c r="LA13" s="18"/>
      <c r="LB13" s="55" t="str">
        <f t="shared" si="76"/>
        <v/>
      </c>
      <c r="LC13" s="55" t="str">
        <f t="shared" si="77"/>
        <v/>
      </c>
      <c r="LD13" s="55" t="str">
        <f t="shared" si="78"/>
        <v/>
      </c>
      <c r="LE13" s="55" t="str">
        <f t="shared" si="79"/>
        <v/>
      </c>
      <c r="LF13" s="55" t="str">
        <f t="shared" si="80"/>
        <v/>
      </c>
      <c r="LG13" s="55" t="str">
        <f t="shared" si="81"/>
        <v/>
      </c>
      <c r="LH13" s="19"/>
      <c r="LI13" s="19"/>
      <c r="LJ13" s="19"/>
      <c r="LK13" s="19"/>
      <c r="LL13" s="19"/>
      <c r="LM13" s="19"/>
      <c r="LN13" s="19"/>
      <c r="LO13" s="19"/>
      <c r="LP13" s="19"/>
      <c r="LQ13" s="19"/>
      <c r="LR13" s="19"/>
      <c r="LS13" s="19"/>
      <c r="LT13" s="19"/>
      <c r="LU13" s="19"/>
      <c r="LV13" s="19"/>
      <c r="LW13" s="19"/>
      <c r="LX13" s="19"/>
      <c r="LY13" s="19"/>
      <c r="LZ13" s="19"/>
      <c r="MA13" s="19"/>
      <c r="MB13" s="14" t="str">
        <f t="shared" si="82"/>
        <v/>
      </c>
      <c r="MC13" s="14" t="str">
        <f t="shared" si="83"/>
        <v/>
      </c>
      <c r="MD13" s="14" t="str">
        <f t="shared" si="84"/>
        <v/>
      </c>
      <c r="ME13" s="14" t="str">
        <f t="shared" si="85"/>
        <v/>
      </c>
      <c r="MF13" s="14" t="str">
        <f t="shared" si="86"/>
        <v/>
      </c>
      <c r="MG13" s="14" t="str">
        <f t="shared" si="87"/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55" t="str">
        <f t="shared" si="88"/>
        <v/>
      </c>
      <c r="NC13" s="55" t="str">
        <f t="shared" si="89"/>
        <v/>
      </c>
      <c r="ND13" s="55" t="str">
        <f t="shared" si="90"/>
        <v/>
      </c>
      <c r="NE13" s="55" t="str">
        <f t="shared" si="91"/>
        <v/>
      </c>
      <c r="NF13" s="55" t="str">
        <f t="shared" si="92"/>
        <v/>
      </c>
      <c r="NG13" s="55" t="str">
        <f t="shared" si="93"/>
        <v/>
      </c>
      <c r="NH13" s="19"/>
      <c r="NI13" s="19"/>
      <c r="NJ13" s="19"/>
      <c r="NK13" s="19"/>
      <c r="NL13" s="19"/>
      <c r="NM13" s="19"/>
      <c r="NN13" s="19"/>
      <c r="NO13" s="19"/>
      <c r="NP13" s="19"/>
      <c r="NQ13" s="19"/>
      <c r="NR13" s="19"/>
      <c r="NS13" s="19"/>
      <c r="NT13" s="19"/>
      <c r="NU13" s="19"/>
      <c r="NV13" s="19"/>
      <c r="NW13" s="19"/>
      <c r="NX13" s="19"/>
      <c r="NY13" s="19"/>
      <c r="NZ13" s="19"/>
      <c r="OA13" s="19"/>
      <c r="OB13" s="14" t="str">
        <f t="shared" si="94"/>
        <v/>
      </c>
      <c r="OC13" s="14" t="str">
        <f t="shared" si="95"/>
        <v/>
      </c>
      <c r="OD13" s="14" t="str">
        <f t="shared" si="96"/>
        <v/>
      </c>
      <c r="OE13" s="14" t="str">
        <f t="shared" si="97"/>
        <v/>
      </c>
      <c r="OF13" s="14" t="str">
        <f t="shared" si="98"/>
        <v/>
      </c>
      <c r="OG13" s="14" t="str">
        <f t="shared" si="99"/>
        <v/>
      </c>
      <c r="OH13" s="27">
        <f t="shared" si="100"/>
        <v>7.9</v>
      </c>
      <c r="OI13" s="27">
        <f t="shared" si="101"/>
        <v>0.35</v>
      </c>
      <c r="OJ13" s="27">
        <f t="shared" si="102"/>
        <v>0</v>
      </c>
      <c r="OK13" s="27">
        <f t="shared" si="103"/>
        <v>0</v>
      </c>
      <c r="OL13" s="27">
        <f t="shared" si="104"/>
        <v>7.6</v>
      </c>
      <c r="OM13" s="27">
        <f t="shared" si="105"/>
        <v>1.2</v>
      </c>
      <c r="ON13" s="27">
        <f t="shared" si="106"/>
        <v>0</v>
      </c>
      <c r="OO13" s="27">
        <f t="shared" si="107"/>
        <v>0</v>
      </c>
      <c r="OP13" s="27">
        <f t="shared" si="108"/>
        <v>0</v>
      </c>
      <c r="OQ13" s="27">
        <f t="shared" si="109"/>
        <v>0</v>
      </c>
      <c r="OR13" s="27">
        <f t="shared" si="110"/>
        <v>0</v>
      </c>
      <c r="OS13" s="27">
        <f t="shared" si="111"/>
        <v>0</v>
      </c>
      <c r="OT13" s="27">
        <f t="shared" si="112"/>
        <v>0</v>
      </c>
      <c r="OU13" s="27">
        <f t="shared" si="113"/>
        <v>0</v>
      </c>
      <c r="OV13" s="27">
        <f t="shared" si="114"/>
        <v>0</v>
      </c>
      <c r="OW13" s="27">
        <f t="shared" si="115"/>
        <v>0</v>
      </c>
      <c r="OX13" s="32" t="s">
        <v>44</v>
      </c>
      <c r="OY13" s="55">
        <f t="shared" si="116"/>
        <v>1.5499999999999998</v>
      </c>
      <c r="OZ13" s="55">
        <f t="shared" si="117"/>
        <v>17.05</v>
      </c>
      <c r="PA13" s="55" t="str">
        <f t="shared" si="118"/>
        <v/>
      </c>
      <c r="PB13" s="55" t="str">
        <f t="shared" si="119"/>
        <v/>
      </c>
      <c r="PC13" s="55">
        <f t="shared" si="120"/>
        <v>17.05</v>
      </c>
    </row>
    <row r="14" spans="1:419" x14ac:dyDescent="0.2">
      <c r="A14" s="4" t="str" cm="1">
        <f t="array" ref="A14">IF(AND(H14&lt;&gt;"",H14&lt;&gt;"No DD"),SUMPRODUCT((H$4:H$17&lt;&gt;"")*(H$4:H$17&lt;&gt;"No DD")*(E$4:E$17&gt;E14))+1,IF(H14="No DD",SUMPRODUCT((H$4:H$17="No DD")*(E$4:E$17&gt;E14))+1+SUMPRODUCT((H$4:H$17&lt;&gt;"")*(H$4:H$17&lt;&gt;"No DD")),""))</f>
        <v/>
      </c>
      <c r="B14" s="5" t="s">
        <v>112</v>
      </c>
      <c r="C14" s="4" t="s">
        <v>3</v>
      </c>
      <c r="D14" s="4">
        <v>2009</v>
      </c>
      <c r="E14" s="10">
        <f t="shared" si="0"/>
        <v>89.100008910004505</v>
      </c>
      <c r="F14" s="3" t="str">
        <f t="shared" si="1"/>
        <v/>
      </c>
      <c r="G14" s="3" t="str">
        <f t="shared" si="2"/>
        <v/>
      </c>
      <c r="H14" s="47" t="str">
        <f t="shared" si="3"/>
        <v/>
      </c>
      <c r="I14" s="9">
        <f>IF(COUNT(AJ14,BF14,CB14)&gt;0,LARGE((AJ14,BF14,CB14),1),0)</f>
        <v>45.099999999999994</v>
      </c>
      <c r="J14" s="9" t="str">
        <f t="shared" si="4"/>
        <v>2025 Nationals</v>
      </c>
      <c r="K14" s="9">
        <f>IF(COUNT(AJ14,BF14,CB14)&gt;1,LARGE((AJ14,BF14,CB14),2),0)</f>
        <v>0</v>
      </c>
      <c r="L14" s="9" t="str">
        <f t="shared" si="5"/>
        <v/>
      </c>
      <c r="M14" s="9">
        <f t="shared" si="6"/>
        <v>44</v>
      </c>
      <c r="N14" s="9" t="str">
        <f t="shared" si="7"/>
        <v>2025 Nationals</v>
      </c>
      <c r="O14" s="9" t="str">
        <f t="shared" si="8"/>
        <v/>
      </c>
      <c r="P14" s="14" t="str">
        <f t="shared" si="9"/>
        <v/>
      </c>
      <c r="Q14" s="9" t="str">
        <f t="shared" si="10"/>
        <v/>
      </c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32"/>
      <c r="AI14" s="55" t="str">
        <f t="shared" si="11"/>
        <v/>
      </c>
      <c r="AJ14" s="55" t="str">
        <f t="shared" si="12"/>
        <v/>
      </c>
      <c r="AK14" s="55" t="str">
        <f t="shared" si="13"/>
        <v/>
      </c>
      <c r="AL14" s="55" t="str">
        <f t="shared" si="14"/>
        <v/>
      </c>
      <c r="AM14" s="55" t="str">
        <f t="shared" si="15"/>
        <v/>
      </c>
      <c r="AN14" s="19">
        <v>19</v>
      </c>
      <c r="AO14" s="19">
        <v>3.7</v>
      </c>
      <c r="AP14" s="19">
        <v>0</v>
      </c>
      <c r="AQ14" s="19">
        <v>0</v>
      </c>
      <c r="AR14" s="19">
        <v>18.899999999999999</v>
      </c>
      <c r="AS14" s="19">
        <v>3.5</v>
      </c>
      <c r="AT14" s="19">
        <v>0</v>
      </c>
      <c r="AU14" s="19">
        <v>0</v>
      </c>
      <c r="AV14" s="19">
        <v>18.8</v>
      </c>
      <c r="AW14" s="19">
        <v>3.7</v>
      </c>
      <c r="AX14" s="19">
        <v>0</v>
      </c>
      <c r="AY14" s="19">
        <v>0</v>
      </c>
      <c r="AZ14" s="19">
        <v>18.600000000000001</v>
      </c>
      <c r="BA14" s="19">
        <v>3.5</v>
      </c>
      <c r="BB14" s="19">
        <v>0.6</v>
      </c>
      <c r="BC14" s="19">
        <v>0</v>
      </c>
      <c r="BD14" s="33"/>
      <c r="BE14" s="14">
        <f t="shared" si="16"/>
        <v>7.2</v>
      </c>
      <c r="BF14" s="14">
        <f t="shared" si="17"/>
        <v>45.099999999999994</v>
      </c>
      <c r="BG14" s="14">
        <f t="shared" si="18"/>
        <v>7.2</v>
      </c>
      <c r="BH14" s="14">
        <f t="shared" si="19"/>
        <v>44</v>
      </c>
      <c r="BI14" s="14">
        <f t="shared" si="20"/>
        <v>89.1</v>
      </c>
      <c r="BJ14" s="20"/>
      <c r="BK14" s="20"/>
      <c r="BL14" s="20"/>
      <c r="BM14" s="20"/>
      <c r="BN14" s="20"/>
      <c r="BO14" s="20"/>
      <c r="BP14" s="20"/>
      <c r="BQ14" s="20"/>
      <c r="BR14" s="20"/>
      <c r="BS14" s="20"/>
      <c r="BT14" s="20"/>
      <c r="BU14" s="20"/>
      <c r="BV14" s="20"/>
      <c r="BW14" s="20"/>
      <c r="BX14" s="20"/>
      <c r="BY14" s="20"/>
      <c r="BZ14" s="32"/>
      <c r="CA14" s="55" t="str">
        <f t="shared" si="21"/>
        <v/>
      </c>
      <c r="CB14" s="55" t="str">
        <f t="shared" si="22"/>
        <v/>
      </c>
      <c r="CC14" s="55" t="str">
        <f t="shared" si="23"/>
        <v/>
      </c>
      <c r="CD14" s="55" t="str">
        <f t="shared" si="24"/>
        <v/>
      </c>
      <c r="CE14" s="55" t="str">
        <f t="shared" si="25"/>
        <v/>
      </c>
      <c r="CF14" s="56" t="str">
        <f t="shared" si="26"/>
        <v/>
      </c>
      <c r="CG14" s="56" t="str">
        <f t="shared" si="27"/>
        <v/>
      </c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8"/>
      <c r="CZ14" s="18"/>
      <c r="DA14" s="18"/>
      <c r="DB14" s="55" t="str">
        <f t="shared" si="28"/>
        <v/>
      </c>
      <c r="DC14" s="55" t="str">
        <f t="shared" si="29"/>
        <v/>
      </c>
      <c r="DD14" s="55" t="str">
        <f t="shared" si="30"/>
        <v/>
      </c>
      <c r="DE14" s="55" t="str">
        <f t="shared" si="31"/>
        <v/>
      </c>
      <c r="DF14" s="55" t="str">
        <f t="shared" si="32"/>
        <v/>
      </c>
      <c r="DG14" s="55" t="str">
        <f t="shared" si="33"/>
        <v/>
      </c>
      <c r="DH14" s="19"/>
      <c r="DI14" s="19"/>
      <c r="DJ14" s="19"/>
      <c r="DK14" s="19"/>
      <c r="DL14" s="19"/>
      <c r="DM14" s="19"/>
      <c r="DN14" s="19"/>
      <c r="DO14" s="19"/>
      <c r="DP14" s="19"/>
      <c r="DQ14" s="19"/>
      <c r="DR14" s="19"/>
      <c r="DS14" s="19"/>
      <c r="DT14" s="19"/>
      <c r="DU14" s="19"/>
      <c r="DV14" s="19"/>
      <c r="DW14" s="19"/>
      <c r="DX14" s="19"/>
      <c r="DY14" s="19"/>
      <c r="DZ14" s="19"/>
      <c r="EA14" s="19"/>
      <c r="EB14" s="14" t="str">
        <f t="shared" si="34"/>
        <v/>
      </c>
      <c r="EC14" s="14" t="str">
        <f t="shared" si="35"/>
        <v/>
      </c>
      <c r="ED14" s="14" t="str">
        <f t="shared" si="36"/>
        <v/>
      </c>
      <c r="EE14" s="14" t="str">
        <f t="shared" si="37"/>
        <v/>
      </c>
      <c r="EF14" s="14" t="str">
        <f t="shared" si="38"/>
        <v/>
      </c>
      <c r="EG14" s="14" t="str">
        <f t="shared" si="39"/>
        <v/>
      </c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55" t="str">
        <f t="shared" si="40"/>
        <v/>
      </c>
      <c r="FC14" s="55" t="str">
        <f t="shared" si="41"/>
        <v/>
      </c>
      <c r="FD14" s="55" t="str">
        <f t="shared" si="42"/>
        <v/>
      </c>
      <c r="FE14" s="55" t="str">
        <f t="shared" si="43"/>
        <v/>
      </c>
      <c r="FF14" s="55" t="str">
        <f t="shared" si="44"/>
        <v/>
      </c>
      <c r="FG14" s="55" t="str">
        <f t="shared" si="45"/>
        <v/>
      </c>
      <c r="FH14" s="19"/>
      <c r="FI14" s="19"/>
      <c r="FJ14" s="19"/>
      <c r="FK14" s="19"/>
      <c r="FL14" s="19"/>
      <c r="FM14" s="19"/>
      <c r="FN14" s="19"/>
      <c r="FO14" s="19"/>
      <c r="FP14" s="19"/>
      <c r="FQ14" s="19"/>
      <c r="FR14" s="19"/>
      <c r="FS14" s="19"/>
      <c r="FT14" s="19"/>
      <c r="FU14" s="19"/>
      <c r="FV14" s="19"/>
      <c r="FW14" s="19"/>
      <c r="FX14" s="19"/>
      <c r="FY14" s="19"/>
      <c r="FZ14" s="19"/>
      <c r="GA14" s="19"/>
      <c r="GB14" s="14" t="str">
        <f t="shared" si="46"/>
        <v/>
      </c>
      <c r="GC14" s="14" t="str">
        <f t="shared" si="47"/>
        <v/>
      </c>
      <c r="GD14" s="14" t="str">
        <f t="shared" si="48"/>
        <v/>
      </c>
      <c r="GE14" s="14" t="str">
        <f t="shared" si="49"/>
        <v/>
      </c>
      <c r="GF14" s="14" t="str">
        <f t="shared" si="50"/>
        <v/>
      </c>
      <c r="GG14" s="14" t="str">
        <f t="shared" si="51"/>
        <v/>
      </c>
      <c r="GH14" s="18"/>
      <c r="GI14" s="18"/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55" t="str">
        <f t="shared" si="52"/>
        <v/>
      </c>
      <c r="HC14" s="55" t="str">
        <f t="shared" si="53"/>
        <v/>
      </c>
      <c r="HD14" s="55" t="str">
        <f t="shared" si="54"/>
        <v/>
      </c>
      <c r="HE14" s="55" t="str">
        <f t="shared" si="55"/>
        <v/>
      </c>
      <c r="HF14" s="55" t="str">
        <f t="shared" si="56"/>
        <v/>
      </c>
      <c r="HG14" s="55" t="str">
        <f t="shared" si="57"/>
        <v/>
      </c>
      <c r="HH14" s="19"/>
      <c r="HI14" s="19"/>
      <c r="HJ14" s="19"/>
      <c r="HK14" s="19"/>
      <c r="HL14" s="19"/>
      <c r="HM14" s="19"/>
      <c r="HN14" s="19"/>
      <c r="HO14" s="19"/>
      <c r="HP14" s="19"/>
      <c r="HQ14" s="19"/>
      <c r="HR14" s="19"/>
      <c r="HS14" s="19"/>
      <c r="HT14" s="19"/>
      <c r="HU14" s="19"/>
      <c r="HV14" s="19"/>
      <c r="HW14" s="19"/>
      <c r="HX14" s="19"/>
      <c r="HY14" s="19"/>
      <c r="HZ14" s="19"/>
      <c r="IA14" s="19"/>
      <c r="IB14" s="14" t="str">
        <f t="shared" si="58"/>
        <v/>
      </c>
      <c r="IC14" s="14" t="str">
        <f t="shared" si="59"/>
        <v/>
      </c>
      <c r="ID14" s="14" t="str">
        <f t="shared" si="60"/>
        <v/>
      </c>
      <c r="IE14" s="14" t="str">
        <f t="shared" si="61"/>
        <v/>
      </c>
      <c r="IF14" s="14" t="str">
        <f t="shared" si="62"/>
        <v/>
      </c>
      <c r="IG14" s="14" t="str">
        <f t="shared" si="63"/>
        <v/>
      </c>
      <c r="IH14" s="18"/>
      <c r="II14" s="18"/>
      <c r="IJ14" s="18"/>
      <c r="IK14" s="18"/>
      <c r="IL14" s="18"/>
      <c r="IM14" s="18"/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55" t="str">
        <f t="shared" si="64"/>
        <v/>
      </c>
      <c r="JC14" s="55" t="str">
        <f t="shared" si="65"/>
        <v/>
      </c>
      <c r="JD14" s="55" t="str">
        <f t="shared" si="66"/>
        <v/>
      </c>
      <c r="JE14" s="55" t="str">
        <f t="shared" si="67"/>
        <v/>
      </c>
      <c r="JF14" s="55" t="str">
        <f t="shared" si="68"/>
        <v/>
      </c>
      <c r="JG14" s="55" t="str">
        <f t="shared" si="69"/>
        <v/>
      </c>
      <c r="JH14" s="19"/>
      <c r="JI14" s="19"/>
      <c r="JJ14" s="19"/>
      <c r="JK14" s="19"/>
      <c r="JL14" s="19"/>
      <c r="JM14" s="19"/>
      <c r="JN14" s="19"/>
      <c r="JO14" s="19"/>
      <c r="JP14" s="19"/>
      <c r="JQ14" s="19"/>
      <c r="JR14" s="19"/>
      <c r="JS14" s="19"/>
      <c r="JT14" s="19"/>
      <c r="JU14" s="19"/>
      <c r="JV14" s="19"/>
      <c r="JW14" s="19"/>
      <c r="JX14" s="19"/>
      <c r="JY14" s="19"/>
      <c r="JZ14" s="19"/>
      <c r="KA14" s="19"/>
      <c r="KB14" s="14" t="str">
        <f t="shared" si="70"/>
        <v/>
      </c>
      <c r="KC14" s="14" t="str">
        <f t="shared" si="71"/>
        <v/>
      </c>
      <c r="KD14" s="14" t="str">
        <f t="shared" si="72"/>
        <v/>
      </c>
      <c r="KE14" s="14" t="str">
        <f t="shared" si="73"/>
        <v/>
      </c>
      <c r="KF14" s="14" t="str">
        <f t="shared" si="74"/>
        <v/>
      </c>
      <c r="KG14" s="14" t="str">
        <f t="shared" si="75"/>
        <v/>
      </c>
      <c r="KH14" s="18"/>
      <c r="KI14" s="18"/>
      <c r="KJ14" s="18"/>
      <c r="KK14" s="18"/>
      <c r="KL14" s="18"/>
      <c r="KM14" s="18"/>
      <c r="KN14" s="18"/>
      <c r="KO14" s="18"/>
      <c r="KP14" s="18"/>
      <c r="KQ14" s="18"/>
      <c r="KR14" s="18"/>
      <c r="KS14" s="18"/>
      <c r="KT14" s="18"/>
      <c r="KU14" s="18"/>
      <c r="KV14" s="18"/>
      <c r="KW14" s="18"/>
      <c r="KX14" s="18"/>
      <c r="KY14" s="18"/>
      <c r="KZ14" s="18"/>
      <c r="LA14" s="18"/>
      <c r="LB14" s="55" t="str">
        <f t="shared" si="76"/>
        <v/>
      </c>
      <c r="LC14" s="55" t="str">
        <f t="shared" si="77"/>
        <v/>
      </c>
      <c r="LD14" s="55" t="str">
        <f t="shared" si="78"/>
        <v/>
      </c>
      <c r="LE14" s="55" t="str">
        <f t="shared" si="79"/>
        <v/>
      </c>
      <c r="LF14" s="55" t="str">
        <f t="shared" si="80"/>
        <v/>
      </c>
      <c r="LG14" s="55" t="str">
        <f t="shared" si="81"/>
        <v/>
      </c>
      <c r="LH14" s="19"/>
      <c r="LI14" s="19"/>
      <c r="LJ14" s="19"/>
      <c r="LK14" s="19"/>
      <c r="LL14" s="19"/>
      <c r="LM14" s="19"/>
      <c r="LN14" s="19"/>
      <c r="LO14" s="19"/>
      <c r="LP14" s="19"/>
      <c r="LQ14" s="19"/>
      <c r="LR14" s="19"/>
      <c r="LS14" s="19"/>
      <c r="LT14" s="19"/>
      <c r="LU14" s="19"/>
      <c r="LV14" s="19"/>
      <c r="LW14" s="19"/>
      <c r="LX14" s="19"/>
      <c r="LY14" s="19"/>
      <c r="LZ14" s="19"/>
      <c r="MA14" s="19"/>
      <c r="MB14" s="14" t="str">
        <f t="shared" si="82"/>
        <v/>
      </c>
      <c r="MC14" s="14" t="str">
        <f t="shared" si="83"/>
        <v/>
      </c>
      <c r="MD14" s="14" t="str">
        <f t="shared" si="84"/>
        <v/>
      </c>
      <c r="ME14" s="14" t="str">
        <f t="shared" si="85"/>
        <v/>
      </c>
      <c r="MF14" s="14" t="str">
        <f t="shared" si="86"/>
        <v/>
      </c>
      <c r="MG14" s="14" t="str">
        <f t="shared" si="87"/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55" t="str">
        <f t="shared" si="88"/>
        <v/>
      </c>
      <c r="NC14" s="55" t="str">
        <f t="shared" si="89"/>
        <v/>
      </c>
      <c r="ND14" s="55" t="str">
        <f t="shared" si="90"/>
        <v/>
      </c>
      <c r="NE14" s="55" t="str">
        <f t="shared" si="91"/>
        <v/>
      </c>
      <c r="NF14" s="55" t="str">
        <f t="shared" si="92"/>
        <v/>
      </c>
      <c r="NG14" s="55" t="str">
        <f t="shared" si="93"/>
        <v/>
      </c>
      <c r="NH14" s="19"/>
      <c r="NI14" s="19"/>
      <c r="NJ14" s="19"/>
      <c r="NK14" s="19"/>
      <c r="NL14" s="19"/>
      <c r="NM14" s="19"/>
      <c r="NN14" s="19"/>
      <c r="NO14" s="19"/>
      <c r="NP14" s="19"/>
      <c r="NQ14" s="19"/>
      <c r="NR14" s="19"/>
      <c r="NS14" s="19"/>
      <c r="NT14" s="19"/>
      <c r="NU14" s="19"/>
      <c r="NV14" s="19"/>
      <c r="NW14" s="19"/>
      <c r="NX14" s="19"/>
      <c r="NY14" s="19"/>
      <c r="NZ14" s="19"/>
      <c r="OA14" s="19"/>
      <c r="OB14" s="14" t="str">
        <f t="shared" si="94"/>
        <v/>
      </c>
      <c r="OC14" s="14" t="str">
        <f t="shared" si="95"/>
        <v/>
      </c>
      <c r="OD14" s="14" t="str">
        <f t="shared" si="96"/>
        <v/>
      </c>
      <c r="OE14" s="14" t="str">
        <f t="shared" si="97"/>
        <v/>
      </c>
      <c r="OF14" s="14" t="str">
        <f t="shared" si="98"/>
        <v/>
      </c>
      <c r="OG14" s="14" t="str">
        <f t="shared" si="99"/>
        <v/>
      </c>
      <c r="OH14" s="27">
        <f t="shared" si="100"/>
        <v>9.5</v>
      </c>
      <c r="OI14" s="27">
        <f t="shared" si="101"/>
        <v>1.85</v>
      </c>
      <c r="OJ14" s="27">
        <f t="shared" si="102"/>
        <v>0</v>
      </c>
      <c r="OK14" s="27">
        <f t="shared" si="103"/>
        <v>0</v>
      </c>
      <c r="OL14" s="27">
        <f t="shared" si="104"/>
        <v>9.4499999999999993</v>
      </c>
      <c r="OM14" s="27">
        <f t="shared" si="105"/>
        <v>1.75</v>
      </c>
      <c r="ON14" s="27">
        <f t="shared" si="106"/>
        <v>0</v>
      </c>
      <c r="OO14" s="27">
        <f t="shared" si="107"/>
        <v>0</v>
      </c>
      <c r="OP14" s="27">
        <f t="shared" si="108"/>
        <v>9.4</v>
      </c>
      <c r="OQ14" s="27">
        <f t="shared" si="109"/>
        <v>1.85</v>
      </c>
      <c r="OR14" s="27">
        <f t="shared" si="110"/>
        <v>0</v>
      </c>
      <c r="OS14" s="27">
        <f t="shared" si="111"/>
        <v>0</v>
      </c>
      <c r="OT14" s="27">
        <f t="shared" si="112"/>
        <v>9.3000000000000007</v>
      </c>
      <c r="OU14" s="27">
        <f t="shared" si="113"/>
        <v>1.75</v>
      </c>
      <c r="OV14" s="27">
        <f t="shared" si="114"/>
        <v>0.3</v>
      </c>
      <c r="OW14" s="27">
        <f t="shared" si="115"/>
        <v>0</v>
      </c>
      <c r="OX14" s="32" t="s">
        <v>44</v>
      </c>
      <c r="OY14" s="55">
        <f t="shared" si="116"/>
        <v>3.6</v>
      </c>
      <c r="OZ14" s="55">
        <f t="shared" si="117"/>
        <v>22.549999999999997</v>
      </c>
      <c r="PA14" s="55">
        <f t="shared" si="118"/>
        <v>3.6</v>
      </c>
      <c r="PB14" s="55">
        <f t="shared" si="119"/>
        <v>22</v>
      </c>
      <c r="PC14" s="55">
        <f t="shared" si="120"/>
        <v>44.55</v>
      </c>
    </row>
    <row r="15" spans="1:419" x14ac:dyDescent="0.2">
      <c r="A15" s="4" t="str" cm="1">
        <f t="array" ref="A15">IF(AND(H15&lt;&gt;"",H15&lt;&gt;"No DD"),SUMPRODUCT((H$4:H$17&lt;&gt;"")*(H$4:H$17&lt;&gt;"No DD")*(E$4:E$17&gt;E15))+1,IF(H15="No DD",SUMPRODUCT((H$4:H$17="No DD")*(E$4:E$17&gt;E15))+1+SUMPRODUCT((H$4:H$17&lt;&gt;"")*(H$4:H$17&lt;&gt;"No DD")),""))</f>
        <v/>
      </c>
      <c r="B15" s="5" t="s">
        <v>114</v>
      </c>
      <c r="C15" s="4" t="s">
        <v>64</v>
      </c>
      <c r="D15" s="4">
        <v>2009</v>
      </c>
      <c r="E15" s="10">
        <f t="shared" si="0"/>
        <v>78.100007810004428</v>
      </c>
      <c r="F15" s="3" t="str">
        <f t="shared" si="1"/>
        <v/>
      </c>
      <c r="G15" s="3" t="str">
        <f t="shared" si="2"/>
        <v/>
      </c>
      <c r="H15" s="47" t="str">
        <f t="shared" si="3"/>
        <v/>
      </c>
      <c r="I15" s="9">
        <f>IF(COUNT(AJ15,BF15,CB15)&gt;0,LARGE((AJ15,BF15,CB15),1),0)</f>
        <v>44.4</v>
      </c>
      <c r="J15" s="9" t="str">
        <f t="shared" si="4"/>
        <v>2025 Nationals</v>
      </c>
      <c r="K15" s="9">
        <f>IF(COUNT(AJ15,BF15,CB15)&gt;1,LARGE((AJ15,BF15,CB15),2),0)</f>
        <v>0</v>
      </c>
      <c r="L15" s="9" t="str">
        <f t="shared" si="5"/>
        <v/>
      </c>
      <c r="M15" s="9">
        <f t="shared" si="6"/>
        <v>33.700000000000003</v>
      </c>
      <c r="N15" s="9" t="str">
        <f t="shared" si="7"/>
        <v>2025 Nationals</v>
      </c>
      <c r="O15" s="9" t="str">
        <f t="shared" si="8"/>
        <v/>
      </c>
      <c r="P15" s="14" t="str">
        <f t="shared" si="9"/>
        <v/>
      </c>
      <c r="Q15" s="9" t="str">
        <f t="shared" si="10"/>
        <v/>
      </c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32"/>
      <c r="AI15" s="55" t="str">
        <f t="shared" si="11"/>
        <v/>
      </c>
      <c r="AJ15" s="55" t="str">
        <f t="shared" si="12"/>
        <v/>
      </c>
      <c r="AK15" s="55" t="str">
        <f t="shared" si="13"/>
        <v/>
      </c>
      <c r="AL15" s="55" t="str">
        <f t="shared" si="14"/>
        <v/>
      </c>
      <c r="AM15" s="55" t="str">
        <f t="shared" si="15"/>
        <v/>
      </c>
      <c r="AN15" s="19">
        <v>18.5</v>
      </c>
      <c r="AO15" s="19">
        <v>3.5</v>
      </c>
      <c r="AP15" s="19">
        <v>0.2</v>
      </c>
      <c r="AQ15" s="19">
        <v>0</v>
      </c>
      <c r="AR15" s="19">
        <v>18.2</v>
      </c>
      <c r="AS15" s="19">
        <v>4.4000000000000004</v>
      </c>
      <c r="AT15" s="19">
        <v>0</v>
      </c>
      <c r="AU15" s="19">
        <v>0</v>
      </c>
      <c r="AV15" s="19">
        <v>15.6</v>
      </c>
      <c r="AW15" s="19">
        <v>0.7</v>
      </c>
      <c r="AX15" s="19">
        <v>0</v>
      </c>
      <c r="AY15" s="19">
        <v>0</v>
      </c>
      <c r="AZ15" s="19">
        <v>15</v>
      </c>
      <c r="BA15" s="19">
        <v>2.4</v>
      </c>
      <c r="BB15" s="19">
        <v>0</v>
      </c>
      <c r="BC15" s="19">
        <v>0</v>
      </c>
      <c r="BD15" s="33"/>
      <c r="BE15" s="14">
        <f t="shared" si="16"/>
        <v>7.9</v>
      </c>
      <c r="BF15" s="14">
        <f t="shared" si="17"/>
        <v>44.4</v>
      </c>
      <c r="BG15" s="14">
        <f t="shared" si="18"/>
        <v>3.0999999999999996</v>
      </c>
      <c r="BH15" s="14">
        <f t="shared" si="19"/>
        <v>33.700000000000003</v>
      </c>
      <c r="BI15" s="14">
        <f t="shared" si="20"/>
        <v>78.099999999999994</v>
      </c>
      <c r="BJ15" s="20"/>
      <c r="BK15" s="20"/>
      <c r="BL15" s="20"/>
      <c r="BM15" s="20"/>
      <c r="BN15" s="20"/>
      <c r="BO15" s="20"/>
      <c r="BP15" s="20"/>
      <c r="BQ15" s="20"/>
      <c r="BR15" s="20"/>
      <c r="BS15" s="20"/>
      <c r="BT15" s="20"/>
      <c r="BU15" s="20"/>
      <c r="BV15" s="20"/>
      <c r="BW15" s="20"/>
      <c r="BX15" s="20"/>
      <c r="BY15" s="20"/>
      <c r="BZ15" s="32"/>
      <c r="CA15" s="55" t="str">
        <f t="shared" si="21"/>
        <v/>
      </c>
      <c r="CB15" s="55" t="str">
        <f t="shared" si="22"/>
        <v/>
      </c>
      <c r="CC15" s="55" t="str">
        <f t="shared" si="23"/>
        <v/>
      </c>
      <c r="CD15" s="55" t="str">
        <f t="shared" si="24"/>
        <v/>
      </c>
      <c r="CE15" s="55" t="str">
        <f t="shared" si="25"/>
        <v/>
      </c>
      <c r="CF15" s="56" t="str">
        <f t="shared" si="26"/>
        <v/>
      </c>
      <c r="CG15" s="56" t="str">
        <f t="shared" si="27"/>
        <v/>
      </c>
      <c r="CH15" s="18"/>
      <c r="CI15" s="18"/>
      <c r="CJ15" s="18"/>
      <c r="CK15" s="18"/>
      <c r="CL15" s="18"/>
      <c r="CM15" s="18"/>
      <c r="CN15" s="18"/>
      <c r="CO15" s="18"/>
      <c r="CP15" s="18"/>
      <c r="CQ15" s="18"/>
      <c r="CR15" s="18"/>
      <c r="CS15" s="18"/>
      <c r="CT15" s="18"/>
      <c r="CU15" s="18"/>
      <c r="CV15" s="18"/>
      <c r="CW15" s="18"/>
      <c r="CX15" s="18"/>
      <c r="CY15" s="18"/>
      <c r="CZ15" s="18"/>
      <c r="DA15" s="18"/>
      <c r="DB15" s="55" t="str">
        <f t="shared" si="28"/>
        <v/>
      </c>
      <c r="DC15" s="55" t="str">
        <f t="shared" si="29"/>
        <v/>
      </c>
      <c r="DD15" s="55" t="str">
        <f t="shared" si="30"/>
        <v/>
      </c>
      <c r="DE15" s="55" t="str">
        <f t="shared" si="31"/>
        <v/>
      </c>
      <c r="DF15" s="55" t="str">
        <f t="shared" si="32"/>
        <v/>
      </c>
      <c r="DG15" s="55" t="str">
        <f t="shared" si="33"/>
        <v/>
      </c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4" t="str">
        <f t="shared" si="34"/>
        <v/>
      </c>
      <c r="EC15" s="14" t="str">
        <f t="shared" si="35"/>
        <v/>
      </c>
      <c r="ED15" s="14" t="str">
        <f t="shared" si="36"/>
        <v/>
      </c>
      <c r="EE15" s="14" t="str">
        <f t="shared" si="37"/>
        <v/>
      </c>
      <c r="EF15" s="14" t="str">
        <f t="shared" si="38"/>
        <v/>
      </c>
      <c r="EG15" s="14" t="str">
        <f t="shared" si="39"/>
        <v/>
      </c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55" t="str">
        <f t="shared" si="40"/>
        <v/>
      </c>
      <c r="FC15" s="55" t="str">
        <f t="shared" si="41"/>
        <v/>
      </c>
      <c r="FD15" s="55" t="str">
        <f t="shared" si="42"/>
        <v/>
      </c>
      <c r="FE15" s="55" t="str">
        <f t="shared" si="43"/>
        <v/>
      </c>
      <c r="FF15" s="55" t="str">
        <f t="shared" si="44"/>
        <v/>
      </c>
      <c r="FG15" s="55" t="str">
        <f t="shared" si="45"/>
        <v/>
      </c>
      <c r="FH15" s="19"/>
      <c r="FI15" s="19"/>
      <c r="FJ15" s="19"/>
      <c r="FK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  <c r="FZ15" s="19"/>
      <c r="GA15" s="19"/>
      <c r="GB15" s="14" t="str">
        <f t="shared" si="46"/>
        <v/>
      </c>
      <c r="GC15" s="14" t="str">
        <f t="shared" si="47"/>
        <v/>
      </c>
      <c r="GD15" s="14" t="str">
        <f t="shared" si="48"/>
        <v/>
      </c>
      <c r="GE15" s="14" t="str">
        <f t="shared" si="49"/>
        <v/>
      </c>
      <c r="GF15" s="14" t="str">
        <f t="shared" si="50"/>
        <v/>
      </c>
      <c r="GG15" s="14" t="str">
        <f t="shared" si="51"/>
        <v/>
      </c>
      <c r="GH15" s="18"/>
      <c r="GI15" s="18"/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55" t="str">
        <f t="shared" si="52"/>
        <v/>
      </c>
      <c r="HC15" s="55" t="str">
        <f t="shared" si="53"/>
        <v/>
      </c>
      <c r="HD15" s="55" t="str">
        <f t="shared" si="54"/>
        <v/>
      </c>
      <c r="HE15" s="55" t="str">
        <f t="shared" si="55"/>
        <v/>
      </c>
      <c r="HF15" s="55" t="str">
        <f t="shared" si="56"/>
        <v/>
      </c>
      <c r="HG15" s="55" t="str">
        <f t="shared" si="57"/>
        <v/>
      </c>
      <c r="HH15" s="19"/>
      <c r="HI15" s="19"/>
      <c r="HJ15" s="19"/>
      <c r="HK15" s="19"/>
      <c r="HL15" s="19"/>
      <c r="HM15" s="19"/>
      <c r="HN15" s="19"/>
      <c r="HO15" s="19"/>
      <c r="HP15" s="19"/>
      <c r="HQ15" s="19"/>
      <c r="HR15" s="19"/>
      <c r="HS15" s="19"/>
      <c r="HT15" s="19"/>
      <c r="HU15" s="19"/>
      <c r="HV15" s="19"/>
      <c r="HW15" s="19"/>
      <c r="HX15" s="19"/>
      <c r="HY15" s="19"/>
      <c r="HZ15" s="19"/>
      <c r="IA15" s="19"/>
      <c r="IB15" s="14" t="str">
        <f t="shared" si="58"/>
        <v/>
      </c>
      <c r="IC15" s="14" t="str">
        <f t="shared" si="59"/>
        <v/>
      </c>
      <c r="ID15" s="14" t="str">
        <f t="shared" si="60"/>
        <v/>
      </c>
      <c r="IE15" s="14" t="str">
        <f t="shared" si="61"/>
        <v/>
      </c>
      <c r="IF15" s="14" t="str">
        <f t="shared" si="62"/>
        <v/>
      </c>
      <c r="IG15" s="14" t="str">
        <f t="shared" si="63"/>
        <v/>
      </c>
      <c r="IH15" s="18"/>
      <c r="II15" s="18"/>
      <c r="IJ15" s="18"/>
      <c r="IK15" s="18"/>
      <c r="IL15" s="18"/>
      <c r="IM15" s="18"/>
      <c r="IN15" s="18"/>
      <c r="IO15" s="18"/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55" t="str">
        <f t="shared" si="64"/>
        <v/>
      </c>
      <c r="JC15" s="55" t="str">
        <f t="shared" si="65"/>
        <v/>
      </c>
      <c r="JD15" s="55" t="str">
        <f t="shared" si="66"/>
        <v/>
      </c>
      <c r="JE15" s="55" t="str">
        <f t="shared" si="67"/>
        <v/>
      </c>
      <c r="JF15" s="55" t="str">
        <f t="shared" si="68"/>
        <v/>
      </c>
      <c r="JG15" s="55" t="str">
        <f t="shared" si="69"/>
        <v/>
      </c>
      <c r="JH15" s="19"/>
      <c r="JI15" s="19"/>
      <c r="JJ15" s="19"/>
      <c r="JK15" s="19"/>
      <c r="JL15" s="19"/>
      <c r="JM15" s="19"/>
      <c r="JN15" s="19"/>
      <c r="JO15" s="19"/>
      <c r="JP15" s="19"/>
      <c r="JQ15" s="19"/>
      <c r="JR15" s="19"/>
      <c r="JS15" s="19"/>
      <c r="JT15" s="19"/>
      <c r="JU15" s="19"/>
      <c r="JV15" s="19"/>
      <c r="JW15" s="19"/>
      <c r="JX15" s="19"/>
      <c r="JY15" s="19"/>
      <c r="JZ15" s="19"/>
      <c r="KA15" s="19"/>
      <c r="KB15" s="14" t="str">
        <f t="shared" si="70"/>
        <v/>
      </c>
      <c r="KC15" s="14" t="str">
        <f t="shared" si="71"/>
        <v/>
      </c>
      <c r="KD15" s="14" t="str">
        <f t="shared" si="72"/>
        <v/>
      </c>
      <c r="KE15" s="14" t="str">
        <f t="shared" si="73"/>
        <v/>
      </c>
      <c r="KF15" s="14" t="str">
        <f t="shared" si="74"/>
        <v/>
      </c>
      <c r="KG15" s="14" t="str">
        <f t="shared" si="75"/>
        <v/>
      </c>
      <c r="KH15" s="18"/>
      <c r="KI15" s="18"/>
      <c r="KJ15" s="18"/>
      <c r="KK15" s="18"/>
      <c r="KL15" s="18"/>
      <c r="KM15" s="18"/>
      <c r="KN15" s="18"/>
      <c r="KO15" s="18"/>
      <c r="KP15" s="18"/>
      <c r="KQ15" s="18"/>
      <c r="KR15" s="18"/>
      <c r="KS15" s="18"/>
      <c r="KT15" s="18"/>
      <c r="KU15" s="18"/>
      <c r="KV15" s="18"/>
      <c r="KW15" s="18"/>
      <c r="KX15" s="18"/>
      <c r="KY15" s="18"/>
      <c r="KZ15" s="18"/>
      <c r="LA15" s="18"/>
      <c r="LB15" s="55" t="str">
        <f t="shared" si="76"/>
        <v/>
      </c>
      <c r="LC15" s="55" t="str">
        <f t="shared" si="77"/>
        <v/>
      </c>
      <c r="LD15" s="55" t="str">
        <f t="shared" si="78"/>
        <v/>
      </c>
      <c r="LE15" s="55" t="str">
        <f t="shared" si="79"/>
        <v/>
      </c>
      <c r="LF15" s="55" t="str">
        <f t="shared" si="80"/>
        <v/>
      </c>
      <c r="LG15" s="55" t="str">
        <f t="shared" si="81"/>
        <v/>
      </c>
      <c r="LH15" s="19"/>
      <c r="LI15" s="19"/>
      <c r="LJ15" s="19"/>
      <c r="LK15" s="19"/>
      <c r="LL15" s="19"/>
      <c r="LM15" s="19"/>
      <c r="LN15" s="19"/>
      <c r="LO15" s="19"/>
      <c r="LP15" s="19"/>
      <c r="LQ15" s="19"/>
      <c r="LR15" s="19"/>
      <c r="LS15" s="19"/>
      <c r="LT15" s="19"/>
      <c r="LU15" s="19"/>
      <c r="LV15" s="19"/>
      <c r="LW15" s="19"/>
      <c r="LX15" s="19"/>
      <c r="LY15" s="19"/>
      <c r="LZ15" s="19"/>
      <c r="MA15" s="19"/>
      <c r="MB15" s="14" t="str">
        <f t="shared" si="82"/>
        <v/>
      </c>
      <c r="MC15" s="14" t="str">
        <f t="shared" si="83"/>
        <v/>
      </c>
      <c r="MD15" s="14" t="str">
        <f t="shared" si="84"/>
        <v/>
      </c>
      <c r="ME15" s="14" t="str">
        <f t="shared" si="85"/>
        <v/>
      </c>
      <c r="MF15" s="14" t="str">
        <f t="shared" si="86"/>
        <v/>
      </c>
      <c r="MG15" s="14" t="str">
        <f t="shared" si="87"/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55" t="str">
        <f t="shared" si="88"/>
        <v/>
      </c>
      <c r="NC15" s="55" t="str">
        <f t="shared" si="89"/>
        <v/>
      </c>
      <c r="ND15" s="55" t="str">
        <f t="shared" si="90"/>
        <v/>
      </c>
      <c r="NE15" s="55" t="str">
        <f t="shared" si="91"/>
        <v/>
      </c>
      <c r="NF15" s="55" t="str">
        <f t="shared" si="92"/>
        <v/>
      </c>
      <c r="NG15" s="55" t="str">
        <f t="shared" si="93"/>
        <v/>
      </c>
      <c r="NH15" s="19"/>
      <c r="NI15" s="19"/>
      <c r="NJ15" s="19"/>
      <c r="NK15" s="19"/>
      <c r="NL15" s="19"/>
      <c r="NM15" s="19"/>
      <c r="NN15" s="19"/>
      <c r="NO15" s="19"/>
      <c r="NP15" s="19"/>
      <c r="NQ15" s="19"/>
      <c r="NR15" s="19"/>
      <c r="NS15" s="19"/>
      <c r="NT15" s="19"/>
      <c r="NU15" s="19"/>
      <c r="NV15" s="19"/>
      <c r="NW15" s="19"/>
      <c r="NX15" s="19"/>
      <c r="NY15" s="19"/>
      <c r="NZ15" s="19"/>
      <c r="OA15" s="19"/>
      <c r="OB15" s="14" t="str">
        <f t="shared" si="94"/>
        <v/>
      </c>
      <c r="OC15" s="14" t="str">
        <f t="shared" si="95"/>
        <v/>
      </c>
      <c r="OD15" s="14" t="str">
        <f t="shared" si="96"/>
        <v/>
      </c>
      <c r="OE15" s="14" t="str">
        <f t="shared" si="97"/>
        <v/>
      </c>
      <c r="OF15" s="14" t="str">
        <f t="shared" si="98"/>
        <v/>
      </c>
      <c r="OG15" s="14" t="str">
        <f t="shared" si="99"/>
        <v/>
      </c>
      <c r="OH15" s="27">
        <f t="shared" si="100"/>
        <v>9.25</v>
      </c>
      <c r="OI15" s="27">
        <f t="shared" si="101"/>
        <v>1.75</v>
      </c>
      <c r="OJ15" s="27">
        <f t="shared" si="102"/>
        <v>0.1</v>
      </c>
      <c r="OK15" s="27">
        <f t="shared" si="103"/>
        <v>0</v>
      </c>
      <c r="OL15" s="27">
        <f t="shared" si="104"/>
        <v>9.1</v>
      </c>
      <c r="OM15" s="27">
        <f t="shared" si="105"/>
        <v>2.2000000000000002</v>
      </c>
      <c r="ON15" s="27">
        <f t="shared" si="106"/>
        <v>0</v>
      </c>
      <c r="OO15" s="27">
        <f t="shared" si="107"/>
        <v>0</v>
      </c>
      <c r="OP15" s="27">
        <f t="shared" si="108"/>
        <v>7.8</v>
      </c>
      <c r="OQ15" s="27">
        <f t="shared" si="109"/>
        <v>0.35</v>
      </c>
      <c r="OR15" s="27">
        <f t="shared" si="110"/>
        <v>0</v>
      </c>
      <c r="OS15" s="27">
        <f t="shared" si="111"/>
        <v>0</v>
      </c>
      <c r="OT15" s="27">
        <f t="shared" si="112"/>
        <v>7.5</v>
      </c>
      <c r="OU15" s="27">
        <f t="shared" si="113"/>
        <v>1.2</v>
      </c>
      <c r="OV15" s="27">
        <f t="shared" si="114"/>
        <v>0</v>
      </c>
      <c r="OW15" s="27">
        <f t="shared" si="115"/>
        <v>0</v>
      </c>
      <c r="OX15" s="32" t="s">
        <v>44</v>
      </c>
      <c r="OY15" s="55">
        <f t="shared" si="116"/>
        <v>3.95</v>
      </c>
      <c r="OZ15" s="55">
        <f t="shared" si="117"/>
        <v>22.2</v>
      </c>
      <c r="PA15" s="55">
        <f t="shared" si="118"/>
        <v>1.5499999999999998</v>
      </c>
      <c r="PB15" s="55">
        <f t="shared" si="119"/>
        <v>16.850000000000001</v>
      </c>
      <c r="PC15" s="55">
        <f t="shared" si="120"/>
        <v>39.049999999999997</v>
      </c>
    </row>
    <row r="16" spans="1:419" x14ac:dyDescent="0.2">
      <c r="A16" s="4" t="str" cm="1">
        <f t="array" ref="A16">IF(AND(H16&lt;&gt;"",H16&lt;&gt;"No DD"),SUMPRODUCT((H$4:H$17&lt;&gt;"")*(H$4:H$17&lt;&gt;"No DD")*(E$4:E$17&gt;E16))+1,IF(H16="No DD",SUMPRODUCT((H$4:H$17="No DD")*(E$4:E$17&gt;E16))+1+SUMPRODUCT((H$4:H$17&lt;&gt;"")*(H$4:H$17&lt;&gt;"No DD")),""))</f>
        <v/>
      </c>
      <c r="B16" s="5" t="s">
        <v>115</v>
      </c>
      <c r="C16" s="4" t="s">
        <v>86</v>
      </c>
      <c r="D16" s="4">
        <v>2011</v>
      </c>
      <c r="E16" s="10">
        <f t="shared" si="0"/>
        <v>39.900003990003995</v>
      </c>
      <c r="F16" s="3" t="str">
        <f t="shared" si="1"/>
        <v/>
      </c>
      <c r="G16" s="3" t="str">
        <f t="shared" si="2"/>
        <v/>
      </c>
      <c r="H16" s="47" t="str">
        <f t="shared" si="3"/>
        <v/>
      </c>
      <c r="I16" s="9">
        <f>IF(COUNT(AJ16,BF16,CB16)&gt;0,LARGE((AJ16,BF16,CB16),1),0)</f>
        <v>39.9</v>
      </c>
      <c r="J16" s="9" t="str">
        <f t="shared" si="4"/>
        <v>2025 Nationals</v>
      </c>
      <c r="K16" s="9">
        <f>IF(COUNT(AJ16,BF16,CB16)&gt;1,LARGE((AJ16,BF16,CB16),2),0)</f>
        <v>0</v>
      </c>
      <c r="L16" s="9" t="str">
        <f t="shared" si="5"/>
        <v/>
      </c>
      <c r="M16" s="9">
        <f t="shared" si="6"/>
        <v>0</v>
      </c>
      <c r="N16" s="9" t="str">
        <f t="shared" si="7"/>
        <v/>
      </c>
      <c r="O16" s="9" t="str">
        <f t="shared" si="8"/>
        <v/>
      </c>
      <c r="P16" s="14" t="str">
        <f t="shared" si="9"/>
        <v/>
      </c>
      <c r="Q16" s="9" t="str">
        <f t="shared" si="10"/>
        <v/>
      </c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32"/>
      <c r="AI16" s="55" t="str">
        <f t="shared" si="11"/>
        <v/>
      </c>
      <c r="AJ16" s="55" t="str">
        <f t="shared" si="12"/>
        <v/>
      </c>
      <c r="AK16" s="55" t="str">
        <f t="shared" si="13"/>
        <v/>
      </c>
      <c r="AL16" s="55" t="str">
        <f t="shared" si="14"/>
        <v/>
      </c>
      <c r="AM16" s="55" t="str">
        <f t="shared" si="15"/>
        <v/>
      </c>
      <c r="AN16" s="19">
        <v>18.8</v>
      </c>
      <c r="AO16" s="19">
        <v>3.5</v>
      </c>
      <c r="AP16" s="19">
        <v>0</v>
      </c>
      <c r="AQ16" s="19">
        <v>0</v>
      </c>
      <c r="AR16" s="19">
        <v>15.2</v>
      </c>
      <c r="AS16" s="19">
        <v>2.4</v>
      </c>
      <c r="AT16" s="19">
        <v>0</v>
      </c>
      <c r="AU16" s="19">
        <v>0</v>
      </c>
      <c r="AV16" s="19"/>
      <c r="AW16" s="19"/>
      <c r="AX16" s="19"/>
      <c r="AY16" s="19"/>
      <c r="AZ16" s="19"/>
      <c r="BA16" s="19"/>
      <c r="BB16" s="19"/>
      <c r="BC16" s="19"/>
      <c r="BD16" s="33"/>
      <c r="BE16" s="14">
        <f t="shared" si="16"/>
        <v>5.9</v>
      </c>
      <c r="BF16" s="14">
        <f t="shared" si="17"/>
        <v>39.9</v>
      </c>
      <c r="BG16" s="14" t="str">
        <f t="shared" si="18"/>
        <v/>
      </c>
      <c r="BH16" s="14" t="str">
        <f t="shared" si="19"/>
        <v/>
      </c>
      <c r="BI16" s="14">
        <f t="shared" si="20"/>
        <v>39.9</v>
      </c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32"/>
      <c r="CA16" s="55" t="str">
        <f t="shared" si="21"/>
        <v/>
      </c>
      <c r="CB16" s="55" t="str">
        <f t="shared" si="22"/>
        <v/>
      </c>
      <c r="CC16" s="55" t="str">
        <f t="shared" si="23"/>
        <v/>
      </c>
      <c r="CD16" s="55" t="str">
        <f t="shared" si="24"/>
        <v/>
      </c>
      <c r="CE16" s="55" t="str">
        <f t="shared" si="25"/>
        <v/>
      </c>
      <c r="CF16" s="56" t="str">
        <f t="shared" si="26"/>
        <v/>
      </c>
      <c r="CG16" s="56" t="str">
        <f t="shared" si="27"/>
        <v/>
      </c>
      <c r="CH16" s="18"/>
      <c r="CI16" s="18"/>
      <c r="CJ16" s="18"/>
      <c r="CK16" s="18"/>
      <c r="CL16" s="18"/>
      <c r="CM16" s="18"/>
      <c r="CN16" s="18"/>
      <c r="CO16" s="18"/>
      <c r="CP16" s="18"/>
      <c r="CQ16" s="18"/>
      <c r="CR16" s="18"/>
      <c r="CS16" s="18"/>
      <c r="CT16" s="18"/>
      <c r="CU16" s="18"/>
      <c r="CV16" s="18"/>
      <c r="CW16" s="18"/>
      <c r="CX16" s="18"/>
      <c r="CY16" s="18"/>
      <c r="CZ16" s="18"/>
      <c r="DA16" s="18"/>
      <c r="DB16" s="55" t="str">
        <f t="shared" si="28"/>
        <v/>
      </c>
      <c r="DC16" s="55" t="str">
        <f t="shared" si="29"/>
        <v/>
      </c>
      <c r="DD16" s="55" t="str">
        <f t="shared" si="30"/>
        <v/>
      </c>
      <c r="DE16" s="55" t="str">
        <f t="shared" si="31"/>
        <v/>
      </c>
      <c r="DF16" s="55" t="str">
        <f t="shared" si="32"/>
        <v/>
      </c>
      <c r="DG16" s="55" t="str">
        <f t="shared" si="33"/>
        <v/>
      </c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4" t="str">
        <f t="shared" si="34"/>
        <v/>
      </c>
      <c r="EC16" s="14" t="str">
        <f t="shared" si="35"/>
        <v/>
      </c>
      <c r="ED16" s="14" t="str">
        <f t="shared" si="36"/>
        <v/>
      </c>
      <c r="EE16" s="14" t="str">
        <f t="shared" si="37"/>
        <v/>
      </c>
      <c r="EF16" s="14" t="str">
        <f t="shared" si="38"/>
        <v/>
      </c>
      <c r="EG16" s="14" t="str">
        <f t="shared" si="39"/>
        <v/>
      </c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55" t="str">
        <f t="shared" si="40"/>
        <v/>
      </c>
      <c r="FC16" s="55" t="str">
        <f t="shared" si="41"/>
        <v/>
      </c>
      <c r="FD16" s="55" t="str">
        <f t="shared" si="42"/>
        <v/>
      </c>
      <c r="FE16" s="55" t="str">
        <f t="shared" si="43"/>
        <v/>
      </c>
      <c r="FF16" s="55" t="str">
        <f t="shared" si="44"/>
        <v/>
      </c>
      <c r="FG16" s="55" t="str">
        <f t="shared" si="45"/>
        <v/>
      </c>
      <c r="FH16" s="19"/>
      <c r="FI16" s="19"/>
      <c r="FJ16" s="19"/>
      <c r="FK16" s="19"/>
      <c r="FL16" s="19"/>
      <c r="FM16" s="19"/>
      <c r="FN16" s="19"/>
      <c r="FO16" s="19"/>
      <c r="FP16" s="19"/>
      <c r="FQ16" s="19"/>
      <c r="FR16" s="19"/>
      <c r="FS16" s="19"/>
      <c r="FT16" s="19"/>
      <c r="FU16" s="19"/>
      <c r="FV16" s="19"/>
      <c r="FW16" s="19"/>
      <c r="FX16" s="19"/>
      <c r="FY16" s="19"/>
      <c r="FZ16" s="19"/>
      <c r="GA16" s="19"/>
      <c r="GB16" s="14" t="str">
        <f t="shared" si="46"/>
        <v/>
      </c>
      <c r="GC16" s="14" t="str">
        <f t="shared" si="47"/>
        <v/>
      </c>
      <c r="GD16" s="14" t="str">
        <f t="shared" si="48"/>
        <v/>
      </c>
      <c r="GE16" s="14" t="str">
        <f t="shared" si="49"/>
        <v/>
      </c>
      <c r="GF16" s="14" t="str">
        <f t="shared" si="50"/>
        <v/>
      </c>
      <c r="GG16" s="14" t="str">
        <f t="shared" si="51"/>
        <v/>
      </c>
      <c r="GH16" s="18"/>
      <c r="GI16" s="18"/>
      <c r="GJ16" s="18"/>
      <c r="GK16" s="18"/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55" t="str">
        <f t="shared" si="52"/>
        <v/>
      </c>
      <c r="HC16" s="55" t="str">
        <f t="shared" si="53"/>
        <v/>
      </c>
      <c r="HD16" s="55" t="str">
        <f t="shared" si="54"/>
        <v/>
      </c>
      <c r="HE16" s="55" t="str">
        <f t="shared" si="55"/>
        <v/>
      </c>
      <c r="HF16" s="55" t="str">
        <f t="shared" si="56"/>
        <v/>
      </c>
      <c r="HG16" s="55" t="str">
        <f t="shared" si="57"/>
        <v/>
      </c>
      <c r="HH16" s="19"/>
      <c r="HI16" s="19"/>
      <c r="HJ16" s="19"/>
      <c r="HK16" s="19"/>
      <c r="HL16" s="19"/>
      <c r="HM16" s="19"/>
      <c r="HN16" s="19"/>
      <c r="HO16" s="19"/>
      <c r="HP16" s="19"/>
      <c r="HQ16" s="19"/>
      <c r="HR16" s="19"/>
      <c r="HS16" s="19"/>
      <c r="HT16" s="19"/>
      <c r="HU16" s="19"/>
      <c r="HV16" s="19"/>
      <c r="HW16" s="19"/>
      <c r="HX16" s="19"/>
      <c r="HY16" s="19"/>
      <c r="HZ16" s="19"/>
      <c r="IA16" s="19"/>
      <c r="IB16" s="14" t="str">
        <f t="shared" si="58"/>
        <v/>
      </c>
      <c r="IC16" s="14" t="str">
        <f t="shared" si="59"/>
        <v/>
      </c>
      <c r="ID16" s="14" t="str">
        <f t="shared" si="60"/>
        <v/>
      </c>
      <c r="IE16" s="14" t="str">
        <f t="shared" si="61"/>
        <v/>
      </c>
      <c r="IF16" s="14" t="str">
        <f t="shared" si="62"/>
        <v/>
      </c>
      <c r="IG16" s="14" t="str">
        <f t="shared" si="63"/>
        <v/>
      </c>
      <c r="IH16" s="18"/>
      <c r="II16" s="18"/>
      <c r="IJ16" s="18"/>
      <c r="IK16" s="18"/>
      <c r="IL16" s="18"/>
      <c r="IM16" s="18"/>
      <c r="IN16" s="18"/>
      <c r="IO16" s="18"/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55" t="str">
        <f t="shared" si="64"/>
        <v/>
      </c>
      <c r="JC16" s="55" t="str">
        <f t="shared" si="65"/>
        <v/>
      </c>
      <c r="JD16" s="55" t="str">
        <f t="shared" si="66"/>
        <v/>
      </c>
      <c r="JE16" s="55" t="str">
        <f t="shared" si="67"/>
        <v/>
      </c>
      <c r="JF16" s="55" t="str">
        <f t="shared" si="68"/>
        <v/>
      </c>
      <c r="JG16" s="55" t="str">
        <f t="shared" si="69"/>
        <v/>
      </c>
      <c r="JH16" s="19"/>
      <c r="JI16" s="19"/>
      <c r="JJ16" s="19"/>
      <c r="JK16" s="19"/>
      <c r="JL16" s="19"/>
      <c r="JM16" s="19"/>
      <c r="JN16" s="19"/>
      <c r="JO16" s="19"/>
      <c r="JP16" s="19"/>
      <c r="JQ16" s="19"/>
      <c r="JR16" s="19"/>
      <c r="JS16" s="19"/>
      <c r="JT16" s="19"/>
      <c r="JU16" s="19"/>
      <c r="JV16" s="19"/>
      <c r="JW16" s="19"/>
      <c r="JX16" s="19"/>
      <c r="JY16" s="19"/>
      <c r="JZ16" s="19"/>
      <c r="KA16" s="19"/>
      <c r="KB16" s="14" t="str">
        <f t="shared" si="70"/>
        <v/>
      </c>
      <c r="KC16" s="14" t="str">
        <f t="shared" si="71"/>
        <v/>
      </c>
      <c r="KD16" s="14" t="str">
        <f t="shared" si="72"/>
        <v/>
      </c>
      <c r="KE16" s="14" t="str">
        <f t="shared" si="73"/>
        <v/>
      </c>
      <c r="KF16" s="14" t="str">
        <f t="shared" si="74"/>
        <v/>
      </c>
      <c r="KG16" s="14" t="str">
        <f t="shared" si="75"/>
        <v/>
      </c>
      <c r="KH16" s="18"/>
      <c r="KI16" s="18"/>
      <c r="KJ16" s="18"/>
      <c r="KK16" s="18"/>
      <c r="KL16" s="18"/>
      <c r="KM16" s="18"/>
      <c r="KN16" s="18"/>
      <c r="KO16" s="18"/>
      <c r="KP16" s="18"/>
      <c r="KQ16" s="18"/>
      <c r="KR16" s="18"/>
      <c r="KS16" s="18"/>
      <c r="KT16" s="18"/>
      <c r="KU16" s="18"/>
      <c r="KV16" s="18"/>
      <c r="KW16" s="18"/>
      <c r="KX16" s="18"/>
      <c r="KY16" s="18"/>
      <c r="KZ16" s="18"/>
      <c r="LA16" s="18"/>
      <c r="LB16" s="55" t="str">
        <f t="shared" si="76"/>
        <v/>
      </c>
      <c r="LC16" s="55" t="str">
        <f t="shared" si="77"/>
        <v/>
      </c>
      <c r="LD16" s="55" t="str">
        <f t="shared" si="78"/>
        <v/>
      </c>
      <c r="LE16" s="55" t="str">
        <f t="shared" si="79"/>
        <v/>
      </c>
      <c r="LF16" s="55" t="str">
        <f t="shared" si="80"/>
        <v/>
      </c>
      <c r="LG16" s="55" t="str">
        <f t="shared" si="81"/>
        <v/>
      </c>
      <c r="LH16" s="19"/>
      <c r="LI16" s="19"/>
      <c r="LJ16" s="19"/>
      <c r="LK16" s="19"/>
      <c r="LL16" s="19"/>
      <c r="LM16" s="19"/>
      <c r="LN16" s="19"/>
      <c r="LO16" s="19"/>
      <c r="LP16" s="19"/>
      <c r="LQ16" s="19"/>
      <c r="LR16" s="19"/>
      <c r="LS16" s="19"/>
      <c r="LT16" s="19"/>
      <c r="LU16" s="19"/>
      <c r="LV16" s="19"/>
      <c r="LW16" s="19"/>
      <c r="LX16" s="19"/>
      <c r="LY16" s="19"/>
      <c r="LZ16" s="19"/>
      <c r="MA16" s="19"/>
      <c r="MB16" s="14" t="str">
        <f t="shared" si="82"/>
        <v/>
      </c>
      <c r="MC16" s="14" t="str">
        <f t="shared" si="83"/>
        <v/>
      </c>
      <c r="MD16" s="14" t="str">
        <f t="shared" si="84"/>
        <v/>
      </c>
      <c r="ME16" s="14" t="str">
        <f t="shared" si="85"/>
        <v/>
      </c>
      <c r="MF16" s="14" t="str">
        <f t="shared" si="86"/>
        <v/>
      </c>
      <c r="MG16" s="14" t="str">
        <f t="shared" si="87"/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55" t="str">
        <f t="shared" si="88"/>
        <v/>
      </c>
      <c r="NC16" s="55" t="str">
        <f t="shared" si="89"/>
        <v/>
      </c>
      <c r="ND16" s="55" t="str">
        <f t="shared" si="90"/>
        <v/>
      </c>
      <c r="NE16" s="55" t="str">
        <f t="shared" si="91"/>
        <v/>
      </c>
      <c r="NF16" s="55" t="str">
        <f t="shared" si="92"/>
        <v/>
      </c>
      <c r="NG16" s="55" t="str">
        <f t="shared" si="93"/>
        <v/>
      </c>
      <c r="NH16" s="19"/>
      <c r="NI16" s="19"/>
      <c r="NJ16" s="19"/>
      <c r="NK16" s="19"/>
      <c r="NL16" s="19"/>
      <c r="NM16" s="19"/>
      <c r="NN16" s="19"/>
      <c r="NO16" s="19"/>
      <c r="NP16" s="19"/>
      <c r="NQ16" s="19"/>
      <c r="NR16" s="19"/>
      <c r="NS16" s="19"/>
      <c r="NT16" s="19"/>
      <c r="NU16" s="19"/>
      <c r="NV16" s="19"/>
      <c r="NW16" s="19"/>
      <c r="NX16" s="19"/>
      <c r="NY16" s="19"/>
      <c r="NZ16" s="19"/>
      <c r="OA16" s="19"/>
      <c r="OB16" s="14" t="str">
        <f t="shared" si="94"/>
        <v/>
      </c>
      <c r="OC16" s="14" t="str">
        <f t="shared" si="95"/>
        <v/>
      </c>
      <c r="OD16" s="14" t="str">
        <f t="shared" si="96"/>
        <v/>
      </c>
      <c r="OE16" s="14" t="str">
        <f t="shared" si="97"/>
        <v/>
      </c>
      <c r="OF16" s="14" t="str">
        <f t="shared" si="98"/>
        <v/>
      </c>
      <c r="OG16" s="14" t="str">
        <f t="shared" si="99"/>
        <v/>
      </c>
      <c r="OH16" s="27">
        <f t="shared" si="100"/>
        <v>9.4</v>
      </c>
      <c r="OI16" s="27">
        <f t="shared" si="101"/>
        <v>1.75</v>
      </c>
      <c r="OJ16" s="27">
        <f t="shared" si="102"/>
        <v>0</v>
      </c>
      <c r="OK16" s="27">
        <f t="shared" si="103"/>
        <v>0</v>
      </c>
      <c r="OL16" s="27">
        <f t="shared" si="104"/>
        <v>7.6</v>
      </c>
      <c r="OM16" s="27">
        <f t="shared" si="105"/>
        <v>1.2</v>
      </c>
      <c r="ON16" s="27">
        <f t="shared" si="106"/>
        <v>0</v>
      </c>
      <c r="OO16" s="27">
        <f t="shared" si="107"/>
        <v>0</v>
      </c>
      <c r="OP16" s="27">
        <f t="shared" si="108"/>
        <v>0</v>
      </c>
      <c r="OQ16" s="27">
        <f t="shared" si="109"/>
        <v>0</v>
      </c>
      <c r="OR16" s="27">
        <f t="shared" si="110"/>
        <v>0</v>
      </c>
      <c r="OS16" s="27">
        <f t="shared" si="111"/>
        <v>0</v>
      </c>
      <c r="OT16" s="27">
        <f t="shared" si="112"/>
        <v>0</v>
      </c>
      <c r="OU16" s="27">
        <f t="shared" si="113"/>
        <v>0</v>
      </c>
      <c r="OV16" s="27">
        <f t="shared" si="114"/>
        <v>0</v>
      </c>
      <c r="OW16" s="27">
        <f t="shared" si="115"/>
        <v>0</v>
      </c>
      <c r="OX16" s="32" t="s">
        <v>44</v>
      </c>
      <c r="OY16" s="55">
        <f t="shared" si="116"/>
        <v>2.95</v>
      </c>
      <c r="OZ16" s="55">
        <f t="shared" si="117"/>
        <v>19.95</v>
      </c>
      <c r="PA16" s="55" t="str">
        <f t="shared" si="118"/>
        <v/>
      </c>
      <c r="PB16" s="55" t="str">
        <f t="shared" si="119"/>
        <v/>
      </c>
      <c r="PC16" s="55">
        <f t="shared" si="120"/>
        <v>19.95</v>
      </c>
    </row>
    <row r="17" spans="1:397" ht="17" x14ac:dyDescent="0.2">
      <c r="O17" s="11"/>
      <c r="P17" s="11"/>
      <c r="Q17" s="11"/>
    </row>
    <row r="18" spans="1:397" ht="17" x14ac:dyDescent="0.2">
      <c r="O18" s="11"/>
      <c r="P18" s="11"/>
      <c r="Q18" s="11"/>
    </row>
    <row r="19" spans="1:397" ht="17" x14ac:dyDescent="0.2">
      <c r="B19" s="28" t="s">
        <v>42</v>
      </c>
      <c r="O19" s="11"/>
      <c r="P19" s="11"/>
      <c r="Q19" s="11"/>
      <c r="AI19" s="4"/>
      <c r="AM19" s="57">
        <v>9.6</v>
      </c>
      <c r="BE19" s="4"/>
      <c r="BI19" s="57">
        <v>9.6</v>
      </c>
      <c r="CA19" s="4"/>
      <c r="CE19" s="57">
        <v>9.6</v>
      </c>
      <c r="DB19" s="4"/>
      <c r="DG19" s="57">
        <v>9.6</v>
      </c>
      <c r="EB19" s="4"/>
      <c r="EG19" s="57">
        <v>9.6</v>
      </c>
      <c r="FB19" s="4"/>
      <c r="FG19" s="57">
        <v>9.6</v>
      </c>
      <c r="GB19" s="4"/>
      <c r="GG19" s="57">
        <v>9.6</v>
      </c>
      <c r="HB19" s="4"/>
      <c r="HG19" s="57">
        <v>9.6</v>
      </c>
      <c r="IB19" s="4"/>
      <c r="IG19" s="57">
        <v>9.6</v>
      </c>
      <c r="JB19" s="4"/>
      <c r="JG19" s="57">
        <v>9.6</v>
      </c>
      <c r="KB19" s="4"/>
      <c r="KG19" s="57">
        <v>9.6</v>
      </c>
      <c r="LB19" s="4"/>
      <c r="LG19" s="57">
        <v>9.6</v>
      </c>
      <c r="MB19" s="4"/>
      <c r="MG19" s="57">
        <v>9.6</v>
      </c>
      <c r="NB19" s="4"/>
      <c r="NG19" s="57">
        <v>9.6</v>
      </c>
      <c r="OB19" s="4"/>
      <c r="OG19" s="57">
        <v>9.6</v>
      </c>
    </row>
    <row r="20" spans="1:397" ht="17" hidden="1" x14ac:dyDescent="0.2">
      <c r="B20" s="35" t="s">
        <v>41</v>
      </c>
      <c r="O20" s="11"/>
      <c r="P20" s="11"/>
      <c r="Q20" s="11"/>
      <c r="AI20" s="4"/>
      <c r="AM20" s="58">
        <v>1000</v>
      </c>
      <c r="BE20" s="4"/>
      <c r="BI20" s="58">
        <v>1000</v>
      </c>
      <c r="CA20" s="4"/>
      <c r="CE20" s="58">
        <v>1000</v>
      </c>
      <c r="DB20" s="4"/>
      <c r="DG20" s="58">
        <v>1000</v>
      </c>
      <c r="EB20" s="4"/>
      <c r="EG20" s="58">
        <v>1000</v>
      </c>
      <c r="FB20" s="4"/>
      <c r="FG20" s="58">
        <v>1000</v>
      </c>
      <c r="GB20" s="4"/>
      <c r="GG20" s="58">
        <v>1000</v>
      </c>
      <c r="HB20" s="4"/>
      <c r="HG20" s="58">
        <v>1000</v>
      </c>
      <c r="IB20" s="4"/>
      <c r="IG20" s="58">
        <v>1000</v>
      </c>
      <c r="JB20" s="4"/>
      <c r="JG20" s="58">
        <v>1000</v>
      </c>
      <c r="KB20" s="4"/>
      <c r="KG20" s="58">
        <v>1000</v>
      </c>
      <c r="LB20" s="4"/>
      <c r="LG20" s="58">
        <v>1000</v>
      </c>
      <c r="MB20" s="4"/>
      <c r="MG20" s="58">
        <v>1000</v>
      </c>
      <c r="NB20" s="4"/>
      <c r="NG20" s="58">
        <v>1000</v>
      </c>
      <c r="OB20" s="4"/>
      <c r="OG20" s="58">
        <v>1000</v>
      </c>
    </row>
    <row r="21" spans="1:397" ht="17" hidden="1" x14ac:dyDescent="0.2">
      <c r="A21" s="5"/>
      <c r="B21" s="36" t="s">
        <v>54</v>
      </c>
      <c r="C21" s="22"/>
      <c r="O21" s="11"/>
      <c r="P21" s="11"/>
      <c r="Q21" s="11"/>
      <c r="AI21" s="4"/>
      <c r="AM21" s="59">
        <v>1000</v>
      </c>
      <c r="BE21" s="4"/>
      <c r="BI21" s="59">
        <v>1000</v>
      </c>
      <c r="CA21" s="4"/>
      <c r="CE21" s="59">
        <v>1000</v>
      </c>
      <c r="DB21" s="4"/>
      <c r="DG21" s="59">
        <v>1000</v>
      </c>
      <c r="EB21" s="4"/>
      <c r="EG21" s="59">
        <v>1000</v>
      </c>
      <c r="FB21" s="4"/>
      <c r="FG21" s="59">
        <v>1000</v>
      </c>
      <c r="GB21" s="4"/>
      <c r="GG21" s="59">
        <v>1000</v>
      </c>
      <c r="HB21" s="4"/>
      <c r="HG21" s="59">
        <v>1000</v>
      </c>
      <c r="IB21" s="4"/>
      <c r="IG21" s="59">
        <v>1000</v>
      </c>
      <c r="JB21" s="4"/>
      <c r="JG21" s="59">
        <v>1000</v>
      </c>
      <c r="KB21" s="4"/>
      <c r="KG21" s="59">
        <v>1000</v>
      </c>
      <c r="LB21" s="4"/>
      <c r="LG21" s="59">
        <v>1000</v>
      </c>
      <c r="MB21" s="4"/>
      <c r="MG21" s="59">
        <v>1000</v>
      </c>
      <c r="NB21" s="4"/>
      <c r="NG21" s="59">
        <v>1000</v>
      </c>
      <c r="OB21" s="4"/>
      <c r="OG21" s="59">
        <v>1000</v>
      </c>
    </row>
    <row r="22" spans="1:397" ht="17" hidden="1" x14ac:dyDescent="0.2">
      <c r="A22" s="5"/>
      <c r="B22" s="44" t="s">
        <v>59</v>
      </c>
      <c r="C22" s="22"/>
      <c r="O22" s="11"/>
      <c r="P22" s="11"/>
      <c r="Q22" s="11"/>
      <c r="AI22" s="4"/>
      <c r="AM22" s="65">
        <v>1000</v>
      </c>
      <c r="BE22" s="4"/>
      <c r="BI22" s="65">
        <v>1000</v>
      </c>
      <c r="CA22" s="4"/>
      <c r="CE22" s="65">
        <v>1000</v>
      </c>
      <c r="DB22" s="4"/>
      <c r="DG22" s="65">
        <v>1000</v>
      </c>
      <c r="EB22" s="4"/>
      <c r="EG22" s="65">
        <v>1000</v>
      </c>
      <c r="FB22" s="4"/>
      <c r="FG22" s="65">
        <v>1000</v>
      </c>
      <c r="GB22" s="4"/>
      <c r="GG22" s="65">
        <v>1000</v>
      </c>
      <c r="HB22" s="4"/>
      <c r="HG22" s="65">
        <v>1000</v>
      </c>
      <c r="IB22" s="4"/>
      <c r="IG22" s="65">
        <v>1000</v>
      </c>
      <c r="JB22" s="4"/>
      <c r="JG22" s="65">
        <v>1000</v>
      </c>
      <c r="KB22" s="4"/>
      <c r="KG22" s="65">
        <v>1000</v>
      </c>
      <c r="LB22" s="4"/>
      <c r="LG22" s="65">
        <v>1000</v>
      </c>
      <c r="MB22" s="4"/>
      <c r="MG22" s="65">
        <v>1000</v>
      </c>
      <c r="NB22" s="4"/>
      <c r="NG22" s="65">
        <v>1000</v>
      </c>
      <c r="OB22" s="4"/>
      <c r="OG22" s="65">
        <v>1000</v>
      </c>
    </row>
    <row r="23" spans="1:397" ht="17" x14ac:dyDescent="0.2">
      <c r="A23" s="5"/>
      <c r="B23" s="42" t="s">
        <v>39</v>
      </c>
      <c r="C23" s="22"/>
      <c r="O23" s="11"/>
      <c r="P23" s="11"/>
      <c r="Q23" s="11"/>
      <c r="AI23" s="4"/>
      <c r="AM23" s="66">
        <v>46</v>
      </c>
      <c r="BE23" s="4"/>
      <c r="BI23" s="66">
        <v>46</v>
      </c>
      <c r="CA23" s="4"/>
      <c r="CE23" s="66">
        <v>46</v>
      </c>
      <c r="DB23" s="4"/>
      <c r="DG23" s="66">
        <v>46</v>
      </c>
      <c r="EB23" s="4"/>
      <c r="EG23" s="66">
        <v>46</v>
      </c>
      <c r="FB23" s="4"/>
      <c r="FG23" s="66">
        <v>46</v>
      </c>
      <c r="GB23" s="4"/>
      <c r="GG23" s="66">
        <v>46</v>
      </c>
      <c r="HB23" s="4"/>
      <c r="HG23" s="66">
        <v>46</v>
      </c>
      <c r="IB23" s="4"/>
      <c r="IG23" s="66">
        <v>46</v>
      </c>
      <c r="JB23" s="4"/>
      <c r="JG23" s="66">
        <v>46</v>
      </c>
      <c r="KB23" s="4"/>
      <c r="KG23" s="66">
        <v>46</v>
      </c>
      <c r="LB23" s="4"/>
      <c r="LG23" s="66">
        <v>46</v>
      </c>
      <c r="MB23" s="4"/>
      <c r="MG23" s="66">
        <v>46</v>
      </c>
      <c r="NB23" s="4"/>
      <c r="NG23" s="66">
        <v>46</v>
      </c>
      <c r="OB23" s="4"/>
      <c r="OG23" s="66">
        <v>46</v>
      </c>
    </row>
    <row r="24" spans="1:397" ht="17" hidden="1" x14ac:dyDescent="0.2">
      <c r="A24" s="5"/>
      <c r="B24" s="29" t="s">
        <v>40</v>
      </c>
      <c r="C24" s="22"/>
      <c r="O24" s="11"/>
      <c r="P24" s="11"/>
      <c r="Q24" s="11"/>
      <c r="AI24" s="4"/>
      <c r="AM24" s="62">
        <v>1000</v>
      </c>
      <c r="BE24" s="4"/>
      <c r="BI24" s="62">
        <v>1000</v>
      </c>
      <c r="CA24" s="4"/>
      <c r="CE24" s="62">
        <v>1000</v>
      </c>
      <c r="DB24" s="4"/>
      <c r="DG24" s="62">
        <v>1000</v>
      </c>
      <c r="EB24" s="4"/>
      <c r="EG24" s="62">
        <v>1000</v>
      </c>
      <c r="FB24" s="4"/>
      <c r="FG24" s="62">
        <v>1000</v>
      </c>
      <c r="GB24" s="4"/>
      <c r="GG24" s="62">
        <v>1000</v>
      </c>
      <c r="HB24" s="4"/>
      <c r="HG24" s="62">
        <v>1000</v>
      </c>
      <c r="IB24" s="4"/>
      <c r="IG24" s="62">
        <v>1000</v>
      </c>
      <c r="JB24" s="4"/>
      <c r="JG24" s="62">
        <v>1000</v>
      </c>
      <c r="KB24" s="4"/>
      <c r="KG24" s="62">
        <v>1000</v>
      </c>
      <c r="LB24" s="4"/>
      <c r="LG24" s="62">
        <v>1000</v>
      </c>
      <c r="MB24" s="4"/>
      <c r="MG24" s="62">
        <v>1000</v>
      </c>
      <c r="NB24" s="4"/>
      <c r="NG24" s="62">
        <v>1000</v>
      </c>
      <c r="OB24" s="4"/>
      <c r="OG24" s="62">
        <v>1000</v>
      </c>
    </row>
    <row r="25" spans="1:397" ht="17" hidden="1" x14ac:dyDescent="0.2">
      <c r="A25" s="5"/>
      <c r="B25" s="40" t="s">
        <v>53</v>
      </c>
      <c r="C25" s="22"/>
      <c r="O25" s="11"/>
      <c r="P25" s="11"/>
      <c r="Q25" s="11"/>
      <c r="AI25" s="4"/>
      <c r="AM25" s="63">
        <v>1000</v>
      </c>
      <c r="BE25" s="4"/>
      <c r="BI25" s="63">
        <v>1000</v>
      </c>
      <c r="CA25" s="4"/>
      <c r="CE25" s="63">
        <v>1000</v>
      </c>
      <c r="DB25" s="4"/>
      <c r="DG25" s="63">
        <v>1000</v>
      </c>
      <c r="EB25" s="4"/>
      <c r="EG25" s="63">
        <v>1000</v>
      </c>
      <c r="FB25" s="4"/>
      <c r="FG25" s="63">
        <v>1000</v>
      </c>
      <c r="GB25" s="4"/>
      <c r="GG25" s="63">
        <v>1000</v>
      </c>
      <c r="HB25" s="4"/>
      <c r="HG25" s="63">
        <v>1000</v>
      </c>
      <c r="IB25" s="4"/>
      <c r="IG25" s="63">
        <v>1000</v>
      </c>
      <c r="JB25" s="4"/>
      <c r="JG25" s="63">
        <v>1000</v>
      </c>
      <c r="KB25" s="4"/>
      <c r="KG25" s="63">
        <v>1000</v>
      </c>
      <c r="LB25" s="4"/>
      <c r="LG25" s="63">
        <v>1000</v>
      </c>
      <c r="MB25" s="4"/>
      <c r="MG25" s="63">
        <v>1000</v>
      </c>
      <c r="NB25" s="4"/>
      <c r="NG25" s="63">
        <v>1000</v>
      </c>
      <c r="OB25" s="4"/>
      <c r="OG25" s="63">
        <v>1000</v>
      </c>
    </row>
    <row r="26" spans="1:397" ht="17" hidden="1" x14ac:dyDescent="0.2">
      <c r="A26" s="5"/>
      <c r="B26" s="30" t="s">
        <v>26</v>
      </c>
      <c r="C26" s="22"/>
      <c r="O26" s="11"/>
      <c r="P26" s="11"/>
      <c r="Q26" s="11"/>
      <c r="AI26" s="4"/>
      <c r="AM26" s="64">
        <v>1000</v>
      </c>
      <c r="BE26" s="4"/>
      <c r="BI26" s="64">
        <v>1000</v>
      </c>
      <c r="CA26" s="4"/>
      <c r="CE26" s="64">
        <v>1000</v>
      </c>
      <c r="DB26" s="4"/>
      <c r="DG26" s="64">
        <v>1000</v>
      </c>
      <c r="EB26" s="4"/>
      <c r="EG26" s="64">
        <v>1000</v>
      </c>
      <c r="FB26" s="4"/>
      <c r="FG26" s="64">
        <v>1000</v>
      </c>
      <c r="GB26" s="4"/>
      <c r="GG26" s="64">
        <v>1000</v>
      </c>
      <c r="HB26" s="4"/>
      <c r="HG26" s="64">
        <v>1000</v>
      </c>
      <c r="IB26" s="4"/>
      <c r="IG26" s="64">
        <v>1000</v>
      </c>
      <c r="JB26" s="4"/>
      <c r="JG26" s="64">
        <v>1000</v>
      </c>
      <c r="KB26" s="4"/>
      <c r="KG26" s="64">
        <v>1000</v>
      </c>
      <c r="LB26" s="4"/>
      <c r="LG26" s="64">
        <v>1000</v>
      </c>
      <c r="MB26" s="4"/>
      <c r="MG26" s="64">
        <v>1000</v>
      </c>
      <c r="NB26" s="4"/>
      <c r="NG26" s="64">
        <v>1000</v>
      </c>
      <c r="OB26" s="4"/>
      <c r="OG26" s="64">
        <v>1000</v>
      </c>
    </row>
    <row r="27" spans="1:397" x14ac:dyDescent="0.2">
      <c r="B27" s="34" t="s">
        <v>45</v>
      </c>
      <c r="C27" s="2"/>
    </row>
    <row r="28" spans="1:397" x14ac:dyDescent="0.2">
      <c r="A28" s="5"/>
      <c r="B28" s="5"/>
      <c r="C28" s="22"/>
    </row>
    <row r="29" spans="1:397" x14ac:dyDescent="0.2">
      <c r="A29" s="5"/>
      <c r="B29" s="5"/>
      <c r="C29" s="22"/>
    </row>
    <row r="30" spans="1:397" x14ac:dyDescent="0.2">
      <c r="A30" s="5"/>
      <c r="B30" s="5"/>
      <c r="C30" s="22"/>
    </row>
    <row r="31" spans="1:397" x14ac:dyDescent="0.2">
      <c r="A31" s="5"/>
      <c r="B31" s="5"/>
      <c r="C31" s="5"/>
    </row>
  </sheetData>
  <sheetProtection sheet="1" formatCells="0" formatColumns="0" formatRows="0"/>
  <autoFilter ref="A1:PC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3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sortState xmlns:xlrd2="http://schemas.microsoft.com/office/spreadsheetml/2017/richdata2" ref="A6:PC16">
      <sortCondition descending="1" ref="F1:F17"/>
    </sortState>
  </autoFilter>
  <mergeCells count="110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H1:OG1"/>
    <mergeCell ref="OH1:PC1"/>
    <mergeCell ref="R2:U2"/>
    <mergeCell ref="V2:Y2"/>
    <mergeCell ref="Z2:AC2"/>
    <mergeCell ref="AD2:AG2"/>
    <mergeCell ref="EH1:FG1"/>
    <mergeCell ref="FH1:GG1"/>
    <mergeCell ref="GH1:HG1"/>
    <mergeCell ref="HH1:IG1"/>
    <mergeCell ref="IH1:JG1"/>
    <mergeCell ref="JH1:KG1"/>
    <mergeCell ref="R1:AM1"/>
    <mergeCell ref="AN1:BI1"/>
    <mergeCell ref="BJ1:CE1"/>
    <mergeCell ref="CF1:CG1"/>
    <mergeCell ref="CH1:DG1"/>
    <mergeCell ref="DH1:EG1"/>
    <mergeCell ref="AN2:AQ2"/>
    <mergeCell ref="AR2:AU2"/>
    <mergeCell ref="AV2:AY2"/>
    <mergeCell ref="AZ2:BC2"/>
    <mergeCell ref="BJ2:BM2"/>
    <mergeCell ref="KH1:LG1"/>
    <mergeCell ref="LH1:MG1"/>
    <mergeCell ref="MH1:NG1"/>
    <mergeCell ref="CP2:CS2"/>
    <mergeCell ref="CT2:CW2"/>
    <mergeCell ref="CX2:DA2"/>
    <mergeCell ref="DH2:DK2"/>
    <mergeCell ref="DL2:DO2"/>
    <mergeCell ref="DP2:DS2"/>
    <mergeCell ref="BN2:BQ2"/>
    <mergeCell ref="BR2:BU2"/>
    <mergeCell ref="BV2:BY2"/>
    <mergeCell ref="CH2:CK2"/>
    <mergeCell ref="CL2:CO2"/>
    <mergeCell ref="EX2:FA2"/>
    <mergeCell ref="FH2:FK2"/>
    <mergeCell ref="FL2:FO2"/>
    <mergeCell ref="FP2:FS2"/>
    <mergeCell ref="FT2:FW2"/>
    <mergeCell ref="FX2:GA2"/>
    <mergeCell ref="DT2:DW2"/>
    <mergeCell ref="DX2:EA2"/>
    <mergeCell ref="EH2:EK2"/>
    <mergeCell ref="EL2:EO2"/>
    <mergeCell ref="EP2:ES2"/>
    <mergeCell ref="IP2:IS2"/>
    <mergeCell ref="IT2:IW2"/>
    <mergeCell ref="IX2:JA2"/>
    <mergeCell ref="JH2:JK2"/>
    <mergeCell ref="JL2:JO2"/>
    <mergeCell ref="JP2:JS2"/>
    <mergeCell ref="ET2:EW2"/>
    <mergeCell ref="HL2:HO2"/>
    <mergeCell ref="HP2:HS2"/>
    <mergeCell ref="HT2:HW2"/>
    <mergeCell ref="HX2:IA2"/>
    <mergeCell ref="IH2:IK2"/>
    <mergeCell ref="IL2:IO2"/>
    <mergeCell ref="GH2:GK2"/>
    <mergeCell ref="GL2:GO2"/>
    <mergeCell ref="GP2:GS2"/>
    <mergeCell ref="GT2:GW2"/>
    <mergeCell ref="GX2:HA2"/>
    <mergeCell ref="HH2:HK2"/>
    <mergeCell ref="KX2:LA2"/>
    <mergeCell ref="LH2:LK2"/>
    <mergeCell ref="LL2:LO2"/>
    <mergeCell ref="LP2:LS2"/>
    <mergeCell ref="LT2:LW2"/>
    <mergeCell ref="LX2:MA2"/>
    <mergeCell ref="JT2:JW2"/>
    <mergeCell ref="JX2:KA2"/>
    <mergeCell ref="KH2:KK2"/>
    <mergeCell ref="KL2:KO2"/>
    <mergeCell ref="KP2:KS2"/>
    <mergeCell ref="KT2:KW2"/>
    <mergeCell ref="OP2:OS2"/>
    <mergeCell ref="OT2:OW2"/>
    <mergeCell ref="NL2:NO2"/>
    <mergeCell ref="NP2:NS2"/>
    <mergeCell ref="NT2:NW2"/>
    <mergeCell ref="NX2:OA2"/>
    <mergeCell ref="OH2:OK2"/>
    <mergeCell ref="OL2:OO2"/>
    <mergeCell ref="MH2:MK2"/>
    <mergeCell ref="ML2:MO2"/>
    <mergeCell ref="MP2:MS2"/>
    <mergeCell ref="MT2:MW2"/>
    <mergeCell ref="MX2:NA2"/>
    <mergeCell ref="NH2:NK2"/>
  </mergeCells>
  <conditionalFormatting sqref="A4:A1048576">
    <cfRule type="expression" dxfId="36" priority="1">
      <formula>AND(G4&lt;&gt;"",F4="")</formula>
    </cfRule>
    <cfRule type="expression" dxfId="35" priority="13" stopIfTrue="1">
      <formula>IF(A4&gt;4,1,0)</formula>
    </cfRule>
  </conditionalFormatting>
  <conditionalFormatting sqref="H1:H1048576">
    <cfRule type="containsText" dxfId="34" priority="5" operator="containsText" text="No DD">
      <formula>NOT(ISERROR(SEARCH("No DD",H1)))</formula>
    </cfRule>
    <cfRule type="containsText" dxfId="33" priority="6" operator="containsText" text="Merit">
      <formula>NOT(ISERROR(SEARCH("Merit",H1)))</formula>
    </cfRule>
    <cfRule type="containsText" dxfId="32" priority="7" operator="containsText" text="Excellence">
      <formula>NOT(ISERROR(SEARCH("Excellence",H1)))</formula>
    </cfRule>
    <cfRule type="containsText" dxfId="31" priority="8" operator="containsText" text="Worlds Team">
      <formula>NOT(ISERROR(SEARCH("Worlds Team",H1)))</formula>
    </cfRule>
    <cfRule type="containsText" dxfId="30" priority="9" operator="containsText" text="National Team">
      <formula>NOT(ISERROR(SEARCH("National Team",H1)))</formula>
    </cfRule>
  </conditionalFormatting>
  <conditionalFormatting sqref="OB1:OB1048576 DB1:DB1048576 EB1:EB1048576 FB1:FB1048576 GB1:GB1048576 HB1:HB1048576 IB1:IB1048576 JB1:JB1048576 KB1:KB1048576 LB1:LB1048576 MB1:MB1048576 NB1:NB1048576">
    <cfRule type="cellIs" dxfId="29" priority="67950" operator="between">
      <formula>DG$22</formula>
      <formula>1000</formula>
    </cfRule>
    <cfRule type="cellIs" dxfId="28" priority="67951" operator="between">
      <formula>DG$21</formula>
      <formula>DG$22</formula>
    </cfRule>
    <cfRule type="cellIs" dxfId="27" priority="67952" operator="between">
      <formula>DG$20</formula>
      <formula>DG$21</formula>
    </cfRule>
    <cfRule type="cellIs" dxfId="26" priority="67953" operator="between">
      <formula>DG$19</formula>
      <formula>DG$20</formula>
    </cfRule>
  </conditionalFormatting>
  <conditionalFormatting sqref="OC1:OC1048576 DC1:DC1048576 EC1:EC1048576 FC1:FC1048576 GC1:GC1048576 HC1:HC1048576 IC1:IC1048576 JC1:JC1048576 KC1:KC1048576 LC1:LC1048576 MC1:MC1048576 NC1:NC1048576">
    <cfRule type="cellIs" dxfId="25" priority="68130" operator="between">
      <formula>DG$26</formula>
      <formula>1000</formula>
    </cfRule>
    <cfRule type="cellIs" dxfId="24" priority="68131" operator="between">
      <formula>DG$25</formula>
      <formula>DG$26</formula>
    </cfRule>
    <cfRule type="cellIs" dxfId="23" priority="68132" operator="between">
      <formula>DG$24</formula>
      <formula>DG$25</formula>
    </cfRule>
    <cfRule type="cellIs" dxfId="22" priority="68133" operator="between">
      <formula>DG$23</formula>
      <formula>DG$24</formula>
    </cfRule>
  </conditionalFormatting>
  <conditionalFormatting sqref="AK1:AK1048576 BG1:BG1048576 CC1:CC1048576 DE1:DE1048576 EE1:EE1048576 FE1:FE1048576 GE1:GE1048576 HE1:HE1048576 IE1:IE1048576 JE1:JE1048576 KE1:KE1048576 LE1:LE1048576 ME1:ME1048576 NE1:NE1048576 OE1:OE1048576">
    <cfRule type="cellIs" dxfId="21" priority="68310" operator="between">
      <formula>AM$19</formula>
      <formula>AM$20</formula>
    </cfRule>
    <cfRule type="cellIs" dxfId="20" priority="68311" operator="between">
      <formula>AM$20</formula>
      <formula>AM$21</formula>
    </cfRule>
    <cfRule type="cellIs" dxfId="19" priority="68312" operator="between">
      <formula>AM$21</formula>
      <formula>AM$22</formula>
    </cfRule>
    <cfRule type="cellIs" dxfId="18" priority="68313" operator="between">
      <formula>AM$22</formula>
      <formula>1000</formula>
    </cfRule>
  </conditionalFormatting>
  <conditionalFormatting sqref="AL1:AL1048576 BH1:BH1048576 CD1:CD1048576 DF1:DF1048576 EF1:EF1048576 FF1:FF1048576 GF1:GF1048576 HF1:HF1048576 IF1:IF1048576 JF1:JF1048576 KF1:KF1048576 LF1:LF1048576 MF1:MF1048576 NF1:NF1048576 OF1:OF1048576">
    <cfRule type="cellIs" dxfId="17" priority="68490" operator="between">
      <formula>AM$23</formula>
      <formula>AM$24</formula>
    </cfRule>
    <cfRule type="cellIs" dxfId="16" priority="68491" operator="between">
      <formula>AM$24</formula>
      <formula>AM$25</formula>
    </cfRule>
    <cfRule type="cellIs" dxfId="15" priority="68492" operator="between">
      <formula>AM$25</formula>
      <formula>AM$26</formula>
    </cfRule>
    <cfRule type="cellIs" dxfId="14" priority="68493" operator="between">
      <formula>AM$26</formula>
      <formula>1000</formula>
    </cfRule>
  </conditionalFormatting>
  <conditionalFormatting sqref="R4:AM16">
    <cfRule type="expression" dxfId="13" priority="70470" stopIfTrue="1">
      <formula>IF($AH4&lt;&gt;"",1,0)</formula>
    </cfRule>
  </conditionalFormatting>
  <conditionalFormatting sqref="AI1:AI1048576 BE1:BE1048576 CA1:CA1048576">
    <cfRule type="cellIs" dxfId="12" priority="70475" operator="between">
      <formula>AM$22</formula>
      <formula>1000</formula>
    </cfRule>
    <cfRule type="cellIs" dxfId="11" priority="70476" operator="between">
      <formula>AM$21</formula>
      <formula>AM$22</formula>
    </cfRule>
    <cfRule type="cellIs" dxfId="10" priority="70477" operator="between">
      <formula>AM$20</formula>
      <formula>AM$21</formula>
    </cfRule>
    <cfRule type="cellIs" dxfId="9" priority="70478" operator="between">
      <formula>AM$19</formula>
      <formula>AM$20</formula>
    </cfRule>
  </conditionalFormatting>
  <conditionalFormatting sqref="AJ1:AJ1048576 BF1:BF1048576 CB1:CB1048576">
    <cfRule type="cellIs" dxfId="8" priority="70479" operator="between">
      <formula>AM$26</formula>
      <formula>1000</formula>
    </cfRule>
    <cfRule type="cellIs" dxfId="7" priority="70480" operator="between">
      <formula>AM$25</formula>
      <formula>AM$26</formula>
    </cfRule>
    <cfRule type="cellIs" dxfId="6" priority="70481" operator="between">
      <formula>AM$24</formula>
      <formula>AM$25</formula>
    </cfRule>
    <cfRule type="cellIs" dxfId="5" priority="70482" operator="between">
      <formula>AM$23</formula>
      <formula>AM$24</formula>
    </cfRule>
  </conditionalFormatting>
  <conditionalFormatting sqref="AN4:BI16">
    <cfRule type="expression" dxfId="4" priority="70488" stopIfTrue="1">
      <formula>IF($BD4&lt;&gt;"",1,0)</formula>
    </cfRule>
  </conditionalFormatting>
  <conditionalFormatting sqref="J1:J1048576 N1:N1048576 L1:L1048576">
    <cfRule type="expression" dxfId="3" priority="70503">
      <formula>IF(J1=$BJ$1,1,0)</formula>
    </cfRule>
    <cfRule type="expression" dxfId="2" priority="70504">
      <formula>IF(J1=$AN$1,1,0)</formula>
    </cfRule>
    <cfRule type="expression" dxfId="1" priority="70505">
      <formula>IF(J1=$R$1,1,0)</formula>
    </cfRule>
  </conditionalFormatting>
  <conditionalFormatting sqref="BJ4:CE16">
    <cfRule type="expression" dxfId="0" priority="70506" stopIfTrue="1">
      <formula>IF($BZ4&lt;&gt;"",1,0)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2025-11-23T03:53:14Z</dcterms:modified>
</cp:coreProperties>
</file>