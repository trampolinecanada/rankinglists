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6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Library/CloudStorage/Dropbox/Documents/Trampoline/Websites/Trampoline Canada Website/Ranking Lists/"/>
    </mc:Choice>
  </mc:AlternateContent>
  <xr:revisionPtr revIDLastSave="0" documentId="13_ncr:1_{AFFE9041-70C7-C745-B38A-756FC89CF95E}" xr6:coauthVersionLast="47" xr6:coauthVersionMax="47" xr10:uidLastSave="{00000000-0000-0000-0000-000000000000}"/>
  <bookViews>
    <workbookView xWindow="0" yWindow="500" windowWidth="33600" windowHeight="20500" tabRatio="500" xr2:uid="{00000000-000D-0000-FFFF-FFFF00000000}"/>
  </bookViews>
  <sheets>
    <sheet name="Info" sheetId="11" r:id="rId1"/>
    <sheet name="TRA-M" sheetId="4" r:id="rId2"/>
    <sheet name="TRA-W" sheetId="13" r:id="rId3"/>
    <sheet name="TUM-M" sheetId="14" r:id="rId4"/>
    <sheet name="TUM-W" sheetId="15" r:id="rId5"/>
    <sheet name="DMT-M" sheetId="16" r:id="rId6"/>
    <sheet name="DMT-W" sheetId="17" r:id="rId7"/>
  </sheets>
  <definedNames>
    <definedName name="_xlnm._FilterDatabase" localSheetId="5" hidden="1">'DMT-M'!$A$1:$PW$4</definedName>
    <definedName name="_xlnm._FilterDatabase" localSheetId="6" hidden="1">'DMT-W'!$A$1:$PW$5</definedName>
    <definedName name="_xlnm._FilterDatabase" localSheetId="1" hidden="1">'TRA-M'!$A$1:$OO$3</definedName>
    <definedName name="_xlnm._FilterDatabase" localSheetId="2" hidden="1">'TRA-W'!$A$1:$OO$3</definedName>
    <definedName name="_xlnm._FilterDatabase" localSheetId="3" hidden="1">'TUM-M'!$A$1:$PW$4</definedName>
    <definedName name="_xlnm._FilterDatabase" localSheetId="4" hidden="1">'TUM-W'!$A$1:$PW$4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S14" i="17" l="1"/>
  <c r="BS10" i="17"/>
  <c r="BR6" i="17"/>
  <c r="BQ6" i="17"/>
  <c r="BP6" i="17"/>
  <c r="BO6" i="17"/>
  <c r="BN6" i="17"/>
  <c r="BR5" i="17"/>
  <c r="BQ5" i="17"/>
  <c r="BP5" i="17"/>
  <c r="BO5" i="17"/>
  <c r="BN5" i="17"/>
  <c r="BR4" i="17"/>
  <c r="BQ4" i="17"/>
  <c r="BP4" i="17"/>
  <c r="BO4" i="17"/>
  <c r="BS4" i="17" s="1"/>
  <c r="BN4" i="17"/>
  <c r="AR14" i="17"/>
  <c r="AR10" i="17"/>
  <c r="AQ6" i="17"/>
  <c r="AP6" i="17"/>
  <c r="AO6" i="17"/>
  <c r="AN6" i="17"/>
  <c r="AM6" i="17"/>
  <c r="AQ5" i="17"/>
  <c r="AP5" i="17"/>
  <c r="AO5" i="17"/>
  <c r="AN5" i="17"/>
  <c r="AM5" i="17"/>
  <c r="AQ4" i="17"/>
  <c r="AP4" i="17"/>
  <c r="AO4" i="17"/>
  <c r="AN4" i="17"/>
  <c r="AM4" i="17"/>
  <c r="BS19" i="16"/>
  <c r="BS15" i="16"/>
  <c r="BR11" i="16"/>
  <c r="BQ11" i="16"/>
  <c r="BP11" i="16"/>
  <c r="BO11" i="16"/>
  <c r="BN11" i="16"/>
  <c r="BR10" i="16"/>
  <c r="BQ10" i="16"/>
  <c r="BP10" i="16"/>
  <c r="BO10" i="16"/>
  <c r="BS10" i="16" s="1"/>
  <c r="BN10" i="16"/>
  <c r="BR9" i="16"/>
  <c r="BQ9" i="16"/>
  <c r="BP9" i="16"/>
  <c r="BO9" i="16"/>
  <c r="BN9" i="16"/>
  <c r="BR7" i="16"/>
  <c r="BQ7" i="16"/>
  <c r="BP7" i="16"/>
  <c r="BO7" i="16"/>
  <c r="BN7" i="16"/>
  <c r="BR4" i="16"/>
  <c r="BQ4" i="16"/>
  <c r="BP4" i="16"/>
  <c r="BO4" i="16"/>
  <c r="BN4" i="16"/>
  <c r="BR6" i="16"/>
  <c r="BQ6" i="16"/>
  <c r="BP6" i="16"/>
  <c r="BO6" i="16"/>
  <c r="BN6" i="16"/>
  <c r="BR8" i="16"/>
  <c r="BQ8" i="16"/>
  <c r="BP8" i="16"/>
  <c r="BO8" i="16"/>
  <c r="BN8" i="16"/>
  <c r="BR5" i="16"/>
  <c r="BQ5" i="16"/>
  <c r="BP5" i="16"/>
  <c r="BO5" i="16"/>
  <c r="BN5" i="16"/>
  <c r="AR19" i="16"/>
  <c r="AR15" i="16"/>
  <c r="AQ11" i="16"/>
  <c r="AP11" i="16"/>
  <c r="AO11" i="16"/>
  <c r="AN11" i="16"/>
  <c r="AM11" i="16"/>
  <c r="AQ10" i="16"/>
  <c r="AP10" i="16"/>
  <c r="AO10" i="16"/>
  <c r="AN10" i="16"/>
  <c r="AM10" i="16"/>
  <c r="AQ9" i="16"/>
  <c r="AP9" i="16"/>
  <c r="AO9" i="16"/>
  <c r="AN9" i="16"/>
  <c r="AM9" i="16"/>
  <c r="AQ7" i="16"/>
  <c r="AP7" i="16"/>
  <c r="AO7" i="16"/>
  <c r="AN7" i="16"/>
  <c r="AM7" i="16"/>
  <c r="AQ4" i="16"/>
  <c r="AP4" i="16"/>
  <c r="AO4" i="16"/>
  <c r="AN4" i="16"/>
  <c r="AM4" i="16"/>
  <c r="AQ6" i="16"/>
  <c r="AP6" i="16"/>
  <c r="AO6" i="16"/>
  <c r="AN6" i="16"/>
  <c r="AM6" i="16"/>
  <c r="AQ8" i="16"/>
  <c r="AP8" i="16"/>
  <c r="AO8" i="16"/>
  <c r="AN8" i="16"/>
  <c r="AM8" i="16"/>
  <c r="AQ5" i="16"/>
  <c r="AP5" i="16"/>
  <c r="AO5" i="16"/>
  <c r="AN5" i="16"/>
  <c r="AM5" i="16"/>
  <c r="BR5" i="15"/>
  <c r="BQ5" i="15"/>
  <c r="BP5" i="15"/>
  <c r="BO5" i="15"/>
  <c r="BN5" i="15"/>
  <c r="BR4" i="15"/>
  <c r="BQ4" i="15"/>
  <c r="BP4" i="15"/>
  <c r="BO4" i="15"/>
  <c r="BS4" i="15" s="1"/>
  <c r="BN4" i="15"/>
  <c r="AQ5" i="15"/>
  <c r="AP5" i="15"/>
  <c r="AO5" i="15"/>
  <c r="AN5" i="15"/>
  <c r="AM5" i="15"/>
  <c r="AQ4" i="15"/>
  <c r="AP4" i="15"/>
  <c r="AO4" i="15"/>
  <c r="AN4" i="15"/>
  <c r="AM4" i="15"/>
  <c r="BS14" i="14"/>
  <c r="BS10" i="14"/>
  <c r="BR6" i="14"/>
  <c r="BQ6" i="14"/>
  <c r="BP6" i="14"/>
  <c r="BO6" i="14"/>
  <c r="BS6" i="14" s="1"/>
  <c r="BN6" i="14"/>
  <c r="BR4" i="14"/>
  <c r="BQ4" i="14"/>
  <c r="BP4" i="14"/>
  <c r="BO4" i="14"/>
  <c r="BN4" i="14"/>
  <c r="BR5" i="14"/>
  <c r="BQ5" i="14"/>
  <c r="BP5" i="14"/>
  <c r="BO5" i="14"/>
  <c r="BN5" i="14"/>
  <c r="AR14" i="14"/>
  <c r="AR10" i="14"/>
  <c r="AQ6" i="14"/>
  <c r="AP6" i="14"/>
  <c r="AO6" i="14"/>
  <c r="AN6" i="14"/>
  <c r="AM6" i="14"/>
  <c r="AQ4" i="14"/>
  <c r="AP4" i="14"/>
  <c r="AO4" i="14"/>
  <c r="AN4" i="14"/>
  <c r="AM4" i="14"/>
  <c r="AQ5" i="14"/>
  <c r="AP5" i="14"/>
  <c r="AO5" i="14"/>
  <c r="AN5" i="14"/>
  <c r="AM5" i="14"/>
  <c r="BZ11" i="13"/>
  <c r="BY11" i="13"/>
  <c r="BW11" i="13"/>
  <c r="BV11" i="13"/>
  <c r="BU11" i="13"/>
  <c r="BT11" i="13"/>
  <c r="BS11" i="13"/>
  <c r="BZ10" i="13"/>
  <c r="BY10" i="13"/>
  <c r="BW10" i="13"/>
  <c r="BV10" i="13"/>
  <c r="BU10" i="13"/>
  <c r="BT10" i="13"/>
  <c r="BS10" i="13"/>
  <c r="BZ9" i="13"/>
  <c r="BY9" i="13"/>
  <c r="BW9" i="13"/>
  <c r="BV9" i="13"/>
  <c r="BU9" i="13"/>
  <c r="BT9" i="13"/>
  <c r="BS9" i="13"/>
  <c r="BZ6" i="13"/>
  <c r="BY6" i="13"/>
  <c r="BW6" i="13"/>
  <c r="BV6" i="13"/>
  <c r="BU6" i="13"/>
  <c r="BT6" i="13"/>
  <c r="BS6" i="13"/>
  <c r="BZ8" i="13"/>
  <c r="BY8" i="13"/>
  <c r="BW8" i="13"/>
  <c r="BV8" i="13"/>
  <c r="BU8" i="13"/>
  <c r="BT8" i="13"/>
  <c r="BS8" i="13"/>
  <c r="BZ7" i="13"/>
  <c r="BY7" i="13"/>
  <c r="BW7" i="13"/>
  <c r="BV7" i="13"/>
  <c r="BU7" i="13"/>
  <c r="BT7" i="13"/>
  <c r="BS7" i="13"/>
  <c r="BZ5" i="13"/>
  <c r="BY5" i="13"/>
  <c r="BW5" i="13"/>
  <c r="BV5" i="13"/>
  <c r="BU5" i="13"/>
  <c r="BT5" i="13"/>
  <c r="BS5" i="13"/>
  <c r="BZ4" i="13"/>
  <c r="BY4" i="13"/>
  <c r="BW4" i="13"/>
  <c r="BV4" i="13"/>
  <c r="BU4" i="13"/>
  <c r="BT4" i="13"/>
  <c r="BS4" i="13"/>
  <c r="AV11" i="13"/>
  <c r="AU11" i="13"/>
  <c r="AS11" i="13"/>
  <c r="AR11" i="13"/>
  <c r="AQ11" i="13"/>
  <c r="AP11" i="13"/>
  <c r="AO11" i="13"/>
  <c r="AV10" i="13"/>
  <c r="AU10" i="13"/>
  <c r="AS10" i="13"/>
  <c r="AR10" i="13"/>
  <c r="AQ10" i="13"/>
  <c r="AP10" i="13"/>
  <c r="AO10" i="13"/>
  <c r="AV9" i="13"/>
  <c r="AU9" i="13"/>
  <c r="AS9" i="13"/>
  <c r="AR9" i="13"/>
  <c r="AQ9" i="13"/>
  <c r="AP9" i="13"/>
  <c r="AO9" i="13"/>
  <c r="AV6" i="13"/>
  <c r="AU6" i="13"/>
  <c r="AS6" i="13"/>
  <c r="AR6" i="13"/>
  <c r="AQ6" i="13"/>
  <c r="AP6" i="13"/>
  <c r="AO6" i="13"/>
  <c r="AV8" i="13"/>
  <c r="AU8" i="13"/>
  <c r="AS8" i="13"/>
  <c r="AR8" i="13"/>
  <c r="AQ8" i="13"/>
  <c r="AP8" i="13"/>
  <c r="AO8" i="13"/>
  <c r="AV7" i="13"/>
  <c r="AU7" i="13"/>
  <c r="AS7" i="13"/>
  <c r="AR7" i="13"/>
  <c r="AQ7" i="13"/>
  <c r="AP7" i="13"/>
  <c r="AO7" i="13"/>
  <c r="AV5" i="13"/>
  <c r="AU5" i="13"/>
  <c r="AS5" i="13"/>
  <c r="AR5" i="13"/>
  <c r="AQ5" i="13"/>
  <c r="AP5" i="13"/>
  <c r="AO5" i="13"/>
  <c r="AV4" i="13"/>
  <c r="AU4" i="13"/>
  <c r="AS4" i="13"/>
  <c r="AR4" i="13"/>
  <c r="AQ4" i="13"/>
  <c r="AP4" i="13"/>
  <c r="AO4" i="13"/>
  <c r="BZ8" i="4"/>
  <c r="BY8" i="4"/>
  <c r="BW8" i="4"/>
  <c r="BV8" i="4"/>
  <c r="BU8" i="4"/>
  <c r="BT8" i="4"/>
  <c r="BS8" i="4"/>
  <c r="BZ7" i="4"/>
  <c r="BY7" i="4"/>
  <c r="BW7" i="4"/>
  <c r="BV7" i="4"/>
  <c r="BU7" i="4"/>
  <c r="BT7" i="4"/>
  <c r="BS7" i="4"/>
  <c r="BZ6" i="4"/>
  <c r="BY6" i="4"/>
  <c r="BW6" i="4"/>
  <c r="BV6" i="4"/>
  <c r="BU6" i="4"/>
  <c r="BT6" i="4"/>
  <c r="BS6" i="4"/>
  <c r="BZ5" i="4"/>
  <c r="BY5" i="4"/>
  <c r="BW5" i="4"/>
  <c r="BV5" i="4"/>
  <c r="BU5" i="4"/>
  <c r="BT5" i="4"/>
  <c r="BS5" i="4"/>
  <c r="BZ4" i="4"/>
  <c r="BY4" i="4"/>
  <c r="BW4" i="4"/>
  <c r="BV4" i="4"/>
  <c r="BU4" i="4"/>
  <c r="BT4" i="4"/>
  <c r="BS4" i="4"/>
  <c r="AV8" i="4"/>
  <c r="AU8" i="4"/>
  <c r="AS8" i="4"/>
  <c r="AR8" i="4"/>
  <c r="AQ8" i="4"/>
  <c r="AP8" i="4"/>
  <c r="AO8" i="4"/>
  <c r="AV7" i="4"/>
  <c r="AU7" i="4"/>
  <c r="AS7" i="4"/>
  <c r="AR7" i="4"/>
  <c r="AQ7" i="4"/>
  <c r="AP7" i="4"/>
  <c r="AO7" i="4"/>
  <c r="AV6" i="4"/>
  <c r="AU6" i="4"/>
  <c r="AS6" i="4"/>
  <c r="AR6" i="4"/>
  <c r="AQ6" i="4"/>
  <c r="AP6" i="4"/>
  <c r="AO6" i="4"/>
  <c r="AV5" i="4"/>
  <c r="AU5" i="4"/>
  <c r="AS5" i="4"/>
  <c r="AR5" i="4"/>
  <c r="AQ5" i="4"/>
  <c r="AP5" i="4"/>
  <c r="AO5" i="4"/>
  <c r="AV4" i="4"/>
  <c r="AU4" i="4"/>
  <c r="AS4" i="4"/>
  <c r="AR4" i="4"/>
  <c r="AQ4" i="4"/>
  <c r="AP4" i="4"/>
  <c r="AO4" i="4"/>
  <c r="CW11" i="13"/>
  <c r="CX11" i="13"/>
  <c r="CY11" i="13"/>
  <c r="CZ11" i="13"/>
  <c r="DA11" i="13"/>
  <c r="DC11" i="13"/>
  <c r="DD11" i="13"/>
  <c r="DY11" i="13"/>
  <c r="DZ11" i="13"/>
  <c r="EA11" i="13"/>
  <c r="EC11" i="13"/>
  <c r="ED11" i="13"/>
  <c r="EU11" i="13"/>
  <c r="EV11" i="13"/>
  <c r="EW11" i="13"/>
  <c r="EY11" i="13"/>
  <c r="EZ11" i="13"/>
  <c r="FQ11" i="13"/>
  <c r="FR11" i="13"/>
  <c r="FS11" i="13"/>
  <c r="FU11" i="13"/>
  <c r="FV11" i="13"/>
  <c r="GM11" i="13"/>
  <c r="GN11" i="13"/>
  <c r="GO11" i="13"/>
  <c r="GQ11" i="13"/>
  <c r="GR11" i="13"/>
  <c r="HI11" i="13"/>
  <c r="HJ11" i="13"/>
  <c r="HK11" i="13"/>
  <c r="HM11" i="13"/>
  <c r="HN11" i="13"/>
  <c r="IE11" i="13"/>
  <c r="IF11" i="13"/>
  <c r="IG11" i="13"/>
  <c r="II11" i="13"/>
  <c r="IJ11" i="13"/>
  <c r="JA11" i="13"/>
  <c r="JB11" i="13"/>
  <c r="JC11" i="13"/>
  <c r="JE11" i="13"/>
  <c r="JF11" i="13"/>
  <c r="JW11" i="13"/>
  <c r="JX11" i="13"/>
  <c r="JY11" i="13"/>
  <c r="KA11" i="13"/>
  <c r="KB11" i="13"/>
  <c r="KS11" i="13"/>
  <c r="KT11" i="13"/>
  <c r="KU11" i="13"/>
  <c r="KW11" i="13"/>
  <c r="KX11" i="13"/>
  <c r="LO11" i="13"/>
  <c r="LP11" i="13"/>
  <c r="LQ11" i="13"/>
  <c r="LS11" i="13"/>
  <c r="LT11" i="13"/>
  <c r="MK11" i="13"/>
  <c r="ML11" i="13"/>
  <c r="MM11" i="13"/>
  <c r="MO11" i="13"/>
  <c r="MP11" i="13"/>
  <c r="NG11" i="13"/>
  <c r="NH11" i="13"/>
  <c r="NI11" i="13"/>
  <c r="NK11" i="13"/>
  <c r="NL11" i="13"/>
  <c r="NN11" i="13"/>
  <c r="NO11" i="13"/>
  <c r="NP11" i="13"/>
  <c r="NQ11" i="13"/>
  <c r="NR11" i="13"/>
  <c r="NS11" i="13"/>
  <c r="NT11" i="13"/>
  <c r="NU11" i="13"/>
  <c r="OJ11" i="13" s="1"/>
  <c r="NV11" i="13"/>
  <c r="NW11" i="13"/>
  <c r="NX11" i="13"/>
  <c r="NY11" i="13"/>
  <c r="NZ11" i="13"/>
  <c r="OL11" i="13" s="1"/>
  <c r="OA11" i="13"/>
  <c r="OB11" i="13"/>
  <c r="OC11" i="13"/>
  <c r="OD11" i="13"/>
  <c r="OE11" i="13"/>
  <c r="OO11" i="13" s="1"/>
  <c r="OF11" i="13"/>
  <c r="OG11" i="13"/>
  <c r="CW8" i="4"/>
  <c r="CX8" i="4"/>
  <c r="CY8" i="4"/>
  <c r="CZ8" i="4"/>
  <c r="DA8" i="4"/>
  <c r="DC8" i="4"/>
  <c r="DD8" i="4"/>
  <c r="DY8" i="4"/>
  <c r="DZ8" i="4"/>
  <c r="EA8" i="4"/>
  <c r="EC8" i="4"/>
  <c r="ED8" i="4"/>
  <c r="EU8" i="4"/>
  <c r="EV8" i="4"/>
  <c r="EW8" i="4"/>
  <c r="EY8" i="4"/>
  <c r="EZ8" i="4"/>
  <c r="FQ8" i="4"/>
  <c r="FR8" i="4"/>
  <c r="FS8" i="4"/>
  <c r="FU8" i="4"/>
  <c r="FV8" i="4"/>
  <c r="GM8" i="4"/>
  <c r="GN8" i="4"/>
  <c r="GO8" i="4"/>
  <c r="GQ8" i="4"/>
  <c r="GR8" i="4"/>
  <c r="HI8" i="4"/>
  <c r="HJ8" i="4"/>
  <c r="HK8" i="4"/>
  <c r="HM8" i="4"/>
  <c r="HN8" i="4"/>
  <c r="IE8" i="4"/>
  <c r="IF8" i="4"/>
  <c r="IG8" i="4"/>
  <c r="II8" i="4"/>
  <c r="IJ8" i="4"/>
  <c r="JA8" i="4"/>
  <c r="JB8" i="4"/>
  <c r="JC8" i="4"/>
  <c r="JE8" i="4"/>
  <c r="JF8" i="4"/>
  <c r="JW8" i="4"/>
  <c r="JX8" i="4"/>
  <c r="JY8" i="4"/>
  <c r="KA8" i="4"/>
  <c r="KB8" i="4"/>
  <c r="KS8" i="4"/>
  <c r="KT8" i="4"/>
  <c r="KU8" i="4"/>
  <c r="KW8" i="4"/>
  <c r="KX8" i="4"/>
  <c r="LO8" i="4"/>
  <c r="LP8" i="4"/>
  <c r="LQ8" i="4"/>
  <c r="LS8" i="4"/>
  <c r="LT8" i="4"/>
  <c r="MK8" i="4"/>
  <c r="ML8" i="4"/>
  <c r="MM8" i="4"/>
  <c r="MO8" i="4"/>
  <c r="MP8" i="4"/>
  <c r="NG8" i="4"/>
  <c r="NH8" i="4"/>
  <c r="NI8" i="4"/>
  <c r="NK8" i="4"/>
  <c r="NL8" i="4"/>
  <c r="NN8" i="4"/>
  <c r="NO8" i="4"/>
  <c r="NP8" i="4"/>
  <c r="NQ8" i="4"/>
  <c r="NR8" i="4"/>
  <c r="NS8" i="4"/>
  <c r="NT8" i="4"/>
  <c r="NU8" i="4"/>
  <c r="OJ8" i="4" s="1"/>
  <c r="NV8" i="4"/>
  <c r="NW8" i="4"/>
  <c r="NX8" i="4"/>
  <c r="NY8" i="4"/>
  <c r="NZ8" i="4"/>
  <c r="OA8" i="4"/>
  <c r="OB8" i="4"/>
  <c r="OC8" i="4"/>
  <c r="OD8" i="4"/>
  <c r="OE8" i="4"/>
  <c r="OO8" i="4" s="1"/>
  <c r="OF8" i="4"/>
  <c r="OG8" i="4"/>
  <c r="OL8" i="4"/>
  <c r="NV14" i="17"/>
  <c r="NV10" i="17"/>
  <c r="NU6" i="17"/>
  <c r="NT6" i="17"/>
  <c r="NS6" i="17"/>
  <c r="NR6" i="17"/>
  <c r="NQ6" i="17"/>
  <c r="NU5" i="17"/>
  <c r="NT5" i="17"/>
  <c r="NS5" i="17"/>
  <c r="NR5" i="17"/>
  <c r="NQ5" i="17"/>
  <c r="NU4" i="17"/>
  <c r="NT4" i="17"/>
  <c r="NS4" i="17"/>
  <c r="NR4" i="17"/>
  <c r="NQ4" i="17"/>
  <c r="MV14" i="17"/>
  <c r="MV10" i="17"/>
  <c r="MU6" i="17"/>
  <c r="MT6" i="17"/>
  <c r="MS6" i="17"/>
  <c r="MR6" i="17"/>
  <c r="MV6" i="17" s="1"/>
  <c r="MQ6" i="17"/>
  <c r="MU5" i="17"/>
  <c r="MT5" i="17"/>
  <c r="MS5" i="17"/>
  <c r="MR5" i="17"/>
  <c r="MQ5" i="17"/>
  <c r="MU4" i="17"/>
  <c r="MT4" i="17"/>
  <c r="MS4" i="17"/>
  <c r="MR4" i="17"/>
  <c r="MQ4" i="17"/>
  <c r="LV14" i="17"/>
  <c r="LV10" i="17"/>
  <c r="LU6" i="17"/>
  <c r="LT6" i="17"/>
  <c r="LS6" i="17"/>
  <c r="LR6" i="17"/>
  <c r="LQ6" i="17"/>
  <c r="LU5" i="17"/>
  <c r="LT5" i="17"/>
  <c r="LS5" i="17"/>
  <c r="LR5" i="17"/>
  <c r="LQ5" i="17"/>
  <c r="LU4" i="17"/>
  <c r="LT4" i="17"/>
  <c r="LS4" i="17"/>
  <c r="LR4" i="17"/>
  <c r="LQ4" i="17"/>
  <c r="KV14" i="17"/>
  <c r="KV10" i="17"/>
  <c r="KU6" i="17"/>
  <c r="KT6" i="17"/>
  <c r="KS6" i="17"/>
  <c r="KR6" i="17"/>
  <c r="KQ6" i="17"/>
  <c r="KU5" i="17"/>
  <c r="KT5" i="17"/>
  <c r="KS5" i="17"/>
  <c r="KR5" i="17"/>
  <c r="KV5" i="17" s="1"/>
  <c r="KQ5" i="17"/>
  <c r="KU4" i="17"/>
  <c r="KT4" i="17"/>
  <c r="KS4" i="17"/>
  <c r="KR4" i="17"/>
  <c r="KQ4" i="17"/>
  <c r="JV14" i="17"/>
  <c r="JV10" i="17"/>
  <c r="JU6" i="17"/>
  <c r="JT6" i="17"/>
  <c r="JS6" i="17"/>
  <c r="JR6" i="17"/>
  <c r="JQ6" i="17"/>
  <c r="JU5" i="17"/>
  <c r="JT5" i="17"/>
  <c r="JS5" i="17"/>
  <c r="JR5" i="17"/>
  <c r="JV5" i="17" s="1"/>
  <c r="JQ5" i="17"/>
  <c r="JU4" i="17"/>
  <c r="JT4" i="17"/>
  <c r="JS4" i="17"/>
  <c r="JR4" i="17"/>
  <c r="JQ4" i="17"/>
  <c r="IV14" i="17"/>
  <c r="IV10" i="17"/>
  <c r="IU6" i="17"/>
  <c r="IT6" i="17"/>
  <c r="IS6" i="17"/>
  <c r="IR6" i="17"/>
  <c r="IQ6" i="17"/>
  <c r="IU5" i="17"/>
  <c r="IT5" i="17"/>
  <c r="IS5" i="17"/>
  <c r="IR5" i="17"/>
  <c r="IQ5" i="17"/>
  <c r="IU4" i="17"/>
  <c r="IT4" i="17"/>
  <c r="IS4" i="17"/>
  <c r="IR4" i="17"/>
  <c r="IQ4" i="17"/>
  <c r="HV14" i="17"/>
  <c r="HV10" i="17"/>
  <c r="HU6" i="17"/>
  <c r="HT6" i="17"/>
  <c r="HS6" i="17"/>
  <c r="HR6" i="17"/>
  <c r="HQ6" i="17"/>
  <c r="HU5" i="17"/>
  <c r="HT5" i="17"/>
  <c r="HS5" i="17"/>
  <c r="HR5" i="17"/>
  <c r="HQ5" i="17"/>
  <c r="HU4" i="17"/>
  <c r="HT4" i="17"/>
  <c r="HS4" i="17"/>
  <c r="HR4" i="17"/>
  <c r="HQ4" i="17"/>
  <c r="GV14" i="17"/>
  <c r="GV10" i="17"/>
  <c r="GU6" i="17"/>
  <c r="GT6" i="17"/>
  <c r="GS6" i="17"/>
  <c r="GR6" i="17"/>
  <c r="GQ6" i="17"/>
  <c r="GU5" i="17"/>
  <c r="GT5" i="17"/>
  <c r="GS5" i="17"/>
  <c r="GR5" i="17"/>
  <c r="GQ5" i="17"/>
  <c r="GU4" i="17"/>
  <c r="GT4" i="17"/>
  <c r="GS4" i="17"/>
  <c r="GR4" i="17"/>
  <c r="GV4" i="17" s="1"/>
  <c r="GQ4" i="17"/>
  <c r="FV14" i="17"/>
  <c r="FV10" i="17"/>
  <c r="FU6" i="17"/>
  <c r="FT6" i="17"/>
  <c r="FS6" i="17"/>
  <c r="FR6" i="17"/>
  <c r="FQ6" i="17"/>
  <c r="FU5" i="17"/>
  <c r="FT5" i="17"/>
  <c r="FS5" i="17"/>
  <c r="FR5" i="17"/>
  <c r="FQ5" i="17"/>
  <c r="FU4" i="17"/>
  <c r="FT4" i="17"/>
  <c r="FS4" i="17"/>
  <c r="FR4" i="17"/>
  <c r="FQ4" i="17"/>
  <c r="EV14" i="17"/>
  <c r="EV10" i="17"/>
  <c r="EU6" i="17"/>
  <c r="ET6" i="17"/>
  <c r="ES6" i="17"/>
  <c r="ER6" i="17"/>
  <c r="EV6" i="17" s="1"/>
  <c r="EQ6" i="17"/>
  <c r="EU5" i="17"/>
  <c r="ET5" i="17"/>
  <c r="ES5" i="17"/>
  <c r="ER5" i="17"/>
  <c r="EQ5" i="17"/>
  <c r="EU4" i="17"/>
  <c r="ET4" i="17"/>
  <c r="ES4" i="17"/>
  <c r="ER4" i="17"/>
  <c r="EQ4" i="17"/>
  <c r="DV14" i="17"/>
  <c r="DV10" i="17"/>
  <c r="DU6" i="17"/>
  <c r="DT6" i="17"/>
  <c r="DS6" i="17"/>
  <c r="DR6" i="17"/>
  <c r="DQ6" i="17"/>
  <c r="DU5" i="17"/>
  <c r="DT5" i="17"/>
  <c r="DS5" i="17"/>
  <c r="DR5" i="17"/>
  <c r="DQ5" i="17"/>
  <c r="DU4" i="17"/>
  <c r="DT4" i="17"/>
  <c r="DS4" i="17"/>
  <c r="DR4" i="17"/>
  <c r="DQ4" i="17"/>
  <c r="NV19" i="16"/>
  <c r="NV15" i="16"/>
  <c r="NU11" i="16"/>
  <c r="NT11" i="16"/>
  <c r="NS11" i="16"/>
  <c r="NR11" i="16"/>
  <c r="NQ11" i="16"/>
  <c r="NU10" i="16"/>
  <c r="NT10" i="16"/>
  <c r="NS10" i="16"/>
  <c r="NR10" i="16"/>
  <c r="NQ10" i="16"/>
  <c r="NU9" i="16"/>
  <c r="NT9" i="16"/>
  <c r="NS9" i="16"/>
  <c r="NR9" i="16"/>
  <c r="NQ9" i="16"/>
  <c r="NU7" i="16"/>
  <c r="NT7" i="16"/>
  <c r="NS7" i="16"/>
  <c r="NR7" i="16"/>
  <c r="NQ7" i="16"/>
  <c r="NU4" i="16"/>
  <c r="NT4" i="16"/>
  <c r="NS4" i="16"/>
  <c r="NR4" i="16"/>
  <c r="NQ4" i="16"/>
  <c r="NU6" i="16"/>
  <c r="NT6" i="16"/>
  <c r="NS6" i="16"/>
  <c r="NR6" i="16"/>
  <c r="NQ6" i="16"/>
  <c r="NU8" i="16"/>
  <c r="NT8" i="16"/>
  <c r="NS8" i="16"/>
  <c r="NR8" i="16"/>
  <c r="NQ8" i="16"/>
  <c r="NU5" i="16"/>
  <c r="NT5" i="16"/>
  <c r="NS5" i="16"/>
  <c r="NR5" i="16"/>
  <c r="NQ5" i="16"/>
  <c r="MV19" i="16"/>
  <c r="MV15" i="16"/>
  <c r="MU11" i="16"/>
  <c r="MT11" i="16"/>
  <c r="MS11" i="16"/>
  <c r="MR11" i="16"/>
  <c r="MQ11" i="16"/>
  <c r="MU10" i="16"/>
  <c r="MT10" i="16"/>
  <c r="MS10" i="16"/>
  <c r="MR10" i="16"/>
  <c r="MQ10" i="16"/>
  <c r="MU9" i="16"/>
  <c r="MT9" i="16"/>
  <c r="MS9" i="16"/>
  <c r="MR9" i="16"/>
  <c r="MQ9" i="16"/>
  <c r="MU7" i="16"/>
  <c r="MT7" i="16"/>
  <c r="MS7" i="16"/>
  <c r="MR7" i="16"/>
  <c r="MQ7" i="16"/>
  <c r="MU4" i="16"/>
  <c r="MT4" i="16"/>
  <c r="MS4" i="16"/>
  <c r="MR4" i="16"/>
  <c r="MQ4" i="16"/>
  <c r="MU6" i="16"/>
  <c r="MT6" i="16"/>
  <c r="MS6" i="16"/>
  <c r="MR6" i="16"/>
  <c r="MQ6" i="16"/>
  <c r="MU8" i="16"/>
  <c r="MT8" i="16"/>
  <c r="MS8" i="16"/>
  <c r="MR8" i="16"/>
  <c r="MQ8" i="16"/>
  <c r="MU5" i="16"/>
  <c r="MT5" i="16"/>
  <c r="MS5" i="16"/>
  <c r="MR5" i="16"/>
  <c r="MQ5" i="16"/>
  <c r="LV19" i="16"/>
  <c r="LV15" i="16"/>
  <c r="LU11" i="16"/>
  <c r="LT11" i="16"/>
  <c r="LS11" i="16"/>
  <c r="LR11" i="16"/>
  <c r="LQ11" i="16"/>
  <c r="LU10" i="16"/>
  <c r="LT10" i="16"/>
  <c r="LS10" i="16"/>
  <c r="LR10" i="16"/>
  <c r="LQ10" i="16"/>
  <c r="LU9" i="16"/>
  <c r="LT9" i="16"/>
  <c r="LS9" i="16"/>
  <c r="LR9" i="16"/>
  <c r="LQ9" i="16"/>
  <c r="LU7" i="16"/>
  <c r="LT7" i="16"/>
  <c r="LS7" i="16"/>
  <c r="LR7" i="16"/>
  <c r="LQ7" i="16"/>
  <c r="LU4" i="16"/>
  <c r="LT4" i="16"/>
  <c r="LS4" i="16"/>
  <c r="LR4" i="16"/>
  <c r="LQ4" i="16"/>
  <c r="LU6" i="16"/>
  <c r="LT6" i="16"/>
  <c r="LS6" i="16"/>
  <c r="LR6" i="16"/>
  <c r="LQ6" i="16"/>
  <c r="LU8" i="16"/>
  <c r="LT8" i="16"/>
  <c r="LS8" i="16"/>
  <c r="LR8" i="16"/>
  <c r="LQ8" i="16"/>
  <c r="LU5" i="16"/>
  <c r="LT5" i="16"/>
  <c r="LS5" i="16"/>
  <c r="LR5" i="16"/>
  <c r="LQ5" i="16"/>
  <c r="KV19" i="16"/>
  <c r="KV15" i="16"/>
  <c r="KU11" i="16"/>
  <c r="KT11" i="16"/>
  <c r="KS11" i="16"/>
  <c r="KR11" i="16"/>
  <c r="KQ11" i="16"/>
  <c r="KU10" i="16"/>
  <c r="KT10" i="16"/>
  <c r="KS10" i="16"/>
  <c r="KR10" i="16"/>
  <c r="KQ10" i="16"/>
  <c r="KU9" i="16"/>
  <c r="KT9" i="16"/>
  <c r="KS9" i="16"/>
  <c r="KR9" i="16"/>
  <c r="KQ9" i="16"/>
  <c r="KU7" i="16"/>
  <c r="KT7" i="16"/>
  <c r="KS7" i="16"/>
  <c r="KR7" i="16"/>
  <c r="KQ7" i="16"/>
  <c r="KU4" i="16"/>
  <c r="KT4" i="16"/>
  <c r="KS4" i="16"/>
  <c r="KR4" i="16"/>
  <c r="KQ4" i="16"/>
  <c r="KU6" i="16"/>
  <c r="KT6" i="16"/>
  <c r="KS6" i="16"/>
  <c r="KR6" i="16"/>
  <c r="KQ6" i="16"/>
  <c r="KU8" i="16"/>
  <c r="KT8" i="16"/>
  <c r="KS8" i="16"/>
  <c r="KR8" i="16"/>
  <c r="KQ8" i="16"/>
  <c r="KU5" i="16"/>
  <c r="KT5" i="16"/>
  <c r="KS5" i="16"/>
  <c r="KR5" i="16"/>
  <c r="KQ5" i="16"/>
  <c r="JV19" i="16"/>
  <c r="JV15" i="16"/>
  <c r="JU11" i="16"/>
  <c r="JT11" i="16"/>
  <c r="JS11" i="16"/>
  <c r="JR11" i="16"/>
  <c r="JQ11" i="16"/>
  <c r="JU10" i="16"/>
  <c r="JT10" i="16"/>
  <c r="JS10" i="16"/>
  <c r="JR10" i="16"/>
  <c r="JQ10" i="16"/>
  <c r="JU9" i="16"/>
  <c r="JT9" i="16"/>
  <c r="JS9" i="16"/>
  <c r="JR9" i="16"/>
  <c r="JQ9" i="16"/>
  <c r="JU7" i="16"/>
  <c r="JT7" i="16"/>
  <c r="JS7" i="16"/>
  <c r="JR7" i="16"/>
  <c r="JQ7" i="16"/>
  <c r="JU4" i="16"/>
  <c r="JT4" i="16"/>
  <c r="JS4" i="16"/>
  <c r="JR4" i="16"/>
  <c r="JQ4" i="16"/>
  <c r="JU6" i="16"/>
  <c r="JT6" i="16"/>
  <c r="JS6" i="16"/>
  <c r="JR6" i="16"/>
  <c r="JQ6" i="16"/>
  <c r="JU8" i="16"/>
  <c r="JT8" i="16"/>
  <c r="JS8" i="16"/>
  <c r="JR8" i="16"/>
  <c r="JQ8" i="16"/>
  <c r="JU5" i="16"/>
  <c r="JT5" i="16"/>
  <c r="JS5" i="16"/>
  <c r="JR5" i="16"/>
  <c r="JQ5" i="16"/>
  <c r="IV19" i="16"/>
  <c r="IV15" i="16"/>
  <c r="IU11" i="16"/>
  <c r="IT11" i="16"/>
  <c r="IS11" i="16"/>
  <c r="IR11" i="16"/>
  <c r="IQ11" i="16"/>
  <c r="IU10" i="16"/>
  <c r="IT10" i="16"/>
  <c r="IS10" i="16"/>
  <c r="IR10" i="16"/>
  <c r="IQ10" i="16"/>
  <c r="IU9" i="16"/>
  <c r="IT9" i="16"/>
  <c r="IS9" i="16"/>
  <c r="IR9" i="16"/>
  <c r="IQ9" i="16"/>
  <c r="IU7" i="16"/>
  <c r="IT7" i="16"/>
  <c r="IS7" i="16"/>
  <c r="IR7" i="16"/>
  <c r="IQ7" i="16"/>
  <c r="IU4" i="16"/>
  <c r="IT4" i="16"/>
  <c r="IS4" i="16"/>
  <c r="IR4" i="16"/>
  <c r="IQ4" i="16"/>
  <c r="IU6" i="16"/>
  <c r="IT6" i="16"/>
  <c r="IS6" i="16"/>
  <c r="IR6" i="16"/>
  <c r="IQ6" i="16"/>
  <c r="IU8" i="16"/>
  <c r="IT8" i="16"/>
  <c r="IS8" i="16"/>
  <c r="IR8" i="16"/>
  <c r="IQ8" i="16"/>
  <c r="IU5" i="16"/>
  <c r="IT5" i="16"/>
  <c r="IS5" i="16"/>
  <c r="IR5" i="16"/>
  <c r="IQ5" i="16"/>
  <c r="HV19" i="16"/>
  <c r="HV15" i="16"/>
  <c r="HU11" i="16"/>
  <c r="HT11" i="16"/>
  <c r="HS11" i="16"/>
  <c r="HR11" i="16"/>
  <c r="HQ11" i="16"/>
  <c r="HU10" i="16"/>
  <c r="HT10" i="16"/>
  <c r="HS10" i="16"/>
  <c r="HR10" i="16"/>
  <c r="HQ10" i="16"/>
  <c r="HU9" i="16"/>
  <c r="HT9" i="16"/>
  <c r="HS9" i="16"/>
  <c r="HR9" i="16"/>
  <c r="HQ9" i="16"/>
  <c r="HU7" i="16"/>
  <c r="HT7" i="16"/>
  <c r="HS7" i="16"/>
  <c r="HR7" i="16"/>
  <c r="HQ7" i="16"/>
  <c r="HU4" i="16"/>
  <c r="HT4" i="16"/>
  <c r="HS4" i="16"/>
  <c r="HR4" i="16"/>
  <c r="HQ4" i="16"/>
  <c r="HU6" i="16"/>
  <c r="HT6" i="16"/>
  <c r="HS6" i="16"/>
  <c r="HR6" i="16"/>
  <c r="HQ6" i="16"/>
  <c r="HU8" i="16"/>
  <c r="HT8" i="16"/>
  <c r="HS8" i="16"/>
  <c r="HR8" i="16"/>
  <c r="HQ8" i="16"/>
  <c r="HU5" i="16"/>
  <c r="HT5" i="16"/>
  <c r="HS5" i="16"/>
  <c r="HR5" i="16"/>
  <c r="HQ5" i="16"/>
  <c r="GV19" i="16"/>
  <c r="GV15" i="16"/>
  <c r="GU11" i="16"/>
  <c r="GT11" i="16"/>
  <c r="GS11" i="16"/>
  <c r="GR11" i="16"/>
  <c r="GQ11" i="16"/>
  <c r="GU10" i="16"/>
  <c r="GT10" i="16"/>
  <c r="GS10" i="16"/>
  <c r="GR10" i="16"/>
  <c r="GQ10" i="16"/>
  <c r="GU9" i="16"/>
  <c r="GT9" i="16"/>
  <c r="GS9" i="16"/>
  <c r="GR9" i="16"/>
  <c r="GQ9" i="16"/>
  <c r="GU7" i="16"/>
  <c r="GT7" i="16"/>
  <c r="GS7" i="16"/>
  <c r="GR7" i="16"/>
  <c r="GQ7" i="16"/>
  <c r="GU4" i="16"/>
  <c r="GT4" i="16"/>
  <c r="GS4" i="16"/>
  <c r="GR4" i="16"/>
  <c r="GQ4" i="16"/>
  <c r="GU6" i="16"/>
  <c r="GT6" i="16"/>
  <c r="GS6" i="16"/>
  <c r="GR6" i="16"/>
  <c r="GQ6" i="16"/>
  <c r="GU8" i="16"/>
  <c r="GT8" i="16"/>
  <c r="GS8" i="16"/>
  <c r="GR8" i="16"/>
  <c r="GQ8" i="16"/>
  <c r="GU5" i="16"/>
  <c r="GT5" i="16"/>
  <c r="GS5" i="16"/>
  <c r="GR5" i="16"/>
  <c r="GQ5" i="16"/>
  <c r="FV19" i="16"/>
  <c r="FV15" i="16"/>
  <c r="FU11" i="16"/>
  <c r="FT11" i="16"/>
  <c r="FS11" i="16"/>
  <c r="FR11" i="16"/>
  <c r="FQ11" i="16"/>
  <c r="FU10" i="16"/>
  <c r="FT10" i="16"/>
  <c r="FS10" i="16"/>
  <c r="FR10" i="16"/>
  <c r="FQ10" i="16"/>
  <c r="FU9" i="16"/>
  <c r="FT9" i="16"/>
  <c r="FS9" i="16"/>
  <c r="FR9" i="16"/>
  <c r="FQ9" i="16"/>
  <c r="FU7" i="16"/>
  <c r="FT7" i="16"/>
  <c r="FS7" i="16"/>
  <c r="FR7" i="16"/>
  <c r="FQ7" i="16"/>
  <c r="FU4" i="16"/>
  <c r="FT4" i="16"/>
  <c r="FS4" i="16"/>
  <c r="FR4" i="16"/>
  <c r="FQ4" i="16"/>
  <c r="FU6" i="16"/>
  <c r="FT6" i="16"/>
  <c r="FS6" i="16"/>
  <c r="FR6" i="16"/>
  <c r="FQ6" i="16"/>
  <c r="FU8" i="16"/>
  <c r="FT8" i="16"/>
  <c r="FS8" i="16"/>
  <c r="FR8" i="16"/>
  <c r="FQ8" i="16"/>
  <c r="FU5" i="16"/>
  <c r="FT5" i="16"/>
  <c r="FS5" i="16"/>
  <c r="FR5" i="16"/>
  <c r="FQ5" i="16"/>
  <c r="EV19" i="16"/>
  <c r="EV15" i="16"/>
  <c r="EU11" i="16"/>
  <c r="ET11" i="16"/>
  <c r="ES11" i="16"/>
  <c r="ER11" i="16"/>
  <c r="EQ11" i="16"/>
  <c r="EU10" i="16"/>
  <c r="ET10" i="16"/>
  <c r="ES10" i="16"/>
  <c r="ER10" i="16"/>
  <c r="EQ10" i="16"/>
  <c r="EU9" i="16"/>
  <c r="ET9" i="16"/>
  <c r="ES9" i="16"/>
  <c r="ER9" i="16"/>
  <c r="EQ9" i="16"/>
  <c r="EU7" i="16"/>
  <c r="ET7" i="16"/>
  <c r="ES7" i="16"/>
  <c r="ER7" i="16"/>
  <c r="EQ7" i="16"/>
  <c r="EU4" i="16"/>
  <c r="ET4" i="16"/>
  <c r="ES4" i="16"/>
  <c r="ER4" i="16"/>
  <c r="EQ4" i="16"/>
  <c r="EU6" i="16"/>
  <c r="ET6" i="16"/>
  <c r="ES6" i="16"/>
  <c r="ER6" i="16"/>
  <c r="EQ6" i="16"/>
  <c r="EU8" i="16"/>
  <c r="ET8" i="16"/>
  <c r="ES8" i="16"/>
  <c r="ER8" i="16"/>
  <c r="EQ8" i="16"/>
  <c r="EU5" i="16"/>
  <c r="ET5" i="16"/>
  <c r="ES5" i="16"/>
  <c r="ER5" i="16"/>
  <c r="EQ5" i="16"/>
  <c r="DV19" i="16"/>
  <c r="DV15" i="16"/>
  <c r="DU11" i="16"/>
  <c r="DT11" i="16"/>
  <c r="DS11" i="16"/>
  <c r="DR11" i="16"/>
  <c r="DQ11" i="16"/>
  <c r="DU10" i="16"/>
  <c r="DT10" i="16"/>
  <c r="DS10" i="16"/>
  <c r="DR10" i="16"/>
  <c r="DQ10" i="16"/>
  <c r="DU9" i="16"/>
  <c r="DT9" i="16"/>
  <c r="DS9" i="16"/>
  <c r="DR9" i="16"/>
  <c r="DQ9" i="16"/>
  <c r="DU7" i="16"/>
  <c r="DT7" i="16"/>
  <c r="DS7" i="16"/>
  <c r="DR7" i="16"/>
  <c r="DQ7" i="16"/>
  <c r="DU4" i="16"/>
  <c r="DT4" i="16"/>
  <c r="DS4" i="16"/>
  <c r="DR4" i="16"/>
  <c r="DQ4" i="16"/>
  <c r="DU6" i="16"/>
  <c r="DT6" i="16"/>
  <c r="DS6" i="16"/>
  <c r="DR6" i="16"/>
  <c r="DQ6" i="16"/>
  <c r="DU8" i="16"/>
  <c r="DT8" i="16"/>
  <c r="DS8" i="16"/>
  <c r="DR8" i="16"/>
  <c r="DQ8" i="16"/>
  <c r="DU5" i="16"/>
  <c r="DT5" i="16"/>
  <c r="DS5" i="16"/>
  <c r="DR5" i="16"/>
  <c r="DQ5" i="16"/>
  <c r="NU5" i="15"/>
  <c r="NT5" i="15"/>
  <c r="NS5" i="15"/>
  <c r="NR5" i="15"/>
  <c r="NQ5" i="15"/>
  <c r="NU4" i="15"/>
  <c r="NT4" i="15"/>
  <c r="NS4" i="15"/>
  <c r="NR4" i="15"/>
  <c r="NQ4" i="15"/>
  <c r="MU5" i="15"/>
  <c r="MT5" i="15"/>
  <c r="MS5" i="15"/>
  <c r="MR5" i="15"/>
  <c r="MV5" i="15" s="1"/>
  <c r="MQ5" i="15"/>
  <c r="MU4" i="15"/>
  <c r="MT4" i="15"/>
  <c r="MS4" i="15"/>
  <c r="MR4" i="15"/>
  <c r="MQ4" i="15"/>
  <c r="LU5" i="15"/>
  <c r="LT5" i="15"/>
  <c r="LS5" i="15"/>
  <c r="LR5" i="15"/>
  <c r="LQ5" i="15"/>
  <c r="LU4" i="15"/>
  <c r="LT4" i="15"/>
  <c r="LS4" i="15"/>
  <c r="LR4" i="15"/>
  <c r="LV4" i="15" s="1"/>
  <c r="LQ4" i="15"/>
  <c r="KU5" i="15"/>
  <c r="KT5" i="15"/>
  <c r="KS5" i="15"/>
  <c r="KR5" i="15"/>
  <c r="KQ5" i="15"/>
  <c r="KU4" i="15"/>
  <c r="KT4" i="15"/>
  <c r="KS4" i="15"/>
  <c r="KR4" i="15"/>
  <c r="KQ4" i="15"/>
  <c r="JU5" i="15"/>
  <c r="JT5" i="15"/>
  <c r="JS5" i="15"/>
  <c r="JR5" i="15"/>
  <c r="JQ5" i="15"/>
  <c r="JU4" i="15"/>
  <c r="JT4" i="15"/>
  <c r="JS4" i="15"/>
  <c r="JR4" i="15"/>
  <c r="JQ4" i="15"/>
  <c r="IU5" i="15"/>
  <c r="IT5" i="15"/>
  <c r="IS5" i="15"/>
  <c r="IR5" i="15"/>
  <c r="IV5" i="15" s="1"/>
  <c r="IQ5" i="15"/>
  <c r="IU4" i="15"/>
  <c r="IT4" i="15"/>
  <c r="IS4" i="15"/>
  <c r="IR4" i="15"/>
  <c r="IQ4" i="15"/>
  <c r="HU5" i="15"/>
  <c r="HT5" i="15"/>
  <c r="HS5" i="15"/>
  <c r="HR5" i="15"/>
  <c r="HQ5" i="15"/>
  <c r="HU4" i="15"/>
  <c r="HT4" i="15"/>
  <c r="HS4" i="15"/>
  <c r="HR4" i="15"/>
  <c r="HV4" i="15" s="1"/>
  <c r="HQ4" i="15"/>
  <c r="GU5" i="15"/>
  <c r="GT5" i="15"/>
  <c r="GS5" i="15"/>
  <c r="GR5" i="15"/>
  <c r="GQ5" i="15"/>
  <c r="GU4" i="15"/>
  <c r="GT4" i="15"/>
  <c r="GS4" i="15"/>
  <c r="GR4" i="15"/>
  <c r="GQ4" i="15"/>
  <c r="FU5" i="15"/>
  <c r="FT5" i="15"/>
  <c r="FS5" i="15"/>
  <c r="FR5" i="15"/>
  <c r="FQ5" i="15"/>
  <c r="FU4" i="15"/>
  <c r="FT4" i="15"/>
  <c r="FS4" i="15"/>
  <c r="FR4" i="15"/>
  <c r="FQ4" i="15"/>
  <c r="EU5" i="15"/>
  <c r="ET5" i="15"/>
  <c r="ES5" i="15"/>
  <c r="ER5" i="15"/>
  <c r="EV5" i="15" s="1"/>
  <c r="EQ5" i="15"/>
  <c r="EU4" i="15"/>
  <c r="ET4" i="15"/>
  <c r="ES4" i="15"/>
  <c r="ER4" i="15"/>
  <c r="EQ4" i="15"/>
  <c r="DU5" i="15"/>
  <c r="DT5" i="15"/>
  <c r="DS5" i="15"/>
  <c r="DR5" i="15"/>
  <c r="DQ5" i="15"/>
  <c r="DU4" i="15"/>
  <c r="DT4" i="15"/>
  <c r="DS4" i="15"/>
  <c r="DR4" i="15"/>
  <c r="DV4" i="15" s="1"/>
  <c r="DQ4" i="15"/>
  <c r="MP10" i="13"/>
  <c r="MO10" i="13"/>
  <c r="MM10" i="13"/>
  <c r="ML10" i="13"/>
  <c r="MK10" i="13"/>
  <c r="MP9" i="13"/>
  <c r="MO9" i="13"/>
  <c r="MM9" i="13"/>
  <c r="ML9" i="13"/>
  <c r="MK9" i="13"/>
  <c r="MP6" i="13"/>
  <c r="MO6" i="13"/>
  <c r="MM6" i="13"/>
  <c r="ML6" i="13"/>
  <c r="MK6" i="13"/>
  <c r="MP8" i="13"/>
  <c r="MO8" i="13"/>
  <c r="MM8" i="13"/>
  <c r="ML8" i="13"/>
  <c r="MK8" i="13"/>
  <c r="MP7" i="13"/>
  <c r="MO7" i="13"/>
  <c r="MM7" i="13"/>
  <c r="ML7" i="13"/>
  <c r="MK7" i="13"/>
  <c r="MP5" i="13"/>
  <c r="MO5" i="13"/>
  <c r="MM5" i="13"/>
  <c r="ML5" i="13"/>
  <c r="MK5" i="13"/>
  <c r="MP4" i="13"/>
  <c r="MO4" i="13"/>
  <c r="MM4" i="13"/>
  <c r="ML4" i="13"/>
  <c r="MK4" i="13"/>
  <c r="LT10" i="13"/>
  <c r="LS10" i="13"/>
  <c r="LQ10" i="13"/>
  <c r="LP10" i="13"/>
  <c r="LO10" i="13"/>
  <c r="LT9" i="13"/>
  <c r="LS9" i="13"/>
  <c r="LQ9" i="13"/>
  <c r="LP9" i="13"/>
  <c r="LO9" i="13"/>
  <c r="LT6" i="13"/>
  <c r="LS6" i="13"/>
  <c r="LQ6" i="13"/>
  <c r="LP6" i="13"/>
  <c r="LO6" i="13"/>
  <c r="LT8" i="13"/>
  <c r="LS8" i="13"/>
  <c r="LQ8" i="13"/>
  <c r="LP8" i="13"/>
  <c r="LO8" i="13"/>
  <c r="LT7" i="13"/>
  <c r="LS7" i="13"/>
  <c r="LQ7" i="13"/>
  <c r="LP7" i="13"/>
  <c r="LO7" i="13"/>
  <c r="LT5" i="13"/>
  <c r="LS5" i="13"/>
  <c r="LQ5" i="13"/>
  <c r="LP5" i="13"/>
  <c r="LO5" i="13"/>
  <c r="LT4" i="13"/>
  <c r="LS4" i="13"/>
  <c r="LQ4" i="13"/>
  <c r="LP4" i="13"/>
  <c r="LO4" i="13"/>
  <c r="KX10" i="13"/>
  <c r="KW10" i="13"/>
  <c r="KU10" i="13"/>
  <c r="KT10" i="13"/>
  <c r="KS10" i="13"/>
  <c r="KX9" i="13"/>
  <c r="KW9" i="13"/>
  <c r="KU9" i="13"/>
  <c r="KT9" i="13"/>
  <c r="KS9" i="13"/>
  <c r="KX6" i="13"/>
  <c r="KW6" i="13"/>
  <c r="KU6" i="13"/>
  <c r="KT6" i="13"/>
  <c r="KS6" i="13"/>
  <c r="KX8" i="13"/>
  <c r="KW8" i="13"/>
  <c r="KU8" i="13"/>
  <c r="KT8" i="13"/>
  <c r="KS8" i="13"/>
  <c r="KX7" i="13"/>
  <c r="KW7" i="13"/>
  <c r="KU7" i="13"/>
  <c r="KT7" i="13"/>
  <c r="KS7" i="13"/>
  <c r="KX5" i="13"/>
  <c r="KW5" i="13"/>
  <c r="KU5" i="13"/>
  <c r="KT5" i="13"/>
  <c r="KS5" i="13"/>
  <c r="KX4" i="13"/>
  <c r="KW4" i="13"/>
  <c r="KU4" i="13"/>
  <c r="KT4" i="13"/>
  <c r="KS4" i="13"/>
  <c r="KB10" i="13"/>
  <c r="KA10" i="13"/>
  <c r="JY10" i="13"/>
  <c r="JX10" i="13"/>
  <c r="JW10" i="13"/>
  <c r="KB9" i="13"/>
  <c r="KA9" i="13"/>
  <c r="JY9" i="13"/>
  <c r="JX9" i="13"/>
  <c r="JW9" i="13"/>
  <c r="KB6" i="13"/>
  <c r="KA6" i="13"/>
  <c r="JY6" i="13"/>
  <c r="JX6" i="13"/>
  <c r="JW6" i="13"/>
  <c r="KB8" i="13"/>
  <c r="KA8" i="13"/>
  <c r="JY8" i="13"/>
  <c r="JX8" i="13"/>
  <c r="JW8" i="13"/>
  <c r="KB7" i="13"/>
  <c r="KA7" i="13"/>
  <c r="JY7" i="13"/>
  <c r="JX7" i="13"/>
  <c r="JW7" i="13"/>
  <c r="KB5" i="13"/>
  <c r="KA5" i="13"/>
  <c r="JY5" i="13"/>
  <c r="JX5" i="13"/>
  <c r="JW5" i="13"/>
  <c r="KB4" i="13"/>
  <c r="KA4" i="13"/>
  <c r="JY4" i="13"/>
  <c r="JX4" i="13"/>
  <c r="JW4" i="13"/>
  <c r="JF10" i="13"/>
  <c r="JE10" i="13"/>
  <c r="JC10" i="13"/>
  <c r="JB10" i="13"/>
  <c r="JA10" i="13"/>
  <c r="JF9" i="13"/>
  <c r="JE9" i="13"/>
  <c r="JC9" i="13"/>
  <c r="JB9" i="13"/>
  <c r="JA9" i="13"/>
  <c r="JF6" i="13"/>
  <c r="JE6" i="13"/>
  <c r="JC6" i="13"/>
  <c r="JB6" i="13"/>
  <c r="JA6" i="13"/>
  <c r="JF8" i="13"/>
  <c r="JE8" i="13"/>
  <c r="JC8" i="13"/>
  <c r="JB8" i="13"/>
  <c r="JA8" i="13"/>
  <c r="JF7" i="13"/>
  <c r="JE7" i="13"/>
  <c r="JC7" i="13"/>
  <c r="JB7" i="13"/>
  <c r="JA7" i="13"/>
  <c r="JF5" i="13"/>
  <c r="JE5" i="13"/>
  <c r="JC5" i="13"/>
  <c r="JB5" i="13"/>
  <c r="JA5" i="13"/>
  <c r="JF4" i="13"/>
  <c r="JE4" i="13"/>
  <c r="JC4" i="13"/>
  <c r="JB4" i="13"/>
  <c r="JA4" i="13"/>
  <c r="IJ10" i="13"/>
  <c r="II10" i="13"/>
  <c r="IG10" i="13"/>
  <c r="IF10" i="13"/>
  <c r="IE10" i="13"/>
  <c r="IJ9" i="13"/>
  <c r="II9" i="13"/>
  <c r="IG9" i="13"/>
  <c r="IF9" i="13"/>
  <c r="IE9" i="13"/>
  <c r="IJ6" i="13"/>
  <c r="II6" i="13"/>
  <c r="IG6" i="13"/>
  <c r="IF6" i="13"/>
  <c r="IE6" i="13"/>
  <c r="IJ8" i="13"/>
  <c r="II8" i="13"/>
  <c r="IG8" i="13"/>
  <c r="IF8" i="13"/>
  <c r="IE8" i="13"/>
  <c r="IJ7" i="13"/>
  <c r="II7" i="13"/>
  <c r="IG7" i="13"/>
  <c r="IF7" i="13"/>
  <c r="IE7" i="13"/>
  <c r="IJ5" i="13"/>
  <c r="II5" i="13"/>
  <c r="IG5" i="13"/>
  <c r="IF5" i="13"/>
  <c r="IE5" i="13"/>
  <c r="IJ4" i="13"/>
  <c r="II4" i="13"/>
  <c r="IG4" i="13"/>
  <c r="IF4" i="13"/>
  <c r="IE4" i="13"/>
  <c r="HN10" i="13"/>
  <c r="HM10" i="13"/>
  <c r="HK10" i="13"/>
  <c r="HJ10" i="13"/>
  <c r="HI10" i="13"/>
  <c r="HN9" i="13"/>
  <c r="HM9" i="13"/>
  <c r="HK9" i="13"/>
  <c r="HJ9" i="13"/>
  <c r="HI9" i="13"/>
  <c r="HN6" i="13"/>
  <c r="HM6" i="13"/>
  <c r="HK6" i="13"/>
  <c r="HJ6" i="13"/>
  <c r="HI6" i="13"/>
  <c r="HN8" i="13"/>
  <c r="HM8" i="13"/>
  <c r="HK8" i="13"/>
  <c r="HJ8" i="13"/>
  <c r="HI8" i="13"/>
  <c r="HN7" i="13"/>
  <c r="HM7" i="13"/>
  <c r="HK7" i="13"/>
  <c r="HJ7" i="13"/>
  <c r="HI7" i="13"/>
  <c r="HN5" i="13"/>
  <c r="HM5" i="13"/>
  <c r="HK5" i="13"/>
  <c r="HJ5" i="13"/>
  <c r="HI5" i="13"/>
  <c r="HN4" i="13"/>
  <c r="HM4" i="13"/>
  <c r="HK4" i="13"/>
  <c r="HJ4" i="13"/>
  <c r="HI4" i="13"/>
  <c r="GR10" i="13"/>
  <c r="GQ10" i="13"/>
  <c r="GO10" i="13"/>
  <c r="GN10" i="13"/>
  <c r="GM10" i="13"/>
  <c r="GR9" i="13"/>
  <c r="GQ9" i="13"/>
  <c r="GO9" i="13"/>
  <c r="GN9" i="13"/>
  <c r="GM9" i="13"/>
  <c r="GR6" i="13"/>
  <c r="GQ6" i="13"/>
  <c r="GO6" i="13"/>
  <c r="GN6" i="13"/>
  <c r="GM6" i="13"/>
  <c r="GR8" i="13"/>
  <c r="GQ8" i="13"/>
  <c r="GO8" i="13"/>
  <c r="GN8" i="13"/>
  <c r="GM8" i="13"/>
  <c r="GR7" i="13"/>
  <c r="GQ7" i="13"/>
  <c r="GO7" i="13"/>
  <c r="GN7" i="13"/>
  <c r="GM7" i="13"/>
  <c r="GR5" i="13"/>
  <c r="GQ5" i="13"/>
  <c r="GO5" i="13"/>
  <c r="GN5" i="13"/>
  <c r="GM5" i="13"/>
  <c r="GR4" i="13"/>
  <c r="GQ4" i="13"/>
  <c r="GO4" i="13"/>
  <c r="GN4" i="13"/>
  <c r="GM4" i="13"/>
  <c r="FV10" i="13"/>
  <c r="FU10" i="13"/>
  <c r="FS10" i="13"/>
  <c r="FR10" i="13"/>
  <c r="FQ10" i="13"/>
  <c r="FV9" i="13"/>
  <c r="FU9" i="13"/>
  <c r="FS9" i="13"/>
  <c r="FR9" i="13"/>
  <c r="FQ9" i="13"/>
  <c r="FV6" i="13"/>
  <c r="FU6" i="13"/>
  <c r="FS6" i="13"/>
  <c r="FR6" i="13"/>
  <c r="FQ6" i="13"/>
  <c r="FV8" i="13"/>
  <c r="FU8" i="13"/>
  <c r="FS8" i="13"/>
  <c r="FR8" i="13"/>
  <c r="FQ8" i="13"/>
  <c r="FV7" i="13"/>
  <c r="FU7" i="13"/>
  <c r="FS7" i="13"/>
  <c r="FR7" i="13"/>
  <c r="FQ7" i="13"/>
  <c r="FV5" i="13"/>
  <c r="FU5" i="13"/>
  <c r="FS5" i="13"/>
  <c r="FR5" i="13"/>
  <c r="FQ5" i="13"/>
  <c r="FV4" i="13"/>
  <c r="FU4" i="13"/>
  <c r="FS4" i="13"/>
  <c r="FR4" i="13"/>
  <c r="FQ4" i="13"/>
  <c r="EZ10" i="13"/>
  <c r="EY10" i="13"/>
  <c r="EW10" i="13"/>
  <c r="EV10" i="13"/>
  <c r="EU10" i="13"/>
  <c r="EZ9" i="13"/>
  <c r="EY9" i="13"/>
  <c r="EW9" i="13"/>
  <c r="EV9" i="13"/>
  <c r="EU9" i="13"/>
  <c r="EZ6" i="13"/>
  <c r="EY6" i="13"/>
  <c r="EW6" i="13"/>
  <c r="EV6" i="13"/>
  <c r="EU6" i="13"/>
  <c r="EZ8" i="13"/>
  <c r="EY8" i="13"/>
  <c r="EW8" i="13"/>
  <c r="EV8" i="13"/>
  <c r="EU8" i="13"/>
  <c r="EZ7" i="13"/>
  <c r="EY7" i="13"/>
  <c r="EW7" i="13"/>
  <c r="EV7" i="13"/>
  <c r="EU7" i="13"/>
  <c r="EZ5" i="13"/>
  <c r="EY5" i="13"/>
  <c r="EW5" i="13"/>
  <c r="EV5" i="13"/>
  <c r="EU5" i="13"/>
  <c r="EZ4" i="13"/>
  <c r="EY4" i="13"/>
  <c r="EW4" i="13"/>
  <c r="EV4" i="13"/>
  <c r="EU4" i="13"/>
  <c r="ED10" i="13"/>
  <c r="EC10" i="13"/>
  <c r="EA10" i="13"/>
  <c r="DZ10" i="13"/>
  <c r="DY10" i="13"/>
  <c r="ED9" i="13"/>
  <c r="EC9" i="13"/>
  <c r="EA9" i="13"/>
  <c r="DZ9" i="13"/>
  <c r="DY9" i="13"/>
  <c r="ED6" i="13"/>
  <c r="EC6" i="13"/>
  <c r="EA6" i="13"/>
  <c r="DZ6" i="13"/>
  <c r="DY6" i="13"/>
  <c r="ED8" i="13"/>
  <c r="EC8" i="13"/>
  <c r="EA8" i="13"/>
  <c r="DZ8" i="13"/>
  <c r="DY8" i="13"/>
  <c r="ED7" i="13"/>
  <c r="EC7" i="13"/>
  <c r="EA7" i="13"/>
  <c r="DZ7" i="13"/>
  <c r="DY7" i="13"/>
  <c r="ED5" i="13"/>
  <c r="EC5" i="13"/>
  <c r="EA5" i="13"/>
  <c r="DZ5" i="13"/>
  <c r="DY5" i="13"/>
  <c r="ED4" i="13"/>
  <c r="EC4" i="13"/>
  <c r="EA4" i="13"/>
  <c r="DZ4" i="13"/>
  <c r="DY4" i="13"/>
  <c r="CO11" i="16"/>
  <c r="CP11" i="16"/>
  <c r="CQ11" i="16"/>
  <c r="CR11" i="16"/>
  <c r="CS11" i="16"/>
  <c r="OQ11" i="16"/>
  <c r="OR11" i="16"/>
  <c r="OV11" i="16" s="1"/>
  <c r="OS11" i="16"/>
  <c r="OT11" i="16"/>
  <c r="OU11" i="16"/>
  <c r="OW11" i="16"/>
  <c r="OX11" i="16"/>
  <c r="OY11" i="16"/>
  <c r="OZ11" i="16"/>
  <c r="PA11" i="16"/>
  <c r="PB11" i="16"/>
  <c r="PC11" i="16"/>
  <c r="PD11" i="16"/>
  <c r="PE11" i="16"/>
  <c r="PF11" i="16"/>
  <c r="PG11" i="16"/>
  <c r="PH11" i="16"/>
  <c r="PI11" i="16"/>
  <c r="PJ11" i="16"/>
  <c r="PK11" i="16"/>
  <c r="PL11" i="16"/>
  <c r="PM11" i="16"/>
  <c r="PN11" i="16"/>
  <c r="PO11" i="16"/>
  <c r="PP11" i="16"/>
  <c r="CO9" i="16"/>
  <c r="CP9" i="16"/>
  <c r="CQ9" i="16"/>
  <c r="CR9" i="16"/>
  <c r="CS9" i="16"/>
  <c r="OQ9" i="16"/>
  <c r="OR9" i="16"/>
  <c r="OS9" i="16"/>
  <c r="OT9" i="16"/>
  <c r="OU9" i="16"/>
  <c r="OW9" i="16"/>
  <c r="OX9" i="16"/>
  <c r="OY9" i="16"/>
  <c r="OZ9" i="16"/>
  <c r="PA9" i="16"/>
  <c r="PB9" i="16"/>
  <c r="PC9" i="16"/>
  <c r="PD9" i="16"/>
  <c r="PE9" i="16"/>
  <c r="PF9" i="16"/>
  <c r="PG9" i="16"/>
  <c r="PH9" i="16"/>
  <c r="PI9" i="16"/>
  <c r="PJ9" i="16"/>
  <c r="PK9" i="16"/>
  <c r="PL9" i="16"/>
  <c r="PM9" i="16"/>
  <c r="PN9" i="16"/>
  <c r="PO9" i="16"/>
  <c r="PP9" i="16"/>
  <c r="CO6" i="16"/>
  <c r="CP6" i="16"/>
  <c r="CQ6" i="16"/>
  <c r="CR6" i="16"/>
  <c r="CS6" i="16"/>
  <c r="OQ6" i="16"/>
  <c r="OR6" i="16"/>
  <c r="OS6" i="16"/>
  <c r="OT6" i="16"/>
  <c r="OU6" i="16"/>
  <c r="OW6" i="16"/>
  <c r="OX6" i="16"/>
  <c r="OY6" i="16"/>
  <c r="OZ6" i="16"/>
  <c r="PA6" i="16"/>
  <c r="PB6" i="16"/>
  <c r="PC6" i="16"/>
  <c r="PD6" i="16"/>
  <c r="PE6" i="16"/>
  <c r="PF6" i="16"/>
  <c r="PG6" i="16"/>
  <c r="PH6" i="16"/>
  <c r="PI6" i="16"/>
  <c r="PJ6" i="16"/>
  <c r="PK6" i="16"/>
  <c r="PL6" i="16"/>
  <c r="PM6" i="16"/>
  <c r="PN6" i="16"/>
  <c r="PO6" i="16"/>
  <c r="PP6" i="16"/>
  <c r="CO7" i="16"/>
  <c r="CP7" i="16"/>
  <c r="CQ7" i="16"/>
  <c r="CR7" i="16"/>
  <c r="CS7" i="16"/>
  <c r="OQ7" i="16"/>
  <c r="OR7" i="16"/>
  <c r="OS7" i="16"/>
  <c r="OT7" i="16"/>
  <c r="OU7" i="16"/>
  <c r="OW7" i="16"/>
  <c r="OX7" i="16"/>
  <c r="OY7" i="16"/>
  <c r="OZ7" i="16"/>
  <c r="PA7" i="16"/>
  <c r="PB7" i="16"/>
  <c r="PC7" i="16"/>
  <c r="PD7" i="16"/>
  <c r="PE7" i="16"/>
  <c r="PF7" i="16"/>
  <c r="PG7" i="16"/>
  <c r="PH7" i="16"/>
  <c r="PI7" i="16"/>
  <c r="PJ7" i="16"/>
  <c r="PK7" i="16"/>
  <c r="PL7" i="16"/>
  <c r="PM7" i="16"/>
  <c r="PN7" i="16"/>
  <c r="PO7" i="16"/>
  <c r="PP7" i="16"/>
  <c r="CO4" i="15"/>
  <c r="CP4" i="15"/>
  <c r="CQ4" i="15"/>
  <c r="CR4" i="15"/>
  <c r="CS4" i="15"/>
  <c r="OQ4" i="15"/>
  <c r="OR4" i="15"/>
  <c r="OV4" i="15" s="1"/>
  <c r="OS4" i="15"/>
  <c r="OT4" i="15"/>
  <c r="OU4" i="15"/>
  <c r="OW4" i="15"/>
  <c r="OX4" i="15"/>
  <c r="OY4" i="15"/>
  <c r="OZ4" i="15"/>
  <c r="PA4" i="15"/>
  <c r="PB4" i="15"/>
  <c r="PC4" i="15"/>
  <c r="PD4" i="15"/>
  <c r="PE4" i="15"/>
  <c r="PF4" i="15"/>
  <c r="PG4" i="15"/>
  <c r="PH4" i="15"/>
  <c r="PI4" i="15"/>
  <c r="PJ4" i="15"/>
  <c r="PK4" i="15"/>
  <c r="PL4" i="15"/>
  <c r="PM4" i="15"/>
  <c r="PN4" i="15"/>
  <c r="PO4" i="15"/>
  <c r="PP4" i="15"/>
  <c r="PL6" i="14"/>
  <c r="CR6" i="14"/>
  <c r="CS6" i="14"/>
  <c r="PD6" i="14"/>
  <c r="CO6" i="14"/>
  <c r="CP6" i="14"/>
  <c r="CQ6" i="14"/>
  <c r="DQ6" i="14"/>
  <c r="DR6" i="14"/>
  <c r="DV6" i="14" s="1"/>
  <c r="DS6" i="14"/>
  <c r="DT6" i="14"/>
  <c r="DU6" i="14"/>
  <c r="EQ6" i="14"/>
  <c r="ER6" i="14"/>
  <c r="ES6" i="14"/>
  <c r="ET6" i="14"/>
  <c r="EU6" i="14"/>
  <c r="FQ6" i="14"/>
  <c r="FR6" i="14"/>
  <c r="FS6" i="14"/>
  <c r="FT6" i="14"/>
  <c r="FU6" i="14"/>
  <c r="GQ6" i="14"/>
  <c r="GR6" i="14"/>
  <c r="GS6" i="14"/>
  <c r="GT6" i="14"/>
  <c r="GU6" i="14"/>
  <c r="HQ6" i="14"/>
  <c r="HR6" i="14"/>
  <c r="HS6" i="14"/>
  <c r="HT6" i="14"/>
  <c r="HU6" i="14"/>
  <c r="IQ6" i="14"/>
  <c r="IR6" i="14"/>
  <c r="IS6" i="14"/>
  <c r="IT6" i="14"/>
  <c r="IU6" i="14"/>
  <c r="JQ6" i="14"/>
  <c r="JR6" i="14"/>
  <c r="JS6" i="14"/>
  <c r="JT6" i="14"/>
  <c r="JU6" i="14"/>
  <c r="KQ6" i="14"/>
  <c r="KR6" i="14"/>
  <c r="KS6" i="14"/>
  <c r="KT6" i="14"/>
  <c r="KU6" i="14"/>
  <c r="LQ6" i="14"/>
  <c r="LR6" i="14"/>
  <c r="LV6" i="14" s="1"/>
  <c r="LS6" i="14"/>
  <c r="LT6" i="14"/>
  <c r="LU6" i="14"/>
  <c r="MQ6" i="14"/>
  <c r="MR6" i="14"/>
  <c r="MS6" i="14"/>
  <c r="MT6" i="14"/>
  <c r="MU6" i="14"/>
  <c r="NQ6" i="14"/>
  <c r="NR6" i="14"/>
  <c r="NS6" i="14"/>
  <c r="NT6" i="14"/>
  <c r="NU6" i="14"/>
  <c r="OQ6" i="14"/>
  <c r="OR6" i="14"/>
  <c r="OS6" i="14"/>
  <c r="OT6" i="14"/>
  <c r="OU6" i="14"/>
  <c r="OW6" i="14"/>
  <c r="OX6" i="14"/>
  <c r="OY6" i="14"/>
  <c r="OZ6" i="14"/>
  <c r="PA6" i="14"/>
  <c r="PB6" i="14"/>
  <c r="PC6" i="14"/>
  <c r="PE6" i="14"/>
  <c r="PF6" i="14"/>
  <c r="PG6" i="14"/>
  <c r="PH6" i="14"/>
  <c r="PI6" i="14"/>
  <c r="PJ6" i="14"/>
  <c r="PK6" i="14"/>
  <c r="PM6" i="14"/>
  <c r="PN6" i="14"/>
  <c r="PO6" i="14"/>
  <c r="PP6" i="14"/>
  <c r="CW7" i="13"/>
  <c r="CX7" i="13"/>
  <c r="CY7" i="13"/>
  <c r="CZ7" i="13"/>
  <c r="DA7" i="13"/>
  <c r="DC7" i="13"/>
  <c r="DD7" i="13"/>
  <c r="NG7" i="13"/>
  <c r="NH7" i="13"/>
  <c r="NI7" i="13"/>
  <c r="NK7" i="13"/>
  <c r="NL7" i="13"/>
  <c r="NN7" i="13"/>
  <c r="NO7" i="13"/>
  <c r="NP7" i="13"/>
  <c r="NQ7" i="13"/>
  <c r="NR7" i="13"/>
  <c r="NS7" i="13"/>
  <c r="NT7" i="13"/>
  <c r="NU7" i="13"/>
  <c r="OJ7" i="13" s="1"/>
  <c r="NV7" i="13"/>
  <c r="NW7" i="13"/>
  <c r="NX7" i="13"/>
  <c r="NY7" i="13"/>
  <c r="NZ7" i="13"/>
  <c r="OL7" i="13" s="1"/>
  <c r="OA7" i="13"/>
  <c r="OB7" i="13"/>
  <c r="OC7" i="13"/>
  <c r="OD7" i="13"/>
  <c r="OE7" i="13"/>
  <c r="OO7" i="13" s="1"/>
  <c r="OF7" i="13"/>
  <c r="OG7" i="13"/>
  <c r="CW10" i="13"/>
  <c r="CX10" i="13"/>
  <c r="CY10" i="13"/>
  <c r="CZ10" i="13"/>
  <c r="DA10" i="13"/>
  <c r="DC10" i="13"/>
  <c r="DD10" i="13"/>
  <c r="NG10" i="13"/>
  <c r="NH10" i="13"/>
  <c r="NI10" i="13"/>
  <c r="NK10" i="13"/>
  <c r="NL10" i="13"/>
  <c r="NN10" i="13"/>
  <c r="NO10" i="13"/>
  <c r="NP10" i="13"/>
  <c r="NQ10" i="13"/>
  <c r="NR10" i="13"/>
  <c r="NS10" i="13"/>
  <c r="NT10" i="13"/>
  <c r="NU10" i="13"/>
  <c r="OJ10" i="13" s="1"/>
  <c r="NV10" i="13"/>
  <c r="NW10" i="13"/>
  <c r="NX10" i="13"/>
  <c r="NY10" i="13"/>
  <c r="NZ10" i="13"/>
  <c r="OL10" i="13" s="1"/>
  <c r="OA10" i="13"/>
  <c r="OB10" i="13"/>
  <c r="OC10" i="13"/>
  <c r="OD10" i="13"/>
  <c r="OE10" i="13"/>
  <c r="OO10" i="13" s="1"/>
  <c r="OF10" i="13"/>
  <c r="OG10" i="13"/>
  <c r="CW6" i="13"/>
  <c r="CX6" i="13"/>
  <c r="CY6" i="13"/>
  <c r="CZ6" i="13"/>
  <c r="DA6" i="13"/>
  <c r="DC6" i="13"/>
  <c r="DD6" i="13"/>
  <c r="NG6" i="13"/>
  <c r="NH6" i="13"/>
  <c r="NI6" i="13"/>
  <c r="NK6" i="13"/>
  <c r="NL6" i="13"/>
  <c r="NN6" i="13"/>
  <c r="NO6" i="13"/>
  <c r="NP6" i="13"/>
  <c r="NQ6" i="13"/>
  <c r="NR6" i="13"/>
  <c r="NS6" i="13"/>
  <c r="NT6" i="13"/>
  <c r="NU6" i="13"/>
  <c r="OJ6" i="13" s="1"/>
  <c r="NV6" i="13"/>
  <c r="NW6" i="13"/>
  <c r="NX6" i="13"/>
  <c r="NY6" i="13"/>
  <c r="NZ6" i="13"/>
  <c r="OL6" i="13" s="1"/>
  <c r="OA6" i="13"/>
  <c r="OB6" i="13"/>
  <c r="OC6" i="13"/>
  <c r="OD6" i="13"/>
  <c r="OE6" i="13"/>
  <c r="OO6" i="13" s="1"/>
  <c r="OF6" i="13"/>
  <c r="OG6" i="13"/>
  <c r="CW9" i="13"/>
  <c r="CX9" i="13"/>
  <c r="CY9" i="13"/>
  <c r="CZ9" i="13"/>
  <c r="DA9" i="13"/>
  <c r="DC9" i="13"/>
  <c r="DD9" i="13"/>
  <c r="NG9" i="13"/>
  <c r="NH9" i="13"/>
  <c r="NI9" i="13"/>
  <c r="NK9" i="13"/>
  <c r="NL9" i="13"/>
  <c r="NN9" i="13"/>
  <c r="NO9" i="13"/>
  <c r="NP9" i="13"/>
  <c r="NQ9" i="13"/>
  <c r="NR9" i="13"/>
  <c r="NS9" i="13"/>
  <c r="NT9" i="13"/>
  <c r="NU9" i="13"/>
  <c r="OJ9" i="13" s="1"/>
  <c r="NV9" i="13"/>
  <c r="NW9" i="13"/>
  <c r="NX9" i="13"/>
  <c r="NY9" i="13"/>
  <c r="NZ9" i="13"/>
  <c r="OL9" i="13" s="1"/>
  <c r="OA9" i="13"/>
  <c r="OB9" i="13"/>
  <c r="OC9" i="13"/>
  <c r="OD9" i="13"/>
  <c r="OE9" i="13"/>
  <c r="OO9" i="13" s="1"/>
  <c r="OF9" i="13"/>
  <c r="OG9" i="13"/>
  <c r="CW7" i="4"/>
  <c r="CX7" i="4"/>
  <c r="CY7" i="4"/>
  <c r="CZ7" i="4"/>
  <c r="DA7" i="4"/>
  <c r="DC7" i="4"/>
  <c r="DD7" i="4"/>
  <c r="DY7" i="4"/>
  <c r="DZ7" i="4"/>
  <c r="EA7" i="4"/>
  <c r="EC7" i="4"/>
  <c r="ED7" i="4"/>
  <c r="EU7" i="4"/>
  <c r="EV7" i="4"/>
  <c r="EW7" i="4"/>
  <c r="EY7" i="4"/>
  <c r="EZ7" i="4"/>
  <c r="FQ7" i="4"/>
  <c r="FR7" i="4"/>
  <c r="FS7" i="4"/>
  <c r="FU7" i="4"/>
  <c r="FV7" i="4"/>
  <c r="GM7" i="4"/>
  <c r="GN7" i="4"/>
  <c r="GO7" i="4"/>
  <c r="GQ7" i="4"/>
  <c r="GR7" i="4"/>
  <c r="HI7" i="4"/>
  <c r="HJ7" i="4"/>
  <c r="HK7" i="4"/>
  <c r="HM7" i="4"/>
  <c r="HN7" i="4"/>
  <c r="IE7" i="4"/>
  <c r="IF7" i="4"/>
  <c r="IG7" i="4"/>
  <c r="II7" i="4"/>
  <c r="IJ7" i="4"/>
  <c r="JA7" i="4"/>
  <c r="JB7" i="4"/>
  <c r="JC7" i="4"/>
  <c r="JE7" i="4"/>
  <c r="JF7" i="4"/>
  <c r="JW7" i="4"/>
  <c r="JX7" i="4"/>
  <c r="JY7" i="4"/>
  <c r="KA7" i="4"/>
  <c r="KB7" i="4"/>
  <c r="KS7" i="4"/>
  <c r="KT7" i="4"/>
  <c r="KU7" i="4"/>
  <c r="KW7" i="4"/>
  <c r="KX7" i="4"/>
  <c r="LO7" i="4"/>
  <c r="LP7" i="4"/>
  <c r="LQ7" i="4"/>
  <c r="LS7" i="4"/>
  <c r="LT7" i="4"/>
  <c r="MK7" i="4"/>
  <c r="ML7" i="4"/>
  <c r="MM7" i="4"/>
  <c r="MO7" i="4"/>
  <c r="MP7" i="4"/>
  <c r="NG7" i="4"/>
  <c r="NH7" i="4"/>
  <c r="NI7" i="4"/>
  <c r="NK7" i="4"/>
  <c r="NL7" i="4"/>
  <c r="NN7" i="4"/>
  <c r="NO7" i="4"/>
  <c r="NP7" i="4"/>
  <c r="NQ7" i="4"/>
  <c r="NR7" i="4"/>
  <c r="NS7" i="4"/>
  <c r="NT7" i="4"/>
  <c r="NU7" i="4"/>
  <c r="OJ7" i="4" s="1"/>
  <c r="NV7" i="4"/>
  <c r="NW7" i="4"/>
  <c r="NX7" i="4"/>
  <c r="NY7" i="4"/>
  <c r="NZ7" i="4"/>
  <c r="OL7" i="4" s="1"/>
  <c r="OA7" i="4"/>
  <c r="OB7" i="4"/>
  <c r="OC7" i="4"/>
  <c r="OD7" i="4"/>
  <c r="OE7" i="4"/>
  <c r="OO7" i="4" s="1"/>
  <c r="OF7" i="4"/>
  <c r="OG7" i="4"/>
  <c r="CW6" i="4"/>
  <c r="CX6" i="4"/>
  <c r="CY6" i="4"/>
  <c r="CZ6" i="4"/>
  <c r="DA6" i="4"/>
  <c r="DC6" i="4"/>
  <c r="DD6" i="4"/>
  <c r="DY6" i="4"/>
  <c r="DZ6" i="4"/>
  <c r="EA6" i="4"/>
  <c r="EC6" i="4"/>
  <c r="ED6" i="4"/>
  <c r="EU6" i="4"/>
  <c r="EV6" i="4"/>
  <c r="EW6" i="4"/>
  <c r="EY6" i="4"/>
  <c r="EZ6" i="4"/>
  <c r="FQ6" i="4"/>
  <c r="FR6" i="4"/>
  <c r="FS6" i="4"/>
  <c r="FU6" i="4"/>
  <c r="FV6" i="4"/>
  <c r="GM6" i="4"/>
  <c r="GN6" i="4"/>
  <c r="GO6" i="4"/>
  <c r="GQ6" i="4"/>
  <c r="GR6" i="4"/>
  <c r="HI6" i="4"/>
  <c r="HJ6" i="4"/>
  <c r="HK6" i="4"/>
  <c r="HM6" i="4"/>
  <c r="HN6" i="4"/>
  <c r="IE6" i="4"/>
  <c r="IF6" i="4"/>
  <c r="IG6" i="4"/>
  <c r="II6" i="4"/>
  <c r="IJ6" i="4"/>
  <c r="JA6" i="4"/>
  <c r="JB6" i="4"/>
  <c r="JC6" i="4"/>
  <c r="JE6" i="4"/>
  <c r="JF6" i="4"/>
  <c r="JW6" i="4"/>
  <c r="JX6" i="4"/>
  <c r="JY6" i="4"/>
  <c r="KA6" i="4"/>
  <c r="KB6" i="4"/>
  <c r="KS6" i="4"/>
  <c r="KT6" i="4"/>
  <c r="KU6" i="4"/>
  <c r="KW6" i="4"/>
  <c r="KX6" i="4"/>
  <c r="LO6" i="4"/>
  <c r="LP6" i="4"/>
  <c r="LQ6" i="4"/>
  <c r="LS6" i="4"/>
  <c r="LT6" i="4"/>
  <c r="MK6" i="4"/>
  <c r="ML6" i="4"/>
  <c r="MM6" i="4"/>
  <c r="MO6" i="4"/>
  <c r="MP6" i="4"/>
  <c r="NG6" i="4"/>
  <c r="NH6" i="4"/>
  <c r="NI6" i="4"/>
  <c r="NK6" i="4"/>
  <c r="NL6" i="4"/>
  <c r="NN6" i="4"/>
  <c r="NO6" i="4"/>
  <c r="NP6" i="4"/>
  <c r="NQ6" i="4"/>
  <c r="NR6" i="4"/>
  <c r="NS6" i="4"/>
  <c r="NT6" i="4"/>
  <c r="NU6" i="4"/>
  <c r="OJ6" i="4" s="1"/>
  <c r="NV6" i="4"/>
  <c r="NW6" i="4"/>
  <c r="NX6" i="4"/>
  <c r="NY6" i="4"/>
  <c r="NZ6" i="4"/>
  <c r="OL6" i="4" s="1"/>
  <c r="OA6" i="4"/>
  <c r="OB6" i="4"/>
  <c r="OC6" i="4"/>
  <c r="OD6" i="4"/>
  <c r="OE6" i="4"/>
  <c r="OO6" i="4" s="1"/>
  <c r="OF6" i="4"/>
  <c r="OG6" i="4"/>
  <c r="CW5" i="4"/>
  <c r="CX5" i="4"/>
  <c r="CY5" i="4"/>
  <c r="CZ5" i="4"/>
  <c r="DA5" i="4"/>
  <c r="DC5" i="4"/>
  <c r="DD5" i="4"/>
  <c r="DY5" i="4"/>
  <c r="DZ5" i="4"/>
  <c r="EA5" i="4"/>
  <c r="EC5" i="4"/>
  <c r="ED5" i="4"/>
  <c r="EU5" i="4"/>
  <c r="EV5" i="4"/>
  <c r="EW5" i="4"/>
  <c r="EY5" i="4"/>
  <c r="EZ5" i="4"/>
  <c r="FQ5" i="4"/>
  <c r="FR5" i="4"/>
  <c r="FS5" i="4"/>
  <c r="FU5" i="4"/>
  <c r="FV5" i="4"/>
  <c r="GM5" i="4"/>
  <c r="GN5" i="4"/>
  <c r="GO5" i="4"/>
  <c r="GQ5" i="4"/>
  <c r="GR5" i="4"/>
  <c r="HI5" i="4"/>
  <c r="HJ5" i="4"/>
  <c r="HK5" i="4"/>
  <c r="HM5" i="4"/>
  <c r="HN5" i="4"/>
  <c r="IE5" i="4"/>
  <c r="IF5" i="4"/>
  <c r="IG5" i="4"/>
  <c r="II5" i="4"/>
  <c r="IJ5" i="4"/>
  <c r="JA5" i="4"/>
  <c r="JB5" i="4"/>
  <c r="JC5" i="4"/>
  <c r="JE5" i="4"/>
  <c r="JF5" i="4"/>
  <c r="JW5" i="4"/>
  <c r="JX5" i="4"/>
  <c r="JY5" i="4"/>
  <c r="KA5" i="4"/>
  <c r="KB5" i="4"/>
  <c r="KS5" i="4"/>
  <c r="KT5" i="4"/>
  <c r="KU5" i="4"/>
  <c r="KW5" i="4"/>
  <c r="KX5" i="4"/>
  <c r="LO5" i="4"/>
  <c r="LP5" i="4"/>
  <c r="LQ5" i="4"/>
  <c r="LS5" i="4"/>
  <c r="LT5" i="4"/>
  <c r="MK5" i="4"/>
  <c r="ML5" i="4"/>
  <c r="MM5" i="4"/>
  <c r="MO5" i="4"/>
  <c r="MP5" i="4"/>
  <c r="NG5" i="4"/>
  <c r="NH5" i="4"/>
  <c r="NI5" i="4"/>
  <c r="NK5" i="4"/>
  <c r="NL5" i="4"/>
  <c r="NN5" i="4"/>
  <c r="NO5" i="4"/>
  <c r="NP5" i="4"/>
  <c r="NQ5" i="4"/>
  <c r="NR5" i="4"/>
  <c r="NS5" i="4"/>
  <c r="NT5" i="4"/>
  <c r="NU5" i="4"/>
  <c r="OJ5" i="4" s="1"/>
  <c r="NV5" i="4"/>
  <c r="NW5" i="4"/>
  <c r="NX5" i="4"/>
  <c r="NY5" i="4"/>
  <c r="NZ5" i="4"/>
  <c r="OL5" i="4" s="1"/>
  <c r="OA5" i="4"/>
  <c r="OB5" i="4"/>
  <c r="OC5" i="4"/>
  <c r="OD5" i="4"/>
  <c r="OE5" i="4"/>
  <c r="OO5" i="4" s="1"/>
  <c r="OF5" i="4"/>
  <c r="OG5" i="4"/>
  <c r="OV14" i="14"/>
  <c r="OV10" i="14"/>
  <c r="NV14" i="14"/>
  <c r="NV10" i="14"/>
  <c r="MV14" i="14"/>
  <c r="MV10" i="14"/>
  <c r="LV14" i="14"/>
  <c r="LV10" i="14"/>
  <c r="KV14" i="14"/>
  <c r="KV10" i="14"/>
  <c r="JV14" i="14"/>
  <c r="JV10" i="14"/>
  <c r="IV14" i="14"/>
  <c r="IV10" i="14"/>
  <c r="HV14" i="14"/>
  <c r="HV10" i="14"/>
  <c r="GV14" i="14"/>
  <c r="GV10" i="14"/>
  <c r="FV14" i="14"/>
  <c r="FV10" i="14"/>
  <c r="EV14" i="14"/>
  <c r="EV10" i="14"/>
  <c r="DV14" i="14"/>
  <c r="DV10" i="14"/>
  <c r="OV14" i="17"/>
  <c r="OV10" i="17"/>
  <c r="OV19" i="16"/>
  <c r="OV15" i="16"/>
  <c r="CO4" i="14"/>
  <c r="CP4" i="14"/>
  <c r="CQ4" i="14"/>
  <c r="CR4" i="14"/>
  <c r="CS4" i="14"/>
  <c r="DQ4" i="14"/>
  <c r="DR4" i="14"/>
  <c r="DS4" i="14"/>
  <c r="DT4" i="14"/>
  <c r="DU4" i="14"/>
  <c r="EQ4" i="14"/>
  <c r="ER4" i="14"/>
  <c r="ES4" i="14"/>
  <c r="ET4" i="14"/>
  <c r="EU4" i="14"/>
  <c r="FQ4" i="14"/>
  <c r="FR4" i="14"/>
  <c r="FS4" i="14"/>
  <c r="FT4" i="14"/>
  <c r="FU4" i="14"/>
  <c r="GQ4" i="14"/>
  <c r="GR4" i="14"/>
  <c r="GS4" i="14"/>
  <c r="GT4" i="14"/>
  <c r="GU4" i="14"/>
  <c r="HQ4" i="14"/>
  <c r="HR4" i="14"/>
  <c r="HV4" i="14" s="1"/>
  <c r="HS4" i="14"/>
  <c r="HT4" i="14"/>
  <c r="HU4" i="14"/>
  <c r="IQ4" i="14"/>
  <c r="IR4" i="14"/>
  <c r="IS4" i="14"/>
  <c r="IT4" i="14"/>
  <c r="IU4" i="14"/>
  <c r="JQ4" i="14"/>
  <c r="JR4" i="14"/>
  <c r="JS4" i="14"/>
  <c r="JT4" i="14"/>
  <c r="JU4" i="14"/>
  <c r="KQ4" i="14"/>
  <c r="KR4" i="14"/>
  <c r="KS4" i="14"/>
  <c r="KT4" i="14"/>
  <c r="KU4" i="14"/>
  <c r="LQ4" i="14"/>
  <c r="LR4" i="14"/>
  <c r="LS4" i="14"/>
  <c r="LT4" i="14"/>
  <c r="LU4" i="14"/>
  <c r="MQ4" i="14"/>
  <c r="MR4" i="14"/>
  <c r="MS4" i="14"/>
  <c r="MT4" i="14"/>
  <c r="MU4" i="14"/>
  <c r="NQ4" i="14"/>
  <c r="NR4" i="14"/>
  <c r="NS4" i="14"/>
  <c r="NT4" i="14"/>
  <c r="NU4" i="14"/>
  <c r="OQ4" i="14"/>
  <c r="OR4" i="14"/>
  <c r="OS4" i="14"/>
  <c r="OT4" i="14"/>
  <c r="OU4" i="14"/>
  <c r="OW4" i="14"/>
  <c r="OX4" i="14"/>
  <c r="OY4" i="14"/>
  <c r="OZ4" i="14"/>
  <c r="PA4" i="14"/>
  <c r="PB4" i="14"/>
  <c r="PC4" i="14"/>
  <c r="PD4" i="14"/>
  <c r="PE4" i="14"/>
  <c r="PF4" i="14"/>
  <c r="PG4" i="14"/>
  <c r="PH4" i="14"/>
  <c r="PI4" i="14"/>
  <c r="PJ4" i="14"/>
  <c r="PK4" i="14"/>
  <c r="PL4" i="14"/>
  <c r="PM4" i="14"/>
  <c r="PN4" i="14"/>
  <c r="PO4" i="14"/>
  <c r="PP4" i="14"/>
  <c r="CO5" i="17"/>
  <c r="CP5" i="17"/>
  <c r="CQ5" i="17"/>
  <c r="CR5" i="17"/>
  <c r="CS5" i="17"/>
  <c r="OQ5" i="17"/>
  <c r="OR5" i="17"/>
  <c r="OS5" i="17"/>
  <c r="OT5" i="17"/>
  <c r="OU5" i="17"/>
  <c r="OW5" i="17"/>
  <c r="OX5" i="17"/>
  <c r="OY5" i="17"/>
  <c r="OZ5" i="17"/>
  <c r="PA5" i="17"/>
  <c r="PB5" i="17"/>
  <c r="PC5" i="17"/>
  <c r="PD5" i="17"/>
  <c r="PE5" i="17"/>
  <c r="PF5" i="17"/>
  <c r="PG5" i="17"/>
  <c r="PH5" i="17"/>
  <c r="PI5" i="17"/>
  <c r="PJ5" i="17"/>
  <c r="PK5" i="17"/>
  <c r="PL5" i="17"/>
  <c r="PM5" i="17"/>
  <c r="PN5" i="17"/>
  <c r="PO5" i="17"/>
  <c r="PP5" i="17"/>
  <c r="CO4" i="16"/>
  <c r="CP4" i="16"/>
  <c r="CQ4" i="16"/>
  <c r="CR4" i="16"/>
  <c r="CS4" i="16"/>
  <c r="OQ4" i="16"/>
  <c r="OR4" i="16"/>
  <c r="OS4" i="16"/>
  <c r="OT4" i="16"/>
  <c r="OU4" i="16"/>
  <c r="OW4" i="16"/>
  <c r="OX4" i="16"/>
  <c r="OY4" i="16"/>
  <c r="OZ4" i="16"/>
  <c r="PA4" i="16"/>
  <c r="PB4" i="16"/>
  <c r="PC4" i="16"/>
  <c r="PD4" i="16"/>
  <c r="PE4" i="16"/>
  <c r="PF4" i="16"/>
  <c r="PG4" i="16"/>
  <c r="PH4" i="16"/>
  <c r="PI4" i="16"/>
  <c r="PJ4" i="16"/>
  <c r="PK4" i="16"/>
  <c r="PL4" i="16"/>
  <c r="PM4" i="16"/>
  <c r="PN4" i="16"/>
  <c r="PO4" i="16"/>
  <c r="PP4" i="16"/>
  <c r="CO10" i="16"/>
  <c r="CP10" i="16"/>
  <c r="CQ10" i="16"/>
  <c r="CR10" i="16"/>
  <c r="CS10" i="16"/>
  <c r="OQ10" i="16"/>
  <c r="OR10" i="16"/>
  <c r="OS10" i="16"/>
  <c r="OT10" i="16"/>
  <c r="OU10" i="16"/>
  <c r="OW10" i="16"/>
  <c r="OX10" i="16"/>
  <c r="OY10" i="16"/>
  <c r="OZ10" i="16"/>
  <c r="PA10" i="16"/>
  <c r="PB10" i="16"/>
  <c r="PC10" i="16"/>
  <c r="PD10" i="16"/>
  <c r="PE10" i="16"/>
  <c r="PF10" i="16"/>
  <c r="PG10" i="16"/>
  <c r="PH10" i="16"/>
  <c r="PI10" i="16"/>
  <c r="PJ10" i="16"/>
  <c r="PK10" i="16"/>
  <c r="PL10" i="16"/>
  <c r="PM10" i="16"/>
  <c r="PN10" i="16"/>
  <c r="PO10" i="16"/>
  <c r="PP10" i="16"/>
  <c r="DV9" i="16" l="1"/>
  <c r="EV4" i="16"/>
  <c r="FV8" i="16"/>
  <c r="GV11" i="16"/>
  <c r="HV9" i="16"/>
  <c r="IV4" i="16"/>
  <c r="JV8" i="16"/>
  <c r="KV11" i="16"/>
  <c r="LV9" i="16"/>
  <c r="MV4" i="16"/>
  <c r="BS11" i="16"/>
  <c r="NV10" i="16"/>
  <c r="JV4" i="14"/>
  <c r="BX5" i="13"/>
  <c r="AR6" i="17"/>
  <c r="IV6" i="17"/>
  <c r="KV4" i="17"/>
  <c r="NV5" i="17"/>
  <c r="FV5" i="17"/>
  <c r="DV8" i="16"/>
  <c r="EV11" i="16"/>
  <c r="FV9" i="16"/>
  <c r="GV4" i="16"/>
  <c r="HV8" i="16"/>
  <c r="AR9" i="16"/>
  <c r="BS4" i="16"/>
  <c r="IV11" i="16"/>
  <c r="JV9" i="16"/>
  <c r="KV4" i="16"/>
  <c r="LV8" i="16"/>
  <c r="MV11" i="16"/>
  <c r="NV9" i="16"/>
  <c r="OV7" i="16"/>
  <c r="EV4" i="15"/>
  <c r="IV4" i="15"/>
  <c r="MV4" i="15"/>
  <c r="NV6" i="17"/>
  <c r="CT5" i="17"/>
  <c r="FV6" i="17"/>
  <c r="HV4" i="17"/>
  <c r="DV5" i="17"/>
  <c r="GV6" i="17"/>
  <c r="IV4" i="17"/>
  <c r="LV5" i="17"/>
  <c r="BS6" i="17"/>
  <c r="EV5" i="17"/>
  <c r="HV6" i="17"/>
  <c r="JV4" i="17"/>
  <c r="MV5" i="17"/>
  <c r="AR5" i="17"/>
  <c r="DV4" i="17"/>
  <c r="GV5" i="17"/>
  <c r="JV6" i="17"/>
  <c r="LV4" i="17"/>
  <c r="BS5" i="17"/>
  <c r="EV4" i="17"/>
  <c r="HV5" i="17"/>
  <c r="KV6" i="17"/>
  <c r="MV4" i="17"/>
  <c r="OV5" i="17"/>
  <c r="DV6" i="17"/>
  <c r="FV4" i="17"/>
  <c r="IV5" i="17"/>
  <c r="LV6" i="17"/>
  <c r="NV4" i="17"/>
  <c r="AR4" i="17"/>
  <c r="DV6" i="16"/>
  <c r="EV5" i="16"/>
  <c r="FV10" i="16"/>
  <c r="GV7" i="16"/>
  <c r="HV6" i="16"/>
  <c r="JV10" i="16"/>
  <c r="KV7" i="16"/>
  <c r="LV6" i="16"/>
  <c r="AR10" i="16"/>
  <c r="BS7" i="16"/>
  <c r="CT10" i="16"/>
  <c r="NV8" i="16"/>
  <c r="AR8" i="16"/>
  <c r="OV4" i="16"/>
  <c r="CT6" i="16"/>
  <c r="IV5" i="16"/>
  <c r="MV5" i="16"/>
  <c r="OV9" i="16"/>
  <c r="DV11" i="16"/>
  <c r="EV9" i="16"/>
  <c r="FV4" i="16"/>
  <c r="GV8" i="16"/>
  <c r="HV11" i="16"/>
  <c r="IV9" i="16"/>
  <c r="JV4" i="16"/>
  <c r="KV8" i="16"/>
  <c r="LV11" i="16"/>
  <c r="MV9" i="16"/>
  <c r="NV4" i="16"/>
  <c r="AR4" i="16"/>
  <c r="BS8" i="16"/>
  <c r="OV10" i="16"/>
  <c r="CT7" i="16"/>
  <c r="DV7" i="16"/>
  <c r="EV6" i="16"/>
  <c r="FV5" i="16"/>
  <c r="GV10" i="16"/>
  <c r="HV7" i="16"/>
  <c r="IV6" i="16"/>
  <c r="JV5" i="16"/>
  <c r="KV10" i="16"/>
  <c r="LV7" i="16"/>
  <c r="MV6" i="16"/>
  <c r="NV5" i="16"/>
  <c r="AR5" i="16"/>
  <c r="OV6" i="16"/>
  <c r="CT11" i="16"/>
  <c r="DV10" i="16"/>
  <c r="EV7" i="16"/>
  <c r="FV6" i="16"/>
  <c r="GV5" i="16"/>
  <c r="HV10" i="16"/>
  <c r="IV7" i="16"/>
  <c r="JV6" i="16"/>
  <c r="KV5" i="16"/>
  <c r="LV10" i="16"/>
  <c r="MV7" i="16"/>
  <c r="NV6" i="16"/>
  <c r="AR6" i="16"/>
  <c r="BS5" i="16"/>
  <c r="CT4" i="16"/>
  <c r="DV4" i="16"/>
  <c r="EV8" i="16"/>
  <c r="FV11" i="16"/>
  <c r="GV9" i="16"/>
  <c r="HV4" i="16"/>
  <c r="IV8" i="16"/>
  <c r="JV11" i="16"/>
  <c r="KV9" i="16"/>
  <c r="LV4" i="16"/>
  <c r="MV8" i="16"/>
  <c r="NV11" i="16"/>
  <c r="AR11" i="16"/>
  <c r="BS9" i="16"/>
  <c r="CT9" i="16"/>
  <c r="DV5" i="16"/>
  <c r="EV10" i="16"/>
  <c r="FV7" i="16"/>
  <c r="GV6" i="16"/>
  <c r="HV5" i="16"/>
  <c r="IV10" i="16"/>
  <c r="JV7" i="16"/>
  <c r="KV6" i="16"/>
  <c r="LV5" i="16"/>
  <c r="MV10" i="16"/>
  <c r="NV7" i="16"/>
  <c r="AR7" i="16"/>
  <c r="BS6" i="16"/>
  <c r="GV5" i="15"/>
  <c r="KV5" i="15"/>
  <c r="AR5" i="15"/>
  <c r="FV5" i="15"/>
  <c r="JV5" i="15"/>
  <c r="NV5" i="15"/>
  <c r="CT4" i="15"/>
  <c r="FV4" i="15"/>
  <c r="JV4" i="15"/>
  <c r="NV4" i="15"/>
  <c r="DV5" i="15"/>
  <c r="HV5" i="15"/>
  <c r="LV5" i="15"/>
  <c r="BS5" i="15"/>
  <c r="GV4" i="15"/>
  <c r="KV4" i="15"/>
  <c r="AR4" i="15"/>
  <c r="NV6" i="14"/>
  <c r="FV6" i="14"/>
  <c r="BS5" i="14"/>
  <c r="CT4" i="14"/>
  <c r="OV6" i="14"/>
  <c r="GV6" i="14"/>
  <c r="NV4" i="14"/>
  <c r="FV4" i="14"/>
  <c r="JV6" i="14"/>
  <c r="AR4" i="14"/>
  <c r="IV4" i="14"/>
  <c r="MV6" i="14"/>
  <c r="EV6" i="14"/>
  <c r="CT6" i="14"/>
  <c r="BS4" i="14"/>
  <c r="KV4" i="14"/>
  <c r="LV4" i="14"/>
  <c r="DV4" i="14"/>
  <c r="HV6" i="14"/>
  <c r="OV4" i="14"/>
  <c r="GV4" i="14"/>
  <c r="KV6" i="14"/>
  <c r="AR5" i="14"/>
  <c r="MV4" i="14"/>
  <c r="EV4" i="14"/>
  <c r="IV6" i="14"/>
  <c r="AR6" i="14"/>
  <c r="KV6" i="13"/>
  <c r="MN10" i="13"/>
  <c r="MQ10" i="13" s="1"/>
  <c r="LR8" i="4"/>
  <c r="IH11" i="13"/>
  <c r="AT9" i="13"/>
  <c r="AW9" i="13" s="1"/>
  <c r="CA5" i="13"/>
  <c r="BX11" i="13"/>
  <c r="CA11" i="13" s="1"/>
  <c r="AT10" i="13"/>
  <c r="AW10" i="13" s="1"/>
  <c r="BX4" i="4"/>
  <c r="CA4" i="4" s="1"/>
  <c r="BX8" i="4"/>
  <c r="CA8" i="4" s="1"/>
  <c r="KV11" i="13"/>
  <c r="KY11" i="13" s="1"/>
  <c r="EB11" i="13"/>
  <c r="EE11" i="13" s="1"/>
  <c r="AT4" i="13"/>
  <c r="AW4" i="13" s="1"/>
  <c r="GP11" i="13"/>
  <c r="GS11" i="13" s="1"/>
  <c r="IH7" i="13"/>
  <c r="IK7" i="13" s="1"/>
  <c r="JD8" i="13"/>
  <c r="JG8" i="13" s="1"/>
  <c r="AT8" i="13"/>
  <c r="AW8" i="13" s="1"/>
  <c r="BX8" i="13"/>
  <c r="CA8" i="13" s="1"/>
  <c r="AT6" i="13"/>
  <c r="AW6" i="13" s="1"/>
  <c r="BX4" i="13"/>
  <c r="CA4" i="13" s="1"/>
  <c r="BX9" i="13"/>
  <c r="CA9" i="13" s="1"/>
  <c r="JZ11" i="13"/>
  <c r="KC11" i="13" s="1"/>
  <c r="HL11" i="13"/>
  <c r="HO11" i="13" s="1"/>
  <c r="O11" i="13"/>
  <c r="P11" i="13" s="1"/>
  <c r="BX6" i="13"/>
  <c r="CA6" i="13" s="1"/>
  <c r="EX9" i="13"/>
  <c r="FA9" i="13" s="1"/>
  <c r="AT11" i="13"/>
  <c r="AW11" i="13" s="1"/>
  <c r="JD11" i="13"/>
  <c r="AT7" i="13"/>
  <c r="AW7" i="13" s="1"/>
  <c r="BX10" i="13"/>
  <c r="CA10" i="13" s="1"/>
  <c r="AT5" i="13"/>
  <c r="AW5" i="13" s="1"/>
  <c r="BX7" i="13"/>
  <c r="CA7" i="13" s="1"/>
  <c r="AT4" i="4"/>
  <c r="AW4" i="4" s="1"/>
  <c r="AT6" i="4"/>
  <c r="AW6" i="4" s="1"/>
  <c r="HL8" i="4"/>
  <c r="HO8" i="4" s="1"/>
  <c r="BX7" i="4"/>
  <c r="CA7" i="4" s="1"/>
  <c r="EX8" i="4"/>
  <c r="FA8" i="4" s="1"/>
  <c r="KV5" i="4"/>
  <c r="KY5" i="4" s="1"/>
  <c r="AT5" i="4"/>
  <c r="AW5" i="4" s="1"/>
  <c r="AT8" i="4"/>
  <c r="AW8" i="4" s="1"/>
  <c r="BX6" i="4"/>
  <c r="CA6" i="4" s="1"/>
  <c r="IH8" i="4"/>
  <c r="IK8" i="4" s="1"/>
  <c r="MN8" i="4"/>
  <c r="MQ8" i="4" s="1"/>
  <c r="JZ8" i="4"/>
  <c r="KC8" i="4" s="1"/>
  <c r="FT8" i="4"/>
  <c r="FW8" i="4" s="1"/>
  <c r="AT7" i="4"/>
  <c r="AW7" i="4" s="1"/>
  <c r="BX5" i="4"/>
  <c r="CA5" i="4" s="1"/>
  <c r="OM8" i="4"/>
  <c r="NJ11" i="13"/>
  <c r="NM11" i="13" s="1"/>
  <c r="MN11" i="13"/>
  <c r="MQ11" i="13" s="1"/>
  <c r="LR11" i="13"/>
  <c r="LU11" i="13" s="1"/>
  <c r="JG11" i="13"/>
  <c r="IK11" i="13"/>
  <c r="FT11" i="13"/>
  <c r="FW11" i="13" s="1"/>
  <c r="EX11" i="13"/>
  <c r="FA11" i="13" s="1"/>
  <c r="DB11" i="13"/>
  <c r="DE11" i="13" s="1"/>
  <c r="OP11" i="13"/>
  <c r="OM11" i="13"/>
  <c r="OK11" i="13"/>
  <c r="OI11" i="13"/>
  <c r="JZ10" i="13"/>
  <c r="KC10" i="13" s="1"/>
  <c r="HL7" i="13"/>
  <c r="HO7" i="13" s="1"/>
  <c r="IH8" i="13"/>
  <c r="IK8" i="13" s="1"/>
  <c r="JD6" i="13"/>
  <c r="JG6" i="13" s="1"/>
  <c r="MN4" i="13"/>
  <c r="MQ4" i="13" s="1"/>
  <c r="DB8" i="4"/>
  <c r="DE8" i="4" s="1"/>
  <c r="OK8" i="4"/>
  <c r="NJ8" i="4"/>
  <c r="NM8" i="4" s="1"/>
  <c r="LU8" i="4"/>
  <c r="KV8" i="4"/>
  <c r="KY8" i="4" s="1"/>
  <c r="JD8" i="4"/>
  <c r="JG8" i="4" s="1"/>
  <c r="GP8" i="4"/>
  <c r="GS8" i="4" s="1"/>
  <c r="EB8" i="4"/>
  <c r="EE8" i="4" s="1"/>
  <c r="O8" i="4"/>
  <c r="P8" i="4" s="1"/>
  <c r="OP8" i="4"/>
  <c r="OI8" i="4"/>
  <c r="EB7" i="13"/>
  <c r="EE7" i="13" s="1"/>
  <c r="EX8" i="13"/>
  <c r="FA8" i="13" s="1"/>
  <c r="FT6" i="13"/>
  <c r="FW6" i="13" s="1"/>
  <c r="GP9" i="13"/>
  <c r="GS9" i="13" s="1"/>
  <c r="JD4" i="13"/>
  <c r="JG4" i="13" s="1"/>
  <c r="FT8" i="13"/>
  <c r="FW8" i="13" s="1"/>
  <c r="LR7" i="13"/>
  <c r="LU7" i="13" s="1"/>
  <c r="IH4" i="13"/>
  <c r="IK4" i="13" s="1"/>
  <c r="JZ7" i="13"/>
  <c r="KC7" i="13" s="1"/>
  <c r="KV8" i="13"/>
  <c r="KY8" i="13" s="1"/>
  <c r="JZ5" i="13"/>
  <c r="KC5" i="13" s="1"/>
  <c r="EX7" i="13"/>
  <c r="FA7" i="13" s="1"/>
  <c r="GP6" i="13"/>
  <c r="GS6" i="13" s="1"/>
  <c r="EB4" i="13"/>
  <c r="EE4" i="13" s="1"/>
  <c r="FT7" i="13"/>
  <c r="FW7" i="13" s="1"/>
  <c r="GP8" i="13"/>
  <c r="GS8" i="13" s="1"/>
  <c r="MN7" i="13"/>
  <c r="MQ7" i="13" s="1"/>
  <c r="JZ7" i="4"/>
  <c r="KC7" i="4" s="1"/>
  <c r="KV5" i="13"/>
  <c r="KY5" i="13" s="1"/>
  <c r="MN5" i="13"/>
  <c r="MQ5" i="13" s="1"/>
  <c r="GP4" i="13"/>
  <c r="GS4" i="13" s="1"/>
  <c r="HL6" i="13"/>
  <c r="HO6" i="13" s="1"/>
  <c r="MN8" i="13"/>
  <c r="MQ8" i="13" s="1"/>
  <c r="EB5" i="13"/>
  <c r="EE5" i="13" s="1"/>
  <c r="EB10" i="13"/>
  <c r="EE10" i="13" s="1"/>
  <c r="GP7" i="13"/>
  <c r="GS7" i="13" s="1"/>
  <c r="LR6" i="13"/>
  <c r="LU6" i="13" s="1"/>
  <c r="EB8" i="13"/>
  <c r="EE8" i="13" s="1"/>
  <c r="FT4" i="13"/>
  <c r="FW4" i="13" s="1"/>
  <c r="KV7" i="13"/>
  <c r="KY7" i="13" s="1"/>
  <c r="KV9" i="13"/>
  <c r="KY9" i="13" s="1"/>
  <c r="MN9" i="13"/>
  <c r="MQ9" i="13" s="1"/>
  <c r="EX5" i="13"/>
  <c r="FA5" i="13" s="1"/>
  <c r="IH10" i="13"/>
  <c r="IK10" i="13" s="1"/>
  <c r="JD7" i="13"/>
  <c r="JG7" i="13" s="1"/>
  <c r="JZ4" i="13"/>
  <c r="KC4" i="13" s="1"/>
  <c r="JZ8" i="13"/>
  <c r="KC8" i="13" s="1"/>
  <c r="LR8" i="13"/>
  <c r="LU8" i="13" s="1"/>
  <c r="HL5" i="13"/>
  <c r="HO5" i="13" s="1"/>
  <c r="LR5" i="13"/>
  <c r="LU5" i="13" s="1"/>
  <c r="FT10" i="13"/>
  <c r="FW10" i="13" s="1"/>
  <c r="HL10" i="13"/>
  <c r="HO10" i="13" s="1"/>
  <c r="IH9" i="13"/>
  <c r="IK9" i="13" s="1"/>
  <c r="JD5" i="13"/>
  <c r="JG5" i="13" s="1"/>
  <c r="EB9" i="13"/>
  <c r="EE9" i="13" s="1"/>
  <c r="EX6" i="13"/>
  <c r="FA6" i="13" s="1"/>
  <c r="HL4" i="13"/>
  <c r="HO4" i="13" s="1"/>
  <c r="HL8" i="13"/>
  <c r="HO8" i="13" s="1"/>
  <c r="JD10" i="13"/>
  <c r="JG10" i="13" s="1"/>
  <c r="JZ9" i="13"/>
  <c r="KC9" i="13" s="1"/>
  <c r="LR4" i="13"/>
  <c r="LU4" i="13" s="1"/>
  <c r="LR10" i="13"/>
  <c r="LU10" i="13" s="1"/>
  <c r="FT5" i="13"/>
  <c r="FW5" i="13" s="1"/>
  <c r="KY6" i="13"/>
  <c r="EX4" i="13"/>
  <c r="FA4" i="13" s="1"/>
  <c r="EX10" i="13"/>
  <c r="FA10" i="13" s="1"/>
  <c r="FT9" i="13"/>
  <c r="FW9" i="13" s="1"/>
  <c r="GP5" i="13"/>
  <c r="GS5" i="13" s="1"/>
  <c r="HL9" i="13"/>
  <c r="HO9" i="13" s="1"/>
  <c r="IH5" i="13"/>
  <c r="IK5" i="13" s="1"/>
  <c r="IH6" i="13"/>
  <c r="IK6" i="13" s="1"/>
  <c r="KV4" i="13"/>
  <c r="KY4" i="13" s="1"/>
  <c r="EB6" i="13"/>
  <c r="EE6" i="13" s="1"/>
  <c r="GP10" i="13"/>
  <c r="GS10" i="13" s="1"/>
  <c r="JD9" i="13"/>
  <c r="JG9" i="13" s="1"/>
  <c r="JZ6" i="13"/>
  <c r="KC6" i="13" s="1"/>
  <c r="KV10" i="13"/>
  <c r="KY10" i="13" s="1"/>
  <c r="LR9" i="13"/>
  <c r="LU9" i="13" s="1"/>
  <c r="MN6" i="13"/>
  <c r="MQ6" i="13" s="1"/>
  <c r="JZ6" i="4"/>
  <c r="KC6" i="4" s="1"/>
  <c r="IH6" i="4"/>
  <c r="IK6" i="4" s="1"/>
  <c r="DB7" i="13"/>
  <c r="DE7" i="13" s="1"/>
  <c r="O7" i="13"/>
  <c r="P7" i="13" s="1"/>
  <c r="LR5" i="4"/>
  <c r="LU5" i="4" s="1"/>
  <c r="JD7" i="4"/>
  <c r="JG7" i="4" s="1"/>
  <c r="LR7" i="4"/>
  <c r="LU7" i="4" s="1"/>
  <c r="EX7" i="4"/>
  <c r="FA7" i="4" s="1"/>
  <c r="EB6" i="4"/>
  <c r="EE6" i="4" s="1"/>
  <c r="FT7" i="4"/>
  <c r="FW7" i="4" s="1"/>
  <c r="GP6" i="4"/>
  <c r="GS6" i="4" s="1"/>
  <c r="GP5" i="4"/>
  <c r="GS5" i="4" s="1"/>
  <c r="JD6" i="4"/>
  <c r="JG6" i="4" s="1"/>
  <c r="HL6" i="4"/>
  <c r="HO6" i="4" s="1"/>
  <c r="HL7" i="4"/>
  <c r="HO7" i="4" s="1"/>
  <c r="PS11" i="16"/>
  <c r="PW11" i="16" s="1"/>
  <c r="PU9" i="16"/>
  <c r="PR9" i="16"/>
  <c r="PU11" i="16"/>
  <c r="PR11" i="16"/>
  <c r="M11" i="16"/>
  <c r="N11" i="16" s="1"/>
  <c r="PV11" i="16"/>
  <c r="PT11" i="16"/>
  <c r="G11" i="16"/>
  <c r="F11" i="16"/>
  <c r="K11" i="16"/>
  <c r="I11" i="16"/>
  <c r="M9" i="16"/>
  <c r="CV9" i="16" s="1"/>
  <c r="PT9" i="16"/>
  <c r="PS9" i="16"/>
  <c r="PV9" i="16"/>
  <c r="G9" i="16"/>
  <c r="F9" i="16"/>
  <c r="K9" i="16"/>
  <c r="I9" i="16"/>
  <c r="PU6" i="16"/>
  <c r="PR6" i="16"/>
  <c r="M6" i="16"/>
  <c r="CV6" i="16" s="1"/>
  <c r="PS6" i="16"/>
  <c r="PV6" i="16"/>
  <c r="PT6" i="16"/>
  <c r="G6" i="16"/>
  <c r="F6" i="16"/>
  <c r="K6" i="16"/>
  <c r="I6" i="16"/>
  <c r="PS7" i="16"/>
  <c r="M7" i="16"/>
  <c r="CV7" i="16" s="1"/>
  <c r="PT7" i="16"/>
  <c r="G7" i="16"/>
  <c r="PU7" i="16"/>
  <c r="PR7" i="16"/>
  <c r="F7" i="16"/>
  <c r="K7" i="16"/>
  <c r="I7" i="16"/>
  <c r="PV7" i="16"/>
  <c r="PU4" i="15"/>
  <c r="PR4" i="15"/>
  <c r="PS4" i="15"/>
  <c r="PV4" i="15"/>
  <c r="PT4" i="15"/>
  <c r="M4" i="15"/>
  <c r="N4" i="15" s="1"/>
  <c r="G4" i="15"/>
  <c r="F4" i="15"/>
  <c r="K4" i="15"/>
  <c r="I4" i="15"/>
  <c r="PU6" i="14"/>
  <c r="PR6" i="14"/>
  <c r="PS6" i="14"/>
  <c r="M6" i="14"/>
  <c r="CV6" i="14" s="1"/>
  <c r="PV6" i="14"/>
  <c r="PT6" i="14"/>
  <c r="K6" i="14"/>
  <c r="CU6" i="14" s="1"/>
  <c r="F6" i="14"/>
  <c r="I6" i="14"/>
  <c r="G6" i="14"/>
  <c r="OP10" i="13"/>
  <c r="DB10" i="13"/>
  <c r="DE10" i="13" s="1"/>
  <c r="NJ7" i="13"/>
  <c r="NM7" i="13" s="1"/>
  <c r="OM7" i="13"/>
  <c r="OK7" i="13"/>
  <c r="OI7" i="13"/>
  <c r="DB6" i="13"/>
  <c r="DE6" i="13" s="1"/>
  <c r="NJ10" i="13"/>
  <c r="NM10" i="13" s="1"/>
  <c r="OP9" i="13"/>
  <c r="OM10" i="13"/>
  <c r="OK10" i="13"/>
  <c r="OI10" i="13"/>
  <c r="O10" i="13"/>
  <c r="P10" i="13" s="1"/>
  <c r="DB9" i="13"/>
  <c r="DE9" i="13" s="1"/>
  <c r="OK6" i="13"/>
  <c r="NJ9" i="13"/>
  <c r="NM9" i="13" s="1"/>
  <c r="O6" i="13"/>
  <c r="DI6" i="13" s="1"/>
  <c r="NJ6" i="13"/>
  <c r="NM6" i="13" s="1"/>
  <c r="OM6" i="13"/>
  <c r="OI6" i="13"/>
  <c r="OM9" i="13"/>
  <c r="OK9" i="13"/>
  <c r="OI9" i="13"/>
  <c r="O9" i="13"/>
  <c r="P9" i="13" s="1"/>
  <c r="OP7" i="4"/>
  <c r="DB7" i="4"/>
  <c r="DE7" i="4" s="1"/>
  <c r="NJ7" i="4"/>
  <c r="NM7" i="4" s="1"/>
  <c r="MN7" i="4"/>
  <c r="MQ7" i="4" s="1"/>
  <c r="KV7" i="4"/>
  <c r="KY7" i="4" s="1"/>
  <c r="IH7" i="4"/>
  <c r="IK7" i="4" s="1"/>
  <c r="GP7" i="4"/>
  <c r="GS7" i="4" s="1"/>
  <c r="EB7" i="4"/>
  <c r="EE7" i="4" s="1"/>
  <c r="O7" i="4"/>
  <c r="P7" i="4" s="1"/>
  <c r="OK7" i="4"/>
  <c r="OI7" i="4"/>
  <c r="OM7" i="4"/>
  <c r="EX6" i="4"/>
  <c r="FA6" i="4" s="1"/>
  <c r="OI6" i="4"/>
  <c r="O5" i="4"/>
  <c r="P5" i="4" s="1"/>
  <c r="OP5" i="4"/>
  <c r="NJ6" i="4"/>
  <c r="NM6" i="4" s="1"/>
  <c r="MN6" i="4"/>
  <c r="MQ6" i="4" s="1"/>
  <c r="LR6" i="4"/>
  <c r="LU6" i="4" s="1"/>
  <c r="KV6" i="4"/>
  <c r="KY6" i="4" s="1"/>
  <c r="FT6" i="4"/>
  <c r="FW6" i="4" s="1"/>
  <c r="DB6" i="4"/>
  <c r="DE6" i="4" s="1"/>
  <c r="OP6" i="4"/>
  <c r="OM6" i="4"/>
  <c r="OK6" i="4"/>
  <c r="O6" i="4"/>
  <c r="P6" i="4" s="1"/>
  <c r="HL5" i="4"/>
  <c r="HO5" i="4" s="1"/>
  <c r="JD5" i="4"/>
  <c r="JG5" i="4" s="1"/>
  <c r="JZ5" i="4"/>
  <c r="KC5" i="4" s="1"/>
  <c r="FT5" i="4"/>
  <c r="FW5" i="4" s="1"/>
  <c r="IH5" i="4"/>
  <c r="IK5" i="4" s="1"/>
  <c r="EB5" i="4"/>
  <c r="EE5" i="4" s="1"/>
  <c r="DB5" i="4"/>
  <c r="NJ5" i="4"/>
  <c r="NM5" i="4" s="1"/>
  <c r="MN5" i="4"/>
  <c r="MQ5" i="4" s="1"/>
  <c r="EX5" i="4"/>
  <c r="FA5" i="4" s="1"/>
  <c r="OK5" i="4"/>
  <c r="OI5" i="4"/>
  <c r="OM5" i="4"/>
  <c r="M4" i="14"/>
  <c r="N4" i="14" s="1"/>
  <c r="PS4" i="14"/>
  <c r="PV4" i="14"/>
  <c r="PT4" i="14"/>
  <c r="PU4" i="14"/>
  <c r="PR4" i="14"/>
  <c r="G4" i="14"/>
  <c r="F4" i="14"/>
  <c r="I4" i="14"/>
  <c r="K4" i="14"/>
  <c r="PR5" i="17"/>
  <c r="PU5" i="17"/>
  <c r="M5" i="17"/>
  <c r="N5" i="17" s="1"/>
  <c r="PS5" i="17"/>
  <c r="PV5" i="17"/>
  <c r="PT5" i="17"/>
  <c r="F5" i="17"/>
  <c r="G5" i="17"/>
  <c r="I5" i="17"/>
  <c r="K5" i="17"/>
  <c r="PU4" i="16"/>
  <c r="PR4" i="16"/>
  <c r="M4" i="16"/>
  <c r="N4" i="16" s="1"/>
  <c r="PT4" i="16"/>
  <c r="PS4" i="16"/>
  <c r="I4" i="16"/>
  <c r="J4" i="16" s="1"/>
  <c r="PV4" i="16"/>
  <c r="F4" i="16"/>
  <c r="G4" i="16"/>
  <c r="K4" i="16"/>
  <c r="PU10" i="16"/>
  <c r="PR10" i="16"/>
  <c r="M10" i="16"/>
  <c r="N10" i="16" s="1"/>
  <c r="PS10" i="16"/>
  <c r="PT10" i="16"/>
  <c r="G10" i="16"/>
  <c r="PV10" i="16"/>
  <c r="F10" i="16"/>
  <c r="I10" i="16"/>
  <c r="K10" i="16"/>
  <c r="CW4" i="4"/>
  <c r="CX4" i="4"/>
  <c r="CY4" i="4"/>
  <c r="CZ4" i="4"/>
  <c r="DA4" i="4"/>
  <c r="DC4" i="4"/>
  <c r="DD4" i="4"/>
  <c r="DY4" i="4"/>
  <c r="DZ4" i="4"/>
  <c r="EA4" i="4"/>
  <c r="EC4" i="4"/>
  <c r="ED4" i="4"/>
  <c r="EU4" i="4"/>
  <c r="EV4" i="4"/>
  <c r="EW4" i="4"/>
  <c r="EY4" i="4"/>
  <c r="EZ4" i="4"/>
  <c r="FQ4" i="4"/>
  <c r="FR4" i="4"/>
  <c r="FS4" i="4"/>
  <c r="FU4" i="4"/>
  <c r="FV4" i="4"/>
  <c r="GM4" i="4"/>
  <c r="GN4" i="4"/>
  <c r="GO4" i="4"/>
  <c r="GQ4" i="4"/>
  <c r="GR4" i="4"/>
  <c r="HI4" i="4"/>
  <c r="HJ4" i="4"/>
  <c r="HK4" i="4"/>
  <c r="HM4" i="4"/>
  <c r="HN4" i="4"/>
  <c r="IE4" i="4"/>
  <c r="IF4" i="4"/>
  <c r="IG4" i="4"/>
  <c r="II4" i="4"/>
  <c r="IJ4" i="4"/>
  <c r="JA4" i="4"/>
  <c r="JB4" i="4"/>
  <c r="JC4" i="4"/>
  <c r="JE4" i="4"/>
  <c r="JF4" i="4"/>
  <c r="JW4" i="4"/>
  <c r="JX4" i="4"/>
  <c r="JY4" i="4"/>
  <c r="KA4" i="4"/>
  <c r="KB4" i="4"/>
  <c r="KS4" i="4"/>
  <c r="KT4" i="4"/>
  <c r="KU4" i="4"/>
  <c r="KW4" i="4"/>
  <c r="KX4" i="4"/>
  <c r="LO4" i="4"/>
  <c r="LP4" i="4"/>
  <c r="LQ4" i="4"/>
  <c r="LS4" i="4"/>
  <c r="LT4" i="4"/>
  <c r="MK4" i="4"/>
  <c r="ML4" i="4"/>
  <c r="MM4" i="4"/>
  <c r="MO4" i="4"/>
  <c r="MP4" i="4"/>
  <c r="NG4" i="4"/>
  <c r="NH4" i="4"/>
  <c r="NI4" i="4"/>
  <c r="NK4" i="4"/>
  <c r="NL4" i="4"/>
  <c r="NN4" i="4"/>
  <c r="NO4" i="4"/>
  <c r="NP4" i="4"/>
  <c r="NQ4" i="4"/>
  <c r="NR4" i="4"/>
  <c r="NS4" i="4"/>
  <c r="NT4" i="4"/>
  <c r="NU4" i="4"/>
  <c r="OJ4" i="4" s="1"/>
  <c r="NV4" i="4"/>
  <c r="NW4" i="4"/>
  <c r="NX4" i="4"/>
  <c r="NY4" i="4"/>
  <c r="NZ4" i="4"/>
  <c r="OL4" i="4" s="1"/>
  <c r="OA4" i="4"/>
  <c r="OB4" i="4"/>
  <c r="OC4" i="4"/>
  <c r="OD4" i="4"/>
  <c r="OE4" i="4"/>
  <c r="OO4" i="4" s="1"/>
  <c r="OF4" i="4"/>
  <c r="OG4" i="4"/>
  <c r="CO8" i="16"/>
  <c r="CP8" i="16"/>
  <c r="CQ8" i="16"/>
  <c r="CR8" i="16"/>
  <c r="CS8" i="16"/>
  <c r="OQ8" i="16"/>
  <c r="OR8" i="16"/>
  <c r="OS8" i="16"/>
  <c r="OT8" i="16"/>
  <c r="OU8" i="16"/>
  <c r="OW8" i="16"/>
  <c r="OX8" i="16"/>
  <c r="OY8" i="16"/>
  <c r="OZ8" i="16"/>
  <c r="PA8" i="16"/>
  <c r="PB8" i="16"/>
  <c r="PC8" i="16"/>
  <c r="PD8" i="16"/>
  <c r="PE8" i="16"/>
  <c r="PF8" i="16"/>
  <c r="PG8" i="16"/>
  <c r="PH8" i="16"/>
  <c r="PI8" i="16"/>
  <c r="PJ8" i="16"/>
  <c r="PK8" i="16"/>
  <c r="PL8" i="16"/>
  <c r="PM8" i="16"/>
  <c r="PN8" i="16"/>
  <c r="PO8" i="16"/>
  <c r="PP8" i="16"/>
  <c r="PW5" i="17" l="1"/>
  <c r="PW9" i="16"/>
  <c r="PW10" i="16"/>
  <c r="PW4" i="16"/>
  <c r="CT8" i="16"/>
  <c r="PW6" i="16"/>
  <c r="PW7" i="16"/>
  <c r="OV8" i="16"/>
  <c r="PW4" i="15"/>
  <c r="PW6" i="14"/>
  <c r="PW4" i="14"/>
  <c r="DI11" i="13"/>
  <c r="I5" i="4"/>
  <c r="J5" i="4" s="1"/>
  <c r="F8" i="4"/>
  <c r="ON8" i="4"/>
  <c r="DI8" i="4"/>
  <c r="G11" i="13"/>
  <c r="H11" i="13" s="1"/>
  <c r="A11" i="13" s="1" a="1"/>
  <c r="A11" i="13" s="1"/>
  <c r="I11" i="13"/>
  <c r="DH11" i="13" s="1"/>
  <c r="F11" i="13"/>
  <c r="ON11" i="13"/>
  <c r="G8" i="4"/>
  <c r="H8" i="4" s="1"/>
  <c r="A8" i="4" s="1" a="1"/>
  <c r="A8" i="4" s="1"/>
  <c r="I8" i="4"/>
  <c r="K8" i="4" s="1"/>
  <c r="CV4" i="15"/>
  <c r="I7" i="13"/>
  <c r="J7" i="13" s="1"/>
  <c r="I10" i="13"/>
  <c r="K10" i="13" s="1"/>
  <c r="DI7" i="13"/>
  <c r="ON7" i="4"/>
  <c r="G7" i="13"/>
  <c r="H7" i="13" s="1"/>
  <c r="A7" i="13" s="1" a="1"/>
  <c r="A7" i="13" s="1"/>
  <c r="F7" i="13"/>
  <c r="G10" i="13"/>
  <c r="H10" i="13" s="1"/>
  <c r="A10" i="13" s="1" a="1"/>
  <c r="A10" i="13" s="1"/>
  <c r="ON10" i="13"/>
  <c r="I7" i="4"/>
  <c r="M7" i="4" s="1"/>
  <c r="DI7" i="4"/>
  <c r="DI6" i="4"/>
  <c r="CV11" i="16"/>
  <c r="N9" i="16"/>
  <c r="H11" i="16"/>
  <c r="L11" i="16"/>
  <c r="CU11" i="16"/>
  <c r="J11" i="16"/>
  <c r="H7" i="16"/>
  <c r="N6" i="16"/>
  <c r="H9" i="16"/>
  <c r="J9" i="16"/>
  <c r="L9" i="16"/>
  <c r="CU9" i="16"/>
  <c r="O9" i="16" s="1"/>
  <c r="H6" i="16"/>
  <c r="J6" i="16"/>
  <c r="L6" i="16"/>
  <c r="CU6" i="16"/>
  <c r="O6" i="16" s="1"/>
  <c r="N7" i="16"/>
  <c r="J7" i="16"/>
  <c r="L7" i="16"/>
  <c r="CU7" i="16"/>
  <c r="O7" i="16" s="1"/>
  <c r="H4" i="15"/>
  <c r="J4" i="15"/>
  <c r="L4" i="15"/>
  <c r="CU4" i="15"/>
  <c r="N6" i="14"/>
  <c r="O6" i="14"/>
  <c r="P6" i="14" s="1"/>
  <c r="L6" i="14"/>
  <c r="H6" i="14"/>
  <c r="J6" i="14"/>
  <c r="ON7" i="13"/>
  <c r="DI10" i="13"/>
  <c r="ON9" i="13"/>
  <c r="I6" i="13"/>
  <c r="DH6" i="13" s="1"/>
  <c r="F6" i="13"/>
  <c r="I9" i="13"/>
  <c r="M9" i="13" s="1"/>
  <c r="F10" i="13"/>
  <c r="G9" i="13"/>
  <c r="H9" i="13" s="1"/>
  <c r="A9" i="13" s="1" a="1"/>
  <c r="A9" i="13" s="1"/>
  <c r="G6" i="13"/>
  <c r="H6" i="13" s="1"/>
  <c r="A6" i="13" s="1" a="1"/>
  <c r="A6" i="13" s="1"/>
  <c r="P6" i="13"/>
  <c r="ON6" i="13"/>
  <c r="F9" i="13"/>
  <c r="DI9" i="13"/>
  <c r="F7" i="4"/>
  <c r="F6" i="4"/>
  <c r="ON6" i="4"/>
  <c r="OQ6" i="4" s="1"/>
  <c r="I6" i="4"/>
  <c r="K6" i="4" s="1"/>
  <c r="ON5" i="4"/>
  <c r="OQ5" i="4" s="1"/>
  <c r="G7" i="4"/>
  <c r="H7" i="4" s="1"/>
  <c r="A7" i="4" s="1" a="1"/>
  <c r="A7" i="4" s="1"/>
  <c r="DI5" i="4"/>
  <c r="G6" i="4"/>
  <c r="H6" i="4" s="1"/>
  <c r="A6" i="4" s="1" a="1"/>
  <c r="A6" i="4" s="1"/>
  <c r="F5" i="4"/>
  <c r="DE5" i="4"/>
  <c r="G5" i="4"/>
  <c r="H5" i="4" s="1"/>
  <c r="HL4" i="4"/>
  <c r="HO4" i="4" s="1"/>
  <c r="CV4" i="14"/>
  <c r="EX4" i="4"/>
  <c r="FA4" i="4" s="1"/>
  <c r="H4" i="14"/>
  <c r="J4" i="14"/>
  <c r="L4" i="14"/>
  <c r="CU4" i="14"/>
  <c r="CV5" i="17"/>
  <c r="CV10" i="16"/>
  <c r="H5" i="17"/>
  <c r="L5" i="17"/>
  <c r="CU5" i="17"/>
  <c r="J5" i="17"/>
  <c r="CV4" i="16"/>
  <c r="H4" i="16"/>
  <c r="L4" i="16"/>
  <c r="CU4" i="16"/>
  <c r="H10" i="16"/>
  <c r="L10" i="16"/>
  <c r="CU10" i="16"/>
  <c r="J10" i="16"/>
  <c r="DB4" i="4"/>
  <c r="DE4" i="4" s="1"/>
  <c r="JD4" i="4"/>
  <c r="JG4" i="4" s="1"/>
  <c r="OP4" i="4"/>
  <c r="LR4" i="4"/>
  <c r="LU4" i="4" s="1"/>
  <c r="NJ4" i="4"/>
  <c r="NM4" i="4" s="1"/>
  <c r="JZ4" i="4"/>
  <c r="KC4" i="4" s="1"/>
  <c r="FT4" i="4"/>
  <c r="FW4" i="4" s="1"/>
  <c r="IH4" i="4"/>
  <c r="IK4" i="4" s="1"/>
  <c r="MN4" i="4"/>
  <c r="MQ4" i="4" s="1"/>
  <c r="KV4" i="4"/>
  <c r="KY4" i="4" s="1"/>
  <c r="GP4" i="4"/>
  <c r="GS4" i="4" s="1"/>
  <c r="EB4" i="4"/>
  <c r="EE4" i="4" s="1"/>
  <c r="OM4" i="4"/>
  <c r="OK4" i="4"/>
  <c r="OI4" i="4"/>
  <c r="O4" i="4"/>
  <c r="DI4" i="4" s="1"/>
  <c r="PU8" i="16"/>
  <c r="PR8" i="16"/>
  <c r="PT8" i="16"/>
  <c r="M8" i="16"/>
  <c r="CV8" i="16" s="1"/>
  <c r="PS8" i="16"/>
  <c r="PV8" i="16"/>
  <c r="G8" i="16"/>
  <c r="F8" i="16"/>
  <c r="I8" i="16"/>
  <c r="K8" i="16"/>
  <c r="CU8" i="16" s="1"/>
  <c r="K7" i="13" l="1"/>
  <c r="L7" i="13" s="1"/>
  <c r="OQ7" i="4"/>
  <c r="K5" i="4"/>
  <c r="PW8" i="16"/>
  <c r="M7" i="13"/>
  <c r="DG7" i="13" s="1"/>
  <c r="DH7" i="13"/>
  <c r="DH5" i="4"/>
  <c r="M5" i="4"/>
  <c r="N5" i="4" s="1"/>
  <c r="O4" i="15"/>
  <c r="P4" i="15" s="1"/>
  <c r="OQ9" i="13"/>
  <c r="OQ11" i="13"/>
  <c r="OQ8" i="4"/>
  <c r="J10" i="13"/>
  <c r="L10" i="13" s="1"/>
  <c r="OQ10" i="13"/>
  <c r="DH10" i="13"/>
  <c r="M10" i="13"/>
  <c r="M11" i="13"/>
  <c r="DG11" i="13" s="1"/>
  <c r="J11" i="13"/>
  <c r="K11" i="13"/>
  <c r="DF11" i="13" s="1"/>
  <c r="M8" i="4"/>
  <c r="J8" i="4"/>
  <c r="L8" i="4" s="1"/>
  <c r="DH8" i="4"/>
  <c r="DF8" i="4"/>
  <c r="F4" i="4"/>
  <c r="G4" i="4"/>
  <c r="H4" i="4" s="1"/>
  <c r="O11" i="16"/>
  <c r="Q11" i="16" s="1"/>
  <c r="DH6" i="4"/>
  <c r="J6" i="4"/>
  <c r="L6" i="4" s="1"/>
  <c r="DH7" i="4"/>
  <c r="J7" i="4"/>
  <c r="N7" i="4" s="1"/>
  <c r="K7" i="4"/>
  <c r="DF7" i="4" s="1"/>
  <c r="K9" i="13"/>
  <c r="DF9" i="13" s="1"/>
  <c r="M6" i="4"/>
  <c r="E9" i="16"/>
  <c r="P9" i="16"/>
  <c r="Q9" i="16"/>
  <c r="E6" i="16"/>
  <c r="P6" i="16"/>
  <c r="Q6" i="16"/>
  <c r="E7" i="16"/>
  <c r="P7" i="16"/>
  <c r="Q7" i="16"/>
  <c r="E6" i="14"/>
  <c r="Q6" i="14"/>
  <c r="K6" i="13"/>
  <c r="DF6" i="13" s="1"/>
  <c r="M6" i="13"/>
  <c r="DG6" i="13" s="1"/>
  <c r="J6" i="13"/>
  <c r="N7" i="13"/>
  <c r="DH9" i="13"/>
  <c r="J9" i="13"/>
  <c r="N9" i="13" s="1"/>
  <c r="DF10" i="13"/>
  <c r="DG9" i="13"/>
  <c r="O4" i="14"/>
  <c r="E4" i="14" s="1"/>
  <c r="DG7" i="4"/>
  <c r="DF6" i="4"/>
  <c r="L5" i="4"/>
  <c r="DF5" i="4"/>
  <c r="O5" i="17"/>
  <c r="E5" i="17" s="1"/>
  <c r="O10" i="16"/>
  <c r="Q10" i="16" s="1"/>
  <c r="O4" i="16"/>
  <c r="E4" i="16" s="1"/>
  <c r="I4" i="4"/>
  <c r="DH4" i="4" s="1"/>
  <c r="ON4" i="4"/>
  <c r="OQ4" i="4" s="1"/>
  <c r="P4" i="4"/>
  <c r="H8" i="16"/>
  <c r="N8" i="16"/>
  <c r="L8" i="16"/>
  <c r="O8" i="16"/>
  <c r="J8" i="16"/>
  <c r="N10" i="13" l="1"/>
  <c r="DF7" i="13"/>
  <c r="Q7" i="13" s="1"/>
  <c r="S7" i="13" s="1"/>
  <c r="E4" i="15"/>
  <c r="Q4" i="15"/>
  <c r="DG5" i="4"/>
  <c r="Q5" i="4" s="1"/>
  <c r="E5" i="4" s="1"/>
  <c r="N11" i="13"/>
  <c r="P11" i="16"/>
  <c r="E11" i="16"/>
  <c r="DG10" i="13"/>
  <c r="Q10" i="13" s="1"/>
  <c r="E10" i="13" s="1"/>
  <c r="L11" i="13"/>
  <c r="Q11" i="13"/>
  <c r="S11" i="13" s="1"/>
  <c r="L6" i="13"/>
  <c r="N8" i="4"/>
  <c r="DG8" i="4"/>
  <c r="Q8" i="4" s="1"/>
  <c r="Q7" i="4"/>
  <c r="S7" i="4" s="1"/>
  <c r="L7" i="4"/>
  <c r="N6" i="4"/>
  <c r="DG6" i="4"/>
  <c r="Q6" i="4" s="1"/>
  <c r="R6" i="4" s="1"/>
  <c r="L9" i="13"/>
  <c r="Q4" i="14"/>
  <c r="P4" i="14"/>
  <c r="N6" i="13"/>
  <c r="Q6" i="13"/>
  <c r="S6" i="13" s="1"/>
  <c r="Q9" i="13"/>
  <c r="Q5" i="17"/>
  <c r="P5" i="17"/>
  <c r="P10" i="16"/>
  <c r="E10" i="16"/>
  <c r="Q4" i="16"/>
  <c r="P4" i="16"/>
  <c r="M4" i="4"/>
  <c r="DG4" i="4" s="1"/>
  <c r="J4" i="4"/>
  <c r="K4" i="4"/>
  <c r="DF4" i="4" s="1"/>
  <c r="E8" i="16"/>
  <c r="P8" i="16"/>
  <c r="Q8" i="16"/>
  <c r="E11" i="13" l="1"/>
  <c r="R11" i="13"/>
  <c r="E8" i="4"/>
  <c r="R8" i="4"/>
  <c r="S8" i="4"/>
  <c r="R7" i="4"/>
  <c r="E7" i="4"/>
  <c r="E9" i="13"/>
  <c r="E7" i="13"/>
  <c r="R7" i="13"/>
  <c r="R10" i="13"/>
  <c r="S10" i="13"/>
  <c r="R6" i="13"/>
  <c r="E6" i="13"/>
  <c r="S9" i="13"/>
  <c r="R9" i="13"/>
  <c r="E6" i="4"/>
  <c r="S6" i="4"/>
  <c r="S5" i="4"/>
  <c r="R5" i="4"/>
  <c r="L4" i="4"/>
  <c r="Q4" i="4"/>
  <c r="N4" i="4"/>
  <c r="CW8" i="13"/>
  <c r="CX8" i="13"/>
  <c r="CY8" i="13"/>
  <c r="CZ8" i="13"/>
  <c r="DA8" i="13"/>
  <c r="DC8" i="13"/>
  <c r="DD8" i="13"/>
  <c r="NG8" i="13"/>
  <c r="NH8" i="13"/>
  <c r="NI8" i="13"/>
  <c r="NK8" i="13"/>
  <c r="NL8" i="13"/>
  <c r="NN8" i="13"/>
  <c r="NO8" i="13"/>
  <c r="NP8" i="13"/>
  <c r="NQ8" i="13"/>
  <c r="NR8" i="13"/>
  <c r="NS8" i="13"/>
  <c r="NT8" i="13"/>
  <c r="NU8" i="13"/>
  <c r="OJ8" i="13" s="1"/>
  <c r="NV8" i="13"/>
  <c r="NW8" i="13"/>
  <c r="NX8" i="13"/>
  <c r="NY8" i="13"/>
  <c r="NZ8" i="13"/>
  <c r="OL8" i="13" s="1"/>
  <c r="OA8" i="13"/>
  <c r="OB8" i="13"/>
  <c r="OC8" i="13"/>
  <c r="OD8" i="13"/>
  <c r="OE8" i="13"/>
  <c r="OO8" i="13" s="1"/>
  <c r="OF8" i="13"/>
  <c r="OG8" i="13"/>
  <c r="OP8" i="13" s="1"/>
  <c r="CW4" i="13"/>
  <c r="CX4" i="13"/>
  <c r="CY4" i="13"/>
  <c r="CZ4" i="13"/>
  <c r="DA4" i="13"/>
  <c r="DC4" i="13"/>
  <c r="DD4" i="13"/>
  <c r="NG4" i="13"/>
  <c r="NH4" i="13"/>
  <c r="NI4" i="13"/>
  <c r="NK4" i="13"/>
  <c r="NL4" i="13"/>
  <c r="NN4" i="13"/>
  <c r="NO4" i="13"/>
  <c r="NP4" i="13"/>
  <c r="NQ4" i="13"/>
  <c r="NR4" i="13"/>
  <c r="NS4" i="13"/>
  <c r="NT4" i="13"/>
  <c r="NU4" i="13"/>
  <c r="OJ4" i="13" s="1"/>
  <c r="NV4" i="13"/>
  <c r="NW4" i="13"/>
  <c r="NX4" i="13"/>
  <c r="NY4" i="13"/>
  <c r="NZ4" i="13"/>
  <c r="OL4" i="13" s="1"/>
  <c r="OA4" i="13"/>
  <c r="OB4" i="13"/>
  <c r="OC4" i="13"/>
  <c r="OD4" i="13"/>
  <c r="OE4" i="13"/>
  <c r="OO4" i="13" s="1"/>
  <c r="OF4" i="13"/>
  <c r="OG4" i="13"/>
  <c r="OP7" i="13" l="1"/>
  <c r="E4" i="4"/>
  <c r="R4" i="4"/>
  <c r="S4" i="4"/>
  <c r="OM8" i="13"/>
  <c r="NJ8" i="13"/>
  <c r="NM8" i="13" s="1"/>
  <c r="O8" i="13"/>
  <c r="DI8" i="13" s="1"/>
  <c r="DB8" i="13"/>
  <c r="DE8" i="13" s="1"/>
  <c r="OK8" i="13"/>
  <c r="OI8" i="13"/>
  <c r="DB4" i="13"/>
  <c r="DE4" i="13" s="1"/>
  <c r="O4" i="13"/>
  <c r="OM4" i="13"/>
  <c r="NJ4" i="13"/>
  <c r="NM4" i="13" s="1"/>
  <c r="OK4" i="13"/>
  <c r="OI4" i="13"/>
  <c r="CT14" i="17"/>
  <c r="CT10" i="17"/>
  <c r="PP6" i="17"/>
  <c r="PO6" i="17"/>
  <c r="PN6" i="17"/>
  <c r="PM6" i="17"/>
  <c r="PL6" i="17"/>
  <c r="PK6" i="17"/>
  <c r="PJ6" i="17"/>
  <c r="PI6" i="17"/>
  <c r="PH6" i="17"/>
  <c r="PG6" i="17"/>
  <c r="PF6" i="17"/>
  <c r="PE6" i="17"/>
  <c r="PD6" i="17"/>
  <c r="PC6" i="17"/>
  <c r="PB6" i="17"/>
  <c r="PA6" i="17"/>
  <c r="OZ6" i="17"/>
  <c r="OY6" i="17"/>
  <c r="OX6" i="17"/>
  <c r="OW6" i="17"/>
  <c r="OU6" i="17"/>
  <c r="OT6" i="17"/>
  <c r="OS6" i="17"/>
  <c r="OR6" i="17"/>
  <c r="OQ6" i="17"/>
  <c r="CS6" i="17"/>
  <c r="CR6" i="17"/>
  <c r="CQ6" i="17"/>
  <c r="CP6" i="17"/>
  <c r="CT6" i="17" s="1"/>
  <c r="CO6" i="17"/>
  <c r="PP4" i="17"/>
  <c r="PO4" i="17"/>
  <c r="PN4" i="17"/>
  <c r="PM4" i="17"/>
  <c r="PL4" i="17"/>
  <c r="PK4" i="17"/>
  <c r="PJ4" i="17"/>
  <c r="PI4" i="17"/>
  <c r="PH4" i="17"/>
  <c r="PG4" i="17"/>
  <c r="PF4" i="17"/>
  <c r="PE4" i="17"/>
  <c r="PD4" i="17"/>
  <c r="PC4" i="17"/>
  <c r="PB4" i="17"/>
  <c r="PA4" i="17"/>
  <c r="OZ4" i="17"/>
  <c r="OY4" i="17"/>
  <c r="OX4" i="17"/>
  <c r="OW4" i="17"/>
  <c r="OU4" i="17"/>
  <c r="OT4" i="17"/>
  <c r="OS4" i="17"/>
  <c r="OR4" i="17"/>
  <c r="OQ4" i="17"/>
  <c r="CS4" i="17"/>
  <c r="CR4" i="17"/>
  <c r="CQ4" i="17"/>
  <c r="CP4" i="17"/>
  <c r="CT4" i="17" s="1"/>
  <c r="CO4" i="17"/>
  <c r="CT19" i="16"/>
  <c r="CT15" i="16"/>
  <c r="PP5" i="16"/>
  <c r="PO5" i="16"/>
  <c r="PN5" i="16"/>
  <c r="PM5" i="16"/>
  <c r="PL5" i="16"/>
  <c r="PK5" i="16"/>
  <c r="PJ5" i="16"/>
  <c r="PI5" i="16"/>
  <c r="PH5" i="16"/>
  <c r="PG5" i="16"/>
  <c r="PF5" i="16"/>
  <c r="PE5" i="16"/>
  <c r="PD5" i="16"/>
  <c r="PC5" i="16"/>
  <c r="PB5" i="16"/>
  <c r="PA5" i="16"/>
  <c r="OZ5" i="16"/>
  <c r="OY5" i="16"/>
  <c r="OX5" i="16"/>
  <c r="OW5" i="16"/>
  <c r="OU5" i="16"/>
  <c r="OT5" i="16"/>
  <c r="OS5" i="16"/>
  <c r="OR5" i="16"/>
  <c r="OQ5" i="16"/>
  <c r="CS5" i="16"/>
  <c r="CR5" i="16"/>
  <c r="CQ5" i="16"/>
  <c r="CP5" i="16"/>
  <c r="CT5" i="16" s="1"/>
  <c r="CO5" i="16"/>
  <c r="PP5" i="15"/>
  <c r="PO5" i="15"/>
  <c r="PN5" i="15"/>
  <c r="PM5" i="15"/>
  <c r="PL5" i="15"/>
  <c r="PK5" i="15"/>
  <c r="PJ5" i="15"/>
  <c r="PI5" i="15"/>
  <c r="PH5" i="15"/>
  <c r="PG5" i="15"/>
  <c r="PF5" i="15"/>
  <c r="PE5" i="15"/>
  <c r="PD5" i="15"/>
  <c r="PC5" i="15"/>
  <c r="PB5" i="15"/>
  <c r="PA5" i="15"/>
  <c r="OZ5" i="15"/>
  <c r="OY5" i="15"/>
  <c r="OX5" i="15"/>
  <c r="OW5" i="15"/>
  <c r="OU5" i="15"/>
  <c r="OT5" i="15"/>
  <c r="OS5" i="15"/>
  <c r="OR5" i="15"/>
  <c r="OQ5" i="15"/>
  <c r="CS5" i="15"/>
  <c r="CR5" i="15"/>
  <c r="CQ5" i="15"/>
  <c r="CP5" i="15"/>
  <c r="CO5" i="15"/>
  <c r="CT14" i="14"/>
  <c r="CT10" i="14"/>
  <c r="PP5" i="14"/>
  <c r="PO5" i="14"/>
  <c r="PN5" i="14"/>
  <c r="PM5" i="14"/>
  <c r="PL5" i="14"/>
  <c r="PK5" i="14"/>
  <c r="PJ5" i="14"/>
  <c r="PI5" i="14"/>
  <c r="PH5" i="14"/>
  <c r="PG5" i="14"/>
  <c r="PF5" i="14"/>
  <c r="PE5" i="14"/>
  <c r="PD5" i="14"/>
  <c r="PC5" i="14"/>
  <c r="PB5" i="14"/>
  <c r="PA5" i="14"/>
  <c r="OZ5" i="14"/>
  <c r="OY5" i="14"/>
  <c r="OX5" i="14"/>
  <c r="OW5" i="14"/>
  <c r="OU5" i="14"/>
  <c r="OT5" i="14"/>
  <c r="OS5" i="14"/>
  <c r="OR5" i="14"/>
  <c r="OQ5" i="14"/>
  <c r="NU5" i="14"/>
  <c r="NT5" i="14"/>
  <c r="NS5" i="14"/>
  <c r="NR5" i="14"/>
  <c r="NQ5" i="14"/>
  <c r="MU5" i="14"/>
  <c r="MT5" i="14"/>
  <c r="MS5" i="14"/>
  <c r="MR5" i="14"/>
  <c r="MQ5" i="14"/>
  <c r="LU5" i="14"/>
  <c r="LT5" i="14"/>
  <c r="LS5" i="14"/>
  <c r="LR5" i="14"/>
  <c r="LQ5" i="14"/>
  <c r="KU5" i="14"/>
  <c r="KT5" i="14"/>
  <c r="KS5" i="14"/>
  <c r="KR5" i="14"/>
  <c r="KQ5" i="14"/>
  <c r="JU5" i="14"/>
  <c r="JT5" i="14"/>
  <c r="JS5" i="14"/>
  <c r="JR5" i="14"/>
  <c r="JV5" i="14" s="1"/>
  <c r="JQ5" i="14"/>
  <c r="IU5" i="14"/>
  <c r="IT5" i="14"/>
  <c r="IS5" i="14"/>
  <c r="IR5" i="14"/>
  <c r="IQ5" i="14"/>
  <c r="HU5" i="14"/>
  <c r="HT5" i="14"/>
  <c r="HS5" i="14"/>
  <c r="HR5" i="14"/>
  <c r="HQ5" i="14"/>
  <c r="GU5" i="14"/>
  <c r="GT5" i="14"/>
  <c r="GS5" i="14"/>
  <c r="GR5" i="14"/>
  <c r="GQ5" i="14"/>
  <c r="FU5" i="14"/>
  <c r="FT5" i="14"/>
  <c r="FS5" i="14"/>
  <c r="FR5" i="14"/>
  <c r="FQ5" i="14"/>
  <c r="EU5" i="14"/>
  <c r="ET5" i="14"/>
  <c r="ES5" i="14"/>
  <c r="ER5" i="14"/>
  <c r="EV5" i="14" s="1"/>
  <c r="EQ5" i="14"/>
  <c r="DU5" i="14"/>
  <c r="DT5" i="14"/>
  <c r="DS5" i="14"/>
  <c r="DR5" i="14"/>
  <c r="DQ5" i="14"/>
  <c r="CS5" i="14"/>
  <c r="CR5" i="14"/>
  <c r="CQ5" i="14"/>
  <c r="CP5" i="14"/>
  <c r="CO5" i="14"/>
  <c r="OV5" i="16" l="1"/>
  <c r="MV5" i="14"/>
  <c r="OV5" i="14"/>
  <c r="GV5" i="14"/>
  <c r="OV4" i="17"/>
  <c r="OV6" i="17"/>
  <c r="OV5" i="15"/>
  <c r="CT5" i="15"/>
  <c r="HV5" i="14"/>
  <c r="LV5" i="14"/>
  <c r="DV5" i="14"/>
  <c r="IV5" i="14"/>
  <c r="FV5" i="14"/>
  <c r="NV5" i="14"/>
  <c r="CT5" i="14"/>
  <c r="KV5" i="14"/>
  <c r="A4" i="4" a="1"/>
  <c r="A4" i="4" s="1"/>
  <c r="A5" i="4" a="1"/>
  <c r="A5" i="4" s="1"/>
  <c r="P4" i="13"/>
  <c r="DI4" i="13"/>
  <c r="P8" i="13"/>
  <c r="I8" i="13"/>
  <c r="ON8" i="13"/>
  <c r="F8" i="13"/>
  <c r="G8" i="13"/>
  <c r="H8" i="13" s="1"/>
  <c r="A8" i="13" s="1" a="1"/>
  <c r="A8" i="13" s="1"/>
  <c r="I4" i="13"/>
  <c r="DH4" i="13" s="1"/>
  <c r="F4" i="13"/>
  <c r="G4" i="13"/>
  <c r="H4" i="13" s="1"/>
  <c r="ON4" i="13"/>
  <c r="PU6" i="17"/>
  <c r="G5" i="16"/>
  <c r="I5" i="16"/>
  <c r="J5" i="16" s="1"/>
  <c r="PS5" i="16"/>
  <c r="PT5" i="16"/>
  <c r="M5" i="16"/>
  <c r="CV5" i="16" s="1"/>
  <c r="K5" i="16"/>
  <c r="CU5" i="16" s="1"/>
  <c r="M4" i="17"/>
  <c r="CV4" i="17" s="1"/>
  <c r="PT6" i="17"/>
  <c r="G4" i="17"/>
  <c r="PT4" i="17"/>
  <c r="PR6" i="17"/>
  <c r="PR4" i="17"/>
  <c r="PS6" i="17"/>
  <c r="K6" i="17"/>
  <c r="CU6" i="17" s="1"/>
  <c r="PV4" i="17"/>
  <c r="I6" i="17"/>
  <c r="J6" i="17" s="1"/>
  <c r="PV6" i="17"/>
  <c r="PU4" i="17"/>
  <c r="PS4" i="17"/>
  <c r="I4" i="17"/>
  <c r="F6" i="17"/>
  <c r="K4" i="17"/>
  <c r="CU4" i="17" s="1"/>
  <c r="G6" i="17"/>
  <c r="M6" i="17"/>
  <c r="CV6" i="17" s="1"/>
  <c r="F4" i="17"/>
  <c r="PV5" i="16"/>
  <c r="PR5" i="16"/>
  <c r="PU5" i="16"/>
  <c r="F5" i="16"/>
  <c r="PR5" i="15"/>
  <c r="F5" i="15"/>
  <c r="G5" i="15"/>
  <c r="PS5" i="15"/>
  <c r="PT5" i="15"/>
  <c r="PV5" i="15"/>
  <c r="M5" i="15"/>
  <c r="CV5" i="15" s="1"/>
  <c r="PU5" i="15"/>
  <c r="I5" i="15"/>
  <c r="K5" i="15"/>
  <c r="CU5" i="15" s="1"/>
  <c r="M5" i="14"/>
  <c r="CV5" i="14" s="1"/>
  <c r="PT5" i="14"/>
  <c r="PR5" i="14"/>
  <c r="PS5" i="14"/>
  <c r="K5" i="14"/>
  <c r="CU5" i="14" s="1"/>
  <c r="G5" i="14"/>
  <c r="PV5" i="14"/>
  <c r="PU5" i="14"/>
  <c r="F5" i="14"/>
  <c r="I5" i="14"/>
  <c r="OQ7" i="13" l="1"/>
  <c r="OQ8" i="13"/>
  <c r="PW6" i="17"/>
  <c r="PW4" i="17"/>
  <c r="PW5" i="16"/>
  <c r="PW5" i="15"/>
  <c r="PW5" i="14"/>
  <c r="K8" i="13"/>
  <c r="DF8" i="13" s="1"/>
  <c r="DH8" i="13"/>
  <c r="O5" i="16"/>
  <c r="Q5" i="16" s="1"/>
  <c r="N5" i="16"/>
  <c r="J8" i="13"/>
  <c r="M8" i="13"/>
  <c r="DG8" i="13" s="1"/>
  <c r="J4" i="13"/>
  <c r="M4" i="13"/>
  <c r="DG4" i="13" s="1"/>
  <c r="K4" i="13"/>
  <c r="DF4" i="13" s="1"/>
  <c r="L5" i="16"/>
  <c r="N5" i="14"/>
  <c r="L5" i="14"/>
  <c r="H5" i="14"/>
  <c r="N4" i="17"/>
  <c r="H5" i="15"/>
  <c r="H6" i="17"/>
  <c r="H4" i="17"/>
  <c r="H5" i="16"/>
  <c r="L6" i="17"/>
  <c r="J4" i="17"/>
  <c r="N6" i="17"/>
  <c r="O6" i="17"/>
  <c r="L4" i="17"/>
  <c r="N5" i="15"/>
  <c r="J5" i="15"/>
  <c r="O5" i="15"/>
  <c r="L5" i="15"/>
  <c r="J5" i="14"/>
  <c r="A5" i="15" l="1" a="1"/>
  <c r="A5" i="15" s="1"/>
  <c r="L8" i="13"/>
  <c r="L4" i="13"/>
  <c r="P5" i="16"/>
  <c r="E5" i="16"/>
  <c r="A5" i="16" s="1" a="1"/>
  <c r="A5" i="16" s="1"/>
  <c r="N8" i="13"/>
  <c r="N4" i="13"/>
  <c r="Q8" i="13"/>
  <c r="Q4" i="13"/>
  <c r="O4" i="17"/>
  <c r="E4" i="17" s="1"/>
  <c r="O5" i="14"/>
  <c r="E5" i="14" s="1"/>
  <c r="A5" i="14" s="1" a="1"/>
  <c r="A5" i="14" s="1"/>
  <c r="Q6" i="17"/>
  <c r="P6" i="17"/>
  <c r="E6" i="17"/>
  <c r="E5" i="15"/>
  <c r="A4" i="15" s="1" a="1"/>
  <c r="A4" i="15" s="1"/>
  <c r="P5" i="15"/>
  <c r="Q5" i="15"/>
  <c r="A6" i="17" l="1" a="1"/>
  <c r="A6" i="17" s="1"/>
  <c r="A6" i="14" a="1"/>
  <c r="A6" i="14" s="1"/>
  <c r="A5" i="17" a="1"/>
  <c r="A5" i="17" s="1"/>
  <c r="A4" i="17" a="1"/>
  <c r="A4" i="17" s="1"/>
  <c r="A10" i="16" a="1"/>
  <c r="A10" i="16" s="1"/>
  <c r="A8" i="16" a="1"/>
  <c r="A8" i="16" s="1"/>
  <c r="A6" i="16" a="1"/>
  <c r="A6" i="16" s="1"/>
  <c r="A7" i="16" a="1"/>
  <c r="A7" i="16" s="1"/>
  <c r="A4" i="16" a="1"/>
  <c r="A4" i="16" s="1"/>
  <c r="A11" i="16" a="1"/>
  <c r="A11" i="16" s="1"/>
  <c r="A9" i="16" a="1"/>
  <c r="A9" i="16" s="1"/>
  <c r="A4" i="14" a="1"/>
  <c r="A4" i="14" s="1"/>
  <c r="E8" i="13"/>
  <c r="E4" i="13"/>
  <c r="R8" i="13"/>
  <c r="S8" i="13"/>
  <c r="R4" i="13"/>
  <c r="S4" i="13"/>
  <c r="Q4" i="17"/>
  <c r="P4" i="17"/>
  <c r="Q5" i="14"/>
  <c r="P5" i="14"/>
  <c r="D12" i="11" l="1"/>
  <c r="C11" i="11"/>
  <c r="D13" i="11"/>
  <c r="D11" i="11"/>
  <c r="C12" i="11"/>
  <c r="C10" i="11"/>
  <c r="D10" i="11"/>
  <c r="C13" i="11"/>
  <c r="C14" i="11"/>
  <c r="C19" i="11"/>
  <c r="D20" i="11"/>
  <c r="C21" i="11"/>
  <c r="D21" i="11"/>
  <c r="C20" i="11"/>
  <c r="D19" i="11"/>
  <c r="C18" i="11"/>
  <c r="D14" i="11"/>
  <c r="C15" i="11"/>
  <c r="D18" i="11"/>
  <c r="D17" i="11"/>
  <c r="D16" i="11"/>
  <c r="D15" i="11"/>
  <c r="C17" i="11"/>
  <c r="C16" i="11"/>
  <c r="D25" i="11"/>
  <c r="C23" i="11"/>
  <c r="C25" i="11"/>
  <c r="D24" i="11"/>
  <c r="C24" i="11"/>
  <c r="C22" i="11"/>
  <c r="D23" i="11"/>
  <c r="D22" i="11"/>
  <c r="CW5" i="13"/>
  <c r="CX5" i="13"/>
  <c r="CY5" i="13"/>
  <c r="CZ5" i="13"/>
  <c r="DA5" i="13"/>
  <c r="DC5" i="13"/>
  <c r="DD5" i="13"/>
  <c r="NG5" i="13"/>
  <c r="NH5" i="13"/>
  <c r="NI5" i="13"/>
  <c r="NK5" i="13"/>
  <c r="NL5" i="13"/>
  <c r="NN5" i="13"/>
  <c r="NO5" i="13"/>
  <c r="NP5" i="13"/>
  <c r="NQ5" i="13"/>
  <c r="NR5" i="13"/>
  <c r="NS5" i="13"/>
  <c r="NT5" i="13"/>
  <c r="NU5" i="13"/>
  <c r="OJ5" i="13" s="1"/>
  <c r="NV5" i="13"/>
  <c r="NW5" i="13"/>
  <c r="NX5" i="13"/>
  <c r="NY5" i="13"/>
  <c r="NZ5" i="13"/>
  <c r="OL5" i="13" s="1"/>
  <c r="OA5" i="13"/>
  <c r="OB5" i="13"/>
  <c r="OC5" i="13"/>
  <c r="OD5" i="13"/>
  <c r="OE5" i="13"/>
  <c r="OO5" i="13" s="1"/>
  <c r="OF5" i="13"/>
  <c r="OG5" i="13"/>
  <c r="OP5" i="13" l="1"/>
  <c r="OP6" i="13"/>
  <c r="OP4" i="13"/>
  <c r="DB5" i="13"/>
  <c r="DE5" i="13" s="1"/>
  <c r="OM5" i="13"/>
  <c r="NJ5" i="13"/>
  <c r="NM5" i="13" s="1"/>
  <c r="OI5" i="13"/>
  <c r="OK5" i="13"/>
  <c r="O5" i="13"/>
  <c r="DI5" i="13" s="1"/>
  <c r="F5" i="13" l="1"/>
  <c r="G5" i="13"/>
  <c r="H5" i="13"/>
  <c r="I5" i="13"/>
  <c r="DH5" i="13" s="1"/>
  <c r="ON5" i="13"/>
  <c r="P5" i="13"/>
  <c r="A5" i="13" l="1" a="1"/>
  <c r="A5" i="13" s="1"/>
  <c r="OQ6" i="13"/>
  <c r="OQ5" i="13"/>
  <c r="J5" i="13"/>
  <c r="OQ4" i="13"/>
  <c r="M5" i="13"/>
  <c r="DG5" i="13" s="1"/>
  <c r="K5" i="13"/>
  <c r="DF5" i="13" s="1"/>
  <c r="L5" i="13" l="1"/>
  <c r="Q5" i="13"/>
  <c r="N5" i="13"/>
  <c r="R5" i="13" l="1"/>
  <c r="S5" i="13"/>
  <c r="E5" i="13"/>
  <c r="A4" i="13" s="1" a="1"/>
  <c r="A4" i="13" s="1"/>
  <c r="D3" i="11" l="1"/>
  <c r="D4" i="11"/>
  <c r="C4" i="11"/>
  <c r="D5" i="11"/>
  <c r="C5" i="11"/>
  <c r="C3" i="11"/>
  <c r="D2" i="11"/>
  <c r="C2" i="11"/>
  <c r="D8" i="11" l="1"/>
  <c r="D7" i="11"/>
  <c r="C9" i="11"/>
  <c r="C8" i="11"/>
  <c r="C6" i="11"/>
  <c r="D9" i="11"/>
  <c r="C7" i="11"/>
  <c r="D6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<sst xmlns="http://schemas.openxmlformats.org/spreadsheetml/2006/main" count="3207" uniqueCount="112">
  <si>
    <t>Province</t>
  </si>
  <si>
    <t>Rank</t>
  </si>
  <si>
    <t>Total Points</t>
  </si>
  <si>
    <t>QC</t>
  </si>
  <si>
    <t>DD</t>
  </si>
  <si>
    <t>Team Score</t>
  </si>
  <si>
    <t>Standing</t>
  </si>
  <si>
    <t>Best Prelim</t>
  </si>
  <si>
    <t>Best Vol 1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</si>
  <si>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</si>
  <si>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</si>
  <si>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</si>
  <si>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</si>
  <si>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</si>
  <si>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</si>
  <si>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</si>
  <si>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</si>
  <si>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</si>
  <si>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</si>
  <si>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</si>
  <si>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</si>
  <si>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Athlete</t>
  </si>
  <si>
    <t>Penalty</t>
  </si>
  <si>
    <t>Bonus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</si>
  <si>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</si>
  <si>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</si>
  <si>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</si>
  <si>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</si>
  <si>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</si>
  <si>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</si>
  <si>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Team Members:</t>
  </si>
  <si>
    <t>TRA-M</t>
  </si>
  <si>
    <t>Member</t>
  </si>
  <si>
    <t>Last Updated:</t>
  </si>
  <si>
    <t>TRA-W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</si>
  <si>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</si>
  <si>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</si>
  <si>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</si>
  <si>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</si>
  <si>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</si>
  <si>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</si>
  <si>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</si>
  <si>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</si>
  <si>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Injury</t>
  </si>
  <si>
    <t>P</t>
  </si>
  <si>
    <t>Injury Score</t>
  </si>
  <si>
    <t>Year of Birth</t>
  </si>
  <si>
    <t>Select</t>
  </si>
  <si>
    <t>Delete oldest domestic trial</t>
  </si>
  <si>
    <t>Add a new athlete to:</t>
  </si>
  <si>
    <t>Optional DD</t>
  </si>
  <si>
    <t>Best International Diff</t>
  </si>
  <si>
    <t>National Team DD and Score</t>
  </si>
  <si>
    <t>Excellence Score</t>
  </si>
  <si>
    <t>Excellence DD</t>
  </si>
  <si>
    <t>Potential Injury Score</t>
  </si>
  <si>
    <t>Finals DD</t>
  </si>
  <si>
    <t>Remove athlete:</t>
  </si>
  <si>
    <t>Delete oldest international competitions</t>
  </si>
  <si>
    <t>Merit DD</t>
  </si>
  <si>
    <t>Voluntary 3</t>
  </si>
  <si>
    <t>Vol 3</t>
  </si>
  <si>
    <t>Vol 2 DD</t>
  </si>
  <si>
    <t>Vol 3 DD</t>
  </si>
  <si>
    <t>Best Vol 2</t>
  </si>
  <si>
    <t>ON</t>
  </si>
  <si>
    <t>AB</t>
  </si>
  <si>
    <t>LEE-McMEEKEN, Brooklyn</t>
  </si>
  <si>
    <t>BC</t>
  </si>
  <si>
    <t>Best Q1</t>
  </si>
  <si>
    <t>2nd Best Q1</t>
  </si>
  <si>
    <t>Q1 Pass 1</t>
  </si>
  <si>
    <t>Q1 Pass 2</t>
  </si>
  <si>
    <t>Q2</t>
  </si>
  <si>
    <t>F1</t>
  </si>
  <si>
    <t>F2</t>
  </si>
  <si>
    <t>Q1 DD</t>
  </si>
  <si>
    <t>Q1</t>
  </si>
  <si>
    <t>Finals</t>
  </si>
  <si>
    <t>LEE-MCMEEKEN, Brooklyn</t>
  </si>
  <si>
    <t>HARBO, Owen</t>
  </si>
  <si>
    <t>CYMAN, Cody</t>
  </si>
  <si>
    <t>CORRIVEAU, Mélina</t>
  </si>
  <si>
    <t>2022 WAGC (Nov 24)</t>
  </si>
  <si>
    <t>2022 WAGC (Nov 26)</t>
  </si>
  <si>
    <t>KUZNAK, Sienna</t>
  </si>
  <si>
    <t>LOISELLE, Hector</t>
  </si>
  <si>
    <t>SCOTT, Ethan</t>
  </si>
  <si>
    <t>BLOOM, Tristan</t>
  </si>
  <si>
    <t>SCHMIDT, Jordyn</t>
  </si>
  <si>
    <t>2023 Elite Canada</t>
  </si>
  <si>
    <t>GIBBS, Gavin</t>
  </si>
  <si>
    <t>2023 Pan Am Championships (May 14)</t>
  </si>
  <si>
    <t>2023 Pan Am Club Championships (May 14)</t>
  </si>
  <si>
    <t>2023 Nationals</t>
  </si>
  <si>
    <t>BEAULIEU, Alex</t>
  </si>
  <si>
    <t>D'HONDT, Luke</t>
  </si>
  <si>
    <t>GOOD, Hayden</t>
  </si>
  <si>
    <t>SCHMIDT, Makena</t>
  </si>
  <si>
    <t>LEPORÉ, Amylia</t>
  </si>
  <si>
    <t>PECK, Rachel</t>
  </si>
  <si>
    <t>SK</t>
  </si>
  <si>
    <t>REIMCHE, Wilson</t>
  </si>
  <si>
    <t>ROBERTSON, Griffyn</t>
  </si>
  <si>
    <t>ANDERSEN, Travis</t>
  </si>
  <si>
    <t>LEUNG, Theo</t>
  </si>
  <si>
    <t>PROULX, Sarah-Kim</t>
  </si>
  <si>
    <t>2023 3rd Domestic Trial</t>
  </si>
  <si>
    <t>2023 WAGC (Nov 16)</t>
  </si>
  <si>
    <t>2023 WAGC (Nov 18)</t>
  </si>
  <si>
    <t>2023 WAGC</t>
  </si>
  <si>
    <t>2023 Junior Worlds (Nov 19)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</si>
</sst>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4" x14ac:knownFonts="1">
    <font>
      <sz val="12"/>
      <color theme="1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color rgb="FFFF00FC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FF03FD"/>
      <name val="Calibri"/>
      <family val="2"/>
      <scheme val="minor"/>
    </font>
    <font>
      <sz val="12"/>
      <color rgb="FF07B459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BFFF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BFFE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50">
    <xf numFmtId="0" fontId="0" fillId="0" borderId="0"/>
    <xf numFmtId="0" fontId="1" fillId="2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82">
    <xf numFmtId="0" fontId="0" fillId="0" borderId="0" xfId="0"/>
    <xf numFmtId="0" fontId="4" fillId="0" borderId="0" xfId="0" applyFont="1" applyAlignment="1">
      <alignment horizontal="center"/>
    </xf>
    <xf numFmtId="164" fontId="0" fillId="0" borderId="0" xfId="0" applyNumberFormat="1"/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/>
    <xf numFmtId="0" fontId="0" fillId="3" borderId="0" xfId="0" applyFill="1"/>
    <xf numFmtId="164" fontId="0" fillId="3" borderId="0" xfId="0" applyNumberFormat="1" applyFill="1"/>
    <xf numFmtId="0" fontId="0" fillId="4" borderId="0" xfId="0" applyFill="1"/>
    <xf numFmtId="164" fontId="0" fillId="4" borderId="0" xfId="0" applyNumberFormat="1" applyFill="1"/>
    <xf numFmtId="164" fontId="3" fillId="0" borderId="0" xfId="0" applyNumberFormat="1" applyFont="1"/>
    <xf numFmtId="0" fontId="13" fillId="0" borderId="0" xfId="0" applyFont="1"/>
    <xf numFmtId="0" fontId="0" fillId="10" borderId="0" xfId="0" applyFill="1"/>
    <xf numFmtId="164" fontId="0" fillId="10" borderId="0" xfId="0" applyNumberFormat="1" applyFill="1"/>
    <xf numFmtId="164" fontId="0" fillId="4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4" fontId="0" fillId="3" borderId="1" xfId="0" applyNumberFormat="1" applyFill="1" applyBorder="1" applyProtection="1">
      <protection locked="0"/>
    </xf>
    <xf numFmtId="164" fontId="0" fillId="4" borderId="1" xfId="0" applyNumberFormat="1" applyFill="1" applyBorder="1" applyProtection="1">
      <protection locked="0"/>
    </xf>
    <xf numFmtId="164" fontId="0" fillId="3" borderId="1" xfId="0" applyNumberFormat="1" applyFill="1" applyBorder="1" applyAlignment="1" applyProtection="1">
      <alignment horizontal="left"/>
      <protection locked="0"/>
    </xf>
    <xf numFmtId="0" fontId="12" fillId="11" borderId="0" xfId="0" applyFont="1" applyFill="1" applyAlignment="1">
      <alignment horizontal="center"/>
    </xf>
    <xf numFmtId="164" fontId="6" fillId="0" borderId="0" xfId="0" applyNumberFormat="1" applyFont="1"/>
    <xf numFmtId="164" fontId="6" fillId="4" borderId="1" xfId="1" applyNumberFormat="1" applyFont="1" applyFill="1" applyBorder="1" applyProtection="1">
      <protection locked="0"/>
    </xf>
    <xf numFmtId="164" fontId="17" fillId="6" borderId="0" xfId="0" applyNumberFormat="1" applyFont="1" applyFill="1" applyProtection="1">
      <protection locked="0"/>
    </xf>
    <xf numFmtId="164" fontId="10" fillId="7" borderId="0" xfId="0" applyNumberFormat="1" applyFont="1" applyFill="1" applyProtection="1">
      <protection locked="0"/>
    </xf>
    <xf numFmtId="164" fontId="11" fillId="8" borderId="0" xfId="0" applyNumberFormat="1" applyFont="1" applyFill="1" applyProtection="1">
      <protection locked="0"/>
    </xf>
    <xf numFmtId="164" fontId="6" fillId="3" borderId="1" xfId="0" applyNumberFormat="1" applyFont="1" applyFill="1" applyBorder="1" applyProtection="1">
      <protection locked="0"/>
    </xf>
    <xf numFmtId="0" fontId="17" fillId="6" borderId="0" xfId="0" applyFont="1" applyFill="1"/>
    <xf numFmtId="0" fontId="10" fillId="7" borderId="0" xfId="0" applyFont="1" applyFill="1"/>
    <xf numFmtId="0" fontId="11" fillId="8" borderId="0" xfId="0" applyFont="1" applyFill="1"/>
    <xf numFmtId="164" fontId="6" fillId="4" borderId="1" xfId="0" applyNumberFormat="1" applyFont="1" applyFill="1" applyBorder="1" applyProtection="1">
      <protection locked="0"/>
    </xf>
    <xf numFmtId="164" fontId="19" fillId="3" borderId="1" xfId="0" applyNumberFormat="1" applyFont="1" applyFill="1" applyBorder="1" applyAlignment="1" applyProtection="1">
      <alignment horizontal="center"/>
      <protection locked="0"/>
    </xf>
    <xf numFmtId="164" fontId="19" fillId="4" borderId="1" xfId="0" applyNumberFormat="1" applyFont="1" applyFill="1" applyBorder="1" applyAlignment="1" applyProtection="1">
      <alignment horizontal="center"/>
      <protection locked="0"/>
    </xf>
    <xf numFmtId="0" fontId="16" fillId="0" borderId="0" xfId="0" applyFont="1"/>
    <xf numFmtId="0" fontId="20" fillId="13" borderId="0" xfId="0" applyFont="1" applyFill="1"/>
    <xf numFmtId="0" fontId="2" fillId="14" borderId="0" xfId="0" applyFont="1" applyFill="1"/>
    <xf numFmtId="164" fontId="20" fillId="13" borderId="0" xfId="0" applyNumberFormat="1" applyFont="1" applyFill="1" applyProtection="1">
      <protection locked="0"/>
    </xf>
    <xf numFmtId="164" fontId="2" fillId="14" borderId="0" xfId="0" applyNumberFormat="1" applyFont="1" applyFill="1" applyProtection="1">
      <protection locked="0"/>
    </xf>
    <xf numFmtId="164" fontId="20" fillId="15" borderId="0" xfId="0" applyNumberFormat="1" applyFont="1" applyFill="1" applyProtection="1">
      <protection locked="0"/>
    </xf>
    <xf numFmtId="0" fontId="21" fillId="16" borderId="0" xfId="0" applyFont="1" applyFill="1"/>
    <xf numFmtId="164" fontId="21" fillId="16" borderId="0" xfId="0" applyNumberFormat="1" applyFont="1" applyFill="1" applyProtection="1">
      <protection locked="0"/>
    </xf>
    <xf numFmtId="0" fontId="23" fillId="5" borderId="0" xfId="0" applyFont="1" applyFill="1"/>
    <xf numFmtId="164" fontId="23" fillId="5" borderId="0" xfId="0" applyNumberFormat="1" applyFont="1" applyFill="1" applyProtection="1">
      <protection locked="0"/>
    </xf>
    <xf numFmtId="0" fontId="22" fillId="17" borderId="0" xfId="0" applyFont="1" applyFill="1"/>
    <xf numFmtId="164" fontId="22" fillId="17" borderId="0" xfId="0" applyNumberFormat="1" applyFont="1" applyFill="1" applyProtection="1">
      <protection locked="0"/>
    </xf>
    <xf numFmtId="164" fontId="6" fillId="0" borderId="0" xfId="0" applyNumberFormat="1" applyFont="1" applyProtection="1">
      <protection locked="0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164" fontId="0" fillId="0" borderId="0" xfId="0" applyNumberFormat="1" applyAlignment="1">
      <alignment horizontal="right"/>
    </xf>
    <xf numFmtId="0" fontId="12" fillId="0" borderId="0" xfId="0" applyFont="1" applyAlignment="1">
      <alignment horizontal="right"/>
    </xf>
    <xf numFmtId="0" fontId="12" fillId="9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0" fontId="0" fillId="10" borderId="0" xfId="0" applyFill="1" applyAlignment="1">
      <alignment horizontal="center"/>
    </xf>
    <xf numFmtId="164" fontId="0" fillId="3" borderId="0" xfId="0" applyNumberFormat="1" applyFill="1" applyAlignment="1">
      <alignment horizontal="center"/>
    </xf>
    <xf numFmtId="164" fontId="0" fillId="10" borderId="0" xfId="0" applyNumberFormat="1" applyFill="1" applyAlignment="1">
      <alignment horizontal="center"/>
    </xf>
    <xf numFmtId="164" fontId="17" fillId="6" borderId="0" xfId="0" applyNumberFormat="1" applyFont="1" applyFill="1" applyAlignment="1" applyProtection="1">
      <alignment horizontal="center"/>
      <protection locked="0"/>
    </xf>
    <xf numFmtId="164" fontId="20" fillId="13" borderId="0" xfId="0" applyNumberFormat="1" applyFont="1" applyFill="1" applyAlignment="1" applyProtection="1">
      <alignment horizontal="center"/>
      <protection locked="0"/>
    </xf>
    <xf numFmtId="164" fontId="2" fillId="14" borderId="0" xfId="0" applyNumberFormat="1" applyFont="1" applyFill="1" applyAlignment="1" applyProtection="1">
      <alignment horizontal="center"/>
      <protection locked="0"/>
    </xf>
    <xf numFmtId="164" fontId="22" fillId="17" borderId="0" xfId="0" applyNumberFormat="1" applyFont="1" applyFill="1" applyAlignment="1" applyProtection="1">
      <alignment horizontal="center"/>
      <protection locked="0"/>
    </xf>
    <xf numFmtId="164" fontId="23" fillId="5" borderId="0" xfId="0" applyNumberFormat="1" applyFont="1" applyFill="1" applyAlignment="1" applyProtection="1">
      <alignment horizontal="center"/>
      <protection locked="0"/>
    </xf>
    <xf numFmtId="164" fontId="10" fillId="7" borderId="0" xfId="0" applyNumberFormat="1" applyFont="1" applyFill="1" applyAlignment="1" applyProtection="1">
      <alignment horizontal="center"/>
      <protection locked="0"/>
    </xf>
    <xf numFmtId="164" fontId="21" fillId="16" borderId="0" xfId="0" applyNumberFormat="1" applyFont="1" applyFill="1" applyAlignment="1" applyProtection="1">
      <alignment horizontal="center"/>
      <protection locked="0"/>
    </xf>
    <xf numFmtId="164" fontId="11" fillId="8" borderId="0" xfId="0" applyNumberFormat="1" applyFont="1" applyFill="1" applyAlignment="1" applyProtection="1">
      <alignment horizontal="center"/>
      <protection locked="0"/>
    </xf>
    <xf numFmtId="164" fontId="18" fillId="12" borderId="0" xfId="0" applyNumberFormat="1" applyFont="1" applyFill="1" applyAlignment="1" applyProtection="1">
      <alignment horizontal="center"/>
      <protection locked="0"/>
    </xf>
    <xf numFmtId="164" fontId="9" fillId="5" borderId="0" xfId="0" applyNumberFormat="1" applyFont="1" applyFill="1" applyAlignment="1" applyProtection="1">
      <alignment horizontal="center"/>
      <protection locked="0"/>
    </xf>
    <xf numFmtId="0" fontId="5" fillId="0" borderId="0" xfId="0" applyFont="1"/>
    <xf numFmtId="165" fontId="0" fillId="0" borderId="0" xfId="0" applyNumberFormat="1" applyAlignment="1">
      <alignment horizontal="left"/>
    </xf>
    <xf numFmtId="0" fontId="0" fillId="3" borderId="0" xfId="0" applyFill="1" applyAlignment="1">
      <alignment horizontal="center"/>
    </xf>
    <xf numFmtId="0" fontId="3" fillId="3" borderId="0" xfId="0" applyFont="1" applyFill="1" applyAlignment="1" applyProtection="1">
      <alignment horizontal="center"/>
      <protection locked="0"/>
    </xf>
    <xf numFmtId="0" fontId="0" fillId="4" borderId="0" xfId="0" applyFill="1" applyAlignment="1">
      <alignment horizontal="center"/>
    </xf>
    <xf numFmtId="0" fontId="3" fillId="4" borderId="0" xfId="0" applyFont="1" applyFill="1" applyAlignment="1" applyProtection="1">
      <alignment horizontal="center"/>
      <protection locked="0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3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vertical="center"/>
    </xf>
    <xf numFmtId="0" fontId="3" fillId="10" borderId="0" xfId="0" applyFont="1" applyFill="1" applyAlignment="1" applyProtection="1">
      <alignment horizontal="center"/>
      <protection locked="0"/>
    </xf>
    <xf numFmtId="0" fontId="3" fillId="4" borderId="0" xfId="0" applyFont="1" applyFill="1" applyAlignment="1">
      <alignment horizontal="center" vertical="center" wrapText="1"/>
    </xf>
    <xf numFmtId="0" fontId="12" fillId="9" borderId="0" xfId="0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</cellXfs>
  <cellStyles count="50">
    <cellStyle name="Bad" xfId="1" builtinId="27"/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Normal" xfId="0" builtinId="0"/>
  </cellStyles>
  <dxfs count="192"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FFAF00"/>
      <color rgb="FFFF7000"/>
      <color rgb="FFFFD1AD"/>
      <color rgb="FFFFB5B7"/>
      <color rgb="FFFF03FD"/>
      <color rgb="FFFFBFFE"/>
      <color rgb="FFFFF3CC"/>
      <color rgb="FFFF0E0D"/>
      <color rgb="FFE6C6FB"/>
      <color rgb="FFB4C6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26</xdr:row>
          <xdr:rowOff>25400</xdr:rowOff>
        </xdr:from>
        <xdr:to>
          <xdr:col>0</xdr:col>
          <xdr:colOff>965200</xdr:colOff>
          <xdr:row>26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27</xdr:row>
          <xdr:rowOff>25400</xdr:rowOff>
        </xdr:from>
        <xdr:to>
          <xdr:col>0</xdr:col>
          <xdr:colOff>965200</xdr:colOff>
          <xdr:row>27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28</xdr:row>
          <xdr:rowOff>38100</xdr:rowOff>
        </xdr:from>
        <xdr:to>
          <xdr:col>0</xdr:col>
          <xdr:colOff>965200</xdr:colOff>
          <xdr:row>28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29</xdr:row>
          <xdr:rowOff>25400</xdr:rowOff>
        </xdr:from>
        <xdr:to>
          <xdr:col>0</xdr:col>
          <xdr:colOff>977900</xdr:colOff>
          <xdr:row>29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31</xdr:row>
          <xdr:rowOff>25400</xdr:rowOff>
        </xdr:from>
        <xdr:to>
          <xdr:col>0</xdr:col>
          <xdr:colOff>977900</xdr:colOff>
          <xdr:row>31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32</xdr:row>
          <xdr:rowOff>25400</xdr:rowOff>
        </xdr:from>
        <xdr:to>
          <xdr:col>0</xdr:col>
          <xdr:colOff>965200</xdr:colOff>
          <xdr:row>32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30</xdr:row>
          <xdr:rowOff>25400</xdr:rowOff>
        </xdr:from>
        <xdr:to>
          <xdr:col>0</xdr:col>
          <xdr:colOff>977900</xdr:colOff>
          <xdr:row>30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F35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6" x14ac:dyDescent="0.2">
      <c r="A1" t="s">
        <v>30</v>
      </c>
      <c r="B1" t="s">
        <v>1</v>
      </c>
      <c r="C1" t="s">
        <v>32</v>
      </c>
      <c r="D1" s="47" t="s">
        <v>6</v>
      </c>
    </row>
    <row r="2" spans="1:6" x14ac:dyDescent="0.2">
      <c r="A2" s="6" t="s">
        <v>31</v>
      </c>
      <c r="B2" s="6">
        <v>1</v>
      </c>
      <c r="C2" s="6" t="str">
        <f>IF(B2&gt;MAX('TRA-M'!A:A),"",INDEX('TRA-M'!B:B,MATCH(B2,'TRA-M'!A:A,0)))</f>
        <v>CYMAN, Cody</v>
      </c>
      <c r="D2" s="16" t="str">
        <f>IF(B2&gt;MAX('TRA-M'!A:A),"",INDEX('TRA-M'!H:H,MATCH(B2,'TRA-M'!A:A,0)))</f>
        <v>National Team</v>
      </c>
      <c r="E2" s="15"/>
      <c r="F2" s="15"/>
    </row>
    <row r="3" spans="1:6" x14ac:dyDescent="0.2">
      <c r="A3" s="6"/>
      <c r="B3" s="6">
        <v>2</v>
      </c>
      <c r="C3" s="6" t="str">
        <f>IF(B3&gt;MAX('TRA-M'!A:A),"",INDEX('TRA-M'!B:B,MATCH(B3,'TRA-M'!A:A,0)))</f>
        <v>BEAULIEU, Alex</v>
      </c>
      <c r="D3" s="16" t="str">
        <f>IF(B3&gt;MAX('TRA-M'!A:A),"",INDEX('TRA-M'!H:H,MATCH(B3,'TRA-M'!A:A,0)))</f>
        <v>No DD</v>
      </c>
      <c r="E3" s="15"/>
      <c r="F3" s="15"/>
    </row>
    <row r="4" spans="1:6" hidden="1" x14ac:dyDescent="0.2">
      <c r="A4" s="6"/>
      <c r="B4" s="6">
        <v>3</v>
      </c>
      <c r="C4" s="6" t="str">
        <f>IF(B4&gt;MAX('TRA-M'!A:A),"",INDEX('TRA-M'!B:B,MATCH(B4,'TRA-M'!A:A,0)))</f>
        <v/>
      </c>
      <c r="D4" s="16" t="str">
        <f>IF(B4&gt;MAX('TRA-M'!A:A),"",INDEX('TRA-M'!H:H,MATCH(B4,'TRA-M'!A:A,0)))</f>
        <v/>
      </c>
      <c r="E4" s="15"/>
      <c r="F4" s="15"/>
    </row>
    <row r="5" spans="1:6" hidden="1" x14ac:dyDescent="0.2">
      <c r="A5" s="6"/>
      <c r="B5" s="6">
        <v>4</v>
      </c>
      <c r="C5" s="6" t="str">
        <f>IF(B5&gt;MAX('TRA-M'!A:A),"",INDEX('TRA-M'!B:B,MATCH(B5,'TRA-M'!A:A,0)))</f>
        <v/>
      </c>
      <c r="D5" s="16" t="str">
        <f>IF(B5&gt;MAX('TRA-M'!A:A),"",INDEX('TRA-M'!H:H,MATCH(B5,'TRA-M'!A:A,0)))</f>
        <v/>
      </c>
    </row>
    <row r="6" spans="1:6" x14ac:dyDescent="0.2">
      <c r="A6" s="8" t="s">
        <v>34</v>
      </c>
      <c r="B6" s="8">
        <v>1</v>
      </c>
      <c r="C6" s="8" t="str">
        <f>IF(B2&gt;MAX('TRA-W'!A:A),"",INDEX('TRA-W'!B:B,MATCH(B2,'TRA-W'!A:A,0)))</f>
        <v>CORRIVEAU, Mélina</v>
      </c>
      <c r="D6" s="17" t="str">
        <f>IF(B2&gt;MAX('TRA-W'!A:A),"",INDEX('TRA-W'!H:H,MATCH(B2,'TRA-W'!A:A,0)))</f>
        <v>National Team</v>
      </c>
    </row>
    <row r="7" spans="1:6" hidden="1" x14ac:dyDescent="0.2">
      <c r="A7" s="8"/>
      <c r="B7" s="8">
        <v>2</v>
      </c>
      <c r="C7" s="8" t="str">
        <f>IF(B3&gt;MAX('TRA-W'!A:A),"",INDEX('TRA-W'!B:B,MATCH(B3,'TRA-W'!A:A,0)))</f>
        <v/>
      </c>
      <c r="D7" s="17" t="str">
        <f>IF(B3&gt;MAX('TRA-W'!A:A),"",INDEX('TRA-W'!H:H,MATCH(B3,'TRA-W'!A:A,0)))</f>
        <v/>
      </c>
    </row>
    <row r="8" spans="1:6" hidden="1" x14ac:dyDescent="0.2">
      <c r="A8" s="8"/>
      <c r="B8" s="8">
        <v>3</v>
      </c>
      <c r="C8" s="8" t="str">
        <f>IF(B4&gt;MAX('TRA-W'!A:A),"",INDEX('TRA-W'!B:B,MATCH(B4,'TRA-W'!A:A,0)))</f>
        <v/>
      </c>
      <c r="D8" s="17" t="str">
        <f>IF(B4&gt;MAX('TRA-W'!A:A),"",INDEX('TRA-W'!H:H,MATCH(B4,'TRA-W'!A:A,0)))</f>
        <v/>
      </c>
    </row>
    <row r="9" spans="1:6" hidden="1" x14ac:dyDescent="0.2">
      <c r="A9" s="8"/>
      <c r="B9" s="8">
        <v>4</v>
      </c>
      <c r="C9" s="8" t="str">
        <f>IF(B5&gt;MAX('TRA-W'!A:A),"",INDEX('TRA-W'!B:B,MATCH(B5,'TRA-W'!A:A,0)))</f>
        <v/>
      </c>
      <c r="D9" s="17" t="str">
        <f>IF(B5&gt;MAX('TRA-W'!A:A),"",INDEX('TRA-W'!H:H,MATCH(B5,'TRA-W'!A:A,0)))</f>
        <v/>
      </c>
    </row>
    <row r="10" spans="1:6" x14ac:dyDescent="0.2">
      <c r="A10" s="6" t="s">
        <v>35</v>
      </c>
      <c r="B10" s="6">
        <v>1</v>
      </c>
      <c r="C10" s="6" t="str">
        <f>IF(B2&gt;MAX('TUM-M'!A:A),"",INDEX('TUM-M'!B:B,MATCH(B2,'TUM-M'!A:A,0)))</f>
        <v>GIBBS, Gavin</v>
      </c>
      <c r="D10" s="16" t="str">
        <f>IF(B2&gt;MAX('TUM-M'!A:A),"",INDEX('TUM-M'!H:H,MATCH(B2,'TUM-M'!A:A,0)))</f>
        <v>Excellence</v>
      </c>
    </row>
    <row r="11" spans="1:6" x14ac:dyDescent="0.2">
      <c r="A11" s="6"/>
      <c r="B11" s="6">
        <v>2</v>
      </c>
      <c r="C11" s="6" t="str">
        <f>IF(B3&gt;MAX('TUM-M'!A:A),"",INDEX('TUM-M'!B:B,MATCH(B3,'TUM-M'!A:A,0)))</f>
        <v>LOISELLE, Hector</v>
      </c>
      <c r="D11" s="16" t="str">
        <f>IF(B3&gt;MAX('TUM-M'!A:A),"",INDEX('TUM-M'!H:H,MATCH(B3,'TUM-M'!A:A,0)))</f>
        <v>National Team</v>
      </c>
    </row>
    <row r="12" spans="1:6" hidden="1" x14ac:dyDescent="0.2">
      <c r="A12" s="6"/>
      <c r="B12" s="6">
        <v>3</v>
      </c>
      <c r="C12" s="6" t="str">
        <f>IF(B4&gt;MAX('TUM-M'!A:A),"",INDEX('TUM-M'!B:B,MATCH(B4,'TUM-M'!A:A,0)))</f>
        <v/>
      </c>
      <c r="D12" s="16" t="str">
        <f>IF(B4&gt;MAX('TUM-M'!A:A),"",INDEX('TUM-M'!H:H,MATCH(B4,'TUM-M'!A:A,0)))</f>
        <v/>
      </c>
    </row>
    <row r="13" spans="1:6" hidden="1" x14ac:dyDescent="0.2">
      <c r="A13" s="6"/>
      <c r="B13" s="6">
        <v>4</v>
      </c>
      <c r="C13" s="6" t="str">
        <f>IF(B5&gt;MAX('TUM-M'!A:A),"",INDEX('TUM-M'!B:B,MATCH(B5,'TUM-M'!A:A,0)))</f>
        <v/>
      </c>
      <c r="D13" s="16" t="str">
        <f>IF(B5&gt;MAX('TUM-M'!A:A),"",INDEX('TUM-M'!H:H,MATCH(B5,'TUM-M'!A:A,0)))</f>
        <v/>
      </c>
    </row>
    <row r="14" spans="1:6" x14ac:dyDescent="0.2">
      <c r="A14" s="8" t="s">
        <v>36</v>
      </c>
      <c r="B14" s="8">
        <v>1</v>
      </c>
      <c r="C14" s="8" t="str">
        <f>IF(B2&gt;MAX('TUM-W'!A:A),"",INDEX('TUM-W'!B:B,MATCH(B2,'TUM-W'!A:A,0)))</f>
        <v>PECK, Rachel</v>
      </c>
      <c r="D14" s="17" t="str">
        <f>IF(B2&gt;MAX('TUM-W'!A:A),"",INDEX('TUM-W'!H:H,MATCH(B2,'TUM-W'!A:A,0)))</f>
        <v>Excellence</v>
      </c>
    </row>
    <row r="15" spans="1:6" hidden="1" x14ac:dyDescent="0.2">
      <c r="A15" s="8"/>
      <c r="B15" s="8">
        <v>2</v>
      </c>
      <c r="C15" s="8" t="str">
        <f>IF(B3&gt;MAX('TUM-W'!A:A),"",INDEX('TUM-W'!B:B,MATCH(B3,'TUM-W'!A:A,0)))</f>
        <v/>
      </c>
      <c r="D15" s="17" t="str">
        <f>IF(B3&gt;MAX('TUM-W'!A:A),"",INDEX('TUM-W'!H:H,MATCH(B3,'TUM-W'!A:A,0)))</f>
        <v/>
      </c>
    </row>
    <row r="16" spans="1:6" hidden="1" x14ac:dyDescent="0.2">
      <c r="A16" s="8"/>
      <c r="B16" s="8">
        <v>3</v>
      </c>
      <c r="C16" s="8" t="str">
        <f>IF(B4&gt;MAX('TUM-W'!A:A),"",INDEX('TUM-W'!B:B,MATCH(B4,'TUM-W'!A:A,0)))</f>
        <v/>
      </c>
      <c r="D16" s="17" t="str">
        <f>IF(B4&gt;MAX('TUM-W'!A:A),"",INDEX('TUM-W'!H:H,MATCH(B4,'TUM-W'!A:A,0)))</f>
        <v/>
      </c>
    </row>
    <row r="17" spans="1:5" hidden="1" x14ac:dyDescent="0.2">
      <c r="A17" s="8"/>
      <c r="B17" s="8">
        <v>4</v>
      </c>
      <c r="C17" s="8" t="str">
        <f>IF(B5&gt;MAX('TUM-W'!A:A),"",INDEX('TUM-W'!B:B,MATCH(B5,'TUM-W'!A:A,0)))</f>
        <v/>
      </c>
      <c r="D17" s="17" t="str">
        <f>IF(B5&gt;MAX('TUM-W'!A:A),"",INDEX('TUM-W'!H:H,MATCH(B5,'TUM-W'!A:A,0)))</f>
        <v/>
      </c>
    </row>
    <row r="18" spans="1:5" x14ac:dyDescent="0.2">
      <c r="A18" s="6" t="s">
        <v>37</v>
      </c>
      <c r="B18" s="6">
        <v>1</v>
      </c>
      <c r="C18" s="6" t="str">
        <f>IF(B2&gt;MAX('DMT-M'!A:A),"",INDEX('DMT-M'!B:B,MATCH(B2,'DMT-M'!A:A,0)))</f>
        <v>BLOOM, Tristan</v>
      </c>
      <c r="D18" s="16" t="str">
        <f>IF(B2&gt;MAX('DMT-M'!A:A),"",INDEX('DMT-M'!H:H,MATCH(B2,'DMT-M'!A:A,0)))</f>
        <v>Excellence</v>
      </c>
    </row>
    <row r="19" spans="1:5" x14ac:dyDescent="0.2">
      <c r="A19" s="6"/>
      <c r="B19" s="6">
        <v>2</v>
      </c>
      <c r="C19" s="6" t="str">
        <f>IF(B3&gt;MAX('DMT-M'!A:A),"",INDEX('DMT-M'!B:B,MATCH(B3,'DMT-M'!A:A,0)))</f>
        <v>HARBO, Owen</v>
      </c>
      <c r="D19" s="16" t="str">
        <f>IF(B3&gt;MAX('DMT-M'!A:A),"",INDEX('DMT-M'!H:H,MATCH(B3,'DMT-M'!A:A,0)))</f>
        <v>Excellence</v>
      </c>
    </row>
    <row r="20" spans="1:5" x14ac:dyDescent="0.2">
      <c r="A20" s="6"/>
      <c r="B20" s="6">
        <v>3</v>
      </c>
      <c r="C20" s="6" t="str">
        <f>IF(B4&gt;MAX('DMT-M'!A:A),"",INDEX('DMT-M'!B:B,MATCH(B4,'DMT-M'!A:A,0)))</f>
        <v>ROBERTSON, Griffyn</v>
      </c>
      <c r="D20" s="16" t="str">
        <f>IF(B4&gt;MAX('DMT-M'!A:A),"",INDEX('DMT-M'!H:H,MATCH(B4,'DMT-M'!A:A,0)))</f>
        <v>Excellence</v>
      </c>
    </row>
    <row r="21" spans="1:5" x14ac:dyDescent="0.2">
      <c r="A21" s="6"/>
      <c r="B21" s="6">
        <v>4</v>
      </c>
      <c r="C21" s="6" t="str">
        <f>IF(B5&gt;MAX('DMT-M'!A:A),"",INDEX('DMT-M'!B:B,MATCH(B5,'DMT-M'!A:A,0)))</f>
        <v>REIMCHE, Wilson</v>
      </c>
      <c r="D21" s="16" t="str">
        <f>IF(B5&gt;MAX('DMT-M'!A:A),"",INDEX('DMT-M'!H:H,MATCH(B5,'DMT-M'!A:A,0)))</f>
        <v>Excellence</v>
      </c>
    </row>
    <row r="22" spans="1:5" x14ac:dyDescent="0.2">
      <c r="A22" s="8" t="s">
        <v>38</v>
      </c>
      <c r="B22" s="8">
        <v>1</v>
      </c>
      <c r="C22" s="8" t="str">
        <f>IF(B2&gt;MAX('DMT-W'!A:A),"",INDEX('DMT-W'!B:B,MATCH(B2,'DMT-W'!A:A,0)))</f>
        <v>LEE-McMEEKEN, Brooklyn</v>
      </c>
      <c r="D22" s="17" t="str">
        <f>IF(B2&gt;MAX('DMT-W'!A:A),"",INDEX('DMT-W'!H:H,MATCH(B2,'DMT-W'!A:A,0)))</f>
        <v>Excellence</v>
      </c>
    </row>
    <row r="23" spans="1:5" x14ac:dyDescent="0.2">
      <c r="A23" s="8"/>
      <c r="B23" s="8">
        <v>2</v>
      </c>
      <c r="C23" s="8" t="str">
        <f>IF(B3&gt;MAX('DMT-W'!A:A),"",INDEX('DMT-W'!B:B,MATCH(B3,'DMT-W'!A:A,0)))</f>
        <v>KUZNAK, Sienna</v>
      </c>
      <c r="D23" s="17" t="str">
        <f>IF(B3&gt;MAX('DMT-W'!A:A),"",INDEX('DMT-W'!H:H,MATCH(B3,'DMT-W'!A:A,0)))</f>
        <v>Excellence</v>
      </c>
    </row>
    <row r="24" spans="1:5" x14ac:dyDescent="0.2">
      <c r="A24" s="8"/>
      <c r="B24" s="8">
        <v>3</v>
      </c>
      <c r="C24" s="8" t="str">
        <f>IF(B4&gt;MAX('DMT-W'!A:A),"",INDEX('DMT-W'!B:B,MATCH(B4,'DMT-W'!A:A,0)))</f>
        <v>SCHMIDT, Jordyn</v>
      </c>
      <c r="D24" s="17" t="str">
        <f>IF(B4&gt;MAX('DMT-W'!A:A),"",INDEX('DMT-W'!H:H,MATCH(B4,'DMT-W'!A:A,0)))</f>
        <v>Excellence</v>
      </c>
    </row>
    <row r="25" spans="1:5" hidden="1" x14ac:dyDescent="0.2">
      <c r="A25" s="8"/>
      <c r="B25" s="8">
        <v>4</v>
      </c>
      <c r="C25" s="8" t="str">
        <f>IF(B5&gt;MAX('DMT-W'!A:A),"",INDEX('DMT-W'!B:B,MATCH(B5,'DMT-W'!A:A,0)))</f>
        <v/>
      </c>
      <c r="D25" s="17" t="str">
        <f>IF(B5&gt;MAX('DMT-W'!A:A),"",INDEX('DMT-W'!H:H,MATCH(B5,'DMT-W'!A:A,0)))</f>
        <v/>
      </c>
    </row>
    <row r="26" spans="1:5" x14ac:dyDescent="0.2">
      <c r="D26" s="47"/>
    </row>
    <row r="27" spans="1:5" x14ac:dyDescent="0.2">
      <c r="B27" t="s">
        <v>29</v>
      </c>
    </row>
    <row r="28" spans="1:5" x14ac:dyDescent="0.2">
      <c r="B28" t="s">
        <v>27</v>
      </c>
    </row>
    <row r="29" spans="1:5" x14ac:dyDescent="0.2">
      <c r="B29" t="s">
        <v>28</v>
      </c>
    </row>
    <row r="30" spans="1:5" x14ac:dyDescent="0.2">
      <c r="B30" s="15" t="s">
        <v>49</v>
      </c>
      <c r="D30" t="s">
        <v>47</v>
      </c>
    </row>
    <row r="31" spans="1:5" x14ac:dyDescent="0.2">
      <c r="B31" s="15" t="s">
        <v>57</v>
      </c>
      <c r="D31" t="s">
        <v>47</v>
      </c>
      <c r="E31" t="s">
        <v>47</v>
      </c>
    </row>
    <row r="32" spans="1:5" x14ac:dyDescent="0.2">
      <c r="B32" t="s">
        <v>48</v>
      </c>
    </row>
    <row r="33" spans="1:3" x14ac:dyDescent="0.2">
      <c r="B33" t="s">
        <v>58</v>
      </c>
    </row>
    <row r="34" spans="1:3" x14ac:dyDescent="0.2">
      <c r="A34" t="s">
        <v>33</v>
      </c>
      <c r="B34" s="68">
        <v>45249</v>
      </c>
      <c r="C34" s="68"/>
    </row>
    <row r="35" spans="1:3" x14ac:dyDescent="0.2">
      <c r="B35" t="s">
        <v>110</v>
      </c>
    </row>
  </sheetData>
  <sheetProtection formatCells="0" formatColumns="0" formatRows="0"/>
  <mergeCells count="1">
    <mergeCell ref="B34:C34"/>
  </mergeCells>
  <conditionalFormatting sqref="D2:D25">
    <cfRule type="containsText" dxfId="191" priority="1" operator="containsText" text="No DD">
      <formula>NOT(ISERROR(SEARCH("No DD",D2)))</formula>
    </cfRule>
    <cfRule type="containsText" dxfId="190" priority="4" operator="containsText" text="Merit">
      <formula>NOT(ISERROR(SEARCH("Merit",D2)))</formula>
    </cfRule>
    <cfRule type="containsText" dxfId="189" priority="5" operator="containsText" text="Excellence">
      <formula>NOT(ISERROR(SEARCH("Excellence",D2)))</formula>
    </cfRule>
    <cfRule type="containsText" dxfId="188" priority="6" operator="containsText" text="Worlds Team">
      <formula>NOT(ISERROR(SEARCH("Worlds Team",D2)))</formula>
    </cfRule>
    <cfRule type="containsText" dxfId="187" priority="7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30:D31" xr:uid="{D08F591B-E1ED-7A40-99FD-CEC4A428C792}">
      <formula1>"Select,TRA-M,TRA-W,TUM-M,TUM-W,DMT-M,DMT-W"</formula1>
    </dataValidation>
    <dataValidation type="list" allowBlank="1" showInputMessage="1" showErrorMessage="1" sqref="E31" xr:uid="{34EE6C87-AAA8-A345-8399-C87931D9699B}">
      <formula1>IF($D$31="Select",D31,INDIRECT("'"&amp;$D$31&amp;"'!"&amp;"B4:B"&amp;MATCH(TRUE,INDEX(INDIRECT("'"&amp;$D$31&amp;"'!"&amp;"B4:B100")="",0),0)+2))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26</xdr:row>
                    <xdr:rowOff>25400</xdr:rowOff>
                  </from>
                  <to>
                    <xdr:col>0</xdr:col>
                    <xdr:colOff>965200</xdr:colOff>
                    <xdr:row>26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27</xdr:row>
                    <xdr:rowOff>25400</xdr:rowOff>
                  </from>
                  <to>
                    <xdr:col>0</xdr:col>
                    <xdr:colOff>965200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28</xdr:row>
                    <xdr:rowOff>38100</xdr:rowOff>
                  </from>
                  <to>
                    <xdr:col>0</xdr:col>
                    <xdr:colOff>965200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29</xdr:row>
                    <xdr:rowOff>25400</xdr:rowOff>
                  </from>
                  <to>
                    <xdr:col>0</xdr:col>
                    <xdr:colOff>977900</xdr:colOff>
                    <xdr:row>29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31</xdr:row>
                    <xdr:rowOff>25400</xdr:rowOff>
                  </from>
                  <to>
                    <xdr:col>0</xdr:col>
                    <xdr:colOff>977900</xdr:colOff>
                    <xdr:row>31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32</xdr:row>
                    <xdr:rowOff>25400</xdr:rowOff>
                  </from>
                  <to>
                    <xdr:col>0</xdr:col>
                    <xdr:colOff>965200</xdr:colOff>
                    <xdr:row>32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30</xdr:row>
                    <xdr:rowOff>25400</xdr:rowOff>
                  </from>
                  <to>
                    <xdr:col>0</xdr:col>
                    <xdr:colOff>977900</xdr:colOff>
                    <xdr:row>30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OQ40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4.1640625" bestFit="1" customWidth="1"/>
    <col min="8" max="8" width="13.33203125" bestFit="1" customWidth="1"/>
    <col min="9" max="9" width="10.83203125" customWidth="1"/>
    <col min="10" max="10" width="20.5" bestFit="1" customWidth="1"/>
    <col min="12" max="12" width="20.5" bestFit="1" customWidth="1"/>
    <col min="14" max="14" width="20.5" bestFit="1" customWidth="1"/>
    <col min="16" max="16" width="20.5" bestFit="1" customWidth="1"/>
    <col min="17" max="17" width="24.6640625" bestFit="1" customWidth="1"/>
    <col min="18" max="18" width="13" bestFit="1" customWidth="1"/>
    <col min="19" max="19" width="43.5" bestFit="1" customWidth="1"/>
    <col min="20" max="40" width="10.83203125" hidden="1" customWidth="1"/>
    <col min="41" max="49" width="10.83203125" customWidth="1"/>
    <col min="50" max="70" width="10.83203125" hidden="1" customWidth="1"/>
    <col min="71" max="79" width="10.83203125" customWidth="1"/>
    <col min="80" max="100" width="10.83203125" hidden="1" customWidth="1"/>
    <col min="101" max="113" width="10.83203125" customWidth="1"/>
    <col min="114" max="128" width="10.83203125" hidden="1" customWidth="1"/>
    <col min="129" max="135" width="10.83203125" customWidth="1"/>
    <col min="136" max="150" width="10.83203125" hidden="1" customWidth="1"/>
    <col min="151" max="157" width="10.83203125" customWidth="1"/>
    <col min="158" max="172" width="10.83203125" hidden="1" customWidth="1"/>
    <col min="173" max="179" width="10.83203125" customWidth="1"/>
    <col min="180" max="194" width="10.83203125" hidden="1" customWidth="1"/>
    <col min="195" max="201" width="10.83203125" customWidth="1"/>
    <col min="202" max="407" width="10.83203125" hidden="1" customWidth="1"/>
    <col min="408" max="409" width="10.83203125" customWidth="1"/>
  </cols>
  <sheetData>
    <row r="1" spans="1:407" ht="16" customHeight="1" x14ac:dyDescent="0.2">
      <c r="A1" s="73" t="s">
        <v>1</v>
      </c>
      <c r="B1" s="73" t="s">
        <v>21</v>
      </c>
      <c r="C1" s="73" t="s">
        <v>0</v>
      </c>
      <c r="D1" s="73" t="s">
        <v>46</v>
      </c>
      <c r="E1" s="73" t="s">
        <v>2</v>
      </c>
      <c r="F1" s="74" t="s">
        <v>52</v>
      </c>
      <c r="G1" s="73" t="s">
        <v>5</v>
      </c>
      <c r="H1" s="73" t="s">
        <v>6</v>
      </c>
      <c r="I1" s="75" t="s">
        <v>7</v>
      </c>
      <c r="J1" s="75" t="s">
        <v>24</v>
      </c>
      <c r="K1" s="75" t="s">
        <v>8</v>
      </c>
      <c r="L1" s="75" t="s">
        <v>24</v>
      </c>
      <c r="M1" s="75" t="s">
        <v>64</v>
      </c>
      <c r="N1" s="75" t="s">
        <v>24</v>
      </c>
      <c r="O1" s="75" t="s">
        <v>9</v>
      </c>
      <c r="P1" s="75" t="s">
        <v>24</v>
      </c>
      <c r="Q1" s="76" t="s">
        <v>10</v>
      </c>
      <c r="R1" s="75" t="s">
        <v>25</v>
      </c>
      <c r="S1" s="75" t="s">
        <v>24</v>
      </c>
      <c r="T1" s="70" t="s">
        <v>90</v>
      </c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2" t="s">
        <v>94</v>
      </c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0" t="s">
        <v>107</v>
      </c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0"/>
      <c r="DC1" s="70"/>
      <c r="DD1" s="70"/>
      <c r="DE1" s="70"/>
      <c r="DF1" s="77" t="s">
        <v>10</v>
      </c>
      <c r="DG1" s="77"/>
      <c r="DH1" s="77"/>
      <c r="DI1" s="77"/>
      <c r="DJ1" s="70" t="s">
        <v>83</v>
      </c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2" t="s">
        <v>93</v>
      </c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0" t="s">
        <v>92</v>
      </c>
      <c r="FC1" s="70"/>
      <c r="FD1" s="70"/>
      <c r="FE1" s="70"/>
      <c r="FF1" s="70"/>
      <c r="FG1" s="70"/>
      <c r="FH1" s="70"/>
      <c r="FI1" s="70"/>
      <c r="FJ1" s="70"/>
      <c r="FK1" s="70"/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0"/>
      <c r="FX1" s="72" t="s">
        <v>108</v>
      </c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0"/>
      <c r="GU1" s="70"/>
      <c r="GV1" s="70"/>
      <c r="GW1" s="70"/>
      <c r="GX1" s="70"/>
      <c r="GY1" s="70"/>
      <c r="GZ1" s="70"/>
      <c r="HA1" s="70"/>
      <c r="HB1" s="70"/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70"/>
      <c r="HO1" s="70"/>
      <c r="HP1" s="72"/>
      <c r="HQ1" s="72"/>
      <c r="HR1" s="72"/>
      <c r="HS1" s="72"/>
      <c r="HT1" s="72"/>
      <c r="HU1" s="72"/>
      <c r="HV1" s="72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0"/>
      <c r="IM1" s="70"/>
      <c r="IN1" s="70"/>
      <c r="IO1" s="70"/>
      <c r="IP1" s="70"/>
      <c r="IQ1" s="70"/>
      <c r="IR1" s="70"/>
      <c r="IS1" s="70"/>
      <c r="IT1" s="70"/>
      <c r="IU1" s="70"/>
      <c r="IV1" s="70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2"/>
      <c r="JI1" s="72"/>
      <c r="JJ1" s="72"/>
      <c r="JK1" s="72"/>
      <c r="JL1" s="72"/>
      <c r="JM1" s="72"/>
      <c r="JN1" s="72"/>
      <c r="JO1" s="72"/>
      <c r="JP1" s="72"/>
      <c r="JQ1" s="72"/>
      <c r="JR1" s="72"/>
      <c r="JS1" s="72"/>
      <c r="JT1" s="72"/>
      <c r="JU1" s="72"/>
      <c r="JV1" s="72"/>
      <c r="JW1" s="72"/>
      <c r="JX1" s="72"/>
      <c r="JY1" s="72"/>
      <c r="JZ1" s="72"/>
      <c r="KA1" s="72"/>
      <c r="KB1" s="72"/>
      <c r="KC1" s="72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70"/>
      <c r="KS1" s="70"/>
      <c r="KT1" s="70"/>
      <c r="KU1" s="70"/>
      <c r="KV1" s="70"/>
      <c r="KW1" s="70"/>
      <c r="KX1" s="70"/>
      <c r="KY1" s="70"/>
      <c r="KZ1" s="72"/>
      <c r="LA1" s="72"/>
      <c r="LB1" s="72"/>
      <c r="LC1" s="72"/>
      <c r="LD1" s="72"/>
      <c r="LE1" s="72"/>
      <c r="LF1" s="72"/>
      <c r="LG1" s="72"/>
      <c r="LH1" s="72"/>
      <c r="LI1" s="72"/>
      <c r="LJ1" s="72"/>
      <c r="LK1" s="72"/>
      <c r="LL1" s="72"/>
      <c r="LM1" s="72"/>
      <c r="LN1" s="72"/>
      <c r="LO1" s="72"/>
      <c r="LP1" s="72"/>
      <c r="LQ1" s="72"/>
      <c r="LR1" s="72"/>
      <c r="LS1" s="72"/>
      <c r="LT1" s="72"/>
      <c r="LU1" s="72"/>
      <c r="LV1" s="70"/>
      <c r="LW1" s="70"/>
      <c r="LX1" s="70"/>
      <c r="LY1" s="70"/>
      <c r="LZ1" s="70"/>
      <c r="MA1" s="70"/>
      <c r="MB1" s="70"/>
      <c r="MC1" s="70"/>
      <c r="MD1" s="70"/>
      <c r="ME1" s="70"/>
      <c r="MF1" s="70"/>
      <c r="MG1" s="70"/>
      <c r="MH1" s="70"/>
      <c r="MI1" s="70"/>
      <c r="MJ1" s="70"/>
      <c r="MK1" s="70"/>
      <c r="ML1" s="70"/>
      <c r="MM1" s="70"/>
      <c r="MN1" s="70"/>
      <c r="MO1" s="70"/>
      <c r="MP1" s="70"/>
      <c r="MQ1" s="70"/>
      <c r="MR1" s="72"/>
      <c r="MS1" s="72"/>
      <c r="MT1" s="72"/>
      <c r="MU1" s="72"/>
      <c r="MV1" s="72"/>
      <c r="MW1" s="72"/>
      <c r="MX1" s="72"/>
      <c r="MY1" s="72"/>
      <c r="MZ1" s="72"/>
      <c r="NA1" s="72"/>
      <c r="NB1" s="72"/>
      <c r="NC1" s="72"/>
      <c r="ND1" s="72"/>
      <c r="NE1" s="72"/>
      <c r="NF1" s="72"/>
      <c r="NG1" s="72"/>
      <c r="NH1" s="72"/>
      <c r="NI1" s="72"/>
      <c r="NJ1" s="72"/>
      <c r="NK1" s="72"/>
      <c r="NL1" s="72"/>
      <c r="NM1" s="72"/>
      <c r="NN1" s="70" t="s">
        <v>55</v>
      </c>
      <c r="NO1" s="70"/>
      <c r="NP1" s="70"/>
      <c r="NQ1" s="70"/>
      <c r="NR1" s="70"/>
      <c r="NS1" s="70"/>
      <c r="NT1" s="70"/>
      <c r="NU1" s="70"/>
      <c r="NV1" s="70"/>
      <c r="NW1" s="70"/>
      <c r="NX1" s="70"/>
      <c r="NY1" s="70"/>
      <c r="NZ1" s="70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</row>
    <row r="2" spans="1:407" x14ac:dyDescent="0.2">
      <c r="A2" s="73"/>
      <c r="B2" s="73"/>
      <c r="C2" s="73"/>
      <c r="D2" s="73"/>
      <c r="E2" s="73"/>
      <c r="F2" s="74"/>
      <c r="G2" s="73"/>
      <c r="H2" s="73"/>
      <c r="I2" s="75"/>
      <c r="J2" s="75"/>
      <c r="K2" s="75"/>
      <c r="L2" s="75"/>
      <c r="M2" s="75"/>
      <c r="N2" s="75"/>
      <c r="O2" s="75"/>
      <c r="P2" s="75"/>
      <c r="Q2" s="76"/>
      <c r="R2" s="75"/>
      <c r="S2" s="75"/>
      <c r="T2" s="69" t="s">
        <v>15</v>
      </c>
      <c r="U2" s="69"/>
      <c r="V2" s="69"/>
      <c r="W2" s="69"/>
      <c r="X2" s="69"/>
      <c r="Y2" s="69" t="s">
        <v>16</v>
      </c>
      <c r="Z2" s="69"/>
      <c r="AA2" s="69"/>
      <c r="AB2" s="69"/>
      <c r="AC2" s="69"/>
      <c r="AD2" s="69" t="s">
        <v>60</v>
      </c>
      <c r="AE2" s="69"/>
      <c r="AF2" s="69"/>
      <c r="AG2" s="69"/>
      <c r="AH2" s="69"/>
      <c r="AI2" s="69" t="s">
        <v>19</v>
      </c>
      <c r="AJ2" s="69"/>
      <c r="AK2" s="69"/>
      <c r="AL2" s="69"/>
      <c r="AM2" s="69"/>
      <c r="AN2" s="16"/>
      <c r="AO2" s="6" t="s">
        <v>17</v>
      </c>
      <c r="AP2" s="6" t="s">
        <v>62</v>
      </c>
      <c r="AQ2" s="6" t="s">
        <v>18</v>
      </c>
      <c r="AR2" s="6" t="s">
        <v>63</v>
      </c>
      <c r="AS2" s="6" t="s">
        <v>61</v>
      </c>
      <c r="AT2" s="6" t="s">
        <v>20</v>
      </c>
      <c r="AU2" s="6" t="s">
        <v>56</v>
      </c>
      <c r="AV2" s="6" t="s">
        <v>19</v>
      </c>
      <c r="AW2" s="6" t="s">
        <v>14</v>
      </c>
      <c r="AX2" s="71" t="s">
        <v>15</v>
      </c>
      <c r="AY2" s="71"/>
      <c r="AZ2" s="71"/>
      <c r="BA2" s="71"/>
      <c r="BB2" s="71"/>
      <c r="BC2" s="71" t="s">
        <v>16</v>
      </c>
      <c r="BD2" s="71"/>
      <c r="BE2" s="71"/>
      <c r="BF2" s="71"/>
      <c r="BG2" s="71"/>
      <c r="BH2" s="71" t="s">
        <v>60</v>
      </c>
      <c r="BI2" s="71"/>
      <c r="BJ2" s="71"/>
      <c r="BK2" s="71"/>
      <c r="BL2" s="71"/>
      <c r="BM2" s="71" t="s">
        <v>19</v>
      </c>
      <c r="BN2" s="71"/>
      <c r="BO2" s="71"/>
      <c r="BP2" s="71"/>
      <c r="BQ2" s="71"/>
      <c r="BR2" s="17"/>
      <c r="BS2" s="8" t="s">
        <v>17</v>
      </c>
      <c r="BT2" s="8" t="s">
        <v>62</v>
      </c>
      <c r="BU2" s="8" t="s">
        <v>18</v>
      </c>
      <c r="BV2" s="8" t="s">
        <v>63</v>
      </c>
      <c r="BW2" s="8" t="s">
        <v>61</v>
      </c>
      <c r="BX2" s="8" t="s">
        <v>20</v>
      </c>
      <c r="BY2" s="8" t="s">
        <v>56</v>
      </c>
      <c r="BZ2" s="8" t="s">
        <v>19</v>
      </c>
      <c r="CA2" s="8" t="s">
        <v>14</v>
      </c>
      <c r="CB2" s="69" t="s">
        <v>15</v>
      </c>
      <c r="CC2" s="69"/>
      <c r="CD2" s="69"/>
      <c r="CE2" s="69"/>
      <c r="CF2" s="69"/>
      <c r="CG2" s="69" t="s">
        <v>16</v>
      </c>
      <c r="CH2" s="69"/>
      <c r="CI2" s="69"/>
      <c r="CJ2" s="69"/>
      <c r="CK2" s="69"/>
      <c r="CL2" s="69" t="s">
        <v>60</v>
      </c>
      <c r="CM2" s="69"/>
      <c r="CN2" s="69"/>
      <c r="CO2" s="69"/>
      <c r="CP2" s="69"/>
      <c r="CQ2" s="69" t="s">
        <v>19</v>
      </c>
      <c r="CR2" s="69"/>
      <c r="CS2" s="69"/>
      <c r="CT2" s="69"/>
      <c r="CU2" s="69"/>
      <c r="CV2" s="16"/>
      <c r="CW2" s="6" t="s">
        <v>17</v>
      </c>
      <c r="CX2" s="6" t="s">
        <v>62</v>
      </c>
      <c r="CY2" s="6" t="s">
        <v>18</v>
      </c>
      <c r="CZ2" s="6" t="s">
        <v>63</v>
      </c>
      <c r="DA2" s="6" t="s">
        <v>61</v>
      </c>
      <c r="DB2" s="6" t="s">
        <v>20</v>
      </c>
      <c r="DC2" s="6" t="s">
        <v>56</v>
      </c>
      <c r="DD2" s="6" t="s">
        <v>19</v>
      </c>
      <c r="DE2" s="6" t="s">
        <v>14</v>
      </c>
      <c r="DF2" s="12" t="s">
        <v>17</v>
      </c>
      <c r="DG2" s="12" t="s">
        <v>18</v>
      </c>
      <c r="DH2" s="12" t="s">
        <v>20</v>
      </c>
      <c r="DI2" s="12" t="s">
        <v>19</v>
      </c>
      <c r="DJ2" s="69" t="s">
        <v>15</v>
      </c>
      <c r="DK2" s="69"/>
      <c r="DL2" s="69"/>
      <c r="DM2" s="69"/>
      <c r="DN2" s="69"/>
      <c r="DO2" s="69" t="s">
        <v>16</v>
      </c>
      <c r="DP2" s="69"/>
      <c r="DQ2" s="69"/>
      <c r="DR2" s="69"/>
      <c r="DS2" s="69"/>
      <c r="DT2" s="69" t="s">
        <v>19</v>
      </c>
      <c r="DU2" s="69"/>
      <c r="DV2" s="69"/>
      <c r="DW2" s="69"/>
      <c r="DX2" s="69"/>
      <c r="DY2" s="16" t="s">
        <v>50</v>
      </c>
      <c r="DZ2" s="6" t="s">
        <v>17</v>
      </c>
      <c r="EA2" s="6" t="s">
        <v>18</v>
      </c>
      <c r="EB2" s="6" t="s">
        <v>20</v>
      </c>
      <c r="EC2" s="6" t="s">
        <v>56</v>
      </c>
      <c r="ED2" s="6" t="s">
        <v>19</v>
      </c>
      <c r="EE2" s="6" t="s">
        <v>14</v>
      </c>
      <c r="EF2" s="71" t="s">
        <v>15</v>
      </c>
      <c r="EG2" s="71"/>
      <c r="EH2" s="71"/>
      <c r="EI2" s="71"/>
      <c r="EJ2" s="71"/>
      <c r="EK2" s="71" t="s">
        <v>16</v>
      </c>
      <c r="EL2" s="71"/>
      <c r="EM2" s="71"/>
      <c r="EN2" s="71"/>
      <c r="EO2" s="71"/>
      <c r="EP2" s="71" t="s">
        <v>19</v>
      </c>
      <c r="EQ2" s="71"/>
      <c r="ER2" s="71"/>
      <c r="ES2" s="71"/>
      <c r="ET2" s="71"/>
      <c r="EU2" s="17" t="s">
        <v>50</v>
      </c>
      <c r="EV2" s="8" t="s">
        <v>17</v>
      </c>
      <c r="EW2" s="8" t="s">
        <v>18</v>
      </c>
      <c r="EX2" s="8" t="s">
        <v>20</v>
      </c>
      <c r="EY2" s="8" t="s">
        <v>56</v>
      </c>
      <c r="EZ2" s="8" t="s">
        <v>19</v>
      </c>
      <c r="FA2" s="8" t="s">
        <v>14</v>
      </c>
      <c r="FB2" s="69" t="s">
        <v>15</v>
      </c>
      <c r="FC2" s="69"/>
      <c r="FD2" s="69"/>
      <c r="FE2" s="69"/>
      <c r="FF2" s="69"/>
      <c r="FG2" s="69" t="s">
        <v>16</v>
      </c>
      <c r="FH2" s="69"/>
      <c r="FI2" s="69"/>
      <c r="FJ2" s="69"/>
      <c r="FK2" s="69"/>
      <c r="FL2" s="69" t="s">
        <v>19</v>
      </c>
      <c r="FM2" s="69"/>
      <c r="FN2" s="69"/>
      <c r="FO2" s="69"/>
      <c r="FP2" s="69"/>
      <c r="FQ2" s="16" t="s">
        <v>50</v>
      </c>
      <c r="FR2" s="6" t="s">
        <v>17</v>
      </c>
      <c r="FS2" s="6" t="s">
        <v>18</v>
      </c>
      <c r="FT2" s="6" t="s">
        <v>20</v>
      </c>
      <c r="FU2" s="6" t="s">
        <v>56</v>
      </c>
      <c r="FV2" s="6" t="s">
        <v>19</v>
      </c>
      <c r="FW2" s="6" t="s">
        <v>14</v>
      </c>
      <c r="FX2" s="71" t="s">
        <v>15</v>
      </c>
      <c r="FY2" s="71"/>
      <c r="FZ2" s="71"/>
      <c r="GA2" s="71"/>
      <c r="GB2" s="71"/>
      <c r="GC2" s="71" t="s">
        <v>16</v>
      </c>
      <c r="GD2" s="71"/>
      <c r="GE2" s="71"/>
      <c r="GF2" s="71"/>
      <c r="GG2" s="71"/>
      <c r="GH2" s="71" t="s">
        <v>19</v>
      </c>
      <c r="GI2" s="71"/>
      <c r="GJ2" s="71"/>
      <c r="GK2" s="71"/>
      <c r="GL2" s="71"/>
      <c r="GM2" s="17" t="s">
        <v>50</v>
      </c>
      <c r="GN2" s="8" t="s">
        <v>17</v>
      </c>
      <c r="GO2" s="8" t="s">
        <v>18</v>
      </c>
      <c r="GP2" s="8" t="s">
        <v>20</v>
      </c>
      <c r="GQ2" s="8" t="s">
        <v>56</v>
      </c>
      <c r="GR2" s="8" t="s">
        <v>19</v>
      </c>
      <c r="GS2" s="8" t="s">
        <v>14</v>
      </c>
      <c r="GT2" s="69" t="s">
        <v>15</v>
      </c>
      <c r="GU2" s="69"/>
      <c r="GV2" s="69"/>
      <c r="GW2" s="69"/>
      <c r="GX2" s="69"/>
      <c r="GY2" s="69" t="s">
        <v>16</v>
      </c>
      <c r="GZ2" s="69"/>
      <c r="HA2" s="69"/>
      <c r="HB2" s="69"/>
      <c r="HC2" s="69"/>
      <c r="HD2" s="69" t="s">
        <v>19</v>
      </c>
      <c r="HE2" s="69"/>
      <c r="HF2" s="69"/>
      <c r="HG2" s="69"/>
      <c r="HH2" s="69"/>
      <c r="HI2" s="16" t="s">
        <v>50</v>
      </c>
      <c r="HJ2" s="6" t="s">
        <v>17</v>
      </c>
      <c r="HK2" s="6" t="s">
        <v>18</v>
      </c>
      <c r="HL2" s="6" t="s">
        <v>20</v>
      </c>
      <c r="HM2" s="6" t="s">
        <v>56</v>
      </c>
      <c r="HN2" s="6" t="s">
        <v>19</v>
      </c>
      <c r="HO2" s="6" t="s">
        <v>14</v>
      </c>
      <c r="HP2" s="71" t="s">
        <v>15</v>
      </c>
      <c r="HQ2" s="71"/>
      <c r="HR2" s="71"/>
      <c r="HS2" s="71"/>
      <c r="HT2" s="71"/>
      <c r="HU2" s="71" t="s">
        <v>16</v>
      </c>
      <c r="HV2" s="71"/>
      <c r="HW2" s="71"/>
      <c r="HX2" s="71"/>
      <c r="HY2" s="71"/>
      <c r="HZ2" s="71" t="s">
        <v>19</v>
      </c>
      <c r="IA2" s="71"/>
      <c r="IB2" s="71"/>
      <c r="IC2" s="71"/>
      <c r="ID2" s="71"/>
      <c r="IE2" s="17" t="s">
        <v>50</v>
      </c>
      <c r="IF2" s="8" t="s">
        <v>17</v>
      </c>
      <c r="IG2" s="8" t="s">
        <v>18</v>
      </c>
      <c r="IH2" s="8" t="s">
        <v>20</v>
      </c>
      <c r="II2" s="8" t="s">
        <v>56</v>
      </c>
      <c r="IJ2" s="8" t="s">
        <v>19</v>
      </c>
      <c r="IK2" s="8" t="s">
        <v>14</v>
      </c>
      <c r="IL2" s="69" t="s">
        <v>15</v>
      </c>
      <c r="IM2" s="69"/>
      <c r="IN2" s="69"/>
      <c r="IO2" s="69"/>
      <c r="IP2" s="69"/>
      <c r="IQ2" s="69" t="s">
        <v>16</v>
      </c>
      <c r="IR2" s="69"/>
      <c r="IS2" s="69"/>
      <c r="IT2" s="69"/>
      <c r="IU2" s="69"/>
      <c r="IV2" s="69" t="s">
        <v>19</v>
      </c>
      <c r="IW2" s="69"/>
      <c r="IX2" s="69"/>
      <c r="IY2" s="69"/>
      <c r="IZ2" s="69"/>
      <c r="JA2" s="16" t="s">
        <v>50</v>
      </c>
      <c r="JB2" s="6" t="s">
        <v>17</v>
      </c>
      <c r="JC2" s="6" t="s">
        <v>18</v>
      </c>
      <c r="JD2" s="6" t="s">
        <v>20</v>
      </c>
      <c r="JE2" s="6" t="s">
        <v>56</v>
      </c>
      <c r="JF2" s="6" t="s">
        <v>19</v>
      </c>
      <c r="JG2" s="6" t="s">
        <v>14</v>
      </c>
      <c r="JH2" s="71" t="s">
        <v>15</v>
      </c>
      <c r="JI2" s="71"/>
      <c r="JJ2" s="71"/>
      <c r="JK2" s="71"/>
      <c r="JL2" s="71"/>
      <c r="JM2" s="71" t="s">
        <v>16</v>
      </c>
      <c r="JN2" s="71"/>
      <c r="JO2" s="71"/>
      <c r="JP2" s="71"/>
      <c r="JQ2" s="71"/>
      <c r="JR2" s="71" t="s">
        <v>19</v>
      </c>
      <c r="JS2" s="71"/>
      <c r="JT2" s="71"/>
      <c r="JU2" s="71"/>
      <c r="JV2" s="71"/>
      <c r="JW2" s="17" t="s">
        <v>50</v>
      </c>
      <c r="JX2" s="8" t="s">
        <v>17</v>
      </c>
      <c r="JY2" s="8" t="s">
        <v>18</v>
      </c>
      <c r="JZ2" s="8" t="s">
        <v>20</v>
      </c>
      <c r="KA2" s="8" t="s">
        <v>56</v>
      </c>
      <c r="KB2" s="8" t="s">
        <v>19</v>
      </c>
      <c r="KC2" s="8" t="s">
        <v>14</v>
      </c>
      <c r="KD2" s="69" t="s">
        <v>15</v>
      </c>
      <c r="KE2" s="69"/>
      <c r="KF2" s="69"/>
      <c r="KG2" s="69"/>
      <c r="KH2" s="69"/>
      <c r="KI2" s="69" t="s">
        <v>16</v>
      </c>
      <c r="KJ2" s="69"/>
      <c r="KK2" s="69"/>
      <c r="KL2" s="69"/>
      <c r="KM2" s="69"/>
      <c r="KN2" s="69" t="s">
        <v>19</v>
      </c>
      <c r="KO2" s="69"/>
      <c r="KP2" s="69"/>
      <c r="KQ2" s="69"/>
      <c r="KR2" s="69"/>
      <c r="KS2" s="16" t="s">
        <v>50</v>
      </c>
      <c r="KT2" s="6" t="s">
        <v>17</v>
      </c>
      <c r="KU2" s="6" t="s">
        <v>18</v>
      </c>
      <c r="KV2" s="6" t="s">
        <v>20</v>
      </c>
      <c r="KW2" s="6" t="s">
        <v>56</v>
      </c>
      <c r="KX2" s="6" t="s">
        <v>19</v>
      </c>
      <c r="KY2" s="6" t="s">
        <v>14</v>
      </c>
      <c r="KZ2" s="71" t="s">
        <v>15</v>
      </c>
      <c r="LA2" s="71"/>
      <c r="LB2" s="71"/>
      <c r="LC2" s="71"/>
      <c r="LD2" s="71"/>
      <c r="LE2" s="71" t="s">
        <v>16</v>
      </c>
      <c r="LF2" s="71"/>
      <c r="LG2" s="71"/>
      <c r="LH2" s="71"/>
      <c r="LI2" s="71"/>
      <c r="LJ2" s="71" t="s">
        <v>19</v>
      </c>
      <c r="LK2" s="71"/>
      <c r="LL2" s="71"/>
      <c r="LM2" s="71"/>
      <c r="LN2" s="71"/>
      <c r="LO2" s="17" t="s">
        <v>50</v>
      </c>
      <c r="LP2" s="8" t="s">
        <v>17</v>
      </c>
      <c r="LQ2" s="8" t="s">
        <v>18</v>
      </c>
      <c r="LR2" s="8" t="s">
        <v>20</v>
      </c>
      <c r="LS2" s="8" t="s">
        <v>56</v>
      </c>
      <c r="LT2" s="8" t="s">
        <v>19</v>
      </c>
      <c r="LU2" s="8" t="s">
        <v>14</v>
      </c>
      <c r="LV2" s="69" t="s">
        <v>15</v>
      </c>
      <c r="LW2" s="69"/>
      <c r="LX2" s="69"/>
      <c r="LY2" s="69"/>
      <c r="LZ2" s="69"/>
      <c r="MA2" s="69" t="s">
        <v>16</v>
      </c>
      <c r="MB2" s="69"/>
      <c r="MC2" s="69"/>
      <c r="MD2" s="69"/>
      <c r="ME2" s="69"/>
      <c r="MF2" s="69" t="s">
        <v>19</v>
      </c>
      <c r="MG2" s="69"/>
      <c r="MH2" s="69"/>
      <c r="MI2" s="69"/>
      <c r="MJ2" s="69"/>
      <c r="MK2" s="16" t="s">
        <v>50</v>
      </c>
      <c r="ML2" s="6" t="s">
        <v>17</v>
      </c>
      <c r="MM2" s="6" t="s">
        <v>18</v>
      </c>
      <c r="MN2" s="6" t="s">
        <v>20</v>
      </c>
      <c r="MO2" s="6" t="s">
        <v>56</v>
      </c>
      <c r="MP2" s="6" t="s">
        <v>19</v>
      </c>
      <c r="MQ2" s="6" t="s">
        <v>14</v>
      </c>
      <c r="MR2" s="71" t="s">
        <v>15</v>
      </c>
      <c r="MS2" s="71"/>
      <c r="MT2" s="71"/>
      <c r="MU2" s="71"/>
      <c r="MV2" s="71"/>
      <c r="MW2" s="71" t="s">
        <v>16</v>
      </c>
      <c r="MX2" s="71"/>
      <c r="MY2" s="71"/>
      <c r="MZ2" s="71"/>
      <c r="NA2" s="71"/>
      <c r="NB2" s="71" t="s">
        <v>19</v>
      </c>
      <c r="NC2" s="71"/>
      <c r="ND2" s="71"/>
      <c r="NE2" s="71"/>
      <c r="NF2" s="71"/>
      <c r="NG2" s="17" t="s">
        <v>50</v>
      </c>
      <c r="NH2" s="8" t="s">
        <v>17</v>
      </c>
      <c r="NI2" s="8" t="s">
        <v>18</v>
      </c>
      <c r="NJ2" s="8" t="s">
        <v>20</v>
      </c>
      <c r="NK2" s="8" t="s">
        <v>56</v>
      </c>
      <c r="NL2" s="8" t="s">
        <v>19</v>
      </c>
      <c r="NM2" s="8" t="s">
        <v>14</v>
      </c>
      <c r="NN2" s="69" t="s">
        <v>15</v>
      </c>
      <c r="NO2" s="69"/>
      <c r="NP2" s="69"/>
      <c r="NQ2" s="69"/>
      <c r="NR2" s="69"/>
      <c r="NS2" s="69" t="s">
        <v>16</v>
      </c>
      <c r="NT2" s="69"/>
      <c r="NU2" s="69"/>
      <c r="NV2" s="69"/>
      <c r="NW2" s="69"/>
      <c r="NX2" s="69" t="s">
        <v>60</v>
      </c>
      <c r="NY2" s="69"/>
      <c r="NZ2" s="69"/>
      <c r="OA2" s="69"/>
      <c r="OB2" s="69"/>
      <c r="OC2" s="69" t="s">
        <v>19</v>
      </c>
      <c r="OD2" s="69"/>
      <c r="OE2" s="69"/>
      <c r="OF2" s="69"/>
      <c r="OG2" s="69"/>
      <c r="OH2" s="16"/>
      <c r="OI2" s="6" t="s">
        <v>17</v>
      </c>
      <c r="OJ2" s="6" t="s">
        <v>62</v>
      </c>
      <c r="OK2" s="6" t="s">
        <v>18</v>
      </c>
      <c r="OL2" s="6" t="s">
        <v>63</v>
      </c>
      <c r="OM2" s="6" t="s">
        <v>61</v>
      </c>
      <c r="ON2" s="6" t="s">
        <v>20</v>
      </c>
      <c r="OO2" s="6" t="s">
        <v>56</v>
      </c>
      <c r="OP2" s="6" t="s">
        <v>19</v>
      </c>
      <c r="OQ2" s="6" t="s">
        <v>14</v>
      </c>
    </row>
    <row r="3" spans="1:407" x14ac:dyDescent="0.2">
      <c r="A3" s="73"/>
      <c r="B3" s="73"/>
      <c r="C3" s="73"/>
      <c r="D3" s="73"/>
      <c r="E3" s="73"/>
      <c r="F3" s="74"/>
      <c r="G3" s="73"/>
      <c r="H3" s="73"/>
      <c r="I3" s="75"/>
      <c r="J3" s="75"/>
      <c r="K3" s="75"/>
      <c r="L3" s="75"/>
      <c r="M3" s="75"/>
      <c r="N3" s="75"/>
      <c r="O3" s="75"/>
      <c r="P3" s="75"/>
      <c r="Q3" s="76"/>
      <c r="R3" s="75"/>
      <c r="S3" s="75"/>
      <c r="T3" s="16" t="s">
        <v>11</v>
      </c>
      <c r="U3" s="16" t="s">
        <v>12</v>
      </c>
      <c r="V3" s="16" t="s">
        <v>4</v>
      </c>
      <c r="W3" s="16" t="s">
        <v>13</v>
      </c>
      <c r="X3" s="16" t="s">
        <v>22</v>
      </c>
      <c r="Y3" s="16" t="s">
        <v>11</v>
      </c>
      <c r="Z3" s="16" t="s">
        <v>12</v>
      </c>
      <c r="AA3" s="16" t="s">
        <v>4</v>
      </c>
      <c r="AB3" s="16" t="s">
        <v>13</v>
      </c>
      <c r="AC3" s="16" t="s">
        <v>22</v>
      </c>
      <c r="AD3" s="16" t="s">
        <v>11</v>
      </c>
      <c r="AE3" s="16" t="s">
        <v>12</v>
      </c>
      <c r="AF3" s="16" t="s">
        <v>4</v>
      </c>
      <c r="AG3" s="16" t="s">
        <v>13</v>
      </c>
      <c r="AH3" s="16" t="s">
        <v>22</v>
      </c>
      <c r="AI3" s="16" t="s">
        <v>11</v>
      </c>
      <c r="AJ3" s="16" t="s">
        <v>12</v>
      </c>
      <c r="AK3" s="16" t="s">
        <v>4</v>
      </c>
      <c r="AL3" s="16" t="s">
        <v>13</v>
      </c>
      <c r="AM3" s="16" t="s">
        <v>22</v>
      </c>
      <c r="AN3" s="16" t="s">
        <v>43</v>
      </c>
      <c r="AO3" s="6"/>
      <c r="AP3" s="6"/>
      <c r="AQ3" s="6"/>
      <c r="AR3" s="6"/>
      <c r="AS3" s="6"/>
      <c r="AT3" s="6"/>
      <c r="AU3" s="6"/>
      <c r="AV3" s="6"/>
      <c r="AW3" s="6"/>
      <c r="AX3" s="17" t="s">
        <v>11</v>
      </c>
      <c r="AY3" s="17" t="s">
        <v>12</v>
      </c>
      <c r="AZ3" s="17" t="s">
        <v>4</v>
      </c>
      <c r="BA3" s="17" t="s">
        <v>13</v>
      </c>
      <c r="BB3" s="17" t="s">
        <v>22</v>
      </c>
      <c r="BC3" s="17" t="s">
        <v>11</v>
      </c>
      <c r="BD3" s="17" t="s">
        <v>12</v>
      </c>
      <c r="BE3" s="17" t="s">
        <v>4</v>
      </c>
      <c r="BF3" s="17" t="s">
        <v>13</v>
      </c>
      <c r="BG3" s="17" t="s">
        <v>22</v>
      </c>
      <c r="BH3" s="17" t="s">
        <v>11</v>
      </c>
      <c r="BI3" s="17" t="s">
        <v>12</v>
      </c>
      <c r="BJ3" s="17" t="s">
        <v>4</v>
      </c>
      <c r="BK3" s="17" t="s">
        <v>13</v>
      </c>
      <c r="BL3" s="17" t="s">
        <v>22</v>
      </c>
      <c r="BM3" s="17" t="s">
        <v>11</v>
      </c>
      <c r="BN3" s="17" t="s">
        <v>12</v>
      </c>
      <c r="BO3" s="17" t="s">
        <v>4</v>
      </c>
      <c r="BP3" s="17" t="s">
        <v>13</v>
      </c>
      <c r="BQ3" s="17" t="s">
        <v>22</v>
      </c>
      <c r="BR3" s="17" t="s">
        <v>43</v>
      </c>
      <c r="BS3" s="8"/>
      <c r="BT3" s="8"/>
      <c r="BU3" s="8"/>
      <c r="BV3" s="8"/>
      <c r="BW3" s="8"/>
      <c r="BX3" s="8"/>
      <c r="BY3" s="8"/>
      <c r="BZ3" s="8"/>
      <c r="CA3" s="8"/>
      <c r="CB3" s="16" t="s">
        <v>11</v>
      </c>
      <c r="CC3" s="16" t="s">
        <v>12</v>
      </c>
      <c r="CD3" s="16" t="s">
        <v>4</v>
      </c>
      <c r="CE3" s="16" t="s">
        <v>13</v>
      </c>
      <c r="CF3" s="16" t="s">
        <v>22</v>
      </c>
      <c r="CG3" s="16" t="s">
        <v>11</v>
      </c>
      <c r="CH3" s="16" t="s">
        <v>12</v>
      </c>
      <c r="CI3" s="16" t="s">
        <v>4</v>
      </c>
      <c r="CJ3" s="16" t="s">
        <v>13</v>
      </c>
      <c r="CK3" s="16" t="s">
        <v>22</v>
      </c>
      <c r="CL3" s="16" t="s">
        <v>11</v>
      </c>
      <c r="CM3" s="16" t="s">
        <v>12</v>
      </c>
      <c r="CN3" s="16" t="s">
        <v>4</v>
      </c>
      <c r="CO3" s="16" t="s">
        <v>13</v>
      </c>
      <c r="CP3" s="16" t="s">
        <v>22</v>
      </c>
      <c r="CQ3" s="16" t="s">
        <v>11</v>
      </c>
      <c r="CR3" s="16" t="s">
        <v>12</v>
      </c>
      <c r="CS3" s="16" t="s">
        <v>4</v>
      </c>
      <c r="CT3" s="16" t="s">
        <v>13</v>
      </c>
      <c r="CU3" s="16" t="s">
        <v>22</v>
      </c>
      <c r="CV3" s="16" t="s">
        <v>43</v>
      </c>
      <c r="CW3" s="6"/>
      <c r="CX3" s="6"/>
      <c r="CY3" s="6"/>
      <c r="CZ3" s="6"/>
      <c r="DA3" s="6"/>
      <c r="DB3" s="6"/>
      <c r="DC3" s="6"/>
      <c r="DD3" s="6"/>
      <c r="DE3" s="6"/>
      <c r="DF3" s="12"/>
      <c r="DG3" s="12"/>
      <c r="DH3" s="12"/>
      <c r="DI3" s="12"/>
      <c r="DJ3" s="16" t="s">
        <v>11</v>
      </c>
      <c r="DK3" s="16" t="s">
        <v>12</v>
      </c>
      <c r="DL3" s="16" t="s">
        <v>4</v>
      </c>
      <c r="DM3" s="16" t="s">
        <v>13</v>
      </c>
      <c r="DN3" s="16" t="s">
        <v>22</v>
      </c>
      <c r="DO3" s="16" t="s">
        <v>11</v>
      </c>
      <c r="DP3" s="16" t="s">
        <v>12</v>
      </c>
      <c r="DQ3" s="16" t="s">
        <v>4</v>
      </c>
      <c r="DR3" s="16" t="s">
        <v>13</v>
      </c>
      <c r="DS3" s="16" t="s">
        <v>22</v>
      </c>
      <c r="DT3" s="16" t="s">
        <v>11</v>
      </c>
      <c r="DU3" s="16" t="s">
        <v>12</v>
      </c>
      <c r="DV3" s="16" t="s">
        <v>4</v>
      </c>
      <c r="DW3" s="16" t="s">
        <v>13</v>
      </c>
      <c r="DX3" s="16" t="s">
        <v>22</v>
      </c>
      <c r="DY3" s="6"/>
      <c r="DZ3" s="6"/>
      <c r="EA3" s="6"/>
      <c r="EB3" s="6"/>
      <c r="EC3" s="6"/>
      <c r="ED3" s="6"/>
      <c r="EE3" s="6"/>
      <c r="EF3" s="17" t="s">
        <v>11</v>
      </c>
      <c r="EG3" s="17" t="s">
        <v>12</v>
      </c>
      <c r="EH3" s="17" t="s">
        <v>4</v>
      </c>
      <c r="EI3" s="17" t="s">
        <v>13</v>
      </c>
      <c r="EJ3" s="17" t="s">
        <v>22</v>
      </c>
      <c r="EK3" s="17" t="s">
        <v>11</v>
      </c>
      <c r="EL3" s="17" t="s">
        <v>12</v>
      </c>
      <c r="EM3" s="17" t="s">
        <v>4</v>
      </c>
      <c r="EN3" s="17" t="s">
        <v>13</v>
      </c>
      <c r="EO3" s="17" t="s">
        <v>22</v>
      </c>
      <c r="EP3" s="17" t="s">
        <v>11</v>
      </c>
      <c r="EQ3" s="17" t="s">
        <v>12</v>
      </c>
      <c r="ER3" s="17" t="s">
        <v>4</v>
      </c>
      <c r="ES3" s="17" t="s">
        <v>13</v>
      </c>
      <c r="ET3" s="21" t="s">
        <v>22</v>
      </c>
      <c r="EU3" s="8"/>
      <c r="EV3" s="8"/>
      <c r="EW3" s="8"/>
      <c r="EX3" s="8"/>
      <c r="EY3" s="8"/>
      <c r="EZ3" s="8"/>
      <c r="FA3" s="8"/>
      <c r="FB3" s="16" t="s">
        <v>11</v>
      </c>
      <c r="FC3" s="16" t="s">
        <v>12</v>
      </c>
      <c r="FD3" s="16" t="s">
        <v>4</v>
      </c>
      <c r="FE3" s="16" t="s">
        <v>13</v>
      </c>
      <c r="FF3" s="16" t="s">
        <v>22</v>
      </c>
      <c r="FG3" s="16" t="s">
        <v>11</v>
      </c>
      <c r="FH3" s="16" t="s">
        <v>12</v>
      </c>
      <c r="FI3" s="16" t="s">
        <v>4</v>
      </c>
      <c r="FJ3" s="16" t="s">
        <v>13</v>
      </c>
      <c r="FK3" s="16" t="s">
        <v>22</v>
      </c>
      <c r="FL3" s="16" t="s">
        <v>11</v>
      </c>
      <c r="FM3" s="16" t="s">
        <v>12</v>
      </c>
      <c r="FN3" s="16" t="s">
        <v>4</v>
      </c>
      <c r="FO3" s="16" t="s">
        <v>13</v>
      </c>
      <c r="FP3" s="16" t="s">
        <v>22</v>
      </c>
      <c r="FQ3" s="6"/>
      <c r="FR3" s="6"/>
      <c r="FS3" s="6"/>
      <c r="FT3" s="6"/>
      <c r="FU3" s="6"/>
      <c r="FV3" s="6"/>
      <c r="FW3" s="6"/>
      <c r="FX3" s="17" t="s">
        <v>11</v>
      </c>
      <c r="FY3" s="17" t="s">
        <v>12</v>
      </c>
      <c r="FZ3" s="17" t="s">
        <v>4</v>
      </c>
      <c r="GA3" s="17" t="s">
        <v>13</v>
      </c>
      <c r="GB3" s="17" t="s">
        <v>22</v>
      </c>
      <c r="GC3" s="17" t="s">
        <v>11</v>
      </c>
      <c r="GD3" s="17" t="s">
        <v>12</v>
      </c>
      <c r="GE3" s="17" t="s">
        <v>4</v>
      </c>
      <c r="GF3" s="17" t="s">
        <v>13</v>
      </c>
      <c r="GG3" s="17" t="s">
        <v>22</v>
      </c>
      <c r="GH3" s="17" t="s">
        <v>11</v>
      </c>
      <c r="GI3" s="17" t="s">
        <v>12</v>
      </c>
      <c r="GJ3" s="17" t="s">
        <v>4</v>
      </c>
      <c r="GK3" s="17" t="s">
        <v>13</v>
      </c>
      <c r="GL3" s="17" t="s">
        <v>22</v>
      </c>
      <c r="GM3" s="8"/>
      <c r="GN3" s="8"/>
      <c r="GO3" s="8"/>
      <c r="GP3" s="8"/>
      <c r="GQ3" s="8"/>
      <c r="GR3" s="8"/>
      <c r="GS3" s="8"/>
      <c r="GT3" s="16" t="s">
        <v>11</v>
      </c>
      <c r="GU3" s="16" t="s">
        <v>12</v>
      </c>
      <c r="GV3" s="16" t="s">
        <v>4</v>
      </c>
      <c r="GW3" s="16" t="s">
        <v>13</v>
      </c>
      <c r="GX3" s="16" t="s">
        <v>22</v>
      </c>
      <c r="GY3" s="16" t="s">
        <v>11</v>
      </c>
      <c r="GZ3" s="16" t="s">
        <v>12</v>
      </c>
      <c r="HA3" s="16" t="s">
        <v>4</v>
      </c>
      <c r="HB3" s="16" t="s">
        <v>13</v>
      </c>
      <c r="HC3" s="16" t="s">
        <v>22</v>
      </c>
      <c r="HD3" s="16" t="s">
        <v>11</v>
      </c>
      <c r="HE3" s="16" t="s">
        <v>12</v>
      </c>
      <c r="HF3" s="16" t="s">
        <v>4</v>
      </c>
      <c r="HG3" s="16" t="s">
        <v>13</v>
      </c>
      <c r="HH3" s="16" t="s">
        <v>22</v>
      </c>
      <c r="HI3" s="6"/>
      <c r="HJ3" s="6"/>
      <c r="HK3" s="6"/>
      <c r="HL3" s="6"/>
      <c r="HM3" s="6"/>
      <c r="HN3" s="6"/>
      <c r="HO3" s="6"/>
      <c r="HP3" s="17" t="s">
        <v>11</v>
      </c>
      <c r="HQ3" s="17" t="s">
        <v>12</v>
      </c>
      <c r="HR3" s="17" t="s">
        <v>4</v>
      </c>
      <c r="HS3" s="17" t="s">
        <v>13</v>
      </c>
      <c r="HT3" s="17" t="s">
        <v>22</v>
      </c>
      <c r="HU3" s="17" t="s">
        <v>11</v>
      </c>
      <c r="HV3" s="17" t="s">
        <v>12</v>
      </c>
      <c r="HW3" s="17" t="s">
        <v>4</v>
      </c>
      <c r="HX3" s="17" t="s">
        <v>13</v>
      </c>
      <c r="HY3" s="17" t="s">
        <v>22</v>
      </c>
      <c r="HZ3" s="17" t="s">
        <v>11</v>
      </c>
      <c r="IA3" s="17" t="s">
        <v>12</v>
      </c>
      <c r="IB3" s="17" t="s">
        <v>4</v>
      </c>
      <c r="IC3" s="17" t="s">
        <v>13</v>
      </c>
      <c r="ID3" s="17" t="s">
        <v>22</v>
      </c>
      <c r="IE3" s="8"/>
      <c r="IF3" s="8"/>
      <c r="IG3" s="8"/>
      <c r="IH3" s="8"/>
      <c r="II3" s="8"/>
      <c r="IJ3" s="8"/>
      <c r="IK3" s="8"/>
      <c r="IL3" s="16" t="s">
        <v>11</v>
      </c>
      <c r="IM3" s="16" t="s">
        <v>12</v>
      </c>
      <c r="IN3" s="16" t="s">
        <v>4</v>
      </c>
      <c r="IO3" s="16" t="s">
        <v>13</v>
      </c>
      <c r="IP3" s="16" t="s">
        <v>22</v>
      </c>
      <c r="IQ3" s="16" t="s">
        <v>11</v>
      </c>
      <c r="IR3" s="16" t="s">
        <v>12</v>
      </c>
      <c r="IS3" s="16" t="s">
        <v>4</v>
      </c>
      <c r="IT3" s="16" t="s">
        <v>13</v>
      </c>
      <c r="IU3" s="16" t="s">
        <v>22</v>
      </c>
      <c r="IV3" s="16" t="s">
        <v>11</v>
      </c>
      <c r="IW3" s="16" t="s">
        <v>12</v>
      </c>
      <c r="IX3" s="16" t="s">
        <v>4</v>
      </c>
      <c r="IY3" s="16" t="s">
        <v>13</v>
      </c>
      <c r="IZ3" s="16" t="s">
        <v>22</v>
      </c>
      <c r="JA3" s="6"/>
      <c r="JB3" s="6"/>
      <c r="JC3" s="6"/>
      <c r="JD3" s="6"/>
      <c r="JE3" s="6"/>
      <c r="JF3" s="6"/>
      <c r="JG3" s="6"/>
      <c r="JH3" s="17" t="s">
        <v>11</v>
      </c>
      <c r="JI3" s="17" t="s">
        <v>12</v>
      </c>
      <c r="JJ3" s="17" t="s">
        <v>4</v>
      </c>
      <c r="JK3" s="17" t="s">
        <v>13</v>
      </c>
      <c r="JL3" s="17" t="s">
        <v>22</v>
      </c>
      <c r="JM3" s="17" t="s">
        <v>11</v>
      </c>
      <c r="JN3" s="17" t="s">
        <v>12</v>
      </c>
      <c r="JO3" s="17" t="s">
        <v>4</v>
      </c>
      <c r="JP3" s="17" t="s">
        <v>13</v>
      </c>
      <c r="JQ3" s="17" t="s">
        <v>22</v>
      </c>
      <c r="JR3" s="17" t="s">
        <v>11</v>
      </c>
      <c r="JS3" s="17" t="s">
        <v>12</v>
      </c>
      <c r="JT3" s="17" t="s">
        <v>4</v>
      </c>
      <c r="JU3" s="17" t="s">
        <v>13</v>
      </c>
      <c r="JV3" s="17" t="s">
        <v>22</v>
      </c>
      <c r="JW3" s="8"/>
      <c r="JX3" s="8"/>
      <c r="JY3" s="8"/>
      <c r="JZ3" s="8"/>
      <c r="KA3" s="8"/>
      <c r="KB3" s="8"/>
      <c r="KC3" s="8"/>
      <c r="KD3" s="16" t="s">
        <v>11</v>
      </c>
      <c r="KE3" s="16" t="s">
        <v>12</v>
      </c>
      <c r="KF3" s="16" t="s">
        <v>4</v>
      </c>
      <c r="KG3" s="16" t="s">
        <v>13</v>
      </c>
      <c r="KH3" s="16" t="s">
        <v>22</v>
      </c>
      <c r="KI3" s="16" t="s">
        <v>11</v>
      </c>
      <c r="KJ3" s="16" t="s">
        <v>12</v>
      </c>
      <c r="KK3" s="16" t="s">
        <v>4</v>
      </c>
      <c r="KL3" s="16" t="s">
        <v>13</v>
      </c>
      <c r="KM3" s="16" t="s">
        <v>22</v>
      </c>
      <c r="KN3" s="16" t="s">
        <v>11</v>
      </c>
      <c r="KO3" s="16" t="s">
        <v>12</v>
      </c>
      <c r="KP3" s="16" t="s">
        <v>4</v>
      </c>
      <c r="KQ3" s="16" t="s">
        <v>13</v>
      </c>
      <c r="KR3" s="16" t="s">
        <v>22</v>
      </c>
      <c r="KS3" s="6"/>
      <c r="KT3" s="6"/>
      <c r="KU3" s="6"/>
      <c r="KV3" s="6"/>
      <c r="KW3" s="6"/>
      <c r="KX3" s="6"/>
      <c r="KY3" s="6"/>
      <c r="KZ3" s="17" t="s">
        <v>11</v>
      </c>
      <c r="LA3" s="17" t="s">
        <v>12</v>
      </c>
      <c r="LB3" s="17" t="s">
        <v>4</v>
      </c>
      <c r="LC3" s="17" t="s">
        <v>13</v>
      </c>
      <c r="LD3" s="17" t="s">
        <v>22</v>
      </c>
      <c r="LE3" s="17" t="s">
        <v>11</v>
      </c>
      <c r="LF3" s="17" t="s">
        <v>12</v>
      </c>
      <c r="LG3" s="17" t="s">
        <v>4</v>
      </c>
      <c r="LH3" s="17" t="s">
        <v>13</v>
      </c>
      <c r="LI3" s="17" t="s">
        <v>22</v>
      </c>
      <c r="LJ3" s="17" t="s">
        <v>11</v>
      </c>
      <c r="LK3" s="17" t="s">
        <v>12</v>
      </c>
      <c r="LL3" s="17" t="s">
        <v>4</v>
      </c>
      <c r="LM3" s="17" t="s">
        <v>13</v>
      </c>
      <c r="LN3" s="17" t="s">
        <v>22</v>
      </c>
      <c r="LO3" s="8"/>
      <c r="LP3" s="8"/>
      <c r="LQ3" s="8"/>
      <c r="LR3" s="8"/>
      <c r="LS3" s="8"/>
      <c r="LT3" s="8"/>
      <c r="LU3" s="8"/>
      <c r="LV3" s="16" t="s">
        <v>11</v>
      </c>
      <c r="LW3" s="16" t="s">
        <v>12</v>
      </c>
      <c r="LX3" s="16" t="s">
        <v>4</v>
      </c>
      <c r="LY3" s="16" t="s">
        <v>13</v>
      </c>
      <c r="LZ3" s="16" t="s">
        <v>22</v>
      </c>
      <c r="MA3" s="16" t="s">
        <v>11</v>
      </c>
      <c r="MB3" s="16" t="s">
        <v>12</v>
      </c>
      <c r="MC3" s="16" t="s">
        <v>4</v>
      </c>
      <c r="MD3" s="16" t="s">
        <v>13</v>
      </c>
      <c r="ME3" s="16" t="s">
        <v>22</v>
      </c>
      <c r="MF3" s="16" t="s">
        <v>11</v>
      </c>
      <c r="MG3" s="16" t="s">
        <v>12</v>
      </c>
      <c r="MH3" s="16" t="s">
        <v>4</v>
      </c>
      <c r="MI3" s="16" t="s">
        <v>13</v>
      </c>
      <c r="MJ3" s="16" t="s">
        <v>22</v>
      </c>
      <c r="MK3" s="6"/>
      <c r="ML3" s="6"/>
      <c r="MM3" s="6"/>
      <c r="MN3" s="6"/>
      <c r="MO3" s="6"/>
      <c r="MP3" s="6"/>
      <c r="MQ3" s="6"/>
      <c r="MR3" s="17" t="s">
        <v>11</v>
      </c>
      <c r="MS3" s="17" t="s">
        <v>12</v>
      </c>
      <c r="MT3" s="17" t="s">
        <v>4</v>
      </c>
      <c r="MU3" s="17" t="s">
        <v>13</v>
      </c>
      <c r="MV3" s="17" t="s">
        <v>22</v>
      </c>
      <c r="MW3" s="17" t="s">
        <v>11</v>
      </c>
      <c r="MX3" s="17" t="s">
        <v>12</v>
      </c>
      <c r="MY3" s="17" t="s">
        <v>4</v>
      </c>
      <c r="MZ3" s="17" t="s">
        <v>13</v>
      </c>
      <c r="NA3" s="17" t="s">
        <v>22</v>
      </c>
      <c r="NB3" s="17" t="s">
        <v>11</v>
      </c>
      <c r="NC3" s="17" t="s">
        <v>12</v>
      </c>
      <c r="ND3" s="17" t="s">
        <v>4</v>
      </c>
      <c r="NE3" s="17" t="s">
        <v>13</v>
      </c>
      <c r="NF3" s="17" t="s">
        <v>22</v>
      </c>
      <c r="NG3" s="8"/>
      <c r="NH3" s="8"/>
      <c r="NI3" s="8"/>
      <c r="NJ3" s="8"/>
      <c r="NK3" s="8"/>
      <c r="NL3" s="8"/>
      <c r="NM3" s="8"/>
      <c r="NN3" s="16" t="s">
        <v>11</v>
      </c>
      <c r="NO3" s="16" t="s">
        <v>12</v>
      </c>
      <c r="NP3" s="16" t="s">
        <v>4</v>
      </c>
      <c r="NQ3" s="16" t="s">
        <v>13</v>
      </c>
      <c r="NR3" s="16" t="s">
        <v>22</v>
      </c>
      <c r="NS3" s="16" t="s">
        <v>11</v>
      </c>
      <c r="NT3" s="16" t="s">
        <v>12</v>
      </c>
      <c r="NU3" s="16" t="s">
        <v>4</v>
      </c>
      <c r="NV3" s="16" t="s">
        <v>13</v>
      </c>
      <c r="NW3" s="16" t="s">
        <v>22</v>
      </c>
      <c r="NX3" s="16" t="s">
        <v>11</v>
      </c>
      <c r="NY3" s="16" t="s">
        <v>12</v>
      </c>
      <c r="NZ3" s="16" t="s">
        <v>4</v>
      </c>
      <c r="OA3" s="16" t="s">
        <v>13</v>
      </c>
      <c r="OB3" s="16" t="s">
        <v>22</v>
      </c>
      <c r="OC3" s="16" t="s">
        <v>11</v>
      </c>
      <c r="OD3" s="16" t="s">
        <v>12</v>
      </c>
      <c r="OE3" s="16" t="s">
        <v>4</v>
      </c>
      <c r="OF3" s="16" t="s">
        <v>13</v>
      </c>
      <c r="OG3" s="16" t="s">
        <v>22</v>
      </c>
      <c r="OH3" s="16" t="s">
        <v>43</v>
      </c>
      <c r="OI3" s="6"/>
      <c r="OJ3" s="6"/>
      <c r="OK3" s="6"/>
      <c r="OL3" s="6"/>
      <c r="OM3" s="6"/>
      <c r="ON3" s="6"/>
      <c r="OO3" s="6"/>
      <c r="OP3" s="6"/>
      <c r="OQ3" s="6"/>
    </row>
    <row r="4" spans="1:407" x14ac:dyDescent="0.2">
      <c r="A4" s="4" cm="1">
        <f t="array" ref="A4">IF(AND(H4&lt;&gt;"",H4&lt;&gt;"No DD"),SUMPRODUCT((H$4:H$9&lt;&gt;"")*(H$4:H$9&lt;&gt;"No DD")*(E$4:E$9&gt;E4))+1,IF(H4="No DD",SUMPRODUCT((H$4:H$9="No DD")*(E$4:E$9&gt;E4))+1+SUMPRODUCT((H$4:H$9&lt;&gt;"")*(H$4:H$9&lt;&gt;"No DD")),""))</f>
        <v>1</v>
      </c>
      <c r="B4" s="5" t="s">
        <v>81</v>
      </c>
      <c r="C4" s="4" t="s">
        <v>66</v>
      </c>
      <c r="D4" s="4">
        <v>2007</v>
      </c>
      <c r="E4" s="10">
        <f>SUM(I4:Q4)</f>
        <v>246.34</v>
      </c>
      <c r="F4" s="3" t="str">
        <f>IF(OR(AND(AP4&gt;=AW$11,AT4&gt;=AW$15,AO4&lt;&gt;"",AN4=""),AND(BT4&gt;=CA$11,BX4&gt;=CA$15,BS4&lt;&gt;"",BR4=""),AND(CX4&gt;=DE$11,DB4&gt;=DE$15,CW4&lt;&gt;"",CV4=""),AND(DY4&gt;=EE$11,EB4&gt;=EE$15,DY4&lt;&gt;""),AND(EU4&gt;=FA$11,EX4&gt;=FA$15,EU4&lt;&gt;""),AND(FQ4&gt;=FW$11,FT4&gt;=FW$15,FQ4&lt;&gt;""),AND(GM4&gt;=GS$11,GP4&gt;=GS$15,GM4&lt;&gt;""),AND(HI4&gt;=HO$11,HL4&gt;=HO$15,HI4&lt;&gt;""),AND(IE4&gt;=IK$11,IH4&gt;=IK$15,IE4&lt;&gt;""),AND(JA4&gt;=JG$11,JD4&gt;=JG$15,JA4&lt;&gt;""),AND(JW4&gt;=KC$11,JZ4&gt;=KC$15,JW4&lt;&gt;""),AND(KS4&gt;=KY$11,KV4&gt;=KY$15,KS4&lt;&gt;""),AND(LO4&gt;=LU$11,LR4&gt;=LU$15,LO4&lt;&gt;""),AND(MK4&gt;=MQ$11,MN4&gt;=MQ$15,MK4&lt;&gt;""),AND(NG4&gt;=NM$11,NJ4&gt;=NM$15,NG4&lt;&gt;"")),"P","")</f>
        <v>P</v>
      </c>
      <c r="G4" s="3" t="str">
        <f>IF(OR(AND(AT4&gt;=AW$15,AO4&lt;&gt;"",AN4=""),AND(BX4&gt;=CA$15,BS4&lt;&gt;"",BR4=""),AND(DB4&gt;=DE$15,CW4&lt;&gt;"",CV4=""),AND(EB4&gt;=EE$15,DY4&lt;&gt;""),AND(EX4&gt;=FA$15,EU4&lt;&gt;""),AND(FT4&gt;=FW$15,FQ4&lt;&gt;""),AND(GP4&gt;=GS$15,GM4&lt;&gt;""),AND(HL4&gt;=HO$15,HI4&lt;&gt;""),AND(IH4&gt;=IK$15,IE4&lt;&gt;""),AND(JD4&gt;=JG$15,JA4&lt;&gt;""),AND(JZ4&gt;=KC$15,JW4&lt;&gt;""),AND(KV4&gt;=KY$15,KS4&lt;&gt;""),AND(LR4&gt;=LU$15,LO4&lt;&gt;""),AND(MN4&gt;=MQ$15,MK4&lt;&gt;""),AND(NJ4&gt;=NM$15,NG4&lt;&gt;"")),"P","")</f>
        <v>P</v>
      </c>
      <c r="H4" s="47" t="str">
        <f>IF(OR(AND(AP4&gt;=AW$14,AQ4&gt;=AW$18,AP4&lt;&gt;"",AN4=""),AND(AU4&gt;=AW$14,AV4&gt;=AW$18,AU4&lt;&gt;"",AN4=""),AND(BT4&gt;=CA$14,BU4&gt;=CA$18,BT4&lt;&gt;"",BR4=""),AND(BY4&gt;=CA$14,BZ4&gt;=CA$18,BY4&lt;&gt;"",BR4=""),AND(CX4&gt;=DE$14,CY4&gt;=DE$18,CX4&lt;&gt;"",CV4=""),AND(DC4&gt;=DE$14,DD4&gt;=DE$18,DC4&lt;&gt;"",CV4=""),AND(DY4&gt;=EE$14,EA4&gt;=EE$18,DY4&lt;&gt;""),AND(EC4&gt;=EE$14,ED4&gt;=EE$18,EC4&lt;&gt;""),AND(EU4&gt;=FA$14,EW4&gt;=FA$18,EU4&lt;&gt;""),AND(EY4&gt;=FA$14,EZ4&gt;=FA$18,EY4&lt;&gt;""),AND(FQ4&gt;=FW$14,FS4&gt;=FW$18,FQ4&lt;&gt;""),AND(FU4&gt;=FW$14,FV4&gt;=FW$18,FU4&lt;&gt;""),AND(GM4&gt;=GS$14,GO4&gt;=GS$18,GM4&lt;&gt;""),AND(GQ4&gt;=GS$14,GR4&gt;=GS$18,GQ4&lt;&gt;""),AND(HI4&gt;=HO$14,HK4&gt;=HO$18,HI4&lt;&gt;""),AND(HM4&gt;=HO$14,HN4&gt;=HO$18,HM4&lt;&gt;""),AND(IE4&gt;=IK$14,IG4&gt;=IK$18,IE4&lt;&gt;""),AND(II4&gt;=IK$14,IJ4&gt;=IK$18,II4&lt;&gt;""),AND(JA4&gt;=JG$14,JC4&gt;=JG$18,JA4&lt;&gt;""),AND(JE4&gt;=JG$14,JF4&gt;=JG$18,JE4&lt;&gt;""),AND(JW4&gt;=KC$14,JY4&gt;=KC$18,JW4&lt;&gt;""),AND(KA4&gt;=KC$14,KB4&gt;=KC$18,KA4&lt;&gt;""),AND(KS4&gt;=KY$14,KU4&gt;=KY$18,KS4&lt;&gt;""),AND(KW4&gt;=KY$14,KX4&gt;=KY$18,KW4&lt;&gt;""),AND(LO4&gt;=LU$14,LQ4&gt;=LU$18,LO4&lt;&gt;""),AND(LS4&gt;=LU$14,LT4&gt;=LU$18,LS4&lt;&gt;""),AND(MK4&gt;=MQ$14,MM4&gt;=MQ$18,MK4&lt;&gt;""),AND(MO4&gt;=MQ$14,MP4&gt;=MQ$18,MO4&lt;&gt;""),AND(NG4&gt;=NM$14,NI4&gt;=NM$18,NG4&lt;&gt;""),AND(NK4&gt;=NM$14,NL4&gt;=NM$18,NK4&lt;&gt;"")),"Merit",IF(OR(AND(AP4&gt;=AW$13,AT4&gt;=AW$17,AO4&lt;&gt;"",AN4=""),AND(BT4&gt;=CA$13,BX4&gt;=CA$17,BS4&lt;&gt;"",BR4=""),AND(CX4&gt;=DE$13,DB4&gt;=DE$17,CW4&lt;&gt;"",CV4=""),AND(DY4&gt;=EE$13,EB4&gt;=EE$17,DY4&lt;&gt;""),AND(EU4&gt;=FA$13,EX4&gt;=FA$17,EU4&lt;&gt;""),AND(FQ4&gt;=FW$13,FT4&gt;=FW$17,FQ4&lt;&gt;""),AND(GM4&gt;=GS$13,GP4&gt;=GS$17,GM4&lt;&gt;""),AND(HI4&gt;=HO$13,HL4&gt;=HO$17,HI4&lt;&gt;""),AND(IE4&gt;=IK$13,IH4&gt;=IK$17,IE4&lt;&gt;""),AND(JA4&gt;=JG$13,JD4&gt;=JG$17,JA4&lt;&gt;""),AND(JW4&gt;=KC$13,JZ4&gt;=KC$17,JW4&lt;&gt;""),AND(KS4&gt;=KY$13,KV4&gt;=KY$17,KS4&lt;&gt;""),AND(LO4&gt;=LU$13,LR4&gt;=LU$17,LO4&lt;&gt;""),AND(MK4&gt;=MQ$13,MN4&gt;=MQ$17,MK4&lt;&gt;""),AND(NG4&gt;=NM$13,NJ4&gt;=NM$17,NG4&lt;&gt;"")),"Excellence",IF(OR(AND(AP4&gt;=AW$11,AT4&gt;=AW$15,AO4&lt;&gt;"",AN4=""),AND(BT4&gt;=CA$11,BX4&gt;=CA$15,BS4&lt;&gt;"",BR4=""),AND(CX4&gt;=DE$11,DB4&gt;=DE$15,CW4&lt;&gt;"",CV4=""),AND(DY4&gt;=EE$11,EB4&gt;=EE$15,DY4&lt;&gt;""),AND(EU4&gt;=FA$11,EX4&gt;=FA$15,EU4&lt;&gt;""),AND(FQ4&gt;=FW$11,FT4&gt;=FW$15,FQ4&lt;&gt;""),AND(GM4&gt;=GS$11,GP4&gt;=GS$15,GM4&lt;&gt;""),AND(HI4&gt;=HO$11,HL4&gt;=HO$15,HI4&lt;&gt;""),AND(IE4&gt;=IK$11,IH4&gt;=IK$15,IE4&lt;&gt;""),AND(JA4&gt;=JG$11,JD4&gt;=JG$15,JA4&lt;&gt;""),AND(JW4&gt;=KC$11,JZ4&gt;=KC$15,JW4&lt;&gt;""),AND(KS4&gt;=KY$11,KV4&gt;=KY$15,KS4&lt;&gt;""),AND(LO4&gt;=LU$11,LR4&gt;=LU$15,LO4&lt;&gt;""),AND(MK4&gt;=MQ$11,MN4&gt;=MQ$15,MK4&lt;&gt;""),AND(NG4&gt;=NM$11,NJ4&gt;=NM$15,NG4&lt;&gt;"")),"National Team",IF(G4="P","No DD",""))))</f>
        <v>National Team</v>
      </c>
      <c r="I4" s="9">
        <f>IF(MAX(AT4,BX4,DB4)&gt;0,MAX(AT4,BX4,DB4),0)</f>
        <v>97.089999999999989</v>
      </c>
      <c r="J4" s="9" t="str">
        <f>IF(I4=0,"",IF(I4=DB4,$CB$1,IF(I4=BX4,$AX$1,IF(I4=AT4,$T$1,""))))</f>
        <v>2023 3rd Domestic Trial</v>
      </c>
      <c r="K4" s="9">
        <f>IF($I4=$AT4,MAX(BS4,CW4),IF($I4=$BX4,MAX(AO4,CW4),IF($I4=$DB4,MAX(AO4,BS4),MAX(AO4,BS4,CW4))))</f>
        <v>42.54</v>
      </c>
      <c r="L4" s="9" t="str">
        <f>IF(K4=0,"",IF(AND(K4=CW4,$J4&lt;&gt;$CB$1),$CB$1,IF(AND(K4=BS4,$J4&lt;&gt;$AX$1),$AX$1,IF(AND(K4=AO4,$J4&lt;&gt;$T$1),$T$1,""))))</f>
        <v>2023 Nationals</v>
      </c>
      <c r="M4" s="9">
        <f>IF(I4-N(AO4)=AQ4,MAX(AS4,BU4,BW4,CY4,DA4),IF(I4-N(AO4)=AS4,MAX(AQ4,BU4,BW4,CY4,DA4),IF(I4-N(BS4)=BU4,MAX(AQ4,AS4,BW4,CY4,DA4),IF(I4-N(BS4)=BW4,MAX(AQ4,AS4,BU4,CY4,DA4),IF(I4-N(CW4)=CY4,MAX(AQ4,AS4,BU4,BW4,DA4),IF(I4-N(CW4)=DA4,MAX(AQ4,AS4,BU4,BW4,CY4),MAX(AQ4,AS4,BU4,BW4,CY4,DA4)))))))</f>
        <v>52.78</v>
      </c>
      <c r="N4" s="9" t="str">
        <f>IF(M4=0,"",IF(AND(OR(M4=DA4,M4=CY4),$J4&lt;&gt;$CB$1),$CB$1,IF(AND(OR(M4=BW4,M4=BU4),$J4&lt;&gt;$AX$1),$AX$1,IF(AND(OR(M4=AS4,M4=AQ4),$J4&lt;&gt;$T$1),$T$1,""))))</f>
        <v>2023 Nationals</v>
      </c>
      <c r="O4" s="9">
        <f>MAX(AV4,BZ4,DD4)</f>
        <v>53.93</v>
      </c>
      <c r="P4" s="9" t="str">
        <f>IF(O4=0,"",IF(O4=DD4,$CB$1,IF(O4=BZ4,$AX$1,IF(O4=AV4,$T$1,""))))</f>
        <v>2023 3rd Domestic Trial</v>
      </c>
      <c r="Q4" s="9" t="str">
        <f>IF(MAX(DF4,DG4,DH4,DI4)&gt;0,MAX(DF4,DG4,DH4,DI4),"")</f>
        <v/>
      </c>
      <c r="R4" s="14" t="str">
        <f>IF(Q4="","",IF(Q4=DF4,"(Vol 1)",IF(Q4=DG4,"(Vol 2)",IF(Q4=DH4,"(Prelim)",IF(Q4=DI4,"(Final)")))))</f>
        <v/>
      </c>
      <c r="S4" s="9" t="str">
        <f>IF(Q4="","",IF(Q4=DF4,IF(Q4+IF(K4="",0,K4)=NH4,$MR$1,IF(Q4+IF(K4="",0,K4)=ML4,$LV$1,IF(Q4+IF(K4="",0,K4)=LP4,$KZ$1,IF(Q4+IF(K4="",0,K4)=KT4,$KD$1,IF(Q4+IF(K4="",0,K4)=JX4,$JH$1,IF(Q4+IF(K4="",0,K4)=JB4,$IL$1,IF(Q4+IF(K4="",0,K4)=IF4,$HP$1,IF(Q4+IF(K4="",0,K4)=HJ4,$GT$1,IF(Q4+IF(K4="",0,K4)=GN4,$FX$1,IF(Q4+IF(K4="",0,K4)=FR4,$FB$1,IF(Q4+IF(K4="",0,K4)=EV4,$EF$1,IF(Q4+IF(K4="",0,K4)=DZ4,$DJ$1)))))))))))),IF(Q4=DG4,IF(Q4+IF(M4="",0,M4)=NI4,$MR$1,IF(Q4+IF(M4="",0,M4)=MM4,$LV$1,IF(Q4+IF(M4="",0,M4)=LQ4,$KZ$1,IF(Q4+IF(M4="",0,M4)=KU4,$KD$1,IF(Q4+IF(M4="",0,M4)=JY4,$JH$1,IF(Q4+IF(M4="",0,M4)=JC4,$IL$1,IF(Q4+IF(M4="",0,M4)=IG4,$HP$1,IF(Q4+IF(M4="",0,M4)=HK4,$GT$1,IF(Q4+IF(M4="",0,M4)=GO4,$FX$1,IF(Q4+IF(M4="",0,M4)=FS4,$FB$1,IF(Q4+IF(M4="",0,M4)=EW4,$EF$1,IF(Q4+IF(M4="",0,M4)=EA4,$DJ$1)))))))))))),IF(Q4=DH4,IF(Q4+IF(I4="",0,I4)=NJ4,$MR$1,IF(Q4+IF(I4="",0,I4)=MN4,$LV$1,IF(Q4+IF(I4="",0,I4)=LR4,$KZ$1,IF(Q4+IF(I4="",0,I4)=KV4,$KD$1,IF(Q4+IF(I4="",0,I4)=JZ4,$JH$1,IF(Q4+IF(I4="",0,I4)=JD4,$IL$1,IF(Q4+IF(I4="",0,I4)=IH4,$HP$1,IF(Q4+IF(I4="",0,I4)=HL4,$GT$1,IF(Q4+IF(I4="",0,I4)=GP4,$FX$1,IF(Q4+IF(I4="",0,I4)=FT4,$FB$1,IF(Q4+IF(I4="",0,I4)=EX4,$EF$1,IF(Q4+IF(I4="",0,I4)=EB4,$DJ$1)))))))))))),IF(Q4=DI4,IF(Q4+IF(O4="",0,O4)=NL4,$MR$1,IF(Q4+IF(O4="",0,O4)=MP4,$LV$1,IF(Q4+IF(O4="",0,O4)=LT4,$KZ$1,IF(Q4+IF(O4="",0,O4)=KX4,$KD$1,IF(Q4+IF(O4="",0,O4)=KB4,$JH$1,IF(Q4+IF(O4="",0,O4)=JF4,$IL$1,IF(Q4+IF(O4="",0,O4)=IJ4,$HP$1,IF(Q4+IF(O4="",0,O4)=HN4,$GT$1,IF(Q4+IF(O4="",0,O4)=GR4,$FX$1,IF(Q4+IF(O4="",0,O4)=FV4,$FB$1,IF(Q4+IF(O4="",0,O4)=EZ4,$EF$1,IF(Q4+IF(O4="",0,O4)=ED4,$DJ$1)))))))))))))))))</f>
        <v/>
      </c>
      <c r="T4" s="27">
        <v>17</v>
      </c>
      <c r="U4" s="27">
        <v>9.1</v>
      </c>
      <c r="V4" s="27">
        <v>0</v>
      </c>
      <c r="W4" s="27">
        <v>15.25</v>
      </c>
      <c r="X4" s="27">
        <v>0</v>
      </c>
      <c r="Y4" s="27">
        <v>15.6</v>
      </c>
      <c r="Z4" s="27">
        <v>9.5</v>
      </c>
      <c r="AA4" s="27">
        <v>7.9</v>
      </c>
      <c r="AB4" s="27">
        <v>14.59</v>
      </c>
      <c r="AC4" s="27">
        <v>3.3</v>
      </c>
      <c r="AD4" s="27"/>
      <c r="AE4" s="27"/>
      <c r="AF4" s="27"/>
      <c r="AG4" s="27"/>
      <c r="AH4" s="27"/>
      <c r="AI4" s="27">
        <v>16</v>
      </c>
      <c r="AJ4" s="27">
        <v>9.3000000000000007</v>
      </c>
      <c r="AK4" s="27">
        <v>11.6</v>
      </c>
      <c r="AL4" s="27">
        <v>14.67</v>
      </c>
      <c r="AM4" s="27">
        <v>0</v>
      </c>
      <c r="AN4" s="32"/>
      <c r="AO4" s="7">
        <f>IF(SUM(T4:W4)-X4&gt;0,SUM(T4:W4)-X4,"")</f>
        <v>41.35</v>
      </c>
      <c r="AP4" s="7">
        <f>IF(AA4&gt;0,AA4,"")</f>
        <v>7.9</v>
      </c>
      <c r="AQ4" s="7">
        <f>IF(SUM(Y4:AB4)-AC4&gt;0,SUM(Y4:AB4)-AC4,"")</f>
        <v>44.290000000000006</v>
      </c>
      <c r="AR4" s="7" t="str">
        <f>IF(AF4&gt;0,AF4,"")</f>
        <v/>
      </c>
      <c r="AS4" s="7" t="str">
        <f>IF(SUM(AD4:AG4)-AH4&gt;0,SUM(AD4:AG4)-AH4,"")</f>
        <v/>
      </c>
      <c r="AT4" s="7">
        <f>IF(AO4="",IF(MAX(AQ4,AS4)&gt;0,MAX(AQ4,AS4),""),MAX(AQ4,AS4)+AO4)</f>
        <v>85.640000000000015</v>
      </c>
      <c r="AU4" s="7">
        <f>IF(AK4&gt;0,AK4,"")</f>
        <v>11.6</v>
      </c>
      <c r="AV4" s="7">
        <f>IF(SUM(AI4:AL4)-AM4&gt;0,SUM(AI4:AL4)-AM4,"")</f>
        <v>51.57</v>
      </c>
      <c r="AW4" s="7">
        <f>IF(SUM(AT4,AV4)&gt;0,SUM(AT4,AV4),"")</f>
        <v>137.21</v>
      </c>
      <c r="AX4" s="23">
        <v>17.100000000000001</v>
      </c>
      <c r="AY4" s="23">
        <v>9.6999999999999993</v>
      </c>
      <c r="AZ4" s="23">
        <v>0</v>
      </c>
      <c r="BA4" s="23">
        <v>15.74</v>
      </c>
      <c r="BB4" s="23">
        <v>0</v>
      </c>
      <c r="BC4" s="23">
        <v>15.9</v>
      </c>
      <c r="BD4" s="23">
        <v>9.1999999999999993</v>
      </c>
      <c r="BE4" s="23">
        <v>12.7</v>
      </c>
      <c r="BF4" s="23">
        <v>14.98</v>
      </c>
      <c r="BG4" s="23">
        <v>0</v>
      </c>
      <c r="BH4" s="23"/>
      <c r="BI4" s="23"/>
      <c r="BJ4" s="23"/>
      <c r="BK4" s="23"/>
      <c r="BL4" s="23"/>
      <c r="BM4" s="23">
        <v>14</v>
      </c>
      <c r="BN4" s="23">
        <v>8.9</v>
      </c>
      <c r="BO4" s="23">
        <v>12.6</v>
      </c>
      <c r="BP4" s="23">
        <v>14.63</v>
      </c>
      <c r="BQ4" s="23">
        <v>0</v>
      </c>
      <c r="BR4" s="33"/>
      <c r="BS4" s="9">
        <f>IF(SUM(AX4:BA4)-BB4&gt;0,SUM(AX4:BA4)-BB4,"")</f>
        <v>42.54</v>
      </c>
      <c r="BT4" s="9">
        <f>IF(BE4&gt;0,BE4,"")</f>
        <v>12.7</v>
      </c>
      <c r="BU4" s="9">
        <f>IF(SUM(BC4:BF4)-BG4&gt;0,SUM(BC4:BF4)-BG4,"")</f>
        <v>52.78</v>
      </c>
      <c r="BV4" s="9" t="str">
        <f>IF(BJ4&gt;0,BJ4,"")</f>
        <v/>
      </c>
      <c r="BW4" s="9" t="str">
        <f>IF(SUM(BH4:BK4)-BL4&gt;0,SUM(BH4:BK4)-BL4,"")</f>
        <v/>
      </c>
      <c r="BX4" s="9">
        <f>IF(BS4="",IF(MAX(BU4,BW4)&gt;0,MAX(BU4,BW4),""),MAX(BU4,BW4)+BS4)</f>
        <v>95.32</v>
      </c>
      <c r="BY4" s="9">
        <f>IF(BO4&gt;0,BO4,"")</f>
        <v>12.6</v>
      </c>
      <c r="BZ4" s="9">
        <f>IF(SUM(BM4:BP4)-BQ4&gt;0,SUM(BM4:BP4)-BQ4,"")</f>
        <v>50.13</v>
      </c>
      <c r="CA4" s="9">
        <f>IF(SUM(BX4,BZ4)&gt;0,SUM(BX4,BZ4),"")</f>
        <v>145.44999999999999</v>
      </c>
      <c r="CB4" s="27">
        <v>17.7</v>
      </c>
      <c r="CC4" s="27">
        <v>9.5</v>
      </c>
      <c r="CD4" s="27">
        <v>0</v>
      </c>
      <c r="CE4" s="27">
        <v>16.13</v>
      </c>
      <c r="CF4" s="27">
        <v>0</v>
      </c>
      <c r="CG4" s="27">
        <v>15.4</v>
      </c>
      <c r="CH4" s="27">
        <v>9</v>
      </c>
      <c r="CI4" s="27">
        <v>13.7</v>
      </c>
      <c r="CJ4" s="27">
        <v>15.66</v>
      </c>
      <c r="CK4" s="27">
        <v>0</v>
      </c>
      <c r="CL4" s="27"/>
      <c r="CM4" s="27"/>
      <c r="CN4" s="27"/>
      <c r="CO4" s="27"/>
      <c r="CP4" s="27"/>
      <c r="CQ4" s="27">
        <v>14.4</v>
      </c>
      <c r="CR4" s="27">
        <v>9.1</v>
      </c>
      <c r="CS4" s="27">
        <v>15.000000000000002</v>
      </c>
      <c r="CT4" s="27">
        <v>15.43</v>
      </c>
      <c r="CU4" s="27">
        <v>0</v>
      </c>
      <c r="CV4" s="32"/>
      <c r="CW4" s="7">
        <f>IF(SUM(CB4:CE4)-CF4&gt;0,SUM(CB4:CE4)-CF4,"")</f>
        <v>43.33</v>
      </c>
      <c r="CX4" s="7">
        <f>IF(CI4&gt;0,CI4,"")</f>
        <v>13.7</v>
      </c>
      <c r="CY4" s="7">
        <f>IF(SUM(CG4:CJ4)-CK4&gt;0,SUM(CG4:CJ4)-CK4,"")</f>
        <v>53.759999999999991</v>
      </c>
      <c r="CZ4" s="7" t="str">
        <f>IF(CN4&gt;0,CN4,"")</f>
        <v/>
      </c>
      <c r="DA4" s="7" t="str">
        <f>IF(SUM(CL4:CO4)-CP4&gt;0,SUM(CL4:CO4)-CP4,"")</f>
        <v/>
      </c>
      <c r="DB4" s="7">
        <f>IF(CW4="",IF(MAX(CY4,DA4)&gt;0,MAX(CY4,DA4),""),MAX(CY4,DA4)+CW4)</f>
        <v>97.089999999999989</v>
      </c>
      <c r="DC4" s="7">
        <f>IF(CS4&gt;0,CS4,"")</f>
        <v>15.000000000000002</v>
      </c>
      <c r="DD4" s="7">
        <f>IF(SUM(CQ4:CT4)-CU4&gt;0,SUM(CQ4:CT4)-CU4,"")</f>
        <v>53.93</v>
      </c>
      <c r="DE4" s="7">
        <f>IF(SUM(DB4,DD4)&gt;0,SUM(DB4,DD4),"")</f>
        <v>151.01999999999998</v>
      </c>
      <c r="DF4" s="13" t="str">
        <f>IF(MAX(DZ4,EV4,FR4,GN4,HJ4,IF4,JB4,JX4,KT4,LP4,ML4,NH4)-IF(K4="",0,K4)&gt;0.001,MAX(DZ4,EV4,FR4,GN4,HJ4,IF4,JB4,JX4,KT4,LP4,ML4,NH4)-IF(K4="",0,K4),"")</f>
        <v/>
      </c>
      <c r="DG4" s="13" t="str">
        <f>IF(MAX(EA4,EW4,FS4,GO4,HK4,IG4,JC4,JY4,KU4,LQ4,MM4,NI4)-IF(M4="",0,M4)&gt;0.001,MAX(EA4,EW4,FS4,GO4,HK4,IG4,JC4,JY4,KU4,LQ4,MM4,NI4)-IF(M4="",0,M4),"")</f>
        <v/>
      </c>
      <c r="DH4" s="13" t="str">
        <f>IF(MAX(EB4,EX4,FT4,GP4,HL4,IH4,JD4,JZ4,KV4,LR4,MN4,NJ4)-IF(I4="",0,I4)&gt;0.001,MAX(EB4,EX4,FT4,GP4,HL4,IH4,JD4,JZ4,KV4,LR4,MN4,NJ4)-IF(I4="",0,I4),"")</f>
        <v/>
      </c>
      <c r="DI4" s="13" t="str">
        <f>IF(MAX(ED4,EZ4,FV4,GR4,HN4,IJ4,JF4,KB4,KX4,LT4,MP4,NL4)-IF(O4="",0,O4)&gt;0.001,MAX(ED4,EZ4,FV4,GR4,HN4,IJ4,JF4,KB4,KX4,LT4,MP4,NL4)-IF(O4="",0,O4),"")</f>
        <v/>
      </c>
      <c r="DJ4" s="18"/>
      <c r="DK4" s="18"/>
      <c r="DL4" s="18"/>
      <c r="DM4" s="18"/>
      <c r="DN4" s="18"/>
      <c r="DO4" s="18"/>
      <c r="DP4" s="18"/>
      <c r="DQ4" s="18"/>
      <c r="DR4" s="18"/>
      <c r="DS4" s="18"/>
      <c r="DT4" s="18"/>
      <c r="DU4" s="18"/>
      <c r="DV4" s="18"/>
      <c r="DW4" s="18"/>
      <c r="DX4" s="18"/>
      <c r="DY4" s="7" t="str">
        <f>IF(DQ4&gt;0,DQ4,"")</f>
        <v/>
      </c>
      <c r="DZ4" s="7" t="str">
        <f>IF(SUM(DJ4:DM4)-DN4&gt;0,SUM(DJ4:DM4)-DN4,"")</f>
        <v/>
      </c>
      <c r="EA4" s="7" t="str">
        <f>IF(SUM(DO4:DR4)-DS4&gt;0,SUM(DO4:DR4)-DS4,"")</f>
        <v/>
      </c>
      <c r="EB4" s="7" t="str">
        <f>IF(SUM(DZ4:EA4)&gt;0,SUM(DZ4:EA4),"")</f>
        <v/>
      </c>
      <c r="EC4" s="7" t="str">
        <f>IF(DV4&gt;0,DV4,"")</f>
        <v/>
      </c>
      <c r="ED4" s="7" t="str">
        <f>IF(SUM(DT4:DW4)-DX4&gt;0,SUM(DT4:DW4)-DX4,"")</f>
        <v/>
      </c>
      <c r="EE4" s="7" t="str">
        <f>IF(SUM(EB4,ED4)&gt;0,SUM(EB4,ED4),"")</f>
        <v/>
      </c>
      <c r="EF4" s="19">
        <v>15.4</v>
      </c>
      <c r="EG4" s="19">
        <v>9.6999999999999993</v>
      </c>
      <c r="EH4" s="19">
        <v>0</v>
      </c>
      <c r="EI4" s="19">
        <v>15.38</v>
      </c>
      <c r="EJ4" s="19">
        <v>0</v>
      </c>
      <c r="EK4" s="19">
        <v>14.5</v>
      </c>
      <c r="EL4" s="19">
        <v>9.1999999999999993</v>
      </c>
      <c r="EM4" s="19">
        <v>12.5</v>
      </c>
      <c r="EN4" s="19">
        <v>14.97</v>
      </c>
      <c r="EO4" s="19">
        <v>0</v>
      </c>
      <c r="EP4" s="19">
        <v>14.4</v>
      </c>
      <c r="EQ4" s="19">
        <v>9.4</v>
      </c>
      <c r="ER4" s="19">
        <v>12.5</v>
      </c>
      <c r="ES4" s="19">
        <v>14.46</v>
      </c>
      <c r="ET4" s="19">
        <v>0</v>
      </c>
      <c r="EU4" s="9">
        <f>IF(EM4&gt;0,EM4,"")</f>
        <v>12.5</v>
      </c>
      <c r="EV4" s="9">
        <f>IF(SUM(EF4:EI4)-EJ4&gt;0,SUM(EF4:EI4)-EJ4,"")</f>
        <v>40.480000000000004</v>
      </c>
      <c r="EW4" s="9">
        <f>IF(SUM(EK4:EN4)-EO4&gt;0,SUM(EK4:EN4)-EO4,"")</f>
        <v>51.17</v>
      </c>
      <c r="EX4" s="9">
        <f>IF(SUM(EV4:EW4)&gt;0,SUM(EV4:EW4),"")</f>
        <v>91.65</v>
      </c>
      <c r="EY4" s="9">
        <f>IF(ER4&gt;0,ER4,"")</f>
        <v>12.5</v>
      </c>
      <c r="EZ4" s="9">
        <f>IF(SUM(EP4:ES4)-ET4&gt;0,SUM(EP4:ES4)-ET4,"")</f>
        <v>50.76</v>
      </c>
      <c r="FA4" s="9">
        <f>IF(SUM(EX4,EZ4)&gt;0,SUM(EX4,EZ4),"")</f>
        <v>142.41</v>
      </c>
      <c r="FB4" s="18"/>
      <c r="FC4" s="18"/>
      <c r="FD4" s="18"/>
      <c r="FE4" s="18"/>
      <c r="FF4" s="18"/>
      <c r="FG4" s="18"/>
      <c r="FH4" s="18"/>
      <c r="FI4" s="18"/>
      <c r="FJ4" s="18"/>
      <c r="FK4" s="18"/>
      <c r="FL4" s="18">
        <v>14.8</v>
      </c>
      <c r="FM4" s="18">
        <v>9.1999999999999993</v>
      </c>
      <c r="FN4" s="18">
        <v>11.6</v>
      </c>
      <c r="FO4" s="18">
        <v>14.93</v>
      </c>
      <c r="FP4" s="18">
        <v>0</v>
      </c>
      <c r="FQ4" s="7" t="str">
        <f>IF(FI4&gt;0,FI4,"")</f>
        <v/>
      </c>
      <c r="FR4" s="7" t="str">
        <f>IF(SUM(FB4:FE4)-FF4&gt;0,SUM(FB4:FE4)-FF4,"")</f>
        <v/>
      </c>
      <c r="FS4" s="7" t="str">
        <f>IF(SUM(FG4:FJ4)-FK4&gt;0,SUM(FG4:FJ4)-FK4,"")</f>
        <v/>
      </c>
      <c r="FT4" s="7" t="str">
        <f>IF(SUM(FR4:FS4)&gt;0,SUM(FR4:FS4),"")</f>
        <v/>
      </c>
      <c r="FU4" s="7">
        <f>IF(FN4&gt;0,FN4,"")</f>
        <v>11.6</v>
      </c>
      <c r="FV4" s="7">
        <f>IF(SUM(FL4:FO4)-FP4&gt;0,SUM(FL4:FO4)-FP4,"")</f>
        <v>50.53</v>
      </c>
      <c r="FW4" s="7">
        <f>IF(SUM(FT4,FV4)&gt;0,SUM(FT4,FV4),"")</f>
        <v>50.53</v>
      </c>
      <c r="FX4" s="19">
        <v>16.899999999999999</v>
      </c>
      <c r="FY4" s="19">
        <v>9.4</v>
      </c>
      <c r="FZ4" s="19">
        <v>0</v>
      </c>
      <c r="GA4" s="19">
        <v>16.170000000000002</v>
      </c>
      <c r="GB4" s="19">
        <v>0</v>
      </c>
      <c r="GC4" s="19">
        <v>6</v>
      </c>
      <c r="GD4" s="19">
        <v>3.8</v>
      </c>
      <c r="GE4" s="19">
        <v>5.2</v>
      </c>
      <c r="GF4" s="19">
        <v>6.4</v>
      </c>
      <c r="GG4" s="19">
        <v>0</v>
      </c>
      <c r="GH4" s="19"/>
      <c r="GI4" s="19"/>
      <c r="GJ4" s="19"/>
      <c r="GK4" s="19"/>
      <c r="GL4" s="19"/>
      <c r="GM4" s="9">
        <f>IF(GE4&gt;0,GE4,"")</f>
        <v>5.2</v>
      </c>
      <c r="GN4" s="9">
        <f>IF(SUM(FX4:GA4)-GB4&gt;0,SUM(FX4:GA4)-GB4,"")</f>
        <v>42.47</v>
      </c>
      <c r="GO4" s="9">
        <f>IF(SUM(GC4:GF4)-GG4&gt;0,SUM(GC4:GF4)-GG4,"")</f>
        <v>21.4</v>
      </c>
      <c r="GP4" s="9">
        <f>IF(SUM(GN4:GO4)&gt;0,SUM(GN4:GO4),"")</f>
        <v>63.87</v>
      </c>
      <c r="GQ4" s="9" t="str">
        <f>IF(GJ4&gt;0,GJ4,"")</f>
        <v/>
      </c>
      <c r="GR4" s="9" t="str">
        <f>IF(SUM(GH4:GK4)-GL4&gt;0,SUM(GH4:GK4)-GL4,"")</f>
        <v/>
      </c>
      <c r="GS4" s="9">
        <f>IF(SUM(GP4,GR4)&gt;0,SUM(GP4,GR4),"")</f>
        <v>63.87</v>
      </c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7" t="str">
        <f>IF(HA4&gt;0,HA4,"")</f>
        <v/>
      </c>
      <c r="HJ4" s="7" t="str">
        <f>IF(SUM(GT4:GW4)-GX4&gt;0,SUM(GT4:GW4)-GX4,"")</f>
        <v/>
      </c>
      <c r="HK4" s="7" t="str">
        <f>IF(SUM(GY4:HB4)-HC4&gt;0,SUM(GY4:HB4)-HC4,"")</f>
        <v/>
      </c>
      <c r="HL4" s="7" t="str">
        <f>IF(SUM(HJ4:HK4)&gt;0,SUM(HJ4:HK4),"")</f>
        <v/>
      </c>
      <c r="HM4" s="7" t="str">
        <f>IF(HF4&gt;0,HF4,"")</f>
        <v/>
      </c>
      <c r="HN4" s="7" t="str">
        <f>IF(SUM(HD4:HG4)-HH4&gt;0,SUM(HD4:HG4)-HH4,"")</f>
        <v/>
      </c>
      <c r="HO4" s="7" t="str">
        <f>IF(SUM(HL4,HN4)&gt;0,SUM(HL4,HN4),"")</f>
        <v/>
      </c>
      <c r="HP4" s="19"/>
      <c r="HQ4" s="19"/>
      <c r="HR4" s="19"/>
      <c r="HS4" s="19"/>
      <c r="HT4" s="19"/>
      <c r="HU4" s="19"/>
      <c r="HV4" s="19"/>
      <c r="HW4" s="19"/>
      <c r="HX4" s="19"/>
      <c r="HY4" s="19"/>
      <c r="HZ4" s="19"/>
      <c r="IA4" s="19"/>
      <c r="IB4" s="19"/>
      <c r="IC4" s="19"/>
      <c r="ID4" s="19"/>
      <c r="IE4" s="9" t="str">
        <f>IF(HW4&gt;0,HW4,"")</f>
        <v/>
      </c>
      <c r="IF4" s="9" t="str">
        <f>IF(SUM(HP4:HS4)-HT4&gt;0,SUM(HP4:HS4)-HT4,"")</f>
        <v/>
      </c>
      <c r="IG4" s="9" t="str">
        <f>IF(SUM(HU4:HX4)-HY4&gt;0,SUM(HU4:HX4)-HY4,"")</f>
        <v/>
      </c>
      <c r="IH4" s="9" t="str">
        <f>IF(SUM(IF4:IG4)&gt;0,SUM(IF4:IG4),"")</f>
        <v/>
      </c>
      <c r="II4" s="9" t="str">
        <f>IF(IB4&gt;0,IB4,"")</f>
        <v/>
      </c>
      <c r="IJ4" s="9" t="str">
        <f>IF(SUM(HZ4:IC4)-ID4&gt;0,SUM(HZ4:IC4)-ID4,"")</f>
        <v/>
      </c>
      <c r="IK4" s="9" t="str">
        <f>IF(SUM(IH4,IJ4)&gt;0,SUM(IH4,IJ4),"")</f>
        <v/>
      </c>
      <c r="IL4" s="18"/>
      <c r="IM4" s="18"/>
      <c r="IN4" s="18"/>
      <c r="IO4" s="18"/>
      <c r="IP4" s="18"/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7" t="str">
        <f>IF(IS4&gt;0,IS4,"")</f>
        <v/>
      </c>
      <c r="JB4" s="7" t="str">
        <f>IF(SUM(IL4:IO4)-IP4&gt;0,SUM(IL4:IO4)-IP4,"")</f>
        <v/>
      </c>
      <c r="JC4" s="7" t="str">
        <f>IF(SUM(IQ4:IT4)-IU4&gt;0,SUM(IQ4:IT4)-IU4,"")</f>
        <v/>
      </c>
      <c r="JD4" s="7" t="str">
        <f>IF(SUM(JB4:JC4)&gt;0,SUM(JB4:JC4),"")</f>
        <v/>
      </c>
      <c r="JE4" s="7" t="str">
        <f>IF(IX4&gt;0,IX4,"")</f>
        <v/>
      </c>
      <c r="JF4" s="7" t="str">
        <f>IF(SUM(IV4:IY4)-IZ4&gt;0,SUM(IV4:IY4)-IZ4,"")</f>
        <v/>
      </c>
      <c r="JG4" s="7" t="str">
        <f>IF(SUM(JD4,JF4)&gt;0,SUM(JD4,JF4),"")</f>
        <v/>
      </c>
      <c r="JH4" s="19"/>
      <c r="JI4" s="19"/>
      <c r="JJ4" s="19"/>
      <c r="JK4" s="19"/>
      <c r="JL4" s="19"/>
      <c r="JM4" s="19"/>
      <c r="JN4" s="19"/>
      <c r="JO4" s="19"/>
      <c r="JP4" s="19"/>
      <c r="JQ4" s="19"/>
      <c r="JR4" s="19"/>
      <c r="JS4" s="19"/>
      <c r="JT4" s="19"/>
      <c r="JU4" s="19"/>
      <c r="JV4" s="19"/>
      <c r="JW4" s="9" t="str">
        <f>IF(JO4&gt;0,JO4,"")</f>
        <v/>
      </c>
      <c r="JX4" s="9" t="str">
        <f>IF(SUM(JH4:JK4)-JL4&gt;0,SUM(JH4:JK4)-JL4,"")</f>
        <v/>
      </c>
      <c r="JY4" s="9" t="str">
        <f>IF(SUM(JM4:JP4)-JQ4&gt;0,SUM(JM4:JP4)-JQ4,"")</f>
        <v/>
      </c>
      <c r="JZ4" s="9" t="str">
        <f>IF(SUM(JX4:JY4)&gt;0,SUM(JX4:JY4),"")</f>
        <v/>
      </c>
      <c r="KA4" s="9" t="str">
        <f>IF(JT4&gt;0,JT4,"")</f>
        <v/>
      </c>
      <c r="KB4" s="9" t="str">
        <f>IF(SUM(JR4:JU4)-JV4&gt;0,SUM(JR4:JU4)-JV4,"")</f>
        <v/>
      </c>
      <c r="KC4" s="9" t="str">
        <f>IF(SUM(JZ4,KB4)&gt;0,SUM(JZ4,KB4),"")</f>
        <v/>
      </c>
      <c r="KD4" s="18"/>
      <c r="KE4" s="18"/>
      <c r="KF4" s="18"/>
      <c r="KG4" s="18"/>
      <c r="KH4" s="18"/>
      <c r="KI4" s="18"/>
      <c r="KJ4" s="18"/>
      <c r="KK4" s="18"/>
      <c r="KL4" s="18"/>
      <c r="KM4" s="18"/>
      <c r="KN4" s="18"/>
      <c r="KO4" s="18"/>
      <c r="KP4" s="18"/>
      <c r="KQ4" s="18"/>
      <c r="KR4" s="18"/>
      <c r="KS4" s="7" t="str">
        <f>IF(KK4&gt;0,KK4,"")</f>
        <v/>
      </c>
      <c r="KT4" s="7" t="str">
        <f>IF(SUM(KD4:KG4)-KH4&gt;0,SUM(KD4:KG4)-KH4,"")</f>
        <v/>
      </c>
      <c r="KU4" s="7" t="str">
        <f>IF(SUM(KI4:KL4)-KM4&gt;0,SUM(KI4:KL4)-KM4,"")</f>
        <v/>
      </c>
      <c r="KV4" s="7" t="str">
        <f>IF(SUM(KT4:KU4)&gt;0,SUM(KT4:KU4),"")</f>
        <v/>
      </c>
      <c r="KW4" s="7" t="str">
        <f>IF(KP4&gt;0,KP4,"")</f>
        <v/>
      </c>
      <c r="KX4" s="7" t="str">
        <f>IF(SUM(KN4:KQ4)-KR4&gt;0,SUM(KN4:KQ4)-KR4,"")</f>
        <v/>
      </c>
      <c r="KY4" s="7" t="str">
        <f>IF(SUM(KV4,KX4)&gt;0,SUM(KV4,KX4),"")</f>
        <v/>
      </c>
      <c r="KZ4" s="19"/>
      <c r="LA4" s="19"/>
      <c r="LB4" s="19"/>
      <c r="LC4" s="19"/>
      <c r="LD4" s="19"/>
      <c r="LE4" s="19"/>
      <c r="LF4" s="19"/>
      <c r="LG4" s="19"/>
      <c r="LH4" s="19"/>
      <c r="LI4" s="19"/>
      <c r="LJ4" s="19"/>
      <c r="LK4" s="19"/>
      <c r="LL4" s="19"/>
      <c r="LM4" s="19"/>
      <c r="LN4" s="19"/>
      <c r="LO4" s="9" t="str">
        <f>IF(LG4&gt;0,LG4,"")</f>
        <v/>
      </c>
      <c r="LP4" s="9" t="str">
        <f>IF(SUM(KZ4:LC4)-LD4&gt;0,SUM(KZ4:LC4)-LD4,"")</f>
        <v/>
      </c>
      <c r="LQ4" s="9" t="str">
        <f>IF(SUM(LE4:LH4)-LI4&gt;0,SUM(LE4:LH4)-LI4,"")</f>
        <v/>
      </c>
      <c r="LR4" s="9" t="str">
        <f>IF(SUM(LP4:LQ4)&gt;0,SUM(LP4:LQ4),"")</f>
        <v/>
      </c>
      <c r="LS4" s="9" t="str">
        <f>IF(LL4&gt;0,LL4,"")</f>
        <v/>
      </c>
      <c r="LT4" s="9" t="str">
        <f>IF(SUM(LJ4:LM4)-LN4&gt;0,SUM(LJ4:LM4)-LN4,"")</f>
        <v/>
      </c>
      <c r="LU4" s="9" t="str">
        <f>IF(SUM(LR4,LT4)&gt;0,SUM(LR4,LT4),"")</f>
        <v/>
      </c>
      <c r="LV4" s="18"/>
      <c r="LW4" s="18"/>
      <c r="LX4" s="18"/>
      <c r="LY4" s="18"/>
      <c r="LZ4" s="18"/>
      <c r="MA4" s="18"/>
      <c r="MB4" s="18"/>
      <c r="MC4" s="18"/>
      <c r="MD4" s="18"/>
      <c r="ME4" s="18"/>
      <c r="MF4" s="18"/>
      <c r="MG4" s="18"/>
      <c r="MH4" s="18"/>
      <c r="MI4" s="18"/>
      <c r="MJ4" s="18"/>
      <c r="MK4" s="7" t="str">
        <f>IF(MC4&gt;0,MC4,"")</f>
        <v/>
      </c>
      <c r="ML4" s="7" t="str">
        <f>IF(SUM(LV4:LY4)-LZ4&gt;0,SUM(LV4:LY4)-LZ4,"")</f>
        <v/>
      </c>
      <c r="MM4" s="7" t="str">
        <f>IF(SUM(MA4:MD4)-ME4&gt;0,SUM(MA4:MD4)-ME4,"")</f>
        <v/>
      </c>
      <c r="MN4" s="7" t="str">
        <f>IF(SUM(ML4:MM4)&gt;0,SUM(ML4:MM4),"")</f>
        <v/>
      </c>
      <c r="MO4" s="7" t="str">
        <f>IF(MH4&gt;0,MH4,"")</f>
        <v/>
      </c>
      <c r="MP4" s="7" t="str">
        <f>IF(SUM(MF4:MI4)-MJ4&gt;0,SUM(MF4:MI4)-MJ4,"")</f>
        <v/>
      </c>
      <c r="MQ4" s="7" t="str">
        <f>IF(SUM(MN4,MP4)&gt;0,SUM(MN4,MP4),"")</f>
        <v/>
      </c>
      <c r="MR4" s="19"/>
      <c r="MS4" s="19"/>
      <c r="MT4" s="19"/>
      <c r="MU4" s="19"/>
      <c r="MV4" s="19"/>
      <c r="MW4" s="19"/>
      <c r="MX4" s="19"/>
      <c r="MY4" s="19"/>
      <c r="MZ4" s="19"/>
      <c r="NA4" s="19"/>
      <c r="NB4" s="19"/>
      <c r="NC4" s="19"/>
      <c r="ND4" s="19"/>
      <c r="NE4" s="19"/>
      <c r="NF4" s="19"/>
      <c r="NG4" s="9" t="str">
        <f>IF(MY4&gt;0,MY4,"")</f>
        <v/>
      </c>
      <c r="NH4" s="9" t="str">
        <f>IF(SUM(MR4:MU4)-MV4&gt;0,SUM(MR4:MU4)-MV4,"")</f>
        <v/>
      </c>
      <c r="NI4" s="9" t="str">
        <f>IF(SUM(MW4:MZ4)-NA4&gt;0,SUM(MW4:MZ4)-NA4,"")</f>
        <v/>
      </c>
      <c r="NJ4" s="9" t="str">
        <f>IF(SUM(NH4:NI4)&gt;0,SUM(NH4:NI4),"")</f>
        <v/>
      </c>
      <c r="NK4" s="9" t="str">
        <f>IF(ND4&gt;0,ND4,"")</f>
        <v/>
      </c>
      <c r="NL4" s="9" t="str">
        <f>IF(SUM(NB4:NE4)-NF4&gt;0,SUM(NB4:NE4)-NF4,"")</f>
        <v/>
      </c>
      <c r="NM4" s="9" t="str">
        <f>IF(SUM(NJ4,NL4)&gt;0,SUM(NJ4,NL4),"")</f>
        <v/>
      </c>
      <c r="NN4" s="27">
        <f>IF($CV4="P",CB4,(CB4+AX4)/2)</f>
        <v>17.399999999999999</v>
      </c>
      <c r="NO4" s="27">
        <f>IF($CV4="P",CC4,(CC4+AY4)/2)</f>
        <v>9.6</v>
      </c>
      <c r="NP4" s="27">
        <f>IF($CV4="P",CD4,(CD4+AZ4)/2)</f>
        <v>0</v>
      </c>
      <c r="NQ4" s="27">
        <f>IF($CV4="P",CE4,(CE4+BA4)/2)</f>
        <v>15.934999999999999</v>
      </c>
      <c r="NR4" s="27">
        <f>IF($CV4="P",CF4,(CF4+BB4)/2)</f>
        <v>0</v>
      </c>
      <c r="NS4" s="27">
        <f>IF($CV4="P",CG4,(CG4+BC4)/2)</f>
        <v>15.65</v>
      </c>
      <c r="NT4" s="27">
        <f>IF($CV4="P",CH4,(CH4+BD4)/2)</f>
        <v>9.1</v>
      </c>
      <c r="NU4" s="27">
        <f>IF($CV4="P",CI4,(CI4+BE4)/2)</f>
        <v>13.2</v>
      </c>
      <c r="NV4" s="27">
        <f>IF($CV4="P",CJ4,(CJ4+BF4)/2)</f>
        <v>15.32</v>
      </c>
      <c r="NW4" s="27">
        <f>IF($CV4="P",CK4,(CK4+BG4)/2)</f>
        <v>0</v>
      </c>
      <c r="NX4" s="27">
        <f>IF($CV4="P",CL4,(CL4+BH4)/2)</f>
        <v>0</v>
      </c>
      <c r="NY4" s="27">
        <f>IF($CV4="P",CM4,(CM4+BI4)/2)</f>
        <v>0</v>
      </c>
      <c r="NZ4" s="27">
        <f>IF($CV4="P",CN4,(CN4+BJ4)/2)</f>
        <v>0</v>
      </c>
      <c r="OA4" s="27">
        <f>IF($CV4="P",CO4,(CO4+BK4)/2)</f>
        <v>0</v>
      </c>
      <c r="OB4" s="27">
        <f>IF($CV4="P",CP4,(CP4+BL4)/2)</f>
        <v>0</v>
      </c>
      <c r="OC4" s="27">
        <f>IF($CV4="P",CQ4,(CQ4+BM4)/2)</f>
        <v>14.2</v>
      </c>
      <c r="OD4" s="27">
        <f>IF($CV4="P",CR4,(CR4+BN4)/2)</f>
        <v>9</v>
      </c>
      <c r="OE4" s="27">
        <f>IF($CV4="P",CS4,(CS4+BO4)/2)</f>
        <v>13.8</v>
      </c>
      <c r="OF4" s="27">
        <f>IF($CV4="P",CT4,(CT4+BP4)/2)</f>
        <v>15.030000000000001</v>
      </c>
      <c r="OG4" s="27">
        <f>IF($CV4="P",CU4,(CU4+BQ4)/2)</f>
        <v>0</v>
      </c>
      <c r="OH4" s="32" t="s">
        <v>44</v>
      </c>
      <c r="OI4" s="7">
        <f>IF(SUM(NN4:NQ4)-NR4&gt;0,SUM(NN4:NQ4)-NR4,"")</f>
        <v>42.935000000000002</v>
      </c>
      <c r="OJ4" s="7">
        <f>IF(NU4&gt;0,NU4,"")</f>
        <v>13.2</v>
      </c>
      <c r="OK4" s="7">
        <f>IF(SUM(NS4:NV4)-NW4&gt;0,SUM(NS4:NV4)-NW4,"")</f>
        <v>53.27</v>
      </c>
      <c r="OL4" s="7" t="str">
        <f>IF(NZ4&gt;0,NZ4,"")</f>
        <v/>
      </c>
      <c r="OM4" s="7" t="str">
        <f>IF(SUM(NX4:OA4)-OB4&gt;0,SUM(NX4:OA4)-OB4,"")</f>
        <v/>
      </c>
      <c r="ON4" s="7">
        <f>IF(OR(OI4&lt;&gt;"",OK4&lt;&gt;"",OM4&lt;&gt;""),OI4+MAX(OK4,OM4),"")</f>
        <v>96.205000000000013</v>
      </c>
      <c r="OO4" s="7">
        <f>IF(OE4&gt;0,OE4,"")</f>
        <v>13.8</v>
      </c>
      <c r="OP4" s="7">
        <f t="shared" ref="OP4" si="0">IF(SUM(OC4:OF4)-OG4&gt;0,SUM(OC4:OF4)-OG4,"")</f>
        <v>52.03</v>
      </c>
      <c r="OQ4" s="7">
        <f t="shared" ref="OQ4" si="1">IF(SUM(ON4,OP4)&gt;0,SUM(ON4,OP4),"")</f>
        <v>148.23500000000001</v>
      </c>
    </row>
    <row r="5" spans="1:407" x14ac:dyDescent="0.2">
      <c r="A5" s="4" cm="1">
        <f t="array" ref="A5">IF(AND(H5&lt;&gt;"",H5&lt;&gt;"No DD"),SUMPRODUCT((H$4:H$9&lt;&gt;"")*(H$4:H$9&lt;&gt;"No DD")*(E$4:E$9&gt;E5))+1,IF(H5="No DD",SUMPRODUCT((H$4:H$9="No DD")*(E$4:E$9&gt;E5))+1+SUMPRODUCT((H$4:H$9&lt;&gt;"")*(H$4:H$9&lt;&gt;"No DD")),""))</f>
        <v>2</v>
      </c>
      <c r="B5" s="5" t="s">
        <v>95</v>
      </c>
      <c r="C5" s="4" t="s">
        <v>3</v>
      </c>
      <c r="D5" s="4">
        <v>2008</v>
      </c>
      <c r="E5" s="10">
        <f>SUM(I5:Q5)</f>
        <v>243.23000000000002</v>
      </c>
      <c r="F5" s="3" t="str">
        <f>IF(OR(AND(AP5&gt;=AW$11,AT5&gt;=AW$15,AO5&lt;&gt;"",AN5=""),AND(BT5&gt;=CA$11,BX5&gt;=CA$15,BS5&lt;&gt;"",BR5=""),AND(CX5&gt;=DE$11,DB5&gt;=DE$15,CW5&lt;&gt;"",CV5=""),AND(DY5&gt;=EE$11,EB5&gt;=EE$15,DY5&lt;&gt;""),AND(EU5&gt;=FA$11,EX5&gt;=FA$15,EU5&lt;&gt;""),AND(FQ5&gt;=FW$11,FT5&gt;=FW$15,FQ5&lt;&gt;""),AND(GM5&gt;=GS$11,GP5&gt;=GS$15,GM5&lt;&gt;""),AND(HI5&gt;=HO$11,HL5&gt;=HO$15,HI5&lt;&gt;""),AND(IE5&gt;=IK$11,IH5&gt;=IK$15,IE5&lt;&gt;""),AND(JA5&gt;=JG$11,JD5&gt;=JG$15,JA5&lt;&gt;""),AND(JW5&gt;=KC$11,JZ5&gt;=KC$15,JW5&lt;&gt;""),AND(KS5&gt;=KY$11,KV5&gt;=KY$15,KS5&lt;&gt;""),AND(LO5&gt;=LU$11,LR5&gt;=LU$15,LO5&lt;&gt;""),AND(MK5&gt;=MQ$11,MN5&gt;=MQ$15,MK5&lt;&gt;""),AND(NG5&gt;=NM$11,NJ5&gt;=NM$15,NG5&lt;&gt;"")),"P","")</f>
        <v/>
      </c>
      <c r="G5" s="3" t="str">
        <f>IF(OR(AND(AT5&gt;=AW$15,AO5&lt;&gt;"",AN5=""),AND(BX5&gt;=CA$15,BS5&lt;&gt;"",BR5=""),AND(DB5&gt;=DE$15,CW5&lt;&gt;"",CV5=""),AND(EB5&gt;=EE$15,DY5&lt;&gt;""),AND(EX5&gt;=FA$15,EU5&lt;&gt;""),AND(FT5&gt;=FW$15,FQ5&lt;&gt;""),AND(GP5&gt;=GS$15,GM5&lt;&gt;""),AND(HL5&gt;=HO$15,HI5&lt;&gt;""),AND(IH5&gt;=IK$15,IE5&lt;&gt;""),AND(JD5&gt;=JG$15,JA5&lt;&gt;""),AND(JZ5&gt;=KC$15,JW5&lt;&gt;""),AND(KV5&gt;=KY$15,KS5&lt;&gt;""),AND(LR5&gt;=LU$15,LO5&lt;&gt;""),AND(MN5&gt;=MQ$15,MK5&lt;&gt;""),AND(NJ5&gt;=NM$15,NG5&lt;&gt;"")),"P","")</f>
        <v>P</v>
      </c>
      <c r="H5" s="47" t="str">
        <f>IF(OR(AND(AP5&gt;=AW$14,AQ5&gt;=AW$18,AP5&lt;&gt;"",AN5=""),AND(AU5&gt;=AW$14,AV5&gt;=AW$18,AU5&lt;&gt;"",AN5=""),AND(BT5&gt;=CA$14,BU5&gt;=CA$18,BT5&lt;&gt;"",BR5=""),AND(BY5&gt;=CA$14,BZ5&gt;=CA$18,BY5&lt;&gt;"",BR5=""),AND(CX5&gt;=DE$14,CY5&gt;=DE$18,CX5&lt;&gt;"",CV5=""),AND(DC5&gt;=DE$14,DD5&gt;=DE$18,DC5&lt;&gt;"",CV5=""),AND(DY5&gt;=EE$14,EA5&gt;=EE$18,DY5&lt;&gt;""),AND(EC5&gt;=EE$14,ED5&gt;=EE$18,EC5&lt;&gt;""),AND(EU5&gt;=FA$14,EW5&gt;=FA$18,EU5&lt;&gt;""),AND(EY5&gt;=FA$14,EZ5&gt;=FA$18,EY5&lt;&gt;""),AND(FQ5&gt;=FW$14,FS5&gt;=FW$18,FQ5&lt;&gt;""),AND(FU5&gt;=FW$14,FV5&gt;=FW$18,FU5&lt;&gt;""),AND(GM5&gt;=GS$14,GO5&gt;=GS$18,GM5&lt;&gt;""),AND(GQ5&gt;=GS$14,GR5&gt;=GS$18,GQ5&lt;&gt;""),AND(HI5&gt;=HO$14,HK5&gt;=HO$18,HI5&lt;&gt;""),AND(HM5&gt;=HO$14,HN5&gt;=HO$18,HM5&lt;&gt;""),AND(IE5&gt;=IK$14,IG5&gt;=IK$18,IE5&lt;&gt;""),AND(II5&gt;=IK$14,IJ5&gt;=IK$18,II5&lt;&gt;""),AND(JA5&gt;=JG$14,JC5&gt;=JG$18,JA5&lt;&gt;""),AND(JE5&gt;=JG$14,JF5&gt;=JG$18,JE5&lt;&gt;""),AND(JW5&gt;=KC$14,JY5&gt;=KC$18,JW5&lt;&gt;""),AND(KA5&gt;=KC$14,KB5&gt;=KC$18,KA5&lt;&gt;""),AND(KS5&gt;=KY$14,KU5&gt;=KY$18,KS5&lt;&gt;""),AND(KW5&gt;=KY$14,KX5&gt;=KY$18,KW5&lt;&gt;""),AND(LO5&gt;=LU$14,LQ5&gt;=LU$18,LO5&lt;&gt;""),AND(LS5&gt;=LU$14,LT5&gt;=LU$18,LS5&lt;&gt;""),AND(MK5&gt;=MQ$14,MM5&gt;=MQ$18,MK5&lt;&gt;""),AND(MO5&gt;=MQ$14,MP5&gt;=MQ$18,MO5&lt;&gt;""),AND(NG5&gt;=NM$14,NI5&gt;=NM$18,NG5&lt;&gt;""),AND(NK5&gt;=NM$14,NL5&gt;=NM$18,NK5&lt;&gt;"")),"Merit",IF(OR(AND(AP5&gt;=AW$13,AT5&gt;=AW$17,AO5&lt;&gt;"",AN5=""),AND(BT5&gt;=CA$13,BX5&gt;=CA$17,BS5&lt;&gt;"",BR5=""),AND(CX5&gt;=DE$13,DB5&gt;=DE$17,CW5&lt;&gt;"",CV5=""),AND(DY5&gt;=EE$13,EB5&gt;=EE$17,DY5&lt;&gt;""),AND(EU5&gt;=FA$13,EX5&gt;=FA$17,EU5&lt;&gt;""),AND(FQ5&gt;=FW$13,FT5&gt;=FW$17,FQ5&lt;&gt;""),AND(GM5&gt;=GS$13,GP5&gt;=GS$17,GM5&lt;&gt;""),AND(HI5&gt;=HO$13,HL5&gt;=HO$17,HI5&lt;&gt;""),AND(IE5&gt;=IK$13,IH5&gt;=IK$17,IE5&lt;&gt;""),AND(JA5&gt;=JG$13,JD5&gt;=JG$17,JA5&lt;&gt;""),AND(JW5&gt;=KC$13,JZ5&gt;=KC$17,JW5&lt;&gt;""),AND(KS5&gt;=KY$13,KV5&gt;=KY$17,KS5&lt;&gt;""),AND(LO5&gt;=LU$13,LR5&gt;=LU$17,LO5&lt;&gt;""),AND(MK5&gt;=MQ$13,MN5&gt;=MQ$17,MK5&lt;&gt;""),AND(NG5&gt;=NM$13,NJ5&gt;=NM$17,NG5&lt;&gt;"")),"Excellence",IF(OR(AND(AP5&gt;=AW$11,AT5&gt;=AW$15,AO5&lt;&gt;"",AN5=""),AND(BT5&gt;=CA$11,BX5&gt;=CA$15,BS5&lt;&gt;"",BR5=""),AND(CX5&gt;=DE$11,DB5&gt;=DE$15,CW5&lt;&gt;"",CV5=""),AND(DY5&gt;=EE$11,EB5&gt;=EE$15,DY5&lt;&gt;""),AND(EU5&gt;=FA$11,EX5&gt;=FA$15,EU5&lt;&gt;""),AND(FQ5&gt;=FW$11,FT5&gt;=FW$15,FQ5&lt;&gt;""),AND(GM5&gt;=GS$11,GP5&gt;=GS$15,GM5&lt;&gt;""),AND(HI5&gt;=HO$11,HL5&gt;=HO$15,HI5&lt;&gt;""),AND(IE5&gt;=IK$11,IH5&gt;=IK$15,IE5&lt;&gt;""),AND(JA5&gt;=JG$11,JD5&gt;=JG$15,JA5&lt;&gt;""),AND(JW5&gt;=KC$11,JZ5&gt;=KC$15,JW5&lt;&gt;""),AND(KS5&gt;=KY$11,KV5&gt;=KY$15,KS5&lt;&gt;""),AND(LO5&gt;=LU$11,LR5&gt;=LU$15,LO5&lt;&gt;""),AND(MK5&gt;=MQ$11,MN5&gt;=MQ$15,MK5&lt;&gt;""),AND(NG5&gt;=NM$11,NJ5&gt;=NM$15,NG5&lt;&gt;"")),"National Team",IF(G5="P","No DD",""))))</f>
        <v>No DD</v>
      </c>
      <c r="I5" s="9">
        <f>IF(MAX(AT5,BX5,DB5)&gt;0,MAX(AT5,BX5,DB5),0)</f>
        <v>96.04</v>
      </c>
      <c r="J5" s="9" t="str">
        <f>IF(I5=0,"",IF(I5=DB5,$CB$1,IF(I5=BX5,$AX$1,IF(I5=AT5,$T$1,""))))</f>
        <v>2023 3rd Domestic Trial</v>
      </c>
      <c r="K5" s="9">
        <f>IF($I5=$AT5,MAX(BS5,CW5),IF($I5=$BX5,MAX(AO5,CW5),IF($I5=$DB5,MAX(AO5,BS5),MAX(AO5,BS5,CW5))))</f>
        <v>43.57</v>
      </c>
      <c r="L5" s="9" t="str">
        <f>IF(K5=0,"",IF(AND(K5=CW5,$J5&lt;&gt;$CB$1),$CB$1,IF(AND(K5=BS5,$J5&lt;&gt;$AX$1),$AX$1,IF(AND(K5=AO5,$J5&lt;&gt;$T$1),$T$1,""))))</f>
        <v>2023 Nationals</v>
      </c>
      <c r="M5" s="9">
        <f>IF(I5-N(AO5)=AQ5,MAX(AS5,BU5,BW5,CY5,DA5),IF(I5-N(AO5)=AS5,MAX(AQ5,BU5,BW5,CY5,DA5),IF(I5-N(BS5)=BU5,MAX(AQ5,AS5,BW5,CY5,DA5),IF(I5-N(BS5)=BW5,MAX(AQ5,AS5,BU5,CY5,DA5),IF(I5-N(CW5)=CY5,MAX(AQ5,AS5,BU5,BW5,DA5),IF(I5-N(CW5)=DA5,MAX(AQ5,AS5,BU5,BW5,CY5),MAX(AQ5,AS5,BU5,BW5,CY5,DA5)))))))</f>
        <v>51.54</v>
      </c>
      <c r="N5" s="9" t="str">
        <f>IF(M5=0,"",IF(AND(OR(M5=DA5,M5=CY5),$J5&lt;&gt;$CB$1),$CB$1,IF(AND(OR(M5=BW5,M5=BU5),$J5&lt;&gt;$AX$1),$AX$1,IF(AND(OR(M5=AS5,M5=AQ5),$J5&lt;&gt;$T$1),$T$1,""))))</f>
        <v>2023 Nationals</v>
      </c>
      <c r="O5" s="9">
        <f>MAX(AV5,BZ5,DD5)</f>
        <v>52.08</v>
      </c>
      <c r="P5" s="9" t="str">
        <f>IF(O5=0,"",IF(O5=DD5,$CB$1,IF(O5=BZ5,$AX$1,IF(O5=AV5,$T$1,""))))</f>
        <v>2023 3rd Domestic Trial</v>
      </c>
      <c r="Q5" s="9" t="str">
        <f>IF(MAX(DF5,DG5,DH5,DI5)&gt;0,MAX(DF5,DG5,DH5,DI5),"")</f>
        <v/>
      </c>
      <c r="R5" s="14" t="str">
        <f>IF(Q5="","",IF(Q5=DF5,"(Vol 1)",IF(Q5=DG5,"(Vol 2)",IF(Q5=DH5,"(Prelim)",IF(Q5=DI5,"(Final)")))))</f>
        <v/>
      </c>
      <c r="S5" s="9" t="str">
        <f>IF(Q5="","",IF(Q5=DF5,IF(Q5+IF(K5="",0,K5)=NH5,$MR$1,IF(Q5+IF(K5="",0,K5)=ML5,$LV$1,IF(Q5+IF(K5="",0,K5)=LP5,$KZ$1,IF(Q5+IF(K5="",0,K5)=KT5,$KD$1,IF(Q5+IF(K5="",0,K5)=JX5,$JH$1,IF(Q5+IF(K5="",0,K5)=JB5,$IL$1,IF(Q5+IF(K5="",0,K5)=IF5,$HP$1,IF(Q5+IF(K5="",0,K5)=HJ5,$GT$1,IF(Q5+IF(K5="",0,K5)=GN5,$FX$1,IF(Q5+IF(K5="",0,K5)=FR5,$FB$1,IF(Q5+IF(K5="",0,K5)=EV5,$EF$1,IF(Q5+IF(K5="",0,K5)=DZ5,$DJ$1)))))))))))),IF(Q5=DG5,IF(Q5+IF(M5="",0,M5)=NI5,$MR$1,IF(Q5+IF(M5="",0,M5)=MM5,$LV$1,IF(Q5+IF(M5="",0,M5)=LQ5,$KZ$1,IF(Q5+IF(M5="",0,M5)=KU5,$KD$1,IF(Q5+IF(M5="",0,M5)=JY5,$JH$1,IF(Q5+IF(M5="",0,M5)=JC5,$IL$1,IF(Q5+IF(M5="",0,M5)=IG5,$HP$1,IF(Q5+IF(M5="",0,M5)=HK5,$GT$1,IF(Q5+IF(M5="",0,M5)=GO5,$FX$1,IF(Q5+IF(M5="",0,M5)=FS5,$FB$1,IF(Q5+IF(M5="",0,M5)=EW5,$EF$1,IF(Q5+IF(M5="",0,M5)=EA5,$DJ$1)))))))))))),IF(Q5=DH5,IF(Q5+IF(I5="",0,I5)=NJ5,$MR$1,IF(Q5+IF(I5="",0,I5)=MN5,$LV$1,IF(Q5+IF(I5="",0,I5)=LR5,$KZ$1,IF(Q5+IF(I5="",0,I5)=KV5,$KD$1,IF(Q5+IF(I5="",0,I5)=JZ5,$JH$1,IF(Q5+IF(I5="",0,I5)=JD5,$IL$1,IF(Q5+IF(I5="",0,I5)=IH5,$HP$1,IF(Q5+IF(I5="",0,I5)=HL5,$GT$1,IF(Q5+IF(I5="",0,I5)=GP5,$FX$1,IF(Q5+IF(I5="",0,I5)=FT5,$FB$1,IF(Q5+IF(I5="",0,I5)=EX5,$EF$1,IF(Q5+IF(I5="",0,I5)=EB5,$DJ$1)))))))))))),IF(Q5=DI5,IF(Q5+IF(O5="",0,O5)=NL5,$MR$1,IF(Q5+IF(O5="",0,O5)=MP5,$LV$1,IF(Q5+IF(O5="",0,O5)=LT5,$KZ$1,IF(Q5+IF(O5="",0,O5)=KX5,$KD$1,IF(Q5+IF(O5="",0,O5)=KB5,$JH$1,IF(Q5+IF(O5="",0,O5)=JF5,$IL$1,IF(Q5+IF(O5="",0,O5)=IJ5,$HP$1,IF(Q5+IF(O5="",0,O5)=HN5,$GT$1,IF(Q5+IF(O5="",0,O5)=GR5,$FX$1,IF(Q5+IF(O5="",0,O5)=FV5,$FB$1,IF(Q5+IF(O5="",0,O5)=EZ5,$EF$1,IF(Q5+IF(O5="",0,O5)=ED5,$DJ$1)))))))))))))))))</f>
        <v/>
      </c>
      <c r="T5" s="27">
        <v>17.8</v>
      </c>
      <c r="U5" s="27">
        <v>9.6999999999999993</v>
      </c>
      <c r="V5" s="27">
        <v>0</v>
      </c>
      <c r="W5" s="27">
        <v>14.94</v>
      </c>
      <c r="X5" s="27">
        <v>0</v>
      </c>
      <c r="Y5" s="27">
        <v>15.7</v>
      </c>
      <c r="Z5" s="27">
        <v>9.1</v>
      </c>
      <c r="AA5" s="27">
        <v>10.3</v>
      </c>
      <c r="AB5" s="27">
        <v>14.07</v>
      </c>
      <c r="AC5" s="27">
        <v>0</v>
      </c>
      <c r="AD5" s="27"/>
      <c r="AE5" s="27"/>
      <c r="AF5" s="27"/>
      <c r="AG5" s="27"/>
      <c r="AH5" s="27"/>
      <c r="AI5" s="27">
        <v>17.5</v>
      </c>
      <c r="AJ5" s="27">
        <v>7.7</v>
      </c>
      <c r="AK5" s="27">
        <v>8.1</v>
      </c>
      <c r="AL5" s="27">
        <v>11.67</v>
      </c>
      <c r="AM5" s="27">
        <v>0</v>
      </c>
      <c r="AN5" s="32"/>
      <c r="AO5" s="7">
        <f>IF(SUM(T5:W5)-X5&gt;0,SUM(T5:W5)-X5,"")</f>
        <v>42.44</v>
      </c>
      <c r="AP5" s="7">
        <f>IF(AA5&gt;0,AA5,"")</f>
        <v>10.3</v>
      </c>
      <c r="AQ5" s="7">
        <f>IF(SUM(Y5:AB5)-AC5&gt;0,SUM(Y5:AB5)-AC5,"")</f>
        <v>49.169999999999995</v>
      </c>
      <c r="AR5" s="7" t="str">
        <f>IF(AF5&gt;0,AF5,"")</f>
        <v/>
      </c>
      <c r="AS5" s="7" t="str">
        <f>IF(SUM(AD5:AG5)-AH5&gt;0,SUM(AD5:AG5)-AH5,"")</f>
        <v/>
      </c>
      <c r="AT5" s="7">
        <f>IF(AO5="",IF(MAX(AQ5,AS5)&gt;0,MAX(AQ5,AS5),""),MAX(AQ5,AS5)+AO5)</f>
        <v>91.609999999999985</v>
      </c>
      <c r="AU5" s="7">
        <f>IF(AK5&gt;0,AK5,"")</f>
        <v>8.1</v>
      </c>
      <c r="AV5" s="7">
        <f>IF(SUM(AI5:AL5)-AM5&gt;0,SUM(AI5:AL5)-AM5,"")</f>
        <v>44.97</v>
      </c>
      <c r="AW5" s="7">
        <f>IF(SUM(AT5,AV5)&gt;0,SUM(AT5,AV5),"")</f>
        <v>136.57999999999998</v>
      </c>
      <c r="AX5" s="23">
        <v>18.5</v>
      </c>
      <c r="AY5" s="23">
        <v>9.6999999999999993</v>
      </c>
      <c r="AZ5" s="23">
        <v>0</v>
      </c>
      <c r="BA5" s="23">
        <v>15.37</v>
      </c>
      <c r="BB5" s="23">
        <v>0</v>
      </c>
      <c r="BC5" s="23">
        <v>16</v>
      </c>
      <c r="BD5" s="23">
        <v>9.1999999999999993</v>
      </c>
      <c r="BE5" s="23">
        <v>12.1</v>
      </c>
      <c r="BF5" s="23">
        <v>14.24</v>
      </c>
      <c r="BG5" s="23">
        <v>0</v>
      </c>
      <c r="BH5" s="23"/>
      <c r="BI5" s="23"/>
      <c r="BJ5" s="23"/>
      <c r="BK5" s="23"/>
      <c r="BL5" s="23"/>
      <c r="BM5" s="23">
        <v>13.6</v>
      </c>
      <c r="BN5" s="23">
        <v>7.5</v>
      </c>
      <c r="BO5" s="23">
        <v>9.6</v>
      </c>
      <c r="BP5" s="23">
        <v>11.46</v>
      </c>
      <c r="BQ5" s="23">
        <v>0</v>
      </c>
      <c r="BR5" s="33"/>
      <c r="BS5" s="9">
        <f>IF(SUM(AX5:BA5)-BB5&gt;0,SUM(AX5:BA5)-BB5,"")</f>
        <v>43.57</v>
      </c>
      <c r="BT5" s="9">
        <f>IF(BE5&gt;0,BE5,"")</f>
        <v>12.1</v>
      </c>
      <c r="BU5" s="9">
        <f>IF(SUM(BC5:BF5)-BG5&gt;0,SUM(BC5:BF5)-BG5,"")</f>
        <v>51.54</v>
      </c>
      <c r="BV5" s="9" t="str">
        <f>IF(BJ5&gt;0,BJ5,"")</f>
        <v/>
      </c>
      <c r="BW5" s="9" t="str">
        <f>IF(SUM(BH5:BK5)-BL5&gt;0,SUM(BH5:BK5)-BL5,"")</f>
        <v/>
      </c>
      <c r="BX5" s="9">
        <f>IF(BS5="",IF(MAX(BU5,BW5)&gt;0,MAX(BU5,BW5),""),MAX(BU5,BW5)+BS5)</f>
        <v>95.11</v>
      </c>
      <c r="BY5" s="9">
        <f>IF(BO5&gt;0,BO5,"")</f>
        <v>9.6</v>
      </c>
      <c r="BZ5" s="9">
        <f>IF(SUM(BM5:BP5)-BQ5&gt;0,SUM(BM5:BP5)-BQ5,"")</f>
        <v>42.160000000000004</v>
      </c>
      <c r="CA5" s="9">
        <f>IF(SUM(BX5,BZ5)&gt;0,SUM(BX5,BZ5),"")</f>
        <v>137.27000000000001</v>
      </c>
      <c r="CB5" s="27">
        <v>18.399999999999999</v>
      </c>
      <c r="CC5" s="27">
        <v>9.6</v>
      </c>
      <c r="CD5" s="27">
        <v>0</v>
      </c>
      <c r="CE5" s="27">
        <v>16.12</v>
      </c>
      <c r="CF5" s="27">
        <v>0</v>
      </c>
      <c r="CG5" s="27">
        <v>14.9</v>
      </c>
      <c r="CH5" s="27">
        <v>9.5</v>
      </c>
      <c r="CI5" s="27">
        <v>12.3</v>
      </c>
      <c r="CJ5" s="27">
        <v>15.22</v>
      </c>
      <c r="CK5" s="27">
        <v>0</v>
      </c>
      <c r="CL5" s="27"/>
      <c r="CM5" s="27"/>
      <c r="CN5" s="27"/>
      <c r="CO5" s="27"/>
      <c r="CP5" s="27"/>
      <c r="CQ5" s="27">
        <v>15.6</v>
      </c>
      <c r="CR5" s="27">
        <v>9.4</v>
      </c>
      <c r="CS5" s="27">
        <v>11.9</v>
      </c>
      <c r="CT5" s="27">
        <v>15.18</v>
      </c>
      <c r="CU5" s="27">
        <v>0</v>
      </c>
      <c r="CV5" s="32"/>
      <c r="CW5" s="7">
        <f>IF(SUM(CB5:CE5)-CF5&gt;0,SUM(CB5:CE5)-CF5,"")</f>
        <v>44.120000000000005</v>
      </c>
      <c r="CX5" s="7">
        <f>IF(CI5&gt;0,CI5,"")</f>
        <v>12.3</v>
      </c>
      <c r="CY5" s="7">
        <f>IF(SUM(CG5:CJ5)-CK5&gt;0,SUM(CG5:CJ5)-CK5,"")</f>
        <v>51.92</v>
      </c>
      <c r="CZ5" s="7" t="str">
        <f>IF(CN5&gt;0,CN5,"")</f>
        <v/>
      </c>
      <c r="DA5" s="7" t="str">
        <f>IF(SUM(CL5:CO5)-CP5&gt;0,SUM(CL5:CO5)-CP5,"")</f>
        <v/>
      </c>
      <c r="DB5" s="7">
        <f>IF(CW5="",IF(MAX(CY5,DA5)&gt;0,MAX(CY5,DA5),""),MAX(CY5,DA5)+CW5)</f>
        <v>96.04</v>
      </c>
      <c r="DC5" s="7">
        <f>IF(CS5&gt;0,CS5,"")</f>
        <v>11.9</v>
      </c>
      <c r="DD5" s="7">
        <f>IF(SUM(CQ5:CT5)-CU5&gt;0,SUM(CQ5:CT5)-CU5,"")</f>
        <v>52.08</v>
      </c>
      <c r="DE5" s="7">
        <f>IF(SUM(DB5,DD5)&gt;0,SUM(DB5,DD5),"")</f>
        <v>148.12</v>
      </c>
      <c r="DF5" s="13" t="str">
        <f>IF(MAX(DZ5,EV5,FR5,GN5,HJ5,IF5,JB5,JX5,KT5,LP5,ML5,NH5)-IF(K5="",0,K5)&gt;0.001,MAX(DZ5,EV5,FR5,GN5,HJ5,IF5,JB5,JX5,KT5,LP5,ML5,NH5)-IF(K5="",0,K5),"")</f>
        <v/>
      </c>
      <c r="DG5" s="13" t="str">
        <f>IF(MAX(EA5,EW5,FS5,GO5,HK5,IG5,JC5,JY5,KU5,LQ5,MM5,NI5)-IF(M5="",0,M5)&gt;0.001,MAX(EA5,EW5,FS5,GO5,HK5,IG5,JC5,JY5,KU5,LQ5,MM5,NI5)-IF(M5="",0,M5),"")</f>
        <v/>
      </c>
      <c r="DH5" s="13" t="str">
        <f>IF(MAX(EB5,EX5,FT5,GP5,HL5,IH5,JD5,JZ5,KV5,LR5,MN5,NJ5)-IF(I5="",0,I5)&gt;0.001,MAX(EB5,EX5,FT5,GP5,HL5,IH5,JD5,JZ5,KV5,LR5,MN5,NJ5)-IF(I5="",0,I5),"")</f>
        <v/>
      </c>
      <c r="DI5" s="13" t="str">
        <f>IF(MAX(ED5,EZ5,FV5,GR5,HN5,IJ5,JF5,KB5,KX5,LT5,MP5,NL5)-IF(O5="",0,O5)&gt;0.001,MAX(ED5,EZ5,FV5,GR5,HN5,IJ5,JF5,KB5,KX5,LT5,MP5,NL5)-IF(O5="",0,O5),"")</f>
        <v/>
      </c>
      <c r="DJ5" s="18"/>
      <c r="DK5" s="18"/>
      <c r="DL5" s="18"/>
      <c r="DM5" s="18"/>
      <c r="DN5" s="18"/>
      <c r="DO5" s="18"/>
      <c r="DP5" s="18"/>
      <c r="DQ5" s="18"/>
      <c r="DR5" s="18"/>
      <c r="DS5" s="18"/>
      <c r="DT5" s="18"/>
      <c r="DU5" s="18"/>
      <c r="DV5" s="18"/>
      <c r="DW5" s="18"/>
      <c r="DX5" s="18"/>
      <c r="DY5" s="7" t="str">
        <f>IF(DQ5&gt;0,DQ5,"")</f>
        <v/>
      </c>
      <c r="DZ5" s="7" t="str">
        <f>IF(SUM(DJ5:DM5)-DN5&gt;0,SUM(DJ5:DM5)-DN5,"")</f>
        <v/>
      </c>
      <c r="EA5" s="7" t="str">
        <f>IF(SUM(DO5:DR5)-DS5&gt;0,SUM(DO5:DR5)-DS5,"")</f>
        <v/>
      </c>
      <c r="EB5" s="7" t="str">
        <f>IF(SUM(DZ5:EA5)&gt;0,SUM(DZ5:EA5),"")</f>
        <v/>
      </c>
      <c r="EC5" s="7" t="str">
        <f>IF(DV5&gt;0,DV5,"")</f>
        <v/>
      </c>
      <c r="ED5" s="7" t="str">
        <f>IF(SUM(DT5:DW5)-DX5&gt;0,SUM(DT5:DW5)-DX5,"")</f>
        <v/>
      </c>
      <c r="EE5" s="7" t="str">
        <f>IF(SUM(EB5,ED5)&gt;0,SUM(EB5,ED5),"")</f>
        <v/>
      </c>
      <c r="EF5" s="19"/>
      <c r="EG5" s="19"/>
      <c r="EH5" s="19"/>
      <c r="EI5" s="19"/>
      <c r="EJ5" s="19"/>
      <c r="EK5" s="19"/>
      <c r="EL5" s="19"/>
      <c r="EM5" s="19"/>
      <c r="EN5" s="19"/>
      <c r="EO5" s="19"/>
      <c r="EP5" s="19"/>
      <c r="EQ5" s="19"/>
      <c r="ER5" s="19"/>
      <c r="ES5" s="19"/>
      <c r="ET5" s="19"/>
      <c r="EU5" s="9" t="str">
        <f>IF(EM5&gt;0,EM5,"")</f>
        <v/>
      </c>
      <c r="EV5" s="9" t="str">
        <f>IF(SUM(EF5:EI5)-EJ5&gt;0,SUM(EF5:EI5)-EJ5,"")</f>
        <v/>
      </c>
      <c r="EW5" s="9" t="str">
        <f>IF(SUM(EK5:EN5)-EO5&gt;0,SUM(EK5:EN5)-EO5,"")</f>
        <v/>
      </c>
      <c r="EX5" s="9" t="str">
        <f>IF(SUM(EV5:EW5)&gt;0,SUM(EV5:EW5),"")</f>
        <v/>
      </c>
      <c r="EY5" s="9" t="str">
        <f>IF(ER5&gt;0,ER5,"")</f>
        <v/>
      </c>
      <c r="EZ5" s="9" t="str">
        <f>IF(SUM(EP5:ES5)-ET5&gt;0,SUM(EP5:ES5)-ET5,"")</f>
        <v/>
      </c>
      <c r="FA5" s="9" t="str">
        <f>IF(SUM(EX5,EZ5)&gt;0,SUM(EX5,EZ5),"")</f>
        <v/>
      </c>
      <c r="FB5" s="18"/>
      <c r="FC5" s="18"/>
      <c r="FD5" s="18"/>
      <c r="FE5" s="18"/>
      <c r="FF5" s="18"/>
      <c r="FG5" s="18"/>
      <c r="FH5" s="18"/>
      <c r="FI5" s="18"/>
      <c r="FJ5" s="18"/>
      <c r="FK5" s="18"/>
      <c r="FL5" s="18"/>
      <c r="FM5" s="18"/>
      <c r="FN5" s="18"/>
      <c r="FO5" s="18"/>
      <c r="FP5" s="18"/>
      <c r="FQ5" s="7" t="str">
        <f>IF(FI5&gt;0,FI5,"")</f>
        <v/>
      </c>
      <c r="FR5" s="7" t="str">
        <f>IF(SUM(FB5:FE5)-FF5&gt;0,SUM(FB5:FE5)-FF5,"")</f>
        <v/>
      </c>
      <c r="FS5" s="7" t="str">
        <f>IF(SUM(FG5:FJ5)-FK5&gt;0,SUM(FG5:FJ5)-FK5,"")</f>
        <v/>
      </c>
      <c r="FT5" s="7" t="str">
        <f>IF(SUM(FR5:FS5)&gt;0,SUM(FR5:FS5),"")</f>
        <v/>
      </c>
      <c r="FU5" s="7" t="str">
        <f>IF(FN5&gt;0,FN5,"")</f>
        <v/>
      </c>
      <c r="FV5" s="7" t="str">
        <f>IF(SUM(FL5:FO5)-FP5&gt;0,SUM(FL5:FO5)-FP5,"")</f>
        <v/>
      </c>
      <c r="FW5" s="7" t="str">
        <f>IF(SUM(FT5,FV5)&gt;0,SUM(FT5,FV5),"")</f>
        <v/>
      </c>
      <c r="FX5" s="19">
        <v>17.600000000000001</v>
      </c>
      <c r="FY5" s="19">
        <v>9.8000000000000007</v>
      </c>
      <c r="FZ5" s="19">
        <v>0</v>
      </c>
      <c r="GA5" s="19">
        <v>15.87</v>
      </c>
      <c r="GB5" s="19">
        <v>0</v>
      </c>
      <c r="GC5" s="19">
        <v>13.9</v>
      </c>
      <c r="GD5" s="19">
        <v>9.5</v>
      </c>
      <c r="GE5" s="19">
        <v>13.1</v>
      </c>
      <c r="GF5" s="19">
        <v>14.66</v>
      </c>
      <c r="GG5" s="19">
        <v>0</v>
      </c>
      <c r="GH5" s="19"/>
      <c r="GI5" s="19"/>
      <c r="GJ5" s="19"/>
      <c r="GK5" s="19"/>
      <c r="GL5" s="19"/>
      <c r="GM5" s="9">
        <f>IF(GE5&gt;0,GE5,"")</f>
        <v>13.1</v>
      </c>
      <c r="GN5" s="9">
        <f>IF(SUM(FX5:GA5)-GB5&gt;0,SUM(FX5:GA5)-GB5,"")</f>
        <v>43.27</v>
      </c>
      <c r="GO5" s="9">
        <f>IF(SUM(GC5:GF5)-GG5&gt;0,SUM(GC5:GF5)-GG5,"")</f>
        <v>51.16</v>
      </c>
      <c r="GP5" s="9">
        <f>IF(SUM(GN5:GO5)&gt;0,SUM(GN5:GO5),"")</f>
        <v>94.43</v>
      </c>
      <c r="GQ5" s="9" t="str">
        <f>IF(GJ5&gt;0,GJ5,"")</f>
        <v/>
      </c>
      <c r="GR5" s="9" t="str">
        <f>IF(SUM(GH5:GK5)-GL5&gt;0,SUM(GH5:GK5)-GL5,"")</f>
        <v/>
      </c>
      <c r="GS5" s="9">
        <f>IF(SUM(GP5,GR5)&gt;0,SUM(GP5,GR5),"")</f>
        <v>94.43</v>
      </c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7" t="str">
        <f>IF(HA5&gt;0,HA5,"")</f>
        <v/>
      </c>
      <c r="HJ5" s="7" t="str">
        <f>IF(SUM(GT5:GW5)-GX5&gt;0,SUM(GT5:GW5)-GX5,"")</f>
        <v/>
      </c>
      <c r="HK5" s="7" t="str">
        <f>IF(SUM(GY5:HB5)-HC5&gt;0,SUM(GY5:HB5)-HC5,"")</f>
        <v/>
      </c>
      <c r="HL5" s="7" t="str">
        <f>IF(SUM(HJ5:HK5)&gt;0,SUM(HJ5:HK5),"")</f>
        <v/>
      </c>
      <c r="HM5" s="7" t="str">
        <f>IF(HF5&gt;0,HF5,"")</f>
        <v/>
      </c>
      <c r="HN5" s="7" t="str">
        <f>IF(SUM(HD5:HG5)-HH5&gt;0,SUM(HD5:HG5)-HH5,"")</f>
        <v/>
      </c>
      <c r="HO5" s="7" t="str">
        <f>IF(SUM(HL5,HN5)&gt;0,SUM(HL5,HN5),"")</f>
        <v/>
      </c>
      <c r="HP5" s="19"/>
      <c r="HQ5" s="19"/>
      <c r="HR5" s="19"/>
      <c r="HS5" s="19"/>
      <c r="HT5" s="19"/>
      <c r="HU5" s="19"/>
      <c r="HV5" s="19"/>
      <c r="HW5" s="19"/>
      <c r="HX5" s="19"/>
      <c r="HY5" s="19"/>
      <c r="HZ5" s="19"/>
      <c r="IA5" s="19"/>
      <c r="IB5" s="19"/>
      <c r="IC5" s="19"/>
      <c r="ID5" s="19"/>
      <c r="IE5" s="9" t="str">
        <f>IF(HW5&gt;0,HW5,"")</f>
        <v/>
      </c>
      <c r="IF5" s="9" t="str">
        <f>IF(SUM(HP5:HS5)-HT5&gt;0,SUM(HP5:HS5)-HT5,"")</f>
        <v/>
      </c>
      <c r="IG5" s="9" t="str">
        <f>IF(SUM(HU5:HX5)-HY5&gt;0,SUM(HU5:HX5)-HY5,"")</f>
        <v/>
      </c>
      <c r="IH5" s="9" t="str">
        <f>IF(SUM(IF5:IG5)&gt;0,SUM(IF5:IG5),"")</f>
        <v/>
      </c>
      <c r="II5" s="9" t="str">
        <f>IF(IB5&gt;0,IB5,"")</f>
        <v/>
      </c>
      <c r="IJ5" s="9" t="str">
        <f>IF(SUM(HZ5:IC5)-ID5&gt;0,SUM(HZ5:IC5)-ID5,"")</f>
        <v/>
      </c>
      <c r="IK5" s="9" t="str">
        <f>IF(SUM(IH5,IJ5)&gt;0,SUM(IH5,IJ5),"")</f>
        <v/>
      </c>
      <c r="IL5" s="18"/>
      <c r="IM5" s="18"/>
      <c r="IN5" s="18"/>
      <c r="IO5" s="18"/>
      <c r="IP5" s="18"/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7" t="str">
        <f>IF(IS5&gt;0,IS5,"")</f>
        <v/>
      </c>
      <c r="JB5" s="7" t="str">
        <f>IF(SUM(IL5:IO5)-IP5&gt;0,SUM(IL5:IO5)-IP5,"")</f>
        <v/>
      </c>
      <c r="JC5" s="7" t="str">
        <f>IF(SUM(IQ5:IT5)-IU5&gt;0,SUM(IQ5:IT5)-IU5,"")</f>
        <v/>
      </c>
      <c r="JD5" s="7" t="str">
        <f>IF(SUM(JB5:JC5)&gt;0,SUM(JB5:JC5),"")</f>
        <v/>
      </c>
      <c r="JE5" s="7" t="str">
        <f>IF(IX5&gt;0,IX5,"")</f>
        <v/>
      </c>
      <c r="JF5" s="7" t="str">
        <f>IF(SUM(IV5:IY5)-IZ5&gt;0,SUM(IV5:IY5)-IZ5,"")</f>
        <v/>
      </c>
      <c r="JG5" s="7" t="str">
        <f>IF(SUM(JD5,JF5)&gt;0,SUM(JD5,JF5),"")</f>
        <v/>
      </c>
      <c r="JH5" s="19"/>
      <c r="JI5" s="19"/>
      <c r="JJ5" s="19"/>
      <c r="JK5" s="19"/>
      <c r="JL5" s="19"/>
      <c r="JM5" s="19"/>
      <c r="JN5" s="19"/>
      <c r="JO5" s="19"/>
      <c r="JP5" s="19"/>
      <c r="JQ5" s="19"/>
      <c r="JR5" s="19"/>
      <c r="JS5" s="19"/>
      <c r="JT5" s="19"/>
      <c r="JU5" s="19"/>
      <c r="JV5" s="19"/>
      <c r="JW5" s="9" t="str">
        <f>IF(JO5&gt;0,JO5,"")</f>
        <v/>
      </c>
      <c r="JX5" s="9" t="str">
        <f>IF(SUM(JH5:JK5)-JL5&gt;0,SUM(JH5:JK5)-JL5,"")</f>
        <v/>
      </c>
      <c r="JY5" s="9" t="str">
        <f>IF(SUM(JM5:JP5)-JQ5&gt;0,SUM(JM5:JP5)-JQ5,"")</f>
        <v/>
      </c>
      <c r="JZ5" s="9" t="str">
        <f>IF(SUM(JX5:JY5)&gt;0,SUM(JX5:JY5),"")</f>
        <v/>
      </c>
      <c r="KA5" s="9" t="str">
        <f>IF(JT5&gt;0,JT5,"")</f>
        <v/>
      </c>
      <c r="KB5" s="9" t="str">
        <f>IF(SUM(JR5:JU5)-JV5&gt;0,SUM(JR5:JU5)-JV5,"")</f>
        <v/>
      </c>
      <c r="KC5" s="9" t="str">
        <f>IF(SUM(JZ5,KB5)&gt;0,SUM(JZ5,KB5),"")</f>
        <v/>
      </c>
      <c r="KD5" s="18"/>
      <c r="KE5" s="18"/>
      <c r="KF5" s="18"/>
      <c r="KG5" s="18"/>
      <c r="KH5" s="18"/>
      <c r="KI5" s="18"/>
      <c r="KJ5" s="18"/>
      <c r="KK5" s="18"/>
      <c r="KL5" s="18"/>
      <c r="KM5" s="18"/>
      <c r="KN5" s="18"/>
      <c r="KO5" s="18"/>
      <c r="KP5" s="18"/>
      <c r="KQ5" s="18"/>
      <c r="KR5" s="18"/>
      <c r="KS5" s="7" t="str">
        <f>IF(KK5&gt;0,KK5,"")</f>
        <v/>
      </c>
      <c r="KT5" s="7" t="str">
        <f>IF(SUM(KD5:KG5)-KH5&gt;0,SUM(KD5:KG5)-KH5,"")</f>
        <v/>
      </c>
      <c r="KU5" s="7" t="str">
        <f>IF(SUM(KI5:KL5)-KM5&gt;0,SUM(KI5:KL5)-KM5,"")</f>
        <v/>
      </c>
      <c r="KV5" s="7" t="str">
        <f>IF(SUM(KT5:KU5)&gt;0,SUM(KT5:KU5),"")</f>
        <v/>
      </c>
      <c r="KW5" s="7" t="str">
        <f>IF(KP5&gt;0,KP5,"")</f>
        <v/>
      </c>
      <c r="KX5" s="7" t="str">
        <f>IF(SUM(KN5:KQ5)-KR5&gt;0,SUM(KN5:KQ5)-KR5,"")</f>
        <v/>
      </c>
      <c r="KY5" s="7" t="str">
        <f>IF(SUM(KV5,KX5)&gt;0,SUM(KV5,KX5),"")</f>
        <v/>
      </c>
      <c r="KZ5" s="19"/>
      <c r="LA5" s="19"/>
      <c r="LB5" s="19"/>
      <c r="LC5" s="19"/>
      <c r="LD5" s="19"/>
      <c r="LE5" s="19"/>
      <c r="LF5" s="19"/>
      <c r="LG5" s="19"/>
      <c r="LH5" s="19"/>
      <c r="LI5" s="19"/>
      <c r="LJ5" s="19"/>
      <c r="LK5" s="19"/>
      <c r="LL5" s="19"/>
      <c r="LM5" s="19"/>
      <c r="LN5" s="19"/>
      <c r="LO5" s="9" t="str">
        <f>IF(LG5&gt;0,LG5,"")</f>
        <v/>
      </c>
      <c r="LP5" s="9" t="str">
        <f>IF(SUM(KZ5:LC5)-LD5&gt;0,SUM(KZ5:LC5)-LD5,"")</f>
        <v/>
      </c>
      <c r="LQ5" s="9" t="str">
        <f>IF(SUM(LE5:LH5)-LI5&gt;0,SUM(LE5:LH5)-LI5,"")</f>
        <v/>
      </c>
      <c r="LR5" s="9" t="str">
        <f>IF(SUM(LP5:LQ5)&gt;0,SUM(LP5:LQ5),"")</f>
        <v/>
      </c>
      <c r="LS5" s="9" t="str">
        <f>IF(LL5&gt;0,LL5,"")</f>
        <v/>
      </c>
      <c r="LT5" s="9" t="str">
        <f>IF(SUM(LJ5:LM5)-LN5&gt;0,SUM(LJ5:LM5)-LN5,"")</f>
        <v/>
      </c>
      <c r="LU5" s="9" t="str">
        <f>IF(SUM(LR5,LT5)&gt;0,SUM(LR5,LT5),"")</f>
        <v/>
      </c>
      <c r="LV5" s="18"/>
      <c r="LW5" s="18"/>
      <c r="LX5" s="18"/>
      <c r="LY5" s="18"/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7" t="str">
        <f>IF(MC5&gt;0,MC5,"")</f>
        <v/>
      </c>
      <c r="ML5" s="7" t="str">
        <f>IF(SUM(LV5:LY5)-LZ5&gt;0,SUM(LV5:LY5)-LZ5,"")</f>
        <v/>
      </c>
      <c r="MM5" s="7" t="str">
        <f>IF(SUM(MA5:MD5)-ME5&gt;0,SUM(MA5:MD5)-ME5,"")</f>
        <v/>
      </c>
      <c r="MN5" s="7" t="str">
        <f>IF(SUM(ML5:MM5)&gt;0,SUM(ML5:MM5),"")</f>
        <v/>
      </c>
      <c r="MO5" s="7" t="str">
        <f>IF(MH5&gt;0,MH5,"")</f>
        <v/>
      </c>
      <c r="MP5" s="7" t="str">
        <f>IF(SUM(MF5:MI5)-MJ5&gt;0,SUM(MF5:MI5)-MJ5,"")</f>
        <v/>
      </c>
      <c r="MQ5" s="7" t="str">
        <f>IF(SUM(MN5,MP5)&gt;0,SUM(MN5,MP5),"")</f>
        <v/>
      </c>
      <c r="MR5" s="19"/>
      <c r="MS5" s="19"/>
      <c r="MT5" s="19"/>
      <c r="MU5" s="19"/>
      <c r="MV5" s="19"/>
      <c r="MW5" s="19"/>
      <c r="MX5" s="19"/>
      <c r="MY5" s="19"/>
      <c r="MZ5" s="19"/>
      <c r="NA5" s="19"/>
      <c r="NB5" s="19"/>
      <c r="NC5" s="19"/>
      <c r="ND5" s="19"/>
      <c r="NE5" s="19"/>
      <c r="NF5" s="19"/>
      <c r="NG5" s="9" t="str">
        <f>IF(MY5&gt;0,MY5,"")</f>
        <v/>
      </c>
      <c r="NH5" s="9" t="str">
        <f>IF(SUM(MR5:MU5)-MV5&gt;0,SUM(MR5:MU5)-MV5,"")</f>
        <v/>
      </c>
      <c r="NI5" s="9" t="str">
        <f>IF(SUM(MW5:MZ5)-NA5&gt;0,SUM(MW5:MZ5)-NA5,"")</f>
        <v/>
      </c>
      <c r="NJ5" s="9" t="str">
        <f>IF(SUM(NH5:NI5)&gt;0,SUM(NH5:NI5),"")</f>
        <v/>
      </c>
      <c r="NK5" s="9" t="str">
        <f>IF(ND5&gt;0,ND5,"")</f>
        <v/>
      </c>
      <c r="NL5" s="9" t="str">
        <f>IF(SUM(NB5:NE5)-NF5&gt;0,SUM(NB5:NE5)-NF5,"")</f>
        <v/>
      </c>
      <c r="NM5" s="9" t="str">
        <f>IF(SUM(NJ5,NL5)&gt;0,SUM(NJ5,NL5),"")</f>
        <v/>
      </c>
      <c r="NN5" s="27">
        <f>IF($CV5="P",CB5,(CB5+AX5)/2)</f>
        <v>18.45</v>
      </c>
      <c r="NO5" s="27">
        <f>IF($CV5="P",CC5,(CC5+AY5)/2)</f>
        <v>9.6499999999999986</v>
      </c>
      <c r="NP5" s="27">
        <f>IF($CV5="P",CD5,(CD5+AZ5)/2)</f>
        <v>0</v>
      </c>
      <c r="NQ5" s="27">
        <f>IF($CV5="P",CE5,(CE5+BA5)/2)</f>
        <v>15.745000000000001</v>
      </c>
      <c r="NR5" s="27">
        <f>IF($CV5="P",CF5,(CF5+BB5)/2)</f>
        <v>0</v>
      </c>
      <c r="NS5" s="27">
        <f>IF($CV5="P",CG5,(CG5+BC5)/2)</f>
        <v>15.45</v>
      </c>
      <c r="NT5" s="27">
        <f>IF($CV5="P",CH5,(CH5+BD5)/2)</f>
        <v>9.35</v>
      </c>
      <c r="NU5" s="27">
        <f>IF($CV5="P",CI5,(CI5+BE5)/2)</f>
        <v>12.2</v>
      </c>
      <c r="NV5" s="27">
        <f>IF($CV5="P",CJ5,(CJ5+BF5)/2)</f>
        <v>14.73</v>
      </c>
      <c r="NW5" s="27">
        <f>IF($CV5="P",CK5,(CK5+BG5)/2)</f>
        <v>0</v>
      </c>
      <c r="NX5" s="27">
        <f>IF($CV5="P",CL5,(CL5+BH5)/2)</f>
        <v>0</v>
      </c>
      <c r="NY5" s="27">
        <f>IF($CV5="P",CM5,(CM5+BI5)/2)</f>
        <v>0</v>
      </c>
      <c r="NZ5" s="27">
        <f>IF($CV5="P",CN5,(CN5+BJ5)/2)</f>
        <v>0</v>
      </c>
      <c r="OA5" s="27">
        <f>IF($CV5="P",CO5,(CO5+BK5)/2)</f>
        <v>0</v>
      </c>
      <c r="OB5" s="27">
        <f>IF($CV5="P",CP5,(CP5+BL5)/2)</f>
        <v>0</v>
      </c>
      <c r="OC5" s="27">
        <f>IF($CV5="P",CQ5,(CQ5+BM5)/2)</f>
        <v>14.6</v>
      </c>
      <c r="OD5" s="27">
        <f>IF($CV5="P",CR5,(CR5+BN5)/2)</f>
        <v>8.4499999999999993</v>
      </c>
      <c r="OE5" s="27">
        <f>IF($CV5="P",CS5,(CS5+BO5)/2)</f>
        <v>10.75</v>
      </c>
      <c r="OF5" s="27">
        <f>IF($CV5="P",CT5,(CT5+BP5)/2)</f>
        <v>13.32</v>
      </c>
      <c r="OG5" s="27">
        <f>IF($CV5="P",CU5,(CU5+BQ5)/2)</f>
        <v>0</v>
      </c>
      <c r="OH5" s="32" t="s">
        <v>44</v>
      </c>
      <c r="OI5" s="7">
        <f>IF(SUM(NN5:NQ5)-NR5&gt;0,SUM(NN5:NQ5)-NR5,"")</f>
        <v>43.844999999999999</v>
      </c>
      <c r="OJ5" s="7">
        <f>IF(NU5&gt;0,NU5,"")</f>
        <v>12.2</v>
      </c>
      <c r="OK5" s="7">
        <f>IF(SUM(NS5:NV5)-NW5&gt;0,SUM(NS5:NV5)-NW5,"")</f>
        <v>51.730000000000004</v>
      </c>
      <c r="OL5" s="7" t="str">
        <f>IF(NZ5&gt;0,NZ5,"")</f>
        <v/>
      </c>
      <c r="OM5" s="7" t="str">
        <f>IF(SUM(NX5:OA5)-OB5&gt;0,SUM(NX5:OA5)-OB5,"")</f>
        <v/>
      </c>
      <c r="ON5" s="7">
        <f>IF(OR(OI5&lt;&gt;"",OK5&lt;&gt;"",OM5&lt;&gt;""),OI5+MAX(OK5,OM5),"")</f>
        <v>95.575000000000003</v>
      </c>
      <c r="OO5" s="7">
        <f>IF(OE5&gt;0,OE5,"")</f>
        <v>10.75</v>
      </c>
      <c r="OP5" s="7">
        <f t="shared" ref="OP5" si="2">IF(SUM(OC5:OF5)-OG5&gt;0,SUM(OC5:OF5)-OG5,"")</f>
        <v>47.12</v>
      </c>
      <c r="OQ5" s="7">
        <f t="shared" ref="OQ5" si="3">IF(SUM(ON5,OP5)&gt;0,SUM(ON5,OP5),"")</f>
        <v>142.69499999999999</v>
      </c>
    </row>
    <row r="6" spans="1:407" x14ac:dyDescent="0.2">
      <c r="A6" s="4" t="str" cm="1">
        <f t="array" ref="A6">IF(AND(H6&lt;&gt;"",H6&lt;&gt;"No DD"),SUMPRODUCT((H$4:H$9&lt;&gt;"")*(H$4:H$9&lt;&gt;"No DD")*(E$4:E$9&gt;E6))+1,IF(H6="No DD",SUMPRODUCT((H$4:H$9="No DD")*(E$4:E$9&gt;E6))+1+SUMPRODUCT((H$4:H$9&lt;&gt;"")*(H$4:H$9&lt;&gt;"No DD")),""))</f>
        <v/>
      </c>
      <c r="B6" s="5" t="s">
        <v>88</v>
      </c>
      <c r="C6" s="4" t="s">
        <v>66</v>
      </c>
      <c r="D6" s="4">
        <v>2008</v>
      </c>
      <c r="E6" s="10">
        <f>SUM(I6:Q6)</f>
        <v>226.26</v>
      </c>
      <c r="F6" s="3" t="str">
        <f>IF(OR(AND(AP6&gt;=AW$11,AT6&gt;=AW$15,AO6&lt;&gt;"",AN6=""),AND(BT6&gt;=CA$11,BX6&gt;=CA$15,BS6&lt;&gt;"",BR6=""),AND(CX6&gt;=DE$11,DB6&gt;=DE$15,CW6&lt;&gt;"",CV6=""),AND(DY6&gt;=EE$11,EB6&gt;=EE$15,DY6&lt;&gt;""),AND(EU6&gt;=FA$11,EX6&gt;=FA$15,EU6&lt;&gt;""),AND(FQ6&gt;=FW$11,FT6&gt;=FW$15,FQ6&lt;&gt;""),AND(GM6&gt;=GS$11,GP6&gt;=GS$15,GM6&lt;&gt;""),AND(HI6&gt;=HO$11,HL6&gt;=HO$15,HI6&lt;&gt;""),AND(IE6&gt;=IK$11,IH6&gt;=IK$15,IE6&lt;&gt;""),AND(JA6&gt;=JG$11,JD6&gt;=JG$15,JA6&lt;&gt;""),AND(JW6&gt;=KC$11,JZ6&gt;=KC$15,JW6&lt;&gt;""),AND(KS6&gt;=KY$11,KV6&gt;=KY$15,KS6&lt;&gt;""),AND(LO6&gt;=LU$11,LR6&gt;=LU$15,LO6&lt;&gt;""),AND(MK6&gt;=MQ$11,MN6&gt;=MQ$15,MK6&lt;&gt;""),AND(NG6&gt;=NM$11,NJ6&gt;=NM$15,NG6&lt;&gt;"")),"P","")</f>
        <v/>
      </c>
      <c r="G6" s="3" t="str">
        <f>IF(OR(AND(AT6&gt;=AW$15,AO6&lt;&gt;"",AN6=""),AND(BX6&gt;=CA$15,BS6&lt;&gt;"",BR6=""),AND(DB6&gt;=DE$15,CW6&lt;&gt;"",CV6=""),AND(EB6&gt;=EE$15,DY6&lt;&gt;""),AND(EX6&gt;=FA$15,EU6&lt;&gt;""),AND(FT6&gt;=FW$15,FQ6&lt;&gt;""),AND(GP6&gt;=GS$15,GM6&lt;&gt;""),AND(HL6&gt;=HO$15,HI6&lt;&gt;""),AND(IH6&gt;=IK$15,IE6&lt;&gt;""),AND(JD6&gt;=JG$15,JA6&lt;&gt;""),AND(JZ6&gt;=KC$15,JW6&lt;&gt;""),AND(KV6&gt;=KY$15,KS6&lt;&gt;""),AND(LR6&gt;=LU$15,LO6&lt;&gt;""),AND(MN6&gt;=MQ$15,MK6&lt;&gt;""),AND(NJ6&gt;=NM$15,NG6&lt;&gt;"")),"P","")</f>
        <v/>
      </c>
      <c r="H6" s="47" t="str">
        <f>IF(OR(AND(AP6&gt;=AW$14,AQ6&gt;=AW$18,AP6&lt;&gt;"",AN6=""),AND(AU6&gt;=AW$14,AV6&gt;=AW$18,AU6&lt;&gt;"",AN6=""),AND(BT6&gt;=CA$14,BU6&gt;=CA$18,BT6&lt;&gt;"",BR6=""),AND(BY6&gt;=CA$14,BZ6&gt;=CA$18,BY6&lt;&gt;"",BR6=""),AND(CX6&gt;=DE$14,CY6&gt;=DE$18,CX6&lt;&gt;"",CV6=""),AND(DC6&gt;=DE$14,DD6&gt;=DE$18,DC6&lt;&gt;"",CV6=""),AND(DY6&gt;=EE$14,EA6&gt;=EE$18,DY6&lt;&gt;""),AND(EC6&gt;=EE$14,ED6&gt;=EE$18,EC6&lt;&gt;""),AND(EU6&gt;=FA$14,EW6&gt;=FA$18,EU6&lt;&gt;""),AND(EY6&gt;=FA$14,EZ6&gt;=FA$18,EY6&lt;&gt;""),AND(FQ6&gt;=FW$14,FS6&gt;=FW$18,FQ6&lt;&gt;""),AND(FU6&gt;=FW$14,FV6&gt;=FW$18,FU6&lt;&gt;""),AND(GM6&gt;=GS$14,GO6&gt;=GS$18,GM6&lt;&gt;""),AND(GQ6&gt;=GS$14,GR6&gt;=GS$18,GQ6&lt;&gt;""),AND(HI6&gt;=HO$14,HK6&gt;=HO$18,HI6&lt;&gt;""),AND(HM6&gt;=HO$14,HN6&gt;=HO$18,HM6&lt;&gt;""),AND(IE6&gt;=IK$14,IG6&gt;=IK$18,IE6&lt;&gt;""),AND(II6&gt;=IK$14,IJ6&gt;=IK$18,II6&lt;&gt;""),AND(JA6&gt;=JG$14,JC6&gt;=JG$18,JA6&lt;&gt;""),AND(JE6&gt;=JG$14,JF6&gt;=JG$18,JE6&lt;&gt;""),AND(JW6&gt;=KC$14,JY6&gt;=KC$18,JW6&lt;&gt;""),AND(KA6&gt;=KC$14,KB6&gt;=KC$18,KA6&lt;&gt;""),AND(KS6&gt;=KY$14,KU6&gt;=KY$18,KS6&lt;&gt;""),AND(KW6&gt;=KY$14,KX6&gt;=KY$18,KW6&lt;&gt;""),AND(LO6&gt;=LU$14,LQ6&gt;=LU$18,LO6&lt;&gt;""),AND(LS6&gt;=LU$14,LT6&gt;=LU$18,LS6&lt;&gt;""),AND(MK6&gt;=MQ$14,MM6&gt;=MQ$18,MK6&lt;&gt;""),AND(MO6&gt;=MQ$14,MP6&gt;=MQ$18,MO6&lt;&gt;""),AND(NG6&gt;=NM$14,NI6&gt;=NM$18,NG6&lt;&gt;""),AND(NK6&gt;=NM$14,NL6&gt;=NM$18,NK6&lt;&gt;"")),"Merit",IF(OR(AND(AP6&gt;=AW$13,AT6&gt;=AW$17,AO6&lt;&gt;"",AN6=""),AND(BT6&gt;=CA$13,BX6&gt;=CA$17,BS6&lt;&gt;"",BR6=""),AND(CX6&gt;=DE$13,DB6&gt;=DE$17,CW6&lt;&gt;"",CV6=""),AND(DY6&gt;=EE$13,EB6&gt;=EE$17,DY6&lt;&gt;""),AND(EU6&gt;=FA$13,EX6&gt;=FA$17,EU6&lt;&gt;""),AND(FQ6&gt;=FW$13,FT6&gt;=FW$17,FQ6&lt;&gt;""),AND(GM6&gt;=GS$13,GP6&gt;=GS$17,GM6&lt;&gt;""),AND(HI6&gt;=HO$13,HL6&gt;=HO$17,HI6&lt;&gt;""),AND(IE6&gt;=IK$13,IH6&gt;=IK$17,IE6&lt;&gt;""),AND(JA6&gt;=JG$13,JD6&gt;=JG$17,JA6&lt;&gt;""),AND(JW6&gt;=KC$13,JZ6&gt;=KC$17,JW6&lt;&gt;""),AND(KS6&gt;=KY$13,KV6&gt;=KY$17,KS6&lt;&gt;""),AND(LO6&gt;=LU$13,LR6&gt;=LU$17,LO6&lt;&gt;""),AND(MK6&gt;=MQ$13,MN6&gt;=MQ$17,MK6&lt;&gt;""),AND(NG6&gt;=NM$13,NJ6&gt;=NM$17,NG6&lt;&gt;"")),"Excellence",IF(OR(AND(AP6&gt;=AW$11,AT6&gt;=AW$15,AO6&lt;&gt;"",AN6=""),AND(BT6&gt;=CA$11,BX6&gt;=CA$15,BS6&lt;&gt;"",BR6=""),AND(CX6&gt;=DE$11,DB6&gt;=DE$15,CW6&lt;&gt;"",CV6=""),AND(DY6&gt;=EE$11,EB6&gt;=EE$15,DY6&lt;&gt;""),AND(EU6&gt;=FA$11,EX6&gt;=FA$15,EU6&lt;&gt;""),AND(FQ6&gt;=FW$11,FT6&gt;=FW$15,FQ6&lt;&gt;""),AND(GM6&gt;=GS$11,GP6&gt;=GS$15,GM6&lt;&gt;""),AND(HI6&gt;=HO$11,HL6&gt;=HO$15,HI6&lt;&gt;""),AND(IE6&gt;=IK$11,IH6&gt;=IK$15,IE6&lt;&gt;""),AND(JA6&gt;=JG$11,JD6&gt;=JG$15,JA6&lt;&gt;""),AND(JW6&gt;=KC$11,JZ6&gt;=KC$15,JW6&lt;&gt;""),AND(KS6&gt;=KY$11,KV6&gt;=KY$15,KS6&lt;&gt;""),AND(LO6&gt;=LU$11,LR6&gt;=LU$15,LO6&lt;&gt;""),AND(MK6&gt;=MQ$11,MN6&gt;=MQ$15,MK6&lt;&gt;""),AND(NG6&gt;=NM$11,NJ6&gt;=NM$15,NG6&lt;&gt;"")),"National Team",IF(G6="P","No DD",""))))</f>
        <v/>
      </c>
      <c r="I6" s="9">
        <f>IF(MAX(AT6,BX6,DB6)&gt;0,MAX(AT6,BX6,DB6),0)</f>
        <v>84.57</v>
      </c>
      <c r="J6" s="9" t="str">
        <f>IF(I6=0,"",IF(I6=DB6,$CB$1,IF(I6=BX6,$AX$1,IF(I6=AT6,$T$1,""))))</f>
        <v>2023 Nationals</v>
      </c>
      <c r="K6" s="9">
        <f>IF($I6=$AT6,MAX(BS6,CW6),IF($I6=$BX6,MAX(AO6,CW6),IF($I6=$DB6,MAX(AO6,BS6),MAX(AO6,BS6,CW6))))</f>
        <v>41.28</v>
      </c>
      <c r="L6" s="9" t="str">
        <f>IF(K6=0,"",IF(AND(K6=CW6,$J6&lt;&gt;$CB$1),$CB$1,IF(AND(K6=BS6,$J6&lt;&gt;$AX$1),$AX$1,IF(AND(K6=AO6,$J6&lt;&gt;$T$1),$T$1,""))))</f>
        <v>2023 3rd Domestic Trial</v>
      </c>
      <c r="M6" s="9">
        <f>IF(I6-N(AO6)=AQ6,MAX(AS6,BU6,BW6,CY6,DA6),IF(I6-N(AO6)=AS6,MAX(AQ6,BU6,BW6,CY6,DA6),IF(I6-N(BS6)=BU6,MAX(AQ6,AS6,BW6,CY6,DA6),IF(I6-N(BS6)=BW6,MAX(AQ6,AS6,BU6,CY6,DA6),IF(I6-N(CW6)=CY6,MAX(AQ6,AS6,BU6,BW6,DA6),IF(I6-N(CW6)=DA6,MAX(AQ6,AS6,BU6,BW6,CY6),MAX(AQ6,AS6,BU6,BW6,CY6,DA6)))))))</f>
        <v>38.090000000000003</v>
      </c>
      <c r="N6" s="9" t="str">
        <f>IF(M6=0,"",IF(AND(OR(M6=DA6,M6=CY6),$J6&lt;&gt;$CB$1),$CB$1,IF(AND(OR(M6=BW6,M6=BU6),$J6&lt;&gt;$AX$1),$AX$1,IF(AND(OR(M6=AS6,M6=AQ6),$J6&lt;&gt;$T$1),$T$1,""))))</f>
        <v>2023 Elite Canada</v>
      </c>
      <c r="O6" s="9">
        <f>MAX(AV6,BZ6,DD6)</f>
        <v>50.25</v>
      </c>
      <c r="P6" s="9" t="str">
        <f>IF(O6=0,"",IF(O6=DD6,$CB$1,IF(O6=BZ6,$AX$1,IF(O6=AV6,$T$1,""))))</f>
        <v>2023 Nationals</v>
      </c>
      <c r="Q6" s="9">
        <f>IF(MAX(DF6,DG6,DH6,DI6)&gt;0,MAX(DF6,DG6,DH6,DI6),"")</f>
        <v>12.069999999999993</v>
      </c>
      <c r="R6" s="14" t="str">
        <f>IF(Q6="","",IF(Q6=DF6,"(Vol 1)",IF(Q6=DG6,"(Vol 2)",IF(Q6=DH6,"(Prelim)",IF(Q6=DI6,"(Final)")))))</f>
        <v>(Vol 2)</v>
      </c>
      <c r="S6" s="9" t="str">
        <f>IF(Q6="","",IF(Q6=DF6,IF(Q6+IF(K6="",0,K6)=NH6,$MR$1,IF(Q6+IF(K6="",0,K6)=ML6,$LV$1,IF(Q6+IF(K6="",0,K6)=LP6,$KZ$1,IF(Q6+IF(K6="",0,K6)=KT6,$KD$1,IF(Q6+IF(K6="",0,K6)=JX6,$JH$1,IF(Q6+IF(K6="",0,K6)=JB6,$IL$1,IF(Q6+IF(K6="",0,K6)=IF6,$HP$1,IF(Q6+IF(K6="",0,K6)=HJ6,$GT$1,IF(Q6+IF(K6="",0,K6)=GN6,$FX$1,IF(Q6+IF(K6="",0,K6)=FR6,$FB$1,IF(Q6+IF(K6="",0,K6)=EV6,$EF$1,IF(Q6+IF(K6="",0,K6)=DZ6,$DJ$1)))))))))))),IF(Q6=DG6,IF(Q6+IF(M6="",0,M6)=NI6,$MR$1,IF(Q6+IF(M6="",0,M6)=MM6,$LV$1,IF(Q6+IF(M6="",0,M6)=LQ6,$KZ$1,IF(Q6+IF(M6="",0,M6)=KU6,$KD$1,IF(Q6+IF(M6="",0,M6)=JY6,$JH$1,IF(Q6+IF(M6="",0,M6)=JC6,$IL$1,IF(Q6+IF(M6="",0,M6)=IG6,$HP$1,IF(Q6+IF(M6="",0,M6)=HK6,$GT$1,IF(Q6+IF(M6="",0,M6)=GO6,$FX$1,IF(Q6+IF(M6="",0,M6)=FS6,$FB$1,IF(Q6+IF(M6="",0,M6)=EW6,$EF$1,IF(Q6+IF(M6="",0,M6)=EA6,$DJ$1)))))))))))),IF(Q6=DH6,IF(Q6+IF(I6="",0,I6)=NJ6,$MR$1,IF(Q6+IF(I6="",0,I6)=MN6,$LV$1,IF(Q6+IF(I6="",0,I6)=LR6,$KZ$1,IF(Q6+IF(I6="",0,I6)=KV6,$KD$1,IF(Q6+IF(I6="",0,I6)=JZ6,$JH$1,IF(Q6+IF(I6="",0,I6)=JD6,$IL$1,IF(Q6+IF(I6="",0,I6)=IH6,$HP$1,IF(Q6+IF(I6="",0,I6)=HL6,$GT$1,IF(Q6+IF(I6="",0,I6)=GP6,$FX$1,IF(Q6+IF(I6="",0,I6)=FT6,$FB$1,IF(Q6+IF(I6="",0,I6)=EX6,$EF$1,IF(Q6+IF(I6="",0,I6)=EB6,$DJ$1)))))))))))),IF(Q6=DI6,IF(Q6+IF(O6="",0,O6)=NL6,$MR$1,IF(Q6+IF(O6="",0,O6)=MP6,$LV$1,IF(Q6+IF(O6="",0,O6)=LT6,$KZ$1,IF(Q6+IF(O6="",0,O6)=KX6,$KD$1,IF(Q6+IF(O6="",0,O6)=KB6,$JH$1,IF(Q6+IF(O6="",0,O6)=JF6,$IL$1,IF(Q6+IF(O6="",0,O6)=IJ6,$HP$1,IF(Q6+IF(O6="",0,O6)=HN6,$GT$1,IF(Q6+IF(O6="",0,O6)=GR6,$FX$1,IF(Q6+IF(O6="",0,O6)=FV6,$FB$1,IF(Q6+IF(O6="",0,O6)=EZ6,$EF$1,IF(Q6+IF(O6="",0,O6)=ED6,$DJ$1)))))))))))))))))</f>
        <v>2023 WAGC (Nov 16)</v>
      </c>
      <c r="T6" s="27">
        <v>16.2</v>
      </c>
      <c r="U6" s="27">
        <v>9.4</v>
      </c>
      <c r="V6" s="27">
        <v>0</v>
      </c>
      <c r="W6" s="27">
        <v>13.45</v>
      </c>
      <c r="X6" s="27">
        <v>0</v>
      </c>
      <c r="Y6" s="27">
        <v>10.5</v>
      </c>
      <c r="Z6" s="27">
        <v>6.5</v>
      </c>
      <c r="AA6" s="27">
        <v>10.199999999999999</v>
      </c>
      <c r="AB6" s="27">
        <v>10.89</v>
      </c>
      <c r="AC6" s="27">
        <v>0</v>
      </c>
      <c r="AD6" s="27"/>
      <c r="AE6" s="27"/>
      <c r="AF6" s="27"/>
      <c r="AG6" s="27"/>
      <c r="AH6" s="27"/>
      <c r="AI6" s="27">
        <v>11.6</v>
      </c>
      <c r="AJ6" s="27">
        <v>9</v>
      </c>
      <c r="AK6" s="27">
        <v>12.9</v>
      </c>
      <c r="AL6" s="27">
        <v>13.75</v>
      </c>
      <c r="AM6" s="27">
        <v>0</v>
      </c>
      <c r="AN6" s="32"/>
      <c r="AO6" s="7">
        <f>IF(SUM(T6:W6)-X6&gt;0,SUM(T6:W6)-X6,"")</f>
        <v>39.049999999999997</v>
      </c>
      <c r="AP6" s="7">
        <f>IF(AA6&gt;0,AA6,"")</f>
        <v>10.199999999999999</v>
      </c>
      <c r="AQ6" s="7">
        <f>IF(SUM(Y6:AB6)-AC6&gt;0,SUM(Y6:AB6)-AC6,"")</f>
        <v>38.090000000000003</v>
      </c>
      <c r="AR6" s="7" t="str">
        <f>IF(AF6&gt;0,AF6,"")</f>
        <v/>
      </c>
      <c r="AS6" s="7" t="str">
        <f>IF(SUM(AD6:AG6)-AH6&gt;0,SUM(AD6:AG6)-AH6,"")</f>
        <v/>
      </c>
      <c r="AT6" s="7">
        <f>IF(AO6="",IF(MAX(AQ6,AS6)&gt;0,MAX(AQ6,AS6),""),MAX(AQ6,AS6)+AO6)</f>
        <v>77.14</v>
      </c>
      <c r="AU6" s="7">
        <f>IF(AK6&gt;0,AK6,"")</f>
        <v>12.9</v>
      </c>
      <c r="AV6" s="7">
        <f>IF(SUM(AI6:AL6)-AM6&gt;0,SUM(AI6:AL6)-AM6,"")</f>
        <v>47.25</v>
      </c>
      <c r="AW6" s="7">
        <f>IF(SUM(AT6,AV6)&gt;0,SUM(AT6,AV6),"")</f>
        <v>124.39</v>
      </c>
      <c r="AX6" s="23">
        <v>15.5</v>
      </c>
      <c r="AY6" s="23">
        <v>9.3000000000000007</v>
      </c>
      <c r="AZ6" s="23">
        <v>0</v>
      </c>
      <c r="BA6" s="23">
        <v>14.32</v>
      </c>
      <c r="BB6" s="23">
        <v>0</v>
      </c>
      <c r="BC6" s="23">
        <v>11.2</v>
      </c>
      <c r="BD6" s="23">
        <v>8.6</v>
      </c>
      <c r="BE6" s="23">
        <v>11.8</v>
      </c>
      <c r="BF6" s="23">
        <v>13.85</v>
      </c>
      <c r="BG6" s="23">
        <v>0</v>
      </c>
      <c r="BH6" s="23"/>
      <c r="BI6" s="23"/>
      <c r="BJ6" s="23"/>
      <c r="BK6" s="23"/>
      <c r="BL6" s="23"/>
      <c r="BM6" s="23">
        <v>13.8</v>
      </c>
      <c r="BN6" s="23">
        <v>8.9</v>
      </c>
      <c r="BO6" s="23">
        <v>13.3</v>
      </c>
      <c r="BP6" s="23">
        <v>14.25</v>
      </c>
      <c r="BQ6" s="23">
        <v>0</v>
      </c>
      <c r="BR6" s="33"/>
      <c r="BS6" s="9">
        <f>IF(SUM(AX6:BA6)-BB6&gt;0,SUM(AX6:BA6)-BB6,"")</f>
        <v>39.120000000000005</v>
      </c>
      <c r="BT6" s="9">
        <f>IF(BE6&gt;0,BE6,"")</f>
        <v>11.8</v>
      </c>
      <c r="BU6" s="9">
        <f>IF(SUM(BC6:BF6)-BG6&gt;0,SUM(BC6:BF6)-BG6,"")</f>
        <v>45.449999999999996</v>
      </c>
      <c r="BV6" s="9" t="str">
        <f>IF(BJ6&gt;0,BJ6,"")</f>
        <v/>
      </c>
      <c r="BW6" s="9" t="str">
        <f>IF(SUM(BH6:BK6)-BL6&gt;0,SUM(BH6:BK6)-BL6,"")</f>
        <v/>
      </c>
      <c r="BX6" s="9">
        <f>IF(BS6="",IF(MAX(BU6,BW6)&gt;0,MAX(BU6,BW6),""),MAX(BU6,BW6)+BS6)</f>
        <v>84.57</v>
      </c>
      <c r="BY6" s="9">
        <f>IF(BO6&gt;0,BO6,"")</f>
        <v>13.3</v>
      </c>
      <c r="BZ6" s="9">
        <f>IF(SUM(BM6:BP6)-BQ6&gt;0,SUM(BM6:BP6)-BQ6,"")</f>
        <v>50.25</v>
      </c>
      <c r="CA6" s="9">
        <f>IF(SUM(BX6,BZ6)&gt;0,SUM(BX6,BZ6),"")</f>
        <v>134.82</v>
      </c>
      <c r="CB6" s="27">
        <v>16.8</v>
      </c>
      <c r="CC6" s="27">
        <v>9.5</v>
      </c>
      <c r="CD6" s="27">
        <v>0</v>
      </c>
      <c r="CE6" s="27">
        <v>14.98</v>
      </c>
      <c r="CF6" s="27">
        <v>0</v>
      </c>
      <c r="CG6" s="27">
        <v>2.7</v>
      </c>
      <c r="CH6" s="27">
        <v>1.7</v>
      </c>
      <c r="CI6" s="27">
        <v>3.2</v>
      </c>
      <c r="CJ6" s="27">
        <v>3.26</v>
      </c>
      <c r="CK6" s="27">
        <v>0</v>
      </c>
      <c r="CL6" s="27"/>
      <c r="CM6" s="27"/>
      <c r="CN6" s="27"/>
      <c r="CO6" s="27"/>
      <c r="CP6" s="27"/>
      <c r="CQ6" s="27"/>
      <c r="CR6" s="27"/>
      <c r="CS6" s="27"/>
      <c r="CT6" s="27"/>
      <c r="CU6" s="27"/>
      <c r="CV6" s="32"/>
      <c r="CW6" s="7">
        <f>IF(SUM(CB6:CE6)-CF6&gt;0,SUM(CB6:CE6)-CF6,"")</f>
        <v>41.28</v>
      </c>
      <c r="CX6" s="7">
        <f>IF(CI6&gt;0,CI6,"")</f>
        <v>3.2</v>
      </c>
      <c r="CY6" s="7">
        <f>IF(SUM(CG6:CJ6)-CK6&gt;0,SUM(CG6:CJ6)-CK6,"")</f>
        <v>10.86</v>
      </c>
      <c r="CZ6" s="7" t="str">
        <f>IF(CN6&gt;0,CN6,"")</f>
        <v/>
      </c>
      <c r="DA6" s="7" t="str">
        <f>IF(SUM(CL6:CO6)-CP6&gt;0,SUM(CL6:CO6)-CP6,"")</f>
        <v/>
      </c>
      <c r="DB6" s="7">
        <f>IF(CW6="",IF(MAX(CY6,DA6)&gt;0,MAX(CY6,DA6),""),MAX(CY6,DA6)+CW6)</f>
        <v>52.14</v>
      </c>
      <c r="DC6" s="7" t="str">
        <f>IF(CS6&gt;0,CS6,"")</f>
        <v/>
      </c>
      <c r="DD6" s="7" t="str">
        <f>IF(SUM(CQ6:CT6)-CU6&gt;0,SUM(CQ6:CT6)-CU6,"")</f>
        <v/>
      </c>
      <c r="DE6" s="7">
        <f>IF(SUM(DB6,DD6)&gt;0,SUM(DB6,DD6),"")</f>
        <v>52.14</v>
      </c>
      <c r="DF6" s="13" t="str">
        <f>IF(MAX(DZ6,EV6,FR6,GN6,HJ6,IF6,JB6,JX6,KT6,LP6,ML6,NH6)-IF(K6="",0,K6)&gt;0.001,MAX(DZ6,EV6,FR6,GN6,HJ6,IF6,JB6,JX6,KT6,LP6,ML6,NH6)-IF(K6="",0,K6),"")</f>
        <v/>
      </c>
      <c r="DG6" s="13">
        <f>IF(MAX(EA6,EW6,FS6,GO6,HK6,IG6,JC6,JY6,KU6,LQ6,MM6,NI6)-IF(M6="",0,M6)&gt;0.001,MAX(EA6,EW6,FS6,GO6,HK6,IG6,JC6,JY6,KU6,LQ6,MM6,NI6)-IF(M6="",0,M6),"")</f>
        <v>12.069999999999993</v>
      </c>
      <c r="DH6" s="13">
        <f>IF(MAX(EB6,EX6,FT6,GP6,HL6,IH6,JD6,JZ6,KV6,LR6,MN6,NJ6)-IF(I6="",0,I6)&gt;0.001,MAX(EB6,EX6,FT6,GP6,HL6,IH6,JD6,JZ6,KV6,LR6,MN6,NJ6)-IF(I6="",0,I6),"")</f>
        <v>5.4000000000000057</v>
      </c>
      <c r="DI6" s="13" t="str">
        <f>IF(MAX(ED6,EZ6,FV6,GR6,HN6,IJ6,JF6,KB6,KX6,LT6,MP6,NL6)-IF(O6="",0,O6)&gt;0.001,MAX(ED6,EZ6,FV6,GR6,HN6,IJ6,JF6,KB6,KX6,LT6,MP6,NL6)-IF(O6="",0,O6),"")</f>
        <v/>
      </c>
      <c r="DJ6" s="18"/>
      <c r="DK6" s="18"/>
      <c r="DL6" s="18"/>
      <c r="DM6" s="18"/>
      <c r="DN6" s="18"/>
      <c r="DO6" s="18"/>
      <c r="DP6" s="18"/>
      <c r="DQ6" s="18"/>
      <c r="DR6" s="18"/>
      <c r="DS6" s="18"/>
      <c r="DT6" s="18"/>
      <c r="DU6" s="18"/>
      <c r="DV6" s="18"/>
      <c r="DW6" s="18"/>
      <c r="DX6" s="18"/>
      <c r="DY6" s="7" t="str">
        <f>IF(DQ6&gt;0,DQ6,"")</f>
        <v/>
      </c>
      <c r="DZ6" s="7" t="str">
        <f>IF(SUM(DJ6:DM6)-DN6&gt;0,SUM(DJ6:DM6)-DN6,"")</f>
        <v/>
      </c>
      <c r="EA6" s="7" t="str">
        <f>IF(SUM(DO6:DR6)-DS6&gt;0,SUM(DO6:DR6)-DS6,"")</f>
        <v/>
      </c>
      <c r="EB6" s="7" t="str">
        <f>IF(SUM(DZ6:EA6)&gt;0,SUM(DZ6:EA6),"")</f>
        <v/>
      </c>
      <c r="EC6" s="7" t="str">
        <f>IF(DV6&gt;0,DV6,"")</f>
        <v/>
      </c>
      <c r="ED6" s="7" t="str">
        <f>IF(SUM(DT6:DW6)-DX6&gt;0,SUM(DT6:DW6)-DX6,"")</f>
        <v/>
      </c>
      <c r="EE6" s="7" t="str">
        <f>IF(SUM(EB6,ED6)&gt;0,SUM(EB6,ED6),"")</f>
        <v/>
      </c>
      <c r="EF6" s="19"/>
      <c r="EG6" s="19"/>
      <c r="EH6" s="19"/>
      <c r="EI6" s="19"/>
      <c r="EJ6" s="19"/>
      <c r="EK6" s="19"/>
      <c r="EL6" s="19"/>
      <c r="EM6" s="19"/>
      <c r="EN6" s="19"/>
      <c r="EO6" s="19"/>
      <c r="EP6" s="19"/>
      <c r="EQ6" s="19"/>
      <c r="ER6" s="19"/>
      <c r="ES6" s="19"/>
      <c r="ET6" s="19"/>
      <c r="EU6" s="9" t="str">
        <f>IF(EM6&gt;0,EM6,"")</f>
        <v/>
      </c>
      <c r="EV6" s="9" t="str">
        <f>IF(SUM(EF6:EI6)-EJ6&gt;0,SUM(EF6:EI6)-EJ6,"")</f>
        <v/>
      </c>
      <c r="EW6" s="9" t="str">
        <f>IF(SUM(EK6:EN6)-EO6&gt;0,SUM(EK6:EN6)-EO6,"")</f>
        <v/>
      </c>
      <c r="EX6" s="9" t="str">
        <f>IF(SUM(EV6:EW6)&gt;0,SUM(EV6:EW6),"")</f>
        <v/>
      </c>
      <c r="EY6" s="9" t="str">
        <f>IF(ER6&gt;0,ER6,"")</f>
        <v/>
      </c>
      <c r="EZ6" s="9" t="str">
        <f>IF(SUM(EP6:ES6)-ET6&gt;0,SUM(EP6:ES6)-ET6,"")</f>
        <v/>
      </c>
      <c r="FA6" s="9" t="str">
        <f>IF(SUM(EX6,EZ6)&gt;0,SUM(EX6,EZ6),"")</f>
        <v/>
      </c>
      <c r="FB6" s="18"/>
      <c r="FC6" s="18"/>
      <c r="FD6" s="18"/>
      <c r="FE6" s="18"/>
      <c r="FF6" s="18"/>
      <c r="FG6" s="18"/>
      <c r="FH6" s="18"/>
      <c r="FI6" s="18"/>
      <c r="FJ6" s="18"/>
      <c r="FK6" s="18"/>
      <c r="FL6" s="18"/>
      <c r="FM6" s="18"/>
      <c r="FN6" s="18"/>
      <c r="FO6" s="18"/>
      <c r="FP6" s="18"/>
      <c r="FQ6" s="7" t="str">
        <f>IF(FI6&gt;0,FI6,"")</f>
        <v/>
      </c>
      <c r="FR6" s="7" t="str">
        <f>IF(SUM(FB6:FE6)-FF6&gt;0,SUM(FB6:FE6)-FF6,"")</f>
        <v/>
      </c>
      <c r="FS6" s="7" t="str">
        <f>IF(SUM(FG6:FJ6)-FK6&gt;0,SUM(FG6:FJ6)-FK6,"")</f>
        <v/>
      </c>
      <c r="FT6" s="7" t="str">
        <f>IF(SUM(FR6:FS6)&gt;0,SUM(FR6:FS6),"")</f>
        <v/>
      </c>
      <c r="FU6" s="7" t="str">
        <f>IF(FN6&gt;0,FN6,"")</f>
        <v/>
      </c>
      <c r="FV6" s="7" t="str">
        <f>IF(SUM(FL6:FO6)-FP6&gt;0,SUM(FL6:FO6)-FP6,"")</f>
        <v/>
      </c>
      <c r="FW6" s="7" t="str">
        <f>IF(SUM(FT6,FV6)&gt;0,SUM(FT6,FV6),"")</f>
        <v/>
      </c>
      <c r="FX6" s="19">
        <v>15.8</v>
      </c>
      <c r="FY6" s="19">
        <v>9.1999999999999993</v>
      </c>
      <c r="FZ6" s="19">
        <v>0</v>
      </c>
      <c r="GA6" s="19">
        <v>14.81</v>
      </c>
      <c r="GB6" s="19">
        <v>0</v>
      </c>
      <c r="GC6" s="19">
        <v>13.2</v>
      </c>
      <c r="GD6" s="19">
        <v>9</v>
      </c>
      <c r="GE6" s="19">
        <v>13.3</v>
      </c>
      <c r="GF6" s="19">
        <v>14.66</v>
      </c>
      <c r="GG6" s="19">
        <v>0</v>
      </c>
      <c r="GH6" s="19"/>
      <c r="GI6" s="19"/>
      <c r="GJ6" s="19"/>
      <c r="GK6" s="19"/>
      <c r="GL6" s="19"/>
      <c r="GM6" s="9">
        <f>IF(GE6&gt;0,GE6,"")</f>
        <v>13.3</v>
      </c>
      <c r="GN6" s="9">
        <f>IF(SUM(FX6:GA6)-GB6&gt;0,SUM(FX6:GA6)-GB6,"")</f>
        <v>39.81</v>
      </c>
      <c r="GO6" s="9">
        <f>IF(SUM(GC6:GF6)-GG6&gt;0,SUM(GC6:GF6)-GG6,"")</f>
        <v>50.16</v>
      </c>
      <c r="GP6" s="9">
        <f>IF(SUM(GN6:GO6)&gt;0,SUM(GN6:GO6),"")</f>
        <v>89.97</v>
      </c>
      <c r="GQ6" s="9" t="str">
        <f>IF(GJ6&gt;0,GJ6,"")</f>
        <v/>
      </c>
      <c r="GR6" s="9" t="str">
        <f>IF(SUM(GH6:GK6)-GL6&gt;0,SUM(GH6:GK6)-GL6,"")</f>
        <v/>
      </c>
      <c r="GS6" s="9">
        <f>IF(SUM(GP6,GR6)&gt;0,SUM(GP6,GR6),"")</f>
        <v>89.97</v>
      </c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7" t="str">
        <f>IF(HA6&gt;0,HA6,"")</f>
        <v/>
      </c>
      <c r="HJ6" s="7" t="str">
        <f>IF(SUM(GT6:GW6)-GX6&gt;0,SUM(GT6:GW6)-GX6,"")</f>
        <v/>
      </c>
      <c r="HK6" s="7" t="str">
        <f>IF(SUM(GY6:HB6)-HC6&gt;0,SUM(GY6:HB6)-HC6,"")</f>
        <v/>
      </c>
      <c r="HL6" s="7" t="str">
        <f>IF(SUM(HJ6:HK6)&gt;0,SUM(HJ6:HK6),"")</f>
        <v/>
      </c>
      <c r="HM6" s="7" t="str">
        <f>IF(HF6&gt;0,HF6,"")</f>
        <v/>
      </c>
      <c r="HN6" s="7" t="str">
        <f>IF(SUM(HD6:HG6)-HH6&gt;0,SUM(HD6:HG6)-HH6,"")</f>
        <v/>
      </c>
      <c r="HO6" s="7" t="str">
        <f>IF(SUM(HL6,HN6)&gt;0,SUM(HL6,HN6),"")</f>
        <v/>
      </c>
      <c r="HP6" s="19"/>
      <c r="HQ6" s="19"/>
      <c r="HR6" s="19"/>
      <c r="HS6" s="19"/>
      <c r="HT6" s="19"/>
      <c r="HU6" s="19"/>
      <c r="HV6" s="19"/>
      <c r="HW6" s="19"/>
      <c r="HX6" s="19"/>
      <c r="HY6" s="19"/>
      <c r="HZ6" s="19"/>
      <c r="IA6" s="19"/>
      <c r="IB6" s="19"/>
      <c r="IC6" s="19"/>
      <c r="ID6" s="19"/>
      <c r="IE6" s="9" t="str">
        <f>IF(HW6&gt;0,HW6,"")</f>
        <v/>
      </c>
      <c r="IF6" s="9" t="str">
        <f>IF(SUM(HP6:HS6)-HT6&gt;0,SUM(HP6:HS6)-HT6,"")</f>
        <v/>
      </c>
      <c r="IG6" s="9" t="str">
        <f>IF(SUM(HU6:HX6)-HY6&gt;0,SUM(HU6:HX6)-HY6,"")</f>
        <v/>
      </c>
      <c r="IH6" s="9" t="str">
        <f>IF(SUM(IF6:IG6)&gt;0,SUM(IF6:IG6),"")</f>
        <v/>
      </c>
      <c r="II6" s="9" t="str">
        <f>IF(IB6&gt;0,IB6,"")</f>
        <v/>
      </c>
      <c r="IJ6" s="9" t="str">
        <f>IF(SUM(HZ6:IC6)-ID6&gt;0,SUM(HZ6:IC6)-ID6,"")</f>
        <v/>
      </c>
      <c r="IK6" s="9" t="str">
        <f>IF(SUM(IH6,IJ6)&gt;0,SUM(IH6,IJ6),"")</f>
        <v/>
      </c>
      <c r="IL6" s="18"/>
      <c r="IM6" s="18"/>
      <c r="IN6" s="18"/>
      <c r="IO6" s="18"/>
      <c r="IP6" s="18"/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7" t="str">
        <f>IF(IS6&gt;0,IS6,"")</f>
        <v/>
      </c>
      <c r="JB6" s="7" t="str">
        <f>IF(SUM(IL6:IO6)-IP6&gt;0,SUM(IL6:IO6)-IP6,"")</f>
        <v/>
      </c>
      <c r="JC6" s="7" t="str">
        <f>IF(SUM(IQ6:IT6)-IU6&gt;0,SUM(IQ6:IT6)-IU6,"")</f>
        <v/>
      </c>
      <c r="JD6" s="7" t="str">
        <f>IF(SUM(JB6:JC6)&gt;0,SUM(JB6:JC6),"")</f>
        <v/>
      </c>
      <c r="JE6" s="7" t="str">
        <f>IF(IX6&gt;0,IX6,"")</f>
        <v/>
      </c>
      <c r="JF6" s="7" t="str">
        <f>IF(SUM(IV6:IY6)-IZ6&gt;0,SUM(IV6:IY6)-IZ6,"")</f>
        <v/>
      </c>
      <c r="JG6" s="7" t="str">
        <f>IF(SUM(JD6,JF6)&gt;0,SUM(JD6,JF6),"")</f>
        <v/>
      </c>
      <c r="JH6" s="19"/>
      <c r="JI6" s="19"/>
      <c r="JJ6" s="19"/>
      <c r="JK6" s="19"/>
      <c r="JL6" s="19"/>
      <c r="JM6" s="19"/>
      <c r="JN6" s="19"/>
      <c r="JO6" s="19"/>
      <c r="JP6" s="19"/>
      <c r="JQ6" s="19"/>
      <c r="JR6" s="19"/>
      <c r="JS6" s="19"/>
      <c r="JT6" s="19"/>
      <c r="JU6" s="19"/>
      <c r="JV6" s="19"/>
      <c r="JW6" s="9" t="str">
        <f>IF(JO6&gt;0,JO6,"")</f>
        <v/>
      </c>
      <c r="JX6" s="9" t="str">
        <f>IF(SUM(JH6:JK6)-JL6&gt;0,SUM(JH6:JK6)-JL6,"")</f>
        <v/>
      </c>
      <c r="JY6" s="9" t="str">
        <f>IF(SUM(JM6:JP6)-JQ6&gt;0,SUM(JM6:JP6)-JQ6,"")</f>
        <v/>
      </c>
      <c r="JZ6" s="9" t="str">
        <f>IF(SUM(JX6:JY6)&gt;0,SUM(JX6:JY6),"")</f>
        <v/>
      </c>
      <c r="KA6" s="9" t="str">
        <f>IF(JT6&gt;0,JT6,"")</f>
        <v/>
      </c>
      <c r="KB6" s="9" t="str">
        <f>IF(SUM(JR6:JU6)-JV6&gt;0,SUM(JR6:JU6)-JV6,"")</f>
        <v/>
      </c>
      <c r="KC6" s="9" t="str">
        <f>IF(SUM(JZ6,KB6)&gt;0,SUM(JZ6,KB6),"")</f>
        <v/>
      </c>
      <c r="KD6" s="18"/>
      <c r="KE6" s="18"/>
      <c r="KF6" s="18"/>
      <c r="KG6" s="18"/>
      <c r="KH6" s="18"/>
      <c r="KI6" s="18"/>
      <c r="KJ6" s="18"/>
      <c r="KK6" s="18"/>
      <c r="KL6" s="18"/>
      <c r="KM6" s="18"/>
      <c r="KN6" s="18"/>
      <c r="KO6" s="18"/>
      <c r="KP6" s="18"/>
      <c r="KQ6" s="18"/>
      <c r="KR6" s="18"/>
      <c r="KS6" s="7" t="str">
        <f>IF(KK6&gt;0,KK6,"")</f>
        <v/>
      </c>
      <c r="KT6" s="7" t="str">
        <f>IF(SUM(KD6:KG6)-KH6&gt;0,SUM(KD6:KG6)-KH6,"")</f>
        <v/>
      </c>
      <c r="KU6" s="7" t="str">
        <f>IF(SUM(KI6:KL6)-KM6&gt;0,SUM(KI6:KL6)-KM6,"")</f>
        <v/>
      </c>
      <c r="KV6" s="7" t="str">
        <f>IF(SUM(KT6:KU6)&gt;0,SUM(KT6:KU6),"")</f>
        <v/>
      </c>
      <c r="KW6" s="7" t="str">
        <f>IF(KP6&gt;0,KP6,"")</f>
        <v/>
      </c>
      <c r="KX6" s="7" t="str">
        <f>IF(SUM(KN6:KQ6)-KR6&gt;0,SUM(KN6:KQ6)-KR6,"")</f>
        <v/>
      </c>
      <c r="KY6" s="7" t="str">
        <f>IF(SUM(KV6,KX6)&gt;0,SUM(KV6,KX6),"")</f>
        <v/>
      </c>
      <c r="KZ6" s="19"/>
      <c r="LA6" s="19"/>
      <c r="LB6" s="19"/>
      <c r="LC6" s="19"/>
      <c r="LD6" s="19"/>
      <c r="LE6" s="19"/>
      <c r="LF6" s="19"/>
      <c r="LG6" s="19"/>
      <c r="LH6" s="19"/>
      <c r="LI6" s="19"/>
      <c r="LJ6" s="19"/>
      <c r="LK6" s="19"/>
      <c r="LL6" s="19"/>
      <c r="LM6" s="19"/>
      <c r="LN6" s="19"/>
      <c r="LO6" s="9" t="str">
        <f>IF(LG6&gt;0,LG6,"")</f>
        <v/>
      </c>
      <c r="LP6" s="9" t="str">
        <f>IF(SUM(KZ6:LC6)-LD6&gt;0,SUM(KZ6:LC6)-LD6,"")</f>
        <v/>
      </c>
      <c r="LQ6" s="9" t="str">
        <f>IF(SUM(LE6:LH6)-LI6&gt;0,SUM(LE6:LH6)-LI6,"")</f>
        <v/>
      </c>
      <c r="LR6" s="9" t="str">
        <f>IF(SUM(LP6:LQ6)&gt;0,SUM(LP6:LQ6),"")</f>
        <v/>
      </c>
      <c r="LS6" s="9" t="str">
        <f>IF(LL6&gt;0,LL6,"")</f>
        <v/>
      </c>
      <c r="LT6" s="9" t="str">
        <f>IF(SUM(LJ6:LM6)-LN6&gt;0,SUM(LJ6:LM6)-LN6,"")</f>
        <v/>
      </c>
      <c r="LU6" s="9" t="str">
        <f>IF(SUM(LR6,LT6)&gt;0,SUM(LR6,LT6),"")</f>
        <v/>
      </c>
      <c r="LV6" s="18"/>
      <c r="LW6" s="18"/>
      <c r="LX6" s="18"/>
      <c r="LY6" s="18"/>
      <c r="LZ6" s="18"/>
      <c r="MA6" s="18"/>
      <c r="MB6" s="18"/>
      <c r="MC6" s="18"/>
      <c r="MD6" s="18"/>
      <c r="ME6" s="18"/>
      <c r="MF6" s="18"/>
      <c r="MG6" s="18"/>
      <c r="MH6" s="18"/>
      <c r="MI6" s="18"/>
      <c r="MJ6" s="18"/>
      <c r="MK6" s="7" t="str">
        <f>IF(MC6&gt;0,MC6,"")</f>
        <v/>
      </c>
      <c r="ML6" s="7" t="str">
        <f>IF(SUM(LV6:LY6)-LZ6&gt;0,SUM(LV6:LY6)-LZ6,"")</f>
        <v/>
      </c>
      <c r="MM6" s="7" t="str">
        <f>IF(SUM(MA6:MD6)-ME6&gt;0,SUM(MA6:MD6)-ME6,"")</f>
        <v/>
      </c>
      <c r="MN6" s="7" t="str">
        <f>IF(SUM(ML6:MM6)&gt;0,SUM(ML6:MM6),"")</f>
        <v/>
      </c>
      <c r="MO6" s="7" t="str">
        <f>IF(MH6&gt;0,MH6,"")</f>
        <v/>
      </c>
      <c r="MP6" s="7" t="str">
        <f>IF(SUM(MF6:MI6)-MJ6&gt;0,SUM(MF6:MI6)-MJ6,"")</f>
        <v/>
      </c>
      <c r="MQ6" s="7" t="str">
        <f>IF(SUM(MN6,MP6)&gt;0,SUM(MN6,MP6),"")</f>
        <v/>
      </c>
      <c r="MR6" s="19"/>
      <c r="MS6" s="19"/>
      <c r="MT6" s="19"/>
      <c r="MU6" s="19"/>
      <c r="MV6" s="19"/>
      <c r="MW6" s="19"/>
      <c r="MX6" s="19"/>
      <c r="MY6" s="19"/>
      <c r="MZ6" s="19"/>
      <c r="NA6" s="19"/>
      <c r="NB6" s="19"/>
      <c r="NC6" s="19"/>
      <c r="ND6" s="19"/>
      <c r="NE6" s="19"/>
      <c r="NF6" s="19"/>
      <c r="NG6" s="9" t="str">
        <f>IF(MY6&gt;0,MY6,"")</f>
        <v/>
      </c>
      <c r="NH6" s="9" t="str">
        <f>IF(SUM(MR6:MU6)-MV6&gt;0,SUM(MR6:MU6)-MV6,"")</f>
        <v/>
      </c>
      <c r="NI6" s="9" t="str">
        <f>IF(SUM(MW6:MZ6)-NA6&gt;0,SUM(MW6:MZ6)-NA6,"")</f>
        <v/>
      </c>
      <c r="NJ6" s="9" t="str">
        <f>IF(SUM(NH6:NI6)&gt;0,SUM(NH6:NI6),"")</f>
        <v/>
      </c>
      <c r="NK6" s="9" t="str">
        <f>IF(ND6&gt;0,ND6,"")</f>
        <v/>
      </c>
      <c r="NL6" s="9" t="str">
        <f>IF(SUM(NB6:NE6)-NF6&gt;0,SUM(NB6:NE6)-NF6,"")</f>
        <v/>
      </c>
      <c r="NM6" s="9" t="str">
        <f>IF(SUM(NJ6,NL6)&gt;0,SUM(NJ6,NL6),"")</f>
        <v/>
      </c>
      <c r="NN6" s="27">
        <f>IF($CV6="P",CB6,(CB6+AX6)/2)</f>
        <v>16.149999999999999</v>
      </c>
      <c r="NO6" s="27">
        <f>IF($CV6="P",CC6,(CC6+AY6)/2)</f>
        <v>9.4</v>
      </c>
      <c r="NP6" s="27">
        <f>IF($CV6="P",CD6,(CD6+AZ6)/2)</f>
        <v>0</v>
      </c>
      <c r="NQ6" s="27">
        <f>IF($CV6="P",CE6,(CE6+BA6)/2)</f>
        <v>14.65</v>
      </c>
      <c r="NR6" s="27">
        <f>IF($CV6="P",CF6,(CF6+BB6)/2)</f>
        <v>0</v>
      </c>
      <c r="NS6" s="27">
        <f>IF($CV6="P",CG6,(CG6+BC6)/2)</f>
        <v>6.9499999999999993</v>
      </c>
      <c r="NT6" s="27">
        <f>IF($CV6="P",CH6,(CH6+BD6)/2)</f>
        <v>5.1499999999999995</v>
      </c>
      <c r="NU6" s="27">
        <f>IF($CV6="P",CI6,(CI6+BE6)/2)</f>
        <v>7.5</v>
      </c>
      <c r="NV6" s="27">
        <f>IF($CV6="P",CJ6,(CJ6+BF6)/2)</f>
        <v>8.5549999999999997</v>
      </c>
      <c r="NW6" s="27">
        <f>IF($CV6="P",CK6,(CK6+BG6)/2)</f>
        <v>0</v>
      </c>
      <c r="NX6" s="27">
        <f>IF($CV6="P",CL6,(CL6+BH6)/2)</f>
        <v>0</v>
      </c>
      <c r="NY6" s="27">
        <f>IF($CV6="P",CM6,(CM6+BI6)/2)</f>
        <v>0</v>
      </c>
      <c r="NZ6" s="27">
        <f>IF($CV6="P",CN6,(CN6+BJ6)/2)</f>
        <v>0</v>
      </c>
      <c r="OA6" s="27">
        <f>IF($CV6="P",CO6,(CO6+BK6)/2)</f>
        <v>0</v>
      </c>
      <c r="OB6" s="27">
        <f>IF($CV6="P",CP6,(CP6+BL6)/2)</f>
        <v>0</v>
      </c>
      <c r="OC6" s="27">
        <f>IF($CV6="P",CQ6,(CQ6+BM6)/2)</f>
        <v>6.9</v>
      </c>
      <c r="OD6" s="27">
        <f>IF($CV6="P",CR6,(CR6+BN6)/2)</f>
        <v>4.45</v>
      </c>
      <c r="OE6" s="27">
        <f>IF($CV6="P",CS6,(CS6+BO6)/2)</f>
        <v>6.65</v>
      </c>
      <c r="OF6" s="27">
        <f>IF($CV6="P",CT6,(CT6+BP6)/2)</f>
        <v>7.125</v>
      </c>
      <c r="OG6" s="27">
        <f>IF($CV6="P",CU6,(CU6+BQ6)/2)</f>
        <v>0</v>
      </c>
      <c r="OH6" s="32" t="s">
        <v>44</v>
      </c>
      <c r="OI6" s="7">
        <f>IF(SUM(NN6:NQ6)-NR6&gt;0,SUM(NN6:NQ6)-NR6,"")</f>
        <v>40.199999999999996</v>
      </c>
      <c r="OJ6" s="7">
        <f>IF(NU6&gt;0,NU6,"")</f>
        <v>7.5</v>
      </c>
      <c r="OK6" s="7">
        <f>IF(SUM(NS6:NV6)-NW6&gt;0,SUM(NS6:NV6)-NW6,"")</f>
        <v>28.154999999999998</v>
      </c>
      <c r="OL6" s="7" t="str">
        <f>IF(NZ6&gt;0,NZ6,"")</f>
        <v/>
      </c>
      <c r="OM6" s="7" t="str">
        <f>IF(SUM(NX6:OA6)-OB6&gt;0,SUM(NX6:OA6)-OB6,"")</f>
        <v/>
      </c>
      <c r="ON6" s="7">
        <f>IF(OR(OI6&lt;&gt;"",OK6&lt;&gt;"",OM6&lt;&gt;""),OI6+MAX(OK6,OM6),"")</f>
        <v>68.35499999999999</v>
      </c>
      <c r="OO6" s="7">
        <f>IF(OE6&gt;0,OE6,"")</f>
        <v>6.65</v>
      </c>
      <c r="OP6" s="7">
        <f t="shared" ref="OP6" si="4">IF(SUM(OC6:OF6)-OG6&gt;0,SUM(OC6:OF6)-OG6,"")</f>
        <v>25.125</v>
      </c>
      <c r="OQ6" s="7">
        <f t="shared" ref="OQ6" si="5">IF(SUM(ON6,OP6)&gt;0,SUM(ON6,OP6),"")</f>
        <v>93.47999999999999</v>
      </c>
    </row>
    <row r="7" spans="1:407" x14ac:dyDescent="0.2">
      <c r="A7" s="4" t="str" cm="1">
        <f t="array" ref="A7">IF(AND(H7&lt;&gt;"",H7&lt;&gt;"No DD"),SUMPRODUCT((H$4:H$9&lt;&gt;"")*(H$4:H$9&lt;&gt;"No DD")*(E$4:E$9&gt;E7))+1,IF(H7="No DD",SUMPRODUCT((H$4:H$9="No DD")*(E$4:E$9&gt;E7))+1+SUMPRODUCT((H$4:H$9&lt;&gt;"")*(H$4:H$9&lt;&gt;"No DD")),""))</f>
        <v/>
      </c>
      <c r="B7" s="5" t="s">
        <v>96</v>
      </c>
      <c r="C7" s="4" t="s">
        <v>66</v>
      </c>
      <c r="D7" s="4">
        <v>2007</v>
      </c>
      <c r="E7" s="10">
        <f>SUM(I7:Q7)</f>
        <v>204.95</v>
      </c>
      <c r="F7" s="3" t="str">
        <f>IF(OR(AND(AP7&gt;=AW$11,AT7&gt;=AW$15,AO7&lt;&gt;"",AN7=""),AND(BT7&gt;=CA$11,BX7&gt;=CA$15,BS7&lt;&gt;"",BR7=""),AND(CX7&gt;=DE$11,DB7&gt;=DE$15,CW7&lt;&gt;"",CV7=""),AND(DY7&gt;=EE$11,EB7&gt;=EE$15,DY7&lt;&gt;""),AND(EU7&gt;=FA$11,EX7&gt;=FA$15,EU7&lt;&gt;""),AND(FQ7&gt;=FW$11,FT7&gt;=FW$15,FQ7&lt;&gt;""),AND(GM7&gt;=GS$11,GP7&gt;=GS$15,GM7&lt;&gt;""),AND(HI7&gt;=HO$11,HL7&gt;=HO$15,HI7&lt;&gt;""),AND(IE7&gt;=IK$11,IH7&gt;=IK$15,IE7&lt;&gt;""),AND(JA7&gt;=JG$11,JD7&gt;=JG$15,JA7&lt;&gt;""),AND(JW7&gt;=KC$11,JZ7&gt;=KC$15,JW7&lt;&gt;""),AND(KS7&gt;=KY$11,KV7&gt;=KY$15,KS7&lt;&gt;""),AND(LO7&gt;=LU$11,LR7&gt;=LU$15,LO7&lt;&gt;""),AND(MK7&gt;=MQ$11,MN7&gt;=MQ$15,MK7&lt;&gt;""),AND(NG7&gt;=NM$11,NJ7&gt;=NM$15,NG7&lt;&gt;"")),"P","")</f>
        <v/>
      </c>
      <c r="G7" s="3" t="str">
        <f>IF(OR(AND(AT7&gt;=AW$15,AO7&lt;&gt;"",AN7=""),AND(BX7&gt;=CA$15,BS7&lt;&gt;"",BR7=""),AND(DB7&gt;=DE$15,CW7&lt;&gt;"",CV7=""),AND(EB7&gt;=EE$15,DY7&lt;&gt;""),AND(EX7&gt;=FA$15,EU7&lt;&gt;""),AND(FT7&gt;=FW$15,FQ7&lt;&gt;""),AND(GP7&gt;=GS$15,GM7&lt;&gt;""),AND(HL7&gt;=HO$15,HI7&lt;&gt;""),AND(IH7&gt;=IK$15,IE7&lt;&gt;""),AND(JD7&gt;=JG$15,JA7&lt;&gt;""),AND(JZ7&gt;=KC$15,JW7&lt;&gt;""),AND(KV7&gt;=KY$15,KS7&lt;&gt;""),AND(LR7&gt;=LU$15,LO7&lt;&gt;""),AND(MN7&gt;=MQ$15,MK7&lt;&gt;""),AND(NJ7&gt;=NM$15,NG7&lt;&gt;"")),"P","")</f>
        <v/>
      </c>
      <c r="H7" s="47" t="str">
        <f>IF(OR(AND(AP7&gt;=AW$14,AQ7&gt;=AW$18,AP7&lt;&gt;"",AN7=""),AND(AU7&gt;=AW$14,AV7&gt;=AW$18,AU7&lt;&gt;"",AN7=""),AND(BT7&gt;=CA$14,BU7&gt;=CA$18,BT7&lt;&gt;"",BR7=""),AND(BY7&gt;=CA$14,BZ7&gt;=CA$18,BY7&lt;&gt;"",BR7=""),AND(CX7&gt;=DE$14,CY7&gt;=DE$18,CX7&lt;&gt;"",CV7=""),AND(DC7&gt;=DE$14,DD7&gt;=DE$18,DC7&lt;&gt;"",CV7=""),AND(DY7&gt;=EE$14,EA7&gt;=EE$18,DY7&lt;&gt;""),AND(EC7&gt;=EE$14,ED7&gt;=EE$18,EC7&lt;&gt;""),AND(EU7&gt;=FA$14,EW7&gt;=FA$18,EU7&lt;&gt;""),AND(EY7&gt;=FA$14,EZ7&gt;=FA$18,EY7&lt;&gt;""),AND(FQ7&gt;=FW$14,FS7&gt;=FW$18,FQ7&lt;&gt;""),AND(FU7&gt;=FW$14,FV7&gt;=FW$18,FU7&lt;&gt;""),AND(GM7&gt;=GS$14,GO7&gt;=GS$18,GM7&lt;&gt;""),AND(GQ7&gt;=GS$14,GR7&gt;=GS$18,GQ7&lt;&gt;""),AND(HI7&gt;=HO$14,HK7&gt;=HO$18,HI7&lt;&gt;""),AND(HM7&gt;=HO$14,HN7&gt;=HO$18,HM7&lt;&gt;""),AND(IE7&gt;=IK$14,IG7&gt;=IK$18,IE7&lt;&gt;""),AND(II7&gt;=IK$14,IJ7&gt;=IK$18,II7&lt;&gt;""),AND(JA7&gt;=JG$14,JC7&gt;=JG$18,JA7&lt;&gt;""),AND(JE7&gt;=JG$14,JF7&gt;=JG$18,JE7&lt;&gt;""),AND(JW7&gt;=KC$14,JY7&gt;=KC$18,JW7&lt;&gt;""),AND(KA7&gt;=KC$14,KB7&gt;=KC$18,KA7&lt;&gt;""),AND(KS7&gt;=KY$14,KU7&gt;=KY$18,KS7&lt;&gt;""),AND(KW7&gt;=KY$14,KX7&gt;=KY$18,KW7&lt;&gt;""),AND(LO7&gt;=LU$14,LQ7&gt;=LU$18,LO7&lt;&gt;""),AND(LS7&gt;=LU$14,LT7&gt;=LU$18,LS7&lt;&gt;""),AND(MK7&gt;=MQ$14,MM7&gt;=MQ$18,MK7&lt;&gt;""),AND(MO7&gt;=MQ$14,MP7&gt;=MQ$18,MO7&lt;&gt;""),AND(NG7&gt;=NM$14,NI7&gt;=NM$18,NG7&lt;&gt;""),AND(NK7&gt;=NM$14,NL7&gt;=NM$18,NK7&lt;&gt;"")),"Merit",IF(OR(AND(AP7&gt;=AW$13,AT7&gt;=AW$17,AO7&lt;&gt;"",AN7=""),AND(BT7&gt;=CA$13,BX7&gt;=CA$17,BS7&lt;&gt;"",BR7=""),AND(CX7&gt;=DE$13,DB7&gt;=DE$17,CW7&lt;&gt;"",CV7=""),AND(DY7&gt;=EE$13,EB7&gt;=EE$17,DY7&lt;&gt;""),AND(EU7&gt;=FA$13,EX7&gt;=FA$17,EU7&lt;&gt;""),AND(FQ7&gt;=FW$13,FT7&gt;=FW$17,FQ7&lt;&gt;""),AND(GM7&gt;=GS$13,GP7&gt;=GS$17,GM7&lt;&gt;""),AND(HI7&gt;=HO$13,HL7&gt;=HO$17,HI7&lt;&gt;""),AND(IE7&gt;=IK$13,IH7&gt;=IK$17,IE7&lt;&gt;""),AND(JA7&gt;=JG$13,JD7&gt;=JG$17,JA7&lt;&gt;""),AND(JW7&gt;=KC$13,JZ7&gt;=KC$17,JW7&lt;&gt;""),AND(KS7&gt;=KY$13,KV7&gt;=KY$17,KS7&lt;&gt;""),AND(LO7&gt;=LU$13,LR7&gt;=LU$17,LO7&lt;&gt;""),AND(MK7&gt;=MQ$13,MN7&gt;=MQ$17,MK7&lt;&gt;""),AND(NG7&gt;=NM$13,NJ7&gt;=NM$17,NG7&lt;&gt;"")),"Excellence",IF(OR(AND(AP7&gt;=AW$11,AT7&gt;=AW$15,AO7&lt;&gt;"",AN7=""),AND(BT7&gt;=CA$11,BX7&gt;=CA$15,BS7&lt;&gt;"",BR7=""),AND(CX7&gt;=DE$11,DB7&gt;=DE$15,CW7&lt;&gt;"",CV7=""),AND(DY7&gt;=EE$11,EB7&gt;=EE$15,DY7&lt;&gt;""),AND(EU7&gt;=FA$11,EX7&gt;=FA$15,EU7&lt;&gt;""),AND(FQ7&gt;=FW$11,FT7&gt;=FW$15,FQ7&lt;&gt;""),AND(GM7&gt;=GS$11,GP7&gt;=GS$15,GM7&lt;&gt;""),AND(HI7&gt;=HO$11,HL7&gt;=HO$15,HI7&lt;&gt;""),AND(IE7&gt;=IK$11,IH7&gt;=IK$15,IE7&lt;&gt;""),AND(JA7&gt;=JG$11,JD7&gt;=JG$15,JA7&lt;&gt;""),AND(JW7&gt;=KC$11,JZ7&gt;=KC$15,JW7&lt;&gt;""),AND(KS7&gt;=KY$11,KV7&gt;=KY$15,KS7&lt;&gt;""),AND(LO7&gt;=LU$11,LR7&gt;=LU$15,LO7&lt;&gt;""),AND(MK7&gt;=MQ$11,MN7&gt;=MQ$15,MK7&lt;&gt;""),AND(NG7&gt;=NM$11,NJ7&gt;=NM$15,NG7&lt;&gt;"")),"National Team",IF(G7="P","No DD",""))))</f>
        <v/>
      </c>
      <c r="I7" s="9">
        <f>IF(MAX(AT7,BX7,DB7)&gt;0,MAX(AT7,BX7,DB7),0)</f>
        <v>88.93</v>
      </c>
      <c r="J7" s="9" t="str">
        <f>IF(I7=0,"",IF(I7=DB7,$CB$1,IF(I7=BX7,$AX$1,IF(I7=AT7,$T$1,""))))</f>
        <v>2023 Nationals</v>
      </c>
      <c r="K7" s="9">
        <f>IF($I7=$AT7,MAX(BS7,CW7),IF($I7=$BX7,MAX(AO7,CW7),IF($I7=$DB7,MAX(AO7,BS7),MAX(AO7,BS7,CW7))))</f>
        <v>33.370000000000005</v>
      </c>
      <c r="L7" s="9" t="str">
        <f>IF(K7=0,"",IF(AND(K7=CW7,$J7&lt;&gt;$CB$1),$CB$1,IF(AND(K7=BS7,$J7&lt;&gt;$AX$1),$AX$1,IF(AND(K7=AO7,$J7&lt;&gt;$T$1),$T$1,""))))</f>
        <v>2023 3rd Domestic Trial</v>
      </c>
      <c r="M7" s="9">
        <f>IF(I7-N(AO7)=AQ7,MAX(AS7,BU7,BW7,CY7,DA7),IF(I7-N(AO7)=AS7,MAX(AQ7,BU7,BW7,CY7,DA7),IF(I7-N(BS7)=BU7,MAX(AQ7,AS7,BW7,CY7,DA7),IF(I7-N(BS7)=BW7,MAX(AQ7,AS7,BU7,CY7,DA7),IF(I7-N(CW7)=CY7,MAX(AQ7,AS7,BU7,BW7,DA7),IF(I7-N(CW7)=DA7,MAX(AQ7,AS7,BU7,BW7,CY7),MAX(AQ7,AS7,BU7,BW7,CY7,DA7)))))))</f>
        <v>25.279999999999998</v>
      </c>
      <c r="N7" s="9" t="str">
        <f>IF(M7=0,"",IF(AND(OR(M7=DA7,M7=CY7),$J7&lt;&gt;$CB$1),$CB$1,IF(AND(OR(M7=BW7,M7=BU7),$J7&lt;&gt;$AX$1),$AX$1,IF(AND(OR(M7=AS7,M7=AQ7),$J7&lt;&gt;$T$1),$T$1,""))))</f>
        <v>2023 3rd Domestic Trial</v>
      </c>
      <c r="O7" s="9">
        <f>MAX(AV7,BZ7,DD7)</f>
        <v>50</v>
      </c>
      <c r="P7" s="9" t="str">
        <f>IF(O7=0,"",IF(O7=DD7,$CB$1,IF(O7=BZ7,$AX$1,IF(O7=AV7,$T$1,""))))</f>
        <v>2023 3rd Domestic Trial</v>
      </c>
      <c r="Q7" s="9">
        <f>IF(MAX(DF7,DG7,DH7,DI7)&gt;0,MAX(DF7,DG7,DH7,DI7),"")</f>
        <v>7.3699999999999903</v>
      </c>
      <c r="R7" s="14" t="str">
        <f>IF(Q7="","",IF(Q7=DF7,"(Vol 1)",IF(Q7=DG7,"(Vol 2)",IF(Q7=DH7,"(Prelim)",IF(Q7=DI7,"(Final)")))))</f>
        <v>(Vol 1)</v>
      </c>
      <c r="S7" s="9" t="str">
        <f>IF(Q7="","",IF(Q7=DF7,IF(Q7+IF(K7="",0,K7)=NH7,$MR$1,IF(Q7+IF(K7="",0,K7)=ML7,$LV$1,IF(Q7+IF(K7="",0,K7)=LP7,$KZ$1,IF(Q7+IF(K7="",0,K7)=KT7,$KD$1,IF(Q7+IF(K7="",0,K7)=JX7,$JH$1,IF(Q7+IF(K7="",0,K7)=JB7,$IL$1,IF(Q7+IF(K7="",0,K7)=IF7,$HP$1,IF(Q7+IF(K7="",0,K7)=HJ7,$GT$1,IF(Q7+IF(K7="",0,K7)=GN7,$FX$1,IF(Q7+IF(K7="",0,K7)=FR7,$FB$1,IF(Q7+IF(K7="",0,K7)=EV7,$EF$1,IF(Q7+IF(K7="",0,K7)=DZ7,$DJ$1)))))))))))),IF(Q7=DG7,IF(Q7+IF(M7="",0,M7)=NI7,$MR$1,IF(Q7+IF(M7="",0,M7)=MM7,$LV$1,IF(Q7+IF(M7="",0,M7)=LQ7,$KZ$1,IF(Q7+IF(M7="",0,M7)=KU7,$KD$1,IF(Q7+IF(M7="",0,M7)=JY7,$JH$1,IF(Q7+IF(M7="",0,M7)=JC7,$IL$1,IF(Q7+IF(M7="",0,M7)=IG7,$HP$1,IF(Q7+IF(M7="",0,M7)=HK7,$GT$1,IF(Q7+IF(M7="",0,M7)=GO7,$FX$1,IF(Q7+IF(M7="",0,M7)=FS7,$FB$1,IF(Q7+IF(M7="",0,M7)=EW7,$EF$1,IF(Q7+IF(M7="",0,M7)=EA7,$DJ$1)))))))))))),IF(Q7=DH7,IF(Q7+IF(I7="",0,I7)=NJ7,$MR$1,IF(Q7+IF(I7="",0,I7)=MN7,$LV$1,IF(Q7+IF(I7="",0,I7)=LR7,$KZ$1,IF(Q7+IF(I7="",0,I7)=KV7,$KD$1,IF(Q7+IF(I7="",0,I7)=JZ7,$JH$1,IF(Q7+IF(I7="",0,I7)=JD7,$IL$1,IF(Q7+IF(I7="",0,I7)=IH7,$HP$1,IF(Q7+IF(I7="",0,I7)=HL7,$GT$1,IF(Q7+IF(I7="",0,I7)=GP7,$FX$1,IF(Q7+IF(I7="",0,I7)=FT7,$FB$1,IF(Q7+IF(I7="",0,I7)=EX7,$EF$1,IF(Q7+IF(I7="",0,I7)=EB7,$DJ$1)))))))))))),IF(Q7=DI7,IF(Q7+IF(O7="",0,O7)=NL7,$MR$1,IF(Q7+IF(O7="",0,O7)=MP7,$LV$1,IF(Q7+IF(O7="",0,O7)=LT7,$KZ$1,IF(Q7+IF(O7="",0,O7)=KX7,$KD$1,IF(Q7+IF(O7="",0,O7)=KB7,$JH$1,IF(Q7+IF(O7="",0,O7)=JF7,$IL$1,IF(Q7+IF(O7="",0,O7)=IJ7,$HP$1,IF(Q7+IF(O7="",0,O7)=HN7,$GT$1,IF(Q7+IF(O7="",0,O7)=GR7,$FX$1,IF(Q7+IF(O7="",0,O7)=FV7,$FB$1,IF(Q7+IF(O7="",0,O7)=EZ7,$EF$1,IF(Q7+IF(O7="",0,O7)=ED7,$DJ$1)))))))))))))))))</f>
        <v>2023 WAGC (Nov 16)</v>
      </c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27"/>
      <c r="AN7" s="32"/>
      <c r="AO7" s="7" t="str">
        <f>IF(SUM(T7:W7)-X7&gt;0,SUM(T7:W7)-X7,"")</f>
        <v/>
      </c>
      <c r="AP7" s="7" t="str">
        <f>IF(AA7&gt;0,AA7,"")</f>
        <v/>
      </c>
      <c r="AQ7" s="7" t="str">
        <f>IF(SUM(Y7:AB7)-AC7&gt;0,SUM(Y7:AB7)-AC7,"")</f>
        <v/>
      </c>
      <c r="AR7" s="7" t="str">
        <f>IF(AF7&gt;0,AF7,"")</f>
        <v/>
      </c>
      <c r="AS7" s="7" t="str">
        <f>IF(SUM(AD7:AG7)-AH7&gt;0,SUM(AD7:AG7)-AH7,"")</f>
        <v/>
      </c>
      <c r="AT7" s="7" t="str">
        <f>IF(AO7="",IF(MAX(AQ7,AS7)&gt;0,MAX(AQ7,AS7),""),MAX(AQ7,AS7)+AO7)</f>
        <v/>
      </c>
      <c r="AU7" s="7" t="str">
        <f>IF(AK7&gt;0,AK7,"")</f>
        <v/>
      </c>
      <c r="AV7" s="7" t="str">
        <f>IF(SUM(AI7:AL7)-AM7&gt;0,SUM(AI7:AL7)-AM7,"")</f>
        <v/>
      </c>
      <c r="AW7" s="7" t="str">
        <f>IF(SUM(AT7,AV7)&gt;0,SUM(AT7,AV7),"")</f>
        <v/>
      </c>
      <c r="AX7" s="23">
        <v>17.3</v>
      </c>
      <c r="AY7" s="23">
        <v>9.6999999999999993</v>
      </c>
      <c r="AZ7" s="23">
        <v>0</v>
      </c>
      <c r="BA7" s="23">
        <v>14.99</v>
      </c>
      <c r="BB7" s="23">
        <v>0</v>
      </c>
      <c r="BC7" s="23">
        <v>11.1</v>
      </c>
      <c r="BD7" s="23">
        <v>9.1</v>
      </c>
      <c r="BE7" s="23">
        <v>12.7</v>
      </c>
      <c r="BF7" s="23">
        <v>14.04</v>
      </c>
      <c r="BG7" s="23">
        <v>0</v>
      </c>
      <c r="BH7" s="23"/>
      <c r="BI7" s="23"/>
      <c r="BJ7" s="23"/>
      <c r="BK7" s="23"/>
      <c r="BL7" s="23"/>
      <c r="BM7" s="23">
        <v>4.2</v>
      </c>
      <c r="BN7" s="23">
        <v>2.8</v>
      </c>
      <c r="BO7" s="23">
        <v>4.9000000000000004</v>
      </c>
      <c r="BP7" s="23">
        <v>5</v>
      </c>
      <c r="BQ7" s="23">
        <v>0</v>
      </c>
      <c r="BR7" s="33"/>
      <c r="BS7" s="9">
        <f>IF(SUM(AX7:BA7)-BB7&gt;0,SUM(AX7:BA7)-BB7,"")</f>
        <v>41.99</v>
      </c>
      <c r="BT7" s="9">
        <f>IF(BE7&gt;0,BE7,"")</f>
        <v>12.7</v>
      </c>
      <c r="BU7" s="9">
        <f>IF(SUM(BC7:BF7)-BG7&gt;0,SUM(BC7:BF7)-BG7,"")</f>
        <v>46.94</v>
      </c>
      <c r="BV7" s="9" t="str">
        <f>IF(BJ7&gt;0,BJ7,"")</f>
        <v/>
      </c>
      <c r="BW7" s="9" t="str">
        <f>IF(SUM(BH7:BK7)-BL7&gt;0,SUM(BH7:BK7)-BL7,"")</f>
        <v/>
      </c>
      <c r="BX7" s="9">
        <f>IF(BS7="",IF(MAX(BU7,BW7)&gt;0,MAX(BU7,BW7),""),MAX(BU7,BW7)+BS7)</f>
        <v>88.93</v>
      </c>
      <c r="BY7" s="9">
        <f>IF(BO7&gt;0,BO7,"")</f>
        <v>4.9000000000000004</v>
      </c>
      <c r="BZ7" s="9">
        <f>IF(SUM(BM7:BP7)-BQ7&gt;0,SUM(BM7:BP7)-BQ7,"")</f>
        <v>16.899999999999999</v>
      </c>
      <c r="CA7" s="9">
        <f>IF(SUM(BX7,BZ7)&gt;0,SUM(BX7,BZ7),"")</f>
        <v>105.83000000000001</v>
      </c>
      <c r="CB7" s="27">
        <v>13.3</v>
      </c>
      <c r="CC7" s="27">
        <v>7.5</v>
      </c>
      <c r="CD7" s="27">
        <v>0</v>
      </c>
      <c r="CE7" s="27">
        <v>12.57</v>
      </c>
      <c r="CF7" s="27">
        <v>0</v>
      </c>
      <c r="CG7" s="27">
        <v>6.6</v>
      </c>
      <c r="CH7" s="27">
        <v>4.3</v>
      </c>
      <c r="CI7" s="27">
        <v>6.7</v>
      </c>
      <c r="CJ7" s="27">
        <v>7.68</v>
      </c>
      <c r="CK7" s="27">
        <v>0</v>
      </c>
      <c r="CL7" s="27"/>
      <c r="CM7" s="27"/>
      <c r="CN7" s="27"/>
      <c r="CO7" s="27"/>
      <c r="CP7" s="27"/>
      <c r="CQ7" s="27">
        <v>12.9</v>
      </c>
      <c r="CR7" s="27">
        <v>9</v>
      </c>
      <c r="CS7" s="27">
        <v>13.5</v>
      </c>
      <c r="CT7" s="27">
        <v>14.6</v>
      </c>
      <c r="CU7" s="27">
        <v>0</v>
      </c>
      <c r="CV7" s="32"/>
      <c r="CW7" s="7">
        <f>IF(SUM(CB7:CE7)-CF7&gt;0,SUM(CB7:CE7)-CF7,"")</f>
        <v>33.370000000000005</v>
      </c>
      <c r="CX7" s="7">
        <f>IF(CI7&gt;0,CI7,"")</f>
        <v>6.7</v>
      </c>
      <c r="CY7" s="7">
        <f>IF(SUM(CG7:CJ7)-CK7&gt;0,SUM(CG7:CJ7)-CK7,"")</f>
        <v>25.279999999999998</v>
      </c>
      <c r="CZ7" s="7" t="str">
        <f>IF(CN7&gt;0,CN7,"")</f>
        <v/>
      </c>
      <c r="DA7" s="7" t="str">
        <f>IF(SUM(CL7:CO7)-CP7&gt;0,SUM(CL7:CO7)-CP7,"")</f>
        <v/>
      </c>
      <c r="DB7" s="7">
        <f>IF(CW7="",IF(MAX(CY7,DA7)&gt;0,MAX(CY7,DA7),""),MAX(CY7,DA7)+CW7)</f>
        <v>58.650000000000006</v>
      </c>
      <c r="DC7" s="7">
        <f>IF(CS7&gt;0,CS7,"")</f>
        <v>13.5</v>
      </c>
      <c r="DD7" s="7">
        <f>IF(SUM(CQ7:CT7)-CU7&gt;0,SUM(CQ7:CT7)-CU7,"")</f>
        <v>50</v>
      </c>
      <c r="DE7" s="7">
        <f>IF(SUM(DB7,DD7)&gt;0,SUM(DB7,DD7),"")</f>
        <v>108.65</v>
      </c>
      <c r="DF7" s="13">
        <f>IF(MAX(DZ7,EV7,FR7,GN7,HJ7,IF7,JB7,JX7,KT7,LP7,ML7,NH7)-IF(K7="",0,K7)&gt;0.001,MAX(DZ7,EV7,FR7,GN7,HJ7,IF7,JB7,JX7,KT7,LP7,ML7,NH7)-IF(K7="",0,K7),"")</f>
        <v>7.3699999999999903</v>
      </c>
      <c r="DG7" s="13" t="str">
        <f>IF(MAX(EA7,EW7,FS7,GO7,HK7,IG7,JC7,JY7,KU7,LQ7,MM7,NI7)-IF(M7="",0,M7)&gt;0.001,MAX(EA7,EW7,FS7,GO7,HK7,IG7,JC7,JY7,KU7,LQ7,MM7,NI7)-IF(M7="",0,M7),"")</f>
        <v/>
      </c>
      <c r="DH7" s="13" t="str">
        <f>IF(MAX(EB7,EX7,FT7,GP7,HL7,IH7,JD7,JZ7,KV7,LR7,MN7,NJ7)-IF(I7="",0,I7)&gt;0.001,MAX(EB7,EX7,FT7,GP7,HL7,IH7,JD7,JZ7,KV7,LR7,MN7,NJ7)-IF(I7="",0,I7),"")</f>
        <v/>
      </c>
      <c r="DI7" s="13" t="str">
        <f>IF(MAX(ED7,EZ7,FV7,GR7,HN7,IJ7,JF7,KB7,KX7,LT7,MP7,NL7)-IF(O7="",0,O7)&gt;0.001,MAX(ED7,EZ7,FV7,GR7,HN7,IJ7,JF7,KB7,KX7,LT7,MP7,NL7)-IF(O7="",0,O7),"")</f>
        <v/>
      </c>
      <c r="DJ7" s="18"/>
      <c r="DK7" s="18"/>
      <c r="DL7" s="18"/>
      <c r="DM7" s="18"/>
      <c r="DN7" s="18"/>
      <c r="DO7" s="18"/>
      <c r="DP7" s="18"/>
      <c r="DQ7" s="18"/>
      <c r="DR7" s="18"/>
      <c r="DS7" s="18"/>
      <c r="DT7" s="18"/>
      <c r="DU7" s="18"/>
      <c r="DV7" s="18"/>
      <c r="DW7" s="18"/>
      <c r="DX7" s="18"/>
      <c r="DY7" s="7" t="str">
        <f>IF(DQ7&gt;0,DQ7,"")</f>
        <v/>
      </c>
      <c r="DZ7" s="7" t="str">
        <f>IF(SUM(DJ7:DM7)-DN7&gt;0,SUM(DJ7:DM7)-DN7,"")</f>
        <v/>
      </c>
      <c r="EA7" s="7" t="str">
        <f>IF(SUM(DO7:DR7)-DS7&gt;0,SUM(DO7:DR7)-DS7,"")</f>
        <v/>
      </c>
      <c r="EB7" s="7" t="str">
        <f>IF(SUM(DZ7:EA7)&gt;0,SUM(DZ7:EA7),"")</f>
        <v/>
      </c>
      <c r="EC7" s="7" t="str">
        <f>IF(DV7&gt;0,DV7,"")</f>
        <v/>
      </c>
      <c r="ED7" s="7" t="str">
        <f>IF(SUM(DT7:DW7)-DX7&gt;0,SUM(DT7:DW7)-DX7,"")</f>
        <v/>
      </c>
      <c r="EE7" s="7" t="str">
        <f>IF(SUM(EB7,ED7)&gt;0,SUM(EB7,ED7),"")</f>
        <v/>
      </c>
      <c r="EF7" s="19"/>
      <c r="EG7" s="19"/>
      <c r="EH7" s="19"/>
      <c r="EI7" s="19"/>
      <c r="EJ7" s="19"/>
      <c r="EK7" s="19"/>
      <c r="EL7" s="19"/>
      <c r="EM7" s="19"/>
      <c r="EN7" s="19"/>
      <c r="EO7" s="19"/>
      <c r="EP7" s="19"/>
      <c r="EQ7" s="19"/>
      <c r="ER7" s="19"/>
      <c r="ES7" s="19"/>
      <c r="ET7" s="19"/>
      <c r="EU7" s="9" t="str">
        <f>IF(EM7&gt;0,EM7,"")</f>
        <v/>
      </c>
      <c r="EV7" s="9" t="str">
        <f>IF(SUM(EF7:EI7)-EJ7&gt;0,SUM(EF7:EI7)-EJ7,"")</f>
        <v/>
      </c>
      <c r="EW7" s="9" t="str">
        <f>IF(SUM(EK7:EN7)-EO7&gt;0,SUM(EK7:EN7)-EO7,"")</f>
        <v/>
      </c>
      <c r="EX7" s="9" t="str">
        <f>IF(SUM(EV7:EW7)&gt;0,SUM(EV7:EW7),"")</f>
        <v/>
      </c>
      <c r="EY7" s="9" t="str">
        <f>IF(ER7&gt;0,ER7,"")</f>
        <v/>
      </c>
      <c r="EZ7" s="9" t="str">
        <f>IF(SUM(EP7:ES7)-ET7&gt;0,SUM(EP7:ES7)-ET7,"")</f>
        <v/>
      </c>
      <c r="FA7" s="9" t="str">
        <f>IF(SUM(EX7,EZ7)&gt;0,SUM(EX7,EZ7),"")</f>
        <v/>
      </c>
      <c r="FB7" s="18"/>
      <c r="FC7" s="18"/>
      <c r="FD7" s="18"/>
      <c r="FE7" s="18"/>
      <c r="FF7" s="18"/>
      <c r="FG7" s="18"/>
      <c r="FH7" s="18"/>
      <c r="FI7" s="18"/>
      <c r="FJ7" s="18"/>
      <c r="FK7" s="18"/>
      <c r="FL7" s="18">
        <v>10.4</v>
      </c>
      <c r="FM7" s="18">
        <v>7.4</v>
      </c>
      <c r="FN7" s="18">
        <v>10.6</v>
      </c>
      <c r="FO7" s="18">
        <v>11.99</v>
      </c>
      <c r="FP7" s="18">
        <v>0</v>
      </c>
      <c r="FQ7" s="7" t="str">
        <f>IF(FI7&gt;0,FI7,"")</f>
        <v/>
      </c>
      <c r="FR7" s="7" t="str">
        <f>IF(SUM(FB7:FE7)-FF7&gt;0,SUM(FB7:FE7)-FF7,"")</f>
        <v/>
      </c>
      <c r="FS7" s="7" t="str">
        <f>IF(SUM(FG7:FJ7)-FK7&gt;0,SUM(FG7:FJ7)-FK7,"")</f>
        <v/>
      </c>
      <c r="FT7" s="7" t="str">
        <f>IF(SUM(FR7:FS7)&gt;0,SUM(FR7:FS7),"")</f>
        <v/>
      </c>
      <c r="FU7" s="7">
        <f>IF(FN7&gt;0,FN7,"")</f>
        <v>10.6</v>
      </c>
      <c r="FV7" s="7">
        <f>IF(SUM(FL7:FO7)-FP7&gt;0,SUM(FL7:FO7)-FP7,"")</f>
        <v>40.39</v>
      </c>
      <c r="FW7" s="7">
        <f>IF(SUM(FT7,FV7)&gt;0,SUM(FT7,FV7),"")</f>
        <v>40.39</v>
      </c>
      <c r="FX7" s="19">
        <v>16.2</v>
      </c>
      <c r="FY7" s="19">
        <v>9.1</v>
      </c>
      <c r="FZ7" s="19">
        <v>0</v>
      </c>
      <c r="GA7" s="19">
        <v>15.44</v>
      </c>
      <c r="GB7" s="19">
        <v>0</v>
      </c>
      <c r="GC7" s="19">
        <v>1.6</v>
      </c>
      <c r="GD7" s="19">
        <v>1</v>
      </c>
      <c r="GE7" s="19">
        <v>1.8</v>
      </c>
      <c r="GF7" s="19">
        <v>1.64</v>
      </c>
      <c r="GG7" s="19">
        <v>0</v>
      </c>
      <c r="GH7" s="19"/>
      <c r="GI7" s="19"/>
      <c r="GJ7" s="19"/>
      <c r="GK7" s="19"/>
      <c r="GL7" s="19"/>
      <c r="GM7" s="9">
        <f>IF(GE7&gt;0,GE7,"")</f>
        <v>1.8</v>
      </c>
      <c r="GN7" s="9">
        <f>IF(SUM(FX7:GA7)-GB7&gt;0,SUM(FX7:GA7)-GB7,"")</f>
        <v>40.739999999999995</v>
      </c>
      <c r="GO7" s="9">
        <f>IF(SUM(GC7:GF7)-GG7&gt;0,SUM(GC7:GF7)-GG7,"")</f>
        <v>6.04</v>
      </c>
      <c r="GP7" s="9">
        <f>IF(SUM(GN7:GO7)&gt;0,SUM(GN7:GO7),"")</f>
        <v>46.779999999999994</v>
      </c>
      <c r="GQ7" s="9" t="str">
        <f>IF(GJ7&gt;0,GJ7,"")</f>
        <v/>
      </c>
      <c r="GR7" s="9" t="str">
        <f>IF(SUM(GH7:GK7)-GL7&gt;0,SUM(GH7:GK7)-GL7,"")</f>
        <v/>
      </c>
      <c r="GS7" s="9">
        <f>IF(SUM(GP7,GR7)&gt;0,SUM(GP7,GR7),"")</f>
        <v>46.779999999999994</v>
      </c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7" t="str">
        <f>IF(HA7&gt;0,HA7,"")</f>
        <v/>
      </c>
      <c r="HJ7" s="7" t="str">
        <f>IF(SUM(GT7:GW7)-GX7&gt;0,SUM(GT7:GW7)-GX7,"")</f>
        <v/>
      </c>
      <c r="HK7" s="7" t="str">
        <f>IF(SUM(GY7:HB7)-HC7&gt;0,SUM(GY7:HB7)-HC7,"")</f>
        <v/>
      </c>
      <c r="HL7" s="7" t="str">
        <f>IF(SUM(HJ7:HK7)&gt;0,SUM(HJ7:HK7),"")</f>
        <v/>
      </c>
      <c r="HM7" s="7" t="str">
        <f>IF(HF7&gt;0,HF7,"")</f>
        <v/>
      </c>
      <c r="HN7" s="7" t="str">
        <f>IF(SUM(HD7:HG7)-HH7&gt;0,SUM(HD7:HG7)-HH7,"")</f>
        <v/>
      </c>
      <c r="HO7" s="7" t="str">
        <f>IF(SUM(HL7,HN7)&gt;0,SUM(HL7,HN7),"")</f>
        <v/>
      </c>
      <c r="HP7" s="19"/>
      <c r="HQ7" s="19"/>
      <c r="HR7" s="19"/>
      <c r="HS7" s="19"/>
      <c r="HT7" s="19"/>
      <c r="HU7" s="19"/>
      <c r="HV7" s="19"/>
      <c r="HW7" s="19"/>
      <c r="HX7" s="19"/>
      <c r="HY7" s="19"/>
      <c r="HZ7" s="19"/>
      <c r="IA7" s="19"/>
      <c r="IB7" s="19"/>
      <c r="IC7" s="19"/>
      <c r="ID7" s="19"/>
      <c r="IE7" s="9" t="str">
        <f>IF(HW7&gt;0,HW7,"")</f>
        <v/>
      </c>
      <c r="IF7" s="9" t="str">
        <f>IF(SUM(HP7:HS7)-HT7&gt;0,SUM(HP7:HS7)-HT7,"")</f>
        <v/>
      </c>
      <c r="IG7" s="9" t="str">
        <f>IF(SUM(HU7:HX7)-HY7&gt;0,SUM(HU7:HX7)-HY7,"")</f>
        <v/>
      </c>
      <c r="IH7" s="9" t="str">
        <f>IF(SUM(IF7:IG7)&gt;0,SUM(IF7:IG7),"")</f>
        <v/>
      </c>
      <c r="II7" s="9" t="str">
        <f>IF(IB7&gt;0,IB7,"")</f>
        <v/>
      </c>
      <c r="IJ7" s="9" t="str">
        <f>IF(SUM(HZ7:IC7)-ID7&gt;0,SUM(HZ7:IC7)-ID7,"")</f>
        <v/>
      </c>
      <c r="IK7" s="9" t="str">
        <f>IF(SUM(IH7,IJ7)&gt;0,SUM(IH7,IJ7),"")</f>
        <v/>
      </c>
      <c r="IL7" s="18"/>
      <c r="IM7" s="18"/>
      <c r="IN7" s="18"/>
      <c r="IO7" s="18"/>
      <c r="IP7" s="18"/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7" t="str">
        <f>IF(IS7&gt;0,IS7,"")</f>
        <v/>
      </c>
      <c r="JB7" s="7" t="str">
        <f>IF(SUM(IL7:IO7)-IP7&gt;0,SUM(IL7:IO7)-IP7,"")</f>
        <v/>
      </c>
      <c r="JC7" s="7" t="str">
        <f>IF(SUM(IQ7:IT7)-IU7&gt;0,SUM(IQ7:IT7)-IU7,"")</f>
        <v/>
      </c>
      <c r="JD7" s="7" t="str">
        <f>IF(SUM(JB7:JC7)&gt;0,SUM(JB7:JC7),"")</f>
        <v/>
      </c>
      <c r="JE7" s="7" t="str">
        <f>IF(IX7&gt;0,IX7,"")</f>
        <v/>
      </c>
      <c r="JF7" s="7" t="str">
        <f>IF(SUM(IV7:IY7)-IZ7&gt;0,SUM(IV7:IY7)-IZ7,"")</f>
        <v/>
      </c>
      <c r="JG7" s="7" t="str">
        <f>IF(SUM(JD7,JF7)&gt;0,SUM(JD7,JF7),"")</f>
        <v/>
      </c>
      <c r="JH7" s="19"/>
      <c r="JI7" s="19"/>
      <c r="JJ7" s="19"/>
      <c r="JK7" s="19"/>
      <c r="JL7" s="19"/>
      <c r="JM7" s="19"/>
      <c r="JN7" s="19"/>
      <c r="JO7" s="19"/>
      <c r="JP7" s="19"/>
      <c r="JQ7" s="19"/>
      <c r="JR7" s="19"/>
      <c r="JS7" s="19"/>
      <c r="JT7" s="19"/>
      <c r="JU7" s="19"/>
      <c r="JV7" s="19"/>
      <c r="JW7" s="9" t="str">
        <f>IF(JO7&gt;0,JO7,"")</f>
        <v/>
      </c>
      <c r="JX7" s="9" t="str">
        <f>IF(SUM(JH7:JK7)-JL7&gt;0,SUM(JH7:JK7)-JL7,"")</f>
        <v/>
      </c>
      <c r="JY7" s="9" t="str">
        <f>IF(SUM(JM7:JP7)-JQ7&gt;0,SUM(JM7:JP7)-JQ7,"")</f>
        <v/>
      </c>
      <c r="JZ7" s="9" t="str">
        <f>IF(SUM(JX7:JY7)&gt;0,SUM(JX7:JY7),"")</f>
        <v/>
      </c>
      <c r="KA7" s="9" t="str">
        <f>IF(JT7&gt;0,JT7,"")</f>
        <v/>
      </c>
      <c r="KB7" s="9" t="str">
        <f>IF(SUM(JR7:JU7)-JV7&gt;0,SUM(JR7:JU7)-JV7,"")</f>
        <v/>
      </c>
      <c r="KC7" s="9" t="str">
        <f>IF(SUM(JZ7,KB7)&gt;0,SUM(JZ7,KB7),"")</f>
        <v/>
      </c>
      <c r="KD7" s="18"/>
      <c r="KE7" s="18"/>
      <c r="KF7" s="18"/>
      <c r="KG7" s="18"/>
      <c r="KH7" s="18"/>
      <c r="KI7" s="18"/>
      <c r="KJ7" s="18"/>
      <c r="KK7" s="18"/>
      <c r="KL7" s="18"/>
      <c r="KM7" s="18"/>
      <c r="KN7" s="18"/>
      <c r="KO7" s="18"/>
      <c r="KP7" s="18"/>
      <c r="KQ7" s="18"/>
      <c r="KR7" s="18"/>
      <c r="KS7" s="7" t="str">
        <f>IF(KK7&gt;0,KK7,"")</f>
        <v/>
      </c>
      <c r="KT7" s="7" t="str">
        <f>IF(SUM(KD7:KG7)-KH7&gt;0,SUM(KD7:KG7)-KH7,"")</f>
        <v/>
      </c>
      <c r="KU7" s="7" t="str">
        <f>IF(SUM(KI7:KL7)-KM7&gt;0,SUM(KI7:KL7)-KM7,"")</f>
        <v/>
      </c>
      <c r="KV7" s="7" t="str">
        <f>IF(SUM(KT7:KU7)&gt;0,SUM(KT7:KU7),"")</f>
        <v/>
      </c>
      <c r="KW7" s="7" t="str">
        <f>IF(KP7&gt;0,KP7,"")</f>
        <v/>
      </c>
      <c r="KX7" s="7" t="str">
        <f>IF(SUM(KN7:KQ7)-KR7&gt;0,SUM(KN7:KQ7)-KR7,"")</f>
        <v/>
      </c>
      <c r="KY7" s="7" t="str">
        <f>IF(SUM(KV7,KX7)&gt;0,SUM(KV7,KX7),"")</f>
        <v/>
      </c>
      <c r="KZ7" s="19"/>
      <c r="LA7" s="19"/>
      <c r="LB7" s="19"/>
      <c r="LC7" s="19"/>
      <c r="LD7" s="19"/>
      <c r="LE7" s="19"/>
      <c r="LF7" s="19"/>
      <c r="LG7" s="19"/>
      <c r="LH7" s="19"/>
      <c r="LI7" s="19"/>
      <c r="LJ7" s="19"/>
      <c r="LK7" s="19"/>
      <c r="LL7" s="19"/>
      <c r="LM7" s="19"/>
      <c r="LN7" s="19"/>
      <c r="LO7" s="9" t="str">
        <f>IF(LG7&gt;0,LG7,"")</f>
        <v/>
      </c>
      <c r="LP7" s="9" t="str">
        <f>IF(SUM(KZ7:LC7)-LD7&gt;0,SUM(KZ7:LC7)-LD7,"")</f>
        <v/>
      </c>
      <c r="LQ7" s="9" t="str">
        <f>IF(SUM(LE7:LH7)-LI7&gt;0,SUM(LE7:LH7)-LI7,"")</f>
        <v/>
      </c>
      <c r="LR7" s="9" t="str">
        <f>IF(SUM(LP7:LQ7)&gt;0,SUM(LP7:LQ7),"")</f>
        <v/>
      </c>
      <c r="LS7" s="9" t="str">
        <f>IF(LL7&gt;0,LL7,"")</f>
        <v/>
      </c>
      <c r="LT7" s="9" t="str">
        <f>IF(SUM(LJ7:LM7)-LN7&gt;0,SUM(LJ7:LM7)-LN7,"")</f>
        <v/>
      </c>
      <c r="LU7" s="9" t="str">
        <f>IF(SUM(LR7,LT7)&gt;0,SUM(LR7,LT7),"")</f>
        <v/>
      </c>
      <c r="LV7" s="18"/>
      <c r="LW7" s="18"/>
      <c r="LX7" s="18"/>
      <c r="LY7" s="18"/>
      <c r="LZ7" s="18"/>
      <c r="MA7" s="18"/>
      <c r="MB7" s="18"/>
      <c r="MC7" s="18"/>
      <c r="MD7" s="18"/>
      <c r="ME7" s="18"/>
      <c r="MF7" s="18"/>
      <c r="MG7" s="18"/>
      <c r="MH7" s="18"/>
      <c r="MI7" s="18"/>
      <c r="MJ7" s="18"/>
      <c r="MK7" s="7" t="str">
        <f>IF(MC7&gt;0,MC7,"")</f>
        <v/>
      </c>
      <c r="ML7" s="7" t="str">
        <f>IF(SUM(LV7:LY7)-LZ7&gt;0,SUM(LV7:LY7)-LZ7,"")</f>
        <v/>
      </c>
      <c r="MM7" s="7" t="str">
        <f>IF(SUM(MA7:MD7)-ME7&gt;0,SUM(MA7:MD7)-ME7,"")</f>
        <v/>
      </c>
      <c r="MN7" s="7" t="str">
        <f>IF(SUM(ML7:MM7)&gt;0,SUM(ML7:MM7),"")</f>
        <v/>
      </c>
      <c r="MO7" s="7" t="str">
        <f>IF(MH7&gt;0,MH7,"")</f>
        <v/>
      </c>
      <c r="MP7" s="7" t="str">
        <f>IF(SUM(MF7:MI7)-MJ7&gt;0,SUM(MF7:MI7)-MJ7,"")</f>
        <v/>
      </c>
      <c r="MQ7" s="7" t="str">
        <f>IF(SUM(MN7,MP7)&gt;0,SUM(MN7,MP7),"")</f>
        <v/>
      </c>
      <c r="MR7" s="19"/>
      <c r="MS7" s="19"/>
      <c r="MT7" s="19"/>
      <c r="MU7" s="19"/>
      <c r="MV7" s="19"/>
      <c r="MW7" s="19"/>
      <c r="MX7" s="19"/>
      <c r="MY7" s="19"/>
      <c r="MZ7" s="19"/>
      <c r="NA7" s="19"/>
      <c r="NB7" s="19"/>
      <c r="NC7" s="19"/>
      <c r="ND7" s="19"/>
      <c r="NE7" s="19"/>
      <c r="NF7" s="19"/>
      <c r="NG7" s="9" t="str">
        <f>IF(MY7&gt;0,MY7,"")</f>
        <v/>
      </c>
      <c r="NH7" s="9" t="str">
        <f>IF(SUM(MR7:MU7)-MV7&gt;0,SUM(MR7:MU7)-MV7,"")</f>
        <v/>
      </c>
      <c r="NI7" s="9" t="str">
        <f>IF(SUM(MW7:MZ7)-NA7&gt;0,SUM(MW7:MZ7)-NA7,"")</f>
        <v/>
      </c>
      <c r="NJ7" s="9" t="str">
        <f>IF(SUM(NH7:NI7)&gt;0,SUM(NH7:NI7),"")</f>
        <v/>
      </c>
      <c r="NK7" s="9" t="str">
        <f>IF(ND7&gt;0,ND7,"")</f>
        <v/>
      </c>
      <c r="NL7" s="9" t="str">
        <f>IF(SUM(NB7:NE7)-NF7&gt;0,SUM(NB7:NE7)-NF7,"")</f>
        <v/>
      </c>
      <c r="NM7" s="9" t="str">
        <f>IF(SUM(NJ7,NL7)&gt;0,SUM(NJ7,NL7),"")</f>
        <v/>
      </c>
      <c r="NN7" s="27">
        <f>IF($CV7="P",CB7,(CB7+AX7)/2)</f>
        <v>15.3</v>
      </c>
      <c r="NO7" s="27">
        <f>IF($CV7="P",CC7,(CC7+AY7)/2)</f>
        <v>8.6</v>
      </c>
      <c r="NP7" s="27">
        <f>IF($CV7="P",CD7,(CD7+AZ7)/2)</f>
        <v>0</v>
      </c>
      <c r="NQ7" s="27">
        <f>IF($CV7="P",CE7,(CE7+BA7)/2)</f>
        <v>13.780000000000001</v>
      </c>
      <c r="NR7" s="27">
        <f>IF($CV7="P",CF7,(CF7+BB7)/2)</f>
        <v>0</v>
      </c>
      <c r="NS7" s="27">
        <f>IF($CV7="P",CG7,(CG7+BC7)/2)</f>
        <v>8.85</v>
      </c>
      <c r="NT7" s="27">
        <f>IF($CV7="P",CH7,(CH7+BD7)/2)</f>
        <v>6.6999999999999993</v>
      </c>
      <c r="NU7" s="27">
        <f>IF($CV7="P",CI7,(CI7+BE7)/2)</f>
        <v>9.6999999999999993</v>
      </c>
      <c r="NV7" s="27">
        <f>IF($CV7="P",CJ7,(CJ7+BF7)/2)</f>
        <v>10.86</v>
      </c>
      <c r="NW7" s="27">
        <f>IF($CV7="P",CK7,(CK7+BG7)/2)</f>
        <v>0</v>
      </c>
      <c r="NX7" s="27">
        <f>IF($CV7="P",CL7,(CL7+BH7)/2)</f>
        <v>0</v>
      </c>
      <c r="NY7" s="27">
        <f>IF($CV7="P",CM7,(CM7+BI7)/2)</f>
        <v>0</v>
      </c>
      <c r="NZ7" s="27">
        <f>IF($CV7="P",CN7,(CN7+BJ7)/2)</f>
        <v>0</v>
      </c>
      <c r="OA7" s="27">
        <f>IF($CV7="P",CO7,(CO7+BK7)/2)</f>
        <v>0</v>
      </c>
      <c r="OB7" s="27">
        <f>IF($CV7="P",CP7,(CP7+BL7)/2)</f>
        <v>0</v>
      </c>
      <c r="OC7" s="27">
        <f>IF($CV7="P",CQ7,(CQ7+BM7)/2)</f>
        <v>8.5500000000000007</v>
      </c>
      <c r="OD7" s="27">
        <f>IF($CV7="P",CR7,(CR7+BN7)/2)</f>
        <v>5.9</v>
      </c>
      <c r="OE7" s="27">
        <f>IF($CV7="P",CS7,(CS7+BO7)/2)</f>
        <v>9.1999999999999993</v>
      </c>
      <c r="OF7" s="27">
        <f>IF($CV7="P",CT7,(CT7+BP7)/2)</f>
        <v>9.8000000000000007</v>
      </c>
      <c r="OG7" s="27">
        <f>IF($CV7="P",CU7,(CU7+BQ7)/2)</f>
        <v>0</v>
      </c>
      <c r="OH7" s="32" t="s">
        <v>44</v>
      </c>
      <c r="OI7" s="7">
        <f>IF(SUM(NN7:NQ7)-NR7&gt;0,SUM(NN7:NQ7)-NR7,"")</f>
        <v>37.68</v>
      </c>
      <c r="OJ7" s="7">
        <f>IF(NU7&gt;0,NU7,"")</f>
        <v>9.6999999999999993</v>
      </c>
      <c r="OK7" s="7">
        <f>IF(SUM(NS7:NV7)-NW7&gt;0,SUM(NS7:NV7)-NW7,"")</f>
        <v>36.11</v>
      </c>
      <c r="OL7" s="7" t="str">
        <f>IF(NZ7&gt;0,NZ7,"")</f>
        <v/>
      </c>
      <c r="OM7" s="7" t="str">
        <f>IF(SUM(NX7:OA7)-OB7&gt;0,SUM(NX7:OA7)-OB7,"")</f>
        <v/>
      </c>
      <c r="ON7" s="7">
        <f>IF(OR(OI7&lt;&gt;"",OK7&lt;&gt;"",OM7&lt;&gt;""),OI7+MAX(OK7,OM7),"")</f>
        <v>73.789999999999992</v>
      </c>
      <c r="OO7" s="7">
        <f>IF(OE7&gt;0,OE7,"")</f>
        <v>9.1999999999999993</v>
      </c>
      <c r="OP7" s="7">
        <f t="shared" ref="OP7" si="6">IF(SUM(OC7:OF7)-OG7&gt;0,SUM(OC7:OF7)-OG7,"")</f>
        <v>33.450000000000003</v>
      </c>
      <c r="OQ7" s="7">
        <f t="shared" ref="OQ7" si="7">IF(SUM(ON7,OP7)&gt;0,SUM(ON7,OP7),"")</f>
        <v>107.24</v>
      </c>
    </row>
    <row r="8" spans="1:407" x14ac:dyDescent="0.2">
      <c r="A8" s="4" t="str" cm="1">
        <f t="array" ref="A8">IF(AND(H8&lt;&gt;"",H8&lt;&gt;"No DD"),SUMPRODUCT((H$4:H$9&lt;&gt;"")*(H$4:H$9&lt;&gt;"No DD")*(E$4:E$9&gt;E8))+1,IF(H8="No DD",SUMPRODUCT((H$4:H$9="No DD")*(E$4:E$9&gt;E8))+1+SUMPRODUCT((H$4:H$9&lt;&gt;"")*(H$4:H$9&lt;&gt;"No DD")),""))</f>
        <v/>
      </c>
      <c r="B8" s="5" t="s">
        <v>105</v>
      </c>
      <c r="C8" s="4" t="s">
        <v>65</v>
      </c>
      <c r="D8" s="4">
        <v>2007</v>
      </c>
      <c r="E8" s="10">
        <f>SUM(I8:Q8)</f>
        <v>199.74</v>
      </c>
      <c r="F8" s="3" t="str">
        <f>IF(OR(AND(AP8&gt;=AW$11,AT8&gt;=AW$15,AO8&lt;&gt;"",AN8=""),AND(BT8&gt;=CA$11,BX8&gt;=CA$15,BS8&lt;&gt;"",BR8=""),AND(CX8&gt;=DE$11,DB8&gt;=DE$15,CW8&lt;&gt;"",CV8=""),AND(DY8&gt;=EE$11,EB8&gt;=EE$15,DY8&lt;&gt;""),AND(EU8&gt;=FA$11,EX8&gt;=FA$15,EU8&lt;&gt;""),AND(FQ8&gt;=FW$11,FT8&gt;=FW$15,FQ8&lt;&gt;""),AND(GM8&gt;=GS$11,GP8&gt;=GS$15,GM8&lt;&gt;""),AND(HI8&gt;=HO$11,HL8&gt;=HO$15,HI8&lt;&gt;""),AND(IE8&gt;=IK$11,IH8&gt;=IK$15,IE8&lt;&gt;""),AND(JA8&gt;=JG$11,JD8&gt;=JG$15,JA8&lt;&gt;""),AND(JW8&gt;=KC$11,JZ8&gt;=KC$15,JW8&lt;&gt;""),AND(KS8&gt;=KY$11,KV8&gt;=KY$15,KS8&lt;&gt;""),AND(LO8&gt;=LU$11,LR8&gt;=LU$15,LO8&lt;&gt;""),AND(MK8&gt;=MQ$11,MN8&gt;=MQ$15,MK8&lt;&gt;""),AND(NG8&gt;=NM$11,NJ8&gt;=NM$15,NG8&lt;&gt;"")),"P","")</f>
        <v/>
      </c>
      <c r="G8" s="3" t="str">
        <f>IF(OR(AND(AT8&gt;=AW$15,AO8&lt;&gt;"",AN8=""),AND(BX8&gt;=CA$15,BS8&lt;&gt;"",BR8=""),AND(DB8&gt;=DE$15,CW8&lt;&gt;"",CV8=""),AND(EB8&gt;=EE$15,DY8&lt;&gt;""),AND(EX8&gt;=FA$15,EU8&lt;&gt;""),AND(FT8&gt;=FW$15,FQ8&lt;&gt;""),AND(GP8&gt;=GS$15,GM8&lt;&gt;""),AND(HL8&gt;=HO$15,HI8&lt;&gt;""),AND(IH8&gt;=IK$15,IE8&lt;&gt;""),AND(JD8&gt;=JG$15,JA8&lt;&gt;""),AND(JZ8&gt;=KC$15,JW8&lt;&gt;""),AND(KV8&gt;=KY$15,KS8&lt;&gt;""),AND(LR8&gt;=LU$15,LO8&lt;&gt;""),AND(MN8&gt;=MQ$15,MK8&lt;&gt;""),AND(NJ8&gt;=NM$15,NG8&lt;&gt;"")),"P","")</f>
        <v/>
      </c>
      <c r="H8" s="47" t="str">
        <f>IF(OR(AND(AP8&gt;=AW$14,AQ8&gt;=AW$18,AP8&lt;&gt;"",AN8=""),AND(AU8&gt;=AW$14,AV8&gt;=AW$18,AU8&lt;&gt;"",AN8=""),AND(BT8&gt;=CA$14,BU8&gt;=CA$18,BT8&lt;&gt;"",BR8=""),AND(BY8&gt;=CA$14,BZ8&gt;=CA$18,BY8&lt;&gt;"",BR8=""),AND(CX8&gt;=DE$14,CY8&gt;=DE$18,CX8&lt;&gt;"",CV8=""),AND(DC8&gt;=DE$14,DD8&gt;=DE$18,DC8&lt;&gt;"",CV8=""),AND(DY8&gt;=EE$14,EA8&gt;=EE$18,DY8&lt;&gt;""),AND(EC8&gt;=EE$14,ED8&gt;=EE$18,EC8&lt;&gt;""),AND(EU8&gt;=FA$14,EW8&gt;=FA$18,EU8&lt;&gt;""),AND(EY8&gt;=FA$14,EZ8&gt;=FA$18,EY8&lt;&gt;""),AND(FQ8&gt;=FW$14,FS8&gt;=FW$18,FQ8&lt;&gt;""),AND(FU8&gt;=FW$14,FV8&gt;=FW$18,FU8&lt;&gt;""),AND(GM8&gt;=GS$14,GO8&gt;=GS$18,GM8&lt;&gt;""),AND(GQ8&gt;=GS$14,GR8&gt;=GS$18,GQ8&lt;&gt;""),AND(HI8&gt;=HO$14,HK8&gt;=HO$18,HI8&lt;&gt;""),AND(HM8&gt;=HO$14,HN8&gt;=HO$18,HM8&lt;&gt;""),AND(IE8&gt;=IK$14,IG8&gt;=IK$18,IE8&lt;&gt;""),AND(II8&gt;=IK$14,IJ8&gt;=IK$18,II8&lt;&gt;""),AND(JA8&gt;=JG$14,JC8&gt;=JG$18,JA8&lt;&gt;""),AND(JE8&gt;=JG$14,JF8&gt;=JG$18,JE8&lt;&gt;""),AND(JW8&gt;=KC$14,JY8&gt;=KC$18,JW8&lt;&gt;""),AND(KA8&gt;=KC$14,KB8&gt;=KC$18,KA8&lt;&gt;""),AND(KS8&gt;=KY$14,KU8&gt;=KY$18,KS8&lt;&gt;""),AND(KW8&gt;=KY$14,KX8&gt;=KY$18,KW8&lt;&gt;""),AND(LO8&gt;=LU$14,LQ8&gt;=LU$18,LO8&lt;&gt;""),AND(LS8&gt;=LU$14,LT8&gt;=LU$18,LS8&lt;&gt;""),AND(MK8&gt;=MQ$14,MM8&gt;=MQ$18,MK8&lt;&gt;""),AND(MO8&gt;=MQ$14,MP8&gt;=MQ$18,MO8&lt;&gt;""),AND(NG8&gt;=NM$14,NI8&gt;=NM$18,NG8&lt;&gt;""),AND(NK8&gt;=NM$14,NL8&gt;=NM$18,NK8&lt;&gt;"")),"Merit",IF(OR(AND(AP8&gt;=AW$13,AT8&gt;=AW$17,AO8&lt;&gt;"",AN8=""),AND(BT8&gt;=CA$13,BX8&gt;=CA$17,BS8&lt;&gt;"",BR8=""),AND(CX8&gt;=DE$13,DB8&gt;=DE$17,CW8&lt;&gt;"",CV8=""),AND(DY8&gt;=EE$13,EB8&gt;=EE$17,DY8&lt;&gt;""),AND(EU8&gt;=FA$13,EX8&gt;=FA$17,EU8&lt;&gt;""),AND(FQ8&gt;=FW$13,FT8&gt;=FW$17,FQ8&lt;&gt;""),AND(GM8&gt;=GS$13,GP8&gt;=GS$17,GM8&lt;&gt;""),AND(HI8&gt;=HO$13,HL8&gt;=HO$17,HI8&lt;&gt;""),AND(IE8&gt;=IK$13,IH8&gt;=IK$17,IE8&lt;&gt;""),AND(JA8&gt;=JG$13,JD8&gt;=JG$17,JA8&lt;&gt;""),AND(JW8&gt;=KC$13,JZ8&gt;=KC$17,JW8&lt;&gt;""),AND(KS8&gt;=KY$13,KV8&gt;=KY$17,KS8&lt;&gt;""),AND(LO8&gt;=LU$13,LR8&gt;=LU$17,LO8&lt;&gt;""),AND(MK8&gt;=MQ$13,MN8&gt;=MQ$17,MK8&lt;&gt;""),AND(NG8&gt;=NM$13,NJ8&gt;=NM$17,NG8&lt;&gt;"")),"Excellence",IF(OR(AND(AP8&gt;=AW$11,AT8&gt;=AW$15,AO8&lt;&gt;"",AN8=""),AND(BT8&gt;=CA$11,BX8&gt;=CA$15,BS8&lt;&gt;"",BR8=""),AND(CX8&gt;=DE$11,DB8&gt;=DE$15,CW8&lt;&gt;"",CV8=""),AND(DY8&gt;=EE$11,EB8&gt;=EE$15,DY8&lt;&gt;""),AND(EU8&gt;=FA$11,EX8&gt;=FA$15,EU8&lt;&gt;""),AND(FQ8&gt;=FW$11,FT8&gt;=FW$15,FQ8&lt;&gt;""),AND(GM8&gt;=GS$11,GP8&gt;=GS$15,GM8&lt;&gt;""),AND(HI8&gt;=HO$11,HL8&gt;=HO$15,HI8&lt;&gt;""),AND(IE8&gt;=IK$11,IH8&gt;=IK$15,IE8&lt;&gt;""),AND(JA8&gt;=JG$11,JD8&gt;=JG$15,JA8&lt;&gt;""),AND(JW8&gt;=KC$11,JZ8&gt;=KC$15,JW8&lt;&gt;""),AND(KS8&gt;=KY$11,KV8&gt;=KY$15,KS8&lt;&gt;""),AND(LO8&gt;=LU$11,LR8&gt;=LU$15,LO8&lt;&gt;""),AND(MK8&gt;=MQ$11,MN8&gt;=MQ$15,MK8&lt;&gt;""),AND(NG8&gt;=NM$11,NJ8&gt;=NM$15,NG8&lt;&gt;"")),"National Team",IF(G8="P","No DD",""))))</f>
        <v/>
      </c>
      <c r="I8" s="9">
        <f>IF(MAX(AT8,BX8,DB8)&gt;0,MAX(AT8,BX8,DB8),0)</f>
        <v>92.800000000000011</v>
      </c>
      <c r="J8" s="9" t="str">
        <f>IF(I8=0,"",IF(I8=DB8,$CB$1,IF(I8=BX8,$AX$1,IF(I8=AT8,$T$1,""))))</f>
        <v>2023 Nationals</v>
      </c>
      <c r="K8" s="9">
        <f>IF($I8=$AT8,MAX(BS8,CW8),IF($I8=$BX8,MAX(AO8,CW8),IF($I8=$DB8,MAX(AO8,BS8),MAX(AO8,BS8,CW8))))</f>
        <v>43.19</v>
      </c>
      <c r="L8" s="9" t="str">
        <f>IF(K8=0,"",IF(AND(K8=CW8,$J8&lt;&gt;$CB$1),$CB$1,IF(AND(K8=BS8,$J8&lt;&gt;$AX$1),$AX$1,IF(AND(K8=AO8,$J8&lt;&gt;$T$1),$T$1,""))))</f>
        <v>2023 3rd Domestic Trial</v>
      </c>
      <c r="M8" s="9">
        <f>IF(I8-N(AO8)=AQ8,MAX(AS8,BU8,BW8,CY8,DA8),IF(I8-N(AO8)=AS8,MAX(AQ8,BU8,BW8,CY8,DA8),IF(I8-N(BS8)=BU8,MAX(AQ8,AS8,BW8,CY8,DA8),IF(I8-N(BS8)=BW8,MAX(AQ8,AS8,BU8,CY8,DA8),IF(I8-N(CW8)=CY8,MAX(AQ8,AS8,BU8,BW8,DA8),IF(I8-N(CW8)=DA8,MAX(AQ8,AS8,BU8,BW8,CY8),MAX(AQ8,AS8,BU8,BW8,CY8,DA8)))))))</f>
        <v>11.030000000000001</v>
      </c>
      <c r="N8" s="9" t="str">
        <f>IF(M8=0,"",IF(AND(OR(M8=DA8,M8=CY8),$J8&lt;&gt;$CB$1),$CB$1,IF(AND(OR(M8=BW8,M8=BU8),$J8&lt;&gt;$AX$1),$AX$1,IF(AND(OR(M8=AS8,M8=AQ8),$J8&lt;&gt;$T$1),$T$1,""))))</f>
        <v>2023 Elite Canada</v>
      </c>
      <c r="O8" s="9">
        <f>MAX(AV8,BZ8,DD8)</f>
        <v>52.72</v>
      </c>
      <c r="P8" s="9" t="str">
        <f>IF(O8=0,"",IF(O8=DD8,$CB$1,IF(O8=BZ8,$AX$1,IF(O8=AV8,$T$1,""))))</f>
        <v>2023 Nationals</v>
      </c>
      <c r="Q8" s="9" t="str">
        <f>IF(MAX(DF8,DG8,DH8,DI8)&gt;0,MAX(DF8,DG8,DH8,DI8),"")</f>
        <v/>
      </c>
      <c r="R8" s="14" t="str">
        <f>IF(Q8="","",IF(Q8=DF8,"(Vol 1)",IF(Q8=DG8,"(Vol 2)",IF(Q8=DH8,"(Prelim)",IF(Q8=DI8,"(Final)")))))</f>
        <v/>
      </c>
      <c r="S8" s="9" t="str">
        <f>IF(Q8="","",IF(Q8=DF8,IF(Q8+IF(K8="",0,K8)=NH8,$MR$1,IF(Q8+IF(K8="",0,K8)=ML8,$LV$1,IF(Q8+IF(K8="",0,K8)=LP8,$KZ$1,IF(Q8+IF(K8="",0,K8)=KT8,$KD$1,IF(Q8+IF(K8="",0,K8)=JX8,$JH$1,IF(Q8+IF(K8="",0,K8)=JB8,$IL$1,IF(Q8+IF(K8="",0,K8)=IF8,$HP$1,IF(Q8+IF(K8="",0,K8)=HJ8,$GT$1,IF(Q8+IF(K8="",0,K8)=GN8,$FX$1,IF(Q8+IF(K8="",0,K8)=FR8,$FB$1,IF(Q8+IF(K8="",0,K8)=EV8,$EF$1,IF(Q8+IF(K8="",0,K8)=DZ8,$DJ$1)))))))))))),IF(Q8=DG8,IF(Q8+IF(M8="",0,M8)=NI8,$MR$1,IF(Q8+IF(M8="",0,M8)=MM8,$LV$1,IF(Q8+IF(M8="",0,M8)=LQ8,$KZ$1,IF(Q8+IF(M8="",0,M8)=KU8,$KD$1,IF(Q8+IF(M8="",0,M8)=JY8,$JH$1,IF(Q8+IF(M8="",0,M8)=JC8,$IL$1,IF(Q8+IF(M8="",0,M8)=IG8,$HP$1,IF(Q8+IF(M8="",0,M8)=HK8,$GT$1,IF(Q8+IF(M8="",0,M8)=GO8,$FX$1,IF(Q8+IF(M8="",0,M8)=FS8,$FB$1,IF(Q8+IF(M8="",0,M8)=EW8,$EF$1,IF(Q8+IF(M8="",0,M8)=EA8,$DJ$1)))))))))))),IF(Q8=DH8,IF(Q8+IF(I8="",0,I8)=NJ8,$MR$1,IF(Q8+IF(I8="",0,I8)=MN8,$LV$1,IF(Q8+IF(I8="",0,I8)=LR8,$KZ$1,IF(Q8+IF(I8="",0,I8)=KV8,$KD$1,IF(Q8+IF(I8="",0,I8)=JZ8,$JH$1,IF(Q8+IF(I8="",0,I8)=JD8,$IL$1,IF(Q8+IF(I8="",0,I8)=IH8,$HP$1,IF(Q8+IF(I8="",0,I8)=HL8,$GT$1,IF(Q8+IF(I8="",0,I8)=GP8,$FX$1,IF(Q8+IF(I8="",0,I8)=FT8,$FB$1,IF(Q8+IF(I8="",0,I8)=EX8,$EF$1,IF(Q8+IF(I8="",0,I8)=EB8,$DJ$1)))))))))))),IF(Q8=DI8,IF(Q8+IF(O8="",0,O8)=NL8,$MR$1,IF(Q8+IF(O8="",0,O8)=MP8,$LV$1,IF(Q8+IF(O8="",0,O8)=LT8,$KZ$1,IF(Q8+IF(O8="",0,O8)=KX8,$KD$1,IF(Q8+IF(O8="",0,O8)=KB8,$JH$1,IF(Q8+IF(O8="",0,O8)=JF8,$IL$1,IF(Q8+IF(O8="",0,O8)=IJ8,$HP$1,IF(Q8+IF(O8="",0,O8)=HN8,$GT$1,IF(Q8+IF(O8="",0,O8)=GR8,$FX$1,IF(Q8+IF(O8="",0,O8)=FV8,$FB$1,IF(Q8+IF(O8="",0,O8)=EZ8,$EF$1,IF(Q8+IF(O8="",0,O8)=ED8,$DJ$1)))))))))))))))))</f>
        <v/>
      </c>
      <c r="T8" s="27">
        <v>15.7</v>
      </c>
      <c r="U8" s="27">
        <v>8.3000000000000007</v>
      </c>
      <c r="V8" s="27">
        <v>0</v>
      </c>
      <c r="W8" s="27">
        <v>13.66</v>
      </c>
      <c r="X8" s="27">
        <v>0</v>
      </c>
      <c r="Y8" s="27">
        <v>3.2</v>
      </c>
      <c r="Z8" s="27">
        <v>1.8</v>
      </c>
      <c r="AA8" s="27">
        <v>2.9</v>
      </c>
      <c r="AB8" s="27">
        <v>3.13</v>
      </c>
      <c r="AC8" s="27">
        <v>0</v>
      </c>
      <c r="AD8" s="27"/>
      <c r="AE8" s="27"/>
      <c r="AF8" s="27"/>
      <c r="AG8" s="27"/>
      <c r="AH8" s="27"/>
      <c r="AI8" s="27"/>
      <c r="AJ8" s="27"/>
      <c r="AK8" s="27"/>
      <c r="AL8" s="27"/>
      <c r="AM8" s="27"/>
      <c r="AN8" s="32"/>
      <c r="AO8" s="7">
        <f>IF(SUM(T8:W8)-X8&gt;0,SUM(T8:W8)-X8,"")</f>
        <v>37.659999999999997</v>
      </c>
      <c r="AP8" s="7">
        <f>IF(AA8&gt;0,AA8,"")</f>
        <v>2.9</v>
      </c>
      <c r="AQ8" s="7">
        <f>IF(SUM(Y8:AB8)-AC8&gt;0,SUM(Y8:AB8)-AC8,"")</f>
        <v>11.030000000000001</v>
      </c>
      <c r="AR8" s="7" t="str">
        <f>IF(AF8&gt;0,AF8,"")</f>
        <v/>
      </c>
      <c r="AS8" s="7" t="str">
        <f>IF(SUM(AD8:AG8)-AH8&gt;0,SUM(AD8:AG8)-AH8,"")</f>
        <v/>
      </c>
      <c r="AT8" s="7">
        <f>IF(AO8="",IF(MAX(AQ8,AS8)&gt;0,MAX(AQ8,AS8),""),MAX(AQ8,AS8)+AO8)</f>
        <v>48.69</v>
      </c>
      <c r="AU8" s="7" t="str">
        <f>IF(AK8&gt;0,AK8,"")</f>
        <v/>
      </c>
      <c r="AV8" s="7" t="str">
        <f>IF(SUM(AI8:AL8)-AM8&gt;0,SUM(AI8:AL8)-AM8,"")</f>
        <v/>
      </c>
      <c r="AW8" s="7">
        <f>IF(SUM(AT8,AV8)&gt;0,SUM(AT8,AV8),"")</f>
        <v>48.69</v>
      </c>
      <c r="AX8" s="23">
        <v>17.100000000000001</v>
      </c>
      <c r="AY8" s="23">
        <v>9.3000000000000007</v>
      </c>
      <c r="AZ8" s="23">
        <v>0</v>
      </c>
      <c r="BA8" s="23">
        <v>15.5</v>
      </c>
      <c r="BB8" s="23">
        <v>0</v>
      </c>
      <c r="BC8" s="23">
        <v>15.7</v>
      </c>
      <c r="BD8" s="23">
        <v>9.1</v>
      </c>
      <c r="BE8" s="23">
        <v>11.5</v>
      </c>
      <c r="BF8" s="23">
        <v>14.6</v>
      </c>
      <c r="BG8" s="23">
        <v>0</v>
      </c>
      <c r="BH8" s="23"/>
      <c r="BI8" s="23"/>
      <c r="BJ8" s="23"/>
      <c r="BK8" s="23"/>
      <c r="BL8" s="23"/>
      <c r="BM8" s="23">
        <v>16.899999999999999</v>
      </c>
      <c r="BN8" s="23">
        <v>9.8000000000000007</v>
      </c>
      <c r="BO8" s="23">
        <v>11.5</v>
      </c>
      <c r="BP8" s="23">
        <v>14.52</v>
      </c>
      <c r="BQ8" s="23">
        <v>0</v>
      </c>
      <c r="BR8" s="33"/>
      <c r="BS8" s="9">
        <f>IF(SUM(AX8:BA8)-BB8&gt;0,SUM(AX8:BA8)-BB8,"")</f>
        <v>41.900000000000006</v>
      </c>
      <c r="BT8" s="9">
        <f>IF(BE8&gt;0,BE8,"")</f>
        <v>11.5</v>
      </c>
      <c r="BU8" s="9">
        <f>IF(SUM(BC8:BF8)-BG8&gt;0,SUM(BC8:BF8)-BG8,"")</f>
        <v>50.9</v>
      </c>
      <c r="BV8" s="9" t="str">
        <f>IF(BJ8&gt;0,BJ8,"")</f>
        <v/>
      </c>
      <c r="BW8" s="9" t="str">
        <f>IF(SUM(BH8:BK8)-BL8&gt;0,SUM(BH8:BK8)-BL8,"")</f>
        <v/>
      </c>
      <c r="BX8" s="9">
        <f>IF(BS8="",IF(MAX(BU8,BW8)&gt;0,MAX(BU8,BW8),""),MAX(BU8,BW8)+BS8)</f>
        <v>92.800000000000011</v>
      </c>
      <c r="BY8" s="9">
        <f>IF(BO8&gt;0,BO8,"")</f>
        <v>11.5</v>
      </c>
      <c r="BZ8" s="9">
        <f>IF(SUM(BM8:BP8)-BQ8&gt;0,SUM(BM8:BP8)-BQ8,"")</f>
        <v>52.72</v>
      </c>
      <c r="CA8" s="9">
        <f>IF(SUM(BX8,BZ8)&gt;0,SUM(BX8,BZ8),"")</f>
        <v>145.52000000000001</v>
      </c>
      <c r="CB8" s="27">
        <v>17.399999999999999</v>
      </c>
      <c r="CC8" s="27">
        <v>9.4</v>
      </c>
      <c r="CD8" s="27">
        <v>0</v>
      </c>
      <c r="CE8" s="27">
        <v>16.39</v>
      </c>
      <c r="CF8" s="27">
        <v>0</v>
      </c>
      <c r="CG8" s="27">
        <v>1.6</v>
      </c>
      <c r="CH8" s="27">
        <v>0.8</v>
      </c>
      <c r="CI8" s="27">
        <v>2</v>
      </c>
      <c r="CJ8" s="27">
        <v>1.75</v>
      </c>
      <c r="CK8" s="27">
        <v>0</v>
      </c>
      <c r="CL8" s="27"/>
      <c r="CM8" s="27"/>
      <c r="CN8" s="27"/>
      <c r="CO8" s="27"/>
      <c r="CP8" s="27"/>
      <c r="CQ8" s="27"/>
      <c r="CR8" s="27"/>
      <c r="CS8" s="27"/>
      <c r="CT8" s="27"/>
      <c r="CU8" s="27"/>
      <c r="CV8" s="32"/>
      <c r="CW8" s="7">
        <f>IF(SUM(CB8:CE8)-CF8&gt;0,SUM(CB8:CE8)-CF8,"")</f>
        <v>43.19</v>
      </c>
      <c r="CX8" s="7">
        <f>IF(CI8&gt;0,CI8,"")</f>
        <v>2</v>
      </c>
      <c r="CY8" s="7">
        <f>IF(SUM(CG8:CJ8)-CK8&gt;0,SUM(CG8:CJ8)-CK8,"")</f>
        <v>6.15</v>
      </c>
      <c r="CZ8" s="7" t="str">
        <f>IF(CN8&gt;0,CN8,"")</f>
        <v/>
      </c>
      <c r="DA8" s="7" t="str">
        <f>IF(SUM(CL8:CO8)-CP8&gt;0,SUM(CL8:CO8)-CP8,"")</f>
        <v/>
      </c>
      <c r="DB8" s="7">
        <f>IF(CW8="",IF(MAX(CY8,DA8)&gt;0,MAX(CY8,DA8),""),MAX(CY8,DA8)+CW8)</f>
        <v>49.339999999999996</v>
      </c>
      <c r="DC8" s="7" t="str">
        <f>IF(CS8&gt;0,CS8,"")</f>
        <v/>
      </c>
      <c r="DD8" s="7" t="str">
        <f>IF(SUM(CQ8:CT8)-CU8&gt;0,SUM(CQ8:CT8)-CU8,"")</f>
        <v/>
      </c>
      <c r="DE8" s="7">
        <f>IF(SUM(DB8,DD8)&gt;0,SUM(DB8,DD8),"")</f>
        <v>49.339999999999996</v>
      </c>
      <c r="DF8" s="13" t="str">
        <f>IF(MAX(DZ8,EV8,FR8,GN8,HJ8,IF8,JB8,JX8,KT8,LP8,ML8,NH8)-IF(K8="",0,K8)&gt;0.001,MAX(DZ8,EV8,FR8,GN8,HJ8,IF8,JB8,JX8,KT8,LP8,ML8,NH8)-IF(K8="",0,K8),"")</f>
        <v/>
      </c>
      <c r="DG8" s="13" t="str">
        <f>IF(MAX(EA8,EW8,FS8,GO8,HK8,IG8,JC8,JY8,KU8,LQ8,MM8,NI8)-IF(M8="",0,M8)&gt;0.001,MAX(EA8,EW8,FS8,GO8,HK8,IG8,JC8,JY8,KU8,LQ8,MM8,NI8)-IF(M8="",0,M8),"")</f>
        <v/>
      </c>
      <c r="DH8" s="13" t="str">
        <f>IF(MAX(EB8,EX8,FT8,GP8,HL8,IH8,JD8,JZ8,KV8,LR8,MN8,NJ8)-IF(I8="",0,I8)&gt;0.001,MAX(EB8,EX8,FT8,GP8,HL8,IH8,JD8,JZ8,KV8,LR8,MN8,NJ8)-IF(I8="",0,I8),"")</f>
        <v/>
      </c>
      <c r="DI8" s="13" t="str">
        <f>IF(MAX(ED8,EZ8,FV8,GR8,HN8,IJ8,JF8,KB8,KX8,LT8,MP8,NL8)-IF(O8="",0,O8)&gt;0.001,MAX(ED8,EZ8,FV8,GR8,HN8,IJ8,JF8,KB8,KX8,LT8,MP8,NL8)-IF(O8="",0,O8),"")</f>
        <v/>
      </c>
      <c r="DJ8" s="18"/>
      <c r="DK8" s="18"/>
      <c r="DL8" s="18"/>
      <c r="DM8" s="18"/>
      <c r="DN8" s="18"/>
      <c r="DO8" s="18"/>
      <c r="DP8" s="18"/>
      <c r="DQ8" s="18"/>
      <c r="DR8" s="18"/>
      <c r="DS8" s="18"/>
      <c r="DT8" s="18"/>
      <c r="DU8" s="18"/>
      <c r="DV8" s="18"/>
      <c r="DW8" s="18"/>
      <c r="DX8" s="18"/>
      <c r="DY8" s="7" t="str">
        <f>IF(DQ8&gt;0,DQ8,"")</f>
        <v/>
      </c>
      <c r="DZ8" s="7" t="str">
        <f>IF(SUM(DJ8:DM8)-DN8&gt;0,SUM(DJ8:DM8)-DN8,"")</f>
        <v/>
      </c>
      <c r="EA8" s="7" t="str">
        <f>IF(SUM(DO8:DR8)-DS8&gt;0,SUM(DO8:DR8)-DS8,"")</f>
        <v/>
      </c>
      <c r="EB8" s="7" t="str">
        <f>IF(SUM(DZ8:EA8)&gt;0,SUM(DZ8:EA8),"")</f>
        <v/>
      </c>
      <c r="EC8" s="7" t="str">
        <f>IF(DV8&gt;0,DV8,"")</f>
        <v/>
      </c>
      <c r="ED8" s="7" t="str">
        <f>IF(SUM(DT8:DW8)-DX8&gt;0,SUM(DT8:DW8)-DX8,"")</f>
        <v/>
      </c>
      <c r="EE8" s="7" t="str">
        <f>IF(SUM(EB8,ED8)&gt;0,SUM(EB8,ED8),"")</f>
        <v/>
      </c>
      <c r="EF8" s="19"/>
      <c r="EG8" s="19"/>
      <c r="EH8" s="19"/>
      <c r="EI8" s="19"/>
      <c r="EJ8" s="19"/>
      <c r="EK8" s="19"/>
      <c r="EL8" s="19"/>
      <c r="EM8" s="19"/>
      <c r="EN8" s="19"/>
      <c r="EO8" s="19"/>
      <c r="EP8" s="19"/>
      <c r="EQ8" s="19"/>
      <c r="ER8" s="19"/>
      <c r="ES8" s="19"/>
      <c r="ET8" s="19"/>
      <c r="EU8" s="9" t="str">
        <f>IF(EM8&gt;0,EM8,"")</f>
        <v/>
      </c>
      <c r="EV8" s="9" t="str">
        <f>IF(SUM(EF8:EI8)-EJ8&gt;0,SUM(EF8:EI8)-EJ8,"")</f>
        <v/>
      </c>
      <c r="EW8" s="9" t="str">
        <f>IF(SUM(EK8:EN8)-EO8&gt;0,SUM(EK8:EN8)-EO8,"")</f>
        <v/>
      </c>
      <c r="EX8" s="9" t="str">
        <f>IF(SUM(EV8:EW8)&gt;0,SUM(EV8:EW8),"")</f>
        <v/>
      </c>
      <c r="EY8" s="9" t="str">
        <f>IF(ER8&gt;0,ER8,"")</f>
        <v/>
      </c>
      <c r="EZ8" s="9" t="str">
        <f>IF(SUM(EP8:ES8)-ET8&gt;0,SUM(EP8:ES8)-ET8,"")</f>
        <v/>
      </c>
      <c r="FA8" s="9" t="str">
        <f>IF(SUM(EX8,EZ8)&gt;0,SUM(EX8,EZ8),"")</f>
        <v/>
      </c>
      <c r="FB8" s="18"/>
      <c r="FC8" s="18"/>
      <c r="FD8" s="18"/>
      <c r="FE8" s="18"/>
      <c r="FF8" s="18"/>
      <c r="FG8" s="18"/>
      <c r="FH8" s="18"/>
      <c r="FI8" s="18"/>
      <c r="FJ8" s="18"/>
      <c r="FK8" s="18"/>
      <c r="FL8" s="18"/>
      <c r="FM8" s="18"/>
      <c r="FN8" s="18"/>
      <c r="FO8" s="18"/>
      <c r="FP8" s="18"/>
      <c r="FQ8" s="7" t="str">
        <f>IF(FI8&gt;0,FI8,"")</f>
        <v/>
      </c>
      <c r="FR8" s="7" t="str">
        <f>IF(SUM(FB8:FE8)-FF8&gt;0,SUM(FB8:FE8)-FF8,"")</f>
        <v/>
      </c>
      <c r="FS8" s="7" t="str">
        <f>IF(SUM(FG8:FJ8)-FK8&gt;0,SUM(FG8:FJ8)-FK8,"")</f>
        <v/>
      </c>
      <c r="FT8" s="7" t="str">
        <f>IF(SUM(FR8:FS8)&gt;0,SUM(FR8:FS8),"")</f>
        <v/>
      </c>
      <c r="FU8" s="7" t="str">
        <f>IF(FN8&gt;0,FN8,"")</f>
        <v/>
      </c>
      <c r="FV8" s="7" t="str">
        <f>IF(SUM(FL8:FO8)-FP8&gt;0,SUM(FL8:FO8)-FP8,"")</f>
        <v/>
      </c>
      <c r="FW8" s="7" t="str">
        <f>IF(SUM(FT8,FV8)&gt;0,SUM(FT8,FV8),"")</f>
        <v/>
      </c>
      <c r="FX8" s="19"/>
      <c r="FY8" s="19"/>
      <c r="FZ8" s="19"/>
      <c r="GA8" s="19"/>
      <c r="GB8" s="19"/>
      <c r="GC8" s="19"/>
      <c r="GD8" s="19"/>
      <c r="GE8" s="19"/>
      <c r="GF8" s="19"/>
      <c r="GG8" s="19"/>
      <c r="GH8" s="19"/>
      <c r="GI8" s="19"/>
      <c r="GJ8" s="19"/>
      <c r="GK8" s="19"/>
      <c r="GL8" s="19"/>
      <c r="GM8" s="9" t="str">
        <f>IF(GE8&gt;0,GE8,"")</f>
        <v/>
      </c>
      <c r="GN8" s="9" t="str">
        <f>IF(SUM(FX8:GA8)-GB8&gt;0,SUM(FX8:GA8)-GB8,"")</f>
        <v/>
      </c>
      <c r="GO8" s="9" t="str">
        <f>IF(SUM(GC8:GF8)-GG8&gt;0,SUM(GC8:GF8)-GG8,"")</f>
        <v/>
      </c>
      <c r="GP8" s="9" t="str">
        <f>IF(SUM(GN8:GO8)&gt;0,SUM(GN8:GO8),"")</f>
        <v/>
      </c>
      <c r="GQ8" s="9" t="str">
        <f>IF(GJ8&gt;0,GJ8,"")</f>
        <v/>
      </c>
      <c r="GR8" s="9" t="str">
        <f>IF(SUM(GH8:GK8)-GL8&gt;0,SUM(GH8:GK8)-GL8,"")</f>
        <v/>
      </c>
      <c r="GS8" s="9" t="str">
        <f>IF(SUM(GP8,GR8)&gt;0,SUM(GP8,GR8),"")</f>
        <v/>
      </c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7" t="str">
        <f>IF(HA8&gt;0,HA8,"")</f>
        <v/>
      </c>
      <c r="HJ8" s="7" t="str">
        <f>IF(SUM(GT8:GW8)-GX8&gt;0,SUM(GT8:GW8)-GX8,"")</f>
        <v/>
      </c>
      <c r="HK8" s="7" t="str">
        <f>IF(SUM(GY8:HB8)-HC8&gt;0,SUM(GY8:HB8)-HC8,"")</f>
        <v/>
      </c>
      <c r="HL8" s="7" t="str">
        <f>IF(SUM(HJ8:HK8)&gt;0,SUM(HJ8:HK8),"")</f>
        <v/>
      </c>
      <c r="HM8" s="7" t="str">
        <f>IF(HF8&gt;0,HF8,"")</f>
        <v/>
      </c>
      <c r="HN8" s="7" t="str">
        <f>IF(SUM(HD8:HG8)-HH8&gt;0,SUM(HD8:HG8)-HH8,"")</f>
        <v/>
      </c>
      <c r="HO8" s="7" t="str">
        <f>IF(SUM(HL8,HN8)&gt;0,SUM(HL8,HN8),"")</f>
        <v/>
      </c>
      <c r="HP8" s="19"/>
      <c r="HQ8" s="19"/>
      <c r="HR8" s="19"/>
      <c r="HS8" s="19"/>
      <c r="HT8" s="19"/>
      <c r="HU8" s="19"/>
      <c r="HV8" s="19"/>
      <c r="HW8" s="19"/>
      <c r="HX8" s="19"/>
      <c r="HY8" s="19"/>
      <c r="HZ8" s="19"/>
      <c r="IA8" s="19"/>
      <c r="IB8" s="19"/>
      <c r="IC8" s="19"/>
      <c r="ID8" s="19"/>
      <c r="IE8" s="9" t="str">
        <f>IF(HW8&gt;0,HW8,"")</f>
        <v/>
      </c>
      <c r="IF8" s="9" t="str">
        <f>IF(SUM(HP8:HS8)-HT8&gt;0,SUM(HP8:HS8)-HT8,"")</f>
        <v/>
      </c>
      <c r="IG8" s="9" t="str">
        <f>IF(SUM(HU8:HX8)-HY8&gt;0,SUM(HU8:HX8)-HY8,"")</f>
        <v/>
      </c>
      <c r="IH8" s="9" t="str">
        <f>IF(SUM(IF8:IG8)&gt;0,SUM(IF8:IG8),"")</f>
        <v/>
      </c>
      <c r="II8" s="9" t="str">
        <f>IF(IB8&gt;0,IB8,"")</f>
        <v/>
      </c>
      <c r="IJ8" s="9" t="str">
        <f>IF(SUM(HZ8:IC8)-ID8&gt;0,SUM(HZ8:IC8)-ID8,"")</f>
        <v/>
      </c>
      <c r="IK8" s="9" t="str">
        <f>IF(SUM(IH8,IJ8)&gt;0,SUM(IH8,IJ8),"")</f>
        <v/>
      </c>
      <c r="IL8" s="18"/>
      <c r="IM8" s="18"/>
      <c r="IN8" s="18"/>
      <c r="IO8" s="18"/>
      <c r="IP8" s="18"/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7" t="str">
        <f>IF(IS8&gt;0,IS8,"")</f>
        <v/>
      </c>
      <c r="JB8" s="7" t="str">
        <f>IF(SUM(IL8:IO8)-IP8&gt;0,SUM(IL8:IO8)-IP8,"")</f>
        <v/>
      </c>
      <c r="JC8" s="7" t="str">
        <f>IF(SUM(IQ8:IT8)-IU8&gt;0,SUM(IQ8:IT8)-IU8,"")</f>
        <v/>
      </c>
      <c r="JD8" s="7" t="str">
        <f>IF(SUM(JB8:JC8)&gt;0,SUM(JB8:JC8),"")</f>
        <v/>
      </c>
      <c r="JE8" s="7" t="str">
        <f>IF(IX8&gt;0,IX8,"")</f>
        <v/>
      </c>
      <c r="JF8" s="7" t="str">
        <f>IF(SUM(IV8:IY8)-IZ8&gt;0,SUM(IV8:IY8)-IZ8,"")</f>
        <v/>
      </c>
      <c r="JG8" s="7" t="str">
        <f>IF(SUM(JD8,JF8)&gt;0,SUM(JD8,JF8),"")</f>
        <v/>
      </c>
      <c r="JH8" s="19"/>
      <c r="JI8" s="19"/>
      <c r="JJ8" s="19"/>
      <c r="JK8" s="19"/>
      <c r="JL8" s="19"/>
      <c r="JM8" s="19"/>
      <c r="JN8" s="19"/>
      <c r="JO8" s="19"/>
      <c r="JP8" s="19"/>
      <c r="JQ8" s="19"/>
      <c r="JR8" s="19"/>
      <c r="JS8" s="19"/>
      <c r="JT8" s="19"/>
      <c r="JU8" s="19"/>
      <c r="JV8" s="19"/>
      <c r="JW8" s="9" t="str">
        <f>IF(JO8&gt;0,JO8,"")</f>
        <v/>
      </c>
      <c r="JX8" s="9" t="str">
        <f>IF(SUM(JH8:JK8)-JL8&gt;0,SUM(JH8:JK8)-JL8,"")</f>
        <v/>
      </c>
      <c r="JY8" s="9" t="str">
        <f>IF(SUM(JM8:JP8)-JQ8&gt;0,SUM(JM8:JP8)-JQ8,"")</f>
        <v/>
      </c>
      <c r="JZ8" s="9" t="str">
        <f>IF(SUM(JX8:JY8)&gt;0,SUM(JX8:JY8),"")</f>
        <v/>
      </c>
      <c r="KA8" s="9" t="str">
        <f>IF(JT8&gt;0,JT8,"")</f>
        <v/>
      </c>
      <c r="KB8" s="9" t="str">
        <f>IF(SUM(JR8:JU8)-JV8&gt;0,SUM(JR8:JU8)-JV8,"")</f>
        <v/>
      </c>
      <c r="KC8" s="9" t="str">
        <f>IF(SUM(JZ8,KB8)&gt;0,SUM(JZ8,KB8),"")</f>
        <v/>
      </c>
      <c r="KD8" s="18"/>
      <c r="KE8" s="18"/>
      <c r="KF8" s="18"/>
      <c r="KG8" s="18"/>
      <c r="KH8" s="18"/>
      <c r="KI8" s="18"/>
      <c r="KJ8" s="18"/>
      <c r="KK8" s="18"/>
      <c r="KL8" s="18"/>
      <c r="KM8" s="18"/>
      <c r="KN8" s="18"/>
      <c r="KO8" s="18"/>
      <c r="KP8" s="18"/>
      <c r="KQ8" s="18"/>
      <c r="KR8" s="18"/>
      <c r="KS8" s="7" t="str">
        <f>IF(KK8&gt;0,KK8,"")</f>
        <v/>
      </c>
      <c r="KT8" s="7" t="str">
        <f>IF(SUM(KD8:KG8)-KH8&gt;0,SUM(KD8:KG8)-KH8,"")</f>
        <v/>
      </c>
      <c r="KU8" s="7" t="str">
        <f>IF(SUM(KI8:KL8)-KM8&gt;0,SUM(KI8:KL8)-KM8,"")</f>
        <v/>
      </c>
      <c r="KV8" s="7" t="str">
        <f>IF(SUM(KT8:KU8)&gt;0,SUM(KT8:KU8),"")</f>
        <v/>
      </c>
      <c r="KW8" s="7" t="str">
        <f>IF(KP8&gt;0,KP8,"")</f>
        <v/>
      </c>
      <c r="KX8" s="7" t="str">
        <f>IF(SUM(KN8:KQ8)-KR8&gt;0,SUM(KN8:KQ8)-KR8,"")</f>
        <v/>
      </c>
      <c r="KY8" s="7" t="str">
        <f>IF(SUM(KV8,KX8)&gt;0,SUM(KV8,KX8),"")</f>
        <v/>
      </c>
      <c r="KZ8" s="19"/>
      <c r="LA8" s="19"/>
      <c r="LB8" s="19"/>
      <c r="LC8" s="19"/>
      <c r="LD8" s="19"/>
      <c r="LE8" s="19"/>
      <c r="LF8" s="19"/>
      <c r="LG8" s="19"/>
      <c r="LH8" s="19"/>
      <c r="LI8" s="19"/>
      <c r="LJ8" s="19"/>
      <c r="LK8" s="19"/>
      <c r="LL8" s="19"/>
      <c r="LM8" s="19"/>
      <c r="LN8" s="19"/>
      <c r="LO8" s="9" t="str">
        <f>IF(LG8&gt;0,LG8,"")</f>
        <v/>
      </c>
      <c r="LP8" s="9" t="str">
        <f>IF(SUM(KZ8:LC8)-LD8&gt;0,SUM(KZ8:LC8)-LD8,"")</f>
        <v/>
      </c>
      <c r="LQ8" s="9" t="str">
        <f>IF(SUM(LE8:LH8)-LI8&gt;0,SUM(LE8:LH8)-LI8,"")</f>
        <v/>
      </c>
      <c r="LR8" s="9" t="str">
        <f>IF(SUM(LP8:LQ8)&gt;0,SUM(LP8:LQ8),"")</f>
        <v/>
      </c>
      <c r="LS8" s="9" t="str">
        <f>IF(LL8&gt;0,LL8,"")</f>
        <v/>
      </c>
      <c r="LT8" s="9" t="str">
        <f>IF(SUM(LJ8:LM8)-LN8&gt;0,SUM(LJ8:LM8)-LN8,"")</f>
        <v/>
      </c>
      <c r="LU8" s="9" t="str">
        <f>IF(SUM(LR8,LT8)&gt;0,SUM(LR8,LT8),"")</f>
        <v/>
      </c>
      <c r="LV8" s="18"/>
      <c r="LW8" s="18"/>
      <c r="LX8" s="18"/>
      <c r="LY8" s="18"/>
      <c r="LZ8" s="18"/>
      <c r="MA8" s="18"/>
      <c r="MB8" s="18"/>
      <c r="MC8" s="18"/>
      <c r="MD8" s="18"/>
      <c r="ME8" s="18"/>
      <c r="MF8" s="18"/>
      <c r="MG8" s="18"/>
      <c r="MH8" s="18"/>
      <c r="MI8" s="18"/>
      <c r="MJ8" s="18"/>
      <c r="MK8" s="7" t="str">
        <f>IF(MC8&gt;0,MC8,"")</f>
        <v/>
      </c>
      <c r="ML8" s="7" t="str">
        <f>IF(SUM(LV8:LY8)-LZ8&gt;0,SUM(LV8:LY8)-LZ8,"")</f>
        <v/>
      </c>
      <c r="MM8" s="7" t="str">
        <f>IF(SUM(MA8:MD8)-ME8&gt;0,SUM(MA8:MD8)-ME8,"")</f>
        <v/>
      </c>
      <c r="MN8" s="7" t="str">
        <f>IF(SUM(ML8:MM8)&gt;0,SUM(ML8:MM8),"")</f>
        <v/>
      </c>
      <c r="MO8" s="7" t="str">
        <f>IF(MH8&gt;0,MH8,"")</f>
        <v/>
      </c>
      <c r="MP8" s="7" t="str">
        <f>IF(SUM(MF8:MI8)-MJ8&gt;0,SUM(MF8:MI8)-MJ8,"")</f>
        <v/>
      </c>
      <c r="MQ8" s="7" t="str">
        <f>IF(SUM(MN8,MP8)&gt;0,SUM(MN8,MP8),"")</f>
        <v/>
      </c>
      <c r="MR8" s="19"/>
      <c r="MS8" s="19"/>
      <c r="MT8" s="19"/>
      <c r="MU8" s="19"/>
      <c r="MV8" s="19"/>
      <c r="MW8" s="19"/>
      <c r="MX8" s="19"/>
      <c r="MY8" s="19"/>
      <c r="MZ8" s="19"/>
      <c r="NA8" s="19"/>
      <c r="NB8" s="19"/>
      <c r="NC8" s="19"/>
      <c r="ND8" s="19"/>
      <c r="NE8" s="19"/>
      <c r="NF8" s="19"/>
      <c r="NG8" s="9" t="str">
        <f>IF(MY8&gt;0,MY8,"")</f>
        <v/>
      </c>
      <c r="NH8" s="9" t="str">
        <f>IF(SUM(MR8:MU8)-MV8&gt;0,SUM(MR8:MU8)-MV8,"")</f>
        <v/>
      </c>
      <c r="NI8" s="9" t="str">
        <f>IF(SUM(MW8:MZ8)-NA8&gt;0,SUM(MW8:MZ8)-NA8,"")</f>
        <v/>
      </c>
      <c r="NJ8" s="9" t="str">
        <f>IF(SUM(NH8:NI8)&gt;0,SUM(NH8:NI8),"")</f>
        <v/>
      </c>
      <c r="NK8" s="9" t="str">
        <f>IF(ND8&gt;0,ND8,"")</f>
        <v/>
      </c>
      <c r="NL8" s="9" t="str">
        <f>IF(SUM(NB8:NE8)-NF8&gt;0,SUM(NB8:NE8)-NF8,"")</f>
        <v/>
      </c>
      <c r="NM8" s="9" t="str">
        <f>IF(SUM(NJ8,NL8)&gt;0,SUM(NJ8,NL8),"")</f>
        <v/>
      </c>
      <c r="NN8" s="27">
        <f>IF($CV8="P",CB8,(CB8+AX8)/2)</f>
        <v>17.25</v>
      </c>
      <c r="NO8" s="27">
        <f>IF($CV8="P",CC8,(CC8+AY8)/2)</f>
        <v>9.3500000000000014</v>
      </c>
      <c r="NP8" s="27">
        <f>IF($CV8="P",CD8,(CD8+AZ8)/2)</f>
        <v>0</v>
      </c>
      <c r="NQ8" s="27">
        <f>IF($CV8="P",CE8,(CE8+BA8)/2)</f>
        <v>15.945</v>
      </c>
      <c r="NR8" s="27">
        <f>IF($CV8="P",CF8,(CF8+BB8)/2)</f>
        <v>0</v>
      </c>
      <c r="NS8" s="27">
        <f>IF($CV8="P",CG8,(CG8+BC8)/2)</f>
        <v>8.65</v>
      </c>
      <c r="NT8" s="27">
        <f>IF($CV8="P",CH8,(CH8+BD8)/2)</f>
        <v>4.95</v>
      </c>
      <c r="NU8" s="27">
        <f>IF($CV8="P",CI8,(CI8+BE8)/2)</f>
        <v>6.75</v>
      </c>
      <c r="NV8" s="27">
        <f>IF($CV8="P",CJ8,(CJ8+BF8)/2)</f>
        <v>8.1750000000000007</v>
      </c>
      <c r="NW8" s="27">
        <f>IF($CV8="P",CK8,(CK8+BG8)/2)</f>
        <v>0</v>
      </c>
      <c r="NX8" s="27">
        <f>IF($CV8="P",CL8,(CL8+BH8)/2)</f>
        <v>0</v>
      </c>
      <c r="NY8" s="27">
        <f>IF($CV8="P",CM8,(CM8+BI8)/2)</f>
        <v>0</v>
      </c>
      <c r="NZ8" s="27">
        <f>IF($CV8="P",CN8,(CN8+BJ8)/2)</f>
        <v>0</v>
      </c>
      <c r="OA8" s="27">
        <f>IF($CV8="P",CO8,(CO8+BK8)/2)</f>
        <v>0</v>
      </c>
      <c r="OB8" s="27">
        <f>IF($CV8="P",CP8,(CP8+BL8)/2)</f>
        <v>0</v>
      </c>
      <c r="OC8" s="27">
        <f>IF($CV8="P",CQ8,(CQ8+BM8)/2)</f>
        <v>8.4499999999999993</v>
      </c>
      <c r="OD8" s="27">
        <f>IF($CV8="P",CR8,(CR8+BN8)/2)</f>
        <v>4.9000000000000004</v>
      </c>
      <c r="OE8" s="27">
        <f>IF($CV8="P",CS8,(CS8+BO8)/2)</f>
        <v>5.75</v>
      </c>
      <c r="OF8" s="27">
        <f>IF($CV8="P",CT8,(CT8+BP8)/2)</f>
        <v>7.26</v>
      </c>
      <c r="OG8" s="27">
        <f>IF($CV8="P",CU8,(CU8+BQ8)/2)</f>
        <v>0</v>
      </c>
      <c r="OH8" s="32" t="s">
        <v>44</v>
      </c>
      <c r="OI8" s="7">
        <f>IF(SUM(NN8:NQ8)-NR8&gt;0,SUM(NN8:NQ8)-NR8,"")</f>
        <v>42.545000000000002</v>
      </c>
      <c r="OJ8" s="7">
        <f>IF(NU8&gt;0,NU8,"")</f>
        <v>6.75</v>
      </c>
      <c r="OK8" s="7">
        <f>IF(SUM(NS8:NV8)-NW8&gt;0,SUM(NS8:NV8)-NW8,"")</f>
        <v>28.525000000000002</v>
      </c>
      <c r="OL8" s="7" t="str">
        <f>IF(NZ8&gt;0,NZ8,"")</f>
        <v/>
      </c>
      <c r="OM8" s="7" t="str">
        <f>IF(SUM(NX8:OA8)-OB8&gt;0,SUM(NX8:OA8)-OB8,"")</f>
        <v/>
      </c>
      <c r="ON8" s="7">
        <f>IF(OR(OI8&lt;&gt;"",OK8&lt;&gt;"",OM8&lt;&gt;""),OI8+MAX(OK8,OM8),"")</f>
        <v>71.070000000000007</v>
      </c>
      <c r="OO8" s="7">
        <f>IF(OE8&gt;0,OE8,"")</f>
        <v>5.75</v>
      </c>
      <c r="OP8" s="7">
        <f t="shared" ref="OP8" si="8">IF(SUM(OC8:OF8)-OG8&gt;0,SUM(OC8:OF8)-OG8,"")</f>
        <v>26.36</v>
      </c>
      <c r="OQ8" s="7">
        <f t="shared" ref="OQ8" si="9">IF(SUM(ON8,OP8)&gt;0,SUM(ON8,OP8),"")</f>
        <v>97.43</v>
      </c>
    </row>
    <row r="9" spans="1:407" x14ac:dyDescent="0.2">
      <c r="B9" s="5"/>
      <c r="D9" s="1"/>
    </row>
    <row r="11" spans="1:407" x14ac:dyDescent="0.2">
      <c r="B11" s="28" t="s">
        <v>42</v>
      </c>
      <c r="C11" s="5"/>
      <c r="AP11" s="46"/>
      <c r="AQ11" s="46"/>
      <c r="AR11" s="46"/>
      <c r="AU11" s="2"/>
      <c r="AW11" s="24">
        <v>13.5</v>
      </c>
      <c r="BT11" s="46"/>
      <c r="BU11" s="46"/>
      <c r="BV11" s="46"/>
      <c r="BY11" s="2"/>
      <c r="CA11" s="24">
        <v>13.5</v>
      </c>
      <c r="CX11" s="46"/>
      <c r="CY11" s="46"/>
      <c r="CZ11" s="46"/>
      <c r="DC11" s="2"/>
      <c r="DE11" s="24">
        <v>13.5</v>
      </c>
      <c r="DY11" s="5"/>
      <c r="EC11" s="2"/>
      <c r="EE11" s="24">
        <v>13.5</v>
      </c>
      <c r="EU11" s="5"/>
      <c r="EY11" s="2"/>
      <c r="FA11" s="24">
        <v>13.5</v>
      </c>
      <c r="FQ11" s="5"/>
      <c r="FU11" s="2"/>
      <c r="FW11" s="24">
        <v>13.5</v>
      </c>
      <c r="GM11" s="5"/>
      <c r="GQ11" s="2"/>
      <c r="GS11" s="24">
        <v>13.5</v>
      </c>
      <c r="HI11" s="5"/>
      <c r="HM11" s="2"/>
      <c r="HO11" s="24">
        <v>13.5</v>
      </c>
      <c r="IE11" s="5"/>
      <c r="II11" s="2"/>
      <c r="IK11" s="24">
        <v>13.5</v>
      </c>
      <c r="JA11" s="5"/>
      <c r="JE11" s="2"/>
      <c r="JG11" s="24">
        <v>13.5</v>
      </c>
      <c r="JW11" s="5"/>
      <c r="KA11" s="2"/>
      <c r="KC11" s="24">
        <v>13.5</v>
      </c>
      <c r="KS11" s="5"/>
      <c r="KW11" s="2"/>
      <c r="KY11" s="24">
        <v>13.5</v>
      </c>
      <c r="LO11" s="5"/>
      <c r="LS11" s="2"/>
      <c r="LU11" s="24">
        <v>13.5</v>
      </c>
      <c r="MK11" s="5"/>
      <c r="MO11" s="2"/>
      <c r="MQ11" s="24">
        <v>13.5</v>
      </c>
      <c r="NG11" s="5"/>
      <c r="NK11" s="2"/>
      <c r="NM11" s="24">
        <v>13.5</v>
      </c>
    </row>
    <row r="12" spans="1:407" hidden="1" x14ac:dyDescent="0.2">
      <c r="B12" s="35" t="s">
        <v>41</v>
      </c>
      <c r="C12" s="5"/>
      <c r="AP12" s="46"/>
      <c r="AQ12" s="46"/>
      <c r="AR12" s="46"/>
      <c r="AU12" s="2"/>
      <c r="AW12" s="39">
        <v>13.5</v>
      </c>
      <c r="BT12" s="46"/>
      <c r="BU12" s="46"/>
      <c r="BV12" s="46"/>
      <c r="BY12" s="2"/>
      <c r="CA12" s="39">
        <v>13.5</v>
      </c>
      <c r="CX12" s="46"/>
      <c r="CY12" s="46"/>
      <c r="CZ12" s="46"/>
      <c r="DC12" s="2"/>
      <c r="DE12" s="39">
        <v>13.5</v>
      </c>
      <c r="DY12" s="5"/>
      <c r="EC12" s="2"/>
      <c r="EE12" s="39">
        <v>13.5</v>
      </c>
      <c r="EU12" s="5"/>
      <c r="EY12" s="2"/>
      <c r="FA12" s="39">
        <v>13.5</v>
      </c>
      <c r="FQ12" s="5"/>
      <c r="FU12" s="2"/>
      <c r="FW12" s="39">
        <v>13.5</v>
      </c>
      <c r="GM12" s="5"/>
      <c r="GQ12" s="2"/>
      <c r="GS12" s="39">
        <v>13.5</v>
      </c>
      <c r="HI12" s="5"/>
      <c r="HM12" s="2"/>
      <c r="HO12" s="39">
        <v>13.5</v>
      </c>
      <c r="IE12" s="5"/>
      <c r="II12" s="2"/>
      <c r="IK12" s="39">
        <v>13.5</v>
      </c>
      <c r="JA12" s="5"/>
      <c r="JE12" s="2"/>
      <c r="JG12" s="39">
        <v>13.5</v>
      </c>
      <c r="JW12" s="5"/>
      <c r="KA12" s="2"/>
      <c r="KC12" s="39">
        <v>13.5</v>
      </c>
      <c r="KS12" s="5"/>
      <c r="KW12" s="2"/>
      <c r="KY12" s="39">
        <v>13.5</v>
      </c>
      <c r="LO12" s="5"/>
      <c r="LS12" s="2"/>
      <c r="LU12" s="39">
        <v>13.5</v>
      </c>
      <c r="MK12" s="5"/>
      <c r="MO12" s="2"/>
      <c r="MQ12" s="39">
        <v>13.5</v>
      </c>
      <c r="NG12" s="5"/>
      <c r="NK12" s="2"/>
      <c r="NM12" s="39">
        <v>13.5</v>
      </c>
    </row>
    <row r="13" spans="1:407" x14ac:dyDescent="0.2">
      <c r="A13" s="5"/>
      <c r="B13" s="36" t="s">
        <v>54</v>
      </c>
      <c r="C13" s="5"/>
      <c r="AP13" s="46"/>
      <c r="AQ13" s="46"/>
      <c r="AR13" s="46"/>
      <c r="AT13" s="2"/>
      <c r="AU13" s="2"/>
      <c r="AV13" s="2"/>
      <c r="AW13" s="38">
        <v>13.5</v>
      </c>
      <c r="BT13" s="46"/>
      <c r="BU13" s="46"/>
      <c r="BV13" s="46"/>
      <c r="BY13" s="2"/>
      <c r="CA13" s="38">
        <v>13.5</v>
      </c>
      <c r="CX13" s="46"/>
      <c r="CY13" s="46"/>
      <c r="CZ13" s="46"/>
      <c r="DB13" s="2"/>
      <c r="DC13" s="2"/>
      <c r="DD13" s="2"/>
      <c r="DE13" s="38">
        <v>13.5</v>
      </c>
      <c r="DY13" s="5"/>
      <c r="EC13" s="2"/>
      <c r="EE13" s="38">
        <v>13.5</v>
      </c>
      <c r="EU13" s="5"/>
      <c r="EY13" s="2"/>
      <c r="FA13" s="38">
        <v>13.5</v>
      </c>
      <c r="FQ13" s="5"/>
      <c r="FU13" s="2"/>
      <c r="FW13" s="38">
        <v>13.5</v>
      </c>
      <c r="GM13" s="5"/>
      <c r="GQ13" s="2"/>
      <c r="GS13" s="38">
        <v>13.5</v>
      </c>
      <c r="HI13" s="5"/>
      <c r="HM13" s="2"/>
      <c r="HO13" s="38">
        <v>13.5</v>
      </c>
      <c r="IE13" s="5"/>
      <c r="II13" s="2"/>
      <c r="IK13" s="38">
        <v>13.5</v>
      </c>
      <c r="JA13" s="5"/>
      <c r="JE13" s="2"/>
      <c r="JG13" s="38">
        <v>13.5</v>
      </c>
      <c r="JW13" s="5"/>
      <c r="KA13" s="2"/>
      <c r="KC13" s="38">
        <v>13.5</v>
      </c>
      <c r="KS13" s="5"/>
      <c r="KW13" s="2"/>
      <c r="KY13" s="38">
        <v>13.5</v>
      </c>
      <c r="LO13" s="5"/>
      <c r="LS13" s="2"/>
      <c r="LU13" s="38">
        <v>13.5</v>
      </c>
      <c r="MK13" s="5"/>
      <c r="MO13" s="2"/>
      <c r="MQ13" s="38">
        <v>13.5</v>
      </c>
      <c r="NG13" s="5"/>
      <c r="NK13" s="2"/>
      <c r="NM13" s="38">
        <v>13.5</v>
      </c>
    </row>
    <row r="14" spans="1:407" x14ac:dyDescent="0.2">
      <c r="A14" s="5"/>
      <c r="B14" s="44" t="s">
        <v>59</v>
      </c>
      <c r="C14" s="5"/>
      <c r="AP14" s="46"/>
      <c r="AQ14" s="46"/>
      <c r="AR14" s="46"/>
      <c r="AT14" s="2"/>
      <c r="AU14" s="2"/>
      <c r="AV14" s="2"/>
      <c r="AW14" s="45">
        <v>13.5</v>
      </c>
      <c r="BT14" s="46"/>
      <c r="BU14" s="46"/>
      <c r="BV14" s="46"/>
      <c r="BY14" s="2"/>
      <c r="CA14" s="45">
        <v>13.5</v>
      </c>
      <c r="CX14" s="46"/>
      <c r="CY14" s="46"/>
      <c r="CZ14" s="46"/>
      <c r="DB14" s="2"/>
      <c r="DC14" s="2"/>
      <c r="DD14" s="2"/>
      <c r="DE14" s="45">
        <v>13.5</v>
      </c>
      <c r="DY14" s="5"/>
      <c r="EC14" s="2"/>
      <c r="EE14" s="45">
        <v>13.5</v>
      </c>
      <c r="EU14" s="5"/>
      <c r="EY14" s="2"/>
      <c r="FA14" s="45">
        <v>13.5</v>
      </c>
      <c r="FQ14" s="5"/>
      <c r="FU14" s="2"/>
      <c r="FW14" s="45">
        <v>13.5</v>
      </c>
      <c r="GM14" s="5"/>
      <c r="GQ14" s="2"/>
      <c r="GS14" s="45">
        <v>13.5</v>
      </c>
      <c r="HI14" s="5"/>
      <c r="HM14" s="2"/>
      <c r="HO14" s="45">
        <v>13.5</v>
      </c>
      <c r="IE14" s="5"/>
      <c r="II14" s="2"/>
      <c r="IK14" s="45">
        <v>13.5</v>
      </c>
      <c r="JA14" s="5"/>
      <c r="JE14" s="2"/>
      <c r="JG14" s="45">
        <v>13.5</v>
      </c>
      <c r="JW14" s="5"/>
      <c r="KA14" s="2"/>
      <c r="KC14" s="45">
        <v>13.5</v>
      </c>
      <c r="KS14" s="5"/>
      <c r="KW14" s="2"/>
      <c r="KY14" s="45">
        <v>13.5</v>
      </c>
      <c r="LO14" s="5"/>
      <c r="LS14" s="2"/>
      <c r="LU14" s="45">
        <v>13.5</v>
      </c>
      <c r="MK14" s="5"/>
      <c r="MO14" s="2"/>
      <c r="MQ14" s="45">
        <v>13.5</v>
      </c>
      <c r="NG14" s="5"/>
      <c r="NK14" s="2"/>
      <c r="NM14" s="45">
        <v>13.5</v>
      </c>
    </row>
    <row r="15" spans="1:407" x14ac:dyDescent="0.2">
      <c r="A15" s="5"/>
      <c r="B15" s="42" t="s">
        <v>39</v>
      </c>
      <c r="C15" s="5"/>
      <c r="M15" s="2"/>
      <c r="AP15" s="46"/>
      <c r="AQ15" s="46"/>
      <c r="AR15" s="46"/>
      <c r="AT15" s="2"/>
      <c r="AU15" s="2"/>
      <c r="AV15" s="2"/>
      <c r="AW15" s="43">
        <v>96</v>
      </c>
      <c r="BT15" s="46"/>
      <c r="BU15" s="46"/>
      <c r="BV15" s="46"/>
      <c r="BY15" s="2"/>
      <c r="CA15" s="43">
        <v>96</v>
      </c>
      <c r="CX15" s="46"/>
      <c r="CY15" s="46"/>
      <c r="CZ15" s="46"/>
      <c r="DB15" s="2"/>
      <c r="DC15" s="2"/>
      <c r="DD15" s="2"/>
      <c r="DE15" s="43">
        <v>96</v>
      </c>
      <c r="DY15" s="5"/>
      <c r="EC15" s="2"/>
      <c r="EE15" s="43">
        <v>96</v>
      </c>
      <c r="EU15" s="5"/>
      <c r="EY15" s="2"/>
      <c r="FA15" s="43">
        <v>96</v>
      </c>
      <c r="FQ15" s="5"/>
      <c r="FU15" s="2"/>
      <c r="FW15" s="43">
        <v>96</v>
      </c>
      <c r="GM15" s="5"/>
      <c r="GQ15" s="2"/>
      <c r="GS15" s="43">
        <v>96</v>
      </c>
      <c r="HI15" s="5"/>
      <c r="HM15" s="2"/>
      <c r="HO15" s="43">
        <v>96</v>
      </c>
      <c r="IE15" s="5"/>
      <c r="II15" s="2"/>
      <c r="IK15" s="43">
        <v>96</v>
      </c>
      <c r="JA15" s="5"/>
      <c r="JE15" s="2"/>
      <c r="JG15" s="43">
        <v>96</v>
      </c>
      <c r="JW15" s="5"/>
      <c r="KA15" s="2"/>
      <c r="KC15" s="43">
        <v>96</v>
      </c>
      <c r="KS15" s="5"/>
      <c r="KW15" s="2"/>
      <c r="KY15" s="43">
        <v>96</v>
      </c>
      <c r="LO15" s="5"/>
      <c r="LS15" s="2"/>
      <c r="LU15" s="43">
        <v>96</v>
      </c>
      <c r="MK15" s="5"/>
      <c r="MO15" s="2"/>
      <c r="MQ15" s="43">
        <v>96</v>
      </c>
      <c r="NG15" s="5"/>
      <c r="NK15" s="2"/>
      <c r="NM15" s="43">
        <v>96</v>
      </c>
    </row>
    <row r="16" spans="1:407" hidden="1" x14ac:dyDescent="0.2">
      <c r="A16" s="5"/>
      <c r="B16" s="29" t="s">
        <v>40</v>
      </c>
      <c r="C16" s="5"/>
      <c r="M16" s="2"/>
      <c r="AP16" s="46"/>
      <c r="AQ16" s="46"/>
      <c r="AR16" s="46"/>
      <c r="AT16" s="2"/>
      <c r="AU16" s="2"/>
      <c r="AV16" s="2"/>
      <c r="AW16" s="25">
        <v>99.2</v>
      </c>
      <c r="BT16" s="46"/>
      <c r="BU16" s="46"/>
      <c r="BV16" s="46"/>
      <c r="BY16" s="2"/>
      <c r="CA16" s="25">
        <v>99.2</v>
      </c>
      <c r="CX16" s="46"/>
      <c r="CY16" s="46"/>
      <c r="CZ16" s="46"/>
      <c r="DB16" s="2"/>
      <c r="DC16" s="2"/>
      <c r="DD16" s="2"/>
      <c r="DE16" s="25">
        <v>99.2</v>
      </c>
      <c r="DY16" s="5"/>
      <c r="EC16" s="2"/>
      <c r="EE16" s="25">
        <v>99.2</v>
      </c>
      <c r="EU16" s="5"/>
      <c r="EY16" s="2"/>
      <c r="FA16" s="25">
        <v>99.2</v>
      </c>
      <c r="FQ16" s="5"/>
      <c r="FU16" s="2"/>
      <c r="FW16" s="25">
        <v>99.2</v>
      </c>
      <c r="GM16" s="5"/>
      <c r="GQ16" s="2"/>
      <c r="GS16" s="25">
        <v>99.2</v>
      </c>
      <c r="HI16" s="5"/>
      <c r="HM16" s="2"/>
      <c r="HO16" s="25">
        <v>99.2</v>
      </c>
      <c r="IE16" s="5"/>
      <c r="II16" s="2"/>
      <c r="IK16" s="25">
        <v>99.2</v>
      </c>
      <c r="JA16" s="5"/>
      <c r="JE16" s="2"/>
      <c r="JG16" s="25">
        <v>99.2</v>
      </c>
      <c r="JW16" s="5"/>
      <c r="KA16" s="2"/>
      <c r="KC16" s="25">
        <v>99.2</v>
      </c>
      <c r="KS16" s="5"/>
      <c r="KW16" s="2"/>
      <c r="KY16" s="25">
        <v>99.2</v>
      </c>
      <c r="LO16" s="5"/>
      <c r="LS16" s="2"/>
      <c r="LU16" s="25">
        <v>99.2</v>
      </c>
      <c r="MK16" s="5"/>
      <c r="MO16" s="2"/>
      <c r="MQ16" s="25">
        <v>99.2</v>
      </c>
      <c r="NG16" s="5"/>
      <c r="NK16" s="2"/>
      <c r="NM16" s="25">
        <v>99.2</v>
      </c>
    </row>
    <row r="17" spans="1:377" x14ac:dyDescent="0.2">
      <c r="A17" s="5"/>
      <c r="B17" s="40" t="s">
        <v>53</v>
      </c>
      <c r="C17" s="5"/>
      <c r="AP17" s="46"/>
      <c r="AQ17" s="46"/>
      <c r="AR17" s="46"/>
      <c r="AT17" s="2"/>
      <c r="AU17" s="2"/>
      <c r="AV17" s="2"/>
      <c r="AW17" s="41">
        <v>99.2</v>
      </c>
      <c r="BT17" s="46"/>
      <c r="BU17" s="46"/>
      <c r="BV17" s="46"/>
      <c r="BY17" s="2"/>
      <c r="BZ17" s="48"/>
      <c r="CA17" s="41">
        <v>99.2</v>
      </c>
      <c r="CX17" s="46"/>
      <c r="CY17" s="46"/>
      <c r="CZ17" s="46"/>
      <c r="DB17" s="2"/>
      <c r="DC17" s="2"/>
      <c r="DD17" s="2"/>
      <c r="DE17" s="41">
        <v>99.2</v>
      </c>
      <c r="DY17" s="5"/>
      <c r="EC17" s="2"/>
      <c r="ED17" s="48"/>
      <c r="EE17" s="41">
        <v>99.2</v>
      </c>
      <c r="EU17" s="5"/>
      <c r="EY17" s="2"/>
      <c r="FA17" s="41">
        <v>99.2</v>
      </c>
      <c r="FQ17" s="5"/>
      <c r="FU17" s="2"/>
      <c r="FW17" s="41">
        <v>99.2</v>
      </c>
      <c r="GM17" s="5"/>
      <c r="GQ17" s="2"/>
      <c r="GR17" s="48"/>
      <c r="GS17" s="41">
        <v>99.2</v>
      </c>
      <c r="HI17" s="5"/>
      <c r="HM17" s="2"/>
      <c r="HN17" s="48"/>
      <c r="HO17" s="41">
        <v>99.2</v>
      </c>
      <c r="IE17" s="5"/>
      <c r="II17" s="2"/>
      <c r="IJ17" s="48"/>
      <c r="IK17" s="41">
        <v>99.2</v>
      </c>
      <c r="JA17" s="5"/>
      <c r="JE17" s="2"/>
      <c r="JG17" s="41">
        <v>99.2</v>
      </c>
      <c r="JW17" s="5"/>
      <c r="KA17" s="2"/>
      <c r="KC17" s="41">
        <v>99.2</v>
      </c>
      <c r="KS17" s="5"/>
      <c r="KW17" s="2"/>
      <c r="KY17" s="41">
        <v>99.2</v>
      </c>
      <c r="LO17" s="5"/>
      <c r="LS17" s="2"/>
      <c r="LU17" s="41">
        <v>99.2</v>
      </c>
      <c r="MK17" s="5"/>
      <c r="MO17" s="2"/>
      <c r="MQ17" s="41">
        <v>99.2</v>
      </c>
      <c r="NG17" s="5"/>
      <c r="NK17" s="2"/>
      <c r="NM17" s="41">
        <v>99.2</v>
      </c>
    </row>
    <row r="18" spans="1:377" x14ac:dyDescent="0.2">
      <c r="A18" s="5"/>
      <c r="B18" s="30" t="s">
        <v>26</v>
      </c>
      <c r="C18" s="5"/>
      <c r="M18" s="2"/>
      <c r="AP18" s="46"/>
      <c r="AQ18" s="46"/>
      <c r="AR18" s="46"/>
      <c r="AT18" s="2"/>
      <c r="AU18" s="2"/>
      <c r="AV18" s="2"/>
      <c r="AW18" s="26">
        <v>56</v>
      </c>
      <c r="BT18" s="46"/>
      <c r="BU18" s="46"/>
      <c r="BV18" s="46"/>
      <c r="BY18" s="2"/>
      <c r="CA18" s="26">
        <v>56</v>
      </c>
      <c r="CX18" s="46"/>
      <c r="CY18" s="46"/>
      <c r="CZ18" s="46"/>
      <c r="DB18" s="2"/>
      <c r="DC18" s="2"/>
      <c r="DD18" s="2"/>
      <c r="DE18" s="26">
        <v>56</v>
      </c>
      <c r="DY18" s="5"/>
      <c r="EC18" s="2"/>
      <c r="EE18" s="26">
        <v>56</v>
      </c>
      <c r="EU18" s="5"/>
      <c r="EY18" s="2"/>
      <c r="FA18" s="26">
        <v>56</v>
      </c>
      <c r="FQ18" s="5"/>
      <c r="FU18" s="2"/>
      <c r="FW18" s="26">
        <v>56</v>
      </c>
      <c r="GM18" s="5"/>
      <c r="GQ18" s="2"/>
      <c r="GS18" s="26">
        <v>56</v>
      </c>
      <c r="HI18" s="5"/>
      <c r="HM18" s="2"/>
      <c r="HO18" s="26">
        <v>56</v>
      </c>
      <c r="IE18" s="5"/>
      <c r="II18" s="2"/>
      <c r="IJ18" s="48"/>
      <c r="IK18" s="26">
        <v>56</v>
      </c>
      <c r="JA18" s="5"/>
      <c r="JE18" s="2"/>
      <c r="JG18" s="26">
        <v>56</v>
      </c>
      <c r="JW18" s="5"/>
      <c r="KA18" s="2"/>
      <c r="KC18" s="26">
        <v>56</v>
      </c>
      <c r="KS18" s="5"/>
      <c r="KW18" s="2"/>
      <c r="KY18" s="26">
        <v>56</v>
      </c>
      <c r="LO18" s="5"/>
      <c r="LS18" s="2"/>
      <c r="LU18" s="26">
        <v>56</v>
      </c>
      <c r="MK18" s="5"/>
      <c r="MO18" s="2"/>
      <c r="MQ18" s="26">
        <v>56</v>
      </c>
      <c r="NG18" s="5"/>
      <c r="NK18" s="2"/>
      <c r="NM18" s="26">
        <v>56</v>
      </c>
    </row>
    <row r="19" spans="1:377" x14ac:dyDescent="0.2">
      <c r="B19" s="34" t="s">
        <v>45</v>
      </c>
      <c r="C19" s="2"/>
      <c r="AS19" s="2"/>
      <c r="AT19" s="2"/>
      <c r="AV19" s="2"/>
      <c r="DA19" s="2"/>
      <c r="DB19" s="2"/>
      <c r="DD19" s="2"/>
      <c r="EV19" s="2"/>
    </row>
    <row r="20" spans="1:377" x14ac:dyDescent="0.2">
      <c r="A20" s="5"/>
      <c r="B20" s="5"/>
      <c r="C20" s="22"/>
      <c r="AO20" s="2"/>
      <c r="AP20" s="2"/>
      <c r="AQ20" s="2"/>
      <c r="AR20" s="2"/>
      <c r="AS20" s="2"/>
      <c r="AT20" s="2"/>
      <c r="AV20" s="2"/>
      <c r="CW20" s="2"/>
      <c r="CX20" s="2"/>
      <c r="CY20" s="2"/>
      <c r="CZ20" s="2"/>
      <c r="DA20" s="2"/>
      <c r="DB20" s="2"/>
      <c r="DD20" s="2"/>
    </row>
    <row r="21" spans="1:377" ht="17" x14ac:dyDescent="0.2">
      <c r="A21" s="5"/>
      <c r="B21" s="5"/>
      <c r="C21" s="22"/>
      <c r="Q21" s="11"/>
      <c r="R21" s="11"/>
      <c r="AO21" s="2"/>
      <c r="AP21" s="2"/>
      <c r="AQ21" s="2"/>
      <c r="AR21" s="2"/>
      <c r="AS21" s="2"/>
      <c r="AT21" s="2"/>
      <c r="AV21" s="2"/>
      <c r="CW21" s="2"/>
      <c r="CX21" s="2"/>
      <c r="CY21" s="2"/>
      <c r="CZ21" s="2"/>
      <c r="DA21" s="2"/>
      <c r="DB21" s="2"/>
      <c r="DD21" s="2"/>
    </row>
    <row r="22" spans="1:377" ht="17" x14ac:dyDescent="0.2">
      <c r="A22" s="5"/>
      <c r="B22" s="5"/>
      <c r="C22" s="22"/>
      <c r="Q22" s="11"/>
      <c r="AO22" s="2"/>
      <c r="AP22" s="2"/>
      <c r="AQ22" s="2"/>
      <c r="AR22" s="2"/>
      <c r="AS22" s="2"/>
      <c r="AT22" s="2"/>
      <c r="AV22" s="2"/>
      <c r="CW22" s="2"/>
      <c r="CX22" s="2"/>
      <c r="CY22" s="2"/>
      <c r="CZ22" s="2"/>
      <c r="DA22" s="2"/>
      <c r="DB22" s="2"/>
      <c r="DD22" s="2"/>
    </row>
    <row r="23" spans="1:377" ht="17" x14ac:dyDescent="0.2">
      <c r="Q23" s="11"/>
      <c r="R23" s="11"/>
      <c r="AO23" s="2"/>
      <c r="AP23" s="2"/>
      <c r="AQ23" s="2"/>
      <c r="AR23" s="2"/>
      <c r="AS23" s="2"/>
      <c r="AT23" s="2"/>
      <c r="AV23" s="2"/>
      <c r="CW23" s="2"/>
      <c r="CX23" s="2"/>
      <c r="CY23" s="2"/>
      <c r="CZ23" s="2"/>
      <c r="DA23" s="2"/>
      <c r="DB23" s="2"/>
      <c r="DD23" s="2"/>
    </row>
    <row r="24" spans="1:377" ht="17" x14ac:dyDescent="0.2">
      <c r="Q24" s="11"/>
      <c r="R24" s="11"/>
      <c r="AO24" s="2"/>
      <c r="AP24" s="2"/>
      <c r="AQ24" s="2"/>
      <c r="AR24" s="2"/>
      <c r="AS24" s="2"/>
      <c r="AT24" s="2"/>
      <c r="AV24" s="2"/>
      <c r="CW24" s="2"/>
      <c r="CX24" s="2"/>
      <c r="CY24" s="2"/>
      <c r="CZ24" s="2"/>
      <c r="DA24" s="2"/>
      <c r="DB24" s="2"/>
      <c r="DD24" s="2"/>
    </row>
    <row r="25" spans="1:377" ht="17" x14ac:dyDescent="0.2">
      <c r="Q25" s="11"/>
      <c r="R25" s="11"/>
      <c r="AO25" s="2"/>
      <c r="AP25" s="2"/>
      <c r="AQ25" s="2"/>
      <c r="AR25" s="2"/>
      <c r="AS25" s="2"/>
      <c r="AT25" s="2"/>
      <c r="AV25" s="2"/>
      <c r="CW25" s="2"/>
      <c r="CX25" s="2"/>
      <c r="CY25" s="2"/>
      <c r="CZ25" s="2"/>
      <c r="DA25" s="2"/>
      <c r="DB25" s="2"/>
      <c r="DD25" s="2"/>
    </row>
    <row r="26" spans="1:377" ht="17" x14ac:dyDescent="0.2">
      <c r="Q26" s="11"/>
      <c r="R26" s="11"/>
      <c r="S26" s="11"/>
    </row>
    <row r="27" spans="1:377" ht="17" x14ac:dyDescent="0.2">
      <c r="Q27" s="11"/>
      <c r="R27" s="11"/>
      <c r="S27" s="11"/>
    </row>
    <row r="28" spans="1:377" ht="17" x14ac:dyDescent="0.2">
      <c r="Q28" s="11"/>
      <c r="R28" s="11"/>
      <c r="S28" s="11"/>
    </row>
    <row r="29" spans="1:377" ht="17" x14ac:dyDescent="0.2">
      <c r="Q29" s="11"/>
      <c r="R29" s="11"/>
      <c r="S29" s="11"/>
    </row>
    <row r="30" spans="1:377" ht="17" x14ac:dyDescent="0.2">
      <c r="Q30" s="11"/>
      <c r="R30" s="11"/>
      <c r="S30" s="11"/>
    </row>
    <row r="31" spans="1:377" ht="17" x14ac:dyDescent="0.2">
      <c r="Q31" s="11"/>
      <c r="R31" s="11"/>
      <c r="S31" s="11"/>
    </row>
    <row r="32" spans="1:377" ht="17" x14ac:dyDescent="0.2">
      <c r="Q32" s="11"/>
      <c r="R32" s="11"/>
      <c r="S32" s="11"/>
    </row>
    <row r="33" spans="17:19" ht="17" x14ac:dyDescent="0.2">
      <c r="Q33" s="11"/>
      <c r="R33" s="11"/>
      <c r="S33" s="11"/>
    </row>
    <row r="34" spans="17:19" ht="17" x14ac:dyDescent="0.2">
      <c r="Q34" s="11"/>
      <c r="R34" s="11"/>
      <c r="S34" s="11"/>
    </row>
    <row r="35" spans="17:19" ht="17" x14ac:dyDescent="0.2">
      <c r="Q35" s="11"/>
      <c r="R35" s="11"/>
      <c r="S35" s="11"/>
    </row>
    <row r="36" spans="17:19" ht="17" x14ac:dyDescent="0.2">
      <c r="Q36" s="11"/>
      <c r="R36" s="11"/>
      <c r="S36" s="11"/>
    </row>
    <row r="37" spans="17:19" ht="17" x14ac:dyDescent="0.2">
      <c r="Q37" s="11"/>
      <c r="R37" s="11"/>
      <c r="S37" s="11"/>
    </row>
    <row r="38" spans="17:19" ht="17" x14ac:dyDescent="0.2">
      <c r="Q38" s="11"/>
      <c r="R38" s="11"/>
      <c r="S38" s="11"/>
    </row>
    <row r="39" spans="17:19" ht="17" x14ac:dyDescent="0.2">
      <c r="Q39" s="11"/>
      <c r="R39" s="11"/>
      <c r="S39" s="11"/>
    </row>
    <row r="40" spans="17:19" ht="17" x14ac:dyDescent="0.2">
      <c r="Q40" s="11"/>
      <c r="R40" s="11"/>
      <c r="S40" s="11"/>
    </row>
  </sheetData>
  <sheetProtection sheet="1" formatCells="0" formatColumns="0" formatRows="0"/>
  <autoFilter ref="A1:OO3" xr:uid="{2603457A-9827-FF42-9E76-DDB831110F01}"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9" showButton="0"/>
    <filterColumn colId="110" showButton="0"/>
    <filterColumn colId="111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sortState xmlns:xlrd2="http://schemas.microsoft.com/office/spreadsheetml/2017/richdata2" ref="A4:OO8">
      <sortCondition descending="1" ref="F1:F9"/>
    </sortState>
  </autoFilter>
  <sortState xmlns:xlrd2="http://schemas.microsoft.com/office/spreadsheetml/2017/richdata2" ref="A1:N3">
    <sortCondition ref="A1"/>
  </sortState>
  <mergeCells count="88">
    <mergeCell ref="FL2:FP2"/>
    <mergeCell ref="FG2:FK2"/>
    <mergeCell ref="EK2:EO2"/>
    <mergeCell ref="FB1:FW1"/>
    <mergeCell ref="EF2:EJ2"/>
    <mergeCell ref="EF1:FA1"/>
    <mergeCell ref="EP2:ET2"/>
    <mergeCell ref="FB2:FF2"/>
    <mergeCell ref="AX1:CA1"/>
    <mergeCell ref="AX2:BB2"/>
    <mergeCell ref="BH2:BL2"/>
    <mergeCell ref="DT2:DX2"/>
    <mergeCell ref="DO2:DS2"/>
    <mergeCell ref="DJ1:EE1"/>
    <mergeCell ref="BM2:BQ2"/>
    <mergeCell ref="DJ2:DN2"/>
    <mergeCell ref="DF1:DI1"/>
    <mergeCell ref="CB1:DE1"/>
    <mergeCell ref="CB2:CF2"/>
    <mergeCell ref="BC2:BG2"/>
    <mergeCell ref="CG2:CK2"/>
    <mergeCell ref="CL2:CP2"/>
    <mergeCell ref="CQ2:CU2"/>
    <mergeCell ref="H1:H3"/>
    <mergeCell ref="I1:I3"/>
    <mergeCell ref="K1:K3"/>
    <mergeCell ref="M1:M3"/>
    <mergeCell ref="J1:J3"/>
    <mergeCell ref="L1:L3"/>
    <mergeCell ref="Q1:Q3"/>
    <mergeCell ref="S1:S3"/>
    <mergeCell ref="R1:R3"/>
    <mergeCell ref="T2:X2"/>
    <mergeCell ref="Y2:AC2"/>
    <mergeCell ref="JH1:KC1"/>
    <mergeCell ref="KD1:KY1"/>
    <mergeCell ref="JM2:JQ2"/>
    <mergeCell ref="A1:A3"/>
    <mergeCell ref="B1:B3"/>
    <mergeCell ref="C1:C3"/>
    <mergeCell ref="E1:E3"/>
    <mergeCell ref="G1:G3"/>
    <mergeCell ref="D1:D3"/>
    <mergeCell ref="F1:F3"/>
    <mergeCell ref="N1:N3"/>
    <mergeCell ref="P1:P3"/>
    <mergeCell ref="T1:AW1"/>
    <mergeCell ref="AD2:AH2"/>
    <mergeCell ref="AI2:AM2"/>
    <mergeCell ref="O1:O3"/>
    <mergeCell ref="JH2:JL2"/>
    <mergeCell ref="GH2:GL2"/>
    <mergeCell ref="IV2:IZ2"/>
    <mergeCell ref="IQ2:IU2"/>
    <mergeCell ref="IL2:IP2"/>
    <mergeCell ref="HU2:HY2"/>
    <mergeCell ref="HP2:HT2"/>
    <mergeCell ref="HD2:HH2"/>
    <mergeCell ref="GY2:HC2"/>
    <mergeCell ref="LV2:LZ2"/>
    <mergeCell ref="LJ2:LN2"/>
    <mergeCell ref="MR1:NM1"/>
    <mergeCell ref="KD2:KH2"/>
    <mergeCell ref="JR2:JV2"/>
    <mergeCell ref="LV1:MQ1"/>
    <mergeCell ref="NB2:NF2"/>
    <mergeCell ref="MW2:NA2"/>
    <mergeCell ref="MR2:MV2"/>
    <mergeCell ref="MF2:MJ2"/>
    <mergeCell ref="MA2:ME2"/>
    <mergeCell ref="KN2:KR2"/>
    <mergeCell ref="KI2:KM2"/>
    <mergeCell ref="KZ1:LU1"/>
    <mergeCell ref="LE2:LI2"/>
    <mergeCell ref="KZ2:LD2"/>
    <mergeCell ref="GC2:GG2"/>
    <mergeCell ref="FX1:GS1"/>
    <mergeCell ref="IL1:JG1"/>
    <mergeCell ref="GT1:HO1"/>
    <mergeCell ref="HP1:IK1"/>
    <mergeCell ref="GT2:GX2"/>
    <mergeCell ref="HZ2:ID2"/>
    <mergeCell ref="FX2:GB2"/>
    <mergeCell ref="NS2:NW2"/>
    <mergeCell ref="NN1:OO1"/>
    <mergeCell ref="NN2:NR2"/>
    <mergeCell ref="NX2:OB2"/>
    <mergeCell ref="OC2:OG2"/>
  </mergeCells>
  <conditionalFormatting sqref="H1:H1048576">
    <cfRule type="containsText" dxfId="186" priority="5" operator="containsText" text="No DD">
      <formula>NOT(ISERROR(SEARCH("No DD",H1)))</formula>
    </cfRule>
    <cfRule type="containsText" dxfId="185" priority="6" operator="containsText" text="Merit">
      <formula>NOT(ISERROR(SEARCH("Merit",H1)))</formula>
    </cfRule>
    <cfRule type="containsText" dxfId="184" priority="7" operator="containsText" text="Excellence">
      <formula>NOT(ISERROR(SEARCH("Excellence",H1)))</formula>
    </cfRule>
    <cfRule type="containsText" dxfId="183" priority="8" operator="containsText" text="Worlds Team">
      <formula>NOT(ISERROR(SEARCH("Worlds Team",H1)))</formula>
    </cfRule>
    <cfRule type="containsText" dxfId="182" priority="9" operator="containsText" text="National Team">
      <formula>NOT(ISERROR(SEARCH("National Team",H1)))</formula>
    </cfRule>
  </conditionalFormatting>
  <conditionalFormatting sqref="T4:AW8">
    <cfRule type="expression" dxfId="181" priority="1" stopIfTrue="1">
      <formula>IF($AN4&lt;&gt;"",1,0)</formula>
    </cfRule>
  </conditionalFormatting>
  <conditionalFormatting sqref="AX4:CA8">
    <cfRule type="expression" dxfId="180" priority="3" stopIfTrue="1">
      <formula>IF($BR4&lt;&gt;"",1,0)</formula>
    </cfRule>
  </conditionalFormatting>
  <conditionalFormatting sqref="L1:L1048576 P1:P1048576 J1:J1048576 N1:N1048576">
    <cfRule type="expression" dxfId="179" priority="10">
      <formula>IF(J1=$CB$1,1,0)</formula>
    </cfRule>
    <cfRule type="expression" dxfId="178" priority="11">
      <formula>IF(J1=$AX$1,1,0)</formula>
    </cfRule>
    <cfRule type="expression" dxfId="177" priority="12">
      <formula>IF(J1=$T$1,1,0)</formula>
    </cfRule>
  </conditionalFormatting>
  <conditionalFormatting sqref="CB4:DE8">
    <cfRule type="expression" dxfId="176" priority="4" stopIfTrue="1">
      <formula>IF($CV4&lt;&gt;"",1,0)</formula>
    </cfRule>
  </conditionalFormatting>
  <conditionalFormatting sqref="A1:A1048576">
    <cfRule type="expression" dxfId="175" priority="48704" stopIfTrue="1">
      <formula>AND(G1&lt;&gt;"",F1="")</formula>
    </cfRule>
  </conditionalFormatting>
  <conditionalFormatting sqref="AS1:AS1048576 BW1:BW1048576 DA1:DA1048576 EA1:EA1048576 EW1:EW1048576 FS1:FS1048576 GO1:GO1048576 HK1:HK1048576 IG1:IG1048576 JC1:JC1048576 JY1:JY1048576 KU1:KU1048576 LQ1:LQ1048576 MM1:MM1048576 NI1:NI1048576">
    <cfRule type="cellIs" dxfId="174" priority="48774" operator="between">
      <formula>AW$18</formula>
      <formula>1000</formula>
    </cfRule>
    <cfRule type="cellIs" dxfId="173" priority="48775" operator="between">
      <formula>AW$17</formula>
      <formula>AW$18</formula>
    </cfRule>
  </conditionalFormatting>
  <conditionalFormatting sqref="AT1:AT1048576 BX1:BX1048576 DB1:DB1048576 EB1:EB1048576 EX1:EX1048576 FT1:FT1048576 GP1:GP1048576 HL1:HL1048576 IH1:IH1048576 JD1:JD1048576 JZ1:JZ1048576 KV1:KV1048576 LR1:LR1048576 MN1:MN1048576 NJ1:NJ1048576">
    <cfRule type="cellIs" dxfId="172" priority="48864" operator="between">
      <formula>AW$17</formula>
      <formula>1000</formula>
    </cfRule>
    <cfRule type="cellIs" dxfId="171" priority="48865" operator="between">
      <formula>AW$16</formula>
      <formula>AW$17</formula>
    </cfRule>
    <cfRule type="cellIs" dxfId="170" priority="48866" operator="between">
      <formula>AW$15</formula>
      <formula>AW$16</formula>
    </cfRule>
  </conditionalFormatting>
  <conditionalFormatting sqref="AV1:AV1048576 BZ1:BZ1048576 DD1:DD1048576 ED1:ED1048576 EZ1:EZ1048576 FV1:FV1048576 GR1:GR1048576 HN1:HN1048576 IJ1:IJ1048576 JF1:JF1048576 KB1:KB1048576 KX1:KX1048576 LT1:LT1048576 MP1:MP1048576 NL1:NL1048576">
    <cfRule type="cellIs" dxfId="169" priority="48999" operator="between">
      <formula>AW$18</formula>
      <formula>1000</formula>
    </cfRule>
  </conditionalFormatting>
  <conditionalFormatting sqref="DY1:DY1048576 EU1:EU1048576 FQ1:FQ1048576 GM1:GM1048576 HI1:HI1048576 IE1:IE1048576 JA1:JA1048576 JW1:JW1048576 KS1:KS1048576 LO1:LO1048576 MK1:MK1048576 NG1:NG1048576">
    <cfRule type="cellIs" dxfId="168" priority="49044" operator="between">
      <formula>EE$14</formula>
      <formula>1000</formula>
    </cfRule>
    <cfRule type="cellIs" dxfId="167" priority="49045" operator="between">
      <formula>EE$13</formula>
      <formula>EE$14</formula>
    </cfRule>
    <cfRule type="cellIs" dxfId="166" priority="49046" operator="between">
      <formula>EE$12</formula>
      <formula>EE$13</formula>
    </cfRule>
    <cfRule type="cellIs" dxfId="165" priority="49047" operator="between">
      <formula>EE$11</formula>
      <formula>EE$12</formula>
    </cfRule>
  </conditionalFormatting>
  <conditionalFormatting sqref="AP1:AP1048576 BT1:BT1048576 CX1:CX1048576">
    <cfRule type="cellIs" dxfId="164" priority="49188" operator="between">
      <formula>AW$14</formula>
      <formula>1000</formula>
    </cfRule>
    <cfRule type="cellIs" dxfId="163" priority="49189" operator="between">
      <formula>AW$13</formula>
      <formula>AW$14</formula>
    </cfRule>
    <cfRule type="cellIs" dxfId="162" priority="49190" operator="between">
      <formula>AW$12</formula>
      <formula>AW$13</formula>
    </cfRule>
    <cfRule type="cellIs" dxfId="161" priority="49191" operator="between">
      <formula>AW$11</formula>
      <formula>AW$12</formula>
    </cfRule>
  </conditionalFormatting>
  <conditionalFormatting sqref="AQ1:AQ1048576 BU1:BU1048576 CY1:CY1048576">
    <cfRule type="cellIs" dxfId="160" priority="49224" operator="between">
      <formula>AW$18</formula>
      <formula>1000</formula>
    </cfRule>
  </conditionalFormatting>
  <conditionalFormatting sqref="AR1:AR1048576 BV1:BV1048576 CZ1:CZ1048576">
    <cfRule type="cellIs" dxfId="159" priority="49233" operator="between">
      <formula>AW$14</formula>
      <formula>1000</formula>
    </cfRule>
    <cfRule type="cellIs" dxfId="158" priority="49234" operator="between">
      <formula>AW$13</formula>
      <formula>AW$14</formula>
    </cfRule>
    <cfRule type="cellIs" dxfId="157" priority="49235" operator="between">
      <formula>AW$12</formula>
      <formula>AW$13</formula>
    </cfRule>
    <cfRule type="cellIs" dxfId="156" priority="49236" operator="between">
      <formula>AW$11</formula>
      <formula>AW$12</formula>
    </cfRule>
  </conditionalFormatting>
  <conditionalFormatting sqref="AU1:AU1048576 DC1:DC1048576 BY1:BY1048576 EC1:EC1048576 EY1:EY1048576 FU1:FU1048576 GQ1:GQ1048576 HM1:HM1048576 II1:II1048576 JE1:JE1048576 KA1:KA1048576 KW1:KW1048576 LS1:LS1048576 MO1:MO1048576 NK1:NK1048576">
    <cfRule type="cellIs" dxfId="155" priority="49269" operator="between">
      <formula>AW$14</formula>
      <formula>1000</formula>
    </cfRule>
    <cfRule type="cellIs" dxfId="154" priority="49270" operator="between">
      <formula>AW$13</formula>
      <formula>AW$14</formula>
    </cfRule>
    <cfRule type="cellIs" dxfId="153" priority="49271" operator="between">
      <formula>AW$12</formula>
      <formula>AW$13</formula>
    </cfRule>
    <cfRule type="cellIs" dxfId="152" priority="49272" operator="between">
      <formula>AW$11</formula>
      <formula>AW$12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F9519-A026-7A45-801A-5E36CBEFC065}">
  <sheetPr codeName="Sheet8"/>
  <dimension ref="A1:OQ43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2.6640625" bestFit="1" customWidth="1"/>
    <col min="3" max="3" width="8.1640625" bestFit="1" customWidth="1"/>
    <col min="4" max="4" width="12" customWidth="1"/>
    <col min="6" max="6" width="14.1640625" customWidth="1"/>
    <col min="7" max="7" width="14.1640625" style="67" bestFit="1" customWidth="1"/>
    <col min="8" max="8" width="13.33203125" bestFit="1" customWidth="1"/>
    <col min="9" max="9" width="10.83203125" customWidth="1"/>
    <col min="10" max="10" width="27.5" bestFit="1" customWidth="1"/>
    <col min="12" max="12" width="20.5" bestFit="1" customWidth="1"/>
    <col min="14" max="14" width="20.5" bestFit="1" customWidth="1"/>
    <col min="16" max="16" width="27.5" bestFit="1" customWidth="1"/>
    <col min="17" max="17" width="24.6640625" bestFit="1" customWidth="1"/>
    <col min="18" max="18" width="13" bestFit="1" customWidth="1"/>
    <col min="19" max="19" width="43.5" bestFit="1" customWidth="1"/>
    <col min="20" max="40" width="10.83203125" hidden="1" customWidth="1"/>
    <col min="41" max="49" width="10.83203125" customWidth="1"/>
    <col min="50" max="70" width="10.83203125" hidden="1" customWidth="1"/>
    <col min="71" max="79" width="10.83203125" customWidth="1"/>
    <col min="80" max="100" width="10.83203125" hidden="1" customWidth="1"/>
    <col min="101" max="113" width="10.83203125" customWidth="1"/>
    <col min="114" max="128" width="10.83203125" hidden="1" customWidth="1"/>
    <col min="129" max="135" width="10.83203125" customWidth="1"/>
    <col min="136" max="150" width="10.83203125" hidden="1" customWidth="1"/>
    <col min="151" max="157" width="10.83203125" customWidth="1"/>
    <col min="158" max="172" width="10.83203125" hidden="1" customWidth="1"/>
    <col min="173" max="179" width="10.83203125" customWidth="1"/>
    <col min="180" max="194" width="10.83203125" hidden="1" customWidth="1"/>
    <col min="195" max="201" width="10.83203125" customWidth="1"/>
    <col min="202" max="407" width="10.83203125" hidden="1" customWidth="1"/>
    <col min="408" max="409" width="10.83203125" customWidth="1"/>
  </cols>
  <sheetData>
    <row r="1" spans="1:407" ht="16" customHeight="1" x14ac:dyDescent="0.2">
      <c r="A1" s="73" t="s">
        <v>1</v>
      </c>
      <c r="B1" s="73" t="s">
        <v>21</v>
      </c>
      <c r="C1" s="73" t="s">
        <v>0</v>
      </c>
      <c r="D1" s="73" t="s">
        <v>46</v>
      </c>
      <c r="E1" s="73" t="s">
        <v>2</v>
      </c>
      <c r="F1" s="74" t="s">
        <v>52</v>
      </c>
      <c r="G1" s="73" t="s">
        <v>5</v>
      </c>
      <c r="H1" s="73" t="s">
        <v>6</v>
      </c>
      <c r="I1" s="75" t="s">
        <v>7</v>
      </c>
      <c r="J1" s="75" t="s">
        <v>24</v>
      </c>
      <c r="K1" s="75" t="s">
        <v>8</v>
      </c>
      <c r="L1" s="75" t="s">
        <v>24</v>
      </c>
      <c r="M1" s="75" t="s">
        <v>64</v>
      </c>
      <c r="N1" s="75" t="s">
        <v>24</v>
      </c>
      <c r="O1" s="75" t="s">
        <v>9</v>
      </c>
      <c r="P1" s="75" t="s">
        <v>24</v>
      </c>
      <c r="Q1" s="76" t="s">
        <v>10</v>
      </c>
      <c r="R1" s="75" t="s">
        <v>25</v>
      </c>
      <c r="S1" s="75" t="s">
        <v>24</v>
      </c>
      <c r="T1" s="70" t="s">
        <v>90</v>
      </c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2" t="s">
        <v>94</v>
      </c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0" t="s">
        <v>107</v>
      </c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0"/>
      <c r="DC1" s="70"/>
      <c r="DD1" s="70"/>
      <c r="DE1" s="70"/>
      <c r="DF1" s="77" t="s">
        <v>10</v>
      </c>
      <c r="DG1" s="77"/>
      <c r="DH1" s="77"/>
      <c r="DI1" s="77"/>
      <c r="DJ1" s="70" t="s">
        <v>83</v>
      </c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2" t="s">
        <v>93</v>
      </c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0" t="s">
        <v>92</v>
      </c>
      <c r="FC1" s="70"/>
      <c r="FD1" s="70"/>
      <c r="FE1" s="70"/>
      <c r="FF1" s="70"/>
      <c r="FG1" s="70"/>
      <c r="FH1" s="70"/>
      <c r="FI1" s="70"/>
      <c r="FJ1" s="70"/>
      <c r="FK1" s="70"/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0"/>
      <c r="FX1" s="72" t="s">
        <v>108</v>
      </c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0"/>
      <c r="GU1" s="70"/>
      <c r="GV1" s="70"/>
      <c r="GW1" s="70"/>
      <c r="GX1" s="70"/>
      <c r="GY1" s="70"/>
      <c r="GZ1" s="70"/>
      <c r="HA1" s="70"/>
      <c r="HB1" s="70"/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70"/>
      <c r="HO1" s="70"/>
      <c r="HP1" s="72"/>
      <c r="HQ1" s="72"/>
      <c r="HR1" s="72"/>
      <c r="HS1" s="72"/>
      <c r="HT1" s="72"/>
      <c r="HU1" s="72"/>
      <c r="HV1" s="72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0"/>
      <c r="IM1" s="70"/>
      <c r="IN1" s="70"/>
      <c r="IO1" s="70"/>
      <c r="IP1" s="70"/>
      <c r="IQ1" s="70"/>
      <c r="IR1" s="70"/>
      <c r="IS1" s="70"/>
      <c r="IT1" s="70"/>
      <c r="IU1" s="70"/>
      <c r="IV1" s="70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2"/>
      <c r="JI1" s="72"/>
      <c r="JJ1" s="72"/>
      <c r="JK1" s="72"/>
      <c r="JL1" s="72"/>
      <c r="JM1" s="72"/>
      <c r="JN1" s="72"/>
      <c r="JO1" s="72"/>
      <c r="JP1" s="72"/>
      <c r="JQ1" s="72"/>
      <c r="JR1" s="72"/>
      <c r="JS1" s="72"/>
      <c r="JT1" s="72"/>
      <c r="JU1" s="72"/>
      <c r="JV1" s="72"/>
      <c r="JW1" s="72"/>
      <c r="JX1" s="72"/>
      <c r="JY1" s="72"/>
      <c r="JZ1" s="72"/>
      <c r="KA1" s="72"/>
      <c r="KB1" s="72"/>
      <c r="KC1" s="72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70"/>
      <c r="KS1" s="70"/>
      <c r="KT1" s="70"/>
      <c r="KU1" s="70"/>
      <c r="KV1" s="70"/>
      <c r="KW1" s="70"/>
      <c r="KX1" s="70"/>
      <c r="KY1" s="70"/>
      <c r="KZ1" s="72"/>
      <c r="LA1" s="72"/>
      <c r="LB1" s="72"/>
      <c r="LC1" s="72"/>
      <c r="LD1" s="72"/>
      <c r="LE1" s="72"/>
      <c r="LF1" s="72"/>
      <c r="LG1" s="72"/>
      <c r="LH1" s="72"/>
      <c r="LI1" s="72"/>
      <c r="LJ1" s="72"/>
      <c r="LK1" s="72"/>
      <c r="LL1" s="72"/>
      <c r="LM1" s="72"/>
      <c r="LN1" s="72"/>
      <c r="LO1" s="72"/>
      <c r="LP1" s="72"/>
      <c r="LQ1" s="72"/>
      <c r="LR1" s="72"/>
      <c r="LS1" s="72"/>
      <c r="LT1" s="72"/>
      <c r="LU1" s="72"/>
      <c r="LV1" s="70"/>
      <c r="LW1" s="70"/>
      <c r="LX1" s="70"/>
      <c r="LY1" s="70"/>
      <c r="LZ1" s="70"/>
      <c r="MA1" s="70"/>
      <c r="MB1" s="70"/>
      <c r="MC1" s="70"/>
      <c r="MD1" s="70"/>
      <c r="ME1" s="70"/>
      <c r="MF1" s="70"/>
      <c r="MG1" s="70"/>
      <c r="MH1" s="70"/>
      <c r="MI1" s="70"/>
      <c r="MJ1" s="70"/>
      <c r="MK1" s="70"/>
      <c r="ML1" s="70"/>
      <c r="MM1" s="70"/>
      <c r="MN1" s="70"/>
      <c r="MO1" s="70"/>
      <c r="MP1" s="70"/>
      <c r="MQ1" s="70"/>
      <c r="MR1" s="72"/>
      <c r="MS1" s="72"/>
      <c r="MT1" s="72"/>
      <c r="MU1" s="72"/>
      <c r="MV1" s="72"/>
      <c r="MW1" s="72"/>
      <c r="MX1" s="72"/>
      <c r="MY1" s="72"/>
      <c r="MZ1" s="72"/>
      <c r="NA1" s="72"/>
      <c r="NB1" s="72"/>
      <c r="NC1" s="72"/>
      <c r="ND1" s="72"/>
      <c r="NE1" s="72"/>
      <c r="NF1" s="72"/>
      <c r="NG1" s="72"/>
      <c r="NH1" s="72"/>
      <c r="NI1" s="72"/>
      <c r="NJ1" s="72"/>
      <c r="NK1" s="72"/>
      <c r="NL1" s="72"/>
      <c r="NM1" s="72"/>
      <c r="NN1" s="70" t="s">
        <v>55</v>
      </c>
      <c r="NO1" s="70"/>
      <c r="NP1" s="70"/>
      <c r="NQ1" s="70"/>
      <c r="NR1" s="70"/>
      <c r="NS1" s="70"/>
      <c r="NT1" s="70"/>
      <c r="NU1" s="70"/>
      <c r="NV1" s="70"/>
      <c r="NW1" s="70"/>
      <c r="NX1" s="70"/>
      <c r="NY1" s="70"/>
      <c r="NZ1" s="70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</row>
    <row r="2" spans="1:407" x14ac:dyDescent="0.2">
      <c r="A2" s="73"/>
      <c r="B2" s="73"/>
      <c r="C2" s="73"/>
      <c r="D2" s="73"/>
      <c r="E2" s="73"/>
      <c r="F2" s="74"/>
      <c r="G2" s="73"/>
      <c r="H2" s="73"/>
      <c r="I2" s="75"/>
      <c r="J2" s="75"/>
      <c r="K2" s="75"/>
      <c r="L2" s="75"/>
      <c r="M2" s="75"/>
      <c r="N2" s="75"/>
      <c r="O2" s="75"/>
      <c r="P2" s="75"/>
      <c r="Q2" s="76"/>
      <c r="R2" s="75"/>
      <c r="S2" s="75"/>
      <c r="T2" s="69" t="s">
        <v>15</v>
      </c>
      <c r="U2" s="69"/>
      <c r="V2" s="69"/>
      <c r="W2" s="69"/>
      <c r="X2" s="69"/>
      <c r="Y2" s="69" t="s">
        <v>16</v>
      </c>
      <c r="Z2" s="69"/>
      <c r="AA2" s="69"/>
      <c r="AB2" s="69"/>
      <c r="AC2" s="69"/>
      <c r="AD2" s="69" t="s">
        <v>60</v>
      </c>
      <c r="AE2" s="69"/>
      <c r="AF2" s="69"/>
      <c r="AG2" s="69"/>
      <c r="AH2" s="69"/>
      <c r="AI2" s="69" t="s">
        <v>19</v>
      </c>
      <c r="AJ2" s="69"/>
      <c r="AK2" s="69"/>
      <c r="AL2" s="69"/>
      <c r="AM2" s="69"/>
      <c r="AN2" s="16"/>
      <c r="AO2" s="6" t="s">
        <v>17</v>
      </c>
      <c r="AP2" s="6" t="s">
        <v>62</v>
      </c>
      <c r="AQ2" s="6" t="s">
        <v>18</v>
      </c>
      <c r="AR2" s="6" t="s">
        <v>63</v>
      </c>
      <c r="AS2" s="6" t="s">
        <v>61</v>
      </c>
      <c r="AT2" s="6" t="s">
        <v>20</v>
      </c>
      <c r="AU2" s="6" t="s">
        <v>56</v>
      </c>
      <c r="AV2" s="6" t="s">
        <v>19</v>
      </c>
      <c r="AW2" s="6" t="s">
        <v>14</v>
      </c>
      <c r="AX2" s="71" t="s">
        <v>15</v>
      </c>
      <c r="AY2" s="71"/>
      <c r="AZ2" s="71"/>
      <c r="BA2" s="71"/>
      <c r="BB2" s="71"/>
      <c r="BC2" s="71" t="s">
        <v>16</v>
      </c>
      <c r="BD2" s="71"/>
      <c r="BE2" s="71"/>
      <c r="BF2" s="71"/>
      <c r="BG2" s="71"/>
      <c r="BH2" s="71" t="s">
        <v>60</v>
      </c>
      <c r="BI2" s="71"/>
      <c r="BJ2" s="71"/>
      <c r="BK2" s="71"/>
      <c r="BL2" s="71"/>
      <c r="BM2" s="71" t="s">
        <v>19</v>
      </c>
      <c r="BN2" s="71"/>
      <c r="BO2" s="71"/>
      <c r="BP2" s="71"/>
      <c r="BQ2" s="71"/>
      <c r="BR2" s="17"/>
      <c r="BS2" s="8" t="s">
        <v>17</v>
      </c>
      <c r="BT2" s="8" t="s">
        <v>62</v>
      </c>
      <c r="BU2" s="8" t="s">
        <v>18</v>
      </c>
      <c r="BV2" s="8" t="s">
        <v>63</v>
      </c>
      <c r="BW2" s="8" t="s">
        <v>61</v>
      </c>
      <c r="BX2" s="8" t="s">
        <v>20</v>
      </c>
      <c r="BY2" s="8" t="s">
        <v>56</v>
      </c>
      <c r="BZ2" s="8" t="s">
        <v>19</v>
      </c>
      <c r="CA2" s="8" t="s">
        <v>14</v>
      </c>
      <c r="CB2" s="69" t="s">
        <v>15</v>
      </c>
      <c r="CC2" s="69"/>
      <c r="CD2" s="69"/>
      <c r="CE2" s="69"/>
      <c r="CF2" s="69"/>
      <c r="CG2" s="69" t="s">
        <v>16</v>
      </c>
      <c r="CH2" s="69"/>
      <c r="CI2" s="69"/>
      <c r="CJ2" s="69"/>
      <c r="CK2" s="69"/>
      <c r="CL2" s="69" t="s">
        <v>60</v>
      </c>
      <c r="CM2" s="69"/>
      <c r="CN2" s="69"/>
      <c r="CO2" s="69"/>
      <c r="CP2" s="69"/>
      <c r="CQ2" s="69" t="s">
        <v>19</v>
      </c>
      <c r="CR2" s="69"/>
      <c r="CS2" s="69"/>
      <c r="CT2" s="69"/>
      <c r="CU2" s="69"/>
      <c r="CV2" s="16"/>
      <c r="CW2" s="6" t="s">
        <v>17</v>
      </c>
      <c r="CX2" s="6" t="s">
        <v>62</v>
      </c>
      <c r="CY2" s="6" t="s">
        <v>18</v>
      </c>
      <c r="CZ2" s="6" t="s">
        <v>63</v>
      </c>
      <c r="DA2" s="6" t="s">
        <v>61</v>
      </c>
      <c r="DB2" s="6" t="s">
        <v>20</v>
      </c>
      <c r="DC2" s="6" t="s">
        <v>56</v>
      </c>
      <c r="DD2" s="6" t="s">
        <v>19</v>
      </c>
      <c r="DE2" s="6" t="s">
        <v>14</v>
      </c>
      <c r="DF2" s="12" t="s">
        <v>17</v>
      </c>
      <c r="DG2" s="12" t="s">
        <v>18</v>
      </c>
      <c r="DH2" s="12" t="s">
        <v>20</v>
      </c>
      <c r="DI2" s="12" t="s">
        <v>19</v>
      </c>
      <c r="DJ2" s="69" t="s">
        <v>15</v>
      </c>
      <c r="DK2" s="69"/>
      <c r="DL2" s="69"/>
      <c r="DM2" s="69"/>
      <c r="DN2" s="69"/>
      <c r="DO2" s="69" t="s">
        <v>16</v>
      </c>
      <c r="DP2" s="69"/>
      <c r="DQ2" s="69"/>
      <c r="DR2" s="69"/>
      <c r="DS2" s="69"/>
      <c r="DT2" s="69" t="s">
        <v>19</v>
      </c>
      <c r="DU2" s="69"/>
      <c r="DV2" s="69"/>
      <c r="DW2" s="69"/>
      <c r="DX2" s="69"/>
      <c r="DY2" s="16" t="s">
        <v>50</v>
      </c>
      <c r="DZ2" s="6" t="s">
        <v>17</v>
      </c>
      <c r="EA2" s="6" t="s">
        <v>18</v>
      </c>
      <c r="EB2" s="6" t="s">
        <v>20</v>
      </c>
      <c r="EC2" s="6" t="s">
        <v>56</v>
      </c>
      <c r="ED2" s="6" t="s">
        <v>19</v>
      </c>
      <c r="EE2" s="6" t="s">
        <v>14</v>
      </c>
      <c r="EF2" s="71" t="s">
        <v>15</v>
      </c>
      <c r="EG2" s="71"/>
      <c r="EH2" s="71"/>
      <c r="EI2" s="71"/>
      <c r="EJ2" s="71"/>
      <c r="EK2" s="71" t="s">
        <v>16</v>
      </c>
      <c r="EL2" s="71"/>
      <c r="EM2" s="71"/>
      <c r="EN2" s="71"/>
      <c r="EO2" s="71"/>
      <c r="EP2" s="71" t="s">
        <v>19</v>
      </c>
      <c r="EQ2" s="71"/>
      <c r="ER2" s="71"/>
      <c r="ES2" s="71"/>
      <c r="ET2" s="71"/>
      <c r="EU2" s="17" t="s">
        <v>50</v>
      </c>
      <c r="EV2" s="8" t="s">
        <v>17</v>
      </c>
      <c r="EW2" s="8" t="s">
        <v>18</v>
      </c>
      <c r="EX2" s="8" t="s">
        <v>20</v>
      </c>
      <c r="EY2" s="8" t="s">
        <v>56</v>
      </c>
      <c r="EZ2" s="8" t="s">
        <v>19</v>
      </c>
      <c r="FA2" s="8" t="s">
        <v>14</v>
      </c>
      <c r="FB2" s="69" t="s">
        <v>15</v>
      </c>
      <c r="FC2" s="69"/>
      <c r="FD2" s="69"/>
      <c r="FE2" s="69"/>
      <c r="FF2" s="69"/>
      <c r="FG2" s="69" t="s">
        <v>16</v>
      </c>
      <c r="FH2" s="69"/>
      <c r="FI2" s="69"/>
      <c r="FJ2" s="69"/>
      <c r="FK2" s="69"/>
      <c r="FL2" s="69" t="s">
        <v>19</v>
      </c>
      <c r="FM2" s="69"/>
      <c r="FN2" s="69"/>
      <c r="FO2" s="69"/>
      <c r="FP2" s="69"/>
      <c r="FQ2" s="16" t="s">
        <v>50</v>
      </c>
      <c r="FR2" s="6" t="s">
        <v>17</v>
      </c>
      <c r="FS2" s="6" t="s">
        <v>18</v>
      </c>
      <c r="FT2" s="6" t="s">
        <v>20</v>
      </c>
      <c r="FU2" s="6" t="s">
        <v>56</v>
      </c>
      <c r="FV2" s="6" t="s">
        <v>19</v>
      </c>
      <c r="FW2" s="6" t="s">
        <v>14</v>
      </c>
      <c r="FX2" s="71" t="s">
        <v>15</v>
      </c>
      <c r="FY2" s="71"/>
      <c r="FZ2" s="71"/>
      <c r="GA2" s="71"/>
      <c r="GB2" s="71"/>
      <c r="GC2" s="71" t="s">
        <v>16</v>
      </c>
      <c r="GD2" s="71"/>
      <c r="GE2" s="71"/>
      <c r="GF2" s="71"/>
      <c r="GG2" s="71"/>
      <c r="GH2" s="71" t="s">
        <v>19</v>
      </c>
      <c r="GI2" s="71"/>
      <c r="GJ2" s="71"/>
      <c r="GK2" s="71"/>
      <c r="GL2" s="71"/>
      <c r="GM2" s="17" t="s">
        <v>50</v>
      </c>
      <c r="GN2" s="8" t="s">
        <v>17</v>
      </c>
      <c r="GO2" s="8" t="s">
        <v>18</v>
      </c>
      <c r="GP2" s="8" t="s">
        <v>20</v>
      </c>
      <c r="GQ2" s="8" t="s">
        <v>56</v>
      </c>
      <c r="GR2" s="8" t="s">
        <v>19</v>
      </c>
      <c r="GS2" s="8" t="s">
        <v>14</v>
      </c>
      <c r="GT2" s="69" t="s">
        <v>15</v>
      </c>
      <c r="GU2" s="69"/>
      <c r="GV2" s="69"/>
      <c r="GW2" s="69"/>
      <c r="GX2" s="69"/>
      <c r="GY2" s="69" t="s">
        <v>16</v>
      </c>
      <c r="GZ2" s="69"/>
      <c r="HA2" s="69"/>
      <c r="HB2" s="69"/>
      <c r="HC2" s="69"/>
      <c r="HD2" s="69" t="s">
        <v>19</v>
      </c>
      <c r="HE2" s="69"/>
      <c r="HF2" s="69"/>
      <c r="HG2" s="69"/>
      <c r="HH2" s="69"/>
      <c r="HI2" s="16" t="s">
        <v>50</v>
      </c>
      <c r="HJ2" s="6" t="s">
        <v>17</v>
      </c>
      <c r="HK2" s="6" t="s">
        <v>18</v>
      </c>
      <c r="HL2" s="6" t="s">
        <v>20</v>
      </c>
      <c r="HM2" s="6" t="s">
        <v>56</v>
      </c>
      <c r="HN2" s="6" t="s">
        <v>19</v>
      </c>
      <c r="HO2" s="6" t="s">
        <v>14</v>
      </c>
      <c r="HP2" s="71" t="s">
        <v>15</v>
      </c>
      <c r="HQ2" s="71"/>
      <c r="HR2" s="71"/>
      <c r="HS2" s="71"/>
      <c r="HT2" s="71"/>
      <c r="HU2" s="71" t="s">
        <v>16</v>
      </c>
      <c r="HV2" s="71"/>
      <c r="HW2" s="71"/>
      <c r="HX2" s="71"/>
      <c r="HY2" s="71"/>
      <c r="HZ2" s="71" t="s">
        <v>19</v>
      </c>
      <c r="IA2" s="71"/>
      <c r="IB2" s="71"/>
      <c r="IC2" s="71"/>
      <c r="ID2" s="71"/>
      <c r="IE2" s="17" t="s">
        <v>50</v>
      </c>
      <c r="IF2" s="8" t="s">
        <v>17</v>
      </c>
      <c r="IG2" s="8" t="s">
        <v>18</v>
      </c>
      <c r="IH2" s="8" t="s">
        <v>20</v>
      </c>
      <c r="II2" s="8" t="s">
        <v>56</v>
      </c>
      <c r="IJ2" s="8" t="s">
        <v>19</v>
      </c>
      <c r="IK2" s="8" t="s">
        <v>14</v>
      </c>
      <c r="IL2" s="69" t="s">
        <v>15</v>
      </c>
      <c r="IM2" s="69"/>
      <c r="IN2" s="69"/>
      <c r="IO2" s="69"/>
      <c r="IP2" s="69"/>
      <c r="IQ2" s="69" t="s">
        <v>16</v>
      </c>
      <c r="IR2" s="69"/>
      <c r="IS2" s="69"/>
      <c r="IT2" s="69"/>
      <c r="IU2" s="69"/>
      <c r="IV2" s="69" t="s">
        <v>19</v>
      </c>
      <c r="IW2" s="69"/>
      <c r="IX2" s="69"/>
      <c r="IY2" s="69"/>
      <c r="IZ2" s="69"/>
      <c r="JA2" s="16" t="s">
        <v>50</v>
      </c>
      <c r="JB2" s="6" t="s">
        <v>17</v>
      </c>
      <c r="JC2" s="6" t="s">
        <v>18</v>
      </c>
      <c r="JD2" s="6" t="s">
        <v>20</v>
      </c>
      <c r="JE2" s="6" t="s">
        <v>56</v>
      </c>
      <c r="JF2" s="6" t="s">
        <v>19</v>
      </c>
      <c r="JG2" s="6" t="s">
        <v>14</v>
      </c>
      <c r="JH2" s="71" t="s">
        <v>15</v>
      </c>
      <c r="JI2" s="71"/>
      <c r="JJ2" s="71"/>
      <c r="JK2" s="71"/>
      <c r="JL2" s="71"/>
      <c r="JM2" s="71" t="s">
        <v>16</v>
      </c>
      <c r="JN2" s="71"/>
      <c r="JO2" s="71"/>
      <c r="JP2" s="71"/>
      <c r="JQ2" s="71"/>
      <c r="JR2" s="71" t="s">
        <v>19</v>
      </c>
      <c r="JS2" s="71"/>
      <c r="JT2" s="71"/>
      <c r="JU2" s="71"/>
      <c r="JV2" s="71"/>
      <c r="JW2" s="17" t="s">
        <v>50</v>
      </c>
      <c r="JX2" s="8" t="s">
        <v>17</v>
      </c>
      <c r="JY2" s="8" t="s">
        <v>18</v>
      </c>
      <c r="JZ2" s="8" t="s">
        <v>20</v>
      </c>
      <c r="KA2" s="8" t="s">
        <v>56</v>
      </c>
      <c r="KB2" s="8" t="s">
        <v>19</v>
      </c>
      <c r="KC2" s="8" t="s">
        <v>14</v>
      </c>
      <c r="KD2" s="69" t="s">
        <v>15</v>
      </c>
      <c r="KE2" s="69"/>
      <c r="KF2" s="69"/>
      <c r="KG2" s="69"/>
      <c r="KH2" s="69"/>
      <c r="KI2" s="69" t="s">
        <v>16</v>
      </c>
      <c r="KJ2" s="69"/>
      <c r="KK2" s="69"/>
      <c r="KL2" s="69"/>
      <c r="KM2" s="69"/>
      <c r="KN2" s="69" t="s">
        <v>19</v>
      </c>
      <c r="KO2" s="69"/>
      <c r="KP2" s="69"/>
      <c r="KQ2" s="69"/>
      <c r="KR2" s="69"/>
      <c r="KS2" s="16" t="s">
        <v>50</v>
      </c>
      <c r="KT2" s="6" t="s">
        <v>17</v>
      </c>
      <c r="KU2" s="6" t="s">
        <v>18</v>
      </c>
      <c r="KV2" s="6" t="s">
        <v>20</v>
      </c>
      <c r="KW2" s="6" t="s">
        <v>56</v>
      </c>
      <c r="KX2" s="6" t="s">
        <v>19</v>
      </c>
      <c r="KY2" s="6" t="s">
        <v>14</v>
      </c>
      <c r="KZ2" s="71" t="s">
        <v>15</v>
      </c>
      <c r="LA2" s="71"/>
      <c r="LB2" s="71"/>
      <c r="LC2" s="71"/>
      <c r="LD2" s="71"/>
      <c r="LE2" s="71" t="s">
        <v>16</v>
      </c>
      <c r="LF2" s="71"/>
      <c r="LG2" s="71"/>
      <c r="LH2" s="71"/>
      <c r="LI2" s="71"/>
      <c r="LJ2" s="71" t="s">
        <v>19</v>
      </c>
      <c r="LK2" s="71"/>
      <c r="LL2" s="71"/>
      <c r="LM2" s="71"/>
      <c r="LN2" s="71"/>
      <c r="LO2" s="17" t="s">
        <v>50</v>
      </c>
      <c r="LP2" s="8" t="s">
        <v>17</v>
      </c>
      <c r="LQ2" s="8" t="s">
        <v>18</v>
      </c>
      <c r="LR2" s="8" t="s">
        <v>20</v>
      </c>
      <c r="LS2" s="8" t="s">
        <v>56</v>
      </c>
      <c r="LT2" s="8" t="s">
        <v>19</v>
      </c>
      <c r="LU2" s="8" t="s">
        <v>14</v>
      </c>
      <c r="LV2" s="69" t="s">
        <v>15</v>
      </c>
      <c r="LW2" s="69"/>
      <c r="LX2" s="69"/>
      <c r="LY2" s="69"/>
      <c r="LZ2" s="69"/>
      <c r="MA2" s="69" t="s">
        <v>16</v>
      </c>
      <c r="MB2" s="69"/>
      <c r="MC2" s="69"/>
      <c r="MD2" s="69"/>
      <c r="ME2" s="69"/>
      <c r="MF2" s="69" t="s">
        <v>19</v>
      </c>
      <c r="MG2" s="69"/>
      <c r="MH2" s="69"/>
      <c r="MI2" s="69"/>
      <c r="MJ2" s="69"/>
      <c r="MK2" s="16" t="s">
        <v>50</v>
      </c>
      <c r="ML2" s="6" t="s">
        <v>17</v>
      </c>
      <c r="MM2" s="6" t="s">
        <v>18</v>
      </c>
      <c r="MN2" s="6" t="s">
        <v>20</v>
      </c>
      <c r="MO2" s="6" t="s">
        <v>56</v>
      </c>
      <c r="MP2" s="6" t="s">
        <v>19</v>
      </c>
      <c r="MQ2" s="6" t="s">
        <v>14</v>
      </c>
      <c r="MR2" s="71" t="s">
        <v>15</v>
      </c>
      <c r="MS2" s="71"/>
      <c r="MT2" s="71"/>
      <c r="MU2" s="71"/>
      <c r="MV2" s="71"/>
      <c r="MW2" s="71" t="s">
        <v>16</v>
      </c>
      <c r="MX2" s="71"/>
      <c r="MY2" s="71"/>
      <c r="MZ2" s="71"/>
      <c r="NA2" s="71"/>
      <c r="NB2" s="71" t="s">
        <v>19</v>
      </c>
      <c r="NC2" s="71"/>
      <c r="ND2" s="71"/>
      <c r="NE2" s="71"/>
      <c r="NF2" s="71"/>
      <c r="NG2" s="17" t="s">
        <v>50</v>
      </c>
      <c r="NH2" s="8" t="s">
        <v>17</v>
      </c>
      <c r="NI2" s="8" t="s">
        <v>18</v>
      </c>
      <c r="NJ2" s="8" t="s">
        <v>20</v>
      </c>
      <c r="NK2" s="8" t="s">
        <v>56</v>
      </c>
      <c r="NL2" s="8" t="s">
        <v>19</v>
      </c>
      <c r="NM2" s="8" t="s">
        <v>14</v>
      </c>
      <c r="NN2" s="69" t="s">
        <v>15</v>
      </c>
      <c r="NO2" s="69"/>
      <c r="NP2" s="69"/>
      <c r="NQ2" s="69"/>
      <c r="NR2" s="69"/>
      <c r="NS2" s="69" t="s">
        <v>16</v>
      </c>
      <c r="NT2" s="69"/>
      <c r="NU2" s="69"/>
      <c r="NV2" s="69"/>
      <c r="NW2" s="69"/>
      <c r="NX2" s="69" t="s">
        <v>60</v>
      </c>
      <c r="NY2" s="69"/>
      <c r="NZ2" s="69"/>
      <c r="OA2" s="69"/>
      <c r="OB2" s="69"/>
      <c r="OC2" s="69" t="s">
        <v>19</v>
      </c>
      <c r="OD2" s="69"/>
      <c r="OE2" s="69"/>
      <c r="OF2" s="69"/>
      <c r="OG2" s="69"/>
      <c r="OH2" s="16"/>
      <c r="OI2" s="6" t="s">
        <v>17</v>
      </c>
      <c r="OJ2" s="6" t="s">
        <v>62</v>
      </c>
      <c r="OK2" s="6" t="s">
        <v>18</v>
      </c>
      <c r="OL2" s="6" t="s">
        <v>63</v>
      </c>
      <c r="OM2" s="6" t="s">
        <v>61</v>
      </c>
      <c r="ON2" s="6" t="s">
        <v>20</v>
      </c>
      <c r="OO2" s="6" t="s">
        <v>56</v>
      </c>
      <c r="OP2" s="6" t="s">
        <v>19</v>
      </c>
      <c r="OQ2" s="6" t="s">
        <v>14</v>
      </c>
    </row>
    <row r="3" spans="1:407" x14ac:dyDescent="0.2">
      <c r="A3" s="73"/>
      <c r="B3" s="73"/>
      <c r="C3" s="73"/>
      <c r="D3" s="73"/>
      <c r="E3" s="73"/>
      <c r="F3" s="74"/>
      <c r="G3" s="73"/>
      <c r="H3" s="73"/>
      <c r="I3" s="75"/>
      <c r="J3" s="75"/>
      <c r="K3" s="75"/>
      <c r="L3" s="75"/>
      <c r="M3" s="75"/>
      <c r="N3" s="75"/>
      <c r="O3" s="75"/>
      <c r="P3" s="75"/>
      <c r="Q3" s="76"/>
      <c r="R3" s="75"/>
      <c r="S3" s="75"/>
      <c r="T3" s="16" t="s">
        <v>11</v>
      </c>
      <c r="U3" s="16" t="s">
        <v>12</v>
      </c>
      <c r="V3" s="16" t="s">
        <v>4</v>
      </c>
      <c r="W3" s="16" t="s">
        <v>13</v>
      </c>
      <c r="X3" s="16" t="s">
        <v>22</v>
      </c>
      <c r="Y3" s="16" t="s">
        <v>11</v>
      </c>
      <c r="Z3" s="16" t="s">
        <v>12</v>
      </c>
      <c r="AA3" s="16" t="s">
        <v>4</v>
      </c>
      <c r="AB3" s="16" t="s">
        <v>13</v>
      </c>
      <c r="AC3" s="16" t="s">
        <v>22</v>
      </c>
      <c r="AD3" s="16" t="s">
        <v>11</v>
      </c>
      <c r="AE3" s="16" t="s">
        <v>12</v>
      </c>
      <c r="AF3" s="16" t="s">
        <v>4</v>
      </c>
      <c r="AG3" s="16" t="s">
        <v>13</v>
      </c>
      <c r="AH3" s="16" t="s">
        <v>22</v>
      </c>
      <c r="AI3" s="16" t="s">
        <v>11</v>
      </c>
      <c r="AJ3" s="16" t="s">
        <v>12</v>
      </c>
      <c r="AK3" s="16" t="s">
        <v>4</v>
      </c>
      <c r="AL3" s="16" t="s">
        <v>13</v>
      </c>
      <c r="AM3" s="16" t="s">
        <v>22</v>
      </c>
      <c r="AN3" s="16" t="s">
        <v>43</v>
      </c>
      <c r="AO3" s="6"/>
      <c r="AP3" s="6"/>
      <c r="AQ3" s="6"/>
      <c r="AR3" s="6"/>
      <c r="AS3" s="6"/>
      <c r="AT3" s="6"/>
      <c r="AU3" s="6"/>
      <c r="AV3" s="6"/>
      <c r="AW3" s="6"/>
      <c r="AX3" s="17" t="s">
        <v>11</v>
      </c>
      <c r="AY3" s="17" t="s">
        <v>12</v>
      </c>
      <c r="AZ3" s="17" t="s">
        <v>4</v>
      </c>
      <c r="BA3" s="17" t="s">
        <v>13</v>
      </c>
      <c r="BB3" s="17" t="s">
        <v>22</v>
      </c>
      <c r="BC3" s="17" t="s">
        <v>11</v>
      </c>
      <c r="BD3" s="17" t="s">
        <v>12</v>
      </c>
      <c r="BE3" s="17" t="s">
        <v>4</v>
      </c>
      <c r="BF3" s="17" t="s">
        <v>13</v>
      </c>
      <c r="BG3" s="17" t="s">
        <v>22</v>
      </c>
      <c r="BH3" s="17" t="s">
        <v>11</v>
      </c>
      <c r="BI3" s="17" t="s">
        <v>12</v>
      </c>
      <c r="BJ3" s="17" t="s">
        <v>4</v>
      </c>
      <c r="BK3" s="17" t="s">
        <v>13</v>
      </c>
      <c r="BL3" s="17" t="s">
        <v>22</v>
      </c>
      <c r="BM3" s="17" t="s">
        <v>11</v>
      </c>
      <c r="BN3" s="17" t="s">
        <v>12</v>
      </c>
      <c r="BO3" s="17" t="s">
        <v>4</v>
      </c>
      <c r="BP3" s="17" t="s">
        <v>13</v>
      </c>
      <c r="BQ3" s="17" t="s">
        <v>22</v>
      </c>
      <c r="BR3" s="17" t="s">
        <v>43</v>
      </c>
      <c r="BS3" s="8"/>
      <c r="BT3" s="8"/>
      <c r="BU3" s="8"/>
      <c r="BV3" s="8"/>
      <c r="BW3" s="8"/>
      <c r="BX3" s="8"/>
      <c r="BY3" s="8"/>
      <c r="BZ3" s="8"/>
      <c r="CA3" s="8"/>
      <c r="CB3" s="16" t="s">
        <v>11</v>
      </c>
      <c r="CC3" s="16" t="s">
        <v>12</v>
      </c>
      <c r="CD3" s="16" t="s">
        <v>4</v>
      </c>
      <c r="CE3" s="16" t="s">
        <v>13</v>
      </c>
      <c r="CF3" s="16" t="s">
        <v>22</v>
      </c>
      <c r="CG3" s="16" t="s">
        <v>11</v>
      </c>
      <c r="CH3" s="16" t="s">
        <v>12</v>
      </c>
      <c r="CI3" s="16" t="s">
        <v>4</v>
      </c>
      <c r="CJ3" s="16" t="s">
        <v>13</v>
      </c>
      <c r="CK3" s="16" t="s">
        <v>22</v>
      </c>
      <c r="CL3" s="16" t="s">
        <v>11</v>
      </c>
      <c r="CM3" s="16" t="s">
        <v>12</v>
      </c>
      <c r="CN3" s="16" t="s">
        <v>4</v>
      </c>
      <c r="CO3" s="16" t="s">
        <v>13</v>
      </c>
      <c r="CP3" s="16" t="s">
        <v>22</v>
      </c>
      <c r="CQ3" s="16" t="s">
        <v>11</v>
      </c>
      <c r="CR3" s="16" t="s">
        <v>12</v>
      </c>
      <c r="CS3" s="16" t="s">
        <v>4</v>
      </c>
      <c r="CT3" s="16" t="s">
        <v>13</v>
      </c>
      <c r="CU3" s="16" t="s">
        <v>22</v>
      </c>
      <c r="CV3" s="16" t="s">
        <v>43</v>
      </c>
      <c r="CW3" s="6"/>
      <c r="CX3" s="6"/>
      <c r="CY3" s="6"/>
      <c r="CZ3" s="6"/>
      <c r="DA3" s="6"/>
      <c r="DB3" s="6"/>
      <c r="DC3" s="6"/>
      <c r="DD3" s="6"/>
      <c r="DE3" s="6"/>
      <c r="DF3" s="12"/>
      <c r="DG3" s="12"/>
      <c r="DH3" s="12"/>
      <c r="DI3" s="12"/>
      <c r="DJ3" s="16" t="s">
        <v>11</v>
      </c>
      <c r="DK3" s="16" t="s">
        <v>12</v>
      </c>
      <c r="DL3" s="16" t="s">
        <v>4</v>
      </c>
      <c r="DM3" s="16" t="s">
        <v>13</v>
      </c>
      <c r="DN3" s="16" t="s">
        <v>22</v>
      </c>
      <c r="DO3" s="16" t="s">
        <v>11</v>
      </c>
      <c r="DP3" s="16" t="s">
        <v>12</v>
      </c>
      <c r="DQ3" s="16" t="s">
        <v>4</v>
      </c>
      <c r="DR3" s="16" t="s">
        <v>13</v>
      </c>
      <c r="DS3" s="16" t="s">
        <v>22</v>
      </c>
      <c r="DT3" s="16" t="s">
        <v>11</v>
      </c>
      <c r="DU3" s="16" t="s">
        <v>12</v>
      </c>
      <c r="DV3" s="16" t="s">
        <v>4</v>
      </c>
      <c r="DW3" s="16" t="s">
        <v>13</v>
      </c>
      <c r="DX3" s="16" t="s">
        <v>22</v>
      </c>
      <c r="DY3" s="6"/>
      <c r="DZ3" s="6"/>
      <c r="EA3" s="6"/>
      <c r="EB3" s="6"/>
      <c r="EC3" s="6"/>
      <c r="ED3" s="6"/>
      <c r="EE3" s="6"/>
      <c r="EF3" s="17" t="s">
        <v>11</v>
      </c>
      <c r="EG3" s="17" t="s">
        <v>12</v>
      </c>
      <c r="EH3" s="17" t="s">
        <v>4</v>
      </c>
      <c r="EI3" s="17" t="s">
        <v>13</v>
      </c>
      <c r="EJ3" s="17" t="s">
        <v>22</v>
      </c>
      <c r="EK3" s="17" t="s">
        <v>11</v>
      </c>
      <c r="EL3" s="17" t="s">
        <v>12</v>
      </c>
      <c r="EM3" s="17" t="s">
        <v>4</v>
      </c>
      <c r="EN3" s="17" t="s">
        <v>13</v>
      </c>
      <c r="EO3" s="17" t="s">
        <v>22</v>
      </c>
      <c r="EP3" s="17" t="s">
        <v>11</v>
      </c>
      <c r="EQ3" s="17" t="s">
        <v>12</v>
      </c>
      <c r="ER3" s="17" t="s">
        <v>4</v>
      </c>
      <c r="ES3" s="17" t="s">
        <v>13</v>
      </c>
      <c r="ET3" s="21" t="s">
        <v>22</v>
      </c>
      <c r="EU3" s="8"/>
      <c r="EV3" s="8"/>
      <c r="EW3" s="8"/>
      <c r="EX3" s="8"/>
      <c r="EY3" s="8"/>
      <c r="EZ3" s="8"/>
      <c r="FA3" s="8"/>
      <c r="FB3" s="16" t="s">
        <v>11</v>
      </c>
      <c r="FC3" s="16" t="s">
        <v>12</v>
      </c>
      <c r="FD3" s="16" t="s">
        <v>4</v>
      </c>
      <c r="FE3" s="16" t="s">
        <v>13</v>
      </c>
      <c r="FF3" s="16" t="s">
        <v>22</v>
      </c>
      <c r="FG3" s="16" t="s">
        <v>11</v>
      </c>
      <c r="FH3" s="16" t="s">
        <v>12</v>
      </c>
      <c r="FI3" s="16" t="s">
        <v>4</v>
      </c>
      <c r="FJ3" s="16" t="s">
        <v>13</v>
      </c>
      <c r="FK3" s="16" t="s">
        <v>22</v>
      </c>
      <c r="FL3" s="16" t="s">
        <v>11</v>
      </c>
      <c r="FM3" s="16" t="s">
        <v>12</v>
      </c>
      <c r="FN3" s="16" t="s">
        <v>4</v>
      </c>
      <c r="FO3" s="16" t="s">
        <v>13</v>
      </c>
      <c r="FP3" s="16" t="s">
        <v>22</v>
      </c>
      <c r="FQ3" s="6"/>
      <c r="FR3" s="6"/>
      <c r="FS3" s="6"/>
      <c r="FT3" s="6"/>
      <c r="FU3" s="6"/>
      <c r="FV3" s="6"/>
      <c r="FW3" s="6"/>
      <c r="FX3" s="17" t="s">
        <v>11</v>
      </c>
      <c r="FY3" s="17" t="s">
        <v>12</v>
      </c>
      <c r="FZ3" s="17" t="s">
        <v>4</v>
      </c>
      <c r="GA3" s="17" t="s">
        <v>13</v>
      </c>
      <c r="GB3" s="17" t="s">
        <v>22</v>
      </c>
      <c r="GC3" s="17" t="s">
        <v>11</v>
      </c>
      <c r="GD3" s="17" t="s">
        <v>12</v>
      </c>
      <c r="GE3" s="17" t="s">
        <v>4</v>
      </c>
      <c r="GF3" s="17" t="s">
        <v>13</v>
      </c>
      <c r="GG3" s="17" t="s">
        <v>22</v>
      </c>
      <c r="GH3" s="17" t="s">
        <v>11</v>
      </c>
      <c r="GI3" s="17" t="s">
        <v>12</v>
      </c>
      <c r="GJ3" s="17" t="s">
        <v>4</v>
      </c>
      <c r="GK3" s="17" t="s">
        <v>13</v>
      </c>
      <c r="GL3" s="17" t="s">
        <v>22</v>
      </c>
      <c r="GM3" s="8"/>
      <c r="GN3" s="8"/>
      <c r="GO3" s="8"/>
      <c r="GP3" s="8"/>
      <c r="GQ3" s="8"/>
      <c r="GR3" s="8"/>
      <c r="GS3" s="8"/>
      <c r="GT3" s="16" t="s">
        <v>11</v>
      </c>
      <c r="GU3" s="16" t="s">
        <v>12</v>
      </c>
      <c r="GV3" s="16" t="s">
        <v>4</v>
      </c>
      <c r="GW3" s="16" t="s">
        <v>13</v>
      </c>
      <c r="GX3" s="16" t="s">
        <v>22</v>
      </c>
      <c r="GY3" s="16" t="s">
        <v>11</v>
      </c>
      <c r="GZ3" s="16" t="s">
        <v>12</v>
      </c>
      <c r="HA3" s="16" t="s">
        <v>4</v>
      </c>
      <c r="HB3" s="16" t="s">
        <v>13</v>
      </c>
      <c r="HC3" s="16" t="s">
        <v>22</v>
      </c>
      <c r="HD3" s="16" t="s">
        <v>11</v>
      </c>
      <c r="HE3" s="16" t="s">
        <v>12</v>
      </c>
      <c r="HF3" s="16" t="s">
        <v>4</v>
      </c>
      <c r="HG3" s="16" t="s">
        <v>13</v>
      </c>
      <c r="HH3" s="16" t="s">
        <v>22</v>
      </c>
      <c r="HI3" s="6"/>
      <c r="HJ3" s="6"/>
      <c r="HK3" s="6"/>
      <c r="HL3" s="6"/>
      <c r="HM3" s="6"/>
      <c r="HN3" s="6"/>
      <c r="HO3" s="6"/>
      <c r="HP3" s="17" t="s">
        <v>11</v>
      </c>
      <c r="HQ3" s="17" t="s">
        <v>12</v>
      </c>
      <c r="HR3" s="17" t="s">
        <v>4</v>
      </c>
      <c r="HS3" s="17" t="s">
        <v>13</v>
      </c>
      <c r="HT3" s="17" t="s">
        <v>22</v>
      </c>
      <c r="HU3" s="17" t="s">
        <v>11</v>
      </c>
      <c r="HV3" s="17" t="s">
        <v>12</v>
      </c>
      <c r="HW3" s="17" t="s">
        <v>4</v>
      </c>
      <c r="HX3" s="17" t="s">
        <v>13</v>
      </c>
      <c r="HY3" s="17" t="s">
        <v>22</v>
      </c>
      <c r="HZ3" s="17" t="s">
        <v>11</v>
      </c>
      <c r="IA3" s="17" t="s">
        <v>12</v>
      </c>
      <c r="IB3" s="17" t="s">
        <v>4</v>
      </c>
      <c r="IC3" s="17" t="s">
        <v>13</v>
      </c>
      <c r="ID3" s="17" t="s">
        <v>22</v>
      </c>
      <c r="IE3" s="8"/>
      <c r="IF3" s="8"/>
      <c r="IG3" s="8"/>
      <c r="IH3" s="8"/>
      <c r="II3" s="8"/>
      <c r="IJ3" s="8"/>
      <c r="IK3" s="8"/>
      <c r="IL3" s="16" t="s">
        <v>11</v>
      </c>
      <c r="IM3" s="16" t="s">
        <v>12</v>
      </c>
      <c r="IN3" s="16" t="s">
        <v>4</v>
      </c>
      <c r="IO3" s="16" t="s">
        <v>13</v>
      </c>
      <c r="IP3" s="16" t="s">
        <v>22</v>
      </c>
      <c r="IQ3" s="16" t="s">
        <v>11</v>
      </c>
      <c r="IR3" s="16" t="s">
        <v>12</v>
      </c>
      <c r="IS3" s="16" t="s">
        <v>4</v>
      </c>
      <c r="IT3" s="16" t="s">
        <v>13</v>
      </c>
      <c r="IU3" s="16" t="s">
        <v>22</v>
      </c>
      <c r="IV3" s="16" t="s">
        <v>11</v>
      </c>
      <c r="IW3" s="16" t="s">
        <v>12</v>
      </c>
      <c r="IX3" s="16" t="s">
        <v>4</v>
      </c>
      <c r="IY3" s="16" t="s">
        <v>13</v>
      </c>
      <c r="IZ3" s="16" t="s">
        <v>22</v>
      </c>
      <c r="JA3" s="6"/>
      <c r="JB3" s="6"/>
      <c r="JC3" s="6"/>
      <c r="JD3" s="6"/>
      <c r="JE3" s="6"/>
      <c r="JF3" s="6"/>
      <c r="JG3" s="6"/>
      <c r="JH3" s="17" t="s">
        <v>11</v>
      </c>
      <c r="JI3" s="17" t="s">
        <v>12</v>
      </c>
      <c r="JJ3" s="17" t="s">
        <v>4</v>
      </c>
      <c r="JK3" s="17" t="s">
        <v>13</v>
      </c>
      <c r="JL3" s="17" t="s">
        <v>22</v>
      </c>
      <c r="JM3" s="17" t="s">
        <v>11</v>
      </c>
      <c r="JN3" s="17" t="s">
        <v>12</v>
      </c>
      <c r="JO3" s="17" t="s">
        <v>4</v>
      </c>
      <c r="JP3" s="17" t="s">
        <v>13</v>
      </c>
      <c r="JQ3" s="17" t="s">
        <v>22</v>
      </c>
      <c r="JR3" s="17" t="s">
        <v>11</v>
      </c>
      <c r="JS3" s="17" t="s">
        <v>12</v>
      </c>
      <c r="JT3" s="17" t="s">
        <v>4</v>
      </c>
      <c r="JU3" s="17" t="s">
        <v>13</v>
      </c>
      <c r="JV3" s="17" t="s">
        <v>22</v>
      </c>
      <c r="JW3" s="8"/>
      <c r="JX3" s="8"/>
      <c r="JY3" s="8"/>
      <c r="JZ3" s="8"/>
      <c r="KA3" s="8"/>
      <c r="KB3" s="8"/>
      <c r="KC3" s="8"/>
      <c r="KD3" s="16" t="s">
        <v>11</v>
      </c>
      <c r="KE3" s="16" t="s">
        <v>12</v>
      </c>
      <c r="KF3" s="16" t="s">
        <v>4</v>
      </c>
      <c r="KG3" s="16" t="s">
        <v>13</v>
      </c>
      <c r="KH3" s="16" t="s">
        <v>22</v>
      </c>
      <c r="KI3" s="16" t="s">
        <v>11</v>
      </c>
      <c r="KJ3" s="16" t="s">
        <v>12</v>
      </c>
      <c r="KK3" s="16" t="s">
        <v>4</v>
      </c>
      <c r="KL3" s="16" t="s">
        <v>13</v>
      </c>
      <c r="KM3" s="16" t="s">
        <v>22</v>
      </c>
      <c r="KN3" s="16" t="s">
        <v>11</v>
      </c>
      <c r="KO3" s="16" t="s">
        <v>12</v>
      </c>
      <c r="KP3" s="16" t="s">
        <v>4</v>
      </c>
      <c r="KQ3" s="16" t="s">
        <v>13</v>
      </c>
      <c r="KR3" s="16" t="s">
        <v>22</v>
      </c>
      <c r="KS3" s="6"/>
      <c r="KT3" s="6"/>
      <c r="KU3" s="6"/>
      <c r="KV3" s="6"/>
      <c r="KW3" s="6"/>
      <c r="KX3" s="6"/>
      <c r="KY3" s="6"/>
      <c r="KZ3" s="17" t="s">
        <v>11</v>
      </c>
      <c r="LA3" s="17" t="s">
        <v>12</v>
      </c>
      <c r="LB3" s="17" t="s">
        <v>4</v>
      </c>
      <c r="LC3" s="17" t="s">
        <v>13</v>
      </c>
      <c r="LD3" s="17" t="s">
        <v>22</v>
      </c>
      <c r="LE3" s="17" t="s">
        <v>11</v>
      </c>
      <c r="LF3" s="17" t="s">
        <v>12</v>
      </c>
      <c r="LG3" s="17" t="s">
        <v>4</v>
      </c>
      <c r="LH3" s="17" t="s">
        <v>13</v>
      </c>
      <c r="LI3" s="17" t="s">
        <v>22</v>
      </c>
      <c r="LJ3" s="17" t="s">
        <v>11</v>
      </c>
      <c r="LK3" s="17" t="s">
        <v>12</v>
      </c>
      <c r="LL3" s="17" t="s">
        <v>4</v>
      </c>
      <c r="LM3" s="17" t="s">
        <v>13</v>
      </c>
      <c r="LN3" s="17" t="s">
        <v>22</v>
      </c>
      <c r="LO3" s="8"/>
      <c r="LP3" s="8"/>
      <c r="LQ3" s="8"/>
      <c r="LR3" s="8"/>
      <c r="LS3" s="8"/>
      <c r="LT3" s="8"/>
      <c r="LU3" s="8"/>
      <c r="LV3" s="16" t="s">
        <v>11</v>
      </c>
      <c r="LW3" s="16" t="s">
        <v>12</v>
      </c>
      <c r="LX3" s="16" t="s">
        <v>4</v>
      </c>
      <c r="LY3" s="16" t="s">
        <v>13</v>
      </c>
      <c r="LZ3" s="16" t="s">
        <v>22</v>
      </c>
      <c r="MA3" s="16" t="s">
        <v>11</v>
      </c>
      <c r="MB3" s="16" t="s">
        <v>12</v>
      </c>
      <c r="MC3" s="16" t="s">
        <v>4</v>
      </c>
      <c r="MD3" s="16" t="s">
        <v>13</v>
      </c>
      <c r="ME3" s="16" t="s">
        <v>22</v>
      </c>
      <c r="MF3" s="16" t="s">
        <v>11</v>
      </c>
      <c r="MG3" s="16" t="s">
        <v>12</v>
      </c>
      <c r="MH3" s="16" t="s">
        <v>4</v>
      </c>
      <c r="MI3" s="16" t="s">
        <v>13</v>
      </c>
      <c r="MJ3" s="16" t="s">
        <v>22</v>
      </c>
      <c r="MK3" s="6"/>
      <c r="ML3" s="6"/>
      <c r="MM3" s="6"/>
      <c r="MN3" s="6"/>
      <c r="MO3" s="6"/>
      <c r="MP3" s="6"/>
      <c r="MQ3" s="6"/>
      <c r="MR3" s="17" t="s">
        <v>11</v>
      </c>
      <c r="MS3" s="17" t="s">
        <v>12</v>
      </c>
      <c r="MT3" s="17" t="s">
        <v>4</v>
      </c>
      <c r="MU3" s="17" t="s">
        <v>13</v>
      </c>
      <c r="MV3" s="17" t="s">
        <v>22</v>
      </c>
      <c r="MW3" s="17" t="s">
        <v>11</v>
      </c>
      <c r="MX3" s="17" t="s">
        <v>12</v>
      </c>
      <c r="MY3" s="17" t="s">
        <v>4</v>
      </c>
      <c r="MZ3" s="17" t="s">
        <v>13</v>
      </c>
      <c r="NA3" s="17" t="s">
        <v>22</v>
      </c>
      <c r="NB3" s="17" t="s">
        <v>11</v>
      </c>
      <c r="NC3" s="17" t="s">
        <v>12</v>
      </c>
      <c r="ND3" s="17" t="s">
        <v>4</v>
      </c>
      <c r="NE3" s="17" t="s">
        <v>13</v>
      </c>
      <c r="NF3" s="17" t="s">
        <v>22</v>
      </c>
      <c r="NG3" s="8"/>
      <c r="NH3" s="8"/>
      <c r="NI3" s="8"/>
      <c r="NJ3" s="8"/>
      <c r="NK3" s="8"/>
      <c r="NL3" s="8"/>
      <c r="NM3" s="8"/>
      <c r="NN3" s="16" t="s">
        <v>11</v>
      </c>
      <c r="NO3" s="16" t="s">
        <v>12</v>
      </c>
      <c r="NP3" s="16" t="s">
        <v>4</v>
      </c>
      <c r="NQ3" s="16" t="s">
        <v>13</v>
      </c>
      <c r="NR3" s="16" t="s">
        <v>22</v>
      </c>
      <c r="NS3" s="16" t="s">
        <v>11</v>
      </c>
      <c r="NT3" s="16" t="s">
        <v>12</v>
      </c>
      <c r="NU3" s="16" t="s">
        <v>4</v>
      </c>
      <c r="NV3" s="16" t="s">
        <v>13</v>
      </c>
      <c r="NW3" s="16" t="s">
        <v>22</v>
      </c>
      <c r="NX3" s="16" t="s">
        <v>11</v>
      </c>
      <c r="NY3" s="16" t="s">
        <v>12</v>
      </c>
      <c r="NZ3" s="16" t="s">
        <v>4</v>
      </c>
      <c r="OA3" s="16" t="s">
        <v>13</v>
      </c>
      <c r="OB3" s="16" t="s">
        <v>22</v>
      </c>
      <c r="OC3" s="16" t="s">
        <v>11</v>
      </c>
      <c r="OD3" s="16" t="s">
        <v>12</v>
      </c>
      <c r="OE3" s="16" t="s">
        <v>4</v>
      </c>
      <c r="OF3" s="16" t="s">
        <v>13</v>
      </c>
      <c r="OG3" s="16" t="s">
        <v>22</v>
      </c>
      <c r="OH3" s="16" t="s">
        <v>43</v>
      </c>
      <c r="OI3" s="6"/>
      <c r="OJ3" s="6"/>
      <c r="OK3" s="6"/>
      <c r="OL3" s="6"/>
      <c r="OM3" s="6"/>
      <c r="ON3" s="6"/>
      <c r="OO3" s="6"/>
      <c r="OP3" s="6"/>
      <c r="OQ3" s="6"/>
    </row>
    <row r="4" spans="1:407" x14ac:dyDescent="0.2">
      <c r="A4" s="4" cm="1">
        <f t="array" ref="A4">IF(AND(H4&lt;&gt;"",H4&lt;&gt;"No DD"),SUMPRODUCT((H$4:H$12&lt;&gt;"")*(H$4:H$12&lt;&gt;"No DD")*(E$4:E$12&gt;E4))+1,IF(H4="No DD",SUMPRODUCT((H$4:H$12="No DD")*(E$4:E$12&gt;E4))+1+SUMPRODUCT((H$4:H$12&lt;&gt;"")*(H$4:H$12&lt;&gt;"No DD")),""))</f>
        <v>1</v>
      </c>
      <c r="B4" s="5" t="s">
        <v>82</v>
      </c>
      <c r="C4" s="4" t="s">
        <v>3</v>
      </c>
      <c r="D4" s="4">
        <v>2007</v>
      </c>
      <c r="E4" s="10">
        <f>SUM(I4:Q4)</f>
        <v>233.9</v>
      </c>
      <c r="F4" s="3" t="str">
        <f>IF(OR(AND(AP4&gt;=AW$14,AT4&gt;=AW$18,AO4&lt;&gt;"",AN4=""),AND(BT4&gt;=CA$14,BX4&gt;=CA$18,BS4&lt;&gt;"",BR4=""),AND(CX4&gt;=DE$14,DB4&gt;=DE$18,CW4&lt;&gt;"",CV4=""),AND(DY4&gt;=EE$14,EB4&gt;=EE$18,DY4&lt;&gt;""),AND(EU4&gt;=FA$14,EX4&gt;=FA$18,EU4&lt;&gt;""),AND(FQ4&gt;=FW$14,FT4&gt;=FW$18,FQ4&lt;&gt;""),AND(GM4&gt;=GS$14,GP4&gt;=GS$18,GM4&lt;&gt;""),AND(HI4&gt;=HO$14,HL4&gt;=HO$18,HI4&lt;&gt;""),AND(IE4&gt;=IK$14,IH4&gt;=IK$18,IE4&lt;&gt;""),AND(JA4&gt;=JG$14,JD4&gt;=JG$18,JA4&lt;&gt;""),AND(JW4&gt;=KC$14,JZ4&gt;=KC$18,JW4&lt;&gt;""),AND(KS4&gt;=KY$14,KV4&gt;=KY$18,KS4&lt;&gt;""),AND(LO4&gt;=LU$14,LR4&gt;=LU$18,LO4&lt;&gt;""),AND(MK4&gt;=MQ$14,MN4&gt;=MQ$18,MK4&lt;&gt;""),AND(NG4&gt;=NM$14,NJ4&gt;=NM$18,NG4&lt;&gt;"")),"P","")</f>
        <v>P</v>
      </c>
      <c r="G4" s="3" t="str">
        <f>IF(OR(AND(AT4&gt;=AW$18,AO4&lt;&gt;"",AN4=""),AND(BX4&gt;=CA$18,BS4&lt;&gt;"",BR4=""),AND(DB4&gt;=DE$18,CW4&lt;&gt;"",CV4=""),AND(EB4&gt;=EE$18,DY4&lt;&gt;""),AND(EX4&gt;=FA$18,EU4&lt;&gt;""),AND(FT4&gt;=FW$18,FQ4&lt;&gt;""),AND(GP4&gt;=GS$18,GM4&lt;&gt;""),AND(HL4&gt;=HO$18,HI4&lt;&gt;""),AND(IH4&gt;=IK$18,IE4&lt;&gt;""),AND(JD4&gt;=JG$18,JA4&lt;&gt;""),AND(JZ4&gt;=KC$18,JW4&lt;&gt;""),AND(KV4&gt;=KY$18,KS4&lt;&gt;""),AND(LR4&gt;=LU$18,LO4&lt;&gt;""),AND(MN4&gt;=MQ$18,MK4&lt;&gt;""),AND(NJ4&gt;=NM$18,NG4&lt;&gt;"")),"P","")</f>
        <v>P</v>
      </c>
      <c r="H4" s="47" t="str">
        <f>IF(OR(AND(AP4&gt;=AW$17,AQ4&gt;=AW$21,AP4&lt;&gt;"",AN4=""),AND(AU4&gt;=AW$17,AV4&gt;=AW$21,AU4&lt;&gt;"",AN4=""),AND(BT4&gt;=CA$17,BU4&gt;=CA$21,BT4&lt;&gt;"",BR4=""),AND(BY4&gt;=CA$17,BZ4&gt;=CA$21,BY4&lt;&gt;"",BR4=""),AND(CX4&gt;=DE$17,CY4&gt;=DE$21,CX4&lt;&gt;"",CV4=""),AND(DC4&gt;=DE$17,DD4&gt;=DE$21,DC4&lt;&gt;"",CV4=""),AND(DY4&gt;=EE$17,EA4&gt;=EE$21,DY4&lt;&gt;""),AND(EC4&gt;=EE$17,ED4&gt;=EE$21,EC4&lt;&gt;""),AND(EU4&gt;=FA$17,EW4&gt;=FA$21,EU4&lt;&gt;""),AND(EY4&gt;=FA$17,EZ4&gt;=FA$21,EY4&lt;&gt;""),AND(FQ4&gt;=FW$17,FS4&gt;=FW$21,FQ4&lt;&gt;""),AND(FU4&gt;=FW$17,FV4&gt;=FW$21,FU4&lt;&gt;""),AND(GM4&gt;=GS$17,GO4&gt;=GS$21,GM4&lt;&gt;""),AND(GQ4&gt;=GS$17,GR4&gt;=GS$21,GQ4&lt;&gt;""),AND(HI4&gt;=HO$17,HK4&gt;=HO$21,HI4&lt;&gt;""),AND(HM4&gt;=HO$17,HN4&gt;=HO$21,HM4&lt;&gt;""),AND(IE4&gt;=IK$17,IG4&gt;=IK$21,IE4&lt;&gt;""),AND(II4&gt;=IK$17,IJ4&gt;=IK$21,II4&lt;&gt;""),AND(JA4&gt;=JG$17,JC4&gt;=JG$21,JA4&lt;&gt;""),AND(JE4&gt;=JG$17,JF4&gt;=JG$21,JE4&lt;&gt;""),AND(JW4&gt;=KC$17,JY4&gt;=KC$21,JW4&lt;&gt;""),AND(KA4&gt;=KC$17,KB4&gt;=KC$21,KA4&lt;&gt;""),AND(KS4&gt;=KY$17,KU4&gt;=KY$21,KS4&lt;&gt;""),AND(KW4&gt;=KY$17,KX4&gt;=KY$21,KW4&lt;&gt;""),AND(LO4&gt;=LU$17,LQ4&gt;=LU$21,LO4&lt;&gt;""),AND(LS4&gt;=LU$17,LT4&gt;=LU$21,LS4&lt;&gt;""),AND(MK4&gt;=MQ$17,MM4&gt;=MQ$21,MK4&lt;&gt;""),AND(MO4&gt;=MQ$17,MP4&gt;=MQ$21,MO4&lt;&gt;""),AND(NG4&gt;=NM$17,NI4&gt;=NM$21,NG4&lt;&gt;""),AND(NK4&gt;=NM$17,NL4&gt;=NM$21,NK4&lt;&gt;"")),"Merit",IF(OR(AND(AP4&gt;=AW$16,AT4&gt;=AW$20,AO4&lt;&gt;"",AN4=""),AND(BT4&gt;=CA$16,BX4&gt;=CA$20,BS4&lt;&gt;"",BR4=""),AND(CX4&gt;=DE$16,DB4&gt;=DE$20,CW4&lt;&gt;"",CV4=""),AND(DY4&gt;=EE$16,EB4&gt;=EE$20,DY4&lt;&gt;""),AND(EU4&gt;=FA$16,EX4&gt;=FA$20,EU4&lt;&gt;""),AND(FQ4&gt;=FW$16,FT4&gt;=FW$20,FQ4&lt;&gt;""),AND(GM4&gt;=GS$16,GP4&gt;=GS$20,GM4&lt;&gt;""),AND(HI4&gt;=HO$16,HL4&gt;=HO$20,HI4&lt;&gt;""),AND(IE4&gt;=IK$16,IH4&gt;=IK$20,IE4&lt;&gt;""),AND(JA4&gt;=JG$16,JD4&gt;=JG$20,JA4&lt;&gt;""),AND(JW4&gt;=KC$16,JZ4&gt;=KC$20,JW4&lt;&gt;""),AND(KS4&gt;=KY$16,KV4&gt;=KY$20,KS4&lt;&gt;""),AND(LO4&gt;=LU$16,LR4&gt;=LU$20,LO4&lt;&gt;""),AND(MK4&gt;=MQ$16,MN4&gt;=MQ$20,MK4&lt;&gt;""),AND(NG4&gt;=NM$16,NJ4&gt;=NM$20,NG4&lt;&gt;"")),"Excellence",IF(OR(AND(AP4&gt;=AW$14,AT4&gt;=AW$18,AO4&lt;&gt;"",AN4=""),AND(BT4&gt;=CA$14,BX4&gt;=CA$18,BS4&lt;&gt;"",BR4=""),AND(CX4&gt;=DE$14,DB4&gt;=DE$18,CW4&lt;&gt;"",CV4=""),AND(DY4&gt;=EE$14,EB4&gt;=EE$18,DY4&lt;&gt;""),AND(EU4&gt;=FA$14,EX4&gt;=FA$18,EU4&lt;&gt;""),AND(FQ4&gt;=FW$14,FT4&gt;=FW$18,FQ4&lt;&gt;""),AND(GM4&gt;=GS$14,GP4&gt;=GS$18,GM4&lt;&gt;""),AND(HI4&gt;=HO$14,HL4&gt;=HO$18,HI4&lt;&gt;""),AND(IE4&gt;=IK$14,IH4&gt;=IK$18,IE4&lt;&gt;""),AND(JA4&gt;=JG$14,JD4&gt;=JG$18,JA4&lt;&gt;""),AND(JW4&gt;=KC$14,JZ4&gt;=KC$18,JW4&lt;&gt;""),AND(KS4&gt;=KY$14,KV4&gt;=KY$18,KS4&lt;&gt;""),AND(LO4&gt;=LU$14,LR4&gt;=LU$18,LO4&lt;&gt;""),AND(MK4&gt;=MQ$14,MN4&gt;=MQ$18,MK4&lt;&gt;""),AND(NG4&gt;=NM$14,NJ4&gt;=NM$18,NG4&lt;&gt;"")),"National Team",IF(G4="P","No DD",""))))</f>
        <v>National Team</v>
      </c>
      <c r="I4" s="9">
        <f>IF(MAX(AT4,BX4,DB4)&gt;0,MAX(AT4,BX4,DB4),0)</f>
        <v>92.2</v>
      </c>
      <c r="J4" s="9" t="str">
        <f>IF(I4=0,"",IF(I4=DB4,$CB$1,IF(I4=BX4,$AX$1,IF(I4=AT4,$T$1,""))))</f>
        <v>2023 3rd Domestic Trial</v>
      </c>
      <c r="K4" s="9">
        <f>IF($I4=$AT4,MAX(BS4,CW4),IF($I4=$BX4,MAX(AO4,CW4),IF($I4=$DB4,MAX(AO4,BS4),MAX(AO4,BS4,CW4))))</f>
        <v>41.82</v>
      </c>
      <c r="L4" s="9" t="str">
        <f>IF(K4=0,"",IF(AND(K4=CW4,$J4&lt;&gt;$CB$1),$CB$1,IF(AND(K4=BS4,$J4&lt;&gt;$AX$1),$AX$1,IF(AND(K4=AO4,$J4&lt;&gt;$T$1),$T$1,""))))</f>
        <v>2023 Nationals</v>
      </c>
      <c r="M4" s="9">
        <f>IF(I4-N(AO4)=AQ4,MAX(AS4,BU4,BW4,CY4,DA4),IF(I4-N(AO4)=AS4,MAX(AQ4,BU4,BW4,CY4,DA4),IF(I4-N(BS4)=BU4,MAX(AQ4,AS4,BW4,CY4,DA4),IF(I4-N(BS4)=BW4,MAX(AQ4,AS4,BU4,CY4,DA4),IF(I4-N(CW4)=CY4,MAX(AQ4,AS4,BU4,BW4,DA4),IF(I4-N(CW4)=DA4,MAX(AQ4,AS4,BU4,BW4,CY4),MAX(AQ4,AS4,BU4,BW4,CY4,DA4)))))))</f>
        <v>49.19</v>
      </c>
      <c r="N4" s="9" t="str">
        <f>IF(M4=0,"",IF(AND(OR(M4=DA4,M4=CY4),$J4&lt;&gt;$CB$1),$CB$1,IF(AND(OR(M4=BW4,M4=BU4),$J4&lt;&gt;$AX$1),$AX$1,IF(AND(OR(M4=AS4,M4=AQ4),$J4&lt;&gt;$T$1),$T$1,""))))</f>
        <v>2023 Nationals</v>
      </c>
      <c r="O4" s="9">
        <f>MAX(AV4,BZ4,DD4)</f>
        <v>49.849999999999994</v>
      </c>
      <c r="P4" s="9" t="str">
        <f>IF(O4=0,"",IF(O4=DD4,$CB$1,IF(O4=BZ4,$AX$1,IF(O4=AV4,$T$1,""))))</f>
        <v>2023 Elite Canada</v>
      </c>
      <c r="Q4" s="9">
        <f>IF(MAX(DF4,DG4,DH4,DI4)&gt;0,MAX(DF4,DG4,DH4,DI4),"")</f>
        <v>0.84000000000000341</v>
      </c>
      <c r="R4" s="14" t="str">
        <f>IF(Q4="","",IF(Q4=DF4,"(Vol 1)",IF(Q4=DG4,"(Vol 2)",IF(Q4=DH4,"(Prelim)",IF(Q4=DI4,"(Final)")))))</f>
        <v>(Vol 2)</v>
      </c>
      <c r="S4" s="9" t="str">
        <f>IF(Q4="","",IF(Q4=DF4,IF(Q4+IF(K4="",0,K4)=NH4,$MR$1,IF(Q4+IF(K4="",0,K4)=ML4,$LV$1,IF(Q4+IF(K4="",0,K4)=LP4,$KZ$1,IF(Q4+IF(K4="",0,K4)=KT4,$KD$1,IF(Q4+IF(K4="",0,K4)=JX4,$JH$1,IF(Q4+IF(K4="",0,K4)=JB4,$IL$1,IF(Q4+IF(K4="",0,K4)=IF4,$HP$1,IF(Q4+IF(K4="",0,K4)=HJ4,$GT$1,IF(Q4+IF(K4="",0,K4)=GN4,$FX$1,IF(Q4+IF(K4="",0,K4)=FR4,$FB$1,IF(Q4+IF(K4="",0,K4)=EV4,$EF$1,IF(Q4+IF(K4="",0,K4)=DZ4,$DJ$1)))))))))))),IF(Q4=DG4,IF(Q4+IF(M4="",0,M4)=NI4,$MR$1,IF(Q4+IF(M4="",0,M4)=MM4,$LV$1,IF(Q4+IF(M4="",0,M4)=LQ4,$KZ$1,IF(Q4+IF(M4="",0,M4)=KU4,$KD$1,IF(Q4+IF(M4="",0,M4)=JY4,$JH$1,IF(Q4+IF(M4="",0,M4)=JC4,$IL$1,IF(Q4+IF(M4="",0,M4)=IG4,$HP$1,IF(Q4+IF(M4="",0,M4)=HK4,$GT$1,IF(Q4+IF(M4="",0,M4)=GO4,$FX$1,IF(Q4+IF(M4="",0,M4)=FS4,$FB$1,IF(Q4+IF(M4="",0,M4)=EW4,$EF$1,IF(Q4+IF(M4="",0,M4)=EA4,$DJ$1)))))))))))),IF(Q4=DH4,IF(Q4+IF(I4="",0,I4)=NJ4,$MR$1,IF(Q4+IF(I4="",0,I4)=MN4,$LV$1,IF(Q4+IF(I4="",0,I4)=LR4,$KZ$1,IF(Q4+IF(I4="",0,I4)=KV4,$KD$1,IF(Q4+IF(I4="",0,I4)=JZ4,$JH$1,IF(Q4+IF(I4="",0,I4)=JD4,$IL$1,IF(Q4+IF(I4="",0,I4)=IH4,$HP$1,IF(Q4+IF(I4="",0,I4)=HL4,$GT$1,IF(Q4+IF(I4="",0,I4)=GP4,$FX$1,IF(Q4+IF(I4="",0,I4)=FT4,$FB$1,IF(Q4+IF(I4="",0,I4)=EX4,$EF$1,IF(Q4+IF(I4="",0,I4)=EB4,$DJ$1)))))))))))),IF(Q4=DI4,IF(Q4+IF(O4="",0,O4)=NL4,$MR$1,IF(Q4+IF(O4="",0,O4)=MP4,$LV$1,IF(Q4+IF(O4="",0,O4)=LT4,$KZ$1,IF(Q4+IF(O4="",0,O4)=KX4,$KD$1,IF(Q4+IF(O4="",0,O4)=KB4,$JH$1,IF(Q4+IF(O4="",0,O4)=JF4,$IL$1,IF(Q4+IF(O4="",0,O4)=IJ4,$HP$1,IF(Q4+IF(O4="",0,O4)=HN4,$GT$1,IF(Q4+IF(O4="",0,O4)=GR4,$FX$1,IF(Q4+IF(O4="",0,O4)=FV4,$FB$1,IF(Q4+IF(O4="",0,O4)=EZ4,$EF$1,IF(Q4+IF(O4="",0,O4)=ED4,$DJ$1)))))))))))))))))</f>
        <v>2023 WAGC (Nov 16)</v>
      </c>
      <c r="T4" s="27">
        <v>16.899999999999999</v>
      </c>
      <c r="U4" s="27">
        <v>9.6</v>
      </c>
      <c r="V4" s="27">
        <v>0</v>
      </c>
      <c r="W4" s="27">
        <v>14.36</v>
      </c>
      <c r="X4" s="27">
        <v>0</v>
      </c>
      <c r="Y4" s="27">
        <v>15.2</v>
      </c>
      <c r="Z4" s="27">
        <v>8.9</v>
      </c>
      <c r="AA4" s="27">
        <v>11.5</v>
      </c>
      <c r="AB4" s="27">
        <v>13.46</v>
      </c>
      <c r="AC4" s="27">
        <v>0</v>
      </c>
      <c r="AD4" s="27"/>
      <c r="AE4" s="27"/>
      <c r="AF4" s="27"/>
      <c r="AG4" s="27"/>
      <c r="AH4" s="27"/>
      <c r="AI4" s="27">
        <v>15.5</v>
      </c>
      <c r="AJ4" s="27">
        <v>9.3000000000000007</v>
      </c>
      <c r="AK4" s="27">
        <v>11.5</v>
      </c>
      <c r="AL4" s="27">
        <v>13.55</v>
      </c>
      <c r="AM4" s="27">
        <v>0</v>
      </c>
      <c r="AN4" s="32"/>
      <c r="AO4" s="7">
        <f>IF(SUM(T4:W4)-X4&gt;0,SUM(T4:W4)-X4,"")</f>
        <v>40.86</v>
      </c>
      <c r="AP4" s="7">
        <f>IF(AA4&gt;0,AA4,"")</f>
        <v>11.5</v>
      </c>
      <c r="AQ4" s="7">
        <f>IF(SUM(Y4:AB4)-AC4&gt;0,SUM(Y4:AB4)-AC4,"")</f>
        <v>49.06</v>
      </c>
      <c r="AR4" s="7" t="str">
        <f>IF(AF4&gt;0,AF4,"")</f>
        <v/>
      </c>
      <c r="AS4" s="7" t="str">
        <f>IF(SUM(AD4:AG4)-AH4&gt;0,SUM(AD4:AG4)-AH4,"")</f>
        <v/>
      </c>
      <c r="AT4" s="7">
        <f>IF(AO4="",IF(MAX(AQ4,AS4)&gt;0,MAX(AQ4,AS4),""),MAX(AQ4,AS4)+AO4)</f>
        <v>89.92</v>
      </c>
      <c r="AU4" s="7">
        <f>IF(AK4&gt;0,AK4,"")</f>
        <v>11.5</v>
      </c>
      <c r="AV4" s="7">
        <f>IF(SUM(AI4:AL4)-AM4&gt;0,SUM(AI4:AL4)-AM4,"")</f>
        <v>49.849999999999994</v>
      </c>
      <c r="AW4" s="7">
        <f>IF(SUM(AT4,AV4)&gt;0,SUM(AT4,AV4),"")</f>
        <v>139.76999999999998</v>
      </c>
      <c r="AX4" s="31">
        <v>17.399999999999999</v>
      </c>
      <c r="AY4" s="31">
        <v>9.5</v>
      </c>
      <c r="AZ4" s="31">
        <v>0</v>
      </c>
      <c r="BA4" s="31">
        <v>14.92</v>
      </c>
      <c r="BB4" s="31">
        <v>0</v>
      </c>
      <c r="BC4" s="31">
        <v>14.6</v>
      </c>
      <c r="BD4" s="31">
        <v>9.1999999999999993</v>
      </c>
      <c r="BE4" s="31">
        <v>11.7</v>
      </c>
      <c r="BF4" s="31">
        <v>13.69</v>
      </c>
      <c r="BG4" s="31">
        <v>0</v>
      </c>
      <c r="BH4" s="31"/>
      <c r="BI4" s="31"/>
      <c r="BJ4" s="31"/>
      <c r="BK4" s="31"/>
      <c r="BL4" s="31"/>
      <c r="BM4" s="31">
        <v>15</v>
      </c>
      <c r="BN4" s="31">
        <v>9.3000000000000007</v>
      </c>
      <c r="BO4" s="31">
        <v>11.7</v>
      </c>
      <c r="BP4" s="31">
        <v>13.47</v>
      </c>
      <c r="BQ4" s="31">
        <v>0</v>
      </c>
      <c r="BR4" s="33"/>
      <c r="BS4" s="9">
        <f>IF(SUM(AX4:BA4)-BB4&gt;0,SUM(AX4:BA4)-BB4,"")</f>
        <v>41.82</v>
      </c>
      <c r="BT4" s="9">
        <f>IF(BE4&gt;0,BE4,"")</f>
        <v>11.7</v>
      </c>
      <c r="BU4" s="9">
        <f>IF(SUM(BC4:BF4)-BG4&gt;0,SUM(BC4:BF4)-BG4,"")</f>
        <v>49.19</v>
      </c>
      <c r="BV4" s="9" t="str">
        <f>IF(BJ4&gt;0,BJ4,"")</f>
        <v/>
      </c>
      <c r="BW4" s="9" t="str">
        <f>IF(SUM(BH4:BK4)-BL4&gt;0,SUM(BH4:BK4)-BL4,"")</f>
        <v/>
      </c>
      <c r="BX4" s="9">
        <f>IF(BS4="",IF(MAX(BU4,BW4)&gt;0,MAX(BU4,BW4),""),MAX(BU4,BW4)+BS4)</f>
        <v>91.009999999999991</v>
      </c>
      <c r="BY4" s="9">
        <f>IF(BO4&gt;0,BO4,"")</f>
        <v>11.7</v>
      </c>
      <c r="BZ4" s="9">
        <f>IF(SUM(BM4:BP4)-BQ4&gt;0,SUM(BM4:BP4)-BQ4,"")</f>
        <v>49.47</v>
      </c>
      <c r="CA4" s="9">
        <f>IF(SUM(BX4,BZ4)&gt;0,SUM(BX4,BZ4),"")</f>
        <v>140.47999999999999</v>
      </c>
      <c r="CB4" s="27">
        <v>17.600000000000001</v>
      </c>
      <c r="CC4" s="27">
        <v>9.6</v>
      </c>
      <c r="CD4" s="27">
        <v>0</v>
      </c>
      <c r="CE4" s="27">
        <v>15.07</v>
      </c>
      <c r="CF4" s="27">
        <v>0</v>
      </c>
      <c r="CG4" s="27">
        <v>15.2</v>
      </c>
      <c r="CH4" s="27">
        <v>9</v>
      </c>
      <c r="CI4" s="27">
        <v>11.700000000000001</v>
      </c>
      <c r="CJ4" s="27">
        <v>14.03</v>
      </c>
      <c r="CK4" s="27">
        <v>0</v>
      </c>
      <c r="CL4" s="27"/>
      <c r="CM4" s="27"/>
      <c r="CN4" s="27"/>
      <c r="CO4" s="27"/>
      <c r="CP4" s="27"/>
      <c r="CQ4" s="27">
        <v>6.9</v>
      </c>
      <c r="CR4" s="27">
        <v>4.5</v>
      </c>
      <c r="CS4" s="27">
        <v>6.2</v>
      </c>
      <c r="CT4" s="27">
        <v>7.25</v>
      </c>
      <c r="CU4" s="27">
        <v>0</v>
      </c>
      <c r="CV4" s="32"/>
      <c r="CW4" s="7">
        <f>IF(SUM(CB4:CE4)-CF4&gt;0,SUM(CB4:CE4)-CF4,"")</f>
        <v>42.27</v>
      </c>
      <c r="CX4" s="7">
        <f>IF(CI4&gt;0,CI4,"")</f>
        <v>11.700000000000001</v>
      </c>
      <c r="CY4" s="7">
        <f>IF(SUM(CG4:CJ4)-CK4&gt;0,SUM(CG4:CJ4)-CK4,"")</f>
        <v>49.93</v>
      </c>
      <c r="CZ4" s="7" t="str">
        <f>IF(CN4&gt;0,CN4,"")</f>
        <v/>
      </c>
      <c r="DA4" s="7" t="str">
        <f>IF(SUM(CL4:CO4)-CP4&gt;0,SUM(CL4:CO4)-CP4,"")</f>
        <v/>
      </c>
      <c r="DB4" s="7">
        <f>IF(CW4="",IF(MAX(CY4,DA4)&gt;0,MAX(CY4,DA4),""),MAX(CY4,DA4)+CW4)</f>
        <v>92.2</v>
      </c>
      <c r="DC4" s="7">
        <f>IF(CS4&gt;0,CS4,"")</f>
        <v>6.2</v>
      </c>
      <c r="DD4" s="7">
        <f>IF(SUM(CQ4:CT4)-CU4&gt;0,SUM(CQ4:CT4)-CU4,"")</f>
        <v>24.85</v>
      </c>
      <c r="DE4" s="7">
        <f>IF(SUM(DB4,DD4)&gt;0,SUM(DB4,DD4),"")</f>
        <v>117.05000000000001</v>
      </c>
      <c r="DF4" s="13">
        <f>IF(MAX(DZ4,EV4,FR4,GN4,HJ4,IF4,JB4,JX4,KT4,LP4,ML4,NH4)-IF(K4="",0,K4)&gt;0.001,MAX(DZ4,EV4,FR4,GN4,HJ4,IF4,JB4,JX4,KT4,LP4,ML4,NH4)-IF(K4="",0,K4),"")</f>
        <v>0.42999999999999972</v>
      </c>
      <c r="DG4" s="13">
        <f>IF(MAX(EA4,EW4,FS4,GO4,HK4,IG4,JC4,JY4,KU4,LQ4,MM4,NI4)-IF(M4="",0,M4)&gt;0.001,MAX(EA4,EW4,FS4,GO4,HK4,IG4,JC4,JY4,KU4,LQ4,MM4,NI4)-IF(M4="",0,M4),"")</f>
        <v>0.84000000000000341</v>
      </c>
      <c r="DH4" s="13">
        <f>IF(MAX(EB4,EX4,FT4,GP4,HL4,IH4,JD4,JZ4,KV4,LR4,MN4,NJ4)-IF(I4="",0,I4)&gt;0.001,MAX(EB4,EX4,FT4,GP4,HL4,IH4,JD4,JZ4,KV4,LR4,MN4,NJ4)-IF(I4="",0,I4),"")</f>
        <v>7.9999999999998295E-2</v>
      </c>
      <c r="DI4" s="13">
        <f>IF(MAX(ED4,EZ4,FV4,GR4,HN4,IJ4,JF4,KB4,KX4,LT4,MP4,NL4)-IF(O4="",0,O4)&gt;0.001,MAX(ED4,EZ4,FV4,GR4,HN4,IJ4,JF4,KB4,KX4,LT4,MP4,NL4)-IF(O4="",0,O4),"")</f>
        <v>0.13000000000000256</v>
      </c>
      <c r="DJ4" s="18">
        <v>16.2</v>
      </c>
      <c r="DK4" s="18">
        <v>9.5</v>
      </c>
      <c r="DL4" s="18">
        <v>0</v>
      </c>
      <c r="DM4" s="18">
        <v>14.4</v>
      </c>
      <c r="DN4" s="18">
        <v>0</v>
      </c>
      <c r="DO4" s="18">
        <v>6.6</v>
      </c>
      <c r="DP4" s="18">
        <v>4.0999999999999996</v>
      </c>
      <c r="DQ4" s="18">
        <v>6.1</v>
      </c>
      <c r="DR4" s="18">
        <v>6.54</v>
      </c>
      <c r="DS4" s="18">
        <v>0</v>
      </c>
      <c r="DT4" s="18"/>
      <c r="DU4" s="18"/>
      <c r="DV4" s="18"/>
      <c r="DW4" s="18"/>
      <c r="DX4" s="18"/>
      <c r="DY4" s="7">
        <f>IF(DQ4&gt;0,DQ4,"")</f>
        <v>6.1</v>
      </c>
      <c r="DZ4" s="7">
        <f>IF(SUM(DJ4:DM4)-DN4&gt;0,SUM(DJ4:DM4)-DN4,"")</f>
        <v>40.1</v>
      </c>
      <c r="EA4" s="7">
        <f>IF(SUM(DO4:DR4)-DS4&gt;0,SUM(DO4:DR4)-DS4,"")</f>
        <v>23.339999999999996</v>
      </c>
      <c r="EB4" s="7">
        <f>IF(SUM(DZ4:EA4)&gt;0,SUM(DZ4:EA4),"")</f>
        <v>63.44</v>
      </c>
      <c r="EC4" s="7" t="str">
        <f>IF(DV4&gt;0,DV4,"")</f>
        <v/>
      </c>
      <c r="ED4" s="7" t="str">
        <f>IF(SUM(DT4:DW4)-DX4&gt;0,SUM(DT4:DW4)-DX4,"")</f>
        <v/>
      </c>
      <c r="EE4" s="7">
        <f>IF(SUM(EB4,ED4)&gt;0,SUM(EB4,ED4),"")</f>
        <v>63.44</v>
      </c>
      <c r="EF4" s="19">
        <v>17.100000000000001</v>
      </c>
      <c r="EG4" s="19">
        <v>9.1</v>
      </c>
      <c r="EH4" s="19">
        <v>0</v>
      </c>
      <c r="EI4" s="19">
        <v>14.59</v>
      </c>
      <c r="EJ4" s="19">
        <v>0</v>
      </c>
      <c r="EK4" s="19">
        <v>15</v>
      </c>
      <c r="EL4" s="19">
        <v>9.1</v>
      </c>
      <c r="EM4" s="19">
        <v>11.7</v>
      </c>
      <c r="EN4" s="19">
        <v>13.62</v>
      </c>
      <c r="EO4" s="19">
        <v>0</v>
      </c>
      <c r="EP4" s="19">
        <v>14</v>
      </c>
      <c r="EQ4" s="19">
        <v>9.3000000000000007</v>
      </c>
      <c r="ER4" s="19">
        <v>11.7</v>
      </c>
      <c r="ES4" s="19">
        <v>13.41</v>
      </c>
      <c r="ET4" s="19">
        <v>0</v>
      </c>
      <c r="EU4" s="9">
        <f>IF(EM4&gt;0,EM4,"")</f>
        <v>11.7</v>
      </c>
      <c r="EV4" s="9">
        <f>IF(SUM(EF4:EI4)-EJ4&gt;0,SUM(EF4:EI4)-EJ4,"")</f>
        <v>40.790000000000006</v>
      </c>
      <c r="EW4" s="9">
        <f>IF(SUM(EK4:EN4)-EO4&gt;0,SUM(EK4:EN4)-EO4,"")</f>
        <v>49.419999999999995</v>
      </c>
      <c r="EX4" s="9">
        <f>IF(SUM(EV4:EW4)&gt;0,SUM(EV4:EW4),"")</f>
        <v>90.210000000000008</v>
      </c>
      <c r="EY4" s="9">
        <f>IF(ER4&gt;0,ER4,"")</f>
        <v>11.7</v>
      </c>
      <c r="EZ4" s="9">
        <f>IF(SUM(EP4:ES4)-ET4&gt;0,SUM(EP4:ES4)-ET4,"")</f>
        <v>48.41</v>
      </c>
      <c r="FA4" s="9">
        <f>IF(SUM(EX4,EZ4)&gt;0,SUM(EX4,EZ4),"")</f>
        <v>138.62</v>
      </c>
      <c r="FB4" s="18">
        <v>16.399999999999999</v>
      </c>
      <c r="FC4" s="18">
        <v>9.6999999999999993</v>
      </c>
      <c r="FD4" s="18">
        <v>0</v>
      </c>
      <c r="FE4" s="18">
        <v>14.8</v>
      </c>
      <c r="FF4" s="18">
        <v>0</v>
      </c>
      <c r="FG4" s="18">
        <v>14.3</v>
      </c>
      <c r="FH4" s="18">
        <v>9.6</v>
      </c>
      <c r="FI4" s="18">
        <v>11.7</v>
      </c>
      <c r="FJ4" s="18">
        <v>13.41</v>
      </c>
      <c r="FK4" s="18">
        <v>0</v>
      </c>
      <c r="FL4" s="18">
        <v>15.1</v>
      </c>
      <c r="FM4" s="18">
        <v>9.5</v>
      </c>
      <c r="FN4" s="18">
        <v>11.7</v>
      </c>
      <c r="FO4" s="18">
        <v>13.68</v>
      </c>
      <c r="FP4" s="18">
        <v>0</v>
      </c>
      <c r="FQ4" s="7">
        <f>IF(FI4&gt;0,FI4,"")</f>
        <v>11.7</v>
      </c>
      <c r="FR4" s="7">
        <f>IF(SUM(FB4:FE4)-FF4&gt;0,SUM(FB4:FE4)-FF4,"")</f>
        <v>40.9</v>
      </c>
      <c r="FS4" s="7">
        <f>IF(SUM(FG4:FJ4)-FK4&gt;0,SUM(FG4:FJ4)-FK4,"")</f>
        <v>49.009999999999991</v>
      </c>
      <c r="FT4" s="7">
        <f>IF(SUM(FR4:FS4)&gt;0,SUM(FR4:FS4),"")</f>
        <v>89.91</v>
      </c>
      <c r="FU4" s="7">
        <f>IF(FN4&gt;0,FN4,"")</f>
        <v>11.7</v>
      </c>
      <c r="FV4" s="7">
        <f>IF(SUM(FL4:FO4)-FP4&gt;0,SUM(FL4:FO4)-FP4,"")</f>
        <v>49.98</v>
      </c>
      <c r="FW4" s="7">
        <f>IF(SUM(FT4,FV4)&gt;0,SUM(FT4,FV4),"")</f>
        <v>139.88999999999999</v>
      </c>
      <c r="FX4" s="19">
        <v>17.399999999999999</v>
      </c>
      <c r="FY4" s="19">
        <v>9.8000000000000007</v>
      </c>
      <c r="FZ4" s="19">
        <v>0</v>
      </c>
      <c r="GA4" s="19">
        <v>15.05</v>
      </c>
      <c r="GB4" s="19">
        <v>0</v>
      </c>
      <c r="GC4" s="19">
        <v>14.9</v>
      </c>
      <c r="GD4" s="19">
        <v>9.1</v>
      </c>
      <c r="GE4" s="19">
        <v>11.9</v>
      </c>
      <c r="GF4" s="19">
        <v>14.13</v>
      </c>
      <c r="GG4" s="19">
        <v>0</v>
      </c>
      <c r="GH4" s="19"/>
      <c r="GI4" s="19"/>
      <c r="GJ4" s="19"/>
      <c r="GK4" s="19"/>
      <c r="GL4" s="19"/>
      <c r="GM4" s="9">
        <f>IF(GE4&gt;0,GE4,"")</f>
        <v>11.9</v>
      </c>
      <c r="GN4" s="9">
        <f>IF(SUM(FX4:GA4)-GB4&gt;0,SUM(FX4:GA4)-GB4,"")</f>
        <v>42.25</v>
      </c>
      <c r="GO4" s="9">
        <f>IF(SUM(GC4:GF4)-GG4&gt;0,SUM(GC4:GF4)-GG4,"")</f>
        <v>50.03</v>
      </c>
      <c r="GP4" s="9">
        <f>IF(SUM(GN4:GO4)&gt;0,SUM(GN4:GO4),"")</f>
        <v>92.28</v>
      </c>
      <c r="GQ4" s="9" t="str">
        <f>IF(GJ4&gt;0,GJ4,"")</f>
        <v/>
      </c>
      <c r="GR4" s="9" t="str">
        <f>IF(SUM(GH4:GK4)-GL4&gt;0,SUM(GH4:GK4)-GL4,"")</f>
        <v/>
      </c>
      <c r="GS4" s="9">
        <f>IF(SUM(GP4,GR4)&gt;0,SUM(GP4,GR4),"")</f>
        <v>92.28</v>
      </c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7" t="str">
        <f>IF(HA4&gt;0,HA4,"")</f>
        <v/>
      </c>
      <c r="HJ4" s="7" t="str">
        <f>IF(SUM(GT4:GW4)-GX4&gt;0,SUM(GT4:GW4)-GX4,"")</f>
        <v/>
      </c>
      <c r="HK4" s="7" t="str">
        <f>IF(SUM(GY4:HB4)-HC4&gt;0,SUM(GY4:HB4)-HC4,"")</f>
        <v/>
      </c>
      <c r="HL4" s="7" t="str">
        <f>IF(SUM(HJ4:HK4)&gt;0,SUM(HJ4:HK4),"")</f>
        <v/>
      </c>
      <c r="HM4" s="7" t="str">
        <f>IF(HF4&gt;0,HF4,"")</f>
        <v/>
      </c>
      <c r="HN4" s="7" t="str">
        <f>IF(SUM(HD4:HG4)-HH4&gt;0,SUM(HD4:HG4)-HH4,"")</f>
        <v/>
      </c>
      <c r="HO4" s="7" t="str">
        <f>IF(SUM(HL4,HN4)&gt;0,SUM(HL4,HN4),"")</f>
        <v/>
      </c>
      <c r="HP4" s="19"/>
      <c r="HQ4" s="19"/>
      <c r="HR4" s="19"/>
      <c r="HS4" s="19"/>
      <c r="HT4" s="19"/>
      <c r="HU4" s="19"/>
      <c r="HV4" s="19"/>
      <c r="HW4" s="19"/>
      <c r="HX4" s="19"/>
      <c r="HY4" s="19"/>
      <c r="HZ4" s="19"/>
      <c r="IA4" s="19"/>
      <c r="IB4" s="19"/>
      <c r="IC4" s="19"/>
      <c r="ID4" s="19"/>
      <c r="IE4" s="9" t="str">
        <f>IF(HW4&gt;0,HW4,"")</f>
        <v/>
      </c>
      <c r="IF4" s="9" t="str">
        <f>IF(SUM(HP4:HS4)-HT4&gt;0,SUM(HP4:HS4)-HT4,"")</f>
        <v/>
      </c>
      <c r="IG4" s="9" t="str">
        <f>IF(SUM(HU4:HX4)-HY4&gt;0,SUM(HU4:HX4)-HY4,"")</f>
        <v/>
      </c>
      <c r="IH4" s="9" t="str">
        <f>IF(SUM(IF4:IG4)&gt;0,SUM(IF4:IG4),"")</f>
        <v/>
      </c>
      <c r="II4" s="9" t="str">
        <f>IF(IB4&gt;0,IB4,"")</f>
        <v/>
      </c>
      <c r="IJ4" s="9" t="str">
        <f>IF(SUM(HZ4:IC4)-ID4&gt;0,SUM(HZ4:IC4)-ID4,"")</f>
        <v/>
      </c>
      <c r="IK4" s="9" t="str">
        <f>IF(SUM(IH4,IJ4)&gt;0,SUM(IH4,IJ4),"")</f>
        <v/>
      </c>
      <c r="IL4" s="18"/>
      <c r="IM4" s="18"/>
      <c r="IN4" s="18"/>
      <c r="IO4" s="18"/>
      <c r="IP4" s="18"/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7" t="str">
        <f>IF(IS4&gt;0,IS4,"")</f>
        <v/>
      </c>
      <c r="JB4" s="7" t="str">
        <f>IF(SUM(IL4:IO4)-IP4&gt;0,SUM(IL4:IO4)-IP4,"")</f>
        <v/>
      </c>
      <c r="JC4" s="7" t="str">
        <f>IF(SUM(IQ4:IT4)-IU4&gt;0,SUM(IQ4:IT4)-IU4,"")</f>
        <v/>
      </c>
      <c r="JD4" s="7" t="str">
        <f>IF(SUM(JB4:JC4)&gt;0,SUM(JB4:JC4),"")</f>
        <v/>
      </c>
      <c r="JE4" s="7" t="str">
        <f>IF(IX4&gt;0,IX4,"")</f>
        <v/>
      </c>
      <c r="JF4" s="7" t="str">
        <f>IF(SUM(IV4:IY4)-IZ4&gt;0,SUM(IV4:IY4)-IZ4,"")</f>
        <v/>
      </c>
      <c r="JG4" s="7" t="str">
        <f>IF(SUM(JD4,JF4)&gt;0,SUM(JD4,JF4),"")</f>
        <v/>
      </c>
      <c r="JH4" s="19"/>
      <c r="JI4" s="19"/>
      <c r="JJ4" s="19"/>
      <c r="JK4" s="19"/>
      <c r="JL4" s="19"/>
      <c r="JM4" s="19"/>
      <c r="JN4" s="19"/>
      <c r="JO4" s="19"/>
      <c r="JP4" s="19"/>
      <c r="JQ4" s="19"/>
      <c r="JR4" s="19"/>
      <c r="JS4" s="19"/>
      <c r="JT4" s="19"/>
      <c r="JU4" s="19"/>
      <c r="JV4" s="19"/>
      <c r="JW4" s="9" t="str">
        <f>IF(JO4&gt;0,JO4,"")</f>
        <v/>
      </c>
      <c r="JX4" s="9" t="str">
        <f>IF(SUM(JH4:JK4)-JL4&gt;0,SUM(JH4:JK4)-JL4,"")</f>
        <v/>
      </c>
      <c r="JY4" s="9" t="str">
        <f>IF(SUM(JM4:JP4)-JQ4&gt;0,SUM(JM4:JP4)-JQ4,"")</f>
        <v/>
      </c>
      <c r="JZ4" s="9" t="str">
        <f>IF(SUM(JX4:JY4)&gt;0,SUM(JX4:JY4),"")</f>
        <v/>
      </c>
      <c r="KA4" s="9" t="str">
        <f>IF(JT4&gt;0,JT4,"")</f>
        <v/>
      </c>
      <c r="KB4" s="9" t="str">
        <f>IF(SUM(JR4:JU4)-JV4&gt;0,SUM(JR4:JU4)-JV4,"")</f>
        <v/>
      </c>
      <c r="KC4" s="9" t="str">
        <f>IF(SUM(JZ4,KB4)&gt;0,SUM(JZ4,KB4),"")</f>
        <v/>
      </c>
      <c r="KD4" s="18"/>
      <c r="KE4" s="18"/>
      <c r="KF4" s="18"/>
      <c r="KG4" s="18"/>
      <c r="KH4" s="18"/>
      <c r="KI4" s="18"/>
      <c r="KJ4" s="18"/>
      <c r="KK4" s="18"/>
      <c r="KL4" s="18"/>
      <c r="KM4" s="18"/>
      <c r="KN4" s="18"/>
      <c r="KO4" s="18"/>
      <c r="KP4" s="18"/>
      <c r="KQ4" s="18"/>
      <c r="KR4" s="18"/>
      <c r="KS4" s="7" t="str">
        <f>IF(KK4&gt;0,KK4,"")</f>
        <v/>
      </c>
      <c r="KT4" s="7" t="str">
        <f>IF(SUM(KD4:KG4)-KH4&gt;0,SUM(KD4:KG4)-KH4,"")</f>
        <v/>
      </c>
      <c r="KU4" s="7" t="str">
        <f>IF(SUM(KI4:KL4)-KM4&gt;0,SUM(KI4:KL4)-KM4,"")</f>
        <v/>
      </c>
      <c r="KV4" s="7" t="str">
        <f>IF(SUM(KT4:KU4)&gt;0,SUM(KT4:KU4),"")</f>
        <v/>
      </c>
      <c r="KW4" s="7" t="str">
        <f>IF(KP4&gt;0,KP4,"")</f>
        <v/>
      </c>
      <c r="KX4" s="7" t="str">
        <f>IF(SUM(KN4:KQ4)-KR4&gt;0,SUM(KN4:KQ4)-KR4,"")</f>
        <v/>
      </c>
      <c r="KY4" s="7" t="str">
        <f>IF(SUM(KV4,KX4)&gt;0,SUM(KV4,KX4),"")</f>
        <v/>
      </c>
      <c r="KZ4" s="19"/>
      <c r="LA4" s="19"/>
      <c r="LB4" s="19"/>
      <c r="LC4" s="19"/>
      <c r="LD4" s="19"/>
      <c r="LE4" s="19"/>
      <c r="LF4" s="19"/>
      <c r="LG4" s="19"/>
      <c r="LH4" s="19"/>
      <c r="LI4" s="19"/>
      <c r="LJ4" s="19"/>
      <c r="LK4" s="19"/>
      <c r="LL4" s="19"/>
      <c r="LM4" s="19"/>
      <c r="LN4" s="19"/>
      <c r="LO4" s="9" t="str">
        <f>IF(LG4&gt;0,LG4,"")</f>
        <v/>
      </c>
      <c r="LP4" s="9" t="str">
        <f>IF(SUM(KZ4:LC4)-LD4&gt;0,SUM(KZ4:LC4)-LD4,"")</f>
        <v/>
      </c>
      <c r="LQ4" s="9" t="str">
        <f>IF(SUM(LE4:LH4)-LI4&gt;0,SUM(LE4:LH4)-LI4,"")</f>
        <v/>
      </c>
      <c r="LR4" s="9" t="str">
        <f>IF(SUM(LP4:LQ4)&gt;0,SUM(LP4:LQ4),"")</f>
        <v/>
      </c>
      <c r="LS4" s="9" t="str">
        <f>IF(LL4&gt;0,LL4,"")</f>
        <v/>
      </c>
      <c r="LT4" s="9" t="str">
        <f>IF(SUM(LJ4:LM4)-LN4&gt;0,SUM(LJ4:LM4)-LN4,"")</f>
        <v/>
      </c>
      <c r="LU4" s="9" t="str">
        <f>IF(SUM(LR4,LT4)&gt;0,SUM(LR4,LT4),"")</f>
        <v/>
      </c>
      <c r="LV4" s="18"/>
      <c r="LW4" s="18"/>
      <c r="LX4" s="18"/>
      <c r="LY4" s="18"/>
      <c r="LZ4" s="18"/>
      <c r="MA4" s="18"/>
      <c r="MB4" s="18"/>
      <c r="MC4" s="18"/>
      <c r="MD4" s="18"/>
      <c r="ME4" s="18"/>
      <c r="MF4" s="18"/>
      <c r="MG4" s="18"/>
      <c r="MH4" s="18"/>
      <c r="MI4" s="18"/>
      <c r="MJ4" s="18"/>
      <c r="MK4" s="7" t="str">
        <f>IF(MC4&gt;0,MC4,"")</f>
        <v/>
      </c>
      <c r="ML4" s="7" t="str">
        <f>IF(SUM(LV4:LY4)-LZ4&gt;0,SUM(LV4:LY4)-LZ4,"")</f>
        <v/>
      </c>
      <c r="MM4" s="7" t="str">
        <f>IF(SUM(MA4:MD4)-ME4&gt;0,SUM(MA4:MD4)-ME4,"")</f>
        <v/>
      </c>
      <c r="MN4" s="7" t="str">
        <f>IF(SUM(ML4:MM4)&gt;0,SUM(ML4:MM4),"")</f>
        <v/>
      </c>
      <c r="MO4" s="7" t="str">
        <f>IF(MH4&gt;0,MH4,"")</f>
        <v/>
      </c>
      <c r="MP4" s="7" t="str">
        <f>IF(SUM(MF4:MI4)-MJ4&gt;0,SUM(MF4:MI4)-MJ4,"")</f>
        <v/>
      </c>
      <c r="MQ4" s="7" t="str">
        <f>IF(SUM(MN4,MP4)&gt;0,SUM(MN4,MP4),"")</f>
        <v/>
      </c>
      <c r="MR4" s="19"/>
      <c r="MS4" s="19"/>
      <c r="MT4" s="19"/>
      <c r="MU4" s="19"/>
      <c r="MV4" s="19"/>
      <c r="MW4" s="19"/>
      <c r="MX4" s="19"/>
      <c r="MY4" s="19"/>
      <c r="MZ4" s="19"/>
      <c r="NA4" s="19"/>
      <c r="NB4" s="19"/>
      <c r="NC4" s="19"/>
      <c r="ND4" s="19"/>
      <c r="NE4" s="19"/>
      <c r="NF4" s="19"/>
      <c r="NG4" s="9" t="str">
        <f>IF(MY4&gt;0,MY4,"")</f>
        <v/>
      </c>
      <c r="NH4" s="9" t="str">
        <f>IF(SUM(MR4:MU4)-MV4&gt;0,SUM(MR4:MU4)-MV4,"")</f>
        <v/>
      </c>
      <c r="NI4" s="9" t="str">
        <f>IF(SUM(MW4:MZ4)-NA4&gt;0,SUM(MW4:MZ4)-NA4,"")</f>
        <v/>
      </c>
      <c r="NJ4" s="9" t="str">
        <f>IF(SUM(NH4:NI4)&gt;0,SUM(NH4:NI4),"")</f>
        <v/>
      </c>
      <c r="NK4" s="9" t="str">
        <f>IF(ND4&gt;0,ND4,"")</f>
        <v/>
      </c>
      <c r="NL4" s="9" t="str">
        <f>IF(SUM(NB4:NE4)-NF4&gt;0,SUM(NB4:NE4)-NF4,"")</f>
        <v/>
      </c>
      <c r="NM4" s="9" t="str">
        <f>IF(SUM(NJ4,NL4)&gt;0,SUM(NJ4,NL4),"")</f>
        <v/>
      </c>
      <c r="NN4" s="27">
        <f>IF($CV4="P",CB4,(CB4+AX4)/2)</f>
        <v>17.5</v>
      </c>
      <c r="NO4" s="27">
        <f>IF($CV4="P",CC4,(CC4+AY4)/2)</f>
        <v>9.5500000000000007</v>
      </c>
      <c r="NP4" s="27">
        <f>IF($CV4="P",CD4,(CD4+AZ4)/2)</f>
        <v>0</v>
      </c>
      <c r="NQ4" s="27">
        <f>IF($CV4="P",CE4,(CE4+BA4)/2)</f>
        <v>14.995000000000001</v>
      </c>
      <c r="NR4" s="27">
        <f>IF($CV4="P",CF4,(CF4+BB4)/2)</f>
        <v>0</v>
      </c>
      <c r="NS4" s="27">
        <f>IF($CV4="P",CG4,(CG4+BC4)/2)</f>
        <v>14.899999999999999</v>
      </c>
      <c r="NT4" s="27">
        <f>IF($CV4="P",CH4,(CH4+BD4)/2)</f>
        <v>9.1</v>
      </c>
      <c r="NU4" s="27">
        <f>IF($CV4="P",CI4,(CI4+BE4)/2)</f>
        <v>11.7</v>
      </c>
      <c r="NV4" s="27">
        <f>IF($CV4="P",CJ4,(CJ4+BF4)/2)</f>
        <v>13.86</v>
      </c>
      <c r="NW4" s="27">
        <f>IF($CV4="P",CK4,(CK4+BG4)/2)</f>
        <v>0</v>
      </c>
      <c r="NX4" s="27">
        <f>IF($CV4="P",CL4,(CL4+BH4)/2)</f>
        <v>0</v>
      </c>
      <c r="NY4" s="27">
        <f>IF($CV4="P",CM4,(CM4+BI4)/2)</f>
        <v>0</v>
      </c>
      <c r="NZ4" s="27">
        <f>IF($CV4="P",CN4,(CN4+BJ4)/2)</f>
        <v>0</v>
      </c>
      <c r="OA4" s="27">
        <f>IF($CV4="P",CO4,(CO4+BK4)/2)</f>
        <v>0</v>
      </c>
      <c r="OB4" s="27">
        <f>IF($CV4="P",CP4,(CP4+BL4)/2)</f>
        <v>0</v>
      </c>
      <c r="OC4" s="27">
        <f>IF($CV4="P",CQ4,(CQ4+BM4)/2)</f>
        <v>10.95</v>
      </c>
      <c r="OD4" s="27">
        <f>IF($CV4="P",CR4,(CR4+BN4)/2)</f>
        <v>6.9</v>
      </c>
      <c r="OE4" s="27">
        <f>IF($CV4="P",CS4,(CS4+BO4)/2)</f>
        <v>8.9499999999999993</v>
      </c>
      <c r="OF4" s="27">
        <f>IF($CV4="P",CT4,(CT4+BP4)/2)</f>
        <v>10.36</v>
      </c>
      <c r="OG4" s="27">
        <f>IF($CV4="P",CU4,(CU4+BQ4)/2)</f>
        <v>0</v>
      </c>
      <c r="OH4" s="32" t="s">
        <v>44</v>
      </c>
      <c r="OI4" s="7">
        <f>IF(SUM(NN4:NQ4)-NR4&gt;0,SUM(NN4:NQ4)-NR4,"")</f>
        <v>42.045000000000002</v>
      </c>
      <c r="OJ4" s="7">
        <f>IF(NU4&gt;0,NU4,"")</f>
        <v>11.7</v>
      </c>
      <c r="OK4" s="7">
        <f>IF(SUM(NS4:NV4)-NW4&gt;0,SUM(NS4:NV4)-NW4,"")</f>
        <v>49.56</v>
      </c>
      <c r="OL4" s="7" t="str">
        <f>IF(NZ4&gt;0,NZ4,"")</f>
        <v/>
      </c>
      <c r="OM4" s="7" t="str">
        <f>IF(SUM(NX4:OA4)-OB4&gt;0,SUM(NX4:OA4)-OB4,"")</f>
        <v/>
      </c>
      <c r="ON4" s="7">
        <f>IF(OR(OI4&lt;&gt;"",OK4&lt;&gt;"",OM4&lt;&gt;""),OI4+MAX(OK4,OM4),"")</f>
        <v>91.605000000000004</v>
      </c>
      <c r="OO4" s="7">
        <f>IF(OE4&gt;0,OE4,"")</f>
        <v>8.9499999999999993</v>
      </c>
      <c r="OP4" s="7">
        <f t="shared" ref="OP4" si="0">IF(SUM(OC4:OF4)-OG4&gt;0,SUM(OC4:OF4)-OG4,"")</f>
        <v>37.159999999999997</v>
      </c>
      <c r="OQ4" s="7">
        <f t="shared" ref="OQ4" si="1">IF(SUM(ON4,OP4)&gt;0,SUM(ON4,OP4),"")</f>
        <v>128.76499999999999</v>
      </c>
    </row>
    <row r="5" spans="1:407" x14ac:dyDescent="0.2">
      <c r="A5" s="4" t="str" cm="1">
        <f t="array" ref="A5">IF(AND(H5&lt;&gt;"",H5&lt;&gt;"No DD"),SUMPRODUCT((H$4:H$12&lt;&gt;"")*(H$4:H$12&lt;&gt;"No DD")*(E$4:E$12&gt;E5))+1,IF(H5="No DD",SUMPRODUCT((H$4:H$12="No DD")*(E$4:E$12&gt;E5))+1+SUMPRODUCT((H$4:H$12&lt;&gt;"")*(H$4:H$12&lt;&gt;"No DD")),""))</f>
        <v/>
      </c>
      <c r="B5" s="5" t="s">
        <v>85</v>
      </c>
      <c r="C5" s="4" t="s">
        <v>68</v>
      </c>
      <c r="D5" s="4">
        <v>2007</v>
      </c>
      <c r="E5" s="10">
        <f>SUM(I5:Q5)</f>
        <v>226.22000000000003</v>
      </c>
      <c r="F5" s="3" t="str">
        <f>IF(OR(AND(AP5&gt;=AW$14,AT5&gt;=AW$18,AO5&lt;&gt;"",AN5=""),AND(BT5&gt;=CA$14,BX5&gt;=CA$18,BS5&lt;&gt;"",BR5=""),AND(CX5&gt;=DE$14,DB5&gt;=DE$18,CW5&lt;&gt;"",CV5=""),AND(DY5&gt;=EE$14,EB5&gt;=EE$18,DY5&lt;&gt;""),AND(EU5&gt;=FA$14,EX5&gt;=FA$18,EU5&lt;&gt;""),AND(FQ5&gt;=FW$14,FT5&gt;=FW$18,FQ5&lt;&gt;""),AND(GM5&gt;=GS$14,GP5&gt;=GS$18,GM5&lt;&gt;""),AND(HI5&gt;=HO$14,HL5&gt;=HO$18,HI5&lt;&gt;""),AND(IE5&gt;=IK$14,IH5&gt;=IK$18,IE5&lt;&gt;""),AND(JA5&gt;=JG$14,JD5&gt;=JG$18,JA5&lt;&gt;""),AND(JW5&gt;=KC$14,JZ5&gt;=KC$18,JW5&lt;&gt;""),AND(KS5&gt;=KY$14,KV5&gt;=KY$18,KS5&lt;&gt;""),AND(LO5&gt;=LU$14,LR5&gt;=LU$18,LO5&lt;&gt;""),AND(MK5&gt;=MQ$14,MN5&gt;=MQ$18,MK5&lt;&gt;""),AND(NG5&gt;=NM$14,NJ5&gt;=NM$18,NG5&lt;&gt;"")),"P","")</f>
        <v/>
      </c>
      <c r="G5" s="3" t="str">
        <f>IF(OR(AND(AT5&gt;=AW$18,AO5&lt;&gt;"",AN5=""),AND(BX5&gt;=CA$18,BS5&lt;&gt;"",BR5=""),AND(DB5&gt;=DE$18,CW5&lt;&gt;"",CV5=""),AND(EB5&gt;=EE$18,DY5&lt;&gt;""),AND(EX5&gt;=FA$18,EU5&lt;&gt;""),AND(FT5&gt;=FW$18,FQ5&lt;&gt;""),AND(GP5&gt;=GS$18,GM5&lt;&gt;""),AND(HL5&gt;=HO$18,HI5&lt;&gt;""),AND(IH5&gt;=IK$18,IE5&lt;&gt;""),AND(JD5&gt;=JG$18,JA5&lt;&gt;""),AND(JZ5&gt;=KC$18,JW5&lt;&gt;""),AND(KV5&gt;=KY$18,KS5&lt;&gt;""),AND(LR5&gt;=LU$18,LO5&lt;&gt;""),AND(MN5&gt;=MQ$18,MK5&lt;&gt;""),AND(NJ5&gt;=NM$18,NG5&lt;&gt;"")),"P","")</f>
        <v/>
      </c>
      <c r="H5" s="47" t="str">
        <f>IF(OR(AND(AP5&gt;=AW$17,AQ5&gt;=AW$21,AP5&lt;&gt;"",AN5=""),AND(AU5&gt;=AW$17,AV5&gt;=AW$21,AU5&lt;&gt;"",AN5=""),AND(BT5&gt;=CA$17,BU5&gt;=CA$21,BT5&lt;&gt;"",BR5=""),AND(BY5&gt;=CA$17,BZ5&gt;=CA$21,BY5&lt;&gt;"",BR5=""),AND(CX5&gt;=DE$17,CY5&gt;=DE$21,CX5&lt;&gt;"",CV5=""),AND(DC5&gt;=DE$17,DD5&gt;=DE$21,DC5&lt;&gt;"",CV5=""),AND(DY5&gt;=EE$17,EA5&gt;=EE$21,DY5&lt;&gt;""),AND(EC5&gt;=EE$17,ED5&gt;=EE$21,EC5&lt;&gt;""),AND(EU5&gt;=FA$17,EW5&gt;=FA$21,EU5&lt;&gt;""),AND(EY5&gt;=FA$17,EZ5&gt;=FA$21,EY5&lt;&gt;""),AND(FQ5&gt;=FW$17,FS5&gt;=FW$21,FQ5&lt;&gt;""),AND(FU5&gt;=FW$17,FV5&gt;=FW$21,FU5&lt;&gt;""),AND(GM5&gt;=GS$17,GO5&gt;=GS$21,GM5&lt;&gt;""),AND(GQ5&gt;=GS$17,GR5&gt;=GS$21,GQ5&lt;&gt;""),AND(HI5&gt;=HO$17,HK5&gt;=HO$21,HI5&lt;&gt;""),AND(HM5&gt;=HO$17,HN5&gt;=HO$21,HM5&lt;&gt;""),AND(IE5&gt;=IK$17,IG5&gt;=IK$21,IE5&lt;&gt;""),AND(II5&gt;=IK$17,IJ5&gt;=IK$21,II5&lt;&gt;""),AND(JA5&gt;=JG$17,JC5&gt;=JG$21,JA5&lt;&gt;""),AND(JE5&gt;=JG$17,JF5&gt;=JG$21,JE5&lt;&gt;""),AND(JW5&gt;=KC$17,JY5&gt;=KC$21,JW5&lt;&gt;""),AND(KA5&gt;=KC$17,KB5&gt;=KC$21,KA5&lt;&gt;""),AND(KS5&gt;=KY$17,KU5&gt;=KY$21,KS5&lt;&gt;""),AND(KW5&gt;=KY$17,KX5&gt;=KY$21,KW5&lt;&gt;""),AND(LO5&gt;=LU$17,LQ5&gt;=LU$21,LO5&lt;&gt;""),AND(LS5&gt;=LU$17,LT5&gt;=LU$21,LS5&lt;&gt;""),AND(MK5&gt;=MQ$17,MM5&gt;=MQ$21,MK5&lt;&gt;""),AND(MO5&gt;=MQ$17,MP5&gt;=MQ$21,MO5&lt;&gt;""),AND(NG5&gt;=NM$17,NI5&gt;=NM$21,NG5&lt;&gt;""),AND(NK5&gt;=NM$17,NL5&gt;=NM$21,NK5&lt;&gt;"")),"Merit",IF(OR(AND(AP5&gt;=AW$16,AT5&gt;=AW$20,AO5&lt;&gt;"",AN5=""),AND(BT5&gt;=CA$16,BX5&gt;=CA$20,BS5&lt;&gt;"",BR5=""),AND(CX5&gt;=DE$16,DB5&gt;=DE$20,CW5&lt;&gt;"",CV5=""),AND(DY5&gt;=EE$16,EB5&gt;=EE$20,DY5&lt;&gt;""),AND(EU5&gt;=FA$16,EX5&gt;=FA$20,EU5&lt;&gt;""),AND(FQ5&gt;=FW$16,FT5&gt;=FW$20,FQ5&lt;&gt;""),AND(GM5&gt;=GS$16,GP5&gt;=GS$20,GM5&lt;&gt;""),AND(HI5&gt;=HO$16,HL5&gt;=HO$20,HI5&lt;&gt;""),AND(IE5&gt;=IK$16,IH5&gt;=IK$20,IE5&lt;&gt;""),AND(JA5&gt;=JG$16,JD5&gt;=JG$20,JA5&lt;&gt;""),AND(JW5&gt;=KC$16,JZ5&gt;=KC$20,JW5&lt;&gt;""),AND(KS5&gt;=KY$16,KV5&gt;=KY$20,KS5&lt;&gt;""),AND(LO5&gt;=LU$16,LR5&gt;=LU$20,LO5&lt;&gt;""),AND(MK5&gt;=MQ$16,MN5&gt;=MQ$20,MK5&lt;&gt;""),AND(NG5&gt;=NM$16,NJ5&gt;=NM$20,NG5&lt;&gt;"")),"Excellence",IF(OR(AND(AP5&gt;=AW$14,AT5&gt;=AW$18,AO5&lt;&gt;"",AN5=""),AND(BT5&gt;=CA$14,BX5&gt;=CA$18,BS5&lt;&gt;"",BR5=""),AND(CX5&gt;=DE$14,DB5&gt;=DE$18,CW5&lt;&gt;"",CV5=""),AND(DY5&gt;=EE$14,EB5&gt;=EE$18,DY5&lt;&gt;""),AND(EU5&gt;=FA$14,EX5&gt;=FA$18,EU5&lt;&gt;""),AND(FQ5&gt;=FW$14,FT5&gt;=FW$18,FQ5&lt;&gt;""),AND(GM5&gt;=GS$14,GP5&gt;=GS$18,GM5&lt;&gt;""),AND(HI5&gt;=HO$14,HL5&gt;=HO$18,HI5&lt;&gt;""),AND(IE5&gt;=IK$14,IH5&gt;=IK$18,IE5&lt;&gt;""),AND(JA5&gt;=JG$14,JD5&gt;=JG$18,JA5&lt;&gt;""),AND(JW5&gt;=KC$14,JZ5&gt;=KC$18,JW5&lt;&gt;""),AND(KS5&gt;=KY$14,KV5&gt;=KY$18,KS5&lt;&gt;""),AND(LO5&gt;=LU$14,LR5&gt;=LU$18,LO5&lt;&gt;""),AND(MK5&gt;=MQ$14,MN5&gt;=MQ$18,MK5&lt;&gt;""),AND(NG5&gt;=NM$14,NJ5&gt;=NM$18,NG5&lt;&gt;"")),"National Team",IF(G5="P","No DD",""))))</f>
        <v/>
      </c>
      <c r="I5" s="9">
        <f>IF(MAX(AT5,BX5,DB5)&gt;0,MAX(AT5,BX5,DB5),0)</f>
        <v>88.27000000000001</v>
      </c>
      <c r="J5" s="9" t="str">
        <f>IF(I5=0,"",IF(I5=DB5,$CB$1,IF(I5=BX5,$AX$1,IF(I5=AT5,$T$1,""))))</f>
        <v>2023 Elite Canada</v>
      </c>
      <c r="K5" s="9">
        <f>IF($I5=$AT5,MAX(BS5,CW5),IF($I5=$BX5,MAX(AO5,CW5),IF($I5=$DB5,MAX(AO5,BS5),MAX(AO5,BS5,CW5))))</f>
        <v>41.35</v>
      </c>
      <c r="L5" s="9" t="str">
        <f>IF(K5=0,"",IF(AND(K5=CW5,$J5&lt;&gt;$CB$1),$CB$1,IF(AND(K5=BS5,$J5&lt;&gt;$AX$1),$AX$1,IF(AND(K5=AO5,$J5&lt;&gt;$T$1),$T$1,""))))</f>
        <v>2023 Nationals</v>
      </c>
      <c r="M5" s="9">
        <f>IF(I5-N(AO5)=AQ5,MAX(AS5,BU5,BW5,CY5,DA5),IF(I5-N(AO5)=AS5,MAX(AQ5,BU5,BW5,CY5,DA5),IF(I5-N(BS5)=BU5,MAX(AQ5,AS5,BW5,CY5,DA5),IF(I5-N(BS5)=BW5,MAX(AQ5,AS5,BU5,CY5,DA5),IF(I5-N(CW5)=CY5,MAX(AQ5,AS5,BU5,BW5,DA5),IF(I5-N(CW5)=DA5,MAX(AQ5,AS5,BU5,BW5,CY5),MAX(AQ5,AS5,BU5,BW5,CY5,DA5)))))))</f>
        <v>25.03</v>
      </c>
      <c r="N5" s="9" t="str">
        <f>IF(M5=0,"",IF(AND(OR(M5=DA5,M5=CY5),$J5&lt;&gt;$CB$1),$CB$1,IF(AND(OR(M5=BW5,M5=BU5),$J5&lt;&gt;$AX$1),$AX$1,IF(AND(OR(M5=AS5,M5=AQ5),$J5&lt;&gt;$T$1),$T$1,""))))</f>
        <v>2023 3rd Domestic Trial</v>
      </c>
      <c r="O5" s="9">
        <f>MAX(AV5,BZ5,DD5)</f>
        <v>49.45</v>
      </c>
      <c r="P5" s="9" t="str">
        <f>IF(O5=0,"",IF(O5=DD5,$CB$1,IF(O5=BZ5,$AX$1,IF(O5=AV5,$T$1,""))))</f>
        <v>2023 Elite Canada</v>
      </c>
      <c r="Q5" s="9">
        <f>IF(MAX(DF5,DG5,DH5,DI5)&gt;0,MAX(DF5,DG5,DH5,DI5),"")</f>
        <v>22.119999999999997</v>
      </c>
      <c r="R5" s="14" t="str">
        <f>IF(Q5="","",IF(Q5=DF5,"(Vol 1)",IF(Q5=DG5,"(Vol 2)",IF(Q5=DH5,"(Prelim)",IF(Q5=DI5,"(Final)")))))</f>
        <v>(Vol 2)</v>
      </c>
      <c r="S5" s="9" t="str">
        <f>IF(Q5="","",IF(Q5=DF5,IF(Q5+IF(K5="",0,K5)=NH5,$MR$1,IF(Q5+IF(K5="",0,K5)=ML5,$LV$1,IF(Q5+IF(K5="",0,K5)=LP5,$KZ$1,IF(Q5+IF(K5="",0,K5)=KT5,$KD$1,IF(Q5+IF(K5="",0,K5)=JX5,$JH$1,IF(Q5+IF(K5="",0,K5)=JB5,$IL$1,IF(Q5+IF(K5="",0,K5)=IF5,$HP$1,IF(Q5+IF(K5="",0,K5)=HJ5,$GT$1,IF(Q5+IF(K5="",0,K5)=GN5,$FX$1,IF(Q5+IF(K5="",0,K5)=FR5,$FB$1,IF(Q5+IF(K5="",0,K5)=EV5,$EF$1,IF(Q5+IF(K5="",0,K5)=DZ5,$DJ$1)))))))))))),IF(Q5=DG5,IF(Q5+IF(M5="",0,M5)=NI5,$MR$1,IF(Q5+IF(M5="",0,M5)=MM5,$LV$1,IF(Q5+IF(M5="",0,M5)=LQ5,$KZ$1,IF(Q5+IF(M5="",0,M5)=KU5,$KD$1,IF(Q5+IF(M5="",0,M5)=JY5,$JH$1,IF(Q5+IF(M5="",0,M5)=JC5,$IL$1,IF(Q5+IF(M5="",0,M5)=IG5,$HP$1,IF(Q5+IF(M5="",0,M5)=HK5,$GT$1,IF(Q5+IF(M5="",0,M5)=GO5,$FX$1,IF(Q5+IF(M5="",0,M5)=FS5,$FB$1,IF(Q5+IF(M5="",0,M5)=EW5,$EF$1,IF(Q5+IF(M5="",0,M5)=EA5,$DJ$1)))))))))))),IF(Q5=DH5,IF(Q5+IF(I5="",0,I5)=NJ5,$MR$1,IF(Q5+IF(I5="",0,I5)=MN5,$LV$1,IF(Q5+IF(I5="",0,I5)=LR5,$KZ$1,IF(Q5+IF(I5="",0,I5)=KV5,$KD$1,IF(Q5+IF(I5="",0,I5)=JZ5,$JH$1,IF(Q5+IF(I5="",0,I5)=JD5,$IL$1,IF(Q5+IF(I5="",0,I5)=IH5,$HP$1,IF(Q5+IF(I5="",0,I5)=HL5,$GT$1,IF(Q5+IF(I5="",0,I5)=GP5,$FX$1,IF(Q5+IF(I5="",0,I5)=FT5,$FB$1,IF(Q5+IF(I5="",0,I5)=EX5,$EF$1,IF(Q5+IF(I5="",0,I5)=EB5,$DJ$1)))))))))))),IF(Q5=DI5,IF(Q5+IF(O5="",0,O5)=NL5,$MR$1,IF(Q5+IF(O5="",0,O5)=MP5,$LV$1,IF(Q5+IF(O5="",0,O5)=LT5,$KZ$1,IF(Q5+IF(O5="",0,O5)=KX5,$KD$1,IF(Q5+IF(O5="",0,O5)=KB5,$JH$1,IF(Q5+IF(O5="",0,O5)=JF5,$IL$1,IF(Q5+IF(O5="",0,O5)=IJ5,$HP$1,IF(Q5+IF(O5="",0,O5)=HN5,$GT$1,IF(Q5+IF(O5="",0,O5)=GR5,$FX$1,IF(Q5+IF(O5="",0,O5)=FV5,$FB$1,IF(Q5+IF(O5="",0,O5)=EZ5,$EF$1,IF(Q5+IF(O5="",0,O5)=ED5,$DJ$1)))))))))))))))))</f>
        <v>2022 WAGC (Nov 24)</v>
      </c>
      <c r="T5" s="27">
        <v>16.899999999999999</v>
      </c>
      <c r="U5" s="27">
        <v>9.6</v>
      </c>
      <c r="V5" s="27">
        <v>0</v>
      </c>
      <c r="W5" s="27">
        <v>14.23</v>
      </c>
      <c r="X5" s="27">
        <v>0</v>
      </c>
      <c r="Y5" s="27">
        <v>14.1</v>
      </c>
      <c r="Z5" s="27">
        <v>9</v>
      </c>
      <c r="AA5" s="27">
        <v>10.9</v>
      </c>
      <c r="AB5" s="27">
        <v>13.54</v>
      </c>
      <c r="AC5" s="27">
        <v>0</v>
      </c>
      <c r="AD5" s="27"/>
      <c r="AE5" s="27"/>
      <c r="AF5" s="27"/>
      <c r="AG5" s="27"/>
      <c r="AH5" s="27"/>
      <c r="AI5" s="27">
        <v>15.1</v>
      </c>
      <c r="AJ5" s="27">
        <v>9.6</v>
      </c>
      <c r="AK5" s="27">
        <v>10.7</v>
      </c>
      <c r="AL5" s="27">
        <v>14.05</v>
      </c>
      <c r="AM5" s="27">
        <v>0</v>
      </c>
      <c r="AN5" s="32"/>
      <c r="AO5" s="7">
        <f>IF(SUM(T5:W5)-X5&gt;0,SUM(T5:W5)-X5,"")</f>
        <v>40.730000000000004</v>
      </c>
      <c r="AP5" s="7">
        <f>IF(AA5&gt;0,AA5,"")</f>
        <v>10.9</v>
      </c>
      <c r="AQ5" s="7">
        <f>IF(SUM(Y5:AB5)-AC5&gt;0,SUM(Y5:AB5)-AC5,"")</f>
        <v>47.54</v>
      </c>
      <c r="AR5" s="7" t="str">
        <f>IF(AF5&gt;0,AF5,"")</f>
        <v/>
      </c>
      <c r="AS5" s="7" t="str">
        <f>IF(SUM(AD5:AG5)-AH5&gt;0,SUM(AD5:AG5)-AH5,"")</f>
        <v/>
      </c>
      <c r="AT5" s="7">
        <f>IF(AO5="",IF(MAX(AQ5,AS5)&gt;0,MAX(AQ5,AS5),""),MAX(AQ5,AS5)+AO5)</f>
        <v>88.27000000000001</v>
      </c>
      <c r="AU5" s="7">
        <f>IF(AK5&gt;0,AK5,"")</f>
        <v>10.7</v>
      </c>
      <c r="AV5" s="7">
        <f>IF(SUM(AI5:AL5)-AM5&gt;0,SUM(AI5:AL5)-AM5,"")</f>
        <v>49.45</v>
      </c>
      <c r="AW5" s="7">
        <f>IF(SUM(AT5,AV5)&gt;0,SUM(AT5,AV5),"")</f>
        <v>137.72000000000003</v>
      </c>
      <c r="AX5" s="31">
        <v>17.3</v>
      </c>
      <c r="AY5" s="31">
        <v>9.9</v>
      </c>
      <c r="AZ5" s="31">
        <v>0</v>
      </c>
      <c r="BA5" s="31">
        <v>14.15</v>
      </c>
      <c r="BB5" s="31">
        <v>0</v>
      </c>
      <c r="BC5" s="31">
        <v>1.5</v>
      </c>
      <c r="BD5" s="31">
        <v>0.8</v>
      </c>
      <c r="BE5" s="31">
        <v>1.5</v>
      </c>
      <c r="BF5" s="31">
        <v>1.42</v>
      </c>
      <c r="BG5" s="31">
        <v>0</v>
      </c>
      <c r="BH5" s="31"/>
      <c r="BI5" s="31"/>
      <c r="BJ5" s="31"/>
      <c r="BK5" s="31"/>
      <c r="BL5" s="31"/>
      <c r="BM5" s="31"/>
      <c r="BN5" s="31"/>
      <c r="BO5" s="31"/>
      <c r="BP5" s="31"/>
      <c r="BQ5" s="31"/>
      <c r="BR5" s="33"/>
      <c r="BS5" s="9">
        <f>IF(SUM(AX5:BA5)-BB5&gt;0,SUM(AX5:BA5)-BB5,"")</f>
        <v>41.35</v>
      </c>
      <c r="BT5" s="9">
        <f>IF(BE5&gt;0,BE5,"")</f>
        <v>1.5</v>
      </c>
      <c r="BU5" s="9">
        <f>IF(SUM(BC5:BF5)-BG5&gt;0,SUM(BC5:BF5)-BG5,"")</f>
        <v>5.22</v>
      </c>
      <c r="BV5" s="9" t="str">
        <f>IF(BJ5&gt;0,BJ5,"")</f>
        <v/>
      </c>
      <c r="BW5" s="9" t="str">
        <f>IF(SUM(BH5:BK5)-BL5&gt;0,SUM(BH5:BK5)-BL5,"")</f>
        <v/>
      </c>
      <c r="BX5" s="9">
        <f>IF(BS5="",IF(MAX(BU5,BW5)&gt;0,MAX(BU5,BW5),""),MAX(BU5,BW5)+BS5)</f>
        <v>46.57</v>
      </c>
      <c r="BY5" s="9" t="str">
        <f>IF(BO5&gt;0,BO5,"")</f>
        <v/>
      </c>
      <c r="BZ5" s="9" t="str">
        <f>IF(SUM(BM5:BP5)-BQ5&gt;0,SUM(BM5:BP5)-BQ5,"")</f>
        <v/>
      </c>
      <c r="CA5" s="9">
        <f>IF(SUM(BX5,BZ5)&gt;0,SUM(BX5,BZ5),"")</f>
        <v>46.57</v>
      </c>
      <c r="CB5" s="27">
        <v>17.2</v>
      </c>
      <c r="CC5" s="27">
        <v>9.6</v>
      </c>
      <c r="CD5" s="27">
        <v>0</v>
      </c>
      <c r="CE5" s="27">
        <v>14.26</v>
      </c>
      <c r="CF5" s="27">
        <v>0</v>
      </c>
      <c r="CG5" s="27">
        <v>7.1</v>
      </c>
      <c r="CH5" s="27">
        <v>4.5999999999999996</v>
      </c>
      <c r="CI5" s="27">
        <v>6.5</v>
      </c>
      <c r="CJ5" s="27">
        <v>6.83</v>
      </c>
      <c r="CK5" s="27">
        <v>0</v>
      </c>
      <c r="CL5" s="27"/>
      <c r="CM5" s="27"/>
      <c r="CN5" s="27"/>
      <c r="CO5" s="27"/>
      <c r="CP5" s="27"/>
      <c r="CQ5" s="27">
        <v>13.1</v>
      </c>
      <c r="CR5" s="27">
        <v>8.1</v>
      </c>
      <c r="CS5" s="27">
        <v>8.5</v>
      </c>
      <c r="CT5" s="27">
        <v>12.27</v>
      </c>
      <c r="CU5" s="27">
        <v>0</v>
      </c>
      <c r="CV5" s="32"/>
      <c r="CW5" s="7">
        <f>IF(SUM(CB5:CE5)-CF5&gt;0,SUM(CB5:CE5)-CF5,"")</f>
        <v>41.059999999999995</v>
      </c>
      <c r="CX5" s="7">
        <f>IF(CI5&gt;0,CI5,"")</f>
        <v>6.5</v>
      </c>
      <c r="CY5" s="7">
        <f>IF(SUM(CG5:CJ5)-CK5&gt;0,SUM(CG5:CJ5)-CK5,"")</f>
        <v>25.03</v>
      </c>
      <c r="CZ5" s="7" t="str">
        <f>IF(CN5&gt;0,CN5,"")</f>
        <v/>
      </c>
      <c r="DA5" s="7" t="str">
        <f>IF(SUM(CL5:CO5)-CP5&gt;0,SUM(CL5:CO5)-CP5,"")</f>
        <v/>
      </c>
      <c r="DB5" s="7">
        <f>IF(CW5="",IF(MAX(CY5,DA5)&gt;0,MAX(CY5,DA5),""),MAX(CY5,DA5)+CW5)</f>
        <v>66.09</v>
      </c>
      <c r="DC5" s="7">
        <f>IF(CS5&gt;0,CS5,"")</f>
        <v>8.5</v>
      </c>
      <c r="DD5" s="7">
        <f>IF(SUM(CQ5:CT5)-CU5&gt;0,SUM(CQ5:CT5)-CU5,"")</f>
        <v>41.97</v>
      </c>
      <c r="DE5" s="7">
        <f>IF(SUM(DB5,DD5)&gt;0,SUM(DB5,DD5),"")</f>
        <v>108.06</v>
      </c>
      <c r="DF5" s="13" t="str">
        <f>IF(MAX(DZ5,EV5,FR5,GN5,HJ5,IF5,JB5,JX5,KT5,LP5,ML5,NH5)-IF(K5="",0,K5)&gt;0.001,MAX(DZ5,EV5,FR5,GN5,HJ5,IF5,JB5,JX5,KT5,LP5,ML5,NH5)-IF(K5="",0,K5),"")</f>
        <v/>
      </c>
      <c r="DG5" s="13">
        <f>IF(MAX(EA5,EW5,FS5,GO5,HK5,IG5,JC5,JY5,KU5,LQ5,MM5,NI5)-IF(M5="",0,M5)&gt;0.001,MAX(EA5,EW5,FS5,GO5,HK5,IG5,JC5,JY5,KU5,LQ5,MM5,NI5)-IF(M5="",0,M5),"")</f>
        <v>22.119999999999997</v>
      </c>
      <c r="DH5" s="13" t="str">
        <f>IF(MAX(EB5,EX5,FT5,GP5,HL5,IH5,JD5,JZ5,KV5,LR5,MN5,NJ5)-IF(I5="",0,I5)&gt;0.001,MAX(EB5,EX5,FT5,GP5,HL5,IH5,JD5,JZ5,KV5,LR5,MN5,NJ5)-IF(I5="",0,I5),"")</f>
        <v/>
      </c>
      <c r="DI5" s="13" t="str">
        <f>IF(MAX(ED5,EZ5,FV5,GR5,HN5,IJ5,JF5,KB5,KX5,LT5,MP5,NL5)-IF(O5="",0,O5)&gt;0.001,MAX(ED5,EZ5,FV5,GR5,HN5,IJ5,JF5,KB5,KX5,LT5,MP5,NL5)-IF(O5="",0,O5),"")</f>
        <v/>
      </c>
      <c r="DJ5" s="18">
        <v>16.5</v>
      </c>
      <c r="DK5" s="18">
        <v>14.41</v>
      </c>
      <c r="DL5" s="18">
        <v>0</v>
      </c>
      <c r="DM5" s="18">
        <v>9.8000000000000007</v>
      </c>
      <c r="DN5" s="18">
        <v>0</v>
      </c>
      <c r="DO5" s="18">
        <v>13.5</v>
      </c>
      <c r="DP5" s="18">
        <v>9.3000000000000007</v>
      </c>
      <c r="DQ5" s="18">
        <v>10.5</v>
      </c>
      <c r="DR5" s="18">
        <v>13.85</v>
      </c>
      <c r="DS5" s="18">
        <v>0</v>
      </c>
      <c r="DT5" s="18"/>
      <c r="DU5" s="18"/>
      <c r="DV5" s="18"/>
      <c r="DW5" s="18"/>
      <c r="DX5" s="18"/>
      <c r="DY5" s="7">
        <f>IF(DQ5&gt;0,DQ5,"")</f>
        <v>10.5</v>
      </c>
      <c r="DZ5" s="7">
        <f>IF(SUM(DJ5:DM5)-DN5&gt;0,SUM(DJ5:DM5)-DN5,"")</f>
        <v>40.71</v>
      </c>
      <c r="EA5" s="7">
        <f>IF(SUM(DO5:DR5)-DS5&gt;0,SUM(DO5:DR5)-DS5,"")</f>
        <v>47.15</v>
      </c>
      <c r="EB5" s="7">
        <f>IF(SUM(DZ5:EA5)&gt;0,SUM(DZ5:EA5),"")</f>
        <v>87.86</v>
      </c>
      <c r="EC5" s="7" t="str">
        <f>IF(DV5&gt;0,DV5,"")</f>
        <v/>
      </c>
      <c r="ED5" s="7" t="str">
        <f>IF(SUM(DT5:DW5)-DX5&gt;0,SUM(DT5:DW5)-DX5,"")</f>
        <v/>
      </c>
      <c r="EE5" s="7">
        <f>IF(SUM(EB5,ED5)&gt;0,SUM(EB5,ED5),"")</f>
        <v>87.86</v>
      </c>
      <c r="EF5" s="19"/>
      <c r="EG5" s="19"/>
      <c r="EH5" s="19"/>
      <c r="EI5" s="19"/>
      <c r="EJ5" s="19"/>
      <c r="EK5" s="19"/>
      <c r="EL5" s="19"/>
      <c r="EM5" s="19"/>
      <c r="EN5" s="19"/>
      <c r="EO5" s="19"/>
      <c r="EP5" s="19"/>
      <c r="EQ5" s="19"/>
      <c r="ER5" s="19"/>
      <c r="ES5" s="19"/>
      <c r="ET5" s="19"/>
      <c r="EU5" s="9" t="str">
        <f>IF(EM5&gt;0,EM5,"")</f>
        <v/>
      </c>
      <c r="EV5" s="9" t="str">
        <f>IF(SUM(EF5:EI5)-EJ5&gt;0,SUM(EF5:EI5)-EJ5,"")</f>
        <v/>
      </c>
      <c r="EW5" s="9" t="str">
        <f>IF(SUM(EK5:EN5)-EO5&gt;0,SUM(EK5:EN5)-EO5,"")</f>
        <v/>
      </c>
      <c r="EX5" s="9" t="str">
        <f>IF(SUM(EV5:EW5)&gt;0,SUM(EV5:EW5),"")</f>
        <v/>
      </c>
      <c r="EY5" s="9" t="str">
        <f>IF(ER5&gt;0,ER5,"")</f>
        <v/>
      </c>
      <c r="EZ5" s="9" t="str">
        <f>IF(SUM(EP5:ES5)-ET5&gt;0,SUM(EP5:ES5)-ET5,"")</f>
        <v/>
      </c>
      <c r="FA5" s="9" t="str">
        <f>IF(SUM(EX5,EZ5)&gt;0,SUM(EX5,EZ5),"")</f>
        <v/>
      </c>
      <c r="FB5" s="18"/>
      <c r="FC5" s="18"/>
      <c r="FD5" s="18"/>
      <c r="FE5" s="18"/>
      <c r="FF5" s="18"/>
      <c r="FG5" s="18"/>
      <c r="FH5" s="18"/>
      <c r="FI5" s="18"/>
      <c r="FJ5" s="18"/>
      <c r="FK5" s="18"/>
      <c r="FL5" s="18"/>
      <c r="FM5" s="18"/>
      <c r="FN5" s="18"/>
      <c r="FO5" s="18"/>
      <c r="FP5" s="18"/>
      <c r="FQ5" s="7" t="str">
        <f>IF(FI5&gt;0,FI5,"")</f>
        <v/>
      </c>
      <c r="FR5" s="7" t="str">
        <f>IF(SUM(FB5:FE5)-FF5&gt;0,SUM(FB5:FE5)-FF5,"")</f>
        <v/>
      </c>
      <c r="FS5" s="7" t="str">
        <f>IF(SUM(FG5:FJ5)-FK5&gt;0,SUM(FG5:FJ5)-FK5,"")</f>
        <v/>
      </c>
      <c r="FT5" s="7" t="str">
        <f>IF(SUM(FR5:FS5)&gt;0,SUM(FR5:FS5),"")</f>
        <v/>
      </c>
      <c r="FU5" s="7" t="str">
        <f>IF(FN5&gt;0,FN5,"")</f>
        <v/>
      </c>
      <c r="FV5" s="7" t="str">
        <f>IF(SUM(FL5:FO5)-FP5&gt;0,SUM(FL5:FO5)-FP5,"")</f>
        <v/>
      </c>
      <c r="FW5" s="7" t="str">
        <f>IF(SUM(FT5,FV5)&gt;0,SUM(FT5,FV5),"")</f>
        <v/>
      </c>
      <c r="FX5" s="19">
        <v>15.2</v>
      </c>
      <c r="FY5" s="19">
        <v>9</v>
      </c>
      <c r="FZ5" s="19">
        <v>0</v>
      </c>
      <c r="GA5" s="19">
        <v>14.15</v>
      </c>
      <c r="GB5" s="19">
        <v>0</v>
      </c>
      <c r="GC5" s="19">
        <v>4.7</v>
      </c>
      <c r="GD5" s="19">
        <v>2.9</v>
      </c>
      <c r="GE5" s="19">
        <v>3.6</v>
      </c>
      <c r="GF5" s="19">
        <v>4.37</v>
      </c>
      <c r="GG5" s="19">
        <v>0</v>
      </c>
      <c r="GH5" s="19"/>
      <c r="GI5" s="19"/>
      <c r="GJ5" s="19"/>
      <c r="GK5" s="19"/>
      <c r="GL5" s="19"/>
      <c r="GM5" s="9">
        <f>IF(GE5&gt;0,GE5,"")</f>
        <v>3.6</v>
      </c>
      <c r="GN5" s="9">
        <f>IF(SUM(FX5:GA5)-GB5&gt;0,SUM(FX5:GA5)-GB5,"")</f>
        <v>38.35</v>
      </c>
      <c r="GO5" s="9">
        <f>IF(SUM(GC5:GF5)-GG5&gt;0,SUM(GC5:GF5)-GG5,"")</f>
        <v>15.57</v>
      </c>
      <c r="GP5" s="9">
        <f>IF(SUM(GN5:GO5)&gt;0,SUM(GN5:GO5),"")</f>
        <v>53.92</v>
      </c>
      <c r="GQ5" s="9" t="str">
        <f>IF(GJ5&gt;0,GJ5,"")</f>
        <v/>
      </c>
      <c r="GR5" s="9" t="str">
        <f>IF(SUM(GH5:GK5)-GL5&gt;0,SUM(GH5:GK5)-GL5,"")</f>
        <v/>
      </c>
      <c r="GS5" s="9">
        <f>IF(SUM(GP5,GR5)&gt;0,SUM(GP5,GR5),"")</f>
        <v>53.92</v>
      </c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7" t="str">
        <f>IF(HA5&gt;0,HA5,"")</f>
        <v/>
      </c>
      <c r="HJ5" s="7" t="str">
        <f>IF(SUM(GT5:GW5)-GX5&gt;0,SUM(GT5:GW5)-GX5,"")</f>
        <v/>
      </c>
      <c r="HK5" s="7" t="str">
        <f>IF(SUM(GY5:HB5)-HC5&gt;0,SUM(GY5:HB5)-HC5,"")</f>
        <v/>
      </c>
      <c r="HL5" s="7" t="str">
        <f>IF(SUM(HJ5:HK5)&gt;0,SUM(HJ5:HK5),"")</f>
        <v/>
      </c>
      <c r="HM5" s="7" t="str">
        <f>IF(HF5&gt;0,HF5,"")</f>
        <v/>
      </c>
      <c r="HN5" s="7" t="str">
        <f>IF(SUM(HD5:HG5)-HH5&gt;0,SUM(HD5:HG5)-HH5,"")</f>
        <v/>
      </c>
      <c r="HO5" s="7" t="str">
        <f>IF(SUM(HL5,HN5)&gt;0,SUM(HL5,HN5),"")</f>
        <v/>
      </c>
      <c r="HP5" s="19"/>
      <c r="HQ5" s="19"/>
      <c r="HR5" s="19"/>
      <c r="HS5" s="19"/>
      <c r="HT5" s="19"/>
      <c r="HU5" s="19"/>
      <c r="HV5" s="19"/>
      <c r="HW5" s="19"/>
      <c r="HX5" s="19"/>
      <c r="HY5" s="19"/>
      <c r="HZ5" s="19"/>
      <c r="IA5" s="19"/>
      <c r="IB5" s="19"/>
      <c r="IC5" s="19"/>
      <c r="ID5" s="19"/>
      <c r="IE5" s="9" t="str">
        <f>IF(HW5&gt;0,HW5,"")</f>
        <v/>
      </c>
      <c r="IF5" s="9" t="str">
        <f>IF(SUM(HP5:HS5)-HT5&gt;0,SUM(HP5:HS5)-HT5,"")</f>
        <v/>
      </c>
      <c r="IG5" s="9" t="str">
        <f>IF(SUM(HU5:HX5)-HY5&gt;0,SUM(HU5:HX5)-HY5,"")</f>
        <v/>
      </c>
      <c r="IH5" s="9" t="str">
        <f>IF(SUM(IF5:IG5)&gt;0,SUM(IF5:IG5),"")</f>
        <v/>
      </c>
      <c r="II5" s="9" t="str">
        <f>IF(IB5&gt;0,IB5,"")</f>
        <v/>
      </c>
      <c r="IJ5" s="9" t="str">
        <f>IF(SUM(HZ5:IC5)-ID5&gt;0,SUM(HZ5:IC5)-ID5,"")</f>
        <v/>
      </c>
      <c r="IK5" s="9" t="str">
        <f>IF(SUM(IH5,IJ5)&gt;0,SUM(IH5,IJ5),"")</f>
        <v/>
      </c>
      <c r="IL5" s="18"/>
      <c r="IM5" s="18"/>
      <c r="IN5" s="18"/>
      <c r="IO5" s="18"/>
      <c r="IP5" s="18"/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7" t="str">
        <f>IF(IS5&gt;0,IS5,"")</f>
        <v/>
      </c>
      <c r="JB5" s="7" t="str">
        <f>IF(SUM(IL5:IO5)-IP5&gt;0,SUM(IL5:IO5)-IP5,"")</f>
        <v/>
      </c>
      <c r="JC5" s="7" t="str">
        <f>IF(SUM(IQ5:IT5)-IU5&gt;0,SUM(IQ5:IT5)-IU5,"")</f>
        <v/>
      </c>
      <c r="JD5" s="7" t="str">
        <f>IF(SUM(JB5:JC5)&gt;0,SUM(JB5:JC5),"")</f>
        <v/>
      </c>
      <c r="JE5" s="7" t="str">
        <f>IF(IX5&gt;0,IX5,"")</f>
        <v/>
      </c>
      <c r="JF5" s="7" t="str">
        <f>IF(SUM(IV5:IY5)-IZ5&gt;0,SUM(IV5:IY5)-IZ5,"")</f>
        <v/>
      </c>
      <c r="JG5" s="7" t="str">
        <f>IF(SUM(JD5,JF5)&gt;0,SUM(JD5,JF5),"")</f>
        <v/>
      </c>
      <c r="JH5" s="19"/>
      <c r="JI5" s="19"/>
      <c r="JJ5" s="19"/>
      <c r="JK5" s="19"/>
      <c r="JL5" s="19"/>
      <c r="JM5" s="19"/>
      <c r="JN5" s="19"/>
      <c r="JO5" s="19"/>
      <c r="JP5" s="19"/>
      <c r="JQ5" s="19"/>
      <c r="JR5" s="19"/>
      <c r="JS5" s="19"/>
      <c r="JT5" s="19"/>
      <c r="JU5" s="19"/>
      <c r="JV5" s="19"/>
      <c r="JW5" s="9" t="str">
        <f>IF(JO5&gt;0,JO5,"")</f>
        <v/>
      </c>
      <c r="JX5" s="9" t="str">
        <f>IF(SUM(JH5:JK5)-JL5&gt;0,SUM(JH5:JK5)-JL5,"")</f>
        <v/>
      </c>
      <c r="JY5" s="9" t="str">
        <f>IF(SUM(JM5:JP5)-JQ5&gt;0,SUM(JM5:JP5)-JQ5,"")</f>
        <v/>
      </c>
      <c r="JZ5" s="9" t="str">
        <f>IF(SUM(JX5:JY5)&gt;0,SUM(JX5:JY5),"")</f>
        <v/>
      </c>
      <c r="KA5" s="9" t="str">
        <f>IF(JT5&gt;0,JT5,"")</f>
        <v/>
      </c>
      <c r="KB5" s="9" t="str">
        <f>IF(SUM(JR5:JU5)-JV5&gt;0,SUM(JR5:JU5)-JV5,"")</f>
        <v/>
      </c>
      <c r="KC5" s="9" t="str">
        <f>IF(SUM(JZ5,KB5)&gt;0,SUM(JZ5,KB5),"")</f>
        <v/>
      </c>
      <c r="KD5" s="18"/>
      <c r="KE5" s="18"/>
      <c r="KF5" s="18"/>
      <c r="KG5" s="18"/>
      <c r="KH5" s="18"/>
      <c r="KI5" s="18"/>
      <c r="KJ5" s="18"/>
      <c r="KK5" s="18"/>
      <c r="KL5" s="18"/>
      <c r="KM5" s="18"/>
      <c r="KN5" s="18"/>
      <c r="KO5" s="18"/>
      <c r="KP5" s="18"/>
      <c r="KQ5" s="18"/>
      <c r="KR5" s="18"/>
      <c r="KS5" s="7" t="str">
        <f>IF(KK5&gt;0,KK5,"")</f>
        <v/>
      </c>
      <c r="KT5" s="7" t="str">
        <f>IF(SUM(KD5:KG5)-KH5&gt;0,SUM(KD5:KG5)-KH5,"")</f>
        <v/>
      </c>
      <c r="KU5" s="7" t="str">
        <f>IF(SUM(KI5:KL5)-KM5&gt;0,SUM(KI5:KL5)-KM5,"")</f>
        <v/>
      </c>
      <c r="KV5" s="7" t="str">
        <f>IF(SUM(KT5:KU5)&gt;0,SUM(KT5:KU5),"")</f>
        <v/>
      </c>
      <c r="KW5" s="7" t="str">
        <f>IF(KP5&gt;0,KP5,"")</f>
        <v/>
      </c>
      <c r="KX5" s="7" t="str">
        <f>IF(SUM(KN5:KQ5)-KR5&gt;0,SUM(KN5:KQ5)-KR5,"")</f>
        <v/>
      </c>
      <c r="KY5" s="7" t="str">
        <f>IF(SUM(KV5,KX5)&gt;0,SUM(KV5,KX5),"")</f>
        <v/>
      </c>
      <c r="KZ5" s="19"/>
      <c r="LA5" s="19"/>
      <c r="LB5" s="19"/>
      <c r="LC5" s="19"/>
      <c r="LD5" s="19"/>
      <c r="LE5" s="19"/>
      <c r="LF5" s="19"/>
      <c r="LG5" s="19"/>
      <c r="LH5" s="19"/>
      <c r="LI5" s="19"/>
      <c r="LJ5" s="19"/>
      <c r="LK5" s="19"/>
      <c r="LL5" s="19"/>
      <c r="LM5" s="19"/>
      <c r="LN5" s="19"/>
      <c r="LO5" s="9" t="str">
        <f>IF(LG5&gt;0,LG5,"")</f>
        <v/>
      </c>
      <c r="LP5" s="9" t="str">
        <f>IF(SUM(KZ5:LC5)-LD5&gt;0,SUM(KZ5:LC5)-LD5,"")</f>
        <v/>
      </c>
      <c r="LQ5" s="9" t="str">
        <f>IF(SUM(LE5:LH5)-LI5&gt;0,SUM(LE5:LH5)-LI5,"")</f>
        <v/>
      </c>
      <c r="LR5" s="9" t="str">
        <f>IF(SUM(LP5:LQ5)&gt;0,SUM(LP5:LQ5),"")</f>
        <v/>
      </c>
      <c r="LS5" s="9" t="str">
        <f>IF(LL5&gt;0,LL5,"")</f>
        <v/>
      </c>
      <c r="LT5" s="9" t="str">
        <f>IF(SUM(LJ5:LM5)-LN5&gt;0,SUM(LJ5:LM5)-LN5,"")</f>
        <v/>
      </c>
      <c r="LU5" s="9" t="str">
        <f>IF(SUM(LR5,LT5)&gt;0,SUM(LR5,LT5),"")</f>
        <v/>
      </c>
      <c r="LV5" s="18"/>
      <c r="LW5" s="18"/>
      <c r="LX5" s="18"/>
      <c r="LY5" s="18"/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7" t="str">
        <f>IF(MC5&gt;0,MC5,"")</f>
        <v/>
      </c>
      <c r="ML5" s="7" t="str">
        <f>IF(SUM(LV5:LY5)-LZ5&gt;0,SUM(LV5:LY5)-LZ5,"")</f>
        <v/>
      </c>
      <c r="MM5" s="7" t="str">
        <f>IF(SUM(MA5:MD5)-ME5&gt;0,SUM(MA5:MD5)-ME5,"")</f>
        <v/>
      </c>
      <c r="MN5" s="7" t="str">
        <f>IF(SUM(ML5:MM5)&gt;0,SUM(ML5:MM5),"")</f>
        <v/>
      </c>
      <c r="MO5" s="7" t="str">
        <f>IF(MH5&gt;0,MH5,"")</f>
        <v/>
      </c>
      <c r="MP5" s="7" t="str">
        <f>IF(SUM(MF5:MI5)-MJ5&gt;0,SUM(MF5:MI5)-MJ5,"")</f>
        <v/>
      </c>
      <c r="MQ5" s="7" t="str">
        <f>IF(SUM(MN5,MP5)&gt;0,SUM(MN5,MP5),"")</f>
        <v/>
      </c>
      <c r="MR5" s="19"/>
      <c r="MS5" s="19"/>
      <c r="MT5" s="19"/>
      <c r="MU5" s="19"/>
      <c r="MV5" s="19"/>
      <c r="MW5" s="19"/>
      <c r="MX5" s="19"/>
      <c r="MY5" s="19"/>
      <c r="MZ5" s="19"/>
      <c r="NA5" s="19"/>
      <c r="NB5" s="19"/>
      <c r="NC5" s="19"/>
      <c r="ND5" s="19"/>
      <c r="NE5" s="19"/>
      <c r="NF5" s="19"/>
      <c r="NG5" s="9" t="str">
        <f>IF(MY5&gt;0,MY5,"")</f>
        <v/>
      </c>
      <c r="NH5" s="9" t="str">
        <f>IF(SUM(MR5:MU5)-MV5&gt;0,SUM(MR5:MU5)-MV5,"")</f>
        <v/>
      </c>
      <c r="NI5" s="9" t="str">
        <f>IF(SUM(MW5:MZ5)-NA5&gt;0,SUM(MW5:MZ5)-NA5,"")</f>
        <v/>
      </c>
      <c r="NJ5" s="9" t="str">
        <f>IF(SUM(NH5:NI5)&gt;0,SUM(NH5:NI5),"")</f>
        <v/>
      </c>
      <c r="NK5" s="9" t="str">
        <f>IF(ND5&gt;0,ND5,"")</f>
        <v/>
      </c>
      <c r="NL5" s="9" t="str">
        <f>IF(SUM(NB5:NE5)-NF5&gt;0,SUM(NB5:NE5)-NF5,"")</f>
        <v/>
      </c>
      <c r="NM5" s="9" t="str">
        <f>IF(SUM(NJ5,NL5)&gt;0,SUM(NJ5,NL5),"")</f>
        <v/>
      </c>
      <c r="NN5" s="27">
        <f>IF($CV5="P",CB5,(CB5+AX5)/2)</f>
        <v>17.25</v>
      </c>
      <c r="NO5" s="27">
        <f>IF($CV5="P",CC5,(CC5+AY5)/2)</f>
        <v>9.75</v>
      </c>
      <c r="NP5" s="27">
        <f>IF($CV5="P",CD5,(CD5+AZ5)/2)</f>
        <v>0</v>
      </c>
      <c r="NQ5" s="27">
        <f>IF($CV5="P",CE5,(CE5+BA5)/2)</f>
        <v>14.205</v>
      </c>
      <c r="NR5" s="27">
        <f>IF($CV5="P",CF5,(CF5+BB5)/2)</f>
        <v>0</v>
      </c>
      <c r="NS5" s="27">
        <f>IF($CV5="P",CG5,(CG5+BC5)/2)</f>
        <v>4.3</v>
      </c>
      <c r="NT5" s="27">
        <f>IF($CV5="P",CH5,(CH5+BD5)/2)</f>
        <v>2.6999999999999997</v>
      </c>
      <c r="NU5" s="27">
        <f>IF($CV5="P",CI5,(CI5+BE5)/2)</f>
        <v>4</v>
      </c>
      <c r="NV5" s="27">
        <f>IF($CV5="P",CJ5,(CJ5+BF5)/2)</f>
        <v>4.125</v>
      </c>
      <c r="NW5" s="27">
        <f>IF($CV5="P",CK5,(CK5+BG5)/2)</f>
        <v>0</v>
      </c>
      <c r="NX5" s="27">
        <f>IF($CV5="P",CL5,(CL5+BH5)/2)</f>
        <v>0</v>
      </c>
      <c r="NY5" s="27">
        <f>IF($CV5="P",CM5,(CM5+BI5)/2)</f>
        <v>0</v>
      </c>
      <c r="NZ5" s="27">
        <f>IF($CV5="P",CN5,(CN5+BJ5)/2)</f>
        <v>0</v>
      </c>
      <c r="OA5" s="27">
        <f>IF($CV5="P",CO5,(CO5+BK5)/2)</f>
        <v>0</v>
      </c>
      <c r="OB5" s="27">
        <f>IF($CV5="P",CP5,(CP5+BL5)/2)</f>
        <v>0</v>
      </c>
      <c r="OC5" s="27">
        <f>IF($CV5="P",CQ5,(CQ5+BM5)/2)</f>
        <v>6.55</v>
      </c>
      <c r="OD5" s="27">
        <f>IF($CV5="P",CR5,(CR5+BN5)/2)</f>
        <v>4.05</v>
      </c>
      <c r="OE5" s="27">
        <f>IF($CV5="P",CS5,(CS5+BO5)/2)</f>
        <v>4.25</v>
      </c>
      <c r="OF5" s="27">
        <f>IF($CV5="P",CT5,(CT5+BP5)/2)</f>
        <v>6.1349999999999998</v>
      </c>
      <c r="OG5" s="27">
        <f>IF($CV5="P",CU5,(CU5+BQ5)/2)</f>
        <v>0</v>
      </c>
      <c r="OH5" s="32" t="s">
        <v>44</v>
      </c>
      <c r="OI5" s="7">
        <f>IF(SUM(NN5:NQ5)-NR5&gt;0,SUM(NN5:NQ5)-NR5,"")</f>
        <v>41.204999999999998</v>
      </c>
      <c r="OJ5" s="7">
        <f>IF(NU5&gt;0,NU5,"")</f>
        <v>4</v>
      </c>
      <c r="OK5" s="7">
        <f>IF(SUM(NS5:NV5)-NW5&gt;0,SUM(NS5:NV5)-NW5,"")</f>
        <v>15.125</v>
      </c>
      <c r="OL5" s="7" t="str">
        <f>IF(NZ5&gt;0,NZ5,"")</f>
        <v/>
      </c>
      <c r="OM5" s="7" t="str">
        <f>IF(SUM(NX5:OA5)-OB5&gt;0,SUM(NX5:OA5)-OB5,"")</f>
        <v/>
      </c>
      <c r="ON5" s="7">
        <f>IF(OR(OI5&lt;&gt;"",OK5&lt;&gt;"",OM5&lt;&gt;""),OI5+MAX(OK5,OM5),"")</f>
        <v>56.33</v>
      </c>
      <c r="OO5" s="7">
        <f>IF(OE5&gt;0,OE5,"")</f>
        <v>4.25</v>
      </c>
      <c r="OP5" s="7">
        <f t="shared" ref="OP5" si="2">IF(SUM(OC5:OF5)-OG5&gt;0,SUM(OC5:OF5)-OG5,"")</f>
        <v>20.984999999999999</v>
      </c>
      <c r="OQ5" s="7">
        <f t="shared" ref="OQ5" si="3">IF(SUM(ON5,OP5)&gt;0,SUM(ON5,OP5),"")</f>
        <v>77.314999999999998</v>
      </c>
    </row>
    <row r="6" spans="1:407" x14ac:dyDescent="0.2">
      <c r="A6" s="4" t="str" cm="1">
        <f t="array" ref="A6">IF(AND(H6&lt;&gt;"",H6&lt;&gt;"No DD"),SUMPRODUCT((H$4:H$12&lt;&gt;"")*(H$4:H$12&lt;&gt;"No DD")*(E$4:E$12&gt;E6))+1,IF(H6="No DD",SUMPRODUCT((H$4:H$12="No DD")*(E$4:E$12&gt;E6))+1+SUMPRODUCT((H$4:H$12&lt;&gt;"")*(H$4:H$12&lt;&gt;"No DD")),""))</f>
        <v/>
      </c>
      <c r="B6" s="5" t="s">
        <v>99</v>
      </c>
      <c r="C6" s="4" t="s">
        <v>3</v>
      </c>
      <c r="D6" s="4">
        <v>2009</v>
      </c>
      <c r="E6" s="10">
        <f>SUM(I6:Q6)</f>
        <v>225.04000000000002</v>
      </c>
      <c r="F6" s="3" t="str">
        <f>IF(OR(AND(AP6&gt;=AW$14,AT6&gt;=AW$18,AO6&lt;&gt;"",AN6=""),AND(BT6&gt;=CA$14,BX6&gt;=CA$18,BS6&lt;&gt;"",BR6=""),AND(CX6&gt;=DE$14,DB6&gt;=DE$18,CW6&lt;&gt;"",CV6=""),AND(DY6&gt;=EE$14,EB6&gt;=EE$18,DY6&lt;&gt;""),AND(EU6&gt;=FA$14,EX6&gt;=FA$18,EU6&lt;&gt;""),AND(FQ6&gt;=FW$14,FT6&gt;=FW$18,FQ6&lt;&gt;""),AND(GM6&gt;=GS$14,GP6&gt;=GS$18,GM6&lt;&gt;""),AND(HI6&gt;=HO$14,HL6&gt;=HO$18,HI6&lt;&gt;""),AND(IE6&gt;=IK$14,IH6&gt;=IK$18,IE6&lt;&gt;""),AND(JA6&gt;=JG$14,JD6&gt;=JG$18,JA6&lt;&gt;""),AND(JW6&gt;=KC$14,JZ6&gt;=KC$18,JW6&lt;&gt;""),AND(KS6&gt;=KY$14,KV6&gt;=KY$18,KS6&lt;&gt;""),AND(LO6&gt;=LU$14,LR6&gt;=LU$18,LO6&lt;&gt;""),AND(MK6&gt;=MQ$14,MN6&gt;=MQ$18,MK6&lt;&gt;""),AND(NG6&gt;=NM$14,NJ6&gt;=NM$18,NG6&lt;&gt;"")),"P","")</f>
        <v/>
      </c>
      <c r="G6" s="3" t="str">
        <f>IF(OR(AND(AT6&gt;=AW$18,AO6&lt;&gt;"",AN6=""),AND(BX6&gt;=CA$18,BS6&lt;&gt;"",BR6=""),AND(DB6&gt;=DE$18,CW6&lt;&gt;"",CV6=""),AND(EB6&gt;=EE$18,DY6&lt;&gt;""),AND(EX6&gt;=FA$18,EU6&lt;&gt;""),AND(FT6&gt;=FW$18,FQ6&lt;&gt;""),AND(GP6&gt;=GS$18,GM6&lt;&gt;""),AND(HL6&gt;=HO$18,HI6&lt;&gt;""),AND(IH6&gt;=IK$18,IE6&lt;&gt;""),AND(JD6&gt;=JG$18,JA6&lt;&gt;""),AND(JZ6&gt;=KC$18,JW6&lt;&gt;""),AND(KV6&gt;=KY$18,KS6&lt;&gt;""),AND(LR6&gt;=LU$18,LO6&lt;&gt;""),AND(MN6&gt;=MQ$18,MK6&lt;&gt;""),AND(NJ6&gt;=NM$18,NG6&lt;&gt;"")),"P","")</f>
        <v/>
      </c>
      <c r="H6" s="47" t="str">
        <f>IF(OR(AND(AP6&gt;=AW$17,AQ6&gt;=AW$21,AP6&lt;&gt;"",AN6=""),AND(AU6&gt;=AW$17,AV6&gt;=AW$21,AU6&lt;&gt;"",AN6=""),AND(BT6&gt;=CA$17,BU6&gt;=CA$21,BT6&lt;&gt;"",BR6=""),AND(BY6&gt;=CA$17,BZ6&gt;=CA$21,BY6&lt;&gt;"",BR6=""),AND(CX6&gt;=DE$17,CY6&gt;=DE$21,CX6&lt;&gt;"",CV6=""),AND(DC6&gt;=DE$17,DD6&gt;=DE$21,DC6&lt;&gt;"",CV6=""),AND(DY6&gt;=EE$17,EA6&gt;=EE$21,DY6&lt;&gt;""),AND(EC6&gt;=EE$17,ED6&gt;=EE$21,EC6&lt;&gt;""),AND(EU6&gt;=FA$17,EW6&gt;=FA$21,EU6&lt;&gt;""),AND(EY6&gt;=FA$17,EZ6&gt;=FA$21,EY6&lt;&gt;""),AND(FQ6&gt;=FW$17,FS6&gt;=FW$21,FQ6&lt;&gt;""),AND(FU6&gt;=FW$17,FV6&gt;=FW$21,FU6&lt;&gt;""),AND(GM6&gt;=GS$17,GO6&gt;=GS$21,GM6&lt;&gt;""),AND(GQ6&gt;=GS$17,GR6&gt;=GS$21,GQ6&lt;&gt;""),AND(HI6&gt;=HO$17,HK6&gt;=HO$21,HI6&lt;&gt;""),AND(HM6&gt;=HO$17,HN6&gt;=HO$21,HM6&lt;&gt;""),AND(IE6&gt;=IK$17,IG6&gt;=IK$21,IE6&lt;&gt;""),AND(II6&gt;=IK$17,IJ6&gt;=IK$21,II6&lt;&gt;""),AND(JA6&gt;=JG$17,JC6&gt;=JG$21,JA6&lt;&gt;""),AND(JE6&gt;=JG$17,JF6&gt;=JG$21,JE6&lt;&gt;""),AND(JW6&gt;=KC$17,JY6&gt;=KC$21,JW6&lt;&gt;""),AND(KA6&gt;=KC$17,KB6&gt;=KC$21,KA6&lt;&gt;""),AND(KS6&gt;=KY$17,KU6&gt;=KY$21,KS6&lt;&gt;""),AND(KW6&gt;=KY$17,KX6&gt;=KY$21,KW6&lt;&gt;""),AND(LO6&gt;=LU$17,LQ6&gt;=LU$21,LO6&lt;&gt;""),AND(LS6&gt;=LU$17,LT6&gt;=LU$21,LS6&lt;&gt;""),AND(MK6&gt;=MQ$17,MM6&gt;=MQ$21,MK6&lt;&gt;""),AND(MO6&gt;=MQ$17,MP6&gt;=MQ$21,MO6&lt;&gt;""),AND(NG6&gt;=NM$17,NI6&gt;=NM$21,NG6&lt;&gt;""),AND(NK6&gt;=NM$17,NL6&gt;=NM$21,NK6&lt;&gt;"")),"Merit",IF(OR(AND(AP6&gt;=AW$16,AT6&gt;=AW$20,AO6&lt;&gt;"",AN6=""),AND(BT6&gt;=CA$16,BX6&gt;=CA$20,BS6&lt;&gt;"",BR6=""),AND(CX6&gt;=DE$16,DB6&gt;=DE$20,CW6&lt;&gt;"",CV6=""),AND(DY6&gt;=EE$16,EB6&gt;=EE$20,DY6&lt;&gt;""),AND(EU6&gt;=FA$16,EX6&gt;=FA$20,EU6&lt;&gt;""),AND(FQ6&gt;=FW$16,FT6&gt;=FW$20,FQ6&lt;&gt;""),AND(GM6&gt;=GS$16,GP6&gt;=GS$20,GM6&lt;&gt;""),AND(HI6&gt;=HO$16,HL6&gt;=HO$20,HI6&lt;&gt;""),AND(IE6&gt;=IK$16,IH6&gt;=IK$20,IE6&lt;&gt;""),AND(JA6&gt;=JG$16,JD6&gt;=JG$20,JA6&lt;&gt;""),AND(JW6&gt;=KC$16,JZ6&gt;=KC$20,JW6&lt;&gt;""),AND(KS6&gt;=KY$16,KV6&gt;=KY$20,KS6&lt;&gt;""),AND(LO6&gt;=LU$16,LR6&gt;=LU$20,LO6&lt;&gt;""),AND(MK6&gt;=MQ$16,MN6&gt;=MQ$20,MK6&lt;&gt;""),AND(NG6&gt;=NM$16,NJ6&gt;=NM$20,NG6&lt;&gt;"")),"Excellence",IF(OR(AND(AP6&gt;=AW$14,AT6&gt;=AW$18,AO6&lt;&gt;"",AN6=""),AND(BT6&gt;=CA$14,BX6&gt;=CA$18,BS6&lt;&gt;"",BR6=""),AND(CX6&gt;=DE$14,DB6&gt;=DE$18,CW6&lt;&gt;"",CV6=""),AND(DY6&gt;=EE$14,EB6&gt;=EE$18,DY6&lt;&gt;""),AND(EU6&gt;=FA$14,EX6&gt;=FA$18,EU6&lt;&gt;""),AND(FQ6&gt;=FW$14,FT6&gt;=FW$18,FQ6&lt;&gt;""),AND(GM6&gt;=GS$14,GP6&gt;=GS$18,GM6&lt;&gt;""),AND(HI6&gt;=HO$14,HL6&gt;=HO$18,HI6&lt;&gt;""),AND(IE6&gt;=IK$14,IH6&gt;=IK$18,IE6&lt;&gt;""),AND(JA6&gt;=JG$14,JD6&gt;=JG$18,JA6&lt;&gt;""),AND(JW6&gt;=KC$14,JZ6&gt;=KC$18,JW6&lt;&gt;""),AND(KS6&gt;=KY$14,KV6&gt;=KY$18,KS6&lt;&gt;""),AND(LO6&gt;=LU$14,LR6&gt;=LU$18,LO6&lt;&gt;""),AND(MK6&gt;=MQ$14,MN6&gt;=MQ$18,MK6&lt;&gt;""),AND(NG6&gt;=NM$14,NJ6&gt;=NM$18,NG6&lt;&gt;"")),"National Team",IF(G6="P","No DD",""))))</f>
        <v/>
      </c>
      <c r="I6" s="9">
        <f>IF(MAX(AT6,BX6,DB6)&gt;0,MAX(AT6,BX6,DB6),0)</f>
        <v>86.92</v>
      </c>
      <c r="J6" s="9" t="str">
        <f>IF(I6=0,"",IF(I6=DB6,$CB$1,IF(I6=BX6,$AX$1,IF(I6=AT6,$T$1,""))))</f>
        <v>2023 Elite Canada</v>
      </c>
      <c r="K6" s="9">
        <f>IF($I6=$AT6,MAX(BS6,CW6),IF($I6=$BX6,MAX(AO6,CW6),IF($I6=$DB6,MAX(AO6,BS6),MAX(AO6,BS6,CW6))))</f>
        <v>41.68</v>
      </c>
      <c r="L6" s="9" t="str">
        <f>IF(K6=0,"",IF(AND(K6=CW6,$J6&lt;&gt;$CB$1),$CB$1,IF(AND(K6=BS6,$J6&lt;&gt;$AX$1),$AX$1,IF(AND(K6=AO6,$J6&lt;&gt;$T$1),$T$1,""))))</f>
        <v>2023 3rd Domestic Trial</v>
      </c>
      <c r="M6" s="9">
        <f>IF(I6-N(AO6)=AQ6,MAX(AS6,BU6,BW6,CY6,DA6),IF(I6-N(AO6)=AS6,MAX(AQ6,BU6,BW6,CY6,DA6),IF(I6-N(BS6)=BU6,MAX(AQ6,AS6,BW6,CY6,DA6),IF(I6-N(BS6)=BW6,MAX(AQ6,AS6,BU6,CY6,DA6),IF(I6-N(CW6)=CY6,MAX(AQ6,AS6,BU6,BW6,DA6),IF(I6-N(CW6)=DA6,MAX(AQ6,AS6,BU6,BW6,CY6),MAX(AQ6,AS6,BU6,BW6,CY6,DA6)))))))</f>
        <v>43.31</v>
      </c>
      <c r="N6" s="9" t="str">
        <f>IF(M6=0,"",IF(AND(OR(M6=DA6,M6=CY6),$J6&lt;&gt;$CB$1),$CB$1,IF(AND(OR(M6=BW6,M6=BU6),$J6&lt;&gt;$AX$1),$AX$1,IF(AND(OR(M6=AS6,M6=AQ6),$J6&lt;&gt;$T$1),$T$1,""))))</f>
        <v>2023 Nationals</v>
      </c>
      <c r="O6" s="9">
        <f>MAX(AV6,BZ6,DD6)</f>
        <v>48.510000000000005</v>
      </c>
      <c r="P6" s="9" t="str">
        <f>IF(O6=0,"",IF(O6=DD6,$CB$1,IF(O6=BZ6,$AX$1,IF(O6=AV6,$T$1,""))))</f>
        <v>2023 Nationals</v>
      </c>
      <c r="Q6" s="9">
        <f>IF(MAX(DF6,DG6,DH6,DI6)&gt;0,MAX(DF6,DG6,DH6,DI6),"")</f>
        <v>4.6199999999999974</v>
      </c>
      <c r="R6" s="14" t="str">
        <f>IF(Q6="","",IF(Q6=DF6,"(Vol 1)",IF(Q6=DG6,"(Vol 2)",IF(Q6=DH6,"(Prelim)",IF(Q6=DI6,"(Final)")))))</f>
        <v>(Vol 2)</v>
      </c>
      <c r="S6" s="9" t="str">
        <f>IF(Q6="","",IF(Q6=DF6,IF(Q6+IF(K6="",0,K6)=NH6,$MR$1,IF(Q6+IF(K6="",0,K6)=ML6,$LV$1,IF(Q6+IF(K6="",0,K6)=LP6,$KZ$1,IF(Q6+IF(K6="",0,K6)=KT6,$KD$1,IF(Q6+IF(K6="",0,K6)=JX6,$JH$1,IF(Q6+IF(K6="",0,K6)=JB6,$IL$1,IF(Q6+IF(K6="",0,K6)=IF6,$HP$1,IF(Q6+IF(K6="",0,K6)=HJ6,$GT$1,IF(Q6+IF(K6="",0,K6)=GN6,$FX$1,IF(Q6+IF(K6="",0,K6)=FR6,$FB$1,IF(Q6+IF(K6="",0,K6)=EV6,$EF$1,IF(Q6+IF(K6="",0,K6)=DZ6,$DJ$1)))))))))))),IF(Q6=DG6,IF(Q6+IF(M6="",0,M6)=NI6,$MR$1,IF(Q6+IF(M6="",0,M6)=MM6,$LV$1,IF(Q6+IF(M6="",0,M6)=LQ6,$KZ$1,IF(Q6+IF(M6="",0,M6)=KU6,$KD$1,IF(Q6+IF(M6="",0,M6)=JY6,$JH$1,IF(Q6+IF(M6="",0,M6)=JC6,$IL$1,IF(Q6+IF(M6="",0,M6)=IG6,$HP$1,IF(Q6+IF(M6="",0,M6)=HK6,$GT$1,IF(Q6+IF(M6="",0,M6)=GO6,$FX$1,IF(Q6+IF(M6="",0,M6)=FS6,$FB$1,IF(Q6+IF(M6="",0,M6)=EW6,$EF$1,IF(Q6+IF(M6="",0,M6)=EA6,$DJ$1)))))))))))),IF(Q6=DH6,IF(Q6+IF(I6="",0,I6)=NJ6,$MR$1,IF(Q6+IF(I6="",0,I6)=MN6,$LV$1,IF(Q6+IF(I6="",0,I6)=LR6,$KZ$1,IF(Q6+IF(I6="",0,I6)=KV6,$KD$1,IF(Q6+IF(I6="",0,I6)=JZ6,$JH$1,IF(Q6+IF(I6="",0,I6)=JD6,$IL$1,IF(Q6+IF(I6="",0,I6)=IH6,$HP$1,IF(Q6+IF(I6="",0,I6)=HL6,$GT$1,IF(Q6+IF(I6="",0,I6)=GP6,$FX$1,IF(Q6+IF(I6="",0,I6)=FT6,$FB$1,IF(Q6+IF(I6="",0,I6)=EX6,$EF$1,IF(Q6+IF(I6="",0,I6)=EB6,$DJ$1)))))))))))),IF(Q6=DI6,IF(Q6+IF(O6="",0,O6)=NL6,$MR$1,IF(Q6+IF(O6="",0,O6)=MP6,$LV$1,IF(Q6+IF(O6="",0,O6)=LT6,$KZ$1,IF(Q6+IF(O6="",0,O6)=KX6,$KD$1,IF(Q6+IF(O6="",0,O6)=KB6,$JH$1,IF(Q6+IF(O6="",0,O6)=JF6,$IL$1,IF(Q6+IF(O6="",0,O6)=IJ6,$HP$1,IF(Q6+IF(O6="",0,O6)=HN6,$GT$1,IF(Q6+IF(O6="",0,O6)=GR6,$FX$1,IF(Q6+IF(O6="",0,O6)=FV6,$FB$1,IF(Q6+IF(O6="",0,O6)=EZ6,$EF$1,IF(Q6+IF(O6="",0,O6)=ED6,$DJ$1)))))))))))))))))</f>
        <v>2023 WAGC (Nov 16)</v>
      </c>
      <c r="T6" s="27">
        <v>16</v>
      </c>
      <c r="U6" s="27">
        <v>9.3000000000000007</v>
      </c>
      <c r="V6" s="27">
        <v>0</v>
      </c>
      <c r="W6" s="27">
        <v>14.79</v>
      </c>
      <c r="X6" s="27">
        <v>0</v>
      </c>
      <c r="Y6" s="27">
        <v>14</v>
      </c>
      <c r="Z6" s="27">
        <v>9</v>
      </c>
      <c r="AA6" s="27">
        <v>9.6</v>
      </c>
      <c r="AB6" s="27">
        <v>14.23</v>
      </c>
      <c r="AC6" s="27">
        <v>0</v>
      </c>
      <c r="AD6" s="27"/>
      <c r="AE6" s="27"/>
      <c r="AF6" s="27"/>
      <c r="AG6" s="27"/>
      <c r="AH6" s="27"/>
      <c r="AI6" s="27">
        <v>2.9</v>
      </c>
      <c r="AJ6" s="27">
        <v>1.8</v>
      </c>
      <c r="AK6" s="27">
        <v>2.2999999999999998</v>
      </c>
      <c r="AL6" s="27">
        <v>3.06</v>
      </c>
      <c r="AM6" s="27">
        <v>0</v>
      </c>
      <c r="AN6" s="32"/>
      <c r="AO6" s="7">
        <f>IF(SUM(T6:W6)-X6&gt;0,SUM(T6:W6)-X6,"")</f>
        <v>40.090000000000003</v>
      </c>
      <c r="AP6" s="7">
        <f>IF(AA6&gt;0,AA6,"")</f>
        <v>9.6</v>
      </c>
      <c r="AQ6" s="7">
        <f>IF(SUM(Y6:AB6)-AC6&gt;0,SUM(Y6:AB6)-AC6,"")</f>
        <v>46.83</v>
      </c>
      <c r="AR6" s="7" t="str">
        <f>IF(AF6&gt;0,AF6,"")</f>
        <v/>
      </c>
      <c r="AS6" s="7" t="str">
        <f>IF(SUM(AD6:AG6)-AH6&gt;0,SUM(AD6:AG6)-AH6,"")</f>
        <v/>
      </c>
      <c r="AT6" s="7">
        <f>IF(AO6="",IF(MAX(AQ6,AS6)&gt;0,MAX(AQ6,AS6),""),MAX(AQ6,AS6)+AO6)</f>
        <v>86.92</v>
      </c>
      <c r="AU6" s="7">
        <f>IF(AK6&gt;0,AK6,"")</f>
        <v>2.2999999999999998</v>
      </c>
      <c r="AV6" s="7">
        <f>IF(SUM(AI6:AL6)-AM6&gt;0,SUM(AI6:AL6)-AM6,"")</f>
        <v>10.06</v>
      </c>
      <c r="AW6" s="7">
        <f>IF(SUM(AT6,AV6)&gt;0,SUM(AT6,AV6),"")</f>
        <v>96.98</v>
      </c>
      <c r="AX6" s="31">
        <v>16.399999999999999</v>
      </c>
      <c r="AY6" s="31">
        <v>9</v>
      </c>
      <c r="AZ6" s="31">
        <v>0</v>
      </c>
      <c r="BA6" s="31">
        <v>14.69</v>
      </c>
      <c r="BB6" s="31">
        <v>0</v>
      </c>
      <c r="BC6" s="31">
        <v>13.7</v>
      </c>
      <c r="BD6" s="31">
        <v>8.1</v>
      </c>
      <c r="BE6" s="31">
        <v>8.3000000000000007</v>
      </c>
      <c r="BF6" s="31">
        <v>13.21</v>
      </c>
      <c r="BG6" s="31">
        <v>0</v>
      </c>
      <c r="BH6" s="31"/>
      <c r="BI6" s="31"/>
      <c r="BJ6" s="31"/>
      <c r="BK6" s="31"/>
      <c r="BL6" s="31"/>
      <c r="BM6" s="31">
        <v>15.4</v>
      </c>
      <c r="BN6" s="31">
        <v>9.1</v>
      </c>
      <c r="BO6" s="31">
        <v>9.6999999999999993</v>
      </c>
      <c r="BP6" s="31">
        <v>14.31</v>
      </c>
      <c r="BQ6" s="31">
        <v>0</v>
      </c>
      <c r="BR6" s="33"/>
      <c r="BS6" s="9">
        <f>IF(SUM(AX6:BA6)-BB6&gt;0,SUM(AX6:BA6)-BB6,"")</f>
        <v>40.089999999999996</v>
      </c>
      <c r="BT6" s="9">
        <f>IF(BE6&gt;0,BE6,"")</f>
        <v>8.3000000000000007</v>
      </c>
      <c r="BU6" s="9">
        <f>IF(SUM(BC6:BF6)-BG6&gt;0,SUM(BC6:BF6)-BG6,"")</f>
        <v>43.31</v>
      </c>
      <c r="BV6" s="9" t="str">
        <f>IF(BJ6&gt;0,BJ6,"")</f>
        <v/>
      </c>
      <c r="BW6" s="9" t="str">
        <f>IF(SUM(BH6:BK6)-BL6&gt;0,SUM(BH6:BK6)-BL6,"")</f>
        <v/>
      </c>
      <c r="BX6" s="9">
        <f>IF(BS6="",IF(MAX(BU6,BW6)&gt;0,MAX(BU6,BW6),""),MAX(BU6,BW6)+BS6)</f>
        <v>83.4</v>
      </c>
      <c r="BY6" s="9">
        <f>IF(BO6&gt;0,BO6,"")</f>
        <v>9.6999999999999993</v>
      </c>
      <c r="BZ6" s="9">
        <f>IF(SUM(BM6:BP6)-BQ6&gt;0,SUM(BM6:BP6)-BQ6,"")</f>
        <v>48.510000000000005</v>
      </c>
      <c r="CA6" s="9">
        <f>IF(SUM(BX6,BZ6)&gt;0,SUM(BX6,BZ6),"")</f>
        <v>131.91000000000003</v>
      </c>
      <c r="CB6" s="27">
        <v>17.399999999999999</v>
      </c>
      <c r="CC6" s="27">
        <v>9.4</v>
      </c>
      <c r="CD6" s="27">
        <v>0</v>
      </c>
      <c r="CE6" s="27">
        <v>14.88</v>
      </c>
      <c r="CF6" s="27">
        <v>0</v>
      </c>
      <c r="CG6" s="27">
        <v>12.2</v>
      </c>
      <c r="CH6" s="27">
        <v>8.3000000000000007</v>
      </c>
      <c r="CI6" s="27">
        <v>7.1999999999999993</v>
      </c>
      <c r="CJ6" s="27">
        <v>13.13</v>
      </c>
      <c r="CK6" s="27">
        <v>0</v>
      </c>
      <c r="CL6" s="27"/>
      <c r="CM6" s="27"/>
      <c r="CN6" s="27"/>
      <c r="CO6" s="27"/>
      <c r="CP6" s="27"/>
      <c r="CQ6" s="27">
        <v>14.3</v>
      </c>
      <c r="CR6" s="27">
        <v>9.1</v>
      </c>
      <c r="CS6" s="27">
        <v>10.299999999999999</v>
      </c>
      <c r="CT6" s="27">
        <v>14.3</v>
      </c>
      <c r="CU6" s="27">
        <v>0</v>
      </c>
      <c r="CV6" s="32"/>
      <c r="CW6" s="7">
        <f>IF(SUM(CB6:CE6)-CF6&gt;0,SUM(CB6:CE6)-CF6,"")</f>
        <v>41.68</v>
      </c>
      <c r="CX6" s="7">
        <f>IF(CI6&gt;0,CI6,"")</f>
        <v>7.1999999999999993</v>
      </c>
      <c r="CY6" s="7">
        <f>IF(SUM(CG6:CJ6)-CK6&gt;0,SUM(CG6:CJ6)-CK6,"")</f>
        <v>40.83</v>
      </c>
      <c r="CZ6" s="7" t="str">
        <f>IF(CN6&gt;0,CN6,"")</f>
        <v/>
      </c>
      <c r="DA6" s="7" t="str">
        <f>IF(SUM(CL6:CO6)-CP6&gt;0,SUM(CL6:CO6)-CP6,"")</f>
        <v/>
      </c>
      <c r="DB6" s="7">
        <f>IF(CW6="",IF(MAX(CY6,DA6)&gt;0,MAX(CY6,DA6),""),MAX(CY6,DA6)+CW6)</f>
        <v>82.509999999999991</v>
      </c>
      <c r="DC6" s="7">
        <f>IF(CS6&gt;0,CS6,"")</f>
        <v>10.299999999999999</v>
      </c>
      <c r="DD6" s="7">
        <f>IF(SUM(CQ6:CT6)-CU6&gt;0,SUM(CQ6:CT6)-CU6,"")</f>
        <v>48</v>
      </c>
      <c r="DE6" s="7">
        <f>IF(SUM(DB6,DD6)&gt;0,SUM(DB6,DD6),"")</f>
        <v>130.51</v>
      </c>
      <c r="DF6" s="13" t="str">
        <f>IF(MAX(DZ6,EV6,FR6,GN6,HJ6,IF6,JB6,JX6,KT6,LP6,ML6,NH6)-IF(K6="",0,K6)&gt;0.001,MAX(DZ6,EV6,FR6,GN6,HJ6,IF6,JB6,JX6,KT6,LP6,ML6,NH6)-IF(K6="",0,K6),"")</f>
        <v/>
      </c>
      <c r="DG6" s="13">
        <f>IF(MAX(EA6,EW6,FS6,GO6,HK6,IG6,JC6,JY6,KU6,LQ6,MM6,NI6)-IF(M6="",0,M6)&gt;0.001,MAX(EA6,EW6,FS6,GO6,HK6,IG6,JC6,JY6,KU6,LQ6,MM6,NI6)-IF(M6="",0,M6),"")</f>
        <v>4.6199999999999974</v>
      </c>
      <c r="DH6" s="13">
        <f>IF(MAX(EB6,EX6,FT6,GP6,HL6,IH6,JD6,JZ6,KV6,LR6,MN6,NJ6)-IF(I6="",0,I6)&gt;0.001,MAX(EB6,EX6,FT6,GP6,HL6,IH6,JD6,JZ6,KV6,LR6,MN6,NJ6)-IF(I6="",0,I6),"")</f>
        <v>4.0000000000006253E-2</v>
      </c>
      <c r="DI6" s="13" t="str">
        <f>IF(MAX(ED6,EZ6,FV6,GR6,HN6,IJ6,JF6,KB6,KX6,LT6,MP6,NL6)-IF(O6="",0,O6)&gt;0.001,MAX(ED6,EZ6,FV6,GR6,HN6,IJ6,JF6,KB6,KX6,LT6,MP6,NL6)-IF(O6="",0,O6),"")</f>
        <v/>
      </c>
      <c r="DJ6" s="18"/>
      <c r="DK6" s="18"/>
      <c r="DL6" s="18"/>
      <c r="DM6" s="18"/>
      <c r="DN6" s="18"/>
      <c r="DO6" s="18"/>
      <c r="DP6" s="18"/>
      <c r="DQ6" s="18"/>
      <c r="DR6" s="18"/>
      <c r="DS6" s="18"/>
      <c r="DT6" s="18"/>
      <c r="DU6" s="18"/>
      <c r="DV6" s="18"/>
      <c r="DW6" s="18"/>
      <c r="DX6" s="18"/>
      <c r="DY6" s="7" t="str">
        <f>IF(DQ6&gt;0,DQ6,"")</f>
        <v/>
      </c>
      <c r="DZ6" s="7" t="str">
        <f>IF(SUM(DJ6:DM6)-DN6&gt;0,SUM(DJ6:DM6)-DN6,"")</f>
        <v/>
      </c>
      <c r="EA6" s="7" t="str">
        <f>IF(SUM(DO6:DR6)-DS6&gt;0,SUM(DO6:DR6)-DS6,"")</f>
        <v/>
      </c>
      <c r="EB6" s="7" t="str">
        <f>IF(SUM(DZ6:EA6)&gt;0,SUM(DZ6:EA6),"")</f>
        <v/>
      </c>
      <c r="EC6" s="7" t="str">
        <f>IF(DV6&gt;0,DV6,"")</f>
        <v/>
      </c>
      <c r="ED6" s="7" t="str">
        <f>IF(SUM(DT6:DW6)-DX6&gt;0,SUM(DT6:DW6)-DX6,"")</f>
        <v/>
      </c>
      <c r="EE6" s="7" t="str">
        <f>IF(SUM(EB6,ED6)&gt;0,SUM(EB6,ED6),"")</f>
        <v/>
      </c>
      <c r="EF6" s="19"/>
      <c r="EG6" s="19"/>
      <c r="EH6" s="19"/>
      <c r="EI6" s="19"/>
      <c r="EJ6" s="19"/>
      <c r="EK6" s="19"/>
      <c r="EL6" s="19"/>
      <c r="EM6" s="19"/>
      <c r="EN6" s="19"/>
      <c r="EO6" s="19"/>
      <c r="EP6" s="19"/>
      <c r="EQ6" s="19"/>
      <c r="ER6" s="19"/>
      <c r="ES6" s="19"/>
      <c r="ET6" s="19"/>
      <c r="EU6" s="9" t="str">
        <f>IF(EM6&gt;0,EM6,"")</f>
        <v/>
      </c>
      <c r="EV6" s="9" t="str">
        <f>IF(SUM(EF6:EI6)-EJ6&gt;0,SUM(EF6:EI6)-EJ6,"")</f>
        <v/>
      </c>
      <c r="EW6" s="9" t="str">
        <f>IF(SUM(EK6:EN6)-EO6&gt;0,SUM(EK6:EN6)-EO6,"")</f>
        <v/>
      </c>
      <c r="EX6" s="9" t="str">
        <f>IF(SUM(EV6:EW6)&gt;0,SUM(EV6:EW6),"")</f>
        <v/>
      </c>
      <c r="EY6" s="9" t="str">
        <f>IF(ER6&gt;0,ER6,"")</f>
        <v/>
      </c>
      <c r="EZ6" s="9" t="str">
        <f>IF(SUM(EP6:ES6)-ET6&gt;0,SUM(EP6:ES6)-ET6,"")</f>
        <v/>
      </c>
      <c r="FA6" s="9" t="str">
        <f>IF(SUM(EX6,EZ6)&gt;0,SUM(EX6,EZ6),"")</f>
        <v/>
      </c>
      <c r="FB6" s="18"/>
      <c r="FC6" s="18"/>
      <c r="FD6" s="18"/>
      <c r="FE6" s="18"/>
      <c r="FF6" s="18"/>
      <c r="FG6" s="18"/>
      <c r="FH6" s="18"/>
      <c r="FI6" s="18"/>
      <c r="FJ6" s="18"/>
      <c r="FK6" s="18"/>
      <c r="FL6" s="18"/>
      <c r="FM6" s="18"/>
      <c r="FN6" s="18"/>
      <c r="FO6" s="18"/>
      <c r="FP6" s="18"/>
      <c r="FQ6" s="7" t="str">
        <f>IF(FI6&gt;0,FI6,"")</f>
        <v/>
      </c>
      <c r="FR6" s="7" t="str">
        <f>IF(SUM(FB6:FE6)-FF6&gt;0,SUM(FB6:FE6)-FF6,"")</f>
        <v/>
      </c>
      <c r="FS6" s="7" t="str">
        <f>IF(SUM(FG6:FJ6)-FK6&gt;0,SUM(FG6:FJ6)-FK6,"")</f>
        <v/>
      </c>
      <c r="FT6" s="7" t="str">
        <f>IF(SUM(FR6:FS6)&gt;0,SUM(FR6:FS6),"")</f>
        <v/>
      </c>
      <c r="FU6" s="7" t="str">
        <f>IF(FN6&gt;0,FN6,"")</f>
        <v/>
      </c>
      <c r="FV6" s="7" t="str">
        <f>IF(SUM(FL6:FO6)-FP6&gt;0,SUM(FL6:FO6)-FP6,"")</f>
        <v/>
      </c>
      <c r="FW6" s="7" t="str">
        <f>IF(SUM(FT6,FV6)&gt;0,SUM(FT6,FV6),"")</f>
        <v/>
      </c>
      <c r="FX6" s="19">
        <v>14.8</v>
      </c>
      <c r="FY6" s="19">
        <v>9.5</v>
      </c>
      <c r="FZ6" s="19">
        <v>0</v>
      </c>
      <c r="GA6" s="19">
        <v>14.73</v>
      </c>
      <c r="GB6" s="19">
        <v>0</v>
      </c>
      <c r="GC6" s="19">
        <v>14</v>
      </c>
      <c r="GD6" s="19">
        <v>9.3000000000000007</v>
      </c>
      <c r="GE6" s="19">
        <v>10.5</v>
      </c>
      <c r="GF6" s="19">
        <v>14.13</v>
      </c>
      <c r="GG6" s="19">
        <v>0</v>
      </c>
      <c r="GH6" s="19"/>
      <c r="GI6" s="19"/>
      <c r="GJ6" s="19"/>
      <c r="GK6" s="19"/>
      <c r="GL6" s="19"/>
      <c r="GM6" s="9">
        <f>IF(GE6&gt;0,GE6,"")</f>
        <v>10.5</v>
      </c>
      <c r="GN6" s="9">
        <f>IF(SUM(FX6:GA6)-GB6&gt;0,SUM(FX6:GA6)-GB6,"")</f>
        <v>39.03</v>
      </c>
      <c r="GO6" s="9">
        <f>IF(SUM(GC6:GF6)-GG6&gt;0,SUM(GC6:GF6)-GG6,"")</f>
        <v>47.93</v>
      </c>
      <c r="GP6" s="9">
        <f>IF(SUM(GN6:GO6)&gt;0,SUM(GN6:GO6),"")</f>
        <v>86.960000000000008</v>
      </c>
      <c r="GQ6" s="9" t="str">
        <f>IF(GJ6&gt;0,GJ6,"")</f>
        <v/>
      </c>
      <c r="GR6" s="9" t="str">
        <f>IF(SUM(GH6:GK6)-GL6&gt;0,SUM(GH6:GK6)-GL6,"")</f>
        <v/>
      </c>
      <c r="GS6" s="9">
        <f>IF(SUM(GP6,GR6)&gt;0,SUM(GP6,GR6),"")</f>
        <v>86.960000000000008</v>
      </c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7" t="str">
        <f>IF(HA6&gt;0,HA6,"")</f>
        <v/>
      </c>
      <c r="HJ6" s="7" t="str">
        <f>IF(SUM(GT6:GW6)-GX6&gt;0,SUM(GT6:GW6)-GX6,"")</f>
        <v/>
      </c>
      <c r="HK6" s="7" t="str">
        <f>IF(SUM(GY6:HB6)-HC6&gt;0,SUM(GY6:HB6)-HC6,"")</f>
        <v/>
      </c>
      <c r="HL6" s="7" t="str">
        <f>IF(SUM(HJ6:HK6)&gt;0,SUM(HJ6:HK6),"")</f>
        <v/>
      </c>
      <c r="HM6" s="7" t="str">
        <f>IF(HF6&gt;0,HF6,"")</f>
        <v/>
      </c>
      <c r="HN6" s="7" t="str">
        <f>IF(SUM(HD6:HG6)-HH6&gt;0,SUM(HD6:HG6)-HH6,"")</f>
        <v/>
      </c>
      <c r="HO6" s="7" t="str">
        <f>IF(SUM(HL6,HN6)&gt;0,SUM(HL6,HN6),"")</f>
        <v/>
      </c>
      <c r="HP6" s="19"/>
      <c r="HQ6" s="19"/>
      <c r="HR6" s="19"/>
      <c r="HS6" s="19"/>
      <c r="HT6" s="19"/>
      <c r="HU6" s="19"/>
      <c r="HV6" s="19"/>
      <c r="HW6" s="19"/>
      <c r="HX6" s="19"/>
      <c r="HY6" s="19"/>
      <c r="HZ6" s="19"/>
      <c r="IA6" s="19"/>
      <c r="IB6" s="19"/>
      <c r="IC6" s="19"/>
      <c r="ID6" s="19"/>
      <c r="IE6" s="9" t="str">
        <f>IF(HW6&gt;0,HW6,"")</f>
        <v/>
      </c>
      <c r="IF6" s="9" t="str">
        <f>IF(SUM(HP6:HS6)-HT6&gt;0,SUM(HP6:HS6)-HT6,"")</f>
        <v/>
      </c>
      <c r="IG6" s="9" t="str">
        <f>IF(SUM(HU6:HX6)-HY6&gt;0,SUM(HU6:HX6)-HY6,"")</f>
        <v/>
      </c>
      <c r="IH6" s="9" t="str">
        <f>IF(SUM(IF6:IG6)&gt;0,SUM(IF6:IG6),"")</f>
        <v/>
      </c>
      <c r="II6" s="9" t="str">
        <f>IF(IB6&gt;0,IB6,"")</f>
        <v/>
      </c>
      <c r="IJ6" s="9" t="str">
        <f>IF(SUM(HZ6:IC6)-ID6&gt;0,SUM(HZ6:IC6)-ID6,"")</f>
        <v/>
      </c>
      <c r="IK6" s="9" t="str">
        <f>IF(SUM(IH6,IJ6)&gt;0,SUM(IH6,IJ6),"")</f>
        <v/>
      </c>
      <c r="IL6" s="18"/>
      <c r="IM6" s="18"/>
      <c r="IN6" s="18"/>
      <c r="IO6" s="18"/>
      <c r="IP6" s="18"/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7" t="str">
        <f>IF(IS6&gt;0,IS6,"")</f>
        <v/>
      </c>
      <c r="JB6" s="7" t="str">
        <f>IF(SUM(IL6:IO6)-IP6&gt;0,SUM(IL6:IO6)-IP6,"")</f>
        <v/>
      </c>
      <c r="JC6" s="7" t="str">
        <f>IF(SUM(IQ6:IT6)-IU6&gt;0,SUM(IQ6:IT6)-IU6,"")</f>
        <v/>
      </c>
      <c r="JD6" s="7" t="str">
        <f>IF(SUM(JB6:JC6)&gt;0,SUM(JB6:JC6),"")</f>
        <v/>
      </c>
      <c r="JE6" s="7" t="str">
        <f>IF(IX6&gt;0,IX6,"")</f>
        <v/>
      </c>
      <c r="JF6" s="7" t="str">
        <f>IF(SUM(IV6:IY6)-IZ6&gt;0,SUM(IV6:IY6)-IZ6,"")</f>
        <v/>
      </c>
      <c r="JG6" s="7" t="str">
        <f>IF(SUM(JD6,JF6)&gt;0,SUM(JD6,JF6),"")</f>
        <v/>
      </c>
      <c r="JH6" s="19"/>
      <c r="JI6" s="19"/>
      <c r="JJ6" s="19"/>
      <c r="JK6" s="19"/>
      <c r="JL6" s="19"/>
      <c r="JM6" s="19"/>
      <c r="JN6" s="19"/>
      <c r="JO6" s="19"/>
      <c r="JP6" s="19"/>
      <c r="JQ6" s="19"/>
      <c r="JR6" s="19"/>
      <c r="JS6" s="19"/>
      <c r="JT6" s="19"/>
      <c r="JU6" s="19"/>
      <c r="JV6" s="19"/>
      <c r="JW6" s="9" t="str">
        <f>IF(JO6&gt;0,JO6,"")</f>
        <v/>
      </c>
      <c r="JX6" s="9" t="str">
        <f>IF(SUM(JH6:JK6)-JL6&gt;0,SUM(JH6:JK6)-JL6,"")</f>
        <v/>
      </c>
      <c r="JY6" s="9" t="str">
        <f>IF(SUM(JM6:JP6)-JQ6&gt;0,SUM(JM6:JP6)-JQ6,"")</f>
        <v/>
      </c>
      <c r="JZ6" s="9" t="str">
        <f>IF(SUM(JX6:JY6)&gt;0,SUM(JX6:JY6),"")</f>
        <v/>
      </c>
      <c r="KA6" s="9" t="str">
        <f>IF(JT6&gt;0,JT6,"")</f>
        <v/>
      </c>
      <c r="KB6" s="9" t="str">
        <f>IF(SUM(JR6:JU6)-JV6&gt;0,SUM(JR6:JU6)-JV6,"")</f>
        <v/>
      </c>
      <c r="KC6" s="9" t="str">
        <f>IF(SUM(JZ6,KB6)&gt;0,SUM(JZ6,KB6),"")</f>
        <v/>
      </c>
      <c r="KD6" s="18"/>
      <c r="KE6" s="18"/>
      <c r="KF6" s="18"/>
      <c r="KG6" s="18"/>
      <c r="KH6" s="18"/>
      <c r="KI6" s="18"/>
      <c r="KJ6" s="18"/>
      <c r="KK6" s="18"/>
      <c r="KL6" s="18"/>
      <c r="KM6" s="18"/>
      <c r="KN6" s="18"/>
      <c r="KO6" s="18"/>
      <c r="KP6" s="18"/>
      <c r="KQ6" s="18"/>
      <c r="KR6" s="18"/>
      <c r="KS6" s="7" t="str">
        <f>IF(KK6&gt;0,KK6,"")</f>
        <v/>
      </c>
      <c r="KT6" s="7" t="str">
        <f>IF(SUM(KD6:KG6)-KH6&gt;0,SUM(KD6:KG6)-KH6,"")</f>
        <v/>
      </c>
      <c r="KU6" s="7" t="str">
        <f>IF(SUM(KI6:KL6)-KM6&gt;0,SUM(KI6:KL6)-KM6,"")</f>
        <v/>
      </c>
      <c r="KV6" s="7" t="str">
        <f>IF(SUM(KT6:KU6)&gt;0,SUM(KT6:KU6),"")</f>
        <v/>
      </c>
      <c r="KW6" s="7" t="str">
        <f>IF(KP6&gt;0,KP6,"")</f>
        <v/>
      </c>
      <c r="KX6" s="7" t="str">
        <f>IF(SUM(KN6:KQ6)-KR6&gt;0,SUM(KN6:KQ6)-KR6,"")</f>
        <v/>
      </c>
      <c r="KY6" s="7" t="str">
        <f>IF(SUM(KV6,KX6)&gt;0,SUM(KV6,KX6),"")</f>
        <v/>
      </c>
      <c r="KZ6" s="19"/>
      <c r="LA6" s="19"/>
      <c r="LB6" s="19"/>
      <c r="LC6" s="19"/>
      <c r="LD6" s="19"/>
      <c r="LE6" s="19"/>
      <c r="LF6" s="19"/>
      <c r="LG6" s="19"/>
      <c r="LH6" s="19"/>
      <c r="LI6" s="19"/>
      <c r="LJ6" s="19"/>
      <c r="LK6" s="19"/>
      <c r="LL6" s="19"/>
      <c r="LM6" s="19"/>
      <c r="LN6" s="19"/>
      <c r="LO6" s="9" t="str">
        <f>IF(LG6&gt;0,LG6,"")</f>
        <v/>
      </c>
      <c r="LP6" s="9" t="str">
        <f>IF(SUM(KZ6:LC6)-LD6&gt;0,SUM(KZ6:LC6)-LD6,"")</f>
        <v/>
      </c>
      <c r="LQ6" s="9" t="str">
        <f>IF(SUM(LE6:LH6)-LI6&gt;0,SUM(LE6:LH6)-LI6,"")</f>
        <v/>
      </c>
      <c r="LR6" s="9" t="str">
        <f>IF(SUM(LP6:LQ6)&gt;0,SUM(LP6:LQ6),"")</f>
        <v/>
      </c>
      <c r="LS6" s="9" t="str">
        <f>IF(LL6&gt;0,LL6,"")</f>
        <v/>
      </c>
      <c r="LT6" s="9" t="str">
        <f>IF(SUM(LJ6:LM6)-LN6&gt;0,SUM(LJ6:LM6)-LN6,"")</f>
        <v/>
      </c>
      <c r="LU6" s="9" t="str">
        <f>IF(SUM(LR6,LT6)&gt;0,SUM(LR6,LT6),"")</f>
        <v/>
      </c>
      <c r="LV6" s="18"/>
      <c r="LW6" s="18"/>
      <c r="LX6" s="18"/>
      <c r="LY6" s="18"/>
      <c r="LZ6" s="18"/>
      <c r="MA6" s="18"/>
      <c r="MB6" s="18"/>
      <c r="MC6" s="18"/>
      <c r="MD6" s="18"/>
      <c r="ME6" s="18"/>
      <c r="MF6" s="18"/>
      <c r="MG6" s="18"/>
      <c r="MH6" s="18"/>
      <c r="MI6" s="18"/>
      <c r="MJ6" s="18"/>
      <c r="MK6" s="7" t="str">
        <f>IF(MC6&gt;0,MC6,"")</f>
        <v/>
      </c>
      <c r="ML6" s="7" t="str">
        <f>IF(SUM(LV6:LY6)-LZ6&gt;0,SUM(LV6:LY6)-LZ6,"")</f>
        <v/>
      </c>
      <c r="MM6" s="7" t="str">
        <f>IF(SUM(MA6:MD6)-ME6&gt;0,SUM(MA6:MD6)-ME6,"")</f>
        <v/>
      </c>
      <c r="MN6" s="7" t="str">
        <f>IF(SUM(ML6:MM6)&gt;0,SUM(ML6:MM6),"")</f>
        <v/>
      </c>
      <c r="MO6" s="7" t="str">
        <f>IF(MH6&gt;0,MH6,"")</f>
        <v/>
      </c>
      <c r="MP6" s="7" t="str">
        <f>IF(SUM(MF6:MI6)-MJ6&gt;0,SUM(MF6:MI6)-MJ6,"")</f>
        <v/>
      </c>
      <c r="MQ6" s="7" t="str">
        <f>IF(SUM(MN6,MP6)&gt;0,SUM(MN6,MP6),"")</f>
        <v/>
      </c>
      <c r="MR6" s="19"/>
      <c r="MS6" s="19"/>
      <c r="MT6" s="19"/>
      <c r="MU6" s="19"/>
      <c r="MV6" s="19"/>
      <c r="MW6" s="19"/>
      <c r="MX6" s="19"/>
      <c r="MY6" s="19"/>
      <c r="MZ6" s="19"/>
      <c r="NA6" s="19"/>
      <c r="NB6" s="19"/>
      <c r="NC6" s="19"/>
      <c r="ND6" s="19"/>
      <c r="NE6" s="19"/>
      <c r="NF6" s="19"/>
      <c r="NG6" s="9" t="str">
        <f>IF(MY6&gt;0,MY6,"")</f>
        <v/>
      </c>
      <c r="NH6" s="9" t="str">
        <f>IF(SUM(MR6:MU6)-MV6&gt;0,SUM(MR6:MU6)-MV6,"")</f>
        <v/>
      </c>
      <c r="NI6" s="9" t="str">
        <f>IF(SUM(MW6:MZ6)-NA6&gt;0,SUM(MW6:MZ6)-NA6,"")</f>
        <v/>
      </c>
      <c r="NJ6" s="9" t="str">
        <f>IF(SUM(NH6:NI6)&gt;0,SUM(NH6:NI6),"")</f>
        <v/>
      </c>
      <c r="NK6" s="9" t="str">
        <f>IF(ND6&gt;0,ND6,"")</f>
        <v/>
      </c>
      <c r="NL6" s="9" t="str">
        <f>IF(SUM(NB6:NE6)-NF6&gt;0,SUM(NB6:NE6)-NF6,"")</f>
        <v/>
      </c>
      <c r="NM6" s="9" t="str">
        <f>IF(SUM(NJ6,NL6)&gt;0,SUM(NJ6,NL6),"")</f>
        <v/>
      </c>
      <c r="NN6" s="27">
        <f>IF($CV6="P",CB6,(CB6+AX6)/2)</f>
        <v>16.899999999999999</v>
      </c>
      <c r="NO6" s="27">
        <f>IF($CV6="P",CC6,(CC6+AY6)/2)</f>
        <v>9.1999999999999993</v>
      </c>
      <c r="NP6" s="27">
        <f>IF($CV6="P",CD6,(CD6+AZ6)/2)</f>
        <v>0</v>
      </c>
      <c r="NQ6" s="27">
        <f>IF($CV6="P",CE6,(CE6+BA6)/2)</f>
        <v>14.785</v>
      </c>
      <c r="NR6" s="27">
        <f>IF($CV6="P",CF6,(CF6+BB6)/2)</f>
        <v>0</v>
      </c>
      <c r="NS6" s="27">
        <f>IF($CV6="P",CG6,(CG6+BC6)/2)</f>
        <v>12.95</v>
      </c>
      <c r="NT6" s="27">
        <f>IF($CV6="P",CH6,(CH6+BD6)/2)</f>
        <v>8.1999999999999993</v>
      </c>
      <c r="NU6" s="27">
        <f>IF($CV6="P",CI6,(CI6+BE6)/2)</f>
        <v>7.75</v>
      </c>
      <c r="NV6" s="27">
        <f>IF($CV6="P",CJ6,(CJ6+BF6)/2)</f>
        <v>13.170000000000002</v>
      </c>
      <c r="NW6" s="27">
        <f>IF($CV6="P",CK6,(CK6+BG6)/2)</f>
        <v>0</v>
      </c>
      <c r="NX6" s="27">
        <f>IF($CV6="P",CL6,(CL6+BH6)/2)</f>
        <v>0</v>
      </c>
      <c r="NY6" s="27">
        <f>IF($CV6="P",CM6,(CM6+BI6)/2)</f>
        <v>0</v>
      </c>
      <c r="NZ6" s="27">
        <f>IF($CV6="P",CN6,(CN6+BJ6)/2)</f>
        <v>0</v>
      </c>
      <c r="OA6" s="27">
        <f>IF($CV6="P",CO6,(CO6+BK6)/2)</f>
        <v>0</v>
      </c>
      <c r="OB6" s="27">
        <f>IF($CV6="P",CP6,(CP6+BL6)/2)</f>
        <v>0</v>
      </c>
      <c r="OC6" s="27">
        <f>IF($CV6="P",CQ6,(CQ6+BM6)/2)</f>
        <v>14.850000000000001</v>
      </c>
      <c r="OD6" s="27">
        <f>IF($CV6="P",CR6,(CR6+BN6)/2)</f>
        <v>9.1</v>
      </c>
      <c r="OE6" s="27">
        <f>IF($CV6="P",CS6,(CS6+BO6)/2)</f>
        <v>10</v>
      </c>
      <c r="OF6" s="27">
        <f>IF($CV6="P",CT6,(CT6+BP6)/2)</f>
        <v>14.305</v>
      </c>
      <c r="OG6" s="27">
        <f>IF($CV6="P",CU6,(CU6+BQ6)/2)</f>
        <v>0</v>
      </c>
      <c r="OH6" s="32" t="s">
        <v>44</v>
      </c>
      <c r="OI6" s="7">
        <f>IF(SUM(NN6:NQ6)-NR6&gt;0,SUM(NN6:NQ6)-NR6,"")</f>
        <v>40.884999999999998</v>
      </c>
      <c r="OJ6" s="7">
        <f>IF(NU6&gt;0,NU6,"")</f>
        <v>7.75</v>
      </c>
      <c r="OK6" s="7">
        <f>IF(SUM(NS6:NV6)-NW6&gt;0,SUM(NS6:NV6)-NW6,"")</f>
        <v>42.07</v>
      </c>
      <c r="OL6" s="7" t="str">
        <f>IF(NZ6&gt;0,NZ6,"")</f>
        <v/>
      </c>
      <c r="OM6" s="7" t="str">
        <f>IF(SUM(NX6:OA6)-OB6&gt;0,SUM(NX6:OA6)-OB6,"")</f>
        <v/>
      </c>
      <c r="ON6" s="7">
        <f>IF(OR(OI6&lt;&gt;"",OK6&lt;&gt;"",OM6&lt;&gt;""),OI6+MAX(OK6,OM6),"")</f>
        <v>82.954999999999998</v>
      </c>
      <c r="OO6" s="7">
        <f>IF(OE6&gt;0,OE6,"")</f>
        <v>10</v>
      </c>
      <c r="OP6" s="7">
        <f t="shared" ref="OP6" si="4">IF(SUM(OC6:OF6)-OG6&gt;0,SUM(OC6:OF6)-OG6,"")</f>
        <v>48.255000000000003</v>
      </c>
      <c r="OQ6" s="7">
        <f t="shared" ref="OQ6" si="5">IF(SUM(ON6,OP6)&gt;0,SUM(ON6,OP6),"")</f>
        <v>131.21</v>
      </c>
    </row>
    <row r="7" spans="1:407" x14ac:dyDescent="0.2">
      <c r="A7" s="4" t="str" cm="1">
        <f t="array" ref="A7">IF(AND(H7&lt;&gt;"",H7&lt;&gt;"No DD"),SUMPRODUCT((H$4:H$12&lt;&gt;"")*(H$4:H$12&lt;&gt;"No DD")*(E$4:E$12&gt;E7))+1,IF(H7="No DD",SUMPRODUCT((H$4:H$12="No DD")*(E$4:E$12&gt;E7))+1+SUMPRODUCT((H$4:H$12&lt;&gt;"")*(H$4:H$12&lt;&gt;"No DD")),""))</f>
        <v/>
      </c>
      <c r="B7" s="5" t="s">
        <v>89</v>
      </c>
      <c r="C7" s="4" t="s">
        <v>68</v>
      </c>
      <c r="D7" s="4">
        <v>2008</v>
      </c>
      <c r="E7" s="10">
        <f>SUM(I7:Q7)</f>
        <v>222.03</v>
      </c>
      <c r="F7" s="3" t="str">
        <f>IF(OR(AND(AP7&gt;=AW$14,AT7&gt;=AW$18,AO7&lt;&gt;"",AN7=""),AND(BT7&gt;=CA$14,BX7&gt;=CA$18,BS7&lt;&gt;"",BR7=""),AND(CX7&gt;=DE$14,DB7&gt;=DE$18,CW7&lt;&gt;"",CV7=""),AND(DY7&gt;=EE$14,EB7&gt;=EE$18,DY7&lt;&gt;""),AND(EU7&gt;=FA$14,EX7&gt;=FA$18,EU7&lt;&gt;""),AND(FQ7&gt;=FW$14,FT7&gt;=FW$18,FQ7&lt;&gt;""),AND(GM7&gt;=GS$14,GP7&gt;=GS$18,GM7&lt;&gt;""),AND(HI7&gt;=HO$14,HL7&gt;=HO$18,HI7&lt;&gt;""),AND(IE7&gt;=IK$14,IH7&gt;=IK$18,IE7&lt;&gt;""),AND(JA7&gt;=JG$14,JD7&gt;=JG$18,JA7&lt;&gt;""),AND(JW7&gt;=KC$14,JZ7&gt;=KC$18,JW7&lt;&gt;""),AND(KS7&gt;=KY$14,KV7&gt;=KY$18,KS7&lt;&gt;""),AND(LO7&gt;=LU$14,LR7&gt;=LU$18,LO7&lt;&gt;""),AND(MK7&gt;=MQ$14,MN7&gt;=MQ$18,MK7&lt;&gt;""),AND(NG7&gt;=NM$14,NJ7&gt;=NM$18,NG7&lt;&gt;"")),"P","")</f>
        <v/>
      </c>
      <c r="G7" s="3" t="str">
        <f>IF(OR(AND(AT7&gt;=AW$18,AO7&lt;&gt;"",AN7=""),AND(BX7&gt;=CA$18,BS7&lt;&gt;"",BR7=""),AND(DB7&gt;=DE$18,CW7&lt;&gt;"",CV7=""),AND(EB7&gt;=EE$18,DY7&lt;&gt;""),AND(EX7&gt;=FA$18,EU7&lt;&gt;""),AND(FT7&gt;=FW$18,FQ7&lt;&gt;""),AND(GP7&gt;=GS$18,GM7&lt;&gt;""),AND(HL7&gt;=HO$18,HI7&lt;&gt;""),AND(IH7&gt;=IK$18,IE7&lt;&gt;""),AND(JD7&gt;=JG$18,JA7&lt;&gt;""),AND(JZ7&gt;=KC$18,JW7&lt;&gt;""),AND(KV7&gt;=KY$18,KS7&lt;&gt;""),AND(LR7&gt;=LU$18,LO7&lt;&gt;""),AND(MN7&gt;=MQ$18,MK7&lt;&gt;""),AND(NJ7&gt;=NM$18,NG7&lt;&gt;"")),"P","")</f>
        <v/>
      </c>
      <c r="H7" s="47" t="str">
        <f>IF(OR(AND(AP7&gt;=AW$17,AQ7&gt;=AW$21,AP7&lt;&gt;"",AN7=""),AND(AU7&gt;=AW$17,AV7&gt;=AW$21,AU7&lt;&gt;"",AN7=""),AND(BT7&gt;=CA$17,BU7&gt;=CA$21,BT7&lt;&gt;"",BR7=""),AND(BY7&gt;=CA$17,BZ7&gt;=CA$21,BY7&lt;&gt;"",BR7=""),AND(CX7&gt;=DE$17,CY7&gt;=DE$21,CX7&lt;&gt;"",CV7=""),AND(DC7&gt;=DE$17,DD7&gt;=DE$21,DC7&lt;&gt;"",CV7=""),AND(DY7&gt;=EE$17,EA7&gt;=EE$21,DY7&lt;&gt;""),AND(EC7&gt;=EE$17,ED7&gt;=EE$21,EC7&lt;&gt;""),AND(EU7&gt;=FA$17,EW7&gt;=FA$21,EU7&lt;&gt;""),AND(EY7&gt;=FA$17,EZ7&gt;=FA$21,EY7&lt;&gt;""),AND(FQ7&gt;=FW$17,FS7&gt;=FW$21,FQ7&lt;&gt;""),AND(FU7&gt;=FW$17,FV7&gt;=FW$21,FU7&lt;&gt;""),AND(GM7&gt;=GS$17,GO7&gt;=GS$21,GM7&lt;&gt;""),AND(GQ7&gt;=GS$17,GR7&gt;=GS$21,GQ7&lt;&gt;""),AND(HI7&gt;=HO$17,HK7&gt;=HO$21,HI7&lt;&gt;""),AND(HM7&gt;=HO$17,HN7&gt;=HO$21,HM7&lt;&gt;""),AND(IE7&gt;=IK$17,IG7&gt;=IK$21,IE7&lt;&gt;""),AND(II7&gt;=IK$17,IJ7&gt;=IK$21,II7&lt;&gt;""),AND(JA7&gt;=JG$17,JC7&gt;=JG$21,JA7&lt;&gt;""),AND(JE7&gt;=JG$17,JF7&gt;=JG$21,JE7&lt;&gt;""),AND(JW7&gt;=KC$17,JY7&gt;=KC$21,JW7&lt;&gt;""),AND(KA7&gt;=KC$17,KB7&gt;=KC$21,KA7&lt;&gt;""),AND(KS7&gt;=KY$17,KU7&gt;=KY$21,KS7&lt;&gt;""),AND(KW7&gt;=KY$17,KX7&gt;=KY$21,KW7&lt;&gt;""),AND(LO7&gt;=LU$17,LQ7&gt;=LU$21,LO7&lt;&gt;""),AND(LS7&gt;=LU$17,LT7&gt;=LU$21,LS7&lt;&gt;""),AND(MK7&gt;=MQ$17,MM7&gt;=MQ$21,MK7&lt;&gt;""),AND(MO7&gt;=MQ$17,MP7&gt;=MQ$21,MO7&lt;&gt;""),AND(NG7&gt;=NM$17,NI7&gt;=NM$21,NG7&lt;&gt;""),AND(NK7&gt;=NM$17,NL7&gt;=NM$21,NK7&lt;&gt;"")),"Merit",IF(OR(AND(AP7&gt;=AW$16,AT7&gt;=AW$20,AO7&lt;&gt;"",AN7=""),AND(BT7&gt;=CA$16,BX7&gt;=CA$20,BS7&lt;&gt;"",BR7=""),AND(CX7&gt;=DE$16,DB7&gt;=DE$20,CW7&lt;&gt;"",CV7=""),AND(DY7&gt;=EE$16,EB7&gt;=EE$20,DY7&lt;&gt;""),AND(EU7&gt;=FA$16,EX7&gt;=FA$20,EU7&lt;&gt;""),AND(FQ7&gt;=FW$16,FT7&gt;=FW$20,FQ7&lt;&gt;""),AND(GM7&gt;=GS$16,GP7&gt;=GS$20,GM7&lt;&gt;""),AND(HI7&gt;=HO$16,HL7&gt;=HO$20,HI7&lt;&gt;""),AND(IE7&gt;=IK$16,IH7&gt;=IK$20,IE7&lt;&gt;""),AND(JA7&gt;=JG$16,JD7&gt;=JG$20,JA7&lt;&gt;""),AND(JW7&gt;=KC$16,JZ7&gt;=KC$20,JW7&lt;&gt;""),AND(KS7&gt;=KY$16,KV7&gt;=KY$20,KS7&lt;&gt;""),AND(LO7&gt;=LU$16,LR7&gt;=LU$20,LO7&lt;&gt;""),AND(MK7&gt;=MQ$16,MN7&gt;=MQ$20,MK7&lt;&gt;""),AND(NG7&gt;=NM$16,NJ7&gt;=NM$20,NG7&lt;&gt;"")),"Excellence",IF(OR(AND(AP7&gt;=AW$14,AT7&gt;=AW$18,AO7&lt;&gt;"",AN7=""),AND(BT7&gt;=CA$14,BX7&gt;=CA$18,BS7&lt;&gt;"",BR7=""),AND(CX7&gt;=DE$14,DB7&gt;=DE$18,CW7&lt;&gt;"",CV7=""),AND(DY7&gt;=EE$14,EB7&gt;=EE$18,DY7&lt;&gt;""),AND(EU7&gt;=FA$14,EX7&gt;=FA$18,EU7&lt;&gt;""),AND(FQ7&gt;=FW$14,FT7&gt;=FW$18,FQ7&lt;&gt;""),AND(GM7&gt;=GS$14,GP7&gt;=GS$18,GM7&lt;&gt;""),AND(HI7&gt;=HO$14,HL7&gt;=HO$18,HI7&lt;&gt;""),AND(IE7&gt;=IK$14,IH7&gt;=IK$18,IE7&lt;&gt;""),AND(JA7&gt;=JG$14,JD7&gt;=JG$18,JA7&lt;&gt;""),AND(JW7&gt;=KC$14,JZ7&gt;=KC$18,JW7&lt;&gt;""),AND(KS7&gt;=KY$14,KV7&gt;=KY$18,KS7&lt;&gt;""),AND(LO7&gt;=LU$14,LR7&gt;=LU$18,LO7&lt;&gt;""),AND(MK7&gt;=MQ$14,MN7&gt;=MQ$18,MK7&lt;&gt;""),AND(NG7&gt;=NM$14,NJ7&gt;=NM$18,NG7&lt;&gt;"")),"National Team",IF(G7="P","No DD",""))))</f>
        <v/>
      </c>
      <c r="I7" s="9">
        <f>IF(MAX(AT7,BX7,DB7)&gt;0,MAX(AT7,BX7,DB7),0)</f>
        <v>87.240000000000009</v>
      </c>
      <c r="J7" s="9" t="str">
        <f>IF(I7=0,"",IF(I7=DB7,$CB$1,IF(I7=BX7,$AX$1,IF(I7=AT7,$T$1,""))))</f>
        <v>2023 Elite Canada</v>
      </c>
      <c r="K7" s="9">
        <f>IF($I7=$AT7,MAX(BS7,CW7),IF($I7=$BX7,MAX(AO7,CW7),IF($I7=$DB7,MAX(AO7,BS7),MAX(AO7,BS7,CW7))))</f>
        <v>40.68</v>
      </c>
      <c r="L7" s="9" t="str">
        <f>IF(K7=0,"",IF(AND(K7=CW7,$J7&lt;&gt;$CB$1),$CB$1,IF(AND(K7=BS7,$J7&lt;&gt;$AX$1),$AX$1,IF(AND(K7=AO7,$J7&lt;&gt;$T$1),$T$1,""))))</f>
        <v>2023 3rd Domestic Trial</v>
      </c>
      <c r="M7" s="9">
        <f>IF(I7-N(AO7)=AQ7,MAX(AS7,BU7,BW7,CY7,DA7),IF(I7-N(AO7)=AS7,MAX(AQ7,BU7,BW7,CY7,DA7),IF(I7-N(BS7)=BU7,MAX(AQ7,AS7,BW7,CY7,DA7),IF(I7-N(BS7)=BW7,MAX(AQ7,AS7,BU7,CY7,DA7),IF(I7-N(CW7)=CY7,MAX(AQ7,AS7,BU7,BW7,DA7),IF(I7-N(CW7)=DA7,MAX(AQ7,AS7,BU7,BW7,CY7),MAX(AQ7,AS7,BU7,BW7,CY7,DA7)))))))</f>
        <v>46.64</v>
      </c>
      <c r="N7" s="9" t="str">
        <f>IF(M7=0,"",IF(AND(OR(M7=DA7,M7=CY7),$J7&lt;&gt;$CB$1),$CB$1,IF(AND(OR(M7=BW7,M7=BU7),$J7&lt;&gt;$AX$1),$AX$1,IF(AND(OR(M7=AS7,M7=AQ7),$J7&lt;&gt;$T$1),$T$1,""))))</f>
        <v>2023 Nationals</v>
      </c>
      <c r="O7" s="9">
        <f>MAX(AV7,BZ7,DD7)</f>
        <v>47.47</v>
      </c>
      <c r="P7" s="9" t="str">
        <f>IF(O7=0,"",IF(O7=DD7,$CB$1,IF(O7=BZ7,$AX$1,IF(O7=AV7,$T$1,""))))</f>
        <v>2023 Elite Canada</v>
      </c>
      <c r="Q7" s="9" t="str">
        <f>IF(MAX(DF7,DG7,DH7,DI7)&gt;0,MAX(DF7,DG7,DH7,DI7),"")</f>
        <v/>
      </c>
      <c r="R7" s="14" t="str">
        <f>IF(Q7="","",IF(Q7=DF7,"(Vol 1)",IF(Q7=DG7,"(Vol 2)",IF(Q7=DH7,"(Prelim)",IF(Q7=DI7,"(Final)")))))</f>
        <v/>
      </c>
      <c r="S7" s="9" t="str">
        <f>IF(Q7="","",IF(Q7=DF7,IF(Q7+IF(K7="",0,K7)=NH7,$MR$1,IF(Q7+IF(K7="",0,K7)=ML7,$LV$1,IF(Q7+IF(K7="",0,K7)=LP7,$KZ$1,IF(Q7+IF(K7="",0,K7)=KT7,$KD$1,IF(Q7+IF(K7="",0,K7)=JX7,$JH$1,IF(Q7+IF(K7="",0,K7)=JB7,$IL$1,IF(Q7+IF(K7="",0,K7)=IF7,$HP$1,IF(Q7+IF(K7="",0,K7)=HJ7,$GT$1,IF(Q7+IF(K7="",0,K7)=GN7,$FX$1,IF(Q7+IF(K7="",0,K7)=FR7,$FB$1,IF(Q7+IF(K7="",0,K7)=EV7,$EF$1,IF(Q7+IF(K7="",0,K7)=DZ7,$DJ$1)))))))))))),IF(Q7=DG7,IF(Q7+IF(M7="",0,M7)=NI7,$MR$1,IF(Q7+IF(M7="",0,M7)=MM7,$LV$1,IF(Q7+IF(M7="",0,M7)=LQ7,$KZ$1,IF(Q7+IF(M7="",0,M7)=KU7,$KD$1,IF(Q7+IF(M7="",0,M7)=JY7,$JH$1,IF(Q7+IF(M7="",0,M7)=JC7,$IL$1,IF(Q7+IF(M7="",0,M7)=IG7,$HP$1,IF(Q7+IF(M7="",0,M7)=HK7,$GT$1,IF(Q7+IF(M7="",0,M7)=GO7,$FX$1,IF(Q7+IF(M7="",0,M7)=FS7,$FB$1,IF(Q7+IF(M7="",0,M7)=EW7,$EF$1,IF(Q7+IF(M7="",0,M7)=EA7,$DJ$1)))))))))))),IF(Q7=DH7,IF(Q7+IF(I7="",0,I7)=NJ7,$MR$1,IF(Q7+IF(I7="",0,I7)=MN7,$LV$1,IF(Q7+IF(I7="",0,I7)=LR7,$KZ$1,IF(Q7+IF(I7="",0,I7)=KV7,$KD$1,IF(Q7+IF(I7="",0,I7)=JZ7,$JH$1,IF(Q7+IF(I7="",0,I7)=JD7,$IL$1,IF(Q7+IF(I7="",0,I7)=IH7,$HP$1,IF(Q7+IF(I7="",0,I7)=HL7,$GT$1,IF(Q7+IF(I7="",0,I7)=GP7,$FX$1,IF(Q7+IF(I7="",0,I7)=FT7,$FB$1,IF(Q7+IF(I7="",0,I7)=EX7,$EF$1,IF(Q7+IF(I7="",0,I7)=EB7,$DJ$1)))))))))))),IF(Q7=DI7,IF(Q7+IF(O7="",0,O7)=NL7,$MR$1,IF(Q7+IF(O7="",0,O7)=MP7,$LV$1,IF(Q7+IF(O7="",0,O7)=LT7,$KZ$1,IF(Q7+IF(O7="",0,O7)=KX7,$KD$1,IF(Q7+IF(O7="",0,O7)=KB7,$JH$1,IF(Q7+IF(O7="",0,O7)=JF7,$IL$1,IF(Q7+IF(O7="",0,O7)=IJ7,$HP$1,IF(Q7+IF(O7="",0,O7)=HN7,$GT$1,IF(Q7+IF(O7="",0,O7)=GR7,$FX$1,IF(Q7+IF(O7="",0,O7)=FV7,$FB$1,IF(Q7+IF(O7="",0,O7)=EZ7,$EF$1,IF(Q7+IF(O7="",0,O7)=ED7,$DJ$1)))))))))))))))))</f>
        <v/>
      </c>
      <c r="T7" s="27">
        <v>16.899999999999999</v>
      </c>
      <c r="U7" s="27">
        <v>9.6</v>
      </c>
      <c r="V7" s="27">
        <v>0</v>
      </c>
      <c r="W7" s="27">
        <v>13.75</v>
      </c>
      <c r="X7" s="27">
        <v>0</v>
      </c>
      <c r="Y7" s="27">
        <v>14.6</v>
      </c>
      <c r="Z7" s="27">
        <v>9</v>
      </c>
      <c r="AA7" s="27">
        <v>10</v>
      </c>
      <c r="AB7" s="27">
        <v>13.39</v>
      </c>
      <c r="AC7" s="27">
        <v>0</v>
      </c>
      <c r="AD7" s="27"/>
      <c r="AE7" s="27"/>
      <c r="AF7" s="27"/>
      <c r="AG7" s="27"/>
      <c r="AH7" s="27"/>
      <c r="AI7" s="27">
        <v>14.8</v>
      </c>
      <c r="AJ7" s="27">
        <v>9.1999999999999993</v>
      </c>
      <c r="AK7" s="27">
        <v>10</v>
      </c>
      <c r="AL7" s="27">
        <v>13.47</v>
      </c>
      <c r="AM7" s="27">
        <v>0</v>
      </c>
      <c r="AN7" s="32"/>
      <c r="AO7" s="7">
        <f>IF(SUM(T7:W7)-X7&gt;0,SUM(T7:W7)-X7,"")</f>
        <v>40.25</v>
      </c>
      <c r="AP7" s="7">
        <f>IF(AA7&gt;0,AA7,"")</f>
        <v>10</v>
      </c>
      <c r="AQ7" s="7">
        <f>IF(SUM(Y7:AB7)-AC7&gt;0,SUM(Y7:AB7)-AC7,"")</f>
        <v>46.99</v>
      </c>
      <c r="AR7" s="7" t="str">
        <f>IF(AF7&gt;0,AF7,"")</f>
        <v/>
      </c>
      <c r="AS7" s="7" t="str">
        <f>IF(SUM(AD7:AG7)-AH7&gt;0,SUM(AD7:AG7)-AH7,"")</f>
        <v/>
      </c>
      <c r="AT7" s="7">
        <f>IF(AO7="",IF(MAX(AQ7,AS7)&gt;0,MAX(AQ7,AS7),""),MAX(AQ7,AS7)+AO7)</f>
        <v>87.240000000000009</v>
      </c>
      <c r="AU7" s="7">
        <f>IF(AK7&gt;0,AK7,"")</f>
        <v>10</v>
      </c>
      <c r="AV7" s="7">
        <f>IF(SUM(AI7:AL7)-AM7&gt;0,SUM(AI7:AL7)-AM7,"")</f>
        <v>47.47</v>
      </c>
      <c r="AW7" s="7">
        <f>IF(SUM(AT7,AV7)&gt;0,SUM(AT7,AV7),"")</f>
        <v>134.71</v>
      </c>
      <c r="AX7" s="31">
        <v>16.3</v>
      </c>
      <c r="AY7" s="31">
        <v>9.5</v>
      </c>
      <c r="AZ7" s="31">
        <v>0</v>
      </c>
      <c r="BA7" s="31">
        <v>13.98</v>
      </c>
      <c r="BB7" s="31">
        <v>0</v>
      </c>
      <c r="BC7" s="31">
        <v>13.1</v>
      </c>
      <c r="BD7" s="31">
        <v>9.3000000000000007</v>
      </c>
      <c r="BE7" s="31">
        <v>11</v>
      </c>
      <c r="BF7" s="31">
        <v>13.24</v>
      </c>
      <c r="BG7" s="31">
        <v>0</v>
      </c>
      <c r="BH7" s="31"/>
      <c r="BI7" s="31"/>
      <c r="BJ7" s="31"/>
      <c r="BK7" s="31"/>
      <c r="BL7" s="31"/>
      <c r="BM7" s="31">
        <v>1.5</v>
      </c>
      <c r="BN7" s="31">
        <v>1</v>
      </c>
      <c r="BO7" s="31">
        <v>1.5</v>
      </c>
      <c r="BP7" s="31">
        <v>1.37</v>
      </c>
      <c r="BQ7" s="31">
        <v>0</v>
      </c>
      <c r="BR7" s="33"/>
      <c r="BS7" s="9">
        <f>IF(SUM(AX7:BA7)-BB7&gt;0,SUM(AX7:BA7)-BB7,"")</f>
        <v>39.78</v>
      </c>
      <c r="BT7" s="9">
        <f>IF(BE7&gt;0,BE7,"")</f>
        <v>11</v>
      </c>
      <c r="BU7" s="9">
        <f>IF(SUM(BC7:BF7)-BG7&gt;0,SUM(BC7:BF7)-BG7,"")</f>
        <v>46.64</v>
      </c>
      <c r="BV7" s="9" t="str">
        <f>IF(BJ7&gt;0,BJ7,"")</f>
        <v/>
      </c>
      <c r="BW7" s="9" t="str">
        <f>IF(SUM(BH7:BK7)-BL7&gt;0,SUM(BH7:BK7)-BL7,"")</f>
        <v/>
      </c>
      <c r="BX7" s="9">
        <f>IF(BS7="",IF(MAX(BU7,BW7)&gt;0,MAX(BU7,BW7),""),MAX(BU7,BW7)+BS7)</f>
        <v>86.42</v>
      </c>
      <c r="BY7" s="9">
        <f>IF(BO7&gt;0,BO7,"")</f>
        <v>1.5</v>
      </c>
      <c r="BZ7" s="9">
        <f>IF(SUM(BM7:BP7)-BQ7&gt;0,SUM(BM7:BP7)-BQ7,"")</f>
        <v>5.37</v>
      </c>
      <c r="CA7" s="9">
        <f>IF(SUM(BX7,BZ7)&gt;0,SUM(BX7,BZ7),"")</f>
        <v>91.79</v>
      </c>
      <c r="CB7" s="27">
        <v>17</v>
      </c>
      <c r="CC7" s="27">
        <v>9.3000000000000007</v>
      </c>
      <c r="CD7" s="27">
        <v>0</v>
      </c>
      <c r="CE7" s="27">
        <v>14.38</v>
      </c>
      <c r="CF7" s="27">
        <v>0</v>
      </c>
      <c r="CG7" s="27">
        <v>2.7</v>
      </c>
      <c r="CH7" s="27">
        <v>1.7</v>
      </c>
      <c r="CI7" s="27">
        <v>2.5</v>
      </c>
      <c r="CJ7" s="27">
        <v>2.88</v>
      </c>
      <c r="CK7" s="27">
        <v>0</v>
      </c>
      <c r="CL7" s="27"/>
      <c r="CM7" s="27"/>
      <c r="CN7" s="27"/>
      <c r="CO7" s="27"/>
      <c r="CP7" s="27"/>
      <c r="CQ7" s="27"/>
      <c r="CR7" s="27"/>
      <c r="CS7" s="27"/>
      <c r="CT7" s="27"/>
      <c r="CU7" s="27"/>
      <c r="CV7" s="32"/>
      <c r="CW7" s="7">
        <f>IF(SUM(CB7:CE7)-CF7&gt;0,SUM(CB7:CE7)-CF7,"")</f>
        <v>40.68</v>
      </c>
      <c r="CX7" s="7">
        <f>IF(CI7&gt;0,CI7,"")</f>
        <v>2.5</v>
      </c>
      <c r="CY7" s="7">
        <f>IF(SUM(CG7:CJ7)-CK7&gt;0,SUM(CG7:CJ7)-CK7,"")</f>
        <v>9.7800000000000011</v>
      </c>
      <c r="CZ7" s="7" t="str">
        <f>IF(CN7&gt;0,CN7,"")</f>
        <v/>
      </c>
      <c r="DA7" s="7" t="str">
        <f>IF(SUM(CL7:CO7)-CP7&gt;0,SUM(CL7:CO7)-CP7,"")</f>
        <v/>
      </c>
      <c r="DB7" s="7">
        <f>IF(CW7="",IF(MAX(CY7,DA7)&gt;0,MAX(CY7,DA7),""),MAX(CY7,DA7)+CW7)</f>
        <v>50.46</v>
      </c>
      <c r="DC7" s="7" t="str">
        <f>IF(CS7&gt;0,CS7,"")</f>
        <v/>
      </c>
      <c r="DD7" s="7" t="str">
        <f>IF(SUM(CQ7:CT7)-CU7&gt;0,SUM(CQ7:CT7)-CU7,"")</f>
        <v/>
      </c>
      <c r="DE7" s="7">
        <f>IF(SUM(DB7,DD7)&gt;0,SUM(DB7,DD7),"")</f>
        <v>50.46</v>
      </c>
      <c r="DF7" s="13" t="str">
        <f>IF(MAX(DZ7,EV7,FR7,GN7,HJ7,IF7,JB7,JX7,KT7,LP7,ML7,NH7)-IF(K7="",0,K7)&gt;0.001,MAX(DZ7,EV7,FR7,GN7,HJ7,IF7,JB7,JX7,KT7,LP7,ML7,NH7)-IF(K7="",0,K7),"")</f>
        <v/>
      </c>
      <c r="DG7" s="13" t="str">
        <f>IF(MAX(EA7,EW7,FS7,GO7,HK7,IG7,JC7,JY7,KU7,LQ7,MM7,NI7)-IF(M7="",0,M7)&gt;0.001,MAX(EA7,EW7,FS7,GO7,HK7,IG7,JC7,JY7,KU7,LQ7,MM7,NI7)-IF(M7="",0,M7),"")</f>
        <v/>
      </c>
      <c r="DH7" s="13" t="str">
        <f>IF(MAX(EB7,EX7,FT7,GP7,HL7,IH7,JD7,JZ7,KV7,LR7,MN7,NJ7)-IF(I7="",0,I7)&gt;0.001,MAX(EB7,EX7,FT7,GP7,HL7,IH7,JD7,JZ7,KV7,LR7,MN7,NJ7)-IF(I7="",0,I7),"")</f>
        <v/>
      </c>
      <c r="DI7" s="13" t="str">
        <f>IF(MAX(ED7,EZ7,FV7,GR7,HN7,IJ7,JF7,KB7,KX7,LT7,MP7,NL7)-IF(O7="",0,O7)&gt;0.001,MAX(ED7,EZ7,FV7,GR7,HN7,IJ7,JF7,KB7,KX7,LT7,MP7,NL7)-IF(O7="",0,O7),"")</f>
        <v/>
      </c>
      <c r="DJ7" s="18"/>
      <c r="DK7" s="18"/>
      <c r="DL7" s="18"/>
      <c r="DM7" s="18"/>
      <c r="DN7" s="18"/>
      <c r="DO7" s="18"/>
      <c r="DP7" s="18"/>
      <c r="DQ7" s="18"/>
      <c r="DR7" s="18"/>
      <c r="DS7" s="18"/>
      <c r="DT7" s="18"/>
      <c r="DU7" s="18"/>
      <c r="DV7" s="18"/>
      <c r="DW7" s="18"/>
      <c r="DX7" s="18"/>
      <c r="DY7" s="7" t="str">
        <f>IF(DQ7&gt;0,DQ7,"")</f>
        <v/>
      </c>
      <c r="DZ7" s="7" t="str">
        <f>IF(SUM(DJ7:DM7)-DN7&gt;0,SUM(DJ7:DM7)-DN7,"")</f>
        <v/>
      </c>
      <c r="EA7" s="7" t="str">
        <f>IF(SUM(DO7:DR7)-DS7&gt;0,SUM(DO7:DR7)-DS7,"")</f>
        <v/>
      </c>
      <c r="EB7" s="7" t="str">
        <f>IF(SUM(DZ7:EA7)&gt;0,SUM(DZ7:EA7),"")</f>
        <v/>
      </c>
      <c r="EC7" s="7" t="str">
        <f>IF(DV7&gt;0,DV7,"")</f>
        <v/>
      </c>
      <c r="ED7" s="7" t="str">
        <f>IF(SUM(DT7:DW7)-DX7&gt;0,SUM(DT7:DW7)-DX7,"")</f>
        <v/>
      </c>
      <c r="EE7" s="7" t="str">
        <f>IF(SUM(EB7,ED7)&gt;0,SUM(EB7,ED7),"")</f>
        <v/>
      </c>
      <c r="EF7" s="19"/>
      <c r="EG7" s="19"/>
      <c r="EH7" s="19"/>
      <c r="EI7" s="19"/>
      <c r="EJ7" s="19"/>
      <c r="EK7" s="19"/>
      <c r="EL7" s="19"/>
      <c r="EM7" s="19"/>
      <c r="EN7" s="19"/>
      <c r="EO7" s="19"/>
      <c r="EP7" s="19"/>
      <c r="EQ7" s="19"/>
      <c r="ER7" s="19"/>
      <c r="ES7" s="19"/>
      <c r="ET7" s="19"/>
      <c r="EU7" s="9" t="str">
        <f>IF(EM7&gt;0,EM7,"")</f>
        <v/>
      </c>
      <c r="EV7" s="9" t="str">
        <f>IF(SUM(EF7:EI7)-EJ7&gt;0,SUM(EF7:EI7)-EJ7,"")</f>
        <v/>
      </c>
      <c r="EW7" s="9" t="str">
        <f>IF(SUM(EK7:EN7)-EO7&gt;0,SUM(EK7:EN7)-EO7,"")</f>
        <v/>
      </c>
      <c r="EX7" s="9" t="str">
        <f>IF(SUM(EV7:EW7)&gt;0,SUM(EV7:EW7),"")</f>
        <v/>
      </c>
      <c r="EY7" s="9" t="str">
        <f>IF(ER7&gt;0,ER7,"")</f>
        <v/>
      </c>
      <c r="EZ7" s="9" t="str">
        <f>IF(SUM(EP7:ES7)-ET7&gt;0,SUM(EP7:ES7)-ET7,"")</f>
        <v/>
      </c>
      <c r="FA7" s="9" t="str">
        <f>IF(SUM(EX7,EZ7)&gt;0,SUM(EX7,EZ7),"")</f>
        <v/>
      </c>
      <c r="FB7" s="18"/>
      <c r="FC7" s="18"/>
      <c r="FD7" s="18"/>
      <c r="FE7" s="18"/>
      <c r="FF7" s="18"/>
      <c r="FG7" s="18"/>
      <c r="FH7" s="18"/>
      <c r="FI7" s="18"/>
      <c r="FJ7" s="18"/>
      <c r="FK7" s="18"/>
      <c r="FL7" s="18"/>
      <c r="FM7" s="18"/>
      <c r="FN7" s="18"/>
      <c r="FO7" s="18"/>
      <c r="FP7" s="18"/>
      <c r="FQ7" s="7" t="str">
        <f>IF(FI7&gt;0,FI7,"")</f>
        <v/>
      </c>
      <c r="FR7" s="7" t="str">
        <f>IF(SUM(FB7:FE7)-FF7&gt;0,SUM(FB7:FE7)-FF7,"")</f>
        <v/>
      </c>
      <c r="FS7" s="7" t="str">
        <f>IF(SUM(FG7:FJ7)-FK7&gt;0,SUM(FG7:FJ7)-FK7,"")</f>
        <v/>
      </c>
      <c r="FT7" s="7" t="str">
        <f>IF(SUM(FR7:FS7)&gt;0,SUM(FR7:FS7),"")</f>
        <v/>
      </c>
      <c r="FU7" s="7" t="str">
        <f>IF(FN7&gt;0,FN7,"")</f>
        <v/>
      </c>
      <c r="FV7" s="7" t="str">
        <f>IF(SUM(FL7:FO7)-FP7&gt;0,SUM(FL7:FO7)-FP7,"")</f>
        <v/>
      </c>
      <c r="FW7" s="7" t="str">
        <f>IF(SUM(FT7,FV7)&gt;0,SUM(FT7,FV7),"")</f>
        <v/>
      </c>
      <c r="FX7" s="19">
        <v>16</v>
      </c>
      <c r="FY7" s="19">
        <v>9.4</v>
      </c>
      <c r="FZ7" s="19">
        <v>0</v>
      </c>
      <c r="GA7" s="19">
        <v>14.44</v>
      </c>
      <c r="GB7" s="19">
        <v>0</v>
      </c>
      <c r="GC7" s="19">
        <v>12.3</v>
      </c>
      <c r="GD7" s="19">
        <v>9.3000000000000007</v>
      </c>
      <c r="GE7" s="19">
        <v>10.199999999999999</v>
      </c>
      <c r="GF7" s="19">
        <v>14.11</v>
      </c>
      <c r="GG7" s="19">
        <v>0</v>
      </c>
      <c r="GH7" s="19"/>
      <c r="GI7" s="19"/>
      <c r="GJ7" s="19"/>
      <c r="GK7" s="19"/>
      <c r="GL7" s="19"/>
      <c r="GM7" s="9">
        <f>IF(GE7&gt;0,GE7,"")</f>
        <v>10.199999999999999</v>
      </c>
      <c r="GN7" s="9">
        <f>IF(SUM(FX7:GA7)-GB7&gt;0,SUM(FX7:GA7)-GB7,"")</f>
        <v>39.839999999999996</v>
      </c>
      <c r="GO7" s="9">
        <f>IF(SUM(GC7:GF7)-GG7&gt;0,SUM(GC7:GF7)-GG7,"")</f>
        <v>45.91</v>
      </c>
      <c r="GP7" s="9">
        <f>IF(SUM(GN7:GO7)&gt;0,SUM(GN7:GO7),"")</f>
        <v>85.75</v>
      </c>
      <c r="GQ7" s="9" t="str">
        <f>IF(GJ7&gt;0,GJ7,"")</f>
        <v/>
      </c>
      <c r="GR7" s="9" t="str">
        <f>IF(SUM(GH7:GK7)-GL7&gt;0,SUM(GH7:GK7)-GL7,"")</f>
        <v/>
      </c>
      <c r="GS7" s="9">
        <f>IF(SUM(GP7,GR7)&gt;0,SUM(GP7,GR7),"")</f>
        <v>85.75</v>
      </c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7" t="str">
        <f>IF(HA7&gt;0,HA7,"")</f>
        <v/>
      </c>
      <c r="HJ7" s="7" t="str">
        <f>IF(SUM(GT7:GW7)-GX7&gt;0,SUM(GT7:GW7)-GX7,"")</f>
        <v/>
      </c>
      <c r="HK7" s="7" t="str">
        <f>IF(SUM(GY7:HB7)-HC7&gt;0,SUM(GY7:HB7)-HC7,"")</f>
        <v/>
      </c>
      <c r="HL7" s="7" t="str">
        <f>IF(SUM(HJ7:HK7)&gt;0,SUM(HJ7:HK7),"")</f>
        <v/>
      </c>
      <c r="HM7" s="7" t="str">
        <f>IF(HF7&gt;0,HF7,"")</f>
        <v/>
      </c>
      <c r="HN7" s="7" t="str">
        <f>IF(SUM(HD7:HG7)-HH7&gt;0,SUM(HD7:HG7)-HH7,"")</f>
        <v/>
      </c>
      <c r="HO7" s="7" t="str">
        <f>IF(SUM(HL7,HN7)&gt;0,SUM(HL7,HN7),"")</f>
        <v/>
      </c>
      <c r="HP7" s="19"/>
      <c r="HQ7" s="19"/>
      <c r="HR7" s="19"/>
      <c r="HS7" s="19"/>
      <c r="HT7" s="19"/>
      <c r="HU7" s="19"/>
      <c r="HV7" s="19"/>
      <c r="HW7" s="19"/>
      <c r="HX7" s="19"/>
      <c r="HY7" s="19"/>
      <c r="HZ7" s="19"/>
      <c r="IA7" s="19"/>
      <c r="IB7" s="19"/>
      <c r="IC7" s="19"/>
      <c r="ID7" s="19"/>
      <c r="IE7" s="9" t="str">
        <f>IF(HW7&gt;0,HW7,"")</f>
        <v/>
      </c>
      <c r="IF7" s="9" t="str">
        <f>IF(SUM(HP7:HS7)-HT7&gt;0,SUM(HP7:HS7)-HT7,"")</f>
        <v/>
      </c>
      <c r="IG7" s="9" t="str">
        <f>IF(SUM(HU7:HX7)-HY7&gt;0,SUM(HU7:HX7)-HY7,"")</f>
        <v/>
      </c>
      <c r="IH7" s="9" t="str">
        <f>IF(SUM(IF7:IG7)&gt;0,SUM(IF7:IG7),"")</f>
        <v/>
      </c>
      <c r="II7" s="9" t="str">
        <f>IF(IB7&gt;0,IB7,"")</f>
        <v/>
      </c>
      <c r="IJ7" s="9" t="str">
        <f>IF(SUM(HZ7:IC7)-ID7&gt;0,SUM(HZ7:IC7)-ID7,"")</f>
        <v/>
      </c>
      <c r="IK7" s="9" t="str">
        <f>IF(SUM(IH7,IJ7)&gt;0,SUM(IH7,IJ7),"")</f>
        <v/>
      </c>
      <c r="IL7" s="18"/>
      <c r="IM7" s="18"/>
      <c r="IN7" s="18"/>
      <c r="IO7" s="18"/>
      <c r="IP7" s="18"/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7" t="str">
        <f>IF(IS7&gt;0,IS7,"")</f>
        <v/>
      </c>
      <c r="JB7" s="7" t="str">
        <f>IF(SUM(IL7:IO7)-IP7&gt;0,SUM(IL7:IO7)-IP7,"")</f>
        <v/>
      </c>
      <c r="JC7" s="7" t="str">
        <f>IF(SUM(IQ7:IT7)-IU7&gt;0,SUM(IQ7:IT7)-IU7,"")</f>
        <v/>
      </c>
      <c r="JD7" s="7" t="str">
        <f>IF(SUM(JB7:JC7)&gt;0,SUM(JB7:JC7),"")</f>
        <v/>
      </c>
      <c r="JE7" s="7" t="str">
        <f>IF(IX7&gt;0,IX7,"")</f>
        <v/>
      </c>
      <c r="JF7" s="7" t="str">
        <f>IF(SUM(IV7:IY7)-IZ7&gt;0,SUM(IV7:IY7)-IZ7,"")</f>
        <v/>
      </c>
      <c r="JG7" s="7" t="str">
        <f>IF(SUM(JD7,JF7)&gt;0,SUM(JD7,JF7),"")</f>
        <v/>
      </c>
      <c r="JH7" s="19"/>
      <c r="JI7" s="19"/>
      <c r="JJ7" s="19"/>
      <c r="JK7" s="19"/>
      <c r="JL7" s="19"/>
      <c r="JM7" s="19"/>
      <c r="JN7" s="19"/>
      <c r="JO7" s="19"/>
      <c r="JP7" s="19"/>
      <c r="JQ7" s="19"/>
      <c r="JR7" s="19"/>
      <c r="JS7" s="19"/>
      <c r="JT7" s="19"/>
      <c r="JU7" s="19"/>
      <c r="JV7" s="19"/>
      <c r="JW7" s="9" t="str">
        <f>IF(JO7&gt;0,JO7,"")</f>
        <v/>
      </c>
      <c r="JX7" s="9" t="str">
        <f>IF(SUM(JH7:JK7)-JL7&gt;0,SUM(JH7:JK7)-JL7,"")</f>
        <v/>
      </c>
      <c r="JY7" s="9" t="str">
        <f>IF(SUM(JM7:JP7)-JQ7&gt;0,SUM(JM7:JP7)-JQ7,"")</f>
        <v/>
      </c>
      <c r="JZ7" s="9" t="str">
        <f>IF(SUM(JX7:JY7)&gt;0,SUM(JX7:JY7),"")</f>
        <v/>
      </c>
      <c r="KA7" s="9" t="str">
        <f>IF(JT7&gt;0,JT7,"")</f>
        <v/>
      </c>
      <c r="KB7" s="9" t="str">
        <f>IF(SUM(JR7:JU7)-JV7&gt;0,SUM(JR7:JU7)-JV7,"")</f>
        <v/>
      </c>
      <c r="KC7" s="9" t="str">
        <f>IF(SUM(JZ7,KB7)&gt;0,SUM(JZ7,KB7),"")</f>
        <v/>
      </c>
      <c r="KD7" s="18"/>
      <c r="KE7" s="18"/>
      <c r="KF7" s="18"/>
      <c r="KG7" s="18"/>
      <c r="KH7" s="18"/>
      <c r="KI7" s="18"/>
      <c r="KJ7" s="18"/>
      <c r="KK7" s="18"/>
      <c r="KL7" s="18"/>
      <c r="KM7" s="18"/>
      <c r="KN7" s="18"/>
      <c r="KO7" s="18"/>
      <c r="KP7" s="18"/>
      <c r="KQ7" s="18"/>
      <c r="KR7" s="18"/>
      <c r="KS7" s="7" t="str">
        <f>IF(KK7&gt;0,KK7,"")</f>
        <v/>
      </c>
      <c r="KT7" s="7" t="str">
        <f>IF(SUM(KD7:KG7)-KH7&gt;0,SUM(KD7:KG7)-KH7,"")</f>
        <v/>
      </c>
      <c r="KU7" s="7" t="str">
        <f>IF(SUM(KI7:KL7)-KM7&gt;0,SUM(KI7:KL7)-KM7,"")</f>
        <v/>
      </c>
      <c r="KV7" s="7" t="str">
        <f>IF(SUM(KT7:KU7)&gt;0,SUM(KT7:KU7),"")</f>
        <v/>
      </c>
      <c r="KW7" s="7" t="str">
        <f>IF(KP7&gt;0,KP7,"")</f>
        <v/>
      </c>
      <c r="KX7" s="7" t="str">
        <f>IF(SUM(KN7:KQ7)-KR7&gt;0,SUM(KN7:KQ7)-KR7,"")</f>
        <v/>
      </c>
      <c r="KY7" s="7" t="str">
        <f>IF(SUM(KV7,KX7)&gt;0,SUM(KV7,KX7),"")</f>
        <v/>
      </c>
      <c r="KZ7" s="19"/>
      <c r="LA7" s="19"/>
      <c r="LB7" s="19"/>
      <c r="LC7" s="19"/>
      <c r="LD7" s="19"/>
      <c r="LE7" s="19"/>
      <c r="LF7" s="19"/>
      <c r="LG7" s="19"/>
      <c r="LH7" s="19"/>
      <c r="LI7" s="19"/>
      <c r="LJ7" s="19"/>
      <c r="LK7" s="19"/>
      <c r="LL7" s="19"/>
      <c r="LM7" s="19"/>
      <c r="LN7" s="19"/>
      <c r="LO7" s="9" t="str">
        <f>IF(LG7&gt;0,LG7,"")</f>
        <v/>
      </c>
      <c r="LP7" s="9" t="str">
        <f>IF(SUM(KZ7:LC7)-LD7&gt;0,SUM(KZ7:LC7)-LD7,"")</f>
        <v/>
      </c>
      <c r="LQ7" s="9" t="str">
        <f>IF(SUM(LE7:LH7)-LI7&gt;0,SUM(LE7:LH7)-LI7,"")</f>
        <v/>
      </c>
      <c r="LR7" s="9" t="str">
        <f>IF(SUM(LP7:LQ7)&gt;0,SUM(LP7:LQ7),"")</f>
        <v/>
      </c>
      <c r="LS7" s="9" t="str">
        <f>IF(LL7&gt;0,LL7,"")</f>
        <v/>
      </c>
      <c r="LT7" s="9" t="str">
        <f>IF(SUM(LJ7:LM7)-LN7&gt;0,SUM(LJ7:LM7)-LN7,"")</f>
        <v/>
      </c>
      <c r="LU7" s="9" t="str">
        <f>IF(SUM(LR7,LT7)&gt;0,SUM(LR7,LT7),"")</f>
        <v/>
      </c>
      <c r="LV7" s="18"/>
      <c r="LW7" s="18"/>
      <c r="LX7" s="18"/>
      <c r="LY7" s="18"/>
      <c r="LZ7" s="18"/>
      <c r="MA7" s="18"/>
      <c r="MB7" s="18"/>
      <c r="MC7" s="18"/>
      <c r="MD7" s="18"/>
      <c r="ME7" s="18"/>
      <c r="MF7" s="18"/>
      <c r="MG7" s="18"/>
      <c r="MH7" s="18"/>
      <c r="MI7" s="18"/>
      <c r="MJ7" s="18"/>
      <c r="MK7" s="7" t="str">
        <f>IF(MC7&gt;0,MC7,"")</f>
        <v/>
      </c>
      <c r="ML7" s="7" t="str">
        <f>IF(SUM(LV7:LY7)-LZ7&gt;0,SUM(LV7:LY7)-LZ7,"")</f>
        <v/>
      </c>
      <c r="MM7" s="7" t="str">
        <f>IF(SUM(MA7:MD7)-ME7&gt;0,SUM(MA7:MD7)-ME7,"")</f>
        <v/>
      </c>
      <c r="MN7" s="7" t="str">
        <f>IF(SUM(ML7:MM7)&gt;0,SUM(ML7:MM7),"")</f>
        <v/>
      </c>
      <c r="MO7" s="7" t="str">
        <f>IF(MH7&gt;0,MH7,"")</f>
        <v/>
      </c>
      <c r="MP7" s="7" t="str">
        <f>IF(SUM(MF7:MI7)-MJ7&gt;0,SUM(MF7:MI7)-MJ7,"")</f>
        <v/>
      </c>
      <c r="MQ7" s="7" t="str">
        <f>IF(SUM(MN7,MP7)&gt;0,SUM(MN7,MP7),"")</f>
        <v/>
      </c>
      <c r="MR7" s="19"/>
      <c r="MS7" s="19"/>
      <c r="MT7" s="19"/>
      <c r="MU7" s="19"/>
      <c r="MV7" s="19"/>
      <c r="MW7" s="19"/>
      <c r="MX7" s="19"/>
      <c r="MY7" s="19"/>
      <c r="MZ7" s="19"/>
      <c r="NA7" s="19"/>
      <c r="NB7" s="19"/>
      <c r="NC7" s="19"/>
      <c r="ND7" s="19"/>
      <c r="NE7" s="19"/>
      <c r="NF7" s="19"/>
      <c r="NG7" s="9" t="str">
        <f>IF(MY7&gt;0,MY7,"")</f>
        <v/>
      </c>
      <c r="NH7" s="9" t="str">
        <f>IF(SUM(MR7:MU7)-MV7&gt;0,SUM(MR7:MU7)-MV7,"")</f>
        <v/>
      </c>
      <c r="NI7" s="9" t="str">
        <f>IF(SUM(MW7:MZ7)-NA7&gt;0,SUM(MW7:MZ7)-NA7,"")</f>
        <v/>
      </c>
      <c r="NJ7" s="9" t="str">
        <f>IF(SUM(NH7:NI7)&gt;0,SUM(NH7:NI7),"")</f>
        <v/>
      </c>
      <c r="NK7" s="9" t="str">
        <f>IF(ND7&gt;0,ND7,"")</f>
        <v/>
      </c>
      <c r="NL7" s="9" t="str">
        <f>IF(SUM(NB7:NE7)-NF7&gt;0,SUM(NB7:NE7)-NF7,"")</f>
        <v/>
      </c>
      <c r="NM7" s="9" t="str">
        <f>IF(SUM(NJ7,NL7)&gt;0,SUM(NJ7,NL7),"")</f>
        <v/>
      </c>
      <c r="NN7" s="27">
        <f>IF($CV7="P",CB7,(CB7+AX7)/2)</f>
        <v>16.649999999999999</v>
      </c>
      <c r="NO7" s="27">
        <f>IF($CV7="P",CC7,(CC7+AY7)/2)</f>
        <v>9.4</v>
      </c>
      <c r="NP7" s="27">
        <f>IF($CV7="P",CD7,(CD7+AZ7)/2)</f>
        <v>0</v>
      </c>
      <c r="NQ7" s="27">
        <f>IF($CV7="P",CE7,(CE7+BA7)/2)</f>
        <v>14.18</v>
      </c>
      <c r="NR7" s="27">
        <f>IF($CV7="P",CF7,(CF7+BB7)/2)</f>
        <v>0</v>
      </c>
      <c r="NS7" s="27">
        <f>IF($CV7="P",CG7,(CG7+BC7)/2)</f>
        <v>7.9</v>
      </c>
      <c r="NT7" s="27">
        <f>IF($CV7="P",CH7,(CH7+BD7)/2)</f>
        <v>5.5</v>
      </c>
      <c r="NU7" s="27">
        <f>IF($CV7="P",CI7,(CI7+BE7)/2)</f>
        <v>6.75</v>
      </c>
      <c r="NV7" s="27">
        <f>IF($CV7="P",CJ7,(CJ7+BF7)/2)</f>
        <v>8.06</v>
      </c>
      <c r="NW7" s="27">
        <f>IF($CV7="P",CK7,(CK7+BG7)/2)</f>
        <v>0</v>
      </c>
      <c r="NX7" s="27">
        <f>IF($CV7="P",CL7,(CL7+BH7)/2)</f>
        <v>0</v>
      </c>
      <c r="NY7" s="27">
        <f>IF($CV7="P",CM7,(CM7+BI7)/2)</f>
        <v>0</v>
      </c>
      <c r="NZ7" s="27">
        <f>IF($CV7="P",CN7,(CN7+BJ7)/2)</f>
        <v>0</v>
      </c>
      <c r="OA7" s="27">
        <f>IF($CV7="P",CO7,(CO7+BK7)/2)</f>
        <v>0</v>
      </c>
      <c r="OB7" s="27">
        <f>IF($CV7="P",CP7,(CP7+BL7)/2)</f>
        <v>0</v>
      </c>
      <c r="OC7" s="27">
        <f>IF($CV7="P",CQ7,(CQ7+BM7)/2)</f>
        <v>0.75</v>
      </c>
      <c r="OD7" s="27">
        <f>IF($CV7="P",CR7,(CR7+BN7)/2)</f>
        <v>0.5</v>
      </c>
      <c r="OE7" s="27">
        <f>IF($CV7="P",CS7,(CS7+BO7)/2)</f>
        <v>0.75</v>
      </c>
      <c r="OF7" s="27">
        <f>IF($CV7="P",CT7,(CT7+BP7)/2)</f>
        <v>0.68500000000000005</v>
      </c>
      <c r="OG7" s="27">
        <f>IF($CV7="P",CU7,(CU7+BQ7)/2)</f>
        <v>0</v>
      </c>
      <c r="OH7" s="32" t="s">
        <v>44</v>
      </c>
      <c r="OI7" s="7">
        <f>IF(SUM(NN7:NQ7)-NR7&gt;0,SUM(NN7:NQ7)-NR7,"")</f>
        <v>40.229999999999997</v>
      </c>
      <c r="OJ7" s="7">
        <f>IF(NU7&gt;0,NU7,"")</f>
        <v>6.75</v>
      </c>
      <c r="OK7" s="7">
        <f>IF(SUM(NS7:NV7)-NW7&gt;0,SUM(NS7:NV7)-NW7,"")</f>
        <v>28.21</v>
      </c>
      <c r="OL7" s="7" t="str">
        <f>IF(NZ7&gt;0,NZ7,"")</f>
        <v/>
      </c>
      <c r="OM7" s="7" t="str">
        <f>IF(SUM(NX7:OA7)-OB7&gt;0,SUM(NX7:OA7)-OB7,"")</f>
        <v/>
      </c>
      <c r="ON7" s="7">
        <f>IF(OR(OI7&lt;&gt;"",OK7&lt;&gt;"",OM7&lt;&gt;""),OI7+MAX(OK7,OM7),"")</f>
        <v>68.44</v>
      </c>
      <c r="OO7" s="7">
        <f>IF(OE7&gt;0,OE7,"")</f>
        <v>0.75</v>
      </c>
      <c r="OP7" s="7">
        <f t="shared" ref="OP7" si="6">IF(SUM(OC7:OF7)-OG7&gt;0,SUM(OC7:OF7)-OG7,"")</f>
        <v>2.6850000000000001</v>
      </c>
      <c r="OQ7" s="7">
        <f t="shared" ref="OQ7" si="7">IF(SUM(ON7,OP7)&gt;0,SUM(ON7,OP7),"")</f>
        <v>71.125</v>
      </c>
    </row>
    <row r="8" spans="1:407" x14ac:dyDescent="0.2">
      <c r="A8" s="4" t="str" cm="1">
        <f t="array" ref="A8">IF(AND(H8&lt;&gt;"",H8&lt;&gt;"No DD"),SUMPRODUCT((H$4:H$12&lt;&gt;"")*(H$4:H$12&lt;&gt;"No DD")*(E$4:E$12&gt;E8))+1,IF(H8="No DD",SUMPRODUCT((H$4:H$12="No DD")*(E$4:E$12&gt;E8))+1+SUMPRODUCT((H$4:H$12&lt;&gt;"")*(H$4:H$12&lt;&gt;"No DD")),""))</f>
        <v/>
      </c>
      <c r="B8" s="5" t="s">
        <v>79</v>
      </c>
      <c r="C8" s="4" t="s">
        <v>68</v>
      </c>
      <c r="D8" s="4">
        <v>2009</v>
      </c>
      <c r="E8" s="10">
        <f>SUM(I8:Q8)</f>
        <v>221.54</v>
      </c>
      <c r="F8" s="3" t="str">
        <f>IF(OR(AND(AP8&gt;=AW$14,AT8&gt;=AW$18,AO8&lt;&gt;"",AN8=""),AND(BT8&gt;=CA$14,BX8&gt;=CA$18,BS8&lt;&gt;"",BR8=""),AND(CX8&gt;=DE$14,DB8&gt;=DE$18,CW8&lt;&gt;"",CV8=""),AND(DY8&gt;=EE$14,EB8&gt;=EE$18,DY8&lt;&gt;""),AND(EU8&gt;=FA$14,EX8&gt;=FA$18,EU8&lt;&gt;""),AND(FQ8&gt;=FW$14,FT8&gt;=FW$18,FQ8&lt;&gt;""),AND(GM8&gt;=GS$14,GP8&gt;=GS$18,GM8&lt;&gt;""),AND(HI8&gt;=HO$14,HL8&gt;=HO$18,HI8&lt;&gt;""),AND(IE8&gt;=IK$14,IH8&gt;=IK$18,IE8&lt;&gt;""),AND(JA8&gt;=JG$14,JD8&gt;=JG$18,JA8&lt;&gt;""),AND(JW8&gt;=KC$14,JZ8&gt;=KC$18,JW8&lt;&gt;""),AND(KS8&gt;=KY$14,KV8&gt;=KY$18,KS8&lt;&gt;""),AND(LO8&gt;=LU$14,LR8&gt;=LU$18,LO8&lt;&gt;""),AND(MK8&gt;=MQ$14,MN8&gt;=MQ$18,MK8&lt;&gt;""),AND(NG8&gt;=NM$14,NJ8&gt;=NM$18,NG8&lt;&gt;"")),"P","")</f>
        <v/>
      </c>
      <c r="G8" s="3" t="str">
        <f>IF(OR(AND(AT8&gt;=AW$18,AO8&lt;&gt;"",AN8=""),AND(BX8&gt;=CA$18,BS8&lt;&gt;"",BR8=""),AND(DB8&gt;=DE$18,CW8&lt;&gt;"",CV8=""),AND(EB8&gt;=EE$18,DY8&lt;&gt;""),AND(EX8&gt;=FA$18,EU8&lt;&gt;""),AND(FT8&gt;=FW$18,FQ8&lt;&gt;""),AND(GP8&gt;=GS$18,GM8&lt;&gt;""),AND(HL8&gt;=HO$18,HI8&lt;&gt;""),AND(IH8&gt;=IK$18,IE8&lt;&gt;""),AND(JD8&gt;=JG$18,JA8&lt;&gt;""),AND(JZ8&gt;=KC$18,JW8&lt;&gt;""),AND(KV8&gt;=KY$18,KS8&lt;&gt;""),AND(LR8&gt;=LU$18,LO8&lt;&gt;""),AND(MN8&gt;=MQ$18,MK8&lt;&gt;""),AND(NJ8&gt;=NM$18,NG8&lt;&gt;"")),"P","")</f>
        <v/>
      </c>
      <c r="H8" s="47" t="str">
        <f>IF(OR(AND(AP8&gt;=AW$17,AQ8&gt;=AW$21,AP8&lt;&gt;"",AN8=""),AND(AU8&gt;=AW$17,AV8&gt;=AW$21,AU8&lt;&gt;"",AN8=""),AND(BT8&gt;=CA$17,BU8&gt;=CA$21,BT8&lt;&gt;"",BR8=""),AND(BY8&gt;=CA$17,BZ8&gt;=CA$21,BY8&lt;&gt;"",BR8=""),AND(CX8&gt;=DE$17,CY8&gt;=DE$21,CX8&lt;&gt;"",CV8=""),AND(DC8&gt;=DE$17,DD8&gt;=DE$21,DC8&lt;&gt;"",CV8=""),AND(DY8&gt;=EE$17,EA8&gt;=EE$21,DY8&lt;&gt;""),AND(EC8&gt;=EE$17,ED8&gt;=EE$21,EC8&lt;&gt;""),AND(EU8&gt;=FA$17,EW8&gt;=FA$21,EU8&lt;&gt;""),AND(EY8&gt;=FA$17,EZ8&gt;=FA$21,EY8&lt;&gt;""),AND(FQ8&gt;=FW$17,FS8&gt;=FW$21,FQ8&lt;&gt;""),AND(FU8&gt;=FW$17,FV8&gt;=FW$21,FU8&lt;&gt;""),AND(GM8&gt;=GS$17,GO8&gt;=GS$21,GM8&lt;&gt;""),AND(GQ8&gt;=GS$17,GR8&gt;=GS$21,GQ8&lt;&gt;""),AND(HI8&gt;=HO$17,HK8&gt;=HO$21,HI8&lt;&gt;""),AND(HM8&gt;=HO$17,HN8&gt;=HO$21,HM8&lt;&gt;""),AND(IE8&gt;=IK$17,IG8&gt;=IK$21,IE8&lt;&gt;""),AND(II8&gt;=IK$17,IJ8&gt;=IK$21,II8&lt;&gt;""),AND(JA8&gt;=JG$17,JC8&gt;=JG$21,JA8&lt;&gt;""),AND(JE8&gt;=JG$17,JF8&gt;=JG$21,JE8&lt;&gt;""),AND(JW8&gt;=KC$17,JY8&gt;=KC$21,JW8&lt;&gt;""),AND(KA8&gt;=KC$17,KB8&gt;=KC$21,KA8&lt;&gt;""),AND(KS8&gt;=KY$17,KU8&gt;=KY$21,KS8&lt;&gt;""),AND(KW8&gt;=KY$17,KX8&gt;=KY$21,KW8&lt;&gt;""),AND(LO8&gt;=LU$17,LQ8&gt;=LU$21,LO8&lt;&gt;""),AND(LS8&gt;=LU$17,LT8&gt;=LU$21,LS8&lt;&gt;""),AND(MK8&gt;=MQ$17,MM8&gt;=MQ$21,MK8&lt;&gt;""),AND(MO8&gt;=MQ$17,MP8&gt;=MQ$21,MO8&lt;&gt;""),AND(NG8&gt;=NM$17,NI8&gt;=NM$21,NG8&lt;&gt;""),AND(NK8&gt;=NM$17,NL8&gt;=NM$21,NK8&lt;&gt;"")),"Merit",IF(OR(AND(AP8&gt;=AW$16,AT8&gt;=AW$20,AO8&lt;&gt;"",AN8=""),AND(BT8&gt;=CA$16,BX8&gt;=CA$20,BS8&lt;&gt;"",BR8=""),AND(CX8&gt;=DE$16,DB8&gt;=DE$20,CW8&lt;&gt;"",CV8=""),AND(DY8&gt;=EE$16,EB8&gt;=EE$20,DY8&lt;&gt;""),AND(EU8&gt;=FA$16,EX8&gt;=FA$20,EU8&lt;&gt;""),AND(FQ8&gt;=FW$16,FT8&gt;=FW$20,FQ8&lt;&gt;""),AND(GM8&gt;=GS$16,GP8&gt;=GS$20,GM8&lt;&gt;""),AND(HI8&gt;=HO$16,HL8&gt;=HO$20,HI8&lt;&gt;""),AND(IE8&gt;=IK$16,IH8&gt;=IK$20,IE8&lt;&gt;""),AND(JA8&gt;=JG$16,JD8&gt;=JG$20,JA8&lt;&gt;""),AND(JW8&gt;=KC$16,JZ8&gt;=KC$20,JW8&lt;&gt;""),AND(KS8&gt;=KY$16,KV8&gt;=KY$20,KS8&lt;&gt;""),AND(LO8&gt;=LU$16,LR8&gt;=LU$20,LO8&lt;&gt;""),AND(MK8&gt;=MQ$16,MN8&gt;=MQ$20,MK8&lt;&gt;""),AND(NG8&gt;=NM$16,NJ8&gt;=NM$20,NG8&lt;&gt;"")),"Excellence",IF(OR(AND(AP8&gt;=AW$14,AT8&gt;=AW$18,AO8&lt;&gt;"",AN8=""),AND(BT8&gt;=CA$14,BX8&gt;=CA$18,BS8&lt;&gt;"",BR8=""),AND(CX8&gt;=DE$14,DB8&gt;=DE$18,CW8&lt;&gt;"",CV8=""),AND(DY8&gt;=EE$14,EB8&gt;=EE$18,DY8&lt;&gt;""),AND(EU8&gt;=FA$14,EX8&gt;=FA$18,EU8&lt;&gt;""),AND(FQ8&gt;=FW$14,FT8&gt;=FW$18,FQ8&lt;&gt;""),AND(GM8&gt;=GS$14,GP8&gt;=GS$18,GM8&lt;&gt;""),AND(HI8&gt;=HO$14,HL8&gt;=HO$18,HI8&lt;&gt;""),AND(IE8&gt;=IK$14,IH8&gt;=IK$18,IE8&lt;&gt;""),AND(JA8&gt;=JG$14,JD8&gt;=JG$18,JA8&lt;&gt;""),AND(JW8&gt;=KC$14,JZ8&gt;=KC$18,JW8&lt;&gt;""),AND(KS8&gt;=KY$14,KV8&gt;=KY$18,KS8&lt;&gt;""),AND(LO8&gt;=LU$14,LR8&gt;=LU$18,LO8&lt;&gt;""),AND(MK8&gt;=MQ$14,MN8&gt;=MQ$18,MK8&lt;&gt;""),AND(NG8&gt;=NM$14,NJ8&gt;=NM$18,NG8&lt;&gt;"")),"National Team",IF(G8="P","No DD",""))))</f>
        <v/>
      </c>
      <c r="I8" s="9">
        <f>IF(MAX(AT8,BX8,DB8)&gt;0,MAX(AT8,BX8,DB8),0)</f>
        <v>83.81</v>
      </c>
      <c r="J8" s="9" t="str">
        <f>IF(I8=0,"",IF(I8=DB8,$CB$1,IF(I8=BX8,$AX$1,IF(I8=AT8,$T$1,""))))</f>
        <v>2023 Elite Canada</v>
      </c>
      <c r="K8" s="9">
        <f>IF($I8=$AT8,MAX(BS8,CW8),IF($I8=$BX8,MAX(AO8,CW8),IF($I8=$DB8,MAX(AO8,BS8),MAX(AO8,BS8,CW8))))</f>
        <v>40.54</v>
      </c>
      <c r="L8" s="9" t="str">
        <f>IF(K8=0,"",IF(AND(K8=CW8,$J8&lt;&gt;$CB$1),$CB$1,IF(AND(K8=BS8,$J8&lt;&gt;$AX$1),$AX$1,IF(AND(K8=AO8,$J8&lt;&gt;$T$1),$T$1,""))))</f>
        <v>2023 Nationals</v>
      </c>
      <c r="M8" s="9">
        <f>IF(I8-N(AO8)=AQ8,MAX(AS8,BU8,BW8,CY8,DA8),IF(I8-N(AO8)=AS8,MAX(AQ8,BU8,BW8,CY8,DA8),IF(I8-N(BS8)=BU8,MAX(AQ8,AS8,BW8,CY8,DA8),IF(I8-N(BS8)=BW8,MAX(AQ8,AS8,BU8,CY8,DA8),IF(I8-N(CW8)=CY8,MAX(AQ8,AS8,BU8,BW8,DA8),IF(I8-N(CW8)=DA8,MAX(AQ8,AS8,BU8,BW8,CY8),MAX(AQ8,AS8,BU8,BW8,CY8,DA8)))))))</f>
        <v>39.64</v>
      </c>
      <c r="N8" s="9" t="str">
        <f>IF(M8=0,"",IF(AND(OR(M8=DA8,M8=CY8),$J8&lt;&gt;$CB$1),$CB$1,IF(AND(OR(M8=BW8,M8=BU8),$J8&lt;&gt;$AX$1),$AX$1,IF(AND(OR(M8=AS8,M8=AQ8),$J8&lt;&gt;$T$1),$T$1,""))))</f>
        <v>2023 Nationals</v>
      </c>
      <c r="O8" s="9">
        <f>MAX(AV8,BZ8,DD8)</f>
        <v>49.23</v>
      </c>
      <c r="P8" s="9" t="str">
        <f>IF(O8=0,"",IF(O8=DD8,$CB$1,IF(O8=BZ8,$AX$1,IF(O8=AV8,$T$1,""))))</f>
        <v>2023 3rd Domestic Trial</v>
      </c>
      <c r="Q8" s="9">
        <f>IF(MAX(DF8,DG8,DH8,DI8)&gt;0,MAX(DF8,DG8,DH8,DI8),"")</f>
        <v>8.32</v>
      </c>
      <c r="R8" s="14" t="str">
        <f>IF(Q8="","",IF(Q8=DF8,"(Vol 1)",IF(Q8=DG8,"(Vol 2)",IF(Q8=DH8,"(Prelim)",IF(Q8=DI8,"(Final)")))))</f>
        <v>(Vol 2)</v>
      </c>
      <c r="S8" s="9" t="str">
        <f>IF(Q8="","",IF(Q8=DF8,IF(Q8+IF(K8="",0,K8)=NH8,$MR$1,IF(Q8+IF(K8="",0,K8)=ML8,$LV$1,IF(Q8+IF(K8="",0,K8)=LP8,$KZ$1,IF(Q8+IF(K8="",0,K8)=KT8,$KD$1,IF(Q8+IF(K8="",0,K8)=JX8,$JH$1,IF(Q8+IF(K8="",0,K8)=JB8,$IL$1,IF(Q8+IF(K8="",0,K8)=IF8,$HP$1,IF(Q8+IF(K8="",0,K8)=HJ8,$GT$1,IF(Q8+IF(K8="",0,K8)=GN8,$FX$1,IF(Q8+IF(K8="",0,K8)=FR8,$FB$1,IF(Q8+IF(K8="",0,K8)=EV8,$EF$1,IF(Q8+IF(K8="",0,K8)=DZ8,$DJ$1)))))))))))),IF(Q8=DG8,IF(Q8+IF(M8="",0,M8)=NI8,$MR$1,IF(Q8+IF(M8="",0,M8)=MM8,$LV$1,IF(Q8+IF(M8="",0,M8)=LQ8,$KZ$1,IF(Q8+IF(M8="",0,M8)=KU8,$KD$1,IF(Q8+IF(M8="",0,M8)=JY8,$JH$1,IF(Q8+IF(M8="",0,M8)=JC8,$IL$1,IF(Q8+IF(M8="",0,M8)=IG8,$HP$1,IF(Q8+IF(M8="",0,M8)=HK8,$GT$1,IF(Q8+IF(M8="",0,M8)=GO8,$FX$1,IF(Q8+IF(M8="",0,M8)=FS8,$FB$1,IF(Q8+IF(M8="",0,M8)=EW8,$EF$1,IF(Q8+IF(M8="",0,M8)=EA8,$DJ$1)))))))))))),IF(Q8=DH8,IF(Q8+IF(I8="",0,I8)=NJ8,$MR$1,IF(Q8+IF(I8="",0,I8)=MN8,$LV$1,IF(Q8+IF(I8="",0,I8)=LR8,$KZ$1,IF(Q8+IF(I8="",0,I8)=KV8,$KD$1,IF(Q8+IF(I8="",0,I8)=JZ8,$JH$1,IF(Q8+IF(I8="",0,I8)=JD8,$IL$1,IF(Q8+IF(I8="",0,I8)=IH8,$HP$1,IF(Q8+IF(I8="",0,I8)=HL8,$GT$1,IF(Q8+IF(I8="",0,I8)=GP8,$FX$1,IF(Q8+IF(I8="",0,I8)=FT8,$FB$1,IF(Q8+IF(I8="",0,I8)=EX8,$EF$1,IF(Q8+IF(I8="",0,I8)=EB8,$DJ$1)))))))))))),IF(Q8=DI8,IF(Q8+IF(O8="",0,O8)=NL8,$MR$1,IF(Q8+IF(O8="",0,O8)=MP8,$LV$1,IF(Q8+IF(O8="",0,O8)=LT8,$KZ$1,IF(Q8+IF(O8="",0,O8)=KX8,$KD$1,IF(Q8+IF(O8="",0,O8)=KB8,$JH$1,IF(Q8+IF(O8="",0,O8)=JF8,$IL$1,IF(Q8+IF(O8="",0,O8)=IJ8,$HP$1,IF(Q8+IF(O8="",0,O8)=HN8,$GT$1,IF(Q8+IF(O8="",0,O8)=GR8,$FX$1,IF(Q8+IF(O8="",0,O8)=FV8,$FB$1,IF(Q8+IF(O8="",0,O8)=EZ8,$EF$1,IF(Q8+IF(O8="",0,O8)=ED8,$DJ$1)))))))))))))))))</f>
        <v>2023 Pan Am Championships (May 14)</v>
      </c>
      <c r="T8" s="27">
        <v>16.3</v>
      </c>
      <c r="U8" s="27">
        <v>9.6</v>
      </c>
      <c r="V8" s="27">
        <v>0</v>
      </c>
      <c r="W8" s="27">
        <v>13.57</v>
      </c>
      <c r="X8" s="27">
        <v>0</v>
      </c>
      <c r="Y8" s="27">
        <v>11.8</v>
      </c>
      <c r="Z8" s="27">
        <v>9.1999999999999993</v>
      </c>
      <c r="AA8" s="27">
        <v>10</v>
      </c>
      <c r="AB8" s="27">
        <v>13.34</v>
      </c>
      <c r="AC8" s="27">
        <v>0</v>
      </c>
      <c r="AD8" s="27"/>
      <c r="AE8" s="27"/>
      <c r="AF8" s="27"/>
      <c r="AG8" s="27"/>
      <c r="AH8" s="27"/>
      <c r="AI8" s="27">
        <v>3.65</v>
      </c>
      <c r="AJ8" s="27">
        <v>2.2999999999999998</v>
      </c>
      <c r="AK8" s="27">
        <v>2.8</v>
      </c>
      <c r="AL8" s="27">
        <v>3.4750000000000001</v>
      </c>
      <c r="AM8" s="27">
        <v>0</v>
      </c>
      <c r="AN8" s="32"/>
      <c r="AO8" s="7">
        <f>IF(SUM(T8:W8)-X8&gt;0,SUM(T8:W8)-X8,"")</f>
        <v>39.47</v>
      </c>
      <c r="AP8" s="7">
        <f>IF(AA8&gt;0,AA8,"")</f>
        <v>10</v>
      </c>
      <c r="AQ8" s="7">
        <f>IF(SUM(Y8:AB8)-AC8&gt;0,SUM(Y8:AB8)-AC8,"")</f>
        <v>44.34</v>
      </c>
      <c r="AR8" s="7" t="str">
        <f>IF(AF8&gt;0,AF8,"")</f>
        <v/>
      </c>
      <c r="AS8" s="7" t="str">
        <f>IF(SUM(AD8:AG8)-AH8&gt;0,SUM(AD8:AG8)-AH8,"")</f>
        <v/>
      </c>
      <c r="AT8" s="7">
        <f>IF(AO8="",IF(MAX(AQ8,AS8)&gt;0,MAX(AQ8,AS8),""),MAX(AQ8,AS8)+AO8)</f>
        <v>83.81</v>
      </c>
      <c r="AU8" s="7">
        <f>IF(AK8&gt;0,AK8,"")</f>
        <v>2.8</v>
      </c>
      <c r="AV8" s="7">
        <f>IF(SUM(AI8:AL8)-AM8&gt;0,SUM(AI8:AL8)-AM8,"")</f>
        <v>12.225</v>
      </c>
      <c r="AW8" s="7">
        <f>IF(SUM(AT8,AV8)&gt;0,SUM(AT8,AV8),"")</f>
        <v>96.034999999999997</v>
      </c>
      <c r="AX8" s="31">
        <v>17.3</v>
      </c>
      <c r="AY8" s="31">
        <v>9.3000000000000007</v>
      </c>
      <c r="AZ8" s="31">
        <v>0</v>
      </c>
      <c r="BA8" s="31">
        <v>13.94</v>
      </c>
      <c r="BB8" s="31">
        <v>0</v>
      </c>
      <c r="BC8" s="31">
        <v>11.3</v>
      </c>
      <c r="BD8" s="31">
        <v>7.3</v>
      </c>
      <c r="BE8" s="31">
        <v>9.6</v>
      </c>
      <c r="BF8" s="31">
        <v>11.44</v>
      </c>
      <c r="BG8" s="31">
        <v>0</v>
      </c>
      <c r="BH8" s="31"/>
      <c r="BI8" s="31"/>
      <c r="BJ8" s="31"/>
      <c r="BK8" s="31"/>
      <c r="BL8" s="31"/>
      <c r="BM8" s="31">
        <v>14.9</v>
      </c>
      <c r="BN8" s="31">
        <v>9</v>
      </c>
      <c r="BO8" s="31">
        <v>10.9</v>
      </c>
      <c r="BP8" s="31">
        <v>13.97</v>
      </c>
      <c r="BQ8" s="31">
        <v>2</v>
      </c>
      <c r="BR8" s="33"/>
      <c r="BS8" s="9">
        <f>IF(SUM(AX8:BA8)-BB8&gt;0,SUM(AX8:BA8)-BB8,"")</f>
        <v>40.54</v>
      </c>
      <c r="BT8" s="9">
        <f>IF(BE8&gt;0,BE8,"")</f>
        <v>9.6</v>
      </c>
      <c r="BU8" s="9">
        <f>IF(SUM(BC8:BF8)-BG8&gt;0,SUM(BC8:BF8)-BG8,"")</f>
        <v>39.64</v>
      </c>
      <c r="BV8" s="9" t="str">
        <f>IF(BJ8&gt;0,BJ8,"")</f>
        <v/>
      </c>
      <c r="BW8" s="9" t="str">
        <f>IF(SUM(BH8:BK8)-BL8&gt;0,SUM(BH8:BK8)-BL8,"")</f>
        <v/>
      </c>
      <c r="BX8" s="9">
        <f>IF(BS8="",IF(MAX(BU8,BW8)&gt;0,MAX(BU8,BW8),""),MAX(BU8,BW8)+BS8)</f>
        <v>80.180000000000007</v>
      </c>
      <c r="BY8" s="9">
        <f>IF(BO8&gt;0,BO8,"")</f>
        <v>10.9</v>
      </c>
      <c r="BZ8" s="9">
        <f>IF(SUM(BM8:BP8)-BQ8&gt;0,SUM(BM8:BP8)-BQ8,"")</f>
        <v>46.769999999999996</v>
      </c>
      <c r="CA8" s="9">
        <f>IF(SUM(BX8,BZ8)&gt;0,SUM(BX8,BZ8),"")</f>
        <v>126.95</v>
      </c>
      <c r="CB8" s="27">
        <v>16.5</v>
      </c>
      <c r="CC8" s="27">
        <v>9.5</v>
      </c>
      <c r="CD8" s="27">
        <v>0</v>
      </c>
      <c r="CE8" s="27">
        <v>14.28</v>
      </c>
      <c r="CF8" s="27">
        <v>0</v>
      </c>
      <c r="CG8" s="27">
        <v>10.7</v>
      </c>
      <c r="CH8" s="27">
        <v>6.9</v>
      </c>
      <c r="CI8" s="27">
        <v>9.3999999999999986</v>
      </c>
      <c r="CJ8" s="27">
        <v>11.12</v>
      </c>
      <c r="CK8" s="27">
        <v>0</v>
      </c>
      <c r="CL8" s="27"/>
      <c r="CM8" s="27"/>
      <c r="CN8" s="27"/>
      <c r="CO8" s="27"/>
      <c r="CP8" s="27"/>
      <c r="CQ8" s="27">
        <v>14.1</v>
      </c>
      <c r="CR8" s="27">
        <v>8.6999999999999993</v>
      </c>
      <c r="CS8" s="27">
        <v>12.299999999999999</v>
      </c>
      <c r="CT8" s="27">
        <v>14.13</v>
      </c>
      <c r="CU8" s="27">
        <v>0</v>
      </c>
      <c r="CV8" s="32"/>
      <c r="CW8" s="7">
        <f>IF(SUM(CB8:CE8)-CF8&gt;0,SUM(CB8:CE8)-CF8,"")</f>
        <v>40.28</v>
      </c>
      <c r="CX8" s="7">
        <f>IF(CI8&gt;0,CI8,"")</f>
        <v>9.3999999999999986</v>
      </c>
      <c r="CY8" s="7">
        <f>IF(SUM(CG8:CJ8)-CK8&gt;0,SUM(CG8:CJ8)-CK8,"")</f>
        <v>38.119999999999997</v>
      </c>
      <c r="CZ8" s="7" t="str">
        <f>IF(CN8&gt;0,CN8,"")</f>
        <v/>
      </c>
      <c r="DA8" s="7" t="str">
        <f>IF(SUM(CL8:CO8)-CP8&gt;0,SUM(CL8:CO8)-CP8,"")</f>
        <v/>
      </c>
      <c r="DB8" s="7">
        <f>IF(CW8="",IF(MAX(CY8,DA8)&gt;0,MAX(CY8,DA8),""),MAX(CY8,DA8)+CW8)</f>
        <v>78.400000000000006</v>
      </c>
      <c r="DC8" s="7">
        <f>IF(CS8&gt;0,CS8,"")</f>
        <v>12.299999999999999</v>
      </c>
      <c r="DD8" s="7">
        <f>IF(SUM(CQ8:CT8)-CU8&gt;0,SUM(CQ8:CT8)-CU8,"")</f>
        <v>49.23</v>
      </c>
      <c r="DE8" s="7">
        <f>IF(SUM(DB8,DD8)&gt;0,SUM(DB8,DD8),"")</f>
        <v>127.63</v>
      </c>
      <c r="DF8" s="13" t="str">
        <f>IF(MAX(DZ8,EV8,FR8,GN8,HJ8,IF8,JB8,JX8,KT8,LP8,ML8,NH8)-IF(K8="",0,K8)&gt;0.001,MAX(DZ8,EV8,FR8,GN8,HJ8,IF8,JB8,JX8,KT8,LP8,ML8,NH8)-IF(K8="",0,K8),"")</f>
        <v/>
      </c>
      <c r="DG8" s="13">
        <f>IF(MAX(EA8,EW8,FS8,GO8,HK8,IG8,JC8,JY8,KU8,LQ8,MM8,NI8)-IF(M8="",0,M8)&gt;0.001,MAX(EA8,EW8,FS8,GO8,HK8,IG8,JC8,JY8,KU8,LQ8,MM8,NI8)-IF(M8="",0,M8),"")</f>
        <v>8.32</v>
      </c>
      <c r="DH8" s="13">
        <f>IF(MAX(EB8,EX8,FT8,GP8,HL8,IH8,JD8,JZ8,KV8,LR8,MN8,NJ8)-IF(I8="",0,I8)&gt;0.001,MAX(EB8,EX8,FT8,GP8,HL8,IH8,JD8,JZ8,KV8,LR8,MN8,NJ8)-IF(I8="",0,I8),"")</f>
        <v>3.0600000000000023</v>
      </c>
      <c r="DI8" s="13" t="str">
        <f>IF(MAX(ED8,EZ8,FV8,GR8,HN8,IJ8,JF8,KB8,KX8,LT8,MP8,NL8)-IF(O8="",0,O8)&gt;0.001,MAX(ED8,EZ8,FV8,GR8,HN8,IJ8,JF8,KB8,KX8,LT8,MP8,NL8)-IF(O8="",0,O8),"")</f>
        <v/>
      </c>
      <c r="DJ8" s="18">
        <v>16.100000000000001</v>
      </c>
      <c r="DK8" s="18">
        <v>9.4</v>
      </c>
      <c r="DL8" s="18">
        <v>0</v>
      </c>
      <c r="DM8" s="18">
        <v>13.83</v>
      </c>
      <c r="DN8" s="18">
        <v>0</v>
      </c>
      <c r="DO8" s="18">
        <v>12.5</v>
      </c>
      <c r="DP8" s="18">
        <v>9.4</v>
      </c>
      <c r="DQ8" s="18">
        <v>11</v>
      </c>
      <c r="DR8" s="18">
        <v>13.55</v>
      </c>
      <c r="DS8" s="18">
        <v>0</v>
      </c>
      <c r="DT8" s="18"/>
      <c r="DU8" s="18"/>
      <c r="DV8" s="18"/>
      <c r="DW8" s="18"/>
      <c r="DX8" s="18"/>
      <c r="DY8" s="7">
        <f>IF(DQ8&gt;0,DQ8,"")</f>
        <v>11</v>
      </c>
      <c r="DZ8" s="7">
        <f>IF(SUM(DJ8:DM8)-DN8&gt;0,SUM(DJ8:DM8)-DN8,"")</f>
        <v>39.33</v>
      </c>
      <c r="EA8" s="7">
        <f>IF(SUM(DO8:DR8)-DS8&gt;0,SUM(DO8:DR8)-DS8,"")</f>
        <v>46.45</v>
      </c>
      <c r="EB8" s="7">
        <f>IF(SUM(DZ8:EA8)&gt;0,SUM(DZ8:EA8),"")</f>
        <v>85.78</v>
      </c>
      <c r="EC8" s="7" t="str">
        <f>IF(DV8&gt;0,DV8,"")</f>
        <v/>
      </c>
      <c r="ED8" s="7" t="str">
        <f>IF(SUM(DT8:DW8)-DX8&gt;0,SUM(DT8:DW8)-DX8,"")</f>
        <v/>
      </c>
      <c r="EE8" s="7">
        <f>IF(SUM(EB8,ED8)&gt;0,SUM(EB8,ED8),"")</f>
        <v>85.78</v>
      </c>
      <c r="EF8" s="19"/>
      <c r="EG8" s="19"/>
      <c r="EH8" s="19"/>
      <c r="EI8" s="19"/>
      <c r="EJ8" s="19"/>
      <c r="EK8" s="19"/>
      <c r="EL8" s="19"/>
      <c r="EM8" s="19"/>
      <c r="EN8" s="19"/>
      <c r="EO8" s="19"/>
      <c r="EP8" s="19"/>
      <c r="EQ8" s="19"/>
      <c r="ER8" s="19"/>
      <c r="ES8" s="19"/>
      <c r="ET8" s="19"/>
      <c r="EU8" s="9" t="str">
        <f>IF(EM8&gt;0,EM8,"")</f>
        <v/>
      </c>
      <c r="EV8" s="9" t="str">
        <f>IF(SUM(EF8:EI8)-EJ8&gt;0,SUM(EF8:EI8)-EJ8,"")</f>
        <v/>
      </c>
      <c r="EW8" s="9" t="str">
        <f>IF(SUM(EK8:EN8)-EO8&gt;0,SUM(EK8:EN8)-EO8,"")</f>
        <v/>
      </c>
      <c r="EX8" s="9" t="str">
        <f>IF(SUM(EV8:EW8)&gt;0,SUM(EV8:EW8),"")</f>
        <v/>
      </c>
      <c r="EY8" s="9" t="str">
        <f>IF(ER8&gt;0,ER8,"")</f>
        <v/>
      </c>
      <c r="EZ8" s="9" t="str">
        <f>IF(SUM(EP8:ES8)-ET8&gt;0,SUM(EP8:ES8)-ET8,"")</f>
        <v/>
      </c>
      <c r="FA8" s="9" t="str">
        <f>IF(SUM(EX8,EZ8)&gt;0,SUM(EX8,EZ8),"")</f>
        <v/>
      </c>
      <c r="FB8" s="18">
        <v>15.9</v>
      </c>
      <c r="FC8" s="18">
        <v>9.4</v>
      </c>
      <c r="FD8" s="18">
        <v>0</v>
      </c>
      <c r="FE8" s="18">
        <v>13.61</v>
      </c>
      <c r="FF8" s="18">
        <v>0</v>
      </c>
      <c r="FG8" s="18">
        <v>13.5</v>
      </c>
      <c r="FH8" s="18">
        <v>8.8000000000000007</v>
      </c>
      <c r="FI8" s="18">
        <v>12.1</v>
      </c>
      <c r="FJ8" s="18">
        <v>13.56</v>
      </c>
      <c r="FK8" s="18">
        <v>0</v>
      </c>
      <c r="FL8" s="18">
        <v>14.1</v>
      </c>
      <c r="FM8" s="18">
        <v>9.1999999999999993</v>
      </c>
      <c r="FN8" s="18">
        <v>12.1</v>
      </c>
      <c r="FO8" s="18">
        <v>13.63</v>
      </c>
      <c r="FP8" s="18">
        <v>0</v>
      </c>
      <c r="FQ8" s="7">
        <f>IF(FI8&gt;0,FI8,"")</f>
        <v>12.1</v>
      </c>
      <c r="FR8" s="7">
        <f>IF(SUM(FB8:FE8)-FF8&gt;0,SUM(FB8:FE8)-FF8,"")</f>
        <v>38.909999999999997</v>
      </c>
      <c r="FS8" s="7">
        <f>IF(SUM(FG8:FJ8)-FK8&gt;0,SUM(FG8:FJ8)-FK8,"")</f>
        <v>47.96</v>
      </c>
      <c r="FT8" s="7">
        <f>IF(SUM(FR8:FS8)&gt;0,SUM(FR8:FS8),"")</f>
        <v>86.87</v>
      </c>
      <c r="FU8" s="7">
        <f>IF(FN8&gt;0,FN8,"")</f>
        <v>12.1</v>
      </c>
      <c r="FV8" s="7">
        <f>IF(SUM(FL8:FO8)-FP8&gt;0,SUM(FL8:FO8)-FP8,"")</f>
        <v>49.03</v>
      </c>
      <c r="FW8" s="7">
        <f>IF(SUM(FT8,FV8)&gt;0,SUM(FT8,FV8),"")</f>
        <v>135.9</v>
      </c>
      <c r="FX8" s="19">
        <v>15.5</v>
      </c>
      <c r="FY8" s="19">
        <v>9.1999999999999993</v>
      </c>
      <c r="FZ8" s="19">
        <v>0</v>
      </c>
      <c r="GA8" s="19">
        <v>14.38</v>
      </c>
      <c r="GB8" s="19">
        <v>0</v>
      </c>
      <c r="GC8" s="19">
        <v>12.6</v>
      </c>
      <c r="GD8" s="19">
        <v>8.8000000000000007</v>
      </c>
      <c r="GE8" s="19">
        <v>11.4</v>
      </c>
      <c r="GF8" s="19">
        <v>13.72</v>
      </c>
      <c r="GG8" s="19">
        <v>0</v>
      </c>
      <c r="GH8" s="19"/>
      <c r="GI8" s="19"/>
      <c r="GJ8" s="19"/>
      <c r="GK8" s="19"/>
      <c r="GL8" s="19"/>
      <c r="GM8" s="9">
        <f>IF(GE8&gt;0,GE8,"")</f>
        <v>11.4</v>
      </c>
      <c r="GN8" s="9">
        <f>IF(SUM(FX8:GA8)-GB8&gt;0,SUM(FX8:GA8)-GB8,"")</f>
        <v>39.08</v>
      </c>
      <c r="GO8" s="9">
        <f>IF(SUM(GC8:GF8)-GG8&gt;0,SUM(GC8:GF8)-GG8,"")</f>
        <v>46.519999999999996</v>
      </c>
      <c r="GP8" s="9">
        <f>IF(SUM(GN8:GO8)&gt;0,SUM(GN8:GO8),"")</f>
        <v>85.6</v>
      </c>
      <c r="GQ8" s="9" t="str">
        <f>IF(GJ8&gt;0,GJ8,"")</f>
        <v/>
      </c>
      <c r="GR8" s="9" t="str">
        <f>IF(SUM(GH8:GK8)-GL8&gt;0,SUM(GH8:GK8)-GL8,"")</f>
        <v/>
      </c>
      <c r="GS8" s="9">
        <f>IF(SUM(GP8,GR8)&gt;0,SUM(GP8,GR8),"")</f>
        <v>85.6</v>
      </c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7" t="str">
        <f>IF(HA8&gt;0,HA8,"")</f>
        <v/>
      </c>
      <c r="HJ8" s="7" t="str">
        <f>IF(SUM(GT8:GW8)-GX8&gt;0,SUM(GT8:GW8)-GX8,"")</f>
        <v/>
      </c>
      <c r="HK8" s="7" t="str">
        <f>IF(SUM(GY8:HB8)-HC8&gt;0,SUM(GY8:HB8)-HC8,"")</f>
        <v/>
      </c>
      <c r="HL8" s="7" t="str">
        <f>IF(SUM(HJ8:HK8)&gt;0,SUM(HJ8:HK8),"")</f>
        <v/>
      </c>
      <c r="HM8" s="7" t="str">
        <f>IF(HF8&gt;0,HF8,"")</f>
        <v/>
      </c>
      <c r="HN8" s="7" t="str">
        <f>IF(SUM(HD8:HG8)-HH8&gt;0,SUM(HD8:HG8)-HH8,"")</f>
        <v/>
      </c>
      <c r="HO8" s="7" t="str">
        <f>IF(SUM(HL8,HN8)&gt;0,SUM(HL8,HN8),"")</f>
        <v/>
      </c>
      <c r="HP8" s="19"/>
      <c r="HQ8" s="19"/>
      <c r="HR8" s="19"/>
      <c r="HS8" s="19"/>
      <c r="HT8" s="19"/>
      <c r="HU8" s="19"/>
      <c r="HV8" s="19"/>
      <c r="HW8" s="19"/>
      <c r="HX8" s="19"/>
      <c r="HY8" s="19"/>
      <c r="HZ8" s="19"/>
      <c r="IA8" s="19"/>
      <c r="IB8" s="19"/>
      <c r="IC8" s="19"/>
      <c r="ID8" s="19"/>
      <c r="IE8" s="9" t="str">
        <f>IF(HW8&gt;0,HW8,"")</f>
        <v/>
      </c>
      <c r="IF8" s="9" t="str">
        <f>IF(SUM(HP8:HS8)-HT8&gt;0,SUM(HP8:HS8)-HT8,"")</f>
        <v/>
      </c>
      <c r="IG8" s="9" t="str">
        <f>IF(SUM(HU8:HX8)-HY8&gt;0,SUM(HU8:HX8)-HY8,"")</f>
        <v/>
      </c>
      <c r="IH8" s="9" t="str">
        <f>IF(SUM(IF8:IG8)&gt;0,SUM(IF8:IG8),"")</f>
        <v/>
      </c>
      <c r="II8" s="9" t="str">
        <f>IF(IB8&gt;0,IB8,"")</f>
        <v/>
      </c>
      <c r="IJ8" s="9" t="str">
        <f>IF(SUM(HZ8:IC8)-ID8&gt;0,SUM(HZ8:IC8)-ID8,"")</f>
        <v/>
      </c>
      <c r="IK8" s="9" t="str">
        <f>IF(SUM(IH8,IJ8)&gt;0,SUM(IH8,IJ8),"")</f>
        <v/>
      </c>
      <c r="IL8" s="18"/>
      <c r="IM8" s="18"/>
      <c r="IN8" s="18"/>
      <c r="IO8" s="18"/>
      <c r="IP8" s="18"/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7" t="str">
        <f>IF(IS8&gt;0,IS8,"")</f>
        <v/>
      </c>
      <c r="JB8" s="7" t="str">
        <f>IF(SUM(IL8:IO8)-IP8&gt;0,SUM(IL8:IO8)-IP8,"")</f>
        <v/>
      </c>
      <c r="JC8" s="7" t="str">
        <f>IF(SUM(IQ8:IT8)-IU8&gt;0,SUM(IQ8:IT8)-IU8,"")</f>
        <v/>
      </c>
      <c r="JD8" s="7" t="str">
        <f>IF(SUM(JB8:JC8)&gt;0,SUM(JB8:JC8),"")</f>
        <v/>
      </c>
      <c r="JE8" s="7" t="str">
        <f>IF(IX8&gt;0,IX8,"")</f>
        <v/>
      </c>
      <c r="JF8" s="7" t="str">
        <f>IF(SUM(IV8:IY8)-IZ8&gt;0,SUM(IV8:IY8)-IZ8,"")</f>
        <v/>
      </c>
      <c r="JG8" s="7" t="str">
        <f>IF(SUM(JD8,JF8)&gt;0,SUM(JD8,JF8),"")</f>
        <v/>
      </c>
      <c r="JH8" s="19"/>
      <c r="JI8" s="19"/>
      <c r="JJ8" s="19"/>
      <c r="JK8" s="19"/>
      <c r="JL8" s="19"/>
      <c r="JM8" s="19"/>
      <c r="JN8" s="19"/>
      <c r="JO8" s="19"/>
      <c r="JP8" s="19"/>
      <c r="JQ8" s="19"/>
      <c r="JR8" s="19"/>
      <c r="JS8" s="19"/>
      <c r="JT8" s="19"/>
      <c r="JU8" s="19"/>
      <c r="JV8" s="19"/>
      <c r="JW8" s="9" t="str">
        <f>IF(JO8&gt;0,JO8,"")</f>
        <v/>
      </c>
      <c r="JX8" s="9" t="str">
        <f>IF(SUM(JH8:JK8)-JL8&gt;0,SUM(JH8:JK8)-JL8,"")</f>
        <v/>
      </c>
      <c r="JY8" s="9" t="str">
        <f>IF(SUM(JM8:JP8)-JQ8&gt;0,SUM(JM8:JP8)-JQ8,"")</f>
        <v/>
      </c>
      <c r="JZ8" s="9" t="str">
        <f>IF(SUM(JX8:JY8)&gt;0,SUM(JX8:JY8),"")</f>
        <v/>
      </c>
      <c r="KA8" s="9" t="str">
        <f>IF(JT8&gt;0,JT8,"")</f>
        <v/>
      </c>
      <c r="KB8" s="9" t="str">
        <f>IF(SUM(JR8:JU8)-JV8&gt;0,SUM(JR8:JU8)-JV8,"")</f>
        <v/>
      </c>
      <c r="KC8" s="9" t="str">
        <f>IF(SUM(JZ8,KB8)&gt;0,SUM(JZ8,KB8),"")</f>
        <v/>
      </c>
      <c r="KD8" s="18"/>
      <c r="KE8" s="18"/>
      <c r="KF8" s="18"/>
      <c r="KG8" s="18"/>
      <c r="KH8" s="18"/>
      <c r="KI8" s="18"/>
      <c r="KJ8" s="18"/>
      <c r="KK8" s="18"/>
      <c r="KL8" s="18"/>
      <c r="KM8" s="18"/>
      <c r="KN8" s="18"/>
      <c r="KO8" s="18"/>
      <c r="KP8" s="18"/>
      <c r="KQ8" s="18"/>
      <c r="KR8" s="18"/>
      <c r="KS8" s="7" t="str">
        <f>IF(KK8&gt;0,KK8,"")</f>
        <v/>
      </c>
      <c r="KT8" s="7" t="str">
        <f>IF(SUM(KD8:KG8)-KH8&gt;0,SUM(KD8:KG8)-KH8,"")</f>
        <v/>
      </c>
      <c r="KU8" s="7" t="str">
        <f>IF(SUM(KI8:KL8)-KM8&gt;0,SUM(KI8:KL8)-KM8,"")</f>
        <v/>
      </c>
      <c r="KV8" s="7" t="str">
        <f>IF(SUM(KT8:KU8)&gt;0,SUM(KT8:KU8),"")</f>
        <v/>
      </c>
      <c r="KW8" s="7" t="str">
        <f>IF(KP8&gt;0,KP8,"")</f>
        <v/>
      </c>
      <c r="KX8" s="7" t="str">
        <f>IF(SUM(KN8:KQ8)-KR8&gt;0,SUM(KN8:KQ8)-KR8,"")</f>
        <v/>
      </c>
      <c r="KY8" s="7" t="str">
        <f>IF(SUM(KV8,KX8)&gt;0,SUM(KV8,KX8),"")</f>
        <v/>
      </c>
      <c r="KZ8" s="19"/>
      <c r="LA8" s="19"/>
      <c r="LB8" s="19"/>
      <c r="LC8" s="19"/>
      <c r="LD8" s="19"/>
      <c r="LE8" s="19"/>
      <c r="LF8" s="19"/>
      <c r="LG8" s="19"/>
      <c r="LH8" s="19"/>
      <c r="LI8" s="19"/>
      <c r="LJ8" s="19"/>
      <c r="LK8" s="19"/>
      <c r="LL8" s="19"/>
      <c r="LM8" s="19"/>
      <c r="LN8" s="19"/>
      <c r="LO8" s="9" t="str">
        <f>IF(LG8&gt;0,LG8,"")</f>
        <v/>
      </c>
      <c r="LP8" s="9" t="str">
        <f>IF(SUM(KZ8:LC8)-LD8&gt;0,SUM(KZ8:LC8)-LD8,"")</f>
        <v/>
      </c>
      <c r="LQ8" s="9" t="str">
        <f>IF(SUM(LE8:LH8)-LI8&gt;0,SUM(LE8:LH8)-LI8,"")</f>
        <v/>
      </c>
      <c r="LR8" s="9" t="str">
        <f>IF(SUM(LP8:LQ8)&gt;0,SUM(LP8:LQ8),"")</f>
        <v/>
      </c>
      <c r="LS8" s="9" t="str">
        <f>IF(LL8&gt;0,LL8,"")</f>
        <v/>
      </c>
      <c r="LT8" s="9" t="str">
        <f>IF(SUM(LJ8:LM8)-LN8&gt;0,SUM(LJ8:LM8)-LN8,"")</f>
        <v/>
      </c>
      <c r="LU8" s="9" t="str">
        <f>IF(SUM(LR8,LT8)&gt;0,SUM(LR8,LT8),"")</f>
        <v/>
      </c>
      <c r="LV8" s="18"/>
      <c r="LW8" s="18"/>
      <c r="LX8" s="18"/>
      <c r="LY8" s="18"/>
      <c r="LZ8" s="18"/>
      <c r="MA8" s="18"/>
      <c r="MB8" s="18"/>
      <c r="MC8" s="18"/>
      <c r="MD8" s="18"/>
      <c r="ME8" s="18"/>
      <c r="MF8" s="18"/>
      <c r="MG8" s="18"/>
      <c r="MH8" s="18"/>
      <c r="MI8" s="18"/>
      <c r="MJ8" s="18"/>
      <c r="MK8" s="7" t="str">
        <f>IF(MC8&gt;0,MC8,"")</f>
        <v/>
      </c>
      <c r="ML8" s="7" t="str">
        <f>IF(SUM(LV8:LY8)-LZ8&gt;0,SUM(LV8:LY8)-LZ8,"")</f>
        <v/>
      </c>
      <c r="MM8" s="7" t="str">
        <f>IF(SUM(MA8:MD8)-ME8&gt;0,SUM(MA8:MD8)-ME8,"")</f>
        <v/>
      </c>
      <c r="MN8" s="7" t="str">
        <f>IF(SUM(ML8:MM8)&gt;0,SUM(ML8:MM8),"")</f>
        <v/>
      </c>
      <c r="MO8" s="7" t="str">
        <f>IF(MH8&gt;0,MH8,"")</f>
        <v/>
      </c>
      <c r="MP8" s="7" t="str">
        <f>IF(SUM(MF8:MI8)-MJ8&gt;0,SUM(MF8:MI8)-MJ8,"")</f>
        <v/>
      </c>
      <c r="MQ8" s="7" t="str">
        <f>IF(SUM(MN8,MP8)&gt;0,SUM(MN8,MP8),"")</f>
        <v/>
      </c>
      <c r="MR8" s="19"/>
      <c r="MS8" s="19"/>
      <c r="MT8" s="19"/>
      <c r="MU8" s="19"/>
      <c r="MV8" s="19"/>
      <c r="MW8" s="19"/>
      <c r="MX8" s="19"/>
      <c r="MY8" s="19"/>
      <c r="MZ8" s="19"/>
      <c r="NA8" s="19"/>
      <c r="NB8" s="19"/>
      <c r="NC8" s="19"/>
      <c r="ND8" s="19"/>
      <c r="NE8" s="19"/>
      <c r="NF8" s="19"/>
      <c r="NG8" s="9" t="str">
        <f>IF(MY8&gt;0,MY8,"")</f>
        <v/>
      </c>
      <c r="NH8" s="9" t="str">
        <f>IF(SUM(MR8:MU8)-MV8&gt;0,SUM(MR8:MU8)-MV8,"")</f>
        <v/>
      </c>
      <c r="NI8" s="9" t="str">
        <f>IF(SUM(MW8:MZ8)-NA8&gt;0,SUM(MW8:MZ8)-NA8,"")</f>
        <v/>
      </c>
      <c r="NJ8" s="9" t="str">
        <f>IF(SUM(NH8:NI8)&gt;0,SUM(NH8:NI8),"")</f>
        <v/>
      </c>
      <c r="NK8" s="9" t="str">
        <f>IF(ND8&gt;0,ND8,"")</f>
        <v/>
      </c>
      <c r="NL8" s="9" t="str">
        <f>IF(SUM(NB8:NE8)-NF8&gt;0,SUM(NB8:NE8)-NF8,"")</f>
        <v/>
      </c>
      <c r="NM8" s="9" t="str">
        <f>IF(SUM(NJ8,NL8)&gt;0,SUM(NJ8,NL8),"")</f>
        <v/>
      </c>
      <c r="NN8" s="27">
        <f>IF($CV8="P",CB8,(CB8+AX8)/2)</f>
        <v>16.899999999999999</v>
      </c>
      <c r="NO8" s="27">
        <f>IF($CV8="P",CC8,(CC8+AY8)/2)</f>
        <v>9.4</v>
      </c>
      <c r="NP8" s="27">
        <f>IF($CV8="P",CD8,(CD8+AZ8)/2)</f>
        <v>0</v>
      </c>
      <c r="NQ8" s="27">
        <f>IF($CV8="P",CE8,(CE8+BA8)/2)</f>
        <v>14.11</v>
      </c>
      <c r="NR8" s="27">
        <f>IF($CV8="P",CF8,(CF8+BB8)/2)</f>
        <v>0</v>
      </c>
      <c r="NS8" s="27">
        <f>IF($CV8="P",CG8,(CG8+BC8)/2)</f>
        <v>11</v>
      </c>
      <c r="NT8" s="27">
        <f>IF($CV8="P",CH8,(CH8+BD8)/2)</f>
        <v>7.1</v>
      </c>
      <c r="NU8" s="27">
        <f>IF($CV8="P",CI8,(CI8+BE8)/2)</f>
        <v>9.5</v>
      </c>
      <c r="NV8" s="27">
        <f>IF($CV8="P",CJ8,(CJ8+BF8)/2)</f>
        <v>11.28</v>
      </c>
      <c r="NW8" s="27">
        <f>IF($CV8="P",CK8,(CK8+BG8)/2)</f>
        <v>0</v>
      </c>
      <c r="NX8" s="27">
        <f>IF($CV8="P",CL8,(CL8+BH8)/2)</f>
        <v>0</v>
      </c>
      <c r="NY8" s="27">
        <f>IF($CV8="P",CM8,(CM8+BI8)/2)</f>
        <v>0</v>
      </c>
      <c r="NZ8" s="27">
        <f>IF($CV8="P",CN8,(CN8+BJ8)/2)</f>
        <v>0</v>
      </c>
      <c r="OA8" s="27">
        <f>IF($CV8="P",CO8,(CO8+BK8)/2)</f>
        <v>0</v>
      </c>
      <c r="OB8" s="27">
        <f>IF($CV8="P",CP8,(CP8+BL8)/2)</f>
        <v>0</v>
      </c>
      <c r="OC8" s="27">
        <f>IF($CV8="P",CQ8,(CQ8+BM8)/2)</f>
        <v>14.5</v>
      </c>
      <c r="OD8" s="27">
        <f>IF($CV8="P",CR8,(CR8+BN8)/2)</f>
        <v>8.85</v>
      </c>
      <c r="OE8" s="27">
        <f>IF($CV8="P",CS8,(CS8+BO8)/2)</f>
        <v>11.6</v>
      </c>
      <c r="OF8" s="27">
        <f>IF($CV8="P",CT8,(CT8+BP8)/2)</f>
        <v>14.05</v>
      </c>
      <c r="OG8" s="27">
        <f>IF($CV8="P",CU8,(CU8+BQ8)/2)</f>
        <v>1</v>
      </c>
      <c r="OH8" s="32" t="s">
        <v>44</v>
      </c>
      <c r="OI8" s="7">
        <f>IF(SUM(NN8:NQ8)-NR8&gt;0,SUM(NN8:NQ8)-NR8,"")</f>
        <v>40.409999999999997</v>
      </c>
      <c r="OJ8" s="7">
        <f>IF(NU8&gt;0,NU8,"")</f>
        <v>9.5</v>
      </c>
      <c r="OK8" s="7">
        <f>IF(SUM(NS8:NV8)-NW8&gt;0,SUM(NS8:NV8)-NW8,"")</f>
        <v>38.880000000000003</v>
      </c>
      <c r="OL8" s="7" t="str">
        <f>IF(NZ8&gt;0,NZ8,"")</f>
        <v/>
      </c>
      <c r="OM8" s="7" t="str">
        <f>IF(SUM(NX8:OA8)-OB8&gt;0,SUM(NX8:OA8)-OB8,"")</f>
        <v/>
      </c>
      <c r="ON8" s="7">
        <f>IF(OR(OI8&lt;&gt;"",OK8&lt;&gt;"",OM8&lt;&gt;""),OI8+MAX(OK8,OM8),"")</f>
        <v>79.289999999999992</v>
      </c>
      <c r="OO8" s="7">
        <f>IF(OE8&gt;0,OE8,"")</f>
        <v>11.6</v>
      </c>
      <c r="OP8" s="7">
        <f t="shared" ref="OP8" si="8">IF(SUM(OC8:OF8)-OG8&gt;0,SUM(OC8:OF8)-OG8,"")</f>
        <v>48</v>
      </c>
      <c r="OQ8" s="7">
        <f t="shared" ref="OQ8" si="9">IF(SUM(ON8,OP8)&gt;0,SUM(ON8,OP8),"")</f>
        <v>127.28999999999999</v>
      </c>
    </row>
    <row r="9" spans="1:407" x14ac:dyDescent="0.2">
      <c r="A9" s="4" t="str" cm="1">
        <f t="array" ref="A9">IF(AND(H9&lt;&gt;"",H9&lt;&gt;"No DD"),SUMPRODUCT((H$4:H$12&lt;&gt;"")*(H$4:H$12&lt;&gt;"No DD")*(E$4:E$12&gt;E9))+1,IF(H9="No DD",SUMPRODUCT((H$4:H$12="No DD")*(E$4:E$12&gt;E9))+1+SUMPRODUCT((H$4:H$12&lt;&gt;"")*(H$4:H$12&lt;&gt;"No DD")),""))</f>
        <v/>
      </c>
      <c r="B9" s="5" t="s">
        <v>97</v>
      </c>
      <c r="C9" s="4" t="s">
        <v>68</v>
      </c>
      <c r="D9" s="4">
        <v>2009</v>
      </c>
      <c r="E9" s="10">
        <f>SUM(I9:Q9)</f>
        <v>221.38</v>
      </c>
      <c r="F9" s="3" t="str">
        <f>IF(OR(AND(AP9&gt;=AW$14,AT9&gt;=AW$18,AO9&lt;&gt;"",AN9=""),AND(BT9&gt;=CA$14,BX9&gt;=CA$18,BS9&lt;&gt;"",BR9=""),AND(CX9&gt;=DE$14,DB9&gt;=DE$18,CW9&lt;&gt;"",CV9=""),AND(DY9&gt;=EE$14,EB9&gt;=EE$18,DY9&lt;&gt;""),AND(EU9&gt;=FA$14,EX9&gt;=FA$18,EU9&lt;&gt;""),AND(FQ9&gt;=FW$14,FT9&gt;=FW$18,FQ9&lt;&gt;""),AND(GM9&gt;=GS$14,GP9&gt;=GS$18,GM9&lt;&gt;""),AND(HI9&gt;=HO$14,HL9&gt;=HO$18,HI9&lt;&gt;""),AND(IE9&gt;=IK$14,IH9&gt;=IK$18,IE9&lt;&gt;""),AND(JA9&gt;=JG$14,JD9&gt;=JG$18,JA9&lt;&gt;""),AND(JW9&gt;=KC$14,JZ9&gt;=KC$18,JW9&lt;&gt;""),AND(KS9&gt;=KY$14,KV9&gt;=KY$18,KS9&lt;&gt;""),AND(LO9&gt;=LU$14,LR9&gt;=LU$18,LO9&lt;&gt;""),AND(MK9&gt;=MQ$14,MN9&gt;=MQ$18,MK9&lt;&gt;""),AND(NG9&gt;=NM$14,NJ9&gt;=NM$18,NG9&lt;&gt;"")),"P","")</f>
        <v/>
      </c>
      <c r="G9" s="3" t="str">
        <f>IF(OR(AND(AT9&gt;=AW$18,AO9&lt;&gt;"",AN9=""),AND(BX9&gt;=CA$18,BS9&lt;&gt;"",BR9=""),AND(DB9&gt;=DE$18,CW9&lt;&gt;"",CV9=""),AND(EB9&gt;=EE$18,DY9&lt;&gt;""),AND(EX9&gt;=FA$18,EU9&lt;&gt;""),AND(FT9&gt;=FW$18,FQ9&lt;&gt;""),AND(GP9&gt;=GS$18,GM9&lt;&gt;""),AND(HL9&gt;=HO$18,HI9&lt;&gt;""),AND(IH9&gt;=IK$18,IE9&lt;&gt;""),AND(JD9&gt;=JG$18,JA9&lt;&gt;""),AND(JZ9&gt;=KC$18,JW9&lt;&gt;""),AND(KV9&gt;=KY$18,KS9&lt;&gt;""),AND(LR9&gt;=LU$18,LO9&lt;&gt;""),AND(MN9&gt;=MQ$18,MK9&lt;&gt;""),AND(NJ9&gt;=NM$18,NG9&lt;&gt;"")),"P","")</f>
        <v/>
      </c>
      <c r="H9" s="47" t="str">
        <f>IF(OR(AND(AP9&gt;=AW$17,AQ9&gt;=AW$21,AP9&lt;&gt;"",AN9=""),AND(AU9&gt;=AW$17,AV9&gt;=AW$21,AU9&lt;&gt;"",AN9=""),AND(BT9&gt;=CA$17,BU9&gt;=CA$21,BT9&lt;&gt;"",BR9=""),AND(BY9&gt;=CA$17,BZ9&gt;=CA$21,BY9&lt;&gt;"",BR9=""),AND(CX9&gt;=DE$17,CY9&gt;=DE$21,CX9&lt;&gt;"",CV9=""),AND(DC9&gt;=DE$17,DD9&gt;=DE$21,DC9&lt;&gt;"",CV9=""),AND(DY9&gt;=EE$17,EA9&gt;=EE$21,DY9&lt;&gt;""),AND(EC9&gt;=EE$17,ED9&gt;=EE$21,EC9&lt;&gt;""),AND(EU9&gt;=FA$17,EW9&gt;=FA$21,EU9&lt;&gt;""),AND(EY9&gt;=FA$17,EZ9&gt;=FA$21,EY9&lt;&gt;""),AND(FQ9&gt;=FW$17,FS9&gt;=FW$21,FQ9&lt;&gt;""),AND(FU9&gt;=FW$17,FV9&gt;=FW$21,FU9&lt;&gt;""),AND(GM9&gt;=GS$17,GO9&gt;=GS$21,GM9&lt;&gt;""),AND(GQ9&gt;=GS$17,GR9&gt;=GS$21,GQ9&lt;&gt;""),AND(HI9&gt;=HO$17,HK9&gt;=HO$21,HI9&lt;&gt;""),AND(HM9&gt;=HO$17,HN9&gt;=HO$21,HM9&lt;&gt;""),AND(IE9&gt;=IK$17,IG9&gt;=IK$21,IE9&lt;&gt;""),AND(II9&gt;=IK$17,IJ9&gt;=IK$21,II9&lt;&gt;""),AND(JA9&gt;=JG$17,JC9&gt;=JG$21,JA9&lt;&gt;""),AND(JE9&gt;=JG$17,JF9&gt;=JG$21,JE9&lt;&gt;""),AND(JW9&gt;=KC$17,JY9&gt;=KC$21,JW9&lt;&gt;""),AND(KA9&gt;=KC$17,KB9&gt;=KC$21,KA9&lt;&gt;""),AND(KS9&gt;=KY$17,KU9&gt;=KY$21,KS9&lt;&gt;""),AND(KW9&gt;=KY$17,KX9&gt;=KY$21,KW9&lt;&gt;""),AND(LO9&gt;=LU$17,LQ9&gt;=LU$21,LO9&lt;&gt;""),AND(LS9&gt;=LU$17,LT9&gt;=LU$21,LS9&lt;&gt;""),AND(MK9&gt;=MQ$17,MM9&gt;=MQ$21,MK9&lt;&gt;""),AND(MO9&gt;=MQ$17,MP9&gt;=MQ$21,MO9&lt;&gt;""),AND(NG9&gt;=NM$17,NI9&gt;=NM$21,NG9&lt;&gt;""),AND(NK9&gt;=NM$17,NL9&gt;=NM$21,NK9&lt;&gt;"")),"Merit",IF(OR(AND(AP9&gt;=AW$16,AT9&gt;=AW$20,AO9&lt;&gt;"",AN9=""),AND(BT9&gt;=CA$16,BX9&gt;=CA$20,BS9&lt;&gt;"",BR9=""),AND(CX9&gt;=DE$16,DB9&gt;=DE$20,CW9&lt;&gt;"",CV9=""),AND(DY9&gt;=EE$16,EB9&gt;=EE$20,DY9&lt;&gt;""),AND(EU9&gt;=FA$16,EX9&gt;=FA$20,EU9&lt;&gt;""),AND(FQ9&gt;=FW$16,FT9&gt;=FW$20,FQ9&lt;&gt;""),AND(GM9&gt;=GS$16,GP9&gt;=GS$20,GM9&lt;&gt;""),AND(HI9&gt;=HO$16,HL9&gt;=HO$20,HI9&lt;&gt;""),AND(IE9&gt;=IK$16,IH9&gt;=IK$20,IE9&lt;&gt;""),AND(JA9&gt;=JG$16,JD9&gt;=JG$20,JA9&lt;&gt;""),AND(JW9&gt;=KC$16,JZ9&gt;=KC$20,JW9&lt;&gt;""),AND(KS9&gt;=KY$16,KV9&gt;=KY$20,KS9&lt;&gt;""),AND(LO9&gt;=LU$16,LR9&gt;=LU$20,LO9&lt;&gt;""),AND(MK9&gt;=MQ$16,MN9&gt;=MQ$20,MK9&lt;&gt;""),AND(NG9&gt;=NM$16,NJ9&gt;=NM$20,NG9&lt;&gt;"")),"Excellence",IF(OR(AND(AP9&gt;=AW$14,AT9&gt;=AW$18,AO9&lt;&gt;"",AN9=""),AND(BT9&gt;=CA$14,BX9&gt;=CA$18,BS9&lt;&gt;"",BR9=""),AND(CX9&gt;=DE$14,DB9&gt;=DE$18,CW9&lt;&gt;"",CV9=""),AND(DY9&gt;=EE$14,EB9&gt;=EE$18,DY9&lt;&gt;""),AND(EU9&gt;=FA$14,EX9&gt;=FA$18,EU9&lt;&gt;""),AND(FQ9&gt;=FW$14,FT9&gt;=FW$18,FQ9&lt;&gt;""),AND(GM9&gt;=GS$14,GP9&gt;=GS$18,GM9&lt;&gt;""),AND(HI9&gt;=HO$14,HL9&gt;=HO$18,HI9&lt;&gt;""),AND(IE9&gt;=IK$14,IH9&gt;=IK$18,IE9&lt;&gt;""),AND(JA9&gt;=JG$14,JD9&gt;=JG$18,JA9&lt;&gt;""),AND(JW9&gt;=KC$14,JZ9&gt;=KC$18,JW9&lt;&gt;""),AND(KS9&gt;=KY$14,KV9&gt;=KY$18,KS9&lt;&gt;""),AND(LO9&gt;=LU$14,LR9&gt;=LU$18,LO9&lt;&gt;""),AND(MK9&gt;=MQ$14,MN9&gt;=MQ$18,MK9&lt;&gt;""),AND(NG9&gt;=NM$14,NJ9&gt;=NM$18,NG9&lt;&gt;"")),"National Team",IF(G9="P","No DD",""))))</f>
        <v/>
      </c>
      <c r="I9" s="9">
        <f>IF(MAX(AT9,BX9,DB9)&gt;0,MAX(AT9,BX9,DB9),0)</f>
        <v>87.4</v>
      </c>
      <c r="J9" s="9" t="str">
        <f>IF(I9=0,"",IF(I9=DB9,$CB$1,IF(I9=BX9,$AX$1,IF(I9=AT9,$T$1,""))))</f>
        <v>2023 3rd Domestic Trial</v>
      </c>
      <c r="K9" s="9">
        <f>IF($I9=$AT9,MAX(BS9,CW9),IF($I9=$BX9,MAX(AO9,CW9),IF($I9=$DB9,MAX(AO9,BS9),MAX(AO9,BS9,CW9))))</f>
        <v>40.17</v>
      </c>
      <c r="L9" s="9" t="str">
        <f>IF(K9=0,"",IF(AND(K9=CW9,$J9&lt;&gt;$CB$1),$CB$1,IF(AND(K9=BS9,$J9&lt;&gt;$AX$1),$AX$1,IF(AND(K9=AO9,$J9&lt;&gt;$T$1),$T$1,""))))</f>
        <v>2023 Elite Canada</v>
      </c>
      <c r="M9" s="9">
        <f>IF(I9-N(AO9)=AQ9,MAX(AS9,BU9,BW9,CY9,DA9),IF(I9-N(AO9)=AS9,MAX(AQ9,BU9,BW9,CY9,DA9),IF(I9-N(BS9)=BU9,MAX(AQ9,AS9,BW9,CY9,DA9),IF(I9-N(BS9)=BW9,MAX(AQ9,AS9,BU9,CY9,DA9),IF(I9-N(CW9)=CY9,MAX(AQ9,AS9,BU9,BW9,DA9),IF(I9-N(CW9)=DA9,MAX(AQ9,AS9,BU9,BW9,CY9),MAX(AQ9,AS9,BU9,BW9,CY9,DA9)))))))</f>
        <v>47.46</v>
      </c>
      <c r="N9" s="9" t="str">
        <f>IF(M9=0,"",IF(AND(OR(M9=DA9,M9=CY9),$J9&lt;&gt;$CB$1),$CB$1,IF(AND(OR(M9=BW9,M9=BU9),$J9&lt;&gt;$AX$1),$AX$1,IF(AND(OR(M9=AS9,M9=AQ9),$J9&lt;&gt;$T$1),$T$1,""))))</f>
        <v>2023 Nationals</v>
      </c>
      <c r="O9" s="9">
        <f>MAX(AV9,BZ9,DD9)</f>
        <v>46.35</v>
      </c>
      <c r="P9" s="9" t="str">
        <f>IF(O9=0,"",IF(O9=DD9,$CB$1,IF(O9=BZ9,$AX$1,IF(O9=AV9,$T$1,""))))</f>
        <v>2023 3rd Domestic Trial</v>
      </c>
      <c r="Q9" s="9" t="str">
        <f>IF(MAX(DF9,DG9,DH9,DI9)&gt;0,MAX(DF9,DG9,DH9,DI9),"")</f>
        <v/>
      </c>
      <c r="R9" s="14" t="str">
        <f>IF(Q9="","",IF(Q9=DF9,"(Vol 1)",IF(Q9=DG9,"(Vol 2)",IF(Q9=DH9,"(Prelim)",IF(Q9=DI9,"(Final)")))))</f>
        <v/>
      </c>
      <c r="S9" s="9" t="str">
        <f>IF(Q9="","",IF(Q9=DF9,IF(Q9+IF(K9="",0,K9)=NH9,$MR$1,IF(Q9+IF(K9="",0,K9)=ML9,$LV$1,IF(Q9+IF(K9="",0,K9)=LP9,$KZ$1,IF(Q9+IF(K9="",0,K9)=KT9,$KD$1,IF(Q9+IF(K9="",0,K9)=JX9,$JH$1,IF(Q9+IF(K9="",0,K9)=JB9,$IL$1,IF(Q9+IF(K9="",0,K9)=IF9,$HP$1,IF(Q9+IF(K9="",0,K9)=HJ9,$GT$1,IF(Q9+IF(K9="",0,K9)=GN9,$FX$1,IF(Q9+IF(K9="",0,K9)=FR9,$FB$1,IF(Q9+IF(K9="",0,K9)=EV9,$EF$1,IF(Q9+IF(K9="",0,K9)=DZ9,$DJ$1)))))))))))),IF(Q9=DG9,IF(Q9+IF(M9="",0,M9)=NI9,$MR$1,IF(Q9+IF(M9="",0,M9)=MM9,$LV$1,IF(Q9+IF(M9="",0,M9)=LQ9,$KZ$1,IF(Q9+IF(M9="",0,M9)=KU9,$KD$1,IF(Q9+IF(M9="",0,M9)=JY9,$JH$1,IF(Q9+IF(M9="",0,M9)=JC9,$IL$1,IF(Q9+IF(M9="",0,M9)=IG9,$HP$1,IF(Q9+IF(M9="",0,M9)=HK9,$GT$1,IF(Q9+IF(M9="",0,M9)=GO9,$FX$1,IF(Q9+IF(M9="",0,M9)=FS9,$FB$1,IF(Q9+IF(M9="",0,M9)=EW9,$EF$1,IF(Q9+IF(M9="",0,M9)=EA9,$DJ$1)))))))))))),IF(Q9=DH9,IF(Q9+IF(I9="",0,I9)=NJ9,$MR$1,IF(Q9+IF(I9="",0,I9)=MN9,$LV$1,IF(Q9+IF(I9="",0,I9)=LR9,$KZ$1,IF(Q9+IF(I9="",0,I9)=KV9,$KD$1,IF(Q9+IF(I9="",0,I9)=JZ9,$JH$1,IF(Q9+IF(I9="",0,I9)=JD9,$IL$1,IF(Q9+IF(I9="",0,I9)=IH9,$HP$1,IF(Q9+IF(I9="",0,I9)=HL9,$GT$1,IF(Q9+IF(I9="",0,I9)=GP9,$FX$1,IF(Q9+IF(I9="",0,I9)=FT9,$FB$1,IF(Q9+IF(I9="",0,I9)=EX9,$EF$1,IF(Q9+IF(I9="",0,I9)=EB9,$DJ$1)))))))))))),IF(Q9=DI9,IF(Q9+IF(O9="",0,O9)=NL9,$MR$1,IF(Q9+IF(O9="",0,O9)=MP9,$LV$1,IF(Q9+IF(O9="",0,O9)=LT9,$KZ$1,IF(Q9+IF(O9="",0,O9)=KX9,$KD$1,IF(Q9+IF(O9="",0,O9)=KB9,$JH$1,IF(Q9+IF(O9="",0,O9)=JF9,$IL$1,IF(Q9+IF(O9="",0,O9)=IJ9,$HP$1,IF(Q9+IF(O9="",0,O9)=HN9,$GT$1,IF(Q9+IF(O9="",0,O9)=GR9,$FX$1,IF(Q9+IF(O9="",0,O9)=FV9,$FB$1,IF(Q9+IF(O9="",0,O9)=EZ9,$EF$1,IF(Q9+IF(O9="",0,O9)=ED9,$DJ$1)))))))))))))))))</f>
        <v/>
      </c>
      <c r="T9" s="27">
        <v>16</v>
      </c>
      <c r="U9" s="27">
        <v>9.9</v>
      </c>
      <c r="V9" s="27">
        <v>0</v>
      </c>
      <c r="W9" s="27">
        <v>14.27</v>
      </c>
      <c r="X9" s="27">
        <v>0</v>
      </c>
      <c r="Y9" s="27">
        <v>1.6</v>
      </c>
      <c r="Z9" s="27">
        <v>1</v>
      </c>
      <c r="AA9" s="27">
        <v>1.5</v>
      </c>
      <c r="AB9" s="27">
        <v>1.48</v>
      </c>
      <c r="AC9" s="27">
        <v>0</v>
      </c>
      <c r="AD9" s="27"/>
      <c r="AE9" s="27"/>
      <c r="AF9" s="27"/>
      <c r="AG9" s="27"/>
      <c r="AH9" s="27"/>
      <c r="AI9" s="27"/>
      <c r="AJ9" s="27"/>
      <c r="AK9" s="27"/>
      <c r="AL9" s="27"/>
      <c r="AM9" s="27"/>
      <c r="AN9" s="32"/>
      <c r="AO9" s="7">
        <f>IF(SUM(T9:W9)-X9&gt;0,SUM(T9:W9)-X9,"")</f>
        <v>40.17</v>
      </c>
      <c r="AP9" s="7">
        <f>IF(AA9&gt;0,AA9,"")</f>
        <v>1.5</v>
      </c>
      <c r="AQ9" s="7">
        <f>IF(SUM(Y9:AB9)-AC9&gt;0,SUM(Y9:AB9)-AC9,"")</f>
        <v>5.58</v>
      </c>
      <c r="AR9" s="7" t="str">
        <f>IF(AF9&gt;0,AF9,"")</f>
        <v/>
      </c>
      <c r="AS9" s="7" t="str">
        <f>IF(SUM(AD9:AG9)-AH9&gt;0,SUM(AD9:AG9)-AH9,"")</f>
        <v/>
      </c>
      <c r="AT9" s="7">
        <f>IF(AO9="",IF(MAX(AQ9,AS9)&gt;0,MAX(AQ9,AS9),""),MAX(AQ9,AS9)+AO9)</f>
        <v>45.75</v>
      </c>
      <c r="AU9" s="7" t="str">
        <f>IF(AK9&gt;0,AK9,"")</f>
        <v/>
      </c>
      <c r="AV9" s="7" t="str">
        <f>IF(SUM(AI9:AL9)-AM9&gt;0,SUM(AI9:AL9)-AM9,"")</f>
        <v/>
      </c>
      <c r="AW9" s="7">
        <f>IF(SUM(AT9,AV9)&gt;0,SUM(AT9,AV9),"")</f>
        <v>45.75</v>
      </c>
      <c r="AX9" s="31">
        <v>15.9</v>
      </c>
      <c r="AY9" s="31">
        <v>9.4</v>
      </c>
      <c r="AZ9" s="31">
        <v>0</v>
      </c>
      <c r="BA9" s="31">
        <v>14.28</v>
      </c>
      <c r="BB9" s="31">
        <v>0</v>
      </c>
      <c r="BC9" s="31">
        <v>13.6</v>
      </c>
      <c r="BD9" s="31">
        <v>9.3000000000000007</v>
      </c>
      <c r="BE9" s="31">
        <v>11</v>
      </c>
      <c r="BF9" s="31">
        <v>13.56</v>
      </c>
      <c r="BG9" s="31">
        <v>0</v>
      </c>
      <c r="BH9" s="31"/>
      <c r="BI9" s="31"/>
      <c r="BJ9" s="31"/>
      <c r="BK9" s="31"/>
      <c r="BL9" s="31"/>
      <c r="BM9" s="31">
        <v>13.1</v>
      </c>
      <c r="BN9" s="31">
        <v>9.3000000000000007</v>
      </c>
      <c r="BO9" s="31">
        <v>10.9</v>
      </c>
      <c r="BP9" s="31">
        <v>12.93</v>
      </c>
      <c r="BQ9" s="31">
        <v>0</v>
      </c>
      <c r="BR9" s="33"/>
      <c r="BS9" s="9">
        <f>IF(SUM(AX9:BA9)-BB9&gt;0,SUM(AX9:BA9)-BB9,"")</f>
        <v>39.58</v>
      </c>
      <c r="BT9" s="9">
        <f>IF(BE9&gt;0,BE9,"")</f>
        <v>11</v>
      </c>
      <c r="BU9" s="9">
        <f>IF(SUM(BC9:BF9)-BG9&gt;0,SUM(BC9:BF9)-BG9,"")</f>
        <v>47.46</v>
      </c>
      <c r="BV9" s="9" t="str">
        <f>IF(BJ9&gt;0,BJ9,"")</f>
        <v/>
      </c>
      <c r="BW9" s="9" t="str">
        <f>IF(SUM(BH9:BK9)-BL9&gt;0,SUM(BH9:BK9)-BL9,"")</f>
        <v/>
      </c>
      <c r="BX9" s="9">
        <f>IF(BS9="",IF(MAX(BU9,BW9)&gt;0,MAX(BU9,BW9),""),MAX(BU9,BW9)+BS9)</f>
        <v>87.039999999999992</v>
      </c>
      <c r="BY9" s="9">
        <f>IF(BO9&gt;0,BO9,"")</f>
        <v>10.9</v>
      </c>
      <c r="BZ9" s="9">
        <f>IF(SUM(BM9:BP9)-BQ9&gt;0,SUM(BM9:BP9)-BQ9,"")</f>
        <v>46.23</v>
      </c>
      <c r="CA9" s="9">
        <f>IF(SUM(BX9,BZ9)&gt;0,SUM(BX9,BZ9),"")</f>
        <v>133.26999999999998</v>
      </c>
      <c r="CB9" s="27">
        <v>16.5</v>
      </c>
      <c r="CC9" s="27">
        <v>9.5</v>
      </c>
      <c r="CD9" s="27">
        <v>0</v>
      </c>
      <c r="CE9" s="27">
        <v>14.1</v>
      </c>
      <c r="CF9" s="27">
        <v>0</v>
      </c>
      <c r="CG9" s="27">
        <v>13.5</v>
      </c>
      <c r="CH9" s="27">
        <v>9.1</v>
      </c>
      <c r="CI9" s="27">
        <v>10.999999999999998</v>
      </c>
      <c r="CJ9" s="27">
        <v>13.7</v>
      </c>
      <c r="CK9" s="27">
        <v>0</v>
      </c>
      <c r="CL9" s="27"/>
      <c r="CM9" s="27"/>
      <c r="CN9" s="27"/>
      <c r="CO9" s="27"/>
      <c r="CP9" s="27"/>
      <c r="CQ9" s="27">
        <v>12.8</v>
      </c>
      <c r="CR9" s="27">
        <v>9.3000000000000007</v>
      </c>
      <c r="CS9" s="27">
        <v>10.999999999999998</v>
      </c>
      <c r="CT9" s="27">
        <v>13.25</v>
      </c>
      <c r="CU9" s="27">
        <v>0</v>
      </c>
      <c r="CV9" s="32"/>
      <c r="CW9" s="7">
        <f>IF(SUM(CB9:CE9)-CF9&gt;0,SUM(CB9:CE9)-CF9,"")</f>
        <v>40.1</v>
      </c>
      <c r="CX9" s="7">
        <f>IF(CI9&gt;0,CI9,"")</f>
        <v>10.999999999999998</v>
      </c>
      <c r="CY9" s="7">
        <f>IF(SUM(CG9:CJ9)-CK9&gt;0,SUM(CG9:CJ9)-CK9,"")</f>
        <v>47.3</v>
      </c>
      <c r="CZ9" s="7" t="str">
        <f>IF(CN9&gt;0,CN9,"")</f>
        <v/>
      </c>
      <c r="DA9" s="7" t="str">
        <f>IF(SUM(CL9:CO9)-CP9&gt;0,SUM(CL9:CO9)-CP9,"")</f>
        <v/>
      </c>
      <c r="DB9" s="7">
        <f>IF(CW9="",IF(MAX(CY9,DA9)&gt;0,MAX(CY9,DA9),""),MAX(CY9,DA9)+CW9)</f>
        <v>87.4</v>
      </c>
      <c r="DC9" s="7">
        <f>IF(CS9&gt;0,CS9,"")</f>
        <v>10.999999999999998</v>
      </c>
      <c r="DD9" s="7">
        <f>IF(SUM(CQ9:CT9)-CU9&gt;0,SUM(CQ9:CT9)-CU9,"")</f>
        <v>46.35</v>
      </c>
      <c r="DE9" s="7">
        <f>IF(SUM(DB9,DD9)&gt;0,SUM(DB9,DD9),"")</f>
        <v>133.75</v>
      </c>
      <c r="DF9" s="13" t="str">
        <f>IF(MAX(DZ9,EV9,FR9,GN9,HJ9,IF9,JB9,JX9,KT9,LP9,ML9,NH9)-IF(K9="",0,K9)&gt;0.001,MAX(DZ9,EV9,FR9,GN9,HJ9,IF9,JB9,JX9,KT9,LP9,ML9,NH9)-IF(K9="",0,K9),"")</f>
        <v/>
      </c>
      <c r="DG9" s="13" t="str">
        <f>IF(MAX(EA9,EW9,FS9,GO9,HK9,IG9,JC9,JY9,KU9,LQ9,MM9,NI9)-IF(M9="",0,M9)&gt;0.001,MAX(EA9,EW9,FS9,GO9,HK9,IG9,JC9,JY9,KU9,LQ9,MM9,NI9)-IF(M9="",0,M9),"")</f>
        <v/>
      </c>
      <c r="DH9" s="13" t="str">
        <f>IF(MAX(EB9,EX9,FT9,GP9,HL9,IH9,JD9,JZ9,KV9,LR9,MN9,NJ9)-IF(I9="",0,I9)&gt;0.001,MAX(EB9,EX9,FT9,GP9,HL9,IH9,JD9,JZ9,KV9,LR9,MN9,NJ9)-IF(I9="",0,I9),"")</f>
        <v/>
      </c>
      <c r="DI9" s="13" t="str">
        <f>IF(MAX(ED9,EZ9,FV9,GR9,HN9,IJ9,JF9,KB9,KX9,LT9,MP9,NL9)-IF(O9="",0,O9)&gt;0.001,MAX(ED9,EZ9,FV9,GR9,HN9,IJ9,JF9,KB9,KX9,LT9,MP9,NL9)-IF(O9="",0,O9),"")</f>
        <v/>
      </c>
      <c r="DJ9" s="18"/>
      <c r="DK9" s="18"/>
      <c r="DL9" s="18"/>
      <c r="DM9" s="18"/>
      <c r="DN9" s="18"/>
      <c r="DO9" s="18"/>
      <c r="DP9" s="18"/>
      <c r="DQ9" s="18"/>
      <c r="DR9" s="18"/>
      <c r="DS9" s="18"/>
      <c r="DT9" s="18"/>
      <c r="DU9" s="18"/>
      <c r="DV9" s="18"/>
      <c r="DW9" s="18"/>
      <c r="DX9" s="18"/>
      <c r="DY9" s="7" t="str">
        <f>IF(DQ9&gt;0,DQ9,"")</f>
        <v/>
      </c>
      <c r="DZ9" s="7" t="str">
        <f>IF(SUM(DJ9:DM9)-DN9&gt;0,SUM(DJ9:DM9)-DN9,"")</f>
        <v/>
      </c>
      <c r="EA9" s="7" t="str">
        <f>IF(SUM(DO9:DR9)-DS9&gt;0,SUM(DO9:DR9)-DS9,"")</f>
        <v/>
      </c>
      <c r="EB9" s="7" t="str">
        <f>IF(SUM(DZ9:EA9)&gt;0,SUM(DZ9:EA9),"")</f>
        <v/>
      </c>
      <c r="EC9" s="7" t="str">
        <f>IF(DV9&gt;0,DV9,"")</f>
        <v/>
      </c>
      <c r="ED9" s="7" t="str">
        <f>IF(SUM(DT9:DW9)-DX9&gt;0,SUM(DT9:DW9)-DX9,"")</f>
        <v/>
      </c>
      <c r="EE9" s="7" t="str">
        <f>IF(SUM(EB9,ED9)&gt;0,SUM(EB9,ED9),"")</f>
        <v/>
      </c>
      <c r="EF9" s="19"/>
      <c r="EG9" s="19"/>
      <c r="EH9" s="19"/>
      <c r="EI9" s="19"/>
      <c r="EJ9" s="19"/>
      <c r="EK9" s="19"/>
      <c r="EL9" s="19"/>
      <c r="EM9" s="19"/>
      <c r="EN9" s="19"/>
      <c r="EO9" s="19"/>
      <c r="EP9" s="19"/>
      <c r="EQ9" s="19"/>
      <c r="ER9" s="19"/>
      <c r="ES9" s="19"/>
      <c r="ET9" s="19"/>
      <c r="EU9" s="9" t="str">
        <f>IF(EM9&gt;0,EM9,"")</f>
        <v/>
      </c>
      <c r="EV9" s="9" t="str">
        <f>IF(SUM(EF9:EI9)-EJ9&gt;0,SUM(EF9:EI9)-EJ9,"")</f>
        <v/>
      </c>
      <c r="EW9" s="9" t="str">
        <f>IF(SUM(EK9:EN9)-EO9&gt;0,SUM(EK9:EN9)-EO9,"")</f>
        <v/>
      </c>
      <c r="EX9" s="9" t="str">
        <f>IF(SUM(EV9:EW9)&gt;0,SUM(EV9:EW9),"")</f>
        <v/>
      </c>
      <c r="EY9" s="9" t="str">
        <f>IF(ER9&gt;0,ER9,"")</f>
        <v/>
      </c>
      <c r="EZ9" s="9" t="str">
        <f>IF(SUM(EP9:ES9)-ET9&gt;0,SUM(EP9:ES9)-ET9,"")</f>
        <v/>
      </c>
      <c r="FA9" s="9" t="str">
        <f>IF(SUM(EX9,EZ9)&gt;0,SUM(EX9,EZ9),"")</f>
        <v/>
      </c>
      <c r="FB9" s="18"/>
      <c r="FC9" s="18"/>
      <c r="FD9" s="18"/>
      <c r="FE9" s="18"/>
      <c r="FF9" s="18"/>
      <c r="FG9" s="18"/>
      <c r="FH9" s="18"/>
      <c r="FI9" s="18"/>
      <c r="FJ9" s="18"/>
      <c r="FK9" s="18"/>
      <c r="FL9" s="18"/>
      <c r="FM9" s="18"/>
      <c r="FN9" s="18"/>
      <c r="FO9" s="18"/>
      <c r="FP9" s="18"/>
      <c r="FQ9" s="7" t="str">
        <f>IF(FI9&gt;0,FI9,"")</f>
        <v/>
      </c>
      <c r="FR9" s="7" t="str">
        <f>IF(SUM(FB9:FE9)-FF9&gt;0,SUM(FB9:FE9)-FF9,"")</f>
        <v/>
      </c>
      <c r="FS9" s="7" t="str">
        <f>IF(SUM(FG9:FJ9)-FK9&gt;0,SUM(FG9:FJ9)-FK9,"")</f>
        <v/>
      </c>
      <c r="FT9" s="7" t="str">
        <f>IF(SUM(FR9:FS9)&gt;0,SUM(FR9:FS9),"")</f>
        <v/>
      </c>
      <c r="FU9" s="7" t="str">
        <f>IF(FN9&gt;0,FN9,"")</f>
        <v/>
      </c>
      <c r="FV9" s="7" t="str">
        <f>IF(SUM(FL9:FO9)-FP9&gt;0,SUM(FL9:FO9)-FP9,"")</f>
        <v/>
      </c>
      <c r="FW9" s="7" t="str">
        <f>IF(SUM(FT9,FV9)&gt;0,SUM(FT9,FV9),"")</f>
        <v/>
      </c>
      <c r="FX9" s="19">
        <v>14.7</v>
      </c>
      <c r="FY9" s="19">
        <v>9.5</v>
      </c>
      <c r="FZ9" s="19">
        <v>0</v>
      </c>
      <c r="GA9" s="19">
        <v>14.59</v>
      </c>
      <c r="GB9" s="19">
        <v>0</v>
      </c>
      <c r="GC9" s="19">
        <v>12.8</v>
      </c>
      <c r="GD9" s="19">
        <v>9.3000000000000007</v>
      </c>
      <c r="GE9" s="19">
        <v>9.6999999999999993</v>
      </c>
      <c r="GF9" s="19">
        <v>13.72</v>
      </c>
      <c r="GG9" s="19">
        <v>0</v>
      </c>
      <c r="GH9" s="19"/>
      <c r="GI9" s="19"/>
      <c r="GJ9" s="19"/>
      <c r="GK9" s="19"/>
      <c r="GL9" s="19"/>
      <c r="GM9" s="9">
        <f>IF(GE9&gt;0,GE9,"")</f>
        <v>9.6999999999999993</v>
      </c>
      <c r="GN9" s="9">
        <f>IF(SUM(FX9:GA9)-GB9&gt;0,SUM(FX9:GA9)-GB9,"")</f>
        <v>38.79</v>
      </c>
      <c r="GO9" s="9">
        <f>IF(SUM(GC9:GF9)-GG9&gt;0,SUM(GC9:GF9)-GG9,"")</f>
        <v>45.52</v>
      </c>
      <c r="GP9" s="9">
        <f>IF(SUM(GN9:GO9)&gt;0,SUM(GN9:GO9),"")</f>
        <v>84.31</v>
      </c>
      <c r="GQ9" s="9" t="str">
        <f>IF(GJ9&gt;0,GJ9,"")</f>
        <v/>
      </c>
      <c r="GR9" s="9" t="str">
        <f>IF(SUM(GH9:GK9)-GL9&gt;0,SUM(GH9:GK9)-GL9,"")</f>
        <v/>
      </c>
      <c r="GS9" s="9">
        <f>IF(SUM(GP9,GR9)&gt;0,SUM(GP9,GR9),"")</f>
        <v>84.31</v>
      </c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7" t="str">
        <f>IF(HA9&gt;0,HA9,"")</f>
        <v/>
      </c>
      <c r="HJ9" s="7" t="str">
        <f>IF(SUM(GT9:GW9)-GX9&gt;0,SUM(GT9:GW9)-GX9,"")</f>
        <v/>
      </c>
      <c r="HK9" s="7" t="str">
        <f>IF(SUM(GY9:HB9)-HC9&gt;0,SUM(GY9:HB9)-HC9,"")</f>
        <v/>
      </c>
      <c r="HL9" s="7" t="str">
        <f>IF(SUM(HJ9:HK9)&gt;0,SUM(HJ9:HK9),"")</f>
        <v/>
      </c>
      <c r="HM9" s="7" t="str">
        <f>IF(HF9&gt;0,HF9,"")</f>
        <v/>
      </c>
      <c r="HN9" s="7" t="str">
        <f>IF(SUM(HD9:HG9)-HH9&gt;0,SUM(HD9:HG9)-HH9,"")</f>
        <v/>
      </c>
      <c r="HO9" s="7" t="str">
        <f>IF(SUM(HL9,HN9)&gt;0,SUM(HL9,HN9),"")</f>
        <v/>
      </c>
      <c r="HP9" s="19"/>
      <c r="HQ9" s="19"/>
      <c r="HR9" s="19"/>
      <c r="HS9" s="19"/>
      <c r="HT9" s="19"/>
      <c r="HU9" s="19"/>
      <c r="HV9" s="19"/>
      <c r="HW9" s="19"/>
      <c r="HX9" s="19"/>
      <c r="HY9" s="19"/>
      <c r="HZ9" s="19"/>
      <c r="IA9" s="19"/>
      <c r="IB9" s="19"/>
      <c r="IC9" s="19"/>
      <c r="ID9" s="19"/>
      <c r="IE9" s="9" t="str">
        <f>IF(HW9&gt;0,HW9,"")</f>
        <v/>
      </c>
      <c r="IF9" s="9" t="str">
        <f>IF(SUM(HP9:HS9)-HT9&gt;0,SUM(HP9:HS9)-HT9,"")</f>
        <v/>
      </c>
      <c r="IG9" s="9" t="str">
        <f>IF(SUM(HU9:HX9)-HY9&gt;0,SUM(HU9:HX9)-HY9,"")</f>
        <v/>
      </c>
      <c r="IH9" s="9" t="str">
        <f>IF(SUM(IF9:IG9)&gt;0,SUM(IF9:IG9),"")</f>
        <v/>
      </c>
      <c r="II9" s="9" t="str">
        <f>IF(IB9&gt;0,IB9,"")</f>
        <v/>
      </c>
      <c r="IJ9" s="9" t="str">
        <f>IF(SUM(HZ9:IC9)-ID9&gt;0,SUM(HZ9:IC9)-ID9,"")</f>
        <v/>
      </c>
      <c r="IK9" s="9" t="str">
        <f>IF(SUM(IH9,IJ9)&gt;0,SUM(IH9,IJ9),"")</f>
        <v/>
      </c>
      <c r="IL9" s="18"/>
      <c r="IM9" s="18"/>
      <c r="IN9" s="18"/>
      <c r="IO9" s="18"/>
      <c r="IP9" s="18"/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7" t="str">
        <f>IF(IS9&gt;0,IS9,"")</f>
        <v/>
      </c>
      <c r="JB9" s="7" t="str">
        <f>IF(SUM(IL9:IO9)-IP9&gt;0,SUM(IL9:IO9)-IP9,"")</f>
        <v/>
      </c>
      <c r="JC9" s="7" t="str">
        <f>IF(SUM(IQ9:IT9)-IU9&gt;0,SUM(IQ9:IT9)-IU9,"")</f>
        <v/>
      </c>
      <c r="JD9" s="7" t="str">
        <f>IF(SUM(JB9:JC9)&gt;0,SUM(JB9:JC9),"")</f>
        <v/>
      </c>
      <c r="JE9" s="7" t="str">
        <f>IF(IX9&gt;0,IX9,"")</f>
        <v/>
      </c>
      <c r="JF9" s="7" t="str">
        <f>IF(SUM(IV9:IY9)-IZ9&gt;0,SUM(IV9:IY9)-IZ9,"")</f>
        <v/>
      </c>
      <c r="JG9" s="7" t="str">
        <f>IF(SUM(JD9,JF9)&gt;0,SUM(JD9,JF9),"")</f>
        <v/>
      </c>
      <c r="JH9" s="19"/>
      <c r="JI9" s="19"/>
      <c r="JJ9" s="19"/>
      <c r="JK9" s="19"/>
      <c r="JL9" s="19"/>
      <c r="JM9" s="19"/>
      <c r="JN9" s="19"/>
      <c r="JO9" s="19"/>
      <c r="JP9" s="19"/>
      <c r="JQ9" s="19"/>
      <c r="JR9" s="19"/>
      <c r="JS9" s="19"/>
      <c r="JT9" s="19"/>
      <c r="JU9" s="19"/>
      <c r="JV9" s="19"/>
      <c r="JW9" s="9" t="str">
        <f>IF(JO9&gt;0,JO9,"")</f>
        <v/>
      </c>
      <c r="JX9" s="9" t="str">
        <f>IF(SUM(JH9:JK9)-JL9&gt;0,SUM(JH9:JK9)-JL9,"")</f>
        <v/>
      </c>
      <c r="JY9" s="9" t="str">
        <f>IF(SUM(JM9:JP9)-JQ9&gt;0,SUM(JM9:JP9)-JQ9,"")</f>
        <v/>
      </c>
      <c r="JZ9" s="9" t="str">
        <f>IF(SUM(JX9:JY9)&gt;0,SUM(JX9:JY9),"")</f>
        <v/>
      </c>
      <c r="KA9" s="9" t="str">
        <f>IF(JT9&gt;0,JT9,"")</f>
        <v/>
      </c>
      <c r="KB9" s="9" t="str">
        <f>IF(SUM(JR9:JU9)-JV9&gt;0,SUM(JR9:JU9)-JV9,"")</f>
        <v/>
      </c>
      <c r="KC9" s="9" t="str">
        <f>IF(SUM(JZ9,KB9)&gt;0,SUM(JZ9,KB9),"")</f>
        <v/>
      </c>
      <c r="KD9" s="18"/>
      <c r="KE9" s="18"/>
      <c r="KF9" s="18"/>
      <c r="KG9" s="18"/>
      <c r="KH9" s="18"/>
      <c r="KI9" s="18"/>
      <c r="KJ9" s="18"/>
      <c r="KK9" s="18"/>
      <c r="KL9" s="18"/>
      <c r="KM9" s="18"/>
      <c r="KN9" s="18"/>
      <c r="KO9" s="18"/>
      <c r="KP9" s="18"/>
      <c r="KQ9" s="18"/>
      <c r="KR9" s="18"/>
      <c r="KS9" s="7" t="str">
        <f>IF(KK9&gt;0,KK9,"")</f>
        <v/>
      </c>
      <c r="KT9" s="7" t="str">
        <f>IF(SUM(KD9:KG9)-KH9&gt;0,SUM(KD9:KG9)-KH9,"")</f>
        <v/>
      </c>
      <c r="KU9" s="7" t="str">
        <f>IF(SUM(KI9:KL9)-KM9&gt;0,SUM(KI9:KL9)-KM9,"")</f>
        <v/>
      </c>
      <c r="KV9" s="7" t="str">
        <f>IF(SUM(KT9:KU9)&gt;0,SUM(KT9:KU9),"")</f>
        <v/>
      </c>
      <c r="KW9" s="7" t="str">
        <f>IF(KP9&gt;0,KP9,"")</f>
        <v/>
      </c>
      <c r="KX9" s="7" t="str">
        <f>IF(SUM(KN9:KQ9)-KR9&gt;0,SUM(KN9:KQ9)-KR9,"")</f>
        <v/>
      </c>
      <c r="KY9" s="7" t="str">
        <f>IF(SUM(KV9,KX9)&gt;0,SUM(KV9,KX9),"")</f>
        <v/>
      </c>
      <c r="KZ9" s="19"/>
      <c r="LA9" s="19"/>
      <c r="LB9" s="19"/>
      <c r="LC9" s="19"/>
      <c r="LD9" s="19"/>
      <c r="LE9" s="19"/>
      <c r="LF9" s="19"/>
      <c r="LG9" s="19"/>
      <c r="LH9" s="19"/>
      <c r="LI9" s="19"/>
      <c r="LJ9" s="19"/>
      <c r="LK9" s="19"/>
      <c r="LL9" s="19"/>
      <c r="LM9" s="19"/>
      <c r="LN9" s="19"/>
      <c r="LO9" s="9" t="str">
        <f>IF(LG9&gt;0,LG9,"")</f>
        <v/>
      </c>
      <c r="LP9" s="9" t="str">
        <f>IF(SUM(KZ9:LC9)-LD9&gt;0,SUM(KZ9:LC9)-LD9,"")</f>
        <v/>
      </c>
      <c r="LQ9" s="9" t="str">
        <f>IF(SUM(LE9:LH9)-LI9&gt;0,SUM(LE9:LH9)-LI9,"")</f>
        <v/>
      </c>
      <c r="LR9" s="9" t="str">
        <f>IF(SUM(LP9:LQ9)&gt;0,SUM(LP9:LQ9),"")</f>
        <v/>
      </c>
      <c r="LS9" s="9" t="str">
        <f>IF(LL9&gt;0,LL9,"")</f>
        <v/>
      </c>
      <c r="LT9" s="9" t="str">
        <f>IF(SUM(LJ9:LM9)-LN9&gt;0,SUM(LJ9:LM9)-LN9,"")</f>
        <v/>
      </c>
      <c r="LU9" s="9" t="str">
        <f>IF(SUM(LR9,LT9)&gt;0,SUM(LR9,LT9),"")</f>
        <v/>
      </c>
      <c r="LV9" s="18"/>
      <c r="LW9" s="18"/>
      <c r="LX9" s="18"/>
      <c r="LY9" s="18"/>
      <c r="LZ9" s="18"/>
      <c r="MA9" s="18"/>
      <c r="MB9" s="18"/>
      <c r="MC9" s="18"/>
      <c r="MD9" s="18"/>
      <c r="ME9" s="18"/>
      <c r="MF9" s="18"/>
      <c r="MG9" s="18"/>
      <c r="MH9" s="18"/>
      <c r="MI9" s="18"/>
      <c r="MJ9" s="18"/>
      <c r="MK9" s="7" t="str">
        <f>IF(MC9&gt;0,MC9,"")</f>
        <v/>
      </c>
      <c r="ML9" s="7" t="str">
        <f>IF(SUM(LV9:LY9)-LZ9&gt;0,SUM(LV9:LY9)-LZ9,"")</f>
        <v/>
      </c>
      <c r="MM9" s="7" t="str">
        <f>IF(SUM(MA9:MD9)-ME9&gt;0,SUM(MA9:MD9)-ME9,"")</f>
        <v/>
      </c>
      <c r="MN9" s="7" t="str">
        <f>IF(SUM(ML9:MM9)&gt;0,SUM(ML9:MM9),"")</f>
        <v/>
      </c>
      <c r="MO9" s="7" t="str">
        <f>IF(MH9&gt;0,MH9,"")</f>
        <v/>
      </c>
      <c r="MP9" s="7" t="str">
        <f>IF(SUM(MF9:MI9)-MJ9&gt;0,SUM(MF9:MI9)-MJ9,"")</f>
        <v/>
      </c>
      <c r="MQ9" s="7" t="str">
        <f>IF(SUM(MN9,MP9)&gt;0,SUM(MN9,MP9),"")</f>
        <v/>
      </c>
      <c r="MR9" s="19"/>
      <c r="MS9" s="19"/>
      <c r="MT9" s="19"/>
      <c r="MU9" s="19"/>
      <c r="MV9" s="19"/>
      <c r="MW9" s="19"/>
      <c r="MX9" s="19"/>
      <c r="MY9" s="19"/>
      <c r="MZ9" s="19"/>
      <c r="NA9" s="19"/>
      <c r="NB9" s="19"/>
      <c r="NC9" s="19"/>
      <c r="ND9" s="19"/>
      <c r="NE9" s="19"/>
      <c r="NF9" s="19"/>
      <c r="NG9" s="9" t="str">
        <f>IF(MY9&gt;0,MY9,"")</f>
        <v/>
      </c>
      <c r="NH9" s="9" t="str">
        <f>IF(SUM(MR9:MU9)-MV9&gt;0,SUM(MR9:MU9)-MV9,"")</f>
        <v/>
      </c>
      <c r="NI9" s="9" t="str">
        <f>IF(SUM(MW9:MZ9)-NA9&gt;0,SUM(MW9:MZ9)-NA9,"")</f>
        <v/>
      </c>
      <c r="NJ9" s="9" t="str">
        <f>IF(SUM(NH9:NI9)&gt;0,SUM(NH9:NI9),"")</f>
        <v/>
      </c>
      <c r="NK9" s="9" t="str">
        <f>IF(ND9&gt;0,ND9,"")</f>
        <v/>
      </c>
      <c r="NL9" s="9" t="str">
        <f>IF(SUM(NB9:NE9)-NF9&gt;0,SUM(NB9:NE9)-NF9,"")</f>
        <v/>
      </c>
      <c r="NM9" s="9" t="str">
        <f>IF(SUM(NJ9,NL9)&gt;0,SUM(NJ9,NL9),"")</f>
        <v/>
      </c>
      <c r="NN9" s="27">
        <f>IF($CV9="P",CB9,(CB9+AX9)/2)</f>
        <v>16.2</v>
      </c>
      <c r="NO9" s="27">
        <f>IF($CV9="P",CC9,(CC9+AY9)/2)</f>
        <v>9.4499999999999993</v>
      </c>
      <c r="NP9" s="27">
        <f>IF($CV9="P",CD9,(CD9+AZ9)/2)</f>
        <v>0</v>
      </c>
      <c r="NQ9" s="27">
        <f>IF($CV9="P",CE9,(CE9+BA9)/2)</f>
        <v>14.19</v>
      </c>
      <c r="NR9" s="27">
        <f>IF($CV9="P",CF9,(CF9+BB9)/2)</f>
        <v>0</v>
      </c>
      <c r="NS9" s="27">
        <f>IF($CV9="P",CG9,(CG9+BC9)/2)</f>
        <v>13.55</v>
      </c>
      <c r="NT9" s="27">
        <f>IF($CV9="P",CH9,(CH9+BD9)/2)</f>
        <v>9.1999999999999993</v>
      </c>
      <c r="NU9" s="27">
        <f>IF($CV9="P",CI9,(CI9+BE9)/2)</f>
        <v>11</v>
      </c>
      <c r="NV9" s="27">
        <f>IF($CV9="P",CJ9,(CJ9+BF9)/2)</f>
        <v>13.629999999999999</v>
      </c>
      <c r="NW9" s="27">
        <f>IF($CV9="P",CK9,(CK9+BG9)/2)</f>
        <v>0</v>
      </c>
      <c r="NX9" s="27">
        <f>IF($CV9="P",CL9,(CL9+BH9)/2)</f>
        <v>0</v>
      </c>
      <c r="NY9" s="27">
        <f>IF($CV9="P",CM9,(CM9+BI9)/2)</f>
        <v>0</v>
      </c>
      <c r="NZ9" s="27">
        <f>IF($CV9="P",CN9,(CN9+BJ9)/2)</f>
        <v>0</v>
      </c>
      <c r="OA9" s="27">
        <f>IF($CV9="P",CO9,(CO9+BK9)/2)</f>
        <v>0</v>
      </c>
      <c r="OB9" s="27">
        <f>IF($CV9="P",CP9,(CP9+BL9)/2)</f>
        <v>0</v>
      </c>
      <c r="OC9" s="27">
        <f>IF($CV9="P",CQ9,(CQ9+BM9)/2)</f>
        <v>12.95</v>
      </c>
      <c r="OD9" s="27">
        <f>IF($CV9="P",CR9,(CR9+BN9)/2)</f>
        <v>9.3000000000000007</v>
      </c>
      <c r="OE9" s="27">
        <f>IF($CV9="P",CS9,(CS9+BO9)/2)</f>
        <v>10.95</v>
      </c>
      <c r="OF9" s="27">
        <f>IF($CV9="P",CT9,(CT9+BP9)/2)</f>
        <v>13.09</v>
      </c>
      <c r="OG9" s="27">
        <f>IF($CV9="P",CU9,(CU9+BQ9)/2)</f>
        <v>0</v>
      </c>
      <c r="OH9" s="32" t="s">
        <v>44</v>
      </c>
      <c r="OI9" s="7">
        <f>IF(SUM(NN9:NQ9)-NR9&gt;0,SUM(NN9:NQ9)-NR9,"")</f>
        <v>39.839999999999996</v>
      </c>
      <c r="OJ9" s="7">
        <f>IF(NU9&gt;0,NU9,"")</f>
        <v>11</v>
      </c>
      <c r="OK9" s="7">
        <f>IF(SUM(NS9:NV9)-NW9&gt;0,SUM(NS9:NV9)-NW9,"")</f>
        <v>47.379999999999995</v>
      </c>
      <c r="OL9" s="7" t="str">
        <f>IF(NZ9&gt;0,NZ9,"")</f>
        <v/>
      </c>
      <c r="OM9" s="7" t="str">
        <f>IF(SUM(NX9:OA9)-OB9&gt;0,SUM(NX9:OA9)-OB9,"")</f>
        <v/>
      </c>
      <c r="ON9" s="7">
        <f>IF(OR(OI9&lt;&gt;"",OK9&lt;&gt;"",OM9&lt;&gt;""),OI9+MAX(OK9,OM9),"")</f>
        <v>87.22</v>
      </c>
      <c r="OO9" s="7">
        <f>IF(OE9&gt;0,OE9,"")</f>
        <v>10.95</v>
      </c>
      <c r="OP9" s="7">
        <f t="shared" ref="OP9" si="10">IF(SUM(OC9:OF9)-OG9&gt;0,SUM(OC9:OF9)-OG9,"")</f>
        <v>46.290000000000006</v>
      </c>
      <c r="OQ9" s="7">
        <f t="shared" ref="OQ9" si="11">IF(SUM(ON9,OP9)&gt;0,SUM(ON9,OP9),"")</f>
        <v>133.51</v>
      </c>
    </row>
    <row r="10" spans="1:407" x14ac:dyDescent="0.2">
      <c r="A10" s="4" t="str" cm="1">
        <f t="array" ref="A10">IF(AND(H10&lt;&gt;"",H10&lt;&gt;"No DD"),SUMPRODUCT((H$4:H$12&lt;&gt;"")*(H$4:H$12&lt;&gt;"No DD")*(E$4:E$12&gt;E10))+1,IF(H10="No DD",SUMPRODUCT((H$4:H$12="No DD")*(E$4:E$12&gt;E10))+1+SUMPRODUCT((H$4:H$12&lt;&gt;"")*(H$4:H$12&lt;&gt;"No DD")),""))</f>
        <v/>
      </c>
      <c r="B10" s="5" t="s">
        <v>98</v>
      </c>
      <c r="C10" s="4" t="s">
        <v>66</v>
      </c>
      <c r="D10" s="4">
        <v>2008</v>
      </c>
      <c r="E10" s="10">
        <f>SUM(I10:Q10)</f>
        <v>205.64</v>
      </c>
      <c r="F10" s="3" t="str">
        <f>IF(OR(AND(AP10&gt;=AW$14,AT10&gt;=AW$18,AO10&lt;&gt;"",AN10=""),AND(BT10&gt;=CA$14,BX10&gt;=CA$18,BS10&lt;&gt;"",BR10=""),AND(CX10&gt;=DE$14,DB10&gt;=DE$18,CW10&lt;&gt;"",CV10=""),AND(DY10&gt;=EE$14,EB10&gt;=EE$18,DY10&lt;&gt;""),AND(EU10&gt;=FA$14,EX10&gt;=FA$18,EU10&lt;&gt;""),AND(FQ10&gt;=FW$14,FT10&gt;=FW$18,FQ10&lt;&gt;""),AND(GM10&gt;=GS$14,GP10&gt;=GS$18,GM10&lt;&gt;""),AND(HI10&gt;=HO$14,HL10&gt;=HO$18,HI10&lt;&gt;""),AND(IE10&gt;=IK$14,IH10&gt;=IK$18,IE10&lt;&gt;""),AND(JA10&gt;=JG$14,JD10&gt;=JG$18,JA10&lt;&gt;""),AND(JW10&gt;=KC$14,JZ10&gt;=KC$18,JW10&lt;&gt;""),AND(KS10&gt;=KY$14,KV10&gt;=KY$18,KS10&lt;&gt;""),AND(LO10&gt;=LU$14,LR10&gt;=LU$18,LO10&lt;&gt;""),AND(MK10&gt;=MQ$14,MN10&gt;=MQ$18,MK10&lt;&gt;""),AND(NG10&gt;=NM$14,NJ10&gt;=NM$18,NG10&lt;&gt;"")),"P","")</f>
        <v/>
      </c>
      <c r="G10" s="3" t="str">
        <f>IF(OR(AND(AT10&gt;=AW$18,AO10&lt;&gt;"",AN10=""),AND(BX10&gt;=CA$18,BS10&lt;&gt;"",BR10=""),AND(DB10&gt;=DE$18,CW10&lt;&gt;"",CV10=""),AND(EB10&gt;=EE$18,DY10&lt;&gt;""),AND(EX10&gt;=FA$18,EU10&lt;&gt;""),AND(FT10&gt;=FW$18,FQ10&lt;&gt;""),AND(GP10&gt;=GS$18,GM10&lt;&gt;""),AND(HL10&gt;=HO$18,HI10&lt;&gt;""),AND(IH10&gt;=IK$18,IE10&lt;&gt;""),AND(JD10&gt;=JG$18,JA10&lt;&gt;""),AND(JZ10&gt;=KC$18,JW10&lt;&gt;""),AND(KV10&gt;=KY$18,KS10&lt;&gt;""),AND(LR10&gt;=LU$18,LO10&lt;&gt;""),AND(MN10&gt;=MQ$18,MK10&lt;&gt;""),AND(NJ10&gt;=NM$18,NG10&lt;&gt;"")),"P","")</f>
        <v/>
      </c>
      <c r="H10" s="47" t="str">
        <f>IF(OR(AND(AP10&gt;=AW$17,AQ10&gt;=AW$21,AP10&lt;&gt;"",AN10=""),AND(AU10&gt;=AW$17,AV10&gt;=AW$21,AU10&lt;&gt;"",AN10=""),AND(BT10&gt;=CA$17,BU10&gt;=CA$21,BT10&lt;&gt;"",BR10=""),AND(BY10&gt;=CA$17,BZ10&gt;=CA$21,BY10&lt;&gt;"",BR10=""),AND(CX10&gt;=DE$17,CY10&gt;=DE$21,CX10&lt;&gt;"",CV10=""),AND(DC10&gt;=DE$17,DD10&gt;=DE$21,DC10&lt;&gt;"",CV10=""),AND(DY10&gt;=EE$17,EA10&gt;=EE$21,DY10&lt;&gt;""),AND(EC10&gt;=EE$17,ED10&gt;=EE$21,EC10&lt;&gt;""),AND(EU10&gt;=FA$17,EW10&gt;=FA$21,EU10&lt;&gt;""),AND(EY10&gt;=FA$17,EZ10&gt;=FA$21,EY10&lt;&gt;""),AND(FQ10&gt;=FW$17,FS10&gt;=FW$21,FQ10&lt;&gt;""),AND(FU10&gt;=FW$17,FV10&gt;=FW$21,FU10&lt;&gt;""),AND(GM10&gt;=GS$17,GO10&gt;=GS$21,GM10&lt;&gt;""),AND(GQ10&gt;=GS$17,GR10&gt;=GS$21,GQ10&lt;&gt;""),AND(HI10&gt;=HO$17,HK10&gt;=HO$21,HI10&lt;&gt;""),AND(HM10&gt;=HO$17,HN10&gt;=HO$21,HM10&lt;&gt;""),AND(IE10&gt;=IK$17,IG10&gt;=IK$21,IE10&lt;&gt;""),AND(II10&gt;=IK$17,IJ10&gt;=IK$21,II10&lt;&gt;""),AND(JA10&gt;=JG$17,JC10&gt;=JG$21,JA10&lt;&gt;""),AND(JE10&gt;=JG$17,JF10&gt;=JG$21,JE10&lt;&gt;""),AND(JW10&gt;=KC$17,JY10&gt;=KC$21,JW10&lt;&gt;""),AND(KA10&gt;=KC$17,KB10&gt;=KC$21,KA10&lt;&gt;""),AND(KS10&gt;=KY$17,KU10&gt;=KY$21,KS10&lt;&gt;""),AND(KW10&gt;=KY$17,KX10&gt;=KY$21,KW10&lt;&gt;""),AND(LO10&gt;=LU$17,LQ10&gt;=LU$21,LO10&lt;&gt;""),AND(LS10&gt;=LU$17,LT10&gt;=LU$21,LS10&lt;&gt;""),AND(MK10&gt;=MQ$17,MM10&gt;=MQ$21,MK10&lt;&gt;""),AND(MO10&gt;=MQ$17,MP10&gt;=MQ$21,MO10&lt;&gt;""),AND(NG10&gt;=NM$17,NI10&gt;=NM$21,NG10&lt;&gt;""),AND(NK10&gt;=NM$17,NL10&gt;=NM$21,NK10&lt;&gt;"")),"Merit",IF(OR(AND(AP10&gt;=AW$16,AT10&gt;=AW$20,AO10&lt;&gt;"",AN10=""),AND(BT10&gt;=CA$16,BX10&gt;=CA$20,BS10&lt;&gt;"",BR10=""),AND(CX10&gt;=DE$16,DB10&gt;=DE$20,CW10&lt;&gt;"",CV10=""),AND(DY10&gt;=EE$16,EB10&gt;=EE$20,DY10&lt;&gt;""),AND(EU10&gt;=FA$16,EX10&gt;=FA$20,EU10&lt;&gt;""),AND(FQ10&gt;=FW$16,FT10&gt;=FW$20,FQ10&lt;&gt;""),AND(GM10&gt;=GS$16,GP10&gt;=GS$20,GM10&lt;&gt;""),AND(HI10&gt;=HO$16,HL10&gt;=HO$20,HI10&lt;&gt;""),AND(IE10&gt;=IK$16,IH10&gt;=IK$20,IE10&lt;&gt;""),AND(JA10&gt;=JG$16,JD10&gt;=JG$20,JA10&lt;&gt;""),AND(JW10&gt;=KC$16,JZ10&gt;=KC$20,JW10&lt;&gt;""),AND(KS10&gt;=KY$16,KV10&gt;=KY$20,KS10&lt;&gt;""),AND(LO10&gt;=LU$16,LR10&gt;=LU$20,LO10&lt;&gt;""),AND(MK10&gt;=MQ$16,MN10&gt;=MQ$20,MK10&lt;&gt;""),AND(NG10&gt;=NM$16,NJ10&gt;=NM$20,NG10&lt;&gt;"")),"Excellence",IF(OR(AND(AP10&gt;=AW$14,AT10&gt;=AW$18,AO10&lt;&gt;"",AN10=""),AND(BT10&gt;=CA$14,BX10&gt;=CA$18,BS10&lt;&gt;"",BR10=""),AND(CX10&gt;=DE$14,DB10&gt;=DE$18,CW10&lt;&gt;"",CV10=""),AND(DY10&gt;=EE$14,EB10&gt;=EE$18,DY10&lt;&gt;""),AND(EU10&gt;=FA$14,EX10&gt;=FA$18,EU10&lt;&gt;""),AND(FQ10&gt;=FW$14,FT10&gt;=FW$18,FQ10&lt;&gt;""),AND(GM10&gt;=GS$14,GP10&gt;=GS$18,GM10&lt;&gt;""),AND(HI10&gt;=HO$14,HL10&gt;=HO$18,HI10&lt;&gt;""),AND(IE10&gt;=IK$14,IH10&gt;=IK$18,IE10&lt;&gt;""),AND(JA10&gt;=JG$14,JD10&gt;=JG$18,JA10&lt;&gt;""),AND(JW10&gt;=KC$14,JZ10&gt;=KC$18,JW10&lt;&gt;""),AND(KS10&gt;=KY$14,KV10&gt;=KY$18,KS10&lt;&gt;""),AND(LO10&gt;=LU$14,LR10&gt;=LU$18,LO10&lt;&gt;""),AND(MK10&gt;=MQ$14,MN10&gt;=MQ$18,MK10&lt;&gt;""),AND(NG10&gt;=NM$14,NJ10&gt;=NM$18,NG10&lt;&gt;"")),"National Team",IF(G10="P","No DD",""))))</f>
        <v/>
      </c>
      <c r="I10" s="9">
        <f>IF(MAX(AT10,BX10,DB10)&gt;0,MAX(AT10,BX10,DB10),0)</f>
        <v>80.010000000000005</v>
      </c>
      <c r="J10" s="9" t="str">
        <f>IF(I10=0,"",IF(I10=DB10,$CB$1,IF(I10=BX10,$AX$1,IF(I10=AT10,$T$1,""))))</f>
        <v>2023 Nationals</v>
      </c>
      <c r="K10" s="9">
        <f>IF($I10=$AT10,MAX(BS10,CW10),IF($I10=$BX10,MAX(AO10,CW10),IF($I10=$DB10,MAX(AO10,BS10),MAX(AO10,BS10,CW10))))</f>
        <v>38.69</v>
      </c>
      <c r="L10" s="9" t="str">
        <f>IF(K10=0,"",IF(AND(K10=CW10,$J10&lt;&gt;$CB$1),$CB$1,IF(AND(K10=BS10,$J10&lt;&gt;$AX$1),$AX$1,IF(AND(K10=AO10,$J10&lt;&gt;$T$1),$T$1,""))))</f>
        <v>2023 Elite Canada</v>
      </c>
      <c r="M10" s="9">
        <f>IF(I10-N(AO10)=AQ10,MAX(AS10,BU10,BW10,CY10,DA10),IF(I10-N(AO10)=AS10,MAX(AQ10,BU10,BW10,CY10,DA10),IF(I10-N(BS10)=BU10,MAX(AQ10,AS10,BW10,CY10,DA10),IF(I10-N(BS10)=BW10,MAX(AQ10,AS10,BU10,CY10,DA10),IF(I10-N(CW10)=CY10,MAX(AQ10,AS10,BU10,BW10,DA10),IF(I10-N(CW10)=DA10,MAX(AQ10,AS10,BU10,BW10,CY10),MAX(AQ10,AS10,BU10,BW10,CY10,DA10)))))))</f>
        <v>18.71</v>
      </c>
      <c r="N10" s="9" t="str">
        <f>IF(M10=0,"",IF(AND(OR(M10=DA10,M10=CY10),$J10&lt;&gt;$CB$1),$CB$1,IF(AND(OR(M10=BW10,M10=BU10),$J10&lt;&gt;$AX$1),$AX$1,IF(AND(OR(M10=AS10,M10=AQ10),$J10&lt;&gt;$T$1),$T$1,""))))</f>
        <v>2023 3rd Domestic Trial</v>
      </c>
      <c r="O10" s="9">
        <f>MAX(AV10,BZ10,DD10)</f>
        <v>45.879999999999995</v>
      </c>
      <c r="P10" s="9" t="str">
        <f>IF(O10=0,"",IF(O10=DD10,$CB$1,IF(O10=BZ10,$AX$1,IF(O10=AV10,$T$1,""))))</f>
        <v>2023 3rd Domestic Trial</v>
      </c>
      <c r="Q10" s="9">
        <f>IF(MAX(DF10,DG10,DH10,DI10)&gt;0,MAX(DF10,DG10,DH10,DI10),"")</f>
        <v>22.35</v>
      </c>
      <c r="R10" s="14" t="str">
        <f>IF(Q10="","",IF(Q10=DF10,"(Vol 1)",IF(Q10=DG10,"(Vol 2)",IF(Q10=DH10,"(Prelim)",IF(Q10=DI10,"(Final)")))))</f>
        <v>(Vol 2)</v>
      </c>
      <c r="S10" s="9" t="str">
        <f>IF(Q10="","",IF(Q10=DF10,IF(Q10+IF(K10="",0,K10)=NH10,$MR$1,IF(Q10+IF(K10="",0,K10)=ML10,$LV$1,IF(Q10+IF(K10="",0,K10)=LP10,$KZ$1,IF(Q10+IF(K10="",0,K10)=KT10,$KD$1,IF(Q10+IF(K10="",0,K10)=JX10,$JH$1,IF(Q10+IF(K10="",0,K10)=JB10,$IL$1,IF(Q10+IF(K10="",0,K10)=IF10,$HP$1,IF(Q10+IF(K10="",0,K10)=HJ10,$GT$1,IF(Q10+IF(K10="",0,K10)=GN10,$FX$1,IF(Q10+IF(K10="",0,K10)=FR10,$FB$1,IF(Q10+IF(K10="",0,K10)=EV10,$EF$1,IF(Q10+IF(K10="",0,K10)=DZ10,$DJ$1)))))))))))),IF(Q10=DG10,IF(Q10+IF(M10="",0,M10)=NI10,$MR$1,IF(Q10+IF(M10="",0,M10)=MM10,$LV$1,IF(Q10+IF(M10="",0,M10)=LQ10,$KZ$1,IF(Q10+IF(M10="",0,M10)=KU10,$KD$1,IF(Q10+IF(M10="",0,M10)=JY10,$JH$1,IF(Q10+IF(M10="",0,M10)=JC10,$IL$1,IF(Q10+IF(M10="",0,M10)=IG10,$HP$1,IF(Q10+IF(M10="",0,M10)=HK10,$GT$1,IF(Q10+IF(M10="",0,M10)=GO10,$FX$1,IF(Q10+IF(M10="",0,M10)=FS10,$FB$1,IF(Q10+IF(M10="",0,M10)=EW10,$EF$1,IF(Q10+IF(M10="",0,M10)=EA10,$DJ$1)))))))))))),IF(Q10=DH10,IF(Q10+IF(I10="",0,I10)=NJ10,$MR$1,IF(Q10+IF(I10="",0,I10)=MN10,$LV$1,IF(Q10+IF(I10="",0,I10)=LR10,$KZ$1,IF(Q10+IF(I10="",0,I10)=KV10,$KD$1,IF(Q10+IF(I10="",0,I10)=JZ10,$JH$1,IF(Q10+IF(I10="",0,I10)=JD10,$IL$1,IF(Q10+IF(I10="",0,I10)=IH10,$HP$1,IF(Q10+IF(I10="",0,I10)=HL10,$GT$1,IF(Q10+IF(I10="",0,I10)=GP10,$FX$1,IF(Q10+IF(I10="",0,I10)=FT10,$FB$1,IF(Q10+IF(I10="",0,I10)=EX10,$EF$1,IF(Q10+IF(I10="",0,I10)=EB10,$DJ$1)))))))))))),IF(Q10=DI10,IF(Q10+IF(O10="",0,O10)=NL10,$MR$1,IF(Q10+IF(O10="",0,O10)=MP10,$LV$1,IF(Q10+IF(O10="",0,O10)=LT10,$KZ$1,IF(Q10+IF(O10="",0,O10)=KX10,$KD$1,IF(Q10+IF(O10="",0,O10)=KB10,$JH$1,IF(Q10+IF(O10="",0,O10)=JF10,$IL$1,IF(Q10+IF(O10="",0,O10)=IJ10,$HP$1,IF(Q10+IF(O10="",0,O10)=HN10,$GT$1,IF(Q10+IF(O10="",0,O10)=GR10,$FX$1,IF(Q10+IF(O10="",0,O10)=FV10,$FB$1,IF(Q10+IF(O10="",0,O10)=EZ10,$EF$1,IF(Q10+IF(O10="",0,O10)=ED10,$DJ$1)))))))))))))))))</f>
        <v>2023 WAGC (Nov 16)</v>
      </c>
      <c r="T10" s="27">
        <v>16.2</v>
      </c>
      <c r="U10" s="27">
        <v>9.6</v>
      </c>
      <c r="V10" s="27">
        <v>0</v>
      </c>
      <c r="W10" s="27">
        <v>12.89</v>
      </c>
      <c r="X10" s="27">
        <v>0</v>
      </c>
      <c r="Y10" s="27">
        <v>2.6</v>
      </c>
      <c r="Z10" s="27">
        <v>1.8</v>
      </c>
      <c r="AA10" s="27">
        <v>1.9</v>
      </c>
      <c r="AB10" s="27">
        <v>2.54</v>
      </c>
      <c r="AC10" s="27">
        <v>0</v>
      </c>
      <c r="AD10" s="27"/>
      <c r="AE10" s="27"/>
      <c r="AF10" s="27"/>
      <c r="AG10" s="27"/>
      <c r="AH10" s="27"/>
      <c r="AI10" s="27"/>
      <c r="AJ10" s="27"/>
      <c r="AK10" s="27"/>
      <c r="AL10" s="27"/>
      <c r="AM10" s="27"/>
      <c r="AN10" s="32"/>
      <c r="AO10" s="7">
        <f>IF(SUM(T10:W10)-X10&gt;0,SUM(T10:W10)-X10,"")</f>
        <v>38.69</v>
      </c>
      <c r="AP10" s="7">
        <f>IF(AA10&gt;0,AA10,"")</f>
        <v>1.9</v>
      </c>
      <c r="AQ10" s="7">
        <f>IF(SUM(Y10:AB10)-AC10&gt;0,SUM(Y10:AB10)-AC10,"")</f>
        <v>8.84</v>
      </c>
      <c r="AR10" s="7" t="str">
        <f>IF(AF10&gt;0,AF10,"")</f>
        <v/>
      </c>
      <c r="AS10" s="7" t="str">
        <f>IF(SUM(AD10:AG10)-AH10&gt;0,SUM(AD10:AG10)-AH10,"")</f>
        <v/>
      </c>
      <c r="AT10" s="7">
        <f>IF(AO10="",IF(MAX(AQ10,AS10)&gt;0,MAX(AQ10,AS10),""),MAX(AQ10,AS10)+AO10)</f>
        <v>47.53</v>
      </c>
      <c r="AU10" s="7" t="str">
        <f>IF(AK10&gt;0,AK10,"")</f>
        <v/>
      </c>
      <c r="AV10" s="7" t="str">
        <f>IF(SUM(AI10:AL10)-AM10&gt;0,SUM(AI10:AL10)-AM10,"")</f>
        <v/>
      </c>
      <c r="AW10" s="7">
        <f>IF(SUM(AT10,AV10)&gt;0,SUM(AT10,AV10),"")</f>
        <v>47.53</v>
      </c>
      <c r="AX10" s="31">
        <v>15.1</v>
      </c>
      <c r="AY10" s="31">
        <v>9.5</v>
      </c>
      <c r="AZ10" s="31">
        <v>0</v>
      </c>
      <c r="BA10" s="31">
        <v>12.85</v>
      </c>
      <c r="BB10" s="31">
        <v>0</v>
      </c>
      <c r="BC10" s="31">
        <v>11</v>
      </c>
      <c r="BD10" s="31">
        <v>9.1</v>
      </c>
      <c r="BE10" s="31">
        <v>9.8000000000000007</v>
      </c>
      <c r="BF10" s="31">
        <v>12.66</v>
      </c>
      <c r="BG10" s="31">
        <v>0</v>
      </c>
      <c r="BH10" s="31"/>
      <c r="BI10" s="31"/>
      <c r="BJ10" s="31"/>
      <c r="BK10" s="31"/>
      <c r="BL10" s="31"/>
      <c r="BM10" s="31">
        <v>6.9</v>
      </c>
      <c r="BN10" s="31">
        <v>4.5999999999999996</v>
      </c>
      <c r="BO10" s="31">
        <v>5.4</v>
      </c>
      <c r="BP10" s="31">
        <v>6.48</v>
      </c>
      <c r="BQ10" s="31">
        <v>0</v>
      </c>
      <c r="BR10" s="33"/>
      <c r="BS10" s="9">
        <f>IF(SUM(AX10:BA10)-BB10&gt;0,SUM(AX10:BA10)-BB10,"")</f>
        <v>37.450000000000003</v>
      </c>
      <c r="BT10" s="9">
        <f>IF(BE10&gt;0,BE10,"")</f>
        <v>9.8000000000000007</v>
      </c>
      <c r="BU10" s="9">
        <f>IF(SUM(BC10:BF10)-BG10&gt;0,SUM(BC10:BF10)-BG10,"")</f>
        <v>42.56</v>
      </c>
      <c r="BV10" s="9" t="str">
        <f>IF(BJ10&gt;0,BJ10,"")</f>
        <v/>
      </c>
      <c r="BW10" s="9" t="str">
        <f>IF(SUM(BH10:BK10)-BL10&gt;0,SUM(BH10:BK10)-BL10,"")</f>
        <v/>
      </c>
      <c r="BX10" s="9">
        <f>IF(BS10="",IF(MAX(BU10,BW10)&gt;0,MAX(BU10,BW10),""),MAX(BU10,BW10)+BS10)</f>
        <v>80.010000000000005</v>
      </c>
      <c r="BY10" s="9">
        <f>IF(BO10&gt;0,BO10,"")</f>
        <v>5.4</v>
      </c>
      <c r="BZ10" s="9">
        <f>IF(SUM(BM10:BP10)-BQ10&gt;0,SUM(BM10:BP10)-BQ10,"")</f>
        <v>23.38</v>
      </c>
      <c r="CA10" s="9">
        <f>IF(SUM(BX10,BZ10)&gt;0,SUM(BX10,BZ10),"")</f>
        <v>103.39</v>
      </c>
      <c r="CB10" s="27">
        <v>15.5</v>
      </c>
      <c r="CC10" s="27">
        <v>9.3000000000000007</v>
      </c>
      <c r="CD10" s="27">
        <v>0</v>
      </c>
      <c r="CE10" s="27">
        <v>13.67</v>
      </c>
      <c r="CF10" s="27">
        <v>0</v>
      </c>
      <c r="CG10" s="27">
        <v>5.4</v>
      </c>
      <c r="CH10" s="27">
        <v>3.5</v>
      </c>
      <c r="CI10" s="27">
        <v>4.3</v>
      </c>
      <c r="CJ10" s="27">
        <v>5.51</v>
      </c>
      <c r="CK10" s="27">
        <v>0</v>
      </c>
      <c r="CL10" s="27"/>
      <c r="CM10" s="27"/>
      <c r="CN10" s="27"/>
      <c r="CO10" s="27"/>
      <c r="CP10" s="27"/>
      <c r="CQ10" s="27">
        <v>14.1</v>
      </c>
      <c r="CR10" s="27">
        <v>8.6999999999999993</v>
      </c>
      <c r="CS10" s="27">
        <v>9.8000000000000007</v>
      </c>
      <c r="CT10" s="27">
        <v>13.28</v>
      </c>
      <c r="CU10" s="27">
        <v>0</v>
      </c>
      <c r="CV10" s="32"/>
      <c r="CW10" s="7">
        <f>IF(SUM(CB10:CE10)-CF10&gt;0,SUM(CB10:CE10)-CF10,"")</f>
        <v>38.47</v>
      </c>
      <c r="CX10" s="7">
        <f>IF(CI10&gt;0,CI10,"")</f>
        <v>4.3</v>
      </c>
      <c r="CY10" s="7">
        <f>IF(SUM(CG10:CJ10)-CK10&gt;0,SUM(CG10:CJ10)-CK10,"")</f>
        <v>18.71</v>
      </c>
      <c r="CZ10" s="7" t="str">
        <f>IF(CN10&gt;0,CN10,"")</f>
        <v/>
      </c>
      <c r="DA10" s="7" t="str">
        <f>IF(SUM(CL10:CO10)-CP10&gt;0,SUM(CL10:CO10)-CP10,"")</f>
        <v/>
      </c>
      <c r="DB10" s="7">
        <f>IF(CW10="",IF(MAX(CY10,DA10)&gt;0,MAX(CY10,DA10),""),MAX(CY10,DA10)+CW10)</f>
        <v>57.18</v>
      </c>
      <c r="DC10" s="7">
        <f>IF(CS10&gt;0,CS10,"")</f>
        <v>9.8000000000000007</v>
      </c>
      <c r="DD10" s="7">
        <f>IF(SUM(CQ10:CT10)-CU10&gt;0,SUM(CQ10:CT10)-CU10,"")</f>
        <v>45.879999999999995</v>
      </c>
      <c r="DE10" s="7">
        <f>IF(SUM(DB10,DD10)&gt;0,SUM(DB10,DD10),"")</f>
        <v>103.06</v>
      </c>
      <c r="DF10" s="13" t="str">
        <f>IF(MAX(DZ10,EV10,FR10,GN10,HJ10,IF10,JB10,JX10,KT10,LP10,ML10,NH10)-IF(K10="",0,K10)&gt;0.001,MAX(DZ10,EV10,FR10,GN10,HJ10,IF10,JB10,JX10,KT10,LP10,ML10,NH10)-IF(K10="",0,K10),"")</f>
        <v/>
      </c>
      <c r="DG10" s="13">
        <f>IF(MAX(EA10,EW10,FS10,GO10,HK10,IG10,JC10,JY10,KU10,LQ10,MM10,NI10)-IF(M10="",0,M10)&gt;0.001,MAX(EA10,EW10,FS10,GO10,HK10,IG10,JC10,JY10,KU10,LQ10,MM10,NI10)-IF(M10="",0,M10),"")</f>
        <v>22.35</v>
      </c>
      <c r="DH10" s="13" t="str">
        <f>IF(MAX(EB10,EX10,FT10,GP10,HL10,IH10,JD10,JZ10,KV10,LR10,MN10,NJ10)-IF(I10="",0,I10)&gt;0.001,MAX(EB10,EX10,FT10,GP10,HL10,IH10,JD10,JZ10,KV10,LR10,MN10,NJ10)-IF(I10="",0,I10),"")</f>
        <v/>
      </c>
      <c r="DI10" s="13" t="str">
        <f>IF(MAX(ED10,EZ10,FV10,GR10,HN10,IJ10,JF10,KB10,KX10,LT10,MP10,NL10)-IF(O10="",0,O10)&gt;0.001,MAX(ED10,EZ10,FV10,GR10,HN10,IJ10,JF10,KB10,KX10,LT10,MP10,NL10)-IF(O10="",0,O10),"")</f>
        <v/>
      </c>
      <c r="DJ10" s="18"/>
      <c r="DK10" s="18"/>
      <c r="DL10" s="18"/>
      <c r="DM10" s="18"/>
      <c r="DN10" s="18"/>
      <c r="DO10" s="18"/>
      <c r="DP10" s="18"/>
      <c r="DQ10" s="18"/>
      <c r="DR10" s="18"/>
      <c r="DS10" s="18"/>
      <c r="DT10" s="18"/>
      <c r="DU10" s="18"/>
      <c r="DV10" s="18"/>
      <c r="DW10" s="18"/>
      <c r="DX10" s="18"/>
      <c r="DY10" s="7" t="str">
        <f>IF(DQ10&gt;0,DQ10,"")</f>
        <v/>
      </c>
      <c r="DZ10" s="7" t="str">
        <f>IF(SUM(DJ10:DM10)-DN10&gt;0,SUM(DJ10:DM10)-DN10,"")</f>
        <v/>
      </c>
      <c r="EA10" s="7" t="str">
        <f>IF(SUM(DO10:DR10)-DS10&gt;0,SUM(DO10:DR10)-DS10,"")</f>
        <v/>
      </c>
      <c r="EB10" s="7" t="str">
        <f>IF(SUM(DZ10:EA10)&gt;0,SUM(DZ10:EA10),"")</f>
        <v/>
      </c>
      <c r="EC10" s="7" t="str">
        <f>IF(DV10&gt;0,DV10,"")</f>
        <v/>
      </c>
      <c r="ED10" s="7" t="str">
        <f>IF(SUM(DT10:DW10)-DX10&gt;0,SUM(DT10:DW10)-DX10,"")</f>
        <v/>
      </c>
      <c r="EE10" s="7" t="str">
        <f>IF(SUM(EB10,ED10)&gt;0,SUM(EB10,ED10),"")</f>
        <v/>
      </c>
      <c r="EF10" s="19"/>
      <c r="EG10" s="19"/>
      <c r="EH10" s="19"/>
      <c r="EI10" s="19"/>
      <c r="EJ10" s="19"/>
      <c r="EK10" s="19"/>
      <c r="EL10" s="19"/>
      <c r="EM10" s="19"/>
      <c r="EN10" s="19"/>
      <c r="EO10" s="19"/>
      <c r="EP10" s="19"/>
      <c r="EQ10" s="19"/>
      <c r="ER10" s="19"/>
      <c r="ES10" s="19"/>
      <c r="ET10" s="19"/>
      <c r="EU10" s="9" t="str">
        <f>IF(EM10&gt;0,EM10,"")</f>
        <v/>
      </c>
      <c r="EV10" s="9" t="str">
        <f>IF(SUM(EF10:EI10)-EJ10&gt;0,SUM(EF10:EI10)-EJ10,"")</f>
        <v/>
      </c>
      <c r="EW10" s="9" t="str">
        <f>IF(SUM(EK10:EN10)-EO10&gt;0,SUM(EK10:EN10)-EO10,"")</f>
        <v/>
      </c>
      <c r="EX10" s="9" t="str">
        <f>IF(SUM(EV10:EW10)&gt;0,SUM(EV10:EW10),"")</f>
        <v/>
      </c>
      <c r="EY10" s="9" t="str">
        <f>IF(ER10&gt;0,ER10,"")</f>
        <v/>
      </c>
      <c r="EZ10" s="9" t="str">
        <f>IF(SUM(EP10:ES10)-ET10&gt;0,SUM(EP10:ES10)-ET10,"")</f>
        <v/>
      </c>
      <c r="FA10" s="9" t="str">
        <f>IF(SUM(EX10,EZ10)&gt;0,SUM(EX10,EZ10),"")</f>
        <v/>
      </c>
      <c r="FB10" s="18"/>
      <c r="FC10" s="18"/>
      <c r="FD10" s="18"/>
      <c r="FE10" s="18"/>
      <c r="FF10" s="18"/>
      <c r="FG10" s="18"/>
      <c r="FH10" s="18"/>
      <c r="FI10" s="18"/>
      <c r="FJ10" s="18"/>
      <c r="FK10" s="18"/>
      <c r="FL10" s="18"/>
      <c r="FM10" s="18"/>
      <c r="FN10" s="18"/>
      <c r="FO10" s="18"/>
      <c r="FP10" s="18"/>
      <c r="FQ10" s="7" t="str">
        <f>IF(FI10&gt;0,FI10,"")</f>
        <v/>
      </c>
      <c r="FR10" s="7" t="str">
        <f>IF(SUM(FB10:FE10)-FF10&gt;0,SUM(FB10:FE10)-FF10,"")</f>
        <v/>
      </c>
      <c r="FS10" s="7" t="str">
        <f>IF(SUM(FG10:FJ10)-FK10&gt;0,SUM(FG10:FJ10)-FK10,"")</f>
        <v/>
      </c>
      <c r="FT10" s="7" t="str">
        <f>IF(SUM(FR10:FS10)&gt;0,SUM(FR10:FS10),"")</f>
        <v/>
      </c>
      <c r="FU10" s="7" t="str">
        <f>IF(FN10&gt;0,FN10,"")</f>
        <v/>
      </c>
      <c r="FV10" s="7" t="str">
        <f>IF(SUM(FL10:FO10)-FP10&gt;0,SUM(FL10:FO10)-FP10,"")</f>
        <v/>
      </c>
      <c r="FW10" s="7" t="str">
        <f>IF(SUM(FT10,FV10)&gt;0,SUM(FT10,FV10),"")</f>
        <v/>
      </c>
      <c r="FX10" s="19">
        <v>15</v>
      </c>
      <c r="FY10" s="19">
        <v>9.6</v>
      </c>
      <c r="FZ10" s="19">
        <v>0</v>
      </c>
      <c r="GA10" s="19">
        <v>13.61</v>
      </c>
      <c r="GB10" s="19">
        <v>0</v>
      </c>
      <c r="GC10" s="19">
        <v>12.3</v>
      </c>
      <c r="GD10" s="19">
        <v>8.4</v>
      </c>
      <c r="GE10" s="19">
        <v>8.4</v>
      </c>
      <c r="GF10" s="19">
        <v>11.96</v>
      </c>
      <c r="GG10" s="19">
        <v>0</v>
      </c>
      <c r="GH10" s="19"/>
      <c r="GI10" s="19"/>
      <c r="GJ10" s="19"/>
      <c r="GK10" s="19"/>
      <c r="GL10" s="19"/>
      <c r="GM10" s="9">
        <f>IF(GE10&gt;0,GE10,"")</f>
        <v>8.4</v>
      </c>
      <c r="GN10" s="9">
        <f>IF(SUM(FX10:GA10)-GB10&gt;0,SUM(FX10:GA10)-GB10,"")</f>
        <v>38.21</v>
      </c>
      <c r="GO10" s="9">
        <f>IF(SUM(GC10:GF10)-GG10&gt;0,SUM(GC10:GF10)-GG10,"")</f>
        <v>41.06</v>
      </c>
      <c r="GP10" s="9">
        <f>IF(SUM(GN10:GO10)&gt;0,SUM(GN10:GO10),"")</f>
        <v>79.27000000000001</v>
      </c>
      <c r="GQ10" s="9" t="str">
        <f>IF(GJ10&gt;0,GJ10,"")</f>
        <v/>
      </c>
      <c r="GR10" s="9" t="str">
        <f>IF(SUM(GH10:GK10)-GL10&gt;0,SUM(GH10:GK10)-GL10,"")</f>
        <v/>
      </c>
      <c r="GS10" s="9">
        <f>IF(SUM(GP10,GR10)&gt;0,SUM(GP10,GR10),"")</f>
        <v>79.27000000000001</v>
      </c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7" t="str">
        <f>IF(HA10&gt;0,HA10,"")</f>
        <v/>
      </c>
      <c r="HJ10" s="7" t="str">
        <f>IF(SUM(GT10:GW10)-GX10&gt;0,SUM(GT10:GW10)-GX10,"")</f>
        <v/>
      </c>
      <c r="HK10" s="7" t="str">
        <f>IF(SUM(GY10:HB10)-HC10&gt;0,SUM(GY10:HB10)-HC10,"")</f>
        <v/>
      </c>
      <c r="HL10" s="7" t="str">
        <f>IF(SUM(HJ10:HK10)&gt;0,SUM(HJ10:HK10),"")</f>
        <v/>
      </c>
      <c r="HM10" s="7" t="str">
        <f>IF(HF10&gt;0,HF10,"")</f>
        <v/>
      </c>
      <c r="HN10" s="7" t="str">
        <f>IF(SUM(HD10:HG10)-HH10&gt;0,SUM(HD10:HG10)-HH10,"")</f>
        <v/>
      </c>
      <c r="HO10" s="7" t="str">
        <f>IF(SUM(HL10,HN10)&gt;0,SUM(HL10,HN10),"")</f>
        <v/>
      </c>
      <c r="HP10" s="19"/>
      <c r="HQ10" s="19"/>
      <c r="HR10" s="19"/>
      <c r="HS10" s="19"/>
      <c r="HT10" s="19"/>
      <c r="HU10" s="19"/>
      <c r="HV10" s="19"/>
      <c r="HW10" s="19"/>
      <c r="HX10" s="19"/>
      <c r="HY10" s="19"/>
      <c r="HZ10" s="19"/>
      <c r="IA10" s="19"/>
      <c r="IB10" s="19"/>
      <c r="IC10" s="19"/>
      <c r="ID10" s="19"/>
      <c r="IE10" s="9" t="str">
        <f>IF(HW10&gt;0,HW10,"")</f>
        <v/>
      </c>
      <c r="IF10" s="9" t="str">
        <f>IF(SUM(HP10:HS10)-HT10&gt;0,SUM(HP10:HS10)-HT10,"")</f>
        <v/>
      </c>
      <c r="IG10" s="9" t="str">
        <f>IF(SUM(HU10:HX10)-HY10&gt;0,SUM(HU10:HX10)-HY10,"")</f>
        <v/>
      </c>
      <c r="IH10" s="9" t="str">
        <f>IF(SUM(IF10:IG10)&gt;0,SUM(IF10:IG10),"")</f>
        <v/>
      </c>
      <c r="II10" s="9" t="str">
        <f>IF(IB10&gt;0,IB10,"")</f>
        <v/>
      </c>
      <c r="IJ10" s="9" t="str">
        <f>IF(SUM(HZ10:IC10)-ID10&gt;0,SUM(HZ10:IC10)-ID10,"")</f>
        <v/>
      </c>
      <c r="IK10" s="9" t="str">
        <f>IF(SUM(IH10,IJ10)&gt;0,SUM(IH10,IJ10),"")</f>
        <v/>
      </c>
      <c r="IL10" s="18"/>
      <c r="IM10" s="18"/>
      <c r="IN10" s="18"/>
      <c r="IO10" s="18"/>
      <c r="IP10" s="18"/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7" t="str">
        <f>IF(IS10&gt;0,IS10,"")</f>
        <v/>
      </c>
      <c r="JB10" s="7" t="str">
        <f>IF(SUM(IL10:IO10)-IP10&gt;0,SUM(IL10:IO10)-IP10,"")</f>
        <v/>
      </c>
      <c r="JC10" s="7" t="str">
        <f>IF(SUM(IQ10:IT10)-IU10&gt;0,SUM(IQ10:IT10)-IU10,"")</f>
        <v/>
      </c>
      <c r="JD10" s="7" t="str">
        <f>IF(SUM(JB10:JC10)&gt;0,SUM(JB10:JC10),"")</f>
        <v/>
      </c>
      <c r="JE10" s="7" t="str">
        <f>IF(IX10&gt;0,IX10,"")</f>
        <v/>
      </c>
      <c r="JF10" s="7" t="str">
        <f>IF(SUM(IV10:IY10)-IZ10&gt;0,SUM(IV10:IY10)-IZ10,"")</f>
        <v/>
      </c>
      <c r="JG10" s="7" t="str">
        <f>IF(SUM(JD10,JF10)&gt;0,SUM(JD10,JF10),"")</f>
        <v/>
      </c>
      <c r="JH10" s="19"/>
      <c r="JI10" s="19"/>
      <c r="JJ10" s="19"/>
      <c r="JK10" s="19"/>
      <c r="JL10" s="19"/>
      <c r="JM10" s="19"/>
      <c r="JN10" s="19"/>
      <c r="JO10" s="19"/>
      <c r="JP10" s="19"/>
      <c r="JQ10" s="19"/>
      <c r="JR10" s="19"/>
      <c r="JS10" s="19"/>
      <c r="JT10" s="19"/>
      <c r="JU10" s="19"/>
      <c r="JV10" s="19"/>
      <c r="JW10" s="9" t="str">
        <f>IF(JO10&gt;0,JO10,"")</f>
        <v/>
      </c>
      <c r="JX10" s="9" t="str">
        <f>IF(SUM(JH10:JK10)-JL10&gt;0,SUM(JH10:JK10)-JL10,"")</f>
        <v/>
      </c>
      <c r="JY10" s="9" t="str">
        <f>IF(SUM(JM10:JP10)-JQ10&gt;0,SUM(JM10:JP10)-JQ10,"")</f>
        <v/>
      </c>
      <c r="JZ10" s="9" t="str">
        <f>IF(SUM(JX10:JY10)&gt;0,SUM(JX10:JY10),"")</f>
        <v/>
      </c>
      <c r="KA10" s="9" t="str">
        <f>IF(JT10&gt;0,JT10,"")</f>
        <v/>
      </c>
      <c r="KB10" s="9" t="str">
        <f>IF(SUM(JR10:JU10)-JV10&gt;0,SUM(JR10:JU10)-JV10,"")</f>
        <v/>
      </c>
      <c r="KC10" s="9" t="str">
        <f>IF(SUM(JZ10,KB10)&gt;0,SUM(JZ10,KB10),"")</f>
        <v/>
      </c>
      <c r="KD10" s="18"/>
      <c r="KE10" s="18"/>
      <c r="KF10" s="18"/>
      <c r="KG10" s="18"/>
      <c r="KH10" s="18"/>
      <c r="KI10" s="18"/>
      <c r="KJ10" s="18"/>
      <c r="KK10" s="18"/>
      <c r="KL10" s="18"/>
      <c r="KM10" s="18"/>
      <c r="KN10" s="18"/>
      <c r="KO10" s="18"/>
      <c r="KP10" s="18"/>
      <c r="KQ10" s="18"/>
      <c r="KR10" s="18"/>
      <c r="KS10" s="7" t="str">
        <f>IF(KK10&gt;0,KK10,"")</f>
        <v/>
      </c>
      <c r="KT10" s="7" t="str">
        <f>IF(SUM(KD10:KG10)-KH10&gt;0,SUM(KD10:KG10)-KH10,"")</f>
        <v/>
      </c>
      <c r="KU10" s="7" t="str">
        <f>IF(SUM(KI10:KL10)-KM10&gt;0,SUM(KI10:KL10)-KM10,"")</f>
        <v/>
      </c>
      <c r="KV10" s="7" t="str">
        <f>IF(SUM(KT10:KU10)&gt;0,SUM(KT10:KU10),"")</f>
        <v/>
      </c>
      <c r="KW10" s="7" t="str">
        <f>IF(KP10&gt;0,KP10,"")</f>
        <v/>
      </c>
      <c r="KX10" s="7" t="str">
        <f>IF(SUM(KN10:KQ10)-KR10&gt;0,SUM(KN10:KQ10)-KR10,"")</f>
        <v/>
      </c>
      <c r="KY10" s="7" t="str">
        <f>IF(SUM(KV10,KX10)&gt;0,SUM(KV10,KX10),"")</f>
        <v/>
      </c>
      <c r="KZ10" s="19"/>
      <c r="LA10" s="19"/>
      <c r="LB10" s="19"/>
      <c r="LC10" s="19"/>
      <c r="LD10" s="19"/>
      <c r="LE10" s="19"/>
      <c r="LF10" s="19"/>
      <c r="LG10" s="19"/>
      <c r="LH10" s="19"/>
      <c r="LI10" s="19"/>
      <c r="LJ10" s="19"/>
      <c r="LK10" s="19"/>
      <c r="LL10" s="19"/>
      <c r="LM10" s="19"/>
      <c r="LN10" s="19"/>
      <c r="LO10" s="9" t="str">
        <f>IF(LG10&gt;0,LG10,"")</f>
        <v/>
      </c>
      <c r="LP10" s="9" t="str">
        <f>IF(SUM(KZ10:LC10)-LD10&gt;0,SUM(KZ10:LC10)-LD10,"")</f>
        <v/>
      </c>
      <c r="LQ10" s="9" t="str">
        <f>IF(SUM(LE10:LH10)-LI10&gt;0,SUM(LE10:LH10)-LI10,"")</f>
        <v/>
      </c>
      <c r="LR10" s="9" t="str">
        <f>IF(SUM(LP10:LQ10)&gt;0,SUM(LP10:LQ10),"")</f>
        <v/>
      </c>
      <c r="LS10" s="9" t="str">
        <f>IF(LL10&gt;0,LL10,"")</f>
        <v/>
      </c>
      <c r="LT10" s="9" t="str">
        <f>IF(SUM(LJ10:LM10)-LN10&gt;0,SUM(LJ10:LM10)-LN10,"")</f>
        <v/>
      </c>
      <c r="LU10" s="9" t="str">
        <f>IF(SUM(LR10,LT10)&gt;0,SUM(LR10,LT10),"")</f>
        <v/>
      </c>
      <c r="LV10" s="18"/>
      <c r="LW10" s="18"/>
      <c r="LX10" s="18"/>
      <c r="LY10" s="18"/>
      <c r="LZ10" s="18"/>
      <c r="MA10" s="18"/>
      <c r="MB10" s="18"/>
      <c r="MC10" s="18"/>
      <c r="MD10" s="18"/>
      <c r="ME10" s="18"/>
      <c r="MF10" s="18"/>
      <c r="MG10" s="18"/>
      <c r="MH10" s="18"/>
      <c r="MI10" s="18"/>
      <c r="MJ10" s="18"/>
      <c r="MK10" s="7" t="str">
        <f>IF(MC10&gt;0,MC10,"")</f>
        <v/>
      </c>
      <c r="ML10" s="7" t="str">
        <f>IF(SUM(LV10:LY10)-LZ10&gt;0,SUM(LV10:LY10)-LZ10,"")</f>
        <v/>
      </c>
      <c r="MM10" s="7" t="str">
        <f>IF(SUM(MA10:MD10)-ME10&gt;0,SUM(MA10:MD10)-ME10,"")</f>
        <v/>
      </c>
      <c r="MN10" s="7" t="str">
        <f>IF(SUM(ML10:MM10)&gt;0,SUM(ML10:MM10),"")</f>
        <v/>
      </c>
      <c r="MO10" s="7" t="str">
        <f>IF(MH10&gt;0,MH10,"")</f>
        <v/>
      </c>
      <c r="MP10" s="7" t="str">
        <f>IF(SUM(MF10:MI10)-MJ10&gt;0,SUM(MF10:MI10)-MJ10,"")</f>
        <v/>
      </c>
      <c r="MQ10" s="7" t="str">
        <f>IF(SUM(MN10,MP10)&gt;0,SUM(MN10,MP10),"")</f>
        <v/>
      </c>
      <c r="MR10" s="19"/>
      <c r="MS10" s="19"/>
      <c r="MT10" s="19"/>
      <c r="MU10" s="19"/>
      <c r="MV10" s="19"/>
      <c r="MW10" s="19"/>
      <c r="MX10" s="19"/>
      <c r="MY10" s="19"/>
      <c r="MZ10" s="19"/>
      <c r="NA10" s="19"/>
      <c r="NB10" s="19"/>
      <c r="NC10" s="19"/>
      <c r="ND10" s="19"/>
      <c r="NE10" s="19"/>
      <c r="NF10" s="19"/>
      <c r="NG10" s="9" t="str">
        <f>IF(MY10&gt;0,MY10,"")</f>
        <v/>
      </c>
      <c r="NH10" s="9" t="str">
        <f>IF(SUM(MR10:MU10)-MV10&gt;0,SUM(MR10:MU10)-MV10,"")</f>
        <v/>
      </c>
      <c r="NI10" s="9" t="str">
        <f>IF(SUM(MW10:MZ10)-NA10&gt;0,SUM(MW10:MZ10)-NA10,"")</f>
        <v/>
      </c>
      <c r="NJ10" s="9" t="str">
        <f>IF(SUM(NH10:NI10)&gt;0,SUM(NH10:NI10),"")</f>
        <v/>
      </c>
      <c r="NK10" s="9" t="str">
        <f>IF(ND10&gt;0,ND10,"")</f>
        <v/>
      </c>
      <c r="NL10" s="9" t="str">
        <f>IF(SUM(NB10:NE10)-NF10&gt;0,SUM(NB10:NE10)-NF10,"")</f>
        <v/>
      </c>
      <c r="NM10" s="9" t="str">
        <f>IF(SUM(NJ10,NL10)&gt;0,SUM(NJ10,NL10),"")</f>
        <v/>
      </c>
      <c r="NN10" s="27">
        <f>IF($CV10="P",CB10,(CB10+AX10)/2)</f>
        <v>15.3</v>
      </c>
      <c r="NO10" s="27">
        <f>IF($CV10="P",CC10,(CC10+AY10)/2)</f>
        <v>9.4</v>
      </c>
      <c r="NP10" s="27">
        <f>IF($CV10="P",CD10,(CD10+AZ10)/2)</f>
        <v>0</v>
      </c>
      <c r="NQ10" s="27">
        <f>IF($CV10="P",CE10,(CE10+BA10)/2)</f>
        <v>13.26</v>
      </c>
      <c r="NR10" s="27">
        <f>IF($CV10="P",CF10,(CF10+BB10)/2)</f>
        <v>0</v>
      </c>
      <c r="NS10" s="27">
        <f>IF($CV10="P",CG10,(CG10+BC10)/2)</f>
        <v>8.1999999999999993</v>
      </c>
      <c r="NT10" s="27">
        <f>IF($CV10="P",CH10,(CH10+BD10)/2)</f>
        <v>6.3</v>
      </c>
      <c r="NU10" s="27">
        <f>IF($CV10="P",CI10,(CI10+BE10)/2)</f>
        <v>7.0500000000000007</v>
      </c>
      <c r="NV10" s="27">
        <f>IF($CV10="P",CJ10,(CJ10+BF10)/2)</f>
        <v>9.0850000000000009</v>
      </c>
      <c r="NW10" s="27">
        <f>IF($CV10="P",CK10,(CK10+BG10)/2)</f>
        <v>0</v>
      </c>
      <c r="NX10" s="27">
        <f>IF($CV10="P",CL10,(CL10+BH10)/2)</f>
        <v>0</v>
      </c>
      <c r="NY10" s="27">
        <f>IF($CV10="P",CM10,(CM10+BI10)/2)</f>
        <v>0</v>
      </c>
      <c r="NZ10" s="27">
        <f>IF($CV10="P",CN10,(CN10+BJ10)/2)</f>
        <v>0</v>
      </c>
      <c r="OA10" s="27">
        <f>IF($CV10="P",CO10,(CO10+BK10)/2)</f>
        <v>0</v>
      </c>
      <c r="OB10" s="27">
        <f>IF($CV10="P",CP10,(CP10+BL10)/2)</f>
        <v>0</v>
      </c>
      <c r="OC10" s="27">
        <f>IF($CV10="P",CQ10,(CQ10+BM10)/2)</f>
        <v>10.5</v>
      </c>
      <c r="OD10" s="27">
        <f>IF($CV10="P",CR10,(CR10+BN10)/2)</f>
        <v>6.6499999999999995</v>
      </c>
      <c r="OE10" s="27">
        <f>IF($CV10="P",CS10,(CS10+BO10)/2)</f>
        <v>7.6000000000000005</v>
      </c>
      <c r="OF10" s="27">
        <f>IF($CV10="P",CT10,(CT10+BP10)/2)</f>
        <v>9.879999999999999</v>
      </c>
      <c r="OG10" s="27">
        <f>IF($CV10="P",CU10,(CU10+BQ10)/2)</f>
        <v>0</v>
      </c>
      <c r="OH10" s="32" t="s">
        <v>44</v>
      </c>
      <c r="OI10" s="7">
        <f>IF(SUM(NN10:NQ10)-NR10&gt;0,SUM(NN10:NQ10)-NR10,"")</f>
        <v>37.96</v>
      </c>
      <c r="OJ10" s="7">
        <f>IF(NU10&gt;0,NU10,"")</f>
        <v>7.0500000000000007</v>
      </c>
      <c r="OK10" s="7">
        <f>IF(SUM(NS10:NV10)-NW10&gt;0,SUM(NS10:NV10)-NW10,"")</f>
        <v>30.635000000000002</v>
      </c>
      <c r="OL10" s="7" t="str">
        <f>IF(NZ10&gt;0,NZ10,"")</f>
        <v/>
      </c>
      <c r="OM10" s="7" t="str">
        <f>IF(SUM(NX10:OA10)-OB10&gt;0,SUM(NX10:OA10)-OB10,"")</f>
        <v/>
      </c>
      <c r="ON10" s="7">
        <f>IF(OR(OI10&lt;&gt;"",OK10&lt;&gt;"",OM10&lt;&gt;""),OI10+MAX(OK10,OM10),"")</f>
        <v>68.594999999999999</v>
      </c>
      <c r="OO10" s="7">
        <f>IF(OE10&gt;0,OE10,"")</f>
        <v>7.6000000000000005</v>
      </c>
      <c r="OP10" s="7">
        <f t="shared" ref="OP10" si="12">IF(SUM(OC10:OF10)-OG10&gt;0,SUM(OC10:OF10)-OG10,"")</f>
        <v>34.629999999999995</v>
      </c>
      <c r="OQ10" s="7">
        <f t="shared" ref="OQ10" si="13">IF(SUM(ON10,OP10)&gt;0,SUM(ON10,OP10),"")</f>
        <v>103.22499999999999</v>
      </c>
    </row>
    <row r="11" spans="1:407" x14ac:dyDescent="0.2">
      <c r="A11" s="4" t="str" cm="1">
        <f t="array" ref="A11">IF(AND(H11&lt;&gt;"",H11&lt;&gt;"No DD"),SUMPRODUCT((H$4:H$12&lt;&gt;"")*(H$4:H$12&lt;&gt;"No DD")*(E$4:E$12&gt;E11))+1,IF(H11="No DD",SUMPRODUCT((H$4:H$12="No DD")*(E$4:E$12&gt;E11))+1+SUMPRODUCT((H$4:H$12&lt;&gt;"")*(H$4:H$12&lt;&gt;"No DD")),""))</f>
        <v/>
      </c>
      <c r="B11" s="5" t="s">
        <v>106</v>
      </c>
      <c r="C11" s="4" t="s">
        <v>66</v>
      </c>
      <c r="D11" s="4">
        <v>2008</v>
      </c>
      <c r="E11" s="10">
        <f>SUM(I11:Q11)</f>
        <v>179.3</v>
      </c>
      <c r="F11" s="3" t="str">
        <f>IF(OR(AND(AP11&gt;=AW$14,AT11&gt;=AW$18,AO11&lt;&gt;"",AN11=""),AND(BT11&gt;=CA$14,BX11&gt;=CA$18,BS11&lt;&gt;"",BR11=""),AND(CX11&gt;=DE$14,DB11&gt;=DE$18,CW11&lt;&gt;"",CV11=""),AND(DY11&gt;=EE$14,EB11&gt;=EE$18,DY11&lt;&gt;""),AND(EU11&gt;=FA$14,EX11&gt;=FA$18,EU11&lt;&gt;""),AND(FQ11&gt;=FW$14,FT11&gt;=FW$18,FQ11&lt;&gt;""),AND(GM11&gt;=GS$14,GP11&gt;=GS$18,GM11&lt;&gt;""),AND(HI11&gt;=HO$14,HL11&gt;=HO$18,HI11&lt;&gt;""),AND(IE11&gt;=IK$14,IH11&gt;=IK$18,IE11&lt;&gt;""),AND(JA11&gt;=JG$14,JD11&gt;=JG$18,JA11&lt;&gt;""),AND(JW11&gt;=KC$14,JZ11&gt;=KC$18,JW11&lt;&gt;""),AND(KS11&gt;=KY$14,KV11&gt;=KY$18,KS11&lt;&gt;""),AND(LO11&gt;=LU$14,LR11&gt;=LU$18,LO11&lt;&gt;""),AND(MK11&gt;=MQ$14,MN11&gt;=MQ$18,MK11&lt;&gt;""),AND(NG11&gt;=NM$14,NJ11&gt;=NM$18,NG11&lt;&gt;"")),"P","")</f>
        <v/>
      </c>
      <c r="G11" s="3" t="str">
        <f>IF(OR(AND(AT11&gt;=AW$18,AO11&lt;&gt;"",AN11=""),AND(BX11&gt;=CA$18,BS11&lt;&gt;"",BR11=""),AND(DB11&gt;=DE$18,CW11&lt;&gt;"",CV11=""),AND(EB11&gt;=EE$18,DY11&lt;&gt;""),AND(EX11&gt;=FA$18,EU11&lt;&gt;""),AND(FT11&gt;=FW$18,FQ11&lt;&gt;""),AND(GP11&gt;=GS$18,GM11&lt;&gt;""),AND(HL11&gt;=HO$18,HI11&lt;&gt;""),AND(IH11&gt;=IK$18,IE11&lt;&gt;""),AND(JD11&gt;=JG$18,JA11&lt;&gt;""),AND(JZ11&gt;=KC$18,JW11&lt;&gt;""),AND(KV11&gt;=KY$18,KS11&lt;&gt;""),AND(LR11&gt;=LU$18,LO11&lt;&gt;""),AND(MN11&gt;=MQ$18,MK11&lt;&gt;""),AND(NJ11&gt;=NM$18,NG11&lt;&gt;"")),"P","")</f>
        <v/>
      </c>
      <c r="H11" s="47" t="str">
        <f>IF(OR(AND(AP11&gt;=AW$17,AQ11&gt;=AW$21,AP11&lt;&gt;"",AN11=""),AND(AU11&gt;=AW$17,AV11&gt;=AW$21,AU11&lt;&gt;"",AN11=""),AND(BT11&gt;=CA$17,BU11&gt;=CA$21,BT11&lt;&gt;"",BR11=""),AND(BY11&gt;=CA$17,BZ11&gt;=CA$21,BY11&lt;&gt;"",BR11=""),AND(CX11&gt;=DE$17,CY11&gt;=DE$21,CX11&lt;&gt;"",CV11=""),AND(DC11&gt;=DE$17,DD11&gt;=DE$21,DC11&lt;&gt;"",CV11=""),AND(DY11&gt;=EE$17,EA11&gt;=EE$21,DY11&lt;&gt;""),AND(EC11&gt;=EE$17,ED11&gt;=EE$21,EC11&lt;&gt;""),AND(EU11&gt;=FA$17,EW11&gt;=FA$21,EU11&lt;&gt;""),AND(EY11&gt;=FA$17,EZ11&gt;=FA$21,EY11&lt;&gt;""),AND(FQ11&gt;=FW$17,FS11&gt;=FW$21,FQ11&lt;&gt;""),AND(FU11&gt;=FW$17,FV11&gt;=FW$21,FU11&lt;&gt;""),AND(GM11&gt;=GS$17,GO11&gt;=GS$21,GM11&lt;&gt;""),AND(GQ11&gt;=GS$17,GR11&gt;=GS$21,GQ11&lt;&gt;""),AND(HI11&gt;=HO$17,HK11&gt;=HO$21,HI11&lt;&gt;""),AND(HM11&gt;=HO$17,HN11&gt;=HO$21,HM11&lt;&gt;""),AND(IE11&gt;=IK$17,IG11&gt;=IK$21,IE11&lt;&gt;""),AND(II11&gt;=IK$17,IJ11&gt;=IK$21,II11&lt;&gt;""),AND(JA11&gt;=JG$17,JC11&gt;=JG$21,JA11&lt;&gt;""),AND(JE11&gt;=JG$17,JF11&gt;=JG$21,JE11&lt;&gt;""),AND(JW11&gt;=KC$17,JY11&gt;=KC$21,JW11&lt;&gt;""),AND(KA11&gt;=KC$17,KB11&gt;=KC$21,KA11&lt;&gt;""),AND(KS11&gt;=KY$17,KU11&gt;=KY$21,KS11&lt;&gt;""),AND(KW11&gt;=KY$17,KX11&gt;=KY$21,KW11&lt;&gt;""),AND(LO11&gt;=LU$17,LQ11&gt;=LU$21,LO11&lt;&gt;""),AND(LS11&gt;=LU$17,LT11&gt;=LU$21,LS11&lt;&gt;""),AND(MK11&gt;=MQ$17,MM11&gt;=MQ$21,MK11&lt;&gt;""),AND(MO11&gt;=MQ$17,MP11&gt;=MQ$21,MO11&lt;&gt;""),AND(NG11&gt;=NM$17,NI11&gt;=NM$21,NG11&lt;&gt;""),AND(NK11&gt;=NM$17,NL11&gt;=NM$21,NK11&lt;&gt;"")),"Merit",IF(OR(AND(AP11&gt;=AW$16,AT11&gt;=AW$20,AO11&lt;&gt;"",AN11=""),AND(BT11&gt;=CA$16,BX11&gt;=CA$20,BS11&lt;&gt;"",BR11=""),AND(CX11&gt;=DE$16,DB11&gt;=DE$20,CW11&lt;&gt;"",CV11=""),AND(DY11&gt;=EE$16,EB11&gt;=EE$20,DY11&lt;&gt;""),AND(EU11&gt;=FA$16,EX11&gt;=FA$20,EU11&lt;&gt;""),AND(FQ11&gt;=FW$16,FT11&gt;=FW$20,FQ11&lt;&gt;""),AND(GM11&gt;=GS$16,GP11&gt;=GS$20,GM11&lt;&gt;""),AND(HI11&gt;=HO$16,HL11&gt;=HO$20,HI11&lt;&gt;""),AND(IE11&gt;=IK$16,IH11&gt;=IK$20,IE11&lt;&gt;""),AND(JA11&gt;=JG$16,JD11&gt;=JG$20,JA11&lt;&gt;""),AND(JW11&gt;=KC$16,JZ11&gt;=KC$20,JW11&lt;&gt;""),AND(KS11&gt;=KY$16,KV11&gt;=KY$20,KS11&lt;&gt;""),AND(LO11&gt;=LU$16,LR11&gt;=LU$20,LO11&lt;&gt;""),AND(MK11&gt;=MQ$16,MN11&gt;=MQ$20,MK11&lt;&gt;""),AND(NG11&gt;=NM$16,NJ11&gt;=NM$20,NG11&lt;&gt;"")),"Excellence",IF(OR(AND(AP11&gt;=AW$14,AT11&gt;=AW$18,AO11&lt;&gt;"",AN11=""),AND(BT11&gt;=CA$14,BX11&gt;=CA$18,BS11&lt;&gt;"",BR11=""),AND(CX11&gt;=DE$14,DB11&gt;=DE$18,CW11&lt;&gt;"",CV11=""),AND(DY11&gt;=EE$14,EB11&gt;=EE$18,DY11&lt;&gt;""),AND(EU11&gt;=FA$14,EX11&gt;=FA$18,EU11&lt;&gt;""),AND(FQ11&gt;=FW$14,FT11&gt;=FW$18,FQ11&lt;&gt;""),AND(GM11&gt;=GS$14,GP11&gt;=GS$18,GM11&lt;&gt;""),AND(HI11&gt;=HO$14,HL11&gt;=HO$18,HI11&lt;&gt;""),AND(IE11&gt;=IK$14,IH11&gt;=IK$18,IE11&lt;&gt;""),AND(JA11&gt;=JG$14,JD11&gt;=JG$18,JA11&lt;&gt;""),AND(JW11&gt;=KC$14,JZ11&gt;=KC$18,JW11&lt;&gt;""),AND(KS11&gt;=KY$14,KV11&gt;=KY$18,KS11&lt;&gt;""),AND(LO11&gt;=LU$14,LR11&gt;=LU$18,LO11&lt;&gt;""),AND(MK11&gt;=MQ$14,MN11&gt;=MQ$18,MK11&lt;&gt;""),AND(NG11&gt;=NM$14,NJ11&gt;=NM$18,NG11&lt;&gt;"")),"National Team",IF(G11="P","No DD",""))))</f>
        <v/>
      </c>
      <c r="I11" s="9">
        <f>IF(MAX(AT11,BX11,DB11)&gt;0,MAX(AT11,BX11,DB11),0)</f>
        <v>83.289999999999992</v>
      </c>
      <c r="J11" s="9" t="str">
        <f>IF(I11=0,"",IF(I11=DB11,$CB$1,IF(I11=BX11,$AX$1,IF(I11=AT11,$T$1,""))))</f>
        <v>2023 Nationals</v>
      </c>
      <c r="K11" s="9">
        <f>IF($I11=$AT11,MAX(BS11,CW11),IF($I11=$BX11,MAX(AO11,CW11),IF($I11=$DB11,MAX(AO11,BS11),MAX(AO11,BS11,CW11))))</f>
        <v>7.9</v>
      </c>
      <c r="L11" s="9" t="str">
        <f>IF(K11=0,"",IF(AND(K11=CW11,$J11&lt;&gt;$CB$1),$CB$1,IF(AND(K11=BS11,$J11&lt;&gt;$AX$1),$AX$1,IF(AND(K11=AO11,$J11&lt;&gt;$T$1),$T$1,""))))</f>
        <v>2023 3rd Domestic Trial</v>
      </c>
      <c r="M11" s="9">
        <f>IF(I11-N(AO11)=AQ11,MAX(AS11,BU11,BW11,CY11,DA11),IF(I11-N(AO11)=AS11,MAX(AQ11,BU11,BW11,CY11,DA11),IF(I11-N(BS11)=BU11,MAX(AQ11,AS11,BW11,CY11,DA11),IF(I11-N(BS11)=BW11,MAX(AQ11,AS11,BU11,CY11,DA11),IF(I11-N(CW11)=CY11,MAX(AQ11,AS11,BU11,BW11,DA11),IF(I11-N(CW11)=DA11,MAX(AQ11,AS11,BU11,BW11,CY11),MAX(AQ11,AS11,BU11,BW11,CY11,DA11)))))))</f>
        <v>41.53</v>
      </c>
      <c r="N11" s="9" t="str">
        <f>IF(M11=0,"",IF(AND(OR(M11=DA11,M11=CY11),$J11&lt;&gt;$CB$1),$CB$1,IF(AND(OR(M11=BW11,M11=BU11),$J11&lt;&gt;$AX$1),$AX$1,IF(AND(OR(M11=AS11,M11=AQ11),$J11&lt;&gt;$T$1),$T$1,""))))</f>
        <v>2023 3rd Domestic Trial</v>
      </c>
      <c r="O11" s="9">
        <f>MAX(AV11,BZ11,DD11)</f>
        <v>46.58</v>
      </c>
      <c r="P11" s="9" t="str">
        <f>IF(O11=0,"",IF(O11=DD11,$CB$1,IF(O11=BZ11,$AX$1,IF(O11=AV11,$T$1,""))))</f>
        <v>2023 Nationals</v>
      </c>
      <c r="Q11" s="9" t="str">
        <f>IF(MAX(DF11,DG11,DH11,DI11)&gt;0,MAX(DF11,DG11,DH11,DI11),"")</f>
        <v/>
      </c>
      <c r="R11" s="14" t="str">
        <f>IF(Q11="","",IF(Q11=DF11,"(Vol 1)",IF(Q11=DG11,"(Vol 2)",IF(Q11=DH11,"(Prelim)",IF(Q11=DI11,"(Final)")))))</f>
        <v/>
      </c>
      <c r="S11" s="9" t="str">
        <f>IF(Q11="","",IF(Q11=DF11,IF(Q11+IF(K11="",0,K11)=NH11,$MR$1,IF(Q11+IF(K11="",0,K11)=ML11,$LV$1,IF(Q11+IF(K11="",0,K11)=LP11,$KZ$1,IF(Q11+IF(K11="",0,K11)=KT11,$KD$1,IF(Q11+IF(K11="",0,K11)=JX11,$JH$1,IF(Q11+IF(K11="",0,K11)=JB11,$IL$1,IF(Q11+IF(K11="",0,K11)=IF11,$HP$1,IF(Q11+IF(K11="",0,K11)=HJ11,$GT$1,IF(Q11+IF(K11="",0,K11)=GN11,$FX$1,IF(Q11+IF(K11="",0,K11)=FR11,$FB$1,IF(Q11+IF(K11="",0,K11)=EV11,$EF$1,IF(Q11+IF(K11="",0,K11)=DZ11,$DJ$1)))))))))))),IF(Q11=DG11,IF(Q11+IF(M11="",0,M11)=NI11,$MR$1,IF(Q11+IF(M11="",0,M11)=MM11,$LV$1,IF(Q11+IF(M11="",0,M11)=LQ11,$KZ$1,IF(Q11+IF(M11="",0,M11)=KU11,$KD$1,IF(Q11+IF(M11="",0,M11)=JY11,$JH$1,IF(Q11+IF(M11="",0,M11)=JC11,$IL$1,IF(Q11+IF(M11="",0,M11)=IG11,$HP$1,IF(Q11+IF(M11="",0,M11)=HK11,$GT$1,IF(Q11+IF(M11="",0,M11)=GO11,$FX$1,IF(Q11+IF(M11="",0,M11)=FS11,$FB$1,IF(Q11+IF(M11="",0,M11)=EW11,$EF$1,IF(Q11+IF(M11="",0,M11)=EA11,$DJ$1)))))))))))),IF(Q11=DH11,IF(Q11+IF(I11="",0,I11)=NJ11,$MR$1,IF(Q11+IF(I11="",0,I11)=MN11,$LV$1,IF(Q11+IF(I11="",0,I11)=LR11,$KZ$1,IF(Q11+IF(I11="",0,I11)=KV11,$KD$1,IF(Q11+IF(I11="",0,I11)=JZ11,$JH$1,IF(Q11+IF(I11="",0,I11)=JD11,$IL$1,IF(Q11+IF(I11="",0,I11)=IH11,$HP$1,IF(Q11+IF(I11="",0,I11)=HL11,$GT$1,IF(Q11+IF(I11="",0,I11)=GP11,$FX$1,IF(Q11+IF(I11="",0,I11)=FT11,$FB$1,IF(Q11+IF(I11="",0,I11)=EX11,$EF$1,IF(Q11+IF(I11="",0,I11)=EB11,$DJ$1)))))))))))),IF(Q11=DI11,IF(Q11+IF(O11="",0,O11)=NL11,$MR$1,IF(Q11+IF(O11="",0,O11)=MP11,$LV$1,IF(Q11+IF(O11="",0,O11)=LT11,$KZ$1,IF(Q11+IF(O11="",0,O11)=KX11,$KD$1,IF(Q11+IF(O11="",0,O11)=KB11,$JH$1,IF(Q11+IF(O11="",0,O11)=JF11,$IL$1,IF(Q11+IF(O11="",0,O11)=IJ11,$HP$1,IF(Q11+IF(O11="",0,O11)=HN11,$GT$1,IF(Q11+IF(O11="",0,O11)=GR11,$FX$1,IF(Q11+IF(O11="",0,O11)=FV11,$FB$1,IF(Q11+IF(O11="",0,O11)=EZ11,$EF$1,IF(Q11+IF(O11="",0,O11)=ED11,$DJ$1)))))))))))))))))</f>
        <v/>
      </c>
      <c r="T11" s="27"/>
      <c r="U11" s="27"/>
      <c r="V11" s="27"/>
      <c r="W11" s="27"/>
      <c r="X11" s="27"/>
      <c r="Y11" s="27"/>
      <c r="Z11" s="27"/>
      <c r="AA11" s="27"/>
      <c r="AB11" s="27"/>
      <c r="AC11" s="27"/>
      <c r="AD11" s="27"/>
      <c r="AE11" s="27"/>
      <c r="AF11" s="27"/>
      <c r="AG11" s="27"/>
      <c r="AH11" s="27"/>
      <c r="AI11" s="27"/>
      <c r="AJ11" s="27"/>
      <c r="AK11" s="27"/>
      <c r="AL11" s="27"/>
      <c r="AM11" s="27"/>
      <c r="AN11" s="32"/>
      <c r="AO11" s="7" t="str">
        <f>IF(SUM(T11:W11)-X11&gt;0,SUM(T11:W11)-X11,"")</f>
        <v/>
      </c>
      <c r="AP11" s="7" t="str">
        <f>IF(AA11&gt;0,AA11,"")</f>
        <v/>
      </c>
      <c r="AQ11" s="7" t="str">
        <f>IF(SUM(Y11:AB11)-AC11&gt;0,SUM(Y11:AB11)-AC11,"")</f>
        <v/>
      </c>
      <c r="AR11" s="7" t="str">
        <f>IF(AF11&gt;0,AF11,"")</f>
        <v/>
      </c>
      <c r="AS11" s="7" t="str">
        <f>IF(SUM(AD11:AG11)-AH11&gt;0,SUM(AD11:AG11)-AH11,"")</f>
        <v/>
      </c>
      <c r="AT11" s="7" t="str">
        <f>IF(AO11="",IF(MAX(AQ11,AS11)&gt;0,MAX(AQ11,AS11),""),MAX(AQ11,AS11)+AO11)</f>
        <v/>
      </c>
      <c r="AU11" s="7" t="str">
        <f>IF(AK11&gt;0,AK11,"")</f>
        <v/>
      </c>
      <c r="AV11" s="7" t="str">
        <f>IF(SUM(AI11:AL11)-AM11&gt;0,SUM(AI11:AL11)-AM11,"")</f>
        <v/>
      </c>
      <c r="AW11" s="7" t="str">
        <f>IF(SUM(AT11,AV11)&gt;0,SUM(AT11,AV11),"")</f>
        <v/>
      </c>
      <c r="AX11" s="31">
        <v>15.5</v>
      </c>
      <c r="AY11" s="31">
        <v>9.4</v>
      </c>
      <c r="AZ11" s="31">
        <v>0</v>
      </c>
      <c r="BA11" s="31">
        <v>14.14</v>
      </c>
      <c r="BB11" s="31">
        <v>0</v>
      </c>
      <c r="BC11" s="31">
        <v>12.6</v>
      </c>
      <c r="BD11" s="31">
        <v>8.9</v>
      </c>
      <c r="BE11" s="31">
        <v>9.6</v>
      </c>
      <c r="BF11" s="31">
        <v>13.15</v>
      </c>
      <c r="BG11" s="31">
        <v>0</v>
      </c>
      <c r="BH11" s="31"/>
      <c r="BI11" s="31"/>
      <c r="BJ11" s="31"/>
      <c r="BK11" s="31"/>
      <c r="BL11" s="31"/>
      <c r="BM11" s="31">
        <v>14.3</v>
      </c>
      <c r="BN11" s="31">
        <v>9.1</v>
      </c>
      <c r="BO11" s="31">
        <v>9.6</v>
      </c>
      <c r="BP11" s="31">
        <v>13.58</v>
      </c>
      <c r="BQ11" s="31">
        <v>0</v>
      </c>
      <c r="BR11" s="33"/>
      <c r="BS11" s="9">
        <f>IF(SUM(AX11:BA11)-BB11&gt;0,SUM(AX11:BA11)-BB11,"")</f>
        <v>39.04</v>
      </c>
      <c r="BT11" s="9">
        <f>IF(BE11&gt;0,BE11,"")</f>
        <v>9.6</v>
      </c>
      <c r="BU11" s="9">
        <f>IF(SUM(BC11:BF11)-BG11&gt;0,SUM(BC11:BF11)-BG11,"")</f>
        <v>44.25</v>
      </c>
      <c r="BV11" s="9" t="str">
        <f>IF(BJ11&gt;0,BJ11,"")</f>
        <v/>
      </c>
      <c r="BW11" s="9" t="str">
        <f>IF(SUM(BH11:BK11)-BL11&gt;0,SUM(BH11:BK11)-BL11,"")</f>
        <v/>
      </c>
      <c r="BX11" s="9">
        <f>IF(BS11="",IF(MAX(BU11,BW11)&gt;0,MAX(BU11,BW11),""),MAX(BU11,BW11)+BS11)</f>
        <v>83.289999999999992</v>
      </c>
      <c r="BY11" s="9">
        <f>IF(BO11&gt;0,BO11,"")</f>
        <v>9.6</v>
      </c>
      <c r="BZ11" s="9">
        <f>IF(SUM(BM11:BP11)-BQ11&gt;0,SUM(BM11:BP11)-BQ11,"")</f>
        <v>46.58</v>
      </c>
      <c r="CA11" s="9">
        <f>IF(SUM(BX11,BZ11)&gt;0,SUM(BX11,BZ11),"")</f>
        <v>129.87</v>
      </c>
      <c r="CB11" s="27">
        <v>3.2</v>
      </c>
      <c r="CC11" s="27">
        <v>1.8</v>
      </c>
      <c r="CD11" s="27">
        <v>0</v>
      </c>
      <c r="CE11" s="27">
        <v>2.9</v>
      </c>
      <c r="CF11" s="27">
        <v>0</v>
      </c>
      <c r="CG11" s="27">
        <v>12.1</v>
      </c>
      <c r="CH11" s="27">
        <v>7.9</v>
      </c>
      <c r="CI11" s="27">
        <v>8.8999999999999986</v>
      </c>
      <c r="CJ11" s="27">
        <v>12.63</v>
      </c>
      <c r="CK11" s="27">
        <v>0</v>
      </c>
      <c r="CL11" s="27"/>
      <c r="CM11" s="27"/>
      <c r="CN11" s="27"/>
      <c r="CO11" s="27"/>
      <c r="CP11" s="27"/>
      <c r="CQ11" s="27"/>
      <c r="CR11" s="27"/>
      <c r="CS11" s="27"/>
      <c r="CT11" s="27"/>
      <c r="CU11" s="27"/>
      <c r="CV11" s="32"/>
      <c r="CW11" s="7">
        <f>IF(SUM(CB11:CE11)-CF11&gt;0,SUM(CB11:CE11)-CF11,"")</f>
        <v>7.9</v>
      </c>
      <c r="CX11" s="7">
        <f>IF(CI11&gt;0,CI11,"")</f>
        <v>8.8999999999999986</v>
      </c>
      <c r="CY11" s="7">
        <f>IF(SUM(CG11:CJ11)-CK11&gt;0,SUM(CG11:CJ11)-CK11,"")</f>
        <v>41.53</v>
      </c>
      <c r="CZ11" s="7" t="str">
        <f>IF(CN11&gt;0,CN11,"")</f>
        <v/>
      </c>
      <c r="DA11" s="7" t="str">
        <f>IF(SUM(CL11:CO11)-CP11&gt;0,SUM(CL11:CO11)-CP11,"")</f>
        <v/>
      </c>
      <c r="DB11" s="7">
        <f>IF(CW11="",IF(MAX(CY11,DA11)&gt;0,MAX(CY11,DA11),""),MAX(CY11,DA11)+CW11)</f>
        <v>49.43</v>
      </c>
      <c r="DC11" s="7" t="str">
        <f>IF(CS11&gt;0,CS11,"")</f>
        <v/>
      </c>
      <c r="DD11" s="7" t="str">
        <f>IF(SUM(CQ11:CT11)-CU11&gt;0,SUM(CQ11:CT11)-CU11,"")</f>
        <v/>
      </c>
      <c r="DE11" s="7">
        <f>IF(SUM(DB11,DD11)&gt;0,SUM(DB11,DD11),"")</f>
        <v>49.43</v>
      </c>
      <c r="DF11" s="13" t="str">
        <f>IF(MAX(DZ11,EV11,FR11,GN11,HJ11,IF11,JB11,JX11,KT11,LP11,ML11,NH11)-IF(K11="",0,K11)&gt;0.001,MAX(DZ11,EV11,FR11,GN11,HJ11,IF11,JB11,JX11,KT11,LP11,ML11,NH11)-IF(K11="",0,K11),"")</f>
        <v/>
      </c>
      <c r="DG11" s="13" t="str">
        <f>IF(MAX(EA11,EW11,FS11,GO11,HK11,IG11,JC11,JY11,KU11,LQ11,MM11,NI11)-IF(M11="",0,M11)&gt;0.001,MAX(EA11,EW11,FS11,GO11,HK11,IG11,JC11,JY11,KU11,LQ11,MM11,NI11)-IF(M11="",0,M11),"")</f>
        <v/>
      </c>
      <c r="DH11" s="13" t="str">
        <f>IF(MAX(EB11,EX11,FT11,GP11,HL11,IH11,JD11,JZ11,KV11,LR11,MN11,NJ11)-IF(I11="",0,I11)&gt;0.001,MAX(EB11,EX11,FT11,GP11,HL11,IH11,JD11,JZ11,KV11,LR11,MN11,NJ11)-IF(I11="",0,I11),"")</f>
        <v/>
      </c>
      <c r="DI11" s="13" t="str">
        <f>IF(MAX(ED11,EZ11,FV11,GR11,HN11,IJ11,JF11,KB11,KX11,LT11,MP11,NL11)-IF(O11="",0,O11)&gt;0.001,MAX(ED11,EZ11,FV11,GR11,HN11,IJ11,JF11,KB11,KX11,LT11,MP11,NL11)-IF(O11="",0,O11),"")</f>
        <v/>
      </c>
      <c r="DJ11" s="18"/>
      <c r="DK11" s="18"/>
      <c r="DL11" s="18"/>
      <c r="DM11" s="18"/>
      <c r="DN11" s="18"/>
      <c r="DO11" s="18"/>
      <c r="DP11" s="18"/>
      <c r="DQ11" s="18"/>
      <c r="DR11" s="18"/>
      <c r="DS11" s="18"/>
      <c r="DT11" s="18"/>
      <c r="DU11" s="18"/>
      <c r="DV11" s="18"/>
      <c r="DW11" s="18"/>
      <c r="DX11" s="18"/>
      <c r="DY11" s="7" t="str">
        <f>IF(DQ11&gt;0,DQ11,"")</f>
        <v/>
      </c>
      <c r="DZ11" s="7" t="str">
        <f>IF(SUM(DJ11:DM11)-DN11&gt;0,SUM(DJ11:DM11)-DN11,"")</f>
        <v/>
      </c>
      <c r="EA11" s="7" t="str">
        <f>IF(SUM(DO11:DR11)-DS11&gt;0,SUM(DO11:DR11)-DS11,"")</f>
        <v/>
      </c>
      <c r="EB11" s="7" t="str">
        <f>IF(SUM(DZ11:EA11)&gt;0,SUM(DZ11:EA11),"")</f>
        <v/>
      </c>
      <c r="EC11" s="7" t="str">
        <f>IF(DV11&gt;0,DV11,"")</f>
        <v/>
      </c>
      <c r="ED11" s="7" t="str">
        <f>IF(SUM(DT11:DW11)-DX11&gt;0,SUM(DT11:DW11)-DX11,"")</f>
        <v/>
      </c>
      <c r="EE11" s="7" t="str">
        <f>IF(SUM(EB11,ED11)&gt;0,SUM(EB11,ED11),"")</f>
        <v/>
      </c>
      <c r="EF11" s="19"/>
      <c r="EG11" s="19"/>
      <c r="EH11" s="19"/>
      <c r="EI11" s="19"/>
      <c r="EJ11" s="19"/>
      <c r="EK11" s="19"/>
      <c r="EL11" s="19"/>
      <c r="EM11" s="19"/>
      <c r="EN11" s="19"/>
      <c r="EO11" s="19"/>
      <c r="EP11" s="19"/>
      <c r="EQ11" s="19"/>
      <c r="ER11" s="19"/>
      <c r="ES11" s="19"/>
      <c r="ET11" s="19"/>
      <c r="EU11" s="9" t="str">
        <f>IF(EM11&gt;0,EM11,"")</f>
        <v/>
      </c>
      <c r="EV11" s="9" t="str">
        <f>IF(SUM(EF11:EI11)-EJ11&gt;0,SUM(EF11:EI11)-EJ11,"")</f>
        <v/>
      </c>
      <c r="EW11" s="9" t="str">
        <f>IF(SUM(EK11:EN11)-EO11&gt;0,SUM(EK11:EN11)-EO11,"")</f>
        <v/>
      </c>
      <c r="EX11" s="9" t="str">
        <f>IF(SUM(EV11:EW11)&gt;0,SUM(EV11:EW11),"")</f>
        <v/>
      </c>
      <c r="EY11" s="9" t="str">
        <f>IF(ER11&gt;0,ER11,"")</f>
        <v/>
      </c>
      <c r="EZ11" s="9" t="str">
        <f>IF(SUM(EP11:ES11)-ET11&gt;0,SUM(EP11:ES11)-ET11,"")</f>
        <v/>
      </c>
      <c r="FA11" s="9" t="str">
        <f>IF(SUM(EX11,EZ11)&gt;0,SUM(EX11,EZ11),"")</f>
        <v/>
      </c>
      <c r="FB11" s="18"/>
      <c r="FC11" s="18"/>
      <c r="FD11" s="18"/>
      <c r="FE11" s="18"/>
      <c r="FF11" s="18"/>
      <c r="FG11" s="18"/>
      <c r="FH11" s="18"/>
      <c r="FI11" s="18"/>
      <c r="FJ11" s="18"/>
      <c r="FK11" s="18"/>
      <c r="FL11" s="18"/>
      <c r="FM11" s="18"/>
      <c r="FN11" s="18"/>
      <c r="FO11" s="18"/>
      <c r="FP11" s="18"/>
      <c r="FQ11" s="7" t="str">
        <f>IF(FI11&gt;0,FI11,"")</f>
        <v/>
      </c>
      <c r="FR11" s="7" t="str">
        <f>IF(SUM(FB11:FE11)-FF11&gt;0,SUM(FB11:FE11)-FF11,"")</f>
        <v/>
      </c>
      <c r="FS11" s="7" t="str">
        <f>IF(SUM(FG11:FJ11)-FK11&gt;0,SUM(FG11:FJ11)-FK11,"")</f>
        <v/>
      </c>
      <c r="FT11" s="7" t="str">
        <f>IF(SUM(FR11:FS11)&gt;0,SUM(FR11:FS11),"")</f>
        <v/>
      </c>
      <c r="FU11" s="7" t="str">
        <f>IF(FN11&gt;0,FN11,"")</f>
        <v/>
      </c>
      <c r="FV11" s="7" t="str">
        <f>IF(SUM(FL11:FO11)-FP11&gt;0,SUM(FL11:FO11)-FP11,"")</f>
        <v/>
      </c>
      <c r="FW11" s="7" t="str">
        <f>IF(SUM(FT11,FV11)&gt;0,SUM(FT11,FV11),"")</f>
        <v/>
      </c>
      <c r="FX11" s="19"/>
      <c r="FY11" s="19"/>
      <c r="FZ11" s="19"/>
      <c r="GA11" s="19"/>
      <c r="GB11" s="19"/>
      <c r="GC11" s="19"/>
      <c r="GD11" s="19"/>
      <c r="GE11" s="19"/>
      <c r="GF11" s="19"/>
      <c r="GG11" s="19"/>
      <c r="GH11" s="19"/>
      <c r="GI11" s="19"/>
      <c r="GJ11" s="19"/>
      <c r="GK11" s="19"/>
      <c r="GL11" s="19"/>
      <c r="GM11" s="9" t="str">
        <f>IF(GE11&gt;0,GE11,"")</f>
        <v/>
      </c>
      <c r="GN11" s="9" t="str">
        <f>IF(SUM(FX11:GA11)-GB11&gt;0,SUM(FX11:GA11)-GB11,"")</f>
        <v/>
      </c>
      <c r="GO11" s="9" t="str">
        <f>IF(SUM(GC11:GF11)-GG11&gt;0,SUM(GC11:GF11)-GG11,"")</f>
        <v/>
      </c>
      <c r="GP11" s="9" t="str">
        <f>IF(SUM(GN11:GO11)&gt;0,SUM(GN11:GO11),"")</f>
        <v/>
      </c>
      <c r="GQ11" s="9" t="str">
        <f>IF(GJ11&gt;0,GJ11,"")</f>
        <v/>
      </c>
      <c r="GR11" s="9" t="str">
        <f>IF(SUM(GH11:GK11)-GL11&gt;0,SUM(GH11:GK11)-GL11,"")</f>
        <v/>
      </c>
      <c r="GS11" s="9" t="str">
        <f>IF(SUM(GP11,GR11)&gt;0,SUM(GP11,GR11),"")</f>
        <v/>
      </c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7" t="str">
        <f>IF(HA11&gt;0,HA11,"")</f>
        <v/>
      </c>
      <c r="HJ11" s="7" t="str">
        <f>IF(SUM(GT11:GW11)-GX11&gt;0,SUM(GT11:GW11)-GX11,"")</f>
        <v/>
      </c>
      <c r="HK11" s="7" t="str">
        <f>IF(SUM(GY11:HB11)-HC11&gt;0,SUM(GY11:HB11)-HC11,"")</f>
        <v/>
      </c>
      <c r="HL11" s="7" t="str">
        <f>IF(SUM(HJ11:HK11)&gt;0,SUM(HJ11:HK11),"")</f>
        <v/>
      </c>
      <c r="HM11" s="7" t="str">
        <f>IF(HF11&gt;0,HF11,"")</f>
        <v/>
      </c>
      <c r="HN11" s="7" t="str">
        <f>IF(SUM(HD11:HG11)-HH11&gt;0,SUM(HD11:HG11)-HH11,"")</f>
        <v/>
      </c>
      <c r="HO11" s="7" t="str">
        <f>IF(SUM(HL11,HN11)&gt;0,SUM(HL11,HN11),"")</f>
        <v/>
      </c>
      <c r="HP11" s="19"/>
      <c r="HQ11" s="19"/>
      <c r="HR11" s="19"/>
      <c r="HS11" s="19"/>
      <c r="HT11" s="19"/>
      <c r="HU11" s="19"/>
      <c r="HV11" s="19"/>
      <c r="HW11" s="19"/>
      <c r="HX11" s="19"/>
      <c r="HY11" s="19"/>
      <c r="HZ11" s="19"/>
      <c r="IA11" s="19"/>
      <c r="IB11" s="19"/>
      <c r="IC11" s="19"/>
      <c r="ID11" s="19"/>
      <c r="IE11" s="9" t="str">
        <f>IF(HW11&gt;0,HW11,"")</f>
        <v/>
      </c>
      <c r="IF11" s="9" t="str">
        <f>IF(SUM(HP11:HS11)-HT11&gt;0,SUM(HP11:HS11)-HT11,"")</f>
        <v/>
      </c>
      <c r="IG11" s="9" t="str">
        <f>IF(SUM(HU11:HX11)-HY11&gt;0,SUM(HU11:HX11)-HY11,"")</f>
        <v/>
      </c>
      <c r="IH11" s="9" t="str">
        <f>IF(SUM(IF11:IG11)&gt;0,SUM(IF11:IG11),"")</f>
        <v/>
      </c>
      <c r="II11" s="9" t="str">
        <f>IF(IB11&gt;0,IB11,"")</f>
        <v/>
      </c>
      <c r="IJ11" s="9" t="str">
        <f>IF(SUM(HZ11:IC11)-ID11&gt;0,SUM(HZ11:IC11)-ID11,"")</f>
        <v/>
      </c>
      <c r="IK11" s="9" t="str">
        <f>IF(SUM(IH11,IJ11)&gt;0,SUM(IH11,IJ11),"")</f>
        <v/>
      </c>
      <c r="IL11" s="18"/>
      <c r="IM11" s="18"/>
      <c r="IN11" s="18"/>
      <c r="IO11" s="18"/>
      <c r="IP11" s="18"/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7" t="str">
        <f>IF(IS11&gt;0,IS11,"")</f>
        <v/>
      </c>
      <c r="JB11" s="7" t="str">
        <f>IF(SUM(IL11:IO11)-IP11&gt;0,SUM(IL11:IO11)-IP11,"")</f>
        <v/>
      </c>
      <c r="JC11" s="7" t="str">
        <f>IF(SUM(IQ11:IT11)-IU11&gt;0,SUM(IQ11:IT11)-IU11,"")</f>
        <v/>
      </c>
      <c r="JD11" s="7" t="str">
        <f>IF(SUM(JB11:JC11)&gt;0,SUM(JB11:JC11),"")</f>
        <v/>
      </c>
      <c r="JE11" s="7" t="str">
        <f>IF(IX11&gt;0,IX11,"")</f>
        <v/>
      </c>
      <c r="JF11" s="7" t="str">
        <f>IF(SUM(IV11:IY11)-IZ11&gt;0,SUM(IV11:IY11)-IZ11,"")</f>
        <v/>
      </c>
      <c r="JG11" s="7" t="str">
        <f>IF(SUM(JD11,JF11)&gt;0,SUM(JD11,JF11),"")</f>
        <v/>
      </c>
      <c r="JH11" s="19"/>
      <c r="JI11" s="19"/>
      <c r="JJ11" s="19"/>
      <c r="JK11" s="19"/>
      <c r="JL11" s="19"/>
      <c r="JM11" s="19"/>
      <c r="JN11" s="19"/>
      <c r="JO11" s="19"/>
      <c r="JP11" s="19"/>
      <c r="JQ11" s="19"/>
      <c r="JR11" s="19"/>
      <c r="JS11" s="19"/>
      <c r="JT11" s="19"/>
      <c r="JU11" s="19"/>
      <c r="JV11" s="19"/>
      <c r="JW11" s="9" t="str">
        <f>IF(JO11&gt;0,JO11,"")</f>
        <v/>
      </c>
      <c r="JX11" s="9" t="str">
        <f>IF(SUM(JH11:JK11)-JL11&gt;0,SUM(JH11:JK11)-JL11,"")</f>
        <v/>
      </c>
      <c r="JY11" s="9" t="str">
        <f>IF(SUM(JM11:JP11)-JQ11&gt;0,SUM(JM11:JP11)-JQ11,"")</f>
        <v/>
      </c>
      <c r="JZ11" s="9" t="str">
        <f>IF(SUM(JX11:JY11)&gt;0,SUM(JX11:JY11),"")</f>
        <v/>
      </c>
      <c r="KA11" s="9" t="str">
        <f>IF(JT11&gt;0,JT11,"")</f>
        <v/>
      </c>
      <c r="KB11" s="9" t="str">
        <f>IF(SUM(JR11:JU11)-JV11&gt;0,SUM(JR11:JU11)-JV11,"")</f>
        <v/>
      </c>
      <c r="KC11" s="9" t="str">
        <f>IF(SUM(JZ11,KB11)&gt;0,SUM(JZ11,KB11),"")</f>
        <v/>
      </c>
      <c r="KD11" s="18"/>
      <c r="KE11" s="18"/>
      <c r="KF11" s="18"/>
      <c r="KG11" s="18"/>
      <c r="KH11" s="18"/>
      <c r="KI11" s="18"/>
      <c r="KJ11" s="18"/>
      <c r="KK11" s="18"/>
      <c r="KL11" s="18"/>
      <c r="KM11" s="18"/>
      <c r="KN11" s="18"/>
      <c r="KO11" s="18"/>
      <c r="KP11" s="18"/>
      <c r="KQ11" s="18"/>
      <c r="KR11" s="18"/>
      <c r="KS11" s="7" t="str">
        <f>IF(KK11&gt;0,KK11,"")</f>
        <v/>
      </c>
      <c r="KT11" s="7" t="str">
        <f>IF(SUM(KD11:KG11)-KH11&gt;0,SUM(KD11:KG11)-KH11,"")</f>
        <v/>
      </c>
      <c r="KU11" s="7" t="str">
        <f>IF(SUM(KI11:KL11)-KM11&gt;0,SUM(KI11:KL11)-KM11,"")</f>
        <v/>
      </c>
      <c r="KV11" s="7" t="str">
        <f>IF(SUM(KT11:KU11)&gt;0,SUM(KT11:KU11),"")</f>
        <v/>
      </c>
      <c r="KW11" s="7" t="str">
        <f>IF(KP11&gt;0,KP11,"")</f>
        <v/>
      </c>
      <c r="KX11" s="7" t="str">
        <f>IF(SUM(KN11:KQ11)-KR11&gt;0,SUM(KN11:KQ11)-KR11,"")</f>
        <v/>
      </c>
      <c r="KY11" s="7" t="str">
        <f>IF(SUM(KV11,KX11)&gt;0,SUM(KV11,KX11),"")</f>
        <v/>
      </c>
      <c r="KZ11" s="19"/>
      <c r="LA11" s="19"/>
      <c r="LB11" s="19"/>
      <c r="LC11" s="19"/>
      <c r="LD11" s="19"/>
      <c r="LE11" s="19"/>
      <c r="LF11" s="19"/>
      <c r="LG11" s="19"/>
      <c r="LH11" s="19"/>
      <c r="LI11" s="19"/>
      <c r="LJ11" s="19"/>
      <c r="LK11" s="19"/>
      <c r="LL11" s="19"/>
      <c r="LM11" s="19"/>
      <c r="LN11" s="19"/>
      <c r="LO11" s="9" t="str">
        <f>IF(LG11&gt;0,LG11,"")</f>
        <v/>
      </c>
      <c r="LP11" s="9" t="str">
        <f>IF(SUM(KZ11:LC11)-LD11&gt;0,SUM(KZ11:LC11)-LD11,"")</f>
        <v/>
      </c>
      <c r="LQ11" s="9" t="str">
        <f>IF(SUM(LE11:LH11)-LI11&gt;0,SUM(LE11:LH11)-LI11,"")</f>
        <v/>
      </c>
      <c r="LR11" s="9" t="str">
        <f>IF(SUM(LP11:LQ11)&gt;0,SUM(LP11:LQ11),"")</f>
        <v/>
      </c>
      <c r="LS11" s="9" t="str">
        <f>IF(LL11&gt;0,LL11,"")</f>
        <v/>
      </c>
      <c r="LT11" s="9" t="str">
        <f>IF(SUM(LJ11:LM11)-LN11&gt;0,SUM(LJ11:LM11)-LN11,"")</f>
        <v/>
      </c>
      <c r="LU11" s="9" t="str">
        <f>IF(SUM(LR11,LT11)&gt;0,SUM(LR11,LT11),"")</f>
        <v/>
      </c>
      <c r="LV11" s="18"/>
      <c r="LW11" s="18"/>
      <c r="LX11" s="18"/>
      <c r="LY11" s="18"/>
      <c r="LZ11" s="18"/>
      <c r="MA11" s="18"/>
      <c r="MB11" s="18"/>
      <c r="MC11" s="18"/>
      <c r="MD11" s="18"/>
      <c r="ME11" s="18"/>
      <c r="MF11" s="18"/>
      <c r="MG11" s="18"/>
      <c r="MH11" s="18"/>
      <c r="MI11" s="18"/>
      <c r="MJ11" s="18"/>
      <c r="MK11" s="7" t="str">
        <f>IF(MC11&gt;0,MC11,"")</f>
        <v/>
      </c>
      <c r="ML11" s="7" t="str">
        <f>IF(SUM(LV11:LY11)-LZ11&gt;0,SUM(LV11:LY11)-LZ11,"")</f>
        <v/>
      </c>
      <c r="MM11" s="7" t="str">
        <f>IF(SUM(MA11:MD11)-ME11&gt;0,SUM(MA11:MD11)-ME11,"")</f>
        <v/>
      </c>
      <c r="MN11" s="7" t="str">
        <f>IF(SUM(ML11:MM11)&gt;0,SUM(ML11:MM11),"")</f>
        <v/>
      </c>
      <c r="MO11" s="7" t="str">
        <f>IF(MH11&gt;0,MH11,"")</f>
        <v/>
      </c>
      <c r="MP11" s="7" t="str">
        <f>IF(SUM(MF11:MI11)-MJ11&gt;0,SUM(MF11:MI11)-MJ11,"")</f>
        <v/>
      </c>
      <c r="MQ11" s="7" t="str">
        <f>IF(SUM(MN11,MP11)&gt;0,SUM(MN11,MP11),"")</f>
        <v/>
      </c>
      <c r="MR11" s="19"/>
      <c r="MS11" s="19"/>
      <c r="MT11" s="19"/>
      <c r="MU11" s="19"/>
      <c r="MV11" s="19"/>
      <c r="MW11" s="19"/>
      <c r="MX11" s="19"/>
      <c r="MY11" s="19"/>
      <c r="MZ11" s="19"/>
      <c r="NA11" s="19"/>
      <c r="NB11" s="19"/>
      <c r="NC11" s="19"/>
      <c r="ND11" s="19"/>
      <c r="NE11" s="19"/>
      <c r="NF11" s="19"/>
      <c r="NG11" s="9" t="str">
        <f>IF(MY11&gt;0,MY11,"")</f>
        <v/>
      </c>
      <c r="NH11" s="9" t="str">
        <f>IF(SUM(MR11:MU11)-MV11&gt;0,SUM(MR11:MU11)-MV11,"")</f>
        <v/>
      </c>
      <c r="NI11" s="9" t="str">
        <f>IF(SUM(MW11:MZ11)-NA11&gt;0,SUM(MW11:MZ11)-NA11,"")</f>
        <v/>
      </c>
      <c r="NJ11" s="9" t="str">
        <f>IF(SUM(NH11:NI11)&gt;0,SUM(NH11:NI11),"")</f>
        <v/>
      </c>
      <c r="NK11" s="9" t="str">
        <f>IF(ND11&gt;0,ND11,"")</f>
        <v/>
      </c>
      <c r="NL11" s="9" t="str">
        <f>IF(SUM(NB11:NE11)-NF11&gt;0,SUM(NB11:NE11)-NF11,"")</f>
        <v/>
      </c>
      <c r="NM11" s="9" t="str">
        <f>IF(SUM(NJ11,NL11)&gt;0,SUM(NJ11,NL11),"")</f>
        <v/>
      </c>
      <c r="NN11" s="27">
        <f>IF($CV11="P",CB11,(CB11+AX11)/2)</f>
        <v>9.35</v>
      </c>
      <c r="NO11" s="27">
        <f>IF($CV11="P",CC11,(CC11+AY11)/2)</f>
        <v>5.6000000000000005</v>
      </c>
      <c r="NP11" s="27">
        <f>IF($CV11="P",CD11,(CD11+AZ11)/2)</f>
        <v>0</v>
      </c>
      <c r="NQ11" s="27">
        <f>IF($CV11="P",CE11,(CE11+BA11)/2)</f>
        <v>8.52</v>
      </c>
      <c r="NR11" s="27">
        <f>IF($CV11="P",CF11,(CF11+BB11)/2)</f>
        <v>0</v>
      </c>
      <c r="NS11" s="27">
        <f>IF($CV11="P",CG11,(CG11+BC11)/2)</f>
        <v>12.35</v>
      </c>
      <c r="NT11" s="27">
        <f>IF($CV11="P",CH11,(CH11+BD11)/2)</f>
        <v>8.4</v>
      </c>
      <c r="NU11" s="27">
        <f>IF($CV11="P",CI11,(CI11+BE11)/2)</f>
        <v>9.25</v>
      </c>
      <c r="NV11" s="27">
        <f>IF($CV11="P",CJ11,(CJ11+BF11)/2)</f>
        <v>12.89</v>
      </c>
      <c r="NW11" s="27">
        <f>IF($CV11="P",CK11,(CK11+BG11)/2)</f>
        <v>0</v>
      </c>
      <c r="NX11" s="27">
        <f>IF($CV11="P",CL11,(CL11+BH11)/2)</f>
        <v>0</v>
      </c>
      <c r="NY11" s="27">
        <f>IF($CV11="P",CM11,(CM11+BI11)/2)</f>
        <v>0</v>
      </c>
      <c r="NZ11" s="27">
        <f>IF($CV11="P",CN11,(CN11+BJ11)/2)</f>
        <v>0</v>
      </c>
      <c r="OA11" s="27">
        <f>IF($CV11="P",CO11,(CO11+BK11)/2)</f>
        <v>0</v>
      </c>
      <c r="OB11" s="27">
        <f>IF($CV11="P",CP11,(CP11+BL11)/2)</f>
        <v>0</v>
      </c>
      <c r="OC11" s="27">
        <f>IF($CV11="P",CQ11,(CQ11+BM11)/2)</f>
        <v>7.15</v>
      </c>
      <c r="OD11" s="27">
        <f>IF($CV11="P",CR11,(CR11+BN11)/2)</f>
        <v>4.55</v>
      </c>
      <c r="OE11" s="27">
        <f>IF($CV11="P",CS11,(CS11+BO11)/2)</f>
        <v>4.8</v>
      </c>
      <c r="OF11" s="27">
        <f>IF($CV11="P",CT11,(CT11+BP11)/2)</f>
        <v>6.79</v>
      </c>
      <c r="OG11" s="27">
        <f>IF($CV11="P",CU11,(CU11+BQ11)/2)</f>
        <v>0</v>
      </c>
      <c r="OH11" s="32" t="s">
        <v>44</v>
      </c>
      <c r="OI11" s="7">
        <f>IF(SUM(NN11:NQ11)-NR11&gt;0,SUM(NN11:NQ11)-NR11,"")</f>
        <v>23.47</v>
      </c>
      <c r="OJ11" s="7">
        <f>IF(NU11&gt;0,NU11,"")</f>
        <v>9.25</v>
      </c>
      <c r="OK11" s="7">
        <f>IF(SUM(NS11:NV11)-NW11&gt;0,SUM(NS11:NV11)-NW11,"")</f>
        <v>42.89</v>
      </c>
      <c r="OL11" s="7" t="str">
        <f>IF(NZ11&gt;0,NZ11,"")</f>
        <v/>
      </c>
      <c r="OM11" s="7" t="str">
        <f>IF(SUM(NX11:OA11)-OB11&gt;0,SUM(NX11:OA11)-OB11,"")</f>
        <v/>
      </c>
      <c r="ON11" s="7">
        <f>IF(OR(OI11&lt;&gt;"",OK11&lt;&gt;"",OM11&lt;&gt;""),OI11+MAX(OK11,OM11),"")</f>
        <v>66.36</v>
      </c>
      <c r="OO11" s="7">
        <f>IF(OE11&gt;0,OE11,"")</f>
        <v>4.8</v>
      </c>
      <c r="OP11" s="7">
        <f t="shared" ref="OP11" si="14">IF(SUM(OC11:OF11)-OG11&gt;0,SUM(OC11:OF11)-OG11,"")</f>
        <v>23.29</v>
      </c>
      <c r="OQ11" s="7">
        <f t="shared" ref="OQ11" si="15">IF(SUM(ON11,OP11)&gt;0,SUM(ON11,OP11),"")</f>
        <v>89.65</v>
      </c>
    </row>
    <row r="12" spans="1:407" x14ac:dyDescent="0.2">
      <c r="B12" s="5"/>
      <c r="D12" s="1"/>
    </row>
    <row r="14" spans="1:407" x14ac:dyDescent="0.2">
      <c r="B14" s="28" t="s">
        <v>42</v>
      </c>
      <c r="C14" s="5"/>
      <c r="AP14" s="46"/>
      <c r="AQ14" s="46"/>
      <c r="AR14" s="46"/>
      <c r="AU14" s="2"/>
      <c r="AW14" s="24">
        <v>11.2</v>
      </c>
      <c r="BT14" s="46"/>
      <c r="BU14" s="46"/>
      <c r="BV14" s="46"/>
      <c r="BY14" s="2"/>
      <c r="CA14" s="24">
        <v>11.2</v>
      </c>
      <c r="CX14" s="46"/>
      <c r="CY14" s="46"/>
      <c r="CZ14" s="46"/>
      <c r="DC14" s="2"/>
      <c r="DE14" s="24">
        <v>11.2</v>
      </c>
      <c r="DY14" s="5"/>
      <c r="EC14" s="2"/>
      <c r="EE14" s="24">
        <v>11.2</v>
      </c>
      <c r="EU14" s="5"/>
      <c r="EY14" s="2"/>
      <c r="FA14" s="24">
        <v>11.2</v>
      </c>
      <c r="FQ14" s="5"/>
      <c r="FU14" s="2"/>
      <c r="FW14" s="24">
        <v>11.2</v>
      </c>
      <c r="GM14" s="5"/>
      <c r="GQ14" s="2"/>
      <c r="GS14" s="24">
        <v>11.2</v>
      </c>
      <c r="HI14" s="5"/>
      <c r="HM14" s="2"/>
      <c r="HO14" s="24">
        <v>11.2</v>
      </c>
      <c r="IE14" s="5"/>
      <c r="II14" s="2"/>
      <c r="IK14" s="24">
        <v>11.2</v>
      </c>
      <c r="JA14" s="5"/>
      <c r="JE14" s="2"/>
      <c r="JG14" s="24">
        <v>11.2</v>
      </c>
      <c r="JW14" s="5"/>
      <c r="KA14" s="2"/>
      <c r="KC14" s="24">
        <v>11.2</v>
      </c>
      <c r="KS14" s="5"/>
      <c r="KW14" s="2"/>
      <c r="KY14" s="24">
        <v>11.2</v>
      </c>
      <c r="LO14" s="5"/>
      <c r="LS14" s="2"/>
      <c r="LU14" s="24">
        <v>11.2</v>
      </c>
      <c r="MK14" s="5"/>
      <c r="MO14" s="2"/>
      <c r="MQ14" s="24">
        <v>11.2</v>
      </c>
      <c r="NG14" s="5"/>
      <c r="NK14" s="2"/>
      <c r="NM14" s="24">
        <v>11.2</v>
      </c>
    </row>
    <row r="15" spans="1:407" hidden="1" x14ac:dyDescent="0.2">
      <c r="B15" s="35" t="s">
        <v>41</v>
      </c>
      <c r="C15" s="5"/>
      <c r="AP15" s="46"/>
      <c r="AQ15" s="46"/>
      <c r="AR15" s="46"/>
      <c r="AU15" s="2"/>
      <c r="AW15" s="37">
        <v>11.2</v>
      </c>
      <c r="BT15" s="46"/>
      <c r="BU15" s="46"/>
      <c r="BV15" s="46"/>
      <c r="BY15" s="2"/>
      <c r="CA15" s="37">
        <v>11.2</v>
      </c>
      <c r="CX15" s="46"/>
      <c r="CY15" s="46"/>
      <c r="CZ15" s="46"/>
      <c r="DC15" s="2"/>
      <c r="DE15" s="37">
        <v>11.2</v>
      </c>
      <c r="DY15" s="5"/>
      <c r="EC15" s="2"/>
      <c r="EE15" s="37">
        <v>11.2</v>
      </c>
      <c r="EU15" s="5"/>
      <c r="EY15" s="2"/>
      <c r="FA15" s="37">
        <v>11.2</v>
      </c>
      <c r="FQ15" s="5"/>
      <c r="FU15" s="2"/>
      <c r="FW15" s="37">
        <v>11.2</v>
      </c>
      <c r="GM15" s="5"/>
      <c r="GQ15" s="2"/>
      <c r="GS15" s="37">
        <v>11.2</v>
      </c>
      <c r="HI15" s="5"/>
      <c r="HM15" s="2"/>
      <c r="HO15" s="37">
        <v>11.2</v>
      </c>
      <c r="IE15" s="5"/>
      <c r="II15" s="2"/>
      <c r="IK15" s="37">
        <v>11.2</v>
      </c>
      <c r="JA15" s="5"/>
      <c r="JE15" s="2"/>
      <c r="JG15" s="37">
        <v>11.2</v>
      </c>
      <c r="JW15" s="5"/>
      <c r="KA15" s="2"/>
      <c r="KC15" s="37">
        <v>11.2</v>
      </c>
      <c r="KS15" s="5"/>
      <c r="KW15" s="2"/>
      <c r="KY15" s="37">
        <v>11.2</v>
      </c>
      <c r="LO15" s="5"/>
      <c r="LS15" s="2"/>
      <c r="LU15" s="37">
        <v>11.2</v>
      </c>
      <c r="MK15" s="5"/>
      <c r="MO15" s="2"/>
      <c r="MQ15" s="37">
        <v>11.2</v>
      </c>
      <c r="NG15" s="5"/>
      <c r="NK15" s="2"/>
      <c r="NM15" s="37">
        <v>11.2</v>
      </c>
    </row>
    <row r="16" spans="1:407" x14ac:dyDescent="0.2">
      <c r="A16" s="5"/>
      <c r="B16" s="36" t="s">
        <v>54</v>
      </c>
      <c r="C16" s="5"/>
      <c r="AP16" s="46"/>
      <c r="AQ16" s="46"/>
      <c r="AR16" s="46"/>
      <c r="AT16" s="2"/>
      <c r="AU16" s="2"/>
      <c r="AV16" s="2"/>
      <c r="AW16" s="38">
        <v>11.2</v>
      </c>
      <c r="BT16" s="46"/>
      <c r="BU16" s="46"/>
      <c r="BV16" s="46"/>
      <c r="BY16" s="2"/>
      <c r="CA16" s="38">
        <v>11.2</v>
      </c>
      <c r="CX16" s="46"/>
      <c r="CY16" s="46"/>
      <c r="CZ16" s="46"/>
      <c r="DB16" s="2"/>
      <c r="DC16" s="2"/>
      <c r="DD16" s="2"/>
      <c r="DE16" s="38">
        <v>11.2</v>
      </c>
      <c r="DY16" s="5"/>
      <c r="EC16" s="2"/>
      <c r="EE16" s="38">
        <v>11.2</v>
      </c>
      <c r="EU16" s="5"/>
      <c r="EY16" s="2"/>
      <c r="FA16" s="38">
        <v>11.2</v>
      </c>
      <c r="FQ16" s="5"/>
      <c r="FU16" s="2"/>
      <c r="FW16" s="38">
        <v>11.2</v>
      </c>
      <c r="GM16" s="5"/>
      <c r="GQ16" s="2"/>
      <c r="GS16" s="38">
        <v>11.2</v>
      </c>
      <c r="HI16" s="5"/>
      <c r="HM16" s="2"/>
      <c r="HO16" s="38">
        <v>11.2</v>
      </c>
      <c r="IE16" s="5"/>
      <c r="II16" s="2"/>
      <c r="IK16" s="38">
        <v>11.2</v>
      </c>
      <c r="JA16" s="5"/>
      <c r="JE16" s="2"/>
      <c r="JG16" s="38">
        <v>11.2</v>
      </c>
      <c r="JW16" s="5"/>
      <c r="KA16" s="2"/>
      <c r="KC16" s="38">
        <v>11.2</v>
      </c>
      <c r="KS16" s="5"/>
      <c r="KW16" s="2"/>
      <c r="KY16" s="38">
        <v>11.2</v>
      </c>
      <c r="LO16" s="5"/>
      <c r="LS16" s="2"/>
      <c r="LU16" s="38">
        <v>11.2</v>
      </c>
      <c r="MK16" s="5"/>
      <c r="MO16" s="2"/>
      <c r="MQ16" s="38">
        <v>11.2</v>
      </c>
      <c r="NG16" s="5"/>
      <c r="NK16" s="2"/>
      <c r="NM16" s="38">
        <v>11.2</v>
      </c>
    </row>
    <row r="17" spans="1:377" x14ac:dyDescent="0.2">
      <c r="A17" s="5"/>
      <c r="B17" s="44" t="s">
        <v>59</v>
      </c>
      <c r="C17" s="5"/>
      <c r="AP17" s="46"/>
      <c r="AQ17" s="46"/>
      <c r="AR17" s="46"/>
      <c r="AT17" s="2"/>
      <c r="AU17" s="2"/>
      <c r="AV17" s="2"/>
      <c r="AW17" s="45">
        <v>11.2</v>
      </c>
      <c r="BT17" s="46"/>
      <c r="BU17" s="46"/>
      <c r="BV17" s="46"/>
      <c r="BY17" s="2"/>
      <c r="CA17" s="45">
        <v>11.2</v>
      </c>
      <c r="CX17" s="46"/>
      <c r="CY17" s="46"/>
      <c r="CZ17" s="46"/>
      <c r="DB17" s="2"/>
      <c r="DC17" s="2"/>
      <c r="DD17" s="2"/>
      <c r="DE17" s="45">
        <v>11.2</v>
      </c>
      <c r="DY17" s="5"/>
      <c r="EC17" s="2"/>
      <c r="EE17" s="45">
        <v>11.2</v>
      </c>
      <c r="EU17" s="5"/>
      <c r="EY17" s="2"/>
      <c r="FA17" s="45">
        <v>11.2</v>
      </c>
      <c r="FQ17" s="5"/>
      <c r="FU17" s="2"/>
      <c r="FW17" s="45">
        <v>11.2</v>
      </c>
      <c r="GM17" s="5"/>
      <c r="GQ17" s="2"/>
      <c r="GS17" s="45">
        <v>11.2</v>
      </c>
      <c r="HI17" s="5"/>
      <c r="HM17" s="2"/>
      <c r="HO17" s="45">
        <v>11.2</v>
      </c>
      <c r="IE17" s="5"/>
      <c r="II17" s="2"/>
      <c r="IK17" s="45">
        <v>11.2</v>
      </c>
      <c r="JA17" s="5"/>
      <c r="JE17" s="2"/>
      <c r="JG17" s="45">
        <v>11.2</v>
      </c>
      <c r="JW17" s="5"/>
      <c r="KA17" s="2"/>
      <c r="KC17" s="45">
        <v>11.2</v>
      </c>
      <c r="KS17" s="5"/>
      <c r="KW17" s="2"/>
      <c r="KY17" s="45">
        <v>11.2</v>
      </c>
      <c r="LO17" s="5"/>
      <c r="LS17" s="2"/>
      <c r="LU17" s="45">
        <v>11.2</v>
      </c>
      <c r="MK17" s="5"/>
      <c r="MO17" s="2"/>
      <c r="MQ17" s="45">
        <v>11.2</v>
      </c>
      <c r="NG17" s="5"/>
      <c r="NK17" s="2"/>
      <c r="NM17" s="45">
        <v>11.2</v>
      </c>
    </row>
    <row r="18" spans="1:377" x14ac:dyDescent="0.2">
      <c r="A18" s="5"/>
      <c r="B18" s="42" t="s">
        <v>39</v>
      </c>
      <c r="C18" s="5"/>
      <c r="M18" s="2"/>
      <c r="AP18" s="46"/>
      <c r="AQ18" s="46"/>
      <c r="AR18" s="46"/>
      <c r="AT18" s="2"/>
      <c r="AU18" s="2"/>
      <c r="AV18" s="2"/>
      <c r="AW18" s="43">
        <v>90.2</v>
      </c>
      <c r="BT18" s="46"/>
      <c r="BU18" s="46"/>
      <c r="BV18" s="46"/>
      <c r="BY18" s="2"/>
      <c r="CA18" s="43">
        <v>90.2</v>
      </c>
      <c r="CX18" s="46"/>
      <c r="CY18" s="46"/>
      <c r="CZ18" s="46"/>
      <c r="DB18" s="2"/>
      <c r="DC18" s="2"/>
      <c r="DD18" s="2"/>
      <c r="DE18" s="43">
        <v>90.2</v>
      </c>
      <c r="DY18" s="5"/>
      <c r="EC18" s="2"/>
      <c r="EE18" s="43">
        <v>90.2</v>
      </c>
      <c r="EU18" s="5"/>
      <c r="EY18" s="2"/>
      <c r="FA18" s="43">
        <v>90.2</v>
      </c>
      <c r="FQ18" s="5"/>
      <c r="FU18" s="2"/>
      <c r="FW18" s="43">
        <v>90.2</v>
      </c>
      <c r="GM18" s="5"/>
      <c r="GQ18" s="2"/>
      <c r="GS18" s="43">
        <v>90.2</v>
      </c>
      <c r="HI18" s="5"/>
      <c r="HM18" s="2"/>
      <c r="HO18" s="43">
        <v>90.2</v>
      </c>
      <c r="IE18" s="5"/>
      <c r="II18" s="2"/>
      <c r="IK18" s="43">
        <v>90.2</v>
      </c>
      <c r="JA18" s="5"/>
      <c r="JE18" s="2"/>
      <c r="JG18" s="43">
        <v>90.2</v>
      </c>
      <c r="JW18" s="5"/>
      <c r="KA18" s="2"/>
      <c r="KC18" s="43">
        <v>90.2</v>
      </c>
      <c r="KS18" s="5"/>
      <c r="KW18" s="2"/>
      <c r="KY18" s="43">
        <v>90.2</v>
      </c>
      <c r="LO18" s="5"/>
      <c r="LS18" s="2"/>
      <c r="LU18" s="43">
        <v>90.2</v>
      </c>
      <c r="MK18" s="5"/>
      <c r="MO18" s="2"/>
      <c r="MQ18" s="43">
        <v>90.2</v>
      </c>
      <c r="NG18" s="5"/>
      <c r="NK18" s="2"/>
      <c r="NM18" s="43">
        <v>90.2</v>
      </c>
    </row>
    <row r="19" spans="1:377" hidden="1" x14ac:dyDescent="0.2">
      <c r="A19" s="5"/>
      <c r="B19" s="29" t="s">
        <v>40</v>
      </c>
      <c r="C19" s="5"/>
      <c r="M19" s="2"/>
      <c r="AP19" s="46"/>
      <c r="AQ19" s="46"/>
      <c r="AR19" s="46"/>
      <c r="AT19" s="2"/>
      <c r="AU19" s="2"/>
      <c r="AV19" s="2"/>
      <c r="AW19" s="25">
        <v>93.1</v>
      </c>
      <c r="BT19" s="46"/>
      <c r="BU19" s="46"/>
      <c r="BV19" s="46"/>
      <c r="BY19" s="2"/>
      <c r="CA19" s="25">
        <v>93.1</v>
      </c>
      <c r="CX19" s="46"/>
      <c r="CY19" s="46"/>
      <c r="CZ19" s="46"/>
      <c r="DB19" s="2"/>
      <c r="DC19" s="2"/>
      <c r="DD19" s="2"/>
      <c r="DE19" s="25">
        <v>93.1</v>
      </c>
      <c r="DY19" s="5"/>
      <c r="EC19" s="2"/>
      <c r="EE19" s="25">
        <v>93.1</v>
      </c>
      <c r="EU19" s="5"/>
      <c r="EY19" s="2"/>
      <c r="FA19" s="25">
        <v>93.1</v>
      </c>
      <c r="FQ19" s="5"/>
      <c r="FU19" s="2"/>
      <c r="FW19" s="25">
        <v>93.1</v>
      </c>
      <c r="GM19" s="5"/>
      <c r="GQ19" s="2"/>
      <c r="GS19" s="25">
        <v>93.1</v>
      </c>
      <c r="HI19" s="5"/>
      <c r="HM19" s="2"/>
      <c r="HO19" s="25">
        <v>93.1</v>
      </c>
      <c r="IE19" s="5"/>
      <c r="II19" s="2"/>
      <c r="IK19" s="25">
        <v>93.1</v>
      </c>
      <c r="JA19" s="5"/>
      <c r="JE19" s="2"/>
      <c r="JG19" s="25">
        <v>93.1</v>
      </c>
      <c r="JW19" s="5"/>
      <c r="KA19" s="2"/>
      <c r="KC19" s="25">
        <v>93.1</v>
      </c>
      <c r="KS19" s="5"/>
      <c r="KW19" s="2"/>
      <c r="KY19" s="25">
        <v>93.1</v>
      </c>
      <c r="LO19" s="5"/>
      <c r="LS19" s="2"/>
      <c r="LU19" s="25">
        <v>93.1</v>
      </c>
      <c r="MK19" s="5"/>
      <c r="MO19" s="2"/>
      <c r="MQ19" s="25">
        <v>93.1</v>
      </c>
      <c r="NG19" s="5"/>
      <c r="NK19" s="2"/>
      <c r="NM19" s="25">
        <v>93.1</v>
      </c>
    </row>
    <row r="20" spans="1:377" x14ac:dyDescent="0.2">
      <c r="A20" s="5"/>
      <c r="B20" s="40" t="s">
        <v>53</v>
      </c>
      <c r="C20" s="5"/>
      <c r="AP20" s="46"/>
      <c r="AQ20" s="46"/>
      <c r="AR20" s="46"/>
      <c r="AT20" s="2"/>
      <c r="AU20" s="2"/>
      <c r="AV20" s="49"/>
      <c r="AW20" s="41">
        <v>93.1</v>
      </c>
      <c r="BT20" s="46"/>
      <c r="BU20" s="46"/>
      <c r="BV20" s="46"/>
      <c r="BY20" s="2"/>
      <c r="BZ20" s="48"/>
      <c r="CA20" s="41">
        <v>93.1</v>
      </c>
      <c r="CX20" s="46"/>
      <c r="CY20" s="46"/>
      <c r="CZ20" s="46"/>
      <c r="DB20" s="2"/>
      <c r="DC20" s="2"/>
      <c r="DD20" s="2"/>
      <c r="DE20" s="41">
        <v>93.1</v>
      </c>
      <c r="DY20" s="5"/>
      <c r="EC20" s="2"/>
      <c r="EE20" s="41">
        <v>93.1</v>
      </c>
      <c r="EU20" s="5"/>
      <c r="EY20" s="2"/>
      <c r="FA20" s="41">
        <v>93.1</v>
      </c>
      <c r="FQ20" s="5"/>
      <c r="FU20" s="2"/>
      <c r="FW20" s="41">
        <v>93.1</v>
      </c>
      <c r="GM20" s="5"/>
      <c r="GQ20" s="2"/>
      <c r="GR20" s="48"/>
      <c r="GS20" s="41">
        <v>93.1</v>
      </c>
      <c r="HI20" s="5"/>
      <c r="HM20" s="2"/>
      <c r="HN20" s="48"/>
      <c r="HO20" s="41">
        <v>93.1</v>
      </c>
      <c r="IE20" s="5"/>
      <c r="II20" s="2"/>
      <c r="IK20" s="41">
        <v>93.1</v>
      </c>
      <c r="JA20" s="5"/>
      <c r="JE20" s="2"/>
      <c r="JG20" s="41">
        <v>93.1</v>
      </c>
      <c r="JW20" s="5"/>
      <c r="KA20" s="2"/>
      <c r="KB20" s="50"/>
      <c r="KC20" s="41">
        <v>93.1</v>
      </c>
      <c r="KS20" s="5"/>
      <c r="KW20" s="2"/>
      <c r="KY20" s="41">
        <v>93.1</v>
      </c>
      <c r="LO20" s="5"/>
      <c r="LS20" s="2"/>
      <c r="LU20" s="41">
        <v>93.1</v>
      </c>
      <c r="MK20" s="5"/>
      <c r="MO20" s="2"/>
      <c r="MP20" s="50"/>
      <c r="MQ20" s="41">
        <v>93.1</v>
      </c>
      <c r="NG20" s="5"/>
      <c r="NK20" s="2"/>
      <c r="NM20" s="41">
        <v>93.1</v>
      </c>
    </row>
    <row r="21" spans="1:377" x14ac:dyDescent="0.2">
      <c r="A21" s="5"/>
      <c r="B21" s="30" t="s">
        <v>26</v>
      </c>
      <c r="C21" s="5"/>
      <c r="M21" s="2"/>
      <c r="AP21" s="46"/>
      <c r="AQ21" s="46"/>
      <c r="AR21" s="46"/>
      <c r="AT21" s="2"/>
      <c r="AU21" s="2"/>
      <c r="AV21" s="2"/>
      <c r="AW21" s="26">
        <v>51</v>
      </c>
      <c r="BT21" s="46"/>
      <c r="BU21" s="46"/>
      <c r="BV21" s="46"/>
      <c r="BY21" s="2"/>
      <c r="CA21" s="26">
        <v>51</v>
      </c>
      <c r="CX21" s="46"/>
      <c r="CY21" s="46"/>
      <c r="CZ21" s="46"/>
      <c r="DB21" s="2"/>
      <c r="DC21" s="2"/>
      <c r="DD21" s="2"/>
      <c r="DE21" s="26">
        <v>51</v>
      </c>
      <c r="DY21" s="5"/>
      <c r="EC21" s="2"/>
      <c r="EE21" s="26">
        <v>51</v>
      </c>
      <c r="EU21" s="5"/>
      <c r="EY21" s="2"/>
      <c r="FA21" s="26">
        <v>51</v>
      </c>
      <c r="FQ21" s="5"/>
      <c r="FU21" s="2"/>
      <c r="FW21" s="26">
        <v>51</v>
      </c>
      <c r="GM21" s="5"/>
      <c r="GQ21" s="2"/>
      <c r="GR21" s="48"/>
      <c r="GS21" s="26">
        <v>51</v>
      </c>
      <c r="HI21" s="5"/>
      <c r="HM21" s="2"/>
      <c r="HO21" s="26">
        <v>51</v>
      </c>
      <c r="IE21" s="5"/>
      <c r="II21" s="2"/>
      <c r="IK21" s="26">
        <v>51</v>
      </c>
      <c r="JA21" s="5"/>
      <c r="JE21" s="2"/>
      <c r="JG21" s="26">
        <v>51</v>
      </c>
      <c r="JW21" s="5"/>
      <c r="KA21" s="2"/>
      <c r="KC21" s="26">
        <v>51</v>
      </c>
      <c r="KS21" s="5"/>
      <c r="KW21" s="2"/>
      <c r="KY21" s="26">
        <v>51</v>
      </c>
      <c r="LO21" s="5"/>
      <c r="LS21" s="2"/>
      <c r="LU21" s="26">
        <v>51</v>
      </c>
      <c r="MK21" s="5"/>
      <c r="MO21" s="2"/>
      <c r="MQ21" s="26">
        <v>51</v>
      </c>
      <c r="NG21" s="5"/>
      <c r="NK21" s="2"/>
      <c r="NM21" s="26">
        <v>51</v>
      </c>
    </row>
    <row r="22" spans="1:377" x14ac:dyDescent="0.2">
      <c r="B22" s="34" t="s">
        <v>45</v>
      </c>
      <c r="C22" s="2"/>
      <c r="AS22" s="2"/>
      <c r="AT22" s="2"/>
      <c r="AV22" s="2"/>
      <c r="DA22" s="2"/>
      <c r="DB22" s="2"/>
      <c r="DD22" s="2"/>
      <c r="EV22" s="2"/>
    </row>
    <row r="23" spans="1:377" x14ac:dyDescent="0.2">
      <c r="A23" s="5"/>
      <c r="B23" s="5"/>
      <c r="C23" s="22"/>
      <c r="AO23" s="2"/>
      <c r="AP23" s="2"/>
      <c r="AQ23" s="2"/>
      <c r="AR23" s="2"/>
      <c r="AS23" s="2"/>
      <c r="AT23" s="2"/>
      <c r="AV23" s="2"/>
      <c r="CW23" s="2"/>
      <c r="CX23" s="2"/>
      <c r="CY23" s="2"/>
      <c r="CZ23" s="2"/>
      <c r="DA23" s="2"/>
      <c r="DB23" s="2"/>
      <c r="DD23" s="2"/>
    </row>
    <row r="24" spans="1:377" ht="17" x14ac:dyDescent="0.2">
      <c r="A24" s="5"/>
      <c r="B24" s="5"/>
      <c r="C24" s="22"/>
      <c r="Q24" s="11"/>
      <c r="R24" s="11"/>
      <c r="AO24" s="2"/>
      <c r="AP24" s="2"/>
      <c r="AQ24" s="2"/>
      <c r="AR24" s="2"/>
      <c r="AS24" s="2"/>
      <c r="AT24" s="2"/>
      <c r="AV24" s="2"/>
      <c r="CW24" s="2"/>
      <c r="CX24" s="2"/>
      <c r="CY24" s="2"/>
      <c r="CZ24" s="2"/>
      <c r="DA24" s="2"/>
      <c r="DB24" s="2"/>
      <c r="DD24" s="2"/>
    </row>
    <row r="25" spans="1:377" ht="17" x14ac:dyDescent="0.2">
      <c r="A25" s="5"/>
      <c r="B25" s="5"/>
      <c r="C25" s="22"/>
      <c r="Q25" s="11"/>
      <c r="AO25" s="2"/>
      <c r="AP25" s="2"/>
      <c r="AQ25" s="2"/>
      <c r="AR25" s="2"/>
      <c r="AS25" s="2"/>
      <c r="AT25" s="2"/>
      <c r="AV25" s="2"/>
      <c r="CW25" s="2"/>
      <c r="CX25" s="2"/>
      <c r="CY25" s="2"/>
      <c r="CZ25" s="2"/>
      <c r="DA25" s="2"/>
      <c r="DB25" s="2"/>
      <c r="DD25" s="2"/>
    </row>
    <row r="26" spans="1:377" ht="17" x14ac:dyDescent="0.2">
      <c r="Q26" s="11"/>
      <c r="R26" s="11"/>
      <c r="AO26" s="2"/>
      <c r="AP26" s="2"/>
      <c r="AQ26" s="2"/>
      <c r="AR26" s="2"/>
      <c r="AS26" s="2"/>
      <c r="AT26" s="2"/>
      <c r="AV26" s="2"/>
      <c r="CW26" s="2"/>
      <c r="CX26" s="2"/>
      <c r="CY26" s="2"/>
      <c r="CZ26" s="2"/>
      <c r="DA26" s="2"/>
      <c r="DB26" s="2"/>
      <c r="DD26" s="2"/>
    </row>
    <row r="27" spans="1:377" ht="17" x14ac:dyDescent="0.2">
      <c r="Q27" s="11"/>
      <c r="R27" s="11"/>
      <c r="AO27" s="2"/>
      <c r="AP27" s="2"/>
      <c r="AQ27" s="2"/>
      <c r="AR27" s="2"/>
      <c r="AS27" s="2"/>
      <c r="AT27" s="2"/>
      <c r="AV27" s="2"/>
      <c r="CW27" s="2"/>
      <c r="CX27" s="2"/>
      <c r="CY27" s="2"/>
      <c r="CZ27" s="2"/>
      <c r="DA27" s="2"/>
      <c r="DB27" s="2"/>
      <c r="DD27" s="2"/>
    </row>
    <row r="28" spans="1:377" ht="17" x14ac:dyDescent="0.2">
      <c r="Q28" s="11"/>
      <c r="R28" s="11"/>
      <c r="AO28" s="2"/>
      <c r="AP28" s="2"/>
      <c r="AQ28" s="2"/>
      <c r="AR28" s="2"/>
      <c r="AS28" s="2"/>
      <c r="AT28" s="2"/>
      <c r="AV28" s="2"/>
      <c r="CW28" s="2"/>
      <c r="CX28" s="2"/>
      <c r="CY28" s="2"/>
      <c r="CZ28" s="2"/>
      <c r="DA28" s="2"/>
      <c r="DB28" s="2"/>
      <c r="DD28" s="2"/>
    </row>
    <row r="29" spans="1:377" ht="17" x14ac:dyDescent="0.2">
      <c r="Q29" s="11"/>
      <c r="R29" s="11"/>
      <c r="S29" s="11"/>
    </row>
    <row r="30" spans="1:377" ht="17" x14ac:dyDescent="0.2">
      <c r="Q30" s="11"/>
      <c r="R30" s="11"/>
      <c r="S30" s="11"/>
    </row>
    <row r="31" spans="1:377" ht="17" x14ac:dyDescent="0.2">
      <c r="Q31" s="11"/>
      <c r="R31" s="11"/>
      <c r="S31" s="11"/>
    </row>
    <row r="32" spans="1:377" ht="17" x14ac:dyDescent="0.2">
      <c r="Q32" s="11"/>
      <c r="R32" s="11"/>
      <c r="S32" s="11"/>
    </row>
    <row r="33" spans="17:19" ht="17" x14ac:dyDescent="0.2">
      <c r="Q33" s="11"/>
      <c r="R33" s="11"/>
      <c r="S33" s="11"/>
    </row>
    <row r="34" spans="17:19" ht="17" x14ac:dyDescent="0.2">
      <c r="Q34" s="11"/>
      <c r="R34" s="11"/>
      <c r="S34" s="11"/>
    </row>
    <row r="35" spans="17:19" ht="17" x14ac:dyDescent="0.2">
      <c r="Q35" s="11"/>
      <c r="R35" s="11"/>
      <c r="S35" s="11"/>
    </row>
    <row r="36" spans="17:19" ht="17" x14ac:dyDescent="0.2">
      <c r="Q36" s="11"/>
      <c r="R36" s="11"/>
      <c r="S36" s="11"/>
    </row>
    <row r="37" spans="17:19" ht="17" x14ac:dyDescent="0.2">
      <c r="Q37" s="11"/>
      <c r="R37" s="11"/>
      <c r="S37" s="11"/>
    </row>
    <row r="38" spans="17:19" ht="17" x14ac:dyDescent="0.2">
      <c r="Q38" s="11"/>
      <c r="R38" s="11"/>
      <c r="S38" s="11"/>
    </row>
    <row r="39" spans="17:19" ht="17" x14ac:dyDescent="0.2">
      <c r="Q39" s="11"/>
      <c r="R39" s="11"/>
      <c r="S39" s="11"/>
    </row>
    <row r="40" spans="17:19" ht="17" x14ac:dyDescent="0.2">
      <c r="Q40" s="11"/>
      <c r="R40" s="11"/>
      <c r="S40" s="11"/>
    </row>
    <row r="41" spans="17:19" ht="17" x14ac:dyDescent="0.2">
      <c r="Q41" s="11"/>
      <c r="R41" s="11"/>
      <c r="S41" s="11"/>
    </row>
    <row r="42" spans="17:19" ht="17" x14ac:dyDescent="0.2">
      <c r="Q42" s="11"/>
      <c r="R42" s="11"/>
      <c r="S42" s="11"/>
    </row>
    <row r="43" spans="17:19" ht="17" x14ac:dyDescent="0.2">
      <c r="Q43" s="11"/>
      <c r="R43" s="11"/>
      <c r="S43" s="11"/>
    </row>
  </sheetData>
  <sheetProtection sheet="1" formatCells="0" formatColumns="0" formatRows="0"/>
  <autoFilter ref="A1:OO3" xr:uid="{2603457A-9827-FF42-9E76-DDB831110F01}"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9" showButton="0"/>
    <filterColumn colId="110" showButton="0"/>
    <filterColumn colId="111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sortState xmlns:xlrd2="http://schemas.microsoft.com/office/spreadsheetml/2017/richdata2" ref="A4:OO11">
      <sortCondition descending="1" ref="F1:F12"/>
    </sortState>
  </autoFilter>
  <mergeCells count="88">
    <mergeCell ref="K1:K3"/>
    <mergeCell ref="A1:A3"/>
    <mergeCell ref="B1:B3"/>
    <mergeCell ref="C1:C3"/>
    <mergeCell ref="D1:D3"/>
    <mergeCell ref="E1:E3"/>
    <mergeCell ref="G1:G3"/>
    <mergeCell ref="H1:H3"/>
    <mergeCell ref="I1:I3"/>
    <mergeCell ref="J1:J3"/>
    <mergeCell ref="F1:F3"/>
    <mergeCell ref="DF1:DI1"/>
    <mergeCell ref="CG2:CK2"/>
    <mergeCell ref="CL2:CP2"/>
    <mergeCell ref="CQ2:CU2"/>
    <mergeCell ref="L1:L3"/>
    <mergeCell ref="M1:M3"/>
    <mergeCell ref="N1:N3"/>
    <mergeCell ref="O1:O3"/>
    <mergeCell ref="P1:P3"/>
    <mergeCell ref="Q1:Q3"/>
    <mergeCell ref="R1:R3"/>
    <mergeCell ref="S1:S3"/>
    <mergeCell ref="T1:AW1"/>
    <mergeCell ref="AX1:CA1"/>
    <mergeCell ref="CB1:DE1"/>
    <mergeCell ref="MR1:NM1"/>
    <mergeCell ref="DJ1:EE1"/>
    <mergeCell ref="EF1:FA1"/>
    <mergeCell ref="FB1:FW1"/>
    <mergeCell ref="FX1:GS1"/>
    <mergeCell ref="GT1:HO1"/>
    <mergeCell ref="HP1:IK1"/>
    <mergeCell ref="EP2:ET2"/>
    <mergeCell ref="NN1:OO1"/>
    <mergeCell ref="T2:X2"/>
    <mergeCell ref="Y2:AC2"/>
    <mergeCell ref="AD2:AH2"/>
    <mergeCell ref="AI2:AM2"/>
    <mergeCell ref="AX2:BB2"/>
    <mergeCell ref="BC2:BG2"/>
    <mergeCell ref="BH2:BL2"/>
    <mergeCell ref="BM2:BQ2"/>
    <mergeCell ref="CB2:CF2"/>
    <mergeCell ref="IL1:JG1"/>
    <mergeCell ref="JH1:KC1"/>
    <mergeCell ref="KD1:KY1"/>
    <mergeCell ref="KZ1:LU1"/>
    <mergeCell ref="LV1:MQ1"/>
    <mergeCell ref="DJ2:DN2"/>
    <mergeCell ref="DO2:DS2"/>
    <mergeCell ref="DT2:DX2"/>
    <mergeCell ref="EF2:EJ2"/>
    <mergeCell ref="EK2:EO2"/>
    <mergeCell ref="HZ2:ID2"/>
    <mergeCell ref="FB2:FF2"/>
    <mergeCell ref="FG2:FK2"/>
    <mergeCell ref="FL2:FP2"/>
    <mergeCell ref="FX2:GB2"/>
    <mergeCell ref="GC2:GG2"/>
    <mergeCell ref="GH2:GL2"/>
    <mergeCell ref="GT2:GX2"/>
    <mergeCell ref="GY2:HC2"/>
    <mergeCell ref="HD2:HH2"/>
    <mergeCell ref="HP2:HT2"/>
    <mergeCell ref="HU2:HY2"/>
    <mergeCell ref="LJ2:LN2"/>
    <mergeCell ref="IL2:IP2"/>
    <mergeCell ref="IQ2:IU2"/>
    <mergeCell ref="IV2:IZ2"/>
    <mergeCell ref="JH2:JL2"/>
    <mergeCell ref="JM2:JQ2"/>
    <mergeCell ref="JR2:JV2"/>
    <mergeCell ref="KD2:KH2"/>
    <mergeCell ref="KI2:KM2"/>
    <mergeCell ref="KN2:KR2"/>
    <mergeCell ref="KZ2:LD2"/>
    <mergeCell ref="LE2:LI2"/>
    <mergeCell ref="NN2:NR2"/>
    <mergeCell ref="NS2:NW2"/>
    <mergeCell ref="NX2:OB2"/>
    <mergeCell ref="OC2:OG2"/>
    <mergeCell ref="LV2:LZ2"/>
    <mergeCell ref="MA2:ME2"/>
    <mergeCell ref="MF2:MJ2"/>
    <mergeCell ref="MR2:MV2"/>
    <mergeCell ref="MW2:NA2"/>
    <mergeCell ref="NB2:NF2"/>
  </mergeCells>
  <conditionalFormatting sqref="H4:H1048576">
    <cfRule type="containsText" dxfId="151" priority="16" operator="containsText" text="No DD">
      <formula>NOT(ISERROR(SEARCH("No DD",H4)))</formula>
    </cfRule>
    <cfRule type="containsText" dxfId="150" priority="17" operator="containsText" text="Merit">
      <formula>NOT(ISERROR(SEARCH("Merit",H4)))</formula>
    </cfRule>
    <cfRule type="containsText" dxfId="149" priority="18" operator="containsText" text="Excellence">
      <formula>NOT(ISERROR(SEARCH("Excellence",H4)))</formula>
    </cfRule>
    <cfRule type="containsText" dxfId="148" priority="19" operator="containsText" text="Worlds Team">
      <formula>NOT(ISERROR(SEARCH("Worlds Team",H4)))</formula>
    </cfRule>
    <cfRule type="containsText" dxfId="147" priority="20" operator="containsText" text="National Team">
      <formula>NOT(ISERROR(SEARCH("National Team",H4)))</formula>
    </cfRule>
  </conditionalFormatting>
  <conditionalFormatting sqref="T4:AW11">
    <cfRule type="expression" dxfId="146" priority="6" stopIfTrue="1">
      <formula>IF($AN4&lt;&gt;"",1,0)</formula>
    </cfRule>
  </conditionalFormatting>
  <conditionalFormatting sqref="AX4:CA11">
    <cfRule type="expression" dxfId="145" priority="14" stopIfTrue="1">
      <formula>IF($BR4&lt;&gt;"",1,0)</formula>
    </cfRule>
  </conditionalFormatting>
  <conditionalFormatting sqref="L1:L1048576 P1:P1048576 J1:J1048576 N1:N1048576">
    <cfRule type="expression" dxfId="144" priority="21">
      <formula>IF(J1=$CB$1,1,0)</formula>
    </cfRule>
    <cfRule type="expression" dxfId="143" priority="22">
      <formula>IF(J1=$AX$1,1,0)</formula>
    </cfRule>
    <cfRule type="expression" dxfId="142" priority="23">
      <formula>IF(J1=$T$1,1,0)</formula>
    </cfRule>
  </conditionalFormatting>
  <conditionalFormatting sqref="CB4:DE11">
    <cfRule type="expression" dxfId="141" priority="15" stopIfTrue="1">
      <formula>IF($CV4&lt;&gt;"",1,0)</formula>
    </cfRule>
  </conditionalFormatting>
  <conditionalFormatting sqref="GR22:GR1048576 HN21:HN1048576 KB21:KB1048576 MP21:MP1048576 AV1:AV1048576 BZ1:BZ1048576 DD1:DD1048576 ED1:ED1048576 EZ1:EZ1048576 FV1:FV1048576 GR1:GR19 HN1:HN19 IJ1:IJ1048576 JF1:JF1048576 KB1:KB19 KX1:KX1048576 LT1:LT1048576 MP1:MP19 NL1:NL1048576">
    <cfRule type="cellIs" dxfId="140" priority="37584" operator="between">
      <formula>AW$21</formula>
      <formula>1000</formula>
    </cfRule>
  </conditionalFormatting>
  <conditionalFormatting sqref="A1:A1048576">
    <cfRule type="expression" dxfId="139" priority="48719">
      <formula>AND(G1&lt;&gt;"",F1="")</formula>
    </cfRule>
  </conditionalFormatting>
  <conditionalFormatting sqref="H1:H3">
    <cfRule type="containsText" dxfId="138" priority="1" operator="containsText" text="No DD">
      <formula>NOT(ISERROR(SEARCH("No DD",H1)))</formula>
    </cfRule>
    <cfRule type="containsText" dxfId="137" priority="2" operator="containsText" text="Merit">
      <formula>NOT(ISERROR(SEARCH("Merit",H1)))</formula>
    </cfRule>
    <cfRule type="containsText" dxfId="136" priority="3" operator="containsText" text="Excellence">
      <formula>NOT(ISERROR(SEARCH("Excellence",H1)))</formula>
    </cfRule>
    <cfRule type="containsText" dxfId="135" priority="4" operator="containsText" text="Worlds Team">
      <formula>NOT(ISERROR(SEARCH("Worlds Team",H1)))</formula>
    </cfRule>
    <cfRule type="containsText" dxfId="134" priority="5" operator="containsText" text="National Team">
      <formula>NOT(ISERROR(SEARCH("National Team",H1)))</formula>
    </cfRule>
  </conditionalFormatting>
  <conditionalFormatting sqref="AS1:AS1048576 BW1:BW1048576 DA1:DA1048576 EA1:EA1048576 EW1:EW1048576 FS1:FS1048576 GO1:GO1048576 HK1:HK1048576 IG1:IG1048576 JC1:JC1048576 JY1:JY1048576 KU1:KU1048576 LQ1:LQ1048576 MM1:MM1048576 NI1:NI1048576">
    <cfRule type="cellIs" dxfId="133" priority="49924" operator="between">
      <formula>AW$21</formula>
      <formula>1000</formula>
    </cfRule>
    <cfRule type="cellIs" dxfId="132" priority="49925" operator="between">
      <formula>AW$20</formula>
      <formula>AW$21</formula>
    </cfRule>
  </conditionalFormatting>
  <conditionalFormatting sqref="AT1:AT1048576 BX1:BX1048576 DB1:DB1048576 EB1:EB1048576 EX1:EX1048576 FT1:FT1048576 GP1:GP1048576 HL1:HL1048576 IH1:IH1048576 JD1:JD1048576 JZ1:JZ1048576 KV1:KV1048576 LR1:LR1048576 MN1:MN1048576 NJ1:NJ1048576">
    <cfRule type="cellIs" dxfId="131" priority="50014" operator="between">
      <formula>AW$20</formula>
      <formula>1000</formula>
    </cfRule>
    <cfRule type="cellIs" dxfId="130" priority="50015" operator="between">
      <formula>AW$19</formula>
      <formula>AW$20</formula>
    </cfRule>
    <cfRule type="cellIs" dxfId="129" priority="50016" operator="between">
      <formula>AW$18</formula>
      <formula>AW$19</formula>
    </cfRule>
  </conditionalFormatting>
  <conditionalFormatting sqref="DY1:DY1048576 EU1:EU1048576 FQ1:FQ1048576 GM1:GM1048576 HI1:HI1048576 IE1:IE1048576 JA1:JA1048576 JW1:JW1048576 KS1:KS1048576 LO1:LO1048576 MK1:MK1048576 NG1:NG1048576">
    <cfRule type="cellIs" dxfId="128" priority="50149" operator="between">
      <formula>EE$17</formula>
      <formula>1000</formula>
    </cfRule>
    <cfRule type="cellIs" dxfId="127" priority="50150" operator="between">
      <formula>EE$16</formula>
      <formula>EE$17</formula>
    </cfRule>
    <cfRule type="cellIs" dxfId="126" priority="50151" operator="between">
      <formula>EE$15</formula>
      <formula>EE$16</formula>
    </cfRule>
    <cfRule type="cellIs" dxfId="125" priority="50152" operator="between">
      <formula>EE$14</formula>
      <formula>EE$15</formula>
    </cfRule>
  </conditionalFormatting>
  <conditionalFormatting sqref="AP1:AP1048576 BT1:BT1048576 CX1:CX1048576">
    <cfRule type="cellIs" dxfId="124" priority="50293" operator="between">
      <formula>AW$17</formula>
      <formula>1000</formula>
    </cfRule>
    <cfRule type="cellIs" dxfId="123" priority="50294" operator="between">
      <formula>AW$16</formula>
      <formula>AW$17</formula>
    </cfRule>
    <cfRule type="cellIs" dxfId="122" priority="50295" operator="between">
      <formula>AW$15</formula>
      <formula>AW$16</formula>
    </cfRule>
    <cfRule type="cellIs" dxfId="121" priority="50296" operator="between">
      <formula>AW$14</formula>
      <formula>AW$15</formula>
    </cfRule>
  </conditionalFormatting>
  <conditionalFormatting sqref="AQ1:AQ1048576 BU1:BU1048576 CY1:CY1048576">
    <cfRule type="cellIs" dxfId="120" priority="50329" operator="between">
      <formula>AW$21</formula>
      <formula>1000</formula>
    </cfRule>
  </conditionalFormatting>
  <conditionalFormatting sqref="AR1:AR1048576 BV1:BV1048576 CZ1:CZ1048576">
    <cfRule type="cellIs" dxfId="119" priority="50338" operator="between">
      <formula>AW$17</formula>
      <formula>1000</formula>
    </cfRule>
    <cfRule type="cellIs" dxfId="118" priority="50339" operator="between">
      <formula>AW$16</formula>
      <formula>AW$17</formula>
    </cfRule>
    <cfRule type="cellIs" dxfId="117" priority="50340" operator="between">
      <formula>AW$15</formula>
      <formula>AW$16</formula>
    </cfRule>
    <cfRule type="cellIs" dxfId="116" priority="50341" operator="between">
      <formula>AW$14</formula>
      <formula>AW$15</formula>
    </cfRule>
  </conditionalFormatting>
  <conditionalFormatting sqref="AU1:AU1048576 DC1:DC1048576 BY1:BY1048576 EC1:EC1048576 EY1:EY1048576 FU1:FU1048576 GQ1:GQ1048576 HM1:HM1048576 II1:II1048576 JE1:JE1048576 KA1:KA1048576 KW1:KW1048576 LS1:LS1048576 MO1:MO1048576 NK1:NK1048576">
    <cfRule type="cellIs" dxfId="115" priority="50374" operator="between">
      <formula>AW$17</formula>
      <formula>1000</formula>
    </cfRule>
    <cfRule type="cellIs" dxfId="114" priority="50375" operator="between">
      <formula>AW$16</formula>
      <formula>AW$17</formula>
    </cfRule>
    <cfRule type="cellIs" dxfId="113" priority="50376" operator="between">
      <formula>AW$15</formula>
      <formula>AW$16</formula>
    </cfRule>
    <cfRule type="cellIs" dxfId="112" priority="50377" operator="between">
      <formula>AW$14</formula>
      <formula>AW$15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3A0F1-87BA-754E-A4A8-47AC0EFDA5EB}">
  <sheetPr codeName="Sheet11"/>
  <dimension ref="A1:PW21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47" bestFit="1" customWidth="1"/>
    <col min="10" max="10" width="27.5" bestFit="1" customWidth="1"/>
    <col min="11" max="11" width="10.5" customWidth="1"/>
    <col min="12" max="12" width="27.5" bestFit="1" customWidth="1"/>
    <col min="14" max="14" width="27.5" bestFit="1" customWidth="1"/>
    <col min="15" max="15" width="24.6640625" bestFit="1" customWidth="1"/>
    <col min="16" max="16" width="13" bestFit="1" customWidth="1"/>
    <col min="17" max="17" width="31.5" bestFit="1" customWidth="1"/>
    <col min="18" max="38" width="10.83203125" hidden="1" customWidth="1"/>
    <col min="39" max="44" width="10.83203125" style="47" customWidth="1"/>
    <col min="45" max="65" width="10.83203125" hidden="1" customWidth="1"/>
    <col min="66" max="71" width="10.83203125" style="47" customWidth="1"/>
    <col min="72" max="92" width="10.83203125" hidden="1" customWidth="1"/>
    <col min="93" max="98" width="10.83203125" style="47" customWidth="1"/>
    <col min="99" max="100" width="10.83203125" style="47"/>
    <col min="101" max="120" width="10.83203125" hidden="1" customWidth="1"/>
    <col min="121" max="126" width="10.83203125" style="47" customWidth="1"/>
    <col min="127" max="146" width="10.83203125" hidden="1" customWidth="1"/>
    <col min="147" max="152" width="10.83203125" style="47" hidden="1" customWidth="1"/>
    <col min="153" max="172" width="10.83203125" hidden="1" customWidth="1"/>
    <col min="173" max="178" width="10.83203125" style="47" hidden="1" customWidth="1"/>
    <col min="179" max="198" width="10.83203125" hidden="1" customWidth="1"/>
    <col min="199" max="204" width="10.83203125" style="47" hidden="1" customWidth="1"/>
    <col min="205" max="224" width="10.83203125" hidden="1" customWidth="1"/>
    <col min="225" max="230" width="10.83203125" style="47" hidden="1" customWidth="1"/>
    <col min="231" max="250" width="10.83203125" hidden="1" customWidth="1"/>
    <col min="251" max="256" width="10.83203125" style="47" hidden="1" customWidth="1"/>
    <col min="257" max="276" width="10.83203125" hidden="1" customWidth="1"/>
    <col min="277" max="282" width="10.83203125" style="47" hidden="1" customWidth="1"/>
    <col min="283" max="302" width="10.83203125" hidden="1" customWidth="1"/>
    <col min="303" max="308" width="10.83203125" style="47" hidden="1" customWidth="1"/>
    <col min="309" max="328" width="10.83203125" hidden="1" customWidth="1"/>
    <col min="329" max="334" width="10.83203125" style="47" hidden="1" customWidth="1"/>
    <col min="335" max="354" width="10.83203125" hidden="1" customWidth="1"/>
    <col min="355" max="360" width="10.83203125" style="47" hidden="1" customWidth="1"/>
    <col min="361" max="380" width="10.83203125" hidden="1" customWidth="1"/>
    <col min="381" max="386" width="10.83203125" style="47" hidden="1" customWidth="1"/>
    <col min="387" max="406" width="10.83203125" hidden="1" customWidth="1"/>
    <col min="407" max="412" width="10.83203125" style="47" hidden="1" customWidth="1"/>
    <col min="413" max="433" width="10.83203125" hidden="1" customWidth="1"/>
    <col min="434" max="439" width="10.83203125" style="47" hidden="1" customWidth="1"/>
  </cols>
  <sheetData>
    <row r="1" spans="1:439" ht="16" customHeight="1" x14ac:dyDescent="0.2">
      <c r="A1" s="73" t="s">
        <v>1</v>
      </c>
      <c r="B1" s="73" t="s">
        <v>21</v>
      </c>
      <c r="C1" s="73" t="s">
        <v>0</v>
      </c>
      <c r="D1" s="73" t="s">
        <v>46</v>
      </c>
      <c r="E1" s="73" t="s">
        <v>2</v>
      </c>
      <c r="F1" s="74" t="s">
        <v>52</v>
      </c>
      <c r="G1" s="74" t="s">
        <v>5</v>
      </c>
      <c r="H1" s="73" t="s">
        <v>6</v>
      </c>
      <c r="I1" s="78" t="s">
        <v>69</v>
      </c>
      <c r="J1" s="75" t="s">
        <v>24</v>
      </c>
      <c r="K1" s="78" t="s">
        <v>70</v>
      </c>
      <c r="L1" s="75" t="s">
        <v>24</v>
      </c>
      <c r="M1" s="75" t="s">
        <v>9</v>
      </c>
      <c r="N1" s="75" t="s">
        <v>24</v>
      </c>
      <c r="O1" s="76" t="s">
        <v>10</v>
      </c>
      <c r="P1" s="75" t="s">
        <v>25</v>
      </c>
      <c r="Q1" s="75" t="s">
        <v>24</v>
      </c>
      <c r="R1" s="70" t="s">
        <v>90</v>
      </c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2" t="s">
        <v>94</v>
      </c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0" t="s">
        <v>107</v>
      </c>
      <c r="BU1" s="70"/>
      <c r="BV1" s="70"/>
      <c r="BW1" s="70"/>
      <c r="BX1" s="70"/>
      <c r="BY1" s="70"/>
      <c r="BZ1" s="70"/>
      <c r="CA1" s="70"/>
      <c r="CB1" s="70"/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7" t="s">
        <v>51</v>
      </c>
      <c r="CV1" s="77"/>
      <c r="CW1" s="70" t="s">
        <v>109</v>
      </c>
      <c r="CX1" s="70"/>
      <c r="CY1" s="70"/>
      <c r="CZ1" s="70"/>
      <c r="DA1" s="70"/>
      <c r="DB1" s="70"/>
      <c r="DC1" s="70"/>
      <c r="DD1" s="70"/>
      <c r="DE1" s="70"/>
      <c r="DF1" s="70"/>
      <c r="DG1" s="70"/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0"/>
      <c r="EX1" s="70"/>
      <c r="EY1" s="70"/>
      <c r="EZ1" s="70"/>
      <c r="FA1" s="70"/>
      <c r="FB1" s="70"/>
      <c r="FC1" s="70"/>
      <c r="FD1" s="70"/>
      <c r="FE1" s="70"/>
      <c r="FF1" s="70"/>
      <c r="FG1" s="70"/>
      <c r="FH1" s="70"/>
      <c r="FI1" s="70"/>
      <c r="FJ1" s="70"/>
      <c r="FK1" s="70"/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2"/>
      <c r="GU1" s="72"/>
      <c r="GV1" s="72"/>
      <c r="GW1" s="70"/>
      <c r="GX1" s="70"/>
      <c r="GY1" s="70"/>
      <c r="GZ1" s="70"/>
      <c r="HA1" s="70"/>
      <c r="HB1" s="70"/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70"/>
      <c r="HO1" s="70"/>
      <c r="HP1" s="70"/>
      <c r="HQ1" s="70"/>
      <c r="HR1" s="70"/>
      <c r="HS1" s="70"/>
      <c r="HT1" s="70"/>
      <c r="HU1" s="70"/>
      <c r="HV1" s="70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2"/>
      <c r="IR1" s="72"/>
      <c r="IS1" s="72"/>
      <c r="IT1" s="72"/>
      <c r="IU1" s="72"/>
      <c r="IV1" s="72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0"/>
      <c r="JQ1" s="70"/>
      <c r="JR1" s="70"/>
      <c r="JS1" s="70"/>
      <c r="JT1" s="70"/>
      <c r="JU1" s="70"/>
      <c r="JV1" s="70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0"/>
      <c r="KX1" s="70"/>
      <c r="KY1" s="70"/>
      <c r="KZ1" s="70"/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70"/>
      <c r="LW1" s="72"/>
      <c r="LX1" s="72"/>
      <c r="LY1" s="72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0"/>
      <c r="MX1" s="70"/>
      <c r="MY1" s="70"/>
      <c r="MZ1" s="70"/>
      <c r="NA1" s="70"/>
      <c r="NB1" s="70"/>
      <c r="NC1" s="70"/>
      <c r="ND1" s="70"/>
      <c r="NE1" s="70"/>
      <c r="NF1" s="70"/>
      <c r="NG1" s="70"/>
      <c r="NH1" s="70"/>
      <c r="NI1" s="70"/>
      <c r="NJ1" s="70"/>
      <c r="NK1" s="70"/>
      <c r="NL1" s="70"/>
      <c r="NM1" s="70"/>
      <c r="NN1" s="70"/>
      <c r="NO1" s="70"/>
      <c r="NP1" s="70"/>
      <c r="NQ1" s="70"/>
      <c r="NR1" s="70"/>
      <c r="NS1" s="70"/>
      <c r="NT1" s="70"/>
      <c r="NU1" s="70"/>
      <c r="NV1" s="70"/>
      <c r="NW1" s="72"/>
      <c r="NX1" s="72"/>
      <c r="NY1" s="72"/>
      <c r="NZ1" s="72"/>
      <c r="OA1" s="72"/>
      <c r="OB1" s="72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0" t="s">
        <v>55</v>
      </c>
      <c r="OX1" s="70"/>
      <c r="OY1" s="70"/>
      <c r="OZ1" s="70"/>
      <c r="PA1" s="70"/>
      <c r="PB1" s="70"/>
      <c r="PC1" s="70"/>
      <c r="PD1" s="70"/>
      <c r="PE1" s="70"/>
      <c r="PF1" s="70"/>
      <c r="PG1" s="70"/>
      <c r="PH1" s="70"/>
      <c r="PI1" s="70"/>
      <c r="PJ1" s="70"/>
      <c r="PK1" s="70"/>
      <c r="PL1" s="70"/>
      <c r="PM1" s="70"/>
      <c r="PN1" s="70"/>
      <c r="PO1" s="70"/>
      <c r="PP1" s="70"/>
      <c r="PQ1" s="70"/>
      <c r="PR1" s="70"/>
      <c r="PS1" s="70"/>
      <c r="PT1" s="70"/>
      <c r="PU1" s="70"/>
      <c r="PV1" s="70"/>
      <c r="PW1" s="70"/>
    </row>
    <row r="2" spans="1:439" x14ac:dyDescent="0.2">
      <c r="A2" s="73"/>
      <c r="B2" s="73"/>
      <c r="C2" s="73"/>
      <c r="D2" s="73"/>
      <c r="E2" s="73"/>
      <c r="F2" s="74"/>
      <c r="G2" s="74"/>
      <c r="H2" s="73"/>
      <c r="I2" s="78"/>
      <c r="J2" s="75"/>
      <c r="K2" s="78"/>
      <c r="L2" s="75"/>
      <c r="M2" s="75"/>
      <c r="N2" s="75"/>
      <c r="O2" s="76"/>
      <c r="P2" s="75"/>
      <c r="Q2" s="75"/>
      <c r="R2" s="69" t="s">
        <v>71</v>
      </c>
      <c r="S2" s="69"/>
      <c r="T2" s="69"/>
      <c r="U2" s="69"/>
      <c r="V2" s="69" t="s">
        <v>72</v>
      </c>
      <c r="W2" s="69"/>
      <c r="X2" s="69"/>
      <c r="Y2" s="69"/>
      <c r="Z2" s="69" t="s">
        <v>73</v>
      </c>
      <c r="AA2" s="69"/>
      <c r="AB2" s="69"/>
      <c r="AC2" s="69"/>
      <c r="AD2" s="69" t="s">
        <v>74</v>
      </c>
      <c r="AE2" s="69"/>
      <c r="AF2" s="69"/>
      <c r="AG2" s="69"/>
      <c r="AH2" s="79" t="s">
        <v>75</v>
      </c>
      <c r="AI2" s="79"/>
      <c r="AJ2" s="79"/>
      <c r="AK2" s="79"/>
      <c r="AL2" s="16"/>
      <c r="AM2" s="16" t="s">
        <v>76</v>
      </c>
      <c r="AN2" s="16" t="s">
        <v>77</v>
      </c>
      <c r="AO2" s="16" t="s">
        <v>73</v>
      </c>
      <c r="AP2" s="16" t="s">
        <v>56</v>
      </c>
      <c r="AQ2" s="16" t="s">
        <v>78</v>
      </c>
      <c r="AR2" s="16" t="s">
        <v>14</v>
      </c>
      <c r="AS2" s="71" t="s">
        <v>71</v>
      </c>
      <c r="AT2" s="71"/>
      <c r="AU2" s="71"/>
      <c r="AV2" s="71"/>
      <c r="AW2" s="71" t="s">
        <v>72</v>
      </c>
      <c r="AX2" s="71"/>
      <c r="AY2" s="71"/>
      <c r="AZ2" s="71"/>
      <c r="BA2" s="71" t="s">
        <v>73</v>
      </c>
      <c r="BB2" s="71"/>
      <c r="BC2" s="71"/>
      <c r="BD2" s="71"/>
      <c r="BE2" s="71" t="s">
        <v>74</v>
      </c>
      <c r="BF2" s="71"/>
      <c r="BG2" s="71"/>
      <c r="BH2" s="71"/>
      <c r="BI2" s="80" t="s">
        <v>75</v>
      </c>
      <c r="BJ2" s="80"/>
      <c r="BK2" s="80"/>
      <c r="BL2" s="80"/>
      <c r="BM2" s="17"/>
      <c r="BN2" s="17" t="s">
        <v>76</v>
      </c>
      <c r="BO2" s="17" t="s">
        <v>77</v>
      </c>
      <c r="BP2" s="17" t="s">
        <v>73</v>
      </c>
      <c r="BQ2" s="17" t="s">
        <v>56</v>
      </c>
      <c r="BR2" s="17" t="s">
        <v>78</v>
      </c>
      <c r="BS2" s="17" t="s">
        <v>14</v>
      </c>
      <c r="BT2" s="69" t="s">
        <v>71</v>
      </c>
      <c r="BU2" s="69"/>
      <c r="BV2" s="69"/>
      <c r="BW2" s="69"/>
      <c r="BX2" s="69" t="s">
        <v>72</v>
      </c>
      <c r="BY2" s="69"/>
      <c r="BZ2" s="69"/>
      <c r="CA2" s="69"/>
      <c r="CB2" s="69" t="s">
        <v>73</v>
      </c>
      <c r="CC2" s="69"/>
      <c r="CD2" s="69"/>
      <c r="CE2" s="69"/>
      <c r="CF2" s="69" t="s">
        <v>74</v>
      </c>
      <c r="CG2" s="69"/>
      <c r="CH2" s="69"/>
      <c r="CI2" s="69"/>
      <c r="CJ2" s="79" t="s">
        <v>75</v>
      </c>
      <c r="CK2" s="79"/>
      <c r="CL2" s="79"/>
      <c r="CM2" s="79"/>
      <c r="CN2" s="16"/>
      <c r="CO2" s="16" t="s">
        <v>76</v>
      </c>
      <c r="CP2" s="16" t="s">
        <v>77</v>
      </c>
      <c r="CQ2" s="16" t="s">
        <v>73</v>
      </c>
      <c r="CR2" s="16" t="s">
        <v>56</v>
      </c>
      <c r="CS2" s="16" t="s">
        <v>78</v>
      </c>
      <c r="CT2" s="16" t="s">
        <v>14</v>
      </c>
      <c r="CU2" s="54" t="s">
        <v>77</v>
      </c>
      <c r="CV2" s="54" t="s">
        <v>19</v>
      </c>
      <c r="CW2" s="69" t="s">
        <v>71</v>
      </c>
      <c r="CX2" s="69"/>
      <c r="CY2" s="69"/>
      <c r="CZ2" s="69"/>
      <c r="DA2" s="69" t="s">
        <v>72</v>
      </c>
      <c r="DB2" s="69"/>
      <c r="DC2" s="69"/>
      <c r="DD2" s="69"/>
      <c r="DE2" s="69" t="s">
        <v>73</v>
      </c>
      <c r="DF2" s="69"/>
      <c r="DG2" s="69"/>
      <c r="DH2" s="69"/>
      <c r="DI2" s="69" t="s">
        <v>74</v>
      </c>
      <c r="DJ2" s="69"/>
      <c r="DK2" s="69"/>
      <c r="DL2" s="69"/>
      <c r="DM2" s="81" t="s">
        <v>75</v>
      </c>
      <c r="DN2" s="81"/>
      <c r="DO2" s="81"/>
      <c r="DP2" s="81"/>
      <c r="DQ2" s="16" t="s">
        <v>76</v>
      </c>
      <c r="DR2" s="16" t="s">
        <v>77</v>
      </c>
      <c r="DS2" s="16" t="s">
        <v>73</v>
      </c>
      <c r="DT2" s="16" t="s">
        <v>56</v>
      </c>
      <c r="DU2" s="16" t="s">
        <v>78</v>
      </c>
      <c r="DV2" s="16" t="s">
        <v>14</v>
      </c>
      <c r="DW2" s="71" t="s">
        <v>71</v>
      </c>
      <c r="DX2" s="71"/>
      <c r="DY2" s="71"/>
      <c r="DZ2" s="71"/>
      <c r="EA2" s="71" t="s">
        <v>72</v>
      </c>
      <c r="EB2" s="71"/>
      <c r="EC2" s="71"/>
      <c r="ED2" s="71"/>
      <c r="EE2" s="71" t="s">
        <v>73</v>
      </c>
      <c r="EF2" s="71"/>
      <c r="EG2" s="71"/>
      <c r="EH2" s="71"/>
      <c r="EI2" s="71" t="s">
        <v>74</v>
      </c>
      <c r="EJ2" s="71"/>
      <c r="EK2" s="71"/>
      <c r="EL2" s="71"/>
      <c r="EM2" s="80" t="s">
        <v>75</v>
      </c>
      <c r="EN2" s="80"/>
      <c r="EO2" s="80"/>
      <c r="EP2" s="80"/>
      <c r="EQ2" s="17" t="s">
        <v>76</v>
      </c>
      <c r="ER2" s="17" t="s">
        <v>77</v>
      </c>
      <c r="ES2" s="17" t="s">
        <v>73</v>
      </c>
      <c r="ET2" s="17" t="s">
        <v>56</v>
      </c>
      <c r="EU2" s="17" t="s">
        <v>78</v>
      </c>
      <c r="EV2" s="17" t="s">
        <v>14</v>
      </c>
      <c r="EW2" s="69" t="s">
        <v>71</v>
      </c>
      <c r="EX2" s="69"/>
      <c r="EY2" s="69"/>
      <c r="EZ2" s="69"/>
      <c r="FA2" s="69" t="s">
        <v>72</v>
      </c>
      <c r="FB2" s="69"/>
      <c r="FC2" s="69"/>
      <c r="FD2" s="69"/>
      <c r="FE2" s="69" t="s">
        <v>73</v>
      </c>
      <c r="FF2" s="69"/>
      <c r="FG2" s="69"/>
      <c r="FH2" s="69"/>
      <c r="FI2" s="69" t="s">
        <v>74</v>
      </c>
      <c r="FJ2" s="69"/>
      <c r="FK2" s="69"/>
      <c r="FL2" s="69"/>
      <c r="FM2" s="81" t="s">
        <v>75</v>
      </c>
      <c r="FN2" s="81"/>
      <c r="FO2" s="81"/>
      <c r="FP2" s="81"/>
      <c r="FQ2" s="16" t="s">
        <v>76</v>
      </c>
      <c r="FR2" s="16" t="s">
        <v>77</v>
      </c>
      <c r="FS2" s="16" t="s">
        <v>73</v>
      </c>
      <c r="FT2" s="16" t="s">
        <v>56</v>
      </c>
      <c r="FU2" s="16" t="s">
        <v>78</v>
      </c>
      <c r="FV2" s="16" t="s">
        <v>14</v>
      </c>
      <c r="FW2" s="71" t="s">
        <v>71</v>
      </c>
      <c r="FX2" s="71"/>
      <c r="FY2" s="71"/>
      <c r="FZ2" s="71"/>
      <c r="GA2" s="71" t="s">
        <v>72</v>
      </c>
      <c r="GB2" s="71"/>
      <c r="GC2" s="71"/>
      <c r="GD2" s="71"/>
      <c r="GE2" s="71" t="s">
        <v>73</v>
      </c>
      <c r="GF2" s="71"/>
      <c r="GG2" s="71"/>
      <c r="GH2" s="71"/>
      <c r="GI2" s="71" t="s">
        <v>74</v>
      </c>
      <c r="GJ2" s="71"/>
      <c r="GK2" s="71"/>
      <c r="GL2" s="71"/>
      <c r="GM2" s="80" t="s">
        <v>75</v>
      </c>
      <c r="GN2" s="80"/>
      <c r="GO2" s="80"/>
      <c r="GP2" s="80"/>
      <c r="GQ2" s="17" t="s">
        <v>76</v>
      </c>
      <c r="GR2" s="17" t="s">
        <v>77</v>
      </c>
      <c r="GS2" s="17" t="s">
        <v>73</v>
      </c>
      <c r="GT2" s="17" t="s">
        <v>56</v>
      </c>
      <c r="GU2" s="17" t="s">
        <v>78</v>
      </c>
      <c r="GV2" s="17" t="s">
        <v>14</v>
      </c>
      <c r="GW2" s="69" t="s">
        <v>71</v>
      </c>
      <c r="GX2" s="69"/>
      <c r="GY2" s="69"/>
      <c r="GZ2" s="69"/>
      <c r="HA2" s="69" t="s">
        <v>72</v>
      </c>
      <c r="HB2" s="69"/>
      <c r="HC2" s="69"/>
      <c r="HD2" s="69"/>
      <c r="HE2" s="69" t="s">
        <v>73</v>
      </c>
      <c r="HF2" s="69"/>
      <c r="HG2" s="69"/>
      <c r="HH2" s="69"/>
      <c r="HI2" s="69" t="s">
        <v>74</v>
      </c>
      <c r="HJ2" s="69"/>
      <c r="HK2" s="69"/>
      <c r="HL2" s="69"/>
      <c r="HM2" s="81" t="s">
        <v>75</v>
      </c>
      <c r="HN2" s="81"/>
      <c r="HO2" s="81"/>
      <c r="HP2" s="81"/>
      <c r="HQ2" s="16" t="s">
        <v>76</v>
      </c>
      <c r="HR2" s="16" t="s">
        <v>77</v>
      </c>
      <c r="HS2" s="16" t="s">
        <v>73</v>
      </c>
      <c r="HT2" s="16" t="s">
        <v>56</v>
      </c>
      <c r="HU2" s="16" t="s">
        <v>78</v>
      </c>
      <c r="HV2" s="16" t="s">
        <v>14</v>
      </c>
      <c r="HW2" s="71" t="s">
        <v>71</v>
      </c>
      <c r="HX2" s="71"/>
      <c r="HY2" s="71"/>
      <c r="HZ2" s="71"/>
      <c r="IA2" s="71" t="s">
        <v>72</v>
      </c>
      <c r="IB2" s="71"/>
      <c r="IC2" s="71"/>
      <c r="ID2" s="71"/>
      <c r="IE2" s="71" t="s">
        <v>73</v>
      </c>
      <c r="IF2" s="71"/>
      <c r="IG2" s="71"/>
      <c r="IH2" s="71"/>
      <c r="II2" s="71" t="s">
        <v>74</v>
      </c>
      <c r="IJ2" s="71"/>
      <c r="IK2" s="71"/>
      <c r="IL2" s="71"/>
      <c r="IM2" s="80" t="s">
        <v>75</v>
      </c>
      <c r="IN2" s="80"/>
      <c r="IO2" s="80"/>
      <c r="IP2" s="80"/>
      <c r="IQ2" s="17" t="s">
        <v>76</v>
      </c>
      <c r="IR2" s="17" t="s">
        <v>77</v>
      </c>
      <c r="IS2" s="17" t="s">
        <v>73</v>
      </c>
      <c r="IT2" s="17" t="s">
        <v>56</v>
      </c>
      <c r="IU2" s="17" t="s">
        <v>78</v>
      </c>
      <c r="IV2" s="17" t="s">
        <v>14</v>
      </c>
      <c r="IW2" s="69" t="s">
        <v>71</v>
      </c>
      <c r="IX2" s="69"/>
      <c r="IY2" s="69"/>
      <c r="IZ2" s="69"/>
      <c r="JA2" s="69" t="s">
        <v>72</v>
      </c>
      <c r="JB2" s="69"/>
      <c r="JC2" s="69"/>
      <c r="JD2" s="69"/>
      <c r="JE2" s="69" t="s">
        <v>73</v>
      </c>
      <c r="JF2" s="69"/>
      <c r="JG2" s="69"/>
      <c r="JH2" s="69"/>
      <c r="JI2" s="69" t="s">
        <v>74</v>
      </c>
      <c r="JJ2" s="69"/>
      <c r="JK2" s="69"/>
      <c r="JL2" s="69"/>
      <c r="JM2" s="81" t="s">
        <v>75</v>
      </c>
      <c r="JN2" s="81"/>
      <c r="JO2" s="81"/>
      <c r="JP2" s="81"/>
      <c r="JQ2" s="16" t="s">
        <v>76</v>
      </c>
      <c r="JR2" s="16" t="s">
        <v>77</v>
      </c>
      <c r="JS2" s="16" t="s">
        <v>73</v>
      </c>
      <c r="JT2" s="16" t="s">
        <v>56</v>
      </c>
      <c r="JU2" s="16" t="s">
        <v>78</v>
      </c>
      <c r="JV2" s="16" t="s">
        <v>14</v>
      </c>
      <c r="JW2" s="71" t="s">
        <v>71</v>
      </c>
      <c r="JX2" s="71"/>
      <c r="JY2" s="71"/>
      <c r="JZ2" s="71"/>
      <c r="KA2" s="71" t="s">
        <v>72</v>
      </c>
      <c r="KB2" s="71"/>
      <c r="KC2" s="71"/>
      <c r="KD2" s="71"/>
      <c r="KE2" s="71" t="s">
        <v>73</v>
      </c>
      <c r="KF2" s="71"/>
      <c r="KG2" s="71"/>
      <c r="KH2" s="71"/>
      <c r="KI2" s="71" t="s">
        <v>74</v>
      </c>
      <c r="KJ2" s="71"/>
      <c r="KK2" s="71"/>
      <c r="KL2" s="71"/>
      <c r="KM2" s="80" t="s">
        <v>75</v>
      </c>
      <c r="KN2" s="80"/>
      <c r="KO2" s="80"/>
      <c r="KP2" s="80"/>
      <c r="KQ2" s="17" t="s">
        <v>76</v>
      </c>
      <c r="KR2" s="17" t="s">
        <v>77</v>
      </c>
      <c r="KS2" s="17" t="s">
        <v>73</v>
      </c>
      <c r="KT2" s="17" t="s">
        <v>56</v>
      </c>
      <c r="KU2" s="17" t="s">
        <v>78</v>
      </c>
      <c r="KV2" s="17" t="s">
        <v>14</v>
      </c>
      <c r="KW2" s="69" t="s">
        <v>71</v>
      </c>
      <c r="KX2" s="69"/>
      <c r="KY2" s="69"/>
      <c r="KZ2" s="69"/>
      <c r="LA2" s="69" t="s">
        <v>72</v>
      </c>
      <c r="LB2" s="69"/>
      <c r="LC2" s="69"/>
      <c r="LD2" s="69"/>
      <c r="LE2" s="69" t="s">
        <v>73</v>
      </c>
      <c r="LF2" s="69"/>
      <c r="LG2" s="69"/>
      <c r="LH2" s="69"/>
      <c r="LI2" s="69" t="s">
        <v>74</v>
      </c>
      <c r="LJ2" s="69"/>
      <c r="LK2" s="69"/>
      <c r="LL2" s="69"/>
      <c r="LM2" s="81" t="s">
        <v>75</v>
      </c>
      <c r="LN2" s="81"/>
      <c r="LO2" s="81"/>
      <c r="LP2" s="81"/>
      <c r="LQ2" s="16" t="s">
        <v>76</v>
      </c>
      <c r="LR2" s="16" t="s">
        <v>77</v>
      </c>
      <c r="LS2" s="16" t="s">
        <v>73</v>
      </c>
      <c r="LT2" s="16" t="s">
        <v>56</v>
      </c>
      <c r="LU2" s="16" t="s">
        <v>78</v>
      </c>
      <c r="LV2" s="16" t="s">
        <v>14</v>
      </c>
      <c r="LW2" s="71" t="s">
        <v>71</v>
      </c>
      <c r="LX2" s="71"/>
      <c r="LY2" s="71"/>
      <c r="LZ2" s="71"/>
      <c r="MA2" s="71" t="s">
        <v>72</v>
      </c>
      <c r="MB2" s="71"/>
      <c r="MC2" s="71"/>
      <c r="MD2" s="71"/>
      <c r="ME2" s="71" t="s">
        <v>73</v>
      </c>
      <c r="MF2" s="71"/>
      <c r="MG2" s="71"/>
      <c r="MH2" s="71"/>
      <c r="MI2" s="71" t="s">
        <v>74</v>
      </c>
      <c r="MJ2" s="71"/>
      <c r="MK2" s="71"/>
      <c r="ML2" s="71"/>
      <c r="MM2" s="80" t="s">
        <v>75</v>
      </c>
      <c r="MN2" s="80"/>
      <c r="MO2" s="80"/>
      <c r="MP2" s="80"/>
      <c r="MQ2" s="17" t="s">
        <v>76</v>
      </c>
      <c r="MR2" s="17" t="s">
        <v>77</v>
      </c>
      <c r="MS2" s="17" t="s">
        <v>73</v>
      </c>
      <c r="MT2" s="17" t="s">
        <v>56</v>
      </c>
      <c r="MU2" s="17" t="s">
        <v>78</v>
      </c>
      <c r="MV2" s="17" t="s">
        <v>14</v>
      </c>
      <c r="MW2" s="69" t="s">
        <v>71</v>
      </c>
      <c r="MX2" s="69"/>
      <c r="MY2" s="69"/>
      <c r="MZ2" s="69"/>
      <c r="NA2" s="69" t="s">
        <v>72</v>
      </c>
      <c r="NB2" s="69"/>
      <c r="NC2" s="69"/>
      <c r="ND2" s="69"/>
      <c r="NE2" s="69" t="s">
        <v>73</v>
      </c>
      <c r="NF2" s="69"/>
      <c r="NG2" s="69"/>
      <c r="NH2" s="69"/>
      <c r="NI2" s="69" t="s">
        <v>74</v>
      </c>
      <c r="NJ2" s="69"/>
      <c r="NK2" s="69"/>
      <c r="NL2" s="69"/>
      <c r="NM2" s="81" t="s">
        <v>75</v>
      </c>
      <c r="NN2" s="81"/>
      <c r="NO2" s="81"/>
      <c r="NP2" s="81"/>
      <c r="NQ2" s="16" t="s">
        <v>76</v>
      </c>
      <c r="NR2" s="16" t="s">
        <v>77</v>
      </c>
      <c r="NS2" s="16" t="s">
        <v>73</v>
      </c>
      <c r="NT2" s="16" t="s">
        <v>56</v>
      </c>
      <c r="NU2" s="16" t="s">
        <v>78</v>
      </c>
      <c r="NV2" s="16" t="s">
        <v>14</v>
      </c>
      <c r="NW2" s="71" t="s">
        <v>71</v>
      </c>
      <c r="NX2" s="71"/>
      <c r="NY2" s="71"/>
      <c r="NZ2" s="71"/>
      <c r="OA2" s="71" t="s">
        <v>72</v>
      </c>
      <c r="OB2" s="71"/>
      <c r="OC2" s="71"/>
      <c r="OD2" s="71"/>
      <c r="OE2" s="71" t="s">
        <v>73</v>
      </c>
      <c r="OF2" s="71"/>
      <c r="OG2" s="71"/>
      <c r="OH2" s="71"/>
      <c r="OI2" s="71" t="s">
        <v>74</v>
      </c>
      <c r="OJ2" s="71"/>
      <c r="OK2" s="71"/>
      <c r="OL2" s="71"/>
      <c r="OM2" s="80" t="s">
        <v>75</v>
      </c>
      <c r="ON2" s="80"/>
      <c r="OO2" s="80"/>
      <c r="OP2" s="80"/>
      <c r="OQ2" s="17" t="s">
        <v>76</v>
      </c>
      <c r="OR2" s="17" t="s">
        <v>77</v>
      </c>
      <c r="OS2" s="17" t="s">
        <v>73</v>
      </c>
      <c r="OT2" s="17" t="s">
        <v>56</v>
      </c>
      <c r="OU2" s="17" t="s">
        <v>78</v>
      </c>
      <c r="OV2" s="17" t="s">
        <v>14</v>
      </c>
      <c r="OW2" s="69" t="s">
        <v>71</v>
      </c>
      <c r="OX2" s="69"/>
      <c r="OY2" s="69"/>
      <c r="OZ2" s="69"/>
      <c r="PA2" s="69" t="s">
        <v>72</v>
      </c>
      <c r="PB2" s="69"/>
      <c r="PC2" s="69"/>
      <c r="PD2" s="69"/>
      <c r="PE2" s="69" t="s">
        <v>73</v>
      </c>
      <c r="PF2" s="69"/>
      <c r="PG2" s="69"/>
      <c r="PH2" s="69"/>
      <c r="PI2" s="69" t="s">
        <v>74</v>
      </c>
      <c r="PJ2" s="69"/>
      <c r="PK2" s="69"/>
      <c r="PL2" s="69"/>
      <c r="PM2" s="79" t="s">
        <v>75</v>
      </c>
      <c r="PN2" s="79"/>
      <c r="PO2" s="79"/>
      <c r="PP2" s="79"/>
      <c r="PQ2" s="16"/>
      <c r="PR2" s="16" t="s">
        <v>76</v>
      </c>
      <c r="PS2" s="16" t="s">
        <v>77</v>
      </c>
      <c r="PT2" s="16" t="s">
        <v>73</v>
      </c>
      <c r="PU2" s="16" t="s">
        <v>56</v>
      </c>
      <c r="PV2" s="16" t="s">
        <v>78</v>
      </c>
      <c r="PW2" s="16" t="s">
        <v>14</v>
      </c>
    </row>
    <row r="3" spans="1:439" x14ac:dyDescent="0.2">
      <c r="A3" s="73"/>
      <c r="B3" s="73"/>
      <c r="C3" s="73"/>
      <c r="D3" s="73"/>
      <c r="E3" s="73"/>
      <c r="F3" s="74"/>
      <c r="G3" s="74"/>
      <c r="H3" s="73"/>
      <c r="I3" s="78"/>
      <c r="J3" s="75"/>
      <c r="K3" s="78"/>
      <c r="L3" s="75"/>
      <c r="M3" s="75"/>
      <c r="N3" s="75"/>
      <c r="O3" s="76"/>
      <c r="P3" s="75"/>
      <c r="Q3" s="75"/>
      <c r="R3" s="16" t="s">
        <v>11</v>
      </c>
      <c r="S3" s="16" t="s">
        <v>4</v>
      </c>
      <c r="T3" s="16" t="s">
        <v>22</v>
      </c>
      <c r="U3" s="16" t="s">
        <v>23</v>
      </c>
      <c r="V3" s="16" t="s">
        <v>11</v>
      </c>
      <c r="W3" s="16" t="s">
        <v>4</v>
      </c>
      <c r="X3" s="16" t="s">
        <v>22</v>
      </c>
      <c r="Y3" s="16" t="s">
        <v>23</v>
      </c>
      <c r="Z3" s="16" t="s">
        <v>11</v>
      </c>
      <c r="AA3" s="16" t="s">
        <v>4</v>
      </c>
      <c r="AB3" s="16" t="s">
        <v>22</v>
      </c>
      <c r="AC3" s="16" t="s">
        <v>23</v>
      </c>
      <c r="AD3" s="16" t="s">
        <v>11</v>
      </c>
      <c r="AE3" s="16" t="s">
        <v>4</v>
      </c>
      <c r="AF3" s="16" t="s">
        <v>22</v>
      </c>
      <c r="AG3" s="16" t="s">
        <v>23</v>
      </c>
      <c r="AH3" s="51" t="s">
        <v>11</v>
      </c>
      <c r="AI3" s="51" t="s">
        <v>4</v>
      </c>
      <c r="AJ3" s="51" t="s">
        <v>22</v>
      </c>
      <c r="AK3" s="51" t="s">
        <v>23</v>
      </c>
      <c r="AL3" s="16" t="s">
        <v>43</v>
      </c>
      <c r="AM3" s="16"/>
      <c r="AN3" s="16"/>
      <c r="AO3" s="16"/>
      <c r="AP3" s="16"/>
      <c r="AQ3" s="16"/>
      <c r="AR3" s="16"/>
      <c r="AS3" s="17" t="s">
        <v>11</v>
      </c>
      <c r="AT3" s="17" t="s">
        <v>4</v>
      </c>
      <c r="AU3" s="17" t="s">
        <v>22</v>
      </c>
      <c r="AV3" s="17" t="s">
        <v>23</v>
      </c>
      <c r="AW3" s="17" t="s">
        <v>11</v>
      </c>
      <c r="AX3" s="17" t="s">
        <v>4</v>
      </c>
      <c r="AY3" s="17" t="s">
        <v>22</v>
      </c>
      <c r="AZ3" s="17" t="s">
        <v>23</v>
      </c>
      <c r="BA3" s="17" t="s">
        <v>11</v>
      </c>
      <c r="BB3" s="17" t="s">
        <v>4</v>
      </c>
      <c r="BC3" s="17" t="s">
        <v>22</v>
      </c>
      <c r="BD3" s="17" t="s">
        <v>23</v>
      </c>
      <c r="BE3" s="17" t="s">
        <v>11</v>
      </c>
      <c r="BF3" s="17" t="s">
        <v>4</v>
      </c>
      <c r="BG3" s="17" t="s">
        <v>22</v>
      </c>
      <c r="BH3" s="17" t="s">
        <v>23</v>
      </c>
      <c r="BI3" s="53" t="s">
        <v>11</v>
      </c>
      <c r="BJ3" s="53" t="s">
        <v>4</v>
      </c>
      <c r="BK3" s="53" t="s">
        <v>22</v>
      </c>
      <c r="BL3" s="53" t="s">
        <v>23</v>
      </c>
      <c r="BM3" s="17" t="s">
        <v>43</v>
      </c>
      <c r="BN3" s="17"/>
      <c r="BO3" s="17"/>
      <c r="BP3" s="17"/>
      <c r="BQ3" s="17"/>
      <c r="BR3" s="17"/>
      <c r="BS3" s="17"/>
      <c r="BT3" s="16" t="s">
        <v>11</v>
      </c>
      <c r="BU3" s="16" t="s">
        <v>4</v>
      </c>
      <c r="BV3" s="16" t="s">
        <v>22</v>
      </c>
      <c r="BW3" s="16" t="s">
        <v>23</v>
      </c>
      <c r="BX3" s="16" t="s">
        <v>11</v>
      </c>
      <c r="BY3" s="16" t="s">
        <v>4</v>
      </c>
      <c r="BZ3" s="16" t="s">
        <v>22</v>
      </c>
      <c r="CA3" s="16" t="s">
        <v>23</v>
      </c>
      <c r="CB3" s="16" t="s">
        <v>11</v>
      </c>
      <c r="CC3" s="16" t="s">
        <v>4</v>
      </c>
      <c r="CD3" s="16" t="s">
        <v>22</v>
      </c>
      <c r="CE3" s="16" t="s">
        <v>23</v>
      </c>
      <c r="CF3" s="16" t="s">
        <v>11</v>
      </c>
      <c r="CG3" s="16" t="s">
        <v>4</v>
      </c>
      <c r="CH3" s="16" t="s">
        <v>22</v>
      </c>
      <c r="CI3" s="16" t="s">
        <v>23</v>
      </c>
      <c r="CJ3" s="51" t="s">
        <v>11</v>
      </c>
      <c r="CK3" s="51" t="s">
        <v>4</v>
      </c>
      <c r="CL3" s="51" t="s">
        <v>22</v>
      </c>
      <c r="CM3" s="51" t="s">
        <v>23</v>
      </c>
      <c r="CN3" s="16" t="s">
        <v>43</v>
      </c>
      <c r="CO3" s="16"/>
      <c r="CP3" s="16"/>
      <c r="CQ3" s="16"/>
      <c r="CR3" s="16"/>
      <c r="CS3" s="16"/>
      <c r="CT3" s="16"/>
      <c r="CU3" s="54"/>
      <c r="CV3" s="54"/>
      <c r="CW3" s="16" t="s">
        <v>11</v>
      </c>
      <c r="CX3" s="16" t="s">
        <v>4</v>
      </c>
      <c r="CY3" s="16" t="s">
        <v>22</v>
      </c>
      <c r="CZ3" s="16" t="s">
        <v>23</v>
      </c>
      <c r="DA3" s="16" t="s">
        <v>11</v>
      </c>
      <c r="DB3" s="16" t="s">
        <v>4</v>
      </c>
      <c r="DC3" s="16" t="s">
        <v>22</v>
      </c>
      <c r="DD3" s="16" t="s">
        <v>23</v>
      </c>
      <c r="DE3" s="16" t="s">
        <v>11</v>
      </c>
      <c r="DF3" s="16" t="s">
        <v>4</v>
      </c>
      <c r="DG3" s="16" t="s">
        <v>22</v>
      </c>
      <c r="DH3" s="16" t="s">
        <v>23</v>
      </c>
      <c r="DI3" s="16" t="s">
        <v>11</v>
      </c>
      <c r="DJ3" s="16" t="s">
        <v>4</v>
      </c>
      <c r="DK3" s="16" t="s">
        <v>22</v>
      </c>
      <c r="DL3" s="16" t="s">
        <v>23</v>
      </c>
      <c r="DM3" s="52" t="s">
        <v>11</v>
      </c>
      <c r="DN3" s="52" t="s">
        <v>4</v>
      </c>
      <c r="DO3" s="52" t="s">
        <v>22</v>
      </c>
      <c r="DP3" s="52" t="s">
        <v>23</v>
      </c>
      <c r="DQ3" s="16"/>
      <c r="DR3" s="16"/>
      <c r="DS3" s="16"/>
      <c r="DT3" s="16"/>
      <c r="DU3" s="16"/>
      <c r="DV3" s="16"/>
      <c r="DW3" s="17" t="s">
        <v>11</v>
      </c>
      <c r="DX3" s="17" t="s">
        <v>4</v>
      </c>
      <c r="DY3" s="17" t="s">
        <v>22</v>
      </c>
      <c r="DZ3" s="17" t="s">
        <v>23</v>
      </c>
      <c r="EA3" s="17" t="s">
        <v>11</v>
      </c>
      <c r="EB3" s="17" t="s">
        <v>4</v>
      </c>
      <c r="EC3" s="17" t="s">
        <v>22</v>
      </c>
      <c r="ED3" s="17" t="s">
        <v>23</v>
      </c>
      <c r="EE3" s="17" t="s">
        <v>11</v>
      </c>
      <c r="EF3" s="17" t="s">
        <v>4</v>
      </c>
      <c r="EG3" s="17" t="s">
        <v>22</v>
      </c>
      <c r="EH3" s="17" t="s">
        <v>23</v>
      </c>
      <c r="EI3" s="17" t="s">
        <v>11</v>
      </c>
      <c r="EJ3" s="17" t="s">
        <v>4</v>
      </c>
      <c r="EK3" s="17" t="s">
        <v>22</v>
      </c>
      <c r="EL3" s="17" t="s">
        <v>23</v>
      </c>
      <c r="EM3" s="53" t="s">
        <v>11</v>
      </c>
      <c r="EN3" s="53" t="s">
        <v>4</v>
      </c>
      <c r="EO3" s="53" t="s">
        <v>22</v>
      </c>
      <c r="EP3" s="53" t="s">
        <v>23</v>
      </c>
      <c r="EQ3" s="17"/>
      <c r="ER3" s="17"/>
      <c r="ES3" s="17"/>
      <c r="ET3" s="17"/>
      <c r="EU3" s="17"/>
      <c r="EV3" s="17"/>
      <c r="EW3" s="16" t="s">
        <v>11</v>
      </c>
      <c r="EX3" s="16" t="s">
        <v>4</v>
      </c>
      <c r="EY3" s="16" t="s">
        <v>22</v>
      </c>
      <c r="EZ3" s="16" t="s">
        <v>23</v>
      </c>
      <c r="FA3" s="16" t="s">
        <v>11</v>
      </c>
      <c r="FB3" s="16" t="s">
        <v>4</v>
      </c>
      <c r="FC3" s="16" t="s">
        <v>22</v>
      </c>
      <c r="FD3" s="16" t="s">
        <v>23</v>
      </c>
      <c r="FE3" s="16" t="s">
        <v>11</v>
      </c>
      <c r="FF3" s="16" t="s">
        <v>4</v>
      </c>
      <c r="FG3" s="16" t="s">
        <v>22</v>
      </c>
      <c r="FH3" s="16" t="s">
        <v>23</v>
      </c>
      <c r="FI3" s="16" t="s">
        <v>11</v>
      </c>
      <c r="FJ3" s="16" t="s">
        <v>4</v>
      </c>
      <c r="FK3" s="16" t="s">
        <v>22</v>
      </c>
      <c r="FL3" s="16" t="s">
        <v>23</v>
      </c>
      <c r="FM3" s="52" t="s">
        <v>11</v>
      </c>
      <c r="FN3" s="52" t="s">
        <v>4</v>
      </c>
      <c r="FO3" s="52" t="s">
        <v>22</v>
      </c>
      <c r="FP3" s="52" t="s">
        <v>23</v>
      </c>
      <c r="FQ3" s="16"/>
      <c r="FR3" s="16"/>
      <c r="FS3" s="16"/>
      <c r="FT3" s="16"/>
      <c r="FU3" s="16"/>
      <c r="FV3" s="16"/>
      <c r="FW3" s="17" t="s">
        <v>11</v>
      </c>
      <c r="FX3" s="17" t="s">
        <v>4</v>
      </c>
      <c r="FY3" s="17" t="s">
        <v>22</v>
      </c>
      <c r="FZ3" s="17" t="s">
        <v>23</v>
      </c>
      <c r="GA3" s="17" t="s">
        <v>11</v>
      </c>
      <c r="GB3" s="17" t="s">
        <v>4</v>
      </c>
      <c r="GC3" s="17" t="s">
        <v>22</v>
      </c>
      <c r="GD3" s="17" t="s">
        <v>23</v>
      </c>
      <c r="GE3" s="17" t="s">
        <v>11</v>
      </c>
      <c r="GF3" s="17" t="s">
        <v>4</v>
      </c>
      <c r="GG3" s="17" t="s">
        <v>22</v>
      </c>
      <c r="GH3" s="17" t="s">
        <v>23</v>
      </c>
      <c r="GI3" s="17" t="s">
        <v>11</v>
      </c>
      <c r="GJ3" s="17" t="s">
        <v>4</v>
      </c>
      <c r="GK3" s="17" t="s">
        <v>22</v>
      </c>
      <c r="GL3" s="17" t="s">
        <v>23</v>
      </c>
      <c r="GM3" s="53" t="s">
        <v>11</v>
      </c>
      <c r="GN3" s="53" t="s">
        <v>4</v>
      </c>
      <c r="GO3" s="53" t="s">
        <v>22</v>
      </c>
      <c r="GP3" s="53" t="s">
        <v>23</v>
      </c>
      <c r="GQ3" s="17"/>
      <c r="GR3" s="17"/>
      <c r="GS3" s="17"/>
      <c r="GT3" s="17"/>
      <c r="GU3" s="17"/>
      <c r="GV3" s="17"/>
      <c r="GW3" s="16" t="s">
        <v>11</v>
      </c>
      <c r="GX3" s="16" t="s">
        <v>4</v>
      </c>
      <c r="GY3" s="16" t="s">
        <v>22</v>
      </c>
      <c r="GZ3" s="16" t="s">
        <v>23</v>
      </c>
      <c r="HA3" s="16" t="s">
        <v>11</v>
      </c>
      <c r="HB3" s="16" t="s">
        <v>4</v>
      </c>
      <c r="HC3" s="16" t="s">
        <v>22</v>
      </c>
      <c r="HD3" s="16" t="s">
        <v>23</v>
      </c>
      <c r="HE3" s="16" t="s">
        <v>11</v>
      </c>
      <c r="HF3" s="16" t="s">
        <v>4</v>
      </c>
      <c r="HG3" s="16" t="s">
        <v>22</v>
      </c>
      <c r="HH3" s="16" t="s">
        <v>23</v>
      </c>
      <c r="HI3" s="16" t="s">
        <v>11</v>
      </c>
      <c r="HJ3" s="16" t="s">
        <v>4</v>
      </c>
      <c r="HK3" s="16" t="s">
        <v>22</v>
      </c>
      <c r="HL3" s="16" t="s">
        <v>23</v>
      </c>
      <c r="HM3" s="52" t="s">
        <v>11</v>
      </c>
      <c r="HN3" s="52" t="s">
        <v>4</v>
      </c>
      <c r="HO3" s="52" t="s">
        <v>22</v>
      </c>
      <c r="HP3" s="52" t="s">
        <v>23</v>
      </c>
      <c r="HQ3" s="16"/>
      <c r="HR3" s="16"/>
      <c r="HS3" s="16"/>
      <c r="HT3" s="16"/>
      <c r="HU3" s="16"/>
      <c r="HV3" s="16"/>
      <c r="HW3" s="17" t="s">
        <v>11</v>
      </c>
      <c r="HX3" s="17" t="s">
        <v>4</v>
      </c>
      <c r="HY3" s="17" t="s">
        <v>22</v>
      </c>
      <c r="HZ3" s="17" t="s">
        <v>23</v>
      </c>
      <c r="IA3" s="17" t="s">
        <v>11</v>
      </c>
      <c r="IB3" s="17" t="s">
        <v>4</v>
      </c>
      <c r="IC3" s="17" t="s">
        <v>22</v>
      </c>
      <c r="ID3" s="17" t="s">
        <v>23</v>
      </c>
      <c r="IE3" s="17" t="s">
        <v>11</v>
      </c>
      <c r="IF3" s="17" t="s">
        <v>4</v>
      </c>
      <c r="IG3" s="17" t="s">
        <v>22</v>
      </c>
      <c r="IH3" s="17" t="s">
        <v>23</v>
      </c>
      <c r="II3" s="17" t="s">
        <v>11</v>
      </c>
      <c r="IJ3" s="17" t="s">
        <v>4</v>
      </c>
      <c r="IK3" s="17" t="s">
        <v>22</v>
      </c>
      <c r="IL3" s="17" t="s">
        <v>23</v>
      </c>
      <c r="IM3" s="53" t="s">
        <v>11</v>
      </c>
      <c r="IN3" s="53" t="s">
        <v>4</v>
      </c>
      <c r="IO3" s="53" t="s">
        <v>22</v>
      </c>
      <c r="IP3" s="53" t="s">
        <v>23</v>
      </c>
      <c r="IQ3" s="17"/>
      <c r="IR3" s="17"/>
      <c r="IS3" s="17"/>
      <c r="IT3" s="17"/>
      <c r="IU3" s="17"/>
      <c r="IV3" s="17"/>
      <c r="IW3" s="16" t="s">
        <v>11</v>
      </c>
      <c r="IX3" s="16" t="s">
        <v>4</v>
      </c>
      <c r="IY3" s="16" t="s">
        <v>22</v>
      </c>
      <c r="IZ3" s="16" t="s">
        <v>23</v>
      </c>
      <c r="JA3" s="16" t="s">
        <v>11</v>
      </c>
      <c r="JB3" s="16" t="s">
        <v>4</v>
      </c>
      <c r="JC3" s="16" t="s">
        <v>22</v>
      </c>
      <c r="JD3" s="16" t="s">
        <v>23</v>
      </c>
      <c r="JE3" s="16" t="s">
        <v>11</v>
      </c>
      <c r="JF3" s="16" t="s">
        <v>4</v>
      </c>
      <c r="JG3" s="16" t="s">
        <v>22</v>
      </c>
      <c r="JH3" s="16" t="s">
        <v>23</v>
      </c>
      <c r="JI3" s="16" t="s">
        <v>11</v>
      </c>
      <c r="JJ3" s="16" t="s">
        <v>4</v>
      </c>
      <c r="JK3" s="16" t="s">
        <v>22</v>
      </c>
      <c r="JL3" s="16" t="s">
        <v>23</v>
      </c>
      <c r="JM3" s="52" t="s">
        <v>11</v>
      </c>
      <c r="JN3" s="52" t="s">
        <v>4</v>
      </c>
      <c r="JO3" s="52" t="s">
        <v>22</v>
      </c>
      <c r="JP3" s="52" t="s">
        <v>23</v>
      </c>
      <c r="JQ3" s="16"/>
      <c r="JR3" s="16"/>
      <c r="JS3" s="16"/>
      <c r="JT3" s="16"/>
      <c r="JU3" s="16"/>
      <c r="JV3" s="16"/>
      <c r="JW3" s="17" t="s">
        <v>11</v>
      </c>
      <c r="JX3" s="17" t="s">
        <v>4</v>
      </c>
      <c r="JY3" s="17" t="s">
        <v>22</v>
      </c>
      <c r="JZ3" s="17" t="s">
        <v>23</v>
      </c>
      <c r="KA3" s="17" t="s">
        <v>11</v>
      </c>
      <c r="KB3" s="17" t="s">
        <v>4</v>
      </c>
      <c r="KC3" s="17" t="s">
        <v>22</v>
      </c>
      <c r="KD3" s="17" t="s">
        <v>23</v>
      </c>
      <c r="KE3" s="17" t="s">
        <v>11</v>
      </c>
      <c r="KF3" s="17" t="s">
        <v>4</v>
      </c>
      <c r="KG3" s="17" t="s">
        <v>22</v>
      </c>
      <c r="KH3" s="17" t="s">
        <v>23</v>
      </c>
      <c r="KI3" s="17" t="s">
        <v>11</v>
      </c>
      <c r="KJ3" s="17" t="s">
        <v>4</v>
      </c>
      <c r="KK3" s="17" t="s">
        <v>22</v>
      </c>
      <c r="KL3" s="17" t="s">
        <v>23</v>
      </c>
      <c r="KM3" s="53" t="s">
        <v>11</v>
      </c>
      <c r="KN3" s="53" t="s">
        <v>4</v>
      </c>
      <c r="KO3" s="53" t="s">
        <v>22</v>
      </c>
      <c r="KP3" s="53" t="s">
        <v>23</v>
      </c>
      <c r="KQ3" s="17"/>
      <c r="KR3" s="17"/>
      <c r="KS3" s="17"/>
      <c r="KT3" s="17"/>
      <c r="KU3" s="17"/>
      <c r="KV3" s="17"/>
      <c r="KW3" s="16" t="s">
        <v>11</v>
      </c>
      <c r="KX3" s="16" t="s">
        <v>4</v>
      </c>
      <c r="KY3" s="16" t="s">
        <v>22</v>
      </c>
      <c r="KZ3" s="16" t="s">
        <v>23</v>
      </c>
      <c r="LA3" s="16" t="s">
        <v>11</v>
      </c>
      <c r="LB3" s="16" t="s">
        <v>4</v>
      </c>
      <c r="LC3" s="16" t="s">
        <v>22</v>
      </c>
      <c r="LD3" s="16" t="s">
        <v>23</v>
      </c>
      <c r="LE3" s="16" t="s">
        <v>11</v>
      </c>
      <c r="LF3" s="16" t="s">
        <v>4</v>
      </c>
      <c r="LG3" s="16" t="s">
        <v>22</v>
      </c>
      <c r="LH3" s="16" t="s">
        <v>23</v>
      </c>
      <c r="LI3" s="16" t="s">
        <v>11</v>
      </c>
      <c r="LJ3" s="16" t="s">
        <v>4</v>
      </c>
      <c r="LK3" s="16" t="s">
        <v>22</v>
      </c>
      <c r="LL3" s="16" t="s">
        <v>23</v>
      </c>
      <c r="LM3" s="52" t="s">
        <v>11</v>
      </c>
      <c r="LN3" s="52" t="s">
        <v>4</v>
      </c>
      <c r="LO3" s="52" t="s">
        <v>22</v>
      </c>
      <c r="LP3" s="52" t="s">
        <v>23</v>
      </c>
      <c r="LQ3" s="16"/>
      <c r="LR3" s="16"/>
      <c r="LS3" s="16"/>
      <c r="LT3" s="16"/>
      <c r="LU3" s="16"/>
      <c r="LV3" s="16"/>
      <c r="LW3" s="17" t="s">
        <v>11</v>
      </c>
      <c r="LX3" s="17" t="s">
        <v>4</v>
      </c>
      <c r="LY3" s="17" t="s">
        <v>22</v>
      </c>
      <c r="LZ3" s="17" t="s">
        <v>23</v>
      </c>
      <c r="MA3" s="17" t="s">
        <v>11</v>
      </c>
      <c r="MB3" s="17" t="s">
        <v>4</v>
      </c>
      <c r="MC3" s="17" t="s">
        <v>22</v>
      </c>
      <c r="MD3" s="17" t="s">
        <v>23</v>
      </c>
      <c r="ME3" s="17" t="s">
        <v>11</v>
      </c>
      <c r="MF3" s="17" t="s">
        <v>4</v>
      </c>
      <c r="MG3" s="17" t="s">
        <v>22</v>
      </c>
      <c r="MH3" s="17" t="s">
        <v>23</v>
      </c>
      <c r="MI3" s="17" t="s">
        <v>11</v>
      </c>
      <c r="MJ3" s="17" t="s">
        <v>4</v>
      </c>
      <c r="MK3" s="17" t="s">
        <v>22</v>
      </c>
      <c r="ML3" s="17" t="s">
        <v>23</v>
      </c>
      <c r="MM3" s="53" t="s">
        <v>11</v>
      </c>
      <c r="MN3" s="53" t="s">
        <v>4</v>
      </c>
      <c r="MO3" s="53" t="s">
        <v>22</v>
      </c>
      <c r="MP3" s="53" t="s">
        <v>23</v>
      </c>
      <c r="MQ3" s="17"/>
      <c r="MR3" s="17"/>
      <c r="MS3" s="17"/>
      <c r="MT3" s="17"/>
      <c r="MU3" s="17"/>
      <c r="MV3" s="17"/>
      <c r="MW3" s="16" t="s">
        <v>11</v>
      </c>
      <c r="MX3" s="16" t="s">
        <v>4</v>
      </c>
      <c r="MY3" s="16" t="s">
        <v>22</v>
      </c>
      <c r="MZ3" s="16" t="s">
        <v>23</v>
      </c>
      <c r="NA3" s="16" t="s">
        <v>11</v>
      </c>
      <c r="NB3" s="16" t="s">
        <v>4</v>
      </c>
      <c r="NC3" s="16" t="s">
        <v>22</v>
      </c>
      <c r="ND3" s="16" t="s">
        <v>23</v>
      </c>
      <c r="NE3" s="16" t="s">
        <v>11</v>
      </c>
      <c r="NF3" s="16" t="s">
        <v>4</v>
      </c>
      <c r="NG3" s="16" t="s">
        <v>22</v>
      </c>
      <c r="NH3" s="16" t="s">
        <v>23</v>
      </c>
      <c r="NI3" s="16" t="s">
        <v>11</v>
      </c>
      <c r="NJ3" s="16" t="s">
        <v>4</v>
      </c>
      <c r="NK3" s="16" t="s">
        <v>22</v>
      </c>
      <c r="NL3" s="16" t="s">
        <v>23</v>
      </c>
      <c r="NM3" s="52" t="s">
        <v>11</v>
      </c>
      <c r="NN3" s="52" t="s">
        <v>4</v>
      </c>
      <c r="NO3" s="52" t="s">
        <v>22</v>
      </c>
      <c r="NP3" s="52" t="s">
        <v>23</v>
      </c>
      <c r="NQ3" s="16"/>
      <c r="NR3" s="16"/>
      <c r="NS3" s="16"/>
      <c r="NT3" s="16"/>
      <c r="NU3" s="16"/>
      <c r="NV3" s="16"/>
      <c r="NW3" s="17" t="s">
        <v>11</v>
      </c>
      <c r="NX3" s="17" t="s">
        <v>4</v>
      </c>
      <c r="NY3" s="17" t="s">
        <v>22</v>
      </c>
      <c r="NZ3" s="17" t="s">
        <v>23</v>
      </c>
      <c r="OA3" s="17" t="s">
        <v>11</v>
      </c>
      <c r="OB3" s="17" t="s">
        <v>4</v>
      </c>
      <c r="OC3" s="17" t="s">
        <v>22</v>
      </c>
      <c r="OD3" s="17" t="s">
        <v>23</v>
      </c>
      <c r="OE3" s="17" t="s">
        <v>11</v>
      </c>
      <c r="OF3" s="17" t="s">
        <v>4</v>
      </c>
      <c r="OG3" s="17" t="s">
        <v>22</v>
      </c>
      <c r="OH3" s="17" t="s">
        <v>23</v>
      </c>
      <c r="OI3" s="17" t="s">
        <v>11</v>
      </c>
      <c r="OJ3" s="17" t="s">
        <v>4</v>
      </c>
      <c r="OK3" s="17" t="s">
        <v>22</v>
      </c>
      <c r="OL3" s="17" t="s">
        <v>23</v>
      </c>
      <c r="OM3" s="53" t="s">
        <v>11</v>
      </c>
      <c r="ON3" s="53" t="s">
        <v>4</v>
      </c>
      <c r="OO3" s="53" t="s">
        <v>22</v>
      </c>
      <c r="OP3" s="53" t="s">
        <v>23</v>
      </c>
      <c r="OQ3" s="17"/>
      <c r="OR3" s="17"/>
      <c r="OS3" s="17"/>
      <c r="OT3" s="17"/>
      <c r="OU3" s="17"/>
      <c r="OV3" s="17"/>
      <c r="OW3" s="16" t="s">
        <v>11</v>
      </c>
      <c r="OX3" s="16" t="s">
        <v>4</v>
      </c>
      <c r="OY3" s="16" t="s">
        <v>22</v>
      </c>
      <c r="OZ3" s="16" t="s">
        <v>23</v>
      </c>
      <c r="PA3" s="16" t="s">
        <v>11</v>
      </c>
      <c r="PB3" s="16" t="s">
        <v>4</v>
      </c>
      <c r="PC3" s="16" t="s">
        <v>22</v>
      </c>
      <c r="PD3" s="16" t="s">
        <v>23</v>
      </c>
      <c r="PE3" s="16" t="s">
        <v>11</v>
      </c>
      <c r="PF3" s="16" t="s">
        <v>4</v>
      </c>
      <c r="PG3" s="16" t="s">
        <v>22</v>
      </c>
      <c r="PH3" s="16" t="s">
        <v>23</v>
      </c>
      <c r="PI3" s="16" t="s">
        <v>11</v>
      </c>
      <c r="PJ3" s="16" t="s">
        <v>4</v>
      </c>
      <c r="PK3" s="16" t="s">
        <v>22</v>
      </c>
      <c r="PL3" s="16" t="s">
        <v>23</v>
      </c>
      <c r="PM3" s="51" t="s">
        <v>11</v>
      </c>
      <c r="PN3" s="51" t="s">
        <v>4</v>
      </c>
      <c r="PO3" s="51" t="s">
        <v>22</v>
      </c>
      <c r="PP3" s="51" t="s">
        <v>23</v>
      </c>
      <c r="PQ3" s="16" t="s">
        <v>43</v>
      </c>
      <c r="PR3" s="16"/>
      <c r="PS3" s="16"/>
      <c r="PT3" s="16"/>
      <c r="PU3" s="16"/>
      <c r="PV3" s="16"/>
      <c r="PW3" s="16"/>
    </row>
    <row r="4" spans="1:439" x14ac:dyDescent="0.2">
      <c r="A4" s="4" cm="1">
        <f t="array" ref="A4">IF(AND(H4&lt;&gt;"",H4&lt;&gt;"No DD"),SUMPRODUCT((H$4:H$7&lt;&gt;"")*(H$4:H$7&lt;&gt;"No DD")*(E$4:E$7&gt;E4))+1,IF(H4="No DD",SUMPRODUCT((H$4:H$7="No DD")*(E$4:E$7&gt;E4))+1+SUMPRODUCT((H$4:H$7&lt;&gt;"")*(H$4:H$7&lt;&gt;"No DD")),""))</f>
        <v>1</v>
      </c>
      <c r="B4" s="5" t="s">
        <v>91</v>
      </c>
      <c r="C4" s="4" t="s">
        <v>66</v>
      </c>
      <c r="D4" s="4">
        <v>2008</v>
      </c>
      <c r="E4" s="10">
        <f>SUM(I4:O4)+SUM(I4:M4)*0.0000001+SUM(I4)*0.0000000000001</f>
        <v>134.60001308000466</v>
      </c>
      <c r="F4" s="3" t="str">
        <f>IF(OR(AND(AM4&gt;=AR$9,AN4&gt;=AR$13,AM4&lt;&gt;"",AL4=""),AND(AP4&gt;=AR$9,AQ4&gt;=AR$13,AP4&lt;&gt;"",AL4=""),AND(BN4&gt;=BS$9,BO4&gt;=BS$13,BN4&lt;&gt;"",BM4=""),AND(BQ4&gt;=BS$9,BR4&gt;=BS$13,BQ4&lt;&gt;"",BM4=""),AND(CO4&gt;=CT$9,CP4&gt;=CT$13,CO4&lt;&gt;"",CN4=""),AND(CR4&gt;=CT$9,CS4&gt;=CT$13,CR4&lt;&gt;""),AND(DQ4&gt;=DV$9,DR4&gt;=DV$13,DQ4&lt;&gt;""),AND(DT4&gt;=DV$9,DU4&gt;=DV$13,DT4&lt;&gt;""),AND(EQ4&gt;=EV$9,ER4&gt;=EV$13,EQ4&lt;&gt;""),AND(ET4&gt;=EV$9,EU4&gt;=EV$13,ET4&lt;&gt;""),AND(FQ4&gt;=FV$9,FR4&gt;=FV$13,FQ4&lt;&gt;""),AND(FT4&gt;=FV$9,FU4&gt;=FV$13,FT4&lt;&gt;""),AND(GQ4&gt;=GV$9,GR4&gt;=GV$13,GQ4&lt;&gt;""),AND(GT4&gt;=GV$9,GU4&gt;=GV$13,GT4&lt;&gt;""),AND(HQ4&gt;=HV$9,HR4&gt;=HV$13,HQ4&lt;&gt;""),AND(HT4&gt;=HV$9,HU4&gt;=HV$13,HT4&lt;&gt;""),AND(IQ4&gt;=IV$9,IR4&gt;=IV$13,IQ4&lt;&gt;""),AND(IT4&gt;=IV$9,IU4&gt;=IV$13,IT4&lt;&gt;""),AND(JQ4&gt;=JV$9,JR4&gt;=JV$13,JQ4&lt;&gt;""),AND(JT4&gt;=JV$9,JU4&gt;=JV$13,JT4&lt;&gt;""),AND(KQ4&gt;=KV$9,KR4&gt;=KV$13,KQ4&lt;&gt;""),AND(KT4&gt;=KV$9,KU4&gt;=KV$13,KT4&lt;&gt;""),AND(LQ4&gt;=LV$9,LR4&gt;=LV$13,LQ4&lt;&gt;""),AND(LT4&gt;=LV$9,LU4&gt;=LV$13,LT4&lt;&gt;""),AND(MQ4&gt;=MV$9,MR4&gt;=MV$13,MQ4&lt;&gt;""),AND(MT4&gt;=MV$9,MU4&gt;=MV$13,MT4&lt;&gt;""),AND(NQ4&gt;=NV$9,NR4&gt;=NV$13,NQ4&lt;&gt;""),AND(NT4&gt;=NV$9,NU4&gt;=NV$13,NT4&lt;&gt;""),AND(OQ4&gt;=OV$9,OR4&gt;=OV$13,OQ4&lt;&gt;""),AND(OT4&gt;=OV$9,OU4&gt;=OV$13,OT4&lt;&gt;"")),"P","")</f>
        <v>P</v>
      </c>
      <c r="G4" s="3" t="str">
        <f>IF(OR(AND(AN4&gt;=AR$13,AN4&lt;&gt;"",AL4=""),AND(AQ4&gt;=AR$13,AQ4&lt;&gt;"",AL4=""),AND(BO4&gt;=BS$13,BO4&lt;&gt;"",BM4=""),AND(BR4&gt;=BS$13,BR4&lt;&gt;"",BM4=""),AND(CP4&gt;=CT$13,CP4&lt;&gt;"",CN4=""),AND(CS4&gt;=CT$13,CS4&lt;&gt;"",CN4=""),AND(DR4&gt;=DV$13,DR4&lt;&gt;""),AND(DU4&gt;=DV$13,DU4&lt;&gt;""),AND(ER4&gt;=EV$13,ER4&lt;&gt;""),AND(EU4&gt;=EV$13,EU4&lt;&gt;""),AND(FR4&gt;=FV$13,FR4&lt;&gt;""),AND(FU4&gt;=FV$13,FU4&lt;&gt;""),AND(GR4&gt;=GV$13,GR4&lt;&gt;""),AND(GU4&gt;=GV$13,GU4&lt;&gt;""),AND(HR4&gt;=HV$13,HR4&lt;&gt;""),AND(HU4&gt;=HV$13,HU4&lt;&gt;""),AND(IR4&gt;=IV$13,IR4&lt;&gt;""),AND(IU4&gt;=IV$13,IU4&lt;&gt;""),AND(JR4&gt;=JV$13,JR4&lt;&gt;""),AND(JU4&gt;=JV$13,JU4&lt;&gt;""),AND(KR4&gt;=KV$13,KR4&lt;&gt;""),AND(KU4&gt;=KV$13,KU4&lt;&gt;""),AND(LR4&gt;=LV$13,LR4&lt;&gt;""),AND(LU4&gt;=LV$13,LU4&lt;&gt;""),AND(MR4&gt;=MV$13,MR4&lt;&gt;""),AND(MU4&gt;=MV$13,MU4&lt;&gt;""),AND(NR4&gt;=NV$13,NR4&lt;&gt;""),AND(NU4&gt;=NV$13,NU4&lt;&gt;""),AND(OR4&gt;=OV$13,OR4&lt;&gt;""),AND(OU4&gt;=OV$13,OU4&lt;&gt;"")),"P","")</f>
        <v>P</v>
      </c>
      <c r="H4" s="47" t="str">
        <f>IF(AND(G4="P",F4=""),"No DD",IF(OR(AND(AM4&gt;=AR$12,AN4&gt;=AR$16,AM4&lt;&gt;"",AL4=""),AND(AP4&gt;=AR$12,AQ4&gt;=AR$16,AP4&lt;&gt;"",AL4=""),AND(BN4&gt;=BS$12,BO4&gt;=BS$16,BN4&lt;&gt;"",BM4=""),AND(BQ4&gt;=BS$12,BR4&gt;=BS$16,BQ4&lt;&gt;"",BM4=""),AND(CO4&gt;=CT$12,CP4&gt;=CT$16,CO4&lt;&gt;"",CN4=""),AND(CR4&gt;=CT$12,CS4&gt;=CT$16,CR4&lt;&gt;""),AND(DQ4&gt;=DV$12,DR4&gt;=DV$16,DQ4&lt;&gt;""),AND(DT4&gt;=DV$12,DU4&gt;=DV$16,DT4&lt;&gt;""),AND(EQ4&gt;=EV$12,ER4&gt;=EV$16,EQ4&lt;&gt;""),AND(ET4&gt;=EV$12,EU4&gt;=EV$16,ET4&lt;&gt;""),AND(FQ4&gt;=FV$12,FR4&gt;=FV$16,FQ4&lt;&gt;""),AND(FT4&gt;=FV$12,FU4&gt;=FV$16,FT4&lt;&gt;""),AND(GQ4&gt;=GV$12,GR4&gt;=GV$16,GQ4&lt;&gt;""),AND(GT4&gt;=GV$12,GU4&gt;=GV$16,GT4&lt;&gt;""),AND(HQ4&gt;=HV$12,HR4&gt;=HV$16,HQ4&lt;&gt;""),AND(HT4&gt;=HV$12,HU4&gt;=HV$16,HT4&lt;&gt;""),AND(IQ4&gt;=IV$12,IR4&gt;=IV$16,IQ4&lt;&gt;""),AND(IT4&gt;=IV$12,IU4&gt;=IV$16,IT4&lt;&gt;""),AND(JQ4&gt;=JV$12,JR4&gt;=JV$16,JQ4&lt;&gt;""),AND(JT4&gt;=JV$12,JU4&gt;=JV$16,JT4&lt;&gt;""),AND(KQ4&gt;=KV$12,KR4&gt;=KV$16,KQ4&lt;&gt;""),AND(KT4&gt;=KV$12,KU4&gt;=KV$16,KT4&lt;&gt;""),AND(LQ4&gt;=LV$12,LR4&gt;=LV$16,LQ4&lt;&gt;""),AND(LT4&gt;=LV$12,LU4&gt;=LV$16,LT4&lt;&gt;""),AND(MQ4&gt;=MV$12,MR4&gt;=MV$16,MQ4&lt;&gt;""),AND(MT4&gt;=MV$12,MU4&gt;=MV$16,MT4&lt;&gt;""),AND(NQ4&gt;=NV$12,NR4&gt;=NV$16,NQ4&lt;&gt;""),AND(NT4&gt;=NV$12,NU4&gt;=NV$16,NT4&lt;&gt;""),AND(OQ4&gt;=OV$12,OR4&gt;=OV$16,OQ4&lt;&gt;""),AND(OT4&gt;=OV$12,OU4&gt;=OV$16,OT4&lt;&gt;"")),"Merit",IF(OR(AND(AM4&gt;=AR$11,AN4&gt;=AR$15,AM4&lt;&gt;"",AL4=""),AND(AP4&gt;=AR$11,AQ4&gt;=AR$15,AP4&lt;&gt;"",AL4=""),AND(BN4&gt;=BS$11,BO4&gt;=BS$15,BN4&lt;&gt;"",BM4=""),AND(BQ4&gt;=BS$11,BR4&gt;=BS$15,BQ4&lt;&gt;"",BM4=""),AND(CO4&gt;=CT$11,CP4&gt;=CT$15,CO4&lt;&gt;"",CN4=""),AND(CR4&gt;=CT$11,CS4&gt;=CT$15,CR4&lt;&gt;""),AND(DQ4&gt;=DV$11,DR4&gt;=DV$15,DQ4&lt;&gt;""),AND(DT4&gt;=DV$11,DU4&gt;=DV$15,DT4&lt;&gt;""),AND(EQ4&gt;=EV$11,ER4&gt;=EV$15,EQ4&lt;&gt;""),AND(ET4&gt;=EV$11,EU4&gt;=EV$15,ET4&lt;&gt;""),AND(FQ4&gt;=FV$11,FR4&gt;=FV$15,FQ4&lt;&gt;""),AND(FT4&gt;=FV$11,FU4&gt;=FV$15,FT4&lt;&gt;""),AND(GQ4&gt;=GV$11,GR4&gt;=GV$15,GQ4&lt;&gt;""),AND(GT4&gt;=GV$11,GU4&gt;=GV$15,GT4&lt;&gt;""),AND(HQ4&gt;=HV$11,HR4&gt;=HV$15,HQ4&lt;&gt;""),AND(HT4&gt;=HV$11,HU4&gt;=HV$15,HT4&lt;&gt;""),AND(IQ4&gt;=IV$11,IR4&gt;=IV$15,IQ4&lt;&gt;""),AND(IT4&gt;=IV$11,IU4&gt;=IV$15,IT4&lt;&gt;""),AND(JQ4&gt;=JV$11,JR4&gt;=JV$15,JQ4&lt;&gt;""),AND(JT4&gt;=JV$11,JU4&gt;=JV$15,JT4&lt;&gt;""),AND(KQ4&gt;=KV$11,KR4&gt;=KV$15,KQ4&lt;&gt;""),AND(KT4&gt;=KV$11,KU4&gt;=KV$15,KT4&lt;&gt;""),AND(LQ4&gt;=LV$11,LR4&gt;=LV$15,LQ4&lt;&gt;""),AND(LT4&gt;=LV$11,LU4&gt;=LV$15,LT4&lt;&gt;""),AND(MQ4&gt;=MV$11,MR4&gt;=MV$15,MQ4&lt;&gt;""),AND(MT4&gt;=MV$11,MU4&gt;=MV$15,MT4&lt;&gt;""),AND(NQ4&gt;=NV$11,NR4&gt;=NV$15,NQ4&lt;&gt;""),AND(NT4&gt;=NV$11,NU4&gt;=NV$15,NT4&lt;&gt;""),AND(OQ4&gt;=OV$11,OR4&gt;=OV$15,OQ4&lt;&gt;""),AND(OT4&gt;=OV$11,OU4&gt;=OV$15,OT4&lt;&gt;"")),"Excellence",IF(F4="P","National Team",""))))</f>
        <v>Excellence</v>
      </c>
      <c r="I4" s="9">
        <f>IF(COUNT(AN4,BO4,CP4)&gt;0,LARGE((AN4,BO4,CP4),1),0)</f>
        <v>46.7</v>
      </c>
      <c r="J4" s="9" t="str">
        <f>IF(I4=0,"",IF(I4=CP4,$BT$1,IF(I4=BO4,$AS$1,IF(I4=AN4,$R$1,""))))</f>
        <v>2023 3rd Domestic Trial</v>
      </c>
      <c r="K4" s="9">
        <f>IF(COUNT(AN4,BO4,CP4)&gt;1,LARGE((AN4,BO4,CP4),2),0)</f>
        <v>40.499999999999993</v>
      </c>
      <c r="L4" s="9" t="str">
        <f>IF(K4=0,"",IF(K4=CP4,$BT$1,IF(K4=BO4,$AS$1,IF(K4=AN4,$R$1,""))))</f>
        <v>2023 Nationals</v>
      </c>
      <c r="M4" s="9">
        <f>IF(MAX(AQ4,BR4,CS4)&gt;0,MAX(AQ4,BR4,CS4),0)</f>
        <v>43.6</v>
      </c>
      <c r="N4" s="9" t="str">
        <f>IF(M4=0,"",IF(M4=CS4,$BT$1,IF(M4=BR4,$AS$1,IF(M4=AQ4,$R$1,""))))</f>
        <v>2023 Nationals</v>
      </c>
      <c r="O4" s="9">
        <f>IF(MAX(CU4:CV4)&gt;0,MAX(CU4:CV4),"")</f>
        <v>3.8000000000000043</v>
      </c>
      <c r="P4" s="14" t="str">
        <f>IF(O4="","",IF(O4=CU4,"("&amp;CU$2&amp;")",IF(O4=CV4,"("&amp;CV$2&amp;")")))</f>
        <v>(Q1)</v>
      </c>
      <c r="Q4" s="9" t="str">
        <f>IF(O4="","",IF(O4=CU4,IF(O4+IF(K4="",0,K4)=OR4,$NW$1,IF(O4+IF(K4="",0,K4)=NR4,$MW$1,IF(O4+IF(K4="",0,K4)=MR4,$LW$1,IF(O4+IF(K4="",0,K4)=LR4,$KW$1,IF(O4+IF(K4="",0,K4)=KR4,$JW$1,IF(O4+IF(K4="",0,K4)=JR4,$IW$1,IF(O4+IF(K4="",0,K4)=IR4,$HW$1,IF(O4+IF(K4="",0,K4)=HR4,$GW$1,IF(O4+IF(K4="",0,K4)=GR4,$FW$1,IF(O4+IF(K4="",0,K4)=FR4,$EW$1,IF(O4+IF(K4="",0,K4)=ER4,$DW$1,IF(O4+IF(K4="",0,K4)=DR4,$CW$1)))))))))))),IF(O4=CV4,IF(O4+IF(M4="",0,M4)=OU4,$NW$1,IF(O4+IF(M4="",0,M4)=NU4,$MW$1,IF(O4+IF(M4="",0,M4)=MU4,$LW$1,IF(O4+IF(M4="",0,M4)=LU4,$KW$1,IF(O4+IF(M4="",0,M4)=KU4,$JW$1,IF(O4+IF(M4="",0,M4)=JU4,$IW$1,IF(O4+IF(M4="",0,M4)=IU4,$HW$1,IF(O4+IF(M4="",0,M4)=HU4,$GW$1,IF(O4+IF(M4="",0,M4)=GU4,$FW$1,IF(O4+IF(M4="",0,M4)=FU4,$EW$1,IF(O4+IF(M4="",0,M4)=EU4,$DW$1,IF(O4+IF(M4="",0,M4)=DU4,$CW$1)))))))))))))))</f>
        <v>2023 WAGC (Nov 18)</v>
      </c>
      <c r="R4" s="20">
        <v>15.9</v>
      </c>
      <c r="S4" s="20">
        <v>4.8</v>
      </c>
      <c r="T4" s="20">
        <v>0</v>
      </c>
      <c r="U4" s="20">
        <v>0.6</v>
      </c>
      <c r="V4" s="20">
        <v>13.4</v>
      </c>
      <c r="W4" s="20">
        <v>5.3</v>
      </c>
      <c r="X4" s="20">
        <v>0.2</v>
      </c>
      <c r="Y4" s="20">
        <v>0.6</v>
      </c>
      <c r="Z4" s="20">
        <v>15.6</v>
      </c>
      <c r="AA4" s="20">
        <v>4.5999999999999996</v>
      </c>
      <c r="AB4" s="20">
        <v>0</v>
      </c>
      <c r="AC4" s="20">
        <v>0.6</v>
      </c>
      <c r="AD4" s="20">
        <v>14.6</v>
      </c>
      <c r="AE4" s="20">
        <v>4.5999999999999996</v>
      </c>
      <c r="AF4" s="20">
        <v>0</v>
      </c>
      <c r="AG4" s="20">
        <v>0.6</v>
      </c>
      <c r="AH4" s="20">
        <v>16.600000000000001</v>
      </c>
      <c r="AI4" s="20">
        <v>4.5999999999999996</v>
      </c>
      <c r="AJ4" s="20">
        <v>0</v>
      </c>
      <c r="AK4" s="20">
        <v>0.6</v>
      </c>
      <c r="AL4" s="32"/>
      <c r="AM4" s="55">
        <f>IF(SUM(S4,W4)&gt;0,SUM(S4,W4),"")</f>
        <v>10.1</v>
      </c>
      <c r="AN4" s="55">
        <f>IF(SUM(R4:S4,U4:W4,Y4)-T4-X4&gt;0,SUM(R4:S4,U4:W4,Y4)-T4-X4,"")</f>
        <v>40.4</v>
      </c>
      <c r="AO4" s="55">
        <f>IF(SUM(Z4:AA4,AC4)-AB4&gt;0,SUM(Z4:AA4,AC4)-AB4,"")</f>
        <v>20.8</v>
      </c>
      <c r="AP4" s="55">
        <f>IF(SUM(AE4,AI4)&gt;0,SUM(AE4,AI4),"")</f>
        <v>9.1999999999999993</v>
      </c>
      <c r="AQ4" s="55">
        <f>IF(SUM(AD4:AE4,AG4:AI4,AK4)-SUM(AF4,AJ4)&gt;0,SUM(AD4:AE4,AG4:AI4,AK4)-SUM(AF4,AJ4),"")</f>
        <v>41.600000000000009</v>
      </c>
      <c r="AR4" s="55">
        <f>IF(SUM(AN4,AO4,AQ4)&gt;0,SUM(AN4,AO4,AQ4),"")</f>
        <v>102.80000000000001</v>
      </c>
      <c r="AS4" s="19">
        <v>14.8</v>
      </c>
      <c r="AT4" s="19">
        <v>4.8</v>
      </c>
      <c r="AU4" s="19">
        <v>0.2</v>
      </c>
      <c r="AV4" s="19">
        <v>0.6</v>
      </c>
      <c r="AW4" s="19">
        <v>15.9</v>
      </c>
      <c r="AX4" s="19">
        <v>4.3</v>
      </c>
      <c r="AY4" s="19">
        <v>0</v>
      </c>
      <c r="AZ4" s="19">
        <v>0.3</v>
      </c>
      <c r="BA4" s="19">
        <v>15.6</v>
      </c>
      <c r="BB4" s="19">
        <v>4.8</v>
      </c>
      <c r="BC4" s="19">
        <v>0</v>
      </c>
      <c r="BD4" s="19">
        <v>0.6</v>
      </c>
      <c r="BE4" s="19">
        <v>16.5</v>
      </c>
      <c r="BF4" s="19">
        <v>4.8</v>
      </c>
      <c r="BG4" s="19">
        <v>0.2</v>
      </c>
      <c r="BH4" s="19">
        <v>0.6</v>
      </c>
      <c r="BI4" s="19">
        <v>16</v>
      </c>
      <c r="BJ4" s="19">
        <v>5.3</v>
      </c>
      <c r="BK4" s="19">
        <v>0</v>
      </c>
      <c r="BL4" s="19">
        <v>0.6</v>
      </c>
      <c r="BM4" s="33"/>
      <c r="BN4" s="14">
        <f>IF(SUM(AT4,AX4)&gt;0,SUM(AT4,AX4),"")</f>
        <v>9.1</v>
      </c>
      <c r="BO4" s="14">
        <f>IF(SUM(AS4:AT4,AV4:AX4,AZ4)-AU4-AY4&gt;0,SUM(AS4:AT4,AV4:AX4,AZ4)-AU4-AY4,"")</f>
        <v>40.499999999999993</v>
      </c>
      <c r="BP4" s="14">
        <f>IF(SUM(BA4:BB4,BD4)-BC4&gt;0,SUM(BA4:BB4,BD4)-BC4,"")</f>
        <v>21</v>
      </c>
      <c r="BQ4" s="14">
        <f>IF(SUM(BF4,BJ4)&gt;0,SUM(BF4,BJ4),"")</f>
        <v>10.1</v>
      </c>
      <c r="BR4" s="14">
        <f>IF(SUM(BE4:BF4,BH4:BJ4,BL4)-SUM(BG4,BK4)&gt;0,SUM(BE4:BF4,BH4:BJ4,BL4)-SUM(BG4,BK4),"")</f>
        <v>43.6</v>
      </c>
      <c r="BS4" s="14">
        <f>IF(SUM(BO4,BP4,BR4)&gt;0,SUM(BO4,BP4,BR4),"")</f>
        <v>105.1</v>
      </c>
      <c r="BT4" s="20">
        <v>17.399999999999999</v>
      </c>
      <c r="BU4" s="20">
        <v>5.3</v>
      </c>
      <c r="BV4" s="20">
        <v>0</v>
      </c>
      <c r="BW4" s="20">
        <v>0.6</v>
      </c>
      <c r="BX4" s="20">
        <v>17.3</v>
      </c>
      <c r="BY4" s="20">
        <v>5.5</v>
      </c>
      <c r="BZ4" s="20">
        <v>0</v>
      </c>
      <c r="CA4" s="20">
        <v>0.6</v>
      </c>
      <c r="CB4" s="20">
        <v>17</v>
      </c>
      <c r="CC4" s="20">
        <v>5.5</v>
      </c>
      <c r="CD4" s="20">
        <v>0</v>
      </c>
      <c r="CE4" s="20">
        <v>0.6</v>
      </c>
      <c r="CF4" s="20">
        <v>17</v>
      </c>
      <c r="CG4" s="20">
        <v>5.3</v>
      </c>
      <c r="CH4" s="20">
        <v>0</v>
      </c>
      <c r="CI4" s="20">
        <v>0.6</v>
      </c>
      <c r="CJ4" s="20">
        <v>15.8</v>
      </c>
      <c r="CK4" s="20">
        <v>3.3</v>
      </c>
      <c r="CL4" s="20">
        <v>0</v>
      </c>
      <c r="CM4" s="20">
        <v>0.6</v>
      </c>
      <c r="CN4" s="32"/>
      <c r="CO4" s="55">
        <f>IF(SUM(BU4,BY4)&gt;0,SUM(BU4,BY4),"")</f>
        <v>10.8</v>
      </c>
      <c r="CP4" s="55">
        <f>IF(SUM(BT4:BU4,BW4:BY4,CA4)-BV4-BZ4&gt;0,SUM(BT4:BU4,BW4:BY4,CA4)-BV4-BZ4,"")</f>
        <v>46.7</v>
      </c>
      <c r="CQ4" s="55">
        <f>IF(SUM(CB4:CC4,CE4)-CD4&gt;0,SUM(CB4:CC4,CE4)-CD4,"")</f>
        <v>23.1</v>
      </c>
      <c r="CR4" s="55">
        <f>IF(SUM(CG4,CK4)&gt;0,SUM(CG4,CK4),"")</f>
        <v>8.6</v>
      </c>
      <c r="CS4" s="55">
        <f>IF(SUM(CF4:CG4,CI4:CK4,CM4)-SUM(CH4,CL4)&gt;0,SUM(CF4:CG4,CI4:CK4,CM4)-SUM(CH4,CL4),"")</f>
        <v>42.6</v>
      </c>
      <c r="CT4" s="55">
        <f>IF(SUM(CP4,CQ4,CS4)&gt;0,SUM(CP4,CQ4,CS4),"")</f>
        <v>112.4</v>
      </c>
      <c r="CU4" s="56">
        <f>IF(MAX(DR4,ER4,FR4,GR4,HR4,IR4,JR4,KR4,LR4,MR4,NR4,OR4)-IF(K4="",0,K4)&gt;0.001,MAX(DR4,ER4,FR4,GR4,HR4,IR4,JR4,KR4,LR4,MR4,NR4,OR4)-IF(K4="",0,K4),"")</f>
        <v>3.8000000000000043</v>
      </c>
      <c r="CV4" s="56" t="str">
        <f>IF(MAX(DU4,EU4,FU4,GU4,HU4,IU4,JU4,KU4,LU4,MU4,NU4,OU4)-IF(M4="",0,M4)&gt;0.001,MAX(DU4,EU4,FU4,GU4,HU4,IU4,JU4,KU4,LU4,MU4,NU4,OU4)-IF(M4="",0,M4),"")</f>
        <v/>
      </c>
      <c r="CW4" s="18">
        <v>16.8</v>
      </c>
      <c r="CX4" s="18">
        <v>6.2</v>
      </c>
      <c r="CY4" s="18">
        <v>0</v>
      </c>
      <c r="CZ4" s="18">
        <v>0</v>
      </c>
      <c r="DA4" s="18">
        <v>15.4</v>
      </c>
      <c r="DB4" s="18">
        <v>6.1</v>
      </c>
      <c r="DC4" s="18">
        <v>0.2</v>
      </c>
      <c r="DD4" s="18">
        <v>0</v>
      </c>
      <c r="DE4" s="18"/>
      <c r="DF4" s="18"/>
      <c r="DG4" s="18"/>
      <c r="DH4" s="18"/>
      <c r="DI4" s="18"/>
      <c r="DJ4" s="18"/>
      <c r="DK4" s="18"/>
      <c r="DL4" s="18"/>
      <c r="DM4" s="18"/>
      <c r="DN4" s="18"/>
      <c r="DO4" s="18"/>
      <c r="DP4" s="18"/>
      <c r="DQ4" s="55">
        <f>IF(SUM(CX4,DB4)&gt;0,SUM(CX4,DB4),"")</f>
        <v>12.3</v>
      </c>
      <c r="DR4" s="55">
        <f>IF(SUM(CW4:CX4,CZ4:DB4,DD4)-CY4-DC4&gt;0,SUM(CW4:CX4,CZ4:DB4,DD4)-CY4-DC4,"")</f>
        <v>44.3</v>
      </c>
      <c r="DS4" s="55" t="str">
        <f>IF(SUM(DE4:DF4,DH4)-DG4&gt;0,SUM(DE4:DF4,DH4)-DG4,"")</f>
        <v/>
      </c>
      <c r="DT4" s="55" t="str">
        <f>IF(SUM(DJ4,DN4)&gt;0,SUM(DJ4,DN4),"")</f>
        <v/>
      </c>
      <c r="DU4" s="55" t="str">
        <f>IF(SUM(DI4:DJ4,DL4:DN4,DP4)-SUM(DK4,DO4)&gt;0,SUM(DI4:DJ4,DL4:DN4,DP4)-SUM(DK4,DO4),"")</f>
        <v/>
      </c>
      <c r="DV4" s="55">
        <f>IF(SUM(DR4,DS4,DU4)&gt;0,SUM(DR4,DS4,DU4),"")</f>
        <v>44.3</v>
      </c>
      <c r="DW4" s="19"/>
      <c r="DX4" s="19"/>
      <c r="DY4" s="19"/>
      <c r="DZ4" s="19"/>
      <c r="EA4" s="19"/>
      <c r="EB4" s="19"/>
      <c r="EC4" s="19"/>
      <c r="ED4" s="19"/>
      <c r="EE4" s="19"/>
      <c r="EF4" s="19"/>
      <c r="EG4" s="19"/>
      <c r="EH4" s="19"/>
      <c r="EI4" s="19"/>
      <c r="EJ4" s="19"/>
      <c r="EK4" s="19"/>
      <c r="EL4" s="19"/>
      <c r="EM4" s="19"/>
      <c r="EN4" s="19"/>
      <c r="EO4" s="19"/>
      <c r="EP4" s="19"/>
      <c r="EQ4" s="14" t="str">
        <f>IF(SUM(DX4,EB4)&gt;0,SUM(DX4,EB4),"")</f>
        <v/>
      </c>
      <c r="ER4" s="14" t="str">
        <f>IF(SUM(DW4:DX4,DZ4:EB4,ED4)-DY4-EC4&gt;0,SUM(DW4:DX4,DZ4:EB4,ED4)-DY4-EC4,"")</f>
        <v/>
      </c>
      <c r="ES4" s="14" t="str">
        <f>IF(SUM(EE4:EF4,EH4)-EG4&gt;0,SUM(EE4:EF4,EH4)-EG4,"")</f>
        <v/>
      </c>
      <c r="ET4" s="14" t="str">
        <f>IF(SUM(EJ4,EN4)&gt;0,SUM(EJ4,EN4),"")</f>
        <v/>
      </c>
      <c r="EU4" s="14" t="str">
        <f>IF(SUM(EI4:EJ4,EL4:EN4,EP4)-SUM(EK4,EO4)&gt;0,SUM(EI4:EJ4,EL4:EN4,EP4)-SUM(EK4,EO4),"")</f>
        <v/>
      </c>
      <c r="EV4" s="14" t="str">
        <f>IF(SUM(ER4,ES4,EU4)&gt;0,SUM(ER4,ES4,EU4),"")</f>
        <v/>
      </c>
      <c r="EW4" s="18"/>
      <c r="EX4" s="18"/>
      <c r="EY4" s="18"/>
      <c r="EZ4" s="18"/>
      <c r="FA4" s="18"/>
      <c r="FB4" s="18"/>
      <c r="FC4" s="18"/>
      <c r="FD4" s="18"/>
      <c r="FE4" s="18"/>
      <c r="FF4" s="18"/>
      <c r="FG4" s="18"/>
      <c r="FH4" s="18"/>
      <c r="FI4" s="18"/>
      <c r="FJ4" s="18"/>
      <c r="FK4" s="18"/>
      <c r="FL4" s="18"/>
      <c r="FM4" s="18"/>
      <c r="FN4" s="18"/>
      <c r="FO4" s="18"/>
      <c r="FP4" s="18"/>
      <c r="FQ4" s="55" t="str">
        <f>IF(SUM(EX4,FB4)&gt;0,SUM(EX4,FB4),"")</f>
        <v/>
      </c>
      <c r="FR4" s="55" t="str">
        <f>IF(SUM(EW4:EX4,EZ4:FB4,FD4)-EY4-FC4&gt;0,SUM(EW4:EX4,EZ4:FB4,FD4)-EY4-FC4,"")</f>
        <v/>
      </c>
      <c r="FS4" s="55" t="str">
        <f>IF(SUM(FE4:FF4,FH4)-FG4&gt;0,SUM(FE4:FF4,FH4)-FG4,"")</f>
        <v/>
      </c>
      <c r="FT4" s="55" t="str">
        <f>IF(SUM(FJ4,FN4)&gt;0,SUM(FJ4,FN4),"")</f>
        <v/>
      </c>
      <c r="FU4" s="55" t="str">
        <f>IF(SUM(FI4:FJ4,FL4:FN4,FP4)-SUM(FK4,FO4)&gt;0,SUM(FI4:FJ4,FL4:FN4,FP4)-SUM(FK4,FO4),"")</f>
        <v/>
      </c>
      <c r="FV4" s="55" t="str">
        <f>IF(SUM(FR4,FS4,FU4)&gt;0,SUM(FR4,FS4,FU4),"")</f>
        <v/>
      </c>
      <c r="FW4" s="19"/>
      <c r="FX4" s="19"/>
      <c r="FY4" s="19"/>
      <c r="FZ4" s="19"/>
      <c r="GA4" s="19"/>
      <c r="GB4" s="19"/>
      <c r="GC4" s="19"/>
      <c r="GD4" s="19"/>
      <c r="GE4" s="19"/>
      <c r="GF4" s="19"/>
      <c r="GG4" s="19"/>
      <c r="GH4" s="19"/>
      <c r="GI4" s="19"/>
      <c r="GJ4" s="19"/>
      <c r="GK4" s="19"/>
      <c r="GL4" s="19"/>
      <c r="GM4" s="19"/>
      <c r="GN4" s="19"/>
      <c r="GO4" s="19"/>
      <c r="GP4" s="19"/>
      <c r="GQ4" s="14" t="str">
        <f>IF(SUM(FX4,GB4)&gt;0,SUM(FX4,GB4),"")</f>
        <v/>
      </c>
      <c r="GR4" s="14" t="str">
        <f>IF(SUM(FW4:FX4,FZ4:GB4,GD4)-FY4-GC4&gt;0,SUM(FW4:FX4,FZ4:GB4,GD4)-FY4-GC4,"")</f>
        <v/>
      </c>
      <c r="GS4" s="14" t="str">
        <f>IF(SUM(GE4:GF4,GH4)-GG4&gt;0,SUM(GE4:GF4,GH4)-GG4,"")</f>
        <v/>
      </c>
      <c r="GT4" s="14" t="str">
        <f>IF(SUM(GJ4,GN4)&gt;0,SUM(GJ4,GN4),"")</f>
        <v/>
      </c>
      <c r="GU4" s="14" t="str">
        <f>IF(SUM(GI4:GJ4,GL4:GN4,GP4)-SUM(GK4,GO4)&gt;0,SUM(GI4:GJ4,GL4:GN4,GP4)-SUM(GK4,GO4),"")</f>
        <v/>
      </c>
      <c r="GV4" s="14" t="str">
        <f>IF(SUM(GR4,GS4,GU4)&gt;0,SUM(GR4,GS4,GU4),"")</f>
        <v/>
      </c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55" t="str">
        <f>IF(SUM(GX4,HB4)&gt;0,SUM(GX4,HB4),"")</f>
        <v/>
      </c>
      <c r="HR4" s="55" t="str">
        <f>IF(SUM(GW4:GX4,GZ4:HB4,HD4)-GY4-HC4&gt;0,SUM(GW4:GX4,GZ4:HB4,HD4)-GY4-HC4,"")</f>
        <v/>
      </c>
      <c r="HS4" s="55" t="str">
        <f>IF(SUM(HE4:HF4,HH4)-HG4&gt;0,SUM(HE4:HF4,HH4)-HG4,"")</f>
        <v/>
      </c>
      <c r="HT4" s="55" t="str">
        <f>IF(SUM(HJ4,HN4)&gt;0,SUM(HJ4,HN4),"")</f>
        <v/>
      </c>
      <c r="HU4" s="55" t="str">
        <f>IF(SUM(HI4:HJ4,HL4:HN4,HP4)-SUM(HK4,HO4)&gt;0,SUM(HI4:HJ4,HL4:HN4,HP4)-SUM(HK4,HO4),"")</f>
        <v/>
      </c>
      <c r="HV4" s="55" t="str">
        <f>IF(SUM(HR4,HS4,HU4)&gt;0,SUM(HR4,HS4,HU4),"")</f>
        <v/>
      </c>
      <c r="HW4" s="19"/>
      <c r="HX4" s="19"/>
      <c r="HY4" s="19"/>
      <c r="HZ4" s="19"/>
      <c r="IA4" s="19"/>
      <c r="IB4" s="19"/>
      <c r="IC4" s="19"/>
      <c r="ID4" s="19"/>
      <c r="IE4" s="19"/>
      <c r="IF4" s="19"/>
      <c r="IG4" s="19"/>
      <c r="IH4" s="19"/>
      <c r="II4" s="19"/>
      <c r="IJ4" s="19"/>
      <c r="IK4" s="19"/>
      <c r="IL4" s="19"/>
      <c r="IM4" s="19"/>
      <c r="IN4" s="19"/>
      <c r="IO4" s="19"/>
      <c r="IP4" s="19"/>
      <c r="IQ4" s="14" t="str">
        <f>IF(SUM(HX4,IB4)&gt;0,SUM(HX4,IB4),"")</f>
        <v/>
      </c>
      <c r="IR4" s="14" t="str">
        <f>IF(SUM(HW4:HX4,HZ4:IB4,ID4)-HY4-IC4&gt;0,SUM(HW4:HX4,HZ4:IB4,ID4)-HY4-IC4,"")</f>
        <v/>
      </c>
      <c r="IS4" s="14" t="str">
        <f>IF(SUM(IE4:IF4,IH4)-IG4&gt;0,SUM(IE4:IF4,IH4)-IG4,"")</f>
        <v/>
      </c>
      <c r="IT4" s="14" t="str">
        <f>IF(SUM(IJ4,IN4)&gt;0,SUM(IJ4,IN4),"")</f>
        <v/>
      </c>
      <c r="IU4" s="14" t="str">
        <f>IF(SUM(II4:IJ4,IL4:IN4,IP4)-SUM(IK4,IO4)&gt;0,SUM(II4:IJ4,IL4:IN4,IP4)-SUM(IK4,IO4),"")</f>
        <v/>
      </c>
      <c r="IV4" s="14" t="str">
        <f>IF(SUM(IR4,IS4,IU4)&gt;0,SUM(IR4,IS4,IU4),"")</f>
        <v/>
      </c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8"/>
      <c r="JL4" s="18"/>
      <c r="JM4" s="18"/>
      <c r="JN4" s="18"/>
      <c r="JO4" s="18"/>
      <c r="JP4" s="18"/>
      <c r="JQ4" s="55" t="str">
        <f>IF(SUM(IX4,JB4)&gt;0,SUM(IX4,JB4),"")</f>
        <v/>
      </c>
      <c r="JR4" s="55" t="str">
        <f>IF(SUM(IW4:IX4,IZ4:JB4,JD4)-IY4-JC4&gt;0,SUM(IW4:IX4,IZ4:JB4,JD4)-IY4-JC4,"")</f>
        <v/>
      </c>
      <c r="JS4" s="55" t="str">
        <f>IF(SUM(JE4:JF4,JH4)-JG4&gt;0,SUM(JE4:JF4,JH4)-JG4,"")</f>
        <v/>
      </c>
      <c r="JT4" s="55" t="str">
        <f>IF(SUM(JJ4,JN4)&gt;0,SUM(JJ4,JN4),"")</f>
        <v/>
      </c>
      <c r="JU4" s="55" t="str">
        <f>IF(SUM(JI4:JJ4,JL4:JN4,JP4)-SUM(JK4,JO4)&gt;0,SUM(JI4:JJ4,JL4:JN4,JP4)-SUM(JK4,JO4),"")</f>
        <v/>
      </c>
      <c r="JV4" s="55" t="str">
        <f>IF(SUM(JR4,JS4,JU4)&gt;0,SUM(JR4,JS4,JU4),"")</f>
        <v/>
      </c>
      <c r="JW4" s="19"/>
      <c r="JX4" s="19"/>
      <c r="JY4" s="19"/>
      <c r="JZ4" s="19"/>
      <c r="KA4" s="19"/>
      <c r="KB4" s="19"/>
      <c r="KC4" s="19"/>
      <c r="KD4" s="19"/>
      <c r="KE4" s="19"/>
      <c r="KF4" s="19"/>
      <c r="KG4" s="19"/>
      <c r="KH4" s="19"/>
      <c r="KI4" s="19"/>
      <c r="KJ4" s="19"/>
      <c r="KK4" s="19"/>
      <c r="KL4" s="19"/>
      <c r="KM4" s="19"/>
      <c r="KN4" s="19"/>
      <c r="KO4" s="19"/>
      <c r="KP4" s="19"/>
      <c r="KQ4" s="14" t="str">
        <f>IF(SUM(JX4,KB4)&gt;0,SUM(JX4,KB4),"")</f>
        <v/>
      </c>
      <c r="KR4" s="14" t="str">
        <f>IF(SUM(JW4:JX4,JZ4:KB4,KD4)-JY4-KC4&gt;0,SUM(JW4:JX4,JZ4:KB4,KD4)-JY4-KC4,"")</f>
        <v/>
      </c>
      <c r="KS4" s="14" t="str">
        <f>IF(SUM(KE4:KF4,KH4)-KG4&gt;0,SUM(KE4:KF4,KH4)-KG4,"")</f>
        <v/>
      </c>
      <c r="KT4" s="14" t="str">
        <f>IF(SUM(KJ4,KN4)&gt;0,SUM(KJ4,KN4),"")</f>
        <v/>
      </c>
      <c r="KU4" s="14" t="str">
        <f>IF(SUM(KI4:KJ4,KL4:KN4,KP4)-SUM(KK4,KO4)&gt;0,SUM(KI4:KJ4,KL4:KN4,KP4)-SUM(KK4,KO4),"")</f>
        <v/>
      </c>
      <c r="KV4" s="14" t="str">
        <f>IF(SUM(KR4,KS4,KU4)&gt;0,SUM(KR4,KS4,KU4),"")</f>
        <v/>
      </c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55" t="str">
        <f>IF(SUM(KX4,LB4)&gt;0,SUM(KX4,LB4),"")</f>
        <v/>
      </c>
      <c r="LR4" s="55" t="str">
        <f>IF(SUM(KW4:KX4,KZ4:LB4,LD4)-KY4-LC4&gt;0,SUM(KW4:KX4,KZ4:LB4,LD4)-KY4-LC4,"")</f>
        <v/>
      </c>
      <c r="LS4" s="55" t="str">
        <f>IF(SUM(LE4:LF4,LH4)-LG4&gt;0,SUM(LE4:LF4,LH4)-LG4,"")</f>
        <v/>
      </c>
      <c r="LT4" s="55" t="str">
        <f>IF(SUM(LJ4,LN4)&gt;0,SUM(LJ4,LN4),"")</f>
        <v/>
      </c>
      <c r="LU4" s="55" t="str">
        <f>IF(SUM(LI4:LJ4,LL4:LN4,LP4)-SUM(LK4,LO4)&gt;0,SUM(LI4:LJ4,LL4:LN4,LP4)-SUM(LK4,LO4),"")</f>
        <v/>
      </c>
      <c r="LV4" s="55" t="str">
        <f>IF(SUM(LR4,LS4,LU4)&gt;0,SUM(LR4,LS4,LU4),"")</f>
        <v/>
      </c>
      <c r="LW4" s="19"/>
      <c r="LX4" s="19"/>
      <c r="LY4" s="19"/>
      <c r="LZ4" s="19"/>
      <c r="MA4" s="19"/>
      <c r="MB4" s="19"/>
      <c r="MC4" s="19"/>
      <c r="MD4" s="19"/>
      <c r="ME4" s="19"/>
      <c r="MF4" s="19"/>
      <c r="MG4" s="19"/>
      <c r="MH4" s="19"/>
      <c r="MI4" s="19"/>
      <c r="MJ4" s="19"/>
      <c r="MK4" s="19"/>
      <c r="ML4" s="19"/>
      <c r="MM4" s="19"/>
      <c r="MN4" s="19"/>
      <c r="MO4" s="19"/>
      <c r="MP4" s="19"/>
      <c r="MQ4" s="14" t="str">
        <f>IF(SUM(LX4,MB4)&gt;0,SUM(LX4,MB4),"")</f>
        <v/>
      </c>
      <c r="MR4" s="14" t="str">
        <f>IF(SUM(LW4:LX4,LZ4:MB4,MD4)-LY4-MC4&gt;0,SUM(LW4:LX4,LZ4:MB4,MD4)-LY4-MC4,"")</f>
        <v/>
      </c>
      <c r="MS4" s="14" t="str">
        <f>IF(SUM(ME4:MF4,MH4)-MG4&gt;0,SUM(ME4:MF4,MH4)-MG4,"")</f>
        <v/>
      </c>
      <c r="MT4" s="14" t="str">
        <f>IF(SUM(MJ4,MN4)&gt;0,SUM(MJ4,MN4),"")</f>
        <v/>
      </c>
      <c r="MU4" s="14" t="str">
        <f>IF(SUM(MI4:MJ4,ML4:MN4,MP4)-SUM(MK4,MO4)&gt;0,SUM(MI4:MJ4,ML4:MN4,MP4)-SUM(MK4,MO4),"")</f>
        <v/>
      </c>
      <c r="MV4" s="14" t="str">
        <f>IF(SUM(MR4,MS4,MU4)&gt;0,SUM(MR4,MS4,MU4),"")</f>
        <v/>
      </c>
      <c r="MW4" s="18"/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55" t="str">
        <f>IF(SUM(MX4,NB4)&gt;0,SUM(MX4,NB4),"")</f>
        <v/>
      </c>
      <c r="NR4" s="55" t="str">
        <f>IF(SUM(MW4:MX4,MZ4:NB4,ND4)-MY4-NC4&gt;0,SUM(MW4:MX4,MZ4:NB4,ND4)-MY4-NC4,"")</f>
        <v/>
      </c>
      <c r="NS4" s="55" t="str">
        <f>IF(SUM(NE4:NF4,NH4)-NG4&gt;0,SUM(NE4:NF4,NH4)-NG4,"")</f>
        <v/>
      </c>
      <c r="NT4" s="55" t="str">
        <f>IF(SUM(NJ4,NN4)&gt;0,SUM(NJ4,NN4),"")</f>
        <v/>
      </c>
      <c r="NU4" s="55" t="str">
        <f>IF(SUM(NI4:NJ4,NL4:NN4,NP4)-SUM(NK4,NO4)&gt;0,SUM(NI4:NJ4,NL4:NN4,NP4)-SUM(NK4,NO4),"")</f>
        <v/>
      </c>
      <c r="NV4" s="55" t="str">
        <f>IF(SUM(NR4,NS4,NU4)&gt;0,SUM(NR4,NS4,NU4),"")</f>
        <v/>
      </c>
      <c r="NW4" s="19"/>
      <c r="NX4" s="19"/>
      <c r="NY4" s="19"/>
      <c r="NZ4" s="19"/>
      <c r="OA4" s="19"/>
      <c r="OB4" s="19"/>
      <c r="OC4" s="19"/>
      <c r="OD4" s="19"/>
      <c r="OE4" s="19"/>
      <c r="OF4" s="19"/>
      <c r="OG4" s="19"/>
      <c r="OH4" s="19"/>
      <c r="OI4" s="19"/>
      <c r="OJ4" s="19"/>
      <c r="OK4" s="19"/>
      <c r="OL4" s="19"/>
      <c r="OM4" s="19"/>
      <c r="ON4" s="19"/>
      <c r="OO4" s="19"/>
      <c r="OP4" s="19"/>
      <c r="OQ4" s="14" t="str">
        <f>IF(SUM(NX4,OB4)&gt;0,SUM(NX4,OB4),"")</f>
        <v/>
      </c>
      <c r="OR4" s="14" t="str">
        <f>IF(SUM(NW4:NX4,NZ4:OB4,OD4)-NY4-OC4&gt;0,SUM(NW4:NX4,NZ4:OB4,OD4)-NY4-OC4,"")</f>
        <v/>
      </c>
      <c r="OS4" s="14" t="str">
        <f>IF(SUM(OE4:OF4,OH4)-OG4&gt;0,SUM(OE4:OF4,OH4)-OG4,"")</f>
        <v/>
      </c>
      <c r="OT4" s="14" t="str">
        <f>IF(SUM(OJ4,ON4)&gt;0,SUM(OJ4,ON4),"")</f>
        <v/>
      </c>
      <c r="OU4" s="14" t="str">
        <f>IF(SUM(OI4:OJ4,OL4:ON4,OP4)-SUM(OK4,OO4)&gt;0,SUM(OI4:OJ4,OL4:ON4,OP4)-SUM(OK4,OO4),"")</f>
        <v/>
      </c>
      <c r="OV4" s="14" t="str">
        <f>IF(SUM(OR4,OS4,OU4)&gt;0,SUM(OR4,OS4,OU4),"")</f>
        <v/>
      </c>
      <c r="OW4" s="27">
        <f>IF($CN4="P",BT4,(BT4+AS4)/2)</f>
        <v>16.100000000000001</v>
      </c>
      <c r="OX4" s="27">
        <f>IF($CN4="P",BU4,(BU4+AT4)/2)</f>
        <v>5.05</v>
      </c>
      <c r="OY4" s="27">
        <f>IF($CN4="P",BV4,(BV4+AU4)/2)</f>
        <v>0.1</v>
      </c>
      <c r="OZ4" s="27">
        <f>IF($CN4="P",BW4,(BW4+AV4)/2)</f>
        <v>0.6</v>
      </c>
      <c r="PA4" s="27">
        <f>IF($CN4="P",BX4,(BX4+AW4)/2)</f>
        <v>16.600000000000001</v>
      </c>
      <c r="PB4" s="27">
        <f>IF($CN4="P",BY4,(BY4+AX4)/2)</f>
        <v>4.9000000000000004</v>
      </c>
      <c r="PC4" s="27">
        <f>IF($CN4="P",BZ4,(BZ4+AY4)/2)</f>
        <v>0</v>
      </c>
      <c r="PD4" s="27">
        <f>IF($CN4="P",CA4,(CA4+AZ4)/2)</f>
        <v>0.44999999999999996</v>
      </c>
      <c r="PE4" s="27">
        <f>IF($CN4="P",CB4,(CB4+BA4)/2)</f>
        <v>16.3</v>
      </c>
      <c r="PF4" s="27">
        <f>IF($CN4="P",CC4,(CC4+BB4)/2)</f>
        <v>5.15</v>
      </c>
      <c r="PG4" s="27">
        <f>IF($CN4="P",CD4,(CD4+BC4)/2)</f>
        <v>0</v>
      </c>
      <c r="PH4" s="27">
        <f>IF($CN4="P",CE4,(CE4+BD4)/2)</f>
        <v>0.6</v>
      </c>
      <c r="PI4" s="27">
        <f>IF($CN4="P",CF4,(CF4+BE4)/2)</f>
        <v>16.75</v>
      </c>
      <c r="PJ4" s="27">
        <f>IF($CN4="P",CG4,(CG4+BF4)/2)</f>
        <v>5.05</v>
      </c>
      <c r="PK4" s="27">
        <f>IF($CN4="P",CH4,(CH4+BG4)/2)</f>
        <v>0.1</v>
      </c>
      <c r="PL4" s="27">
        <f>IF($CN4="P",CI4,(CI4+BH4)/2)</f>
        <v>0.6</v>
      </c>
      <c r="PM4" s="27">
        <f>IF($CN4="P",CJ4,(CJ4+BI4)/2)</f>
        <v>15.9</v>
      </c>
      <c r="PN4" s="27">
        <f>IF($CN4="P",CK4,(CK4+BJ4)/2)</f>
        <v>4.3</v>
      </c>
      <c r="PO4" s="27">
        <f>IF($CN4="P",CL4,(CL4+BK4)/2)</f>
        <v>0</v>
      </c>
      <c r="PP4" s="27">
        <f>IF($CN4="P",CM4,(CM4+BL4)/2)</f>
        <v>0.6</v>
      </c>
      <c r="PQ4" s="32" t="s">
        <v>44</v>
      </c>
      <c r="PR4" s="55">
        <f>IF(SUM(OX4,PB4)&gt;0,SUM(OX4,PB4),"")</f>
        <v>9.9499999999999993</v>
      </c>
      <c r="PS4" s="55">
        <f>IF(SUM(OW4:OX4,OZ4:PB4,PD4)-OY4-PC4&gt;0,SUM(OW4:OX4,OZ4:PB4,PD4)-OY4-PC4,"")</f>
        <v>43.600000000000009</v>
      </c>
      <c r="PT4" s="55">
        <f>IF(SUM(PE4:PF4,PH4)-PG4&gt;0,SUM(PE4:PF4,PH4)-PG4,"")</f>
        <v>22.050000000000004</v>
      </c>
      <c r="PU4" s="55">
        <f>IF(SUM(PJ4,PN4)&gt;0,SUM(PJ4,PN4),"")</f>
        <v>9.35</v>
      </c>
      <c r="PV4" s="55">
        <f>IF(SUM(PI4:PJ4,PL4:PN4,PP4)-SUM(PK4,PO4)&gt;0,SUM(PI4:PJ4,PL4:PN4,PP4)-SUM(PK4,PO4),"")</f>
        <v>43.1</v>
      </c>
      <c r="PW4" s="55">
        <f>IF(SUM(PS4,PT4,PV4)&gt;0,SUM(PS4,PT4,PV4),"")</f>
        <v>108.75</v>
      </c>
    </row>
    <row r="5" spans="1:439" x14ac:dyDescent="0.2">
      <c r="A5" s="4" cm="1">
        <f t="array" ref="A5">IF(AND(H5&lt;&gt;"",H5&lt;&gt;"No DD"),SUMPRODUCT((H$4:H$7&lt;&gt;"")*(H$4:H$7&lt;&gt;"No DD")*(E$4:E$7&gt;E5))+1,IF(H5="No DD",SUMPRODUCT((H$4:H$7="No DD")*(E$4:E$7&gt;E5))+1+SUMPRODUCT((H$4:H$7&lt;&gt;"")*(H$4:H$7&lt;&gt;"No DD")),""))</f>
        <v>2</v>
      </c>
      <c r="B5" s="5" t="s">
        <v>86</v>
      </c>
      <c r="C5" s="4" t="s">
        <v>65</v>
      </c>
      <c r="D5" s="4">
        <v>2008</v>
      </c>
      <c r="E5" s="10">
        <f>SUM(I5:O5)+SUM(I5:M5)*0.0000001+SUM(I5)*0.0000000000001</f>
        <v>130.90001295000431</v>
      </c>
      <c r="F5" s="3" t="str">
        <f>IF(OR(AND(AM5&gt;=AR$9,AN5&gt;=AR$13,AM5&lt;&gt;"",AL5=""),AND(AP5&gt;=AR$9,AQ5&gt;=AR$13,AP5&lt;&gt;"",AL5=""),AND(BN5&gt;=BS$9,BO5&gt;=BS$13,BN5&lt;&gt;"",BM5=""),AND(BQ5&gt;=BS$9,BR5&gt;=BS$13,BQ5&lt;&gt;"",BM5=""),AND(CO5&gt;=CT$9,CP5&gt;=CT$13,CO5&lt;&gt;"",CN5=""),AND(CR5&gt;=CT$9,CS5&gt;=CT$13,CR5&lt;&gt;""),AND(DQ5&gt;=DV$9,DR5&gt;=DV$13,DQ5&lt;&gt;""),AND(DT5&gt;=DV$9,DU5&gt;=DV$13,DT5&lt;&gt;""),AND(EQ5&gt;=EV$9,ER5&gt;=EV$13,EQ5&lt;&gt;""),AND(ET5&gt;=EV$9,EU5&gt;=EV$13,ET5&lt;&gt;""),AND(FQ5&gt;=FV$9,FR5&gt;=FV$13,FQ5&lt;&gt;""),AND(FT5&gt;=FV$9,FU5&gt;=FV$13,FT5&lt;&gt;""),AND(GQ5&gt;=GV$9,GR5&gt;=GV$13,GQ5&lt;&gt;""),AND(GT5&gt;=GV$9,GU5&gt;=GV$13,GT5&lt;&gt;""),AND(HQ5&gt;=HV$9,HR5&gt;=HV$13,HQ5&lt;&gt;""),AND(HT5&gt;=HV$9,HU5&gt;=HV$13,HT5&lt;&gt;""),AND(IQ5&gt;=IV$9,IR5&gt;=IV$13,IQ5&lt;&gt;""),AND(IT5&gt;=IV$9,IU5&gt;=IV$13,IT5&lt;&gt;""),AND(JQ5&gt;=JV$9,JR5&gt;=JV$13,JQ5&lt;&gt;""),AND(JT5&gt;=JV$9,JU5&gt;=JV$13,JT5&lt;&gt;""),AND(KQ5&gt;=KV$9,KR5&gt;=KV$13,KQ5&lt;&gt;""),AND(KT5&gt;=KV$9,KU5&gt;=KV$13,KT5&lt;&gt;""),AND(LQ5&gt;=LV$9,LR5&gt;=LV$13,LQ5&lt;&gt;""),AND(LT5&gt;=LV$9,LU5&gt;=LV$13,LT5&lt;&gt;""),AND(MQ5&gt;=MV$9,MR5&gt;=MV$13,MQ5&lt;&gt;""),AND(MT5&gt;=MV$9,MU5&gt;=MV$13,MT5&lt;&gt;""),AND(NQ5&gt;=NV$9,NR5&gt;=NV$13,NQ5&lt;&gt;""),AND(NT5&gt;=NV$9,NU5&gt;=NV$13,NT5&lt;&gt;""),AND(OQ5&gt;=OV$9,OR5&gt;=OV$13,OQ5&lt;&gt;""),AND(OT5&gt;=OV$9,OU5&gt;=OV$13,OT5&lt;&gt;"")),"P","")</f>
        <v>P</v>
      </c>
      <c r="G5" s="3" t="str">
        <f>IF(OR(AND(AN5&gt;=AR$13,AN5&lt;&gt;"",AL5=""),AND(AQ5&gt;=AR$13,AQ5&lt;&gt;"",AL5=""),AND(BO5&gt;=BS$13,BO5&lt;&gt;"",BM5=""),AND(BR5&gt;=BS$13,BR5&lt;&gt;"",BM5=""),AND(CP5&gt;=CT$13,CP5&lt;&gt;"",CN5=""),AND(CS5&gt;=CT$13,CS5&lt;&gt;"",CN5=""),AND(DR5&gt;=DV$13,DR5&lt;&gt;""),AND(DU5&gt;=DV$13,DU5&lt;&gt;""),AND(ER5&gt;=EV$13,ER5&lt;&gt;""),AND(EU5&gt;=EV$13,EU5&lt;&gt;""),AND(FR5&gt;=FV$13,FR5&lt;&gt;""),AND(FU5&gt;=FV$13,FU5&lt;&gt;""),AND(GR5&gt;=GV$13,GR5&lt;&gt;""),AND(GU5&gt;=GV$13,GU5&lt;&gt;""),AND(HR5&gt;=HV$13,HR5&lt;&gt;""),AND(HU5&gt;=HV$13,HU5&lt;&gt;""),AND(IR5&gt;=IV$13,IR5&lt;&gt;""),AND(IU5&gt;=IV$13,IU5&lt;&gt;""),AND(JR5&gt;=JV$13,JR5&lt;&gt;""),AND(JU5&gt;=JV$13,JU5&lt;&gt;""),AND(KR5&gt;=KV$13,KR5&lt;&gt;""),AND(KU5&gt;=KV$13,KU5&lt;&gt;""),AND(LR5&gt;=LV$13,LR5&lt;&gt;""),AND(LU5&gt;=LV$13,LU5&lt;&gt;""),AND(MR5&gt;=MV$13,MR5&lt;&gt;""),AND(MU5&gt;=MV$13,MU5&lt;&gt;""),AND(NR5&gt;=NV$13,NR5&lt;&gt;""),AND(NU5&gt;=NV$13,NU5&lt;&gt;""),AND(OR5&gt;=OV$13,OR5&lt;&gt;""),AND(OU5&gt;=OV$13,OU5&lt;&gt;"")),"P","")</f>
        <v>P</v>
      </c>
      <c r="H5" s="47" t="str">
        <f>IF(AND(G5="P",F5=""),"No DD",IF(OR(AND(AM5&gt;=AR$12,AN5&gt;=AR$16,AM5&lt;&gt;"",AL5=""),AND(AP5&gt;=AR$12,AQ5&gt;=AR$16,AP5&lt;&gt;"",AL5=""),AND(BN5&gt;=BS$12,BO5&gt;=BS$16,BN5&lt;&gt;"",BM5=""),AND(BQ5&gt;=BS$12,BR5&gt;=BS$16,BQ5&lt;&gt;"",BM5=""),AND(CO5&gt;=CT$12,CP5&gt;=CT$16,CO5&lt;&gt;"",CN5=""),AND(CR5&gt;=CT$12,CS5&gt;=CT$16,CR5&lt;&gt;""),AND(DQ5&gt;=DV$12,DR5&gt;=DV$16,DQ5&lt;&gt;""),AND(DT5&gt;=DV$12,DU5&gt;=DV$16,DT5&lt;&gt;""),AND(EQ5&gt;=EV$12,ER5&gt;=EV$16,EQ5&lt;&gt;""),AND(ET5&gt;=EV$12,EU5&gt;=EV$16,ET5&lt;&gt;""),AND(FQ5&gt;=FV$12,FR5&gt;=FV$16,FQ5&lt;&gt;""),AND(FT5&gt;=FV$12,FU5&gt;=FV$16,FT5&lt;&gt;""),AND(GQ5&gt;=GV$12,GR5&gt;=GV$16,GQ5&lt;&gt;""),AND(GT5&gt;=GV$12,GU5&gt;=GV$16,GT5&lt;&gt;""),AND(HQ5&gt;=HV$12,HR5&gt;=HV$16,HQ5&lt;&gt;""),AND(HT5&gt;=HV$12,HU5&gt;=HV$16,HT5&lt;&gt;""),AND(IQ5&gt;=IV$12,IR5&gt;=IV$16,IQ5&lt;&gt;""),AND(IT5&gt;=IV$12,IU5&gt;=IV$16,IT5&lt;&gt;""),AND(JQ5&gt;=JV$12,JR5&gt;=JV$16,JQ5&lt;&gt;""),AND(JT5&gt;=JV$12,JU5&gt;=JV$16,JT5&lt;&gt;""),AND(KQ5&gt;=KV$12,KR5&gt;=KV$16,KQ5&lt;&gt;""),AND(KT5&gt;=KV$12,KU5&gt;=KV$16,KT5&lt;&gt;""),AND(LQ5&gt;=LV$12,LR5&gt;=LV$16,LQ5&lt;&gt;""),AND(LT5&gt;=LV$12,LU5&gt;=LV$16,LT5&lt;&gt;""),AND(MQ5&gt;=MV$12,MR5&gt;=MV$16,MQ5&lt;&gt;""),AND(MT5&gt;=MV$12,MU5&gt;=MV$16,MT5&lt;&gt;""),AND(NQ5&gt;=NV$12,NR5&gt;=NV$16,NQ5&lt;&gt;""),AND(NT5&gt;=NV$12,NU5&gt;=NV$16,NT5&lt;&gt;""),AND(OQ5&gt;=OV$12,OR5&gt;=OV$16,OQ5&lt;&gt;""),AND(OT5&gt;=OV$12,OU5&gt;=OV$16,OT5&lt;&gt;"")),"Merit",IF(OR(AND(AM5&gt;=AR$11,AN5&gt;=AR$15,AM5&lt;&gt;"",AL5=""),AND(AP5&gt;=AR$11,AQ5&gt;=AR$15,AP5&lt;&gt;"",AL5=""),AND(BN5&gt;=BS$11,BO5&gt;=BS$15,BN5&lt;&gt;"",BM5=""),AND(BQ5&gt;=BS$11,BR5&gt;=BS$15,BQ5&lt;&gt;"",BM5=""),AND(CO5&gt;=CT$11,CP5&gt;=CT$15,CO5&lt;&gt;"",CN5=""),AND(CR5&gt;=CT$11,CS5&gt;=CT$15,CR5&lt;&gt;""),AND(DQ5&gt;=DV$11,DR5&gt;=DV$15,DQ5&lt;&gt;""),AND(DT5&gt;=DV$11,DU5&gt;=DV$15,DT5&lt;&gt;""),AND(EQ5&gt;=EV$11,ER5&gt;=EV$15,EQ5&lt;&gt;""),AND(ET5&gt;=EV$11,EU5&gt;=EV$15,ET5&lt;&gt;""),AND(FQ5&gt;=FV$11,FR5&gt;=FV$15,FQ5&lt;&gt;""),AND(FT5&gt;=FV$11,FU5&gt;=FV$15,FT5&lt;&gt;""),AND(GQ5&gt;=GV$11,GR5&gt;=GV$15,GQ5&lt;&gt;""),AND(GT5&gt;=GV$11,GU5&gt;=GV$15,GT5&lt;&gt;""),AND(HQ5&gt;=HV$11,HR5&gt;=HV$15,HQ5&lt;&gt;""),AND(HT5&gt;=HV$11,HU5&gt;=HV$15,HT5&lt;&gt;""),AND(IQ5&gt;=IV$11,IR5&gt;=IV$15,IQ5&lt;&gt;""),AND(IT5&gt;=IV$11,IU5&gt;=IV$15,IT5&lt;&gt;""),AND(JQ5&gt;=JV$11,JR5&gt;=JV$15,JQ5&lt;&gt;""),AND(JT5&gt;=JV$11,JU5&gt;=JV$15,JT5&lt;&gt;""),AND(KQ5&gt;=KV$11,KR5&gt;=KV$15,KQ5&lt;&gt;""),AND(KT5&gt;=KV$11,KU5&gt;=KV$15,KT5&lt;&gt;""),AND(LQ5&gt;=LV$11,LR5&gt;=LV$15,LQ5&lt;&gt;""),AND(LT5&gt;=LV$11,LU5&gt;=LV$15,LT5&lt;&gt;""),AND(MQ5&gt;=MV$11,MR5&gt;=MV$15,MQ5&lt;&gt;""),AND(MT5&gt;=MV$11,MU5&gt;=MV$15,MT5&lt;&gt;""),AND(NQ5&gt;=NV$11,NR5&gt;=NV$15,NQ5&lt;&gt;""),AND(NT5&gt;=NV$11,NU5&gt;=NV$15,NT5&lt;&gt;""),AND(OQ5&gt;=OV$11,OR5&gt;=OV$15,OQ5&lt;&gt;""),AND(OT5&gt;=OV$11,OU5&gt;=OV$15,OT5&lt;&gt;"")),"Excellence",IF(F5="P","National Team",""))))</f>
        <v>National Team</v>
      </c>
      <c r="I5" s="9">
        <f>IF(COUNT(AN5,BO5,CP5)&gt;0,LARGE((AN5,BO5,CP5),1),0)</f>
        <v>43.199999999999996</v>
      </c>
      <c r="J5" s="9" t="str">
        <f>IF(I5=0,"",IF(I5=CP5,$BT$1,IF(I5=BO5,$AS$1,IF(I5=AN5,$R$1,""))))</f>
        <v>2023 Elite Canada</v>
      </c>
      <c r="K5" s="9">
        <f>IF(COUNT(AN5,BO5,CP5)&gt;1,LARGE((AN5,BO5,CP5),2),0)</f>
        <v>41.900000000000006</v>
      </c>
      <c r="L5" s="9" t="str">
        <f>IF(K5=0,"",IF(K5=CP5,$BT$1,IF(K5=BO5,$AS$1,IF(K5=AN5,$R$1,""))))</f>
        <v>2023 Nationals</v>
      </c>
      <c r="M5" s="9">
        <f>IF(MAX(AQ5,BR5,CS5)&gt;0,MAX(AQ5,BR5,CS5),0)</f>
        <v>44.4</v>
      </c>
      <c r="N5" s="9" t="str">
        <f>IF(M5=0,"",IF(M5=CS5,$BT$1,IF(M5=BR5,$AS$1,IF(M5=AQ5,$R$1,""))))</f>
        <v>2023 Elite Canada</v>
      </c>
      <c r="O5" s="9">
        <f>IF(MAX(CU5:CV5)&gt;0,MAX(CU5:CV5),"")</f>
        <v>1.3999999999999915</v>
      </c>
      <c r="P5" s="14" t="str">
        <f>IF(O5="","",IF(O5=CU5,"("&amp;CU$2&amp;")",IF(O5=CV5,"("&amp;CV$2&amp;")")))</f>
        <v>(Q1)</v>
      </c>
      <c r="Q5" s="9" t="str">
        <f>IF(O5="","",IF(O5=CU5,IF(O5+IF(K5="",0,K5)=OR5,$NW$1,IF(O5+IF(K5="",0,K5)=NR5,$MW$1,IF(O5+IF(K5="",0,K5)=MR5,$LW$1,IF(O5+IF(K5="",0,K5)=LR5,$KW$1,IF(O5+IF(K5="",0,K5)=KR5,$JW$1,IF(O5+IF(K5="",0,K5)=JR5,$IW$1,IF(O5+IF(K5="",0,K5)=IR5,$HW$1,IF(O5+IF(K5="",0,K5)=HR5,$GW$1,IF(O5+IF(K5="",0,K5)=GR5,$FW$1,IF(O5+IF(K5="",0,K5)=FR5,$EW$1,IF(O5+IF(K5="",0,K5)=ER5,$DW$1,IF(O5+IF(K5="",0,K5)=DR5,$CW$1)))))))))))),IF(O5=CV5,IF(O5+IF(M5="",0,M5)=OU5,$NW$1,IF(O5+IF(M5="",0,M5)=NU5,$MW$1,IF(O5+IF(M5="",0,M5)=MU5,$LW$1,IF(O5+IF(M5="",0,M5)=LU5,$KW$1,IF(O5+IF(M5="",0,M5)=KU5,$JW$1,IF(O5+IF(M5="",0,M5)=JU5,$IW$1,IF(O5+IF(M5="",0,M5)=IU5,$HW$1,IF(O5+IF(M5="",0,M5)=HU5,$GW$1,IF(O5+IF(M5="",0,M5)=GU5,$FW$1,IF(O5+IF(M5="",0,M5)=FU5,$EW$1,IF(O5+IF(M5="",0,M5)=EU5,$DW$1,IF(O5+IF(M5="",0,M5)=DU5,$CW$1)))))))))))))))</f>
        <v>2023 WAGC (Nov 18)</v>
      </c>
      <c r="R5" s="20">
        <v>16.2</v>
      </c>
      <c r="S5" s="20">
        <v>5.0999999999999996</v>
      </c>
      <c r="T5" s="20">
        <v>0</v>
      </c>
      <c r="U5" s="20">
        <v>0.3</v>
      </c>
      <c r="V5" s="20">
        <v>16</v>
      </c>
      <c r="W5" s="20">
        <v>5</v>
      </c>
      <c r="X5" s="20">
        <v>0</v>
      </c>
      <c r="Y5" s="20">
        <v>0.6</v>
      </c>
      <c r="Z5" s="20">
        <v>16.3</v>
      </c>
      <c r="AA5" s="20">
        <v>5</v>
      </c>
      <c r="AB5" s="20">
        <v>0</v>
      </c>
      <c r="AC5" s="20">
        <v>0.6</v>
      </c>
      <c r="AD5" s="20">
        <v>16.5</v>
      </c>
      <c r="AE5" s="20">
        <v>5</v>
      </c>
      <c r="AF5" s="20">
        <v>0</v>
      </c>
      <c r="AG5" s="20">
        <v>0.6</v>
      </c>
      <c r="AH5" s="20">
        <v>16.899999999999999</v>
      </c>
      <c r="AI5" s="20">
        <v>4.8</v>
      </c>
      <c r="AJ5" s="20">
        <v>0</v>
      </c>
      <c r="AK5" s="20">
        <v>0.6</v>
      </c>
      <c r="AL5" s="32"/>
      <c r="AM5" s="55">
        <f>IF(SUM(S5,W5)&gt;0,SUM(S5,W5),"")</f>
        <v>10.1</v>
      </c>
      <c r="AN5" s="55">
        <f>IF(SUM(R5:S5,U5:W5,Y5)-T5-X5&gt;0,SUM(R5:S5,U5:W5,Y5)-T5-X5,"")</f>
        <v>43.199999999999996</v>
      </c>
      <c r="AO5" s="55">
        <f>IF(SUM(Z5:AA5,AC5)-AB5&gt;0,SUM(Z5:AA5,AC5)-AB5,"")</f>
        <v>21.900000000000002</v>
      </c>
      <c r="AP5" s="55">
        <f>IF(SUM(AE5,AI5)&gt;0,SUM(AE5,AI5),"")</f>
        <v>9.8000000000000007</v>
      </c>
      <c r="AQ5" s="55">
        <f>IF(SUM(AD5:AE5,AG5:AI5,AK5)-SUM(AF5,AJ5)&gt;0,SUM(AD5:AE5,AG5:AI5,AK5)-SUM(AF5,AJ5),"")</f>
        <v>44.4</v>
      </c>
      <c r="AR5" s="55">
        <f>IF(SUM(AN5,AO5,AQ5)&gt;0,SUM(AN5,AO5,AQ5),"")</f>
        <v>109.5</v>
      </c>
      <c r="AS5" s="19">
        <v>15.5</v>
      </c>
      <c r="AT5" s="19">
        <v>5.0999999999999996</v>
      </c>
      <c r="AU5" s="19">
        <v>0</v>
      </c>
      <c r="AV5" s="19">
        <v>0.3</v>
      </c>
      <c r="AW5" s="19">
        <v>14.7</v>
      </c>
      <c r="AX5" s="19">
        <v>5.7</v>
      </c>
      <c r="AY5" s="19">
        <v>0</v>
      </c>
      <c r="AZ5" s="19">
        <v>0.6</v>
      </c>
      <c r="BA5" s="19">
        <v>15.9</v>
      </c>
      <c r="BB5" s="19">
        <v>5.0999999999999996</v>
      </c>
      <c r="BC5" s="19">
        <v>0</v>
      </c>
      <c r="BD5" s="19">
        <v>0.3</v>
      </c>
      <c r="BE5" s="19">
        <v>16.7</v>
      </c>
      <c r="BF5" s="19">
        <v>5.3</v>
      </c>
      <c r="BG5" s="19">
        <v>0</v>
      </c>
      <c r="BH5" s="19">
        <v>0.3</v>
      </c>
      <c r="BI5" s="19">
        <v>15.4</v>
      </c>
      <c r="BJ5" s="19">
        <v>5.5</v>
      </c>
      <c r="BK5" s="19">
        <v>0</v>
      </c>
      <c r="BL5" s="19">
        <v>0.6</v>
      </c>
      <c r="BM5" s="33"/>
      <c r="BN5" s="14">
        <f>IF(SUM(AT5,AX5)&gt;0,SUM(AT5,AX5),"")</f>
        <v>10.8</v>
      </c>
      <c r="BO5" s="14">
        <f>IF(SUM(AS5:AT5,AV5:AX5,AZ5)-AU5-AY5&gt;0,SUM(AS5:AT5,AV5:AX5,AZ5)-AU5-AY5,"")</f>
        <v>41.900000000000006</v>
      </c>
      <c r="BP5" s="14">
        <f>IF(SUM(BA5:BB5,BD5)-BC5&gt;0,SUM(BA5:BB5,BD5)-BC5,"")</f>
        <v>21.3</v>
      </c>
      <c r="BQ5" s="14">
        <f>IF(SUM(BF5,BJ5)&gt;0,SUM(BF5,BJ5),"")</f>
        <v>10.8</v>
      </c>
      <c r="BR5" s="14">
        <f>IF(SUM(BE5:BF5,BH5:BJ5,BL5)-SUM(BG5,BK5)&gt;0,SUM(BE5:BF5,BH5:BJ5,BL5)-SUM(BG5,BK5),"")</f>
        <v>43.800000000000004</v>
      </c>
      <c r="BS5" s="14">
        <f>IF(SUM(BO5,BP5,BR5)&gt;0,SUM(BO5,BP5,BR5),"")</f>
        <v>107</v>
      </c>
      <c r="BT5" s="20"/>
      <c r="BU5" s="20"/>
      <c r="BV5" s="20"/>
      <c r="BW5" s="20"/>
      <c r="BX5" s="20"/>
      <c r="BY5" s="20"/>
      <c r="BZ5" s="20"/>
      <c r="CA5" s="20"/>
      <c r="CB5" s="20"/>
      <c r="CC5" s="20"/>
      <c r="CD5" s="20"/>
      <c r="CE5" s="20"/>
      <c r="CF5" s="20"/>
      <c r="CG5" s="20"/>
      <c r="CH5" s="20"/>
      <c r="CI5" s="20"/>
      <c r="CJ5" s="20"/>
      <c r="CK5" s="20"/>
      <c r="CL5" s="20"/>
      <c r="CM5" s="20"/>
      <c r="CN5" s="32"/>
      <c r="CO5" s="55" t="str">
        <f>IF(SUM(BU5,BY5)&gt;0,SUM(BU5,BY5),"")</f>
        <v/>
      </c>
      <c r="CP5" s="55" t="str">
        <f>IF(SUM(BT5:BU5,BW5:BY5,CA5)-BV5-BZ5&gt;0,SUM(BT5:BU5,BW5:BY5,CA5)-BV5-BZ5,"")</f>
        <v/>
      </c>
      <c r="CQ5" s="55" t="str">
        <f>IF(SUM(CB5:CC5,CE5)-CD5&gt;0,SUM(CB5:CC5,CE5)-CD5,"")</f>
        <v/>
      </c>
      <c r="CR5" s="55" t="str">
        <f>IF(SUM(CG5,CK5)&gt;0,SUM(CG5,CK5),"")</f>
        <v/>
      </c>
      <c r="CS5" s="55" t="str">
        <f>IF(SUM(CF5:CG5,CI5:CK5,CM5)-SUM(CH5,CL5)&gt;0,SUM(CF5:CG5,CI5:CK5,CM5)-SUM(CH5,CL5),"")</f>
        <v/>
      </c>
      <c r="CT5" s="55" t="str">
        <f>IF(SUM(CP5,CQ5,CS5)&gt;0,SUM(CP5,CQ5,CS5),"")</f>
        <v/>
      </c>
      <c r="CU5" s="56">
        <f>IF(MAX(DR5,ER5,FR5,GR5,HR5,IR5,JR5,KR5,LR5,MR5,NR5,OR5)-IF(K5="",0,K5)&gt;0.001,MAX(DR5,ER5,FR5,GR5,HR5,IR5,JR5,KR5,LR5,MR5,NR5,OR5)-IF(K5="",0,K5),"")</f>
        <v>1.3999999999999915</v>
      </c>
      <c r="CV5" s="56" t="str">
        <f>IF(MAX(DU5,EU5,FU5,GU5,HU5,IU5,JU5,KU5,LU5,MU5,NU5,OU5)-IF(M5="",0,M5)&gt;0.001,MAX(DU5,EU5,FU5,GU5,HU5,IU5,JU5,KU5,LU5,MU5,NU5,OU5)-IF(M5="",0,M5),"")</f>
        <v/>
      </c>
      <c r="CW5" s="18">
        <v>16.2</v>
      </c>
      <c r="CX5" s="18">
        <v>5.8</v>
      </c>
      <c r="CY5" s="18">
        <v>0</v>
      </c>
      <c r="CZ5" s="18">
        <v>0</v>
      </c>
      <c r="DA5" s="18">
        <v>16.3</v>
      </c>
      <c r="DB5" s="18">
        <v>5</v>
      </c>
      <c r="DC5" s="18">
        <v>0</v>
      </c>
      <c r="DD5" s="18">
        <v>0</v>
      </c>
      <c r="DE5" s="18"/>
      <c r="DF5" s="18"/>
      <c r="DG5" s="18"/>
      <c r="DH5" s="18"/>
      <c r="DI5" s="18"/>
      <c r="DJ5" s="18"/>
      <c r="DK5" s="18"/>
      <c r="DL5" s="18"/>
      <c r="DM5" s="18"/>
      <c r="DN5" s="18"/>
      <c r="DO5" s="18"/>
      <c r="DP5" s="18"/>
      <c r="DQ5" s="55">
        <f>IF(SUM(CX5,DB5)&gt;0,SUM(CX5,DB5),"")</f>
        <v>10.8</v>
      </c>
      <c r="DR5" s="55">
        <f>IF(SUM(CW5:CX5,CZ5:DB5,DD5)-CY5-DC5&gt;0,SUM(CW5:CX5,CZ5:DB5,DD5)-CY5-DC5,"")</f>
        <v>43.3</v>
      </c>
      <c r="DS5" s="55" t="str">
        <f>IF(SUM(DE5:DF5,DH5)-DG5&gt;0,SUM(DE5:DF5,DH5)-DG5,"")</f>
        <v/>
      </c>
      <c r="DT5" s="55" t="str">
        <f>IF(SUM(DJ5,DN5)&gt;0,SUM(DJ5,DN5),"")</f>
        <v/>
      </c>
      <c r="DU5" s="55" t="str">
        <f>IF(SUM(DI5:DJ5,DL5:DN5,DP5)-SUM(DK5,DO5)&gt;0,SUM(DI5:DJ5,DL5:DN5,DP5)-SUM(DK5,DO5),"")</f>
        <v/>
      </c>
      <c r="DV5" s="55">
        <f>IF(SUM(DR5,DS5,DU5)&gt;0,SUM(DR5,DS5,DU5),"")</f>
        <v>43.3</v>
      </c>
      <c r="DW5" s="19"/>
      <c r="DX5" s="19"/>
      <c r="DY5" s="19"/>
      <c r="DZ5" s="19"/>
      <c r="EA5" s="19"/>
      <c r="EB5" s="19"/>
      <c r="EC5" s="19"/>
      <c r="ED5" s="19"/>
      <c r="EE5" s="19"/>
      <c r="EF5" s="19"/>
      <c r="EG5" s="19"/>
      <c r="EH5" s="19"/>
      <c r="EI5" s="19"/>
      <c r="EJ5" s="19"/>
      <c r="EK5" s="19"/>
      <c r="EL5" s="19"/>
      <c r="EM5" s="19"/>
      <c r="EN5" s="19"/>
      <c r="EO5" s="19"/>
      <c r="EP5" s="19"/>
      <c r="EQ5" s="14" t="str">
        <f>IF(SUM(DX5,EB5)&gt;0,SUM(DX5,EB5),"")</f>
        <v/>
      </c>
      <c r="ER5" s="14" t="str">
        <f>IF(SUM(DW5:DX5,DZ5:EB5,ED5)-DY5-EC5&gt;0,SUM(DW5:DX5,DZ5:EB5,ED5)-DY5-EC5,"")</f>
        <v/>
      </c>
      <c r="ES5" s="14" t="str">
        <f>IF(SUM(EE5:EF5,EH5)-EG5&gt;0,SUM(EE5:EF5,EH5)-EG5,"")</f>
        <v/>
      </c>
      <c r="ET5" s="14" t="str">
        <f>IF(SUM(EJ5,EN5)&gt;0,SUM(EJ5,EN5),"")</f>
        <v/>
      </c>
      <c r="EU5" s="14" t="str">
        <f>IF(SUM(EI5:EJ5,EL5:EN5,EP5)-SUM(EK5,EO5)&gt;0,SUM(EI5:EJ5,EL5:EN5,EP5)-SUM(EK5,EO5),"")</f>
        <v/>
      </c>
      <c r="EV5" s="14" t="str">
        <f>IF(SUM(ER5,ES5,EU5)&gt;0,SUM(ER5,ES5,EU5),"")</f>
        <v/>
      </c>
      <c r="EW5" s="18"/>
      <c r="EX5" s="18"/>
      <c r="EY5" s="18"/>
      <c r="EZ5" s="18"/>
      <c r="FA5" s="18"/>
      <c r="FB5" s="18"/>
      <c r="FC5" s="18"/>
      <c r="FD5" s="18"/>
      <c r="FE5" s="18"/>
      <c r="FF5" s="18"/>
      <c r="FG5" s="18"/>
      <c r="FH5" s="18"/>
      <c r="FI5" s="18"/>
      <c r="FJ5" s="18"/>
      <c r="FK5" s="18"/>
      <c r="FL5" s="18"/>
      <c r="FM5" s="18"/>
      <c r="FN5" s="18"/>
      <c r="FO5" s="18"/>
      <c r="FP5" s="18"/>
      <c r="FQ5" s="55" t="str">
        <f>IF(SUM(EX5,FB5)&gt;0,SUM(EX5,FB5),"")</f>
        <v/>
      </c>
      <c r="FR5" s="55" t="str">
        <f>IF(SUM(EW5:EX5,EZ5:FB5,FD5)-EY5-FC5&gt;0,SUM(EW5:EX5,EZ5:FB5,FD5)-EY5-FC5,"")</f>
        <v/>
      </c>
      <c r="FS5" s="55" t="str">
        <f>IF(SUM(FE5:FF5,FH5)-FG5&gt;0,SUM(FE5:FF5,FH5)-FG5,"")</f>
        <v/>
      </c>
      <c r="FT5" s="55" t="str">
        <f>IF(SUM(FJ5,FN5)&gt;0,SUM(FJ5,FN5),"")</f>
        <v/>
      </c>
      <c r="FU5" s="55" t="str">
        <f>IF(SUM(FI5:FJ5,FL5:FN5,FP5)-SUM(FK5,FO5)&gt;0,SUM(FI5:FJ5,FL5:FN5,FP5)-SUM(FK5,FO5),"")</f>
        <v/>
      </c>
      <c r="FV5" s="55" t="str">
        <f>IF(SUM(FR5,FS5,FU5)&gt;0,SUM(FR5,FS5,FU5),"")</f>
        <v/>
      </c>
      <c r="FW5" s="19"/>
      <c r="FX5" s="19"/>
      <c r="FY5" s="19"/>
      <c r="FZ5" s="19"/>
      <c r="GA5" s="19"/>
      <c r="GB5" s="19"/>
      <c r="GC5" s="19"/>
      <c r="GD5" s="19"/>
      <c r="GE5" s="19"/>
      <c r="GF5" s="19"/>
      <c r="GG5" s="19"/>
      <c r="GH5" s="19"/>
      <c r="GI5" s="19"/>
      <c r="GJ5" s="19"/>
      <c r="GK5" s="19"/>
      <c r="GL5" s="19"/>
      <c r="GM5" s="19"/>
      <c r="GN5" s="19"/>
      <c r="GO5" s="19"/>
      <c r="GP5" s="19"/>
      <c r="GQ5" s="14" t="str">
        <f>IF(SUM(FX5,GB5)&gt;0,SUM(FX5,GB5),"")</f>
        <v/>
      </c>
      <c r="GR5" s="14" t="str">
        <f>IF(SUM(FW5:FX5,FZ5:GB5,GD5)-FY5-GC5&gt;0,SUM(FW5:FX5,FZ5:GB5,GD5)-FY5-GC5,"")</f>
        <v/>
      </c>
      <c r="GS5" s="14" t="str">
        <f>IF(SUM(GE5:GF5,GH5)-GG5&gt;0,SUM(GE5:GF5,GH5)-GG5,"")</f>
        <v/>
      </c>
      <c r="GT5" s="14" t="str">
        <f>IF(SUM(GJ5,GN5)&gt;0,SUM(GJ5,GN5),"")</f>
        <v/>
      </c>
      <c r="GU5" s="14" t="str">
        <f>IF(SUM(GI5:GJ5,GL5:GN5,GP5)-SUM(GK5,GO5)&gt;0,SUM(GI5:GJ5,GL5:GN5,GP5)-SUM(GK5,GO5),"")</f>
        <v/>
      </c>
      <c r="GV5" s="14" t="str">
        <f>IF(SUM(GR5,GS5,GU5)&gt;0,SUM(GR5,GS5,GU5),"")</f>
        <v/>
      </c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55" t="str">
        <f>IF(SUM(GX5,HB5)&gt;0,SUM(GX5,HB5),"")</f>
        <v/>
      </c>
      <c r="HR5" s="55" t="str">
        <f>IF(SUM(GW5:GX5,GZ5:HB5,HD5)-GY5-HC5&gt;0,SUM(GW5:GX5,GZ5:HB5,HD5)-GY5-HC5,"")</f>
        <v/>
      </c>
      <c r="HS5" s="55" t="str">
        <f>IF(SUM(HE5:HF5,HH5)-HG5&gt;0,SUM(HE5:HF5,HH5)-HG5,"")</f>
        <v/>
      </c>
      <c r="HT5" s="55" t="str">
        <f>IF(SUM(HJ5,HN5)&gt;0,SUM(HJ5,HN5),"")</f>
        <v/>
      </c>
      <c r="HU5" s="55" t="str">
        <f>IF(SUM(HI5:HJ5,HL5:HN5,HP5)-SUM(HK5,HO5)&gt;0,SUM(HI5:HJ5,HL5:HN5,HP5)-SUM(HK5,HO5),"")</f>
        <v/>
      </c>
      <c r="HV5" s="55" t="str">
        <f>IF(SUM(HR5,HS5,HU5)&gt;0,SUM(HR5,HS5,HU5),"")</f>
        <v/>
      </c>
      <c r="HW5" s="19"/>
      <c r="HX5" s="19"/>
      <c r="HY5" s="19"/>
      <c r="HZ5" s="19"/>
      <c r="IA5" s="19"/>
      <c r="IB5" s="19"/>
      <c r="IC5" s="19"/>
      <c r="ID5" s="19"/>
      <c r="IE5" s="19"/>
      <c r="IF5" s="19"/>
      <c r="IG5" s="19"/>
      <c r="IH5" s="19"/>
      <c r="II5" s="19"/>
      <c r="IJ5" s="19"/>
      <c r="IK5" s="19"/>
      <c r="IL5" s="19"/>
      <c r="IM5" s="19"/>
      <c r="IN5" s="19"/>
      <c r="IO5" s="19"/>
      <c r="IP5" s="19"/>
      <c r="IQ5" s="14" t="str">
        <f>IF(SUM(HX5,IB5)&gt;0,SUM(HX5,IB5),"")</f>
        <v/>
      </c>
      <c r="IR5" s="14" t="str">
        <f>IF(SUM(HW5:HX5,HZ5:IB5,ID5)-HY5-IC5&gt;0,SUM(HW5:HX5,HZ5:IB5,ID5)-HY5-IC5,"")</f>
        <v/>
      </c>
      <c r="IS5" s="14" t="str">
        <f>IF(SUM(IE5:IF5,IH5)-IG5&gt;0,SUM(IE5:IF5,IH5)-IG5,"")</f>
        <v/>
      </c>
      <c r="IT5" s="14" t="str">
        <f>IF(SUM(IJ5,IN5)&gt;0,SUM(IJ5,IN5),"")</f>
        <v/>
      </c>
      <c r="IU5" s="14" t="str">
        <f>IF(SUM(II5:IJ5,IL5:IN5,IP5)-SUM(IK5,IO5)&gt;0,SUM(II5:IJ5,IL5:IN5,IP5)-SUM(IK5,IO5),"")</f>
        <v/>
      </c>
      <c r="IV5" s="14" t="str">
        <f>IF(SUM(IR5,IS5,IU5)&gt;0,SUM(IR5,IS5,IU5),"")</f>
        <v/>
      </c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8"/>
      <c r="JL5" s="18"/>
      <c r="JM5" s="18"/>
      <c r="JN5" s="18"/>
      <c r="JO5" s="18"/>
      <c r="JP5" s="18"/>
      <c r="JQ5" s="55" t="str">
        <f>IF(SUM(IX5,JB5)&gt;0,SUM(IX5,JB5),"")</f>
        <v/>
      </c>
      <c r="JR5" s="55" t="str">
        <f>IF(SUM(IW5:IX5,IZ5:JB5,JD5)-IY5-JC5&gt;0,SUM(IW5:IX5,IZ5:JB5,JD5)-IY5-JC5,"")</f>
        <v/>
      </c>
      <c r="JS5" s="55" t="str">
        <f>IF(SUM(JE5:JF5,JH5)-JG5&gt;0,SUM(JE5:JF5,JH5)-JG5,"")</f>
        <v/>
      </c>
      <c r="JT5" s="55" t="str">
        <f>IF(SUM(JJ5,JN5)&gt;0,SUM(JJ5,JN5),"")</f>
        <v/>
      </c>
      <c r="JU5" s="55" t="str">
        <f>IF(SUM(JI5:JJ5,JL5:JN5,JP5)-SUM(JK5,JO5)&gt;0,SUM(JI5:JJ5,JL5:JN5,JP5)-SUM(JK5,JO5),"")</f>
        <v/>
      </c>
      <c r="JV5" s="55" t="str">
        <f>IF(SUM(JR5,JS5,JU5)&gt;0,SUM(JR5,JS5,JU5),"")</f>
        <v/>
      </c>
      <c r="JW5" s="19"/>
      <c r="JX5" s="19"/>
      <c r="JY5" s="19"/>
      <c r="JZ5" s="19"/>
      <c r="KA5" s="19"/>
      <c r="KB5" s="19"/>
      <c r="KC5" s="19"/>
      <c r="KD5" s="19"/>
      <c r="KE5" s="19"/>
      <c r="KF5" s="19"/>
      <c r="KG5" s="19"/>
      <c r="KH5" s="19"/>
      <c r="KI5" s="19"/>
      <c r="KJ5" s="19"/>
      <c r="KK5" s="19"/>
      <c r="KL5" s="19"/>
      <c r="KM5" s="19"/>
      <c r="KN5" s="19"/>
      <c r="KO5" s="19"/>
      <c r="KP5" s="19"/>
      <c r="KQ5" s="14" t="str">
        <f>IF(SUM(JX5,KB5)&gt;0,SUM(JX5,KB5),"")</f>
        <v/>
      </c>
      <c r="KR5" s="14" t="str">
        <f>IF(SUM(JW5:JX5,JZ5:KB5,KD5)-JY5-KC5&gt;0,SUM(JW5:JX5,JZ5:KB5,KD5)-JY5-KC5,"")</f>
        <v/>
      </c>
      <c r="KS5" s="14" t="str">
        <f>IF(SUM(KE5:KF5,KH5)-KG5&gt;0,SUM(KE5:KF5,KH5)-KG5,"")</f>
        <v/>
      </c>
      <c r="KT5" s="14" t="str">
        <f>IF(SUM(KJ5,KN5)&gt;0,SUM(KJ5,KN5),"")</f>
        <v/>
      </c>
      <c r="KU5" s="14" t="str">
        <f>IF(SUM(KI5:KJ5,KL5:KN5,KP5)-SUM(KK5,KO5)&gt;0,SUM(KI5:KJ5,KL5:KN5,KP5)-SUM(KK5,KO5),"")</f>
        <v/>
      </c>
      <c r="KV5" s="14" t="str">
        <f>IF(SUM(KR5,KS5,KU5)&gt;0,SUM(KR5,KS5,KU5),"")</f>
        <v/>
      </c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8"/>
      <c r="LP5" s="18"/>
      <c r="LQ5" s="55" t="str">
        <f>IF(SUM(KX5,LB5)&gt;0,SUM(KX5,LB5),"")</f>
        <v/>
      </c>
      <c r="LR5" s="55" t="str">
        <f>IF(SUM(KW5:KX5,KZ5:LB5,LD5)-KY5-LC5&gt;0,SUM(KW5:KX5,KZ5:LB5,LD5)-KY5-LC5,"")</f>
        <v/>
      </c>
      <c r="LS5" s="55" t="str">
        <f>IF(SUM(LE5:LF5,LH5)-LG5&gt;0,SUM(LE5:LF5,LH5)-LG5,"")</f>
        <v/>
      </c>
      <c r="LT5" s="55" t="str">
        <f>IF(SUM(LJ5,LN5)&gt;0,SUM(LJ5,LN5),"")</f>
        <v/>
      </c>
      <c r="LU5" s="55" t="str">
        <f>IF(SUM(LI5:LJ5,LL5:LN5,LP5)-SUM(LK5,LO5)&gt;0,SUM(LI5:LJ5,LL5:LN5,LP5)-SUM(LK5,LO5),"")</f>
        <v/>
      </c>
      <c r="LV5" s="55" t="str">
        <f>IF(SUM(LR5,LS5,LU5)&gt;0,SUM(LR5,LS5,LU5),"")</f>
        <v/>
      </c>
      <c r="LW5" s="19"/>
      <c r="LX5" s="19"/>
      <c r="LY5" s="19"/>
      <c r="LZ5" s="19"/>
      <c r="MA5" s="19"/>
      <c r="MB5" s="19"/>
      <c r="MC5" s="19"/>
      <c r="MD5" s="19"/>
      <c r="ME5" s="19"/>
      <c r="MF5" s="19"/>
      <c r="MG5" s="19"/>
      <c r="MH5" s="19"/>
      <c r="MI5" s="19"/>
      <c r="MJ5" s="19"/>
      <c r="MK5" s="19"/>
      <c r="ML5" s="19"/>
      <c r="MM5" s="19"/>
      <c r="MN5" s="19"/>
      <c r="MO5" s="19"/>
      <c r="MP5" s="19"/>
      <c r="MQ5" s="14" t="str">
        <f>IF(SUM(LX5,MB5)&gt;0,SUM(LX5,MB5),"")</f>
        <v/>
      </c>
      <c r="MR5" s="14" t="str">
        <f>IF(SUM(LW5:LX5,LZ5:MB5,MD5)-LY5-MC5&gt;0,SUM(LW5:LX5,LZ5:MB5,MD5)-LY5-MC5,"")</f>
        <v/>
      </c>
      <c r="MS5" s="14" t="str">
        <f>IF(SUM(ME5:MF5,MH5)-MG5&gt;0,SUM(ME5:MF5,MH5)-MG5,"")</f>
        <v/>
      </c>
      <c r="MT5" s="14" t="str">
        <f>IF(SUM(MJ5,MN5)&gt;0,SUM(MJ5,MN5),"")</f>
        <v/>
      </c>
      <c r="MU5" s="14" t="str">
        <f>IF(SUM(MI5:MJ5,ML5:MN5,MP5)-SUM(MK5,MO5)&gt;0,SUM(MI5:MJ5,ML5:MN5,MP5)-SUM(MK5,MO5),"")</f>
        <v/>
      </c>
      <c r="MV5" s="14" t="str">
        <f>IF(SUM(MR5,MS5,MU5)&gt;0,SUM(MR5,MS5,MU5),"")</f>
        <v/>
      </c>
      <c r="MW5" s="18"/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55" t="str">
        <f>IF(SUM(MX5,NB5)&gt;0,SUM(MX5,NB5),"")</f>
        <v/>
      </c>
      <c r="NR5" s="55" t="str">
        <f>IF(SUM(MW5:MX5,MZ5:NB5,ND5)-MY5-NC5&gt;0,SUM(MW5:MX5,MZ5:NB5,ND5)-MY5-NC5,"")</f>
        <v/>
      </c>
      <c r="NS5" s="55" t="str">
        <f>IF(SUM(NE5:NF5,NH5)-NG5&gt;0,SUM(NE5:NF5,NH5)-NG5,"")</f>
        <v/>
      </c>
      <c r="NT5" s="55" t="str">
        <f>IF(SUM(NJ5,NN5)&gt;0,SUM(NJ5,NN5),"")</f>
        <v/>
      </c>
      <c r="NU5" s="55" t="str">
        <f>IF(SUM(NI5:NJ5,NL5:NN5,NP5)-SUM(NK5,NO5)&gt;0,SUM(NI5:NJ5,NL5:NN5,NP5)-SUM(NK5,NO5),"")</f>
        <v/>
      </c>
      <c r="NV5" s="55" t="str">
        <f>IF(SUM(NR5,NS5,NU5)&gt;0,SUM(NR5,NS5,NU5),"")</f>
        <v/>
      </c>
      <c r="NW5" s="19"/>
      <c r="NX5" s="19"/>
      <c r="NY5" s="19"/>
      <c r="NZ5" s="19"/>
      <c r="OA5" s="19"/>
      <c r="OB5" s="19"/>
      <c r="OC5" s="19"/>
      <c r="OD5" s="19"/>
      <c r="OE5" s="19"/>
      <c r="OF5" s="19"/>
      <c r="OG5" s="19"/>
      <c r="OH5" s="19"/>
      <c r="OI5" s="19"/>
      <c r="OJ5" s="19"/>
      <c r="OK5" s="19"/>
      <c r="OL5" s="19"/>
      <c r="OM5" s="19"/>
      <c r="ON5" s="19"/>
      <c r="OO5" s="19"/>
      <c r="OP5" s="19"/>
      <c r="OQ5" s="14" t="str">
        <f>IF(SUM(NX5,OB5)&gt;0,SUM(NX5,OB5),"")</f>
        <v/>
      </c>
      <c r="OR5" s="14" t="str">
        <f>IF(SUM(NW5:NX5,NZ5:OB5,OD5)-NY5-OC5&gt;0,SUM(NW5:NX5,NZ5:OB5,OD5)-NY5-OC5,"")</f>
        <v/>
      </c>
      <c r="OS5" s="14" t="str">
        <f>IF(SUM(OE5:OF5,OH5)-OG5&gt;0,SUM(OE5:OF5,OH5)-OG5,"")</f>
        <v/>
      </c>
      <c r="OT5" s="14" t="str">
        <f>IF(SUM(OJ5,ON5)&gt;0,SUM(OJ5,ON5),"")</f>
        <v/>
      </c>
      <c r="OU5" s="14" t="str">
        <f>IF(SUM(OI5:OJ5,OL5:ON5,OP5)-SUM(OK5,OO5)&gt;0,SUM(OI5:OJ5,OL5:ON5,OP5)-SUM(OK5,OO5),"")</f>
        <v/>
      </c>
      <c r="OV5" s="14" t="str">
        <f>IF(SUM(OR5,OS5,OU5)&gt;0,SUM(OR5,OS5,OU5),"")</f>
        <v/>
      </c>
      <c r="OW5" s="27">
        <f>IF($CN5="P",BT5,(BT5+AS5)/2)</f>
        <v>7.75</v>
      </c>
      <c r="OX5" s="27">
        <f>IF($CN5="P",BU5,(BU5+AT5)/2)</f>
        <v>2.5499999999999998</v>
      </c>
      <c r="OY5" s="27">
        <f>IF($CN5="P",BV5,(BV5+AU5)/2)</f>
        <v>0</v>
      </c>
      <c r="OZ5" s="27">
        <f>IF($CN5="P",BW5,(BW5+AV5)/2)</f>
        <v>0.15</v>
      </c>
      <c r="PA5" s="27">
        <f>IF($CN5="P",BX5,(BX5+AW5)/2)</f>
        <v>7.35</v>
      </c>
      <c r="PB5" s="27">
        <f>IF($CN5="P",BY5,(BY5+AX5)/2)</f>
        <v>2.85</v>
      </c>
      <c r="PC5" s="27">
        <f>IF($CN5="P",BZ5,(BZ5+AY5)/2)</f>
        <v>0</v>
      </c>
      <c r="PD5" s="27">
        <f>IF($CN5="P",CA5,(CA5+AZ5)/2)</f>
        <v>0.3</v>
      </c>
      <c r="PE5" s="27">
        <f>IF($CN5="P",CB5,(CB5+BA5)/2)</f>
        <v>7.95</v>
      </c>
      <c r="PF5" s="27">
        <f>IF($CN5="P",CC5,(CC5+BB5)/2)</f>
        <v>2.5499999999999998</v>
      </c>
      <c r="PG5" s="27">
        <f>IF($CN5="P",CD5,(CD5+BC5)/2)</f>
        <v>0</v>
      </c>
      <c r="PH5" s="27">
        <f>IF($CN5="P",CE5,(CE5+BD5)/2)</f>
        <v>0.15</v>
      </c>
      <c r="PI5" s="27">
        <f>IF($CN5="P",CF5,(CF5+BE5)/2)</f>
        <v>8.35</v>
      </c>
      <c r="PJ5" s="27">
        <f>IF($CN5="P",CG5,(CG5+BF5)/2)</f>
        <v>2.65</v>
      </c>
      <c r="PK5" s="27">
        <f>IF($CN5="P",CH5,(CH5+BG5)/2)</f>
        <v>0</v>
      </c>
      <c r="PL5" s="27">
        <f>IF($CN5="P",CI5,(CI5+BH5)/2)</f>
        <v>0.15</v>
      </c>
      <c r="PM5" s="27">
        <f>IF($CN5="P",CJ5,(CJ5+BI5)/2)</f>
        <v>7.7</v>
      </c>
      <c r="PN5" s="27">
        <f>IF($CN5="P",CK5,(CK5+BJ5)/2)</f>
        <v>2.75</v>
      </c>
      <c r="PO5" s="27">
        <f>IF($CN5="P",CL5,(CL5+BK5)/2)</f>
        <v>0</v>
      </c>
      <c r="PP5" s="27">
        <f>IF($CN5="P",CM5,(CM5+BL5)/2)</f>
        <v>0.3</v>
      </c>
      <c r="PQ5" s="32" t="s">
        <v>44</v>
      </c>
      <c r="PR5" s="55">
        <f>IF(SUM(OX5,PB5)&gt;0,SUM(OX5,PB5),"")</f>
        <v>5.4</v>
      </c>
      <c r="PS5" s="55">
        <f>IF(SUM(OW5:OX5,OZ5:PB5,PD5)-OY5-PC5&gt;0,SUM(OW5:OX5,OZ5:PB5,PD5)-OY5-PC5,"")</f>
        <v>20.950000000000003</v>
      </c>
      <c r="PT5" s="55">
        <f>IF(SUM(PE5:PF5,PH5)-PG5&gt;0,SUM(PE5:PF5,PH5)-PG5,"")</f>
        <v>10.65</v>
      </c>
      <c r="PU5" s="55">
        <f>IF(SUM(PJ5,PN5)&gt;0,SUM(PJ5,PN5),"")</f>
        <v>5.4</v>
      </c>
      <c r="PV5" s="55">
        <f>IF(SUM(PI5:PJ5,PL5:PN5,PP5)-SUM(PK5,PO5)&gt;0,SUM(PI5:PJ5,PL5:PN5,PP5)-SUM(PK5,PO5),"")</f>
        <v>21.900000000000002</v>
      </c>
      <c r="PW5" s="55">
        <f>IF(SUM(PS5,PT5,PV5)&gt;0,SUM(PS5,PT5,PV5),"")</f>
        <v>53.5</v>
      </c>
    </row>
    <row r="6" spans="1:439" x14ac:dyDescent="0.2">
      <c r="A6" s="4" t="str" cm="1">
        <f t="array" ref="A6">IF(AND(H6&lt;&gt;"",H6&lt;&gt;"No DD"),SUMPRODUCT((H$4:H$7&lt;&gt;"")*(H$4:H$7&lt;&gt;"No DD")*(E$4:E$7&gt;E6))+1,IF(H6="No DD",SUMPRODUCT((H$4:H$7="No DD")*(E$4:E$7&gt;E6))+1+SUMPRODUCT((H$4:H$7&lt;&gt;"")*(H$4:H$7&lt;&gt;"No DD")),""))</f>
        <v/>
      </c>
      <c r="B6" s="5" t="s">
        <v>80</v>
      </c>
      <c r="C6" s="4" t="s">
        <v>68</v>
      </c>
      <c r="D6" s="4">
        <v>2007</v>
      </c>
      <c r="E6" s="10">
        <f>SUM(I6:O6)+SUM(I6:M6)*0.0000001+SUM(I6)*0.0000000000001</f>
        <v>127.30001273000421</v>
      </c>
      <c r="F6" s="3" t="str">
        <f>IF(OR(AND(AM6&gt;=AR$9,AN6&gt;=AR$13,AM6&lt;&gt;"",AL6=""),AND(AP6&gt;=AR$9,AQ6&gt;=AR$13,AP6&lt;&gt;"",AL6=""),AND(BN6&gt;=BS$9,BO6&gt;=BS$13,BN6&lt;&gt;"",BM6=""),AND(BQ6&gt;=BS$9,BR6&gt;=BS$13,BQ6&lt;&gt;"",BM6=""),AND(CO6&gt;=CT$9,CP6&gt;=CT$13,CO6&lt;&gt;"",CN6=""),AND(CR6&gt;=CT$9,CS6&gt;=CT$13,CR6&lt;&gt;""),AND(DQ6&gt;=DV$9,DR6&gt;=DV$13,DQ6&lt;&gt;""),AND(DT6&gt;=DV$9,DU6&gt;=DV$13,DT6&lt;&gt;""),AND(EQ6&gt;=EV$9,ER6&gt;=EV$13,EQ6&lt;&gt;""),AND(ET6&gt;=EV$9,EU6&gt;=EV$13,ET6&lt;&gt;""),AND(FQ6&gt;=FV$9,FR6&gt;=FV$13,FQ6&lt;&gt;""),AND(FT6&gt;=FV$9,FU6&gt;=FV$13,FT6&lt;&gt;""),AND(GQ6&gt;=GV$9,GR6&gt;=GV$13,GQ6&lt;&gt;""),AND(GT6&gt;=GV$9,GU6&gt;=GV$13,GT6&lt;&gt;""),AND(HQ6&gt;=HV$9,HR6&gt;=HV$13,HQ6&lt;&gt;""),AND(HT6&gt;=HV$9,HU6&gt;=HV$13,HT6&lt;&gt;""),AND(IQ6&gt;=IV$9,IR6&gt;=IV$13,IQ6&lt;&gt;""),AND(IT6&gt;=IV$9,IU6&gt;=IV$13,IT6&lt;&gt;""),AND(JQ6&gt;=JV$9,JR6&gt;=JV$13,JQ6&lt;&gt;""),AND(JT6&gt;=JV$9,JU6&gt;=JV$13,JT6&lt;&gt;""),AND(KQ6&gt;=KV$9,KR6&gt;=KV$13,KQ6&lt;&gt;""),AND(KT6&gt;=KV$9,KU6&gt;=KV$13,KT6&lt;&gt;""),AND(LQ6&gt;=LV$9,LR6&gt;=LV$13,LQ6&lt;&gt;""),AND(LT6&gt;=LV$9,LU6&gt;=LV$13,LT6&lt;&gt;""),AND(MQ6&gt;=MV$9,MR6&gt;=MV$13,MQ6&lt;&gt;""),AND(MT6&gt;=MV$9,MU6&gt;=MV$13,MT6&lt;&gt;""),AND(NQ6&gt;=NV$9,NR6&gt;=NV$13,NQ6&lt;&gt;""),AND(NT6&gt;=NV$9,NU6&gt;=NV$13,NT6&lt;&gt;""),AND(OQ6&gt;=OV$9,OR6&gt;=OV$13,OQ6&lt;&gt;""),AND(OT6&gt;=OV$9,OU6&gt;=OV$13,OT6&lt;&gt;"")),"P","")</f>
        <v/>
      </c>
      <c r="G6" s="3" t="str">
        <f>IF(OR(AND(AN6&gt;=AR$13,AN6&lt;&gt;"",AL6=""),AND(AQ6&gt;=AR$13,AQ6&lt;&gt;"",AL6=""),AND(BO6&gt;=BS$13,BO6&lt;&gt;"",BM6=""),AND(BR6&gt;=BS$13,BR6&lt;&gt;"",BM6=""),AND(CP6&gt;=CT$13,CP6&lt;&gt;"",CN6=""),AND(CS6&gt;=CT$13,CS6&lt;&gt;"",CN6=""),AND(DR6&gt;=DV$13,DR6&lt;&gt;""),AND(DU6&gt;=DV$13,DU6&lt;&gt;""),AND(ER6&gt;=EV$13,ER6&lt;&gt;""),AND(EU6&gt;=EV$13,EU6&lt;&gt;""),AND(FR6&gt;=FV$13,FR6&lt;&gt;""),AND(FU6&gt;=FV$13,FU6&lt;&gt;""),AND(GR6&gt;=GV$13,GR6&lt;&gt;""),AND(GU6&gt;=GV$13,GU6&lt;&gt;""),AND(HR6&gt;=HV$13,HR6&lt;&gt;""),AND(HU6&gt;=HV$13,HU6&lt;&gt;""),AND(IR6&gt;=IV$13,IR6&lt;&gt;""),AND(IU6&gt;=IV$13,IU6&lt;&gt;""),AND(JR6&gt;=JV$13,JR6&lt;&gt;""),AND(JU6&gt;=JV$13,JU6&lt;&gt;""),AND(KR6&gt;=KV$13,KR6&lt;&gt;""),AND(KU6&gt;=KV$13,KU6&lt;&gt;""),AND(LR6&gt;=LV$13,LR6&lt;&gt;""),AND(LU6&gt;=LV$13,LU6&lt;&gt;""),AND(MR6&gt;=MV$13,MR6&lt;&gt;""),AND(MU6&gt;=MV$13,MU6&lt;&gt;""),AND(NR6&gt;=NV$13,NR6&lt;&gt;""),AND(NU6&gt;=NV$13,NU6&lt;&gt;""),AND(OR6&gt;=OV$13,OR6&lt;&gt;""),AND(OU6&gt;=OV$13,OU6&lt;&gt;"")),"P","")</f>
        <v/>
      </c>
      <c r="H6" s="47" t="str">
        <f>IF(AND(G6="P",F6=""),"No DD",IF(OR(AND(AM6&gt;=AR$12,AN6&gt;=AR$16,AM6&lt;&gt;"",AL6=""),AND(AP6&gt;=AR$12,AQ6&gt;=AR$16,AP6&lt;&gt;"",AL6=""),AND(BN6&gt;=BS$12,BO6&gt;=BS$16,BN6&lt;&gt;"",BM6=""),AND(BQ6&gt;=BS$12,BR6&gt;=BS$16,BQ6&lt;&gt;"",BM6=""),AND(CO6&gt;=CT$12,CP6&gt;=CT$16,CO6&lt;&gt;"",CN6=""),AND(CR6&gt;=CT$12,CS6&gt;=CT$16,CR6&lt;&gt;""),AND(DQ6&gt;=DV$12,DR6&gt;=DV$16,DQ6&lt;&gt;""),AND(DT6&gt;=DV$12,DU6&gt;=DV$16,DT6&lt;&gt;""),AND(EQ6&gt;=EV$12,ER6&gt;=EV$16,EQ6&lt;&gt;""),AND(ET6&gt;=EV$12,EU6&gt;=EV$16,ET6&lt;&gt;""),AND(FQ6&gt;=FV$12,FR6&gt;=FV$16,FQ6&lt;&gt;""),AND(FT6&gt;=FV$12,FU6&gt;=FV$16,FT6&lt;&gt;""),AND(GQ6&gt;=GV$12,GR6&gt;=GV$16,GQ6&lt;&gt;""),AND(GT6&gt;=GV$12,GU6&gt;=GV$16,GT6&lt;&gt;""),AND(HQ6&gt;=HV$12,HR6&gt;=HV$16,HQ6&lt;&gt;""),AND(HT6&gt;=HV$12,HU6&gt;=HV$16,HT6&lt;&gt;""),AND(IQ6&gt;=IV$12,IR6&gt;=IV$16,IQ6&lt;&gt;""),AND(IT6&gt;=IV$12,IU6&gt;=IV$16,IT6&lt;&gt;""),AND(JQ6&gt;=JV$12,JR6&gt;=JV$16,JQ6&lt;&gt;""),AND(JT6&gt;=JV$12,JU6&gt;=JV$16,JT6&lt;&gt;""),AND(KQ6&gt;=KV$12,KR6&gt;=KV$16,KQ6&lt;&gt;""),AND(KT6&gt;=KV$12,KU6&gt;=KV$16,KT6&lt;&gt;""),AND(LQ6&gt;=LV$12,LR6&gt;=LV$16,LQ6&lt;&gt;""),AND(LT6&gt;=LV$12,LU6&gt;=LV$16,LT6&lt;&gt;""),AND(MQ6&gt;=MV$12,MR6&gt;=MV$16,MQ6&lt;&gt;""),AND(MT6&gt;=MV$12,MU6&gt;=MV$16,MT6&lt;&gt;""),AND(NQ6&gt;=NV$12,NR6&gt;=NV$16,NQ6&lt;&gt;""),AND(NT6&gt;=NV$12,NU6&gt;=NV$16,NT6&lt;&gt;""),AND(OQ6&gt;=OV$12,OR6&gt;=OV$16,OQ6&lt;&gt;""),AND(OT6&gt;=OV$12,OU6&gt;=OV$16,OT6&lt;&gt;"")),"Merit",IF(OR(AND(AM6&gt;=AR$11,AN6&gt;=AR$15,AM6&lt;&gt;"",AL6=""),AND(AP6&gt;=AR$11,AQ6&gt;=AR$15,AP6&lt;&gt;"",AL6=""),AND(BN6&gt;=BS$11,BO6&gt;=BS$15,BN6&lt;&gt;"",BM6=""),AND(BQ6&gt;=BS$11,BR6&gt;=BS$15,BQ6&lt;&gt;"",BM6=""),AND(CO6&gt;=CT$11,CP6&gt;=CT$15,CO6&lt;&gt;"",CN6=""),AND(CR6&gt;=CT$11,CS6&gt;=CT$15,CR6&lt;&gt;""),AND(DQ6&gt;=DV$11,DR6&gt;=DV$15,DQ6&lt;&gt;""),AND(DT6&gt;=DV$11,DU6&gt;=DV$15,DT6&lt;&gt;""),AND(EQ6&gt;=EV$11,ER6&gt;=EV$15,EQ6&lt;&gt;""),AND(ET6&gt;=EV$11,EU6&gt;=EV$15,ET6&lt;&gt;""),AND(FQ6&gt;=FV$11,FR6&gt;=FV$15,FQ6&lt;&gt;""),AND(FT6&gt;=FV$11,FU6&gt;=FV$15,FT6&lt;&gt;""),AND(GQ6&gt;=GV$11,GR6&gt;=GV$15,GQ6&lt;&gt;""),AND(GT6&gt;=GV$11,GU6&gt;=GV$15,GT6&lt;&gt;""),AND(HQ6&gt;=HV$11,HR6&gt;=HV$15,HQ6&lt;&gt;""),AND(HT6&gt;=HV$11,HU6&gt;=HV$15,HT6&lt;&gt;""),AND(IQ6&gt;=IV$11,IR6&gt;=IV$15,IQ6&lt;&gt;""),AND(IT6&gt;=IV$11,IU6&gt;=IV$15,IT6&lt;&gt;""),AND(JQ6&gt;=JV$11,JR6&gt;=JV$15,JQ6&lt;&gt;""),AND(JT6&gt;=JV$11,JU6&gt;=JV$15,JT6&lt;&gt;""),AND(KQ6&gt;=KV$11,KR6&gt;=KV$15,KQ6&lt;&gt;""),AND(KT6&gt;=KV$11,KU6&gt;=KV$15,KT6&lt;&gt;""),AND(LQ6&gt;=LV$11,LR6&gt;=LV$15,LQ6&lt;&gt;""),AND(LT6&gt;=LV$11,LU6&gt;=LV$15,LT6&lt;&gt;""),AND(MQ6&gt;=MV$11,MR6&gt;=MV$15,MQ6&lt;&gt;""),AND(MT6&gt;=MV$11,MU6&gt;=MV$15,MT6&lt;&gt;""),AND(NQ6&gt;=NV$11,NR6&gt;=NV$15,NQ6&lt;&gt;""),AND(NT6&gt;=NV$11,NU6&gt;=NV$15,NT6&lt;&gt;""),AND(OQ6&gt;=OV$11,OR6&gt;=OV$15,OQ6&lt;&gt;""),AND(OT6&gt;=OV$11,OU6&gt;=OV$15,OT6&lt;&gt;"")),"Excellence",IF(F6="P","National Team",""))))</f>
        <v/>
      </c>
      <c r="I6" s="9">
        <f>IF(COUNT(AN6,BO6,CP6)&gt;0,LARGE((AN6,BO6,CP6),1),0)</f>
        <v>42.399999999999991</v>
      </c>
      <c r="J6" s="9" t="str">
        <f>IF(I6=0,"",IF(I6=CP6,$BT$1,IF(I6=BO6,$AS$1,IF(I6=AN6,$R$1,""))))</f>
        <v>2023 3rd Domestic Trial</v>
      </c>
      <c r="K6" s="9">
        <f>IF(COUNT(AN6,BO6,CP6)&gt;1,LARGE((AN6,BO6,CP6),2),0)</f>
        <v>41.9</v>
      </c>
      <c r="L6" s="9" t="str">
        <f>IF(K6=0,"",IF(K6=CP6,$BT$1,IF(K6=BO6,$AS$1,IF(K6=AN6,$R$1,""))))</f>
        <v>2023 Elite Canada</v>
      </c>
      <c r="M6" s="9">
        <f>IF(MAX(AQ6,BR6,CS6)&gt;0,MAX(AQ6,BR6,CS6),0)</f>
        <v>43.000000000000007</v>
      </c>
      <c r="N6" s="9" t="str">
        <f>IF(M6=0,"",IF(M6=CS6,$BT$1,IF(M6=BR6,$AS$1,IF(M6=AQ6,$R$1,""))))</f>
        <v>2023 Elite Canada</v>
      </c>
      <c r="O6" s="9" t="str">
        <f>IF(MAX(CU6:CV6)&gt;0,MAX(CU6:CV6),"")</f>
        <v/>
      </c>
      <c r="P6" s="14" t="str">
        <f>IF(O6="","",IF(O6=CU6,"("&amp;CU$2&amp;")",IF(O6=CV6,"("&amp;CV$2&amp;")")))</f>
        <v/>
      </c>
      <c r="Q6" s="9" t="str">
        <f>IF(O6="","",IF(O6=CU6,IF(O6+IF(K6="",0,K6)=OR6,$NW$1,IF(O6+IF(K6="",0,K6)=NR6,$MW$1,IF(O6+IF(K6="",0,K6)=MR6,$LW$1,IF(O6+IF(K6="",0,K6)=LR6,$KW$1,IF(O6+IF(K6="",0,K6)=KR6,$JW$1,IF(O6+IF(K6="",0,K6)=JR6,$IW$1,IF(O6+IF(K6="",0,K6)=IR6,$HW$1,IF(O6+IF(K6="",0,K6)=HR6,$GW$1,IF(O6+IF(K6="",0,K6)=GR6,$FW$1,IF(O6+IF(K6="",0,K6)=FR6,$EW$1,IF(O6+IF(K6="",0,K6)=ER6,$DW$1,IF(O6+IF(K6="",0,K6)=DR6,$CW$1)))))))))))),IF(O6=CV6,IF(O6+IF(M6="",0,M6)=OU6,$NW$1,IF(O6+IF(M6="",0,M6)=NU6,$MW$1,IF(O6+IF(M6="",0,M6)=MU6,$LW$1,IF(O6+IF(M6="",0,M6)=LU6,$KW$1,IF(O6+IF(M6="",0,M6)=KU6,$JW$1,IF(O6+IF(M6="",0,M6)=JU6,$IW$1,IF(O6+IF(M6="",0,M6)=IU6,$HW$1,IF(O6+IF(M6="",0,M6)=HU6,$GW$1,IF(O6+IF(M6="",0,M6)=GU6,$FW$1,IF(O6+IF(M6="",0,M6)=FU6,$EW$1,IF(O6+IF(M6="",0,M6)=EU6,$DW$1,IF(O6+IF(M6="",0,M6)=DU6,$CW$1)))))))))))))))</f>
        <v/>
      </c>
      <c r="R6" s="20">
        <v>15.8</v>
      </c>
      <c r="S6" s="20">
        <v>4.5999999999999996</v>
      </c>
      <c r="T6" s="20">
        <v>0.2</v>
      </c>
      <c r="U6" s="20">
        <v>0.6</v>
      </c>
      <c r="V6" s="20">
        <v>16.7</v>
      </c>
      <c r="W6" s="20">
        <v>4.0999999999999996</v>
      </c>
      <c r="X6" s="20">
        <v>0</v>
      </c>
      <c r="Y6" s="20">
        <v>0.3</v>
      </c>
      <c r="Z6" s="20"/>
      <c r="AA6" s="20"/>
      <c r="AB6" s="20"/>
      <c r="AC6" s="20"/>
      <c r="AD6" s="20">
        <v>16.600000000000001</v>
      </c>
      <c r="AE6" s="20">
        <v>4.5999999999999996</v>
      </c>
      <c r="AF6" s="20">
        <v>0</v>
      </c>
      <c r="AG6" s="20">
        <v>0.6</v>
      </c>
      <c r="AH6" s="20">
        <v>16.8</v>
      </c>
      <c r="AI6" s="20">
        <v>4.0999999999999996</v>
      </c>
      <c r="AJ6" s="20">
        <v>0</v>
      </c>
      <c r="AK6" s="20">
        <v>0.3</v>
      </c>
      <c r="AL6" s="32"/>
      <c r="AM6" s="55">
        <f>IF(SUM(S6,W6)&gt;0,SUM(S6,W6),"")</f>
        <v>8.6999999999999993</v>
      </c>
      <c r="AN6" s="55">
        <f>IF(SUM(R6:S6,U6:W6,Y6)-T6-X6&gt;0,SUM(R6:S6,U6:W6,Y6)-T6-X6,"")</f>
        <v>41.9</v>
      </c>
      <c r="AO6" s="55" t="str">
        <f>IF(SUM(Z6:AA6,AC6)-AB6&gt;0,SUM(Z6:AA6,AC6)-AB6,"")</f>
        <v/>
      </c>
      <c r="AP6" s="55">
        <f>IF(SUM(AE6,AI6)&gt;0,SUM(AE6,AI6),"")</f>
        <v>8.6999999999999993</v>
      </c>
      <c r="AQ6" s="55">
        <f>IF(SUM(AD6:AE6,AG6:AI6,AK6)-SUM(AF6,AJ6)&gt;0,SUM(AD6:AE6,AG6:AI6,AK6)-SUM(AF6,AJ6),"")</f>
        <v>43.000000000000007</v>
      </c>
      <c r="AR6" s="55">
        <f>IF(SUM(AN6,AO6,AQ6)&gt;0,SUM(AN6,AO6,AQ6),"")</f>
        <v>84.9</v>
      </c>
      <c r="AS6" s="19">
        <v>16.600000000000001</v>
      </c>
      <c r="AT6" s="19">
        <v>5.0999999999999996</v>
      </c>
      <c r="AU6" s="19">
        <v>0</v>
      </c>
      <c r="AV6" s="19">
        <v>0.3</v>
      </c>
      <c r="AW6" s="19">
        <v>15.1</v>
      </c>
      <c r="AX6" s="19">
        <v>1.9</v>
      </c>
      <c r="AY6" s="19">
        <v>0</v>
      </c>
      <c r="AZ6" s="19">
        <v>0.3</v>
      </c>
      <c r="BA6" s="19">
        <v>14.1</v>
      </c>
      <c r="BB6" s="19">
        <v>2.7</v>
      </c>
      <c r="BC6" s="19">
        <v>0</v>
      </c>
      <c r="BD6" s="19">
        <v>0.3</v>
      </c>
      <c r="BE6" s="19">
        <v>15.8</v>
      </c>
      <c r="BF6" s="19">
        <v>3.6</v>
      </c>
      <c r="BG6" s="19">
        <v>0.9</v>
      </c>
      <c r="BH6" s="19">
        <v>0.3</v>
      </c>
      <c r="BI6" s="19">
        <v>16.100000000000001</v>
      </c>
      <c r="BJ6" s="19">
        <v>3.9</v>
      </c>
      <c r="BK6" s="19">
        <v>0.2</v>
      </c>
      <c r="BL6" s="19">
        <v>0.3</v>
      </c>
      <c r="BM6" s="33"/>
      <c r="BN6" s="14">
        <f>IF(SUM(AT6,AX6)&gt;0,SUM(AT6,AX6),"")</f>
        <v>7</v>
      </c>
      <c r="BO6" s="14">
        <f>IF(SUM(AS6:AT6,AV6:AX6,AZ6)-AU6-AY6&gt;0,SUM(AS6:AT6,AV6:AX6,AZ6)-AU6-AY6,"")</f>
        <v>39.299999999999997</v>
      </c>
      <c r="BP6" s="14">
        <f>IF(SUM(BA6:BB6,BD6)-BC6&gt;0,SUM(BA6:BB6,BD6)-BC6,"")</f>
        <v>17.100000000000001</v>
      </c>
      <c r="BQ6" s="14">
        <f>IF(SUM(BF6,BJ6)&gt;0,SUM(BF6,BJ6),"")</f>
        <v>7.5</v>
      </c>
      <c r="BR6" s="14">
        <f>IF(SUM(BE6:BF6,BH6:BJ6,BL6)-SUM(BG6,BK6)&gt;0,SUM(BE6:BF6,BH6:BJ6,BL6)-SUM(BG6,BK6),"")</f>
        <v>38.9</v>
      </c>
      <c r="BS6" s="14">
        <f>IF(SUM(BO6,BP6,BR6)&gt;0,SUM(BO6,BP6,BR6),"")</f>
        <v>95.3</v>
      </c>
      <c r="BT6" s="20">
        <v>17.2</v>
      </c>
      <c r="BU6" s="20">
        <v>4.0999999999999996</v>
      </c>
      <c r="BV6" s="20">
        <v>0</v>
      </c>
      <c r="BW6" s="20">
        <v>0.3</v>
      </c>
      <c r="BX6" s="20">
        <v>17</v>
      </c>
      <c r="BY6" s="20">
        <v>3.9</v>
      </c>
      <c r="BZ6" s="20">
        <v>0.4</v>
      </c>
      <c r="CA6" s="20">
        <v>0.3</v>
      </c>
      <c r="CB6" s="20">
        <v>17</v>
      </c>
      <c r="CC6" s="20">
        <v>3.6</v>
      </c>
      <c r="CD6" s="20">
        <v>0.5</v>
      </c>
      <c r="CE6" s="20">
        <v>0</v>
      </c>
      <c r="CF6" s="20">
        <v>17</v>
      </c>
      <c r="CG6" s="20">
        <v>4.0999999999999996</v>
      </c>
      <c r="CH6" s="20">
        <v>0</v>
      </c>
      <c r="CI6" s="20">
        <v>0.3</v>
      </c>
      <c r="CJ6" s="20">
        <v>14.6</v>
      </c>
      <c r="CK6" s="20">
        <v>3.9</v>
      </c>
      <c r="CL6" s="20">
        <v>0.6</v>
      </c>
      <c r="CM6" s="20">
        <v>0.3</v>
      </c>
      <c r="CN6" s="32"/>
      <c r="CO6" s="55">
        <f>IF(SUM(BU6,BY6)&gt;0,SUM(BU6,BY6),"")</f>
        <v>8</v>
      </c>
      <c r="CP6" s="55">
        <f>IF(SUM(BT6:BU6,BW6:BY6,CA6)-BV6-BZ6&gt;0,SUM(BT6:BU6,BW6:BY6,CA6)-BV6-BZ6,"")</f>
        <v>42.399999999999991</v>
      </c>
      <c r="CQ6" s="55">
        <f>IF(SUM(CB6:CC6,CE6)-CD6&gt;0,SUM(CB6:CC6,CE6)-CD6,"")</f>
        <v>20.100000000000001</v>
      </c>
      <c r="CR6" s="55">
        <f>IF(SUM(CG6,CK6)&gt;0,SUM(CG6,CK6),"")</f>
        <v>8</v>
      </c>
      <c r="CS6" s="55">
        <f>IF(SUM(CF6:CG6,CI6:CK6,CM6)-SUM(CH6,CL6)&gt;0,SUM(CF6:CG6,CI6:CK6,CM6)-SUM(CH6,CL6),"")</f>
        <v>39.599999999999994</v>
      </c>
      <c r="CT6" s="55">
        <f>IF(SUM(CP6,CQ6,CS6)&gt;0,SUM(CP6,CQ6,CS6),"")</f>
        <v>102.1</v>
      </c>
      <c r="CU6" s="56" t="str">
        <f>IF(MAX(DR6,ER6,FR6,GR6,HR6,IR6,JR6,KR6,LR6,MR6,NR6,OR6)-IF(K6="",0,K6)&gt;0.001,MAX(DR6,ER6,FR6,GR6,HR6,IR6,JR6,KR6,LR6,MR6,NR6,OR6)-IF(K6="",0,K6),"")</f>
        <v/>
      </c>
      <c r="CV6" s="56" t="str">
        <f>IF(MAX(DU6,EU6,FU6,GU6,HU6,IU6,JU6,KU6,LU6,MU6,NU6,OU6)-IF(M6="",0,M6)&gt;0.001,MAX(DU6,EU6,FU6,GU6,HU6,IU6,JU6,KU6,LU6,MU6,NU6,OU6)-IF(M6="",0,M6),"")</f>
        <v/>
      </c>
      <c r="CW6" s="18"/>
      <c r="CX6" s="18"/>
      <c r="CY6" s="18"/>
      <c r="CZ6" s="18"/>
      <c r="DA6" s="18"/>
      <c r="DB6" s="18"/>
      <c r="DC6" s="18"/>
      <c r="DD6" s="18"/>
      <c r="DE6" s="18"/>
      <c r="DF6" s="18"/>
      <c r="DG6" s="18"/>
      <c r="DH6" s="18"/>
      <c r="DI6" s="18"/>
      <c r="DJ6" s="18"/>
      <c r="DK6" s="18"/>
      <c r="DL6" s="18"/>
      <c r="DM6" s="18"/>
      <c r="DN6" s="18"/>
      <c r="DO6" s="18"/>
      <c r="DP6" s="18"/>
      <c r="DQ6" s="55" t="str">
        <f>IF(SUM(CX6,DB6)&gt;0,SUM(CX6,DB6),"")</f>
        <v/>
      </c>
      <c r="DR6" s="55" t="str">
        <f>IF(SUM(CW6:CX6,CZ6:DB6,DD6)-CY6-DC6&gt;0,SUM(CW6:CX6,CZ6:DB6,DD6)-CY6-DC6,"")</f>
        <v/>
      </c>
      <c r="DS6" s="55" t="str">
        <f>IF(SUM(DE6:DF6,DH6)-DG6&gt;0,SUM(DE6:DF6,DH6)-DG6,"")</f>
        <v/>
      </c>
      <c r="DT6" s="55" t="str">
        <f>IF(SUM(DJ6,DN6)&gt;0,SUM(DJ6,DN6),"")</f>
        <v/>
      </c>
      <c r="DU6" s="55" t="str">
        <f>IF(SUM(DI6:DJ6,DL6:DN6,DP6)-SUM(DK6,DO6)&gt;0,SUM(DI6:DJ6,DL6:DN6,DP6)-SUM(DK6,DO6),"")</f>
        <v/>
      </c>
      <c r="DV6" s="55" t="str">
        <f>IF(SUM(DR6,DS6,DU6)&gt;0,SUM(DR6,DS6,DU6),"")</f>
        <v/>
      </c>
      <c r="DW6" s="19"/>
      <c r="DX6" s="19"/>
      <c r="DY6" s="19"/>
      <c r="DZ6" s="19"/>
      <c r="EA6" s="19"/>
      <c r="EB6" s="19"/>
      <c r="EC6" s="19"/>
      <c r="ED6" s="19"/>
      <c r="EE6" s="19"/>
      <c r="EF6" s="19"/>
      <c r="EG6" s="19"/>
      <c r="EH6" s="19"/>
      <c r="EI6" s="19"/>
      <c r="EJ6" s="19"/>
      <c r="EK6" s="19"/>
      <c r="EL6" s="19"/>
      <c r="EM6" s="19"/>
      <c r="EN6" s="19"/>
      <c r="EO6" s="19"/>
      <c r="EP6" s="19"/>
      <c r="EQ6" s="14" t="str">
        <f>IF(SUM(DX6,EB6)&gt;0,SUM(DX6,EB6),"")</f>
        <v/>
      </c>
      <c r="ER6" s="14" t="str">
        <f>IF(SUM(DW6:DX6,DZ6:EB6,ED6)-DY6-EC6&gt;0,SUM(DW6:DX6,DZ6:EB6,ED6)-DY6-EC6,"")</f>
        <v/>
      </c>
      <c r="ES6" s="14" t="str">
        <f>IF(SUM(EE6:EF6,EH6)-EG6&gt;0,SUM(EE6:EF6,EH6)-EG6,"")</f>
        <v/>
      </c>
      <c r="ET6" s="14" t="str">
        <f>IF(SUM(EJ6,EN6)&gt;0,SUM(EJ6,EN6),"")</f>
        <v/>
      </c>
      <c r="EU6" s="14" t="str">
        <f>IF(SUM(EI6:EJ6,EL6:EN6,EP6)-SUM(EK6,EO6)&gt;0,SUM(EI6:EJ6,EL6:EN6,EP6)-SUM(EK6,EO6),"")</f>
        <v/>
      </c>
      <c r="EV6" s="14" t="str">
        <f>IF(SUM(ER6,ES6,EU6)&gt;0,SUM(ER6,ES6,EU6),"")</f>
        <v/>
      </c>
      <c r="EW6" s="18"/>
      <c r="EX6" s="18"/>
      <c r="EY6" s="18"/>
      <c r="EZ6" s="18"/>
      <c r="FA6" s="18"/>
      <c r="FB6" s="18"/>
      <c r="FC6" s="18"/>
      <c r="FD6" s="18"/>
      <c r="FE6" s="18"/>
      <c r="FF6" s="18"/>
      <c r="FG6" s="18"/>
      <c r="FH6" s="18"/>
      <c r="FI6" s="18"/>
      <c r="FJ6" s="18"/>
      <c r="FK6" s="18"/>
      <c r="FL6" s="18"/>
      <c r="FM6" s="18"/>
      <c r="FN6" s="18"/>
      <c r="FO6" s="18"/>
      <c r="FP6" s="18"/>
      <c r="FQ6" s="55" t="str">
        <f>IF(SUM(EX6,FB6)&gt;0,SUM(EX6,FB6),"")</f>
        <v/>
      </c>
      <c r="FR6" s="55" t="str">
        <f>IF(SUM(EW6:EX6,EZ6:FB6,FD6)-EY6-FC6&gt;0,SUM(EW6:EX6,EZ6:FB6,FD6)-EY6-FC6,"")</f>
        <v/>
      </c>
      <c r="FS6" s="55" t="str">
        <f>IF(SUM(FE6:FF6,FH6)-FG6&gt;0,SUM(FE6:FF6,FH6)-FG6,"")</f>
        <v/>
      </c>
      <c r="FT6" s="55" t="str">
        <f>IF(SUM(FJ6,FN6)&gt;0,SUM(FJ6,FN6),"")</f>
        <v/>
      </c>
      <c r="FU6" s="55" t="str">
        <f>IF(SUM(FI6:FJ6,FL6:FN6,FP6)-SUM(FK6,FO6)&gt;0,SUM(FI6:FJ6,FL6:FN6,FP6)-SUM(FK6,FO6),"")</f>
        <v/>
      </c>
      <c r="FV6" s="55" t="str">
        <f>IF(SUM(FR6,FS6,FU6)&gt;0,SUM(FR6,FS6,FU6),"")</f>
        <v/>
      </c>
      <c r="FW6" s="19"/>
      <c r="FX6" s="19"/>
      <c r="FY6" s="19"/>
      <c r="FZ6" s="19"/>
      <c r="GA6" s="19"/>
      <c r="GB6" s="19"/>
      <c r="GC6" s="19"/>
      <c r="GD6" s="19"/>
      <c r="GE6" s="19"/>
      <c r="GF6" s="19"/>
      <c r="GG6" s="19"/>
      <c r="GH6" s="19"/>
      <c r="GI6" s="19"/>
      <c r="GJ6" s="19"/>
      <c r="GK6" s="19"/>
      <c r="GL6" s="19"/>
      <c r="GM6" s="19"/>
      <c r="GN6" s="19"/>
      <c r="GO6" s="19"/>
      <c r="GP6" s="19"/>
      <c r="GQ6" s="14" t="str">
        <f>IF(SUM(FX6,GB6)&gt;0,SUM(FX6,GB6),"")</f>
        <v/>
      </c>
      <c r="GR6" s="14" t="str">
        <f>IF(SUM(FW6:FX6,FZ6:GB6,GD6)-FY6-GC6&gt;0,SUM(FW6:FX6,FZ6:GB6,GD6)-FY6-GC6,"")</f>
        <v/>
      </c>
      <c r="GS6" s="14" t="str">
        <f>IF(SUM(GE6:GF6,GH6)-GG6&gt;0,SUM(GE6:GF6,GH6)-GG6,"")</f>
        <v/>
      </c>
      <c r="GT6" s="14" t="str">
        <f>IF(SUM(GJ6,GN6)&gt;0,SUM(GJ6,GN6),"")</f>
        <v/>
      </c>
      <c r="GU6" s="14" t="str">
        <f>IF(SUM(GI6:GJ6,GL6:GN6,GP6)-SUM(GK6,GO6)&gt;0,SUM(GI6:GJ6,GL6:GN6,GP6)-SUM(GK6,GO6),"")</f>
        <v/>
      </c>
      <c r="GV6" s="14" t="str">
        <f>IF(SUM(GR6,GS6,GU6)&gt;0,SUM(GR6,GS6,GU6),"")</f>
        <v/>
      </c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55" t="str">
        <f>IF(SUM(GX6,HB6)&gt;0,SUM(GX6,HB6),"")</f>
        <v/>
      </c>
      <c r="HR6" s="55" t="str">
        <f>IF(SUM(GW6:GX6,GZ6:HB6,HD6)-GY6-HC6&gt;0,SUM(GW6:GX6,GZ6:HB6,HD6)-GY6-HC6,"")</f>
        <v/>
      </c>
      <c r="HS6" s="55" t="str">
        <f>IF(SUM(HE6:HF6,HH6)-HG6&gt;0,SUM(HE6:HF6,HH6)-HG6,"")</f>
        <v/>
      </c>
      <c r="HT6" s="55" t="str">
        <f>IF(SUM(HJ6,HN6)&gt;0,SUM(HJ6,HN6),"")</f>
        <v/>
      </c>
      <c r="HU6" s="55" t="str">
        <f>IF(SUM(HI6:HJ6,HL6:HN6,HP6)-SUM(HK6,HO6)&gt;0,SUM(HI6:HJ6,HL6:HN6,HP6)-SUM(HK6,HO6),"")</f>
        <v/>
      </c>
      <c r="HV6" s="55" t="str">
        <f>IF(SUM(HR6,HS6,HU6)&gt;0,SUM(HR6,HS6,HU6),"")</f>
        <v/>
      </c>
      <c r="HW6" s="19"/>
      <c r="HX6" s="19"/>
      <c r="HY6" s="19"/>
      <c r="HZ6" s="19"/>
      <c r="IA6" s="19"/>
      <c r="IB6" s="19"/>
      <c r="IC6" s="19"/>
      <c r="ID6" s="19"/>
      <c r="IE6" s="19"/>
      <c r="IF6" s="19"/>
      <c r="IG6" s="19"/>
      <c r="IH6" s="19"/>
      <c r="II6" s="19"/>
      <c r="IJ6" s="19"/>
      <c r="IK6" s="19"/>
      <c r="IL6" s="19"/>
      <c r="IM6" s="19"/>
      <c r="IN6" s="19"/>
      <c r="IO6" s="19"/>
      <c r="IP6" s="19"/>
      <c r="IQ6" s="14" t="str">
        <f>IF(SUM(HX6,IB6)&gt;0,SUM(HX6,IB6),"")</f>
        <v/>
      </c>
      <c r="IR6" s="14" t="str">
        <f>IF(SUM(HW6:HX6,HZ6:IB6,ID6)-HY6-IC6&gt;0,SUM(HW6:HX6,HZ6:IB6,ID6)-HY6-IC6,"")</f>
        <v/>
      </c>
      <c r="IS6" s="14" t="str">
        <f>IF(SUM(IE6:IF6,IH6)-IG6&gt;0,SUM(IE6:IF6,IH6)-IG6,"")</f>
        <v/>
      </c>
      <c r="IT6" s="14" t="str">
        <f>IF(SUM(IJ6,IN6)&gt;0,SUM(IJ6,IN6),"")</f>
        <v/>
      </c>
      <c r="IU6" s="14" t="str">
        <f>IF(SUM(II6:IJ6,IL6:IN6,IP6)-SUM(IK6,IO6)&gt;0,SUM(II6:IJ6,IL6:IN6,IP6)-SUM(IK6,IO6),"")</f>
        <v/>
      </c>
      <c r="IV6" s="14" t="str">
        <f>IF(SUM(IR6,IS6,IU6)&gt;0,SUM(IR6,IS6,IU6),"")</f>
        <v/>
      </c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8"/>
      <c r="JL6" s="18"/>
      <c r="JM6" s="18"/>
      <c r="JN6" s="18"/>
      <c r="JO6" s="18"/>
      <c r="JP6" s="18"/>
      <c r="JQ6" s="55" t="str">
        <f>IF(SUM(IX6,JB6)&gt;0,SUM(IX6,JB6),"")</f>
        <v/>
      </c>
      <c r="JR6" s="55" t="str">
        <f>IF(SUM(IW6:IX6,IZ6:JB6,JD6)-IY6-JC6&gt;0,SUM(IW6:IX6,IZ6:JB6,JD6)-IY6-JC6,"")</f>
        <v/>
      </c>
      <c r="JS6" s="55" t="str">
        <f>IF(SUM(JE6:JF6,JH6)-JG6&gt;0,SUM(JE6:JF6,JH6)-JG6,"")</f>
        <v/>
      </c>
      <c r="JT6" s="55" t="str">
        <f>IF(SUM(JJ6,JN6)&gt;0,SUM(JJ6,JN6),"")</f>
        <v/>
      </c>
      <c r="JU6" s="55" t="str">
        <f>IF(SUM(JI6:JJ6,JL6:JN6,JP6)-SUM(JK6,JO6)&gt;0,SUM(JI6:JJ6,JL6:JN6,JP6)-SUM(JK6,JO6),"")</f>
        <v/>
      </c>
      <c r="JV6" s="55" t="str">
        <f>IF(SUM(JR6,JS6,JU6)&gt;0,SUM(JR6,JS6,JU6),"")</f>
        <v/>
      </c>
      <c r="JW6" s="19"/>
      <c r="JX6" s="19"/>
      <c r="JY6" s="19"/>
      <c r="JZ6" s="19"/>
      <c r="KA6" s="19"/>
      <c r="KB6" s="19"/>
      <c r="KC6" s="19"/>
      <c r="KD6" s="19"/>
      <c r="KE6" s="19"/>
      <c r="KF6" s="19"/>
      <c r="KG6" s="19"/>
      <c r="KH6" s="19"/>
      <c r="KI6" s="19"/>
      <c r="KJ6" s="19"/>
      <c r="KK6" s="19"/>
      <c r="KL6" s="19"/>
      <c r="KM6" s="19"/>
      <c r="KN6" s="19"/>
      <c r="KO6" s="19"/>
      <c r="KP6" s="19"/>
      <c r="KQ6" s="14" t="str">
        <f>IF(SUM(JX6,KB6)&gt;0,SUM(JX6,KB6),"")</f>
        <v/>
      </c>
      <c r="KR6" s="14" t="str">
        <f>IF(SUM(JW6:JX6,JZ6:KB6,KD6)-JY6-KC6&gt;0,SUM(JW6:JX6,JZ6:KB6,KD6)-JY6-KC6,"")</f>
        <v/>
      </c>
      <c r="KS6" s="14" t="str">
        <f>IF(SUM(KE6:KF6,KH6)-KG6&gt;0,SUM(KE6:KF6,KH6)-KG6,"")</f>
        <v/>
      </c>
      <c r="KT6" s="14" t="str">
        <f>IF(SUM(KJ6,KN6)&gt;0,SUM(KJ6,KN6),"")</f>
        <v/>
      </c>
      <c r="KU6" s="14" t="str">
        <f>IF(SUM(KI6:KJ6,KL6:KN6,KP6)-SUM(KK6,KO6)&gt;0,SUM(KI6:KJ6,KL6:KN6,KP6)-SUM(KK6,KO6),"")</f>
        <v/>
      </c>
      <c r="KV6" s="14" t="str">
        <f>IF(SUM(KR6,KS6,KU6)&gt;0,SUM(KR6,KS6,KU6),"")</f>
        <v/>
      </c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8"/>
      <c r="LP6" s="18"/>
      <c r="LQ6" s="55" t="str">
        <f>IF(SUM(KX6,LB6)&gt;0,SUM(KX6,LB6),"")</f>
        <v/>
      </c>
      <c r="LR6" s="55" t="str">
        <f>IF(SUM(KW6:KX6,KZ6:LB6,LD6)-KY6-LC6&gt;0,SUM(KW6:KX6,KZ6:LB6,LD6)-KY6-LC6,"")</f>
        <v/>
      </c>
      <c r="LS6" s="55" t="str">
        <f>IF(SUM(LE6:LF6,LH6)-LG6&gt;0,SUM(LE6:LF6,LH6)-LG6,"")</f>
        <v/>
      </c>
      <c r="LT6" s="55" t="str">
        <f>IF(SUM(LJ6,LN6)&gt;0,SUM(LJ6,LN6),"")</f>
        <v/>
      </c>
      <c r="LU6" s="55" t="str">
        <f>IF(SUM(LI6:LJ6,LL6:LN6,LP6)-SUM(LK6,LO6)&gt;0,SUM(LI6:LJ6,LL6:LN6,LP6)-SUM(LK6,LO6),"")</f>
        <v/>
      </c>
      <c r="LV6" s="55" t="str">
        <f>IF(SUM(LR6,LS6,LU6)&gt;0,SUM(LR6,LS6,LU6),"")</f>
        <v/>
      </c>
      <c r="LW6" s="19"/>
      <c r="LX6" s="19"/>
      <c r="LY6" s="19"/>
      <c r="LZ6" s="19"/>
      <c r="MA6" s="19"/>
      <c r="MB6" s="19"/>
      <c r="MC6" s="19"/>
      <c r="MD6" s="19"/>
      <c r="ME6" s="19"/>
      <c r="MF6" s="19"/>
      <c r="MG6" s="19"/>
      <c r="MH6" s="19"/>
      <c r="MI6" s="19"/>
      <c r="MJ6" s="19"/>
      <c r="MK6" s="19"/>
      <c r="ML6" s="19"/>
      <c r="MM6" s="19"/>
      <c r="MN6" s="19"/>
      <c r="MO6" s="19"/>
      <c r="MP6" s="19"/>
      <c r="MQ6" s="14" t="str">
        <f>IF(SUM(LX6,MB6)&gt;0,SUM(LX6,MB6),"")</f>
        <v/>
      </c>
      <c r="MR6" s="14" t="str">
        <f>IF(SUM(LW6:LX6,LZ6:MB6,MD6)-LY6-MC6&gt;0,SUM(LW6:LX6,LZ6:MB6,MD6)-LY6-MC6,"")</f>
        <v/>
      </c>
      <c r="MS6" s="14" t="str">
        <f>IF(SUM(ME6:MF6,MH6)-MG6&gt;0,SUM(ME6:MF6,MH6)-MG6,"")</f>
        <v/>
      </c>
      <c r="MT6" s="14" t="str">
        <f>IF(SUM(MJ6,MN6)&gt;0,SUM(MJ6,MN6),"")</f>
        <v/>
      </c>
      <c r="MU6" s="14" t="str">
        <f>IF(SUM(MI6:MJ6,ML6:MN6,MP6)-SUM(MK6,MO6)&gt;0,SUM(MI6:MJ6,ML6:MN6,MP6)-SUM(MK6,MO6),"")</f>
        <v/>
      </c>
      <c r="MV6" s="14" t="str">
        <f>IF(SUM(MR6,MS6,MU6)&gt;0,SUM(MR6,MS6,MU6),"")</f>
        <v/>
      </c>
      <c r="MW6" s="18"/>
      <c r="MX6" s="18"/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55" t="str">
        <f>IF(SUM(MX6,NB6)&gt;0,SUM(MX6,NB6),"")</f>
        <v/>
      </c>
      <c r="NR6" s="55" t="str">
        <f>IF(SUM(MW6:MX6,MZ6:NB6,ND6)-MY6-NC6&gt;0,SUM(MW6:MX6,MZ6:NB6,ND6)-MY6-NC6,"")</f>
        <v/>
      </c>
      <c r="NS6" s="55" t="str">
        <f>IF(SUM(NE6:NF6,NH6)-NG6&gt;0,SUM(NE6:NF6,NH6)-NG6,"")</f>
        <v/>
      </c>
      <c r="NT6" s="55" t="str">
        <f>IF(SUM(NJ6,NN6)&gt;0,SUM(NJ6,NN6),"")</f>
        <v/>
      </c>
      <c r="NU6" s="55" t="str">
        <f>IF(SUM(NI6:NJ6,NL6:NN6,NP6)-SUM(NK6,NO6)&gt;0,SUM(NI6:NJ6,NL6:NN6,NP6)-SUM(NK6,NO6),"")</f>
        <v/>
      </c>
      <c r="NV6" s="55" t="str">
        <f>IF(SUM(NR6,NS6,NU6)&gt;0,SUM(NR6,NS6,NU6),"")</f>
        <v/>
      </c>
      <c r="NW6" s="19"/>
      <c r="NX6" s="19"/>
      <c r="NY6" s="19"/>
      <c r="NZ6" s="19"/>
      <c r="OA6" s="19"/>
      <c r="OB6" s="19"/>
      <c r="OC6" s="19"/>
      <c r="OD6" s="19"/>
      <c r="OE6" s="19"/>
      <c r="OF6" s="19"/>
      <c r="OG6" s="19"/>
      <c r="OH6" s="19"/>
      <c r="OI6" s="19"/>
      <c r="OJ6" s="19"/>
      <c r="OK6" s="19"/>
      <c r="OL6" s="19"/>
      <c r="OM6" s="19"/>
      <c r="ON6" s="19"/>
      <c r="OO6" s="19"/>
      <c r="OP6" s="19"/>
      <c r="OQ6" s="14" t="str">
        <f>IF(SUM(NX6,OB6)&gt;0,SUM(NX6,OB6),"")</f>
        <v/>
      </c>
      <c r="OR6" s="14" t="str">
        <f>IF(SUM(NW6:NX6,NZ6:OB6,OD6)-NY6-OC6&gt;0,SUM(NW6:NX6,NZ6:OB6,OD6)-NY6-OC6,"")</f>
        <v/>
      </c>
      <c r="OS6" s="14" t="str">
        <f>IF(SUM(OE6:OF6,OH6)-OG6&gt;0,SUM(OE6:OF6,OH6)-OG6,"")</f>
        <v/>
      </c>
      <c r="OT6" s="14" t="str">
        <f>IF(SUM(OJ6,ON6)&gt;0,SUM(OJ6,ON6),"")</f>
        <v/>
      </c>
      <c r="OU6" s="14" t="str">
        <f>IF(SUM(OI6:OJ6,OL6:ON6,OP6)-SUM(OK6,OO6)&gt;0,SUM(OI6:OJ6,OL6:ON6,OP6)-SUM(OK6,OO6),"")</f>
        <v/>
      </c>
      <c r="OV6" s="14" t="str">
        <f>IF(SUM(OR6,OS6,OU6)&gt;0,SUM(OR6,OS6,OU6),"")</f>
        <v/>
      </c>
      <c r="OW6" s="27">
        <f>IF($CN6="P",BT6,(BT6+AS6)/2)</f>
        <v>16.899999999999999</v>
      </c>
      <c r="OX6" s="27">
        <f>IF($CN6="P",BU6,(BU6+AT6)/2)</f>
        <v>4.5999999999999996</v>
      </c>
      <c r="OY6" s="27">
        <f>IF($CN6="P",BV6,(BV6+AU6)/2)</f>
        <v>0</v>
      </c>
      <c r="OZ6" s="27">
        <f>IF($CN6="P",BW6,(BW6+AV6)/2)</f>
        <v>0.3</v>
      </c>
      <c r="PA6" s="27">
        <f>IF($CN6="P",BX6,(BX6+AW6)/2)</f>
        <v>16.05</v>
      </c>
      <c r="PB6" s="27">
        <f>IF($CN6="P",BY6,(BY6+AX6)/2)</f>
        <v>2.9</v>
      </c>
      <c r="PC6" s="27">
        <f>IF($CN6="P",BZ6,(BZ6+AY6)/2)</f>
        <v>0.2</v>
      </c>
      <c r="PD6" s="27">
        <f>IF($CN6="P",CA6,(CA6+AZ6)/2)</f>
        <v>0.3</v>
      </c>
      <c r="PE6" s="27">
        <f>IF($CN6="P",CB6,(CB6+BA6)/2)</f>
        <v>15.55</v>
      </c>
      <c r="PF6" s="27">
        <f>IF($CN6="P",CC6,(CC6+BB6)/2)</f>
        <v>3.1500000000000004</v>
      </c>
      <c r="PG6" s="27">
        <f>IF($CN6="P",CD6,(CD6+BC6)/2)</f>
        <v>0.25</v>
      </c>
      <c r="PH6" s="27">
        <f>IF($CN6="P",CE6,(CE6+BD6)/2)</f>
        <v>0.15</v>
      </c>
      <c r="PI6" s="27">
        <f>IF($CN6="P",CF6,(CF6+BE6)/2)</f>
        <v>16.399999999999999</v>
      </c>
      <c r="PJ6" s="27">
        <f>IF($CN6="P",CG6,(CG6+BF6)/2)</f>
        <v>3.8499999999999996</v>
      </c>
      <c r="PK6" s="27">
        <f>IF($CN6="P",CH6,(CH6+BG6)/2)</f>
        <v>0.45</v>
      </c>
      <c r="PL6" s="27">
        <f>IF($CN6="P",CI6,(CI6+BH6)/2)</f>
        <v>0.3</v>
      </c>
      <c r="PM6" s="27">
        <f>IF($CN6="P",CJ6,(CJ6+BI6)/2)</f>
        <v>15.350000000000001</v>
      </c>
      <c r="PN6" s="27">
        <f>IF($CN6="P",CK6,(CK6+BJ6)/2)</f>
        <v>3.9</v>
      </c>
      <c r="PO6" s="27">
        <f>IF($CN6="P",CL6,(CL6+BK6)/2)</f>
        <v>0.4</v>
      </c>
      <c r="PP6" s="27">
        <f>IF($CN6="P",CM6,(CM6+BL6)/2)</f>
        <v>0.3</v>
      </c>
      <c r="PQ6" s="32" t="s">
        <v>44</v>
      </c>
      <c r="PR6" s="55">
        <f>IF(SUM(OX6,PB6)&gt;0,SUM(OX6,PB6),"")</f>
        <v>7.5</v>
      </c>
      <c r="PS6" s="55">
        <f>IF(SUM(OW6:OX6,OZ6:PB6,PD6)-OY6-PC6&gt;0,SUM(OW6:OX6,OZ6:PB6,PD6)-OY6-PC6,"")</f>
        <v>40.849999999999994</v>
      </c>
      <c r="PT6" s="55">
        <f>IF(SUM(PE6:PF6,PH6)-PG6&gt;0,SUM(PE6:PF6,PH6)-PG6,"")</f>
        <v>18.600000000000001</v>
      </c>
      <c r="PU6" s="55">
        <f>IF(SUM(PJ6,PN6)&gt;0,SUM(PJ6,PN6),"")</f>
        <v>7.75</v>
      </c>
      <c r="PV6" s="55">
        <f>IF(SUM(PI6:PJ6,PL6:PN6,PP6)-SUM(PK6,PO6)&gt;0,SUM(PI6:PJ6,PL6:PN6,PP6)-SUM(PK6,PO6),"")</f>
        <v>39.25</v>
      </c>
      <c r="PW6" s="55">
        <f>IF(SUM(PS6,PT6,PV6)&gt;0,SUM(PS6,PT6,PV6),"")</f>
        <v>98.699999999999989</v>
      </c>
    </row>
    <row r="7" spans="1:439" ht="17" x14ac:dyDescent="0.2">
      <c r="O7" s="11"/>
      <c r="P7" s="11"/>
      <c r="Q7" s="11"/>
    </row>
    <row r="8" spans="1:439" ht="17" x14ac:dyDescent="0.2">
      <c r="O8" s="11"/>
      <c r="P8" s="11"/>
      <c r="Q8" s="11"/>
    </row>
    <row r="9" spans="1:439" ht="17" x14ac:dyDescent="0.2">
      <c r="B9" s="28" t="s">
        <v>42</v>
      </c>
      <c r="O9" s="11"/>
      <c r="P9" s="11"/>
      <c r="Q9" s="11"/>
      <c r="AM9" s="4"/>
      <c r="AR9" s="57">
        <v>8.6999999999999993</v>
      </c>
      <c r="BN9" s="4"/>
      <c r="BS9" s="57">
        <v>8.6999999999999993</v>
      </c>
      <c r="CO9" s="4"/>
      <c r="CT9" s="57">
        <v>8.6999999999999993</v>
      </c>
      <c r="DQ9" s="4"/>
      <c r="DV9" s="57">
        <v>8.6999999999999993</v>
      </c>
      <c r="EQ9" s="4"/>
      <c r="EV9" s="57">
        <v>8.6999999999999993</v>
      </c>
      <c r="FQ9" s="4"/>
      <c r="FV9" s="57">
        <v>8.6999999999999993</v>
      </c>
      <c r="GQ9" s="4"/>
      <c r="GV9" s="57">
        <v>8.6999999999999993</v>
      </c>
      <c r="HQ9" s="4"/>
      <c r="HV9" s="57">
        <v>8.6999999999999993</v>
      </c>
      <c r="IQ9" s="4"/>
      <c r="IV9" s="57">
        <v>8.6999999999999993</v>
      </c>
      <c r="JQ9" s="4"/>
      <c r="JV9" s="57">
        <v>8.6999999999999993</v>
      </c>
      <c r="KQ9" s="4"/>
      <c r="KV9" s="57">
        <v>8.6999999999999993</v>
      </c>
      <c r="LQ9" s="4"/>
      <c r="LV9" s="57">
        <v>8.6999999999999993</v>
      </c>
      <c r="MQ9" s="4"/>
      <c r="MV9" s="57">
        <v>8.6999999999999993</v>
      </c>
      <c r="NQ9" s="4"/>
      <c r="NV9" s="57">
        <v>8.6999999999999993</v>
      </c>
      <c r="OQ9" s="4"/>
      <c r="OV9" s="57">
        <v>8.6999999999999993</v>
      </c>
    </row>
    <row r="10" spans="1:439" ht="17" hidden="1" x14ac:dyDescent="0.2">
      <c r="B10" s="35" t="s">
        <v>41</v>
      </c>
      <c r="O10" s="11"/>
      <c r="P10" s="11"/>
      <c r="Q10" s="11"/>
      <c r="AM10" s="4"/>
      <c r="AR10" s="58">
        <f>AR11</f>
        <v>9.5</v>
      </c>
      <c r="BN10" s="4"/>
      <c r="BS10" s="58">
        <f>BS11</f>
        <v>9.5</v>
      </c>
      <c r="CO10" s="4"/>
      <c r="CT10" s="58">
        <f>CT11</f>
        <v>9.5</v>
      </c>
      <c r="DQ10" s="4"/>
      <c r="DV10" s="58">
        <f>DV11</f>
        <v>9.5</v>
      </c>
      <c r="EQ10" s="4"/>
      <c r="EV10" s="58">
        <f>EV11</f>
        <v>9.5</v>
      </c>
      <c r="FQ10" s="4"/>
      <c r="FV10" s="58">
        <f>FV11</f>
        <v>9.5</v>
      </c>
      <c r="GQ10" s="4"/>
      <c r="GV10" s="58">
        <f>GV11</f>
        <v>9.5</v>
      </c>
      <c r="HQ10" s="4"/>
      <c r="HV10" s="58">
        <f>HV11</f>
        <v>9.5</v>
      </c>
      <c r="IQ10" s="4"/>
      <c r="IV10" s="58">
        <f>IV11</f>
        <v>9.5</v>
      </c>
      <c r="JQ10" s="4"/>
      <c r="JV10" s="58">
        <f>JV11</f>
        <v>9.5</v>
      </c>
      <c r="KQ10" s="4"/>
      <c r="KV10" s="58">
        <f>KV11</f>
        <v>9.5</v>
      </c>
      <c r="LQ10" s="4"/>
      <c r="LV10" s="58">
        <f>LV11</f>
        <v>9.5</v>
      </c>
      <c r="MQ10" s="4"/>
      <c r="MV10" s="58">
        <f>MV11</f>
        <v>9.5</v>
      </c>
      <c r="NQ10" s="4"/>
      <c r="NV10" s="58">
        <f>NV11</f>
        <v>9.5</v>
      </c>
      <c r="OQ10" s="4"/>
      <c r="OV10" s="58">
        <f>OV11</f>
        <v>9.5</v>
      </c>
    </row>
    <row r="11" spans="1:439" ht="17" x14ac:dyDescent="0.2">
      <c r="A11" s="5"/>
      <c r="B11" s="36" t="s">
        <v>54</v>
      </c>
      <c r="C11" s="22"/>
      <c r="O11" s="11"/>
      <c r="P11" s="11"/>
      <c r="Q11" s="11"/>
      <c r="AM11" s="4"/>
      <c r="AR11" s="59">
        <v>9.5</v>
      </c>
      <c r="BN11" s="4"/>
      <c r="BS11" s="59">
        <v>9.5</v>
      </c>
      <c r="CO11" s="4"/>
      <c r="CT11" s="59">
        <v>9.5</v>
      </c>
      <c r="DQ11" s="4"/>
      <c r="DV11" s="59">
        <v>9.5</v>
      </c>
      <c r="EQ11" s="4"/>
      <c r="EV11" s="59">
        <v>9.5</v>
      </c>
      <c r="FQ11" s="4"/>
      <c r="FV11" s="59">
        <v>9.5</v>
      </c>
      <c r="GQ11" s="4"/>
      <c r="GV11" s="59">
        <v>9.5</v>
      </c>
      <c r="HQ11" s="4"/>
      <c r="HV11" s="59">
        <v>9.5</v>
      </c>
      <c r="IQ11" s="4"/>
      <c r="IV11" s="59">
        <v>9.5</v>
      </c>
      <c r="JQ11" s="4"/>
      <c r="JV11" s="59">
        <v>9.5</v>
      </c>
      <c r="KQ11" s="4"/>
      <c r="KV11" s="59">
        <v>9.5</v>
      </c>
      <c r="LQ11" s="4"/>
      <c r="LV11" s="59">
        <v>9.5</v>
      </c>
      <c r="MQ11" s="4"/>
      <c r="MV11" s="59">
        <v>9.5</v>
      </c>
      <c r="NQ11" s="4"/>
      <c r="NV11" s="59">
        <v>9.5</v>
      </c>
      <c r="OQ11" s="4"/>
      <c r="OV11" s="59">
        <v>9.5</v>
      </c>
    </row>
    <row r="12" spans="1:439" ht="17" hidden="1" x14ac:dyDescent="0.2">
      <c r="A12" s="5"/>
      <c r="B12" s="44" t="s">
        <v>59</v>
      </c>
      <c r="C12" s="22"/>
      <c r="O12" s="11"/>
      <c r="P12" s="11"/>
      <c r="Q12" s="11"/>
      <c r="AM12" s="4"/>
      <c r="AR12" s="60">
        <v>1000</v>
      </c>
      <c r="BN12" s="4"/>
      <c r="BS12" s="60">
        <v>1000</v>
      </c>
      <c r="CO12" s="4"/>
      <c r="CT12" s="60">
        <v>1000</v>
      </c>
      <c r="DQ12" s="4"/>
      <c r="DV12" s="60">
        <v>1000</v>
      </c>
      <c r="EQ12" s="4"/>
      <c r="EV12" s="60">
        <v>1000</v>
      </c>
      <c r="FQ12" s="4"/>
      <c r="FV12" s="60">
        <v>1000</v>
      </c>
      <c r="GQ12" s="4"/>
      <c r="GV12" s="60">
        <v>1000</v>
      </c>
      <c r="HQ12" s="4"/>
      <c r="HV12" s="60">
        <v>1000</v>
      </c>
      <c r="IQ12" s="4"/>
      <c r="IV12" s="60">
        <v>1000</v>
      </c>
      <c r="JQ12" s="4"/>
      <c r="JV12" s="60">
        <v>1000</v>
      </c>
      <c r="KQ12" s="4"/>
      <c r="KV12" s="60">
        <v>1000</v>
      </c>
      <c r="LQ12" s="4"/>
      <c r="LV12" s="60">
        <v>1000</v>
      </c>
      <c r="MQ12" s="4"/>
      <c r="MV12" s="60">
        <v>1000</v>
      </c>
      <c r="NQ12" s="4"/>
      <c r="NV12" s="60">
        <v>1000</v>
      </c>
      <c r="OQ12" s="4"/>
      <c r="OV12" s="60">
        <v>1000</v>
      </c>
    </row>
    <row r="13" spans="1:439" ht="17" x14ac:dyDescent="0.2">
      <c r="A13" s="5"/>
      <c r="B13" s="42" t="s">
        <v>39</v>
      </c>
      <c r="C13" s="22"/>
      <c r="O13" s="11"/>
      <c r="P13" s="11"/>
      <c r="Q13" s="11"/>
      <c r="AM13" s="4"/>
      <c r="AR13" s="61">
        <v>43.1</v>
      </c>
      <c r="BN13" s="4"/>
      <c r="BS13" s="61">
        <v>43.1</v>
      </c>
      <c r="CO13" s="4"/>
      <c r="CT13" s="61">
        <v>43.1</v>
      </c>
      <c r="DQ13" s="4"/>
      <c r="DV13" s="61">
        <v>43.1</v>
      </c>
      <c r="EQ13" s="4"/>
      <c r="EV13" s="61">
        <v>43.1</v>
      </c>
      <c r="FQ13" s="4"/>
      <c r="FV13" s="61">
        <v>43.1</v>
      </c>
      <c r="GQ13" s="4"/>
      <c r="GV13" s="61">
        <v>43.1</v>
      </c>
      <c r="HQ13" s="4"/>
      <c r="HV13" s="61">
        <v>43.1</v>
      </c>
      <c r="IQ13" s="4"/>
      <c r="IV13" s="61">
        <v>43.1</v>
      </c>
      <c r="JQ13" s="4"/>
      <c r="JV13" s="61">
        <v>43.1</v>
      </c>
      <c r="KQ13" s="4"/>
      <c r="KV13" s="61">
        <v>43.1</v>
      </c>
      <c r="LQ13" s="4"/>
      <c r="LV13" s="61">
        <v>43.1</v>
      </c>
      <c r="MQ13" s="4"/>
      <c r="MV13" s="61">
        <v>43.1</v>
      </c>
      <c r="NQ13" s="4"/>
      <c r="NV13" s="61">
        <v>43.1</v>
      </c>
      <c r="OQ13" s="4"/>
      <c r="OV13" s="61">
        <v>43.1</v>
      </c>
    </row>
    <row r="14" spans="1:439" ht="17" hidden="1" x14ac:dyDescent="0.2">
      <c r="A14" s="5"/>
      <c r="B14" s="29" t="s">
        <v>40</v>
      </c>
      <c r="C14" s="22"/>
      <c r="O14" s="11"/>
      <c r="P14" s="11"/>
      <c r="Q14" s="11"/>
      <c r="AM14" s="4"/>
      <c r="AR14" s="62">
        <f>AR15</f>
        <v>45.1</v>
      </c>
      <c r="BN14" s="4"/>
      <c r="BS14" s="62">
        <f>BS15</f>
        <v>45.1</v>
      </c>
      <c r="CO14" s="4"/>
      <c r="CT14" s="62">
        <f>CT15</f>
        <v>45.1</v>
      </c>
      <c r="DQ14" s="4"/>
      <c r="DV14" s="62">
        <f>DV15</f>
        <v>45.1</v>
      </c>
      <c r="EQ14" s="4"/>
      <c r="EV14" s="62">
        <f>EV15</f>
        <v>45.1</v>
      </c>
      <c r="FQ14" s="4"/>
      <c r="FV14" s="62">
        <f>FV15</f>
        <v>45.1</v>
      </c>
      <c r="GQ14" s="4"/>
      <c r="GV14" s="62">
        <f>GV15</f>
        <v>45.1</v>
      </c>
      <c r="HQ14" s="4"/>
      <c r="HV14" s="62">
        <f>HV15</f>
        <v>45.1</v>
      </c>
      <c r="IQ14" s="4"/>
      <c r="IV14" s="62">
        <f>IV15</f>
        <v>45.1</v>
      </c>
      <c r="JQ14" s="4"/>
      <c r="JV14" s="62">
        <f>JV15</f>
        <v>45.1</v>
      </c>
      <c r="KQ14" s="4"/>
      <c r="KV14" s="62">
        <f>KV15</f>
        <v>45.1</v>
      </c>
      <c r="LQ14" s="4"/>
      <c r="LV14" s="62">
        <f>LV15</f>
        <v>45.1</v>
      </c>
      <c r="MQ14" s="4"/>
      <c r="MV14" s="62">
        <f>MV15</f>
        <v>45.1</v>
      </c>
      <c r="NQ14" s="4"/>
      <c r="NV14" s="62">
        <f>NV15</f>
        <v>45.1</v>
      </c>
      <c r="OQ14" s="4"/>
      <c r="OV14" s="62">
        <f>OV15</f>
        <v>45.1</v>
      </c>
    </row>
    <row r="15" spans="1:439" ht="17" x14ac:dyDescent="0.2">
      <c r="A15" s="5"/>
      <c r="B15" s="40" t="s">
        <v>53</v>
      </c>
      <c r="C15" s="22"/>
      <c r="O15" s="11"/>
      <c r="P15" s="11"/>
      <c r="Q15" s="11"/>
      <c r="AM15" s="4"/>
      <c r="AR15" s="63">
        <v>45.1</v>
      </c>
      <c r="BN15" s="4"/>
      <c r="BS15" s="63">
        <v>45.1</v>
      </c>
      <c r="CO15" s="4"/>
      <c r="CT15" s="63">
        <v>45.1</v>
      </c>
      <c r="DQ15" s="4"/>
      <c r="DV15" s="63">
        <v>45.1</v>
      </c>
      <c r="EQ15" s="4"/>
      <c r="EV15" s="63">
        <v>45.1</v>
      </c>
      <c r="FQ15" s="4"/>
      <c r="FV15" s="63">
        <v>45.1</v>
      </c>
      <c r="GQ15" s="4"/>
      <c r="GV15" s="63">
        <v>45.1</v>
      </c>
      <c r="HQ15" s="4"/>
      <c r="HV15" s="63">
        <v>45.1</v>
      </c>
      <c r="IQ15" s="4"/>
      <c r="IV15" s="63">
        <v>45.1</v>
      </c>
      <c r="JQ15" s="4"/>
      <c r="JV15" s="63">
        <v>45.1</v>
      </c>
      <c r="KQ15" s="4"/>
      <c r="KV15" s="63">
        <v>45.1</v>
      </c>
      <c r="LQ15" s="4"/>
      <c r="LV15" s="63">
        <v>45.1</v>
      </c>
      <c r="MQ15" s="4"/>
      <c r="MV15" s="63">
        <v>45.1</v>
      </c>
      <c r="NQ15" s="4"/>
      <c r="NV15" s="63">
        <v>45.1</v>
      </c>
      <c r="OQ15" s="4"/>
      <c r="OV15" s="63">
        <v>45.1</v>
      </c>
    </row>
    <row r="16" spans="1:439" ht="17" hidden="1" x14ac:dyDescent="0.2">
      <c r="A16" s="5"/>
      <c r="B16" s="30" t="s">
        <v>26</v>
      </c>
      <c r="C16" s="22"/>
      <c r="O16" s="11"/>
      <c r="P16" s="11"/>
      <c r="Q16" s="11"/>
      <c r="AM16" s="4"/>
      <c r="AR16" s="64">
        <v>1000</v>
      </c>
      <c r="BN16" s="4"/>
      <c r="BS16" s="64">
        <v>1000</v>
      </c>
      <c r="CO16" s="4"/>
      <c r="CT16" s="64">
        <v>1000</v>
      </c>
      <c r="DQ16" s="4"/>
      <c r="DV16" s="64">
        <v>1000</v>
      </c>
      <c r="EQ16" s="4"/>
      <c r="EV16" s="64">
        <v>1000</v>
      </c>
      <c r="FQ16" s="4"/>
      <c r="FV16" s="64">
        <v>1000</v>
      </c>
      <c r="GQ16" s="4"/>
      <c r="GV16" s="64">
        <v>1000</v>
      </c>
      <c r="HQ16" s="4"/>
      <c r="HV16" s="64">
        <v>1000</v>
      </c>
      <c r="IQ16" s="4"/>
      <c r="IV16" s="64">
        <v>1000</v>
      </c>
      <c r="JQ16" s="4"/>
      <c r="JV16" s="64">
        <v>1000</v>
      </c>
      <c r="KQ16" s="4"/>
      <c r="KV16" s="64">
        <v>1000</v>
      </c>
      <c r="LQ16" s="4"/>
      <c r="LV16" s="64">
        <v>1000</v>
      </c>
      <c r="MQ16" s="4"/>
      <c r="MV16" s="64">
        <v>1000</v>
      </c>
      <c r="NQ16" s="4"/>
      <c r="NV16" s="64">
        <v>1000</v>
      </c>
      <c r="OQ16" s="4"/>
      <c r="OV16" s="64">
        <v>1000</v>
      </c>
    </row>
    <row r="17" spans="1:3" x14ac:dyDescent="0.2">
      <c r="B17" s="34" t="s">
        <v>45</v>
      </c>
      <c r="C17" s="2"/>
    </row>
    <row r="18" spans="1:3" x14ac:dyDescent="0.2">
      <c r="A18" s="5"/>
      <c r="B18" s="5"/>
      <c r="C18" s="22"/>
    </row>
    <row r="19" spans="1:3" x14ac:dyDescent="0.2">
      <c r="A19" s="5"/>
      <c r="B19" s="5"/>
      <c r="C19" s="22"/>
    </row>
    <row r="20" spans="1:3" x14ac:dyDescent="0.2">
      <c r="A20" s="5"/>
      <c r="B20" s="5"/>
      <c r="C20" s="22"/>
    </row>
    <row r="21" spans="1:3" x14ac:dyDescent="0.2">
      <c r="A21" s="5"/>
      <c r="B21" s="5"/>
      <c r="C21" s="5"/>
    </row>
  </sheetData>
  <sheetProtection sheet="1" formatCells="0" formatColumns="0" formatRows="0"/>
  <autoFilter ref="A1:PW4" xr:uid="{BB9C3AB3-2D15-174E-B900-3E2F789706E1}"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8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sortState xmlns:xlrd2="http://schemas.microsoft.com/office/spreadsheetml/2017/richdata2" ref="A4:PW6">
      <sortCondition descending="1" ref="F1:F7"/>
    </sortState>
  </autoFilter>
  <mergeCells count="114">
    <mergeCell ref="PE2:PH2"/>
    <mergeCell ref="PI2:PL2"/>
    <mergeCell ref="PM2:PP2"/>
    <mergeCell ref="OA2:OD2"/>
    <mergeCell ref="OE2:OH2"/>
    <mergeCell ref="OI2:OL2"/>
    <mergeCell ref="OM2:OP2"/>
    <mergeCell ref="OW2:OZ2"/>
    <mergeCell ref="PA2:PD2"/>
    <mergeCell ref="MW2:MZ2"/>
    <mergeCell ref="NA2:ND2"/>
    <mergeCell ref="NE2:NH2"/>
    <mergeCell ref="NI2:NL2"/>
    <mergeCell ref="NM2:NP2"/>
    <mergeCell ref="NW2:NZ2"/>
    <mergeCell ref="LM2:LP2"/>
    <mergeCell ref="LW2:LZ2"/>
    <mergeCell ref="MA2:MD2"/>
    <mergeCell ref="ME2:MH2"/>
    <mergeCell ref="MI2:ML2"/>
    <mergeCell ref="MM2:MP2"/>
    <mergeCell ref="KW2:KZ2"/>
    <mergeCell ref="LA2:LD2"/>
    <mergeCell ref="LE2:LH2"/>
    <mergeCell ref="LI2:LL2"/>
    <mergeCell ref="JE2:JH2"/>
    <mergeCell ref="JI2:JL2"/>
    <mergeCell ref="JM2:JP2"/>
    <mergeCell ref="JW2:JZ2"/>
    <mergeCell ref="KA2:KD2"/>
    <mergeCell ref="KE2:KH2"/>
    <mergeCell ref="JA2:JD2"/>
    <mergeCell ref="GW2:GZ2"/>
    <mergeCell ref="HA2:HD2"/>
    <mergeCell ref="HE2:HH2"/>
    <mergeCell ref="HI2:HL2"/>
    <mergeCell ref="HM2:HP2"/>
    <mergeCell ref="HW2:HZ2"/>
    <mergeCell ref="KI2:KL2"/>
    <mergeCell ref="KM2:KP2"/>
    <mergeCell ref="EW2:EZ2"/>
    <mergeCell ref="FA2:FD2"/>
    <mergeCell ref="FE2:FH2"/>
    <mergeCell ref="FI2:FL2"/>
    <mergeCell ref="IA2:ID2"/>
    <mergeCell ref="IE2:IH2"/>
    <mergeCell ref="II2:IL2"/>
    <mergeCell ref="IM2:IP2"/>
    <mergeCell ref="IW2:IZ2"/>
    <mergeCell ref="BT2:BW2"/>
    <mergeCell ref="KW1:LV1"/>
    <mergeCell ref="LW1:MV1"/>
    <mergeCell ref="MW1:NV1"/>
    <mergeCell ref="DE2:DH2"/>
    <mergeCell ref="DI2:DL2"/>
    <mergeCell ref="DM2:DP2"/>
    <mergeCell ref="DW2:DZ2"/>
    <mergeCell ref="EA2:ED2"/>
    <mergeCell ref="EE2:EH2"/>
    <mergeCell ref="BX2:CA2"/>
    <mergeCell ref="CB2:CE2"/>
    <mergeCell ref="CF2:CI2"/>
    <mergeCell ref="CJ2:CM2"/>
    <mergeCell ref="CW2:CZ2"/>
    <mergeCell ref="DA2:DD2"/>
    <mergeCell ref="FM2:FP2"/>
    <mergeCell ref="FW2:FZ2"/>
    <mergeCell ref="GA2:GD2"/>
    <mergeCell ref="GE2:GH2"/>
    <mergeCell ref="GI2:GL2"/>
    <mergeCell ref="GM2:GP2"/>
    <mergeCell ref="EI2:EL2"/>
    <mergeCell ref="EM2:EP2"/>
    <mergeCell ref="NW1:OV1"/>
    <mergeCell ref="OW1:PW1"/>
    <mergeCell ref="R2:U2"/>
    <mergeCell ref="V2:Y2"/>
    <mergeCell ref="Z2:AC2"/>
    <mergeCell ref="AD2:AG2"/>
    <mergeCell ref="AH2:AK2"/>
    <mergeCell ref="EW1:FV1"/>
    <mergeCell ref="FW1:GV1"/>
    <mergeCell ref="GW1:HV1"/>
    <mergeCell ref="HW1:IV1"/>
    <mergeCell ref="IW1:JV1"/>
    <mergeCell ref="JW1:KV1"/>
    <mergeCell ref="R1:AR1"/>
    <mergeCell ref="AS1:BS1"/>
    <mergeCell ref="BT1:CT1"/>
    <mergeCell ref="CU1:CV1"/>
    <mergeCell ref="CW1:DV1"/>
    <mergeCell ref="DW1:EV1"/>
    <mergeCell ref="AS2:AV2"/>
    <mergeCell ref="AW2:AZ2"/>
    <mergeCell ref="BA2:BD2"/>
    <mergeCell ref="BE2:BH2"/>
    <mergeCell ref="BI2:BL2"/>
    <mergeCell ref="O1:O3"/>
    <mergeCell ref="P1:P3"/>
    <mergeCell ref="Q1:Q3"/>
    <mergeCell ref="G1:G3"/>
    <mergeCell ref="H1:H3"/>
    <mergeCell ref="I1:I3"/>
    <mergeCell ref="J1:J3"/>
    <mergeCell ref="K1:K3"/>
    <mergeCell ref="A1:A3"/>
    <mergeCell ref="B1:B3"/>
    <mergeCell ref="C1:C3"/>
    <mergeCell ref="D1:D3"/>
    <mergeCell ref="E1:E3"/>
    <mergeCell ref="F1:F3"/>
    <mergeCell ref="L1:L3"/>
    <mergeCell ref="M1:M3"/>
    <mergeCell ref="N1:N3"/>
  </mergeCells>
  <conditionalFormatting sqref="R4:AR6">
    <cfRule type="expression" dxfId="111" priority="1" stopIfTrue="1">
      <formula>IF($AL4&lt;&gt;"",1,0)</formula>
    </cfRule>
  </conditionalFormatting>
  <conditionalFormatting sqref="AS4:BS6">
    <cfRule type="expression" dxfId="110" priority="2" stopIfTrue="1">
      <formula>IF($BM4&lt;&gt;"",1,0)</formula>
    </cfRule>
  </conditionalFormatting>
  <conditionalFormatting sqref="J1:J1048576 L1:L1048576 N1:N1048576">
    <cfRule type="expression" dxfId="109" priority="9">
      <formula>IF(J1=$BT$1,1,0)</formula>
    </cfRule>
    <cfRule type="expression" dxfId="108" priority="10">
      <formula>IF(J1=$AS$1,1,0)</formula>
    </cfRule>
    <cfRule type="expression" dxfId="107" priority="11">
      <formula>IF(J1=$R$1,1,0)</formula>
    </cfRule>
  </conditionalFormatting>
  <conditionalFormatting sqref="BT4:CT6">
    <cfRule type="expression" dxfId="106" priority="3" stopIfTrue="1">
      <formula>IF($CN4&lt;&gt;"",1,0)</formula>
    </cfRule>
  </conditionalFormatting>
  <conditionalFormatting sqref="A1:A1048576">
    <cfRule type="expression" dxfId="105" priority="12" stopIfTrue="1">
      <formula>AND(G1&lt;&gt;"",F1="")</formula>
    </cfRule>
  </conditionalFormatting>
  <conditionalFormatting sqref="H1:H1048576">
    <cfRule type="containsText" dxfId="104" priority="4" operator="containsText" text="No DD">
      <formula>NOT(ISERROR(SEARCH("No DD",H1)))</formula>
    </cfRule>
    <cfRule type="containsText" dxfId="103" priority="5" operator="containsText" text="Merit">
      <formula>NOT(ISERROR(SEARCH("Merit",H1)))</formula>
    </cfRule>
    <cfRule type="containsText" dxfId="102" priority="6" operator="containsText" text="Excellence">
      <formula>NOT(ISERROR(SEARCH("Excellence",H1)))</formula>
    </cfRule>
    <cfRule type="containsText" dxfId="101" priority="7" operator="containsText" text="Worlds Team">
      <formula>NOT(ISERROR(SEARCH("Worlds Team",H1)))</formula>
    </cfRule>
    <cfRule type="containsText" dxfId="100" priority="8" operator="containsText" text="National Team">
      <formula>NOT(ISERROR(SEARCH("National Team",H1)))</formula>
    </cfRule>
  </conditionalFormatting>
  <conditionalFormatting sqref="OQ1:OQ1048576 AM1:AM1048576 BN1:BN1048576 CO1:CO1048576 DQ1:DQ1048576 EQ1:EQ1048576 FQ1:FQ1048576 GQ1:GQ1048576 HQ1:HQ1048576 IQ1:IQ1048576 JQ1:JQ1048576 KQ1:KQ1048576 LQ1:LQ1048576 MQ1:MQ1048576 NQ1:NQ1048576">
    <cfRule type="cellIs" dxfId="99" priority="47559" operator="between">
      <formula>AR$12</formula>
      <formula>1000</formula>
    </cfRule>
    <cfRule type="cellIs" dxfId="98" priority="47560" operator="between">
      <formula>AR$11</formula>
      <formula>AR$12</formula>
    </cfRule>
    <cfRule type="cellIs" dxfId="97" priority="47561" operator="between">
      <formula>AR$10</formula>
      <formula>AR$11</formula>
    </cfRule>
    <cfRule type="cellIs" dxfId="96" priority="47562" operator="between">
      <formula>AR$9</formula>
      <formula>AR$10</formula>
    </cfRule>
  </conditionalFormatting>
  <conditionalFormatting sqref="OR1:OR1048576 AN1:AN1048576 BO1:BO1048576 CP1:CP1048576 DR1:DR1048576 ER1:ER1048576 FR1:FR1048576 GR1:GR1048576 HR1:HR1048576 IR1:IR1048576 JR1:JR1048576 KR1:KR1048576 LR1:LR1048576 MR1:MR1048576 NR1:NR1048576">
    <cfRule type="cellIs" dxfId="95" priority="47739" operator="between">
      <formula>AR$16</formula>
      <formula>1000</formula>
    </cfRule>
    <cfRule type="cellIs" dxfId="94" priority="47740" operator="between">
      <formula>AR$15</formula>
      <formula>AR$16</formula>
    </cfRule>
    <cfRule type="cellIs" dxfId="93" priority="47741" operator="between">
      <formula>AR$14</formula>
      <formula>AR$15</formula>
    </cfRule>
    <cfRule type="cellIs" dxfId="92" priority="47742" operator="between">
      <formula>AR$13</formula>
      <formula>AR$14</formula>
    </cfRule>
  </conditionalFormatting>
  <conditionalFormatting sqref="AP1:AP1048576 BQ1:BQ1048576 CR1:CR1048576 DT1:DT1048576 ET1:ET1048576 FT1:FT1048576 GT1:GT1048576 HT1:HT1048576 IT1:IT1048576 JT1:JT1048576 KT1:KT1048576 LT1:LT1048576 MT1:MT1048576 NT1:NT1048576 OT1:OT1048576">
    <cfRule type="cellIs" dxfId="91" priority="47919" operator="between">
      <formula>AR$9</formula>
      <formula>AR$10</formula>
    </cfRule>
    <cfRule type="cellIs" dxfId="90" priority="47920" operator="between">
      <formula>AR$10</formula>
      <formula>AR$11</formula>
    </cfRule>
    <cfRule type="cellIs" dxfId="89" priority="47921" operator="between">
      <formula>AR$11</formula>
      <formula>AR$12</formula>
    </cfRule>
    <cfRule type="cellIs" dxfId="88" priority="47922" operator="between">
      <formula>AR$12</formula>
      <formula>1000</formula>
    </cfRule>
  </conditionalFormatting>
  <conditionalFormatting sqref="AQ1:AQ1048576 BR1:BR1048576 CS1:CS1048576 DU1:DU1048576 EU1:EU1048576 FU1:FU1048576 GU1:GU1048576 HU1:HU1048576 IU1:IU1048576 JU1:JU1048576 KU1:KU1048576 LU1:LU1048576 MU1:MU1048576 NU1:NU1048576 OU1:OU1048576">
    <cfRule type="cellIs" dxfId="87" priority="48099" operator="between">
      <formula>AR$13</formula>
      <formula>AR$14</formula>
    </cfRule>
    <cfRule type="cellIs" dxfId="86" priority="48100" operator="between">
      <formula>AR$14</formula>
      <formula>AR$15</formula>
    </cfRule>
    <cfRule type="cellIs" dxfId="85" priority="48101" operator="between">
      <formula>AR$15</formula>
      <formula>AR$16</formula>
    </cfRule>
    <cfRule type="cellIs" dxfId="84" priority="48102" operator="between">
      <formula>AR$16</formula>
      <formula>1000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1011BB-4763-BD4C-B497-3AAC8E8A62E4}">
  <sheetPr codeName="Sheet12"/>
  <dimension ref="A1:PW20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2.5" bestFit="1" customWidth="1"/>
    <col min="3" max="3" width="8.1640625" bestFit="1" customWidth="1"/>
    <col min="4" max="4" width="12" customWidth="1"/>
    <col min="6" max="6" width="16.33203125" customWidth="1"/>
    <col min="8" max="8" width="13.33203125" style="47" bestFit="1" customWidth="1"/>
    <col min="10" max="10" width="27.5" bestFit="1" customWidth="1"/>
    <col min="11" max="11" width="10.5" customWidth="1"/>
    <col min="12" max="12" width="27.5" bestFit="1" customWidth="1"/>
    <col min="14" max="14" width="27.5" bestFit="1" customWidth="1"/>
    <col min="15" max="15" width="24.6640625" bestFit="1" customWidth="1"/>
    <col min="16" max="16" width="13" bestFit="1" customWidth="1"/>
    <col min="17" max="17" width="31.5" bestFit="1" customWidth="1"/>
    <col min="18" max="38" width="10.83203125" hidden="1" customWidth="1"/>
    <col min="39" max="44" width="10.83203125" style="47" customWidth="1"/>
    <col min="45" max="65" width="10.83203125" hidden="1" customWidth="1"/>
    <col min="66" max="71" width="10.83203125" style="47" customWidth="1"/>
    <col min="72" max="92" width="10.83203125" hidden="1" customWidth="1"/>
    <col min="93" max="98" width="10.83203125" style="47" customWidth="1"/>
    <col min="99" max="100" width="10.83203125" style="47"/>
    <col min="101" max="120" width="10.83203125" hidden="1" customWidth="1"/>
    <col min="121" max="126" width="10.83203125" style="47" customWidth="1"/>
    <col min="127" max="146" width="10.83203125" hidden="1" customWidth="1"/>
    <col min="147" max="152" width="10.83203125" style="47" customWidth="1"/>
    <col min="153" max="172" width="10.83203125" hidden="1" customWidth="1"/>
    <col min="173" max="178" width="10.83203125" style="47" hidden="1" customWidth="1"/>
    <col min="179" max="198" width="10.83203125" hidden="1" customWidth="1"/>
    <col min="199" max="204" width="10.83203125" style="47" hidden="1" customWidth="1"/>
    <col min="205" max="224" width="10.83203125" hidden="1" customWidth="1"/>
    <col min="225" max="230" width="10.83203125" style="47" hidden="1" customWidth="1"/>
    <col min="231" max="250" width="10.83203125" hidden="1" customWidth="1"/>
    <col min="251" max="256" width="10.83203125" style="47" hidden="1" customWidth="1"/>
    <col min="257" max="276" width="10.83203125" hidden="1" customWidth="1"/>
    <col min="277" max="282" width="10.83203125" style="47" hidden="1" customWidth="1"/>
    <col min="283" max="302" width="10.83203125" hidden="1" customWidth="1"/>
    <col min="303" max="308" width="10.83203125" style="47" hidden="1" customWidth="1"/>
    <col min="309" max="328" width="10.83203125" hidden="1" customWidth="1"/>
    <col min="329" max="334" width="10.83203125" style="47" hidden="1" customWidth="1"/>
    <col min="335" max="354" width="10.83203125" hidden="1" customWidth="1"/>
    <col min="355" max="360" width="10.83203125" style="47" hidden="1" customWidth="1"/>
    <col min="361" max="380" width="10.83203125" hidden="1" customWidth="1"/>
    <col min="381" max="386" width="10.83203125" style="47" hidden="1" customWidth="1"/>
    <col min="387" max="406" width="10.83203125" hidden="1" customWidth="1"/>
    <col min="407" max="412" width="10.83203125" style="47" hidden="1" customWidth="1"/>
    <col min="413" max="433" width="10.83203125" hidden="1" customWidth="1"/>
    <col min="434" max="439" width="10.83203125" style="47" hidden="1" customWidth="1"/>
  </cols>
  <sheetData>
    <row r="1" spans="1:439" ht="16" customHeight="1" x14ac:dyDescent="0.2">
      <c r="A1" s="73" t="s">
        <v>1</v>
      </c>
      <c r="B1" s="73" t="s">
        <v>21</v>
      </c>
      <c r="C1" s="73" t="s">
        <v>0</v>
      </c>
      <c r="D1" s="73" t="s">
        <v>46</v>
      </c>
      <c r="E1" s="73" t="s">
        <v>2</v>
      </c>
      <c r="F1" s="74" t="s">
        <v>52</v>
      </c>
      <c r="G1" s="74" t="s">
        <v>5</v>
      </c>
      <c r="H1" s="73" t="s">
        <v>6</v>
      </c>
      <c r="I1" s="78" t="s">
        <v>69</v>
      </c>
      <c r="J1" s="75" t="s">
        <v>24</v>
      </c>
      <c r="K1" s="78" t="s">
        <v>70</v>
      </c>
      <c r="L1" s="75" t="s">
        <v>24</v>
      </c>
      <c r="M1" s="75" t="s">
        <v>9</v>
      </c>
      <c r="N1" s="75" t="s">
        <v>24</v>
      </c>
      <c r="O1" s="76" t="s">
        <v>10</v>
      </c>
      <c r="P1" s="75" t="s">
        <v>25</v>
      </c>
      <c r="Q1" s="75" t="s">
        <v>24</v>
      </c>
      <c r="R1" s="70" t="s">
        <v>90</v>
      </c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2" t="s">
        <v>94</v>
      </c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0" t="s">
        <v>107</v>
      </c>
      <c r="BU1" s="70"/>
      <c r="BV1" s="70"/>
      <c r="BW1" s="70"/>
      <c r="BX1" s="70"/>
      <c r="BY1" s="70"/>
      <c r="BZ1" s="70"/>
      <c r="CA1" s="70"/>
      <c r="CB1" s="70"/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7" t="s">
        <v>51</v>
      </c>
      <c r="CV1" s="77"/>
      <c r="CW1" s="70" t="s">
        <v>84</v>
      </c>
      <c r="CX1" s="70"/>
      <c r="CY1" s="70"/>
      <c r="CZ1" s="70"/>
      <c r="DA1" s="70"/>
      <c r="DB1" s="70"/>
      <c r="DC1" s="70"/>
      <c r="DD1" s="70"/>
      <c r="DE1" s="70"/>
      <c r="DF1" s="70"/>
      <c r="DG1" s="70"/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2" t="s">
        <v>108</v>
      </c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0"/>
      <c r="EX1" s="70"/>
      <c r="EY1" s="70"/>
      <c r="EZ1" s="70"/>
      <c r="FA1" s="70"/>
      <c r="FB1" s="70"/>
      <c r="FC1" s="70"/>
      <c r="FD1" s="70"/>
      <c r="FE1" s="70"/>
      <c r="FF1" s="70"/>
      <c r="FG1" s="70"/>
      <c r="FH1" s="70"/>
      <c r="FI1" s="70"/>
      <c r="FJ1" s="70"/>
      <c r="FK1" s="70"/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2"/>
      <c r="GU1" s="72"/>
      <c r="GV1" s="72"/>
      <c r="GW1" s="70"/>
      <c r="GX1" s="70"/>
      <c r="GY1" s="70"/>
      <c r="GZ1" s="70"/>
      <c r="HA1" s="70"/>
      <c r="HB1" s="70"/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70"/>
      <c r="HO1" s="70"/>
      <c r="HP1" s="70"/>
      <c r="HQ1" s="70"/>
      <c r="HR1" s="70"/>
      <c r="HS1" s="70"/>
      <c r="HT1" s="70"/>
      <c r="HU1" s="70"/>
      <c r="HV1" s="70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2"/>
      <c r="IR1" s="72"/>
      <c r="IS1" s="72"/>
      <c r="IT1" s="72"/>
      <c r="IU1" s="72"/>
      <c r="IV1" s="72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0"/>
      <c r="JQ1" s="70"/>
      <c r="JR1" s="70"/>
      <c r="JS1" s="70"/>
      <c r="JT1" s="70"/>
      <c r="JU1" s="70"/>
      <c r="JV1" s="70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0"/>
      <c r="KX1" s="70"/>
      <c r="KY1" s="70"/>
      <c r="KZ1" s="70"/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70"/>
      <c r="LW1" s="72"/>
      <c r="LX1" s="72"/>
      <c r="LY1" s="72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0"/>
      <c r="MX1" s="70"/>
      <c r="MY1" s="70"/>
      <c r="MZ1" s="70"/>
      <c r="NA1" s="70"/>
      <c r="NB1" s="70"/>
      <c r="NC1" s="70"/>
      <c r="ND1" s="70"/>
      <c r="NE1" s="70"/>
      <c r="NF1" s="70"/>
      <c r="NG1" s="70"/>
      <c r="NH1" s="70"/>
      <c r="NI1" s="70"/>
      <c r="NJ1" s="70"/>
      <c r="NK1" s="70"/>
      <c r="NL1" s="70"/>
      <c r="NM1" s="70"/>
      <c r="NN1" s="70"/>
      <c r="NO1" s="70"/>
      <c r="NP1" s="70"/>
      <c r="NQ1" s="70"/>
      <c r="NR1" s="70"/>
      <c r="NS1" s="70"/>
      <c r="NT1" s="70"/>
      <c r="NU1" s="70"/>
      <c r="NV1" s="70"/>
      <c r="NW1" s="72"/>
      <c r="NX1" s="72"/>
      <c r="NY1" s="72"/>
      <c r="NZ1" s="72"/>
      <c r="OA1" s="72"/>
      <c r="OB1" s="72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0" t="s">
        <v>55</v>
      </c>
      <c r="OX1" s="70"/>
      <c r="OY1" s="70"/>
      <c r="OZ1" s="70"/>
      <c r="PA1" s="70"/>
      <c r="PB1" s="70"/>
      <c r="PC1" s="70"/>
      <c r="PD1" s="70"/>
      <c r="PE1" s="70"/>
      <c r="PF1" s="70"/>
      <c r="PG1" s="70"/>
      <c r="PH1" s="70"/>
      <c r="PI1" s="70"/>
      <c r="PJ1" s="70"/>
      <c r="PK1" s="70"/>
      <c r="PL1" s="70"/>
      <c r="PM1" s="70"/>
      <c r="PN1" s="70"/>
      <c r="PO1" s="70"/>
      <c r="PP1" s="70"/>
      <c r="PQ1" s="70"/>
      <c r="PR1" s="70"/>
      <c r="PS1" s="70"/>
      <c r="PT1" s="70"/>
      <c r="PU1" s="70"/>
      <c r="PV1" s="70"/>
      <c r="PW1" s="70"/>
    </row>
    <row r="2" spans="1:439" x14ac:dyDescent="0.2">
      <c r="A2" s="73"/>
      <c r="B2" s="73"/>
      <c r="C2" s="73"/>
      <c r="D2" s="73"/>
      <c r="E2" s="73"/>
      <c r="F2" s="74"/>
      <c r="G2" s="74"/>
      <c r="H2" s="73"/>
      <c r="I2" s="78"/>
      <c r="J2" s="75"/>
      <c r="K2" s="78"/>
      <c r="L2" s="75"/>
      <c r="M2" s="75"/>
      <c r="N2" s="75"/>
      <c r="O2" s="76"/>
      <c r="P2" s="75"/>
      <c r="Q2" s="75"/>
      <c r="R2" s="69" t="s">
        <v>71</v>
      </c>
      <c r="S2" s="69"/>
      <c r="T2" s="69"/>
      <c r="U2" s="69"/>
      <c r="V2" s="69" t="s">
        <v>72</v>
      </c>
      <c r="W2" s="69"/>
      <c r="X2" s="69"/>
      <c r="Y2" s="69"/>
      <c r="Z2" s="69" t="s">
        <v>73</v>
      </c>
      <c r="AA2" s="69"/>
      <c r="AB2" s="69"/>
      <c r="AC2" s="69"/>
      <c r="AD2" s="69" t="s">
        <v>74</v>
      </c>
      <c r="AE2" s="69"/>
      <c r="AF2" s="69"/>
      <c r="AG2" s="69"/>
      <c r="AH2" s="79" t="s">
        <v>75</v>
      </c>
      <c r="AI2" s="79"/>
      <c r="AJ2" s="79"/>
      <c r="AK2" s="79"/>
      <c r="AL2" s="16"/>
      <c r="AM2" s="16" t="s">
        <v>76</v>
      </c>
      <c r="AN2" s="16" t="s">
        <v>77</v>
      </c>
      <c r="AO2" s="16" t="s">
        <v>73</v>
      </c>
      <c r="AP2" s="16" t="s">
        <v>56</v>
      </c>
      <c r="AQ2" s="16" t="s">
        <v>78</v>
      </c>
      <c r="AR2" s="16" t="s">
        <v>14</v>
      </c>
      <c r="AS2" s="71" t="s">
        <v>71</v>
      </c>
      <c r="AT2" s="71"/>
      <c r="AU2" s="71"/>
      <c r="AV2" s="71"/>
      <c r="AW2" s="71" t="s">
        <v>72</v>
      </c>
      <c r="AX2" s="71"/>
      <c r="AY2" s="71"/>
      <c r="AZ2" s="71"/>
      <c r="BA2" s="71" t="s">
        <v>73</v>
      </c>
      <c r="BB2" s="71"/>
      <c r="BC2" s="71"/>
      <c r="BD2" s="71"/>
      <c r="BE2" s="71" t="s">
        <v>74</v>
      </c>
      <c r="BF2" s="71"/>
      <c r="BG2" s="71"/>
      <c r="BH2" s="71"/>
      <c r="BI2" s="80" t="s">
        <v>75</v>
      </c>
      <c r="BJ2" s="80"/>
      <c r="BK2" s="80"/>
      <c r="BL2" s="80"/>
      <c r="BM2" s="17"/>
      <c r="BN2" s="17" t="s">
        <v>76</v>
      </c>
      <c r="BO2" s="17" t="s">
        <v>77</v>
      </c>
      <c r="BP2" s="17" t="s">
        <v>73</v>
      </c>
      <c r="BQ2" s="17" t="s">
        <v>56</v>
      </c>
      <c r="BR2" s="17" t="s">
        <v>78</v>
      </c>
      <c r="BS2" s="17" t="s">
        <v>14</v>
      </c>
      <c r="BT2" s="69" t="s">
        <v>71</v>
      </c>
      <c r="BU2" s="69"/>
      <c r="BV2" s="69"/>
      <c r="BW2" s="69"/>
      <c r="BX2" s="69" t="s">
        <v>72</v>
      </c>
      <c r="BY2" s="69"/>
      <c r="BZ2" s="69"/>
      <c r="CA2" s="69"/>
      <c r="CB2" s="69" t="s">
        <v>73</v>
      </c>
      <c r="CC2" s="69"/>
      <c r="CD2" s="69"/>
      <c r="CE2" s="69"/>
      <c r="CF2" s="69" t="s">
        <v>74</v>
      </c>
      <c r="CG2" s="69"/>
      <c r="CH2" s="69"/>
      <c r="CI2" s="69"/>
      <c r="CJ2" s="79" t="s">
        <v>75</v>
      </c>
      <c r="CK2" s="79"/>
      <c r="CL2" s="79"/>
      <c r="CM2" s="79"/>
      <c r="CN2" s="16"/>
      <c r="CO2" s="16" t="s">
        <v>76</v>
      </c>
      <c r="CP2" s="16" t="s">
        <v>77</v>
      </c>
      <c r="CQ2" s="16" t="s">
        <v>73</v>
      </c>
      <c r="CR2" s="16" t="s">
        <v>56</v>
      </c>
      <c r="CS2" s="16" t="s">
        <v>78</v>
      </c>
      <c r="CT2" s="16" t="s">
        <v>14</v>
      </c>
      <c r="CU2" s="54" t="s">
        <v>77</v>
      </c>
      <c r="CV2" s="54" t="s">
        <v>19</v>
      </c>
      <c r="CW2" s="69" t="s">
        <v>71</v>
      </c>
      <c r="CX2" s="69"/>
      <c r="CY2" s="69"/>
      <c r="CZ2" s="69"/>
      <c r="DA2" s="69" t="s">
        <v>72</v>
      </c>
      <c r="DB2" s="69"/>
      <c r="DC2" s="69"/>
      <c r="DD2" s="69"/>
      <c r="DE2" s="69" t="s">
        <v>73</v>
      </c>
      <c r="DF2" s="69"/>
      <c r="DG2" s="69"/>
      <c r="DH2" s="69"/>
      <c r="DI2" s="69" t="s">
        <v>74</v>
      </c>
      <c r="DJ2" s="69"/>
      <c r="DK2" s="69"/>
      <c r="DL2" s="69"/>
      <c r="DM2" s="81" t="s">
        <v>75</v>
      </c>
      <c r="DN2" s="81"/>
      <c r="DO2" s="81"/>
      <c r="DP2" s="81"/>
      <c r="DQ2" s="16" t="s">
        <v>76</v>
      </c>
      <c r="DR2" s="16" t="s">
        <v>77</v>
      </c>
      <c r="DS2" s="16" t="s">
        <v>73</v>
      </c>
      <c r="DT2" s="16" t="s">
        <v>56</v>
      </c>
      <c r="DU2" s="16" t="s">
        <v>78</v>
      </c>
      <c r="DV2" s="16" t="s">
        <v>14</v>
      </c>
      <c r="DW2" s="71" t="s">
        <v>71</v>
      </c>
      <c r="DX2" s="71"/>
      <c r="DY2" s="71"/>
      <c r="DZ2" s="71"/>
      <c r="EA2" s="71" t="s">
        <v>72</v>
      </c>
      <c r="EB2" s="71"/>
      <c r="EC2" s="71"/>
      <c r="ED2" s="71"/>
      <c r="EE2" s="71" t="s">
        <v>73</v>
      </c>
      <c r="EF2" s="71"/>
      <c r="EG2" s="71"/>
      <c r="EH2" s="71"/>
      <c r="EI2" s="71" t="s">
        <v>74</v>
      </c>
      <c r="EJ2" s="71"/>
      <c r="EK2" s="71"/>
      <c r="EL2" s="71"/>
      <c r="EM2" s="80" t="s">
        <v>75</v>
      </c>
      <c r="EN2" s="80"/>
      <c r="EO2" s="80"/>
      <c r="EP2" s="80"/>
      <c r="EQ2" s="17" t="s">
        <v>76</v>
      </c>
      <c r="ER2" s="17" t="s">
        <v>77</v>
      </c>
      <c r="ES2" s="17" t="s">
        <v>73</v>
      </c>
      <c r="ET2" s="17" t="s">
        <v>56</v>
      </c>
      <c r="EU2" s="17" t="s">
        <v>78</v>
      </c>
      <c r="EV2" s="17" t="s">
        <v>14</v>
      </c>
      <c r="EW2" s="69" t="s">
        <v>71</v>
      </c>
      <c r="EX2" s="69"/>
      <c r="EY2" s="69"/>
      <c r="EZ2" s="69"/>
      <c r="FA2" s="69" t="s">
        <v>72</v>
      </c>
      <c r="FB2" s="69"/>
      <c r="FC2" s="69"/>
      <c r="FD2" s="69"/>
      <c r="FE2" s="69" t="s">
        <v>73</v>
      </c>
      <c r="FF2" s="69"/>
      <c r="FG2" s="69"/>
      <c r="FH2" s="69"/>
      <c r="FI2" s="69" t="s">
        <v>74</v>
      </c>
      <c r="FJ2" s="69"/>
      <c r="FK2" s="69"/>
      <c r="FL2" s="69"/>
      <c r="FM2" s="81" t="s">
        <v>75</v>
      </c>
      <c r="FN2" s="81"/>
      <c r="FO2" s="81"/>
      <c r="FP2" s="81"/>
      <c r="FQ2" s="16" t="s">
        <v>76</v>
      </c>
      <c r="FR2" s="16" t="s">
        <v>77</v>
      </c>
      <c r="FS2" s="16" t="s">
        <v>73</v>
      </c>
      <c r="FT2" s="16" t="s">
        <v>56</v>
      </c>
      <c r="FU2" s="16" t="s">
        <v>78</v>
      </c>
      <c r="FV2" s="16" t="s">
        <v>14</v>
      </c>
      <c r="FW2" s="71" t="s">
        <v>71</v>
      </c>
      <c r="FX2" s="71"/>
      <c r="FY2" s="71"/>
      <c r="FZ2" s="71"/>
      <c r="GA2" s="71" t="s">
        <v>72</v>
      </c>
      <c r="GB2" s="71"/>
      <c r="GC2" s="71"/>
      <c r="GD2" s="71"/>
      <c r="GE2" s="71" t="s">
        <v>73</v>
      </c>
      <c r="GF2" s="71"/>
      <c r="GG2" s="71"/>
      <c r="GH2" s="71"/>
      <c r="GI2" s="71" t="s">
        <v>74</v>
      </c>
      <c r="GJ2" s="71"/>
      <c r="GK2" s="71"/>
      <c r="GL2" s="71"/>
      <c r="GM2" s="80" t="s">
        <v>75</v>
      </c>
      <c r="GN2" s="80"/>
      <c r="GO2" s="80"/>
      <c r="GP2" s="80"/>
      <c r="GQ2" s="17" t="s">
        <v>76</v>
      </c>
      <c r="GR2" s="17" t="s">
        <v>77</v>
      </c>
      <c r="GS2" s="17" t="s">
        <v>73</v>
      </c>
      <c r="GT2" s="17" t="s">
        <v>56</v>
      </c>
      <c r="GU2" s="17" t="s">
        <v>78</v>
      </c>
      <c r="GV2" s="17" t="s">
        <v>14</v>
      </c>
      <c r="GW2" s="69" t="s">
        <v>71</v>
      </c>
      <c r="GX2" s="69"/>
      <c r="GY2" s="69"/>
      <c r="GZ2" s="69"/>
      <c r="HA2" s="69" t="s">
        <v>72</v>
      </c>
      <c r="HB2" s="69"/>
      <c r="HC2" s="69"/>
      <c r="HD2" s="69"/>
      <c r="HE2" s="69" t="s">
        <v>73</v>
      </c>
      <c r="HF2" s="69"/>
      <c r="HG2" s="69"/>
      <c r="HH2" s="69"/>
      <c r="HI2" s="69" t="s">
        <v>74</v>
      </c>
      <c r="HJ2" s="69"/>
      <c r="HK2" s="69"/>
      <c r="HL2" s="69"/>
      <c r="HM2" s="81" t="s">
        <v>75</v>
      </c>
      <c r="HN2" s="81"/>
      <c r="HO2" s="81"/>
      <c r="HP2" s="81"/>
      <c r="HQ2" s="16" t="s">
        <v>76</v>
      </c>
      <c r="HR2" s="16" t="s">
        <v>77</v>
      </c>
      <c r="HS2" s="16" t="s">
        <v>73</v>
      </c>
      <c r="HT2" s="16" t="s">
        <v>56</v>
      </c>
      <c r="HU2" s="16" t="s">
        <v>78</v>
      </c>
      <c r="HV2" s="16" t="s">
        <v>14</v>
      </c>
      <c r="HW2" s="71" t="s">
        <v>71</v>
      </c>
      <c r="HX2" s="71"/>
      <c r="HY2" s="71"/>
      <c r="HZ2" s="71"/>
      <c r="IA2" s="71" t="s">
        <v>72</v>
      </c>
      <c r="IB2" s="71"/>
      <c r="IC2" s="71"/>
      <c r="ID2" s="71"/>
      <c r="IE2" s="71" t="s">
        <v>73</v>
      </c>
      <c r="IF2" s="71"/>
      <c r="IG2" s="71"/>
      <c r="IH2" s="71"/>
      <c r="II2" s="71" t="s">
        <v>74</v>
      </c>
      <c r="IJ2" s="71"/>
      <c r="IK2" s="71"/>
      <c r="IL2" s="71"/>
      <c r="IM2" s="80" t="s">
        <v>75</v>
      </c>
      <c r="IN2" s="80"/>
      <c r="IO2" s="80"/>
      <c r="IP2" s="80"/>
      <c r="IQ2" s="17" t="s">
        <v>76</v>
      </c>
      <c r="IR2" s="17" t="s">
        <v>77</v>
      </c>
      <c r="IS2" s="17" t="s">
        <v>73</v>
      </c>
      <c r="IT2" s="17" t="s">
        <v>56</v>
      </c>
      <c r="IU2" s="17" t="s">
        <v>78</v>
      </c>
      <c r="IV2" s="17" t="s">
        <v>14</v>
      </c>
      <c r="IW2" s="69" t="s">
        <v>71</v>
      </c>
      <c r="IX2" s="69"/>
      <c r="IY2" s="69"/>
      <c r="IZ2" s="69"/>
      <c r="JA2" s="69" t="s">
        <v>72</v>
      </c>
      <c r="JB2" s="69"/>
      <c r="JC2" s="69"/>
      <c r="JD2" s="69"/>
      <c r="JE2" s="69" t="s">
        <v>73</v>
      </c>
      <c r="JF2" s="69"/>
      <c r="JG2" s="69"/>
      <c r="JH2" s="69"/>
      <c r="JI2" s="69" t="s">
        <v>74</v>
      </c>
      <c r="JJ2" s="69"/>
      <c r="JK2" s="69"/>
      <c r="JL2" s="69"/>
      <c r="JM2" s="81" t="s">
        <v>75</v>
      </c>
      <c r="JN2" s="81"/>
      <c r="JO2" s="81"/>
      <c r="JP2" s="81"/>
      <c r="JQ2" s="16" t="s">
        <v>76</v>
      </c>
      <c r="JR2" s="16" t="s">
        <v>77</v>
      </c>
      <c r="JS2" s="16" t="s">
        <v>73</v>
      </c>
      <c r="JT2" s="16" t="s">
        <v>56</v>
      </c>
      <c r="JU2" s="16" t="s">
        <v>78</v>
      </c>
      <c r="JV2" s="16" t="s">
        <v>14</v>
      </c>
      <c r="JW2" s="71" t="s">
        <v>71</v>
      </c>
      <c r="JX2" s="71"/>
      <c r="JY2" s="71"/>
      <c r="JZ2" s="71"/>
      <c r="KA2" s="71" t="s">
        <v>72</v>
      </c>
      <c r="KB2" s="71"/>
      <c r="KC2" s="71"/>
      <c r="KD2" s="71"/>
      <c r="KE2" s="71" t="s">
        <v>73</v>
      </c>
      <c r="KF2" s="71"/>
      <c r="KG2" s="71"/>
      <c r="KH2" s="71"/>
      <c r="KI2" s="71" t="s">
        <v>74</v>
      </c>
      <c r="KJ2" s="71"/>
      <c r="KK2" s="71"/>
      <c r="KL2" s="71"/>
      <c r="KM2" s="80" t="s">
        <v>75</v>
      </c>
      <c r="KN2" s="80"/>
      <c r="KO2" s="80"/>
      <c r="KP2" s="80"/>
      <c r="KQ2" s="17" t="s">
        <v>76</v>
      </c>
      <c r="KR2" s="17" t="s">
        <v>77</v>
      </c>
      <c r="KS2" s="17" t="s">
        <v>73</v>
      </c>
      <c r="KT2" s="17" t="s">
        <v>56</v>
      </c>
      <c r="KU2" s="17" t="s">
        <v>78</v>
      </c>
      <c r="KV2" s="17" t="s">
        <v>14</v>
      </c>
      <c r="KW2" s="69" t="s">
        <v>71</v>
      </c>
      <c r="KX2" s="69"/>
      <c r="KY2" s="69"/>
      <c r="KZ2" s="69"/>
      <c r="LA2" s="69" t="s">
        <v>72</v>
      </c>
      <c r="LB2" s="69"/>
      <c r="LC2" s="69"/>
      <c r="LD2" s="69"/>
      <c r="LE2" s="69" t="s">
        <v>73</v>
      </c>
      <c r="LF2" s="69"/>
      <c r="LG2" s="69"/>
      <c r="LH2" s="69"/>
      <c r="LI2" s="69" t="s">
        <v>74</v>
      </c>
      <c r="LJ2" s="69"/>
      <c r="LK2" s="69"/>
      <c r="LL2" s="69"/>
      <c r="LM2" s="81" t="s">
        <v>75</v>
      </c>
      <c r="LN2" s="81"/>
      <c r="LO2" s="81"/>
      <c r="LP2" s="81"/>
      <c r="LQ2" s="16" t="s">
        <v>76</v>
      </c>
      <c r="LR2" s="16" t="s">
        <v>77</v>
      </c>
      <c r="LS2" s="16" t="s">
        <v>73</v>
      </c>
      <c r="LT2" s="16" t="s">
        <v>56</v>
      </c>
      <c r="LU2" s="16" t="s">
        <v>78</v>
      </c>
      <c r="LV2" s="16" t="s">
        <v>14</v>
      </c>
      <c r="LW2" s="71" t="s">
        <v>71</v>
      </c>
      <c r="LX2" s="71"/>
      <c r="LY2" s="71"/>
      <c r="LZ2" s="71"/>
      <c r="MA2" s="71" t="s">
        <v>72</v>
      </c>
      <c r="MB2" s="71"/>
      <c r="MC2" s="71"/>
      <c r="MD2" s="71"/>
      <c r="ME2" s="71" t="s">
        <v>73</v>
      </c>
      <c r="MF2" s="71"/>
      <c r="MG2" s="71"/>
      <c r="MH2" s="71"/>
      <c r="MI2" s="71" t="s">
        <v>74</v>
      </c>
      <c r="MJ2" s="71"/>
      <c r="MK2" s="71"/>
      <c r="ML2" s="71"/>
      <c r="MM2" s="80" t="s">
        <v>75</v>
      </c>
      <c r="MN2" s="80"/>
      <c r="MO2" s="80"/>
      <c r="MP2" s="80"/>
      <c r="MQ2" s="17" t="s">
        <v>76</v>
      </c>
      <c r="MR2" s="17" t="s">
        <v>77</v>
      </c>
      <c r="MS2" s="17" t="s">
        <v>73</v>
      </c>
      <c r="MT2" s="17" t="s">
        <v>56</v>
      </c>
      <c r="MU2" s="17" t="s">
        <v>78</v>
      </c>
      <c r="MV2" s="17" t="s">
        <v>14</v>
      </c>
      <c r="MW2" s="69" t="s">
        <v>71</v>
      </c>
      <c r="MX2" s="69"/>
      <c r="MY2" s="69"/>
      <c r="MZ2" s="69"/>
      <c r="NA2" s="69" t="s">
        <v>72</v>
      </c>
      <c r="NB2" s="69"/>
      <c r="NC2" s="69"/>
      <c r="ND2" s="69"/>
      <c r="NE2" s="69" t="s">
        <v>73</v>
      </c>
      <c r="NF2" s="69"/>
      <c r="NG2" s="69"/>
      <c r="NH2" s="69"/>
      <c r="NI2" s="69" t="s">
        <v>74</v>
      </c>
      <c r="NJ2" s="69"/>
      <c r="NK2" s="69"/>
      <c r="NL2" s="69"/>
      <c r="NM2" s="81" t="s">
        <v>75</v>
      </c>
      <c r="NN2" s="81"/>
      <c r="NO2" s="81"/>
      <c r="NP2" s="81"/>
      <c r="NQ2" s="16" t="s">
        <v>76</v>
      </c>
      <c r="NR2" s="16" t="s">
        <v>77</v>
      </c>
      <c r="NS2" s="16" t="s">
        <v>73</v>
      </c>
      <c r="NT2" s="16" t="s">
        <v>56</v>
      </c>
      <c r="NU2" s="16" t="s">
        <v>78</v>
      </c>
      <c r="NV2" s="16" t="s">
        <v>14</v>
      </c>
      <c r="NW2" s="71" t="s">
        <v>71</v>
      </c>
      <c r="NX2" s="71"/>
      <c r="NY2" s="71"/>
      <c r="NZ2" s="71"/>
      <c r="OA2" s="71" t="s">
        <v>72</v>
      </c>
      <c r="OB2" s="71"/>
      <c r="OC2" s="71"/>
      <c r="OD2" s="71"/>
      <c r="OE2" s="71" t="s">
        <v>73</v>
      </c>
      <c r="OF2" s="71"/>
      <c r="OG2" s="71"/>
      <c r="OH2" s="71"/>
      <c r="OI2" s="71" t="s">
        <v>74</v>
      </c>
      <c r="OJ2" s="71"/>
      <c r="OK2" s="71"/>
      <c r="OL2" s="71"/>
      <c r="OM2" s="80" t="s">
        <v>75</v>
      </c>
      <c r="ON2" s="80"/>
      <c r="OO2" s="80"/>
      <c r="OP2" s="80"/>
      <c r="OQ2" s="17" t="s">
        <v>76</v>
      </c>
      <c r="OR2" s="17" t="s">
        <v>77</v>
      </c>
      <c r="OS2" s="17" t="s">
        <v>73</v>
      </c>
      <c r="OT2" s="17" t="s">
        <v>56</v>
      </c>
      <c r="OU2" s="17" t="s">
        <v>78</v>
      </c>
      <c r="OV2" s="17" t="s">
        <v>14</v>
      </c>
      <c r="OW2" s="69" t="s">
        <v>71</v>
      </c>
      <c r="OX2" s="69"/>
      <c r="OY2" s="69"/>
      <c r="OZ2" s="69"/>
      <c r="PA2" s="69" t="s">
        <v>72</v>
      </c>
      <c r="PB2" s="69"/>
      <c r="PC2" s="69"/>
      <c r="PD2" s="69"/>
      <c r="PE2" s="69" t="s">
        <v>73</v>
      </c>
      <c r="PF2" s="69"/>
      <c r="PG2" s="69"/>
      <c r="PH2" s="69"/>
      <c r="PI2" s="69" t="s">
        <v>74</v>
      </c>
      <c r="PJ2" s="69"/>
      <c r="PK2" s="69"/>
      <c r="PL2" s="69"/>
      <c r="PM2" s="79" t="s">
        <v>75</v>
      </c>
      <c r="PN2" s="79"/>
      <c r="PO2" s="79"/>
      <c r="PP2" s="79"/>
      <c r="PQ2" s="16"/>
      <c r="PR2" s="16" t="s">
        <v>76</v>
      </c>
      <c r="PS2" s="16" t="s">
        <v>77</v>
      </c>
      <c r="PT2" s="16" t="s">
        <v>73</v>
      </c>
      <c r="PU2" s="16" t="s">
        <v>56</v>
      </c>
      <c r="PV2" s="16" t="s">
        <v>78</v>
      </c>
      <c r="PW2" s="16" t="s">
        <v>14</v>
      </c>
    </row>
    <row r="3" spans="1:439" x14ac:dyDescent="0.2">
      <c r="A3" s="73"/>
      <c r="B3" s="73"/>
      <c r="C3" s="73"/>
      <c r="D3" s="73"/>
      <c r="E3" s="73"/>
      <c r="F3" s="74"/>
      <c r="G3" s="74"/>
      <c r="H3" s="73"/>
      <c r="I3" s="78"/>
      <c r="J3" s="75"/>
      <c r="K3" s="78"/>
      <c r="L3" s="75"/>
      <c r="M3" s="75"/>
      <c r="N3" s="75"/>
      <c r="O3" s="76"/>
      <c r="P3" s="75"/>
      <c r="Q3" s="75"/>
      <c r="R3" s="16" t="s">
        <v>11</v>
      </c>
      <c r="S3" s="16" t="s">
        <v>4</v>
      </c>
      <c r="T3" s="16" t="s">
        <v>22</v>
      </c>
      <c r="U3" s="16" t="s">
        <v>23</v>
      </c>
      <c r="V3" s="16" t="s">
        <v>11</v>
      </c>
      <c r="W3" s="16" t="s">
        <v>4</v>
      </c>
      <c r="X3" s="16" t="s">
        <v>22</v>
      </c>
      <c r="Y3" s="16" t="s">
        <v>23</v>
      </c>
      <c r="Z3" s="16" t="s">
        <v>11</v>
      </c>
      <c r="AA3" s="16" t="s">
        <v>4</v>
      </c>
      <c r="AB3" s="16" t="s">
        <v>22</v>
      </c>
      <c r="AC3" s="16" t="s">
        <v>23</v>
      </c>
      <c r="AD3" s="16" t="s">
        <v>11</v>
      </c>
      <c r="AE3" s="16" t="s">
        <v>4</v>
      </c>
      <c r="AF3" s="16" t="s">
        <v>22</v>
      </c>
      <c r="AG3" s="16" t="s">
        <v>23</v>
      </c>
      <c r="AH3" s="51" t="s">
        <v>11</v>
      </c>
      <c r="AI3" s="51" t="s">
        <v>4</v>
      </c>
      <c r="AJ3" s="51" t="s">
        <v>22</v>
      </c>
      <c r="AK3" s="51" t="s">
        <v>23</v>
      </c>
      <c r="AL3" s="16" t="s">
        <v>43</v>
      </c>
      <c r="AM3" s="16"/>
      <c r="AN3" s="16"/>
      <c r="AO3" s="16"/>
      <c r="AP3" s="16"/>
      <c r="AQ3" s="16"/>
      <c r="AR3" s="16"/>
      <c r="AS3" s="17" t="s">
        <v>11</v>
      </c>
      <c r="AT3" s="17" t="s">
        <v>4</v>
      </c>
      <c r="AU3" s="17" t="s">
        <v>22</v>
      </c>
      <c r="AV3" s="17" t="s">
        <v>23</v>
      </c>
      <c r="AW3" s="17" t="s">
        <v>11</v>
      </c>
      <c r="AX3" s="17" t="s">
        <v>4</v>
      </c>
      <c r="AY3" s="17" t="s">
        <v>22</v>
      </c>
      <c r="AZ3" s="17" t="s">
        <v>23</v>
      </c>
      <c r="BA3" s="17" t="s">
        <v>11</v>
      </c>
      <c r="BB3" s="17" t="s">
        <v>4</v>
      </c>
      <c r="BC3" s="17" t="s">
        <v>22</v>
      </c>
      <c r="BD3" s="17" t="s">
        <v>23</v>
      </c>
      <c r="BE3" s="17" t="s">
        <v>11</v>
      </c>
      <c r="BF3" s="17" t="s">
        <v>4</v>
      </c>
      <c r="BG3" s="17" t="s">
        <v>22</v>
      </c>
      <c r="BH3" s="17" t="s">
        <v>23</v>
      </c>
      <c r="BI3" s="53" t="s">
        <v>11</v>
      </c>
      <c r="BJ3" s="53" t="s">
        <v>4</v>
      </c>
      <c r="BK3" s="53" t="s">
        <v>22</v>
      </c>
      <c r="BL3" s="53" t="s">
        <v>23</v>
      </c>
      <c r="BM3" s="17" t="s">
        <v>43</v>
      </c>
      <c r="BN3" s="17"/>
      <c r="BO3" s="17"/>
      <c r="BP3" s="17"/>
      <c r="BQ3" s="17"/>
      <c r="BR3" s="17"/>
      <c r="BS3" s="17"/>
      <c r="BT3" s="16" t="s">
        <v>11</v>
      </c>
      <c r="BU3" s="16" t="s">
        <v>4</v>
      </c>
      <c r="BV3" s="16" t="s">
        <v>22</v>
      </c>
      <c r="BW3" s="16" t="s">
        <v>23</v>
      </c>
      <c r="BX3" s="16" t="s">
        <v>11</v>
      </c>
      <c r="BY3" s="16" t="s">
        <v>4</v>
      </c>
      <c r="BZ3" s="16" t="s">
        <v>22</v>
      </c>
      <c r="CA3" s="16" t="s">
        <v>23</v>
      </c>
      <c r="CB3" s="16" t="s">
        <v>11</v>
      </c>
      <c r="CC3" s="16" t="s">
        <v>4</v>
      </c>
      <c r="CD3" s="16" t="s">
        <v>22</v>
      </c>
      <c r="CE3" s="16" t="s">
        <v>23</v>
      </c>
      <c r="CF3" s="16" t="s">
        <v>11</v>
      </c>
      <c r="CG3" s="16" t="s">
        <v>4</v>
      </c>
      <c r="CH3" s="16" t="s">
        <v>22</v>
      </c>
      <c r="CI3" s="16" t="s">
        <v>23</v>
      </c>
      <c r="CJ3" s="51" t="s">
        <v>11</v>
      </c>
      <c r="CK3" s="51" t="s">
        <v>4</v>
      </c>
      <c r="CL3" s="51" t="s">
        <v>22</v>
      </c>
      <c r="CM3" s="51" t="s">
        <v>23</v>
      </c>
      <c r="CN3" s="16" t="s">
        <v>43</v>
      </c>
      <c r="CO3" s="16"/>
      <c r="CP3" s="16"/>
      <c r="CQ3" s="16"/>
      <c r="CR3" s="16"/>
      <c r="CS3" s="16"/>
      <c r="CT3" s="16"/>
      <c r="CU3" s="54"/>
      <c r="CV3" s="54"/>
      <c r="CW3" s="16" t="s">
        <v>11</v>
      </c>
      <c r="CX3" s="16" t="s">
        <v>4</v>
      </c>
      <c r="CY3" s="16" t="s">
        <v>22</v>
      </c>
      <c r="CZ3" s="16" t="s">
        <v>23</v>
      </c>
      <c r="DA3" s="16" t="s">
        <v>11</v>
      </c>
      <c r="DB3" s="16" t="s">
        <v>4</v>
      </c>
      <c r="DC3" s="16" t="s">
        <v>22</v>
      </c>
      <c r="DD3" s="16" t="s">
        <v>23</v>
      </c>
      <c r="DE3" s="16" t="s">
        <v>11</v>
      </c>
      <c r="DF3" s="16" t="s">
        <v>4</v>
      </c>
      <c r="DG3" s="16" t="s">
        <v>22</v>
      </c>
      <c r="DH3" s="16" t="s">
        <v>23</v>
      </c>
      <c r="DI3" s="16" t="s">
        <v>11</v>
      </c>
      <c r="DJ3" s="16" t="s">
        <v>4</v>
      </c>
      <c r="DK3" s="16" t="s">
        <v>22</v>
      </c>
      <c r="DL3" s="16" t="s">
        <v>23</v>
      </c>
      <c r="DM3" s="52" t="s">
        <v>11</v>
      </c>
      <c r="DN3" s="52" t="s">
        <v>4</v>
      </c>
      <c r="DO3" s="52" t="s">
        <v>22</v>
      </c>
      <c r="DP3" s="52" t="s">
        <v>23</v>
      </c>
      <c r="DQ3" s="16"/>
      <c r="DR3" s="16"/>
      <c r="DS3" s="16"/>
      <c r="DT3" s="16"/>
      <c r="DU3" s="16"/>
      <c r="DV3" s="16"/>
      <c r="DW3" s="17" t="s">
        <v>11</v>
      </c>
      <c r="DX3" s="17" t="s">
        <v>4</v>
      </c>
      <c r="DY3" s="17" t="s">
        <v>22</v>
      </c>
      <c r="DZ3" s="17" t="s">
        <v>23</v>
      </c>
      <c r="EA3" s="17" t="s">
        <v>11</v>
      </c>
      <c r="EB3" s="17" t="s">
        <v>4</v>
      </c>
      <c r="EC3" s="17" t="s">
        <v>22</v>
      </c>
      <c r="ED3" s="17" t="s">
        <v>23</v>
      </c>
      <c r="EE3" s="17" t="s">
        <v>11</v>
      </c>
      <c r="EF3" s="17" t="s">
        <v>4</v>
      </c>
      <c r="EG3" s="17" t="s">
        <v>22</v>
      </c>
      <c r="EH3" s="17" t="s">
        <v>23</v>
      </c>
      <c r="EI3" s="17" t="s">
        <v>11</v>
      </c>
      <c r="EJ3" s="17" t="s">
        <v>4</v>
      </c>
      <c r="EK3" s="17" t="s">
        <v>22</v>
      </c>
      <c r="EL3" s="17" t="s">
        <v>23</v>
      </c>
      <c r="EM3" s="53" t="s">
        <v>11</v>
      </c>
      <c r="EN3" s="53" t="s">
        <v>4</v>
      </c>
      <c r="EO3" s="53" t="s">
        <v>22</v>
      </c>
      <c r="EP3" s="53" t="s">
        <v>23</v>
      </c>
      <c r="EQ3" s="17"/>
      <c r="ER3" s="17"/>
      <c r="ES3" s="17"/>
      <c r="ET3" s="17"/>
      <c r="EU3" s="17"/>
      <c r="EV3" s="17"/>
      <c r="EW3" s="16" t="s">
        <v>11</v>
      </c>
      <c r="EX3" s="16" t="s">
        <v>4</v>
      </c>
      <c r="EY3" s="16" t="s">
        <v>22</v>
      </c>
      <c r="EZ3" s="16" t="s">
        <v>23</v>
      </c>
      <c r="FA3" s="16" t="s">
        <v>11</v>
      </c>
      <c r="FB3" s="16" t="s">
        <v>4</v>
      </c>
      <c r="FC3" s="16" t="s">
        <v>22</v>
      </c>
      <c r="FD3" s="16" t="s">
        <v>23</v>
      </c>
      <c r="FE3" s="16" t="s">
        <v>11</v>
      </c>
      <c r="FF3" s="16" t="s">
        <v>4</v>
      </c>
      <c r="FG3" s="16" t="s">
        <v>22</v>
      </c>
      <c r="FH3" s="16" t="s">
        <v>23</v>
      </c>
      <c r="FI3" s="16" t="s">
        <v>11</v>
      </c>
      <c r="FJ3" s="16" t="s">
        <v>4</v>
      </c>
      <c r="FK3" s="16" t="s">
        <v>22</v>
      </c>
      <c r="FL3" s="16" t="s">
        <v>23</v>
      </c>
      <c r="FM3" s="52" t="s">
        <v>11</v>
      </c>
      <c r="FN3" s="52" t="s">
        <v>4</v>
      </c>
      <c r="FO3" s="52" t="s">
        <v>22</v>
      </c>
      <c r="FP3" s="52" t="s">
        <v>23</v>
      </c>
      <c r="FQ3" s="16"/>
      <c r="FR3" s="16"/>
      <c r="FS3" s="16"/>
      <c r="FT3" s="16"/>
      <c r="FU3" s="16"/>
      <c r="FV3" s="16"/>
      <c r="FW3" s="17" t="s">
        <v>11</v>
      </c>
      <c r="FX3" s="17" t="s">
        <v>4</v>
      </c>
      <c r="FY3" s="17" t="s">
        <v>22</v>
      </c>
      <c r="FZ3" s="17" t="s">
        <v>23</v>
      </c>
      <c r="GA3" s="17" t="s">
        <v>11</v>
      </c>
      <c r="GB3" s="17" t="s">
        <v>4</v>
      </c>
      <c r="GC3" s="17" t="s">
        <v>22</v>
      </c>
      <c r="GD3" s="17" t="s">
        <v>23</v>
      </c>
      <c r="GE3" s="17" t="s">
        <v>11</v>
      </c>
      <c r="GF3" s="17" t="s">
        <v>4</v>
      </c>
      <c r="GG3" s="17" t="s">
        <v>22</v>
      </c>
      <c r="GH3" s="17" t="s">
        <v>23</v>
      </c>
      <c r="GI3" s="17" t="s">
        <v>11</v>
      </c>
      <c r="GJ3" s="17" t="s">
        <v>4</v>
      </c>
      <c r="GK3" s="17" t="s">
        <v>22</v>
      </c>
      <c r="GL3" s="17" t="s">
        <v>23</v>
      </c>
      <c r="GM3" s="53" t="s">
        <v>11</v>
      </c>
      <c r="GN3" s="53" t="s">
        <v>4</v>
      </c>
      <c r="GO3" s="53" t="s">
        <v>22</v>
      </c>
      <c r="GP3" s="53" t="s">
        <v>23</v>
      </c>
      <c r="GQ3" s="17"/>
      <c r="GR3" s="17"/>
      <c r="GS3" s="17"/>
      <c r="GT3" s="17"/>
      <c r="GU3" s="17"/>
      <c r="GV3" s="17"/>
      <c r="GW3" s="16" t="s">
        <v>11</v>
      </c>
      <c r="GX3" s="16" t="s">
        <v>4</v>
      </c>
      <c r="GY3" s="16" t="s">
        <v>22</v>
      </c>
      <c r="GZ3" s="16" t="s">
        <v>23</v>
      </c>
      <c r="HA3" s="16" t="s">
        <v>11</v>
      </c>
      <c r="HB3" s="16" t="s">
        <v>4</v>
      </c>
      <c r="HC3" s="16" t="s">
        <v>22</v>
      </c>
      <c r="HD3" s="16" t="s">
        <v>23</v>
      </c>
      <c r="HE3" s="16" t="s">
        <v>11</v>
      </c>
      <c r="HF3" s="16" t="s">
        <v>4</v>
      </c>
      <c r="HG3" s="16" t="s">
        <v>22</v>
      </c>
      <c r="HH3" s="16" t="s">
        <v>23</v>
      </c>
      <c r="HI3" s="16" t="s">
        <v>11</v>
      </c>
      <c r="HJ3" s="16" t="s">
        <v>4</v>
      </c>
      <c r="HK3" s="16" t="s">
        <v>22</v>
      </c>
      <c r="HL3" s="16" t="s">
        <v>23</v>
      </c>
      <c r="HM3" s="52" t="s">
        <v>11</v>
      </c>
      <c r="HN3" s="52" t="s">
        <v>4</v>
      </c>
      <c r="HO3" s="52" t="s">
        <v>22</v>
      </c>
      <c r="HP3" s="52" t="s">
        <v>23</v>
      </c>
      <c r="HQ3" s="16"/>
      <c r="HR3" s="16"/>
      <c r="HS3" s="16"/>
      <c r="HT3" s="16"/>
      <c r="HU3" s="16"/>
      <c r="HV3" s="16"/>
      <c r="HW3" s="17" t="s">
        <v>11</v>
      </c>
      <c r="HX3" s="17" t="s">
        <v>4</v>
      </c>
      <c r="HY3" s="17" t="s">
        <v>22</v>
      </c>
      <c r="HZ3" s="17" t="s">
        <v>23</v>
      </c>
      <c r="IA3" s="17" t="s">
        <v>11</v>
      </c>
      <c r="IB3" s="17" t="s">
        <v>4</v>
      </c>
      <c r="IC3" s="17" t="s">
        <v>22</v>
      </c>
      <c r="ID3" s="17" t="s">
        <v>23</v>
      </c>
      <c r="IE3" s="17" t="s">
        <v>11</v>
      </c>
      <c r="IF3" s="17" t="s">
        <v>4</v>
      </c>
      <c r="IG3" s="17" t="s">
        <v>22</v>
      </c>
      <c r="IH3" s="17" t="s">
        <v>23</v>
      </c>
      <c r="II3" s="17" t="s">
        <v>11</v>
      </c>
      <c r="IJ3" s="17" t="s">
        <v>4</v>
      </c>
      <c r="IK3" s="17" t="s">
        <v>22</v>
      </c>
      <c r="IL3" s="17" t="s">
        <v>23</v>
      </c>
      <c r="IM3" s="53" t="s">
        <v>11</v>
      </c>
      <c r="IN3" s="53" t="s">
        <v>4</v>
      </c>
      <c r="IO3" s="53" t="s">
        <v>22</v>
      </c>
      <c r="IP3" s="53" t="s">
        <v>23</v>
      </c>
      <c r="IQ3" s="17"/>
      <c r="IR3" s="17"/>
      <c r="IS3" s="17"/>
      <c r="IT3" s="17"/>
      <c r="IU3" s="17"/>
      <c r="IV3" s="17"/>
      <c r="IW3" s="16" t="s">
        <v>11</v>
      </c>
      <c r="IX3" s="16" t="s">
        <v>4</v>
      </c>
      <c r="IY3" s="16" t="s">
        <v>22</v>
      </c>
      <c r="IZ3" s="16" t="s">
        <v>23</v>
      </c>
      <c r="JA3" s="16" t="s">
        <v>11</v>
      </c>
      <c r="JB3" s="16" t="s">
        <v>4</v>
      </c>
      <c r="JC3" s="16" t="s">
        <v>22</v>
      </c>
      <c r="JD3" s="16" t="s">
        <v>23</v>
      </c>
      <c r="JE3" s="16" t="s">
        <v>11</v>
      </c>
      <c r="JF3" s="16" t="s">
        <v>4</v>
      </c>
      <c r="JG3" s="16" t="s">
        <v>22</v>
      </c>
      <c r="JH3" s="16" t="s">
        <v>23</v>
      </c>
      <c r="JI3" s="16" t="s">
        <v>11</v>
      </c>
      <c r="JJ3" s="16" t="s">
        <v>4</v>
      </c>
      <c r="JK3" s="16" t="s">
        <v>22</v>
      </c>
      <c r="JL3" s="16" t="s">
        <v>23</v>
      </c>
      <c r="JM3" s="52" t="s">
        <v>11</v>
      </c>
      <c r="JN3" s="52" t="s">
        <v>4</v>
      </c>
      <c r="JO3" s="52" t="s">
        <v>22</v>
      </c>
      <c r="JP3" s="52" t="s">
        <v>23</v>
      </c>
      <c r="JQ3" s="16"/>
      <c r="JR3" s="16"/>
      <c r="JS3" s="16"/>
      <c r="JT3" s="16"/>
      <c r="JU3" s="16"/>
      <c r="JV3" s="16"/>
      <c r="JW3" s="17" t="s">
        <v>11</v>
      </c>
      <c r="JX3" s="17" t="s">
        <v>4</v>
      </c>
      <c r="JY3" s="17" t="s">
        <v>22</v>
      </c>
      <c r="JZ3" s="17" t="s">
        <v>23</v>
      </c>
      <c r="KA3" s="17" t="s">
        <v>11</v>
      </c>
      <c r="KB3" s="17" t="s">
        <v>4</v>
      </c>
      <c r="KC3" s="17" t="s">
        <v>22</v>
      </c>
      <c r="KD3" s="17" t="s">
        <v>23</v>
      </c>
      <c r="KE3" s="17" t="s">
        <v>11</v>
      </c>
      <c r="KF3" s="17" t="s">
        <v>4</v>
      </c>
      <c r="KG3" s="17" t="s">
        <v>22</v>
      </c>
      <c r="KH3" s="17" t="s">
        <v>23</v>
      </c>
      <c r="KI3" s="17" t="s">
        <v>11</v>
      </c>
      <c r="KJ3" s="17" t="s">
        <v>4</v>
      </c>
      <c r="KK3" s="17" t="s">
        <v>22</v>
      </c>
      <c r="KL3" s="17" t="s">
        <v>23</v>
      </c>
      <c r="KM3" s="53" t="s">
        <v>11</v>
      </c>
      <c r="KN3" s="53" t="s">
        <v>4</v>
      </c>
      <c r="KO3" s="53" t="s">
        <v>22</v>
      </c>
      <c r="KP3" s="53" t="s">
        <v>23</v>
      </c>
      <c r="KQ3" s="17"/>
      <c r="KR3" s="17"/>
      <c r="KS3" s="17"/>
      <c r="KT3" s="17"/>
      <c r="KU3" s="17"/>
      <c r="KV3" s="17"/>
      <c r="KW3" s="16" t="s">
        <v>11</v>
      </c>
      <c r="KX3" s="16" t="s">
        <v>4</v>
      </c>
      <c r="KY3" s="16" t="s">
        <v>22</v>
      </c>
      <c r="KZ3" s="16" t="s">
        <v>23</v>
      </c>
      <c r="LA3" s="16" t="s">
        <v>11</v>
      </c>
      <c r="LB3" s="16" t="s">
        <v>4</v>
      </c>
      <c r="LC3" s="16" t="s">
        <v>22</v>
      </c>
      <c r="LD3" s="16" t="s">
        <v>23</v>
      </c>
      <c r="LE3" s="16" t="s">
        <v>11</v>
      </c>
      <c r="LF3" s="16" t="s">
        <v>4</v>
      </c>
      <c r="LG3" s="16" t="s">
        <v>22</v>
      </c>
      <c r="LH3" s="16" t="s">
        <v>23</v>
      </c>
      <c r="LI3" s="16" t="s">
        <v>11</v>
      </c>
      <c r="LJ3" s="16" t="s">
        <v>4</v>
      </c>
      <c r="LK3" s="16" t="s">
        <v>22</v>
      </c>
      <c r="LL3" s="16" t="s">
        <v>23</v>
      </c>
      <c r="LM3" s="52" t="s">
        <v>11</v>
      </c>
      <c r="LN3" s="52" t="s">
        <v>4</v>
      </c>
      <c r="LO3" s="52" t="s">
        <v>22</v>
      </c>
      <c r="LP3" s="52" t="s">
        <v>23</v>
      </c>
      <c r="LQ3" s="16"/>
      <c r="LR3" s="16"/>
      <c r="LS3" s="16"/>
      <c r="LT3" s="16"/>
      <c r="LU3" s="16"/>
      <c r="LV3" s="16"/>
      <c r="LW3" s="17" t="s">
        <v>11</v>
      </c>
      <c r="LX3" s="17" t="s">
        <v>4</v>
      </c>
      <c r="LY3" s="17" t="s">
        <v>22</v>
      </c>
      <c r="LZ3" s="17" t="s">
        <v>23</v>
      </c>
      <c r="MA3" s="17" t="s">
        <v>11</v>
      </c>
      <c r="MB3" s="17" t="s">
        <v>4</v>
      </c>
      <c r="MC3" s="17" t="s">
        <v>22</v>
      </c>
      <c r="MD3" s="17" t="s">
        <v>23</v>
      </c>
      <c r="ME3" s="17" t="s">
        <v>11</v>
      </c>
      <c r="MF3" s="17" t="s">
        <v>4</v>
      </c>
      <c r="MG3" s="17" t="s">
        <v>22</v>
      </c>
      <c r="MH3" s="17" t="s">
        <v>23</v>
      </c>
      <c r="MI3" s="17" t="s">
        <v>11</v>
      </c>
      <c r="MJ3" s="17" t="s">
        <v>4</v>
      </c>
      <c r="MK3" s="17" t="s">
        <v>22</v>
      </c>
      <c r="ML3" s="17" t="s">
        <v>23</v>
      </c>
      <c r="MM3" s="53" t="s">
        <v>11</v>
      </c>
      <c r="MN3" s="53" t="s">
        <v>4</v>
      </c>
      <c r="MO3" s="53" t="s">
        <v>22</v>
      </c>
      <c r="MP3" s="53" t="s">
        <v>23</v>
      </c>
      <c r="MQ3" s="17"/>
      <c r="MR3" s="17"/>
      <c r="MS3" s="17"/>
      <c r="MT3" s="17"/>
      <c r="MU3" s="17"/>
      <c r="MV3" s="17"/>
      <c r="MW3" s="16" t="s">
        <v>11</v>
      </c>
      <c r="MX3" s="16" t="s">
        <v>4</v>
      </c>
      <c r="MY3" s="16" t="s">
        <v>22</v>
      </c>
      <c r="MZ3" s="16" t="s">
        <v>23</v>
      </c>
      <c r="NA3" s="16" t="s">
        <v>11</v>
      </c>
      <c r="NB3" s="16" t="s">
        <v>4</v>
      </c>
      <c r="NC3" s="16" t="s">
        <v>22</v>
      </c>
      <c r="ND3" s="16" t="s">
        <v>23</v>
      </c>
      <c r="NE3" s="16" t="s">
        <v>11</v>
      </c>
      <c r="NF3" s="16" t="s">
        <v>4</v>
      </c>
      <c r="NG3" s="16" t="s">
        <v>22</v>
      </c>
      <c r="NH3" s="16" t="s">
        <v>23</v>
      </c>
      <c r="NI3" s="16" t="s">
        <v>11</v>
      </c>
      <c r="NJ3" s="16" t="s">
        <v>4</v>
      </c>
      <c r="NK3" s="16" t="s">
        <v>22</v>
      </c>
      <c r="NL3" s="16" t="s">
        <v>23</v>
      </c>
      <c r="NM3" s="52" t="s">
        <v>11</v>
      </c>
      <c r="NN3" s="52" t="s">
        <v>4</v>
      </c>
      <c r="NO3" s="52" t="s">
        <v>22</v>
      </c>
      <c r="NP3" s="52" t="s">
        <v>23</v>
      </c>
      <c r="NQ3" s="16"/>
      <c r="NR3" s="16"/>
      <c r="NS3" s="16"/>
      <c r="NT3" s="16"/>
      <c r="NU3" s="16"/>
      <c r="NV3" s="16"/>
      <c r="NW3" s="17" t="s">
        <v>11</v>
      </c>
      <c r="NX3" s="17" t="s">
        <v>4</v>
      </c>
      <c r="NY3" s="17" t="s">
        <v>22</v>
      </c>
      <c r="NZ3" s="17" t="s">
        <v>23</v>
      </c>
      <c r="OA3" s="17" t="s">
        <v>11</v>
      </c>
      <c r="OB3" s="17" t="s">
        <v>4</v>
      </c>
      <c r="OC3" s="17" t="s">
        <v>22</v>
      </c>
      <c r="OD3" s="17" t="s">
        <v>23</v>
      </c>
      <c r="OE3" s="17" t="s">
        <v>11</v>
      </c>
      <c r="OF3" s="17" t="s">
        <v>4</v>
      </c>
      <c r="OG3" s="17" t="s">
        <v>22</v>
      </c>
      <c r="OH3" s="17" t="s">
        <v>23</v>
      </c>
      <c r="OI3" s="17" t="s">
        <v>11</v>
      </c>
      <c r="OJ3" s="17" t="s">
        <v>4</v>
      </c>
      <c r="OK3" s="17" t="s">
        <v>22</v>
      </c>
      <c r="OL3" s="17" t="s">
        <v>23</v>
      </c>
      <c r="OM3" s="53" t="s">
        <v>11</v>
      </c>
      <c r="ON3" s="53" t="s">
        <v>4</v>
      </c>
      <c r="OO3" s="53" t="s">
        <v>22</v>
      </c>
      <c r="OP3" s="53" t="s">
        <v>23</v>
      </c>
      <c r="OQ3" s="17"/>
      <c r="OR3" s="17"/>
      <c r="OS3" s="17"/>
      <c r="OT3" s="17"/>
      <c r="OU3" s="17"/>
      <c r="OV3" s="17"/>
      <c r="OW3" s="16" t="s">
        <v>11</v>
      </c>
      <c r="OX3" s="16" t="s">
        <v>4</v>
      </c>
      <c r="OY3" s="16" t="s">
        <v>22</v>
      </c>
      <c r="OZ3" s="16" t="s">
        <v>23</v>
      </c>
      <c r="PA3" s="16" t="s">
        <v>11</v>
      </c>
      <c r="PB3" s="16" t="s">
        <v>4</v>
      </c>
      <c r="PC3" s="16" t="s">
        <v>22</v>
      </c>
      <c r="PD3" s="16" t="s">
        <v>23</v>
      </c>
      <c r="PE3" s="16" t="s">
        <v>11</v>
      </c>
      <c r="PF3" s="16" t="s">
        <v>4</v>
      </c>
      <c r="PG3" s="16" t="s">
        <v>22</v>
      </c>
      <c r="PH3" s="16" t="s">
        <v>23</v>
      </c>
      <c r="PI3" s="16" t="s">
        <v>11</v>
      </c>
      <c r="PJ3" s="16" t="s">
        <v>4</v>
      </c>
      <c r="PK3" s="16" t="s">
        <v>22</v>
      </c>
      <c r="PL3" s="16" t="s">
        <v>23</v>
      </c>
      <c r="PM3" s="51" t="s">
        <v>11</v>
      </c>
      <c r="PN3" s="51" t="s">
        <v>4</v>
      </c>
      <c r="PO3" s="51" t="s">
        <v>22</v>
      </c>
      <c r="PP3" s="51" t="s">
        <v>23</v>
      </c>
      <c r="PQ3" s="16" t="s">
        <v>43</v>
      </c>
      <c r="PR3" s="16"/>
      <c r="PS3" s="16"/>
      <c r="PT3" s="16"/>
      <c r="PU3" s="16"/>
      <c r="PV3" s="16"/>
      <c r="PW3" s="16"/>
    </row>
    <row r="4" spans="1:439" x14ac:dyDescent="0.2">
      <c r="A4" s="4" cm="1">
        <f t="array" ref="A4">IF(AND(H4&lt;&gt;"",H4&lt;&gt;"No DD"),SUMPRODUCT((H$4:H$6&lt;&gt;"")*(H$4:H$6&lt;&gt;"No DD")*(E$4:E$6&gt;E4))+1,IF(H4="No DD",SUMPRODUCT((H$4:H$6="No DD")*(E$4:E$6&gt;E4))+1+SUMPRODUCT((H$4:H$6&lt;&gt;"")*(H$4:H$6&lt;&gt;"No DD")),""))</f>
        <v>1</v>
      </c>
      <c r="B4" s="5" t="s">
        <v>100</v>
      </c>
      <c r="C4" s="4" t="s">
        <v>65</v>
      </c>
      <c r="D4" s="4">
        <v>2007</v>
      </c>
      <c r="E4" s="10">
        <f>SUM(I4:O4)+SUM(I4:M4)*0.0000001+SUM(I4)*0.0000000000001</f>
        <v>125.30001200000414</v>
      </c>
      <c r="F4" s="3" t="str">
        <f>IF(OR(AND(AM4&gt;=AR$8,AN4&gt;=AR$12,AM4&lt;&gt;"",AL4=""),AND(AP4&gt;=AR$8,AQ4&gt;=AR$12,AP4&lt;&gt;"",AL4=""),AND(BN4&gt;=BS$8,BO4&gt;=BS$12,BN4&lt;&gt;"",BM4=""),AND(BQ4&gt;=BS$8,BR4&gt;=BS$12,BQ4&lt;&gt;"",BM4=""),AND(CO4&gt;=CT$8,CP4&gt;=CT$12,CO4&lt;&gt;"",CN4=""),AND(CR4&gt;=CT$8,CS4&gt;=CT$12,CR4&lt;&gt;""),AND(DQ4&gt;=DV$8,DR4&gt;=DV$12,DQ4&lt;&gt;""),AND(DT4&gt;=DV$8,DU4&gt;=DV$12,DT4&lt;&gt;""),AND(EQ4&gt;=EV$8,ER4&gt;=EV$12,EQ4&lt;&gt;""),AND(ET4&gt;=EV$8,EU4&gt;=EV$12,ET4&lt;&gt;""),AND(FQ4&gt;=FV$8,FR4&gt;=FV$12,FQ4&lt;&gt;""),AND(FT4&gt;=FV$8,FU4&gt;=FV$12,FT4&lt;&gt;""),AND(GQ4&gt;=GV$8,GR4&gt;=GV$12,GQ4&lt;&gt;""),AND(GT4&gt;=GV$8,GU4&gt;=GV$12,GT4&lt;&gt;""),AND(HQ4&gt;=HV$8,HR4&gt;=HV$12,HQ4&lt;&gt;""),AND(HT4&gt;=HV$8,HU4&gt;=HV$12,HT4&lt;&gt;""),AND(IQ4&gt;=IV$8,IR4&gt;=IV$12,IQ4&lt;&gt;""),AND(IT4&gt;=IV$8,IU4&gt;=IV$12,IT4&lt;&gt;""),AND(JQ4&gt;=JV$8,JR4&gt;=JV$12,JQ4&lt;&gt;""),AND(JT4&gt;=JV$8,JU4&gt;=JV$12,JT4&lt;&gt;""),AND(KQ4&gt;=KV$8,KR4&gt;=KV$12,KQ4&lt;&gt;""),AND(KT4&gt;=KV$8,KU4&gt;=KV$12,KT4&lt;&gt;""),AND(LQ4&gt;=LV$8,LR4&gt;=LV$12,LQ4&lt;&gt;""),AND(LT4&gt;=LV$8,LU4&gt;=LV$12,LT4&lt;&gt;""),AND(MQ4&gt;=MV$8,MR4&gt;=MV$12,MQ4&lt;&gt;""),AND(MT4&gt;=MV$8,MU4&gt;=MV$12,MT4&lt;&gt;""),AND(NQ4&gt;=NV$8,NR4&gt;=NV$12,NQ4&lt;&gt;""),AND(NT4&gt;=NV$8,NU4&gt;=NV$12,NT4&lt;&gt;""),AND(OQ4&gt;=OV$8,OR4&gt;=OV$12,OQ4&lt;&gt;""),AND(OT4&gt;=OV$8,OU4&gt;=OV$12,OT4&lt;&gt;"")),"P","")</f>
        <v>P</v>
      </c>
      <c r="G4" s="3" t="str">
        <f>IF(OR(AND(AN4&gt;=AR$12,AN4&lt;&gt;"",AL4=""),AND(AQ4&gt;=AR$12,AQ4&lt;&gt;"",AL4=""),AND(BO4&gt;=BS$12,BO4&lt;&gt;"",BM4=""),AND(BR4&gt;=BS$12,BR4&lt;&gt;"",BM4=""),AND(CP4&gt;=CT$12,CP4&lt;&gt;"",CN4=""),AND(CS4&gt;=CT$12,CS4&lt;&gt;"",CN4=""),AND(DR4&gt;=DV$12,DR4&lt;&gt;""),AND(DU4&gt;=DV$12,DU4&lt;&gt;""),AND(ER4&gt;=EV$12,ER4&lt;&gt;""),AND(EU4&gt;=EV$12,EU4&lt;&gt;""),AND(FR4&gt;=FV$12,FR4&lt;&gt;""),AND(FU4&gt;=FV$12,FU4&lt;&gt;""),AND(GR4&gt;=GV$12,GR4&lt;&gt;""),AND(GU4&gt;=GV$12,GU4&lt;&gt;""),AND(HR4&gt;=HV$12,HR4&lt;&gt;""),AND(HU4&gt;=HV$12,HU4&lt;&gt;""),AND(IR4&gt;=IV$12,IR4&lt;&gt;""),AND(IU4&gt;=IV$12,IU4&lt;&gt;""),AND(JR4&gt;=JV$12,JR4&lt;&gt;""),AND(JU4&gt;=JV$12,JU4&lt;&gt;""),AND(KR4&gt;=KV$12,KR4&lt;&gt;""),AND(KU4&gt;=KV$12,KU4&lt;&gt;""),AND(LR4&gt;=LV$12,LR4&lt;&gt;""),AND(LU4&gt;=LV$12,LU4&lt;&gt;""),AND(MR4&gt;=MV$12,MR4&lt;&gt;""),AND(MU4&gt;=MV$12,MU4&lt;&gt;""),AND(NR4&gt;=NV$12,NR4&lt;&gt;""),AND(NU4&gt;=NV$12,NU4&lt;&gt;""),AND(OR4&gt;=OV$12,OR4&lt;&gt;""),AND(OU4&gt;=OV$12,OU4&lt;&gt;"")),"P","")</f>
        <v>P</v>
      </c>
      <c r="H4" s="47" t="str">
        <f>IF(AND(G4="P",F4=""),"No DD",IF(OR(AND(AM4&gt;=AR$11,AN4&gt;=AR$15,AM4&lt;&gt;"",AL4=""),AND(AP4&gt;=AR$11,AQ4&gt;=AR$15,AP4&lt;&gt;"",AL4=""),AND(BN4&gt;=BS$11,BO4&gt;=BS$15,BN4&lt;&gt;"",BM4=""),AND(BQ4&gt;=BS$11,BR4&gt;=BS$15,BQ4&lt;&gt;"",BM4=""),AND(CO4&gt;=CT$11,CP4&gt;=CT$15,CO4&lt;&gt;"",CN4=""),AND(CR4&gt;=CT$11,CS4&gt;=CT$15,CR4&lt;&gt;""),AND(DQ4&gt;=DV$11,DR4&gt;=DV$15,DQ4&lt;&gt;""),AND(DT4&gt;=DV$11,DU4&gt;=DV$15,DT4&lt;&gt;""),AND(EQ4&gt;=EV$11,ER4&gt;=EV$15,EQ4&lt;&gt;""),AND(ET4&gt;=EV$11,EU4&gt;=EV$15,ET4&lt;&gt;""),AND(FQ4&gt;=FV$11,FR4&gt;=FV$15,FQ4&lt;&gt;""),AND(FT4&gt;=FV$11,FU4&gt;=FV$15,FT4&lt;&gt;""),AND(GQ4&gt;=GV$11,GR4&gt;=GV$15,GQ4&lt;&gt;""),AND(GT4&gt;=GV$11,GU4&gt;=GV$15,GT4&lt;&gt;""),AND(HQ4&gt;=HV$11,HR4&gt;=HV$15,HQ4&lt;&gt;""),AND(HT4&gt;=HV$11,HU4&gt;=HV$15,HT4&lt;&gt;""),AND(IQ4&gt;=IV$11,IR4&gt;=IV$15,IQ4&lt;&gt;""),AND(IT4&gt;=IV$11,IU4&gt;=IV$15,IT4&lt;&gt;""),AND(JQ4&gt;=JV$11,JR4&gt;=JV$15,JQ4&lt;&gt;""),AND(JT4&gt;=JV$11,JU4&gt;=JV$15,JT4&lt;&gt;""),AND(KQ4&gt;=KV$11,KR4&gt;=KV$15,KQ4&lt;&gt;""),AND(KT4&gt;=KV$11,KU4&gt;=KV$15,KT4&lt;&gt;""),AND(LQ4&gt;=LV$11,LR4&gt;=LV$15,LQ4&lt;&gt;""),AND(LT4&gt;=LV$11,LU4&gt;=LV$15,LT4&lt;&gt;""),AND(MQ4&gt;=MV$11,MR4&gt;=MV$15,MQ4&lt;&gt;""),AND(MT4&gt;=MV$11,MU4&gt;=MV$15,MT4&lt;&gt;""),AND(NQ4&gt;=NV$11,NR4&gt;=NV$15,NQ4&lt;&gt;""),AND(NT4&gt;=NV$11,NU4&gt;=NV$15,NT4&lt;&gt;""),AND(OQ4&gt;=OV$11,OR4&gt;=OV$15,OQ4&lt;&gt;""),AND(OT4&gt;=OV$11,OU4&gt;=OV$15,OT4&lt;&gt;"")),"Merit",IF(OR(AND(AM4&gt;=AR$10,AN4&gt;=AR$14,AM4&lt;&gt;"",AL4=""),AND(AP4&gt;=AR$10,AQ4&gt;=AR$14,AP4&lt;&gt;"",AL4=""),AND(BN4&gt;=BS$10,BO4&gt;=BS$14,BN4&lt;&gt;"",BM4=""),AND(BQ4&gt;=BS$10,BR4&gt;=BS$14,BQ4&lt;&gt;"",BM4=""),AND(CO4&gt;=CT$10,CP4&gt;=CT$14,CO4&lt;&gt;"",CN4=""),AND(CR4&gt;=CT$10,CS4&gt;=CT$14,CR4&lt;&gt;""),AND(DQ4&gt;=DV$10,DR4&gt;=DV$14,DQ4&lt;&gt;""),AND(DT4&gt;=DV$10,DU4&gt;=DV$14,DT4&lt;&gt;""),AND(EQ4&gt;=EV$10,ER4&gt;=EV$14,EQ4&lt;&gt;""),AND(ET4&gt;=EV$10,EU4&gt;=EV$14,ET4&lt;&gt;""),AND(FQ4&gt;=FV$10,FR4&gt;=FV$14,FQ4&lt;&gt;""),AND(FT4&gt;=FV$10,FU4&gt;=FV$14,FT4&lt;&gt;""),AND(GQ4&gt;=GV$10,GR4&gt;=GV$14,GQ4&lt;&gt;""),AND(GT4&gt;=GV$10,GU4&gt;=GV$14,GT4&lt;&gt;""),AND(HQ4&gt;=HV$10,HR4&gt;=HV$14,HQ4&lt;&gt;""),AND(HT4&gt;=HV$10,HU4&gt;=HV$14,HT4&lt;&gt;""),AND(IQ4&gt;=IV$10,IR4&gt;=IV$14,IQ4&lt;&gt;""),AND(IT4&gt;=IV$10,IU4&gt;=IV$14,IT4&lt;&gt;""),AND(JQ4&gt;=JV$10,JR4&gt;=JV$14,JQ4&lt;&gt;""),AND(JT4&gt;=JV$10,JU4&gt;=JV$14,JT4&lt;&gt;""),AND(KQ4&gt;=KV$10,KR4&gt;=KV$14,KQ4&lt;&gt;""),AND(KT4&gt;=KV$10,KU4&gt;=KV$14,KT4&lt;&gt;""),AND(LQ4&gt;=LV$10,LR4&gt;=LV$14,LQ4&lt;&gt;""),AND(LT4&gt;=LV$10,LU4&gt;=LV$14,LT4&lt;&gt;""),AND(MQ4&gt;=MV$10,MR4&gt;=MV$14,MQ4&lt;&gt;""),AND(MT4&gt;=MV$10,MU4&gt;=MV$14,MT4&lt;&gt;""),AND(NQ4&gt;=NV$10,NR4&gt;=NV$14,NQ4&lt;&gt;""),AND(NT4&gt;=NV$10,NU4&gt;=NV$14,NT4&lt;&gt;""),AND(OQ4&gt;=OV$10,OR4&gt;=OV$14,OQ4&lt;&gt;""),AND(OT4&gt;=OV$10,OU4&gt;=OV$14,OT4&lt;&gt;"")),"Excellence",IF(F4="P","National Team",""))))</f>
        <v>Excellence</v>
      </c>
      <c r="I4" s="9">
        <f>IF(COUNT(AN4,BO4,CP4)&gt;0,LARGE((AN4,BO4,CP4),1),0)</f>
        <v>40.699999999999996</v>
      </c>
      <c r="J4" s="9" t="str">
        <f>IF(I4=0,"",IF(I4=CP4,$BT$1,IF(I4=BO4,$AS$1,IF(I4=AN4,$R$1,""))))</f>
        <v>2023 Nationals</v>
      </c>
      <c r="K4" s="9">
        <f>IF(COUNT(AN4,BO4,CP4)&gt;1,LARGE((AN4,BO4,CP4),2),0)</f>
        <v>36.199999999999996</v>
      </c>
      <c r="L4" s="9" t="str">
        <f>IF(K4=0,"",IF(K4=CP4,$BT$1,IF(K4=BO4,$AS$1,IF(K4=AN4,$R$1,""))))</f>
        <v>2023 3rd Domestic Trial</v>
      </c>
      <c r="M4" s="9">
        <f>IF(MAX(AQ4,BR4,CS4)&gt;0,MAX(AQ4,BR4,CS4),0)</f>
        <v>43.100000000000101</v>
      </c>
      <c r="N4" s="9" t="str">
        <f>IF(M4=0,"",IF(M4=CS4,$BT$1,IF(M4=BR4,$AS$1,IF(M4=AQ4,$R$1,""))))</f>
        <v>2023 Nationals</v>
      </c>
      <c r="O4" s="9">
        <f>IF(MAX(CU4:CV4)&gt;0,MAX(CU4:CV4),"")</f>
        <v>5.2999999999999972</v>
      </c>
      <c r="P4" s="14" t="str">
        <f>IF(O4="","",IF(O4=CU4,"("&amp;CU$2&amp;")",IF(O4=CV4,"("&amp;CV$2&amp;")")))</f>
        <v>(Q1)</v>
      </c>
      <c r="Q4" s="9" t="str">
        <f>IF(O4="","",IF(O4=CU4,IF(O4+IF(K4="",0,K4)=OR4,$NW$1,IF(O4+IF(K4="",0,K4)=NR4,$MW$1,IF(O4+IF(K4="",0,K4)=MR4,$LW$1,IF(O4+IF(K4="",0,K4)=LR4,$KW$1,IF(O4+IF(K4="",0,K4)=KR4,$JW$1,IF(O4+IF(K4="",0,K4)=JR4,$IW$1,IF(O4+IF(K4="",0,K4)=IR4,$HW$1,IF(O4+IF(K4="",0,K4)=HR4,$GW$1,IF(O4+IF(K4="",0,K4)=GR4,$FW$1,IF(O4+IF(K4="",0,K4)=FR4,$EW$1,IF(O4+IF(K4="",0,K4)=ER4,$DW$1,IF(O4+IF(K4="",0,K4)=DR4,$CW$1)))))))))))),IF(O4=CV4,IF(O4+IF(M4="",0,M4)=OU4,$NW$1,IF(O4+IF(M4="",0,M4)=NU4,$MW$1,IF(O4+IF(M4="",0,M4)=MU4,$LW$1,IF(O4+IF(M4="",0,M4)=LU4,$KW$1,IF(O4+IF(M4="",0,M4)=KU4,$JW$1,IF(O4+IF(M4="",0,M4)=JU4,$IW$1,IF(O4+IF(M4="",0,M4)=IU4,$HW$1,IF(O4+IF(M4="",0,M4)=HU4,$GW$1,IF(O4+IF(M4="",0,M4)=GU4,$FW$1,IF(O4+IF(M4="",0,M4)=FU4,$EW$1,IF(O4+IF(M4="",0,M4)=EU4,$DW$1,IF(O4+IF(M4="",0,M4)=DU4,$CW$1)))))))))))))))</f>
        <v>2023 WAGC (Nov 16)</v>
      </c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  <c r="AL4" s="32"/>
      <c r="AM4" s="55" t="str">
        <f>IF(SUM(S4,W4)&gt;0,SUM(S4,W4),"")</f>
        <v/>
      </c>
      <c r="AN4" s="55" t="str">
        <f>IF(SUM(R4:S4,U4:W4,Y4)-T4-X4&gt;0,SUM(R4:S4,U4:W4,Y4)-T4-X4,"")</f>
        <v/>
      </c>
      <c r="AO4" s="55" t="str">
        <f>IF(SUM(Z4:AA4,AC4)-AB4&gt;0,SUM(Z4:AA4,AC4)-AB4,"")</f>
        <v/>
      </c>
      <c r="AP4" s="55" t="str">
        <f>IF(SUM(AE4,AI4)&gt;0,SUM(AE4,AI4),"")</f>
        <v/>
      </c>
      <c r="AQ4" s="55" t="str">
        <f>IF(SUM(AD4:AE4,AG4:AI4,AK4)-SUM(AF4,AJ4)&gt;0,SUM(AD4:AE4,AG4:AI4,AK4)-SUM(AF4,AJ4),"")</f>
        <v/>
      </c>
      <c r="AR4" s="55" t="str">
        <f>IF(SUM(AN4,AO4,AQ4)&gt;0,SUM(AN4,AO4,AQ4),"")</f>
        <v/>
      </c>
      <c r="AS4" s="19">
        <v>15.7</v>
      </c>
      <c r="AT4" s="19">
        <v>4.0999999999999996</v>
      </c>
      <c r="AU4" s="19">
        <v>0.2</v>
      </c>
      <c r="AV4" s="19">
        <v>0.3</v>
      </c>
      <c r="AW4" s="19">
        <v>16.600000000000001</v>
      </c>
      <c r="AX4" s="19">
        <v>3.9</v>
      </c>
      <c r="AY4" s="19">
        <v>0</v>
      </c>
      <c r="AZ4" s="19">
        <v>0.3</v>
      </c>
      <c r="BA4" s="19">
        <v>16.899999999999999</v>
      </c>
      <c r="BB4" s="19">
        <v>4.0999999999999996</v>
      </c>
      <c r="BC4" s="19">
        <v>0</v>
      </c>
      <c r="BD4" s="19">
        <v>0.3</v>
      </c>
      <c r="BE4" s="19">
        <v>16.8</v>
      </c>
      <c r="BF4" s="19">
        <v>3.9</v>
      </c>
      <c r="BG4" s="19">
        <v>0</v>
      </c>
      <c r="BH4" s="19">
        <v>0.3</v>
      </c>
      <c r="BI4" s="19">
        <v>17.7</v>
      </c>
      <c r="BJ4" s="19">
        <v>4.1000000000001</v>
      </c>
      <c r="BK4" s="19">
        <v>0</v>
      </c>
      <c r="BL4" s="19">
        <v>0.3</v>
      </c>
      <c r="BM4" s="33"/>
      <c r="BN4" s="14">
        <f>IF(SUM(AT4,AX4)&gt;0,SUM(AT4,AX4),"")</f>
        <v>8</v>
      </c>
      <c r="BO4" s="14">
        <f>IF(SUM(AS4:AT4,AV4:AX4,AZ4)-AU4-AY4&gt;0,SUM(AS4:AT4,AV4:AX4,AZ4)-AU4-AY4,"")</f>
        <v>40.699999999999996</v>
      </c>
      <c r="BP4" s="14">
        <f>IF(SUM(BA4:BB4,BD4)-BC4&gt;0,SUM(BA4:BB4,BD4)-BC4,"")</f>
        <v>21.3</v>
      </c>
      <c r="BQ4" s="14">
        <f>IF(SUM(BF4,BJ4)&gt;0,SUM(BF4,BJ4),"")</f>
        <v>8.0000000000000995</v>
      </c>
      <c r="BR4" s="14">
        <f>IF(SUM(BE4:BF4,BH4:BJ4,BL4)-SUM(BG4,BK4)&gt;0,SUM(BE4:BF4,BH4:BJ4,BL4)-SUM(BG4,BK4),"")</f>
        <v>43.100000000000101</v>
      </c>
      <c r="BS4" s="14">
        <f>IF(SUM(BO4,BP4,BR4)&gt;0,SUM(BO4,BP4,BR4),"")</f>
        <v>105.10000000000011</v>
      </c>
      <c r="BT4" s="20">
        <v>16.100000000000001</v>
      </c>
      <c r="BU4" s="20">
        <v>1.9</v>
      </c>
      <c r="BV4" s="20">
        <v>0</v>
      </c>
      <c r="BW4" s="20">
        <v>0.3</v>
      </c>
      <c r="BX4" s="20">
        <v>15.7</v>
      </c>
      <c r="BY4" s="20">
        <v>1.9</v>
      </c>
      <c r="BZ4" s="20">
        <v>0</v>
      </c>
      <c r="CA4" s="20">
        <v>0.3</v>
      </c>
      <c r="CB4" s="20">
        <v>16.100000000000001</v>
      </c>
      <c r="CC4" s="20">
        <v>1.9</v>
      </c>
      <c r="CD4" s="20">
        <v>0</v>
      </c>
      <c r="CE4" s="20">
        <v>0.3</v>
      </c>
      <c r="CF4" s="20">
        <v>16.5</v>
      </c>
      <c r="CG4" s="20">
        <v>3.9</v>
      </c>
      <c r="CH4" s="20">
        <v>0</v>
      </c>
      <c r="CI4" s="20">
        <v>0.3</v>
      </c>
      <c r="CJ4" s="20">
        <v>16.399999999999999</v>
      </c>
      <c r="CK4" s="20">
        <v>4.0999999999999996</v>
      </c>
      <c r="CL4" s="20">
        <v>0</v>
      </c>
      <c r="CM4" s="20">
        <v>0.3</v>
      </c>
      <c r="CN4" s="32"/>
      <c r="CO4" s="55">
        <f>IF(SUM(BU4,BY4)&gt;0,SUM(BU4,BY4),"")</f>
        <v>3.8</v>
      </c>
      <c r="CP4" s="55">
        <f>IF(SUM(BT4:BU4,BW4:BY4,CA4)-BV4-BZ4&gt;0,SUM(BT4:BU4,BW4:BY4,CA4)-BV4-BZ4,"")</f>
        <v>36.199999999999996</v>
      </c>
      <c r="CQ4" s="55">
        <f>IF(SUM(CB4:CC4,CE4)-CD4&gt;0,SUM(CB4:CC4,CE4)-CD4,"")</f>
        <v>18.3</v>
      </c>
      <c r="CR4" s="55">
        <f>IF(SUM(CG4,CK4)&gt;0,SUM(CG4,CK4),"")</f>
        <v>8</v>
      </c>
      <c r="CS4" s="55">
        <f>IF(SUM(CF4:CG4,CI4:CK4,CM4)-SUM(CH4,CL4)&gt;0,SUM(CF4:CG4,CI4:CK4,CM4)-SUM(CH4,CL4),"")</f>
        <v>41.499999999999993</v>
      </c>
      <c r="CT4" s="55">
        <f>IF(SUM(CP4,CQ4,CS4)&gt;0,SUM(CP4,CQ4,CS4),"")</f>
        <v>96</v>
      </c>
      <c r="CU4" s="56">
        <f>IF(MAX(DR4,ER4,FR4,GR4,HR4,IR4,JR4,KR4,LR4,MR4,NR4,OR4)-IF(K4="",0,K4)&gt;0.001,MAX(DR4,ER4,FR4,GR4,HR4,IR4,JR4,KR4,LR4,MR4,NR4,OR4)-IF(K4="",0,K4),"")</f>
        <v>5.2999999999999972</v>
      </c>
      <c r="CV4" s="56" t="str">
        <f>IF(MAX(DU4,EU4,FU4,GU4,HU4,IU4,JU4,KU4,LU4,MU4,NU4,OU4)-IF(M4="",0,M4)&gt;0.001,MAX(DU4,EU4,FU4,GU4,HU4,IU4,JU4,KU4,LU4,MU4,NU4,OU4)-IF(M4="",0,M4),"")</f>
        <v/>
      </c>
      <c r="CW4" s="18"/>
      <c r="CX4" s="18"/>
      <c r="CY4" s="18"/>
      <c r="CZ4" s="18"/>
      <c r="DA4" s="18"/>
      <c r="DB4" s="18"/>
      <c r="DC4" s="18"/>
      <c r="DD4" s="18"/>
      <c r="DE4" s="18"/>
      <c r="DF4" s="18"/>
      <c r="DG4" s="18"/>
      <c r="DH4" s="18"/>
      <c r="DI4" s="18"/>
      <c r="DJ4" s="18"/>
      <c r="DK4" s="18"/>
      <c r="DL4" s="18"/>
      <c r="DM4" s="18"/>
      <c r="DN4" s="18"/>
      <c r="DO4" s="18"/>
      <c r="DP4" s="18"/>
      <c r="DQ4" s="55" t="str">
        <f>IF(SUM(CX4,DB4)&gt;0,SUM(CX4,DB4),"")</f>
        <v/>
      </c>
      <c r="DR4" s="55" t="str">
        <f>IF(SUM(CW4:CX4,CZ4:DB4,DD4)-CY4-DC4&gt;0,SUM(CW4:CX4,CZ4:DB4,DD4)-CY4-DC4,"")</f>
        <v/>
      </c>
      <c r="DS4" s="55" t="str">
        <f>IF(SUM(DE4:DF4,DH4)-DG4&gt;0,SUM(DE4:DF4,DH4)-DG4,"")</f>
        <v/>
      </c>
      <c r="DT4" s="55" t="str">
        <f>IF(SUM(DJ4,DN4)&gt;0,SUM(DJ4,DN4),"")</f>
        <v/>
      </c>
      <c r="DU4" s="55" t="str">
        <f>IF(SUM(DI4:DJ4,DL4:DN4,DP4)-SUM(DK4,DO4)&gt;0,SUM(DI4:DJ4,DL4:DN4,DP4)-SUM(DK4,DO4),"")</f>
        <v/>
      </c>
      <c r="DV4" s="55" t="str">
        <f>IF(SUM(DR4,DS4,DU4)&gt;0,SUM(DR4,DS4,DU4),"")</f>
        <v/>
      </c>
      <c r="DW4" s="19">
        <v>15.7</v>
      </c>
      <c r="DX4" s="19">
        <v>4.0999999999999996</v>
      </c>
      <c r="DY4" s="19">
        <v>0</v>
      </c>
      <c r="DZ4" s="19">
        <v>0</v>
      </c>
      <c r="EA4" s="19">
        <v>17.8</v>
      </c>
      <c r="EB4" s="19">
        <v>3.9</v>
      </c>
      <c r="EC4" s="19">
        <v>0</v>
      </c>
      <c r="ED4" s="19">
        <v>0</v>
      </c>
      <c r="EE4" s="19"/>
      <c r="EF4" s="19"/>
      <c r="EG4" s="19"/>
      <c r="EH4" s="19"/>
      <c r="EI4" s="19"/>
      <c r="EJ4" s="19"/>
      <c r="EK4" s="19"/>
      <c r="EL4" s="19"/>
      <c r="EM4" s="19"/>
      <c r="EN4" s="19"/>
      <c r="EO4" s="19"/>
      <c r="EP4" s="19"/>
      <c r="EQ4" s="14">
        <f>IF(SUM(DX4,EB4)&gt;0,SUM(DX4,EB4),"")</f>
        <v>8</v>
      </c>
      <c r="ER4" s="14">
        <f>IF(SUM(DW4:DX4,DZ4:EB4,ED4)-DY4-EC4&gt;0,SUM(DW4:DX4,DZ4:EB4,ED4)-DY4-EC4,"")</f>
        <v>41.499999999999993</v>
      </c>
      <c r="ES4" s="14" t="str">
        <f>IF(SUM(EE4:EF4,EH4)-EG4&gt;0,SUM(EE4:EF4,EH4)-EG4,"")</f>
        <v/>
      </c>
      <c r="ET4" s="14" t="str">
        <f>IF(SUM(EJ4,EN4)&gt;0,SUM(EJ4,EN4),"")</f>
        <v/>
      </c>
      <c r="EU4" s="14" t="str">
        <f>IF(SUM(EI4:EJ4,EL4:EN4,EP4)-SUM(EK4,EO4)&gt;0,SUM(EI4:EJ4,EL4:EN4,EP4)-SUM(EK4,EO4),"")</f>
        <v/>
      </c>
      <c r="EV4" s="14">
        <f>IF(SUM(ER4,ES4,EU4)&gt;0,SUM(ER4,ES4,EU4),"")</f>
        <v>41.499999999999993</v>
      </c>
      <c r="EW4" s="18"/>
      <c r="EX4" s="18"/>
      <c r="EY4" s="18"/>
      <c r="EZ4" s="18"/>
      <c r="FA4" s="18"/>
      <c r="FB4" s="18"/>
      <c r="FC4" s="18"/>
      <c r="FD4" s="18"/>
      <c r="FE4" s="18"/>
      <c r="FF4" s="18"/>
      <c r="FG4" s="18"/>
      <c r="FH4" s="18"/>
      <c r="FI4" s="18"/>
      <c r="FJ4" s="18"/>
      <c r="FK4" s="18"/>
      <c r="FL4" s="18"/>
      <c r="FM4" s="18"/>
      <c r="FN4" s="18"/>
      <c r="FO4" s="18"/>
      <c r="FP4" s="18"/>
      <c r="FQ4" s="55" t="str">
        <f>IF(SUM(EX4,FB4)&gt;0,SUM(EX4,FB4),"")</f>
        <v/>
      </c>
      <c r="FR4" s="55" t="str">
        <f>IF(SUM(EW4:EX4,EZ4:FB4,FD4)-EY4-FC4&gt;0,SUM(EW4:EX4,EZ4:FB4,FD4)-EY4-FC4,"")</f>
        <v/>
      </c>
      <c r="FS4" s="55" t="str">
        <f>IF(SUM(FE4:FF4,FH4)-FG4&gt;0,SUM(FE4:FF4,FH4)-FG4,"")</f>
        <v/>
      </c>
      <c r="FT4" s="55" t="str">
        <f>IF(SUM(FJ4,FN4)&gt;0,SUM(FJ4,FN4),"")</f>
        <v/>
      </c>
      <c r="FU4" s="55" t="str">
        <f>IF(SUM(FI4:FJ4,FL4:FN4,FP4)-SUM(FK4,FO4)&gt;0,SUM(FI4:FJ4,FL4:FN4,FP4)-SUM(FK4,FO4),"")</f>
        <v/>
      </c>
      <c r="FV4" s="55" t="str">
        <f>IF(SUM(FR4,FS4,FU4)&gt;0,SUM(FR4,FS4,FU4),"")</f>
        <v/>
      </c>
      <c r="FW4" s="19"/>
      <c r="FX4" s="19"/>
      <c r="FY4" s="19"/>
      <c r="FZ4" s="19"/>
      <c r="GA4" s="19"/>
      <c r="GB4" s="19"/>
      <c r="GC4" s="19"/>
      <c r="GD4" s="19"/>
      <c r="GE4" s="19"/>
      <c r="GF4" s="19"/>
      <c r="GG4" s="19"/>
      <c r="GH4" s="19"/>
      <c r="GI4" s="19"/>
      <c r="GJ4" s="19"/>
      <c r="GK4" s="19"/>
      <c r="GL4" s="19"/>
      <c r="GM4" s="19"/>
      <c r="GN4" s="19"/>
      <c r="GO4" s="19"/>
      <c r="GP4" s="19"/>
      <c r="GQ4" s="14" t="str">
        <f>IF(SUM(FX4,GB4)&gt;0,SUM(FX4,GB4),"")</f>
        <v/>
      </c>
      <c r="GR4" s="14" t="str">
        <f>IF(SUM(FW4:FX4,FZ4:GB4,GD4)-FY4-GC4&gt;0,SUM(FW4:FX4,FZ4:GB4,GD4)-FY4-GC4,"")</f>
        <v/>
      </c>
      <c r="GS4" s="14" t="str">
        <f>IF(SUM(GE4:GF4,GH4)-GG4&gt;0,SUM(GE4:GF4,GH4)-GG4,"")</f>
        <v/>
      </c>
      <c r="GT4" s="14" t="str">
        <f>IF(SUM(GJ4,GN4)&gt;0,SUM(GJ4,GN4),"")</f>
        <v/>
      </c>
      <c r="GU4" s="14" t="str">
        <f>IF(SUM(GI4:GJ4,GL4:GN4,GP4)-SUM(GK4,GO4)&gt;0,SUM(GI4:GJ4,GL4:GN4,GP4)-SUM(GK4,GO4),"")</f>
        <v/>
      </c>
      <c r="GV4" s="14" t="str">
        <f>IF(SUM(GR4,GS4,GU4)&gt;0,SUM(GR4,GS4,GU4),"")</f>
        <v/>
      </c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55" t="str">
        <f>IF(SUM(GX4,HB4)&gt;0,SUM(GX4,HB4),"")</f>
        <v/>
      </c>
      <c r="HR4" s="55" t="str">
        <f>IF(SUM(GW4:GX4,GZ4:HB4,HD4)-GY4-HC4&gt;0,SUM(GW4:GX4,GZ4:HB4,HD4)-GY4-HC4,"")</f>
        <v/>
      </c>
      <c r="HS4" s="55" t="str">
        <f>IF(SUM(HE4:HF4,HH4)-HG4&gt;0,SUM(HE4:HF4,HH4)-HG4,"")</f>
        <v/>
      </c>
      <c r="HT4" s="55" t="str">
        <f>IF(SUM(HJ4,HN4)&gt;0,SUM(HJ4,HN4),"")</f>
        <v/>
      </c>
      <c r="HU4" s="55" t="str">
        <f>IF(SUM(HI4:HJ4,HL4:HN4,HP4)-SUM(HK4,HO4)&gt;0,SUM(HI4:HJ4,HL4:HN4,HP4)-SUM(HK4,HO4),"")</f>
        <v/>
      </c>
      <c r="HV4" s="55" t="str">
        <f>IF(SUM(HR4,HS4,HU4)&gt;0,SUM(HR4,HS4,HU4),"")</f>
        <v/>
      </c>
      <c r="HW4" s="19"/>
      <c r="HX4" s="19"/>
      <c r="HY4" s="19"/>
      <c r="HZ4" s="19"/>
      <c r="IA4" s="19"/>
      <c r="IB4" s="19"/>
      <c r="IC4" s="19"/>
      <c r="ID4" s="19"/>
      <c r="IE4" s="19"/>
      <c r="IF4" s="19"/>
      <c r="IG4" s="19"/>
      <c r="IH4" s="19"/>
      <c r="II4" s="19"/>
      <c r="IJ4" s="19"/>
      <c r="IK4" s="19"/>
      <c r="IL4" s="19"/>
      <c r="IM4" s="19"/>
      <c r="IN4" s="19"/>
      <c r="IO4" s="19"/>
      <c r="IP4" s="19"/>
      <c r="IQ4" s="14" t="str">
        <f>IF(SUM(HX4,IB4)&gt;0,SUM(HX4,IB4),"")</f>
        <v/>
      </c>
      <c r="IR4" s="14" t="str">
        <f>IF(SUM(HW4:HX4,HZ4:IB4,ID4)-HY4-IC4&gt;0,SUM(HW4:HX4,HZ4:IB4,ID4)-HY4-IC4,"")</f>
        <v/>
      </c>
      <c r="IS4" s="14" t="str">
        <f>IF(SUM(IE4:IF4,IH4)-IG4&gt;0,SUM(IE4:IF4,IH4)-IG4,"")</f>
        <v/>
      </c>
      <c r="IT4" s="14" t="str">
        <f>IF(SUM(IJ4,IN4)&gt;0,SUM(IJ4,IN4),"")</f>
        <v/>
      </c>
      <c r="IU4" s="14" t="str">
        <f>IF(SUM(II4:IJ4,IL4:IN4,IP4)-SUM(IK4,IO4)&gt;0,SUM(II4:IJ4,IL4:IN4,IP4)-SUM(IK4,IO4),"")</f>
        <v/>
      </c>
      <c r="IV4" s="14" t="str">
        <f>IF(SUM(IR4,IS4,IU4)&gt;0,SUM(IR4,IS4,IU4),"")</f>
        <v/>
      </c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8"/>
      <c r="JL4" s="18"/>
      <c r="JM4" s="18"/>
      <c r="JN4" s="18"/>
      <c r="JO4" s="18"/>
      <c r="JP4" s="18"/>
      <c r="JQ4" s="55" t="str">
        <f>IF(SUM(IX4,JB4)&gt;0,SUM(IX4,JB4),"")</f>
        <v/>
      </c>
      <c r="JR4" s="55" t="str">
        <f>IF(SUM(IW4:IX4,IZ4:JB4,JD4)-IY4-JC4&gt;0,SUM(IW4:IX4,IZ4:JB4,JD4)-IY4-JC4,"")</f>
        <v/>
      </c>
      <c r="JS4" s="55" t="str">
        <f>IF(SUM(JE4:JF4,JH4)-JG4&gt;0,SUM(JE4:JF4,JH4)-JG4,"")</f>
        <v/>
      </c>
      <c r="JT4" s="55" t="str">
        <f>IF(SUM(JJ4,JN4)&gt;0,SUM(JJ4,JN4),"")</f>
        <v/>
      </c>
      <c r="JU4" s="55" t="str">
        <f>IF(SUM(JI4:JJ4,JL4:JN4,JP4)-SUM(JK4,JO4)&gt;0,SUM(JI4:JJ4,JL4:JN4,JP4)-SUM(JK4,JO4),"")</f>
        <v/>
      </c>
      <c r="JV4" s="55" t="str">
        <f>IF(SUM(JR4,JS4,JU4)&gt;0,SUM(JR4,JS4,JU4),"")</f>
        <v/>
      </c>
      <c r="JW4" s="19"/>
      <c r="JX4" s="19"/>
      <c r="JY4" s="19"/>
      <c r="JZ4" s="19"/>
      <c r="KA4" s="19"/>
      <c r="KB4" s="19"/>
      <c r="KC4" s="19"/>
      <c r="KD4" s="19"/>
      <c r="KE4" s="19"/>
      <c r="KF4" s="19"/>
      <c r="KG4" s="19"/>
      <c r="KH4" s="19"/>
      <c r="KI4" s="19"/>
      <c r="KJ4" s="19"/>
      <c r="KK4" s="19"/>
      <c r="KL4" s="19"/>
      <c r="KM4" s="19"/>
      <c r="KN4" s="19"/>
      <c r="KO4" s="19"/>
      <c r="KP4" s="19"/>
      <c r="KQ4" s="14" t="str">
        <f>IF(SUM(JX4,KB4)&gt;0,SUM(JX4,KB4),"")</f>
        <v/>
      </c>
      <c r="KR4" s="14" t="str">
        <f>IF(SUM(JW4:JX4,JZ4:KB4,KD4)-JY4-KC4&gt;0,SUM(JW4:JX4,JZ4:KB4,KD4)-JY4-KC4,"")</f>
        <v/>
      </c>
      <c r="KS4" s="14" t="str">
        <f>IF(SUM(KE4:KF4,KH4)-KG4&gt;0,SUM(KE4:KF4,KH4)-KG4,"")</f>
        <v/>
      </c>
      <c r="KT4" s="14" t="str">
        <f>IF(SUM(KJ4,KN4)&gt;0,SUM(KJ4,KN4),"")</f>
        <v/>
      </c>
      <c r="KU4" s="14" t="str">
        <f>IF(SUM(KI4:KJ4,KL4:KN4,KP4)-SUM(KK4,KO4)&gt;0,SUM(KI4:KJ4,KL4:KN4,KP4)-SUM(KK4,KO4),"")</f>
        <v/>
      </c>
      <c r="KV4" s="14" t="str">
        <f>IF(SUM(KR4,KS4,KU4)&gt;0,SUM(KR4,KS4,KU4),"")</f>
        <v/>
      </c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55" t="str">
        <f>IF(SUM(KX4,LB4)&gt;0,SUM(KX4,LB4),"")</f>
        <v/>
      </c>
      <c r="LR4" s="55" t="str">
        <f>IF(SUM(KW4:KX4,KZ4:LB4,LD4)-KY4-LC4&gt;0,SUM(KW4:KX4,KZ4:LB4,LD4)-KY4-LC4,"")</f>
        <v/>
      </c>
      <c r="LS4" s="55" t="str">
        <f>IF(SUM(LE4:LF4,LH4)-LG4&gt;0,SUM(LE4:LF4,LH4)-LG4,"")</f>
        <v/>
      </c>
      <c r="LT4" s="55" t="str">
        <f>IF(SUM(LJ4,LN4)&gt;0,SUM(LJ4,LN4),"")</f>
        <v/>
      </c>
      <c r="LU4" s="55" t="str">
        <f>IF(SUM(LI4:LJ4,LL4:LN4,LP4)-SUM(LK4,LO4)&gt;0,SUM(LI4:LJ4,LL4:LN4,LP4)-SUM(LK4,LO4),"")</f>
        <v/>
      </c>
      <c r="LV4" s="55" t="str">
        <f>IF(SUM(LR4,LS4,LU4)&gt;0,SUM(LR4,LS4,LU4),"")</f>
        <v/>
      </c>
      <c r="LW4" s="19"/>
      <c r="LX4" s="19"/>
      <c r="LY4" s="19"/>
      <c r="LZ4" s="19"/>
      <c r="MA4" s="19"/>
      <c r="MB4" s="19"/>
      <c r="MC4" s="19"/>
      <c r="MD4" s="19"/>
      <c r="ME4" s="19"/>
      <c r="MF4" s="19"/>
      <c r="MG4" s="19"/>
      <c r="MH4" s="19"/>
      <c r="MI4" s="19"/>
      <c r="MJ4" s="19"/>
      <c r="MK4" s="19"/>
      <c r="ML4" s="19"/>
      <c r="MM4" s="19"/>
      <c r="MN4" s="19"/>
      <c r="MO4" s="19"/>
      <c r="MP4" s="19"/>
      <c r="MQ4" s="14" t="str">
        <f>IF(SUM(LX4,MB4)&gt;0,SUM(LX4,MB4),"")</f>
        <v/>
      </c>
      <c r="MR4" s="14" t="str">
        <f>IF(SUM(LW4:LX4,LZ4:MB4,MD4)-LY4-MC4&gt;0,SUM(LW4:LX4,LZ4:MB4,MD4)-LY4-MC4,"")</f>
        <v/>
      </c>
      <c r="MS4" s="14" t="str">
        <f>IF(SUM(ME4:MF4,MH4)-MG4&gt;0,SUM(ME4:MF4,MH4)-MG4,"")</f>
        <v/>
      </c>
      <c r="MT4" s="14" t="str">
        <f>IF(SUM(MJ4,MN4)&gt;0,SUM(MJ4,MN4),"")</f>
        <v/>
      </c>
      <c r="MU4" s="14" t="str">
        <f>IF(SUM(MI4:MJ4,ML4:MN4,MP4)-SUM(MK4,MO4)&gt;0,SUM(MI4:MJ4,ML4:MN4,MP4)-SUM(MK4,MO4),"")</f>
        <v/>
      </c>
      <c r="MV4" s="14" t="str">
        <f>IF(SUM(MR4,MS4,MU4)&gt;0,SUM(MR4,MS4,MU4),"")</f>
        <v/>
      </c>
      <c r="MW4" s="18"/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55" t="str">
        <f>IF(SUM(MX4,NB4)&gt;0,SUM(MX4,NB4),"")</f>
        <v/>
      </c>
      <c r="NR4" s="55" t="str">
        <f>IF(SUM(MW4:MX4,MZ4:NB4,ND4)-MY4-NC4&gt;0,SUM(MW4:MX4,MZ4:NB4,ND4)-MY4-NC4,"")</f>
        <v/>
      </c>
      <c r="NS4" s="55" t="str">
        <f>IF(SUM(NE4:NF4,NH4)-NG4&gt;0,SUM(NE4:NF4,NH4)-NG4,"")</f>
        <v/>
      </c>
      <c r="NT4" s="55" t="str">
        <f>IF(SUM(NJ4,NN4)&gt;0,SUM(NJ4,NN4),"")</f>
        <v/>
      </c>
      <c r="NU4" s="55" t="str">
        <f>IF(SUM(NI4:NJ4,NL4:NN4,NP4)-SUM(NK4,NO4)&gt;0,SUM(NI4:NJ4,NL4:NN4,NP4)-SUM(NK4,NO4),"")</f>
        <v/>
      </c>
      <c r="NV4" s="55" t="str">
        <f>IF(SUM(NR4,NS4,NU4)&gt;0,SUM(NR4,NS4,NU4),"")</f>
        <v/>
      </c>
      <c r="NW4" s="19"/>
      <c r="NX4" s="19"/>
      <c r="NY4" s="19"/>
      <c r="NZ4" s="19"/>
      <c r="OA4" s="19"/>
      <c r="OB4" s="19"/>
      <c r="OC4" s="19"/>
      <c r="OD4" s="19"/>
      <c r="OE4" s="19"/>
      <c r="OF4" s="19"/>
      <c r="OG4" s="19"/>
      <c r="OH4" s="19"/>
      <c r="OI4" s="19"/>
      <c r="OJ4" s="19"/>
      <c r="OK4" s="19"/>
      <c r="OL4" s="19"/>
      <c r="OM4" s="19"/>
      <c r="ON4" s="19"/>
      <c r="OO4" s="19"/>
      <c r="OP4" s="19"/>
      <c r="OQ4" s="14" t="str">
        <f>IF(SUM(NX4,OB4)&gt;0,SUM(NX4,OB4),"")</f>
        <v/>
      </c>
      <c r="OR4" s="14" t="str">
        <f>IF(SUM(NW4:NX4,NZ4:OB4,OD4)-NY4-OC4&gt;0,SUM(NW4:NX4,NZ4:OB4,OD4)-NY4-OC4,"")</f>
        <v/>
      </c>
      <c r="OS4" s="14" t="str">
        <f>IF(SUM(OE4:OF4,OH4)-OG4&gt;0,SUM(OE4:OF4,OH4)-OG4,"")</f>
        <v/>
      </c>
      <c r="OT4" s="14" t="str">
        <f>IF(SUM(OJ4,ON4)&gt;0,SUM(OJ4,ON4),"")</f>
        <v/>
      </c>
      <c r="OU4" s="14" t="str">
        <f>IF(SUM(OI4:OJ4,OL4:ON4,OP4)-SUM(OK4,OO4)&gt;0,SUM(OI4:OJ4,OL4:ON4,OP4)-SUM(OK4,OO4),"")</f>
        <v/>
      </c>
      <c r="OV4" s="14" t="str">
        <f>IF(SUM(OR4,OS4,OU4)&gt;0,SUM(OR4,OS4,OU4),"")</f>
        <v/>
      </c>
      <c r="OW4" s="27">
        <f>IF($CN4="P",BT4,(BT4+AS4)/2)</f>
        <v>15.9</v>
      </c>
      <c r="OX4" s="27">
        <f>IF($CN4="P",BU4,(BU4+AT4)/2)</f>
        <v>3</v>
      </c>
      <c r="OY4" s="27">
        <f>IF($CN4="P",BV4,(BV4+AU4)/2)</f>
        <v>0.1</v>
      </c>
      <c r="OZ4" s="27">
        <f>IF($CN4="P",BW4,(BW4+AV4)/2)</f>
        <v>0.3</v>
      </c>
      <c r="PA4" s="27">
        <f>IF($CN4="P",BX4,(BX4+AW4)/2)</f>
        <v>16.149999999999999</v>
      </c>
      <c r="PB4" s="27">
        <f>IF($CN4="P",BY4,(BY4+AX4)/2)</f>
        <v>2.9</v>
      </c>
      <c r="PC4" s="27">
        <f>IF($CN4="P",BZ4,(BZ4+AY4)/2)</f>
        <v>0</v>
      </c>
      <c r="PD4" s="27">
        <f>IF($CN4="P",CA4,(CA4+AZ4)/2)</f>
        <v>0.3</v>
      </c>
      <c r="PE4" s="27">
        <f>IF($CN4="P",CB4,(CB4+BA4)/2)</f>
        <v>16.5</v>
      </c>
      <c r="PF4" s="27">
        <f>IF($CN4="P",CC4,(CC4+BB4)/2)</f>
        <v>3</v>
      </c>
      <c r="PG4" s="27">
        <f>IF($CN4="P",CD4,(CD4+BC4)/2)</f>
        <v>0</v>
      </c>
      <c r="PH4" s="27">
        <f>IF($CN4="P",CE4,(CE4+BD4)/2)</f>
        <v>0.3</v>
      </c>
      <c r="PI4" s="27">
        <f>IF($CN4="P",CF4,(CF4+BE4)/2)</f>
        <v>16.649999999999999</v>
      </c>
      <c r="PJ4" s="27">
        <f>IF($CN4="P",CG4,(CG4+BF4)/2)</f>
        <v>3.9</v>
      </c>
      <c r="PK4" s="27">
        <f>IF($CN4="P",CH4,(CH4+BG4)/2)</f>
        <v>0</v>
      </c>
      <c r="PL4" s="27">
        <f>IF($CN4="P",CI4,(CI4+BH4)/2)</f>
        <v>0.3</v>
      </c>
      <c r="PM4" s="27">
        <f>IF($CN4="P",CJ4,(CJ4+BI4)/2)</f>
        <v>17.049999999999997</v>
      </c>
      <c r="PN4" s="27">
        <f>IF($CN4="P",CK4,(CK4+BJ4)/2)</f>
        <v>4.1000000000000494</v>
      </c>
      <c r="PO4" s="27">
        <f>IF($CN4="P",CL4,(CL4+BK4)/2)</f>
        <v>0</v>
      </c>
      <c r="PP4" s="27">
        <f>IF($CN4="P",CM4,(CM4+BL4)/2)</f>
        <v>0.3</v>
      </c>
      <c r="PQ4" s="32" t="s">
        <v>44</v>
      </c>
      <c r="PR4" s="55">
        <f>IF(SUM(OX4,PB4)&gt;0,SUM(OX4,PB4),"")</f>
        <v>5.9</v>
      </c>
      <c r="PS4" s="55">
        <f>IF(SUM(OW4:OX4,OZ4:PB4,PD4)-OY4-PC4&gt;0,SUM(OW4:OX4,OZ4:PB4,PD4)-OY4-PC4,"")</f>
        <v>38.449999999999989</v>
      </c>
      <c r="PT4" s="55">
        <f>IF(SUM(PE4:PF4,PH4)-PG4&gt;0,SUM(PE4:PF4,PH4)-PG4,"")</f>
        <v>19.8</v>
      </c>
      <c r="PU4" s="55">
        <f>IF(SUM(PJ4,PN4)&gt;0,SUM(PJ4,PN4),"")</f>
        <v>8.0000000000000497</v>
      </c>
      <c r="PV4" s="55">
        <f>IF(SUM(PI4:PJ4,PL4:PN4,PP4)-SUM(PK4,PO4)&gt;0,SUM(PI4:PJ4,PL4:PN4,PP4)-SUM(PK4,PO4),"")</f>
        <v>42.30000000000004</v>
      </c>
      <c r="PW4" s="55">
        <f>IF(SUM(PS4,PT4,PV4)&gt;0,SUM(PS4,PT4,PV4),"")</f>
        <v>100.55000000000003</v>
      </c>
    </row>
    <row r="5" spans="1:439" x14ac:dyDescent="0.2">
      <c r="A5" s="4" t="str" cm="1">
        <f t="array" ref="A5">IF(AND(H5&lt;&gt;"",H5&lt;&gt;"No DD"),SUMPRODUCT((H$4:H$6&lt;&gt;"")*(H$4:H$6&lt;&gt;"No DD")*(E$4:E$6&gt;E5))+1,IF(H5="No DD",SUMPRODUCT((H$4:H$6="No DD")*(E$4:E$6&gt;E5))+1+SUMPRODUCT((H$4:H$6&lt;&gt;"")*(H$4:H$6&lt;&gt;"No DD")),""))</f>
        <v/>
      </c>
      <c r="B5" s="5" t="s">
        <v>67</v>
      </c>
      <c r="C5" s="4" t="s">
        <v>68</v>
      </c>
      <c r="D5" s="4">
        <v>2009</v>
      </c>
      <c r="E5" s="10">
        <f>SUM(I5:O5)+SUM(I5:M5)*0.0000001+SUM(I5)*0.0000000000001</f>
        <v>41.3</v>
      </c>
      <c r="F5" s="3" t="str">
        <f>IF(OR(AND(AM5&gt;=AR$8,AN5&gt;=AR$12,AM5&lt;&gt;"",AL5=""),AND(AP5&gt;=AR$8,AQ5&gt;=AR$12,AP5&lt;&gt;"",AL5=""),AND(BN5&gt;=BS$8,BO5&gt;=BS$12,BN5&lt;&gt;"",BM5=""),AND(BQ5&gt;=BS$8,BR5&gt;=BS$12,BQ5&lt;&gt;"",BM5=""),AND(CO5&gt;=CT$8,CP5&gt;=CT$12,CO5&lt;&gt;"",CN5=""),AND(CR5&gt;=CT$8,CS5&gt;=CT$12,CR5&lt;&gt;""),AND(DQ5&gt;=DV$8,DR5&gt;=DV$12,DQ5&lt;&gt;""),AND(DT5&gt;=DV$8,DU5&gt;=DV$12,DT5&lt;&gt;""),AND(EQ5&gt;=EV$8,ER5&gt;=EV$12,EQ5&lt;&gt;""),AND(ET5&gt;=EV$8,EU5&gt;=EV$12,ET5&lt;&gt;""),AND(FQ5&gt;=FV$8,FR5&gt;=FV$12,FQ5&lt;&gt;""),AND(FT5&gt;=FV$8,FU5&gt;=FV$12,FT5&lt;&gt;""),AND(GQ5&gt;=GV$8,GR5&gt;=GV$12,GQ5&lt;&gt;""),AND(GT5&gt;=GV$8,GU5&gt;=GV$12,GT5&lt;&gt;""),AND(HQ5&gt;=HV$8,HR5&gt;=HV$12,HQ5&lt;&gt;""),AND(HT5&gt;=HV$8,HU5&gt;=HV$12,HT5&lt;&gt;""),AND(IQ5&gt;=IV$8,IR5&gt;=IV$12,IQ5&lt;&gt;""),AND(IT5&gt;=IV$8,IU5&gt;=IV$12,IT5&lt;&gt;""),AND(JQ5&gt;=JV$8,JR5&gt;=JV$12,JQ5&lt;&gt;""),AND(JT5&gt;=JV$8,JU5&gt;=JV$12,JT5&lt;&gt;""),AND(KQ5&gt;=KV$8,KR5&gt;=KV$12,KQ5&lt;&gt;""),AND(KT5&gt;=KV$8,KU5&gt;=KV$12,KT5&lt;&gt;""),AND(LQ5&gt;=LV$8,LR5&gt;=LV$12,LQ5&lt;&gt;""),AND(LT5&gt;=LV$8,LU5&gt;=LV$12,LT5&lt;&gt;""),AND(MQ5&gt;=MV$8,MR5&gt;=MV$12,MQ5&lt;&gt;""),AND(MT5&gt;=MV$8,MU5&gt;=MV$12,MT5&lt;&gt;""),AND(NQ5&gt;=NV$8,NR5&gt;=NV$12,NQ5&lt;&gt;""),AND(NT5&gt;=NV$8,NU5&gt;=NV$12,NT5&lt;&gt;""),AND(OQ5&gt;=OV$8,OR5&gt;=OV$12,OQ5&lt;&gt;""),AND(OT5&gt;=OV$8,OU5&gt;=OV$12,OT5&lt;&gt;"")),"P","")</f>
        <v/>
      </c>
      <c r="G5" s="3" t="str">
        <f>IF(OR(AND(AN5&gt;=AR$12,AN5&lt;&gt;"",AL5=""),AND(AQ5&gt;=AR$12,AQ5&lt;&gt;"",AL5=""),AND(BO5&gt;=BS$12,BO5&lt;&gt;"",BM5=""),AND(BR5&gt;=BS$12,BR5&lt;&gt;"",BM5=""),AND(CP5&gt;=CT$12,CP5&lt;&gt;"",CN5=""),AND(CS5&gt;=CT$12,CS5&lt;&gt;"",CN5=""),AND(DR5&gt;=DV$12,DR5&lt;&gt;""),AND(DU5&gt;=DV$12,DU5&lt;&gt;""),AND(ER5&gt;=EV$12,ER5&lt;&gt;""),AND(EU5&gt;=EV$12,EU5&lt;&gt;""),AND(FR5&gt;=FV$12,FR5&lt;&gt;""),AND(FU5&gt;=FV$12,FU5&lt;&gt;""),AND(GR5&gt;=GV$12,GR5&lt;&gt;""),AND(GU5&gt;=GV$12,GU5&lt;&gt;""),AND(HR5&gt;=HV$12,HR5&lt;&gt;""),AND(HU5&gt;=HV$12,HU5&lt;&gt;""),AND(IR5&gt;=IV$12,IR5&lt;&gt;""),AND(IU5&gt;=IV$12,IU5&lt;&gt;""),AND(JR5&gt;=JV$12,JR5&lt;&gt;""),AND(JU5&gt;=JV$12,JU5&lt;&gt;""),AND(KR5&gt;=KV$12,KR5&lt;&gt;""),AND(KU5&gt;=KV$12,KU5&lt;&gt;""),AND(LR5&gt;=LV$12,LR5&lt;&gt;""),AND(LU5&gt;=LV$12,LU5&lt;&gt;""),AND(MR5&gt;=MV$12,MR5&lt;&gt;""),AND(MU5&gt;=MV$12,MU5&lt;&gt;""),AND(NR5&gt;=NV$12,NR5&lt;&gt;""),AND(NU5&gt;=NV$12,NU5&lt;&gt;""),AND(OR5&gt;=OV$12,OR5&lt;&gt;""),AND(OU5&gt;=OV$12,OU5&lt;&gt;"")),"P","")</f>
        <v/>
      </c>
      <c r="H5" s="47" t="str">
        <f>IF(AND(G5="P",F5=""),"No DD",IF(OR(AND(AM5&gt;=AR$11,AN5&gt;=AR$15,AM5&lt;&gt;"",AL5=""),AND(AP5&gt;=AR$11,AQ5&gt;=AR$15,AP5&lt;&gt;"",AL5=""),AND(BN5&gt;=BS$11,BO5&gt;=BS$15,BN5&lt;&gt;"",BM5=""),AND(BQ5&gt;=BS$11,BR5&gt;=BS$15,BQ5&lt;&gt;"",BM5=""),AND(CO5&gt;=CT$11,CP5&gt;=CT$15,CO5&lt;&gt;"",CN5=""),AND(CR5&gt;=CT$11,CS5&gt;=CT$15,CR5&lt;&gt;""),AND(DQ5&gt;=DV$11,DR5&gt;=DV$15,DQ5&lt;&gt;""),AND(DT5&gt;=DV$11,DU5&gt;=DV$15,DT5&lt;&gt;""),AND(EQ5&gt;=EV$11,ER5&gt;=EV$15,EQ5&lt;&gt;""),AND(ET5&gt;=EV$11,EU5&gt;=EV$15,ET5&lt;&gt;""),AND(FQ5&gt;=FV$11,FR5&gt;=FV$15,FQ5&lt;&gt;""),AND(FT5&gt;=FV$11,FU5&gt;=FV$15,FT5&lt;&gt;""),AND(GQ5&gt;=GV$11,GR5&gt;=GV$15,GQ5&lt;&gt;""),AND(GT5&gt;=GV$11,GU5&gt;=GV$15,GT5&lt;&gt;""),AND(HQ5&gt;=HV$11,HR5&gt;=HV$15,HQ5&lt;&gt;""),AND(HT5&gt;=HV$11,HU5&gt;=HV$15,HT5&lt;&gt;""),AND(IQ5&gt;=IV$11,IR5&gt;=IV$15,IQ5&lt;&gt;""),AND(IT5&gt;=IV$11,IU5&gt;=IV$15,IT5&lt;&gt;""),AND(JQ5&gt;=JV$11,JR5&gt;=JV$15,JQ5&lt;&gt;""),AND(JT5&gt;=JV$11,JU5&gt;=JV$15,JT5&lt;&gt;""),AND(KQ5&gt;=KV$11,KR5&gt;=KV$15,KQ5&lt;&gt;""),AND(KT5&gt;=KV$11,KU5&gt;=KV$15,KT5&lt;&gt;""),AND(LQ5&gt;=LV$11,LR5&gt;=LV$15,LQ5&lt;&gt;""),AND(LT5&gt;=LV$11,LU5&gt;=LV$15,LT5&lt;&gt;""),AND(MQ5&gt;=MV$11,MR5&gt;=MV$15,MQ5&lt;&gt;""),AND(MT5&gt;=MV$11,MU5&gt;=MV$15,MT5&lt;&gt;""),AND(NQ5&gt;=NV$11,NR5&gt;=NV$15,NQ5&lt;&gt;""),AND(NT5&gt;=NV$11,NU5&gt;=NV$15,NT5&lt;&gt;""),AND(OQ5&gt;=OV$11,OR5&gt;=OV$15,OQ5&lt;&gt;""),AND(OT5&gt;=OV$11,OU5&gt;=OV$15,OT5&lt;&gt;"")),"Merit",IF(OR(AND(AM5&gt;=AR$10,AN5&gt;=AR$14,AM5&lt;&gt;"",AL5=""),AND(AP5&gt;=AR$10,AQ5&gt;=AR$14,AP5&lt;&gt;"",AL5=""),AND(BN5&gt;=BS$10,BO5&gt;=BS$14,BN5&lt;&gt;"",BM5=""),AND(BQ5&gt;=BS$10,BR5&gt;=BS$14,BQ5&lt;&gt;"",BM5=""),AND(CO5&gt;=CT$10,CP5&gt;=CT$14,CO5&lt;&gt;"",CN5=""),AND(CR5&gt;=CT$10,CS5&gt;=CT$14,CR5&lt;&gt;""),AND(DQ5&gt;=DV$10,DR5&gt;=DV$14,DQ5&lt;&gt;""),AND(DT5&gt;=DV$10,DU5&gt;=DV$14,DT5&lt;&gt;""),AND(EQ5&gt;=EV$10,ER5&gt;=EV$14,EQ5&lt;&gt;""),AND(ET5&gt;=EV$10,EU5&gt;=EV$14,ET5&lt;&gt;""),AND(FQ5&gt;=FV$10,FR5&gt;=FV$14,FQ5&lt;&gt;""),AND(FT5&gt;=FV$10,FU5&gt;=FV$14,FT5&lt;&gt;""),AND(GQ5&gt;=GV$10,GR5&gt;=GV$14,GQ5&lt;&gt;""),AND(GT5&gt;=GV$10,GU5&gt;=GV$14,GT5&lt;&gt;""),AND(HQ5&gt;=HV$10,HR5&gt;=HV$14,HQ5&lt;&gt;""),AND(HT5&gt;=HV$10,HU5&gt;=HV$14,HT5&lt;&gt;""),AND(IQ5&gt;=IV$10,IR5&gt;=IV$14,IQ5&lt;&gt;""),AND(IT5&gt;=IV$10,IU5&gt;=IV$14,IT5&lt;&gt;""),AND(JQ5&gt;=JV$10,JR5&gt;=JV$14,JQ5&lt;&gt;""),AND(JT5&gt;=JV$10,JU5&gt;=JV$14,JT5&lt;&gt;""),AND(KQ5&gt;=KV$10,KR5&gt;=KV$14,KQ5&lt;&gt;""),AND(KT5&gt;=KV$10,KU5&gt;=KV$14,KT5&lt;&gt;""),AND(LQ5&gt;=LV$10,LR5&gt;=LV$14,LQ5&lt;&gt;""),AND(LT5&gt;=LV$10,LU5&gt;=LV$14,LT5&lt;&gt;""),AND(MQ5&gt;=MV$10,MR5&gt;=MV$14,MQ5&lt;&gt;""),AND(MT5&gt;=MV$10,MU5&gt;=MV$14,MT5&lt;&gt;""),AND(NQ5&gt;=NV$10,NR5&gt;=NV$14,NQ5&lt;&gt;""),AND(NT5&gt;=NV$10,NU5&gt;=NV$14,NT5&lt;&gt;""),AND(OQ5&gt;=OV$10,OR5&gt;=OV$14,OQ5&lt;&gt;""),AND(OT5&gt;=OV$10,OU5&gt;=OV$14,OT5&lt;&gt;"")),"Excellence",IF(F5="P","National Team",""))))</f>
        <v/>
      </c>
      <c r="I5" s="9">
        <f>IF(COUNT(AN5,BO5,CP5)&gt;0,LARGE((AN5,BO5,CP5),1),0)</f>
        <v>0</v>
      </c>
      <c r="J5" s="9" t="str">
        <f>IF(I5=0,"",IF(I5=CP5,$BT$1,IF(I5=BO5,$AS$1,IF(I5=AN5,$R$1,""))))</f>
        <v/>
      </c>
      <c r="K5" s="9">
        <f>IF(COUNT(AN5,BO5,CP5)&gt;1,LARGE((AN5,BO5,CP5),2),0)</f>
        <v>0</v>
      </c>
      <c r="L5" s="9" t="str">
        <f>IF(K5=0,"",IF(K5=CP5,$BT$1,IF(K5=BO5,$AS$1,IF(K5=AN5,$R$1,""))))</f>
        <v/>
      </c>
      <c r="M5" s="9">
        <f>IF(MAX(AQ5,BR5,CS5)&gt;0,MAX(AQ5,BR5,CS5),0)</f>
        <v>0</v>
      </c>
      <c r="N5" s="9" t="str">
        <f>IF(M5=0,"",IF(M5=CS5,$BT$1,IF(M5=BR5,$AS$1,IF(M5=AQ5,$R$1,""))))</f>
        <v/>
      </c>
      <c r="O5" s="9">
        <f>IF(MAX(CU5:CV5)&gt;0,MAX(CU5:CV5),"")</f>
        <v>41.3</v>
      </c>
      <c r="P5" s="14" t="str">
        <f>IF(O5="","",IF(O5=CU5,"("&amp;CU$2&amp;")",IF(O5=CV5,"("&amp;CV$2&amp;")")))</f>
        <v>(Q1)</v>
      </c>
      <c r="Q5" s="9" t="str">
        <f>IF(O5="","",IF(O5=CU5,IF(O5+IF(K5="",0,K5)=OR5,$NW$1,IF(O5+IF(K5="",0,K5)=NR5,$MW$1,IF(O5+IF(K5="",0,K5)=MR5,$LW$1,IF(O5+IF(K5="",0,K5)=LR5,$KW$1,IF(O5+IF(K5="",0,K5)=KR5,$JW$1,IF(O5+IF(K5="",0,K5)=JR5,$IW$1,IF(O5+IF(K5="",0,K5)=IR5,$HW$1,IF(O5+IF(K5="",0,K5)=HR5,$GW$1,IF(O5+IF(K5="",0,K5)=GR5,$FW$1,IF(O5+IF(K5="",0,K5)=FR5,$EW$1,IF(O5+IF(K5="",0,K5)=ER5,$DW$1,IF(O5+IF(K5="",0,K5)=DR5,$CW$1)))))))))))),IF(O5=CV5,IF(O5+IF(M5="",0,M5)=OU5,$NW$1,IF(O5+IF(M5="",0,M5)=NU5,$MW$1,IF(O5+IF(M5="",0,M5)=MU5,$LW$1,IF(O5+IF(M5="",0,M5)=LU5,$KW$1,IF(O5+IF(M5="",0,M5)=KU5,$JW$1,IF(O5+IF(M5="",0,M5)=JU5,$IW$1,IF(O5+IF(M5="",0,M5)=IU5,$HW$1,IF(O5+IF(M5="",0,M5)=HU5,$GW$1,IF(O5+IF(M5="",0,M5)=GU5,$FW$1,IF(O5+IF(M5="",0,M5)=FU5,$EW$1,IF(O5+IF(M5="",0,M5)=EU5,$DW$1,IF(O5+IF(M5="",0,M5)=DU5,$CW$1)))))))))))))))</f>
        <v>2022 WAGC (Nov 26)</v>
      </c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  <c r="AL5" s="32"/>
      <c r="AM5" s="55" t="str">
        <f>IF(SUM(S5,W5)&gt;0,SUM(S5,W5),"")</f>
        <v/>
      </c>
      <c r="AN5" s="55" t="str">
        <f>IF(SUM(R5:S5,U5:W5,Y5)-T5-X5&gt;0,SUM(R5:S5,U5:W5,Y5)-T5-X5,"")</f>
        <v/>
      </c>
      <c r="AO5" s="55" t="str">
        <f>IF(SUM(Z5:AA5,AC5)-AB5&gt;0,SUM(Z5:AA5,AC5)-AB5,"")</f>
        <v/>
      </c>
      <c r="AP5" s="55" t="str">
        <f>IF(SUM(AE5,AI5)&gt;0,SUM(AE5,AI5),"")</f>
        <v/>
      </c>
      <c r="AQ5" s="55" t="str">
        <f>IF(SUM(AD5:AE5,AG5:AI5,AK5)-SUM(AF5,AJ5)&gt;0,SUM(AD5:AE5,AG5:AI5,AK5)-SUM(AF5,AJ5),"")</f>
        <v/>
      </c>
      <c r="AR5" s="55" t="str">
        <f>IF(SUM(AN5,AO5,AQ5)&gt;0,SUM(AN5,AO5,AQ5),"")</f>
        <v/>
      </c>
      <c r="AS5" s="19"/>
      <c r="AT5" s="19"/>
      <c r="AU5" s="19"/>
      <c r="AV5" s="19"/>
      <c r="AW5" s="19"/>
      <c r="AX5" s="19"/>
      <c r="AY5" s="19"/>
      <c r="AZ5" s="19"/>
      <c r="BA5" s="19"/>
      <c r="BB5" s="19"/>
      <c r="BC5" s="19"/>
      <c r="BD5" s="19"/>
      <c r="BE5" s="19"/>
      <c r="BF5" s="19"/>
      <c r="BG5" s="19"/>
      <c r="BH5" s="19"/>
      <c r="BI5" s="19"/>
      <c r="BJ5" s="19"/>
      <c r="BK5" s="19"/>
      <c r="BL5" s="19"/>
      <c r="BM5" s="33"/>
      <c r="BN5" s="14" t="str">
        <f>IF(SUM(AT5,AX5)&gt;0,SUM(AT5,AX5),"")</f>
        <v/>
      </c>
      <c r="BO5" s="14" t="str">
        <f>IF(SUM(AS5:AT5,AV5:AX5,AZ5)-AU5-AY5&gt;0,SUM(AS5:AT5,AV5:AX5,AZ5)-AU5-AY5,"")</f>
        <v/>
      </c>
      <c r="BP5" s="14" t="str">
        <f>IF(SUM(BA5:BB5,BD5)-BC5&gt;0,SUM(BA5:BB5,BD5)-BC5,"")</f>
        <v/>
      </c>
      <c r="BQ5" s="14" t="str">
        <f>IF(SUM(BF5,BJ5)&gt;0,SUM(BF5,BJ5),"")</f>
        <v/>
      </c>
      <c r="BR5" s="14" t="str">
        <f>IF(SUM(BE5:BF5,BH5:BJ5,BL5)-SUM(BG5,BK5)&gt;0,SUM(BE5:BF5,BH5:BJ5,BL5)-SUM(BG5,BK5),"")</f>
        <v/>
      </c>
      <c r="BS5" s="14" t="str">
        <f>IF(SUM(BO5,BP5,BR5)&gt;0,SUM(BO5,BP5,BR5),"")</f>
        <v/>
      </c>
      <c r="BT5" s="20"/>
      <c r="BU5" s="20"/>
      <c r="BV5" s="20"/>
      <c r="BW5" s="20"/>
      <c r="BX5" s="20"/>
      <c r="BY5" s="20"/>
      <c r="BZ5" s="20"/>
      <c r="CA5" s="20"/>
      <c r="CB5" s="20"/>
      <c r="CC5" s="20"/>
      <c r="CD5" s="20"/>
      <c r="CE5" s="20"/>
      <c r="CF5" s="20"/>
      <c r="CG5" s="20"/>
      <c r="CH5" s="20"/>
      <c r="CI5" s="20"/>
      <c r="CJ5" s="20"/>
      <c r="CK5" s="20"/>
      <c r="CL5" s="20"/>
      <c r="CM5" s="20"/>
      <c r="CN5" s="32"/>
      <c r="CO5" s="55" t="str">
        <f>IF(SUM(BU5,BY5)&gt;0,SUM(BU5,BY5),"")</f>
        <v/>
      </c>
      <c r="CP5" s="55" t="str">
        <f>IF(SUM(BT5:BU5,BW5:BY5,CA5)-BV5-BZ5&gt;0,SUM(BT5:BU5,BW5:BY5,CA5)-BV5-BZ5,"")</f>
        <v/>
      </c>
      <c r="CQ5" s="55" t="str">
        <f>IF(SUM(CB5:CC5,CE5)-CD5&gt;0,SUM(CB5:CC5,CE5)-CD5,"")</f>
        <v/>
      </c>
      <c r="CR5" s="55" t="str">
        <f>IF(SUM(CG5,CK5)&gt;0,SUM(CG5,CK5),"")</f>
        <v/>
      </c>
      <c r="CS5" s="55" t="str">
        <f>IF(SUM(CF5:CG5,CI5:CK5,CM5)-SUM(CH5,CL5)&gt;0,SUM(CF5:CG5,CI5:CK5,CM5)-SUM(CH5,CL5),"")</f>
        <v/>
      </c>
      <c r="CT5" s="55" t="str">
        <f>IF(SUM(CP5,CQ5,CS5)&gt;0,SUM(CP5,CQ5,CS5),"")</f>
        <v/>
      </c>
      <c r="CU5" s="56">
        <f>IF(MAX(DR5,ER5,FR5,GR5,HR5,IR5,JR5,KR5,LR5,MR5,NR5,OR5)-IF(K5="",0,K5)&gt;0.001,MAX(DR5,ER5,FR5,GR5,HR5,IR5,JR5,KR5,LR5,MR5,NR5,OR5)-IF(K5="",0,K5),"")</f>
        <v>41.3</v>
      </c>
      <c r="CV5" s="56" t="str">
        <f>IF(MAX(DU5,EU5,FU5,GU5,HU5,IU5,JU5,KU5,LU5,MU5,NU5,OU5)-IF(M5="",0,M5)&gt;0.001,MAX(DU5,EU5,FU5,GU5,HU5,IU5,JU5,KU5,LU5,MU5,NU5,OU5)-IF(M5="",0,M5),"")</f>
        <v/>
      </c>
      <c r="CW5" s="18">
        <v>16.8</v>
      </c>
      <c r="CX5" s="18">
        <v>3.9</v>
      </c>
      <c r="CY5" s="18">
        <v>0</v>
      </c>
      <c r="CZ5" s="18">
        <v>0</v>
      </c>
      <c r="DA5" s="18">
        <v>17.600000000000001</v>
      </c>
      <c r="DB5" s="18">
        <v>3</v>
      </c>
      <c r="DC5" s="18">
        <v>0</v>
      </c>
      <c r="DD5" s="18">
        <v>0</v>
      </c>
      <c r="DE5" s="18"/>
      <c r="DF5" s="18"/>
      <c r="DG5" s="18"/>
      <c r="DH5" s="18"/>
      <c r="DI5" s="18"/>
      <c r="DJ5" s="18"/>
      <c r="DK5" s="18"/>
      <c r="DL5" s="18"/>
      <c r="DM5" s="18"/>
      <c r="DN5" s="18"/>
      <c r="DO5" s="18"/>
      <c r="DP5" s="18"/>
      <c r="DQ5" s="55">
        <f>IF(SUM(CX5,DB5)&gt;0,SUM(CX5,DB5),"")</f>
        <v>6.9</v>
      </c>
      <c r="DR5" s="55">
        <f>IF(SUM(CW5:CX5,CZ5:DB5,DD5)-CY5-DC5&gt;0,SUM(CW5:CX5,CZ5:DB5,DD5)-CY5-DC5,"")</f>
        <v>41.3</v>
      </c>
      <c r="DS5" s="55" t="str">
        <f>IF(SUM(DE5:DF5,DH5)-DG5&gt;0,SUM(DE5:DF5,DH5)-DG5,"")</f>
        <v/>
      </c>
      <c r="DT5" s="55" t="str">
        <f>IF(SUM(DJ5,DN5)&gt;0,SUM(DJ5,DN5),"")</f>
        <v/>
      </c>
      <c r="DU5" s="55" t="str">
        <f>IF(SUM(DI5:DJ5,DL5:DN5,DP5)-SUM(DK5,DO5)&gt;0,SUM(DI5:DJ5,DL5:DN5,DP5)-SUM(DK5,DO5),"")</f>
        <v/>
      </c>
      <c r="DV5" s="55">
        <f>IF(SUM(DR5,DS5,DU5)&gt;0,SUM(DR5,DS5,DU5),"")</f>
        <v>41.3</v>
      </c>
      <c r="DW5" s="19"/>
      <c r="DX5" s="19"/>
      <c r="DY5" s="19"/>
      <c r="DZ5" s="19"/>
      <c r="EA5" s="19"/>
      <c r="EB5" s="19"/>
      <c r="EC5" s="19"/>
      <c r="ED5" s="19"/>
      <c r="EE5" s="19"/>
      <c r="EF5" s="19"/>
      <c r="EG5" s="19"/>
      <c r="EH5" s="19"/>
      <c r="EI5" s="19"/>
      <c r="EJ5" s="19"/>
      <c r="EK5" s="19"/>
      <c r="EL5" s="19"/>
      <c r="EM5" s="19"/>
      <c r="EN5" s="19"/>
      <c r="EO5" s="19"/>
      <c r="EP5" s="19"/>
      <c r="EQ5" s="14" t="str">
        <f>IF(SUM(DX5,EB5)&gt;0,SUM(DX5,EB5),"")</f>
        <v/>
      </c>
      <c r="ER5" s="14" t="str">
        <f>IF(SUM(DW5:DX5,DZ5:EB5,ED5)-DY5-EC5&gt;0,SUM(DW5:DX5,DZ5:EB5,ED5)-DY5-EC5,"")</f>
        <v/>
      </c>
      <c r="ES5" s="14" t="str">
        <f>IF(SUM(EE5:EF5,EH5)-EG5&gt;0,SUM(EE5:EF5,EH5)-EG5,"")</f>
        <v/>
      </c>
      <c r="ET5" s="14" t="str">
        <f>IF(SUM(EJ5,EN5)&gt;0,SUM(EJ5,EN5),"")</f>
        <v/>
      </c>
      <c r="EU5" s="14" t="str">
        <f>IF(SUM(EI5:EJ5,EL5:EN5,EP5)-SUM(EK5,EO5)&gt;0,SUM(EI5:EJ5,EL5:EN5,EP5)-SUM(EK5,EO5),"")</f>
        <v/>
      </c>
      <c r="EV5" s="14" t="str">
        <f>IF(SUM(ER5,ES5,EU5)&gt;0,SUM(ER5,ES5,EU5),"")</f>
        <v/>
      </c>
      <c r="EW5" s="18"/>
      <c r="EX5" s="18"/>
      <c r="EY5" s="18"/>
      <c r="EZ5" s="18"/>
      <c r="FA5" s="18"/>
      <c r="FB5" s="18"/>
      <c r="FC5" s="18"/>
      <c r="FD5" s="18"/>
      <c r="FE5" s="18"/>
      <c r="FF5" s="18"/>
      <c r="FG5" s="18"/>
      <c r="FH5" s="18"/>
      <c r="FI5" s="18"/>
      <c r="FJ5" s="18"/>
      <c r="FK5" s="18"/>
      <c r="FL5" s="18"/>
      <c r="FM5" s="18"/>
      <c r="FN5" s="18"/>
      <c r="FO5" s="18"/>
      <c r="FP5" s="18"/>
      <c r="FQ5" s="55" t="str">
        <f>IF(SUM(EX5,FB5)&gt;0,SUM(EX5,FB5),"")</f>
        <v/>
      </c>
      <c r="FR5" s="55" t="str">
        <f>IF(SUM(EW5:EX5,EZ5:FB5,FD5)-EY5-FC5&gt;0,SUM(EW5:EX5,EZ5:FB5,FD5)-EY5-FC5,"")</f>
        <v/>
      </c>
      <c r="FS5" s="55" t="str">
        <f>IF(SUM(FE5:FF5,FH5)-FG5&gt;0,SUM(FE5:FF5,FH5)-FG5,"")</f>
        <v/>
      </c>
      <c r="FT5" s="55" t="str">
        <f>IF(SUM(FJ5,FN5)&gt;0,SUM(FJ5,FN5),"")</f>
        <v/>
      </c>
      <c r="FU5" s="55" t="str">
        <f>IF(SUM(FI5:FJ5,FL5:FN5,FP5)-SUM(FK5,FO5)&gt;0,SUM(FI5:FJ5,FL5:FN5,FP5)-SUM(FK5,FO5),"")</f>
        <v/>
      </c>
      <c r="FV5" s="55" t="str">
        <f>IF(SUM(FR5,FS5,FU5)&gt;0,SUM(FR5,FS5,FU5),"")</f>
        <v/>
      </c>
      <c r="FW5" s="19"/>
      <c r="FX5" s="19"/>
      <c r="FY5" s="19"/>
      <c r="FZ5" s="19"/>
      <c r="GA5" s="19"/>
      <c r="GB5" s="19"/>
      <c r="GC5" s="19"/>
      <c r="GD5" s="19"/>
      <c r="GE5" s="19"/>
      <c r="GF5" s="19"/>
      <c r="GG5" s="19"/>
      <c r="GH5" s="19"/>
      <c r="GI5" s="19"/>
      <c r="GJ5" s="19"/>
      <c r="GK5" s="19"/>
      <c r="GL5" s="19"/>
      <c r="GM5" s="19"/>
      <c r="GN5" s="19"/>
      <c r="GO5" s="19"/>
      <c r="GP5" s="19"/>
      <c r="GQ5" s="14" t="str">
        <f>IF(SUM(FX5,GB5)&gt;0,SUM(FX5,GB5),"")</f>
        <v/>
      </c>
      <c r="GR5" s="14" t="str">
        <f>IF(SUM(FW5:FX5,FZ5:GB5,GD5)-FY5-GC5&gt;0,SUM(FW5:FX5,FZ5:GB5,GD5)-FY5-GC5,"")</f>
        <v/>
      </c>
      <c r="GS5" s="14" t="str">
        <f>IF(SUM(GE5:GF5,GH5)-GG5&gt;0,SUM(GE5:GF5,GH5)-GG5,"")</f>
        <v/>
      </c>
      <c r="GT5" s="14" t="str">
        <f>IF(SUM(GJ5,GN5)&gt;0,SUM(GJ5,GN5),"")</f>
        <v/>
      </c>
      <c r="GU5" s="14" t="str">
        <f>IF(SUM(GI5:GJ5,GL5:GN5,GP5)-SUM(GK5,GO5)&gt;0,SUM(GI5:GJ5,GL5:GN5,GP5)-SUM(GK5,GO5),"")</f>
        <v/>
      </c>
      <c r="GV5" s="14" t="str">
        <f>IF(SUM(GR5,GS5,GU5)&gt;0,SUM(GR5,GS5,GU5),"")</f>
        <v/>
      </c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55" t="str">
        <f>IF(SUM(GX5,HB5)&gt;0,SUM(GX5,HB5),"")</f>
        <v/>
      </c>
      <c r="HR5" s="55" t="str">
        <f>IF(SUM(GW5:GX5,GZ5:HB5,HD5)-GY5-HC5&gt;0,SUM(GW5:GX5,GZ5:HB5,HD5)-GY5-HC5,"")</f>
        <v/>
      </c>
      <c r="HS5" s="55" t="str">
        <f>IF(SUM(HE5:HF5,HH5)-HG5&gt;0,SUM(HE5:HF5,HH5)-HG5,"")</f>
        <v/>
      </c>
      <c r="HT5" s="55" t="str">
        <f>IF(SUM(HJ5,HN5)&gt;0,SUM(HJ5,HN5),"")</f>
        <v/>
      </c>
      <c r="HU5" s="55" t="str">
        <f>IF(SUM(HI5:HJ5,HL5:HN5,HP5)-SUM(HK5,HO5)&gt;0,SUM(HI5:HJ5,HL5:HN5,HP5)-SUM(HK5,HO5),"")</f>
        <v/>
      </c>
      <c r="HV5" s="55" t="str">
        <f>IF(SUM(HR5,HS5,HU5)&gt;0,SUM(HR5,HS5,HU5),"")</f>
        <v/>
      </c>
      <c r="HW5" s="19"/>
      <c r="HX5" s="19"/>
      <c r="HY5" s="19"/>
      <c r="HZ5" s="19"/>
      <c r="IA5" s="19"/>
      <c r="IB5" s="19"/>
      <c r="IC5" s="19"/>
      <c r="ID5" s="19"/>
      <c r="IE5" s="19"/>
      <c r="IF5" s="19"/>
      <c r="IG5" s="19"/>
      <c r="IH5" s="19"/>
      <c r="II5" s="19"/>
      <c r="IJ5" s="19"/>
      <c r="IK5" s="19"/>
      <c r="IL5" s="19"/>
      <c r="IM5" s="19"/>
      <c r="IN5" s="19"/>
      <c r="IO5" s="19"/>
      <c r="IP5" s="19"/>
      <c r="IQ5" s="14" t="str">
        <f>IF(SUM(HX5,IB5)&gt;0,SUM(HX5,IB5),"")</f>
        <v/>
      </c>
      <c r="IR5" s="14" t="str">
        <f>IF(SUM(HW5:HX5,HZ5:IB5,ID5)-HY5-IC5&gt;0,SUM(HW5:HX5,HZ5:IB5,ID5)-HY5-IC5,"")</f>
        <v/>
      </c>
      <c r="IS5" s="14" t="str">
        <f>IF(SUM(IE5:IF5,IH5)-IG5&gt;0,SUM(IE5:IF5,IH5)-IG5,"")</f>
        <v/>
      </c>
      <c r="IT5" s="14" t="str">
        <f>IF(SUM(IJ5,IN5)&gt;0,SUM(IJ5,IN5),"")</f>
        <v/>
      </c>
      <c r="IU5" s="14" t="str">
        <f>IF(SUM(II5:IJ5,IL5:IN5,IP5)-SUM(IK5,IO5)&gt;0,SUM(II5:IJ5,IL5:IN5,IP5)-SUM(IK5,IO5),"")</f>
        <v/>
      </c>
      <c r="IV5" s="14" t="str">
        <f>IF(SUM(IR5,IS5,IU5)&gt;0,SUM(IR5,IS5,IU5),"")</f>
        <v/>
      </c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8"/>
      <c r="JL5" s="18"/>
      <c r="JM5" s="18"/>
      <c r="JN5" s="18"/>
      <c r="JO5" s="18"/>
      <c r="JP5" s="18"/>
      <c r="JQ5" s="55" t="str">
        <f>IF(SUM(IX5,JB5)&gt;0,SUM(IX5,JB5),"")</f>
        <v/>
      </c>
      <c r="JR5" s="55" t="str">
        <f>IF(SUM(IW5:IX5,IZ5:JB5,JD5)-IY5-JC5&gt;0,SUM(IW5:IX5,IZ5:JB5,JD5)-IY5-JC5,"")</f>
        <v/>
      </c>
      <c r="JS5" s="55" t="str">
        <f>IF(SUM(JE5:JF5,JH5)-JG5&gt;0,SUM(JE5:JF5,JH5)-JG5,"")</f>
        <v/>
      </c>
      <c r="JT5" s="55" t="str">
        <f>IF(SUM(JJ5,JN5)&gt;0,SUM(JJ5,JN5),"")</f>
        <v/>
      </c>
      <c r="JU5" s="55" t="str">
        <f>IF(SUM(JI5:JJ5,JL5:JN5,JP5)-SUM(JK5,JO5)&gt;0,SUM(JI5:JJ5,JL5:JN5,JP5)-SUM(JK5,JO5),"")</f>
        <v/>
      </c>
      <c r="JV5" s="55" t="str">
        <f>IF(SUM(JR5,JS5,JU5)&gt;0,SUM(JR5,JS5,JU5),"")</f>
        <v/>
      </c>
      <c r="JW5" s="19"/>
      <c r="JX5" s="19"/>
      <c r="JY5" s="19"/>
      <c r="JZ5" s="19"/>
      <c r="KA5" s="19"/>
      <c r="KB5" s="19"/>
      <c r="KC5" s="19"/>
      <c r="KD5" s="19"/>
      <c r="KE5" s="19"/>
      <c r="KF5" s="19"/>
      <c r="KG5" s="19"/>
      <c r="KH5" s="19"/>
      <c r="KI5" s="19"/>
      <c r="KJ5" s="19"/>
      <c r="KK5" s="19"/>
      <c r="KL5" s="19"/>
      <c r="KM5" s="19"/>
      <c r="KN5" s="19"/>
      <c r="KO5" s="19"/>
      <c r="KP5" s="19"/>
      <c r="KQ5" s="14" t="str">
        <f>IF(SUM(JX5,KB5)&gt;0,SUM(JX5,KB5),"")</f>
        <v/>
      </c>
      <c r="KR5" s="14" t="str">
        <f>IF(SUM(JW5:JX5,JZ5:KB5,KD5)-JY5-KC5&gt;0,SUM(JW5:JX5,JZ5:KB5,KD5)-JY5-KC5,"")</f>
        <v/>
      </c>
      <c r="KS5" s="14" t="str">
        <f>IF(SUM(KE5:KF5,KH5)-KG5&gt;0,SUM(KE5:KF5,KH5)-KG5,"")</f>
        <v/>
      </c>
      <c r="KT5" s="14" t="str">
        <f>IF(SUM(KJ5,KN5)&gt;0,SUM(KJ5,KN5),"")</f>
        <v/>
      </c>
      <c r="KU5" s="14" t="str">
        <f>IF(SUM(KI5:KJ5,KL5:KN5,KP5)-SUM(KK5,KO5)&gt;0,SUM(KI5:KJ5,KL5:KN5,KP5)-SUM(KK5,KO5),"")</f>
        <v/>
      </c>
      <c r="KV5" s="14" t="str">
        <f>IF(SUM(KR5,KS5,KU5)&gt;0,SUM(KR5,KS5,KU5),"")</f>
        <v/>
      </c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8"/>
      <c r="LP5" s="18"/>
      <c r="LQ5" s="55" t="str">
        <f>IF(SUM(KX5,LB5)&gt;0,SUM(KX5,LB5),"")</f>
        <v/>
      </c>
      <c r="LR5" s="55" t="str">
        <f>IF(SUM(KW5:KX5,KZ5:LB5,LD5)-KY5-LC5&gt;0,SUM(KW5:KX5,KZ5:LB5,LD5)-KY5-LC5,"")</f>
        <v/>
      </c>
      <c r="LS5" s="55" t="str">
        <f>IF(SUM(LE5:LF5,LH5)-LG5&gt;0,SUM(LE5:LF5,LH5)-LG5,"")</f>
        <v/>
      </c>
      <c r="LT5" s="55" t="str">
        <f>IF(SUM(LJ5,LN5)&gt;0,SUM(LJ5,LN5),"")</f>
        <v/>
      </c>
      <c r="LU5" s="55" t="str">
        <f>IF(SUM(LI5:LJ5,LL5:LN5,LP5)-SUM(LK5,LO5)&gt;0,SUM(LI5:LJ5,LL5:LN5,LP5)-SUM(LK5,LO5),"")</f>
        <v/>
      </c>
      <c r="LV5" s="55" t="str">
        <f>IF(SUM(LR5,LS5,LU5)&gt;0,SUM(LR5,LS5,LU5),"")</f>
        <v/>
      </c>
      <c r="LW5" s="19"/>
      <c r="LX5" s="19"/>
      <c r="LY5" s="19"/>
      <c r="LZ5" s="19"/>
      <c r="MA5" s="19"/>
      <c r="MB5" s="19"/>
      <c r="MC5" s="19"/>
      <c r="MD5" s="19"/>
      <c r="ME5" s="19"/>
      <c r="MF5" s="19"/>
      <c r="MG5" s="19"/>
      <c r="MH5" s="19"/>
      <c r="MI5" s="19"/>
      <c r="MJ5" s="19"/>
      <c r="MK5" s="19"/>
      <c r="ML5" s="19"/>
      <c r="MM5" s="19"/>
      <c r="MN5" s="19"/>
      <c r="MO5" s="19"/>
      <c r="MP5" s="19"/>
      <c r="MQ5" s="14" t="str">
        <f>IF(SUM(LX5,MB5)&gt;0,SUM(LX5,MB5),"")</f>
        <v/>
      </c>
      <c r="MR5" s="14" t="str">
        <f>IF(SUM(LW5:LX5,LZ5:MB5,MD5)-LY5-MC5&gt;0,SUM(LW5:LX5,LZ5:MB5,MD5)-LY5-MC5,"")</f>
        <v/>
      </c>
      <c r="MS5" s="14" t="str">
        <f>IF(SUM(ME5:MF5,MH5)-MG5&gt;0,SUM(ME5:MF5,MH5)-MG5,"")</f>
        <v/>
      </c>
      <c r="MT5" s="14" t="str">
        <f>IF(SUM(MJ5,MN5)&gt;0,SUM(MJ5,MN5),"")</f>
        <v/>
      </c>
      <c r="MU5" s="14" t="str">
        <f>IF(SUM(MI5:MJ5,ML5:MN5,MP5)-SUM(MK5,MO5)&gt;0,SUM(MI5:MJ5,ML5:MN5,MP5)-SUM(MK5,MO5),"")</f>
        <v/>
      </c>
      <c r="MV5" s="14" t="str">
        <f>IF(SUM(MR5,MS5,MU5)&gt;0,SUM(MR5,MS5,MU5),"")</f>
        <v/>
      </c>
      <c r="MW5" s="18"/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55" t="str">
        <f>IF(SUM(MX5,NB5)&gt;0,SUM(MX5,NB5),"")</f>
        <v/>
      </c>
      <c r="NR5" s="55" t="str">
        <f>IF(SUM(MW5:MX5,MZ5:NB5,ND5)-MY5-NC5&gt;0,SUM(MW5:MX5,MZ5:NB5,ND5)-MY5-NC5,"")</f>
        <v/>
      </c>
      <c r="NS5" s="55" t="str">
        <f>IF(SUM(NE5:NF5,NH5)-NG5&gt;0,SUM(NE5:NF5,NH5)-NG5,"")</f>
        <v/>
      </c>
      <c r="NT5" s="55" t="str">
        <f>IF(SUM(NJ5,NN5)&gt;0,SUM(NJ5,NN5),"")</f>
        <v/>
      </c>
      <c r="NU5" s="55" t="str">
        <f>IF(SUM(NI5:NJ5,NL5:NN5,NP5)-SUM(NK5,NO5)&gt;0,SUM(NI5:NJ5,NL5:NN5,NP5)-SUM(NK5,NO5),"")</f>
        <v/>
      </c>
      <c r="NV5" s="55" t="str">
        <f>IF(SUM(NR5,NS5,NU5)&gt;0,SUM(NR5,NS5,NU5),"")</f>
        <v/>
      </c>
      <c r="NW5" s="19"/>
      <c r="NX5" s="19"/>
      <c r="NY5" s="19"/>
      <c r="NZ5" s="19"/>
      <c r="OA5" s="19"/>
      <c r="OB5" s="19"/>
      <c r="OC5" s="19"/>
      <c r="OD5" s="19"/>
      <c r="OE5" s="19"/>
      <c r="OF5" s="19"/>
      <c r="OG5" s="19"/>
      <c r="OH5" s="19"/>
      <c r="OI5" s="19"/>
      <c r="OJ5" s="19"/>
      <c r="OK5" s="19"/>
      <c r="OL5" s="19"/>
      <c r="OM5" s="19"/>
      <c r="ON5" s="19"/>
      <c r="OO5" s="19"/>
      <c r="OP5" s="19"/>
      <c r="OQ5" s="14" t="str">
        <f>IF(SUM(NX5,OB5)&gt;0,SUM(NX5,OB5),"")</f>
        <v/>
      </c>
      <c r="OR5" s="14" t="str">
        <f>IF(SUM(NW5:NX5,NZ5:OB5,OD5)-NY5-OC5&gt;0,SUM(NW5:NX5,NZ5:OB5,OD5)-NY5-OC5,"")</f>
        <v/>
      </c>
      <c r="OS5" s="14" t="str">
        <f>IF(SUM(OE5:OF5,OH5)-OG5&gt;0,SUM(OE5:OF5,OH5)-OG5,"")</f>
        <v/>
      </c>
      <c r="OT5" s="14" t="str">
        <f>IF(SUM(OJ5,ON5)&gt;0,SUM(OJ5,ON5),"")</f>
        <v/>
      </c>
      <c r="OU5" s="14" t="str">
        <f>IF(SUM(OI5:OJ5,OL5:ON5,OP5)-SUM(OK5,OO5)&gt;0,SUM(OI5:OJ5,OL5:ON5,OP5)-SUM(OK5,OO5),"")</f>
        <v/>
      </c>
      <c r="OV5" s="14" t="str">
        <f>IF(SUM(OR5,OS5,OU5)&gt;0,SUM(OR5,OS5,OU5),"")</f>
        <v/>
      </c>
      <c r="OW5" s="27">
        <f>IF($CN5="P",BT5,(BT5+AS5)/2)</f>
        <v>0</v>
      </c>
      <c r="OX5" s="27">
        <f>IF($CN5="P",BU5,(BU5+AT5)/2)</f>
        <v>0</v>
      </c>
      <c r="OY5" s="27">
        <f>IF($CN5="P",BV5,(BV5+AU5)/2)</f>
        <v>0</v>
      </c>
      <c r="OZ5" s="27">
        <f>IF($CN5="P",BW5,(BW5+AV5)/2)</f>
        <v>0</v>
      </c>
      <c r="PA5" s="27">
        <f>IF($CN5="P",BX5,(BX5+AW5)/2)</f>
        <v>0</v>
      </c>
      <c r="PB5" s="27">
        <f>IF($CN5="P",BY5,(BY5+AX5)/2)</f>
        <v>0</v>
      </c>
      <c r="PC5" s="27">
        <f>IF($CN5="P",BZ5,(BZ5+AY5)/2)</f>
        <v>0</v>
      </c>
      <c r="PD5" s="27">
        <f>IF($CN5="P",CA5,(CA5+AZ5)/2)</f>
        <v>0</v>
      </c>
      <c r="PE5" s="27">
        <f>IF($CN5="P",CB5,(CB5+BA5)/2)</f>
        <v>0</v>
      </c>
      <c r="PF5" s="27">
        <f>IF($CN5="P",CC5,(CC5+BB5)/2)</f>
        <v>0</v>
      </c>
      <c r="PG5" s="27">
        <f>IF($CN5="P",CD5,(CD5+BC5)/2)</f>
        <v>0</v>
      </c>
      <c r="PH5" s="27">
        <f>IF($CN5="P",CE5,(CE5+BD5)/2)</f>
        <v>0</v>
      </c>
      <c r="PI5" s="27">
        <f>IF($CN5="P",CF5,(CF5+BE5)/2)</f>
        <v>0</v>
      </c>
      <c r="PJ5" s="27">
        <f>IF($CN5="P",CG5,(CG5+BF5)/2)</f>
        <v>0</v>
      </c>
      <c r="PK5" s="27">
        <f>IF($CN5="P",CH5,(CH5+BG5)/2)</f>
        <v>0</v>
      </c>
      <c r="PL5" s="27">
        <f>IF($CN5="P",CI5,(CI5+BH5)/2)</f>
        <v>0</v>
      </c>
      <c r="PM5" s="27">
        <f>IF($CN5="P",CJ5,(CJ5+BI5)/2)</f>
        <v>0</v>
      </c>
      <c r="PN5" s="27">
        <f>IF($CN5="P",CK5,(CK5+BJ5)/2)</f>
        <v>0</v>
      </c>
      <c r="PO5" s="27">
        <f>IF($CN5="P",CL5,(CL5+BK5)/2)</f>
        <v>0</v>
      </c>
      <c r="PP5" s="27">
        <f>IF($CN5="P",CM5,(CM5+BL5)/2)</f>
        <v>0</v>
      </c>
      <c r="PQ5" s="32" t="s">
        <v>44</v>
      </c>
      <c r="PR5" s="55" t="str">
        <f>IF(SUM(OX5,PB5)&gt;0,SUM(OX5,PB5),"")</f>
        <v/>
      </c>
      <c r="PS5" s="55" t="str">
        <f>IF(SUM(OW5:OX5,OZ5:PB5,PD5)-OY5-PC5&gt;0,SUM(OW5:OX5,OZ5:PB5,PD5)-OY5-PC5,"")</f>
        <v/>
      </c>
      <c r="PT5" s="55" t="str">
        <f>IF(SUM(PE5:PF5,PH5)-PG5&gt;0,SUM(PE5:PF5,PH5)-PG5,"")</f>
        <v/>
      </c>
      <c r="PU5" s="55" t="str">
        <f>IF(SUM(PJ5,PN5)&gt;0,SUM(PJ5,PN5),"")</f>
        <v/>
      </c>
      <c r="PV5" s="55" t="str">
        <f>IF(SUM(PI5:PJ5,PL5:PN5,PP5)-SUM(PK5,PO5)&gt;0,SUM(PI5:PJ5,PL5:PN5,PP5)-SUM(PK5,PO5),"")</f>
        <v/>
      </c>
      <c r="PW5" s="55" t="str">
        <f>IF(SUM(PS5,PT5,PV5)&gt;0,SUM(PS5,PT5,PV5),"")</f>
        <v/>
      </c>
    </row>
    <row r="6" spans="1:439" ht="17" x14ac:dyDescent="0.2">
      <c r="O6" s="11"/>
      <c r="P6" s="11"/>
      <c r="Q6" s="11"/>
    </row>
    <row r="7" spans="1:439" ht="17" x14ac:dyDescent="0.2">
      <c r="O7" s="11"/>
      <c r="P7" s="11"/>
      <c r="Q7" s="11"/>
    </row>
    <row r="8" spans="1:439" ht="17" x14ac:dyDescent="0.2">
      <c r="B8" s="28" t="s">
        <v>42</v>
      </c>
      <c r="O8" s="11"/>
      <c r="P8" s="11"/>
      <c r="Q8" s="11"/>
      <c r="AM8" s="4"/>
      <c r="AR8" s="57">
        <v>7.3</v>
      </c>
      <c r="BN8" s="4"/>
      <c r="BS8" s="57">
        <v>7.3</v>
      </c>
      <c r="CO8" s="4"/>
      <c r="CT8" s="57">
        <v>7.3</v>
      </c>
      <c r="DQ8" s="4"/>
      <c r="DV8" s="57">
        <v>7.2</v>
      </c>
      <c r="EQ8" s="4"/>
      <c r="EV8" s="57">
        <v>7.3</v>
      </c>
      <c r="FQ8" s="4"/>
      <c r="FV8" s="57">
        <v>7.3</v>
      </c>
      <c r="GQ8" s="4"/>
      <c r="GV8" s="57">
        <v>7.3</v>
      </c>
      <c r="HQ8" s="4"/>
      <c r="HV8" s="57">
        <v>7.3</v>
      </c>
      <c r="IQ8" s="4"/>
      <c r="IV8" s="57">
        <v>7.3</v>
      </c>
      <c r="JQ8" s="4"/>
      <c r="JV8" s="57">
        <v>7.3</v>
      </c>
      <c r="KQ8" s="4"/>
      <c r="KV8" s="57">
        <v>7.3</v>
      </c>
      <c r="LQ8" s="4"/>
      <c r="LV8" s="57">
        <v>7.3</v>
      </c>
      <c r="MQ8" s="4"/>
      <c r="MV8" s="57">
        <v>7.3</v>
      </c>
      <c r="NQ8" s="4"/>
      <c r="NV8" s="57">
        <v>7.3</v>
      </c>
      <c r="OQ8" s="4"/>
      <c r="OV8" s="57">
        <v>7.3</v>
      </c>
    </row>
    <row r="9" spans="1:439" ht="17" x14ac:dyDescent="0.2">
      <c r="B9" s="35" t="s">
        <v>41</v>
      </c>
      <c r="O9" s="11"/>
      <c r="P9" s="11"/>
      <c r="Q9" s="11"/>
      <c r="AM9" s="4"/>
      <c r="AR9" s="58">
        <v>7.2</v>
      </c>
      <c r="BN9" s="4"/>
      <c r="BS9" s="58">
        <v>8</v>
      </c>
      <c r="CO9" s="4"/>
      <c r="CT9" s="58">
        <v>8</v>
      </c>
      <c r="DQ9" s="4"/>
      <c r="DV9" s="58">
        <v>7.2</v>
      </c>
      <c r="EQ9" s="4"/>
      <c r="EV9" s="58">
        <v>7.2</v>
      </c>
      <c r="FQ9" s="4"/>
      <c r="FV9" s="58">
        <v>7.2</v>
      </c>
      <c r="GQ9" s="4"/>
      <c r="GV9" s="58">
        <v>7.2</v>
      </c>
      <c r="HQ9" s="4"/>
      <c r="HV9" s="58">
        <v>7.2</v>
      </c>
      <c r="IQ9" s="4"/>
      <c r="IV9" s="58">
        <v>7.2</v>
      </c>
      <c r="JQ9" s="4"/>
      <c r="JV9" s="58">
        <v>7.2</v>
      </c>
      <c r="KQ9" s="4"/>
      <c r="KV9" s="58">
        <v>7.2</v>
      </c>
      <c r="LQ9" s="4"/>
      <c r="LV9" s="58">
        <v>7.2</v>
      </c>
      <c r="MQ9" s="4"/>
      <c r="MV9" s="58">
        <v>7.2</v>
      </c>
      <c r="NQ9" s="4"/>
      <c r="NV9" s="58">
        <v>7.2</v>
      </c>
      <c r="OQ9" s="4"/>
      <c r="OV9" s="58">
        <v>7.2</v>
      </c>
    </row>
    <row r="10" spans="1:439" ht="17" x14ac:dyDescent="0.2">
      <c r="A10" s="5"/>
      <c r="B10" s="36" t="s">
        <v>54</v>
      </c>
      <c r="C10" s="22"/>
      <c r="O10" s="11"/>
      <c r="P10" s="11"/>
      <c r="Q10" s="11"/>
      <c r="AM10" s="4"/>
      <c r="AR10" s="59">
        <v>8</v>
      </c>
      <c r="BN10" s="4"/>
      <c r="BS10" s="59">
        <v>8</v>
      </c>
      <c r="CO10" s="4"/>
      <c r="CT10" s="59">
        <v>8</v>
      </c>
      <c r="DQ10" s="4"/>
      <c r="DV10" s="59">
        <v>7.2</v>
      </c>
      <c r="EQ10" s="4"/>
      <c r="EV10" s="59">
        <v>8</v>
      </c>
      <c r="FQ10" s="4"/>
      <c r="FV10" s="59">
        <v>8</v>
      </c>
      <c r="GQ10" s="4"/>
      <c r="GV10" s="59">
        <v>8</v>
      </c>
      <c r="HQ10" s="4"/>
      <c r="HV10" s="59">
        <v>8</v>
      </c>
      <c r="IQ10" s="4"/>
      <c r="IV10" s="59">
        <v>8</v>
      </c>
      <c r="JQ10" s="4"/>
      <c r="JV10" s="59">
        <v>8</v>
      </c>
      <c r="KQ10" s="4"/>
      <c r="KV10" s="59">
        <v>8</v>
      </c>
      <c r="LQ10" s="4"/>
      <c r="LV10" s="59">
        <v>8</v>
      </c>
      <c r="MQ10" s="4"/>
      <c r="MV10" s="59">
        <v>8</v>
      </c>
      <c r="NQ10" s="4"/>
      <c r="NV10" s="59">
        <v>8</v>
      </c>
      <c r="OQ10" s="4"/>
      <c r="OV10" s="59">
        <v>8</v>
      </c>
    </row>
    <row r="11" spans="1:439" ht="17" hidden="1" x14ac:dyDescent="0.2">
      <c r="A11" s="5"/>
      <c r="B11" s="44" t="s">
        <v>59</v>
      </c>
      <c r="C11" s="22"/>
      <c r="O11" s="11"/>
      <c r="P11" s="11"/>
      <c r="Q11" s="11"/>
      <c r="AM11" s="4"/>
      <c r="AR11" s="60">
        <v>1000</v>
      </c>
      <c r="BN11" s="4"/>
      <c r="BS11" s="60">
        <v>1000</v>
      </c>
      <c r="CO11" s="4"/>
      <c r="CT11" s="60">
        <v>1000</v>
      </c>
      <c r="DQ11" s="4"/>
      <c r="DV11" s="60">
        <v>1000</v>
      </c>
      <c r="EQ11" s="4"/>
      <c r="EV11" s="60">
        <v>1000</v>
      </c>
      <c r="FQ11" s="4"/>
      <c r="FV11" s="60">
        <v>1000</v>
      </c>
      <c r="GQ11" s="4"/>
      <c r="GV11" s="60">
        <v>1000</v>
      </c>
      <c r="HQ11" s="4"/>
      <c r="HV11" s="60">
        <v>1000</v>
      </c>
      <c r="IQ11" s="4"/>
      <c r="IV11" s="60">
        <v>1000</v>
      </c>
      <c r="JQ11" s="4"/>
      <c r="JV11" s="60">
        <v>1000</v>
      </c>
      <c r="KQ11" s="4"/>
      <c r="KV11" s="60">
        <v>1000</v>
      </c>
      <c r="LQ11" s="4"/>
      <c r="LV11" s="60">
        <v>1000</v>
      </c>
      <c r="MQ11" s="4"/>
      <c r="MV11" s="60">
        <v>1000</v>
      </c>
      <c r="NQ11" s="4"/>
      <c r="NV11" s="60">
        <v>1000</v>
      </c>
      <c r="OQ11" s="4"/>
      <c r="OV11" s="60">
        <v>1000</v>
      </c>
    </row>
    <row r="12" spans="1:439" ht="17" x14ac:dyDescent="0.2">
      <c r="A12" s="5"/>
      <c r="B12" s="42" t="s">
        <v>39</v>
      </c>
      <c r="C12" s="22"/>
      <c r="O12" s="11"/>
      <c r="P12" s="11"/>
      <c r="Q12" s="11"/>
      <c r="AM12" s="4"/>
      <c r="AR12" s="61">
        <v>41.7</v>
      </c>
      <c r="BN12" s="4"/>
      <c r="BS12" s="61">
        <v>41.7</v>
      </c>
      <c r="CO12" s="4"/>
      <c r="CT12" s="61">
        <v>41.7</v>
      </c>
      <c r="DQ12" s="4"/>
      <c r="DV12" s="61">
        <v>42</v>
      </c>
      <c r="EQ12" s="4"/>
      <c r="EV12" s="61">
        <v>41.7</v>
      </c>
      <c r="FQ12" s="4"/>
      <c r="FV12" s="61">
        <v>41.7</v>
      </c>
      <c r="GQ12" s="4"/>
      <c r="GV12" s="61">
        <v>41.7</v>
      </c>
      <c r="HQ12" s="4"/>
      <c r="HV12" s="61">
        <v>41.7</v>
      </c>
      <c r="IQ12" s="4"/>
      <c r="IV12" s="61">
        <v>41.7</v>
      </c>
      <c r="JQ12" s="4"/>
      <c r="JV12" s="61">
        <v>41.7</v>
      </c>
      <c r="KQ12" s="4"/>
      <c r="KV12" s="61">
        <v>41.7</v>
      </c>
      <c r="LQ12" s="4"/>
      <c r="LV12" s="61">
        <v>41.7</v>
      </c>
      <c r="MQ12" s="4"/>
      <c r="MV12" s="61">
        <v>41.7</v>
      </c>
      <c r="NQ12" s="4"/>
      <c r="NV12" s="61">
        <v>41.7</v>
      </c>
      <c r="OQ12" s="4"/>
      <c r="OV12" s="61">
        <v>41.7</v>
      </c>
    </row>
    <row r="13" spans="1:439" ht="17" hidden="1" x14ac:dyDescent="0.2">
      <c r="A13" s="5"/>
      <c r="B13" s="29" t="s">
        <v>40</v>
      </c>
      <c r="C13" s="22"/>
      <c r="O13" s="11"/>
      <c r="P13" s="11"/>
      <c r="Q13" s="11"/>
      <c r="AM13" s="4"/>
      <c r="AR13" s="62">
        <v>43.4</v>
      </c>
      <c r="BN13" s="4"/>
      <c r="BS13" s="62">
        <v>43.4</v>
      </c>
      <c r="CO13" s="4"/>
      <c r="CT13" s="62">
        <v>43.4</v>
      </c>
      <c r="DQ13" s="4"/>
      <c r="DV13" s="62">
        <v>43.4</v>
      </c>
      <c r="EQ13" s="4"/>
      <c r="EV13" s="62">
        <v>43.4</v>
      </c>
      <c r="FQ13" s="4"/>
      <c r="FV13" s="62">
        <v>43.4</v>
      </c>
      <c r="GQ13" s="4"/>
      <c r="GV13" s="62">
        <v>43.4</v>
      </c>
      <c r="HQ13" s="4"/>
      <c r="HV13" s="62">
        <v>43.4</v>
      </c>
      <c r="IQ13" s="4"/>
      <c r="IV13" s="62">
        <v>43.4</v>
      </c>
      <c r="JQ13" s="4"/>
      <c r="JV13" s="62">
        <v>43.4</v>
      </c>
      <c r="KQ13" s="4"/>
      <c r="KV13" s="62">
        <v>43.4</v>
      </c>
      <c r="LQ13" s="4"/>
      <c r="LV13" s="62">
        <v>43.4</v>
      </c>
      <c r="MQ13" s="4"/>
      <c r="MV13" s="62">
        <v>43.4</v>
      </c>
      <c r="NQ13" s="4"/>
      <c r="NV13" s="62">
        <v>43.4</v>
      </c>
      <c r="OQ13" s="4"/>
      <c r="OV13" s="62">
        <v>43.4</v>
      </c>
    </row>
    <row r="14" spans="1:439" ht="17" x14ac:dyDescent="0.2">
      <c r="A14" s="5"/>
      <c r="B14" s="40" t="s">
        <v>53</v>
      </c>
      <c r="C14" s="22"/>
      <c r="O14" s="11"/>
      <c r="P14" s="11"/>
      <c r="Q14" s="11"/>
      <c r="AM14" s="4"/>
      <c r="AR14" s="63">
        <v>42.5</v>
      </c>
      <c r="BN14" s="4"/>
      <c r="BS14" s="63">
        <v>42.5</v>
      </c>
      <c r="CO14" s="4"/>
      <c r="CT14" s="63">
        <v>42.5</v>
      </c>
      <c r="DQ14" s="4"/>
      <c r="DV14" s="63">
        <v>43.4</v>
      </c>
      <c r="EQ14" s="4"/>
      <c r="EV14" s="63">
        <v>42.5</v>
      </c>
      <c r="FQ14" s="4"/>
      <c r="FV14" s="63">
        <v>42.5</v>
      </c>
      <c r="GQ14" s="4"/>
      <c r="GV14" s="63">
        <v>42.5</v>
      </c>
      <c r="HQ14" s="4"/>
      <c r="HV14" s="63">
        <v>42.5</v>
      </c>
      <c r="IQ14" s="4"/>
      <c r="IV14" s="63">
        <v>42.5</v>
      </c>
      <c r="JQ14" s="4"/>
      <c r="JV14" s="63">
        <v>42.5</v>
      </c>
      <c r="KQ14" s="4"/>
      <c r="KV14" s="63">
        <v>42.5</v>
      </c>
      <c r="LQ14" s="4"/>
      <c r="LV14" s="63">
        <v>42.5</v>
      </c>
      <c r="MQ14" s="4"/>
      <c r="MV14" s="63">
        <v>42.5</v>
      </c>
      <c r="NQ14" s="4"/>
      <c r="NV14" s="63">
        <v>42.5</v>
      </c>
      <c r="OQ14" s="4"/>
      <c r="OV14" s="63">
        <v>42.5</v>
      </c>
    </row>
    <row r="15" spans="1:439" ht="17" hidden="1" x14ac:dyDescent="0.2">
      <c r="A15" s="5"/>
      <c r="B15" s="30" t="s">
        <v>26</v>
      </c>
      <c r="C15" s="22"/>
      <c r="O15" s="11"/>
      <c r="P15" s="11"/>
      <c r="Q15" s="11"/>
      <c r="AM15" s="4"/>
      <c r="AR15" s="64">
        <v>1000</v>
      </c>
      <c r="BN15" s="4"/>
      <c r="BS15" s="64">
        <v>1000</v>
      </c>
      <c r="CO15" s="4"/>
      <c r="CT15" s="64">
        <v>1000</v>
      </c>
      <c r="DQ15" s="4"/>
      <c r="DV15" s="64">
        <v>1000</v>
      </c>
      <c r="EQ15" s="4"/>
      <c r="EV15" s="64">
        <v>1000</v>
      </c>
      <c r="FQ15" s="4"/>
      <c r="FV15" s="64">
        <v>1000</v>
      </c>
      <c r="GQ15" s="4"/>
      <c r="GV15" s="64">
        <v>1000</v>
      </c>
      <c r="HQ15" s="4"/>
      <c r="HV15" s="64">
        <v>1000</v>
      </c>
      <c r="IQ15" s="4"/>
      <c r="IV15" s="64">
        <v>1000</v>
      </c>
      <c r="JQ15" s="4"/>
      <c r="JV15" s="64">
        <v>1000</v>
      </c>
      <c r="KQ15" s="4"/>
      <c r="KV15" s="64">
        <v>1000</v>
      </c>
      <c r="LQ15" s="4"/>
      <c r="LV15" s="64">
        <v>1000</v>
      </c>
      <c r="MQ15" s="4"/>
      <c r="MV15" s="64">
        <v>1000</v>
      </c>
      <c r="NQ15" s="4"/>
      <c r="NV15" s="64">
        <v>1000</v>
      </c>
      <c r="OQ15" s="4"/>
      <c r="OV15" s="64">
        <v>1000</v>
      </c>
    </row>
    <row r="16" spans="1:439" x14ac:dyDescent="0.2">
      <c r="B16" s="34" t="s">
        <v>45</v>
      </c>
      <c r="C16" s="2"/>
    </row>
    <row r="17" spans="1:3" x14ac:dyDescent="0.2">
      <c r="A17" s="5"/>
      <c r="B17" s="5"/>
      <c r="C17" s="22"/>
    </row>
    <row r="18" spans="1:3" x14ac:dyDescent="0.2">
      <c r="A18" s="5"/>
      <c r="B18" s="5"/>
      <c r="C18" s="22"/>
    </row>
    <row r="19" spans="1:3" x14ac:dyDescent="0.2">
      <c r="A19" s="5"/>
      <c r="B19" s="5"/>
      <c r="C19" s="22"/>
    </row>
    <row r="20" spans="1:3" x14ac:dyDescent="0.2">
      <c r="A20" s="5"/>
      <c r="B20" s="5"/>
      <c r="C20" s="5"/>
    </row>
  </sheetData>
  <sheetProtection sheet="1" formatCells="0" formatColumns="0" formatRows="0"/>
  <autoFilter ref="A1:PW4" xr:uid="{BB9C3AB3-2D15-174E-B900-3E2F789706E1}"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8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sortState xmlns:xlrd2="http://schemas.microsoft.com/office/spreadsheetml/2017/richdata2" ref="A4:PW5">
      <sortCondition descending="1" ref="F1:F6"/>
    </sortState>
  </autoFilter>
  <mergeCells count="114">
    <mergeCell ref="PE2:PH2"/>
    <mergeCell ref="PI2:PL2"/>
    <mergeCell ref="PM2:PP2"/>
    <mergeCell ref="OA2:OD2"/>
    <mergeCell ref="OE2:OH2"/>
    <mergeCell ref="OI2:OL2"/>
    <mergeCell ref="OM2:OP2"/>
    <mergeCell ref="OW2:OZ2"/>
    <mergeCell ref="PA2:PD2"/>
    <mergeCell ref="MW2:MZ2"/>
    <mergeCell ref="NA2:ND2"/>
    <mergeCell ref="NE2:NH2"/>
    <mergeCell ref="NI2:NL2"/>
    <mergeCell ref="NM2:NP2"/>
    <mergeCell ref="NW2:NZ2"/>
    <mergeCell ref="LM2:LP2"/>
    <mergeCell ref="LW2:LZ2"/>
    <mergeCell ref="MA2:MD2"/>
    <mergeCell ref="ME2:MH2"/>
    <mergeCell ref="MI2:ML2"/>
    <mergeCell ref="MM2:MP2"/>
    <mergeCell ref="KW2:KZ2"/>
    <mergeCell ref="LA2:LD2"/>
    <mergeCell ref="LE2:LH2"/>
    <mergeCell ref="LI2:LL2"/>
    <mergeCell ref="JE2:JH2"/>
    <mergeCell ref="JI2:JL2"/>
    <mergeCell ref="JM2:JP2"/>
    <mergeCell ref="JW2:JZ2"/>
    <mergeCell ref="KA2:KD2"/>
    <mergeCell ref="KE2:KH2"/>
    <mergeCell ref="JA2:JD2"/>
    <mergeCell ref="GW2:GZ2"/>
    <mergeCell ref="HA2:HD2"/>
    <mergeCell ref="HE2:HH2"/>
    <mergeCell ref="HI2:HL2"/>
    <mergeCell ref="HM2:HP2"/>
    <mergeCell ref="HW2:HZ2"/>
    <mergeCell ref="KI2:KL2"/>
    <mergeCell ref="KM2:KP2"/>
    <mergeCell ref="EW2:EZ2"/>
    <mergeCell ref="FA2:FD2"/>
    <mergeCell ref="FE2:FH2"/>
    <mergeCell ref="FI2:FL2"/>
    <mergeCell ref="IA2:ID2"/>
    <mergeCell ref="IE2:IH2"/>
    <mergeCell ref="II2:IL2"/>
    <mergeCell ref="IM2:IP2"/>
    <mergeCell ref="IW2:IZ2"/>
    <mergeCell ref="BT2:BW2"/>
    <mergeCell ref="KW1:LV1"/>
    <mergeCell ref="LW1:MV1"/>
    <mergeCell ref="MW1:NV1"/>
    <mergeCell ref="DE2:DH2"/>
    <mergeCell ref="DI2:DL2"/>
    <mergeCell ref="DM2:DP2"/>
    <mergeCell ref="DW2:DZ2"/>
    <mergeCell ref="EA2:ED2"/>
    <mergeCell ref="EE2:EH2"/>
    <mergeCell ref="BX2:CA2"/>
    <mergeCell ref="CB2:CE2"/>
    <mergeCell ref="CF2:CI2"/>
    <mergeCell ref="CJ2:CM2"/>
    <mergeCell ref="CW2:CZ2"/>
    <mergeCell ref="DA2:DD2"/>
    <mergeCell ref="FM2:FP2"/>
    <mergeCell ref="FW2:FZ2"/>
    <mergeCell ref="GA2:GD2"/>
    <mergeCell ref="GE2:GH2"/>
    <mergeCell ref="GI2:GL2"/>
    <mergeCell ref="GM2:GP2"/>
    <mergeCell ref="EI2:EL2"/>
    <mergeCell ref="EM2:EP2"/>
    <mergeCell ref="NW1:OV1"/>
    <mergeCell ref="OW1:PW1"/>
    <mergeCell ref="R2:U2"/>
    <mergeCell ref="V2:Y2"/>
    <mergeCell ref="Z2:AC2"/>
    <mergeCell ref="AD2:AG2"/>
    <mergeCell ref="AH2:AK2"/>
    <mergeCell ref="EW1:FV1"/>
    <mergeCell ref="FW1:GV1"/>
    <mergeCell ref="GW1:HV1"/>
    <mergeCell ref="HW1:IV1"/>
    <mergeCell ref="IW1:JV1"/>
    <mergeCell ref="JW1:KV1"/>
    <mergeCell ref="R1:AR1"/>
    <mergeCell ref="AS1:BS1"/>
    <mergeCell ref="BT1:CT1"/>
    <mergeCell ref="CU1:CV1"/>
    <mergeCell ref="CW1:DV1"/>
    <mergeCell ref="DW1:EV1"/>
    <mergeCell ref="AS2:AV2"/>
    <mergeCell ref="AW2:AZ2"/>
    <mergeCell ref="BA2:BD2"/>
    <mergeCell ref="BE2:BH2"/>
    <mergeCell ref="BI2:BL2"/>
    <mergeCell ref="O1:O3"/>
    <mergeCell ref="P1:P3"/>
    <mergeCell ref="Q1:Q3"/>
    <mergeCell ref="G1:G3"/>
    <mergeCell ref="H1:H3"/>
    <mergeCell ref="I1:I3"/>
    <mergeCell ref="J1:J3"/>
    <mergeCell ref="K1:K3"/>
    <mergeCell ref="A1:A3"/>
    <mergeCell ref="B1:B3"/>
    <mergeCell ref="C1:C3"/>
    <mergeCell ref="D1:D3"/>
    <mergeCell ref="E1:E3"/>
    <mergeCell ref="F1:F3"/>
    <mergeCell ref="L1:L3"/>
    <mergeCell ref="M1:M3"/>
    <mergeCell ref="N1:N3"/>
  </mergeCells>
  <conditionalFormatting sqref="R4:AR5">
    <cfRule type="expression" dxfId="83" priority="5" stopIfTrue="1">
      <formula>IF($AL4&lt;&gt;"",1,0)</formula>
    </cfRule>
  </conditionalFormatting>
  <conditionalFormatting sqref="AS4:BS5">
    <cfRule type="expression" dxfId="82" priority="10" stopIfTrue="1">
      <formula>IF($BM4&lt;&gt;"",1,0)</formula>
    </cfRule>
  </conditionalFormatting>
  <conditionalFormatting sqref="J1:J1048576 L1:L1048576 N1:N1048576">
    <cfRule type="expression" dxfId="81" priority="17">
      <formula>IF(J1=$BT$1,1,0)</formula>
    </cfRule>
    <cfRule type="expression" dxfId="80" priority="18">
      <formula>IF(J1=$AS$1,1,0)</formula>
    </cfRule>
    <cfRule type="expression" dxfId="79" priority="19">
      <formula>IF(J1=$R$1,1,0)</formula>
    </cfRule>
  </conditionalFormatting>
  <conditionalFormatting sqref="BT4:CT5">
    <cfRule type="expression" dxfId="78" priority="11" stopIfTrue="1">
      <formula>IF($CN4&lt;&gt;"",1,0)</formula>
    </cfRule>
  </conditionalFormatting>
  <conditionalFormatting sqref="A1:A1048576">
    <cfRule type="expression" dxfId="77" priority="20" stopIfTrue="1">
      <formula>AND(G1&lt;&gt;"",F1="")</formula>
    </cfRule>
  </conditionalFormatting>
  <conditionalFormatting sqref="H1:H1048576">
    <cfRule type="containsText" dxfId="76" priority="12" operator="containsText" text="No DD">
      <formula>NOT(ISERROR(SEARCH("No DD",H1)))</formula>
    </cfRule>
    <cfRule type="containsText" dxfId="75" priority="13" operator="containsText" text="Merit">
      <formula>NOT(ISERROR(SEARCH("Merit",H1)))</formula>
    </cfRule>
    <cfRule type="containsText" dxfId="74" priority="14" operator="containsText" text="Excellence">
      <formula>NOT(ISERROR(SEARCH("Excellence",H1)))</formula>
    </cfRule>
    <cfRule type="containsText" dxfId="73" priority="15" operator="containsText" text="Worlds Team">
      <formula>NOT(ISERROR(SEARCH("Worlds Team",H1)))</formula>
    </cfRule>
    <cfRule type="containsText" dxfId="72" priority="16" operator="containsText" text="National Team">
      <formula>NOT(ISERROR(SEARCH("National Team",H1)))</formula>
    </cfRule>
  </conditionalFormatting>
  <conditionalFormatting sqref="OQ1:OQ1048576 AM1:AM1048576 BN1:BN1048576 CO1:CO1048576 DQ1:DQ1048576 EQ1:EQ1048576 FQ1:FQ1048576 GQ1:GQ1048576 HQ1:HQ1048576 IQ1:IQ1048576 JQ1:JQ1048576 KQ1:KQ1048576 LQ1:LQ1048576 MQ1:MQ1048576 NQ1:NQ1048576">
    <cfRule type="cellIs" dxfId="71" priority="50426" operator="between">
      <formula>AR$11</formula>
      <formula>1000</formula>
    </cfRule>
    <cfRule type="cellIs" dxfId="70" priority="50427" operator="between">
      <formula>AR$10</formula>
      <formula>AR$11</formula>
    </cfRule>
    <cfRule type="cellIs" dxfId="69" priority="50428" operator="between">
      <formula>AR$9</formula>
      <formula>AR$10</formula>
    </cfRule>
    <cfRule type="cellIs" dxfId="68" priority="50429" operator="between">
      <formula>AR$8</formula>
      <formula>AR$9</formula>
    </cfRule>
  </conditionalFormatting>
  <conditionalFormatting sqref="OR1:OR1048576 AN1:AN1048576 BO1:BO1048576 CP1:CP1048576 DR1:DR1048576 ER1:ER1048576 FR1:FR1048576 GR1:GR1048576 HR1:HR1048576 IR1:IR1048576 JR1:JR1048576 KR1:KR1048576 LR1:LR1048576 MR1:MR1048576 NR1:NR1048576">
    <cfRule type="cellIs" dxfId="67" priority="50606" operator="between">
      <formula>AR$15</formula>
      <formula>1000</formula>
    </cfRule>
    <cfRule type="cellIs" dxfId="66" priority="50607" operator="between">
      <formula>AR$14</formula>
      <formula>AR$15</formula>
    </cfRule>
    <cfRule type="cellIs" dxfId="65" priority="50608" operator="between">
      <formula>AR$13</formula>
      <formula>AR$14</formula>
    </cfRule>
    <cfRule type="cellIs" dxfId="64" priority="50609" operator="between">
      <formula>AR$12</formula>
      <formula>AR$13</formula>
    </cfRule>
  </conditionalFormatting>
  <conditionalFormatting sqref="AP1:AP1048576 BQ1:BQ1048576 CR1:CR1048576 DT1:DT1048576 ET1:ET1048576 FT1:FT1048576 GT1:GT1048576 HT1:HT1048576 IT1:IT1048576 JT1:JT1048576 KT1:KT1048576 LT1:LT1048576 MT1:MT1048576 NT1:NT1048576 OT1:OT1048576">
    <cfRule type="cellIs" dxfId="63" priority="50786" operator="between">
      <formula>AR$8</formula>
      <formula>AR$9</formula>
    </cfRule>
    <cfRule type="cellIs" dxfId="62" priority="50787" operator="between">
      <formula>AR$9</formula>
      <formula>AR$10</formula>
    </cfRule>
    <cfRule type="cellIs" dxfId="61" priority="50788" operator="between">
      <formula>AR$10</formula>
      <formula>AR$11</formula>
    </cfRule>
    <cfRule type="cellIs" dxfId="60" priority="50789" operator="between">
      <formula>AR$11</formula>
      <formula>1000</formula>
    </cfRule>
  </conditionalFormatting>
  <conditionalFormatting sqref="AQ1:AQ1048576 BR1:BR1048576 CS1:CS1048576 DU1:DU1048576 EU1:EU1048576 FU1:FU1048576 GU1:GU1048576 HU1:HU1048576 IU1:IU1048576 JU1:JU1048576 KU1:KU1048576 LU1:LU1048576 MU1:MU1048576 NU1:NU1048576 OU1:OU1048576">
    <cfRule type="cellIs" dxfId="59" priority="50966" operator="between">
      <formula>AR$12</formula>
      <formula>AR$13</formula>
    </cfRule>
    <cfRule type="cellIs" dxfId="58" priority="50967" operator="between">
      <formula>AR$13</formula>
      <formula>AR$14</formula>
    </cfRule>
    <cfRule type="cellIs" dxfId="57" priority="50968" operator="between">
      <formula>AR$14</formula>
      <formula>AR$15</formula>
    </cfRule>
    <cfRule type="cellIs" dxfId="56" priority="50969" operator="between">
      <formula>AR$15</formula>
      <formula>1000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381935-3E78-E34D-9EE7-56EB07CD630F}">
  <sheetPr codeName="Sheet13"/>
  <dimension ref="A1:PW26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47" bestFit="1" customWidth="1"/>
    <col min="10" max="10" width="27.5" bestFit="1" customWidth="1"/>
    <col min="11" max="11" width="10.5" customWidth="1"/>
    <col min="12" max="12" width="27.5" bestFit="1" customWidth="1"/>
    <col min="14" max="14" width="27.5" bestFit="1" customWidth="1"/>
    <col min="15" max="15" width="24.6640625" bestFit="1" customWidth="1"/>
    <col min="16" max="16" width="13" bestFit="1" customWidth="1"/>
    <col min="17" max="17" width="33.33203125" bestFit="1" customWidth="1"/>
    <col min="18" max="38" width="10.83203125" hidden="1" customWidth="1"/>
    <col min="39" max="44" width="10.83203125" style="47" customWidth="1"/>
    <col min="45" max="65" width="10.83203125" hidden="1" customWidth="1"/>
    <col min="66" max="71" width="10.83203125" style="47" customWidth="1"/>
    <col min="72" max="92" width="10.83203125" hidden="1" customWidth="1"/>
    <col min="93" max="98" width="10.83203125" style="47" customWidth="1"/>
    <col min="99" max="100" width="10.83203125" style="47"/>
    <col min="101" max="120" width="10.83203125" hidden="1" customWidth="1"/>
    <col min="121" max="126" width="10.83203125" style="47" customWidth="1"/>
    <col min="127" max="146" width="10.83203125" hidden="1" customWidth="1"/>
    <col min="147" max="152" width="10.83203125" style="47" customWidth="1"/>
    <col min="153" max="172" width="10.83203125" hidden="1" customWidth="1"/>
    <col min="173" max="178" width="10.83203125" style="47" customWidth="1"/>
    <col min="179" max="198" width="10.83203125" hidden="1" customWidth="1"/>
    <col min="199" max="204" width="10.83203125" style="47" customWidth="1"/>
    <col min="205" max="224" width="10.83203125" hidden="1" customWidth="1"/>
    <col min="225" max="230" width="10.83203125" style="47" hidden="1" customWidth="1"/>
    <col min="231" max="250" width="10.83203125" hidden="1" customWidth="1"/>
    <col min="251" max="256" width="10.83203125" style="47" hidden="1" customWidth="1"/>
    <col min="257" max="276" width="10.83203125" hidden="1" customWidth="1"/>
    <col min="277" max="282" width="10.83203125" style="47" hidden="1" customWidth="1"/>
    <col min="283" max="302" width="10.83203125" hidden="1" customWidth="1"/>
    <col min="303" max="308" width="10.83203125" style="47" hidden="1" customWidth="1"/>
    <col min="309" max="328" width="10.83203125" hidden="1" customWidth="1"/>
    <col min="329" max="334" width="10.83203125" style="47" hidden="1" customWidth="1"/>
    <col min="335" max="354" width="10.83203125" hidden="1" customWidth="1"/>
    <col min="355" max="360" width="10.83203125" style="47" hidden="1" customWidth="1"/>
    <col min="361" max="380" width="10.83203125" hidden="1" customWidth="1"/>
    <col min="381" max="386" width="10.83203125" style="47" hidden="1" customWidth="1"/>
    <col min="387" max="406" width="10.83203125" hidden="1" customWidth="1"/>
    <col min="407" max="412" width="10.83203125" style="47" hidden="1" customWidth="1"/>
    <col min="413" max="433" width="10.83203125" hidden="1" customWidth="1"/>
    <col min="434" max="439" width="10.83203125" style="47" hidden="1" customWidth="1"/>
  </cols>
  <sheetData>
    <row r="1" spans="1:439" ht="16" customHeight="1" x14ac:dyDescent="0.2">
      <c r="A1" s="73" t="s">
        <v>1</v>
      </c>
      <c r="B1" s="73" t="s">
        <v>21</v>
      </c>
      <c r="C1" s="73" t="s">
        <v>0</v>
      </c>
      <c r="D1" s="73" t="s">
        <v>46</v>
      </c>
      <c r="E1" s="73" t="s">
        <v>2</v>
      </c>
      <c r="F1" s="74" t="s">
        <v>52</v>
      </c>
      <c r="G1" s="74" t="s">
        <v>5</v>
      </c>
      <c r="H1" s="73" t="s">
        <v>6</v>
      </c>
      <c r="I1" s="78" t="s">
        <v>69</v>
      </c>
      <c r="J1" s="75" t="s">
        <v>24</v>
      </c>
      <c r="K1" s="78" t="s">
        <v>70</v>
      </c>
      <c r="L1" s="75" t="s">
        <v>24</v>
      </c>
      <c r="M1" s="75" t="s">
        <v>9</v>
      </c>
      <c r="N1" s="75" t="s">
        <v>24</v>
      </c>
      <c r="O1" s="76" t="s">
        <v>10</v>
      </c>
      <c r="P1" s="75" t="s">
        <v>25</v>
      </c>
      <c r="Q1" s="75" t="s">
        <v>24</v>
      </c>
      <c r="R1" s="70" t="s">
        <v>90</v>
      </c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2" t="s">
        <v>94</v>
      </c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0" t="s">
        <v>107</v>
      </c>
      <c r="BU1" s="70"/>
      <c r="BV1" s="70"/>
      <c r="BW1" s="70"/>
      <c r="BX1" s="70"/>
      <c r="BY1" s="70"/>
      <c r="BZ1" s="70"/>
      <c r="CA1" s="70"/>
      <c r="CB1" s="70"/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7" t="s">
        <v>51</v>
      </c>
      <c r="CV1" s="77"/>
      <c r="CW1" s="70" t="s">
        <v>84</v>
      </c>
      <c r="CX1" s="70"/>
      <c r="CY1" s="70"/>
      <c r="CZ1" s="70"/>
      <c r="DA1" s="70"/>
      <c r="DB1" s="70"/>
      <c r="DC1" s="70"/>
      <c r="DD1" s="70"/>
      <c r="DE1" s="70"/>
      <c r="DF1" s="70"/>
      <c r="DG1" s="70"/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2" t="s">
        <v>93</v>
      </c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0" t="s">
        <v>92</v>
      </c>
      <c r="EX1" s="70"/>
      <c r="EY1" s="70"/>
      <c r="EZ1" s="70"/>
      <c r="FA1" s="70"/>
      <c r="FB1" s="70"/>
      <c r="FC1" s="70"/>
      <c r="FD1" s="70"/>
      <c r="FE1" s="70"/>
      <c r="FF1" s="70"/>
      <c r="FG1" s="70"/>
      <c r="FH1" s="70"/>
      <c r="FI1" s="70"/>
      <c r="FJ1" s="70"/>
      <c r="FK1" s="70"/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2" t="s">
        <v>109</v>
      </c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2"/>
      <c r="GU1" s="72"/>
      <c r="GV1" s="72"/>
      <c r="GW1" s="70"/>
      <c r="GX1" s="70"/>
      <c r="GY1" s="70"/>
      <c r="GZ1" s="70"/>
      <c r="HA1" s="70"/>
      <c r="HB1" s="70"/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70"/>
      <c r="HO1" s="70"/>
      <c r="HP1" s="70"/>
      <c r="HQ1" s="70"/>
      <c r="HR1" s="70"/>
      <c r="HS1" s="70"/>
      <c r="HT1" s="70"/>
      <c r="HU1" s="70"/>
      <c r="HV1" s="70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2"/>
      <c r="IR1" s="72"/>
      <c r="IS1" s="72"/>
      <c r="IT1" s="72"/>
      <c r="IU1" s="72"/>
      <c r="IV1" s="72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0"/>
      <c r="JQ1" s="70"/>
      <c r="JR1" s="70"/>
      <c r="JS1" s="70"/>
      <c r="JT1" s="70"/>
      <c r="JU1" s="70"/>
      <c r="JV1" s="70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0"/>
      <c r="KX1" s="70"/>
      <c r="KY1" s="70"/>
      <c r="KZ1" s="70"/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70"/>
      <c r="LW1" s="72"/>
      <c r="LX1" s="72"/>
      <c r="LY1" s="72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0"/>
      <c r="MX1" s="70"/>
      <c r="MY1" s="70"/>
      <c r="MZ1" s="70"/>
      <c r="NA1" s="70"/>
      <c r="NB1" s="70"/>
      <c r="NC1" s="70"/>
      <c r="ND1" s="70"/>
      <c r="NE1" s="70"/>
      <c r="NF1" s="70"/>
      <c r="NG1" s="70"/>
      <c r="NH1" s="70"/>
      <c r="NI1" s="70"/>
      <c r="NJ1" s="70"/>
      <c r="NK1" s="70"/>
      <c r="NL1" s="70"/>
      <c r="NM1" s="70"/>
      <c r="NN1" s="70"/>
      <c r="NO1" s="70"/>
      <c r="NP1" s="70"/>
      <c r="NQ1" s="70"/>
      <c r="NR1" s="70"/>
      <c r="NS1" s="70"/>
      <c r="NT1" s="70"/>
      <c r="NU1" s="70"/>
      <c r="NV1" s="70"/>
      <c r="NW1" s="72"/>
      <c r="NX1" s="72"/>
      <c r="NY1" s="72"/>
      <c r="NZ1" s="72"/>
      <c r="OA1" s="72"/>
      <c r="OB1" s="72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0" t="s">
        <v>55</v>
      </c>
      <c r="OX1" s="70"/>
      <c r="OY1" s="70"/>
      <c r="OZ1" s="70"/>
      <c r="PA1" s="70"/>
      <c r="PB1" s="70"/>
      <c r="PC1" s="70"/>
      <c r="PD1" s="70"/>
      <c r="PE1" s="70"/>
      <c r="PF1" s="70"/>
      <c r="PG1" s="70"/>
      <c r="PH1" s="70"/>
      <c r="PI1" s="70"/>
      <c r="PJ1" s="70"/>
      <c r="PK1" s="70"/>
      <c r="PL1" s="70"/>
      <c r="PM1" s="70"/>
      <c r="PN1" s="70"/>
      <c r="PO1" s="70"/>
      <c r="PP1" s="70"/>
      <c r="PQ1" s="70"/>
      <c r="PR1" s="70"/>
      <c r="PS1" s="70"/>
      <c r="PT1" s="70"/>
      <c r="PU1" s="70"/>
      <c r="PV1" s="70"/>
      <c r="PW1" s="70"/>
    </row>
    <row r="2" spans="1:439" x14ac:dyDescent="0.2">
      <c r="A2" s="73"/>
      <c r="B2" s="73"/>
      <c r="C2" s="73"/>
      <c r="D2" s="73"/>
      <c r="E2" s="73"/>
      <c r="F2" s="74"/>
      <c r="G2" s="74"/>
      <c r="H2" s="73"/>
      <c r="I2" s="78"/>
      <c r="J2" s="75"/>
      <c r="K2" s="78"/>
      <c r="L2" s="75"/>
      <c r="M2" s="75"/>
      <c r="N2" s="75"/>
      <c r="O2" s="76"/>
      <c r="P2" s="75"/>
      <c r="Q2" s="75"/>
      <c r="R2" s="69" t="s">
        <v>71</v>
      </c>
      <c r="S2" s="69"/>
      <c r="T2" s="69"/>
      <c r="U2" s="69"/>
      <c r="V2" s="69" t="s">
        <v>72</v>
      </c>
      <c r="W2" s="69"/>
      <c r="X2" s="69"/>
      <c r="Y2" s="69"/>
      <c r="Z2" s="69" t="s">
        <v>73</v>
      </c>
      <c r="AA2" s="69"/>
      <c r="AB2" s="69"/>
      <c r="AC2" s="69"/>
      <c r="AD2" s="69" t="s">
        <v>74</v>
      </c>
      <c r="AE2" s="69"/>
      <c r="AF2" s="69"/>
      <c r="AG2" s="69"/>
      <c r="AH2" s="79" t="s">
        <v>75</v>
      </c>
      <c r="AI2" s="79"/>
      <c r="AJ2" s="79"/>
      <c r="AK2" s="79"/>
      <c r="AL2" s="16"/>
      <c r="AM2" s="16" t="s">
        <v>76</v>
      </c>
      <c r="AN2" s="16" t="s">
        <v>77</v>
      </c>
      <c r="AO2" s="16" t="s">
        <v>73</v>
      </c>
      <c r="AP2" s="16" t="s">
        <v>56</v>
      </c>
      <c r="AQ2" s="16" t="s">
        <v>78</v>
      </c>
      <c r="AR2" s="16" t="s">
        <v>14</v>
      </c>
      <c r="AS2" s="71" t="s">
        <v>71</v>
      </c>
      <c r="AT2" s="71"/>
      <c r="AU2" s="71"/>
      <c r="AV2" s="71"/>
      <c r="AW2" s="71" t="s">
        <v>72</v>
      </c>
      <c r="AX2" s="71"/>
      <c r="AY2" s="71"/>
      <c r="AZ2" s="71"/>
      <c r="BA2" s="71" t="s">
        <v>73</v>
      </c>
      <c r="BB2" s="71"/>
      <c r="BC2" s="71"/>
      <c r="BD2" s="71"/>
      <c r="BE2" s="71" t="s">
        <v>74</v>
      </c>
      <c r="BF2" s="71"/>
      <c r="BG2" s="71"/>
      <c r="BH2" s="71"/>
      <c r="BI2" s="80" t="s">
        <v>75</v>
      </c>
      <c r="BJ2" s="80"/>
      <c r="BK2" s="80"/>
      <c r="BL2" s="80"/>
      <c r="BM2" s="17"/>
      <c r="BN2" s="17" t="s">
        <v>76</v>
      </c>
      <c r="BO2" s="17" t="s">
        <v>77</v>
      </c>
      <c r="BP2" s="17" t="s">
        <v>73</v>
      </c>
      <c r="BQ2" s="17" t="s">
        <v>56</v>
      </c>
      <c r="BR2" s="17" t="s">
        <v>78</v>
      </c>
      <c r="BS2" s="17" t="s">
        <v>14</v>
      </c>
      <c r="BT2" s="69" t="s">
        <v>71</v>
      </c>
      <c r="BU2" s="69"/>
      <c r="BV2" s="69"/>
      <c r="BW2" s="69"/>
      <c r="BX2" s="69" t="s">
        <v>72</v>
      </c>
      <c r="BY2" s="69"/>
      <c r="BZ2" s="69"/>
      <c r="CA2" s="69"/>
      <c r="CB2" s="69" t="s">
        <v>73</v>
      </c>
      <c r="CC2" s="69"/>
      <c r="CD2" s="69"/>
      <c r="CE2" s="69"/>
      <c r="CF2" s="69" t="s">
        <v>74</v>
      </c>
      <c r="CG2" s="69"/>
      <c r="CH2" s="69"/>
      <c r="CI2" s="69"/>
      <c r="CJ2" s="79" t="s">
        <v>75</v>
      </c>
      <c r="CK2" s="79"/>
      <c r="CL2" s="79"/>
      <c r="CM2" s="79"/>
      <c r="CN2" s="16"/>
      <c r="CO2" s="16" t="s">
        <v>76</v>
      </c>
      <c r="CP2" s="16" t="s">
        <v>77</v>
      </c>
      <c r="CQ2" s="16" t="s">
        <v>73</v>
      </c>
      <c r="CR2" s="16" t="s">
        <v>56</v>
      </c>
      <c r="CS2" s="16" t="s">
        <v>78</v>
      </c>
      <c r="CT2" s="16" t="s">
        <v>14</v>
      </c>
      <c r="CU2" s="54" t="s">
        <v>77</v>
      </c>
      <c r="CV2" s="54" t="s">
        <v>19</v>
      </c>
      <c r="CW2" s="69" t="s">
        <v>71</v>
      </c>
      <c r="CX2" s="69"/>
      <c r="CY2" s="69"/>
      <c r="CZ2" s="69"/>
      <c r="DA2" s="69" t="s">
        <v>72</v>
      </c>
      <c r="DB2" s="69"/>
      <c r="DC2" s="69"/>
      <c r="DD2" s="69"/>
      <c r="DE2" s="69" t="s">
        <v>73</v>
      </c>
      <c r="DF2" s="69"/>
      <c r="DG2" s="69"/>
      <c r="DH2" s="69"/>
      <c r="DI2" s="69" t="s">
        <v>74</v>
      </c>
      <c r="DJ2" s="69"/>
      <c r="DK2" s="69"/>
      <c r="DL2" s="69"/>
      <c r="DM2" s="81" t="s">
        <v>75</v>
      </c>
      <c r="DN2" s="81"/>
      <c r="DO2" s="81"/>
      <c r="DP2" s="81"/>
      <c r="DQ2" s="16" t="s">
        <v>76</v>
      </c>
      <c r="DR2" s="16" t="s">
        <v>77</v>
      </c>
      <c r="DS2" s="16" t="s">
        <v>73</v>
      </c>
      <c r="DT2" s="16" t="s">
        <v>56</v>
      </c>
      <c r="DU2" s="16" t="s">
        <v>78</v>
      </c>
      <c r="DV2" s="16" t="s">
        <v>14</v>
      </c>
      <c r="DW2" s="71" t="s">
        <v>71</v>
      </c>
      <c r="DX2" s="71"/>
      <c r="DY2" s="71"/>
      <c r="DZ2" s="71"/>
      <c r="EA2" s="71" t="s">
        <v>72</v>
      </c>
      <c r="EB2" s="71"/>
      <c r="EC2" s="71"/>
      <c r="ED2" s="71"/>
      <c r="EE2" s="71" t="s">
        <v>73</v>
      </c>
      <c r="EF2" s="71"/>
      <c r="EG2" s="71"/>
      <c r="EH2" s="71"/>
      <c r="EI2" s="71" t="s">
        <v>74</v>
      </c>
      <c r="EJ2" s="71"/>
      <c r="EK2" s="71"/>
      <c r="EL2" s="71"/>
      <c r="EM2" s="80" t="s">
        <v>75</v>
      </c>
      <c r="EN2" s="80"/>
      <c r="EO2" s="80"/>
      <c r="EP2" s="80"/>
      <c r="EQ2" s="17" t="s">
        <v>76</v>
      </c>
      <c r="ER2" s="17" t="s">
        <v>77</v>
      </c>
      <c r="ES2" s="17" t="s">
        <v>73</v>
      </c>
      <c r="ET2" s="17" t="s">
        <v>56</v>
      </c>
      <c r="EU2" s="17" t="s">
        <v>78</v>
      </c>
      <c r="EV2" s="17" t="s">
        <v>14</v>
      </c>
      <c r="EW2" s="69" t="s">
        <v>71</v>
      </c>
      <c r="EX2" s="69"/>
      <c r="EY2" s="69"/>
      <c r="EZ2" s="69"/>
      <c r="FA2" s="69" t="s">
        <v>72</v>
      </c>
      <c r="FB2" s="69"/>
      <c r="FC2" s="69"/>
      <c r="FD2" s="69"/>
      <c r="FE2" s="69" t="s">
        <v>73</v>
      </c>
      <c r="FF2" s="69"/>
      <c r="FG2" s="69"/>
      <c r="FH2" s="69"/>
      <c r="FI2" s="69" t="s">
        <v>74</v>
      </c>
      <c r="FJ2" s="69"/>
      <c r="FK2" s="69"/>
      <c r="FL2" s="69"/>
      <c r="FM2" s="81" t="s">
        <v>75</v>
      </c>
      <c r="FN2" s="81"/>
      <c r="FO2" s="81"/>
      <c r="FP2" s="81"/>
      <c r="FQ2" s="16" t="s">
        <v>76</v>
      </c>
      <c r="FR2" s="16" t="s">
        <v>77</v>
      </c>
      <c r="FS2" s="16" t="s">
        <v>73</v>
      </c>
      <c r="FT2" s="16" t="s">
        <v>56</v>
      </c>
      <c r="FU2" s="16" t="s">
        <v>78</v>
      </c>
      <c r="FV2" s="16" t="s">
        <v>14</v>
      </c>
      <c r="FW2" s="71" t="s">
        <v>71</v>
      </c>
      <c r="FX2" s="71"/>
      <c r="FY2" s="71"/>
      <c r="FZ2" s="71"/>
      <c r="GA2" s="71" t="s">
        <v>72</v>
      </c>
      <c r="GB2" s="71"/>
      <c r="GC2" s="71"/>
      <c r="GD2" s="71"/>
      <c r="GE2" s="71" t="s">
        <v>73</v>
      </c>
      <c r="GF2" s="71"/>
      <c r="GG2" s="71"/>
      <c r="GH2" s="71"/>
      <c r="GI2" s="71" t="s">
        <v>74</v>
      </c>
      <c r="GJ2" s="71"/>
      <c r="GK2" s="71"/>
      <c r="GL2" s="71"/>
      <c r="GM2" s="80" t="s">
        <v>75</v>
      </c>
      <c r="GN2" s="80"/>
      <c r="GO2" s="80"/>
      <c r="GP2" s="80"/>
      <c r="GQ2" s="17" t="s">
        <v>76</v>
      </c>
      <c r="GR2" s="17" t="s">
        <v>77</v>
      </c>
      <c r="GS2" s="17" t="s">
        <v>73</v>
      </c>
      <c r="GT2" s="17" t="s">
        <v>56</v>
      </c>
      <c r="GU2" s="17" t="s">
        <v>78</v>
      </c>
      <c r="GV2" s="17" t="s">
        <v>14</v>
      </c>
      <c r="GW2" s="69" t="s">
        <v>71</v>
      </c>
      <c r="GX2" s="69"/>
      <c r="GY2" s="69"/>
      <c r="GZ2" s="69"/>
      <c r="HA2" s="69" t="s">
        <v>72</v>
      </c>
      <c r="HB2" s="69"/>
      <c r="HC2" s="69"/>
      <c r="HD2" s="69"/>
      <c r="HE2" s="69" t="s">
        <v>73</v>
      </c>
      <c r="HF2" s="69"/>
      <c r="HG2" s="69"/>
      <c r="HH2" s="69"/>
      <c r="HI2" s="69" t="s">
        <v>74</v>
      </c>
      <c r="HJ2" s="69"/>
      <c r="HK2" s="69"/>
      <c r="HL2" s="69"/>
      <c r="HM2" s="81" t="s">
        <v>75</v>
      </c>
      <c r="HN2" s="81"/>
      <c r="HO2" s="81"/>
      <c r="HP2" s="81"/>
      <c r="HQ2" s="16" t="s">
        <v>76</v>
      </c>
      <c r="HR2" s="16" t="s">
        <v>77</v>
      </c>
      <c r="HS2" s="16" t="s">
        <v>73</v>
      </c>
      <c r="HT2" s="16" t="s">
        <v>56</v>
      </c>
      <c r="HU2" s="16" t="s">
        <v>78</v>
      </c>
      <c r="HV2" s="16" t="s">
        <v>14</v>
      </c>
      <c r="HW2" s="71" t="s">
        <v>71</v>
      </c>
      <c r="HX2" s="71"/>
      <c r="HY2" s="71"/>
      <c r="HZ2" s="71"/>
      <c r="IA2" s="71" t="s">
        <v>72</v>
      </c>
      <c r="IB2" s="71"/>
      <c r="IC2" s="71"/>
      <c r="ID2" s="71"/>
      <c r="IE2" s="71" t="s">
        <v>73</v>
      </c>
      <c r="IF2" s="71"/>
      <c r="IG2" s="71"/>
      <c r="IH2" s="71"/>
      <c r="II2" s="71" t="s">
        <v>74</v>
      </c>
      <c r="IJ2" s="71"/>
      <c r="IK2" s="71"/>
      <c r="IL2" s="71"/>
      <c r="IM2" s="80" t="s">
        <v>75</v>
      </c>
      <c r="IN2" s="80"/>
      <c r="IO2" s="80"/>
      <c r="IP2" s="80"/>
      <c r="IQ2" s="17" t="s">
        <v>76</v>
      </c>
      <c r="IR2" s="17" t="s">
        <v>77</v>
      </c>
      <c r="IS2" s="17" t="s">
        <v>73</v>
      </c>
      <c r="IT2" s="17" t="s">
        <v>56</v>
      </c>
      <c r="IU2" s="17" t="s">
        <v>78</v>
      </c>
      <c r="IV2" s="17" t="s">
        <v>14</v>
      </c>
      <c r="IW2" s="69" t="s">
        <v>71</v>
      </c>
      <c r="IX2" s="69"/>
      <c r="IY2" s="69"/>
      <c r="IZ2" s="69"/>
      <c r="JA2" s="69" t="s">
        <v>72</v>
      </c>
      <c r="JB2" s="69"/>
      <c r="JC2" s="69"/>
      <c r="JD2" s="69"/>
      <c r="JE2" s="69" t="s">
        <v>73</v>
      </c>
      <c r="JF2" s="69"/>
      <c r="JG2" s="69"/>
      <c r="JH2" s="69"/>
      <c r="JI2" s="69" t="s">
        <v>74</v>
      </c>
      <c r="JJ2" s="69"/>
      <c r="JK2" s="69"/>
      <c r="JL2" s="69"/>
      <c r="JM2" s="81" t="s">
        <v>75</v>
      </c>
      <c r="JN2" s="81"/>
      <c r="JO2" s="81"/>
      <c r="JP2" s="81"/>
      <c r="JQ2" s="16" t="s">
        <v>76</v>
      </c>
      <c r="JR2" s="16" t="s">
        <v>77</v>
      </c>
      <c r="JS2" s="16" t="s">
        <v>73</v>
      </c>
      <c r="JT2" s="16" t="s">
        <v>56</v>
      </c>
      <c r="JU2" s="16" t="s">
        <v>78</v>
      </c>
      <c r="JV2" s="16" t="s">
        <v>14</v>
      </c>
      <c r="JW2" s="71" t="s">
        <v>71</v>
      </c>
      <c r="JX2" s="71"/>
      <c r="JY2" s="71"/>
      <c r="JZ2" s="71"/>
      <c r="KA2" s="71" t="s">
        <v>72</v>
      </c>
      <c r="KB2" s="71"/>
      <c r="KC2" s="71"/>
      <c r="KD2" s="71"/>
      <c r="KE2" s="71" t="s">
        <v>73</v>
      </c>
      <c r="KF2" s="71"/>
      <c r="KG2" s="71"/>
      <c r="KH2" s="71"/>
      <c r="KI2" s="71" t="s">
        <v>74</v>
      </c>
      <c r="KJ2" s="71"/>
      <c r="KK2" s="71"/>
      <c r="KL2" s="71"/>
      <c r="KM2" s="80" t="s">
        <v>75</v>
      </c>
      <c r="KN2" s="80"/>
      <c r="KO2" s="80"/>
      <c r="KP2" s="80"/>
      <c r="KQ2" s="17" t="s">
        <v>76</v>
      </c>
      <c r="KR2" s="17" t="s">
        <v>77</v>
      </c>
      <c r="KS2" s="17" t="s">
        <v>73</v>
      </c>
      <c r="KT2" s="17" t="s">
        <v>56</v>
      </c>
      <c r="KU2" s="17" t="s">
        <v>78</v>
      </c>
      <c r="KV2" s="17" t="s">
        <v>14</v>
      </c>
      <c r="KW2" s="69" t="s">
        <v>71</v>
      </c>
      <c r="KX2" s="69"/>
      <c r="KY2" s="69"/>
      <c r="KZ2" s="69"/>
      <c r="LA2" s="69" t="s">
        <v>72</v>
      </c>
      <c r="LB2" s="69"/>
      <c r="LC2" s="69"/>
      <c r="LD2" s="69"/>
      <c r="LE2" s="69" t="s">
        <v>73</v>
      </c>
      <c r="LF2" s="69"/>
      <c r="LG2" s="69"/>
      <c r="LH2" s="69"/>
      <c r="LI2" s="69" t="s">
        <v>74</v>
      </c>
      <c r="LJ2" s="69"/>
      <c r="LK2" s="69"/>
      <c r="LL2" s="69"/>
      <c r="LM2" s="81" t="s">
        <v>75</v>
      </c>
      <c r="LN2" s="81"/>
      <c r="LO2" s="81"/>
      <c r="LP2" s="81"/>
      <c r="LQ2" s="16" t="s">
        <v>76</v>
      </c>
      <c r="LR2" s="16" t="s">
        <v>77</v>
      </c>
      <c r="LS2" s="16" t="s">
        <v>73</v>
      </c>
      <c r="LT2" s="16" t="s">
        <v>56</v>
      </c>
      <c r="LU2" s="16" t="s">
        <v>78</v>
      </c>
      <c r="LV2" s="16" t="s">
        <v>14</v>
      </c>
      <c r="LW2" s="71" t="s">
        <v>71</v>
      </c>
      <c r="LX2" s="71"/>
      <c r="LY2" s="71"/>
      <c r="LZ2" s="71"/>
      <c r="MA2" s="71" t="s">
        <v>72</v>
      </c>
      <c r="MB2" s="71"/>
      <c r="MC2" s="71"/>
      <c r="MD2" s="71"/>
      <c r="ME2" s="71" t="s">
        <v>73</v>
      </c>
      <c r="MF2" s="71"/>
      <c r="MG2" s="71"/>
      <c r="MH2" s="71"/>
      <c r="MI2" s="71" t="s">
        <v>74</v>
      </c>
      <c r="MJ2" s="71"/>
      <c r="MK2" s="71"/>
      <c r="ML2" s="71"/>
      <c r="MM2" s="80" t="s">
        <v>75</v>
      </c>
      <c r="MN2" s="80"/>
      <c r="MO2" s="80"/>
      <c r="MP2" s="80"/>
      <c r="MQ2" s="17" t="s">
        <v>76</v>
      </c>
      <c r="MR2" s="17" t="s">
        <v>77</v>
      </c>
      <c r="MS2" s="17" t="s">
        <v>73</v>
      </c>
      <c r="MT2" s="17" t="s">
        <v>56</v>
      </c>
      <c r="MU2" s="17" t="s">
        <v>78</v>
      </c>
      <c r="MV2" s="17" t="s">
        <v>14</v>
      </c>
      <c r="MW2" s="69" t="s">
        <v>71</v>
      </c>
      <c r="MX2" s="69"/>
      <c r="MY2" s="69"/>
      <c r="MZ2" s="69"/>
      <c r="NA2" s="69" t="s">
        <v>72</v>
      </c>
      <c r="NB2" s="69"/>
      <c r="NC2" s="69"/>
      <c r="ND2" s="69"/>
      <c r="NE2" s="69" t="s">
        <v>73</v>
      </c>
      <c r="NF2" s="69"/>
      <c r="NG2" s="69"/>
      <c r="NH2" s="69"/>
      <c r="NI2" s="69" t="s">
        <v>74</v>
      </c>
      <c r="NJ2" s="69"/>
      <c r="NK2" s="69"/>
      <c r="NL2" s="69"/>
      <c r="NM2" s="81" t="s">
        <v>75</v>
      </c>
      <c r="NN2" s="81"/>
      <c r="NO2" s="81"/>
      <c r="NP2" s="81"/>
      <c r="NQ2" s="16" t="s">
        <v>76</v>
      </c>
      <c r="NR2" s="16" t="s">
        <v>77</v>
      </c>
      <c r="NS2" s="16" t="s">
        <v>73</v>
      </c>
      <c r="NT2" s="16" t="s">
        <v>56</v>
      </c>
      <c r="NU2" s="16" t="s">
        <v>78</v>
      </c>
      <c r="NV2" s="16" t="s">
        <v>14</v>
      </c>
      <c r="NW2" s="71" t="s">
        <v>71</v>
      </c>
      <c r="NX2" s="71"/>
      <c r="NY2" s="71"/>
      <c r="NZ2" s="71"/>
      <c r="OA2" s="71" t="s">
        <v>72</v>
      </c>
      <c r="OB2" s="71"/>
      <c r="OC2" s="71"/>
      <c r="OD2" s="71"/>
      <c r="OE2" s="71" t="s">
        <v>73</v>
      </c>
      <c r="OF2" s="71"/>
      <c r="OG2" s="71"/>
      <c r="OH2" s="71"/>
      <c r="OI2" s="71" t="s">
        <v>74</v>
      </c>
      <c r="OJ2" s="71"/>
      <c r="OK2" s="71"/>
      <c r="OL2" s="71"/>
      <c r="OM2" s="80" t="s">
        <v>75</v>
      </c>
      <c r="ON2" s="80"/>
      <c r="OO2" s="80"/>
      <c r="OP2" s="80"/>
      <c r="OQ2" s="17" t="s">
        <v>76</v>
      </c>
      <c r="OR2" s="17" t="s">
        <v>77</v>
      </c>
      <c r="OS2" s="17" t="s">
        <v>73</v>
      </c>
      <c r="OT2" s="17" t="s">
        <v>56</v>
      </c>
      <c r="OU2" s="17" t="s">
        <v>78</v>
      </c>
      <c r="OV2" s="17" t="s">
        <v>14</v>
      </c>
      <c r="OW2" s="69" t="s">
        <v>71</v>
      </c>
      <c r="OX2" s="69"/>
      <c r="OY2" s="69"/>
      <c r="OZ2" s="69"/>
      <c r="PA2" s="69" t="s">
        <v>72</v>
      </c>
      <c r="PB2" s="69"/>
      <c r="PC2" s="69"/>
      <c r="PD2" s="69"/>
      <c r="PE2" s="69" t="s">
        <v>73</v>
      </c>
      <c r="PF2" s="69"/>
      <c r="PG2" s="69"/>
      <c r="PH2" s="69"/>
      <c r="PI2" s="69" t="s">
        <v>74</v>
      </c>
      <c r="PJ2" s="69"/>
      <c r="PK2" s="69"/>
      <c r="PL2" s="69"/>
      <c r="PM2" s="79" t="s">
        <v>75</v>
      </c>
      <c r="PN2" s="79"/>
      <c r="PO2" s="79"/>
      <c r="PP2" s="79"/>
      <c r="PQ2" s="16"/>
      <c r="PR2" s="16" t="s">
        <v>76</v>
      </c>
      <c r="PS2" s="16" t="s">
        <v>77</v>
      </c>
      <c r="PT2" s="16" t="s">
        <v>73</v>
      </c>
      <c r="PU2" s="16" t="s">
        <v>56</v>
      </c>
      <c r="PV2" s="16" t="s">
        <v>78</v>
      </c>
      <c r="PW2" s="16" t="s">
        <v>14</v>
      </c>
    </row>
    <row r="3" spans="1:439" x14ac:dyDescent="0.2">
      <c r="A3" s="73"/>
      <c r="B3" s="73"/>
      <c r="C3" s="73"/>
      <c r="D3" s="73"/>
      <c r="E3" s="73"/>
      <c r="F3" s="74"/>
      <c r="G3" s="74"/>
      <c r="H3" s="73"/>
      <c r="I3" s="78"/>
      <c r="J3" s="75"/>
      <c r="K3" s="78"/>
      <c r="L3" s="75"/>
      <c r="M3" s="75"/>
      <c r="N3" s="75"/>
      <c r="O3" s="76"/>
      <c r="P3" s="75"/>
      <c r="Q3" s="75"/>
      <c r="R3" s="16" t="s">
        <v>11</v>
      </c>
      <c r="S3" s="16" t="s">
        <v>4</v>
      </c>
      <c r="T3" s="16" t="s">
        <v>22</v>
      </c>
      <c r="U3" s="16" t="s">
        <v>23</v>
      </c>
      <c r="V3" s="16" t="s">
        <v>11</v>
      </c>
      <c r="W3" s="16" t="s">
        <v>4</v>
      </c>
      <c r="X3" s="16" t="s">
        <v>22</v>
      </c>
      <c r="Y3" s="16" t="s">
        <v>23</v>
      </c>
      <c r="Z3" s="16" t="s">
        <v>11</v>
      </c>
      <c r="AA3" s="16" t="s">
        <v>4</v>
      </c>
      <c r="AB3" s="16" t="s">
        <v>22</v>
      </c>
      <c r="AC3" s="16" t="s">
        <v>23</v>
      </c>
      <c r="AD3" s="16" t="s">
        <v>11</v>
      </c>
      <c r="AE3" s="16" t="s">
        <v>4</v>
      </c>
      <c r="AF3" s="16" t="s">
        <v>22</v>
      </c>
      <c r="AG3" s="16" t="s">
        <v>23</v>
      </c>
      <c r="AH3" s="51" t="s">
        <v>11</v>
      </c>
      <c r="AI3" s="51" t="s">
        <v>4</v>
      </c>
      <c r="AJ3" s="51" t="s">
        <v>22</v>
      </c>
      <c r="AK3" s="51" t="s">
        <v>23</v>
      </c>
      <c r="AL3" s="16" t="s">
        <v>43</v>
      </c>
      <c r="AM3" s="16"/>
      <c r="AN3" s="16"/>
      <c r="AO3" s="16"/>
      <c r="AP3" s="16"/>
      <c r="AQ3" s="16"/>
      <c r="AR3" s="16"/>
      <c r="AS3" s="17" t="s">
        <v>11</v>
      </c>
      <c r="AT3" s="17" t="s">
        <v>4</v>
      </c>
      <c r="AU3" s="17" t="s">
        <v>22</v>
      </c>
      <c r="AV3" s="17" t="s">
        <v>23</v>
      </c>
      <c r="AW3" s="17" t="s">
        <v>11</v>
      </c>
      <c r="AX3" s="17" t="s">
        <v>4</v>
      </c>
      <c r="AY3" s="17" t="s">
        <v>22</v>
      </c>
      <c r="AZ3" s="17" t="s">
        <v>23</v>
      </c>
      <c r="BA3" s="17" t="s">
        <v>11</v>
      </c>
      <c r="BB3" s="17" t="s">
        <v>4</v>
      </c>
      <c r="BC3" s="17" t="s">
        <v>22</v>
      </c>
      <c r="BD3" s="17" t="s">
        <v>23</v>
      </c>
      <c r="BE3" s="17" t="s">
        <v>11</v>
      </c>
      <c r="BF3" s="17" t="s">
        <v>4</v>
      </c>
      <c r="BG3" s="17" t="s">
        <v>22</v>
      </c>
      <c r="BH3" s="17" t="s">
        <v>23</v>
      </c>
      <c r="BI3" s="53" t="s">
        <v>11</v>
      </c>
      <c r="BJ3" s="53" t="s">
        <v>4</v>
      </c>
      <c r="BK3" s="53" t="s">
        <v>22</v>
      </c>
      <c r="BL3" s="53" t="s">
        <v>23</v>
      </c>
      <c r="BM3" s="17" t="s">
        <v>43</v>
      </c>
      <c r="BN3" s="17"/>
      <c r="BO3" s="17"/>
      <c r="BP3" s="17"/>
      <c r="BQ3" s="17"/>
      <c r="BR3" s="17"/>
      <c r="BS3" s="17"/>
      <c r="BT3" s="16" t="s">
        <v>11</v>
      </c>
      <c r="BU3" s="16" t="s">
        <v>4</v>
      </c>
      <c r="BV3" s="16" t="s">
        <v>22</v>
      </c>
      <c r="BW3" s="16" t="s">
        <v>23</v>
      </c>
      <c r="BX3" s="16" t="s">
        <v>11</v>
      </c>
      <c r="BY3" s="16" t="s">
        <v>4</v>
      </c>
      <c r="BZ3" s="16" t="s">
        <v>22</v>
      </c>
      <c r="CA3" s="16" t="s">
        <v>23</v>
      </c>
      <c r="CB3" s="16" t="s">
        <v>11</v>
      </c>
      <c r="CC3" s="16" t="s">
        <v>4</v>
      </c>
      <c r="CD3" s="16" t="s">
        <v>22</v>
      </c>
      <c r="CE3" s="16" t="s">
        <v>23</v>
      </c>
      <c r="CF3" s="16" t="s">
        <v>11</v>
      </c>
      <c r="CG3" s="16" t="s">
        <v>4</v>
      </c>
      <c r="CH3" s="16" t="s">
        <v>22</v>
      </c>
      <c r="CI3" s="16" t="s">
        <v>23</v>
      </c>
      <c r="CJ3" s="51" t="s">
        <v>11</v>
      </c>
      <c r="CK3" s="51" t="s">
        <v>4</v>
      </c>
      <c r="CL3" s="51" t="s">
        <v>22</v>
      </c>
      <c r="CM3" s="51" t="s">
        <v>23</v>
      </c>
      <c r="CN3" s="16" t="s">
        <v>43</v>
      </c>
      <c r="CO3" s="16"/>
      <c r="CP3" s="16"/>
      <c r="CQ3" s="16"/>
      <c r="CR3" s="16"/>
      <c r="CS3" s="16"/>
      <c r="CT3" s="16"/>
      <c r="CU3" s="54"/>
      <c r="CV3" s="54"/>
      <c r="CW3" s="16" t="s">
        <v>11</v>
      </c>
      <c r="CX3" s="16" t="s">
        <v>4</v>
      </c>
      <c r="CY3" s="16" t="s">
        <v>22</v>
      </c>
      <c r="CZ3" s="16" t="s">
        <v>23</v>
      </c>
      <c r="DA3" s="16" t="s">
        <v>11</v>
      </c>
      <c r="DB3" s="16" t="s">
        <v>4</v>
      </c>
      <c r="DC3" s="16" t="s">
        <v>22</v>
      </c>
      <c r="DD3" s="16" t="s">
        <v>23</v>
      </c>
      <c r="DE3" s="16" t="s">
        <v>11</v>
      </c>
      <c r="DF3" s="16" t="s">
        <v>4</v>
      </c>
      <c r="DG3" s="16" t="s">
        <v>22</v>
      </c>
      <c r="DH3" s="16" t="s">
        <v>23</v>
      </c>
      <c r="DI3" s="16" t="s">
        <v>11</v>
      </c>
      <c r="DJ3" s="16" t="s">
        <v>4</v>
      </c>
      <c r="DK3" s="16" t="s">
        <v>22</v>
      </c>
      <c r="DL3" s="16" t="s">
        <v>23</v>
      </c>
      <c r="DM3" s="52" t="s">
        <v>11</v>
      </c>
      <c r="DN3" s="52" t="s">
        <v>4</v>
      </c>
      <c r="DO3" s="52" t="s">
        <v>22</v>
      </c>
      <c r="DP3" s="52" t="s">
        <v>23</v>
      </c>
      <c r="DQ3" s="16"/>
      <c r="DR3" s="16"/>
      <c r="DS3" s="16"/>
      <c r="DT3" s="16"/>
      <c r="DU3" s="16"/>
      <c r="DV3" s="16"/>
      <c r="DW3" s="17" t="s">
        <v>11</v>
      </c>
      <c r="DX3" s="17" t="s">
        <v>4</v>
      </c>
      <c r="DY3" s="17" t="s">
        <v>22</v>
      </c>
      <c r="DZ3" s="17" t="s">
        <v>23</v>
      </c>
      <c r="EA3" s="17" t="s">
        <v>11</v>
      </c>
      <c r="EB3" s="17" t="s">
        <v>4</v>
      </c>
      <c r="EC3" s="17" t="s">
        <v>22</v>
      </c>
      <c r="ED3" s="17" t="s">
        <v>23</v>
      </c>
      <c r="EE3" s="17" t="s">
        <v>11</v>
      </c>
      <c r="EF3" s="17" t="s">
        <v>4</v>
      </c>
      <c r="EG3" s="17" t="s">
        <v>22</v>
      </c>
      <c r="EH3" s="17" t="s">
        <v>23</v>
      </c>
      <c r="EI3" s="17" t="s">
        <v>11</v>
      </c>
      <c r="EJ3" s="17" t="s">
        <v>4</v>
      </c>
      <c r="EK3" s="17" t="s">
        <v>22</v>
      </c>
      <c r="EL3" s="17" t="s">
        <v>23</v>
      </c>
      <c r="EM3" s="53" t="s">
        <v>11</v>
      </c>
      <c r="EN3" s="53" t="s">
        <v>4</v>
      </c>
      <c r="EO3" s="53" t="s">
        <v>22</v>
      </c>
      <c r="EP3" s="53" t="s">
        <v>23</v>
      </c>
      <c r="EQ3" s="17"/>
      <c r="ER3" s="17"/>
      <c r="ES3" s="17"/>
      <c r="ET3" s="17"/>
      <c r="EU3" s="17"/>
      <c r="EV3" s="17"/>
      <c r="EW3" s="16" t="s">
        <v>11</v>
      </c>
      <c r="EX3" s="16" t="s">
        <v>4</v>
      </c>
      <c r="EY3" s="16" t="s">
        <v>22</v>
      </c>
      <c r="EZ3" s="16" t="s">
        <v>23</v>
      </c>
      <c r="FA3" s="16" t="s">
        <v>11</v>
      </c>
      <c r="FB3" s="16" t="s">
        <v>4</v>
      </c>
      <c r="FC3" s="16" t="s">
        <v>22</v>
      </c>
      <c r="FD3" s="16" t="s">
        <v>23</v>
      </c>
      <c r="FE3" s="16" t="s">
        <v>11</v>
      </c>
      <c r="FF3" s="16" t="s">
        <v>4</v>
      </c>
      <c r="FG3" s="16" t="s">
        <v>22</v>
      </c>
      <c r="FH3" s="16" t="s">
        <v>23</v>
      </c>
      <c r="FI3" s="16" t="s">
        <v>11</v>
      </c>
      <c r="FJ3" s="16" t="s">
        <v>4</v>
      </c>
      <c r="FK3" s="16" t="s">
        <v>22</v>
      </c>
      <c r="FL3" s="16" t="s">
        <v>23</v>
      </c>
      <c r="FM3" s="52" t="s">
        <v>11</v>
      </c>
      <c r="FN3" s="52" t="s">
        <v>4</v>
      </c>
      <c r="FO3" s="52" t="s">
        <v>22</v>
      </c>
      <c r="FP3" s="52" t="s">
        <v>23</v>
      </c>
      <c r="FQ3" s="16"/>
      <c r="FR3" s="16"/>
      <c r="FS3" s="16"/>
      <c r="FT3" s="16"/>
      <c r="FU3" s="16"/>
      <c r="FV3" s="16"/>
      <c r="FW3" s="17" t="s">
        <v>11</v>
      </c>
      <c r="FX3" s="17" t="s">
        <v>4</v>
      </c>
      <c r="FY3" s="17" t="s">
        <v>22</v>
      </c>
      <c r="FZ3" s="17" t="s">
        <v>23</v>
      </c>
      <c r="GA3" s="17" t="s">
        <v>11</v>
      </c>
      <c r="GB3" s="17" t="s">
        <v>4</v>
      </c>
      <c r="GC3" s="17" t="s">
        <v>22</v>
      </c>
      <c r="GD3" s="17" t="s">
        <v>23</v>
      </c>
      <c r="GE3" s="17" t="s">
        <v>11</v>
      </c>
      <c r="GF3" s="17" t="s">
        <v>4</v>
      </c>
      <c r="GG3" s="17" t="s">
        <v>22</v>
      </c>
      <c r="GH3" s="17" t="s">
        <v>23</v>
      </c>
      <c r="GI3" s="17" t="s">
        <v>11</v>
      </c>
      <c r="GJ3" s="17" t="s">
        <v>4</v>
      </c>
      <c r="GK3" s="17" t="s">
        <v>22</v>
      </c>
      <c r="GL3" s="17" t="s">
        <v>23</v>
      </c>
      <c r="GM3" s="53" t="s">
        <v>11</v>
      </c>
      <c r="GN3" s="53" t="s">
        <v>4</v>
      </c>
      <c r="GO3" s="53" t="s">
        <v>22</v>
      </c>
      <c r="GP3" s="53" t="s">
        <v>23</v>
      </c>
      <c r="GQ3" s="17"/>
      <c r="GR3" s="17"/>
      <c r="GS3" s="17"/>
      <c r="GT3" s="17"/>
      <c r="GU3" s="17"/>
      <c r="GV3" s="17"/>
      <c r="GW3" s="16" t="s">
        <v>11</v>
      </c>
      <c r="GX3" s="16" t="s">
        <v>4</v>
      </c>
      <c r="GY3" s="16" t="s">
        <v>22</v>
      </c>
      <c r="GZ3" s="16" t="s">
        <v>23</v>
      </c>
      <c r="HA3" s="16" t="s">
        <v>11</v>
      </c>
      <c r="HB3" s="16" t="s">
        <v>4</v>
      </c>
      <c r="HC3" s="16" t="s">
        <v>22</v>
      </c>
      <c r="HD3" s="16" t="s">
        <v>23</v>
      </c>
      <c r="HE3" s="16" t="s">
        <v>11</v>
      </c>
      <c r="HF3" s="16" t="s">
        <v>4</v>
      </c>
      <c r="HG3" s="16" t="s">
        <v>22</v>
      </c>
      <c r="HH3" s="16" t="s">
        <v>23</v>
      </c>
      <c r="HI3" s="16" t="s">
        <v>11</v>
      </c>
      <c r="HJ3" s="16" t="s">
        <v>4</v>
      </c>
      <c r="HK3" s="16" t="s">
        <v>22</v>
      </c>
      <c r="HL3" s="16" t="s">
        <v>23</v>
      </c>
      <c r="HM3" s="52" t="s">
        <v>11</v>
      </c>
      <c r="HN3" s="52" t="s">
        <v>4</v>
      </c>
      <c r="HO3" s="52" t="s">
        <v>22</v>
      </c>
      <c r="HP3" s="52" t="s">
        <v>23</v>
      </c>
      <c r="HQ3" s="16"/>
      <c r="HR3" s="16"/>
      <c r="HS3" s="16"/>
      <c r="HT3" s="16"/>
      <c r="HU3" s="16"/>
      <c r="HV3" s="16"/>
      <c r="HW3" s="17" t="s">
        <v>11</v>
      </c>
      <c r="HX3" s="17" t="s">
        <v>4</v>
      </c>
      <c r="HY3" s="17" t="s">
        <v>22</v>
      </c>
      <c r="HZ3" s="17" t="s">
        <v>23</v>
      </c>
      <c r="IA3" s="17" t="s">
        <v>11</v>
      </c>
      <c r="IB3" s="17" t="s">
        <v>4</v>
      </c>
      <c r="IC3" s="17" t="s">
        <v>22</v>
      </c>
      <c r="ID3" s="17" t="s">
        <v>23</v>
      </c>
      <c r="IE3" s="17" t="s">
        <v>11</v>
      </c>
      <c r="IF3" s="17" t="s">
        <v>4</v>
      </c>
      <c r="IG3" s="17" t="s">
        <v>22</v>
      </c>
      <c r="IH3" s="17" t="s">
        <v>23</v>
      </c>
      <c r="II3" s="17" t="s">
        <v>11</v>
      </c>
      <c r="IJ3" s="17" t="s">
        <v>4</v>
      </c>
      <c r="IK3" s="17" t="s">
        <v>22</v>
      </c>
      <c r="IL3" s="17" t="s">
        <v>23</v>
      </c>
      <c r="IM3" s="53" t="s">
        <v>11</v>
      </c>
      <c r="IN3" s="53" t="s">
        <v>4</v>
      </c>
      <c r="IO3" s="53" t="s">
        <v>22</v>
      </c>
      <c r="IP3" s="53" t="s">
        <v>23</v>
      </c>
      <c r="IQ3" s="17"/>
      <c r="IR3" s="17"/>
      <c r="IS3" s="17"/>
      <c r="IT3" s="17"/>
      <c r="IU3" s="17"/>
      <c r="IV3" s="17"/>
      <c r="IW3" s="16" t="s">
        <v>11</v>
      </c>
      <c r="IX3" s="16" t="s">
        <v>4</v>
      </c>
      <c r="IY3" s="16" t="s">
        <v>22</v>
      </c>
      <c r="IZ3" s="16" t="s">
        <v>23</v>
      </c>
      <c r="JA3" s="16" t="s">
        <v>11</v>
      </c>
      <c r="JB3" s="16" t="s">
        <v>4</v>
      </c>
      <c r="JC3" s="16" t="s">
        <v>22</v>
      </c>
      <c r="JD3" s="16" t="s">
        <v>23</v>
      </c>
      <c r="JE3" s="16" t="s">
        <v>11</v>
      </c>
      <c r="JF3" s="16" t="s">
        <v>4</v>
      </c>
      <c r="JG3" s="16" t="s">
        <v>22</v>
      </c>
      <c r="JH3" s="16" t="s">
        <v>23</v>
      </c>
      <c r="JI3" s="16" t="s">
        <v>11</v>
      </c>
      <c r="JJ3" s="16" t="s">
        <v>4</v>
      </c>
      <c r="JK3" s="16" t="s">
        <v>22</v>
      </c>
      <c r="JL3" s="16" t="s">
        <v>23</v>
      </c>
      <c r="JM3" s="52" t="s">
        <v>11</v>
      </c>
      <c r="JN3" s="52" t="s">
        <v>4</v>
      </c>
      <c r="JO3" s="52" t="s">
        <v>22</v>
      </c>
      <c r="JP3" s="52" t="s">
        <v>23</v>
      </c>
      <c r="JQ3" s="16"/>
      <c r="JR3" s="16"/>
      <c r="JS3" s="16"/>
      <c r="JT3" s="16"/>
      <c r="JU3" s="16"/>
      <c r="JV3" s="16"/>
      <c r="JW3" s="17" t="s">
        <v>11</v>
      </c>
      <c r="JX3" s="17" t="s">
        <v>4</v>
      </c>
      <c r="JY3" s="17" t="s">
        <v>22</v>
      </c>
      <c r="JZ3" s="17" t="s">
        <v>23</v>
      </c>
      <c r="KA3" s="17" t="s">
        <v>11</v>
      </c>
      <c r="KB3" s="17" t="s">
        <v>4</v>
      </c>
      <c r="KC3" s="17" t="s">
        <v>22</v>
      </c>
      <c r="KD3" s="17" t="s">
        <v>23</v>
      </c>
      <c r="KE3" s="17" t="s">
        <v>11</v>
      </c>
      <c r="KF3" s="17" t="s">
        <v>4</v>
      </c>
      <c r="KG3" s="17" t="s">
        <v>22</v>
      </c>
      <c r="KH3" s="17" t="s">
        <v>23</v>
      </c>
      <c r="KI3" s="17" t="s">
        <v>11</v>
      </c>
      <c r="KJ3" s="17" t="s">
        <v>4</v>
      </c>
      <c r="KK3" s="17" t="s">
        <v>22</v>
      </c>
      <c r="KL3" s="17" t="s">
        <v>23</v>
      </c>
      <c r="KM3" s="53" t="s">
        <v>11</v>
      </c>
      <c r="KN3" s="53" t="s">
        <v>4</v>
      </c>
      <c r="KO3" s="53" t="s">
        <v>22</v>
      </c>
      <c r="KP3" s="53" t="s">
        <v>23</v>
      </c>
      <c r="KQ3" s="17"/>
      <c r="KR3" s="17"/>
      <c r="KS3" s="17"/>
      <c r="KT3" s="17"/>
      <c r="KU3" s="17"/>
      <c r="KV3" s="17"/>
      <c r="KW3" s="16" t="s">
        <v>11</v>
      </c>
      <c r="KX3" s="16" t="s">
        <v>4</v>
      </c>
      <c r="KY3" s="16" t="s">
        <v>22</v>
      </c>
      <c r="KZ3" s="16" t="s">
        <v>23</v>
      </c>
      <c r="LA3" s="16" t="s">
        <v>11</v>
      </c>
      <c r="LB3" s="16" t="s">
        <v>4</v>
      </c>
      <c r="LC3" s="16" t="s">
        <v>22</v>
      </c>
      <c r="LD3" s="16" t="s">
        <v>23</v>
      </c>
      <c r="LE3" s="16" t="s">
        <v>11</v>
      </c>
      <c r="LF3" s="16" t="s">
        <v>4</v>
      </c>
      <c r="LG3" s="16" t="s">
        <v>22</v>
      </c>
      <c r="LH3" s="16" t="s">
        <v>23</v>
      </c>
      <c r="LI3" s="16" t="s">
        <v>11</v>
      </c>
      <c r="LJ3" s="16" t="s">
        <v>4</v>
      </c>
      <c r="LK3" s="16" t="s">
        <v>22</v>
      </c>
      <c r="LL3" s="16" t="s">
        <v>23</v>
      </c>
      <c r="LM3" s="52" t="s">
        <v>11</v>
      </c>
      <c r="LN3" s="52" t="s">
        <v>4</v>
      </c>
      <c r="LO3" s="52" t="s">
        <v>22</v>
      </c>
      <c r="LP3" s="52" t="s">
        <v>23</v>
      </c>
      <c r="LQ3" s="16"/>
      <c r="LR3" s="16"/>
      <c r="LS3" s="16"/>
      <c r="LT3" s="16"/>
      <c r="LU3" s="16"/>
      <c r="LV3" s="16"/>
      <c r="LW3" s="17" t="s">
        <v>11</v>
      </c>
      <c r="LX3" s="17" t="s">
        <v>4</v>
      </c>
      <c r="LY3" s="17" t="s">
        <v>22</v>
      </c>
      <c r="LZ3" s="17" t="s">
        <v>23</v>
      </c>
      <c r="MA3" s="17" t="s">
        <v>11</v>
      </c>
      <c r="MB3" s="17" t="s">
        <v>4</v>
      </c>
      <c r="MC3" s="17" t="s">
        <v>22</v>
      </c>
      <c r="MD3" s="17" t="s">
        <v>23</v>
      </c>
      <c r="ME3" s="17" t="s">
        <v>11</v>
      </c>
      <c r="MF3" s="17" t="s">
        <v>4</v>
      </c>
      <c r="MG3" s="17" t="s">
        <v>22</v>
      </c>
      <c r="MH3" s="17" t="s">
        <v>23</v>
      </c>
      <c r="MI3" s="17" t="s">
        <v>11</v>
      </c>
      <c r="MJ3" s="17" t="s">
        <v>4</v>
      </c>
      <c r="MK3" s="17" t="s">
        <v>22</v>
      </c>
      <c r="ML3" s="17" t="s">
        <v>23</v>
      </c>
      <c r="MM3" s="53" t="s">
        <v>11</v>
      </c>
      <c r="MN3" s="53" t="s">
        <v>4</v>
      </c>
      <c r="MO3" s="53" t="s">
        <v>22</v>
      </c>
      <c r="MP3" s="53" t="s">
        <v>23</v>
      </c>
      <c r="MQ3" s="17"/>
      <c r="MR3" s="17"/>
      <c r="MS3" s="17"/>
      <c r="MT3" s="17"/>
      <c r="MU3" s="17"/>
      <c r="MV3" s="17"/>
      <c r="MW3" s="16" t="s">
        <v>11</v>
      </c>
      <c r="MX3" s="16" t="s">
        <v>4</v>
      </c>
      <c r="MY3" s="16" t="s">
        <v>22</v>
      </c>
      <c r="MZ3" s="16" t="s">
        <v>23</v>
      </c>
      <c r="NA3" s="16" t="s">
        <v>11</v>
      </c>
      <c r="NB3" s="16" t="s">
        <v>4</v>
      </c>
      <c r="NC3" s="16" t="s">
        <v>22</v>
      </c>
      <c r="ND3" s="16" t="s">
        <v>23</v>
      </c>
      <c r="NE3" s="16" t="s">
        <v>11</v>
      </c>
      <c r="NF3" s="16" t="s">
        <v>4</v>
      </c>
      <c r="NG3" s="16" t="s">
        <v>22</v>
      </c>
      <c r="NH3" s="16" t="s">
        <v>23</v>
      </c>
      <c r="NI3" s="16" t="s">
        <v>11</v>
      </c>
      <c r="NJ3" s="16" t="s">
        <v>4</v>
      </c>
      <c r="NK3" s="16" t="s">
        <v>22</v>
      </c>
      <c r="NL3" s="16" t="s">
        <v>23</v>
      </c>
      <c r="NM3" s="52" t="s">
        <v>11</v>
      </c>
      <c r="NN3" s="52" t="s">
        <v>4</v>
      </c>
      <c r="NO3" s="52" t="s">
        <v>22</v>
      </c>
      <c r="NP3" s="52" t="s">
        <v>23</v>
      </c>
      <c r="NQ3" s="16"/>
      <c r="NR3" s="16"/>
      <c r="NS3" s="16"/>
      <c r="NT3" s="16"/>
      <c r="NU3" s="16"/>
      <c r="NV3" s="16"/>
      <c r="NW3" s="17" t="s">
        <v>11</v>
      </c>
      <c r="NX3" s="17" t="s">
        <v>4</v>
      </c>
      <c r="NY3" s="17" t="s">
        <v>22</v>
      </c>
      <c r="NZ3" s="17" t="s">
        <v>23</v>
      </c>
      <c r="OA3" s="17" t="s">
        <v>11</v>
      </c>
      <c r="OB3" s="17" t="s">
        <v>4</v>
      </c>
      <c r="OC3" s="17" t="s">
        <v>22</v>
      </c>
      <c r="OD3" s="17" t="s">
        <v>23</v>
      </c>
      <c r="OE3" s="17" t="s">
        <v>11</v>
      </c>
      <c r="OF3" s="17" t="s">
        <v>4</v>
      </c>
      <c r="OG3" s="17" t="s">
        <v>22</v>
      </c>
      <c r="OH3" s="17" t="s">
        <v>23</v>
      </c>
      <c r="OI3" s="17" t="s">
        <v>11</v>
      </c>
      <c r="OJ3" s="17" t="s">
        <v>4</v>
      </c>
      <c r="OK3" s="17" t="s">
        <v>22</v>
      </c>
      <c r="OL3" s="17" t="s">
        <v>23</v>
      </c>
      <c r="OM3" s="53" t="s">
        <v>11</v>
      </c>
      <c r="ON3" s="53" t="s">
        <v>4</v>
      </c>
      <c r="OO3" s="53" t="s">
        <v>22</v>
      </c>
      <c r="OP3" s="53" t="s">
        <v>23</v>
      </c>
      <c r="OQ3" s="17"/>
      <c r="OR3" s="17"/>
      <c r="OS3" s="17"/>
      <c r="OT3" s="17"/>
      <c r="OU3" s="17"/>
      <c r="OV3" s="17"/>
      <c r="OW3" s="16" t="s">
        <v>11</v>
      </c>
      <c r="OX3" s="16" t="s">
        <v>4</v>
      </c>
      <c r="OY3" s="16" t="s">
        <v>22</v>
      </c>
      <c r="OZ3" s="16" t="s">
        <v>23</v>
      </c>
      <c r="PA3" s="16" t="s">
        <v>11</v>
      </c>
      <c r="PB3" s="16" t="s">
        <v>4</v>
      </c>
      <c r="PC3" s="16" t="s">
        <v>22</v>
      </c>
      <c r="PD3" s="16" t="s">
        <v>23</v>
      </c>
      <c r="PE3" s="16" t="s">
        <v>11</v>
      </c>
      <c r="PF3" s="16" t="s">
        <v>4</v>
      </c>
      <c r="PG3" s="16" t="s">
        <v>22</v>
      </c>
      <c r="PH3" s="16" t="s">
        <v>23</v>
      </c>
      <c r="PI3" s="16" t="s">
        <v>11</v>
      </c>
      <c r="PJ3" s="16" t="s">
        <v>4</v>
      </c>
      <c r="PK3" s="16" t="s">
        <v>22</v>
      </c>
      <c r="PL3" s="16" t="s">
        <v>23</v>
      </c>
      <c r="PM3" s="51" t="s">
        <v>11</v>
      </c>
      <c r="PN3" s="51" t="s">
        <v>4</v>
      </c>
      <c r="PO3" s="51" t="s">
        <v>22</v>
      </c>
      <c r="PP3" s="51" t="s">
        <v>23</v>
      </c>
      <c r="PQ3" s="16" t="s">
        <v>43</v>
      </c>
      <c r="PR3" s="16"/>
      <c r="PS3" s="16"/>
      <c r="PT3" s="16"/>
      <c r="PU3" s="16"/>
      <c r="PV3" s="16"/>
      <c r="PW3" s="16"/>
    </row>
    <row r="4" spans="1:439" x14ac:dyDescent="0.2">
      <c r="A4" s="4" cm="1">
        <f t="array" ref="A4">IF(AND(H4&lt;&gt;"",H4&lt;&gt;"No DD"),SUMPRODUCT((H$4:H$12&lt;&gt;"")*(H$4:H$12&lt;&gt;"No DD")*(E$4:E$12&gt;E4))+1,IF(H4="No DD",SUMPRODUCT((H$4:H$12="No DD")*(E$4:E$12&gt;E4))+1+SUMPRODUCT((H$4:H$12&lt;&gt;"")*(H$4:H$12&lt;&gt;"No DD")),""))</f>
        <v>1</v>
      </c>
      <c r="B4" s="5" t="s">
        <v>88</v>
      </c>
      <c r="C4" s="4" t="s">
        <v>66</v>
      </c>
      <c r="D4" s="4">
        <v>2008</v>
      </c>
      <c r="E4" s="10">
        <f>SUM(I4:O4)+SUM(I4:M4)*0.0000001+SUM(I4)*0.0000000000001</f>
        <v>154.00001478000496</v>
      </c>
      <c r="F4" s="3" t="str">
        <f>IF(OR(AND(AM4&gt;=AR$14,AN4&gt;=AR$18,AM4&lt;&gt;"",AL4=""),AND(AP4&gt;=AR$14,AQ4&gt;=AR$18,AP4&lt;&gt;"",AL4=""),AND(BN4&gt;=BS$14,BO4&gt;=BS$18,BN4&lt;&gt;"",BM4=""),AND(BQ4&gt;=BS$14,BR4&gt;=BS$18,BQ4&lt;&gt;"",BM4=""),AND(CO4&gt;=CT$14,CP4&gt;=CT$18,CO4&lt;&gt;"",CN4=""),AND(CR4&gt;=CT$14,CS4&gt;=CT$18,CR4&lt;&gt;""),AND(DQ4&gt;=DV$14,DR4&gt;=DV$18,DQ4&lt;&gt;""),AND(DT4&gt;=DV$14,DU4&gt;=DV$18,DT4&lt;&gt;""),AND(EQ4&gt;=EV$14,ER4&gt;=EV$18,EQ4&lt;&gt;""),AND(ET4&gt;=EV$14,EU4&gt;=EV$18,ET4&lt;&gt;""),AND(FQ4&gt;=FV$14,FR4&gt;=FV$18,FQ4&lt;&gt;""),AND(FT4&gt;=FV$14,FU4&gt;=FV$18,FT4&lt;&gt;""),AND(GQ4&gt;=GV$14,GR4&gt;=GV$18,GQ4&lt;&gt;""),AND(GT4&gt;=GV$14,GU4&gt;=GV$18,GT4&lt;&gt;""),AND(HQ4&gt;=HV$14,HR4&gt;=HV$18,HQ4&lt;&gt;""),AND(HT4&gt;=HV$14,HU4&gt;=HV$18,HT4&lt;&gt;""),AND(IQ4&gt;=IV$14,IR4&gt;=IV$18,IQ4&lt;&gt;""),AND(IT4&gt;=IV$14,IU4&gt;=IV$18,IT4&lt;&gt;""),AND(JQ4&gt;=JV$14,JR4&gt;=JV$18,JQ4&lt;&gt;""),AND(JT4&gt;=JV$14,JU4&gt;=JV$18,JT4&lt;&gt;""),AND(KQ4&gt;=KV$14,KR4&gt;=KV$18,KQ4&lt;&gt;""),AND(KT4&gt;=KV$14,KU4&gt;=KV$18,KT4&lt;&gt;""),AND(LQ4&gt;=LV$14,LR4&gt;=LV$18,LQ4&lt;&gt;""),AND(LT4&gt;=LV$14,LU4&gt;=LV$18,LT4&lt;&gt;""),AND(MQ4&gt;=MV$14,MR4&gt;=MV$18,MQ4&lt;&gt;""),AND(MT4&gt;=MV$14,MU4&gt;=MV$18,MT4&lt;&gt;""),AND(NQ4&gt;=NV$14,NR4&gt;=NV$18,NQ4&lt;&gt;""),AND(NT4&gt;=NV$14,NU4&gt;=NV$18,NT4&lt;&gt;""),AND(OQ4&gt;=OV$14,OR4&gt;=OV$18,OQ4&lt;&gt;""),AND(OT4&gt;=OV$14,OU4&gt;=OV$18,OT4&lt;&gt;"")),"P","")</f>
        <v>P</v>
      </c>
      <c r="G4" s="3" t="str">
        <f>IF(OR(AND(AN4&gt;=AR$18,AN4&lt;&gt;"",AL4=""),AND(AQ4&gt;=AR$18,AQ4&lt;&gt;"",AL4=""),AND(BO4&gt;=BS$18,BO4&lt;&gt;"",BM4=""),AND(BR4&gt;=BS$18,BR4&lt;&gt;"",BM4=""),AND(CP4&gt;=CT$18,CP4&lt;&gt;"",CN4=""),AND(CS4&gt;=CT$18,CS4&lt;&gt;"",CN4=""),AND(DR4&gt;=DV$18,DR4&lt;&gt;""),AND(DU4&gt;=DV$18,DU4&lt;&gt;""),AND(ER4&gt;=EV$18,ER4&lt;&gt;""),AND(EU4&gt;=EV$18,EU4&lt;&gt;""),AND(FR4&gt;=FV$18,FR4&lt;&gt;""),AND(FU4&gt;=FV$18,FU4&lt;&gt;""),AND(GR4&gt;=GV$18,GR4&lt;&gt;""),AND(GU4&gt;=GV$18,GU4&lt;&gt;""),AND(HR4&gt;=HV$18,HR4&lt;&gt;""),AND(HU4&gt;=HV$18,HU4&lt;&gt;""),AND(IR4&gt;=IV$18,IR4&lt;&gt;""),AND(IU4&gt;=IV$18,IU4&lt;&gt;""),AND(JR4&gt;=JV$18,JR4&lt;&gt;""),AND(JU4&gt;=JV$18,JU4&lt;&gt;""),AND(KR4&gt;=KV$18,KR4&lt;&gt;""),AND(KU4&gt;=KV$18,KU4&lt;&gt;""),AND(LR4&gt;=LV$18,LR4&lt;&gt;""),AND(LU4&gt;=LV$18,LU4&lt;&gt;""),AND(MR4&gt;=MV$18,MR4&lt;&gt;""),AND(MU4&gt;=MV$18,MU4&lt;&gt;""),AND(NR4&gt;=NV$18,NR4&lt;&gt;""),AND(NU4&gt;=NV$18,NU4&lt;&gt;""),AND(OR4&gt;=OV$18,OR4&lt;&gt;""),AND(OU4&gt;=OV$18,OU4&lt;&gt;"")),"P","")</f>
        <v>P</v>
      </c>
      <c r="H4" s="47" t="str">
        <f>IF(AND(G4="P",F4=""),"No DD",IF(OR(AND(AM4&gt;=AR$17,AN4&gt;=AR$21,AM4&lt;&gt;"",AL4=""),AND(AP4&gt;=AR$17,AQ4&gt;=AR$21,AP4&lt;&gt;"",AL4=""),AND(BN4&gt;=BS$17,BO4&gt;=BS$21,BN4&lt;&gt;"",BM4=""),AND(BQ4&gt;=BS$17,BR4&gt;=BS$21,BQ4&lt;&gt;"",BM4=""),AND(CO4&gt;=CT$17,CP4&gt;=CT$21,CO4&lt;&gt;"",CN4=""),AND(CR4&gt;=CT$17,CS4&gt;=CT$21,CR4&lt;&gt;""),AND(DQ4&gt;=DV$17,DR4&gt;=DV$21,DQ4&lt;&gt;""),AND(DT4&gt;=DV$17,DU4&gt;=DV$21,DT4&lt;&gt;""),AND(EQ4&gt;=EV$17,ER4&gt;=EV$21,EQ4&lt;&gt;""),AND(ET4&gt;=EV$17,EU4&gt;=EV$21,ET4&lt;&gt;""),AND(FQ4&gt;=FV$17,FR4&gt;=FV$21,FQ4&lt;&gt;""),AND(FT4&gt;=FV$17,FU4&gt;=FV$21,FT4&lt;&gt;""),AND(GQ4&gt;=GV$17,GR4&gt;=GV$21,GQ4&lt;&gt;""),AND(GT4&gt;=GV$17,GU4&gt;=GV$21,GT4&lt;&gt;""),AND(HQ4&gt;=HV$17,HR4&gt;=HV$21,HQ4&lt;&gt;""),AND(HT4&gt;=HV$17,HU4&gt;=HV$21,HT4&lt;&gt;""),AND(IQ4&gt;=IV$17,IR4&gt;=IV$21,IQ4&lt;&gt;""),AND(IT4&gt;=IV$17,IU4&gt;=IV$21,IT4&lt;&gt;""),AND(JQ4&gt;=JV$17,JR4&gt;=JV$21,JQ4&lt;&gt;""),AND(JT4&gt;=JV$17,JU4&gt;=JV$21,JT4&lt;&gt;""),AND(KQ4&gt;=KV$17,KR4&gt;=KV$21,KQ4&lt;&gt;""),AND(KT4&gt;=KV$17,KU4&gt;=KV$21,KT4&lt;&gt;""),AND(LQ4&gt;=LV$17,LR4&gt;=LV$21,LQ4&lt;&gt;""),AND(LT4&gt;=LV$17,LU4&gt;=LV$21,LT4&lt;&gt;""),AND(MQ4&gt;=MV$17,MR4&gt;=MV$21,MQ4&lt;&gt;""),AND(MT4&gt;=MV$17,MU4&gt;=MV$21,MT4&lt;&gt;""),AND(NQ4&gt;=NV$17,NR4&gt;=NV$21,NQ4&lt;&gt;""),AND(NT4&gt;=NV$17,NU4&gt;=NV$21,NT4&lt;&gt;""),AND(OQ4&gt;=OV$17,OR4&gt;=OV$21,OQ4&lt;&gt;""),AND(OT4&gt;=OV$17,OU4&gt;=OV$21,OT4&lt;&gt;"")),"Merit",IF(OR(AND(AM4&gt;=AR$16,AN4&gt;=AR$20,AM4&lt;&gt;"",AL4=""),AND(AP4&gt;=AR$16,AQ4&gt;=AR$20,AP4&lt;&gt;"",AL4=""),AND(BN4&gt;=BS$16,BO4&gt;=BS$20,BN4&lt;&gt;"",BM4=""),AND(BQ4&gt;=BS$16,BR4&gt;=BS$20,BQ4&lt;&gt;"",BM4=""),AND(CO4&gt;=CT$16,CP4&gt;=CT$20,CO4&lt;&gt;"",CN4=""),AND(CR4&gt;=CT$16,CS4&gt;=CT$20,CR4&lt;&gt;""),AND(DQ4&gt;=DV$16,DR4&gt;=DV$20,DQ4&lt;&gt;""),AND(DT4&gt;=DV$16,DU4&gt;=DV$20,DT4&lt;&gt;""),AND(EQ4&gt;=EV$16,ER4&gt;=EV$20,EQ4&lt;&gt;""),AND(ET4&gt;=EV$16,EU4&gt;=EV$20,ET4&lt;&gt;""),AND(FQ4&gt;=FV$16,FR4&gt;=FV$20,FQ4&lt;&gt;""),AND(FT4&gt;=FV$16,FU4&gt;=FV$20,FT4&lt;&gt;""),AND(GQ4&gt;=GV$16,GR4&gt;=GV$20,GQ4&lt;&gt;""),AND(GT4&gt;=GV$16,GU4&gt;=GV$20,GT4&lt;&gt;""),AND(HQ4&gt;=HV$16,HR4&gt;=HV$20,HQ4&lt;&gt;""),AND(HT4&gt;=HV$16,HU4&gt;=HV$20,HT4&lt;&gt;""),AND(IQ4&gt;=IV$16,IR4&gt;=IV$20,IQ4&lt;&gt;""),AND(IT4&gt;=IV$16,IU4&gt;=IV$20,IT4&lt;&gt;""),AND(JQ4&gt;=JV$16,JR4&gt;=JV$20,JQ4&lt;&gt;""),AND(JT4&gt;=JV$16,JU4&gt;=JV$20,JT4&lt;&gt;""),AND(KQ4&gt;=KV$16,KR4&gt;=KV$20,KQ4&lt;&gt;""),AND(KT4&gt;=KV$16,KU4&gt;=KV$20,KT4&lt;&gt;""),AND(LQ4&gt;=LV$16,LR4&gt;=LV$20,LQ4&lt;&gt;""),AND(LT4&gt;=LV$16,LU4&gt;=LV$20,LT4&lt;&gt;""),AND(MQ4&gt;=MV$16,MR4&gt;=MV$20,MQ4&lt;&gt;""),AND(MT4&gt;=MV$16,MU4&gt;=MV$20,MT4&lt;&gt;""),AND(NQ4&gt;=NV$16,NR4&gt;=NV$20,NQ4&lt;&gt;""),AND(NT4&gt;=NV$16,NU4&gt;=NV$20,NT4&lt;&gt;""),AND(OQ4&gt;=OV$16,OR4&gt;=OV$20,OQ4&lt;&gt;""),AND(OT4&gt;=OV$16,OU4&gt;=OV$20,OT4&lt;&gt;"")),"Excellence",IF(F4="P","National Team",""))))</f>
        <v>Excellence</v>
      </c>
      <c r="I4" s="9">
        <f>IF(COUNT(AN4,BO4,CP4)&gt;0,LARGE((AN4,BO4,CP4),1),0)</f>
        <v>49.4</v>
      </c>
      <c r="J4" s="9" t="str">
        <f>IF(I4=0,"",IF(I4=CP4,$BT$1,IF(I4=BO4,$AS$1,IF(I4=AN4,$R$1,""))))</f>
        <v>2023 Elite Canada</v>
      </c>
      <c r="K4" s="9">
        <f>IF(COUNT(AN4,BO4,CP4)&gt;1,LARGE((AN4,BO4,CP4),2),0)</f>
        <v>46.599999999999994</v>
      </c>
      <c r="L4" s="9" t="str">
        <f>IF(K4=0,"",IF(K4=CP4,$BT$1,IF(K4=BO4,$AS$1,IF(K4=AN4,$R$1,""))))</f>
        <v>2023 3rd Domestic Trial</v>
      </c>
      <c r="M4" s="9">
        <f>IF(MAX(AQ4,BR4,CS4)&gt;0,MAX(AQ4,BR4,CS4),0)</f>
        <v>51.8</v>
      </c>
      <c r="N4" s="9" t="str">
        <f>IF(M4=0,"",IF(M4=CS4,$BT$1,IF(M4=BR4,$AS$1,IF(M4=AQ4,$R$1,""))))</f>
        <v>2023 3rd Domestic Trial</v>
      </c>
      <c r="O4" s="9">
        <f>IF(MAX(CU4:CV4)&gt;0,MAX(CU4:CV4),"")</f>
        <v>6.2000000000000099</v>
      </c>
      <c r="P4" s="14" t="str">
        <f>IF(O4="","",IF(O4=CU4,"("&amp;CU$2&amp;")",IF(O4=CV4,"("&amp;CV$2&amp;")")))</f>
        <v>(Q1)</v>
      </c>
      <c r="Q4" s="9" t="str">
        <f>IF(O4="","",IF(O4=CU4,IF(O4+IF(K4="",0,K4)=OR4,$NW$1,IF(O4+IF(K4="",0,K4)=NR4,$MW$1,IF(O4+IF(K4="",0,K4)=MR4,$LW$1,IF(O4+IF(K4="",0,K4)=LR4,$KW$1,IF(O4+IF(K4="",0,K4)=KR4,$JW$1,IF(O4+IF(K4="",0,K4)=JR4,$IW$1,IF(O4+IF(K4="",0,K4)=IR4,$HW$1,IF(O4+IF(K4="",0,K4)=HR4,$GW$1,IF(O4+IF(K4="",0,K4)=GR4,$FW$1,IF(O4+IF(K4="",0,K4)=FR4,$EW$1,IF(O4+IF(K4="",0,K4)=ER4,$DW$1,IF(O4+IF(K4="",0,K4)=DR4,$CW$1)))))))))))),IF(O4=CV4,IF(O4+IF(M4="",0,M4)=OU4,$NW$1,IF(O4+IF(M4="",0,M4)=NU4,$MW$1,IF(O4+IF(M4="",0,M4)=MU4,$LW$1,IF(O4+IF(M4="",0,M4)=LU4,$KW$1,IF(O4+IF(M4="",0,M4)=KU4,$JW$1,IF(O4+IF(M4="",0,M4)=JU4,$IW$1,IF(O4+IF(M4="",0,M4)=IU4,$HW$1,IF(O4+IF(M4="",0,M4)=HU4,$GW$1,IF(O4+IF(M4="",0,M4)=GU4,$FW$1,IF(O4+IF(M4="",0,M4)=FU4,$EW$1,IF(O4+IF(M4="",0,M4)=EU4,$DW$1,IF(O4+IF(M4="",0,M4)=DU4,$CW$1)))))))))))))))</f>
        <v>2023 WAGC (Nov 18)</v>
      </c>
      <c r="R4" s="20">
        <v>18.7</v>
      </c>
      <c r="S4" s="20">
        <v>6.8</v>
      </c>
      <c r="T4" s="20">
        <v>0.6</v>
      </c>
      <c r="U4" s="20">
        <v>0</v>
      </c>
      <c r="V4" s="20">
        <v>18.7</v>
      </c>
      <c r="W4" s="20">
        <v>6.4</v>
      </c>
      <c r="X4" s="20">
        <v>0.6</v>
      </c>
      <c r="Y4" s="20">
        <v>0</v>
      </c>
      <c r="Z4" s="20">
        <v>18</v>
      </c>
      <c r="AA4" s="20">
        <v>6.8</v>
      </c>
      <c r="AB4" s="20">
        <v>1</v>
      </c>
      <c r="AC4" s="20">
        <v>0</v>
      </c>
      <c r="AD4" s="20">
        <v>18.3</v>
      </c>
      <c r="AE4" s="20">
        <v>6.8</v>
      </c>
      <c r="AF4" s="20">
        <v>1</v>
      </c>
      <c r="AG4" s="20">
        <v>0</v>
      </c>
      <c r="AH4" s="20">
        <v>18.8</v>
      </c>
      <c r="AI4" s="20">
        <v>6.4</v>
      </c>
      <c r="AJ4" s="20">
        <v>0</v>
      </c>
      <c r="AK4" s="20">
        <v>0</v>
      </c>
      <c r="AL4" s="32"/>
      <c r="AM4" s="55">
        <f>IF(SUM(S4,W4)&gt;0,SUM(S4,W4),"")</f>
        <v>13.2</v>
      </c>
      <c r="AN4" s="55">
        <f>IF(SUM(R4:S4,U4:W4,Y4)-T4-X4&gt;0,SUM(R4:S4,U4:W4,Y4)-T4-X4,"")</f>
        <v>49.4</v>
      </c>
      <c r="AO4" s="55">
        <f>IF(SUM(Z4:AA4,AC4)-AB4&gt;0,SUM(Z4:AA4,AC4)-AB4,"")</f>
        <v>23.8</v>
      </c>
      <c r="AP4" s="55">
        <f>IF(SUM(AE4,AI4)&gt;0,SUM(AE4,AI4),"")</f>
        <v>13.2</v>
      </c>
      <c r="AQ4" s="55">
        <f>IF(SUM(AD4:AE4,AG4:AI4,AK4)-SUM(AF4,AJ4)&gt;0,SUM(AD4:AE4,AG4:AI4,AK4)-SUM(AF4,AJ4),"")</f>
        <v>49.300000000000004</v>
      </c>
      <c r="AR4" s="55">
        <f>IF(SUM(AN4,AO4,AQ4)&gt;0,SUM(AN4,AO4,AQ4),"")</f>
        <v>122.5</v>
      </c>
      <c r="AS4" s="19">
        <v>17.399999999999999</v>
      </c>
      <c r="AT4" s="19">
        <v>2.8</v>
      </c>
      <c r="AU4" s="19">
        <v>0</v>
      </c>
      <c r="AV4" s="19">
        <v>0</v>
      </c>
      <c r="AW4" s="19">
        <v>17.600000000000001</v>
      </c>
      <c r="AX4" s="19">
        <v>4</v>
      </c>
      <c r="AY4" s="19">
        <v>0</v>
      </c>
      <c r="AZ4" s="19">
        <v>0</v>
      </c>
      <c r="BA4" s="19">
        <v>18.5</v>
      </c>
      <c r="BB4" s="19">
        <v>7.6</v>
      </c>
      <c r="BC4" s="19">
        <v>0</v>
      </c>
      <c r="BD4" s="19">
        <v>0</v>
      </c>
      <c r="BE4" s="19">
        <v>18.8</v>
      </c>
      <c r="BF4" s="19">
        <v>7.2</v>
      </c>
      <c r="BG4" s="19">
        <v>0.6</v>
      </c>
      <c r="BH4" s="19">
        <v>0</v>
      </c>
      <c r="BI4" s="19">
        <v>18.3</v>
      </c>
      <c r="BJ4" s="19">
        <v>6.8</v>
      </c>
      <c r="BK4" s="19">
        <v>0.2</v>
      </c>
      <c r="BL4" s="19">
        <v>0</v>
      </c>
      <c r="BM4" s="33"/>
      <c r="BN4" s="14">
        <f>IF(SUM(AT4,AX4)&gt;0,SUM(AT4,AX4),"")</f>
        <v>6.8</v>
      </c>
      <c r="BO4" s="14">
        <f>IF(SUM(AS4:AT4,AV4:AX4,AZ4)-AU4-AY4&gt;0,SUM(AS4:AT4,AV4:AX4,AZ4)-AU4-AY4,"")</f>
        <v>41.8</v>
      </c>
      <c r="BP4" s="14">
        <f>IF(SUM(BA4:BB4,BD4)-BC4&gt;0,SUM(BA4:BB4,BD4)-BC4,"")</f>
        <v>26.1</v>
      </c>
      <c r="BQ4" s="14">
        <f>IF(SUM(BF4,BJ4)&gt;0,SUM(BF4,BJ4),"")</f>
        <v>14</v>
      </c>
      <c r="BR4" s="14">
        <f>IF(SUM(BE4:BF4,BH4:BJ4,BL4)-SUM(BG4,BK4)&gt;0,SUM(BE4:BF4,BH4:BJ4,BL4)-SUM(BG4,BK4),"")</f>
        <v>50.3</v>
      </c>
      <c r="BS4" s="14">
        <f>IF(SUM(BO4,BP4,BR4)&gt;0,SUM(BO4,BP4,BR4),"")</f>
        <v>118.2</v>
      </c>
      <c r="BT4" s="20">
        <v>17.399999999999999</v>
      </c>
      <c r="BU4" s="20">
        <v>4</v>
      </c>
      <c r="BV4" s="20">
        <v>0</v>
      </c>
      <c r="BW4" s="20">
        <v>0</v>
      </c>
      <c r="BX4" s="20">
        <v>18.2</v>
      </c>
      <c r="BY4" s="20">
        <v>7.6000000000000005</v>
      </c>
      <c r="BZ4" s="20">
        <v>0.6</v>
      </c>
      <c r="CA4" s="20">
        <v>0</v>
      </c>
      <c r="CB4" s="20">
        <v>17.3</v>
      </c>
      <c r="CC4" s="20">
        <v>2.8</v>
      </c>
      <c r="CD4" s="20">
        <v>0</v>
      </c>
      <c r="CE4" s="20">
        <v>0</v>
      </c>
      <c r="CF4" s="20">
        <v>18.2</v>
      </c>
      <c r="CG4" s="20">
        <v>7.6</v>
      </c>
      <c r="CH4" s="20">
        <v>0</v>
      </c>
      <c r="CI4" s="20">
        <v>0</v>
      </c>
      <c r="CJ4" s="20">
        <v>18.399999999999999</v>
      </c>
      <c r="CK4" s="20">
        <v>7.6000000000000005</v>
      </c>
      <c r="CL4" s="20">
        <v>0</v>
      </c>
      <c r="CM4" s="20">
        <v>0</v>
      </c>
      <c r="CN4" s="32"/>
      <c r="CO4" s="55">
        <f>IF(SUM(BU4,BY4)&gt;0,SUM(BU4,BY4),"")</f>
        <v>11.600000000000001</v>
      </c>
      <c r="CP4" s="55">
        <f>IF(SUM(BT4:BU4,BW4:BY4,CA4)-BV4-BZ4&gt;0,SUM(BT4:BU4,BW4:BY4,CA4)-BV4-BZ4,"")</f>
        <v>46.599999999999994</v>
      </c>
      <c r="CQ4" s="55">
        <f>IF(SUM(CB4:CC4,CE4)-CD4&gt;0,SUM(CB4:CC4,CE4)-CD4,"")</f>
        <v>20.100000000000001</v>
      </c>
      <c r="CR4" s="55">
        <f>IF(SUM(CG4,CK4)&gt;0,SUM(CG4,CK4),"")</f>
        <v>15.2</v>
      </c>
      <c r="CS4" s="55">
        <f>IF(SUM(CF4:CG4,CI4:CK4,CM4)-SUM(CH4,CL4)&gt;0,SUM(CF4:CG4,CI4:CK4,CM4)-SUM(CH4,CL4),"")</f>
        <v>51.8</v>
      </c>
      <c r="CT4" s="55">
        <f>IF(SUM(CP4,CQ4,CS4)&gt;0,SUM(CP4,CQ4,CS4),"")</f>
        <v>118.49999999999999</v>
      </c>
      <c r="CU4" s="56">
        <f>IF(MAX(DR4,ER4,FR4,GR4,HR4,IR4,JR4,KR4,LR4,MR4,NR4,OR4)-IF(K4="",0,K4)&gt;0.001,MAX(DR4,ER4,FR4,GR4,HR4,IR4,JR4,KR4,LR4,MR4,NR4,OR4)-IF(K4="",0,K4),"")</f>
        <v>6.2000000000000099</v>
      </c>
      <c r="CV4" s="56" t="str">
        <f>IF(MAX(DU4,EU4,FU4,GU4,HU4,IU4,JU4,KU4,LU4,MU4,NU4,OU4)-IF(M4="",0,M4)&gt;0.001,MAX(DU4,EU4,FU4,GU4,HU4,IU4,JU4,KU4,LU4,MU4,NU4,OU4)-IF(M4="",0,M4),"")</f>
        <v/>
      </c>
      <c r="CW4" s="18">
        <v>16.600000000000001</v>
      </c>
      <c r="CX4" s="18">
        <v>6.8</v>
      </c>
      <c r="CY4" s="18">
        <v>1</v>
      </c>
      <c r="CZ4" s="18">
        <v>0</v>
      </c>
      <c r="DA4" s="18">
        <v>18.600000000000001</v>
      </c>
      <c r="DB4" s="18">
        <v>6.4</v>
      </c>
      <c r="DC4" s="18">
        <v>0.2</v>
      </c>
      <c r="DD4" s="18">
        <v>0</v>
      </c>
      <c r="DE4" s="18"/>
      <c r="DF4" s="18"/>
      <c r="DG4" s="18"/>
      <c r="DH4" s="18"/>
      <c r="DI4" s="18"/>
      <c r="DJ4" s="18"/>
      <c r="DK4" s="18"/>
      <c r="DL4" s="18"/>
      <c r="DM4" s="18"/>
      <c r="DN4" s="18"/>
      <c r="DO4" s="18"/>
      <c r="DP4" s="18"/>
      <c r="DQ4" s="55">
        <f>IF(SUM(CX4,DB4)&gt;0,SUM(CX4,DB4),"")</f>
        <v>13.2</v>
      </c>
      <c r="DR4" s="55">
        <f>IF(SUM(CW4:CX4,CZ4:DB4,DD4)-CY4-DC4&gt;0,SUM(CW4:CX4,CZ4:DB4,DD4)-CY4-DC4,"")</f>
        <v>47.199999999999996</v>
      </c>
      <c r="DS4" s="55" t="str">
        <f>IF(SUM(DE4:DF4,DH4)-DG4&gt;0,SUM(DE4:DF4,DH4)-DG4,"")</f>
        <v/>
      </c>
      <c r="DT4" s="55" t="str">
        <f>IF(SUM(DJ4,DN4)&gt;0,SUM(DJ4,DN4),"")</f>
        <v/>
      </c>
      <c r="DU4" s="55" t="str">
        <f>IF(SUM(DI4:DJ4,DL4:DN4,DP4)-SUM(DK4,DO4)&gt;0,SUM(DI4:DJ4,DL4:DN4,DP4)-SUM(DK4,DO4),"")</f>
        <v/>
      </c>
      <c r="DV4" s="55">
        <f>IF(SUM(DR4,DS4,DU4)&gt;0,SUM(DR4,DS4,DU4),"")</f>
        <v>47.199999999999996</v>
      </c>
      <c r="DW4" s="19"/>
      <c r="DX4" s="19"/>
      <c r="DY4" s="19"/>
      <c r="DZ4" s="19"/>
      <c r="EA4" s="19"/>
      <c r="EB4" s="19"/>
      <c r="EC4" s="19"/>
      <c r="ED4" s="19"/>
      <c r="EE4" s="19"/>
      <c r="EF4" s="19"/>
      <c r="EG4" s="19"/>
      <c r="EH4" s="19"/>
      <c r="EI4" s="19"/>
      <c r="EJ4" s="19"/>
      <c r="EK4" s="19"/>
      <c r="EL4" s="19"/>
      <c r="EM4" s="19"/>
      <c r="EN4" s="19"/>
      <c r="EO4" s="19"/>
      <c r="EP4" s="19"/>
      <c r="EQ4" s="14" t="str">
        <f>IF(SUM(DX4,EB4)&gt;0,SUM(DX4,EB4),"")</f>
        <v/>
      </c>
      <c r="ER4" s="14" t="str">
        <f>IF(SUM(DW4:DX4,DZ4:EB4,ED4)-DY4-EC4&gt;0,SUM(DW4:DX4,DZ4:EB4,ED4)-DY4-EC4,"")</f>
        <v/>
      </c>
      <c r="ES4" s="14" t="str">
        <f>IF(SUM(EE4:EF4,EH4)-EG4&gt;0,SUM(EE4:EF4,EH4)-EG4,"")</f>
        <v/>
      </c>
      <c r="ET4" s="14" t="str">
        <f>IF(SUM(EJ4,EN4)&gt;0,SUM(EJ4,EN4),"")</f>
        <v/>
      </c>
      <c r="EU4" s="14" t="str">
        <f>IF(SUM(EI4:EJ4,EL4:EN4,EP4)-SUM(EK4,EO4)&gt;0,SUM(EI4:EJ4,EL4:EN4,EP4)-SUM(EK4,EO4),"")</f>
        <v/>
      </c>
      <c r="EV4" s="14" t="str">
        <f>IF(SUM(ER4,ES4,EU4)&gt;0,SUM(ER4,ES4,EU4),"")</f>
        <v/>
      </c>
      <c r="EW4" s="18"/>
      <c r="EX4" s="18"/>
      <c r="EY4" s="18"/>
      <c r="EZ4" s="18"/>
      <c r="FA4" s="18"/>
      <c r="FB4" s="18"/>
      <c r="FC4" s="18"/>
      <c r="FD4" s="18"/>
      <c r="FE4" s="18"/>
      <c r="FF4" s="18"/>
      <c r="FG4" s="18"/>
      <c r="FH4" s="18"/>
      <c r="FI4" s="18"/>
      <c r="FJ4" s="18"/>
      <c r="FK4" s="18"/>
      <c r="FL4" s="18"/>
      <c r="FM4" s="18"/>
      <c r="FN4" s="18"/>
      <c r="FO4" s="18"/>
      <c r="FP4" s="18"/>
      <c r="FQ4" s="55" t="str">
        <f>IF(SUM(EX4,FB4)&gt;0,SUM(EX4,FB4),"")</f>
        <v/>
      </c>
      <c r="FR4" s="55" t="str">
        <f>IF(SUM(EW4:EX4,EZ4:FB4,FD4)-EY4-FC4&gt;0,SUM(EW4:EX4,EZ4:FB4,FD4)-EY4-FC4,"")</f>
        <v/>
      </c>
      <c r="FS4" s="55" t="str">
        <f>IF(SUM(FE4:FF4,FH4)-FG4&gt;0,SUM(FE4:FF4,FH4)-FG4,"")</f>
        <v/>
      </c>
      <c r="FT4" s="55" t="str">
        <f>IF(SUM(FJ4,FN4)&gt;0,SUM(FJ4,FN4),"")</f>
        <v/>
      </c>
      <c r="FU4" s="55" t="str">
        <f>IF(SUM(FI4:FJ4,FL4:FN4,FP4)-SUM(FK4,FO4)&gt;0,SUM(FI4:FJ4,FL4:FN4,FP4)-SUM(FK4,FO4),"")</f>
        <v/>
      </c>
      <c r="FV4" s="55" t="str">
        <f>IF(SUM(FR4,FS4,FU4)&gt;0,SUM(FR4,FS4,FU4),"")</f>
        <v/>
      </c>
      <c r="FW4" s="19">
        <v>19</v>
      </c>
      <c r="FX4" s="19">
        <v>7.6</v>
      </c>
      <c r="FY4" s="19">
        <v>0.6</v>
      </c>
      <c r="FZ4" s="19">
        <v>0</v>
      </c>
      <c r="GA4" s="19">
        <v>18.8</v>
      </c>
      <c r="GB4" s="19">
        <v>8</v>
      </c>
      <c r="GC4" s="19">
        <v>0</v>
      </c>
      <c r="GD4" s="19">
        <v>0</v>
      </c>
      <c r="GE4" s="19"/>
      <c r="GF4" s="19"/>
      <c r="GG4" s="19"/>
      <c r="GH4" s="19"/>
      <c r="GI4" s="19">
        <v>18.8</v>
      </c>
      <c r="GJ4" s="19">
        <v>8.4</v>
      </c>
      <c r="GK4" s="19">
        <v>0</v>
      </c>
      <c r="GL4" s="19">
        <v>0</v>
      </c>
      <c r="GM4" s="19">
        <v>0</v>
      </c>
      <c r="GN4" s="19">
        <v>0</v>
      </c>
      <c r="GO4" s="19">
        <v>0</v>
      </c>
      <c r="GP4" s="19">
        <v>0</v>
      </c>
      <c r="GQ4" s="14">
        <f>IF(SUM(FX4,GB4)&gt;0,SUM(FX4,GB4),"")</f>
        <v>15.6</v>
      </c>
      <c r="GR4" s="14">
        <f>IF(SUM(FW4:FX4,FZ4:GB4,GD4)-FY4-GC4&gt;0,SUM(FW4:FX4,FZ4:GB4,GD4)-FY4-GC4,"")</f>
        <v>52.800000000000004</v>
      </c>
      <c r="GS4" s="14" t="str">
        <f>IF(SUM(GE4:GF4,GH4)-GG4&gt;0,SUM(GE4:GF4,GH4)-GG4,"")</f>
        <v/>
      </c>
      <c r="GT4" s="14">
        <f>IF(SUM(GJ4,GN4)&gt;0,SUM(GJ4,GN4),"")</f>
        <v>8.4</v>
      </c>
      <c r="GU4" s="14">
        <f>IF(SUM(GI4:GJ4,GL4:GN4,GP4)-SUM(GK4,GO4)&gt;0,SUM(GI4:GJ4,GL4:GN4,GP4)-SUM(GK4,GO4),"")</f>
        <v>27.200000000000003</v>
      </c>
      <c r="GV4" s="14">
        <f>IF(SUM(GR4,GS4,GU4)&gt;0,SUM(GR4,GS4,GU4),"")</f>
        <v>80</v>
      </c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55" t="str">
        <f>IF(SUM(GX4,HB4)&gt;0,SUM(GX4,HB4),"")</f>
        <v/>
      </c>
      <c r="HR4" s="55" t="str">
        <f>IF(SUM(GW4:GX4,GZ4:HB4,HD4)-GY4-HC4&gt;0,SUM(GW4:GX4,GZ4:HB4,HD4)-GY4-HC4,"")</f>
        <v/>
      </c>
      <c r="HS4" s="55" t="str">
        <f>IF(SUM(HE4:HF4,HH4)-HG4&gt;0,SUM(HE4:HF4,HH4)-HG4,"")</f>
        <v/>
      </c>
      <c r="HT4" s="55" t="str">
        <f>IF(SUM(HJ4,HN4)&gt;0,SUM(HJ4,HN4),"")</f>
        <v/>
      </c>
      <c r="HU4" s="55" t="str">
        <f>IF(SUM(HI4:HJ4,HL4:HN4,HP4)-SUM(HK4,HO4)&gt;0,SUM(HI4:HJ4,HL4:HN4,HP4)-SUM(HK4,HO4),"")</f>
        <v/>
      </c>
      <c r="HV4" s="55" t="str">
        <f>IF(SUM(HR4,HS4,HU4)&gt;0,SUM(HR4,HS4,HU4),"")</f>
        <v/>
      </c>
      <c r="HW4" s="19"/>
      <c r="HX4" s="19"/>
      <c r="HY4" s="19"/>
      <c r="HZ4" s="19"/>
      <c r="IA4" s="19"/>
      <c r="IB4" s="19"/>
      <c r="IC4" s="19"/>
      <c r="ID4" s="19"/>
      <c r="IE4" s="19"/>
      <c r="IF4" s="19"/>
      <c r="IG4" s="19"/>
      <c r="IH4" s="19"/>
      <c r="II4" s="19"/>
      <c r="IJ4" s="19"/>
      <c r="IK4" s="19"/>
      <c r="IL4" s="19"/>
      <c r="IM4" s="19"/>
      <c r="IN4" s="19"/>
      <c r="IO4" s="19"/>
      <c r="IP4" s="19"/>
      <c r="IQ4" s="14" t="str">
        <f>IF(SUM(HX4,IB4)&gt;0,SUM(HX4,IB4),"")</f>
        <v/>
      </c>
      <c r="IR4" s="14" t="str">
        <f>IF(SUM(HW4:HX4,HZ4:IB4,ID4)-HY4-IC4&gt;0,SUM(HW4:HX4,HZ4:IB4,ID4)-HY4-IC4,"")</f>
        <v/>
      </c>
      <c r="IS4" s="14" t="str">
        <f>IF(SUM(IE4:IF4,IH4)-IG4&gt;0,SUM(IE4:IF4,IH4)-IG4,"")</f>
        <v/>
      </c>
      <c r="IT4" s="14" t="str">
        <f>IF(SUM(IJ4,IN4)&gt;0,SUM(IJ4,IN4),"")</f>
        <v/>
      </c>
      <c r="IU4" s="14" t="str">
        <f>IF(SUM(II4:IJ4,IL4:IN4,IP4)-SUM(IK4,IO4)&gt;0,SUM(II4:IJ4,IL4:IN4,IP4)-SUM(IK4,IO4),"")</f>
        <v/>
      </c>
      <c r="IV4" s="14" t="str">
        <f>IF(SUM(IR4,IS4,IU4)&gt;0,SUM(IR4,IS4,IU4),"")</f>
        <v/>
      </c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8"/>
      <c r="JL4" s="18"/>
      <c r="JM4" s="18"/>
      <c r="JN4" s="18"/>
      <c r="JO4" s="18"/>
      <c r="JP4" s="18"/>
      <c r="JQ4" s="55" t="str">
        <f>IF(SUM(IX4,JB4)&gt;0,SUM(IX4,JB4),"")</f>
        <v/>
      </c>
      <c r="JR4" s="55" t="str">
        <f>IF(SUM(IW4:IX4,IZ4:JB4,JD4)-IY4-JC4&gt;0,SUM(IW4:IX4,IZ4:JB4,JD4)-IY4-JC4,"")</f>
        <v/>
      </c>
      <c r="JS4" s="55" t="str">
        <f>IF(SUM(JE4:JF4,JH4)-JG4&gt;0,SUM(JE4:JF4,JH4)-JG4,"")</f>
        <v/>
      </c>
      <c r="JT4" s="55" t="str">
        <f>IF(SUM(JJ4,JN4)&gt;0,SUM(JJ4,JN4),"")</f>
        <v/>
      </c>
      <c r="JU4" s="55" t="str">
        <f>IF(SUM(JI4:JJ4,JL4:JN4,JP4)-SUM(JK4,JO4)&gt;0,SUM(JI4:JJ4,JL4:JN4,JP4)-SUM(JK4,JO4),"")</f>
        <v/>
      </c>
      <c r="JV4" s="55" t="str">
        <f>IF(SUM(JR4,JS4,JU4)&gt;0,SUM(JR4,JS4,JU4),"")</f>
        <v/>
      </c>
      <c r="JW4" s="19"/>
      <c r="JX4" s="19"/>
      <c r="JY4" s="19"/>
      <c r="JZ4" s="19"/>
      <c r="KA4" s="19"/>
      <c r="KB4" s="19"/>
      <c r="KC4" s="19"/>
      <c r="KD4" s="19"/>
      <c r="KE4" s="19"/>
      <c r="KF4" s="19"/>
      <c r="KG4" s="19"/>
      <c r="KH4" s="19"/>
      <c r="KI4" s="19"/>
      <c r="KJ4" s="19"/>
      <c r="KK4" s="19"/>
      <c r="KL4" s="19"/>
      <c r="KM4" s="19"/>
      <c r="KN4" s="19"/>
      <c r="KO4" s="19"/>
      <c r="KP4" s="19"/>
      <c r="KQ4" s="14" t="str">
        <f>IF(SUM(JX4,KB4)&gt;0,SUM(JX4,KB4),"")</f>
        <v/>
      </c>
      <c r="KR4" s="14" t="str">
        <f>IF(SUM(JW4:JX4,JZ4:KB4,KD4)-JY4-KC4&gt;0,SUM(JW4:JX4,JZ4:KB4,KD4)-JY4-KC4,"")</f>
        <v/>
      </c>
      <c r="KS4" s="14" t="str">
        <f>IF(SUM(KE4:KF4,KH4)-KG4&gt;0,SUM(KE4:KF4,KH4)-KG4,"")</f>
        <v/>
      </c>
      <c r="KT4" s="14" t="str">
        <f>IF(SUM(KJ4,KN4)&gt;0,SUM(KJ4,KN4),"")</f>
        <v/>
      </c>
      <c r="KU4" s="14" t="str">
        <f>IF(SUM(KI4:KJ4,KL4:KN4,KP4)-SUM(KK4,KO4)&gt;0,SUM(KI4:KJ4,KL4:KN4,KP4)-SUM(KK4,KO4),"")</f>
        <v/>
      </c>
      <c r="KV4" s="14" t="str">
        <f>IF(SUM(KR4,KS4,KU4)&gt;0,SUM(KR4,KS4,KU4),"")</f>
        <v/>
      </c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55" t="str">
        <f>IF(SUM(KX4,LB4)&gt;0,SUM(KX4,LB4),"")</f>
        <v/>
      </c>
      <c r="LR4" s="55" t="str">
        <f>IF(SUM(KW4:KX4,KZ4:LB4,LD4)-KY4-LC4&gt;0,SUM(KW4:KX4,KZ4:LB4,LD4)-KY4-LC4,"")</f>
        <v/>
      </c>
      <c r="LS4" s="55" t="str">
        <f>IF(SUM(LE4:LF4,LH4)-LG4&gt;0,SUM(LE4:LF4,LH4)-LG4,"")</f>
        <v/>
      </c>
      <c r="LT4" s="55" t="str">
        <f>IF(SUM(LJ4,LN4)&gt;0,SUM(LJ4,LN4),"")</f>
        <v/>
      </c>
      <c r="LU4" s="55" t="str">
        <f>IF(SUM(LI4:LJ4,LL4:LN4,LP4)-SUM(LK4,LO4)&gt;0,SUM(LI4:LJ4,LL4:LN4,LP4)-SUM(LK4,LO4),"")</f>
        <v/>
      </c>
      <c r="LV4" s="55" t="str">
        <f>IF(SUM(LR4,LS4,LU4)&gt;0,SUM(LR4,LS4,LU4),"")</f>
        <v/>
      </c>
      <c r="LW4" s="19"/>
      <c r="LX4" s="19"/>
      <c r="LY4" s="19"/>
      <c r="LZ4" s="19"/>
      <c r="MA4" s="19"/>
      <c r="MB4" s="19"/>
      <c r="MC4" s="19"/>
      <c r="MD4" s="19"/>
      <c r="ME4" s="19"/>
      <c r="MF4" s="19"/>
      <c r="MG4" s="19"/>
      <c r="MH4" s="19"/>
      <c r="MI4" s="19"/>
      <c r="MJ4" s="19"/>
      <c r="MK4" s="19"/>
      <c r="ML4" s="19"/>
      <c r="MM4" s="19"/>
      <c r="MN4" s="19"/>
      <c r="MO4" s="19"/>
      <c r="MP4" s="19"/>
      <c r="MQ4" s="14" t="str">
        <f>IF(SUM(LX4,MB4)&gt;0,SUM(LX4,MB4),"")</f>
        <v/>
      </c>
      <c r="MR4" s="14" t="str">
        <f>IF(SUM(LW4:LX4,LZ4:MB4,MD4)-LY4-MC4&gt;0,SUM(LW4:LX4,LZ4:MB4,MD4)-LY4-MC4,"")</f>
        <v/>
      </c>
      <c r="MS4" s="14" t="str">
        <f>IF(SUM(ME4:MF4,MH4)-MG4&gt;0,SUM(ME4:MF4,MH4)-MG4,"")</f>
        <v/>
      </c>
      <c r="MT4" s="14" t="str">
        <f>IF(SUM(MJ4,MN4)&gt;0,SUM(MJ4,MN4),"")</f>
        <v/>
      </c>
      <c r="MU4" s="14" t="str">
        <f>IF(SUM(MI4:MJ4,ML4:MN4,MP4)-SUM(MK4,MO4)&gt;0,SUM(MI4:MJ4,ML4:MN4,MP4)-SUM(MK4,MO4),"")</f>
        <v/>
      </c>
      <c r="MV4" s="14" t="str">
        <f>IF(SUM(MR4,MS4,MU4)&gt;0,SUM(MR4,MS4,MU4),"")</f>
        <v/>
      </c>
      <c r="MW4" s="18"/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55" t="str">
        <f>IF(SUM(MX4,NB4)&gt;0,SUM(MX4,NB4),"")</f>
        <v/>
      </c>
      <c r="NR4" s="55" t="str">
        <f>IF(SUM(MW4:MX4,MZ4:NB4,ND4)-MY4-NC4&gt;0,SUM(MW4:MX4,MZ4:NB4,ND4)-MY4-NC4,"")</f>
        <v/>
      </c>
      <c r="NS4" s="55" t="str">
        <f>IF(SUM(NE4:NF4,NH4)-NG4&gt;0,SUM(NE4:NF4,NH4)-NG4,"")</f>
        <v/>
      </c>
      <c r="NT4" s="55" t="str">
        <f>IF(SUM(NJ4,NN4)&gt;0,SUM(NJ4,NN4),"")</f>
        <v/>
      </c>
      <c r="NU4" s="55" t="str">
        <f>IF(SUM(NI4:NJ4,NL4:NN4,NP4)-SUM(NK4,NO4)&gt;0,SUM(NI4:NJ4,NL4:NN4,NP4)-SUM(NK4,NO4),"")</f>
        <v/>
      </c>
      <c r="NV4" s="55" t="str">
        <f>IF(SUM(NR4,NS4,NU4)&gt;0,SUM(NR4,NS4,NU4),"")</f>
        <v/>
      </c>
      <c r="NW4" s="19"/>
      <c r="NX4" s="19"/>
      <c r="NY4" s="19"/>
      <c r="NZ4" s="19"/>
      <c r="OA4" s="19"/>
      <c r="OB4" s="19"/>
      <c r="OC4" s="19"/>
      <c r="OD4" s="19"/>
      <c r="OE4" s="19"/>
      <c r="OF4" s="19"/>
      <c r="OG4" s="19"/>
      <c r="OH4" s="19"/>
      <c r="OI4" s="19"/>
      <c r="OJ4" s="19"/>
      <c r="OK4" s="19"/>
      <c r="OL4" s="19"/>
      <c r="OM4" s="19"/>
      <c r="ON4" s="19"/>
      <c r="OO4" s="19"/>
      <c r="OP4" s="19"/>
      <c r="OQ4" s="14" t="str">
        <f>IF(SUM(NX4,OB4)&gt;0,SUM(NX4,OB4),"")</f>
        <v/>
      </c>
      <c r="OR4" s="14" t="str">
        <f>IF(SUM(NW4:NX4,NZ4:OB4,OD4)-NY4-OC4&gt;0,SUM(NW4:NX4,NZ4:OB4,OD4)-NY4-OC4,"")</f>
        <v/>
      </c>
      <c r="OS4" s="14" t="str">
        <f>IF(SUM(OE4:OF4,OH4)-OG4&gt;0,SUM(OE4:OF4,OH4)-OG4,"")</f>
        <v/>
      </c>
      <c r="OT4" s="14" t="str">
        <f>IF(SUM(OJ4,ON4)&gt;0,SUM(OJ4,ON4),"")</f>
        <v/>
      </c>
      <c r="OU4" s="14" t="str">
        <f>IF(SUM(OI4:OJ4,OL4:ON4,OP4)-SUM(OK4,OO4)&gt;0,SUM(OI4:OJ4,OL4:ON4,OP4)-SUM(OK4,OO4),"")</f>
        <v/>
      </c>
      <c r="OV4" s="14" t="str">
        <f>IF(SUM(OR4,OS4,OU4)&gt;0,SUM(OR4,OS4,OU4),"")</f>
        <v/>
      </c>
      <c r="OW4" s="27">
        <f>IF($CN4="P",BT4,(BT4+AS4)/2)</f>
        <v>17.399999999999999</v>
      </c>
      <c r="OX4" s="27">
        <f>IF($CN4="P",BU4,(BU4+AT4)/2)</f>
        <v>3.4</v>
      </c>
      <c r="OY4" s="27">
        <f>IF($CN4="P",BV4,(BV4+AU4)/2)</f>
        <v>0</v>
      </c>
      <c r="OZ4" s="27">
        <f>IF($CN4="P",BW4,(BW4+AV4)/2)</f>
        <v>0</v>
      </c>
      <c r="PA4" s="27">
        <f>IF($CN4="P",BX4,(BX4+AW4)/2)</f>
        <v>17.899999999999999</v>
      </c>
      <c r="PB4" s="27">
        <f>IF($CN4="P",BY4,(BY4+AX4)/2)</f>
        <v>5.8000000000000007</v>
      </c>
      <c r="PC4" s="27">
        <f>IF($CN4="P",BZ4,(BZ4+AY4)/2)</f>
        <v>0.3</v>
      </c>
      <c r="PD4" s="27">
        <f>IF($CN4="P",CA4,(CA4+AZ4)/2)</f>
        <v>0</v>
      </c>
      <c r="PE4" s="27">
        <f>IF($CN4="P",CB4,(CB4+BA4)/2)</f>
        <v>17.899999999999999</v>
      </c>
      <c r="PF4" s="27">
        <f>IF($CN4="P",CC4,(CC4+BB4)/2)</f>
        <v>5.1999999999999993</v>
      </c>
      <c r="PG4" s="27">
        <f>IF($CN4="P",CD4,(CD4+BC4)/2)</f>
        <v>0</v>
      </c>
      <c r="PH4" s="27">
        <f>IF($CN4="P",CE4,(CE4+BD4)/2)</f>
        <v>0</v>
      </c>
      <c r="PI4" s="27">
        <f>IF($CN4="P",CF4,(CF4+BE4)/2)</f>
        <v>18.5</v>
      </c>
      <c r="PJ4" s="27">
        <f>IF($CN4="P",CG4,(CG4+BF4)/2)</f>
        <v>7.4</v>
      </c>
      <c r="PK4" s="27">
        <f>IF($CN4="P",CH4,(CH4+BG4)/2)</f>
        <v>0.3</v>
      </c>
      <c r="PL4" s="27">
        <f>IF($CN4="P",CI4,(CI4+BH4)/2)</f>
        <v>0</v>
      </c>
      <c r="PM4" s="27">
        <f>IF($CN4="P",CJ4,(CJ4+BI4)/2)</f>
        <v>18.350000000000001</v>
      </c>
      <c r="PN4" s="27">
        <f>IF($CN4="P",CK4,(CK4+BJ4)/2)</f>
        <v>7.2</v>
      </c>
      <c r="PO4" s="27">
        <f>IF($CN4="P",CL4,(CL4+BK4)/2)</f>
        <v>0.1</v>
      </c>
      <c r="PP4" s="27">
        <f>IF($CN4="P",CM4,(CM4+BL4)/2)</f>
        <v>0</v>
      </c>
      <c r="PQ4" s="32" t="s">
        <v>44</v>
      </c>
      <c r="PR4" s="55">
        <f>IF(SUM(OX4,PB4)&gt;0,SUM(OX4,PB4),"")</f>
        <v>9.2000000000000011</v>
      </c>
      <c r="PS4" s="55">
        <f>IF(SUM(OW4:OX4,OZ4:PB4,PD4)-OY4-PC4&gt;0,SUM(OW4:OX4,OZ4:PB4,PD4)-OY4-PC4,"")</f>
        <v>44.2</v>
      </c>
      <c r="PT4" s="55">
        <f>IF(SUM(PE4:PF4,PH4)-PG4&gt;0,SUM(PE4:PF4,PH4)-PG4,"")</f>
        <v>23.099999999999998</v>
      </c>
      <c r="PU4" s="55">
        <f>IF(SUM(PJ4,PN4)&gt;0,SUM(PJ4,PN4),"")</f>
        <v>14.600000000000001</v>
      </c>
      <c r="PV4" s="55">
        <f>IF(SUM(PI4:PJ4,PL4:PN4,PP4)-SUM(PK4,PO4)&gt;0,SUM(PI4:PJ4,PL4:PN4,PP4)-SUM(PK4,PO4),"")</f>
        <v>51.050000000000004</v>
      </c>
      <c r="PW4" s="55">
        <f>IF(SUM(PS4,PT4,PV4)&gt;0,SUM(PS4,PT4,PV4),"")</f>
        <v>118.35</v>
      </c>
    </row>
    <row r="5" spans="1:439" x14ac:dyDescent="0.2">
      <c r="A5" s="4" cm="1">
        <f t="array" ref="A5">IF(AND(H5&lt;&gt;"",H5&lt;&gt;"No DD"),SUMPRODUCT((H$4:H$12&lt;&gt;"")*(H$4:H$12&lt;&gt;"No DD")*(E$4:E$12&gt;E5))+1,IF(H5="No DD",SUMPRODUCT((H$4:H$12="No DD")*(E$4:E$12&gt;E5))+1+SUMPRODUCT((H$4:H$12&lt;&gt;"")*(H$4:H$12&lt;&gt;"No DD")),""))</f>
        <v>2</v>
      </c>
      <c r="B5" s="5" t="s">
        <v>80</v>
      </c>
      <c r="C5" s="4" t="s">
        <v>68</v>
      </c>
      <c r="D5" s="4">
        <v>2007</v>
      </c>
      <c r="E5" s="10">
        <f>SUM(I5:O5)+SUM(I5:M5)*0.0000001+SUM(I5)*0.0000000000001</f>
        <v>152.10001521000515</v>
      </c>
      <c r="F5" s="3" t="str">
        <f>IF(OR(AND(AM5&gt;=AR$14,AN5&gt;=AR$18,AM5&lt;&gt;"",AL5=""),AND(AP5&gt;=AR$14,AQ5&gt;=AR$18,AP5&lt;&gt;"",AL5=""),AND(BN5&gt;=BS$14,BO5&gt;=BS$18,BN5&lt;&gt;"",BM5=""),AND(BQ5&gt;=BS$14,BR5&gt;=BS$18,BQ5&lt;&gt;"",BM5=""),AND(CO5&gt;=CT$14,CP5&gt;=CT$18,CO5&lt;&gt;"",CN5=""),AND(CR5&gt;=CT$14,CS5&gt;=CT$18,CR5&lt;&gt;""),AND(DQ5&gt;=DV$14,DR5&gt;=DV$18,DQ5&lt;&gt;""),AND(DT5&gt;=DV$14,DU5&gt;=DV$18,DT5&lt;&gt;""),AND(EQ5&gt;=EV$14,ER5&gt;=EV$18,EQ5&lt;&gt;""),AND(ET5&gt;=EV$14,EU5&gt;=EV$18,ET5&lt;&gt;""),AND(FQ5&gt;=FV$14,FR5&gt;=FV$18,FQ5&lt;&gt;""),AND(FT5&gt;=FV$14,FU5&gt;=FV$18,FT5&lt;&gt;""),AND(GQ5&gt;=GV$14,GR5&gt;=GV$18,GQ5&lt;&gt;""),AND(GT5&gt;=GV$14,GU5&gt;=GV$18,GT5&lt;&gt;""),AND(HQ5&gt;=HV$14,HR5&gt;=HV$18,HQ5&lt;&gt;""),AND(HT5&gt;=HV$14,HU5&gt;=HV$18,HT5&lt;&gt;""),AND(IQ5&gt;=IV$14,IR5&gt;=IV$18,IQ5&lt;&gt;""),AND(IT5&gt;=IV$14,IU5&gt;=IV$18,IT5&lt;&gt;""),AND(JQ5&gt;=JV$14,JR5&gt;=JV$18,JQ5&lt;&gt;""),AND(JT5&gt;=JV$14,JU5&gt;=JV$18,JT5&lt;&gt;""),AND(KQ5&gt;=KV$14,KR5&gt;=KV$18,KQ5&lt;&gt;""),AND(KT5&gt;=KV$14,KU5&gt;=KV$18,KT5&lt;&gt;""),AND(LQ5&gt;=LV$14,LR5&gt;=LV$18,LQ5&lt;&gt;""),AND(LT5&gt;=LV$14,LU5&gt;=LV$18,LT5&lt;&gt;""),AND(MQ5&gt;=MV$14,MR5&gt;=MV$18,MQ5&lt;&gt;""),AND(MT5&gt;=MV$14,MU5&gt;=MV$18,MT5&lt;&gt;""),AND(NQ5&gt;=NV$14,NR5&gt;=NV$18,NQ5&lt;&gt;""),AND(NT5&gt;=NV$14,NU5&gt;=NV$18,NT5&lt;&gt;""),AND(OQ5&gt;=OV$14,OR5&gt;=OV$18,OQ5&lt;&gt;""),AND(OT5&gt;=OV$14,OU5&gt;=OV$18,OT5&lt;&gt;"")),"P","")</f>
        <v>P</v>
      </c>
      <c r="G5" s="3" t="str">
        <f>IF(OR(AND(AN5&gt;=AR$18,AN5&lt;&gt;"",AL5=""),AND(AQ5&gt;=AR$18,AQ5&lt;&gt;"",AL5=""),AND(BO5&gt;=BS$18,BO5&lt;&gt;"",BM5=""),AND(BR5&gt;=BS$18,BR5&lt;&gt;"",BM5=""),AND(CP5&gt;=CT$18,CP5&lt;&gt;"",CN5=""),AND(CS5&gt;=CT$18,CS5&lt;&gt;"",CN5=""),AND(DR5&gt;=DV$18,DR5&lt;&gt;""),AND(DU5&gt;=DV$18,DU5&lt;&gt;""),AND(ER5&gt;=EV$18,ER5&lt;&gt;""),AND(EU5&gt;=EV$18,EU5&lt;&gt;""),AND(FR5&gt;=FV$18,FR5&lt;&gt;""),AND(FU5&gt;=FV$18,FU5&lt;&gt;""),AND(GR5&gt;=GV$18,GR5&lt;&gt;""),AND(GU5&gt;=GV$18,GU5&lt;&gt;""),AND(HR5&gt;=HV$18,HR5&lt;&gt;""),AND(HU5&gt;=HV$18,HU5&lt;&gt;""),AND(IR5&gt;=IV$18,IR5&lt;&gt;""),AND(IU5&gt;=IV$18,IU5&lt;&gt;""),AND(JR5&gt;=JV$18,JR5&lt;&gt;""),AND(JU5&gt;=JV$18,JU5&lt;&gt;""),AND(KR5&gt;=KV$18,KR5&lt;&gt;""),AND(KU5&gt;=KV$18,KU5&lt;&gt;""),AND(LR5&gt;=LV$18,LR5&lt;&gt;""),AND(LU5&gt;=LV$18,LU5&lt;&gt;""),AND(MR5&gt;=MV$18,MR5&lt;&gt;""),AND(MU5&gt;=MV$18,MU5&lt;&gt;""),AND(NR5&gt;=NV$18,NR5&lt;&gt;""),AND(NU5&gt;=NV$18,NU5&lt;&gt;""),AND(OR5&gt;=OV$18,OR5&lt;&gt;""),AND(OU5&gt;=OV$18,OU5&lt;&gt;"")),"P","")</f>
        <v>P</v>
      </c>
      <c r="H5" s="47" t="str">
        <f>IF(AND(G5="P",F5=""),"No DD",IF(OR(AND(AM5&gt;=AR$17,AN5&gt;=AR$21,AM5&lt;&gt;"",AL5=""),AND(AP5&gt;=AR$17,AQ5&gt;=AR$21,AP5&lt;&gt;"",AL5=""),AND(BN5&gt;=BS$17,BO5&gt;=BS$21,BN5&lt;&gt;"",BM5=""),AND(BQ5&gt;=BS$17,BR5&gt;=BS$21,BQ5&lt;&gt;"",BM5=""),AND(CO5&gt;=CT$17,CP5&gt;=CT$21,CO5&lt;&gt;"",CN5=""),AND(CR5&gt;=CT$17,CS5&gt;=CT$21,CR5&lt;&gt;""),AND(DQ5&gt;=DV$17,DR5&gt;=DV$21,DQ5&lt;&gt;""),AND(DT5&gt;=DV$17,DU5&gt;=DV$21,DT5&lt;&gt;""),AND(EQ5&gt;=EV$17,ER5&gt;=EV$21,EQ5&lt;&gt;""),AND(ET5&gt;=EV$17,EU5&gt;=EV$21,ET5&lt;&gt;""),AND(FQ5&gt;=FV$17,FR5&gt;=FV$21,FQ5&lt;&gt;""),AND(FT5&gt;=FV$17,FU5&gt;=FV$21,FT5&lt;&gt;""),AND(GQ5&gt;=GV$17,GR5&gt;=GV$21,GQ5&lt;&gt;""),AND(GT5&gt;=GV$17,GU5&gt;=GV$21,GT5&lt;&gt;""),AND(HQ5&gt;=HV$17,HR5&gt;=HV$21,HQ5&lt;&gt;""),AND(HT5&gt;=HV$17,HU5&gt;=HV$21,HT5&lt;&gt;""),AND(IQ5&gt;=IV$17,IR5&gt;=IV$21,IQ5&lt;&gt;""),AND(IT5&gt;=IV$17,IU5&gt;=IV$21,IT5&lt;&gt;""),AND(JQ5&gt;=JV$17,JR5&gt;=JV$21,JQ5&lt;&gt;""),AND(JT5&gt;=JV$17,JU5&gt;=JV$21,JT5&lt;&gt;""),AND(KQ5&gt;=KV$17,KR5&gt;=KV$21,KQ5&lt;&gt;""),AND(KT5&gt;=KV$17,KU5&gt;=KV$21,KT5&lt;&gt;""),AND(LQ5&gt;=LV$17,LR5&gt;=LV$21,LQ5&lt;&gt;""),AND(LT5&gt;=LV$17,LU5&gt;=LV$21,LT5&lt;&gt;""),AND(MQ5&gt;=MV$17,MR5&gt;=MV$21,MQ5&lt;&gt;""),AND(MT5&gt;=MV$17,MU5&gt;=MV$21,MT5&lt;&gt;""),AND(NQ5&gt;=NV$17,NR5&gt;=NV$21,NQ5&lt;&gt;""),AND(NT5&gt;=NV$17,NU5&gt;=NV$21,NT5&lt;&gt;""),AND(OQ5&gt;=OV$17,OR5&gt;=OV$21,OQ5&lt;&gt;""),AND(OT5&gt;=OV$17,OU5&gt;=OV$21,OT5&lt;&gt;"")),"Merit",IF(OR(AND(AM5&gt;=AR$16,AN5&gt;=AR$20,AM5&lt;&gt;"",AL5=""),AND(AP5&gt;=AR$16,AQ5&gt;=AR$20,AP5&lt;&gt;"",AL5=""),AND(BN5&gt;=BS$16,BO5&gt;=BS$20,BN5&lt;&gt;"",BM5=""),AND(BQ5&gt;=BS$16,BR5&gt;=BS$20,BQ5&lt;&gt;"",BM5=""),AND(CO5&gt;=CT$16,CP5&gt;=CT$20,CO5&lt;&gt;"",CN5=""),AND(CR5&gt;=CT$16,CS5&gt;=CT$20,CR5&lt;&gt;""),AND(DQ5&gt;=DV$16,DR5&gt;=DV$20,DQ5&lt;&gt;""),AND(DT5&gt;=DV$16,DU5&gt;=DV$20,DT5&lt;&gt;""),AND(EQ5&gt;=EV$16,ER5&gt;=EV$20,EQ5&lt;&gt;""),AND(ET5&gt;=EV$16,EU5&gt;=EV$20,ET5&lt;&gt;""),AND(FQ5&gt;=FV$16,FR5&gt;=FV$20,FQ5&lt;&gt;""),AND(FT5&gt;=FV$16,FU5&gt;=FV$20,FT5&lt;&gt;""),AND(GQ5&gt;=GV$16,GR5&gt;=GV$20,GQ5&lt;&gt;""),AND(GT5&gt;=GV$16,GU5&gt;=GV$20,GT5&lt;&gt;""),AND(HQ5&gt;=HV$16,HR5&gt;=HV$20,HQ5&lt;&gt;""),AND(HT5&gt;=HV$16,HU5&gt;=HV$20,HT5&lt;&gt;""),AND(IQ5&gt;=IV$16,IR5&gt;=IV$20,IQ5&lt;&gt;""),AND(IT5&gt;=IV$16,IU5&gt;=IV$20,IT5&lt;&gt;""),AND(JQ5&gt;=JV$16,JR5&gt;=JV$20,JQ5&lt;&gt;""),AND(JT5&gt;=JV$16,JU5&gt;=JV$20,JT5&lt;&gt;""),AND(KQ5&gt;=KV$16,KR5&gt;=KV$20,KQ5&lt;&gt;""),AND(KT5&gt;=KV$16,KU5&gt;=KV$20,KT5&lt;&gt;""),AND(LQ5&gt;=LV$16,LR5&gt;=LV$20,LQ5&lt;&gt;""),AND(LT5&gt;=LV$16,LU5&gt;=LV$20,LT5&lt;&gt;""),AND(MQ5&gt;=MV$16,MR5&gt;=MV$20,MQ5&lt;&gt;""),AND(MT5&gt;=MV$16,MU5&gt;=MV$20,MT5&lt;&gt;""),AND(NQ5&gt;=NV$16,NR5&gt;=NV$20,NQ5&lt;&gt;""),AND(NT5&gt;=NV$16,NU5&gt;=NV$20,NT5&lt;&gt;""),AND(OQ5&gt;=OV$16,OR5&gt;=OV$20,OQ5&lt;&gt;""),AND(OT5&gt;=OV$16,OU5&gt;=OV$20,OT5&lt;&gt;"")),"Excellence",IF(F5="P","National Team",""))))</f>
        <v>Excellence</v>
      </c>
      <c r="I5" s="9">
        <f>IF(COUNT(AN5,BO5,CP5)&gt;0,LARGE((AN5,BO5,CP5),1),0)</f>
        <v>51.8</v>
      </c>
      <c r="J5" s="9" t="str">
        <f>IF(I5=0,"",IF(I5=CP5,$BT$1,IF(I5=BO5,$AS$1,IF(I5=AN5,$R$1,""))))</f>
        <v>2023 Nationals</v>
      </c>
      <c r="K5" s="9">
        <f>IF(COUNT(AN5,BO5,CP5)&gt;1,LARGE((AN5,BO5,CP5),2),0)</f>
        <v>51.1</v>
      </c>
      <c r="L5" s="9" t="str">
        <f>IF(K5=0,"",IF(K5=CP5,$BT$1,IF(K5=BO5,$AS$1,IF(K5=AN5,$R$1,""))))</f>
        <v>2023 3rd Domestic Trial</v>
      </c>
      <c r="M5" s="9">
        <f>IF(MAX(AQ5,BR5,CS5)&gt;0,MAX(AQ5,BR5,CS5),0)</f>
        <v>49.199999999999996</v>
      </c>
      <c r="N5" s="9" t="str">
        <f>IF(M5=0,"",IF(M5=CS5,$BT$1,IF(M5=BR5,$AS$1,IF(M5=AQ5,$R$1,""))))</f>
        <v>2023 Nationals</v>
      </c>
      <c r="O5" s="9" t="str">
        <f>IF(MAX(CU5:CV5)&gt;0,MAX(CU5:CV5),"")</f>
        <v/>
      </c>
      <c r="P5" s="14" t="str">
        <f>IF(O5="","",IF(O5=CU5,"("&amp;CU$2&amp;")",IF(O5=CV5,"("&amp;CV$2&amp;")")))</f>
        <v/>
      </c>
      <c r="Q5" s="9" t="str">
        <f>IF(O5="","",IF(O5=CU5,IF(O5+IF(K5="",0,K5)=OR5,$NW$1,IF(O5+IF(K5="",0,K5)=NR5,$MW$1,IF(O5+IF(K5="",0,K5)=MR5,$LW$1,IF(O5+IF(K5="",0,K5)=LR5,$KW$1,IF(O5+IF(K5="",0,K5)=KR5,$JW$1,IF(O5+IF(K5="",0,K5)=JR5,$IW$1,IF(O5+IF(K5="",0,K5)=IR5,$HW$1,IF(O5+IF(K5="",0,K5)=HR5,$GW$1,IF(O5+IF(K5="",0,K5)=GR5,$FW$1,IF(O5+IF(K5="",0,K5)=FR5,$EW$1,IF(O5+IF(K5="",0,K5)=ER5,$DW$1,IF(O5+IF(K5="",0,K5)=DR5,$CW$1)))))))))))),IF(O5=CV5,IF(O5+IF(M5="",0,M5)=OU5,$NW$1,IF(O5+IF(M5="",0,M5)=NU5,$MW$1,IF(O5+IF(M5="",0,M5)=MU5,$LW$1,IF(O5+IF(M5="",0,M5)=LU5,$KW$1,IF(O5+IF(M5="",0,M5)=KU5,$JW$1,IF(O5+IF(M5="",0,M5)=JU5,$IW$1,IF(O5+IF(M5="",0,M5)=IU5,$HW$1,IF(O5+IF(M5="",0,M5)=HU5,$GW$1,IF(O5+IF(M5="",0,M5)=GU5,$FW$1,IF(O5+IF(M5="",0,M5)=FU5,$EW$1,IF(O5+IF(M5="",0,M5)=EU5,$DW$1,IF(O5+IF(M5="",0,M5)=DU5,$CW$1)))))))))))))))</f>
        <v/>
      </c>
      <c r="R5" s="20">
        <v>0</v>
      </c>
      <c r="S5" s="20">
        <v>0</v>
      </c>
      <c r="T5" s="20">
        <v>0</v>
      </c>
      <c r="U5" s="20">
        <v>0</v>
      </c>
      <c r="V5" s="20">
        <v>18.8</v>
      </c>
      <c r="W5" s="20">
        <v>7.6</v>
      </c>
      <c r="X5" s="20">
        <v>0.2</v>
      </c>
      <c r="Y5" s="20">
        <v>0</v>
      </c>
      <c r="Z5" s="20">
        <v>18.5</v>
      </c>
      <c r="AA5" s="20">
        <v>6</v>
      </c>
      <c r="AB5" s="20">
        <v>0</v>
      </c>
      <c r="AC5" s="20">
        <v>0</v>
      </c>
      <c r="AD5" s="20">
        <v>17.399999999999999</v>
      </c>
      <c r="AE5" s="20">
        <v>4</v>
      </c>
      <c r="AF5" s="20">
        <v>0.2</v>
      </c>
      <c r="AG5" s="20">
        <v>0</v>
      </c>
      <c r="AH5" s="20">
        <v>18.399999999999999</v>
      </c>
      <c r="AI5" s="20">
        <v>6.8</v>
      </c>
      <c r="AJ5" s="20">
        <v>0.6</v>
      </c>
      <c r="AK5" s="20">
        <v>0</v>
      </c>
      <c r="AL5" s="32"/>
      <c r="AM5" s="55">
        <f>IF(SUM(S5,W5)&gt;0,SUM(S5,W5),"")</f>
        <v>7.6</v>
      </c>
      <c r="AN5" s="55">
        <f>IF(SUM(R5:S5,U5:W5,Y5)-T5-X5&gt;0,SUM(R5:S5,U5:W5,Y5)-T5-X5,"")</f>
        <v>26.2</v>
      </c>
      <c r="AO5" s="55">
        <f>IF(SUM(Z5:AA5,AC5)-AB5&gt;0,SUM(Z5:AA5,AC5)-AB5,"")</f>
        <v>24.5</v>
      </c>
      <c r="AP5" s="55">
        <f>IF(SUM(AE5,AI5)&gt;0,SUM(AE5,AI5),"")</f>
        <v>10.8</v>
      </c>
      <c r="AQ5" s="55">
        <f>IF(SUM(AD5:AE5,AG5:AI5,AK5)-SUM(AF5,AJ5)&gt;0,SUM(AD5:AE5,AG5:AI5,AK5)-SUM(AF5,AJ5),"")</f>
        <v>45.8</v>
      </c>
      <c r="AR5" s="55">
        <f>IF(SUM(AN5,AO5,AQ5)&gt;0,SUM(AN5,AO5,AQ5),"")</f>
        <v>96.5</v>
      </c>
      <c r="AS5" s="19">
        <v>19.2</v>
      </c>
      <c r="AT5" s="19">
        <v>7.2</v>
      </c>
      <c r="AU5" s="19">
        <v>0</v>
      </c>
      <c r="AV5" s="19">
        <v>0</v>
      </c>
      <c r="AW5" s="19">
        <v>19</v>
      </c>
      <c r="AX5" s="19">
        <v>6.4</v>
      </c>
      <c r="AY5" s="19">
        <v>0</v>
      </c>
      <c r="AZ5" s="19">
        <v>0</v>
      </c>
      <c r="BA5" s="19">
        <v>18.100000000000001</v>
      </c>
      <c r="BB5" s="19">
        <v>7.7</v>
      </c>
      <c r="BC5" s="19">
        <v>0.2</v>
      </c>
      <c r="BD5" s="19">
        <v>0</v>
      </c>
      <c r="BE5" s="19">
        <v>18.7</v>
      </c>
      <c r="BF5" s="19">
        <v>6</v>
      </c>
      <c r="BG5" s="19">
        <v>1</v>
      </c>
      <c r="BH5" s="19">
        <v>0</v>
      </c>
      <c r="BI5" s="19">
        <v>19.100000000000001</v>
      </c>
      <c r="BJ5" s="19">
        <v>6.4</v>
      </c>
      <c r="BK5" s="19">
        <v>0</v>
      </c>
      <c r="BL5" s="19">
        <v>0</v>
      </c>
      <c r="BM5" s="33"/>
      <c r="BN5" s="14">
        <f>IF(SUM(AT5,AX5)&gt;0,SUM(AT5,AX5),"")</f>
        <v>13.600000000000001</v>
      </c>
      <c r="BO5" s="14">
        <f>IF(SUM(AS5:AT5,AV5:AX5,AZ5)-AU5-AY5&gt;0,SUM(AS5:AT5,AV5:AX5,AZ5)-AU5-AY5,"")</f>
        <v>51.8</v>
      </c>
      <c r="BP5" s="14">
        <f>IF(SUM(BA5:BB5,BD5)-BC5&gt;0,SUM(BA5:BB5,BD5)-BC5,"")</f>
        <v>25.6</v>
      </c>
      <c r="BQ5" s="14">
        <f>IF(SUM(BF5,BJ5)&gt;0,SUM(BF5,BJ5),"")</f>
        <v>12.4</v>
      </c>
      <c r="BR5" s="14">
        <f>IF(SUM(BE5:BF5,BH5:BJ5,BL5)-SUM(BG5,BK5)&gt;0,SUM(BE5:BF5,BH5:BJ5,BL5)-SUM(BG5,BK5),"")</f>
        <v>49.199999999999996</v>
      </c>
      <c r="BS5" s="14">
        <f>IF(SUM(BO5,BP5,BR5)&gt;0,SUM(BO5,BP5,BR5),"")</f>
        <v>126.6</v>
      </c>
      <c r="BT5" s="20">
        <v>19.100000000000001</v>
      </c>
      <c r="BU5" s="20">
        <v>7.2</v>
      </c>
      <c r="BV5" s="20">
        <v>0.6</v>
      </c>
      <c r="BW5" s="20">
        <v>0</v>
      </c>
      <c r="BX5" s="20">
        <v>18.8</v>
      </c>
      <c r="BY5" s="20">
        <v>7.2</v>
      </c>
      <c r="BZ5" s="20">
        <v>0.6</v>
      </c>
      <c r="CA5" s="20">
        <v>0</v>
      </c>
      <c r="CB5" s="20">
        <v>17.899999999999999</v>
      </c>
      <c r="CC5" s="20">
        <v>6</v>
      </c>
      <c r="CD5" s="20">
        <v>1</v>
      </c>
      <c r="CE5" s="20">
        <v>0</v>
      </c>
      <c r="CF5" s="20">
        <v>18.399999999999999</v>
      </c>
      <c r="CG5" s="20">
        <v>7.2</v>
      </c>
      <c r="CH5" s="20">
        <v>0.6</v>
      </c>
      <c r="CI5" s="20">
        <v>0</v>
      </c>
      <c r="CJ5" s="20">
        <v>0</v>
      </c>
      <c r="CK5" s="20">
        <v>0</v>
      </c>
      <c r="CL5" s="20">
        <v>0</v>
      </c>
      <c r="CM5" s="20">
        <v>0</v>
      </c>
      <c r="CN5" s="32"/>
      <c r="CO5" s="55">
        <f>IF(SUM(BU5,BY5)&gt;0,SUM(BU5,BY5),"")</f>
        <v>14.4</v>
      </c>
      <c r="CP5" s="55">
        <f>IF(SUM(BT5:BU5,BW5:BY5,CA5)-BV5-BZ5&gt;0,SUM(BT5:BU5,BW5:BY5,CA5)-BV5-BZ5,"")</f>
        <v>51.1</v>
      </c>
      <c r="CQ5" s="55">
        <f>IF(SUM(CB5:CC5,CE5)-CD5&gt;0,SUM(CB5:CC5,CE5)-CD5,"")</f>
        <v>22.9</v>
      </c>
      <c r="CR5" s="55">
        <f>IF(SUM(CG5,CK5)&gt;0,SUM(CG5,CK5),"")</f>
        <v>7.2</v>
      </c>
      <c r="CS5" s="55">
        <f>IF(SUM(CF5:CG5,CI5:CK5,CM5)-SUM(CH5,CL5)&gt;0,SUM(CF5:CG5,CI5:CK5,CM5)-SUM(CH5,CL5),"")</f>
        <v>24.999999999999996</v>
      </c>
      <c r="CT5" s="55">
        <f>IF(SUM(CP5,CQ5,CS5)&gt;0,SUM(CP5,CQ5,CS5),"")</f>
        <v>99</v>
      </c>
      <c r="CU5" s="56" t="str">
        <f>IF(MAX(DR5,ER5,FR5,GR5,HR5,IR5,JR5,KR5,LR5,MR5,NR5,OR5)-IF(K5="",0,K5)&gt;0.001,MAX(DR5,ER5,FR5,GR5,HR5,IR5,JR5,KR5,LR5,MR5,NR5,OR5)-IF(K5="",0,K5),"")</f>
        <v/>
      </c>
      <c r="CV5" s="56" t="str">
        <f>IF(MAX(DU5,EU5,FU5,GU5,HU5,IU5,JU5,KU5,LU5,MU5,NU5,OU5)-IF(M5="",0,M5)&gt;0.001,MAX(DU5,EU5,FU5,GU5,HU5,IU5,JU5,KU5,LU5,MU5,NU5,OU5)-IF(M5="",0,M5),"")</f>
        <v/>
      </c>
      <c r="CW5" s="18">
        <v>18.8</v>
      </c>
      <c r="CX5" s="18">
        <v>6.4</v>
      </c>
      <c r="CY5" s="18">
        <v>0.6</v>
      </c>
      <c r="CZ5" s="18">
        <v>0</v>
      </c>
      <c r="DA5" s="18">
        <v>17</v>
      </c>
      <c r="DB5" s="18">
        <v>6.4</v>
      </c>
      <c r="DC5" s="18">
        <v>1</v>
      </c>
      <c r="DD5" s="18">
        <v>0</v>
      </c>
      <c r="DE5" s="18"/>
      <c r="DF5" s="18"/>
      <c r="DG5" s="18"/>
      <c r="DH5" s="18"/>
      <c r="DI5" s="18"/>
      <c r="DJ5" s="18"/>
      <c r="DK5" s="18"/>
      <c r="DL5" s="18"/>
      <c r="DM5" s="18"/>
      <c r="DN5" s="18"/>
      <c r="DO5" s="18"/>
      <c r="DP5" s="18"/>
      <c r="DQ5" s="55">
        <f>IF(SUM(CX5,DB5)&gt;0,SUM(CX5,DB5),"")</f>
        <v>12.8</v>
      </c>
      <c r="DR5" s="55">
        <f>IF(SUM(CW5:CX5,CZ5:DB5,DD5)-CY5-DC5&gt;0,SUM(CW5:CX5,CZ5:DB5,DD5)-CY5-DC5,"")</f>
        <v>47</v>
      </c>
      <c r="DS5" s="55" t="str">
        <f>IF(SUM(DE5:DF5,DH5)-DG5&gt;0,SUM(DE5:DF5,DH5)-DG5,"")</f>
        <v/>
      </c>
      <c r="DT5" s="55" t="str">
        <f>IF(SUM(DJ5,DN5)&gt;0,SUM(DJ5,DN5),"")</f>
        <v/>
      </c>
      <c r="DU5" s="55" t="str">
        <f>IF(SUM(DI5:DJ5,DL5:DN5,DP5)-SUM(DK5,DO5)&gt;0,SUM(DI5:DJ5,DL5:DN5,DP5)-SUM(DK5,DO5),"")</f>
        <v/>
      </c>
      <c r="DV5" s="55">
        <f>IF(SUM(DR5,DS5,DU5)&gt;0,SUM(DR5,DS5,DU5),"")</f>
        <v>47</v>
      </c>
      <c r="DW5" s="19"/>
      <c r="DX5" s="19"/>
      <c r="DY5" s="19"/>
      <c r="DZ5" s="19"/>
      <c r="EA5" s="19"/>
      <c r="EB5" s="19"/>
      <c r="EC5" s="19"/>
      <c r="ED5" s="19"/>
      <c r="EE5" s="19"/>
      <c r="EF5" s="19"/>
      <c r="EG5" s="19"/>
      <c r="EH5" s="19"/>
      <c r="EI5" s="19"/>
      <c r="EJ5" s="19"/>
      <c r="EK5" s="19"/>
      <c r="EL5" s="19"/>
      <c r="EM5" s="19"/>
      <c r="EN5" s="19"/>
      <c r="EO5" s="19"/>
      <c r="EP5" s="19"/>
      <c r="EQ5" s="14" t="str">
        <f>IF(SUM(DX5,EB5)&gt;0,SUM(DX5,EB5),"")</f>
        <v/>
      </c>
      <c r="ER5" s="14" t="str">
        <f>IF(SUM(DW5:DX5,DZ5:EB5,ED5)-DY5-EC5&gt;0,SUM(DW5:DX5,DZ5:EB5,ED5)-DY5-EC5,"")</f>
        <v/>
      </c>
      <c r="ES5" s="14" t="str">
        <f>IF(SUM(EE5:EF5,EH5)-EG5&gt;0,SUM(EE5:EF5,EH5)-EG5,"")</f>
        <v/>
      </c>
      <c r="ET5" s="14" t="str">
        <f>IF(SUM(EJ5,EN5)&gt;0,SUM(EJ5,EN5),"")</f>
        <v/>
      </c>
      <c r="EU5" s="14" t="str">
        <f>IF(SUM(EI5:EJ5,EL5:EN5,EP5)-SUM(EK5,EO5)&gt;0,SUM(EI5:EJ5,EL5:EN5,EP5)-SUM(EK5,EO5),"")</f>
        <v/>
      </c>
      <c r="EV5" s="14" t="str">
        <f>IF(SUM(ER5,ES5,EU5)&gt;0,SUM(ER5,ES5,EU5),"")</f>
        <v/>
      </c>
      <c r="EW5" s="18"/>
      <c r="EX5" s="18"/>
      <c r="EY5" s="18"/>
      <c r="EZ5" s="18"/>
      <c r="FA5" s="18"/>
      <c r="FB5" s="18"/>
      <c r="FC5" s="18"/>
      <c r="FD5" s="18"/>
      <c r="FE5" s="18"/>
      <c r="FF5" s="18"/>
      <c r="FG5" s="18"/>
      <c r="FH5" s="18"/>
      <c r="FI5" s="18"/>
      <c r="FJ5" s="18"/>
      <c r="FK5" s="18"/>
      <c r="FL5" s="18"/>
      <c r="FM5" s="18"/>
      <c r="FN5" s="18"/>
      <c r="FO5" s="18"/>
      <c r="FP5" s="18"/>
      <c r="FQ5" s="55" t="str">
        <f>IF(SUM(EX5,FB5)&gt;0,SUM(EX5,FB5),"")</f>
        <v/>
      </c>
      <c r="FR5" s="55" t="str">
        <f>IF(SUM(EW5:EX5,EZ5:FB5,FD5)-EY5-FC5&gt;0,SUM(EW5:EX5,EZ5:FB5,FD5)-EY5-FC5,"")</f>
        <v/>
      </c>
      <c r="FS5" s="55" t="str">
        <f>IF(SUM(FE5:FF5,FH5)-FG5&gt;0,SUM(FE5:FF5,FH5)-FG5,"")</f>
        <v/>
      </c>
      <c r="FT5" s="55" t="str">
        <f>IF(SUM(FJ5,FN5)&gt;0,SUM(FJ5,FN5),"")</f>
        <v/>
      </c>
      <c r="FU5" s="55" t="str">
        <f>IF(SUM(FI5:FJ5,FL5:FN5,FP5)-SUM(FK5,FO5)&gt;0,SUM(FI5:FJ5,FL5:FN5,FP5)-SUM(FK5,FO5),"")</f>
        <v/>
      </c>
      <c r="FV5" s="55" t="str">
        <f>IF(SUM(FR5,FS5,FU5)&gt;0,SUM(FR5,FS5,FU5),"")</f>
        <v/>
      </c>
      <c r="FW5" s="19">
        <v>18.8</v>
      </c>
      <c r="FX5" s="19">
        <v>8</v>
      </c>
      <c r="FY5" s="19">
        <v>0</v>
      </c>
      <c r="FZ5" s="19">
        <v>0</v>
      </c>
      <c r="GA5" s="19">
        <v>17.3</v>
      </c>
      <c r="GB5" s="19">
        <v>4</v>
      </c>
      <c r="GC5" s="19">
        <v>0</v>
      </c>
      <c r="GD5" s="19">
        <v>0</v>
      </c>
      <c r="GE5" s="19"/>
      <c r="GF5" s="19"/>
      <c r="GG5" s="19"/>
      <c r="GH5" s="19"/>
      <c r="GI5" s="19"/>
      <c r="GJ5" s="19"/>
      <c r="GK5" s="19"/>
      <c r="GL5" s="19"/>
      <c r="GM5" s="19"/>
      <c r="GN5" s="19"/>
      <c r="GO5" s="19"/>
      <c r="GP5" s="19"/>
      <c r="GQ5" s="14">
        <f>IF(SUM(FX5,GB5)&gt;0,SUM(FX5,GB5),"")</f>
        <v>12</v>
      </c>
      <c r="GR5" s="14">
        <f>IF(SUM(FW5:FX5,FZ5:GB5,GD5)-FY5-GC5&gt;0,SUM(FW5:FX5,FZ5:GB5,GD5)-FY5-GC5,"")</f>
        <v>48.1</v>
      </c>
      <c r="GS5" s="14" t="str">
        <f>IF(SUM(GE5:GF5,GH5)-GG5&gt;0,SUM(GE5:GF5,GH5)-GG5,"")</f>
        <v/>
      </c>
      <c r="GT5" s="14" t="str">
        <f>IF(SUM(GJ5,GN5)&gt;0,SUM(GJ5,GN5),"")</f>
        <v/>
      </c>
      <c r="GU5" s="14" t="str">
        <f>IF(SUM(GI5:GJ5,GL5:GN5,GP5)-SUM(GK5,GO5)&gt;0,SUM(GI5:GJ5,GL5:GN5,GP5)-SUM(GK5,GO5),"")</f>
        <v/>
      </c>
      <c r="GV5" s="14">
        <f>IF(SUM(GR5,GS5,GU5)&gt;0,SUM(GR5,GS5,GU5),"")</f>
        <v>48.1</v>
      </c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55" t="str">
        <f>IF(SUM(GX5,HB5)&gt;0,SUM(GX5,HB5),"")</f>
        <v/>
      </c>
      <c r="HR5" s="55" t="str">
        <f>IF(SUM(GW5:GX5,GZ5:HB5,HD5)-GY5-HC5&gt;0,SUM(GW5:GX5,GZ5:HB5,HD5)-GY5-HC5,"")</f>
        <v/>
      </c>
      <c r="HS5" s="55" t="str">
        <f>IF(SUM(HE5:HF5,HH5)-HG5&gt;0,SUM(HE5:HF5,HH5)-HG5,"")</f>
        <v/>
      </c>
      <c r="HT5" s="55" t="str">
        <f>IF(SUM(HJ5,HN5)&gt;0,SUM(HJ5,HN5),"")</f>
        <v/>
      </c>
      <c r="HU5" s="55" t="str">
        <f>IF(SUM(HI5:HJ5,HL5:HN5,HP5)-SUM(HK5,HO5)&gt;0,SUM(HI5:HJ5,HL5:HN5,HP5)-SUM(HK5,HO5),"")</f>
        <v/>
      </c>
      <c r="HV5" s="55" t="str">
        <f>IF(SUM(HR5,HS5,HU5)&gt;0,SUM(HR5,HS5,HU5),"")</f>
        <v/>
      </c>
      <c r="HW5" s="19"/>
      <c r="HX5" s="19"/>
      <c r="HY5" s="19"/>
      <c r="HZ5" s="19"/>
      <c r="IA5" s="19"/>
      <c r="IB5" s="19"/>
      <c r="IC5" s="19"/>
      <c r="ID5" s="19"/>
      <c r="IE5" s="19"/>
      <c r="IF5" s="19"/>
      <c r="IG5" s="19"/>
      <c r="IH5" s="19"/>
      <c r="II5" s="19"/>
      <c r="IJ5" s="19"/>
      <c r="IK5" s="19"/>
      <c r="IL5" s="19"/>
      <c r="IM5" s="19"/>
      <c r="IN5" s="19"/>
      <c r="IO5" s="19"/>
      <c r="IP5" s="19"/>
      <c r="IQ5" s="14" t="str">
        <f>IF(SUM(HX5,IB5)&gt;0,SUM(HX5,IB5),"")</f>
        <v/>
      </c>
      <c r="IR5" s="14" t="str">
        <f>IF(SUM(HW5:HX5,HZ5:IB5,ID5)-HY5-IC5&gt;0,SUM(HW5:HX5,HZ5:IB5,ID5)-HY5-IC5,"")</f>
        <v/>
      </c>
      <c r="IS5" s="14" t="str">
        <f>IF(SUM(IE5:IF5,IH5)-IG5&gt;0,SUM(IE5:IF5,IH5)-IG5,"")</f>
        <v/>
      </c>
      <c r="IT5" s="14" t="str">
        <f>IF(SUM(IJ5,IN5)&gt;0,SUM(IJ5,IN5),"")</f>
        <v/>
      </c>
      <c r="IU5" s="14" t="str">
        <f>IF(SUM(II5:IJ5,IL5:IN5,IP5)-SUM(IK5,IO5)&gt;0,SUM(II5:IJ5,IL5:IN5,IP5)-SUM(IK5,IO5),"")</f>
        <v/>
      </c>
      <c r="IV5" s="14" t="str">
        <f>IF(SUM(IR5,IS5,IU5)&gt;0,SUM(IR5,IS5,IU5),"")</f>
        <v/>
      </c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8"/>
      <c r="JL5" s="18"/>
      <c r="JM5" s="18"/>
      <c r="JN5" s="18"/>
      <c r="JO5" s="18"/>
      <c r="JP5" s="18"/>
      <c r="JQ5" s="55" t="str">
        <f>IF(SUM(IX5,JB5)&gt;0,SUM(IX5,JB5),"")</f>
        <v/>
      </c>
      <c r="JR5" s="55" t="str">
        <f>IF(SUM(IW5:IX5,IZ5:JB5,JD5)-IY5-JC5&gt;0,SUM(IW5:IX5,IZ5:JB5,JD5)-IY5-JC5,"")</f>
        <v/>
      </c>
      <c r="JS5" s="55" t="str">
        <f>IF(SUM(JE5:JF5,JH5)-JG5&gt;0,SUM(JE5:JF5,JH5)-JG5,"")</f>
        <v/>
      </c>
      <c r="JT5" s="55" t="str">
        <f>IF(SUM(JJ5,JN5)&gt;0,SUM(JJ5,JN5),"")</f>
        <v/>
      </c>
      <c r="JU5" s="55" t="str">
        <f>IF(SUM(JI5:JJ5,JL5:JN5,JP5)-SUM(JK5,JO5)&gt;0,SUM(JI5:JJ5,JL5:JN5,JP5)-SUM(JK5,JO5),"")</f>
        <v/>
      </c>
      <c r="JV5" s="55" t="str">
        <f>IF(SUM(JR5,JS5,JU5)&gt;0,SUM(JR5,JS5,JU5),"")</f>
        <v/>
      </c>
      <c r="JW5" s="19"/>
      <c r="JX5" s="19"/>
      <c r="JY5" s="19"/>
      <c r="JZ5" s="19"/>
      <c r="KA5" s="19"/>
      <c r="KB5" s="19"/>
      <c r="KC5" s="19"/>
      <c r="KD5" s="19"/>
      <c r="KE5" s="19"/>
      <c r="KF5" s="19"/>
      <c r="KG5" s="19"/>
      <c r="KH5" s="19"/>
      <c r="KI5" s="19"/>
      <c r="KJ5" s="19"/>
      <c r="KK5" s="19"/>
      <c r="KL5" s="19"/>
      <c r="KM5" s="19"/>
      <c r="KN5" s="19"/>
      <c r="KO5" s="19"/>
      <c r="KP5" s="19"/>
      <c r="KQ5" s="14" t="str">
        <f>IF(SUM(JX5,KB5)&gt;0,SUM(JX5,KB5),"")</f>
        <v/>
      </c>
      <c r="KR5" s="14" t="str">
        <f>IF(SUM(JW5:JX5,JZ5:KB5,KD5)-JY5-KC5&gt;0,SUM(JW5:JX5,JZ5:KB5,KD5)-JY5-KC5,"")</f>
        <v/>
      </c>
      <c r="KS5" s="14" t="str">
        <f>IF(SUM(KE5:KF5,KH5)-KG5&gt;0,SUM(KE5:KF5,KH5)-KG5,"")</f>
        <v/>
      </c>
      <c r="KT5" s="14" t="str">
        <f>IF(SUM(KJ5,KN5)&gt;0,SUM(KJ5,KN5),"")</f>
        <v/>
      </c>
      <c r="KU5" s="14" t="str">
        <f>IF(SUM(KI5:KJ5,KL5:KN5,KP5)-SUM(KK5,KO5)&gt;0,SUM(KI5:KJ5,KL5:KN5,KP5)-SUM(KK5,KO5),"")</f>
        <v/>
      </c>
      <c r="KV5" s="14" t="str">
        <f>IF(SUM(KR5,KS5,KU5)&gt;0,SUM(KR5,KS5,KU5),"")</f>
        <v/>
      </c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8"/>
      <c r="LP5" s="18"/>
      <c r="LQ5" s="55" t="str">
        <f>IF(SUM(KX5,LB5)&gt;0,SUM(KX5,LB5),"")</f>
        <v/>
      </c>
      <c r="LR5" s="55" t="str">
        <f>IF(SUM(KW5:KX5,KZ5:LB5,LD5)-KY5-LC5&gt;0,SUM(KW5:KX5,KZ5:LB5,LD5)-KY5-LC5,"")</f>
        <v/>
      </c>
      <c r="LS5" s="55" t="str">
        <f>IF(SUM(LE5:LF5,LH5)-LG5&gt;0,SUM(LE5:LF5,LH5)-LG5,"")</f>
        <v/>
      </c>
      <c r="LT5" s="55" t="str">
        <f>IF(SUM(LJ5,LN5)&gt;0,SUM(LJ5,LN5),"")</f>
        <v/>
      </c>
      <c r="LU5" s="55" t="str">
        <f>IF(SUM(LI5:LJ5,LL5:LN5,LP5)-SUM(LK5,LO5)&gt;0,SUM(LI5:LJ5,LL5:LN5,LP5)-SUM(LK5,LO5),"")</f>
        <v/>
      </c>
      <c r="LV5" s="55" t="str">
        <f>IF(SUM(LR5,LS5,LU5)&gt;0,SUM(LR5,LS5,LU5),"")</f>
        <v/>
      </c>
      <c r="LW5" s="19"/>
      <c r="LX5" s="19"/>
      <c r="LY5" s="19"/>
      <c r="LZ5" s="19"/>
      <c r="MA5" s="19"/>
      <c r="MB5" s="19"/>
      <c r="MC5" s="19"/>
      <c r="MD5" s="19"/>
      <c r="ME5" s="19"/>
      <c r="MF5" s="19"/>
      <c r="MG5" s="19"/>
      <c r="MH5" s="19"/>
      <c r="MI5" s="19"/>
      <c r="MJ5" s="19"/>
      <c r="MK5" s="19"/>
      <c r="ML5" s="19"/>
      <c r="MM5" s="19"/>
      <c r="MN5" s="19"/>
      <c r="MO5" s="19"/>
      <c r="MP5" s="19"/>
      <c r="MQ5" s="14" t="str">
        <f>IF(SUM(LX5,MB5)&gt;0,SUM(LX5,MB5),"")</f>
        <v/>
      </c>
      <c r="MR5" s="14" t="str">
        <f>IF(SUM(LW5:LX5,LZ5:MB5,MD5)-LY5-MC5&gt;0,SUM(LW5:LX5,LZ5:MB5,MD5)-LY5-MC5,"")</f>
        <v/>
      </c>
      <c r="MS5" s="14" t="str">
        <f>IF(SUM(ME5:MF5,MH5)-MG5&gt;0,SUM(ME5:MF5,MH5)-MG5,"")</f>
        <v/>
      </c>
      <c r="MT5" s="14" t="str">
        <f>IF(SUM(MJ5,MN5)&gt;0,SUM(MJ5,MN5),"")</f>
        <v/>
      </c>
      <c r="MU5" s="14" t="str">
        <f>IF(SUM(MI5:MJ5,ML5:MN5,MP5)-SUM(MK5,MO5)&gt;0,SUM(MI5:MJ5,ML5:MN5,MP5)-SUM(MK5,MO5),"")</f>
        <v/>
      </c>
      <c r="MV5" s="14" t="str">
        <f>IF(SUM(MR5,MS5,MU5)&gt;0,SUM(MR5,MS5,MU5),"")</f>
        <v/>
      </c>
      <c r="MW5" s="18"/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55" t="str">
        <f>IF(SUM(MX5,NB5)&gt;0,SUM(MX5,NB5),"")</f>
        <v/>
      </c>
      <c r="NR5" s="55" t="str">
        <f>IF(SUM(MW5:MX5,MZ5:NB5,ND5)-MY5-NC5&gt;0,SUM(MW5:MX5,MZ5:NB5,ND5)-MY5-NC5,"")</f>
        <v/>
      </c>
      <c r="NS5" s="55" t="str">
        <f>IF(SUM(NE5:NF5,NH5)-NG5&gt;0,SUM(NE5:NF5,NH5)-NG5,"")</f>
        <v/>
      </c>
      <c r="NT5" s="55" t="str">
        <f>IF(SUM(NJ5,NN5)&gt;0,SUM(NJ5,NN5),"")</f>
        <v/>
      </c>
      <c r="NU5" s="55" t="str">
        <f>IF(SUM(NI5:NJ5,NL5:NN5,NP5)-SUM(NK5,NO5)&gt;0,SUM(NI5:NJ5,NL5:NN5,NP5)-SUM(NK5,NO5),"")</f>
        <v/>
      </c>
      <c r="NV5" s="55" t="str">
        <f>IF(SUM(NR5,NS5,NU5)&gt;0,SUM(NR5,NS5,NU5),"")</f>
        <v/>
      </c>
      <c r="NW5" s="19"/>
      <c r="NX5" s="19"/>
      <c r="NY5" s="19"/>
      <c r="NZ5" s="19"/>
      <c r="OA5" s="19"/>
      <c r="OB5" s="19"/>
      <c r="OC5" s="19"/>
      <c r="OD5" s="19"/>
      <c r="OE5" s="19"/>
      <c r="OF5" s="19"/>
      <c r="OG5" s="19"/>
      <c r="OH5" s="19"/>
      <c r="OI5" s="19"/>
      <c r="OJ5" s="19"/>
      <c r="OK5" s="19"/>
      <c r="OL5" s="19"/>
      <c r="OM5" s="19"/>
      <c r="ON5" s="19"/>
      <c r="OO5" s="19"/>
      <c r="OP5" s="19"/>
      <c r="OQ5" s="14" t="str">
        <f>IF(SUM(NX5,OB5)&gt;0,SUM(NX5,OB5),"")</f>
        <v/>
      </c>
      <c r="OR5" s="14" t="str">
        <f>IF(SUM(NW5:NX5,NZ5:OB5,OD5)-NY5-OC5&gt;0,SUM(NW5:NX5,NZ5:OB5,OD5)-NY5-OC5,"")</f>
        <v/>
      </c>
      <c r="OS5" s="14" t="str">
        <f>IF(SUM(OE5:OF5,OH5)-OG5&gt;0,SUM(OE5:OF5,OH5)-OG5,"")</f>
        <v/>
      </c>
      <c r="OT5" s="14" t="str">
        <f>IF(SUM(OJ5,ON5)&gt;0,SUM(OJ5,ON5),"")</f>
        <v/>
      </c>
      <c r="OU5" s="14" t="str">
        <f>IF(SUM(OI5:OJ5,OL5:ON5,OP5)-SUM(OK5,OO5)&gt;0,SUM(OI5:OJ5,OL5:ON5,OP5)-SUM(OK5,OO5),"")</f>
        <v/>
      </c>
      <c r="OV5" s="14" t="str">
        <f>IF(SUM(OR5,OS5,OU5)&gt;0,SUM(OR5,OS5,OU5),"")</f>
        <v/>
      </c>
      <c r="OW5" s="27">
        <f>IF($CN5="P",BT5,(BT5+AS5)/2)</f>
        <v>19.149999999999999</v>
      </c>
      <c r="OX5" s="27">
        <f>IF($CN5="P",BU5,(BU5+AT5)/2)</f>
        <v>7.2</v>
      </c>
      <c r="OY5" s="27">
        <f>IF($CN5="P",BV5,(BV5+AU5)/2)</f>
        <v>0.3</v>
      </c>
      <c r="OZ5" s="27">
        <f>IF($CN5="P",BW5,(BW5+AV5)/2)</f>
        <v>0</v>
      </c>
      <c r="PA5" s="27">
        <f>IF($CN5="P",BX5,(BX5+AW5)/2)</f>
        <v>18.899999999999999</v>
      </c>
      <c r="PB5" s="27">
        <f>IF($CN5="P",BY5,(BY5+AX5)/2)</f>
        <v>6.8000000000000007</v>
      </c>
      <c r="PC5" s="27">
        <f>IF($CN5="P",BZ5,(BZ5+AY5)/2)</f>
        <v>0.3</v>
      </c>
      <c r="PD5" s="27">
        <f>IF($CN5="P",CA5,(CA5+AZ5)/2)</f>
        <v>0</v>
      </c>
      <c r="PE5" s="27">
        <f>IF($CN5="P",CB5,(CB5+BA5)/2)</f>
        <v>18</v>
      </c>
      <c r="PF5" s="27">
        <f>IF($CN5="P",CC5,(CC5+BB5)/2)</f>
        <v>6.85</v>
      </c>
      <c r="PG5" s="27">
        <f>IF($CN5="P",CD5,(CD5+BC5)/2)</f>
        <v>0.6</v>
      </c>
      <c r="PH5" s="27">
        <f>IF($CN5="P",CE5,(CE5+BD5)/2)</f>
        <v>0</v>
      </c>
      <c r="PI5" s="27">
        <f>IF($CN5="P",CF5,(CF5+BE5)/2)</f>
        <v>18.549999999999997</v>
      </c>
      <c r="PJ5" s="27">
        <f>IF($CN5="P",CG5,(CG5+BF5)/2)</f>
        <v>6.6</v>
      </c>
      <c r="PK5" s="27">
        <f>IF($CN5="P",CH5,(CH5+BG5)/2)</f>
        <v>0.8</v>
      </c>
      <c r="PL5" s="27">
        <f>IF($CN5="P",CI5,(CI5+BH5)/2)</f>
        <v>0</v>
      </c>
      <c r="PM5" s="27">
        <f>IF($CN5="P",CJ5,(CJ5+BI5)/2)</f>
        <v>9.5500000000000007</v>
      </c>
      <c r="PN5" s="27">
        <f>IF($CN5="P",CK5,(CK5+BJ5)/2)</f>
        <v>3.2</v>
      </c>
      <c r="PO5" s="27">
        <f>IF($CN5="P",CL5,(CL5+BK5)/2)</f>
        <v>0</v>
      </c>
      <c r="PP5" s="27">
        <f>IF($CN5="P",CM5,(CM5+BL5)/2)</f>
        <v>0</v>
      </c>
      <c r="PQ5" s="32" t="s">
        <v>44</v>
      </c>
      <c r="PR5" s="55">
        <f>IF(SUM(OX5,PB5)&gt;0,SUM(OX5,PB5),"")</f>
        <v>14</v>
      </c>
      <c r="PS5" s="55">
        <f>IF(SUM(OW5:OX5,OZ5:PB5,PD5)-OY5-PC5&gt;0,SUM(OW5:OX5,OZ5:PB5,PD5)-OY5-PC5,"")</f>
        <v>51.45</v>
      </c>
      <c r="PT5" s="55">
        <f>IF(SUM(PE5:PF5,PH5)-PG5&gt;0,SUM(PE5:PF5,PH5)-PG5,"")</f>
        <v>24.25</v>
      </c>
      <c r="PU5" s="55">
        <f>IF(SUM(PJ5,PN5)&gt;0,SUM(PJ5,PN5),"")</f>
        <v>9.8000000000000007</v>
      </c>
      <c r="PV5" s="55">
        <f>IF(SUM(PI5:PJ5,PL5:PN5,PP5)-SUM(PK5,PO5)&gt;0,SUM(PI5:PJ5,PL5:PN5,PP5)-SUM(PK5,PO5),"")</f>
        <v>37.100000000000009</v>
      </c>
      <c r="PW5" s="55">
        <f>IF(SUM(PS5,PT5,PV5)&gt;0,SUM(PS5,PT5,PV5),"")</f>
        <v>112.80000000000001</v>
      </c>
    </row>
    <row r="6" spans="1:439" x14ac:dyDescent="0.2">
      <c r="A6" s="4" cm="1">
        <f t="array" ref="A6">IF(AND(H6&lt;&gt;"",H6&lt;&gt;"No DD"),SUMPRODUCT((H$4:H$12&lt;&gt;"")*(H$4:H$12&lt;&gt;"No DD")*(E$4:E$12&gt;E6))+1,IF(H6="No DD",SUMPRODUCT((H$4:H$12="No DD")*(E$4:E$12&gt;E6))+1+SUMPRODUCT((H$4:H$12&lt;&gt;"")*(H$4:H$12&lt;&gt;"No DD")),""))</f>
        <v>3</v>
      </c>
      <c r="B6" s="5" t="s">
        <v>103</v>
      </c>
      <c r="C6" s="4" t="s">
        <v>66</v>
      </c>
      <c r="D6" s="4">
        <v>2007</v>
      </c>
      <c r="E6" s="10">
        <f>SUM(I6:O6)+SUM(I6:M6)*0.0000001+SUM(I6)*0.0000000000001</f>
        <v>151.70001499000503</v>
      </c>
      <c r="F6" s="3" t="str">
        <f>IF(OR(AND(AM6&gt;=AR$14,AN6&gt;=AR$18,AM6&lt;&gt;"",AL6=""),AND(AP6&gt;=AR$14,AQ6&gt;=AR$18,AP6&lt;&gt;"",AL6=""),AND(BN6&gt;=BS$14,BO6&gt;=BS$18,BN6&lt;&gt;"",BM6=""),AND(BQ6&gt;=BS$14,BR6&gt;=BS$18,BQ6&lt;&gt;"",BM6=""),AND(CO6&gt;=CT$14,CP6&gt;=CT$18,CO6&lt;&gt;"",CN6=""),AND(CR6&gt;=CT$14,CS6&gt;=CT$18,CR6&lt;&gt;""),AND(DQ6&gt;=DV$14,DR6&gt;=DV$18,DQ6&lt;&gt;""),AND(DT6&gt;=DV$14,DU6&gt;=DV$18,DT6&lt;&gt;""),AND(EQ6&gt;=EV$14,ER6&gt;=EV$18,EQ6&lt;&gt;""),AND(ET6&gt;=EV$14,EU6&gt;=EV$18,ET6&lt;&gt;""),AND(FQ6&gt;=FV$14,FR6&gt;=FV$18,FQ6&lt;&gt;""),AND(FT6&gt;=FV$14,FU6&gt;=FV$18,FT6&lt;&gt;""),AND(GQ6&gt;=GV$14,GR6&gt;=GV$18,GQ6&lt;&gt;""),AND(GT6&gt;=GV$14,GU6&gt;=GV$18,GT6&lt;&gt;""),AND(HQ6&gt;=HV$14,HR6&gt;=HV$18,HQ6&lt;&gt;""),AND(HT6&gt;=HV$14,HU6&gt;=HV$18,HT6&lt;&gt;""),AND(IQ6&gt;=IV$14,IR6&gt;=IV$18,IQ6&lt;&gt;""),AND(IT6&gt;=IV$14,IU6&gt;=IV$18,IT6&lt;&gt;""),AND(JQ6&gt;=JV$14,JR6&gt;=JV$18,JQ6&lt;&gt;""),AND(JT6&gt;=JV$14,JU6&gt;=JV$18,JT6&lt;&gt;""),AND(KQ6&gt;=KV$14,KR6&gt;=KV$18,KQ6&lt;&gt;""),AND(KT6&gt;=KV$14,KU6&gt;=KV$18,KT6&lt;&gt;""),AND(LQ6&gt;=LV$14,LR6&gt;=LV$18,LQ6&lt;&gt;""),AND(LT6&gt;=LV$14,LU6&gt;=LV$18,LT6&lt;&gt;""),AND(MQ6&gt;=MV$14,MR6&gt;=MV$18,MQ6&lt;&gt;""),AND(MT6&gt;=MV$14,MU6&gt;=MV$18,MT6&lt;&gt;""),AND(NQ6&gt;=NV$14,NR6&gt;=NV$18,NQ6&lt;&gt;""),AND(NT6&gt;=NV$14,NU6&gt;=NV$18,NT6&lt;&gt;""),AND(OQ6&gt;=OV$14,OR6&gt;=OV$18,OQ6&lt;&gt;""),AND(OT6&gt;=OV$14,OU6&gt;=OV$18,OT6&lt;&gt;"")),"P","")</f>
        <v>P</v>
      </c>
      <c r="G6" s="3" t="str">
        <f>IF(OR(AND(AN6&gt;=AR$18,AN6&lt;&gt;"",AL6=""),AND(AQ6&gt;=AR$18,AQ6&lt;&gt;"",AL6=""),AND(BO6&gt;=BS$18,BO6&lt;&gt;"",BM6=""),AND(BR6&gt;=BS$18,BR6&lt;&gt;"",BM6=""),AND(CP6&gt;=CT$18,CP6&lt;&gt;"",CN6=""),AND(CS6&gt;=CT$18,CS6&lt;&gt;"",CN6=""),AND(DR6&gt;=DV$18,DR6&lt;&gt;""),AND(DU6&gt;=DV$18,DU6&lt;&gt;""),AND(ER6&gt;=EV$18,ER6&lt;&gt;""),AND(EU6&gt;=EV$18,EU6&lt;&gt;""),AND(FR6&gt;=FV$18,FR6&lt;&gt;""),AND(FU6&gt;=FV$18,FU6&lt;&gt;""),AND(GR6&gt;=GV$18,GR6&lt;&gt;""),AND(GU6&gt;=GV$18,GU6&lt;&gt;""),AND(HR6&gt;=HV$18,HR6&lt;&gt;""),AND(HU6&gt;=HV$18,HU6&lt;&gt;""),AND(IR6&gt;=IV$18,IR6&lt;&gt;""),AND(IU6&gt;=IV$18,IU6&lt;&gt;""),AND(JR6&gt;=JV$18,JR6&lt;&gt;""),AND(JU6&gt;=JV$18,JU6&lt;&gt;""),AND(KR6&gt;=KV$18,KR6&lt;&gt;""),AND(KU6&gt;=KV$18,KU6&lt;&gt;""),AND(LR6&gt;=LV$18,LR6&lt;&gt;""),AND(LU6&gt;=LV$18,LU6&lt;&gt;""),AND(MR6&gt;=MV$18,MR6&lt;&gt;""),AND(MU6&gt;=MV$18,MU6&lt;&gt;""),AND(NR6&gt;=NV$18,NR6&lt;&gt;""),AND(NU6&gt;=NV$18,NU6&lt;&gt;""),AND(OR6&gt;=OV$18,OR6&lt;&gt;""),AND(OU6&gt;=OV$18,OU6&lt;&gt;"")),"P","")</f>
        <v>P</v>
      </c>
      <c r="H6" s="47" t="str">
        <f>IF(AND(G6="P",F6=""),"No DD",IF(OR(AND(AM6&gt;=AR$17,AN6&gt;=AR$21,AM6&lt;&gt;"",AL6=""),AND(AP6&gt;=AR$17,AQ6&gt;=AR$21,AP6&lt;&gt;"",AL6=""),AND(BN6&gt;=BS$17,BO6&gt;=BS$21,BN6&lt;&gt;"",BM6=""),AND(BQ6&gt;=BS$17,BR6&gt;=BS$21,BQ6&lt;&gt;"",BM6=""),AND(CO6&gt;=CT$17,CP6&gt;=CT$21,CO6&lt;&gt;"",CN6=""),AND(CR6&gt;=CT$17,CS6&gt;=CT$21,CR6&lt;&gt;""),AND(DQ6&gt;=DV$17,DR6&gt;=DV$21,DQ6&lt;&gt;""),AND(DT6&gt;=DV$17,DU6&gt;=DV$21,DT6&lt;&gt;""),AND(EQ6&gt;=EV$17,ER6&gt;=EV$21,EQ6&lt;&gt;""),AND(ET6&gt;=EV$17,EU6&gt;=EV$21,ET6&lt;&gt;""),AND(FQ6&gt;=FV$17,FR6&gt;=FV$21,FQ6&lt;&gt;""),AND(FT6&gt;=FV$17,FU6&gt;=FV$21,FT6&lt;&gt;""),AND(GQ6&gt;=GV$17,GR6&gt;=GV$21,GQ6&lt;&gt;""),AND(GT6&gt;=GV$17,GU6&gt;=GV$21,GT6&lt;&gt;""),AND(HQ6&gt;=HV$17,HR6&gt;=HV$21,HQ6&lt;&gt;""),AND(HT6&gt;=HV$17,HU6&gt;=HV$21,HT6&lt;&gt;""),AND(IQ6&gt;=IV$17,IR6&gt;=IV$21,IQ6&lt;&gt;""),AND(IT6&gt;=IV$17,IU6&gt;=IV$21,IT6&lt;&gt;""),AND(JQ6&gt;=JV$17,JR6&gt;=JV$21,JQ6&lt;&gt;""),AND(JT6&gt;=JV$17,JU6&gt;=JV$21,JT6&lt;&gt;""),AND(KQ6&gt;=KV$17,KR6&gt;=KV$21,KQ6&lt;&gt;""),AND(KT6&gt;=KV$17,KU6&gt;=KV$21,KT6&lt;&gt;""),AND(LQ6&gt;=LV$17,LR6&gt;=LV$21,LQ6&lt;&gt;""),AND(LT6&gt;=LV$17,LU6&gt;=LV$21,LT6&lt;&gt;""),AND(MQ6&gt;=MV$17,MR6&gt;=MV$21,MQ6&lt;&gt;""),AND(MT6&gt;=MV$17,MU6&gt;=MV$21,MT6&lt;&gt;""),AND(NQ6&gt;=NV$17,NR6&gt;=NV$21,NQ6&lt;&gt;""),AND(NT6&gt;=NV$17,NU6&gt;=NV$21,NT6&lt;&gt;""),AND(OQ6&gt;=OV$17,OR6&gt;=OV$21,OQ6&lt;&gt;""),AND(OT6&gt;=OV$17,OU6&gt;=OV$21,OT6&lt;&gt;"")),"Merit",IF(OR(AND(AM6&gt;=AR$16,AN6&gt;=AR$20,AM6&lt;&gt;"",AL6=""),AND(AP6&gt;=AR$16,AQ6&gt;=AR$20,AP6&lt;&gt;"",AL6=""),AND(BN6&gt;=BS$16,BO6&gt;=BS$20,BN6&lt;&gt;"",BM6=""),AND(BQ6&gt;=BS$16,BR6&gt;=BS$20,BQ6&lt;&gt;"",BM6=""),AND(CO6&gt;=CT$16,CP6&gt;=CT$20,CO6&lt;&gt;"",CN6=""),AND(CR6&gt;=CT$16,CS6&gt;=CT$20,CR6&lt;&gt;""),AND(DQ6&gt;=DV$16,DR6&gt;=DV$20,DQ6&lt;&gt;""),AND(DT6&gt;=DV$16,DU6&gt;=DV$20,DT6&lt;&gt;""),AND(EQ6&gt;=EV$16,ER6&gt;=EV$20,EQ6&lt;&gt;""),AND(ET6&gt;=EV$16,EU6&gt;=EV$20,ET6&lt;&gt;""),AND(FQ6&gt;=FV$16,FR6&gt;=FV$20,FQ6&lt;&gt;""),AND(FT6&gt;=FV$16,FU6&gt;=FV$20,FT6&lt;&gt;""),AND(GQ6&gt;=GV$16,GR6&gt;=GV$20,GQ6&lt;&gt;""),AND(GT6&gt;=GV$16,GU6&gt;=GV$20,GT6&lt;&gt;""),AND(HQ6&gt;=HV$16,HR6&gt;=HV$20,HQ6&lt;&gt;""),AND(HT6&gt;=HV$16,HU6&gt;=HV$20,HT6&lt;&gt;""),AND(IQ6&gt;=IV$16,IR6&gt;=IV$20,IQ6&lt;&gt;""),AND(IT6&gt;=IV$16,IU6&gt;=IV$20,IT6&lt;&gt;""),AND(JQ6&gt;=JV$16,JR6&gt;=JV$20,JQ6&lt;&gt;""),AND(JT6&gt;=JV$16,JU6&gt;=JV$20,JT6&lt;&gt;""),AND(KQ6&gt;=KV$16,KR6&gt;=KV$20,KQ6&lt;&gt;""),AND(KT6&gt;=KV$16,KU6&gt;=KV$20,KT6&lt;&gt;""),AND(LQ6&gt;=LV$16,LR6&gt;=LV$20,LQ6&lt;&gt;""),AND(LT6&gt;=LV$16,LU6&gt;=LV$20,LT6&lt;&gt;""),AND(MQ6&gt;=MV$16,MR6&gt;=MV$20,MQ6&lt;&gt;""),AND(MT6&gt;=MV$16,MU6&gt;=MV$20,MT6&lt;&gt;""),AND(NQ6&gt;=NV$16,NR6&gt;=NV$20,NQ6&lt;&gt;""),AND(NT6&gt;=NV$16,NU6&gt;=NV$20,NT6&lt;&gt;""),AND(OQ6&gt;=OV$16,OR6&gt;=OV$20,OQ6&lt;&gt;""),AND(OT6&gt;=OV$16,OU6&gt;=OV$20,OT6&lt;&gt;"")),"Excellence",IF(F6="P","National Team",""))))</f>
        <v>Excellence</v>
      </c>
      <c r="I6" s="9">
        <f>IF(COUNT(AN6,BO6,CP6)&gt;0,LARGE((AN6,BO6,CP6),1),0)</f>
        <v>50.199999999999996</v>
      </c>
      <c r="J6" s="9" t="str">
        <f>IF(I6=0,"",IF(I6=CP6,$BT$1,IF(I6=BO6,$AS$1,IF(I6=AN6,$R$1,""))))</f>
        <v>2023 3rd Domestic Trial</v>
      </c>
      <c r="K6" s="9">
        <f>IF(COUNT(AN6,BO6,CP6)&gt;1,LARGE((AN6,BO6,CP6),2),0)</f>
        <v>49.599999999999994</v>
      </c>
      <c r="L6" s="9" t="str">
        <f>IF(K6=0,"",IF(K6=CP6,$BT$1,IF(K6=BO6,$AS$1,IF(K6=AN6,$R$1,""))))</f>
        <v>2023 Nationals</v>
      </c>
      <c r="M6" s="9">
        <f>IF(MAX(AQ6,BR6,CS6)&gt;0,MAX(AQ6,BR6,CS6),0)</f>
        <v>50.099999999999994</v>
      </c>
      <c r="N6" s="9" t="str">
        <f>IF(M6=0,"",IF(M6=CS6,$BT$1,IF(M6=BR6,$AS$1,IF(M6=AQ6,$R$1,""))))</f>
        <v>2023 Nationals</v>
      </c>
      <c r="O6" s="9">
        <f>IF(MAX(CU6:CV6)&gt;0,MAX(CU6:CV6),"")</f>
        <v>1.8000000000000114</v>
      </c>
      <c r="P6" s="14" t="str">
        <f>IF(O6="","",IF(O6=CU6,"("&amp;CU$2&amp;")",IF(O6=CV6,"("&amp;CV$2&amp;")")))</f>
        <v>(Q1)</v>
      </c>
      <c r="Q6" s="9" t="str">
        <f>IF(O6="","",IF(O6=CU6,IF(O6+IF(K6="",0,K6)=OR6,$NW$1,IF(O6+IF(K6="",0,K6)=NR6,$MW$1,IF(O6+IF(K6="",0,K6)=MR6,$LW$1,IF(O6+IF(K6="",0,K6)=LR6,$KW$1,IF(O6+IF(K6="",0,K6)=KR6,$JW$1,IF(O6+IF(K6="",0,K6)=JR6,$IW$1,IF(O6+IF(K6="",0,K6)=IR6,$HW$1,IF(O6+IF(K6="",0,K6)=HR6,$GW$1,IF(O6+IF(K6="",0,K6)=GR6,$FW$1,IF(O6+IF(K6="",0,K6)=FR6,$EW$1,IF(O6+IF(K6="",0,K6)=ER6,$DW$1,IF(O6+IF(K6="",0,K6)=DR6,$CW$1)))))))))))),IF(O6=CV6,IF(O6+IF(M6="",0,M6)=OU6,$NW$1,IF(O6+IF(M6="",0,M6)=NU6,$MW$1,IF(O6+IF(M6="",0,M6)=MU6,$LW$1,IF(O6+IF(M6="",0,M6)=LU6,$KW$1,IF(O6+IF(M6="",0,M6)=KU6,$JW$1,IF(O6+IF(M6="",0,M6)=JU6,$IW$1,IF(O6+IF(M6="",0,M6)=IU6,$HW$1,IF(O6+IF(M6="",0,M6)=HU6,$GW$1,IF(O6+IF(M6="",0,M6)=GU6,$FW$1,IF(O6+IF(M6="",0,M6)=FU6,$EW$1,IF(O6+IF(M6="",0,M6)=EU6,$DW$1,IF(O6+IF(M6="",0,M6)=DU6,$CW$1)))))))))))))))</f>
        <v>2023 WAGC (Nov 18)</v>
      </c>
      <c r="R6" s="20">
        <v>18.600000000000001</v>
      </c>
      <c r="S6" s="20">
        <v>5.2</v>
      </c>
      <c r="T6" s="20">
        <v>0.2</v>
      </c>
      <c r="U6" s="20">
        <v>0</v>
      </c>
      <c r="V6" s="20">
        <v>18.7</v>
      </c>
      <c r="W6" s="20">
        <v>5.2</v>
      </c>
      <c r="X6" s="20">
        <v>0</v>
      </c>
      <c r="Y6" s="20">
        <v>0</v>
      </c>
      <c r="Z6" s="20"/>
      <c r="AA6" s="20"/>
      <c r="AB6" s="20"/>
      <c r="AC6" s="20"/>
      <c r="AD6" s="20">
        <v>18.5</v>
      </c>
      <c r="AE6" s="20">
        <v>5.2</v>
      </c>
      <c r="AF6" s="20">
        <v>0</v>
      </c>
      <c r="AG6" s="20">
        <v>0</v>
      </c>
      <c r="AH6" s="20">
        <v>18.5</v>
      </c>
      <c r="AI6" s="20">
        <v>4.3</v>
      </c>
      <c r="AJ6" s="20">
        <v>0.6</v>
      </c>
      <c r="AK6" s="20">
        <v>0</v>
      </c>
      <c r="AL6" s="32"/>
      <c r="AM6" s="55">
        <f>IF(SUM(S6,W6)&gt;0,SUM(S6,W6),"")</f>
        <v>10.4</v>
      </c>
      <c r="AN6" s="55">
        <f>IF(SUM(R6:S6,U6:W6,Y6)-T6-X6&gt;0,SUM(R6:S6,U6:W6,Y6)-T6-X6,"")</f>
        <v>47.5</v>
      </c>
      <c r="AO6" s="55" t="str">
        <f>IF(SUM(Z6:AA6,AC6)-AB6&gt;0,SUM(Z6:AA6,AC6)-AB6,"")</f>
        <v/>
      </c>
      <c r="AP6" s="55">
        <f>IF(SUM(AE6,AI6)&gt;0,SUM(AE6,AI6),"")</f>
        <v>9.5</v>
      </c>
      <c r="AQ6" s="55">
        <f>IF(SUM(AD6:AE6,AG6:AI6,AK6)-SUM(AF6,AJ6)&gt;0,SUM(AD6:AE6,AG6:AI6,AK6)-SUM(AF6,AJ6),"")</f>
        <v>45.9</v>
      </c>
      <c r="AR6" s="55">
        <f>IF(SUM(AN6,AO6,AQ6)&gt;0,SUM(AN6,AO6,AQ6),"")</f>
        <v>93.4</v>
      </c>
      <c r="AS6" s="19">
        <v>18.100000000000001</v>
      </c>
      <c r="AT6" s="19">
        <v>7.6</v>
      </c>
      <c r="AU6" s="19">
        <v>0.6</v>
      </c>
      <c r="AV6" s="19">
        <v>0</v>
      </c>
      <c r="AW6" s="19">
        <v>17.899999999999999</v>
      </c>
      <c r="AX6" s="19">
        <v>6.8</v>
      </c>
      <c r="AY6" s="19">
        <v>0.2</v>
      </c>
      <c r="AZ6" s="19">
        <v>0</v>
      </c>
      <c r="BA6" s="19">
        <v>17.2</v>
      </c>
      <c r="BB6" s="19">
        <v>2.8</v>
      </c>
      <c r="BC6" s="19">
        <v>0</v>
      </c>
      <c r="BD6" s="19">
        <v>0</v>
      </c>
      <c r="BE6" s="19">
        <v>18.2</v>
      </c>
      <c r="BF6" s="19">
        <v>7.6</v>
      </c>
      <c r="BG6" s="19">
        <v>0</v>
      </c>
      <c r="BH6" s="19">
        <v>0</v>
      </c>
      <c r="BI6" s="19">
        <v>18.100000000000001</v>
      </c>
      <c r="BJ6" s="19">
        <v>6.8</v>
      </c>
      <c r="BK6" s="19">
        <v>0.6</v>
      </c>
      <c r="BL6" s="19">
        <v>0</v>
      </c>
      <c r="BM6" s="33"/>
      <c r="BN6" s="14">
        <f>IF(SUM(AT6,AX6)&gt;0,SUM(AT6,AX6),"")</f>
        <v>14.399999999999999</v>
      </c>
      <c r="BO6" s="14">
        <f>IF(SUM(AS6:AT6,AV6:AX6,AZ6)-AU6-AY6&gt;0,SUM(AS6:AT6,AV6:AX6,AZ6)-AU6-AY6,"")</f>
        <v>49.599999999999994</v>
      </c>
      <c r="BP6" s="14">
        <f>IF(SUM(BA6:BB6,BD6)-BC6&gt;0,SUM(BA6:BB6,BD6)-BC6,"")</f>
        <v>20</v>
      </c>
      <c r="BQ6" s="14">
        <f>IF(SUM(BF6,BJ6)&gt;0,SUM(BF6,BJ6),"")</f>
        <v>14.399999999999999</v>
      </c>
      <c r="BR6" s="14">
        <f>IF(SUM(BE6:BF6,BH6:BJ6,BL6)-SUM(BG6,BK6)&gt;0,SUM(BE6:BF6,BH6:BJ6,BL6)-SUM(BG6,BK6),"")</f>
        <v>50.099999999999994</v>
      </c>
      <c r="BS6" s="14">
        <f>IF(SUM(BO6,BP6,BR6)&gt;0,SUM(BO6,BP6,BR6),"")</f>
        <v>119.69999999999999</v>
      </c>
      <c r="BT6" s="20">
        <v>18.600000000000001</v>
      </c>
      <c r="BU6" s="20">
        <v>7.2</v>
      </c>
      <c r="BV6" s="20">
        <v>0.6</v>
      </c>
      <c r="BW6" s="20">
        <v>0</v>
      </c>
      <c r="BX6" s="20">
        <v>18.2</v>
      </c>
      <c r="BY6" s="20">
        <v>6.8</v>
      </c>
      <c r="BZ6" s="20">
        <v>0</v>
      </c>
      <c r="CA6" s="20">
        <v>0</v>
      </c>
      <c r="CB6" s="20">
        <v>17.7</v>
      </c>
      <c r="CC6" s="20">
        <v>6</v>
      </c>
      <c r="CD6" s="20">
        <v>0.6</v>
      </c>
      <c r="CE6" s="20">
        <v>0</v>
      </c>
      <c r="CF6" s="20">
        <v>18.2</v>
      </c>
      <c r="CG6" s="20">
        <v>7.2</v>
      </c>
      <c r="CH6" s="20">
        <v>0.8</v>
      </c>
      <c r="CI6" s="20">
        <v>0</v>
      </c>
      <c r="CJ6" s="20">
        <v>18</v>
      </c>
      <c r="CK6" s="20">
        <v>6.8000000000000007</v>
      </c>
      <c r="CL6" s="20">
        <v>0.6</v>
      </c>
      <c r="CM6" s="20">
        <v>0</v>
      </c>
      <c r="CN6" s="32"/>
      <c r="CO6" s="55">
        <f>IF(SUM(BU6,BY6)&gt;0,SUM(BU6,BY6),"")</f>
        <v>14</v>
      </c>
      <c r="CP6" s="55">
        <f>IF(SUM(BT6:BU6,BW6:BY6,CA6)-BV6-BZ6&gt;0,SUM(BT6:BU6,BW6:BY6,CA6)-BV6-BZ6,"")</f>
        <v>50.199999999999996</v>
      </c>
      <c r="CQ6" s="55">
        <f>IF(SUM(CB6:CC6,CE6)-CD6&gt;0,SUM(CB6:CC6,CE6)-CD6,"")</f>
        <v>23.099999999999998</v>
      </c>
      <c r="CR6" s="55">
        <f>IF(SUM(CG6,CK6)&gt;0,SUM(CG6,CK6),"")</f>
        <v>14</v>
      </c>
      <c r="CS6" s="55">
        <f>IF(SUM(CF6:CG6,CI6:CK6,CM6)-SUM(CH6,CL6)&gt;0,SUM(CF6:CG6,CI6:CK6,CM6)-SUM(CH6,CL6),"")</f>
        <v>48.800000000000004</v>
      </c>
      <c r="CT6" s="55">
        <f>IF(SUM(CP6,CQ6,CS6)&gt;0,SUM(CP6,CQ6,CS6),"")</f>
        <v>122.1</v>
      </c>
      <c r="CU6" s="56">
        <f>IF(MAX(DR6,ER6,FR6,GR6,HR6,IR6,JR6,KR6,LR6,MR6,NR6,OR6)-IF(K6="",0,K6)&gt;0.001,MAX(DR6,ER6,FR6,GR6,HR6,IR6,JR6,KR6,LR6,MR6,NR6,OR6)-IF(K6="",0,K6),"")</f>
        <v>1.8000000000000114</v>
      </c>
      <c r="CV6" s="56" t="str">
        <f>IF(MAX(DU6,EU6,FU6,GU6,HU6,IU6,JU6,KU6,LU6,MU6,NU6,OU6)-IF(M6="",0,M6)&gt;0.001,MAX(DU6,EU6,FU6,GU6,HU6,IU6,JU6,KU6,LU6,MU6,NU6,OU6)-IF(M6="",0,M6),"")</f>
        <v/>
      </c>
      <c r="CW6" s="18"/>
      <c r="CX6" s="18"/>
      <c r="CY6" s="18"/>
      <c r="CZ6" s="18"/>
      <c r="DA6" s="18"/>
      <c r="DB6" s="18"/>
      <c r="DC6" s="18"/>
      <c r="DD6" s="18"/>
      <c r="DE6" s="18"/>
      <c r="DF6" s="18"/>
      <c r="DG6" s="18"/>
      <c r="DH6" s="18"/>
      <c r="DI6" s="18"/>
      <c r="DJ6" s="18"/>
      <c r="DK6" s="18"/>
      <c r="DL6" s="18"/>
      <c r="DM6" s="18"/>
      <c r="DN6" s="18"/>
      <c r="DO6" s="18"/>
      <c r="DP6" s="18"/>
      <c r="DQ6" s="55" t="str">
        <f>IF(SUM(CX6,DB6)&gt;0,SUM(CX6,DB6),"")</f>
        <v/>
      </c>
      <c r="DR6" s="55" t="str">
        <f>IF(SUM(CW6:CX6,CZ6:DB6,DD6)-CY6-DC6&gt;0,SUM(CW6:CX6,CZ6:DB6,DD6)-CY6-DC6,"")</f>
        <v/>
      </c>
      <c r="DS6" s="55" t="str">
        <f>IF(SUM(DE6:DF6,DH6)-DG6&gt;0,SUM(DE6:DF6,DH6)-DG6,"")</f>
        <v/>
      </c>
      <c r="DT6" s="55" t="str">
        <f>IF(SUM(DJ6,DN6)&gt;0,SUM(DJ6,DN6),"")</f>
        <v/>
      </c>
      <c r="DU6" s="55" t="str">
        <f>IF(SUM(DI6:DJ6,DL6:DN6,DP6)-SUM(DK6,DO6)&gt;0,SUM(DI6:DJ6,DL6:DN6,DP6)-SUM(DK6,DO6),"")</f>
        <v/>
      </c>
      <c r="DV6" s="55" t="str">
        <f>IF(SUM(DR6,DS6,DU6)&gt;0,SUM(DR6,DS6,DU6),"")</f>
        <v/>
      </c>
      <c r="DW6" s="19"/>
      <c r="DX6" s="19"/>
      <c r="DY6" s="19"/>
      <c r="DZ6" s="19"/>
      <c r="EA6" s="19"/>
      <c r="EB6" s="19"/>
      <c r="EC6" s="19"/>
      <c r="ED6" s="19"/>
      <c r="EE6" s="19"/>
      <c r="EF6" s="19"/>
      <c r="EG6" s="19"/>
      <c r="EH6" s="19"/>
      <c r="EI6" s="19"/>
      <c r="EJ6" s="19"/>
      <c r="EK6" s="19"/>
      <c r="EL6" s="19"/>
      <c r="EM6" s="19"/>
      <c r="EN6" s="19"/>
      <c r="EO6" s="19"/>
      <c r="EP6" s="19"/>
      <c r="EQ6" s="14" t="str">
        <f>IF(SUM(DX6,EB6)&gt;0,SUM(DX6,EB6),"")</f>
        <v/>
      </c>
      <c r="ER6" s="14" t="str">
        <f>IF(SUM(DW6:DX6,DZ6:EB6,ED6)-DY6-EC6&gt;0,SUM(DW6:DX6,DZ6:EB6,ED6)-DY6-EC6,"")</f>
        <v/>
      </c>
      <c r="ES6" s="14" t="str">
        <f>IF(SUM(EE6:EF6,EH6)-EG6&gt;0,SUM(EE6:EF6,EH6)-EG6,"")</f>
        <v/>
      </c>
      <c r="ET6" s="14" t="str">
        <f>IF(SUM(EJ6,EN6)&gt;0,SUM(EJ6,EN6),"")</f>
        <v/>
      </c>
      <c r="EU6" s="14" t="str">
        <f>IF(SUM(EI6:EJ6,EL6:EN6,EP6)-SUM(EK6,EO6)&gt;0,SUM(EI6:EJ6,EL6:EN6,EP6)-SUM(EK6,EO6),"")</f>
        <v/>
      </c>
      <c r="EV6" s="14" t="str">
        <f>IF(SUM(ER6,ES6,EU6)&gt;0,SUM(ER6,ES6,EU6),"")</f>
        <v/>
      </c>
      <c r="EW6" s="18"/>
      <c r="EX6" s="18"/>
      <c r="EY6" s="18"/>
      <c r="EZ6" s="18"/>
      <c r="FA6" s="18"/>
      <c r="FB6" s="18"/>
      <c r="FC6" s="18"/>
      <c r="FD6" s="18"/>
      <c r="FE6" s="18"/>
      <c r="FF6" s="18"/>
      <c r="FG6" s="18"/>
      <c r="FH6" s="18"/>
      <c r="FI6" s="18"/>
      <c r="FJ6" s="18"/>
      <c r="FK6" s="18"/>
      <c r="FL6" s="18"/>
      <c r="FM6" s="18"/>
      <c r="FN6" s="18"/>
      <c r="FO6" s="18"/>
      <c r="FP6" s="18"/>
      <c r="FQ6" s="55" t="str">
        <f>IF(SUM(EX6,FB6)&gt;0,SUM(EX6,FB6),"")</f>
        <v/>
      </c>
      <c r="FR6" s="55" t="str">
        <f>IF(SUM(EW6:EX6,EZ6:FB6,FD6)-EY6-FC6&gt;0,SUM(EW6:EX6,EZ6:FB6,FD6)-EY6-FC6,"")</f>
        <v/>
      </c>
      <c r="FS6" s="55" t="str">
        <f>IF(SUM(FE6:FF6,FH6)-FG6&gt;0,SUM(FE6:FF6,FH6)-FG6,"")</f>
        <v/>
      </c>
      <c r="FT6" s="55" t="str">
        <f>IF(SUM(FJ6,FN6)&gt;0,SUM(FJ6,FN6),"")</f>
        <v/>
      </c>
      <c r="FU6" s="55" t="str">
        <f>IF(SUM(FI6:FJ6,FL6:FN6,FP6)-SUM(FK6,FO6)&gt;0,SUM(FI6:FJ6,FL6:FN6,FP6)-SUM(FK6,FO6),"")</f>
        <v/>
      </c>
      <c r="FV6" s="55" t="str">
        <f>IF(SUM(FR6,FS6,FU6)&gt;0,SUM(FR6,FS6,FU6),"")</f>
        <v/>
      </c>
      <c r="FW6" s="19">
        <v>18.5</v>
      </c>
      <c r="FX6" s="19">
        <v>7.6</v>
      </c>
      <c r="FY6" s="19">
        <v>0.6</v>
      </c>
      <c r="FZ6" s="19">
        <v>0</v>
      </c>
      <c r="GA6" s="19">
        <v>18.3</v>
      </c>
      <c r="GB6" s="19">
        <v>7.6</v>
      </c>
      <c r="GC6" s="19">
        <v>0</v>
      </c>
      <c r="GD6" s="19">
        <v>0</v>
      </c>
      <c r="GE6" s="19"/>
      <c r="GF6" s="19"/>
      <c r="GG6" s="19"/>
      <c r="GH6" s="19"/>
      <c r="GI6" s="19"/>
      <c r="GJ6" s="19"/>
      <c r="GK6" s="19"/>
      <c r="GL6" s="19"/>
      <c r="GM6" s="19"/>
      <c r="GN6" s="19"/>
      <c r="GO6" s="19"/>
      <c r="GP6" s="19"/>
      <c r="GQ6" s="14">
        <f>IF(SUM(FX6,GB6)&gt;0,SUM(FX6,GB6),"")</f>
        <v>15.2</v>
      </c>
      <c r="GR6" s="14">
        <f>IF(SUM(FW6:FX6,FZ6:GB6,GD6)-FY6-GC6&gt;0,SUM(FW6:FX6,FZ6:GB6,GD6)-FY6-GC6,"")</f>
        <v>51.400000000000006</v>
      </c>
      <c r="GS6" s="14" t="str">
        <f>IF(SUM(GE6:GF6,GH6)-GG6&gt;0,SUM(GE6:GF6,GH6)-GG6,"")</f>
        <v/>
      </c>
      <c r="GT6" s="14" t="str">
        <f>IF(SUM(GJ6,GN6)&gt;0,SUM(GJ6,GN6),"")</f>
        <v/>
      </c>
      <c r="GU6" s="14" t="str">
        <f>IF(SUM(GI6:GJ6,GL6:GN6,GP6)-SUM(GK6,GO6)&gt;0,SUM(GI6:GJ6,GL6:GN6,GP6)-SUM(GK6,GO6),"")</f>
        <v/>
      </c>
      <c r="GV6" s="14">
        <f>IF(SUM(GR6,GS6,GU6)&gt;0,SUM(GR6,GS6,GU6),"")</f>
        <v>51.400000000000006</v>
      </c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55" t="str">
        <f>IF(SUM(GX6,HB6)&gt;0,SUM(GX6,HB6),"")</f>
        <v/>
      </c>
      <c r="HR6" s="55" t="str">
        <f>IF(SUM(GW6:GX6,GZ6:HB6,HD6)-GY6-HC6&gt;0,SUM(GW6:GX6,GZ6:HB6,HD6)-GY6-HC6,"")</f>
        <v/>
      </c>
      <c r="HS6" s="55" t="str">
        <f>IF(SUM(HE6:HF6,HH6)-HG6&gt;0,SUM(HE6:HF6,HH6)-HG6,"")</f>
        <v/>
      </c>
      <c r="HT6" s="55" t="str">
        <f>IF(SUM(HJ6,HN6)&gt;0,SUM(HJ6,HN6),"")</f>
        <v/>
      </c>
      <c r="HU6" s="55" t="str">
        <f>IF(SUM(HI6:HJ6,HL6:HN6,HP6)-SUM(HK6,HO6)&gt;0,SUM(HI6:HJ6,HL6:HN6,HP6)-SUM(HK6,HO6),"")</f>
        <v/>
      </c>
      <c r="HV6" s="55" t="str">
        <f>IF(SUM(HR6,HS6,HU6)&gt;0,SUM(HR6,HS6,HU6),"")</f>
        <v/>
      </c>
      <c r="HW6" s="19"/>
      <c r="HX6" s="19"/>
      <c r="HY6" s="19"/>
      <c r="HZ6" s="19"/>
      <c r="IA6" s="19"/>
      <c r="IB6" s="19"/>
      <c r="IC6" s="19"/>
      <c r="ID6" s="19"/>
      <c r="IE6" s="19"/>
      <c r="IF6" s="19"/>
      <c r="IG6" s="19"/>
      <c r="IH6" s="19"/>
      <c r="II6" s="19"/>
      <c r="IJ6" s="19"/>
      <c r="IK6" s="19"/>
      <c r="IL6" s="19"/>
      <c r="IM6" s="19"/>
      <c r="IN6" s="19"/>
      <c r="IO6" s="19"/>
      <c r="IP6" s="19"/>
      <c r="IQ6" s="14" t="str">
        <f>IF(SUM(HX6,IB6)&gt;0,SUM(HX6,IB6),"")</f>
        <v/>
      </c>
      <c r="IR6" s="14" t="str">
        <f>IF(SUM(HW6:HX6,HZ6:IB6,ID6)-HY6-IC6&gt;0,SUM(HW6:HX6,HZ6:IB6,ID6)-HY6-IC6,"")</f>
        <v/>
      </c>
      <c r="IS6" s="14" t="str">
        <f>IF(SUM(IE6:IF6,IH6)-IG6&gt;0,SUM(IE6:IF6,IH6)-IG6,"")</f>
        <v/>
      </c>
      <c r="IT6" s="14" t="str">
        <f>IF(SUM(IJ6,IN6)&gt;0,SUM(IJ6,IN6),"")</f>
        <v/>
      </c>
      <c r="IU6" s="14" t="str">
        <f>IF(SUM(II6:IJ6,IL6:IN6,IP6)-SUM(IK6,IO6)&gt;0,SUM(II6:IJ6,IL6:IN6,IP6)-SUM(IK6,IO6),"")</f>
        <v/>
      </c>
      <c r="IV6" s="14" t="str">
        <f>IF(SUM(IR6,IS6,IU6)&gt;0,SUM(IR6,IS6,IU6),"")</f>
        <v/>
      </c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8"/>
      <c r="JL6" s="18"/>
      <c r="JM6" s="18"/>
      <c r="JN6" s="18"/>
      <c r="JO6" s="18"/>
      <c r="JP6" s="18"/>
      <c r="JQ6" s="55" t="str">
        <f>IF(SUM(IX6,JB6)&gt;0,SUM(IX6,JB6),"")</f>
        <v/>
      </c>
      <c r="JR6" s="55" t="str">
        <f>IF(SUM(IW6:IX6,IZ6:JB6,JD6)-IY6-JC6&gt;0,SUM(IW6:IX6,IZ6:JB6,JD6)-IY6-JC6,"")</f>
        <v/>
      </c>
      <c r="JS6" s="55" t="str">
        <f>IF(SUM(JE6:JF6,JH6)-JG6&gt;0,SUM(JE6:JF6,JH6)-JG6,"")</f>
        <v/>
      </c>
      <c r="JT6" s="55" t="str">
        <f>IF(SUM(JJ6,JN6)&gt;0,SUM(JJ6,JN6),"")</f>
        <v/>
      </c>
      <c r="JU6" s="55" t="str">
        <f>IF(SUM(JI6:JJ6,JL6:JN6,JP6)-SUM(JK6,JO6)&gt;0,SUM(JI6:JJ6,JL6:JN6,JP6)-SUM(JK6,JO6),"")</f>
        <v/>
      </c>
      <c r="JV6" s="55" t="str">
        <f>IF(SUM(JR6,JS6,JU6)&gt;0,SUM(JR6,JS6,JU6),"")</f>
        <v/>
      </c>
      <c r="JW6" s="19"/>
      <c r="JX6" s="19"/>
      <c r="JY6" s="19"/>
      <c r="JZ6" s="19"/>
      <c r="KA6" s="19"/>
      <c r="KB6" s="19"/>
      <c r="KC6" s="19"/>
      <c r="KD6" s="19"/>
      <c r="KE6" s="19"/>
      <c r="KF6" s="19"/>
      <c r="KG6" s="19"/>
      <c r="KH6" s="19"/>
      <c r="KI6" s="19"/>
      <c r="KJ6" s="19"/>
      <c r="KK6" s="19"/>
      <c r="KL6" s="19"/>
      <c r="KM6" s="19"/>
      <c r="KN6" s="19"/>
      <c r="KO6" s="19"/>
      <c r="KP6" s="19"/>
      <c r="KQ6" s="14" t="str">
        <f>IF(SUM(JX6,KB6)&gt;0,SUM(JX6,KB6),"")</f>
        <v/>
      </c>
      <c r="KR6" s="14" t="str">
        <f>IF(SUM(JW6:JX6,JZ6:KB6,KD6)-JY6-KC6&gt;0,SUM(JW6:JX6,JZ6:KB6,KD6)-JY6-KC6,"")</f>
        <v/>
      </c>
      <c r="KS6" s="14" t="str">
        <f>IF(SUM(KE6:KF6,KH6)-KG6&gt;0,SUM(KE6:KF6,KH6)-KG6,"")</f>
        <v/>
      </c>
      <c r="KT6" s="14" t="str">
        <f>IF(SUM(KJ6,KN6)&gt;0,SUM(KJ6,KN6),"")</f>
        <v/>
      </c>
      <c r="KU6" s="14" t="str">
        <f>IF(SUM(KI6:KJ6,KL6:KN6,KP6)-SUM(KK6,KO6)&gt;0,SUM(KI6:KJ6,KL6:KN6,KP6)-SUM(KK6,KO6),"")</f>
        <v/>
      </c>
      <c r="KV6" s="14" t="str">
        <f>IF(SUM(KR6,KS6,KU6)&gt;0,SUM(KR6,KS6,KU6),"")</f>
        <v/>
      </c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8"/>
      <c r="LP6" s="18"/>
      <c r="LQ6" s="55" t="str">
        <f>IF(SUM(KX6,LB6)&gt;0,SUM(KX6,LB6),"")</f>
        <v/>
      </c>
      <c r="LR6" s="55" t="str">
        <f>IF(SUM(KW6:KX6,KZ6:LB6,LD6)-KY6-LC6&gt;0,SUM(KW6:KX6,KZ6:LB6,LD6)-KY6-LC6,"")</f>
        <v/>
      </c>
      <c r="LS6" s="55" t="str">
        <f>IF(SUM(LE6:LF6,LH6)-LG6&gt;0,SUM(LE6:LF6,LH6)-LG6,"")</f>
        <v/>
      </c>
      <c r="LT6" s="55" t="str">
        <f>IF(SUM(LJ6,LN6)&gt;0,SUM(LJ6,LN6),"")</f>
        <v/>
      </c>
      <c r="LU6" s="55" t="str">
        <f>IF(SUM(LI6:LJ6,LL6:LN6,LP6)-SUM(LK6,LO6)&gt;0,SUM(LI6:LJ6,LL6:LN6,LP6)-SUM(LK6,LO6),"")</f>
        <v/>
      </c>
      <c r="LV6" s="55" t="str">
        <f>IF(SUM(LR6,LS6,LU6)&gt;0,SUM(LR6,LS6,LU6),"")</f>
        <v/>
      </c>
      <c r="LW6" s="19"/>
      <c r="LX6" s="19"/>
      <c r="LY6" s="19"/>
      <c r="LZ6" s="19"/>
      <c r="MA6" s="19"/>
      <c r="MB6" s="19"/>
      <c r="MC6" s="19"/>
      <c r="MD6" s="19"/>
      <c r="ME6" s="19"/>
      <c r="MF6" s="19"/>
      <c r="MG6" s="19"/>
      <c r="MH6" s="19"/>
      <c r="MI6" s="19"/>
      <c r="MJ6" s="19"/>
      <c r="MK6" s="19"/>
      <c r="ML6" s="19"/>
      <c r="MM6" s="19"/>
      <c r="MN6" s="19"/>
      <c r="MO6" s="19"/>
      <c r="MP6" s="19"/>
      <c r="MQ6" s="14" t="str">
        <f>IF(SUM(LX6,MB6)&gt;0,SUM(LX6,MB6),"")</f>
        <v/>
      </c>
      <c r="MR6" s="14" t="str">
        <f>IF(SUM(LW6:LX6,LZ6:MB6,MD6)-LY6-MC6&gt;0,SUM(LW6:LX6,LZ6:MB6,MD6)-LY6-MC6,"")</f>
        <v/>
      </c>
      <c r="MS6" s="14" t="str">
        <f>IF(SUM(ME6:MF6,MH6)-MG6&gt;0,SUM(ME6:MF6,MH6)-MG6,"")</f>
        <v/>
      </c>
      <c r="MT6" s="14" t="str">
        <f>IF(SUM(MJ6,MN6)&gt;0,SUM(MJ6,MN6),"")</f>
        <v/>
      </c>
      <c r="MU6" s="14" t="str">
        <f>IF(SUM(MI6:MJ6,ML6:MN6,MP6)-SUM(MK6,MO6)&gt;0,SUM(MI6:MJ6,ML6:MN6,MP6)-SUM(MK6,MO6),"")</f>
        <v/>
      </c>
      <c r="MV6" s="14" t="str">
        <f>IF(SUM(MR6,MS6,MU6)&gt;0,SUM(MR6,MS6,MU6),"")</f>
        <v/>
      </c>
      <c r="MW6" s="18"/>
      <c r="MX6" s="18"/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55" t="str">
        <f>IF(SUM(MX6,NB6)&gt;0,SUM(MX6,NB6),"")</f>
        <v/>
      </c>
      <c r="NR6" s="55" t="str">
        <f>IF(SUM(MW6:MX6,MZ6:NB6,ND6)-MY6-NC6&gt;0,SUM(MW6:MX6,MZ6:NB6,ND6)-MY6-NC6,"")</f>
        <v/>
      </c>
      <c r="NS6" s="55" t="str">
        <f>IF(SUM(NE6:NF6,NH6)-NG6&gt;0,SUM(NE6:NF6,NH6)-NG6,"")</f>
        <v/>
      </c>
      <c r="NT6" s="55" t="str">
        <f>IF(SUM(NJ6,NN6)&gt;0,SUM(NJ6,NN6),"")</f>
        <v/>
      </c>
      <c r="NU6" s="55" t="str">
        <f>IF(SUM(NI6:NJ6,NL6:NN6,NP6)-SUM(NK6,NO6)&gt;0,SUM(NI6:NJ6,NL6:NN6,NP6)-SUM(NK6,NO6),"")</f>
        <v/>
      </c>
      <c r="NV6" s="55" t="str">
        <f>IF(SUM(NR6,NS6,NU6)&gt;0,SUM(NR6,NS6,NU6),"")</f>
        <v/>
      </c>
      <c r="NW6" s="19"/>
      <c r="NX6" s="19"/>
      <c r="NY6" s="19"/>
      <c r="NZ6" s="19"/>
      <c r="OA6" s="19"/>
      <c r="OB6" s="19"/>
      <c r="OC6" s="19"/>
      <c r="OD6" s="19"/>
      <c r="OE6" s="19"/>
      <c r="OF6" s="19"/>
      <c r="OG6" s="19"/>
      <c r="OH6" s="19"/>
      <c r="OI6" s="19"/>
      <c r="OJ6" s="19"/>
      <c r="OK6" s="19"/>
      <c r="OL6" s="19"/>
      <c r="OM6" s="19"/>
      <c r="ON6" s="19"/>
      <c r="OO6" s="19"/>
      <c r="OP6" s="19"/>
      <c r="OQ6" s="14" t="str">
        <f>IF(SUM(NX6,OB6)&gt;0,SUM(NX6,OB6),"")</f>
        <v/>
      </c>
      <c r="OR6" s="14" t="str">
        <f>IF(SUM(NW6:NX6,NZ6:OB6,OD6)-NY6-OC6&gt;0,SUM(NW6:NX6,NZ6:OB6,OD6)-NY6-OC6,"")</f>
        <v/>
      </c>
      <c r="OS6" s="14" t="str">
        <f>IF(SUM(OE6:OF6,OH6)-OG6&gt;0,SUM(OE6:OF6,OH6)-OG6,"")</f>
        <v/>
      </c>
      <c r="OT6" s="14" t="str">
        <f>IF(SUM(OJ6,ON6)&gt;0,SUM(OJ6,ON6),"")</f>
        <v/>
      </c>
      <c r="OU6" s="14" t="str">
        <f>IF(SUM(OI6:OJ6,OL6:ON6,OP6)-SUM(OK6,OO6)&gt;0,SUM(OI6:OJ6,OL6:ON6,OP6)-SUM(OK6,OO6),"")</f>
        <v/>
      </c>
      <c r="OV6" s="14" t="str">
        <f>IF(SUM(OR6,OS6,OU6)&gt;0,SUM(OR6,OS6,OU6),"")</f>
        <v/>
      </c>
      <c r="OW6" s="27">
        <f>IF($CN6="P",BT6,(BT6+AS6)/2)</f>
        <v>18.350000000000001</v>
      </c>
      <c r="OX6" s="27">
        <f>IF($CN6="P",BU6,(BU6+AT6)/2)</f>
        <v>7.4</v>
      </c>
      <c r="OY6" s="27">
        <f>IF($CN6="P",BV6,(BV6+AU6)/2)</f>
        <v>0.6</v>
      </c>
      <c r="OZ6" s="27">
        <f>IF($CN6="P",BW6,(BW6+AV6)/2)</f>
        <v>0</v>
      </c>
      <c r="PA6" s="27">
        <f>IF($CN6="P",BX6,(BX6+AW6)/2)</f>
        <v>18.049999999999997</v>
      </c>
      <c r="PB6" s="27">
        <f>IF($CN6="P",BY6,(BY6+AX6)/2)</f>
        <v>6.8</v>
      </c>
      <c r="PC6" s="27">
        <f>IF($CN6="P",BZ6,(BZ6+AY6)/2)</f>
        <v>0.1</v>
      </c>
      <c r="PD6" s="27">
        <f>IF($CN6="P",CA6,(CA6+AZ6)/2)</f>
        <v>0</v>
      </c>
      <c r="PE6" s="27">
        <f>IF($CN6="P",CB6,(CB6+BA6)/2)</f>
        <v>17.45</v>
      </c>
      <c r="PF6" s="27">
        <f>IF($CN6="P",CC6,(CC6+BB6)/2)</f>
        <v>4.4000000000000004</v>
      </c>
      <c r="PG6" s="27">
        <f>IF($CN6="P",CD6,(CD6+BC6)/2)</f>
        <v>0.3</v>
      </c>
      <c r="PH6" s="27">
        <f>IF($CN6="P",CE6,(CE6+BD6)/2)</f>
        <v>0</v>
      </c>
      <c r="PI6" s="27">
        <f>IF($CN6="P",CF6,(CF6+BE6)/2)</f>
        <v>18.2</v>
      </c>
      <c r="PJ6" s="27">
        <f>IF($CN6="P",CG6,(CG6+BF6)/2)</f>
        <v>7.4</v>
      </c>
      <c r="PK6" s="27">
        <f>IF($CN6="P",CH6,(CH6+BG6)/2)</f>
        <v>0.4</v>
      </c>
      <c r="PL6" s="27">
        <f>IF($CN6="P",CI6,(CI6+BH6)/2)</f>
        <v>0</v>
      </c>
      <c r="PM6" s="27">
        <f>IF($CN6="P",CJ6,(CJ6+BI6)/2)</f>
        <v>18.05</v>
      </c>
      <c r="PN6" s="27">
        <f>IF($CN6="P",CK6,(CK6+BJ6)/2)</f>
        <v>6.8000000000000007</v>
      </c>
      <c r="PO6" s="27">
        <f>IF($CN6="P",CL6,(CL6+BK6)/2)</f>
        <v>0.6</v>
      </c>
      <c r="PP6" s="27">
        <f>IF($CN6="P",CM6,(CM6+BL6)/2)</f>
        <v>0</v>
      </c>
      <c r="PQ6" s="32" t="s">
        <v>44</v>
      </c>
      <c r="PR6" s="55">
        <f>IF(SUM(OX6,PB6)&gt;0,SUM(OX6,PB6),"")</f>
        <v>14.2</v>
      </c>
      <c r="PS6" s="55">
        <f>IF(SUM(OW6:OX6,OZ6:PB6,PD6)-OY6-PC6&gt;0,SUM(OW6:OX6,OZ6:PB6,PD6)-OY6-PC6,"")</f>
        <v>49.899999999999991</v>
      </c>
      <c r="PT6" s="55">
        <f>IF(SUM(PE6:PF6,PH6)-PG6&gt;0,SUM(PE6:PF6,PH6)-PG6,"")</f>
        <v>21.55</v>
      </c>
      <c r="PU6" s="55">
        <f>IF(SUM(PJ6,PN6)&gt;0,SUM(PJ6,PN6),"")</f>
        <v>14.200000000000001</v>
      </c>
      <c r="PV6" s="55">
        <f>IF(SUM(PI6:PJ6,PL6:PN6,PP6)-SUM(PK6,PO6)&gt;0,SUM(PI6:PJ6,PL6:PN6,PP6)-SUM(PK6,PO6),"")</f>
        <v>49.45</v>
      </c>
      <c r="PW6" s="55">
        <f>IF(SUM(PS6,PT6,PV6)&gt;0,SUM(PS6,PT6,PV6),"")</f>
        <v>120.89999999999999</v>
      </c>
    </row>
    <row r="7" spans="1:439" x14ac:dyDescent="0.2">
      <c r="A7" s="4" cm="1">
        <f t="array" ref="A7">IF(AND(H7&lt;&gt;"",H7&lt;&gt;"No DD"),SUMPRODUCT((H$4:H$12&lt;&gt;"")*(H$4:H$12&lt;&gt;"No DD")*(E$4:E$12&gt;E7))+1,IF(H7="No DD",SUMPRODUCT((H$4:H$12="No DD")*(E$4:E$12&gt;E7))+1+SUMPRODUCT((H$4:H$12&lt;&gt;"")*(H$4:H$12&lt;&gt;"No DD")),""))</f>
        <v>4</v>
      </c>
      <c r="B7" s="5" t="s">
        <v>102</v>
      </c>
      <c r="C7" s="4" t="s">
        <v>101</v>
      </c>
      <c r="D7" s="4">
        <v>2009</v>
      </c>
      <c r="E7" s="10">
        <f>SUM(I7:O7)+SUM(I7:M7)*0.0000001+SUM(I7)*0.0000000000001</f>
        <v>148.00001480000495</v>
      </c>
      <c r="F7" s="3" t="str">
        <f>IF(OR(AND(AM7&gt;=AR$14,AN7&gt;=AR$18,AM7&lt;&gt;"",AL7=""),AND(AP7&gt;=AR$14,AQ7&gt;=AR$18,AP7&lt;&gt;"",AL7=""),AND(BN7&gt;=BS$14,BO7&gt;=BS$18,BN7&lt;&gt;"",BM7=""),AND(BQ7&gt;=BS$14,BR7&gt;=BS$18,BQ7&lt;&gt;"",BM7=""),AND(CO7&gt;=CT$14,CP7&gt;=CT$18,CO7&lt;&gt;"",CN7=""),AND(CR7&gt;=CT$14,CS7&gt;=CT$18,CR7&lt;&gt;""),AND(DQ7&gt;=DV$14,DR7&gt;=DV$18,DQ7&lt;&gt;""),AND(DT7&gt;=DV$14,DU7&gt;=DV$18,DT7&lt;&gt;""),AND(EQ7&gt;=EV$14,ER7&gt;=EV$18,EQ7&lt;&gt;""),AND(ET7&gt;=EV$14,EU7&gt;=EV$18,ET7&lt;&gt;""),AND(FQ7&gt;=FV$14,FR7&gt;=FV$18,FQ7&lt;&gt;""),AND(FT7&gt;=FV$14,FU7&gt;=FV$18,FT7&lt;&gt;""),AND(GQ7&gt;=GV$14,GR7&gt;=GV$18,GQ7&lt;&gt;""),AND(GT7&gt;=GV$14,GU7&gt;=GV$18,GT7&lt;&gt;""),AND(HQ7&gt;=HV$14,HR7&gt;=HV$18,HQ7&lt;&gt;""),AND(HT7&gt;=HV$14,HU7&gt;=HV$18,HT7&lt;&gt;""),AND(IQ7&gt;=IV$14,IR7&gt;=IV$18,IQ7&lt;&gt;""),AND(IT7&gt;=IV$14,IU7&gt;=IV$18,IT7&lt;&gt;""),AND(JQ7&gt;=JV$14,JR7&gt;=JV$18,JQ7&lt;&gt;""),AND(JT7&gt;=JV$14,JU7&gt;=JV$18,JT7&lt;&gt;""),AND(KQ7&gt;=KV$14,KR7&gt;=KV$18,KQ7&lt;&gt;""),AND(KT7&gt;=KV$14,KU7&gt;=KV$18,KT7&lt;&gt;""),AND(LQ7&gt;=LV$14,LR7&gt;=LV$18,LQ7&lt;&gt;""),AND(LT7&gt;=LV$14,LU7&gt;=LV$18,LT7&lt;&gt;""),AND(MQ7&gt;=MV$14,MR7&gt;=MV$18,MQ7&lt;&gt;""),AND(MT7&gt;=MV$14,MU7&gt;=MV$18,MT7&lt;&gt;""),AND(NQ7&gt;=NV$14,NR7&gt;=NV$18,NQ7&lt;&gt;""),AND(NT7&gt;=NV$14,NU7&gt;=NV$18,NT7&lt;&gt;""),AND(OQ7&gt;=OV$14,OR7&gt;=OV$18,OQ7&lt;&gt;""),AND(OT7&gt;=OV$14,OU7&gt;=OV$18,OT7&lt;&gt;"")),"P","")</f>
        <v>P</v>
      </c>
      <c r="G7" s="3" t="str">
        <f>IF(OR(AND(AN7&gt;=AR$18,AN7&lt;&gt;"",AL7=""),AND(AQ7&gt;=AR$18,AQ7&lt;&gt;"",AL7=""),AND(BO7&gt;=BS$18,BO7&lt;&gt;"",BM7=""),AND(BR7&gt;=BS$18,BR7&lt;&gt;"",BM7=""),AND(CP7&gt;=CT$18,CP7&lt;&gt;"",CN7=""),AND(CS7&gt;=CT$18,CS7&lt;&gt;"",CN7=""),AND(DR7&gt;=DV$18,DR7&lt;&gt;""),AND(DU7&gt;=DV$18,DU7&lt;&gt;""),AND(ER7&gt;=EV$18,ER7&lt;&gt;""),AND(EU7&gt;=EV$18,EU7&lt;&gt;""),AND(FR7&gt;=FV$18,FR7&lt;&gt;""),AND(FU7&gt;=FV$18,FU7&lt;&gt;""),AND(GR7&gt;=GV$18,GR7&lt;&gt;""),AND(GU7&gt;=GV$18,GU7&lt;&gt;""),AND(HR7&gt;=HV$18,HR7&lt;&gt;""),AND(HU7&gt;=HV$18,HU7&lt;&gt;""),AND(IR7&gt;=IV$18,IR7&lt;&gt;""),AND(IU7&gt;=IV$18,IU7&lt;&gt;""),AND(JR7&gt;=JV$18,JR7&lt;&gt;""),AND(JU7&gt;=JV$18,JU7&lt;&gt;""),AND(KR7&gt;=KV$18,KR7&lt;&gt;""),AND(KU7&gt;=KV$18,KU7&lt;&gt;""),AND(LR7&gt;=LV$18,LR7&lt;&gt;""),AND(LU7&gt;=LV$18,LU7&lt;&gt;""),AND(MR7&gt;=MV$18,MR7&lt;&gt;""),AND(MU7&gt;=MV$18,MU7&lt;&gt;""),AND(NR7&gt;=NV$18,NR7&lt;&gt;""),AND(NU7&gt;=NV$18,NU7&lt;&gt;""),AND(OR7&gt;=OV$18,OR7&lt;&gt;""),AND(OU7&gt;=OV$18,OU7&lt;&gt;"")),"P","")</f>
        <v>P</v>
      </c>
      <c r="H7" s="47" t="str">
        <f>IF(AND(G7="P",F7=""),"No DD",IF(OR(AND(AM7&gt;=AR$17,AN7&gt;=AR$21,AM7&lt;&gt;"",AL7=""),AND(AP7&gt;=AR$17,AQ7&gt;=AR$21,AP7&lt;&gt;"",AL7=""),AND(BN7&gt;=BS$17,BO7&gt;=BS$21,BN7&lt;&gt;"",BM7=""),AND(BQ7&gt;=BS$17,BR7&gt;=BS$21,BQ7&lt;&gt;"",BM7=""),AND(CO7&gt;=CT$17,CP7&gt;=CT$21,CO7&lt;&gt;"",CN7=""),AND(CR7&gt;=CT$17,CS7&gt;=CT$21,CR7&lt;&gt;""),AND(DQ7&gt;=DV$17,DR7&gt;=DV$21,DQ7&lt;&gt;""),AND(DT7&gt;=DV$17,DU7&gt;=DV$21,DT7&lt;&gt;""),AND(EQ7&gt;=EV$17,ER7&gt;=EV$21,EQ7&lt;&gt;""),AND(ET7&gt;=EV$17,EU7&gt;=EV$21,ET7&lt;&gt;""),AND(FQ7&gt;=FV$17,FR7&gt;=FV$21,FQ7&lt;&gt;""),AND(FT7&gt;=FV$17,FU7&gt;=FV$21,FT7&lt;&gt;""),AND(GQ7&gt;=GV$17,GR7&gt;=GV$21,GQ7&lt;&gt;""),AND(GT7&gt;=GV$17,GU7&gt;=GV$21,GT7&lt;&gt;""),AND(HQ7&gt;=HV$17,HR7&gt;=HV$21,HQ7&lt;&gt;""),AND(HT7&gt;=HV$17,HU7&gt;=HV$21,HT7&lt;&gt;""),AND(IQ7&gt;=IV$17,IR7&gt;=IV$21,IQ7&lt;&gt;""),AND(IT7&gt;=IV$17,IU7&gt;=IV$21,IT7&lt;&gt;""),AND(JQ7&gt;=JV$17,JR7&gt;=JV$21,JQ7&lt;&gt;""),AND(JT7&gt;=JV$17,JU7&gt;=JV$21,JT7&lt;&gt;""),AND(KQ7&gt;=KV$17,KR7&gt;=KV$21,KQ7&lt;&gt;""),AND(KT7&gt;=KV$17,KU7&gt;=KV$21,KT7&lt;&gt;""),AND(LQ7&gt;=LV$17,LR7&gt;=LV$21,LQ7&lt;&gt;""),AND(LT7&gt;=LV$17,LU7&gt;=LV$21,LT7&lt;&gt;""),AND(MQ7&gt;=MV$17,MR7&gt;=MV$21,MQ7&lt;&gt;""),AND(MT7&gt;=MV$17,MU7&gt;=MV$21,MT7&lt;&gt;""),AND(NQ7&gt;=NV$17,NR7&gt;=NV$21,NQ7&lt;&gt;""),AND(NT7&gt;=NV$17,NU7&gt;=NV$21,NT7&lt;&gt;""),AND(OQ7&gt;=OV$17,OR7&gt;=OV$21,OQ7&lt;&gt;""),AND(OT7&gt;=OV$17,OU7&gt;=OV$21,OT7&lt;&gt;"")),"Merit",IF(OR(AND(AM7&gt;=AR$16,AN7&gt;=AR$20,AM7&lt;&gt;"",AL7=""),AND(AP7&gt;=AR$16,AQ7&gt;=AR$20,AP7&lt;&gt;"",AL7=""),AND(BN7&gt;=BS$16,BO7&gt;=BS$20,BN7&lt;&gt;"",BM7=""),AND(BQ7&gt;=BS$16,BR7&gt;=BS$20,BQ7&lt;&gt;"",BM7=""),AND(CO7&gt;=CT$16,CP7&gt;=CT$20,CO7&lt;&gt;"",CN7=""),AND(CR7&gt;=CT$16,CS7&gt;=CT$20,CR7&lt;&gt;""),AND(DQ7&gt;=DV$16,DR7&gt;=DV$20,DQ7&lt;&gt;""),AND(DT7&gt;=DV$16,DU7&gt;=DV$20,DT7&lt;&gt;""),AND(EQ7&gt;=EV$16,ER7&gt;=EV$20,EQ7&lt;&gt;""),AND(ET7&gt;=EV$16,EU7&gt;=EV$20,ET7&lt;&gt;""),AND(FQ7&gt;=FV$16,FR7&gt;=FV$20,FQ7&lt;&gt;""),AND(FT7&gt;=FV$16,FU7&gt;=FV$20,FT7&lt;&gt;""),AND(GQ7&gt;=GV$16,GR7&gt;=GV$20,GQ7&lt;&gt;""),AND(GT7&gt;=GV$16,GU7&gt;=GV$20,GT7&lt;&gt;""),AND(HQ7&gt;=HV$16,HR7&gt;=HV$20,HQ7&lt;&gt;""),AND(HT7&gt;=HV$16,HU7&gt;=HV$20,HT7&lt;&gt;""),AND(IQ7&gt;=IV$16,IR7&gt;=IV$20,IQ7&lt;&gt;""),AND(IT7&gt;=IV$16,IU7&gt;=IV$20,IT7&lt;&gt;""),AND(JQ7&gt;=JV$16,JR7&gt;=JV$20,JQ7&lt;&gt;""),AND(JT7&gt;=JV$16,JU7&gt;=JV$20,JT7&lt;&gt;""),AND(KQ7&gt;=KV$16,KR7&gt;=KV$20,KQ7&lt;&gt;""),AND(KT7&gt;=KV$16,KU7&gt;=KV$20,KT7&lt;&gt;""),AND(LQ7&gt;=LV$16,LR7&gt;=LV$20,LQ7&lt;&gt;""),AND(LT7&gt;=LV$16,LU7&gt;=LV$20,LT7&lt;&gt;""),AND(MQ7&gt;=MV$16,MR7&gt;=MV$20,MQ7&lt;&gt;""),AND(MT7&gt;=MV$16,MU7&gt;=MV$20,MT7&lt;&gt;""),AND(NQ7&gt;=NV$16,NR7&gt;=NV$20,NQ7&lt;&gt;""),AND(NT7&gt;=NV$16,NU7&gt;=NV$20,NT7&lt;&gt;""),AND(OQ7&gt;=OV$16,OR7&gt;=OV$20,OQ7&lt;&gt;""),AND(OT7&gt;=OV$16,OU7&gt;=OV$20,OT7&lt;&gt;"")),"Excellence",IF(F7="P","National Team",""))))</f>
        <v>Excellence</v>
      </c>
      <c r="I7" s="9">
        <f>IF(COUNT(AN7,BO7,CP7)&gt;0,LARGE((AN7,BO7,CP7),1),0)</f>
        <v>49.4</v>
      </c>
      <c r="J7" s="9" t="str">
        <f>IF(I7=0,"",IF(I7=CP7,$BT$1,IF(I7=BO7,$AS$1,IF(I7=AN7,$R$1,""))))</f>
        <v>2023 3rd Domestic Trial</v>
      </c>
      <c r="K7" s="9">
        <f>IF(COUNT(AN7,BO7,CP7)&gt;1,LARGE((AN7,BO7,CP7),2),0)</f>
        <v>49.4</v>
      </c>
      <c r="L7" s="9" t="str">
        <f>IF(K7=0,"",IF(K7=CP7,$BT$1,IF(K7=BO7,$AS$1,IF(K7=AN7,$R$1,""))))</f>
        <v>2023 3rd Domestic Trial</v>
      </c>
      <c r="M7" s="9">
        <f>IF(MAX(AQ7,BR7,CS7)&gt;0,MAX(AQ7,BR7,CS7),0)</f>
        <v>49.2</v>
      </c>
      <c r="N7" s="9" t="str">
        <f>IF(M7=0,"",IF(M7=CS7,$BT$1,IF(M7=BR7,$AS$1,IF(M7=AQ7,$R$1,""))))</f>
        <v>2023 Nationals</v>
      </c>
      <c r="O7" s="9" t="str">
        <f>IF(MAX(CU7:CV7)&gt;0,MAX(CU7:CV7),"")</f>
        <v/>
      </c>
      <c r="P7" s="14" t="str">
        <f>IF(O7="","",IF(O7=CU7,"("&amp;CU$2&amp;")",IF(O7=CV7,"("&amp;CV$2&amp;")")))</f>
        <v/>
      </c>
      <c r="Q7" s="9" t="str">
        <f>IF(O7="","",IF(O7=CU7,IF(O7+IF(K7="",0,K7)=OR7,$NW$1,IF(O7+IF(K7="",0,K7)=NR7,$MW$1,IF(O7+IF(K7="",0,K7)=MR7,$LW$1,IF(O7+IF(K7="",0,K7)=LR7,$KW$1,IF(O7+IF(K7="",0,K7)=KR7,$JW$1,IF(O7+IF(K7="",0,K7)=JR7,$IW$1,IF(O7+IF(K7="",0,K7)=IR7,$HW$1,IF(O7+IF(K7="",0,K7)=HR7,$GW$1,IF(O7+IF(K7="",0,K7)=GR7,$FW$1,IF(O7+IF(K7="",0,K7)=FR7,$EW$1,IF(O7+IF(K7="",0,K7)=ER7,$DW$1,IF(O7+IF(K7="",0,K7)=DR7,$CW$1)))))))))))),IF(O7=CV7,IF(O7+IF(M7="",0,M7)=OU7,$NW$1,IF(O7+IF(M7="",0,M7)=NU7,$MW$1,IF(O7+IF(M7="",0,M7)=MU7,$LW$1,IF(O7+IF(M7="",0,M7)=LU7,$KW$1,IF(O7+IF(M7="",0,M7)=KU7,$JW$1,IF(O7+IF(M7="",0,M7)=JU7,$IW$1,IF(O7+IF(M7="",0,M7)=IU7,$HW$1,IF(O7+IF(M7="",0,M7)=HU7,$GW$1,IF(O7+IF(M7="",0,M7)=GU7,$FW$1,IF(O7+IF(M7="",0,M7)=FU7,$EW$1,IF(O7+IF(M7="",0,M7)=EU7,$DW$1,IF(O7+IF(M7="",0,M7)=DU7,$CW$1)))))))))))))))</f>
        <v/>
      </c>
      <c r="R7" s="20">
        <v>18.8</v>
      </c>
      <c r="S7" s="20">
        <v>5.2</v>
      </c>
      <c r="T7" s="20">
        <v>0.6</v>
      </c>
      <c r="U7" s="20">
        <v>0</v>
      </c>
      <c r="V7" s="20">
        <v>18.2</v>
      </c>
      <c r="W7" s="20">
        <v>5.2</v>
      </c>
      <c r="X7" s="20">
        <v>0.2</v>
      </c>
      <c r="Y7" s="20">
        <v>0</v>
      </c>
      <c r="Z7" s="20"/>
      <c r="AA7" s="20"/>
      <c r="AB7" s="20"/>
      <c r="AC7" s="20"/>
      <c r="AD7" s="20">
        <v>18.8</v>
      </c>
      <c r="AE7" s="20">
        <v>4.8</v>
      </c>
      <c r="AF7" s="20">
        <v>0.6</v>
      </c>
      <c r="AG7" s="20">
        <v>0</v>
      </c>
      <c r="AH7" s="20">
        <v>18.2</v>
      </c>
      <c r="AI7" s="20">
        <v>4.4000000000000004</v>
      </c>
      <c r="AJ7" s="20">
        <v>0.2</v>
      </c>
      <c r="AK7" s="20">
        <v>0</v>
      </c>
      <c r="AL7" s="32"/>
      <c r="AM7" s="55">
        <f>IF(SUM(S7,W7)&gt;0,SUM(S7,W7),"")</f>
        <v>10.4</v>
      </c>
      <c r="AN7" s="55">
        <f>IF(SUM(R7:S7,U7:W7,Y7)-T7-X7&gt;0,SUM(R7:S7,U7:W7,Y7)-T7-X7,"")</f>
        <v>46.6</v>
      </c>
      <c r="AO7" s="55" t="str">
        <f>IF(SUM(Z7:AA7,AC7)-AB7&gt;0,SUM(Z7:AA7,AC7)-AB7,"")</f>
        <v/>
      </c>
      <c r="AP7" s="55">
        <f>IF(SUM(AE7,AI7)&gt;0,SUM(AE7,AI7),"")</f>
        <v>9.1999999999999993</v>
      </c>
      <c r="AQ7" s="55">
        <f>IF(SUM(AD7:AE7,AG7:AI7,AK7)-SUM(AF7,AJ7)&gt;0,SUM(AD7:AE7,AG7:AI7,AK7)-SUM(AF7,AJ7),"")</f>
        <v>45.4</v>
      </c>
      <c r="AR7" s="55">
        <f>IF(SUM(AN7,AO7,AQ7)&gt;0,SUM(AN7,AO7,AQ7),"")</f>
        <v>92</v>
      </c>
      <c r="AS7" s="19">
        <v>19.100000000000001</v>
      </c>
      <c r="AT7" s="19">
        <v>5.6</v>
      </c>
      <c r="AU7" s="19">
        <v>0</v>
      </c>
      <c r="AV7" s="19">
        <v>0</v>
      </c>
      <c r="AW7" s="19">
        <v>18.899999999999999</v>
      </c>
      <c r="AX7" s="19">
        <v>6</v>
      </c>
      <c r="AY7" s="19">
        <v>0.2</v>
      </c>
      <c r="AZ7" s="19">
        <v>0</v>
      </c>
      <c r="BA7" s="19">
        <v>18.600000000000001</v>
      </c>
      <c r="BB7" s="19">
        <v>4</v>
      </c>
      <c r="BC7" s="19">
        <v>0.3</v>
      </c>
      <c r="BD7" s="19">
        <v>0</v>
      </c>
      <c r="BE7" s="19">
        <v>19</v>
      </c>
      <c r="BF7" s="19">
        <v>5.6</v>
      </c>
      <c r="BG7" s="19">
        <v>0</v>
      </c>
      <c r="BH7" s="19">
        <v>0</v>
      </c>
      <c r="BI7" s="19">
        <v>18.600000000000001</v>
      </c>
      <c r="BJ7" s="19">
        <v>6</v>
      </c>
      <c r="BK7" s="19">
        <v>0</v>
      </c>
      <c r="BL7" s="19">
        <v>0</v>
      </c>
      <c r="BM7" s="33"/>
      <c r="BN7" s="14">
        <f>IF(SUM(AT7,AX7)&gt;0,SUM(AT7,AX7),"")</f>
        <v>11.6</v>
      </c>
      <c r="BO7" s="14">
        <f>IF(SUM(AS7:AT7,AV7:AX7,AZ7)-AU7-AY7&gt;0,SUM(AS7:AT7,AV7:AX7,AZ7)-AU7-AY7,"")</f>
        <v>49.4</v>
      </c>
      <c r="BP7" s="14">
        <f>IF(SUM(BA7:BB7,BD7)-BC7&gt;0,SUM(BA7:BB7,BD7)-BC7,"")</f>
        <v>22.3</v>
      </c>
      <c r="BQ7" s="14">
        <f>IF(SUM(BF7,BJ7)&gt;0,SUM(BF7,BJ7),"")</f>
        <v>11.6</v>
      </c>
      <c r="BR7" s="14">
        <f>IF(SUM(BE7:BF7,BH7:BJ7,BL7)-SUM(BG7,BK7)&gt;0,SUM(BE7:BF7,BH7:BJ7,BL7)-SUM(BG7,BK7),"")</f>
        <v>49.2</v>
      </c>
      <c r="BS7" s="14">
        <f>IF(SUM(BO7,BP7,BR7)&gt;0,SUM(BO7,BP7,BR7),"")</f>
        <v>120.9</v>
      </c>
      <c r="BT7" s="20">
        <v>18.8</v>
      </c>
      <c r="BU7" s="20">
        <v>5.6</v>
      </c>
      <c r="BV7" s="20">
        <v>0</v>
      </c>
      <c r="BW7" s="20">
        <v>0</v>
      </c>
      <c r="BX7" s="20">
        <v>19</v>
      </c>
      <c r="BY7" s="20">
        <v>6</v>
      </c>
      <c r="BZ7" s="20">
        <v>0</v>
      </c>
      <c r="CA7" s="20">
        <v>0</v>
      </c>
      <c r="CB7" s="20">
        <v>18.399999999999999</v>
      </c>
      <c r="CC7" s="20">
        <v>5.6</v>
      </c>
      <c r="CD7" s="20">
        <v>0.8</v>
      </c>
      <c r="CE7" s="20">
        <v>0</v>
      </c>
      <c r="CF7" s="20">
        <v>19</v>
      </c>
      <c r="CG7" s="20">
        <v>6.4</v>
      </c>
      <c r="CH7" s="20">
        <v>0.6</v>
      </c>
      <c r="CI7" s="20">
        <v>0</v>
      </c>
      <c r="CJ7" s="20">
        <v>17.600000000000001</v>
      </c>
      <c r="CK7" s="20">
        <v>5.2</v>
      </c>
      <c r="CL7" s="20">
        <v>1</v>
      </c>
      <c r="CM7" s="20">
        <v>0</v>
      </c>
      <c r="CN7" s="32"/>
      <c r="CO7" s="55">
        <f>IF(SUM(BU7,BY7)&gt;0,SUM(BU7,BY7),"")</f>
        <v>11.6</v>
      </c>
      <c r="CP7" s="55">
        <f>IF(SUM(BT7:BU7,BW7:BY7,CA7)-BV7-BZ7&gt;0,SUM(BT7:BU7,BW7:BY7,CA7)-BV7-BZ7,"")</f>
        <v>49.4</v>
      </c>
      <c r="CQ7" s="55">
        <f>IF(SUM(CB7:CC7,CE7)-CD7&gt;0,SUM(CB7:CC7,CE7)-CD7,"")</f>
        <v>23.2</v>
      </c>
      <c r="CR7" s="55">
        <f>IF(SUM(CG7,CK7)&gt;0,SUM(CG7,CK7),"")</f>
        <v>11.600000000000001</v>
      </c>
      <c r="CS7" s="55">
        <f>IF(SUM(CF7:CG7,CI7:CK7,CM7)-SUM(CH7,CL7)&gt;0,SUM(CF7:CG7,CI7:CK7,CM7)-SUM(CH7,CL7),"")</f>
        <v>46.6</v>
      </c>
      <c r="CT7" s="55">
        <f>IF(SUM(CP7,CQ7,CS7)&gt;0,SUM(CP7,CQ7,CS7),"")</f>
        <v>119.19999999999999</v>
      </c>
      <c r="CU7" s="56" t="str">
        <f>IF(MAX(DR7,ER7,FR7,GR7,HR7,IR7,JR7,KR7,LR7,MR7,NR7,OR7)-IF(K7="",0,K7)&gt;0.001,MAX(DR7,ER7,FR7,GR7,HR7,IR7,JR7,KR7,LR7,MR7,NR7,OR7)-IF(K7="",0,K7),"")</f>
        <v/>
      </c>
      <c r="CV7" s="56" t="str">
        <f>IF(MAX(DU7,EU7,FU7,GU7,HU7,IU7,JU7,KU7,LU7,MU7,NU7,OU7)-IF(M7="",0,M7)&gt;0.001,MAX(DU7,EU7,FU7,GU7,HU7,IU7,JU7,KU7,LU7,MU7,NU7,OU7)-IF(M7="",0,M7),"")</f>
        <v/>
      </c>
      <c r="CW7" s="18"/>
      <c r="CX7" s="18"/>
      <c r="CY7" s="18"/>
      <c r="CZ7" s="18"/>
      <c r="DA7" s="18"/>
      <c r="DB7" s="18"/>
      <c r="DC7" s="18"/>
      <c r="DD7" s="18"/>
      <c r="DE7" s="18"/>
      <c r="DF7" s="18"/>
      <c r="DG7" s="18"/>
      <c r="DH7" s="18"/>
      <c r="DI7" s="18"/>
      <c r="DJ7" s="18"/>
      <c r="DK7" s="18"/>
      <c r="DL7" s="18"/>
      <c r="DM7" s="18"/>
      <c r="DN7" s="18"/>
      <c r="DO7" s="18"/>
      <c r="DP7" s="18"/>
      <c r="DQ7" s="55" t="str">
        <f>IF(SUM(CX7,DB7)&gt;0,SUM(CX7,DB7),"")</f>
        <v/>
      </c>
      <c r="DR7" s="55" t="str">
        <f>IF(SUM(CW7:CX7,CZ7:DB7,DD7)-CY7-DC7&gt;0,SUM(CW7:CX7,CZ7:DB7,DD7)-CY7-DC7,"")</f>
        <v/>
      </c>
      <c r="DS7" s="55" t="str">
        <f>IF(SUM(DE7:DF7,DH7)-DG7&gt;0,SUM(DE7:DF7,DH7)-DG7,"")</f>
        <v/>
      </c>
      <c r="DT7" s="55" t="str">
        <f>IF(SUM(DJ7,DN7)&gt;0,SUM(DJ7,DN7),"")</f>
        <v/>
      </c>
      <c r="DU7" s="55" t="str">
        <f>IF(SUM(DI7:DJ7,DL7:DN7,DP7)-SUM(DK7,DO7)&gt;0,SUM(DI7:DJ7,DL7:DN7,DP7)-SUM(DK7,DO7),"")</f>
        <v/>
      </c>
      <c r="DV7" s="55" t="str">
        <f>IF(SUM(DR7,DS7,DU7)&gt;0,SUM(DR7,DS7,DU7),"")</f>
        <v/>
      </c>
      <c r="DW7" s="19"/>
      <c r="DX7" s="19"/>
      <c r="DY7" s="19"/>
      <c r="DZ7" s="19"/>
      <c r="EA7" s="19"/>
      <c r="EB7" s="19"/>
      <c r="EC7" s="19"/>
      <c r="ED7" s="19"/>
      <c r="EE7" s="19"/>
      <c r="EF7" s="19"/>
      <c r="EG7" s="19"/>
      <c r="EH7" s="19"/>
      <c r="EI7" s="19"/>
      <c r="EJ7" s="19"/>
      <c r="EK7" s="19"/>
      <c r="EL7" s="19"/>
      <c r="EM7" s="19"/>
      <c r="EN7" s="19"/>
      <c r="EO7" s="19"/>
      <c r="EP7" s="19"/>
      <c r="EQ7" s="14" t="str">
        <f>IF(SUM(DX7,EB7)&gt;0,SUM(DX7,EB7),"")</f>
        <v/>
      </c>
      <c r="ER7" s="14" t="str">
        <f>IF(SUM(DW7:DX7,DZ7:EB7,ED7)-DY7-EC7&gt;0,SUM(DW7:DX7,DZ7:EB7,ED7)-DY7-EC7,"")</f>
        <v/>
      </c>
      <c r="ES7" s="14" t="str">
        <f>IF(SUM(EE7:EF7,EH7)-EG7&gt;0,SUM(EE7:EF7,EH7)-EG7,"")</f>
        <v/>
      </c>
      <c r="ET7" s="14" t="str">
        <f>IF(SUM(EJ7,EN7)&gt;0,SUM(EJ7,EN7),"")</f>
        <v/>
      </c>
      <c r="EU7" s="14" t="str">
        <f>IF(SUM(EI7:EJ7,EL7:EN7,EP7)-SUM(EK7,EO7)&gt;0,SUM(EI7:EJ7,EL7:EN7,EP7)-SUM(EK7,EO7),"")</f>
        <v/>
      </c>
      <c r="EV7" s="14" t="str">
        <f>IF(SUM(ER7,ES7,EU7)&gt;0,SUM(ER7,ES7,EU7),"")</f>
        <v/>
      </c>
      <c r="EW7" s="18"/>
      <c r="EX7" s="18"/>
      <c r="EY7" s="18"/>
      <c r="EZ7" s="18"/>
      <c r="FA7" s="18"/>
      <c r="FB7" s="18"/>
      <c r="FC7" s="18"/>
      <c r="FD7" s="18"/>
      <c r="FE7" s="18"/>
      <c r="FF7" s="18"/>
      <c r="FG7" s="18"/>
      <c r="FH7" s="18"/>
      <c r="FI7" s="18"/>
      <c r="FJ7" s="18"/>
      <c r="FK7" s="18"/>
      <c r="FL7" s="18"/>
      <c r="FM7" s="18"/>
      <c r="FN7" s="18"/>
      <c r="FO7" s="18"/>
      <c r="FP7" s="18"/>
      <c r="FQ7" s="55" t="str">
        <f>IF(SUM(EX7,FB7)&gt;0,SUM(EX7,FB7),"")</f>
        <v/>
      </c>
      <c r="FR7" s="55" t="str">
        <f>IF(SUM(EW7:EX7,EZ7:FB7,FD7)-EY7-FC7&gt;0,SUM(EW7:EX7,EZ7:FB7,FD7)-EY7-FC7,"")</f>
        <v/>
      </c>
      <c r="FS7" s="55" t="str">
        <f>IF(SUM(FE7:FF7,FH7)-FG7&gt;0,SUM(FE7:FF7,FH7)-FG7,"")</f>
        <v/>
      </c>
      <c r="FT7" s="55" t="str">
        <f>IF(SUM(FJ7,FN7)&gt;0,SUM(FJ7,FN7),"")</f>
        <v/>
      </c>
      <c r="FU7" s="55" t="str">
        <f>IF(SUM(FI7:FJ7,FL7:FN7,FP7)-SUM(FK7,FO7)&gt;0,SUM(FI7:FJ7,FL7:FN7,FP7)-SUM(FK7,FO7),"")</f>
        <v/>
      </c>
      <c r="FV7" s="55" t="str">
        <f>IF(SUM(FR7,FS7,FU7)&gt;0,SUM(FR7,FS7,FU7),"")</f>
        <v/>
      </c>
      <c r="FW7" s="19">
        <v>18.600000000000001</v>
      </c>
      <c r="FX7" s="19">
        <v>6</v>
      </c>
      <c r="FY7" s="19">
        <v>0.6</v>
      </c>
      <c r="FZ7" s="19">
        <v>0</v>
      </c>
      <c r="GA7" s="19">
        <v>18.2</v>
      </c>
      <c r="GB7" s="19">
        <v>6.4</v>
      </c>
      <c r="GC7" s="19">
        <v>0.8</v>
      </c>
      <c r="GD7" s="19">
        <v>0</v>
      </c>
      <c r="GE7" s="19"/>
      <c r="GF7" s="19"/>
      <c r="GG7" s="19"/>
      <c r="GH7" s="19"/>
      <c r="GI7" s="19"/>
      <c r="GJ7" s="19"/>
      <c r="GK7" s="19"/>
      <c r="GL7" s="19"/>
      <c r="GM7" s="19"/>
      <c r="GN7" s="19"/>
      <c r="GO7" s="19"/>
      <c r="GP7" s="19"/>
      <c r="GQ7" s="14">
        <f>IF(SUM(FX7,GB7)&gt;0,SUM(FX7,GB7),"")</f>
        <v>12.4</v>
      </c>
      <c r="GR7" s="14">
        <f>IF(SUM(FW7:FX7,FZ7:GB7,GD7)-FY7-GC7&gt;0,SUM(FW7:FX7,FZ7:GB7,GD7)-FY7-GC7,"")</f>
        <v>47.8</v>
      </c>
      <c r="GS7" s="14" t="str">
        <f>IF(SUM(GE7:GF7,GH7)-GG7&gt;0,SUM(GE7:GF7,GH7)-GG7,"")</f>
        <v/>
      </c>
      <c r="GT7" s="14" t="str">
        <f>IF(SUM(GJ7,GN7)&gt;0,SUM(GJ7,GN7),"")</f>
        <v/>
      </c>
      <c r="GU7" s="14" t="str">
        <f>IF(SUM(GI7:GJ7,GL7:GN7,GP7)-SUM(GK7,GO7)&gt;0,SUM(GI7:GJ7,GL7:GN7,GP7)-SUM(GK7,GO7),"")</f>
        <v/>
      </c>
      <c r="GV7" s="14">
        <f>IF(SUM(GR7,GS7,GU7)&gt;0,SUM(GR7,GS7,GU7),"")</f>
        <v>47.8</v>
      </c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55" t="str">
        <f>IF(SUM(GX7,HB7)&gt;0,SUM(GX7,HB7),"")</f>
        <v/>
      </c>
      <c r="HR7" s="55" t="str">
        <f>IF(SUM(GW7:GX7,GZ7:HB7,HD7)-GY7-HC7&gt;0,SUM(GW7:GX7,GZ7:HB7,HD7)-GY7-HC7,"")</f>
        <v/>
      </c>
      <c r="HS7" s="55" t="str">
        <f>IF(SUM(HE7:HF7,HH7)-HG7&gt;0,SUM(HE7:HF7,HH7)-HG7,"")</f>
        <v/>
      </c>
      <c r="HT7" s="55" t="str">
        <f>IF(SUM(HJ7,HN7)&gt;0,SUM(HJ7,HN7),"")</f>
        <v/>
      </c>
      <c r="HU7" s="55" t="str">
        <f>IF(SUM(HI7:HJ7,HL7:HN7,HP7)-SUM(HK7,HO7)&gt;0,SUM(HI7:HJ7,HL7:HN7,HP7)-SUM(HK7,HO7),"")</f>
        <v/>
      </c>
      <c r="HV7" s="55" t="str">
        <f>IF(SUM(HR7,HS7,HU7)&gt;0,SUM(HR7,HS7,HU7),"")</f>
        <v/>
      </c>
      <c r="HW7" s="19"/>
      <c r="HX7" s="19"/>
      <c r="HY7" s="19"/>
      <c r="HZ7" s="19"/>
      <c r="IA7" s="19"/>
      <c r="IB7" s="19"/>
      <c r="IC7" s="19"/>
      <c r="ID7" s="19"/>
      <c r="IE7" s="19"/>
      <c r="IF7" s="19"/>
      <c r="IG7" s="19"/>
      <c r="IH7" s="19"/>
      <c r="II7" s="19"/>
      <c r="IJ7" s="19"/>
      <c r="IK7" s="19"/>
      <c r="IL7" s="19"/>
      <c r="IM7" s="19"/>
      <c r="IN7" s="19"/>
      <c r="IO7" s="19"/>
      <c r="IP7" s="19"/>
      <c r="IQ7" s="14" t="str">
        <f>IF(SUM(HX7,IB7)&gt;0,SUM(HX7,IB7),"")</f>
        <v/>
      </c>
      <c r="IR7" s="14" t="str">
        <f>IF(SUM(HW7:HX7,HZ7:IB7,ID7)-HY7-IC7&gt;0,SUM(HW7:HX7,HZ7:IB7,ID7)-HY7-IC7,"")</f>
        <v/>
      </c>
      <c r="IS7" s="14" t="str">
        <f>IF(SUM(IE7:IF7,IH7)-IG7&gt;0,SUM(IE7:IF7,IH7)-IG7,"")</f>
        <v/>
      </c>
      <c r="IT7" s="14" t="str">
        <f>IF(SUM(IJ7,IN7)&gt;0,SUM(IJ7,IN7),"")</f>
        <v/>
      </c>
      <c r="IU7" s="14" t="str">
        <f>IF(SUM(II7:IJ7,IL7:IN7,IP7)-SUM(IK7,IO7)&gt;0,SUM(II7:IJ7,IL7:IN7,IP7)-SUM(IK7,IO7),"")</f>
        <v/>
      </c>
      <c r="IV7" s="14" t="str">
        <f>IF(SUM(IR7,IS7,IU7)&gt;0,SUM(IR7,IS7,IU7),"")</f>
        <v/>
      </c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8"/>
      <c r="JL7" s="18"/>
      <c r="JM7" s="18"/>
      <c r="JN7" s="18"/>
      <c r="JO7" s="18"/>
      <c r="JP7" s="18"/>
      <c r="JQ7" s="55" t="str">
        <f>IF(SUM(IX7,JB7)&gt;0,SUM(IX7,JB7),"")</f>
        <v/>
      </c>
      <c r="JR7" s="55" t="str">
        <f>IF(SUM(IW7:IX7,IZ7:JB7,JD7)-IY7-JC7&gt;0,SUM(IW7:IX7,IZ7:JB7,JD7)-IY7-JC7,"")</f>
        <v/>
      </c>
      <c r="JS7" s="55" t="str">
        <f>IF(SUM(JE7:JF7,JH7)-JG7&gt;0,SUM(JE7:JF7,JH7)-JG7,"")</f>
        <v/>
      </c>
      <c r="JT7" s="55" t="str">
        <f>IF(SUM(JJ7,JN7)&gt;0,SUM(JJ7,JN7),"")</f>
        <v/>
      </c>
      <c r="JU7" s="55" t="str">
        <f>IF(SUM(JI7:JJ7,JL7:JN7,JP7)-SUM(JK7,JO7)&gt;0,SUM(JI7:JJ7,JL7:JN7,JP7)-SUM(JK7,JO7),"")</f>
        <v/>
      </c>
      <c r="JV7" s="55" t="str">
        <f>IF(SUM(JR7,JS7,JU7)&gt;0,SUM(JR7,JS7,JU7),"")</f>
        <v/>
      </c>
      <c r="JW7" s="19"/>
      <c r="JX7" s="19"/>
      <c r="JY7" s="19"/>
      <c r="JZ7" s="19"/>
      <c r="KA7" s="19"/>
      <c r="KB7" s="19"/>
      <c r="KC7" s="19"/>
      <c r="KD7" s="19"/>
      <c r="KE7" s="19"/>
      <c r="KF7" s="19"/>
      <c r="KG7" s="19"/>
      <c r="KH7" s="19"/>
      <c r="KI7" s="19"/>
      <c r="KJ7" s="19"/>
      <c r="KK7" s="19"/>
      <c r="KL7" s="19"/>
      <c r="KM7" s="19"/>
      <c r="KN7" s="19"/>
      <c r="KO7" s="19"/>
      <c r="KP7" s="19"/>
      <c r="KQ7" s="14" t="str">
        <f>IF(SUM(JX7,KB7)&gt;0,SUM(JX7,KB7),"")</f>
        <v/>
      </c>
      <c r="KR7" s="14" t="str">
        <f>IF(SUM(JW7:JX7,JZ7:KB7,KD7)-JY7-KC7&gt;0,SUM(JW7:JX7,JZ7:KB7,KD7)-JY7-KC7,"")</f>
        <v/>
      </c>
      <c r="KS7" s="14" t="str">
        <f>IF(SUM(KE7:KF7,KH7)-KG7&gt;0,SUM(KE7:KF7,KH7)-KG7,"")</f>
        <v/>
      </c>
      <c r="KT7" s="14" t="str">
        <f>IF(SUM(KJ7,KN7)&gt;0,SUM(KJ7,KN7),"")</f>
        <v/>
      </c>
      <c r="KU7" s="14" t="str">
        <f>IF(SUM(KI7:KJ7,KL7:KN7,KP7)-SUM(KK7,KO7)&gt;0,SUM(KI7:KJ7,KL7:KN7,KP7)-SUM(KK7,KO7),"")</f>
        <v/>
      </c>
      <c r="KV7" s="14" t="str">
        <f>IF(SUM(KR7,KS7,KU7)&gt;0,SUM(KR7,KS7,KU7),"")</f>
        <v/>
      </c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8"/>
      <c r="LP7" s="18"/>
      <c r="LQ7" s="55" t="str">
        <f>IF(SUM(KX7,LB7)&gt;0,SUM(KX7,LB7),"")</f>
        <v/>
      </c>
      <c r="LR7" s="55" t="str">
        <f>IF(SUM(KW7:KX7,KZ7:LB7,LD7)-KY7-LC7&gt;0,SUM(KW7:KX7,KZ7:LB7,LD7)-KY7-LC7,"")</f>
        <v/>
      </c>
      <c r="LS7" s="55" t="str">
        <f>IF(SUM(LE7:LF7,LH7)-LG7&gt;0,SUM(LE7:LF7,LH7)-LG7,"")</f>
        <v/>
      </c>
      <c r="LT7" s="55" t="str">
        <f>IF(SUM(LJ7,LN7)&gt;0,SUM(LJ7,LN7),"")</f>
        <v/>
      </c>
      <c r="LU7" s="55" t="str">
        <f>IF(SUM(LI7:LJ7,LL7:LN7,LP7)-SUM(LK7,LO7)&gt;0,SUM(LI7:LJ7,LL7:LN7,LP7)-SUM(LK7,LO7),"")</f>
        <v/>
      </c>
      <c r="LV7" s="55" t="str">
        <f>IF(SUM(LR7,LS7,LU7)&gt;0,SUM(LR7,LS7,LU7),"")</f>
        <v/>
      </c>
      <c r="LW7" s="19"/>
      <c r="LX7" s="19"/>
      <c r="LY7" s="19"/>
      <c r="LZ7" s="19"/>
      <c r="MA7" s="19"/>
      <c r="MB7" s="19"/>
      <c r="MC7" s="19"/>
      <c r="MD7" s="19"/>
      <c r="ME7" s="19"/>
      <c r="MF7" s="19"/>
      <c r="MG7" s="19"/>
      <c r="MH7" s="19"/>
      <c r="MI7" s="19"/>
      <c r="MJ7" s="19"/>
      <c r="MK7" s="19"/>
      <c r="ML7" s="19"/>
      <c r="MM7" s="19"/>
      <c r="MN7" s="19"/>
      <c r="MO7" s="19"/>
      <c r="MP7" s="19"/>
      <c r="MQ7" s="14" t="str">
        <f>IF(SUM(LX7,MB7)&gt;0,SUM(LX7,MB7),"")</f>
        <v/>
      </c>
      <c r="MR7" s="14" t="str">
        <f>IF(SUM(LW7:LX7,LZ7:MB7,MD7)-LY7-MC7&gt;0,SUM(LW7:LX7,LZ7:MB7,MD7)-LY7-MC7,"")</f>
        <v/>
      </c>
      <c r="MS7" s="14" t="str">
        <f>IF(SUM(ME7:MF7,MH7)-MG7&gt;0,SUM(ME7:MF7,MH7)-MG7,"")</f>
        <v/>
      </c>
      <c r="MT7" s="14" t="str">
        <f>IF(SUM(MJ7,MN7)&gt;0,SUM(MJ7,MN7),"")</f>
        <v/>
      </c>
      <c r="MU7" s="14" t="str">
        <f>IF(SUM(MI7:MJ7,ML7:MN7,MP7)-SUM(MK7,MO7)&gt;0,SUM(MI7:MJ7,ML7:MN7,MP7)-SUM(MK7,MO7),"")</f>
        <v/>
      </c>
      <c r="MV7" s="14" t="str">
        <f>IF(SUM(MR7,MS7,MU7)&gt;0,SUM(MR7,MS7,MU7),"")</f>
        <v/>
      </c>
      <c r="MW7" s="18"/>
      <c r="MX7" s="18"/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55" t="str">
        <f>IF(SUM(MX7,NB7)&gt;0,SUM(MX7,NB7),"")</f>
        <v/>
      </c>
      <c r="NR7" s="55" t="str">
        <f>IF(SUM(MW7:MX7,MZ7:NB7,ND7)-MY7-NC7&gt;0,SUM(MW7:MX7,MZ7:NB7,ND7)-MY7-NC7,"")</f>
        <v/>
      </c>
      <c r="NS7" s="55" t="str">
        <f>IF(SUM(NE7:NF7,NH7)-NG7&gt;0,SUM(NE7:NF7,NH7)-NG7,"")</f>
        <v/>
      </c>
      <c r="NT7" s="55" t="str">
        <f>IF(SUM(NJ7,NN7)&gt;0,SUM(NJ7,NN7),"")</f>
        <v/>
      </c>
      <c r="NU7" s="55" t="str">
        <f>IF(SUM(NI7:NJ7,NL7:NN7,NP7)-SUM(NK7,NO7)&gt;0,SUM(NI7:NJ7,NL7:NN7,NP7)-SUM(NK7,NO7),"")</f>
        <v/>
      </c>
      <c r="NV7" s="55" t="str">
        <f>IF(SUM(NR7,NS7,NU7)&gt;0,SUM(NR7,NS7,NU7),"")</f>
        <v/>
      </c>
      <c r="NW7" s="19"/>
      <c r="NX7" s="19"/>
      <c r="NY7" s="19"/>
      <c r="NZ7" s="19"/>
      <c r="OA7" s="19"/>
      <c r="OB7" s="19"/>
      <c r="OC7" s="19"/>
      <c r="OD7" s="19"/>
      <c r="OE7" s="19"/>
      <c r="OF7" s="19"/>
      <c r="OG7" s="19"/>
      <c r="OH7" s="19"/>
      <c r="OI7" s="19"/>
      <c r="OJ7" s="19"/>
      <c r="OK7" s="19"/>
      <c r="OL7" s="19"/>
      <c r="OM7" s="19"/>
      <c r="ON7" s="19"/>
      <c r="OO7" s="19"/>
      <c r="OP7" s="19"/>
      <c r="OQ7" s="14" t="str">
        <f>IF(SUM(NX7,OB7)&gt;0,SUM(NX7,OB7),"")</f>
        <v/>
      </c>
      <c r="OR7" s="14" t="str">
        <f>IF(SUM(NW7:NX7,NZ7:OB7,OD7)-NY7-OC7&gt;0,SUM(NW7:NX7,NZ7:OB7,OD7)-NY7-OC7,"")</f>
        <v/>
      </c>
      <c r="OS7" s="14" t="str">
        <f>IF(SUM(OE7:OF7,OH7)-OG7&gt;0,SUM(OE7:OF7,OH7)-OG7,"")</f>
        <v/>
      </c>
      <c r="OT7" s="14" t="str">
        <f>IF(SUM(OJ7,ON7)&gt;0,SUM(OJ7,ON7),"")</f>
        <v/>
      </c>
      <c r="OU7" s="14" t="str">
        <f>IF(SUM(OI7:OJ7,OL7:ON7,OP7)-SUM(OK7,OO7)&gt;0,SUM(OI7:OJ7,OL7:ON7,OP7)-SUM(OK7,OO7),"")</f>
        <v/>
      </c>
      <c r="OV7" s="14" t="str">
        <f>IF(SUM(OR7,OS7,OU7)&gt;0,SUM(OR7,OS7,OU7),"")</f>
        <v/>
      </c>
      <c r="OW7" s="27">
        <f>IF($CN7="P",BT7,(BT7+AS7)/2)</f>
        <v>18.950000000000003</v>
      </c>
      <c r="OX7" s="27">
        <f>IF($CN7="P",BU7,(BU7+AT7)/2)</f>
        <v>5.6</v>
      </c>
      <c r="OY7" s="27">
        <f>IF($CN7="P",BV7,(BV7+AU7)/2)</f>
        <v>0</v>
      </c>
      <c r="OZ7" s="27">
        <f>IF($CN7="P",BW7,(BW7+AV7)/2)</f>
        <v>0</v>
      </c>
      <c r="PA7" s="27">
        <f>IF($CN7="P",BX7,(BX7+AW7)/2)</f>
        <v>18.95</v>
      </c>
      <c r="PB7" s="27">
        <f>IF($CN7="P",BY7,(BY7+AX7)/2)</f>
        <v>6</v>
      </c>
      <c r="PC7" s="27">
        <f>IF($CN7="P",BZ7,(BZ7+AY7)/2)</f>
        <v>0.1</v>
      </c>
      <c r="PD7" s="27">
        <f>IF($CN7="P",CA7,(CA7+AZ7)/2)</f>
        <v>0</v>
      </c>
      <c r="PE7" s="27">
        <f>IF($CN7="P",CB7,(CB7+BA7)/2)</f>
        <v>18.5</v>
      </c>
      <c r="PF7" s="27">
        <f>IF($CN7="P",CC7,(CC7+BB7)/2)</f>
        <v>4.8</v>
      </c>
      <c r="PG7" s="27">
        <f>IF($CN7="P",CD7,(CD7+BC7)/2)</f>
        <v>0.55000000000000004</v>
      </c>
      <c r="PH7" s="27">
        <f>IF($CN7="P",CE7,(CE7+BD7)/2)</f>
        <v>0</v>
      </c>
      <c r="PI7" s="27">
        <f>IF($CN7="P",CF7,(CF7+BE7)/2)</f>
        <v>19</v>
      </c>
      <c r="PJ7" s="27">
        <f>IF($CN7="P",CG7,(CG7+BF7)/2)</f>
        <v>6</v>
      </c>
      <c r="PK7" s="27">
        <f>IF($CN7="P",CH7,(CH7+BG7)/2)</f>
        <v>0.3</v>
      </c>
      <c r="PL7" s="27">
        <f>IF($CN7="P",CI7,(CI7+BH7)/2)</f>
        <v>0</v>
      </c>
      <c r="PM7" s="27">
        <f>IF($CN7="P",CJ7,(CJ7+BI7)/2)</f>
        <v>18.100000000000001</v>
      </c>
      <c r="PN7" s="27">
        <f>IF($CN7="P",CK7,(CK7+BJ7)/2)</f>
        <v>5.6</v>
      </c>
      <c r="PO7" s="27">
        <f>IF($CN7="P",CL7,(CL7+BK7)/2)</f>
        <v>0.5</v>
      </c>
      <c r="PP7" s="27">
        <f>IF($CN7="P",CM7,(CM7+BL7)/2)</f>
        <v>0</v>
      </c>
      <c r="PQ7" s="32" t="s">
        <v>44</v>
      </c>
      <c r="PR7" s="55">
        <f>IF(SUM(OX7,PB7)&gt;0,SUM(OX7,PB7),"")</f>
        <v>11.6</v>
      </c>
      <c r="PS7" s="55">
        <f>IF(SUM(OW7:OX7,OZ7:PB7,PD7)-OY7-PC7&gt;0,SUM(OW7:OX7,OZ7:PB7,PD7)-OY7-PC7,"")</f>
        <v>49.4</v>
      </c>
      <c r="PT7" s="55">
        <f>IF(SUM(PE7:PF7,PH7)-PG7&gt;0,SUM(PE7:PF7,PH7)-PG7,"")</f>
        <v>22.75</v>
      </c>
      <c r="PU7" s="55">
        <f>IF(SUM(PJ7,PN7)&gt;0,SUM(PJ7,PN7),"")</f>
        <v>11.6</v>
      </c>
      <c r="PV7" s="55">
        <f>IF(SUM(PI7:PJ7,PL7:PN7,PP7)-SUM(PK7,PO7)&gt;0,SUM(PI7:PJ7,PL7:PN7,PP7)-SUM(PK7,PO7),"")</f>
        <v>47.900000000000006</v>
      </c>
      <c r="PW7" s="55">
        <f>IF(SUM(PS7,PT7,PV7)&gt;0,SUM(PS7,PT7,PV7),"")</f>
        <v>120.05000000000001</v>
      </c>
    </row>
    <row r="8" spans="1:439" x14ac:dyDescent="0.2">
      <c r="A8" s="4" cm="1">
        <f t="array" ref="A8">IF(AND(H8&lt;&gt;"",H8&lt;&gt;"No DD"),SUMPRODUCT((H$4:H$12&lt;&gt;"")*(H$4:H$12&lt;&gt;"No DD")*(E$4:E$12&gt;E8))+1,IF(H8="No DD",SUMPRODUCT((H$4:H$12="No DD")*(E$4:E$12&gt;E8))+1+SUMPRODUCT((H$4:H$12&lt;&gt;"")*(H$4:H$12&lt;&gt;"No DD")),""))</f>
        <v>5</v>
      </c>
      <c r="B8" s="5" t="s">
        <v>81</v>
      </c>
      <c r="C8" s="4" t="s">
        <v>66</v>
      </c>
      <c r="D8" s="4">
        <v>2007</v>
      </c>
      <c r="E8" s="10">
        <f>SUM(I8:O8)+SUM(I8:M8)*0.0000001+SUM(I8)*0.0000000000001</f>
        <v>147.60001476000494</v>
      </c>
      <c r="F8" s="3" t="str">
        <f>IF(OR(AND(AM8&gt;=AR$14,AN8&gt;=AR$18,AM8&lt;&gt;"",AL8=""),AND(AP8&gt;=AR$14,AQ8&gt;=AR$18,AP8&lt;&gt;"",AL8=""),AND(BN8&gt;=BS$14,BO8&gt;=BS$18,BN8&lt;&gt;"",BM8=""),AND(BQ8&gt;=BS$14,BR8&gt;=BS$18,BQ8&lt;&gt;"",BM8=""),AND(CO8&gt;=CT$14,CP8&gt;=CT$18,CO8&lt;&gt;"",CN8=""),AND(CR8&gt;=CT$14,CS8&gt;=CT$18,CR8&lt;&gt;""),AND(DQ8&gt;=DV$14,DR8&gt;=DV$18,DQ8&lt;&gt;""),AND(DT8&gt;=DV$14,DU8&gt;=DV$18,DT8&lt;&gt;""),AND(EQ8&gt;=EV$14,ER8&gt;=EV$18,EQ8&lt;&gt;""),AND(ET8&gt;=EV$14,EU8&gt;=EV$18,ET8&lt;&gt;""),AND(FQ8&gt;=FV$14,FR8&gt;=FV$18,FQ8&lt;&gt;""),AND(FT8&gt;=FV$14,FU8&gt;=FV$18,FT8&lt;&gt;""),AND(GQ8&gt;=GV$14,GR8&gt;=GV$18,GQ8&lt;&gt;""),AND(GT8&gt;=GV$14,GU8&gt;=GV$18,GT8&lt;&gt;""),AND(HQ8&gt;=HV$14,HR8&gt;=HV$18,HQ8&lt;&gt;""),AND(HT8&gt;=HV$14,HU8&gt;=HV$18,HT8&lt;&gt;""),AND(IQ8&gt;=IV$14,IR8&gt;=IV$18,IQ8&lt;&gt;""),AND(IT8&gt;=IV$14,IU8&gt;=IV$18,IT8&lt;&gt;""),AND(JQ8&gt;=JV$14,JR8&gt;=JV$18,JQ8&lt;&gt;""),AND(JT8&gt;=JV$14,JU8&gt;=JV$18,JT8&lt;&gt;""),AND(KQ8&gt;=KV$14,KR8&gt;=KV$18,KQ8&lt;&gt;""),AND(KT8&gt;=KV$14,KU8&gt;=KV$18,KT8&lt;&gt;""),AND(LQ8&gt;=LV$14,LR8&gt;=LV$18,LQ8&lt;&gt;""),AND(LT8&gt;=LV$14,LU8&gt;=LV$18,LT8&lt;&gt;""),AND(MQ8&gt;=MV$14,MR8&gt;=MV$18,MQ8&lt;&gt;""),AND(MT8&gt;=MV$14,MU8&gt;=MV$18,MT8&lt;&gt;""),AND(NQ8&gt;=NV$14,NR8&gt;=NV$18,NQ8&lt;&gt;""),AND(NT8&gt;=NV$14,NU8&gt;=NV$18,NT8&lt;&gt;""),AND(OQ8&gt;=OV$14,OR8&gt;=OV$18,OQ8&lt;&gt;""),AND(OT8&gt;=OV$14,OU8&gt;=OV$18,OT8&lt;&gt;"")),"P","")</f>
        <v>P</v>
      </c>
      <c r="G8" s="3" t="str">
        <f>IF(OR(AND(AN8&gt;=AR$18,AN8&lt;&gt;"",AL8=""),AND(AQ8&gt;=AR$18,AQ8&lt;&gt;"",AL8=""),AND(BO8&gt;=BS$18,BO8&lt;&gt;"",BM8=""),AND(BR8&gt;=BS$18,BR8&lt;&gt;"",BM8=""),AND(CP8&gt;=CT$18,CP8&lt;&gt;"",CN8=""),AND(CS8&gt;=CT$18,CS8&lt;&gt;"",CN8=""),AND(DR8&gt;=DV$18,DR8&lt;&gt;""),AND(DU8&gt;=DV$18,DU8&lt;&gt;""),AND(ER8&gt;=EV$18,ER8&lt;&gt;""),AND(EU8&gt;=EV$18,EU8&lt;&gt;""),AND(FR8&gt;=FV$18,FR8&lt;&gt;""),AND(FU8&gt;=FV$18,FU8&lt;&gt;""),AND(GR8&gt;=GV$18,GR8&lt;&gt;""),AND(GU8&gt;=GV$18,GU8&lt;&gt;""),AND(HR8&gt;=HV$18,HR8&lt;&gt;""),AND(HU8&gt;=HV$18,HU8&lt;&gt;""),AND(IR8&gt;=IV$18,IR8&lt;&gt;""),AND(IU8&gt;=IV$18,IU8&lt;&gt;""),AND(JR8&gt;=JV$18,JR8&lt;&gt;""),AND(JU8&gt;=JV$18,JU8&lt;&gt;""),AND(KR8&gt;=KV$18,KR8&lt;&gt;""),AND(KU8&gt;=KV$18,KU8&lt;&gt;""),AND(LR8&gt;=LV$18,LR8&lt;&gt;""),AND(LU8&gt;=LV$18,LU8&lt;&gt;""),AND(MR8&gt;=MV$18,MR8&lt;&gt;""),AND(MU8&gt;=MV$18,MU8&lt;&gt;""),AND(NR8&gt;=NV$18,NR8&lt;&gt;""),AND(NU8&gt;=NV$18,NU8&lt;&gt;""),AND(OR8&gt;=OV$18,OR8&lt;&gt;""),AND(OU8&gt;=OV$18,OU8&lt;&gt;"")),"P","")</f>
        <v>P</v>
      </c>
      <c r="H8" s="47" t="str">
        <f>IF(AND(G8="P",F8=""),"No DD",IF(OR(AND(AM8&gt;=AR$17,AN8&gt;=AR$21,AM8&lt;&gt;"",AL8=""),AND(AP8&gt;=AR$17,AQ8&gt;=AR$21,AP8&lt;&gt;"",AL8=""),AND(BN8&gt;=BS$17,BO8&gt;=BS$21,BN8&lt;&gt;"",BM8=""),AND(BQ8&gt;=BS$17,BR8&gt;=BS$21,BQ8&lt;&gt;"",BM8=""),AND(CO8&gt;=CT$17,CP8&gt;=CT$21,CO8&lt;&gt;"",CN8=""),AND(CR8&gt;=CT$17,CS8&gt;=CT$21,CR8&lt;&gt;""),AND(DQ8&gt;=DV$17,DR8&gt;=DV$21,DQ8&lt;&gt;""),AND(DT8&gt;=DV$17,DU8&gt;=DV$21,DT8&lt;&gt;""),AND(EQ8&gt;=EV$17,ER8&gt;=EV$21,EQ8&lt;&gt;""),AND(ET8&gt;=EV$17,EU8&gt;=EV$21,ET8&lt;&gt;""),AND(FQ8&gt;=FV$17,FR8&gt;=FV$21,FQ8&lt;&gt;""),AND(FT8&gt;=FV$17,FU8&gt;=FV$21,FT8&lt;&gt;""),AND(GQ8&gt;=GV$17,GR8&gt;=GV$21,GQ8&lt;&gt;""),AND(GT8&gt;=GV$17,GU8&gt;=GV$21,GT8&lt;&gt;""),AND(HQ8&gt;=HV$17,HR8&gt;=HV$21,HQ8&lt;&gt;""),AND(HT8&gt;=HV$17,HU8&gt;=HV$21,HT8&lt;&gt;""),AND(IQ8&gt;=IV$17,IR8&gt;=IV$21,IQ8&lt;&gt;""),AND(IT8&gt;=IV$17,IU8&gt;=IV$21,IT8&lt;&gt;""),AND(JQ8&gt;=JV$17,JR8&gt;=JV$21,JQ8&lt;&gt;""),AND(JT8&gt;=JV$17,JU8&gt;=JV$21,JT8&lt;&gt;""),AND(KQ8&gt;=KV$17,KR8&gt;=KV$21,KQ8&lt;&gt;""),AND(KT8&gt;=KV$17,KU8&gt;=KV$21,KT8&lt;&gt;""),AND(LQ8&gt;=LV$17,LR8&gt;=LV$21,LQ8&lt;&gt;""),AND(LT8&gt;=LV$17,LU8&gt;=LV$21,LT8&lt;&gt;""),AND(MQ8&gt;=MV$17,MR8&gt;=MV$21,MQ8&lt;&gt;""),AND(MT8&gt;=MV$17,MU8&gt;=MV$21,MT8&lt;&gt;""),AND(NQ8&gt;=NV$17,NR8&gt;=NV$21,NQ8&lt;&gt;""),AND(NT8&gt;=NV$17,NU8&gt;=NV$21,NT8&lt;&gt;""),AND(OQ8&gt;=OV$17,OR8&gt;=OV$21,OQ8&lt;&gt;""),AND(OT8&gt;=OV$17,OU8&gt;=OV$21,OT8&lt;&gt;"")),"Merit",IF(OR(AND(AM8&gt;=AR$16,AN8&gt;=AR$20,AM8&lt;&gt;"",AL8=""),AND(AP8&gt;=AR$16,AQ8&gt;=AR$20,AP8&lt;&gt;"",AL8=""),AND(BN8&gt;=BS$16,BO8&gt;=BS$20,BN8&lt;&gt;"",BM8=""),AND(BQ8&gt;=BS$16,BR8&gt;=BS$20,BQ8&lt;&gt;"",BM8=""),AND(CO8&gt;=CT$16,CP8&gt;=CT$20,CO8&lt;&gt;"",CN8=""),AND(CR8&gt;=CT$16,CS8&gt;=CT$20,CR8&lt;&gt;""),AND(DQ8&gt;=DV$16,DR8&gt;=DV$20,DQ8&lt;&gt;""),AND(DT8&gt;=DV$16,DU8&gt;=DV$20,DT8&lt;&gt;""),AND(EQ8&gt;=EV$16,ER8&gt;=EV$20,EQ8&lt;&gt;""),AND(ET8&gt;=EV$16,EU8&gt;=EV$20,ET8&lt;&gt;""),AND(FQ8&gt;=FV$16,FR8&gt;=FV$20,FQ8&lt;&gt;""),AND(FT8&gt;=FV$16,FU8&gt;=FV$20,FT8&lt;&gt;""),AND(GQ8&gt;=GV$16,GR8&gt;=GV$20,GQ8&lt;&gt;""),AND(GT8&gt;=GV$16,GU8&gt;=GV$20,GT8&lt;&gt;""),AND(HQ8&gt;=HV$16,HR8&gt;=HV$20,HQ8&lt;&gt;""),AND(HT8&gt;=HV$16,HU8&gt;=HV$20,HT8&lt;&gt;""),AND(IQ8&gt;=IV$16,IR8&gt;=IV$20,IQ8&lt;&gt;""),AND(IT8&gt;=IV$16,IU8&gt;=IV$20,IT8&lt;&gt;""),AND(JQ8&gt;=JV$16,JR8&gt;=JV$20,JQ8&lt;&gt;""),AND(JT8&gt;=JV$16,JU8&gt;=JV$20,JT8&lt;&gt;""),AND(KQ8&gt;=KV$16,KR8&gt;=KV$20,KQ8&lt;&gt;""),AND(KT8&gt;=KV$16,KU8&gt;=KV$20,KT8&lt;&gt;""),AND(LQ8&gt;=LV$16,LR8&gt;=LV$20,LQ8&lt;&gt;""),AND(LT8&gt;=LV$16,LU8&gt;=LV$20,LT8&lt;&gt;""),AND(MQ8&gt;=MV$16,MR8&gt;=MV$20,MQ8&lt;&gt;""),AND(MT8&gt;=MV$16,MU8&gt;=MV$20,MT8&lt;&gt;""),AND(NQ8&gt;=NV$16,NR8&gt;=NV$20,NQ8&lt;&gt;""),AND(NT8&gt;=NV$16,NU8&gt;=NV$20,NT8&lt;&gt;""),AND(OQ8&gt;=OV$16,OR8&gt;=OV$20,OQ8&lt;&gt;""),AND(OT8&gt;=OV$16,OU8&gt;=OV$20,OT8&lt;&gt;"")),"Excellence",IF(F8="P","National Team",""))))</f>
        <v>Excellence</v>
      </c>
      <c r="I8" s="9">
        <f>IF(COUNT(AN8,BO8,CP8)&gt;0,LARGE((AN8,BO8,CP8),1),0)</f>
        <v>49.5</v>
      </c>
      <c r="J8" s="9" t="str">
        <f>IF(I8=0,"",IF(I8=CP8,$BT$1,IF(I8=BO8,$AS$1,IF(I8=AN8,$R$1,""))))</f>
        <v>2023 Elite Canada</v>
      </c>
      <c r="K8" s="9">
        <f>IF(COUNT(AN8,BO8,CP8)&gt;1,LARGE((AN8,BO8,CP8),2),0)</f>
        <v>49.399999999999991</v>
      </c>
      <c r="L8" s="9" t="str">
        <f>IF(K8=0,"",IF(K8=CP8,$BT$1,IF(K8=BO8,$AS$1,IF(K8=AN8,$R$1,""))))</f>
        <v>2023 Nationals</v>
      </c>
      <c r="M8" s="9">
        <f>IF(MAX(AQ8,BR8,CS8)&gt;0,MAX(AQ8,BR8,CS8),0)</f>
        <v>48.7</v>
      </c>
      <c r="N8" s="9" t="str">
        <f>IF(M8=0,"",IF(M8=CS8,$BT$1,IF(M8=BR8,$AS$1,IF(M8=AQ8,$R$1,""))))</f>
        <v>2023 Elite Canada</v>
      </c>
      <c r="O8" s="9" t="str">
        <f>IF(MAX(CU8:CV8)&gt;0,MAX(CU8:CV8),"")</f>
        <v/>
      </c>
      <c r="P8" s="14" t="str">
        <f>IF(O8="","",IF(O8=CU8,"("&amp;CU$2&amp;")",IF(O8=CV8,"("&amp;CV$2&amp;")")))</f>
        <v/>
      </c>
      <c r="Q8" s="9" t="str">
        <f>IF(O8="","",IF(O8=CU8,IF(O8+IF(K8="",0,K8)=OR8,$NW$1,IF(O8+IF(K8="",0,K8)=NR8,$MW$1,IF(O8+IF(K8="",0,K8)=MR8,$LW$1,IF(O8+IF(K8="",0,K8)=LR8,$KW$1,IF(O8+IF(K8="",0,K8)=KR8,$JW$1,IF(O8+IF(K8="",0,K8)=JR8,$IW$1,IF(O8+IF(K8="",0,K8)=IR8,$HW$1,IF(O8+IF(K8="",0,K8)=HR8,$GW$1,IF(O8+IF(K8="",0,K8)=GR8,$FW$1,IF(O8+IF(K8="",0,K8)=FR8,$EW$1,IF(O8+IF(K8="",0,K8)=ER8,$DW$1,IF(O8+IF(K8="",0,K8)=DR8,$CW$1)))))))))))),IF(O8=CV8,IF(O8+IF(M8="",0,M8)=OU8,$NW$1,IF(O8+IF(M8="",0,M8)=NU8,$MW$1,IF(O8+IF(M8="",0,M8)=MU8,$LW$1,IF(O8+IF(M8="",0,M8)=LU8,$KW$1,IF(O8+IF(M8="",0,M8)=KU8,$JW$1,IF(O8+IF(M8="",0,M8)=JU8,$IW$1,IF(O8+IF(M8="",0,M8)=IU8,$HW$1,IF(O8+IF(M8="",0,M8)=HU8,$GW$1,IF(O8+IF(M8="",0,M8)=GU8,$FW$1,IF(O8+IF(M8="",0,M8)=FU8,$EW$1,IF(O8+IF(M8="",0,M8)=EU8,$DW$1,IF(O8+IF(M8="",0,M8)=DU8,$CW$1)))))))))))))))</f>
        <v/>
      </c>
      <c r="R8" s="20">
        <v>18.7</v>
      </c>
      <c r="S8" s="20">
        <v>6</v>
      </c>
      <c r="T8" s="20">
        <v>0</v>
      </c>
      <c r="U8" s="20">
        <v>0</v>
      </c>
      <c r="V8" s="20">
        <v>18.8</v>
      </c>
      <c r="W8" s="20">
        <v>6</v>
      </c>
      <c r="X8" s="20">
        <v>0</v>
      </c>
      <c r="Y8" s="20">
        <v>0</v>
      </c>
      <c r="Z8" s="20">
        <v>0</v>
      </c>
      <c r="AA8" s="20">
        <v>0</v>
      </c>
      <c r="AB8" s="20">
        <v>0</v>
      </c>
      <c r="AC8" s="20">
        <v>0</v>
      </c>
      <c r="AD8" s="20">
        <v>18.899999999999999</v>
      </c>
      <c r="AE8" s="20">
        <v>6</v>
      </c>
      <c r="AF8" s="20">
        <v>0.6</v>
      </c>
      <c r="AG8" s="20">
        <v>0</v>
      </c>
      <c r="AH8" s="20">
        <v>18.600000000000001</v>
      </c>
      <c r="AI8" s="20">
        <v>6</v>
      </c>
      <c r="AJ8" s="20">
        <v>0.2</v>
      </c>
      <c r="AK8" s="20">
        <v>0</v>
      </c>
      <c r="AL8" s="32"/>
      <c r="AM8" s="55">
        <f>IF(SUM(S8,W8)&gt;0,SUM(S8,W8),"")</f>
        <v>12</v>
      </c>
      <c r="AN8" s="55">
        <f>IF(SUM(R8:S8,U8:W8,Y8)-T8-X8&gt;0,SUM(R8:S8,U8:W8,Y8)-T8-X8,"")</f>
        <v>49.5</v>
      </c>
      <c r="AO8" s="55" t="str">
        <f>IF(SUM(Z8:AA8,AC8)-AB8&gt;0,SUM(Z8:AA8,AC8)-AB8,"")</f>
        <v/>
      </c>
      <c r="AP8" s="55">
        <f>IF(SUM(AE8,AI8)&gt;0,SUM(AE8,AI8),"")</f>
        <v>12</v>
      </c>
      <c r="AQ8" s="55">
        <f>IF(SUM(AD8:AE8,AG8:AI8,AK8)-SUM(AF8,AJ8)&gt;0,SUM(AD8:AE8,AG8:AI8,AK8)-SUM(AF8,AJ8),"")</f>
        <v>48.7</v>
      </c>
      <c r="AR8" s="55">
        <f>IF(SUM(AN8,AO8,AQ8)&gt;0,SUM(AN8,AO8,AQ8),"")</f>
        <v>98.2</v>
      </c>
      <c r="AS8" s="19">
        <v>18.7</v>
      </c>
      <c r="AT8" s="19">
        <v>6.4</v>
      </c>
      <c r="AU8" s="19">
        <v>0.6</v>
      </c>
      <c r="AV8" s="19">
        <v>0</v>
      </c>
      <c r="AW8" s="19">
        <v>18.7</v>
      </c>
      <c r="AX8" s="19">
        <v>6.4</v>
      </c>
      <c r="AY8" s="19">
        <v>0.2</v>
      </c>
      <c r="AZ8" s="19">
        <v>0</v>
      </c>
      <c r="BA8" s="19">
        <v>18.5</v>
      </c>
      <c r="BB8" s="19">
        <v>6.4</v>
      </c>
      <c r="BC8" s="19">
        <v>0</v>
      </c>
      <c r="BD8" s="19">
        <v>0</v>
      </c>
      <c r="BE8" s="19">
        <v>18.600000000000001</v>
      </c>
      <c r="BF8" s="19">
        <v>5.2</v>
      </c>
      <c r="BG8" s="19">
        <v>1</v>
      </c>
      <c r="BH8" s="19">
        <v>0</v>
      </c>
      <c r="BI8" s="19">
        <v>18.399999999999999</v>
      </c>
      <c r="BJ8" s="19">
        <v>6.4</v>
      </c>
      <c r="BK8" s="19">
        <v>0.2</v>
      </c>
      <c r="BL8" s="19">
        <v>0</v>
      </c>
      <c r="BM8" s="33"/>
      <c r="BN8" s="14">
        <f>IF(SUM(AT8,AX8)&gt;0,SUM(AT8,AX8),"")</f>
        <v>12.8</v>
      </c>
      <c r="BO8" s="14">
        <f>IF(SUM(AS8:AT8,AV8:AX8,AZ8)-AU8-AY8&gt;0,SUM(AS8:AT8,AV8:AX8,AZ8)-AU8-AY8,"")</f>
        <v>49.399999999999991</v>
      </c>
      <c r="BP8" s="14">
        <f>IF(SUM(BA8:BB8,BD8)-BC8&gt;0,SUM(BA8:BB8,BD8)-BC8,"")</f>
        <v>24.9</v>
      </c>
      <c r="BQ8" s="14">
        <f>IF(SUM(BF8,BJ8)&gt;0,SUM(BF8,BJ8),"")</f>
        <v>11.600000000000001</v>
      </c>
      <c r="BR8" s="14">
        <f>IF(SUM(BE8:BF8,BH8:BJ8,BL8)-SUM(BG8,BK8)&gt;0,SUM(BE8:BF8,BH8:BJ8,BL8)-SUM(BG8,BK8),"")</f>
        <v>47.4</v>
      </c>
      <c r="BS8" s="14">
        <f>IF(SUM(BO8,BP8,BR8)&gt;0,SUM(BO8,BP8,BR8),"")</f>
        <v>121.69999999999999</v>
      </c>
      <c r="BT8" s="20">
        <v>18.600000000000001</v>
      </c>
      <c r="BU8" s="20">
        <v>6.4</v>
      </c>
      <c r="BV8" s="20">
        <v>0.6</v>
      </c>
      <c r="BW8" s="20">
        <v>0</v>
      </c>
      <c r="BX8" s="20">
        <v>17.2</v>
      </c>
      <c r="BY8" s="20">
        <v>3.6</v>
      </c>
      <c r="BZ8" s="20">
        <v>0</v>
      </c>
      <c r="CA8" s="20">
        <v>0</v>
      </c>
      <c r="CB8" s="20">
        <v>18.8</v>
      </c>
      <c r="CC8" s="20">
        <v>5.6</v>
      </c>
      <c r="CD8" s="20">
        <v>0</v>
      </c>
      <c r="CE8" s="20">
        <v>0</v>
      </c>
      <c r="CF8" s="20">
        <v>18.600000000000001</v>
      </c>
      <c r="CG8" s="20">
        <v>6.8000000000000007</v>
      </c>
      <c r="CH8" s="20">
        <v>0.2</v>
      </c>
      <c r="CI8" s="20">
        <v>0</v>
      </c>
      <c r="CJ8" s="20">
        <v>0</v>
      </c>
      <c r="CK8" s="20">
        <v>0</v>
      </c>
      <c r="CL8" s="20">
        <v>0</v>
      </c>
      <c r="CM8" s="20">
        <v>0</v>
      </c>
      <c r="CN8" s="32"/>
      <c r="CO8" s="55">
        <f>IF(SUM(BU8,BY8)&gt;0,SUM(BU8,BY8),"")</f>
        <v>10</v>
      </c>
      <c r="CP8" s="55">
        <f>IF(SUM(BT8:BU8,BW8:BY8,CA8)-BV8-BZ8&gt;0,SUM(BT8:BU8,BW8:BY8,CA8)-BV8-BZ8,"")</f>
        <v>45.2</v>
      </c>
      <c r="CQ8" s="55">
        <f>IF(SUM(CB8:CC8,CE8)-CD8&gt;0,SUM(CB8:CC8,CE8)-CD8,"")</f>
        <v>24.4</v>
      </c>
      <c r="CR8" s="55">
        <f>IF(SUM(CG8,CK8)&gt;0,SUM(CG8,CK8),"")</f>
        <v>6.8000000000000007</v>
      </c>
      <c r="CS8" s="55">
        <f>IF(SUM(CF8:CG8,CI8:CK8,CM8)-SUM(CH8,CL8)&gt;0,SUM(CF8:CG8,CI8:CK8,CM8)-SUM(CH8,CL8),"")</f>
        <v>25.200000000000003</v>
      </c>
      <c r="CT8" s="55">
        <f>IF(SUM(CP8,CQ8,CS8)&gt;0,SUM(CP8,CQ8,CS8),"")</f>
        <v>94.8</v>
      </c>
      <c r="CU8" s="56" t="str">
        <f>IF(MAX(DR8,ER8,FR8,GR8,HR8,IR8,JR8,KR8,LR8,MR8,NR8,OR8)-IF(K8="",0,K8)&gt;0.001,MAX(DR8,ER8,FR8,GR8,HR8,IR8,JR8,KR8,LR8,MR8,NR8,OR8)-IF(K8="",0,K8),"")</f>
        <v/>
      </c>
      <c r="CV8" s="56" t="str">
        <f>IF(MAX(DU8,EU8,FU8,GU8,HU8,IU8,JU8,KU8,LU8,MU8,NU8,OU8)-IF(M8="",0,M8)&gt;0.001,MAX(DU8,EU8,FU8,GU8,HU8,IU8,JU8,KU8,LU8,MU8,NU8,OU8)-IF(M8="",0,M8),"")</f>
        <v/>
      </c>
      <c r="CW8" s="18"/>
      <c r="CX8" s="18"/>
      <c r="CY8" s="18"/>
      <c r="CZ8" s="18"/>
      <c r="DA8" s="18"/>
      <c r="DB8" s="18"/>
      <c r="DC8" s="18"/>
      <c r="DD8" s="18"/>
      <c r="DE8" s="18"/>
      <c r="DF8" s="18"/>
      <c r="DG8" s="18"/>
      <c r="DH8" s="18"/>
      <c r="DI8" s="18"/>
      <c r="DJ8" s="18"/>
      <c r="DK8" s="18"/>
      <c r="DL8" s="18"/>
      <c r="DM8" s="18"/>
      <c r="DN8" s="18"/>
      <c r="DO8" s="18"/>
      <c r="DP8" s="18"/>
      <c r="DQ8" s="55" t="str">
        <f>IF(SUM(CX8,DB8)&gt;0,SUM(CX8,DB8),"")</f>
        <v/>
      </c>
      <c r="DR8" s="55" t="str">
        <f>IF(SUM(CW8:CX8,CZ8:DB8,DD8)-CY8-DC8&gt;0,SUM(CW8:CX8,CZ8:DB8,DD8)-CY8-DC8,"")</f>
        <v/>
      </c>
      <c r="DS8" s="55" t="str">
        <f>IF(SUM(DE8:DF8,DH8)-DG8&gt;0,SUM(DE8:DF8,DH8)-DG8,"")</f>
        <v/>
      </c>
      <c r="DT8" s="55" t="str">
        <f>IF(SUM(DJ8,DN8)&gt;0,SUM(DJ8,DN8),"")</f>
        <v/>
      </c>
      <c r="DU8" s="55" t="str">
        <f>IF(SUM(DI8:DJ8,DL8:DN8,DP8)-SUM(DK8,DO8)&gt;0,SUM(DI8:DJ8,DL8:DN8,DP8)-SUM(DK8,DO8),"")</f>
        <v/>
      </c>
      <c r="DV8" s="55" t="str">
        <f>IF(SUM(DR8,DS8,DU8)&gt;0,SUM(DR8,DS8,DU8),"")</f>
        <v/>
      </c>
      <c r="DW8" s="19"/>
      <c r="DX8" s="19"/>
      <c r="DY8" s="19"/>
      <c r="DZ8" s="19"/>
      <c r="EA8" s="19"/>
      <c r="EB8" s="19"/>
      <c r="EC8" s="19"/>
      <c r="ED8" s="19"/>
      <c r="EE8" s="19"/>
      <c r="EF8" s="19"/>
      <c r="EG8" s="19"/>
      <c r="EH8" s="19"/>
      <c r="EI8" s="19">
        <v>18.5</v>
      </c>
      <c r="EJ8" s="19">
        <v>6</v>
      </c>
      <c r="EK8" s="19">
        <v>1</v>
      </c>
      <c r="EL8" s="19">
        <v>0</v>
      </c>
      <c r="EM8" s="19">
        <v>18.7</v>
      </c>
      <c r="EN8" s="19">
        <v>6</v>
      </c>
      <c r="EO8" s="19">
        <v>0.2</v>
      </c>
      <c r="EP8" s="19">
        <v>0</v>
      </c>
      <c r="EQ8" s="14" t="str">
        <f>IF(SUM(DX8,EB8)&gt;0,SUM(DX8,EB8),"")</f>
        <v/>
      </c>
      <c r="ER8" s="14" t="str">
        <f>IF(SUM(DW8:DX8,DZ8:EB8,ED8)-DY8-EC8&gt;0,SUM(DW8:DX8,DZ8:EB8,ED8)-DY8-EC8,"")</f>
        <v/>
      </c>
      <c r="ES8" s="14" t="str">
        <f>IF(SUM(EE8:EF8,EH8)-EG8&gt;0,SUM(EE8:EF8,EH8)-EG8,"")</f>
        <v/>
      </c>
      <c r="ET8" s="14">
        <f>IF(SUM(EJ8,EN8)&gt;0,SUM(EJ8,EN8),"")</f>
        <v>12</v>
      </c>
      <c r="EU8" s="14">
        <f>IF(SUM(EI8:EJ8,EL8:EN8,EP8)-SUM(EK8,EO8)&gt;0,SUM(EI8:EJ8,EL8:EN8,EP8)-SUM(EK8,EO8),"")</f>
        <v>48</v>
      </c>
      <c r="EV8" s="14">
        <f>IF(SUM(ER8,ES8,EU8)&gt;0,SUM(ER8,ES8,EU8),"")</f>
        <v>48</v>
      </c>
      <c r="EW8" s="18"/>
      <c r="EX8" s="18"/>
      <c r="EY8" s="18"/>
      <c r="EZ8" s="18"/>
      <c r="FA8" s="18"/>
      <c r="FB8" s="18"/>
      <c r="FC8" s="18"/>
      <c r="FD8" s="18"/>
      <c r="FE8" s="18"/>
      <c r="FF8" s="18"/>
      <c r="FG8" s="18"/>
      <c r="FH8" s="18"/>
      <c r="FI8" s="18">
        <v>18.5</v>
      </c>
      <c r="FJ8" s="18">
        <v>6</v>
      </c>
      <c r="FK8" s="18">
        <v>1</v>
      </c>
      <c r="FL8" s="18">
        <v>0</v>
      </c>
      <c r="FM8" s="18">
        <v>18.7</v>
      </c>
      <c r="FN8" s="18">
        <v>6</v>
      </c>
      <c r="FO8" s="18">
        <v>0.2</v>
      </c>
      <c r="FP8" s="18">
        <v>0</v>
      </c>
      <c r="FQ8" s="55" t="str">
        <f>IF(SUM(EX8,FB8)&gt;0,SUM(EX8,FB8),"")</f>
        <v/>
      </c>
      <c r="FR8" s="55" t="str">
        <f>IF(SUM(EW8:EX8,EZ8:FB8,FD8)-EY8-FC8&gt;0,SUM(EW8:EX8,EZ8:FB8,FD8)-EY8-FC8,"")</f>
        <v/>
      </c>
      <c r="FS8" s="55" t="str">
        <f>IF(SUM(FE8:FF8,FH8)-FG8&gt;0,SUM(FE8:FF8,FH8)-FG8,"")</f>
        <v/>
      </c>
      <c r="FT8" s="55">
        <f>IF(SUM(FJ8,FN8)&gt;0,SUM(FJ8,FN8),"")</f>
        <v>12</v>
      </c>
      <c r="FU8" s="55">
        <f>IF(SUM(FI8:FJ8,FL8:FN8,FP8)-SUM(FK8,FO8)&gt;0,SUM(FI8:FJ8,FL8:FN8,FP8)-SUM(FK8,FO8),"")</f>
        <v>48</v>
      </c>
      <c r="FV8" s="55">
        <f>IF(SUM(FR8,FS8,FU8)&gt;0,SUM(FR8,FS8,FU8),"")</f>
        <v>48</v>
      </c>
      <c r="FW8" s="19">
        <v>18.399999999999999</v>
      </c>
      <c r="FX8" s="19">
        <v>5.2</v>
      </c>
      <c r="FY8" s="19">
        <v>0</v>
      </c>
      <c r="FZ8" s="19">
        <v>0</v>
      </c>
      <c r="GA8" s="19">
        <v>16.5</v>
      </c>
      <c r="GB8" s="19">
        <v>6.4</v>
      </c>
      <c r="GC8" s="19">
        <v>0.2</v>
      </c>
      <c r="GD8" s="19">
        <v>0</v>
      </c>
      <c r="GE8" s="19"/>
      <c r="GF8" s="19"/>
      <c r="GG8" s="19"/>
      <c r="GH8" s="19"/>
      <c r="GI8" s="19"/>
      <c r="GJ8" s="19"/>
      <c r="GK8" s="19"/>
      <c r="GL8" s="19"/>
      <c r="GM8" s="19"/>
      <c r="GN8" s="19"/>
      <c r="GO8" s="19"/>
      <c r="GP8" s="19"/>
      <c r="GQ8" s="14">
        <f>IF(SUM(FX8,GB8)&gt;0,SUM(FX8,GB8),"")</f>
        <v>11.600000000000001</v>
      </c>
      <c r="GR8" s="14">
        <f>IF(SUM(FW8:FX8,FZ8:GB8,GD8)-FY8-GC8&gt;0,SUM(FW8:FX8,FZ8:GB8,GD8)-FY8-GC8,"")</f>
        <v>46.29999999999999</v>
      </c>
      <c r="GS8" s="14" t="str">
        <f>IF(SUM(GE8:GF8,GH8)-GG8&gt;0,SUM(GE8:GF8,GH8)-GG8,"")</f>
        <v/>
      </c>
      <c r="GT8" s="14" t="str">
        <f>IF(SUM(GJ8,GN8)&gt;0,SUM(GJ8,GN8),"")</f>
        <v/>
      </c>
      <c r="GU8" s="14" t="str">
        <f>IF(SUM(GI8:GJ8,GL8:GN8,GP8)-SUM(GK8,GO8)&gt;0,SUM(GI8:GJ8,GL8:GN8,GP8)-SUM(GK8,GO8),"")</f>
        <v/>
      </c>
      <c r="GV8" s="14">
        <f>IF(SUM(GR8,GS8,GU8)&gt;0,SUM(GR8,GS8,GU8),"")</f>
        <v>46.29999999999999</v>
      </c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55" t="str">
        <f>IF(SUM(GX8,HB8)&gt;0,SUM(GX8,HB8),"")</f>
        <v/>
      </c>
      <c r="HR8" s="55" t="str">
        <f>IF(SUM(GW8:GX8,GZ8:HB8,HD8)-GY8-HC8&gt;0,SUM(GW8:GX8,GZ8:HB8,HD8)-GY8-HC8,"")</f>
        <v/>
      </c>
      <c r="HS8" s="55" t="str">
        <f>IF(SUM(HE8:HF8,HH8)-HG8&gt;0,SUM(HE8:HF8,HH8)-HG8,"")</f>
        <v/>
      </c>
      <c r="HT8" s="55" t="str">
        <f>IF(SUM(HJ8,HN8)&gt;0,SUM(HJ8,HN8),"")</f>
        <v/>
      </c>
      <c r="HU8" s="55" t="str">
        <f>IF(SUM(HI8:HJ8,HL8:HN8,HP8)-SUM(HK8,HO8)&gt;0,SUM(HI8:HJ8,HL8:HN8,HP8)-SUM(HK8,HO8),"")</f>
        <v/>
      </c>
      <c r="HV8" s="55" t="str">
        <f>IF(SUM(HR8,HS8,HU8)&gt;0,SUM(HR8,HS8,HU8),"")</f>
        <v/>
      </c>
      <c r="HW8" s="19"/>
      <c r="HX8" s="19"/>
      <c r="HY8" s="19"/>
      <c r="HZ8" s="19"/>
      <c r="IA8" s="19"/>
      <c r="IB8" s="19"/>
      <c r="IC8" s="19"/>
      <c r="ID8" s="19"/>
      <c r="IE8" s="19"/>
      <c r="IF8" s="19"/>
      <c r="IG8" s="19"/>
      <c r="IH8" s="19"/>
      <c r="II8" s="19"/>
      <c r="IJ8" s="19"/>
      <c r="IK8" s="19"/>
      <c r="IL8" s="19"/>
      <c r="IM8" s="19"/>
      <c r="IN8" s="19"/>
      <c r="IO8" s="19"/>
      <c r="IP8" s="19"/>
      <c r="IQ8" s="14" t="str">
        <f>IF(SUM(HX8,IB8)&gt;0,SUM(HX8,IB8),"")</f>
        <v/>
      </c>
      <c r="IR8" s="14" t="str">
        <f>IF(SUM(HW8:HX8,HZ8:IB8,ID8)-HY8-IC8&gt;0,SUM(HW8:HX8,HZ8:IB8,ID8)-HY8-IC8,"")</f>
        <v/>
      </c>
      <c r="IS8" s="14" t="str">
        <f>IF(SUM(IE8:IF8,IH8)-IG8&gt;0,SUM(IE8:IF8,IH8)-IG8,"")</f>
        <v/>
      </c>
      <c r="IT8" s="14" t="str">
        <f>IF(SUM(IJ8,IN8)&gt;0,SUM(IJ8,IN8),"")</f>
        <v/>
      </c>
      <c r="IU8" s="14" t="str">
        <f>IF(SUM(II8:IJ8,IL8:IN8,IP8)-SUM(IK8,IO8)&gt;0,SUM(II8:IJ8,IL8:IN8,IP8)-SUM(IK8,IO8),"")</f>
        <v/>
      </c>
      <c r="IV8" s="14" t="str">
        <f>IF(SUM(IR8,IS8,IU8)&gt;0,SUM(IR8,IS8,IU8),"")</f>
        <v/>
      </c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8"/>
      <c r="JL8" s="18"/>
      <c r="JM8" s="18"/>
      <c r="JN8" s="18"/>
      <c r="JO8" s="18"/>
      <c r="JP8" s="18"/>
      <c r="JQ8" s="55" t="str">
        <f>IF(SUM(IX8,JB8)&gt;0,SUM(IX8,JB8),"")</f>
        <v/>
      </c>
      <c r="JR8" s="55" t="str">
        <f>IF(SUM(IW8:IX8,IZ8:JB8,JD8)-IY8-JC8&gt;0,SUM(IW8:IX8,IZ8:JB8,JD8)-IY8-JC8,"")</f>
        <v/>
      </c>
      <c r="JS8" s="55" t="str">
        <f>IF(SUM(JE8:JF8,JH8)-JG8&gt;0,SUM(JE8:JF8,JH8)-JG8,"")</f>
        <v/>
      </c>
      <c r="JT8" s="55" t="str">
        <f>IF(SUM(JJ8,JN8)&gt;0,SUM(JJ8,JN8),"")</f>
        <v/>
      </c>
      <c r="JU8" s="55" t="str">
        <f>IF(SUM(JI8:JJ8,JL8:JN8,JP8)-SUM(JK8,JO8)&gt;0,SUM(JI8:JJ8,JL8:JN8,JP8)-SUM(JK8,JO8),"")</f>
        <v/>
      </c>
      <c r="JV8" s="55" t="str">
        <f>IF(SUM(JR8,JS8,JU8)&gt;0,SUM(JR8,JS8,JU8),"")</f>
        <v/>
      </c>
      <c r="JW8" s="19"/>
      <c r="JX8" s="19"/>
      <c r="JY8" s="19"/>
      <c r="JZ8" s="19"/>
      <c r="KA8" s="19"/>
      <c r="KB8" s="19"/>
      <c r="KC8" s="19"/>
      <c r="KD8" s="19"/>
      <c r="KE8" s="19"/>
      <c r="KF8" s="19"/>
      <c r="KG8" s="19"/>
      <c r="KH8" s="19"/>
      <c r="KI8" s="19"/>
      <c r="KJ8" s="19"/>
      <c r="KK8" s="19"/>
      <c r="KL8" s="19"/>
      <c r="KM8" s="19"/>
      <c r="KN8" s="19"/>
      <c r="KO8" s="19"/>
      <c r="KP8" s="19"/>
      <c r="KQ8" s="14" t="str">
        <f>IF(SUM(JX8,KB8)&gt;0,SUM(JX8,KB8),"")</f>
        <v/>
      </c>
      <c r="KR8" s="14" t="str">
        <f>IF(SUM(JW8:JX8,JZ8:KB8,KD8)-JY8-KC8&gt;0,SUM(JW8:JX8,JZ8:KB8,KD8)-JY8-KC8,"")</f>
        <v/>
      </c>
      <c r="KS8" s="14" t="str">
        <f>IF(SUM(KE8:KF8,KH8)-KG8&gt;0,SUM(KE8:KF8,KH8)-KG8,"")</f>
        <v/>
      </c>
      <c r="KT8" s="14" t="str">
        <f>IF(SUM(KJ8,KN8)&gt;0,SUM(KJ8,KN8),"")</f>
        <v/>
      </c>
      <c r="KU8" s="14" t="str">
        <f>IF(SUM(KI8:KJ8,KL8:KN8,KP8)-SUM(KK8,KO8)&gt;0,SUM(KI8:KJ8,KL8:KN8,KP8)-SUM(KK8,KO8),"")</f>
        <v/>
      </c>
      <c r="KV8" s="14" t="str">
        <f>IF(SUM(KR8,KS8,KU8)&gt;0,SUM(KR8,KS8,KU8),"")</f>
        <v/>
      </c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8"/>
      <c r="LP8" s="18"/>
      <c r="LQ8" s="55" t="str">
        <f>IF(SUM(KX8,LB8)&gt;0,SUM(KX8,LB8),"")</f>
        <v/>
      </c>
      <c r="LR8" s="55" t="str">
        <f>IF(SUM(KW8:KX8,KZ8:LB8,LD8)-KY8-LC8&gt;0,SUM(KW8:KX8,KZ8:LB8,LD8)-KY8-LC8,"")</f>
        <v/>
      </c>
      <c r="LS8" s="55" t="str">
        <f>IF(SUM(LE8:LF8,LH8)-LG8&gt;0,SUM(LE8:LF8,LH8)-LG8,"")</f>
        <v/>
      </c>
      <c r="LT8" s="55" t="str">
        <f>IF(SUM(LJ8,LN8)&gt;0,SUM(LJ8,LN8),"")</f>
        <v/>
      </c>
      <c r="LU8" s="55" t="str">
        <f>IF(SUM(LI8:LJ8,LL8:LN8,LP8)-SUM(LK8,LO8)&gt;0,SUM(LI8:LJ8,LL8:LN8,LP8)-SUM(LK8,LO8),"")</f>
        <v/>
      </c>
      <c r="LV8" s="55" t="str">
        <f>IF(SUM(LR8,LS8,LU8)&gt;0,SUM(LR8,LS8,LU8),"")</f>
        <v/>
      </c>
      <c r="LW8" s="19"/>
      <c r="LX8" s="19"/>
      <c r="LY8" s="19"/>
      <c r="LZ8" s="19"/>
      <c r="MA8" s="19"/>
      <c r="MB8" s="19"/>
      <c r="MC8" s="19"/>
      <c r="MD8" s="19"/>
      <c r="ME8" s="19"/>
      <c r="MF8" s="19"/>
      <c r="MG8" s="19"/>
      <c r="MH8" s="19"/>
      <c r="MI8" s="19"/>
      <c r="MJ8" s="19"/>
      <c r="MK8" s="19"/>
      <c r="ML8" s="19"/>
      <c r="MM8" s="19"/>
      <c r="MN8" s="19"/>
      <c r="MO8" s="19"/>
      <c r="MP8" s="19"/>
      <c r="MQ8" s="14" t="str">
        <f>IF(SUM(LX8,MB8)&gt;0,SUM(LX8,MB8),"")</f>
        <v/>
      </c>
      <c r="MR8" s="14" t="str">
        <f>IF(SUM(LW8:LX8,LZ8:MB8,MD8)-LY8-MC8&gt;0,SUM(LW8:LX8,LZ8:MB8,MD8)-LY8-MC8,"")</f>
        <v/>
      </c>
      <c r="MS8" s="14" t="str">
        <f>IF(SUM(ME8:MF8,MH8)-MG8&gt;0,SUM(ME8:MF8,MH8)-MG8,"")</f>
        <v/>
      </c>
      <c r="MT8" s="14" t="str">
        <f>IF(SUM(MJ8,MN8)&gt;0,SUM(MJ8,MN8),"")</f>
        <v/>
      </c>
      <c r="MU8" s="14" t="str">
        <f>IF(SUM(MI8:MJ8,ML8:MN8,MP8)-SUM(MK8,MO8)&gt;0,SUM(MI8:MJ8,ML8:MN8,MP8)-SUM(MK8,MO8),"")</f>
        <v/>
      </c>
      <c r="MV8" s="14" t="str">
        <f>IF(SUM(MR8,MS8,MU8)&gt;0,SUM(MR8,MS8,MU8),"")</f>
        <v/>
      </c>
      <c r="MW8" s="18"/>
      <c r="MX8" s="18"/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55" t="str">
        <f>IF(SUM(MX8,NB8)&gt;0,SUM(MX8,NB8),"")</f>
        <v/>
      </c>
      <c r="NR8" s="55" t="str">
        <f>IF(SUM(MW8:MX8,MZ8:NB8,ND8)-MY8-NC8&gt;0,SUM(MW8:MX8,MZ8:NB8,ND8)-MY8-NC8,"")</f>
        <v/>
      </c>
      <c r="NS8" s="55" t="str">
        <f>IF(SUM(NE8:NF8,NH8)-NG8&gt;0,SUM(NE8:NF8,NH8)-NG8,"")</f>
        <v/>
      </c>
      <c r="NT8" s="55" t="str">
        <f>IF(SUM(NJ8,NN8)&gt;0,SUM(NJ8,NN8),"")</f>
        <v/>
      </c>
      <c r="NU8" s="55" t="str">
        <f>IF(SUM(NI8:NJ8,NL8:NN8,NP8)-SUM(NK8,NO8)&gt;0,SUM(NI8:NJ8,NL8:NN8,NP8)-SUM(NK8,NO8),"")</f>
        <v/>
      </c>
      <c r="NV8" s="55" t="str">
        <f>IF(SUM(NR8,NS8,NU8)&gt;0,SUM(NR8,NS8,NU8),"")</f>
        <v/>
      </c>
      <c r="NW8" s="19"/>
      <c r="NX8" s="19"/>
      <c r="NY8" s="19"/>
      <c r="NZ8" s="19"/>
      <c r="OA8" s="19"/>
      <c r="OB8" s="19"/>
      <c r="OC8" s="19"/>
      <c r="OD8" s="19"/>
      <c r="OE8" s="19"/>
      <c r="OF8" s="19"/>
      <c r="OG8" s="19"/>
      <c r="OH8" s="19"/>
      <c r="OI8" s="19"/>
      <c r="OJ8" s="19"/>
      <c r="OK8" s="19"/>
      <c r="OL8" s="19"/>
      <c r="OM8" s="19"/>
      <c r="ON8" s="19"/>
      <c r="OO8" s="19"/>
      <c r="OP8" s="19"/>
      <c r="OQ8" s="14" t="str">
        <f>IF(SUM(NX8,OB8)&gt;0,SUM(NX8,OB8),"")</f>
        <v/>
      </c>
      <c r="OR8" s="14" t="str">
        <f>IF(SUM(NW8:NX8,NZ8:OB8,OD8)-NY8-OC8&gt;0,SUM(NW8:NX8,NZ8:OB8,OD8)-NY8-OC8,"")</f>
        <v/>
      </c>
      <c r="OS8" s="14" t="str">
        <f>IF(SUM(OE8:OF8,OH8)-OG8&gt;0,SUM(OE8:OF8,OH8)-OG8,"")</f>
        <v/>
      </c>
      <c r="OT8" s="14" t="str">
        <f>IF(SUM(OJ8,ON8)&gt;0,SUM(OJ8,ON8),"")</f>
        <v/>
      </c>
      <c r="OU8" s="14" t="str">
        <f>IF(SUM(OI8:OJ8,OL8:ON8,OP8)-SUM(OK8,OO8)&gt;0,SUM(OI8:OJ8,OL8:ON8,OP8)-SUM(OK8,OO8),"")</f>
        <v/>
      </c>
      <c r="OV8" s="14" t="str">
        <f>IF(SUM(OR8,OS8,OU8)&gt;0,SUM(OR8,OS8,OU8),"")</f>
        <v/>
      </c>
      <c r="OW8" s="27">
        <f>IF($CN8="P",BT8,(BT8+AS8)/2)</f>
        <v>18.649999999999999</v>
      </c>
      <c r="OX8" s="27">
        <f>IF($CN8="P",BU8,(BU8+AT8)/2)</f>
        <v>6.4</v>
      </c>
      <c r="OY8" s="27">
        <f>IF($CN8="P",BV8,(BV8+AU8)/2)</f>
        <v>0.6</v>
      </c>
      <c r="OZ8" s="27">
        <f>IF($CN8="P",BW8,(BW8+AV8)/2)</f>
        <v>0</v>
      </c>
      <c r="PA8" s="27">
        <f>IF($CN8="P",BX8,(BX8+AW8)/2)</f>
        <v>17.95</v>
      </c>
      <c r="PB8" s="27">
        <f>IF($CN8="P",BY8,(BY8+AX8)/2)</f>
        <v>5</v>
      </c>
      <c r="PC8" s="27">
        <f>IF($CN8="P",BZ8,(BZ8+AY8)/2)</f>
        <v>0.1</v>
      </c>
      <c r="PD8" s="27">
        <f>IF($CN8="P",CA8,(CA8+AZ8)/2)</f>
        <v>0</v>
      </c>
      <c r="PE8" s="27">
        <f>IF($CN8="P",CB8,(CB8+BA8)/2)</f>
        <v>18.649999999999999</v>
      </c>
      <c r="PF8" s="27">
        <f>IF($CN8="P",CC8,(CC8+BB8)/2)</f>
        <v>6</v>
      </c>
      <c r="PG8" s="27">
        <f>IF($CN8="P",CD8,(CD8+BC8)/2)</f>
        <v>0</v>
      </c>
      <c r="PH8" s="27">
        <f>IF($CN8="P",CE8,(CE8+BD8)/2)</f>
        <v>0</v>
      </c>
      <c r="PI8" s="27">
        <f>IF($CN8="P",CF8,(CF8+BE8)/2)</f>
        <v>18.600000000000001</v>
      </c>
      <c r="PJ8" s="27">
        <f>IF($CN8="P",CG8,(CG8+BF8)/2)</f>
        <v>6</v>
      </c>
      <c r="PK8" s="27">
        <f>IF($CN8="P",CH8,(CH8+BG8)/2)</f>
        <v>0.6</v>
      </c>
      <c r="PL8" s="27">
        <f>IF($CN8="P",CI8,(CI8+BH8)/2)</f>
        <v>0</v>
      </c>
      <c r="PM8" s="27">
        <f>IF($CN8="P",CJ8,(CJ8+BI8)/2)</f>
        <v>9.1999999999999993</v>
      </c>
      <c r="PN8" s="27">
        <f>IF($CN8="P",CK8,(CK8+BJ8)/2)</f>
        <v>3.2</v>
      </c>
      <c r="PO8" s="27">
        <f>IF($CN8="P",CL8,(CL8+BK8)/2)</f>
        <v>0.1</v>
      </c>
      <c r="PP8" s="27">
        <f>IF($CN8="P",CM8,(CM8+BL8)/2)</f>
        <v>0</v>
      </c>
      <c r="PQ8" s="32" t="s">
        <v>44</v>
      </c>
      <c r="PR8" s="55">
        <f>IF(SUM(OX8,PB8)&gt;0,SUM(OX8,PB8),"")</f>
        <v>11.4</v>
      </c>
      <c r="PS8" s="55">
        <f>IF(SUM(OW8:OX8,OZ8:PB8,PD8)-OY8-PC8&gt;0,SUM(OW8:OX8,OZ8:PB8,PD8)-OY8-PC8,"")</f>
        <v>47.3</v>
      </c>
      <c r="PT8" s="55">
        <f>IF(SUM(PE8:PF8,PH8)-PG8&gt;0,SUM(PE8:PF8,PH8)-PG8,"")</f>
        <v>24.65</v>
      </c>
      <c r="PU8" s="55">
        <f>IF(SUM(PJ8,PN8)&gt;0,SUM(PJ8,PN8),"")</f>
        <v>9.1999999999999993</v>
      </c>
      <c r="PV8" s="55">
        <f>IF(SUM(PI8:PJ8,PL8:PN8,PP8)-SUM(PK8,PO8)&gt;0,SUM(PI8:PJ8,PL8:PN8,PP8)-SUM(PK8,PO8),"")</f>
        <v>36.299999999999997</v>
      </c>
      <c r="PW8" s="55">
        <f>IF(SUM(PS8,PT8,PV8)&gt;0,SUM(PS8,PT8,PV8),"")</f>
        <v>108.24999999999999</v>
      </c>
    </row>
    <row r="9" spans="1:439" x14ac:dyDescent="0.2">
      <c r="A9" s="4" cm="1">
        <f t="array" ref="A9">IF(AND(H9&lt;&gt;"",H9&lt;&gt;"No DD"),SUMPRODUCT((H$4:H$12&lt;&gt;"")*(H$4:H$12&lt;&gt;"No DD")*(E$4:E$12&gt;E9))+1,IF(H9="No DD",SUMPRODUCT((H$4:H$12="No DD")*(E$4:E$12&gt;E9))+1+SUMPRODUCT((H$4:H$12&lt;&gt;"")*(H$4:H$12&lt;&gt;"No DD")),""))</f>
        <v>6</v>
      </c>
      <c r="B9" s="5" t="s">
        <v>104</v>
      </c>
      <c r="C9" s="4" t="s">
        <v>68</v>
      </c>
      <c r="D9" s="4">
        <v>2007</v>
      </c>
      <c r="E9" s="10">
        <f>SUM(I9:O9)+SUM(I9:M9)*0.0000001+SUM(I9)*0.0000000000001</f>
        <v>146.80001468000484</v>
      </c>
      <c r="F9" s="3" t="str">
        <f>IF(OR(AND(AM9&gt;=AR$14,AN9&gt;=AR$18,AM9&lt;&gt;"",AL9=""),AND(AP9&gt;=AR$14,AQ9&gt;=AR$18,AP9&lt;&gt;"",AL9=""),AND(BN9&gt;=BS$14,BO9&gt;=BS$18,BN9&lt;&gt;"",BM9=""),AND(BQ9&gt;=BS$14,BR9&gt;=BS$18,BQ9&lt;&gt;"",BM9=""),AND(CO9&gt;=CT$14,CP9&gt;=CT$18,CO9&lt;&gt;"",CN9=""),AND(CR9&gt;=CT$14,CS9&gt;=CT$18,CR9&lt;&gt;""),AND(DQ9&gt;=DV$14,DR9&gt;=DV$18,DQ9&lt;&gt;""),AND(DT9&gt;=DV$14,DU9&gt;=DV$18,DT9&lt;&gt;""),AND(EQ9&gt;=EV$14,ER9&gt;=EV$18,EQ9&lt;&gt;""),AND(ET9&gt;=EV$14,EU9&gt;=EV$18,ET9&lt;&gt;""),AND(FQ9&gt;=FV$14,FR9&gt;=FV$18,FQ9&lt;&gt;""),AND(FT9&gt;=FV$14,FU9&gt;=FV$18,FT9&lt;&gt;""),AND(GQ9&gt;=GV$14,GR9&gt;=GV$18,GQ9&lt;&gt;""),AND(GT9&gt;=GV$14,GU9&gt;=GV$18,GT9&lt;&gt;""),AND(HQ9&gt;=HV$14,HR9&gt;=HV$18,HQ9&lt;&gt;""),AND(HT9&gt;=HV$14,HU9&gt;=HV$18,HT9&lt;&gt;""),AND(IQ9&gt;=IV$14,IR9&gt;=IV$18,IQ9&lt;&gt;""),AND(IT9&gt;=IV$14,IU9&gt;=IV$18,IT9&lt;&gt;""),AND(JQ9&gt;=JV$14,JR9&gt;=JV$18,JQ9&lt;&gt;""),AND(JT9&gt;=JV$14,JU9&gt;=JV$18,JT9&lt;&gt;""),AND(KQ9&gt;=KV$14,KR9&gt;=KV$18,KQ9&lt;&gt;""),AND(KT9&gt;=KV$14,KU9&gt;=KV$18,KT9&lt;&gt;""),AND(LQ9&gt;=LV$14,LR9&gt;=LV$18,LQ9&lt;&gt;""),AND(LT9&gt;=LV$14,LU9&gt;=LV$18,LT9&lt;&gt;""),AND(MQ9&gt;=MV$14,MR9&gt;=MV$18,MQ9&lt;&gt;""),AND(MT9&gt;=MV$14,MU9&gt;=MV$18,MT9&lt;&gt;""),AND(NQ9&gt;=NV$14,NR9&gt;=NV$18,NQ9&lt;&gt;""),AND(NT9&gt;=NV$14,NU9&gt;=NV$18,NT9&lt;&gt;""),AND(OQ9&gt;=OV$14,OR9&gt;=OV$18,OQ9&lt;&gt;""),AND(OT9&gt;=OV$14,OU9&gt;=OV$18,OT9&lt;&gt;"")),"P","")</f>
        <v>P</v>
      </c>
      <c r="G9" s="3" t="str">
        <f>IF(OR(AND(AN9&gt;=AR$18,AN9&lt;&gt;"",AL9=""),AND(AQ9&gt;=AR$18,AQ9&lt;&gt;"",AL9=""),AND(BO9&gt;=BS$18,BO9&lt;&gt;"",BM9=""),AND(BR9&gt;=BS$18,BR9&lt;&gt;"",BM9=""),AND(CP9&gt;=CT$18,CP9&lt;&gt;"",CN9=""),AND(CS9&gt;=CT$18,CS9&lt;&gt;"",CN9=""),AND(DR9&gt;=DV$18,DR9&lt;&gt;""),AND(DU9&gt;=DV$18,DU9&lt;&gt;""),AND(ER9&gt;=EV$18,ER9&lt;&gt;""),AND(EU9&gt;=EV$18,EU9&lt;&gt;""),AND(FR9&gt;=FV$18,FR9&lt;&gt;""),AND(FU9&gt;=FV$18,FU9&lt;&gt;""),AND(GR9&gt;=GV$18,GR9&lt;&gt;""),AND(GU9&gt;=GV$18,GU9&lt;&gt;""),AND(HR9&gt;=HV$18,HR9&lt;&gt;""),AND(HU9&gt;=HV$18,HU9&lt;&gt;""),AND(IR9&gt;=IV$18,IR9&lt;&gt;""),AND(IU9&gt;=IV$18,IU9&lt;&gt;""),AND(JR9&gt;=JV$18,JR9&lt;&gt;""),AND(JU9&gt;=JV$18,JU9&lt;&gt;""),AND(KR9&gt;=KV$18,KR9&lt;&gt;""),AND(KU9&gt;=KV$18,KU9&lt;&gt;""),AND(LR9&gt;=LV$18,LR9&lt;&gt;""),AND(LU9&gt;=LV$18,LU9&lt;&gt;""),AND(MR9&gt;=MV$18,MR9&lt;&gt;""),AND(MU9&gt;=MV$18,MU9&lt;&gt;""),AND(NR9&gt;=NV$18,NR9&lt;&gt;""),AND(NU9&gt;=NV$18,NU9&lt;&gt;""),AND(OR9&gt;=OV$18,OR9&lt;&gt;""),AND(OU9&gt;=OV$18,OU9&lt;&gt;"")),"P","")</f>
        <v>P</v>
      </c>
      <c r="H9" s="47" t="str">
        <f>IF(AND(G9="P",F9=""),"No DD",IF(OR(AND(AM9&gt;=AR$17,AN9&gt;=AR$21,AM9&lt;&gt;"",AL9=""),AND(AP9&gt;=AR$17,AQ9&gt;=AR$21,AP9&lt;&gt;"",AL9=""),AND(BN9&gt;=BS$17,BO9&gt;=BS$21,BN9&lt;&gt;"",BM9=""),AND(BQ9&gt;=BS$17,BR9&gt;=BS$21,BQ9&lt;&gt;"",BM9=""),AND(CO9&gt;=CT$17,CP9&gt;=CT$21,CO9&lt;&gt;"",CN9=""),AND(CR9&gt;=CT$17,CS9&gt;=CT$21,CR9&lt;&gt;""),AND(DQ9&gt;=DV$17,DR9&gt;=DV$21,DQ9&lt;&gt;""),AND(DT9&gt;=DV$17,DU9&gt;=DV$21,DT9&lt;&gt;""),AND(EQ9&gt;=EV$17,ER9&gt;=EV$21,EQ9&lt;&gt;""),AND(ET9&gt;=EV$17,EU9&gt;=EV$21,ET9&lt;&gt;""),AND(FQ9&gt;=FV$17,FR9&gt;=FV$21,FQ9&lt;&gt;""),AND(FT9&gt;=FV$17,FU9&gt;=FV$21,FT9&lt;&gt;""),AND(GQ9&gt;=GV$17,GR9&gt;=GV$21,GQ9&lt;&gt;""),AND(GT9&gt;=GV$17,GU9&gt;=GV$21,GT9&lt;&gt;""),AND(HQ9&gt;=HV$17,HR9&gt;=HV$21,HQ9&lt;&gt;""),AND(HT9&gt;=HV$17,HU9&gt;=HV$21,HT9&lt;&gt;""),AND(IQ9&gt;=IV$17,IR9&gt;=IV$21,IQ9&lt;&gt;""),AND(IT9&gt;=IV$17,IU9&gt;=IV$21,IT9&lt;&gt;""),AND(JQ9&gt;=JV$17,JR9&gt;=JV$21,JQ9&lt;&gt;""),AND(JT9&gt;=JV$17,JU9&gt;=JV$21,JT9&lt;&gt;""),AND(KQ9&gt;=KV$17,KR9&gt;=KV$21,KQ9&lt;&gt;""),AND(KT9&gt;=KV$17,KU9&gt;=KV$21,KT9&lt;&gt;""),AND(LQ9&gt;=LV$17,LR9&gt;=LV$21,LQ9&lt;&gt;""),AND(LT9&gt;=LV$17,LU9&gt;=LV$21,LT9&lt;&gt;""),AND(MQ9&gt;=MV$17,MR9&gt;=MV$21,MQ9&lt;&gt;""),AND(MT9&gt;=MV$17,MU9&gt;=MV$21,MT9&lt;&gt;""),AND(NQ9&gt;=NV$17,NR9&gt;=NV$21,NQ9&lt;&gt;""),AND(NT9&gt;=NV$17,NU9&gt;=NV$21,NT9&lt;&gt;""),AND(OQ9&gt;=OV$17,OR9&gt;=OV$21,OQ9&lt;&gt;""),AND(OT9&gt;=OV$17,OU9&gt;=OV$21,OT9&lt;&gt;"")),"Merit",IF(OR(AND(AM9&gt;=AR$16,AN9&gt;=AR$20,AM9&lt;&gt;"",AL9=""),AND(AP9&gt;=AR$16,AQ9&gt;=AR$20,AP9&lt;&gt;"",AL9=""),AND(BN9&gt;=BS$16,BO9&gt;=BS$20,BN9&lt;&gt;"",BM9=""),AND(BQ9&gt;=BS$16,BR9&gt;=BS$20,BQ9&lt;&gt;"",BM9=""),AND(CO9&gt;=CT$16,CP9&gt;=CT$20,CO9&lt;&gt;"",CN9=""),AND(CR9&gt;=CT$16,CS9&gt;=CT$20,CR9&lt;&gt;""),AND(DQ9&gt;=DV$16,DR9&gt;=DV$20,DQ9&lt;&gt;""),AND(DT9&gt;=DV$16,DU9&gt;=DV$20,DT9&lt;&gt;""),AND(EQ9&gt;=EV$16,ER9&gt;=EV$20,EQ9&lt;&gt;""),AND(ET9&gt;=EV$16,EU9&gt;=EV$20,ET9&lt;&gt;""),AND(FQ9&gt;=FV$16,FR9&gt;=FV$20,FQ9&lt;&gt;""),AND(FT9&gt;=FV$16,FU9&gt;=FV$20,FT9&lt;&gt;""),AND(GQ9&gt;=GV$16,GR9&gt;=GV$20,GQ9&lt;&gt;""),AND(GT9&gt;=GV$16,GU9&gt;=GV$20,GT9&lt;&gt;""),AND(HQ9&gt;=HV$16,HR9&gt;=HV$20,HQ9&lt;&gt;""),AND(HT9&gt;=HV$16,HU9&gt;=HV$20,HT9&lt;&gt;""),AND(IQ9&gt;=IV$16,IR9&gt;=IV$20,IQ9&lt;&gt;""),AND(IT9&gt;=IV$16,IU9&gt;=IV$20,IT9&lt;&gt;""),AND(JQ9&gt;=JV$16,JR9&gt;=JV$20,JQ9&lt;&gt;""),AND(JT9&gt;=JV$16,JU9&gt;=JV$20,JT9&lt;&gt;""),AND(KQ9&gt;=KV$16,KR9&gt;=KV$20,KQ9&lt;&gt;""),AND(KT9&gt;=KV$16,KU9&gt;=KV$20,KT9&lt;&gt;""),AND(LQ9&gt;=LV$16,LR9&gt;=LV$20,LQ9&lt;&gt;""),AND(LT9&gt;=LV$16,LU9&gt;=LV$20,LT9&lt;&gt;""),AND(MQ9&gt;=MV$16,MR9&gt;=MV$20,MQ9&lt;&gt;""),AND(MT9&gt;=MV$16,MU9&gt;=MV$20,MT9&lt;&gt;""),AND(NQ9&gt;=NV$16,NR9&gt;=NV$20,NQ9&lt;&gt;""),AND(NT9&gt;=NV$16,NU9&gt;=NV$20,NT9&lt;&gt;""),AND(OQ9&gt;=OV$16,OR9&gt;=OV$20,OQ9&lt;&gt;""),AND(OT9&gt;=OV$16,OU9&gt;=OV$20,OT9&lt;&gt;"")),"Excellence",IF(F9="P","National Team",""))))</f>
        <v>Excellence</v>
      </c>
      <c r="I9" s="9">
        <f>IF(COUNT(AN9,BO9,CP9)&gt;0,LARGE((AN9,BO9,CP9),1),0)</f>
        <v>48.699999999999996</v>
      </c>
      <c r="J9" s="9" t="str">
        <f>IF(I9=0,"",IF(I9=CP9,$BT$1,IF(I9=BO9,$AS$1,IF(I9=AN9,$R$1,""))))</f>
        <v>2023 Nationals</v>
      </c>
      <c r="K9" s="9">
        <f>IF(COUNT(AN9,BO9,CP9)&gt;1,LARGE((AN9,BO9,CP9),2),0)</f>
        <v>48.499999999999993</v>
      </c>
      <c r="L9" s="9" t="str">
        <f>IF(K9=0,"",IF(K9=CP9,$BT$1,IF(K9=BO9,$AS$1,IF(K9=AN9,$R$1,""))))</f>
        <v>2023 3rd Domestic Trial</v>
      </c>
      <c r="M9" s="9">
        <f>IF(MAX(AQ9,BR9,CS9)&gt;0,MAX(AQ9,BR9,CS9),0)</f>
        <v>49.599999999999994</v>
      </c>
      <c r="N9" s="9" t="str">
        <f>IF(M9=0,"",IF(M9=CS9,$BT$1,IF(M9=BR9,$AS$1,IF(M9=AQ9,$R$1,""))))</f>
        <v>2023 Nationals</v>
      </c>
      <c r="O9" s="9" t="str">
        <f>IF(MAX(CU9:CV9)&gt;0,MAX(CU9:CV9),"")</f>
        <v/>
      </c>
      <c r="P9" s="14" t="str">
        <f>IF(O9="","",IF(O9=CU9,"("&amp;CU$2&amp;")",IF(O9=CV9,"("&amp;CV$2&amp;")")))</f>
        <v/>
      </c>
      <c r="Q9" s="9" t="str">
        <f>IF(O9="","",IF(O9=CU9,IF(O9+IF(K9="",0,K9)=OR9,$NW$1,IF(O9+IF(K9="",0,K9)=NR9,$MW$1,IF(O9+IF(K9="",0,K9)=MR9,$LW$1,IF(O9+IF(K9="",0,K9)=LR9,$KW$1,IF(O9+IF(K9="",0,K9)=KR9,$JW$1,IF(O9+IF(K9="",0,K9)=JR9,$IW$1,IF(O9+IF(K9="",0,K9)=IR9,$HW$1,IF(O9+IF(K9="",0,K9)=HR9,$GW$1,IF(O9+IF(K9="",0,K9)=GR9,$FW$1,IF(O9+IF(K9="",0,K9)=FR9,$EW$1,IF(O9+IF(K9="",0,K9)=ER9,$DW$1,IF(O9+IF(K9="",0,K9)=DR9,$CW$1)))))))))))),IF(O9=CV9,IF(O9+IF(M9="",0,M9)=OU9,$NW$1,IF(O9+IF(M9="",0,M9)=NU9,$MW$1,IF(O9+IF(M9="",0,M9)=MU9,$LW$1,IF(O9+IF(M9="",0,M9)=LU9,$KW$1,IF(O9+IF(M9="",0,M9)=KU9,$JW$1,IF(O9+IF(M9="",0,M9)=JU9,$IW$1,IF(O9+IF(M9="",0,M9)=IU9,$HW$1,IF(O9+IF(M9="",0,M9)=HU9,$GW$1,IF(O9+IF(M9="",0,M9)=GU9,$FW$1,IF(O9+IF(M9="",0,M9)=FU9,$EW$1,IF(O9+IF(M9="",0,M9)=EU9,$DW$1,IF(O9+IF(M9="",0,M9)=DU9,$CW$1)))))))))))))))</f>
        <v/>
      </c>
      <c r="R9" s="20">
        <v>18.100000000000001</v>
      </c>
      <c r="S9" s="20">
        <v>5.2</v>
      </c>
      <c r="T9" s="20">
        <v>0.6</v>
      </c>
      <c r="U9" s="20">
        <v>0</v>
      </c>
      <c r="V9" s="20">
        <v>18.2</v>
      </c>
      <c r="W9" s="20">
        <v>4.8</v>
      </c>
      <c r="X9" s="20">
        <v>0</v>
      </c>
      <c r="Y9" s="20">
        <v>0</v>
      </c>
      <c r="Z9" s="20"/>
      <c r="AA9" s="20"/>
      <c r="AB9" s="20"/>
      <c r="AC9" s="20"/>
      <c r="AD9" s="20">
        <v>18.2</v>
      </c>
      <c r="AE9" s="20">
        <v>4.8</v>
      </c>
      <c r="AF9" s="20">
        <v>0.2</v>
      </c>
      <c r="AG9" s="20">
        <v>0</v>
      </c>
      <c r="AH9" s="20">
        <v>18.8</v>
      </c>
      <c r="AI9" s="20">
        <v>4.3</v>
      </c>
      <c r="AJ9" s="20">
        <v>0.2</v>
      </c>
      <c r="AK9" s="20">
        <v>0</v>
      </c>
      <c r="AL9" s="32"/>
      <c r="AM9" s="55">
        <f>IF(SUM(S9,W9)&gt;0,SUM(S9,W9),"")</f>
        <v>10</v>
      </c>
      <c r="AN9" s="55">
        <f>IF(SUM(R9:S9,U9:W9,Y9)-T9-X9&gt;0,SUM(R9:S9,U9:W9,Y9)-T9-X9,"")</f>
        <v>45.699999999999996</v>
      </c>
      <c r="AO9" s="55" t="str">
        <f>IF(SUM(Z9:AA9,AC9)-AB9&gt;0,SUM(Z9:AA9,AC9)-AB9,"")</f>
        <v/>
      </c>
      <c r="AP9" s="55">
        <f>IF(SUM(AE9,AI9)&gt;0,SUM(AE9,AI9),"")</f>
        <v>9.1</v>
      </c>
      <c r="AQ9" s="55">
        <f>IF(SUM(AD9:AE9,AG9:AI9,AK9)-SUM(AF9,AJ9)&gt;0,SUM(AD9:AE9,AG9:AI9,AK9)-SUM(AF9,AJ9),"")</f>
        <v>45.699999999999996</v>
      </c>
      <c r="AR9" s="55">
        <f>IF(SUM(AN9,AO9,AQ9)&gt;0,SUM(AN9,AO9,AQ9),"")</f>
        <v>91.399999999999991</v>
      </c>
      <c r="AS9" s="19">
        <v>18.2</v>
      </c>
      <c r="AT9" s="19">
        <v>6</v>
      </c>
      <c r="AU9" s="19">
        <v>0.6</v>
      </c>
      <c r="AV9" s="19">
        <v>0</v>
      </c>
      <c r="AW9" s="19">
        <v>18</v>
      </c>
      <c r="AX9" s="19">
        <v>7.3</v>
      </c>
      <c r="AY9" s="19">
        <v>0.2</v>
      </c>
      <c r="AZ9" s="19">
        <v>0</v>
      </c>
      <c r="BA9" s="19">
        <v>18.600000000000001</v>
      </c>
      <c r="BB9" s="19">
        <v>4.3</v>
      </c>
      <c r="BC9" s="19">
        <v>0.6</v>
      </c>
      <c r="BD9" s="19">
        <v>0</v>
      </c>
      <c r="BE9" s="19">
        <v>18.7</v>
      </c>
      <c r="BF9" s="19">
        <v>5.6</v>
      </c>
      <c r="BG9" s="19">
        <v>0</v>
      </c>
      <c r="BH9" s="19">
        <v>0</v>
      </c>
      <c r="BI9" s="19">
        <v>18.899999999999999</v>
      </c>
      <c r="BJ9" s="19">
        <v>6.4</v>
      </c>
      <c r="BK9" s="19">
        <v>0</v>
      </c>
      <c r="BL9" s="19">
        <v>0</v>
      </c>
      <c r="BM9" s="33"/>
      <c r="BN9" s="14">
        <f>IF(SUM(AT9,AX9)&gt;0,SUM(AT9,AX9),"")</f>
        <v>13.3</v>
      </c>
      <c r="BO9" s="14">
        <f>IF(SUM(AS9:AT9,AV9:AX9,AZ9)-AU9-AY9&gt;0,SUM(AS9:AT9,AV9:AX9,AZ9)-AU9-AY9,"")</f>
        <v>48.699999999999996</v>
      </c>
      <c r="BP9" s="14">
        <f>IF(SUM(BA9:BB9,BD9)-BC9&gt;0,SUM(BA9:BB9,BD9)-BC9,"")</f>
        <v>22.3</v>
      </c>
      <c r="BQ9" s="14">
        <f>IF(SUM(BF9,BJ9)&gt;0,SUM(BF9,BJ9),"")</f>
        <v>12</v>
      </c>
      <c r="BR9" s="14">
        <f>IF(SUM(BE9:BF9,BH9:BJ9,BL9)-SUM(BG9,BK9)&gt;0,SUM(BE9:BF9,BH9:BJ9,BL9)-SUM(BG9,BK9),"")</f>
        <v>49.599999999999994</v>
      </c>
      <c r="BS9" s="14">
        <f>IF(SUM(BO9,BP9,BR9)&gt;0,SUM(BO9,BP9,BR9),"")</f>
        <v>120.6</v>
      </c>
      <c r="BT9" s="20">
        <v>18.8</v>
      </c>
      <c r="BU9" s="20">
        <v>6</v>
      </c>
      <c r="BV9" s="20">
        <v>0.2</v>
      </c>
      <c r="BW9" s="20">
        <v>0</v>
      </c>
      <c r="BX9" s="20">
        <v>18.5</v>
      </c>
      <c r="BY9" s="20">
        <v>6</v>
      </c>
      <c r="BZ9" s="20">
        <v>0.6</v>
      </c>
      <c r="CA9" s="20">
        <v>0</v>
      </c>
      <c r="CB9" s="20">
        <v>18.399999999999999</v>
      </c>
      <c r="CC9" s="20">
        <v>4.3</v>
      </c>
      <c r="CD9" s="20">
        <v>0.2</v>
      </c>
      <c r="CE9" s="20">
        <v>0</v>
      </c>
      <c r="CF9" s="20">
        <v>18.399999999999999</v>
      </c>
      <c r="CG9" s="20">
        <v>5.6</v>
      </c>
      <c r="CH9" s="20">
        <v>0.6</v>
      </c>
      <c r="CI9" s="20">
        <v>0</v>
      </c>
      <c r="CJ9" s="20">
        <v>18.3</v>
      </c>
      <c r="CK9" s="20">
        <v>7.3</v>
      </c>
      <c r="CL9" s="20">
        <v>0.8</v>
      </c>
      <c r="CM9" s="20">
        <v>0</v>
      </c>
      <c r="CN9" s="32"/>
      <c r="CO9" s="55">
        <f>IF(SUM(BU9,BY9)&gt;0,SUM(BU9,BY9),"")</f>
        <v>12</v>
      </c>
      <c r="CP9" s="55">
        <f>IF(SUM(BT9:BU9,BW9:BY9,CA9)-BV9-BZ9&gt;0,SUM(BT9:BU9,BW9:BY9,CA9)-BV9-BZ9,"")</f>
        <v>48.499999999999993</v>
      </c>
      <c r="CQ9" s="55">
        <f>IF(SUM(CB9:CC9,CE9)-CD9&gt;0,SUM(CB9:CC9,CE9)-CD9,"")</f>
        <v>22.5</v>
      </c>
      <c r="CR9" s="55">
        <f>IF(SUM(CG9,CK9)&gt;0,SUM(CG9,CK9),"")</f>
        <v>12.899999999999999</v>
      </c>
      <c r="CS9" s="55">
        <f>IF(SUM(CF9:CG9,CI9:CK9,CM9)-SUM(CH9,CL9)&gt;0,SUM(CF9:CG9,CI9:CK9,CM9)-SUM(CH9,CL9),"")</f>
        <v>48.199999999999996</v>
      </c>
      <c r="CT9" s="55">
        <f>IF(SUM(CP9,CQ9,CS9)&gt;0,SUM(CP9,CQ9,CS9),"")</f>
        <v>119.19999999999999</v>
      </c>
      <c r="CU9" s="56" t="str">
        <f>IF(MAX(DR9,ER9,FR9,GR9,HR9,IR9,JR9,KR9,LR9,MR9,NR9,OR9)-IF(K9="",0,K9)&gt;0.001,MAX(DR9,ER9,FR9,GR9,HR9,IR9,JR9,KR9,LR9,MR9,NR9,OR9)-IF(K9="",0,K9),"")</f>
        <v/>
      </c>
      <c r="CV9" s="56" t="str">
        <f>IF(MAX(DU9,EU9,FU9,GU9,HU9,IU9,JU9,KU9,LU9,MU9,NU9,OU9)-IF(M9="",0,M9)&gt;0.001,MAX(DU9,EU9,FU9,GU9,HU9,IU9,JU9,KU9,LU9,MU9,NU9,OU9)-IF(M9="",0,M9),"")</f>
        <v/>
      </c>
      <c r="CW9" s="18"/>
      <c r="CX9" s="18"/>
      <c r="CY9" s="18"/>
      <c r="CZ9" s="18"/>
      <c r="DA9" s="18"/>
      <c r="DB9" s="18"/>
      <c r="DC9" s="18"/>
      <c r="DD9" s="18"/>
      <c r="DE9" s="18"/>
      <c r="DF9" s="18"/>
      <c r="DG9" s="18"/>
      <c r="DH9" s="18"/>
      <c r="DI9" s="18"/>
      <c r="DJ9" s="18"/>
      <c r="DK9" s="18"/>
      <c r="DL9" s="18"/>
      <c r="DM9" s="18"/>
      <c r="DN9" s="18"/>
      <c r="DO9" s="18"/>
      <c r="DP9" s="18"/>
      <c r="DQ9" s="55" t="str">
        <f>IF(SUM(CX9,DB9)&gt;0,SUM(CX9,DB9),"")</f>
        <v/>
      </c>
      <c r="DR9" s="55" t="str">
        <f>IF(SUM(CW9:CX9,CZ9:DB9,DD9)-CY9-DC9&gt;0,SUM(CW9:CX9,CZ9:DB9,DD9)-CY9-DC9,"")</f>
        <v/>
      </c>
      <c r="DS9" s="55" t="str">
        <f>IF(SUM(DE9:DF9,DH9)-DG9&gt;0,SUM(DE9:DF9,DH9)-DG9,"")</f>
        <v/>
      </c>
      <c r="DT9" s="55" t="str">
        <f>IF(SUM(DJ9,DN9)&gt;0,SUM(DJ9,DN9),"")</f>
        <v/>
      </c>
      <c r="DU9" s="55" t="str">
        <f>IF(SUM(DI9:DJ9,DL9:DN9,DP9)-SUM(DK9,DO9)&gt;0,SUM(DI9:DJ9,DL9:DN9,DP9)-SUM(DK9,DO9),"")</f>
        <v/>
      </c>
      <c r="DV9" s="55" t="str">
        <f>IF(SUM(DR9,DS9,DU9)&gt;0,SUM(DR9,DS9,DU9),"")</f>
        <v/>
      </c>
      <c r="DW9" s="19"/>
      <c r="DX9" s="19"/>
      <c r="DY9" s="19"/>
      <c r="DZ9" s="19"/>
      <c r="EA9" s="19"/>
      <c r="EB9" s="19"/>
      <c r="EC9" s="19"/>
      <c r="ED9" s="19"/>
      <c r="EE9" s="19"/>
      <c r="EF9" s="19"/>
      <c r="EG9" s="19"/>
      <c r="EH9" s="19"/>
      <c r="EI9" s="19"/>
      <c r="EJ9" s="19"/>
      <c r="EK9" s="19"/>
      <c r="EL9" s="19"/>
      <c r="EM9" s="19"/>
      <c r="EN9" s="19"/>
      <c r="EO9" s="19"/>
      <c r="EP9" s="19"/>
      <c r="EQ9" s="14" t="str">
        <f>IF(SUM(DX9,EB9)&gt;0,SUM(DX9,EB9),"")</f>
        <v/>
      </c>
      <c r="ER9" s="14" t="str">
        <f>IF(SUM(DW9:DX9,DZ9:EB9,ED9)-DY9-EC9&gt;0,SUM(DW9:DX9,DZ9:EB9,ED9)-DY9-EC9,"")</f>
        <v/>
      </c>
      <c r="ES9" s="14" t="str">
        <f>IF(SUM(EE9:EF9,EH9)-EG9&gt;0,SUM(EE9:EF9,EH9)-EG9,"")</f>
        <v/>
      </c>
      <c r="ET9" s="14" t="str">
        <f>IF(SUM(EJ9,EN9)&gt;0,SUM(EJ9,EN9),"")</f>
        <v/>
      </c>
      <c r="EU9" s="14" t="str">
        <f>IF(SUM(EI9:EJ9,EL9:EN9,EP9)-SUM(EK9,EO9)&gt;0,SUM(EI9:EJ9,EL9:EN9,EP9)-SUM(EK9,EO9),"")</f>
        <v/>
      </c>
      <c r="EV9" s="14" t="str">
        <f>IF(SUM(ER9,ES9,EU9)&gt;0,SUM(ER9,ES9,EU9),"")</f>
        <v/>
      </c>
      <c r="EW9" s="18"/>
      <c r="EX9" s="18"/>
      <c r="EY9" s="18"/>
      <c r="EZ9" s="18"/>
      <c r="FA9" s="18"/>
      <c r="FB9" s="18"/>
      <c r="FC9" s="18"/>
      <c r="FD9" s="18"/>
      <c r="FE9" s="18"/>
      <c r="FF9" s="18"/>
      <c r="FG9" s="18"/>
      <c r="FH9" s="18"/>
      <c r="FI9" s="18"/>
      <c r="FJ9" s="18"/>
      <c r="FK9" s="18"/>
      <c r="FL9" s="18"/>
      <c r="FM9" s="18"/>
      <c r="FN9" s="18"/>
      <c r="FO9" s="18"/>
      <c r="FP9" s="18"/>
      <c r="FQ9" s="55" t="str">
        <f>IF(SUM(EX9,FB9)&gt;0,SUM(EX9,FB9),"")</f>
        <v/>
      </c>
      <c r="FR9" s="55" t="str">
        <f>IF(SUM(EW9:EX9,EZ9:FB9,FD9)-EY9-FC9&gt;0,SUM(EW9:EX9,EZ9:FB9,FD9)-EY9-FC9,"")</f>
        <v/>
      </c>
      <c r="FS9" s="55" t="str">
        <f>IF(SUM(FE9:FF9,FH9)-FG9&gt;0,SUM(FE9:FF9,FH9)-FG9,"")</f>
        <v/>
      </c>
      <c r="FT9" s="55" t="str">
        <f>IF(SUM(FJ9,FN9)&gt;0,SUM(FJ9,FN9),"")</f>
        <v/>
      </c>
      <c r="FU9" s="55" t="str">
        <f>IF(SUM(FI9:FJ9,FL9:FN9,FP9)-SUM(FK9,FO9)&gt;0,SUM(FI9:FJ9,FL9:FN9,FP9)-SUM(FK9,FO9),"")</f>
        <v/>
      </c>
      <c r="FV9" s="55" t="str">
        <f>IF(SUM(FR9,FS9,FU9)&gt;0,SUM(FR9,FS9,FU9),"")</f>
        <v/>
      </c>
      <c r="FW9" s="19"/>
      <c r="FX9" s="19"/>
      <c r="FY9" s="19"/>
      <c r="FZ9" s="19"/>
      <c r="GA9" s="19"/>
      <c r="GB9" s="19"/>
      <c r="GC9" s="19"/>
      <c r="GD9" s="19"/>
      <c r="GE9" s="19"/>
      <c r="GF9" s="19"/>
      <c r="GG9" s="19"/>
      <c r="GH9" s="19"/>
      <c r="GI9" s="19"/>
      <c r="GJ9" s="19"/>
      <c r="GK9" s="19"/>
      <c r="GL9" s="19"/>
      <c r="GM9" s="19"/>
      <c r="GN9" s="19"/>
      <c r="GO9" s="19"/>
      <c r="GP9" s="19"/>
      <c r="GQ9" s="14" t="str">
        <f>IF(SUM(FX9,GB9)&gt;0,SUM(FX9,GB9),"")</f>
        <v/>
      </c>
      <c r="GR9" s="14" t="str">
        <f>IF(SUM(FW9:FX9,FZ9:GB9,GD9)-FY9-GC9&gt;0,SUM(FW9:FX9,FZ9:GB9,GD9)-FY9-GC9,"")</f>
        <v/>
      </c>
      <c r="GS9" s="14" t="str">
        <f>IF(SUM(GE9:GF9,GH9)-GG9&gt;0,SUM(GE9:GF9,GH9)-GG9,"")</f>
        <v/>
      </c>
      <c r="GT9" s="14" t="str">
        <f>IF(SUM(GJ9,GN9)&gt;0,SUM(GJ9,GN9),"")</f>
        <v/>
      </c>
      <c r="GU9" s="14" t="str">
        <f>IF(SUM(GI9:GJ9,GL9:GN9,GP9)-SUM(GK9,GO9)&gt;0,SUM(GI9:GJ9,GL9:GN9,GP9)-SUM(GK9,GO9),"")</f>
        <v/>
      </c>
      <c r="GV9" s="14" t="str">
        <f>IF(SUM(GR9,GS9,GU9)&gt;0,SUM(GR9,GS9,GU9),"")</f>
        <v/>
      </c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55" t="str">
        <f>IF(SUM(GX9,HB9)&gt;0,SUM(GX9,HB9),"")</f>
        <v/>
      </c>
      <c r="HR9" s="55" t="str">
        <f>IF(SUM(GW9:GX9,GZ9:HB9,HD9)-GY9-HC9&gt;0,SUM(GW9:GX9,GZ9:HB9,HD9)-GY9-HC9,"")</f>
        <v/>
      </c>
      <c r="HS9" s="55" t="str">
        <f>IF(SUM(HE9:HF9,HH9)-HG9&gt;0,SUM(HE9:HF9,HH9)-HG9,"")</f>
        <v/>
      </c>
      <c r="HT9" s="55" t="str">
        <f>IF(SUM(HJ9,HN9)&gt;0,SUM(HJ9,HN9),"")</f>
        <v/>
      </c>
      <c r="HU9" s="55" t="str">
        <f>IF(SUM(HI9:HJ9,HL9:HN9,HP9)-SUM(HK9,HO9)&gt;0,SUM(HI9:HJ9,HL9:HN9,HP9)-SUM(HK9,HO9),"")</f>
        <v/>
      </c>
      <c r="HV9" s="55" t="str">
        <f>IF(SUM(HR9,HS9,HU9)&gt;0,SUM(HR9,HS9,HU9),"")</f>
        <v/>
      </c>
      <c r="HW9" s="19"/>
      <c r="HX9" s="19"/>
      <c r="HY9" s="19"/>
      <c r="HZ9" s="19"/>
      <c r="IA9" s="19"/>
      <c r="IB9" s="19"/>
      <c r="IC9" s="19"/>
      <c r="ID9" s="19"/>
      <c r="IE9" s="19"/>
      <c r="IF9" s="19"/>
      <c r="IG9" s="19"/>
      <c r="IH9" s="19"/>
      <c r="II9" s="19"/>
      <c r="IJ9" s="19"/>
      <c r="IK9" s="19"/>
      <c r="IL9" s="19"/>
      <c r="IM9" s="19"/>
      <c r="IN9" s="19"/>
      <c r="IO9" s="19"/>
      <c r="IP9" s="19"/>
      <c r="IQ9" s="14" t="str">
        <f>IF(SUM(HX9,IB9)&gt;0,SUM(HX9,IB9),"")</f>
        <v/>
      </c>
      <c r="IR9" s="14" t="str">
        <f>IF(SUM(HW9:HX9,HZ9:IB9,ID9)-HY9-IC9&gt;0,SUM(HW9:HX9,HZ9:IB9,ID9)-HY9-IC9,"")</f>
        <v/>
      </c>
      <c r="IS9" s="14" t="str">
        <f>IF(SUM(IE9:IF9,IH9)-IG9&gt;0,SUM(IE9:IF9,IH9)-IG9,"")</f>
        <v/>
      </c>
      <c r="IT9" s="14" t="str">
        <f>IF(SUM(IJ9,IN9)&gt;0,SUM(IJ9,IN9),"")</f>
        <v/>
      </c>
      <c r="IU9" s="14" t="str">
        <f>IF(SUM(II9:IJ9,IL9:IN9,IP9)-SUM(IK9,IO9)&gt;0,SUM(II9:IJ9,IL9:IN9,IP9)-SUM(IK9,IO9),"")</f>
        <v/>
      </c>
      <c r="IV9" s="14" t="str">
        <f>IF(SUM(IR9,IS9,IU9)&gt;0,SUM(IR9,IS9,IU9),"")</f>
        <v/>
      </c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8"/>
      <c r="JL9" s="18"/>
      <c r="JM9" s="18"/>
      <c r="JN9" s="18"/>
      <c r="JO9" s="18"/>
      <c r="JP9" s="18"/>
      <c r="JQ9" s="55" t="str">
        <f>IF(SUM(IX9,JB9)&gt;0,SUM(IX9,JB9),"")</f>
        <v/>
      </c>
      <c r="JR9" s="55" t="str">
        <f>IF(SUM(IW9:IX9,IZ9:JB9,JD9)-IY9-JC9&gt;0,SUM(IW9:IX9,IZ9:JB9,JD9)-IY9-JC9,"")</f>
        <v/>
      </c>
      <c r="JS9" s="55" t="str">
        <f>IF(SUM(JE9:JF9,JH9)-JG9&gt;0,SUM(JE9:JF9,JH9)-JG9,"")</f>
        <v/>
      </c>
      <c r="JT9" s="55" t="str">
        <f>IF(SUM(JJ9,JN9)&gt;0,SUM(JJ9,JN9),"")</f>
        <v/>
      </c>
      <c r="JU9" s="55" t="str">
        <f>IF(SUM(JI9:JJ9,JL9:JN9,JP9)-SUM(JK9,JO9)&gt;0,SUM(JI9:JJ9,JL9:JN9,JP9)-SUM(JK9,JO9),"")</f>
        <v/>
      </c>
      <c r="JV9" s="55" t="str">
        <f>IF(SUM(JR9,JS9,JU9)&gt;0,SUM(JR9,JS9,JU9),"")</f>
        <v/>
      </c>
      <c r="JW9" s="19"/>
      <c r="JX9" s="19"/>
      <c r="JY9" s="19"/>
      <c r="JZ9" s="19"/>
      <c r="KA9" s="19"/>
      <c r="KB9" s="19"/>
      <c r="KC9" s="19"/>
      <c r="KD9" s="19"/>
      <c r="KE9" s="19"/>
      <c r="KF9" s="19"/>
      <c r="KG9" s="19"/>
      <c r="KH9" s="19"/>
      <c r="KI9" s="19"/>
      <c r="KJ9" s="19"/>
      <c r="KK9" s="19"/>
      <c r="KL9" s="19"/>
      <c r="KM9" s="19"/>
      <c r="KN9" s="19"/>
      <c r="KO9" s="19"/>
      <c r="KP9" s="19"/>
      <c r="KQ9" s="14" t="str">
        <f>IF(SUM(JX9,KB9)&gt;0,SUM(JX9,KB9),"")</f>
        <v/>
      </c>
      <c r="KR9" s="14" t="str">
        <f>IF(SUM(JW9:JX9,JZ9:KB9,KD9)-JY9-KC9&gt;0,SUM(JW9:JX9,JZ9:KB9,KD9)-JY9-KC9,"")</f>
        <v/>
      </c>
      <c r="KS9" s="14" t="str">
        <f>IF(SUM(KE9:KF9,KH9)-KG9&gt;0,SUM(KE9:KF9,KH9)-KG9,"")</f>
        <v/>
      </c>
      <c r="KT9" s="14" t="str">
        <f>IF(SUM(KJ9,KN9)&gt;0,SUM(KJ9,KN9),"")</f>
        <v/>
      </c>
      <c r="KU9" s="14" t="str">
        <f>IF(SUM(KI9:KJ9,KL9:KN9,KP9)-SUM(KK9,KO9)&gt;0,SUM(KI9:KJ9,KL9:KN9,KP9)-SUM(KK9,KO9),"")</f>
        <v/>
      </c>
      <c r="KV9" s="14" t="str">
        <f>IF(SUM(KR9,KS9,KU9)&gt;0,SUM(KR9,KS9,KU9),"")</f>
        <v/>
      </c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8"/>
      <c r="LP9" s="18"/>
      <c r="LQ9" s="55" t="str">
        <f>IF(SUM(KX9,LB9)&gt;0,SUM(KX9,LB9),"")</f>
        <v/>
      </c>
      <c r="LR9" s="55" t="str">
        <f>IF(SUM(KW9:KX9,KZ9:LB9,LD9)-KY9-LC9&gt;0,SUM(KW9:KX9,KZ9:LB9,LD9)-KY9-LC9,"")</f>
        <v/>
      </c>
      <c r="LS9" s="55" t="str">
        <f>IF(SUM(LE9:LF9,LH9)-LG9&gt;0,SUM(LE9:LF9,LH9)-LG9,"")</f>
        <v/>
      </c>
      <c r="LT9" s="55" t="str">
        <f>IF(SUM(LJ9,LN9)&gt;0,SUM(LJ9,LN9),"")</f>
        <v/>
      </c>
      <c r="LU9" s="55" t="str">
        <f>IF(SUM(LI9:LJ9,LL9:LN9,LP9)-SUM(LK9,LO9)&gt;0,SUM(LI9:LJ9,LL9:LN9,LP9)-SUM(LK9,LO9),"")</f>
        <v/>
      </c>
      <c r="LV9" s="55" t="str">
        <f>IF(SUM(LR9,LS9,LU9)&gt;0,SUM(LR9,LS9,LU9),"")</f>
        <v/>
      </c>
      <c r="LW9" s="19"/>
      <c r="LX9" s="19"/>
      <c r="LY9" s="19"/>
      <c r="LZ9" s="19"/>
      <c r="MA9" s="19"/>
      <c r="MB9" s="19"/>
      <c r="MC9" s="19"/>
      <c r="MD9" s="19"/>
      <c r="ME9" s="19"/>
      <c r="MF9" s="19"/>
      <c r="MG9" s="19"/>
      <c r="MH9" s="19"/>
      <c r="MI9" s="19"/>
      <c r="MJ9" s="19"/>
      <c r="MK9" s="19"/>
      <c r="ML9" s="19"/>
      <c r="MM9" s="19"/>
      <c r="MN9" s="19"/>
      <c r="MO9" s="19"/>
      <c r="MP9" s="19"/>
      <c r="MQ9" s="14" t="str">
        <f>IF(SUM(LX9,MB9)&gt;0,SUM(LX9,MB9),"")</f>
        <v/>
      </c>
      <c r="MR9" s="14" t="str">
        <f>IF(SUM(LW9:LX9,LZ9:MB9,MD9)-LY9-MC9&gt;0,SUM(LW9:LX9,LZ9:MB9,MD9)-LY9-MC9,"")</f>
        <v/>
      </c>
      <c r="MS9" s="14" t="str">
        <f>IF(SUM(ME9:MF9,MH9)-MG9&gt;0,SUM(ME9:MF9,MH9)-MG9,"")</f>
        <v/>
      </c>
      <c r="MT9" s="14" t="str">
        <f>IF(SUM(MJ9,MN9)&gt;0,SUM(MJ9,MN9),"")</f>
        <v/>
      </c>
      <c r="MU9" s="14" t="str">
        <f>IF(SUM(MI9:MJ9,ML9:MN9,MP9)-SUM(MK9,MO9)&gt;0,SUM(MI9:MJ9,ML9:MN9,MP9)-SUM(MK9,MO9),"")</f>
        <v/>
      </c>
      <c r="MV9" s="14" t="str">
        <f>IF(SUM(MR9,MS9,MU9)&gt;0,SUM(MR9,MS9,MU9),"")</f>
        <v/>
      </c>
      <c r="MW9" s="18"/>
      <c r="MX9" s="18"/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55" t="str">
        <f>IF(SUM(MX9,NB9)&gt;0,SUM(MX9,NB9),"")</f>
        <v/>
      </c>
      <c r="NR9" s="55" t="str">
        <f>IF(SUM(MW9:MX9,MZ9:NB9,ND9)-MY9-NC9&gt;0,SUM(MW9:MX9,MZ9:NB9,ND9)-MY9-NC9,"")</f>
        <v/>
      </c>
      <c r="NS9" s="55" t="str">
        <f>IF(SUM(NE9:NF9,NH9)-NG9&gt;0,SUM(NE9:NF9,NH9)-NG9,"")</f>
        <v/>
      </c>
      <c r="NT9" s="55" t="str">
        <f>IF(SUM(NJ9,NN9)&gt;0,SUM(NJ9,NN9),"")</f>
        <v/>
      </c>
      <c r="NU9" s="55" t="str">
        <f>IF(SUM(NI9:NJ9,NL9:NN9,NP9)-SUM(NK9,NO9)&gt;0,SUM(NI9:NJ9,NL9:NN9,NP9)-SUM(NK9,NO9),"")</f>
        <v/>
      </c>
      <c r="NV9" s="55" t="str">
        <f>IF(SUM(NR9,NS9,NU9)&gt;0,SUM(NR9,NS9,NU9),"")</f>
        <v/>
      </c>
      <c r="NW9" s="19"/>
      <c r="NX9" s="19"/>
      <c r="NY9" s="19"/>
      <c r="NZ9" s="19"/>
      <c r="OA9" s="19"/>
      <c r="OB9" s="19"/>
      <c r="OC9" s="19"/>
      <c r="OD9" s="19"/>
      <c r="OE9" s="19"/>
      <c r="OF9" s="19"/>
      <c r="OG9" s="19"/>
      <c r="OH9" s="19"/>
      <c r="OI9" s="19"/>
      <c r="OJ9" s="19"/>
      <c r="OK9" s="19"/>
      <c r="OL9" s="19"/>
      <c r="OM9" s="19"/>
      <c r="ON9" s="19"/>
      <c r="OO9" s="19"/>
      <c r="OP9" s="19"/>
      <c r="OQ9" s="14" t="str">
        <f>IF(SUM(NX9,OB9)&gt;0,SUM(NX9,OB9),"")</f>
        <v/>
      </c>
      <c r="OR9" s="14" t="str">
        <f>IF(SUM(NW9:NX9,NZ9:OB9,OD9)-NY9-OC9&gt;0,SUM(NW9:NX9,NZ9:OB9,OD9)-NY9-OC9,"")</f>
        <v/>
      </c>
      <c r="OS9" s="14" t="str">
        <f>IF(SUM(OE9:OF9,OH9)-OG9&gt;0,SUM(OE9:OF9,OH9)-OG9,"")</f>
        <v/>
      </c>
      <c r="OT9" s="14" t="str">
        <f>IF(SUM(OJ9,ON9)&gt;0,SUM(OJ9,ON9),"")</f>
        <v/>
      </c>
      <c r="OU9" s="14" t="str">
        <f>IF(SUM(OI9:OJ9,OL9:ON9,OP9)-SUM(OK9,OO9)&gt;0,SUM(OI9:OJ9,OL9:ON9,OP9)-SUM(OK9,OO9),"")</f>
        <v/>
      </c>
      <c r="OV9" s="14" t="str">
        <f>IF(SUM(OR9,OS9,OU9)&gt;0,SUM(OR9,OS9,OU9),"")</f>
        <v/>
      </c>
      <c r="OW9" s="27">
        <f>IF($CN9="P",BT9,(BT9+AS9)/2)</f>
        <v>18.5</v>
      </c>
      <c r="OX9" s="27">
        <f>IF($CN9="P",BU9,(BU9+AT9)/2)</f>
        <v>6</v>
      </c>
      <c r="OY9" s="27">
        <f>IF($CN9="P",BV9,(BV9+AU9)/2)</f>
        <v>0.4</v>
      </c>
      <c r="OZ9" s="27">
        <f>IF($CN9="P",BW9,(BW9+AV9)/2)</f>
        <v>0</v>
      </c>
      <c r="PA9" s="27">
        <f>IF($CN9="P",BX9,(BX9+AW9)/2)</f>
        <v>18.25</v>
      </c>
      <c r="PB9" s="27">
        <f>IF($CN9="P",BY9,(BY9+AX9)/2)</f>
        <v>6.65</v>
      </c>
      <c r="PC9" s="27">
        <f>IF($CN9="P",BZ9,(BZ9+AY9)/2)</f>
        <v>0.4</v>
      </c>
      <c r="PD9" s="27">
        <f>IF($CN9="P",CA9,(CA9+AZ9)/2)</f>
        <v>0</v>
      </c>
      <c r="PE9" s="27">
        <f>IF($CN9="P",CB9,(CB9+BA9)/2)</f>
        <v>18.5</v>
      </c>
      <c r="PF9" s="27">
        <f>IF($CN9="P",CC9,(CC9+BB9)/2)</f>
        <v>4.3</v>
      </c>
      <c r="PG9" s="27">
        <f>IF($CN9="P",CD9,(CD9+BC9)/2)</f>
        <v>0.4</v>
      </c>
      <c r="PH9" s="27">
        <f>IF($CN9="P",CE9,(CE9+BD9)/2)</f>
        <v>0</v>
      </c>
      <c r="PI9" s="27">
        <f>IF($CN9="P",CF9,(CF9+BE9)/2)</f>
        <v>18.549999999999997</v>
      </c>
      <c r="PJ9" s="27">
        <f>IF($CN9="P",CG9,(CG9+BF9)/2)</f>
        <v>5.6</v>
      </c>
      <c r="PK9" s="27">
        <f>IF($CN9="P",CH9,(CH9+BG9)/2)</f>
        <v>0.3</v>
      </c>
      <c r="PL9" s="27">
        <f>IF($CN9="P",CI9,(CI9+BH9)/2)</f>
        <v>0</v>
      </c>
      <c r="PM9" s="27">
        <f>IF($CN9="P",CJ9,(CJ9+BI9)/2)</f>
        <v>18.600000000000001</v>
      </c>
      <c r="PN9" s="27">
        <f>IF($CN9="P",CK9,(CK9+BJ9)/2)</f>
        <v>6.85</v>
      </c>
      <c r="PO9" s="27">
        <f>IF($CN9="P",CL9,(CL9+BK9)/2)</f>
        <v>0.4</v>
      </c>
      <c r="PP9" s="27">
        <f>IF($CN9="P",CM9,(CM9+BL9)/2)</f>
        <v>0</v>
      </c>
      <c r="PQ9" s="32" t="s">
        <v>44</v>
      </c>
      <c r="PR9" s="55">
        <f>IF(SUM(OX9,PB9)&gt;0,SUM(OX9,PB9),"")</f>
        <v>12.65</v>
      </c>
      <c r="PS9" s="55">
        <f>IF(SUM(OW9:OX9,OZ9:PB9,PD9)-OY9-PC9&gt;0,SUM(OW9:OX9,OZ9:PB9,PD9)-OY9-PC9,"")</f>
        <v>48.6</v>
      </c>
      <c r="PT9" s="55">
        <f>IF(SUM(PE9:PF9,PH9)-PG9&gt;0,SUM(PE9:PF9,PH9)-PG9,"")</f>
        <v>22.400000000000002</v>
      </c>
      <c r="PU9" s="55">
        <f>IF(SUM(PJ9,PN9)&gt;0,SUM(PJ9,PN9),"")</f>
        <v>12.45</v>
      </c>
      <c r="PV9" s="55">
        <f>IF(SUM(PI9:PJ9,PL9:PN9,PP9)-SUM(PK9,PO9)&gt;0,SUM(PI9:PJ9,PL9:PN9,PP9)-SUM(PK9,PO9),"")</f>
        <v>48.9</v>
      </c>
      <c r="PW9" s="55">
        <f>IF(SUM(PS9,PT9,PV9)&gt;0,SUM(PS9,PT9,PV9),"")</f>
        <v>119.9</v>
      </c>
    </row>
    <row r="10" spans="1:439" x14ac:dyDescent="0.2">
      <c r="A10" s="4" cm="1">
        <f t="array" ref="A10">IF(AND(H10&lt;&gt;"",H10&lt;&gt;"No DD"),SUMPRODUCT((H$4:H$12&lt;&gt;"")*(H$4:H$12&lt;&gt;"No DD")*(E$4:E$12&gt;E10))+1,IF(H10="No DD",SUMPRODUCT((H$4:H$12="No DD")*(E$4:E$12&gt;E10))+1+SUMPRODUCT((H$4:H$12&lt;&gt;"")*(H$4:H$12&lt;&gt;"No DD")),""))</f>
        <v>7</v>
      </c>
      <c r="B10" s="5" t="s">
        <v>87</v>
      </c>
      <c r="C10" s="4" t="s">
        <v>68</v>
      </c>
      <c r="D10" s="4">
        <v>2007</v>
      </c>
      <c r="E10" s="10">
        <f>SUM(I10:O10)+SUM(I10:M10)*0.0000001+SUM(I10)*0.0000000000001</f>
        <v>143.30001433000481</v>
      </c>
      <c r="F10" s="3" t="str">
        <f>IF(OR(AND(AM10&gt;=AR$14,AN10&gt;=AR$18,AM10&lt;&gt;"",AL10=""),AND(AP10&gt;=AR$14,AQ10&gt;=AR$18,AP10&lt;&gt;"",AL10=""),AND(BN10&gt;=BS$14,BO10&gt;=BS$18,BN10&lt;&gt;"",BM10=""),AND(BQ10&gt;=BS$14,BR10&gt;=BS$18,BQ10&lt;&gt;"",BM10=""),AND(CO10&gt;=CT$14,CP10&gt;=CT$18,CO10&lt;&gt;"",CN10=""),AND(CR10&gt;=CT$14,CS10&gt;=CT$18,CR10&lt;&gt;""),AND(DQ10&gt;=DV$14,DR10&gt;=DV$18,DQ10&lt;&gt;""),AND(DT10&gt;=DV$14,DU10&gt;=DV$18,DT10&lt;&gt;""),AND(EQ10&gt;=EV$14,ER10&gt;=EV$18,EQ10&lt;&gt;""),AND(ET10&gt;=EV$14,EU10&gt;=EV$18,ET10&lt;&gt;""),AND(FQ10&gt;=FV$14,FR10&gt;=FV$18,FQ10&lt;&gt;""),AND(FT10&gt;=FV$14,FU10&gt;=FV$18,FT10&lt;&gt;""),AND(GQ10&gt;=GV$14,GR10&gt;=GV$18,GQ10&lt;&gt;""),AND(GT10&gt;=GV$14,GU10&gt;=GV$18,GT10&lt;&gt;""),AND(HQ10&gt;=HV$14,HR10&gt;=HV$18,HQ10&lt;&gt;""),AND(HT10&gt;=HV$14,HU10&gt;=HV$18,HT10&lt;&gt;""),AND(IQ10&gt;=IV$14,IR10&gt;=IV$18,IQ10&lt;&gt;""),AND(IT10&gt;=IV$14,IU10&gt;=IV$18,IT10&lt;&gt;""),AND(JQ10&gt;=JV$14,JR10&gt;=JV$18,JQ10&lt;&gt;""),AND(JT10&gt;=JV$14,JU10&gt;=JV$18,JT10&lt;&gt;""),AND(KQ10&gt;=KV$14,KR10&gt;=KV$18,KQ10&lt;&gt;""),AND(KT10&gt;=KV$14,KU10&gt;=KV$18,KT10&lt;&gt;""),AND(LQ10&gt;=LV$14,LR10&gt;=LV$18,LQ10&lt;&gt;""),AND(LT10&gt;=LV$14,LU10&gt;=LV$18,LT10&lt;&gt;""),AND(MQ10&gt;=MV$14,MR10&gt;=MV$18,MQ10&lt;&gt;""),AND(MT10&gt;=MV$14,MU10&gt;=MV$18,MT10&lt;&gt;""),AND(NQ10&gt;=NV$14,NR10&gt;=NV$18,NQ10&lt;&gt;""),AND(NT10&gt;=NV$14,NU10&gt;=NV$18,NT10&lt;&gt;""),AND(OQ10&gt;=OV$14,OR10&gt;=OV$18,OQ10&lt;&gt;""),AND(OT10&gt;=OV$14,OU10&gt;=OV$18,OT10&lt;&gt;"")),"P","")</f>
        <v>P</v>
      </c>
      <c r="G10" s="3" t="str">
        <f>IF(OR(AND(AN10&gt;=AR$18,AN10&lt;&gt;"",AL10=""),AND(AQ10&gt;=AR$18,AQ10&lt;&gt;"",AL10=""),AND(BO10&gt;=BS$18,BO10&lt;&gt;"",BM10=""),AND(BR10&gt;=BS$18,BR10&lt;&gt;"",BM10=""),AND(CP10&gt;=CT$18,CP10&lt;&gt;"",CN10=""),AND(CS10&gt;=CT$18,CS10&lt;&gt;"",CN10=""),AND(DR10&gt;=DV$18,DR10&lt;&gt;""),AND(DU10&gt;=DV$18,DU10&lt;&gt;""),AND(ER10&gt;=EV$18,ER10&lt;&gt;""),AND(EU10&gt;=EV$18,EU10&lt;&gt;""),AND(FR10&gt;=FV$18,FR10&lt;&gt;""),AND(FU10&gt;=FV$18,FU10&lt;&gt;""),AND(GR10&gt;=GV$18,GR10&lt;&gt;""),AND(GU10&gt;=GV$18,GU10&lt;&gt;""),AND(HR10&gt;=HV$18,HR10&lt;&gt;""),AND(HU10&gt;=HV$18,HU10&lt;&gt;""),AND(IR10&gt;=IV$18,IR10&lt;&gt;""),AND(IU10&gt;=IV$18,IU10&lt;&gt;""),AND(JR10&gt;=JV$18,JR10&lt;&gt;""),AND(JU10&gt;=JV$18,JU10&lt;&gt;""),AND(KR10&gt;=KV$18,KR10&lt;&gt;""),AND(KU10&gt;=KV$18,KU10&lt;&gt;""),AND(LR10&gt;=LV$18,LR10&lt;&gt;""),AND(LU10&gt;=LV$18,LU10&lt;&gt;""),AND(MR10&gt;=MV$18,MR10&lt;&gt;""),AND(MU10&gt;=MV$18,MU10&lt;&gt;""),AND(NR10&gt;=NV$18,NR10&lt;&gt;""),AND(NU10&gt;=NV$18,NU10&lt;&gt;""),AND(OR10&gt;=OV$18,OR10&lt;&gt;""),AND(OU10&gt;=OV$18,OU10&lt;&gt;"")),"P","")</f>
        <v>P</v>
      </c>
      <c r="H10" s="47" t="str">
        <f>IF(AND(G10="P",F10=""),"No DD",IF(OR(AND(AM10&gt;=AR$17,AN10&gt;=AR$21,AM10&lt;&gt;"",AL10=""),AND(AP10&gt;=AR$17,AQ10&gt;=AR$21,AP10&lt;&gt;"",AL10=""),AND(BN10&gt;=BS$17,BO10&gt;=BS$21,BN10&lt;&gt;"",BM10=""),AND(BQ10&gt;=BS$17,BR10&gt;=BS$21,BQ10&lt;&gt;"",BM10=""),AND(CO10&gt;=CT$17,CP10&gt;=CT$21,CO10&lt;&gt;"",CN10=""),AND(CR10&gt;=CT$17,CS10&gt;=CT$21,CR10&lt;&gt;""),AND(DQ10&gt;=DV$17,DR10&gt;=DV$21,DQ10&lt;&gt;""),AND(DT10&gt;=DV$17,DU10&gt;=DV$21,DT10&lt;&gt;""),AND(EQ10&gt;=EV$17,ER10&gt;=EV$21,EQ10&lt;&gt;""),AND(ET10&gt;=EV$17,EU10&gt;=EV$21,ET10&lt;&gt;""),AND(FQ10&gt;=FV$17,FR10&gt;=FV$21,FQ10&lt;&gt;""),AND(FT10&gt;=FV$17,FU10&gt;=FV$21,FT10&lt;&gt;""),AND(GQ10&gt;=GV$17,GR10&gt;=GV$21,GQ10&lt;&gt;""),AND(GT10&gt;=GV$17,GU10&gt;=GV$21,GT10&lt;&gt;""),AND(HQ10&gt;=HV$17,HR10&gt;=HV$21,HQ10&lt;&gt;""),AND(HT10&gt;=HV$17,HU10&gt;=HV$21,HT10&lt;&gt;""),AND(IQ10&gt;=IV$17,IR10&gt;=IV$21,IQ10&lt;&gt;""),AND(IT10&gt;=IV$17,IU10&gt;=IV$21,IT10&lt;&gt;""),AND(JQ10&gt;=JV$17,JR10&gt;=JV$21,JQ10&lt;&gt;""),AND(JT10&gt;=JV$17,JU10&gt;=JV$21,JT10&lt;&gt;""),AND(KQ10&gt;=KV$17,KR10&gt;=KV$21,KQ10&lt;&gt;""),AND(KT10&gt;=KV$17,KU10&gt;=KV$21,KT10&lt;&gt;""),AND(LQ10&gt;=LV$17,LR10&gt;=LV$21,LQ10&lt;&gt;""),AND(LT10&gt;=LV$17,LU10&gt;=LV$21,LT10&lt;&gt;""),AND(MQ10&gt;=MV$17,MR10&gt;=MV$21,MQ10&lt;&gt;""),AND(MT10&gt;=MV$17,MU10&gt;=MV$21,MT10&lt;&gt;""),AND(NQ10&gt;=NV$17,NR10&gt;=NV$21,NQ10&lt;&gt;""),AND(NT10&gt;=NV$17,NU10&gt;=NV$21,NT10&lt;&gt;""),AND(OQ10&gt;=OV$17,OR10&gt;=OV$21,OQ10&lt;&gt;""),AND(OT10&gt;=OV$17,OU10&gt;=OV$21,OT10&lt;&gt;"")),"Merit",IF(OR(AND(AM10&gt;=AR$16,AN10&gt;=AR$20,AM10&lt;&gt;"",AL10=""),AND(AP10&gt;=AR$16,AQ10&gt;=AR$20,AP10&lt;&gt;"",AL10=""),AND(BN10&gt;=BS$16,BO10&gt;=BS$20,BN10&lt;&gt;"",BM10=""),AND(BQ10&gt;=BS$16,BR10&gt;=BS$20,BQ10&lt;&gt;"",BM10=""),AND(CO10&gt;=CT$16,CP10&gt;=CT$20,CO10&lt;&gt;"",CN10=""),AND(CR10&gt;=CT$16,CS10&gt;=CT$20,CR10&lt;&gt;""),AND(DQ10&gt;=DV$16,DR10&gt;=DV$20,DQ10&lt;&gt;""),AND(DT10&gt;=DV$16,DU10&gt;=DV$20,DT10&lt;&gt;""),AND(EQ10&gt;=EV$16,ER10&gt;=EV$20,EQ10&lt;&gt;""),AND(ET10&gt;=EV$16,EU10&gt;=EV$20,ET10&lt;&gt;""),AND(FQ10&gt;=FV$16,FR10&gt;=FV$20,FQ10&lt;&gt;""),AND(FT10&gt;=FV$16,FU10&gt;=FV$20,FT10&lt;&gt;""),AND(GQ10&gt;=GV$16,GR10&gt;=GV$20,GQ10&lt;&gt;""),AND(GT10&gt;=GV$16,GU10&gt;=GV$20,GT10&lt;&gt;""),AND(HQ10&gt;=HV$16,HR10&gt;=HV$20,HQ10&lt;&gt;""),AND(HT10&gt;=HV$16,HU10&gt;=HV$20,HT10&lt;&gt;""),AND(IQ10&gt;=IV$16,IR10&gt;=IV$20,IQ10&lt;&gt;""),AND(IT10&gt;=IV$16,IU10&gt;=IV$20,IT10&lt;&gt;""),AND(JQ10&gt;=JV$16,JR10&gt;=JV$20,JQ10&lt;&gt;""),AND(JT10&gt;=JV$16,JU10&gt;=JV$20,JT10&lt;&gt;""),AND(KQ10&gt;=KV$16,KR10&gt;=KV$20,KQ10&lt;&gt;""),AND(KT10&gt;=KV$16,KU10&gt;=KV$20,KT10&lt;&gt;""),AND(LQ10&gt;=LV$16,LR10&gt;=LV$20,LQ10&lt;&gt;""),AND(LT10&gt;=LV$16,LU10&gt;=LV$20,LT10&lt;&gt;""),AND(MQ10&gt;=MV$16,MR10&gt;=MV$20,MQ10&lt;&gt;""),AND(MT10&gt;=MV$16,MU10&gt;=MV$20,MT10&lt;&gt;""),AND(NQ10&gt;=NV$16,NR10&gt;=NV$20,NQ10&lt;&gt;""),AND(NT10&gt;=NV$16,NU10&gt;=NV$20,NT10&lt;&gt;""),AND(OQ10&gt;=OV$16,OR10&gt;=OV$20,OQ10&lt;&gt;""),AND(OT10&gt;=OV$16,OU10&gt;=OV$20,OT10&lt;&gt;"")),"Excellence",IF(F10="P","National Team",""))))</f>
        <v>Excellence</v>
      </c>
      <c r="I10" s="9">
        <f>IF(COUNT(AN10,BO10,CP10)&gt;0,LARGE((AN10,BO10,CP10),1),0)</f>
        <v>48.199999999999996</v>
      </c>
      <c r="J10" s="9" t="str">
        <f>IF(I10=0,"",IF(I10=CP10,$BT$1,IF(I10=BO10,$AS$1,IF(I10=AN10,$R$1,""))))</f>
        <v>2023 Elite Canada</v>
      </c>
      <c r="K10" s="9">
        <f>IF(COUNT(AN10,BO10,CP10)&gt;1,LARGE((AN10,BO10,CP10),2),0)</f>
        <v>48</v>
      </c>
      <c r="L10" s="9" t="str">
        <f>IF(K10=0,"",IF(K10=CP10,$BT$1,IF(K10=BO10,$AS$1,IF(K10=AN10,$R$1,""))))</f>
        <v>2023 3rd Domestic Trial</v>
      </c>
      <c r="M10" s="9">
        <f>IF(MAX(AQ10,BR10,CS10)&gt;0,MAX(AQ10,BR10,CS10),0)</f>
        <v>47.1</v>
      </c>
      <c r="N10" s="9" t="str">
        <f>IF(M10=0,"",IF(M10=CS10,$BT$1,IF(M10=BR10,$AS$1,IF(M10=AQ10,$R$1,""))))</f>
        <v>2023 Elite Canada</v>
      </c>
      <c r="O10" s="9" t="str">
        <f>IF(MAX(CU10:CV10)&gt;0,MAX(CU10:CV10),"")</f>
        <v/>
      </c>
      <c r="P10" s="14" t="str">
        <f>IF(O10="","",IF(O10=CU10,"("&amp;CU$2&amp;")",IF(O10=CV10,"("&amp;CV$2&amp;")")))</f>
        <v/>
      </c>
      <c r="Q10" s="9" t="str">
        <f>IF(O10="","",IF(O10=CU10,IF(O10+IF(K10="",0,K10)=OR10,$NW$1,IF(O10+IF(K10="",0,K10)=NR10,$MW$1,IF(O10+IF(K10="",0,K10)=MR10,$LW$1,IF(O10+IF(K10="",0,K10)=LR10,$KW$1,IF(O10+IF(K10="",0,K10)=KR10,$JW$1,IF(O10+IF(K10="",0,K10)=JR10,$IW$1,IF(O10+IF(K10="",0,K10)=IR10,$HW$1,IF(O10+IF(K10="",0,K10)=HR10,$GW$1,IF(O10+IF(K10="",0,K10)=GR10,$FW$1,IF(O10+IF(K10="",0,K10)=FR10,$EW$1,IF(O10+IF(K10="",0,K10)=ER10,$DW$1,IF(O10+IF(K10="",0,K10)=DR10,$CW$1)))))))))))),IF(O10=CV10,IF(O10+IF(M10="",0,M10)=OU10,$NW$1,IF(O10+IF(M10="",0,M10)=NU10,$MW$1,IF(O10+IF(M10="",0,M10)=MU10,$LW$1,IF(O10+IF(M10="",0,M10)=LU10,$KW$1,IF(O10+IF(M10="",0,M10)=KU10,$JW$1,IF(O10+IF(M10="",0,M10)=JU10,$IW$1,IF(O10+IF(M10="",0,M10)=IU10,$HW$1,IF(O10+IF(M10="",0,M10)=HU10,$GW$1,IF(O10+IF(M10="",0,M10)=GU10,$FW$1,IF(O10+IF(M10="",0,M10)=FU10,$EW$1,IF(O10+IF(M10="",0,M10)=EU10,$DW$1,IF(O10+IF(M10="",0,M10)=DU10,$CW$1)))))))))))))))</f>
        <v/>
      </c>
      <c r="R10" s="20">
        <v>18.600000000000001</v>
      </c>
      <c r="S10" s="20">
        <v>6</v>
      </c>
      <c r="T10" s="20">
        <v>0.2</v>
      </c>
      <c r="U10" s="20">
        <v>0</v>
      </c>
      <c r="V10" s="20">
        <v>18.2</v>
      </c>
      <c r="W10" s="20">
        <v>5.6</v>
      </c>
      <c r="X10" s="20">
        <v>0</v>
      </c>
      <c r="Y10" s="20">
        <v>0</v>
      </c>
      <c r="Z10" s="20">
        <v>18.5</v>
      </c>
      <c r="AA10" s="20">
        <v>5.0999999999999996</v>
      </c>
      <c r="AB10" s="20">
        <v>0.8</v>
      </c>
      <c r="AC10" s="20">
        <v>0</v>
      </c>
      <c r="AD10" s="20">
        <v>18.600000000000001</v>
      </c>
      <c r="AE10" s="20">
        <v>6</v>
      </c>
      <c r="AF10" s="20">
        <v>0.2</v>
      </c>
      <c r="AG10" s="20">
        <v>0</v>
      </c>
      <c r="AH10" s="20">
        <v>17.899999999999999</v>
      </c>
      <c r="AI10" s="20">
        <v>5.6</v>
      </c>
      <c r="AJ10" s="20">
        <v>0.8</v>
      </c>
      <c r="AK10" s="20">
        <v>0</v>
      </c>
      <c r="AL10" s="32"/>
      <c r="AM10" s="55">
        <f>IF(SUM(S10,W10)&gt;0,SUM(S10,W10),"")</f>
        <v>11.6</v>
      </c>
      <c r="AN10" s="55">
        <f>IF(SUM(R10:S10,U10:W10,Y10)-T10-X10&gt;0,SUM(R10:S10,U10:W10,Y10)-T10-X10,"")</f>
        <v>48.199999999999996</v>
      </c>
      <c r="AO10" s="55">
        <f>IF(SUM(Z10:AA10,AC10)-AB10&gt;0,SUM(Z10:AA10,AC10)-AB10,"")</f>
        <v>22.8</v>
      </c>
      <c r="AP10" s="55">
        <f>IF(SUM(AE10,AI10)&gt;0,SUM(AE10,AI10),"")</f>
        <v>11.6</v>
      </c>
      <c r="AQ10" s="55">
        <f>IF(SUM(AD10:AE10,AG10:AI10,AK10)-SUM(AF10,AJ10)&gt;0,SUM(AD10:AE10,AG10:AI10,AK10)-SUM(AF10,AJ10),"")</f>
        <v>47.1</v>
      </c>
      <c r="AR10" s="55">
        <f>IF(SUM(AN10,AO10,AQ10)&gt;0,SUM(AN10,AO10,AQ10),"")</f>
        <v>118.1</v>
      </c>
      <c r="AS10" s="19">
        <v>17.600000000000001</v>
      </c>
      <c r="AT10" s="19">
        <v>2.4</v>
      </c>
      <c r="AU10" s="19">
        <v>0</v>
      </c>
      <c r="AV10" s="19">
        <v>0</v>
      </c>
      <c r="AW10" s="19">
        <v>18</v>
      </c>
      <c r="AX10" s="19">
        <v>6.4</v>
      </c>
      <c r="AY10" s="19">
        <v>0.8</v>
      </c>
      <c r="AZ10" s="19">
        <v>0</v>
      </c>
      <c r="BA10" s="19">
        <v>18.600000000000001</v>
      </c>
      <c r="BB10" s="19">
        <v>4.3</v>
      </c>
      <c r="BC10" s="19">
        <v>0.2</v>
      </c>
      <c r="BD10" s="19">
        <v>0</v>
      </c>
      <c r="BE10" s="19">
        <v>18</v>
      </c>
      <c r="BF10" s="19">
        <v>5.6</v>
      </c>
      <c r="BG10" s="19">
        <v>0.2</v>
      </c>
      <c r="BH10" s="19">
        <v>0</v>
      </c>
      <c r="BI10" s="19">
        <v>16.600000000000001</v>
      </c>
      <c r="BJ10" s="19">
        <v>6</v>
      </c>
      <c r="BK10" s="19">
        <v>0.8</v>
      </c>
      <c r="BL10" s="19">
        <v>0</v>
      </c>
      <c r="BM10" s="33"/>
      <c r="BN10" s="14">
        <f>IF(SUM(AT10,AX10)&gt;0,SUM(AT10,AX10),"")</f>
        <v>8.8000000000000007</v>
      </c>
      <c r="BO10" s="14">
        <f>IF(SUM(AS10:AT10,AV10:AX10,AZ10)-AU10-AY10&gt;0,SUM(AS10:AT10,AV10:AX10,AZ10)-AU10-AY10,"")</f>
        <v>43.6</v>
      </c>
      <c r="BP10" s="14">
        <f>IF(SUM(BA10:BB10,BD10)-BC10&gt;0,SUM(BA10:BB10,BD10)-BC10,"")</f>
        <v>22.700000000000003</v>
      </c>
      <c r="BQ10" s="14">
        <f>IF(SUM(BF10,BJ10)&gt;0,SUM(BF10,BJ10),"")</f>
        <v>11.6</v>
      </c>
      <c r="BR10" s="14">
        <f>IF(SUM(BE10:BF10,BH10:BJ10,BL10)-SUM(BG10,BK10)&gt;0,SUM(BE10:BF10,BH10:BJ10,BL10)-SUM(BG10,BK10),"")</f>
        <v>45.2</v>
      </c>
      <c r="BS10" s="14">
        <f>IF(SUM(BO10,BP10,BR10)&gt;0,SUM(BO10,BP10,BR10),"")</f>
        <v>111.50000000000001</v>
      </c>
      <c r="BT10" s="20">
        <v>18.8</v>
      </c>
      <c r="BU10" s="20">
        <v>5.1999999999999993</v>
      </c>
      <c r="BV10" s="20">
        <v>0</v>
      </c>
      <c r="BW10" s="20">
        <v>0</v>
      </c>
      <c r="BX10" s="20">
        <v>18</v>
      </c>
      <c r="BY10" s="20">
        <v>6</v>
      </c>
      <c r="BZ10" s="20">
        <v>0</v>
      </c>
      <c r="CA10" s="20">
        <v>0</v>
      </c>
      <c r="CB10" s="20">
        <v>18.600000000000001</v>
      </c>
      <c r="CC10" s="20">
        <v>1.2999999999999998</v>
      </c>
      <c r="CD10" s="20">
        <v>3.6</v>
      </c>
      <c r="CE10" s="20">
        <v>0</v>
      </c>
      <c r="CF10" s="20">
        <v>18.8</v>
      </c>
      <c r="CG10" s="20">
        <v>5.1999999999999993</v>
      </c>
      <c r="CH10" s="20">
        <v>0.8</v>
      </c>
      <c r="CI10" s="20">
        <v>0</v>
      </c>
      <c r="CJ10" s="20">
        <v>17.100000000000001</v>
      </c>
      <c r="CK10" s="20">
        <v>3.2</v>
      </c>
      <c r="CL10" s="20">
        <v>0</v>
      </c>
      <c r="CM10" s="20">
        <v>0</v>
      </c>
      <c r="CN10" s="32"/>
      <c r="CO10" s="55">
        <f>IF(SUM(BU10,BY10)&gt;0,SUM(BU10,BY10),"")</f>
        <v>11.2</v>
      </c>
      <c r="CP10" s="55">
        <f>IF(SUM(BT10:BU10,BW10:BY10,CA10)-BV10-BZ10&gt;0,SUM(BT10:BU10,BW10:BY10,CA10)-BV10-BZ10,"")</f>
        <v>48</v>
      </c>
      <c r="CQ10" s="55">
        <f>IF(SUM(CB10:CC10,CE10)-CD10&gt;0,SUM(CB10:CC10,CE10)-CD10,"")</f>
        <v>16.3</v>
      </c>
      <c r="CR10" s="55">
        <f>IF(SUM(CG10,CK10)&gt;0,SUM(CG10,CK10),"")</f>
        <v>8.3999999999999986</v>
      </c>
      <c r="CS10" s="55">
        <f>IF(SUM(CF10:CG10,CI10:CK10,CM10)-SUM(CH10,CL10)&gt;0,SUM(CF10:CG10,CI10:CK10,CM10)-SUM(CH10,CL10),"")</f>
        <v>43.500000000000007</v>
      </c>
      <c r="CT10" s="55">
        <f>IF(SUM(CP10,CQ10,CS10)&gt;0,SUM(CP10,CQ10,CS10),"")</f>
        <v>107.80000000000001</v>
      </c>
      <c r="CU10" s="56" t="str">
        <f>IF(MAX(DR10,ER10,FR10,GR10,HR10,IR10,JR10,KR10,LR10,MR10,NR10,OR10)-IF(K10="",0,K10)&gt;0.001,MAX(DR10,ER10,FR10,GR10,HR10,IR10,JR10,KR10,LR10,MR10,NR10,OR10)-IF(K10="",0,K10),"")</f>
        <v/>
      </c>
      <c r="CV10" s="56" t="str">
        <f>IF(MAX(DU10,EU10,FU10,GU10,HU10,IU10,JU10,KU10,LU10,MU10,NU10,OU10)-IF(M10="",0,M10)&gt;0.001,MAX(DU10,EU10,FU10,GU10,HU10,IU10,JU10,KU10,LU10,MU10,NU10,OU10)-IF(M10="",0,M10),"")</f>
        <v/>
      </c>
      <c r="CW10" s="18"/>
      <c r="CX10" s="18"/>
      <c r="CY10" s="18"/>
      <c r="CZ10" s="18"/>
      <c r="DA10" s="18"/>
      <c r="DB10" s="18"/>
      <c r="DC10" s="18"/>
      <c r="DD10" s="18"/>
      <c r="DE10" s="18"/>
      <c r="DF10" s="18"/>
      <c r="DG10" s="18"/>
      <c r="DH10" s="18"/>
      <c r="DI10" s="18"/>
      <c r="DJ10" s="18"/>
      <c r="DK10" s="18"/>
      <c r="DL10" s="18"/>
      <c r="DM10" s="18"/>
      <c r="DN10" s="18"/>
      <c r="DO10" s="18"/>
      <c r="DP10" s="18"/>
      <c r="DQ10" s="55" t="str">
        <f>IF(SUM(CX10,DB10)&gt;0,SUM(CX10,DB10),"")</f>
        <v/>
      </c>
      <c r="DR10" s="55" t="str">
        <f>IF(SUM(CW10:CX10,CZ10:DB10,DD10)-CY10-DC10&gt;0,SUM(CW10:CX10,CZ10:DB10,DD10)-CY10-DC10,"")</f>
        <v/>
      </c>
      <c r="DS10" s="55" t="str">
        <f>IF(SUM(DE10:DF10,DH10)-DG10&gt;0,SUM(DE10:DF10,DH10)-DG10,"")</f>
        <v/>
      </c>
      <c r="DT10" s="55" t="str">
        <f>IF(SUM(DJ10,DN10)&gt;0,SUM(DJ10,DN10),"")</f>
        <v/>
      </c>
      <c r="DU10" s="55" t="str">
        <f>IF(SUM(DI10:DJ10,DL10:DN10,DP10)-SUM(DK10,DO10)&gt;0,SUM(DI10:DJ10,DL10:DN10,DP10)-SUM(DK10,DO10),"")</f>
        <v/>
      </c>
      <c r="DV10" s="55" t="str">
        <f>IF(SUM(DR10,DS10,DU10)&gt;0,SUM(DR10,DS10,DU10),"")</f>
        <v/>
      </c>
      <c r="DW10" s="19"/>
      <c r="DX10" s="19"/>
      <c r="DY10" s="19"/>
      <c r="DZ10" s="19"/>
      <c r="EA10" s="19"/>
      <c r="EB10" s="19"/>
      <c r="EC10" s="19"/>
      <c r="ED10" s="19"/>
      <c r="EE10" s="19"/>
      <c r="EF10" s="19"/>
      <c r="EG10" s="19"/>
      <c r="EH10" s="19"/>
      <c r="EI10" s="19"/>
      <c r="EJ10" s="19"/>
      <c r="EK10" s="19"/>
      <c r="EL10" s="19"/>
      <c r="EM10" s="19"/>
      <c r="EN10" s="19"/>
      <c r="EO10" s="19"/>
      <c r="EP10" s="19"/>
      <c r="EQ10" s="14" t="str">
        <f>IF(SUM(DX10,EB10)&gt;0,SUM(DX10,EB10),"")</f>
        <v/>
      </c>
      <c r="ER10" s="14" t="str">
        <f>IF(SUM(DW10:DX10,DZ10:EB10,ED10)-DY10-EC10&gt;0,SUM(DW10:DX10,DZ10:EB10,ED10)-DY10-EC10,"")</f>
        <v/>
      </c>
      <c r="ES10" s="14" t="str">
        <f>IF(SUM(EE10:EF10,EH10)-EG10&gt;0,SUM(EE10:EF10,EH10)-EG10,"")</f>
        <v/>
      </c>
      <c r="ET10" s="14" t="str">
        <f>IF(SUM(EJ10,EN10)&gt;0,SUM(EJ10,EN10),"")</f>
        <v/>
      </c>
      <c r="EU10" s="14" t="str">
        <f>IF(SUM(EI10:EJ10,EL10:EN10,EP10)-SUM(EK10,EO10)&gt;0,SUM(EI10:EJ10,EL10:EN10,EP10)-SUM(EK10,EO10),"")</f>
        <v/>
      </c>
      <c r="EV10" s="14" t="str">
        <f>IF(SUM(ER10,ES10,EU10)&gt;0,SUM(ER10,ES10,EU10),"")</f>
        <v/>
      </c>
      <c r="EW10" s="18"/>
      <c r="EX10" s="18"/>
      <c r="EY10" s="18"/>
      <c r="EZ10" s="18"/>
      <c r="FA10" s="18"/>
      <c r="FB10" s="18"/>
      <c r="FC10" s="18"/>
      <c r="FD10" s="18"/>
      <c r="FE10" s="18"/>
      <c r="FF10" s="18"/>
      <c r="FG10" s="18"/>
      <c r="FH10" s="18"/>
      <c r="FI10" s="18"/>
      <c r="FJ10" s="18"/>
      <c r="FK10" s="18"/>
      <c r="FL10" s="18"/>
      <c r="FM10" s="18"/>
      <c r="FN10" s="18"/>
      <c r="FO10" s="18"/>
      <c r="FP10" s="18"/>
      <c r="FQ10" s="55" t="str">
        <f>IF(SUM(EX10,FB10)&gt;0,SUM(EX10,FB10),"")</f>
        <v/>
      </c>
      <c r="FR10" s="55" t="str">
        <f>IF(SUM(EW10:EX10,EZ10:FB10,FD10)-EY10-FC10&gt;0,SUM(EW10:EX10,EZ10:FB10,FD10)-EY10-FC10,"")</f>
        <v/>
      </c>
      <c r="FS10" s="55" t="str">
        <f>IF(SUM(FE10:FF10,FH10)-FG10&gt;0,SUM(FE10:FF10,FH10)-FG10,"")</f>
        <v/>
      </c>
      <c r="FT10" s="55" t="str">
        <f>IF(SUM(FJ10,FN10)&gt;0,SUM(FJ10,FN10),"")</f>
        <v/>
      </c>
      <c r="FU10" s="55" t="str">
        <f>IF(SUM(FI10:FJ10,FL10:FN10,FP10)-SUM(FK10,FO10)&gt;0,SUM(FI10:FJ10,FL10:FN10,FP10)-SUM(FK10,FO10),"")</f>
        <v/>
      </c>
      <c r="FV10" s="55" t="str">
        <f>IF(SUM(FR10,FS10,FU10)&gt;0,SUM(FR10,FS10,FU10),"")</f>
        <v/>
      </c>
      <c r="FW10" s="19"/>
      <c r="FX10" s="19"/>
      <c r="FY10" s="19"/>
      <c r="FZ10" s="19"/>
      <c r="GA10" s="19"/>
      <c r="GB10" s="19"/>
      <c r="GC10" s="19"/>
      <c r="GD10" s="19"/>
      <c r="GE10" s="19"/>
      <c r="GF10" s="19"/>
      <c r="GG10" s="19"/>
      <c r="GH10" s="19"/>
      <c r="GI10" s="19"/>
      <c r="GJ10" s="19"/>
      <c r="GK10" s="19"/>
      <c r="GL10" s="19"/>
      <c r="GM10" s="19"/>
      <c r="GN10" s="19"/>
      <c r="GO10" s="19"/>
      <c r="GP10" s="19"/>
      <c r="GQ10" s="14" t="str">
        <f>IF(SUM(FX10,GB10)&gt;0,SUM(FX10,GB10),"")</f>
        <v/>
      </c>
      <c r="GR10" s="14" t="str">
        <f>IF(SUM(FW10:FX10,FZ10:GB10,GD10)-FY10-GC10&gt;0,SUM(FW10:FX10,FZ10:GB10,GD10)-FY10-GC10,"")</f>
        <v/>
      </c>
      <c r="GS10" s="14" t="str">
        <f>IF(SUM(GE10:GF10,GH10)-GG10&gt;0,SUM(GE10:GF10,GH10)-GG10,"")</f>
        <v/>
      </c>
      <c r="GT10" s="14" t="str">
        <f>IF(SUM(GJ10,GN10)&gt;0,SUM(GJ10,GN10),"")</f>
        <v/>
      </c>
      <c r="GU10" s="14" t="str">
        <f>IF(SUM(GI10:GJ10,GL10:GN10,GP10)-SUM(GK10,GO10)&gt;0,SUM(GI10:GJ10,GL10:GN10,GP10)-SUM(GK10,GO10),"")</f>
        <v/>
      </c>
      <c r="GV10" s="14" t="str">
        <f>IF(SUM(GR10,GS10,GU10)&gt;0,SUM(GR10,GS10,GU10),"")</f>
        <v/>
      </c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55" t="str">
        <f>IF(SUM(GX10,HB10)&gt;0,SUM(GX10,HB10),"")</f>
        <v/>
      </c>
      <c r="HR10" s="55" t="str">
        <f>IF(SUM(GW10:GX10,GZ10:HB10,HD10)-GY10-HC10&gt;0,SUM(GW10:GX10,GZ10:HB10,HD10)-GY10-HC10,"")</f>
        <v/>
      </c>
      <c r="HS10" s="55" t="str">
        <f>IF(SUM(HE10:HF10,HH10)-HG10&gt;0,SUM(HE10:HF10,HH10)-HG10,"")</f>
        <v/>
      </c>
      <c r="HT10" s="55" t="str">
        <f>IF(SUM(HJ10,HN10)&gt;0,SUM(HJ10,HN10),"")</f>
        <v/>
      </c>
      <c r="HU10" s="55" t="str">
        <f>IF(SUM(HI10:HJ10,HL10:HN10,HP10)-SUM(HK10,HO10)&gt;0,SUM(HI10:HJ10,HL10:HN10,HP10)-SUM(HK10,HO10),"")</f>
        <v/>
      </c>
      <c r="HV10" s="55" t="str">
        <f>IF(SUM(HR10,HS10,HU10)&gt;0,SUM(HR10,HS10,HU10),"")</f>
        <v/>
      </c>
      <c r="HW10" s="19"/>
      <c r="HX10" s="19"/>
      <c r="HY10" s="19"/>
      <c r="HZ10" s="19"/>
      <c r="IA10" s="19"/>
      <c r="IB10" s="19"/>
      <c r="IC10" s="19"/>
      <c r="ID10" s="19"/>
      <c r="IE10" s="19"/>
      <c r="IF10" s="19"/>
      <c r="IG10" s="19"/>
      <c r="IH10" s="19"/>
      <c r="II10" s="19"/>
      <c r="IJ10" s="19"/>
      <c r="IK10" s="19"/>
      <c r="IL10" s="19"/>
      <c r="IM10" s="19"/>
      <c r="IN10" s="19"/>
      <c r="IO10" s="19"/>
      <c r="IP10" s="19"/>
      <c r="IQ10" s="14" t="str">
        <f>IF(SUM(HX10,IB10)&gt;0,SUM(HX10,IB10),"")</f>
        <v/>
      </c>
      <c r="IR10" s="14" t="str">
        <f>IF(SUM(HW10:HX10,HZ10:IB10,ID10)-HY10-IC10&gt;0,SUM(HW10:HX10,HZ10:IB10,ID10)-HY10-IC10,"")</f>
        <v/>
      </c>
      <c r="IS10" s="14" t="str">
        <f>IF(SUM(IE10:IF10,IH10)-IG10&gt;0,SUM(IE10:IF10,IH10)-IG10,"")</f>
        <v/>
      </c>
      <c r="IT10" s="14" t="str">
        <f>IF(SUM(IJ10,IN10)&gt;0,SUM(IJ10,IN10),"")</f>
        <v/>
      </c>
      <c r="IU10" s="14" t="str">
        <f>IF(SUM(II10:IJ10,IL10:IN10,IP10)-SUM(IK10,IO10)&gt;0,SUM(II10:IJ10,IL10:IN10,IP10)-SUM(IK10,IO10),"")</f>
        <v/>
      </c>
      <c r="IV10" s="14" t="str">
        <f>IF(SUM(IR10,IS10,IU10)&gt;0,SUM(IR10,IS10,IU10),"")</f>
        <v/>
      </c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8"/>
      <c r="JL10" s="18"/>
      <c r="JM10" s="18"/>
      <c r="JN10" s="18"/>
      <c r="JO10" s="18"/>
      <c r="JP10" s="18"/>
      <c r="JQ10" s="55" t="str">
        <f>IF(SUM(IX10,JB10)&gt;0,SUM(IX10,JB10),"")</f>
        <v/>
      </c>
      <c r="JR10" s="55" t="str">
        <f>IF(SUM(IW10:IX10,IZ10:JB10,JD10)-IY10-JC10&gt;0,SUM(IW10:IX10,IZ10:JB10,JD10)-IY10-JC10,"")</f>
        <v/>
      </c>
      <c r="JS10" s="55" t="str">
        <f>IF(SUM(JE10:JF10,JH10)-JG10&gt;0,SUM(JE10:JF10,JH10)-JG10,"")</f>
        <v/>
      </c>
      <c r="JT10" s="55" t="str">
        <f>IF(SUM(JJ10,JN10)&gt;0,SUM(JJ10,JN10),"")</f>
        <v/>
      </c>
      <c r="JU10" s="55" t="str">
        <f>IF(SUM(JI10:JJ10,JL10:JN10,JP10)-SUM(JK10,JO10)&gt;0,SUM(JI10:JJ10,JL10:JN10,JP10)-SUM(JK10,JO10),"")</f>
        <v/>
      </c>
      <c r="JV10" s="55" t="str">
        <f>IF(SUM(JR10,JS10,JU10)&gt;0,SUM(JR10,JS10,JU10),"")</f>
        <v/>
      </c>
      <c r="JW10" s="19"/>
      <c r="JX10" s="19"/>
      <c r="JY10" s="19"/>
      <c r="JZ10" s="19"/>
      <c r="KA10" s="19"/>
      <c r="KB10" s="19"/>
      <c r="KC10" s="19"/>
      <c r="KD10" s="19"/>
      <c r="KE10" s="19"/>
      <c r="KF10" s="19"/>
      <c r="KG10" s="19"/>
      <c r="KH10" s="19"/>
      <c r="KI10" s="19"/>
      <c r="KJ10" s="19"/>
      <c r="KK10" s="19"/>
      <c r="KL10" s="19"/>
      <c r="KM10" s="19"/>
      <c r="KN10" s="19"/>
      <c r="KO10" s="19"/>
      <c r="KP10" s="19"/>
      <c r="KQ10" s="14" t="str">
        <f>IF(SUM(JX10,KB10)&gt;0,SUM(JX10,KB10),"")</f>
        <v/>
      </c>
      <c r="KR10" s="14" t="str">
        <f>IF(SUM(JW10:JX10,JZ10:KB10,KD10)-JY10-KC10&gt;0,SUM(JW10:JX10,JZ10:KB10,KD10)-JY10-KC10,"")</f>
        <v/>
      </c>
      <c r="KS10" s="14" t="str">
        <f>IF(SUM(KE10:KF10,KH10)-KG10&gt;0,SUM(KE10:KF10,KH10)-KG10,"")</f>
        <v/>
      </c>
      <c r="KT10" s="14" t="str">
        <f>IF(SUM(KJ10,KN10)&gt;0,SUM(KJ10,KN10),"")</f>
        <v/>
      </c>
      <c r="KU10" s="14" t="str">
        <f>IF(SUM(KI10:KJ10,KL10:KN10,KP10)-SUM(KK10,KO10)&gt;0,SUM(KI10:KJ10,KL10:KN10,KP10)-SUM(KK10,KO10),"")</f>
        <v/>
      </c>
      <c r="KV10" s="14" t="str">
        <f>IF(SUM(KR10,KS10,KU10)&gt;0,SUM(KR10,KS10,KU10),"")</f>
        <v/>
      </c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8"/>
      <c r="LP10" s="18"/>
      <c r="LQ10" s="55" t="str">
        <f>IF(SUM(KX10,LB10)&gt;0,SUM(KX10,LB10),"")</f>
        <v/>
      </c>
      <c r="LR10" s="55" t="str">
        <f>IF(SUM(KW10:KX10,KZ10:LB10,LD10)-KY10-LC10&gt;0,SUM(KW10:KX10,KZ10:LB10,LD10)-KY10-LC10,"")</f>
        <v/>
      </c>
      <c r="LS10" s="55" t="str">
        <f>IF(SUM(LE10:LF10,LH10)-LG10&gt;0,SUM(LE10:LF10,LH10)-LG10,"")</f>
        <v/>
      </c>
      <c r="LT10" s="55" t="str">
        <f>IF(SUM(LJ10,LN10)&gt;0,SUM(LJ10,LN10),"")</f>
        <v/>
      </c>
      <c r="LU10" s="55" t="str">
        <f>IF(SUM(LI10:LJ10,LL10:LN10,LP10)-SUM(LK10,LO10)&gt;0,SUM(LI10:LJ10,LL10:LN10,LP10)-SUM(LK10,LO10),"")</f>
        <v/>
      </c>
      <c r="LV10" s="55" t="str">
        <f>IF(SUM(LR10,LS10,LU10)&gt;0,SUM(LR10,LS10,LU10),"")</f>
        <v/>
      </c>
      <c r="LW10" s="19"/>
      <c r="LX10" s="19"/>
      <c r="LY10" s="19"/>
      <c r="LZ10" s="19"/>
      <c r="MA10" s="19"/>
      <c r="MB10" s="19"/>
      <c r="MC10" s="19"/>
      <c r="MD10" s="19"/>
      <c r="ME10" s="19"/>
      <c r="MF10" s="19"/>
      <c r="MG10" s="19"/>
      <c r="MH10" s="19"/>
      <c r="MI10" s="19"/>
      <c r="MJ10" s="19"/>
      <c r="MK10" s="19"/>
      <c r="ML10" s="19"/>
      <c r="MM10" s="19"/>
      <c r="MN10" s="19"/>
      <c r="MO10" s="19"/>
      <c r="MP10" s="19"/>
      <c r="MQ10" s="14" t="str">
        <f>IF(SUM(LX10,MB10)&gt;0,SUM(LX10,MB10),"")</f>
        <v/>
      </c>
      <c r="MR10" s="14" t="str">
        <f>IF(SUM(LW10:LX10,LZ10:MB10,MD10)-LY10-MC10&gt;0,SUM(LW10:LX10,LZ10:MB10,MD10)-LY10-MC10,"")</f>
        <v/>
      </c>
      <c r="MS10" s="14" t="str">
        <f>IF(SUM(ME10:MF10,MH10)-MG10&gt;0,SUM(ME10:MF10,MH10)-MG10,"")</f>
        <v/>
      </c>
      <c r="MT10" s="14" t="str">
        <f>IF(SUM(MJ10,MN10)&gt;0,SUM(MJ10,MN10),"")</f>
        <v/>
      </c>
      <c r="MU10" s="14" t="str">
        <f>IF(SUM(MI10:MJ10,ML10:MN10,MP10)-SUM(MK10,MO10)&gt;0,SUM(MI10:MJ10,ML10:MN10,MP10)-SUM(MK10,MO10),"")</f>
        <v/>
      </c>
      <c r="MV10" s="14" t="str">
        <f>IF(SUM(MR10,MS10,MU10)&gt;0,SUM(MR10,MS10,MU10),"")</f>
        <v/>
      </c>
      <c r="MW10" s="18"/>
      <c r="MX10" s="18"/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55" t="str">
        <f>IF(SUM(MX10,NB10)&gt;0,SUM(MX10,NB10),"")</f>
        <v/>
      </c>
      <c r="NR10" s="55" t="str">
        <f>IF(SUM(MW10:MX10,MZ10:NB10,ND10)-MY10-NC10&gt;0,SUM(MW10:MX10,MZ10:NB10,ND10)-MY10-NC10,"")</f>
        <v/>
      </c>
      <c r="NS10" s="55" t="str">
        <f>IF(SUM(NE10:NF10,NH10)-NG10&gt;0,SUM(NE10:NF10,NH10)-NG10,"")</f>
        <v/>
      </c>
      <c r="NT10" s="55" t="str">
        <f>IF(SUM(NJ10,NN10)&gt;0,SUM(NJ10,NN10),"")</f>
        <v/>
      </c>
      <c r="NU10" s="55" t="str">
        <f>IF(SUM(NI10:NJ10,NL10:NN10,NP10)-SUM(NK10,NO10)&gt;0,SUM(NI10:NJ10,NL10:NN10,NP10)-SUM(NK10,NO10),"")</f>
        <v/>
      </c>
      <c r="NV10" s="55" t="str">
        <f>IF(SUM(NR10,NS10,NU10)&gt;0,SUM(NR10,NS10,NU10),"")</f>
        <v/>
      </c>
      <c r="NW10" s="19"/>
      <c r="NX10" s="19"/>
      <c r="NY10" s="19"/>
      <c r="NZ10" s="19"/>
      <c r="OA10" s="19"/>
      <c r="OB10" s="19"/>
      <c r="OC10" s="19"/>
      <c r="OD10" s="19"/>
      <c r="OE10" s="19"/>
      <c r="OF10" s="19"/>
      <c r="OG10" s="19"/>
      <c r="OH10" s="19"/>
      <c r="OI10" s="19"/>
      <c r="OJ10" s="19"/>
      <c r="OK10" s="19"/>
      <c r="OL10" s="19"/>
      <c r="OM10" s="19"/>
      <c r="ON10" s="19"/>
      <c r="OO10" s="19"/>
      <c r="OP10" s="19"/>
      <c r="OQ10" s="14" t="str">
        <f>IF(SUM(NX10,OB10)&gt;0,SUM(NX10,OB10),"")</f>
        <v/>
      </c>
      <c r="OR10" s="14" t="str">
        <f>IF(SUM(NW10:NX10,NZ10:OB10,OD10)-NY10-OC10&gt;0,SUM(NW10:NX10,NZ10:OB10,OD10)-NY10-OC10,"")</f>
        <v/>
      </c>
      <c r="OS10" s="14" t="str">
        <f>IF(SUM(OE10:OF10,OH10)-OG10&gt;0,SUM(OE10:OF10,OH10)-OG10,"")</f>
        <v/>
      </c>
      <c r="OT10" s="14" t="str">
        <f>IF(SUM(OJ10,ON10)&gt;0,SUM(OJ10,ON10),"")</f>
        <v/>
      </c>
      <c r="OU10" s="14" t="str">
        <f>IF(SUM(OI10:OJ10,OL10:ON10,OP10)-SUM(OK10,OO10)&gt;0,SUM(OI10:OJ10,OL10:ON10,OP10)-SUM(OK10,OO10),"")</f>
        <v/>
      </c>
      <c r="OV10" s="14" t="str">
        <f>IF(SUM(OR10,OS10,OU10)&gt;0,SUM(OR10,OS10,OU10),"")</f>
        <v/>
      </c>
      <c r="OW10" s="27">
        <f>IF($CN10="P",BT10,(BT10+AS10)/2)</f>
        <v>18.200000000000003</v>
      </c>
      <c r="OX10" s="27">
        <f>IF($CN10="P",BU10,(BU10+AT10)/2)</f>
        <v>3.8</v>
      </c>
      <c r="OY10" s="27">
        <f>IF($CN10="P",BV10,(BV10+AU10)/2)</f>
        <v>0</v>
      </c>
      <c r="OZ10" s="27">
        <f>IF($CN10="P",BW10,(BW10+AV10)/2)</f>
        <v>0</v>
      </c>
      <c r="PA10" s="27">
        <f>IF($CN10="P",BX10,(BX10+AW10)/2)</f>
        <v>18</v>
      </c>
      <c r="PB10" s="27">
        <f>IF($CN10="P",BY10,(BY10+AX10)/2)</f>
        <v>6.2</v>
      </c>
      <c r="PC10" s="27">
        <f>IF($CN10="P",BZ10,(BZ10+AY10)/2)</f>
        <v>0.4</v>
      </c>
      <c r="PD10" s="27">
        <f>IF($CN10="P",CA10,(CA10+AZ10)/2)</f>
        <v>0</v>
      </c>
      <c r="PE10" s="27">
        <f>IF($CN10="P",CB10,(CB10+BA10)/2)</f>
        <v>18.600000000000001</v>
      </c>
      <c r="PF10" s="27">
        <f>IF($CN10="P",CC10,(CC10+BB10)/2)</f>
        <v>2.8</v>
      </c>
      <c r="PG10" s="27">
        <f>IF($CN10="P",CD10,(CD10+BC10)/2)</f>
        <v>1.9000000000000001</v>
      </c>
      <c r="PH10" s="27">
        <f>IF($CN10="P",CE10,(CE10+BD10)/2)</f>
        <v>0</v>
      </c>
      <c r="PI10" s="27">
        <f>IF($CN10="P",CF10,(CF10+BE10)/2)</f>
        <v>18.399999999999999</v>
      </c>
      <c r="PJ10" s="27">
        <f>IF($CN10="P",CG10,(CG10+BF10)/2)</f>
        <v>5.3999999999999995</v>
      </c>
      <c r="PK10" s="27">
        <f>IF($CN10="P",CH10,(CH10+BG10)/2)</f>
        <v>0.5</v>
      </c>
      <c r="PL10" s="27">
        <f>IF($CN10="P",CI10,(CI10+BH10)/2)</f>
        <v>0</v>
      </c>
      <c r="PM10" s="27">
        <f>IF($CN10="P",CJ10,(CJ10+BI10)/2)</f>
        <v>16.850000000000001</v>
      </c>
      <c r="PN10" s="27">
        <f>IF($CN10="P",CK10,(CK10+BJ10)/2)</f>
        <v>4.5999999999999996</v>
      </c>
      <c r="PO10" s="27">
        <f>IF($CN10="P",CL10,(CL10+BK10)/2)</f>
        <v>0.4</v>
      </c>
      <c r="PP10" s="27">
        <f>IF($CN10="P",CM10,(CM10+BL10)/2)</f>
        <v>0</v>
      </c>
      <c r="PQ10" s="32" t="s">
        <v>44</v>
      </c>
      <c r="PR10" s="55">
        <f>IF(SUM(OX10,PB10)&gt;0,SUM(OX10,PB10),"")</f>
        <v>10</v>
      </c>
      <c r="PS10" s="55">
        <f>IF(SUM(OW10:OX10,OZ10:PB10,PD10)-OY10-PC10&gt;0,SUM(OW10:OX10,OZ10:PB10,PD10)-OY10-PC10,"")</f>
        <v>45.800000000000004</v>
      </c>
      <c r="PT10" s="55">
        <f>IF(SUM(PE10:PF10,PH10)-PG10&gt;0,SUM(PE10:PF10,PH10)-PG10,"")</f>
        <v>19.500000000000004</v>
      </c>
      <c r="PU10" s="55">
        <f>IF(SUM(PJ10,PN10)&gt;0,SUM(PJ10,PN10),"")</f>
        <v>10</v>
      </c>
      <c r="PV10" s="55">
        <f>IF(SUM(PI10:PJ10,PL10:PN10,PP10)-SUM(PK10,PO10)&gt;0,SUM(PI10:PJ10,PL10:PN10,PP10)-SUM(PK10,PO10),"")</f>
        <v>44.35</v>
      </c>
      <c r="PW10" s="55">
        <f>IF(SUM(PS10,PT10,PV10)&gt;0,SUM(PS10,PT10,PV10),"")</f>
        <v>109.65</v>
      </c>
    </row>
    <row r="11" spans="1:439" x14ac:dyDescent="0.2">
      <c r="A11" s="4" cm="1">
        <f t="array" ref="A11">IF(AND(H11&lt;&gt;"",H11&lt;&gt;"No DD"),SUMPRODUCT((H$4:H$12&lt;&gt;"")*(H$4:H$12&lt;&gt;"No DD")*(E$4:E$12&gt;E11))+1,IF(H11="No DD",SUMPRODUCT((H$4:H$12="No DD")*(E$4:E$12&gt;E11))+1+SUMPRODUCT((H$4:H$12&lt;&gt;"")*(H$4:H$12&lt;&gt;"No DD")),""))</f>
        <v>8</v>
      </c>
      <c r="B11" s="5" t="s">
        <v>96</v>
      </c>
      <c r="C11" s="4" t="s">
        <v>66</v>
      </c>
      <c r="D11" s="4">
        <v>2007</v>
      </c>
      <c r="E11" s="10">
        <f>SUM(I11:O11)+SUM(I11:M11)*0.0000001+SUM(I11)*0.0000000000001</f>
        <v>139.20001392000452</v>
      </c>
      <c r="F11" s="3" t="str">
        <f>IF(OR(AND(AM11&gt;=AR$14,AN11&gt;=AR$18,AM11&lt;&gt;"",AL11=""),AND(AP11&gt;=AR$14,AQ11&gt;=AR$18,AP11&lt;&gt;"",AL11=""),AND(BN11&gt;=BS$14,BO11&gt;=BS$18,BN11&lt;&gt;"",BM11=""),AND(BQ11&gt;=BS$14,BR11&gt;=BS$18,BQ11&lt;&gt;"",BM11=""),AND(CO11&gt;=CT$14,CP11&gt;=CT$18,CO11&lt;&gt;"",CN11=""),AND(CR11&gt;=CT$14,CS11&gt;=CT$18,CR11&lt;&gt;""),AND(DQ11&gt;=DV$14,DR11&gt;=DV$18,DQ11&lt;&gt;""),AND(DT11&gt;=DV$14,DU11&gt;=DV$18,DT11&lt;&gt;""),AND(EQ11&gt;=EV$14,ER11&gt;=EV$18,EQ11&lt;&gt;""),AND(ET11&gt;=EV$14,EU11&gt;=EV$18,ET11&lt;&gt;""),AND(FQ11&gt;=FV$14,FR11&gt;=FV$18,FQ11&lt;&gt;""),AND(FT11&gt;=FV$14,FU11&gt;=FV$18,FT11&lt;&gt;""),AND(GQ11&gt;=GV$14,GR11&gt;=GV$18,GQ11&lt;&gt;""),AND(GT11&gt;=GV$14,GU11&gt;=GV$18,GT11&lt;&gt;""),AND(HQ11&gt;=HV$14,HR11&gt;=HV$18,HQ11&lt;&gt;""),AND(HT11&gt;=HV$14,HU11&gt;=HV$18,HT11&lt;&gt;""),AND(IQ11&gt;=IV$14,IR11&gt;=IV$18,IQ11&lt;&gt;""),AND(IT11&gt;=IV$14,IU11&gt;=IV$18,IT11&lt;&gt;""),AND(JQ11&gt;=JV$14,JR11&gt;=JV$18,JQ11&lt;&gt;""),AND(JT11&gt;=JV$14,JU11&gt;=JV$18,JT11&lt;&gt;""),AND(KQ11&gt;=KV$14,KR11&gt;=KV$18,KQ11&lt;&gt;""),AND(KT11&gt;=KV$14,KU11&gt;=KV$18,KT11&lt;&gt;""),AND(LQ11&gt;=LV$14,LR11&gt;=LV$18,LQ11&lt;&gt;""),AND(LT11&gt;=LV$14,LU11&gt;=LV$18,LT11&lt;&gt;""),AND(MQ11&gt;=MV$14,MR11&gt;=MV$18,MQ11&lt;&gt;""),AND(MT11&gt;=MV$14,MU11&gt;=MV$18,MT11&lt;&gt;""),AND(NQ11&gt;=NV$14,NR11&gt;=NV$18,NQ11&lt;&gt;""),AND(NT11&gt;=NV$14,NU11&gt;=NV$18,NT11&lt;&gt;""),AND(OQ11&gt;=OV$14,OR11&gt;=OV$18,OQ11&lt;&gt;""),AND(OT11&gt;=OV$14,OU11&gt;=OV$18,OT11&lt;&gt;"")),"P","")</f>
        <v>P</v>
      </c>
      <c r="G11" s="3" t="str">
        <f>IF(OR(AND(AN11&gt;=AR$18,AN11&lt;&gt;"",AL11=""),AND(AQ11&gt;=AR$18,AQ11&lt;&gt;"",AL11=""),AND(BO11&gt;=BS$18,BO11&lt;&gt;"",BM11=""),AND(BR11&gt;=BS$18,BR11&lt;&gt;"",BM11=""),AND(CP11&gt;=CT$18,CP11&lt;&gt;"",CN11=""),AND(CS11&gt;=CT$18,CS11&lt;&gt;"",CN11=""),AND(DR11&gt;=DV$18,DR11&lt;&gt;""),AND(DU11&gt;=DV$18,DU11&lt;&gt;""),AND(ER11&gt;=EV$18,ER11&lt;&gt;""),AND(EU11&gt;=EV$18,EU11&lt;&gt;""),AND(FR11&gt;=FV$18,FR11&lt;&gt;""),AND(FU11&gt;=FV$18,FU11&lt;&gt;""),AND(GR11&gt;=GV$18,GR11&lt;&gt;""),AND(GU11&gt;=GV$18,GU11&lt;&gt;""),AND(HR11&gt;=HV$18,HR11&lt;&gt;""),AND(HU11&gt;=HV$18,HU11&lt;&gt;""),AND(IR11&gt;=IV$18,IR11&lt;&gt;""),AND(IU11&gt;=IV$18,IU11&lt;&gt;""),AND(JR11&gt;=JV$18,JR11&lt;&gt;""),AND(JU11&gt;=JV$18,JU11&lt;&gt;""),AND(KR11&gt;=KV$18,KR11&lt;&gt;""),AND(KU11&gt;=KV$18,KU11&lt;&gt;""),AND(LR11&gt;=LV$18,LR11&lt;&gt;""),AND(LU11&gt;=LV$18,LU11&lt;&gt;""),AND(MR11&gt;=MV$18,MR11&lt;&gt;""),AND(MU11&gt;=MV$18,MU11&lt;&gt;""),AND(NR11&gt;=NV$18,NR11&lt;&gt;""),AND(NU11&gt;=NV$18,NU11&lt;&gt;""),AND(OR11&gt;=OV$18,OR11&lt;&gt;""),AND(OU11&gt;=OV$18,OU11&lt;&gt;"")),"P","")</f>
        <v>P</v>
      </c>
      <c r="H11" s="47" t="str">
        <f>IF(AND(G11="P",F11=""),"No DD",IF(OR(AND(AM11&gt;=AR$17,AN11&gt;=AR$21,AM11&lt;&gt;"",AL11=""),AND(AP11&gt;=AR$17,AQ11&gt;=AR$21,AP11&lt;&gt;"",AL11=""),AND(BN11&gt;=BS$17,BO11&gt;=BS$21,BN11&lt;&gt;"",BM11=""),AND(BQ11&gt;=BS$17,BR11&gt;=BS$21,BQ11&lt;&gt;"",BM11=""),AND(CO11&gt;=CT$17,CP11&gt;=CT$21,CO11&lt;&gt;"",CN11=""),AND(CR11&gt;=CT$17,CS11&gt;=CT$21,CR11&lt;&gt;""),AND(DQ11&gt;=DV$17,DR11&gt;=DV$21,DQ11&lt;&gt;""),AND(DT11&gt;=DV$17,DU11&gt;=DV$21,DT11&lt;&gt;""),AND(EQ11&gt;=EV$17,ER11&gt;=EV$21,EQ11&lt;&gt;""),AND(ET11&gt;=EV$17,EU11&gt;=EV$21,ET11&lt;&gt;""),AND(FQ11&gt;=FV$17,FR11&gt;=FV$21,FQ11&lt;&gt;""),AND(FT11&gt;=FV$17,FU11&gt;=FV$21,FT11&lt;&gt;""),AND(GQ11&gt;=GV$17,GR11&gt;=GV$21,GQ11&lt;&gt;""),AND(GT11&gt;=GV$17,GU11&gt;=GV$21,GT11&lt;&gt;""),AND(HQ11&gt;=HV$17,HR11&gt;=HV$21,HQ11&lt;&gt;""),AND(HT11&gt;=HV$17,HU11&gt;=HV$21,HT11&lt;&gt;""),AND(IQ11&gt;=IV$17,IR11&gt;=IV$21,IQ11&lt;&gt;""),AND(IT11&gt;=IV$17,IU11&gt;=IV$21,IT11&lt;&gt;""),AND(JQ11&gt;=JV$17,JR11&gt;=JV$21,JQ11&lt;&gt;""),AND(JT11&gt;=JV$17,JU11&gt;=JV$21,JT11&lt;&gt;""),AND(KQ11&gt;=KV$17,KR11&gt;=KV$21,KQ11&lt;&gt;""),AND(KT11&gt;=KV$17,KU11&gt;=KV$21,KT11&lt;&gt;""),AND(LQ11&gt;=LV$17,LR11&gt;=LV$21,LQ11&lt;&gt;""),AND(LT11&gt;=LV$17,LU11&gt;=LV$21,LT11&lt;&gt;""),AND(MQ11&gt;=MV$17,MR11&gt;=MV$21,MQ11&lt;&gt;""),AND(MT11&gt;=MV$17,MU11&gt;=MV$21,MT11&lt;&gt;""),AND(NQ11&gt;=NV$17,NR11&gt;=NV$21,NQ11&lt;&gt;""),AND(NT11&gt;=NV$17,NU11&gt;=NV$21,NT11&lt;&gt;""),AND(OQ11&gt;=OV$17,OR11&gt;=OV$21,OQ11&lt;&gt;""),AND(OT11&gt;=OV$17,OU11&gt;=OV$21,OT11&lt;&gt;"")),"Merit",IF(OR(AND(AM11&gt;=AR$16,AN11&gt;=AR$20,AM11&lt;&gt;"",AL11=""),AND(AP11&gt;=AR$16,AQ11&gt;=AR$20,AP11&lt;&gt;"",AL11=""),AND(BN11&gt;=BS$16,BO11&gt;=BS$20,BN11&lt;&gt;"",BM11=""),AND(BQ11&gt;=BS$16,BR11&gt;=BS$20,BQ11&lt;&gt;"",BM11=""),AND(CO11&gt;=CT$16,CP11&gt;=CT$20,CO11&lt;&gt;"",CN11=""),AND(CR11&gt;=CT$16,CS11&gt;=CT$20,CR11&lt;&gt;""),AND(DQ11&gt;=DV$16,DR11&gt;=DV$20,DQ11&lt;&gt;""),AND(DT11&gt;=DV$16,DU11&gt;=DV$20,DT11&lt;&gt;""),AND(EQ11&gt;=EV$16,ER11&gt;=EV$20,EQ11&lt;&gt;""),AND(ET11&gt;=EV$16,EU11&gt;=EV$20,ET11&lt;&gt;""),AND(FQ11&gt;=FV$16,FR11&gt;=FV$20,FQ11&lt;&gt;""),AND(FT11&gt;=FV$16,FU11&gt;=FV$20,FT11&lt;&gt;""),AND(GQ11&gt;=GV$16,GR11&gt;=GV$20,GQ11&lt;&gt;""),AND(GT11&gt;=GV$16,GU11&gt;=GV$20,GT11&lt;&gt;""),AND(HQ11&gt;=HV$16,HR11&gt;=HV$20,HQ11&lt;&gt;""),AND(HT11&gt;=HV$16,HU11&gt;=HV$20,HT11&lt;&gt;""),AND(IQ11&gt;=IV$16,IR11&gt;=IV$20,IQ11&lt;&gt;""),AND(IT11&gt;=IV$16,IU11&gt;=IV$20,IT11&lt;&gt;""),AND(JQ11&gt;=JV$16,JR11&gt;=JV$20,JQ11&lt;&gt;""),AND(JT11&gt;=JV$16,JU11&gt;=JV$20,JT11&lt;&gt;""),AND(KQ11&gt;=KV$16,KR11&gt;=KV$20,KQ11&lt;&gt;""),AND(KT11&gt;=KV$16,KU11&gt;=KV$20,KT11&lt;&gt;""),AND(LQ11&gt;=LV$16,LR11&gt;=LV$20,LQ11&lt;&gt;""),AND(LT11&gt;=LV$16,LU11&gt;=LV$20,LT11&lt;&gt;""),AND(MQ11&gt;=MV$16,MR11&gt;=MV$20,MQ11&lt;&gt;""),AND(MT11&gt;=MV$16,MU11&gt;=MV$20,MT11&lt;&gt;""),AND(NQ11&gt;=NV$16,NR11&gt;=NV$20,NQ11&lt;&gt;""),AND(NT11&gt;=NV$16,NU11&gt;=NV$20,NT11&lt;&gt;""),AND(OQ11&gt;=OV$16,OR11&gt;=OV$20,OQ11&lt;&gt;""),AND(OT11&gt;=OV$16,OU11&gt;=OV$20,OT11&lt;&gt;"")),"Excellence",IF(F11="P","National Team",""))))</f>
        <v>Excellence</v>
      </c>
      <c r="I11" s="9">
        <f>IF(COUNT(AN11,BO11,CP11)&gt;0,LARGE((AN11,BO11,CP11),1),0)</f>
        <v>45.5</v>
      </c>
      <c r="J11" s="9" t="str">
        <f>IF(I11=0,"",IF(I11=CP11,$BT$1,IF(I11=BO11,$AS$1,IF(I11=AN11,$R$1,""))))</f>
        <v>2023 Nationals</v>
      </c>
      <c r="K11" s="9">
        <f>IF(COUNT(AN11,BO11,CP11)&gt;1,LARGE((AN11,BO11,CP11),2),0)</f>
        <v>43.4</v>
      </c>
      <c r="L11" s="9" t="str">
        <f>IF(K11=0,"",IF(K11=CP11,$BT$1,IF(K11=BO11,$AS$1,IF(K11=AN11,$R$1,""))))</f>
        <v>2023 3rd Domestic Trial</v>
      </c>
      <c r="M11" s="9">
        <f>IF(MAX(AQ11,BR11,CS11)&gt;0,MAX(AQ11,BR11,CS11),0)</f>
        <v>50.29999999999999</v>
      </c>
      <c r="N11" s="9" t="str">
        <f>IF(M11=0,"",IF(M11=CS11,$BT$1,IF(M11=BR11,$AS$1,IF(M11=AQ11,$R$1,""))))</f>
        <v>2023 3rd Domestic Trial</v>
      </c>
      <c r="O11" s="9" t="str">
        <f>IF(MAX(CU11:CV11)&gt;0,MAX(CU11:CV11),"")</f>
        <v/>
      </c>
      <c r="P11" s="14" t="str">
        <f>IF(O11="","",IF(O11=CU11,"("&amp;CU$2&amp;")",IF(O11=CV11,"("&amp;CV$2&amp;")")))</f>
        <v/>
      </c>
      <c r="Q11" s="9" t="str">
        <f>IF(O11="","",IF(O11=CU11,IF(O11+IF(K11="",0,K11)=OR11,$NW$1,IF(O11+IF(K11="",0,K11)=NR11,$MW$1,IF(O11+IF(K11="",0,K11)=MR11,$LW$1,IF(O11+IF(K11="",0,K11)=LR11,$KW$1,IF(O11+IF(K11="",0,K11)=KR11,$JW$1,IF(O11+IF(K11="",0,K11)=JR11,$IW$1,IF(O11+IF(K11="",0,K11)=IR11,$HW$1,IF(O11+IF(K11="",0,K11)=HR11,$GW$1,IF(O11+IF(K11="",0,K11)=GR11,$FW$1,IF(O11+IF(K11="",0,K11)=FR11,$EW$1,IF(O11+IF(K11="",0,K11)=ER11,$DW$1,IF(O11+IF(K11="",0,K11)=DR11,$CW$1)))))))))))),IF(O11=CV11,IF(O11+IF(M11="",0,M11)=OU11,$NW$1,IF(O11+IF(M11="",0,M11)=NU11,$MW$1,IF(O11+IF(M11="",0,M11)=MU11,$LW$1,IF(O11+IF(M11="",0,M11)=LU11,$KW$1,IF(O11+IF(M11="",0,M11)=KU11,$JW$1,IF(O11+IF(M11="",0,M11)=JU11,$IW$1,IF(O11+IF(M11="",0,M11)=IU11,$HW$1,IF(O11+IF(M11="",0,M11)=HU11,$GW$1,IF(O11+IF(M11="",0,M11)=GU11,$FW$1,IF(O11+IF(M11="",0,M11)=FU11,$EW$1,IF(O11+IF(M11="",0,M11)=EU11,$DW$1,IF(O11+IF(M11="",0,M11)=DU11,$CW$1)))))))))))))))</f>
        <v/>
      </c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  <c r="AH11" s="20"/>
      <c r="AI11" s="20"/>
      <c r="AJ11" s="20"/>
      <c r="AK11" s="20"/>
      <c r="AL11" s="32"/>
      <c r="AM11" s="55" t="str">
        <f>IF(SUM(S11,W11)&gt;0,SUM(S11,W11),"")</f>
        <v/>
      </c>
      <c r="AN11" s="55" t="str">
        <f>IF(SUM(R11:S11,U11:W11,Y11)-T11-X11&gt;0,SUM(R11:S11,U11:W11,Y11)-T11-X11,"")</f>
        <v/>
      </c>
      <c r="AO11" s="55" t="str">
        <f>IF(SUM(Z11:AA11,AC11)-AB11&gt;0,SUM(Z11:AA11,AC11)-AB11,"")</f>
        <v/>
      </c>
      <c r="AP11" s="55" t="str">
        <f>IF(SUM(AE11,AI11)&gt;0,SUM(AE11,AI11),"")</f>
        <v/>
      </c>
      <c r="AQ11" s="55" t="str">
        <f>IF(SUM(AD11:AE11,AG11:AI11,AK11)-SUM(AF11,AJ11)&gt;0,SUM(AD11:AE11,AG11:AI11,AK11)-SUM(AF11,AJ11),"")</f>
        <v/>
      </c>
      <c r="AR11" s="55" t="str">
        <f>IF(SUM(AN11,AO11,AQ11)&gt;0,SUM(AN11,AO11,AQ11),"")</f>
        <v/>
      </c>
      <c r="AS11" s="19">
        <v>16.399999999999999</v>
      </c>
      <c r="AT11" s="19">
        <v>6.4</v>
      </c>
      <c r="AU11" s="19">
        <v>1</v>
      </c>
      <c r="AV11" s="19">
        <v>0</v>
      </c>
      <c r="AW11" s="19">
        <v>18.5</v>
      </c>
      <c r="AX11" s="19">
        <v>6</v>
      </c>
      <c r="AY11" s="19">
        <v>0.8</v>
      </c>
      <c r="AZ11" s="19">
        <v>0</v>
      </c>
      <c r="BA11" s="19">
        <v>18.399999999999999</v>
      </c>
      <c r="BB11" s="19">
        <v>6</v>
      </c>
      <c r="BC11" s="19">
        <v>0.8</v>
      </c>
      <c r="BD11" s="19">
        <v>0</v>
      </c>
      <c r="BE11" s="19">
        <v>16.600000000000001</v>
      </c>
      <c r="BF11" s="19">
        <v>7.2</v>
      </c>
      <c r="BG11" s="19">
        <v>0.8</v>
      </c>
      <c r="BH11" s="19">
        <v>0</v>
      </c>
      <c r="BI11" s="19">
        <v>19.100000000000001</v>
      </c>
      <c r="BJ11" s="19">
        <v>6</v>
      </c>
      <c r="BK11" s="19">
        <v>0</v>
      </c>
      <c r="BL11" s="19">
        <v>0</v>
      </c>
      <c r="BM11" s="33"/>
      <c r="BN11" s="14">
        <f>IF(SUM(AT11,AX11)&gt;0,SUM(AT11,AX11),"")</f>
        <v>12.4</v>
      </c>
      <c r="BO11" s="14">
        <f>IF(SUM(AS11:AT11,AV11:AX11,AZ11)-AU11-AY11&gt;0,SUM(AS11:AT11,AV11:AX11,AZ11)-AU11-AY11,"")</f>
        <v>45.5</v>
      </c>
      <c r="BP11" s="14">
        <f>IF(SUM(BA11:BB11,BD11)-BC11&gt;0,SUM(BA11:BB11,BD11)-BC11,"")</f>
        <v>23.599999999999998</v>
      </c>
      <c r="BQ11" s="14">
        <f>IF(SUM(BF11,BJ11)&gt;0,SUM(BF11,BJ11),"")</f>
        <v>13.2</v>
      </c>
      <c r="BR11" s="14">
        <f>IF(SUM(BE11:BF11,BH11:BJ11,BL11)-SUM(BG11,BK11)&gt;0,SUM(BE11:BF11,BH11:BJ11,BL11)-SUM(BG11,BK11),"")</f>
        <v>48.100000000000009</v>
      </c>
      <c r="BS11" s="14">
        <f>IF(SUM(BO11,BP11,BR11)&gt;0,SUM(BO11,BP11,BR11),"")</f>
        <v>117.2</v>
      </c>
      <c r="BT11" s="20">
        <v>16.7</v>
      </c>
      <c r="BU11" s="20">
        <v>3.4</v>
      </c>
      <c r="BV11" s="20">
        <v>1.7000000000000002</v>
      </c>
      <c r="BW11" s="20">
        <v>0</v>
      </c>
      <c r="BX11" s="20">
        <v>18.8</v>
      </c>
      <c r="BY11" s="20">
        <v>6.8000000000000007</v>
      </c>
      <c r="BZ11" s="20">
        <v>0.6</v>
      </c>
      <c r="CA11" s="20">
        <v>0</v>
      </c>
      <c r="CB11" s="20">
        <v>18.600000000000001</v>
      </c>
      <c r="CC11" s="20">
        <v>6</v>
      </c>
      <c r="CD11" s="20">
        <v>0</v>
      </c>
      <c r="CE11" s="20">
        <v>0</v>
      </c>
      <c r="CF11" s="20">
        <v>18.399999999999999</v>
      </c>
      <c r="CG11" s="20">
        <v>7.2</v>
      </c>
      <c r="CH11" s="20">
        <v>0</v>
      </c>
      <c r="CI11" s="20">
        <v>0</v>
      </c>
      <c r="CJ11" s="20">
        <v>18.5</v>
      </c>
      <c r="CK11" s="20">
        <v>6.8000000000000007</v>
      </c>
      <c r="CL11" s="20">
        <v>0.6</v>
      </c>
      <c r="CM11" s="20">
        <v>0</v>
      </c>
      <c r="CN11" s="32"/>
      <c r="CO11" s="55">
        <f>IF(SUM(BU11,BY11)&gt;0,SUM(BU11,BY11),"")</f>
        <v>10.200000000000001</v>
      </c>
      <c r="CP11" s="55">
        <f>IF(SUM(BT11:BU11,BW11:BY11,CA11)-BV11-BZ11&gt;0,SUM(BT11:BU11,BW11:BY11,CA11)-BV11-BZ11,"")</f>
        <v>43.4</v>
      </c>
      <c r="CQ11" s="55">
        <f>IF(SUM(CB11:CC11,CE11)-CD11&gt;0,SUM(CB11:CC11,CE11)-CD11,"")</f>
        <v>24.6</v>
      </c>
      <c r="CR11" s="55">
        <f>IF(SUM(CG11,CK11)&gt;0,SUM(CG11,CK11),"")</f>
        <v>14</v>
      </c>
      <c r="CS11" s="55">
        <f>IF(SUM(CF11:CG11,CI11:CK11,CM11)-SUM(CH11,CL11)&gt;0,SUM(CF11:CG11,CI11:CK11,CM11)-SUM(CH11,CL11),"")</f>
        <v>50.29999999999999</v>
      </c>
      <c r="CT11" s="55">
        <f>IF(SUM(CP11,CQ11,CS11)&gt;0,SUM(CP11,CQ11,CS11),"")</f>
        <v>118.29999999999998</v>
      </c>
      <c r="CU11" s="56" t="str">
        <f>IF(MAX(DR11,ER11,FR11,GR11,HR11,IR11,JR11,KR11,LR11,MR11,NR11,OR11)-IF(K11="",0,K11)&gt;0.001,MAX(DR11,ER11,FR11,GR11,HR11,IR11,JR11,KR11,LR11,MR11,NR11,OR11)-IF(K11="",0,K11),"")</f>
        <v/>
      </c>
      <c r="CV11" s="56" t="str">
        <f>IF(MAX(DU11,EU11,FU11,GU11,HU11,IU11,JU11,KU11,LU11,MU11,NU11,OU11)-IF(M11="",0,M11)&gt;0.001,MAX(DU11,EU11,FU11,GU11,HU11,IU11,JU11,KU11,LU11,MU11,NU11,OU11)-IF(M11="",0,M11),"")</f>
        <v/>
      </c>
      <c r="CW11" s="18"/>
      <c r="CX11" s="18"/>
      <c r="CY11" s="18"/>
      <c r="CZ11" s="18"/>
      <c r="DA11" s="18"/>
      <c r="DB11" s="18"/>
      <c r="DC11" s="18"/>
      <c r="DD11" s="18"/>
      <c r="DE11" s="18"/>
      <c r="DF11" s="18"/>
      <c r="DG11" s="18"/>
      <c r="DH11" s="18"/>
      <c r="DI11" s="18"/>
      <c r="DJ11" s="18"/>
      <c r="DK11" s="18"/>
      <c r="DL11" s="18"/>
      <c r="DM11" s="18"/>
      <c r="DN11" s="18"/>
      <c r="DO11" s="18"/>
      <c r="DP11" s="18"/>
      <c r="DQ11" s="55" t="str">
        <f>IF(SUM(CX11,DB11)&gt;0,SUM(CX11,DB11),"")</f>
        <v/>
      </c>
      <c r="DR11" s="55" t="str">
        <f>IF(SUM(CW11:CX11,CZ11:DB11,DD11)-CY11-DC11&gt;0,SUM(CW11:CX11,CZ11:DB11,DD11)-CY11-DC11,"")</f>
        <v/>
      </c>
      <c r="DS11" s="55" t="str">
        <f>IF(SUM(DE11:DF11,DH11)-DG11&gt;0,SUM(DE11:DF11,DH11)-DG11,"")</f>
        <v/>
      </c>
      <c r="DT11" s="55" t="str">
        <f>IF(SUM(DJ11,DN11)&gt;0,SUM(DJ11,DN11),"")</f>
        <v/>
      </c>
      <c r="DU11" s="55" t="str">
        <f>IF(SUM(DI11:DJ11,DL11:DN11,DP11)-SUM(DK11,DO11)&gt;0,SUM(DI11:DJ11,DL11:DN11,DP11)-SUM(DK11,DO11),"")</f>
        <v/>
      </c>
      <c r="DV11" s="55" t="str">
        <f>IF(SUM(DR11,DS11,DU11)&gt;0,SUM(DR11,DS11,DU11),"")</f>
        <v/>
      </c>
      <c r="DW11" s="19"/>
      <c r="DX11" s="19"/>
      <c r="DY11" s="19"/>
      <c r="DZ11" s="19"/>
      <c r="EA11" s="19"/>
      <c r="EB11" s="19"/>
      <c r="EC11" s="19"/>
      <c r="ED11" s="19"/>
      <c r="EE11" s="19"/>
      <c r="EF11" s="19"/>
      <c r="EG11" s="19"/>
      <c r="EH11" s="19"/>
      <c r="EI11" s="19"/>
      <c r="EJ11" s="19"/>
      <c r="EK11" s="19"/>
      <c r="EL11" s="19"/>
      <c r="EM11" s="19"/>
      <c r="EN11" s="19"/>
      <c r="EO11" s="19"/>
      <c r="EP11" s="19"/>
      <c r="EQ11" s="14" t="str">
        <f>IF(SUM(DX11,EB11)&gt;0,SUM(DX11,EB11),"")</f>
        <v/>
      </c>
      <c r="ER11" s="14" t="str">
        <f>IF(SUM(DW11:DX11,DZ11:EB11,ED11)-DY11-EC11&gt;0,SUM(DW11:DX11,DZ11:EB11,ED11)-DY11-EC11,"")</f>
        <v/>
      </c>
      <c r="ES11" s="14" t="str">
        <f>IF(SUM(EE11:EF11,EH11)-EG11&gt;0,SUM(EE11:EF11,EH11)-EG11,"")</f>
        <v/>
      </c>
      <c r="ET11" s="14" t="str">
        <f>IF(SUM(EJ11,EN11)&gt;0,SUM(EJ11,EN11),"")</f>
        <v/>
      </c>
      <c r="EU11" s="14" t="str">
        <f>IF(SUM(EI11:EJ11,EL11:EN11,EP11)-SUM(EK11,EO11)&gt;0,SUM(EI11:EJ11,EL11:EN11,EP11)-SUM(EK11,EO11),"")</f>
        <v/>
      </c>
      <c r="EV11" s="14" t="str">
        <f>IF(SUM(ER11,ES11,EU11)&gt;0,SUM(ER11,ES11,EU11),"")</f>
        <v/>
      </c>
      <c r="EW11" s="18"/>
      <c r="EX11" s="18"/>
      <c r="EY11" s="18"/>
      <c r="EZ11" s="18"/>
      <c r="FA11" s="18"/>
      <c r="FB11" s="18"/>
      <c r="FC11" s="18"/>
      <c r="FD11" s="18"/>
      <c r="FE11" s="18"/>
      <c r="FF11" s="18"/>
      <c r="FG11" s="18"/>
      <c r="FH11" s="18"/>
      <c r="FI11" s="18">
        <v>18.8</v>
      </c>
      <c r="FJ11" s="18">
        <v>6</v>
      </c>
      <c r="FK11" s="18">
        <v>0.2</v>
      </c>
      <c r="FL11" s="18">
        <v>0</v>
      </c>
      <c r="FM11" s="18">
        <v>18.2</v>
      </c>
      <c r="FN11" s="18">
        <v>7.2</v>
      </c>
      <c r="FO11" s="18">
        <v>0.2</v>
      </c>
      <c r="FP11" s="18">
        <v>0</v>
      </c>
      <c r="FQ11" s="55" t="str">
        <f>IF(SUM(EX11,FB11)&gt;0,SUM(EX11,FB11),"")</f>
        <v/>
      </c>
      <c r="FR11" s="55" t="str">
        <f>IF(SUM(EW11:EX11,EZ11:FB11,FD11)-EY11-FC11&gt;0,SUM(EW11:EX11,EZ11:FB11,FD11)-EY11-FC11,"")</f>
        <v/>
      </c>
      <c r="FS11" s="55" t="str">
        <f>IF(SUM(FE11:FF11,FH11)-FG11&gt;0,SUM(FE11:FF11,FH11)-FG11,"")</f>
        <v/>
      </c>
      <c r="FT11" s="55">
        <f>IF(SUM(FJ11,FN11)&gt;0,SUM(FJ11,FN11),"")</f>
        <v>13.2</v>
      </c>
      <c r="FU11" s="55">
        <f>IF(SUM(FI11:FJ11,FL11:FN11,FP11)-SUM(FK11,FO11)&gt;0,SUM(FI11:FJ11,FL11:FN11,FP11)-SUM(FK11,FO11),"")</f>
        <v>49.800000000000004</v>
      </c>
      <c r="FV11" s="55">
        <f>IF(SUM(FR11,FS11,FU11)&gt;0,SUM(FR11,FS11,FU11),"")</f>
        <v>49.800000000000004</v>
      </c>
      <c r="FW11" s="19"/>
      <c r="FX11" s="19"/>
      <c r="FY11" s="19"/>
      <c r="FZ11" s="19"/>
      <c r="GA11" s="19"/>
      <c r="GB11" s="19"/>
      <c r="GC11" s="19"/>
      <c r="GD11" s="19"/>
      <c r="GE11" s="19"/>
      <c r="GF11" s="19"/>
      <c r="GG11" s="19"/>
      <c r="GH11" s="19"/>
      <c r="GI11" s="19"/>
      <c r="GJ11" s="19"/>
      <c r="GK11" s="19"/>
      <c r="GL11" s="19"/>
      <c r="GM11" s="19"/>
      <c r="GN11" s="19"/>
      <c r="GO11" s="19"/>
      <c r="GP11" s="19"/>
      <c r="GQ11" s="14" t="str">
        <f>IF(SUM(FX11,GB11)&gt;0,SUM(FX11,GB11),"")</f>
        <v/>
      </c>
      <c r="GR11" s="14" t="str">
        <f>IF(SUM(FW11:FX11,FZ11:GB11,GD11)-FY11-GC11&gt;0,SUM(FW11:FX11,FZ11:GB11,GD11)-FY11-GC11,"")</f>
        <v/>
      </c>
      <c r="GS11" s="14" t="str">
        <f>IF(SUM(GE11:GF11,GH11)-GG11&gt;0,SUM(GE11:GF11,GH11)-GG11,"")</f>
        <v/>
      </c>
      <c r="GT11" s="14" t="str">
        <f>IF(SUM(GJ11,GN11)&gt;0,SUM(GJ11,GN11),"")</f>
        <v/>
      </c>
      <c r="GU11" s="14" t="str">
        <f>IF(SUM(GI11:GJ11,GL11:GN11,GP11)-SUM(GK11,GO11)&gt;0,SUM(GI11:GJ11,GL11:GN11,GP11)-SUM(GK11,GO11),"")</f>
        <v/>
      </c>
      <c r="GV11" s="14" t="str">
        <f>IF(SUM(GR11,GS11,GU11)&gt;0,SUM(GR11,GS11,GU11),"")</f>
        <v/>
      </c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55" t="str">
        <f>IF(SUM(GX11,HB11)&gt;0,SUM(GX11,HB11),"")</f>
        <v/>
      </c>
      <c r="HR11" s="55" t="str">
        <f>IF(SUM(GW11:GX11,GZ11:HB11,HD11)-GY11-HC11&gt;0,SUM(GW11:GX11,GZ11:HB11,HD11)-GY11-HC11,"")</f>
        <v/>
      </c>
      <c r="HS11" s="55" t="str">
        <f>IF(SUM(HE11:HF11,HH11)-HG11&gt;0,SUM(HE11:HF11,HH11)-HG11,"")</f>
        <v/>
      </c>
      <c r="HT11" s="55" t="str">
        <f>IF(SUM(HJ11,HN11)&gt;0,SUM(HJ11,HN11),"")</f>
        <v/>
      </c>
      <c r="HU11" s="55" t="str">
        <f>IF(SUM(HI11:HJ11,HL11:HN11,HP11)-SUM(HK11,HO11)&gt;0,SUM(HI11:HJ11,HL11:HN11,HP11)-SUM(HK11,HO11),"")</f>
        <v/>
      </c>
      <c r="HV11" s="55" t="str">
        <f>IF(SUM(HR11,HS11,HU11)&gt;0,SUM(HR11,HS11,HU11),"")</f>
        <v/>
      </c>
      <c r="HW11" s="19"/>
      <c r="HX11" s="19"/>
      <c r="HY11" s="19"/>
      <c r="HZ11" s="19"/>
      <c r="IA11" s="19"/>
      <c r="IB11" s="19"/>
      <c r="IC11" s="19"/>
      <c r="ID11" s="19"/>
      <c r="IE11" s="19"/>
      <c r="IF11" s="19"/>
      <c r="IG11" s="19"/>
      <c r="IH11" s="19"/>
      <c r="II11" s="19"/>
      <c r="IJ11" s="19"/>
      <c r="IK11" s="19"/>
      <c r="IL11" s="19"/>
      <c r="IM11" s="19"/>
      <c r="IN11" s="19"/>
      <c r="IO11" s="19"/>
      <c r="IP11" s="19"/>
      <c r="IQ11" s="14" t="str">
        <f>IF(SUM(HX11,IB11)&gt;0,SUM(HX11,IB11),"")</f>
        <v/>
      </c>
      <c r="IR11" s="14" t="str">
        <f>IF(SUM(HW11:HX11,HZ11:IB11,ID11)-HY11-IC11&gt;0,SUM(HW11:HX11,HZ11:IB11,ID11)-HY11-IC11,"")</f>
        <v/>
      </c>
      <c r="IS11" s="14" t="str">
        <f>IF(SUM(IE11:IF11,IH11)-IG11&gt;0,SUM(IE11:IF11,IH11)-IG11,"")</f>
        <v/>
      </c>
      <c r="IT11" s="14" t="str">
        <f>IF(SUM(IJ11,IN11)&gt;0,SUM(IJ11,IN11),"")</f>
        <v/>
      </c>
      <c r="IU11" s="14" t="str">
        <f>IF(SUM(II11:IJ11,IL11:IN11,IP11)-SUM(IK11,IO11)&gt;0,SUM(II11:IJ11,IL11:IN11,IP11)-SUM(IK11,IO11),"")</f>
        <v/>
      </c>
      <c r="IV11" s="14" t="str">
        <f>IF(SUM(IR11,IS11,IU11)&gt;0,SUM(IR11,IS11,IU11),"")</f>
        <v/>
      </c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8"/>
      <c r="JL11" s="18"/>
      <c r="JM11" s="18"/>
      <c r="JN11" s="18"/>
      <c r="JO11" s="18"/>
      <c r="JP11" s="18"/>
      <c r="JQ11" s="55" t="str">
        <f>IF(SUM(IX11,JB11)&gt;0,SUM(IX11,JB11),"")</f>
        <v/>
      </c>
      <c r="JR11" s="55" t="str">
        <f>IF(SUM(IW11:IX11,IZ11:JB11,JD11)-IY11-JC11&gt;0,SUM(IW11:IX11,IZ11:JB11,JD11)-IY11-JC11,"")</f>
        <v/>
      </c>
      <c r="JS11" s="55" t="str">
        <f>IF(SUM(JE11:JF11,JH11)-JG11&gt;0,SUM(JE11:JF11,JH11)-JG11,"")</f>
        <v/>
      </c>
      <c r="JT11" s="55" t="str">
        <f>IF(SUM(JJ11,JN11)&gt;0,SUM(JJ11,JN11),"")</f>
        <v/>
      </c>
      <c r="JU11" s="55" t="str">
        <f>IF(SUM(JI11:JJ11,JL11:JN11,JP11)-SUM(JK11,JO11)&gt;0,SUM(JI11:JJ11,JL11:JN11,JP11)-SUM(JK11,JO11),"")</f>
        <v/>
      </c>
      <c r="JV11" s="55" t="str">
        <f>IF(SUM(JR11,JS11,JU11)&gt;0,SUM(JR11,JS11,JU11),"")</f>
        <v/>
      </c>
      <c r="JW11" s="19"/>
      <c r="JX11" s="19"/>
      <c r="JY11" s="19"/>
      <c r="JZ11" s="19"/>
      <c r="KA11" s="19"/>
      <c r="KB11" s="19"/>
      <c r="KC11" s="19"/>
      <c r="KD11" s="19"/>
      <c r="KE11" s="19"/>
      <c r="KF11" s="19"/>
      <c r="KG11" s="19"/>
      <c r="KH11" s="19"/>
      <c r="KI11" s="19"/>
      <c r="KJ11" s="19"/>
      <c r="KK11" s="19"/>
      <c r="KL11" s="19"/>
      <c r="KM11" s="19"/>
      <c r="KN11" s="19"/>
      <c r="KO11" s="19"/>
      <c r="KP11" s="19"/>
      <c r="KQ11" s="14" t="str">
        <f>IF(SUM(JX11,KB11)&gt;0,SUM(JX11,KB11),"")</f>
        <v/>
      </c>
      <c r="KR11" s="14" t="str">
        <f>IF(SUM(JW11:JX11,JZ11:KB11,KD11)-JY11-KC11&gt;0,SUM(JW11:JX11,JZ11:KB11,KD11)-JY11-KC11,"")</f>
        <v/>
      </c>
      <c r="KS11" s="14" t="str">
        <f>IF(SUM(KE11:KF11,KH11)-KG11&gt;0,SUM(KE11:KF11,KH11)-KG11,"")</f>
        <v/>
      </c>
      <c r="KT11" s="14" t="str">
        <f>IF(SUM(KJ11,KN11)&gt;0,SUM(KJ11,KN11),"")</f>
        <v/>
      </c>
      <c r="KU11" s="14" t="str">
        <f>IF(SUM(KI11:KJ11,KL11:KN11,KP11)-SUM(KK11,KO11)&gt;0,SUM(KI11:KJ11,KL11:KN11,KP11)-SUM(KK11,KO11),"")</f>
        <v/>
      </c>
      <c r="KV11" s="14" t="str">
        <f>IF(SUM(KR11,KS11,KU11)&gt;0,SUM(KR11,KS11,KU11),"")</f>
        <v/>
      </c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8"/>
      <c r="LP11" s="18"/>
      <c r="LQ11" s="55" t="str">
        <f>IF(SUM(KX11,LB11)&gt;0,SUM(KX11,LB11),"")</f>
        <v/>
      </c>
      <c r="LR11" s="55" t="str">
        <f>IF(SUM(KW11:KX11,KZ11:LB11,LD11)-KY11-LC11&gt;0,SUM(KW11:KX11,KZ11:LB11,LD11)-KY11-LC11,"")</f>
        <v/>
      </c>
      <c r="LS11" s="55" t="str">
        <f>IF(SUM(LE11:LF11,LH11)-LG11&gt;0,SUM(LE11:LF11,LH11)-LG11,"")</f>
        <v/>
      </c>
      <c r="LT11" s="55" t="str">
        <f>IF(SUM(LJ11,LN11)&gt;0,SUM(LJ11,LN11),"")</f>
        <v/>
      </c>
      <c r="LU11" s="55" t="str">
        <f>IF(SUM(LI11:LJ11,LL11:LN11,LP11)-SUM(LK11,LO11)&gt;0,SUM(LI11:LJ11,LL11:LN11,LP11)-SUM(LK11,LO11),"")</f>
        <v/>
      </c>
      <c r="LV11" s="55" t="str">
        <f>IF(SUM(LR11,LS11,LU11)&gt;0,SUM(LR11,LS11,LU11),"")</f>
        <v/>
      </c>
      <c r="LW11" s="19"/>
      <c r="LX11" s="19"/>
      <c r="LY11" s="19"/>
      <c r="LZ11" s="19"/>
      <c r="MA11" s="19"/>
      <c r="MB11" s="19"/>
      <c r="MC11" s="19"/>
      <c r="MD11" s="19"/>
      <c r="ME11" s="19"/>
      <c r="MF11" s="19"/>
      <c r="MG11" s="19"/>
      <c r="MH11" s="19"/>
      <c r="MI11" s="19"/>
      <c r="MJ11" s="19"/>
      <c r="MK11" s="19"/>
      <c r="ML11" s="19"/>
      <c r="MM11" s="19"/>
      <c r="MN11" s="19"/>
      <c r="MO11" s="19"/>
      <c r="MP11" s="19"/>
      <c r="MQ11" s="14" t="str">
        <f>IF(SUM(LX11,MB11)&gt;0,SUM(LX11,MB11),"")</f>
        <v/>
      </c>
      <c r="MR11" s="14" t="str">
        <f>IF(SUM(LW11:LX11,LZ11:MB11,MD11)-LY11-MC11&gt;0,SUM(LW11:LX11,LZ11:MB11,MD11)-LY11-MC11,"")</f>
        <v/>
      </c>
      <c r="MS11" s="14" t="str">
        <f>IF(SUM(ME11:MF11,MH11)-MG11&gt;0,SUM(ME11:MF11,MH11)-MG11,"")</f>
        <v/>
      </c>
      <c r="MT11" s="14" t="str">
        <f>IF(SUM(MJ11,MN11)&gt;0,SUM(MJ11,MN11),"")</f>
        <v/>
      </c>
      <c r="MU11" s="14" t="str">
        <f>IF(SUM(MI11:MJ11,ML11:MN11,MP11)-SUM(MK11,MO11)&gt;0,SUM(MI11:MJ11,ML11:MN11,MP11)-SUM(MK11,MO11),"")</f>
        <v/>
      </c>
      <c r="MV11" s="14" t="str">
        <f>IF(SUM(MR11,MS11,MU11)&gt;0,SUM(MR11,MS11,MU11),"")</f>
        <v/>
      </c>
      <c r="MW11" s="18"/>
      <c r="MX11" s="18"/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55" t="str">
        <f>IF(SUM(MX11,NB11)&gt;0,SUM(MX11,NB11),"")</f>
        <v/>
      </c>
      <c r="NR11" s="55" t="str">
        <f>IF(SUM(MW11:MX11,MZ11:NB11,ND11)-MY11-NC11&gt;0,SUM(MW11:MX11,MZ11:NB11,ND11)-MY11-NC11,"")</f>
        <v/>
      </c>
      <c r="NS11" s="55" t="str">
        <f>IF(SUM(NE11:NF11,NH11)-NG11&gt;0,SUM(NE11:NF11,NH11)-NG11,"")</f>
        <v/>
      </c>
      <c r="NT11" s="55" t="str">
        <f>IF(SUM(NJ11,NN11)&gt;0,SUM(NJ11,NN11),"")</f>
        <v/>
      </c>
      <c r="NU11" s="55" t="str">
        <f>IF(SUM(NI11:NJ11,NL11:NN11,NP11)-SUM(NK11,NO11)&gt;0,SUM(NI11:NJ11,NL11:NN11,NP11)-SUM(NK11,NO11),"")</f>
        <v/>
      </c>
      <c r="NV11" s="55" t="str">
        <f>IF(SUM(NR11,NS11,NU11)&gt;0,SUM(NR11,NS11,NU11),"")</f>
        <v/>
      </c>
      <c r="NW11" s="19"/>
      <c r="NX11" s="19"/>
      <c r="NY11" s="19"/>
      <c r="NZ11" s="19"/>
      <c r="OA11" s="19"/>
      <c r="OB11" s="19"/>
      <c r="OC11" s="19"/>
      <c r="OD11" s="19"/>
      <c r="OE11" s="19"/>
      <c r="OF11" s="19"/>
      <c r="OG11" s="19"/>
      <c r="OH11" s="19"/>
      <c r="OI11" s="19"/>
      <c r="OJ11" s="19"/>
      <c r="OK11" s="19"/>
      <c r="OL11" s="19"/>
      <c r="OM11" s="19"/>
      <c r="ON11" s="19"/>
      <c r="OO11" s="19"/>
      <c r="OP11" s="19"/>
      <c r="OQ11" s="14" t="str">
        <f>IF(SUM(NX11,OB11)&gt;0,SUM(NX11,OB11),"")</f>
        <v/>
      </c>
      <c r="OR11" s="14" t="str">
        <f>IF(SUM(NW11:NX11,NZ11:OB11,OD11)-NY11-OC11&gt;0,SUM(NW11:NX11,NZ11:OB11,OD11)-NY11-OC11,"")</f>
        <v/>
      </c>
      <c r="OS11" s="14" t="str">
        <f>IF(SUM(OE11:OF11,OH11)-OG11&gt;0,SUM(OE11:OF11,OH11)-OG11,"")</f>
        <v/>
      </c>
      <c r="OT11" s="14" t="str">
        <f>IF(SUM(OJ11,ON11)&gt;0,SUM(OJ11,ON11),"")</f>
        <v/>
      </c>
      <c r="OU11" s="14" t="str">
        <f>IF(SUM(OI11:OJ11,OL11:ON11,OP11)-SUM(OK11,OO11)&gt;0,SUM(OI11:OJ11,OL11:ON11,OP11)-SUM(OK11,OO11),"")</f>
        <v/>
      </c>
      <c r="OV11" s="14" t="str">
        <f>IF(SUM(OR11,OS11,OU11)&gt;0,SUM(OR11,OS11,OU11),"")</f>
        <v/>
      </c>
      <c r="OW11" s="27">
        <f>IF($CN11="P",BT11,(BT11+AS11)/2)</f>
        <v>16.549999999999997</v>
      </c>
      <c r="OX11" s="27">
        <f>IF($CN11="P",BU11,(BU11+AT11)/2)</f>
        <v>4.9000000000000004</v>
      </c>
      <c r="OY11" s="27">
        <f>IF($CN11="P",BV11,(BV11+AU11)/2)</f>
        <v>1.35</v>
      </c>
      <c r="OZ11" s="27">
        <f>IF($CN11="P",BW11,(BW11+AV11)/2)</f>
        <v>0</v>
      </c>
      <c r="PA11" s="27">
        <f>IF($CN11="P",BX11,(BX11+AW11)/2)</f>
        <v>18.649999999999999</v>
      </c>
      <c r="PB11" s="27">
        <f>IF($CN11="P",BY11,(BY11+AX11)/2)</f>
        <v>6.4</v>
      </c>
      <c r="PC11" s="27">
        <f>IF($CN11="P",BZ11,(BZ11+AY11)/2)</f>
        <v>0.7</v>
      </c>
      <c r="PD11" s="27">
        <f>IF($CN11="P",CA11,(CA11+AZ11)/2)</f>
        <v>0</v>
      </c>
      <c r="PE11" s="27">
        <f>IF($CN11="P",CB11,(CB11+BA11)/2)</f>
        <v>18.5</v>
      </c>
      <c r="PF11" s="27">
        <f>IF($CN11="P",CC11,(CC11+BB11)/2)</f>
        <v>6</v>
      </c>
      <c r="PG11" s="27">
        <f>IF($CN11="P",CD11,(CD11+BC11)/2)</f>
        <v>0.4</v>
      </c>
      <c r="PH11" s="27">
        <f>IF($CN11="P",CE11,(CE11+BD11)/2)</f>
        <v>0</v>
      </c>
      <c r="PI11" s="27">
        <f>IF($CN11="P",CF11,(CF11+BE11)/2)</f>
        <v>17.5</v>
      </c>
      <c r="PJ11" s="27">
        <f>IF($CN11="P",CG11,(CG11+BF11)/2)</f>
        <v>7.2</v>
      </c>
      <c r="PK11" s="27">
        <f>IF($CN11="P",CH11,(CH11+BG11)/2)</f>
        <v>0.4</v>
      </c>
      <c r="PL11" s="27">
        <f>IF($CN11="P",CI11,(CI11+BH11)/2)</f>
        <v>0</v>
      </c>
      <c r="PM11" s="27">
        <f>IF($CN11="P",CJ11,(CJ11+BI11)/2)</f>
        <v>18.8</v>
      </c>
      <c r="PN11" s="27">
        <f>IF($CN11="P",CK11,(CK11+BJ11)/2)</f>
        <v>6.4</v>
      </c>
      <c r="PO11" s="27">
        <f>IF($CN11="P",CL11,(CL11+BK11)/2)</f>
        <v>0.3</v>
      </c>
      <c r="PP11" s="27">
        <f>IF($CN11="P",CM11,(CM11+BL11)/2)</f>
        <v>0</v>
      </c>
      <c r="PQ11" s="32" t="s">
        <v>44</v>
      </c>
      <c r="PR11" s="55">
        <f>IF(SUM(OX11,PB11)&gt;0,SUM(OX11,PB11),"")</f>
        <v>11.3</v>
      </c>
      <c r="PS11" s="55">
        <f>IF(SUM(OW11:OX11,OZ11:PB11,PD11)-OY11-PC11&gt;0,SUM(OW11:OX11,OZ11:PB11,PD11)-OY11-PC11,"")</f>
        <v>44.449999999999989</v>
      </c>
      <c r="PT11" s="55">
        <f>IF(SUM(PE11:PF11,PH11)-PG11&gt;0,SUM(PE11:PF11,PH11)-PG11,"")</f>
        <v>24.1</v>
      </c>
      <c r="PU11" s="55">
        <f>IF(SUM(PJ11,PN11)&gt;0,SUM(PJ11,PN11),"")</f>
        <v>13.600000000000001</v>
      </c>
      <c r="PV11" s="55">
        <f>IF(SUM(PI11:PJ11,PL11:PN11,PP11)-SUM(PK11,PO11)&gt;0,SUM(PI11:PJ11,PL11:PN11,PP11)-SUM(PK11,PO11),"")</f>
        <v>49.199999999999996</v>
      </c>
      <c r="PW11" s="55">
        <f>IF(SUM(PS11,PT11,PV11)&gt;0,SUM(PS11,PT11,PV11),"")</f>
        <v>117.74999999999997</v>
      </c>
    </row>
    <row r="12" spans="1:439" ht="17" x14ac:dyDescent="0.2">
      <c r="O12" s="11"/>
      <c r="P12" s="11"/>
      <c r="Q12" s="11"/>
    </row>
    <row r="13" spans="1:439" ht="17" x14ac:dyDescent="0.2">
      <c r="O13" s="11"/>
      <c r="P13" s="11"/>
      <c r="Q13" s="11"/>
    </row>
    <row r="14" spans="1:439" ht="17" x14ac:dyDescent="0.2">
      <c r="B14" s="28" t="s">
        <v>42</v>
      </c>
      <c r="O14" s="11"/>
      <c r="P14" s="11"/>
      <c r="Q14" s="11"/>
      <c r="AM14" s="4"/>
      <c r="AR14" s="57">
        <v>10.4</v>
      </c>
      <c r="BN14" s="4"/>
      <c r="BS14" s="57">
        <v>10.4</v>
      </c>
      <c r="CO14" s="4"/>
      <c r="CT14" s="57">
        <v>10.4</v>
      </c>
      <c r="DQ14" s="4"/>
      <c r="DV14" s="57">
        <v>11.6</v>
      </c>
      <c r="EQ14" s="4"/>
      <c r="EV14" s="57">
        <v>10.4</v>
      </c>
      <c r="FQ14" s="4"/>
      <c r="FV14" s="57">
        <v>10.4</v>
      </c>
      <c r="GQ14" s="4"/>
      <c r="GV14" s="57">
        <v>10.4</v>
      </c>
      <c r="HQ14" s="4"/>
      <c r="HV14" s="57">
        <v>10.4</v>
      </c>
      <c r="IQ14" s="4"/>
      <c r="IV14" s="57">
        <v>10.4</v>
      </c>
      <c r="JQ14" s="4"/>
      <c r="JV14" s="57">
        <v>10.4</v>
      </c>
      <c r="KQ14" s="4"/>
      <c r="KV14" s="57">
        <v>10.4</v>
      </c>
      <c r="LQ14" s="4"/>
      <c r="LV14" s="57">
        <v>10.4</v>
      </c>
      <c r="MQ14" s="4"/>
      <c r="MV14" s="57">
        <v>10.4</v>
      </c>
      <c r="NQ14" s="4"/>
      <c r="NV14" s="57">
        <v>10.4</v>
      </c>
      <c r="OQ14" s="4"/>
      <c r="OV14" s="57">
        <v>10.4</v>
      </c>
    </row>
    <row r="15" spans="1:439" ht="17" hidden="1" x14ac:dyDescent="0.2">
      <c r="B15" s="35" t="s">
        <v>41</v>
      </c>
      <c r="O15" s="11"/>
      <c r="P15" s="11"/>
      <c r="Q15" s="11"/>
      <c r="AM15" s="4"/>
      <c r="AR15" s="58">
        <f>AR16</f>
        <v>11.2</v>
      </c>
      <c r="BN15" s="4"/>
      <c r="BS15" s="58">
        <f>BS16</f>
        <v>11.2</v>
      </c>
      <c r="CO15" s="4"/>
      <c r="CT15" s="58">
        <f>CT16</f>
        <v>11.2</v>
      </c>
      <c r="DQ15" s="4"/>
      <c r="DV15" s="58">
        <f>DV16</f>
        <v>12</v>
      </c>
      <c r="EQ15" s="4"/>
      <c r="EV15" s="58">
        <f>EV16</f>
        <v>11.2</v>
      </c>
      <c r="FQ15" s="4"/>
      <c r="FV15" s="58">
        <f>FV16</f>
        <v>11.2</v>
      </c>
      <c r="GQ15" s="4"/>
      <c r="GV15" s="58">
        <f>GV16</f>
        <v>11.2</v>
      </c>
      <c r="HQ15" s="4"/>
      <c r="HV15" s="58">
        <f>HV16</f>
        <v>11.2</v>
      </c>
      <c r="IQ15" s="4"/>
      <c r="IV15" s="58">
        <f>IV16</f>
        <v>11.2</v>
      </c>
      <c r="JQ15" s="4"/>
      <c r="JV15" s="58">
        <f>JV16</f>
        <v>11.2</v>
      </c>
      <c r="KQ15" s="4"/>
      <c r="KV15" s="58">
        <f>KV16</f>
        <v>11.2</v>
      </c>
      <c r="LQ15" s="4"/>
      <c r="LV15" s="58">
        <f>LV16</f>
        <v>11.2</v>
      </c>
      <c r="MQ15" s="4"/>
      <c r="MV15" s="58">
        <f>MV16</f>
        <v>11.2</v>
      </c>
      <c r="NQ15" s="4"/>
      <c r="NV15" s="58">
        <f>NV16</f>
        <v>11.2</v>
      </c>
      <c r="OQ15" s="4"/>
      <c r="OV15" s="58">
        <f>OV16</f>
        <v>11.2</v>
      </c>
    </row>
    <row r="16" spans="1:439" ht="17" x14ac:dyDescent="0.2">
      <c r="A16" s="5"/>
      <c r="B16" s="36" t="s">
        <v>54</v>
      </c>
      <c r="C16" s="22"/>
      <c r="O16" s="11"/>
      <c r="P16" s="11"/>
      <c r="Q16" s="11"/>
      <c r="AM16" s="4"/>
      <c r="AR16" s="59">
        <v>11.2</v>
      </c>
      <c r="BN16" s="4"/>
      <c r="BS16" s="59">
        <v>11.2</v>
      </c>
      <c r="CO16" s="4"/>
      <c r="CT16" s="59">
        <v>11.2</v>
      </c>
      <c r="DQ16" s="4"/>
      <c r="DV16" s="59">
        <v>12</v>
      </c>
      <c r="EQ16" s="4"/>
      <c r="EV16" s="59">
        <v>11.2</v>
      </c>
      <c r="FQ16" s="4"/>
      <c r="FV16" s="59">
        <v>11.2</v>
      </c>
      <c r="GQ16" s="4"/>
      <c r="GV16" s="59">
        <v>11.2</v>
      </c>
      <c r="HQ16" s="4"/>
      <c r="HV16" s="59">
        <v>11.2</v>
      </c>
      <c r="IQ16" s="4"/>
      <c r="IV16" s="59">
        <v>11.2</v>
      </c>
      <c r="JQ16" s="4"/>
      <c r="JV16" s="59">
        <v>11.2</v>
      </c>
      <c r="KQ16" s="4"/>
      <c r="KV16" s="59">
        <v>11.2</v>
      </c>
      <c r="LQ16" s="4"/>
      <c r="LV16" s="59">
        <v>11.2</v>
      </c>
      <c r="MQ16" s="4"/>
      <c r="MV16" s="59">
        <v>11.2</v>
      </c>
      <c r="NQ16" s="4"/>
      <c r="NV16" s="59">
        <v>11.2</v>
      </c>
      <c r="OQ16" s="4"/>
      <c r="OV16" s="59">
        <v>11.2</v>
      </c>
    </row>
    <row r="17" spans="1:412" ht="17" hidden="1" x14ac:dyDescent="0.2">
      <c r="A17" s="5"/>
      <c r="B17" s="44" t="s">
        <v>59</v>
      </c>
      <c r="C17" s="22"/>
      <c r="O17" s="11"/>
      <c r="P17" s="11"/>
      <c r="Q17" s="11"/>
      <c r="AM17" s="4"/>
      <c r="AR17" s="65">
        <v>1000</v>
      </c>
      <c r="BN17" s="4"/>
      <c r="BS17" s="65">
        <v>1000</v>
      </c>
      <c r="CO17" s="4"/>
      <c r="CT17" s="65">
        <v>1000</v>
      </c>
      <c r="DQ17" s="4"/>
      <c r="DV17" s="65">
        <v>1000</v>
      </c>
      <c r="EQ17" s="4"/>
      <c r="EV17" s="65">
        <v>1000</v>
      </c>
      <c r="FQ17" s="4"/>
      <c r="FV17" s="65">
        <v>1000</v>
      </c>
      <c r="GQ17" s="4"/>
      <c r="GV17" s="65">
        <v>1000</v>
      </c>
      <c r="HQ17" s="4"/>
      <c r="HV17" s="65">
        <v>1000</v>
      </c>
      <c r="IQ17" s="4"/>
      <c r="IV17" s="65">
        <v>1000</v>
      </c>
      <c r="JQ17" s="4"/>
      <c r="JV17" s="65">
        <v>1000</v>
      </c>
      <c r="KQ17" s="4"/>
      <c r="KV17" s="65">
        <v>1000</v>
      </c>
      <c r="LQ17" s="4"/>
      <c r="LV17" s="65">
        <v>1000</v>
      </c>
      <c r="MQ17" s="4"/>
      <c r="MV17" s="65">
        <v>1000</v>
      </c>
      <c r="NQ17" s="4"/>
      <c r="NV17" s="65">
        <v>1000</v>
      </c>
      <c r="OQ17" s="4"/>
      <c r="OV17" s="65">
        <v>1000</v>
      </c>
    </row>
    <row r="18" spans="1:412" ht="17" x14ac:dyDescent="0.2">
      <c r="A18" s="5"/>
      <c r="B18" s="42" t="s">
        <v>39</v>
      </c>
      <c r="C18" s="22"/>
      <c r="O18" s="11"/>
      <c r="P18" s="11"/>
      <c r="Q18" s="11"/>
      <c r="AM18" s="4"/>
      <c r="AR18" s="66">
        <v>47.2</v>
      </c>
      <c r="BN18" s="4"/>
      <c r="BS18" s="66">
        <v>47.2</v>
      </c>
      <c r="CO18" s="4"/>
      <c r="CT18" s="66">
        <v>47.2</v>
      </c>
      <c r="DQ18" s="4"/>
      <c r="DV18" s="66">
        <v>48.4</v>
      </c>
      <c r="EQ18" s="4"/>
      <c r="EV18" s="66">
        <v>47.2</v>
      </c>
      <c r="FQ18" s="4"/>
      <c r="FV18" s="66">
        <v>47.2</v>
      </c>
      <c r="GQ18" s="4"/>
      <c r="GV18" s="66">
        <v>47.2</v>
      </c>
      <c r="HQ18" s="4"/>
      <c r="HV18" s="66">
        <v>47.2</v>
      </c>
      <c r="IQ18" s="4"/>
      <c r="IV18" s="66">
        <v>47.2</v>
      </c>
      <c r="JQ18" s="4"/>
      <c r="JV18" s="66">
        <v>47.2</v>
      </c>
      <c r="KQ18" s="4"/>
      <c r="KV18" s="66">
        <v>47.2</v>
      </c>
      <c r="LQ18" s="4"/>
      <c r="LV18" s="66">
        <v>47.2</v>
      </c>
      <c r="MQ18" s="4"/>
      <c r="MV18" s="66">
        <v>47.2</v>
      </c>
      <c r="NQ18" s="4"/>
      <c r="NV18" s="66">
        <v>47.2</v>
      </c>
      <c r="OQ18" s="4"/>
      <c r="OV18" s="66">
        <v>47.2</v>
      </c>
    </row>
    <row r="19" spans="1:412" ht="17" hidden="1" x14ac:dyDescent="0.2">
      <c r="A19" s="5"/>
      <c r="B19" s="29" t="s">
        <v>40</v>
      </c>
      <c r="C19" s="22"/>
      <c r="O19" s="11"/>
      <c r="P19" s="11"/>
      <c r="Q19" s="11"/>
      <c r="AM19" s="4"/>
      <c r="AR19" s="62">
        <f>AR20</f>
        <v>47.6</v>
      </c>
      <c r="BN19" s="4"/>
      <c r="BS19" s="62">
        <f>BS20</f>
        <v>47.6</v>
      </c>
      <c r="CO19" s="4"/>
      <c r="CT19" s="62">
        <f>CT20</f>
        <v>47.6</v>
      </c>
      <c r="DQ19" s="4"/>
      <c r="DV19" s="62">
        <f>DV20</f>
        <v>49.8</v>
      </c>
      <c r="EQ19" s="4"/>
      <c r="EV19" s="62">
        <f>EV20</f>
        <v>47.6</v>
      </c>
      <c r="FQ19" s="4"/>
      <c r="FV19" s="62">
        <f>FV20</f>
        <v>47.6</v>
      </c>
      <c r="GQ19" s="4"/>
      <c r="GV19" s="62">
        <f>GV20</f>
        <v>47.6</v>
      </c>
      <c r="HQ19" s="4"/>
      <c r="HV19" s="62">
        <f>HV20</f>
        <v>47.6</v>
      </c>
      <c r="IQ19" s="4"/>
      <c r="IV19" s="62">
        <f>IV20</f>
        <v>47.6</v>
      </c>
      <c r="JQ19" s="4"/>
      <c r="JV19" s="62">
        <f>JV20</f>
        <v>47.6</v>
      </c>
      <c r="KQ19" s="4"/>
      <c r="KV19" s="62">
        <f>KV20</f>
        <v>47.6</v>
      </c>
      <c r="LQ19" s="4"/>
      <c r="LV19" s="62">
        <f>LV20</f>
        <v>47.6</v>
      </c>
      <c r="MQ19" s="4"/>
      <c r="MV19" s="62">
        <f>MV20</f>
        <v>47.6</v>
      </c>
      <c r="NQ19" s="4"/>
      <c r="NV19" s="62">
        <f>NV20</f>
        <v>47.6</v>
      </c>
      <c r="OQ19" s="4"/>
      <c r="OV19" s="62">
        <f>OV20</f>
        <v>47.6</v>
      </c>
    </row>
    <row r="20" spans="1:412" ht="17" x14ac:dyDescent="0.2">
      <c r="A20" s="5"/>
      <c r="B20" s="40" t="s">
        <v>53</v>
      </c>
      <c r="C20" s="22"/>
      <c r="O20" s="11"/>
      <c r="P20" s="11"/>
      <c r="Q20" s="11"/>
      <c r="AM20" s="4"/>
      <c r="AR20" s="63">
        <v>47.6</v>
      </c>
      <c r="BN20" s="4"/>
      <c r="BS20" s="63">
        <v>47.6</v>
      </c>
      <c r="CO20" s="4"/>
      <c r="CT20" s="63">
        <v>47.6</v>
      </c>
      <c r="DQ20" s="4"/>
      <c r="DV20" s="63">
        <v>49.8</v>
      </c>
      <c r="EQ20" s="4"/>
      <c r="EV20" s="63">
        <v>47.6</v>
      </c>
      <c r="FQ20" s="4"/>
      <c r="FV20" s="63">
        <v>47.6</v>
      </c>
      <c r="GQ20" s="4"/>
      <c r="GV20" s="63">
        <v>47.6</v>
      </c>
      <c r="HQ20" s="4"/>
      <c r="HV20" s="63">
        <v>47.6</v>
      </c>
      <c r="IQ20" s="4"/>
      <c r="IV20" s="63">
        <v>47.6</v>
      </c>
      <c r="JQ20" s="4"/>
      <c r="JV20" s="63">
        <v>47.6</v>
      </c>
      <c r="KQ20" s="4"/>
      <c r="KV20" s="63">
        <v>47.6</v>
      </c>
      <c r="LQ20" s="4"/>
      <c r="LV20" s="63">
        <v>47.6</v>
      </c>
      <c r="MQ20" s="4"/>
      <c r="MV20" s="63">
        <v>47.6</v>
      </c>
      <c r="NQ20" s="4"/>
      <c r="NV20" s="63">
        <v>47.6</v>
      </c>
      <c r="OQ20" s="4"/>
      <c r="OV20" s="63">
        <v>47.6</v>
      </c>
    </row>
    <row r="21" spans="1:412" ht="17" hidden="1" x14ac:dyDescent="0.2">
      <c r="A21" s="5"/>
      <c r="B21" s="30" t="s">
        <v>26</v>
      </c>
      <c r="C21" s="22"/>
      <c r="O21" s="11"/>
      <c r="P21" s="11"/>
      <c r="Q21" s="11"/>
      <c r="AM21" s="4"/>
      <c r="AR21" s="64">
        <v>1000</v>
      </c>
      <c r="BN21" s="4"/>
      <c r="BS21" s="64">
        <v>1000</v>
      </c>
      <c r="CO21" s="4"/>
      <c r="CT21" s="64">
        <v>1000</v>
      </c>
      <c r="DQ21" s="4"/>
      <c r="DV21" s="64">
        <v>1000</v>
      </c>
      <c r="EQ21" s="4"/>
      <c r="EV21" s="64">
        <v>1000</v>
      </c>
      <c r="FQ21" s="4"/>
      <c r="FV21" s="64">
        <v>1000</v>
      </c>
      <c r="GQ21" s="4"/>
      <c r="GV21" s="64">
        <v>1000</v>
      </c>
      <c r="HQ21" s="4"/>
      <c r="HV21" s="64">
        <v>1000</v>
      </c>
      <c r="IQ21" s="4"/>
      <c r="IV21" s="64">
        <v>1000</v>
      </c>
      <c r="JQ21" s="4"/>
      <c r="JV21" s="64">
        <v>1000</v>
      </c>
      <c r="KQ21" s="4"/>
      <c r="KV21" s="64">
        <v>1000</v>
      </c>
      <c r="LQ21" s="4"/>
      <c r="LV21" s="64">
        <v>1000</v>
      </c>
      <c r="MQ21" s="4"/>
      <c r="MV21" s="64">
        <v>1000</v>
      </c>
      <c r="NQ21" s="4"/>
      <c r="NV21" s="64">
        <v>1000</v>
      </c>
      <c r="OQ21" s="4"/>
      <c r="OV21" s="64">
        <v>1000</v>
      </c>
    </row>
    <row r="22" spans="1:412" x14ac:dyDescent="0.2">
      <c r="B22" s="34" t="s">
        <v>45</v>
      </c>
      <c r="C22" s="2"/>
    </row>
    <row r="23" spans="1:412" x14ac:dyDescent="0.2">
      <c r="A23" s="5"/>
      <c r="B23" s="5"/>
      <c r="C23" s="22"/>
    </row>
    <row r="24" spans="1:412" x14ac:dyDescent="0.2">
      <c r="A24" s="5"/>
      <c r="B24" s="5"/>
      <c r="C24" s="22"/>
    </row>
    <row r="25" spans="1:412" x14ac:dyDescent="0.2">
      <c r="A25" s="5"/>
      <c r="B25" s="5"/>
      <c r="C25" s="22"/>
    </row>
    <row r="26" spans="1:412" x14ac:dyDescent="0.2">
      <c r="A26" s="5"/>
      <c r="B26" s="5"/>
      <c r="C26" s="5"/>
    </row>
  </sheetData>
  <sheetProtection sheet="1" formatCells="0" formatColumns="0" formatRows="0"/>
  <autoFilter ref="A1:PW4" xr:uid="{BB9C3AB3-2D15-174E-B900-3E2F789706E1}"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8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sortState xmlns:xlrd2="http://schemas.microsoft.com/office/spreadsheetml/2017/richdata2" ref="A4:PW11">
      <sortCondition descending="1" ref="F1:F12"/>
    </sortState>
  </autoFilter>
  <mergeCells count="114">
    <mergeCell ref="PE2:PH2"/>
    <mergeCell ref="PI2:PL2"/>
    <mergeCell ref="PM2:PP2"/>
    <mergeCell ref="OA2:OD2"/>
    <mergeCell ref="OE2:OH2"/>
    <mergeCell ref="OI2:OL2"/>
    <mergeCell ref="OM2:OP2"/>
    <mergeCell ref="OW2:OZ2"/>
    <mergeCell ref="PA2:PD2"/>
    <mergeCell ref="MW2:MZ2"/>
    <mergeCell ref="NA2:ND2"/>
    <mergeCell ref="NE2:NH2"/>
    <mergeCell ref="NI2:NL2"/>
    <mergeCell ref="NM2:NP2"/>
    <mergeCell ref="NW2:NZ2"/>
    <mergeCell ref="LM2:LP2"/>
    <mergeCell ref="LW2:LZ2"/>
    <mergeCell ref="MA2:MD2"/>
    <mergeCell ref="ME2:MH2"/>
    <mergeCell ref="MI2:ML2"/>
    <mergeCell ref="MM2:MP2"/>
    <mergeCell ref="KW2:KZ2"/>
    <mergeCell ref="LA2:LD2"/>
    <mergeCell ref="LE2:LH2"/>
    <mergeCell ref="LI2:LL2"/>
    <mergeCell ref="JE2:JH2"/>
    <mergeCell ref="JI2:JL2"/>
    <mergeCell ref="JM2:JP2"/>
    <mergeCell ref="JW2:JZ2"/>
    <mergeCell ref="KA2:KD2"/>
    <mergeCell ref="KE2:KH2"/>
    <mergeCell ref="JA2:JD2"/>
    <mergeCell ref="GW2:GZ2"/>
    <mergeCell ref="HA2:HD2"/>
    <mergeCell ref="HE2:HH2"/>
    <mergeCell ref="HI2:HL2"/>
    <mergeCell ref="HM2:HP2"/>
    <mergeCell ref="HW2:HZ2"/>
    <mergeCell ref="KI2:KL2"/>
    <mergeCell ref="KM2:KP2"/>
    <mergeCell ref="EW2:EZ2"/>
    <mergeCell ref="FA2:FD2"/>
    <mergeCell ref="FE2:FH2"/>
    <mergeCell ref="FI2:FL2"/>
    <mergeCell ref="IA2:ID2"/>
    <mergeCell ref="IE2:IH2"/>
    <mergeCell ref="II2:IL2"/>
    <mergeCell ref="IM2:IP2"/>
    <mergeCell ref="IW2:IZ2"/>
    <mergeCell ref="BT2:BW2"/>
    <mergeCell ref="KW1:LV1"/>
    <mergeCell ref="LW1:MV1"/>
    <mergeCell ref="MW1:NV1"/>
    <mergeCell ref="DE2:DH2"/>
    <mergeCell ref="DI2:DL2"/>
    <mergeCell ref="DM2:DP2"/>
    <mergeCell ref="DW2:DZ2"/>
    <mergeCell ref="EA2:ED2"/>
    <mergeCell ref="EE2:EH2"/>
    <mergeCell ref="BX2:CA2"/>
    <mergeCell ref="CB2:CE2"/>
    <mergeCell ref="CF2:CI2"/>
    <mergeCell ref="CJ2:CM2"/>
    <mergeCell ref="CW2:CZ2"/>
    <mergeCell ref="DA2:DD2"/>
    <mergeCell ref="FM2:FP2"/>
    <mergeCell ref="FW2:FZ2"/>
    <mergeCell ref="GA2:GD2"/>
    <mergeCell ref="GE2:GH2"/>
    <mergeCell ref="GI2:GL2"/>
    <mergeCell ref="GM2:GP2"/>
    <mergeCell ref="EI2:EL2"/>
    <mergeCell ref="EM2:EP2"/>
    <mergeCell ref="NW1:OV1"/>
    <mergeCell ref="OW1:PW1"/>
    <mergeCell ref="R2:U2"/>
    <mergeCell ref="V2:Y2"/>
    <mergeCell ref="Z2:AC2"/>
    <mergeCell ref="AD2:AG2"/>
    <mergeCell ref="AH2:AK2"/>
    <mergeCell ref="EW1:FV1"/>
    <mergeCell ref="FW1:GV1"/>
    <mergeCell ref="GW1:HV1"/>
    <mergeCell ref="HW1:IV1"/>
    <mergeCell ref="IW1:JV1"/>
    <mergeCell ref="JW1:KV1"/>
    <mergeCell ref="R1:AR1"/>
    <mergeCell ref="AS1:BS1"/>
    <mergeCell ref="BT1:CT1"/>
    <mergeCell ref="CU1:CV1"/>
    <mergeCell ref="CW1:DV1"/>
    <mergeCell ref="DW1:EV1"/>
    <mergeCell ref="AS2:AV2"/>
    <mergeCell ref="AW2:AZ2"/>
    <mergeCell ref="BA2:BD2"/>
    <mergeCell ref="BE2:BH2"/>
    <mergeCell ref="BI2:BL2"/>
    <mergeCell ref="O1:O3"/>
    <mergeCell ref="P1:P3"/>
    <mergeCell ref="Q1:Q3"/>
    <mergeCell ref="G1:G3"/>
    <mergeCell ref="H1:H3"/>
    <mergeCell ref="I1:I3"/>
    <mergeCell ref="J1:J3"/>
    <mergeCell ref="K1:K3"/>
    <mergeCell ref="A1:A3"/>
    <mergeCell ref="B1:B3"/>
    <mergeCell ref="C1:C3"/>
    <mergeCell ref="D1:D3"/>
    <mergeCell ref="E1:E3"/>
    <mergeCell ref="F1:F3"/>
    <mergeCell ref="L1:L3"/>
    <mergeCell ref="M1:M3"/>
    <mergeCell ref="N1:N3"/>
  </mergeCells>
  <conditionalFormatting sqref="R4:AR11">
    <cfRule type="expression" dxfId="55" priority="1" stopIfTrue="1">
      <formula>IF($AL4&lt;&gt;"",1,0)</formula>
    </cfRule>
  </conditionalFormatting>
  <conditionalFormatting sqref="AS4:BS11">
    <cfRule type="expression" dxfId="54" priority="2" stopIfTrue="1">
      <formula>IF($BM4&lt;&gt;"",1,0)</formula>
    </cfRule>
  </conditionalFormatting>
  <conditionalFormatting sqref="J1:J1048576 L1:L1048576 N1:N1048576">
    <cfRule type="expression" dxfId="53" priority="9">
      <formula>IF(J1=$BT$1,1,0)</formula>
    </cfRule>
    <cfRule type="expression" dxfId="52" priority="10">
      <formula>IF(J1=$AS$1,1,0)</formula>
    </cfRule>
    <cfRule type="expression" dxfId="51" priority="11">
      <formula>IF(J1=$R$1,1,0)</formula>
    </cfRule>
  </conditionalFormatting>
  <conditionalFormatting sqref="BT4:CT11">
    <cfRule type="expression" dxfId="50" priority="3" stopIfTrue="1">
      <formula>IF($CN4&lt;&gt;"",1,0)</formula>
    </cfRule>
  </conditionalFormatting>
  <conditionalFormatting sqref="A1:A1048576">
    <cfRule type="expression" dxfId="49" priority="12" stopIfTrue="1">
      <formula>AND(G1&lt;&gt;"",F1="")</formula>
    </cfRule>
  </conditionalFormatting>
  <conditionalFormatting sqref="H1:H1048576">
    <cfRule type="containsText" dxfId="48" priority="4" operator="containsText" text="No DD">
      <formula>NOT(ISERROR(SEARCH("No DD",H1)))</formula>
    </cfRule>
    <cfRule type="containsText" dxfId="47" priority="5" operator="containsText" text="Merit">
      <formula>NOT(ISERROR(SEARCH("Merit",H1)))</formula>
    </cfRule>
    <cfRule type="containsText" dxfId="46" priority="6" operator="containsText" text="Excellence">
      <formula>NOT(ISERROR(SEARCH("Excellence",H1)))</formula>
    </cfRule>
    <cfRule type="containsText" dxfId="45" priority="7" operator="containsText" text="Worlds Team">
      <formula>NOT(ISERROR(SEARCH("Worlds Team",H1)))</formula>
    </cfRule>
    <cfRule type="containsText" dxfId="44" priority="8" operator="containsText" text="National Team">
      <formula>NOT(ISERROR(SEARCH("National Team",H1)))</formula>
    </cfRule>
  </conditionalFormatting>
  <conditionalFormatting sqref="OQ1:OQ1048576 AM1:AM1048576 BN1:BN1048576 CO1:CO1048576 DQ1:DQ1048576 EQ1:EQ1048576 FQ1:FQ1048576 GQ1:GQ1048576 HQ1:HQ1048576 IQ1:IQ1048576 JQ1:JQ1048576 KQ1:KQ1048576 LQ1:LQ1048576 MQ1:MQ1048576 NQ1:NQ1048576">
    <cfRule type="cellIs" dxfId="43" priority="13" operator="between">
      <formula>AR$17</formula>
      <formula>1000</formula>
    </cfRule>
    <cfRule type="cellIs" dxfId="42" priority="14" operator="between">
      <formula>AR$16</formula>
      <formula>AR$17</formula>
    </cfRule>
    <cfRule type="cellIs" dxfId="41" priority="15" operator="between">
      <formula>AR$15</formula>
      <formula>AR$16</formula>
    </cfRule>
    <cfRule type="cellIs" dxfId="40" priority="16" operator="between">
      <formula>AR$14</formula>
      <formula>AR$15</formula>
    </cfRule>
  </conditionalFormatting>
  <conditionalFormatting sqref="OR1:OR1048576 AN1:AN1048576 BO1:BO1048576 CP1:CP1048576 DR1:DR1048576 ER1:ER1048576 FR1:FR1048576 GR1:GR1048576 HR1:HR1048576 IR1:IR1048576 JR1:JR1048576 KR1:KR1048576 LR1:LR1048576 MR1:MR1048576 NR1:NR1048576">
    <cfRule type="cellIs" dxfId="39" priority="17" operator="between">
      <formula>AR$21</formula>
      <formula>1000</formula>
    </cfRule>
    <cfRule type="cellIs" dxfId="38" priority="18" operator="between">
      <formula>AR$20</formula>
      <formula>AR$21</formula>
    </cfRule>
    <cfRule type="cellIs" dxfId="37" priority="19" operator="between">
      <formula>AR$19</formula>
      <formula>AR$20</formula>
    </cfRule>
    <cfRule type="cellIs" dxfId="36" priority="20" operator="between">
      <formula>AR$18</formula>
      <formula>AR$19</formula>
    </cfRule>
  </conditionalFormatting>
  <conditionalFormatting sqref="AP1:AP1048576 BQ1:BQ1048576 CR1:CR1048576 DT1:DT1048576 ET1:ET1048576 FT1:FT1048576 GT1:GT1048576 HT1:HT1048576 IT1:IT1048576 JT1:JT1048576 KT1:KT1048576 LT1:LT1048576 MT1:MT1048576 NT1:NT1048576 OT1:OT1048576">
    <cfRule type="cellIs" dxfId="35" priority="21" operator="between">
      <formula>AR$17</formula>
      <formula>1000</formula>
    </cfRule>
    <cfRule type="cellIs" dxfId="34" priority="22" operator="between">
      <formula>AR$16</formula>
      <formula>AR$17</formula>
    </cfRule>
    <cfRule type="cellIs" dxfId="33" priority="23" operator="between">
      <formula>AR$15</formula>
      <formula>AR$16</formula>
    </cfRule>
    <cfRule type="cellIs" dxfId="32" priority="24" operator="between">
      <formula>AR$14</formula>
      <formula>AR$15</formula>
    </cfRule>
  </conditionalFormatting>
  <conditionalFormatting sqref="AQ1:AQ1048576 BR1:BR1048576 CS1:CS1048576 DU1:DU1048576 EU1:EU1048576 FU1:FU1048576 GU1:GU1048576 HU1:HU1048576 IU1:IU1048576 JU1:JU1048576 KU1:KU1048576 LU1:LU1048576 MU1:MU1048576 NU1:NU1048576 OU1:OU1048576">
    <cfRule type="cellIs" dxfId="31" priority="25" operator="between">
      <formula>AR$18</formula>
      <formula>AR$19</formula>
    </cfRule>
    <cfRule type="cellIs" dxfId="30" priority="26" operator="between">
      <formula>AR$19</formula>
      <formula>AR$20</formula>
    </cfRule>
    <cfRule type="cellIs" dxfId="29" priority="27" operator="between">
      <formula>AR$20</formula>
      <formula>AR$21</formula>
    </cfRule>
    <cfRule type="cellIs" dxfId="28" priority="28" operator="between">
      <formula>AR$21</formula>
      <formula>1000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2F278-5193-5D44-8CBB-35AE88FBAF54}">
  <sheetPr codeName="Sheet14"/>
  <dimension ref="A1:PW21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2.5" bestFit="1" customWidth="1"/>
    <col min="3" max="3" width="8.1640625" bestFit="1" customWidth="1"/>
    <col min="4" max="4" width="12" customWidth="1"/>
    <col min="6" max="6" width="16.33203125" customWidth="1"/>
    <col min="8" max="8" width="13.33203125" style="47" bestFit="1" customWidth="1"/>
    <col min="10" max="10" width="27.5" bestFit="1" customWidth="1"/>
    <col min="11" max="11" width="10.5" customWidth="1"/>
    <col min="12" max="12" width="27.5" bestFit="1" customWidth="1"/>
    <col min="14" max="14" width="27.5" bestFit="1" customWidth="1"/>
    <col min="15" max="15" width="24.6640625" bestFit="1" customWidth="1"/>
    <col min="16" max="16" width="13" bestFit="1" customWidth="1"/>
    <col min="17" max="17" width="31.5" bestFit="1" customWidth="1"/>
    <col min="18" max="38" width="10.83203125" hidden="1" customWidth="1"/>
    <col min="39" max="44" width="10.83203125" style="47" customWidth="1"/>
    <col min="45" max="65" width="10.83203125" hidden="1" customWidth="1"/>
    <col min="66" max="71" width="10.83203125" style="47" customWidth="1"/>
    <col min="72" max="92" width="10.83203125" hidden="1" customWidth="1"/>
    <col min="93" max="98" width="10.83203125" style="47" customWidth="1"/>
    <col min="99" max="100" width="10.83203125" style="47"/>
    <col min="101" max="120" width="10.83203125" hidden="1" customWidth="1"/>
    <col min="121" max="126" width="10.83203125" style="47" customWidth="1"/>
    <col min="127" max="146" width="10.83203125" hidden="1" customWidth="1"/>
    <col min="147" max="152" width="10.83203125" style="47" customWidth="1"/>
    <col min="153" max="172" width="10.83203125" hidden="1" customWidth="1"/>
    <col min="173" max="178" width="10.83203125" style="47" customWidth="1"/>
    <col min="179" max="198" width="10.83203125" hidden="1" customWidth="1"/>
    <col min="199" max="204" width="10.83203125" style="47" customWidth="1"/>
    <col min="205" max="224" width="10.83203125" hidden="1" customWidth="1"/>
    <col min="225" max="230" width="10.83203125" style="47" customWidth="1"/>
    <col min="231" max="250" width="10.83203125" hidden="1" customWidth="1"/>
    <col min="251" max="256" width="10.83203125" style="47" hidden="1" customWidth="1"/>
    <col min="257" max="276" width="10.83203125" hidden="1" customWidth="1"/>
    <col min="277" max="282" width="10.83203125" style="47" hidden="1" customWidth="1"/>
    <col min="283" max="302" width="10.83203125" hidden="1" customWidth="1"/>
    <col min="303" max="308" width="10.83203125" style="47" hidden="1" customWidth="1"/>
    <col min="309" max="328" width="10.83203125" hidden="1" customWidth="1"/>
    <col min="329" max="334" width="10.83203125" style="47" hidden="1" customWidth="1"/>
    <col min="335" max="354" width="10.83203125" hidden="1" customWidth="1"/>
    <col min="355" max="360" width="10.83203125" style="47" hidden="1" customWidth="1"/>
    <col min="361" max="380" width="10.83203125" hidden="1" customWidth="1"/>
    <col min="381" max="386" width="10.83203125" style="47" hidden="1" customWidth="1"/>
    <col min="387" max="406" width="10.83203125" hidden="1" customWidth="1"/>
    <col min="407" max="412" width="10.83203125" style="47" hidden="1" customWidth="1"/>
    <col min="413" max="433" width="10.83203125" hidden="1" customWidth="1"/>
    <col min="434" max="439" width="10.83203125" style="47" hidden="1" customWidth="1"/>
  </cols>
  <sheetData>
    <row r="1" spans="1:439" ht="16" customHeight="1" x14ac:dyDescent="0.2">
      <c r="A1" s="73" t="s">
        <v>1</v>
      </c>
      <c r="B1" s="73" t="s">
        <v>21</v>
      </c>
      <c r="C1" s="73" t="s">
        <v>0</v>
      </c>
      <c r="D1" s="73" t="s">
        <v>46</v>
      </c>
      <c r="E1" s="73" t="s">
        <v>2</v>
      </c>
      <c r="F1" s="74" t="s">
        <v>52</v>
      </c>
      <c r="G1" s="74" t="s">
        <v>5</v>
      </c>
      <c r="H1" s="73" t="s">
        <v>6</v>
      </c>
      <c r="I1" s="78" t="s">
        <v>69</v>
      </c>
      <c r="J1" s="75" t="s">
        <v>24</v>
      </c>
      <c r="K1" s="78" t="s">
        <v>70</v>
      </c>
      <c r="L1" s="75" t="s">
        <v>24</v>
      </c>
      <c r="M1" s="75" t="s">
        <v>9</v>
      </c>
      <c r="N1" s="75" t="s">
        <v>24</v>
      </c>
      <c r="O1" s="76" t="s">
        <v>10</v>
      </c>
      <c r="P1" s="75" t="s">
        <v>25</v>
      </c>
      <c r="Q1" s="75" t="s">
        <v>24</v>
      </c>
      <c r="R1" s="70" t="s">
        <v>90</v>
      </c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2" t="s">
        <v>94</v>
      </c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0" t="s">
        <v>107</v>
      </c>
      <c r="BU1" s="70"/>
      <c r="BV1" s="70"/>
      <c r="BW1" s="70"/>
      <c r="BX1" s="70"/>
      <c r="BY1" s="70"/>
      <c r="BZ1" s="70"/>
      <c r="CA1" s="70"/>
      <c r="CB1" s="70"/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7" t="s">
        <v>51</v>
      </c>
      <c r="CV1" s="77"/>
      <c r="CW1" s="70" t="s">
        <v>84</v>
      </c>
      <c r="CX1" s="70"/>
      <c r="CY1" s="70"/>
      <c r="CZ1" s="70"/>
      <c r="DA1" s="70"/>
      <c r="DB1" s="70"/>
      <c r="DC1" s="70"/>
      <c r="DD1" s="70"/>
      <c r="DE1" s="70"/>
      <c r="DF1" s="70"/>
      <c r="DG1" s="70"/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2" t="s">
        <v>93</v>
      </c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0" t="s">
        <v>92</v>
      </c>
      <c r="EX1" s="70"/>
      <c r="EY1" s="70"/>
      <c r="EZ1" s="70"/>
      <c r="FA1" s="70"/>
      <c r="FB1" s="70"/>
      <c r="FC1" s="70"/>
      <c r="FD1" s="70"/>
      <c r="FE1" s="70"/>
      <c r="FF1" s="70"/>
      <c r="FG1" s="70"/>
      <c r="FH1" s="70"/>
      <c r="FI1" s="70"/>
      <c r="FJ1" s="70"/>
      <c r="FK1" s="70"/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2" t="s">
        <v>109</v>
      </c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2"/>
      <c r="GU1" s="72"/>
      <c r="GV1" s="72"/>
      <c r="GW1" s="70" t="s">
        <v>111</v>
      </c>
      <c r="GX1" s="70"/>
      <c r="GY1" s="70"/>
      <c r="GZ1" s="70"/>
      <c r="HA1" s="70"/>
      <c r="HB1" s="70"/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70"/>
      <c r="HO1" s="70"/>
      <c r="HP1" s="70"/>
      <c r="HQ1" s="70"/>
      <c r="HR1" s="70"/>
      <c r="HS1" s="70"/>
      <c r="HT1" s="70"/>
      <c r="HU1" s="70"/>
      <c r="HV1" s="70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2"/>
      <c r="IR1" s="72"/>
      <c r="IS1" s="72"/>
      <c r="IT1" s="72"/>
      <c r="IU1" s="72"/>
      <c r="IV1" s="72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0"/>
      <c r="JQ1" s="70"/>
      <c r="JR1" s="70"/>
      <c r="JS1" s="70"/>
      <c r="JT1" s="70"/>
      <c r="JU1" s="70"/>
      <c r="JV1" s="70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0"/>
      <c r="KX1" s="70"/>
      <c r="KY1" s="70"/>
      <c r="KZ1" s="70"/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70"/>
      <c r="LW1" s="72"/>
      <c r="LX1" s="72"/>
      <c r="LY1" s="72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0"/>
      <c r="MX1" s="70"/>
      <c r="MY1" s="70"/>
      <c r="MZ1" s="70"/>
      <c r="NA1" s="70"/>
      <c r="NB1" s="70"/>
      <c r="NC1" s="70"/>
      <c r="ND1" s="70"/>
      <c r="NE1" s="70"/>
      <c r="NF1" s="70"/>
      <c r="NG1" s="70"/>
      <c r="NH1" s="70"/>
      <c r="NI1" s="70"/>
      <c r="NJ1" s="70"/>
      <c r="NK1" s="70"/>
      <c r="NL1" s="70"/>
      <c r="NM1" s="70"/>
      <c r="NN1" s="70"/>
      <c r="NO1" s="70"/>
      <c r="NP1" s="70"/>
      <c r="NQ1" s="70"/>
      <c r="NR1" s="70"/>
      <c r="NS1" s="70"/>
      <c r="NT1" s="70"/>
      <c r="NU1" s="70"/>
      <c r="NV1" s="70"/>
      <c r="NW1" s="72"/>
      <c r="NX1" s="72"/>
      <c r="NY1" s="72"/>
      <c r="NZ1" s="72"/>
      <c r="OA1" s="72"/>
      <c r="OB1" s="72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0" t="s">
        <v>55</v>
      </c>
      <c r="OX1" s="70"/>
      <c r="OY1" s="70"/>
      <c r="OZ1" s="70"/>
      <c r="PA1" s="70"/>
      <c r="PB1" s="70"/>
      <c r="PC1" s="70"/>
      <c r="PD1" s="70"/>
      <c r="PE1" s="70"/>
      <c r="PF1" s="70"/>
      <c r="PG1" s="70"/>
      <c r="PH1" s="70"/>
      <c r="PI1" s="70"/>
      <c r="PJ1" s="70"/>
      <c r="PK1" s="70"/>
      <c r="PL1" s="70"/>
      <c r="PM1" s="70"/>
      <c r="PN1" s="70"/>
      <c r="PO1" s="70"/>
      <c r="PP1" s="70"/>
      <c r="PQ1" s="70"/>
      <c r="PR1" s="70"/>
      <c r="PS1" s="70"/>
      <c r="PT1" s="70"/>
      <c r="PU1" s="70"/>
      <c r="PV1" s="70"/>
      <c r="PW1" s="70"/>
    </row>
    <row r="2" spans="1:439" x14ac:dyDescent="0.2">
      <c r="A2" s="73"/>
      <c r="B2" s="73"/>
      <c r="C2" s="73"/>
      <c r="D2" s="73"/>
      <c r="E2" s="73"/>
      <c r="F2" s="74"/>
      <c r="G2" s="74"/>
      <c r="H2" s="73"/>
      <c r="I2" s="78"/>
      <c r="J2" s="75"/>
      <c r="K2" s="78"/>
      <c r="L2" s="75"/>
      <c r="M2" s="75"/>
      <c r="N2" s="75"/>
      <c r="O2" s="76"/>
      <c r="P2" s="75"/>
      <c r="Q2" s="75"/>
      <c r="R2" s="69" t="s">
        <v>71</v>
      </c>
      <c r="S2" s="69"/>
      <c r="T2" s="69"/>
      <c r="U2" s="69"/>
      <c r="V2" s="69" t="s">
        <v>72</v>
      </c>
      <c r="W2" s="69"/>
      <c r="X2" s="69"/>
      <c r="Y2" s="69"/>
      <c r="Z2" s="69" t="s">
        <v>73</v>
      </c>
      <c r="AA2" s="69"/>
      <c r="AB2" s="69"/>
      <c r="AC2" s="69"/>
      <c r="AD2" s="69" t="s">
        <v>74</v>
      </c>
      <c r="AE2" s="69"/>
      <c r="AF2" s="69"/>
      <c r="AG2" s="69"/>
      <c r="AH2" s="79" t="s">
        <v>75</v>
      </c>
      <c r="AI2" s="79"/>
      <c r="AJ2" s="79"/>
      <c r="AK2" s="79"/>
      <c r="AL2" s="16"/>
      <c r="AM2" s="16" t="s">
        <v>76</v>
      </c>
      <c r="AN2" s="16" t="s">
        <v>77</v>
      </c>
      <c r="AO2" s="16" t="s">
        <v>73</v>
      </c>
      <c r="AP2" s="16" t="s">
        <v>56</v>
      </c>
      <c r="AQ2" s="16" t="s">
        <v>78</v>
      </c>
      <c r="AR2" s="16" t="s">
        <v>14</v>
      </c>
      <c r="AS2" s="71" t="s">
        <v>71</v>
      </c>
      <c r="AT2" s="71"/>
      <c r="AU2" s="71"/>
      <c r="AV2" s="71"/>
      <c r="AW2" s="71" t="s">
        <v>72</v>
      </c>
      <c r="AX2" s="71"/>
      <c r="AY2" s="71"/>
      <c r="AZ2" s="71"/>
      <c r="BA2" s="71" t="s">
        <v>73</v>
      </c>
      <c r="BB2" s="71"/>
      <c r="BC2" s="71"/>
      <c r="BD2" s="71"/>
      <c r="BE2" s="71" t="s">
        <v>74</v>
      </c>
      <c r="BF2" s="71"/>
      <c r="BG2" s="71"/>
      <c r="BH2" s="71"/>
      <c r="BI2" s="80" t="s">
        <v>75</v>
      </c>
      <c r="BJ2" s="80"/>
      <c r="BK2" s="80"/>
      <c r="BL2" s="80"/>
      <c r="BM2" s="17"/>
      <c r="BN2" s="17" t="s">
        <v>76</v>
      </c>
      <c r="BO2" s="17" t="s">
        <v>77</v>
      </c>
      <c r="BP2" s="17" t="s">
        <v>73</v>
      </c>
      <c r="BQ2" s="17" t="s">
        <v>56</v>
      </c>
      <c r="BR2" s="17" t="s">
        <v>78</v>
      </c>
      <c r="BS2" s="17" t="s">
        <v>14</v>
      </c>
      <c r="BT2" s="69" t="s">
        <v>71</v>
      </c>
      <c r="BU2" s="69"/>
      <c r="BV2" s="69"/>
      <c r="BW2" s="69"/>
      <c r="BX2" s="69" t="s">
        <v>72</v>
      </c>
      <c r="BY2" s="69"/>
      <c r="BZ2" s="69"/>
      <c r="CA2" s="69"/>
      <c r="CB2" s="69" t="s">
        <v>73</v>
      </c>
      <c r="CC2" s="69"/>
      <c r="CD2" s="69"/>
      <c r="CE2" s="69"/>
      <c r="CF2" s="69" t="s">
        <v>74</v>
      </c>
      <c r="CG2" s="69"/>
      <c r="CH2" s="69"/>
      <c r="CI2" s="69"/>
      <c r="CJ2" s="79" t="s">
        <v>75</v>
      </c>
      <c r="CK2" s="79"/>
      <c r="CL2" s="79"/>
      <c r="CM2" s="79"/>
      <c r="CN2" s="16"/>
      <c r="CO2" s="16" t="s">
        <v>76</v>
      </c>
      <c r="CP2" s="16" t="s">
        <v>77</v>
      </c>
      <c r="CQ2" s="16" t="s">
        <v>73</v>
      </c>
      <c r="CR2" s="16" t="s">
        <v>56</v>
      </c>
      <c r="CS2" s="16" t="s">
        <v>78</v>
      </c>
      <c r="CT2" s="16" t="s">
        <v>14</v>
      </c>
      <c r="CU2" s="54" t="s">
        <v>77</v>
      </c>
      <c r="CV2" s="54" t="s">
        <v>19</v>
      </c>
      <c r="CW2" s="69" t="s">
        <v>71</v>
      </c>
      <c r="CX2" s="69"/>
      <c r="CY2" s="69"/>
      <c r="CZ2" s="69"/>
      <c r="DA2" s="69" t="s">
        <v>72</v>
      </c>
      <c r="DB2" s="69"/>
      <c r="DC2" s="69"/>
      <c r="DD2" s="69"/>
      <c r="DE2" s="69" t="s">
        <v>73</v>
      </c>
      <c r="DF2" s="69"/>
      <c r="DG2" s="69"/>
      <c r="DH2" s="69"/>
      <c r="DI2" s="69" t="s">
        <v>74</v>
      </c>
      <c r="DJ2" s="69"/>
      <c r="DK2" s="69"/>
      <c r="DL2" s="69"/>
      <c r="DM2" s="81" t="s">
        <v>75</v>
      </c>
      <c r="DN2" s="81"/>
      <c r="DO2" s="81"/>
      <c r="DP2" s="81"/>
      <c r="DQ2" s="16" t="s">
        <v>76</v>
      </c>
      <c r="DR2" s="16" t="s">
        <v>77</v>
      </c>
      <c r="DS2" s="16" t="s">
        <v>73</v>
      </c>
      <c r="DT2" s="16" t="s">
        <v>56</v>
      </c>
      <c r="DU2" s="16" t="s">
        <v>78</v>
      </c>
      <c r="DV2" s="16" t="s">
        <v>14</v>
      </c>
      <c r="DW2" s="71" t="s">
        <v>71</v>
      </c>
      <c r="DX2" s="71"/>
      <c r="DY2" s="71"/>
      <c r="DZ2" s="71"/>
      <c r="EA2" s="71" t="s">
        <v>72</v>
      </c>
      <c r="EB2" s="71"/>
      <c r="EC2" s="71"/>
      <c r="ED2" s="71"/>
      <c r="EE2" s="71" t="s">
        <v>73</v>
      </c>
      <c r="EF2" s="71"/>
      <c r="EG2" s="71"/>
      <c r="EH2" s="71"/>
      <c r="EI2" s="71" t="s">
        <v>74</v>
      </c>
      <c r="EJ2" s="71"/>
      <c r="EK2" s="71"/>
      <c r="EL2" s="71"/>
      <c r="EM2" s="80" t="s">
        <v>75</v>
      </c>
      <c r="EN2" s="80"/>
      <c r="EO2" s="80"/>
      <c r="EP2" s="80"/>
      <c r="EQ2" s="17" t="s">
        <v>76</v>
      </c>
      <c r="ER2" s="17" t="s">
        <v>77</v>
      </c>
      <c r="ES2" s="17" t="s">
        <v>73</v>
      </c>
      <c r="ET2" s="17" t="s">
        <v>56</v>
      </c>
      <c r="EU2" s="17" t="s">
        <v>78</v>
      </c>
      <c r="EV2" s="17" t="s">
        <v>14</v>
      </c>
      <c r="EW2" s="69" t="s">
        <v>71</v>
      </c>
      <c r="EX2" s="69"/>
      <c r="EY2" s="69"/>
      <c r="EZ2" s="69"/>
      <c r="FA2" s="69" t="s">
        <v>72</v>
      </c>
      <c r="FB2" s="69"/>
      <c r="FC2" s="69"/>
      <c r="FD2" s="69"/>
      <c r="FE2" s="69" t="s">
        <v>73</v>
      </c>
      <c r="FF2" s="69"/>
      <c r="FG2" s="69"/>
      <c r="FH2" s="69"/>
      <c r="FI2" s="69" t="s">
        <v>74</v>
      </c>
      <c r="FJ2" s="69"/>
      <c r="FK2" s="69"/>
      <c r="FL2" s="69"/>
      <c r="FM2" s="81" t="s">
        <v>75</v>
      </c>
      <c r="FN2" s="81"/>
      <c r="FO2" s="81"/>
      <c r="FP2" s="81"/>
      <c r="FQ2" s="16" t="s">
        <v>76</v>
      </c>
      <c r="FR2" s="16" t="s">
        <v>77</v>
      </c>
      <c r="FS2" s="16" t="s">
        <v>73</v>
      </c>
      <c r="FT2" s="16" t="s">
        <v>56</v>
      </c>
      <c r="FU2" s="16" t="s">
        <v>78</v>
      </c>
      <c r="FV2" s="16" t="s">
        <v>14</v>
      </c>
      <c r="FW2" s="71" t="s">
        <v>71</v>
      </c>
      <c r="FX2" s="71"/>
      <c r="FY2" s="71"/>
      <c r="FZ2" s="71"/>
      <c r="GA2" s="71" t="s">
        <v>72</v>
      </c>
      <c r="GB2" s="71"/>
      <c r="GC2" s="71"/>
      <c r="GD2" s="71"/>
      <c r="GE2" s="71" t="s">
        <v>73</v>
      </c>
      <c r="GF2" s="71"/>
      <c r="GG2" s="71"/>
      <c r="GH2" s="71"/>
      <c r="GI2" s="71" t="s">
        <v>74</v>
      </c>
      <c r="GJ2" s="71"/>
      <c r="GK2" s="71"/>
      <c r="GL2" s="71"/>
      <c r="GM2" s="80" t="s">
        <v>75</v>
      </c>
      <c r="GN2" s="80"/>
      <c r="GO2" s="80"/>
      <c r="GP2" s="80"/>
      <c r="GQ2" s="17" t="s">
        <v>76</v>
      </c>
      <c r="GR2" s="17" t="s">
        <v>77</v>
      </c>
      <c r="GS2" s="17" t="s">
        <v>73</v>
      </c>
      <c r="GT2" s="17" t="s">
        <v>56</v>
      </c>
      <c r="GU2" s="17" t="s">
        <v>78</v>
      </c>
      <c r="GV2" s="17" t="s">
        <v>14</v>
      </c>
      <c r="GW2" s="69" t="s">
        <v>71</v>
      </c>
      <c r="GX2" s="69"/>
      <c r="GY2" s="69"/>
      <c r="GZ2" s="69"/>
      <c r="HA2" s="69" t="s">
        <v>72</v>
      </c>
      <c r="HB2" s="69"/>
      <c r="HC2" s="69"/>
      <c r="HD2" s="69"/>
      <c r="HE2" s="69" t="s">
        <v>73</v>
      </c>
      <c r="HF2" s="69"/>
      <c r="HG2" s="69"/>
      <c r="HH2" s="69"/>
      <c r="HI2" s="69" t="s">
        <v>74</v>
      </c>
      <c r="HJ2" s="69"/>
      <c r="HK2" s="69"/>
      <c r="HL2" s="69"/>
      <c r="HM2" s="81" t="s">
        <v>75</v>
      </c>
      <c r="HN2" s="81"/>
      <c r="HO2" s="81"/>
      <c r="HP2" s="81"/>
      <c r="HQ2" s="16" t="s">
        <v>76</v>
      </c>
      <c r="HR2" s="16" t="s">
        <v>77</v>
      </c>
      <c r="HS2" s="16" t="s">
        <v>73</v>
      </c>
      <c r="HT2" s="16" t="s">
        <v>56</v>
      </c>
      <c r="HU2" s="16" t="s">
        <v>78</v>
      </c>
      <c r="HV2" s="16" t="s">
        <v>14</v>
      </c>
      <c r="HW2" s="71" t="s">
        <v>71</v>
      </c>
      <c r="HX2" s="71"/>
      <c r="HY2" s="71"/>
      <c r="HZ2" s="71"/>
      <c r="IA2" s="71" t="s">
        <v>72</v>
      </c>
      <c r="IB2" s="71"/>
      <c r="IC2" s="71"/>
      <c r="ID2" s="71"/>
      <c r="IE2" s="71" t="s">
        <v>73</v>
      </c>
      <c r="IF2" s="71"/>
      <c r="IG2" s="71"/>
      <c r="IH2" s="71"/>
      <c r="II2" s="71" t="s">
        <v>74</v>
      </c>
      <c r="IJ2" s="71"/>
      <c r="IK2" s="71"/>
      <c r="IL2" s="71"/>
      <c r="IM2" s="80" t="s">
        <v>75</v>
      </c>
      <c r="IN2" s="80"/>
      <c r="IO2" s="80"/>
      <c r="IP2" s="80"/>
      <c r="IQ2" s="17" t="s">
        <v>76</v>
      </c>
      <c r="IR2" s="17" t="s">
        <v>77</v>
      </c>
      <c r="IS2" s="17" t="s">
        <v>73</v>
      </c>
      <c r="IT2" s="17" t="s">
        <v>56</v>
      </c>
      <c r="IU2" s="17" t="s">
        <v>78</v>
      </c>
      <c r="IV2" s="17" t="s">
        <v>14</v>
      </c>
      <c r="IW2" s="69" t="s">
        <v>71</v>
      </c>
      <c r="IX2" s="69"/>
      <c r="IY2" s="69"/>
      <c r="IZ2" s="69"/>
      <c r="JA2" s="69" t="s">
        <v>72</v>
      </c>
      <c r="JB2" s="69"/>
      <c r="JC2" s="69"/>
      <c r="JD2" s="69"/>
      <c r="JE2" s="69" t="s">
        <v>73</v>
      </c>
      <c r="JF2" s="69"/>
      <c r="JG2" s="69"/>
      <c r="JH2" s="69"/>
      <c r="JI2" s="69" t="s">
        <v>74</v>
      </c>
      <c r="JJ2" s="69"/>
      <c r="JK2" s="69"/>
      <c r="JL2" s="69"/>
      <c r="JM2" s="81" t="s">
        <v>75</v>
      </c>
      <c r="JN2" s="81"/>
      <c r="JO2" s="81"/>
      <c r="JP2" s="81"/>
      <c r="JQ2" s="16" t="s">
        <v>76</v>
      </c>
      <c r="JR2" s="16" t="s">
        <v>77</v>
      </c>
      <c r="JS2" s="16" t="s">
        <v>73</v>
      </c>
      <c r="JT2" s="16" t="s">
        <v>56</v>
      </c>
      <c r="JU2" s="16" t="s">
        <v>78</v>
      </c>
      <c r="JV2" s="16" t="s">
        <v>14</v>
      </c>
      <c r="JW2" s="71" t="s">
        <v>71</v>
      </c>
      <c r="JX2" s="71"/>
      <c r="JY2" s="71"/>
      <c r="JZ2" s="71"/>
      <c r="KA2" s="71" t="s">
        <v>72</v>
      </c>
      <c r="KB2" s="71"/>
      <c r="KC2" s="71"/>
      <c r="KD2" s="71"/>
      <c r="KE2" s="71" t="s">
        <v>73</v>
      </c>
      <c r="KF2" s="71"/>
      <c r="KG2" s="71"/>
      <c r="KH2" s="71"/>
      <c r="KI2" s="71" t="s">
        <v>74</v>
      </c>
      <c r="KJ2" s="71"/>
      <c r="KK2" s="71"/>
      <c r="KL2" s="71"/>
      <c r="KM2" s="80" t="s">
        <v>75</v>
      </c>
      <c r="KN2" s="80"/>
      <c r="KO2" s="80"/>
      <c r="KP2" s="80"/>
      <c r="KQ2" s="17" t="s">
        <v>76</v>
      </c>
      <c r="KR2" s="17" t="s">
        <v>77</v>
      </c>
      <c r="KS2" s="17" t="s">
        <v>73</v>
      </c>
      <c r="KT2" s="17" t="s">
        <v>56</v>
      </c>
      <c r="KU2" s="17" t="s">
        <v>78</v>
      </c>
      <c r="KV2" s="17" t="s">
        <v>14</v>
      </c>
      <c r="KW2" s="69" t="s">
        <v>71</v>
      </c>
      <c r="KX2" s="69"/>
      <c r="KY2" s="69"/>
      <c r="KZ2" s="69"/>
      <c r="LA2" s="69" t="s">
        <v>72</v>
      </c>
      <c r="LB2" s="69"/>
      <c r="LC2" s="69"/>
      <c r="LD2" s="69"/>
      <c r="LE2" s="69" t="s">
        <v>73</v>
      </c>
      <c r="LF2" s="69"/>
      <c r="LG2" s="69"/>
      <c r="LH2" s="69"/>
      <c r="LI2" s="69" t="s">
        <v>74</v>
      </c>
      <c r="LJ2" s="69"/>
      <c r="LK2" s="69"/>
      <c r="LL2" s="69"/>
      <c r="LM2" s="81" t="s">
        <v>75</v>
      </c>
      <c r="LN2" s="81"/>
      <c r="LO2" s="81"/>
      <c r="LP2" s="81"/>
      <c r="LQ2" s="16" t="s">
        <v>76</v>
      </c>
      <c r="LR2" s="16" t="s">
        <v>77</v>
      </c>
      <c r="LS2" s="16" t="s">
        <v>73</v>
      </c>
      <c r="LT2" s="16" t="s">
        <v>56</v>
      </c>
      <c r="LU2" s="16" t="s">
        <v>78</v>
      </c>
      <c r="LV2" s="16" t="s">
        <v>14</v>
      </c>
      <c r="LW2" s="71" t="s">
        <v>71</v>
      </c>
      <c r="LX2" s="71"/>
      <c r="LY2" s="71"/>
      <c r="LZ2" s="71"/>
      <c r="MA2" s="71" t="s">
        <v>72</v>
      </c>
      <c r="MB2" s="71"/>
      <c r="MC2" s="71"/>
      <c r="MD2" s="71"/>
      <c r="ME2" s="71" t="s">
        <v>73</v>
      </c>
      <c r="MF2" s="71"/>
      <c r="MG2" s="71"/>
      <c r="MH2" s="71"/>
      <c r="MI2" s="71" t="s">
        <v>74</v>
      </c>
      <c r="MJ2" s="71"/>
      <c r="MK2" s="71"/>
      <c r="ML2" s="71"/>
      <c r="MM2" s="80" t="s">
        <v>75</v>
      </c>
      <c r="MN2" s="80"/>
      <c r="MO2" s="80"/>
      <c r="MP2" s="80"/>
      <c r="MQ2" s="17" t="s">
        <v>76</v>
      </c>
      <c r="MR2" s="17" t="s">
        <v>77</v>
      </c>
      <c r="MS2" s="17" t="s">
        <v>73</v>
      </c>
      <c r="MT2" s="17" t="s">
        <v>56</v>
      </c>
      <c r="MU2" s="17" t="s">
        <v>78</v>
      </c>
      <c r="MV2" s="17" t="s">
        <v>14</v>
      </c>
      <c r="MW2" s="69" t="s">
        <v>71</v>
      </c>
      <c r="MX2" s="69"/>
      <c r="MY2" s="69"/>
      <c r="MZ2" s="69"/>
      <c r="NA2" s="69" t="s">
        <v>72</v>
      </c>
      <c r="NB2" s="69"/>
      <c r="NC2" s="69"/>
      <c r="ND2" s="69"/>
      <c r="NE2" s="69" t="s">
        <v>73</v>
      </c>
      <c r="NF2" s="69"/>
      <c r="NG2" s="69"/>
      <c r="NH2" s="69"/>
      <c r="NI2" s="69" t="s">
        <v>74</v>
      </c>
      <c r="NJ2" s="69"/>
      <c r="NK2" s="69"/>
      <c r="NL2" s="69"/>
      <c r="NM2" s="81" t="s">
        <v>75</v>
      </c>
      <c r="NN2" s="81"/>
      <c r="NO2" s="81"/>
      <c r="NP2" s="81"/>
      <c r="NQ2" s="16" t="s">
        <v>76</v>
      </c>
      <c r="NR2" s="16" t="s">
        <v>77</v>
      </c>
      <c r="NS2" s="16" t="s">
        <v>73</v>
      </c>
      <c r="NT2" s="16" t="s">
        <v>56</v>
      </c>
      <c r="NU2" s="16" t="s">
        <v>78</v>
      </c>
      <c r="NV2" s="16" t="s">
        <v>14</v>
      </c>
      <c r="NW2" s="71" t="s">
        <v>71</v>
      </c>
      <c r="NX2" s="71"/>
      <c r="NY2" s="71"/>
      <c r="NZ2" s="71"/>
      <c r="OA2" s="71" t="s">
        <v>72</v>
      </c>
      <c r="OB2" s="71"/>
      <c r="OC2" s="71"/>
      <c r="OD2" s="71"/>
      <c r="OE2" s="71" t="s">
        <v>73</v>
      </c>
      <c r="OF2" s="71"/>
      <c r="OG2" s="71"/>
      <c r="OH2" s="71"/>
      <c r="OI2" s="71" t="s">
        <v>74</v>
      </c>
      <c r="OJ2" s="71"/>
      <c r="OK2" s="71"/>
      <c r="OL2" s="71"/>
      <c r="OM2" s="80" t="s">
        <v>75</v>
      </c>
      <c r="ON2" s="80"/>
      <c r="OO2" s="80"/>
      <c r="OP2" s="80"/>
      <c r="OQ2" s="17" t="s">
        <v>76</v>
      </c>
      <c r="OR2" s="17" t="s">
        <v>77</v>
      </c>
      <c r="OS2" s="17" t="s">
        <v>73</v>
      </c>
      <c r="OT2" s="17" t="s">
        <v>56</v>
      </c>
      <c r="OU2" s="17" t="s">
        <v>78</v>
      </c>
      <c r="OV2" s="17" t="s">
        <v>14</v>
      </c>
      <c r="OW2" s="69" t="s">
        <v>71</v>
      </c>
      <c r="OX2" s="69"/>
      <c r="OY2" s="69"/>
      <c r="OZ2" s="69"/>
      <c r="PA2" s="69" t="s">
        <v>72</v>
      </c>
      <c r="PB2" s="69"/>
      <c r="PC2" s="69"/>
      <c r="PD2" s="69"/>
      <c r="PE2" s="69" t="s">
        <v>73</v>
      </c>
      <c r="PF2" s="69"/>
      <c r="PG2" s="69"/>
      <c r="PH2" s="69"/>
      <c r="PI2" s="69" t="s">
        <v>74</v>
      </c>
      <c r="PJ2" s="69"/>
      <c r="PK2" s="69"/>
      <c r="PL2" s="69"/>
      <c r="PM2" s="79" t="s">
        <v>75</v>
      </c>
      <c r="PN2" s="79"/>
      <c r="PO2" s="79"/>
      <c r="PP2" s="79"/>
      <c r="PQ2" s="16"/>
      <c r="PR2" s="16" t="s">
        <v>76</v>
      </c>
      <c r="PS2" s="16" t="s">
        <v>77</v>
      </c>
      <c r="PT2" s="16" t="s">
        <v>73</v>
      </c>
      <c r="PU2" s="16" t="s">
        <v>56</v>
      </c>
      <c r="PV2" s="16" t="s">
        <v>78</v>
      </c>
      <c r="PW2" s="16" t="s">
        <v>14</v>
      </c>
    </row>
    <row r="3" spans="1:439" x14ac:dyDescent="0.2">
      <c r="A3" s="73"/>
      <c r="B3" s="73"/>
      <c r="C3" s="73"/>
      <c r="D3" s="73"/>
      <c r="E3" s="73"/>
      <c r="F3" s="74"/>
      <c r="G3" s="74"/>
      <c r="H3" s="73"/>
      <c r="I3" s="78"/>
      <c r="J3" s="75"/>
      <c r="K3" s="78"/>
      <c r="L3" s="75"/>
      <c r="M3" s="75"/>
      <c r="N3" s="75"/>
      <c r="O3" s="76"/>
      <c r="P3" s="75"/>
      <c r="Q3" s="75"/>
      <c r="R3" s="16" t="s">
        <v>11</v>
      </c>
      <c r="S3" s="16" t="s">
        <v>4</v>
      </c>
      <c r="T3" s="16" t="s">
        <v>22</v>
      </c>
      <c r="U3" s="16" t="s">
        <v>23</v>
      </c>
      <c r="V3" s="16" t="s">
        <v>11</v>
      </c>
      <c r="W3" s="16" t="s">
        <v>4</v>
      </c>
      <c r="X3" s="16" t="s">
        <v>22</v>
      </c>
      <c r="Y3" s="16" t="s">
        <v>23</v>
      </c>
      <c r="Z3" s="16" t="s">
        <v>11</v>
      </c>
      <c r="AA3" s="16" t="s">
        <v>4</v>
      </c>
      <c r="AB3" s="16" t="s">
        <v>22</v>
      </c>
      <c r="AC3" s="16" t="s">
        <v>23</v>
      </c>
      <c r="AD3" s="16" t="s">
        <v>11</v>
      </c>
      <c r="AE3" s="16" t="s">
        <v>4</v>
      </c>
      <c r="AF3" s="16" t="s">
        <v>22</v>
      </c>
      <c r="AG3" s="16" t="s">
        <v>23</v>
      </c>
      <c r="AH3" s="51" t="s">
        <v>11</v>
      </c>
      <c r="AI3" s="51" t="s">
        <v>4</v>
      </c>
      <c r="AJ3" s="51" t="s">
        <v>22</v>
      </c>
      <c r="AK3" s="51" t="s">
        <v>23</v>
      </c>
      <c r="AL3" s="16" t="s">
        <v>43</v>
      </c>
      <c r="AM3" s="16"/>
      <c r="AN3" s="16"/>
      <c r="AO3" s="16"/>
      <c r="AP3" s="16"/>
      <c r="AQ3" s="16"/>
      <c r="AR3" s="16"/>
      <c r="AS3" s="17" t="s">
        <v>11</v>
      </c>
      <c r="AT3" s="17" t="s">
        <v>4</v>
      </c>
      <c r="AU3" s="17" t="s">
        <v>22</v>
      </c>
      <c r="AV3" s="17" t="s">
        <v>23</v>
      </c>
      <c r="AW3" s="17" t="s">
        <v>11</v>
      </c>
      <c r="AX3" s="17" t="s">
        <v>4</v>
      </c>
      <c r="AY3" s="17" t="s">
        <v>22</v>
      </c>
      <c r="AZ3" s="17" t="s">
        <v>23</v>
      </c>
      <c r="BA3" s="17" t="s">
        <v>11</v>
      </c>
      <c r="BB3" s="17" t="s">
        <v>4</v>
      </c>
      <c r="BC3" s="17" t="s">
        <v>22</v>
      </c>
      <c r="BD3" s="17" t="s">
        <v>23</v>
      </c>
      <c r="BE3" s="17" t="s">
        <v>11</v>
      </c>
      <c r="BF3" s="17" t="s">
        <v>4</v>
      </c>
      <c r="BG3" s="17" t="s">
        <v>22</v>
      </c>
      <c r="BH3" s="17" t="s">
        <v>23</v>
      </c>
      <c r="BI3" s="53" t="s">
        <v>11</v>
      </c>
      <c r="BJ3" s="53" t="s">
        <v>4</v>
      </c>
      <c r="BK3" s="53" t="s">
        <v>22</v>
      </c>
      <c r="BL3" s="53" t="s">
        <v>23</v>
      </c>
      <c r="BM3" s="17" t="s">
        <v>43</v>
      </c>
      <c r="BN3" s="17"/>
      <c r="BO3" s="17"/>
      <c r="BP3" s="17"/>
      <c r="BQ3" s="17"/>
      <c r="BR3" s="17"/>
      <c r="BS3" s="17"/>
      <c r="BT3" s="16" t="s">
        <v>11</v>
      </c>
      <c r="BU3" s="16" t="s">
        <v>4</v>
      </c>
      <c r="BV3" s="16" t="s">
        <v>22</v>
      </c>
      <c r="BW3" s="16" t="s">
        <v>23</v>
      </c>
      <c r="BX3" s="16" t="s">
        <v>11</v>
      </c>
      <c r="BY3" s="16" t="s">
        <v>4</v>
      </c>
      <c r="BZ3" s="16" t="s">
        <v>22</v>
      </c>
      <c r="CA3" s="16" t="s">
        <v>23</v>
      </c>
      <c r="CB3" s="16" t="s">
        <v>11</v>
      </c>
      <c r="CC3" s="16" t="s">
        <v>4</v>
      </c>
      <c r="CD3" s="16" t="s">
        <v>22</v>
      </c>
      <c r="CE3" s="16" t="s">
        <v>23</v>
      </c>
      <c r="CF3" s="16" t="s">
        <v>11</v>
      </c>
      <c r="CG3" s="16" t="s">
        <v>4</v>
      </c>
      <c r="CH3" s="16" t="s">
        <v>22</v>
      </c>
      <c r="CI3" s="16" t="s">
        <v>23</v>
      </c>
      <c r="CJ3" s="51" t="s">
        <v>11</v>
      </c>
      <c r="CK3" s="51" t="s">
        <v>4</v>
      </c>
      <c r="CL3" s="51" t="s">
        <v>22</v>
      </c>
      <c r="CM3" s="51" t="s">
        <v>23</v>
      </c>
      <c r="CN3" s="16" t="s">
        <v>43</v>
      </c>
      <c r="CO3" s="16"/>
      <c r="CP3" s="16"/>
      <c r="CQ3" s="16"/>
      <c r="CR3" s="16"/>
      <c r="CS3" s="16"/>
      <c r="CT3" s="16"/>
      <c r="CU3" s="54"/>
      <c r="CV3" s="54"/>
      <c r="CW3" s="16" t="s">
        <v>11</v>
      </c>
      <c r="CX3" s="16" t="s">
        <v>4</v>
      </c>
      <c r="CY3" s="16" t="s">
        <v>22</v>
      </c>
      <c r="CZ3" s="16" t="s">
        <v>23</v>
      </c>
      <c r="DA3" s="16" t="s">
        <v>11</v>
      </c>
      <c r="DB3" s="16" t="s">
        <v>4</v>
      </c>
      <c r="DC3" s="16" t="s">
        <v>22</v>
      </c>
      <c r="DD3" s="16" t="s">
        <v>23</v>
      </c>
      <c r="DE3" s="16" t="s">
        <v>11</v>
      </c>
      <c r="DF3" s="16" t="s">
        <v>4</v>
      </c>
      <c r="DG3" s="16" t="s">
        <v>22</v>
      </c>
      <c r="DH3" s="16" t="s">
        <v>23</v>
      </c>
      <c r="DI3" s="16" t="s">
        <v>11</v>
      </c>
      <c r="DJ3" s="16" t="s">
        <v>4</v>
      </c>
      <c r="DK3" s="16" t="s">
        <v>22</v>
      </c>
      <c r="DL3" s="16" t="s">
        <v>23</v>
      </c>
      <c r="DM3" s="52" t="s">
        <v>11</v>
      </c>
      <c r="DN3" s="52" t="s">
        <v>4</v>
      </c>
      <c r="DO3" s="52" t="s">
        <v>22</v>
      </c>
      <c r="DP3" s="52" t="s">
        <v>23</v>
      </c>
      <c r="DQ3" s="16"/>
      <c r="DR3" s="16"/>
      <c r="DS3" s="16"/>
      <c r="DT3" s="16"/>
      <c r="DU3" s="16"/>
      <c r="DV3" s="16"/>
      <c r="DW3" s="17" t="s">
        <v>11</v>
      </c>
      <c r="DX3" s="17" t="s">
        <v>4</v>
      </c>
      <c r="DY3" s="17" t="s">
        <v>22</v>
      </c>
      <c r="DZ3" s="17" t="s">
        <v>23</v>
      </c>
      <c r="EA3" s="17" t="s">
        <v>11</v>
      </c>
      <c r="EB3" s="17" t="s">
        <v>4</v>
      </c>
      <c r="EC3" s="17" t="s">
        <v>22</v>
      </c>
      <c r="ED3" s="17" t="s">
        <v>23</v>
      </c>
      <c r="EE3" s="17" t="s">
        <v>11</v>
      </c>
      <c r="EF3" s="17" t="s">
        <v>4</v>
      </c>
      <c r="EG3" s="17" t="s">
        <v>22</v>
      </c>
      <c r="EH3" s="17" t="s">
        <v>23</v>
      </c>
      <c r="EI3" s="17" t="s">
        <v>11</v>
      </c>
      <c r="EJ3" s="17" t="s">
        <v>4</v>
      </c>
      <c r="EK3" s="17" t="s">
        <v>22</v>
      </c>
      <c r="EL3" s="17" t="s">
        <v>23</v>
      </c>
      <c r="EM3" s="53" t="s">
        <v>11</v>
      </c>
      <c r="EN3" s="53" t="s">
        <v>4</v>
      </c>
      <c r="EO3" s="53" t="s">
        <v>22</v>
      </c>
      <c r="EP3" s="53" t="s">
        <v>23</v>
      </c>
      <c r="EQ3" s="17"/>
      <c r="ER3" s="17"/>
      <c r="ES3" s="17"/>
      <c r="ET3" s="17"/>
      <c r="EU3" s="17"/>
      <c r="EV3" s="17"/>
      <c r="EW3" s="16" t="s">
        <v>11</v>
      </c>
      <c r="EX3" s="16" t="s">
        <v>4</v>
      </c>
      <c r="EY3" s="16" t="s">
        <v>22</v>
      </c>
      <c r="EZ3" s="16" t="s">
        <v>23</v>
      </c>
      <c r="FA3" s="16" t="s">
        <v>11</v>
      </c>
      <c r="FB3" s="16" t="s">
        <v>4</v>
      </c>
      <c r="FC3" s="16" t="s">
        <v>22</v>
      </c>
      <c r="FD3" s="16" t="s">
        <v>23</v>
      </c>
      <c r="FE3" s="16" t="s">
        <v>11</v>
      </c>
      <c r="FF3" s="16" t="s">
        <v>4</v>
      </c>
      <c r="FG3" s="16" t="s">
        <v>22</v>
      </c>
      <c r="FH3" s="16" t="s">
        <v>23</v>
      </c>
      <c r="FI3" s="16" t="s">
        <v>11</v>
      </c>
      <c r="FJ3" s="16" t="s">
        <v>4</v>
      </c>
      <c r="FK3" s="16" t="s">
        <v>22</v>
      </c>
      <c r="FL3" s="16" t="s">
        <v>23</v>
      </c>
      <c r="FM3" s="52" t="s">
        <v>11</v>
      </c>
      <c r="FN3" s="52" t="s">
        <v>4</v>
      </c>
      <c r="FO3" s="52" t="s">
        <v>22</v>
      </c>
      <c r="FP3" s="52" t="s">
        <v>23</v>
      </c>
      <c r="FQ3" s="16"/>
      <c r="FR3" s="16"/>
      <c r="FS3" s="16"/>
      <c r="FT3" s="16"/>
      <c r="FU3" s="16"/>
      <c r="FV3" s="16"/>
      <c r="FW3" s="17" t="s">
        <v>11</v>
      </c>
      <c r="FX3" s="17" t="s">
        <v>4</v>
      </c>
      <c r="FY3" s="17" t="s">
        <v>22</v>
      </c>
      <c r="FZ3" s="17" t="s">
        <v>23</v>
      </c>
      <c r="GA3" s="17" t="s">
        <v>11</v>
      </c>
      <c r="GB3" s="17" t="s">
        <v>4</v>
      </c>
      <c r="GC3" s="17" t="s">
        <v>22</v>
      </c>
      <c r="GD3" s="17" t="s">
        <v>23</v>
      </c>
      <c r="GE3" s="17" t="s">
        <v>11</v>
      </c>
      <c r="GF3" s="17" t="s">
        <v>4</v>
      </c>
      <c r="GG3" s="17" t="s">
        <v>22</v>
      </c>
      <c r="GH3" s="17" t="s">
        <v>23</v>
      </c>
      <c r="GI3" s="17" t="s">
        <v>11</v>
      </c>
      <c r="GJ3" s="17" t="s">
        <v>4</v>
      </c>
      <c r="GK3" s="17" t="s">
        <v>22</v>
      </c>
      <c r="GL3" s="17" t="s">
        <v>23</v>
      </c>
      <c r="GM3" s="53" t="s">
        <v>11</v>
      </c>
      <c r="GN3" s="53" t="s">
        <v>4</v>
      </c>
      <c r="GO3" s="53" t="s">
        <v>22</v>
      </c>
      <c r="GP3" s="53" t="s">
        <v>23</v>
      </c>
      <c r="GQ3" s="17"/>
      <c r="GR3" s="17"/>
      <c r="GS3" s="17"/>
      <c r="GT3" s="17"/>
      <c r="GU3" s="17"/>
      <c r="GV3" s="17"/>
      <c r="GW3" s="16" t="s">
        <v>11</v>
      </c>
      <c r="GX3" s="16" t="s">
        <v>4</v>
      </c>
      <c r="GY3" s="16" t="s">
        <v>22</v>
      </c>
      <c r="GZ3" s="16" t="s">
        <v>23</v>
      </c>
      <c r="HA3" s="16" t="s">
        <v>11</v>
      </c>
      <c r="HB3" s="16" t="s">
        <v>4</v>
      </c>
      <c r="HC3" s="16" t="s">
        <v>22</v>
      </c>
      <c r="HD3" s="16" t="s">
        <v>23</v>
      </c>
      <c r="HE3" s="16" t="s">
        <v>11</v>
      </c>
      <c r="HF3" s="16" t="s">
        <v>4</v>
      </c>
      <c r="HG3" s="16" t="s">
        <v>22</v>
      </c>
      <c r="HH3" s="16" t="s">
        <v>23</v>
      </c>
      <c r="HI3" s="16" t="s">
        <v>11</v>
      </c>
      <c r="HJ3" s="16" t="s">
        <v>4</v>
      </c>
      <c r="HK3" s="16" t="s">
        <v>22</v>
      </c>
      <c r="HL3" s="16" t="s">
        <v>23</v>
      </c>
      <c r="HM3" s="52" t="s">
        <v>11</v>
      </c>
      <c r="HN3" s="52" t="s">
        <v>4</v>
      </c>
      <c r="HO3" s="52" t="s">
        <v>22</v>
      </c>
      <c r="HP3" s="52" t="s">
        <v>23</v>
      </c>
      <c r="HQ3" s="16"/>
      <c r="HR3" s="16"/>
      <c r="HS3" s="16"/>
      <c r="HT3" s="16"/>
      <c r="HU3" s="16"/>
      <c r="HV3" s="16"/>
      <c r="HW3" s="17" t="s">
        <v>11</v>
      </c>
      <c r="HX3" s="17" t="s">
        <v>4</v>
      </c>
      <c r="HY3" s="17" t="s">
        <v>22</v>
      </c>
      <c r="HZ3" s="17" t="s">
        <v>23</v>
      </c>
      <c r="IA3" s="17" t="s">
        <v>11</v>
      </c>
      <c r="IB3" s="17" t="s">
        <v>4</v>
      </c>
      <c r="IC3" s="17" t="s">
        <v>22</v>
      </c>
      <c r="ID3" s="17" t="s">
        <v>23</v>
      </c>
      <c r="IE3" s="17" t="s">
        <v>11</v>
      </c>
      <c r="IF3" s="17" t="s">
        <v>4</v>
      </c>
      <c r="IG3" s="17" t="s">
        <v>22</v>
      </c>
      <c r="IH3" s="17" t="s">
        <v>23</v>
      </c>
      <c r="II3" s="17" t="s">
        <v>11</v>
      </c>
      <c r="IJ3" s="17" t="s">
        <v>4</v>
      </c>
      <c r="IK3" s="17" t="s">
        <v>22</v>
      </c>
      <c r="IL3" s="17" t="s">
        <v>23</v>
      </c>
      <c r="IM3" s="53" t="s">
        <v>11</v>
      </c>
      <c r="IN3" s="53" t="s">
        <v>4</v>
      </c>
      <c r="IO3" s="53" t="s">
        <v>22</v>
      </c>
      <c r="IP3" s="53" t="s">
        <v>23</v>
      </c>
      <c r="IQ3" s="17"/>
      <c r="IR3" s="17"/>
      <c r="IS3" s="17"/>
      <c r="IT3" s="17"/>
      <c r="IU3" s="17"/>
      <c r="IV3" s="17"/>
      <c r="IW3" s="16" t="s">
        <v>11</v>
      </c>
      <c r="IX3" s="16" t="s">
        <v>4</v>
      </c>
      <c r="IY3" s="16" t="s">
        <v>22</v>
      </c>
      <c r="IZ3" s="16" t="s">
        <v>23</v>
      </c>
      <c r="JA3" s="16" t="s">
        <v>11</v>
      </c>
      <c r="JB3" s="16" t="s">
        <v>4</v>
      </c>
      <c r="JC3" s="16" t="s">
        <v>22</v>
      </c>
      <c r="JD3" s="16" t="s">
        <v>23</v>
      </c>
      <c r="JE3" s="16" t="s">
        <v>11</v>
      </c>
      <c r="JF3" s="16" t="s">
        <v>4</v>
      </c>
      <c r="JG3" s="16" t="s">
        <v>22</v>
      </c>
      <c r="JH3" s="16" t="s">
        <v>23</v>
      </c>
      <c r="JI3" s="16" t="s">
        <v>11</v>
      </c>
      <c r="JJ3" s="16" t="s">
        <v>4</v>
      </c>
      <c r="JK3" s="16" t="s">
        <v>22</v>
      </c>
      <c r="JL3" s="16" t="s">
        <v>23</v>
      </c>
      <c r="JM3" s="52" t="s">
        <v>11</v>
      </c>
      <c r="JN3" s="52" t="s">
        <v>4</v>
      </c>
      <c r="JO3" s="52" t="s">
        <v>22</v>
      </c>
      <c r="JP3" s="52" t="s">
        <v>23</v>
      </c>
      <c r="JQ3" s="16"/>
      <c r="JR3" s="16"/>
      <c r="JS3" s="16"/>
      <c r="JT3" s="16"/>
      <c r="JU3" s="16"/>
      <c r="JV3" s="16"/>
      <c r="JW3" s="17" t="s">
        <v>11</v>
      </c>
      <c r="JX3" s="17" t="s">
        <v>4</v>
      </c>
      <c r="JY3" s="17" t="s">
        <v>22</v>
      </c>
      <c r="JZ3" s="17" t="s">
        <v>23</v>
      </c>
      <c r="KA3" s="17" t="s">
        <v>11</v>
      </c>
      <c r="KB3" s="17" t="s">
        <v>4</v>
      </c>
      <c r="KC3" s="17" t="s">
        <v>22</v>
      </c>
      <c r="KD3" s="17" t="s">
        <v>23</v>
      </c>
      <c r="KE3" s="17" t="s">
        <v>11</v>
      </c>
      <c r="KF3" s="17" t="s">
        <v>4</v>
      </c>
      <c r="KG3" s="17" t="s">
        <v>22</v>
      </c>
      <c r="KH3" s="17" t="s">
        <v>23</v>
      </c>
      <c r="KI3" s="17" t="s">
        <v>11</v>
      </c>
      <c r="KJ3" s="17" t="s">
        <v>4</v>
      </c>
      <c r="KK3" s="17" t="s">
        <v>22</v>
      </c>
      <c r="KL3" s="17" t="s">
        <v>23</v>
      </c>
      <c r="KM3" s="53" t="s">
        <v>11</v>
      </c>
      <c r="KN3" s="53" t="s">
        <v>4</v>
      </c>
      <c r="KO3" s="53" t="s">
        <v>22</v>
      </c>
      <c r="KP3" s="53" t="s">
        <v>23</v>
      </c>
      <c r="KQ3" s="17"/>
      <c r="KR3" s="17"/>
      <c r="KS3" s="17"/>
      <c r="KT3" s="17"/>
      <c r="KU3" s="17"/>
      <c r="KV3" s="17"/>
      <c r="KW3" s="16" t="s">
        <v>11</v>
      </c>
      <c r="KX3" s="16" t="s">
        <v>4</v>
      </c>
      <c r="KY3" s="16" t="s">
        <v>22</v>
      </c>
      <c r="KZ3" s="16" t="s">
        <v>23</v>
      </c>
      <c r="LA3" s="16" t="s">
        <v>11</v>
      </c>
      <c r="LB3" s="16" t="s">
        <v>4</v>
      </c>
      <c r="LC3" s="16" t="s">
        <v>22</v>
      </c>
      <c r="LD3" s="16" t="s">
        <v>23</v>
      </c>
      <c r="LE3" s="16" t="s">
        <v>11</v>
      </c>
      <c r="LF3" s="16" t="s">
        <v>4</v>
      </c>
      <c r="LG3" s="16" t="s">
        <v>22</v>
      </c>
      <c r="LH3" s="16" t="s">
        <v>23</v>
      </c>
      <c r="LI3" s="16" t="s">
        <v>11</v>
      </c>
      <c r="LJ3" s="16" t="s">
        <v>4</v>
      </c>
      <c r="LK3" s="16" t="s">
        <v>22</v>
      </c>
      <c r="LL3" s="16" t="s">
        <v>23</v>
      </c>
      <c r="LM3" s="52" t="s">
        <v>11</v>
      </c>
      <c r="LN3" s="52" t="s">
        <v>4</v>
      </c>
      <c r="LO3" s="52" t="s">
        <v>22</v>
      </c>
      <c r="LP3" s="52" t="s">
        <v>23</v>
      </c>
      <c r="LQ3" s="16"/>
      <c r="LR3" s="16"/>
      <c r="LS3" s="16"/>
      <c r="LT3" s="16"/>
      <c r="LU3" s="16"/>
      <c r="LV3" s="16"/>
      <c r="LW3" s="17" t="s">
        <v>11</v>
      </c>
      <c r="LX3" s="17" t="s">
        <v>4</v>
      </c>
      <c r="LY3" s="17" t="s">
        <v>22</v>
      </c>
      <c r="LZ3" s="17" t="s">
        <v>23</v>
      </c>
      <c r="MA3" s="17" t="s">
        <v>11</v>
      </c>
      <c r="MB3" s="17" t="s">
        <v>4</v>
      </c>
      <c r="MC3" s="17" t="s">
        <v>22</v>
      </c>
      <c r="MD3" s="17" t="s">
        <v>23</v>
      </c>
      <c r="ME3" s="17" t="s">
        <v>11</v>
      </c>
      <c r="MF3" s="17" t="s">
        <v>4</v>
      </c>
      <c r="MG3" s="17" t="s">
        <v>22</v>
      </c>
      <c r="MH3" s="17" t="s">
        <v>23</v>
      </c>
      <c r="MI3" s="17" t="s">
        <v>11</v>
      </c>
      <c r="MJ3" s="17" t="s">
        <v>4</v>
      </c>
      <c r="MK3" s="17" t="s">
        <v>22</v>
      </c>
      <c r="ML3" s="17" t="s">
        <v>23</v>
      </c>
      <c r="MM3" s="53" t="s">
        <v>11</v>
      </c>
      <c r="MN3" s="53" t="s">
        <v>4</v>
      </c>
      <c r="MO3" s="53" t="s">
        <v>22</v>
      </c>
      <c r="MP3" s="53" t="s">
        <v>23</v>
      </c>
      <c r="MQ3" s="17"/>
      <c r="MR3" s="17"/>
      <c r="MS3" s="17"/>
      <c r="MT3" s="17"/>
      <c r="MU3" s="17"/>
      <c r="MV3" s="17"/>
      <c r="MW3" s="16" t="s">
        <v>11</v>
      </c>
      <c r="MX3" s="16" t="s">
        <v>4</v>
      </c>
      <c r="MY3" s="16" t="s">
        <v>22</v>
      </c>
      <c r="MZ3" s="16" t="s">
        <v>23</v>
      </c>
      <c r="NA3" s="16" t="s">
        <v>11</v>
      </c>
      <c r="NB3" s="16" t="s">
        <v>4</v>
      </c>
      <c r="NC3" s="16" t="s">
        <v>22</v>
      </c>
      <c r="ND3" s="16" t="s">
        <v>23</v>
      </c>
      <c r="NE3" s="16" t="s">
        <v>11</v>
      </c>
      <c r="NF3" s="16" t="s">
        <v>4</v>
      </c>
      <c r="NG3" s="16" t="s">
        <v>22</v>
      </c>
      <c r="NH3" s="16" t="s">
        <v>23</v>
      </c>
      <c r="NI3" s="16" t="s">
        <v>11</v>
      </c>
      <c r="NJ3" s="16" t="s">
        <v>4</v>
      </c>
      <c r="NK3" s="16" t="s">
        <v>22</v>
      </c>
      <c r="NL3" s="16" t="s">
        <v>23</v>
      </c>
      <c r="NM3" s="52" t="s">
        <v>11</v>
      </c>
      <c r="NN3" s="52" t="s">
        <v>4</v>
      </c>
      <c r="NO3" s="52" t="s">
        <v>22</v>
      </c>
      <c r="NP3" s="52" t="s">
        <v>23</v>
      </c>
      <c r="NQ3" s="16"/>
      <c r="NR3" s="16"/>
      <c r="NS3" s="16"/>
      <c r="NT3" s="16"/>
      <c r="NU3" s="16"/>
      <c r="NV3" s="16"/>
      <c r="NW3" s="17" t="s">
        <v>11</v>
      </c>
      <c r="NX3" s="17" t="s">
        <v>4</v>
      </c>
      <c r="NY3" s="17" t="s">
        <v>22</v>
      </c>
      <c r="NZ3" s="17" t="s">
        <v>23</v>
      </c>
      <c r="OA3" s="17" t="s">
        <v>11</v>
      </c>
      <c r="OB3" s="17" t="s">
        <v>4</v>
      </c>
      <c r="OC3" s="17" t="s">
        <v>22</v>
      </c>
      <c r="OD3" s="17" t="s">
        <v>23</v>
      </c>
      <c r="OE3" s="17" t="s">
        <v>11</v>
      </c>
      <c r="OF3" s="17" t="s">
        <v>4</v>
      </c>
      <c r="OG3" s="17" t="s">
        <v>22</v>
      </c>
      <c r="OH3" s="17" t="s">
        <v>23</v>
      </c>
      <c r="OI3" s="17" t="s">
        <v>11</v>
      </c>
      <c r="OJ3" s="17" t="s">
        <v>4</v>
      </c>
      <c r="OK3" s="17" t="s">
        <v>22</v>
      </c>
      <c r="OL3" s="17" t="s">
        <v>23</v>
      </c>
      <c r="OM3" s="53" t="s">
        <v>11</v>
      </c>
      <c r="ON3" s="53" t="s">
        <v>4</v>
      </c>
      <c r="OO3" s="53" t="s">
        <v>22</v>
      </c>
      <c r="OP3" s="53" t="s">
        <v>23</v>
      </c>
      <c r="OQ3" s="17"/>
      <c r="OR3" s="17"/>
      <c r="OS3" s="17"/>
      <c r="OT3" s="17"/>
      <c r="OU3" s="17"/>
      <c r="OV3" s="17"/>
      <c r="OW3" s="16" t="s">
        <v>11</v>
      </c>
      <c r="OX3" s="16" t="s">
        <v>4</v>
      </c>
      <c r="OY3" s="16" t="s">
        <v>22</v>
      </c>
      <c r="OZ3" s="16" t="s">
        <v>23</v>
      </c>
      <c r="PA3" s="16" t="s">
        <v>11</v>
      </c>
      <c r="PB3" s="16" t="s">
        <v>4</v>
      </c>
      <c r="PC3" s="16" t="s">
        <v>22</v>
      </c>
      <c r="PD3" s="16" t="s">
        <v>23</v>
      </c>
      <c r="PE3" s="16" t="s">
        <v>11</v>
      </c>
      <c r="PF3" s="16" t="s">
        <v>4</v>
      </c>
      <c r="PG3" s="16" t="s">
        <v>22</v>
      </c>
      <c r="PH3" s="16" t="s">
        <v>23</v>
      </c>
      <c r="PI3" s="16" t="s">
        <v>11</v>
      </c>
      <c r="PJ3" s="16" t="s">
        <v>4</v>
      </c>
      <c r="PK3" s="16" t="s">
        <v>22</v>
      </c>
      <c r="PL3" s="16" t="s">
        <v>23</v>
      </c>
      <c r="PM3" s="51" t="s">
        <v>11</v>
      </c>
      <c r="PN3" s="51" t="s">
        <v>4</v>
      </c>
      <c r="PO3" s="51" t="s">
        <v>22</v>
      </c>
      <c r="PP3" s="51" t="s">
        <v>23</v>
      </c>
      <c r="PQ3" s="16" t="s">
        <v>43</v>
      </c>
      <c r="PR3" s="16"/>
      <c r="PS3" s="16"/>
      <c r="PT3" s="16"/>
      <c r="PU3" s="16"/>
      <c r="PV3" s="16"/>
      <c r="PW3" s="16"/>
    </row>
    <row r="4" spans="1:439" x14ac:dyDescent="0.2">
      <c r="A4" s="4" cm="1">
        <f t="array" ref="A4">IF(AND(H4&lt;&gt;"",H4&lt;&gt;"No DD"),SUMPRODUCT((H$4:H$7&lt;&gt;"")*(H$4:H$7&lt;&gt;"No DD")*(E$4:E$7&gt;E4))+1,IF(H4="No DD",SUMPRODUCT((H$4:H$7="No DD")*(E$4:E$7&gt;E4))+1+SUMPRODUCT((H$4:H$7&lt;&gt;"")*(H$4:H$7&lt;&gt;"No DD")),""))</f>
        <v>1</v>
      </c>
      <c r="B4" s="5" t="s">
        <v>67</v>
      </c>
      <c r="C4" s="4" t="s">
        <v>68</v>
      </c>
      <c r="D4" s="4">
        <v>2009</v>
      </c>
      <c r="E4" s="10">
        <f>SUM(I4:O4)+SUM(I4:M4)*0.0000001+SUM(I4)*0.0000000000001</f>
        <v>151.80001503000511</v>
      </c>
      <c r="F4" s="3" t="str">
        <f>IF(OR(AND(AM4&gt;=AR$9,AN4&gt;=AR$13,AM4&lt;&gt;"",AL4=""),AND(AP4&gt;=AR$9,AQ4&gt;=AR$13,AP4&lt;&gt;"",AL4=""),AND(BN4&gt;=BS$9,BO4&gt;=BS$13,BN4&lt;&gt;"",BM4=""),AND(BQ4&gt;=BS$9,BR4&gt;=BS$13,BQ4&lt;&gt;"",BM4=""),AND(CO4&gt;=CT$9,CP4&gt;=CT$13,CO4&lt;&gt;"",CN4=""),AND(CR4&gt;=CT$9,CS4&gt;=CT$13,CR4&lt;&gt;""),AND(DQ4&gt;=DV$9,DR4&gt;=DV$13,DQ4&lt;&gt;""),AND(DT4&gt;=DV$9,DU4&gt;=DV$13,DT4&lt;&gt;""),AND(EQ4&gt;=EV$9,ER4&gt;=EV$13,EQ4&lt;&gt;""),AND(ET4&gt;=EV$9,EU4&gt;=EV$13,ET4&lt;&gt;""),AND(FQ4&gt;=FV$9,FR4&gt;=FV$13,FQ4&lt;&gt;""),AND(FT4&gt;=FV$9,FU4&gt;=FV$13,FT4&lt;&gt;""),AND(GQ4&gt;=GV$9,GR4&gt;=GV$13,GQ4&lt;&gt;""),AND(GT4&gt;=GV$9,GU4&gt;=GV$13,GT4&lt;&gt;""),AND(HQ4&gt;=HV$9,HR4&gt;=HV$13,HQ4&lt;&gt;""),AND(HT4&gt;=HV$9,HU4&gt;=HV$13,HT4&lt;&gt;""),AND(IQ4&gt;=IV$9,IR4&gt;=IV$13,IQ4&lt;&gt;""),AND(IT4&gt;=IV$9,IU4&gt;=IV$13,IT4&lt;&gt;""),AND(JQ4&gt;=JV$9,JR4&gt;=JV$13,JQ4&lt;&gt;""),AND(JT4&gt;=JV$9,JU4&gt;=JV$13,JT4&lt;&gt;""),AND(KQ4&gt;=KV$9,KR4&gt;=KV$13,KQ4&lt;&gt;""),AND(KT4&gt;=KV$9,KU4&gt;=KV$13,KT4&lt;&gt;""),AND(LQ4&gt;=LV$9,LR4&gt;=LV$13,LQ4&lt;&gt;""),AND(LT4&gt;=LV$9,LU4&gt;=LV$13,LT4&lt;&gt;""),AND(MQ4&gt;=MV$9,MR4&gt;=MV$13,MQ4&lt;&gt;""),AND(MT4&gt;=MV$9,MU4&gt;=MV$13,MT4&lt;&gt;""),AND(NQ4&gt;=NV$9,NR4&gt;=NV$13,NQ4&lt;&gt;""),AND(NT4&gt;=NV$9,NU4&gt;=NV$13,NT4&lt;&gt;""),AND(OQ4&gt;=OV$9,OR4&gt;=OV$13,OQ4&lt;&gt;""),AND(OT4&gt;=OV$9,OU4&gt;=OV$13,OT4&lt;&gt;"")),"P","")</f>
        <v>P</v>
      </c>
      <c r="G4" s="3" t="str">
        <f>IF(OR(AND(AN4&gt;=AR$13,AN4&lt;&gt;"",AL4=""),AND(AQ4&gt;=AR$13,AQ4&lt;&gt;"",AL4=""),AND(BO4&gt;=BS$13,BO4&lt;&gt;"",BM4=""),AND(BR4&gt;=BS$13,BR4&lt;&gt;"",BM4=""),AND(CP4&gt;=CT$13,CP4&lt;&gt;"",CN4=""),AND(CS4&gt;=CT$13,CS4&lt;&gt;"",CN4=""),AND(DR4&gt;=DV$13,DR4&lt;&gt;""),AND(DU4&gt;=DV$13,DU4&lt;&gt;""),AND(ER4&gt;=EV$13,ER4&lt;&gt;""),AND(EU4&gt;=EV$13,EU4&lt;&gt;""),AND(FR4&gt;=FV$13,FR4&lt;&gt;""),AND(FU4&gt;=FV$13,FU4&lt;&gt;""),AND(GR4&gt;=GV$13,GR4&lt;&gt;""),AND(GU4&gt;=GV$13,GU4&lt;&gt;""),AND(HR4&gt;=HV$13,HR4&lt;&gt;""),AND(HU4&gt;=HV$13,HU4&lt;&gt;""),AND(IR4&gt;=IV$13,IR4&lt;&gt;""),AND(IU4&gt;=IV$13,IU4&lt;&gt;""),AND(JR4&gt;=JV$13,JR4&lt;&gt;""),AND(JU4&gt;=JV$13,JU4&lt;&gt;""),AND(KR4&gt;=KV$13,KR4&lt;&gt;""),AND(KU4&gt;=KV$13,KU4&lt;&gt;""),AND(LR4&gt;=LV$13,LR4&lt;&gt;""),AND(LU4&gt;=LV$13,LU4&lt;&gt;""),AND(MR4&gt;=MV$13,MR4&lt;&gt;""),AND(MU4&gt;=MV$13,MU4&lt;&gt;""),AND(NR4&gt;=NV$13,NR4&lt;&gt;""),AND(NU4&gt;=NV$13,NU4&lt;&gt;""),AND(OR4&gt;=OV$13,OR4&lt;&gt;""),AND(OU4&gt;=OV$13,OU4&lt;&gt;"")),"P","")</f>
        <v>P</v>
      </c>
      <c r="H4" s="47" t="str">
        <f>IF(AND(G4="P",F4=""),"No DD",IF(OR(AND(AM4&gt;=AR$12,AN4&gt;=AR$16,AM4&lt;&gt;"",AL4=""),AND(AP4&gt;=AR$12,AQ4&gt;=AR$16,AP4&lt;&gt;"",AL4=""),AND(BN4&gt;=BS$12,BO4&gt;=BS$16,BN4&lt;&gt;"",BM4=""),AND(BQ4&gt;=BS$12,BR4&gt;=BS$16,BQ4&lt;&gt;"",BM4=""),AND(CO4&gt;=CT$12,CP4&gt;=CT$16,CO4&lt;&gt;"",CN4=""),AND(CR4&gt;=CT$12,CS4&gt;=CT$16,CR4&lt;&gt;""),AND(DQ4&gt;=DV$12,DR4&gt;=DV$16,DQ4&lt;&gt;""),AND(DT4&gt;=DV$12,DU4&gt;=DV$16,DT4&lt;&gt;""),AND(EQ4&gt;=EV$12,ER4&gt;=EV$16,EQ4&lt;&gt;""),AND(ET4&gt;=EV$12,EU4&gt;=EV$16,ET4&lt;&gt;""),AND(FQ4&gt;=FV$12,FR4&gt;=FV$16,FQ4&lt;&gt;""),AND(FT4&gt;=FV$12,FU4&gt;=FV$16,FT4&lt;&gt;""),AND(GQ4&gt;=GV$12,GR4&gt;=GV$16,GQ4&lt;&gt;""),AND(GT4&gt;=GV$12,GU4&gt;=GV$16,GT4&lt;&gt;""),AND(HQ4&gt;=HV$12,HR4&gt;=HV$16,HQ4&lt;&gt;""),AND(HT4&gt;=HV$12,HU4&gt;=HV$16,HT4&lt;&gt;""),AND(IQ4&gt;=IV$12,IR4&gt;=IV$16,IQ4&lt;&gt;""),AND(IT4&gt;=IV$12,IU4&gt;=IV$16,IT4&lt;&gt;""),AND(JQ4&gt;=JV$12,JR4&gt;=JV$16,JQ4&lt;&gt;""),AND(JT4&gt;=JV$12,JU4&gt;=JV$16,JT4&lt;&gt;""),AND(KQ4&gt;=KV$12,KR4&gt;=KV$16,KQ4&lt;&gt;""),AND(KT4&gt;=KV$12,KU4&gt;=KV$16,KT4&lt;&gt;""),AND(LQ4&gt;=LV$12,LR4&gt;=LV$16,LQ4&lt;&gt;""),AND(LT4&gt;=LV$12,LU4&gt;=LV$16,LT4&lt;&gt;""),AND(MQ4&gt;=MV$12,MR4&gt;=MV$16,MQ4&lt;&gt;""),AND(MT4&gt;=MV$12,MU4&gt;=MV$16,MT4&lt;&gt;""),AND(NQ4&gt;=NV$12,NR4&gt;=NV$16,NQ4&lt;&gt;""),AND(NT4&gt;=NV$12,NU4&gt;=NV$16,NT4&lt;&gt;""),AND(OQ4&gt;=OV$12,OR4&gt;=OV$16,OQ4&lt;&gt;""),AND(OT4&gt;=OV$12,OU4&gt;=OV$16,OT4&lt;&gt;"")),"Merit",IF(OR(AND(AM4&gt;=AR$11,AN4&gt;=AR$15,AM4&lt;&gt;"",AL4=""),AND(AP4&gt;=AR$11,AQ4&gt;=AR$15,AP4&lt;&gt;"",AL4=""),AND(BN4&gt;=BS$11,BO4&gt;=BS$15,BN4&lt;&gt;"",BM4=""),AND(BQ4&gt;=BS$11,BR4&gt;=BS$15,BQ4&lt;&gt;"",BM4=""),AND(CO4&gt;=CT$11,CP4&gt;=CT$15,CO4&lt;&gt;"",CN4=""),AND(CR4&gt;=CT$11,CS4&gt;=CT$15,CR4&lt;&gt;""),AND(DQ4&gt;=DV$11,DR4&gt;=DV$15,DQ4&lt;&gt;""),AND(DT4&gt;=DV$11,DU4&gt;=DV$15,DT4&lt;&gt;""),AND(EQ4&gt;=EV$11,ER4&gt;=EV$15,EQ4&lt;&gt;""),AND(ET4&gt;=EV$11,EU4&gt;=EV$15,ET4&lt;&gt;""),AND(FQ4&gt;=FV$11,FR4&gt;=FV$15,FQ4&lt;&gt;""),AND(FT4&gt;=FV$11,FU4&gt;=FV$15,FT4&lt;&gt;""),AND(GQ4&gt;=GV$11,GR4&gt;=GV$15,GQ4&lt;&gt;""),AND(GT4&gt;=GV$11,GU4&gt;=GV$15,GT4&lt;&gt;""),AND(HQ4&gt;=HV$11,HR4&gt;=HV$15,HQ4&lt;&gt;""),AND(HT4&gt;=HV$11,HU4&gt;=HV$15,HT4&lt;&gt;""),AND(IQ4&gt;=IV$11,IR4&gt;=IV$15,IQ4&lt;&gt;""),AND(IT4&gt;=IV$11,IU4&gt;=IV$15,IT4&lt;&gt;""),AND(JQ4&gt;=JV$11,JR4&gt;=JV$15,JQ4&lt;&gt;""),AND(JT4&gt;=JV$11,JU4&gt;=JV$15,JT4&lt;&gt;""),AND(KQ4&gt;=KV$11,KR4&gt;=KV$15,KQ4&lt;&gt;""),AND(KT4&gt;=KV$11,KU4&gt;=KV$15,KT4&lt;&gt;""),AND(LQ4&gt;=LV$11,LR4&gt;=LV$15,LQ4&lt;&gt;""),AND(LT4&gt;=LV$11,LU4&gt;=LV$15,LT4&lt;&gt;""),AND(MQ4&gt;=MV$11,MR4&gt;=MV$15,MQ4&lt;&gt;""),AND(MT4&gt;=MV$11,MU4&gt;=MV$15,MT4&lt;&gt;""),AND(NQ4&gt;=NV$11,NR4&gt;=NV$15,NQ4&lt;&gt;""),AND(NT4&gt;=NV$11,NU4&gt;=NV$15,NT4&lt;&gt;""),AND(OQ4&gt;=OV$11,OR4&gt;=OV$15,OQ4&lt;&gt;""),AND(OT4&gt;=OV$11,OU4&gt;=OV$15,OT4&lt;&gt;"")),"Excellence",IF(F4="P","National Team",""))))</f>
        <v>Excellence</v>
      </c>
      <c r="I4" s="9">
        <f>IF(COUNT(AN4,BO4,CP4)&gt;0,LARGE((AN4,BO4,CP4),1),0)</f>
        <v>51.1</v>
      </c>
      <c r="J4" s="9" t="str">
        <f>IF(I4=0,"",IF(I4=CP4,$BT$1,IF(I4=BO4,$AS$1,IF(I4=AN4,$R$1,""))))</f>
        <v>2023 Nationals</v>
      </c>
      <c r="K4" s="9">
        <f>IF(COUNT(AN4,BO4,CP4)&gt;1,LARGE((AN4,BO4,CP4),2),0)</f>
        <v>48.900000000000006</v>
      </c>
      <c r="L4" s="9" t="str">
        <f>IF(K4=0,"",IF(K4=CP4,$BT$1,IF(K4=BO4,$AS$1,IF(K4=AN4,$R$1,""))))</f>
        <v>2023 Elite Canada</v>
      </c>
      <c r="M4" s="9">
        <f>IF(MAX(AQ4,BR4,CS4)&gt;0,MAX(AQ4,BR4,CS4),0)</f>
        <v>50.3</v>
      </c>
      <c r="N4" s="9" t="str">
        <f>IF(M4=0,"",IF(M4=CS4,$BT$1,IF(M4=BR4,$AS$1,IF(M4=AQ4,$R$1,""))))</f>
        <v>2023 Nationals</v>
      </c>
      <c r="O4" s="9">
        <f>IF(MAX(CU4:CV4)&gt;0,MAX(CU4:CV4),"")</f>
        <v>1.4999999999999929</v>
      </c>
      <c r="P4" s="14" t="str">
        <f>IF(O4="","",IF(O4=CU4,"("&amp;CU$2&amp;")",IF(O4=CV4,"("&amp;CV$2&amp;")")))</f>
        <v>(Q1)</v>
      </c>
      <c r="Q4" s="9" t="str">
        <f>IF(O4="","",IF(O4=CU4,IF(O4+IF(K4="",0,K4)=OR4,$NW$1,IF(O4+IF(K4="",0,K4)=NR4,$MW$1,IF(O4+IF(K4="",0,K4)=MR4,$LW$1,IF(O4+IF(K4="",0,K4)=LR4,$KW$1,IF(O4+IF(K4="",0,K4)=KR4,$JW$1,IF(O4+IF(K4="",0,K4)=JR4,$IW$1,IF(O4+IF(K4="",0,K4)=IR4,$HW$1,IF(O4+IF(K4="",0,K4)=HR4,$GW$1,IF(O4+IF(K4="",0,K4)=GR4,$FW$1,IF(O4+IF(K4="",0,K4)=FR4,$EW$1,IF(O4+IF(K4="",0,K4)=ER4,$DW$1,IF(O4+IF(K4="",0,K4)=DR4,$CW$1)))))))))))),IF(O4=CV4,IF(O4+IF(M4="",0,M4)=OU4,$NW$1,IF(O4+IF(M4="",0,M4)=NU4,$MW$1,IF(O4+IF(M4="",0,M4)=MU4,$LW$1,IF(O4+IF(M4="",0,M4)=LU4,$KW$1,IF(O4+IF(M4="",0,M4)=KU4,$JW$1,IF(O4+IF(M4="",0,M4)=JU4,$IW$1,IF(O4+IF(M4="",0,M4)=IU4,$HW$1,IF(O4+IF(M4="",0,M4)=HU4,$GW$1,IF(O4+IF(M4="",0,M4)=GU4,$FW$1,IF(O4+IF(M4="",0,M4)=FU4,$EW$1,IF(O4+IF(M4="",0,M4)=EU4,$DW$1,IF(O4+IF(M4="",0,M4)=DU4,$CW$1)))))))))))))))</f>
        <v>2023 WAGC (Nov 18)</v>
      </c>
      <c r="R4" s="20">
        <v>18.600000000000001</v>
      </c>
      <c r="S4" s="20">
        <v>5.6</v>
      </c>
      <c r="T4" s="20">
        <v>0</v>
      </c>
      <c r="U4" s="20">
        <v>0</v>
      </c>
      <c r="V4" s="20">
        <v>18.7</v>
      </c>
      <c r="W4" s="20">
        <v>6</v>
      </c>
      <c r="X4" s="20">
        <v>0</v>
      </c>
      <c r="Y4" s="20">
        <v>0</v>
      </c>
      <c r="Z4" s="20">
        <v>9.1999999999999993</v>
      </c>
      <c r="AA4" s="20">
        <v>2.6</v>
      </c>
      <c r="AB4" s="20">
        <v>0</v>
      </c>
      <c r="AC4" s="20">
        <v>0</v>
      </c>
      <c r="AD4" s="20">
        <v>9.1999999999999993</v>
      </c>
      <c r="AE4" s="20">
        <v>2.8</v>
      </c>
      <c r="AF4" s="20">
        <v>0</v>
      </c>
      <c r="AG4" s="20">
        <v>0</v>
      </c>
      <c r="AH4" s="20">
        <v>9.3000000000000007</v>
      </c>
      <c r="AI4" s="20">
        <v>2.8</v>
      </c>
      <c r="AJ4" s="20">
        <v>0</v>
      </c>
      <c r="AK4" s="20">
        <v>0</v>
      </c>
      <c r="AL4" s="32"/>
      <c r="AM4" s="55">
        <f>IF(SUM(S4,W4)&gt;0,SUM(S4,W4),"")</f>
        <v>11.6</v>
      </c>
      <c r="AN4" s="55">
        <f>IF(SUM(R4:S4,U4:W4,Y4)-T4-X4&gt;0,SUM(R4:S4,U4:W4,Y4)-T4-X4,"")</f>
        <v>48.900000000000006</v>
      </c>
      <c r="AO4" s="55">
        <f>IF(SUM(Z4:AA4,AC4)-AB4&gt;0,SUM(Z4:AA4,AC4)-AB4,"")</f>
        <v>11.799999999999999</v>
      </c>
      <c r="AP4" s="55">
        <f>IF(SUM(AE4,AI4)&gt;0,SUM(AE4,AI4),"")</f>
        <v>5.6</v>
      </c>
      <c r="AQ4" s="55">
        <f>IF(SUM(AD4:AE4,AG4:AI4,AK4)-SUM(AF4,AJ4)&gt;0,SUM(AD4:AE4,AG4:AI4,AK4)-SUM(AF4,AJ4),"")</f>
        <v>24.1</v>
      </c>
      <c r="AR4" s="55">
        <f>IF(SUM(AN4,AO4,AQ4)&gt;0,SUM(AN4,AO4,AQ4),"")</f>
        <v>84.800000000000011</v>
      </c>
      <c r="AS4" s="19">
        <v>18.8</v>
      </c>
      <c r="AT4" s="19">
        <v>6.4</v>
      </c>
      <c r="AU4" s="19">
        <v>0</v>
      </c>
      <c r="AV4" s="19">
        <v>0</v>
      </c>
      <c r="AW4" s="19">
        <v>19.100000000000001</v>
      </c>
      <c r="AX4" s="19">
        <v>6.8</v>
      </c>
      <c r="AY4" s="19">
        <v>0</v>
      </c>
      <c r="AZ4" s="19">
        <v>0</v>
      </c>
      <c r="BA4" s="19">
        <v>18.7</v>
      </c>
      <c r="BB4" s="19">
        <v>6</v>
      </c>
      <c r="BC4" s="19">
        <v>0</v>
      </c>
      <c r="BD4" s="19">
        <v>0</v>
      </c>
      <c r="BE4" s="19">
        <v>18.399999999999999</v>
      </c>
      <c r="BF4" s="19">
        <v>6.4</v>
      </c>
      <c r="BG4" s="19">
        <v>0</v>
      </c>
      <c r="BH4" s="19">
        <v>0</v>
      </c>
      <c r="BI4" s="19">
        <v>18.7</v>
      </c>
      <c r="BJ4" s="19">
        <v>6.8</v>
      </c>
      <c r="BK4" s="19">
        <v>0</v>
      </c>
      <c r="BL4" s="19">
        <v>0</v>
      </c>
      <c r="BM4" s="33"/>
      <c r="BN4" s="14">
        <f>IF(SUM(AT4,AX4)&gt;0,SUM(AT4,AX4),"")</f>
        <v>13.2</v>
      </c>
      <c r="BO4" s="14">
        <f>IF(SUM(AS4:AT4,AV4:AX4,AZ4)-AU4-AY4&gt;0,SUM(AS4:AT4,AV4:AX4,AZ4)-AU4-AY4,"")</f>
        <v>51.1</v>
      </c>
      <c r="BP4" s="14">
        <f>IF(SUM(BA4:BB4,BD4)-BC4&gt;0,SUM(BA4:BB4,BD4)-BC4,"")</f>
        <v>24.7</v>
      </c>
      <c r="BQ4" s="14">
        <f>IF(SUM(BF4,BJ4)&gt;0,SUM(BF4,BJ4),"")</f>
        <v>13.2</v>
      </c>
      <c r="BR4" s="14">
        <f>IF(SUM(BE4:BF4,BH4:BJ4,BL4)-SUM(BG4,BK4)&gt;0,SUM(BE4:BF4,BH4:BJ4,BL4)-SUM(BG4,BK4),"")</f>
        <v>50.3</v>
      </c>
      <c r="BS4" s="14">
        <f>IF(SUM(BO4,BP4,BR4)&gt;0,SUM(BO4,BP4,BR4),"")</f>
        <v>126.1</v>
      </c>
      <c r="BT4" s="20"/>
      <c r="BU4" s="20"/>
      <c r="BV4" s="20"/>
      <c r="BW4" s="20"/>
      <c r="BX4" s="20"/>
      <c r="BY4" s="20"/>
      <c r="BZ4" s="20"/>
      <c r="CA4" s="20"/>
      <c r="CB4" s="20"/>
      <c r="CC4" s="20"/>
      <c r="CD4" s="20"/>
      <c r="CE4" s="20"/>
      <c r="CF4" s="20"/>
      <c r="CG4" s="20"/>
      <c r="CH4" s="20"/>
      <c r="CI4" s="20"/>
      <c r="CJ4" s="20"/>
      <c r="CK4" s="20"/>
      <c r="CL4" s="20"/>
      <c r="CM4" s="20"/>
      <c r="CN4" s="32"/>
      <c r="CO4" s="55" t="str">
        <f>IF(SUM(BU4,BY4)&gt;0,SUM(BU4,BY4),"")</f>
        <v/>
      </c>
      <c r="CP4" s="55" t="str">
        <f>IF(SUM(BT4:BU4,BW4:BY4,CA4)-BV4-BZ4&gt;0,SUM(BT4:BU4,BW4:BY4,CA4)-BV4-BZ4,"")</f>
        <v/>
      </c>
      <c r="CQ4" s="55" t="str">
        <f>IF(SUM(CB4:CC4,CE4)-CD4&gt;0,SUM(CB4:CC4,CE4)-CD4,"")</f>
        <v/>
      </c>
      <c r="CR4" s="55" t="str">
        <f>IF(SUM(CG4,CK4)&gt;0,SUM(CG4,CK4),"")</f>
        <v/>
      </c>
      <c r="CS4" s="55" t="str">
        <f>IF(SUM(CF4:CG4,CI4:CK4,CM4)-SUM(CH4,CL4)&gt;0,SUM(CF4:CG4,CI4:CK4,CM4)-SUM(CH4,CL4),"")</f>
        <v/>
      </c>
      <c r="CT4" s="55" t="str">
        <f>IF(SUM(CP4,CQ4,CS4)&gt;0,SUM(CP4,CQ4,CS4),"")</f>
        <v/>
      </c>
      <c r="CU4" s="56">
        <f>IF(MAX(DR4,ER4,FR4,GR4,HR4,IR4,JR4,KR4,LR4,MR4,NR4,OR4)-IF(K4="",0,K4)&gt;0.001,MAX(DR4,ER4,FR4,GR4,HR4,IR4,JR4,KR4,LR4,MR4,NR4,OR4)-IF(K4="",0,K4),"")</f>
        <v>1.4999999999999929</v>
      </c>
      <c r="CV4" s="56">
        <f>IF(MAX(DU4,EU4,FU4,GU4,HU4,IU4,JU4,KU4,LU4,MU4,NU4,OU4)-IF(M4="",0,M4)&gt;0.001,MAX(DU4,EU4,FU4,GU4,HU4,IU4,JU4,KU4,LU4,MU4,NU4,OU4)-IF(M4="",0,M4),"")</f>
        <v>0.29999999999999716</v>
      </c>
      <c r="CW4" s="18">
        <v>18.3</v>
      </c>
      <c r="CX4" s="18">
        <v>5.2</v>
      </c>
      <c r="CY4" s="18">
        <v>0.6</v>
      </c>
      <c r="CZ4" s="18">
        <v>0</v>
      </c>
      <c r="DA4" s="18">
        <v>18.3</v>
      </c>
      <c r="DB4" s="18">
        <v>4.8</v>
      </c>
      <c r="DC4" s="18">
        <v>0</v>
      </c>
      <c r="DD4" s="18">
        <v>0</v>
      </c>
      <c r="DE4" s="18"/>
      <c r="DF4" s="18"/>
      <c r="DG4" s="18"/>
      <c r="DH4" s="18"/>
      <c r="DI4" s="18">
        <v>18.7</v>
      </c>
      <c r="DJ4" s="18">
        <v>5.6</v>
      </c>
      <c r="DK4" s="18">
        <v>0.6</v>
      </c>
      <c r="DL4" s="18">
        <v>0</v>
      </c>
      <c r="DM4" s="18">
        <v>18.600000000000001</v>
      </c>
      <c r="DN4" s="18">
        <v>6</v>
      </c>
      <c r="DO4" s="18">
        <v>0.6</v>
      </c>
      <c r="DP4" s="18">
        <v>0</v>
      </c>
      <c r="DQ4" s="55">
        <f>IF(SUM(CX4,DB4)&gt;0,SUM(CX4,DB4),"")</f>
        <v>10</v>
      </c>
      <c r="DR4" s="55">
        <f>IF(SUM(CW4:CX4,CZ4:DB4,DD4)-CY4-DC4&gt;0,SUM(CW4:CX4,CZ4:DB4,DD4)-CY4-DC4,"")</f>
        <v>45.999999999999993</v>
      </c>
      <c r="DS4" s="55" t="str">
        <f>IF(SUM(DE4:DF4,DH4)-DG4&gt;0,SUM(DE4:DF4,DH4)-DG4,"")</f>
        <v/>
      </c>
      <c r="DT4" s="55">
        <f>IF(SUM(DJ4,DN4)&gt;0,SUM(DJ4,DN4),"")</f>
        <v>11.6</v>
      </c>
      <c r="DU4" s="55">
        <f>IF(SUM(DI4:DJ4,DL4:DN4,DP4)-SUM(DK4,DO4)&gt;0,SUM(DI4:DJ4,DL4:DN4,DP4)-SUM(DK4,DO4),"")</f>
        <v>47.699999999999996</v>
      </c>
      <c r="DV4" s="55">
        <f>IF(SUM(DR4,DS4,DU4)&gt;0,SUM(DR4,DS4,DU4),"")</f>
        <v>93.699999999999989</v>
      </c>
      <c r="DW4" s="19"/>
      <c r="DX4" s="19"/>
      <c r="DY4" s="19"/>
      <c r="DZ4" s="19"/>
      <c r="EA4" s="19"/>
      <c r="EB4" s="19"/>
      <c r="EC4" s="19"/>
      <c r="ED4" s="19"/>
      <c r="EE4" s="19"/>
      <c r="EF4" s="19"/>
      <c r="EG4" s="19"/>
      <c r="EH4" s="19"/>
      <c r="EI4" s="19">
        <v>18.600000000000001</v>
      </c>
      <c r="EJ4" s="19">
        <v>6</v>
      </c>
      <c r="EK4" s="19">
        <v>0</v>
      </c>
      <c r="EL4" s="19">
        <v>0</v>
      </c>
      <c r="EM4" s="19">
        <v>18.7</v>
      </c>
      <c r="EN4" s="19">
        <v>5.6</v>
      </c>
      <c r="EO4" s="19">
        <v>0</v>
      </c>
      <c r="EP4" s="19">
        <v>0</v>
      </c>
      <c r="EQ4" s="14" t="str">
        <f>IF(SUM(DX4,EB4)&gt;0,SUM(DX4,EB4),"")</f>
        <v/>
      </c>
      <c r="ER4" s="14" t="str">
        <f>IF(SUM(DW4:DX4,DZ4:EB4,ED4)-DY4-EC4&gt;0,SUM(DW4:DX4,DZ4:EB4,ED4)-DY4-EC4,"")</f>
        <v/>
      </c>
      <c r="ES4" s="14" t="str">
        <f>IF(SUM(EE4:EF4,EH4)-EG4&gt;0,SUM(EE4:EF4,EH4)-EG4,"")</f>
        <v/>
      </c>
      <c r="ET4" s="14">
        <f>IF(SUM(EJ4,EN4)&gt;0,SUM(EJ4,EN4),"")</f>
        <v>11.6</v>
      </c>
      <c r="EU4" s="14">
        <f>IF(SUM(EI4:EJ4,EL4:EN4,EP4)-SUM(EK4,EO4)&gt;0,SUM(EI4:EJ4,EL4:EN4,EP4)-SUM(EK4,EO4),"")</f>
        <v>48.9</v>
      </c>
      <c r="EV4" s="14">
        <f>IF(SUM(ER4,ES4,EU4)&gt;0,SUM(ER4,ES4,EU4),"")</f>
        <v>48.9</v>
      </c>
      <c r="EW4" s="18"/>
      <c r="EX4" s="18"/>
      <c r="EY4" s="18"/>
      <c r="EZ4" s="18"/>
      <c r="FA4" s="18"/>
      <c r="FB4" s="18"/>
      <c r="FC4" s="18"/>
      <c r="FD4" s="18"/>
      <c r="FE4" s="18"/>
      <c r="FF4" s="18"/>
      <c r="FG4" s="18"/>
      <c r="FH4" s="18"/>
      <c r="FI4" s="18">
        <v>18.600000000000001</v>
      </c>
      <c r="FJ4" s="18">
        <v>6</v>
      </c>
      <c r="FK4" s="18">
        <v>0</v>
      </c>
      <c r="FL4" s="18">
        <v>0</v>
      </c>
      <c r="FM4" s="18">
        <v>18.7</v>
      </c>
      <c r="FN4" s="18">
        <v>5.6</v>
      </c>
      <c r="FO4" s="18">
        <v>0</v>
      </c>
      <c r="FP4" s="18">
        <v>0</v>
      </c>
      <c r="FQ4" s="55" t="str">
        <f>IF(SUM(EX4,FB4)&gt;0,SUM(EX4,FB4),"")</f>
        <v/>
      </c>
      <c r="FR4" s="55" t="str">
        <f>IF(SUM(EW4:EX4,EZ4:FB4,FD4)-EY4-FC4&gt;0,SUM(EW4:EX4,EZ4:FB4,FD4)-EY4-FC4,"")</f>
        <v/>
      </c>
      <c r="FS4" s="55" t="str">
        <f>IF(SUM(FE4:FF4,FH4)-FG4&gt;0,SUM(FE4:FF4,FH4)-FG4,"")</f>
        <v/>
      </c>
      <c r="FT4" s="55">
        <f>IF(SUM(FJ4,FN4)&gt;0,SUM(FJ4,FN4),"")</f>
        <v>11.6</v>
      </c>
      <c r="FU4" s="55">
        <f>IF(SUM(FI4:FJ4,FL4:FN4,FP4)-SUM(FK4,FO4)&gt;0,SUM(FI4:FJ4,FL4:FN4,FP4)-SUM(FK4,FO4),"")</f>
        <v>48.9</v>
      </c>
      <c r="FV4" s="55">
        <f>IF(SUM(FR4,FS4,FU4)&gt;0,SUM(FR4,FS4,FU4),"")</f>
        <v>48.9</v>
      </c>
      <c r="FW4" s="19">
        <v>18.8</v>
      </c>
      <c r="FX4" s="19">
        <v>6.8</v>
      </c>
      <c r="FY4" s="19">
        <v>0.2</v>
      </c>
      <c r="FZ4" s="19">
        <v>0</v>
      </c>
      <c r="GA4" s="19">
        <v>18.600000000000001</v>
      </c>
      <c r="GB4" s="19">
        <v>6.4</v>
      </c>
      <c r="GC4" s="19">
        <v>0</v>
      </c>
      <c r="GD4" s="19">
        <v>0</v>
      </c>
      <c r="GE4" s="19"/>
      <c r="GF4" s="19"/>
      <c r="GG4" s="19"/>
      <c r="GH4" s="19"/>
      <c r="GI4" s="19">
        <v>18.600000000000001</v>
      </c>
      <c r="GJ4" s="19">
        <v>6.4</v>
      </c>
      <c r="GK4" s="19">
        <v>0</v>
      </c>
      <c r="GL4" s="19">
        <v>0</v>
      </c>
      <c r="GM4" s="19">
        <v>18.8</v>
      </c>
      <c r="GN4" s="19">
        <v>6.8</v>
      </c>
      <c r="GO4" s="19">
        <v>0</v>
      </c>
      <c r="GP4" s="19">
        <v>0</v>
      </c>
      <c r="GQ4" s="14">
        <f>IF(SUM(FX4,GB4)&gt;0,SUM(FX4,GB4),"")</f>
        <v>13.2</v>
      </c>
      <c r="GR4" s="14">
        <f>IF(SUM(FW4:FX4,FZ4:GB4,GD4)-FY4-GC4&gt;0,SUM(FW4:FX4,FZ4:GB4,GD4)-FY4-GC4,"")</f>
        <v>50.4</v>
      </c>
      <c r="GS4" s="14" t="str">
        <f>IF(SUM(GE4:GF4,GH4)-GG4&gt;0,SUM(GE4:GF4,GH4)-GG4,"")</f>
        <v/>
      </c>
      <c r="GT4" s="14">
        <f>IF(SUM(GJ4,GN4)&gt;0,SUM(GJ4,GN4),"")</f>
        <v>13.2</v>
      </c>
      <c r="GU4" s="14">
        <f>IF(SUM(GI4:GJ4,GL4:GN4,GP4)-SUM(GK4,GO4)&gt;0,SUM(GI4:GJ4,GL4:GN4,GP4)-SUM(GK4,GO4),"")</f>
        <v>50.599999999999994</v>
      </c>
      <c r="GV4" s="14">
        <f>IF(SUM(GR4,GS4,GU4)&gt;0,SUM(GR4,GS4,GU4),"")</f>
        <v>101</v>
      </c>
      <c r="GW4" s="18"/>
      <c r="GX4" s="18"/>
      <c r="GY4" s="18"/>
      <c r="GZ4" s="18"/>
      <c r="HA4" s="18"/>
      <c r="HB4" s="18"/>
      <c r="HC4" s="18"/>
      <c r="HD4" s="18"/>
      <c r="HE4" s="18">
        <v>17.2</v>
      </c>
      <c r="HF4" s="18">
        <v>2.8</v>
      </c>
      <c r="HG4" s="18">
        <v>0</v>
      </c>
      <c r="HH4" s="18">
        <v>0</v>
      </c>
      <c r="HI4" s="18"/>
      <c r="HJ4" s="18"/>
      <c r="HK4" s="18"/>
      <c r="HL4" s="18"/>
      <c r="HM4" s="18"/>
      <c r="HN4" s="18"/>
      <c r="HO4" s="18"/>
      <c r="HP4" s="18"/>
      <c r="HQ4" s="55" t="str">
        <f>IF(SUM(GX4,HB4)&gt;0,SUM(GX4,HB4),"")</f>
        <v/>
      </c>
      <c r="HR4" s="55" t="str">
        <f>IF(SUM(GW4:GX4,GZ4:HB4,HD4)-GY4-HC4&gt;0,SUM(GW4:GX4,GZ4:HB4,HD4)-GY4-HC4,"")</f>
        <v/>
      </c>
      <c r="HS4" s="55">
        <f>IF(SUM(HE4:HF4,HH4)-HG4&gt;0,SUM(HE4:HF4,HH4)-HG4,"")</f>
        <v>20</v>
      </c>
      <c r="HT4" s="55" t="str">
        <f>IF(SUM(HJ4,HN4)&gt;0,SUM(HJ4,HN4),"")</f>
        <v/>
      </c>
      <c r="HU4" s="55" t="str">
        <f>IF(SUM(HI4:HJ4,HL4:HN4,HP4)-SUM(HK4,HO4)&gt;0,SUM(HI4:HJ4,HL4:HN4,HP4)-SUM(HK4,HO4),"")</f>
        <v/>
      </c>
      <c r="HV4" s="55">
        <f>IF(SUM(HR4,HS4,HU4)&gt;0,SUM(HR4,HS4,HU4),"")</f>
        <v>20</v>
      </c>
      <c r="HW4" s="19"/>
      <c r="HX4" s="19"/>
      <c r="HY4" s="19"/>
      <c r="HZ4" s="19"/>
      <c r="IA4" s="19"/>
      <c r="IB4" s="19"/>
      <c r="IC4" s="19"/>
      <c r="ID4" s="19"/>
      <c r="IE4" s="19"/>
      <c r="IF4" s="19"/>
      <c r="IG4" s="19"/>
      <c r="IH4" s="19"/>
      <c r="II4" s="19"/>
      <c r="IJ4" s="19"/>
      <c r="IK4" s="19"/>
      <c r="IL4" s="19"/>
      <c r="IM4" s="19"/>
      <c r="IN4" s="19"/>
      <c r="IO4" s="19"/>
      <c r="IP4" s="19"/>
      <c r="IQ4" s="14" t="str">
        <f>IF(SUM(HX4,IB4)&gt;0,SUM(HX4,IB4),"")</f>
        <v/>
      </c>
      <c r="IR4" s="14" t="str">
        <f>IF(SUM(HW4:HX4,HZ4:IB4,ID4)-HY4-IC4&gt;0,SUM(HW4:HX4,HZ4:IB4,ID4)-HY4-IC4,"")</f>
        <v/>
      </c>
      <c r="IS4" s="14" t="str">
        <f>IF(SUM(IE4:IF4,IH4)-IG4&gt;0,SUM(IE4:IF4,IH4)-IG4,"")</f>
        <v/>
      </c>
      <c r="IT4" s="14" t="str">
        <f>IF(SUM(IJ4,IN4)&gt;0,SUM(IJ4,IN4),"")</f>
        <v/>
      </c>
      <c r="IU4" s="14" t="str">
        <f>IF(SUM(II4:IJ4,IL4:IN4,IP4)-SUM(IK4,IO4)&gt;0,SUM(II4:IJ4,IL4:IN4,IP4)-SUM(IK4,IO4),"")</f>
        <v/>
      </c>
      <c r="IV4" s="14" t="str">
        <f>IF(SUM(IR4,IS4,IU4)&gt;0,SUM(IR4,IS4,IU4),"")</f>
        <v/>
      </c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8"/>
      <c r="JL4" s="18"/>
      <c r="JM4" s="18"/>
      <c r="JN4" s="18"/>
      <c r="JO4" s="18"/>
      <c r="JP4" s="18"/>
      <c r="JQ4" s="55" t="str">
        <f>IF(SUM(IX4,JB4)&gt;0,SUM(IX4,JB4),"")</f>
        <v/>
      </c>
      <c r="JR4" s="55" t="str">
        <f>IF(SUM(IW4:IX4,IZ4:JB4,JD4)-IY4-JC4&gt;0,SUM(IW4:IX4,IZ4:JB4,JD4)-IY4-JC4,"")</f>
        <v/>
      </c>
      <c r="JS4" s="55" t="str">
        <f>IF(SUM(JE4:JF4,JH4)-JG4&gt;0,SUM(JE4:JF4,JH4)-JG4,"")</f>
        <v/>
      </c>
      <c r="JT4" s="55" t="str">
        <f>IF(SUM(JJ4,JN4)&gt;0,SUM(JJ4,JN4),"")</f>
        <v/>
      </c>
      <c r="JU4" s="55" t="str">
        <f>IF(SUM(JI4:JJ4,JL4:JN4,JP4)-SUM(JK4,JO4)&gt;0,SUM(JI4:JJ4,JL4:JN4,JP4)-SUM(JK4,JO4),"")</f>
        <v/>
      </c>
      <c r="JV4" s="55" t="str">
        <f>IF(SUM(JR4,JS4,JU4)&gt;0,SUM(JR4,JS4,JU4),"")</f>
        <v/>
      </c>
      <c r="JW4" s="19"/>
      <c r="JX4" s="19"/>
      <c r="JY4" s="19"/>
      <c r="JZ4" s="19"/>
      <c r="KA4" s="19"/>
      <c r="KB4" s="19"/>
      <c r="KC4" s="19"/>
      <c r="KD4" s="19"/>
      <c r="KE4" s="19"/>
      <c r="KF4" s="19"/>
      <c r="KG4" s="19"/>
      <c r="KH4" s="19"/>
      <c r="KI4" s="19"/>
      <c r="KJ4" s="19"/>
      <c r="KK4" s="19"/>
      <c r="KL4" s="19"/>
      <c r="KM4" s="19"/>
      <c r="KN4" s="19"/>
      <c r="KO4" s="19"/>
      <c r="KP4" s="19"/>
      <c r="KQ4" s="14" t="str">
        <f>IF(SUM(JX4,KB4)&gt;0,SUM(JX4,KB4),"")</f>
        <v/>
      </c>
      <c r="KR4" s="14" t="str">
        <f>IF(SUM(JW4:JX4,JZ4:KB4,KD4)-JY4-KC4&gt;0,SUM(JW4:JX4,JZ4:KB4,KD4)-JY4-KC4,"")</f>
        <v/>
      </c>
      <c r="KS4" s="14" t="str">
        <f>IF(SUM(KE4:KF4,KH4)-KG4&gt;0,SUM(KE4:KF4,KH4)-KG4,"")</f>
        <v/>
      </c>
      <c r="KT4" s="14" t="str">
        <f>IF(SUM(KJ4,KN4)&gt;0,SUM(KJ4,KN4),"")</f>
        <v/>
      </c>
      <c r="KU4" s="14" t="str">
        <f>IF(SUM(KI4:KJ4,KL4:KN4,KP4)-SUM(KK4,KO4)&gt;0,SUM(KI4:KJ4,KL4:KN4,KP4)-SUM(KK4,KO4),"")</f>
        <v/>
      </c>
      <c r="KV4" s="14" t="str">
        <f>IF(SUM(KR4,KS4,KU4)&gt;0,SUM(KR4,KS4,KU4),"")</f>
        <v/>
      </c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55" t="str">
        <f>IF(SUM(KX4,LB4)&gt;0,SUM(KX4,LB4),"")</f>
        <v/>
      </c>
      <c r="LR4" s="55" t="str">
        <f>IF(SUM(KW4:KX4,KZ4:LB4,LD4)-KY4-LC4&gt;0,SUM(KW4:KX4,KZ4:LB4,LD4)-KY4-LC4,"")</f>
        <v/>
      </c>
      <c r="LS4" s="55" t="str">
        <f>IF(SUM(LE4:LF4,LH4)-LG4&gt;0,SUM(LE4:LF4,LH4)-LG4,"")</f>
        <v/>
      </c>
      <c r="LT4" s="55" t="str">
        <f>IF(SUM(LJ4,LN4)&gt;0,SUM(LJ4,LN4),"")</f>
        <v/>
      </c>
      <c r="LU4" s="55" t="str">
        <f>IF(SUM(LI4:LJ4,LL4:LN4,LP4)-SUM(LK4,LO4)&gt;0,SUM(LI4:LJ4,LL4:LN4,LP4)-SUM(LK4,LO4),"")</f>
        <v/>
      </c>
      <c r="LV4" s="55" t="str">
        <f>IF(SUM(LR4,LS4,LU4)&gt;0,SUM(LR4,LS4,LU4),"")</f>
        <v/>
      </c>
      <c r="LW4" s="19"/>
      <c r="LX4" s="19"/>
      <c r="LY4" s="19"/>
      <c r="LZ4" s="19"/>
      <c r="MA4" s="19"/>
      <c r="MB4" s="19"/>
      <c r="MC4" s="19"/>
      <c r="MD4" s="19"/>
      <c r="ME4" s="19"/>
      <c r="MF4" s="19"/>
      <c r="MG4" s="19"/>
      <c r="MH4" s="19"/>
      <c r="MI4" s="19"/>
      <c r="MJ4" s="19"/>
      <c r="MK4" s="19"/>
      <c r="ML4" s="19"/>
      <c r="MM4" s="19"/>
      <c r="MN4" s="19"/>
      <c r="MO4" s="19"/>
      <c r="MP4" s="19"/>
      <c r="MQ4" s="14" t="str">
        <f>IF(SUM(LX4,MB4)&gt;0,SUM(LX4,MB4),"")</f>
        <v/>
      </c>
      <c r="MR4" s="14" t="str">
        <f>IF(SUM(LW4:LX4,LZ4:MB4,MD4)-LY4-MC4&gt;0,SUM(LW4:LX4,LZ4:MB4,MD4)-LY4-MC4,"")</f>
        <v/>
      </c>
      <c r="MS4" s="14" t="str">
        <f>IF(SUM(ME4:MF4,MH4)-MG4&gt;0,SUM(ME4:MF4,MH4)-MG4,"")</f>
        <v/>
      </c>
      <c r="MT4" s="14" t="str">
        <f>IF(SUM(MJ4,MN4)&gt;0,SUM(MJ4,MN4),"")</f>
        <v/>
      </c>
      <c r="MU4" s="14" t="str">
        <f>IF(SUM(MI4:MJ4,ML4:MN4,MP4)-SUM(MK4,MO4)&gt;0,SUM(MI4:MJ4,ML4:MN4,MP4)-SUM(MK4,MO4),"")</f>
        <v/>
      </c>
      <c r="MV4" s="14" t="str">
        <f>IF(SUM(MR4,MS4,MU4)&gt;0,SUM(MR4,MS4,MU4),"")</f>
        <v/>
      </c>
      <c r="MW4" s="18"/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55" t="str">
        <f>IF(SUM(MX4,NB4)&gt;0,SUM(MX4,NB4),"")</f>
        <v/>
      </c>
      <c r="NR4" s="55" t="str">
        <f>IF(SUM(MW4:MX4,MZ4:NB4,ND4)-MY4-NC4&gt;0,SUM(MW4:MX4,MZ4:NB4,ND4)-MY4-NC4,"")</f>
        <v/>
      </c>
      <c r="NS4" s="55" t="str">
        <f>IF(SUM(NE4:NF4,NH4)-NG4&gt;0,SUM(NE4:NF4,NH4)-NG4,"")</f>
        <v/>
      </c>
      <c r="NT4" s="55" t="str">
        <f>IF(SUM(NJ4,NN4)&gt;0,SUM(NJ4,NN4),"")</f>
        <v/>
      </c>
      <c r="NU4" s="55" t="str">
        <f>IF(SUM(NI4:NJ4,NL4:NN4,NP4)-SUM(NK4,NO4)&gt;0,SUM(NI4:NJ4,NL4:NN4,NP4)-SUM(NK4,NO4),"")</f>
        <v/>
      </c>
      <c r="NV4" s="55" t="str">
        <f>IF(SUM(NR4,NS4,NU4)&gt;0,SUM(NR4,NS4,NU4),"")</f>
        <v/>
      </c>
      <c r="NW4" s="19"/>
      <c r="NX4" s="19"/>
      <c r="NY4" s="19"/>
      <c r="NZ4" s="19"/>
      <c r="OA4" s="19"/>
      <c r="OB4" s="19"/>
      <c r="OC4" s="19"/>
      <c r="OD4" s="19"/>
      <c r="OE4" s="19"/>
      <c r="OF4" s="19"/>
      <c r="OG4" s="19"/>
      <c r="OH4" s="19"/>
      <c r="OI4" s="19"/>
      <c r="OJ4" s="19"/>
      <c r="OK4" s="19"/>
      <c r="OL4" s="19"/>
      <c r="OM4" s="19"/>
      <c r="ON4" s="19"/>
      <c r="OO4" s="19"/>
      <c r="OP4" s="19"/>
      <c r="OQ4" s="14" t="str">
        <f>IF(SUM(NX4,OB4)&gt;0,SUM(NX4,OB4),"")</f>
        <v/>
      </c>
      <c r="OR4" s="14" t="str">
        <f>IF(SUM(NW4:NX4,NZ4:OB4,OD4)-NY4-OC4&gt;0,SUM(NW4:NX4,NZ4:OB4,OD4)-NY4-OC4,"")</f>
        <v/>
      </c>
      <c r="OS4" s="14" t="str">
        <f>IF(SUM(OE4:OF4,OH4)-OG4&gt;0,SUM(OE4:OF4,OH4)-OG4,"")</f>
        <v/>
      </c>
      <c r="OT4" s="14" t="str">
        <f>IF(SUM(OJ4,ON4)&gt;0,SUM(OJ4,ON4),"")</f>
        <v/>
      </c>
      <c r="OU4" s="14" t="str">
        <f>IF(SUM(OI4:OJ4,OL4:ON4,OP4)-SUM(OK4,OO4)&gt;0,SUM(OI4:OJ4,OL4:ON4,OP4)-SUM(OK4,OO4),"")</f>
        <v/>
      </c>
      <c r="OV4" s="14" t="str">
        <f>IF(SUM(OR4,OS4,OU4)&gt;0,SUM(OR4,OS4,OU4),"")</f>
        <v/>
      </c>
      <c r="OW4" s="27">
        <f>IF($CN4="P",BT4,(BT4+AS4)/2)</f>
        <v>9.4</v>
      </c>
      <c r="OX4" s="27">
        <f>IF($CN4="P",BU4,(BU4+AT4)/2)</f>
        <v>3.2</v>
      </c>
      <c r="OY4" s="27">
        <f>IF($CN4="P",BV4,(BV4+AU4)/2)</f>
        <v>0</v>
      </c>
      <c r="OZ4" s="27">
        <f>IF($CN4="P",BW4,(BW4+AV4)/2)</f>
        <v>0</v>
      </c>
      <c r="PA4" s="27">
        <f>IF($CN4="P",BX4,(BX4+AW4)/2)</f>
        <v>9.5500000000000007</v>
      </c>
      <c r="PB4" s="27">
        <f>IF($CN4="P",BY4,(BY4+AX4)/2)</f>
        <v>3.4</v>
      </c>
      <c r="PC4" s="27">
        <f>IF($CN4="P",BZ4,(BZ4+AY4)/2)</f>
        <v>0</v>
      </c>
      <c r="PD4" s="27">
        <f>IF($CN4="P",CA4,(CA4+AZ4)/2)</f>
        <v>0</v>
      </c>
      <c r="PE4" s="27">
        <f>IF($CN4="P",CB4,(CB4+BA4)/2)</f>
        <v>9.35</v>
      </c>
      <c r="PF4" s="27">
        <f>IF($CN4="P",CC4,(CC4+BB4)/2)</f>
        <v>3</v>
      </c>
      <c r="PG4" s="27">
        <f>IF($CN4="P",CD4,(CD4+BC4)/2)</f>
        <v>0</v>
      </c>
      <c r="PH4" s="27">
        <f>IF($CN4="P",CE4,(CE4+BD4)/2)</f>
        <v>0</v>
      </c>
      <c r="PI4" s="27">
        <f>IF($CN4="P",CF4,(CF4+BE4)/2)</f>
        <v>9.1999999999999993</v>
      </c>
      <c r="PJ4" s="27">
        <f>IF($CN4="P",CG4,(CG4+BF4)/2)</f>
        <v>3.2</v>
      </c>
      <c r="PK4" s="27">
        <f>IF($CN4="P",CH4,(CH4+BG4)/2)</f>
        <v>0</v>
      </c>
      <c r="PL4" s="27">
        <f>IF($CN4="P",CI4,(CI4+BH4)/2)</f>
        <v>0</v>
      </c>
      <c r="PM4" s="27">
        <f>IF($CN4="P",CJ4,(CJ4+BI4)/2)</f>
        <v>9.35</v>
      </c>
      <c r="PN4" s="27">
        <f>IF($CN4="P",CK4,(CK4+BJ4)/2)</f>
        <v>3.4</v>
      </c>
      <c r="PO4" s="27">
        <f>IF($CN4="P",CL4,(CL4+BK4)/2)</f>
        <v>0</v>
      </c>
      <c r="PP4" s="27">
        <f>IF($CN4="P",CM4,(CM4+BL4)/2)</f>
        <v>0</v>
      </c>
      <c r="PQ4" s="32" t="s">
        <v>44</v>
      </c>
      <c r="PR4" s="55">
        <f>IF(SUM(OX4,PB4)&gt;0,SUM(OX4,PB4),"")</f>
        <v>6.6</v>
      </c>
      <c r="PS4" s="55">
        <f>IF(SUM(OW4:OX4,OZ4:PB4,PD4)-OY4-PC4&gt;0,SUM(OW4:OX4,OZ4:PB4,PD4)-OY4-PC4,"")</f>
        <v>25.55</v>
      </c>
      <c r="PT4" s="55">
        <f>IF(SUM(PE4:PF4,PH4)-PG4&gt;0,SUM(PE4:PF4,PH4)-PG4,"")</f>
        <v>12.35</v>
      </c>
      <c r="PU4" s="55">
        <f>IF(SUM(PJ4,PN4)&gt;0,SUM(PJ4,PN4),"")</f>
        <v>6.6</v>
      </c>
      <c r="PV4" s="55">
        <f>IF(SUM(PI4:PJ4,PL4:PN4,PP4)-SUM(PK4,PO4)&gt;0,SUM(PI4:PJ4,PL4:PN4,PP4)-SUM(PK4,PO4),"")</f>
        <v>25.15</v>
      </c>
      <c r="PW4" s="55">
        <f>IF(SUM(PS4,PT4,PV4)&gt;0,SUM(PS4,PT4,PV4),"")</f>
        <v>63.05</v>
      </c>
    </row>
    <row r="5" spans="1:439" x14ac:dyDescent="0.2">
      <c r="A5" s="4" cm="1">
        <f t="array" ref="A5">IF(AND(H5&lt;&gt;"",H5&lt;&gt;"No DD"),SUMPRODUCT((H$4:H$7&lt;&gt;"")*(H$4:H$7&lt;&gt;"No DD")*(E$4:E$7&gt;E5))+1,IF(H5="No DD",SUMPRODUCT((H$4:H$7="No DD")*(E$4:E$7&gt;E5))+1+SUMPRODUCT((H$4:H$7&lt;&gt;"")*(H$4:H$7&lt;&gt;"No DD")),""))</f>
        <v>2</v>
      </c>
      <c r="B5" s="5" t="s">
        <v>85</v>
      </c>
      <c r="C5" s="4" t="s">
        <v>68</v>
      </c>
      <c r="D5" s="4">
        <v>2007</v>
      </c>
      <c r="E5" s="10">
        <f>SUM(I5:O5)+SUM(I5:M5)*0.0000001+SUM(I5)*0.0000000000001</f>
        <v>146.3000146200049</v>
      </c>
      <c r="F5" s="3" t="str">
        <f>IF(OR(AND(AM5&gt;=AR$9,AN5&gt;=AR$13,AM5&lt;&gt;"",AL5=""),AND(AP5&gt;=AR$9,AQ5&gt;=AR$13,AP5&lt;&gt;"",AL5=""),AND(BN5&gt;=BS$9,BO5&gt;=BS$13,BN5&lt;&gt;"",BM5=""),AND(BQ5&gt;=BS$9,BR5&gt;=BS$13,BQ5&lt;&gt;"",BM5=""),AND(CO5&gt;=CT$9,CP5&gt;=CT$13,CO5&lt;&gt;"",CN5=""),AND(CR5&gt;=CT$9,CS5&gt;=CT$13,CR5&lt;&gt;""),AND(DQ5&gt;=DV$9,DR5&gt;=DV$13,DQ5&lt;&gt;""),AND(DT5&gt;=DV$9,DU5&gt;=DV$13,DT5&lt;&gt;""),AND(EQ5&gt;=EV$9,ER5&gt;=EV$13,EQ5&lt;&gt;""),AND(ET5&gt;=EV$9,EU5&gt;=EV$13,ET5&lt;&gt;""),AND(FQ5&gt;=FV$9,FR5&gt;=FV$13,FQ5&lt;&gt;""),AND(FT5&gt;=FV$9,FU5&gt;=FV$13,FT5&lt;&gt;""),AND(GQ5&gt;=GV$9,GR5&gt;=GV$13,GQ5&lt;&gt;""),AND(GT5&gt;=GV$9,GU5&gt;=GV$13,GT5&lt;&gt;""),AND(HQ5&gt;=HV$9,HR5&gt;=HV$13,HQ5&lt;&gt;""),AND(HT5&gt;=HV$9,HU5&gt;=HV$13,HT5&lt;&gt;""),AND(IQ5&gt;=IV$9,IR5&gt;=IV$13,IQ5&lt;&gt;""),AND(IT5&gt;=IV$9,IU5&gt;=IV$13,IT5&lt;&gt;""),AND(JQ5&gt;=JV$9,JR5&gt;=JV$13,JQ5&lt;&gt;""),AND(JT5&gt;=JV$9,JU5&gt;=JV$13,JT5&lt;&gt;""),AND(KQ5&gt;=KV$9,KR5&gt;=KV$13,KQ5&lt;&gt;""),AND(KT5&gt;=KV$9,KU5&gt;=KV$13,KT5&lt;&gt;""),AND(LQ5&gt;=LV$9,LR5&gt;=LV$13,LQ5&lt;&gt;""),AND(LT5&gt;=LV$9,LU5&gt;=LV$13,LT5&lt;&gt;""),AND(MQ5&gt;=MV$9,MR5&gt;=MV$13,MQ5&lt;&gt;""),AND(MT5&gt;=MV$9,MU5&gt;=MV$13,MT5&lt;&gt;""),AND(NQ5&gt;=NV$9,NR5&gt;=NV$13,NQ5&lt;&gt;""),AND(NT5&gt;=NV$9,NU5&gt;=NV$13,NT5&lt;&gt;""),AND(OQ5&gt;=OV$9,OR5&gt;=OV$13,OQ5&lt;&gt;""),AND(OT5&gt;=OV$9,OU5&gt;=OV$13,OT5&lt;&gt;"")),"P","")</f>
        <v>P</v>
      </c>
      <c r="G5" s="3" t="str">
        <f>IF(OR(AND(AN5&gt;=AR$13,AN5&lt;&gt;"",AL5=""),AND(AQ5&gt;=AR$13,AQ5&lt;&gt;"",AL5=""),AND(BO5&gt;=BS$13,BO5&lt;&gt;"",BM5=""),AND(BR5&gt;=BS$13,BR5&lt;&gt;"",BM5=""),AND(CP5&gt;=CT$13,CP5&lt;&gt;"",CN5=""),AND(CS5&gt;=CT$13,CS5&lt;&gt;"",CN5=""),AND(DR5&gt;=DV$13,DR5&lt;&gt;""),AND(DU5&gt;=DV$13,DU5&lt;&gt;""),AND(ER5&gt;=EV$13,ER5&lt;&gt;""),AND(EU5&gt;=EV$13,EU5&lt;&gt;""),AND(FR5&gt;=FV$13,FR5&lt;&gt;""),AND(FU5&gt;=FV$13,FU5&lt;&gt;""),AND(GR5&gt;=GV$13,GR5&lt;&gt;""),AND(GU5&gt;=GV$13,GU5&lt;&gt;""),AND(HR5&gt;=HV$13,HR5&lt;&gt;""),AND(HU5&gt;=HV$13,HU5&lt;&gt;""),AND(IR5&gt;=IV$13,IR5&lt;&gt;""),AND(IU5&gt;=IV$13,IU5&lt;&gt;""),AND(JR5&gt;=JV$13,JR5&lt;&gt;""),AND(JU5&gt;=JV$13,JU5&lt;&gt;""),AND(KR5&gt;=KV$13,KR5&lt;&gt;""),AND(KU5&gt;=KV$13,KU5&lt;&gt;""),AND(LR5&gt;=LV$13,LR5&lt;&gt;""),AND(LU5&gt;=LV$13,LU5&lt;&gt;""),AND(MR5&gt;=MV$13,MR5&lt;&gt;""),AND(MU5&gt;=MV$13,MU5&lt;&gt;""),AND(NR5&gt;=NV$13,NR5&lt;&gt;""),AND(NU5&gt;=NV$13,NU5&lt;&gt;""),AND(OR5&gt;=OV$13,OR5&lt;&gt;""),AND(OU5&gt;=OV$13,OU5&lt;&gt;"")),"P","")</f>
        <v>P</v>
      </c>
      <c r="H5" s="47" t="str">
        <f>IF(AND(G5="P",F5=""),"No DD",IF(OR(AND(AM5&gt;=AR$12,AN5&gt;=AR$16,AM5&lt;&gt;"",AL5=""),AND(AP5&gt;=AR$12,AQ5&gt;=AR$16,AP5&lt;&gt;"",AL5=""),AND(BN5&gt;=BS$12,BO5&gt;=BS$16,BN5&lt;&gt;"",BM5=""),AND(BQ5&gt;=BS$12,BR5&gt;=BS$16,BQ5&lt;&gt;"",BM5=""),AND(CO5&gt;=CT$12,CP5&gt;=CT$16,CO5&lt;&gt;"",CN5=""),AND(CR5&gt;=CT$12,CS5&gt;=CT$16,CR5&lt;&gt;""),AND(DQ5&gt;=DV$12,DR5&gt;=DV$16,DQ5&lt;&gt;""),AND(DT5&gt;=DV$12,DU5&gt;=DV$16,DT5&lt;&gt;""),AND(EQ5&gt;=EV$12,ER5&gt;=EV$16,EQ5&lt;&gt;""),AND(ET5&gt;=EV$12,EU5&gt;=EV$16,ET5&lt;&gt;""),AND(FQ5&gt;=FV$12,FR5&gt;=FV$16,FQ5&lt;&gt;""),AND(FT5&gt;=FV$12,FU5&gt;=FV$16,FT5&lt;&gt;""),AND(GQ5&gt;=GV$12,GR5&gt;=GV$16,GQ5&lt;&gt;""),AND(GT5&gt;=GV$12,GU5&gt;=GV$16,GT5&lt;&gt;""),AND(HQ5&gt;=HV$12,HR5&gt;=HV$16,HQ5&lt;&gt;""),AND(HT5&gt;=HV$12,HU5&gt;=HV$16,HT5&lt;&gt;""),AND(IQ5&gt;=IV$12,IR5&gt;=IV$16,IQ5&lt;&gt;""),AND(IT5&gt;=IV$12,IU5&gt;=IV$16,IT5&lt;&gt;""),AND(JQ5&gt;=JV$12,JR5&gt;=JV$16,JQ5&lt;&gt;""),AND(JT5&gt;=JV$12,JU5&gt;=JV$16,JT5&lt;&gt;""),AND(KQ5&gt;=KV$12,KR5&gt;=KV$16,KQ5&lt;&gt;""),AND(KT5&gt;=KV$12,KU5&gt;=KV$16,KT5&lt;&gt;""),AND(LQ5&gt;=LV$12,LR5&gt;=LV$16,LQ5&lt;&gt;""),AND(LT5&gt;=LV$12,LU5&gt;=LV$16,LT5&lt;&gt;""),AND(MQ5&gt;=MV$12,MR5&gt;=MV$16,MQ5&lt;&gt;""),AND(MT5&gt;=MV$12,MU5&gt;=MV$16,MT5&lt;&gt;""),AND(NQ5&gt;=NV$12,NR5&gt;=NV$16,NQ5&lt;&gt;""),AND(NT5&gt;=NV$12,NU5&gt;=NV$16,NT5&lt;&gt;""),AND(OQ5&gt;=OV$12,OR5&gt;=OV$16,OQ5&lt;&gt;""),AND(OT5&gt;=OV$12,OU5&gt;=OV$16,OT5&lt;&gt;"")),"Merit",IF(OR(AND(AM5&gt;=AR$11,AN5&gt;=AR$15,AM5&lt;&gt;"",AL5=""),AND(AP5&gt;=AR$11,AQ5&gt;=AR$15,AP5&lt;&gt;"",AL5=""),AND(BN5&gt;=BS$11,BO5&gt;=BS$15,BN5&lt;&gt;"",BM5=""),AND(BQ5&gt;=BS$11,BR5&gt;=BS$15,BQ5&lt;&gt;"",BM5=""),AND(CO5&gt;=CT$11,CP5&gt;=CT$15,CO5&lt;&gt;"",CN5=""),AND(CR5&gt;=CT$11,CS5&gt;=CT$15,CR5&lt;&gt;""),AND(DQ5&gt;=DV$11,DR5&gt;=DV$15,DQ5&lt;&gt;""),AND(DT5&gt;=DV$11,DU5&gt;=DV$15,DT5&lt;&gt;""),AND(EQ5&gt;=EV$11,ER5&gt;=EV$15,EQ5&lt;&gt;""),AND(ET5&gt;=EV$11,EU5&gt;=EV$15,ET5&lt;&gt;""),AND(FQ5&gt;=FV$11,FR5&gt;=FV$15,FQ5&lt;&gt;""),AND(FT5&gt;=FV$11,FU5&gt;=FV$15,FT5&lt;&gt;""),AND(GQ5&gt;=GV$11,GR5&gt;=GV$15,GQ5&lt;&gt;""),AND(GT5&gt;=GV$11,GU5&gt;=GV$15,GT5&lt;&gt;""),AND(HQ5&gt;=HV$11,HR5&gt;=HV$15,HQ5&lt;&gt;""),AND(HT5&gt;=HV$11,HU5&gt;=HV$15,HT5&lt;&gt;""),AND(IQ5&gt;=IV$11,IR5&gt;=IV$15,IQ5&lt;&gt;""),AND(IT5&gt;=IV$11,IU5&gt;=IV$15,IT5&lt;&gt;""),AND(JQ5&gt;=JV$11,JR5&gt;=JV$15,JQ5&lt;&gt;""),AND(JT5&gt;=JV$11,JU5&gt;=JV$15,JT5&lt;&gt;""),AND(KQ5&gt;=KV$11,KR5&gt;=KV$15,KQ5&lt;&gt;""),AND(KT5&gt;=KV$11,KU5&gt;=KV$15,KT5&lt;&gt;""),AND(LQ5&gt;=LV$11,LR5&gt;=LV$15,LQ5&lt;&gt;""),AND(LT5&gt;=LV$11,LU5&gt;=LV$15,LT5&lt;&gt;""),AND(MQ5&gt;=MV$11,MR5&gt;=MV$15,MQ5&lt;&gt;""),AND(MT5&gt;=MV$11,MU5&gt;=MV$15,MT5&lt;&gt;""),AND(NQ5&gt;=NV$11,NR5&gt;=NV$15,NQ5&lt;&gt;""),AND(NT5&gt;=NV$11,NU5&gt;=NV$15,NT5&lt;&gt;""),AND(OQ5&gt;=OV$11,OR5&gt;=OV$15,OQ5&lt;&gt;""),AND(OT5&gt;=OV$11,OU5&gt;=OV$15,OT5&lt;&gt;"")),"Excellence",IF(F5="P","National Team",""))))</f>
        <v>Excellence</v>
      </c>
      <c r="I5" s="9">
        <f>IF(COUNT(AN5,BO5,CP5)&gt;0,LARGE((AN5,BO5,CP5),1),0)</f>
        <v>49.300000000000004</v>
      </c>
      <c r="J5" s="9" t="str">
        <f>IF(I5=0,"",IF(I5=CP5,$BT$1,IF(I5=BO5,$AS$1,IF(I5=AN5,$R$1,""))))</f>
        <v>2023 Nationals</v>
      </c>
      <c r="K5" s="9">
        <f>IF(COUNT(AN5,BO5,CP5)&gt;1,LARGE((AN5,BO5,CP5),2),0)</f>
        <v>48.2</v>
      </c>
      <c r="L5" s="9" t="str">
        <f>IF(K5=0,"",IF(K5=CP5,$BT$1,IF(K5=BO5,$AS$1,IF(K5=AN5,$R$1,""))))</f>
        <v>2023 Elite Canada</v>
      </c>
      <c r="M5" s="9">
        <f>IF(MAX(AQ5,BR5,CS5)&gt;0,MAX(AQ5,BR5,CS5),0)</f>
        <v>48.699999999999996</v>
      </c>
      <c r="N5" s="9" t="str">
        <f>IF(M5=0,"",IF(M5=CS5,$BT$1,IF(M5=BR5,$AS$1,IF(M5=AQ5,$R$1,""))))</f>
        <v>2023 3rd Domestic Trial</v>
      </c>
      <c r="O5" s="9">
        <f>IF(MAX(CU5:CV5)&gt;0,MAX(CU5:CV5),"")</f>
        <v>0.10000000000000142</v>
      </c>
      <c r="P5" s="14" t="str">
        <f>IF(O5="","",IF(O5=CU5,"("&amp;CU$2&amp;")",IF(O5=CV5,"("&amp;CV$2&amp;")")))</f>
        <v>(Final)</v>
      </c>
      <c r="Q5" s="9" t="str">
        <f>IF(O5="","",IF(O5=CU5,IF(O5+IF(K5="",0,K5)=OR5,$NW$1,IF(O5+IF(K5="",0,K5)=NR5,$MW$1,IF(O5+IF(K5="",0,K5)=MR5,$LW$1,IF(O5+IF(K5="",0,K5)=LR5,$KW$1,IF(O5+IF(K5="",0,K5)=KR5,$JW$1,IF(O5+IF(K5="",0,K5)=JR5,$IW$1,IF(O5+IF(K5="",0,K5)=IR5,$HW$1,IF(O5+IF(K5="",0,K5)=HR5,$GW$1,IF(O5+IF(K5="",0,K5)=GR5,$FW$1,IF(O5+IF(K5="",0,K5)=FR5,$EW$1,IF(O5+IF(K5="",0,K5)=ER5,$DW$1,IF(O5+IF(K5="",0,K5)=DR5,$CW$1)))))))))))),IF(O5=CV5,IF(O5+IF(M5="",0,M5)=OU5,$NW$1,IF(O5+IF(M5="",0,M5)=NU5,$MW$1,IF(O5+IF(M5="",0,M5)=MU5,$LW$1,IF(O5+IF(M5="",0,M5)=LU5,$KW$1,IF(O5+IF(M5="",0,M5)=KU5,$JW$1,IF(O5+IF(M5="",0,M5)=JU5,$IW$1,IF(O5+IF(M5="",0,M5)=IU5,$HW$1,IF(O5+IF(M5="",0,M5)=HU5,$GW$1,IF(O5+IF(M5="",0,M5)=GU5,$FW$1,IF(O5+IF(M5="",0,M5)=FU5,$EW$1,IF(O5+IF(M5="",0,M5)=EU5,$DW$1,IF(O5+IF(M5="",0,M5)=DU5,$CW$1)))))))))))))))</f>
        <v>2023 Junior Worlds (Nov 19)</v>
      </c>
      <c r="R5" s="20">
        <v>19</v>
      </c>
      <c r="S5" s="20">
        <v>5.2</v>
      </c>
      <c r="T5" s="20">
        <v>0</v>
      </c>
      <c r="U5" s="20">
        <v>0</v>
      </c>
      <c r="V5" s="20">
        <v>18.8</v>
      </c>
      <c r="W5" s="20">
        <v>5.2</v>
      </c>
      <c r="X5" s="20">
        <v>0</v>
      </c>
      <c r="Y5" s="20">
        <v>0</v>
      </c>
      <c r="Z5" s="20">
        <v>17.5</v>
      </c>
      <c r="AA5" s="20">
        <v>1.2</v>
      </c>
      <c r="AB5" s="20">
        <v>0</v>
      </c>
      <c r="AC5" s="20">
        <v>0</v>
      </c>
      <c r="AD5" s="20">
        <v>18.8</v>
      </c>
      <c r="AE5" s="20">
        <v>6</v>
      </c>
      <c r="AF5" s="20">
        <v>0.6</v>
      </c>
      <c r="AG5" s="20">
        <v>0</v>
      </c>
      <c r="AH5" s="20">
        <v>18.600000000000001</v>
      </c>
      <c r="AI5" s="20">
        <v>5.6</v>
      </c>
      <c r="AJ5" s="20">
        <v>0.6</v>
      </c>
      <c r="AK5" s="20">
        <v>0</v>
      </c>
      <c r="AL5" s="32"/>
      <c r="AM5" s="55">
        <f>IF(SUM(S5,W5)&gt;0,SUM(S5,W5),"")</f>
        <v>10.4</v>
      </c>
      <c r="AN5" s="55">
        <f>IF(SUM(R5:S5,U5:W5,Y5)-T5-X5&gt;0,SUM(R5:S5,U5:W5,Y5)-T5-X5,"")</f>
        <v>48.2</v>
      </c>
      <c r="AO5" s="55">
        <f>IF(SUM(Z5:AA5,AC5)-AB5&gt;0,SUM(Z5:AA5,AC5)-AB5,"")</f>
        <v>18.7</v>
      </c>
      <c r="AP5" s="55">
        <f>IF(SUM(AE5,AI5)&gt;0,SUM(AE5,AI5),"")</f>
        <v>11.6</v>
      </c>
      <c r="AQ5" s="55">
        <f>IF(SUM(AD5:AE5,AG5:AI5,AK5)-SUM(AF5,AJ5)&gt;0,SUM(AD5:AE5,AG5:AI5,AK5)-SUM(AF5,AJ5),"")</f>
        <v>47.800000000000004</v>
      </c>
      <c r="AR5" s="55">
        <f>IF(SUM(AN5,AO5,AQ5)&gt;0,SUM(AN5,AO5,AQ5),"")</f>
        <v>114.70000000000002</v>
      </c>
      <c r="AS5" s="19">
        <v>18.3</v>
      </c>
      <c r="AT5" s="19">
        <v>6</v>
      </c>
      <c r="AU5" s="19">
        <v>0</v>
      </c>
      <c r="AV5" s="19">
        <v>0</v>
      </c>
      <c r="AW5" s="19">
        <v>18.600000000000001</v>
      </c>
      <c r="AX5" s="19">
        <v>6.4</v>
      </c>
      <c r="AY5" s="19">
        <v>0</v>
      </c>
      <c r="AZ5" s="19">
        <v>0</v>
      </c>
      <c r="BA5" s="19">
        <v>17.899999999999999</v>
      </c>
      <c r="BB5" s="19">
        <v>5.2</v>
      </c>
      <c r="BC5" s="19">
        <v>0.2</v>
      </c>
      <c r="BD5" s="19">
        <v>0</v>
      </c>
      <c r="BE5" s="19">
        <v>18.5</v>
      </c>
      <c r="BF5" s="19">
        <v>6</v>
      </c>
      <c r="BG5" s="19">
        <v>0.6</v>
      </c>
      <c r="BH5" s="19">
        <v>0</v>
      </c>
      <c r="BI5" s="19">
        <v>19</v>
      </c>
      <c r="BJ5" s="19">
        <v>5.6</v>
      </c>
      <c r="BK5" s="19">
        <v>0</v>
      </c>
      <c r="BL5" s="19">
        <v>0</v>
      </c>
      <c r="BM5" s="33"/>
      <c r="BN5" s="14">
        <f>IF(SUM(AT5,AX5)&gt;0,SUM(AT5,AX5),"")</f>
        <v>12.4</v>
      </c>
      <c r="BO5" s="14">
        <f>IF(SUM(AS5:AT5,AV5:AX5,AZ5)-AU5-AY5&gt;0,SUM(AS5:AT5,AV5:AX5,AZ5)-AU5-AY5,"")</f>
        <v>49.300000000000004</v>
      </c>
      <c r="BP5" s="14">
        <f>IF(SUM(BA5:BB5,BD5)-BC5&gt;0,SUM(BA5:BB5,BD5)-BC5,"")</f>
        <v>22.9</v>
      </c>
      <c r="BQ5" s="14">
        <f>IF(SUM(BF5,BJ5)&gt;0,SUM(BF5,BJ5),"")</f>
        <v>11.6</v>
      </c>
      <c r="BR5" s="14">
        <f>IF(SUM(BE5:BF5,BH5:BJ5,BL5)-SUM(BG5,BK5)&gt;0,SUM(BE5:BF5,BH5:BJ5,BL5)-SUM(BG5,BK5),"")</f>
        <v>48.5</v>
      </c>
      <c r="BS5" s="14">
        <f>IF(SUM(BO5,BP5,BR5)&gt;0,SUM(BO5,BP5,BR5),"")</f>
        <v>120.7</v>
      </c>
      <c r="BT5" s="20">
        <v>18.2</v>
      </c>
      <c r="BU5" s="20">
        <v>5.1999999999999993</v>
      </c>
      <c r="BV5" s="20">
        <v>0</v>
      </c>
      <c r="BW5" s="20">
        <v>0</v>
      </c>
      <c r="BX5" s="20">
        <v>18.2</v>
      </c>
      <c r="BY5" s="20">
        <v>5.1999999999999993</v>
      </c>
      <c r="BZ5" s="20">
        <v>0.2</v>
      </c>
      <c r="CA5" s="20">
        <v>0</v>
      </c>
      <c r="CB5" s="20">
        <v>17</v>
      </c>
      <c r="CC5" s="20">
        <v>3.2</v>
      </c>
      <c r="CD5" s="20">
        <v>0</v>
      </c>
      <c r="CE5" s="20">
        <v>0</v>
      </c>
      <c r="CF5" s="20">
        <v>18.7</v>
      </c>
      <c r="CG5" s="20">
        <v>6</v>
      </c>
      <c r="CH5" s="20">
        <v>0.2</v>
      </c>
      <c r="CI5" s="20">
        <v>0</v>
      </c>
      <c r="CJ5" s="20">
        <v>18.600000000000001</v>
      </c>
      <c r="CK5" s="20">
        <v>5.6</v>
      </c>
      <c r="CL5" s="20">
        <v>0</v>
      </c>
      <c r="CM5" s="20">
        <v>0</v>
      </c>
      <c r="CN5" s="32"/>
      <c r="CO5" s="55">
        <f>IF(SUM(BU5,BY5)&gt;0,SUM(BU5,BY5),"")</f>
        <v>10.399999999999999</v>
      </c>
      <c r="CP5" s="55">
        <f>IF(SUM(BT5:BU5,BW5:BY5,CA5)-BV5-BZ5&gt;0,SUM(BT5:BU5,BW5:BY5,CA5)-BV5-BZ5,"")</f>
        <v>46.599999999999994</v>
      </c>
      <c r="CQ5" s="55">
        <f>IF(SUM(CB5:CC5,CE5)-CD5&gt;0,SUM(CB5:CC5,CE5)-CD5,"")</f>
        <v>20.2</v>
      </c>
      <c r="CR5" s="55">
        <f>IF(SUM(CG5,CK5)&gt;0,SUM(CG5,CK5),"")</f>
        <v>11.6</v>
      </c>
      <c r="CS5" s="55">
        <f>IF(SUM(CF5:CG5,CI5:CK5,CM5)-SUM(CH5,CL5)&gt;0,SUM(CF5:CG5,CI5:CK5,CM5)-SUM(CH5,CL5),"")</f>
        <v>48.699999999999996</v>
      </c>
      <c r="CT5" s="55">
        <f>IF(SUM(CP5,CQ5,CS5)&gt;0,SUM(CP5,CQ5,CS5),"")</f>
        <v>115.5</v>
      </c>
      <c r="CU5" s="56" t="str">
        <f>IF(MAX(DR5,ER5,FR5,GR5,HR5,IR5,JR5,KR5,LR5,MR5,NR5,OR5)-IF(K5="",0,K5)&gt;0.001,MAX(DR5,ER5,FR5,GR5,HR5,IR5,JR5,KR5,LR5,MR5,NR5,OR5)-IF(K5="",0,K5),"")</f>
        <v/>
      </c>
      <c r="CV5" s="56">
        <f>IF(MAX(DU5,EU5,FU5,GU5,HU5,IU5,JU5,KU5,LU5,MU5,NU5,OU5)-IF(M5="",0,M5)&gt;0.001,MAX(DU5,EU5,FU5,GU5,HU5,IU5,JU5,KU5,LU5,MU5,NU5,OU5)-IF(M5="",0,M5),"")</f>
        <v>0.10000000000000142</v>
      </c>
      <c r="CW5" s="18">
        <v>17.3</v>
      </c>
      <c r="CX5" s="18">
        <v>2.4</v>
      </c>
      <c r="CY5" s="18">
        <v>0</v>
      </c>
      <c r="CZ5" s="18">
        <v>0</v>
      </c>
      <c r="DA5" s="18">
        <v>18.3</v>
      </c>
      <c r="DB5" s="18">
        <v>5.2</v>
      </c>
      <c r="DC5" s="18">
        <v>0.2</v>
      </c>
      <c r="DD5" s="18">
        <v>0</v>
      </c>
      <c r="DE5" s="18"/>
      <c r="DF5" s="18"/>
      <c r="DG5" s="18"/>
      <c r="DH5" s="18"/>
      <c r="DI5" s="18"/>
      <c r="DJ5" s="18"/>
      <c r="DK5" s="18"/>
      <c r="DL5" s="18"/>
      <c r="DM5" s="18"/>
      <c r="DN5" s="18"/>
      <c r="DO5" s="18"/>
      <c r="DP5" s="18"/>
      <c r="DQ5" s="55">
        <f>IF(SUM(CX5,DB5)&gt;0,SUM(CX5,DB5),"")</f>
        <v>7.6</v>
      </c>
      <c r="DR5" s="55">
        <f>IF(SUM(CW5:CX5,CZ5:DB5,DD5)-CY5-DC5&gt;0,SUM(CW5:CX5,CZ5:DB5,DD5)-CY5-DC5,"")</f>
        <v>43</v>
      </c>
      <c r="DS5" s="55" t="str">
        <f>IF(SUM(DE5:DF5,DH5)-DG5&gt;0,SUM(DE5:DF5,DH5)-DG5,"")</f>
        <v/>
      </c>
      <c r="DT5" s="55" t="str">
        <f>IF(SUM(DJ5,DN5)&gt;0,SUM(DJ5,DN5),"")</f>
        <v/>
      </c>
      <c r="DU5" s="55" t="str">
        <f>IF(SUM(DI5:DJ5,DL5:DN5,DP5)-SUM(DK5,DO5)&gt;0,SUM(DI5:DJ5,DL5:DN5,DP5)-SUM(DK5,DO5),"")</f>
        <v/>
      </c>
      <c r="DV5" s="55">
        <f>IF(SUM(DR5,DS5,DU5)&gt;0,SUM(DR5,DS5,DU5),"")</f>
        <v>43</v>
      </c>
      <c r="DW5" s="19"/>
      <c r="DX5" s="19"/>
      <c r="DY5" s="19"/>
      <c r="DZ5" s="19"/>
      <c r="EA5" s="19"/>
      <c r="EB5" s="19"/>
      <c r="EC5" s="19"/>
      <c r="ED5" s="19"/>
      <c r="EE5" s="19"/>
      <c r="EF5" s="19"/>
      <c r="EG5" s="19"/>
      <c r="EH5" s="19"/>
      <c r="EI5" s="19"/>
      <c r="EJ5" s="19"/>
      <c r="EK5" s="19"/>
      <c r="EL5" s="19"/>
      <c r="EM5" s="19"/>
      <c r="EN5" s="19"/>
      <c r="EO5" s="19"/>
      <c r="EP5" s="19"/>
      <c r="EQ5" s="14" t="str">
        <f>IF(SUM(DX5,EB5)&gt;0,SUM(DX5,EB5),"")</f>
        <v/>
      </c>
      <c r="ER5" s="14" t="str">
        <f>IF(SUM(DW5:DX5,DZ5:EB5,ED5)-DY5-EC5&gt;0,SUM(DW5:DX5,DZ5:EB5,ED5)-DY5-EC5,"")</f>
        <v/>
      </c>
      <c r="ES5" s="14" t="str">
        <f>IF(SUM(EE5:EF5,EH5)-EG5&gt;0,SUM(EE5:EF5,EH5)-EG5,"")</f>
        <v/>
      </c>
      <c r="ET5" s="14" t="str">
        <f>IF(SUM(EJ5,EN5)&gt;0,SUM(EJ5,EN5),"")</f>
        <v/>
      </c>
      <c r="EU5" s="14" t="str">
        <f>IF(SUM(EI5:EJ5,EL5:EN5,EP5)-SUM(EK5,EO5)&gt;0,SUM(EI5:EJ5,EL5:EN5,EP5)-SUM(EK5,EO5),"")</f>
        <v/>
      </c>
      <c r="EV5" s="14" t="str">
        <f>IF(SUM(ER5,ES5,EU5)&gt;0,SUM(ER5,ES5,EU5),"")</f>
        <v/>
      </c>
      <c r="EW5" s="18"/>
      <c r="EX5" s="18"/>
      <c r="EY5" s="18"/>
      <c r="EZ5" s="18"/>
      <c r="FA5" s="18"/>
      <c r="FB5" s="18"/>
      <c r="FC5" s="18"/>
      <c r="FD5" s="18"/>
      <c r="FE5" s="18"/>
      <c r="FF5" s="18"/>
      <c r="FG5" s="18"/>
      <c r="FH5" s="18"/>
      <c r="FI5" s="18"/>
      <c r="FJ5" s="18"/>
      <c r="FK5" s="18"/>
      <c r="FL5" s="18"/>
      <c r="FM5" s="18"/>
      <c r="FN5" s="18"/>
      <c r="FO5" s="18"/>
      <c r="FP5" s="18"/>
      <c r="FQ5" s="55" t="str">
        <f>IF(SUM(EX5,FB5)&gt;0,SUM(EX5,FB5),"")</f>
        <v/>
      </c>
      <c r="FR5" s="55" t="str">
        <f>IF(SUM(EW5:EX5,EZ5:FB5,FD5)-EY5-FC5&gt;0,SUM(EW5:EX5,EZ5:FB5,FD5)-EY5-FC5,"")</f>
        <v/>
      </c>
      <c r="FS5" s="55" t="str">
        <f>IF(SUM(FE5:FF5,FH5)-FG5&gt;0,SUM(FE5:FF5,FH5)-FG5,"")</f>
        <v/>
      </c>
      <c r="FT5" s="55" t="str">
        <f>IF(SUM(FJ5,FN5)&gt;0,SUM(FJ5,FN5),"")</f>
        <v/>
      </c>
      <c r="FU5" s="55" t="str">
        <f>IF(SUM(FI5:FJ5,FL5:FN5,FP5)-SUM(FK5,FO5)&gt;0,SUM(FI5:FJ5,FL5:FN5,FP5)-SUM(FK5,FO5),"")</f>
        <v/>
      </c>
      <c r="FV5" s="55" t="str">
        <f>IF(SUM(FR5,FS5,FU5)&gt;0,SUM(FR5,FS5,FU5),"")</f>
        <v/>
      </c>
      <c r="FW5" s="19">
        <v>16.7</v>
      </c>
      <c r="FX5" s="19">
        <v>6.8</v>
      </c>
      <c r="FY5" s="19">
        <v>0.8</v>
      </c>
      <c r="FZ5" s="19">
        <v>0</v>
      </c>
      <c r="GA5" s="19">
        <v>18.600000000000001</v>
      </c>
      <c r="GB5" s="19">
        <v>6.4</v>
      </c>
      <c r="GC5" s="19">
        <v>0</v>
      </c>
      <c r="GD5" s="19">
        <v>0</v>
      </c>
      <c r="GE5" s="19"/>
      <c r="GF5" s="19"/>
      <c r="GG5" s="19"/>
      <c r="GH5" s="19"/>
      <c r="GI5" s="19">
        <v>18.399999999999999</v>
      </c>
      <c r="GJ5" s="19">
        <v>6.4</v>
      </c>
      <c r="GK5" s="19">
        <v>0.6</v>
      </c>
      <c r="GL5" s="19">
        <v>0</v>
      </c>
      <c r="GM5" s="19"/>
      <c r="GN5" s="19"/>
      <c r="GO5" s="19"/>
      <c r="GP5" s="19"/>
      <c r="GQ5" s="14">
        <f>IF(SUM(FX5,GB5)&gt;0,SUM(FX5,GB5),"")</f>
        <v>13.2</v>
      </c>
      <c r="GR5" s="14">
        <f>IF(SUM(FW5:FX5,FZ5:GB5,GD5)-FY5-GC5&gt;0,SUM(FW5:FX5,FZ5:GB5,GD5)-FY5-GC5,"")</f>
        <v>47.7</v>
      </c>
      <c r="GS5" s="14" t="str">
        <f>IF(SUM(GE5:GF5,GH5)-GG5&gt;0,SUM(GE5:GF5,GH5)-GG5,"")</f>
        <v/>
      </c>
      <c r="GT5" s="14">
        <f>IF(SUM(GJ5,GN5)&gt;0,SUM(GJ5,GN5),"")</f>
        <v>6.4</v>
      </c>
      <c r="GU5" s="14">
        <f>IF(SUM(GI5:GJ5,GL5:GN5,GP5)-SUM(GK5,GO5)&gt;0,SUM(GI5:GJ5,GL5:GN5,GP5)-SUM(GK5,GO5),"")</f>
        <v>24.199999999999996</v>
      </c>
      <c r="GV5" s="14">
        <f>IF(SUM(GR5,GS5,GU5)&gt;0,SUM(GR5,GS5,GU5),"")</f>
        <v>71.900000000000006</v>
      </c>
      <c r="GW5" s="18"/>
      <c r="GX5" s="18"/>
      <c r="GY5" s="18"/>
      <c r="GZ5" s="18"/>
      <c r="HA5" s="18"/>
      <c r="HB5" s="18"/>
      <c r="HC5" s="18"/>
      <c r="HD5" s="18"/>
      <c r="HE5" s="18">
        <v>18.600000000000001</v>
      </c>
      <c r="HF5" s="18">
        <v>6.4</v>
      </c>
      <c r="HG5" s="18">
        <v>0</v>
      </c>
      <c r="HH5" s="18">
        <v>0</v>
      </c>
      <c r="HI5" s="18">
        <v>18.8</v>
      </c>
      <c r="HJ5" s="18">
        <v>5.6</v>
      </c>
      <c r="HK5" s="18">
        <v>0</v>
      </c>
      <c r="HL5" s="18">
        <v>0</v>
      </c>
      <c r="HM5" s="18">
        <v>18.399999999999999</v>
      </c>
      <c r="HN5" s="18">
        <v>6</v>
      </c>
      <c r="HO5" s="18">
        <v>0</v>
      </c>
      <c r="HP5" s="18">
        <v>0</v>
      </c>
      <c r="HQ5" s="55" t="str">
        <f>IF(SUM(GX5,HB5)&gt;0,SUM(GX5,HB5),"")</f>
        <v/>
      </c>
      <c r="HR5" s="55" t="str">
        <f>IF(SUM(GW5:GX5,GZ5:HB5,HD5)-GY5-HC5&gt;0,SUM(GW5:GX5,GZ5:HB5,HD5)-GY5-HC5,"")</f>
        <v/>
      </c>
      <c r="HS5" s="55">
        <f>IF(SUM(HE5:HF5,HH5)-HG5&gt;0,SUM(HE5:HF5,HH5)-HG5,"")</f>
        <v>25</v>
      </c>
      <c r="HT5" s="55">
        <f>IF(SUM(HJ5,HN5)&gt;0,SUM(HJ5,HN5),"")</f>
        <v>11.6</v>
      </c>
      <c r="HU5" s="55">
        <f>IF(SUM(HI5:HJ5,HL5:HN5,HP5)-SUM(HK5,HO5)&gt;0,SUM(HI5:HJ5,HL5:HN5,HP5)-SUM(HK5,HO5),"")</f>
        <v>48.8</v>
      </c>
      <c r="HV5" s="55">
        <f>IF(SUM(HR5,HS5,HU5)&gt;0,SUM(HR5,HS5,HU5),"")</f>
        <v>73.8</v>
      </c>
      <c r="HW5" s="19"/>
      <c r="HX5" s="19"/>
      <c r="HY5" s="19"/>
      <c r="HZ5" s="19"/>
      <c r="IA5" s="19"/>
      <c r="IB5" s="19"/>
      <c r="IC5" s="19"/>
      <c r="ID5" s="19"/>
      <c r="IE5" s="19"/>
      <c r="IF5" s="19"/>
      <c r="IG5" s="19"/>
      <c r="IH5" s="19"/>
      <c r="II5" s="19"/>
      <c r="IJ5" s="19"/>
      <c r="IK5" s="19"/>
      <c r="IL5" s="19"/>
      <c r="IM5" s="19"/>
      <c r="IN5" s="19"/>
      <c r="IO5" s="19"/>
      <c r="IP5" s="19"/>
      <c r="IQ5" s="14" t="str">
        <f>IF(SUM(HX5,IB5)&gt;0,SUM(HX5,IB5),"")</f>
        <v/>
      </c>
      <c r="IR5" s="14" t="str">
        <f>IF(SUM(HW5:HX5,HZ5:IB5,ID5)-HY5-IC5&gt;0,SUM(HW5:HX5,HZ5:IB5,ID5)-HY5-IC5,"")</f>
        <v/>
      </c>
      <c r="IS5" s="14" t="str">
        <f>IF(SUM(IE5:IF5,IH5)-IG5&gt;0,SUM(IE5:IF5,IH5)-IG5,"")</f>
        <v/>
      </c>
      <c r="IT5" s="14" t="str">
        <f>IF(SUM(IJ5,IN5)&gt;0,SUM(IJ5,IN5),"")</f>
        <v/>
      </c>
      <c r="IU5" s="14" t="str">
        <f>IF(SUM(II5:IJ5,IL5:IN5,IP5)-SUM(IK5,IO5)&gt;0,SUM(II5:IJ5,IL5:IN5,IP5)-SUM(IK5,IO5),"")</f>
        <v/>
      </c>
      <c r="IV5" s="14" t="str">
        <f>IF(SUM(IR5,IS5,IU5)&gt;0,SUM(IR5,IS5,IU5),"")</f>
        <v/>
      </c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8"/>
      <c r="JL5" s="18"/>
      <c r="JM5" s="18"/>
      <c r="JN5" s="18"/>
      <c r="JO5" s="18"/>
      <c r="JP5" s="18"/>
      <c r="JQ5" s="55" t="str">
        <f>IF(SUM(IX5,JB5)&gt;0,SUM(IX5,JB5),"")</f>
        <v/>
      </c>
      <c r="JR5" s="55" t="str">
        <f>IF(SUM(IW5:IX5,IZ5:JB5,JD5)-IY5-JC5&gt;0,SUM(IW5:IX5,IZ5:JB5,JD5)-IY5-JC5,"")</f>
        <v/>
      </c>
      <c r="JS5" s="55" t="str">
        <f>IF(SUM(JE5:JF5,JH5)-JG5&gt;0,SUM(JE5:JF5,JH5)-JG5,"")</f>
        <v/>
      </c>
      <c r="JT5" s="55" t="str">
        <f>IF(SUM(JJ5,JN5)&gt;0,SUM(JJ5,JN5),"")</f>
        <v/>
      </c>
      <c r="JU5" s="55" t="str">
        <f>IF(SUM(JI5:JJ5,JL5:JN5,JP5)-SUM(JK5,JO5)&gt;0,SUM(JI5:JJ5,JL5:JN5,JP5)-SUM(JK5,JO5),"")</f>
        <v/>
      </c>
      <c r="JV5" s="55" t="str">
        <f>IF(SUM(JR5,JS5,JU5)&gt;0,SUM(JR5,JS5,JU5),"")</f>
        <v/>
      </c>
      <c r="JW5" s="19"/>
      <c r="JX5" s="19"/>
      <c r="JY5" s="19"/>
      <c r="JZ5" s="19"/>
      <c r="KA5" s="19"/>
      <c r="KB5" s="19"/>
      <c r="KC5" s="19"/>
      <c r="KD5" s="19"/>
      <c r="KE5" s="19"/>
      <c r="KF5" s="19"/>
      <c r="KG5" s="19"/>
      <c r="KH5" s="19"/>
      <c r="KI5" s="19"/>
      <c r="KJ5" s="19"/>
      <c r="KK5" s="19"/>
      <c r="KL5" s="19"/>
      <c r="KM5" s="19"/>
      <c r="KN5" s="19"/>
      <c r="KO5" s="19"/>
      <c r="KP5" s="19"/>
      <c r="KQ5" s="14" t="str">
        <f>IF(SUM(JX5,KB5)&gt;0,SUM(JX5,KB5),"")</f>
        <v/>
      </c>
      <c r="KR5" s="14" t="str">
        <f>IF(SUM(JW5:JX5,JZ5:KB5,KD5)-JY5-KC5&gt;0,SUM(JW5:JX5,JZ5:KB5,KD5)-JY5-KC5,"")</f>
        <v/>
      </c>
      <c r="KS5" s="14" t="str">
        <f>IF(SUM(KE5:KF5,KH5)-KG5&gt;0,SUM(KE5:KF5,KH5)-KG5,"")</f>
        <v/>
      </c>
      <c r="KT5" s="14" t="str">
        <f>IF(SUM(KJ5,KN5)&gt;0,SUM(KJ5,KN5),"")</f>
        <v/>
      </c>
      <c r="KU5" s="14" t="str">
        <f>IF(SUM(KI5:KJ5,KL5:KN5,KP5)-SUM(KK5,KO5)&gt;0,SUM(KI5:KJ5,KL5:KN5,KP5)-SUM(KK5,KO5),"")</f>
        <v/>
      </c>
      <c r="KV5" s="14" t="str">
        <f>IF(SUM(KR5,KS5,KU5)&gt;0,SUM(KR5,KS5,KU5),"")</f>
        <v/>
      </c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8"/>
      <c r="LP5" s="18"/>
      <c r="LQ5" s="55" t="str">
        <f>IF(SUM(KX5,LB5)&gt;0,SUM(KX5,LB5),"")</f>
        <v/>
      </c>
      <c r="LR5" s="55" t="str">
        <f>IF(SUM(KW5:KX5,KZ5:LB5,LD5)-KY5-LC5&gt;0,SUM(KW5:KX5,KZ5:LB5,LD5)-KY5-LC5,"")</f>
        <v/>
      </c>
      <c r="LS5" s="55" t="str">
        <f>IF(SUM(LE5:LF5,LH5)-LG5&gt;0,SUM(LE5:LF5,LH5)-LG5,"")</f>
        <v/>
      </c>
      <c r="LT5" s="55" t="str">
        <f>IF(SUM(LJ5,LN5)&gt;0,SUM(LJ5,LN5),"")</f>
        <v/>
      </c>
      <c r="LU5" s="55" t="str">
        <f>IF(SUM(LI5:LJ5,LL5:LN5,LP5)-SUM(LK5,LO5)&gt;0,SUM(LI5:LJ5,LL5:LN5,LP5)-SUM(LK5,LO5),"")</f>
        <v/>
      </c>
      <c r="LV5" s="55" t="str">
        <f>IF(SUM(LR5,LS5,LU5)&gt;0,SUM(LR5,LS5,LU5),"")</f>
        <v/>
      </c>
      <c r="LW5" s="19"/>
      <c r="LX5" s="19"/>
      <c r="LY5" s="19"/>
      <c r="LZ5" s="19"/>
      <c r="MA5" s="19"/>
      <c r="MB5" s="19"/>
      <c r="MC5" s="19"/>
      <c r="MD5" s="19"/>
      <c r="ME5" s="19"/>
      <c r="MF5" s="19"/>
      <c r="MG5" s="19"/>
      <c r="MH5" s="19"/>
      <c r="MI5" s="19"/>
      <c r="MJ5" s="19"/>
      <c r="MK5" s="19"/>
      <c r="ML5" s="19"/>
      <c r="MM5" s="19"/>
      <c r="MN5" s="19"/>
      <c r="MO5" s="19"/>
      <c r="MP5" s="19"/>
      <c r="MQ5" s="14" t="str">
        <f>IF(SUM(LX5,MB5)&gt;0,SUM(LX5,MB5),"")</f>
        <v/>
      </c>
      <c r="MR5" s="14" t="str">
        <f>IF(SUM(LW5:LX5,LZ5:MB5,MD5)-LY5-MC5&gt;0,SUM(LW5:LX5,LZ5:MB5,MD5)-LY5-MC5,"")</f>
        <v/>
      </c>
      <c r="MS5" s="14" t="str">
        <f>IF(SUM(ME5:MF5,MH5)-MG5&gt;0,SUM(ME5:MF5,MH5)-MG5,"")</f>
        <v/>
      </c>
      <c r="MT5" s="14" t="str">
        <f>IF(SUM(MJ5,MN5)&gt;0,SUM(MJ5,MN5),"")</f>
        <v/>
      </c>
      <c r="MU5" s="14" t="str">
        <f>IF(SUM(MI5:MJ5,ML5:MN5,MP5)-SUM(MK5,MO5)&gt;0,SUM(MI5:MJ5,ML5:MN5,MP5)-SUM(MK5,MO5),"")</f>
        <v/>
      </c>
      <c r="MV5" s="14" t="str">
        <f>IF(SUM(MR5,MS5,MU5)&gt;0,SUM(MR5,MS5,MU5),"")</f>
        <v/>
      </c>
      <c r="MW5" s="18"/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55" t="str">
        <f>IF(SUM(MX5,NB5)&gt;0,SUM(MX5,NB5),"")</f>
        <v/>
      </c>
      <c r="NR5" s="55" t="str">
        <f>IF(SUM(MW5:MX5,MZ5:NB5,ND5)-MY5-NC5&gt;0,SUM(MW5:MX5,MZ5:NB5,ND5)-MY5-NC5,"")</f>
        <v/>
      </c>
      <c r="NS5" s="55" t="str">
        <f>IF(SUM(NE5:NF5,NH5)-NG5&gt;0,SUM(NE5:NF5,NH5)-NG5,"")</f>
        <v/>
      </c>
      <c r="NT5" s="55" t="str">
        <f>IF(SUM(NJ5,NN5)&gt;0,SUM(NJ5,NN5),"")</f>
        <v/>
      </c>
      <c r="NU5" s="55" t="str">
        <f>IF(SUM(NI5:NJ5,NL5:NN5,NP5)-SUM(NK5,NO5)&gt;0,SUM(NI5:NJ5,NL5:NN5,NP5)-SUM(NK5,NO5),"")</f>
        <v/>
      </c>
      <c r="NV5" s="55" t="str">
        <f>IF(SUM(NR5,NS5,NU5)&gt;0,SUM(NR5,NS5,NU5),"")</f>
        <v/>
      </c>
      <c r="NW5" s="19"/>
      <c r="NX5" s="19"/>
      <c r="NY5" s="19"/>
      <c r="NZ5" s="19"/>
      <c r="OA5" s="19"/>
      <c r="OB5" s="19"/>
      <c r="OC5" s="19"/>
      <c r="OD5" s="19"/>
      <c r="OE5" s="19"/>
      <c r="OF5" s="19"/>
      <c r="OG5" s="19"/>
      <c r="OH5" s="19"/>
      <c r="OI5" s="19"/>
      <c r="OJ5" s="19"/>
      <c r="OK5" s="19"/>
      <c r="OL5" s="19"/>
      <c r="OM5" s="19"/>
      <c r="ON5" s="19"/>
      <c r="OO5" s="19"/>
      <c r="OP5" s="19"/>
      <c r="OQ5" s="14" t="str">
        <f>IF(SUM(NX5,OB5)&gt;0,SUM(NX5,OB5),"")</f>
        <v/>
      </c>
      <c r="OR5" s="14" t="str">
        <f>IF(SUM(NW5:NX5,NZ5:OB5,OD5)-NY5-OC5&gt;0,SUM(NW5:NX5,NZ5:OB5,OD5)-NY5-OC5,"")</f>
        <v/>
      </c>
      <c r="OS5" s="14" t="str">
        <f>IF(SUM(OE5:OF5,OH5)-OG5&gt;0,SUM(OE5:OF5,OH5)-OG5,"")</f>
        <v/>
      </c>
      <c r="OT5" s="14" t="str">
        <f>IF(SUM(OJ5,ON5)&gt;0,SUM(OJ5,ON5),"")</f>
        <v/>
      </c>
      <c r="OU5" s="14" t="str">
        <f>IF(SUM(OI5:OJ5,OL5:ON5,OP5)-SUM(OK5,OO5)&gt;0,SUM(OI5:OJ5,OL5:ON5,OP5)-SUM(OK5,OO5),"")</f>
        <v/>
      </c>
      <c r="OV5" s="14" t="str">
        <f>IF(SUM(OR5,OS5,OU5)&gt;0,SUM(OR5,OS5,OU5),"")</f>
        <v/>
      </c>
      <c r="OW5" s="27">
        <f>IF($CN5="P",BT5,(BT5+AS5)/2)</f>
        <v>18.25</v>
      </c>
      <c r="OX5" s="27">
        <f>IF($CN5="P",BU5,(BU5+AT5)/2)</f>
        <v>5.6</v>
      </c>
      <c r="OY5" s="27">
        <f>IF($CN5="P",BV5,(BV5+AU5)/2)</f>
        <v>0</v>
      </c>
      <c r="OZ5" s="27">
        <f>IF($CN5="P",BW5,(BW5+AV5)/2)</f>
        <v>0</v>
      </c>
      <c r="PA5" s="27">
        <f>IF($CN5="P",BX5,(BX5+AW5)/2)</f>
        <v>18.399999999999999</v>
      </c>
      <c r="PB5" s="27">
        <f>IF($CN5="P",BY5,(BY5+AX5)/2)</f>
        <v>5.8</v>
      </c>
      <c r="PC5" s="27">
        <f>IF($CN5="P",BZ5,(BZ5+AY5)/2)</f>
        <v>0.1</v>
      </c>
      <c r="PD5" s="27">
        <f>IF($CN5="P",CA5,(CA5+AZ5)/2)</f>
        <v>0</v>
      </c>
      <c r="PE5" s="27">
        <f>IF($CN5="P",CB5,(CB5+BA5)/2)</f>
        <v>17.45</v>
      </c>
      <c r="PF5" s="27">
        <f>IF($CN5="P",CC5,(CC5+BB5)/2)</f>
        <v>4.2</v>
      </c>
      <c r="PG5" s="27">
        <f>IF($CN5="P",CD5,(CD5+BC5)/2)</f>
        <v>0.1</v>
      </c>
      <c r="PH5" s="27">
        <f>IF($CN5="P",CE5,(CE5+BD5)/2)</f>
        <v>0</v>
      </c>
      <c r="PI5" s="27">
        <f>IF($CN5="P",CF5,(CF5+BE5)/2)</f>
        <v>18.600000000000001</v>
      </c>
      <c r="PJ5" s="27">
        <f>IF($CN5="P",CG5,(CG5+BF5)/2)</f>
        <v>6</v>
      </c>
      <c r="PK5" s="27">
        <f>IF($CN5="P",CH5,(CH5+BG5)/2)</f>
        <v>0.4</v>
      </c>
      <c r="PL5" s="27">
        <f>IF($CN5="P",CI5,(CI5+BH5)/2)</f>
        <v>0</v>
      </c>
      <c r="PM5" s="27">
        <f>IF($CN5="P",CJ5,(CJ5+BI5)/2)</f>
        <v>18.8</v>
      </c>
      <c r="PN5" s="27">
        <f>IF($CN5="P",CK5,(CK5+BJ5)/2)</f>
        <v>5.6</v>
      </c>
      <c r="PO5" s="27">
        <f>IF($CN5="P",CL5,(CL5+BK5)/2)</f>
        <v>0</v>
      </c>
      <c r="PP5" s="27">
        <f>IF($CN5="P",CM5,(CM5+BL5)/2)</f>
        <v>0</v>
      </c>
      <c r="PQ5" s="32" t="s">
        <v>44</v>
      </c>
      <c r="PR5" s="55">
        <f>IF(SUM(OX5,PB5)&gt;0,SUM(OX5,PB5),"")</f>
        <v>11.399999999999999</v>
      </c>
      <c r="PS5" s="55">
        <f>IF(SUM(OW5:OX5,OZ5:PB5,PD5)-OY5-PC5&gt;0,SUM(OW5:OX5,OZ5:PB5,PD5)-OY5-PC5,"")</f>
        <v>47.949999999999996</v>
      </c>
      <c r="PT5" s="55">
        <f>IF(SUM(PE5:PF5,PH5)-PG5&gt;0,SUM(PE5:PF5,PH5)-PG5,"")</f>
        <v>21.549999999999997</v>
      </c>
      <c r="PU5" s="55">
        <f>IF(SUM(PJ5,PN5)&gt;0,SUM(PJ5,PN5),"")</f>
        <v>11.6</v>
      </c>
      <c r="PV5" s="55">
        <f>IF(SUM(PI5:PJ5,PL5:PN5,PP5)-SUM(PK5,PO5)&gt;0,SUM(PI5:PJ5,PL5:PN5,PP5)-SUM(PK5,PO5),"")</f>
        <v>48.600000000000009</v>
      </c>
      <c r="PW5" s="55">
        <f>IF(SUM(PS5,PT5,PV5)&gt;0,SUM(PS5,PT5,PV5),"")</f>
        <v>118.10000000000001</v>
      </c>
    </row>
    <row r="6" spans="1:439" x14ac:dyDescent="0.2">
      <c r="A6" s="4" cm="1">
        <f t="array" ref="A6">IF(AND(H6&lt;&gt;"",H6&lt;&gt;"No DD"),SUMPRODUCT((H$4:H$7&lt;&gt;"")*(H$4:H$7&lt;&gt;"No DD")*(E$4:E$7&gt;E6))+1,IF(H6="No DD",SUMPRODUCT((H$4:H$7="No DD")*(E$4:E$7&gt;E6))+1+SUMPRODUCT((H$4:H$7&lt;&gt;"")*(H$4:H$7&lt;&gt;"No DD")),""))</f>
        <v>3</v>
      </c>
      <c r="B6" s="5" t="s">
        <v>89</v>
      </c>
      <c r="C6" s="4" t="s">
        <v>68</v>
      </c>
      <c r="D6" s="4">
        <v>2008</v>
      </c>
      <c r="E6" s="10">
        <f>SUM(I6:O6)+SUM(I6:M6)*0.0000001+SUM(I6)*0.0000000000001</f>
        <v>144.40001415000472</v>
      </c>
      <c r="F6" s="3" t="str">
        <f>IF(OR(AND(AM6&gt;=AR$9,AN6&gt;=AR$13,AM6&lt;&gt;"",AL6=""),AND(AP6&gt;=AR$9,AQ6&gt;=AR$13,AP6&lt;&gt;"",AL6=""),AND(BN6&gt;=BS$9,BO6&gt;=BS$13,BN6&lt;&gt;"",BM6=""),AND(BQ6&gt;=BS$9,BR6&gt;=BS$13,BQ6&lt;&gt;"",BM6=""),AND(CO6&gt;=CT$9,CP6&gt;=CT$13,CO6&lt;&gt;"",CN6=""),AND(CR6&gt;=CT$9,CS6&gt;=CT$13,CR6&lt;&gt;""),AND(DQ6&gt;=DV$9,DR6&gt;=DV$13,DQ6&lt;&gt;""),AND(DT6&gt;=DV$9,DU6&gt;=DV$13,DT6&lt;&gt;""),AND(EQ6&gt;=EV$9,ER6&gt;=EV$13,EQ6&lt;&gt;""),AND(ET6&gt;=EV$9,EU6&gt;=EV$13,ET6&lt;&gt;""),AND(FQ6&gt;=FV$9,FR6&gt;=FV$13,FQ6&lt;&gt;""),AND(FT6&gt;=FV$9,FU6&gt;=FV$13,FT6&lt;&gt;""),AND(GQ6&gt;=GV$9,GR6&gt;=GV$13,GQ6&lt;&gt;""),AND(GT6&gt;=GV$9,GU6&gt;=GV$13,GT6&lt;&gt;""),AND(HQ6&gt;=HV$9,HR6&gt;=HV$13,HQ6&lt;&gt;""),AND(HT6&gt;=HV$9,HU6&gt;=HV$13,HT6&lt;&gt;""),AND(IQ6&gt;=IV$9,IR6&gt;=IV$13,IQ6&lt;&gt;""),AND(IT6&gt;=IV$9,IU6&gt;=IV$13,IT6&lt;&gt;""),AND(JQ6&gt;=JV$9,JR6&gt;=JV$13,JQ6&lt;&gt;""),AND(JT6&gt;=JV$9,JU6&gt;=JV$13,JT6&lt;&gt;""),AND(KQ6&gt;=KV$9,KR6&gt;=KV$13,KQ6&lt;&gt;""),AND(KT6&gt;=KV$9,KU6&gt;=KV$13,KT6&lt;&gt;""),AND(LQ6&gt;=LV$9,LR6&gt;=LV$13,LQ6&lt;&gt;""),AND(LT6&gt;=LV$9,LU6&gt;=LV$13,LT6&lt;&gt;""),AND(MQ6&gt;=MV$9,MR6&gt;=MV$13,MQ6&lt;&gt;""),AND(MT6&gt;=MV$9,MU6&gt;=MV$13,MT6&lt;&gt;""),AND(NQ6&gt;=NV$9,NR6&gt;=NV$13,NQ6&lt;&gt;""),AND(NT6&gt;=NV$9,NU6&gt;=NV$13,NT6&lt;&gt;""),AND(OQ6&gt;=OV$9,OR6&gt;=OV$13,OQ6&lt;&gt;""),AND(OT6&gt;=OV$9,OU6&gt;=OV$13,OT6&lt;&gt;"")),"P","")</f>
        <v>P</v>
      </c>
      <c r="G6" s="3" t="str">
        <f>IF(OR(AND(AN6&gt;=AR$13,AN6&lt;&gt;"",AL6=""),AND(AQ6&gt;=AR$13,AQ6&lt;&gt;"",AL6=""),AND(BO6&gt;=BS$13,BO6&lt;&gt;"",BM6=""),AND(BR6&gt;=BS$13,BR6&lt;&gt;"",BM6=""),AND(CP6&gt;=CT$13,CP6&lt;&gt;"",CN6=""),AND(CS6&gt;=CT$13,CS6&lt;&gt;"",CN6=""),AND(DR6&gt;=DV$13,DR6&lt;&gt;""),AND(DU6&gt;=DV$13,DU6&lt;&gt;""),AND(ER6&gt;=EV$13,ER6&lt;&gt;""),AND(EU6&gt;=EV$13,EU6&lt;&gt;""),AND(FR6&gt;=FV$13,FR6&lt;&gt;""),AND(FU6&gt;=FV$13,FU6&lt;&gt;""),AND(GR6&gt;=GV$13,GR6&lt;&gt;""),AND(GU6&gt;=GV$13,GU6&lt;&gt;""),AND(HR6&gt;=HV$13,HR6&lt;&gt;""),AND(HU6&gt;=HV$13,HU6&lt;&gt;""),AND(IR6&gt;=IV$13,IR6&lt;&gt;""),AND(IU6&gt;=IV$13,IU6&lt;&gt;""),AND(JR6&gt;=JV$13,JR6&lt;&gt;""),AND(JU6&gt;=JV$13,JU6&lt;&gt;""),AND(KR6&gt;=KV$13,KR6&lt;&gt;""),AND(KU6&gt;=KV$13,KU6&lt;&gt;""),AND(LR6&gt;=LV$13,LR6&lt;&gt;""),AND(LU6&gt;=LV$13,LU6&lt;&gt;""),AND(MR6&gt;=MV$13,MR6&lt;&gt;""),AND(MU6&gt;=MV$13,MU6&lt;&gt;""),AND(NR6&gt;=NV$13,NR6&lt;&gt;""),AND(NU6&gt;=NV$13,NU6&lt;&gt;""),AND(OR6&gt;=OV$13,OR6&lt;&gt;""),AND(OU6&gt;=OV$13,OU6&lt;&gt;"")),"P","")</f>
        <v>P</v>
      </c>
      <c r="H6" s="47" t="str">
        <f>IF(AND(G6="P",F6=""),"No DD",IF(OR(AND(AM6&gt;=AR$12,AN6&gt;=AR$16,AM6&lt;&gt;"",AL6=""),AND(AP6&gt;=AR$12,AQ6&gt;=AR$16,AP6&lt;&gt;"",AL6=""),AND(BN6&gt;=BS$12,BO6&gt;=BS$16,BN6&lt;&gt;"",BM6=""),AND(BQ6&gt;=BS$12,BR6&gt;=BS$16,BQ6&lt;&gt;"",BM6=""),AND(CO6&gt;=CT$12,CP6&gt;=CT$16,CO6&lt;&gt;"",CN6=""),AND(CR6&gt;=CT$12,CS6&gt;=CT$16,CR6&lt;&gt;""),AND(DQ6&gt;=DV$12,DR6&gt;=DV$16,DQ6&lt;&gt;""),AND(DT6&gt;=DV$12,DU6&gt;=DV$16,DT6&lt;&gt;""),AND(EQ6&gt;=EV$12,ER6&gt;=EV$16,EQ6&lt;&gt;""),AND(ET6&gt;=EV$12,EU6&gt;=EV$16,ET6&lt;&gt;""),AND(FQ6&gt;=FV$12,FR6&gt;=FV$16,FQ6&lt;&gt;""),AND(FT6&gt;=FV$12,FU6&gt;=FV$16,FT6&lt;&gt;""),AND(GQ6&gt;=GV$12,GR6&gt;=GV$16,GQ6&lt;&gt;""),AND(GT6&gt;=GV$12,GU6&gt;=GV$16,GT6&lt;&gt;""),AND(HQ6&gt;=HV$12,HR6&gt;=HV$16,HQ6&lt;&gt;""),AND(HT6&gt;=HV$12,HU6&gt;=HV$16,HT6&lt;&gt;""),AND(IQ6&gt;=IV$12,IR6&gt;=IV$16,IQ6&lt;&gt;""),AND(IT6&gt;=IV$12,IU6&gt;=IV$16,IT6&lt;&gt;""),AND(JQ6&gt;=JV$12,JR6&gt;=JV$16,JQ6&lt;&gt;""),AND(JT6&gt;=JV$12,JU6&gt;=JV$16,JT6&lt;&gt;""),AND(KQ6&gt;=KV$12,KR6&gt;=KV$16,KQ6&lt;&gt;""),AND(KT6&gt;=KV$12,KU6&gt;=KV$16,KT6&lt;&gt;""),AND(LQ6&gt;=LV$12,LR6&gt;=LV$16,LQ6&lt;&gt;""),AND(LT6&gt;=LV$12,LU6&gt;=LV$16,LT6&lt;&gt;""),AND(MQ6&gt;=MV$12,MR6&gt;=MV$16,MQ6&lt;&gt;""),AND(MT6&gt;=MV$12,MU6&gt;=MV$16,MT6&lt;&gt;""),AND(NQ6&gt;=NV$12,NR6&gt;=NV$16,NQ6&lt;&gt;""),AND(NT6&gt;=NV$12,NU6&gt;=NV$16,NT6&lt;&gt;""),AND(OQ6&gt;=OV$12,OR6&gt;=OV$16,OQ6&lt;&gt;""),AND(OT6&gt;=OV$12,OU6&gt;=OV$16,OT6&lt;&gt;"")),"Merit",IF(OR(AND(AM6&gt;=AR$11,AN6&gt;=AR$15,AM6&lt;&gt;"",AL6=""),AND(AP6&gt;=AR$11,AQ6&gt;=AR$15,AP6&lt;&gt;"",AL6=""),AND(BN6&gt;=BS$11,BO6&gt;=BS$15,BN6&lt;&gt;"",BM6=""),AND(BQ6&gt;=BS$11,BR6&gt;=BS$15,BQ6&lt;&gt;"",BM6=""),AND(CO6&gt;=CT$11,CP6&gt;=CT$15,CO6&lt;&gt;"",CN6=""),AND(CR6&gt;=CT$11,CS6&gt;=CT$15,CR6&lt;&gt;""),AND(DQ6&gt;=DV$11,DR6&gt;=DV$15,DQ6&lt;&gt;""),AND(DT6&gt;=DV$11,DU6&gt;=DV$15,DT6&lt;&gt;""),AND(EQ6&gt;=EV$11,ER6&gt;=EV$15,EQ6&lt;&gt;""),AND(ET6&gt;=EV$11,EU6&gt;=EV$15,ET6&lt;&gt;""),AND(FQ6&gt;=FV$11,FR6&gt;=FV$15,FQ6&lt;&gt;""),AND(FT6&gt;=FV$11,FU6&gt;=FV$15,FT6&lt;&gt;""),AND(GQ6&gt;=GV$11,GR6&gt;=GV$15,GQ6&lt;&gt;""),AND(GT6&gt;=GV$11,GU6&gt;=GV$15,GT6&lt;&gt;""),AND(HQ6&gt;=HV$11,HR6&gt;=HV$15,HQ6&lt;&gt;""),AND(HT6&gt;=HV$11,HU6&gt;=HV$15,HT6&lt;&gt;""),AND(IQ6&gt;=IV$11,IR6&gt;=IV$15,IQ6&lt;&gt;""),AND(IT6&gt;=IV$11,IU6&gt;=IV$15,IT6&lt;&gt;""),AND(JQ6&gt;=JV$11,JR6&gt;=JV$15,JQ6&lt;&gt;""),AND(JT6&gt;=JV$11,JU6&gt;=JV$15,JT6&lt;&gt;""),AND(KQ6&gt;=KV$11,KR6&gt;=KV$15,KQ6&lt;&gt;""),AND(KT6&gt;=KV$11,KU6&gt;=KV$15,KT6&lt;&gt;""),AND(LQ6&gt;=LV$11,LR6&gt;=LV$15,LQ6&lt;&gt;""),AND(LT6&gt;=LV$11,LU6&gt;=LV$15,LT6&lt;&gt;""),AND(MQ6&gt;=MV$11,MR6&gt;=MV$15,MQ6&lt;&gt;""),AND(MT6&gt;=MV$11,MU6&gt;=MV$15,MT6&lt;&gt;""),AND(NQ6&gt;=NV$11,NR6&gt;=NV$15,NQ6&lt;&gt;""),AND(NT6&gt;=NV$11,NU6&gt;=NV$15,NT6&lt;&gt;""),AND(OQ6&gt;=OV$11,OR6&gt;=OV$15,OQ6&lt;&gt;""),AND(OT6&gt;=OV$11,OU6&gt;=OV$15,OT6&lt;&gt;"")),"Excellence",IF(F6="P","National Team",""))))</f>
        <v>Excellence</v>
      </c>
      <c r="I6" s="9">
        <f>IF(COUNT(AN6,BO6,CP6)&gt;0,LARGE((AN6,BO6,CP6),1),0)</f>
        <v>47.099999999999994</v>
      </c>
      <c r="J6" s="9" t="str">
        <f>IF(I6=0,"",IF(I6=CP6,$BT$1,IF(I6=BO6,$AS$1,IF(I6=AN6,$R$1,""))))</f>
        <v>2023 Elite Canada</v>
      </c>
      <c r="K6" s="9">
        <f>IF(COUNT(AN6,BO6,CP6)&gt;1,LARGE((AN6,BO6,CP6),2),0)</f>
        <v>46.800000000000004</v>
      </c>
      <c r="L6" s="9" t="str">
        <f>IF(K6=0,"",IF(K6=CP6,$BT$1,IF(K6=BO6,$AS$1,IF(K6=AN6,$R$1,""))))</f>
        <v>2023 3rd Domestic Trial</v>
      </c>
      <c r="M6" s="9">
        <f>IF(MAX(AQ6,BR6,CS6)&gt;0,MAX(AQ6,BR6,CS6),0)</f>
        <v>47.599999999999994</v>
      </c>
      <c r="N6" s="9" t="str">
        <f>IF(M6=0,"",IF(M6=CS6,$BT$1,IF(M6=BR6,$AS$1,IF(M6=AQ6,$R$1,""))))</f>
        <v>2023 Nationals</v>
      </c>
      <c r="O6" s="9">
        <f>IF(MAX(CU6:CV6)&gt;0,MAX(CU6:CV6),"")</f>
        <v>2.8999999999999986</v>
      </c>
      <c r="P6" s="14" t="str">
        <f>IF(O6="","",IF(O6=CU6,"("&amp;CU$2&amp;")",IF(O6=CV6,"("&amp;CV$2&amp;")")))</f>
        <v>(Q1)</v>
      </c>
      <c r="Q6" s="9" t="str">
        <f>IF(O6="","",IF(O6=CU6,IF(O6+IF(K6="",0,K6)=OR6,$NW$1,IF(O6+IF(K6="",0,K6)=NR6,$MW$1,IF(O6+IF(K6="",0,K6)=MR6,$LW$1,IF(O6+IF(K6="",0,K6)=LR6,$KW$1,IF(O6+IF(K6="",0,K6)=KR6,$JW$1,IF(O6+IF(K6="",0,K6)=JR6,$IW$1,IF(O6+IF(K6="",0,K6)=IR6,$HW$1,IF(O6+IF(K6="",0,K6)=HR6,$GW$1,IF(O6+IF(K6="",0,K6)=GR6,$FW$1,IF(O6+IF(K6="",0,K6)=FR6,$EW$1,IF(O6+IF(K6="",0,K6)=ER6,$DW$1,IF(O6+IF(K6="",0,K6)=DR6,$CW$1)))))))))))),IF(O6=CV6,IF(O6+IF(M6="",0,M6)=OU6,$NW$1,IF(O6+IF(M6="",0,M6)=NU6,$MW$1,IF(O6+IF(M6="",0,M6)=MU6,$LW$1,IF(O6+IF(M6="",0,M6)=LU6,$KW$1,IF(O6+IF(M6="",0,M6)=KU6,$JW$1,IF(O6+IF(M6="",0,M6)=JU6,$IW$1,IF(O6+IF(M6="",0,M6)=IU6,$HW$1,IF(O6+IF(M6="",0,M6)=HU6,$GW$1,IF(O6+IF(M6="",0,M6)=GU6,$FW$1,IF(O6+IF(M6="",0,M6)=FU6,$EW$1,IF(O6+IF(M6="",0,M6)=EU6,$DW$1,IF(O6+IF(M6="",0,M6)=DU6,$CW$1)))))))))))))))</f>
        <v>2023 WAGC (Nov 18)</v>
      </c>
      <c r="R6" s="20">
        <v>18.600000000000001</v>
      </c>
      <c r="S6" s="20">
        <v>5.2</v>
      </c>
      <c r="T6" s="20">
        <v>0.2</v>
      </c>
      <c r="U6" s="20">
        <v>0</v>
      </c>
      <c r="V6" s="20">
        <v>18.5</v>
      </c>
      <c r="W6" s="20">
        <v>5.2</v>
      </c>
      <c r="X6" s="20">
        <v>0.2</v>
      </c>
      <c r="Y6" s="20">
        <v>0</v>
      </c>
      <c r="Z6" s="20">
        <v>18.600000000000001</v>
      </c>
      <c r="AA6" s="20">
        <v>5.0999999999999996</v>
      </c>
      <c r="AB6" s="20">
        <v>0</v>
      </c>
      <c r="AC6" s="20">
        <v>0</v>
      </c>
      <c r="AD6" s="20">
        <v>17.8</v>
      </c>
      <c r="AE6" s="20">
        <v>5.6</v>
      </c>
      <c r="AF6" s="20">
        <v>0.2</v>
      </c>
      <c r="AG6" s="20">
        <v>0</v>
      </c>
      <c r="AH6" s="20">
        <v>18.3</v>
      </c>
      <c r="AI6" s="20">
        <v>5.6</v>
      </c>
      <c r="AJ6" s="20">
        <v>0.8</v>
      </c>
      <c r="AK6" s="20">
        <v>0</v>
      </c>
      <c r="AL6" s="32"/>
      <c r="AM6" s="55">
        <f>IF(SUM(S6,W6)&gt;0,SUM(S6,W6),"")</f>
        <v>10.4</v>
      </c>
      <c r="AN6" s="55">
        <f>IF(SUM(R6:S6,U6:W6,Y6)-T6-X6&gt;0,SUM(R6:S6,U6:W6,Y6)-T6-X6,"")</f>
        <v>47.099999999999994</v>
      </c>
      <c r="AO6" s="55">
        <f>IF(SUM(Z6:AA6,AC6)-AB6&gt;0,SUM(Z6:AA6,AC6)-AB6,"")</f>
        <v>23.700000000000003</v>
      </c>
      <c r="AP6" s="55">
        <f>IF(SUM(AE6,AI6)&gt;0,SUM(AE6,AI6),"")</f>
        <v>11.2</v>
      </c>
      <c r="AQ6" s="55">
        <f>IF(SUM(AD6:AE6,AG6:AI6,AK6)-SUM(AF6,AJ6)&gt;0,SUM(AD6:AE6,AG6:AI6,AK6)-SUM(AF6,AJ6),"")</f>
        <v>46.300000000000004</v>
      </c>
      <c r="AR6" s="55">
        <f>IF(SUM(AN6,AO6,AQ6)&gt;0,SUM(AN6,AO6,AQ6),"")</f>
        <v>117.1</v>
      </c>
      <c r="AS6" s="19">
        <v>0</v>
      </c>
      <c r="AT6" s="19">
        <v>0</v>
      </c>
      <c r="AU6" s="19">
        <v>0</v>
      </c>
      <c r="AV6" s="19">
        <v>0</v>
      </c>
      <c r="AW6" s="19">
        <v>18</v>
      </c>
      <c r="AX6" s="19">
        <v>6</v>
      </c>
      <c r="AY6" s="19">
        <v>0.2</v>
      </c>
      <c r="AZ6" s="19">
        <v>0</v>
      </c>
      <c r="BA6" s="19">
        <v>18.2</v>
      </c>
      <c r="BB6" s="19">
        <v>5.2</v>
      </c>
      <c r="BC6" s="19">
        <v>1</v>
      </c>
      <c r="BD6" s="19">
        <v>0</v>
      </c>
      <c r="BE6" s="19">
        <v>18.8</v>
      </c>
      <c r="BF6" s="19">
        <v>5.6</v>
      </c>
      <c r="BG6" s="19">
        <v>0.6</v>
      </c>
      <c r="BH6" s="19">
        <v>0</v>
      </c>
      <c r="BI6" s="19">
        <v>18.2</v>
      </c>
      <c r="BJ6" s="19">
        <v>5.6</v>
      </c>
      <c r="BK6" s="19">
        <v>0</v>
      </c>
      <c r="BL6" s="19">
        <v>0</v>
      </c>
      <c r="BM6" s="33"/>
      <c r="BN6" s="14">
        <f>IF(SUM(AT6,AX6)&gt;0,SUM(AT6,AX6),"")</f>
        <v>6</v>
      </c>
      <c r="BO6" s="14">
        <f>IF(SUM(AS6:AT6,AV6:AX6,AZ6)-AU6-AY6&gt;0,SUM(AS6:AT6,AV6:AX6,AZ6)-AU6-AY6,"")</f>
        <v>23.8</v>
      </c>
      <c r="BP6" s="14">
        <f>IF(SUM(BA6:BB6,BD6)-BC6&gt;0,SUM(BA6:BB6,BD6)-BC6,"")</f>
        <v>22.4</v>
      </c>
      <c r="BQ6" s="14">
        <f>IF(SUM(BF6,BJ6)&gt;0,SUM(BF6,BJ6),"")</f>
        <v>11.2</v>
      </c>
      <c r="BR6" s="14">
        <f>IF(SUM(BE6:BF6,BH6:BJ6,BL6)-SUM(BG6,BK6)&gt;0,SUM(BE6:BF6,BH6:BJ6,BL6)-SUM(BG6,BK6),"")</f>
        <v>47.599999999999994</v>
      </c>
      <c r="BS6" s="14">
        <f>IF(SUM(BO6,BP6,BR6)&gt;0,SUM(BO6,BP6,BR6),"")</f>
        <v>93.8</v>
      </c>
      <c r="BT6" s="20">
        <v>18.600000000000001</v>
      </c>
      <c r="BU6" s="20">
        <v>5.1999999999999993</v>
      </c>
      <c r="BV6" s="20">
        <v>0.6</v>
      </c>
      <c r="BW6" s="20">
        <v>0</v>
      </c>
      <c r="BX6" s="20">
        <v>18.399999999999999</v>
      </c>
      <c r="BY6" s="20">
        <v>5.1999999999999993</v>
      </c>
      <c r="BZ6" s="20">
        <v>0</v>
      </c>
      <c r="CA6" s="20">
        <v>0</v>
      </c>
      <c r="CB6" s="20">
        <v>18.8</v>
      </c>
      <c r="CC6" s="20">
        <v>3.9000000000000004</v>
      </c>
      <c r="CD6" s="20">
        <v>0</v>
      </c>
      <c r="CE6" s="20">
        <v>0</v>
      </c>
      <c r="CF6" s="20">
        <v>18.100000000000001</v>
      </c>
      <c r="CG6" s="20">
        <v>5.6</v>
      </c>
      <c r="CH6" s="20">
        <v>0.2</v>
      </c>
      <c r="CI6" s="20">
        <v>0</v>
      </c>
      <c r="CJ6" s="20">
        <v>18.399999999999999</v>
      </c>
      <c r="CK6" s="20">
        <v>5.6</v>
      </c>
      <c r="CL6" s="20">
        <v>0.6</v>
      </c>
      <c r="CM6" s="20">
        <v>0</v>
      </c>
      <c r="CN6" s="32"/>
      <c r="CO6" s="55">
        <f>IF(SUM(BU6,BY6)&gt;0,SUM(BU6,BY6),"")</f>
        <v>10.399999999999999</v>
      </c>
      <c r="CP6" s="55">
        <f>IF(SUM(BT6:BU6,BW6:BY6,CA6)-BV6-BZ6&gt;0,SUM(BT6:BU6,BW6:BY6,CA6)-BV6-BZ6,"")</f>
        <v>46.800000000000004</v>
      </c>
      <c r="CQ6" s="55">
        <f>IF(SUM(CB6:CC6,CE6)-CD6&gt;0,SUM(CB6:CC6,CE6)-CD6,"")</f>
        <v>22.700000000000003</v>
      </c>
      <c r="CR6" s="55">
        <f>IF(SUM(CG6,CK6)&gt;0,SUM(CG6,CK6),"")</f>
        <v>11.2</v>
      </c>
      <c r="CS6" s="55">
        <f>IF(SUM(CF6:CG6,CI6:CK6,CM6)-SUM(CH6,CL6)&gt;0,SUM(CF6:CG6,CI6:CK6,CM6)-SUM(CH6,CL6),"")</f>
        <v>46.900000000000006</v>
      </c>
      <c r="CT6" s="55">
        <f>IF(SUM(CP6,CQ6,CS6)&gt;0,SUM(CP6,CQ6,CS6),"")</f>
        <v>116.4</v>
      </c>
      <c r="CU6" s="56">
        <f>IF(MAX(DR6,ER6,FR6,GR6,HR6,IR6,JR6,KR6,LR6,MR6,NR6,OR6)-IF(K6="",0,K6)&gt;0.001,MAX(DR6,ER6,FR6,GR6,HR6,IR6,JR6,KR6,LR6,MR6,NR6,OR6)-IF(K6="",0,K6),"")</f>
        <v>2.8999999999999986</v>
      </c>
      <c r="CV6" s="56">
        <f>IF(MAX(DU6,EU6,FU6,GU6,HU6,IU6,JU6,KU6,LU6,MU6,NU6,OU6)-IF(M6="",0,M6)&gt;0.001,MAX(DU6,EU6,FU6,GU6,HU6,IU6,JU6,KU6,LU6,MU6,NU6,OU6)-IF(M6="",0,M6),"")</f>
        <v>1</v>
      </c>
      <c r="CW6" s="18">
        <v>17.8</v>
      </c>
      <c r="CX6" s="18">
        <v>4.4000000000000004</v>
      </c>
      <c r="CY6" s="18">
        <v>0.2</v>
      </c>
      <c r="CZ6" s="18">
        <v>0</v>
      </c>
      <c r="DA6" s="18">
        <v>17.2</v>
      </c>
      <c r="DB6" s="18">
        <v>2.8</v>
      </c>
      <c r="DC6" s="18">
        <v>0</v>
      </c>
      <c r="DD6" s="18">
        <v>0</v>
      </c>
      <c r="DE6" s="18"/>
      <c r="DF6" s="18"/>
      <c r="DG6" s="18"/>
      <c r="DH6" s="18"/>
      <c r="DI6" s="18"/>
      <c r="DJ6" s="18"/>
      <c r="DK6" s="18"/>
      <c r="DL6" s="18"/>
      <c r="DM6" s="18"/>
      <c r="DN6" s="18"/>
      <c r="DO6" s="18"/>
      <c r="DP6" s="18"/>
      <c r="DQ6" s="55">
        <f>IF(SUM(CX6,DB6)&gt;0,SUM(CX6,DB6),"")</f>
        <v>7.2</v>
      </c>
      <c r="DR6" s="55">
        <f>IF(SUM(CW6:CX6,CZ6:DB6,DD6)-CY6-DC6&gt;0,SUM(CW6:CX6,CZ6:DB6,DD6)-CY6-DC6,"")</f>
        <v>42</v>
      </c>
      <c r="DS6" s="55" t="str">
        <f>IF(SUM(DE6:DF6,DH6)-DG6&gt;0,SUM(DE6:DF6,DH6)-DG6,"")</f>
        <v/>
      </c>
      <c r="DT6" s="55" t="str">
        <f>IF(SUM(DJ6,DN6)&gt;0,SUM(DJ6,DN6),"")</f>
        <v/>
      </c>
      <c r="DU6" s="55" t="str">
        <f>IF(SUM(DI6:DJ6,DL6:DN6,DP6)-SUM(DK6,DO6)&gt;0,SUM(DI6:DJ6,DL6:DN6,DP6)-SUM(DK6,DO6),"")</f>
        <v/>
      </c>
      <c r="DV6" s="55">
        <f>IF(SUM(DR6,DS6,DU6)&gt;0,SUM(DR6,DS6,DU6),"")</f>
        <v>42</v>
      </c>
      <c r="DW6" s="19"/>
      <c r="DX6" s="19"/>
      <c r="DY6" s="19"/>
      <c r="DZ6" s="19"/>
      <c r="EA6" s="19"/>
      <c r="EB6" s="19"/>
      <c r="EC6" s="19"/>
      <c r="ED6" s="19"/>
      <c r="EE6" s="19"/>
      <c r="EF6" s="19"/>
      <c r="EG6" s="19"/>
      <c r="EH6" s="19"/>
      <c r="EI6" s="19"/>
      <c r="EJ6" s="19"/>
      <c r="EK6" s="19"/>
      <c r="EL6" s="19"/>
      <c r="EM6" s="19"/>
      <c r="EN6" s="19"/>
      <c r="EO6" s="19"/>
      <c r="EP6" s="19"/>
      <c r="EQ6" s="14" t="str">
        <f>IF(SUM(DX6,EB6)&gt;0,SUM(DX6,EB6),"")</f>
        <v/>
      </c>
      <c r="ER6" s="14" t="str">
        <f>IF(SUM(DW6:DX6,DZ6:EB6,ED6)-DY6-EC6&gt;0,SUM(DW6:DX6,DZ6:EB6,ED6)-DY6-EC6,"")</f>
        <v/>
      </c>
      <c r="ES6" s="14" t="str">
        <f>IF(SUM(EE6:EF6,EH6)-EG6&gt;0,SUM(EE6:EF6,EH6)-EG6,"")</f>
        <v/>
      </c>
      <c r="ET6" s="14" t="str">
        <f>IF(SUM(EJ6,EN6)&gt;0,SUM(EJ6,EN6),"")</f>
        <v/>
      </c>
      <c r="EU6" s="14" t="str">
        <f>IF(SUM(EI6:EJ6,EL6:EN6,EP6)-SUM(EK6,EO6)&gt;0,SUM(EI6:EJ6,EL6:EN6,EP6)-SUM(EK6,EO6),"")</f>
        <v/>
      </c>
      <c r="EV6" s="14" t="str">
        <f>IF(SUM(ER6,ES6,EU6)&gt;0,SUM(ER6,ES6,EU6),"")</f>
        <v/>
      </c>
      <c r="EW6" s="18"/>
      <c r="EX6" s="18"/>
      <c r="EY6" s="18"/>
      <c r="EZ6" s="18"/>
      <c r="FA6" s="18"/>
      <c r="FB6" s="18"/>
      <c r="FC6" s="18"/>
      <c r="FD6" s="18"/>
      <c r="FE6" s="18"/>
      <c r="FF6" s="18"/>
      <c r="FG6" s="18"/>
      <c r="FH6" s="18"/>
      <c r="FI6" s="18"/>
      <c r="FJ6" s="18"/>
      <c r="FK6" s="18"/>
      <c r="FL6" s="18"/>
      <c r="FM6" s="18"/>
      <c r="FN6" s="18"/>
      <c r="FO6" s="18"/>
      <c r="FP6" s="18"/>
      <c r="FQ6" s="55" t="str">
        <f>IF(SUM(EX6,FB6)&gt;0,SUM(EX6,FB6),"")</f>
        <v/>
      </c>
      <c r="FR6" s="55" t="str">
        <f>IF(SUM(EW6:EX6,EZ6:FB6,FD6)-EY6-FC6&gt;0,SUM(EW6:EX6,EZ6:FB6,FD6)-EY6-FC6,"")</f>
        <v/>
      </c>
      <c r="FS6" s="55" t="str">
        <f>IF(SUM(FE6:FF6,FH6)-FG6&gt;0,SUM(FE6:FF6,FH6)-FG6,"")</f>
        <v/>
      </c>
      <c r="FT6" s="55" t="str">
        <f>IF(SUM(FJ6,FN6)&gt;0,SUM(FJ6,FN6),"")</f>
        <v/>
      </c>
      <c r="FU6" s="55" t="str">
        <f>IF(SUM(FI6:FJ6,FL6:FN6,FP6)-SUM(FK6,FO6)&gt;0,SUM(FI6:FJ6,FL6:FN6,FP6)-SUM(FK6,FO6),"")</f>
        <v/>
      </c>
      <c r="FV6" s="55" t="str">
        <f>IF(SUM(FR6,FS6,FU6)&gt;0,SUM(FR6,FS6,FU6),"")</f>
        <v/>
      </c>
      <c r="FW6" s="19">
        <v>18.2</v>
      </c>
      <c r="FX6" s="19">
        <v>6.4</v>
      </c>
      <c r="FY6" s="19">
        <v>0</v>
      </c>
      <c r="FZ6" s="19">
        <v>0</v>
      </c>
      <c r="GA6" s="19">
        <v>18.3</v>
      </c>
      <c r="GB6" s="19">
        <v>6.8</v>
      </c>
      <c r="GC6" s="19">
        <v>0</v>
      </c>
      <c r="GD6" s="19">
        <v>0</v>
      </c>
      <c r="GE6" s="19"/>
      <c r="GF6" s="19"/>
      <c r="GG6" s="19"/>
      <c r="GH6" s="19"/>
      <c r="GI6" s="19">
        <v>18.2</v>
      </c>
      <c r="GJ6" s="19">
        <v>6.8</v>
      </c>
      <c r="GK6" s="19">
        <v>0.6</v>
      </c>
      <c r="GL6" s="19">
        <v>0</v>
      </c>
      <c r="GM6" s="19">
        <v>18.399999999999999</v>
      </c>
      <c r="GN6" s="19">
        <v>6.4</v>
      </c>
      <c r="GO6" s="19">
        <v>0.6</v>
      </c>
      <c r="GP6" s="19">
        <v>0</v>
      </c>
      <c r="GQ6" s="14">
        <f>IF(SUM(FX6,GB6)&gt;0,SUM(FX6,GB6),"")</f>
        <v>13.2</v>
      </c>
      <c r="GR6" s="14">
        <f>IF(SUM(FW6:FX6,FZ6:GB6,GD6)-FY6-GC6&gt;0,SUM(FW6:FX6,FZ6:GB6,GD6)-FY6-GC6,"")</f>
        <v>49.7</v>
      </c>
      <c r="GS6" s="14" t="str">
        <f>IF(SUM(GE6:GF6,GH6)-GG6&gt;0,SUM(GE6:GF6,GH6)-GG6,"")</f>
        <v/>
      </c>
      <c r="GT6" s="14">
        <f>IF(SUM(GJ6,GN6)&gt;0,SUM(GJ6,GN6),"")</f>
        <v>13.2</v>
      </c>
      <c r="GU6" s="14">
        <f>IF(SUM(GI6:GJ6,GL6:GN6,GP6)-SUM(GK6,GO6)&gt;0,SUM(GI6:GJ6,GL6:GN6,GP6)-SUM(GK6,GO6),"")</f>
        <v>48.599999999999994</v>
      </c>
      <c r="GV6" s="14">
        <f>IF(SUM(GR6,GS6,GU6)&gt;0,SUM(GR6,GS6,GU6),"")</f>
        <v>98.3</v>
      </c>
      <c r="GW6" s="18"/>
      <c r="GX6" s="18"/>
      <c r="GY6" s="18"/>
      <c r="GZ6" s="18"/>
      <c r="HA6" s="18"/>
      <c r="HB6" s="18"/>
      <c r="HC6" s="18"/>
      <c r="HD6" s="18"/>
      <c r="HE6" s="18">
        <v>18</v>
      </c>
      <c r="HF6" s="18">
        <v>6.4</v>
      </c>
      <c r="HG6" s="18">
        <v>0.2</v>
      </c>
      <c r="HH6" s="18">
        <v>0</v>
      </c>
      <c r="HI6" s="18">
        <v>17.8</v>
      </c>
      <c r="HJ6" s="18">
        <v>6</v>
      </c>
      <c r="HK6" s="18">
        <v>0.2</v>
      </c>
      <c r="HL6" s="18">
        <v>0</v>
      </c>
      <c r="HM6" s="18"/>
      <c r="HN6" s="18"/>
      <c r="HO6" s="18"/>
      <c r="HP6" s="18"/>
      <c r="HQ6" s="55" t="str">
        <f>IF(SUM(GX6,HB6)&gt;0,SUM(GX6,HB6),"")</f>
        <v/>
      </c>
      <c r="HR6" s="55" t="str">
        <f>IF(SUM(GW6:GX6,GZ6:HB6,HD6)-GY6-HC6&gt;0,SUM(GW6:GX6,GZ6:HB6,HD6)-GY6-HC6,"")</f>
        <v/>
      </c>
      <c r="HS6" s="55">
        <f>IF(SUM(HE6:HF6,HH6)-HG6&gt;0,SUM(HE6:HF6,HH6)-HG6,"")</f>
        <v>24.2</v>
      </c>
      <c r="HT6" s="55">
        <f>IF(SUM(HJ6,HN6)&gt;0,SUM(HJ6,HN6),"")</f>
        <v>6</v>
      </c>
      <c r="HU6" s="55">
        <f>IF(SUM(HI6:HJ6,HL6:HN6,HP6)-SUM(HK6,HO6)&gt;0,SUM(HI6:HJ6,HL6:HN6,HP6)-SUM(HK6,HO6),"")</f>
        <v>23.6</v>
      </c>
      <c r="HV6" s="55">
        <f>IF(SUM(HR6,HS6,HU6)&gt;0,SUM(HR6,HS6,HU6),"")</f>
        <v>47.8</v>
      </c>
      <c r="HW6" s="19"/>
      <c r="HX6" s="19"/>
      <c r="HY6" s="19"/>
      <c r="HZ6" s="19"/>
      <c r="IA6" s="19"/>
      <c r="IB6" s="19"/>
      <c r="IC6" s="19"/>
      <c r="ID6" s="19"/>
      <c r="IE6" s="19"/>
      <c r="IF6" s="19"/>
      <c r="IG6" s="19"/>
      <c r="IH6" s="19"/>
      <c r="II6" s="19"/>
      <c r="IJ6" s="19"/>
      <c r="IK6" s="19"/>
      <c r="IL6" s="19"/>
      <c r="IM6" s="19"/>
      <c r="IN6" s="19"/>
      <c r="IO6" s="19"/>
      <c r="IP6" s="19"/>
      <c r="IQ6" s="14" t="str">
        <f>IF(SUM(HX6,IB6)&gt;0,SUM(HX6,IB6),"")</f>
        <v/>
      </c>
      <c r="IR6" s="14" t="str">
        <f>IF(SUM(HW6:HX6,HZ6:IB6,ID6)-HY6-IC6&gt;0,SUM(HW6:HX6,HZ6:IB6,ID6)-HY6-IC6,"")</f>
        <v/>
      </c>
      <c r="IS6" s="14" t="str">
        <f>IF(SUM(IE6:IF6,IH6)-IG6&gt;0,SUM(IE6:IF6,IH6)-IG6,"")</f>
        <v/>
      </c>
      <c r="IT6" s="14" t="str">
        <f>IF(SUM(IJ6,IN6)&gt;0,SUM(IJ6,IN6),"")</f>
        <v/>
      </c>
      <c r="IU6" s="14" t="str">
        <f>IF(SUM(II6:IJ6,IL6:IN6,IP6)-SUM(IK6,IO6)&gt;0,SUM(II6:IJ6,IL6:IN6,IP6)-SUM(IK6,IO6),"")</f>
        <v/>
      </c>
      <c r="IV6" s="14" t="str">
        <f>IF(SUM(IR6,IS6,IU6)&gt;0,SUM(IR6,IS6,IU6),"")</f>
        <v/>
      </c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8"/>
      <c r="JL6" s="18"/>
      <c r="JM6" s="18"/>
      <c r="JN6" s="18"/>
      <c r="JO6" s="18"/>
      <c r="JP6" s="18"/>
      <c r="JQ6" s="55" t="str">
        <f>IF(SUM(IX6,JB6)&gt;0,SUM(IX6,JB6),"")</f>
        <v/>
      </c>
      <c r="JR6" s="55" t="str">
        <f>IF(SUM(IW6:IX6,IZ6:JB6,JD6)-IY6-JC6&gt;0,SUM(IW6:IX6,IZ6:JB6,JD6)-IY6-JC6,"")</f>
        <v/>
      </c>
      <c r="JS6" s="55" t="str">
        <f>IF(SUM(JE6:JF6,JH6)-JG6&gt;0,SUM(JE6:JF6,JH6)-JG6,"")</f>
        <v/>
      </c>
      <c r="JT6" s="55" t="str">
        <f>IF(SUM(JJ6,JN6)&gt;0,SUM(JJ6,JN6),"")</f>
        <v/>
      </c>
      <c r="JU6" s="55" t="str">
        <f>IF(SUM(JI6:JJ6,JL6:JN6,JP6)-SUM(JK6,JO6)&gt;0,SUM(JI6:JJ6,JL6:JN6,JP6)-SUM(JK6,JO6),"")</f>
        <v/>
      </c>
      <c r="JV6" s="55" t="str">
        <f>IF(SUM(JR6,JS6,JU6)&gt;0,SUM(JR6,JS6,JU6),"")</f>
        <v/>
      </c>
      <c r="JW6" s="19"/>
      <c r="JX6" s="19"/>
      <c r="JY6" s="19"/>
      <c r="JZ6" s="19"/>
      <c r="KA6" s="19"/>
      <c r="KB6" s="19"/>
      <c r="KC6" s="19"/>
      <c r="KD6" s="19"/>
      <c r="KE6" s="19"/>
      <c r="KF6" s="19"/>
      <c r="KG6" s="19"/>
      <c r="KH6" s="19"/>
      <c r="KI6" s="19"/>
      <c r="KJ6" s="19"/>
      <c r="KK6" s="19"/>
      <c r="KL6" s="19"/>
      <c r="KM6" s="19"/>
      <c r="KN6" s="19"/>
      <c r="KO6" s="19"/>
      <c r="KP6" s="19"/>
      <c r="KQ6" s="14" t="str">
        <f>IF(SUM(JX6,KB6)&gt;0,SUM(JX6,KB6),"")</f>
        <v/>
      </c>
      <c r="KR6" s="14" t="str">
        <f>IF(SUM(JW6:JX6,JZ6:KB6,KD6)-JY6-KC6&gt;0,SUM(JW6:JX6,JZ6:KB6,KD6)-JY6-KC6,"")</f>
        <v/>
      </c>
      <c r="KS6" s="14" t="str">
        <f>IF(SUM(KE6:KF6,KH6)-KG6&gt;0,SUM(KE6:KF6,KH6)-KG6,"")</f>
        <v/>
      </c>
      <c r="KT6" s="14" t="str">
        <f>IF(SUM(KJ6,KN6)&gt;0,SUM(KJ6,KN6),"")</f>
        <v/>
      </c>
      <c r="KU6" s="14" t="str">
        <f>IF(SUM(KI6:KJ6,KL6:KN6,KP6)-SUM(KK6,KO6)&gt;0,SUM(KI6:KJ6,KL6:KN6,KP6)-SUM(KK6,KO6),"")</f>
        <v/>
      </c>
      <c r="KV6" s="14" t="str">
        <f>IF(SUM(KR6,KS6,KU6)&gt;0,SUM(KR6,KS6,KU6),"")</f>
        <v/>
      </c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8"/>
      <c r="LP6" s="18"/>
      <c r="LQ6" s="55" t="str">
        <f>IF(SUM(KX6,LB6)&gt;0,SUM(KX6,LB6),"")</f>
        <v/>
      </c>
      <c r="LR6" s="55" t="str">
        <f>IF(SUM(KW6:KX6,KZ6:LB6,LD6)-KY6-LC6&gt;0,SUM(KW6:KX6,KZ6:LB6,LD6)-KY6-LC6,"")</f>
        <v/>
      </c>
      <c r="LS6" s="55" t="str">
        <f>IF(SUM(LE6:LF6,LH6)-LG6&gt;0,SUM(LE6:LF6,LH6)-LG6,"")</f>
        <v/>
      </c>
      <c r="LT6" s="55" t="str">
        <f>IF(SUM(LJ6,LN6)&gt;0,SUM(LJ6,LN6),"")</f>
        <v/>
      </c>
      <c r="LU6" s="55" t="str">
        <f>IF(SUM(LI6:LJ6,LL6:LN6,LP6)-SUM(LK6,LO6)&gt;0,SUM(LI6:LJ6,LL6:LN6,LP6)-SUM(LK6,LO6),"")</f>
        <v/>
      </c>
      <c r="LV6" s="55" t="str">
        <f>IF(SUM(LR6,LS6,LU6)&gt;0,SUM(LR6,LS6,LU6),"")</f>
        <v/>
      </c>
      <c r="LW6" s="19"/>
      <c r="LX6" s="19"/>
      <c r="LY6" s="19"/>
      <c r="LZ6" s="19"/>
      <c r="MA6" s="19"/>
      <c r="MB6" s="19"/>
      <c r="MC6" s="19"/>
      <c r="MD6" s="19"/>
      <c r="ME6" s="19"/>
      <c r="MF6" s="19"/>
      <c r="MG6" s="19"/>
      <c r="MH6" s="19"/>
      <c r="MI6" s="19"/>
      <c r="MJ6" s="19"/>
      <c r="MK6" s="19"/>
      <c r="ML6" s="19"/>
      <c r="MM6" s="19"/>
      <c r="MN6" s="19"/>
      <c r="MO6" s="19"/>
      <c r="MP6" s="19"/>
      <c r="MQ6" s="14" t="str">
        <f>IF(SUM(LX6,MB6)&gt;0,SUM(LX6,MB6),"")</f>
        <v/>
      </c>
      <c r="MR6" s="14" t="str">
        <f>IF(SUM(LW6:LX6,LZ6:MB6,MD6)-LY6-MC6&gt;0,SUM(LW6:LX6,LZ6:MB6,MD6)-LY6-MC6,"")</f>
        <v/>
      </c>
      <c r="MS6" s="14" t="str">
        <f>IF(SUM(ME6:MF6,MH6)-MG6&gt;0,SUM(ME6:MF6,MH6)-MG6,"")</f>
        <v/>
      </c>
      <c r="MT6" s="14" t="str">
        <f>IF(SUM(MJ6,MN6)&gt;0,SUM(MJ6,MN6),"")</f>
        <v/>
      </c>
      <c r="MU6" s="14" t="str">
        <f>IF(SUM(MI6:MJ6,ML6:MN6,MP6)-SUM(MK6,MO6)&gt;0,SUM(MI6:MJ6,ML6:MN6,MP6)-SUM(MK6,MO6),"")</f>
        <v/>
      </c>
      <c r="MV6" s="14" t="str">
        <f>IF(SUM(MR6,MS6,MU6)&gt;0,SUM(MR6,MS6,MU6),"")</f>
        <v/>
      </c>
      <c r="MW6" s="18"/>
      <c r="MX6" s="18"/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55" t="str">
        <f>IF(SUM(MX6,NB6)&gt;0,SUM(MX6,NB6),"")</f>
        <v/>
      </c>
      <c r="NR6" s="55" t="str">
        <f>IF(SUM(MW6:MX6,MZ6:NB6,ND6)-MY6-NC6&gt;0,SUM(MW6:MX6,MZ6:NB6,ND6)-MY6-NC6,"")</f>
        <v/>
      </c>
      <c r="NS6" s="55" t="str">
        <f>IF(SUM(NE6:NF6,NH6)-NG6&gt;0,SUM(NE6:NF6,NH6)-NG6,"")</f>
        <v/>
      </c>
      <c r="NT6" s="55" t="str">
        <f>IF(SUM(NJ6,NN6)&gt;0,SUM(NJ6,NN6),"")</f>
        <v/>
      </c>
      <c r="NU6" s="55" t="str">
        <f>IF(SUM(NI6:NJ6,NL6:NN6,NP6)-SUM(NK6,NO6)&gt;0,SUM(NI6:NJ6,NL6:NN6,NP6)-SUM(NK6,NO6),"")</f>
        <v/>
      </c>
      <c r="NV6" s="55" t="str">
        <f>IF(SUM(NR6,NS6,NU6)&gt;0,SUM(NR6,NS6,NU6),"")</f>
        <v/>
      </c>
      <c r="NW6" s="19"/>
      <c r="NX6" s="19"/>
      <c r="NY6" s="19"/>
      <c r="NZ6" s="19"/>
      <c r="OA6" s="19"/>
      <c r="OB6" s="19"/>
      <c r="OC6" s="19"/>
      <c r="OD6" s="19"/>
      <c r="OE6" s="19"/>
      <c r="OF6" s="19"/>
      <c r="OG6" s="19"/>
      <c r="OH6" s="19"/>
      <c r="OI6" s="19"/>
      <c r="OJ6" s="19"/>
      <c r="OK6" s="19"/>
      <c r="OL6" s="19"/>
      <c r="OM6" s="19"/>
      <c r="ON6" s="19"/>
      <c r="OO6" s="19"/>
      <c r="OP6" s="19"/>
      <c r="OQ6" s="14" t="str">
        <f>IF(SUM(NX6,OB6)&gt;0,SUM(NX6,OB6),"")</f>
        <v/>
      </c>
      <c r="OR6" s="14" t="str">
        <f>IF(SUM(NW6:NX6,NZ6:OB6,OD6)-NY6-OC6&gt;0,SUM(NW6:NX6,NZ6:OB6,OD6)-NY6-OC6,"")</f>
        <v/>
      </c>
      <c r="OS6" s="14" t="str">
        <f>IF(SUM(OE6:OF6,OH6)-OG6&gt;0,SUM(OE6:OF6,OH6)-OG6,"")</f>
        <v/>
      </c>
      <c r="OT6" s="14" t="str">
        <f>IF(SUM(OJ6,ON6)&gt;0,SUM(OJ6,ON6),"")</f>
        <v/>
      </c>
      <c r="OU6" s="14" t="str">
        <f>IF(SUM(OI6:OJ6,OL6:ON6,OP6)-SUM(OK6,OO6)&gt;0,SUM(OI6:OJ6,OL6:ON6,OP6)-SUM(OK6,OO6),"")</f>
        <v/>
      </c>
      <c r="OV6" s="14" t="str">
        <f>IF(SUM(OR6,OS6,OU6)&gt;0,SUM(OR6,OS6,OU6),"")</f>
        <v/>
      </c>
      <c r="OW6" s="27">
        <f>IF($CN6="P",BT6,(BT6+AS6)/2)</f>
        <v>9.3000000000000007</v>
      </c>
      <c r="OX6" s="27">
        <f>IF($CN6="P",BU6,(BU6+AT6)/2)</f>
        <v>2.5999999999999996</v>
      </c>
      <c r="OY6" s="27">
        <f>IF($CN6="P",BV6,(BV6+AU6)/2)</f>
        <v>0.3</v>
      </c>
      <c r="OZ6" s="27">
        <f>IF($CN6="P",BW6,(BW6+AV6)/2)</f>
        <v>0</v>
      </c>
      <c r="PA6" s="27">
        <f>IF($CN6="P",BX6,(BX6+AW6)/2)</f>
        <v>18.2</v>
      </c>
      <c r="PB6" s="27">
        <f>IF($CN6="P",BY6,(BY6+AX6)/2)</f>
        <v>5.6</v>
      </c>
      <c r="PC6" s="27">
        <f>IF($CN6="P",BZ6,(BZ6+AY6)/2)</f>
        <v>0.1</v>
      </c>
      <c r="PD6" s="27">
        <f>IF($CN6="P",CA6,(CA6+AZ6)/2)</f>
        <v>0</v>
      </c>
      <c r="PE6" s="27">
        <f>IF($CN6="P",CB6,(CB6+BA6)/2)</f>
        <v>18.5</v>
      </c>
      <c r="PF6" s="27">
        <f>IF($CN6="P",CC6,(CC6+BB6)/2)</f>
        <v>4.5500000000000007</v>
      </c>
      <c r="PG6" s="27">
        <f>IF($CN6="P",CD6,(CD6+BC6)/2)</f>
        <v>0.5</v>
      </c>
      <c r="PH6" s="27">
        <f>IF($CN6="P",CE6,(CE6+BD6)/2)</f>
        <v>0</v>
      </c>
      <c r="PI6" s="27">
        <f>IF($CN6="P",CF6,(CF6+BE6)/2)</f>
        <v>18.450000000000003</v>
      </c>
      <c r="PJ6" s="27">
        <f>IF($CN6="P",CG6,(CG6+BF6)/2)</f>
        <v>5.6</v>
      </c>
      <c r="PK6" s="27">
        <f>IF($CN6="P",CH6,(CH6+BG6)/2)</f>
        <v>0.4</v>
      </c>
      <c r="PL6" s="27">
        <f>IF($CN6="P",CI6,(CI6+BH6)/2)</f>
        <v>0</v>
      </c>
      <c r="PM6" s="27">
        <f>IF($CN6="P",CJ6,(CJ6+BI6)/2)</f>
        <v>18.299999999999997</v>
      </c>
      <c r="PN6" s="27">
        <f>IF($CN6="P",CK6,(CK6+BJ6)/2)</f>
        <v>5.6</v>
      </c>
      <c r="PO6" s="27">
        <f>IF($CN6="P",CL6,(CL6+BK6)/2)</f>
        <v>0.3</v>
      </c>
      <c r="PP6" s="27">
        <f>IF($CN6="P",CM6,(CM6+BL6)/2)</f>
        <v>0</v>
      </c>
      <c r="PQ6" s="32" t="s">
        <v>44</v>
      </c>
      <c r="PR6" s="55">
        <f>IF(SUM(OX6,PB6)&gt;0,SUM(OX6,PB6),"")</f>
        <v>8.1999999999999993</v>
      </c>
      <c r="PS6" s="55">
        <f>IF(SUM(OW6:OX6,OZ6:PB6,PD6)-OY6-PC6&gt;0,SUM(OW6:OX6,OZ6:PB6,PD6)-OY6-PC6,"")</f>
        <v>35.300000000000004</v>
      </c>
      <c r="PT6" s="55">
        <f>IF(SUM(PE6:PF6,PH6)-PG6&gt;0,SUM(PE6:PF6,PH6)-PG6,"")</f>
        <v>22.55</v>
      </c>
      <c r="PU6" s="55">
        <f>IF(SUM(PJ6,PN6)&gt;0,SUM(PJ6,PN6),"")</f>
        <v>11.2</v>
      </c>
      <c r="PV6" s="55">
        <f>IF(SUM(PI6:PJ6,PL6:PN6,PP6)-SUM(PK6,PO6)&gt;0,SUM(PI6:PJ6,PL6:PN6,PP6)-SUM(PK6,PO6),"")</f>
        <v>47.25</v>
      </c>
      <c r="PW6" s="55">
        <f>IF(SUM(PS6,PT6,PV6)&gt;0,SUM(PS6,PT6,PV6),"")</f>
        <v>105.10000000000001</v>
      </c>
    </row>
    <row r="7" spans="1:439" ht="17" x14ac:dyDescent="0.2">
      <c r="O7" s="11"/>
      <c r="P7" s="11"/>
      <c r="Q7" s="11"/>
    </row>
    <row r="8" spans="1:439" ht="17" x14ac:dyDescent="0.2">
      <c r="O8" s="11"/>
      <c r="P8" s="11"/>
      <c r="Q8" s="11"/>
    </row>
    <row r="9" spans="1:439" ht="17" x14ac:dyDescent="0.2">
      <c r="B9" s="28" t="s">
        <v>42</v>
      </c>
      <c r="O9" s="11"/>
      <c r="P9" s="11"/>
      <c r="Q9" s="11"/>
      <c r="AM9" s="4"/>
      <c r="AR9" s="57">
        <v>7.9</v>
      </c>
      <c r="BN9" s="4"/>
      <c r="BS9" s="57">
        <v>7.9</v>
      </c>
      <c r="CO9" s="4"/>
      <c r="CT9" s="57">
        <v>7.9</v>
      </c>
      <c r="DQ9" s="4"/>
      <c r="DV9" s="57">
        <v>9.6</v>
      </c>
      <c r="EQ9" s="4"/>
      <c r="EV9" s="57">
        <v>7.9</v>
      </c>
      <c r="FQ9" s="4"/>
      <c r="FV9" s="57">
        <v>7.9</v>
      </c>
      <c r="GQ9" s="4"/>
      <c r="GV9" s="57">
        <v>7.9</v>
      </c>
      <c r="HQ9" s="4"/>
      <c r="HV9" s="57">
        <v>7.9</v>
      </c>
      <c r="IQ9" s="4"/>
      <c r="IV9" s="57">
        <v>7.9</v>
      </c>
      <c r="JQ9" s="4"/>
      <c r="JV9" s="57">
        <v>7.9</v>
      </c>
      <c r="KQ9" s="4"/>
      <c r="KV9" s="57">
        <v>7.9</v>
      </c>
      <c r="LQ9" s="4"/>
      <c r="LV9" s="57">
        <v>7.9</v>
      </c>
      <c r="MQ9" s="4"/>
      <c r="MV9" s="57">
        <v>7.9</v>
      </c>
      <c r="NQ9" s="4"/>
      <c r="NV9" s="57">
        <v>7.9</v>
      </c>
      <c r="OQ9" s="4"/>
      <c r="OV9" s="57">
        <v>7.9</v>
      </c>
    </row>
    <row r="10" spans="1:439" ht="17" hidden="1" x14ac:dyDescent="0.2">
      <c r="B10" s="35" t="s">
        <v>41</v>
      </c>
      <c r="O10" s="11"/>
      <c r="P10" s="11"/>
      <c r="Q10" s="11"/>
      <c r="AM10" s="4"/>
      <c r="AR10" s="58">
        <f>AR11</f>
        <v>9.6</v>
      </c>
      <c r="BN10" s="4"/>
      <c r="BS10" s="58">
        <f>BS11</f>
        <v>9.6</v>
      </c>
      <c r="CO10" s="4"/>
      <c r="CT10" s="58">
        <f>CT11</f>
        <v>9.6</v>
      </c>
      <c r="DQ10" s="4"/>
      <c r="DV10" s="58">
        <f>DV11</f>
        <v>10.4</v>
      </c>
      <c r="EQ10" s="4"/>
      <c r="EV10" s="58">
        <f>EV11</f>
        <v>9.6</v>
      </c>
      <c r="FQ10" s="4"/>
      <c r="FV10" s="58">
        <f>FV11</f>
        <v>9.6</v>
      </c>
      <c r="GQ10" s="4"/>
      <c r="GV10" s="58">
        <f>GV11</f>
        <v>9.6</v>
      </c>
      <c r="HQ10" s="4"/>
      <c r="HV10" s="58">
        <f>HV11</f>
        <v>9.6</v>
      </c>
      <c r="IQ10" s="4"/>
      <c r="IV10" s="58">
        <f>IV11</f>
        <v>9.6</v>
      </c>
      <c r="JQ10" s="4"/>
      <c r="JV10" s="58">
        <f>JV11</f>
        <v>9.6</v>
      </c>
      <c r="KQ10" s="4"/>
      <c r="KV10" s="58">
        <f>KV11</f>
        <v>9.6</v>
      </c>
      <c r="LQ10" s="4"/>
      <c r="LV10" s="58">
        <f>LV11</f>
        <v>9.6</v>
      </c>
      <c r="MQ10" s="4"/>
      <c r="MV10" s="58">
        <f>MV11</f>
        <v>9.6</v>
      </c>
      <c r="NQ10" s="4"/>
      <c r="NV10" s="58">
        <f>NV11</f>
        <v>9.6</v>
      </c>
      <c r="OQ10" s="4"/>
      <c r="OV10" s="58">
        <f>OV11</f>
        <v>9.6</v>
      </c>
    </row>
    <row r="11" spans="1:439" ht="17" x14ac:dyDescent="0.2">
      <c r="A11" s="5"/>
      <c r="B11" s="36" t="s">
        <v>54</v>
      </c>
      <c r="C11" s="22"/>
      <c r="O11" s="11"/>
      <c r="P11" s="11"/>
      <c r="Q11" s="11"/>
      <c r="AM11" s="4"/>
      <c r="AR11" s="59">
        <v>9.6</v>
      </c>
      <c r="BN11" s="4"/>
      <c r="BS11" s="59">
        <v>9.6</v>
      </c>
      <c r="CO11" s="4"/>
      <c r="CT11" s="59">
        <v>9.6</v>
      </c>
      <c r="DQ11" s="4"/>
      <c r="DV11" s="59">
        <v>10.4</v>
      </c>
      <c r="EQ11" s="4"/>
      <c r="EV11" s="59">
        <v>9.6</v>
      </c>
      <c r="FQ11" s="4"/>
      <c r="FV11" s="59">
        <v>9.6</v>
      </c>
      <c r="GQ11" s="4"/>
      <c r="GV11" s="59">
        <v>9.6</v>
      </c>
      <c r="HQ11" s="4"/>
      <c r="HV11" s="59">
        <v>9.6</v>
      </c>
      <c r="IQ11" s="4"/>
      <c r="IV11" s="59">
        <v>9.6</v>
      </c>
      <c r="JQ11" s="4"/>
      <c r="JV11" s="59">
        <v>9.6</v>
      </c>
      <c r="KQ11" s="4"/>
      <c r="KV11" s="59">
        <v>9.6</v>
      </c>
      <c r="LQ11" s="4"/>
      <c r="LV11" s="59">
        <v>9.6</v>
      </c>
      <c r="MQ11" s="4"/>
      <c r="MV11" s="59">
        <v>9.6</v>
      </c>
      <c r="NQ11" s="4"/>
      <c r="NV11" s="59">
        <v>9.6</v>
      </c>
      <c r="OQ11" s="4"/>
      <c r="OV11" s="59">
        <v>9.6</v>
      </c>
    </row>
    <row r="12" spans="1:439" ht="17" hidden="1" x14ac:dyDescent="0.2">
      <c r="A12" s="5"/>
      <c r="B12" s="44" t="s">
        <v>59</v>
      </c>
      <c r="C12" s="22"/>
      <c r="O12" s="11"/>
      <c r="P12" s="11"/>
      <c r="Q12" s="11"/>
      <c r="AM12" s="4"/>
      <c r="AR12" s="65">
        <v>1000</v>
      </c>
      <c r="BN12" s="4"/>
      <c r="BS12" s="65">
        <v>1000</v>
      </c>
      <c r="CO12" s="4"/>
      <c r="CT12" s="65">
        <v>1000</v>
      </c>
      <c r="DQ12" s="4"/>
      <c r="DV12" s="65">
        <v>1000</v>
      </c>
      <c r="EQ12" s="4"/>
      <c r="EV12" s="65">
        <v>1000</v>
      </c>
      <c r="FQ12" s="4"/>
      <c r="FV12" s="65">
        <v>1000</v>
      </c>
      <c r="GQ12" s="4"/>
      <c r="GV12" s="65">
        <v>1000</v>
      </c>
      <c r="HQ12" s="4"/>
      <c r="HV12" s="65">
        <v>1000</v>
      </c>
      <c r="IQ12" s="4"/>
      <c r="IV12" s="65">
        <v>1000</v>
      </c>
      <c r="JQ12" s="4"/>
      <c r="JV12" s="65">
        <v>1000</v>
      </c>
      <c r="KQ12" s="4"/>
      <c r="KV12" s="65">
        <v>1000</v>
      </c>
      <c r="LQ12" s="4"/>
      <c r="LV12" s="65">
        <v>1000</v>
      </c>
      <c r="MQ12" s="4"/>
      <c r="MV12" s="65">
        <v>1000</v>
      </c>
      <c r="NQ12" s="4"/>
      <c r="NV12" s="65">
        <v>1000</v>
      </c>
      <c r="OQ12" s="4"/>
      <c r="OV12" s="65">
        <v>1000</v>
      </c>
    </row>
    <row r="13" spans="1:439" ht="17" x14ac:dyDescent="0.2">
      <c r="A13" s="5"/>
      <c r="B13" s="42" t="s">
        <v>39</v>
      </c>
      <c r="C13" s="22"/>
      <c r="O13" s="11"/>
      <c r="P13" s="11"/>
      <c r="Q13" s="11"/>
      <c r="AM13" s="4"/>
      <c r="AR13" s="66">
        <v>45.5</v>
      </c>
      <c r="BN13" s="4"/>
      <c r="BS13" s="66">
        <v>45.5</v>
      </c>
      <c r="CO13" s="4"/>
      <c r="CT13" s="66">
        <v>45.5</v>
      </c>
      <c r="DQ13" s="4"/>
      <c r="DV13" s="66">
        <v>46.4</v>
      </c>
      <c r="EQ13" s="4"/>
      <c r="EV13" s="66">
        <v>45.5</v>
      </c>
      <c r="FQ13" s="4"/>
      <c r="FV13" s="66">
        <v>45.5</v>
      </c>
      <c r="GQ13" s="4"/>
      <c r="GV13" s="66">
        <v>45.5</v>
      </c>
      <c r="HQ13" s="4"/>
      <c r="HV13" s="66">
        <v>45.5</v>
      </c>
      <c r="IQ13" s="4"/>
      <c r="IV13" s="66">
        <v>45.5</v>
      </c>
      <c r="JQ13" s="4"/>
      <c r="JV13" s="66">
        <v>45.5</v>
      </c>
      <c r="KQ13" s="4"/>
      <c r="KV13" s="66">
        <v>45.5</v>
      </c>
      <c r="LQ13" s="4"/>
      <c r="LV13" s="66">
        <v>45.5</v>
      </c>
      <c r="MQ13" s="4"/>
      <c r="MV13" s="66">
        <v>45.5</v>
      </c>
      <c r="NQ13" s="4"/>
      <c r="NV13" s="66">
        <v>45.5</v>
      </c>
      <c r="OQ13" s="4"/>
      <c r="OV13" s="66">
        <v>45.5</v>
      </c>
    </row>
    <row r="14" spans="1:439" ht="17" hidden="1" x14ac:dyDescent="0.2">
      <c r="A14" s="5"/>
      <c r="B14" s="29" t="s">
        <v>40</v>
      </c>
      <c r="C14" s="22"/>
      <c r="O14" s="11"/>
      <c r="P14" s="11"/>
      <c r="Q14" s="11"/>
      <c r="AM14" s="4"/>
      <c r="AR14" s="62">
        <f>AR15</f>
        <v>47.1</v>
      </c>
      <c r="BN14" s="4"/>
      <c r="BS14" s="62">
        <f>BS15</f>
        <v>47.1</v>
      </c>
      <c r="CO14" s="4"/>
      <c r="CT14" s="62">
        <f>CT15</f>
        <v>47.1</v>
      </c>
      <c r="DQ14" s="4"/>
      <c r="DV14" s="62">
        <f>DV15</f>
        <v>48</v>
      </c>
      <c r="EQ14" s="4"/>
      <c r="EV14" s="62">
        <f>EV15</f>
        <v>47.1</v>
      </c>
      <c r="FQ14" s="4"/>
      <c r="FV14" s="62">
        <f>FV15</f>
        <v>47.1</v>
      </c>
      <c r="GQ14" s="4"/>
      <c r="GV14" s="62">
        <f>GV15</f>
        <v>47.1</v>
      </c>
      <c r="HQ14" s="4"/>
      <c r="HV14" s="62">
        <f>HV15</f>
        <v>47.1</v>
      </c>
      <c r="IQ14" s="4"/>
      <c r="IV14" s="62">
        <f>IV15</f>
        <v>47.1</v>
      </c>
      <c r="JQ14" s="4"/>
      <c r="JV14" s="62">
        <f>JV15</f>
        <v>47.1</v>
      </c>
      <c r="KQ14" s="4"/>
      <c r="KV14" s="62">
        <f>KV15</f>
        <v>47.1</v>
      </c>
      <c r="LQ14" s="4"/>
      <c r="LV14" s="62">
        <f>LV15</f>
        <v>47.1</v>
      </c>
      <c r="MQ14" s="4"/>
      <c r="MV14" s="62">
        <f>MV15</f>
        <v>47.1</v>
      </c>
      <c r="NQ14" s="4"/>
      <c r="NV14" s="62">
        <f>NV15</f>
        <v>47.1</v>
      </c>
      <c r="OQ14" s="4"/>
      <c r="OV14" s="62">
        <f>OV15</f>
        <v>47.1</v>
      </c>
    </row>
    <row r="15" spans="1:439" ht="17" x14ac:dyDescent="0.2">
      <c r="A15" s="5"/>
      <c r="B15" s="40" t="s">
        <v>53</v>
      </c>
      <c r="C15" s="22"/>
      <c r="O15" s="11"/>
      <c r="P15" s="11"/>
      <c r="Q15" s="11"/>
      <c r="AM15" s="4"/>
      <c r="AR15" s="63">
        <v>47.1</v>
      </c>
      <c r="BN15" s="4"/>
      <c r="BS15" s="63">
        <v>47.1</v>
      </c>
      <c r="CO15" s="4"/>
      <c r="CT15" s="63">
        <v>47.1</v>
      </c>
      <c r="DQ15" s="4"/>
      <c r="DV15" s="63">
        <v>48</v>
      </c>
      <c r="EQ15" s="4"/>
      <c r="EV15" s="63">
        <v>47.1</v>
      </c>
      <c r="FQ15" s="4"/>
      <c r="FV15" s="63">
        <v>47.1</v>
      </c>
      <c r="GQ15" s="4"/>
      <c r="GV15" s="63">
        <v>47.1</v>
      </c>
      <c r="HQ15" s="4"/>
      <c r="HV15" s="63">
        <v>47.1</v>
      </c>
      <c r="IQ15" s="4"/>
      <c r="IV15" s="63">
        <v>47.1</v>
      </c>
      <c r="JQ15" s="4"/>
      <c r="JV15" s="63">
        <v>47.1</v>
      </c>
      <c r="KQ15" s="4"/>
      <c r="KV15" s="63">
        <v>47.1</v>
      </c>
      <c r="LQ15" s="4"/>
      <c r="LV15" s="63">
        <v>47.1</v>
      </c>
      <c r="MQ15" s="4"/>
      <c r="MV15" s="63">
        <v>47.1</v>
      </c>
      <c r="NQ15" s="4"/>
      <c r="NV15" s="63">
        <v>47.1</v>
      </c>
      <c r="OQ15" s="4"/>
      <c r="OV15" s="63">
        <v>47.1</v>
      </c>
    </row>
    <row r="16" spans="1:439" ht="17" hidden="1" x14ac:dyDescent="0.2">
      <c r="A16" s="5"/>
      <c r="B16" s="30" t="s">
        <v>26</v>
      </c>
      <c r="C16" s="22"/>
      <c r="O16" s="11"/>
      <c r="P16" s="11"/>
      <c r="Q16" s="11"/>
      <c r="AM16" s="4"/>
      <c r="AR16" s="64">
        <v>1000</v>
      </c>
      <c r="BN16" s="4"/>
      <c r="BS16" s="64">
        <v>1000</v>
      </c>
      <c r="CO16" s="4"/>
      <c r="CT16" s="64">
        <v>1000</v>
      </c>
      <c r="DQ16" s="4"/>
      <c r="DV16" s="64">
        <v>1000</v>
      </c>
      <c r="EQ16" s="4"/>
      <c r="EV16" s="64">
        <v>1000</v>
      </c>
      <c r="FQ16" s="4"/>
      <c r="FV16" s="64">
        <v>1000</v>
      </c>
      <c r="GQ16" s="4"/>
      <c r="GV16" s="64">
        <v>1000</v>
      </c>
      <c r="HQ16" s="4"/>
      <c r="HV16" s="64">
        <v>1000</v>
      </c>
      <c r="IQ16" s="4"/>
      <c r="IV16" s="64">
        <v>1000</v>
      </c>
      <c r="JQ16" s="4"/>
      <c r="JV16" s="64">
        <v>1000</v>
      </c>
      <c r="KQ16" s="4"/>
      <c r="KV16" s="64">
        <v>1000</v>
      </c>
      <c r="LQ16" s="4"/>
      <c r="LV16" s="64">
        <v>1000</v>
      </c>
      <c r="MQ16" s="4"/>
      <c r="MV16" s="64">
        <v>1000</v>
      </c>
      <c r="NQ16" s="4"/>
      <c r="NV16" s="64">
        <v>1000</v>
      </c>
      <c r="OQ16" s="4"/>
      <c r="OV16" s="64">
        <v>1000</v>
      </c>
    </row>
    <row r="17" spans="1:3" x14ac:dyDescent="0.2">
      <c r="B17" s="34" t="s">
        <v>45</v>
      </c>
      <c r="C17" s="2"/>
    </row>
    <row r="18" spans="1:3" x14ac:dyDescent="0.2">
      <c r="A18" s="5"/>
      <c r="B18" s="5"/>
      <c r="C18" s="22"/>
    </row>
    <row r="19" spans="1:3" x14ac:dyDescent="0.2">
      <c r="A19" s="5"/>
      <c r="B19" s="5"/>
      <c r="C19" s="22"/>
    </row>
    <row r="20" spans="1:3" x14ac:dyDescent="0.2">
      <c r="A20" s="5"/>
      <c r="B20" s="5"/>
      <c r="C20" s="22"/>
    </row>
    <row r="21" spans="1:3" x14ac:dyDescent="0.2">
      <c r="A21" s="5"/>
      <c r="B21" s="5"/>
      <c r="C21" s="5"/>
    </row>
  </sheetData>
  <sheetProtection sheet="1" formatCells="0" formatColumns="0" formatRows="0"/>
  <autoFilter ref="A1:PW5" xr:uid="{BB9C3AB3-2D15-174E-B900-3E2F789706E1}"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8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sortState xmlns:xlrd2="http://schemas.microsoft.com/office/spreadsheetml/2017/richdata2" ref="A4:PW6">
      <sortCondition descending="1" ref="F1:F7"/>
    </sortState>
  </autoFilter>
  <mergeCells count="114">
    <mergeCell ref="PE2:PH2"/>
    <mergeCell ref="PI2:PL2"/>
    <mergeCell ref="PM2:PP2"/>
    <mergeCell ref="OA2:OD2"/>
    <mergeCell ref="OE2:OH2"/>
    <mergeCell ref="OI2:OL2"/>
    <mergeCell ref="OM2:OP2"/>
    <mergeCell ref="OW2:OZ2"/>
    <mergeCell ref="PA2:PD2"/>
    <mergeCell ref="MW2:MZ2"/>
    <mergeCell ref="NA2:ND2"/>
    <mergeCell ref="NE2:NH2"/>
    <mergeCell ref="NI2:NL2"/>
    <mergeCell ref="NM2:NP2"/>
    <mergeCell ref="NW2:NZ2"/>
    <mergeCell ref="LM2:LP2"/>
    <mergeCell ref="LW2:LZ2"/>
    <mergeCell ref="MA2:MD2"/>
    <mergeCell ref="ME2:MH2"/>
    <mergeCell ref="MI2:ML2"/>
    <mergeCell ref="MM2:MP2"/>
    <mergeCell ref="KW2:KZ2"/>
    <mergeCell ref="LA2:LD2"/>
    <mergeCell ref="LE2:LH2"/>
    <mergeCell ref="LI2:LL2"/>
    <mergeCell ref="JE2:JH2"/>
    <mergeCell ref="JI2:JL2"/>
    <mergeCell ref="JM2:JP2"/>
    <mergeCell ref="JW2:JZ2"/>
    <mergeCell ref="KA2:KD2"/>
    <mergeCell ref="KE2:KH2"/>
    <mergeCell ref="JA2:JD2"/>
    <mergeCell ref="GW2:GZ2"/>
    <mergeCell ref="HA2:HD2"/>
    <mergeCell ref="HE2:HH2"/>
    <mergeCell ref="HI2:HL2"/>
    <mergeCell ref="HM2:HP2"/>
    <mergeCell ref="HW2:HZ2"/>
    <mergeCell ref="KI2:KL2"/>
    <mergeCell ref="KM2:KP2"/>
    <mergeCell ref="EW2:EZ2"/>
    <mergeCell ref="FA2:FD2"/>
    <mergeCell ref="FE2:FH2"/>
    <mergeCell ref="FI2:FL2"/>
    <mergeCell ref="IA2:ID2"/>
    <mergeCell ref="IE2:IH2"/>
    <mergeCell ref="II2:IL2"/>
    <mergeCell ref="IM2:IP2"/>
    <mergeCell ref="IW2:IZ2"/>
    <mergeCell ref="BT2:BW2"/>
    <mergeCell ref="KW1:LV1"/>
    <mergeCell ref="LW1:MV1"/>
    <mergeCell ref="MW1:NV1"/>
    <mergeCell ref="DE2:DH2"/>
    <mergeCell ref="DI2:DL2"/>
    <mergeCell ref="DM2:DP2"/>
    <mergeCell ref="DW2:DZ2"/>
    <mergeCell ref="EA2:ED2"/>
    <mergeCell ref="EE2:EH2"/>
    <mergeCell ref="BX2:CA2"/>
    <mergeCell ref="CB2:CE2"/>
    <mergeCell ref="CF2:CI2"/>
    <mergeCell ref="CJ2:CM2"/>
    <mergeCell ref="CW2:CZ2"/>
    <mergeCell ref="DA2:DD2"/>
    <mergeCell ref="FM2:FP2"/>
    <mergeCell ref="FW2:FZ2"/>
    <mergeCell ref="GA2:GD2"/>
    <mergeCell ref="GE2:GH2"/>
    <mergeCell ref="GI2:GL2"/>
    <mergeCell ref="GM2:GP2"/>
    <mergeCell ref="EI2:EL2"/>
    <mergeCell ref="EM2:EP2"/>
    <mergeCell ref="NW1:OV1"/>
    <mergeCell ref="OW1:PW1"/>
    <mergeCell ref="R2:U2"/>
    <mergeCell ref="V2:Y2"/>
    <mergeCell ref="Z2:AC2"/>
    <mergeCell ref="AD2:AG2"/>
    <mergeCell ref="AH2:AK2"/>
    <mergeCell ref="EW1:FV1"/>
    <mergeCell ref="FW1:GV1"/>
    <mergeCell ref="GW1:HV1"/>
    <mergeCell ref="HW1:IV1"/>
    <mergeCell ref="IW1:JV1"/>
    <mergeCell ref="JW1:KV1"/>
    <mergeCell ref="R1:AR1"/>
    <mergeCell ref="AS1:BS1"/>
    <mergeCell ref="BT1:CT1"/>
    <mergeCell ref="CU1:CV1"/>
    <mergeCell ref="CW1:DV1"/>
    <mergeCell ref="DW1:EV1"/>
    <mergeCell ref="AS2:AV2"/>
    <mergeCell ref="AW2:AZ2"/>
    <mergeCell ref="BA2:BD2"/>
    <mergeCell ref="BE2:BH2"/>
    <mergeCell ref="BI2:BL2"/>
    <mergeCell ref="O1:O3"/>
    <mergeCell ref="P1:P3"/>
    <mergeCell ref="Q1:Q3"/>
    <mergeCell ref="G1:G3"/>
    <mergeCell ref="H1:H3"/>
    <mergeCell ref="I1:I3"/>
    <mergeCell ref="J1:J3"/>
    <mergeCell ref="K1:K3"/>
    <mergeCell ref="A1:A3"/>
    <mergeCell ref="B1:B3"/>
    <mergeCell ref="C1:C3"/>
    <mergeCell ref="D1:D3"/>
    <mergeCell ref="E1:E3"/>
    <mergeCell ref="F1:F3"/>
    <mergeCell ref="L1:L3"/>
    <mergeCell ref="M1:M3"/>
    <mergeCell ref="N1:N3"/>
  </mergeCells>
  <conditionalFormatting sqref="R4:AR6">
    <cfRule type="expression" dxfId="27" priority="1" stopIfTrue="1">
      <formula>IF($AL4&lt;&gt;"",1,0)</formula>
    </cfRule>
  </conditionalFormatting>
  <conditionalFormatting sqref="AS4:BS6">
    <cfRule type="expression" dxfId="26" priority="2" stopIfTrue="1">
      <formula>IF($BM4&lt;&gt;"",1,0)</formula>
    </cfRule>
  </conditionalFormatting>
  <conditionalFormatting sqref="J1:J1048576 L1:L1048576 N1:N1048576">
    <cfRule type="expression" dxfId="25" priority="9">
      <formula>IF(J1=$BT$1,1,0)</formula>
    </cfRule>
    <cfRule type="expression" dxfId="24" priority="10">
      <formula>IF(J1=$AS$1,1,0)</formula>
    </cfRule>
    <cfRule type="expression" dxfId="23" priority="11">
      <formula>IF(J1=$R$1,1,0)</formula>
    </cfRule>
  </conditionalFormatting>
  <conditionalFormatting sqref="BT4:CT6">
    <cfRule type="expression" dxfId="22" priority="3" stopIfTrue="1">
      <formula>IF($CN4&lt;&gt;"",1,0)</formula>
    </cfRule>
  </conditionalFormatting>
  <conditionalFormatting sqref="A1:A1048576">
    <cfRule type="expression" dxfId="21" priority="12" stopIfTrue="1">
      <formula>AND(G1&lt;&gt;"",F1="")</formula>
    </cfRule>
  </conditionalFormatting>
  <conditionalFormatting sqref="H1:H1048576">
    <cfRule type="containsText" dxfId="20" priority="4" operator="containsText" text="No DD">
      <formula>NOT(ISERROR(SEARCH("No DD",H1)))</formula>
    </cfRule>
    <cfRule type="containsText" dxfId="19" priority="5" operator="containsText" text="Merit">
      <formula>NOT(ISERROR(SEARCH("Merit",H1)))</formula>
    </cfRule>
    <cfRule type="containsText" dxfId="18" priority="6" operator="containsText" text="Excellence">
      <formula>NOT(ISERROR(SEARCH("Excellence",H1)))</formula>
    </cfRule>
    <cfRule type="containsText" dxfId="17" priority="7" operator="containsText" text="Worlds Team">
      <formula>NOT(ISERROR(SEARCH("Worlds Team",H1)))</formula>
    </cfRule>
    <cfRule type="containsText" dxfId="16" priority="8" operator="containsText" text="National Team">
      <formula>NOT(ISERROR(SEARCH("National Team",H1)))</formula>
    </cfRule>
  </conditionalFormatting>
  <conditionalFormatting sqref="OQ1:OQ1048576 AM1:AM1048576 BN1:BN1048576 CO1:CO1048576 DQ1:DQ1048576 EQ1:EQ1048576 FQ1:FQ1048576 GQ1:GQ1048576 HQ1:HQ1048576 IQ1:IQ1048576 JQ1:JQ1048576 KQ1:KQ1048576 LQ1:LQ1048576 MQ1:MQ1048576 NQ1:NQ1048576">
    <cfRule type="cellIs" dxfId="15" priority="13" operator="between">
      <formula>AR$12</formula>
      <formula>1000</formula>
    </cfRule>
    <cfRule type="cellIs" dxfId="14" priority="14" operator="between">
      <formula>AR$11</formula>
      <formula>AR$12</formula>
    </cfRule>
    <cfRule type="cellIs" dxfId="13" priority="15" operator="between">
      <formula>AR$10</formula>
      <formula>AR$11</formula>
    </cfRule>
    <cfRule type="cellIs" dxfId="12" priority="16" operator="between">
      <formula>AR$9</formula>
      <formula>AR$10</formula>
    </cfRule>
  </conditionalFormatting>
  <conditionalFormatting sqref="OR1:OR1048576 AN1:AN1048576 BO1:BO1048576 CP1:CP1048576 DR1:DR1048576 ER1:ER1048576 FR1:FR1048576 GR1:GR1048576 HR1:HR1048576 IR1:IR1048576 JR1:JR1048576 KR1:KR1048576 LR1:LR1048576 MR1:MR1048576 NR1:NR1048576">
    <cfRule type="cellIs" dxfId="11" priority="17" operator="between">
      <formula>AR$16</formula>
      <formula>1000</formula>
    </cfRule>
    <cfRule type="cellIs" dxfId="10" priority="18" operator="between">
      <formula>AR$15</formula>
      <formula>AR$16</formula>
    </cfRule>
    <cfRule type="cellIs" dxfId="9" priority="19" operator="between">
      <formula>AR$14</formula>
      <formula>AR$15</formula>
    </cfRule>
    <cfRule type="cellIs" dxfId="8" priority="20" operator="between">
      <formula>AR$13</formula>
      <formula>AR$14</formula>
    </cfRule>
  </conditionalFormatting>
  <conditionalFormatting sqref="AP1:AP1048576 BQ1:BQ1048576 CR1:CR1048576 DT1:DT1048576 ET1:ET1048576 FT1:FT1048576 GT1:GT1048576 HT1:HT1048576 IT1:IT1048576 JT1:JT1048576 KT1:KT1048576 LT1:LT1048576 MT1:MT1048576 NT1:NT1048576 OT1:OT1048576">
    <cfRule type="cellIs" dxfId="7" priority="21" operator="between">
      <formula>AR$9</formula>
      <formula>AR$10</formula>
    </cfRule>
    <cfRule type="cellIs" dxfId="6" priority="22" operator="between">
      <formula>AR$10</formula>
      <formula>AR$11</formula>
    </cfRule>
    <cfRule type="cellIs" dxfId="5" priority="23" operator="between">
      <formula>AR$11</formula>
      <formula>AR$12</formula>
    </cfRule>
    <cfRule type="cellIs" dxfId="4" priority="24" operator="between">
      <formula>AR$12</formula>
      <formula>1000</formula>
    </cfRule>
  </conditionalFormatting>
  <conditionalFormatting sqref="AQ1:AQ1048576 BR1:BR1048576 CS1:CS1048576 DU1:DU1048576 EU1:EU1048576 FU1:FU1048576 GU1:GU1048576 HU1:HU1048576 IU1:IU1048576 JU1:JU1048576 KU1:KU1048576 LU1:LU1048576 MU1:MU1048576 NU1:NU1048576 OU1:OU1048576">
    <cfRule type="cellIs" dxfId="3" priority="25" operator="between">
      <formula>AR$13</formula>
      <formula>AR$14</formula>
    </cfRule>
    <cfRule type="cellIs" dxfId="2" priority="26" operator="between">
      <formula>AR$14</formula>
      <formula>AR$15</formula>
    </cfRule>
    <cfRule type="cellIs" dxfId="1" priority="27" operator="between">
      <formula>AR$15</formula>
      <formula>AR$16</formula>
    </cfRule>
    <cfRule type="cellIs" dxfId="0" priority="28" operator="between">
      <formula>AR$16</formula>
      <formula>1000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Info</vt:lpstr>
      <vt:lpstr>TRA-M</vt:lpstr>
      <vt:lpstr>TRA-W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2023-11-21T00:39:17Z</dcterms:modified>
</cp:coreProperties>
</file>