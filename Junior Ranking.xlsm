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eam Info/Team Canada/Ranking Lists/Junior/"/>
    </mc:Choice>
  </mc:AlternateContent>
  <xr:revisionPtr revIDLastSave="0" documentId="13_ncr:1_{369A61B6-8E9A-0945-8FC4-C793B4159B49}" xr6:coauthVersionLast="40" xr6:coauthVersionMax="40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TUM-M" sheetId="7" r:id="rId4"/>
    <sheet name="TUM-W" sheetId="8" r:id="rId5"/>
    <sheet name="DMT-M" sheetId="6" r:id="rId6"/>
    <sheet name="DMT-W" sheetId="5" r:id="rId7"/>
  </sheets>
  <definedNames>
    <definedName name="_xlnm._FilterDatabase" localSheetId="5" hidden="1">'DMT-M'!$A$1:$RH$3</definedName>
    <definedName name="_xlnm._FilterDatabase" localSheetId="6" hidden="1">'DMT-W'!$A$1:$RH$6</definedName>
    <definedName name="_xlnm._FilterDatabase" localSheetId="1" hidden="1">'TRA-M'!$A$1:$MC$3</definedName>
    <definedName name="_xlnm._FilterDatabase" localSheetId="2" hidden="1">'TRA-W'!$A$1:$MC$3</definedName>
    <definedName name="_xlnm._FilterDatabase" localSheetId="3" hidden="1">'TUM-M'!$A$1:$NG$3</definedName>
    <definedName name="_xlnm._FilterDatabase" localSheetId="4" hidden="1">'TUM-W'!$A$1:$NG$3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C6" i="5" l="1"/>
  <c r="QB6" i="5"/>
  <c r="QA6" i="5"/>
  <c r="PZ6" i="5"/>
  <c r="PY6" i="5"/>
  <c r="QC5" i="5"/>
  <c r="QB5" i="5"/>
  <c r="QA5" i="5"/>
  <c r="PZ5" i="5"/>
  <c r="PY5" i="5"/>
  <c r="QC4" i="5"/>
  <c r="QB4" i="5"/>
  <c r="QA4" i="5"/>
  <c r="PZ4" i="5"/>
  <c r="PY4" i="5"/>
  <c r="OY6" i="5"/>
  <c r="OX6" i="5"/>
  <c r="OW6" i="5"/>
  <c r="OV6" i="5"/>
  <c r="OU6" i="5"/>
  <c r="OY5" i="5"/>
  <c r="OX5" i="5"/>
  <c r="OW5" i="5"/>
  <c r="OV5" i="5"/>
  <c r="OU5" i="5"/>
  <c r="OY4" i="5"/>
  <c r="OX4" i="5"/>
  <c r="OW4" i="5"/>
  <c r="OV4" i="5"/>
  <c r="OU4" i="5"/>
  <c r="NU6" i="5"/>
  <c r="NT6" i="5"/>
  <c r="NS6" i="5"/>
  <c r="NR6" i="5"/>
  <c r="NQ6" i="5"/>
  <c r="NU5" i="5"/>
  <c r="NT5" i="5"/>
  <c r="NS5" i="5"/>
  <c r="NR5" i="5"/>
  <c r="NQ5" i="5"/>
  <c r="NU4" i="5"/>
  <c r="NT4" i="5"/>
  <c r="NV4" i="5" s="1"/>
  <c r="NS4" i="5"/>
  <c r="NR4" i="5"/>
  <c r="NQ4" i="5"/>
  <c r="MQ6" i="5"/>
  <c r="MP6" i="5"/>
  <c r="MR6" i="5" s="1"/>
  <c r="MO6" i="5"/>
  <c r="MN6" i="5"/>
  <c r="MM6" i="5"/>
  <c r="MQ5" i="5"/>
  <c r="MP5" i="5"/>
  <c r="MO5" i="5"/>
  <c r="MN5" i="5"/>
  <c r="MM5" i="5"/>
  <c r="MQ4" i="5"/>
  <c r="MP4" i="5"/>
  <c r="MO4" i="5"/>
  <c r="MN4" i="5"/>
  <c r="MM4" i="5"/>
  <c r="LM6" i="5"/>
  <c r="LL6" i="5"/>
  <c r="LN6" i="5" s="1"/>
  <c r="LK6" i="5"/>
  <c r="LJ6" i="5"/>
  <c r="LI6" i="5"/>
  <c r="LM5" i="5"/>
  <c r="LN5" i="5" s="1"/>
  <c r="LL5" i="5"/>
  <c r="LK5" i="5"/>
  <c r="LJ5" i="5"/>
  <c r="LI5" i="5"/>
  <c r="LM4" i="5"/>
  <c r="LL4" i="5"/>
  <c r="LK4" i="5"/>
  <c r="LJ4" i="5"/>
  <c r="LI4" i="5"/>
  <c r="KI6" i="5"/>
  <c r="KH6" i="5"/>
  <c r="KJ6" i="5" s="1"/>
  <c r="KG6" i="5"/>
  <c r="KF6" i="5"/>
  <c r="KE6" i="5"/>
  <c r="KI5" i="5"/>
  <c r="KH5" i="5"/>
  <c r="KG5" i="5"/>
  <c r="KF5" i="5"/>
  <c r="KE5" i="5"/>
  <c r="KI4" i="5"/>
  <c r="KH4" i="5"/>
  <c r="KJ4" i="5" s="1"/>
  <c r="KG4" i="5"/>
  <c r="KF4" i="5"/>
  <c r="KE4" i="5"/>
  <c r="JE6" i="5"/>
  <c r="JD6" i="5"/>
  <c r="JF6" i="5" s="1"/>
  <c r="JC6" i="5"/>
  <c r="JB6" i="5"/>
  <c r="JA6" i="5"/>
  <c r="JE5" i="5"/>
  <c r="JD5" i="5"/>
  <c r="JC5" i="5"/>
  <c r="JB5" i="5"/>
  <c r="JA5" i="5"/>
  <c r="JE4" i="5"/>
  <c r="JD4" i="5"/>
  <c r="JF4" i="5" s="1"/>
  <c r="JC4" i="5"/>
  <c r="JB4" i="5"/>
  <c r="JA4" i="5"/>
  <c r="IA6" i="5"/>
  <c r="HZ6" i="5"/>
  <c r="HY6" i="5"/>
  <c r="HX6" i="5"/>
  <c r="HW6" i="5"/>
  <c r="IA5" i="5"/>
  <c r="HZ5" i="5"/>
  <c r="HY5" i="5"/>
  <c r="HX5" i="5"/>
  <c r="HW5" i="5"/>
  <c r="IA4" i="5"/>
  <c r="HZ4" i="5"/>
  <c r="IB4" i="5" s="1"/>
  <c r="HY4" i="5"/>
  <c r="HX4" i="5"/>
  <c r="HW4" i="5"/>
  <c r="GW6" i="5"/>
  <c r="GV6" i="5"/>
  <c r="GU6" i="5"/>
  <c r="GT6" i="5"/>
  <c r="GS6" i="5"/>
  <c r="GW5" i="5"/>
  <c r="GV5" i="5"/>
  <c r="GU5" i="5"/>
  <c r="GT5" i="5"/>
  <c r="GS5" i="5"/>
  <c r="GW4" i="5"/>
  <c r="GV4" i="5"/>
  <c r="GX4" i="5" s="1"/>
  <c r="GU4" i="5"/>
  <c r="GT4" i="5"/>
  <c r="GS4" i="5"/>
  <c r="FS5" i="5"/>
  <c r="FR5" i="5"/>
  <c r="FQ5" i="5"/>
  <c r="FP5" i="5"/>
  <c r="FO5" i="5"/>
  <c r="FS4" i="5"/>
  <c r="FR4" i="5"/>
  <c r="FQ4" i="5"/>
  <c r="FP4" i="5"/>
  <c r="FO4" i="5"/>
  <c r="EO5" i="5"/>
  <c r="EN5" i="5"/>
  <c r="EP5" i="5" s="1"/>
  <c r="EM5" i="5"/>
  <c r="EL5" i="5"/>
  <c r="EK5" i="5"/>
  <c r="EO4" i="5"/>
  <c r="EN4" i="5"/>
  <c r="EM4" i="5"/>
  <c r="EL4" i="5"/>
  <c r="EK4" i="5"/>
  <c r="QC16" i="6"/>
  <c r="QB16" i="6"/>
  <c r="QD16" i="6" s="1"/>
  <c r="QA16" i="6"/>
  <c r="PZ16" i="6"/>
  <c r="PY16" i="6"/>
  <c r="QC14" i="6"/>
  <c r="QB14" i="6"/>
  <c r="QA14" i="6"/>
  <c r="PZ14" i="6"/>
  <c r="PY14" i="6"/>
  <c r="QC15" i="6"/>
  <c r="QB15" i="6"/>
  <c r="QA15" i="6"/>
  <c r="PZ15" i="6"/>
  <c r="PY15" i="6"/>
  <c r="QC13" i="6"/>
  <c r="QB13" i="6"/>
  <c r="QD13" i="6" s="1"/>
  <c r="QA13" i="6"/>
  <c r="PZ13" i="6"/>
  <c r="PY13" i="6"/>
  <c r="QC12" i="6"/>
  <c r="QB12" i="6"/>
  <c r="QA12" i="6"/>
  <c r="PZ12" i="6"/>
  <c r="PY12" i="6"/>
  <c r="QC11" i="6"/>
  <c r="QB11" i="6"/>
  <c r="QD11" i="6" s="1"/>
  <c r="QA11" i="6"/>
  <c r="PZ11" i="6"/>
  <c r="PY11" i="6"/>
  <c r="QC10" i="6"/>
  <c r="QB10" i="6"/>
  <c r="QD10" i="6" s="1"/>
  <c r="QA10" i="6"/>
  <c r="PZ10" i="6"/>
  <c r="PY10" i="6"/>
  <c r="QC9" i="6"/>
  <c r="QB9" i="6"/>
  <c r="QD9" i="6" s="1"/>
  <c r="QA9" i="6"/>
  <c r="PZ9" i="6"/>
  <c r="PY9" i="6"/>
  <c r="QC8" i="6"/>
  <c r="QB8" i="6"/>
  <c r="QD8" i="6" s="1"/>
  <c r="QA8" i="6"/>
  <c r="PZ8" i="6"/>
  <c r="PY8" i="6"/>
  <c r="QC6" i="6"/>
  <c r="QB6" i="6"/>
  <c r="QD6" i="6" s="1"/>
  <c r="QA6" i="6"/>
  <c r="PZ6" i="6"/>
  <c r="PY6" i="6"/>
  <c r="QC7" i="6"/>
  <c r="QB7" i="6"/>
  <c r="QA7" i="6"/>
  <c r="PZ7" i="6"/>
  <c r="PY7" i="6"/>
  <c r="QC5" i="6"/>
  <c r="QB5" i="6"/>
  <c r="QD5" i="6" s="1"/>
  <c r="QA5" i="6"/>
  <c r="PZ5" i="6"/>
  <c r="PY5" i="6"/>
  <c r="QC4" i="6"/>
  <c r="QB4" i="6"/>
  <c r="QD4" i="6" s="1"/>
  <c r="QA4" i="6"/>
  <c r="PZ4" i="6"/>
  <c r="PY4" i="6"/>
  <c r="OY16" i="6"/>
  <c r="OX16" i="6"/>
  <c r="OZ16" i="6" s="1"/>
  <c r="OW16" i="6"/>
  <c r="OV16" i="6"/>
  <c r="OU16" i="6"/>
  <c r="OY14" i="6"/>
  <c r="OX14" i="6"/>
  <c r="OW14" i="6"/>
  <c r="OV14" i="6"/>
  <c r="OU14" i="6"/>
  <c r="OY15" i="6"/>
  <c r="OX15" i="6"/>
  <c r="OZ15" i="6" s="1"/>
  <c r="OW15" i="6"/>
  <c r="OV15" i="6"/>
  <c r="OU15" i="6"/>
  <c r="OY13" i="6"/>
  <c r="OX13" i="6"/>
  <c r="OZ13" i="6" s="1"/>
  <c r="OW13" i="6"/>
  <c r="OV13" i="6"/>
  <c r="OU13" i="6"/>
  <c r="OY12" i="6"/>
  <c r="OX12" i="6"/>
  <c r="OZ12" i="6" s="1"/>
  <c r="OW12" i="6"/>
  <c r="OV12" i="6"/>
  <c r="OU12" i="6"/>
  <c r="OY11" i="6"/>
  <c r="OX11" i="6"/>
  <c r="OW11" i="6"/>
  <c r="OV11" i="6"/>
  <c r="OU11" i="6"/>
  <c r="OY10" i="6"/>
  <c r="OX10" i="6"/>
  <c r="OZ10" i="6" s="1"/>
  <c r="OW10" i="6"/>
  <c r="OV10" i="6"/>
  <c r="OU10" i="6"/>
  <c r="OY9" i="6"/>
  <c r="OX9" i="6"/>
  <c r="OZ9" i="6" s="1"/>
  <c r="OW9" i="6"/>
  <c r="OV9" i="6"/>
  <c r="OU9" i="6"/>
  <c r="OY8" i="6"/>
  <c r="OX8" i="6"/>
  <c r="OZ8" i="6" s="1"/>
  <c r="OW8" i="6"/>
  <c r="OV8" i="6"/>
  <c r="OU8" i="6"/>
  <c r="OY6" i="6"/>
  <c r="OX6" i="6"/>
  <c r="OW6" i="6"/>
  <c r="OV6" i="6"/>
  <c r="OU6" i="6"/>
  <c r="OY7" i="6"/>
  <c r="OX7" i="6"/>
  <c r="OZ7" i="6" s="1"/>
  <c r="OW7" i="6"/>
  <c r="OV7" i="6"/>
  <c r="OU7" i="6"/>
  <c r="OY5" i="6"/>
  <c r="OX5" i="6"/>
  <c r="OW5" i="6"/>
  <c r="OV5" i="6"/>
  <c r="OU5" i="6"/>
  <c r="OY4" i="6"/>
  <c r="OX4" i="6"/>
  <c r="OW4" i="6"/>
  <c r="OV4" i="6"/>
  <c r="OU4" i="6"/>
  <c r="NU16" i="6"/>
  <c r="NT16" i="6"/>
  <c r="NV16" i="6" s="1"/>
  <c r="NS16" i="6"/>
  <c r="NR16" i="6"/>
  <c r="NQ16" i="6"/>
  <c r="NU14" i="6"/>
  <c r="NT14" i="6"/>
  <c r="NS14" i="6"/>
  <c r="NR14" i="6"/>
  <c r="NQ14" i="6"/>
  <c r="NU15" i="6"/>
  <c r="NT15" i="6"/>
  <c r="NV15" i="6" s="1"/>
  <c r="NS15" i="6"/>
  <c r="NR15" i="6"/>
  <c r="NQ15" i="6"/>
  <c r="NU13" i="6"/>
  <c r="NT13" i="6"/>
  <c r="NV13" i="6" s="1"/>
  <c r="NS13" i="6"/>
  <c r="NR13" i="6"/>
  <c r="NQ13" i="6"/>
  <c r="NU12" i="6"/>
  <c r="NT12" i="6"/>
  <c r="NV12" i="6" s="1"/>
  <c r="NS12" i="6"/>
  <c r="NR12" i="6"/>
  <c r="NQ12" i="6"/>
  <c r="NU11" i="6"/>
  <c r="NT11" i="6"/>
  <c r="NS11" i="6"/>
  <c r="NR11" i="6"/>
  <c r="NQ11" i="6"/>
  <c r="NU10" i="6"/>
  <c r="NT10" i="6"/>
  <c r="NS10" i="6"/>
  <c r="NR10" i="6"/>
  <c r="NQ10" i="6"/>
  <c r="NU9" i="6"/>
  <c r="NT9" i="6"/>
  <c r="NS9" i="6"/>
  <c r="NR9" i="6"/>
  <c r="NQ9" i="6"/>
  <c r="NU8" i="6"/>
  <c r="NT8" i="6"/>
  <c r="NV8" i="6" s="1"/>
  <c r="NS8" i="6"/>
  <c r="NR8" i="6"/>
  <c r="NQ8" i="6"/>
  <c r="NU6" i="6"/>
  <c r="NT6" i="6"/>
  <c r="NS6" i="6"/>
  <c r="NR6" i="6"/>
  <c r="NQ6" i="6"/>
  <c r="NU7" i="6"/>
  <c r="NT7" i="6"/>
  <c r="NV7" i="6" s="1"/>
  <c r="NS7" i="6"/>
  <c r="NR7" i="6"/>
  <c r="NQ7" i="6"/>
  <c r="NU5" i="6"/>
  <c r="NT5" i="6"/>
  <c r="NV5" i="6" s="1"/>
  <c r="NS5" i="6"/>
  <c r="NR5" i="6"/>
  <c r="NQ5" i="6"/>
  <c r="NU4" i="6"/>
  <c r="NT4" i="6"/>
  <c r="NV4" i="6" s="1"/>
  <c r="NS4" i="6"/>
  <c r="NR4" i="6"/>
  <c r="NQ4" i="6"/>
  <c r="MQ16" i="6"/>
  <c r="MP16" i="6"/>
  <c r="MO16" i="6"/>
  <c r="MN16" i="6"/>
  <c r="MM16" i="6"/>
  <c r="MQ14" i="6"/>
  <c r="MP14" i="6"/>
  <c r="MO14" i="6"/>
  <c r="MN14" i="6"/>
  <c r="MM14" i="6"/>
  <c r="MQ15" i="6"/>
  <c r="MP15" i="6"/>
  <c r="MR15" i="6" s="1"/>
  <c r="MO15" i="6"/>
  <c r="MN15" i="6"/>
  <c r="MM15" i="6"/>
  <c r="MQ13" i="6"/>
  <c r="MP13" i="6"/>
  <c r="MR13" i="6" s="1"/>
  <c r="MO13" i="6"/>
  <c r="MN13" i="6"/>
  <c r="MM13" i="6"/>
  <c r="MQ12" i="6"/>
  <c r="MP12" i="6"/>
  <c r="MR12" i="6" s="1"/>
  <c r="MO12" i="6"/>
  <c r="MN12" i="6"/>
  <c r="MM12" i="6"/>
  <c r="MQ11" i="6"/>
  <c r="MP11" i="6"/>
  <c r="MO11" i="6"/>
  <c r="MN11" i="6"/>
  <c r="MM11" i="6"/>
  <c r="MQ10" i="6"/>
  <c r="MP10" i="6"/>
  <c r="MR10" i="6" s="1"/>
  <c r="MO10" i="6"/>
  <c r="MN10" i="6"/>
  <c r="MM10" i="6"/>
  <c r="MQ9" i="6"/>
  <c r="MP9" i="6"/>
  <c r="MR9" i="6" s="1"/>
  <c r="MO9" i="6"/>
  <c r="MN9" i="6"/>
  <c r="MM9" i="6"/>
  <c r="MQ8" i="6"/>
  <c r="MP8" i="6"/>
  <c r="MR8" i="6" s="1"/>
  <c r="MO8" i="6"/>
  <c r="MN8" i="6"/>
  <c r="MM8" i="6"/>
  <c r="MQ6" i="6"/>
  <c r="MP6" i="6"/>
  <c r="MO6" i="6"/>
  <c r="MN6" i="6"/>
  <c r="MM6" i="6"/>
  <c r="MQ7" i="6"/>
  <c r="MP7" i="6"/>
  <c r="MR7" i="6" s="1"/>
  <c r="MO7" i="6"/>
  <c r="MN7" i="6"/>
  <c r="MM7" i="6"/>
  <c r="MQ5" i="6"/>
  <c r="MP5" i="6"/>
  <c r="MR5" i="6" s="1"/>
  <c r="MO5" i="6"/>
  <c r="MN5" i="6"/>
  <c r="MM5" i="6"/>
  <c r="MQ4" i="6"/>
  <c r="MR4" i="6" s="1"/>
  <c r="MP4" i="6"/>
  <c r="MO4" i="6"/>
  <c r="MN4" i="6"/>
  <c r="MM4" i="6"/>
  <c r="LM16" i="6"/>
  <c r="LL16" i="6"/>
  <c r="LN16" i="6" s="1"/>
  <c r="LK16" i="6"/>
  <c r="LJ16" i="6"/>
  <c r="LI16" i="6"/>
  <c r="LM14" i="6"/>
  <c r="LL14" i="6"/>
  <c r="LK14" i="6"/>
  <c r="LJ14" i="6"/>
  <c r="LI14" i="6"/>
  <c r="LM15" i="6"/>
  <c r="LL15" i="6"/>
  <c r="LK15" i="6"/>
  <c r="LJ15" i="6"/>
  <c r="LI15" i="6"/>
  <c r="LM13" i="6"/>
  <c r="LL13" i="6"/>
  <c r="LK13" i="6"/>
  <c r="LJ13" i="6"/>
  <c r="LI13" i="6"/>
  <c r="LM12" i="6"/>
  <c r="LL12" i="6"/>
  <c r="LK12" i="6"/>
  <c r="LJ12" i="6"/>
  <c r="LI12" i="6"/>
  <c r="LM11" i="6"/>
  <c r="LL11" i="6"/>
  <c r="LK11" i="6"/>
  <c r="LJ11" i="6"/>
  <c r="LI11" i="6"/>
  <c r="LM10" i="6"/>
  <c r="LL10" i="6"/>
  <c r="LN10" i="6" s="1"/>
  <c r="LK10" i="6"/>
  <c r="LJ10" i="6"/>
  <c r="LI10" i="6"/>
  <c r="LM9" i="6"/>
  <c r="LL9" i="6"/>
  <c r="LK9" i="6"/>
  <c r="LJ9" i="6"/>
  <c r="LI9" i="6"/>
  <c r="LM8" i="6"/>
  <c r="LL8" i="6"/>
  <c r="LN8" i="6" s="1"/>
  <c r="LK8" i="6"/>
  <c r="LJ8" i="6"/>
  <c r="LI8" i="6"/>
  <c r="LM6" i="6"/>
  <c r="LL6" i="6"/>
  <c r="LK6" i="6"/>
  <c r="LJ6" i="6"/>
  <c r="LI6" i="6"/>
  <c r="LM7" i="6"/>
  <c r="LL7" i="6"/>
  <c r="LK7" i="6"/>
  <c r="LJ7" i="6"/>
  <c r="LI7" i="6"/>
  <c r="LM5" i="6"/>
  <c r="LL5" i="6"/>
  <c r="LK5" i="6"/>
  <c r="LJ5" i="6"/>
  <c r="LI5" i="6"/>
  <c r="LM4" i="6"/>
  <c r="LL4" i="6"/>
  <c r="LK4" i="6"/>
  <c r="LJ4" i="6"/>
  <c r="LI4" i="6"/>
  <c r="KI16" i="6"/>
  <c r="KH16" i="6"/>
  <c r="KJ16" i="6" s="1"/>
  <c r="KG16" i="6"/>
  <c r="KF16" i="6"/>
  <c r="KE16" i="6"/>
  <c r="KI14" i="6"/>
  <c r="KH14" i="6"/>
  <c r="KG14" i="6"/>
  <c r="KF14" i="6"/>
  <c r="KE14" i="6"/>
  <c r="KI15" i="6"/>
  <c r="KH15" i="6"/>
  <c r="KG15" i="6"/>
  <c r="KF15" i="6"/>
  <c r="KE15" i="6"/>
  <c r="KI13" i="6"/>
  <c r="KH13" i="6"/>
  <c r="KJ13" i="6" s="1"/>
  <c r="KG13" i="6"/>
  <c r="KF13" i="6"/>
  <c r="KE13" i="6"/>
  <c r="KI12" i="6"/>
  <c r="KH12" i="6"/>
  <c r="KG12" i="6"/>
  <c r="KF12" i="6"/>
  <c r="KE12" i="6"/>
  <c r="KI11" i="6"/>
  <c r="KH11" i="6"/>
  <c r="KG11" i="6"/>
  <c r="KF11" i="6"/>
  <c r="KE11" i="6"/>
  <c r="KI10" i="6"/>
  <c r="KH10" i="6"/>
  <c r="KG10" i="6"/>
  <c r="KF10" i="6"/>
  <c r="KE10" i="6"/>
  <c r="KI9" i="6"/>
  <c r="KH9" i="6"/>
  <c r="KG9" i="6"/>
  <c r="KF9" i="6"/>
  <c r="KE9" i="6"/>
  <c r="KI8" i="6"/>
  <c r="KH8" i="6"/>
  <c r="KJ8" i="6" s="1"/>
  <c r="KG8" i="6"/>
  <c r="KF8" i="6"/>
  <c r="KE8" i="6"/>
  <c r="KI6" i="6"/>
  <c r="KH6" i="6"/>
  <c r="KG6" i="6"/>
  <c r="KF6" i="6"/>
  <c r="KE6" i="6"/>
  <c r="KI7" i="6"/>
  <c r="KH7" i="6"/>
  <c r="KG7" i="6"/>
  <c r="KF7" i="6"/>
  <c r="KE7" i="6"/>
  <c r="KI5" i="6"/>
  <c r="KH5" i="6"/>
  <c r="KJ5" i="6" s="1"/>
  <c r="KG5" i="6"/>
  <c r="KF5" i="6"/>
  <c r="KE5" i="6"/>
  <c r="KI4" i="6"/>
  <c r="KH4" i="6"/>
  <c r="KG4" i="6"/>
  <c r="KF4" i="6"/>
  <c r="KE4" i="6"/>
  <c r="JE16" i="6"/>
  <c r="JD16" i="6"/>
  <c r="JC16" i="6"/>
  <c r="JB16" i="6"/>
  <c r="JA16" i="6"/>
  <c r="JE14" i="6"/>
  <c r="JD14" i="6"/>
  <c r="JC14" i="6"/>
  <c r="JB14" i="6"/>
  <c r="JA14" i="6"/>
  <c r="JE15" i="6"/>
  <c r="JD15" i="6"/>
  <c r="JC15" i="6"/>
  <c r="JB15" i="6"/>
  <c r="JA15" i="6"/>
  <c r="JE13" i="6"/>
  <c r="JD13" i="6"/>
  <c r="JF13" i="6" s="1"/>
  <c r="JC13" i="6"/>
  <c r="JB13" i="6"/>
  <c r="JA13" i="6"/>
  <c r="JE12" i="6"/>
  <c r="JD12" i="6"/>
  <c r="JF12" i="6" s="1"/>
  <c r="JC12" i="6"/>
  <c r="JB12" i="6"/>
  <c r="JA12" i="6"/>
  <c r="JE11" i="6"/>
  <c r="JD11" i="6"/>
  <c r="JC11" i="6"/>
  <c r="JB11" i="6"/>
  <c r="JA11" i="6"/>
  <c r="JE10" i="6"/>
  <c r="JD10" i="6"/>
  <c r="JF10" i="6" s="1"/>
  <c r="JC10" i="6"/>
  <c r="JB10" i="6"/>
  <c r="JA10" i="6"/>
  <c r="JE9" i="6"/>
  <c r="JD9" i="6"/>
  <c r="JC9" i="6"/>
  <c r="JB9" i="6"/>
  <c r="JA9" i="6"/>
  <c r="JE8" i="6"/>
  <c r="JD8" i="6"/>
  <c r="JC8" i="6"/>
  <c r="JB8" i="6"/>
  <c r="JA8" i="6"/>
  <c r="JE6" i="6"/>
  <c r="JD6" i="6"/>
  <c r="JC6" i="6"/>
  <c r="JB6" i="6"/>
  <c r="JA6" i="6"/>
  <c r="JE7" i="6"/>
  <c r="JD7" i="6"/>
  <c r="JC7" i="6"/>
  <c r="JB7" i="6"/>
  <c r="JA7" i="6"/>
  <c r="JE5" i="6"/>
  <c r="JD5" i="6"/>
  <c r="JF5" i="6" s="1"/>
  <c r="JC5" i="6"/>
  <c r="JB5" i="6"/>
  <c r="JA5" i="6"/>
  <c r="JE4" i="6"/>
  <c r="JD4" i="6"/>
  <c r="JF4" i="6" s="1"/>
  <c r="JC4" i="6"/>
  <c r="JB4" i="6"/>
  <c r="JA4" i="6"/>
  <c r="IA16" i="6"/>
  <c r="HZ16" i="6"/>
  <c r="HY16" i="6"/>
  <c r="HX16" i="6"/>
  <c r="HW16" i="6"/>
  <c r="IA14" i="6"/>
  <c r="HZ14" i="6"/>
  <c r="HY14" i="6"/>
  <c r="HX14" i="6"/>
  <c r="HW14" i="6"/>
  <c r="IA15" i="6"/>
  <c r="HZ15" i="6"/>
  <c r="HY15" i="6"/>
  <c r="HX15" i="6"/>
  <c r="HW15" i="6"/>
  <c r="IA13" i="6"/>
  <c r="HZ13" i="6"/>
  <c r="HY13" i="6"/>
  <c r="HX13" i="6"/>
  <c r="HW13" i="6"/>
  <c r="IA12" i="6"/>
  <c r="HZ12" i="6"/>
  <c r="HY12" i="6"/>
  <c r="HX12" i="6"/>
  <c r="HW12" i="6"/>
  <c r="IA11" i="6"/>
  <c r="IB11" i="6" s="1"/>
  <c r="HZ11" i="6"/>
  <c r="HY11" i="6"/>
  <c r="HX11" i="6"/>
  <c r="HW11" i="6"/>
  <c r="IA10" i="6"/>
  <c r="HZ10" i="6"/>
  <c r="IB10" i="6" s="1"/>
  <c r="HY10" i="6"/>
  <c r="HX10" i="6"/>
  <c r="HW10" i="6"/>
  <c r="IA9" i="6"/>
  <c r="HZ9" i="6"/>
  <c r="IB9" i="6" s="1"/>
  <c r="HY9" i="6"/>
  <c r="HX9" i="6"/>
  <c r="HW9" i="6"/>
  <c r="IA8" i="6"/>
  <c r="HZ8" i="6"/>
  <c r="HY8" i="6"/>
  <c r="HX8" i="6"/>
  <c r="HW8" i="6"/>
  <c r="IA6" i="6"/>
  <c r="HZ6" i="6"/>
  <c r="HY6" i="6"/>
  <c r="HX6" i="6"/>
  <c r="HW6" i="6"/>
  <c r="IA7" i="6"/>
  <c r="HZ7" i="6"/>
  <c r="HY7" i="6"/>
  <c r="HX7" i="6"/>
  <c r="HW7" i="6"/>
  <c r="IA5" i="6"/>
  <c r="HZ5" i="6"/>
  <c r="HY5" i="6"/>
  <c r="HX5" i="6"/>
  <c r="HW5" i="6"/>
  <c r="IA4" i="6"/>
  <c r="HZ4" i="6"/>
  <c r="HY4" i="6"/>
  <c r="HX4" i="6"/>
  <c r="HW4" i="6"/>
  <c r="GW16" i="6"/>
  <c r="GV16" i="6"/>
  <c r="GU16" i="6"/>
  <c r="GT16" i="6"/>
  <c r="GS16" i="6"/>
  <c r="GW14" i="6"/>
  <c r="GV14" i="6"/>
  <c r="GU14" i="6"/>
  <c r="GT14" i="6"/>
  <c r="GS14" i="6"/>
  <c r="GW15" i="6"/>
  <c r="GV15" i="6"/>
  <c r="GX15" i="6" s="1"/>
  <c r="GU15" i="6"/>
  <c r="GT15" i="6"/>
  <c r="GS15" i="6"/>
  <c r="GW13" i="6"/>
  <c r="GV13" i="6"/>
  <c r="GU13" i="6"/>
  <c r="GT13" i="6"/>
  <c r="GS13" i="6"/>
  <c r="GW12" i="6"/>
  <c r="GV12" i="6"/>
  <c r="GU12" i="6"/>
  <c r="GT12" i="6"/>
  <c r="GS12" i="6"/>
  <c r="GW11" i="6"/>
  <c r="GV11" i="6"/>
  <c r="GU11" i="6"/>
  <c r="GT11" i="6"/>
  <c r="GS11" i="6"/>
  <c r="GW10" i="6"/>
  <c r="GV10" i="6"/>
  <c r="GU10" i="6"/>
  <c r="GT10" i="6"/>
  <c r="GS10" i="6"/>
  <c r="GW9" i="6"/>
  <c r="GV9" i="6"/>
  <c r="GU9" i="6"/>
  <c r="GT9" i="6"/>
  <c r="GS9" i="6"/>
  <c r="GW8" i="6"/>
  <c r="GV8" i="6"/>
  <c r="GU8" i="6"/>
  <c r="GT8" i="6"/>
  <c r="GS8" i="6"/>
  <c r="GW6" i="6"/>
  <c r="GV6" i="6"/>
  <c r="GU6" i="6"/>
  <c r="GT6" i="6"/>
  <c r="GS6" i="6"/>
  <c r="GW7" i="6"/>
  <c r="GV7" i="6"/>
  <c r="GX7" i="6" s="1"/>
  <c r="GU7" i="6"/>
  <c r="GT7" i="6"/>
  <c r="GS7" i="6"/>
  <c r="GW5" i="6"/>
  <c r="GV5" i="6"/>
  <c r="GU5" i="6"/>
  <c r="GT5" i="6"/>
  <c r="GS5" i="6"/>
  <c r="GW4" i="6"/>
  <c r="GV4" i="6"/>
  <c r="GU4" i="6"/>
  <c r="GT4" i="6"/>
  <c r="GS4" i="6"/>
  <c r="FS16" i="6"/>
  <c r="FR16" i="6"/>
  <c r="FQ16" i="6"/>
  <c r="FP16" i="6"/>
  <c r="FO16" i="6"/>
  <c r="FS14" i="6"/>
  <c r="FR14" i="6"/>
  <c r="FQ14" i="6"/>
  <c r="FP14" i="6"/>
  <c r="FO14" i="6"/>
  <c r="FS15" i="6"/>
  <c r="FR15" i="6"/>
  <c r="FQ15" i="6"/>
  <c r="FP15" i="6"/>
  <c r="FO15" i="6"/>
  <c r="FS13" i="6"/>
  <c r="FR13" i="6"/>
  <c r="FQ13" i="6"/>
  <c r="FP13" i="6"/>
  <c r="FO13" i="6"/>
  <c r="FS12" i="6"/>
  <c r="FR12" i="6"/>
  <c r="FQ12" i="6"/>
  <c r="FP12" i="6"/>
  <c r="FO12" i="6"/>
  <c r="FS11" i="6"/>
  <c r="FR11" i="6"/>
  <c r="FQ11" i="6"/>
  <c r="FP11" i="6"/>
  <c r="FO11" i="6"/>
  <c r="FS10" i="6"/>
  <c r="FR10" i="6"/>
  <c r="FQ10" i="6"/>
  <c r="FP10" i="6"/>
  <c r="FO10" i="6"/>
  <c r="FS9" i="6"/>
  <c r="FR9" i="6"/>
  <c r="FT9" i="6" s="1"/>
  <c r="FQ9" i="6"/>
  <c r="FP9" i="6"/>
  <c r="FO9" i="6"/>
  <c r="FS8" i="6"/>
  <c r="FR8" i="6"/>
  <c r="FT8" i="6" s="1"/>
  <c r="FQ8" i="6"/>
  <c r="FP8" i="6"/>
  <c r="FO8" i="6"/>
  <c r="FS6" i="6"/>
  <c r="FR6" i="6"/>
  <c r="FQ6" i="6"/>
  <c r="FP6" i="6"/>
  <c r="FO6" i="6"/>
  <c r="FS7" i="6"/>
  <c r="FR7" i="6"/>
  <c r="FQ7" i="6"/>
  <c r="FP7" i="6"/>
  <c r="FO7" i="6"/>
  <c r="FS5" i="6"/>
  <c r="FR5" i="6"/>
  <c r="FQ5" i="6"/>
  <c r="FP5" i="6"/>
  <c r="FO5" i="6"/>
  <c r="FS4" i="6"/>
  <c r="FR4" i="6"/>
  <c r="FQ4" i="6"/>
  <c r="FP4" i="6"/>
  <c r="FO4" i="6"/>
  <c r="EO16" i="6"/>
  <c r="EN16" i="6"/>
  <c r="EP16" i="6" s="1"/>
  <c r="EM16" i="6"/>
  <c r="EL16" i="6"/>
  <c r="EK16" i="6"/>
  <c r="EO14" i="6"/>
  <c r="EP14" i="6" s="1"/>
  <c r="EN14" i="6"/>
  <c r="EM14" i="6"/>
  <c r="EL14" i="6"/>
  <c r="EK14" i="6"/>
  <c r="EO15" i="6"/>
  <c r="EN15" i="6"/>
  <c r="EM15" i="6"/>
  <c r="EL15" i="6"/>
  <c r="EK15" i="6"/>
  <c r="EO13" i="6"/>
  <c r="EN13" i="6"/>
  <c r="EP13" i="6" s="1"/>
  <c r="EM13" i="6"/>
  <c r="EL13" i="6"/>
  <c r="EK13" i="6"/>
  <c r="EO12" i="6"/>
  <c r="EP12" i="6" s="1"/>
  <c r="EN12" i="6"/>
  <c r="EM12" i="6"/>
  <c r="EL12" i="6"/>
  <c r="EK12" i="6"/>
  <c r="EO11" i="6"/>
  <c r="EN11" i="6"/>
  <c r="EM11" i="6"/>
  <c r="EL11" i="6"/>
  <c r="EK11" i="6"/>
  <c r="EO10" i="6"/>
  <c r="EN10" i="6"/>
  <c r="EP10" i="6" s="1"/>
  <c r="EM10" i="6"/>
  <c r="EL10" i="6"/>
  <c r="EK10" i="6"/>
  <c r="EO9" i="6"/>
  <c r="EP9" i="6" s="1"/>
  <c r="EN9" i="6"/>
  <c r="EM9" i="6"/>
  <c r="EL9" i="6"/>
  <c r="EK9" i="6"/>
  <c r="EO8" i="6"/>
  <c r="EN8" i="6"/>
  <c r="EM8" i="6"/>
  <c r="EL8" i="6"/>
  <c r="EK8" i="6"/>
  <c r="EO6" i="6"/>
  <c r="EN6" i="6"/>
  <c r="EM6" i="6"/>
  <c r="EL6" i="6"/>
  <c r="EK6" i="6"/>
  <c r="EO7" i="6"/>
  <c r="EN7" i="6"/>
  <c r="EP7" i="6" s="1"/>
  <c r="EM7" i="6"/>
  <c r="EL7" i="6"/>
  <c r="EK7" i="6"/>
  <c r="EO5" i="6"/>
  <c r="EN5" i="6"/>
  <c r="EM5" i="6"/>
  <c r="EL5" i="6"/>
  <c r="EK5" i="6"/>
  <c r="EO4" i="6"/>
  <c r="EN4" i="6"/>
  <c r="EP4" i="6" s="1"/>
  <c r="EM4" i="6"/>
  <c r="EL4" i="6"/>
  <c r="EK4" i="6"/>
  <c r="MI9" i="8"/>
  <c r="MG9" i="8"/>
  <c r="MF9" i="8"/>
  <c r="MH9" i="8" s="1"/>
  <c r="MJ9" i="8" s="1"/>
  <c r="ME9" i="8"/>
  <c r="MD9" i="8"/>
  <c r="MI8" i="8"/>
  <c r="MG8" i="8"/>
  <c r="MF8" i="8"/>
  <c r="MH8" i="8" s="1"/>
  <c r="MJ8" i="8" s="1"/>
  <c r="ME8" i="8"/>
  <c r="MD8" i="8"/>
  <c r="MI5" i="8"/>
  <c r="MG5" i="8"/>
  <c r="MF5" i="8"/>
  <c r="MH5" i="8" s="1"/>
  <c r="MJ5" i="8" s="1"/>
  <c r="ME5" i="8"/>
  <c r="MD5" i="8"/>
  <c r="MI7" i="8"/>
  <c r="MG7" i="8"/>
  <c r="MF7" i="8"/>
  <c r="MH7" i="8" s="1"/>
  <c r="MJ7" i="8" s="1"/>
  <c r="ME7" i="8"/>
  <c r="MD7" i="8"/>
  <c r="MI6" i="8"/>
  <c r="MG6" i="8"/>
  <c r="MF6" i="8"/>
  <c r="ME6" i="8"/>
  <c r="MD6" i="8"/>
  <c r="MI4" i="8"/>
  <c r="MG4" i="8"/>
  <c r="MF4" i="8"/>
  <c r="MH4" i="8" s="1"/>
  <c r="MJ4" i="8" s="1"/>
  <c r="ME4" i="8"/>
  <c r="MD4" i="8"/>
  <c r="LL9" i="8"/>
  <c r="LJ9" i="8"/>
  <c r="LI9" i="8"/>
  <c r="LH9" i="8"/>
  <c r="LG9" i="8"/>
  <c r="LL8" i="8"/>
  <c r="LJ8" i="8"/>
  <c r="LI8" i="8"/>
  <c r="LH8" i="8"/>
  <c r="LG8" i="8"/>
  <c r="LL5" i="8"/>
  <c r="LJ5" i="8"/>
  <c r="LI5" i="8"/>
  <c r="LK5" i="8" s="1"/>
  <c r="LM5" i="8" s="1"/>
  <c r="LH5" i="8"/>
  <c r="LG5" i="8"/>
  <c r="LL7" i="8"/>
  <c r="LJ7" i="8"/>
  <c r="LI7" i="8"/>
  <c r="LK7" i="8" s="1"/>
  <c r="LM7" i="8" s="1"/>
  <c r="LH7" i="8"/>
  <c r="LG7" i="8"/>
  <c r="LL6" i="8"/>
  <c r="LJ6" i="8"/>
  <c r="LI6" i="8"/>
  <c r="LH6" i="8"/>
  <c r="LG6" i="8"/>
  <c r="LL4" i="8"/>
  <c r="LJ4" i="8"/>
  <c r="LI4" i="8"/>
  <c r="LH4" i="8"/>
  <c r="LG4" i="8"/>
  <c r="KO9" i="8"/>
  <c r="KM9" i="8"/>
  <c r="KL9" i="8"/>
  <c r="KK9" i="8"/>
  <c r="KJ9" i="8"/>
  <c r="KO8" i="8"/>
  <c r="KM8" i="8"/>
  <c r="KL8" i="8"/>
  <c r="KK8" i="8"/>
  <c r="KJ8" i="8"/>
  <c r="KO5" i="8"/>
  <c r="KM5" i="8"/>
  <c r="KN5" i="8" s="1"/>
  <c r="KP5" i="8" s="1"/>
  <c r="KL5" i="8"/>
  <c r="KK5" i="8"/>
  <c r="KJ5" i="8"/>
  <c r="KO7" i="8"/>
  <c r="KM7" i="8"/>
  <c r="KL7" i="8"/>
  <c r="KK7" i="8"/>
  <c r="KJ7" i="8"/>
  <c r="KO6" i="8"/>
  <c r="KM6" i="8"/>
  <c r="KL6" i="8"/>
  <c r="KK6" i="8"/>
  <c r="KJ6" i="8"/>
  <c r="KO4" i="8"/>
  <c r="KM4" i="8"/>
  <c r="KL4" i="8"/>
  <c r="KK4" i="8"/>
  <c r="KJ4" i="8"/>
  <c r="JR9" i="8"/>
  <c r="JP9" i="8"/>
  <c r="JO9" i="8"/>
  <c r="JQ9" i="8" s="1"/>
  <c r="JS9" i="8" s="1"/>
  <c r="JN9" i="8"/>
  <c r="JM9" i="8"/>
  <c r="JR8" i="8"/>
  <c r="JP8" i="8"/>
  <c r="JO8" i="8"/>
  <c r="JQ8" i="8" s="1"/>
  <c r="JS8" i="8" s="1"/>
  <c r="JN8" i="8"/>
  <c r="JM8" i="8"/>
  <c r="JR5" i="8"/>
  <c r="JP5" i="8"/>
  <c r="JO5" i="8"/>
  <c r="JQ5" i="8" s="1"/>
  <c r="JN5" i="8"/>
  <c r="JM5" i="8"/>
  <c r="JR7" i="8"/>
  <c r="JP7" i="8"/>
  <c r="JO7" i="8"/>
  <c r="JQ7" i="8" s="1"/>
  <c r="JS7" i="8" s="1"/>
  <c r="JN7" i="8"/>
  <c r="JM7" i="8"/>
  <c r="JR6" i="8"/>
  <c r="JP6" i="8"/>
  <c r="JO6" i="8"/>
  <c r="JN6" i="8"/>
  <c r="JM6" i="8"/>
  <c r="JR4" i="8"/>
  <c r="JP4" i="8"/>
  <c r="JO4" i="8"/>
  <c r="JQ4" i="8" s="1"/>
  <c r="JN4" i="8"/>
  <c r="JM4" i="8"/>
  <c r="IU9" i="8"/>
  <c r="IS9" i="8"/>
  <c r="IR9" i="8"/>
  <c r="IT9" i="8" s="1"/>
  <c r="IV9" i="8" s="1"/>
  <c r="IQ9" i="8"/>
  <c r="IP9" i="8"/>
  <c r="IU8" i="8"/>
  <c r="IS8" i="8"/>
  <c r="IR8" i="8"/>
  <c r="IQ8" i="8"/>
  <c r="IP8" i="8"/>
  <c r="IU5" i="8"/>
  <c r="IS5" i="8"/>
  <c r="IT5" i="8" s="1"/>
  <c r="IV5" i="8" s="1"/>
  <c r="IR5" i="8"/>
  <c r="IQ5" i="8"/>
  <c r="IP5" i="8"/>
  <c r="IU7" i="8"/>
  <c r="IS7" i="8"/>
  <c r="IR7" i="8"/>
  <c r="IT7" i="8" s="1"/>
  <c r="IV7" i="8" s="1"/>
  <c r="IQ7" i="8"/>
  <c r="IP7" i="8"/>
  <c r="IU6" i="8"/>
  <c r="IS6" i="8"/>
  <c r="IR6" i="8"/>
  <c r="IQ6" i="8"/>
  <c r="IP6" i="8"/>
  <c r="IU4" i="8"/>
  <c r="IS4" i="8"/>
  <c r="IR4" i="8"/>
  <c r="IQ4" i="8"/>
  <c r="IP4" i="8"/>
  <c r="HX9" i="8"/>
  <c r="HV9" i="8"/>
  <c r="HU9" i="8"/>
  <c r="HT9" i="8"/>
  <c r="HS9" i="8"/>
  <c r="HX8" i="8"/>
  <c r="HV8" i="8"/>
  <c r="HU8" i="8"/>
  <c r="HT8" i="8"/>
  <c r="HS8" i="8"/>
  <c r="HX5" i="8"/>
  <c r="HV5" i="8"/>
  <c r="HU5" i="8"/>
  <c r="HT5" i="8"/>
  <c r="HS5" i="8"/>
  <c r="HX7" i="8"/>
  <c r="HV7" i="8"/>
  <c r="HU7" i="8"/>
  <c r="HT7" i="8"/>
  <c r="HS7" i="8"/>
  <c r="HX6" i="8"/>
  <c r="HV6" i="8"/>
  <c r="HW6" i="8" s="1"/>
  <c r="HU6" i="8"/>
  <c r="HT6" i="8"/>
  <c r="HS6" i="8"/>
  <c r="HX4" i="8"/>
  <c r="HV4" i="8"/>
  <c r="HU4" i="8"/>
  <c r="HT4" i="8"/>
  <c r="HS4" i="8"/>
  <c r="HA9" i="8"/>
  <c r="GY9" i="8"/>
  <c r="GX9" i="8"/>
  <c r="GZ9" i="8" s="1"/>
  <c r="HB9" i="8" s="1"/>
  <c r="GW9" i="8"/>
  <c r="GV9" i="8"/>
  <c r="HA8" i="8"/>
  <c r="GY8" i="8"/>
  <c r="GX8" i="8"/>
  <c r="GZ8" i="8" s="1"/>
  <c r="HB8" i="8" s="1"/>
  <c r="GW8" i="8"/>
  <c r="GV8" i="8"/>
  <c r="HA5" i="8"/>
  <c r="GY5" i="8"/>
  <c r="GZ5" i="8" s="1"/>
  <c r="GX5" i="8"/>
  <c r="GW5" i="8"/>
  <c r="GV5" i="8"/>
  <c r="HA7" i="8"/>
  <c r="GY7" i="8"/>
  <c r="GX7" i="8"/>
  <c r="GZ7" i="8" s="1"/>
  <c r="GW7" i="8"/>
  <c r="GV7" i="8"/>
  <c r="HA6" i="8"/>
  <c r="GY6" i="8"/>
  <c r="GX6" i="8"/>
  <c r="GW6" i="8"/>
  <c r="GV6" i="8"/>
  <c r="HA4" i="8"/>
  <c r="GY4" i="8"/>
  <c r="GX4" i="8"/>
  <c r="GW4" i="8"/>
  <c r="GV4" i="8"/>
  <c r="GD9" i="8"/>
  <c r="GB9" i="8"/>
  <c r="GA9" i="8"/>
  <c r="FZ9" i="8"/>
  <c r="FY9" i="8"/>
  <c r="GD8" i="8"/>
  <c r="GB8" i="8"/>
  <c r="GA8" i="8"/>
  <c r="GC8" i="8" s="1"/>
  <c r="GE8" i="8" s="1"/>
  <c r="FZ8" i="8"/>
  <c r="FY8" i="8"/>
  <c r="GD5" i="8"/>
  <c r="GB5" i="8"/>
  <c r="GA5" i="8"/>
  <c r="GC5" i="8" s="1"/>
  <c r="GE5" i="8" s="1"/>
  <c r="FZ5" i="8"/>
  <c r="FY5" i="8"/>
  <c r="GD7" i="8"/>
  <c r="GB7" i="8"/>
  <c r="GA7" i="8"/>
  <c r="GC7" i="8" s="1"/>
  <c r="GE7" i="8" s="1"/>
  <c r="FZ7" i="8"/>
  <c r="FY7" i="8"/>
  <c r="GD6" i="8"/>
  <c r="GB6" i="8"/>
  <c r="GA6" i="8"/>
  <c r="FZ6" i="8"/>
  <c r="FY6" i="8"/>
  <c r="GD4" i="8"/>
  <c r="GB4" i="8"/>
  <c r="GA4" i="8"/>
  <c r="GC4" i="8" s="1"/>
  <c r="FZ4" i="8"/>
  <c r="FY4" i="8"/>
  <c r="FG9" i="8"/>
  <c r="FE9" i="8"/>
  <c r="FD9" i="8"/>
  <c r="FC9" i="8"/>
  <c r="FB9" i="8"/>
  <c r="FG8" i="8"/>
  <c r="FE8" i="8"/>
  <c r="FD8" i="8"/>
  <c r="FC8" i="8"/>
  <c r="FB8" i="8"/>
  <c r="FG5" i="8"/>
  <c r="FE5" i="8"/>
  <c r="FD5" i="8"/>
  <c r="FC5" i="8"/>
  <c r="FB5" i="8"/>
  <c r="FG7" i="8"/>
  <c r="FE7" i="8"/>
  <c r="FD7" i="8"/>
  <c r="FF7" i="8" s="1"/>
  <c r="FH7" i="8" s="1"/>
  <c r="FC7" i="8"/>
  <c r="FB7" i="8"/>
  <c r="FG6" i="8"/>
  <c r="FE6" i="8"/>
  <c r="FD6" i="8"/>
  <c r="FC6" i="8"/>
  <c r="FB6" i="8"/>
  <c r="FG4" i="8"/>
  <c r="FE4" i="8"/>
  <c r="FD4" i="8"/>
  <c r="FC4" i="8"/>
  <c r="FB4" i="8"/>
  <c r="EJ9" i="8"/>
  <c r="EH9" i="8"/>
  <c r="EG9" i="8"/>
  <c r="EF9" i="8"/>
  <c r="EE9" i="8"/>
  <c r="EJ8" i="8"/>
  <c r="EH8" i="8"/>
  <c r="EG8" i="8"/>
  <c r="EI8" i="8" s="1"/>
  <c r="EK8" i="8" s="1"/>
  <c r="EF8" i="8"/>
  <c r="EE8" i="8"/>
  <c r="EJ5" i="8"/>
  <c r="EH5" i="8"/>
  <c r="EG5" i="8"/>
  <c r="EF5" i="8"/>
  <c r="EE5" i="8"/>
  <c r="EJ7" i="8"/>
  <c r="EH7" i="8"/>
  <c r="EG7" i="8"/>
  <c r="EF7" i="8"/>
  <c r="EE7" i="8"/>
  <c r="EJ6" i="8"/>
  <c r="EH6" i="8"/>
  <c r="EG6" i="8"/>
  <c r="EF6" i="8"/>
  <c r="EE6" i="8"/>
  <c r="EJ4" i="8"/>
  <c r="EH4" i="8"/>
  <c r="EG4" i="8"/>
  <c r="EF4" i="8"/>
  <c r="EE4" i="8"/>
  <c r="DM9" i="8"/>
  <c r="DK9" i="8"/>
  <c r="DJ9" i="8"/>
  <c r="DI9" i="8"/>
  <c r="DH9" i="8"/>
  <c r="DM8" i="8"/>
  <c r="DK8" i="8"/>
  <c r="DJ8" i="8"/>
  <c r="DI8" i="8"/>
  <c r="DH8" i="8"/>
  <c r="DM5" i="8"/>
  <c r="DK5" i="8"/>
  <c r="DJ5" i="8"/>
  <c r="DI5" i="8"/>
  <c r="DH5" i="8"/>
  <c r="DM7" i="8"/>
  <c r="DK7" i="8"/>
  <c r="DJ7" i="8"/>
  <c r="DL7" i="8" s="1"/>
  <c r="DN7" i="8" s="1"/>
  <c r="DI7" i="8"/>
  <c r="DH7" i="8"/>
  <c r="DM6" i="8"/>
  <c r="DK6" i="8"/>
  <c r="DJ6" i="8"/>
  <c r="DI6" i="8"/>
  <c r="DH6" i="8"/>
  <c r="DM4" i="8"/>
  <c r="DK4" i="8"/>
  <c r="DJ4" i="8"/>
  <c r="DI4" i="8"/>
  <c r="DH4" i="8"/>
  <c r="MI9" i="7"/>
  <c r="MG9" i="7"/>
  <c r="MF9" i="7"/>
  <c r="MH9" i="7" s="1"/>
  <c r="MJ9" i="7" s="1"/>
  <c r="ME9" i="7"/>
  <c r="MD9" i="7"/>
  <c r="MI8" i="7"/>
  <c r="MG8" i="7"/>
  <c r="MF8" i="7"/>
  <c r="MH8" i="7" s="1"/>
  <c r="MJ8" i="7" s="1"/>
  <c r="ME8" i="7"/>
  <c r="MD8" i="7"/>
  <c r="MI7" i="7"/>
  <c r="MG7" i="7"/>
  <c r="MF7" i="7"/>
  <c r="MH7" i="7" s="1"/>
  <c r="MJ7" i="7" s="1"/>
  <c r="ME7" i="7"/>
  <c r="MD7" i="7"/>
  <c r="MI6" i="7"/>
  <c r="MG6" i="7"/>
  <c r="MF6" i="7"/>
  <c r="MH6" i="7" s="1"/>
  <c r="MJ6" i="7" s="1"/>
  <c r="ME6" i="7"/>
  <c r="MD6" i="7"/>
  <c r="MI5" i="7"/>
  <c r="MG5" i="7"/>
  <c r="MF5" i="7"/>
  <c r="ME5" i="7"/>
  <c r="MD5" i="7"/>
  <c r="MI4" i="7"/>
  <c r="MG4" i="7"/>
  <c r="MF4" i="7"/>
  <c r="MH4" i="7" s="1"/>
  <c r="MJ4" i="7" s="1"/>
  <c r="ME4" i="7"/>
  <c r="MD4" i="7"/>
  <c r="LL9" i="7"/>
  <c r="LJ9" i="7"/>
  <c r="LI9" i="7"/>
  <c r="LH9" i="7"/>
  <c r="LG9" i="7"/>
  <c r="LL8" i="7"/>
  <c r="LJ8" i="7"/>
  <c r="LI8" i="7"/>
  <c r="LH8" i="7"/>
  <c r="LG8" i="7"/>
  <c r="LL7" i="7"/>
  <c r="LJ7" i="7"/>
  <c r="LI7" i="7"/>
  <c r="LH7" i="7"/>
  <c r="LG7" i="7"/>
  <c r="LL6" i="7"/>
  <c r="LJ6" i="7"/>
  <c r="LI6" i="7"/>
  <c r="LK6" i="7" s="1"/>
  <c r="LM6" i="7" s="1"/>
  <c r="LH6" i="7"/>
  <c r="LG6" i="7"/>
  <c r="LL5" i="7"/>
  <c r="LJ5" i="7"/>
  <c r="LI5" i="7"/>
  <c r="LH5" i="7"/>
  <c r="LG5" i="7"/>
  <c r="LL4" i="7"/>
  <c r="LJ4" i="7"/>
  <c r="LI4" i="7"/>
  <c r="LH4" i="7"/>
  <c r="LG4" i="7"/>
  <c r="KO9" i="7"/>
  <c r="KM9" i="7"/>
  <c r="KL9" i="7"/>
  <c r="KK9" i="7"/>
  <c r="KJ9" i="7"/>
  <c r="KO8" i="7"/>
  <c r="KM8" i="7"/>
  <c r="KL8" i="7"/>
  <c r="KN8" i="7" s="1"/>
  <c r="KP8" i="7" s="1"/>
  <c r="KK8" i="7"/>
  <c r="KJ8" i="7"/>
  <c r="KO7" i="7"/>
  <c r="KM7" i="7"/>
  <c r="KL7" i="7"/>
  <c r="KK7" i="7"/>
  <c r="KJ7" i="7"/>
  <c r="KO6" i="7"/>
  <c r="KM6" i="7"/>
  <c r="KL6" i="7"/>
  <c r="KK6" i="7"/>
  <c r="KJ6" i="7"/>
  <c r="KO5" i="7"/>
  <c r="KM5" i="7"/>
  <c r="KL5" i="7"/>
  <c r="KK5" i="7"/>
  <c r="KJ5" i="7"/>
  <c r="KO4" i="7"/>
  <c r="KM4" i="7"/>
  <c r="KL4" i="7"/>
  <c r="KN4" i="7" s="1"/>
  <c r="KK4" i="7"/>
  <c r="KJ4" i="7"/>
  <c r="JR9" i="7"/>
  <c r="JP9" i="7"/>
  <c r="JO9" i="7"/>
  <c r="JQ9" i="7" s="1"/>
  <c r="JS9" i="7" s="1"/>
  <c r="JN9" i="7"/>
  <c r="JM9" i="7"/>
  <c r="JR8" i="7"/>
  <c r="JP8" i="7"/>
  <c r="JO8" i="7"/>
  <c r="JN8" i="7"/>
  <c r="JM8" i="7"/>
  <c r="JR7" i="7"/>
  <c r="JP7" i="7"/>
  <c r="JO7" i="7"/>
  <c r="JQ7" i="7" s="1"/>
  <c r="JN7" i="7"/>
  <c r="JM7" i="7"/>
  <c r="JR6" i="7"/>
  <c r="JP6" i="7"/>
  <c r="JO6" i="7"/>
  <c r="JQ6" i="7" s="1"/>
  <c r="JS6" i="7" s="1"/>
  <c r="JN6" i="7"/>
  <c r="JM6" i="7"/>
  <c r="JR5" i="7"/>
  <c r="JP5" i="7"/>
  <c r="JO5" i="7"/>
  <c r="JN5" i="7"/>
  <c r="JM5" i="7"/>
  <c r="JR4" i="7"/>
  <c r="JP4" i="7"/>
  <c r="JO4" i="7"/>
  <c r="JN4" i="7"/>
  <c r="JM4" i="7"/>
  <c r="IU9" i="7"/>
  <c r="IS9" i="7"/>
  <c r="IR9" i="7"/>
  <c r="IT9" i="7" s="1"/>
  <c r="IV9" i="7" s="1"/>
  <c r="IQ9" i="7"/>
  <c r="IP9" i="7"/>
  <c r="IU8" i="7"/>
  <c r="IS8" i="7"/>
  <c r="IR8" i="7"/>
  <c r="IQ8" i="7"/>
  <c r="IP8" i="7"/>
  <c r="IU7" i="7"/>
  <c r="IS7" i="7"/>
  <c r="IT7" i="7" s="1"/>
  <c r="IV7" i="7" s="1"/>
  <c r="IR7" i="7"/>
  <c r="IQ7" i="7"/>
  <c r="IP7" i="7"/>
  <c r="IU6" i="7"/>
  <c r="IS6" i="7"/>
  <c r="IR6" i="7"/>
  <c r="IQ6" i="7"/>
  <c r="IP6" i="7"/>
  <c r="IU5" i="7"/>
  <c r="IS5" i="7"/>
  <c r="IR5" i="7"/>
  <c r="IQ5" i="7"/>
  <c r="IP5" i="7"/>
  <c r="IU4" i="7"/>
  <c r="IS4" i="7"/>
  <c r="IR4" i="7"/>
  <c r="IQ4" i="7"/>
  <c r="IP4" i="7"/>
  <c r="HX9" i="7"/>
  <c r="HV9" i="7"/>
  <c r="HU9" i="7"/>
  <c r="HT9" i="7"/>
  <c r="HS9" i="7"/>
  <c r="HX8" i="7"/>
  <c r="HV8" i="7"/>
  <c r="HU8" i="7"/>
  <c r="HT8" i="7"/>
  <c r="HS8" i="7"/>
  <c r="HX7" i="7"/>
  <c r="HV7" i="7"/>
  <c r="HU7" i="7"/>
  <c r="HT7" i="7"/>
  <c r="HS7" i="7"/>
  <c r="HX6" i="7"/>
  <c r="HV6" i="7"/>
  <c r="HU6" i="7"/>
  <c r="HW6" i="7" s="1"/>
  <c r="HY6" i="7" s="1"/>
  <c r="HT6" i="7"/>
  <c r="HS6" i="7"/>
  <c r="HX5" i="7"/>
  <c r="HV5" i="7"/>
  <c r="HW5" i="7" s="1"/>
  <c r="HU5" i="7"/>
  <c r="HT5" i="7"/>
  <c r="HS5" i="7"/>
  <c r="HX4" i="7"/>
  <c r="HV4" i="7"/>
  <c r="HU4" i="7"/>
  <c r="HT4" i="7"/>
  <c r="HS4" i="7"/>
  <c r="HA9" i="7"/>
  <c r="GY9" i="7"/>
  <c r="GX9" i="7"/>
  <c r="GZ9" i="7" s="1"/>
  <c r="HB9" i="7" s="1"/>
  <c r="GW9" i="7"/>
  <c r="GV9" i="7"/>
  <c r="HA8" i="7"/>
  <c r="GY8" i="7"/>
  <c r="GX8" i="7"/>
  <c r="GW8" i="7"/>
  <c r="GV8" i="7"/>
  <c r="HA7" i="7"/>
  <c r="GY7" i="7"/>
  <c r="GX7" i="7"/>
  <c r="GW7" i="7"/>
  <c r="GV7" i="7"/>
  <c r="HA6" i="7"/>
  <c r="GY6" i="7"/>
  <c r="GX6" i="7"/>
  <c r="GZ6" i="7" s="1"/>
  <c r="GW6" i="7"/>
  <c r="GV6" i="7"/>
  <c r="HA5" i="7"/>
  <c r="GY5" i="7"/>
  <c r="GX5" i="7"/>
  <c r="GW5" i="7"/>
  <c r="GV5" i="7"/>
  <c r="HA4" i="7"/>
  <c r="GY4" i="7"/>
  <c r="GX4" i="7"/>
  <c r="GZ4" i="7" s="1"/>
  <c r="HB4" i="7" s="1"/>
  <c r="GW4" i="7"/>
  <c r="GV4" i="7"/>
  <c r="GD9" i="7"/>
  <c r="GB9" i="7"/>
  <c r="GA9" i="7"/>
  <c r="FZ9" i="7"/>
  <c r="FY9" i="7"/>
  <c r="GD8" i="7"/>
  <c r="GB8" i="7"/>
  <c r="GA8" i="7"/>
  <c r="GC8" i="7" s="1"/>
  <c r="FZ8" i="7"/>
  <c r="FY8" i="7"/>
  <c r="GD7" i="7"/>
  <c r="GB7" i="7"/>
  <c r="GA7" i="7"/>
  <c r="GC7" i="7" s="1"/>
  <c r="GE7" i="7" s="1"/>
  <c r="FZ7" i="7"/>
  <c r="FY7" i="7"/>
  <c r="GD6" i="7"/>
  <c r="GB6" i="7"/>
  <c r="GA6" i="7"/>
  <c r="GC6" i="7" s="1"/>
  <c r="GE6" i="7" s="1"/>
  <c r="FZ6" i="7"/>
  <c r="FY6" i="7"/>
  <c r="GD5" i="7"/>
  <c r="GB5" i="7"/>
  <c r="GA5" i="7"/>
  <c r="FZ5" i="7"/>
  <c r="FY5" i="7"/>
  <c r="GD4" i="7"/>
  <c r="GB4" i="7"/>
  <c r="GA4" i="7"/>
  <c r="GC4" i="7" s="1"/>
  <c r="FZ4" i="7"/>
  <c r="FY4" i="7"/>
  <c r="FG9" i="7"/>
  <c r="FE9" i="7"/>
  <c r="FD9" i="7"/>
  <c r="FC9" i="7"/>
  <c r="FB9" i="7"/>
  <c r="FG8" i="7"/>
  <c r="FE8" i="7"/>
  <c r="FD8" i="7"/>
  <c r="FC8" i="7"/>
  <c r="FB8" i="7"/>
  <c r="FG7" i="7"/>
  <c r="FE7" i="7"/>
  <c r="FD7" i="7"/>
  <c r="FC7" i="7"/>
  <c r="FB7" i="7"/>
  <c r="FG6" i="7"/>
  <c r="FE6" i="7"/>
  <c r="FD6" i="7"/>
  <c r="FF6" i="7" s="1"/>
  <c r="FH6" i="7" s="1"/>
  <c r="FC6" i="7"/>
  <c r="FB6" i="7"/>
  <c r="FG5" i="7"/>
  <c r="FE5" i="7"/>
  <c r="FD5" i="7"/>
  <c r="FC5" i="7"/>
  <c r="FB5" i="7"/>
  <c r="FG4" i="7"/>
  <c r="FE4" i="7"/>
  <c r="FD4" i="7"/>
  <c r="FC4" i="7"/>
  <c r="FB4" i="7"/>
  <c r="EJ9" i="7"/>
  <c r="EH9" i="7"/>
  <c r="EG9" i="7"/>
  <c r="EF9" i="7"/>
  <c r="EE9" i="7"/>
  <c r="EJ8" i="7"/>
  <c r="EH8" i="7"/>
  <c r="EG8" i="7"/>
  <c r="EI8" i="7" s="1"/>
  <c r="EK8" i="7" s="1"/>
  <c r="EF8" i="7"/>
  <c r="EE8" i="7"/>
  <c r="EJ7" i="7"/>
  <c r="EH7" i="7"/>
  <c r="EG7" i="7"/>
  <c r="EI7" i="7" s="1"/>
  <c r="EF7" i="7"/>
  <c r="EE7" i="7"/>
  <c r="EJ6" i="7"/>
  <c r="EH6" i="7"/>
  <c r="EG6" i="7"/>
  <c r="EI6" i="7" s="1"/>
  <c r="EK6" i="7" s="1"/>
  <c r="EF6" i="7"/>
  <c r="EE6" i="7"/>
  <c r="EJ5" i="7"/>
  <c r="EH5" i="7"/>
  <c r="EG5" i="7"/>
  <c r="EF5" i="7"/>
  <c r="EE5" i="7"/>
  <c r="EJ4" i="7"/>
  <c r="EH4" i="7"/>
  <c r="EG4" i="7"/>
  <c r="EI4" i="7" s="1"/>
  <c r="EK4" i="7" s="1"/>
  <c r="EF4" i="7"/>
  <c r="EE4" i="7"/>
  <c r="DM9" i="7"/>
  <c r="DK9" i="7"/>
  <c r="DJ9" i="7"/>
  <c r="DI9" i="7"/>
  <c r="DH9" i="7"/>
  <c r="DM8" i="7"/>
  <c r="DK8" i="7"/>
  <c r="DJ8" i="7"/>
  <c r="DL8" i="7" s="1"/>
  <c r="DI8" i="7"/>
  <c r="DH8" i="7"/>
  <c r="DM7" i="7"/>
  <c r="DK7" i="7"/>
  <c r="DJ7" i="7"/>
  <c r="DL7" i="7" s="1"/>
  <c r="DN7" i="7" s="1"/>
  <c r="DI7" i="7"/>
  <c r="DH7" i="7"/>
  <c r="DM6" i="7"/>
  <c r="DK6" i="7"/>
  <c r="DJ6" i="7"/>
  <c r="DL6" i="7" s="1"/>
  <c r="DN6" i="7" s="1"/>
  <c r="DI6" i="7"/>
  <c r="DH6" i="7"/>
  <c r="DM5" i="7"/>
  <c r="DK5" i="7"/>
  <c r="DJ5" i="7"/>
  <c r="DI5" i="7"/>
  <c r="DH5" i="7"/>
  <c r="DM4" i="7"/>
  <c r="DK4" i="7"/>
  <c r="DJ4" i="7"/>
  <c r="DL4" i="7" s="1"/>
  <c r="DN4" i="7" s="1"/>
  <c r="DI4" i="7"/>
  <c r="DH4" i="7"/>
  <c r="LD22" i="2"/>
  <c r="LG16" i="2"/>
  <c r="LE16" i="2"/>
  <c r="LD16" i="2"/>
  <c r="LF16" i="2" s="1"/>
  <c r="LH16" i="2" s="1"/>
  <c r="LC16" i="2"/>
  <c r="LG15" i="2"/>
  <c r="LE15" i="2"/>
  <c r="LD15" i="2"/>
  <c r="LC15" i="2"/>
  <c r="LG14" i="2"/>
  <c r="LE14" i="2"/>
  <c r="LD14" i="2"/>
  <c r="LF14" i="2" s="1"/>
  <c r="LH14" i="2" s="1"/>
  <c r="LC14" i="2"/>
  <c r="LG13" i="2"/>
  <c r="LE13" i="2"/>
  <c r="LD13" i="2"/>
  <c r="LF13" i="2" s="1"/>
  <c r="LC13" i="2"/>
  <c r="LG12" i="2"/>
  <c r="LE12" i="2"/>
  <c r="LD12" i="2"/>
  <c r="LF12" i="2" s="1"/>
  <c r="LH12" i="2" s="1"/>
  <c r="LC12" i="2"/>
  <c r="LG11" i="2"/>
  <c r="LE11" i="2"/>
  <c r="LD11" i="2"/>
  <c r="LC11" i="2"/>
  <c r="LG10" i="2"/>
  <c r="LE10" i="2"/>
  <c r="LD10" i="2"/>
  <c r="LF10" i="2" s="1"/>
  <c r="LH10" i="2" s="1"/>
  <c r="LC10" i="2"/>
  <c r="LG9" i="2"/>
  <c r="LE9" i="2"/>
  <c r="LD9" i="2"/>
  <c r="LF9" i="2" s="1"/>
  <c r="LH9" i="2" s="1"/>
  <c r="LC9" i="2"/>
  <c r="LG8" i="2"/>
  <c r="LE8" i="2"/>
  <c r="LD8" i="2"/>
  <c r="LF8" i="2" s="1"/>
  <c r="LH8" i="2" s="1"/>
  <c r="LC8" i="2"/>
  <c r="LG7" i="2"/>
  <c r="LE7" i="2"/>
  <c r="LD7" i="2"/>
  <c r="LC7" i="2"/>
  <c r="LG6" i="2"/>
  <c r="LE6" i="2"/>
  <c r="LD6" i="2"/>
  <c r="LF6" i="2" s="1"/>
  <c r="LH6" i="2" s="1"/>
  <c r="LC6" i="2"/>
  <c r="LG5" i="2"/>
  <c r="LE5" i="2"/>
  <c r="LD5" i="2"/>
  <c r="LC5" i="2"/>
  <c r="LG4" i="2"/>
  <c r="LE4" i="2"/>
  <c r="LD4" i="2"/>
  <c r="LF4" i="2" s="1"/>
  <c r="LH4" i="2" s="1"/>
  <c r="LC4" i="2"/>
  <c r="KI22" i="2"/>
  <c r="KL16" i="2"/>
  <c r="KJ16" i="2"/>
  <c r="KI16" i="2"/>
  <c r="KK16" i="2" s="1"/>
  <c r="KH16" i="2"/>
  <c r="KL15" i="2"/>
  <c r="KJ15" i="2"/>
  <c r="KI15" i="2"/>
  <c r="KH15" i="2"/>
  <c r="KL14" i="2"/>
  <c r="KJ14" i="2"/>
  <c r="KI14" i="2"/>
  <c r="KK14" i="2" s="1"/>
  <c r="KM14" i="2" s="1"/>
  <c r="KH14" i="2"/>
  <c r="KL13" i="2"/>
  <c r="KJ13" i="2"/>
  <c r="KI13" i="2"/>
  <c r="KH13" i="2"/>
  <c r="KL12" i="2"/>
  <c r="KJ12" i="2"/>
  <c r="KI12" i="2"/>
  <c r="KK12" i="2" s="1"/>
  <c r="KM12" i="2" s="1"/>
  <c r="KH12" i="2"/>
  <c r="KL11" i="2"/>
  <c r="KJ11" i="2"/>
  <c r="KK11" i="2" s="1"/>
  <c r="KM11" i="2" s="1"/>
  <c r="KI11" i="2"/>
  <c r="KH11" i="2"/>
  <c r="KL10" i="2"/>
  <c r="KJ10" i="2"/>
  <c r="KI10" i="2"/>
  <c r="KH10" i="2"/>
  <c r="KL9" i="2"/>
  <c r="KJ9" i="2"/>
  <c r="KI9" i="2"/>
  <c r="KH9" i="2"/>
  <c r="KL8" i="2"/>
  <c r="KJ8" i="2"/>
  <c r="KI8" i="2"/>
  <c r="KH8" i="2"/>
  <c r="KL7" i="2"/>
  <c r="KJ7" i="2"/>
  <c r="KI7" i="2"/>
  <c r="KH7" i="2"/>
  <c r="KL6" i="2"/>
  <c r="KJ6" i="2"/>
  <c r="KK6" i="2" s="1"/>
  <c r="KM6" i="2" s="1"/>
  <c r="KI6" i="2"/>
  <c r="KH6" i="2"/>
  <c r="KL5" i="2"/>
  <c r="KJ5" i="2"/>
  <c r="KI5" i="2"/>
  <c r="KH5" i="2"/>
  <c r="KL4" i="2"/>
  <c r="KJ4" i="2"/>
  <c r="KI4" i="2"/>
  <c r="KH4" i="2"/>
  <c r="JN22" i="2"/>
  <c r="JQ16" i="2"/>
  <c r="JO16" i="2"/>
  <c r="JN16" i="2"/>
  <c r="JP16" i="2" s="1"/>
  <c r="JR16" i="2" s="1"/>
  <c r="JM16" i="2"/>
  <c r="JQ15" i="2"/>
  <c r="JO15" i="2"/>
  <c r="JN15" i="2"/>
  <c r="JM15" i="2"/>
  <c r="JQ14" i="2"/>
  <c r="JO14" i="2"/>
  <c r="JN14" i="2"/>
  <c r="JP14" i="2" s="1"/>
  <c r="JR14" i="2" s="1"/>
  <c r="JM14" i="2"/>
  <c r="JQ13" i="2"/>
  <c r="JO13" i="2"/>
  <c r="JN13" i="2"/>
  <c r="JM13" i="2"/>
  <c r="JQ12" i="2"/>
  <c r="JO12" i="2"/>
  <c r="JN12" i="2"/>
  <c r="JP12" i="2" s="1"/>
  <c r="JR12" i="2" s="1"/>
  <c r="JM12" i="2"/>
  <c r="JQ11" i="2"/>
  <c r="JO11" i="2"/>
  <c r="JN11" i="2"/>
  <c r="JM11" i="2"/>
  <c r="JQ10" i="2"/>
  <c r="JO10" i="2"/>
  <c r="JN10" i="2"/>
  <c r="JM10" i="2"/>
  <c r="JQ9" i="2"/>
  <c r="JO9" i="2"/>
  <c r="JN9" i="2"/>
  <c r="JP9" i="2" s="1"/>
  <c r="JM9" i="2"/>
  <c r="JQ8" i="2"/>
  <c r="JO8" i="2"/>
  <c r="JN8" i="2"/>
  <c r="JM8" i="2"/>
  <c r="JQ7" i="2"/>
  <c r="JO7" i="2"/>
  <c r="JN7" i="2"/>
  <c r="JP7" i="2" s="1"/>
  <c r="JM7" i="2"/>
  <c r="JQ6" i="2"/>
  <c r="JO6" i="2"/>
  <c r="JN6" i="2"/>
  <c r="JP6" i="2" s="1"/>
  <c r="JR6" i="2" s="1"/>
  <c r="JM6" i="2"/>
  <c r="JQ5" i="2"/>
  <c r="JO5" i="2"/>
  <c r="JN5" i="2"/>
  <c r="JP5" i="2" s="1"/>
  <c r="JR5" i="2" s="1"/>
  <c r="JM5" i="2"/>
  <c r="JQ4" i="2"/>
  <c r="JO4" i="2"/>
  <c r="JN4" i="2"/>
  <c r="JP4" i="2" s="1"/>
  <c r="JM4" i="2"/>
  <c r="IS22" i="2"/>
  <c r="IV16" i="2"/>
  <c r="IT16" i="2"/>
  <c r="IS16" i="2"/>
  <c r="IR16" i="2"/>
  <c r="IV15" i="2"/>
  <c r="IT15" i="2"/>
  <c r="IS15" i="2"/>
  <c r="IR15" i="2"/>
  <c r="IV14" i="2"/>
  <c r="IT14" i="2"/>
  <c r="IU14" i="2" s="1"/>
  <c r="IW14" i="2" s="1"/>
  <c r="IS14" i="2"/>
  <c r="IR14" i="2"/>
  <c r="IV13" i="2"/>
  <c r="IT13" i="2"/>
  <c r="IS13" i="2"/>
  <c r="IU13" i="2" s="1"/>
  <c r="IR13" i="2"/>
  <c r="IV12" i="2"/>
  <c r="IU12" i="2"/>
  <c r="IW12" i="2" s="1"/>
  <c r="IT12" i="2"/>
  <c r="IS12" i="2"/>
  <c r="IR12" i="2"/>
  <c r="IV11" i="2"/>
  <c r="IT11" i="2"/>
  <c r="IS11" i="2"/>
  <c r="IR11" i="2"/>
  <c r="IV10" i="2"/>
  <c r="IT10" i="2"/>
  <c r="IS10" i="2"/>
  <c r="IU10" i="2" s="1"/>
  <c r="IR10" i="2"/>
  <c r="IV9" i="2"/>
  <c r="IT9" i="2"/>
  <c r="IS9" i="2"/>
  <c r="IR9" i="2"/>
  <c r="IV8" i="2"/>
  <c r="IT8" i="2"/>
  <c r="IS8" i="2"/>
  <c r="IU8" i="2" s="1"/>
  <c r="IR8" i="2"/>
  <c r="IV7" i="2"/>
  <c r="IT7" i="2"/>
  <c r="IS7" i="2"/>
  <c r="IR7" i="2"/>
  <c r="IV6" i="2"/>
  <c r="IT6" i="2"/>
  <c r="IS6" i="2"/>
  <c r="IU6" i="2" s="1"/>
  <c r="IW6" i="2" s="1"/>
  <c r="IR6" i="2"/>
  <c r="IV5" i="2"/>
  <c r="IT5" i="2"/>
  <c r="IS5" i="2"/>
  <c r="IR5" i="2"/>
  <c r="IV4" i="2"/>
  <c r="IT4" i="2"/>
  <c r="IS4" i="2"/>
  <c r="IU4" i="2" s="1"/>
  <c r="IW4" i="2" s="1"/>
  <c r="IR4" i="2"/>
  <c r="HX22" i="2"/>
  <c r="IA16" i="2"/>
  <c r="HY16" i="2"/>
  <c r="HX16" i="2"/>
  <c r="HZ16" i="2" s="1"/>
  <c r="IB16" i="2" s="1"/>
  <c r="HW16" i="2"/>
  <c r="IA15" i="2"/>
  <c r="HY15" i="2"/>
  <c r="HX15" i="2"/>
  <c r="HZ15" i="2" s="1"/>
  <c r="IB15" i="2" s="1"/>
  <c r="HW15" i="2"/>
  <c r="IA14" i="2"/>
  <c r="HY14" i="2"/>
  <c r="HX14" i="2"/>
  <c r="HZ14" i="2" s="1"/>
  <c r="IB14" i="2" s="1"/>
  <c r="HW14" i="2"/>
  <c r="IA13" i="2"/>
  <c r="HY13" i="2"/>
  <c r="HX13" i="2"/>
  <c r="HZ13" i="2" s="1"/>
  <c r="IB13" i="2" s="1"/>
  <c r="HW13" i="2"/>
  <c r="IA12" i="2"/>
  <c r="HY12" i="2"/>
  <c r="HX12" i="2"/>
  <c r="HW12" i="2"/>
  <c r="IA11" i="2"/>
  <c r="HY11" i="2"/>
  <c r="HX11" i="2"/>
  <c r="HZ11" i="2" s="1"/>
  <c r="IB11" i="2" s="1"/>
  <c r="HW11" i="2"/>
  <c r="IA10" i="2"/>
  <c r="HY10" i="2"/>
  <c r="HZ10" i="2" s="1"/>
  <c r="IB10" i="2" s="1"/>
  <c r="HX10" i="2"/>
  <c r="HW10" i="2"/>
  <c r="IA9" i="2"/>
  <c r="HY9" i="2"/>
  <c r="HX9" i="2"/>
  <c r="HW9" i="2"/>
  <c r="IA8" i="2"/>
  <c r="HY8" i="2"/>
  <c r="HX8" i="2"/>
  <c r="HW8" i="2"/>
  <c r="IA7" i="2"/>
  <c r="HY7" i="2"/>
  <c r="HX7" i="2"/>
  <c r="HW7" i="2"/>
  <c r="IA6" i="2"/>
  <c r="HY6" i="2"/>
  <c r="HX6" i="2"/>
  <c r="HW6" i="2"/>
  <c r="IA5" i="2"/>
  <c r="HY5" i="2"/>
  <c r="HX5" i="2"/>
  <c r="HW5" i="2"/>
  <c r="IA4" i="2"/>
  <c r="HY4" i="2"/>
  <c r="HX4" i="2"/>
  <c r="HW4" i="2"/>
  <c r="HC22" i="2"/>
  <c r="HF16" i="2"/>
  <c r="HD16" i="2"/>
  <c r="HC16" i="2"/>
  <c r="HB16" i="2"/>
  <c r="HF15" i="2"/>
  <c r="HD15" i="2"/>
  <c r="HC15" i="2"/>
  <c r="HB15" i="2"/>
  <c r="HF14" i="2"/>
  <c r="HD14" i="2"/>
  <c r="HC14" i="2"/>
  <c r="HB14" i="2"/>
  <c r="HF13" i="2"/>
  <c r="HD13" i="2"/>
  <c r="HC13" i="2"/>
  <c r="HE13" i="2" s="1"/>
  <c r="HB13" i="2"/>
  <c r="HF12" i="2"/>
  <c r="HD12" i="2"/>
  <c r="HC12" i="2"/>
  <c r="HB12" i="2"/>
  <c r="HF11" i="2"/>
  <c r="HD11" i="2"/>
  <c r="HE11" i="2" s="1"/>
  <c r="HC11" i="2"/>
  <c r="HB11" i="2"/>
  <c r="HF10" i="2"/>
  <c r="HD10" i="2"/>
  <c r="HE10" i="2" s="1"/>
  <c r="HG10" i="2" s="1"/>
  <c r="HC10" i="2"/>
  <c r="HB10" i="2"/>
  <c r="HF9" i="2"/>
  <c r="HD9" i="2"/>
  <c r="HC9" i="2"/>
  <c r="HB9" i="2"/>
  <c r="HF8" i="2"/>
  <c r="HD8" i="2"/>
  <c r="HC8" i="2"/>
  <c r="HB8" i="2"/>
  <c r="HF7" i="2"/>
  <c r="HD7" i="2"/>
  <c r="HC7" i="2"/>
  <c r="HB7" i="2"/>
  <c r="HF6" i="2"/>
  <c r="HD6" i="2"/>
  <c r="HC6" i="2"/>
  <c r="HB6" i="2"/>
  <c r="HF5" i="2"/>
  <c r="HD5" i="2"/>
  <c r="HC5" i="2"/>
  <c r="HB5" i="2"/>
  <c r="HF4" i="2"/>
  <c r="HD4" i="2"/>
  <c r="HC4" i="2"/>
  <c r="HB4" i="2"/>
  <c r="GH22" i="2"/>
  <c r="GK16" i="2"/>
  <c r="GI16" i="2"/>
  <c r="GH16" i="2"/>
  <c r="GG16" i="2"/>
  <c r="GK15" i="2"/>
  <c r="GI15" i="2"/>
  <c r="GH15" i="2"/>
  <c r="GG15" i="2"/>
  <c r="GK14" i="2"/>
  <c r="GI14" i="2"/>
  <c r="GH14" i="2"/>
  <c r="GJ14" i="2" s="1"/>
  <c r="GL14" i="2" s="1"/>
  <c r="GG14" i="2"/>
  <c r="GK13" i="2"/>
  <c r="GI13" i="2"/>
  <c r="GH13" i="2"/>
  <c r="GJ13" i="2" s="1"/>
  <c r="GG13" i="2"/>
  <c r="GK12" i="2"/>
  <c r="GI12" i="2"/>
  <c r="GH12" i="2"/>
  <c r="GG12" i="2"/>
  <c r="GK11" i="2"/>
  <c r="GI11" i="2"/>
  <c r="GH11" i="2"/>
  <c r="GJ11" i="2" s="1"/>
  <c r="GL11" i="2" s="1"/>
  <c r="GG11" i="2"/>
  <c r="GK10" i="2"/>
  <c r="GI10" i="2"/>
  <c r="GH10" i="2"/>
  <c r="GJ10" i="2" s="1"/>
  <c r="GL10" i="2" s="1"/>
  <c r="GG10" i="2"/>
  <c r="GK9" i="2"/>
  <c r="GI9" i="2"/>
  <c r="GH9" i="2"/>
  <c r="GJ9" i="2" s="1"/>
  <c r="GL9" i="2" s="1"/>
  <c r="GG9" i="2"/>
  <c r="GK8" i="2"/>
  <c r="GI8" i="2"/>
  <c r="GH8" i="2"/>
  <c r="GJ8" i="2" s="1"/>
  <c r="GL8" i="2" s="1"/>
  <c r="GG8" i="2"/>
  <c r="GK7" i="2"/>
  <c r="GI7" i="2"/>
  <c r="GH7" i="2"/>
  <c r="GG7" i="2"/>
  <c r="GK6" i="2"/>
  <c r="GI6" i="2"/>
  <c r="GH6" i="2"/>
  <c r="GJ6" i="2" s="1"/>
  <c r="GL6" i="2" s="1"/>
  <c r="GG6" i="2"/>
  <c r="GK5" i="2"/>
  <c r="GI5" i="2"/>
  <c r="GH5" i="2"/>
  <c r="GG5" i="2"/>
  <c r="GK4" i="2"/>
  <c r="GI4" i="2"/>
  <c r="GH4" i="2"/>
  <c r="GJ4" i="2" s="1"/>
  <c r="GL4" i="2" s="1"/>
  <c r="GG4" i="2"/>
  <c r="FM22" i="2"/>
  <c r="FP16" i="2"/>
  <c r="FN16" i="2"/>
  <c r="FM16" i="2"/>
  <c r="FL16" i="2"/>
  <c r="FP15" i="2"/>
  <c r="FN15" i="2"/>
  <c r="FM15" i="2"/>
  <c r="FL15" i="2"/>
  <c r="FP14" i="2"/>
  <c r="FN14" i="2"/>
  <c r="FM14" i="2"/>
  <c r="FL14" i="2"/>
  <c r="FP13" i="2"/>
  <c r="FN13" i="2"/>
  <c r="FM13" i="2"/>
  <c r="FL13" i="2"/>
  <c r="FP12" i="2"/>
  <c r="FN12" i="2"/>
  <c r="FM12" i="2"/>
  <c r="FL12" i="2"/>
  <c r="FP11" i="2"/>
  <c r="FN11" i="2"/>
  <c r="FM11" i="2"/>
  <c r="FL11" i="2"/>
  <c r="FP10" i="2"/>
  <c r="FN10" i="2"/>
  <c r="FM10" i="2"/>
  <c r="FL10" i="2"/>
  <c r="FP9" i="2"/>
  <c r="FN9" i="2"/>
  <c r="FM9" i="2"/>
  <c r="FO9" i="2" s="1"/>
  <c r="FQ9" i="2" s="1"/>
  <c r="FL9" i="2"/>
  <c r="FP8" i="2"/>
  <c r="FN8" i="2"/>
  <c r="FM8" i="2"/>
  <c r="FL8" i="2"/>
  <c r="FP7" i="2"/>
  <c r="FN7" i="2"/>
  <c r="FM7" i="2"/>
  <c r="FL7" i="2"/>
  <c r="FP6" i="2"/>
  <c r="FN6" i="2"/>
  <c r="FM6" i="2"/>
  <c r="FL6" i="2"/>
  <c r="FP5" i="2"/>
  <c r="FN5" i="2"/>
  <c r="FM5" i="2"/>
  <c r="FL5" i="2"/>
  <c r="FP4" i="2"/>
  <c r="FN4" i="2"/>
  <c r="FM4" i="2"/>
  <c r="FO4" i="2" s="1"/>
  <c r="FQ4" i="2" s="1"/>
  <c r="FL4" i="2"/>
  <c r="ER22" i="2"/>
  <c r="EU16" i="2"/>
  <c r="ES16" i="2"/>
  <c r="ER16" i="2"/>
  <c r="EQ16" i="2"/>
  <c r="EU15" i="2"/>
  <c r="ES15" i="2"/>
  <c r="ER15" i="2"/>
  <c r="EQ15" i="2"/>
  <c r="EU14" i="2"/>
  <c r="ES14" i="2"/>
  <c r="ER14" i="2"/>
  <c r="EQ14" i="2"/>
  <c r="EU13" i="2"/>
  <c r="ES13" i="2"/>
  <c r="ER13" i="2"/>
  <c r="EQ13" i="2"/>
  <c r="EU12" i="2"/>
  <c r="ES12" i="2"/>
  <c r="ER12" i="2"/>
  <c r="EQ12" i="2"/>
  <c r="EU11" i="2"/>
  <c r="ES11" i="2"/>
  <c r="ER11" i="2"/>
  <c r="EQ11" i="2"/>
  <c r="EU10" i="2"/>
  <c r="ES10" i="2"/>
  <c r="ET10" i="2" s="1"/>
  <c r="EV10" i="2" s="1"/>
  <c r="ER10" i="2"/>
  <c r="EQ10" i="2"/>
  <c r="EU9" i="2"/>
  <c r="ES9" i="2"/>
  <c r="ER9" i="2"/>
  <c r="EQ9" i="2"/>
  <c r="EU8" i="2"/>
  <c r="ES8" i="2"/>
  <c r="ER8" i="2"/>
  <c r="EQ8" i="2"/>
  <c r="EU7" i="2"/>
  <c r="ES7" i="2"/>
  <c r="ER7" i="2"/>
  <c r="EQ7" i="2"/>
  <c r="EU6" i="2"/>
  <c r="ET6" i="2"/>
  <c r="EV6" i="2" s="1"/>
  <c r="ES6" i="2"/>
  <c r="ER6" i="2"/>
  <c r="EQ6" i="2"/>
  <c r="EU5" i="2"/>
  <c r="ES5" i="2"/>
  <c r="ER5" i="2"/>
  <c r="ET5" i="2" s="1"/>
  <c r="EV5" i="2" s="1"/>
  <c r="EQ5" i="2"/>
  <c r="EU4" i="2"/>
  <c r="ES4" i="2"/>
  <c r="ER4" i="2"/>
  <c r="EQ4" i="2"/>
  <c r="DW22" i="2"/>
  <c r="DZ16" i="2"/>
  <c r="DX16" i="2"/>
  <c r="DW16" i="2"/>
  <c r="DY16" i="2" s="1"/>
  <c r="EA16" i="2" s="1"/>
  <c r="DV16" i="2"/>
  <c r="DZ15" i="2"/>
  <c r="DX15" i="2"/>
  <c r="DW15" i="2"/>
  <c r="DY15" i="2" s="1"/>
  <c r="EA15" i="2" s="1"/>
  <c r="DV15" i="2"/>
  <c r="DZ14" i="2"/>
  <c r="DX14" i="2"/>
  <c r="DW14" i="2"/>
  <c r="DY14" i="2" s="1"/>
  <c r="EA14" i="2" s="1"/>
  <c r="DV14" i="2"/>
  <c r="DZ13" i="2"/>
  <c r="DX13" i="2"/>
  <c r="DW13" i="2"/>
  <c r="DV13" i="2"/>
  <c r="DZ12" i="2"/>
  <c r="DX12" i="2"/>
  <c r="DW12" i="2"/>
  <c r="DY12" i="2" s="1"/>
  <c r="EA12" i="2" s="1"/>
  <c r="DV12" i="2"/>
  <c r="DZ11" i="2"/>
  <c r="DX11" i="2"/>
  <c r="DW11" i="2"/>
  <c r="DV11" i="2"/>
  <c r="DZ10" i="2"/>
  <c r="DX10" i="2"/>
  <c r="DW10" i="2"/>
  <c r="DV10" i="2"/>
  <c r="DZ9" i="2"/>
  <c r="DX9" i="2"/>
  <c r="DW9" i="2"/>
  <c r="DY9" i="2" s="1"/>
  <c r="DV9" i="2"/>
  <c r="DZ8" i="2"/>
  <c r="DX8" i="2"/>
  <c r="DW8" i="2"/>
  <c r="DV8" i="2"/>
  <c r="DZ7" i="2"/>
  <c r="DX7" i="2"/>
  <c r="DW7" i="2"/>
  <c r="DY7" i="2" s="1"/>
  <c r="DV7" i="2"/>
  <c r="DZ6" i="2"/>
  <c r="DX6" i="2"/>
  <c r="DW6" i="2"/>
  <c r="DY6" i="2" s="1"/>
  <c r="EA6" i="2" s="1"/>
  <c r="DV6" i="2"/>
  <c r="DZ5" i="2"/>
  <c r="DX5" i="2"/>
  <c r="DW5" i="2"/>
  <c r="DV5" i="2"/>
  <c r="DZ4" i="2"/>
  <c r="DX4" i="2"/>
  <c r="DW4" i="2"/>
  <c r="DV4" i="2"/>
  <c r="DB22" i="2"/>
  <c r="DE16" i="2"/>
  <c r="DC16" i="2"/>
  <c r="DB16" i="2"/>
  <c r="DA16" i="2"/>
  <c r="DE15" i="2"/>
  <c r="DC15" i="2"/>
  <c r="DB15" i="2"/>
  <c r="DA15" i="2"/>
  <c r="DE14" i="2"/>
  <c r="DC14" i="2"/>
  <c r="DB14" i="2"/>
  <c r="DD14" i="2" s="1"/>
  <c r="DF14" i="2" s="1"/>
  <c r="DA14" i="2"/>
  <c r="DE13" i="2"/>
  <c r="DC13" i="2"/>
  <c r="DB13" i="2"/>
  <c r="DA13" i="2"/>
  <c r="DE12" i="2"/>
  <c r="DC12" i="2"/>
  <c r="DB12" i="2"/>
  <c r="DD12" i="2" s="1"/>
  <c r="DF12" i="2" s="1"/>
  <c r="DA12" i="2"/>
  <c r="DE11" i="2"/>
  <c r="DC11" i="2"/>
  <c r="DB11" i="2"/>
  <c r="DA11" i="2"/>
  <c r="DE10" i="2"/>
  <c r="DC10" i="2"/>
  <c r="DB10" i="2"/>
  <c r="DA10" i="2"/>
  <c r="DE9" i="2"/>
  <c r="DC9" i="2"/>
  <c r="DB9" i="2"/>
  <c r="DA9" i="2"/>
  <c r="DE8" i="2"/>
  <c r="DC8" i="2"/>
  <c r="DB8" i="2"/>
  <c r="DA8" i="2"/>
  <c r="DE7" i="2"/>
  <c r="DC7" i="2"/>
  <c r="DB7" i="2"/>
  <c r="DA7" i="2"/>
  <c r="DE6" i="2"/>
  <c r="DC6" i="2"/>
  <c r="DB6" i="2"/>
  <c r="DD6" i="2" s="1"/>
  <c r="DF6" i="2" s="1"/>
  <c r="DA6" i="2"/>
  <c r="DE5" i="2"/>
  <c r="DC5" i="2"/>
  <c r="DB5" i="2"/>
  <c r="DD5" i="2" s="1"/>
  <c r="DA5" i="2"/>
  <c r="DE4" i="2"/>
  <c r="DC4" i="2"/>
  <c r="DB4" i="2"/>
  <c r="DA4" i="2"/>
  <c r="LD27" i="4"/>
  <c r="LG21" i="4"/>
  <c r="LE21" i="4"/>
  <c r="LD21" i="4"/>
  <c r="LF21" i="4" s="1"/>
  <c r="LH21" i="4" s="1"/>
  <c r="LC21" i="4"/>
  <c r="LG20" i="4"/>
  <c r="LE20" i="4"/>
  <c r="LD20" i="4"/>
  <c r="LF20" i="4" s="1"/>
  <c r="LH20" i="4" s="1"/>
  <c r="LC20" i="4"/>
  <c r="LG19" i="4"/>
  <c r="LE19" i="4"/>
  <c r="LD19" i="4"/>
  <c r="LF19" i="4" s="1"/>
  <c r="LH19" i="4" s="1"/>
  <c r="LC19" i="4"/>
  <c r="LG18" i="4"/>
  <c r="LE18" i="4"/>
  <c r="LD18" i="4"/>
  <c r="LC18" i="4"/>
  <c r="LG17" i="4"/>
  <c r="LE17" i="4"/>
  <c r="LD17" i="4"/>
  <c r="LF17" i="4" s="1"/>
  <c r="LH17" i="4" s="1"/>
  <c r="LC17" i="4"/>
  <c r="LG14" i="4"/>
  <c r="LE14" i="4"/>
  <c r="LD14" i="4"/>
  <c r="LC14" i="4"/>
  <c r="LG15" i="4"/>
  <c r="LE15" i="4"/>
  <c r="LD15" i="4"/>
  <c r="LC15" i="4"/>
  <c r="LG16" i="4"/>
  <c r="LE16" i="4"/>
  <c r="LD16" i="4"/>
  <c r="LF16" i="4" s="1"/>
  <c r="LH16" i="4" s="1"/>
  <c r="LC16" i="4"/>
  <c r="LG13" i="4"/>
  <c r="LE13" i="4"/>
  <c r="LD13" i="4"/>
  <c r="LC13" i="4"/>
  <c r="LG12" i="4"/>
  <c r="LE12" i="4"/>
  <c r="LD12" i="4"/>
  <c r="LC12" i="4"/>
  <c r="LG11" i="4"/>
  <c r="LE11" i="4"/>
  <c r="LD11" i="4"/>
  <c r="LF11" i="4" s="1"/>
  <c r="LH11" i="4" s="1"/>
  <c r="LC11" i="4"/>
  <c r="LG10" i="4"/>
  <c r="LE10" i="4"/>
  <c r="LD10" i="4"/>
  <c r="LC10" i="4"/>
  <c r="LG9" i="4"/>
  <c r="LE9" i="4"/>
  <c r="LD9" i="4"/>
  <c r="LF9" i="4" s="1"/>
  <c r="LC9" i="4"/>
  <c r="LG8" i="4"/>
  <c r="LE8" i="4"/>
  <c r="LF8" i="4" s="1"/>
  <c r="LH8" i="4" s="1"/>
  <c r="LD8" i="4"/>
  <c r="LC8" i="4"/>
  <c r="LG7" i="4"/>
  <c r="LE7" i="4"/>
  <c r="LD7" i="4"/>
  <c r="LF7" i="4" s="1"/>
  <c r="LH7" i="4" s="1"/>
  <c r="LC7" i="4"/>
  <c r="LG6" i="4"/>
  <c r="LE6" i="4"/>
  <c r="LD6" i="4"/>
  <c r="LC6" i="4"/>
  <c r="LG5" i="4"/>
  <c r="LE5" i="4"/>
  <c r="LD5" i="4"/>
  <c r="LC5" i="4"/>
  <c r="LG4" i="4"/>
  <c r="LE4" i="4"/>
  <c r="LD4" i="4"/>
  <c r="LF4" i="4" s="1"/>
  <c r="LH4" i="4" s="1"/>
  <c r="LC4" i="4"/>
  <c r="KI27" i="4"/>
  <c r="KL21" i="4"/>
  <c r="KJ21" i="4"/>
  <c r="KI21" i="4"/>
  <c r="KH21" i="4"/>
  <c r="KL20" i="4"/>
  <c r="KJ20" i="4"/>
  <c r="KI20" i="4"/>
  <c r="KH20" i="4"/>
  <c r="KL19" i="4"/>
  <c r="KJ19" i="4"/>
  <c r="KI19" i="4"/>
  <c r="KH19" i="4"/>
  <c r="KL18" i="4"/>
  <c r="KJ18" i="4"/>
  <c r="KI18" i="4"/>
  <c r="KH18" i="4"/>
  <c r="KL17" i="4"/>
  <c r="KJ17" i="4"/>
  <c r="KI17" i="4"/>
  <c r="KH17" i="4"/>
  <c r="KL14" i="4"/>
  <c r="KJ14" i="4"/>
  <c r="KI14" i="4"/>
  <c r="KH14" i="4"/>
  <c r="KL15" i="4"/>
  <c r="KJ15" i="4"/>
  <c r="KI15" i="4"/>
  <c r="KH15" i="4"/>
  <c r="KL16" i="4"/>
  <c r="KJ16" i="4"/>
  <c r="KI16" i="4"/>
  <c r="KH16" i="4"/>
  <c r="KL13" i="4"/>
  <c r="KJ13" i="4"/>
  <c r="KI13" i="4"/>
  <c r="KH13" i="4"/>
  <c r="KL12" i="4"/>
  <c r="KJ12" i="4"/>
  <c r="KI12" i="4"/>
  <c r="KH12" i="4"/>
  <c r="KL11" i="4"/>
  <c r="KJ11" i="4"/>
  <c r="KI11" i="4"/>
  <c r="KH11" i="4"/>
  <c r="KL10" i="4"/>
  <c r="KJ10" i="4"/>
  <c r="KI10" i="4"/>
  <c r="KH10" i="4"/>
  <c r="KL9" i="4"/>
  <c r="KJ9" i="4"/>
  <c r="KI9" i="4"/>
  <c r="KH9" i="4"/>
  <c r="KL8" i="4"/>
  <c r="KJ8" i="4"/>
  <c r="KI8" i="4"/>
  <c r="KH8" i="4"/>
  <c r="KL7" i="4"/>
  <c r="KJ7" i="4"/>
  <c r="KI7" i="4"/>
  <c r="KH7" i="4"/>
  <c r="KL6" i="4"/>
  <c r="KJ6" i="4"/>
  <c r="KI6" i="4"/>
  <c r="KH6" i="4"/>
  <c r="KL5" i="4"/>
  <c r="KJ5" i="4"/>
  <c r="KI5" i="4"/>
  <c r="KH5" i="4"/>
  <c r="KL4" i="4"/>
  <c r="KJ4" i="4"/>
  <c r="KI4" i="4"/>
  <c r="KH4" i="4"/>
  <c r="JN27" i="4"/>
  <c r="JQ21" i="4"/>
  <c r="JO21" i="4"/>
  <c r="JN21" i="4"/>
  <c r="JM21" i="4"/>
  <c r="JQ20" i="4"/>
  <c r="JO20" i="4"/>
  <c r="JN20" i="4"/>
  <c r="JP20" i="4" s="1"/>
  <c r="JR20" i="4" s="1"/>
  <c r="JM20" i="4"/>
  <c r="JQ19" i="4"/>
  <c r="JP19" i="4"/>
  <c r="JO19" i="4"/>
  <c r="JN19" i="4"/>
  <c r="JM19" i="4"/>
  <c r="JQ18" i="4"/>
  <c r="JO18" i="4"/>
  <c r="JN18" i="4"/>
  <c r="JM18" i="4"/>
  <c r="JQ17" i="4"/>
  <c r="JO17" i="4"/>
  <c r="JN17" i="4"/>
  <c r="JM17" i="4"/>
  <c r="JQ14" i="4"/>
  <c r="JO14" i="4"/>
  <c r="JN14" i="4"/>
  <c r="JM14" i="4"/>
  <c r="JQ15" i="4"/>
  <c r="JO15" i="4"/>
  <c r="JN15" i="4"/>
  <c r="JP15" i="4" s="1"/>
  <c r="JM15" i="4"/>
  <c r="JQ16" i="4"/>
  <c r="JO16" i="4"/>
  <c r="JN16" i="4"/>
  <c r="JP16" i="4" s="1"/>
  <c r="JR16" i="4" s="1"/>
  <c r="JM16" i="4"/>
  <c r="JQ13" i="4"/>
  <c r="JO13" i="4"/>
  <c r="JN13" i="4"/>
  <c r="JM13" i="4"/>
  <c r="JQ12" i="4"/>
  <c r="JO12" i="4"/>
  <c r="JN12" i="4"/>
  <c r="JP12" i="4" s="1"/>
  <c r="JR12" i="4" s="1"/>
  <c r="JM12" i="4"/>
  <c r="JQ11" i="4"/>
  <c r="JO11" i="4"/>
  <c r="JN11" i="4"/>
  <c r="JP11" i="4" s="1"/>
  <c r="JR11" i="4" s="1"/>
  <c r="JM11" i="4"/>
  <c r="JQ10" i="4"/>
  <c r="JO10" i="4"/>
  <c r="JN10" i="4"/>
  <c r="JP10" i="4" s="1"/>
  <c r="JR10" i="4" s="1"/>
  <c r="JM10" i="4"/>
  <c r="JQ9" i="4"/>
  <c r="JO9" i="4"/>
  <c r="JN9" i="4"/>
  <c r="JM9" i="4"/>
  <c r="JQ8" i="4"/>
  <c r="JO8" i="4"/>
  <c r="JN8" i="4"/>
  <c r="JP8" i="4" s="1"/>
  <c r="JR8" i="4" s="1"/>
  <c r="JM8" i="4"/>
  <c r="JQ7" i="4"/>
  <c r="JO7" i="4"/>
  <c r="JN7" i="4"/>
  <c r="JP7" i="4" s="1"/>
  <c r="JR7" i="4" s="1"/>
  <c r="JM7" i="4"/>
  <c r="JQ6" i="4"/>
  <c r="JO6" i="4"/>
  <c r="JN6" i="4"/>
  <c r="JM6" i="4"/>
  <c r="JQ5" i="4"/>
  <c r="JO5" i="4"/>
  <c r="JN5" i="4"/>
  <c r="JP5" i="4" s="1"/>
  <c r="JR5" i="4" s="1"/>
  <c r="JM5" i="4"/>
  <c r="JQ4" i="4"/>
  <c r="JO4" i="4"/>
  <c r="JN4" i="4"/>
  <c r="JM4" i="4"/>
  <c r="IS27" i="4"/>
  <c r="IV21" i="4"/>
  <c r="IT21" i="4"/>
  <c r="IS21" i="4"/>
  <c r="IR21" i="4"/>
  <c r="IV20" i="4"/>
  <c r="IT20" i="4"/>
  <c r="IS20" i="4"/>
  <c r="IR20" i="4"/>
  <c r="IV19" i="4"/>
  <c r="IT19" i="4"/>
  <c r="IS19" i="4"/>
  <c r="IR19" i="4"/>
  <c r="IV18" i="4"/>
  <c r="IT18" i="4"/>
  <c r="IS18" i="4"/>
  <c r="IR18" i="4"/>
  <c r="IV17" i="4"/>
  <c r="IT17" i="4"/>
  <c r="IS17" i="4"/>
  <c r="IR17" i="4"/>
  <c r="IV14" i="4"/>
  <c r="IT14" i="4"/>
  <c r="IS14" i="4"/>
  <c r="IR14" i="4"/>
  <c r="IV15" i="4"/>
  <c r="IT15" i="4"/>
  <c r="IS15" i="4"/>
  <c r="IR15" i="4"/>
  <c r="IV16" i="4"/>
  <c r="IT16" i="4"/>
  <c r="IS16" i="4"/>
  <c r="IR16" i="4"/>
  <c r="IV13" i="4"/>
  <c r="IT13" i="4"/>
  <c r="IS13" i="4"/>
  <c r="IR13" i="4"/>
  <c r="IV12" i="4"/>
  <c r="IT12" i="4"/>
  <c r="IS12" i="4"/>
  <c r="IR12" i="4"/>
  <c r="IV11" i="4"/>
  <c r="IT11" i="4"/>
  <c r="IU11" i="4" s="1"/>
  <c r="IW11" i="4" s="1"/>
  <c r="IS11" i="4"/>
  <c r="IR11" i="4"/>
  <c r="IV10" i="4"/>
  <c r="IT10" i="4"/>
  <c r="IS10" i="4"/>
  <c r="IR10" i="4"/>
  <c r="IV9" i="4"/>
  <c r="IT9" i="4"/>
  <c r="IS9" i="4"/>
  <c r="IR9" i="4"/>
  <c r="IV8" i="4"/>
  <c r="IT8" i="4"/>
  <c r="IS8" i="4"/>
  <c r="IR8" i="4"/>
  <c r="IV7" i="4"/>
  <c r="IU7" i="4"/>
  <c r="IW7" i="4" s="1"/>
  <c r="IT7" i="4"/>
  <c r="IS7" i="4"/>
  <c r="IR7" i="4"/>
  <c r="IV6" i="4"/>
  <c r="IT6" i="4"/>
  <c r="IS6" i="4"/>
  <c r="IR6" i="4"/>
  <c r="IV5" i="4"/>
  <c r="IT5" i="4"/>
  <c r="IS5" i="4"/>
  <c r="IU5" i="4" s="1"/>
  <c r="IR5" i="4"/>
  <c r="IV4" i="4"/>
  <c r="IT4" i="4"/>
  <c r="IS4" i="4"/>
  <c r="IR4" i="4"/>
  <c r="HX27" i="4"/>
  <c r="IA21" i="4"/>
  <c r="HY21" i="4"/>
  <c r="HX21" i="4"/>
  <c r="HW21" i="4"/>
  <c r="IA20" i="4"/>
  <c r="HY20" i="4"/>
  <c r="HX20" i="4"/>
  <c r="HZ20" i="4" s="1"/>
  <c r="HW20" i="4"/>
  <c r="IA19" i="4"/>
  <c r="HY19" i="4"/>
  <c r="HX19" i="4"/>
  <c r="HZ19" i="4" s="1"/>
  <c r="IB19" i="4" s="1"/>
  <c r="HW19" i="4"/>
  <c r="IA18" i="4"/>
  <c r="HY18" i="4"/>
  <c r="HX18" i="4"/>
  <c r="HZ18" i="4" s="1"/>
  <c r="IB18" i="4" s="1"/>
  <c r="HW18" i="4"/>
  <c r="IA17" i="4"/>
  <c r="HY17" i="4"/>
  <c r="HX17" i="4"/>
  <c r="HZ17" i="4" s="1"/>
  <c r="HW17" i="4"/>
  <c r="IA14" i="4"/>
  <c r="HY14" i="4"/>
  <c r="HX14" i="4"/>
  <c r="HZ14" i="4" s="1"/>
  <c r="IB14" i="4" s="1"/>
  <c r="HW14" i="4"/>
  <c r="IA15" i="4"/>
  <c r="HY15" i="4"/>
  <c r="HX15" i="4"/>
  <c r="HZ15" i="4" s="1"/>
  <c r="IB15" i="4" s="1"/>
  <c r="HW15" i="4"/>
  <c r="IA16" i="4"/>
  <c r="HY16" i="4"/>
  <c r="HX16" i="4"/>
  <c r="HW16" i="4"/>
  <c r="IA13" i="4"/>
  <c r="HY13" i="4"/>
  <c r="HX13" i="4"/>
  <c r="HZ13" i="4" s="1"/>
  <c r="IB13" i="4" s="1"/>
  <c r="HW13" i="4"/>
  <c r="IA12" i="4"/>
  <c r="HY12" i="4"/>
  <c r="HX12" i="4"/>
  <c r="HW12" i="4"/>
  <c r="IA11" i="4"/>
  <c r="HY11" i="4"/>
  <c r="HX11" i="4"/>
  <c r="HZ11" i="4" s="1"/>
  <c r="IB11" i="4" s="1"/>
  <c r="HW11" i="4"/>
  <c r="IA10" i="4"/>
  <c r="HY10" i="4"/>
  <c r="HX10" i="4"/>
  <c r="HZ10" i="4" s="1"/>
  <c r="HW10" i="4"/>
  <c r="IA9" i="4"/>
  <c r="HY9" i="4"/>
  <c r="HX9" i="4"/>
  <c r="HW9" i="4"/>
  <c r="IA8" i="4"/>
  <c r="HZ8" i="4"/>
  <c r="IB8" i="4" s="1"/>
  <c r="HY8" i="4"/>
  <c r="HX8" i="4"/>
  <c r="HW8" i="4"/>
  <c r="IA7" i="4"/>
  <c r="HY7" i="4"/>
  <c r="HZ7" i="4" s="1"/>
  <c r="HX7" i="4"/>
  <c r="HW7" i="4"/>
  <c r="IA6" i="4"/>
  <c r="HY6" i="4"/>
  <c r="HX6" i="4"/>
  <c r="HZ6" i="4" s="1"/>
  <c r="HW6" i="4"/>
  <c r="IA5" i="4"/>
  <c r="HY5" i="4"/>
  <c r="HX5" i="4"/>
  <c r="HW5" i="4"/>
  <c r="IA4" i="4"/>
  <c r="HY4" i="4"/>
  <c r="HX4" i="4"/>
  <c r="HZ4" i="4" s="1"/>
  <c r="HW4" i="4"/>
  <c r="HC27" i="4"/>
  <c r="HF21" i="4"/>
  <c r="HD21" i="4"/>
  <c r="HC21" i="4"/>
  <c r="HB21" i="4"/>
  <c r="HF20" i="4"/>
  <c r="HD20" i="4"/>
  <c r="HC20" i="4"/>
  <c r="HE20" i="4" s="1"/>
  <c r="HG20" i="4" s="1"/>
  <c r="HB20" i="4"/>
  <c r="HF19" i="4"/>
  <c r="HD19" i="4"/>
  <c r="HC19" i="4"/>
  <c r="HE19" i="4" s="1"/>
  <c r="HG19" i="4" s="1"/>
  <c r="HB19" i="4"/>
  <c r="HF18" i="4"/>
  <c r="HD18" i="4"/>
  <c r="HC18" i="4"/>
  <c r="HE18" i="4" s="1"/>
  <c r="HG18" i="4" s="1"/>
  <c r="HB18" i="4"/>
  <c r="HF17" i="4"/>
  <c r="HD17" i="4"/>
  <c r="HC17" i="4"/>
  <c r="HE17" i="4" s="1"/>
  <c r="HB17" i="4"/>
  <c r="HF14" i="4"/>
  <c r="HD14" i="4"/>
  <c r="HC14" i="4"/>
  <c r="HE14" i="4" s="1"/>
  <c r="HG14" i="4" s="1"/>
  <c r="HB14" i="4"/>
  <c r="HF15" i="4"/>
  <c r="HD15" i="4"/>
  <c r="HC15" i="4"/>
  <c r="HE15" i="4" s="1"/>
  <c r="HG15" i="4" s="1"/>
  <c r="HB15" i="4"/>
  <c r="HF16" i="4"/>
  <c r="HD16" i="4"/>
  <c r="HC16" i="4"/>
  <c r="HB16" i="4"/>
  <c r="HF13" i="4"/>
  <c r="HD13" i="4"/>
  <c r="HC13" i="4"/>
  <c r="HE13" i="4" s="1"/>
  <c r="HG13" i="4" s="1"/>
  <c r="HB13" i="4"/>
  <c r="HF12" i="4"/>
  <c r="HD12" i="4"/>
  <c r="HC12" i="4"/>
  <c r="HB12" i="4"/>
  <c r="HF11" i="4"/>
  <c r="HD11" i="4"/>
  <c r="HC11" i="4"/>
  <c r="HE11" i="4" s="1"/>
  <c r="HG11" i="4" s="1"/>
  <c r="HB11" i="4"/>
  <c r="HF10" i="4"/>
  <c r="HD10" i="4"/>
  <c r="HC10" i="4"/>
  <c r="HE10" i="4" s="1"/>
  <c r="HB10" i="4"/>
  <c r="HF9" i="4"/>
  <c r="HD9" i="4"/>
  <c r="HC9" i="4"/>
  <c r="HB9" i="4"/>
  <c r="HF8" i="4"/>
  <c r="HD8" i="4"/>
  <c r="HC8" i="4"/>
  <c r="HE8" i="4" s="1"/>
  <c r="HB8" i="4"/>
  <c r="HF7" i="4"/>
  <c r="HD7" i="4"/>
  <c r="HC7" i="4"/>
  <c r="HE7" i="4" s="1"/>
  <c r="HG7" i="4" s="1"/>
  <c r="HB7" i="4"/>
  <c r="HF6" i="4"/>
  <c r="HD6" i="4"/>
  <c r="HC6" i="4"/>
  <c r="HB6" i="4"/>
  <c r="HF5" i="4"/>
  <c r="HD5" i="4"/>
  <c r="HC5" i="4"/>
  <c r="HE5" i="4" s="1"/>
  <c r="HG5" i="4" s="1"/>
  <c r="HB5" i="4"/>
  <c r="HF4" i="4"/>
  <c r="HD4" i="4"/>
  <c r="HC4" i="4"/>
  <c r="HB4" i="4"/>
  <c r="GH27" i="4"/>
  <c r="GK21" i="4"/>
  <c r="GI21" i="4"/>
  <c r="GH21" i="4"/>
  <c r="GG21" i="4"/>
  <c r="GK20" i="4"/>
  <c r="GI20" i="4"/>
  <c r="GH20" i="4"/>
  <c r="GG20" i="4"/>
  <c r="GK19" i="4"/>
  <c r="GI19" i="4"/>
  <c r="GH19" i="4"/>
  <c r="GG19" i="4"/>
  <c r="GK18" i="4"/>
  <c r="GI18" i="4"/>
  <c r="GH18" i="4"/>
  <c r="GG18" i="4"/>
  <c r="GK17" i="4"/>
  <c r="GI17" i="4"/>
  <c r="GH17" i="4"/>
  <c r="GG17" i="4"/>
  <c r="GK14" i="4"/>
  <c r="GI14" i="4"/>
  <c r="GH14" i="4"/>
  <c r="GG14" i="4"/>
  <c r="GK15" i="4"/>
  <c r="GI15" i="4"/>
  <c r="GJ15" i="4" s="1"/>
  <c r="GL15" i="4" s="1"/>
  <c r="GH15" i="4"/>
  <c r="GG15" i="4"/>
  <c r="GK16" i="4"/>
  <c r="GI16" i="4"/>
  <c r="GH16" i="4"/>
  <c r="GG16" i="4"/>
  <c r="GK13" i="4"/>
  <c r="GI13" i="4"/>
  <c r="GH13" i="4"/>
  <c r="GG13" i="4"/>
  <c r="GK12" i="4"/>
  <c r="GI12" i="4"/>
  <c r="GH12" i="4"/>
  <c r="GG12" i="4"/>
  <c r="GK11" i="4"/>
  <c r="GI11" i="4"/>
  <c r="GH11" i="4"/>
  <c r="GG11" i="4"/>
  <c r="GK10" i="4"/>
  <c r="GI10" i="4"/>
  <c r="GH10" i="4"/>
  <c r="GG10" i="4"/>
  <c r="GK9" i="4"/>
  <c r="GI9" i="4"/>
  <c r="GH9" i="4"/>
  <c r="GG9" i="4"/>
  <c r="GK8" i="4"/>
  <c r="GI8" i="4"/>
  <c r="GH8" i="4"/>
  <c r="GG8" i="4"/>
  <c r="GK7" i="4"/>
  <c r="GI7" i="4"/>
  <c r="GH7" i="4"/>
  <c r="GG7" i="4"/>
  <c r="GK6" i="4"/>
  <c r="GI6" i="4"/>
  <c r="GH6" i="4"/>
  <c r="GG6" i="4"/>
  <c r="GK5" i="4"/>
  <c r="GI5" i="4"/>
  <c r="GH5" i="4"/>
  <c r="GG5" i="4"/>
  <c r="GK4" i="4"/>
  <c r="GI4" i="4"/>
  <c r="GH4" i="4"/>
  <c r="GG4" i="4"/>
  <c r="FM27" i="4"/>
  <c r="FP21" i="4"/>
  <c r="FN21" i="4"/>
  <c r="FM21" i="4"/>
  <c r="FO21" i="4" s="1"/>
  <c r="FQ21" i="4" s="1"/>
  <c r="FL21" i="4"/>
  <c r="FP20" i="4"/>
  <c r="FN20" i="4"/>
  <c r="FM20" i="4"/>
  <c r="FL20" i="4"/>
  <c r="FP19" i="4"/>
  <c r="FN19" i="4"/>
  <c r="FM19" i="4"/>
  <c r="FO19" i="4" s="1"/>
  <c r="FQ19" i="4" s="1"/>
  <c r="FL19" i="4"/>
  <c r="FP18" i="4"/>
  <c r="FN18" i="4"/>
  <c r="FM18" i="4"/>
  <c r="FL18" i="4"/>
  <c r="FP17" i="4"/>
  <c r="FN17" i="4"/>
  <c r="FM17" i="4"/>
  <c r="FO17" i="4" s="1"/>
  <c r="FQ17" i="4" s="1"/>
  <c r="FL17" i="4"/>
  <c r="FP14" i="4"/>
  <c r="FN14" i="4"/>
  <c r="FM14" i="4"/>
  <c r="FL14" i="4"/>
  <c r="FP15" i="4"/>
  <c r="FN15" i="4"/>
  <c r="FM15" i="4"/>
  <c r="FL15" i="4"/>
  <c r="FP16" i="4"/>
  <c r="FN16" i="4"/>
  <c r="FM16" i="4"/>
  <c r="FL16" i="4"/>
  <c r="FP13" i="4"/>
  <c r="FN13" i="4"/>
  <c r="FM13" i="4"/>
  <c r="FL13" i="4"/>
  <c r="FP12" i="4"/>
  <c r="FN12" i="4"/>
  <c r="FM12" i="4"/>
  <c r="FL12" i="4"/>
  <c r="FP11" i="4"/>
  <c r="FN11" i="4"/>
  <c r="FM11" i="4"/>
  <c r="FO11" i="4" s="1"/>
  <c r="FQ11" i="4" s="1"/>
  <c r="FL11" i="4"/>
  <c r="FP10" i="4"/>
  <c r="FN10" i="4"/>
  <c r="FM10" i="4"/>
  <c r="FL10" i="4"/>
  <c r="FP9" i="4"/>
  <c r="FN9" i="4"/>
  <c r="FM9" i="4"/>
  <c r="FO9" i="4" s="1"/>
  <c r="FL9" i="4"/>
  <c r="FP8" i="4"/>
  <c r="FN8" i="4"/>
  <c r="FM8" i="4"/>
  <c r="FL8" i="4"/>
  <c r="FP7" i="4"/>
  <c r="FN7" i="4"/>
  <c r="FM7" i="4"/>
  <c r="FO7" i="4" s="1"/>
  <c r="FQ7" i="4" s="1"/>
  <c r="FL7" i="4"/>
  <c r="FP6" i="4"/>
  <c r="FN6" i="4"/>
  <c r="FM6" i="4"/>
  <c r="FO6" i="4" s="1"/>
  <c r="FQ6" i="4" s="1"/>
  <c r="FL6" i="4"/>
  <c r="FP5" i="4"/>
  <c r="FN5" i="4"/>
  <c r="FM5" i="4"/>
  <c r="FL5" i="4"/>
  <c r="FP4" i="4"/>
  <c r="FN4" i="4"/>
  <c r="FM4" i="4"/>
  <c r="FO4" i="4" s="1"/>
  <c r="FQ4" i="4" s="1"/>
  <c r="FL4" i="4"/>
  <c r="ER27" i="4"/>
  <c r="EU21" i="4"/>
  <c r="ES21" i="4"/>
  <c r="ER21" i="4"/>
  <c r="EQ21" i="4"/>
  <c r="EU20" i="4"/>
  <c r="ET20" i="4"/>
  <c r="EV20" i="4" s="1"/>
  <c r="ES20" i="4"/>
  <c r="ER20" i="4"/>
  <c r="EQ20" i="4"/>
  <c r="EU19" i="4"/>
  <c r="ES19" i="4"/>
  <c r="ER19" i="4"/>
  <c r="EQ19" i="4"/>
  <c r="EU18" i="4"/>
  <c r="ES18" i="4"/>
  <c r="ER18" i="4"/>
  <c r="EQ18" i="4"/>
  <c r="EU17" i="4"/>
  <c r="ES17" i="4"/>
  <c r="ER17" i="4"/>
  <c r="EQ17" i="4"/>
  <c r="EU14" i="4"/>
  <c r="ES14" i="4"/>
  <c r="ER14" i="4"/>
  <c r="ET14" i="4" s="1"/>
  <c r="EQ14" i="4"/>
  <c r="EU15" i="4"/>
  <c r="ET15" i="4"/>
  <c r="ES15" i="4"/>
  <c r="ER15" i="4"/>
  <c r="EQ15" i="4"/>
  <c r="EU16" i="4"/>
  <c r="ES16" i="4"/>
  <c r="ER16" i="4"/>
  <c r="EQ16" i="4"/>
  <c r="EU13" i="4"/>
  <c r="ES13" i="4"/>
  <c r="ER13" i="4"/>
  <c r="EQ13" i="4"/>
  <c r="EU12" i="4"/>
  <c r="ES12" i="4"/>
  <c r="ER12" i="4"/>
  <c r="ET12" i="4" s="1"/>
  <c r="EV12" i="4" s="1"/>
  <c r="EQ12" i="4"/>
  <c r="EU11" i="4"/>
  <c r="ES11" i="4"/>
  <c r="ER11" i="4"/>
  <c r="EQ11" i="4"/>
  <c r="EU10" i="4"/>
  <c r="ES10" i="4"/>
  <c r="ER10" i="4"/>
  <c r="EQ10" i="4"/>
  <c r="EU9" i="4"/>
  <c r="ES9" i="4"/>
  <c r="ER9" i="4"/>
  <c r="EQ9" i="4"/>
  <c r="EU8" i="4"/>
  <c r="ES8" i="4"/>
  <c r="ER8" i="4"/>
  <c r="ET8" i="4" s="1"/>
  <c r="EQ8" i="4"/>
  <c r="EU7" i="4"/>
  <c r="ES7" i="4"/>
  <c r="ER7" i="4"/>
  <c r="EQ7" i="4"/>
  <c r="EU6" i="4"/>
  <c r="ES6" i="4"/>
  <c r="ER6" i="4"/>
  <c r="ET6" i="4" s="1"/>
  <c r="EQ6" i="4"/>
  <c r="EU5" i="4"/>
  <c r="ES5" i="4"/>
  <c r="ER5" i="4"/>
  <c r="EQ5" i="4"/>
  <c r="EU4" i="4"/>
  <c r="ES4" i="4"/>
  <c r="ER4" i="4"/>
  <c r="ET4" i="4" s="1"/>
  <c r="EQ4" i="4"/>
  <c r="DW27" i="4"/>
  <c r="DZ21" i="4"/>
  <c r="DX21" i="4"/>
  <c r="DW21" i="4"/>
  <c r="DV21" i="4"/>
  <c r="DZ20" i="4"/>
  <c r="DX20" i="4"/>
  <c r="DW20" i="4"/>
  <c r="DV20" i="4"/>
  <c r="DZ19" i="4"/>
  <c r="DX19" i="4"/>
  <c r="DY19" i="4" s="1"/>
  <c r="EA19" i="4" s="1"/>
  <c r="DW19" i="4"/>
  <c r="DV19" i="4"/>
  <c r="DZ18" i="4"/>
  <c r="DX18" i="4"/>
  <c r="DW18" i="4"/>
  <c r="DV18" i="4"/>
  <c r="DZ17" i="4"/>
  <c r="DX17" i="4"/>
  <c r="DW17" i="4"/>
  <c r="DV17" i="4"/>
  <c r="DZ14" i="4"/>
  <c r="DX14" i="4"/>
  <c r="DW14" i="4"/>
  <c r="DV14" i="4"/>
  <c r="DZ15" i="4"/>
  <c r="DY15" i="4"/>
  <c r="EA15" i="4" s="1"/>
  <c r="DX15" i="4"/>
  <c r="DW15" i="4"/>
  <c r="DV15" i="4"/>
  <c r="DZ16" i="4"/>
  <c r="DX16" i="4"/>
  <c r="DW16" i="4"/>
  <c r="DV16" i="4"/>
  <c r="DZ13" i="4"/>
  <c r="DX13" i="4"/>
  <c r="DW13" i="4"/>
  <c r="DY13" i="4" s="1"/>
  <c r="DV13" i="4"/>
  <c r="DZ12" i="4"/>
  <c r="DX12" i="4"/>
  <c r="DW12" i="4"/>
  <c r="DV12" i="4"/>
  <c r="DZ11" i="4"/>
  <c r="DX11" i="4"/>
  <c r="DW11" i="4"/>
  <c r="DY11" i="4" s="1"/>
  <c r="DV11" i="4"/>
  <c r="DZ10" i="4"/>
  <c r="DX10" i="4"/>
  <c r="DW10" i="4"/>
  <c r="DV10" i="4"/>
  <c r="DZ9" i="4"/>
  <c r="DX9" i="4"/>
  <c r="DW9" i="4"/>
  <c r="DV9" i="4"/>
  <c r="DZ8" i="4"/>
  <c r="DX8" i="4"/>
  <c r="DW8" i="4"/>
  <c r="DV8" i="4"/>
  <c r="DZ7" i="4"/>
  <c r="DX7" i="4"/>
  <c r="DW7" i="4"/>
  <c r="DY7" i="4" s="1"/>
  <c r="EA7" i="4" s="1"/>
  <c r="DV7" i="4"/>
  <c r="DZ6" i="4"/>
  <c r="DX6" i="4"/>
  <c r="DW6" i="4"/>
  <c r="DV6" i="4"/>
  <c r="DZ5" i="4"/>
  <c r="DX5" i="4"/>
  <c r="DW5" i="4"/>
  <c r="DY5" i="4" s="1"/>
  <c r="DV5" i="4"/>
  <c r="DZ4" i="4"/>
  <c r="DX4" i="4"/>
  <c r="DW4" i="4"/>
  <c r="DV4" i="4"/>
  <c r="DB27" i="4"/>
  <c r="DE21" i="4"/>
  <c r="DC21" i="4"/>
  <c r="DB21" i="4"/>
  <c r="DD21" i="4" s="1"/>
  <c r="DF21" i="4" s="1"/>
  <c r="DA21" i="4"/>
  <c r="DE20" i="4"/>
  <c r="DC20" i="4"/>
  <c r="DB20" i="4"/>
  <c r="DD20" i="4" s="1"/>
  <c r="DA20" i="4"/>
  <c r="DE19" i="4"/>
  <c r="DC19" i="4"/>
  <c r="DB19" i="4"/>
  <c r="DD19" i="4" s="1"/>
  <c r="DF19" i="4" s="1"/>
  <c r="DA19" i="4"/>
  <c r="DE18" i="4"/>
  <c r="DC18" i="4"/>
  <c r="DB18" i="4"/>
  <c r="DA18" i="4"/>
  <c r="DE17" i="4"/>
  <c r="DC17" i="4"/>
  <c r="DB17" i="4"/>
  <c r="DD17" i="4" s="1"/>
  <c r="DF17" i="4" s="1"/>
  <c r="DA17" i="4"/>
  <c r="DE14" i="4"/>
  <c r="DC14" i="4"/>
  <c r="DB14" i="4"/>
  <c r="DA14" i="4"/>
  <c r="DE15" i="4"/>
  <c r="DC15" i="4"/>
  <c r="DB15" i="4"/>
  <c r="DD15" i="4" s="1"/>
  <c r="DF15" i="4" s="1"/>
  <c r="DA15" i="4"/>
  <c r="DE16" i="4"/>
  <c r="DC16" i="4"/>
  <c r="DB16" i="4"/>
  <c r="DA16" i="4"/>
  <c r="DE13" i="4"/>
  <c r="DC13" i="4"/>
  <c r="DB13" i="4"/>
  <c r="DD13" i="4" s="1"/>
  <c r="DF13" i="4" s="1"/>
  <c r="DA13" i="4"/>
  <c r="DE12" i="4"/>
  <c r="DC12" i="4"/>
  <c r="DB12" i="4"/>
  <c r="DA12" i="4"/>
  <c r="DE11" i="4"/>
  <c r="DC11" i="4"/>
  <c r="DB11" i="4"/>
  <c r="DA11" i="4"/>
  <c r="DE10" i="4"/>
  <c r="DC10" i="4"/>
  <c r="DB10" i="4"/>
  <c r="DD10" i="4" s="1"/>
  <c r="DF10" i="4" s="1"/>
  <c r="DA10" i="4"/>
  <c r="DE9" i="4"/>
  <c r="DC9" i="4"/>
  <c r="DB9" i="4"/>
  <c r="DA9" i="4"/>
  <c r="DE8" i="4"/>
  <c r="DC8" i="4"/>
  <c r="DB8" i="4"/>
  <c r="DD8" i="4" s="1"/>
  <c r="DF8" i="4" s="1"/>
  <c r="DA8" i="4"/>
  <c r="DE7" i="4"/>
  <c r="DC7" i="4"/>
  <c r="DD7" i="4" s="1"/>
  <c r="DF7" i="4" s="1"/>
  <c r="DB7" i="4"/>
  <c r="DA7" i="4"/>
  <c r="DE6" i="4"/>
  <c r="DC6" i="4"/>
  <c r="DB6" i="4"/>
  <c r="DA6" i="4"/>
  <c r="DE5" i="4"/>
  <c r="DC5" i="4"/>
  <c r="DB5" i="4"/>
  <c r="DA5" i="4"/>
  <c r="DE4" i="4"/>
  <c r="DC4" i="4"/>
  <c r="DB4" i="4"/>
  <c r="DA4" i="4"/>
  <c r="GJ7" i="4" l="1"/>
  <c r="GJ9" i="4"/>
  <c r="GJ11" i="4"/>
  <c r="GL11" i="4" s="1"/>
  <c r="GJ13" i="4"/>
  <c r="GX5" i="5"/>
  <c r="IB6" i="5"/>
  <c r="OZ4" i="5"/>
  <c r="NV6" i="5"/>
  <c r="QD6" i="5"/>
  <c r="FT5" i="5"/>
  <c r="MR4" i="5"/>
  <c r="QD5" i="5"/>
  <c r="NV5" i="5"/>
  <c r="OZ5" i="5"/>
  <c r="GX6" i="5"/>
  <c r="MR5" i="5"/>
  <c r="QD4" i="5"/>
  <c r="FT4" i="5"/>
  <c r="KJ5" i="5"/>
  <c r="EP4" i="5"/>
  <c r="IB5" i="5"/>
  <c r="JF5" i="5"/>
  <c r="LN4" i="5"/>
  <c r="OZ6" i="5"/>
  <c r="FT14" i="6"/>
  <c r="KJ11" i="6"/>
  <c r="FT12" i="6"/>
  <c r="EP8" i="6"/>
  <c r="FT7" i="6"/>
  <c r="FT15" i="6"/>
  <c r="GX9" i="6"/>
  <c r="IB4" i="6"/>
  <c r="IB12" i="6"/>
  <c r="KJ10" i="6"/>
  <c r="LN5" i="6"/>
  <c r="LN13" i="6"/>
  <c r="MR16" i="6"/>
  <c r="NV11" i="6"/>
  <c r="GX11" i="6"/>
  <c r="LN6" i="6"/>
  <c r="GX5" i="6"/>
  <c r="GX8" i="6"/>
  <c r="GX13" i="6"/>
  <c r="IB8" i="6"/>
  <c r="IB16" i="6"/>
  <c r="KJ7" i="6"/>
  <c r="KJ15" i="6"/>
  <c r="LN9" i="6"/>
  <c r="NV10" i="6"/>
  <c r="OZ5" i="6"/>
  <c r="QD7" i="6"/>
  <c r="GX14" i="6"/>
  <c r="LN11" i="6"/>
  <c r="MR14" i="6"/>
  <c r="EP6" i="6"/>
  <c r="GX4" i="6"/>
  <c r="GX12" i="6"/>
  <c r="IB6" i="6"/>
  <c r="IB14" i="6"/>
  <c r="OZ14" i="6"/>
  <c r="GX6" i="6"/>
  <c r="FT11" i="6"/>
  <c r="JF6" i="6"/>
  <c r="JF14" i="6"/>
  <c r="FT5" i="6"/>
  <c r="FT13" i="6"/>
  <c r="FT16" i="6"/>
  <c r="IB7" i="6"/>
  <c r="IB15" i="6"/>
  <c r="JF9" i="6"/>
  <c r="KJ4" i="6"/>
  <c r="KJ6" i="6"/>
  <c r="KJ12" i="6"/>
  <c r="KJ14" i="6"/>
  <c r="MR11" i="6"/>
  <c r="NV6" i="6"/>
  <c r="NV14" i="6"/>
  <c r="QD14" i="6"/>
  <c r="FT10" i="6"/>
  <c r="GX16" i="6"/>
  <c r="JF7" i="6"/>
  <c r="JF15" i="6"/>
  <c r="KJ9" i="6"/>
  <c r="LN4" i="6"/>
  <c r="LN12" i="6"/>
  <c r="LN14" i="6"/>
  <c r="NV9" i="6"/>
  <c r="OZ4" i="6"/>
  <c r="OZ11" i="6"/>
  <c r="QD12" i="6"/>
  <c r="EP5" i="6"/>
  <c r="EP11" i="6"/>
  <c r="EP15" i="6"/>
  <c r="FT4" i="6"/>
  <c r="FT6" i="6"/>
  <c r="GX10" i="6"/>
  <c r="IB5" i="6"/>
  <c r="IB13" i="6"/>
  <c r="JF8" i="6"/>
  <c r="JF11" i="6"/>
  <c r="JF16" i="6"/>
  <c r="LN7" i="6"/>
  <c r="LN15" i="6"/>
  <c r="MR6" i="6"/>
  <c r="OZ6" i="6"/>
  <c r="QD15" i="6"/>
  <c r="KN8" i="8"/>
  <c r="KP8" i="8" s="1"/>
  <c r="GZ6" i="8"/>
  <c r="HB6" i="8" s="1"/>
  <c r="DL5" i="8"/>
  <c r="EI7" i="8"/>
  <c r="EK7" i="8" s="1"/>
  <c r="HW9" i="8"/>
  <c r="HY9" i="8" s="1"/>
  <c r="KN6" i="8"/>
  <c r="KP6" i="8" s="1"/>
  <c r="LK4" i="8"/>
  <c r="LM4" i="8" s="1"/>
  <c r="EI5" i="8"/>
  <c r="EK5" i="8" s="1"/>
  <c r="DL9" i="8"/>
  <c r="DN9" i="8" s="1"/>
  <c r="FF8" i="8"/>
  <c r="HW7" i="8"/>
  <c r="HY7" i="8" s="1"/>
  <c r="LK9" i="8"/>
  <c r="LM9" i="8" s="1"/>
  <c r="DL6" i="8"/>
  <c r="DN6" i="8" s="1"/>
  <c r="GE4" i="8"/>
  <c r="HB7" i="8"/>
  <c r="IT6" i="8"/>
  <c r="IV6" i="8" s="1"/>
  <c r="KN9" i="8"/>
  <c r="DL8" i="8"/>
  <c r="DN8" i="8" s="1"/>
  <c r="EI6" i="8"/>
  <c r="EK6" i="8" s="1"/>
  <c r="FF4" i="8"/>
  <c r="FH4" i="8" s="1"/>
  <c r="FF5" i="8"/>
  <c r="FH5" i="8" s="1"/>
  <c r="HW8" i="8"/>
  <c r="HY8" i="8" s="1"/>
  <c r="KN7" i="8"/>
  <c r="KP7" i="8" s="1"/>
  <c r="LK8" i="8"/>
  <c r="LM8" i="8" s="1"/>
  <c r="FF9" i="8"/>
  <c r="FH9" i="8" s="1"/>
  <c r="GC9" i="8"/>
  <c r="GE9" i="8" s="1"/>
  <c r="KP9" i="8"/>
  <c r="EI9" i="8"/>
  <c r="EK9" i="8" s="1"/>
  <c r="IT8" i="8"/>
  <c r="IV8" i="8" s="1"/>
  <c r="JQ6" i="8"/>
  <c r="JS6" i="8" s="1"/>
  <c r="DN5" i="8"/>
  <c r="HY6" i="8"/>
  <c r="FH8" i="8"/>
  <c r="GC6" i="8"/>
  <c r="GE6" i="8" s="1"/>
  <c r="JS4" i="8"/>
  <c r="JS5" i="8"/>
  <c r="LK6" i="8"/>
  <c r="LM6" i="8" s="1"/>
  <c r="MH6" i="8"/>
  <c r="MJ6" i="8" s="1"/>
  <c r="HB5" i="8"/>
  <c r="DL4" i="8"/>
  <c r="DN4" i="8" s="1"/>
  <c r="EI4" i="8"/>
  <c r="EK4" i="8" s="1"/>
  <c r="FF6" i="8"/>
  <c r="FH6" i="8" s="1"/>
  <c r="GZ4" i="8"/>
  <c r="HB4" i="8" s="1"/>
  <c r="HW4" i="8"/>
  <c r="HY4" i="8" s="1"/>
  <c r="HW5" i="8"/>
  <c r="HY5" i="8" s="1"/>
  <c r="IT4" i="8"/>
  <c r="IV4" i="8" s="1"/>
  <c r="KN4" i="8"/>
  <c r="KP4" i="8" s="1"/>
  <c r="GZ8" i="7"/>
  <c r="HB8" i="7" s="1"/>
  <c r="LK5" i="7"/>
  <c r="LM5" i="7" s="1"/>
  <c r="GZ5" i="7"/>
  <c r="HB5" i="7" s="1"/>
  <c r="HW7" i="7"/>
  <c r="GZ7" i="7"/>
  <c r="HB7" i="7" s="1"/>
  <c r="HW9" i="7"/>
  <c r="HY9" i="7" s="1"/>
  <c r="JQ8" i="7"/>
  <c r="JS8" i="7" s="1"/>
  <c r="LK9" i="7"/>
  <c r="LM9" i="7" s="1"/>
  <c r="FF5" i="7"/>
  <c r="FH5" i="7" s="1"/>
  <c r="DN8" i="7"/>
  <c r="EI5" i="7"/>
  <c r="EK5" i="7" s="1"/>
  <c r="GE4" i="7"/>
  <c r="HB6" i="7"/>
  <c r="IT8" i="7"/>
  <c r="IV8" i="7" s="1"/>
  <c r="KN9" i="7"/>
  <c r="KP9" i="7" s="1"/>
  <c r="FF4" i="7"/>
  <c r="FH4" i="7" s="1"/>
  <c r="FF7" i="7"/>
  <c r="FH7" i="7" s="1"/>
  <c r="GC9" i="7"/>
  <c r="GE9" i="7" s="1"/>
  <c r="JQ4" i="7"/>
  <c r="KN6" i="7"/>
  <c r="KP6" i="7" s="1"/>
  <c r="LK8" i="7"/>
  <c r="LM8" i="7" s="1"/>
  <c r="HY7" i="7"/>
  <c r="IT6" i="7"/>
  <c r="IV6" i="7" s="1"/>
  <c r="FF9" i="7"/>
  <c r="FH9" i="7" s="1"/>
  <c r="IT5" i="7"/>
  <c r="IV5" i="7" s="1"/>
  <c r="JQ5" i="7"/>
  <c r="JS5" i="7" s="1"/>
  <c r="KN5" i="7"/>
  <c r="KP5" i="7" s="1"/>
  <c r="DL5" i="7"/>
  <c r="DN5" i="7" s="1"/>
  <c r="DL9" i="7"/>
  <c r="DN9" i="7" s="1"/>
  <c r="EK7" i="7"/>
  <c r="EI9" i="7"/>
  <c r="EK9" i="7" s="1"/>
  <c r="HY5" i="7"/>
  <c r="HW8" i="7"/>
  <c r="HY8" i="7" s="1"/>
  <c r="GE8" i="7"/>
  <c r="JS4" i="7"/>
  <c r="JS7" i="7"/>
  <c r="KP4" i="7"/>
  <c r="KN7" i="7"/>
  <c r="KP7" i="7" s="1"/>
  <c r="MH5" i="7"/>
  <c r="MJ5" i="7" s="1"/>
  <c r="FF8" i="7"/>
  <c r="FH8" i="7" s="1"/>
  <c r="GC5" i="7"/>
  <c r="GE5" i="7" s="1"/>
  <c r="HW4" i="7"/>
  <c r="HY4" i="7" s="1"/>
  <c r="IT4" i="7"/>
  <c r="IV4" i="7" s="1"/>
  <c r="LK4" i="7"/>
  <c r="LM4" i="7" s="1"/>
  <c r="LK7" i="7"/>
  <c r="LM7" i="7" s="1"/>
  <c r="FO11" i="2"/>
  <c r="FO15" i="2"/>
  <c r="FQ15" i="2" s="1"/>
  <c r="KK10" i="2"/>
  <c r="KM10" i="2" s="1"/>
  <c r="DY10" i="2"/>
  <c r="EA10" i="2" s="1"/>
  <c r="LF15" i="2"/>
  <c r="LH15" i="2" s="1"/>
  <c r="DD16" i="2"/>
  <c r="DF16" i="2" s="1"/>
  <c r="ET7" i="2"/>
  <c r="ET9" i="2"/>
  <c r="ET11" i="2"/>
  <c r="EV11" i="2" s="1"/>
  <c r="HE5" i="2"/>
  <c r="HG5" i="2" s="1"/>
  <c r="HE7" i="2"/>
  <c r="HG7" i="2" s="1"/>
  <c r="HE9" i="2"/>
  <c r="IW8" i="2"/>
  <c r="IW10" i="2"/>
  <c r="JP10" i="2"/>
  <c r="JR10" i="2" s="1"/>
  <c r="KK5" i="2"/>
  <c r="KM5" i="2" s="1"/>
  <c r="DD10" i="2"/>
  <c r="DF10" i="2" s="1"/>
  <c r="DY5" i="2"/>
  <c r="EA5" i="2" s="1"/>
  <c r="FO6" i="2"/>
  <c r="FQ6" i="2" s="1"/>
  <c r="FO8" i="2"/>
  <c r="FQ8" i="2" s="1"/>
  <c r="FO10" i="2"/>
  <c r="FQ10" i="2" s="1"/>
  <c r="FO12" i="2"/>
  <c r="FQ12" i="2" s="1"/>
  <c r="FO14" i="2"/>
  <c r="FQ14" i="2" s="1"/>
  <c r="FO16" i="2"/>
  <c r="FQ16" i="2" s="1"/>
  <c r="HG11" i="2"/>
  <c r="HE15" i="2"/>
  <c r="HG15" i="2" s="1"/>
  <c r="HZ4" i="2"/>
  <c r="IB4" i="2" s="1"/>
  <c r="HZ6" i="2"/>
  <c r="IB6" i="2" s="1"/>
  <c r="HZ8" i="2"/>
  <c r="IB8" i="2" s="1"/>
  <c r="IU16" i="2"/>
  <c r="IW16" i="2" s="1"/>
  <c r="KK9" i="2"/>
  <c r="KK15" i="2"/>
  <c r="KM15" i="2" s="1"/>
  <c r="DF5" i="2"/>
  <c r="GL13" i="2"/>
  <c r="GJ15" i="2"/>
  <c r="GL15" i="2" s="1"/>
  <c r="JP15" i="2"/>
  <c r="JR15" i="2" s="1"/>
  <c r="DD7" i="2"/>
  <c r="DF7" i="2" s="1"/>
  <c r="DD9" i="2"/>
  <c r="DF9" i="2" s="1"/>
  <c r="DD15" i="2"/>
  <c r="DF15" i="2" s="1"/>
  <c r="ET12" i="2"/>
  <c r="EV12" i="2" s="1"/>
  <c r="ET14" i="2"/>
  <c r="EV14" i="2" s="1"/>
  <c r="ET16" i="2"/>
  <c r="EV16" i="2" s="1"/>
  <c r="HE6" i="2"/>
  <c r="HG6" i="2" s="1"/>
  <c r="HE12" i="2"/>
  <c r="HG12" i="2" s="1"/>
  <c r="HE14" i="2"/>
  <c r="HG14" i="2" s="1"/>
  <c r="HE16" i="2"/>
  <c r="HG16" i="2" s="1"/>
  <c r="IU7" i="2"/>
  <c r="IW7" i="2" s="1"/>
  <c r="IU9" i="2"/>
  <c r="IW9" i="2" s="1"/>
  <c r="IU11" i="2"/>
  <c r="IW11" i="2" s="1"/>
  <c r="KK4" i="2"/>
  <c r="EA7" i="2"/>
  <c r="EA9" i="2"/>
  <c r="EV7" i="2"/>
  <c r="EV9" i="2"/>
  <c r="HG9" i="2"/>
  <c r="IW13" i="2"/>
  <c r="JR7" i="2"/>
  <c r="JR9" i="2"/>
  <c r="KM9" i="2"/>
  <c r="KM16" i="2"/>
  <c r="DD11" i="2"/>
  <c r="DF11" i="2" s="1"/>
  <c r="DD13" i="2"/>
  <c r="DF13" i="2" s="1"/>
  <c r="DY11" i="2"/>
  <c r="EA11" i="2" s="1"/>
  <c r="DY13" i="2"/>
  <c r="EA13" i="2" s="1"/>
  <c r="FO5" i="2"/>
  <c r="FQ5" i="2" s="1"/>
  <c r="GJ5" i="2"/>
  <c r="GL5" i="2" s="1"/>
  <c r="GJ12" i="2"/>
  <c r="GL12" i="2" s="1"/>
  <c r="HE4" i="2"/>
  <c r="HG4" i="2" s="1"/>
  <c r="HZ12" i="2"/>
  <c r="IB12" i="2" s="1"/>
  <c r="IU15" i="2"/>
  <c r="IW15" i="2" s="1"/>
  <c r="JP11" i="2"/>
  <c r="JR11" i="2" s="1"/>
  <c r="JP13" i="2"/>
  <c r="JR13" i="2" s="1"/>
  <c r="KK7" i="2"/>
  <c r="KM7" i="2" s="1"/>
  <c r="KK13" i="2"/>
  <c r="KM13" i="2" s="1"/>
  <c r="LF5" i="2"/>
  <c r="LH5" i="2" s="1"/>
  <c r="DD4" i="2"/>
  <c r="DF4" i="2" s="1"/>
  <c r="DY4" i="2"/>
  <c r="EA4" i="2" s="1"/>
  <c r="ET4" i="2"/>
  <c r="EV4" i="2" s="1"/>
  <c r="ET13" i="2"/>
  <c r="EV13" i="2" s="1"/>
  <c r="FO7" i="2"/>
  <c r="FQ7" i="2" s="1"/>
  <c r="FO13" i="2"/>
  <c r="FQ13" i="2" s="1"/>
  <c r="GJ7" i="2"/>
  <c r="GL7" i="2" s="1"/>
  <c r="HG13" i="2"/>
  <c r="HZ5" i="2"/>
  <c r="IB5" i="2" s="1"/>
  <c r="JR4" i="2"/>
  <c r="KM4" i="2"/>
  <c r="LF7" i="2"/>
  <c r="LH7" i="2" s="1"/>
  <c r="LH13" i="2"/>
  <c r="DD8" i="2"/>
  <c r="DF8" i="2" s="1"/>
  <c r="DY8" i="2"/>
  <c r="EA8" i="2" s="1"/>
  <c r="ET8" i="2"/>
  <c r="EV8" i="2" s="1"/>
  <c r="ET15" i="2"/>
  <c r="EV15" i="2" s="1"/>
  <c r="FQ11" i="2"/>
  <c r="GJ16" i="2"/>
  <c r="GL16" i="2" s="1"/>
  <c r="HE8" i="2"/>
  <c r="HG8" i="2" s="1"/>
  <c r="HZ7" i="2"/>
  <c r="IB7" i="2" s="1"/>
  <c r="HZ9" i="2"/>
  <c r="IB9" i="2" s="1"/>
  <c r="IU5" i="2"/>
  <c r="IW5" i="2" s="1"/>
  <c r="JP8" i="2"/>
  <c r="JR8" i="2" s="1"/>
  <c r="KK8" i="2"/>
  <c r="KM8" i="2" s="1"/>
  <c r="LF11" i="2"/>
  <c r="LH11" i="2" s="1"/>
  <c r="EA11" i="4"/>
  <c r="EV14" i="4"/>
  <c r="FO15" i="4"/>
  <c r="FQ15" i="4" s="1"/>
  <c r="GL7" i="4"/>
  <c r="GL9" i="4"/>
  <c r="IB4" i="4"/>
  <c r="IB6" i="4"/>
  <c r="LF15" i="4"/>
  <c r="LH15" i="4" s="1"/>
  <c r="DY21" i="4"/>
  <c r="EA21" i="4" s="1"/>
  <c r="GJ19" i="4"/>
  <c r="GL19" i="4" s="1"/>
  <c r="GJ21" i="4"/>
  <c r="GL21" i="4" s="1"/>
  <c r="IU13" i="4"/>
  <c r="IW13" i="4" s="1"/>
  <c r="IU15" i="4"/>
  <c r="IW15" i="4" s="1"/>
  <c r="IU17" i="4"/>
  <c r="IW17" i="4" s="1"/>
  <c r="IU19" i="4"/>
  <c r="IW19" i="4" s="1"/>
  <c r="KK4" i="4"/>
  <c r="KK6" i="4"/>
  <c r="KK12" i="4"/>
  <c r="KK16" i="4"/>
  <c r="KM16" i="4" s="1"/>
  <c r="KK20" i="4"/>
  <c r="KM20" i="4" s="1"/>
  <c r="JP9" i="4"/>
  <c r="LF6" i="4"/>
  <c r="LH6" i="4" s="1"/>
  <c r="DD11" i="4"/>
  <c r="DF11" i="4" s="1"/>
  <c r="DY4" i="4"/>
  <c r="EA4" i="4" s="1"/>
  <c r="DY6" i="4"/>
  <c r="EA6" i="4" s="1"/>
  <c r="ET7" i="4"/>
  <c r="EV7" i="4" s="1"/>
  <c r="ET9" i="4"/>
  <c r="EV9" i="4" s="1"/>
  <c r="ET11" i="4"/>
  <c r="EV11" i="4" s="1"/>
  <c r="ET13" i="4"/>
  <c r="FO12" i="4"/>
  <c r="FQ12" i="4" s="1"/>
  <c r="FO16" i="4"/>
  <c r="FQ16" i="4" s="1"/>
  <c r="FO14" i="4"/>
  <c r="FQ14" i="4" s="1"/>
  <c r="FO18" i="4"/>
  <c r="IB20" i="4"/>
  <c r="JR15" i="4"/>
  <c r="JP17" i="4"/>
  <c r="DY8" i="4"/>
  <c r="EA8" i="4" s="1"/>
  <c r="DY10" i="4"/>
  <c r="EA10" i="4" s="1"/>
  <c r="ET17" i="4"/>
  <c r="EV17" i="4" s="1"/>
  <c r="ET19" i="4"/>
  <c r="EV19" i="4" s="1"/>
  <c r="GJ4" i="4"/>
  <c r="GL4" i="4" s="1"/>
  <c r="GJ6" i="4"/>
  <c r="GL6" i="4" s="1"/>
  <c r="GJ12" i="4"/>
  <c r="GL12" i="4" s="1"/>
  <c r="GJ16" i="4"/>
  <c r="GL16" i="4" s="1"/>
  <c r="LF14" i="4"/>
  <c r="LH14" i="4" s="1"/>
  <c r="DD5" i="4"/>
  <c r="DF5" i="4" s="1"/>
  <c r="DY14" i="4"/>
  <c r="EA14" i="4" s="1"/>
  <c r="DY18" i="4"/>
  <c r="EA18" i="4" s="1"/>
  <c r="DY20" i="4"/>
  <c r="EV15" i="4"/>
  <c r="ET21" i="4"/>
  <c r="GJ14" i="4"/>
  <c r="GL14" i="4" s="1"/>
  <c r="GJ18" i="4"/>
  <c r="GL18" i="4" s="1"/>
  <c r="GJ20" i="4"/>
  <c r="GL20" i="4" s="1"/>
  <c r="IB7" i="4"/>
  <c r="IU8" i="4"/>
  <c r="IW8" i="4" s="1"/>
  <c r="IU10" i="4"/>
  <c r="IW10" i="4" s="1"/>
  <c r="IU12" i="4"/>
  <c r="IU16" i="4"/>
  <c r="IU20" i="4"/>
  <c r="JR19" i="4"/>
  <c r="KK5" i="4"/>
  <c r="KM5" i="4" s="1"/>
  <c r="KK7" i="4"/>
  <c r="KM7" i="4" s="1"/>
  <c r="KK9" i="4"/>
  <c r="KM9" i="4" s="1"/>
  <c r="KK11" i="4"/>
  <c r="KM11" i="4" s="1"/>
  <c r="KK15" i="4"/>
  <c r="KM15" i="4" s="1"/>
  <c r="KK17" i="4"/>
  <c r="KM17" i="4" s="1"/>
  <c r="KK19" i="4"/>
  <c r="KM19" i="4" s="1"/>
  <c r="EV4" i="4"/>
  <c r="DD4" i="4"/>
  <c r="DF4" i="4" s="1"/>
  <c r="DD6" i="4"/>
  <c r="DF6" i="4" s="1"/>
  <c r="DY12" i="4"/>
  <c r="EA12" i="4" s="1"/>
  <c r="DY16" i="4"/>
  <c r="EA16" i="4" s="1"/>
  <c r="ET5" i="4"/>
  <c r="EV5" i="4" s="1"/>
  <c r="ET16" i="4"/>
  <c r="EV16" i="4" s="1"/>
  <c r="FO8" i="4"/>
  <c r="FQ8" i="4" s="1"/>
  <c r="FO10" i="4"/>
  <c r="FQ10" i="4" s="1"/>
  <c r="GJ5" i="4"/>
  <c r="GL5" i="4" s="1"/>
  <c r="HE9" i="4"/>
  <c r="HG9" i="4" s="1"/>
  <c r="HZ9" i="4"/>
  <c r="IB9" i="4" s="1"/>
  <c r="IU4" i="4"/>
  <c r="IW4" i="4" s="1"/>
  <c r="IU6" i="4"/>
  <c r="IW6" i="4" s="1"/>
  <c r="IU21" i="4"/>
  <c r="IW21" i="4" s="1"/>
  <c r="JP14" i="4"/>
  <c r="JR14" i="4" s="1"/>
  <c r="JP18" i="4"/>
  <c r="JR18" i="4" s="1"/>
  <c r="KK13" i="4"/>
  <c r="KM13" i="4" s="1"/>
  <c r="LF10" i="4"/>
  <c r="LH10" i="4" s="1"/>
  <c r="EV8" i="4"/>
  <c r="DD12" i="4"/>
  <c r="DF12" i="4" s="1"/>
  <c r="DD16" i="4"/>
  <c r="DF16" i="4" s="1"/>
  <c r="EA5" i="4"/>
  <c r="EA20" i="4"/>
  <c r="EV21" i="4"/>
  <c r="FQ18" i="4"/>
  <c r="GL13" i="4"/>
  <c r="HG17" i="4"/>
  <c r="IB17" i="4"/>
  <c r="IW12" i="4"/>
  <c r="IW16" i="4"/>
  <c r="JR9" i="4"/>
  <c r="KM4" i="4"/>
  <c r="KM6" i="4"/>
  <c r="KK21" i="4"/>
  <c r="KM21" i="4" s="1"/>
  <c r="LF12" i="4"/>
  <c r="LH12" i="4" s="1"/>
  <c r="LF18" i="4"/>
  <c r="LH18" i="4" s="1"/>
  <c r="DD14" i="4"/>
  <c r="DF14" i="4" s="1"/>
  <c r="DD18" i="4"/>
  <c r="DF18" i="4" s="1"/>
  <c r="DY9" i="4"/>
  <c r="EA9" i="4" s="1"/>
  <c r="ET18" i="4"/>
  <c r="EV18" i="4" s="1"/>
  <c r="FO5" i="4"/>
  <c r="FQ5" i="4" s="1"/>
  <c r="FO20" i="4"/>
  <c r="FQ20" i="4" s="1"/>
  <c r="GJ17" i="4"/>
  <c r="GL17" i="4" s="1"/>
  <c r="HE4" i="4"/>
  <c r="HG4" i="4" s="1"/>
  <c r="HE6" i="4"/>
  <c r="HG6" i="4" s="1"/>
  <c r="HE21" i="4"/>
  <c r="HG21" i="4" s="1"/>
  <c r="HZ21" i="4"/>
  <c r="IB21" i="4" s="1"/>
  <c r="IU14" i="4"/>
  <c r="IW14" i="4" s="1"/>
  <c r="IU18" i="4"/>
  <c r="IW18" i="4" s="1"/>
  <c r="JP13" i="4"/>
  <c r="JR13" i="4" s="1"/>
  <c r="KK8" i="4"/>
  <c r="KM8" i="4" s="1"/>
  <c r="KK10" i="4"/>
  <c r="KM10" i="4" s="1"/>
  <c r="LF5" i="4"/>
  <c r="LH5" i="4" s="1"/>
  <c r="IW5" i="4"/>
  <c r="IW20" i="4"/>
  <c r="JR17" i="4"/>
  <c r="KM12" i="4"/>
  <c r="LH9" i="4"/>
  <c r="DF20" i="4"/>
  <c r="EA13" i="4"/>
  <c r="EV6" i="4"/>
  <c r="EV13" i="4"/>
  <c r="FQ9" i="4"/>
  <c r="HG8" i="4"/>
  <c r="HG10" i="4"/>
  <c r="IB10" i="4"/>
  <c r="DD9" i="4"/>
  <c r="DF9" i="4" s="1"/>
  <c r="DY17" i="4"/>
  <c r="EA17" i="4" s="1"/>
  <c r="ET10" i="4"/>
  <c r="EV10" i="4" s="1"/>
  <c r="FO13" i="4"/>
  <c r="FQ13" i="4" s="1"/>
  <c r="GJ8" i="4"/>
  <c r="GL8" i="4" s="1"/>
  <c r="GJ10" i="4"/>
  <c r="GL10" i="4" s="1"/>
  <c r="HE12" i="4"/>
  <c r="HG12" i="4" s="1"/>
  <c r="HE16" i="4"/>
  <c r="HG16" i="4" s="1"/>
  <c r="HZ5" i="4"/>
  <c r="IB5" i="4" s="1"/>
  <c r="HZ12" i="4"/>
  <c r="IB12" i="4" s="1"/>
  <c r="HZ16" i="4"/>
  <c r="IB16" i="4" s="1"/>
  <c r="IU9" i="4"/>
  <c r="IW9" i="4" s="1"/>
  <c r="JP4" i="4"/>
  <c r="JR4" i="4" s="1"/>
  <c r="JP6" i="4"/>
  <c r="JR6" i="4" s="1"/>
  <c r="JP21" i="4"/>
  <c r="JR21" i="4" s="1"/>
  <c r="KK14" i="4"/>
  <c r="KM14" i="4" s="1"/>
  <c r="KK18" i="4"/>
  <c r="KM18" i="4" s="1"/>
  <c r="LF13" i="4"/>
  <c r="LH13" i="4" s="1"/>
  <c r="AL6" i="7"/>
  <c r="AK11" i="2"/>
  <c r="AL5" i="7"/>
  <c r="AM5" i="7"/>
  <c r="CH5" i="7"/>
  <c r="CC10" i="2"/>
  <c r="BK8" i="2"/>
  <c r="AN5" i="7" l="1"/>
  <c r="AO5" i="7"/>
  <c r="AQ5" i="7"/>
  <c r="BJ5" i="7"/>
  <c r="BK5" i="7"/>
  <c r="BL5" i="7"/>
  <c r="BM5" i="7"/>
  <c r="BO5" i="7"/>
  <c r="CI5" i="7"/>
  <c r="CJ5" i="7"/>
  <c r="CK5" i="7"/>
  <c r="CM5" i="7"/>
  <c r="NA5" i="7"/>
  <c r="NB5" i="7"/>
  <c r="NC5" i="7"/>
  <c r="ND5" i="7"/>
  <c r="NF5" i="7"/>
  <c r="AL9" i="7"/>
  <c r="AM9" i="7"/>
  <c r="AN9" i="7"/>
  <c r="AO9" i="7"/>
  <c r="AQ9" i="7"/>
  <c r="BJ9" i="7"/>
  <c r="BK9" i="7"/>
  <c r="BL9" i="7"/>
  <c r="BM9" i="7"/>
  <c r="BO9" i="7"/>
  <c r="CH9" i="7"/>
  <c r="CI9" i="7"/>
  <c r="CJ9" i="7"/>
  <c r="CK9" i="7"/>
  <c r="CM9" i="7"/>
  <c r="NA9" i="7"/>
  <c r="NB9" i="7"/>
  <c r="NC9" i="7"/>
  <c r="ND9" i="7"/>
  <c r="NF9" i="7"/>
  <c r="AT14" i="6"/>
  <c r="AU14" i="6"/>
  <c r="AV14" i="6"/>
  <c r="AW14" i="6"/>
  <c r="AX14" i="6"/>
  <c r="BY14" i="6"/>
  <c r="BZ14" i="6"/>
  <c r="CA14" i="6"/>
  <c r="CB14" i="6"/>
  <c r="CC14" i="6"/>
  <c r="DD14" i="6"/>
  <c r="DE14" i="6"/>
  <c r="DF14" i="6"/>
  <c r="DG14" i="6"/>
  <c r="DH14" i="6"/>
  <c r="RC14" i="6"/>
  <c r="RD14" i="6"/>
  <c r="RE14" i="6"/>
  <c r="RF14" i="6"/>
  <c r="RG14" i="6"/>
  <c r="AT16" i="6"/>
  <c r="AU16" i="6"/>
  <c r="AV16" i="6"/>
  <c r="AW16" i="6"/>
  <c r="AX16" i="6"/>
  <c r="BY16" i="6"/>
  <c r="BZ16" i="6"/>
  <c r="CA16" i="6"/>
  <c r="CB16" i="6"/>
  <c r="CC16" i="6"/>
  <c r="DD16" i="6"/>
  <c r="DE16" i="6"/>
  <c r="DF16" i="6"/>
  <c r="DG16" i="6"/>
  <c r="DH16" i="6"/>
  <c r="RC16" i="6"/>
  <c r="RD16" i="6"/>
  <c r="RE16" i="6"/>
  <c r="RF16" i="6"/>
  <c r="RG16" i="6"/>
  <c r="AK14" i="4"/>
  <c r="AL14" i="4"/>
  <c r="AM14" i="4"/>
  <c r="AO14" i="4"/>
  <c r="BG14" i="4"/>
  <c r="BH14" i="4"/>
  <c r="BI14" i="4"/>
  <c r="BK14" i="4"/>
  <c r="CC14" i="4"/>
  <c r="CD14" i="4"/>
  <c r="CE14" i="4"/>
  <c r="CG14" i="4"/>
  <c r="LX14" i="4"/>
  <c r="LY14" i="4"/>
  <c r="LZ14" i="4"/>
  <c r="MB14" i="4"/>
  <c r="AK18" i="4"/>
  <c r="AL18" i="4"/>
  <c r="AM18" i="4"/>
  <c r="AO18" i="4"/>
  <c r="BG18" i="4"/>
  <c r="BH18" i="4"/>
  <c r="BI18" i="4"/>
  <c r="BK18" i="4"/>
  <c r="CC18" i="4"/>
  <c r="CD18" i="4"/>
  <c r="CE18" i="4"/>
  <c r="CG18" i="4"/>
  <c r="LX18" i="4"/>
  <c r="LY18" i="4"/>
  <c r="LZ18" i="4"/>
  <c r="MB18" i="4"/>
  <c r="AK19" i="4"/>
  <c r="AL19" i="4"/>
  <c r="AM19" i="4"/>
  <c r="AO19" i="4"/>
  <c r="BG19" i="4"/>
  <c r="BH19" i="4"/>
  <c r="BI19" i="4"/>
  <c r="BK19" i="4"/>
  <c r="CC19" i="4"/>
  <c r="CD19" i="4"/>
  <c r="CE19" i="4"/>
  <c r="CG19" i="4"/>
  <c r="LX19" i="4"/>
  <c r="LY19" i="4"/>
  <c r="LZ19" i="4"/>
  <c r="MB19" i="4"/>
  <c r="AK20" i="4"/>
  <c r="AL20" i="4"/>
  <c r="AM20" i="4"/>
  <c r="AO20" i="4"/>
  <c r="BG20" i="4"/>
  <c r="BH20" i="4"/>
  <c r="BI20" i="4"/>
  <c r="BK20" i="4"/>
  <c r="CC20" i="4"/>
  <c r="CD20" i="4"/>
  <c r="CE20" i="4"/>
  <c r="CG20" i="4"/>
  <c r="LX20" i="4"/>
  <c r="LY20" i="4"/>
  <c r="LZ20" i="4"/>
  <c r="MB20" i="4"/>
  <c r="H14" i="6" l="1"/>
  <c r="RH14" i="6"/>
  <c r="F14" i="6"/>
  <c r="G14" i="6"/>
  <c r="H16" i="6"/>
  <c r="F16" i="6"/>
  <c r="G16" i="6"/>
  <c r="I16" i="6" s="1"/>
  <c r="AN20" i="4"/>
  <c r="AP20" i="4" s="1"/>
  <c r="F20" i="4"/>
  <c r="G20" i="4"/>
  <c r="F18" i="4"/>
  <c r="G18" i="4"/>
  <c r="BJ19" i="4"/>
  <c r="BL19" i="4" s="1"/>
  <c r="F19" i="4"/>
  <c r="G19" i="4"/>
  <c r="G14" i="4"/>
  <c r="F14" i="4"/>
  <c r="MA18" i="4"/>
  <c r="F9" i="7"/>
  <c r="G9" i="7"/>
  <c r="G5" i="7"/>
  <c r="F5" i="7"/>
  <c r="NE5" i="7"/>
  <c r="NG5" i="7" s="1"/>
  <c r="CL5" i="7"/>
  <c r="CN5" i="7" s="1"/>
  <c r="MA19" i="4"/>
  <c r="MC19" i="4" s="1"/>
  <c r="AN14" i="4"/>
  <c r="AY14" i="6"/>
  <c r="CD16" i="6"/>
  <c r="CD14" i="6"/>
  <c r="RH16" i="6"/>
  <c r="AN19" i="4"/>
  <c r="BJ20" i="4"/>
  <c r="BL20" i="4" s="1"/>
  <c r="P18" i="4"/>
  <c r="Q18" i="4" s="1"/>
  <c r="NE9" i="7"/>
  <c r="NG9" i="7" s="1"/>
  <c r="AP9" i="7"/>
  <c r="DI14" i="6"/>
  <c r="P14" i="6"/>
  <c r="Q14" i="6" s="1"/>
  <c r="DI16" i="6"/>
  <c r="P16" i="6"/>
  <c r="DL16" i="6" s="1"/>
  <c r="BN9" i="7"/>
  <c r="P9" i="7"/>
  <c r="Q9" i="7" s="1"/>
  <c r="P5" i="7"/>
  <c r="CQ5" i="7" s="1"/>
  <c r="BN5" i="7"/>
  <c r="BP5" i="7" s="1"/>
  <c r="MA20" i="4"/>
  <c r="MC20" i="4" s="1"/>
  <c r="MA14" i="4"/>
  <c r="MC14" i="4" s="1"/>
  <c r="BJ14" i="4"/>
  <c r="BL14" i="4" s="1"/>
  <c r="AN18" i="4"/>
  <c r="MC18" i="4"/>
  <c r="P14" i="4"/>
  <c r="Q14" i="4" s="1"/>
  <c r="P19" i="4"/>
  <c r="Q19" i="4" s="1"/>
  <c r="BJ18" i="4"/>
  <c r="BL18" i="4" s="1"/>
  <c r="CL9" i="7"/>
  <c r="CN9" i="7" s="1"/>
  <c r="AP5" i="7"/>
  <c r="J14" i="6"/>
  <c r="N14" i="6" s="1"/>
  <c r="AY16" i="6"/>
  <c r="J16" i="6"/>
  <c r="N16" i="6" s="1"/>
  <c r="CF20" i="4"/>
  <c r="CH20" i="4" s="1"/>
  <c r="CF19" i="4"/>
  <c r="CH19" i="4" s="1"/>
  <c r="CF18" i="4"/>
  <c r="CH18" i="4" s="1"/>
  <c r="CF14" i="4"/>
  <c r="CH14" i="4" s="1"/>
  <c r="P20" i="4"/>
  <c r="H5" i="7" l="1"/>
  <c r="I14" i="6"/>
  <c r="AP19" i="4"/>
  <c r="H19" i="4"/>
  <c r="AP14" i="4"/>
  <c r="H14" i="4"/>
  <c r="A14" i="4" s="1"/>
  <c r="AP18" i="4"/>
  <c r="H18" i="4"/>
  <c r="A18" i="4" s="1"/>
  <c r="H20" i="4"/>
  <c r="A20" i="4" s="1"/>
  <c r="I5" i="7"/>
  <c r="I9" i="7"/>
  <c r="AR9" i="7"/>
  <c r="H9" i="7"/>
  <c r="J9" i="7"/>
  <c r="N9" i="7" s="1"/>
  <c r="CK18" i="4"/>
  <c r="CK19" i="4"/>
  <c r="A19" i="4"/>
  <c r="CQ9" i="7"/>
  <c r="CK14" i="4"/>
  <c r="BP9" i="7"/>
  <c r="DL14" i="6"/>
  <c r="Q16" i="6"/>
  <c r="Q5" i="7"/>
  <c r="J5" i="7"/>
  <c r="L5" i="7" s="1"/>
  <c r="AR5" i="7"/>
  <c r="J19" i="4"/>
  <c r="N19" i="4" s="1"/>
  <c r="J18" i="4"/>
  <c r="N18" i="4" s="1"/>
  <c r="J20" i="4"/>
  <c r="K20" i="4" s="1"/>
  <c r="A16" i="6"/>
  <c r="L14" i="6"/>
  <c r="K14" i="6"/>
  <c r="O14" i="6"/>
  <c r="DK14" i="6"/>
  <c r="L16" i="6"/>
  <c r="K16" i="6"/>
  <c r="O16" i="6"/>
  <c r="DK16" i="6"/>
  <c r="J14" i="4"/>
  <c r="L14" i="4" s="1"/>
  <c r="Q20" i="4"/>
  <c r="CK20" i="4"/>
  <c r="L9" i="7" l="1"/>
  <c r="CO9" i="7" s="1"/>
  <c r="K9" i="7"/>
  <c r="O9" i="7" s="1"/>
  <c r="L19" i="4"/>
  <c r="N14" i="4"/>
  <c r="K19" i="4"/>
  <c r="O19" i="4" s="1"/>
  <c r="N5" i="7"/>
  <c r="K5" i="7"/>
  <c r="M5" i="7" s="1"/>
  <c r="L18" i="4"/>
  <c r="K18" i="4"/>
  <c r="O18" i="4" s="1"/>
  <c r="N20" i="4"/>
  <c r="O20" i="4" s="1"/>
  <c r="L20" i="4"/>
  <c r="CP9" i="7"/>
  <c r="CO5" i="7"/>
  <c r="M14" i="6"/>
  <c r="DJ14" i="6"/>
  <c r="R14" i="6" s="1"/>
  <c r="M16" i="6"/>
  <c r="DJ16" i="6"/>
  <c r="R16" i="6" s="1"/>
  <c r="K14" i="4"/>
  <c r="M14" i="4" s="1"/>
  <c r="CJ19" i="4"/>
  <c r="CJ14" i="4"/>
  <c r="CJ18" i="4"/>
  <c r="CI14" i="4"/>
  <c r="M9" i="7" l="1"/>
  <c r="O5" i="7"/>
  <c r="O14" i="4"/>
  <c r="CI20" i="4"/>
  <c r="M20" i="4"/>
  <c r="M19" i="4"/>
  <c r="CI18" i="4"/>
  <c r="R18" i="4" s="1"/>
  <c r="M18" i="4"/>
  <c r="CI19" i="4"/>
  <c r="R19" i="4" s="1"/>
  <c r="CP5" i="7"/>
  <c r="R5" i="7" s="1"/>
  <c r="CJ20" i="4"/>
  <c r="R9" i="7"/>
  <c r="E14" i="6"/>
  <c r="A14" i="6" s="1"/>
  <c r="T14" i="6"/>
  <c r="S14" i="6"/>
  <c r="S16" i="6"/>
  <c r="T16" i="6"/>
  <c r="E16" i="6"/>
  <c r="R14" i="4"/>
  <c r="E14" i="4" l="1"/>
  <c r="E18" i="4"/>
  <c r="R20" i="4"/>
  <c r="S20" i="4" s="1"/>
  <c r="T5" i="7"/>
  <c r="S5" i="7"/>
  <c r="S9" i="7"/>
  <c r="T9" i="7"/>
  <c r="E9" i="7"/>
  <c r="E5" i="7"/>
  <c r="T18" i="4"/>
  <c r="S18" i="4"/>
  <c r="S14" i="4"/>
  <c r="T14" i="4"/>
  <c r="S19" i="4"/>
  <c r="T19" i="4"/>
  <c r="E19" i="4"/>
  <c r="E20" i="4" l="1"/>
  <c r="T20" i="4"/>
  <c r="AK21" i="4"/>
  <c r="AL21" i="4"/>
  <c r="AM21" i="4"/>
  <c r="AO21" i="4"/>
  <c r="BG21" i="4"/>
  <c r="BH21" i="4"/>
  <c r="BI21" i="4"/>
  <c r="BK21" i="4"/>
  <c r="CC21" i="4"/>
  <c r="CD21" i="4"/>
  <c r="CE21" i="4"/>
  <c r="CG21" i="4"/>
  <c r="LX21" i="4"/>
  <c r="LY21" i="4"/>
  <c r="LZ21" i="4"/>
  <c r="MB21" i="4"/>
  <c r="AK15" i="2"/>
  <c r="AL15" i="2"/>
  <c r="AM15" i="2"/>
  <c r="AO15" i="2"/>
  <c r="BG15" i="2"/>
  <c r="BH15" i="2"/>
  <c r="BI15" i="2"/>
  <c r="BK15" i="2"/>
  <c r="CC15" i="2"/>
  <c r="CD15" i="2"/>
  <c r="CE15" i="2"/>
  <c r="CG15" i="2"/>
  <c r="LX15" i="2"/>
  <c r="LY15" i="2"/>
  <c r="LZ15" i="2"/>
  <c r="MB15" i="2"/>
  <c r="BH22" i="2"/>
  <c r="BH27" i="4"/>
  <c r="G15" i="2" l="1"/>
  <c r="F15" i="2"/>
  <c r="F21" i="4"/>
  <c r="G21" i="4"/>
  <c r="BJ15" i="2"/>
  <c r="AN21" i="4"/>
  <c r="AP21" i="4" s="1"/>
  <c r="MA21" i="4"/>
  <c r="MC21" i="4" s="1"/>
  <c r="AN15" i="2"/>
  <c r="MA15" i="2"/>
  <c r="MC15" i="2" s="1"/>
  <c r="CF21" i="4"/>
  <c r="CH21" i="4" s="1"/>
  <c r="BJ21" i="4"/>
  <c r="BL21" i="4" s="1"/>
  <c r="P21" i="4"/>
  <c r="Q21" i="4" s="1"/>
  <c r="CF15" i="2"/>
  <c r="CH15" i="2" s="1"/>
  <c r="P15" i="2"/>
  <c r="CK15" i="2" s="1"/>
  <c r="BL15" i="2"/>
  <c r="AP15" i="2" l="1"/>
  <c r="H15" i="2"/>
  <c r="A15" i="2" s="1"/>
  <c r="H21" i="4"/>
  <c r="A21" i="4" s="1"/>
  <c r="Q15" i="2"/>
  <c r="CK21" i="4"/>
  <c r="J21" i="4"/>
  <c r="L21" i="4" s="1"/>
  <c r="J15" i="2"/>
  <c r="L15" i="2" s="1"/>
  <c r="LY22" i="2"/>
  <c r="LY27" i="4"/>
  <c r="N21" i="4" l="1"/>
  <c r="K21" i="4"/>
  <c r="M21" i="4" s="1"/>
  <c r="CI21" i="4"/>
  <c r="K15" i="2"/>
  <c r="M15" i="2" s="1"/>
  <c r="N15" i="2"/>
  <c r="CI15" i="2"/>
  <c r="O15" i="2" l="1"/>
  <c r="O21" i="4"/>
  <c r="CJ21" i="4"/>
  <c r="R21" i="4" s="1"/>
  <c r="CJ15" i="2"/>
  <c r="R15" i="2" s="1"/>
  <c r="NF7" i="7"/>
  <c r="ND7" i="7"/>
  <c r="NC7" i="7"/>
  <c r="NB7" i="7"/>
  <c r="NA7" i="7"/>
  <c r="CM7" i="7"/>
  <c r="CK7" i="7"/>
  <c r="CJ7" i="7"/>
  <c r="CI7" i="7"/>
  <c r="CH7" i="7"/>
  <c r="BO7" i="7"/>
  <c r="BM7" i="7"/>
  <c r="BL7" i="7"/>
  <c r="BK7" i="7"/>
  <c r="BJ7" i="7"/>
  <c r="AQ7" i="7"/>
  <c r="AO7" i="7"/>
  <c r="AN7" i="7"/>
  <c r="AM7" i="7"/>
  <c r="AL7" i="7"/>
  <c r="NF4" i="7"/>
  <c r="ND4" i="7"/>
  <c r="NC4" i="7"/>
  <c r="NB4" i="7"/>
  <c r="NA4" i="7"/>
  <c r="CM4" i="7"/>
  <c r="CK4" i="7"/>
  <c r="CJ4" i="7"/>
  <c r="CI4" i="7"/>
  <c r="CH4" i="7"/>
  <c r="BO4" i="7"/>
  <c r="BM4" i="7"/>
  <c r="BL4" i="7"/>
  <c r="BK4" i="7"/>
  <c r="BJ4" i="7"/>
  <c r="AQ4" i="7"/>
  <c r="AO4" i="7"/>
  <c r="AN4" i="7"/>
  <c r="AM4" i="7"/>
  <c r="AL4" i="7"/>
  <c r="NF4" i="8"/>
  <c r="ND4" i="8"/>
  <c r="NC4" i="8"/>
  <c r="NB4" i="8"/>
  <c r="NA4" i="8"/>
  <c r="CM4" i="8"/>
  <c r="CK4" i="8"/>
  <c r="CJ4" i="8"/>
  <c r="CI4" i="8"/>
  <c r="CH4" i="8"/>
  <c r="BO4" i="8"/>
  <c r="BM4" i="8"/>
  <c r="BL4" i="8"/>
  <c r="BK4" i="8"/>
  <c r="BJ4" i="8"/>
  <c r="AQ4" i="8"/>
  <c r="AO4" i="8"/>
  <c r="AN4" i="8"/>
  <c r="AM4" i="8"/>
  <c r="AL4" i="8"/>
  <c r="NF5" i="8"/>
  <c r="ND5" i="8"/>
  <c r="NC5" i="8"/>
  <c r="NB5" i="8"/>
  <c r="NA5" i="8"/>
  <c r="CM5" i="8"/>
  <c r="CK5" i="8"/>
  <c r="CJ5" i="8"/>
  <c r="CI5" i="8"/>
  <c r="CH5" i="8"/>
  <c r="BO5" i="8"/>
  <c r="BM5" i="8"/>
  <c r="BL5" i="8"/>
  <c r="BK5" i="8"/>
  <c r="BJ5" i="8"/>
  <c r="AQ5" i="8"/>
  <c r="AO5" i="8"/>
  <c r="AN5" i="8"/>
  <c r="AM5" i="8"/>
  <c r="AL5" i="8"/>
  <c r="DD7" i="6"/>
  <c r="E15" i="2" l="1"/>
  <c r="E21" i="4"/>
  <c r="F5" i="8"/>
  <c r="G5" i="8"/>
  <c r="F4" i="8"/>
  <c r="G4" i="8"/>
  <c r="G7" i="7"/>
  <c r="F7" i="7"/>
  <c r="G4" i="7"/>
  <c r="F4" i="7"/>
  <c r="NE5" i="8"/>
  <c r="S21" i="4"/>
  <c r="T21" i="4"/>
  <c r="S15" i="2"/>
  <c r="T15" i="2"/>
  <c r="NE7" i="7"/>
  <c r="NG7" i="7" s="1"/>
  <c r="NE4" i="7"/>
  <c r="NG4" i="7" s="1"/>
  <c r="BN5" i="8"/>
  <c r="BP5" i="8" s="1"/>
  <c r="NG5" i="8"/>
  <c r="AP5" i="8"/>
  <c r="NE4" i="8"/>
  <c r="NG4" i="8" s="1"/>
  <c r="AP4" i="7"/>
  <c r="AP7" i="7"/>
  <c r="P7" i="7"/>
  <c r="CQ7" i="7" s="1"/>
  <c r="BN7" i="7"/>
  <c r="BP7" i="7" s="1"/>
  <c r="BN4" i="7"/>
  <c r="BP4" i="7" s="1"/>
  <c r="CL7" i="7"/>
  <c r="CN7" i="7" s="1"/>
  <c r="CL4" i="7"/>
  <c r="CN4" i="7" s="1"/>
  <c r="P4" i="7"/>
  <c r="Q4" i="7" s="1"/>
  <c r="AP4" i="8"/>
  <c r="P4" i="8"/>
  <c r="CQ4" i="8" s="1"/>
  <c r="BN4" i="8"/>
  <c r="BP4" i="8" s="1"/>
  <c r="CL4" i="8"/>
  <c r="CN4" i="8" s="1"/>
  <c r="CL5" i="8"/>
  <c r="CN5" i="8" s="1"/>
  <c r="P5" i="8"/>
  <c r="CQ5" i="8" s="1"/>
  <c r="AR5" i="8" l="1"/>
  <c r="H5" i="8"/>
  <c r="I4" i="8"/>
  <c r="H4" i="8"/>
  <c r="I5" i="8"/>
  <c r="AR4" i="7"/>
  <c r="H4" i="7"/>
  <c r="I4" i="7"/>
  <c r="AR7" i="7"/>
  <c r="H7" i="7"/>
  <c r="I7" i="7"/>
  <c r="Q5" i="8"/>
  <c r="CQ4" i="7"/>
  <c r="AR4" i="8"/>
  <c r="J5" i="8"/>
  <c r="K5" i="8" s="1"/>
  <c r="J4" i="8"/>
  <c r="L4" i="8" s="1"/>
  <c r="J7" i="7"/>
  <c r="L7" i="7" s="1"/>
  <c r="Q7" i="7"/>
  <c r="J4" i="7"/>
  <c r="K4" i="7" s="1"/>
  <c r="Q4" i="8"/>
  <c r="L5" i="8" l="1"/>
  <c r="M5" i="8" s="1"/>
  <c r="N4" i="8"/>
  <c r="N5" i="8"/>
  <c r="N7" i="7"/>
  <c r="K7" i="7"/>
  <c r="M7" i="7" s="1"/>
  <c r="K4" i="8"/>
  <c r="M4" i="8" s="1"/>
  <c r="N4" i="7"/>
  <c r="O4" i="7" s="1"/>
  <c r="L4" i="7"/>
  <c r="M4" i="7" s="1"/>
  <c r="CO7" i="7"/>
  <c r="CO4" i="8"/>
  <c r="O7" i="7" l="1"/>
  <c r="CP5" i="8"/>
  <c r="O5" i="8"/>
  <c r="O4" i="8"/>
  <c r="CO5" i="8"/>
  <c r="CP4" i="8"/>
  <c r="R4" i="8" s="1"/>
  <c r="S4" i="8" s="1"/>
  <c r="CP7" i="7"/>
  <c r="R7" i="7" s="1"/>
  <c r="CP4" i="7"/>
  <c r="CO4" i="7"/>
  <c r="R5" i="8" l="1"/>
  <c r="E5" i="8" s="1"/>
  <c r="R4" i="7"/>
  <c r="E4" i="7" s="1"/>
  <c r="S7" i="7"/>
  <c r="T7" i="7"/>
  <c r="E7" i="7"/>
  <c r="E4" i="8"/>
  <c r="T4" i="8"/>
  <c r="S5" i="8" l="1"/>
  <c r="T5" i="8"/>
  <c r="S4" i="7"/>
  <c r="T4" i="7"/>
  <c r="MB5" i="2"/>
  <c r="LZ5" i="2"/>
  <c r="LY5" i="2"/>
  <c r="LX5" i="2"/>
  <c r="CG5" i="2"/>
  <c r="CE5" i="2"/>
  <c r="CD5" i="2"/>
  <c r="CC5" i="2"/>
  <c r="BK5" i="2"/>
  <c r="BI5" i="2"/>
  <c r="BH5" i="2"/>
  <c r="BG5" i="2"/>
  <c r="AO5" i="2"/>
  <c r="AM5" i="2"/>
  <c r="AL5" i="2"/>
  <c r="AK5" i="2"/>
  <c r="MB9" i="2"/>
  <c r="LZ9" i="2"/>
  <c r="LY9" i="2"/>
  <c r="LX9" i="2"/>
  <c r="CG9" i="2"/>
  <c r="CE9" i="2"/>
  <c r="CD9" i="2"/>
  <c r="CC9" i="2"/>
  <c r="BK9" i="2"/>
  <c r="BI9" i="2"/>
  <c r="BH9" i="2"/>
  <c r="BG9" i="2"/>
  <c r="AO9" i="2"/>
  <c r="AM9" i="2"/>
  <c r="AL9" i="2"/>
  <c r="AK9" i="2"/>
  <c r="MB8" i="2"/>
  <c r="LZ8" i="2"/>
  <c r="LY8" i="2"/>
  <c r="LX8" i="2"/>
  <c r="CG8" i="2"/>
  <c r="CE8" i="2"/>
  <c r="CD8" i="2"/>
  <c r="CC8" i="2"/>
  <c r="BI8" i="2"/>
  <c r="BH8" i="2"/>
  <c r="BG8" i="2"/>
  <c r="AO8" i="2"/>
  <c r="AM8" i="2"/>
  <c r="AL8" i="2"/>
  <c r="AK8" i="2"/>
  <c r="MB10" i="2"/>
  <c r="LZ10" i="2"/>
  <c r="LY10" i="2"/>
  <c r="LX10" i="2"/>
  <c r="CG10" i="2"/>
  <c r="CE10" i="2"/>
  <c r="CD10" i="2"/>
  <c r="BK10" i="2"/>
  <c r="BI10" i="2"/>
  <c r="BH10" i="2"/>
  <c r="BG10" i="2"/>
  <c r="AO10" i="2"/>
  <c r="AM10" i="2"/>
  <c r="AL10" i="2"/>
  <c r="AK10" i="2"/>
  <c r="MB7" i="2"/>
  <c r="LZ7" i="2"/>
  <c r="LY7" i="2"/>
  <c r="MA7" i="2" s="1"/>
  <c r="LX7" i="2"/>
  <c r="CG7" i="2"/>
  <c r="CE7" i="2"/>
  <c r="CD7" i="2"/>
  <c r="CC7" i="2"/>
  <c r="BK7" i="2"/>
  <c r="BI7" i="2"/>
  <c r="BH7" i="2"/>
  <c r="BG7" i="2"/>
  <c r="AO7" i="2"/>
  <c r="AM7" i="2"/>
  <c r="AL7" i="2"/>
  <c r="AK7" i="2"/>
  <c r="MB12" i="2"/>
  <c r="LZ12" i="2"/>
  <c r="LY12" i="2"/>
  <c r="LX12" i="2"/>
  <c r="CG12" i="2"/>
  <c r="CE12" i="2"/>
  <c r="CD12" i="2"/>
  <c r="CC12" i="2"/>
  <c r="BK12" i="2"/>
  <c r="BI12" i="2"/>
  <c r="BH12" i="2"/>
  <c r="BG12" i="2"/>
  <c r="AO12" i="2"/>
  <c r="AM12" i="2"/>
  <c r="AL12" i="2"/>
  <c r="AK12" i="2"/>
  <c r="MB6" i="2"/>
  <c r="LZ6" i="2"/>
  <c r="LY6" i="2"/>
  <c r="MA6" i="2" s="1"/>
  <c r="LX6" i="2"/>
  <c r="CG6" i="2"/>
  <c r="CE6" i="2"/>
  <c r="CD6" i="2"/>
  <c r="CC6" i="2"/>
  <c r="BK6" i="2"/>
  <c r="BI6" i="2"/>
  <c r="BH6" i="2"/>
  <c r="BG6" i="2"/>
  <c r="AO6" i="2"/>
  <c r="AM6" i="2"/>
  <c r="AL6" i="2"/>
  <c r="AK6" i="2"/>
  <c r="MB13" i="2"/>
  <c r="LZ13" i="2"/>
  <c r="LY13" i="2"/>
  <c r="LX13" i="2"/>
  <c r="CG13" i="2"/>
  <c r="CE13" i="2"/>
  <c r="CD13" i="2"/>
  <c r="CC13" i="2"/>
  <c r="BK13" i="2"/>
  <c r="BI13" i="2"/>
  <c r="BH13" i="2"/>
  <c r="BG13" i="2"/>
  <c r="AO13" i="2"/>
  <c r="AM13" i="2"/>
  <c r="AL13" i="2"/>
  <c r="AK13" i="2"/>
  <c r="AN7" i="2" l="1"/>
  <c r="G5" i="2"/>
  <c r="F5" i="2"/>
  <c r="G13" i="2"/>
  <c r="F13" i="2"/>
  <c r="F8" i="2"/>
  <c r="G8" i="2"/>
  <c r="F6" i="2"/>
  <c r="G6" i="2"/>
  <c r="G12" i="2"/>
  <c r="F12" i="2"/>
  <c r="G10" i="2"/>
  <c r="F10" i="2"/>
  <c r="G7" i="2"/>
  <c r="F7" i="2"/>
  <c r="G9" i="2"/>
  <c r="F9" i="2"/>
  <c r="AN8" i="2"/>
  <c r="MA8" i="2"/>
  <c r="MC8" i="2" s="1"/>
  <c r="AN5" i="2"/>
  <c r="MA5" i="2"/>
  <c r="MC5" i="2" s="1"/>
  <c r="CF5" i="2"/>
  <c r="CH5" i="2" s="1"/>
  <c r="CF8" i="2"/>
  <c r="CH8" i="2" s="1"/>
  <c r="MA13" i="2"/>
  <c r="MC13" i="2" s="1"/>
  <c r="AN12" i="2"/>
  <c r="MA12" i="2"/>
  <c r="MC12" i="2" s="1"/>
  <c r="MA10" i="2"/>
  <c r="MC10" i="2" s="1"/>
  <c r="MA9" i="2"/>
  <c r="MC9" i="2" s="1"/>
  <c r="BJ12" i="2"/>
  <c r="BL12" i="2" s="1"/>
  <c r="BJ5" i="2"/>
  <c r="BL5" i="2" s="1"/>
  <c r="BJ9" i="2"/>
  <c r="BL9" i="2" s="1"/>
  <c r="BJ8" i="2"/>
  <c r="BL8" i="2" s="1"/>
  <c r="BJ10" i="2"/>
  <c r="BL10" i="2" s="1"/>
  <c r="BJ7" i="2"/>
  <c r="BL7" i="2" s="1"/>
  <c r="BJ13" i="2"/>
  <c r="BJ6" i="2"/>
  <c r="BL6" i="2" s="1"/>
  <c r="AN10" i="2"/>
  <c r="AN9" i="2"/>
  <c r="AN13" i="2"/>
  <c r="AN6" i="2"/>
  <c r="CF12" i="2"/>
  <c r="CH12" i="2" s="1"/>
  <c r="CF7" i="2"/>
  <c r="CH7" i="2" s="1"/>
  <c r="CF10" i="2"/>
  <c r="CH10" i="2" s="1"/>
  <c r="CF9" i="2"/>
  <c r="CH9" i="2" s="1"/>
  <c r="CF13" i="2"/>
  <c r="CH13" i="2" s="1"/>
  <c r="CF6" i="2"/>
  <c r="CH6" i="2" s="1"/>
  <c r="P7" i="2"/>
  <c r="CK7" i="2" s="1"/>
  <c r="P5" i="2"/>
  <c r="CK5" i="2" s="1"/>
  <c r="P8" i="2"/>
  <c r="CK8" i="2" s="1"/>
  <c r="MC6" i="2"/>
  <c r="MC7" i="2"/>
  <c r="P12" i="2"/>
  <c r="CK12" i="2" s="1"/>
  <c r="P13" i="2"/>
  <c r="CK13" i="2" s="1"/>
  <c r="P6" i="2"/>
  <c r="CK6" i="2" s="1"/>
  <c r="P10" i="2"/>
  <c r="Q10" i="2" s="1"/>
  <c r="P9" i="2"/>
  <c r="CK9" i="2" s="1"/>
  <c r="AP5" i="2"/>
  <c r="AP8" i="2"/>
  <c r="AP7" i="2"/>
  <c r="MB9" i="4"/>
  <c r="LZ9" i="4"/>
  <c r="LY9" i="4"/>
  <c r="LX9" i="4"/>
  <c r="CG9" i="4"/>
  <c r="CE9" i="4"/>
  <c r="CD9" i="4"/>
  <c r="CC9" i="4"/>
  <c r="BK9" i="4"/>
  <c r="BI9" i="4"/>
  <c r="BH9" i="4"/>
  <c r="BG9" i="4"/>
  <c r="AO9" i="4"/>
  <c r="AM9" i="4"/>
  <c r="AL9" i="4"/>
  <c r="AK9" i="4"/>
  <c r="MB12" i="4"/>
  <c r="LZ12" i="4"/>
  <c r="LY12" i="4"/>
  <c r="LX12" i="4"/>
  <c r="CG12" i="4"/>
  <c r="CE12" i="4"/>
  <c r="CD12" i="4"/>
  <c r="CC12" i="4"/>
  <c r="BK12" i="4"/>
  <c r="BI12" i="4"/>
  <c r="BH12" i="4"/>
  <c r="BG12" i="4"/>
  <c r="AO12" i="4"/>
  <c r="AM12" i="4"/>
  <c r="AL12" i="4"/>
  <c r="AK12" i="4"/>
  <c r="MB13" i="4"/>
  <c r="LZ13" i="4"/>
  <c r="LY13" i="4"/>
  <c r="LX13" i="4"/>
  <c r="CG13" i="4"/>
  <c r="CE13" i="4"/>
  <c r="CD13" i="4"/>
  <c r="CC13" i="4"/>
  <c r="BK13" i="4"/>
  <c r="BI13" i="4"/>
  <c r="BH13" i="4"/>
  <c r="BG13" i="4"/>
  <c r="AO13" i="4"/>
  <c r="AM13" i="4"/>
  <c r="AL13" i="4"/>
  <c r="AK13" i="4"/>
  <c r="H5" i="2" l="1"/>
  <c r="AP12" i="2"/>
  <c r="H12" i="2"/>
  <c r="A12" i="2" s="1"/>
  <c r="H6" i="2"/>
  <c r="AP13" i="2"/>
  <c r="H13" i="2"/>
  <c r="AP9" i="2"/>
  <c r="H9" i="2"/>
  <c r="A9" i="2" s="1"/>
  <c r="H8" i="2"/>
  <c r="A8" i="2" s="1"/>
  <c r="AP10" i="2"/>
  <c r="H10" i="2"/>
  <c r="A10" i="2" s="1"/>
  <c r="H7" i="2"/>
  <c r="F12" i="4"/>
  <c r="G12" i="4"/>
  <c r="F13" i="4"/>
  <c r="G13" i="4"/>
  <c r="F9" i="4"/>
  <c r="G9" i="4"/>
  <c r="J5" i="2"/>
  <c r="L5" i="2" s="1"/>
  <c r="BJ13" i="4"/>
  <c r="BL13" i="4" s="1"/>
  <c r="AN12" i="4"/>
  <c r="CF12" i="4"/>
  <c r="CH12" i="4" s="1"/>
  <c r="MA12" i="4"/>
  <c r="MC12" i="4" s="1"/>
  <c r="BJ9" i="4"/>
  <c r="BL9" i="4" s="1"/>
  <c r="J13" i="2"/>
  <c r="K13" i="2" s="1"/>
  <c r="AN13" i="4"/>
  <c r="CF13" i="4"/>
  <c r="CH13" i="4" s="1"/>
  <c r="AN9" i="4"/>
  <c r="MA13" i="4"/>
  <c r="MC13" i="4" s="1"/>
  <c r="BJ12" i="4"/>
  <c r="BL12" i="4" s="1"/>
  <c r="P13" i="4"/>
  <c r="Q13" i="4" s="1"/>
  <c r="J12" i="2"/>
  <c r="K12" i="2" s="1"/>
  <c r="Q12" i="2"/>
  <c r="AP6" i="2"/>
  <c r="BL13" i="2"/>
  <c r="J10" i="2"/>
  <c r="L10" i="2" s="1"/>
  <c r="J6" i="2"/>
  <c r="L6" i="2" s="1"/>
  <c r="J9" i="2"/>
  <c r="N9" i="2" s="1"/>
  <c r="J7" i="2"/>
  <c r="N7" i="2" s="1"/>
  <c r="J8" i="2"/>
  <c r="N8" i="2" s="1"/>
  <c r="Q5" i="2"/>
  <c r="Q7" i="2"/>
  <c r="Q8" i="2"/>
  <c r="Q13" i="2"/>
  <c r="Q9" i="2"/>
  <c r="CK10" i="2"/>
  <c r="Q6" i="2"/>
  <c r="CF9" i="4"/>
  <c r="CH9" i="4" s="1"/>
  <c r="MA9" i="4"/>
  <c r="MC9" i="4" s="1"/>
  <c r="P9" i="4"/>
  <c r="CK9" i="4" s="1"/>
  <c r="P12" i="4"/>
  <c r="CK12" i="4" s="1"/>
  <c r="K5" i="2" l="1"/>
  <c r="M5" i="2" s="1"/>
  <c r="N12" i="2"/>
  <c r="O12" i="2" s="1"/>
  <c r="N5" i="2"/>
  <c r="O5" i="2" s="1"/>
  <c r="AP13" i="4"/>
  <c r="H13" i="4"/>
  <c r="A13" i="4" s="1"/>
  <c r="AP9" i="4"/>
  <c r="H9" i="4"/>
  <c r="A9" i="4" s="1"/>
  <c r="AP12" i="4"/>
  <c r="H12" i="4"/>
  <c r="A12" i="4" s="1"/>
  <c r="L12" i="2"/>
  <c r="M12" i="2" s="1"/>
  <c r="L13" i="2"/>
  <c r="N13" i="2"/>
  <c r="J13" i="4"/>
  <c r="L13" i="4" s="1"/>
  <c r="CK13" i="4"/>
  <c r="J12" i="4"/>
  <c r="N12" i="4" s="1"/>
  <c r="N10" i="2"/>
  <c r="K10" i="2"/>
  <c r="M10" i="2" s="1"/>
  <c r="N6" i="2"/>
  <c r="L8" i="2"/>
  <c r="K8" i="2"/>
  <c r="O8" i="2" s="1"/>
  <c r="K9" i="2"/>
  <c r="O9" i="2" s="1"/>
  <c r="L9" i="2"/>
  <c r="M9" i="2" s="1"/>
  <c r="L7" i="2"/>
  <c r="K7" i="2"/>
  <c r="O7" i="2" s="1"/>
  <c r="K6" i="2"/>
  <c r="M6" i="2" s="1"/>
  <c r="J9" i="4"/>
  <c r="L9" i="4" s="1"/>
  <c r="CJ5" i="2"/>
  <c r="CI5" i="2"/>
  <c r="CJ9" i="2"/>
  <c r="CJ8" i="2"/>
  <c r="CI10" i="2"/>
  <c r="CJ7" i="2"/>
  <c r="CI6" i="2"/>
  <c r="Q12" i="4"/>
  <c r="Q9" i="4"/>
  <c r="CI12" i="2" l="1"/>
  <c r="CJ10" i="2"/>
  <c r="R10" i="2" s="1"/>
  <c r="O10" i="2"/>
  <c r="M7" i="2"/>
  <c r="CJ12" i="2"/>
  <c r="CJ6" i="2"/>
  <c r="R6" i="2" s="1"/>
  <c r="O6" i="2"/>
  <c r="CI8" i="2"/>
  <c r="R8" i="2" s="1"/>
  <c r="M8" i="2"/>
  <c r="CJ13" i="2"/>
  <c r="O13" i="2"/>
  <c r="CI13" i="2"/>
  <c r="M13" i="2"/>
  <c r="K13" i="4"/>
  <c r="M13" i="4" s="1"/>
  <c r="N13" i="4"/>
  <c r="CJ13" i="4" s="1"/>
  <c r="L12" i="4"/>
  <c r="K12" i="4"/>
  <c r="O12" i="4" s="1"/>
  <c r="CI9" i="2"/>
  <c r="R9" i="2" s="1"/>
  <c r="N9" i="4"/>
  <c r="K9" i="4"/>
  <c r="M9" i="4" s="1"/>
  <c r="CI7" i="2"/>
  <c r="R7" i="2" s="1"/>
  <c r="R5" i="2"/>
  <c r="CI9" i="4"/>
  <c r="CJ12" i="4"/>
  <c r="CI13" i="4"/>
  <c r="R12" i="2" l="1"/>
  <c r="S12" i="2" s="1"/>
  <c r="M12" i="4"/>
  <c r="O9" i="4"/>
  <c r="O13" i="4"/>
  <c r="R13" i="2"/>
  <c r="S13" i="2" s="1"/>
  <c r="CI12" i="4"/>
  <c r="R12" i="4" s="1"/>
  <c r="CJ9" i="4"/>
  <c r="R9" i="4" s="1"/>
  <c r="S9" i="4" s="1"/>
  <c r="R13" i="4"/>
  <c r="T13" i="4" s="1"/>
  <c r="S5" i="2"/>
  <c r="T5" i="2"/>
  <c r="E5" i="2"/>
  <c r="S9" i="2"/>
  <c r="T9" i="2"/>
  <c r="E9" i="2"/>
  <c r="T8" i="2"/>
  <c r="S8" i="2"/>
  <c r="E8" i="2"/>
  <c r="T10" i="2"/>
  <c r="S10" i="2"/>
  <c r="E10" i="2"/>
  <c r="S7" i="2"/>
  <c r="T7" i="2"/>
  <c r="E7" i="2"/>
  <c r="S6" i="2"/>
  <c r="T6" i="2"/>
  <c r="E6" i="2"/>
  <c r="T12" i="2" l="1"/>
  <c r="E12" i="2"/>
  <c r="T13" i="2"/>
  <c r="E13" i="2"/>
  <c r="E9" i="4"/>
  <c r="T9" i="4"/>
  <c r="S13" i="4"/>
  <c r="E13" i="4"/>
  <c r="T12" i="4"/>
  <c r="S12" i="4"/>
  <c r="E12" i="4"/>
  <c r="CD27" i="4" l="1"/>
  <c r="AL27" i="4"/>
  <c r="CD22" i="2"/>
  <c r="AL22" i="2"/>
  <c r="I15" i="2" l="1"/>
  <c r="I13" i="2"/>
  <c r="I7" i="2"/>
  <c r="I6" i="2"/>
  <c r="I9" i="2"/>
  <c r="I12" i="2"/>
  <c r="I10" i="2"/>
  <c r="I8" i="2"/>
  <c r="I5" i="2"/>
  <c r="I19" i="4"/>
  <c r="I20" i="4"/>
  <c r="I18" i="4"/>
  <c r="I14" i="4"/>
  <c r="I21" i="4"/>
  <c r="I9" i="4"/>
  <c r="I12" i="4"/>
  <c r="I13" i="4"/>
  <c r="LX11" i="2"/>
  <c r="LX14" i="2"/>
  <c r="LX4" i="2"/>
  <c r="LX16" i="2"/>
  <c r="BG11" i="2"/>
  <c r="BG14" i="2"/>
  <c r="BG4" i="2"/>
  <c r="BG16" i="2"/>
  <c r="CC11" i="2"/>
  <c r="CC14" i="2"/>
  <c r="CC4" i="2"/>
  <c r="CC16" i="2"/>
  <c r="AK14" i="2"/>
  <c r="AK4" i="2"/>
  <c r="AK16" i="2"/>
  <c r="LX8" i="4"/>
  <c r="LX4" i="4"/>
  <c r="LX10" i="4"/>
  <c r="LX15" i="4"/>
  <c r="LX6" i="4"/>
  <c r="LX5" i="4"/>
  <c r="LX16" i="4"/>
  <c r="LX17" i="4"/>
  <c r="LX7" i="4"/>
  <c r="LX11" i="4"/>
  <c r="CC8" i="4"/>
  <c r="CC4" i="4"/>
  <c r="CC10" i="4"/>
  <c r="CC15" i="4"/>
  <c r="CC6" i="4"/>
  <c r="CC5" i="4"/>
  <c r="CC16" i="4"/>
  <c r="CC17" i="4"/>
  <c r="CC7" i="4"/>
  <c r="CC11" i="4"/>
  <c r="BG8" i="4"/>
  <c r="BG4" i="4"/>
  <c r="BG10" i="4"/>
  <c r="BG15" i="4"/>
  <c r="BG6" i="4"/>
  <c r="BG5" i="4"/>
  <c r="BG16" i="4"/>
  <c r="BG17" i="4"/>
  <c r="BG7" i="4"/>
  <c r="BG11" i="4"/>
  <c r="AK8" i="4"/>
  <c r="AK4" i="4"/>
  <c r="AK10" i="4"/>
  <c r="AK15" i="4"/>
  <c r="AK6" i="4"/>
  <c r="AK5" i="4"/>
  <c r="AK16" i="4"/>
  <c r="AK17" i="4"/>
  <c r="AK7" i="4"/>
  <c r="AK11" i="4"/>
  <c r="G16" i="2" l="1"/>
  <c r="F16" i="2"/>
  <c r="G14" i="2"/>
  <c r="F14" i="2"/>
  <c r="F11" i="2"/>
  <c r="G11" i="2"/>
  <c r="F10" i="4"/>
  <c r="G10" i="4"/>
  <c r="G11" i="4"/>
  <c r="F11" i="4"/>
  <c r="F4" i="4"/>
  <c r="G4" i="4"/>
  <c r="G7" i="4"/>
  <c r="F7" i="4"/>
  <c r="G8" i="4"/>
  <c r="F8" i="4"/>
  <c r="F17" i="4"/>
  <c r="G17" i="4"/>
  <c r="G16" i="4"/>
  <c r="F16" i="4"/>
  <c r="F15" i="4"/>
  <c r="G15" i="4"/>
  <c r="F5" i="4"/>
  <c r="G5" i="4"/>
  <c r="F6" i="4"/>
  <c r="G6" i="4"/>
  <c r="G4" i="2"/>
  <c r="F4" i="2"/>
  <c r="RG15" i="6"/>
  <c r="RE15" i="6"/>
  <c r="RD15" i="6"/>
  <c r="RF15" i="6"/>
  <c r="RC15" i="6"/>
  <c r="DH15" i="6"/>
  <c r="DF15" i="6"/>
  <c r="DE15" i="6"/>
  <c r="DG15" i="6"/>
  <c r="DD15" i="6"/>
  <c r="CC15" i="6"/>
  <c r="CA15" i="6"/>
  <c r="BZ15" i="6"/>
  <c r="CB15" i="6"/>
  <c r="BY15" i="6"/>
  <c r="AX15" i="6"/>
  <c r="AV15" i="6"/>
  <c r="AU15" i="6"/>
  <c r="AW15" i="6"/>
  <c r="H15" i="6" s="1"/>
  <c r="AT15" i="6"/>
  <c r="RG8" i="6"/>
  <c r="RE8" i="6"/>
  <c r="RD8" i="6"/>
  <c r="RF8" i="6"/>
  <c r="RC8" i="6"/>
  <c r="DH8" i="6"/>
  <c r="DF8" i="6"/>
  <c r="DE8" i="6"/>
  <c r="DG8" i="6"/>
  <c r="DD8" i="6"/>
  <c r="CC8" i="6"/>
  <c r="CA8" i="6"/>
  <c r="BZ8" i="6"/>
  <c r="CB8" i="6"/>
  <c r="BY8" i="6"/>
  <c r="AX8" i="6"/>
  <c r="AV8" i="6"/>
  <c r="AU8" i="6"/>
  <c r="AW8" i="6"/>
  <c r="AT8" i="6"/>
  <c r="MB17" i="4"/>
  <c r="LZ17" i="4"/>
  <c r="LY17" i="4"/>
  <c r="CG17" i="4"/>
  <c r="CE17" i="4"/>
  <c r="CD17" i="4"/>
  <c r="BK17" i="4"/>
  <c r="BI17" i="4"/>
  <c r="BH17" i="4"/>
  <c r="AO17" i="4"/>
  <c r="AM17" i="4"/>
  <c r="AL17" i="4"/>
  <c r="H8" i="6" l="1"/>
  <c r="G8" i="6"/>
  <c r="F8" i="6"/>
  <c r="RH15" i="6"/>
  <c r="F15" i="6"/>
  <c r="G15" i="6"/>
  <c r="I15" i="6" s="1"/>
  <c r="CD15" i="6"/>
  <c r="P17" i="4"/>
  <c r="Q17" i="4" s="1"/>
  <c r="BJ17" i="4"/>
  <c r="BL17" i="4" s="1"/>
  <c r="DI15" i="6"/>
  <c r="RH8" i="6"/>
  <c r="AY15" i="6"/>
  <c r="DI8" i="6"/>
  <c r="P15" i="6"/>
  <c r="DL15" i="6" s="1"/>
  <c r="AY8" i="6"/>
  <c r="CD8" i="6"/>
  <c r="AN17" i="4"/>
  <c r="MA17" i="4"/>
  <c r="MC17" i="4" s="1"/>
  <c r="J15" i="6"/>
  <c r="J8" i="6"/>
  <c r="N8" i="6" s="1"/>
  <c r="O8" i="6" s="1"/>
  <c r="P8" i="6"/>
  <c r="DL8" i="6" s="1"/>
  <c r="CF17" i="4"/>
  <c r="CH17" i="4" s="1"/>
  <c r="I17" i="4" l="1"/>
  <c r="I8" i="6"/>
  <c r="AP17" i="4"/>
  <c r="H17" i="4"/>
  <c r="CK17" i="4"/>
  <c r="DK8" i="6"/>
  <c r="Q8" i="6"/>
  <c r="Q15" i="6"/>
  <c r="N15" i="6"/>
  <c r="L15" i="6"/>
  <c r="K15" i="6"/>
  <c r="L8" i="6"/>
  <c r="DJ8" i="6" s="1"/>
  <c r="K8" i="6"/>
  <c r="J17" i="4"/>
  <c r="N17" i="4" s="1"/>
  <c r="R8" i="6" l="1"/>
  <c r="S8" i="6" s="1"/>
  <c r="M8" i="6"/>
  <c r="DJ15" i="6"/>
  <c r="M15" i="6"/>
  <c r="DK15" i="6"/>
  <c r="O15" i="6"/>
  <c r="K17" i="4"/>
  <c r="O17" i="4" s="1"/>
  <c r="L17" i="4"/>
  <c r="CJ17" i="4"/>
  <c r="CI17" i="4" l="1"/>
  <c r="M17" i="4"/>
  <c r="T8" i="6"/>
  <c r="E8" i="6"/>
  <c r="R15" i="6"/>
  <c r="R17" i="4"/>
  <c r="AW5" i="5"/>
  <c r="CB5" i="5"/>
  <c r="DG5" i="5"/>
  <c r="AW4" i="5"/>
  <c r="CB4" i="5"/>
  <c r="DG4" i="5"/>
  <c r="AT5" i="5"/>
  <c r="BY5" i="5"/>
  <c r="DD5" i="5"/>
  <c r="AT4" i="5"/>
  <c r="BY4" i="5"/>
  <c r="DD4" i="5"/>
  <c r="AW4" i="6"/>
  <c r="CB4" i="6"/>
  <c r="DG4" i="6"/>
  <c r="AW11" i="6"/>
  <c r="CB11" i="6"/>
  <c r="DG11" i="6"/>
  <c r="AW5" i="6"/>
  <c r="CB5" i="6"/>
  <c r="DG5" i="6"/>
  <c r="AW7" i="6"/>
  <c r="CB7" i="6"/>
  <c r="DG7" i="6"/>
  <c r="AW10" i="6"/>
  <c r="CB10" i="6"/>
  <c r="CD10" i="6" s="1"/>
  <c r="DG10" i="6"/>
  <c r="AW13" i="6"/>
  <c r="CB13" i="6"/>
  <c r="DG13" i="6"/>
  <c r="AW6" i="6"/>
  <c r="CB6" i="6"/>
  <c r="DG6" i="6"/>
  <c r="AW9" i="6"/>
  <c r="CB9" i="6"/>
  <c r="DG9" i="6"/>
  <c r="AW12" i="6"/>
  <c r="CB12" i="6"/>
  <c r="DG12" i="6"/>
  <c r="AT4" i="6"/>
  <c r="BY4" i="6"/>
  <c r="DD4" i="6"/>
  <c r="AT11" i="6"/>
  <c r="BY11" i="6"/>
  <c r="DD11" i="6"/>
  <c r="AT5" i="6"/>
  <c r="BY5" i="6"/>
  <c r="DD5" i="6"/>
  <c r="AT7" i="6"/>
  <c r="BY7" i="6"/>
  <c r="AT10" i="6"/>
  <c r="BY10" i="6"/>
  <c r="DD10" i="6"/>
  <c r="AT13" i="6"/>
  <c r="BY13" i="6"/>
  <c r="DD13" i="6"/>
  <c r="AT6" i="6"/>
  <c r="BY6" i="6"/>
  <c r="DD6" i="6"/>
  <c r="AT9" i="6"/>
  <c r="BY9" i="6"/>
  <c r="DD9" i="6"/>
  <c r="AT12" i="6"/>
  <c r="BY12" i="6"/>
  <c r="DD12" i="6"/>
  <c r="AN7" i="8"/>
  <c r="AO7" i="8"/>
  <c r="BL7" i="8"/>
  <c r="BM7" i="8"/>
  <c r="CJ7" i="8"/>
  <c r="CK7" i="8"/>
  <c r="AN6" i="8"/>
  <c r="AO6" i="8"/>
  <c r="BL6" i="8"/>
  <c r="BM6" i="8"/>
  <c r="CJ6" i="8"/>
  <c r="CK6" i="8"/>
  <c r="AN8" i="8"/>
  <c r="AO8" i="8"/>
  <c r="BL8" i="8"/>
  <c r="BM8" i="8"/>
  <c r="CJ8" i="8"/>
  <c r="CK8" i="8"/>
  <c r="AN9" i="8"/>
  <c r="AO9" i="8"/>
  <c r="BL9" i="8"/>
  <c r="BM9" i="8"/>
  <c r="CJ9" i="8"/>
  <c r="CK9" i="8"/>
  <c r="AL7" i="8"/>
  <c r="AM7" i="8"/>
  <c r="BJ7" i="8"/>
  <c r="BK7" i="8"/>
  <c r="CH7" i="8"/>
  <c r="CI7" i="8"/>
  <c r="AL6" i="8"/>
  <c r="AM6" i="8"/>
  <c r="BJ6" i="8"/>
  <c r="BK6" i="8"/>
  <c r="CH6" i="8"/>
  <c r="CI6" i="8"/>
  <c r="AL8" i="8"/>
  <c r="AM8" i="8"/>
  <c r="BJ8" i="8"/>
  <c r="BK8" i="8"/>
  <c r="CH8" i="8"/>
  <c r="CI8" i="8"/>
  <c r="AL9" i="8"/>
  <c r="AM9" i="8"/>
  <c r="BJ9" i="8"/>
  <c r="BK9" i="8"/>
  <c r="CH9" i="8"/>
  <c r="CI9" i="8"/>
  <c r="AN6" i="7"/>
  <c r="AO6" i="7"/>
  <c r="BL6" i="7"/>
  <c r="BM6" i="7"/>
  <c r="CJ6" i="7"/>
  <c r="CK6" i="7"/>
  <c r="AN8" i="7"/>
  <c r="AO8" i="7"/>
  <c r="BL8" i="7"/>
  <c r="BM8" i="7"/>
  <c r="CJ8" i="7"/>
  <c r="CK8" i="7"/>
  <c r="AM6" i="7"/>
  <c r="BJ6" i="7"/>
  <c r="BK6" i="7"/>
  <c r="CH6" i="7"/>
  <c r="CI6" i="7"/>
  <c r="AL8" i="7"/>
  <c r="AM8" i="7"/>
  <c r="BJ8" i="7"/>
  <c r="BK8" i="7"/>
  <c r="CH8" i="7"/>
  <c r="CI8" i="7"/>
  <c r="AL11" i="2"/>
  <c r="AM11" i="2"/>
  <c r="BH11" i="2"/>
  <c r="BI11" i="2"/>
  <c r="CD11" i="2"/>
  <c r="CE11" i="2"/>
  <c r="AL4" i="2"/>
  <c r="AM4" i="2"/>
  <c r="BH4" i="2"/>
  <c r="BI4" i="2"/>
  <c r="CD4" i="2"/>
  <c r="CE4" i="2"/>
  <c r="AL14" i="2"/>
  <c r="AM14" i="2"/>
  <c r="BH14" i="2"/>
  <c r="BI14" i="2"/>
  <c r="CD14" i="2"/>
  <c r="CE14" i="2"/>
  <c r="AL16" i="2"/>
  <c r="AM16" i="2"/>
  <c r="BH16" i="2"/>
  <c r="BI16" i="2"/>
  <c r="CD16" i="2"/>
  <c r="CE16" i="2"/>
  <c r="AL8" i="4"/>
  <c r="AM8" i="4"/>
  <c r="BH8" i="4"/>
  <c r="BI8" i="4"/>
  <c r="CD8" i="4"/>
  <c r="CE8" i="4"/>
  <c r="AL15" i="4"/>
  <c r="AM15" i="4"/>
  <c r="BH15" i="4"/>
  <c r="BI15" i="4"/>
  <c r="CD15" i="4"/>
  <c r="CE15" i="4"/>
  <c r="AL10" i="4"/>
  <c r="AM10" i="4"/>
  <c r="BH10" i="4"/>
  <c r="BI10" i="4"/>
  <c r="CD10" i="4"/>
  <c r="CE10" i="4"/>
  <c r="AL4" i="4"/>
  <c r="AM4" i="4"/>
  <c r="BH4" i="4"/>
  <c r="BI4" i="4"/>
  <c r="CD4" i="4"/>
  <c r="CE4" i="4"/>
  <c r="AL6" i="4"/>
  <c r="AM6" i="4"/>
  <c r="BH6" i="4"/>
  <c r="BI6" i="4"/>
  <c r="CD6" i="4"/>
  <c r="CE6" i="4"/>
  <c r="AL5" i="4"/>
  <c r="AM5" i="4"/>
  <c r="BH5" i="4"/>
  <c r="BI5" i="4"/>
  <c r="CD5" i="4"/>
  <c r="CE5" i="4"/>
  <c r="AL16" i="4"/>
  <c r="AM16" i="4"/>
  <c r="BH16" i="4"/>
  <c r="BI16" i="4"/>
  <c r="CD16" i="4"/>
  <c r="CE16" i="4"/>
  <c r="AL7" i="4"/>
  <c r="AM7" i="4"/>
  <c r="BH7" i="4"/>
  <c r="BI7" i="4"/>
  <c r="CD7" i="4"/>
  <c r="CE7" i="4"/>
  <c r="AL11" i="4"/>
  <c r="AM11" i="4"/>
  <c r="BH11" i="4"/>
  <c r="BI11" i="4"/>
  <c r="CD11" i="4"/>
  <c r="CE11" i="4"/>
  <c r="AO8" i="4"/>
  <c r="BK8" i="4"/>
  <c r="CG8" i="4"/>
  <c r="LY8" i="4"/>
  <c r="LZ8" i="4"/>
  <c r="MB8" i="4"/>
  <c r="AO15" i="4"/>
  <c r="BK15" i="4"/>
  <c r="CG15" i="4"/>
  <c r="LY15" i="4"/>
  <c r="LZ15" i="4"/>
  <c r="MB15" i="4"/>
  <c r="AO10" i="4"/>
  <c r="BK10" i="4"/>
  <c r="CG10" i="4"/>
  <c r="LY10" i="4"/>
  <c r="LZ10" i="4"/>
  <c r="MB10" i="4"/>
  <c r="AO4" i="4"/>
  <c r="BK4" i="4"/>
  <c r="CG4" i="4"/>
  <c r="LY4" i="4"/>
  <c r="LZ4" i="4"/>
  <c r="MB4" i="4"/>
  <c r="AO6" i="4"/>
  <c r="BK6" i="4"/>
  <c r="CG6" i="4"/>
  <c r="LY6" i="4"/>
  <c r="LZ6" i="4"/>
  <c r="MB6" i="4"/>
  <c r="AO5" i="4"/>
  <c r="BK5" i="4"/>
  <c r="CG5" i="4"/>
  <c r="LY5" i="4"/>
  <c r="LZ5" i="4"/>
  <c r="MB5" i="4"/>
  <c r="AO16" i="4"/>
  <c r="BK16" i="4"/>
  <c r="CG16" i="4"/>
  <c r="LY16" i="4"/>
  <c r="LZ16" i="4"/>
  <c r="MB16" i="4"/>
  <c r="AO7" i="4"/>
  <c r="BK7" i="4"/>
  <c r="CG7" i="4"/>
  <c r="LY7" i="4"/>
  <c r="LZ7" i="4"/>
  <c r="MB7" i="4"/>
  <c r="AO11" i="4"/>
  <c r="BK11" i="4"/>
  <c r="CG11" i="4"/>
  <c r="LY11" i="4"/>
  <c r="LZ11" i="4"/>
  <c r="MB11" i="4"/>
  <c r="LY14" i="2"/>
  <c r="LZ14" i="2"/>
  <c r="MB14" i="2"/>
  <c r="AO14" i="2"/>
  <c r="BK14" i="2"/>
  <c r="CG14" i="2"/>
  <c r="LY4" i="2"/>
  <c r="LZ4" i="2"/>
  <c r="MB4" i="2"/>
  <c r="AO4" i="2"/>
  <c r="BK4" i="2"/>
  <c r="CG4" i="2"/>
  <c r="LY16" i="2"/>
  <c r="LZ16" i="2"/>
  <c r="MB16" i="2"/>
  <c r="AO16" i="2"/>
  <c r="BK16" i="2"/>
  <c r="CG16" i="2"/>
  <c r="MB11" i="2"/>
  <c r="AO11" i="2"/>
  <c r="BK11" i="2"/>
  <c r="CG11" i="2"/>
  <c r="LZ11" i="2"/>
  <c r="LY11" i="2"/>
  <c r="NC6" i="7"/>
  <c r="ND6" i="7"/>
  <c r="NF6" i="7"/>
  <c r="AQ6" i="7"/>
  <c r="BO6" i="7"/>
  <c r="CM6" i="7"/>
  <c r="NC8" i="7"/>
  <c r="ND8" i="7"/>
  <c r="NF8" i="7"/>
  <c r="AQ8" i="7"/>
  <c r="BO8" i="7"/>
  <c r="CM8" i="7"/>
  <c r="NC6" i="8"/>
  <c r="ND6" i="8"/>
  <c r="NF6" i="8"/>
  <c r="AQ6" i="8"/>
  <c r="BO6" i="8"/>
  <c r="CM6" i="8"/>
  <c r="NC8" i="8"/>
  <c r="ND8" i="8"/>
  <c r="NF8" i="8"/>
  <c r="AQ8" i="8"/>
  <c r="BO8" i="8"/>
  <c r="CM8" i="8"/>
  <c r="NC9" i="8"/>
  <c r="ND9" i="8"/>
  <c r="NF9" i="8"/>
  <c r="AQ9" i="8"/>
  <c r="BO9" i="8"/>
  <c r="CM9" i="8"/>
  <c r="NF7" i="8"/>
  <c r="AQ7" i="8"/>
  <c r="BO7" i="8"/>
  <c r="CM7" i="8"/>
  <c r="ND7" i="8"/>
  <c r="NC7" i="8"/>
  <c r="RD11" i="6"/>
  <c r="AU11" i="6"/>
  <c r="BZ11" i="6"/>
  <c r="RE11" i="6"/>
  <c r="AV11" i="6"/>
  <c r="CA11" i="6"/>
  <c r="RG11" i="6"/>
  <c r="AX11" i="6"/>
  <c r="AY11" i="6" s="1"/>
  <c r="CC11" i="6"/>
  <c r="DH11" i="6"/>
  <c r="RD5" i="6"/>
  <c r="AU5" i="6"/>
  <c r="DE5" i="6"/>
  <c r="RE5" i="6"/>
  <c r="AV5" i="6"/>
  <c r="DF5" i="6"/>
  <c r="RG5" i="6"/>
  <c r="AX5" i="6"/>
  <c r="CC5" i="6"/>
  <c r="DH5" i="6"/>
  <c r="RD7" i="6"/>
  <c r="AU7" i="6"/>
  <c r="DE7" i="6"/>
  <c r="RE7" i="6"/>
  <c r="AV7" i="6"/>
  <c r="DF7" i="6"/>
  <c r="RG7" i="6"/>
  <c r="AX7" i="6"/>
  <c r="CC7" i="6"/>
  <c r="DH7" i="6"/>
  <c r="RD10" i="6"/>
  <c r="AU10" i="6"/>
  <c r="DE10" i="6"/>
  <c r="RE10" i="6"/>
  <c r="AV10" i="6"/>
  <c r="DF10" i="6"/>
  <c r="RG10" i="6"/>
  <c r="AX10" i="6"/>
  <c r="CC10" i="6"/>
  <c r="DH10" i="6"/>
  <c r="RD13" i="6"/>
  <c r="BZ13" i="6"/>
  <c r="DE13" i="6"/>
  <c r="RE13" i="6"/>
  <c r="CA13" i="6"/>
  <c r="DF13" i="6"/>
  <c r="RG13" i="6"/>
  <c r="AX13" i="6"/>
  <c r="CC13" i="6"/>
  <c r="DH13" i="6"/>
  <c r="RD6" i="6"/>
  <c r="AU6" i="6"/>
  <c r="BZ6" i="6"/>
  <c r="RE6" i="6"/>
  <c r="AV6" i="6"/>
  <c r="CA6" i="6"/>
  <c r="RG6" i="6"/>
  <c r="AX6" i="6"/>
  <c r="CC6" i="6"/>
  <c r="DH6" i="6"/>
  <c r="RD9" i="6"/>
  <c r="AU9" i="6"/>
  <c r="DE9" i="6"/>
  <c r="RE9" i="6"/>
  <c r="AV9" i="6"/>
  <c r="DF9" i="6"/>
  <c r="RG9" i="6"/>
  <c r="AX9" i="6"/>
  <c r="CC9" i="6"/>
  <c r="DH9" i="6"/>
  <c r="RD12" i="6"/>
  <c r="AU12" i="6"/>
  <c r="DE12" i="6"/>
  <c r="RE12" i="6"/>
  <c r="AV12" i="6"/>
  <c r="DF12" i="6"/>
  <c r="RG12" i="6"/>
  <c r="AX12" i="6"/>
  <c r="CC12" i="6"/>
  <c r="DH12" i="6"/>
  <c r="RG4" i="6"/>
  <c r="AX4" i="6"/>
  <c r="CC4" i="6"/>
  <c r="DH4" i="6"/>
  <c r="RE4" i="6"/>
  <c r="AV4" i="6"/>
  <c r="CA4" i="6"/>
  <c r="RD4" i="6"/>
  <c r="AU4" i="6"/>
  <c r="BZ4" i="6"/>
  <c r="RG4" i="5"/>
  <c r="AX4" i="5"/>
  <c r="CC4" i="5"/>
  <c r="DH4" i="5"/>
  <c r="RG5" i="5"/>
  <c r="AX5" i="5"/>
  <c r="CC5" i="5"/>
  <c r="DH5" i="5"/>
  <c r="RE4" i="5"/>
  <c r="CA4" i="5"/>
  <c r="DF4" i="5"/>
  <c r="RE5" i="5"/>
  <c r="CA5" i="5"/>
  <c r="DF5" i="5"/>
  <c r="RD4" i="5"/>
  <c r="BZ4" i="5"/>
  <c r="DE4" i="5"/>
  <c r="RD5" i="5"/>
  <c r="BZ5" i="5"/>
  <c r="DE5" i="5"/>
  <c r="RF6" i="5"/>
  <c r="RG6" i="5"/>
  <c r="RE6" i="5"/>
  <c r="RD6" i="5"/>
  <c r="RC6" i="5"/>
  <c r="RF4" i="5"/>
  <c r="RC4" i="5"/>
  <c r="RF5" i="5"/>
  <c r="RC5" i="5"/>
  <c r="RF10" i="6"/>
  <c r="RC10" i="6"/>
  <c r="RF6" i="6"/>
  <c r="RC6" i="6"/>
  <c r="RF5" i="6"/>
  <c r="RC5" i="6"/>
  <c r="RF9" i="6"/>
  <c r="RC9" i="6"/>
  <c r="RF12" i="6"/>
  <c r="RC12" i="6"/>
  <c r="RF13" i="6"/>
  <c r="RC13" i="6"/>
  <c r="RF7" i="6"/>
  <c r="RC7" i="6"/>
  <c r="RF11" i="6"/>
  <c r="RC11" i="6"/>
  <c r="RF4" i="6"/>
  <c r="RC4" i="6"/>
  <c r="NB9" i="8"/>
  <c r="NA9" i="8"/>
  <c r="NB8" i="8"/>
  <c r="NA8" i="8"/>
  <c r="NB6" i="8"/>
  <c r="NA6" i="8"/>
  <c r="NB7" i="8"/>
  <c r="NA7" i="8"/>
  <c r="NA6" i="7"/>
  <c r="NB6" i="7"/>
  <c r="NA8" i="7"/>
  <c r="NB8" i="7"/>
  <c r="DE11" i="6"/>
  <c r="DF11" i="6"/>
  <c r="BZ12" i="6"/>
  <c r="CA12" i="6"/>
  <c r="DE6" i="6"/>
  <c r="DF6" i="6"/>
  <c r="DE4" i="6"/>
  <c r="DF4" i="6"/>
  <c r="CD4" i="5"/>
  <c r="AU4" i="5"/>
  <c r="AV4" i="5"/>
  <c r="AV5" i="5"/>
  <c r="AU5" i="5"/>
  <c r="BZ7" i="6"/>
  <c r="CA7" i="6"/>
  <c r="BZ9" i="6"/>
  <c r="CA9" i="6"/>
  <c r="BZ5" i="6"/>
  <c r="CA5" i="6"/>
  <c r="BZ10" i="6"/>
  <c r="CA10" i="6"/>
  <c r="AY10" i="6"/>
  <c r="AV13" i="6"/>
  <c r="AU13" i="6"/>
  <c r="AY9" i="6" l="1"/>
  <c r="RH11" i="6"/>
  <c r="H4" i="5"/>
  <c r="H11" i="6"/>
  <c r="H13" i="6"/>
  <c r="G4" i="5"/>
  <c r="F4" i="5"/>
  <c r="H5" i="5"/>
  <c r="F5" i="5"/>
  <c r="G5" i="5"/>
  <c r="I5" i="5" s="1"/>
  <c r="F9" i="6"/>
  <c r="G9" i="6"/>
  <c r="F10" i="6"/>
  <c r="G10" i="6"/>
  <c r="F11" i="6"/>
  <c r="G11" i="6"/>
  <c r="I11" i="6" s="1"/>
  <c r="H5" i="6"/>
  <c r="H9" i="6"/>
  <c r="F6" i="6"/>
  <c r="G6" i="6"/>
  <c r="F7" i="6"/>
  <c r="G7" i="6"/>
  <c r="I7" i="6" s="1"/>
  <c r="H10" i="6"/>
  <c r="G4" i="6"/>
  <c r="F4" i="6"/>
  <c r="F12" i="6"/>
  <c r="G12" i="6"/>
  <c r="H6" i="6"/>
  <c r="F13" i="6"/>
  <c r="G13" i="6"/>
  <c r="I13" i="6" s="1"/>
  <c r="G5" i="6"/>
  <c r="F5" i="6"/>
  <c r="H7" i="6"/>
  <c r="H12" i="6"/>
  <c r="H4" i="6"/>
  <c r="G7" i="8"/>
  <c r="F7" i="8"/>
  <c r="F9" i="8"/>
  <c r="G9" i="8"/>
  <c r="F6" i="8"/>
  <c r="G6" i="8"/>
  <c r="G8" i="8"/>
  <c r="F8" i="8"/>
  <c r="F8" i="7"/>
  <c r="G8" i="7"/>
  <c r="F6" i="7"/>
  <c r="G6" i="7"/>
  <c r="DI11" i="6"/>
  <c r="DI6" i="6"/>
  <c r="AY5" i="6"/>
  <c r="CD9" i="6"/>
  <c r="AY12" i="6"/>
  <c r="AY4" i="6"/>
  <c r="DI13" i="6"/>
  <c r="DI5" i="5"/>
  <c r="CD13" i="6"/>
  <c r="AY7" i="6"/>
  <c r="AY5" i="5"/>
  <c r="DI7" i="6"/>
  <c r="MA6" i="4"/>
  <c r="MC6" i="4" s="1"/>
  <c r="CD7" i="6"/>
  <c r="DI4" i="6"/>
  <c r="CD4" i="6"/>
  <c r="AY6" i="6"/>
  <c r="CD6" i="6"/>
  <c r="CD12" i="6"/>
  <c r="DI4" i="5"/>
  <c r="RH4" i="5"/>
  <c r="RH13" i="6"/>
  <c r="CD11" i="6"/>
  <c r="RH12" i="6"/>
  <c r="AY13" i="6"/>
  <c r="DI9" i="6"/>
  <c r="DI5" i="6"/>
  <c r="DI10" i="6"/>
  <c r="RH10" i="6"/>
  <c r="CD5" i="6"/>
  <c r="DI12" i="6"/>
  <c r="S15" i="6"/>
  <c r="T15" i="6"/>
  <c r="E15" i="6"/>
  <c r="T17" i="4"/>
  <c r="S17" i="4"/>
  <c r="E17" i="4"/>
  <c r="CD5" i="5"/>
  <c r="J5" i="5"/>
  <c r="K5" i="5" s="1"/>
  <c r="RH7" i="6"/>
  <c r="RH5" i="5"/>
  <c r="AY4" i="5"/>
  <c r="RH4" i="6"/>
  <c r="CL6" i="8"/>
  <c r="CN6" i="8" s="1"/>
  <c r="BN7" i="8"/>
  <c r="BP7" i="8" s="1"/>
  <c r="AP6" i="7"/>
  <c r="NE6" i="7"/>
  <c r="NG6" i="7" s="1"/>
  <c r="MA14" i="2"/>
  <c r="MC14" i="2" s="1"/>
  <c r="NE6" i="8"/>
  <c r="NG6" i="8" s="1"/>
  <c r="RH5" i="6"/>
  <c r="RH6" i="6"/>
  <c r="AP8" i="7"/>
  <c r="BJ16" i="2"/>
  <c r="BL16" i="2" s="1"/>
  <c r="CF4" i="2"/>
  <c r="CH4" i="2" s="1"/>
  <c r="BJ11" i="2"/>
  <c r="BL11" i="2" s="1"/>
  <c r="AN16" i="2"/>
  <c r="MA4" i="2"/>
  <c r="MC4" i="2" s="1"/>
  <c r="AN16" i="4"/>
  <c r="P15" i="4"/>
  <c r="Q15" i="4" s="1"/>
  <c r="CF16" i="4"/>
  <c r="CH16" i="4" s="1"/>
  <c r="BJ5" i="4"/>
  <c r="BL5" i="4" s="1"/>
  <c r="AN4" i="4"/>
  <c r="CF10" i="4"/>
  <c r="CH10" i="4" s="1"/>
  <c r="BJ15" i="4"/>
  <c r="BL15" i="4" s="1"/>
  <c r="AN8" i="4"/>
  <c r="RH6" i="5"/>
  <c r="P7" i="6"/>
  <c r="Q7" i="6" s="1"/>
  <c r="J9" i="6"/>
  <c r="K9" i="6" s="1"/>
  <c r="J12" i="6"/>
  <c r="P9" i="6"/>
  <c r="Q9" i="6" s="1"/>
  <c r="NE9" i="8"/>
  <c r="NG9" i="8" s="1"/>
  <c r="P9" i="8"/>
  <c r="CQ9" i="8" s="1"/>
  <c r="NE7" i="8"/>
  <c r="NG7" i="8" s="1"/>
  <c r="BN8" i="8"/>
  <c r="BP8" i="8" s="1"/>
  <c r="AP7" i="8"/>
  <c r="AP6" i="8"/>
  <c r="BN9" i="8"/>
  <c r="BP9" i="8" s="1"/>
  <c r="AP8" i="8"/>
  <c r="NE8" i="7"/>
  <c r="NG8" i="7" s="1"/>
  <c r="CL6" i="7"/>
  <c r="CN6" i="7" s="1"/>
  <c r="MA16" i="2"/>
  <c r="MC16" i="2" s="1"/>
  <c r="AN14" i="2"/>
  <c r="CF11" i="2"/>
  <c r="CH11" i="2" s="1"/>
  <c r="CF11" i="4"/>
  <c r="CH11" i="4" s="1"/>
  <c r="CF7" i="4"/>
  <c r="CH7" i="4" s="1"/>
  <c r="BJ16" i="4"/>
  <c r="BL16" i="4" s="1"/>
  <c r="AN5" i="4"/>
  <c r="P4" i="4"/>
  <c r="Q4" i="4" s="1"/>
  <c r="MA11" i="4"/>
  <c r="MC11" i="4" s="1"/>
  <c r="BJ8" i="4"/>
  <c r="BL8" i="4" s="1"/>
  <c r="P5" i="4"/>
  <c r="Q5" i="4" s="1"/>
  <c r="MA4" i="4"/>
  <c r="MC4" i="4" s="1"/>
  <c r="J4" i="5"/>
  <c r="N4" i="5" s="1"/>
  <c r="J10" i="6"/>
  <c r="L10" i="6" s="1"/>
  <c r="J11" i="6"/>
  <c r="L11" i="6" s="1"/>
  <c r="RH9" i="6"/>
  <c r="J13" i="6"/>
  <c r="L13" i="6" s="1"/>
  <c r="J7" i="6"/>
  <c r="L7" i="6" s="1"/>
  <c r="J4" i="6"/>
  <c r="N4" i="6" s="1"/>
  <c r="J5" i="6"/>
  <c r="J6" i="6"/>
  <c r="AP9" i="8"/>
  <c r="P6" i="8"/>
  <c r="Q6" i="8" s="1"/>
  <c r="NE8" i="8"/>
  <c r="NG8" i="8" s="1"/>
  <c r="CL8" i="8"/>
  <c r="CN8" i="8" s="1"/>
  <c r="CL9" i="8"/>
  <c r="CN9" i="8" s="1"/>
  <c r="CL7" i="8"/>
  <c r="CN7" i="8" s="1"/>
  <c r="P7" i="8"/>
  <c r="BN6" i="8"/>
  <c r="BP6" i="8" s="1"/>
  <c r="BN6" i="7"/>
  <c r="BP6" i="7" s="1"/>
  <c r="CL8" i="7"/>
  <c r="CN8" i="7" s="1"/>
  <c r="BN8" i="7"/>
  <c r="BP8" i="7" s="1"/>
  <c r="P6" i="7"/>
  <c r="Q6" i="7" s="1"/>
  <c r="P8" i="7"/>
  <c r="MA11" i="2"/>
  <c r="MC11" i="2" s="1"/>
  <c r="P11" i="2"/>
  <c r="Q11" i="2" s="1"/>
  <c r="BJ4" i="2"/>
  <c r="BL4" i="2" s="1"/>
  <c r="CF14" i="2"/>
  <c r="CH14" i="2" s="1"/>
  <c r="CF16" i="2"/>
  <c r="CH16" i="2" s="1"/>
  <c r="BJ14" i="2"/>
  <c r="BL14" i="2" s="1"/>
  <c r="AN11" i="2"/>
  <c r="P14" i="2"/>
  <c r="AN4" i="2"/>
  <c r="P16" i="2"/>
  <c r="P4" i="2"/>
  <c r="BJ6" i="4"/>
  <c r="BL6" i="4" s="1"/>
  <c r="MA5" i="4"/>
  <c r="MC5" i="4" s="1"/>
  <c r="MA16" i="4"/>
  <c r="MC16" i="4" s="1"/>
  <c r="MA15" i="4"/>
  <c r="MC15" i="4" s="1"/>
  <c r="BJ11" i="4"/>
  <c r="BL11" i="4" s="1"/>
  <c r="BJ7" i="4"/>
  <c r="BL7" i="4" s="1"/>
  <c r="MA7" i="4"/>
  <c r="MC7" i="4" s="1"/>
  <c r="MA10" i="4"/>
  <c r="MC10" i="4" s="1"/>
  <c r="CF5" i="4"/>
  <c r="CH5" i="4" s="1"/>
  <c r="MA8" i="4"/>
  <c r="MC8" i="4" s="1"/>
  <c r="BJ10" i="4"/>
  <c r="BL10" i="4" s="1"/>
  <c r="P8" i="4"/>
  <c r="CK8" i="4" s="1"/>
  <c r="AN15" i="4"/>
  <c r="CF4" i="4"/>
  <c r="CH4" i="4" s="1"/>
  <c r="AN10" i="4"/>
  <c r="BJ4" i="4"/>
  <c r="BL4" i="4" s="1"/>
  <c r="P6" i="4"/>
  <c r="CK6" i="4" s="1"/>
  <c r="AN11" i="4"/>
  <c r="CF6" i="4"/>
  <c r="CH6" i="4" s="1"/>
  <c r="P10" i="4"/>
  <c r="CK10" i="4" s="1"/>
  <c r="AN7" i="4"/>
  <c r="CF8" i="4"/>
  <c r="CH8" i="4" s="1"/>
  <c r="P11" i="4"/>
  <c r="CK11" i="4" s="1"/>
  <c r="P16" i="4"/>
  <c r="CK16" i="4" s="1"/>
  <c r="AN6" i="4"/>
  <c r="CF15" i="4"/>
  <c r="CH15" i="4" s="1"/>
  <c r="P6" i="6"/>
  <c r="P5" i="6"/>
  <c r="P4" i="5"/>
  <c r="P12" i="6"/>
  <c r="P13" i="6"/>
  <c r="P11" i="6"/>
  <c r="P8" i="8"/>
  <c r="P5" i="5"/>
  <c r="P4" i="6"/>
  <c r="P10" i="6"/>
  <c r="P7" i="4"/>
  <c r="I11" i="4" l="1"/>
  <c r="I4" i="2"/>
  <c r="I4" i="5"/>
  <c r="I10" i="6"/>
  <c r="H8" i="7"/>
  <c r="I7" i="4"/>
  <c r="I12" i="6"/>
  <c r="I9" i="6"/>
  <c r="I6" i="6"/>
  <c r="I4" i="6"/>
  <c r="I5" i="6"/>
  <c r="H6" i="8"/>
  <c r="I8" i="8"/>
  <c r="I6" i="8"/>
  <c r="H7" i="8"/>
  <c r="I9" i="8"/>
  <c r="H8" i="8"/>
  <c r="H9" i="8"/>
  <c r="A9" i="8" s="1"/>
  <c r="I7" i="8"/>
  <c r="H16" i="2"/>
  <c r="I16" i="2"/>
  <c r="H14" i="2"/>
  <c r="I14" i="2"/>
  <c r="H11" i="2"/>
  <c r="I11" i="2"/>
  <c r="H5" i="4"/>
  <c r="H15" i="4"/>
  <c r="I8" i="4"/>
  <c r="H4" i="4"/>
  <c r="I4" i="4"/>
  <c r="H11" i="4"/>
  <c r="I15" i="4"/>
  <c r="H6" i="4"/>
  <c r="H10" i="4"/>
  <c r="AP16" i="4"/>
  <c r="H16" i="4"/>
  <c r="AP8" i="4"/>
  <c r="H8" i="4"/>
  <c r="I5" i="4"/>
  <c r="I6" i="4"/>
  <c r="H7" i="4"/>
  <c r="I10" i="4"/>
  <c r="I16" i="4"/>
  <c r="I6" i="7"/>
  <c r="AR6" i="7"/>
  <c r="H6" i="7"/>
  <c r="I8" i="7"/>
  <c r="H4" i="2"/>
  <c r="A15" i="6"/>
  <c r="A9" i="6"/>
  <c r="CK15" i="4"/>
  <c r="N5" i="5"/>
  <c r="O5" i="5" s="1"/>
  <c r="L5" i="5"/>
  <c r="M5" i="5" s="1"/>
  <c r="A12" i="6"/>
  <c r="A10" i="6"/>
  <c r="CK5" i="4"/>
  <c r="A13" i="6"/>
  <c r="CK4" i="4"/>
  <c r="N9" i="6"/>
  <c r="DK9" i="6" s="1"/>
  <c r="AR8" i="7"/>
  <c r="AP16" i="2"/>
  <c r="AP4" i="2"/>
  <c r="AP14" i="2"/>
  <c r="AP4" i="4"/>
  <c r="AP5" i="4"/>
  <c r="AR9" i="8"/>
  <c r="AR7" i="8"/>
  <c r="AR6" i="8"/>
  <c r="AR8" i="8"/>
  <c r="DL7" i="6"/>
  <c r="L9" i="6"/>
  <c r="DJ9" i="6" s="1"/>
  <c r="Q9" i="8"/>
  <c r="N7" i="6"/>
  <c r="O7" i="6" s="1"/>
  <c r="L4" i="6"/>
  <c r="DJ4" i="6" s="1"/>
  <c r="L12" i="6"/>
  <c r="M12" i="6" s="1"/>
  <c r="CQ6" i="8"/>
  <c r="J16" i="4"/>
  <c r="N16" i="4" s="1"/>
  <c r="N11" i="6"/>
  <c r="DK11" i="6" s="1"/>
  <c r="N13" i="6"/>
  <c r="DK13" i="6" s="1"/>
  <c r="K12" i="6"/>
  <c r="K11" i="6"/>
  <c r="K10" i="6"/>
  <c r="N10" i="6"/>
  <c r="DK10" i="6" s="1"/>
  <c r="DL9" i="6"/>
  <c r="N12" i="6"/>
  <c r="DK12" i="6" s="1"/>
  <c r="J7" i="8"/>
  <c r="N7" i="8" s="1"/>
  <c r="J9" i="8"/>
  <c r="L9" i="8" s="1"/>
  <c r="CQ6" i="7"/>
  <c r="J6" i="7"/>
  <c r="CK11" i="2"/>
  <c r="J14" i="2"/>
  <c r="L14" i="2" s="1"/>
  <c r="Q16" i="4"/>
  <c r="Q8" i="4"/>
  <c r="Q10" i="4"/>
  <c r="J11" i="4"/>
  <c r="N11" i="4" s="1"/>
  <c r="DK4" i="5"/>
  <c r="K4" i="5"/>
  <c r="O4" i="5" s="1"/>
  <c r="L4" i="5"/>
  <c r="DJ13" i="6"/>
  <c r="M13" i="6"/>
  <c r="K6" i="6"/>
  <c r="DK4" i="6"/>
  <c r="O4" i="6"/>
  <c r="K5" i="6"/>
  <c r="L5" i="6"/>
  <c r="DJ5" i="6" s="1"/>
  <c r="K4" i="6"/>
  <c r="DJ11" i="6"/>
  <c r="M11" i="6"/>
  <c r="N5" i="6"/>
  <c r="L6" i="6"/>
  <c r="M6" i="6" s="1"/>
  <c r="K7" i="6"/>
  <c r="DJ10" i="6"/>
  <c r="M10" i="6"/>
  <c r="K13" i="6"/>
  <c r="N6" i="6"/>
  <c r="J8" i="8"/>
  <c r="CQ7" i="8"/>
  <c r="Q7" i="8"/>
  <c r="J6" i="8"/>
  <c r="CQ8" i="7"/>
  <c r="Q8" i="7"/>
  <c r="J8" i="7"/>
  <c r="K8" i="7" s="1"/>
  <c r="CK14" i="2"/>
  <c r="Q14" i="2"/>
  <c r="CK4" i="2"/>
  <c r="Q4" i="2"/>
  <c r="J11" i="2"/>
  <c r="AP11" i="2"/>
  <c r="J16" i="2"/>
  <c r="N16" i="2" s="1"/>
  <c r="J4" i="2"/>
  <c r="CK16" i="2"/>
  <c r="Q16" i="2"/>
  <c r="J8" i="4"/>
  <c r="J6" i="4"/>
  <c r="K6" i="4" s="1"/>
  <c r="Q6" i="4"/>
  <c r="J15" i="4"/>
  <c r="N15" i="4" s="1"/>
  <c r="Q11" i="4"/>
  <c r="J5" i="4"/>
  <c r="AP6" i="4"/>
  <c r="AP15" i="4"/>
  <c r="J4" i="4"/>
  <c r="L4" i="4" s="1"/>
  <c r="J10" i="4"/>
  <c r="AP10" i="4"/>
  <c r="J7" i="4"/>
  <c r="AP7" i="4"/>
  <c r="AP11" i="4"/>
  <c r="DL13" i="6"/>
  <c r="Q13" i="6"/>
  <c r="DL10" i="6"/>
  <c r="Q10" i="6"/>
  <c r="DL12" i="6"/>
  <c r="Q12" i="6"/>
  <c r="CQ8" i="8"/>
  <c r="Q8" i="8"/>
  <c r="DL4" i="5"/>
  <c r="Q4" i="5"/>
  <c r="DL4" i="6"/>
  <c r="Q4" i="6"/>
  <c r="CK7" i="4"/>
  <c r="Q7" i="4"/>
  <c r="DL5" i="6"/>
  <c r="Q5" i="6"/>
  <c r="DL5" i="5"/>
  <c r="Q5" i="5"/>
  <c r="DJ7" i="6"/>
  <c r="M7" i="6"/>
  <c r="DL6" i="6"/>
  <c r="Q6" i="6"/>
  <c r="DL11" i="6"/>
  <c r="Q11" i="6"/>
  <c r="DJ4" i="5" l="1"/>
  <c r="R4" i="5" s="1"/>
  <c r="S4" i="5" s="1"/>
  <c r="M4" i="5"/>
  <c r="CJ16" i="4"/>
  <c r="A8" i="7"/>
  <c r="DJ5" i="5"/>
  <c r="O10" i="6"/>
  <c r="DK5" i="5"/>
  <c r="M4" i="6"/>
  <c r="O9" i="6"/>
  <c r="DK7" i="6"/>
  <c r="R7" i="6" s="1"/>
  <c r="E7" i="6" s="1"/>
  <c r="O11" i="6"/>
  <c r="M9" i="6"/>
  <c r="N14" i="2"/>
  <c r="L11" i="4"/>
  <c r="K11" i="4"/>
  <c r="O11" i="4" s="1"/>
  <c r="K16" i="4"/>
  <c r="O16" i="4" s="1"/>
  <c r="L16" i="4"/>
  <c r="DJ12" i="6"/>
  <c r="R12" i="6" s="1"/>
  <c r="S12" i="6" s="1"/>
  <c r="K9" i="8"/>
  <c r="M9" i="8" s="1"/>
  <c r="N9" i="8"/>
  <c r="N6" i="4"/>
  <c r="L6" i="4"/>
  <c r="M6" i="4" s="1"/>
  <c r="O13" i="6"/>
  <c r="K7" i="8"/>
  <c r="O7" i="8" s="1"/>
  <c r="L7" i="8"/>
  <c r="L6" i="7"/>
  <c r="R4" i="6"/>
  <c r="N8" i="8"/>
  <c r="K8" i="8"/>
  <c r="K6" i="7"/>
  <c r="K4" i="2"/>
  <c r="L4" i="2"/>
  <c r="K14" i="2"/>
  <c r="M14" i="2" s="1"/>
  <c r="N4" i="2"/>
  <c r="K4" i="4"/>
  <c r="M4" i="4" s="1"/>
  <c r="M5" i="6"/>
  <c r="O12" i="6"/>
  <c r="DJ6" i="6"/>
  <c r="R13" i="6"/>
  <c r="N6" i="7"/>
  <c r="K16" i="2"/>
  <c r="O16" i="2" s="1"/>
  <c r="L16" i="2"/>
  <c r="L15" i="4"/>
  <c r="K15" i="4"/>
  <c r="O15" i="4" s="1"/>
  <c r="N4" i="4"/>
  <c r="DK6" i="6"/>
  <c r="O6" i="6"/>
  <c r="DK5" i="6"/>
  <c r="R5" i="6" s="1"/>
  <c r="O5" i="6"/>
  <c r="R10" i="6"/>
  <c r="T10" i="6" s="1"/>
  <c r="R11" i="6"/>
  <c r="S11" i="6" s="1"/>
  <c r="L8" i="8"/>
  <c r="N6" i="8"/>
  <c r="K6" i="8"/>
  <c r="L6" i="8"/>
  <c r="L8" i="7"/>
  <c r="N8" i="7"/>
  <c r="K11" i="2"/>
  <c r="L11" i="2"/>
  <c r="N11" i="2"/>
  <c r="N8" i="4"/>
  <c r="K8" i="4"/>
  <c r="K5" i="4"/>
  <c r="N5" i="4"/>
  <c r="L5" i="4"/>
  <c r="L8" i="4"/>
  <c r="L7" i="4"/>
  <c r="N7" i="4"/>
  <c r="K7" i="4"/>
  <c r="L10" i="4"/>
  <c r="N10" i="4"/>
  <c r="K10" i="4"/>
  <c r="CJ15" i="4"/>
  <c r="CJ11" i="4"/>
  <c r="CI14" i="2"/>
  <c r="CP7" i="8"/>
  <c r="CO9" i="8"/>
  <c r="CI4" i="4"/>
  <c r="R9" i="6"/>
  <c r="CJ16" i="2"/>
  <c r="O6" i="8" l="1"/>
  <c r="O11" i="2"/>
  <c r="O14" i="2"/>
  <c r="O4" i="2"/>
  <c r="M6" i="7"/>
  <c r="M11" i="2"/>
  <c r="CI16" i="2"/>
  <c r="R16" i="2" s="1"/>
  <c r="M16" i="2"/>
  <c r="CP8" i="7"/>
  <c r="R8" i="7" s="1"/>
  <c r="S8" i="7" s="1"/>
  <c r="O8" i="7"/>
  <c r="CO8" i="7"/>
  <c r="M8" i="7"/>
  <c r="CP6" i="7"/>
  <c r="O6" i="7"/>
  <c r="CI4" i="2"/>
  <c r="M4" i="2"/>
  <c r="O8" i="4"/>
  <c r="M11" i="4"/>
  <c r="M8" i="4"/>
  <c r="M5" i="4"/>
  <c r="O5" i="4"/>
  <c r="M16" i="4"/>
  <c r="M8" i="8"/>
  <c r="CO7" i="8"/>
  <c r="R7" i="8" s="1"/>
  <c r="M7" i="8"/>
  <c r="O8" i="8"/>
  <c r="M6" i="8"/>
  <c r="CJ4" i="4"/>
  <c r="R4" i="4" s="1"/>
  <c r="T4" i="4" s="1"/>
  <c r="O4" i="4"/>
  <c r="CJ6" i="4"/>
  <c r="O6" i="4"/>
  <c r="M7" i="4"/>
  <c r="CI15" i="4"/>
  <c r="R15" i="4" s="1"/>
  <c r="M15" i="4"/>
  <c r="O7" i="4"/>
  <c r="O10" i="4"/>
  <c r="M10" i="4"/>
  <c r="O9" i="8"/>
  <c r="R5" i="5"/>
  <c r="T5" i="5" s="1"/>
  <c r="E4" i="6"/>
  <c r="CO6" i="7"/>
  <c r="CJ14" i="2"/>
  <c r="R14" i="2" s="1"/>
  <c r="S14" i="2" s="1"/>
  <c r="CI11" i="4"/>
  <c r="R11" i="4" s="1"/>
  <c r="E4" i="5"/>
  <c r="E13" i="6"/>
  <c r="T7" i="6"/>
  <c r="S7" i="6"/>
  <c r="E9" i="6"/>
  <c r="CP9" i="8"/>
  <c r="R9" i="8" s="1"/>
  <c r="S9" i="8" s="1"/>
  <c r="R6" i="6"/>
  <c r="E6" i="6" s="1"/>
  <c r="S13" i="6"/>
  <c r="CI16" i="4"/>
  <c r="R16" i="4" s="1"/>
  <c r="T16" i="4" s="1"/>
  <c r="CI6" i="4"/>
  <c r="T4" i="5"/>
  <c r="T13" i="6"/>
  <c r="T4" i="6"/>
  <c r="S4" i="6"/>
  <c r="T11" i="6"/>
  <c r="CP8" i="8"/>
  <c r="E12" i="6"/>
  <c r="CO8" i="8"/>
  <c r="CJ4" i="2"/>
  <c r="T12" i="6"/>
  <c r="S10" i="6"/>
  <c r="E10" i="6"/>
  <c r="E11" i="6"/>
  <c r="CO6" i="8"/>
  <c r="CP6" i="8"/>
  <c r="CJ11" i="2"/>
  <c r="CI11" i="2"/>
  <c r="CI5" i="4"/>
  <c r="CJ5" i="4"/>
  <c r="CI8" i="4"/>
  <c r="CJ8" i="4"/>
  <c r="CJ10" i="4"/>
  <c r="CI10" i="4"/>
  <c r="CJ7" i="4"/>
  <c r="CI7" i="4"/>
  <c r="T5" i="6"/>
  <c r="S5" i="6"/>
  <c r="E5" i="6"/>
  <c r="S9" i="6"/>
  <c r="T9" i="6"/>
  <c r="R4" i="2" l="1"/>
  <c r="E4" i="2" s="1"/>
  <c r="R6" i="7"/>
  <c r="S6" i="7" s="1"/>
  <c r="E5" i="5"/>
  <c r="S5" i="5"/>
  <c r="R6" i="4"/>
  <c r="S6" i="4" s="1"/>
  <c r="A6" i="6"/>
  <c r="R8" i="8"/>
  <c r="S8" i="8" s="1"/>
  <c r="T6" i="6"/>
  <c r="A8" i="6"/>
  <c r="A5" i="6"/>
  <c r="A7" i="6"/>
  <c r="S6" i="6"/>
  <c r="E16" i="2"/>
  <c r="E16" i="4"/>
  <c r="A5" i="5"/>
  <c r="A4" i="5"/>
  <c r="A4" i="6"/>
  <c r="A11" i="6"/>
  <c r="S16" i="4"/>
  <c r="E7" i="8"/>
  <c r="E8" i="7"/>
  <c r="T8" i="7"/>
  <c r="S16" i="2"/>
  <c r="T14" i="2"/>
  <c r="E4" i="4"/>
  <c r="T9" i="8"/>
  <c r="E9" i="8"/>
  <c r="R6" i="8"/>
  <c r="T16" i="2"/>
  <c r="E14" i="2"/>
  <c r="R11" i="2"/>
  <c r="E11" i="2" s="1"/>
  <c r="R10" i="4"/>
  <c r="E10" i="4" s="1"/>
  <c r="R5" i="4"/>
  <c r="S4" i="4"/>
  <c r="R8" i="4"/>
  <c r="R7" i="4"/>
  <c r="T11" i="4"/>
  <c r="S11" i="4"/>
  <c r="E11" i="4"/>
  <c r="T15" i="4"/>
  <c r="S15" i="4"/>
  <c r="T7" i="8"/>
  <c r="S7" i="8"/>
  <c r="E15" i="4"/>
  <c r="T6" i="7" l="1"/>
  <c r="E6" i="4"/>
  <c r="T6" i="4"/>
  <c r="E6" i="7"/>
  <c r="A6" i="7" s="1"/>
  <c r="T4" i="2"/>
  <c r="S4" i="2"/>
  <c r="A7" i="7"/>
  <c r="A9" i="7"/>
  <c r="A5" i="7"/>
  <c r="T8" i="8"/>
  <c r="A4" i="7"/>
  <c r="E8" i="8"/>
  <c r="A5" i="2"/>
  <c r="A7" i="2"/>
  <c r="A13" i="2"/>
  <c r="A6" i="2"/>
  <c r="S10" i="4"/>
  <c r="T10" i="4"/>
  <c r="C32" i="11"/>
  <c r="D34" i="11"/>
  <c r="D35" i="11"/>
  <c r="C37" i="11"/>
  <c r="C35" i="11"/>
  <c r="C33" i="11"/>
  <c r="D36" i="11"/>
  <c r="D33" i="11"/>
  <c r="C34" i="11"/>
  <c r="D32" i="11"/>
  <c r="D37" i="11"/>
  <c r="C36" i="11"/>
  <c r="D28" i="11"/>
  <c r="S6" i="8"/>
  <c r="T6" i="8"/>
  <c r="E6" i="8"/>
  <c r="S11" i="2"/>
  <c r="T11" i="2"/>
  <c r="E8" i="4"/>
  <c r="T8" i="4"/>
  <c r="S8" i="4"/>
  <c r="E5" i="4"/>
  <c r="T5" i="4"/>
  <c r="S5" i="4"/>
  <c r="S7" i="4"/>
  <c r="T7" i="4"/>
  <c r="E7" i="4"/>
  <c r="D27" i="11"/>
  <c r="C31" i="11"/>
  <c r="D31" i="11"/>
  <c r="D29" i="11"/>
  <c r="C30" i="11"/>
  <c r="D26" i="11"/>
  <c r="C27" i="11"/>
  <c r="C26" i="11"/>
  <c r="C28" i="11"/>
  <c r="C29" i="11"/>
  <c r="D30" i="11"/>
  <c r="A7" i="8" l="1"/>
  <c r="A5" i="8"/>
  <c r="A4" i="8"/>
  <c r="A7" i="4"/>
  <c r="A8" i="8"/>
  <c r="A6" i="8"/>
  <c r="A6" i="4"/>
  <c r="A4" i="2"/>
  <c r="A5" i="4"/>
  <c r="A10" i="4"/>
  <c r="A11" i="4"/>
  <c r="A17" i="4"/>
  <c r="A16" i="4"/>
  <c r="A4" i="4"/>
  <c r="A14" i="2"/>
  <c r="A11" i="2"/>
  <c r="A16" i="2"/>
  <c r="A8" i="4"/>
  <c r="A15" i="4"/>
  <c r="C14" i="11"/>
  <c r="C18" i="11"/>
  <c r="D17" i="11"/>
  <c r="D19" i="11"/>
  <c r="D16" i="11"/>
  <c r="D15" i="11"/>
  <c r="C16" i="11"/>
  <c r="C19" i="11"/>
  <c r="D18" i="11"/>
  <c r="D14" i="11"/>
  <c r="C17" i="11"/>
  <c r="C15" i="11"/>
  <c r="C24" i="11" l="1"/>
  <c r="D25" i="11"/>
  <c r="C23" i="11"/>
  <c r="C21" i="11"/>
  <c r="D21" i="11"/>
  <c r="D22" i="11"/>
  <c r="D20" i="11"/>
  <c r="C22" i="11"/>
  <c r="D23" i="11"/>
  <c r="D24" i="11"/>
  <c r="C20" i="11"/>
  <c r="C25" i="11"/>
  <c r="C13" i="11"/>
  <c r="D12" i="11"/>
  <c r="C12" i="11"/>
  <c r="D9" i="11"/>
  <c r="C10" i="11"/>
  <c r="D13" i="11"/>
  <c r="D8" i="11"/>
  <c r="D10" i="11"/>
  <c r="C11" i="11"/>
  <c r="C8" i="11"/>
  <c r="D11" i="11"/>
  <c r="C9" i="11"/>
  <c r="C3" i="11"/>
  <c r="C4" i="11"/>
  <c r="D7" i="11"/>
  <c r="C6" i="11"/>
  <c r="D2" i="11"/>
  <c r="C5" i="11"/>
  <c r="D6" i="11"/>
  <c r="D5" i="11"/>
  <c r="D4" i="11"/>
  <c r="D3" i="11"/>
  <c r="C7" i="11"/>
  <c r="C2" i="11"/>
</calcChain>
</file>

<file path=xl/sharedStrings.xml><?xml version="1.0" encoding="utf-8"?>
<sst xmlns="http://schemas.openxmlformats.org/spreadsheetml/2006/main" count="2994" uniqueCount="137">
  <si>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</si>
  <si>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</si>
  <si>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</si>
  <si>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</si>
  <si>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</si>
  <si>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</si>
  <si>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</si>
  <si>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</si>
  <si>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</si>
  <si>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</si>
  <si>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</si>
  <si>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</si>
  <si>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</si>
  <si>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</si>
  <si>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</si>
  <si>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</si>
  <si>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</si>
  <si>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</si>
  <si>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</si>
  <si>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</si>
  <si>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</si>
  <si>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</si>
  <si>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</si>
  <si>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</si>
  <si>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</si>
  <si>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2017 Nationals</t>
  </si>
  <si>
    <t>Funding Score</t>
  </si>
  <si>
    <t>Prelim DD</t>
  </si>
  <si>
    <t>Athlete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</si>
  <si>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</si>
  <si>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</si>
  <si>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</si>
  <si>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</si>
  <si>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</si>
  <si>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</si>
  <si>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</si>
  <si>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</si>
  <si>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</si>
  <si>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</si>
  <si>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Pass 1-2</t>
  </si>
  <si>
    <t>Pass 3-4</t>
  </si>
  <si>
    <t>CLARKE, Elias</t>
  </si>
  <si>
    <t>Best Pass 1</t>
  </si>
  <si>
    <t>Best Pass 2</t>
  </si>
  <si>
    <t>Final DD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</si>
  <si>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</si>
  <si>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</si>
  <si>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</si>
  <si>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</si>
  <si>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</si>
  <si>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</si>
  <si>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</si>
  <si>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</si>
  <si>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</si>
  <si>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</si>
  <si>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</si>
  <si>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</si>
  <si>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</si>
  <si>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</si>
  <si>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</si>
  <si>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</si>
  <si>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</si>
  <si>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</si>
  <si>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</si>
  <si>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2018 Canada Cup</t>
  </si>
  <si>
    <t>FOREST, Alexandra</t>
  </si>
  <si>
    <t>Optional DD</t>
  </si>
  <si>
    <t>Year of Birth</t>
  </si>
  <si>
    <t>DODD, Gavin</t>
  </si>
  <si>
    <t>DWYER, Kai</t>
  </si>
  <si>
    <t>NS</t>
  </si>
  <si>
    <t>JOHNSTON, David</t>
  </si>
  <si>
    <t>McLEAN, Declan</t>
  </si>
  <si>
    <t>MORGANTE, Emmett</t>
  </si>
  <si>
    <t>ARMSTRONG, Owen</t>
  </si>
  <si>
    <t>LAVALLÉE, Zachary</t>
  </si>
  <si>
    <t>AUBIN, Rémi</t>
  </si>
  <si>
    <t>PEDERSEN, Mitchel</t>
  </si>
  <si>
    <t>CARLSON, Roman</t>
  </si>
  <si>
    <t>MOULD, Blake</t>
  </si>
  <si>
    <t>RIENDEAU, Gabriel</t>
  </si>
  <si>
    <t>SEROUART, Guillaume</t>
  </si>
  <si>
    <t>YAZHEMSKY, Vanessa</t>
  </si>
  <si>
    <t>LANG, Allison</t>
  </si>
  <si>
    <t>BERTHIAUME, Sara-Jade</t>
  </si>
  <si>
    <t>ROSS, Éliane</t>
  </si>
  <si>
    <t>CAMIRAND, Jean-Philippe</t>
  </si>
  <si>
    <t>HECK, Megan</t>
  </si>
  <si>
    <t>KORBUT, Kendra</t>
  </si>
  <si>
    <t>JUBENVILLE, Alexandra</t>
  </si>
  <si>
    <t>BRENNER, Adin</t>
  </si>
  <si>
    <t>LUPISH, Kieran</t>
  </si>
  <si>
    <t>TROYAN, Artur</t>
  </si>
  <si>
    <t>MANCINI, Michael</t>
  </si>
  <si>
    <t>ZUREK, Nolan</t>
  </si>
  <si>
    <t>STANNARD, Adam</t>
  </si>
  <si>
    <t>DAWSON, David</t>
  </si>
  <si>
    <t>CHATEAUVERT, Emile</t>
  </si>
  <si>
    <t>YENDLEY, Jordyn</t>
  </si>
  <si>
    <t>KYFUIK, Mackenzie</t>
  </si>
  <si>
    <t>DD was 17.5, adjusted to 13.2</t>
  </si>
  <si>
    <t>for spreadsheet compatibility</t>
  </si>
  <si>
    <t>HARRIGAN, Jane</t>
  </si>
  <si>
    <t>BOUCHER, Alex</t>
  </si>
  <si>
    <t>CELENTANO, Jensen</t>
  </si>
  <si>
    <t>BERTHIAUME, Anouk</t>
  </si>
  <si>
    <t>CIRONE, Cristina</t>
  </si>
  <si>
    <t>BONHAM, Maja</t>
  </si>
  <si>
    <t>FLYNN, Gabby</t>
  </si>
  <si>
    <t>CHAU, Emma</t>
  </si>
  <si>
    <t>HARRISON, Emily</t>
  </si>
  <si>
    <t>FERNANDES, Antonio</t>
  </si>
  <si>
    <t>LAFRENIÈRE, Philippe</t>
  </si>
  <si>
    <t>Marit score was 105.1, adjusted</t>
  </si>
  <si>
    <t>to 57 for spreadsheet compatibility</t>
  </si>
  <si>
    <t>***2017 SCORES***</t>
  </si>
  <si>
    <t>2018 Nationals</t>
  </si>
  <si>
    <t>MAJOR, Lilyclaire</t>
  </si>
  <si>
    <t>HENFREY, Ashton</t>
  </si>
  <si>
    <t>RICHARD, Dexter</t>
  </si>
  <si>
    <t>NB</t>
  </si>
  <si>
    <t>UVAKOV, Chris</t>
  </si>
  <si>
    <t>RYBKA, Ben</t>
  </si>
  <si>
    <t>ARRUDA, Erik</t>
  </si>
  <si>
    <t>Injury</t>
  </si>
  <si>
    <t>P</t>
  </si>
  <si>
    <t>Injury Score</t>
  </si>
  <si>
    <t>Select</t>
  </si>
  <si>
    <t>Add injury score for the following athlete</t>
  </si>
  <si>
    <t>Add a new athlete to the following category</t>
  </si>
  <si>
    <t>Delete oldest domestic trial</t>
  </si>
  <si>
    <t>Delete old international competitions</t>
  </si>
  <si>
    <t>2018 Pacific Rim (Apr 29)</t>
  </si>
  <si>
    <t>2018 Pacific Rim Team Finals (Apr 29)</t>
  </si>
  <si>
    <t>2018 Junior Pan Am Championships (June 23)</t>
  </si>
  <si>
    <t>2018 World Age Groups (Nov 18)</t>
  </si>
  <si>
    <t>2018 WAGC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</si>
</sst>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i/>
      <u/>
      <sz val="12"/>
      <name val="Calibri"/>
      <family val="2"/>
      <scheme val="minor"/>
    </font>
    <font>
      <sz val="12"/>
      <color rgb="FFC00000"/>
      <name val="Wingdings 2"/>
      <charset val="2"/>
    </font>
    <font>
      <sz val="12"/>
      <name val="Wingdings 2"/>
      <charset val="2"/>
    </font>
    <font>
      <i/>
      <u/>
      <sz val="12"/>
      <name val="Wingdings 2"/>
      <charset val="2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9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0" fillId="3" borderId="0" xfId="0" applyFill="1" applyAlignment="1">
      <alignment horizontal="center"/>
    </xf>
    <xf numFmtId="0" fontId="12" fillId="11" borderId="0" xfId="0" applyFont="1" applyFill="1"/>
    <xf numFmtId="0" fontId="12" fillId="12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2" fillId="0" borderId="0" xfId="0" applyNumberFormat="1" applyFont="1" applyFill="1" applyBorder="1"/>
    <xf numFmtId="164" fontId="0" fillId="0" borderId="0" xfId="0" applyNumberFormat="1" applyFill="1" applyBorder="1"/>
    <xf numFmtId="164" fontId="12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1" borderId="1" xfId="0" applyNumberFormat="1" applyFont="1" applyFill="1" applyBorder="1" applyProtection="1">
      <protection locked="0"/>
    </xf>
    <xf numFmtId="164" fontId="12" fillId="12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164" fontId="17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7" borderId="0" xfId="0" applyNumberFormat="1" applyFont="1" applyFill="1" applyProtection="1">
      <protection locked="0"/>
    </xf>
    <xf numFmtId="164" fontId="2" fillId="5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8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1" fillId="9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20" fillId="3" borderId="1" xfId="0" applyNumberFormat="1" applyFont="1" applyFill="1" applyBorder="1" applyProtection="1">
      <protection locked="0"/>
    </xf>
    <xf numFmtId="164" fontId="6" fillId="4" borderId="1" xfId="0" applyNumberFormat="1" applyFont="1" applyFill="1" applyBorder="1" applyProtection="1">
      <protection locked="0"/>
    </xf>
    <xf numFmtId="164" fontId="6" fillId="4" borderId="1" xfId="0" applyNumberFormat="1" applyFont="1" applyFill="1" applyBorder="1" applyAlignment="1" applyProtection="1">
      <alignment horizontal="left"/>
      <protection locked="0"/>
    </xf>
    <xf numFmtId="164" fontId="6" fillId="4" borderId="1" xfId="1" applyNumberFormat="1" applyFont="1" applyFill="1" applyBorder="1" applyAlignment="1" applyProtection="1">
      <alignment horizontal="left"/>
      <protection locked="0"/>
    </xf>
    <xf numFmtId="0" fontId="2" fillId="5" borderId="0" xfId="0" applyFont="1" applyFill="1" applyAlignment="1"/>
    <xf numFmtId="0" fontId="19" fillId="15" borderId="0" xfId="0" applyFont="1" applyFill="1" applyAlignment="1"/>
    <xf numFmtId="0" fontId="10" fillId="8" borderId="0" xfId="0" applyFont="1" applyFill="1" applyAlignment="1"/>
    <xf numFmtId="0" fontId="9" fillId="6" borderId="0" xfId="0" applyFont="1" applyFill="1" applyAlignment="1"/>
    <xf numFmtId="0" fontId="11" fillId="9" borderId="0" xfId="0" applyFont="1" applyFill="1" applyAlignment="1"/>
    <xf numFmtId="0" fontId="18" fillId="7" borderId="0" xfId="0" applyFont="1" applyFill="1" applyAlignment="1"/>
    <xf numFmtId="0" fontId="18" fillId="0" borderId="0" xfId="0" applyFont="1" applyFill="1" applyAlignment="1"/>
    <xf numFmtId="0" fontId="2" fillId="0" borderId="0" xfId="0" applyFont="1" applyFill="1" applyAlignment="1"/>
    <xf numFmtId="0" fontId="19" fillId="0" borderId="0" xfId="0" applyFont="1" applyFill="1" applyAlignment="1"/>
    <xf numFmtId="0" fontId="10" fillId="0" borderId="0" xfId="0" applyFont="1" applyFill="1" applyAlignment="1"/>
    <xf numFmtId="0" fontId="9" fillId="0" borderId="0" xfId="0" applyFont="1" applyFill="1" applyAlignment="1"/>
    <xf numFmtId="0" fontId="11" fillId="0" borderId="0" xfId="0" applyFont="1" applyFill="1" applyAlignment="1"/>
    <xf numFmtId="0" fontId="0" fillId="0" borderId="0" xfId="0" applyFill="1" applyBorder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3" borderId="1" xfId="0" applyNumberFormat="1" applyFont="1" applyFill="1" applyBorder="1" applyAlignment="1" applyProtection="1">
      <alignment horizontal="center"/>
      <protection locked="0"/>
    </xf>
    <xf numFmtId="164" fontId="22" fillId="3" borderId="1" xfId="0" applyNumberFormat="1" applyFont="1" applyFill="1" applyBorder="1" applyAlignment="1" applyProtection="1">
      <alignment horizontal="center"/>
      <protection locked="0"/>
    </xf>
    <xf numFmtId="164" fontId="22" fillId="3" borderId="1" xfId="1" applyNumberFormat="1" applyFont="1" applyFill="1" applyBorder="1" applyAlignment="1" applyProtection="1">
      <alignment horizontal="center"/>
      <protection locked="0"/>
    </xf>
    <xf numFmtId="164" fontId="23" fillId="3" borderId="1" xfId="0" applyNumberFormat="1" applyFont="1" applyFill="1" applyBorder="1" applyAlignment="1" applyProtection="1">
      <alignment horizontal="center"/>
      <protection locked="0"/>
    </xf>
    <xf numFmtId="164" fontId="21" fillId="4" borderId="1" xfId="0" applyNumberFormat="1" applyFont="1" applyFill="1" applyBorder="1" applyAlignment="1" applyProtection="1">
      <alignment horizontal="center"/>
      <protection locked="0"/>
    </xf>
    <xf numFmtId="164" fontId="22" fillId="4" borderId="1" xfId="0" applyNumberFormat="1" applyFont="1" applyFill="1" applyBorder="1" applyAlignment="1" applyProtection="1">
      <alignment horizontal="center"/>
      <protection locked="0"/>
    </xf>
    <xf numFmtId="164" fontId="22" fillId="4" borderId="1" xfId="1" applyNumberFormat="1" applyFont="1" applyFill="1" applyBorder="1" applyAlignment="1" applyProtection="1">
      <alignment horizontal="center"/>
      <protection locked="0"/>
    </xf>
    <xf numFmtId="164" fontId="23" fillId="4" borderId="1" xfId="0" applyNumberFormat="1" applyFont="1" applyFill="1" applyBorder="1" applyAlignment="1" applyProtection="1">
      <alignment horizontal="center"/>
      <protection locked="0"/>
    </xf>
    <xf numFmtId="164" fontId="5" fillId="3" borderId="1" xfId="0" applyNumberFormat="1" applyFont="1" applyFill="1" applyBorder="1" applyAlignment="1" applyProtection="1">
      <alignment horizontal="center"/>
      <protection locked="0"/>
    </xf>
    <xf numFmtId="164" fontId="5" fillId="4" borderId="1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/>
    <xf numFmtId="0" fontId="17" fillId="0" borderId="0" xfId="0" applyFont="1"/>
    <xf numFmtId="165" fontId="0" fillId="0" borderId="0" xfId="0" applyNumberFormat="1" applyAlignment="1">
      <alignment horizontal="left"/>
    </xf>
    <xf numFmtId="0" fontId="3" fillId="4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3" borderId="0" xfId="0" applyFont="1" applyFill="1" applyAlignment="1" applyProtection="1">
      <alignment horizontal="center"/>
      <protection locked="0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13" fillId="12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67"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E5C6FA"/>
      <color rgb="FFFF00FC"/>
      <color rgb="FFFFBFFF"/>
      <color rgb="FFFFA300"/>
      <color rgb="FFFFD3D3"/>
      <color rgb="FFFF6D7C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38</xdr:row>
          <xdr:rowOff>38100</xdr:rowOff>
        </xdr:from>
        <xdr:to>
          <xdr:col>0</xdr:col>
          <xdr:colOff>990600</xdr:colOff>
          <xdr:row>38</xdr:row>
          <xdr:rowOff>190500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990600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1003300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990600</xdr:colOff>
          <xdr:row>41</xdr:row>
          <xdr:rowOff>177800</xdr:rowOff>
        </xdr:to>
        <xdr:sp macro="" textlink="">
          <xdr:nvSpPr>
            <xdr:cNvPr id="2052" name="Button 4" descr="Inju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Injury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42</xdr:row>
          <xdr:rowOff>25400</xdr:rowOff>
        </xdr:from>
        <xdr:to>
          <xdr:col>0</xdr:col>
          <xdr:colOff>1003300</xdr:colOff>
          <xdr:row>42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43</xdr:row>
          <xdr:rowOff>25400</xdr:rowOff>
        </xdr:from>
        <xdr:to>
          <xdr:col>0</xdr:col>
          <xdr:colOff>1003300</xdr:colOff>
          <xdr:row>43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44</xdr:row>
          <xdr:rowOff>25400</xdr:rowOff>
        </xdr:from>
        <xdr:to>
          <xdr:col>0</xdr:col>
          <xdr:colOff>1003300</xdr:colOff>
          <xdr:row>44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5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6640625" customWidth="1"/>
    <col min="3" max="3" width="35" bestFit="1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51</v>
      </c>
      <c r="B1" t="s">
        <v>1</v>
      </c>
      <c r="C1" t="s">
        <v>53</v>
      </c>
      <c r="D1" t="s">
        <v>9</v>
      </c>
      <c r="E1" s="58"/>
      <c r="F1" s="58"/>
      <c r="J1" s="58"/>
      <c r="K1" s="58"/>
      <c r="L1" s="58"/>
    </row>
    <row r="2" spans="1:12" x14ac:dyDescent="0.2">
      <c r="A2" s="11" t="s">
        <v>52</v>
      </c>
      <c r="B2" s="11">
        <v>1</v>
      </c>
      <c r="C2" s="11" t="str">
        <f>IF(B2&gt;MAX('TRA-M'!A:A),"",INDEX('TRA-M'!B:B,MATCH(B2,'TRA-M'!A:A)))</f>
        <v>DODD, Gavin</v>
      </c>
      <c r="D2" s="11" t="str">
        <f>IF(B2&gt;MAX('TRA-M'!A:A),"",IF(INDEX('TRA-M'!I:I,MATCH(B2,'TRA-M'!A:A))="","No DD",INDEX('TRA-M'!I:I,MATCH(B2,'TRA-M'!A:A))))</f>
        <v>National Team</v>
      </c>
      <c r="E2" s="30"/>
      <c r="F2" s="30"/>
    </row>
    <row r="3" spans="1:12" x14ac:dyDescent="0.2">
      <c r="A3" s="11"/>
      <c r="B3" s="11">
        <v>2</v>
      </c>
      <c r="C3" s="11" t="str">
        <f>IF(B3&gt;MAX('TRA-M'!A:A),"",INDEX('TRA-M'!B:B,MATCH(B3,'TRA-M'!A:A)))</f>
        <v>DWYER, Kai</v>
      </c>
      <c r="D3" s="11" t="str">
        <f>IF(B3&gt;MAX('TRA-M'!A:A),"",IF(INDEX('TRA-M'!I:I,MATCH(B3,'TRA-M'!A:A))="","No DD",INDEX('TRA-M'!I:I,MATCH(B3,'TRA-M'!A:A))))</f>
        <v>National Team</v>
      </c>
      <c r="E3" s="30"/>
      <c r="F3" s="30"/>
    </row>
    <row r="4" spans="1:12" x14ac:dyDescent="0.2">
      <c r="A4" s="11"/>
      <c r="B4" s="11">
        <v>3</v>
      </c>
      <c r="C4" s="11" t="str">
        <f>IF(B4&gt;MAX('TRA-M'!A:A),"",INDEX('TRA-M'!B:B,MATCH(B4,'TRA-M'!A:A)))</f>
        <v>JOHNSTON, David</v>
      </c>
      <c r="D4" s="11" t="str">
        <f>IF(B4&gt;MAX('TRA-M'!A:A),"",IF(INDEX('TRA-M'!I:I,MATCH(B4,'TRA-M'!A:A))="","No DD",INDEX('TRA-M'!I:I,MATCH(B4,'TRA-M'!A:A))))</f>
        <v>Funding</v>
      </c>
      <c r="E4" s="30"/>
      <c r="F4" s="30"/>
    </row>
    <row r="5" spans="1:12" x14ac:dyDescent="0.2">
      <c r="A5" s="11"/>
      <c r="B5" s="11">
        <v>4</v>
      </c>
      <c r="C5" s="11" t="str">
        <f>IF(B5&gt;MAX('TRA-M'!A:A),"",INDEX('TRA-M'!B:B,MATCH(B5,'TRA-M'!A:A)))</f>
        <v>McLEAN, Declan</v>
      </c>
      <c r="D5" s="11" t="str">
        <f>IF(B5&gt;MAX('TRA-M'!A:A),"",IF(INDEX('TRA-M'!I:I,MATCH(B5,'TRA-M'!A:A))="","No DD",INDEX('TRA-M'!I:I,MATCH(B5,'TRA-M'!A:A))))</f>
        <v>National Team</v>
      </c>
    </row>
    <row r="6" spans="1:12" x14ac:dyDescent="0.2">
      <c r="A6" s="11"/>
      <c r="B6" s="11">
        <v>5</v>
      </c>
      <c r="C6" s="11" t="str">
        <f>IF(B6&gt;MAX('TRA-M'!A:A),"",INDEX('TRA-M'!B:B,MATCH(B6,'TRA-M'!A:A)))</f>
        <v>CARLSON, Roman</v>
      </c>
      <c r="D6" s="11" t="str">
        <f>IF(B6&gt;MAX('TRA-M'!A:A),"",IF(INDEX('TRA-M'!I:I,MATCH(B6,'TRA-M'!A:A))="","No DD",INDEX('TRA-M'!I:I,MATCH(B6,'TRA-M'!A:A))))</f>
        <v>No DD</v>
      </c>
    </row>
    <row r="7" spans="1:12" x14ac:dyDescent="0.2">
      <c r="A7" s="11"/>
      <c r="B7" s="11">
        <v>6</v>
      </c>
      <c r="C7" s="11" t="str">
        <f>IF(B7&gt;MAX('TRA-M'!A:A),"",INDEX('TRA-M'!B:B,MATCH(B7,'TRA-M'!A:A)))</f>
        <v>LAVALLÉE, Zachary</v>
      </c>
      <c r="D7" s="11" t="str">
        <f>IF(B7&gt;MAX('TRA-M'!A:A),"",IF(INDEX('TRA-M'!I:I,MATCH(B7,'TRA-M'!A:A))="","No DD",INDEX('TRA-M'!I:I,MATCH(B7,'TRA-M'!A:A))))</f>
        <v>No DD</v>
      </c>
      <c r="G7" s="59"/>
    </row>
    <row r="8" spans="1:12" x14ac:dyDescent="0.2">
      <c r="A8" s="14" t="s">
        <v>55</v>
      </c>
      <c r="B8" s="14">
        <v>1</v>
      </c>
      <c r="C8" s="14" t="str">
        <f>IF(B2&gt;MAX('TRA-W'!A:A),"",INDEX('TRA-W'!B:B,MATCH(B2,'TRA-W'!A:A)))</f>
        <v>BERTHIAUME, Sara-Jade</v>
      </c>
      <c r="D8" s="14" t="str">
        <f>IF(B2&gt;MAX('TRA-W'!A:A),"",IF(INDEX('TRA-W'!I:I,MATCH(B2,'TRA-W'!A:A))="","No DD",INDEX('TRA-W'!I:I,MATCH(B2,'TRA-W'!A:A))))</f>
        <v>No DD</v>
      </c>
    </row>
    <row r="9" spans="1:12" x14ac:dyDescent="0.2">
      <c r="A9" s="14"/>
      <c r="B9" s="14">
        <v>2</v>
      </c>
      <c r="C9" s="14" t="str">
        <f>IF(B3&gt;MAX('TRA-W'!A:A),"",INDEX('TRA-W'!B:B,MATCH(B3,'TRA-W'!A:A)))</f>
        <v>BOUCHER, Alex</v>
      </c>
      <c r="D9" s="14" t="str">
        <f>IF(B3&gt;MAX('TRA-W'!A:A),"",IF(INDEX('TRA-W'!I:I,MATCH(B3,'TRA-W'!A:A))="","No DD",INDEX('TRA-W'!I:I,MATCH(B3,'TRA-W'!A:A))))</f>
        <v>No DD</v>
      </c>
    </row>
    <row r="10" spans="1:12" x14ac:dyDescent="0.2">
      <c r="A10" s="14"/>
      <c r="B10" s="14">
        <v>3</v>
      </c>
      <c r="C10" s="14" t="str">
        <f>IF(B4&gt;MAX('TRA-W'!A:A),"",INDEX('TRA-W'!B:B,MATCH(B4,'TRA-W'!A:A)))</f>
        <v>YENDLEY, Jordyn</v>
      </c>
      <c r="D10" s="14" t="str">
        <f>IF(B4&gt;MAX('TRA-W'!A:A),"",IF(INDEX('TRA-W'!I:I,MATCH(B4,'TRA-W'!A:A))="","No DD",INDEX('TRA-W'!I:I,MATCH(B4,'TRA-W'!A:A))))</f>
        <v>No DD</v>
      </c>
    </row>
    <row r="11" spans="1:12" x14ac:dyDescent="0.2">
      <c r="A11" s="14"/>
      <c r="B11" s="14">
        <v>4</v>
      </c>
      <c r="C11" s="14" t="str">
        <f>IF(B5&gt;MAX('TRA-W'!A:A),"",INDEX('TRA-W'!B:B,MATCH(B5,'TRA-W'!A:A)))</f>
        <v>BONHAM, Maja</v>
      </c>
      <c r="D11" s="14" t="str">
        <f>IF(B5&gt;MAX('TRA-W'!A:A),"",IF(INDEX('TRA-W'!I:I,MATCH(B5,'TRA-W'!A:A))="","No DD",INDEX('TRA-W'!I:I,MATCH(B5,'TRA-W'!A:A))))</f>
        <v>No DD</v>
      </c>
    </row>
    <row r="12" spans="1:12" x14ac:dyDescent="0.2">
      <c r="A12" s="14"/>
      <c r="B12" s="14">
        <v>5</v>
      </c>
      <c r="C12" s="14" t="str">
        <f>IF(B6&gt;MAX('TRA-W'!A:A),"",INDEX('TRA-W'!B:B,MATCH(B6,'TRA-W'!A:A)))</f>
        <v>HARRIGAN, Jane</v>
      </c>
      <c r="D12" s="14" t="str">
        <f>IF(B6&gt;MAX('TRA-W'!A:A),"",IF(INDEX('TRA-W'!I:I,MATCH(B6,'TRA-W'!A:A))="","No DD",INDEX('TRA-W'!I:I,MATCH(B6,'TRA-W'!A:A))))</f>
        <v>No DD</v>
      </c>
    </row>
    <row r="13" spans="1:12" hidden="1" x14ac:dyDescent="0.2">
      <c r="A13" s="14"/>
      <c r="B13" s="14">
        <v>6</v>
      </c>
      <c r="C13" s="14" t="str">
        <f>IF(B7&gt;MAX('TRA-W'!A:A),"",INDEX('TRA-W'!B:B,MATCH(B7,'TRA-W'!A:A)))</f>
        <v/>
      </c>
      <c r="D13" s="14" t="str">
        <f>IF(B7&gt;MAX('TRA-W'!A:A),"",IF(INDEX('TRA-W'!I:I,MATCH(B7,'TRA-W'!A:A))="","No DD",INDEX('TRA-W'!I:I,MATCH(B7,'TRA-W'!A:A))))</f>
        <v/>
      </c>
    </row>
    <row r="14" spans="1:12" x14ac:dyDescent="0.2">
      <c r="A14" s="11" t="s">
        <v>56</v>
      </c>
      <c r="B14" s="11">
        <v>1</v>
      </c>
      <c r="C14" s="11" t="str">
        <f>IF(B2&gt;MAX('TUM-M'!A:A),"",INDEX('TUM-M'!B:B,MATCH(B2,'TUM-M'!A:A)))</f>
        <v>CAMIRAND, Jean-Philippe</v>
      </c>
      <c r="D14" s="11" t="str">
        <f>IF(B2&gt;MAX('TUM-M'!A:A),"",IF(INDEX('TUM-M'!I:I,MATCH(B2,'TUM-M'!A:A))="","No DD",INDEX('TUM-M'!I:I,MATCH(B2,'TUM-M'!A:A))))</f>
        <v>No DD</v>
      </c>
    </row>
    <row r="15" spans="1:12" hidden="1" x14ac:dyDescent="0.2">
      <c r="A15" s="11"/>
      <c r="B15" s="11">
        <v>2</v>
      </c>
      <c r="C15" s="11" t="str">
        <f>IF(B3&gt;MAX('TUM-M'!A:A),"",INDEX('TUM-M'!B:B,MATCH(B3,'TUM-M'!A:A)))</f>
        <v/>
      </c>
      <c r="D15" s="11" t="str">
        <f>IF(B3&gt;MAX('TUM-M'!A:A),"",IF(INDEX('TUM-M'!I:I,MATCH(B3,'TUM-M'!A:A))="","No DD",INDEX('TUM-M'!I:I,MATCH(B3,'TUM-M'!A:A))))</f>
        <v/>
      </c>
    </row>
    <row r="16" spans="1:12" hidden="1" x14ac:dyDescent="0.2">
      <c r="A16" s="11"/>
      <c r="B16" s="11">
        <v>3</v>
      </c>
      <c r="C16" s="11" t="str">
        <f>IF(B4&gt;MAX('TUM-M'!A:A),"",INDEX('TUM-M'!B:B,MATCH(B4,'TUM-M'!A:A)))</f>
        <v/>
      </c>
      <c r="D16" s="11" t="str">
        <f>IF(B4&gt;MAX('TUM-M'!A:A),"",IF(INDEX('TUM-M'!I:I,MATCH(B4,'TUM-M'!A:A))="","No DD",INDEX('TUM-M'!I:I,MATCH(B4,'TUM-M'!A:A))))</f>
        <v/>
      </c>
    </row>
    <row r="17" spans="1:4" hidden="1" x14ac:dyDescent="0.2">
      <c r="A17" s="11"/>
      <c r="B17" s="11">
        <v>4</v>
      </c>
      <c r="C17" s="11" t="str">
        <f>IF(B5&gt;MAX('TUM-M'!A:A),"",INDEX('TUM-M'!B:B,MATCH(B5,'TUM-M'!A:A)))</f>
        <v/>
      </c>
      <c r="D17" s="11" t="str">
        <f>IF(B5&gt;MAX('TUM-M'!A:A),"",IF(INDEX('TUM-M'!I:I,MATCH(B5,'TUM-M'!A:A))="","No DD",INDEX('TUM-M'!I:I,MATCH(B5,'TUM-M'!A:A))))</f>
        <v/>
      </c>
    </row>
    <row r="18" spans="1:4" hidden="1" x14ac:dyDescent="0.2">
      <c r="A18" s="11"/>
      <c r="B18" s="11">
        <v>5</v>
      </c>
      <c r="C18" s="11" t="str">
        <f>IF(B6&gt;MAX('TUM-M'!A:A),"",INDEX('TUM-M'!B:B,MATCH(B6,'TUM-M'!A:A)))</f>
        <v/>
      </c>
      <c r="D18" s="11" t="str">
        <f>IF(B6&gt;MAX('TUM-M'!A:A),"",IF(INDEX('TUM-M'!I:I,MATCH(B6,'TUM-M'!A:A))="","No DD",INDEX('TUM-M'!I:I,MATCH(B6,'TUM-M'!A:A))))</f>
        <v/>
      </c>
    </row>
    <row r="19" spans="1:4" hidden="1" x14ac:dyDescent="0.2">
      <c r="A19" s="11"/>
      <c r="B19" s="11">
        <v>6</v>
      </c>
      <c r="C19" s="11" t="str">
        <f>IF(B7&gt;MAX('TUM-M'!A:A),"",INDEX('TUM-M'!B:B,MATCH(B7,'TUM-M'!A:A)))</f>
        <v/>
      </c>
      <c r="D19" s="11" t="str">
        <f>IF(B7&gt;MAX('TUM-M'!A:A),"",IF(INDEX('TUM-M'!I:I,MATCH(B7,'TUM-M'!A:A))="","No DD",INDEX('TUM-M'!I:I,MATCH(B7,'TUM-M'!A:A))))</f>
        <v/>
      </c>
    </row>
    <row r="20" spans="1:4" x14ac:dyDescent="0.2">
      <c r="A20" s="14" t="s">
        <v>57</v>
      </c>
      <c r="B20" s="14">
        <v>1</v>
      </c>
      <c r="C20" s="14" t="str">
        <f>IF(B2&gt;MAX('TUM-W'!A:A),"",INDEX('TUM-W'!B:B,MATCH(B2,'TUM-W'!A:A)))</f>
        <v>HARRISON, Emily</v>
      </c>
      <c r="D20" s="14" t="str">
        <f>IF(B2&gt;MAX('TUM-W'!A:A),"",IF(INDEX('TUM-W'!I:I,MATCH(B2,'TUM-W'!A:A))="","No DD",INDEX('TUM-W'!I:I,MATCH(B2,'TUM-W'!A:A))))</f>
        <v>National Team</v>
      </c>
    </row>
    <row r="21" spans="1:4" x14ac:dyDescent="0.2">
      <c r="A21" s="14"/>
      <c r="B21" s="14">
        <v>2</v>
      </c>
      <c r="C21" s="14" t="str">
        <f>IF(B3&gt;MAX('TUM-W'!A:A),"",INDEX('TUM-W'!B:B,MATCH(B3,'TUM-W'!A:A)))</f>
        <v>CHAU, Emma</v>
      </c>
      <c r="D21" s="14" t="str">
        <f>IF(B3&gt;MAX('TUM-W'!A:A),"",IF(INDEX('TUM-W'!I:I,MATCH(B3,'TUM-W'!A:A))="","No DD",INDEX('TUM-W'!I:I,MATCH(B3,'TUM-W'!A:A))))</f>
        <v>National Team</v>
      </c>
    </row>
    <row r="22" spans="1:4" x14ac:dyDescent="0.2">
      <c r="A22" s="14"/>
      <c r="B22" s="14">
        <v>3</v>
      </c>
      <c r="C22" s="14" t="str">
        <f>IF(B4&gt;MAX('TUM-W'!A:A),"",INDEX('TUM-W'!B:B,MATCH(B4,'TUM-W'!A:A)))</f>
        <v>KORBUT, Kendra</v>
      </c>
      <c r="D22" s="14" t="str">
        <f>IF(B4&gt;MAX('TUM-W'!A:A),"",IF(INDEX('TUM-W'!I:I,MATCH(B4,'TUM-W'!A:A))="","No DD",INDEX('TUM-W'!I:I,MATCH(B4,'TUM-W'!A:A))))</f>
        <v>National Team</v>
      </c>
    </row>
    <row r="23" spans="1:4" x14ac:dyDescent="0.2">
      <c r="A23" s="14"/>
      <c r="B23" s="14">
        <v>4</v>
      </c>
      <c r="C23" s="14" t="str">
        <f>IF(B5&gt;MAX('TUM-W'!A:A),"",INDEX('TUM-W'!B:B,MATCH(B5,'TUM-W'!A:A)))</f>
        <v>FOREST, Alexandra</v>
      </c>
      <c r="D23" s="14" t="str">
        <f>IF(B5&gt;MAX('TUM-W'!A:A),"",IF(INDEX('TUM-W'!I:I,MATCH(B5,'TUM-W'!A:A))="","No DD",INDEX('TUM-W'!I:I,MATCH(B5,'TUM-W'!A:A))))</f>
        <v>National Team</v>
      </c>
    </row>
    <row r="24" spans="1:4" x14ac:dyDescent="0.2">
      <c r="A24" s="14"/>
      <c r="B24" s="14">
        <v>5</v>
      </c>
      <c r="C24" s="14" t="str">
        <f>IF(B6&gt;MAX('TUM-W'!A:A),"",INDEX('TUM-W'!B:B,MATCH(B6,'TUM-W'!A:A)))</f>
        <v>HECK, Megan</v>
      </c>
      <c r="D24" s="14" t="str">
        <f>IF(B6&gt;MAX('TUM-W'!A:A),"",IF(INDEX('TUM-W'!I:I,MATCH(B6,'TUM-W'!A:A))="","No DD",INDEX('TUM-W'!I:I,MATCH(B6,'TUM-W'!A:A))))</f>
        <v>No DD</v>
      </c>
    </row>
    <row r="25" spans="1:4" hidden="1" x14ac:dyDescent="0.2">
      <c r="A25" s="14"/>
      <c r="B25" s="14">
        <v>6</v>
      </c>
      <c r="C25" s="14" t="str">
        <f>IF(B7&gt;MAX('TUM-W'!A:A),"",INDEX('TUM-W'!B:B,MATCH(B7,'TUM-W'!A:A)))</f>
        <v/>
      </c>
      <c r="D25" s="14" t="str">
        <f>IF(B7&gt;MAX('TUM-W'!A:A),"",IF(INDEX('TUM-W'!I:I,MATCH(B7,'TUM-W'!A:A))="","No DD",INDEX('TUM-W'!I:I,MATCH(B7,'TUM-W'!A:A))))</f>
        <v/>
      </c>
    </row>
    <row r="26" spans="1:4" x14ac:dyDescent="0.2">
      <c r="A26" s="11" t="s">
        <v>58</v>
      </c>
      <c r="B26" s="11">
        <v>1</v>
      </c>
      <c r="C26" s="11" t="str">
        <f>IF(B2&gt;MAX('DMT-M'!A:A),"",INDEX('DMT-M'!B:B,MATCH(B2,'DMT-M'!A:A)))</f>
        <v>DODD, Gavin</v>
      </c>
      <c r="D26" s="11" t="str">
        <f>IF(B2&gt;MAX('DMT-M'!A:A),"",IF(INDEX('DMT-M'!I:I,MATCH(B2,'DMT-M'!A:A))="","No DD",INDEX('DMT-M'!I:I,MATCH(B2,'DMT-M'!A:A))))</f>
        <v>National Team</v>
      </c>
    </row>
    <row r="27" spans="1:4" x14ac:dyDescent="0.2">
      <c r="A27" s="11"/>
      <c r="B27" s="11">
        <v>2</v>
      </c>
      <c r="C27" s="11" t="str">
        <f>IF(B3&gt;MAX('DMT-M'!A:A),"",INDEX('DMT-M'!B:B,MATCH(B3,'DMT-M'!A:A)))</f>
        <v>LUPISH, Kieran</v>
      </c>
      <c r="D27" s="11" t="str">
        <f>IF(B3&gt;MAX('DMT-M'!A:A),"",IF(INDEX('DMT-M'!I:I,MATCH(B3,'DMT-M'!A:A))="","No DD",INDEX('DMT-M'!I:I,MATCH(B3,'DMT-M'!A:A))))</f>
        <v>National Team</v>
      </c>
    </row>
    <row r="28" spans="1:4" x14ac:dyDescent="0.2">
      <c r="A28" s="11"/>
      <c r="B28" s="11">
        <v>3</v>
      </c>
      <c r="C28" s="11" t="str">
        <f>IF(B4&gt;MAX('DMT-M'!A:A),"",INDEX('DMT-M'!B:B,MATCH(B4,'DMT-M'!A:A)))</f>
        <v>ARMSTRONG, Owen</v>
      </c>
      <c r="D28" s="11" t="str">
        <f>IF(B4&gt;MAX('DMT-M'!A:A),"",IF(INDEX('DMT-M'!I:I,MATCH(B4,'DMT-M'!A:A))="","No DD",INDEX('DMT-M'!I:I,MATCH(B4,'DMT-M'!A:A))))</f>
        <v>National Team</v>
      </c>
    </row>
    <row r="29" spans="1:4" x14ac:dyDescent="0.2">
      <c r="A29" s="11"/>
      <c r="B29" s="11">
        <v>4</v>
      </c>
      <c r="C29" s="11" t="str">
        <f>IF(B5&gt;MAX('DMT-M'!A:A),"",INDEX('DMT-M'!B:B,MATCH(B5,'DMT-M'!A:A)))</f>
        <v>MOULD, Blake</v>
      </c>
      <c r="D29" s="11" t="str">
        <f>IF(B5&gt;MAX('DMT-M'!A:A),"",IF(INDEX('DMT-M'!I:I,MATCH(B5,'DMT-M'!A:A))="","No DD",INDEX('DMT-M'!I:I,MATCH(B5,'DMT-M'!A:A))))</f>
        <v>National Team</v>
      </c>
    </row>
    <row r="30" spans="1:4" hidden="1" x14ac:dyDescent="0.2">
      <c r="A30" s="11"/>
      <c r="B30" s="11">
        <v>5</v>
      </c>
      <c r="C30" s="11" t="str">
        <f>IF(B6&gt;MAX('DMT-M'!A:A),"",INDEX('DMT-M'!B:B,MATCH(B6,'DMT-M'!A:A)))</f>
        <v/>
      </c>
      <c r="D30" s="11" t="str">
        <f>IF(B6&gt;MAX('DMT-M'!A:A),"",IF(INDEX('DMT-M'!I:I,MATCH(B6,'DMT-M'!A:A))="","No DD",INDEX('DMT-M'!I:I,MATCH(B6,'DMT-M'!A:A))))</f>
        <v/>
      </c>
    </row>
    <row r="31" spans="1:4" hidden="1" x14ac:dyDescent="0.2">
      <c r="A31" s="11"/>
      <c r="B31" s="11">
        <v>6</v>
      </c>
      <c r="C31" s="11" t="str">
        <f>IF(B7&gt;MAX('DMT-M'!A:A),"",INDEX('DMT-M'!B:B,MATCH(B7,'DMT-M'!A:A)))</f>
        <v/>
      </c>
      <c r="D31" s="11" t="str">
        <f>IF(B7&gt;MAX('DMT-M'!A:A),"",IF(INDEX('DMT-M'!I:I,MATCH(B7,'DMT-M'!A:A))="","No DD",INDEX('DMT-M'!I:I,MATCH(B7,'DMT-M'!A:A))))</f>
        <v/>
      </c>
    </row>
    <row r="32" spans="1:4" x14ac:dyDescent="0.2">
      <c r="A32" s="14" t="s">
        <v>59</v>
      </c>
      <c r="B32" s="14">
        <v>1</v>
      </c>
      <c r="C32" s="14" t="str">
        <f>IF(B2&gt;MAX('DMT-W'!A:A),"",INDEX('DMT-W'!B:B,MATCH(B2,'DMT-W'!A:A)))</f>
        <v>KYFUIK, Mackenzie</v>
      </c>
      <c r="D32" s="14" t="str">
        <f>IF(B2&gt;MAX('DMT-W'!A:A),"",IF(INDEX('DMT-W'!I:I,MATCH(B2,'DMT-W'!A:A))="","No DD",INDEX('DMT-W'!I:I,MATCH(B2,'DMT-W'!A:A))))</f>
        <v>National Team</v>
      </c>
    </row>
    <row r="33" spans="1:5" x14ac:dyDescent="0.2">
      <c r="A33" s="14"/>
      <c r="B33" s="14">
        <v>2</v>
      </c>
      <c r="C33" s="14" t="str">
        <f>IF(B3&gt;MAX('DMT-W'!A:A),"",INDEX('DMT-W'!B:B,MATCH(B3,'DMT-W'!A:A)))</f>
        <v>YENDLEY, Jordyn</v>
      </c>
      <c r="D33" s="14" t="str">
        <f>IF(B3&gt;MAX('DMT-W'!A:A),"",IF(INDEX('DMT-W'!I:I,MATCH(B3,'DMT-W'!A:A))="","No DD",INDEX('DMT-W'!I:I,MATCH(B3,'DMT-W'!A:A))))</f>
        <v>No DD</v>
      </c>
    </row>
    <row r="34" spans="1:5" hidden="1" x14ac:dyDescent="0.2">
      <c r="A34" s="14"/>
      <c r="B34" s="14">
        <v>3</v>
      </c>
      <c r="C34" s="14" t="str">
        <f>IF(B4&gt;MAX('DMT-W'!A:A),"",INDEX('DMT-W'!B:B,MATCH(B4,'DMT-W'!A:A)))</f>
        <v/>
      </c>
      <c r="D34" s="14" t="str">
        <f>IF(B4&gt;MAX('DMT-W'!A:A),"",IF(INDEX('DMT-W'!I:I,MATCH(B4,'DMT-W'!A:A))="","No DD",INDEX('DMT-W'!I:I,MATCH(B4,'DMT-W'!A:A))))</f>
        <v/>
      </c>
    </row>
    <row r="35" spans="1:5" hidden="1" x14ac:dyDescent="0.2">
      <c r="A35" s="14"/>
      <c r="B35" s="14">
        <v>4</v>
      </c>
      <c r="C35" s="14" t="str">
        <f>IF(B5&gt;MAX('DMT-W'!A:A),"",INDEX('DMT-W'!B:B,MATCH(B5,'DMT-W'!A:A)))</f>
        <v/>
      </c>
      <c r="D35" s="14" t="str">
        <f>IF(B5&gt;MAX('DMT-W'!A:A),"",IF(INDEX('DMT-W'!I:I,MATCH(B5,'DMT-W'!A:A))="","No DD",INDEX('DMT-W'!I:I,MATCH(B5,'DMT-W'!A:A))))</f>
        <v/>
      </c>
    </row>
    <row r="36" spans="1:5" hidden="1" x14ac:dyDescent="0.2">
      <c r="A36" s="14"/>
      <c r="B36" s="14">
        <v>5</v>
      </c>
      <c r="C36" s="14" t="str">
        <f>IF(B6&gt;MAX('DMT-W'!A:A),"",INDEX('DMT-W'!B:B,MATCH(B6,'DMT-W'!A:A)))</f>
        <v/>
      </c>
      <c r="D36" s="14" t="str">
        <f>IF(B6&gt;MAX('DMT-W'!A:A),"",IF(INDEX('DMT-W'!I:I,MATCH(B6,'DMT-W'!A:A))="","No DD",INDEX('DMT-W'!I:I,MATCH(B6,'DMT-W'!A:A))))</f>
        <v/>
      </c>
    </row>
    <row r="37" spans="1:5" hidden="1" x14ac:dyDescent="0.2">
      <c r="A37" s="14"/>
      <c r="B37" s="14">
        <v>6</v>
      </c>
      <c r="C37" s="14" t="str">
        <f>IF(B7&gt;MAX('DMT-W'!A:A),"",INDEX('DMT-W'!B:B,MATCH(B7,'DMT-W'!A:A)))</f>
        <v/>
      </c>
      <c r="D37" s="14" t="str">
        <f>IF(B7&gt;MAX('DMT-W'!A:A),"",IF(INDEX('DMT-W'!I:I,MATCH(B7,'DMT-W'!A:A))="","No DD",INDEX('DMT-W'!I:I,MATCH(B7,'DMT-W'!A:A))))</f>
        <v/>
      </c>
    </row>
    <row r="39" spans="1:5" x14ac:dyDescent="0.2">
      <c r="B39" s="58" t="s">
        <v>50</v>
      </c>
    </row>
    <row r="40" spans="1:5" x14ac:dyDescent="0.2">
      <c r="B40" s="58" t="s">
        <v>48</v>
      </c>
    </row>
    <row r="41" spans="1:5" x14ac:dyDescent="0.2">
      <c r="B41" s="58" t="s">
        <v>49</v>
      </c>
    </row>
    <row r="42" spans="1:5" x14ac:dyDescent="0.2">
      <c r="B42" s="58" t="s">
        <v>128</v>
      </c>
      <c r="D42" s="58" t="s">
        <v>127</v>
      </c>
      <c r="E42" t="s">
        <v>127</v>
      </c>
    </row>
    <row r="43" spans="1:5" x14ac:dyDescent="0.2">
      <c r="B43" s="58" t="s">
        <v>129</v>
      </c>
      <c r="D43" s="58" t="s">
        <v>127</v>
      </c>
    </row>
    <row r="44" spans="1:5" x14ac:dyDescent="0.2">
      <c r="B44" s="58" t="s">
        <v>130</v>
      </c>
      <c r="D44" s="58"/>
    </row>
    <row r="45" spans="1:5" x14ac:dyDescent="0.2">
      <c r="B45" s="58" t="s">
        <v>131</v>
      </c>
      <c r="D45" s="58" t="s">
        <v>127</v>
      </c>
    </row>
    <row r="46" spans="1:5" x14ac:dyDescent="0.2">
      <c r="A46" t="s">
        <v>54</v>
      </c>
      <c r="B46" s="112">
        <v>43423</v>
      </c>
      <c r="C46" s="112"/>
    </row>
    <row r="47" spans="1:5" x14ac:dyDescent="0.2">
      <c r="B47" s="95" t="s">
        <v>136</v>
      </c>
    </row>
    <row r="49" spans="2:2" x14ac:dyDescent="0.2">
      <c r="B49" s="95"/>
    </row>
    <row r="50" spans="2:2" x14ac:dyDescent="0.2">
      <c r="B50" s="58"/>
    </row>
    <row r="51" spans="2:2" x14ac:dyDescent="0.2">
      <c r="B51" s="58"/>
    </row>
  </sheetData>
  <sheetProtection formatCells="0" formatColumns="0" formatRows="0"/>
  <mergeCells count="1">
    <mergeCell ref="B46:C46"/>
  </mergeCells>
  <conditionalFormatting sqref="D2:D37">
    <cfRule type="containsText" dxfId="166" priority="1" operator="containsText" text="No DD">
      <formula>NOT(ISERROR(SEARCH("No DD",D2)))</formula>
    </cfRule>
    <cfRule type="containsText" dxfId="165" priority="4" operator="containsText" text="Merit">
      <formula>NOT(ISERROR(SEARCH("Merit",D2)))</formula>
    </cfRule>
    <cfRule type="containsText" dxfId="164" priority="5" operator="containsText" text="Funding">
      <formula>NOT(ISERROR(SEARCH("Funding",D2)))</formula>
    </cfRule>
    <cfRule type="containsText" dxfId="163" priority="6" operator="containsText" text="Worlds Team">
      <formula>NOT(ISERROR(SEARCH("Worlds Team",D2)))</formula>
    </cfRule>
    <cfRule type="containsText" dxfId="16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2:D43 D45" xr:uid="{890649C3-63AD-5346-8DB2-84987EAEE729}">
      <formula1>"Select,TRA-M,TRA-W,TUM-M,TUM-W,DMT-M,DMT-W"</formula1>
    </dataValidation>
    <dataValidation type="list" allowBlank="1" showInputMessage="1" showErrorMessage="1" sqref="E42" xr:uid="{C1DD223E-20B6-A848-BE27-6F1543F3C3D5}">
      <formula1>IF($D$42="Select",D42,INDIRECT("'"&amp;$D$42&amp;"'!"&amp;"B4:B"&amp;MATCH(TRUE,INDEX(INDIRECT("'"&amp;$D$42&amp;"'!"&amp;"B4:B100")="",0),0)+2))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25400</xdr:colOff>
                    <xdr:row>38</xdr:row>
                    <xdr:rowOff>38100</xdr:rowOff>
                  </from>
                  <to>
                    <xdr:col>0</xdr:col>
                    <xdr:colOff>990600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990600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1003300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Injury" altText="Injury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990600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42</xdr:row>
                    <xdr:rowOff>25400</xdr:rowOff>
                  </from>
                  <to>
                    <xdr:col>0</xdr:col>
                    <xdr:colOff>1003300</xdr:colOff>
                    <xdr:row>42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50800</xdr:colOff>
                    <xdr:row>43</xdr:row>
                    <xdr:rowOff>25400</xdr:rowOff>
                  </from>
                  <to>
                    <xdr:col>0</xdr:col>
                    <xdr:colOff>1003300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50800</xdr:colOff>
                    <xdr:row>44</xdr:row>
                    <xdr:rowOff>25400</xdr:rowOff>
                  </from>
                  <to>
                    <xdr:col>0</xdr:col>
                    <xdr:colOff>1003300</xdr:colOff>
                    <xdr:row>44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C5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4.6640625" hidden="1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9.5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89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17" t="s">
        <v>1</v>
      </c>
      <c r="B1" s="117" t="s">
        <v>28</v>
      </c>
      <c r="C1" s="117" t="s">
        <v>0</v>
      </c>
      <c r="D1" s="117" t="s">
        <v>67</v>
      </c>
      <c r="E1" s="117" t="s">
        <v>2</v>
      </c>
      <c r="F1" s="118" t="s">
        <v>63</v>
      </c>
      <c r="G1" s="118" t="s">
        <v>62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11</v>
      </c>
      <c r="M1" s="119" t="s">
        <v>45</v>
      </c>
      <c r="N1" s="119" t="s">
        <v>12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3" t="s">
        <v>64</v>
      </c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4" t="s">
        <v>116</v>
      </c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21" t="s">
        <v>14</v>
      </c>
      <c r="CJ1" s="121"/>
      <c r="CK1" s="121"/>
      <c r="CL1" s="114" t="s">
        <v>132</v>
      </c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3" t="s">
        <v>133</v>
      </c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4" t="s">
        <v>134</v>
      </c>
      <c r="EC1" s="114"/>
      <c r="ED1" s="114"/>
      <c r="EE1" s="114"/>
      <c r="EF1" s="114"/>
      <c r="EG1" s="114"/>
      <c r="EH1" s="114"/>
      <c r="EI1" s="114"/>
      <c r="EJ1" s="114"/>
      <c r="EK1" s="114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3" t="s">
        <v>135</v>
      </c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3"/>
      <c r="GN1" s="113"/>
      <c r="GO1" s="113"/>
      <c r="GP1" s="113"/>
      <c r="GQ1" s="113"/>
      <c r="GR1" s="113"/>
      <c r="GS1" s="113"/>
      <c r="GT1" s="113"/>
      <c r="GU1" s="113"/>
      <c r="GV1" s="113"/>
      <c r="GW1" s="113"/>
      <c r="GX1" s="113"/>
      <c r="GY1" s="113"/>
      <c r="GZ1" s="113"/>
      <c r="HA1" s="113"/>
      <c r="HB1" s="113"/>
      <c r="HC1" s="113"/>
      <c r="HD1" s="113"/>
      <c r="HE1" s="113"/>
      <c r="HF1" s="113"/>
      <c r="HG1" s="113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3"/>
      <c r="ID1" s="113"/>
      <c r="IE1" s="113"/>
      <c r="IF1" s="113"/>
      <c r="IG1" s="113"/>
      <c r="IH1" s="113"/>
      <c r="II1" s="113"/>
      <c r="IJ1" s="113"/>
      <c r="IK1" s="113"/>
      <c r="IL1" s="113"/>
      <c r="IM1" s="113"/>
      <c r="IN1" s="113"/>
      <c r="IO1" s="113"/>
      <c r="IP1" s="113"/>
      <c r="IQ1" s="113"/>
      <c r="IR1" s="113"/>
      <c r="IS1" s="113"/>
      <c r="IT1" s="113"/>
      <c r="IU1" s="113"/>
      <c r="IV1" s="113"/>
      <c r="IW1" s="113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3"/>
      <c r="JT1" s="113"/>
      <c r="JU1" s="113"/>
      <c r="JV1" s="113"/>
      <c r="JW1" s="113"/>
      <c r="JX1" s="113"/>
      <c r="JY1" s="113"/>
      <c r="JZ1" s="113"/>
      <c r="KA1" s="113"/>
      <c r="KB1" s="113"/>
      <c r="KC1" s="113"/>
      <c r="KD1" s="113"/>
      <c r="KE1" s="113"/>
      <c r="KF1" s="113"/>
      <c r="KG1" s="113"/>
      <c r="KH1" s="113"/>
      <c r="KI1" s="113"/>
      <c r="KJ1" s="113"/>
      <c r="KK1" s="113"/>
      <c r="KL1" s="113"/>
      <c r="KM1" s="113"/>
      <c r="KN1" s="114"/>
      <c r="KO1" s="114"/>
      <c r="KP1" s="114"/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3"/>
      <c r="LY1" s="113"/>
      <c r="LZ1" s="113"/>
      <c r="MA1" s="113"/>
      <c r="MB1" s="113"/>
      <c r="MC1" s="113"/>
    </row>
    <row r="2" spans="1:341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19</v>
      </c>
      <c r="V2" s="116"/>
      <c r="W2" s="116"/>
      <c r="X2" s="116"/>
      <c r="Y2" s="116"/>
      <c r="Z2" s="116" t="s">
        <v>20</v>
      </c>
      <c r="AA2" s="116"/>
      <c r="AB2" s="116"/>
      <c r="AC2" s="116"/>
      <c r="AD2" s="116"/>
      <c r="AE2" s="116" t="s">
        <v>23</v>
      </c>
      <c r="AF2" s="116"/>
      <c r="AG2" s="116"/>
      <c r="AH2" s="116"/>
      <c r="AI2" s="116"/>
      <c r="AJ2" s="97"/>
      <c r="AK2" s="39" t="s">
        <v>66</v>
      </c>
      <c r="AL2" s="10" t="s">
        <v>21</v>
      </c>
      <c r="AM2" s="10" t="s">
        <v>22</v>
      </c>
      <c r="AN2" s="10" t="s">
        <v>24</v>
      </c>
      <c r="AO2" s="10" t="s">
        <v>23</v>
      </c>
      <c r="AP2" s="10" t="s">
        <v>18</v>
      </c>
      <c r="AQ2" s="115" t="s">
        <v>19</v>
      </c>
      <c r="AR2" s="115"/>
      <c r="AS2" s="115"/>
      <c r="AT2" s="115"/>
      <c r="AU2" s="115"/>
      <c r="AV2" s="115" t="s">
        <v>20</v>
      </c>
      <c r="AW2" s="115"/>
      <c r="AX2" s="115"/>
      <c r="AY2" s="115"/>
      <c r="AZ2" s="115"/>
      <c r="BA2" s="115" t="s">
        <v>23</v>
      </c>
      <c r="BB2" s="115"/>
      <c r="BC2" s="115"/>
      <c r="BD2" s="115"/>
      <c r="BE2" s="115"/>
      <c r="BF2" s="96"/>
      <c r="BG2" s="40" t="s">
        <v>66</v>
      </c>
      <c r="BH2" s="13" t="s">
        <v>21</v>
      </c>
      <c r="BI2" s="13" t="s">
        <v>22</v>
      </c>
      <c r="BJ2" s="13" t="s">
        <v>24</v>
      </c>
      <c r="BK2" s="13" t="s">
        <v>23</v>
      </c>
      <c r="BL2" s="13" t="s">
        <v>18</v>
      </c>
      <c r="BM2" s="116" t="s">
        <v>19</v>
      </c>
      <c r="BN2" s="116"/>
      <c r="BO2" s="116"/>
      <c r="BP2" s="116"/>
      <c r="BQ2" s="116"/>
      <c r="BR2" s="116" t="s">
        <v>20</v>
      </c>
      <c r="BS2" s="116"/>
      <c r="BT2" s="116"/>
      <c r="BU2" s="116"/>
      <c r="BV2" s="116"/>
      <c r="BW2" s="116" t="s">
        <v>23</v>
      </c>
      <c r="BX2" s="116"/>
      <c r="BY2" s="116"/>
      <c r="BZ2" s="116"/>
      <c r="CA2" s="116"/>
      <c r="CB2" s="97"/>
      <c r="CC2" s="39" t="s">
        <v>66</v>
      </c>
      <c r="CD2" s="10" t="s">
        <v>21</v>
      </c>
      <c r="CE2" s="10" t="s">
        <v>22</v>
      </c>
      <c r="CF2" s="10" t="s">
        <v>24</v>
      </c>
      <c r="CG2" s="10" t="s">
        <v>23</v>
      </c>
      <c r="CH2" s="10" t="s">
        <v>18</v>
      </c>
      <c r="CI2" s="26" t="s">
        <v>21</v>
      </c>
      <c r="CJ2" s="26" t="s">
        <v>22</v>
      </c>
      <c r="CK2" s="26" t="s">
        <v>23</v>
      </c>
      <c r="CL2" s="116" t="s">
        <v>19</v>
      </c>
      <c r="CM2" s="116"/>
      <c r="CN2" s="116"/>
      <c r="CO2" s="116"/>
      <c r="CP2" s="116"/>
      <c r="CQ2" s="116" t="s">
        <v>20</v>
      </c>
      <c r="CR2" s="116"/>
      <c r="CS2" s="116"/>
      <c r="CT2" s="116"/>
      <c r="CU2" s="116"/>
      <c r="CV2" s="116" t="s">
        <v>23</v>
      </c>
      <c r="CW2" s="116"/>
      <c r="CX2" s="116"/>
      <c r="CY2" s="116"/>
      <c r="CZ2" s="116"/>
      <c r="DA2" s="39" t="s">
        <v>66</v>
      </c>
      <c r="DB2" s="10" t="s">
        <v>21</v>
      </c>
      <c r="DC2" s="10" t="s">
        <v>22</v>
      </c>
      <c r="DD2" s="10" t="s">
        <v>24</v>
      </c>
      <c r="DE2" s="10" t="s">
        <v>23</v>
      </c>
      <c r="DF2" s="10" t="s">
        <v>18</v>
      </c>
      <c r="DG2" s="115" t="s">
        <v>19</v>
      </c>
      <c r="DH2" s="115"/>
      <c r="DI2" s="115"/>
      <c r="DJ2" s="115"/>
      <c r="DK2" s="115"/>
      <c r="DL2" s="115" t="s">
        <v>20</v>
      </c>
      <c r="DM2" s="115"/>
      <c r="DN2" s="115"/>
      <c r="DO2" s="115"/>
      <c r="DP2" s="115"/>
      <c r="DQ2" s="115" t="s">
        <v>23</v>
      </c>
      <c r="DR2" s="115"/>
      <c r="DS2" s="115"/>
      <c r="DT2" s="115"/>
      <c r="DU2" s="115"/>
      <c r="DV2" s="40" t="s">
        <v>66</v>
      </c>
      <c r="DW2" s="13" t="s">
        <v>21</v>
      </c>
      <c r="DX2" s="13" t="s">
        <v>22</v>
      </c>
      <c r="DY2" s="13" t="s">
        <v>24</v>
      </c>
      <c r="DZ2" s="13" t="s">
        <v>23</v>
      </c>
      <c r="EA2" s="13" t="s">
        <v>18</v>
      </c>
      <c r="EB2" s="116" t="s">
        <v>19</v>
      </c>
      <c r="EC2" s="116"/>
      <c r="ED2" s="116"/>
      <c r="EE2" s="116"/>
      <c r="EF2" s="116"/>
      <c r="EG2" s="116" t="s">
        <v>20</v>
      </c>
      <c r="EH2" s="116"/>
      <c r="EI2" s="116"/>
      <c r="EJ2" s="116"/>
      <c r="EK2" s="116"/>
      <c r="EL2" s="116" t="s">
        <v>23</v>
      </c>
      <c r="EM2" s="116"/>
      <c r="EN2" s="116"/>
      <c r="EO2" s="116"/>
      <c r="EP2" s="116"/>
      <c r="EQ2" s="78" t="s">
        <v>66</v>
      </c>
      <c r="ER2" s="10" t="s">
        <v>21</v>
      </c>
      <c r="ES2" s="10" t="s">
        <v>22</v>
      </c>
      <c r="ET2" s="10" t="s">
        <v>24</v>
      </c>
      <c r="EU2" s="10" t="s">
        <v>23</v>
      </c>
      <c r="EV2" s="10" t="s">
        <v>18</v>
      </c>
      <c r="EW2" s="115" t="s">
        <v>19</v>
      </c>
      <c r="EX2" s="115"/>
      <c r="EY2" s="115"/>
      <c r="EZ2" s="115"/>
      <c r="FA2" s="115"/>
      <c r="FB2" s="115" t="s">
        <v>20</v>
      </c>
      <c r="FC2" s="115"/>
      <c r="FD2" s="115"/>
      <c r="FE2" s="115"/>
      <c r="FF2" s="115"/>
      <c r="FG2" s="115" t="s">
        <v>23</v>
      </c>
      <c r="FH2" s="115"/>
      <c r="FI2" s="115"/>
      <c r="FJ2" s="115"/>
      <c r="FK2" s="115"/>
      <c r="FL2" s="77" t="s">
        <v>66</v>
      </c>
      <c r="FM2" s="13" t="s">
        <v>21</v>
      </c>
      <c r="FN2" s="13" t="s">
        <v>22</v>
      </c>
      <c r="FO2" s="13" t="s">
        <v>24</v>
      </c>
      <c r="FP2" s="13" t="s">
        <v>23</v>
      </c>
      <c r="FQ2" s="13" t="s">
        <v>18</v>
      </c>
      <c r="FR2" s="116" t="s">
        <v>19</v>
      </c>
      <c r="FS2" s="116"/>
      <c r="FT2" s="116"/>
      <c r="FU2" s="116"/>
      <c r="FV2" s="116"/>
      <c r="FW2" s="116" t="s">
        <v>20</v>
      </c>
      <c r="FX2" s="116"/>
      <c r="FY2" s="116"/>
      <c r="FZ2" s="116"/>
      <c r="GA2" s="116"/>
      <c r="GB2" s="116" t="s">
        <v>23</v>
      </c>
      <c r="GC2" s="116"/>
      <c r="GD2" s="116"/>
      <c r="GE2" s="116"/>
      <c r="GF2" s="116"/>
      <c r="GG2" s="78" t="s">
        <v>66</v>
      </c>
      <c r="GH2" s="10" t="s">
        <v>21</v>
      </c>
      <c r="GI2" s="10" t="s">
        <v>22</v>
      </c>
      <c r="GJ2" s="10" t="s">
        <v>24</v>
      </c>
      <c r="GK2" s="10" t="s">
        <v>23</v>
      </c>
      <c r="GL2" s="10" t="s">
        <v>18</v>
      </c>
      <c r="GM2" s="115" t="s">
        <v>19</v>
      </c>
      <c r="GN2" s="115"/>
      <c r="GO2" s="115"/>
      <c r="GP2" s="115"/>
      <c r="GQ2" s="115"/>
      <c r="GR2" s="115" t="s">
        <v>20</v>
      </c>
      <c r="GS2" s="115"/>
      <c r="GT2" s="115"/>
      <c r="GU2" s="115"/>
      <c r="GV2" s="115"/>
      <c r="GW2" s="115" t="s">
        <v>23</v>
      </c>
      <c r="GX2" s="115"/>
      <c r="GY2" s="115"/>
      <c r="GZ2" s="115"/>
      <c r="HA2" s="115"/>
      <c r="HB2" s="77" t="s">
        <v>66</v>
      </c>
      <c r="HC2" s="13" t="s">
        <v>21</v>
      </c>
      <c r="HD2" s="13" t="s">
        <v>22</v>
      </c>
      <c r="HE2" s="13" t="s">
        <v>24</v>
      </c>
      <c r="HF2" s="13" t="s">
        <v>23</v>
      </c>
      <c r="HG2" s="13" t="s">
        <v>18</v>
      </c>
      <c r="HH2" s="116" t="s">
        <v>19</v>
      </c>
      <c r="HI2" s="116"/>
      <c r="HJ2" s="116"/>
      <c r="HK2" s="116"/>
      <c r="HL2" s="116"/>
      <c r="HM2" s="116" t="s">
        <v>20</v>
      </c>
      <c r="HN2" s="116"/>
      <c r="HO2" s="116"/>
      <c r="HP2" s="116"/>
      <c r="HQ2" s="116"/>
      <c r="HR2" s="116" t="s">
        <v>23</v>
      </c>
      <c r="HS2" s="116"/>
      <c r="HT2" s="116"/>
      <c r="HU2" s="116"/>
      <c r="HV2" s="116"/>
      <c r="HW2" s="78" t="s">
        <v>66</v>
      </c>
      <c r="HX2" s="10" t="s">
        <v>21</v>
      </c>
      <c r="HY2" s="10" t="s">
        <v>22</v>
      </c>
      <c r="HZ2" s="10" t="s">
        <v>24</v>
      </c>
      <c r="IA2" s="10" t="s">
        <v>23</v>
      </c>
      <c r="IB2" s="10" t="s">
        <v>18</v>
      </c>
      <c r="IC2" s="115" t="s">
        <v>19</v>
      </c>
      <c r="ID2" s="115"/>
      <c r="IE2" s="115"/>
      <c r="IF2" s="115"/>
      <c r="IG2" s="115"/>
      <c r="IH2" s="115" t="s">
        <v>20</v>
      </c>
      <c r="II2" s="115"/>
      <c r="IJ2" s="115"/>
      <c r="IK2" s="115"/>
      <c r="IL2" s="115"/>
      <c r="IM2" s="115" t="s">
        <v>23</v>
      </c>
      <c r="IN2" s="115"/>
      <c r="IO2" s="115"/>
      <c r="IP2" s="115"/>
      <c r="IQ2" s="115"/>
      <c r="IR2" s="77" t="s">
        <v>66</v>
      </c>
      <c r="IS2" s="13" t="s">
        <v>21</v>
      </c>
      <c r="IT2" s="13" t="s">
        <v>22</v>
      </c>
      <c r="IU2" s="13" t="s">
        <v>24</v>
      </c>
      <c r="IV2" s="13" t="s">
        <v>23</v>
      </c>
      <c r="IW2" s="13" t="s">
        <v>18</v>
      </c>
      <c r="IX2" s="116" t="s">
        <v>19</v>
      </c>
      <c r="IY2" s="116"/>
      <c r="IZ2" s="116"/>
      <c r="JA2" s="116"/>
      <c r="JB2" s="116"/>
      <c r="JC2" s="116" t="s">
        <v>20</v>
      </c>
      <c r="JD2" s="116"/>
      <c r="JE2" s="116"/>
      <c r="JF2" s="116"/>
      <c r="JG2" s="116"/>
      <c r="JH2" s="116" t="s">
        <v>23</v>
      </c>
      <c r="JI2" s="116"/>
      <c r="JJ2" s="116"/>
      <c r="JK2" s="116"/>
      <c r="JL2" s="116"/>
      <c r="JM2" s="78" t="s">
        <v>66</v>
      </c>
      <c r="JN2" s="10" t="s">
        <v>21</v>
      </c>
      <c r="JO2" s="10" t="s">
        <v>22</v>
      </c>
      <c r="JP2" s="10" t="s">
        <v>24</v>
      </c>
      <c r="JQ2" s="10" t="s">
        <v>23</v>
      </c>
      <c r="JR2" s="10" t="s">
        <v>18</v>
      </c>
      <c r="JS2" s="115" t="s">
        <v>19</v>
      </c>
      <c r="JT2" s="115"/>
      <c r="JU2" s="115"/>
      <c r="JV2" s="115"/>
      <c r="JW2" s="115"/>
      <c r="JX2" s="115" t="s">
        <v>20</v>
      </c>
      <c r="JY2" s="115"/>
      <c r="JZ2" s="115"/>
      <c r="KA2" s="115"/>
      <c r="KB2" s="115"/>
      <c r="KC2" s="115" t="s">
        <v>23</v>
      </c>
      <c r="KD2" s="115"/>
      <c r="KE2" s="115"/>
      <c r="KF2" s="115"/>
      <c r="KG2" s="115"/>
      <c r="KH2" s="77" t="s">
        <v>66</v>
      </c>
      <c r="KI2" s="13" t="s">
        <v>21</v>
      </c>
      <c r="KJ2" s="13" t="s">
        <v>22</v>
      </c>
      <c r="KK2" s="13" t="s">
        <v>24</v>
      </c>
      <c r="KL2" s="13" t="s">
        <v>23</v>
      </c>
      <c r="KM2" s="13" t="s">
        <v>18</v>
      </c>
      <c r="KN2" s="116" t="s">
        <v>19</v>
      </c>
      <c r="KO2" s="116"/>
      <c r="KP2" s="116"/>
      <c r="KQ2" s="116"/>
      <c r="KR2" s="116"/>
      <c r="KS2" s="116" t="s">
        <v>20</v>
      </c>
      <c r="KT2" s="116"/>
      <c r="KU2" s="116"/>
      <c r="KV2" s="116"/>
      <c r="KW2" s="116"/>
      <c r="KX2" s="116" t="s">
        <v>23</v>
      </c>
      <c r="KY2" s="116"/>
      <c r="KZ2" s="116"/>
      <c r="LA2" s="116"/>
      <c r="LB2" s="116"/>
      <c r="LC2" s="78" t="s">
        <v>66</v>
      </c>
      <c r="LD2" s="10" t="s">
        <v>21</v>
      </c>
      <c r="LE2" s="10" t="s">
        <v>22</v>
      </c>
      <c r="LF2" s="10" t="s">
        <v>24</v>
      </c>
      <c r="LG2" s="10" t="s">
        <v>23</v>
      </c>
      <c r="LH2" s="10" t="s">
        <v>18</v>
      </c>
      <c r="LI2" s="115" t="s">
        <v>19</v>
      </c>
      <c r="LJ2" s="115"/>
      <c r="LK2" s="115"/>
      <c r="LL2" s="115"/>
      <c r="LM2" s="115"/>
      <c r="LN2" s="115" t="s">
        <v>20</v>
      </c>
      <c r="LO2" s="115"/>
      <c r="LP2" s="115"/>
      <c r="LQ2" s="115"/>
      <c r="LR2" s="115"/>
      <c r="LS2" s="115" t="s">
        <v>23</v>
      </c>
      <c r="LT2" s="115"/>
      <c r="LU2" s="115"/>
      <c r="LV2" s="115"/>
      <c r="LW2" s="115"/>
      <c r="LX2" s="77" t="s">
        <v>66</v>
      </c>
      <c r="LY2" s="13" t="s">
        <v>21</v>
      </c>
      <c r="LZ2" s="13" t="s">
        <v>22</v>
      </c>
      <c r="MA2" s="13" t="s">
        <v>24</v>
      </c>
      <c r="MB2" s="13" t="s">
        <v>23</v>
      </c>
      <c r="MC2" s="13" t="s">
        <v>18</v>
      </c>
    </row>
    <row r="3" spans="1:341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39" t="s">
        <v>15</v>
      </c>
      <c r="V3" s="39" t="s">
        <v>16</v>
      </c>
      <c r="W3" s="39" t="s">
        <v>7</v>
      </c>
      <c r="X3" s="39" t="s">
        <v>17</v>
      </c>
      <c r="Y3" s="55" t="s">
        <v>32</v>
      </c>
      <c r="Z3" s="39" t="s">
        <v>15</v>
      </c>
      <c r="AA3" s="39" t="s">
        <v>16</v>
      </c>
      <c r="AB3" s="39" t="s">
        <v>7</v>
      </c>
      <c r="AC3" s="39" t="s">
        <v>17</v>
      </c>
      <c r="AD3" s="55" t="s">
        <v>32</v>
      </c>
      <c r="AE3" s="39" t="s">
        <v>15</v>
      </c>
      <c r="AF3" s="39" t="s">
        <v>16</v>
      </c>
      <c r="AG3" s="39" t="s">
        <v>7</v>
      </c>
      <c r="AH3" s="39" t="s">
        <v>17</v>
      </c>
      <c r="AI3" s="55" t="s">
        <v>32</v>
      </c>
      <c r="AJ3" s="97" t="s">
        <v>124</v>
      </c>
      <c r="AK3" s="11"/>
      <c r="AL3" s="10"/>
      <c r="AM3" s="10"/>
      <c r="AN3" s="10"/>
      <c r="AO3" s="11"/>
      <c r="AP3" s="11"/>
      <c r="AQ3" s="40" t="s">
        <v>15</v>
      </c>
      <c r="AR3" s="40" t="s">
        <v>16</v>
      </c>
      <c r="AS3" s="40" t="s">
        <v>7</v>
      </c>
      <c r="AT3" s="40" t="s">
        <v>17</v>
      </c>
      <c r="AU3" s="56" t="s">
        <v>32</v>
      </c>
      <c r="AV3" s="40" t="s">
        <v>15</v>
      </c>
      <c r="AW3" s="40" t="s">
        <v>16</v>
      </c>
      <c r="AX3" s="40" t="s">
        <v>7</v>
      </c>
      <c r="AY3" s="40" t="s">
        <v>17</v>
      </c>
      <c r="AZ3" s="56" t="s">
        <v>32</v>
      </c>
      <c r="BA3" s="40" t="s">
        <v>15</v>
      </c>
      <c r="BB3" s="40" t="s">
        <v>16</v>
      </c>
      <c r="BC3" s="40" t="s">
        <v>7</v>
      </c>
      <c r="BD3" s="56" t="s">
        <v>17</v>
      </c>
      <c r="BE3" s="40" t="s">
        <v>32</v>
      </c>
      <c r="BF3" s="96" t="s">
        <v>124</v>
      </c>
      <c r="BG3" s="14"/>
      <c r="BH3" s="13"/>
      <c r="BI3" s="13"/>
      <c r="BJ3" s="13"/>
      <c r="BK3" s="14"/>
      <c r="BL3" s="14"/>
      <c r="BM3" s="39" t="s">
        <v>15</v>
      </c>
      <c r="BN3" s="39" t="s">
        <v>16</v>
      </c>
      <c r="BO3" s="39" t="s">
        <v>7</v>
      </c>
      <c r="BP3" s="39" t="s">
        <v>17</v>
      </c>
      <c r="BQ3" s="55" t="s">
        <v>32</v>
      </c>
      <c r="BR3" s="39" t="s">
        <v>15</v>
      </c>
      <c r="BS3" s="39" t="s">
        <v>16</v>
      </c>
      <c r="BT3" s="39" t="s">
        <v>7</v>
      </c>
      <c r="BU3" s="39" t="s">
        <v>17</v>
      </c>
      <c r="BV3" s="55" t="s">
        <v>32</v>
      </c>
      <c r="BW3" s="39" t="s">
        <v>15</v>
      </c>
      <c r="BX3" s="39" t="s">
        <v>16</v>
      </c>
      <c r="BY3" s="39" t="s">
        <v>7</v>
      </c>
      <c r="BZ3" s="39" t="s">
        <v>17</v>
      </c>
      <c r="CA3" s="55" t="s">
        <v>32</v>
      </c>
      <c r="CB3" s="97" t="s">
        <v>124</v>
      </c>
      <c r="CC3" s="11"/>
      <c r="CD3" s="10"/>
      <c r="CE3" s="10"/>
      <c r="CF3" s="10"/>
      <c r="CG3" s="11"/>
      <c r="CH3" s="11"/>
      <c r="CI3" s="27"/>
      <c r="CJ3" s="27"/>
      <c r="CK3" s="27"/>
      <c r="CL3" s="39" t="s">
        <v>15</v>
      </c>
      <c r="CM3" s="39" t="s">
        <v>16</v>
      </c>
      <c r="CN3" s="39" t="s">
        <v>7</v>
      </c>
      <c r="CO3" s="39" t="s">
        <v>17</v>
      </c>
      <c r="CP3" s="55" t="s">
        <v>32</v>
      </c>
      <c r="CQ3" s="39" t="s">
        <v>15</v>
      </c>
      <c r="CR3" s="39" t="s">
        <v>16</v>
      </c>
      <c r="CS3" s="39" t="s">
        <v>7</v>
      </c>
      <c r="CT3" s="39" t="s">
        <v>17</v>
      </c>
      <c r="CU3" s="55" t="s">
        <v>32</v>
      </c>
      <c r="CV3" s="39" t="s">
        <v>15</v>
      </c>
      <c r="CW3" s="39" t="s">
        <v>16</v>
      </c>
      <c r="CX3" s="39" t="s">
        <v>7</v>
      </c>
      <c r="CY3" s="39" t="s">
        <v>17</v>
      </c>
      <c r="CZ3" s="55" t="s">
        <v>32</v>
      </c>
      <c r="DA3" s="11"/>
      <c r="DB3" s="10"/>
      <c r="DC3" s="10"/>
      <c r="DD3" s="10"/>
      <c r="DE3" s="11"/>
      <c r="DF3" s="11"/>
      <c r="DG3" s="40" t="s">
        <v>15</v>
      </c>
      <c r="DH3" s="40" t="s">
        <v>16</v>
      </c>
      <c r="DI3" s="40" t="s">
        <v>7</v>
      </c>
      <c r="DJ3" s="40" t="s">
        <v>17</v>
      </c>
      <c r="DK3" s="56" t="s">
        <v>32</v>
      </c>
      <c r="DL3" s="40" t="s">
        <v>15</v>
      </c>
      <c r="DM3" s="40" t="s">
        <v>16</v>
      </c>
      <c r="DN3" s="40" t="s">
        <v>7</v>
      </c>
      <c r="DO3" s="40" t="s">
        <v>17</v>
      </c>
      <c r="DP3" s="56" t="s">
        <v>32</v>
      </c>
      <c r="DQ3" s="40" t="s">
        <v>15</v>
      </c>
      <c r="DR3" s="40" t="s">
        <v>16</v>
      </c>
      <c r="DS3" s="40" t="s">
        <v>7</v>
      </c>
      <c r="DT3" s="40" t="s">
        <v>17</v>
      </c>
      <c r="DU3" s="57" t="s">
        <v>32</v>
      </c>
      <c r="DV3" s="14"/>
      <c r="DW3" s="13"/>
      <c r="DX3" s="13"/>
      <c r="DY3" s="13"/>
      <c r="DZ3" s="14"/>
      <c r="EA3" s="14"/>
      <c r="EB3" s="39" t="s">
        <v>15</v>
      </c>
      <c r="EC3" s="39" t="s">
        <v>16</v>
      </c>
      <c r="ED3" s="39" t="s">
        <v>7</v>
      </c>
      <c r="EE3" s="39" t="s">
        <v>17</v>
      </c>
      <c r="EF3" s="55" t="s">
        <v>32</v>
      </c>
      <c r="EG3" s="39" t="s">
        <v>15</v>
      </c>
      <c r="EH3" s="39" t="s">
        <v>16</v>
      </c>
      <c r="EI3" s="39" t="s">
        <v>7</v>
      </c>
      <c r="EJ3" s="39" t="s">
        <v>17</v>
      </c>
      <c r="EK3" s="55" t="s">
        <v>32</v>
      </c>
      <c r="EL3" s="39" t="s">
        <v>15</v>
      </c>
      <c r="EM3" s="39" t="s">
        <v>16</v>
      </c>
      <c r="EN3" s="39" t="s">
        <v>7</v>
      </c>
      <c r="EO3" s="39" t="s">
        <v>17</v>
      </c>
      <c r="EP3" s="55" t="s">
        <v>32</v>
      </c>
      <c r="EQ3" s="11"/>
      <c r="ER3" s="10"/>
      <c r="ES3" s="10"/>
      <c r="ET3" s="10"/>
      <c r="EU3" s="11"/>
      <c r="EV3" s="11"/>
      <c r="EW3" s="40" t="s">
        <v>15</v>
      </c>
      <c r="EX3" s="40" t="s">
        <v>16</v>
      </c>
      <c r="EY3" s="40" t="s">
        <v>7</v>
      </c>
      <c r="EZ3" s="40" t="s">
        <v>17</v>
      </c>
      <c r="FA3" s="56" t="s">
        <v>32</v>
      </c>
      <c r="FB3" s="40" t="s">
        <v>15</v>
      </c>
      <c r="FC3" s="40" t="s">
        <v>16</v>
      </c>
      <c r="FD3" s="40" t="s">
        <v>7</v>
      </c>
      <c r="FE3" s="40" t="s">
        <v>17</v>
      </c>
      <c r="FF3" s="56" t="s">
        <v>32</v>
      </c>
      <c r="FG3" s="40" t="s">
        <v>15</v>
      </c>
      <c r="FH3" s="40" t="s">
        <v>16</v>
      </c>
      <c r="FI3" s="40" t="s">
        <v>7</v>
      </c>
      <c r="FJ3" s="40" t="s">
        <v>17</v>
      </c>
      <c r="FK3" s="56" t="s">
        <v>32</v>
      </c>
      <c r="FL3" s="14"/>
      <c r="FM3" s="13"/>
      <c r="FN3" s="13"/>
      <c r="FO3" s="13"/>
      <c r="FP3" s="14"/>
      <c r="FQ3" s="14"/>
      <c r="FR3" s="39" t="s">
        <v>15</v>
      </c>
      <c r="FS3" s="39" t="s">
        <v>16</v>
      </c>
      <c r="FT3" s="39" t="s">
        <v>7</v>
      </c>
      <c r="FU3" s="39" t="s">
        <v>17</v>
      </c>
      <c r="FV3" s="55" t="s">
        <v>32</v>
      </c>
      <c r="FW3" s="39" t="s">
        <v>15</v>
      </c>
      <c r="FX3" s="39" t="s">
        <v>16</v>
      </c>
      <c r="FY3" s="39" t="s">
        <v>7</v>
      </c>
      <c r="FZ3" s="39" t="s">
        <v>17</v>
      </c>
      <c r="GA3" s="55" t="s">
        <v>32</v>
      </c>
      <c r="GB3" s="39" t="s">
        <v>15</v>
      </c>
      <c r="GC3" s="39" t="s">
        <v>16</v>
      </c>
      <c r="GD3" s="39" t="s">
        <v>7</v>
      </c>
      <c r="GE3" s="39" t="s">
        <v>17</v>
      </c>
      <c r="GF3" s="55" t="s">
        <v>32</v>
      </c>
      <c r="GG3" s="11"/>
      <c r="GH3" s="10"/>
      <c r="GI3" s="10"/>
      <c r="GJ3" s="10"/>
      <c r="GK3" s="11"/>
      <c r="GL3" s="11"/>
      <c r="GM3" s="40" t="s">
        <v>15</v>
      </c>
      <c r="GN3" s="40" t="s">
        <v>16</v>
      </c>
      <c r="GO3" s="40" t="s">
        <v>7</v>
      </c>
      <c r="GP3" s="40" t="s">
        <v>17</v>
      </c>
      <c r="GQ3" s="56" t="s">
        <v>32</v>
      </c>
      <c r="GR3" s="40" t="s">
        <v>15</v>
      </c>
      <c r="GS3" s="40" t="s">
        <v>16</v>
      </c>
      <c r="GT3" s="40" t="s">
        <v>7</v>
      </c>
      <c r="GU3" s="40" t="s">
        <v>17</v>
      </c>
      <c r="GV3" s="56" t="s">
        <v>32</v>
      </c>
      <c r="GW3" s="40" t="s">
        <v>15</v>
      </c>
      <c r="GX3" s="40" t="s">
        <v>16</v>
      </c>
      <c r="GY3" s="40" t="s">
        <v>7</v>
      </c>
      <c r="GZ3" s="40" t="s">
        <v>17</v>
      </c>
      <c r="HA3" s="56" t="s">
        <v>32</v>
      </c>
      <c r="HB3" s="14"/>
      <c r="HC3" s="13"/>
      <c r="HD3" s="13"/>
      <c r="HE3" s="13"/>
      <c r="HF3" s="14"/>
      <c r="HG3" s="14"/>
      <c r="HH3" s="39" t="s">
        <v>15</v>
      </c>
      <c r="HI3" s="39" t="s">
        <v>16</v>
      </c>
      <c r="HJ3" s="39" t="s">
        <v>7</v>
      </c>
      <c r="HK3" s="39" t="s">
        <v>17</v>
      </c>
      <c r="HL3" s="55" t="s">
        <v>32</v>
      </c>
      <c r="HM3" s="39" t="s">
        <v>15</v>
      </c>
      <c r="HN3" s="39" t="s">
        <v>16</v>
      </c>
      <c r="HO3" s="39" t="s">
        <v>7</v>
      </c>
      <c r="HP3" s="39" t="s">
        <v>17</v>
      </c>
      <c r="HQ3" s="55" t="s">
        <v>32</v>
      </c>
      <c r="HR3" s="39" t="s">
        <v>15</v>
      </c>
      <c r="HS3" s="39" t="s">
        <v>16</v>
      </c>
      <c r="HT3" s="39" t="s">
        <v>7</v>
      </c>
      <c r="HU3" s="39" t="s">
        <v>17</v>
      </c>
      <c r="HV3" s="55" t="s">
        <v>32</v>
      </c>
      <c r="HW3" s="11"/>
      <c r="HX3" s="10"/>
      <c r="HY3" s="10"/>
      <c r="HZ3" s="10"/>
      <c r="IA3" s="11"/>
      <c r="IB3" s="11"/>
      <c r="IC3" s="40" t="s">
        <v>15</v>
      </c>
      <c r="ID3" s="40" t="s">
        <v>16</v>
      </c>
      <c r="IE3" s="40" t="s">
        <v>7</v>
      </c>
      <c r="IF3" s="40" t="s">
        <v>17</v>
      </c>
      <c r="IG3" s="56" t="s">
        <v>32</v>
      </c>
      <c r="IH3" s="40" t="s">
        <v>15</v>
      </c>
      <c r="II3" s="40" t="s">
        <v>16</v>
      </c>
      <c r="IJ3" s="40" t="s">
        <v>7</v>
      </c>
      <c r="IK3" s="40" t="s">
        <v>17</v>
      </c>
      <c r="IL3" s="56" t="s">
        <v>32</v>
      </c>
      <c r="IM3" s="40" t="s">
        <v>15</v>
      </c>
      <c r="IN3" s="40" t="s">
        <v>16</v>
      </c>
      <c r="IO3" s="40" t="s">
        <v>7</v>
      </c>
      <c r="IP3" s="40" t="s">
        <v>17</v>
      </c>
      <c r="IQ3" s="56" t="s">
        <v>32</v>
      </c>
      <c r="IR3" s="14"/>
      <c r="IS3" s="13"/>
      <c r="IT3" s="13"/>
      <c r="IU3" s="13"/>
      <c r="IV3" s="14"/>
      <c r="IW3" s="14"/>
      <c r="IX3" s="39" t="s">
        <v>15</v>
      </c>
      <c r="IY3" s="39" t="s">
        <v>16</v>
      </c>
      <c r="IZ3" s="39" t="s">
        <v>7</v>
      </c>
      <c r="JA3" s="39" t="s">
        <v>17</v>
      </c>
      <c r="JB3" s="55" t="s">
        <v>32</v>
      </c>
      <c r="JC3" s="39" t="s">
        <v>15</v>
      </c>
      <c r="JD3" s="39" t="s">
        <v>16</v>
      </c>
      <c r="JE3" s="39" t="s">
        <v>7</v>
      </c>
      <c r="JF3" s="39" t="s">
        <v>17</v>
      </c>
      <c r="JG3" s="55" t="s">
        <v>32</v>
      </c>
      <c r="JH3" s="39" t="s">
        <v>15</v>
      </c>
      <c r="JI3" s="39" t="s">
        <v>16</v>
      </c>
      <c r="JJ3" s="39" t="s">
        <v>7</v>
      </c>
      <c r="JK3" s="39" t="s">
        <v>17</v>
      </c>
      <c r="JL3" s="55" t="s">
        <v>32</v>
      </c>
      <c r="JM3" s="11"/>
      <c r="JN3" s="10"/>
      <c r="JO3" s="10"/>
      <c r="JP3" s="10"/>
      <c r="JQ3" s="11"/>
      <c r="JR3" s="11"/>
      <c r="JS3" s="40" t="s">
        <v>15</v>
      </c>
      <c r="JT3" s="40" t="s">
        <v>16</v>
      </c>
      <c r="JU3" s="40" t="s">
        <v>7</v>
      </c>
      <c r="JV3" s="40" t="s">
        <v>17</v>
      </c>
      <c r="JW3" s="56" t="s">
        <v>32</v>
      </c>
      <c r="JX3" s="40" t="s">
        <v>15</v>
      </c>
      <c r="JY3" s="40" t="s">
        <v>16</v>
      </c>
      <c r="JZ3" s="40" t="s">
        <v>7</v>
      </c>
      <c r="KA3" s="40" t="s">
        <v>17</v>
      </c>
      <c r="KB3" s="56" t="s">
        <v>32</v>
      </c>
      <c r="KC3" s="40" t="s">
        <v>15</v>
      </c>
      <c r="KD3" s="40" t="s">
        <v>16</v>
      </c>
      <c r="KE3" s="40" t="s">
        <v>7</v>
      </c>
      <c r="KF3" s="40" t="s">
        <v>17</v>
      </c>
      <c r="KG3" s="56" t="s">
        <v>32</v>
      </c>
      <c r="KH3" s="14"/>
      <c r="KI3" s="13"/>
      <c r="KJ3" s="13"/>
      <c r="KK3" s="13"/>
      <c r="KL3" s="14"/>
      <c r="KM3" s="14"/>
      <c r="KN3" s="39" t="s">
        <v>15</v>
      </c>
      <c r="KO3" s="39" t="s">
        <v>16</v>
      </c>
      <c r="KP3" s="39" t="s">
        <v>7</v>
      </c>
      <c r="KQ3" s="39" t="s">
        <v>17</v>
      </c>
      <c r="KR3" s="55" t="s">
        <v>32</v>
      </c>
      <c r="KS3" s="39" t="s">
        <v>15</v>
      </c>
      <c r="KT3" s="39" t="s">
        <v>16</v>
      </c>
      <c r="KU3" s="39" t="s">
        <v>7</v>
      </c>
      <c r="KV3" s="39" t="s">
        <v>17</v>
      </c>
      <c r="KW3" s="55" t="s">
        <v>32</v>
      </c>
      <c r="KX3" s="39" t="s">
        <v>15</v>
      </c>
      <c r="KY3" s="39" t="s">
        <v>16</v>
      </c>
      <c r="KZ3" s="39" t="s">
        <v>7</v>
      </c>
      <c r="LA3" s="39" t="s">
        <v>17</v>
      </c>
      <c r="LB3" s="55" t="s">
        <v>32</v>
      </c>
      <c r="LC3" s="11"/>
      <c r="LD3" s="10"/>
      <c r="LE3" s="10"/>
      <c r="LF3" s="10"/>
      <c r="LG3" s="11"/>
      <c r="LH3" s="11"/>
      <c r="LI3" s="40" t="s">
        <v>15</v>
      </c>
      <c r="LJ3" s="40" t="s">
        <v>16</v>
      </c>
      <c r="LK3" s="40" t="s">
        <v>7</v>
      </c>
      <c r="LL3" s="40" t="s">
        <v>17</v>
      </c>
      <c r="LM3" s="56" t="s">
        <v>32</v>
      </c>
      <c r="LN3" s="40" t="s">
        <v>15</v>
      </c>
      <c r="LO3" s="40" t="s">
        <v>16</v>
      </c>
      <c r="LP3" s="40" t="s">
        <v>7</v>
      </c>
      <c r="LQ3" s="40" t="s">
        <v>17</v>
      </c>
      <c r="LR3" s="56" t="s">
        <v>32</v>
      </c>
      <c r="LS3" s="40" t="s">
        <v>15</v>
      </c>
      <c r="LT3" s="40" t="s">
        <v>16</v>
      </c>
      <c r="LU3" s="40" t="s">
        <v>7</v>
      </c>
      <c r="LV3" s="40" t="s">
        <v>17</v>
      </c>
      <c r="LW3" s="56" t="s">
        <v>32</v>
      </c>
      <c r="LX3" s="14"/>
      <c r="LY3" s="13"/>
      <c r="LZ3" s="13"/>
      <c r="MA3" s="13"/>
      <c r="MB3" s="14"/>
      <c r="MC3" s="14"/>
    </row>
    <row r="4" spans="1:341" x14ac:dyDescent="0.2">
      <c r="A4" s="6">
        <f>IF(AND(F4="P",H4="P"),SUMPRODUCT((F$4:F$21="P")*(H$4:H$21="P")*(E$4:E$21&gt;E4))+1,IF(H4="P",SUMPRODUCT((F$4:F$21="")*(H$4:H$21="P")*(E$4:E$21&gt;E4))+1+SUMPRODUCT((F$4:F$21="P")*(H$4:H$21="P")),""))</f>
        <v>1</v>
      </c>
      <c r="B4" s="7" t="s">
        <v>68</v>
      </c>
      <c r="C4" s="8" t="s">
        <v>5</v>
      </c>
      <c r="D4" s="6">
        <v>2003</v>
      </c>
      <c r="E4" s="16">
        <f>SUM(J4:R4)</f>
        <v>253.38</v>
      </c>
      <c r="F4" s="4" t="str">
        <f>IF(OR(AND($AK4&gt;=$AL$24,NOT($AK4=""),$AJ4=""),AND($BG4&gt;=$BH$24,NOT($BG4=""),$BF4=""),AND($CC4&gt;=$CD$24,NOT($CC4=""),$CB4="")),"P","")</f>
        <v>P</v>
      </c>
      <c r="G4" s="4" t="str">
        <f>IF(OR(AND($AK4&gt;=$AL$25,NOT($AK4=""),$AJ4=""),AND($BG4&gt;=$BH$25,NOT($BG4=""),$BF4=""),AND($CC4&gt;=$CD$25,NOT($CC4=""),$CB4="")),"P","")</f>
        <v/>
      </c>
      <c r="H4" s="4" t="str">
        <f>IF(OR(AND($AN4&gt;=$AL$26,NOT($AN4=""),$AJ4=""),AND($BJ4&gt;=$BH$26,NOT($BJ4=""),$BF4=""),AND($CF4&gt;=$CD$26,NOT($CF4=""),$CB4="")),"P","")</f>
        <v>P</v>
      </c>
      <c r="I4" t="str">
        <f>IF(AND(F4="P",OR(AND($AM4&gt;$AL$29,NOT($AM4=""),$AJ4=""),AND($AO4&gt;$AL$29,NOT($AO4=""),$AJ4=""),AND($BI4&gt;$BH$29,NOT($BI4=""),$BF4=""),AND($BK4&gt;$BH$29,NOT($BK4=""),$BF4=""),AND($CE4&gt;$CD$29,NOT($CE4=""),$CB4=""),AND($CG4&gt;$CD$29,NOT($CG4=""),$CB4=""))),"Merit",IF(AND(F4="P",OR(AND($AN4&gt;$AL$28,NOT($AN4=""),$AJ4=""),AND($BJ4&gt;$BH$28,NOT($BJ4=""),$BF4=""),AND($CF4&gt;$CD$28,NOT($CF4=""),$CB4=""))),"Funding",IF(AND(F4="P",OR(AND($AN4&gt;$AL$27,NOT($AN4=""),$AJ4=""),AND($BJ4&gt;$BH$27,NOT($BJ4=""),$BF4=""),AND($CF4&gt;$CD$27,NOT($CF4=""),$CB4=""))),"Worlds Team",IF(AND(F4="P",OR(AND($AN4&gt;$AL$26,NOT($AN4=""),$AJ4=""),AND($BJ4&gt;$BH$26,NOT($BJ4=""),$BF4=""),AND($CF4&gt;$CD$26,NOT($CF4=""),$CB4=""))),"National Team",""))))</f>
        <v>National Team</v>
      </c>
      <c r="J4" s="15">
        <f>MAX(AN4,BJ4,CF4)</f>
        <v>100.735</v>
      </c>
      <c r="K4" s="15" t="str">
        <f>IF(J4=CF4,$BM$1,IF(J4=BJ4,$AQ$1,IF(J4=AN4,$U$1,"")))</f>
        <v>2017 Nationals</v>
      </c>
      <c r="L4" s="15">
        <f>IF($J4=$AN4,MAX(BH4,CD4),IF($J4=$BJ4,MAX(AL4,CD4),MAX(AL4,BH4)))</f>
        <v>45.96</v>
      </c>
      <c r="M4" s="15" t="str">
        <f>IF(AND(L4=CD4,$K4&lt;&gt;$BM$1),$BM$1,IF(AND(L4=BH4,$K4&lt;&gt;$AQ$1),$AQ$1,IF(AND(L4=AL4,$K4&lt;&gt;$U$1),$U$1,"")))</f>
        <v>2018 Nationals</v>
      </c>
      <c r="N4" s="15">
        <f>IF($J4=$AN4,MAX(BI4,CE4),IF($J4=$BJ4,MAX(AM4,CE4),MAX(AM4,BI4)))</f>
        <v>52.274999999999999</v>
      </c>
      <c r="O4" s="15" t="str">
        <f>IF(AND(N4=CE4,$K4&lt;&gt;$BM$1),$BM$1,IF(AND(N4=BI4,$K4&lt;&gt;$AQ$1),$AQ$1,IF(AND(N4=AM4,$K4&lt;&gt;$U$1),$U$1,"")))</f>
        <v>2018 Canada Cup</v>
      </c>
      <c r="P4" s="15">
        <f>MAX(AO4,BK4,CG4)</f>
        <v>54.410000000000004</v>
      </c>
      <c r="Q4" s="15" t="str">
        <f>IF(P4=CG4,$BM$1,IF(P4=BK4,$AQ$1,IF(P4=AO4,$U$1,"")))</f>
        <v>2017 Nationals</v>
      </c>
      <c r="R4" s="15" t="str">
        <f>IF(MAX(CI4,CJ4,CK4)&gt;0,MAX(CI4,CJ4,CK4),"")</f>
        <v/>
      </c>
      <c r="S4" s="29" t="str">
        <f>IF(R4="","",IF(R4=CI4,"(Vol 1)",IF(R4=CJ4,"(Vol 2)",IF(R4=CK4,"(Final)"))))</f>
        <v/>
      </c>
      <c r="T4" s="15" t="str">
        <f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/>
      </c>
      <c r="U4" s="76">
        <v>18.100000000000001</v>
      </c>
      <c r="V4" s="76">
        <v>9.1</v>
      </c>
      <c r="W4" s="76">
        <v>4.5</v>
      </c>
      <c r="X4" s="76">
        <v>14.75</v>
      </c>
      <c r="Y4" s="76">
        <v>0</v>
      </c>
      <c r="Z4" s="76">
        <v>16.399999999999999</v>
      </c>
      <c r="AA4" s="76">
        <v>9.4</v>
      </c>
      <c r="AB4" s="76">
        <v>13.7</v>
      </c>
      <c r="AC4" s="76">
        <v>14.785</v>
      </c>
      <c r="AD4" s="76">
        <v>0</v>
      </c>
      <c r="AE4" s="76">
        <v>16.600000000000001</v>
      </c>
      <c r="AF4" s="76">
        <v>9.6999999999999993</v>
      </c>
      <c r="AG4" s="76">
        <v>13.3</v>
      </c>
      <c r="AH4" s="76">
        <v>14.81</v>
      </c>
      <c r="AI4" s="76">
        <v>0</v>
      </c>
      <c r="AJ4" s="101"/>
      <c r="AK4" s="12">
        <f>IF(SUM(AB4)&gt;0,SUM(AB4),"")</f>
        <v>13.7</v>
      </c>
      <c r="AL4" s="12">
        <f>IF(SUM(U4:X4)-Y4&gt;0,SUM(U4:X4)-Y4,"")</f>
        <v>46.45</v>
      </c>
      <c r="AM4" s="12">
        <f>IF(SUM(Z4:AC4)-AD4&gt;0,SUM(Z4:AC4)-AD4,"")</f>
        <v>54.284999999999997</v>
      </c>
      <c r="AN4" s="12">
        <f>IF(SUM(AL4:AM4)&gt;0,SUM(AL4:AM4),"")</f>
        <v>100.735</v>
      </c>
      <c r="AO4" s="12">
        <f>IF(SUM(AE4:AH4)-AI4&gt;0,SUM(AE4:AH4)-AI4,"")</f>
        <v>54.410000000000004</v>
      </c>
      <c r="AP4" s="12">
        <f>IF(SUM(AN4,AO4)&gt;0,SUM(AN4,AO4),"")</f>
        <v>155.14500000000001</v>
      </c>
      <c r="AQ4" s="80">
        <v>16.3</v>
      </c>
      <c r="AR4" s="80">
        <v>8.9499999999999993</v>
      </c>
      <c r="AS4" s="80">
        <v>5.2</v>
      </c>
      <c r="AT4" s="80">
        <v>14.81</v>
      </c>
      <c r="AU4" s="80">
        <v>0</v>
      </c>
      <c r="AV4" s="80">
        <v>14.9</v>
      </c>
      <c r="AW4" s="80">
        <v>9.15</v>
      </c>
      <c r="AX4" s="80">
        <v>13.7</v>
      </c>
      <c r="AY4" s="80">
        <v>14.525</v>
      </c>
      <c r="AZ4" s="80">
        <v>0</v>
      </c>
      <c r="BA4" s="80">
        <v>15.4</v>
      </c>
      <c r="BB4" s="80">
        <v>9.1</v>
      </c>
      <c r="BC4" s="80">
        <v>13.7</v>
      </c>
      <c r="BD4" s="80">
        <v>14.535</v>
      </c>
      <c r="BE4" s="80">
        <v>0</v>
      </c>
      <c r="BF4" s="105"/>
      <c r="BG4" s="15">
        <f>IF(SUM(AX4)&gt;0,SUM(AX4),"")</f>
        <v>13.7</v>
      </c>
      <c r="BH4" s="15">
        <f>IF(SUM(AQ4:AT4)-AU4&gt;0,SUM(AQ4:AT4)-AU4,"")</f>
        <v>45.26</v>
      </c>
      <c r="BI4" s="15">
        <f>IF(SUM(AV4:AY4)-AZ4&gt;0,SUM(AV4:AY4)-AZ4,"")</f>
        <v>52.274999999999999</v>
      </c>
      <c r="BJ4" s="15">
        <f>IF(SUM(BH4:BI4)&gt;0,SUM(BH4:BI4),"")</f>
        <v>97.534999999999997</v>
      </c>
      <c r="BK4" s="15">
        <f>IF(SUM(BA4:BD4)-BE4&gt;0,SUM(BA4:BD4)-BE4,"")</f>
        <v>52.734999999999999</v>
      </c>
      <c r="BL4" s="15">
        <f>IF(SUM(BJ4,BK4)&gt;0,SUM(BJ4,BK4),"")</f>
        <v>150.26999999999998</v>
      </c>
      <c r="BM4" s="76">
        <v>16.8</v>
      </c>
      <c r="BN4" s="76">
        <v>9.6</v>
      </c>
      <c r="BO4" s="76">
        <v>4.5</v>
      </c>
      <c r="BP4" s="76">
        <v>15.06</v>
      </c>
      <c r="BQ4" s="76">
        <v>0</v>
      </c>
      <c r="BR4" s="76">
        <v>14.5</v>
      </c>
      <c r="BS4" s="76">
        <v>9.0500000000000007</v>
      </c>
      <c r="BT4" s="76">
        <v>13.7</v>
      </c>
      <c r="BU4" s="76">
        <v>14.7</v>
      </c>
      <c r="BV4" s="76">
        <v>0</v>
      </c>
      <c r="BW4" s="76">
        <v>15.1</v>
      </c>
      <c r="BX4" s="76">
        <v>9.1999999999999993</v>
      </c>
      <c r="BY4" s="76">
        <v>13.7</v>
      </c>
      <c r="BZ4" s="76">
        <v>14.475</v>
      </c>
      <c r="CA4" s="76">
        <v>0</v>
      </c>
      <c r="CB4" s="101"/>
      <c r="CC4" s="12">
        <f>IF(SUM(BT4)&gt;0,SUM(BT4),"")</f>
        <v>13.7</v>
      </c>
      <c r="CD4" s="12">
        <f>IF(SUM(BM4:BP4)-BQ4&gt;0,SUM(BM4:BP4)-BQ4,"")</f>
        <v>45.96</v>
      </c>
      <c r="CE4" s="12">
        <f>IF(SUM(BR4:BU4)-BV4&gt;0,SUM(BR4:BU4)-BV4,"")</f>
        <v>51.95</v>
      </c>
      <c r="CF4" s="12">
        <f>IF(SUM(CD4:CE4)&gt;0,SUM(CD4:CE4),"")</f>
        <v>97.91</v>
      </c>
      <c r="CG4" s="12">
        <f>IF(SUM(BW4:BZ4)-CA4&gt;0,SUM(BW4:BZ4)-CA4,"")</f>
        <v>52.475000000000001</v>
      </c>
      <c r="CH4" s="12">
        <f>IF(SUM(CF4,CG4)&gt;0,SUM(CF4,CG4),"")</f>
        <v>150.38499999999999</v>
      </c>
      <c r="CI4" s="28" t="str">
        <f>IF(MAX(DB4,DW4,ER4,FM4,GH4,HC4,HX4,IS4,JN4,KI4,LD4,LY4)-L4&gt;0.001,MAX(DB4,DW4,ER4,FM4,GH4,HC4,HX4,IS4,JN4,KI4,LD4,LY4)-L4,"")</f>
        <v/>
      </c>
      <c r="CJ4" s="28" t="str">
        <f>IF(MAX(DC4,DX4,ES4,FN4,GI4,HD4,HY4,IT4,JO4,KJ4,LE4,LZ4)-N4&gt;0.001,MAX(DC4,DX4,ES4,FN4,GI4,HD4,HY4,IT4,JO4,KJ4,LE4,LZ4)-N4,"")</f>
        <v/>
      </c>
      <c r="CK4" s="28" t="str">
        <f>IF(MAX(DE4,DZ4,EU4,FP4,GK4,HF4,IA4,IV4,JQ4,KL4,LG4,MB4)-P4&gt;0.001,MAX(DE4,DZ4,EU4,FP4,GK4,HF4,IA4,IV4,JQ4,KL4,LG4,MB4)-P4,"")</f>
        <v/>
      </c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12" t="str">
        <f>IF(SUM(CS4)&gt;0,SUM(CS4),"")</f>
        <v/>
      </c>
      <c r="DB4" s="12" t="str">
        <f>IF(SUM(CL4:CO4)-CP4&gt;0,SUM(CL4:CO4)-CP4,"")</f>
        <v/>
      </c>
      <c r="DC4" s="12" t="str">
        <f>IF(SUM(CQ4:CT4)-CU4&gt;0,SUM(CQ4:CT4)-CU4,"")</f>
        <v/>
      </c>
      <c r="DD4" s="12" t="str">
        <f>IF(SUM(DB4:DC4)&gt;0,SUM(DB4:DC4),"")</f>
        <v/>
      </c>
      <c r="DE4" s="12" t="str">
        <f>IF(SUM(CV4:CY4)-CZ4&gt;0,SUM(CV4:CY4)-CZ4,"")</f>
        <v/>
      </c>
      <c r="DF4" s="12" t="str">
        <f>IF(SUM(DD4,DE4)&gt;0,SUM(DD4,DE4),"")</f>
        <v/>
      </c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15" t="str">
        <f>IF(SUM(DN4)&gt;0,SUM(DN4),"")</f>
        <v/>
      </c>
      <c r="DW4" s="15" t="str">
        <f>IF(SUM(DG4:DJ4)-DK4&gt;0,SUM(DG4:DJ4)-DK4,"")</f>
        <v/>
      </c>
      <c r="DX4" s="15" t="str">
        <f>IF(SUM(DL4:DO4)-DP4&gt;0,SUM(DL4:DO4)-DP4,"")</f>
        <v/>
      </c>
      <c r="DY4" s="15" t="str">
        <f>IF(SUM(DW4:DX4)&gt;0,SUM(DW4:DX4),"")</f>
        <v/>
      </c>
      <c r="DZ4" s="15" t="str">
        <f>IF(SUM(DQ4:DT4)-DU4&gt;0,SUM(DQ4:DT4)-DU4,"")</f>
        <v/>
      </c>
      <c r="EA4" s="15" t="str">
        <f>IF(SUM(DY4,DZ4)&gt;0,SUM(DY4,DZ4),"")</f>
        <v/>
      </c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12" t="str">
        <f>IF(SUM(EI4)&gt;0,SUM(EI4),"")</f>
        <v/>
      </c>
      <c r="ER4" s="12" t="str">
        <f>IF(SUM(EB4:EE4)-EF4&gt;0,SUM(EB4:EE4)-EF4,"")</f>
        <v/>
      </c>
      <c r="ES4" s="12" t="str">
        <f>IF(SUM(EG4:EJ4)-EK4&gt;0,SUM(EG4:EJ4)-EK4,"")</f>
        <v/>
      </c>
      <c r="ET4" s="12" t="str">
        <f>IF(SUM(ER4:ES4)&gt;0,SUM(ER4:ES4),"")</f>
        <v/>
      </c>
      <c r="EU4" s="12" t="str">
        <f>IF(SUM(EL4:EO4)-EP4&gt;0,SUM(EL4:EO4)-EP4,"")</f>
        <v/>
      </c>
      <c r="EV4" s="12" t="str">
        <f>IF(SUM(ET4,EU4)&gt;0,SUM(ET4,EU4),"")</f>
        <v/>
      </c>
      <c r="EW4" s="46">
        <v>17.2</v>
      </c>
      <c r="EX4" s="46">
        <v>9.3000000000000007</v>
      </c>
      <c r="EY4" s="46">
        <v>0</v>
      </c>
      <c r="EZ4" s="46">
        <v>15.125</v>
      </c>
      <c r="FA4" s="46">
        <v>0</v>
      </c>
      <c r="FB4" s="46">
        <v>13.7</v>
      </c>
      <c r="FC4" s="46">
        <v>8.9</v>
      </c>
      <c r="FD4" s="46">
        <v>13.1</v>
      </c>
      <c r="FE4" s="46">
        <v>14.51</v>
      </c>
      <c r="FF4" s="46">
        <v>0</v>
      </c>
      <c r="FG4" s="46"/>
      <c r="FH4" s="46"/>
      <c r="FI4" s="46"/>
      <c r="FJ4" s="46"/>
      <c r="FK4" s="46"/>
      <c r="FL4" s="15">
        <f>IF(SUM(FD4)&gt;0,SUM(FD4),"")</f>
        <v>13.1</v>
      </c>
      <c r="FM4" s="15">
        <f>IF(SUM(EW4:EZ4)-FA4&gt;0,SUM(EW4:EZ4)-FA4,"")</f>
        <v>41.625</v>
      </c>
      <c r="FN4" s="15">
        <f>IF(SUM(FB4:FE4)-FF4&gt;0,SUM(FB4:FE4)-FF4,"")</f>
        <v>50.21</v>
      </c>
      <c r="FO4" s="15">
        <f>IF(SUM(FM4:FN4)&gt;0,SUM(FM4:FN4),"")</f>
        <v>91.835000000000008</v>
      </c>
      <c r="FP4" s="15" t="str">
        <f>IF(SUM(FG4:FJ4)-FK4&gt;0,SUM(FG4:FJ4)-FK4,"")</f>
        <v/>
      </c>
      <c r="FQ4" s="15">
        <f>IF(SUM(FO4,FP4)&gt;0,SUM(FO4,FP4),"")</f>
        <v>91.835000000000008</v>
      </c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45"/>
      <c r="GC4" s="45"/>
      <c r="GD4" s="45"/>
      <c r="GE4" s="45"/>
      <c r="GF4" s="45"/>
      <c r="GG4" s="12" t="str">
        <f>IF(SUM(FY4)&gt;0,SUM(FY4),"")</f>
        <v/>
      </c>
      <c r="GH4" s="12" t="str">
        <f>IF(SUM(FR4:FU4)-FV4&gt;0,SUM(FR4:FU4)-FV4,"")</f>
        <v/>
      </c>
      <c r="GI4" s="12" t="str">
        <f>IF(SUM(FW4:FZ4)-GA4&gt;0,SUM(FW4:FZ4)-GA4,"")</f>
        <v/>
      </c>
      <c r="GJ4" s="12" t="str">
        <f>IF(SUM(GH4:GI4)&gt;0,SUM(GH4:GI4),"")</f>
        <v/>
      </c>
      <c r="GK4" s="12" t="str">
        <f>IF(SUM(GB4:GE4)-GF4&gt;0,SUM(GB4:GE4)-GF4,"")</f>
        <v/>
      </c>
      <c r="GL4" s="12" t="str">
        <f>IF(SUM(GJ4,GK4)&gt;0,SUM(GJ4,GK4),"")</f>
        <v/>
      </c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46"/>
      <c r="GX4" s="46"/>
      <c r="GY4" s="46"/>
      <c r="GZ4" s="46"/>
      <c r="HA4" s="46"/>
      <c r="HB4" s="15" t="str">
        <f>IF(SUM(GT4)&gt;0,SUM(GT4),"")</f>
        <v/>
      </c>
      <c r="HC4" s="15" t="str">
        <f>IF(SUM(GM4:GP4)-GQ4&gt;0,SUM(GM4:GP4)-GQ4,"")</f>
        <v/>
      </c>
      <c r="HD4" s="15" t="str">
        <f>IF(SUM(GR4:GU4)-GV4&gt;0,SUM(GR4:GU4)-GV4,"")</f>
        <v/>
      </c>
      <c r="HE4" s="15" t="str">
        <f>IF(SUM(HC4:HD4)&gt;0,SUM(HC4:HD4),"")</f>
        <v/>
      </c>
      <c r="HF4" s="15" t="str">
        <f>IF(SUM(GW4:GZ4)-HA4&gt;0,SUM(GW4:GZ4)-HA4,"")</f>
        <v/>
      </c>
      <c r="HG4" s="15" t="str">
        <f>IF(SUM(HE4,HF4)&gt;0,SUM(HE4,HF4),"")</f>
        <v/>
      </c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45"/>
      <c r="HS4" s="45"/>
      <c r="HT4" s="45"/>
      <c r="HU4" s="45"/>
      <c r="HV4" s="45"/>
      <c r="HW4" s="12" t="str">
        <f>IF(SUM(HO4)&gt;0,SUM(HO4),"")</f>
        <v/>
      </c>
      <c r="HX4" s="12" t="str">
        <f>IF(SUM(HH4:HK4)-HL4&gt;0,SUM(HH4:HK4)-HL4,"")</f>
        <v/>
      </c>
      <c r="HY4" s="12" t="str">
        <f>IF(SUM(HM4:HP4)-HQ4&gt;0,SUM(HM4:HP4)-HQ4,"")</f>
        <v/>
      </c>
      <c r="HZ4" s="12" t="str">
        <f>IF(SUM(HX4:HY4)&gt;0,SUM(HX4:HY4),"")</f>
        <v/>
      </c>
      <c r="IA4" s="12" t="str">
        <f>IF(SUM(HR4:HU4)-HV4&gt;0,SUM(HR4:HU4)-HV4,"")</f>
        <v/>
      </c>
      <c r="IB4" s="12" t="str">
        <f>IF(SUM(HZ4,IA4)&gt;0,SUM(HZ4,IA4),"")</f>
        <v/>
      </c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46"/>
      <c r="IN4" s="46"/>
      <c r="IO4" s="46"/>
      <c r="IP4" s="46"/>
      <c r="IQ4" s="46"/>
      <c r="IR4" s="15" t="str">
        <f>IF(SUM(IJ4)&gt;0,SUM(IJ4),"")</f>
        <v/>
      </c>
      <c r="IS4" s="15" t="str">
        <f>IF(SUM(IC4:IF4)-IG4&gt;0,SUM(IC4:IF4)-IG4,"")</f>
        <v/>
      </c>
      <c r="IT4" s="15" t="str">
        <f>IF(SUM(IH4:IK4)-IL4&gt;0,SUM(IH4:IK4)-IL4,"")</f>
        <v/>
      </c>
      <c r="IU4" s="15" t="str">
        <f>IF(SUM(IS4:IT4)&gt;0,SUM(IS4:IT4),"")</f>
        <v/>
      </c>
      <c r="IV4" s="15" t="str">
        <f>IF(SUM(IM4:IP4)-IQ4&gt;0,SUM(IM4:IP4)-IQ4,"")</f>
        <v/>
      </c>
      <c r="IW4" s="15" t="str">
        <f>IF(SUM(IU4,IV4)&gt;0,SUM(IU4,IV4),"")</f>
        <v/>
      </c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45"/>
      <c r="JI4" s="45"/>
      <c r="JJ4" s="45"/>
      <c r="JK4" s="45"/>
      <c r="JL4" s="45"/>
      <c r="JM4" s="12" t="str">
        <f>IF(SUM(JE4)&gt;0,SUM(JE4),"")</f>
        <v/>
      </c>
      <c r="JN4" s="12" t="str">
        <f>IF(SUM(IX4:JA4)-JB4&gt;0,SUM(IX4:JA4)-JB4,"")</f>
        <v/>
      </c>
      <c r="JO4" s="12" t="str">
        <f>IF(SUM(JC4:JF4)-JG4&gt;0,SUM(JC4:JF4)-JG4,"")</f>
        <v/>
      </c>
      <c r="JP4" s="12" t="str">
        <f>IF(SUM(JN4:JO4)&gt;0,SUM(JN4:JO4),"")</f>
        <v/>
      </c>
      <c r="JQ4" s="12" t="str">
        <f>IF(SUM(JH4:JK4)-JL4&gt;0,SUM(JH4:JK4)-JL4,"")</f>
        <v/>
      </c>
      <c r="JR4" s="12" t="str">
        <f>IF(SUM(JP4,JQ4)&gt;0,SUM(JP4,JQ4),"")</f>
        <v/>
      </c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46"/>
      <c r="KD4" s="46"/>
      <c r="KE4" s="46"/>
      <c r="KF4" s="46"/>
      <c r="KG4" s="46"/>
      <c r="KH4" s="15" t="str">
        <f>IF(SUM(JZ4)&gt;0,SUM(JZ4),"")</f>
        <v/>
      </c>
      <c r="KI4" s="15" t="str">
        <f>IF(SUM(JS4:JV4)-JW4&gt;0,SUM(JS4:JV4)-JW4,"")</f>
        <v/>
      </c>
      <c r="KJ4" s="15" t="str">
        <f>IF(SUM(JX4:KA4)-KB4&gt;0,SUM(JX4:KA4)-KB4,"")</f>
        <v/>
      </c>
      <c r="KK4" s="15" t="str">
        <f>IF(SUM(KI4:KJ4)&gt;0,SUM(KI4:KJ4),"")</f>
        <v/>
      </c>
      <c r="KL4" s="15" t="str">
        <f>IF(SUM(KC4:KF4)-KG4&gt;0,SUM(KC4:KF4)-KG4,"")</f>
        <v/>
      </c>
      <c r="KM4" s="15" t="str">
        <f>IF(SUM(KK4,KL4)&gt;0,SUM(KK4,KL4),"")</f>
        <v/>
      </c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45"/>
      <c r="KY4" s="45"/>
      <c r="KZ4" s="45"/>
      <c r="LA4" s="45"/>
      <c r="LB4" s="45"/>
      <c r="LC4" s="12" t="str">
        <f>IF(SUM(KU4)&gt;0,SUM(KU4),"")</f>
        <v/>
      </c>
      <c r="LD4" s="12" t="str">
        <f>IF(SUM(KN4:KQ4)-KR4&gt;0,SUM(KN4:KQ4)-KR4,"")</f>
        <v/>
      </c>
      <c r="LE4" s="12" t="str">
        <f>IF(SUM(KS4:KV4)-KW4&gt;0,SUM(KS4:KV4)-KW4,"")</f>
        <v/>
      </c>
      <c r="LF4" s="12" t="str">
        <f>IF(SUM(LD4:LE4)&gt;0,SUM(LD4:LE4),"")</f>
        <v/>
      </c>
      <c r="LG4" s="12" t="str">
        <f>IF(SUM(KX4:LA4)-LB4&gt;0,SUM(KX4:LA4)-LB4,"")</f>
        <v/>
      </c>
      <c r="LH4" s="12" t="str">
        <f>IF(SUM(LF4,LG4)&gt;0,SUM(LF4,LG4),"")</f>
        <v/>
      </c>
      <c r="LI4" s="46"/>
      <c r="LJ4" s="46"/>
      <c r="LK4" s="46"/>
      <c r="LL4" s="46"/>
      <c r="LM4" s="46"/>
      <c r="LN4" s="46"/>
      <c r="LO4" s="46"/>
      <c r="LP4" s="46"/>
      <c r="LQ4" s="46"/>
      <c r="LR4" s="46"/>
      <c r="LS4" s="46"/>
      <c r="LT4" s="46"/>
      <c r="LU4" s="46"/>
      <c r="LV4" s="46"/>
      <c r="LW4" s="46"/>
      <c r="LX4" s="15" t="str">
        <f>IF(SUM(LP4)&gt;0,SUM(LP4),"")</f>
        <v/>
      </c>
      <c r="LY4" s="15" t="str">
        <f>IF(SUM(LI4:LL4)-LM4&gt;0,SUM(LI4:LL4)-LM4,"")</f>
        <v/>
      </c>
      <c r="LZ4" s="15" t="str">
        <f>IF(SUM(LN4:LQ4)-LR4&gt;0,SUM(LN4:LQ4)-LR4,"")</f>
        <v/>
      </c>
      <c r="MA4" s="15" t="str">
        <f>IF(SUM(LY4:LZ4)&gt;0,SUM(LY4:LZ4),"")</f>
        <v/>
      </c>
      <c r="MB4" s="15" t="str">
        <f>IF(SUM(LS4:LV4)-LW4&gt;0,SUM(LS4:LV4)-LW4,"")</f>
        <v/>
      </c>
      <c r="MC4" s="15" t="str">
        <f>IF(SUM(MA4,MB4)&gt;0,SUM(MA4,MB4),"")</f>
        <v/>
      </c>
    </row>
    <row r="5" spans="1:341" x14ac:dyDescent="0.2">
      <c r="A5" s="6">
        <f>IF(AND(F5="P",H5="P"),SUMPRODUCT((F$4:F$21="P")*(H$4:H$21="P")*(E$4:E$21&gt;E5))+1,IF(H5="P",SUMPRODUCT((F$4:F$21="")*(H$4:H$21="P")*(E$4:E$21&gt;E5))+1+SUMPRODUCT((F$4:F$21="P")*(H$4:H$21="P")),""))</f>
        <v>2</v>
      </c>
      <c r="B5" s="9" t="s">
        <v>69</v>
      </c>
      <c r="C5" s="5" t="s">
        <v>70</v>
      </c>
      <c r="D5" s="31">
        <v>2001</v>
      </c>
      <c r="E5" s="16">
        <f>SUM(J5:R5)</f>
        <v>250.97000000000003</v>
      </c>
      <c r="F5" s="4" t="str">
        <f>IF(OR(AND($AK5&gt;=$AL$24,NOT($AK5=""),$AJ5=""),AND($BG5&gt;=$BH$24,NOT($BG5=""),$BF5=""),AND($CC5&gt;=$CD$24,NOT($CC5=""),$CB5="")),"P","")</f>
        <v>P</v>
      </c>
      <c r="G5" s="4" t="str">
        <f>IF(OR(AND($AK5&gt;=$AL$25,NOT($AK5=""),$AJ5=""),AND($BG5&gt;=$BH$25,NOT($BG5=""),$BF5=""),AND($CC5&gt;=$CD$25,NOT($CC5=""),$CB5="")),"P","")</f>
        <v/>
      </c>
      <c r="H5" s="4" t="str">
        <f>IF(OR(AND($AN5&gt;=$AL$26,NOT($AN5=""),$AJ5=""),AND($BJ5&gt;=$BH$26,NOT($BJ5=""),$BF5=""),AND($CF5&gt;=$CD$26,NOT($CF5=""),$CB5="")),"P","")</f>
        <v>P</v>
      </c>
      <c r="I5" t="str">
        <f>IF(AND(F5="P",OR(AND($AM5&gt;$AL$29,NOT($AM5=""),$AJ5=""),AND($AO5&gt;$AL$29,NOT($AO5=""),$AJ5=""),AND($BI5&gt;$BH$29,NOT($BI5=""),$BF5=""),AND($BK5&gt;$BH$29,NOT($BK5=""),$BF5=""),AND($CE5&gt;$CD$29,NOT($CE5=""),$CB5=""),AND($CG5&gt;$CD$29,NOT($CG5=""),$CB5=""))),"Merit",IF(AND(F5="P",OR(AND($AN5&gt;$AL$28,NOT($AN5=""),$AJ5=""),AND($BJ5&gt;$BH$28,NOT($BJ5=""),$BF5=""),AND($CF5&gt;$CD$28,NOT($CF5=""),$CB5=""))),"Funding",IF(AND(F5="P",OR(AND($AN5&gt;$AL$27,NOT($AN5=""),$AJ5=""),AND($BJ5&gt;$BH$27,NOT($BJ5=""),$BF5=""),AND($CF5&gt;$CD$27,NOT($CF5=""),$CB5=""))),"Worlds Team",IF(AND(F5="P",OR(AND($AN5&gt;$AL$26,NOT($AN5=""),$AJ5=""),AND($BJ5&gt;$BH$26,NOT($BJ5=""),$BF5=""),AND($CF5&gt;$CD$26,NOT($CF5=""),$CB5=""))),"National Team",""))))</f>
        <v>National Team</v>
      </c>
      <c r="J5" s="15">
        <f>MAX(AN5,BJ5,CF5)</f>
        <v>99.655000000000001</v>
      </c>
      <c r="K5" s="15" t="str">
        <f>IF(J5=CF5,$BM$1,IF(J5=BJ5,$AQ$1,IF(J5=AN5,$U$1,"")))</f>
        <v>2018 Nationals</v>
      </c>
      <c r="L5" s="15">
        <f>IF($J5=$AN5,MAX(BH5,CD5),IF($J5=$BJ5,MAX(AL5,CD5),MAX(AL5,BH5)))</f>
        <v>46.894999999999996</v>
      </c>
      <c r="M5" s="15" t="str">
        <f>IF(AND(L5=CD5,$K5&lt;&gt;$BM$1),$BM$1,IF(AND(L5=BH5,$K5&lt;&gt;$AQ$1),$AQ$1,IF(AND(L5=AL5,$K5&lt;&gt;$U$1),$U$1,"")))</f>
        <v>2018 Canada Cup</v>
      </c>
      <c r="N5" s="15">
        <f>IF($J5=$AN5,MAX(BI5,CE5),IF($J5=$BJ5,MAX(AM5,CE5),MAX(AM5,BI5)))</f>
        <v>51.255000000000003</v>
      </c>
      <c r="O5" s="15" t="str">
        <f>IF(AND(N5=CE5,$K5&lt;&gt;$BM$1),$BM$1,IF(AND(N5=BI5,$K5&lt;&gt;$AQ$1),$AQ$1,IF(AND(N5=AM5,$K5&lt;&gt;$U$1),$U$1,"")))</f>
        <v>2017 Nationals</v>
      </c>
      <c r="P5" s="15">
        <f>MAX(AO5,BK5,CG5)</f>
        <v>52.929999999999993</v>
      </c>
      <c r="Q5" s="15" t="str">
        <f>IF(P5=CG5,$BM$1,IF(P5=BK5,$AQ$1,IF(P5=AO5,$U$1,"")))</f>
        <v>2018 Nationals</v>
      </c>
      <c r="R5" s="15">
        <f>IF(MAX(CI5,CJ5,CK5)&gt;0,MAX(CI5,CJ5,CK5),"")</f>
        <v>0.23500000000000654</v>
      </c>
      <c r="S5" s="29" t="str">
        <f>IF(R5="","",IF(R5=CI5,"(Vol 1)",IF(R5=CJ5,"(Vol 2)",IF(R5=CK5,"(Final)"))))</f>
        <v>(Final)</v>
      </c>
      <c r="T5" s="15" t="str">
        <f>IF(R5="","",IF(R5=CI5,IF(R5+L5=LY5,$LI$1,IF(R5+L5=LD5,$KN$1,IF(R5+L5=KI5,$JS$1,IF(R5+L5=JN5,$IX$1,IF(R5+L5=IS5,$IC$1,IF(R5+L5=HX5,$HH$1,IF(R5+L5=HC5,$GM$1,IF(R5+L5=GH5,$FR$1,IF(R5+L5=FM5,$EW$1,IF(R5+L5=ER5,$EB$1,IF(R5+L5=DW5,$DG$1,IF(R5+L5=DB5,$CL$1)))))))))))),IF(R5=CJ5,IF(R5+N5=LZ5,$LI$1,IF(R5+N5=LE5,$KN$1,IF(R5+N5=KJ5,$JS$1,IF(R5+N5=JO5,$IX$1,IF(R5+N5=IT5,$IC$1,IF(R5+N5=HY5,$HH$1,IF(R5+N5=HD5,$GM$1,IF(R5+N5=GI5,$FR$1,IF(R5+N5=FN5,$EW$1,IF(R5+N5=ES5,$EB$1,IF(R5+N5=DX5,$DG$1,IF(R5+N5=DC5,$CL$1)))))))))))),IF(R5=CK5,IF(R5+P5=MB5,$LI$1,IF(R5+P5=LG5,$KN$1,IF(R5+P5=KL5,$JS$1,IF(R5+P5=JQ5,$IX$1,IF(R5+P5=IV5,$IC$1,IF(R5+P5=IA5,$HH$1,IF(R5+P5=HF5,$GM$1,IF(R5+P5=GK5,$FR$1,IF(R5+P5=FP5,$EW$1,IF(R5+P5=EU5,$EB$1,IF(R5+P5=DZ5,$DG$1,IF(R5+P5=DE5,$CL$1))))))))))))))))</f>
        <v>2018 Junior Pan Am Championships (June 23)</v>
      </c>
      <c r="U5" s="52">
        <v>16.5</v>
      </c>
      <c r="V5" s="52">
        <v>9.1999999999999993</v>
      </c>
      <c r="W5" s="52">
        <v>4.8</v>
      </c>
      <c r="X5" s="52">
        <v>16.059999999999999</v>
      </c>
      <c r="Y5" s="52">
        <v>0</v>
      </c>
      <c r="Z5" s="52">
        <v>13.6</v>
      </c>
      <c r="AA5" s="52">
        <v>8.6</v>
      </c>
      <c r="AB5" s="52">
        <v>13.3</v>
      </c>
      <c r="AC5" s="52">
        <v>15.755000000000001</v>
      </c>
      <c r="AD5" s="52">
        <v>0</v>
      </c>
      <c r="AE5" s="52">
        <v>14.4</v>
      </c>
      <c r="AF5" s="52">
        <v>8.5</v>
      </c>
      <c r="AG5" s="52">
        <v>12.6</v>
      </c>
      <c r="AH5" s="52">
        <v>15.455</v>
      </c>
      <c r="AI5" s="52">
        <v>0</v>
      </c>
      <c r="AJ5" s="102"/>
      <c r="AK5" s="12">
        <f>IF(SUM(AB5)&gt;0,SUM(AB5),"")</f>
        <v>13.3</v>
      </c>
      <c r="AL5" s="12">
        <f>IF(SUM(U5:X5)-Y5&gt;0,SUM(U5:X5)-Y5,"")</f>
        <v>46.56</v>
      </c>
      <c r="AM5" s="12">
        <f>IF(SUM(Z5:AC5)-AD5&gt;0,SUM(Z5:AC5)-AD5,"")</f>
        <v>51.255000000000003</v>
      </c>
      <c r="AN5" s="12">
        <f>IF(SUM(AL5:AM5)&gt;0,SUM(AL5:AM5),"")</f>
        <v>97.814999999999998</v>
      </c>
      <c r="AO5" s="12">
        <f>IF(SUM(AE5:AH5)-AI5&gt;0,SUM(AE5:AH5)-AI5,"")</f>
        <v>50.954999999999998</v>
      </c>
      <c r="AP5" s="12">
        <f>IF(SUM(AN5,AO5)&gt;0,SUM(AN5,AO5),"")</f>
        <v>148.76999999999998</v>
      </c>
      <c r="AQ5" s="80">
        <v>16.2</v>
      </c>
      <c r="AR5" s="80">
        <v>9.3000000000000007</v>
      </c>
      <c r="AS5" s="80">
        <v>5.4</v>
      </c>
      <c r="AT5" s="80">
        <v>15.994999999999999</v>
      </c>
      <c r="AU5" s="80">
        <v>0</v>
      </c>
      <c r="AV5" s="80">
        <v>13.4</v>
      </c>
      <c r="AW5" s="80">
        <v>8.65</v>
      </c>
      <c r="AX5" s="80">
        <v>12.7</v>
      </c>
      <c r="AY5" s="80">
        <v>15.33</v>
      </c>
      <c r="AZ5" s="80">
        <v>0</v>
      </c>
      <c r="BA5" s="80">
        <v>13.9</v>
      </c>
      <c r="BB5" s="80">
        <v>8.75</v>
      </c>
      <c r="BC5" s="80">
        <v>12.9</v>
      </c>
      <c r="BD5" s="80">
        <v>15.625</v>
      </c>
      <c r="BE5" s="80">
        <v>0</v>
      </c>
      <c r="BF5" s="106"/>
      <c r="BG5" s="15">
        <f>IF(SUM(AX5)&gt;0,SUM(AX5),"")</f>
        <v>12.7</v>
      </c>
      <c r="BH5" s="15">
        <f>IF(SUM(AQ5:AT5)-AU5&gt;0,SUM(AQ5:AT5)-AU5,"")</f>
        <v>46.894999999999996</v>
      </c>
      <c r="BI5" s="15">
        <f>IF(SUM(AV5:AY5)-AZ5&gt;0,SUM(AV5:AY5)-AZ5,"")</f>
        <v>50.08</v>
      </c>
      <c r="BJ5" s="15">
        <f>IF(SUM(BH5:BI5)&gt;0,SUM(BH5:BI5),"")</f>
        <v>96.974999999999994</v>
      </c>
      <c r="BK5" s="15">
        <f>IF(SUM(BA5:BD5)-BE5&gt;0,SUM(BA5:BD5)-BE5,"")</f>
        <v>51.174999999999997</v>
      </c>
      <c r="BL5" s="15">
        <f>IF(SUM(BJ5,BK5)&gt;0,SUM(BJ5,BK5),"")</f>
        <v>148.14999999999998</v>
      </c>
      <c r="BM5" s="52">
        <v>16.899999999999999</v>
      </c>
      <c r="BN5" s="52">
        <v>9.25</v>
      </c>
      <c r="BO5" s="52">
        <v>4.0999999999999996</v>
      </c>
      <c r="BP5" s="52">
        <v>16.8</v>
      </c>
      <c r="BQ5" s="52">
        <v>0</v>
      </c>
      <c r="BR5" s="52">
        <v>13.9</v>
      </c>
      <c r="BS5" s="52">
        <v>9.1999999999999993</v>
      </c>
      <c r="BT5" s="52">
        <v>13.7</v>
      </c>
      <c r="BU5" s="52">
        <v>15.805</v>
      </c>
      <c r="BV5" s="52">
        <v>0</v>
      </c>
      <c r="BW5" s="52">
        <v>13.9</v>
      </c>
      <c r="BX5" s="52">
        <v>9</v>
      </c>
      <c r="BY5" s="52">
        <v>13.7</v>
      </c>
      <c r="BZ5" s="52">
        <v>16.329999999999998</v>
      </c>
      <c r="CA5" s="52">
        <v>0</v>
      </c>
      <c r="CB5" s="102"/>
      <c r="CC5" s="12">
        <f>IF(SUM(BT5)&gt;0,SUM(BT5),"")</f>
        <v>13.7</v>
      </c>
      <c r="CD5" s="12">
        <f>IF(SUM(BM5:BP5)-BQ5&gt;0,SUM(BM5:BP5)-BQ5,"")</f>
        <v>47.05</v>
      </c>
      <c r="CE5" s="12">
        <f>IF(SUM(BR5:BU5)-BV5&gt;0,SUM(BR5:BU5)-BV5,"")</f>
        <v>52.604999999999997</v>
      </c>
      <c r="CF5" s="12">
        <f>IF(SUM(CD5:CE5)&gt;0,SUM(CD5:CE5),"")</f>
        <v>99.655000000000001</v>
      </c>
      <c r="CG5" s="12">
        <f>IF(SUM(BW5:BZ5)-CA5&gt;0,SUM(BW5:BZ5)-CA5,"")</f>
        <v>52.929999999999993</v>
      </c>
      <c r="CH5" s="12">
        <f>IF(SUM(CF5,CG5)&gt;0,SUM(CF5,CG5),"")</f>
        <v>152.58499999999998</v>
      </c>
      <c r="CI5" s="28" t="str">
        <f>IF(MAX(DB5,DW5,ER5,FM5,GH5,HC5,HX5,IS5,JN5,KI5,LD5,LY5)-L5&gt;0.001,MAX(DB5,DW5,ER5,FM5,GH5,HC5,HX5,IS5,JN5,KI5,LD5,LY5)-L5,"")</f>
        <v/>
      </c>
      <c r="CJ5" s="28" t="str">
        <f>IF(MAX(DC5,DX5,ES5,FN5,GI5,HD5,HY5,IT5,JO5,KJ5,LE5,LZ5)-N5&gt;0.001,MAX(DC5,DX5,ES5,FN5,GI5,HD5,HY5,IT5,JO5,KJ5,LE5,LZ5)-N5,"")</f>
        <v/>
      </c>
      <c r="CK5" s="28">
        <f>IF(MAX(DE5,DZ5,EU5,FP5,GK5,HF5,IA5,IV5,JQ5,KL5,LG5,MB5)-P5&gt;0.001,MAX(DE5,DZ5,EU5,FP5,GK5,HF5,IA5,IV5,JQ5,KL5,LG5,MB5)-P5,"")</f>
        <v>0.23500000000000654</v>
      </c>
      <c r="CL5" s="45">
        <v>17.5</v>
      </c>
      <c r="CM5" s="45">
        <v>0</v>
      </c>
      <c r="CN5" s="45">
        <v>9.1</v>
      </c>
      <c r="CO5" s="45">
        <v>17.074999999999999</v>
      </c>
      <c r="CP5" s="45">
        <v>0</v>
      </c>
      <c r="CQ5" s="45">
        <v>11.4</v>
      </c>
      <c r="CR5" s="45">
        <v>10.8</v>
      </c>
      <c r="CS5" s="45">
        <v>7.35</v>
      </c>
      <c r="CT5" s="45">
        <v>13.09</v>
      </c>
      <c r="CU5" s="45">
        <v>0</v>
      </c>
      <c r="CV5" s="45"/>
      <c r="CW5" s="45"/>
      <c r="CX5" s="45"/>
      <c r="CY5" s="45"/>
      <c r="CZ5" s="45"/>
      <c r="DA5" s="12">
        <f>IF(SUM(CS5)&gt;0,SUM(CS5),"")</f>
        <v>7.35</v>
      </c>
      <c r="DB5" s="12">
        <f>IF(SUM(CL5:CO5)-CP5&gt;0,SUM(CL5:CO5)-CP5,"")</f>
        <v>43.674999999999997</v>
      </c>
      <c r="DC5" s="12">
        <f>IF(SUM(CQ5:CT5)-CU5&gt;0,SUM(CQ5:CT5)-CU5,"")</f>
        <v>42.64</v>
      </c>
      <c r="DD5" s="12">
        <f>IF(SUM(DB5:DC5)&gt;0,SUM(DB5:DC5),"")</f>
        <v>86.314999999999998</v>
      </c>
      <c r="DE5" s="12" t="str">
        <f>IF(SUM(CV5:CY5)-CZ5&gt;0,SUM(CV5:CY5)-CZ5,"")</f>
        <v/>
      </c>
      <c r="DF5" s="12">
        <f>IF(SUM(DD5,DE5)&gt;0,SUM(DD5,DE5),"")</f>
        <v>86.314999999999998</v>
      </c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15" t="str">
        <f>IF(SUM(DN5)&gt;0,SUM(DN5),"")</f>
        <v/>
      </c>
      <c r="DW5" s="15" t="str">
        <f>IF(SUM(DG5:DJ5)-DK5&gt;0,SUM(DG5:DJ5)-DK5,"")</f>
        <v/>
      </c>
      <c r="DX5" s="15" t="str">
        <f>IF(SUM(DL5:DO5)-DP5&gt;0,SUM(DL5:DO5)-DP5,"")</f>
        <v/>
      </c>
      <c r="DY5" s="15" t="str">
        <f>IF(SUM(DW5:DX5)&gt;0,SUM(DW5:DX5),"")</f>
        <v/>
      </c>
      <c r="DZ5" s="15" t="str">
        <f>IF(SUM(DQ5:DT5)-DU5&gt;0,SUM(DQ5:DT5)-DU5,"")</f>
        <v/>
      </c>
      <c r="EA5" s="15" t="str">
        <f>IF(SUM(DY5,DZ5)&gt;0,SUM(DY5,DZ5),"")</f>
        <v/>
      </c>
      <c r="EB5" s="45">
        <v>17.399999999999999</v>
      </c>
      <c r="EC5" s="45">
        <v>9.1999999999999993</v>
      </c>
      <c r="ED5" s="45">
        <v>0</v>
      </c>
      <c r="EE5" s="45">
        <v>16.425000000000001</v>
      </c>
      <c r="EF5" s="45">
        <v>0</v>
      </c>
      <c r="EG5" s="45">
        <v>12.4</v>
      </c>
      <c r="EH5" s="45">
        <v>8.85</v>
      </c>
      <c r="EI5" s="45">
        <v>13.5</v>
      </c>
      <c r="EJ5" s="45">
        <v>15.56</v>
      </c>
      <c r="EK5" s="45">
        <v>0</v>
      </c>
      <c r="EL5" s="45">
        <v>14.7</v>
      </c>
      <c r="EM5" s="45">
        <v>9.3000000000000007</v>
      </c>
      <c r="EN5" s="45">
        <v>13.5</v>
      </c>
      <c r="EO5" s="45">
        <v>15.664999999999999</v>
      </c>
      <c r="EP5" s="45">
        <v>0</v>
      </c>
      <c r="EQ5" s="12">
        <f>IF(SUM(EI5)&gt;0,SUM(EI5),"")</f>
        <v>13.5</v>
      </c>
      <c r="ER5" s="12">
        <f>IF(SUM(EB5:EE5)-EF5&gt;0,SUM(EB5:EE5)-EF5,"")</f>
        <v>43.024999999999999</v>
      </c>
      <c r="ES5" s="12">
        <f>IF(SUM(EG5:EJ5)-EK5&gt;0,SUM(EG5:EJ5)-EK5,"")</f>
        <v>50.31</v>
      </c>
      <c r="ET5" s="12">
        <f>IF(SUM(ER5:ES5)&gt;0,SUM(ER5:ES5),"")</f>
        <v>93.335000000000008</v>
      </c>
      <c r="EU5" s="12">
        <f>IF(SUM(EL5:EO5)-EP5&gt;0,SUM(EL5:EO5)-EP5,"")</f>
        <v>53.164999999999999</v>
      </c>
      <c r="EV5" s="12">
        <f>IF(SUM(ET5,EU5)&gt;0,SUM(ET5,EU5),"")</f>
        <v>146.5</v>
      </c>
      <c r="EW5" s="46">
        <v>16</v>
      </c>
      <c r="EX5" s="46">
        <v>9.4</v>
      </c>
      <c r="EY5" s="46">
        <v>0</v>
      </c>
      <c r="EZ5" s="46">
        <v>17.11</v>
      </c>
      <c r="FA5" s="46">
        <v>0</v>
      </c>
      <c r="FB5" s="46">
        <v>1.2</v>
      </c>
      <c r="FC5" s="46">
        <v>0.9</v>
      </c>
      <c r="FD5" s="46">
        <v>1.7</v>
      </c>
      <c r="FE5" s="46">
        <v>1.79</v>
      </c>
      <c r="FF5" s="46">
        <v>0</v>
      </c>
      <c r="FG5" s="46"/>
      <c r="FH5" s="46"/>
      <c r="FI5" s="46"/>
      <c r="FJ5" s="46"/>
      <c r="FK5" s="46"/>
      <c r="FL5" s="15">
        <f>IF(SUM(FD5)&gt;0,SUM(FD5),"")</f>
        <v>1.7</v>
      </c>
      <c r="FM5" s="15">
        <f>IF(SUM(EW5:EZ5)-FA5&gt;0,SUM(EW5:EZ5)-FA5,"")</f>
        <v>42.51</v>
      </c>
      <c r="FN5" s="15">
        <f>IF(SUM(FB5:FE5)-FF5&gt;0,SUM(FB5:FE5)-FF5,"")</f>
        <v>5.59</v>
      </c>
      <c r="FO5" s="15">
        <f>IF(SUM(FM5:FN5)&gt;0,SUM(FM5:FN5),"")</f>
        <v>48.099999999999994</v>
      </c>
      <c r="FP5" s="15" t="str">
        <f>IF(SUM(FG5:FJ5)-FK5&gt;0,SUM(FG5:FJ5)-FK5,"")</f>
        <v/>
      </c>
      <c r="FQ5" s="15">
        <f>IF(SUM(FO5,FP5)&gt;0,SUM(FO5,FP5),"")</f>
        <v>48.099999999999994</v>
      </c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45"/>
      <c r="GC5" s="45"/>
      <c r="GD5" s="45"/>
      <c r="GE5" s="45"/>
      <c r="GF5" s="45"/>
      <c r="GG5" s="12" t="str">
        <f>IF(SUM(FY5)&gt;0,SUM(FY5),"")</f>
        <v/>
      </c>
      <c r="GH5" s="12" t="str">
        <f>IF(SUM(FR5:FU5)-FV5&gt;0,SUM(FR5:FU5)-FV5,"")</f>
        <v/>
      </c>
      <c r="GI5" s="12" t="str">
        <f>IF(SUM(FW5:FZ5)-GA5&gt;0,SUM(FW5:FZ5)-GA5,"")</f>
        <v/>
      </c>
      <c r="GJ5" s="12" t="str">
        <f>IF(SUM(GH5:GI5)&gt;0,SUM(GH5:GI5),"")</f>
        <v/>
      </c>
      <c r="GK5" s="12" t="str">
        <f>IF(SUM(GB5:GE5)-GF5&gt;0,SUM(GB5:GE5)-GF5,"")</f>
        <v/>
      </c>
      <c r="GL5" s="12" t="str">
        <f>IF(SUM(GJ5,GK5)&gt;0,SUM(GJ5,GK5),"")</f>
        <v/>
      </c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15" t="str">
        <f>IF(SUM(GT5)&gt;0,SUM(GT5),"")</f>
        <v/>
      </c>
      <c r="HC5" s="15" t="str">
        <f>IF(SUM(GM5:GP5)-GQ5&gt;0,SUM(GM5:GP5)-GQ5,"")</f>
        <v/>
      </c>
      <c r="HD5" s="15" t="str">
        <f>IF(SUM(GR5:GU5)-GV5&gt;0,SUM(GR5:GU5)-GV5,"")</f>
        <v/>
      </c>
      <c r="HE5" s="15" t="str">
        <f>IF(SUM(HC5:HD5)&gt;0,SUM(HC5:HD5),"")</f>
        <v/>
      </c>
      <c r="HF5" s="15" t="str">
        <f>IF(SUM(GW5:GZ5)-HA5&gt;0,SUM(GW5:GZ5)-HA5,"")</f>
        <v/>
      </c>
      <c r="HG5" s="15" t="str">
        <f>IF(SUM(HE5,HF5)&gt;0,SUM(HE5,HF5),"")</f>
        <v/>
      </c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45"/>
      <c r="HS5" s="45"/>
      <c r="HT5" s="45"/>
      <c r="HU5" s="45"/>
      <c r="HV5" s="45"/>
      <c r="HW5" s="12" t="str">
        <f>IF(SUM(HO5)&gt;0,SUM(HO5),"")</f>
        <v/>
      </c>
      <c r="HX5" s="12" t="str">
        <f>IF(SUM(HH5:HK5)-HL5&gt;0,SUM(HH5:HK5)-HL5,"")</f>
        <v/>
      </c>
      <c r="HY5" s="12" t="str">
        <f>IF(SUM(HM5:HP5)-HQ5&gt;0,SUM(HM5:HP5)-HQ5,"")</f>
        <v/>
      </c>
      <c r="HZ5" s="12" t="str">
        <f>IF(SUM(HX5:HY5)&gt;0,SUM(HX5:HY5),"")</f>
        <v/>
      </c>
      <c r="IA5" s="12" t="str">
        <f>IF(SUM(HR5:HU5)-HV5&gt;0,SUM(HR5:HU5)-HV5,"")</f>
        <v/>
      </c>
      <c r="IB5" s="12" t="str">
        <f>IF(SUM(HZ5,IA5)&gt;0,SUM(HZ5,IA5),"")</f>
        <v/>
      </c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15" t="str">
        <f>IF(SUM(IJ5)&gt;0,SUM(IJ5),"")</f>
        <v/>
      </c>
      <c r="IS5" s="15" t="str">
        <f>IF(SUM(IC5:IF5)-IG5&gt;0,SUM(IC5:IF5)-IG5,"")</f>
        <v/>
      </c>
      <c r="IT5" s="15" t="str">
        <f>IF(SUM(IH5:IK5)-IL5&gt;0,SUM(IH5:IK5)-IL5,"")</f>
        <v/>
      </c>
      <c r="IU5" s="15" t="str">
        <f>IF(SUM(IS5:IT5)&gt;0,SUM(IS5:IT5),"")</f>
        <v/>
      </c>
      <c r="IV5" s="15" t="str">
        <f>IF(SUM(IM5:IP5)-IQ5&gt;0,SUM(IM5:IP5)-IQ5,"")</f>
        <v/>
      </c>
      <c r="IW5" s="15" t="str">
        <f>IF(SUM(IU5,IV5)&gt;0,SUM(IU5,IV5),"")</f>
        <v/>
      </c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45"/>
      <c r="JI5" s="45"/>
      <c r="JJ5" s="45"/>
      <c r="JK5" s="45"/>
      <c r="JL5" s="45"/>
      <c r="JM5" s="12" t="str">
        <f>IF(SUM(JE5)&gt;0,SUM(JE5),"")</f>
        <v/>
      </c>
      <c r="JN5" s="12" t="str">
        <f>IF(SUM(IX5:JA5)-JB5&gt;0,SUM(IX5:JA5)-JB5,"")</f>
        <v/>
      </c>
      <c r="JO5" s="12" t="str">
        <f>IF(SUM(JC5:JF5)-JG5&gt;0,SUM(JC5:JF5)-JG5,"")</f>
        <v/>
      </c>
      <c r="JP5" s="12" t="str">
        <f>IF(SUM(JN5:JO5)&gt;0,SUM(JN5:JO5),"")</f>
        <v/>
      </c>
      <c r="JQ5" s="12" t="str">
        <f>IF(SUM(JH5:JK5)-JL5&gt;0,SUM(JH5:JK5)-JL5,"")</f>
        <v/>
      </c>
      <c r="JR5" s="12" t="str">
        <f>IF(SUM(JP5,JQ5)&gt;0,SUM(JP5,JQ5),"")</f>
        <v/>
      </c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46"/>
      <c r="KD5" s="46"/>
      <c r="KE5" s="46"/>
      <c r="KF5" s="46"/>
      <c r="KG5" s="46"/>
      <c r="KH5" s="15" t="str">
        <f>IF(SUM(JZ5)&gt;0,SUM(JZ5),"")</f>
        <v/>
      </c>
      <c r="KI5" s="15" t="str">
        <f>IF(SUM(JS5:JV5)-JW5&gt;0,SUM(JS5:JV5)-JW5,"")</f>
        <v/>
      </c>
      <c r="KJ5" s="15" t="str">
        <f>IF(SUM(JX5:KA5)-KB5&gt;0,SUM(JX5:KA5)-KB5,"")</f>
        <v/>
      </c>
      <c r="KK5" s="15" t="str">
        <f>IF(SUM(KI5:KJ5)&gt;0,SUM(KI5:KJ5),"")</f>
        <v/>
      </c>
      <c r="KL5" s="15" t="str">
        <f>IF(SUM(KC5:KF5)-KG5&gt;0,SUM(KC5:KF5)-KG5,"")</f>
        <v/>
      </c>
      <c r="KM5" s="15" t="str">
        <f>IF(SUM(KK5,KL5)&gt;0,SUM(KK5,KL5),"")</f>
        <v/>
      </c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45"/>
      <c r="KY5" s="45"/>
      <c r="KZ5" s="45"/>
      <c r="LA5" s="45"/>
      <c r="LB5" s="45"/>
      <c r="LC5" s="12" t="str">
        <f>IF(SUM(KU5)&gt;0,SUM(KU5),"")</f>
        <v/>
      </c>
      <c r="LD5" s="12" t="str">
        <f>IF(SUM(KN5:KQ5)-KR5&gt;0,SUM(KN5:KQ5)-KR5,"")</f>
        <v/>
      </c>
      <c r="LE5" s="12" t="str">
        <f>IF(SUM(KS5:KV5)-KW5&gt;0,SUM(KS5:KV5)-KW5,"")</f>
        <v/>
      </c>
      <c r="LF5" s="12" t="str">
        <f>IF(SUM(LD5:LE5)&gt;0,SUM(LD5:LE5),"")</f>
        <v/>
      </c>
      <c r="LG5" s="12" t="str">
        <f>IF(SUM(KX5:LA5)-LB5&gt;0,SUM(KX5:LA5)-LB5,"")</f>
        <v/>
      </c>
      <c r="LH5" s="12" t="str">
        <f>IF(SUM(LF5,LG5)&gt;0,SUM(LF5,LG5),"")</f>
        <v/>
      </c>
      <c r="LI5" s="46"/>
      <c r="LJ5" s="46"/>
      <c r="LK5" s="46"/>
      <c r="LL5" s="46"/>
      <c r="LM5" s="46"/>
      <c r="LN5" s="46"/>
      <c r="LO5" s="46"/>
      <c r="LP5" s="46"/>
      <c r="LQ5" s="46"/>
      <c r="LR5" s="46"/>
      <c r="LS5" s="46"/>
      <c r="LT5" s="46"/>
      <c r="LU5" s="46"/>
      <c r="LV5" s="46"/>
      <c r="LW5" s="46"/>
      <c r="LX5" s="15" t="str">
        <f>IF(SUM(LP5)&gt;0,SUM(LP5),"")</f>
        <v/>
      </c>
      <c r="LY5" s="15" t="str">
        <f>IF(SUM(LI5:LL5)-LM5&gt;0,SUM(LI5:LL5)-LM5,"")</f>
        <v/>
      </c>
      <c r="LZ5" s="15" t="str">
        <f>IF(SUM(LN5:LQ5)-LR5&gt;0,SUM(LN5:LQ5)-LR5,"")</f>
        <v/>
      </c>
      <c r="MA5" s="15" t="str">
        <f>IF(SUM(LY5:LZ5)&gt;0,SUM(LY5:LZ5),"")</f>
        <v/>
      </c>
      <c r="MB5" s="15" t="str">
        <f>IF(SUM(LS5:LV5)-LW5&gt;0,SUM(LS5:LV5)-LW5,"")</f>
        <v/>
      </c>
      <c r="MC5" s="15" t="str">
        <f>IF(SUM(MA5,MB5)&gt;0,SUM(MA5,MB5),"")</f>
        <v/>
      </c>
    </row>
    <row r="6" spans="1:341" x14ac:dyDescent="0.2">
      <c r="A6" s="6">
        <f>IF(AND(F6="P",H6="P"),SUMPRODUCT((F$4:F$21="P")*(H$4:H$21="P")*(E$4:E$21&gt;E6))+1,IF(H6="P",SUMPRODUCT((F$4:F$21="")*(H$4:H$21="P")*(E$4:E$21&gt;E6))+1+SUMPRODUCT((F$4:F$21="P")*(H$4:H$21="P")),""))</f>
        <v>3</v>
      </c>
      <c r="B6" s="7" t="s">
        <v>71</v>
      </c>
      <c r="C6" s="8" t="s">
        <v>3</v>
      </c>
      <c r="D6" s="6">
        <v>2000</v>
      </c>
      <c r="E6" s="16">
        <f>SUM(J6:R6)</f>
        <v>250.43500000000003</v>
      </c>
      <c r="F6" s="4" t="str">
        <f>IF(OR(AND($AK6&gt;=$AL$24,NOT($AK6=""),$AJ6=""),AND($BG6&gt;=$BH$24,NOT($BG6=""),$BF6=""),AND($CC6&gt;=$CD$24,NOT($CC6=""),$CB6="")),"P","")</f>
        <v>P</v>
      </c>
      <c r="G6" s="4" t="str">
        <f>IF(OR(AND($AK6&gt;=$AL$25,NOT($AK6=""),$AJ6=""),AND($BG6&gt;=$BH$25,NOT($BG6=""),$BF6=""),AND($CC6&gt;=$CD$25,NOT($CC6=""),$CB6="")),"P","")</f>
        <v/>
      </c>
      <c r="H6" s="4" t="str">
        <f>IF(OR(AND($AN6&gt;=$AL$26,NOT($AN6=""),$AJ6=""),AND($BJ6&gt;=$BH$26,NOT($BJ6=""),$BF6=""),AND($CF6&gt;=$CD$26,NOT($CF6=""),$CB6="")),"P","")</f>
        <v>P</v>
      </c>
      <c r="I6" t="str">
        <f>IF(AND(F6="P",OR(AND($AM6&gt;$AL$29,NOT($AM6=""),$AJ6=""),AND($AO6&gt;$AL$29,NOT($AO6=""),$AJ6=""),AND($BI6&gt;$BH$29,NOT($BI6=""),$BF6=""),AND($BK6&gt;$BH$29,NOT($BK6=""),$BF6=""),AND($CE6&gt;$CD$29,NOT($CE6=""),$CB6=""),AND($CG6&gt;$CD$29,NOT($CG6=""),$CB6=""))),"Merit",IF(AND(F6="P",OR(AND($AN6&gt;$AL$28,NOT($AN6=""),$AJ6=""),AND($BJ6&gt;$BH$28,NOT($BJ6=""),$BF6=""),AND($CF6&gt;$CD$28,NOT($CF6=""),$CB6=""))),"Funding",IF(AND(F6="P",OR(AND($AN6&gt;$AL$27,NOT($AN6=""),$AJ6=""),AND($BJ6&gt;$BH$27,NOT($BJ6=""),$BF6=""),AND($CF6&gt;$CD$27,NOT($CF6=""),$CB6=""))),"Worlds Team",IF(AND(F6="P",OR(AND($AN6&gt;$AL$26,NOT($AN6=""),$AJ6=""),AND($BJ6&gt;$BH$26,NOT($BJ6=""),$BF6=""),AND($CF6&gt;$CD$26,NOT($CF6=""),$CB6=""))),"National Team",""))))</f>
        <v>Funding</v>
      </c>
      <c r="J6" s="15">
        <f>MAX(AN6,BJ6,CF6)</f>
        <v>101.27000000000001</v>
      </c>
      <c r="K6" s="15" t="str">
        <f>IF(J6=CF6,$BM$1,IF(J6=BJ6,$AQ$1,IF(J6=AN6,$U$1,"")))</f>
        <v>2017 Nationals</v>
      </c>
      <c r="L6" s="15">
        <f>IF($J6=$AN6,MAX(BH6,CD6),IF($J6=$BJ6,MAX(AL6,CD6),MAX(AL6,BH6)))</f>
        <v>47.325000000000003</v>
      </c>
      <c r="M6" s="15" t="str">
        <f>IF(AND(L6=CD6,$K6&lt;&gt;$BM$1),$BM$1,IF(AND(L6=BH6,$K6&lt;&gt;$AQ$1),$AQ$1,IF(AND(L6=AL6,$K6&lt;&gt;$U$1),$U$1,"")))</f>
        <v>2018 Canada Cup</v>
      </c>
      <c r="N6" s="15">
        <f>IF($J6=$AN6,MAX(BI6,CE6),IF($J6=$BJ6,MAX(AM6,CE6),MAX(AM6,BI6)))</f>
        <v>50.74</v>
      </c>
      <c r="O6" s="15" t="str">
        <f>IF(AND(N6=CE6,$K6&lt;&gt;$BM$1),$BM$1,IF(AND(N6=BI6,$K6&lt;&gt;$AQ$1),$AQ$1,IF(AND(N6=AM6,$K6&lt;&gt;$U$1),$U$1,"")))</f>
        <v>2018 Canada Cup</v>
      </c>
      <c r="P6" s="15">
        <f>MAX(AO6,BK6,CG6)</f>
        <v>51.099999999999994</v>
      </c>
      <c r="Q6" s="15" t="str">
        <f>IF(P6=CG6,$BM$1,IF(P6=BK6,$AQ$1,IF(P6=AO6,$U$1,"")))</f>
        <v>2018 Nationals</v>
      </c>
      <c r="R6" s="15" t="str">
        <f>IF(MAX(CI6,CJ6,CK6)&gt;0,MAX(CI6,CJ6,CK6),"")</f>
        <v/>
      </c>
      <c r="S6" s="29" t="str">
        <f>IF(R6="","",IF(R6=CI6,"(Vol 1)",IF(R6=CJ6,"(Vol 2)",IF(R6=CK6,"(Final)"))))</f>
        <v/>
      </c>
      <c r="T6" s="15" t="str">
        <f>IF(R6="","",IF(R6=CI6,IF(R6+L6=LY6,$LI$1,IF(R6+L6=LD6,$KN$1,IF(R6+L6=KI6,$JS$1,IF(R6+L6=JN6,$IX$1,IF(R6+L6=IS6,$IC$1,IF(R6+L6=HX6,$HH$1,IF(R6+L6=HC6,$GM$1,IF(R6+L6=GH6,$FR$1,IF(R6+L6=FM6,$EW$1,IF(R6+L6=ER6,$EB$1,IF(R6+L6=DW6,$DG$1,IF(R6+L6=DB6,$CL$1)))))))))))),IF(R6=CJ6,IF(R6+N6=LZ6,$LI$1,IF(R6+N6=LE6,$KN$1,IF(R6+N6=KJ6,$JS$1,IF(R6+N6=JO6,$IX$1,IF(R6+N6=IT6,$IC$1,IF(R6+N6=HY6,$HH$1,IF(R6+N6=HD6,$GM$1,IF(R6+N6=GI6,$FR$1,IF(R6+N6=FN6,$EW$1,IF(R6+N6=ES6,$EB$1,IF(R6+N6=DX6,$DG$1,IF(R6+N6=DC6,$CL$1)))))))))))),IF(R6=CK6,IF(R6+P6=MB6,$LI$1,IF(R6+P6=LG6,$KN$1,IF(R6+P6=KL6,$JS$1,IF(R6+P6=JQ6,$IX$1,IF(R6+P6=IV6,$IC$1,IF(R6+P6=IA6,$HH$1,IF(R6+P6=HF6,$GM$1,IF(R6+P6=GK6,$FR$1,IF(R6+P6=FP6,$EW$1,IF(R6+P6=EU6,$EB$1,IF(R6+P6=DZ6,$DG$1,IF(R6+P6=DE6,$CL$1))))))))))))))))</f>
        <v/>
      </c>
      <c r="U6" s="76">
        <v>16.3</v>
      </c>
      <c r="V6" s="76">
        <v>9.3000000000000007</v>
      </c>
      <c r="W6" s="76">
        <v>4.8</v>
      </c>
      <c r="X6" s="76">
        <v>16.315000000000001</v>
      </c>
      <c r="Y6" s="76">
        <v>0</v>
      </c>
      <c r="Z6" s="76">
        <v>16.100000000000001</v>
      </c>
      <c r="AA6" s="76">
        <v>9.5</v>
      </c>
      <c r="AB6" s="76">
        <v>13.3</v>
      </c>
      <c r="AC6" s="76">
        <v>15.654999999999999</v>
      </c>
      <c r="AD6" s="76">
        <v>0</v>
      </c>
      <c r="AE6" s="76">
        <v>3.3</v>
      </c>
      <c r="AF6" s="76">
        <v>1.8</v>
      </c>
      <c r="AG6" s="76">
        <v>3.1</v>
      </c>
      <c r="AH6" s="76">
        <v>3.335</v>
      </c>
      <c r="AI6" s="76">
        <v>0</v>
      </c>
      <c r="AJ6" s="101"/>
      <c r="AK6" s="12">
        <f>IF(SUM(AB6)&gt;0,SUM(AB6),"")</f>
        <v>13.3</v>
      </c>
      <c r="AL6" s="12">
        <f>IF(SUM(U6:X6)-Y6&gt;0,SUM(U6:X6)-Y6,"")</f>
        <v>46.715000000000003</v>
      </c>
      <c r="AM6" s="12">
        <f>IF(SUM(Z6:AC6)-AD6&gt;0,SUM(Z6:AC6)-AD6,"")</f>
        <v>54.555000000000007</v>
      </c>
      <c r="AN6" s="12">
        <f>IF(SUM(AL6:AM6)&gt;0,SUM(AL6:AM6),"")</f>
        <v>101.27000000000001</v>
      </c>
      <c r="AO6" s="12">
        <f>IF(SUM(AE6:AH6)-AI6&gt;0,SUM(AE6:AH6)-AI6,"")</f>
        <v>11.535</v>
      </c>
      <c r="AP6" s="12">
        <f>IF(SUM(AN6,AO6)&gt;0,SUM(AN6,AO6),"")</f>
        <v>112.80500000000001</v>
      </c>
      <c r="AQ6" s="80">
        <v>15.6</v>
      </c>
      <c r="AR6" s="80">
        <v>9.35</v>
      </c>
      <c r="AS6" s="80">
        <v>5.8</v>
      </c>
      <c r="AT6" s="80">
        <v>16.574999999999999</v>
      </c>
      <c r="AU6" s="80">
        <v>0</v>
      </c>
      <c r="AV6" s="80">
        <v>12.4</v>
      </c>
      <c r="AW6" s="80">
        <v>8.6</v>
      </c>
      <c r="AX6" s="80">
        <v>14.2</v>
      </c>
      <c r="AY6" s="80">
        <v>15.54</v>
      </c>
      <c r="AZ6" s="80">
        <v>0</v>
      </c>
      <c r="BA6" s="80">
        <v>12.7</v>
      </c>
      <c r="BB6" s="80">
        <v>8.6</v>
      </c>
      <c r="BC6" s="80">
        <v>12.6</v>
      </c>
      <c r="BD6" s="80">
        <v>15.31</v>
      </c>
      <c r="BE6" s="80">
        <v>2</v>
      </c>
      <c r="BF6" s="105"/>
      <c r="BG6" s="15">
        <f>IF(SUM(AX6)&gt;0,SUM(AX6),"")</f>
        <v>14.2</v>
      </c>
      <c r="BH6" s="15">
        <f>IF(SUM(AQ6:AT6)-AU6&gt;0,SUM(AQ6:AT6)-AU6,"")</f>
        <v>47.325000000000003</v>
      </c>
      <c r="BI6" s="15">
        <f>IF(SUM(AV6:AY6)-AZ6&gt;0,SUM(AV6:AY6)-AZ6,"")</f>
        <v>50.74</v>
      </c>
      <c r="BJ6" s="15">
        <f>IF(SUM(BH6:BI6)&gt;0,SUM(BH6:BI6),"")</f>
        <v>98.064999999999998</v>
      </c>
      <c r="BK6" s="15">
        <f>IF(SUM(BA6:BD6)-BE6&gt;0,SUM(BA6:BD6)-BE6,"")</f>
        <v>47.21</v>
      </c>
      <c r="BL6" s="15">
        <f>IF(SUM(BJ6,BK6)&gt;0,SUM(BJ6,BK6),"")</f>
        <v>145.27500000000001</v>
      </c>
      <c r="BM6" s="76">
        <v>15.7</v>
      </c>
      <c r="BN6" s="76">
        <v>9.35</v>
      </c>
      <c r="BO6" s="76">
        <v>4.0999999999999996</v>
      </c>
      <c r="BP6" s="76">
        <v>16.675000000000001</v>
      </c>
      <c r="BQ6" s="76">
        <v>0</v>
      </c>
      <c r="BR6" s="76">
        <v>10.199999999999999</v>
      </c>
      <c r="BS6" s="76">
        <v>8.4499999999999993</v>
      </c>
      <c r="BT6" s="76">
        <v>13.8</v>
      </c>
      <c r="BU6" s="76">
        <v>15.605</v>
      </c>
      <c r="BV6" s="76">
        <v>0</v>
      </c>
      <c r="BW6" s="76">
        <v>14.1</v>
      </c>
      <c r="BX6" s="76">
        <v>8.5</v>
      </c>
      <c r="BY6" s="76">
        <v>12.7</v>
      </c>
      <c r="BZ6" s="76">
        <v>15.8</v>
      </c>
      <c r="CA6" s="76">
        <v>0</v>
      </c>
      <c r="CB6" s="101"/>
      <c r="CC6" s="12">
        <f>IF(SUM(BT6)&gt;0,SUM(BT6),"")</f>
        <v>13.8</v>
      </c>
      <c r="CD6" s="12">
        <f>IF(SUM(BM6:BP6)-BQ6&gt;0,SUM(BM6:BP6)-BQ6,"")</f>
        <v>45.825000000000003</v>
      </c>
      <c r="CE6" s="12">
        <f>IF(SUM(BR6:BU6)-BV6&gt;0,SUM(BR6:BU6)-BV6,"")</f>
        <v>48.055000000000007</v>
      </c>
      <c r="CF6" s="12">
        <f>IF(SUM(CD6:CE6)&gt;0,SUM(CD6:CE6),"")</f>
        <v>93.88000000000001</v>
      </c>
      <c r="CG6" s="12">
        <f>IF(SUM(BW6:BZ6)-CA6&gt;0,SUM(BW6:BZ6)-CA6,"")</f>
        <v>51.099999999999994</v>
      </c>
      <c r="CH6" s="12">
        <f>IF(SUM(CF6,CG6)&gt;0,SUM(CF6,CG6),"")</f>
        <v>144.98000000000002</v>
      </c>
      <c r="CI6" s="28" t="str">
        <f>IF(MAX(DB6,DW6,ER6,FM6,GH6,HC6,HX6,IS6,JN6,KI6,LD6,LY6)-L6&gt;0.001,MAX(DB6,DW6,ER6,FM6,GH6,HC6,HX6,IS6,JN6,KI6,LD6,LY6)-L6,"")</f>
        <v/>
      </c>
      <c r="CJ6" s="28" t="str">
        <f>IF(MAX(DC6,DX6,ES6,FN6,GI6,HD6,HY6,IT6,JO6,KJ6,LE6,LZ6)-N6&gt;0.001,MAX(DC6,DX6,ES6,FN6,GI6,HD6,HY6,IT6,JO6,KJ6,LE6,LZ6)-N6,"")</f>
        <v/>
      </c>
      <c r="CK6" s="28" t="str">
        <f>IF(MAX(DE6,DZ6,EU6,FP6,GK6,HF6,IA6,IV6,JQ6,KL6,LG6,MB6)-P6&gt;0.001,MAX(DE6,DZ6,EU6,FP6,GK6,HF6,IA6,IV6,JQ6,KL6,LG6,MB6)-P6,"")</f>
        <v/>
      </c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45"/>
      <c r="CW6" s="45"/>
      <c r="CX6" s="45"/>
      <c r="CY6" s="45"/>
      <c r="CZ6" s="45"/>
      <c r="DA6" s="12" t="str">
        <f>IF(SUM(CS6)&gt;0,SUM(CS6),"")</f>
        <v/>
      </c>
      <c r="DB6" s="12" t="str">
        <f>IF(SUM(CL6:CO6)-CP6&gt;0,SUM(CL6:CO6)-CP6,"")</f>
        <v/>
      </c>
      <c r="DC6" s="12" t="str">
        <f>IF(SUM(CQ6:CT6)-CU6&gt;0,SUM(CQ6:CT6)-CU6,"")</f>
        <v/>
      </c>
      <c r="DD6" s="12" t="str">
        <f>IF(SUM(DB6:DC6)&gt;0,SUM(DB6:DC6),"")</f>
        <v/>
      </c>
      <c r="DE6" s="12" t="str">
        <f>IF(SUM(CV6:CY6)-CZ6&gt;0,SUM(CV6:CY6)-CZ6,"")</f>
        <v/>
      </c>
      <c r="DF6" s="12" t="str">
        <f>IF(SUM(DD6,DE6)&gt;0,SUM(DD6,DE6),"")</f>
        <v/>
      </c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15" t="str">
        <f>IF(SUM(DN6)&gt;0,SUM(DN6),"")</f>
        <v/>
      </c>
      <c r="DW6" s="15" t="str">
        <f>IF(SUM(DG6:DJ6)-DK6&gt;0,SUM(DG6:DJ6)-DK6,"")</f>
        <v/>
      </c>
      <c r="DX6" s="15" t="str">
        <f>IF(SUM(DL6:DO6)-DP6&gt;0,SUM(DL6:DO6)-DP6,"")</f>
        <v/>
      </c>
      <c r="DY6" s="15" t="str">
        <f>IF(SUM(DW6:DX6)&gt;0,SUM(DW6:DX6),"")</f>
        <v/>
      </c>
      <c r="DZ6" s="15" t="str">
        <f>IF(SUM(DQ6:DT6)-DU6&gt;0,SUM(DQ6:DT6)-DU6,"")</f>
        <v/>
      </c>
      <c r="EA6" s="15" t="str">
        <f>IF(SUM(DY6,DZ6)&gt;0,SUM(DY6,DZ6),"")</f>
        <v/>
      </c>
      <c r="EB6" s="45"/>
      <c r="EC6" s="45"/>
      <c r="ED6" s="45"/>
      <c r="EE6" s="45"/>
      <c r="EF6" s="45"/>
      <c r="EG6" s="45"/>
      <c r="EH6" s="45"/>
      <c r="EI6" s="45"/>
      <c r="EJ6" s="45"/>
      <c r="EK6" s="45"/>
      <c r="EL6" s="45"/>
      <c r="EM6" s="45"/>
      <c r="EN6" s="45"/>
      <c r="EO6" s="45"/>
      <c r="EP6" s="45"/>
      <c r="EQ6" s="12" t="str">
        <f>IF(SUM(EI6)&gt;0,SUM(EI6),"")</f>
        <v/>
      </c>
      <c r="ER6" s="12" t="str">
        <f>IF(SUM(EB6:EE6)-EF6&gt;0,SUM(EB6:EE6)-EF6,"")</f>
        <v/>
      </c>
      <c r="ES6" s="12" t="str">
        <f>IF(SUM(EG6:EJ6)-EK6&gt;0,SUM(EG6:EJ6)-EK6,"")</f>
        <v/>
      </c>
      <c r="ET6" s="12" t="str">
        <f>IF(SUM(ER6:ES6)&gt;0,SUM(ER6:ES6),"")</f>
        <v/>
      </c>
      <c r="EU6" s="12" t="str">
        <f>IF(SUM(EL6:EO6)-EP6&gt;0,SUM(EL6:EO6)-EP6,"")</f>
        <v/>
      </c>
      <c r="EV6" s="12" t="str">
        <f>IF(SUM(ET6,EU6)&gt;0,SUM(ET6,EU6),"")</f>
        <v/>
      </c>
      <c r="EW6" s="46">
        <v>15.9</v>
      </c>
      <c r="EX6" s="46">
        <v>9.1999999999999993</v>
      </c>
      <c r="EY6" s="46">
        <v>0</v>
      </c>
      <c r="EZ6" s="46">
        <v>16.754999999999999</v>
      </c>
      <c r="FA6" s="46">
        <v>0</v>
      </c>
      <c r="FB6" s="46">
        <v>3</v>
      </c>
      <c r="FC6" s="46">
        <v>1.8</v>
      </c>
      <c r="FD6" s="46">
        <v>3</v>
      </c>
      <c r="FE6" s="46">
        <v>3.3650000000000002</v>
      </c>
      <c r="FF6" s="46">
        <v>0</v>
      </c>
      <c r="FG6" s="46"/>
      <c r="FH6" s="46"/>
      <c r="FI6" s="46"/>
      <c r="FJ6" s="46"/>
      <c r="FK6" s="46"/>
      <c r="FL6" s="15">
        <f>IF(SUM(FD6)&gt;0,SUM(FD6),"")</f>
        <v>3</v>
      </c>
      <c r="FM6" s="15">
        <f>IF(SUM(EW6:EZ6)-FA6&gt;0,SUM(EW6:EZ6)-FA6,"")</f>
        <v>41.855000000000004</v>
      </c>
      <c r="FN6" s="15">
        <f>IF(SUM(FB6:FE6)-FF6&gt;0,SUM(FB6:FE6)-FF6,"")</f>
        <v>11.164999999999999</v>
      </c>
      <c r="FO6" s="15">
        <f>IF(SUM(FM6:FN6)&gt;0,SUM(FM6:FN6),"")</f>
        <v>53.02</v>
      </c>
      <c r="FP6" s="15" t="str">
        <f>IF(SUM(FG6:FJ6)-FK6&gt;0,SUM(FG6:FJ6)-FK6,"")</f>
        <v/>
      </c>
      <c r="FQ6" s="15">
        <f>IF(SUM(FO6,FP6)&gt;0,SUM(FO6,FP6),"")</f>
        <v>53.02</v>
      </c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45"/>
      <c r="GC6" s="45"/>
      <c r="GD6" s="45"/>
      <c r="GE6" s="45"/>
      <c r="GF6" s="45"/>
      <c r="GG6" s="12" t="str">
        <f>IF(SUM(FY6)&gt;0,SUM(FY6),"")</f>
        <v/>
      </c>
      <c r="GH6" s="12" t="str">
        <f>IF(SUM(FR6:FU6)-FV6&gt;0,SUM(FR6:FU6)-FV6,"")</f>
        <v/>
      </c>
      <c r="GI6" s="12" t="str">
        <f>IF(SUM(FW6:FZ6)-GA6&gt;0,SUM(FW6:FZ6)-GA6,"")</f>
        <v/>
      </c>
      <c r="GJ6" s="12" t="str">
        <f>IF(SUM(GH6:GI6)&gt;0,SUM(GH6:GI6),"")</f>
        <v/>
      </c>
      <c r="GK6" s="12" t="str">
        <f>IF(SUM(GB6:GE6)-GF6&gt;0,SUM(GB6:GE6)-GF6,"")</f>
        <v/>
      </c>
      <c r="GL6" s="12" t="str">
        <f>IF(SUM(GJ6,GK6)&gt;0,SUM(GJ6,GK6),"")</f>
        <v/>
      </c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15" t="str">
        <f>IF(SUM(GT6)&gt;0,SUM(GT6),"")</f>
        <v/>
      </c>
      <c r="HC6" s="15" t="str">
        <f>IF(SUM(GM6:GP6)-GQ6&gt;0,SUM(GM6:GP6)-GQ6,"")</f>
        <v/>
      </c>
      <c r="HD6" s="15" t="str">
        <f>IF(SUM(GR6:GU6)-GV6&gt;0,SUM(GR6:GU6)-GV6,"")</f>
        <v/>
      </c>
      <c r="HE6" s="15" t="str">
        <f>IF(SUM(HC6:HD6)&gt;0,SUM(HC6:HD6),"")</f>
        <v/>
      </c>
      <c r="HF6" s="15" t="str">
        <f>IF(SUM(GW6:GZ6)-HA6&gt;0,SUM(GW6:GZ6)-HA6,"")</f>
        <v/>
      </c>
      <c r="HG6" s="15" t="str">
        <f>IF(SUM(HE6,HF6)&gt;0,SUM(HE6,HF6),"")</f>
        <v/>
      </c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45"/>
      <c r="HS6" s="45"/>
      <c r="HT6" s="45"/>
      <c r="HU6" s="45"/>
      <c r="HV6" s="45"/>
      <c r="HW6" s="12" t="str">
        <f>IF(SUM(HO6)&gt;0,SUM(HO6),"")</f>
        <v/>
      </c>
      <c r="HX6" s="12" t="str">
        <f>IF(SUM(HH6:HK6)-HL6&gt;0,SUM(HH6:HK6)-HL6,"")</f>
        <v/>
      </c>
      <c r="HY6" s="12" t="str">
        <f>IF(SUM(HM6:HP6)-HQ6&gt;0,SUM(HM6:HP6)-HQ6,"")</f>
        <v/>
      </c>
      <c r="HZ6" s="12" t="str">
        <f>IF(SUM(HX6:HY6)&gt;0,SUM(HX6:HY6),"")</f>
        <v/>
      </c>
      <c r="IA6" s="12" t="str">
        <f>IF(SUM(HR6:HU6)-HV6&gt;0,SUM(HR6:HU6)-HV6,"")</f>
        <v/>
      </c>
      <c r="IB6" s="12" t="str">
        <f>IF(SUM(HZ6,IA6)&gt;0,SUM(HZ6,IA6),"")</f>
        <v/>
      </c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15" t="str">
        <f>IF(SUM(IJ6)&gt;0,SUM(IJ6),"")</f>
        <v/>
      </c>
      <c r="IS6" s="15" t="str">
        <f>IF(SUM(IC6:IF6)-IG6&gt;0,SUM(IC6:IF6)-IG6,"")</f>
        <v/>
      </c>
      <c r="IT6" s="15" t="str">
        <f>IF(SUM(IH6:IK6)-IL6&gt;0,SUM(IH6:IK6)-IL6,"")</f>
        <v/>
      </c>
      <c r="IU6" s="15" t="str">
        <f>IF(SUM(IS6:IT6)&gt;0,SUM(IS6:IT6),"")</f>
        <v/>
      </c>
      <c r="IV6" s="15" t="str">
        <f>IF(SUM(IM6:IP6)-IQ6&gt;0,SUM(IM6:IP6)-IQ6,"")</f>
        <v/>
      </c>
      <c r="IW6" s="15" t="str">
        <f>IF(SUM(IU6,IV6)&gt;0,SUM(IU6,IV6),"")</f>
        <v/>
      </c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45"/>
      <c r="JI6" s="45"/>
      <c r="JJ6" s="45"/>
      <c r="JK6" s="45"/>
      <c r="JL6" s="45"/>
      <c r="JM6" s="12" t="str">
        <f>IF(SUM(JE6)&gt;0,SUM(JE6),"")</f>
        <v/>
      </c>
      <c r="JN6" s="12" t="str">
        <f>IF(SUM(IX6:JA6)-JB6&gt;0,SUM(IX6:JA6)-JB6,"")</f>
        <v/>
      </c>
      <c r="JO6" s="12" t="str">
        <f>IF(SUM(JC6:JF6)-JG6&gt;0,SUM(JC6:JF6)-JG6,"")</f>
        <v/>
      </c>
      <c r="JP6" s="12" t="str">
        <f>IF(SUM(JN6:JO6)&gt;0,SUM(JN6:JO6),"")</f>
        <v/>
      </c>
      <c r="JQ6" s="12" t="str">
        <f>IF(SUM(JH6:JK6)-JL6&gt;0,SUM(JH6:JK6)-JL6,"")</f>
        <v/>
      </c>
      <c r="JR6" s="12" t="str">
        <f>IF(SUM(JP6,JQ6)&gt;0,SUM(JP6,JQ6),"")</f>
        <v/>
      </c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46"/>
      <c r="KD6" s="46"/>
      <c r="KE6" s="46"/>
      <c r="KF6" s="46"/>
      <c r="KG6" s="46"/>
      <c r="KH6" s="15" t="str">
        <f>IF(SUM(JZ6)&gt;0,SUM(JZ6),"")</f>
        <v/>
      </c>
      <c r="KI6" s="15" t="str">
        <f>IF(SUM(JS6:JV6)-JW6&gt;0,SUM(JS6:JV6)-JW6,"")</f>
        <v/>
      </c>
      <c r="KJ6" s="15" t="str">
        <f>IF(SUM(JX6:KA6)-KB6&gt;0,SUM(JX6:KA6)-KB6,"")</f>
        <v/>
      </c>
      <c r="KK6" s="15" t="str">
        <f>IF(SUM(KI6:KJ6)&gt;0,SUM(KI6:KJ6),"")</f>
        <v/>
      </c>
      <c r="KL6" s="15" t="str">
        <f>IF(SUM(KC6:KF6)-KG6&gt;0,SUM(KC6:KF6)-KG6,"")</f>
        <v/>
      </c>
      <c r="KM6" s="15" t="str">
        <f>IF(SUM(KK6,KL6)&gt;0,SUM(KK6,KL6),"")</f>
        <v/>
      </c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45"/>
      <c r="KY6" s="45"/>
      <c r="KZ6" s="45"/>
      <c r="LA6" s="45"/>
      <c r="LB6" s="45"/>
      <c r="LC6" s="12" t="str">
        <f>IF(SUM(KU6)&gt;0,SUM(KU6),"")</f>
        <v/>
      </c>
      <c r="LD6" s="12" t="str">
        <f>IF(SUM(KN6:KQ6)-KR6&gt;0,SUM(KN6:KQ6)-KR6,"")</f>
        <v/>
      </c>
      <c r="LE6" s="12" t="str">
        <f>IF(SUM(KS6:KV6)-KW6&gt;0,SUM(KS6:KV6)-KW6,"")</f>
        <v/>
      </c>
      <c r="LF6" s="12" t="str">
        <f>IF(SUM(LD6:LE6)&gt;0,SUM(LD6:LE6),"")</f>
        <v/>
      </c>
      <c r="LG6" s="12" t="str">
        <f>IF(SUM(KX6:LA6)-LB6&gt;0,SUM(KX6:LA6)-LB6,"")</f>
        <v/>
      </c>
      <c r="LH6" s="12" t="str">
        <f>IF(SUM(LF6,LG6)&gt;0,SUM(LF6,LG6),"")</f>
        <v/>
      </c>
      <c r="LI6" s="46"/>
      <c r="LJ6" s="46"/>
      <c r="LK6" s="46"/>
      <c r="LL6" s="46"/>
      <c r="LM6" s="46"/>
      <c r="LN6" s="46"/>
      <c r="LO6" s="46"/>
      <c r="LP6" s="46"/>
      <c r="LQ6" s="46"/>
      <c r="LR6" s="46"/>
      <c r="LS6" s="46"/>
      <c r="LT6" s="46"/>
      <c r="LU6" s="46"/>
      <c r="LV6" s="46"/>
      <c r="LW6" s="46"/>
      <c r="LX6" s="15" t="str">
        <f>IF(SUM(LP6)&gt;0,SUM(LP6),"")</f>
        <v/>
      </c>
      <c r="LY6" s="15" t="str">
        <f>IF(SUM(LI6:LL6)-LM6&gt;0,SUM(LI6:LL6)-LM6,"")</f>
        <v/>
      </c>
      <c r="LZ6" s="15" t="str">
        <f>IF(SUM(LN6:LQ6)-LR6&gt;0,SUM(LN6:LQ6)-LR6,"")</f>
        <v/>
      </c>
      <c r="MA6" s="15" t="str">
        <f>IF(SUM(LY6:LZ6)&gt;0,SUM(LY6:LZ6),"")</f>
        <v/>
      </c>
      <c r="MB6" s="15" t="str">
        <f>IF(SUM(LS6:LV6)-LW6&gt;0,SUM(LS6:LV6)-LW6,"")</f>
        <v/>
      </c>
      <c r="MC6" s="15" t="str">
        <f>IF(SUM(MA6,MB6)&gt;0,SUM(MA6,MB6),"")</f>
        <v/>
      </c>
    </row>
    <row r="7" spans="1:341" x14ac:dyDescent="0.2">
      <c r="A7" s="6">
        <f>IF(AND(F7="P",H7="P"),SUMPRODUCT((F$4:F$21="P")*(H$4:H$21="P")*(E$4:E$21&gt;E7))+1,IF(H7="P",SUMPRODUCT((F$4:F$21="")*(H$4:H$21="P")*(E$4:E$21&gt;E7))+1+SUMPRODUCT((F$4:F$21="P")*(H$4:H$21="P")),""))</f>
        <v>4</v>
      </c>
      <c r="B7" s="7" t="s">
        <v>72</v>
      </c>
      <c r="C7" s="8" t="s">
        <v>5</v>
      </c>
      <c r="D7" s="31">
        <v>2001</v>
      </c>
      <c r="E7" s="16">
        <f>SUM(J7:R7)</f>
        <v>249.79</v>
      </c>
      <c r="F7" s="4" t="str">
        <f>IF(OR(AND($AK7&gt;=$AL$24,NOT($AK7=""),$AJ7=""),AND($BG7&gt;=$BH$24,NOT($BG7=""),$BF7=""),AND($CC7&gt;=$CD$24,NOT($CC7=""),$CB7="")),"P","")</f>
        <v>P</v>
      </c>
      <c r="G7" s="4" t="str">
        <f>IF(OR(AND($AK7&gt;=$AL$25,NOT($AK7=""),$AJ7=""),AND($BG7&gt;=$BH$25,NOT($BG7=""),$BF7=""),AND($CC7&gt;=$CD$25,NOT($CC7=""),$CB7="")),"P","")</f>
        <v/>
      </c>
      <c r="H7" s="4" t="str">
        <f>IF(OR(AND($AN7&gt;=$AL$26,NOT($AN7=""),$AJ7=""),AND($BJ7&gt;=$BH$26,NOT($BJ7=""),$BF7=""),AND($CF7&gt;=$CD$26,NOT($CF7=""),$CB7="")),"P","")</f>
        <v>P</v>
      </c>
      <c r="I7" t="str">
        <f>IF(AND(F7="P",OR(AND($AM7&gt;$AL$29,NOT($AM7=""),$AJ7=""),AND($AO7&gt;$AL$29,NOT($AO7=""),$AJ7=""),AND($BI7&gt;$BH$29,NOT($BI7=""),$BF7=""),AND($BK7&gt;$BH$29,NOT($BK7=""),$BF7=""),AND($CE7&gt;$CD$29,NOT($CE7=""),$CB7=""),AND($CG7&gt;$CD$29,NOT($CG7=""),$CB7=""))),"Merit",IF(AND(F7="P",OR(AND($AN7&gt;$AL$28,NOT($AN7=""),$AJ7=""),AND($BJ7&gt;$BH$28,NOT($BJ7=""),$BF7=""),AND($CF7&gt;$CD$28,NOT($CF7=""),$CB7=""))),"Funding",IF(AND(F7="P",OR(AND($AN7&gt;$AL$27,NOT($AN7=""),$AJ7=""),AND($BJ7&gt;$BH$27,NOT($BJ7=""),$BF7=""),AND($CF7&gt;$CD$27,NOT($CF7=""),$CB7=""))),"Worlds Team",IF(AND(F7="P",OR(AND($AN7&gt;$AL$26,NOT($AN7=""),$AJ7=""),AND($BJ7&gt;$BH$26,NOT($BJ7=""),$BF7=""),AND($CF7&gt;$CD$26,NOT($CF7=""),$CB7=""))),"National Team",""))))</f>
        <v>National Team</v>
      </c>
      <c r="J7" s="15">
        <f>MAX(AN7,BJ7,CF7)</f>
        <v>98.8</v>
      </c>
      <c r="K7" s="15" t="str">
        <f>IF(J7=CF7,$BM$1,IF(J7=BJ7,$AQ$1,IF(J7=AN7,$U$1,"")))</f>
        <v>2018 Nationals</v>
      </c>
      <c r="L7" s="15">
        <f>IF($J7=$AN7,MAX(BH7,CD7),IF($J7=$BJ7,MAX(AL7,CD7),MAX(AL7,BH7)))</f>
        <v>46.515000000000001</v>
      </c>
      <c r="M7" s="15" t="str">
        <f>IF(AND(L7=CD7,$K7&lt;&gt;$BM$1),$BM$1,IF(AND(L7=BH7,$K7&lt;&gt;$AQ$1),$AQ$1,IF(AND(L7=AL7,$K7&lt;&gt;$U$1),$U$1,"")))</f>
        <v>2018 Canada Cup</v>
      </c>
      <c r="N7" s="15">
        <f>IF($J7=$AN7,MAX(BI7,CE7),IF($J7=$BJ7,MAX(AM7,CE7),MAX(AM7,BI7)))</f>
        <v>49.23</v>
      </c>
      <c r="O7" s="15" t="str">
        <f>IF(AND(N7=CE7,$K7&lt;&gt;$BM$1),$BM$1,IF(AND(N7=BI7,$K7&lt;&gt;$AQ$1),$AQ$1,IF(AND(N7=AM7,$K7&lt;&gt;$U$1),$U$1,"")))</f>
        <v>2017 Nationals</v>
      </c>
      <c r="P7" s="15">
        <f>MAX(AO7,BK7,CG7)</f>
        <v>53.44</v>
      </c>
      <c r="Q7" s="15" t="str">
        <f>IF(P7=CG7,$BM$1,IF(P7=BK7,$AQ$1,IF(P7=AO7,$U$1,"")))</f>
        <v>2018 Nationals</v>
      </c>
      <c r="R7" s="15">
        <f>IF(MAX(CI7,CJ7,CK7)&gt;0,MAX(CI7,CJ7,CK7),"")</f>
        <v>1.8049999999999997</v>
      </c>
      <c r="S7" s="29" t="str">
        <f>IF(R7="","",IF(R7=CI7,"(Vol 1)",IF(R7=CJ7,"(Vol 2)",IF(R7=CK7,"(Final)"))))</f>
        <v>(Vol 2)</v>
      </c>
      <c r="T7" s="15" t="str">
        <f>IF(R7="","",IF(R7=CI7,IF(R7+L7=LY7,$LI$1,IF(R7+L7=LD7,$KN$1,IF(R7+L7=KI7,$JS$1,IF(R7+L7=JN7,$IX$1,IF(R7+L7=IS7,$IC$1,IF(R7+L7=HX7,$HH$1,IF(R7+L7=HC7,$GM$1,IF(R7+L7=GH7,$FR$1,IF(R7+L7=FM7,$EW$1,IF(R7+L7=ER7,$EB$1,IF(R7+L7=DW7,$DG$1,IF(R7+L7=DB7,$CL$1)))))))))))),IF(R7=CJ7,IF(R7+N7=LZ7,$LI$1,IF(R7+N7=LE7,$KN$1,IF(R7+N7=KJ7,$JS$1,IF(R7+N7=JO7,$IX$1,IF(R7+N7=IT7,$IC$1,IF(R7+N7=HY7,$HH$1,IF(R7+N7=HD7,$GM$1,IF(R7+N7=GI7,$FR$1,IF(R7+N7=FN7,$EW$1,IF(R7+N7=ES7,$EB$1,IF(R7+N7=DX7,$DG$1,IF(R7+N7=DC7,$CL$1)))))))))))),IF(R7=CK7,IF(R7+P7=MB7,$LI$1,IF(R7+P7=LG7,$KN$1,IF(R7+P7=KL7,$JS$1,IF(R7+P7=JQ7,$IX$1,IF(R7+P7=IV7,$IC$1,IF(R7+P7=IA7,$HH$1,IF(R7+P7=HF7,$GM$1,IF(R7+P7=GK7,$FR$1,IF(R7+P7=FP7,$EW$1,IF(R7+P7=EU7,$EB$1,IF(R7+P7=DZ7,$DG$1,IF(R7+P7=DE7,$CL$1))))))))))))))))</f>
        <v>2018 Pacific Rim (Apr 29)</v>
      </c>
      <c r="U7" s="76">
        <v>16.8</v>
      </c>
      <c r="V7" s="76">
        <v>9.1999999999999993</v>
      </c>
      <c r="W7" s="76">
        <v>3.4</v>
      </c>
      <c r="X7" s="76">
        <v>16.484999999999999</v>
      </c>
      <c r="Y7" s="76">
        <v>0</v>
      </c>
      <c r="Z7" s="76">
        <v>13</v>
      </c>
      <c r="AA7" s="76">
        <v>8.8000000000000007</v>
      </c>
      <c r="AB7" s="76">
        <v>12</v>
      </c>
      <c r="AC7" s="76">
        <v>15.43</v>
      </c>
      <c r="AD7" s="76">
        <v>0</v>
      </c>
      <c r="AE7" s="76">
        <v>15.1</v>
      </c>
      <c r="AF7" s="76">
        <v>9.5</v>
      </c>
      <c r="AG7" s="76">
        <v>12.7</v>
      </c>
      <c r="AH7" s="76">
        <v>15.34</v>
      </c>
      <c r="AI7" s="76">
        <v>0</v>
      </c>
      <c r="AJ7" s="101"/>
      <c r="AK7" s="12">
        <f>IF(SUM(AB7)&gt;0,SUM(AB7),"")</f>
        <v>12</v>
      </c>
      <c r="AL7" s="12">
        <f>IF(SUM(U7:X7)-Y7&gt;0,SUM(U7:X7)-Y7,"")</f>
        <v>45.884999999999998</v>
      </c>
      <c r="AM7" s="12">
        <f>IF(SUM(Z7:AC7)-AD7&gt;0,SUM(Z7:AC7)-AD7,"")</f>
        <v>49.23</v>
      </c>
      <c r="AN7" s="12">
        <f>IF(SUM(AL7:AM7)&gt;0,SUM(AL7:AM7),"")</f>
        <v>95.114999999999995</v>
      </c>
      <c r="AO7" s="12">
        <f>IF(SUM(AE7:AH7)-AI7&gt;0,SUM(AE7:AH7)-AI7,"")</f>
        <v>52.64</v>
      </c>
      <c r="AP7" s="12">
        <f>IF(SUM(AN7,AO7)&gt;0,SUM(AN7,AO7),"")</f>
        <v>147.755</v>
      </c>
      <c r="AQ7" s="80">
        <v>16.899999999999999</v>
      </c>
      <c r="AR7" s="80">
        <v>9.35</v>
      </c>
      <c r="AS7" s="80">
        <v>3.4</v>
      </c>
      <c r="AT7" s="80">
        <v>16.864999999999998</v>
      </c>
      <c r="AU7" s="80">
        <v>0</v>
      </c>
      <c r="AV7" s="80">
        <v>1.6</v>
      </c>
      <c r="AW7" s="80">
        <v>0.8</v>
      </c>
      <c r="AX7" s="80">
        <v>1.7</v>
      </c>
      <c r="AY7" s="80">
        <v>1.6950000000000001</v>
      </c>
      <c r="AZ7" s="80">
        <v>0</v>
      </c>
      <c r="BA7" s="80"/>
      <c r="BB7" s="80"/>
      <c r="BC7" s="80"/>
      <c r="BD7" s="80"/>
      <c r="BE7" s="80"/>
      <c r="BF7" s="105"/>
      <c r="BG7" s="15">
        <f>IF(SUM(AX7)&gt;0,SUM(AX7),"")</f>
        <v>1.7</v>
      </c>
      <c r="BH7" s="15">
        <f>IF(SUM(AQ7:AT7)-AU7&gt;0,SUM(AQ7:AT7)-AU7,"")</f>
        <v>46.515000000000001</v>
      </c>
      <c r="BI7" s="15">
        <f>IF(SUM(AV7:AY7)-AZ7&gt;0,SUM(AV7:AY7)-AZ7,"")</f>
        <v>5.7950000000000008</v>
      </c>
      <c r="BJ7" s="15">
        <f>IF(SUM(BH7:BI7)&gt;0,SUM(BH7:BI7),"")</f>
        <v>52.31</v>
      </c>
      <c r="BK7" s="15" t="str">
        <f>IF(SUM(BA7:BD7)-BE7&gt;0,SUM(BA7:BD7)-BE7,"")</f>
        <v/>
      </c>
      <c r="BL7" s="15">
        <f>IF(SUM(BJ7,BK7)&gt;0,SUM(BJ7,BK7),"")</f>
        <v>52.31</v>
      </c>
      <c r="BM7" s="76">
        <v>17.100000000000001</v>
      </c>
      <c r="BN7" s="76">
        <v>9.4</v>
      </c>
      <c r="BO7" s="76">
        <v>3.7</v>
      </c>
      <c r="BP7" s="76">
        <v>16.82</v>
      </c>
      <c r="BQ7" s="76">
        <v>0</v>
      </c>
      <c r="BR7" s="76">
        <v>13.7</v>
      </c>
      <c r="BS7" s="76">
        <v>8.9</v>
      </c>
      <c r="BT7" s="76">
        <v>13.5</v>
      </c>
      <c r="BU7" s="76">
        <v>15.68</v>
      </c>
      <c r="BV7" s="76">
        <v>0</v>
      </c>
      <c r="BW7" s="76">
        <v>15.3</v>
      </c>
      <c r="BX7" s="76">
        <v>8.8000000000000007</v>
      </c>
      <c r="BY7" s="76">
        <v>13.1</v>
      </c>
      <c r="BZ7" s="76">
        <v>16.239999999999998</v>
      </c>
      <c r="CA7" s="76">
        <v>0</v>
      </c>
      <c r="CB7" s="101"/>
      <c r="CC7" s="12">
        <f>IF(SUM(BT7)&gt;0,SUM(BT7),"")</f>
        <v>13.5</v>
      </c>
      <c r="CD7" s="12">
        <f>IF(SUM(BM7:BP7)-BQ7&gt;0,SUM(BM7:BP7)-BQ7,"")</f>
        <v>47.019999999999996</v>
      </c>
      <c r="CE7" s="12">
        <f>IF(SUM(BR7:BU7)-BV7&gt;0,SUM(BR7:BU7)-BV7,"")</f>
        <v>51.78</v>
      </c>
      <c r="CF7" s="12">
        <f>IF(SUM(CD7:CE7)&gt;0,SUM(CD7:CE7),"")</f>
        <v>98.8</v>
      </c>
      <c r="CG7" s="12">
        <f>IF(SUM(BW7:BZ7)-CA7&gt;0,SUM(BW7:BZ7)-CA7,"")</f>
        <v>53.44</v>
      </c>
      <c r="CH7" s="12">
        <f>IF(SUM(CF7,CG7)&gt;0,SUM(CF7,CG7),"")</f>
        <v>152.24</v>
      </c>
      <c r="CI7" s="28" t="str">
        <f>IF(MAX(DB7,DW7,ER7,FM7,GH7,HC7,HX7,IS7,JN7,KI7,LD7,LY7)-L7&gt;0.001,MAX(DB7,DW7,ER7,FM7,GH7,HC7,HX7,IS7,JN7,KI7,LD7,LY7)-L7,"")</f>
        <v/>
      </c>
      <c r="CJ7" s="28">
        <f>IF(MAX(DC7,DX7,ES7,FN7,GI7,HD7,HY7,IT7,JO7,KJ7,LE7,LZ7)-N7&gt;0.001,MAX(DC7,DX7,ES7,FN7,GI7,HD7,HY7,IT7,JO7,KJ7,LE7,LZ7)-N7,"")</f>
        <v>1.8049999999999997</v>
      </c>
      <c r="CK7" s="28" t="str">
        <f>IF(MAX(DE7,DZ7,EU7,FP7,GK7,HF7,IA7,IV7,JQ7,KL7,LG7,MB7)-P7&gt;0.001,MAX(DE7,DZ7,EU7,FP7,GK7,HF7,IA7,IV7,JQ7,KL7,LG7,MB7)-P7,"")</f>
        <v/>
      </c>
      <c r="CL7" s="45">
        <v>17.2</v>
      </c>
      <c r="CM7" s="45">
        <v>0</v>
      </c>
      <c r="CN7" s="45">
        <v>9.3000000000000007</v>
      </c>
      <c r="CO7" s="45">
        <v>16.670000000000002</v>
      </c>
      <c r="CP7" s="45">
        <v>0</v>
      </c>
      <c r="CQ7" s="45">
        <v>13.6</v>
      </c>
      <c r="CR7" s="45">
        <v>12.8</v>
      </c>
      <c r="CS7" s="45">
        <v>9.5</v>
      </c>
      <c r="CT7" s="45">
        <v>15.135</v>
      </c>
      <c r="CU7" s="45">
        <v>0</v>
      </c>
      <c r="CV7" s="45">
        <v>13.7</v>
      </c>
      <c r="CW7" s="45">
        <v>8.85</v>
      </c>
      <c r="CX7" s="45">
        <v>12.9</v>
      </c>
      <c r="CY7" s="45">
        <v>15.225</v>
      </c>
      <c r="CZ7" s="45">
        <v>0</v>
      </c>
      <c r="DA7" s="12">
        <f>IF(SUM(CS7)&gt;0,SUM(CS7),"")</f>
        <v>9.5</v>
      </c>
      <c r="DB7" s="12">
        <f>IF(SUM(CL7:CO7)-CP7&gt;0,SUM(CL7:CO7)-CP7,"")</f>
        <v>43.17</v>
      </c>
      <c r="DC7" s="12">
        <f>IF(SUM(CQ7:CT7)-CU7&gt;0,SUM(CQ7:CT7)-CU7,"")</f>
        <v>51.034999999999997</v>
      </c>
      <c r="DD7" s="12">
        <f>IF(SUM(DB7:DC7)&gt;0,SUM(DB7:DC7),"")</f>
        <v>94.204999999999998</v>
      </c>
      <c r="DE7" s="12">
        <f>IF(SUM(CV7:CY7)-CZ7&gt;0,SUM(CV7:CY7)-CZ7,"")</f>
        <v>50.674999999999997</v>
      </c>
      <c r="DF7" s="12">
        <f>IF(SUM(DD7,DE7)&gt;0,SUM(DD7,DE7),"")</f>
        <v>144.88</v>
      </c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>
        <v>14.3</v>
      </c>
      <c r="DR7" s="46">
        <v>9.25</v>
      </c>
      <c r="DS7" s="46">
        <v>12.8</v>
      </c>
      <c r="DT7" s="46">
        <v>15.345000000000001</v>
      </c>
      <c r="DU7" s="46">
        <v>0</v>
      </c>
      <c r="DV7" s="15" t="str">
        <f>IF(SUM(DN7)&gt;0,SUM(DN7),"")</f>
        <v/>
      </c>
      <c r="DW7" s="15" t="str">
        <f>IF(SUM(DG7:DJ7)-DK7&gt;0,SUM(DG7:DJ7)-DK7,"")</f>
        <v/>
      </c>
      <c r="DX7" s="15" t="str">
        <f>IF(SUM(DL7:DO7)-DP7&gt;0,SUM(DL7:DO7)-DP7,"")</f>
        <v/>
      </c>
      <c r="DY7" s="15" t="str">
        <f>IF(SUM(DW7:DX7)&gt;0,SUM(DW7:DX7),"")</f>
        <v/>
      </c>
      <c r="DZ7" s="15">
        <f>IF(SUM(DQ7:DT7)-DU7&gt;0,SUM(DQ7:DT7)-DU7,"")</f>
        <v>51.695</v>
      </c>
      <c r="EA7" s="15">
        <f>IF(SUM(DY7,DZ7)&gt;0,SUM(DY7,DZ7),"")</f>
        <v>51.695</v>
      </c>
      <c r="EB7" s="45">
        <v>17</v>
      </c>
      <c r="EC7" s="45">
        <v>9.6</v>
      </c>
      <c r="ED7" s="45">
        <v>0</v>
      </c>
      <c r="EE7" s="45">
        <v>16.965</v>
      </c>
      <c r="EF7" s="45">
        <v>0</v>
      </c>
      <c r="EG7" s="45">
        <v>3</v>
      </c>
      <c r="EH7" s="45">
        <v>1.6</v>
      </c>
      <c r="EI7" s="45">
        <v>2.9</v>
      </c>
      <c r="EJ7" s="45">
        <v>3.41</v>
      </c>
      <c r="EK7" s="45">
        <v>0</v>
      </c>
      <c r="EL7" s="45"/>
      <c r="EM7" s="45"/>
      <c r="EN7" s="45"/>
      <c r="EO7" s="45"/>
      <c r="EP7" s="45"/>
      <c r="EQ7" s="12">
        <f>IF(SUM(EI7)&gt;0,SUM(EI7),"")</f>
        <v>2.9</v>
      </c>
      <c r="ER7" s="12">
        <f>IF(SUM(EB7:EE7)-EF7&gt;0,SUM(EB7:EE7)-EF7,"")</f>
        <v>43.564999999999998</v>
      </c>
      <c r="ES7" s="12">
        <f>IF(SUM(EG7:EJ7)-EK7&gt;0,SUM(EG7:EJ7)-EK7,"")</f>
        <v>10.91</v>
      </c>
      <c r="ET7" s="12">
        <f>IF(SUM(ER7:ES7)&gt;0,SUM(ER7:ES7),"")</f>
        <v>54.474999999999994</v>
      </c>
      <c r="EU7" s="12" t="str">
        <f>IF(SUM(EL7:EO7)-EP7&gt;0,SUM(EL7:EO7)-EP7,"")</f>
        <v/>
      </c>
      <c r="EV7" s="12">
        <f>IF(SUM(ET7,EU7)&gt;0,SUM(ET7,EU7),"")</f>
        <v>54.474999999999994</v>
      </c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46"/>
      <c r="FK7" s="46"/>
      <c r="FL7" s="15" t="str">
        <f>IF(SUM(FD7)&gt;0,SUM(FD7),"")</f>
        <v/>
      </c>
      <c r="FM7" s="15" t="str">
        <f>IF(SUM(EW7:EZ7)-FA7&gt;0,SUM(EW7:EZ7)-FA7,"")</f>
        <v/>
      </c>
      <c r="FN7" s="15" t="str">
        <f>IF(SUM(FB7:FE7)-FF7&gt;0,SUM(FB7:FE7)-FF7,"")</f>
        <v/>
      </c>
      <c r="FO7" s="15" t="str">
        <f>IF(SUM(FM7:FN7)&gt;0,SUM(FM7:FN7),"")</f>
        <v/>
      </c>
      <c r="FP7" s="15" t="str">
        <f>IF(SUM(FG7:FJ7)-FK7&gt;0,SUM(FG7:FJ7)-FK7,"")</f>
        <v/>
      </c>
      <c r="FQ7" s="15" t="str">
        <f>IF(SUM(FO7,FP7)&gt;0,SUM(FO7,FP7),"")</f>
        <v/>
      </c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45"/>
      <c r="GC7" s="45"/>
      <c r="GD7" s="45"/>
      <c r="GE7" s="45"/>
      <c r="GF7" s="45"/>
      <c r="GG7" s="12" t="str">
        <f>IF(SUM(FY7)&gt;0,SUM(FY7),"")</f>
        <v/>
      </c>
      <c r="GH7" s="12" t="str">
        <f>IF(SUM(FR7:FU7)-FV7&gt;0,SUM(FR7:FU7)-FV7,"")</f>
        <v/>
      </c>
      <c r="GI7" s="12" t="str">
        <f>IF(SUM(FW7:FZ7)-GA7&gt;0,SUM(FW7:FZ7)-GA7,"")</f>
        <v/>
      </c>
      <c r="GJ7" s="12" t="str">
        <f>IF(SUM(GH7:GI7)&gt;0,SUM(GH7:GI7),"")</f>
        <v/>
      </c>
      <c r="GK7" s="12" t="str">
        <f>IF(SUM(GB7:GE7)-GF7&gt;0,SUM(GB7:GE7)-GF7,"")</f>
        <v/>
      </c>
      <c r="GL7" s="12" t="str">
        <f>IF(SUM(GJ7,GK7)&gt;0,SUM(GJ7,GK7),"")</f>
        <v/>
      </c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15" t="str">
        <f>IF(SUM(GT7)&gt;0,SUM(GT7),"")</f>
        <v/>
      </c>
      <c r="HC7" s="15" t="str">
        <f>IF(SUM(GM7:GP7)-GQ7&gt;0,SUM(GM7:GP7)-GQ7,"")</f>
        <v/>
      </c>
      <c r="HD7" s="15" t="str">
        <f>IF(SUM(GR7:GU7)-GV7&gt;0,SUM(GR7:GU7)-GV7,"")</f>
        <v/>
      </c>
      <c r="HE7" s="15" t="str">
        <f>IF(SUM(HC7:HD7)&gt;0,SUM(HC7:HD7),"")</f>
        <v/>
      </c>
      <c r="HF7" s="15" t="str">
        <f>IF(SUM(GW7:GZ7)-HA7&gt;0,SUM(GW7:GZ7)-HA7,"")</f>
        <v/>
      </c>
      <c r="HG7" s="15" t="str">
        <f>IF(SUM(HE7,HF7)&gt;0,SUM(HE7,HF7),"")</f>
        <v/>
      </c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45"/>
      <c r="HS7" s="45"/>
      <c r="HT7" s="45"/>
      <c r="HU7" s="45"/>
      <c r="HV7" s="45"/>
      <c r="HW7" s="12" t="str">
        <f>IF(SUM(HO7)&gt;0,SUM(HO7),"")</f>
        <v/>
      </c>
      <c r="HX7" s="12" t="str">
        <f>IF(SUM(HH7:HK7)-HL7&gt;0,SUM(HH7:HK7)-HL7,"")</f>
        <v/>
      </c>
      <c r="HY7" s="12" t="str">
        <f>IF(SUM(HM7:HP7)-HQ7&gt;0,SUM(HM7:HP7)-HQ7,"")</f>
        <v/>
      </c>
      <c r="HZ7" s="12" t="str">
        <f>IF(SUM(HX7:HY7)&gt;0,SUM(HX7:HY7),"")</f>
        <v/>
      </c>
      <c r="IA7" s="12" t="str">
        <f>IF(SUM(HR7:HU7)-HV7&gt;0,SUM(HR7:HU7)-HV7,"")</f>
        <v/>
      </c>
      <c r="IB7" s="12" t="str">
        <f>IF(SUM(HZ7,IA7)&gt;0,SUM(HZ7,IA7),"")</f>
        <v/>
      </c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15" t="str">
        <f>IF(SUM(IJ7)&gt;0,SUM(IJ7),"")</f>
        <v/>
      </c>
      <c r="IS7" s="15" t="str">
        <f>IF(SUM(IC7:IF7)-IG7&gt;0,SUM(IC7:IF7)-IG7,"")</f>
        <v/>
      </c>
      <c r="IT7" s="15" t="str">
        <f>IF(SUM(IH7:IK7)-IL7&gt;0,SUM(IH7:IK7)-IL7,"")</f>
        <v/>
      </c>
      <c r="IU7" s="15" t="str">
        <f>IF(SUM(IS7:IT7)&gt;0,SUM(IS7:IT7),"")</f>
        <v/>
      </c>
      <c r="IV7" s="15" t="str">
        <f>IF(SUM(IM7:IP7)-IQ7&gt;0,SUM(IM7:IP7)-IQ7,"")</f>
        <v/>
      </c>
      <c r="IW7" s="15" t="str">
        <f>IF(SUM(IU7,IV7)&gt;0,SUM(IU7,IV7),"")</f>
        <v/>
      </c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45"/>
      <c r="JI7" s="45"/>
      <c r="JJ7" s="45"/>
      <c r="JK7" s="45"/>
      <c r="JL7" s="45"/>
      <c r="JM7" s="12" t="str">
        <f>IF(SUM(JE7)&gt;0,SUM(JE7),"")</f>
        <v/>
      </c>
      <c r="JN7" s="12" t="str">
        <f>IF(SUM(IX7:JA7)-JB7&gt;0,SUM(IX7:JA7)-JB7,"")</f>
        <v/>
      </c>
      <c r="JO7" s="12" t="str">
        <f>IF(SUM(JC7:JF7)-JG7&gt;0,SUM(JC7:JF7)-JG7,"")</f>
        <v/>
      </c>
      <c r="JP7" s="12" t="str">
        <f>IF(SUM(JN7:JO7)&gt;0,SUM(JN7:JO7),"")</f>
        <v/>
      </c>
      <c r="JQ7" s="12" t="str">
        <f>IF(SUM(JH7:JK7)-JL7&gt;0,SUM(JH7:JK7)-JL7,"")</f>
        <v/>
      </c>
      <c r="JR7" s="12" t="str">
        <f>IF(SUM(JP7,JQ7)&gt;0,SUM(JP7,JQ7),"")</f>
        <v/>
      </c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46"/>
      <c r="KD7" s="46"/>
      <c r="KE7" s="46"/>
      <c r="KF7" s="46"/>
      <c r="KG7" s="46"/>
      <c r="KH7" s="15" t="str">
        <f>IF(SUM(JZ7)&gt;0,SUM(JZ7),"")</f>
        <v/>
      </c>
      <c r="KI7" s="15" t="str">
        <f>IF(SUM(JS7:JV7)-JW7&gt;0,SUM(JS7:JV7)-JW7,"")</f>
        <v/>
      </c>
      <c r="KJ7" s="15" t="str">
        <f>IF(SUM(JX7:KA7)-KB7&gt;0,SUM(JX7:KA7)-KB7,"")</f>
        <v/>
      </c>
      <c r="KK7" s="15" t="str">
        <f>IF(SUM(KI7:KJ7)&gt;0,SUM(KI7:KJ7),"")</f>
        <v/>
      </c>
      <c r="KL7" s="15" t="str">
        <f>IF(SUM(KC7:KF7)-KG7&gt;0,SUM(KC7:KF7)-KG7,"")</f>
        <v/>
      </c>
      <c r="KM7" s="15" t="str">
        <f>IF(SUM(KK7,KL7)&gt;0,SUM(KK7,KL7),"")</f>
        <v/>
      </c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45"/>
      <c r="KY7" s="45"/>
      <c r="KZ7" s="45"/>
      <c r="LA7" s="45"/>
      <c r="LB7" s="45"/>
      <c r="LC7" s="12" t="str">
        <f>IF(SUM(KU7)&gt;0,SUM(KU7),"")</f>
        <v/>
      </c>
      <c r="LD7" s="12" t="str">
        <f>IF(SUM(KN7:KQ7)-KR7&gt;0,SUM(KN7:KQ7)-KR7,"")</f>
        <v/>
      </c>
      <c r="LE7" s="12" t="str">
        <f>IF(SUM(KS7:KV7)-KW7&gt;0,SUM(KS7:KV7)-KW7,"")</f>
        <v/>
      </c>
      <c r="LF7" s="12" t="str">
        <f>IF(SUM(LD7:LE7)&gt;0,SUM(LD7:LE7),"")</f>
        <v/>
      </c>
      <c r="LG7" s="12" t="str">
        <f>IF(SUM(KX7:LA7)-LB7&gt;0,SUM(KX7:LA7)-LB7,"")</f>
        <v/>
      </c>
      <c r="LH7" s="12" t="str">
        <f>IF(SUM(LF7,LG7)&gt;0,SUM(LF7,LG7),"")</f>
        <v/>
      </c>
      <c r="LI7" s="46"/>
      <c r="LJ7" s="46"/>
      <c r="LK7" s="46"/>
      <c r="LL7" s="46"/>
      <c r="LM7" s="46"/>
      <c r="LN7" s="46"/>
      <c r="LO7" s="46"/>
      <c r="LP7" s="46"/>
      <c r="LQ7" s="46"/>
      <c r="LR7" s="46"/>
      <c r="LS7" s="46"/>
      <c r="LT7" s="46"/>
      <c r="LU7" s="46"/>
      <c r="LV7" s="46"/>
      <c r="LW7" s="46"/>
      <c r="LX7" s="15" t="str">
        <f>IF(SUM(LP7)&gt;0,SUM(LP7),"")</f>
        <v/>
      </c>
      <c r="LY7" s="15" t="str">
        <f>IF(SUM(LI7:LL7)-LM7&gt;0,SUM(LI7:LL7)-LM7,"")</f>
        <v/>
      </c>
      <c r="LZ7" s="15" t="str">
        <f>IF(SUM(LN7:LQ7)-LR7&gt;0,SUM(LN7:LQ7)-LR7,"")</f>
        <v/>
      </c>
      <c r="MA7" s="15" t="str">
        <f>IF(SUM(LY7:LZ7)&gt;0,SUM(LY7:LZ7),"")</f>
        <v/>
      </c>
      <c r="MB7" s="15" t="str">
        <f>IF(SUM(LS7:LV7)-LW7&gt;0,SUM(LS7:LV7)-LW7,"")</f>
        <v/>
      </c>
      <c r="MC7" s="15" t="str">
        <f>IF(SUM(MA7,MB7)&gt;0,SUM(MA7,MB7),"")</f>
        <v/>
      </c>
    </row>
    <row r="8" spans="1:341" x14ac:dyDescent="0.2">
      <c r="A8" s="6">
        <f>IF(AND(F8="P",H8="P"),SUMPRODUCT((F$4:F$21="P")*(H$4:H$21="P")*(E$4:E$21&gt;E8))+1,IF(H8="P",SUMPRODUCT((F$4:F$21="")*(H$4:H$21="P")*(E$4:E$21&gt;E8))+1+SUMPRODUCT((F$4:F$21="P")*(H$4:H$21="P")),""))</f>
        <v>5</v>
      </c>
      <c r="B8" s="9" t="s">
        <v>78</v>
      </c>
      <c r="C8" s="5" t="s">
        <v>4</v>
      </c>
      <c r="D8" s="6">
        <v>2002</v>
      </c>
      <c r="E8" s="16">
        <f>SUM(J8:R8)</f>
        <v>250.51499999999999</v>
      </c>
      <c r="F8" s="4" t="str">
        <f>IF(OR(AND($AK8&gt;=$AL$24,NOT($AK8=""),$AJ8=""),AND($BG8&gt;=$BH$24,NOT($BG8=""),$BF8=""),AND($CC8&gt;=$CD$24,NOT($CC8=""),$CB8="")),"P","")</f>
        <v/>
      </c>
      <c r="G8" s="4" t="str">
        <f>IF(OR(AND($AK8&gt;=$AL$25,NOT($AK8=""),$AJ8=""),AND($BG8&gt;=$BH$25,NOT($BG8=""),$BF8=""),AND($CC8&gt;=$CD$25,NOT($CC8=""),$CB8="")),"P","")</f>
        <v/>
      </c>
      <c r="H8" s="4" t="str">
        <f>IF(OR(AND($AN8&gt;=$AL$26,NOT($AN8=""),$AJ8=""),AND($BJ8&gt;=$BH$26,NOT($BJ8=""),$BF8=""),AND($CF8&gt;=$CD$26,NOT($CF8=""),$CB8="")),"P","")</f>
        <v>P</v>
      </c>
      <c r="I8" t="str">
        <f>IF(AND(F8="P",OR(AND($AM8&gt;$AL$29,NOT($AM8=""),$AJ8=""),AND($AO8&gt;$AL$29,NOT($AO8=""),$AJ8=""),AND($BI8&gt;$BH$29,NOT($BI8=""),$BF8=""),AND($BK8&gt;$BH$29,NOT($BK8=""),$BF8=""),AND($CE8&gt;$CD$29,NOT($CE8=""),$CB8=""),AND($CG8&gt;$CD$29,NOT($CG8=""),$CB8=""))),"Merit",IF(AND(F8="P",OR(AND($AN8&gt;$AL$28,NOT($AN8=""),$AJ8=""),AND($BJ8&gt;$BH$28,NOT($BJ8=""),$BF8=""),AND($CF8&gt;$CD$28,NOT($CF8=""),$CB8=""))),"Funding",IF(AND(F8="P",OR(AND($AN8&gt;$AL$27,NOT($AN8=""),$AJ8=""),AND($BJ8&gt;$BH$27,NOT($BJ8=""),$BF8=""),AND($CF8&gt;$CD$27,NOT($CF8=""),$CB8=""))),"Worlds Team",IF(AND(F8="P",OR(AND($AN8&gt;$AL$26,NOT($AN8=""),$AJ8=""),AND($BJ8&gt;$BH$26,NOT($BJ8=""),$BF8=""),AND($CF8&gt;$CD$26,NOT($CF8=""),$CB8=""))),"National Team",""))))</f>
        <v/>
      </c>
      <c r="J8" s="15">
        <f>MAX(AN8,BJ8,CF8)</f>
        <v>98.86</v>
      </c>
      <c r="K8" s="15" t="str">
        <f>IF(J8=CF8,$BM$1,IF(J8=BJ8,$AQ$1,IF(J8=AN8,$U$1,"")))</f>
        <v>2018 Nationals</v>
      </c>
      <c r="L8" s="15">
        <f>IF($J8=$AN8,MAX(BH8,CD8),IF($J8=$BJ8,MAX(AL8,CD8),MAX(AL8,BH8)))</f>
        <v>44.855000000000004</v>
      </c>
      <c r="M8" s="15" t="str">
        <f>IF(AND(L8=CD8,$K8&lt;&gt;$BM$1),$BM$1,IF(AND(L8=BH8,$K8&lt;&gt;$AQ$1),$AQ$1,IF(AND(L8=AL8,$K8&lt;&gt;$U$1),$U$1,"")))</f>
        <v>2018 Canada Cup</v>
      </c>
      <c r="N8" s="15">
        <f>IF($J8=$AN8,MAX(BI8,CE8),IF($J8=$BJ8,MAX(AM8,CE8),MAX(AM8,BI8)))</f>
        <v>51.8</v>
      </c>
      <c r="O8" s="15" t="str">
        <f>IF(AND(N8=CE8,$K8&lt;&gt;$BM$1),$BM$1,IF(AND(N8=BI8,$K8&lt;&gt;$AQ$1),$AQ$1,IF(AND(N8=AM8,$K8&lt;&gt;$U$1),$U$1,"")))</f>
        <v>2018 Canada Cup</v>
      </c>
      <c r="P8" s="15">
        <f>MAX(AO8,BK8,CG8)</f>
        <v>54.599999999999994</v>
      </c>
      <c r="Q8" s="15" t="str">
        <f>IF(P8=CG8,$BM$1,IF(P8=BK8,$AQ$1,IF(P8=AO8,$U$1,"")))</f>
        <v>2018 Nationals</v>
      </c>
      <c r="R8" s="15">
        <f>IF(MAX(CI8,CJ8,CK8)&gt;0,MAX(CI8,CJ8,CK8),"")</f>
        <v>0.40000000000000568</v>
      </c>
      <c r="S8" s="29" t="str">
        <f>IF(R8="","",IF(R8=CI8,"(Vol 1)",IF(R8=CJ8,"(Vol 2)",IF(R8=CK8,"(Final)"))))</f>
        <v>(Vol 2)</v>
      </c>
      <c r="T8" s="15" t="str">
        <f>IF(R8="","",IF(R8=CI8,IF(R8+L8=LY8,$LI$1,IF(R8+L8=LD8,$KN$1,IF(R8+L8=KI8,$JS$1,IF(R8+L8=JN8,$IX$1,IF(R8+L8=IS8,$IC$1,IF(R8+L8=HX8,$HH$1,IF(R8+L8=HC8,$GM$1,IF(R8+L8=GH8,$FR$1,IF(R8+L8=FM8,$EW$1,IF(R8+L8=ER8,$EB$1,IF(R8+L8=DW8,$DG$1,IF(R8+L8=DB8,$CL$1)))))))))))),IF(R8=CJ8,IF(R8+N8=LZ8,$LI$1,IF(R8+N8=LE8,$KN$1,IF(R8+N8=KJ8,$JS$1,IF(R8+N8=JO8,$IX$1,IF(R8+N8=IT8,$IC$1,IF(R8+N8=HY8,$HH$1,IF(R8+N8=HD8,$GM$1,IF(R8+N8=GI8,$FR$1,IF(R8+N8=FN8,$EW$1,IF(R8+N8=ES8,$EB$1,IF(R8+N8=DX8,$DG$1,IF(R8+N8=DC8,$CL$1)))))))))))),IF(R8=CK8,IF(R8+P8=MB8,$LI$1,IF(R8+P8=LG8,$KN$1,IF(R8+P8=KL8,$JS$1,IF(R8+P8=JQ8,$IX$1,IF(R8+P8=IV8,$IC$1,IF(R8+P8=IA8,$HH$1,IF(R8+P8=HF8,$GM$1,IF(R8+P8=GK8,$FR$1,IF(R8+P8=FP8,$EW$1,IF(R8+P8=EU8,$EB$1,IF(R8+P8=DZ8,$DG$1,IF(R8+P8=DE8,$CL$1))))))))))))))))</f>
        <v>2018 World Age Groups (Nov 18)</v>
      </c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101"/>
      <c r="AK8" s="12" t="str">
        <f>IF(SUM(AB8)&gt;0,SUM(AB8),"")</f>
        <v/>
      </c>
      <c r="AL8" s="12" t="str">
        <f>IF(SUM(U8:X8)-Y8&gt;0,SUM(U8:X8)-Y8,"")</f>
        <v/>
      </c>
      <c r="AM8" s="12" t="str">
        <f>IF(SUM(Z8:AC8)-AD8&gt;0,SUM(Z8:AC8)-AD8,"")</f>
        <v/>
      </c>
      <c r="AN8" s="12" t="str">
        <f>IF(SUM(AL8:AM8)&gt;0,SUM(AL8:AM8),"")</f>
        <v/>
      </c>
      <c r="AO8" s="12" t="str">
        <f>IF(SUM(AE8:AH8)-AI8&gt;0,SUM(AE8:AH8)-AI8,"")</f>
        <v/>
      </c>
      <c r="AP8" s="12" t="str">
        <f>IF(SUM(AN8,AO8)&gt;0,SUM(AN8,AO8),"")</f>
        <v/>
      </c>
      <c r="AQ8" s="80">
        <v>16</v>
      </c>
      <c r="AR8" s="80">
        <v>9.1</v>
      </c>
      <c r="AS8" s="80">
        <v>3.8</v>
      </c>
      <c r="AT8" s="80">
        <v>15.955</v>
      </c>
      <c r="AU8" s="80">
        <v>0</v>
      </c>
      <c r="AV8" s="80">
        <v>15.7</v>
      </c>
      <c r="AW8" s="80">
        <v>9.35</v>
      </c>
      <c r="AX8" s="80">
        <v>11.2</v>
      </c>
      <c r="AY8" s="80">
        <v>15.55</v>
      </c>
      <c r="AZ8" s="80">
        <v>0</v>
      </c>
      <c r="BA8" s="80">
        <v>17.100000000000001</v>
      </c>
      <c r="BB8" s="80">
        <v>9.1999999999999993</v>
      </c>
      <c r="BC8" s="80">
        <v>11.2</v>
      </c>
      <c r="BD8" s="80">
        <v>15.885</v>
      </c>
      <c r="BE8" s="80">
        <v>0</v>
      </c>
      <c r="BF8" s="105"/>
      <c r="BG8" s="15">
        <f>IF(SUM(AX8)&gt;0,SUM(AX8),"")</f>
        <v>11.2</v>
      </c>
      <c r="BH8" s="15">
        <f>IF(SUM(AQ8:AT8)-AU8&gt;0,SUM(AQ8:AT8)-AU8,"")</f>
        <v>44.855000000000004</v>
      </c>
      <c r="BI8" s="15">
        <f>IF(SUM(AV8:AY8)-AZ8&gt;0,SUM(AV8:AY8)-AZ8,"")</f>
        <v>51.8</v>
      </c>
      <c r="BJ8" s="15">
        <f>IF(SUM(BH8:BI8)&gt;0,SUM(BH8:BI8),"")</f>
        <v>96.655000000000001</v>
      </c>
      <c r="BK8" s="15">
        <f>IF(SUM(BA8:BD8)-BE8&gt;0,SUM(BA8:BD8)-BE8,"")</f>
        <v>53.384999999999998</v>
      </c>
      <c r="BL8" s="15">
        <f>IF(SUM(BJ8,BK8)&gt;0,SUM(BJ8,BK8),"")</f>
        <v>150.04</v>
      </c>
      <c r="BM8" s="76">
        <v>17.3</v>
      </c>
      <c r="BN8" s="76">
        <v>9.25</v>
      </c>
      <c r="BO8" s="76">
        <v>3.1</v>
      </c>
      <c r="BP8" s="76">
        <v>16.245000000000001</v>
      </c>
      <c r="BQ8" s="76">
        <v>0</v>
      </c>
      <c r="BR8" s="76">
        <v>15.8</v>
      </c>
      <c r="BS8" s="76">
        <v>9.35</v>
      </c>
      <c r="BT8" s="76">
        <v>12</v>
      </c>
      <c r="BU8" s="76">
        <v>15.815</v>
      </c>
      <c r="BV8" s="76">
        <v>0</v>
      </c>
      <c r="BW8" s="76">
        <v>16.899999999999999</v>
      </c>
      <c r="BX8" s="76">
        <v>9.4499999999999993</v>
      </c>
      <c r="BY8" s="76">
        <v>12.2</v>
      </c>
      <c r="BZ8" s="76">
        <v>16.05</v>
      </c>
      <c r="CA8" s="76">
        <v>0</v>
      </c>
      <c r="CB8" s="101"/>
      <c r="CC8" s="12">
        <f>IF(SUM(BT8)&gt;0,SUM(BT8),"")</f>
        <v>12</v>
      </c>
      <c r="CD8" s="12">
        <f>IF(SUM(BM8:BP8)-BQ8&gt;0,SUM(BM8:BP8)-BQ8,"")</f>
        <v>45.895000000000003</v>
      </c>
      <c r="CE8" s="12">
        <f>IF(SUM(BR8:BU8)-BV8&gt;0,SUM(BR8:BU8)-BV8,"")</f>
        <v>52.964999999999996</v>
      </c>
      <c r="CF8" s="12">
        <f>IF(SUM(CD8:CE8)&gt;0,SUM(CD8:CE8),"")</f>
        <v>98.86</v>
      </c>
      <c r="CG8" s="12">
        <f>IF(SUM(BW8:BZ8)-CA8&gt;0,SUM(BW8:BZ8)-CA8,"")</f>
        <v>54.599999999999994</v>
      </c>
      <c r="CH8" s="12">
        <f>IF(SUM(CF8,CG8)&gt;0,SUM(CF8,CG8),"")</f>
        <v>153.45999999999998</v>
      </c>
      <c r="CI8" s="28" t="str">
        <f>IF(MAX(DB8,DW8,ER8,FM8,GH8,HC8,HX8,IS8,JN8,KI8,LD8,LY8)-L8&gt;0.001,MAX(DB8,DW8,ER8,FM8,GH8,HC8,HX8,IS8,JN8,KI8,LD8,LY8)-L8,"")</f>
        <v/>
      </c>
      <c r="CJ8" s="28">
        <f>IF(MAX(DC8,DX8,ES8,FN8,GI8,HD8,HY8,IT8,JO8,KJ8,LE8,LZ8)-N8&gt;0.001,MAX(DC8,DX8,ES8,FN8,GI8,HD8,HY8,IT8,JO8,KJ8,LE8,LZ8)-N8,"")</f>
        <v>0.40000000000000568</v>
      </c>
      <c r="CK8" s="28" t="str">
        <f>IF(MAX(DE8,DZ8,EU8,FP8,GK8,HF8,IA8,IV8,JQ8,KL8,LG8,MB8)-P8&gt;0.001,MAX(DE8,DZ8,EU8,FP8,GK8,HF8,IA8,IV8,JQ8,KL8,LG8,MB8)-P8,"")</f>
        <v/>
      </c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45"/>
      <c r="CW8" s="45"/>
      <c r="CX8" s="45"/>
      <c r="CY8" s="45"/>
      <c r="CZ8" s="45"/>
      <c r="DA8" s="12" t="str">
        <f>IF(SUM(CS8)&gt;0,SUM(CS8),"")</f>
        <v/>
      </c>
      <c r="DB8" s="12" t="str">
        <f>IF(SUM(CL8:CO8)-CP8&gt;0,SUM(CL8:CO8)-CP8,"")</f>
        <v/>
      </c>
      <c r="DC8" s="12" t="str">
        <f>IF(SUM(CQ8:CT8)-CU8&gt;0,SUM(CQ8:CT8)-CU8,"")</f>
        <v/>
      </c>
      <c r="DD8" s="12" t="str">
        <f>IF(SUM(DB8:DC8)&gt;0,SUM(DB8:DC8),"")</f>
        <v/>
      </c>
      <c r="DE8" s="12" t="str">
        <f>IF(SUM(CV8:CY8)-CZ8&gt;0,SUM(CV8:CY8)-CZ8,"")</f>
        <v/>
      </c>
      <c r="DF8" s="12" t="str">
        <f>IF(SUM(DD8,DE8)&gt;0,SUM(DD8,DE8),"")</f>
        <v/>
      </c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15" t="str">
        <f>IF(SUM(DN8)&gt;0,SUM(DN8),"")</f>
        <v/>
      </c>
      <c r="DW8" s="15" t="str">
        <f>IF(SUM(DG8:DJ8)-DK8&gt;0,SUM(DG8:DJ8)-DK8,"")</f>
        <v/>
      </c>
      <c r="DX8" s="15" t="str">
        <f>IF(SUM(DL8:DO8)-DP8&gt;0,SUM(DL8:DO8)-DP8,"")</f>
        <v/>
      </c>
      <c r="DY8" s="15" t="str">
        <f>IF(SUM(DW8:DX8)&gt;0,SUM(DW8:DX8),"")</f>
        <v/>
      </c>
      <c r="DZ8" s="15" t="str">
        <f>IF(SUM(DQ8:DT8)-DU8&gt;0,SUM(DQ8:DT8)-DU8,"")</f>
        <v/>
      </c>
      <c r="EA8" s="15" t="str">
        <f>IF(SUM(DY8,DZ8)&gt;0,SUM(DY8,DZ8),"")</f>
        <v/>
      </c>
      <c r="EB8" s="45"/>
      <c r="EC8" s="45"/>
      <c r="ED8" s="45"/>
      <c r="EE8" s="45"/>
      <c r="EF8" s="45"/>
      <c r="EG8" s="45"/>
      <c r="EH8" s="45"/>
      <c r="EI8" s="45"/>
      <c r="EJ8" s="45"/>
      <c r="EK8" s="45"/>
      <c r="EL8" s="45"/>
      <c r="EM8" s="45"/>
      <c r="EN8" s="45"/>
      <c r="EO8" s="45"/>
      <c r="EP8" s="45"/>
      <c r="EQ8" s="12" t="str">
        <f>IF(SUM(EI8)&gt;0,SUM(EI8),"")</f>
        <v/>
      </c>
      <c r="ER8" s="12" t="str">
        <f>IF(SUM(EB8:EE8)-EF8&gt;0,SUM(EB8:EE8)-EF8,"")</f>
        <v/>
      </c>
      <c r="ES8" s="12" t="str">
        <f>IF(SUM(EG8:EJ8)-EK8&gt;0,SUM(EG8:EJ8)-EK8,"")</f>
        <v/>
      </c>
      <c r="ET8" s="12" t="str">
        <f>IF(SUM(ER8:ES8)&gt;0,SUM(ER8:ES8),"")</f>
        <v/>
      </c>
      <c r="EU8" s="12" t="str">
        <f>IF(SUM(EL8:EO8)-EP8&gt;0,SUM(EL8:EO8)-EP8,"")</f>
        <v/>
      </c>
      <c r="EV8" s="12" t="str">
        <f>IF(SUM(ET8,EU8)&gt;0,SUM(ET8,EU8),"")</f>
        <v/>
      </c>
      <c r="EW8" s="46">
        <v>16.2</v>
      </c>
      <c r="EX8" s="46">
        <v>8.8000000000000007</v>
      </c>
      <c r="EY8" s="46">
        <v>0</v>
      </c>
      <c r="EZ8" s="46">
        <v>16.425000000000001</v>
      </c>
      <c r="FA8" s="46">
        <v>0</v>
      </c>
      <c r="FB8" s="46">
        <v>15</v>
      </c>
      <c r="FC8" s="46">
        <v>9.3000000000000007</v>
      </c>
      <c r="FD8" s="46">
        <v>12.3</v>
      </c>
      <c r="FE8" s="46">
        <v>15.6</v>
      </c>
      <c r="FF8" s="46">
        <v>0</v>
      </c>
      <c r="FG8" s="46"/>
      <c r="FH8" s="46"/>
      <c r="FI8" s="46"/>
      <c r="FJ8" s="46"/>
      <c r="FK8" s="46"/>
      <c r="FL8" s="15">
        <f>IF(SUM(FD8)&gt;0,SUM(FD8),"")</f>
        <v>12.3</v>
      </c>
      <c r="FM8" s="15">
        <f>IF(SUM(EW8:EZ8)-FA8&gt;0,SUM(EW8:EZ8)-FA8,"")</f>
        <v>41.424999999999997</v>
      </c>
      <c r="FN8" s="15">
        <f>IF(SUM(FB8:FE8)-FF8&gt;0,SUM(FB8:FE8)-FF8,"")</f>
        <v>52.2</v>
      </c>
      <c r="FO8" s="15">
        <f>IF(SUM(FM8:FN8)&gt;0,SUM(FM8:FN8),"")</f>
        <v>93.625</v>
      </c>
      <c r="FP8" s="15" t="str">
        <f>IF(SUM(FG8:FJ8)-FK8&gt;0,SUM(FG8:FJ8)-FK8,"")</f>
        <v/>
      </c>
      <c r="FQ8" s="15">
        <f>IF(SUM(FO8,FP8)&gt;0,SUM(FO8,FP8),"")</f>
        <v>93.625</v>
      </c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45"/>
      <c r="GC8" s="45"/>
      <c r="GD8" s="45"/>
      <c r="GE8" s="45"/>
      <c r="GF8" s="45"/>
      <c r="GG8" s="12" t="str">
        <f>IF(SUM(FY8)&gt;0,SUM(FY8),"")</f>
        <v/>
      </c>
      <c r="GH8" s="12" t="str">
        <f>IF(SUM(FR8:FU8)-FV8&gt;0,SUM(FR8:FU8)-FV8,"")</f>
        <v/>
      </c>
      <c r="GI8" s="12" t="str">
        <f>IF(SUM(FW8:FZ8)-GA8&gt;0,SUM(FW8:FZ8)-GA8,"")</f>
        <v/>
      </c>
      <c r="GJ8" s="12" t="str">
        <f>IF(SUM(GH8:GI8)&gt;0,SUM(GH8:GI8),"")</f>
        <v/>
      </c>
      <c r="GK8" s="12" t="str">
        <f>IF(SUM(GB8:GE8)-GF8&gt;0,SUM(GB8:GE8)-GF8,"")</f>
        <v/>
      </c>
      <c r="GL8" s="12" t="str">
        <f>IF(SUM(GJ8,GK8)&gt;0,SUM(GJ8,GK8),"")</f>
        <v/>
      </c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15" t="str">
        <f>IF(SUM(GT8)&gt;0,SUM(GT8),"")</f>
        <v/>
      </c>
      <c r="HC8" s="15" t="str">
        <f>IF(SUM(GM8:GP8)-GQ8&gt;0,SUM(GM8:GP8)-GQ8,"")</f>
        <v/>
      </c>
      <c r="HD8" s="15" t="str">
        <f>IF(SUM(GR8:GU8)-GV8&gt;0,SUM(GR8:GU8)-GV8,"")</f>
        <v/>
      </c>
      <c r="HE8" s="15" t="str">
        <f>IF(SUM(HC8:HD8)&gt;0,SUM(HC8:HD8),"")</f>
        <v/>
      </c>
      <c r="HF8" s="15" t="str">
        <f>IF(SUM(GW8:GZ8)-HA8&gt;0,SUM(GW8:GZ8)-HA8,"")</f>
        <v/>
      </c>
      <c r="HG8" s="15" t="str">
        <f>IF(SUM(HE8,HF8)&gt;0,SUM(HE8,HF8),"")</f>
        <v/>
      </c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45"/>
      <c r="HS8" s="45"/>
      <c r="HT8" s="45"/>
      <c r="HU8" s="45"/>
      <c r="HV8" s="45"/>
      <c r="HW8" s="12" t="str">
        <f>IF(SUM(HO8)&gt;0,SUM(HO8),"")</f>
        <v/>
      </c>
      <c r="HX8" s="12" t="str">
        <f>IF(SUM(HH8:HK8)-HL8&gt;0,SUM(HH8:HK8)-HL8,"")</f>
        <v/>
      </c>
      <c r="HY8" s="12" t="str">
        <f>IF(SUM(HM8:HP8)-HQ8&gt;0,SUM(HM8:HP8)-HQ8,"")</f>
        <v/>
      </c>
      <c r="HZ8" s="12" t="str">
        <f>IF(SUM(HX8:HY8)&gt;0,SUM(HX8:HY8),"")</f>
        <v/>
      </c>
      <c r="IA8" s="12" t="str">
        <f>IF(SUM(HR8:HU8)-HV8&gt;0,SUM(HR8:HU8)-HV8,"")</f>
        <v/>
      </c>
      <c r="IB8" s="12" t="str">
        <f>IF(SUM(HZ8,IA8)&gt;0,SUM(HZ8,IA8),"")</f>
        <v/>
      </c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15" t="str">
        <f>IF(SUM(IJ8)&gt;0,SUM(IJ8),"")</f>
        <v/>
      </c>
      <c r="IS8" s="15" t="str">
        <f>IF(SUM(IC8:IF8)-IG8&gt;0,SUM(IC8:IF8)-IG8,"")</f>
        <v/>
      </c>
      <c r="IT8" s="15" t="str">
        <f>IF(SUM(IH8:IK8)-IL8&gt;0,SUM(IH8:IK8)-IL8,"")</f>
        <v/>
      </c>
      <c r="IU8" s="15" t="str">
        <f>IF(SUM(IS8:IT8)&gt;0,SUM(IS8:IT8),"")</f>
        <v/>
      </c>
      <c r="IV8" s="15" t="str">
        <f>IF(SUM(IM8:IP8)-IQ8&gt;0,SUM(IM8:IP8)-IQ8,"")</f>
        <v/>
      </c>
      <c r="IW8" s="15" t="str">
        <f>IF(SUM(IU8,IV8)&gt;0,SUM(IU8,IV8),"")</f>
        <v/>
      </c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45"/>
      <c r="JI8" s="45"/>
      <c r="JJ8" s="45"/>
      <c r="JK8" s="45"/>
      <c r="JL8" s="45"/>
      <c r="JM8" s="12" t="str">
        <f>IF(SUM(JE8)&gt;0,SUM(JE8),"")</f>
        <v/>
      </c>
      <c r="JN8" s="12" t="str">
        <f>IF(SUM(IX8:JA8)-JB8&gt;0,SUM(IX8:JA8)-JB8,"")</f>
        <v/>
      </c>
      <c r="JO8" s="12" t="str">
        <f>IF(SUM(JC8:JF8)-JG8&gt;0,SUM(JC8:JF8)-JG8,"")</f>
        <v/>
      </c>
      <c r="JP8" s="12" t="str">
        <f>IF(SUM(JN8:JO8)&gt;0,SUM(JN8:JO8),"")</f>
        <v/>
      </c>
      <c r="JQ8" s="12" t="str">
        <f>IF(SUM(JH8:JK8)-JL8&gt;0,SUM(JH8:JK8)-JL8,"")</f>
        <v/>
      </c>
      <c r="JR8" s="12" t="str">
        <f>IF(SUM(JP8,JQ8)&gt;0,SUM(JP8,JQ8),"")</f>
        <v/>
      </c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46"/>
      <c r="KD8" s="46"/>
      <c r="KE8" s="46"/>
      <c r="KF8" s="46"/>
      <c r="KG8" s="46"/>
      <c r="KH8" s="15" t="str">
        <f>IF(SUM(JZ8)&gt;0,SUM(JZ8),"")</f>
        <v/>
      </c>
      <c r="KI8" s="15" t="str">
        <f>IF(SUM(JS8:JV8)-JW8&gt;0,SUM(JS8:JV8)-JW8,"")</f>
        <v/>
      </c>
      <c r="KJ8" s="15" t="str">
        <f>IF(SUM(JX8:KA8)-KB8&gt;0,SUM(JX8:KA8)-KB8,"")</f>
        <v/>
      </c>
      <c r="KK8" s="15" t="str">
        <f>IF(SUM(KI8:KJ8)&gt;0,SUM(KI8:KJ8),"")</f>
        <v/>
      </c>
      <c r="KL8" s="15" t="str">
        <f>IF(SUM(KC8:KF8)-KG8&gt;0,SUM(KC8:KF8)-KG8,"")</f>
        <v/>
      </c>
      <c r="KM8" s="15" t="str">
        <f>IF(SUM(KK8,KL8)&gt;0,SUM(KK8,KL8),"")</f>
        <v/>
      </c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45"/>
      <c r="KY8" s="45"/>
      <c r="KZ8" s="45"/>
      <c r="LA8" s="45"/>
      <c r="LB8" s="45"/>
      <c r="LC8" s="12" t="str">
        <f>IF(SUM(KU8)&gt;0,SUM(KU8),"")</f>
        <v/>
      </c>
      <c r="LD8" s="12" t="str">
        <f>IF(SUM(KN8:KQ8)-KR8&gt;0,SUM(KN8:KQ8)-KR8,"")</f>
        <v/>
      </c>
      <c r="LE8" s="12" t="str">
        <f>IF(SUM(KS8:KV8)-KW8&gt;0,SUM(KS8:KV8)-KW8,"")</f>
        <v/>
      </c>
      <c r="LF8" s="12" t="str">
        <f>IF(SUM(LD8:LE8)&gt;0,SUM(LD8:LE8),"")</f>
        <v/>
      </c>
      <c r="LG8" s="12" t="str">
        <f>IF(SUM(KX8:LA8)-LB8&gt;0,SUM(KX8:LA8)-LB8,"")</f>
        <v/>
      </c>
      <c r="LH8" s="12" t="str">
        <f>IF(SUM(LF8,LG8)&gt;0,SUM(LF8,LG8),"")</f>
        <v/>
      </c>
      <c r="LI8" s="46"/>
      <c r="LJ8" s="46"/>
      <c r="LK8" s="46"/>
      <c r="LL8" s="46"/>
      <c r="LM8" s="46"/>
      <c r="LN8" s="46"/>
      <c r="LO8" s="46"/>
      <c r="LP8" s="46"/>
      <c r="LQ8" s="46"/>
      <c r="LR8" s="46"/>
      <c r="LS8" s="46"/>
      <c r="LT8" s="46"/>
      <c r="LU8" s="46"/>
      <c r="LV8" s="46"/>
      <c r="LW8" s="46"/>
      <c r="LX8" s="15" t="str">
        <f>IF(SUM(LP8)&gt;0,SUM(LP8),"")</f>
        <v/>
      </c>
      <c r="LY8" s="15" t="str">
        <f>IF(SUM(LI8:LL8)-LM8&gt;0,SUM(LI8:LL8)-LM8,"")</f>
        <v/>
      </c>
      <c r="LZ8" s="15" t="str">
        <f>IF(SUM(LN8:LQ8)-LR8&gt;0,SUM(LN8:LQ8)-LR8,"")</f>
        <v/>
      </c>
      <c r="MA8" s="15" t="str">
        <f>IF(SUM(LY8:LZ8)&gt;0,SUM(LY8:LZ8),"")</f>
        <v/>
      </c>
      <c r="MB8" s="15" t="str">
        <f>IF(SUM(LS8:LV8)-LW8&gt;0,SUM(LS8:LV8)-LW8,"")</f>
        <v/>
      </c>
      <c r="MC8" s="15" t="str">
        <f>IF(SUM(MA8,MB8)&gt;0,SUM(MA8,MB8),"")</f>
        <v/>
      </c>
    </row>
    <row r="9" spans="1:341" x14ac:dyDescent="0.2">
      <c r="A9" s="6" t="str">
        <f>IF(AND(F9="P",H9="P"),SUMPRODUCT((F$4:F$21="P")*(H$4:H$21="P")*(E$4:E$21&gt;E9))+1,IF(H9="P",SUMPRODUCT((F$4:F$21="")*(H$4:H$21="P")*(E$4:E$21&gt;E9))+1+SUMPRODUCT((F$4:F$21="P")*(H$4:H$21="P")),""))</f>
        <v/>
      </c>
      <c r="B9" s="9" t="s">
        <v>74</v>
      </c>
      <c r="C9" s="5" t="s">
        <v>5</v>
      </c>
      <c r="D9" s="31">
        <v>2001</v>
      </c>
      <c r="E9" s="16">
        <f>SUM(J9:R9)</f>
        <v>240.91000000000003</v>
      </c>
      <c r="F9" s="4" t="str">
        <f>IF(OR(AND($AK9&gt;=$AL$24,NOT($AK9=""),$AJ9=""),AND($BG9&gt;=$BH$24,NOT($BG9=""),$BF9=""),AND($CC9&gt;=$CD$24,NOT($CC9=""),$CB9="")),"P","")</f>
        <v/>
      </c>
      <c r="G9" s="4" t="str">
        <f>IF(OR(AND($AK9&gt;=$AL$25,NOT($AK9=""),$AJ9=""),AND($BG9&gt;=$BH$25,NOT($BG9=""),$BF9=""),AND($CC9&gt;=$CD$25,NOT($CC9=""),$CB9="")),"P","")</f>
        <v/>
      </c>
      <c r="H9" s="4" t="str">
        <f>IF(OR(AND($AN9&gt;=$AL$26,NOT($AN9=""),$AJ9=""),AND($BJ9&gt;=$BH$26,NOT($BJ9=""),$BF9=""),AND($CF9&gt;=$CD$26,NOT($CF9=""),$CB9="")),"P","")</f>
        <v/>
      </c>
      <c r="I9" t="str">
        <f>IF(AND(F9="P",OR(AND($AM9&gt;$AL$29,NOT($AM9=""),$AJ9=""),AND($AO9&gt;$AL$29,NOT($AO9=""),$AJ9=""),AND($BI9&gt;$BH$29,NOT($BI9=""),$BF9=""),AND($BK9&gt;$BH$29,NOT($BK9=""),$BF9=""),AND($CE9&gt;$CD$29,NOT($CE9=""),$CB9=""),AND($CG9&gt;$CD$29,NOT($CG9=""),$CB9=""))),"Merit",IF(AND(F9="P",OR(AND($AN9&gt;$AL$28,NOT($AN9=""),$AJ9=""),AND($BJ9&gt;$BH$28,NOT($BJ9=""),$BF9=""),AND($CF9&gt;$CD$28,NOT($CF9=""),$CB9=""))),"Funding",IF(AND(F9="P",OR(AND($AN9&gt;$AL$27,NOT($AN9=""),$AJ9=""),AND($BJ9&gt;$BH$27,NOT($BJ9=""),$BF9=""),AND($CF9&gt;$CD$27,NOT($CF9=""),$CB9=""))),"Worlds Team",IF(AND(F9="P",OR(AND($AN9&gt;$AL$26,NOT($AN9=""),$AJ9=""),AND($BJ9&gt;$BH$26,NOT($BJ9=""),$BF9=""),AND($CF9&gt;$CD$26,NOT($CF9=""),$CB9=""))),"National Team",""))))</f>
        <v/>
      </c>
      <c r="J9" s="15">
        <f>MAX(AN9,BJ9,CF9)</f>
        <v>95.32</v>
      </c>
      <c r="K9" s="15" t="str">
        <f>IF(J9=CF9,$BM$1,IF(J9=BJ9,$AQ$1,IF(J9=AN9,$U$1,"")))</f>
        <v>2018 Nationals</v>
      </c>
      <c r="L9" s="15">
        <f>IF($J9=$AN9,MAX(BH9,CD9),IF($J9=$BJ9,MAX(AL9,CD9),MAX(AL9,BH9)))</f>
        <v>45.174999999999997</v>
      </c>
      <c r="M9" s="15" t="str">
        <f>IF(AND(L9=CD9,$K9&lt;&gt;$BM$1),$BM$1,IF(AND(L9=BH9,$K9&lt;&gt;$AQ$1),$AQ$1,IF(AND(L9=AL9,$K9&lt;&gt;$U$1),$U$1,"")))</f>
        <v>2017 Nationals</v>
      </c>
      <c r="N9" s="15">
        <f>IF($J9=$AN9,MAX(BI9,CE9),IF($J9=$BJ9,MAX(AM9,CE9),MAX(AM9,BI9)))</f>
        <v>50.024999999999999</v>
      </c>
      <c r="O9" s="15" t="str">
        <f>IF(AND(N9=CE9,$K9&lt;&gt;$BM$1),$BM$1,IF(AND(N9=BI9,$K9&lt;&gt;$AQ$1),$AQ$1,IF(AND(N9=AM9,$K9&lt;&gt;$U$1),$U$1,"")))</f>
        <v>2017 Nationals</v>
      </c>
      <c r="P9" s="15">
        <f>MAX(AO9,BK9,CG9)</f>
        <v>50.39</v>
      </c>
      <c r="Q9" s="15" t="str">
        <f>IF(P9=CG9,$BM$1,IF(P9=BK9,$AQ$1,IF(P9=AO9,$U$1,"")))</f>
        <v>2018 Nationals</v>
      </c>
      <c r="R9" s="15" t="str">
        <f>IF(MAX(CI9,CJ9,CK9)&gt;0,MAX(CI9,CJ9,CK9),"")</f>
        <v/>
      </c>
      <c r="S9" s="29" t="str">
        <f>IF(R9="","",IF(R9=CI9,"(Vol 1)",IF(R9=CJ9,"(Vol 2)",IF(R9=CK9,"(Final)"))))</f>
        <v/>
      </c>
      <c r="T9" s="15" t="str">
        <f>IF(R9="","",IF(R9=CI9,IF(R9+L9=LY9,$LI$1,IF(R9+L9=LD9,$KN$1,IF(R9+L9=KI9,$JS$1,IF(R9+L9=JN9,$IX$1,IF(R9+L9=IS9,$IC$1,IF(R9+L9=HX9,$HH$1,IF(R9+L9=HC9,$GM$1,IF(R9+L9=GH9,$FR$1,IF(R9+L9=FM9,$EW$1,IF(R9+L9=ER9,$EB$1,IF(R9+L9=DW9,$DG$1,IF(R9+L9=DB9,$CL$1)))))))))))),IF(R9=CJ9,IF(R9+N9=LZ9,$LI$1,IF(R9+N9=LE9,$KN$1,IF(R9+N9=KJ9,$JS$1,IF(R9+N9=JO9,$IX$1,IF(R9+N9=IT9,$IC$1,IF(R9+N9=HY9,$HH$1,IF(R9+N9=HD9,$GM$1,IF(R9+N9=GI9,$FR$1,IF(R9+N9=FN9,$EW$1,IF(R9+N9=ES9,$EB$1,IF(R9+N9=DX9,$DG$1,IF(R9+N9=DC9,$CL$1)))))))))))),IF(R9=CK9,IF(R9+P9=MB9,$LI$1,IF(R9+P9=LG9,$KN$1,IF(R9+P9=KL9,$JS$1,IF(R9+P9=JQ9,$IX$1,IF(R9+P9=IV9,$IC$1,IF(R9+P9=IA9,$HH$1,IF(R9+P9=HF9,$GM$1,IF(R9+P9=GK9,$FR$1,IF(R9+P9=FP9,$EW$1,IF(R9+P9=EU9,$EB$1,IF(R9+P9=DZ9,$DG$1,IF(R9+P9=DE9,$CL$1))))))))))))))))</f>
        <v/>
      </c>
      <c r="U9" s="76">
        <v>17.3</v>
      </c>
      <c r="V9" s="76">
        <v>9.6</v>
      </c>
      <c r="W9" s="76">
        <v>3.6</v>
      </c>
      <c r="X9" s="76">
        <v>14.675000000000001</v>
      </c>
      <c r="Y9" s="76">
        <v>0</v>
      </c>
      <c r="Z9" s="76">
        <v>14.9</v>
      </c>
      <c r="AA9" s="76">
        <v>9.1</v>
      </c>
      <c r="AB9" s="76">
        <v>12</v>
      </c>
      <c r="AC9" s="76">
        <v>14.025</v>
      </c>
      <c r="AD9" s="76">
        <v>0</v>
      </c>
      <c r="AE9" s="76">
        <v>15</v>
      </c>
      <c r="AF9" s="76">
        <v>9.6</v>
      </c>
      <c r="AG9" s="76">
        <v>11.3</v>
      </c>
      <c r="AH9" s="76">
        <v>14.475</v>
      </c>
      <c r="AI9" s="76">
        <v>0</v>
      </c>
      <c r="AJ9" s="101"/>
      <c r="AK9" s="12">
        <f>IF(SUM(AB9)&gt;0,SUM(AB9),"")</f>
        <v>12</v>
      </c>
      <c r="AL9" s="12">
        <f>IF(SUM(U9:X9)-Y9&gt;0,SUM(U9:X9)-Y9,"")</f>
        <v>45.174999999999997</v>
      </c>
      <c r="AM9" s="12">
        <f>IF(SUM(Z9:AC9)-AD9&gt;0,SUM(Z9:AC9)-AD9,"")</f>
        <v>50.024999999999999</v>
      </c>
      <c r="AN9" s="12">
        <f>IF(SUM(AL9:AM9)&gt;0,SUM(AL9:AM9),"")</f>
        <v>95.199999999999989</v>
      </c>
      <c r="AO9" s="12">
        <f>IF(SUM(AE9:AH9)-AI9&gt;0,SUM(AE9:AH9)-AI9,"")</f>
        <v>50.375000000000007</v>
      </c>
      <c r="AP9" s="12">
        <f>IF(SUM(AN9,AO9)&gt;0,SUM(AN9,AO9),"")</f>
        <v>145.57499999999999</v>
      </c>
      <c r="AQ9" s="80">
        <v>15.2</v>
      </c>
      <c r="AR9" s="80">
        <v>9.75</v>
      </c>
      <c r="AS9" s="80">
        <v>4.5</v>
      </c>
      <c r="AT9" s="80">
        <v>15.12</v>
      </c>
      <c r="AU9" s="80">
        <v>0</v>
      </c>
      <c r="AV9" s="80">
        <v>11.9</v>
      </c>
      <c r="AW9" s="80">
        <v>8.8000000000000007</v>
      </c>
      <c r="AX9" s="80">
        <v>11.5</v>
      </c>
      <c r="AY9" s="80">
        <v>14.39</v>
      </c>
      <c r="AZ9" s="80">
        <v>0</v>
      </c>
      <c r="BA9" s="80">
        <v>13.8</v>
      </c>
      <c r="BB9" s="80">
        <v>9.15</v>
      </c>
      <c r="BC9" s="80">
        <v>12.7</v>
      </c>
      <c r="BD9" s="80">
        <v>14.255000000000001</v>
      </c>
      <c r="BE9" s="80">
        <v>0</v>
      </c>
      <c r="BF9" s="105"/>
      <c r="BG9" s="15">
        <f>IF(SUM(AX9)&gt;0,SUM(AX9),"")</f>
        <v>11.5</v>
      </c>
      <c r="BH9" s="15">
        <f>IF(SUM(AQ9:AT9)-AU9&gt;0,SUM(AQ9:AT9)-AU9,"")</f>
        <v>44.57</v>
      </c>
      <c r="BI9" s="15">
        <f>IF(SUM(AV9:AY9)-AZ9&gt;0,SUM(AV9:AY9)-AZ9,"")</f>
        <v>46.59</v>
      </c>
      <c r="BJ9" s="15">
        <f>IF(SUM(BH9:BI9)&gt;0,SUM(BH9:BI9),"")</f>
        <v>91.16</v>
      </c>
      <c r="BK9" s="15">
        <f>IF(SUM(BA9:BD9)-BE9&gt;0,SUM(BA9:BD9)-BE9,"")</f>
        <v>49.905000000000008</v>
      </c>
      <c r="BL9" s="15">
        <f>IF(SUM(BJ9,BK9)&gt;0,SUM(BJ9,BK9),"")</f>
        <v>141.065</v>
      </c>
      <c r="BM9" s="76">
        <v>16.7</v>
      </c>
      <c r="BN9" s="76">
        <v>9.85</v>
      </c>
      <c r="BO9" s="76">
        <v>2.7</v>
      </c>
      <c r="BP9" s="76">
        <v>15.765000000000001</v>
      </c>
      <c r="BQ9" s="76">
        <v>0</v>
      </c>
      <c r="BR9" s="76">
        <v>13.5</v>
      </c>
      <c r="BS9" s="76">
        <v>9</v>
      </c>
      <c r="BT9" s="76">
        <v>13.1</v>
      </c>
      <c r="BU9" s="76">
        <v>14.705</v>
      </c>
      <c r="BV9" s="76">
        <v>0</v>
      </c>
      <c r="BW9" s="76">
        <v>13.4</v>
      </c>
      <c r="BX9" s="76">
        <v>9.15</v>
      </c>
      <c r="BY9" s="76">
        <v>13.1</v>
      </c>
      <c r="BZ9" s="76">
        <v>14.74</v>
      </c>
      <c r="CA9" s="76">
        <v>0</v>
      </c>
      <c r="CB9" s="101"/>
      <c r="CC9" s="12">
        <f>IF(SUM(BT9)&gt;0,SUM(BT9),"")</f>
        <v>13.1</v>
      </c>
      <c r="CD9" s="12">
        <f>IF(SUM(BM9:BP9)-BQ9&gt;0,SUM(BM9:BP9)-BQ9,"")</f>
        <v>45.015000000000001</v>
      </c>
      <c r="CE9" s="12">
        <f>IF(SUM(BR9:BU9)-BV9&gt;0,SUM(BR9:BU9)-BV9,"")</f>
        <v>50.305</v>
      </c>
      <c r="CF9" s="12">
        <f>IF(SUM(CD9:CE9)&gt;0,SUM(CD9:CE9),"")</f>
        <v>95.32</v>
      </c>
      <c r="CG9" s="12">
        <f>IF(SUM(BW9:BZ9)-CA9&gt;0,SUM(BW9:BZ9)-CA9,"")</f>
        <v>50.39</v>
      </c>
      <c r="CH9" s="12">
        <f>IF(SUM(CF9,CG9)&gt;0,SUM(CF9,CG9),"")</f>
        <v>145.70999999999998</v>
      </c>
      <c r="CI9" s="28" t="str">
        <f>IF(MAX(DB9,DW9,ER9,FM9,GH9,HC9,HX9,IS9,JN9,KI9,LD9,LY9)-L9&gt;0.001,MAX(DB9,DW9,ER9,FM9,GH9,HC9,HX9,IS9,JN9,KI9,LD9,LY9)-L9,"")</f>
        <v/>
      </c>
      <c r="CJ9" s="28" t="str">
        <f>IF(MAX(DC9,DX9,ES9,FN9,GI9,HD9,HY9,IT9,JO9,KJ9,LE9,LZ9)-N9&gt;0.001,MAX(DC9,DX9,ES9,FN9,GI9,HD9,HY9,IT9,JO9,KJ9,LE9,LZ9)-N9,"")</f>
        <v/>
      </c>
      <c r="CK9" s="28" t="str">
        <f>IF(MAX(DE9,DZ9,EU9,FP9,GK9,HF9,IA9,IV9,JQ9,KL9,LG9,MB9)-P9&gt;0.001,MAX(DE9,DZ9,EU9,FP9,GK9,HF9,IA9,IV9,JQ9,KL9,LG9,MB9)-P9,"")</f>
        <v/>
      </c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45"/>
      <c r="CY9" s="45"/>
      <c r="CZ9" s="45"/>
      <c r="DA9" s="12" t="str">
        <f>IF(SUM(CS9)&gt;0,SUM(CS9),"")</f>
        <v/>
      </c>
      <c r="DB9" s="12" t="str">
        <f>IF(SUM(CL9:CO9)-CP9&gt;0,SUM(CL9:CO9)-CP9,"")</f>
        <v/>
      </c>
      <c r="DC9" s="12" t="str">
        <f>IF(SUM(CQ9:CT9)-CU9&gt;0,SUM(CQ9:CT9)-CU9,"")</f>
        <v/>
      </c>
      <c r="DD9" s="12" t="str">
        <f>IF(SUM(DB9:DC9)&gt;0,SUM(DB9:DC9),"")</f>
        <v/>
      </c>
      <c r="DE9" s="12" t="str">
        <f>IF(SUM(CV9:CY9)-CZ9&gt;0,SUM(CV9:CY9)-CZ9,"")</f>
        <v/>
      </c>
      <c r="DF9" s="12" t="str">
        <f>IF(SUM(DD9,DE9)&gt;0,SUM(DD9,DE9),"")</f>
        <v/>
      </c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15" t="str">
        <f>IF(SUM(DN9)&gt;0,SUM(DN9),"")</f>
        <v/>
      </c>
      <c r="DW9" s="15" t="str">
        <f>IF(SUM(DG9:DJ9)-DK9&gt;0,SUM(DG9:DJ9)-DK9,"")</f>
        <v/>
      </c>
      <c r="DX9" s="15" t="str">
        <f>IF(SUM(DL9:DO9)-DP9&gt;0,SUM(DL9:DO9)-DP9,"")</f>
        <v/>
      </c>
      <c r="DY9" s="15" t="str">
        <f>IF(SUM(DW9:DX9)&gt;0,SUM(DW9:DX9),"")</f>
        <v/>
      </c>
      <c r="DZ9" s="15" t="str">
        <f>IF(SUM(DQ9:DT9)-DU9&gt;0,SUM(DQ9:DT9)-DU9,"")</f>
        <v/>
      </c>
      <c r="EA9" s="15" t="str">
        <f>IF(SUM(DY9,DZ9)&gt;0,SUM(DY9,DZ9),"")</f>
        <v/>
      </c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45"/>
      <c r="EM9" s="45"/>
      <c r="EN9" s="45"/>
      <c r="EO9" s="45"/>
      <c r="EP9" s="45"/>
      <c r="EQ9" s="12" t="str">
        <f>IF(SUM(EI9)&gt;0,SUM(EI9),"")</f>
        <v/>
      </c>
      <c r="ER9" s="12" t="str">
        <f>IF(SUM(EB9:EE9)-EF9&gt;0,SUM(EB9:EE9)-EF9,"")</f>
        <v/>
      </c>
      <c r="ES9" s="12" t="str">
        <f>IF(SUM(EG9:EJ9)-EK9&gt;0,SUM(EG9:EJ9)-EK9,"")</f>
        <v/>
      </c>
      <c r="ET9" s="12" t="str">
        <f>IF(SUM(ER9:ES9)&gt;0,SUM(ER9:ES9),"")</f>
        <v/>
      </c>
      <c r="EU9" s="12" t="str">
        <f>IF(SUM(EL9:EO9)-EP9&gt;0,SUM(EL9:EO9)-EP9,"")</f>
        <v/>
      </c>
      <c r="EV9" s="12" t="str">
        <f>IF(SUM(ET9,EU9)&gt;0,SUM(ET9,EU9),"")</f>
        <v/>
      </c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46"/>
      <c r="FK9" s="46"/>
      <c r="FL9" s="15" t="str">
        <f>IF(SUM(FD9)&gt;0,SUM(FD9),"")</f>
        <v/>
      </c>
      <c r="FM9" s="15" t="str">
        <f>IF(SUM(EW9:EZ9)-FA9&gt;0,SUM(EW9:EZ9)-FA9,"")</f>
        <v/>
      </c>
      <c r="FN9" s="15" t="str">
        <f>IF(SUM(FB9:FE9)-FF9&gt;0,SUM(FB9:FE9)-FF9,"")</f>
        <v/>
      </c>
      <c r="FO9" s="15" t="str">
        <f>IF(SUM(FM9:FN9)&gt;0,SUM(FM9:FN9),"")</f>
        <v/>
      </c>
      <c r="FP9" s="15" t="str">
        <f>IF(SUM(FG9:FJ9)-FK9&gt;0,SUM(FG9:FJ9)-FK9,"")</f>
        <v/>
      </c>
      <c r="FQ9" s="15" t="str">
        <f>IF(SUM(FO9,FP9)&gt;0,SUM(FO9,FP9),"")</f>
        <v/>
      </c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45"/>
      <c r="GC9" s="45"/>
      <c r="GD9" s="45"/>
      <c r="GE9" s="45"/>
      <c r="GF9" s="45"/>
      <c r="GG9" s="12" t="str">
        <f>IF(SUM(FY9)&gt;0,SUM(FY9),"")</f>
        <v/>
      </c>
      <c r="GH9" s="12" t="str">
        <f>IF(SUM(FR9:FU9)-FV9&gt;0,SUM(FR9:FU9)-FV9,"")</f>
        <v/>
      </c>
      <c r="GI9" s="12" t="str">
        <f>IF(SUM(FW9:FZ9)-GA9&gt;0,SUM(FW9:FZ9)-GA9,"")</f>
        <v/>
      </c>
      <c r="GJ9" s="12" t="str">
        <f>IF(SUM(GH9:GI9)&gt;0,SUM(GH9:GI9),"")</f>
        <v/>
      </c>
      <c r="GK9" s="12" t="str">
        <f>IF(SUM(GB9:GE9)-GF9&gt;0,SUM(GB9:GE9)-GF9,"")</f>
        <v/>
      </c>
      <c r="GL9" s="12" t="str">
        <f>IF(SUM(GJ9,GK9)&gt;0,SUM(GJ9,GK9),"")</f>
        <v/>
      </c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46"/>
      <c r="GZ9" s="46"/>
      <c r="HA9" s="46"/>
      <c r="HB9" s="15" t="str">
        <f>IF(SUM(GT9)&gt;0,SUM(GT9),"")</f>
        <v/>
      </c>
      <c r="HC9" s="15" t="str">
        <f>IF(SUM(GM9:GP9)-GQ9&gt;0,SUM(GM9:GP9)-GQ9,"")</f>
        <v/>
      </c>
      <c r="HD9" s="15" t="str">
        <f>IF(SUM(GR9:GU9)-GV9&gt;0,SUM(GR9:GU9)-GV9,"")</f>
        <v/>
      </c>
      <c r="HE9" s="15" t="str">
        <f>IF(SUM(HC9:HD9)&gt;0,SUM(HC9:HD9),"")</f>
        <v/>
      </c>
      <c r="HF9" s="15" t="str">
        <f>IF(SUM(GW9:GZ9)-HA9&gt;0,SUM(GW9:GZ9)-HA9,"")</f>
        <v/>
      </c>
      <c r="HG9" s="15" t="str">
        <f>IF(SUM(HE9,HF9)&gt;0,SUM(HE9,HF9),"")</f>
        <v/>
      </c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45"/>
      <c r="HS9" s="45"/>
      <c r="HT9" s="45"/>
      <c r="HU9" s="45"/>
      <c r="HV9" s="45"/>
      <c r="HW9" s="12" t="str">
        <f>IF(SUM(HO9)&gt;0,SUM(HO9),"")</f>
        <v/>
      </c>
      <c r="HX9" s="12" t="str">
        <f>IF(SUM(HH9:HK9)-HL9&gt;0,SUM(HH9:HK9)-HL9,"")</f>
        <v/>
      </c>
      <c r="HY9" s="12" t="str">
        <f>IF(SUM(HM9:HP9)-HQ9&gt;0,SUM(HM9:HP9)-HQ9,"")</f>
        <v/>
      </c>
      <c r="HZ9" s="12" t="str">
        <f>IF(SUM(HX9:HY9)&gt;0,SUM(HX9:HY9),"")</f>
        <v/>
      </c>
      <c r="IA9" s="12" t="str">
        <f>IF(SUM(HR9:HU9)-HV9&gt;0,SUM(HR9:HU9)-HV9,"")</f>
        <v/>
      </c>
      <c r="IB9" s="12" t="str">
        <f>IF(SUM(HZ9,IA9)&gt;0,SUM(HZ9,IA9),"")</f>
        <v/>
      </c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46"/>
      <c r="IP9" s="46"/>
      <c r="IQ9" s="46"/>
      <c r="IR9" s="15" t="str">
        <f>IF(SUM(IJ9)&gt;0,SUM(IJ9),"")</f>
        <v/>
      </c>
      <c r="IS9" s="15" t="str">
        <f>IF(SUM(IC9:IF9)-IG9&gt;0,SUM(IC9:IF9)-IG9,"")</f>
        <v/>
      </c>
      <c r="IT9" s="15" t="str">
        <f>IF(SUM(IH9:IK9)-IL9&gt;0,SUM(IH9:IK9)-IL9,"")</f>
        <v/>
      </c>
      <c r="IU9" s="15" t="str">
        <f>IF(SUM(IS9:IT9)&gt;0,SUM(IS9:IT9),"")</f>
        <v/>
      </c>
      <c r="IV9" s="15" t="str">
        <f>IF(SUM(IM9:IP9)-IQ9&gt;0,SUM(IM9:IP9)-IQ9,"")</f>
        <v/>
      </c>
      <c r="IW9" s="15" t="str">
        <f>IF(SUM(IU9,IV9)&gt;0,SUM(IU9,IV9),"")</f>
        <v/>
      </c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45"/>
      <c r="JI9" s="45"/>
      <c r="JJ9" s="45"/>
      <c r="JK9" s="45"/>
      <c r="JL9" s="45"/>
      <c r="JM9" s="12" t="str">
        <f>IF(SUM(JE9)&gt;0,SUM(JE9),"")</f>
        <v/>
      </c>
      <c r="JN9" s="12" t="str">
        <f>IF(SUM(IX9:JA9)-JB9&gt;0,SUM(IX9:JA9)-JB9,"")</f>
        <v/>
      </c>
      <c r="JO9" s="12" t="str">
        <f>IF(SUM(JC9:JF9)-JG9&gt;0,SUM(JC9:JF9)-JG9,"")</f>
        <v/>
      </c>
      <c r="JP9" s="12" t="str">
        <f>IF(SUM(JN9:JO9)&gt;0,SUM(JN9:JO9),"")</f>
        <v/>
      </c>
      <c r="JQ9" s="12" t="str">
        <f>IF(SUM(JH9:JK9)-JL9&gt;0,SUM(JH9:JK9)-JL9,"")</f>
        <v/>
      </c>
      <c r="JR9" s="12" t="str">
        <f>IF(SUM(JP9,JQ9)&gt;0,SUM(JP9,JQ9),"")</f>
        <v/>
      </c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46"/>
      <c r="KD9" s="46"/>
      <c r="KE9" s="46"/>
      <c r="KF9" s="46"/>
      <c r="KG9" s="46"/>
      <c r="KH9" s="15" t="str">
        <f>IF(SUM(JZ9)&gt;0,SUM(JZ9),"")</f>
        <v/>
      </c>
      <c r="KI9" s="15" t="str">
        <f>IF(SUM(JS9:JV9)-JW9&gt;0,SUM(JS9:JV9)-JW9,"")</f>
        <v/>
      </c>
      <c r="KJ9" s="15" t="str">
        <f>IF(SUM(JX9:KA9)-KB9&gt;0,SUM(JX9:KA9)-KB9,"")</f>
        <v/>
      </c>
      <c r="KK9" s="15" t="str">
        <f>IF(SUM(KI9:KJ9)&gt;0,SUM(KI9:KJ9),"")</f>
        <v/>
      </c>
      <c r="KL9" s="15" t="str">
        <f>IF(SUM(KC9:KF9)-KG9&gt;0,SUM(KC9:KF9)-KG9,"")</f>
        <v/>
      </c>
      <c r="KM9" s="15" t="str">
        <f>IF(SUM(KK9,KL9)&gt;0,SUM(KK9,KL9),"")</f>
        <v/>
      </c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45"/>
      <c r="KY9" s="45"/>
      <c r="KZ9" s="45"/>
      <c r="LA9" s="45"/>
      <c r="LB9" s="45"/>
      <c r="LC9" s="12" t="str">
        <f>IF(SUM(KU9)&gt;0,SUM(KU9),"")</f>
        <v/>
      </c>
      <c r="LD9" s="12" t="str">
        <f>IF(SUM(KN9:KQ9)-KR9&gt;0,SUM(KN9:KQ9)-KR9,"")</f>
        <v/>
      </c>
      <c r="LE9" s="12" t="str">
        <f>IF(SUM(KS9:KV9)-KW9&gt;0,SUM(KS9:KV9)-KW9,"")</f>
        <v/>
      </c>
      <c r="LF9" s="12" t="str">
        <f>IF(SUM(LD9:LE9)&gt;0,SUM(LD9:LE9),"")</f>
        <v/>
      </c>
      <c r="LG9" s="12" t="str">
        <f>IF(SUM(KX9:LA9)-LB9&gt;0,SUM(KX9:LA9)-LB9,"")</f>
        <v/>
      </c>
      <c r="LH9" s="12" t="str">
        <f>IF(SUM(LF9,LG9)&gt;0,SUM(LF9,LG9),"")</f>
        <v/>
      </c>
      <c r="LI9" s="46"/>
      <c r="LJ9" s="46"/>
      <c r="LK9" s="46"/>
      <c r="LL9" s="46"/>
      <c r="LM9" s="46"/>
      <c r="LN9" s="46"/>
      <c r="LO9" s="46"/>
      <c r="LP9" s="46"/>
      <c r="LQ9" s="46"/>
      <c r="LR9" s="46"/>
      <c r="LS9" s="46"/>
      <c r="LT9" s="46"/>
      <c r="LU9" s="46"/>
      <c r="LV9" s="46"/>
      <c r="LW9" s="46"/>
      <c r="LX9" s="15" t="str">
        <f>IF(SUM(LP9)&gt;0,SUM(LP9),"")</f>
        <v/>
      </c>
      <c r="LY9" s="15" t="str">
        <f>IF(SUM(LI9:LL9)-LM9&gt;0,SUM(LI9:LL9)-LM9,"")</f>
        <v/>
      </c>
      <c r="LZ9" s="15" t="str">
        <f>IF(SUM(LN9:LQ9)-LR9&gt;0,SUM(LN9:LQ9)-LR9,"")</f>
        <v/>
      </c>
      <c r="MA9" s="15" t="str">
        <f>IF(SUM(LY9:LZ9)&gt;0,SUM(LY9:LZ9),"")</f>
        <v/>
      </c>
      <c r="MB9" s="15" t="str">
        <f>IF(SUM(LS9:LV9)-LW9&gt;0,SUM(LS9:LV9)-LW9,"")</f>
        <v/>
      </c>
      <c r="MC9" s="15" t="str">
        <f>IF(SUM(MA9,MB9)&gt;0,SUM(MA9,MB9),"")</f>
        <v/>
      </c>
    </row>
    <row r="10" spans="1:341" x14ac:dyDescent="0.2">
      <c r="A10" s="6" t="str">
        <f>IF(AND(F10="P",H10="P"),SUMPRODUCT((F$4:F$21="P")*(H$4:H$21="P")*(E$4:E$21&gt;E10))+1,IF(H10="P",SUMPRODUCT((F$4:F$21="")*(H$4:H$21="P")*(E$4:E$21&gt;E10))+1+SUMPRODUCT((F$4:F$21="P")*(H$4:H$21="P")),""))</f>
        <v/>
      </c>
      <c r="B10" s="9" t="s">
        <v>73</v>
      </c>
      <c r="C10" s="5" t="s">
        <v>3</v>
      </c>
      <c r="D10" s="31">
        <v>2000</v>
      </c>
      <c r="E10" s="16">
        <f>SUM(J10:R10)</f>
        <v>239.45500000000004</v>
      </c>
      <c r="F10" s="4" t="str">
        <f>IF(OR(AND($AK10&gt;=$AL$24,NOT($AK10=""),$AJ10=""),AND($BG10&gt;=$BH$24,NOT($BG10=""),$BF10=""),AND($CC10&gt;=$CD$24,NOT($CC10=""),$CB10="")),"P","")</f>
        <v/>
      </c>
      <c r="G10" s="4" t="str">
        <f>IF(OR(AND($AK10&gt;=$AL$25,NOT($AK10=""),$AJ10=""),AND($BG10&gt;=$BH$25,NOT($BG10=""),$BF10=""),AND($CC10&gt;=$CD$25,NOT($CC10=""),$CB10="")),"P","")</f>
        <v/>
      </c>
      <c r="H10" s="4" t="str">
        <f>IF(OR(AND($AN10&gt;=$AL$26,NOT($AN10=""),$AJ10=""),AND($BJ10&gt;=$BH$26,NOT($BJ10=""),$BF10=""),AND($CF10&gt;=$CD$26,NOT($CF10=""),$CB10="")),"P","")</f>
        <v/>
      </c>
      <c r="I10" t="str">
        <f>IF(AND(F10="P",OR(AND($AM10&gt;$AL$29,NOT($AM10=""),$AJ10=""),AND($AO10&gt;$AL$29,NOT($AO10=""),$AJ10=""),AND($BI10&gt;$BH$29,NOT($BI10=""),$BF10=""),AND($BK10&gt;$BH$29,NOT($BK10=""),$BF10=""),AND($CE10&gt;$CD$29,NOT($CE10=""),$CB10=""),AND($CG10&gt;$CD$29,NOT($CG10=""),$CB10=""))),"Merit",IF(AND(F10="P",OR(AND($AN10&gt;$AL$28,NOT($AN10=""),$AJ10=""),AND($BJ10&gt;$BH$28,NOT($BJ10=""),$BF10=""),AND($CF10&gt;$CD$28,NOT($CF10=""),$CB10=""))),"Funding",IF(AND(F10="P",OR(AND($AN10&gt;$AL$27,NOT($AN10=""),$AJ10=""),AND($BJ10&gt;$BH$27,NOT($BJ10=""),$BF10=""),AND($CF10&gt;$CD$27,NOT($CF10=""),$CB10=""))),"Worlds Team",IF(AND(F10="P",OR(AND($AN10&gt;$AL$26,NOT($AN10=""),$AJ10=""),AND($BJ10&gt;$BH$26,NOT($BJ10=""),$BF10=""),AND($CF10&gt;$CD$26,NOT($CF10=""),$CB10=""))),"National Team",""))))</f>
        <v/>
      </c>
      <c r="J10" s="15">
        <f>MAX(AN10,BJ10,CF10)</f>
        <v>92.765000000000015</v>
      </c>
      <c r="K10" s="15" t="str">
        <f>IF(J10=CF10,$BM$1,IF(J10=BJ10,$AQ$1,IF(J10=AN10,$U$1,"")))</f>
        <v>2017 Nationals</v>
      </c>
      <c r="L10" s="15">
        <f>IF($J10=$AN10,MAX(BH10,CD10),IF($J10=$BJ10,MAX(AL10,CD10),MAX(AL10,BH10)))</f>
        <v>45.555</v>
      </c>
      <c r="M10" s="15" t="str">
        <f>IF(AND(L10=CD10,$K10&lt;&gt;$BM$1),$BM$1,IF(AND(L10=BH10,$K10&lt;&gt;$AQ$1),$AQ$1,IF(AND(L10=AL10,$K10&lt;&gt;$U$1),$U$1,"")))</f>
        <v>2018 Nationals</v>
      </c>
      <c r="N10" s="15">
        <f>IF($J10=$AN10,MAX(BI10,CE10),IF($J10=$BJ10,MAX(AM10,CE10),MAX(AM10,BI10)))</f>
        <v>51.325000000000003</v>
      </c>
      <c r="O10" s="15" t="str">
        <f>IF(AND(N10=CE10,$K10&lt;&gt;$BM$1),$BM$1,IF(AND(N10=BI10,$K10&lt;&gt;$AQ$1),$AQ$1,IF(AND(N10=AM10,$K10&lt;&gt;$U$1),$U$1,"")))</f>
        <v>2018 Canada Cup</v>
      </c>
      <c r="P10" s="15">
        <f>MAX(AO10,BK10,CG10)</f>
        <v>49.81</v>
      </c>
      <c r="Q10" s="15" t="str">
        <f>IF(P10=CG10,$BM$1,IF(P10=BK10,$AQ$1,IF(P10=AO10,$U$1,"")))</f>
        <v>2018 Canada Cup</v>
      </c>
      <c r="R10" s="15" t="str">
        <f>IF(MAX(CI10,CJ10,CK10)&gt;0,MAX(CI10,CJ10,CK10),"")</f>
        <v/>
      </c>
      <c r="S10" s="29" t="str">
        <f>IF(R10="","",IF(R10=CI10,"(Vol 1)",IF(R10=CJ10,"(Vol 2)",IF(R10=CK10,"(Final)"))))</f>
        <v/>
      </c>
      <c r="T10" s="15" t="str">
        <f>IF(R10="","",IF(R10=CI10,IF(R10+L10=LY10,$LI$1,IF(R10+L10=LD10,$KN$1,IF(R10+L10=KI10,$JS$1,IF(R10+L10=JN10,$IX$1,IF(R10+L10=IS10,$IC$1,IF(R10+L10=HX10,$HH$1,IF(R10+L10=HC10,$GM$1,IF(R10+L10=GH10,$FR$1,IF(R10+L10=FM10,$EW$1,IF(R10+L10=ER10,$EB$1,IF(R10+L10=DW10,$DG$1,IF(R10+L10=DB10,$CL$1)))))))))))),IF(R10=CJ10,IF(R10+N10=LZ10,$LI$1,IF(R10+N10=LE10,$KN$1,IF(R10+N10=KJ10,$JS$1,IF(R10+N10=JO10,$IX$1,IF(R10+N10=IT10,$IC$1,IF(R10+N10=HY10,$HH$1,IF(R10+N10=HD10,$GM$1,IF(R10+N10=GI10,$FR$1,IF(R10+N10=FN10,$EW$1,IF(R10+N10=ES10,$EB$1,IF(R10+N10=DX10,$DG$1,IF(R10+N10=DC10,$CL$1)))))))))))),IF(R10=CK10,IF(R10+P10=MB10,$LI$1,IF(R10+P10=LG10,$KN$1,IF(R10+P10=KL10,$JS$1,IF(R10+P10=JQ10,$IX$1,IF(R10+P10=IV10,$IC$1,IF(R10+P10=IA10,$HH$1,IF(R10+P10=HF10,$GM$1,IF(R10+P10=GK10,$FR$1,IF(R10+P10=FP10,$EW$1,IF(R10+P10=EU10,$EB$1,IF(R10+P10=DZ10,$DG$1,IF(R10+P10=DE10,$CL$1))))))))))))))))</f>
        <v/>
      </c>
      <c r="U10" s="76">
        <v>15.4</v>
      </c>
      <c r="V10" s="76">
        <v>9.1</v>
      </c>
      <c r="W10" s="76">
        <v>4.4000000000000004</v>
      </c>
      <c r="X10" s="76">
        <v>16.004999999999999</v>
      </c>
      <c r="Y10" s="76">
        <v>0</v>
      </c>
      <c r="Z10" s="76">
        <v>12.8</v>
      </c>
      <c r="AA10" s="76">
        <v>8.4</v>
      </c>
      <c r="AB10" s="76">
        <v>12.1</v>
      </c>
      <c r="AC10" s="76">
        <v>14.56</v>
      </c>
      <c r="AD10" s="76">
        <v>0</v>
      </c>
      <c r="AE10" s="76">
        <v>4.5</v>
      </c>
      <c r="AF10" s="76">
        <v>2.7</v>
      </c>
      <c r="AG10" s="76">
        <v>4.4000000000000004</v>
      </c>
      <c r="AH10" s="76">
        <v>5.0149999999999997</v>
      </c>
      <c r="AI10" s="76">
        <v>0</v>
      </c>
      <c r="AJ10" s="101"/>
      <c r="AK10" s="12">
        <f>IF(SUM(AB10)&gt;0,SUM(AB10),"")</f>
        <v>12.1</v>
      </c>
      <c r="AL10" s="12">
        <f>IF(SUM(U10:X10)-Y10&gt;0,SUM(U10:X10)-Y10,"")</f>
        <v>44.905000000000001</v>
      </c>
      <c r="AM10" s="12">
        <f>IF(SUM(Z10:AC10)-AD10&gt;0,SUM(Z10:AC10)-AD10,"")</f>
        <v>47.860000000000007</v>
      </c>
      <c r="AN10" s="12">
        <f>IF(SUM(AL10:AM10)&gt;0,SUM(AL10:AM10),"")</f>
        <v>92.765000000000015</v>
      </c>
      <c r="AO10" s="12">
        <f>IF(SUM(AE10:AH10)-AI10&gt;0,SUM(AE10:AH10)-AI10,"")</f>
        <v>16.615000000000002</v>
      </c>
      <c r="AP10" s="12">
        <f>IF(SUM(AN10,AO10)&gt;0,SUM(AN10,AO10),"")</f>
        <v>109.38000000000002</v>
      </c>
      <c r="AQ10" s="80">
        <v>8.3000000000000007</v>
      </c>
      <c r="AR10" s="80">
        <v>4.3499999999999996</v>
      </c>
      <c r="AS10" s="80">
        <v>0.7</v>
      </c>
      <c r="AT10" s="80">
        <v>8.2200000000000006</v>
      </c>
      <c r="AU10" s="80">
        <v>0</v>
      </c>
      <c r="AV10" s="80">
        <v>14.7</v>
      </c>
      <c r="AW10" s="80">
        <v>9.0500000000000007</v>
      </c>
      <c r="AX10" s="80">
        <v>13.1</v>
      </c>
      <c r="AY10" s="80">
        <v>14.675000000000001</v>
      </c>
      <c r="AZ10" s="80">
        <v>0.2</v>
      </c>
      <c r="BA10" s="80">
        <v>12.8</v>
      </c>
      <c r="BB10" s="80">
        <v>8.75</v>
      </c>
      <c r="BC10" s="80">
        <v>13.7</v>
      </c>
      <c r="BD10" s="80">
        <v>14.56</v>
      </c>
      <c r="BE10" s="80">
        <v>0</v>
      </c>
      <c r="BF10" s="105"/>
      <c r="BG10" s="15">
        <f>IF(SUM(AX10)&gt;0,SUM(AX10),"")</f>
        <v>13.1</v>
      </c>
      <c r="BH10" s="15">
        <f>IF(SUM(AQ10:AT10)-AU10&gt;0,SUM(AQ10:AT10)-AU10,"")</f>
        <v>21.57</v>
      </c>
      <c r="BI10" s="15">
        <f>IF(SUM(AV10:AY10)-AZ10&gt;0,SUM(AV10:AY10)-AZ10,"")</f>
        <v>51.325000000000003</v>
      </c>
      <c r="BJ10" s="15">
        <f>IF(SUM(BH10:BI10)&gt;0,SUM(BH10:BI10),"")</f>
        <v>72.89500000000001</v>
      </c>
      <c r="BK10" s="15">
        <f>IF(SUM(BA10:BD10)-BE10&gt;0,SUM(BA10:BD10)-BE10,"")</f>
        <v>49.81</v>
      </c>
      <c r="BL10" s="15">
        <f>IF(SUM(BJ10,BK10)&gt;0,SUM(BJ10,BK10),"")</f>
        <v>122.70500000000001</v>
      </c>
      <c r="BM10" s="76">
        <v>15.7</v>
      </c>
      <c r="BN10" s="76">
        <v>9</v>
      </c>
      <c r="BO10" s="76">
        <v>5</v>
      </c>
      <c r="BP10" s="76">
        <v>15.855</v>
      </c>
      <c r="BQ10" s="76">
        <v>0</v>
      </c>
      <c r="BR10" s="76">
        <v>1.6</v>
      </c>
      <c r="BS10" s="76">
        <v>0.8</v>
      </c>
      <c r="BT10" s="76">
        <v>1.7</v>
      </c>
      <c r="BU10" s="76">
        <v>1.7</v>
      </c>
      <c r="BV10" s="76">
        <v>0</v>
      </c>
      <c r="BW10" s="76"/>
      <c r="BX10" s="76"/>
      <c r="BY10" s="76"/>
      <c r="BZ10" s="76"/>
      <c r="CA10" s="76"/>
      <c r="CB10" s="101"/>
      <c r="CC10" s="12">
        <f>IF(SUM(BT10)&gt;0,SUM(BT10),"")</f>
        <v>1.7</v>
      </c>
      <c r="CD10" s="12">
        <f>IF(SUM(BM10:BP10)-BQ10&gt;0,SUM(BM10:BP10)-BQ10,"")</f>
        <v>45.555</v>
      </c>
      <c r="CE10" s="12">
        <f>IF(SUM(BR10:BU10)-BV10&gt;0,SUM(BR10:BU10)-BV10,"")</f>
        <v>5.8000000000000007</v>
      </c>
      <c r="CF10" s="12">
        <f>IF(SUM(CD10:CE10)&gt;0,SUM(CD10:CE10),"")</f>
        <v>51.355000000000004</v>
      </c>
      <c r="CG10" s="12" t="str">
        <f>IF(SUM(BW10:BZ10)-CA10&gt;0,SUM(BW10:BZ10)-CA10,"")</f>
        <v/>
      </c>
      <c r="CH10" s="12">
        <f>IF(SUM(CF10,CG10)&gt;0,SUM(CF10,CG10),"")</f>
        <v>51.355000000000004</v>
      </c>
      <c r="CI10" s="28" t="str">
        <f>IF(MAX(DB10,DW10,ER10,FM10,GH10,HC10,HX10,IS10,JN10,KI10,LD10,LY10)-L10&gt;0.001,MAX(DB10,DW10,ER10,FM10,GH10,HC10,HX10,IS10,JN10,KI10,LD10,LY10)-L10,"")</f>
        <v/>
      </c>
      <c r="CJ10" s="28" t="str">
        <f>IF(MAX(DC10,DX10,ES10,FN10,GI10,HD10,HY10,IT10,JO10,KJ10,LE10,LZ10)-N10&gt;0.001,MAX(DC10,DX10,ES10,FN10,GI10,HD10,HY10,IT10,JO10,KJ10,LE10,LZ10)-N10,"")</f>
        <v/>
      </c>
      <c r="CK10" s="28" t="str">
        <f>IF(MAX(DE10,DZ10,EU10,FP10,GK10,HF10,IA10,IV10,JQ10,KL10,LG10,MB10)-P10&gt;0.001,MAX(DE10,DZ10,EU10,FP10,GK10,HF10,IA10,IV10,JQ10,KL10,LG10,MB10)-P10,"")</f>
        <v/>
      </c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12" t="str">
        <f>IF(SUM(CS10)&gt;0,SUM(CS10),"")</f>
        <v/>
      </c>
      <c r="DB10" s="12" t="str">
        <f>IF(SUM(CL10:CO10)-CP10&gt;0,SUM(CL10:CO10)-CP10,"")</f>
        <v/>
      </c>
      <c r="DC10" s="12" t="str">
        <f>IF(SUM(CQ10:CT10)-CU10&gt;0,SUM(CQ10:CT10)-CU10,"")</f>
        <v/>
      </c>
      <c r="DD10" s="12" t="str">
        <f>IF(SUM(DB10:DC10)&gt;0,SUM(DB10:DC10),"")</f>
        <v/>
      </c>
      <c r="DE10" s="12" t="str">
        <f>IF(SUM(CV10:CY10)-CZ10&gt;0,SUM(CV10:CY10)-CZ10,"")</f>
        <v/>
      </c>
      <c r="DF10" s="12" t="str">
        <f>IF(SUM(DD10,DE10)&gt;0,SUM(DD10,DE10),"")</f>
        <v/>
      </c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15" t="str">
        <f>IF(SUM(DN10)&gt;0,SUM(DN10),"")</f>
        <v/>
      </c>
      <c r="DW10" s="15" t="str">
        <f>IF(SUM(DG10:DJ10)-DK10&gt;0,SUM(DG10:DJ10)-DK10,"")</f>
        <v/>
      </c>
      <c r="DX10" s="15" t="str">
        <f>IF(SUM(DL10:DO10)-DP10&gt;0,SUM(DL10:DO10)-DP10,"")</f>
        <v/>
      </c>
      <c r="DY10" s="15" t="str">
        <f>IF(SUM(DW10:DX10)&gt;0,SUM(DW10:DX10),"")</f>
        <v/>
      </c>
      <c r="DZ10" s="15" t="str">
        <f>IF(SUM(DQ10:DT10)-DU10&gt;0,SUM(DQ10:DT10)-DU10,"")</f>
        <v/>
      </c>
      <c r="EA10" s="15" t="str">
        <f>IF(SUM(DY10,DZ10)&gt;0,SUM(DY10,DZ10),"")</f>
        <v/>
      </c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45"/>
      <c r="EM10" s="45"/>
      <c r="EN10" s="45"/>
      <c r="EO10" s="45"/>
      <c r="EP10" s="45"/>
      <c r="EQ10" s="12" t="str">
        <f>IF(SUM(EI10)&gt;0,SUM(EI10),"")</f>
        <v/>
      </c>
      <c r="ER10" s="12" t="str">
        <f>IF(SUM(EB10:EE10)-EF10&gt;0,SUM(EB10:EE10)-EF10,"")</f>
        <v/>
      </c>
      <c r="ES10" s="12" t="str">
        <f>IF(SUM(EG10:EJ10)-EK10&gt;0,SUM(EG10:EJ10)-EK10,"")</f>
        <v/>
      </c>
      <c r="ET10" s="12" t="str">
        <f>IF(SUM(ER10:ES10)&gt;0,SUM(ER10:ES10),"")</f>
        <v/>
      </c>
      <c r="EU10" s="12" t="str">
        <f>IF(SUM(EL10:EO10)-EP10&gt;0,SUM(EL10:EO10)-EP10,"")</f>
        <v/>
      </c>
      <c r="EV10" s="12" t="str">
        <f>IF(SUM(ET10,EU10)&gt;0,SUM(ET10,EU10),"")</f>
        <v/>
      </c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15" t="str">
        <f>IF(SUM(FD10)&gt;0,SUM(FD10),"")</f>
        <v/>
      </c>
      <c r="FM10" s="15" t="str">
        <f>IF(SUM(EW10:EZ10)-FA10&gt;0,SUM(EW10:EZ10)-FA10,"")</f>
        <v/>
      </c>
      <c r="FN10" s="15" t="str">
        <f>IF(SUM(FB10:FE10)-FF10&gt;0,SUM(FB10:FE10)-FF10,"")</f>
        <v/>
      </c>
      <c r="FO10" s="15" t="str">
        <f>IF(SUM(FM10:FN10)&gt;0,SUM(FM10:FN10),"")</f>
        <v/>
      </c>
      <c r="FP10" s="15" t="str">
        <f>IF(SUM(FG10:FJ10)-FK10&gt;0,SUM(FG10:FJ10)-FK10,"")</f>
        <v/>
      </c>
      <c r="FQ10" s="15" t="str">
        <f>IF(SUM(FO10,FP10)&gt;0,SUM(FO10,FP10),"")</f>
        <v/>
      </c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45"/>
      <c r="GC10" s="45"/>
      <c r="GD10" s="45"/>
      <c r="GE10" s="45"/>
      <c r="GF10" s="45"/>
      <c r="GG10" s="12" t="str">
        <f>IF(SUM(FY10)&gt;0,SUM(FY10),"")</f>
        <v/>
      </c>
      <c r="GH10" s="12" t="str">
        <f>IF(SUM(FR10:FU10)-FV10&gt;0,SUM(FR10:FU10)-FV10,"")</f>
        <v/>
      </c>
      <c r="GI10" s="12" t="str">
        <f>IF(SUM(FW10:FZ10)-GA10&gt;0,SUM(FW10:FZ10)-GA10,"")</f>
        <v/>
      </c>
      <c r="GJ10" s="12" t="str">
        <f>IF(SUM(GH10:GI10)&gt;0,SUM(GH10:GI10),"")</f>
        <v/>
      </c>
      <c r="GK10" s="12" t="str">
        <f>IF(SUM(GB10:GE10)-GF10&gt;0,SUM(GB10:GE10)-GF10,"")</f>
        <v/>
      </c>
      <c r="GL10" s="12" t="str">
        <f>IF(SUM(GJ10,GK10)&gt;0,SUM(GJ10,GK10),"")</f>
        <v/>
      </c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  <c r="GZ10" s="46"/>
      <c r="HA10" s="46"/>
      <c r="HB10" s="15" t="str">
        <f>IF(SUM(GT10)&gt;0,SUM(GT10),"")</f>
        <v/>
      </c>
      <c r="HC10" s="15" t="str">
        <f>IF(SUM(GM10:GP10)-GQ10&gt;0,SUM(GM10:GP10)-GQ10,"")</f>
        <v/>
      </c>
      <c r="HD10" s="15" t="str">
        <f>IF(SUM(GR10:GU10)-GV10&gt;0,SUM(GR10:GU10)-GV10,"")</f>
        <v/>
      </c>
      <c r="HE10" s="15" t="str">
        <f>IF(SUM(HC10:HD10)&gt;0,SUM(HC10:HD10),"")</f>
        <v/>
      </c>
      <c r="HF10" s="15" t="str">
        <f>IF(SUM(GW10:GZ10)-HA10&gt;0,SUM(GW10:GZ10)-HA10,"")</f>
        <v/>
      </c>
      <c r="HG10" s="15" t="str">
        <f>IF(SUM(HE10,HF10)&gt;0,SUM(HE10,HF10),"")</f>
        <v/>
      </c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45"/>
      <c r="HS10" s="45"/>
      <c r="HT10" s="45"/>
      <c r="HU10" s="45"/>
      <c r="HV10" s="45"/>
      <c r="HW10" s="12" t="str">
        <f>IF(SUM(HO10)&gt;0,SUM(HO10),"")</f>
        <v/>
      </c>
      <c r="HX10" s="12" t="str">
        <f>IF(SUM(HH10:HK10)-HL10&gt;0,SUM(HH10:HK10)-HL10,"")</f>
        <v/>
      </c>
      <c r="HY10" s="12" t="str">
        <f>IF(SUM(HM10:HP10)-HQ10&gt;0,SUM(HM10:HP10)-HQ10,"")</f>
        <v/>
      </c>
      <c r="HZ10" s="12" t="str">
        <f>IF(SUM(HX10:HY10)&gt;0,SUM(HX10:HY10),"")</f>
        <v/>
      </c>
      <c r="IA10" s="12" t="str">
        <f>IF(SUM(HR10:HU10)-HV10&gt;0,SUM(HR10:HU10)-HV10,"")</f>
        <v/>
      </c>
      <c r="IB10" s="12" t="str">
        <f>IF(SUM(HZ10,IA10)&gt;0,SUM(HZ10,IA10),"")</f>
        <v/>
      </c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46"/>
      <c r="IP10" s="46"/>
      <c r="IQ10" s="46"/>
      <c r="IR10" s="15" t="str">
        <f>IF(SUM(IJ10)&gt;0,SUM(IJ10),"")</f>
        <v/>
      </c>
      <c r="IS10" s="15" t="str">
        <f>IF(SUM(IC10:IF10)-IG10&gt;0,SUM(IC10:IF10)-IG10,"")</f>
        <v/>
      </c>
      <c r="IT10" s="15" t="str">
        <f>IF(SUM(IH10:IK10)-IL10&gt;0,SUM(IH10:IK10)-IL10,"")</f>
        <v/>
      </c>
      <c r="IU10" s="15" t="str">
        <f>IF(SUM(IS10:IT10)&gt;0,SUM(IS10:IT10),"")</f>
        <v/>
      </c>
      <c r="IV10" s="15" t="str">
        <f>IF(SUM(IM10:IP10)-IQ10&gt;0,SUM(IM10:IP10)-IQ10,"")</f>
        <v/>
      </c>
      <c r="IW10" s="15" t="str">
        <f>IF(SUM(IU10,IV10)&gt;0,SUM(IU10,IV10),"")</f>
        <v/>
      </c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45"/>
      <c r="JI10" s="45"/>
      <c r="JJ10" s="45"/>
      <c r="JK10" s="45"/>
      <c r="JL10" s="45"/>
      <c r="JM10" s="12" t="str">
        <f>IF(SUM(JE10)&gt;0,SUM(JE10),"")</f>
        <v/>
      </c>
      <c r="JN10" s="12" t="str">
        <f>IF(SUM(IX10:JA10)-JB10&gt;0,SUM(IX10:JA10)-JB10,"")</f>
        <v/>
      </c>
      <c r="JO10" s="12" t="str">
        <f>IF(SUM(JC10:JF10)-JG10&gt;0,SUM(JC10:JF10)-JG10,"")</f>
        <v/>
      </c>
      <c r="JP10" s="12" t="str">
        <f>IF(SUM(JN10:JO10)&gt;0,SUM(JN10:JO10),"")</f>
        <v/>
      </c>
      <c r="JQ10" s="12" t="str">
        <f>IF(SUM(JH10:JK10)-JL10&gt;0,SUM(JH10:JK10)-JL10,"")</f>
        <v/>
      </c>
      <c r="JR10" s="12" t="str">
        <f>IF(SUM(JP10,JQ10)&gt;0,SUM(JP10,JQ10),"")</f>
        <v/>
      </c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46"/>
      <c r="KD10" s="46"/>
      <c r="KE10" s="46"/>
      <c r="KF10" s="46"/>
      <c r="KG10" s="46"/>
      <c r="KH10" s="15" t="str">
        <f>IF(SUM(JZ10)&gt;0,SUM(JZ10),"")</f>
        <v/>
      </c>
      <c r="KI10" s="15" t="str">
        <f>IF(SUM(JS10:JV10)-JW10&gt;0,SUM(JS10:JV10)-JW10,"")</f>
        <v/>
      </c>
      <c r="KJ10" s="15" t="str">
        <f>IF(SUM(JX10:KA10)-KB10&gt;0,SUM(JX10:KA10)-KB10,"")</f>
        <v/>
      </c>
      <c r="KK10" s="15" t="str">
        <f>IF(SUM(KI10:KJ10)&gt;0,SUM(KI10:KJ10),"")</f>
        <v/>
      </c>
      <c r="KL10" s="15" t="str">
        <f>IF(SUM(KC10:KF10)-KG10&gt;0,SUM(KC10:KF10)-KG10,"")</f>
        <v/>
      </c>
      <c r="KM10" s="15" t="str">
        <f>IF(SUM(KK10,KL10)&gt;0,SUM(KK10,KL10),"")</f>
        <v/>
      </c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45"/>
      <c r="KY10" s="45"/>
      <c r="KZ10" s="45"/>
      <c r="LA10" s="45"/>
      <c r="LB10" s="45"/>
      <c r="LC10" s="12" t="str">
        <f>IF(SUM(KU10)&gt;0,SUM(KU10),"")</f>
        <v/>
      </c>
      <c r="LD10" s="12" t="str">
        <f>IF(SUM(KN10:KQ10)-KR10&gt;0,SUM(KN10:KQ10)-KR10,"")</f>
        <v/>
      </c>
      <c r="LE10" s="12" t="str">
        <f>IF(SUM(KS10:KV10)-KW10&gt;0,SUM(KS10:KV10)-KW10,"")</f>
        <v/>
      </c>
      <c r="LF10" s="12" t="str">
        <f>IF(SUM(LD10:LE10)&gt;0,SUM(LD10:LE10),"")</f>
        <v/>
      </c>
      <c r="LG10" s="12" t="str">
        <f>IF(SUM(KX10:LA10)-LB10&gt;0,SUM(KX10:LA10)-LB10,"")</f>
        <v/>
      </c>
      <c r="LH10" s="12" t="str">
        <f>IF(SUM(LF10,LG10)&gt;0,SUM(LF10,LG10),"")</f>
        <v/>
      </c>
      <c r="LI10" s="46"/>
      <c r="LJ10" s="46"/>
      <c r="LK10" s="46"/>
      <c r="LL10" s="46"/>
      <c r="LM10" s="46"/>
      <c r="LN10" s="46"/>
      <c r="LO10" s="46"/>
      <c r="LP10" s="46"/>
      <c r="LQ10" s="46"/>
      <c r="LR10" s="46"/>
      <c r="LS10" s="46"/>
      <c r="LT10" s="46"/>
      <c r="LU10" s="46"/>
      <c r="LV10" s="46"/>
      <c r="LW10" s="46"/>
      <c r="LX10" s="15" t="str">
        <f>IF(SUM(LP10)&gt;0,SUM(LP10),"")</f>
        <v/>
      </c>
      <c r="LY10" s="15" t="str">
        <f>IF(SUM(LI10:LL10)-LM10&gt;0,SUM(LI10:LL10)-LM10,"")</f>
        <v/>
      </c>
      <c r="LZ10" s="15" t="str">
        <f>IF(SUM(LN10:LQ10)-LR10&gt;0,SUM(LN10:LQ10)-LR10,"")</f>
        <v/>
      </c>
      <c r="MA10" s="15" t="str">
        <f>IF(SUM(LY10:LZ10)&gt;0,SUM(LY10:LZ10),"")</f>
        <v/>
      </c>
      <c r="MB10" s="15" t="str">
        <f>IF(SUM(LS10:LV10)-LW10&gt;0,SUM(LS10:LV10)-LW10,"")</f>
        <v/>
      </c>
      <c r="MC10" s="15" t="str">
        <f>IF(SUM(MA10,MB10)&gt;0,SUM(MA10,MB10),"")</f>
        <v/>
      </c>
    </row>
    <row r="11" spans="1:341" x14ac:dyDescent="0.2">
      <c r="A11" s="6" t="str">
        <f>IF(AND(F11="P",H11="P"),SUMPRODUCT((F$4:F$21="P")*(H$4:H$21="P")*(E$4:E$21&gt;E11))+1,IF(H11="P",SUMPRODUCT((F$4:F$21="")*(H$4:H$21="P")*(E$4:E$21&gt;E11))+1+SUMPRODUCT((F$4:F$21="P")*(H$4:H$21="P")),""))</f>
        <v/>
      </c>
      <c r="B11" s="9" t="s">
        <v>77</v>
      </c>
      <c r="C11" s="5" t="s">
        <v>4</v>
      </c>
      <c r="D11" s="8">
        <v>2002</v>
      </c>
      <c r="E11" s="16">
        <f>SUM(J11:R11)</f>
        <v>238.79000000000002</v>
      </c>
      <c r="F11" s="4" t="str">
        <f>IF(OR(AND($AK11&gt;=$AL$24,NOT($AK11=""),$AJ11=""),AND($BG11&gt;=$BH$24,NOT($BG11=""),$BF11=""),AND($CC11&gt;=$CD$24,NOT($CC11=""),$CB11="")),"P","")</f>
        <v/>
      </c>
      <c r="G11" s="4" t="str">
        <f>IF(OR(AND($AK11&gt;=$AL$25,NOT($AK11=""),$AJ11=""),AND($BG11&gt;=$BH$25,NOT($BG11=""),$BF11=""),AND($CC11&gt;=$CD$25,NOT($CC11=""),$CB11="")),"P","")</f>
        <v/>
      </c>
      <c r="H11" s="4" t="str">
        <f>IF(OR(AND($AN11&gt;=$AL$26,NOT($AN11=""),$AJ11=""),AND($BJ11&gt;=$BH$26,NOT($BJ11=""),$BF11=""),AND($CF11&gt;=$CD$26,NOT($CF11=""),$CB11="")),"P","")</f>
        <v/>
      </c>
      <c r="I11" t="str">
        <f>IF(AND(F11="P",OR(AND($AM11&gt;$AL$29,NOT($AM11=""),$AJ11=""),AND($AO11&gt;$AL$29,NOT($AO11=""),$AJ11=""),AND($BI11&gt;$BH$29,NOT($BI11=""),$BF11=""),AND($BK11&gt;$BH$29,NOT($BK11=""),$BF11=""),AND($CE11&gt;$CD$29,NOT($CE11=""),$CB11=""),AND($CG11&gt;$CD$29,NOT($CG11=""),$CB11=""))),"Merit",IF(AND(F11="P",OR(AND($AN11&gt;$AL$28,NOT($AN11=""),$AJ11=""),AND($BJ11&gt;$BH$28,NOT($BJ11=""),$BF11=""),AND($CF11&gt;$CD$28,NOT($CF11=""),$CB11=""))),"Funding",IF(AND(F11="P",OR(AND($AN11&gt;$AL$27,NOT($AN11=""),$AJ11=""),AND($BJ11&gt;$BH$27,NOT($BJ11=""),$BF11=""),AND($CF11&gt;$CD$27,NOT($CF11=""),$CB11=""))),"Worlds Team",IF(AND(F11="P",OR(AND($AN11&gt;$AL$26,NOT($AN11=""),$AJ11=""),AND($BJ11&gt;$BH$26,NOT($BJ11=""),$BF11=""),AND($CF11&gt;$CD$26,NOT($CF11=""),$CB11=""))),"National Team",""))))</f>
        <v/>
      </c>
      <c r="J11" s="15">
        <f>MAX(AN11,BJ11,CF11)</f>
        <v>90.53</v>
      </c>
      <c r="K11" s="15" t="str">
        <f>IF(J11=CF11,$BM$1,IF(J11=BJ11,$AQ$1,IF(J11=AN11,$U$1,"")))</f>
        <v>2017 Nationals</v>
      </c>
      <c r="L11" s="15">
        <f>IF($J11=$AN11,MAX(BH11,CD11),IF($J11=$BJ11,MAX(AL11,CD11),MAX(AL11,BH11)))</f>
        <v>44.195</v>
      </c>
      <c r="M11" s="15" t="str">
        <f>IF(AND(L11=CD11,$K11&lt;&gt;$BM$1),$BM$1,IF(AND(L11=BH11,$K11&lt;&gt;$AQ$1),$AQ$1,IF(AND(L11=AL11,$K11&lt;&gt;$U$1),$U$1,"")))</f>
        <v>2018 Nationals</v>
      </c>
      <c r="N11" s="15">
        <f>IF($J11=$AN11,MAX(BI11,CE11),IF($J11=$BJ11,MAX(AM11,CE11),MAX(AM11,BI11)))</f>
        <v>50.555</v>
      </c>
      <c r="O11" s="15" t="str">
        <f>IF(AND(N11=CE11,$K11&lt;&gt;$BM$1),$BM$1,IF(AND(N11=BI11,$K11&lt;&gt;$AQ$1),$AQ$1,IF(AND(N11=AM11,$K11&lt;&gt;$U$1),$U$1,"")))</f>
        <v>2018 Canada Cup</v>
      </c>
      <c r="P11" s="15">
        <f>MAX(AO11,BK11,CG11)</f>
        <v>53.510000000000005</v>
      </c>
      <c r="Q11" s="15" t="str">
        <f>IF(P11=CG11,$BM$1,IF(P11=BK11,$AQ$1,IF(P11=AO11,$U$1,"")))</f>
        <v>2018 Canada Cup</v>
      </c>
      <c r="R11" s="15" t="str">
        <f>IF(MAX(CI11,CJ11,CK11)&gt;0,MAX(CI11,CJ11,CK11),"")</f>
        <v/>
      </c>
      <c r="S11" s="29" t="str">
        <f>IF(R11="","",IF(R11=CI11,"(Vol 1)",IF(R11=CJ11,"(Vol 2)",IF(R11=CK11,"(Final)"))))</f>
        <v/>
      </c>
      <c r="T11" s="15" t="str">
        <f>IF(R11="","",IF(R11=CI11,IF(R11+L11=LY11,$LI$1,IF(R11+L11=LD11,$KN$1,IF(R11+L11=KI11,$JS$1,IF(R11+L11=JN11,$IX$1,IF(R11+L11=IS11,$IC$1,IF(R11+L11=HX11,$HH$1,IF(R11+L11=HC11,$GM$1,IF(R11+L11=GH11,$FR$1,IF(R11+L11=FM11,$EW$1,IF(R11+L11=ER11,$EB$1,IF(R11+L11=DW11,$DG$1,IF(R11+L11=DB11,$CL$1)))))))))))),IF(R11=CJ11,IF(R11+N11=LZ11,$LI$1,IF(R11+N11=LE11,$KN$1,IF(R11+N11=KJ11,$JS$1,IF(R11+N11=JO11,$IX$1,IF(R11+N11=IT11,$IC$1,IF(R11+N11=HY11,$HH$1,IF(R11+N11=HD11,$GM$1,IF(R11+N11=GI11,$FR$1,IF(R11+N11=FN11,$EW$1,IF(R11+N11=ES11,$EB$1,IF(R11+N11=DX11,$DG$1,IF(R11+N11=DC11,$CL$1)))))))))))),IF(R11=CK11,IF(R11+P11=MB11,$LI$1,IF(R11+P11=LG11,$KN$1,IF(R11+P11=KL11,$JS$1,IF(R11+P11=JQ11,$IX$1,IF(R11+P11=IV11,$IC$1,IF(R11+P11=IA11,$HH$1,IF(R11+P11=HF11,$GM$1,IF(R11+P11=GK11,$FR$1,IF(R11+P11=FP11,$EW$1,IF(R11+P11=EU11,$EB$1,IF(R11+P11=DZ11,$DG$1,IF(R11+P11=DE11,$CL$1))))))))))))))))</f>
        <v/>
      </c>
      <c r="U11" s="76">
        <v>16</v>
      </c>
      <c r="V11" s="76">
        <v>8.8000000000000007</v>
      </c>
      <c r="W11" s="76">
        <v>3.6</v>
      </c>
      <c r="X11" s="76">
        <v>14.59</v>
      </c>
      <c r="Y11" s="76">
        <v>0</v>
      </c>
      <c r="Z11" s="76">
        <v>13.5</v>
      </c>
      <c r="AA11" s="76">
        <v>9</v>
      </c>
      <c r="AB11" s="76">
        <v>10.5</v>
      </c>
      <c r="AC11" s="76">
        <v>14.54</v>
      </c>
      <c r="AD11" s="76">
        <v>0</v>
      </c>
      <c r="AE11" s="76">
        <v>15.2</v>
      </c>
      <c r="AF11" s="76">
        <v>9.4</v>
      </c>
      <c r="AG11" s="76">
        <v>10.9</v>
      </c>
      <c r="AH11" s="76">
        <v>14.845000000000001</v>
      </c>
      <c r="AI11" s="76">
        <v>0</v>
      </c>
      <c r="AJ11" s="101"/>
      <c r="AK11" s="12">
        <f>IF(SUM(AB11)&gt;0,SUM(AB11),"")</f>
        <v>10.5</v>
      </c>
      <c r="AL11" s="12">
        <f>IF(SUM(U11:X11)-Y11&gt;0,SUM(U11:X11)-Y11,"")</f>
        <v>42.99</v>
      </c>
      <c r="AM11" s="12">
        <f>IF(SUM(Z11:AC11)-AD11&gt;0,SUM(Z11:AC11)-AD11,"")</f>
        <v>47.54</v>
      </c>
      <c r="AN11" s="12">
        <f>IF(SUM(AL11:AM11)&gt;0,SUM(AL11:AM11),"")</f>
        <v>90.53</v>
      </c>
      <c r="AO11" s="12">
        <f>IF(SUM(AE11:AH11)-AI11&gt;0,SUM(AE11:AH11)-AI11,"")</f>
        <v>50.344999999999999</v>
      </c>
      <c r="AP11" s="12">
        <f>IF(SUM(AN11,AO11)&gt;0,SUM(AN11,AO11),"")</f>
        <v>140.875</v>
      </c>
      <c r="AQ11" s="80">
        <v>8.1</v>
      </c>
      <c r="AR11" s="80">
        <v>4.5999999999999996</v>
      </c>
      <c r="AS11" s="80">
        <v>2.2999999999999998</v>
      </c>
      <c r="AT11" s="80">
        <v>8.3149999999999995</v>
      </c>
      <c r="AU11" s="80">
        <v>0</v>
      </c>
      <c r="AV11" s="80">
        <v>13.4</v>
      </c>
      <c r="AW11" s="80">
        <v>8.6999999999999993</v>
      </c>
      <c r="AX11" s="80">
        <v>12.9</v>
      </c>
      <c r="AY11" s="80">
        <v>15.555</v>
      </c>
      <c r="AZ11" s="80">
        <v>0</v>
      </c>
      <c r="BA11" s="80">
        <v>16</v>
      </c>
      <c r="BB11" s="80">
        <v>8.8000000000000007</v>
      </c>
      <c r="BC11" s="80">
        <v>12.7</v>
      </c>
      <c r="BD11" s="80">
        <v>16.010000000000002</v>
      </c>
      <c r="BE11" s="80">
        <v>0</v>
      </c>
      <c r="BF11" s="105"/>
      <c r="BG11" s="15">
        <f>IF(SUM(AX11)&gt;0,SUM(AX11),"")</f>
        <v>12.9</v>
      </c>
      <c r="BH11" s="15">
        <f>IF(SUM(AQ11:AT11)-AU11&gt;0,SUM(AQ11:AT11)-AU11,"")</f>
        <v>23.314999999999998</v>
      </c>
      <c r="BI11" s="15">
        <f>IF(SUM(AV11:AY11)-AZ11&gt;0,SUM(AV11:AY11)-AZ11,"")</f>
        <v>50.555</v>
      </c>
      <c r="BJ11" s="15">
        <f>IF(SUM(BH11:BI11)&gt;0,SUM(BH11:BI11),"")</f>
        <v>73.87</v>
      </c>
      <c r="BK11" s="15">
        <f>IF(SUM(BA11:BD11)-BE11&gt;0,SUM(BA11:BD11)-BE11,"")</f>
        <v>53.510000000000005</v>
      </c>
      <c r="BL11" s="15">
        <f>IF(SUM(BJ11,BK11)&gt;0,SUM(BJ11,BK11),"")</f>
        <v>127.38000000000001</v>
      </c>
      <c r="BM11" s="76">
        <v>14.5</v>
      </c>
      <c r="BN11" s="76">
        <v>9.3000000000000007</v>
      </c>
      <c r="BO11" s="76">
        <v>5.6</v>
      </c>
      <c r="BP11" s="76">
        <v>14.795</v>
      </c>
      <c r="BQ11" s="76">
        <v>0</v>
      </c>
      <c r="BR11" s="76">
        <v>8.6</v>
      </c>
      <c r="BS11" s="76">
        <v>5.45</v>
      </c>
      <c r="BT11" s="76">
        <v>7.9</v>
      </c>
      <c r="BU11" s="76">
        <v>8.7899999999999991</v>
      </c>
      <c r="BV11" s="76">
        <v>0</v>
      </c>
      <c r="BW11" s="76"/>
      <c r="BX11" s="76"/>
      <c r="BY11" s="76"/>
      <c r="BZ11" s="76"/>
      <c r="CA11" s="76"/>
      <c r="CB11" s="101"/>
      <c r="CC11" s="12">
        <f>IF(SUM(BT11)&gt;0,SUM(BT11),"")</f>
        <v>7.9</v>
      </c>
      <c r="CD11" s="12">
        <f>IF(SUM(BM11:BP11)-BQ11&gt;0,SUM(BM11:BP11)-BQ11,"")</f>
        <v>44.195</v>
      </c>
      <c r="CE11" s="12">
        <f>IF(SUM(BR11:BU11)-BV11&gt;0,SUM(BR11:BU11)-BV11,"")</f>
        <v>30.740000000000002</v>
      </c>
      <c r="CF11" s="12">
        <f>IF(SUM(CD11:CE11)&gt;0,SUM(CD11:CE11),"")</f>
        <v>74.935000000000002</v>
      </c>
      <c r="CG11" s="12" t="str">
        <f>IF(SUM(BW11:BZ11)-CA11&gt;0,SUM(BW11:BZ11)-CA11,"")</f>
        <v/>
      </c>
      <c r="CH11" s="12">
        <f>IF(SUM(CF11,CG11)&gt;0,SUM(CF11,CG11),"")</f>
        <v>74.935000000000002</v>
      </c>
      <c r="CI11" s="28" t="str">
        <f>IF(MAX(DB11,DW11,ER11,FM11,GH11,HC11,HX11,IS11,JN11,KI11,LD11,LY11)-L11&gt;0.001,MAX(DB11,DW11,ER11,FM11,GH11,HC11,HX11,IS11,JN11,KI11,LD11,LY11)-L11,"")</f>
        <v/>
      </c>
      <c r="CJ11" s="28" t="str">
        <f>IF(MAX(DC11,DX11,ES11,FN11,GI11,HD11,HY11,IT11,JO11,KJ11,LE11,LZ11)-N11&gt;0.001,MAX(DC11,DX11,ES11,FN11,GI11,HD11,HY11,IT11,JO11,KJ11,LE11,LZ11)-N11,"")</f>
        <v/>
      </c>
      <c r="CK11" s="28" t="str">
        <f>IF(MAX(DE11,DZ11,EU11,FP11,GK11,HF11,IA11,IV11,JQ11,KL11,LG11,MB11)-P11&gt;0.001,MAX(DE11,DZ11,EU11,FP11,GK11,HF11,IA11,IV11,JQ11,KL11,LG11,MB11)-P11,"")</f>
        <v/>
      </c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  <c r="CX11" s="45"/>
      <c r="CY11" s="45"/>
      <c r="CZ11" s="45"/>
      <c r="DA11" s="12" t="str">
        <f>IF(SUM(CS11)&gt;0,SUM(CS11),"")</f>
        <v/>
      </c>
      <c r="DB11" s="12" t="str">
        <f>IF(SUM(CL11:CO11)-CP11&gt;0,SUM(CL11:CO11)-CP11,"")</f>
        <v/>
      </c>
      <c r="DC11" s="12" t="str">
        <f>IF(SUM(CQ11:CT11)-CU11&gt;0,SUM(CQ11:CT11)-CU11,"")</f>
        <v/>
      </c>
      <c r="DD11" s="12" t="str">
        <f>IF(SUM(DB11:DC11)&gt;0,SUM(DB11:DC11),"")</f>
        <v/>
      </c>
      <c r="DE11" s="12" t="str">
        <f>IF(SUM(CV11:CY11)-CZ11&gt;0,SUM(CV11:CY11)-CZ11,"")</f>
        <v/>
      </c>
      <c r="DF11" s="12" t="str">
        <f>IF(SUM(DD11,DE11)&gt;0,SUM(DD11,DE11),"")</f>
        <v/>
      </c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15" t="str">
        <f>IF(SUM(DN11)&gt;0,SUM(DN11),"")</f>
        <v/>
      </c>
      <c r="DW11" s="15" t="str">
        <f>IF(SUM(DG11:DJ11)-DK11&gt;0,SUM(DG11:DJ11)-DK11,"")</f>
        <v/>
      </c>
      <c r="DX11" s="15" t="str">
        <f>IF(SUM(DL11:DO11)-DP11&gt;0,SUM(DL11:DO11)-DP11,"")</f>
        <v/>
      </c>
      <c r="DY11" s="15" t="str">
        <f>IF(SUM(DW11:DX11)&gt;0,SUM(DW11:DX11),"")</f>
        <v/>
      </c>
      <c r="DZ11" s="15" t="str">
        <f>IF(SUM(DQ11:DT11)-DU11&gt;0,SUM(DQ11:DT11)-DU11,"")</f>
        <v/>
      </c>
      <c r="EA11" s="15" t="str">
        <f>IF(SUM(DY11,DZ11)&gt;0,SUM(DY11,DZ11),"")</f>
        <v/>
      </c>
      <c r="EB11" s="45">
        <v>15.1</v>
      </c>
      <c r="EC11" s="45">
        <v>8.5500000000000007</v>
      </c>
      <c r="ED11" s="45">
        <v>0</v>
      </c>
      <c r="EE11" s="45">
        <v>15.52</v>
      </c>
      <c r="EF11" s="45">
        <v>0</v>
      </c>
      <c r="EG11" s="45">
        <v>12</v>
      </c>
      <c r="EH11" s="45">
        <v>7.1</v>
      </c>
      <c r="EI11" s="45">
        <v>10.199999999999999</v>
      </c>
      <c r="EJ11" s="45">
        <v>12.095000000000001</v>
      </c>
      <c r="EK11" s="45">
        <v>0</v>
      </c>
      <c r="EL11" s="45"/>
      <c r="EM11" s="45"/>
      <c r="EN11" s="45"/>
      <c r="EO11" s="45"/>
      <c r="EP11" s="45"/>
      <c r="EQ11" s="12">
        <f>IF(SUM(EI11)&gt;0,SUM(EI11),"")</f>
        <v>10.199999999999999</v>
      </c>
      <c r="ER11" s="12">
        <f>IF(SUM(EB11:EE11)-EF11&gt;0,SUM(EB11:EE11)-EF11,"")</f>
        <v>39.17</v>
      </c>
      <c r="ES11" s="12">
        <f>IF(SUM(EG11:EJ11)-EK11&gt;0,SUM(EG11:EJ11)-EK11,"")</f>
        <v>41.395000000000003</v>
      </c>
      <c r="ET11" s="12">
        <f>IF(SUM(ER11:ES11)&gt;0,SUM(ER11:ES11),"")</f>
        <v>80.564999999999998</v>
      </c>
      <c r="EU11" s="12" t="str">
        <f>IF(SUM(EL11:EO11)-EP11&gt;0,SUM(EL11:EO11)-EP11,"")</f>
        <v/>
      </c>
      <c r="EV11" s="12">
        <f>IF(SUM(ET11,EU11)&gt;0,SUM(ET11,EU11),"")</f>
        <v>80.564999999999998</v>
      </c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15" t="str">
        <f>IF(SUM(FD11)&gt;0,SUM(FD11),"")</f>
        <v/>
      </c>
      <c r="FM11" s="15" t="str">
        <f>IF(SUM(EW11:EZ11)-FA11&gt;0,SUM(EW11:EZ11)-FA11,"")</f>
        <v/>
      </c>
      <c r="FN11" s="15" t="str">
        <f>IF(SUM(FB11:FE11)-FF11&gt;0,SUM(FB11:FE11)-FF11,"")</f>
        <v/>
      </c>
      <c r="FO11" s="15" t="str">
        <f>IF(SUM(FM11:FN11)&gt;0,SUM(FM11:FN11),"")</f>
        <v/>
      </c>
      <c r="FP11" s="15" t="str">
        <f>IF(SUM(FG11:FJ11)-FK11&gt;0,SUM(FG11:FJ11)-FK11,"")</f>
        <v/>
      </c>
      <c r="FQ11" s="15" t="str">
        <f>IF(SUM(FO11,FP11)&gt;0,SUM(FO11,FP11),"")</f>
        <v/>
      </c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45"/>
      <c r="GC11" s="45"/>
      <c r="GD11" s="45"/>
      <c r="GE11" s="45"/>
      <c r="GF11" s="45"/>
      <c r="GG11" s="12" t="str">
        <f>IF(SUM(FY11)&gt;0,SUM(FY11),"")</f>
        <v/>
      </c>
      <c r="GH11" s="12" t="str">
        <f>IF(SUM(FR11:FU11)-FV11&gt;0,SUM(FR11:FU11)-FV11,"")</f>
        <v/>
      </c>
      <c r="GI11" s="12" t="str">
        <f>IF(SUM(FW11:FZ11)-GA11&gt;0,SUM(FW11:FZ11)-GA11,"")</f>
        <v/>
      </c>
      <c r="GJ11" s="12" t="str">
        <f>IF(SUM(GH11:GI11)&gt;0,SUM(GH11:GI11),"")</f>
        <v/>
      </c>
      <c r="GK11" s="12" t="str">
        <f>IF(SUM(GB11:GE11)-GF11&gt;0,SUM(GB11:GE11)-GF11,"")</f>
        <v/>
      </c>
      <c r="GL11" s="12" t="str">
        <f>IF(SUM(GJ11,GK11)&gt;0,SUM(GJ11,GK11),"")</f>
        <v/>
      </c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15" t="str">
        <f>IF(SUM(GT11)&gt;0,SUM(GT11),"")</f>
        <v/>
      </c>
      <c r="HC11" s="15" t="str">
        <f>IF(SUM(GM11:GP11)-GQ11&gt;0,SUM(GM11:GP11)-GQ11,"")</f>
        <v/>
      </c>
      <c r="HD11" s="15" t="str">
        <f>IF(SUM(GR11:GU11)-GV11&gt;0,SUM(GR11:GU11)-GV11,"")</f>
        <v/>
      </c>
      <c r="HE11" s="15" t="str">
        <f>IF(SUM(HC11:HD11)&gt;0,SUM(HC11:HD11),"")</f>
        <v/>
      </c>
      <c r="HF11" s="15" t="str">
        <f>IF(SUM(GW11:GZ11)-HA11&gt;0,SUM(GW11:GZ11)-HA11,"")</f>
        <v/>
      </c>
      <c r="HG11" s="15" t="str">
        <f>IF(SUM(HE11,HF11)&gt;0,SUM(HE11,HF11),"")</f>
        <v/>
      </c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45"/>
      <c r="HS11" s="45"/>
      <c r="HT11" s="45"/>
      <c r="HU11" s="45"/>
      <c r="HV11" s="45"/>
      <c r="HW11" s="12" t="str">
        <f>IF(SUM(HO11)&gt;0,SUM(HO11),"")</f>
        <v/>
      </c>
      <c r="HX11" s="12" t="str">
        <f>IF(SUM(HH11:HK11)-HL11&gt;0,SUM(HH11:HK11)-HL11,"")</f>
        <v/>
      </c>
      <c r="HY11" s="12" t="str">
        <f>IF(SUM(HM11:HP11)-HQ11&gt;0,SUM(HM11:HP11)-HQ11,"")</f>
        <v/>
      </c>
      <c r="HZ11" s="12" t="str">
        <f>IF(SUM(HX11:HY11)&gt;0,SUM(HX11:HY11),"")</f>
        <v/>
      </c>
      <c r="IA11" s="12" t="str">
        <f>IF(SUM(HR11:HU11)-HV11&gt;0,SUM(HR11:HU11)-HV11,"")</f>
        <v/>
      </c>
      <c r="IB11" s="12" t="str">
        <f>IF(SUM(HZ11,IA11)&gt;0,SUM(HZ11,IA11),"")</f>
        <v/>
      </c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15" t="str">
        <f>IF(SUM(IJ11)&gt;0,SUM(IJ11),"")</f>
        <v/>
      </c>
      <c r="IS11" s="15" t="str">
        <f>IF(SUM(IC11:IF11)-IG11&gt;0,SUM(IC11:IF11)-IG11,"")</f>
        <v/>
      </c>
      <c r="IT11" s="15" t="str">
        <f>IF(SUM(IH11:IK11)-IL11&gt;0,SUM(IH11:IK11)-IL11,"")</f>
        <v/>
      </c>
      <c r="IU11" s="15" t="str">
        <f>IF(SUM(IS11:IT11)&gt;0,SUM(IS11:IT11),"")</f>
        <v/>
      </c>
      <c r="IV11" s="15" t="str">
        <f>IF(SUM(IM11:IP11)-IQ11&gt;0,SUM(IM11:IP11)-IQ11,"")</f>
        <v/>
      </c>
      <c r="IW11" s="15" t="str">
        <f>IF(SUM(IU11,IV11)&gt;0,SUM(IU11,IV11),"")</f>
        <v/>
      </c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45"/>
      <c r="JI11" s="45"/>
      <c r="JJ11" s="45"/>
      <c r="JK11" s="45"/>
      <c r="JL11" s="45"/>
      <c r="JM11" s="12" t="str">
        <f>IF(SUM(JE11)&gt;0,SUM(JE11),"")</f>
        <v/>
      </c>
      <c r="JN11" s="12" t="str">
        <f>IF(SUM(IX11:JA11)-JB11&gt;0,SUM(IX11:JA11)-JB11,"")</f>
        <v/>
      </c>
      <c r="JO11" s="12" t="str">
        <f>IF(SUM(JC11:JF11)-JG11&gt;0,SUM(JC11:JF11)-JG11,"")</f>
        <v/>
      </c>
      <c r="JP11" s="12" t="str">
        <f>IF(SUM(JN11:JO11)&gt;0,SUM(JN11:JO11),"")</f>
        <v/>
      </c>
      <c r="JQ11" s="12" t="str">
        <f>IF(SUM(JH11:JK11)-JL11&gt;0,SUM(JH11:JK11)-JL11,"")</f>
        <v/>
      </c>
      <c r="JR11" s="12" t="str">
        <f>IF(SUM(JP11,JQ11)&gt;0,SUM(JP11,JQ11),"")</f>
        <v/>
      </c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46"/>
      <c r="KD11" s="46"/>
      <c r="KE11" s="46"/>
      <c r="KF11" s="46"/>
      <c r="KG11" s="46"/>
      <c r="KH11" s="15" t="str">
        <f>IF(SUM(JZ11)&gt;0,SUM(JZ11),"")</f>
        <v/>
      </c>
      <c r="KI11" s="15" t="str">
        <f>IF(SUM(JS11:JV11)-JW11&gt;0,SUM(JS11:JV11)-JW11,"")</f>
        <v/>
      </c>
      <c r="KJ11" s="15" t="str">
        <f>IF(SUM(JX11:KA11)-KB11&gt;0,SUM(JX11:KA11)-KB11,"")</f>
        <v/>
      </c>
      <c r="KK11" s="15" t="str">
        <f>IF(SUM(KI11:KJ11)&gt;0,SUM(KI11:KJ11),"")</f>
        <v/>
      </c>
      <c r="KL11" s="15" t="str">
        <f>IF(SUM(KC11:KF11)-KG11&gt;0,SUM(KC11:KF11)-KG11,"")</f>
        <v/>
      </c>
      <c r="KM11" s="15" t="str">
        <f>IF(SUM(KK11,KL11)&gt;0,SUM(KK11,KL11),"")</f>
        <v/>
      </c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45"/>
      <c r="KY11" s="45"/>
      <c r="KZ11" s="45"/>
      <c r="LA11" s="45"/>
      <c r="LB11" s="45"/>
      <c r="LC11" s="12" t="str">
        <f>IF(SUM(KU11)&gt;0,SUM(KU11),"")</f>
        <v/>
      </c>
      <c r="LD11" s="12" t="str">
        <f>IF(SUM(KN11:KQ11)-KR11&gt;0,SUM(KN11:KQ11)-KR11,"")</f>
        <v/>
      </c>
      <c r="LE11" s="12" t="str">
        <f>IF(SUM(KS11:KV11)-KW11&gt;0,SUM(KS11:KV11)-KW11,"")</f>
        <v/>
      </c>
      <c r="LF11" s="12" t="str">
        <f>IF(SUM(LD11:LE11)&gt;0,SUM(LD11:LE11),"")</f>
        <v/>
      </c>
      <c r="LG11" s="12" t="str">
        <f>IF(SUM(KX11:LA11)-LB11&gt;0,SUM(KX11:LA11)-LB11,"")</f>
        <v/>
      </c>
      <c r="LH11" s="12" t="str">
        <f>IF(SUM(LF11,LG11)&gt;0,SUM(LF11,LG11),"")</f>
        <v/>
      </c>
      <c r="LI11" s="46"/>
      <c r="LJ11" s="46"/>
      <c r="LK11" s="46"/>
      <c r="LL11" s="46"/>
      <c r="LM11" s="46"/>
      <c r="LN11" s="46"/>
      <c r="LO11" s="46"/>
      <c r="LP11" s="46"/>
      <c r="LQ11" s="46"/>
      <c r="LR11" s="46"/>
      <c r="LS11" s="46"/>
      <c r="LT11" s="46"/>
      <c r="LU11" s="46"/>
      <c r="LV11" s="46"/>
      <c r="LW11" s="46"/>
      <c r="LX11" s="15" t="str">
        <f>IF(SUM(LP11)&gt;0,SUM(LP11),"")</f>
        <v/>
      </c>
      <c r="LY11" s="15" t="str">
        <f>IF(SUM(LI11:LL11)-LM11&gt;0,SUM(LI11:LL11)-LM11,"")</f>
        <v/>
      </c>
      <c r="LZ11" s="15" t="str">
        <f>IF(SUM(LN11:LQ11)-LR11&gt;0,SUM(LN11:LQ11)-LR11,"")</f>
        <v/>
      </c>
      <c r="MA11" s="15" t="str">
        <f>IF(SUM(LY11:LZ11)&gt;0,SUM(LY11:LZ11),"")</f>
        <v/>
      </c>
      <c r="MB11" s="15" t="str">
        <f>IF(SUM(LS11:LV11)-LW11&gt;0,SUM(LS11:LV11)-LW11,"")</f>
        <v/>
      </c>
      <c r="MC11" s="15" t="str">
        <f>IF(SUM(MA11,MB11)&gt;0,SUM(MA11,MB11),"")</f>
        <v/>
      </c>
    </row>
    <row r="12" spans="1:341" x14ac:dyDescent="0.2">
      <c r="A12" s="6" t="str">
        <f>IF(AND(F12="P",H12="P"),SUMPRODUCT((F$4:F$21="P")*(H$4:H$21="P")*(E$4:E$21&gt;E12))+1,IF(H12="P",SUMPRODUCT((F$4:F$21="")*(H$4:H$21="P")*(E$4:E$21&gt;E12))+1+SUMPRODUCT((F$4:F$21="P")*(H$4:H$21="P")),""))</f>
        <v/>
      </c>
      <c r="B12" s="9" t="s">
        <v>79</v>
      </c>
      <c r="C12" s="5" t="s">
        <v>5</v>
      </c>
      <c r="D12" s="31">
        <v>2001</v>
      </c>
      <c r="E12" s="16">
        <f>SUM(J12:R12)</f>
        <v>235.435</v>
      </c>
      <c r="F12" s="4" t="str">
        <f>IF(OR(AND($AK12&gt;=$AL$24,NOT($AK12=""),$AJ12=""),AND($BG12&gt;=$BH$24,NOT($BG12=""),$BF12=""),AND($CC12&gt;=$CD$24,NOT($CC12=""),$CB12="")),"P","")</f>
        <v/>
      </c>
      <c r="G12" s="4" t="str">
        <f>IF(OR(AND($AK12&gt;=$AL$25,NOT($AK12=""),$AJ12=""),AND($BG12&gt;=$BH$25,NOT($BG12=""),$BF12=""),AND($CC12&gt;=$CD$25,NOT($CC12=""),$CB12="")),"P","")</f>
        <v/>
      </c>
      <c r="H12" s="4" t="str">
        <f>IF(OR(AND($AN12&gt;=$AL$26,NOT($AN12=""),$AJ12=""),AND($BJ12&gt;=$BH$26,NOT($BJ12=""),$BF12=""),AND($CF12&gt;=$CD$26,NOT($CF12=""),$CB12="")),"P","")</f>
        <v/>
      </c>
      <c r="I12" t="str">
        <f>IF(AND(F12="P",OR(AND($AM12&gt;$AL$29,NOT($AM12=""),$AJ12=""),AND($AO12&gt;$AL$29,NOT($AO12=""),$AJ12=""),AND($BI12&gt;$BH$29,NOT($BI12=""),$BF12=""),AND($BK12&gt;$BH$29,NOT($BK12=""),$BF12=""),AND($CE12&gt;$CD$29,NOT($CE12=""),$CB12=""),AND($CG12&gt;$CD$29,NOT($CG12=""),$CB12=""))),"Merit",IF(AND(F12="P",OR(AND($AN12&gt;$AL$28,NOT($AN12=""),$AJ12=""),AND($BJ12&gt;$BH$28,NOT($BJ12=""),$BF12=""),AND($CF12&gt;$CD$28,NOT($CF12=""),$CB12=""))),"Funding",IF(AND(F12="P",OR(AND($AN12&gt;$AL$27,NOT($AN12=""),$AJ12=""),AND($BJ12&gt;$BH$27,NOT($BJ12=""),$BF12=""),AND($CF12&gt;$CD$27,NOT($CF12=""),$CB12=""))),"Worlds Team",IF(AND(F12="P",OR(AND($AN12&gt;$AL$26,NOT($AN12=""),$AJ12=""),AND($BJ12&gt;$BH$26,NOT($BJ12=""),$BF12=""),AND($CF12&gt;$CD$26,NOT($CF12=""),$CB12=""))),"National Team",""))))</f>
        <v/>
      </c>
      <c r="J12" s="15">
        <f>MAX(AN12,BJ12,CF12)</f>
        <v>95.24</v>
      </c>
      <c r="K12" s="15" t="str">
        <f>IF(J12=CF12,$BM$1,IF(J12=BJ12,$AQ$1,IF(J12=AN12,$U$1,"")))</f>
        <v>2017 Nationals</v>
      </c>
      <c r="L12" s="15">
        <f>IF($J12=$AN12,MAX(BH12,CD12),IF($J12=$BJ12,MAX(AL12,CD12),MAX(AL12,BH12)))</f>
        <v>40.084999999999994</v>
      </c>
      <c r="M12" s="15" t="str">
        <f>IF(AND(L12=CD12,$K12&lt;&gt;$BM$1),$BM$1,IF(AND(L12=BH12,$K12&lt;&gt;$AQ$1),$AQ$1,IF(AND(L12=AL12,$K12&lt;&gt;$U$1),$U$1,"")))</f>
        <v>2018 Canada Cup</v>
      </c>
      <c r="N12" s="15">
        <f>IF($J12=$AN12,MAX(BI12,CE12),IF($J12=$BJ12,MAX(AM12,CE12),MAX(AM12,BI12)))</f>
        <v>47.91</v>
      </c>
      <c r="O12" s="15" t="str">
        <f>IF(AND(N12=CE12,$K12&lt;&gt;$BM$1),$BM$1,IF(AND(N12=BI12,$K12&lt;&gt;$AQ$1),$AQ$1,IF(AND(N12=AM12,$K12&lt;&gt;$U$1),$U$1,"")))</f>
        <v>2018 Canada Cup</v>
      </c>
      <c r="P12" s="15">
        <f>MAX(AO12,BK12,CG12)</f>
        <v>52.2</v>
      </c>
      <c r="Q12" s="15" t="str">
        <f>IF(P12=CG12,$BM$1,IF(P12=BK12,$AQ$1,IF(P12=AO12,$U$1,"")))</f>
        <v>2018 Canada Cup</v>
      </c>
      <c r="R12" s="15" t="str">
        <f>IF(MAX(CI12,CJ12,CK12)&gt;0,MAX(CI12,CJ12,CK12),"")</f>
        <v/>
      </c>
      <c r="S12" s="29" t="str">
        <f>IF(R12="","",IF(R12=CI12,"(Vol 1)",IF(R12=CJ12,"(Vol 2)",IF(R12=CK12,"(Final)"))))</f>
        <v/>
      </c>
      <c r="T12" s="15" t="str">
        <f>IF(R12="","",IF(R12=CI12,IF(R12+L12=LY12,$LI$1,IF(R12+L12=LD12,$KN$1,IF(R12+L12=KI12,$JS$1,IF(R12+L12=JN12,$IX$1,IF(R12+L12=IS12,$IC$1,IF(R12+L12=HX12,$HH$1,IF(R12+L12=HC12,$GM$1,IF(R12+L12=GH12,$FR$1,IF(R12+L12=FM12,$EW$1,IF(R12+L12=ER12,$EB$1,IF(R12+L12=DW12,$DG$1,IF(R12+L12=DB12,$CL$1)))))))))))),IF(R12=CJ12,IF(R12+N12=LZ12,$LI$1,IF(R12+N12=LE12,$KN$1,IF(R12+N12=KJ12,$JS$1,IF(R12+N12=JO12,$IX$1,IF(R12+N12=IT12,$IC$1,IF(R12+N12=HY12,$HH$1,IF(R12+N12=HD12,$GM$1,IF(R12+N12=GI12,$FR$1,IF(R12+N12=FN12,$EW$1,IF(R12+N12=ES12,$EB$1,IF(R12+N12=DX12,$DG$1,IF(R12+N12=DC12,$CL$1)))))))))))),IF(R12=CK12,IF(R12+P12=MB12,$LI$1,IF(R12+P12=LG12,$KN$1,IF(R12+P12=KL12,$JS$1,IF(R12+P12=JQ12,$IX$1,IF(R12+P12=IV12,$IC$1,IF(R12+P12=IA12,$HH$1,IF(R12+P12=HF12,$GM$1,IF(R12+P12=GK12,$FR$1,IF(R12+P12=FP12,$EW$1,IF(R12+P12=EU12,$EB$1,IF(R12+P12=DZ12,$DG$1,IF(R12+P12=DE12,$CL$1))))))))))))))))</f>
        <v/>
      </c>
      <c r="U12" s="76">
        <v>15.1</v>
      </c>
      <c r="V12" s="76">
        <v>9.3000000000000007</v>
      </c>
      <c r="W12" s="76">
        <v>4.0999999999999996</v>
      </c>
      <c r="X12" s="76">
        <v>14.94</v>
      </c>
      <c r="Y12" s="76">
        <v>0</v>
      </c>
      <c r="Z12" s="76">
        <v>15.6</v>
      </c>
      <c r="AA12" s="76">
        <v>9.5</v>
      </c>
      <c r="AB12" s="76">
        <v>11.7</v>
      </c>
      <c r="AC12" s="76">
        <v>15</v>
      </c>
      <c r="AD12" s="76">
        <v>0</v>
      </c>
      <c r="AE12" s="76">
        <v>15.2</v>
      </c>
      <c r="AF12" s="76">
        <v>9.3000000000000007</v>
      </c>
      <c r="AG12" s="76">
        <v>11.7</v>
      </c>
      <c r="AH12" s="76">
        <v>14.78</v>
      </c>
      <c r="AI12" s="76"/>
      <c r="AJ12" s="101"/>
      <c r="AK12" s="12">
        <f>IF(SUM(AB12)&gt;0,SUM(AB12),"")</f>
        <v>11.7</v>
      </c>
      <c r="AL12" s="12">
        <f>IF(SUM(U12:X12)-Y12&gt;0,SUM(U12:X12)-Y12,"")</f>
        <v>43.44</v>
      </c>
      <c r="AM12" s="12">
        <f>IF(SUM(Z12:AC12)-AD12&gt;0,SUM(Z12:AC12)-AD12,"")</f>
        <v>51.8</v>
      </c>
      <c r="AN12" s="12">
        <f>IF(SUM(AL12:AM12)&gt;0,SUM(AL12:AM12),"")</f>
        <v>95.24</v>
      </c>
      <c r="AO12" s="12">
        <f>IF(SUM(AE12:AH12)-AI12&gt;0,SUM(AE12:AH12)-AI12,"")</f>
        <v>50.980000000000004</v>
      </c>
      <c r="AP12" s="12">
        <f>IF(SUM(AN12,AO12)&gt;0,SUM(AN12,AO12),"")</f>
        <v>146.22</v>
      </c>
      <c r="AQ12" s="80">
        <v>15</v>
      </c>
      <c r="AR12" s="80">
        <v>8.4499999999999993</v>
      </c>
      <c r="AS12" s="80">
        <v>2.9</v>
      </c>
      <c r="AT12" s="80">
        <v>13.734999999999999</v>
      </c>
      <c r="AU12" s="80">
        <v>0</v>
      </c>
      <c r="AV12" s="80">
        <v>13</v>
      </c>
      <c r="AW12" s="80">
        <v>8.6</v>
      </c>
      <c r="AX12" s="80">
        <v>11.7</v>
      </c>
      <c r="AY12" s="80">
        <v>14.61</v>
      </c>
      <c r="AZ12" s="80">
        <v>0</v>
      </c>
      <c r="BA12" s="80">
        <v>14.4</v>
      </c>
      <c r="BB12" s="80">
        <v>9</v>
      </c>
      <c r="BC12" s="80">
        <v>14</v>
      </c>
      <c r="BD12" s="80">
        <v>14.8</v>
      </c>
      <c r="BE12" s="80">
        <v>0</v>
      </c>
      <c r="BF12" s="105"/>
      <c r="BG12" s="15">
        <f>IF(SUM(AX12)&gt;0,SUM(AX12),"")</f>
        <v>11.7</v>
      </c>
      <c r="BH12" s="15">
        <f>IF(SUM(AQ12:AT12)-AU12&gt;0,SUM(AQ12:AT12)-AU12,"")</f>
        <v>40.084999999999994</v>
      </c>
      <c r="BI12" s="15">
        <f>IF(SUM(AV12:AY12)-AZ12&gt;0,SUM(AV12:AY12)-AZ12,"")</f>
        <v>47.91</v>
      </c>
      <c r="BJ12" s="15">
        <f>IF(SUM(BH12:BI12)&gt;0,SUM(BH12:BI12),"")</f>
        <v>87.99499999999999</v>
      </c>
      <c r="BK12" s="15">
        <f>IF(SUM(BA12:BD12)-BE12&gt;0,SUM(BA12:BD12)-BE12,"")</f>
        <v>52.2</v>
      </c>
      <c r="BL12" s="15">
        <f>IF(SUM(BJ12,BK12)&gt;0,SUM(BJ12,BK12),"")</f>
        <v>140.19499999999999</v>
      </c>
      <c r="BM12" s="76">
        <v>11.7</v>
      </c>
      <c r="BN12" s="76">
        <v>7.2</v>
      </c>
      <c r="BO12" s="76">
        <v>1.2</v>
      </c>
      <c r="BP12" s="76">
        <v>12.42</v>
      </c>
      <c r="BQ12" s="76">
        <v>0</v>
      </c>
      <c r="BR12" s="76">
        <v>7.9</v>
      </c>
      <c r="BS12" s="76">
        <v>5.25</v>
      </c>
      <c r="BT12" s="76">
        <v>7.8</v>
      </c>
      <c r="BU12" s="76">
        <v>8.7650000000000006</v>
      </c>
      <c r="BV12" s="76">
        <v>0</v>
      </c>
      <c r="BW12" s="76"/>
      <c r="BX12" s="76"/>
      <c r="BY12" s="76"/>
      <c r="BZ12" s="76"/>
      <c r="CA12" s="76"/>
      <c r="CB12" s="101"/>
      <c r="CC12" s="12">
        <f>IF(SUM(BT12)&gt;0,SUM(BT12),"")</f>
        <v>7.8</v>
      </c>
      <c r="CD12" s="12">
        <f>IF(SUM(BM12:BP12)-BQ12&gt;0,SUM(BM12:BP12)-BQ12,"")</f>
        <v>32.519999999999996</v>
      </c>
      <c r="CE12" s="12">
        <f>IF(SUM(BR12:BU12)-BV12&gt;0,SUM(BR12:BU12)-BV12,"")</f>
        <v>29.715</v>
      </c>
      <c r="CF12" s="12">
        <f>IF(SUM(CD12:CE12)&gt;0,SUM(CD12:CE12),"")</f>
        <v>62.234999999999999</v>
      </c>
      <c r="CG12" s="12" t="str">
        <f>IF(SUM(BW12:BZ12)-CA12&gt;0,SUM(BW12:BZ12)-CA12,"")</f>
        <v/>
      </c>
      <c r="CH12" s="12">
        <f>IF(SUM(CF12,CG12)&gt;0,SUM(CF12,CG12),"")</f>
        <v>62.234999999999999</v>
      </c>
      <c r="CI12" s="28" t="str">
        <f>IF(MAX(DB12,DW12,ER12,FM12,GH12,HC12,HX12,IS12,JN12,KI12,LD12,LY12)-L12&gt;0.001,MAX(DB12,DW12,ER12,FM12,GH12,HC12,HX12,IS12,JN12,KI12,LD12,LY12)-L12,"")</f>
        <v/>
      </c>
      <c r="CJ12" s="28" t="str">
        <f>IF(MAX(DC12,DX12,ES12,FN12,GI12,HD12,HY12,IT12,JO12,KJ12,LE12,LZ12)-N12&gt;0.001,MAX(DC12,DX12,ES12,FN12,GI12,HD12,HY12,IT12,JO12,KJ12,LE12,LZ12)-N12,"")</f>
        <v/>
      </c>
      <c r="CK12" s="28" t="str">
        <f>IF(MAX(DE12,DZ12,EU12,FP12,GK12,HF12,IA12,IV12,JQ12,KL12,LG12,MB12)-P12&gt;0.001,MAX(DE12,DZ12,EU12,FP12,GK12,HF12,IA12,IV12,JQ12,KL12,LG12,MB12)-P12,"")</f>
        <v/>
      </c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12" t="str">
        <f>IF(SUM(CS12)&gt;0,SUM(CS12),"")</f>
        <v/>
      </c>
      <c r="DB12" s="12" t="str">
        <f>IF(SUM(CL12:CO12)-CP12&gt;0,SUM(CL12:CO12)-CP12,"")</f>
        <v/>
      </c>
      <c r="DC12" s="12" t="str">
        <f>IF(SUM(CQ12:CT12)-CU12&gt;0,SUM(CQ12:CT12)-CU12,"")</f>
        <v/>
      </c>
      <c r="DD12" s="12" t="str">
        <f>IF(SUM(DB12:DC12)&gt;0,SUM(DB12:DC12),"")</f>
        <v/>
      </c>
      <c r="DE12" s="12" t="str">
        <f>IF(SUM(CV12:CY12)-CZ12&gt;0,SUM(CV12:CY12)-CZ12,"")</f>
        <v/>
      </c>
      <c r="DF12" s="12" t="str">
        <f>IF(SUM(DD12,DE12)&gt;0,SUM(DD12,DE12),"")</f>
        <v/>
      </c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15" t="str">
        <f>IF(SUM(DN12)&gt;0,SUM(DN12),"")</f>
        <v/>
      </c>
      <c r="DW12" s="15" t="str">
        <f>IF(SUM(DG12:DJ12)-DK12&gt;0,SUM(DG12:DJ12)-DK12,"")</f>
        <v/>
      </c>
      <c r="DX12" s="15" t="str">
        <f>IF(SUM(DL12:DO12)-DP12&gt;0,SUM(DL12:DO12)-DP12,"")</f>
        <v/>
      </c>
      <c r="DY12" s="15" t="str">
        <f>IF(SUM(DW12:DX12)&gt;0,SUM(DW12:DX12),"")</f>
        <v/>
      </c>
      <c r="DZ12" s="15" t="str">
        <f>IF(SUM(DQ12:DT12)-DU12&gt;0,SUM(DQ12:DT12)-DU12,"")</f>
        <v/>
      </c>
      <c r="EA12" s="15" t="str">
        <f>IF(SUM(DY12,DZ12)&gt;0,SUM(DY12,DZ12),"")</f>
        <v/>
      </c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45"/>
      <c r="EO12" s="45"/>
      <c r="EP12" s="45"/>
      <c r="EQ12" s="12" t="str">
        <f>IF(SUM(EI12)&gt;0,SUM(EI12),"")</f>
        <v/>
      </c>
      <c r="ER12" s="12" t="str">
        <f>IF(SUM(EB12:EE12)-EF12&gt;0,SUM(EB12:EE12)-EF12,"")</f>
        <v/>
      </c>
      <c r="ES12" s="12" t="str">
        <f>IF(SUM(EG12:EJ12)-EK12&gt;0,SUM(EG12:EJ12)-EK12,"")</f>
        <v/>
      </c>
      <c r="ET12" s="12" t="str">
        <f>IF(SUM(ER12:ES12)&gt;0,SUM(ER12:ES12),"")</f>
        <v/>
      </c>
      <c r="EU12" s="12" t="str">
        <f>IF(SUM(EL12:EO12)-EP12&gt;0,SUM(EL12:EO12)-EP12,"")</f>
        <v/>
      </c>
      <c r="EV12" s="12" t="str">
        <f>IF(SUM(ET12,EU12)&gt;0,SUM(ET12,EU12),"")</f>
        <v/>
      </c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46"/>
      <c r="FJ12" s="46"/>
      <c r="FK12" s="46"/>
      <c r="FL12" s="15" t="str">
        <f>IF(SUM(FD12)&gt;0,SUM(FD12),"")</f>
        <v/>
      </c>
      <c r="FM12" s="15" t="str">
        <f>IF(SUM(EW12:EZ12)-FA12&gt;0,SUM(EW12:EZ12)-FA12,"")</f>
        <v/>
      </c>
      <c r="FN12" s="15" t="str">
        <f>IF(SUM(FB12:FE12)-FF12&gt;0,SUM(FB12:FE12)-FF12,"")</f>
        <v/>
      </c>
      <c r="FO12" s="15" t="str">
        <f>IF(SUM(FM12:FN12)&gt;0,SUM(FM12:FN12),"")</f>
        <v/>
      </c>
      <c r="FP12" s="15" t="str">
        <f>IF(SUM(FG12:FJ12)-FK12&gt;0,SUM(FG12:FJ12)-FK12,"")</f>
        <v/>
      </c>
      <c r="FQ12" s="15" t="str">
        <f>IF(SUM(FO12,FP12)&gt;0,SUM(FO12,FP12),"")</f>
        <v/>
      </c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45"/>
      <c r="GE12" s="45"/>
      <c r="GF12" s="45"/>
      <c r="GG12" s="12" t="str">
        <f>IF(SUM(FY12)&gt;0,SUM(FY12),"")</f>
        <v/>
      </c>
      <c r="GH12" s="12" t="str">
        <f>IF(SUM(FR12:FU12)-FV12&gt;0,SUM(FR12:FU12)-FV12,"")</f>
        <v/>
      </c>
      <c r="GI12" s="12" t="str">
        <f>IF(SUM(FW12:FZ12)-GA12&gt;0,SUM(FW12:FZ12)-GA12,"")</f>
        <v/>
      </c>
      <c r="GJ12" s="12" t="str">
        <f>IF(SUM(GH12:GI12)&gt;0,SUM(GH12:GI12),"")</f>
        <v/>
      </c>
      <c r="GK12" s="12" t="str">
        <f>IF(SUM(GB12:GE12)-GF12&gt;0,SUM(GB12:GE12)-GF12,"")</f>
        <v/>
      </c>
      <c r="GL12" s="12" t="str">
        <f>IF(SUM(GJ12,GK12)&gt;0,SUM(GJ12,GK12),"")</f>
        <v/>
      </c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46"/>
      <c r="GZ12" s="46"/>
      <c r="HA12" s="46"/>
      <c r="HB12" s="15" t="str">
        <f>IF(SUM(GT12)&gt;0,SUM(GT12),"")</f>
        <v/>
      </c>
      <c r="HC12" s="15" t="str">
        <f>IF(SUM(GM12:GP12)-GQ12&gt;0,SUM(GM12:GP12)-GQ12,"")</f>
        <v/>
      </c>
      <c r="HD12" s="15" t="str">
        <f>IF(SUM(GR12:GU12)-GV12&gt;0,SUM(GR12:GU12)-GV12,"")</f>
        <v/>
      </c>
      <c r="HE12" s="15" t="str">
        <f>IF(SUM(HC12:HD12)&gt;0,SUM(HC12:HD12),"")</f>
        <v/>
      </c>
      <c r="HF12" s="15" t="str">
        <f>IF(SUM(GW12:GZ12)-HA12&gt;0,SUM(GW12:GZ12)-HA12,"")</f>
        <v/>
      </c>
      <c r="HG12" s="15" t="str">
        <f>IF(SUM(HE12,HF12)&gt;0,SUM(HE12,HF12),"")</f>
        <v/>
      </c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45"/>
      <c r="HU12" s="45"/>
      <c r="HV12" s="45"/>
      <c r="HW12" s="12" t="str">
        <f>IF(SUM(HO12)&gt;0,SUM(HO12),"")</f>
        <v/>
      </c>
      <c r="HX12" s="12" t="str">
        <f>IF(SUM(HH12:HK12)-HL12&gt;0,SUM(HH12:HK12)-HL12,"")</f>
        <v/>
      </c>
      <c r="HY12" s="12" t="str">
        <f>IF(SUM(HM12:HP12)-HQ12&gt;0,SUM(HM12:HP12)-HQ12,"")</f>
        <v/>
      </c>
      <c r="HZ12" s="12" t="str">
        <f>IF(SUM(HX12:HY12)&gt;0,SUM(HX12:HY12),"")</f>
        <v/>
      </c>
      <c r="IA12" s="12" t="str">
        <f>IF(SUM(HR12:HU12)-HV12&gt;0,SUM(HR12:HU12)-HV12,"")</f>
        <v/>
      </c>
      <c r="IB12" s="12" t="str">
        <f>IF(SUM(HZ12,IA12)&gt;0,SUM(HZ12,IA12),"")</f>
        <v/>
      </c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46"/>
      <c r="IP12" s="46"/>
      <c r="IQ12" s="46"/>
      <c r="IR12" s="15" t="str">
        <f>IF(SUM(IJ12)&gt;0,SUM(IJ12),"")</f>
        <v/>
      </c>
      <c r="IS12" s="15" t="str">
        <f>IF(SUM(IC12:IF12)-IG12&gt;0,SUM(IC12:IF12)-IG12,"")</f>
        <v/>
      </c>
      <c r="IT12" s="15" t="str">
        <f>IF(SUM(IH12:IK12)-IL12&gt;0,SUM(IH12:IK12)-IL12,"")</f>
        <v/>
      </c>
      <c r="IU12" s="15" t="str">
        <f>IF(SUM(IS12:IT12)&gt;0,SUM(IS12:IT12),"")</f>
        <v/>
      </c>
      <c r="IV12" s="15" t="str">
        <f>IF(SUM(IM12:IP12)-IQ12&gt;0,SUM(IM12:IP12)-IQ12,"")</f>
        <v/>
      </c>
      <c r="IW12" s="15" t="str">
        <f>IF(SUM(IU12,IV12)&gt;0,SUM(IU12,IV12),"")</f>
        <v/>
      </c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45"/>
      <c r="JK12" s="45"/>
      <c r="JL12" s="45"/>
      <c r="JM12" s="12" t="str">
        <f>IF(SUM(JE12)&gt;0,SUM(JE12),"")</f>
        <v/>
      </c>
      <c r="JN12" s="12" t="str">
        <f>IF(SUM(IX12:JA12)-JB12&gt;0,SUM(IX12:JA12)-JB12,"")</f>
        <v/>
      </c>
      <c r="JO12" s="12" t="str">
        <f>IF(SUM(JC12:JF12)-JG12&gt;0,SUM(JC12:JF12)-JG12,"")</f>
        <v/>
      </c>
      <c r="JP12" s="12" t="str">
        <f>IF(SUM(JN12:JO12)&gt;0,SUM(JN12:JO12),"")</f>
        <v/>
      </c>
      <c r="JQ12" s="12" t="str">
        <f>IF(SUM(JH12:JK12)-JL12&gt;0,SUM(JH12:JK12)-JL12,"")</f>
        <v/>
      </c>
      <c r="JR12" s="12" t="str">
        <f>IF(SUM(JP12,JQ12)&gt;0,SUM(JP12,JQ12),"")</f>
        <v/>
      </c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46"/>
      <c r="KD12" s="46"/>
      <c r="KE12" s="46"/>
      <c r="KF12" s="46"/>
      <c r="KG12" s="46"/>
      <c r="KH12" s="15" t="str">
        <f>IF(SUM(JZ12)&gt;0,SUM(JZ12),"")</f>
        <v/>
      </c>
      <c r="KI12" s="15" t="str">
        <f>IF(SUM(JS12:JV12)-JW12&gt;0,SUM(JS12:JV12)-JW12,"")</f>
        <v/>
      </c>
      <c r="KJ12" s="15" t="str">
        <f>IF(SUM(JX12:KA12)-KB12&gt;0,SUM(JX12:KA12)-KB12,"")</f>
        <v/>
      </c>
      <c r="KK12" s="15" t="str">
        <f>IF(SUM(KI12:KJ12)&gt;0,SUM(KI12:KJ12),"")</f>
        <v/>
      </c>
      <c r="KL12" s="15" t="str">
        <f>IF(SUM(KC12:KF12)-KG12&gt;0,SUM(KC12:KF12)-KG12,"")</f>
        <v/>
      </c>
      <c r="KM12" s="15" t="str">
        <f>IF(SUM(KK12,KL12)&gt;0,SUM(KK12,KL12),"")</f>
        <v/>
      </c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45"/>
      <c r="LA12" s="45"/>
      <c r="LB12" s="45"/>
      <c r="LC12" s="12" t="str">
        <f>IF(SUM(KU12)&gt;0,SUM(KU12),"")</f>
        <v/>
      </c>
      <c r="LD12" s="12" t="str">
        <f>IF(SUM(KN12:KQ12)-KR12&gt;0,SUM(KN12:KQ12)-KR12,"")</f>
        <v/>
      </c>
      <c r="LE12" s="12" t="str">
        <f>IF(SUM(KS12:KV12)-KW12&gt;0,SUM(KS12:KV12)-KW12,"")</f>
        <v/>
      </c>
      <c r="LF12" s="12" t="str">
        <f>IF(SUM(LD12:LE12)&gt;0,SUM(LD12:LE12),"")</f>
        <v/>
      </c>
      <c r="LG12" s="12" t="str">
        <f>IF(SUM(KX12:LA12)-LB12&gt;0,SUM(KX12:LA12)-LB12,"")</f>
        <v/>
      </c>
      <c r="LH12" s="12" t="str">
        <f>IF(SUM(LF12,LG12)&gt;0,SUM(LF12,LG12),"")</f>
        <v/>
      </c>
      <c r="LI12" s="46"/>
      <c r="LJ12" s="46"/>
      <c r="LK12" s="46"/>
      <c r="LL12" s="46"/>
      <c r="LM12" s="46"/>
      <c r="LN12" s="46"/>
      <c r="LO12" s="46"/>
      <c r="LP12" s="46"/>
      <c r="LQ12" s="46"/>
      <c r="LR12" s="46"/>
      <c r="LS12" s="46"/>
      <c r="LT12" s="46"/>
      <c r="LU12" s="46"/>
      <c r="LV12" s="46"/>
      <c r="LW12" s="46"/>
      <c r="LX12" s="15" t="str">
        <f>IF(SUM(LP12)&gt;0,SUM(LP12),"")</f>
        <v/>
      </c>
      <c r="LY12" s="15" t="str">
        <f>IF(SUM(LI12:LL12)-LM12&gt;0,SUM(LI12:LL12)-LM12,"")</f>
        <v/>
      </c>
      <c r="LZ12" s="15" t="str">
        <f>IF(SUM(LN12:LQ12)-LR12&gt;0,SUM(LN12:LQ12)-LR12,"")</f>
        <v/>
      </c>
      <c r="MA12" s="15" t="str">
        <f>IF(SUM(LY12:LZ12)&gt;0,SUM(LY12:LZ12),"")</f>
        <v/>
      </c>
      <c r="MB12" s="15" t="str">
        <f>IF(SUM(LS12:LV12)-LW12&gt;0,SUM(LS12:LV12)-LW12,"")</f>
        <v/>
      </c>
      <c r="MC12" s="15" t="str">
        <f>IF(SUM(MA12,MB12)&gt;0,SUM(MA12,MB12),"")</f>
        <v/>
      </c>
    </row>
    <row r="13" spans="1:341" x14ac:dyDescent="0.2">
      <c r="A13" s="6" t="str">
        <f>IF(AND(F13="P",H13="P"),SUMPRODUCT((F$4:F$21="P")*(H$4:H$21="P")*(E$4:E$21&gt;E13))+1,IF(H13="P",SUMPRODUCT((F$4:F$21="")*(H$4:H$21="P")*(E$4:E$21&gt;E13))+1+SUMPRODUCT((F$4:F$21="P")*(H$4:H$21="P")),""))</f>
        <v/>
      </c>
      <c r="B13" s="9" t="s">
        <v>76</v>
      </c>
      <c r="C13" s="5" t="s">
        <v>6</v>
      </c>
      <c r="D13" s="31">
        <v>2001</v>
      </c>
      <c r="E13" s="16">
        <f>SUM(J13:R13)</f>
        <v>223.97</v>
      </c>
      <c r="F13" s="4" t="str">
        <f>IF(OR(AND($AK13&gt;=$AL$24,NOT($AK13=""),$AJ13=""),AND($BG13&gt;=$BH$24,NOT($BG13=""),$BF13=""),AND($CC13&gt;=$CD$24,NOT($CC13=""),$CB13="")),"P","")</f>
        <v/>
      </c>
      <c r="G13" s="4" t="str">
        <f>IF(OR(AND($AK13&gt;=$AL$25,NOT($AK13=""),$AJ13=""),AND($BG13&gt;=$BH$25,NOT($BG13=""),$BF13=""),AND($CC13&gt;=$CD$25,NOT($CC13=""),$CB13="")),"P","")</f>
        <v/>
      </c>
      <c r="H13" s="4" t="str">
        <f>IF(OR(AND($AN13&gt;=$AL$26,NOT($AN13=""),$AJ13=""),AND($BJ13&gt;=$BH$26,NOT($BJ13=""),$BF13=""),AND($CF13&gt;=$CD$26,NOT($CF13=""),$CB13="")),"P","")</f>
        <v/>
      </c>
      <c r="I13" t="str">
        <f>IF(AND(F13="P",OR(AND($AM13&gt;$AL$29,NOT($AM13=""),$AJ13=""),AND($AO13&gt;$AL$29,NOT($AO13=""),$AJ13=""),AND($BI13&gt;$BH$29,NOT($BI13=""),$BF13=""),AND($BK13&gt;$BH$29,NOT($BK13=""),$BF13=""),AND($CE13&gt;$CD$29,NOT($CE13=""),$CB13=""),AND($CG13&gt;$CD$29,NOT($CG13=""),$CB13=""))),"Merit",IF(AND(F13="P",OR(AND($AN13&gt;$AL$28,NOT($AN13=""),$AJ13=""),AND($BJ13&gt;$BH$28,NOT($BJ13=""),$BF13=""),AND($CF13&gt;$CD$28,NOT($CF13=""),$CB13=""))),"Funding",IF(AND(F13="P",OR(AND($AN13&gt;$AL$27,NOT($AN13=""),$AJ13=""),AND($BJ13&gt;$BH$27,NOT($BJ13=""),$BF13=""),AND($CF13&gt;$CD$27,NOT($CF13=""),$CB13=""))),"Worlds Team",IF(AND(F13="P",OR(AND($AN13&gt;$AL$26,NOT($AN13=""),$AJ13=""),AND($BJ13&gt;$BH$26,NOT($BJ13=""),$BF13=""),AND($CF13&gt;$CD$26,NOT($CF13=""),$CB13=""))),"National Team",""))))</f>
        <v/>
      </c>
      <c r="J13" s="15">
        <f>MAX(AN13,BJ13,CF13)</f>
        <v>71.02</v>
      </c>
      <c r="K13" s="15" t="str">
        <f>IF(J13=CF13,$BM$1,IF(J13=BJ13,$AQ$1,IF(J13=AN13,$U$1,"")))</f>
        <v>2018 Nationals</v>
      </c>
      <c r="L13" s="15">
        <f>IF($J13=$AN13,MAX(BH13,CD13),IF($J13=$BJ13,MAX(AL13,CD13),MAX(AL13,BH13)))</f>
        <v>48.125</v>
      </c>
      <c r="M13" s="15" t="str">
        <f>IF(AND(L13=CD13,$K13&lt;&gt;$BM$1),$BM$1,IF(AND(L13=BH13,$K13&lt;&gt;$AQ$1),$AQ$1,IF(AND(L13=AL13,$K13&lt;&gt;$U$1),$U$1,"")))</f>
        <v>2017 Nationals</v>
      </c>
      <c r="N13" s="15">
        <f>IF($J13=$AN13,MAX(BI13,CE13),IF($J13=$BJ13,MAX(AM13,CE13),MAX(AM13,BI13)))</f>
        <v>52.71</v>
      </c>
      <c r="O13" s="15" t="str">
        <f>IF(AND(N13=CE13,$K13&lt;&gt;$BM$1),$BM$1,IF(AND(N13=BI13,$K13&lt;&gt;$AQ$1),$AQ$1,IF(AND(N13=AM13,$K13&lt;&gt;$U$1),$U$1,"")))</f>
        <v>2018 Canada Cup</v>
      </c>
      <c r="P13" s="15">
        <f>MAX(AO13,BK13,CG13)</f>
        <v>52.115000000000002</v>
      </c>
      <c r="Q13" s="15" t="str">
        <f>IF(P13=CG13,$BM$1,IF(P13=BK13,$AQ$1,IF(P13=AO13,$U$1,"")))</f>
        <v>2018 Canada Cup</v>
      </c>
      <c r="R13" s="15" t="str">
        <f>IF(MAX(CI13,CJ13,CK13)&gt;0,MAX(CI13,CJ13,CK13),"")</f>
        <v/>
      </c>
      <c r="S13" s="29" t="str">
        <f>IF(R13="","",IF(R13=CI13,"(Vol 1)",IF(R13=CJ13,"(Vol 2)",IF(R13=CK13,"(Final)"))))</f>
        <v/>
      </c>
      <c r="T13" s="15" t="str">
        <f>IF(R13="","",IF(R13=CI13,IF(R13+L13=LY13,$LI$1,IF(R13+L13=LD13,$KN$1,IF(R13+L13=KI13,$JS$1,IF(R13+L13=JN13,$IX$1,IF(R13+L13=IS13,$IC$1,IF(R13+L13=HX13,$HH$1,IF(R13+L13=HC13,$GM$1,IF(R13+L13=GH13,$FR$1,IF(R13+L13=FM13,$EW$1,IF(R13+L13=ER13,$EB$1,IF(R13+L13=DW13,$DG$1,IF(R13+L13=DB13,$CL$1)))))))))))),IF(R13=CJ13,IF(R13+N13=LZ13,$LI$1,IF(R13+N13=LE13,$KN$1,IF(R13+N13=KJ13,$JS$1,IF(R13+N13=JO13,$IX$1,IF(R13+N13=IT13,$IC$1,IF(R13+N13=HY13,$HH$1,IF(R13+N13=HD13,$GM$1,IF(R13+N13=GI13,$FR$1,IF(R13+N13=FN13,$EW$1,IF(R13+N13=ES13,$EB$1,IF(R13+N13=DX13,$DG$1,IF(R13+N13=DC13,$CL$1)))))))))))),IF(R13=CK13,IF(R13+P13=MB13,$LI$1,IF(R13+P13=LG13,$KN$1,IF(R13+P13=KL13,$JS$1,IF(R13+P13=JQ13,$IX$1,IF(R13+P13=IV13,$IC$1,IF(R13+P13=IA13,$HH$1,IF(R13+P13=HF13,$GM$1,IF(R13+P13=GK13,$FR$1,IF(R13+P13=FP13,$EW$1,IF(R13+P13=EU13,$EB$1,IF(R13+P13=DZ13,$DG$1,IF(R13+P13=DE13,$CL$1))))))))))))))))</f>
        <v/>
      </c>
      <c r="U13" s="76">
        <v>17.3</v>
      </c>
      <c r="V13" s="76">
        <v>9.1999999999999993</v>
      </c>
      <c r="W13" s="76">
        <v>5.2</v>
      </c>
      <c r="X13" s="76">
        <v>16.425000000000001</v>
      </c>
      <c r="Y13" s="76">
        <v>0</v>
      </c>
      <c r="Z13" s="76">
        <v>3.2</v>
      </c>
      <c r="AA13" s="76">
        <v>1.8</v>
      </c>
      <c r="AB13" s="76">
        <v>3.4</v>
      </c>
      <c r="AC13" s="76">
        <v>3.2450000000000001</v>
      </c>
      <c r="AD13" s="76">
        <v>0</v>
      </c>
      <c r="AE13" s="76"/>
      <c r="AF13" s="76"/>
      <c r="AG13" s="76"/>
      <c r="AH13" s="76"/>
      <c r="AI13" s="79"/>
      <c r="AJ13" s="103"/>
      <c r="AK13" s="12">
        <f>IF(SUM(AB13)&gt;0,SUM(AB13),"")</f>
        <v>3.4</v>
      </c>
      <c r="AL13" s="12">
        <f>IF(SUM(U13:X13)-Y13&gt;0,SUM(U13:X13)-Y13,"")</f>
        <v>48.125</v>
      </c>
      <c r="AM13" s="12">
        <f>IF(SUM(Z13:AC13)-AD13&gt;0,SUM(Z13:AC13)-AD13,"")</f>
        <v>11.645</v>
      </c>
      <c r="AN13" s="12">
        <f>IF(SUM(AL13:AM13)&gt;0,SUM(AL13:AM13),"")</f>
        <v>59.769999999999996</v>
      </c>
      <c r="AO13" s="12" t="str">
        <f>IF(SUM(AE13:AH13)-AI13&gt;0,SUM(AE13:AH13)-AI13,"")</f>
        <v/>
      </c>
      <c r="AP13" s="12">
        <f>IF(SUM(AN13,AO13)&gt;0,SUM(AN13,AO13),"")</f>
        <v>59.769999999999996</v>
      </c>
      <c r="AQ13" s="80">
        <v>3.3</v>
      </c>
      <c r="AR13" s="80">
        <v>1.95</v>
      </c>
      <c r="AS13" s="80">
        <v>0.7</v>
      </c>
      <c r="AT13" s="80">
        <v>3.55</v>
      </c>
      <c r="AU13" s="80">
        <v>0</v>
      </c>
      <c r="AV13" s="80">
        <v>14.3</v>
      </c>
      <c r="AW13" s="80">
        <v>8.9499999999999993</v>
      </c>
      <c r="AX13" s="80">
        <v>13.1</v>
      </c>
      <c r="AY13" s="80">
        <v>16.36</v>
      </c>
      <c r="AZ13" s="80">
        <v>0</v>
      </c>
      <c r="BA13" s="80">
        <v>14.3</v>
      </c>
      <c r="BB13" s="80">
        <v>8.6999999999999993</v>
      </c>
      <c r="BC13" s="80">
        <v>13.2</v>
      </c>
      <c r="BD13" s="80">
        <v>15.914999999999999</v>
      </c>
      <c r="BE13" s="80">
        <v>0</v>
      </c>
      <c r="BF13" s="107"/>
      <c r="BG13" s="15">
        <f>IF(SUM(AX13)&gt;0,SUM(AX13),"")</f>
        <v>13.1</v>
      </c>
      <c r="BH13" s="15">
        <f>IF(SUM(AQ13:AT13)-AU13&gt;0,SUM(AQ13:AT13)-AU13,"")</f>
        <v>9.5</v>
      </c>
      <c r="BI13" s="15">
        <f>IF(SUM(AV13:AY13)-AZ13&gt;0,SUM(AV13:AY13)-AZ13,"")</f>
        <v>52.71</v>
      </c>
      <c r="BJ13" s="15">
        <f>IF(SUM(BH13:BI13)&gt;0,SUM(BH13:BI13),"")</f>
        <v>62.21</v>
      </c>
      <c r="BK13" s="15">
        <f>IF(SUM(BA13:BD13)-BE13&gt;0,SUM(BA13:BD13)-BE13,"")</f>
        <v>52.115000000000002</v>
      </c>
      <c r="BL13" s="15">
        <f>IF(SUM(BJ13,BK13)&gt;0,SUM(BJ13,BK13),"")</f>
        <v>114.325</v>
      </c>
      <c r="BM13" s="76">
        <v>17</v>
      </c>
      <c r="BN13" s="76">
        <v>9.0500000000000007</v>
      </c>
      <c r="BO13" s="76">
        <v>5</v>
      </c>
      <c r="BP13" s="76">
        <v>17.239999999999998</v>
      </c>
      <c r="BQ13" s="76">
        <v>0</v>
      </c>
      <c r="BR13" s="76">
        <v>6</v>
      </c>
      <c r="BS13" s="76">
        <v>3.75</v>
      </c>
      <c r="BT13" s="76">
        <v>6.3</v>
      </c>
      <c r="BU13" s="76">
        <v>6.68</v>
      </c>
      <c r="BV13" s="76">
        <v>0</v>
      </c>
      <c r="BW13" s="76"/>
      <c r="BX13" s="76"/>
      <c r="BY13" s="76"/>
      <c r="BZ13" s="76"/>
      <c r="CA13" s="76"/>
      <c r="CB13" s="103"/>
      <c r="CC13" s="12">
        <f>IF(SUM(BT13)&gt;0,SUM(BT13),"")</f>
        <v>6.3</v>
      </c>
      <c r="CD13" s="12">
        <f>IF(SUM(BM13:BP13)-BQ13&gt;0,SUM(BM13:BP13)-BQ13,"")</f>
        <v>48.29</v>
      </c>
      <c r="CE13" s="12">
        <f>IF(SUM(BR13:BU13)-BV13&gt;0,SUM(BR13:BU13)-BV13,"")</f>
        <v>22.73</v>
      </c>
      <c r="CF13" s="12">
        <f>IF(SUM(CD13:CE13)&gt;0,SUM(CD13:CE13),"")</f>
        <v>71.02</v>
      </c>
      <c r="CG13" s="12" t="str">
        <f>IF(SUM(BW13:BZ13)-CA13&gt;0,SUM(BW13:BZ13)-CA13,"")</f>
        <v/>
      </c>
      <c r="CH13" s="12">
        <f>IF(SUM(CF13,CG13)&gt;0,SUM(CF13,CG13),"")</f>
        <v>71.02</v>
      </c>
      <c r="CI13" s="28" t="str">
        <f>IF(MAX(DB13,DW13,ER13,FM13,GH13,HC13,HX13,IS13,JN13,KI13,LD13,LY13)-L13&gt;0.001,MAX(DB13,DW13,ER13,FM13,GH13,HC13,HX13,IS13,JN13,KI13,LD13,LY13)-L13,"")</f>
        <v/>
      </c>
      <c r="CJ13" s="28" t="str">
        <f>IF(MAX(DC13,DX13,ES13,FN13,GI13,HD13,HY13,IT13,JO13,KJ13,LE13,LZ13)-N13&gt;0.001,MAX(DC13,DX13,ES13,FN13,GI13,HD13,HY13,IT13,JO13,KJ13,LE13,LZ13)-N13,"")</f>
        <v/>
      </c>
      <c r="CK13" s="28" t="str">
        <f>IF(MAX(DE13,DZ13,EU13,FP13,GK13,HF13,IA13,IV13,JQ13,KL13,LG13,MB13)-P13&gt;0.001,MAX(DE13,DZ13,EU13,FP13,GK13,HF13,IA13,IV13,JQ13,KL13,LG13,MB13)-P13,"")</f>
        <v/>
      </c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12" t="str">
        <f>IF(SUM(CS13)&gt;0,SUM(CS13),"")</f>
        <v/>
      </c>
      <c r="DB13" s="12" t="str">
        <f>IF(SUM(CL13:CO13)-CP13&gt;0,SUM(CL13:CO13)-CP13,"")</f>
        <v/>
      </c>
      <c r="DC13" s="12" t="str">
        <f>IF(SUM(CQ13:CT13)-CU13&gt;0,SUM(CQ13:CT13)-CU13,"")</f>
        <v/>
      </c>
      <c r="DD13" s="12" t="str">
        <f>IF(SUM(DB13:DC13)&gt;0,SUM(DB13:DC13),"")</f>
        <v/>
      </c>
      <c r="DE13" s="12" t="str">
        <f>IF(SUM(CV13:CY13)-CZ13&gt;0,SUM(CV13:CY13)-CZ13,"")</f>
        <v/>
      </c>
      <c r="DF13" s="12" t="str">
        <f>IF(SUM(DD13,DE13)&gt;0,SUM(DD13,DE13),"")</f>
        <v/>
      </c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15" t="str">
        <f>IF(SUM(DN13)&gt;0,SUM(DN13),"")</f>
        <v/>
      </c>
      <c r="DW13" s="15" t="str">
        <f>IF(SUM(DG13:DJ13)-DK13&gt;0,SUM(DG13:DJ13)-DK13,"")</f>
        <v/>
      </c>
      <c r="DX13" s="15" t="str">
        <f>IF(SUM(DL13:DO13)-DP13&gt;0,SUM(DL13:DO13)-DP13,"")</f>
        <v/>
      </c>
      <c r="DY13" s="15" t="str">
        <f>IF(SUM(DW13:DX13)&gt;0,SUM(DW13:DX13),"")</f>
        <v/>
      </c>
      <c r="DZ13" s="15" t="str">
        <f>IF(SUM(DQ13:DT13)-DU13&gt;0,SUM(DQ13:DT13)-DU13,"")</f>
        <v/>
      </c>
      <c r="EA13" s="15" t="str">
        <f>IF(SUM(DY13,DZ13)&gt;0,SUM(DY13,DZ13),"")</f>
        <v/>
      </c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12" t="str">
        <f>IF(SUM(EI13)&gt;0,SUM(EI13),"")</f>
        <v/>
      </c>
      <c r="ER13" s="12" t="str">
        <f>IF(SUM(EB13:EE13)-EF13&gt;0,SUM(EB13:EE13)-EF13,"")</f>
        <v/>
      </c>
      <c r="ES13" s="12" t="str">
        <f>IF(SUM(EG13:EJ13)-EK13&gt;0,SUM(EG13:EJ13)-EK13,"")</f>
        <v/>
      </c>
      <c r="ET13" s="12" t="str">
        <f>IF(SUM(ER13:ES13)&gt;0,SUM(ER13:ES13),"")</f>
        <v/>
      </c>
      <c r="EU13" s="12" t="str">
        <f>IF(SUM(EL13:EO13)-EP13&gt;0,SUM(EL13:EO13)-EP13,"")</f>
        <v/>
      </c>
      <c r="EV13" s="12" t="str">
        <f>IF(SUM(ET13,EU13)&gt;0,SUM(ET13,EU13),"")</f>
        <v/>
      </c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15" t="str">
        <f>IF(SUM(FD13)&gt;0,SUM(FD13),"")</f>
        <v/>
      </c>
      <c r="FM13" s="15" t="str">
        <f>IF(SUM(EW13:EZ13)-FA13&gt;0,SUM(EW13:EZ13)-FA13,"")</f>
        <v/>
      </c>
      <c r="FN13" s="15" t="str">
        <f>IF(SUM(FB13:FE13)-FF13&gt;0,SUM(FB13:FE13)-FF13,"")</f>
        <v/>
      </c>
      <c r="FO13" s="15" t="str">
        <f>IF(SUM(FM13:FN13)&gt;0,SUM(FM13:FN13),"")</f>
        <v/>
      </c>
      <c r="FP13" s="15" t="str">
        <f>IF(SUM(FG13:FJ13)-FK13&gt;0,SUM(FG13:FJ13)-FK13,"")</f>
        <v/>
      </c>
      <c r="FQ13" s="15" t="str">
        <f>IF(SUM(FO13,FP13)&gt;0,SUM(FO13,FP13),"")</f>
        <v/>
      </c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45"/>
      <c r="GE13" s="45"/>
      <c r="GF13" s="45"/>
      <c r="GG13" s="12" t="str">
        <f>IF(SUM(FY13)&gt;0,SUM(FY13),"")</f>
        <v/>
      </c>
      <c r="GH13" s="12" t="str">
        <f>IF(SUM(FR13:FU13)-FV13&gt;0,SUM(FR13:FU13)-FV13,"")</f>
        <v/>
      </c>
      <c r="GI13" s="12" t="str">
        <f>IF(SUM(FW13:FZ13)-GA13&gt;0,SUM(FW13:FZ13)-GA13,"")</f>
        <v/>
      </c>
      <c r="GJ13" s="12" t="str">
        <f>IF(SUM(GH13:GI13)&gt;0,SUM(GH13:GI13),"")</f>
        <v/>
      </c>
      <c r="GK13" s="12" t="str">
        <f>IF(SUM(GB13:GE13)-GF13&gt;0,SUM(GB13:GE13)-GF13,"")</f>
        <v/>
      </c>
      <c r="GL13" s="12" t="str">
        <f>IF(SUM(GJ13,GK13)&gt;0,SUM(GJ13,GK13),"")</f>
        <v/>
      </c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15" t="str">
        <f>IF(SUM(GT13)&gt;0,SUM(GT13),"")</f>
        <v/>
      </c>
      <c r="HC13" s="15" t="str">
        <f>IF(SUM(GM13:GP13)-GQ13&gt;0,SUM(GM13:GP13)-GQ13,"")</f>
        <v/>
      </c>
      <c r="HD13" s="15" t="str">
        <f>IF(SUM(GR13:GU13)-GV13&gt;0,SUM(GR13:GU13)-GV13,"")</f>
        <v/>
      </c>
      <c r="HE13" s="15" t="str">
        <f>IF(SUM(HC13:HD13)&gt;0,SUM(HC13:HD13),"")</f>
        <v/>
      </c>
      <c r="HF13" s="15" t="str">
        <f>IF(SUM(GW13:GZ13)-HA13&gt;0,SUM(GW13:GZ13)-HA13,"")</f>
        <v/>
      </c>
      <c r="HG13" s="15" t="str">
        <f>IF(SUM(HE13,HF13)&gt;0,SUM(HE13,HF13),"")</f>
        <v/>
      </c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45"/>
      <c r="HU13" s="45"/>
      <c r="HV13" s="45"/>
      <c r="HW13" s="12" t="str">
        <f>IF(SUM(HO13)&gt;0,SUM(HO13),"")</f>
        <v/>
      </c>
      <c r="HX13" s="12" t="str">
        <f>IF(SUM(HH13:HK13)-HL13&gt;0,SUM(HH13:HK13)-HL13,"")</f>
        <v/>
      </c>
      <c r="HY13" s="12" t="str">
        <f>IF(SUM(HM13:HP13)-HQ13&gt;0,SUM(HM13:HP13)-HQ13,"")</f>
        <v/>
      </c>
      <c r="HZ13" s="12" t="str">
        <f>IF(SUM(HX13:HY13)&gt;0,SUM(HX13:HY13),"")</f>
        <v/>
      </c>
      <c r="IA13" s="12" t="str">
        <f>IF(SUM(HR13:HU13)-HV13&gt;0,SUM(HR13:HU13)-HV13,"")</f>
        <v/>
      </c>
      <c r="IB13" s="12" t="str">
        <f>IF(SUM(HZ13,IA13)&gt;0,SUM(HZ13,IA13),"")</f>
        <v/>
      </c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15" t="str">
        <f>IF(SUM(IJ13)&gt;0,SUM(IJ13),"")</f>
        <v/>
      </c>
      <c r="IS13" s="15" t="str">
        <f>IF(SUM(IC13:IF13)-IG13&gt;0,SUM(IC13:IF13)-IG13,"")</f>
        <v/>
      </c>
      <c r="IT13" s="15" t="str">
        <f>IF(SUM(IH13:IK13)-IL13&gt;0,SUM(IH13:IK13)-IL13,"")</f>
        <v/>
      </c>
      <c r="IU13" s="15" t="str">
        <f>IF(SUM(IS13:IT13)&gt;0,SUM(IS13:IT13),"")</f>
        <v/>
      </c>
      <c r="IV13" s="15" t="str">
        <f>IF(SUM(IM13:IP13)-IQ13&gt;0,SUM(IM13:IP13)-IQ13,"")</f>
        <v/>
      </c>
      <c r="IW13" s="15" t="str">
        <f>IF(SUM(IU13,IV13)&gt;0,SUM(IU13,IV13),"")</f>
        <v/>
      </c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45"/>
      <c r="JK13" s="45"/>
      <c r="JL13" s="45"/>
      <c r="JM13" s="12" t="str">
        <f>IF(SUM(JE13)&gt;0,SUM(JE13),"")</f>
        <v/>
      </c>
      <c r="JN13" s="12" t="str">
        <f>IF(SUM(IX13:JA13)-JB13&gt;0,SUM(IX13:JA13)-JB13,"")</f>
        <v/>
      </c>
      <c r="JO13" s="12" t="str">
        <f>IF(SUM(JC13:JF13)-JG13&gt;0,SUM(JC13:JF13)-JG13,"")</f>
        <v/>
      </c>
      <c r="JP13" s="12" t="str">
        <f>IF(SUM(JN13:JO13)&gt;0,SUM(JN13:JO13),"")</f>
        <v/>
      </c>
      <c r="JQ13" s="12" t="str">
        <f>IF(SUM(JH13:JK13)-JL13&gt;0,SUM(JH13:JK13)-JL13,"")</f>
        <v/>
      </c>
      <c r="JR13" s="12" t="str">
        <f>IF(SUM(JP13,JQ13)&gt;0,SUM(JP13,JQ13),"")</f>
        <v/>
      </c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15" t="str">
        <f>IF(SUM(JZ13)&gt;0,SUM(JZ13),"")</f>
        <v/>
      </c>
      <c r="KI13" s="15" t="str">
        <f>IF(SUM(JS13:JV13)-JW13&gt;0,SUM(JS13:JV13)-JW13,"")</f>
        <v/>
      </c>
      <c r="KJ13" s="15" t="str">
        <f>IF(SUM(JX13:KA13)-KB13&gt;0,SUM(JX13:KA13)-KB13,"")</f>
        <v/>
      </c>
      <c r="KK13" s="15" t="str">
        <f>IF(SUM(KI13:KJ13)&gt;0,SUM(KI13:KJ13),"")</f>
        <v/>
      </c>
      <c r="KL13" s="15" t="str">
        <f>IF(SUM(KC13:KF13)-KG13&gt;0,SUM(KC13:KF13)-KG13,"")</f>
        <v/>
      </c>
      <c r="KM13" s="15" t="str">
        <f>IF(SUM(KK13,KL13)&gt;0,SUM(KK13,KL13),"")</f>
        <v/>
      </c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45"/>
      <c r="LA13" s="45"/>
      <c r="LB13" s="45"/>
      <c r="LC13" s="12" t="str">
        <f>IF(SUM(KU13)&gt;0,SUM(KU13),"")</f>
        <v/>
      </c>
      <c r="LD13" s="12" t="str">
        <f>IF(SUM(KN13:KQ13)-KR13&gt;0,SUM(KN13:KQ13)-KR13,"")</f>
        <v/>
      </c>
      <c r="LE13" s="12" t="str">
        <f>IF(SUM(KS13:KV13)-KW13&gt;0,SUM(KS13:KV13)-KW13,"")</f>
        <v/>
      </c>
      <c r="LF13" s="12" t="str">
        <f>IF(SUM(LD13:LE13)&gt;0,SUM(LD13:LE13),"")</f>
        <v/>
      </c>
      <c r="LG13" s="12" t="str">
        <f>IF(SUM(KX13:LA13)-LB13&gt;0,SUM(KX13:LA13)-LB13,"")</f>
        <v/>
      </c>
      <c r="LH13" s="12" t="str">
        <f>IF(SUM(LF13,LG13)&gt;0,SUM(LF13,LG13),"")</f>
        <v/>
      </c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15" t="str">
        <f>IF(SUM(LP13)&gt;0,SUM(LP13),"")</f>
        <v/>
      </c>
      <c r="LY13" s="15" t="str">
        <f>IF(SUM(LI13:LL13)-LM13&gt;0,SUM(LI13:LL13)-LM13,"")</f>
        <v/>
      </c>
      <c r="LZ13" s="15" t="str">
        <f>IF(SUM(LN13:LQ13)-LR13&gt;0,SUM(LN13:LQ13)-LR13,"")</f>
        <v/>
      </c>
      <c r="MA13" s="15" t="str">
        <f>IF(SUM(LY13:LZ13)&gt;0,SUM(LY13:LZ13),"")</f>
        <v/>
      </c>
      <c r="MB13" s="15" t="str">
        <f>IF(SUM(LS13:LV13)-LW13&gt;0,SUM(LS13:LV13)-LW13,"")</f>
        <v/>
      </c>
      <c r="MC13" s="15" t="str">
        <f>IF(SUM(MA13,MB13)&gt;0,SUM(MA13,MB13),"")</f>
        <v/>
      </c>
    </row>
    <row r="14" spans="1:341" x14ac:dyDescent="0.2">
      <c r="A14" s="6" t="str">
        <f>IF(AND(F14="P",H14="P"),SUMPRODUCT((F$4:F$21="P")*(H$4:H$21="P")*(E$4:E$21&gt;E14))+1,IF(H14="P",SUMPRODUCT((F$4:F$21="")*(H$4:H$21="P")*(E$4:E$21&gt;E14))+1+SUMPRODUCT((F$4:F$21="P")*(H$4:H$21="P")),""))</f>
        <v/>
      </c>
      <c r="B14" s="9" t="s">
        <v>123</v>
      </c>
      <c r="C14" s="5" t="s">
        <v>3</v>
      </c>
      <c r="D14" s="31">
        <v>2002</v>
      </c>
      <c r="E14" s="16">
        <f>SUM(J14:R14)</f>
        <v>197.07499999999999</v>
      </c>
      <c r="F14" s="4" t="str">
        <f>IF(OR(AND($AK14&gt;=$AL$24,NOT($AK14=""),$AJ14=""),AND($BG14&gt;=$BH$24,NOT($BG14=""),$BF14=""),AND($CC14&gt;=$CD$24,NOT($CC14=""),$CB14="")),"P","")</f>
        <v/>
      </c>
      <c r="G14" s="4" t="str">
        <f>IF(OR(AND($AK14&gt;=$AL$25,NOT($AK14=""),$AJ14=""),AND($BG14&gt;=$BH$25,NOT($BG14=""),$BF14=""),AND($CC14&gt;=$CD$25,NOT($CC14=""),$CB14="")),"P","")</f>
        <v/>
      </c>
      <c r="H14" s="4" t="str">
        <f>IF(OR(AND($AN14&gt;=$AL$26,NOT($AN14=""),$AJ14=""),AND($BJ14&gt;=$BH$26,NOT($BJ14=""),$BF14=""),AND($CF14&gt;=$CD$26,NOT($CF14=""),$CB14="")),"P","")</f>
        <v/>
      </c>
      <c r="I14" t="str">
        <f>IF(AND(F14="P",OR(AND($AM14&gt;$AL$29,NOT($AM14=""),$AJ14=""),AND($AO14&gt;$AL$29,NOT($AO14=""),$AJ14=""),AND($BI14&gt;$BH$29,NOT($BI14=""),$BF14=""),AND($BK14&gt;$BH$29,NOT($BK14=""),$BF14=""),AND($CE14&gt;$CD$29,NOT($CE14=""),$CB14=""),AND($CG14&gt;$CD$29,NOT($CG14=""),$CB14=""))),"Merit",IF(AND(F14="P",OR(AND($AN14&gt;$AL$28,NOT($AN14=""),$AJ14=""),AND($BJ14&gt;$BH$28,NOT($BJ14=""),$BF14=""),AND($CF14&gt;$CD$28,NOT($CF14=""),$CB14=""))),"Funding",IF(AND(F14="P",OR(AND($AN14&gt;$AL$27,NOT($AN14=""),$AJ14=""),AND($BJ14&gt;$BH$27,NOT($BJ14=""),$BF14=""),AND($CF14&gt;$CD$27,NOT($CF14=""),$CB14=""))),"Worlds Team",IF(AND(F14="P",OR(AND($AN14&gt;$AL$26,NOT($AN14=""),$AJ14=""),AND($BJ14&gt;$BH$26,NOT($BJ14=""),$BF14=""),AND($CF14&gt;$CD$26,NOT($CF14=""),$CB14=""))),"National Team",""))))</f>
        <v/>
      </c>
      <c r="J14" s="15">
        <f>MAX(AN14,BJ14,CF14)</f>
        <v>94.224999999999994</v>
      </c>
      <c r="K14" s="15" t="str">
        <f>IF(J14=CF14,$BM$1,IF(J14=BJ14,$AQ$1,IF(J14=AN14,$U$1,"")))</f>
        <v>2018 Nationals</v>
      </c>
      <c r="L14" s="15">
        <f>IF($J14=$AN14,MAX(BH14,CD14),IF($J14=$BJ14,MAX(AL14,CD14),MAX(AL14,BH14)))</f>
        <v>0</v>
      </c>
      <c r="M14" s="15" t="str">
        <f>IF(AND(L14=CD14,$K14&lt;&gt;$BM$1),$BM$1,IF(AND(L14=BH14,$K14&lt;&gt;$AQ$1),$AQ$1,IF(AND(L14=AL14,$K14&lt;&gt;$U$1),$U$1,"")))</f>
        <v/>
      </c>
      <c r="N14" s="15">
        <f>IF($J14=$AN14,MAX(BI14,CE14),IF($J14=$BJ14,MAX(AM14,CE14),MAX(AM14,BI14)))</f>
        <v>0</v>
      </c>
      <c r="O14" s="15" t="str">
        <f>IF(AND(N14=CE14,$K14&lt;&gt;$BM$1),$BM$1,IF(AND(N14=BI14,$K14&lt;&gt;$AQ$1),$AQ$1,IF(AND(N14=AM14,$K14&lt;&gt;$U$1),$U$1,"")))</f>
        <v/>
      </c>
      <c r="P14" s="15">
        <f>MAX(AO14,BK14,CG14)</f>
        <v>50.814999999999998</v>
      </c>
      <c r="Q14" s="15" t="str">
        <f>IF(P14=CG14,$BM$1,IF(P14=BK14,$AQ$1,IF(P14=AO14,$U$1,"")))</f>
        <v>2018 Nationals</v>
      </c>
      <c r="R14" s="15">
        <f>IF(MAX(CI14,CJ14,CK14)&gt;0,MAX(CI14,CJ14,CK14),"")</f>
        <v>52.035000000000004</v>
      </c>
      <c r="S14" s="29" t="str">
        <f>IF(R14="","",IF(R14=CI14,"(Vol 1)",IF(R14=CJ14,"(Vol 2)",IF(R14=CK14,"(Final)"))))</f>
        <v>(Vol 2)</v>
      </c>
      <c r="T14" s="15" t="str">
        <f>IF(R14="","",IF(R14=CI14,IF(R14+L14=LY14,$LI$1,IF(R14+L14=LD14,$KN$1,IF(R14+L14=KI14,$JS$1,IF(R14+L14=JN14,$IX$1,IF(R14+L14=IS14,$IC$1,IF(R14+L14=HX14,$HH$1,IF(R14+L14=HC14,$GM$1,IF(R14+L14=GH14,$FR$1,IF(R14+L14=FM14,$EW$1,IF(R14+L14=ER14,$EB$1,IF(R14+L14=DW14,$DG$1,IF(R14+L14=DB14,$CL$1)))))))))))),IF(R14=CJ14,IF(R14+N14=LZ14,$LI$1,IF(R14+N14=LE14,$KN$1,IF(R14+N14=KJ14,$JS$1,IF(R14+N14=JO14,$IX$1,IF(R14+N14=IT14,$IC$1,IF(R14+N14=HY14,$HH$1,IF(R14+N14=HD14,$GM$1,IF(R14+N14=GI14,$FR$1,IF(R14+N14=FN14,$EW$1,IF(R14+N14=ES14,$EB$1,IF(R14+N14=DX14,$DG$1,IF(R14+N14=DC14,$CL$1)))))))))))),IF(R14=CK14,IF(R14+P14=MB14,$LI$1,IF(R14+P14=LG14,$KN$1,IF(R14+P14=KL14,$JS$1,IF(R14+P14=JQ14,$IX$1,IF(R14+P14=IV14,$IC$1,IF(R14+P14=IA14,$HH$1,IF(R14+P14=HF14,$GM$1,IF(R14+P14=GK14,$FR$1,IF(R14+P14=FP14,$EW$1,IF(R14+P14=EU14,$EB$1,IF(R14+P14=DZ14,$DG$1,IF(R14+P14=DE14,$CL$1))))))))))))))))</f>
        <v>2018 World Age Groups (Nov 18)</v>
      </c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101"/>
      <c r="AK14" s="12" t="str">
        <f>IF(SUM(AB14)&gt;0,SUM(AB14),"")</f>
        <v/>
      </c>
      <c r="AL14" s="12" t="str">
        <f>IF(SUM(U14:X14)-Y14&gt;0,SUM(U14:X14)-Y14,"")</f>
        <v/>
      </c>
      <c r="AM14" s="12" t="str">
        <f>IF(SUM(Z14:AC14)-AD14&gt;0,SUM(Z14:AC14)-AD14,"")</f>
        <v/>
      </c>
      <c r="AN14" s="12" t="str">
        <f>IF(SUM(AL14:AM14)&gt;0,SUM(AL14:AM14),"")</f>
        <v/>
      </c>
      <c r="AO14" s="12" t="str">
        <f>IF(SUM(AE14:AH14)-AI14&gt;0,SUM(AE14:AH14)-AI14,"")</f>
        <v/>
      </c>
      <c r="AP14" s="12" t="str">
        <f>IF(SUM(AN14,AO14)&gt;0,SUM(AN14,AO14),"")</f>
        <v/>
      </c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105"/>
      <c r="BG14" s="15" t="str">
        <f>IF(SUM(AX14)&gt;0,SUM(AX14),"")</f>
        <v/>
      </c>
      <c r="BH14" s="15" t="str">
        <f>IF(SUM(AQ14:AT14)-AU14&gt;0,SUM(AQ14:AT14)-AU14,"")</f>
        <v/>
      </c>
      <c r="BI14" s="15" t="str">
        <f>IF(SUM(AV14:AY14)-AZ14&gt;0,SUM(AV14:AY14)-AZ14,"")</f>
        <v/>
      </c>
      <c r="BJ14" s="15" t="str">
        <f>IF(SUM(BH14:BI14)&gt;0,SUM(BH14:BI14),"")</f>
        <v/>
      </c>
      <c r="BK14" s="15" t="str">
        <f>IF(SUM(BA14:BD14)-BE14&gt;0,SUM(BA14:BD14)-BE14,"")</f>
        <v/>
      </c>
      <c r="BL14" s="15" t="str">
        <f>IF(SUM(BJ14,BK14)&gt;0,SUM(BJ14,BK14),"")</f>
        <v/>
      </c>
      <c r="BM14" s="76">
        <v>15.5</v>
      </c>
      <c r="BN14" s="76">
        <v>8.85</v>
      </c>
      <c r="BO14" s="76">
        <v>3.2</v>
      </c>
      <c r="BP14" s="76">
        <v>15.925000000000001</v>
      </c>
      <c r="BQ14" s="76">
        <v>0</v>
      </c>
      <c r="BR14" s="76">
        <v>14.3</v>
      </c>
      <c r="BS14" s="76">
        <v>9.35</v>
      </c>
      <c r="BT14" s="76">
        <v>12</v>
      </c>
      <c r="BU14" s="76">
        <v>15.1</v>
      </c>
      <c r="BV14" s="76">
        <v>0</v>
      </c>
      <c r="BW14" s="76">
        <v>14.2</v>
      </c>
      <c r="BX14" s="76">
        <v>9.1</v>
      </c>
      <c r="BY14" s="76">
        <v>12</v>
      </c>
      <c r="BZ14" s="76">
        <v>15.515000000000001</v>
      </c>
      <c r="CA14" s="76">
        <v>0</v>
      </c>
      <c r="CB14" s="101"/>
      <c r="CC14" s="12">
        <f>IF(SUM(BT14)&gt;0,SUM(BT14),"")</f>
        <v>12</v>
      </c>
      <c r="CD14" s="12">
        <f>IF(SUM(BM14:BP14)-BQ14&gt;0,SUM(BM14:BP14)-BQ14,"")</f>
        <v>43.475000000000001</v>
      </c>
      <c r="CE14" s="12">
        <f>IF(SUM(BR14:BU14)-BV14&gt;0,SUM(BR14:BU14)-BV14,"")</f>
        <v>50.75</v>
      </c>
      <c r="CF14" s="12">
        <f>IF(SUM(CD14:CE14)&gt;0,SUM(CD14:CE14),"")</f>
        <v>94.224999999999994</v>
      </c>
      <c r="CG14" s="12">
        <f>IF(SUM(BW14:BZ14)-CA14&gt;0,SUM(BW14:BZ14)-CA14,"")</f>
        <v>50.814999999999998</v>
      </c>
      <c r="CH14" s="12">
        <f>IF(SUM(CF14,CG14)&gt;0,SUM(CF14,CG14),"")</f>
        <v>145.04</v>
      </c>
      <c r="CI14" s="28">
        <f>IF(MAX(DB14,DW14,ER14,FM14,GH14,HC14,HX14,IS14,JN14,KI14,LD14,LY14)-L14&gt;0.001,MAX(DB14,DW14,ER14,FM14,GH14,HC14,HX14,IS14,JN14,KI14,LD14,LY14)-L14,"")</f>
        <v>41.16</v>
      </c>
      <c r="CJ14" s="28">
        <f>IF(MAX(DC14,DX14,ES14,FN14,GI14,HD14,HY14,IT14,JO14,KJ14,LE14,LZ14)-N14&gt;0.001,MAX(DC14,DX14,ES14,FN14,GI14,HD14,HY14,IT14,JO14,KJ14,LE14,LZ14)-N14,"")</f>
        <v>52.035000000000004</v>
      </c>
      <c r="CK14" s="28" t="str">
        <f>IF(MAX(DE14,DZ14,EU14,FP14,GK14,HF14,IA14,IV14,JQ14,KL14,LG14,MB14)-P14&gt;0.001,MAX(DE14,DZ14,EU14,FP14,GK14,HF14,IA14,IV14,JQ14,KL14,LG14,MB14)-P14,"")</f>
        <v/>
      </c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12" t="str">
        <f>IF(SUM(CS14)&gt;0,SUM(CS14),"")</f>
        <v/>
      </c>
      <c r="DB14" s="12" t="str">
        <f>IF(SUM(CL14:CO14)-CP14&gt;0,SUM(CL14:CO14)-CP14,"")</f>
        <v/>
      </c>
      <c r="DC14" s="12" t="str">
        <f>IF(SUM(CQ14:CT14)-CU14&gt;0,SUM(CQ14:CT14)-CU14,"")</f>
        <v/>
      </c>
      <c r="DD14" s="12" t="str">
        <f>IF(SUM(DB14:DC14)&gt;0,SUM(DB14:DC14),"")</f>
        <v/>
      </c>
      <c r="DE14" s="12" t="str">
        <f>IF(SUM(CV14:CY14)-CZ14&gt;0,SUM(CV14:CY14)-CZ14,"")</f>
        <v/>
      </c>
      <c r="DF14" s="12" t="str">
        <f>IF(SUM(DD14,DE14)&gt;0,SUM(DD14,DE14),"")</f>
        <v/>
      </c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15" t="str">
        <f>IF(SUM(DN14)&gt;0,SUM(DN14),"")</f>
        <v/>
      </c>
      <c r="DW14" s="15" t="str">
        <f>IF(SUM(DG14:DJ14)-DK14&gt;0,SUM(DG14:DJ14)-DK14,"")</f>
        <v/>
      </c>
      <c r="DX14" s="15" t="str">
        <f>IF(SUM(DL14:DO14)-DP14&gt;0,SUM(DL14:DO14)-DP14,"")</f>
        <v/>
      </c>
      <c r="DY14" s="15" t="str">
        <f>IF(SUM(DW14:DX14)&gt;0,SUM(DW14:DX14),"")</f>
        <v/>
      </c>
      <c r="DZ14" s="15" t="str">
        <f>IF(SUM(DQ14:DT14)-DU14&gt;0,SUM(DQ14:DT14)-DU14,"")</f>
        <v/>
      </c>
      <c r="EA14" s="15" t="str">
        <f>IF(SUM(DY14,DZ14)&gt;0,SUM(DY14,DZ14),"")</f>
        <v/>
      </c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45"/>
      <c r="EM14" s="45"/>
      <c r="EN14" s="45"/>
      <c r="EO14" s="45"/>
      <c r="EP14" s="45"/>
      <c r="EQ14" s="12" t="str">
        <f>IF(SUM(EI14)&gt;0,SUM(EI14),"")</f>
        <v/>
      </c>
      <c r="ER14" s="12" t="str">
        <f>IF(SUM(EB14:EE14)-EF14&gt;0,SUM(EB14:EE14)-EF14,"")</f>
        <v/>
      </c>
      <c r="ES14" s="12" t="str">
        <f>IF(SUM(EG14:EJ14)-EK14&gt;0,SUM(EG14:EJ14)-EK14,"")</f>
        <v/>
      </c>
      <c r="ET14" s="12" t="str">
        <f>IF(SUM(ER14:ES14)&gt;0,SUM(ER14:ES14),"")</f>
        <v/>
      </c>
      <c r="EU14" s="12" t="str">
        <f>IF(SUM(EL14:EO14)-EP14&gt;0,SUM(EL14:EO14)-EP14,"")</f>
        <v/>
      </c>
      <c r="EV14" s="12" t="str">
        <f>IF(SUM(ET14,EU14)&gt;0,SUM(ET14,EU14),"")</f>
        <v/>
      </c>
      <c r="EW14" s="46">
        <v>15.8</v>
      </c>
      <c r="EX14" s="46">
        <v>9.5</v>
      </c>
      <c r="EY14" s="46">
        <v>0</v>
      </c>
      <c r="EZ14" s="46">
        <v>15.86</v>
      </c>
      <c r="FA14" s="46">
        <v>0</v>
      </c>
      <c r="FB14" s="46">
        <v>14.1</v>
      </c>
      <c r="FC14" s="46">
        <v>9.4</v>
      </c>
      <c r="FD14" s="46">
        <v>13.1</v>
      </c>
      <c r="FE14" s="46">
        <v>15.435</v>
      </c>
      <c r="FF14" s="46">
        <v>0</v>
      </c>
      <c r="FG14" s="46"/>
      <c r="FH14" s="46"/>
      <c r="FI14" s="46"/>
      <c r="FJ14" s="46"/>
      <c r="FK14" s="46"/>
      <c r="FL14" s="15">
        <f>IF(SUM(FD14)&gt;0,SUM(FD14),"")</f>
        <v>13.1</v>
      </c>
      <c r="FM14" s="15">
        <f>IF(SUM(EW14:EZ14)-FA14&gt;0,SUM(EW14:EZ14)-FA14,"")</f>
        <v>41.16</v>
      </c>
      <c r="FN14" s="15">
        <f>IF(SUM(FB14:FE14)-FF14&gt;0,SUM(FB14:FE14)-FF14,"")</f>
        <v>52.035000000000004</v>
      </c>
      <c r="FO14" s="15">
        <f>IF(SUM(FM14:FN14)&gt;0,SUM(FM14:FN14),"")</f>
        <v>93.194999999999993</v>
      </c>
      <c r="FP14" s="15" t="str">
        <f>IF(SUM(FG14:FJ14)-FK14&gt;0,SUM(FG14:FJ14)-FK14,"")</f>
        <v/>
      </c>
      <c r="FQ14" s="15">
        <f>IF(SUM(FO14,FP14)&gt;0,SUM(FO14,FP14),"")</f>
        <v>93.194999999999993</v>
      </c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45"/>
      <c r="GC14" s="45"/>
      <c r="GD14" s="45"/>
      <c r="GE14" s="45"/>
      <c r="GF14" s="45"/>
      <c r="GG14" s="12" t="str">
        <f>IF(SUM(FY14)&gt;0,SUM(FY14),"")</f>
        <v/>
      </c>
      <c r="GH14" s="12" t="str">
        <f>IF(SUM(FR14:FU14)-FV14&gt;0,SUM(FR14:FU14)-FV14,"")</f>
        <v/>
      </c>
      <c r="GI14" s="12" t="str">
        <f>IF(SUM(FW14:FZ14)-GA14&gt;0,SUM(FW14:FZ14)-GA14,"")</f>
        <v/>
      </c>
      <c r="GJ14" s="12" t="str">
        <f>IF(SUM(GH14:GI14)&gt;0,SUM(GH14:GI14),"")</f>
        <v/>
      </c>
      <c r="GK14" s="12" t="str">
        <f>IF(SUM(GB14:GE14)-GF14&gt;0,SUM(GB14:GE14)-GF14,"")</f>
        <v/>
      </c>
      <c r="GL14" s="12" t="str">
        <f>IF(SUM(GJ14,GK14)&gt;0,SUM(GJ14,GK14),"")</f>
        <v/>
      </c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46"/>
      <c r="GZ14" s="46"/>
      <c r="HA14" s="46"/>
      <c r="HB14" s="15" t="str">
        <f>IF(SUM(GT14)&gt;0,SUM(GT14),"")</f>
        <v/>
      </c>
      <c r="HC14" s="15" t="str">
        <f>IF(SUM(GM14:GP14)-GQ14&gt;0,SUM(GM14:GP14)-GQ14,"")</f>
        <v/>
      </c>
      <c r="HD14" s="15" t="str">
        <f>IF(SUM(GR14:GU14)-GV14&gt;0,SUM(GR14:GU14)-GV14,"")</f>
        <v/>
      </c>
      <c r="HE14" s="15" t="str">
        <f>IF(SUM(HC14:HD14)&gt;0,SUM(HC14:HD14),"")</f>
        <v/>
      </c>
      <c r="HF14" s="15" t="str">
        <f>IF(SUM(GW14:GZ14)-HA14&gt;0,SUM(GW14:GZ14)-HA14,"")</f>
        <v/>
      </c>
      <c r="HG14" s="15" t="str">
        <f>IF(SUM(HE14,HF14)&gt;0,SUM(HE14,HF14),"")</f>
        <v/>
      </c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45"/>
      <c r="HS14" s="45"/>
      <c r="HT14" s="45"/>
      <c r="HU14" s="45"/>
      <c r="HV14" s="45"/>
      <c r="HW14" s="12" t="str">
        <f>IF(SUM(HO14)&gt;0,SUM(HO14),"")</f>
        <v/>
      </c>
      <c r="HX14" s="12" t="str">
        <f>IF(SUM(HH14:HK14)-HL14&gt;0,SUM(HH14:HK14)-HL14,"")</f>
        <v/>
      </c>
      <c r="HY14" s="12" t="str">
        <f>IF(SUM(HM14:HP14)-HQ14&gt;0,SUM(HM14:HP14)-HQ14,"")</f>
        <v/>
      </c>
      <c r="HZ14" s="12" t="str">
        <f>IF(SUM(HX14:HY14)&gt;0,SUM(HX14:HY14),"")</f>
        <v/>
      </c>
      <c r="IA14" s="12" t="str">
        <f>IF(SUM(HR14:HU14)-HV14&gt;0,SUM(HR14:HU14)-HV14,"")</f>
        <v/>
      </c>
      <c r="IB14" s="12" t="str">
        <f>IF(SUM(HZ14,IA14)&gt;0,SUM(HZ14,IA14),"")</f>
        <v/>
      </c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15" t="str">
        <f>IF(SUM(IJ14)&gt;0,SUM(IJ14),"")</f>
        <v/>
      </c>
      <c r="IS14" s="15" t="str">
        <f>IF(SUM(IC14:IF14)-IG14&gt;0,SUM(IC14:IF14)-IG14,"")</f>
        <v/>
      </c>
      <c r="IT14" s="15" t="str">
        <f>IF(SUM(IH14:IK14)-IL14&gt;0,SUM(IH14:IK14)-IL14,"")</f>
        <v/>
      </c>
      <c r="IU14" s="15" t="str">
        <f>IF(SUM(IS14:IT14)&gt;0,SUM(IS14:IT14),"")</f>
        <v/>
      </c>
      <c r="IV14" s="15" t="str">
        <f>IF(SUM(IM14:IP14)-IQ14&gt;0,SUM(IM14:IP14)-IQ14,"")</f>
        <v/>
      </c>
      <c r="IW14" s="15" t="str">
        <f>IF(SUM(IU14,IV14)&gt;0,SUM(IU14,IV14),"")</f>
        <v/>
      </c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45"/>
      <c r="JI14" s="45"/>
      <c r="JJ14" s="45"/>
      <c r="JK14" s="45"/>
      <c r="JL14" s="45"/>
      <c r="JM14" s="12" t="str">
        <f>IF(SUM(JE14)&gt;0,SUM(JE14),"")</f>
        <v/>
      </c>
      <c r="JN14" s="12" t="str">
        <f>IF(SUM(IX14:JA14)-JB14&gt;0,SUM(IX14:JA14)-JB14,"")</f>
        <v/>
      </c>
      <c r="JO14" s="12" t="str">
        <f>IF(SUM(JC14:JF14)-JG14&gt;0,SUM(JC14:JF14)-JG14,"")</f>
        <v/>
      </c>
      <c r="JP14" s="12" t="str">
        <f>IF(SUM(JN14:JO14)&gt;0,SUM(JN14:JO14),"")</f>
        <v/>
      </c>
      <c r="JQ14" s="12" t="str">
        <f>IF(SUM(JH14:JK14)-JL14&gt;0,SUM(JH14:JK14)-JL14,"")</f>
        <v/>
      </c>
      <c r="JR14" s="12" t="str">
        <f>IF(SUM(JP14,JQ14)&gt;0,SUM(JP14,JQ14),"")</f>
        <v/>
      </c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46"/>
      <c r="KD14" s="46"/>
      <c r="KE14" s="46"/>
      <c r="KF14" s="46"/>
      <c r="KG14" s="46"/>
      <c r="KH14" s="15" t="str">
        <f>IF(SUM(JZ14)&gt;0,SUM(JZ14),"")</f>
        <v/>
      </c>
      <c r="KI14" s="15" t="str">
        <f>IF(SUM(JS14:JV14)-JW14&gt;0,SUM(JS14:JV14)-JW14,"")</f>
        <v/>
      </c>
      <c r="KJ14" s="15" t="str">
        <f>IF(SUM(JX14:KA14)-KB14&gt;0,SUM(JX14:KA14)-KB14,"")</f>
        <v/>
      </c>
      <c r="KK14" s="15" t="str">
        <f>IF(SUM(KI14:KJ14)&gt;0,SUM(KI14:KJ14),"")</f>
        <v/>
      </c>
      <c r="KL14" s="15" t="str">
        <f>IF(SUM(KC14:KF14)-KG14&gt;0,SUM(KC14:KF14)-KG14,"")</f>
        <v/>
      </c>
      <c r="KM14" s="15" t="str">
        <f>IF(SUM(KK14,KL14)&gt;0,SUM(KK14,KL14),"")</f>
        <v/>
      </c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45"/>
      <c r="KY14" s="45"/>
      <c r="KZ14" s="45"/>
      <c r="LA14" s="45"/>
      <c r="LB14" s="45"/>
      <c r="LC14" s="12" t="str">
        <f>IF(SUM(KU14)&gt;0,SUM(KU14),"")</f>
        <v/>
      </c>
      <c r="LD14" s="12" t="str">
        <f>IF(SUM(KN14:KQ14)-KR14&gt;0,SUM(KN14:KQ14)-KR14,"")</f>
        <v/>
      </c>
      <c r="LE14" s="12" t="str">
        <f>IF(SUM(KS14:KV14)-KW14&gt;0,SUM(KS14:KV14)-KW14,"")</f>
        <v/>
      </c>
      <c r="LF14" s="12" t="str">
        <f>IF(SUM(LD14:LE14)&gt;0,SUM(LD14:LE14),"")</f>
        <v/>
      </c>
      <c r="LG14" s="12" t="str">
        <f>IF(SUM(KX14:LA14)-LB14&gt;0,SUM(KX14:LA14)-LB14,"")</f>
        <v/>
      </c>
      <c r="LH14" s="12" t="str">
        <f>IF(SUM(LF14,LG14)&gt;0,SUM(LF14,LG14),"")</f>
        <v/>
      </c>
      <c r="LI14" s="46"/>
      <c r="LJ14" s="46"/>
      <c r="LK14" s="46"/>
      <c r="LL14" s="46"/>
      <c r="LM14" s="46"/>
      <c r="LN14" s="46"/>
      <c r="LO14" s="46"/>
      <c r="LP14" s="46"/>
      <c r="LQ14" s="46"/>
      <c r="LR14" s="46"/>
      <c r="LS14" s="46"/>
      <c r="LT14" s="46"/>
      <c r="LU14" s="46"/>
      <c r="LV14" s="46"/>
      <c r="LW14" s="46"/>
      <c r="LX14" s="15" t="str">
        <f>IF(SUM(LP14)&gt;0,SUM(LP14),"")</f>
        <v/>
      </c>
      <c r="LY14" s="15" t="str">
        <f>IF(SUM(LI14:LL14)-LM14&gt;0,SUM(LI14:LL14)-LM14,"")</f>
        <v/>
      </c>
      <c r="LZ14" s="15" t="str">
        <f>IF(SUM(LN14:LQ14)-LR14&gt;0,SUM(LN14:LQ14)-LR14,"")</f>
        <v/>
      </c>
      <c r="MA14" s="15" t="str">
        <f>IF(SUM(LY14:LZ14)&gt;0,SUM(LY14:LZ14),"")</f>
        <v/>
      </c>
      <c r="MB14" s="15" t="str">
        <f>IF(SUM(LS14:LV14)-LW14&gt;0,SUM(LS14:LV14)-LW14,"")</f>
        <v/>
      </c>
      <c r="MC14" s="15" t="str">
        <f>IF(SUM(MA14,MB14)&gt;0,SUM(MA14,MB14),"")</f>
        <v/>
      </c>
    </row>
    <row r="15" spans="1:341" x14ac:dyDescent="0.2">
      <c r="A15" s="6">
        <f>IF(AND(F15="P",H15="P"),SUMPRODUCT((F$4:F$21="P")*(H$4:H$21="P")*(E$4:E$21&gt;E15))+1,IF(H15="P",SUMPRODUCT((F$4:F$21="")*(H$4:H$21="P")*(E$4:E$21&gt;E15))+1+SUMPRODUCT((F$4:F$21="P")*(H$4:H$21="P")),""))</f>
        <v>6</v>
      </c>
      <c r="B15" s="9" t="s">
        <v>75</v>
      </c>
      <c r="C15" s="5" t="s">
        <v>6</v>
      </c>
      <c r="D15" s="31">
        <v>2000</v>
      </c>
      <c r="E15" s="16">
        <f>SUM(J15:R15)</f>
        <v>194.08500000000001</v>
      </c>
      <c r="F15" s="4" t="str">
        <f>IF(OR(AND($AK15&gt;=$AL$24,NOT($AK15=""),$AJ15=""),AND($BG15&gt;=$BH$24,NOT($BG15=""),$BF15=""),AND($CC15&gt;=$CD$24,NOT($CC15=""),$CB15="")),"P","")</f>
        <v/>
      </c>
      <c r="G15" s="4" t="str">
        <f>IF(OR(AND($AK15&gt;=$AL$25,NOT($AK15=""),$AJ15=""),AND($BG15&gt;=$BH$25,NOT($BG15=""),$BF15=""),AND($CC15&gt;=$CD$25,NOT($CC15=""),$CB15="")),"P","")</f>
        <v/>
      </c>
      <c r="H15" s="4" t="str">
        <f>IF(OR(AND($AN15&gt;=$AL$26,NOT($AN15=""),$AJ15=""),AND($BJ15&gt;=$BH$26,NOT($BJ15=""),$BF15=""),AND($CF15&gt;=$CD$26,NOT($CF15=""),$CB15="")),"P","")</f>
        <v>P</v>
      </c>
      <c r="I15" t="str">
        <f>IF(AND(F15="P",OR(AND($AM15&gt;$AL$29,NOT($AM15=""),$AJ15=""),AND($AO15&gt;$AL$29,NOT($AO15=""),$AJ15=""),AND($BI15&gt;$BH$29,NOT($BI15=""),$BF15=""),AND($BK15&gt;$BH$29,NOT($BK15=""),$BF15=""),AND($CE15&gt;$CD$29,NOT($CE15=""),$CB15=""),AND($CG15&gt;$CD$29,NOT($CG15=""),$CB15=""))),"Merit",IF(AND(F15="P",OR(AND($AN15&gt;$AL$28,NOT($AN15=""),$AJ15=""),AND($BJ15&gt;$BH$28,NOT($BJ15=""),$BF15=""),AND($CF15&gt;$CD$28,NOT($CF15=""),$CB15=""))),"Funding",IF(AND(F15="P",OR(AND($AN15&gt;$AL$27,NOT($AN15=""),$AJ15=""),AND($BJ15&gt;$BH$27,NOT($BJ15=""),$BF15=""),AND($CF15&gt;$CD$27,NOT($CF15=""),$CB15=""))),"Worlds Team",IF(AND(F15="P",OR(AND($AN15&gt;$AL$26,NOT($AN15=""),$AJ15=""),AND($BJ15&gt;$BH$26,NOT($BJ15=""),$BF15=""),AND($CF15&gt;$CD$26,NOT($CF15=""),$CB15=""))),"National Team",""))))</f>
        <v/>
      </c>
      <c r="J15" s="15">
        <f>MAX(AN15,BJ15,CF15)</f>
        <v>98.34</v>
      </c>
      <c r="K15" s="15" t="str">
        <f>IF(J15=CF15,$BM$1,IF(J15=BJ15,$AQ$1,IF(J15=AN15,$U$1,"")))</f>
        <v>2018 Nationals</v>
      </c>
      <c r="L15" s="15">
        <f>IF($J15=$AN15,MAX(BH15,CD15),IF($J15=$BJ15,MAX(AL15,CD15),MAX(AL15,BH15)))</f>
        <v>0</v>
      </c>
      <c r="M15" s="15" t="str">
        <f>IF(AND(L15=CD15,$K15&lt;&gt;$BM$1),$BM$1,IF(AND(L15=BH15,$K15&lt;&gt;$AQ$1),$AQ$1,IF(AND(L15=AL15,$K15&lt;&gt;$U$1),$U$1,"")))</f>
        <v/>
      </c>
      <c r="N15" s="15">
        <f>IF($J15=$AN15,MAX(BI15,CE15),IF($J15=$BJ15,MAX(AM15,CE15),MAX(AM15,BI15)))</f>
        <v>0</v>
      </c>
      <c r="O15" s="15" t="str">
        <f>IF(AND(N15=CE15,$K15&lt;&gt;$BM$1),$BM$1,IF(AND(N15=BI15,$K15&lt;&gt;$AQ$1),$AQ$1,IF(AND(N15=AM15,$K15&lt;&gt;$U$1),$U$1,"")))</f>
        <v/>
      </c>
      <c r="P15" s="15">
        <f>MAX(AO15,BK15,CG15)</f>
        <v>53.019999999999996</v>
      </c>
      <c r="Q15" s="15" t="str">
        <f>IF(P15=CG15,$BM$1,IF(P15=BK15,$AQ$1,IF(P15=AO15,$U$1,"")))</f>
        <v>2018 Nationals</v>
      </c>
      <c r="R15" s="15">
        <f>IF(MAX(CI15,CJ15,CK15)&gt;0,MAX(CI15,CJ15,CK15),"")</f>
        <v>42.724999999999994</v>
      </c>
      <c r="S15" s="29" t="str">
        <f>IF(R15="","",IF(R15=CI15,"(Vol 1)",IF(R15=CJ15,"(Vol 2)",IF(R15=CK15,"(Final)"))))</f>
        <v>(Vol 1)</v>
      </c>
      <c r="T15" s="15" t="str">
        <f>IF(R15="","",IF(R15=CI15,IF(R15+L15=LY15,$LI$1,IF(R15+L15=LD15,$KN$1,IF(R15+L15=KI15,$JS$1,IF(R15+L15=JN15,$IX$1,IF(R15+L15=IS15,$IC$1,IF(R15+L15=HX15,$HH$1,IF(R15+L15=HC15,$GM$1,IF(R15+L15=GH15,$FR$1,IF(R15+L15=FM15,$EW$1,IF(R15+L15=ER15,$EB$1,IF(R15+L15=DW15,$DG$1,IF(R15+L15=DB15,$CL$1)))))))))))),IF(R15=CJ15,IF(R15+N15=LZ15,$LI$1,IF(R15+N15=LE15,$KN$1,IF(R15+N15=KJ15,$JS$1,IF(R15+N15=JO15,$IX$1,IF(R15+N15=IT15,$IC$1,IF(R15+N15=HY15,$HH$1,IF(R15+N15=HD15,$GM$1,IF(R15+N15=GI15,$FR$1,IF(R15+N15=FN15,$EW$1,IF(R15+N15=ES15,$EB$1,IF(R15+N15=DX15,$DG$1,IF(R15+N15=DC15,$CL$1)))))))))))),IF(R15=CK15,IF(R15+P15=MB15,$LI$1,IF(R15+P15=LG15,$KN$1,IF(R15+P15=KL15,$JS$1,IF(R15+P15=JQ15,$IX$1,IF(R15+P15=IV15,$IC$1,IF(R15+P15=IA15,$HH$1,IF(R15+P15=HF15,$GM$1,IF(R15+P15=GK15,$FR$1,IF(R15+P15=FP15,$EW$1,IF(R15+P15=EU15,$EB$1,IF(R15+P15=DZ15,$DG$1,IF(R15+P15=DE15,$CL$1))))))))))))))))</f>
        <v>2018 World Age Groups (Nov 18)</v>
      </c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101"/>
      <c r="AK15" s="12" t="str">
        <f>IF(SUM(AB15)&gt;0,SUM(AB15),"")</f>
        <v/>
      </c>
      <c r="AL15" s="12" t="str">
        <f>IF(SUM(U15:X15)-Y15&gt;0,SUM(U15:X15)-Y15,"")</f>
        <v/>
      </c>
      <c r="AM15" s="12" t="str">
        <f>IF(SUM(Z15:AC15)-AD15&gt;0,SUM(Z15:AC15)-AD15,"")</f>
        <v/>
      </c>
      <c r="AN15" s="12" t="str">
        <f>IF(SUM(AL15:AM15)&gt;0,SUM(AL15:AM15),"")</f>
        <v/>
      </c>
      <c r="AO15" s="12" t="str">
        <f>IF(SUM(AE15:AH15)-AI15&gt;0,SUM(AE15:AH15)-AI15,"")</f>
        <v/>
      </c>
      <c r="AP15" s="12" t="str">
        <f>IF(SUM(AN15,AO15)&gt;0,SUM(AN15,AO15),"")</f>
        <v/>
      </c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104"/>
      <c r="BG15" s="15" t="str">
        <f>IF(SUM(AX15)&gt;0,SUM(AX15),"")</f>
        <v/>
      </c>
      <c r="BH15" s="15" t="str">
        <f>IF(SUM(AQ15:AT15)-AU15&gt;0,SUM(AQ15:AT15)-AU15,"")</f>
        <v/>
      </c>
      <c r="BI15" s="15" t="str">
        <f>IF(SUM(AV15:AY15)-AZ15&gt;0,SUM(AV15:AY15)-AZ15,"")</f>
        <v/>
      </c>
      <c r="BJ15" s="15" t="str">
        <f>IF(SUM(BH15:BI15)&gt;0,SUM(BH15:BI15),"")</f>
        <v/>
      </c>
      <c r="BK15" s="15" t="str">
        <f>IF(SUM(BA15:BD15)-BE15&gt;0,SUM(BA15:BD15)-BE15,"")</f>
        <v/>
      </c>
      <c r="BL15" s="15" t="str">
        <f>IF(SUM(BJ15,BK15)&gt;0,SUM(BJ15,BK15),"")</f>
        <v/>
      </c>
      <c r="BM15" s="76">
        <v>16.600000000000001</v>
      </c>
      <c r="BN15" s="76">
        <v>9.5500000000000007</v>
      </c>
      <c r="BO15" s="76">
        <v>3.9</v>
      </c>
      <c r="BP15" s="76">
        <v>16.164999999999999</v>
      </c>
      <c r="BQ15" s="76">
        <v>0</v>
      </c>
      <c r="BR15" s="76">
        <v>15.8</v>
      </c>
      <c r="BS15" s="76">
        <v>9.0500000000000007</v>
      </c>
      <c r="BT15" s="76">
        <v>11.5</v>
      </c>
      <c r="BU15" s="76">
        <v>15.775</v>
      </c>
      <c r="BV15" s="76">
        <v>0</v>
      </c>
      <c r="BW15" s="76">
        <v>16.5</v>
      </c>
      <c r="BX15" s="76">
        <v>8.9</v>
      </c>
      <c r="BY15" s="76">
        <v>11.7</v>
      </c>
      <c r="BZ15" s="76">
        <v>15.92</v>
      </c>
      <c r="CA15" s="76">
        <v>0</v>
      </c>
      <c r="CB15" s="100"/>
      <c r="CC15" s="12">
        <f>IF(SUM(BT15)&gt;0,SUM(BT15),"")</f>
        <v>11.5</v>
      </c>
      <c r="CD15" s="12">
        <f>IF(SUM(BM15:BP15)-BQ15&gt;0,SUM(BM15:BP15)-BQ15,"")</f>
        <v>46.215000000000003</v>
      </c>
      <c r="CE15" s="12">
        <f>IF(SUM(BR15:BU15)-BV15&gt;0,SUM(BR15:BU15)-BV15,"")</f>
        <v>52.125</v>
      </c>
      <c r="CF15" s="12">
        <f>IF(SUM(CD15:CE15)&gt;0,SUM(CD15:CE15),"")</f>
        <v>98.34</v>
      </c>
      <c r="CG15" s="12">
        <f>IF(SUM(BW15:BZ15)-CA15&gt;0,SUM(BW15:BZ15)-CA15,"")</f>
        <v>53.019999999999996</v>
      </c>
      <c r="CH15" s="12">
        <f>IF(SUM(CF15,CG15)&gt;0,SUM(CF15,CG15),"")</f>
        <v>151.36000000000001</v>
      </c>
      <c r="CI15" s="28">
        <f>IF(MAX(DB15,DW15,ER15,FM15,GH15,HC15,HX15,IS15,JN15,KI15,LD15,LY15)-L15&gt;0.001,MAX(DB15,DW15,ER15,FM15,GH15,HC15,HX15,IS15,JN15,KI15,LD15,LY15)-L15,"")</f>
        <v>42.724999999999994</v>
      </c>
      <c r="CJ15" s="28">
        <f>IF(MAX(DC15,DX15,ES15,FN15,GI15,HD15,HY15,IT15,JO15,KJ15,LE15,LZ15)-N15&gt;0.001,MAX(DC15,DX15,ES15,FN15,GI15,HD15,HY15,IT15,JO15,KJ15,LE15,LZ15)-N15,"")</f>
        <v>35.49</v>
      </c>
      <c r="CK15" s="28" t="str">
        <f>IF(MAX(DE15,DZ15,EU15,FP15,GK15,HF15,IA15,IV15,JQ15,KL15,LG15,MB15)-P15&gt;0.001,MAX(DE15,DZ15,EU15,FP15,GK15,HF15,IA15,IV15,JQ15,KL15,LG15,MB15)-P15,"")</f>
        <v/>
      </c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45"/>
      <c r="CY15" s="45"/>
      <c r="CZ15" s="45"/>
      <c r="DA15" s="12" t="str">
        <f>IF(SUM(CS15)&gt;0,SUM(CS15),"")</f>
        <v/>
      </c>
      <c r="DB15" s="12" t="str">
        <f>IF(SUM(CL15:CO15)-CP15&gt;0,SUM(CL15:CO15)-CP15,"")</f>
        <v/>
      </c>
      <c r="DC15" s="12" t="str">
        <f>IF(SUM(CQ15:CT15)-CU15&gt;0,SUM(CQ15:CT15)-CU15,"")</f>
        <v/>
      </c>
      <c r="DD15" s="12" t="str">
        <f>IF(SUM(DB15:DC15)&gt;0,SUM(DB15:DC15),"")</f>
        <v/>
      </c>
      <c r="DE15" s="12" t="str">
        <f>IF(SUM(CV15:CY15)-CZ15&gt;0,SUM(CV15:CY15)-CZ15,"")</f>
        <v/>
      </c>
      <c r="DF15" s="12" t="str">
        <f>IF(SUM(DD15,DE15)&gt;0,SUM(DD15,DE15),"")</f>
        <v/>
      </c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15" t="str">
        <f>IF(SUM(DN15)&gt;0,SUM(DN15),"")</f>
        <v/>
      </c>
      <c r="DW15" s="15" t="str">
        <f>IF(SUM(DG15:DJ15)-DK15&gt;0,SUM(DG15:DJ15)-DK15,"")</f>
        <v/>
      </c>
      <c r="DX15" s="15" t="str">
        <f>IF(SUM(DL15:DO15)-DP15&gt;0,SUM(DL15:DO15)-DP15,"")</f>
        <v/>
      </c>
      <c r="DY15" s="15" t="str">
        <f>IF(SUM(DW15:DX15)&gt;0,SUM(DW15:DX15),"")</f>
        <v/>
      </c>
      <c r="DZ15" s="15" t="str">
        <f>IF(SUM(DQ15:DT15)-DU15&gt;0,SUM(DQ15:DT15)-DU15,"")</f>
        <v/>
      </c>
      <c r="EA15" s="15" t="str">
        <f>IF(SUM(DY15,DZ15)&gt;0,SUM(DY15,DZ15),"")</f>
        <v/>
      </c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45"/>
      <c r="EM15" s="45"/>
      <c r="EN15" s="45"/>
      <c r="EO15" s="45"/>
      <c r="EP15" s="45"/>
      <c r="EQ15" s="12" t="str">
        <f>IF(SUM(EI15)&gt;0,SUM(EI15),"")</f>
        <v/>
      </c>
      <c r="ER15" s="12" t="str">
        <f>IF(SUM(EB15:EE15)-EF15&gt;0,SUM(EB15:EE15)-EF15,"")</f>
        <v/>
      </c>
      <c r="ES15" s="12" t="str">
        <f>IF(SUM(EG15:EJ15)-EK15&gt;0,SUM(EG15:EJ15)-EK15,"")</f>
        <v/>
      </c>
      <c r="ET15" s="12" t="str">
        <f>IF(SUM(ER15:ES15)&gt;0,SUM(ER15:ES15),"")</f>
        <v/>
      </c>
      <c r="EU15" s="12" t="str">
        <f>IF(SUM(EL15:EO15)-EP15&gt;0,SUM(EL15:EO15)-EP15,"")</f>
        <v/>
      </c>
      <c r="EV15" s="12" t="str">
        <f>IF(SUM(ET15,EU15)&gt;0,SUM(ET15,EU15),"")</f>
        <v/>
      </c>
      <c r="EW15" s="46">
        <v>16.399999999999999</v>
      </c>
      <c r="EX15" s="46">
        <v>9.6999999999999993</v>
      </c>
      <c r="EY15" s="46">
        <v>0</v>
      </c>
      <c r="EZ15" s="46">
        <v>16.625</v>
      </c>
      <c r="FA15" s="46">
        <v>0</v>
      </c>
      <c r="FB15" s="46">
        <v>9.4</v>
      </c>
      <c r="FC15" s="46">
        <v>5.8</v>
      </c>
      <c r="FD15" s="46">
        <v>9.3000000000000007</v>
      </c>
      <c r="FE15" s="46">
        <v>10.99</v>
      </c>
      <c r="FF15" s="46">
        <v>0</v>
      </c>
      <c r="FG15" s="46"/>
      <c r="FH15" s="46"/>
      <c r="FI15" s="46"/>
      <c r="FJ15" s="46"/>
      <c r="FK15" s="46"/>
      <c r="FL15" s="15">
        <f>IF(SUM(FD15)&gt;0,SUM(FD15),"")</f>
        <v>9.3000000000000007</v>
      </c>
      <c r="FM15" s="15">
        <f>IF(SUM(EW15:EZ15)-FA15&gt;0,SUM(EW15:EZ15)-FA15,"")</f>
        <v>42.724999999999994</v>
      </c>
      <c r="FN15" s="15">
        <f>IF(SUM(FB15:FE15)-FF15&gt;0,SUM(FB15:FE15)-FF15,"")</f>
        <v>35.49</v>
      </c>
      <c r="FO15" s="15">
        <f>IF(SUM(FM15:FN15)&gt;0,SUM(FM15:FN15),"")</f>
        <v>78.215000000000003</v>
      </c>
      <c r="FP15" s="15" t="str">
        <f>IF(SUM(FG15:FJ15)-FK15&gt;0,SUM(FG15:FJ15)-FK15,"")</f>
        <v/>
      </c>
      <c r="FQ15" s="15">
        <f>IF(SUM(FO15,FP15)&gt;0,SUM(FO15,FP15),"")</f>
        <v>78.215000000000003</v>
      </c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45"/>
      <c r="GC15" s="45"/>
      <c r="GD15" s="45"/>
      <c r="GE15" s="45"/>
      <c r="GF15" s="45"/>
      <c r="GG15" s="12" t="str">
        <f>IF(SUM(FY15)&gt;0,SUM(FY15),"")</f>
        <v/>
      </c>
      <c r="GH15" s="12" t="str">
        <f>IF(SUM(FR15:FU15)-FV15&gt;0,SUM(FR15:FU15)-FV15,"")</f>
        <v/>
      </c>
      <c r="GI15" s="12" t="str">
        <f>IF(SUM(FW15:FZ15)-GA15&gt;0,SUM(FW15:FZ15)-GA15,"")</f>
        <v/>
      </c>
      <c r="GJ15" s="12" t="str">
        <f>IF(SUM(GH15:GI15)&gt;0,SUM(GH15:GI15),"")</f>
        <v/>
      </c>
      <c r="GK15" s="12" t="str">
        <f>IF(SUM(GB15:GE15)-GF15&gt;0,SUM(GB15:GE15)-GF15,"")</f>
        <v/>
      </c>
      <c r="GL15" s="12" t="str">
        <f>IF(SUM(GJ15,GK15)&gt;0,SUM(GJ15,GK15),"")</f>
        <v/>
      </c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15" t="str">
        <f>IF(SUM(GT15)&gt;0,SUM(GT15),"")</f>
        <v/>
      </c>
      <c r="HC15" s="15" t="str">
        <f>IF(SUM(GM15:GP15)-GQ15&gt;0,SUM(GM15:GP15)-GQ15,"")</f>
        <v/>
      </c>
      <c r="HD15" s="15" t="str">
        <f>IF(SUM(GR15:GU15)-GV15&gt;0,SUM(GR15:GU15)-GV15,"")</f>
        <v/>
      </c>
      <c r="HE15" s="15" t="str">
        <f>IF(SUM(HC15:HD15)&gt;0,SUM(HC15:HD15),"")</f>
        <v/>
      </c>
      <c r="HF15" s="15" t="str">
        <f>IF(SUM(GW15:GZ15)-HA15&gt;0,SUM(GW15:GZ15)-HA15,"")</f>
        <v/>
      </c>
      <c r="HG15" s="15" t="str">
        <f>IF(SUM(HE15,HF15)&gt;0,SUM(HE15,HF15),"")</f>
        <v/>
      </c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45"/>
      <c r="HS15" s="45"/>
      <c r="HT15" s="45"/>
      <c r="HU15" s="45"/>
      <c r="HV15" s="45"/>
      <c r="HW15" s="12" t="str">
        <f>IF(SUM(HO15)&gt;0,SUM(HO15),"")</f>
        <v/>
      </c>
      <c r="HX15" s="12" t="str">
        <f>IF(SUM(HH15:HK15)-HL15&gt;0,SUM(HH15:HK15)-HL15,"")</f>
        <v/>
      </c>
      <c r="HY15" s="12" t="str">
        <f>IF(SUM(HM15:HP15)-HQ15&gt;0,SUM(HM15:HP15)-HQ15,"")</f>
        <v/>
      </c>
      <c r="HZ15" s="12" t="str">
        <f>IF(SUM(HX15:HY15)&gt;0,SUM(HX15:HY15),"")</f>
        <v/>
      </c>
      <c r="IA15" s="12" t="str">
        <f>IF(SUM(HR15:HU15)-HV15&gt;0,SUM(HR15:HU15)-HV15,"")</f>
        <v/>
      </c>
      <c r="IB15" s="12" t="str">
        <f>IF(SUM(HZ15,IA15)&gt;0,SUM(HZ15,IA15),"")</f>
        <v/>
      </c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15" t="str">
        <f>IF(SUM(IJ15)&gt;0,SUM(IJ15),"")</f>
        <v/>
      </c>
      <c r="IS15" s="15" t="str">
        <f>IF(SUM(IC15:IF15)-IG15&gt;0,SUM(IC15:IF15)-IG15,"")</f>
        <v/>
      </c>
      <c r="IT15" s="15" t="str">
        <f>IF(SUM(IH15:IK15)-IL15&gt;0,SUM(IH15:IK15)-IL15,"")</f>
        <v/>
      </c>
      <c r="IU15" s="15" t="str">
        <f>IF(SUM(IS15:IT15)&gt;0,SUM(IS15:IT15),"")</f>
        <v/>
      </c>
      <c r="IV15" s="15" t="str">
        <f>IF(SUM(IM15:IP15)-IQ15&gt;0,SUM(IM15:IP15)-IQ15,"")</f>
        <v/>
      </c>
      <c r="IW15" s="15" t="str">
        <f>IF(SUM(IU15,IV15)&gt;0,SUM(IU15,IV15),"")</f>
        <v/>
      </c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45"/>
      <c r="JI15" s="45"/>
      <c r="JJ15" s="45"/>
      <c r="JK15" s="45"/>
      <c r="JL15" s="45"/>
      <c r="JM15" s="12" t="str">
        <f>IF(SUM(JE15)&gt;0,SUM(JE15),"")</f>
        <v/>
      </c>
      <c r="JN15" s="12" t="str">
        <f>IF(SUM(IX15:JA15)-JB15&gt;0,SUM(IX15:JA15)-JB15,"")</f>
        <v/>
      </c>
      <c r="JO15" s="12" t="str">
        <f>IF(SUM(JC15:JF15)-JG15&gt;0,SUM(JC15:JF15)-JG15,"")</f>
        <v/>
      </c>
      <c r="JP15" s="12" t="str">
        <f>IF(SUM(JN15:JO15)&gt;0,SUM(JN15:JO15),"")</f>
        <v/>
      </c>
      <c r="JQ15" s="12" t="str">
        <f>IF(SUM(JH15:JK15)-JL15&gt;0,SUM(JH15:JK15)-JL15,"")</f>
        <v/>
      </c>
      <c r="JR15" s="12" t="str">
        <f>IF(SUM(JP15,JQ15)&gt;0,SUM(JP15,JQ15),"")</f>
        <v/>
      </c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46"/>
      <c r="KD15" s="46"/>
      <c r="KE15" s="46"/>
      <c r="KF15" s="46"/>
      <c r="KG15" s="46"/>
      <c r="KH15" s="15" t="str">
        <f>IF(SUM(JZ15)&gt;0,SUM(JZ15),"")</f>
        <v/>
      </c>
      <c r="KI15" s="15" t="str">
        <f>IF(SUM(JS15:JV15)-JW15&gt;0,SUM(JS15:JV15)-JW15,"")</f>
        <v/>
      </c>
      <c r="KJ15" s="15" t="str">
        <f>IF(SUM(JX15:KA15)-KB15&gt;0,SUM(JX15:KA15)-KB15,"")</f>
        <v/>
      </c>
      <c r="KK15" s="15" t="str">
        <f>IF(SUM(KI15:KJ15)&gt;0,SUM(KI15:KJ15),"")</f>
        <v/>
      </c>
      <c r="KL15" s="15" t="str">
        <f>IF(SUM(KC15:KF15)-KG15&gt;0,SUM(KC15:KF15)-KG15,"")</f>
        <v/>
      </c>
      <c r="KM15" s="15" t="str">
        <f>IF(SUM(KK15,KL15)&gt;0,SUM(KK15,KL15),"")</f>
        <v/>
      </c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45"/>
      <c r="KY15" s="45"/>
      <c r="KZ15" s="45"/>
      <c r="LA15" s="45"/>
      <c r="LB15" s="45"/>
      <c r="LC15" s="12" t="str">
        <f>IF(SUM(KU15)&gt;0,SUM(KU15),"")</f>
        <v/>
      </c>
      <c r="LD15" s="12" t="str">
        <f>IF(SUM(KN15:KQ15)-KR15&gt;0,SUM(KN15:KQ15)-KR15,"")</f>
        <v/>
      </c>
      <c r="LE15" s="12" t="str">
        <f>IF(SUM(KS15:KV15)-KW15&gt;0,SUM(KS15:KV15)-KW15,"")</f>
        <v/>
      </c>
      <c r="LF15" s="12" t="str">
        <f>IF(SUM(LD15:LE15)&gt;0,SUM(LD15:LE15),"")</f>
        <v/>
      </c>
      <c r="LG15" s="12" t="str">
        <f>IF(SUM(KX15:LA15)-LB15&gt;0,SUM(KX15:LA15)-LB15,"")</f>
        <v/>
      </c>
      <c r="LH15" s="12" t="str">
        <f>IF(SUM(LF15,LG15)&gt;0,SUM(LF15,LG15),"")</f>
        <v/>
      </c>
      <c r="LI15" s="46"/>
      <c r="LJ15" s="46"/>
      <c r="LK15" s="46"/>
      <c r="LL15" s="46"/>
      <c r="LM15" s="46"/>
      <c r="LN15" s="46"/>
      <c r="LO15" s="46"/>
      <c r="LP15" s="46"/>
      <c r="LQ15" s="46"/>
      <c r="LR15" s="46"/>
      <c r="LS15" s="46"/>
      <c r="LT15" s="46"/>
      <c r="LU15" s="46"/>
      <c r="LV15" s="46"/>
      <c r="LW15" s="46"/>
      <c r="LX15" s="15" t="str">
        <f>IF(SUM(LP15)&gt;0,SUM(LP15),"")</f>
        <v/>
      </c>
      <c r="LY15" s="15" t="str">
        <f>IF(SUM(LI15:LL15)-LM15&gt;0,SUM(LI15:LL15)-LM15,"")</f>
        <v/>
      </c>
      <c r="LZ15" s="15" t="str">
        <f>IF(SUM(LN15:LQ15)-LR15&gt;0,SUM(LN15:LQ15)-LR15,"")</f>
        <v/>
      </c>
      <c r="MA15" s="15" t="str">
        <f>IF(SUM(LY15:LZ15)&gt;0,SUM(LY15:LZ15),"")</f>
        <v/>
      </c>
      <c r="MB15" s="15" t="str">
        <f>IF(SUM(LS15:LV15)-LW15&gt;0,SUM(LS15:LV15)-LW15,"")</f>
        <v/>
      </c>
      <c r="MC15" s="15" t="str">
        <f>IF(SUM(MA15,MB15)&gt;0,SUM(MA15,MB15),"")</f>
        <v/>
      </c>
    </row>
    <row r="16" spans="1:341" x14ac:dyDescent="0.2">
      <c r="A16" s="6" t="str">
        <f>IF(AND(F16="P",H16="P"),SUMPRODUCT((F$4:F$21="P")*(H$4:H$21="P")*(E$4:E$21&gt;E16))+1,IF(H16="P",SUMPRODUCT((F$4:F$21="")*(H$4:H$21="P")*(E$4:E$21&gt;E16))+1+SUMPRODUCT((F$4:F$21="P")*(H$4:H$21="P")),""))</f>
        <v/>
      </c>
      <c r="B16" s="7" t="s">
        <v>80</v>
      </c>
      <c r="C16" s="8" t="s">
        <v>3</v>
      </c>
      <c r="D16" s="31">
        <v>2001</v>
      </c>
      <c r="E16" s="16">
        <f>SUM(J16:R16)</f>
        <v>168.35</v>
      </c>
      <c r="F16" s="4" t="str">
        <f>IF(OR(AND($AK16&gt;=$AL$24,NOT($AK16=""),$AJ16=""),AND($BG16&gt;=$BH$24,NOT($BG16=""),$BF16=""),AND($CC16&gt;=$CD$24,NOT($CC16=""),$CB16="")),"P","")</f>
        <v/>
      </c>
      <c r="G16" s="4" t="str">
        <f>IF(OR(AND($AK16&gt;=$AL$25,NOT($AK16=""),$AJ16=""),AND($BG16&gt;=$BH$25,NOT($BG16=""),$BF16=""),AND($CC16&gt;=$CD$25,NOT($CC16=""),$CB16="")),"P","")</f>
        <v/>
      </c>
      <c r="H16" s="4" t="str">
        <f>IF(OR(AND($AN16&gt;=$AL$26,NOT($AN16=""),$AJ16=""),AND($BJ16&gt;=$BH$26,NOT($BJ16=""),$BF16=""),AND($CF16&gt;=$CD$26,NOT($CF16=""),$CB16="")),"P","")</f>
        <v/>
      </c>
      <c r="I16" t="str">
        <f>IF(AND(F16="P",OR(AND($AM16&gt;$AL$29,NOT($AM16=""),$AJ16=""),AND($AO16&gt;$AL$29,NOT($AO16=""),$AJ16=""),AND($BI16&gt;$BH$29,NOT($BI16=""),$BF16=""),AND($BK16&gt;$BH$29,NOT($BK16=""),$BF16=""),AND($CE16&gt;$CD$29,NOT($CE16=""),$CB16=""),AND($CG16&gt;$CD$29,NOT($CG16=""),$CB16=""))),"Merit",IF(AND(F16="P",OR(AND($AN16&gt;$AL$28,NOT($AN16=""),$AJ16=""),AND($BJ16&gt;$BH$28,NOT($BJ16=""),$BF16=""),AND($CF16&gt;$CD$28,NOT($CF16=""),$CB16=""))),"Funding",IF(AND(F16="P",OR(AND($AN16&gt;$AL$27,NOT($AN16=""),$AJ16=""),AND($BJ16&gt;$BH$27,NOT($BJ16=""),$BF16=""),AND($CF16&gt;$CD$27,NOT($CF16=""),$CB16=""))),"Worlds Team",IF(AND(F16="P",OR(AND($AN16&gt;$AL$26,NOT($AN16=""),$AJ16=""),AND($BJ16&gt;$BH$26,NOT($BJ16=""),$BF16=""),AND($CF16&gt;$CD$26,NOT($CF16=""),$CB16=""))),"National Team",""))))</f>
        <v/>
      </c>
      <c r="J16" s="15">
        <f>MAX(AN16,BJ16,CF16)</f>
        <v>97.635000000000005</v>
      </c>
      <c r="K16" s="15" t="str">
        <f>IF(J16=CF16,$BM$1,IF(J16=BJ16,$AQ$1,IF(J16=AN16,$U$1,"")))</f>
        <v>2018 Nationals</v>
      </c>
      <c r="L16" s="15">
        <f>IF($J16=$AN16,MAX(BH16,CD16),IF($J16=$BJ16,MAX(AL16,CD16),MAX(AL16,BH16)))</f>
        <v>44.305</v>
      </c>
      <c r="M16" s="15" t="str">
        <f>IF(AND(L16=CD16,$K16&lt;&gt;$BM$1),$BM$1,IF(AND(L16=BH16,$K16&lt;&gt;$AQ$1),$AQ$1,IF(AND(L16=AL16,$K16&lt;&gt;$U$1),$U$1,"")))</f>
        <v>2018 Canada Cup</v>
      </c>
      <c r="N16" s="15">
        <f>IF($J16=$AN16,MAX(BI16,CE16),IF($J16=$BJ16,MAX(AM16,CE16),MAX(AM16,BI16)))</f>
        <v>15.38</v>
      </c>
      <c r="O16" s="15" t="str">
        <f>IF(AND(N16=CE16,$K16&lt;&gt;$BM$1),$BM$1,IF(AND(N16=BI16,$K16&lt;&gt;$AQ$1),$AQ$1,IF(AND(N16=AM16,$K16&lt;&gt;$U$1),$U$1,"")))</f>
        <v>2018 Canada Cup</v>
      </c>
      <c r="P16" s="15">
        <f>MAX(AO16,BK16,CG16)</f>
        <v>11.030000000000001</v>
      </c>
      <c r="Q16" s="15" t="str">
        <f>IF(P16=CG16,$BM$1,IF(P16=BK16,$AQ$1,IF(P16=AO16,$U$1,"")))</f>
        <v>2018 Nationals</v>
      </c>
      <c r="R16" s="15" t="str">
        <f>IF(MAX(CI16,CJ16,CK16)&gt;0,MAX(CI16,CJ16,CK16),"")</f>
        <v/>
      </c>
      <c r="S16" s="29" t="str">
        <f>IF(R16="","",IF(R16=CI16,"(Vol 1)",IF(R16=CJ16,"(Vol 2)",IF(R16=CK16,"(Final)"))))</f>
        <v/>
      </c>
      <c r="T16" s="15" t="str">
        <f>IF(R16="","",IF(R16=CI16,IF(R16+L16=LY16,$LI$1,IF(R16+L16=LD16,$KN$1,IF(R16+L16=KI16,$JS$1,IF(R16+L16=JN16,$IX$1,IF(R16+L16=IS16,$IC$1,IF(R16+L16=HX16,$HH$1,IF(R16+L16=HC16,$GM$1,IF(R16+L16=GH16,$FR$1,IF(R16+L16=FM16,$EW$1,IF(R16+L16=ER16,$EB$1,IF(R16+L16=DW16,$DG$1,IF(R16+L16=DB16,$CL$1)))))))))))),IF(R16=CJ16,IF(R16+N16=LZ16,$LI$1,IF(R16+N16=LE16,$KN$1,IF(R16+N16=KJ16,$JS$1,IF(R16+N16=JO16,$IX$1,IF(R16+N16=IT16,$IC$1,IF(R16+N16=HY16,$HH$1,IF(R16+N16=HD16,$GM$1,IF(R16+N16=GI16,$FR$1,IF(R16+N16=FN16,$EW$1,IF(R16+N16=ES16,$EB$1,IF(R16+N16=DX16,$DG$1,IF(R16+N16=DC16,$CL$1)))))))))))),IF(R16=CK16,IF(R16+P16=MB16,$LI$1,IF(R16+P16=LG16,$KN$1,IF(R16+P16=KL16,$JS$1,IF(R16+P16=JQ16,$IX$1,IF(R16+P16=IV16,$IC$1,IF(R16+P16=IA16,$HH$1,IF(R16+P16=HF16,$GM$1,IF(R16+P16=GK16,$FR$1,IF(R16+P16=FP16,$EW$1,IF(R16+P16=EU16,$EB$1,IF(R16+P16=DZ16,$DG$1,IF(R16+P16=DE16,$CL$1))))))))))))))))</f>
        <v/>
      </c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9"/>
      <c r="AJ16" s="103"/>
      <c r="AK16" s="12" t="str">
        <f>IF(SUM(AB16)&gt;0,SUM(AB16),"")</f>
        <v/>
      </c>
      <c r="AL16" s="12" t="str">
        <f>IF(SUM(U16:X16)-Y16&gt;0,SUM(U16:X16)-Y16,"")</f>
        <v/>
      </c>
      <c r="AM16" s="12" t="str">
        <f>IF(SUM(Z16:AC16)-AD16&gt;0,SUM(Z16:AC16)-AD16,"")</f>
        <v/>
      </c>
      <c r="AN16" s="12" t="str">
        <f>IF(SUM(AL16:AM16)&gt;0,SUM(AL16:AM16),"")</f>
        <v/>
      </c>
      <c r="AO16" s="12" t="str">
        <f>IF(SUM(AE16:AH16)-AI16&gt;0,SUM(AE16:AH16)-AI16,"")</f>
        <v/>
      </c>
      <c r="AP16" s="12" t="str">
        <f>IF(SUM(AN16,AO16)&gt;0,SUM(AN16,AO16),"")</f>
        <v/>
      </c>
      <c r="AQ16" s="80">
        <v>15.6</v>
      </c>
      <c r="AR16" s="80">
        <v>9.1999999999999993</v>
      </c>
      <c r="AS16" s="80">
        <v>3.6</v>
      </c>
      <c r="AT16" s="80">
        <v>15.904999999999999</v>
      </c>
      <c r="AU16" s="80">
        <v>0</v>
      </c>
      <c r="AV16" s="80">
        <v>4.4000000000000004</v>
      </c>
      <c r="AW16" s="80">
        <v>2.5499999999999998</v>
      </c>
      <c r="AX16" s="80">
        <v>3.6</v>
      </c>
      <c r="AY16" s="80">
        <v>4.83</v>
      </c>
      <c r="AZ16" s="80">
        <v>0</v>
      </c>
      <c r="BA16" s="80"/>
      <c r="BB16" s="80"/>
      <c r="BC16" s="80"/>
      <c r="BD16" s="80"/>
      <c r="BE16" s="80"/>
      <c r="BF16" s="107"/>
      <c r="BG16" s="15">
        <f>IF(SUM(AX16)&gt;0,SUM(AX16),"")</f>
        <v>3.6</v>
      </c>
      <c r="BH16" s="15">
        <f>IF(SUM(AQ16:AT16)-AU16&gt;0,SUM(AQ16:AT16)-AU16,"")</f>
        <v>44.305</v>
      </c>
      <c r="BI16" s="15">
        <f>IF(SUM(AV16:AY16)-AZ16&gt;0,SUM(AV16:AY16)-AZ16,"")</f>
        <v>15.38</v>
      </c>
      <c r="BJ16" s="15">
        <f>IF(SUM(BH16:BI16)&gt;0,SUM(BH16:BI16),"")</f>
        <v>59.685000000000002</v>
      </c>
      <c r="BK16" s="15" t="str">
        <f>IF(SUM(BA16:BD16)-BE16&gt;0,SUM(BA16:BD16)-BE16,"")</f>
        <v/>
      </c>
      <c r="BL16" s="15">
        <f>IF(SUM(BJ16,BK16)&gt;0,SUM(BJ16,BK16),"")</f>
        <v>59.685000000000002</v>
      </c>
      <c r="BM16" s="76">
        <v>17.600000000000001</v>
      </c>
      <c r="BN16" s="76">
        <v>9.1999999999999993</v>
      </c>
      <c r="BO16" s="76">
        <v>3.5</v>
      </c>
      <c r="BP16" s="76">
        <v>16.245000000000001</v>
      </c>
      <c r="BQ16" s="76">
        <v>0</v>
      </c>
      <c r="BR16" s="76">
        <v>13.4</v>
      </c>
      <c r="BS16" s="76">
        <v>9.1999999999999993</v>
      </c>
      <c r="BT16" s="76">
        <v>13.4</v>
      </c>
      <c r="BU16" s="76">
        <v>15.09</v>
      </c>
      <c r="BV16" s="76">
        <v>0</v>
      </c>
      <c r="BW16" s="76">
        <v>3.2</v>
      </c>
      <c r="BX16" s="76">
        <v>2</v>
      </c>
      <c r="BY16" s="76">
        <v>2.5</v>
      </c>
      <c r="BZ16" s="76">
        <v>3.33</v>
      </c>
      <c r="CA16" s="76">
        <v>0</v>
      </c>
      <c r="CB16" s="103"/>
      <c r="CC16" s="12">
        <f>IF(SUM(BT16)&gt;0,SUM(BT16),"")</f>
        <v>13.4</v>
      </c>
      <c r="CD16" s="12">
        <f>IF(SUM(BM16:BP16)-BQ16&gt;0,SUM(BM16:BP16)-BQ16,"")</f>
        <v>46.545000000000002</v>
      </c>
      <c r="CE16" s="12">
        <f>IF(SUM(BR16:BU16)-BV16&gt;0,SUM(BR16:BU16)-BV16,"")</f>
        <v>51.09</v>
      </c>
      <c r="CF16" s="12">
        <f>IF(SUM(CD16:CE16)&gt;0,SUM(CD16:CE16),"")</f>
        <v>97.635000000000005</v>
      </c>
      <c r="CG16" s="12">
        <f>IF(SUM(BW16:BZ16)-CA16&gt;0,SUM(BW16:BZ16)-CA16,"")</f>
        <v>11.030000000000001</v>
      </c>
      <c r="CH16" s="12">
        <f>IF(SUM(CF16,CG16)&gt;0,SUM(CF16,CG16),"")</f>
        <v>108.66500000000001</v>
      </c>
      <c r="CI16" s="28" t="str">
        <f>IF(MAX(DB16,DW16,ER16,FM16,GH16,HC16,HX16,IS16,JN16,KI16,LD16,LY16)-L16&gt;0.001,MAX(DB16,DW16,ER16,FM16,GH16,HC16,HX16,IS16,JN16,KI16,LD16,LY16)-L16,"")</f>
        <v/>
      </c>
      <c r="CJ16" s="28" t="str">
        <f>IF(MAX(DC16,DX16,ES16,FN16,GI16,HD16,HY16,IT16,JO16,KJ16,LE16,LZ16)-N16&gt;0.001,MAX(DC16,DX16,ES16,FN16,GI16,HD16,HY16,IT16,JO16,KJ16,LE16,LZ16)-N16,"")</f>
        <v/>
      </c>
      <c r="CK16" s="28" t="str">
        <f>IF(MAX(DE16,DZ16,EU16,FP16,GK16,HF16,IA16,IV16,JQ16,KL16,LG16,MB16)-P16&gt;0.001,MAX(DE16,DZ16,EU16,FP16,GK16,HF16,IA16,IV16,JQ16,KL16,LG16,MB16)-P16,"")</f>
        <v/>
      </c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12" t="str">
        <f>IF(SUM(CS16)&gt;0,SUM(CS16),"")</f>
        <v/>
      </c>
      <c r="DB16" s="12" t="str">
        <f>IF(SUM(CL16:CO16)-CP16&gt;0,SUM(CL16:CO16)-CP16,"")</f>
        <v/>
      </c>
      <c r="DC16" s="12" t="str">
        <f>IF(SUM(CQ16:CT16)-CU16&gt;0,SUM(CQ16:CT16)-CU16,"")</f>
        <v/>
      </c>
      <c r="DD16" s="12" t="str">
        <f>IF(SUM(DB16:DC16)&gt;0,SUM(DB16:DC16),"")</f>
        <v/>
      </c>
      <c r="DE16" s="12" t="str">
        <f>IF(SUM(CV16:CY16)-CZ16&gt;0,SUM(CV16:CY16)-CZ16,"")</f>
        <v/>
      </c>
      <c r="DF16" s="12" t="str">
        <f>IF(SUM(DD16,DE16)&gt;0,SUM(DD16,DE16),"")</f>
        <v/>
      </c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15" t="str">
        <f>IF(SUM(DN16)&gt;0,SUM(DN16),"")</f>
        <v/>
      </c>
      <c r="DW16" s="15" t="str">
        <f>IF(SUM(DG16:DJ16)-DK16&gt;0,SUM(DG16:DJ16)-DK16,"")</f>
        <v/>
      </c>
      <c r="DX16" s="15" t="str">
        <f>IF(SUM(DL16:DO16)-DP16&gt;0,SUM(DL16:DO16)-DP16,"")</f>
        <v/>
      </c>
      <c r="DY16" s="15" t="str">
        <f>IF(SUM(DW16:DX16)&gt;0,SUM(DW16:DX16),"")</f>
        <v/>
      </c>
      <c r="DZ16" s="15" t="str">
        <f>IF(SUM(DQ16:DT16)-DU16&gt;0,SUM(DQ16:DT16)-DU16,"")</f>
        <v/>
      </c>
      <c r="EA16" s="15" t="str">
        <f>IF(SUM(DY16,DZ16)&gt;0,SUM(DY16,DZ16),"")</f>
        <v/>
      </c>
      <c r="EB16" s="45"/>
      <c r="EC16" s="45"/>
      <c r="ED16" s="45"/>
      <c r="EE16" s="45"/>
      <c r="EF16" s="45"/>
      <c r="EG16" s="45"/>
      <c r="EH16" s="45"/>
      <c r="EI16" s="45"/>
      <c r="EJ16" s="45"/>
      <c r="EK16" s="45"/>
      <c r="EL16" s="45"/>
      <c r="EM16" s="45"/>
      <c r="EN16" s="45"/>
      <c r="EO16" s="45"/>
      <c r="EP16" s="45"/>
      <c r="EQ16" s="12" t="str">
        <f>IF(SUM(EI16)&gt;0,SUM(EI16),"")</f>
        <v/>
      </c>
      <c r="ER16" s="12" t="str">
        <f>IF(SUM(EB16:EE16)-EF16&gt;0,SUM(EB16:EE16)-EF16,"")</f>
        <v/>
      </c>
      <c r="ES16" s="12" t="str">
        <f>IF(SUM(EG16:EJ16)-EK16&gt;0,SUM(EG16:EJ16)-EK16,"")</f>
        <v/>
      </c>
      <c r="ET16" s="12" t="str">
        <f>IF(SUM(ER16:ES16)&gt;0,SUM(ER16:ES16),"")</f>
        <v/>
      </c>
      <c r="EU16" s="12" t="str">
        <f>IF(SUM(EL16:EO16)-EP16&gt;0,SUM(EL16:EO16)-EP16,"")</f>
        <v/>
      </c>
      <c r="EV16" s="12" t="str">
        <f>IF(SUM(ET16,EU16)&gt;0,SUM(ET16,EU16),"")</f>
        <v/>
      </c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  <c r="FK16" s="46"/>
      <c r="FL16" s="15" t="str">
        <f>IF(SUM(FD16)&gt;0,SUM(FD16),"")</f>
        <v/>
      </c>
      <c r="FM16" s="15" t="str">
        <f>IF(SUM(EW16:EZ16)-FA16&gt;0,SUM(EW16:EZ16)-FA16,"")</f>
        <v/>
      </c>
      <c r="FN16" s="15" t="str">
        <f>IF(SUM(FB16:FE16)-FF16&gt;0,SUM(FB16:FE16)-FF16,"")</f>
        <v/>
      </c>
      <c r="FO16" s="15" t="str">
        <f>IF(SUM(FM16:FN16)&gt;0,SUM(FM16:FN16),"")</f>
        <v/>
      </c>
      <c r="FP16" s="15" t="str">
        <f>IF(SUM(FG16:FJ16)-FK16&gt;0,SUM(FG16:FJ16)-FK16,"")</f>
        <v/>
      </c>
      <c r="FQ16" s="15" t="str">
        <f>IF(SUM(FO16,FP16)&gt;0,SUM(FO16,FP16),"")</f>
        <v/>
      </c>
      <c r="FR16" s="45"/>
      <c r="FS16" s="45"/>
      <c r="FT16" s="45"/>
      <c r="FU16" s="45"/>
      <c r="FV16" s="45"/>
      <c r="FW16" s="45"/>
      <c r="FX16" s="45"/>
      <c r="FY16" s="45"/>
      <c r="FZ16" s="45"/>
      <c r="GA16" s="45"/>
      <c r="GB16" s="45"/>
      <c r="GC16" s="45"/>
      <c r="GD16" s="45"/>
      <c r="GE16" s="45"/>
      <c r="GF16" s="45"/>
      <c r="GG16" s="12" t="str">
        <f>IF(SUM(FY16)&gt;0,SUM(FY16),"")</f>
        <v/>
      </c>
      <c r="GH16" s="12" t="str">
        <f>IF(SUM(FR16:FU16)-FV16&gt;0,SUM(FR16:FU16)-FV16,"")</f>
        <v/>
      </c>
      <c r="GI16" s="12" t="str">
        <f>IF(SUM(FW16:FZ16)-GA16&gt;0,SUM(FW16:FZ16)-GA16,"")</f>
        <v/>
      </c>
      <c r="GJ16" s="12" t="str">
        <f>IF(SUM(GH16:GI16)&gt;0,SUM(GH16:GI16),"")</f>
        <v/>
      </c>
      <c r="GK16" s="12" t="str">
        <f>IF(SUM(GB16:GE16)-GF16&gt;0,SUM(GB16:GE16)-GF16,"")</f>
        <v/>
      </c>
      <c r="GL16" s="12" t="str">
        <f>IF(SUM(GJ16,GK16)&gt;0,SUM(GJ16,GK16),"")</f>
        <v/>
      </c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46"/>
      <c r="GZ16" s="46"/>
      <c r="HA16" s="46"/>
      <c r="HB16" s="15" t="str">
        <f>IF(SUM(GT16)&gt;0,SUM(GT16),"")</f>
        <v/>
      </c>
      <c r="HC16" s="15" t="str">
        <f>IF(SUM(GM16:GP16)-GQ16&gt;0,SUM(GM16:GP16)-GQ16,"")</f>
        <v/>
      </c>
      <c r="HD16" s="15" t="str">
        <f>IF(SUM(GR16:GU16)-GV16&gt;0,SUM(GR16:GU16)-GV16,"")</f>
        <v/>
      </c>
      <c r="HE16" s="15" t="str">
        <f>IF(SUM(HC16:HD16)&gt;0,SUM(HC16:HD16),"")</f>
        <v/>
      </c>
      <c r="HF16" s="15" t="str">
        <f>IF(SUM(GW16:GZ16)-HA16&gt;0,SUM(GW16:GZ16)-HA16,"")</f>
        <v/>
      </c>
      <c r="HG16" s="15" t="str">
        <f>IF(SUM(HE16,HF16)&gt;0,SUM(HE16,HF16),"")</f>
        <v/>
      </c>
      <c r="HH16" s="45"/>
      <c r="HI16" s="45"/>
      <c r="HJ16" s="45"/>
      <c r="HK16" s="45"/>
      <c r="HL16" s="45"/>
      <c r="HM16" s="45"/>
      <c r="HN16" s="45"/>
      <c r="HO16" s="45"/>
      <c r="HP16" s="45"/>
      <c r="HQ16" s="45"/>
      <c r="HR16" s="45"/>
      <c r="HS16" s="45"/>
      <c r="HT16" s="45"/>
      <c r="HU16" s="45"/>
      <c r="HV16" s="45"/>
      <c r="HW16" s="12" t="str">
        <f>IF(SUM(HO16)&gt;0,SUM(HO16),"")</f>
        <v/>
      </c>
      <c r="HX16" s="12" t="str">
        <f>IF(SUM(HH16:HK16)-HL16&gt;0,SUM(HH16:HK16)-HL16,"")</f>
        <v/>
      </c>
      <c r="HY16" s="12" t="str">
        <f>IF(SUM(HM16:HP16)-HQ16&gt;0,SUM(HM16:HP16)-HQ16,"")</f>
        <v/>
      </c>
      <c r="HZ16" s="12" t="str">
        <f>IF(SUM(HX16:HY16)&gt;0,SUM(HX16:HY16),"")</f>
        <v/>
      </c>
      <c r="IA16" s="12" t="str">
        <f>IF(SUM(HR16:HU16)-HV16&gt;0,SUM(HR16:HU16)-HV16,"")</f>
        <v/>
      </c>
      <c r="IB16" s="12" t="str">
        <f>IF(SUM(HZ16,IA16)&gt;0,SUM(HZ16,IA16),"")</f>
        <v/>
      </c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15" t="str">
        <f>IF(SUM(IJ16)&gt;0,SUM(IJ16),"")</f>
        <v/>
      </c>
      <c r="IS16" s="15" t="str">
        <f>IF(SUM(IC16:IF16)-IG16&gt;0,SUM(IC16:IF16)-IG16,"")</f>
        <v/>
      </c>
      <c r="IT16" s="15" t="str">
        <f>IF(SUM(IH16:IK16)-IL16&gt;0,SUM(IH16:IK16)-IL16,"")</f>
        <v/>
      </c>
      <c r="IU16" s="15" t="str">
        <f>IF(SUM(IS16:IT16)&gt;0,SUM(IS16:IT16),"")</f>
        <v/>
      </c>
      <c r="IV16" s="15" t="str">
        <f>IF(SUM(IM16:IP16)-IQ16&gt;0,SUM(IM16:IP16)-IQ16,"")</f>
        <v/>
      </c>
      <c r="IW16" s="15" t="str">
        <f>IF(SUM(IU16,IV16)&gt;0,SUM(IU16,IV16),"")</f>
        <v/>
      </c>
      <c r="IX16" s="45"/>
      <c r="IY16" s="45"/>
      <c r="IZ16" s="45"/>
      <c r="JA16" s="45"/>
      <c r="JB16" s="45"/>
      <c r="JC16" s="45"/>
      <c r="JD16" s="45"/>
      <c r="JE16" s="45"/>
      <c r="JF16" s="45"/>
      <c r="JG16" s="45"/>
      <c r="JH16" s="45"/>
      <c r="JI16" s="45"/>
      <c r="JJ16" s="45"/>
      <c r="JK16" s="45"/>
      <c r="JL16" s="45"/>
      <c r="JM16" s="12" t="str">
        <f>IF(SUM(JE16)&gt;0,SUM(JE16),"")</f>
        <v/>
      </c>
      <c r="JN16" s="12" t="str">
        <f>IF(SUM(IX16:JA16)-JB16&gt;0,SUM(IX16:JA16)-JB16,"")</f>
        <v/>
      </c>
      <c r="JO16" s="12" t="str">
        <f>IF(SUM(JC16:JF16)-JG16&gt;0,SUM(JC16:JF16)-JG16,"")</f>
        <v/>
      </c>
      <c r="JP16" s="12" t="str">
        <f>IF(SUM(JN16:JO16)&gt;0,SUM(JN16:JO16),"")</f>
        <v/>
      </c>
      <c r="JQ16" s="12" t="str">
        <f>IF(SUM(JH16:JK16)-JL16&gt;0,SUM(JH16:JK16)-JL16,"")</f>
        <v/>
      </c>
      <c r="JR16" s="12" t="str">
        <f>IF(SUM(JP16,JQ16)&gt;0,SUM(JP16,JQ16),"")</f>
        <v/>
      </c>
      <c r="JS16" s="46"/>
      <c r="JT16" s="46"/>
      <c r="JU16" s="46"/>
      <c r="JV16" s="46"/>
      <c r="JW16" s="46"/>
      <c r="JX16" s="46"/>
      <c r="JY16" s="46"/>
      <c r="JZ16" s="46"/>
      <c r="KA16" s="46"/>
      <c r="KB16" s="46"/>
      <c r="KC16" s="46"/>
      <c r="KD16" s="46"/>
      <c r="KE16" s="46"/>
      <c r="KF16" s="46"/>
      <c r="KG16" s="46"/>
      <c r="KH16" s="15" t="str">
        <f>IF(SUM(JZ16)&gt;0,SUM(JZ16),"")</f>
        <v/>
      </c>
      <c r="KI16" s="15" t="str">
        <f>IF(SUM(JS16:JV16)-JW16&gt;0,SUM(JS16:JV16)-JW16,"")</f>
        <v/>
      </c>
      <c r="KJ16" s="15" t="str">
        <f>IF(SUM(JX16:KA16)-KB16&gt;0,SUM(JX16:KA16)-KB16,"")</f>
        <v/>
      </c>
      <c r="KK16" s="15" t="str">
        <f>IF(SUM(KI16:KJ16)&gt;0,SUM(KI16:KJ16),"")</f>
        <v/>
      </c>
      <c r="KL16" s="15" t="str">
        <f>IF(SUM(KC16:KF16)-KG16&gt;0,SUM(KC16:KF16)-KG16,"")</f>
        <v/>
      </c>
      <c r="KM16" s="15" t="str">
        <f>IF(SUM(KK16,KL16)&gt;0,SUM(KK16,KL16),"")</f>
        <v/>
      </c>
      <c r="KN16" s="45"/>
      <c r="KO16" s="45"/>
      <c r="KP16" s="45"/>
      <c r="KQ16" s="45"/>
      <c r="KR16" s="45"/>
      <c r="KS16" s="45"/>
      <c r="KT16" s="45"/>
      <c r="KU16" s="45"/>
      <c r="KV16" s="45"/>
      <c r="KW16" s="45"/>
      <c r="KX16" s="45"/>
      <c r="KY16" s="45"/>
      <c r="KZ16" s="45"/>
      <c r="LA16" s="45"/>
      <c r="LB16" s="45"/>
      <c r="LC16" s="12" t="str">
        <f>IF(SUM(KU16)&gt;0,SUM(KU16),"")</f>
        <v/>
      </c>
      <c r="LD16" s="12" t="str">
        <f>IF(SUM(KN16:KQ16)-KR16&gt;0,SUM(KN16:KQ16)-KR16,"")</f>
        <v/>
      </c>
      <c r="LE16" s="12" t="str">
        <f>IF(SUM(KS16:KV16)-KW16&gt;0,SUM(KS16:KV16)-KW16,"")</f>
        <v/>
      </c>
      <c r="LF16" s="12" t="str">
        <f>IF(SUM(LD16:LE16)&gt;0,SUM(LD16:LE16),"")</f>
        <v/>
      </c>
      <c r="LG16" s="12" t="str">
        <f>IF(SUM(KX16:LA16)-LB16&gt;0,SUM(KX16:LA16)-LB16,"")</f>
        <v/>
      </c>
      <c r="LH16" s="12" t="str">
        <f>IF(SUM(LF16,LG16)&gt;0,SUM(LF16,LG16),"")</f>
        <v/>
      </c>
      <c r="LI16" s="46"/>
      <c r="LJ16" s="46"/>
      <c r="LK16" s="46"/>
      <c r="LL16" s="46"/>
      <c r="LM16" s="46"/>
      <c r="LN16" s="46"/>
      <c r="LO16" s="46"/>
      <c r="LP16" s="46"/>
      <c r="LQ16" s="46"/>
      <c r="LR16" s="46"/>
      <c r="LS16" s="46"/>
      <c r="LT16" s="46"/>
      <c r="LU16" s="46"/>
      <c r="LV16" s="46"/>
      <c r="LW16" s="46"/>
      <c r="LX16" s="15" t="str">
        <f>IF(SUM(LP16)&gt;0,SUM(LP16),"")</f>
        <v/>
      </c>
      <c r="LY16" s="15" t="str">
        <f>IF(SUM(LI16:LL16)-LM16&gt;0,SUM(LI16:LL16)-LM16,"")</f>
        <v/>
      </c>
      <c r="LZ16" s="15" t="str">
        <f>IF(SUM(LN16:LQ16)-LR16&gt;0,SUM(LN16:LQ16)-LR16,"")</f>
        <v/>
      </c>
      <c r="MA16" s="15" t="str">
        <f>IF(SUM(LY16:LZ16)&gt;0,SUM(LY16:LZ16),"")</f>
        <v/>
      </c>
      <c r="MB16" s="15" t="str">
        <f>IF(SUM(LS16:LV16)-LW16&gt;0,SUM(LS16:LV16)-LW16,"")</f>
        <v/>
      </c>
      <c r="MC16" s="15" t="str">
        <f>IF(SUM(MA16,MB16)&gt;0,SUM(MA16,MB16),"")</f>
        <v/>
      </c>
    </row>
    <row r="17" spans="1:341" x14ac:dyDescent="0.2">
      <c r="A17" s="6" t="str">
        <f>IF(AND(F17="P",H17="P"),SUMPRODUCT((F$4:F$21="P")*(H$4:H$21="P")*(E$4:E$21&gt;E17))+1,IF(H17="P",SUMPRODUCT((F$4:F$21="")*(H$4:H$21="P")*(E$4:E$21&gt;E17))+1+SUMPRODUCT((F$4:F$21="P")*(H$4:H$21="P")),""))</f>
        <v/>
      </c>
      <c r="B17" s="7" t="s">
        <v>81</v>
      </c>
      <c r="C17" s="8" t="s">
        <v>6</v>
      </c>
      <c r="D17" s="31">
        <v>2000</v>
      </c>
      <c r="E17" s="16">
        <f>SUM(J17:R17)</f>
        <v>117.11</v>
      </c>
      <c r="F17" s="4" t="str">
        <f>IF(OR(AND($AK17&gt;=$AL$24,NOT($AK17=""),$AJ17=""),AND($BG17&gt;=$BH$24,NOT($BG17=""),$BF17=""),AND($CC17&gt;=$CD$24,NOT($CC17=""),$CB17="")),"P","")</f>
        <v/>
      </c>
      <c r="G17" s="4" t="str">
        <f>IF(OR(AND($AK17&gt;=$AL$25,NOT($AK17=""),$AJ17=""),AND($BG17&gt;=$BH$25,NOT($BG17=""),$BF17=""),AND($CC17&gt;=$CD$25,NOT($CC17=""),$CB17="")),"P","")</f>
        <v/>
      </c>
      <c r="H17" s="4" t="str">
        <f>IF(OR(AND($AN17&gt;=$AL$26,NOT($AN17=""),$AJ17=""),AND($BJ17&gt;=$BH$26,NOT($BJ17=""),$BF17=""),AND($CF17&gt;=$CD$26,NOT($CF17=""),$CB17="")),"P","")</f>
        <v/>
      </c>
      <c r="I17" t="str">
        <f>IF(AND(F17="P",OR(AND($AM17&gt;$AL$29,NOT($AM17=""),$AJ17=""),AND($AO17&gt;$AL$29,NOT($AO17=""),$AJ17=""),AND($BI17&gt;$BH$29,NOT($BI17=""),$BF17=""),AND($BK17&gt;$BH$29,NOT($BK17=""),$BF17=""),AND($CE17&gt;$CD$29,NOT($CE17=""),$CB17=""),AND($CG17&gt;$CD$29,NOT($CG17=""),$CB17=""))),"Merit",IF(AND(F17="P",OR(AND($AN17&gt;$AL$28,NOT($AN17=""),$AJ17=""),AND($BJ17&gt;$BH$28,NOT($BJ17=""),$BF17=""),AND($CF17&gt;$CD$28,NOT($CF17=""),$CB17=""))),"Funding",IF(AND(F17="P",OR(AND($AN17&gt;$AL$27,NOT($AN17=""),$AJ17=""),AND($BJ17&gt;$BH$27,NOT($BJ17=""),$BF17=""),AND($CF17&gt;$CD$27,NOT($CF17=""),$CB17=""))),"Worlds Team",IF(AND(F17="P",OR(AND($AN17&gt;$AL$26,NOT($AN17=""),$AJ17=""),AND($BJ17&gt;$BH$26,NOT($BJ17=""),$BF17=""),AND($CF17&gt;$CD$26,NOT($CF17=""),$CB17=""))),"National Team",""))))</f>
        <v/>
      </c>
      <c r="J17" s="15">
        <f>MAX(AN17,BJ17,CF17)</f>
        <v>79.42</v>
      </c>
      <c r="K17" s="15" t="str">
        <f>IF(J17=CF17,$BM$1,IF(J17=BJ17,$AQ$1,IF(J17=AN17,$U$1,"")))</f>
        <v>2018 Nationals</v>
      </c>
      <c r="L17" s="15">
        <f>IF($J17=$AN17,MAX(BH17,CD17),IF($J17=$BJ17,MAX(AL17,CD17),MAX(AL17,BH17)))</f>
        <v>26.954999999999998</v>
      </c>
      <c r="M17" s="15" t="str">
        <f>IF(AND(L17=CD17,$K17&lt;&gt;$BM$1),$BM$1,IF(AND(L17=BH17,$K17&lt;&gt;$AQ$1),$AQ$1,IF(AND(L17=AL17,$K17&lt;&gt;$U$1),$U$1,"")))</f>
        <v>2018 Canada Cup</v>
      </c>
      <c r="N17" s="15">
        <f>IF($J17=$AN17,MAX(BI17,CE17),IF($J17=$BJ17,MAX(AM17,CE17),MAX(AM17,BI17)))</f>
        <v>10.734999999999999</v>
      </c>
      <c r="O17" s="15" t="str">
        <f>IF(AND(N17=CE17,$K17&lt;&gt;$BM$1),$BM$1,IF(AND(N17=BI17,$K17&lt;&gt;$AQ$1),$AQ$1,IF(AND(N17=AM17,$K17&lt;&gt;$U$1),$U$1,"")))</f>
        <v>2018 Canada Cup</v>
      </c>
      <c r="P17" s="15">
        <f>MAX(AO17,BK17,CG17)</f>
        <v>0</v>
      </c>
      <c r="Q17" s="15" t="str">
        <f>IF(P17=CG17,$BM$1,IF(P17=BK17,$AQ$1,IF(P17=AO17,$U$1,"")))</f>
        <v/>
      </c>
      <c r="R17" s="15" t="str">
        <f>IF(MAX(CI17,CJ17,CK17)&gt;0,MAX(CI17,CJ17,CK17),"")</f>
        <v/>
      </c>
      <c r="S17" s="29" t="str">
        <f>IF(R17="","",IF(R17=CI17,"(Vol 1)",IF(R17=CJ17,"(Vol 2)",IF(R17=CK17,"(Final)"))))</f>
        <v/>
      </c>
      <c r="T17" s="15" t="str">
        <f>IF(R17="","",IF(R17=CI17,IF(R17+L17=LY17,$LI$1,IF(R17+L17=LD17,$KN$1,IF(R17+L17=KI17,$JS$1,IF(R17+L17=JN17,$IX$1,IF(R17+L17=IS17,$IC$1,IF(R17+L17=HX17,$HH$1,IF(R17+L17=HC17,$GM$1,IF(R17+L17=GH17,$FR$1,IF(R17+L17=FM17,$EW$1,IF(R17+L17=ER17,$EB$1,IF(R17+L17=DW17,$DG$1,IF(R17+L17=DB17,$CL$1)))))))))))),IF(R17=CJ17,IF(R17+N17=LZ17,$LI$1,IF(R17+N17=LE17,$KN$1,IF(R17+N17=KJ17,$JS$1,IF(R17+N17=JO17,$IX$1,IF(R17+N17=IT17,$IC$1,IF(R17+N17=HY17,$HH$1,IF(R17+N17=HD17,$GM$1,IF(R17+N17=GI17,$FR$1,IF(R17+N17=FN17,$EW$1,IF(R17+N17=ES17,$EB$1,IF(R17+N17=DX17,$DG$1,IF(R17+N17=DC17,$CL$1)))))))))))),IF(R17=CK17,IF(R17+P17=MB17,$LI$1,IF(R17+P17=LG17,$KN$1,IF(R17+P17=KL17,$JS$1,IF(R17+P17=JQ17,$IX$1,IF(R17+P17=IV17,$IC$1,IF(R17+P17=IA17,$HH$1,IF(R17+P17=HF17,$GM$1,IF(R17+P17=GK17,$FR$1,IF(R17+P17=FP17,$EW$1,IF(R17+P17=EU17,$EB$1,IF(R17+P17=DZ17,$DG$1,IF(R17+P17=DE17,$CL$1))))))))))))))))</f>
        <v/>
      </c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9"/>
      <c r="AJ17" s="103"/>
      <c r="AK17" s="12" t="str">
        <f>IF(SUM(AB17)&gt;0,SUM(AB17),"")</f>
        <v/>
      </c>
      <c r="AL17" s="12" t="str">
        <f>IF(SUM(U17:X17)-Y17&gt;0,SUM(U17:X17)-Y17,"")</f>
        <v/>
      </c>
      <c r="AM17" s="12" t="str">
        <f>IF(SUM(Z17:AC17)-AD17&gt;0,SUM(Z17:AC17)-AD17,"")</f>
        <v/>
      </c>
      <c r="AN17" s="12" t="str">
        <f>IF(SUM(AL17:AM17)&gt;0,SUM(AL17:AM17),"")</f>
        <v/>
      </c>
      <c r="AO17" s="12" t="str">
        <f>IF(SUM(AE17:AH17)-AI17&gt;0,SUM(AE17:AH17)-AI17,"")</f>
        <v/>
      </c>
      <c r="AP17" s="12" t="str">
        <f>IF(SUM(AN17,AO17)&gt;0,SUM(AN17,AO17),"")</f>
        <v/>
      </c>
      <c r="AQ17" s="80">
        <v>10.1</v>
      </c>
      <c r="AR17" s="80">
        <v>5.3</v>
      </c>
      <c r="AS17" s="80">
        <v>1.2</v>
      </c>
      <c r="AT17" s="80">
        <v>10.355</v>
      </c>
      <c r="AU17" s="80">
        <v>0</v>
      </c>
      <c r="AV17" s="80">
        <v>2.9</v>
      </c>
      <c r="AW17" s="80">
        <v>1.6</v>
      </c>
      <c r="AX17" s="80">
        <v>2.7</v>
      </c>
      <c r="AY17" s="80">
        <v>3.5350000000000001</v>
      </c>
      <c r="AZ17" s="80">
        <v>0</v>
      </c>
      <c r="BA17" s="80"/>
      <c r="BB17" s="80"/>
      <c r="BC17" s="80"/>
      <c r="BD17" s="80"/>
      <c r="BE17" s="80"/>
      <c r="BF17" s="107"/>
      <c r="BG17" s="15">
        <f>IF(SUM(AX17)&gt;0,SUM(AX17),"")</f>
        <v>2.7</v>
      </c>
      <c r="BH17" s="15">
        <f>IF(SUM(AQ17:AT17)-AU17&gt;0,SUM(AQ17:AT17)-AU17,"")</f>
        <v>26.954999999999998</v>
      </c>
      <c r="BI17" s="15">
        <f>IF(SUM(AV17:AY17)-AZ17&gt;0,SUM(AV17:AY17)-AZ17,"")</f>
        <v>10.734999999999999</v>
      </c>
      <c r="BJ17" s="15">
        <f>IF(SUM(BH17:BI17)&gt;0,SUM(BH17:BI17),"")</f>
        <v>37.69</v>
      </c>
      <c r="BK17" s="15" t="str">
        <f>IF(SUM(BA17:BD17)-BE17&gt;0,SUM(BA17:BD17)-BE17,"")</f>
        <v/>
      </c>
      <c r="BL17" s="15">
        <f>IF(SUM(BJ17,BK17)&gt;0,SUM(BJ17,BK17),"")</f>
        <v>37.69</v>
      </c>
      <c r="BM17" s="76">
        <v>10.7</v>
      </c>
      <c r="BN17" s="76">
        <v>5.4</v>
      </c>
      <c r="BO17" s="76">
        <v>1.2</v>
      </c>
      <c r="BP17" s="76">
        <v>10.555</v>
      </c>
      <c r="BQ17" s="76">
        <v>0</v>
      </c>
      <c r="BR17" s="76">
        <v>15.5</v>
      </c>
      <c r="BS17" s="76">
        <v>8.9</v>
      </c>
      <c r="BT17" s="76">
        <v>11.4</v>
      </c>
      <c r="BU17" s="76">
        <v>15.765000000000001</v>
      </c>
      <c r="BV17" s="76">
        <v>0</v>
      </c>
      <c r="BW17" s="76"/>
      <c r="BX17" s="76"/>
      <c r="BY17" s="76"/>
      <c r="BZ17" s="76"/>
      <c r="CA17" s="76"/>
      <c r="CB17" s="103"/>
      <c r="CC17" s="12">
        <f>IF(SUM(BT17)&gt;0,SUM(BT17),"")</f>
        <v>11.4</v>
      </c>
      <c r="CD17" s="12">
        <f>IF(SUM(BM17:BP17)-BQ17&gt;0,SUM(BM17:BP17)-BQ17,"")</f>
        <v>27.855</v>
      </c>
      <c r="CE17" s="12">
        <f>IF(SUM(BR17:BU17)-BV17&gt;0,SUM(BR17:BU17)-BV17,"")</f>
        <v>51.564999999999998</v>
      </c>
      <c r="CF17" s="12">
        <f>IF(SUM(CD17:CE17)&gt;0,SUM(CD17:CE17),"")</f>
        <v>79.42</v>
      </c>
      <c r="CG17" s="12" t="str">
        <f>IF(SUM(BW17:BZ17)-CA17&gt;0,SUM(BW17:BZ17)-CA17,"")</f>
        <v/>
      </c>
      <c r="CH17" s="12">
        <f>IF(SUM(CF17,CG17)&gt;0,SUM(CF17,CG17),"")</f>
        <v>79.42</v>
      </c>
      <c r="CI17" s="28" t="str">
        <f>IF(MAX(DB17,DW17,ER17,FM17,GH17,HC17,HX17,IS17,JN17,KI17,LD17,LY17)-L17&gt;0.001,MAX(DB17,DW17,ER17,FM17,GH17,HC17,HX17,IS17,JN17,KI17,LD17,LY17)-L17,"")</f>
        <v/>
      </c>
      <c r="CJ17" s="28" t="str">
        <f>IF(MAX(DC17,DX17,ES17,FN17,GI17,HD17,HY17,IT17,JO17,KJ17,LE17,LZ17)-N17&gt;0.001,MAX(DC17,DX17,ES17,FN17,GI17,HD17,HY17,IT17,JO17,KJ17,LE17,LZ17)-N17,"")</f>
        <v/>
      </c>
      <c r="CK17" s="28" t="str">
        <f>IF(MAX(DE17,DZ17,EU17,FP17,GK17,HF17,IA17,IV17,JQ17,KL17,LG17,MB17)-P17&gt;0.001,MAX(DE17,DZ17,EU17,FP17,GK17,HF17,IA17,IV17,JQ17,KL17,LG17,MB17)-P17,"")</f>
        <v/>
      </c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12" t="str">
        <f>IF(SUM(CS17)&gt;0,SUM(CS17),"")</f>
        <v/>
      </c>
      <c r="DB17" s="12" t="str">
        <f>IF(SUM(CL17:CO17)-CP17&gt;0,SUM(CL17:CO17)-CP17,"")</f>
        <v/>
      </c>
      <c r="DC17" s="12" t="str">
        <f>IF(SUM(CQ17:CT17)-CU17&gt;0,SUM(CQ17:CT17)-CU17,"")</f>
        <v/>
      </c>
      <c r="DD17" s="12" t="str">
        <f>IF(SUM(DB17:DC17)&gt;0,SUM(DB17:DC17),"")</f>
        <v/>
      </c>
      <c r="DE17" s="12" t="str">
        <f>IF(SUM(CV17:CY17)-CZ17&gt;0,SUM(CV17:CY17)-CZ17,"")</f>
        <v/>
      </c>
      <c r="DF17" s="12" t="str">
        <f>IF(SUM(DD17,DE17)&gt;0,SUM(DD17,DE17),"")</f>
        <v/>
      </c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15" t="str">
        <f>IF(SUM(DN17)&gt;0,SUM(DN17),"")</f>
        <v/>
      </c>
      <c r="DW17" s="15" t="str">
        <f>IF(SUM(DG17:DJ17)-DK17&gt;0,SUM(DG17:DJ17)-DK17,"")</f>
        <v/>
      </c>
      <c r="DX17" s="15" t="str">
        <f>IF(SUM(DL17:DO17)-DP17&gt;0,SUM(DL17:DO17)-DP17,"")</f>
        <v/>
      </c>
      <c r="DY17" s="15" t="str">
        <f>IF(SUM(DW17:DX17)&gt;0,SUM(DW17:DX17),"")</f>
        <v/>
      </c>
      <c r="DZ17" s="15" t="str">
        <f>IF(SUM(DQ17:DT17)-DU17&gt;0,SUM(DQ17:DT17)-DU17,"")</f>
        <v/>
      </c>
      <c r="EA17" s="15" t="str">
        <f>IF(SUM(DY17,DZ17)&gt;0,SUM(DY17,DZ17),"")</f>
        <v/>
      </c>
      <c r="EB17" s="45"/>
      <c r="EC17" s="45"/>
      <c r="ED17" s="45"/>
      <c r="EE17" s="45"/>
      <c r="EF17" s="45"/>
      <c r="EG17" s="45"/>
      <c r="EH17" s="45"/>
      <c r="EI17" s="45"/>
      <c r="EJ17" s="45"/>
      <c r="EK17" s="45"/>
      <c r="EL17" s="45"/>
      <c r="EM17" s="45"/>
      <c r="EN17" s="45"/>
      <c r="EO17" s="45"/>
      <c r="EP17" s="45"/>
      <c r="EQ17" s="12" t="str">
        <f>IF(SUM(EI17)&gt;0,SUM(EI17),"")</f>
        <v/>
      </c>
      <c r="ER17" s="12" t="str">
        <f>IF(SUM(EB17:EE17)-EF17&gt;0,SUM(EB17:EE17)-EF17,"")</f>
        <v/>
      </c>
      <c r="ES17" s="12" t="str">
        <f>IF(SUM(EG17:EJ17)-EK17&gt;0,SUM(EG17:EJ17)-EK17,"")</f>
        <v/>
      </c>
      <c r="ET17" s="12" t="str">
        <f>IF(SUM(ER17:ES17)&gt;0,SUM(ER17:ES17),"")</f>
        <v/>
      </c>
      <c r="EU17" s="12" t="str">
        <f>IF(SUM(EL17:EO17)-EP17&gt;0,SUM(EL17:EO17)-EP17,"")</f>
        <v/>
      </c>
      <c r="EV17" s="12" t="str">
        <f>IF(SUM(ET17,EU17)&gt;0,SUM(ET17,EU17),"")</f>
        <v/>
      </c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46"/>
      <c r="FJ17" s="46"/>
      <c r="FK17" s="46"/>
      <c r="FL17" s="15" t="str">
        <f>IF(SUM(FD17)&gt;0,SUM(FD17),"")</f>
        <v/>
      </c>
      <c r="FM17" s="15" t="str">
        <f>IF(SUM(EW17:EZ17)-FA17&gt;0,SUM(EW17:EZ17)-FA17,"")</f>
        <v/>
      </c>
      <c r="FN17" s="15" t="str">
        <f>IF(SUM(FB17:FE17)-FF17&gt;0,SUM(FB17:FE17)-FF17,"")</f>
        <v/>
      </c>
      <c r="FO17" s="15" t="str">
        <f>IF(SUM(FM17:FN17)&gt;0,SUM(FM17:FN17),"")</f>
        <v/>
      </c>
      <c r="FP17" s="15" t="str">
        <f>IF(SUM(FG17:FJ17)-FK17&gt;0,SUM(FG17:FJ17)-FK17,"")</f>
        <v/>
      </c>
      <c r="FQ17" s="15" t="str">
        <f>IF(SUM(FO17,FP17)&gt;0,SUM(FO17,FP17),"")</f>
        <v/>
      </c>
      <c r="FR17" s="45"/>
      <c r="FS17" s="45"/>
      <c r="FT17" s="45"/>
      <c r="FU17" s="45"/>
      <c r="FV17" s="45"/>
      <c r="FW17" s="45"/>
      <c r="FX17" s="45"/>
      <c r="FY17" s="45"/>
      <c r="FZ17" s="45"/>
      <c r="GA17" s="45"/>
      <c r="GB17" s="45"/>
      <c r="GC17" s="45"/>
      <c r="GD17" s="45"/>
      <c r="GE17" s="45"/>
      <c r="GF17" s="45"/>
      <c r="GG17" s="12" t="str">
        <f>IF(SUM(FY17)&gt;0,SUM(FY17),"")</f>
        <v/>
      </c>
      <c r="GH17" s="12" t="str">
        <f>IF(SUM(FR17:FU17)-FV17&gt;0,SUM(FR17:FU17)-FV17,"")</f>
        <v/>
      </c>
      <c r="GI17" s="12" t="str">
        <f>IF(SUM(FW17:FZ17)-GA17&gt;0,SUM(FW17:FZ17)-GA17,"")</f>
        <v/>
      </c>
      <c r="GJ17" s="12" t="str">
        <f>IF(SUM(GH17:GI17)&gt;0,SUM(GH17:GI17),"")</f>
        <v/>
      </c>
      <c r="GK17" s="12" t="str">
        <f>IF(SUM(GB17:GE17)-GF17&gt;0,SUM(GB17:GE17)-GF17,"")</f>
        <v/>
      </c>
      <c r="GL17" s="12" t="str">
        <f>IF(SUM(GJ17,GK17)&gt;0,SUM(GJ17,GK17),"")</f>
        <v/>
      </c>
      <c r="GM17" s="46"/>
      <c r="GN17" s="46"/>
      <c r="GO17" s="46"/>
      <c r="GP17" s="46"/>
      <c r="GQ17" s="46"/>
      <c r="GR17" s="46"/>
      <c r="GS17" s="46"/>
      <c r="GT17" s="46"/>
      <c r="GU17" s="46"/>
      <c r="GV17" s="46"/>
      <c r="GW17" s="46"/>
      <c r="GX17" s="46"/>
      <c r="GY17" s="46"/>
      <c r="GZ17" s="46"/>
      <c r="HA17" s="46"/>
      <c r="HB17" s="15" t="str">
        <f>IF(SUM(GT17)&gt;0,SUM(GT17),"")</f>
        <v/>
      </c>
      <c r="HC17" s="15" t="str">
        <f>IF(SUM(GM17:GP17)-GQ17&gt;0,SUM(GM17:GP17)-GQ17,"")</f>
        <v/>
      </c>
      <c r="HD17" s="15" t="str">
        <f>IF(SUM(GR17:GU17)-GV17&gt;0,SUM(GR17:GU17)-GV17,"")</f>
        <v/>
      </c>
      <c r="HE17" s="15" t="str">
        <f>IF(SUM(HC17:HD17)&gt;0,SUM(HC17:HD17),"")</f>
        <v/>
      </c>
      <c r="HF17" s="15" t="str">
        <f>IF(SUM(GW17:GZ17)-HA17&gt;0,SUM(GW17:GZ17)-HA17,"")</f>
        <v/>
      </c>
      <c r="HG17" s="15" t="str">
        <f>IF(SUM(HE17,HF17)&gt;0,SUM(HE17,HF17),"")</f>
        <v/>
      </c>
      <c r="HH17" s="45"/>
      <c r="HI17" s="45"/>
      <c r="HJ17" s="45"/>
      <c r="HK17" s="45"/>
      <c r="HL17" s="45"/>
      <c r="HM17" s="45"/>
      <c r="HN17" s="45"/>
      <c r="HO17" s="45"/>
      <c r="HP17" s="45"/>
      <c r="HQ17" s="45"/>
      <c r="HR17" s="45"/>
      <c r="HS17" s="45"/>
      <c r="HT17" s="45"/>
      <c r="HU17" s="45"/>
      <c r="HV17" s="45"/>
      <c r="HW17" s="12" t="str">
        <f>IF(SUM(HO17)&gt;0,SUM(HO17),"")</f>
        <v/>
      </c>
      <c r="HX17" s="12" t="str">
        <f>IF(SUM(HH17:HK17)-HL17&gt;0,SUM(HH17:HK17)-HL17,"")</f>
        <v/>
      </c>
      <c r="HY17" s="12" t="str">
        <f>IF(SUM(HM17:HP17)-HQ17&gt;0,SUM(HM17:HP17)-HQ17,"")</f>
        <v/>
      </c>
      <c r="HZ17" s="12" t="str">
        <f>IF(SUM(HX17:HY17)&gt;0,SUM(HX17:HY17),"")</f>
        <v/>
      </c>
      <c r="IA17" s="12" t="str">
        <f>IF(SUM(HR17:HU17)-HV17&gt;0,SUM(HR17:HU17)-HV17,"")</f>
        <v/>
      </c>
      <c r="IB17" s="12" t="str">
        <f>IF(SUM(HZ17,IA17)&gt;0,SUM(HZ17,IA17),"")</f>
        <v/>
      </c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46"/>
      <c r="IP17" s="46"/>
      <c r="IQ17" s="46"/>
      <c r="IR17" s="15" t="str">
        <f>IF(SUM(IJ17)&gt;0,SUM(IJ17),"")</f>
        <v/>
      </c>
      <c r="IS17" s="15" t="str">
        <f>IF(SUM(IC17:IF17)-IG17&gt;0,SUM(IC17:IF17)-IG17,"")</f>
        <v/>
      </c>
      <c r="IT17" s="15" t="str">
        <f>IF(SUM(IH17:IK17)-IL17&gt;0,SUM(IH17:IK17)-IL17,"")</f>
        <v/>
      </c>
      <c r="IU17" s="15" t="str">
        <f>IF(SUM(IS17:IT17)&gt;0,SUM(IS17:IT17),"")</f>
        <v/>
      </c>
      <c r="IV17" s="15" t="str">
        <f>IF(SUM(IM17:IP17)-IQ17&gt;0,SUM(IM17:IP17)-IQ17,"")</f>
        <v/>
      </c>
      <c r="IW17" s="15" t="str">
        <f>IF(SUM(IU17,IV17)&gt;0,SUM(IU17,IV17),"")</f>
        <v/>
      </c>
      <c r="IX17" s="45"/>
      <c r="IY17" s="45"/>
      <c r="IZ17" s="45"/>
      <c r="JA17" s="45"/>
      <c r="JB17" s="45"/>
      <c r="JC17" s="45"/>
      <c r="JD17" s="45"/>
      <c r="JE17" s="45"/>
      <c r="JF17" s="45"/>
      <c r="JG17" s="45"/>
      <c r="JH17" s="45"/>
      <c r="JI17" s="45"/>
      <c r="JJ17" s="45"/>
      <c r="JK17" s="45"/>
      <c r="JL17" s="45"/>
      <c r="JM17" s="12" t="str">
        <f>IF(SUM(JE17)&gt;0,SUM(JE17),"")</f>
        <v/>
      </c>
      <c r="JN17" s="12" t="str">
        <f>IF(SUM(IX17:JA17)-JB17&gt;0,SUM(IX17:JA17)-JB17,"")</f>
        <v/>
      </c>
      <c r="JO17" s="12" t="str">
        <f>IF(SUM(JC17:JF17)-JG17&gt;0,SUM(JC17:JF17)-JG17,"")</f>
        <v/>
      </c>
      <c r="JP17" s="12" t="str">
        <f>IF(SUM(JN17:JO17)&gt;0,SUM(JN17:JO17),"")</f>
        <v/>
      </c>
      <c r="JQ17" s="12" t="str">
        <f>IF(SUM(JH17:JK17)-JL17&gt;0,SUM(JH17:JK17)-JL17,"")</f>
        <v/>
      </c>
      <c r="JR17" s="12" t="str">
        <f>IF(SUM(JP17,JQ17)&gt;0,SUM(JP17,JQ17),"")</f>
        <v/>
      </c>
      <c r="JS17" s="46"/>
      <c r="JT17" s="46"/>
      <c r="JU17" s="46"/>
      <c r="JV17" s="46"/>
      <c r="JW17" s="46"/>
      <c r="JX17" s="46"/>
      <c r="JY17" s="46"/>
      <c r="JZ17" s="46"/>
      <c r="KA17" s="46"/>
      <c r="KB17" s="46"/>
      <c r="KC17" s="46"/>
      <c r="KD17" s="46"/>
      <c r="KE17" s="46"/>
      <c r="KF17" s="46"/>
      <c r="KG17" s="46"/>
      <c r="KH17" s="15" t="str">
        <f>IF(SUM(JZ17)&gt;0,SUM(JZ17),"")</f>
        <v/>
      </c>
      <c r="KI17" s="15" t="str">
        <f>IF(SUM(JS17:JV17)-JW17&gt;0,SUM(JS17:JV17)-JW17,"")</f>
        <v/>
      </c>
      <c r="KJ17" s="15" t="str">
        <f>IF(SUM(JX17:KA17)-KB17&gt;0,SUM(JX17:KA17)-KB17,"")</f>
        <v/>
      </c>
      <c r="KK17" s="15" t="str">
        <f>IF(SUM(KI17:KJ17)&gt;0,SUM(KI17:KJ17),"")</f>
        <v/>
      </c>
      <c r="KL17" s="15" t="str">
        <f>IF(SUM(KC17:KF17)-KG17&gt;0,SUM(KC17:KF17)-KG17,"")</f>
        <v/>
      </c>
      <c r="KM17" s="15" t="str">
        <f>IF(SUM(KK17,KL17)&gt;0,SUM(KK17,KL17),"")</f>
        <v/>
      </c>
      <c r="KN17" s="45"/>
      <c r="KO17" s="45"/>
      <c r="KP17" s="45"/>
      <c r="KQ17" s="45"/>
      <c r="KR17" s="45"/>
      <c r="KS17" s="45"/>
      <c r="KT17" s="45"/>
      <c r="KU17" s="45"/>
      <c r="KV17" s="45"/>
      <c r="KW17" s="45"/>
      <c r="KX17" s="45"/>
      <c r="KY17" s="45"/>
      <c r="KZ17" s="45"/>
      <c r="LA17" s="45"/>
      <c r="LB17" s="45"/>
      <c r="LC17" s="12" t="str">
        <f>IF(SUM(KU17)&gt;0,SUM(KU17),"")</f>
        <v/>
      </c>
      <c r="LD17" s="12" t="str">
        <f>IF(SUM(KN17:KQ17)-KR17&gt;0,SUM(KN17:KQ17)-KR17,"")</f>
        <v/>
      </c>
      <c r="LE17" s="12" t="str">
        <f>IF(SUM(KS17:KV17)-KW17&gt;0,SUM(KS17:KV17)-KW17,"")</f>
        <v/>
      </c>
      <c r="LF17" s="12" t="str">
        <f>IF(SUM(LD17:LE17)&gt;0,SUM(LD17:LE17),"")</f>
        <v/>
      </c>
      <c r="LG17" s="12" t="str">
        <f>IF(SUM(KX17:LA17)-LB17&gt;0,SUM(KX17:LA17)-LB17,"")</f>
        <v/>
      </c>
      <c r="LH17" s="12" t="str">
        <f>IF(SUM(LF17,LG17)&gt;0,SUM(LF17,LG17),"")</f>
        <v/>
      </c>
      <c r="LI17" s="46"/>
      <c r="LJ17" s="46"/>
      <c r="LK17" s="46"/>
      <c r="LL17" s="46"/>
      <c r="LM17" s="46"/>
      <c r="LN17" s="46"/>
      <c r="LO17" s="46"/>
      <c r="LP17" s="46"/>
      <c r="LQ17" s="46"/>
      <c r="LR17" s="46"/>
      <c r="LS17" s="46"/>
      <c r="LT17" s="46"/>
      <c r="LU17" s="46"/>
      <c r="LV17" s="46"/>
      <c r="LW17" s="46"/>
      <c r="LX17" s="15" t="str">
        <f>IF(SUM(LP17)&gt;0,SUM(LP17),"")</f>
        <v/>
      </c>
      <c r="LY17" s="15" t="str">
        <f>IF(SUM(LI17:LL17)-LM17&gt;0,SUM(LI17:LL17)-LM17,"")</f>
        <v/>
      </c>
      <c r="LZ17" s="15" t="str">
        <f>IF(SUM(LN17:LQ17)-LR17&gt;0,SUM(LN17:LQ17)-LR17,"")</f>
        <v/>
      </c>
      <c r="MA17" s="15" t="str">
        <f>IF(SUM(LY17:LZ17)&gt;0,SUM(LY17:LZ17),"")</f>
        <v/>
      </c>
      <c r="MB17" s="15" t="str">
        <f>IF(SUM(LS17:LV17)-LW17&gt;0,SUM(LS17:LV17)-LW17,"")</f>
        <v/>
      </c>
      <c r="MC17" s="15" t="str">
        <f>IF(SUM(MA17,MB17)&gt;0,SUM(MA17,MB17),"")</f>
        <v/>
      </c>
    </row>
    <row r="18" spans="1:341" x14ac:dyDescent="0.2">
      <c r="A18" s="6" t="str">
        <f>IF(AND(F18="P",H18="P"),SUMPRODUCT((F$4:F$21="P")*(H$4:H$21="P")*(E$4:E$21&gt;E18))+1,IF(H18="P",SUMPRODUCT((F$4:F$21="")*(H$4:H$21="P")*(E$4:E$21&gt;E18))+1+SUMPRODUCT((F$4:F$21="P")*(H$4:H$21="P")),""))</f>
        <v/>
      </c>
      <c r="B18" s="9" t="s">
        <v>118</v>
      </c>
      <c r="C18" s="5" t="s">
        <v>4</v>
      </c>
      <c r="D18" s="31">
        <v>2001</v>
      </c>
      <c r="E18" s="16">
        <f>SUM(J18:R18)</f>
        <v>93.485000000000014</v>
      </c>
      <c r="F18" s="4" t="str">
        <f>IF(OR(AND($AK18&gt;=$AL$24,NOT($AK18=""),$AJ18=""),AND($BG18&gt;=$BH$24,NOT($BG18=""),$BF18=""),AND($CC18&gt;=$CD$24,NOT($CC18=""),$CB18="")),"P","")</f>
        <v/>
      </c>
      <c r="G18" s="4" t="str">
        <f>IF(OR(AND($AK18&gt;=$AL$25,NOT($AK18=""),$AJ18=""),AND($BG18&gt;=$BH$25,NOT($BG18=""),$BF18=""),AND($CC18&gt;=$CD$25,NOT($CC18=""),$CB18="")),"P","")</f>
        <v/>
      </c>
      <c r="H18" s="4" t="str">
        <f>IF(OR(AND($AN18&gt;=$AL$26,NOT($AN18=""),$AJ18=""),AND($BJ18&gt;=$BH$26,NOT($BJ18=""),$BF18=""),AND($CF18&gt;=$CD$26,NOT($CF18=""),$CB18="")),"P","")</f>
        <v/>
      </c>
      <c r="I18" t="str">
        <f>IF(AND(F18="P",OR(AND($AM18&gt;$AL$29,NOT($AM18=""),$AJ18=""),AND($AO18&gt;$AL$29,NOT($AO18=""),$AJ18=""),AND($BI18&gt;$BH$29,NOT($BI18=""),$BF18=""),AND($BK18&gt;$BH$29,NOT($BK18=""),$BF18=""),AND($CE18&gt;$CD$29,NOT($CE18=""),$CB18=""),AND($CG18&gt;$CD$29,NOT($CG18=""),$CB18=""))),"Merit",IF(AND(F18="P",OR(AND($AN18&gt;$AL$28,NOT($AN18=""),$AJ18=""),AND($BJ18&gt;$BH$28,NOT($BJ18=""),$BF18=""),AND($CF18&gt;$CD$28,NOT($CF18=""),$CB18=""))),"Funding",IF(AND(F18="P",OR(AND($AN18&gt;$AL$27,NOT($AN18=""),$AJ18=""),AND($BJ18&gt;$BH$27,NOT($BJ18=""),$BF18=""),AND($CF18&gt;$CD$27,NOT($CF18=""),$CB18=""))),"Worlds Team",IF(AND(F18="P",OR(AND($AN18&gt;$AL$26,NOT($AN18=""),$AJ18=""),AND($BJ18&gt;$BH$26,NOT($BJ18=""),$BF18=""),AND($CF18&gt;$CD$26,NOT($CF18=""),$CB18=""))),"National Team",""))))</f>
        <v/>
      </c>
      <c r="J18" s="15">
        <f>MAX(AN18,BJ18,CF18)</f>
        <v>93.485000000000014</v>
      </c>
      <c r="K18" s="15" t="str">
        <f>IF(J18=CF18,$BM$1,IF(J18=BJ18,$AQ$1,IF(J18=AN18,$U$1,"")))</f>
        <v>2018 Nationals</v>
      </c>
      <c r="L18" s="15">
        <f>IF($J18=$AN18,MAX(BH18,CD18),IF($J18=$BJ18,MAX(AL18,CD18),MAX(AL18,BH18)))</f>
        <v>0</v>
      </c>
      <c r="M18" s="15" t="str">
        <f>IF(AND(L18=CD18,$K18&lt;&gt;$BM$1),$BM$1,IF(AND(L18=BH18,$K18&lt;&gt;$AQ$1),$AQ$1,IF(AND(L18=AL18,$K18&lt;&gt;$U$1),$U$1,"")))</f>
        <v/>
      </c>
      <c r="N18" s="15">
        <f>IF($J18=$AN18,MAX(BI18,CE18),IF($J18=$BJ18,MAX(AM18,CE18),MAX(AM18,BI18)))</f>
        <v>0</v>
      </c>
      <c r="O18" s="15" t="str">
        <f>IF(AND(N18=CE18,$K18&lt;&gt;$BM$1),$BM$1,IF(AND(N18=BI18,$K18&lt;&gt;$AQ$1),$AQ$1,IF(AND(N18=AM18,$K18&lt;&gt;$U$1),$U$1,"")))</f>
        <v/>
      </c>
      <c r="P18" s="15">
        <f>MAX(AO18,BK18,CG18)</f>
        <v>0</v>
      </c>
      <c r="Q18" s="15" t="str">
        <f>IF(P18=CG18,$BM$1,IF(P18=BK18,$AQ$1,IF(P18=AO18,$U$1,"")))</f>
        <v/>
      </c>
      <c r="R18" s="15" t="str">
        <f>IF(MAX(CI18,CJ18,CK18)&gt;0,MAX(CI18,CJ18,CK18),"")</f>
        <v/>
      </c>
      <c r="S18" s="29" t="str">
        <f>IF(R18="","",IF(R18=CI18,"(Vol 1)",IF(R18=CJ18,"(Vol 2)",IF(R18=CK18,"(Final)"))))</f>
        <v/>
      </c>
      <c r="T18" s="15" t="str">
        <f>IF(R18="","",IF(R18=CI18,IF(R18+L18=LY18,$LI$1,IF(R18+L18=LD18,$KN$1,IF(R18+L18=KI18,$JS$1,IF(R18+L18=JN18,$IX$1,IF(R18+L18=IS18,$IC$1,IF(R18+L18=HX18,$HH$1,IF(R18+L18=HC18,$GM$1,IF(R18+L18=GH18,$FR$1,IF(R18+L18=FM18,$EW$1,IF(R18+L18=ER18,$EB$1,IF(R18+L18=DW18,$DG$1,IF(R18+L18=DB18,$CL$1)))))))))))),IF(R18=CJ18,IF(R18+N18=LZ18,$LI$1,IF(R18+N18=LE18,$KN$1,IF(R18+N18=KJ18,$JS$1,IF(R18+N18=JO18,$IX$1,IF(R18+N18=IT18,$IC$1,IF(R18+N18=HY18,$HH$1,IF(R18+N18=HD18,$GM$1,IF(R18+N18=GI18,$FR$1,IF(R18+N18=FN18,$EW$1,IF(R18+N18=ES18,$EB$1,IF(R18+N18=DX18,$DG$1,IF(R18+N18=DC18,$CL$1)))))))))))),IF(R18=CK18,IF(R18+P18=MB18,$LI$1,IF(R18+P18=LG18,$KN$1,IF(R18+P18=KL18,$JS$1,IF(R18+P18=JQ18,$IX$1,IF(R18+P18=IV18,$IC$1,IF(R18+P18=IA18,$HH$1,IF(R18+P18=HF18,$GM$1,IF(R18+P18=GK18,$FR$1,IF(R18+P18=FP18,$EW$1,IF(R18+P18=EU18,$EB$1,IF(R18+P18=DZ18,$DG$1,IF(R18+P18=DE18,$CL$1))))))))))))))))</f>
        <v/>
      </c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101"/>
      <c r="AK18" s="12" t="str">
        <f>IF(SUM(AB18)&gt;0,SUM(AB18),"")</f>
        <v/>
      </c>
      <c r="AL18" s="12" t="str">
        <f>IF(SUM(U18:X18)-Y18&gt;0,SUM(U18:X18)-Y18,"")</f>
        <v/>
      </c>
      <c r="AM18" s="12" t="str">
        <f>IF(SUM(Z18:AC18)-AD18&gt;0,SUM(Z18:AC18)-AD18,"")</f>
        <v/>
      </c>
      <c r="AN18" s="12" t="str">
        <f>IF(SUM(AL18:AM18)&gt;0,SUM(AL18:AM18),"")</f>
        <v/>
      </c>
      <c r="AO18" s="12" t="str">
        <f>IF(SUM(AE18:AH18)-AI18&gt;0,SUM(AE18:AH18)-AI18,"")</f>
        <v/>
      </c>
      <c r="AP18" s="12" t="str">
        <f>IF(SUM(AN18,AO18)&gt;0,SUM(AN18,AO18),"")</f>
        <v/>
      </c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105"/>
      <c r="BG18" s="15" t="str">
        <f>IF(SUM(AX18)&gt;0,SUM(AX18),"")</f>
        <v/>
      </c>
      <c r="BH18" s="15" t="str">
        <f>IF(SUM(AQ18:AT18)-AU18&gt;0,SUM(AQ18:AT18)-AU18,"")</f>
        <v/>
      </c>
      <c r="BI18" s="15" t="str">
        <f>IF(SUM(AV18:AY18)-AZ18&gt;0,SUM(AV18:AY18)-AZ18,"")</f>
        <v/>
      </c>
      <c r="BJ18" s="15" t="str">
        <f>IF(SUM(BH18:BI18)&gt;0,SUM(BH18:BI18),"")</f>
        <v/>
      </c>
      <c r="BK18" s="15" t="str">
        <f>IF(SUM(BA18:BD18)-BE18&gt;0,SUM(BA18:BD18)-BE18,"")</f>
        <v/>
      </c>
      <c r="BL18" s="15" t="str">
        <f>IF(SUM(BJ18,BK18)&gt;0,SUM(BJ18,BK18),"")</f>
        <v/>
      </c>
      <c r="BM18" s="76">
        <v>14.7</v>
      </c>
      <c r="BN18" s="76">
        <v>9.4499999999999993</v>
      </c>
      <c r="BO18" s="76">
        <v>4</v>
      </c>
      <c r="BP18" s="76">
        <v>15.6</v>
      </c>
      <c r="BQ18" s="76">
        <v>0</v>
      </c>
      <c r="BR18" s="76">
        <v>12.8</v>
      </c>
      <c r="BS18" s="76">
        <v>8.9</v>
      </c>
      <c r="BT18" s="76">
        <v>12.7</v>
      </c>
      <c r="BU18" s="76">
        <v>15.335000000000001</v>
      </c>
      <c r="BV18" s="76">
        <v>0</v>
      </c>
      <c r="BW18" s="76"/>
      <c r="BX18" s="76"/>
      <c r="BY18" s="76"/>
      <c r="BZ18" s="76"/>
      <c r="CA18" s="76"/>
      <c r="CB18" s="101"/>
      <c r="CC18" s="12">
        <f>IF(SUM(BT18)&gt;0,SUM(BT18),"")</f>
        <v>12.7</v>
      </c>
      <c r="CD18" s="12">
        <f>IF(SUM(BM18:BP18)-BQ18&gt;0,SUM(BM18:BP18)-BQ18,"")</f>
        <v>43.75</v>
      </c>
      <c r="CE18" s="12">
        <f>IF(SUM(BR18:BU18)-BV18&gt;0,SUM(BR18:BU18)-BV18,"")</f>
        <v>49.735000000000007</v>
      </c>
      <c r="CF18" s="12">
        <f>IF(SUM(CD18:CE18)&gt;0,SUM(CD18:CE18),"")</f>
        <v>93.485000000000014</v>
      </c>
      <c r="CG18" s="12" t="str">
        <f>IF(SUM(BW18:BZ18)-CA18&gt;0,SUM(BW18:BZ18)-CA18,"")</f>
        <v/>
      </c>
      <c r="CH18" s="12">
        <f>IF(SUM(CF18,CG18)&gt;0,SUM(CF18,CG18),"")</f>
        <v>93.485000000000014</v>
      </c>
      <c r="CI18" s="28" t="str">
        <f>IF(MAX(DB18,DW18,ER18,FM18,GH18,HC18,HX18,IS18,JN18,KI18,LD18,LY18)-L18&gt;0.001,MAX(DB18,DW18,ER18,FM18,GH18,HC18,HX18,IS18,JN18,KI18,LD18,LY18)-L18,"")</f>
        <v/>
      </c>
      <c r="CJ18" s="28" t="str">
        <f>IF(MAX(DC18,DX18,ES18,FN18,GI18,HD18,HY18,IT18,JO18,KJ18,LE18,LZ18)-N18&gt;0.001,MAX(DC18,DX18,ES18,FN18,GI18,HD18,HY18,IT18,JO18,KJ18,LE18,LZ18)-N18,"")</f>
        <v/>
      </c>
      <c r="CK18" s="28" t="str">
        <f>IF(MAX(DE18,DZ18,EU18,FP18,GK18,HF18,IA18,IV18,JQ18,KL18,LG18,MB18)-P18&gt;0.001,MAX(DE18,DZ18,EU18,FP18,GK18,HF18,IA18,IV18,JQ18,KL18,LG18,MB18)-P18,"")</f>
        <v/>
      </c>
      <c r="CL18" s="45"/>
      <c r="CM18" s="45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12" t="str">
        <f>IF(SUM(CS18)&gt;0,SUM(CS18),"")</f>
        <v/>
      </c>
      <c r="DB18" s="12" t="str">
        <f>IF(SUM(CL18:CO18)-CP18&gt;0,SUM(CL18:CO18)-CP18,"")</f>
        <v/>
      </c>
      <c r="DC18" s="12" t="str">
        <f>IF(SUM(CQ18:CT18)-CU18&gt;0,SUM(CQ18:CT18)-CU18,"")</f>
        <v/>
      </c>
      <c r="DD18" s="12" t="str">
        <f>IF(SUM(DB18:DC18)&gt;0,SUM(DB18:DC18),"")</f>
        <v/>
      </c>
      <c r="DE18" s="12" t="str">
        <f>IF(SUM(CV18:CY18)-CZ18&gt;0,SUM(CV18:CY18)-CZ18,"")</f>
        <v/>
      </c>
      <c r="DF18" s="12" t="str">
        <f>IF(SUM(DD18,DE18)&gt;0,SUM(DD18,DE18),"")</f>
        <v/>
      </c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15" t="str">
        <f>IF(SUM(DN18)&gt;0,SUM(DN18),"")</f>
        <v/>
      </c>
      <c r="DW18" s="15" t="str">
        <f>IF(SUM(DG18:DJ18)-DK18&gt;0,SUM(DG18:DJ18)-DK18,"")</f>
        <v/>
      </c>
      <c r="DX18" s="15" t="str">
        <f>IF(SUM(DL18:DO18)-DP18&gt;0,SUM(DL18:DO18)-DP18,"")</f>
        <v/>
      </c>
      <c r="DY18" s="15" t="str">
        <f>IF(SUM(DW18:DX18)&gt;0,SUM(DW18:DX18),"")</f>
        <v/>
      </c>
      <c r="DZ18" s="15" t="str">
        <f>IF(SUM(DQ18:DT18)-DU18&gt;0,SUM(DQ18:DT18)-DU18,"")</f>
        <v/>
      </c>
      <c r="EA18" s="15" t="str">
        <f>IF(SUM(DY18,DZ18)&gt;0,SUM(DY18,DZ18),"")</f>
        <v/>
      </c>
      <c r="EB18" s="45"/>
      <c r="EC18" s="45"/>
      <c r="ED18" s="45"/>
      <c r="EE18" s="45"/>
      <c r="EF18" s="45"/>
      <c r="EG18" s="45"/>
      <c r="EH18" s="45"/>
      <c r="EI18" s="45"/>
      <c r="EJ18" s="45"/>
      <c r="EK18" s="45"/>
      <c r="EL18" s="45"/>
      <c r="EM18" s="45"/>
      <c r="EN18" s="45"/>
      <c r="EO18" s="45"/>
      <c r="EP18" s="45"/>
      <c r="EQ18" s="12" t="str">
        <f>IF(SUM(EI18)&gt;0,SUM(EI18),"")</f>
        <v/>
      </c>
      <c r="ER18" s="12" t="str">
        <f>IF(SUM(EB18:EE18)-EF18&gt;0,SUM(EB18:EE18)-EF18,"")</f>
        <v/>
      </c>
      <c r="ES18" s="12" t="str">
        <f>IF(SUM(EG18:EJ18)-EK18&gt;0,SUM(EG18:EJ18)-EK18,"")</f>
        <v/>
      </c>
      <c r="ET18" s="12" t="str">
        <f>IF(SUM(ER18:ES18)&gt;0,SUM(ER18:ES18),"")</f>
        <v/>
      </c>
      <c r="EU18" s="12" t="str">
        <f>IF(SUM(EL18:EO18)-EP18&gt;0,SUM(EL18:EO18)-EP18,"")</f>
        <v/>
      </c>
      <c r="EV18" s="12" t="str">
        <f>IF(SUM(ET18,EU18)&gt;0,SUM(ET18,EU18),"")</f>
        <v/>
      </c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  <c r="FK18" s="46"/>
      <c r="FL18" s="15" t="str">
        <f>IF(SUM(FD18)&gt;0,SUM(FD18),"")</f>
        <v/>
      </c>
      <c r="FM18" s="15" t="str">
        <f>IF(SUM(EW18:EZ18)-FA18&gt;0,SUM(EW18:EZ18)-FA18,"")</f>
        <v/>
      </c>
      <c r="FN18" s="15" t="str">
        <f>IF(SUM(FB18:FE18)-FF18&gt;0,SUM(FB18:FE18)-FF18,"")</f>
        <v/>
      </c>
      <c r="FO18" s="15" t="str">
        <f>IF(SUM(FM18:FN18)&gt;0,SUM(FM18:FN18),"")</f>
        <v/>
      </c>
      <c r="FP18" s="15" t="str">
        <f>IF(SUM(FG18:FJ18)-FK18&gt;0,SUM(FG18:FJ18)-FK18,"")</f>
        <v/>
      </c>
      <c r="FQ18" s="15" t="str">
        <f>IF(SUM(FO18,FP18)&gt;0,SUM(FO18,FP18),"")</f>
        <v/>
      </c>
      <c r="FR18" s="45"/>
      <c r="FS18" s="45"/>
      <c r="FT18" s="45"/>
      <c r="FU18" s="45"/>
      <c r="FV18" s="45"/>
      <c r="FW18" s="45"/>
      <c r="FX18" s="45"/>
      <c r="FY18" s="45"/>
      <c r="FZ18" s="45"/>
      <c r="GA18" s="45"/>
      <c r="GB18" s="45"/>
      <c r="GC18" s="45"/>
      <c r="GD18" s="45"/>
      <c r="GE18" s="45"/>
      <c r="GF18" s="45"/>
      <c r="GG18" s="12" t="str">
        <f>IF(SUM(FY18)&gt;0,SUM(FY18),"")</f>
        <v/>
      </c>
      <c r="GH18" s="12" t="str">
        <f>IF(SUM(FR18:FU18)-FV18&gt;0,SUM(FR18:FU18)-FV18,"")</f>
        <v/>
      </c>
      <c r="GI18" s="12" t="str">
        <f>IF(SUM(FW18:FZ18)-GA18&gt;0,SUM(FW18:FZ18)-GA18,"")</f>
        <v/>
      </c>
      <c r="GJ18" s="12" t="str">
        <f>IF(SUM(GH18:GI18)&gt;0,SUM(GH18:GI18),"")</f>
        <v/>
      </c>
      <c r="GK18" s="12" t="str">
        <f>IF(SUM(GB18:GE18)-GF18&gt;0,SUM(GB18:GE18)-GF18,"")</f>
        <v/>
      </c>
      <c r="GL18" s="12" t="str">
        <f>IF(SUM(GJ18,GK18)&gt;0,SUM(GJ18,GK18),"")</f>
        <v/>
      </c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46"/>
      <c r="GZ18" s="46"/>
      <c r="HA18" s="46"/>
      <c r="HB18" s="15" t="str">
        <f>IF(SUM(GT18)&gt;0,SUM(GT18),"")</f>
        <v/>
      </c>
      <c r="HC18" s="15" t="str">
        <f>IF(SUM(GM18:GP18)-GQ18&gt;0,SUM(GM18:GP18)-GQ18,"")</f>
        <v/>
      </c>
      <c r="HD18" s="15" t="str">
        <f>IF(SUM(GR18:GU18)-GV18&gt;0,SUM(GR18:GU18)-GV18,"")</f>
        <v/>
      </c>
      <c r="HE18" s="15" t="str">
        <f>IF(SUM(HC18:HD18)&gt;0,SUM(HC18:HD18),"")</f>
        <v/>
      </c>
      <c r="HF18" s="15" t="str">
        <f>IF(SUM(GW18:GZ18)-HA18&gt;0,SUM(GW18:GZ18)-HA18,"")</f>
        <v/>
      </c>
      <c r="HG18" s="15" t="str">
        <f>IF(SUM(HE18,HF18)&gt;0,SUM(HE18,HF18),"")</f>
        <v/>
      </c>
      <c r="HH18" s="45"/>
      <c r="HI18" s="45"/>
      <c r="HJ18" s="45"/>
      <c r="HK18" s="45"/>
      <c r="HL18" s="45"/>
      <c r="HM18" s="45"/>
      <c r="HN18" s="45"/>
      <c r="HO18" s="45"/>
      <c r="HP18" s="45"/>
      <c r="HQ18" s="45"/>
      <c r="HR18" s="45"/>
      <c r="HS18" s="45"/>
      <c r="HT18" s="45"/>
      <c r="HU18" s="45"/>
      <c r="HV18" s="45"/>
      <c r="HW18" s="12" t="str">
        <f>IF(SUM(HO18)&gt;0,SUM(HO18),"")</f>
        <v/>
      </c>
      <c r="HX18" s="12" t="str">
        <f>IF(SUM(HH18:HK18)-HL18&gt;0,SUM(HH18:HK18)-HL18,"")</f>
        <v/>
      </c>
      <c r="HY18" s="12" t="str">
        <f>IF(SUM(HM18:HP18)-HQ18&gt;0,SUM(HM18:HP18)-HQ18,"")</f>
        <v/>
      </c>
      <c r="HZ18" s="12" t="str">
        <f>IF(SUM(HX18:HY18)&gt;0,SUM(HX18:HY18),"")</f>
        <v/>
      </c>
      <c r="IA18" s="12" t="str">
        <f>IF(SUM(HR18:HU18)-HV18&gt;0,SUM(HR18:HU18)-HV18,"")</f>
        <v/>
      </c>
      <c r="IB18" s="12" t="str">
        <f>IF(SUM(HZ18,IA18)&gt;0,SUM(HZ18,IA18),"")</f>
        <v/>
      </c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46"/>
      <c r="IP18" s="46"/>
      <c r="IQ18" s="46"/>
      <c r="IR18" s="15" t="str">
        <f>IF(SUM(IJ18)&gt;0,SUM(IJ18),"")</f>
        <v/>
      </c>
      <c r="IS18" s="15" t="str">
        <f>IF(SUM(IC18:IF18)-IG18&gt;0,SUM(IC18:IF18)-IG18,"")</f>
        <v/>
      </c>
      <c r="IT18" s="15" t="str">
        <f>IF(SUM(IH18:IK18)-IL18&gt;0,SUM(IH18:IK18)-IL18,"")</f>
        <v/>
      </c>
      <c r="IU18" s="15" t="str">
        <f>IF(SUM(IS18:IT18)&gt;0,SUM(IS18:IT18),"")</f>
        <v/>
      </c>
      <c r="IV18" s="15" t="str">
        <f>IF(SUM(IM18:IP18)-IQ18&gt;0,SUM(IM18:IP18)-IQ18,"")</f>
        <v/>
      </c>
      <c r="IW18" s="15" t="str">
        <f>IF(SUM(IU18,IV18)&gt;0,SUM(IU18,IV18),"")</f>
        <v/>
      </c>
      <c r="IX18" s="45"/>
      <c r="IY18" s="45"/>
      <c r="IZ18" s="45"/>
      <c r="JA18" s="45"/>
      <c r="JB18" s="45"/>
      <c r="JC18" s="45"/>
      <c r="JD18" s="45"/>
      <c r="JE18" s="45"/>
      <c r="JF18" s="45"/>
      <c r="JG18" s="45"/>
      <c r="JH18" s="45"/>
      <c r="JI18" s="45"/>
      <c r="JJ18" s="45"/>
      <c r="JK18" s="45"/>
      <c r="JL18" s="45"/>
      <c r="JM18" s="12" t="str">
        <f>IF(SUM(JE18)&gt;0,SUM(JE18),"")</f>
        <v/>
      </c>
      <c r="JN18" s="12" t="str">
        <f>IF(SUM(IX18:JA18)-JB18&gt;0,SUM(IX18:JA18)-JB18,"")</f>
        <v/>
      </c>
      <c r="JO18" s="12" t="str">
        <f>IF(SUM(JC18:JF18)-JG18&gt;0,SUM(JC18:JF18)-JG18,"")</f>
        <v/>
      </c>
      <c r="JP18" s="12" t="str">
        <f>IF(SUM(JN18:JO18)&gt;0,SUM(JN18:JO18),"")</f>
        <v/>
      </c>
      <c r="JQ18" s="12" t="str">
        <f>IF(SUM(JH18:JK18)-JL18&gt;0,SUM(JH18:JK18)-JL18,"")</f>
        <v/>
      </c>
      <c r="JR18" s="12" t="str">
        <f>IF(SUM(JP18,JQ18)&gt;0,SUM(JP18,JQ18),"")</f>
        <v/>
      </c>
      <c r="JS18" s="46"/>
      <c r="JT18" s="46"/>
      <c r="JU18" s="46"/>
      <c r="JV18" s="46"/>
      <c r="JW18" s="46"/>
      <c r="JX18" s="46"/>
      <c r="JY18" s="46"/>
      <c r="JZ18" s="46"/>
      <c r="KA18" s="46"/>
      <c r="KB18" s="46"/>
      <c r="KC18" s="46"/>
      <c r="KD18" s="46"/>
      <c r="KE18" s="46"/>
      <c r="KF18" s="46"/>
      <c r="KG18" s="46"/>
      <c r="KH18" s="15" t="str">
        <f>IF(SUM(JZ18)&gt;0,SUM(JZ18),"")</f>
        <v/>
      </c>
      <c r="KI18" s="15" t="str">
        <f>IF(SUM(JS18:JV18)-JW18&gt;0,SUM(JS18:JV18)-JW18,"")</f>
        <v/>
      </c>
      <c r="KJ18" s="15" t="str">
        <f>IF(SUM(JX18:KA18)-KB18&gt;0,SUM(JX18:KA18)-KB18,"")</f>
        <v/>
      </c>
      <c r="KK18" s="15" t="str">
        <f>IF(SUM(KI18:KJ18)&gt;0,SUM(KI18:KJ18),"")</f>
        <v/>
      </c>
      <c r="KL18" s="15" t="str">
        <f>IF(SUM(KC18:KF18)-KG18&gt;0,SUM(KC18:KF18)-KG18,"")</f>
        <v/>
      </c>
      <c r="KM18" s="15" t="str">
        <f>IF(SUM(KK18,KL18)&gt;0,SUM(KK18,KL18),"")</f>
        <v/>
      </c>
      <c r="KN18" s="45"/>
      <c r="KO18" s="45"/>
      <c r="KP18" s="45"/>
      <c r="KQ18" s="45"/>
      <c r="KR18" s="45"/>
      <c r="KS18" s="45"/>
      <c r="KT18" s="45"/>
      <c r="KU18" s="45"/>
      <c r="KV18" s="45"/>
      <c r="KW18" s="45"/>
      <c r="KX18" s="45"/>
      <c r="KY18" s="45"/>
      <c r="KZ18" s="45"/>
      <c r="LA18" s="45"/>
      <c r="LB18" s="45"/>
      <c r="LC18" s="12" t="str">
        <f>IF(SUM(KU18)&gt;0,SUM(KU18),"")</f>
        <v/>
      </c>
      <c r="LD18" s="12" t="str">
        <f>IF(SUM(KN18:KQ18)-KR18&gt;0,SUM(KN18:KQ18)-KR18,"")</f>
        <v/>
      </c>
      <c r="LE18" s="12" t="str">
        <f>IF(SUM(KS18:KV18)-KW18&gt;0,SUM(KS18:KV18)-KW18,"")</f>
        <v/>
      </c>
      <c r="LF18" s="12" t="str">
        <f>IF(SUM(LD18:LE18)&gt;0,SUM(LD18:LE18),"")</f>
        <v/>
      </c>
      <c r="LG18" s="12" t="str">
        <f>IF(SUM(KX18:LA18)-LB18&gt;0,SUM(KX18:LA18)-LB18,"")</f>
        <v/>
      </c>
      <c r="LH18" s="12" t="str">
        <f>IF(SUM(LF18,LG18)&gt;0,SUM(LF18,LG18),"")</f>
        <v/>
      </c>
      <c r="LI18" s="46"/>
      <c r="LJ18" s="46"/>
      <c r="LK18" s="46"/>
      <c r="LL18" s="46"/>
      <c r="LM18" s="46"/>
      <c r="LN18" s="46"/>
      <c r="LO18" s="46"/>
      <c r="LP18" s="46"/>
      <c r="LQ18" s="46"/>
      <c r="LR18" s="46"/>
      <c r="LS18" s="46"/>
      <c r="LT18" s="46"/>
      <c r="LU18" s="46"/>
      <c r="LV18" s="46"/>
      <c r="LW18" s="46"/>
      <c r="LX18" s="15" t="str">
        <f>IF(SUM(LP18)&gt;0,SUM(LP18),"")</f>
        <v/>
      </c>
      <c r="LY18" s="15" t="str">
        <f>IF(SUM(LI18:LL18)-LM18&gt;0,SUM(LI18:LL18)-LM18,"")</f>
        <v/>
      </c>
      <c r="LZ18" s="15" t="str">
        <f>IF(SUM(LN18:LQ18)-LR18&gt;0,SUM(LN18:LQ18)-LR18,"")</f>
        <v/>
      </c>
      <c r="MA18" s="15" t="str">
        <f>IF(SUM(LY18:LZ18)&gt;0,SUM(LY18:LZ18),"")</f>
        <v/>
      </c>
      <c r="MB18" s="15" t="str">
        <f>IF(SUM(LS18:LV18)-LW18&gt;0,SUM(LS18:LV18)-LW18,"")</f>
        <v/>
      </c>
      <c r="MC18" s="15" t="str">
        <f>IF(SUM(MA18,MB18)&gt;0,SUM(MA18,MB18),"")</f>
        <v/>
      </c>
    </row>
    <row r="19" spans="1:341" x14ac:dyDescent="0.2">
      <c r="A19" s="6" t="str">
        <f>IF(AND(F19="P",H19="P"),SUMPRODUCT((F$4:F$21="P")*(H$4:H$21="P")*(E$4:E$21&gt;E19))+1,IF(H19="P",SUMPRODUCT((F$4:F$21="")*(H$4:H$21="P")*(E$4:E$21&gt;E19))+1+SUMPRODUCT((F$4:F$21="P")*(H$4:H$21="P")),""))</f>
        <v/>
      </c>
      <c r="B19" s="9" t="s">
        <v>92</v>
      </c>
      <c r="C19" s="5" t="s">
        <v>4</v>
      </c>
      <c r="D19" s="31">
        <v>2003</v>
      </c>
      <c r="E19" s="16">
        <f>SUM(J19:R19)</f>
        <v>93.079999999999984</v>
      </c>
      <c r="F19" s="4" t="str">
        <f>IF(OR(AND($AK19&gt;=$AL$24,NOT($AK19=""),$AJ19=""),AND($BG19&gt;=$BH$24,NOT($BG19=""),$BF19=""),AND($CC19&gt;=$CD$24,NOT($CC19=""),$CB19="")),"P","")</f>
        <v/>
      </c>
      <c r="G19" s="4" t="str">
        <f>IF(OR(AND($AK19&gt;=$AL$25,NOT($AK19=""),$AJ19=""),AND($BG19&gt;=$BH$25,NOT($BG19=""),$BF19=""),AND($CC19&gt;=$CD$25,NOT($CC19=""),$CB19="")),"P","")</f>
        <v/>
      </c>
      <c r="H19" s="4" t="str">
        <f>IF(OR(AND($AN19&gt;=$AL$26,NOT($AN19=""),$AJ19=""),AND($BJ19&gt;=$BH$26,NOT($BJ19=""),$BF19=""),AND($CF19&gt;=$CD$26,NOT($CF19=""),$CB19="")),"P","")</f>
        <v/>
      </c>
      <c r="I19" t="str">
        <f>IF(AND(F19="P",OR(AND($AM19&gt;$AL$29,NOT($AM19=""),$AJ19=""),AND($AO19&gt;$AL$29,NOT($AO19=""),$AJ19=""),AND($BI19&gt;$BH$29,NOT($BI19=""),$BF19=""),AND($BK19&gt;$BH$29,NOT($BK19=""),$BF19=""),AND($CE19&gt;$CD$29,NOT($CE19=""),$CB19=""),AND($CG19&gt;$CD$29,NOT($CG19=""),$CB19=""))),"Merit",IF(AND(F19="P",OR(AND($AN19&gt;$AL$28,NOT($AN19=""),$AJ19=""),AND($BJ19&gt;$BH$28,NOT($BJ19=""),$BF19=""),AND($CF19&gt;$CD$28,NOT($CF19=""),$CB19=""))),"Funding",IF(AND(F19="P",OR(AND($AN19&gt;$AL$27,NOT($AN19=""),$AJ19=""),AND($BJ19&gt;$BH$27,NOT($BJ19=""),$BF19=""),AND($CF19&gt;$CD$27,NOT($CF19=""),$CB19=""))),"Worlds Team",IF(AND(F19="P",OR(AND($AN19&gt;$AL$26,NOT($AN19=""),$AJ19=""),AND($BJ19&gt;$BH$26,NOT($BJ19=""),$BF19=""),AND($CF19&gt;$CD$26,NOT($CF19=""),$CB19=""))),"National Team",""))))</f>
        <v/>
      </c>
      <c r="J19" s="15">
        <f>MAX(AN19,BJ19,CF19)</f>
        <v>93.079999999999984</v>
      </c>
      <c r="K19" s="15" t="str">
        <f>IF(J19=CF19,$BM$1,IF(J19=BJ19,$AQ$1,IF(J19=AN19,$U$1,"")))</f>
        <v>2018 Nationals</v>
      </c>
      <c r="L19" s="15">
        <f>IF($J19=$AN19,MAX(BH19,CD19),IF($J19=$BJ19,MAX(AL19,CD19),MAX(AL19,BH19)))</f>
        <v>0</v>
      </c>
      <c r="M19" s="15" t="str">
        <f>IF(AND(L19=CD19,$K19&lt;&gt;$BM$1),$BM$1,IF(AND(L19=BH19,$K19&lt;&gt;$AQ$1),$AQ$1,IF(AND(L19=AL19,$K19&lt;&gt;$U$1),$U$1,"")))</f>
        <v/>
      </c>
      <c r="N19" s="15">
        <f>IF($J19=$AN19,MAX(BI19,CE19),IF($J19=$BJ19,MAX(AM19,CE19),MAX(AM19,BI19)))</f>
        <v>0</v>
      </c>
      <c r="O19" s="15" t="str">
        <f>IF(AND(N19=CE19,$K19&lt;&gt;$BM$1),$BM$1,IF(AND(N19=BI19,$K19&lt;&gt;$AQ$1),$AQ$1,IF(AND(N19=AM19,$K19&lt;&gt;$U$1),$U$1,"")))</f>
        <v/>
      </c>
      <c r="P19" s="15">
        <f>MAX(AO19,BK19,CG19)</f>
        <v>0</v>
      </c>
      <c r="Q19" s="15" t="str">
        <f>IF(P19=CG19,$BM$1,IF(P19=BK19,$AQ$1,IF(P19=AO19,$U$1,"")))</f>
        <v/>
      </c>
      <c r="R19" s="15" t="str">
        <f>IF(MAX(CI19,CJ19,CK19)&gt;0,MAX(CI19,CJ19,CK19),"")</f>
        <v/>
      </c>
      <c r="S19" s="29" t="str">
        <f>IF(R19="","",IF(R19=CI19,"(Vol 1)",IF(R19=CJ19,"(Vol 2)",IF(R19=CK19,"(Final)"))))</f>
        <v/>
      </c>
      <c r="T19" s="15" t="str">
        <f>IF(R19="","",IF(R19=CI19,IF(R19+L19=LY19,$LI$1,IF(R19+L19=LD19,$KN$1,IF(R19+L19=KI19,$JS$1,IF(R19+L19=JN19,$IX$1,IF(R19+L19=IS19,$IC$1,IF(R19+L19=HX19,$HH$1,IF(R19+L19=HC19,$GM$1,IF(R19+L19=GH19,$FR$1,IF(R19+L19=FM19,$EW$1,IF(R19+L19=ER19,$EB$1,IF(R19+L19=DW19,$DG$1,IF(R19+L19=DB19,$CL$1)))))))))))),IF(R19=CJ19,IF(R19+N19=LZ19,$LI$1,IF(R19+N19=LE19,$KN$1,IF(R19+N19=KJ19,$JS$1,IF(R19+N19=JO19,$IX$1,IF(R19+N19=IT19,$IC$1,IF(R19+N19=HY19,$HH$1,IF(R19+N19=HD19,$GM$1,IF(R19+N19=GI19,$FR$1,IF(R19+N19=FN19,$EW$1,IF(R19+N19=ES19,$EB$1,IF(R19+N19=DX19,$DG$1,IF(R19+N19=DC19,$CL$1)))))))))))),IF(R19=CK19,IF(R19+P19=MB19,$LI$1,IF(R19+P19=LG19,$KN$1,IF(R19+P19=KL19,$JS$1,IF(R19+P19=JQ19,$IX$1,IF(R19+P19=IV19,$IC$1,IF(R19+P19=IA19,$HH$1,IF(R19+P19=HF19,$GM$1,IF(R19+P19=GK19,$FR$1,IF(R19+P19=FP19,$EW$1,IF(R19+P19=EU19,$EB$1,IF(R19+P19=DZ19,$DG$1,IF(R19+P19=DE19,$CL$1))))))))))))))))</f>
        <v/>
      </c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101"/>
      <c r="AK19" s="12" t="str">
        <f>IF(SUM(AB19)&gt;0,SUM(AB19),"")</f>
        <v/>
      </c>
      <c r="AL19" s="12" t="str">
        <f>IF(SUM(U19:X19)-Y19&gt;0,SUM(U19:X19)-Y19,"")</f>
        <v/>
      </c>
      <c r="AM19" s="12" t="str">
        <f>IF(SUM(Z19:AC19)-AD19&gt;0,SUM(Z19:AC19)-AD19,"")</f>
        <v/>
      </c>
      <c r="AN19" s="12" t="str">
        <f>IF(SUM(AL19:AM19)&gt;0,SUM(AL19:AM19),"")</f>
        <v/>
      </c>
      <c r="AO19" s="12" t="str">
        <f>IF(SUM(AE19:AH19)-AI19&gt;0,SUM(AE19:AH19)-AI19,"")</f>
        <v/>
      </c>
      <c r="AP19" s="12" t="str">
        <f>IF(SUM(AN19,AO19)&gt;0,SUM(AN19,AO19),"")</f>
        <v/>
      </c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105"/>
      <c r="BG19" s="15" t="str">
        <f>IF(SUM(AX19)&gt;0,SUM(AX19),"")</f>
        <v/>
      </c>
      <c r="BH19" s="15" t="str">
        <f>IF(SUM(AQ19:AT19)-AU19&gt;0,SUM(AQ19:AT19)-AU19,"")</f>
        <v/>
      </c>
      <c r="BI19" s="15" t="str">
        <f>IF(SUM(AV19:AY19)-AZ19&gt;0,SUM(AV19:AY19)-AZ19,"")</f>
        <v/>
      </c>
      <c r="BJ19" s="15" t="str">
        <f>IF(SUM(BH19:BI19)&gt;0,SUM(BH19:BI19),"")</f>
        <v/>
      </c>
      <c r="BK19" s="15" t="str">
        <f>IF(SUM(BA19:BD19)-BE19&gt;0,SUM(BA19:BD19)-BE19,"")</f>
        <v/>
      </c>
      <c r="BL19" s="15" t="str">
        <f>IF(SUM(BJ19,BK19)&gt;0,SUM(BJ19,BK19),"")</f>
        <v/>
      </c>
      <c r="BM19" s="76">
        <v>13.5</v>
      </c>
      <c r="BN19" s="76">
        <v>9.25</v>
      </c>
      <c r="BO19" s="76">
        <v>5.4</v>
      </c>
      <c r="BP19" s="76">
        <v>15.955</v>
      </c>
      <c r="BQ19" s="76">
        <v>0</v>
      </c>
      <c r="BR19" s="76">
        <v>13.3</v>
      </c>
      <c r="BS19" s="76">
        <v>8.8000000000000007</v>
      </c>
      <c r="BT19" s="76">
        <v>11.2</v>
      </c>
      <c r="BU19" s="76">
        <v>15.675000000000001</v>
      </c>
      <c r="BV19" s="76">
        <v>0</v>
      </c>
      <c r="BW19" s="76"/>
      <c r="BX19" s="76"/>
      <c r="BY19" s="76"/>
      <c r="BZ19" s="76"/>
      <c r="CA19" s="76"/>
      <c r="CB19" s="101"/>
      <c r="CC19" s="12">
        <f>IF(SUM(BT19)&gt;0,SUM(BT19),"")</f>
        <v>11.2</v>
      </c>
      <c r="CD19" s="12">
        <f>IF(SUM(BM19:BP19)-BQ19&gt;0,SUM(BM19:BP19)-BQ19,"")</f>
        <v>44.104999999999997</v>
      </c>
      <c r="CE19" s="12">
        <f>IF(SUM(BR19:BU19)-BV19&gt;0,SUM(BR19:BU19)-BV19,"")</f>
        <v>48.974999999999994</v>
      </c>
      <c r="CF19" s="12">
        <f>IF(SUM(CD19:CE19)&gt;0,SUM(CD19:CE19),"")</f>
        <v>93.079999999999984</v>
      </c>
      <c r="CG19" s="12" t="str">
        <f>IF(SUM(BW19:BZ19)-CA19&gt;0,SUM(BW19:BZ19)-CA19,"")</f>
        <v/>
      </c>
      <c r="CH19" s="12">
        <f>IF(SUM(CF19,CG19)&gt;0,SUM(CF19,CG19),"")</f>
        <v>93.079999999999984</v>
      </c>
      <c r="CI19" s="28" t="str">
        <f>IF(MAX(DB19,DW19,ER19,FM19,GH19,HC19,HX19,IS19,JN19,KI19,LD19,LY19)-L19&gt;0.001,MAX(DB19,DW19,ER19,FM19,GH19,HC19,HX19,IS19,JN19,KI19,LD19,LY19)-L19,"")</f>
        <v/>
      </c>
      <c r="CJ19" s="28" t="str">
        <f>IF(MAX(DC19,DX19,ES19,FN19,GI19,HD19,HY19,IT19,JO19,KJ19,LE19,LZ19)-N19&gt;0.001,MAX(DC19,DX19,ES19,FN19,GI19,HD19,HY19,IT19,JO19,KJ19,LE19,LZ19)-N19,"")</f>
        <v/>
      </c>
      <c r="CK19" s="28" t="str">
        <f>IF(MAX(DE19,DZ19,EU19,FP19,GK19,HF19,IA19,IV19,JQ19,KL19,LG19,MB19)-P19&gt;0.001,MAX(DE19,DZ19,EU19,FP19,GK19,HF19,IA19,IV19,JQ19,KL19,LG19,MB19)-P19,"")</f>
        <v/>
      </c>
      <c r="CL19" s="45"/>
      <c r="CM19" s="45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12" t="str">
        <f>IF(SUM(CS19)&gt;0,SUM(CS19),"")</f>
        <v/>
      </c>
      <c r="DB19" s="12" t="str">
        <f>IF(SUM(CL19:CO19)-CP19&gt;0,SUM(CL19:CO19)-CP19,"")</f>
        <v/>
      </c>
      <c r="DC19" s="12" t="str">
        <f>IF(SUM(CQ19:CT19)-CU19&gt;0,SUM(CQ19:CT19)-CU19,"")</f>
        <v/>
      </c>
      <c r="DD19" s="12" t="str">
        <f>IF(SUM(DB19:DC19)&gt;0,SUM(DB19:DC19),"")</f>
        <v/>
      </c>
      <c r="DE19" s="12" t="str">
        <f>IF(SUM(CV19:CY19)-CZ19&gt;0,SUM(CV19:CY19)-CZ19,"")</f>
        <v/>
      </c>
      <c r="DF19" s="12" t="str">
        <f>IF(SUM(DD19,DE19)&gt;0,SUM(DD19,DE19),"")</f>
        <v/>
      </c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15" t="str">
        <f>IF(SUM(DN19)&gt;0,SUM(DN19),"")</f>
        <v/>
      </c>
      <c r="DW19" s="15" t="str">
        <f>IF(SUM(DG19:DJ19)-DK19&gt;0,SUM(DG19:DJ19)-DK19,"")</f>
        <v/>
      </c>
      <c r="DX19" s="15" t="str">
        <f>IF(SUM(DL19:DO19)-DP19&gt;0,SUM(DL19:DO19)-DP19,"")</f>
        <v/>
      </c>
      <c r="DY19" s="15" t="str">
        <f>IF(SUM(DW19:DX19)&gt;0,SUM(DW19:DX19),"")</f>
        <v/>
      </c>
      <c r="DZ19" s="15" t="str">
        <f>IF(SUM(DQ19:DT19)-DU19&gt;0,SUM(DQ19:DT19)-DU19,"")</f>
        <v/>
      </c>
      <c r="EA19" s="15" t="str">
        <f>IF(SUM(DY19,DZ19)&gt;0,SUM(DY19,DZ19),"")</f>
        <v/>
      </c>
      <c r="EB19" s="45"/>
      <c r="EC19" s="45"/>
      <c r="ED19" s="45"/>
      <c r="EE19" s="45"/>
      <c r="EF19" s="45"/>
      <c r="EG19" s="45"/>
      <c r="EH19" s="45"/>
      <c r="EI19" s="45"/>
      <c r="EJ19" s="45"/>
      <c r="EK19" s="45"/>
      <c r="EL19" s="45"/>
      <c r="EM19" s="45"/>
      <c r="EN19" s="45"/>
      <c r="EO19" s="45"/>
      <c r="EP19" s="45"/>
      <c r="EQ19" s="12" t="str">
        <f>IF(SUM(EI19)&gt;0,SUM(EI19),"")</f>
        <v/>
      </c>
      <c r="ER19" s="12" t="str">
        <f>IF(SUM(EB19:EE19)-EF19&gt;0,SUM(EB19:EE19)-EF19,"")</f>
        <v/>
      </c>
      <c r="ES19" s="12" t="str">
        <f>IF(SUM(EG19:EJ19)-EK19&gt;0,SUM(EG19:EJ19)-EK19,"")</f>
        <v/>
      </c>
      <c r="ET19" s="12" t="str">
        <f>IF(SUM(ER19:ES19)&gt;0,SUM(ER19:ES19),"")</f>
        <v/>
      </c>
      <c r="EU19" s="12" t="str">
        <f>IF(SUM(EL19:EO19)-EP19&gt;0,SUM(EL19:EO19)-EP19,"")</f>
        <v/>
      </c>
      <c r="EV19" s="12" t="str">
        <f>IF(SUM(ET19,EU19)&gt;0,SUM(ET19,EU19),"")</f>
        <v/>
      </c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46"/>
      <c r="FJ19" s="46"/>
      <c r="FK19" s="46"/>
      <c r="FL19" s="15" t="str">
        <f>IF(SUM(FD19)&gt;0,SUM(FD19),"")</f>
        <v/>
      </c>
      <c r="FM19" s="15" t="str">
        <f>IF(SUM(EW19:EZ19)-FA19&gt;0,SUM(EW19:EZ19)-FA19,"")</f>
        <v/>
      </c>
      <c r="FN19" s="15" t="str">
        <f>IF(SUM(FB19:FE19)-FF19&gt;0,SUM(FB19:FE19)-FF19,"")</f>
        <v/>
      </c>
      <c r="FO19" s="15" t="str">
        <f>IF(SUM(FM19:FN19)&gt;0,SUM(FM19:FN19),"")</f>
        <v/>
      </c>
      <c r="FP19" s="15" t="str">
        <f>IF(SUM(FG19:FJ19)-FK19&gt;0,SUM(FG19:FJ19)-FK19,"")</f>
        <v/>
      </c>
      <c r="FQ19" s="15" t="str">
        <f>IF(SUM(FO19,FP19)&gt;0,SUM(FO19,FP19),"")</f>
        <v/>
      </c>
      <c r="FR19" s="45"/>
      <c r="FS19" s="45"/>
      <c r="FT19" s="45"/>
      <c r="FU19" s="45"/>
      <c r="FV19" s="45"/>
      <c r="FW19" s="45"/>
      <c r="FX19" s="45"/>
      <c r="FY19" s="45"/>
      <c r="FZ19" s="45"/>
      <c r="GA19" s="45"/>
      <c r="GB19" s="45"/>
      <c r="GC19" s="45"/>
      <c r="GD19" s="45"/>
      <c r="GE19" s="45"/>
      <c r="GF19" s="45"/>
      <c r="GG19" s="12" t="str">
        <f>IF(SUM(FY19)&gt;0,SUM(FY19),"")</f>
        <v/>
      </c>
      <c r="GH19" s="12" t="str">
        <f>IF(SUM(FR19:FU19)-FV19&gt;0,SUM(FR19:FU19)-FV19,"")</f>
        <v/>
      </c>
      <c r="GI19" s="12" t="str">
        <f>IF(SUM(FW19:FZ19)-GA19&gt;0,SUM(FW19:FZ19)-GA19,"")</f>
        <v/>
      </c>
      <c r="GJ19" s="12" t="str">
        <f>IF(SUM(GH19:GI19)&gt;0,SUM(GH19:GI19),"")</f>
        <v/>
      </c>
      <c r="GK19" s="12" t="str">
        <f>IF(SUM(GB19:GE19)-GF19&gt;0,SUM(GB19:GE19)-GF19,"")</f>
        <v/>
      </c>
      <c r="GL19" s="12" t="str">
        <f>IF(SUM(GJ19,GK19)&gt;0,SUM(GJ19,GK19),"")</f>
        <v/>
      </c>
      <c r="GM19" s="46"/>
      <c r="GN19" s="46"/>
      <c r="GO19" s="46"/>
      <c r="GP19" s="46"/>
      <c r="GQ19" s="46"/>
      <c r="GR19" s="46"/>
      <c r="GS19" s="46"/>
      <c r="GT19" s="46"/>
      <c r="GU19" s="46"/>
      <c r="GV19" s="46"/>
      <c r="GW19" s="46"/>
      <c r="GX19" s="46"/>
      <c r="GY19" s="46"/>
      <c r="GZ19" s="46"/>
      <c r="HA19" s="46"/>
      <c r="HB19" s="15" t="str">
        <f>IF(SUM(GT19)&gt;0,SUM(GT19),"")</f>
        <v/>
      </c>
      <c r="HC19" s="15" t="str">
        <f>IF(SUM(GM19:GP19)-GQ19&gt;0,SUM(GM19:GP19)-GQ19,"")</f>
        <v/>
      </c>
      <c r="HD19" s="15" t="str">
        <f>IF(SUM(GR19:GU19)-GV19&gt;0,SUM(GR19:GU19)-GV19,"")</f>
        <v/>
      </c>
      <c r="HE19" s="15" t="str">
        <f>IF(SUM(HC19:HD19)&gt;0,SUM(HC19:HD19),"")</f>
        <v/>
      </c>
      <c r="HF19" s="15" t="str">
        <f>IF(SUM(GW19:GZ19)-HA19&gt;0,SUM(GW19:GZ19)-HA19,"")</f>
        <v/>
      </c>
      <c r="HG19" s="15" t="str">
        <f>IF(SUM(HE19,HF19)&gt;0,SUM(HE19,HF19),"")</f>
        <v/>
      </c>
      <c r="HH19" s="45"/>
      <c r="HI19" s="45"/>
      <c r="HJ19" s="45"/>
      <c r="HK19" s="45"/>
      <c r="HL19" s="45"/>
      <c r="HM19" s="45"/>
      <c r="HN19" s="45"/>
      <c r="HO19" s="45"/>
      <c r="HP19" s="45"/>
      <c r="HQ19" s="45"/>
      <c r="HR19" s="45"/>
      <c r="HS19" s="45"/>
      <c r="HT19" s="45"/>
      <c r="HU19" s="45"/>
      <c r="HV19" s="45"/>
      <c r="HW19" s="12" t="str">
        <f>IF(SUM(HO19)&gt;0,SUM(HO19),"")</f>
        <v/>
      </c>
      <c r="HX19" s="12" t="str">
        <f>IF(SUM(HH19:HK19)-HL19&gt;0,SUM(HH19:HK19)-HL19,"")</f>
        <v/>
      </c>
      <c r="HY19" s="12" t="str">
        <f>IF(SUM(HM19:HP19)-HQ19&gt;0,SUM(HM19:HP19)-HQ19,"")</f>
        <v/>
      </c>
      <c r="HZ19" s="12" t="str">
        <f>IF(SUM(HX19:HY19)&gt;0,SUM(HX19:HY19),"")</f>
        <v/>
      </c>
      <c r="IA19" s="12" t="str">
        <f>IF(SUM(HR19:HU19)-HV19&gt;0,SUM(HR19:HU19)-HV19,"")</f>
        <v/>
      </c>
      <c r="IB19" s="12" t="str">
        <f>IF(SUM(HZ19,IA19)&gt;0,SUM(HZ19,IA19),"")</f>
        <v/>
      </c>
      <c r="IC19" s="46"/>
      <c r="ID19" s="46"/>
      <c r="IE19" s="46"/>
      <c r="IF19" s="46"/>
      <c r="IG19" s="46"/>
      <c r="IH19" s="46"/>
      <c r="II19" s="46"/>
      <c r="IJ19" s="46"/>
      <c r="IK19" s="46"/>
      <c r="IL19" s="46"/>
      <c r="IM19" s="46"/>
      <c r="IN19" s="46"/>
      <c r="IO19" s="46"/>
      <c r="IP19" s="46"/>
      <c r="IQ19" s="46"/>
      <c r="IR19" s="15" t="str">
        <f>IF(SUM(IJ19)&gt;0,SUM(IJ19),"")</f>
        <v/>
      </c>
      <c r="IS19" s="15" t="str">
        <f>IF(SUM(IC19:IF19)-IG19&gt;0,SUM(IC19:IF19)-IG19,"")</f>
        <v/>
      </c>
      <c r="IT19" s="15" t="str">
        <f>IF(SUM(IH19:IK19)-IL19&gt;0,SUM(IH19:IK19)-IL19,"")</f>
        <v/>
      </c>
      <c r="IU19" s="15" t="str">
        <f>IF(SUM(IS19:IT19)&gt;0,SUM(IS19:IT19),"")</f>
        <v/>
      </c>
      <c r="IV19" s="15" t="str">
        <f>IF(SUM(IM19:IP19)-IQ19&gt;0,SUM(IM19:IP19)-IQ19,"")</f>
        <v/>
      </c>
      <c r="IW19" s="15" t="str">
        <f>IF(SUM(IU19,IV19)&gt;0,SUM(IU19,IV19),"")</f>
        <v/>
      </c>
      <c r="IX19" s="45"/>
      <c r="IY19" s="45"/>
      <c r="IZ19" s="45"/>
      <c r="JA19" s="45"/>
      <c r="JB19" s="45"/>
      <c r="JC19" s="45"/>
      <c r="JD19" s="45"/>
      <c r="JE19" s="45"/>
      <c r="JF19" s="45"/>
      <c r="JG19" s="45"/>
      <c r="JH19" s="45"/>
      <c r="JI19" s="45"/>
      <c r="JJ19" s="45"/>
      <c r="JK19" s="45"/>
      <c r="JL19" s="45"/>
      <c r="JM19" s="12" t="str">
        <f>IF(SUM(JE19)&gt;0,SUM(JE19),"")</f>
        <v/>
      </c>
      <c r="JN19" s="12" t="str">
        <f>IF(SUM(IX19:JA19)-JB19&gt;0,SUM(IX19:JA19)-JB19,"")</f>
        <v/>
      </c>
      <c r="JO19" s="12" t="str">
        <f>IF(SUM(JC19:JF19)-JG19&gt;0,SUM(JC19:JF19)-JG19,"")</f>
        <v/>
      </c>
      <c r="JP19" s="12" t="str">
        <f>IF(SUM(JN19:JO19)&gt;0,SUM(JN19:JO19),"")</f>
        <v/>
      </c>
      <c r="JQ19" s="12" t="str">
        <f>IF(SUM(JH19:JK19)-JL19&gt;0,SUM(JH19:JK19)-JL19,"")</f>
        <v/>
      </c>
      <c r="JR19" s="12" t="str">
        <f>IF(SUM(JP19,JQ19)&gt;0,SUM(JP19,JQ19),"")</f>
        <v/>
      </c>
      <c r="JS19" s="46"/>
      <c r="JT19" s="46"/>
      <c r="JU19" s="46"/>
      <c r="JV19" s="46"/>
      <c r="JW19" s="46"/>
      <c r="JX19" s="46"/>
      <c r="JY19" s="46"/>
      <c r="JZ19" s="46"/>
      <c r="KA19" s="46"/>
      <c r="KB19" s="46"/>
      <c r="KC19" s="46"/>
      <c r="KD19" s="46"/>
      <c r="KE19" s="46"/>
      <c r="KF19" s="46"/>
      <c r="KG19" s="46"/>
      <c r="KH19" s="15" t="str">
        <f>IF(SUM(JZ19)&gt;0,SUM(JZ19),"")</f>
        <v/>
      </c>
      <c r="KI19" s="15" t="str">
        <f>IF(SUM(JS19:JV19)-JW19&gt;0,SUM(JS19:JV19)-JW19,"")</f>
        <v/>
      </c>
      <c r="KJ19" s="15" t="str">
        <f>IF(SUM(JX19:KA19)-KB19&gt;0,SUM(JX19:KA19)-KB19,"")</f>
        <v/>
      </c>
      <c r="KK19" s="15" t="str">
        <f>IF(SUM(KI19:KJ19)&gt;0,SUM(KI19:KJ19),"")</f>
        <v/>
      </c>
      <c r="KL19" s="15" t="str">
        <f>IF(SUM(KC19:KF19)-KG19&gt;0,SUM(KC19:KF19)-KG19,"")</f>
        <v/>
      </c>
      <c r="KM19" s="15" t="str">
        <f>IF(SUM(KK19,KL19)&gt;0,SUM(KK19,KL19),"")</f>
        <v/>
      </c>
      <c r="KN19" s="45"/>
      <c r="KO19" s="45"/>
      <c r="KP19" s="45"/>
      <c r="KQ19" s="45"/>
      <c r="KR19" s="45"/>
      <c r="KS19" s="45"/>
      <c r="KT19" s="45"/>
      <c r="KU19" s="45"/>
      <c r="KV19" s="45"/>
      <c r="KW19" s="45"/>
      <c r="KX19" s="45"/>
      <c r="KY19" s="45"/>
      <c r="KZ19" s="45"/>
      <c r="LA19" s="45"/>
      <c r="LB19" s="45"/>
      <c r="LC19" s="12" t="str">
        <f>IF(SUM(KU19)&gt;0,SUM(KU19),"")</f>
        <v/>
      </c>
      <c r="LD19" s="12" t="str">
        <f>IF(SUM(KN19:KQ19)-KR19&gt;0,SUM(KN19:KQ19)-KR19,"")</f>
        <v/>
      </c>
      <c r="LE19" s="12" t="str">
        <f>IF(SUM(KS19:KV19)-KW19&gt;0,SUM(KS19:KV19)-KW19,"")</f>
        <v/>
      </c>
      <c r="LF19" s="12" t="str">
        <f>IF(SUM(LD19:LE19)&gt;0,SUM(LD19:LE19),"")</f>
        <v/>
      </c>
      <c r="LG19" s="12" t="str">
        <f>IF(SUM(KX19:LA19)-LB19&gt;0,SUM(KX19:LA19)-LB19,"")</f>
        <v/>
      </c>
      <c r="LH19" s="12" t="str">
        <f>IF(SUM(LF19,LG19)&gt;0,SUM(LF19,LG19),"")</f>
        <v/>
      </c>
      <c r="LI19" s="46"/>
      <c r="LJ19" s="46"/>
      <c r="LK19" s="46"/>
      <c r="LL19" s="46"/>
      <c r="LM19" s="46"/>
      <c r="LN19" s="46"/>
      <c r="LO19" s="46"/>
      <c r="LP19" s="46"/>
      <c r="LQ19" s="46"/>
      <c r="LR19" s="46"/>
      <c r="LS19" s="46"/>
      <c r="LT19" s="46"/>
      <c r="LU19" s="46"/>
      <c r="LV19" s="46"/>
      <c r="LW19" s="46"/>
      <c r="LX19" s="15" t="str">
        <f>IF(SUM(LP19)&gt;0,SUM(LP19),"")</f>
        <v/>
      </c>
      <c r="LY19" s="15" t="str">
        <f>IF(SUM(LI19:LL19)-LM19&gt;0,SUM(LI19:LL19)-LM19,"")</f>
        <v/>
      </c>
      <c r="LZ19" s="15" t="str">
        <f>IF(SUM(LN19:LQ19)-LR19&gt;0,SUM(LN19:LQ19)-LR19,"")</f>
        <v/>
      </c>
      <c r="MA19" s="15" t="str">
        <f>IF(SUM(LY19:LZ19)&gt;0,SUM(LY19:LZ19),"")</f>
        <v/>
      </c>
      <c r="MB19" s="15" t="str">
        <f>IF(SUM(LS19:LV19)-LW19&gt;0,SUM(LS19:LV19)-LW19,"")</f>
        <v/>
      </c>
      <c r="MC19" s="15" t="str">
        <f>IF(SUM(MA19,MB19)&gt;0,SUM(MA19,MB19),"")</f>
        <v/>
      </c>
    </row>
    <row r="20" spans="1:341" x14ac:dyDescent="0.2">
      <c r="A20" s="6" t="str">
        <f>IF(AND(F20="P",H20="P"),SUMPRODUCT((F$4:F$21="P")*(H$4:H$21="P")*(E$4:E$21&gt;E20))+1,IF(H20="P",SUMPRODUCT((F$4:F$21="")*(H$4:H$21="P")*(E$4:E$21&gt;E20))+1+SUMPRODUCT((F$4:F$21="P")*(H$4:H$21="P")),""))</f>
        <v/>
      </c>
      <c r="B20" s="9" t="s">
        <v>90</v>
      </c>
      <c r="C20" s="5" t="s">
        <v>5</v>
      </c>
      <c r="D20" s="31">
        <v>2001</v>
      </c>
      <c r="E20" s="16">
        <f>SUM(J20:R20)</f>
        <v>62.25</v>
      </c>
      <c r="F20" s="4" t="str">
        <f>IF(OR(AND($AK20&gt;=$AL$24,NOT($AK20=""),$AJ20=""),AND($BG20&gt;=$BH$24,NOT($BG20=""),$BF20=""),AND($CC20&gt;=$CD$24,NOT($CC20=""),$CB20="")),"P","")</f>
        <v/>
      </c>
      <c r="G20" s="4" t="str">
        <f>IF(OR(AND($AK20&gt;=$AL$25,NOT($AK20=""),$AJ20=""),AND($BG20&gt;=$BH$25,NOT($BG20=""),$BF20=""),AND($CC20&gt;=$CD$25,NOT($CC20=""),$CB20="")),"P","")</f>
        <v/>
      </c>
      <c r="H20" s="4" t="str">
        <f>IF(OR(AND($AN20&gt;=$AL$26,NOT($AN20=""),$AJ20=""),AND($BJ20&gt;=$BH$26,NOT($BJ20=""),$BF20=""),AND($CF20&gt;=$CD$26,NOT($CF20=""),$CB20="")),"P","")</f>
        <v/>
      </c>
      <c r="I20" t="str">
        <f>IF(AND(F20="P",OR(AND($AM20&gt;$AL$29,NOT($AM20=""),$AJ20=""),AND($AO20&gt;$AL$29,NOT($AO20=""),$AJ20=""),AND($BI20&gt;$BH$29,NOT($BI20=""),$BF20=""),AND($BK20&gt;$BH$29,NOT($BK20=""),$BF20=""),AND($CE20&gt;$CD$29,NOT($CE20=""),$CB20=""),AND($CG20&gt;$CD$29,NOT($CG20=""),$CB20=""))),"Merit",IF(AND(F20="P",OR(AND($AN20&gt;$AL$28,NOT($AN20=""),$AJ20=""),AND($BJ20&gt;$BH$28,NOT($BJ20=""),$BF20=""),AND($CF20&gt;$CD$28,NOT($CF20=""),$CB20=""))),"Funding",IF(AND(F20="P",OR(AND($AN20&gt;$AL$27,NOT($AN20=""),$AJ20=""),AND($BJ20&gt;$BH$27,NOT($BJ20=""),$BF20=""),AND($CF20&gt;$CD$27,NOT($CF20=""),$CB20=""))),"Worlds Team",IF(AND(F20="P",OR(AND($AN20&gt;$AL$26,NOT($AN20=""),$AJ20=""),AND($BJ20&gt;$BH$26,NOT($BJ20=""),$BF20=""),AND($CF20&gt;$CD$26,NOT($CF20=""),$CB20=""))),"National Team",""))))</f>
        <v/>
      </c>
      <c r="J20" s="15">
        <f>MAX(AN20,BJ20,CF20)</f>
        <v>62.25</v>
      </c>
      <c r="K20" s="15" t="str">
        <f>IF(J20=CF20,$BM$1,IF(J20=BJ20,$AQ$1,IF(J20=AN20,$U$1,"")))</f>
        <v>2018 Nationals</v>
      </c>
      <c r="L20" s="15">
        <f>IF($J20=$AN20,MAX(BH20,CD20),IF($J20=$BJ20,MAX(AL20,CD20),MAX(AL20,BH20)))</f>
        <v>0</v>
      </c>
      <c r="M20" s="15" t="str">
        <f>IF(AND(L20=CD20,$K20&lt;&gt;$BM$1),$BM$1,IF(AND(L20=BH20,$K20&lt;&gt;$AQ$1),$AQ$1,IF(AND(L20=AL20,$K20&lt;&gt;$U$1),$U$1,"")))</f>
        <v/>
      </c>
      <c r="N20" s="15">
        <f>IF($J20=$AN20,MAX(BI20,CE20),IF($J20=$BJ20,MAX(AM20,CE20),MAX(AM20,BI20)))</f>
        <v>0</v>
      </c>
      <c r="O20" s="15" t="str">
        <f>IF(AND(N20=CE20,$K20&lt;&gt;$BM$1),$BM$1,IF(AND(N20=BI20,$K20&lt;&gt;$AQ$1),$AQ$1,IF(AND(N20=AM20,$K20&lt;&gt;$U$1),$U$1,"")))</f>
        <v/>
      </c>
      <c r="P20" s="15">
        <f>MAX(AO20,BK20,CG20)</f>
        <v>0</v>
      </c>
      <c r="Q20" s="15" t="str">
        <f>IF(P20=CG20,$BM$1,IF(P20=BK20,$AQ$1,IF(P20=AO20,$U$1,"")))</f>
        <v/>
      </c>
      <c r="R20" s="15" t="str">
        <f>IF(MAX(CI20,CJ20,CK20)&gt;0,MAX(CI20,CJ20,CK20),"")</f>
        <v/>
      </c>
      <c r="S20" s="29" t="str">
        <f>IF(R20="","",IF(R20=CI20,"(Vol 1)",IF(R20=CJ20,"(Vol 2)",IF(R20=CK20,"(Final)"))))</f>
        <v/>
      </c>
      <c r="T20" s="15" t="str">
        <f>IF(R20="","",IF(R20=CI20,IF(R20+L20=LY20,$LI$1,IF(R20+L20=LD20,$KN$1,IF(R20+L20=KI20,$JS$1,IF(R20+L20=JN20,$IX$1,IF(R20+L20=IS20,$IC$1,IF(R20+L20=HX20,$HH$1,IF(R20+L20=HC20,$GM$1,IF(R20+L20=GH20,$FR$1,IF(R20+L20=FM20,$EW$1,IF(R20+L20=ER20,$EB$1,IF(R20+L20=DW20,$DG$1,IF(R20+L20=DB20,$CL$1)))))))))))),IF(R20=CJ20,IF(R20+N20=LZ20,$LI$1,IF(R20+N20=LE20,$KN$1,IF(R20+N20=KJ20,$JS$1,IF(R20+N20=JO20,$IX$1,IF(R20+N20=IT20,$IC$1,IF(R20+N20=HY20,$HH$1,IF(R20+N20=HD20,$GM$1,IF(R20+N20=GI20,$FR$1,IF(R20+N20=FN20,$EW$1,IF(R20+N20=ES20,$EB$1,IF(R20+N20=DX20,$DG$1,IF(R20+N20=DC20,$CL$1)))))))))))),IF(R20=CK20,IF(R20+P20=MB20,$LI$1,IF(R20+P20=LG20,$KN$1,IF(R20+P20=KL20,$JS$1,IF(R20+P20=JQ20,$IX$1,IF(R20+P20=IV20,$IC$1,IF(R20+P20=IA20,$HH$1,IF(R20+P20=HF20,$GM$1,IF(R20+P20=GK20,$FR$1,IF(R20+P20=FP20,$EW$1,IF(R20+P20=EU20,$EB$1,IF(R20+P20=DZ20,$DG$1,IF(R20+P20=DE20,$CL$1))))))))))))))))</f>
        <v/>
      </c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101"/>
      <c r="AK20" s="12" t="str">
        <f>IF(SUM(AB20)&gt;0,SUM(AB20),"")</f>
        <v/>
      </c>
      <c r="AL20" s="12" t="str">
        <f>IF(SUM(U20:X20)-Y20&gt;0,SUM(U20:X20)-Y20,"")</f>
        <v/>
      </c>
      <c r="AM20" s="12" t="str">
        <f>IF(SUM(Z20:AC20)-AD20&gt;0,SUM(Z20:AC20)-AD20,"")</f>
        <v/>
      </c>
      <c r="AN20" s="12" t="str">
        <f>IF(SUM(AL20:AM20)&gt;0,SUM(AL20:AM20),"")</f>
        <v/>
      </c>
      <c r="AO20" s="12" t="str">
        <f>IF(SUM(AE20:AH20)-AI20&gt;0,SUM(AE20:AH20)-AI20,"")</f>
        <v/>
      </c>
      <c r="AP20" s="12" t="str">
        <f>IF(SUM(AN20,AO20)&gt;0,SUM(AN20,AO20),"")</f>
        <v/>
      </c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105"/>
      <c r="BG20" s="15" t="str">
        <f>IF(SUM(AX20)&gt;0,SUM(AX20),"")</f>
        <v/>
      </c>
      <c r="BH20" s="15" t="str">
        <f>IF(SUM(AQ20:AT20)-AU20&gt;0,SUM(AQ20:AT20)-AU20,"")</f>
        <v/>
      </c>
      <c r="BI20" s="15" t="str">
        <f>IF(SUM(AV20:AY20)-AZ20&gt;0,SUM(AV20:AY20)-AZ20,"")</f>
        <v/>
      </c>
      <c r="BJ20" s="15" t="str">
        <f>IF(SUM(BH20:BI20)&gt;0,SUM(BH20:BI20),"")</f>
        <v/>
      </c>
      <c r="BK20" s="15" t="str">
        <f>IF(SUM(BA20:BD20)-BE20&gt;0,SUM(BA20:BD20)-BE20,"")</f>
        <v/>
      </c>
      <c r="BL20" s="15" t="str">
        <f>IF(SUM(BJ20,BK20)&gt;0,SUM(BJ20,BK20),"")</f>
        <v/>
      </c>
      <c r="BM20" s="76">
        <v>14.2</v>
      </c>
      <c r="BN20" s="76">
        <v>8.85</v>
      </c>
      <c r="BO20" s="76">
        <v>3.4</v>
      </c>
      <c r="BP20" s="76">
        <v>15.63</v>
      </c>
      <c r="BQ20" s="76">
        <v>0</v>
      </c>
      <c r="BR20" s="76">
        <v>5.3</v>
      </c>
      <c r="BS20" s="76">
        <v>3.45</v>
      </c>
      <c r="BT20" s="76">
        <v>5.2</v>
      </c>
      <c r="BU20" s="76">
        <v>6.22</v>
      </c>
      <c r="BV20" s="76">
        <v>0</v>
      </c>
      <c r="BW20" s="76"/>
      <c r="BX20" s="76"/>
      <c r="BY20" s="76"/>
      <c r="BZ20" s="76"/>
      <c r="CA20" s="76"/>
      <c r="CB20" s="101"/>
      <c r="CC20" s="12">
        <f>IF(SUM(BT20)&gt;0,SUM(BT20),"")</f>
        <v>5.2</v>
      </c>
      <c r="CD20" s="12">
        <f>IF(SUM(BM20:BP20)-BQ20&gt;0,SUM(BM20:BP20)-BQ20,"")</f>
        <v>42.08</v>
      </c>
      <c r="CE20" s="12">
        <f>IF(SUM(BR20:BU20)-BV20&gt;0,SUM(BR20:BU20)-BV20,"")</f>
        <v>20.169999999999998</v>
      </c>
      <c r="CF20" s="12">
        <f>IF(SUM(CD20:CE20)&gt;0,SUM(CD20:CE20),"")</f>
        <v>62.25</v>
      </c>
      <c r="CG20" s="12" t="str">
        <f>IF(SUM(BW20:BZ20)-CA20&gt;0,SUM(BW20:BZ20)-CA20,"")</f>
        <v/>
      </c>
      <c r="CH20" s="12">
        <f>IF(SUM(CF20,CG20)&gt;0,SUM(CF20,CG20),"")</f>
        <v>62.25</v>
      </c>
      <c r="CI20" s="28" t="str">
        <f>IF(MAX(DB20,DW20,ER20,FM20,GH20,HC20,HX20,IS20,JN20,KI20,LD20,LY20)-L20&gt;0.001,MAX(DB20,DW20,ER20,FM20,GH20,HC20,HX20,IS20,JN20,KI20,LD20,LY20)-L20,"")</f>
        <v/>
      </c>
      <c r="CJ20" s="28" t="str">
        <f>IF(MAX(DC20,DX20,ES20,FN20,GI20,HD20,HY20,IT20,JO20,KJ20,LE20,LZ20)-N20&gt;0.001,MAX(DC20,DX20,ES20,FN20,GI20,HD20,HY20,IT20,JO20,KJ20,LE20,LZ20)-N20,"")</f>
        <v/>
      </c>
      <c r="CK20" s="28" t="str">
        <f>IF(MAX(DE20,DZ20,EU20,FP20,GK20,HF20,IA20,IV20,JQ20,KL20,LG20,MB20)-P20&gt;0.001,MAX(DE20,DZ20,EU20,FP20,GK20,HF20,IA20,IV20,JQ20,KL20,LG20,MB20)-P20,"")</f>
        <v/>
      </c>
      <c r="CL20" s="45"/>
      <c r="CM20" s="45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5"/>
      <c r="CY20" s="45"/>
      <c r="CZ20" s="45"/>
      <c r="DA20" s="12" t="str">
        <f>IF(SUM(CS20)&gt;0,SUM(CS20),"")</f>
        <v/>
      </c>
      <c r="DB20" s="12" t="str">
        <f>IF(SUM(CL20:CO20)-CP20&gt;0,SUM(CL20:CO20)-CP20,"")</f>
        <v/>
      </c>
      <c r="DC20" s="12" t="str">
        <f>IF(SUM(CQ20:CT20)-CU20&gt;0,SUM(CQ20:CT20)-CU20,"")</f>
        <v/>
      </c>
      <c r="DD20" s="12" t="str">
        <f>IF(SUM(DB20:DC20)&gt;0,SUM(DB20:DC20),"")</f>
        <v/>
      </c>
      <c r="DE20" s="12" t="str">
        <f>IF(SUM(CV20:CY20)-CZ20&gt;0,SUM(CV20:CY20)-CZ20,"")</f>
        <v/>
      </c>
      <c r="DF20" s="12" t="str">
        <f>IF(SUM(DD20,DE20)&gt;0,SUM(DD20,DE20),"")</f>
        <v/>
      </c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15" t="str">
        <f>IF(SUM(DN20)&gt;0,SUM(DN20),"")</f>
        <v/>
      </c>
      <c r="DW20" s="15" t="str">
        <f>IF(SUM(DG20:DJ20)-DK20&gt;0,SUM(DG20:DJ20)-DK20,"")</f>
        <v/>
      </c>
      <c r="DX20" s="15" t="str">
        <f>IF(SUM(DL20:DO20)-DP20&gt;0,SUM(DL20:DO20)-DP20,"")</f>
        <v/>
      </c>
      <c r="DY20" s="15" t="str">
        <f>IF(SUM(DW20:DX20)&gt;0,SUM(DW20:DX20),"")</f>
        <v/>
      </c>
      <c r="DZ20" s="15" t="str">
        <f>IF(SUM(DQ20:DT20)-DU20&gt;0,SUM(DQ20:DT20)-DU20,"")</f>
        <v/>
      </c>
      <c r="EA20" s="15" t="str">
        <f>IF(SUM(DY20,DZ20)&gt;0,SUM(DY20,DZ20),"")</f>
        <v/>
      </c>
      <c r="EB20" s="45"/>
      <c r="EC20" s="45"/>
      <c r="ED20" s="45"/>
      <c r="EE20" s="45"/>
      <c r="EF20" s="45"/>
      <c r="EG20" s="45"/>
      <c r="EH20" s="45"/>
      <c r="EI20" s="45"/>
      <c r="EJ20" s="45"/>
      <c r="EK20" s="45"/>
      <c r="EL20" s="45"/>
      <c r="EM20" s="45"/>
      <c r="EN20" s="45"/>
      <c r="EO20" s="45"/>
      <c r="EP20" s="45"/>
      <c r="EQ20" s="12" t="str">
        <f>IF(SUM(EI20)&gt;0,SUM(EI20),"")</f>
        <v/>
      </c>
      <c r="ER20" s="12" t="str">
        <f>IF(SUM(EB20:EE20)-EF20&gt;0,SUM(EB20:EE20)-EF20,"")</f>
        <v/>
      </c>
      <c r="ES20" s="12" t="str">
        <f>IF(SUM(EG20:EJ20)-EK20&gt;0,SUM(EG20:EJ20)-EK20,"")</f>
        <v/>
      </c>
      <c r="ET20" s="12" t="str">
        <f>IF(SUM(ER20:ES20)&gt;0,SUM(ER20:ES20),"")</f>
        <v/>
      </c>
      <c r="EU20" s="12" t="str">
        <f>IF(SUM(EL20:EO20)-EP20&gt;0,SUM(EL20:EO20)-EP20,"")</f>
        <v/>
      </c>
      <c r="EV20" s="12" t="str">
        <f>IF(SUM(ET20,EU20)&gt;0,SUM(ET20,EU20),"")</f>
        <v/>
      </c>
      <c r="EW20" s="46"/>
      <c r="EX20" s="46"/>
      <c r="EY20" s="46"/>
      <c r="EZ20" s="46"/>
      <c r="FA20" s="46"/>
      <c r="FB20" s="46"/>
      <c r="FC20" s="46"/>
      <c r="FD20" s="46"/>
      <c r="FE20" s="46"/>
      <c r="FF20" s="46"/>
      <c r="FG20" s="46"/>
      <c r="FH20" s="46"/>
      <c r="FI20" s="46"/>
      <c r="FJ20" s="46"/>
      <c r="FK20" s="46"/>
      <c r="FL20" s="15" t="str">
        <f>IF(SUM(FD20)&gt;0,SUM(FD20),"")</f>
        <v/>
      </c>
      <c r="FM20" s="15" t="str">
        <f>IF(SUM(EW20:EZ20)-FA20&gt;0,SUM(EW20:EZ20)-FA20,"")</f>
        <v/>
      </c>
      <c r="FN20" s="15" t="str">
        <f>IF(SUM(FB20:FE20)-FF20&gt;0,SUM(FB20:FE20)-FF20,"")</f>
        <v/>
      </c>
      <c r="FO20" s="15" t="str">
        <f>IF(SUM(FM20:FN20)&gt;0,SUM(FM20:FN20),"")</f>
        <v/>
      </c>
      <c r="FP20" s="15" t="str">
        <f>IF(SUM(FG20:FJ20)-FK20&gt;0,SUM(FG20:FJ20)-FK20,"")</f>
        <v/>
      </c>
      <c r="FQ20" s="15" t="str">
        <f>IF(SUM(FO20,FP20)&gt;0,SUM(FO20,FP20),"")</f>
        <v/>
      </c>
      <c r="FR20" s="45"/>
      <c r="FS20" s="45"/>
      <c r="FT20" s="45"/>
      <c r="FU20" s="45"/>
      <c r="FV20" s="45"/>
      <c r="FW20" s="45"/>
      <c r="FX20" s="45"/>
      <c r="FY20" s="45"/>
      <c r="FZ20" s="45"/>
      <c r="GA20" s="45"/>
      <c r="GB20" s="45"/>
      <c r="GC20" s="45"/>
      <c r="GD20" s="45"/>
      <c r="GE20" s="45"/>
      <c r="GF20" s="45"/>
      <c r="GG20" s="12" t="str">
        <f>IF(SUM(FY20)&gt;0,SUM(FY20),"")</f>
        <v/>
      </c>
      <c r="GH20" s="12" t="str">
        <f>IF(SUM(FR20:FU20)-FV20&gt;0,SUM(FR20:FU20)-FV20,"")</f>
        <v/>
      </c>
      <c r="GI20" s="12" t="str">
        <f>IF(SUM(FW20:FZ20)-GA20&gt;0,SUM(FW20:FZ20)-GA20,"")</f>
        <v/>
      </c>
      <c r="GJ20" s="12" t="str">
        <f>IF(SUM(GH20:GI20)&gt;0,SUM(GH20:GI20),"")</f>
        <v/>
      </c>
      <c r="GK20" s="12" t="str">
        <f>IF(SUM(GB20:GE20)-GF20&gt;0,SUM(GB20:GE20)-GF20,"")</f>
        <v/>
      </c>
      <c r="GL20" s="12" t="str">
        <f>IF(SUM(GJ20,GK20)&gt;0,SUM(GJ20,GK20),"")</f>
        <v/>
      </c>
      <c r="GM20" s="46"/>
      <c r="GN20" s="46"/>
      <c r="GO20" s="46"/>
      <c r="GP20" s="46"/>
      <c r="GQ20" s="46"/>
      <c r="GR20" s="46"/>
      <c r="GS20" s="46"/>
      <c r="GT20" s="46"/>
      <c r="GU20" s="46"/>
      <c r="GV20" s="46"/>
      <c r="GW20" s="46"/>
      <c r="GX20" s="46"/>
      <c r="GY20" s="46"/>
      <c r="GZ20" s="46"/>
      <c r="HA20" s="46"/>
      <c r="HB20" s="15" t="str">
        <f>IF(SUM(GT20)&gt;0,SUM(GT20),"")</f>
        <v/>
      </c>
      <c r="HC20" s="15" t="str">
        <f>IF(SUM(GM20:GP20)-GQ20&gt;0,SUM(GM20:GP20)-GQ20,"")</f>
        <v/>
      </c>
      <c r="HD20" s="15" t="str">
        <f>IF(SUM(GR20:GU20)-GV20&gt;0,SUM(GR20:GU20)-GV20,"")</f>
        <v/>
      </c>
      <c r="HE20" s="15" t="str">
        <f>IF(SUM(HC20:HD20)&gt;0,SUM(HC20:HD20),"")</f>
        <v/>
      </c>
      <c r="HF20" s="15" t="str">
        <f>IF(SUM(GW20:GZ20)-HA20&gt;0,SUM(GW20:GZ20)-HA20,"")</f>
        <v/>
      </c>
      <c r="HG20" s="15" t="str">
        <f>IF(SUM(HE20,HF20)&gt;0,SUM(HE20,HF20),"")</f>
        <v/>
      </c>
      <c r="HH20" s="45"/>
      <c r="HI20" s="45"/>
      <c r="HJ20" s="45"/>
      <c r="HK20" s="45"/>
      <c r="HL20" s="45"/>
      <c r="HM20" s="45"/>
      <c r="HN20" s="45"/>
      <c r="HO20" s="45"/>
      <c r="HP20" s="45"/>
      <c r="HQ20" s="45"/>
      <c r="HR20" s="45"/>
      <c r="HS20" s="45"/>
      <c r="HT20" s="45"/>
      <c r="HU20" s="45"/>
      <c r="HV20" s="45"/>
      <c r="HW20" s="12" t="str">
        <f>IF(SUM(HO20)&gt;0,SUM(HO20),"")</f>
        <v/>
      </c>
      <c r="HX20" s="12" t="str">
        <f>IF(SUM(HH20:HK20)-HL20&gt;0,SUM(HH20:HK20)-HL20,"")</f>
        <v/>
      </c>
      <c r="HY20" s="12" t="str">
        <f>IF(SUM(HM20:HP20)-HQ20&gt;0,SUM(HM20:HP20)-HQ20,"")</f>
        <v/>
      </c>
      <c r="HZ20" s="12" t="str">
        <f>IF(SUM(HX20:HY20)&gt;0,SUM(HX20:HY20),"")</f>
        <v/>
      </c>
      <c r="IA20" s="12" t="str">
        <f>IF(SUM(HR20:HU20)-HV20&gt;0,SUM(HR20:HU20)-HV20,"")</f>
        <v/>
      </c>
      <c r="IB20" s="12" t="str">
        <f>IF(SUM(HZ20,IA20)&gt;0,SUM(HZ20,IA20),"")</f>
        <v/>
      </c>
      <c r="IC20" s="46"/>
      <c r="ID20" s="46"/>
      <c r="IE20" s="46"/>
      <c r="IF20" s="46"/>
      <c r="IG20" s="46"/>
      <c r="IH20" s="46"/>
      <c r="II20" s="46"/>
      <c r="IJ20" s="46"/>
      <c r="IK20" s="46"/>
      <c r="IL20" s="46"/>
      <c r="IM20" s="46"/>
      <c r="IN20" s="46"/>
      <c r="IO20" s="46"/>
      <c r="IP20" s="46"/>
      <c r="IQ20" s="46"/>
      <c r="IR20" s="15" t="str">
        <f>IF(SUM(IJ20)&gt;0,SUM(IJ20),"")</f>
        <v/>
      </c>
      <c r="IS20" s="15" t="str">
        <f>IF(SUM(IC20:IF20)-IG20&gt;0,SUM(IC20:IF20)-IG20,"")</f>
        <v/>
      </c>
      <c r="IT20" s="15" t="str">
        <f>IF(SUM(IH20:IK20)-IL20&gt;0,SUM(IH20:IK20)-IL20,"")</f>
        <v/>
      </c>
      <c r="IU20" s="15" t="str">
        <f>IF(SUM(IS20:IT20)&gt;0,SUM(IS20:IT20),"")</f>
        <v/>
      </c>
      <c r="IV20" s="15" t="str">
        <f>IF(SUM(IM20:IP20)-IQ20&gt;0,SUM(IM20:IP20)-IQ20,"")</f>
        <v/>
      </c>
      <c r="IW20" s="15" t="str">
        <f>IF(SUM(IU20,IV20)&gt;0,SUM(IU20,IV20),"")</f>
        <v/>
      </c>
      <c r="IX20" s="45"/>
      <c r="IY20" s="45"/>
      <c r="IZ20" s="45"/>
      <c r="JA20" s="45"/>
      <c r="JB20" s="45"/>
      <c r="JC20" s="45"/>
      <c r="JD20" s="45"/>
      <c r="JE20" s="45"/>
      <c r="JF20" s="45"/>
      <c r="JG20" s="45"/>
      <c r="JH20" s="45"/>
      <c r="JI20" s="45"/>
      <c r="JJ20" s="45"/>
      <c r="JK20" s="45"/>
      <c r="JL20" s="45"/>
      <c r="JM20" s="12" t="str">
        <f>IF(SUM(JE20)&gt;0,SUM(JE20),"")</f>
        <v/>
      </c>
      <c r="JN20" s="12" t="str">
        <f>IF(SUM(IX20:JA20)-JB20&gt;0,SUM(IX20:JA20)-JB20,"")</f>
        <v/>
      </c>
      <c r="JO20" s="12" t="str">
        <f>IF(SUM(JC20:JF20)-JG20&gt;0,SUM(JC20:JF20)-JG20,"")</f>
        <v/>
      </c>
      <c r="JP20" s="12" t="str">
        <f>IF(SUM(JN20:JO20)&gt;0,SUM(JN20:JO20),"")</f>
        <v/>
      </c>
      <c r="JQ20" s="12" t="str">
        <f>IF(SUM(JH20:JK20)-JL20&gt;0,SUM(JH20:JK20)-JL20,"")</f>
        <v/>
      </c>
      <c r="JR20" s="12" t="str">
        <f>IF(SUM(JP20,JQ20)&gt;0,SUM(JP20,JQ20),"")</f>
        <v/>
      </c>
      <c r="JS20" s="46"/>
      <c r="JT20" s="46"/>
      <c r="JU20" s="46"/>
      <c r="JV20" s="46"/>
      <c r="JW20" s="46"/>
      <c r="JX20" s="46"/>
      <c r="JY20" s="46"/>
      <c r="JZ20" s="46"/>
      <c r="KA20" s="46"/>
      <c r="KB20" s="46"/>
      <c r="KC20" s="46"/>
      <c r="KD20" s="46"/>
      <c r="KE20" s="46"/>
      <c r="KF20" s="46"/>
      <c r="KG20" s="46"/>
      <c r="KH20" s="15" t="str">
        <f>IF(SUM(JZ20)&gt;0,SUM(JZ20),"")</f>
        <v/>
      </c>
      <c r="KI20" s="15" t="str">
        <f>IF(SUM(JS20:JV20)-JW20&gt;0,SUM(JS20:JV20)-JW20,"")</f>
        <v/>
      </c>
      <c r="KJ20" s="15" t="str">
        <f>IF(SUM(JX20:KA20)-KB20&gt;0,SUM(JX20:KA20)-KB20,"")</f>
        <v/>
      </c>
      <c r="KK20" s="15" t="str">
        <f>IF(SUM(KI20:KJ20)&gt;0,SUM(KI20:KJ20),"")</f>
        <v/>
      </c>
      <c r="KL20" s="15" t="str">
        <f>IF(SUM(KC20:KF20)-KG20&gt;0,SUM(KC20:KF20)-KG20,"")</f>
        <v/>
      </c>
      <c r="KM20" s="15" t="str">
        <f>IF(SUM(KK20,KL20)&gt;0,SUM(KK20,KL20),"")</f>
        <v/>
      </c>
      <c r="KN20" s="45"/>
      <c r="KO20" s="45"/>
      <c r="KP20" s="45"/>
      <c r="KQ20" s="45"/>
      <c r="KR20" s="45"/>
      <c r="KS20" s="45"/>
      <c r="KT20" s="45"/>
      <c r="KU20" s="45"/>
      <c r="KV20" s="45"/>
      <c r="KW20" s="45"/>
      <c r="KX20" s="45"/>
      <c r="KY20" s="45"/>
      <c r="KZ20" s="45"/>
      <c r="LA20" s="45"/>
      <c r="LB20" s="45"/>
      <c r="LC20" s="12" t="str">
        <f>IF(SUM(KU20)&gt;0,SUM(KU20),"")</f>
        <v/>
      </c>
      <c r="LD20" s="12" t="str">
        <f>IF(SUM(KN20:KQ20)-KR20&gt;0,SUM(KN20:KQ20)-KR20,"")</f>
        <v/>
      </c>
      <c r="LE20" s="12" t="str">
        <f>IF(SUM(KS20:KV20)-KW20&gt;0,SUM(KS20:KV20)-KW20,"")</f>
        <v/>
      </c>
      <c r="LF20" s="12" t="str">
        <f>IF(SUM(LD20:LE20)&gt;0,SUM(LD20:LE20),"")</f>
        <v/>
      </c>
      <c r="LG20" s="12" t="str">
        <f>IF(SUM(KX20:LA20)-LB20&gt;0,SUM(KX20:LA20)-LB20,"")</f>
        <v/>
      </c>
      <c r="LH20" s="12" t="str">
        <f>IF(SUM(LF20,LG20)&gt;0,SUM(LF20,LG20),"")</f>
        <v/>
      </c>
      <c r="LI20" s="46"/>
      <c r="LJ20" s="46"/>
      <c r="LK20" s="46"/>
      <c r="LL20" s="46"/>
      <c r="LM20" s="46"/>
      <c r="LN20" s="46"/>
      <c r="LO20" s="46"/>
      <c r="LP20" s="46"/>
      <c r="LQ20" s="46"/>
      <c r="LR20" s="46"/>
      <c r="LS20" s="46"/>
      <c r="LT20" s="46"/>
      <c r="LU20" s="46"/>
      <c r="LV20" s="46"/>
      <c r="LW20" s="46"/>
      <c r="LX20" s="15" t="str">
        <f>IF(SUM(LP20)&gt;0,SUM(LP20),"")</f>
        <v/>
      </c>
      <c r="LY20" s="15" t="str">
        <f>IF(SUM(LI20:LL20)-LM20&gt;0,SUM(LI20:LL20)-LM20,"")</f>
        <v/>
      </c>
      <c r="LZ20" s="15" t="str">
        <f>IF(SUM(LN20:LQ20)-LR20&gt;0,SUM(LN20:LQ20)-LR20,"")</f>
        <v/>
      </c>
      <c r="MA20" s="15" t="str">
        <f>IF(SUM(LY20:LZ20)&gt;0,SUM(LY20:LZ20),"")</f>
        <v/>
      </c>
      <c r="MB20" s="15" t="str">
        <f>IF(SUM(LS20:LV20)-LW20&gt;0,SUM(LS20:LV20)-LW20,"")</f>
        <v/>
      </c>
      <c r="MC20" s="15" t="str">
        <f>IF(SUM(MA20,MB20)&gt;0,SUM(MA20,MB20),"")</f>
        <v/>
      </c>
    </row>
    <row r="21" spans="1:341" x14ac:dyDescent="0.2">
      <c r="A21" s="6" t="str">
        <f>IF(AND(F21="P",H21="P"),SUMPRODUCT((F$4:F$21="P")*(H$4:H$21="P")*(E$4:E$21&gt;E21))+1,IF(H21="P",SUMPRODUCT((F$4:F$21="")*(H$4:H$21="P")*(E$4:E$21&gt;E21))+1+SUMPRODUCT((F$4:F$21="P")*(H$4:H$21="P")),""))</f>
        <v/>
      </c>
      <c r="B21" s="9" t="s">
        <v>119</v>
      </c>
      <c r="C21" s="5" t="s">
        <v>120</v>
      </c>
      <c r="D21" s="31">
        <v>2001</v>
      </c>
      <c r="E21" s="16">
        <f>SUM(J21:R21)</f>
        <v>38.464999999999996</v>
      </c>
      <c r="F21" s="4" t="str">
        <f>IF(OR(AND($AK21&gt;=$AL$24,NOT($AK21=""),$AJ21=""),AND($BG21&gt;=$BH$24,NOT($BG21=""),$BF21=""),AND($CC21&gt;=$CD$24,NOT($CC21=""),$CB21="")),"P","")</f>
        <v/>
      </c>
      <c r="G21" s="4" t="str">
        <f>IF(OR(AND($AK21&gt;=$AL$25,NOT($AK21=""),$AJ21=""),AND($BG21&gt;=$BH$25,NOT($BG21=""),$BF21=""),AND($CC21&gt;=$CD$25,NOT($CC21=""),$CB21="")),"P","")</f>
        <v/>
      </c>
      <c r="H21" s="4" t="str">
        <f>IF(OR(AND($AN21&gt;=$AL$26,NOT($AN21=""),$AJ21=""),AND($BJ21&gt;=$BH$26,NOT($BJ21=""),$BF21=""),AND($CF21&gt;=$CD$26,NOT($CF21=""),$CB21="")),"P","")</f>
        <v/>
      </c>
      <c r="I21" t="str">
        <f>IF(AND(F21="P",OR(AND($AM21&gt;$AL$29,NOT($AM21=""),$AJ21=""),AND($AO21&gt;$AL$29,NOT($AO21=""),$AJ21=""),AND($BI21&gt;$BH$29,NOT($BI21=""),$BF21=""),AND($BK21&gt;$BH$29,NOT($BK21=""),$BF21=""),AND($CE21&gt;$CD$29,NOT($CE21=""),$CB21=""),AND($CG21&gt;$CD$29,NOT($CG21=""),$CB21=""))),"Merit",IF(AND(F21="P",OR(AND($AN21&gt;$AL$28,NOT($AN21=""),$AJ21=""),AND($BJ21&gt;$BH$28,NOT($BJ21=""),$BF21=""),AND($CF21&gt;$CD$28,NOT($CF21=""),$CB21=""))),"Funding",IF(AND(F21="P",OR(AND($AN21&gt;$AL$27,NOT($AN21=""),$AJ21=""),AND($BJ21&gt;$BH$27,NOT($BJ21=""),$BF21=""),AND($CF21&gt;$CD$27,NOT($CF21=""),$CB21=""))),"Worlds Team",IF(AND(F21="P",OR(AND($AN21&gt;$AL$26,NOT($AN21=""),$AJ21=""),AND($BJ21&gt;$BH$26,NOT($BJ21=""),$BF21=""),AND($CF21&gt;$CD$26,NOT($CF21=""),$CB21=""))),"National Team",""))))</f>
        <v/>
      </c>
      <c r="J21" s="15">
        <f>MAX(AN21,BJ21,CF21)</f>
        <v>38.464999999999996</v>
      </c>
      <c r="K21" s="15" t="str">
        <f>IF(J21=CF21,$BM$1,IF(J21=BJ21,$AQ$1,IF(J21=AN21,$U$1,"")))</f>
        <v>2018 Nationals</v>
      </c>
      <c r="L21" s="15">
        <f>IF($J21=$AN21,MAX(BH21,CD21),IF($J21=$BJ21,MAX(AL21,CD21),MAX(AL21,BH21)))</f>
        <v>0</v>
      </c>
      <c r="M21" s="15" t="str">
        <f>IF(AND(L21=CD21,$K21&lt;&gt;$BM$1),$BM$1,IF(AND(L21=BH21,$K21&lt;&gt;$AQ$1),$AQ$1,IF(AND(L21=AL21,$K21&lt;&gt;$U$1),$U$1,"")))</f>
        <v/>
      </c>
      <c r="N21" s="15">
        <f>IF($J21=$AN21,MAX(BI21,CE21),IF($J21=$BJ21,MAX(AM21,CE21),MAX(AM21,BI21)))</f>
        <v>0</v>
      </c>
      <c r="O21" s="15" t="str">
        <f>IF(AND(N21=CE21,$K21&lt;&gt;$BM$1),$BM$1,IF(AND(N21=BI21,$K21&lt;&gt;$AQ$1),$AQ$1,IF(AND(N21=AM21,$K21&lt;&gt;$U$1),$U$1,"")))</f>
        <v/>
      </c>
      <c r="P21" s="15">
        <f>MAX(AO21,BK21,CG21)</f>
        <v>0</v>
      </c>
      <c r="Q21" s="15" t="str">
        <f>IF(P21=CG21,$BM$1,IF(P21=BK21,$AQ$1,IF(P21=AO21,$U$1,"")))</f>
        <v/>
      </c>
      <c r="R21" s="15" t="str">
        <f>IF(MAX(CI21,CJ21,CK21)&gt;0,MAX(CI21,CJ21,CK21),"")</f>
        <v/>
      </c>
      <c r="S21" s="29" t="str">
        <f>IF(R21="","",IF(R21=CI21,"(Vol 1)",IF(R21=CJ21,"(Vol 2)",IF(R21=CK21,"(Final)"))))</f>
        <v/>
      </c>
      <c r="T21" s="15" t="str">
        <f>IF(R21="","",IF(R21=CI21,IF(R21+L21=LY21,$LI$1,IF(R21+L21=LD21,$KN$1,IF(R21+L21=KI21,$JS$1,IF(R21+L21=JN21,$IX$1,IF(R21+L21=IS21,$IC$1,IF(R21+L21=HX21,$HH$1,IF(R21+L21=HC21,$GM$1,IF(R21+L21=GH21,$FR$1,IF(R21+L21=FM21,$EW$1,IF(R21+L21=ER21,$EB$1,IF(R21+L21=DW21,$DG$1,IF(R21+L21=DB21,$CL$1)))))))))))),IF(R21=CJ21,IF(R21+N21=LZ21,$LI$1,IF(R21+N21=LE21,$KN$1,IF(R21+N21=KJ21,$JS$1,IF(R21+N21=JO21,$IX$1,IF(R21+N21=IT21,$IC$1,IF(R21+N21=HY21,$HH$1,IF(R21+N21=HD21,$GM$1,IF(R21+N21=GI21,$FR$1,IF(R21+N21=FN21,$EW$1,IF(R21+N21=ES21,$EB$1,IF(R21+N21=DX21,$DG$1,IF(R21+N21=DC21,$CL$1)))))))))))),IF(R21=CK21,IF(R21+P21=MB21,$LI$1,IF(R21+P21=LG21,$KN$1,IF(R21+P21=KL21,$JS$1,IF(R21+P21=JQ21,$IX$1,IF(R21+P21=IV21,$IC$1,IF(R21+P21=IA21,$HH$1,IF(R21+P21=HF21,$GM$1,IF(R21+P21=GK21,$FR$1,IF(R21+P21=FP21,$EW$1,IF(R21+P21=EU21,$EB$1,IF(R21+P21=DZ21,$DG$1,IF(R21+P21=DE21,$CL$1))))))))))))))))</f>
        <v/>
      </c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101"/>
      <c r="AK21" s="12" t="str">
        <f>IF(SUM(AB21)&gt;0,SUM(AB21),"")</f>
        <v/>
      </c>
      <c r="AL21" s="12" t="str">
        <f>IF(SUM(U21:X21)-Y21&gt;0,SUM(U21:X21)-Y21,"")</f>
        <v/>
      </c>
      <c r="AM21" s="12" t="str">
        <f>IF(SUM(Z21:AC21)-AD21&gt;0,SUM(Z21:AC21)-AD21,"")</f>
        <v/>
      </c>
      <c r="AN21" s="12" t="str">
        <f>IF(SUM(AL21:AM21)&gt;0,SUM(AL21:AM21),"")</f>
        <v/>
      </c>
      <c r="AO21" s="12" t="str">
        <f>IF(SUM(AE21:AH21)-AI21&gt;0,SUM(AE21:AH21)-AI21,"")</f>
        <v/>
      </c>
      <c r="AP21" s="12" t="str">
        <f>IF(SUM(AN21,AO21)&gt;0,SUM(AN21,AO21),"")</f>
        <v/>
      </c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105"/>
      <c r="BG21" s="15" t="str">
        <f>IF(SUM(AX21)&gt;0,SUM(AX21),"")</f>
        <v/>
      </c>
      <c r="BH21" s="15" t="str">
        <f>IF(SUM(AQ21:AT21)-AU21&gt;0,SUM(AQ21:AT21)-AU21,"")</f>
        <v/>
      </c>
      <c r="BI21" s="15" t="str">
        <f>IF(SUM(AV21:AY21)-AZ21&gt;0,SUM(AV21:AY21)-AZ21,"")</f>
        <v/>
      </c>
      <c r="BJ21" s="15" t="str">
        <f>IF(SUM(BH21:BI21)&gt;0,SUM(BH21:BI21),"")</f>
        <v/>
      </c>
      <c r="BK21" s="15" t="str">
        <f>IF(SUM(BA21:BD21)-BE21&gt;0,SUM(BA21:BD21)-BE21,"")</f>
        <v/>
      </c>
      <c r="BL21" s="15" t="str">
        <f>IF(SUM(BJ21,BK21)&gt;0,SUM(BJ21,BK21),"")</f>
        <v/>
      </c>
      <c r="BM21" s="76">
        <v>1.2</v>
      </c>
      <c r="BN21" s="76">
        <v>0.8</v>
      </c>
      <c r="BO21" s="76">
        <v>1.7</v>
      </c>
      <c r="BP21" s="76">
        <v>1.56</v>
      </c>
      <c r="BQ21" s="76">
        <v>0</v>
      </c>
      <c r="BR21" s="76">
        <v>8.9</v>
      </c>
      <c r="BS21" s="76">
        <v>6.1</v>
      </c>
      <c r="BT21" s="76">
        <v>8.3000000000000007</v>
      </c>
      <c r="BU21" s="76">
        <v>9.9049999999999994</v>
      </c>
      <c r="BV21" s="76">
        <v>0</v>
      </c>
      <c r="BW21" s="76"/>
      <c r="BX21" s="76"/>
      <c r="BY21" s="76"/>
      <c r="BZ21" s="76"/>
      <c r="CA21" s="76"/>
      <c r="CB21" s="101"/>
      <c r="CC21" s="12">
        <f>IF(SUM(BT21)&gt;0,SUM(BT21),"")</f>
        <v>8.3000000000000007</v>
      </c>
      <c r="CD21" s="12">
        <f>IF(SUM(BM21:BP21)-BQ21&gt;0,SUM(BM21:BP21)-BQ21,"")</f>
        <v>5.26</v>
      </c>
      <c r="CE21" s="12">
        <f>IF(SUM(BR21:BU21)-BV21&gt;0,SUM(BR21:BU21)-BV21,"")</f>
        <v>33.204999999999998</v>
      </c>
      <c r="CF21" s="12">
        <f>IF(SUM(CD21:CE21)&gt;0,SUM(CD21:CE21),"")</f>
        <v>38.464999999999996</v>
      </c>
      <c r="CG21" s="12" t="str">
        <f>IF(SUM(BW21:BZ21)-CA21&gt;0,SUM(BW21:BZ21)-CA21,"")</f>
        <v/>
      </c>
      <c r="CH21" s="12">
        <f>IF(SUM(CF21,CG21)&gt;0,SUM(CF21,CG21),"")</f>
        <v>38.464999999999996</v>
      </c>
      <c r="CI21" s="28" t="str">
        <f>IF(MAX(DB21,DW21,ER21,FM21,GH21,HC21,HX21,IS21,JN21,KI21,LD21,LY21)-L21&gt;0.001,MAX(DB21,DW21,ER21,FM21,GH21,HC21,HX21,IS21,JN21,KI21,LD21,LY21)-L21,"")</f>
        <v/>
      </c>
      <c r="CJ21" s="28" t="str">
        <f>IF(MAX(DC21,DX21,ES21,FN21,GI21,HD21,HY21,IT21,JO21,KJ21,LE21,LZ21)-N21&gt;0.001,MAX(DC21,DX21,ES21,FN21,GI21,HD21,HY21,IT21,JO21,KJ21,LE21,LZ21)-N21,"")</f>
        <v/>
      </c>
      <c r="CK21" s="28" t="str">
        <f>IF(MAX(DE21,DZ21,EU21,FP21,GK21,HF21,IA21,IV21,JQ21,KL21,LG21,MB21)-P21&gt;0.001,MAX(DE21,DZ21,EU21,FP21,GK21,HF21,IA21,IV21,JQ21,KL21,LG21,MB21)-P21,"")</f>
        <v/>
      </c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12" t="str">
        <f>IF(SUM(CS21)&gt;0,SUM(CS21),"")</f>
        <v/>
      </c>
      <c r="DB21" s="12" t="str">
        <f>IF(SUM(CL21:CO21)-CP21&gt;0,SUM(CL21:CO21)-CP21,"")</f>
        <v/>
      </c>
      <c r="DC21" s="12" t="str">
        <f>IF(SUM(CQ21:CT21)-CU21&gt;0,SUM(CQ21:CT21)-CU21,"")</f>
        <v/>
      </c>
      <c r="DD21" s="12" t="str">
        <f>IF(SUM(DB21:DC21)&gt;0,SUM(DB21:DC21),"")</f>
        <v/>
      </c>
      <c r="DE21" s="12" t="str">
        <f>IF(SUM(CV21:CY21)-CZ21&gt;0,SUM(CV21:CY21)-CZ21,"")</f>
        <v/>
      </c>
      <c r="DF21" s="12" t="str">
        <f>IF(SUM(DD21,DE21)&gt;0,SUM(DD21,DE21),"")</f>
        <v/>
      </c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15" t="str">
        <f>IF(SUM(DN21)&gt;0,SUM(DN21),"")</f>
        <v/>
      </c>
      <c r="DW21" s="15" t="str">
        <f>IF(SUM(DG21:DJ21)-DK21&gt;0,SUM(DG21:DJ21)-DK21,"")</f>
        <v/>
      </c>
      <c r="DX21" s="15" t="str">
        <f>IF(SUM(DL21:DO21)-DP21&gt;0,SUM(DL21:DO21)-DP21,"")</f>
        <v/>
      </c>
      <c r="DY21" s="15" t="str">
        <f>IF(SUM(DW21:DX21)&gt;0,SUM(DW21:DX21),"")</f>
        <v/>
      </c>
      <c r="DZ21" s="15" t="str">
        <f>IF(SUM(DQ21:DT21)-DU21&gt;0,SUM(DQ21:DT21)-DU21,"")</f>
        <v/>
      </c>
      <c r="EA21" s="15" t="str">
        <f>IF(SUM(DY21,DZ21)&gt;0,SUM(DY21,DZ21),"")</f>
        <v/>
      </c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12" t="str">
        <f>IF(SUM(EI21)&gt;0,SUM(EI21),"")</f>
        <v/>
      </c>
      <c r="ER21" s="12" t="str">
        <f>IF(SUM(EB21:EE21)-EF21&gt;0,SUM(EB21:EE21)-EF21,"")</f>
        <v/>
      </c>
      <c r="ES21" s="12" t="str">
        <f>IF(SUM(EG21:EJ21)-EK21&gt;0,SUM(EG21:EJ21)-EK21,"")</f>
        <v/>
      </c>
      <c r="ET21" s="12" t="str">
        <f>IF(SUM(ER21:ES21)&gt;0,SUM(ER21:ES21),"")</f>
        <v/>
      </c>
      <c r="EU21" s="12" t="str">
        <f>IF(SUM(EL21:EO21)-EP21&gt;0,SUM(EL21:EO21)-EP21,"")</f>
        <v/>
      </c>
      <c r="EV21" s="12" t="str">
        <f>IF(SUM(ET21,EU21)&gt;0,SUM(ET21,EU21),"")</f>
        <v/>
      </c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15" t="str">
        <f>IF(SUM(FD21)&gt;0,SUM(FD21),"")</f>
        <v/>
      </c>
      <c r="FM21" s="15" t="str">
        <f>IF(SUM(EW21:EZ21)-FA21&gt;0,SUM(EW21:EZ21)-FA21,"")</f>
        <v/>
      </c>
      <c r="FN21" s="15" t="str">
        <f>IF(SUM(FB21:FE21)-FF21&gt;0,SUM(FB21:FE21)-FF21,"")</f>
        <v/>
      </c>
      <c r="FO21" s="15" t="str">
        <f>IF(SUM(FM21:FN21)&gt;0,SUM(FM21:FN21),"")</f>
        <v/>
      </c>
      <c r="FP21" s="15" t="str">
        <f>IF(SUM(FG21:FJ21)-FK21&gt;0,SUM(FG21:FJ21)-FK21,"")</f>
        <v/>
      </c>
      <c r="FQ21" s="15" t="str">
        <f>IF(SUM(FO21,FP21)&gt;0,SUM(FO21,FP21),"")</f>
        <v/>
      </c>
      <c r="FR21" s="45"/>
      <c r="FS21" s="45"/>
      <c r="FT21" s="45"/>
      <c r="FU21" s="45"/>
      <c r="FV21" s="45"/>
      <c r="FW21" s="45"/>
      <c r="FX21" s="45"/>
      <c r="FY21" s="45"/>
      <c r="FZ21" s="45"/>
      <c r="GA21" s="45"/>
      <c r="GB21" s="45"/>
      <c r="GC21" s="45"/>
      <c r="GD21" s="45"/>
      <c r="GE21" s="45"/>
      <c r="GF21" s="45"/>
      <c r="GG21" s="12" t="str">
        <f>IF(SUM(FY21)&gt;0,SUM(FY21),"")</f>
        <v/>
      </c>
      <c r="GH21" s="12" t="str">
        <f>IF(SUM(FR21:FU21)-FV21&gt;0,SUM(FR21:FU21)-FV21,"")</f>
        <v/>
      </c>
      <c r="GI21" s="12" t="str">
        <f>IF(SUM(FW21:FZ21)-GA21&gt;0,SUM(FW21:FZ21)-GA21,"")</f>
        <v/>
      </c>
      <c r="GJ21" s="12" t="str">
        <f>IF(SUM(GH21:GI21)&gt;0,SUM(GH21:GI21),"")</f>
        <v/>
      </c>
      <c r="GK21" s="12" t="str">
        <f>IF(SUM(GB21:GE21)-GF21&gt;0,SUM(GB21:GE21)-GF21,"")</f>
        <v/>
      </c>
      <c r="GL21" s="12" t="str">
        <f>IF(SUM(GJ21,GK21)&gt;0,SUM(GJ21,GK21),"")</f>
        <v/>
      </c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15" t="str">
        <f>IF(SUM(GT21)&gt;0,SUM(GT21),"")</f>
        <v/>
      </c>
      <c r="HC21" s="15" t="str">
        <f>IF(SUM(GM21:GP21)-GQ21&gt;0,SUM(GM21:GP21)-GQ21,"")</f>
        <v/>
      </c>
      <c r="HD21" s="15" t="str">
        <f>IF(SUM(GR21:GU21)-GV21&gt;0,SUM(GR21:GU21)-GV21,"")</f>
        <v/>
      </c>
      <c r="HE21" s="15" t="str">
        <f>IF(SUM(HC21:HD21)&gt;0,SUM(HC21:HD21),"")</f>
        <v/>
      </c>
      <c r="HF21" s="15" t="str">
        <f>IF(SUM(GW21:GZ21)-HA21&gt;0,SUM(GW21:GZ21)-HA21,"")</f>
        <v/>
      </c>
      <c r="HG21" s="15" t="str">
        <f>IF(SUM(HE21,HF21)&gt;0,SUM(HE21,HF21),"")</f>
        <v/>
      </c>
      <c r="HH21" s="45"/>
      <c r="HI21" s="45"/>
      <c r="HJ21" s="45"/>
      <c r="HK21" s="45"/>
      <c r="HL21" s="45"/>
      <c r="HM21" s="45"/>
      <c r="HN21" s="45"/>
      <c r="HO21" s="45"/>
      <c r="HP21" s="45"/>
      <c r="HQ21" s="45"/>
      <c r="HR21" s="45"/>
      <c r="HS21" s="45"/>
      <c r="HT21" s="45"/>
      <c r="HU21" s="45"/>
      <c r="HV21" s="45"/>
      <c r="HW21" s="12" t="str">
        <f>IF(SUM(HO21)&gt;0,SUM(HO21),"")</f>
        <v/>
      </c>
      <c r="HX21" s="12" t="str">
        <f>IF(SUM(HH21:HK21)-HL21&gt;0,SUM(HH21:HK21)-HL21,"")</f>
        <v/>
      </c>
      <c r="HY21" s="12" t="str">
        <f>IF(SUM(HM21:HP21)-HQ21&gt;0,SUM(HM21:HP21)-HQ21,"")</f>
        <v/>
      </c>
      <c r="HZ21" s="12" t="str">
        <f>IF(SUM(HX21:HY21)&gt;0,SUM(HX21:HY21),"")</f>
        <v/>
      </c>
      <c r="IA21" s="12" t="str">
        <f>IF(SUM(HR21:HU21)-HV21&gt;0,SUM(HR21:HU21)-HV21,"")</f>
        <v/>
      </c>
      <c r="IB21" s="12" t="str">
        <f>IF(SUM(HZ21,IA21)&gt;0,SUM(HZ21,IA21),"")</f>
        <v/>
      </c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15" t="str">
        <f>IF(SUM(IJ21)&gt;0,SUM(IJ21),"")</f>
        <v/>
      </c>
      <c r="IS21" s="15" t="str">
        <f>IF(SUM(IC21:IF21)-IG21&gt;0,SUM(IC21:IF21)-IG21,"")</f>
        <v/>
      </c>
      <c r="IT21" s="15" t="str">
        <f>IF(SUM(IH21:IK21)-IL21&gt;0,SUM(IH21:IK21)-IL21,"")</f>
        <v/>
      </c>
      <c r="IU21" s="15" t="str">
        <f>IF(SUM(IS21:IT21)&gt;0,SUM(IS21:IT21),"")</f>
        <v/>
      </c>
      <c r="IV21" s="15" t="str">
        <f>IF(SUM(IM21:IP21)-IQ21&gt;0,SUM(IM21:IP21)-IQ21,"")</f>
        <v/>
      </c>
      <c r="IW21" s="15" t="str">
        <f>IF(SUM(IU21,IV21)&gt;0,SUM(IU21,IV21),"")</f>
        <v/>
      </c>
      <c r="IX21" s="45"/>
      <c r="IY21" s="45"/>
      <c r="IZ21" s="45"/>
      <c r="JA21" s="45"/>
      <c r="JB21" s="45"/>
      <c r="JC21" s="45"/>
      <c r="JD21" s="45"/>
      <c r="JE21" s="45"/>
      <c r="JF21" s="45"/>
      <c r="JG21" s="45"/>
      <c r="JH21" s="45"/>
      <c r="JI21" s="45"/>
      <c r="JJ21" s="45"/>
      <c r="JK21" s="45"/>
      <c r="JL21" s="45"/>
      <c r="JM21" s="12" t="str">
        <f>IF(SUM(JE21)&gt;0,SUM(JE21),"")</f>
        <v/>
      </c>
      <c r="JN21" s="12" t="str">
        <f>IF(SUM(IX21:JA21)-JB21&gt;0,SUM(IX21:JA21)-JB21,"")</f>
        <v/>
      </c>
      <c r="JO21" s="12" t="str">
        <f>IF(SUM(JC21:JF21)-JG21&gt;0,SUM(JC21:JF21)-JG21,"")</f>
        <v/>
      </c>
      <c r="JP21" s="12" t="str">
        <f>IF(SUM(JN21:JO21)&gt;0,SUM(JN21:JO21),"")</f>
        <v/>
      </c>
      <c r="JQ21" s="12" t="str">
        <f>IF(SUM(JH21:JK21)-JL21&gt;0,SUM(JH21:JK21)-JL21,"")</f>
        <v/>
      </c>
      <c r="JR21" s="12" t="str">
        <f>IF(SUM(JP21,JQ21)&gt;0,SUM(JP21,JQ21),"")</f>
        <v/>
      </c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15" t="str">
        <f>IF(SUM(JZ21)&gt;0,SUM(JZ21),"")</f>
        <v/>
      </c>
      <c r="KI21" s="15" t="str">
        <f>IF(SUM(JS21:JV21)-JW21&gt;0,SUM(JS21:JV21)-JW21,"")</f>
        <v/>
      </c>
      <c r="KJ21" s="15" t="str">
        <f>IF(SUM(JX21:KA21)-KB21&gt;0,SUM(JX21:KA21)-KB21,"")</f>
        <v/>
      </c>
      <c r="KK21" s="15" t="str">
        <f>IF(SUM(KI21:KJ21)&gt;0,SUM(KI21:KJ21),"")</f>
        <v/>
      </c>
      <c r="KL21" s="15" t="str">
        <f>IF(SUM(KC21:KF21)-KG21&gt;0,SUM(KC21:KF21)-KG21,"")</f>
        <v/>
      </c>
      <c r="KM21" s="15" t="str">
        <f>IF(SUM(KK21,KL21)&gt;0,SUM(KK21,KL21),"")</f>
        <v/>
      </c>
      <c r="KN21" s="45"/>
      <c r="KO21" s="45"/>
      <c r="KP21" s="45"/>
      <c r="KQ21" s="45"/>
      <c r="KR21" s="45"/>
      <c r="KS21" s="45"/>
      <c r="KT21" s="45"/>
      <c r="KU21" s="45"/>
      <c r="KV21" s="45"/>
      <c r="KW21" s="45"/>
      <c r="KX21" s="45"/>
      <c r="KY21" s="45"/>
      <c r="KZ21" s="45"/>
      <c r="LA21" s="45"/>
      <c r="LB21" s="45"/>
      <c r="LC21" s="12" t="str">
        <f>IF(SUM(KU21)&gt;0,SUM(KU21),"")</f>
        <v/>
      </c>
      <c r="LD21" s="12" t="str">
        <f>IF(SUM(KN21:KQ21)-KR21&gt;0,SUM(KN21:KQ21)-KR21,"")</f>
        <v/>
      </c>
      <c r="LE21" s="12" t="str">
        <f>IF(SUM(KS21:KV21)-KW21&gt;0,SUM(KS21:KV21)-KW21,"")</f>
        <v/>
      </c>
      <c r="LF21" s="12" t="str">
        <f>IF(SUM(LD21:LE21)&gt;0,SUM(LD21:LE21),"")</f>
        <v/>
      </c>
      <c r="LG21" s="12" t="str">
        <f>IF(SUM(KX21:LA21)-LB21&gt;0,SUM(KX21:LA21)-LB21,"")</f>
        <v/>
      </c>
      <c r="LH21" s="12" t="str">
        <f>IF(SUM(LF21,LG21)&gt;0,SUM(LF21,LG21),"")</f>
        <v/>
      </c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15" t="str">
        <f>IF(SUM(LP21)&gt;0,SUM(LP21),"")</f>
        <v/>
      </c>
      <c r="LY21" s="15" t="str">
        <f>IF(SUM(LI21:LL21)-LM21&gt;0,SUM(LI21:LL21)-LM21,"")</f>
        <v/>
      </c>
      <c r="LZ21" s="15" t="str">
        <f>IF(SUM(LN21:LQ21)-LR21&gt;0,SUM(LN21:LQ21)-LR21,"")</f>
        <v/>
      </c>
      <c r="MA21" s="15" t="str">
        <f>IF(SUM(LY21:LZ21)&gt;0,SUM(LY21:LZ21),"")</f>
        <v/>
      </c>
      <c r="MB21" s="15" t="str">
        <f>IF(SUM(LS21:LV21)-LW21&gt;0,SUM(LS21:LV21)-LW21,"")</f>
        <v/>
      </c>
      <c r="MC21" s="15" t="str">
        <f>IF(SUM(MA21,MB21)&gt;0,SUM(MA21,MB21),"")</f>
        <v/>
      </c>
    </row>
    <row r="22" spans="1:341" x14ac:dyDescent="0.2">
      <c r="D22" s="1"/>
    </row>
    <row r="24" spans="1:341" x14ac:dyDescent="0.2">
      <c r="B24" s="88" t="s">
        <v>63</v>
      </c>
      <c r="AK24" s="62"/>
      <c r="AL24" s="70">
        <v>13.2</v>
      </c>
      <c r="BG24" s="62"/>
      <c r="BH24" s="70">
        <v>13.5</v>
      </c>
      <c r="CC24" s="62"/>
      <c r="CD24" s="70">
        <v>13.5</v>
      </c>
      <c r="DA24" s="62"/>
      <c r="DB24" s="70">
        <v>13.5</v>
      </c>
      <c r="DV24" s="62"/>
      <c r="DW24" s="70">
        <v>13.5</v>
      </c>
      <c r="EQ24" s="62"/>
      <c r="ER24" s="70">
        <v>13.5</v>
      </c>
      <c r="FL24" s="62"/>
      <c r="FM24" s="70">
        <v>13.5</v>
      </c>
      <c r="GG24" s="62"/>
      <c r="GH24" s="70">
        <v>13.5</v>
      </c>
      <c r="HB24" s="62"/>
      <c r="HC24" s="70">
        <v>13.5</v>
      </c>
      <c r="HW24" s="62"/>
      <c r="HX24" s="70">
        <v>13.5</v>
      </c>
      <c r="IR24" s="62"/>
      <c r="IS24" s="70">
        <v>13.5</v>
      </c>
      <c r="JM24" s="62"/>
      <c r="JN24" s="70">
        <v>13.5</v>
      </c>
      <c r="KH24" s="62"/>
      <c r="KI24" s="70">
        <v>13.5</v>
      </c>
      <c r="LC24" s="62"/>
      <c r="LD24" s="70">
        <v>13.5</v>
      </c>
      <c r="LX24" s="62"/>
      <c r="LY24" s="70">
        <v>13.5</v>
      </c>
    </row>
    <row r="25" spans="1:341" ht="16" hidden="1" customHeight="1" x14ac:dyDescent="0.2">
      <c r="A25" s="62"/>
      <c r="B25" s="83" t="s">
        <v>62</v>
      </c>
      <c r="C25" s="61"/>
      <c r="AK25" s="62"/>
      <c r="AL25" s="71">
        <v>1000</v>
      </c>
      <c r="AN25" s="60"/>
      <c r="AO25" s="60"/>
      <c r="BG25" s="62"/>
      <c r="BH25" s="71">
        <v>1000</v>
      </c>
      <c r="CC25" s="62"/>
      <c r="CD25" s="71">
        <v>1000</v>
      </c>
      <c r="DA25" s="62"/>
      <c r="DB25" s="71">
        <v>1000</v>
      </c>
      <c r="DV25" s="62"/>
      <c r="DW25" s="71">
        <v>1000</v>
      </c>
      <c r="EQ25" s="62"/>
      <c r="ER25" s="71">
        <v>1000</v>
      </c>
      <c r="FL25" s="62"/>
      <c r="FM25" s="71">
        <v>1000</v>
      </c>
      <c r="GG25" s="62"/>
      <c r="GH25" s="71">
        <v>1000</v>
      </c>
      <c r="HB25" s="62"/>
      <c r="HC25" s="71">
        <v>1000</v>
      </c>
      <c r="HW25" s="62"/>
      <c r="HX25" s="71">
        <v>1000</v>
      </c>
      <c r="IR25" s="62"/>
      <c r="IS25" s="71">
        <v>1000</v>
      </c>
      <c r="JM25" s="62"/>
      <c r="JN25" s="71">
        <v>1000</v>
      </c>
      <c r="KH25" s="62"/>
      <c r="KI25" s="71">
        <v>1000</v>
      </c>
      <c r="LC25" s="62"/>
      <c r="LD25" s="71">
        <v>1000</v>
      </c>
      <c r="LX25" s="62"/>
      <c r="LY25" s="71">
        <v>1000</v>
      </c>
    </row>
    <row r="26" spans="1:341" x14ac:dyDescent="0.2">
      <c r="A26" s="62"/>
      <c r="B26" s="84" t="s">
        <v>60</v>
      </c>
      <c r="C26" s="61"/>
      <c r="AK26" s="62"/>
      <c r="AL26" s="72">
        <v>97.8</v>
      </c>
      <c r="AN26" s="60"/>
      <c r="AO26" s="60"/>
      <c r="BG26" s="62"/>
      <c r="BH26" s="72">
        <v>98</v>
      </c>
      <c r="CC26" s="62"/>
      <c r="CD26" s="72">
        <v>98</v>
      </c>
      <c r="DA26" s="62"/>
      <c r="DB26" s="72">
        <v>98</v>
      </c>
      <c r="DV26" s="62"/>
      <c r="DW26" s="72">
        <v>98</v>
      </c>
      <c r="EQ26" s="62"/>
      <c r="ER26" s="72">
        <v>98</v>
      </c>
      <c r="FL26" s="62"/>
      <c r="FM26" s="72">
        <v>98</v>
      </c>
      <c r="GG26" s="62"/>
      <c r="GH26" s="72">
        <v>98</v>
      </c>
      <c r="HB26" s="62"/>
      <c r="HC26" s="72">
        <v>98</v>
      </c>
      <c r="HW26" s="62"/>
      <c r="HX26" s="72">
        <v>98</v>
      </c>
      <c r="IR26" s="62"/>
      <c r="IS26" s="72">
        <v>98</v>
      </c>
      <c r="JM26" s="62"/>
      <c r="JN26" s="72">
        <v>98</v>
      </c>
      <c r="KH26" s="62"/>
      <c r="KI26" s="72">
        <v>98</v>
      </c>
      <c r="LC26" s="62"/>
      <c r="LD26" s="72">
        <v>98</v>
      </c>
      <c r="LX26" s="62"/>
      <c r="LY26" s="72">
        <v>98</v>
      </c>
    </row>
    <row r="27" spans="1:341" ht="16" hidden="1" customHeight="1" x14ac:dyDescent="0.2">
      <c r="A27" s="62"/>
      <c r="B27" s="85" t="s">
        <v>61</v>
      </c>
      <c r="C27" s="61"/>
      <c r="AK27" s="62"/>
      <c r="AL27" s="73">
        <f>AL28</f>
        <v>101</v>
      </c>
      <c r="AN27" s="60"/>
      <c r="AO27" s="60"/>
      <c r="BG27" s="62"/>
      <c r="BH27" s="73">
        <f>BH28</f>
        <v>101.2</v>
      </c>
      <c r="CC27" s="62"/>
      <c r="CD27" s="73">
        <f>CD28</f>
        <v>101.2</v>
      </c>
      <c r="DA27" s="62"/>
      <c r="DB27" s="73">
        <f>DB28</f>
        <v>101.2</v>
      </c>
      <c r="DV27" s="62"/>
      <c r="DW27" s="73">
        <f>DW28</f>
        <v>101.2</v>
      </c>
      <c r="EQ27" s="62"/>
      <c r="ER27" s="73">
        <f>ER28</f>
        <v>101.2</v>
      </c>
      <c r="FL27" s="62"/>
      <c r="FM27" s="73">
        <f>FM28</f>
        <v>101.2</v>
      </c>
      <c r="GG27" s="62"/>
      <c r="GH27" s="73">
        <f>GH28</f>
        <v>101.2</v>
      </c>
      <c r="HB27" s="62"/>
      <c r="HC27" s="73">
        <f>HC28</f>
        <v>101.2</v>
      </c>
      <c r="HW27" s="62"/>
      <c r="HX27" s="73">
        <f>HX28</f>
        <v>101.2</v>
      </c>
      <c r="IR27" s="62"/>
      <c r="IS27" s="73">
        <f>IS28</f>
        <v>101.2</v>
      </c>
      <c r="JM27" s="62"/>
      <c r="JN27" s="73">
        <f>JN28</f>
        <v>101.2</v>
      </c>
      <c r="KH27" s="62"/>
      <c r="KI27" s="73">
        <f>KI28</f>
        <v>101.2</v>
      </c>
      <c r="LC27" s="62"/>
      <c r="LD27" s="73">
        <f>LD28</f>
        <v>101.2</v>
      </c>
      <c r="LX27" s="62"/>
      <c r="LY27" s="73">
        <f>LY28</f>
        <v>101.2</v>
      </c>
    </row>
    <row r="28" spans="1:341" x14ac:dyDescent="0.2">
      <c r="A28" s="62"/>
      <c r="B28" s="86" t="s">
        <v>26</v>
      </c>
      <c r="C28" s="61"/>
      <c r="AK28" s="62"/>
      <c r="AL28" s="74">
        <v>101</v>
      </c>
      <c r="AN28" s="60"/>
      <c r="AO28" s="60"/>
      <c r="BG28" s="62"/>
      <c r="BH28" s="74">
        <v>101.2</v>
      </c>
      <c r="CC28" s="62"/>
      <c r="CD28" s="74">
        <v>101.2</v>
      </c>
      <c r="DA28" s="62"/>
      <c r="DB28" s="74">
        <v>101.2</v>
      </c>
      <c r="DV28" s="62"/>
      <c r="DW28" s="74">
        <v>101.2</v>
      </c>
      <c r="EQ28" s="62"/>
      <c r="ER28" s="74">
        <v>101.2</v>
      </c>
      <c r="FL28" s="62"/>
      <c r="FM28" s="74">
        <v>101.2</v>
      </c>
      <c r="GG28" s="62"/>
      <c r="GH28" s="74">
        <v>101.2</v>
      </c>
      <c r="HB28" s="62"/>
      <c r="HC28" s="74">
        <v>101.2</v>
      </c>
      <c r="HW28" s="62"/>
      <c r="HX28" s="74">
        <v>101.2</v>
      </c>
      <c r="IR28" s="62"/>
      <c r="IS28" s="74">
        <v>101.2</v>
      </c>
      <c r="JM28" s="62"/>
      <c r="JN28" s="74">
        <v>101.2</v>
      </c>
      <c r="KH28" s="62"/>
      <c r="KI28" s="74">
        <v>101.2</v>
      </c>
      <c r="LC28" s="62"/>
      <c r="LD28" s="74">
        <v>101.2</v>
      </c>
      <c r="LX28" s="62"/>
      <c r="LY28" s="74">
        <v>101.2</v>
      </c>
    </row>
    <row r="29" spans="1:341" x14ac:dyDescent="0.2">
      <c r="A29" s="62"/>
      <c r="B29" s="87" t="s">
        <v>47</v>
      </c>
      <c r="C29" s="61"/>
      <c r="AK29" s="62"/>
      <c r="AL29" s="75">
        <v>57</v>
      </c>
      <c r="AN29" s="60"/>
      <c r="AO29" s="60"/>
      <c r="BG29" s="62"/>
      <c r="BH29" s="75">
        <v>56</v>
      </c>
      <c r="CC29" s="62"/>
      <c r="CD29" s="75">
        <v>56</v>
      </c>
      <c r="DA29" s="62"/>
      <c r="DB29" s="75">
        <v>56</v>
      </c>
      <c r="DV29" s="62"/>
      <c r="DW29" s="75">
        <v>56</v>
      </c>
      <c r="EQ29" s="62"/>
      <c r="ER29" s="75">
        <v>56</v>
      </c>
      <c r="FL29" s="62"/>
      <c r="FM29" s="75">
        <v>56</v>
      </c>
      <c r="GG29" s="62"/>
      <c r="GH29" s="75">
        <v>56</v>
      </c>
      <c r="HB29" s="62"/>
      <c r="HC29" s="75">
        <v>56</v>
      </c>
      <c r="HW29" s="62"/>
      <c r="HX29" s="75">
        <v>56</v>
      </c>
      <c r="IR29" s="62"/>
      <c r="IS29" s="75">
        <v>56</v>
      </c>
      <c r="JM29" s="62"/>
      <c r="JN29" s="75">
        <v>56</v>
      </c>
      <c r="KH29" s="62"/>
      <c r="KI29" s="75">
        <v>56</v>
      </c>
      <c r="LC29" s="62"/>
      <c r="LD29" s="75">
        <v>56</v>
      </c>
      <c r="LX29" s="62"/>
      <c r="LY29" s="75">
        <v>56</v>
      </c>
    </row>
    <row r="30" spans="1:341" x14ac:dyDescent="0.2">
      <c r="B30" s="111" t="s">
        <v>126</v>
      </c>
      <c r="C30" s="3"/>
      <c r="AL30" t="s">
        <v>100</v>
      </c>
      <c r="AM30" s="60"/>
      <c r="AN30" s="60"/>
      <c r="AO30" s="60"/>
    </row>
    <row r="31" spans="1:341" x14ac:dyDescent="0.2">
      <c r="A31" s="62"/>
      <c r="B31" s="62"/>
      <c r="C31" s="61"/>
      <c r="AL31" t="s">
        <v>101</v>
      </c>
      <c r="AM31" s="60"/>
      <c r="AN31" s="60"/>
      <c r="AO31" s="60"/>
    </row>
    <row r="32" spans="1:341" ht="17" x14ac:dyDescent="0.2">
      <c r="A32" s="62"/>
      <c r="B32" s="62"/>
      <c r="C32" s="61"/>
      <c r="R32" s="21"/>
      <c r="S32" s="21"/>
      <c r="AL32" t="s">
        <v>113</v>
      </c>
      <c r="AM32" s="60"/>
      <c r="AN32" s="60"/>
      <c r="AO32" s="60"/>
    </row>
    <row r="33" spans="1:41" ht="17" x14ac:dyDescent="0.2">
      <c r="A33" s="62"/>
      <c r="B33" s="62"/>
      <c r="C33" s="61"/>
      <c r="R33" s="21"/>
      <c r="AL33" t="s">
        <v>114</v>
      </c>
      <c r="AM33" s="60"/>
      <c r="AN33" s="60"/>
      <c r="AO33" s="60"/>
    </row>
    <row r="34" spans="1:41" ht="17" x14ac:dyDescent="0.2">
      <c r="R34" s="21"/>
      <c r="S34" s="21"/>
      <c r="AL34" t="s">
        <v>115</v>
      </c>
      <c r="AM34" s="60"/>
      <c r="AN34" s="60"/>
      <c r="AO34" s="60"/>
    </row>
    <row r="35" spans="1:41" ht="17" x14ac:dyDescent="0.2">
      <c r="R35" s="21"/>
      <c r="S35" s="21"/>
      <c r="AL35" s="60"/>
      <c r="AM35" s="60"/>
      <c r="AN35" s="60"/>
      <c r="AO35" s="60"/>
    </row>
    <row r="36" spans="1:41" ht="17" x14ac:dyDescent="0.2">
      <c r="R36" s="21"/>
      <c r="S36" s="21"/>
      <c r="AL36" s="60"/>
      <c r="AM36" s="60"/>
      <c r="AN36" s="60"/>
      <c r="AO36" s="60"/>
    </row>
    <row r="37" spans="1:41" ht="17" x14ac:dyDescent="0.2">
      <c r="R37" s="21"/>
      <c r="S37" s="21"/>
      <c r="T37" s="21"/>
    </row>
    <row r="38" spans="1:41" ht="17" x14ac:dyDescent="0.2">
      <c r="R38" s="21"/>
      <c r="S38" s="21"/>
      <c r="T38" s="21"/>
    </row>
    <row r="39" spans="1:41" ht="17" x14ac:dyDescent="0.2">
      <c r="R39" s="21"/>
      <c r="S39" s="21"/>
      <c r="T39" s="21"/>
    </row>
    <row r="40" spans="1:41" ht="17" x14ac:dyDescent="0.2">
      <c r="R40" s="21"/>
      <c r="S40" s="21"/>
      <c r="T40" s="21"/>
    </row>
    <row r="41" spans="1:41" ht="17" x14ac:dyDescent="0.2">
      <c r="R41" s="21"/>
      <c r="S41" s="21"/>
      <c r="T41" s="21"/>
    </row>
    <row r="42" spans="1:41" ht="17" x14ac:dyDescent="0.2">
      <c r="R42" s="21"/>
      <c r="S42" s="21"/>
      <c r="T42" s="21"/>
    </row>
    <row r="43" spans="1:41" ht="17" x14ac:dyDescent="0.2">
      <c r="R43" s="21"/>
      <c r="S43" s="21"/>
      <c r="T43" s="21"/>
    </row>
    <row r="44" spans="1:41" ht="17" x14ac:dyDescent="0.2">
      <c r="R44" s="21"/>
      <c r="S44" s="21"/>
      <c r="T44" s="21"/>
    </row>
    <row r="45" spans="1:41" ht="17" x14ac:dyDescent="0.2">
      <c r="R45" s="21"/>
      <c r="S45" s="21"/>
      <c r="T45" s="21"/>
    </row>
    <row r="46" spans="1:41" ht="17" x14ac:dyDescent="0.2">
      <c r="R46" s="21"/>
      <c r="S46" s="21"/>
      <c r="T46" s="21"/>
    </row>
    <row r="47" spans="1:41" ht="17" x14ac:dyDescent="0.2">
      <c r="R47" s="21"/>
      <c r="S47" s="21"/>
      <c r="T47" s="21"/>
    </row>
    <row r="48" spans="1:41" ht="17" x14ac:dyDescent="0.2">
      <c r="R48" s="21"/>
      <c r="S48" s="21"/>
      <c r="T48" s="21"/>
    </row>
    <row r="49" spans="18:20" ht="17" x14ac:dyDescent="0.2">
      <c r="R49" s="21"/>
      <c r="S49" s="21"/>
      <c r="T49" s="21"/>
    </row>
    <row r="50" spans="18:20" ht="17" x14ac:dyDescent="0.2">
      <c r="R50" s="21"/>
      <c r="S50" s="21"/>
      <c r="T50" s="21"/>
    </row>
    <row r="51" spans="18:20" ht="17" x14ac:dyDescent="0.2">
      <c r="R51" s="21"/>
      <c r="S51" s="21"/>
      <c r="T51" s="21"/>
    </row>
  </sheetData>
  <sheetProtection sheet="1" formatCells="0" formatColumns="0" formatRows="0"/>
  <autoFilter ref="A1:MC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4:MC21">
      <sortCondition descending="1" ref="F1:F21"/>
    </sortState>
  </autoFilter>
  <sortState ref="A1:O3">
    <sortCondition ref="A1"/>
  </sortState>
  <mergeCells count="81">
    <mergeCell ref="JX2:KB2"/>
    <mergeCell ref="JS2:JW2"/>
    <mergeCell ref="JH2:JL2"/>
    <mergeCell ref="FG2:FK2"/>
    <mergeCell ref="FB2:FF2"/>
    <mergeCell ref="EW2:FA2"/>
    <mergeCell ref="EL2:EP2"/>
    <mergeCell ref="EG2:EK2"/>
    <mergeCell ref="BR2:BV2"/>
    <mergeCell ref="BW2:CA2"/>
    <mergeCell ref="CV2:CZ2"/>
    <mergeCell ref="CQ2:CU2"/>
    <mergeCell ref="CL2:CP2"/>
    <mergeCell ref="BA2:BE2"/>
    <mergeCell ref="U1:AP1"/>
    <mergeCell ref="AQ1:BL1"/>
    <mergeCell ref="BM1:CH1"/>
    <mergeCell ref="H1:H3"/>
    <mergeCell ref="I1:I3"/>
    <mergeCell ref="J1:J3"/>
    <mergeCell ref="L1:L3"/>
    <mergeCell ref="N1:N3"/>
    <mergeCell ref="U2:Y2"/>
    <mergeCell ref="K1:K3"/>
    <mergeCell ref="M1:M3"/>
    <mergeCell ref="O1:O3"/>
    <mergeCell ref="Q1:Q3"/>
    <mergeCell ref="AV2:AZ2"/>
    <mergeCell ref="BM2:BQ2"/>
    <mergeCell ref="EW1:FQ1"/>
    <mergeCell ref="P1:P3"/>
    <mergeCell ref="R1:R3"/>
    <mergeCell ref="CI1:CK1"/>
    <mergeCell ref="T1:T3"/>
    <mergeCell ref="S1:S3"/>
    <mergeCell ref="DG1:EA1"/>
    <mergeCell ref="EB1:EV1"/>
    <mergeCell ref="DG2:DK2"/>
    <mergeCell ref="DL2:DP2"/>
    <mergeCell ref="DQ2:DU2"/>
    <mergeCell ref="EB2:EF2"/>
    <mergeCell ref="CL1:DF1"/>
    <mergeCell ref="Z2:AD2"/>
    <mergeCell ref="AE2:AI2"/>
    <mergeCell ref="AQ2:AU2"/>
    <mergeCell ref="A1:A3"/>
    <mergeCell ref="B1:B3"/>
    <mergeCell ref="C1:C3"/>
    <mergeCell ref="E1:E3"/>
    <mergeCell ref="G1:G3"/>
    <mergeCell ref="D1:D3"/>
    <mergeCell ref="F1:F3"/>
    <mergeCell ref="HH1:IB1"/>
    <mergeCell ref="HR2:HV2"/>
    <mergeCell ref="HM2:HQ2"/>
    <mergeCell ref="HH2:HL2"/>
    <mergeCell ref="LS2:LW2"/>
    <mergeCell ref="LN2:LR2"/>
    <mergeCell ref="LI2:LM2"/>
    <mergeCell ref="KX2:LB2"/>
    <mergeCell ref="KS2:KW2"/>
    <mergeCell ref="KN2:KR2"/>
    <mergeCell ref="KC2:KG2"/>
    <mergeCell ref="JC2:JG2"/>
    <mergeCell ref="IX2:JB2"/>
    <mergeCell ref="IM2:IQ2"/>
    <mergeCell ref="IH2:IL2"/>
    <mergeCell ref="IC2:IG2"/>
    <mergeCell ref="FR1:GL1"/>
    <mergeCell ref="GM1:HG1"/>
    <mergeCell ref="GR2:GV2"/>
    <mergeCell ref="GM2:GQ2"/>
    <mergeCell ref="GB2:GF2"/>
    <mergeCell ref="FW2:GA2"/>
    <mergeCell ref="FR2:FV2"/>
    <mergeCell ref="GW2:HA2"/>
    <mergeCell ref="LI1:MC1"/>
    <mergeCell ref="JS1:KM1"/>
    <mergeCell ref="KN1:LH1"/>
    <mergeCell ref="IC1:IW1"/>
    <mergeCell ref="IX1:JR1"/>
  </mergeCells>
  <conditionalFormatting sqref="A1:A1048576">
    <cfRule type="expression" dxfId="161" priority="343">
      <formula>AND(H1="P",F1="")</formula>
    </cfRule>
  </conditionalFormatting>
  <conditionalFormatting sqref="I1:I1048576">
    <cfRule type="containsText" dxfId="160" priority="344" operator="containsText" text="Merit">
      <formula>NOT(ISERROR(SEARCH("Merit",I1)))</formula>
    </cfRule>
    <cfRule type="containsText" dxfId="159" priority="345" operator="containsText" text="Funding">
      <formula>NOT(ISERROR(SEARCH("Funding",I1)))</formula>
    </cfRule>
    <cfRule type="containsText" dxfId="158" priority="346" operator="containsText" text="Worlds Team">
      <formula>NOT(ISERROR(SEARCH("Worlds Team",I1)))</formula>
    </cfRule>
    <cfRule type="containsText" dxfId="157" priority="888" operator="containsText" text="National Team">
      <formula>NOT(ISERROR(SEARCH("National Team",I1)))</formula>
    </cfRule>
  </conditionalFormatting>
  <conditionalFormatting sqref="U4:AP21">
    <cfRule type="expression" dxfId="156" priority="16">
      <formula>IF($AJ4&lt;&gt;"",1,0)</formula>
    </cfRule>
  </conditionalFormatting>
  <conditionalFormatting sqref="AQ4:BL21">
    <cfRule type="expression" dxfId="155" priority="15">
      <formula>IF($BF4&lt;&gt;"",1,0)</formula>
    </cfRule>
  </conditionalFormatting>
  <conditionalFormatting sqref="BM4:CH21">
    <cfRule type="expression" dxfId="154" priority="14">
      <formula>IF($CB4&lt;&gt;"",1,0)</formula>
    </cfRule>
  </conditionalFormatting>
  <conditionalFormatting sqref="K1:K1048576 M1:M1048576 O1:O1048576 Q1:Q1048576">
    <cfRule type="expression" dxfId="153" priority="1039">
      <formula>IF(K1=$BM$1,1,0)</formula>
    </cfRule>
    <cfRule type="expression" dxfId="152" priority="1040">
      <formula>IF(K1=$AQ$1,1,0)</formula>
    </cfRule>
    <cfRule type="expression" dxfId="151" priority="1046">
      <formula>IF(K1=$U$1,1,0)</formula>
    </cfRule>
  </conditionalFormatting>
  <conditionalFormatting sqref="LZ1:LZ1048576 LE1:LE1048576 KJ1:KJ1048576 JO1:JO1048576 IT1:IT1048576 HY1:HY1048576 HD1:HD1048576 GI1:GI1048576 FN1:FN1048576 ES1:ES1048576 DX1:DX1048576 DC1:DC1048576">
    <cfRule type="cellIs" dxfId="150" priority="4325" operator="between">
      <formula>DB$29</formula>
      <formula>1000</formula>
    </cfRule>
  </conditionalFormatting>
  <conditionalFormatting sqref="MB1:MB1048576 LG1:LG1048576 KL1:KL1048576 JQ1:JQ1048576 IV1:IV1048576 IA1:IA1048576 HF1:HF1048576 GK1:GK1048576 FP1:FP1048576 EU1:EU1048576 DZ1:DZ1048576 DE1:DE1048576">
    <cfRule type="cellIs" dxfId="149" priority="4361" operator="between">
      <formula>DB$29</formula>
      <formula>1000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48" priority="4397" operator="between">
      <formula>DB$25</formula>
      <formula>1000</formula>
    </cfRule>
    <cfRule type="cellIs" dxfId="147" priority="4398" operator="between">
      <formula>DB$24</formula>
      <formula>DB$25</formula>
    </cfRule>
  </conditionalFormatting>
  <conditionalFormatting sqref="MA1:MA1048576 LF1:LF1048576 KK1:KK1048576 JP1:JP1048576 IU1:IU1048576 HZ1:HZ1048576 HE1:HE1048576 GJ1:GJ1048576 FO1:FO1048576 ET1:ET1048576 DY1:DY1048576 DD1:DD1048576">
    <cfRule type="cellIs" dxfId="146" priority="4469" operator="between">
      <formula>DB$28</formula>
      <formula>1000</formula>
    </cfRule>
    <cfRule type="cellIs" dxfId="145" priority="4470" operator="between">
      <formula>DB$27</formula>
      <formula>DB$28</formula>
    </cfRule>
    <cfRule type="cellIs" dxfId="144" priority="4471" operator="between">
      <formula>DB$26</formula>
      <formula>DB$27</formula>
    </cfRule>
  </conditionalFormatting>
  <conditionalFormatting sqref="AM1:AM1048576 BI1:BI1048576 CE1:CE1048576">
    <cfRule type="expression" dxfId="143" priority="4577">
      <formula>IF(AND(AM1&gt;=AL$29,AM1&lt;1000,AJ1=""),1,0)</formula>
    </cfRule>
  </conditionalFormatting>
  <conditionalFormatting sqref="AO1:AO1048576 BK1:BK1048576 CG1:CG1048576">
    <cfRule type="expression" dxfId="142" priority="4586">
      <formula>IF(AND(AO1&gt;=AL$29,AO1&lt;1000,AJ1=""),1,0)</formula>
    </cfRule>
  </conditionalFormatting>
  <conditionalFormatting sqref="AN1:AN1048576 BJ1:BJ1048576 CF1:CF1048576">
    <cfRule type="expression" dxfId="141" priority="4595">
      <formula>IF(AND(AN1&gt;=AL$28,AN1&lt;1000,AJ1=""),1,0)</formula>
    </cfRule>
    <cfRule type="expression" dxfId="140" priority="4596">
      <formula>IF(AND(AN1&gt;=AL$27,AN1&lt;AL$28,AJ1=""),1,0)</formula>
    </cfRule>
    <cfRule type="expression" dxfId="139" priority="4597">
      <formula>IF(AND(AN1&gt;=AL$26,AN1&lt;AL$27,AJ1=""),1,0)</formula>
    </cfRule>
  </conditionalFormatting>
  <conditionalFormatting sqref="AK1:AK1048576 BG1:BG1048576 CC1:CC1048576">
    <cfRule type="expression" dxfId="138" priority="4622">
      <formula>IF(AND(AK1&gt;=AL$25,AK1&lt;1000,AJ1=""),1,0)</formula>
    </cfRule>
    <cfRule type="expression" dxfId="137" priority="4623">
      <formula>IF(AND(AK1&gt;=AL$24,AK1&lt;AL$25,AJ1=""),1,0)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C2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53" width="10.83203125" customWidth="1"/>
  </cols>
  <sheetData>
    <row r="1" spans="1:341" x14ac:dyDescent="0.2">
      <c r="A1" s="117" t="s">
        <v>1</v>
      </c>
      <c r="B1" s="117" t="s">
        <v>28</v>
      </c>
      <c r="C1" s="117" t="s">
        <v>0</v>
      </c>
      <c r="D1" s="117" t="s">
        <v>67</v>
      </c>
      <c r="E1" s="117" t="s">
        <v>2</v>
      </c>
      <c r="F1" s="118" t="s">
        <v>63</v>
      </c>
      <c r="G1" s="118" t="s">
        <v>62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11</v>
      </c>
      <c r="M1" s="119" t="s">
        <v>45</v>
      </c>
      <c r="N1" s="119" t="s">
        <v>12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3" t="s">
        <v>64</v>
      </c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4" t="s">
        <v>116</v>
      </c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21" t="s">
        <v>14</v>
      </c>
      <c r="CJ1" s="121"/>
      <c r="CK1" s="121"/>
      <c r="CL1" s="114" t="s">
        <v>132</v>
      </c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3" t="s">
        <v>133</v>
      </c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4" t="s">
        <v>134</v>
      </c>
      <c r="EC1" s="114"/>
      <c r="ED1" s="114"/>
      <c r="EE1" s="114"/>
      <c r="EF1" s="114"/>
      <c r="EG1" s="114"/>
      <c r="EH1" s="114"/>
      <c r="EI1" s="114"/>
      <c r="EJ1" s="114"/>
      <c r="EK1" s="114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3" t="s">
        <v>135</v>
      </c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3"/>
      <c r="GN1" s="113"/>
      <c r="GO1" s="113"/>
      <c r="GP1" s="113"/>
      <c r="GQ1" s="113"/>
      <c r="GR1" s="113"/>
      <c r="GS1" s="113"/>
      <c r="GT1" s="113"/>
      <c r="GU1" s="113"/>
      <c r="GV1" s="113"/>
      <c r="GW1" s="113"/>
      <c r="GX1" s="113"/>
      <c r="GY1" s="113"/>
      <c r="GZ1" s="113"/>
      <c r="HA1" s="113"/>
      <c r="HB1" s="113"/>
      <c r="HC1" s="113"/>
      <c r="HD1" s="113"/>
      <c r="HE1" s="113"/>
      <c r="HF1" s="113"/>
      <c r="HG1" s="113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3"/>
      <c r="ID1" s="113"/>
      <c r="IE1" s="113"/>
      <c r="IF1" s="113"/>
      <c r="IG1" s="113"/>
      <c r="IH1" s="113"/>
      <c r="II1" s="113"/>
      <c r="IJ1" s="113"/>
      <c r="IK1" s="113"/>
      <c r="IL1" s="113"/>
      <c r="IM1" s="113"/>
      <c r="IN1" s="113"/>
      <c r="IO1" s="113"/>
      <c r="IP1" s="113"/>
      <c r="IQ1" s="113"/>
      <c r="IR1" s="113"/>
      <c r="IS1" s="113"/>
      <c r="IT1" s="113"/>
      <c r="IU1" s="113"/>
      <c r="IV1" s="113"/>
      <c r="IW1" s="113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3"/>
      <c r="JT1" s="113"/>
      <c r="JU1" s="113"/>
      <c r="JV1" s="113"/>
      <c r="JW1" s="113"/>
      <c r="JX1" s="113"/>
      <c r="JY1" s="113"/>
      <c r="JZ1" s="113"/>
      <c r="KA1" s="113"/>
      <c r="KB1" s="113"/>
      <c r="KC1" s="113"/>
      <c r="KD1" s="113"/>
      <c r="KE1" s="113"/>
      <c r="KF1" s="113"/>
      <c r="KG1" s="113"/>
      <c r="KH1" s="113"/>
      <c r="KI1" s="113"/>
      <c r="KJ1" s="113"/>
      <c r="KK1" s="113"/>
      <c r="KL1" s="113"/>
      <c r="KM1" s="113"/>
      <c r="KN1" s="114"/>
      <c r="KO1" s="114"/>
      <c r="KP1" s="114"/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3"/>
      <c r="LY1" s="113"/>
      <c r="LZ1" s="113"/>
      <c r="MA1" s="113"/>
      <c r="MB1" s="113"/>
      <c r="MC1" s="113"/>
    </row>
    <row r="2" spans="1:341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19</v>
      </c>
      <c r="V2" s="116"/>
      <c r="W2" s="116"/>
      <c r="X2" s="116"/>
      <c r="Y2" s="116"/>
      <c r="Z2" s="116" t="s">
        <v>20</v>
      </c>
      <c r="AA2" s="116"/>
      <c r="AB2" s="116"/>
      <c r="AC2" s="116"/>
      <c r="AD2" s="116"/>
      <c r="AE2" s="116" t="s">
        <v>23</v>
      </c>
      <c r="AF2" s="116"/>
      <c r="AG2" s="116"/>
      <c r="AH2" s="116"/>
      <c r="AI2" s="116"/>
      <c r="AJ2" s="97"/>
      <c r="AK2" s="64" t="s">
        <v>66</v>
      </c>
      <c r="AL2" s="10" t="s">
        <v>21</v>
      </c>
      <c r="AM2" s="10" t="s">
        <v>22</v>
      </c>
      <c r="AN2" s="10" t="s">
        <v>24</v>
      </c>
      <c r="AO2" s="10" t="s">
        <v>23</v>
      </c>
      <c r="AP2" s="10" t="s">
        <v>18</v>
      </c>
      <c r="AQ2" s="115" t="s">
        <v>19</v>
      </c>
      <c r="AR2" s="115"/>
      <c r="AS2" s="115"/>
      <c r="AT2" s="115"/>
      <c r="AU2" s="115"/>
      <c r="AV2" s="115" t="s">
        <v>20</v>
      </c>
      <c r="AW2" s="115"/>
      <c r="AX2" s="115"/>
      <c r="AY2" s="115"/>
      <c r="AZ2" s="115"/>
      <c r="BA2" s="115" t="s">
        <v>23</v>
      </c>
      <c r="BB2" s="115"/>
      <c r="BC2" s="115"/>
      <c r="BD2" s="115"/>
      <c r="BE2" s="115"/>
      <c r="BF2" s="96"/>
      <c r="BG2" s="77" t="s">
        <v>66</v>
      </c>
      <c r="BH2" s="13" t="s">
        <v>21</v>
      </c>
      <c r="BI2" s="13" t="s">
        <v>22</v>
      </c>
      <c r="BJ2" s="13" t="s">
        <v>24</v>
      </c>
      <c r="BK2" s="13" t="s">
        <v>23</v>
      </c>
      <c r="BL2" s="13" t="s">
        <v>18</v>
      </c>
      <c r="BM2" s="116" t="s">
        <v>19</v>
      </c>
      <c r="BN2" s="116"/>
      <c r="BO2" s="116"/>
      <c r="BP2" s="116"/>
      <c r="BQ2" s="116"/>
      <c r="BR2" s="116" t="s">
        <v>20</v>
      </c>
      <c r="BS2" s="116"/>
      <c r="BT2" s="116"/>
      <c r="BU2" s="116"/>
      <c r="BV2" s="116"/>
      <c r="BW2" s="116" t="s">
        <v>23</v>
      </c>
      <c r="BX2" s="116"/>
      <c r="BY2" s="116"/>
      <c r="BZ2" s="116"/>
      <c r="CA2" s="116"/>
      <c r="CB2" s="97"/>
      <c r="CC2" s="78" t="s">
        <v>66</v>
      </c>
      <c r="CD2" s="10" t="s">
        <v>21</v>
      </c>
      <c r="CE2" s="10" t="s">
        <v>22</v>
      </c>
      <c r="CF2" s="10" t="s">
        <v>24</v>
      </c>
      <c r="CG2" s="10" t="s">
        <v>23</v>
      </c>
      <c r="CH2" s="10" t="s">
        <v>18</v>
      </c>
      <c r="CI2" s="26" t="s">
        <v>21</v>
      </c>
      <c r="CJ2" s="26" t="s">
        <v>22</v>
      </c>
      <c r="CK2" s="26" t="s">
        <v>23</v>
      </c>
      <c r="CL2" s="116" t="s">
        <v>19</v>
      </c>
      <c r="CM2" s="116"/>
      <c r="CN2" s="116"/>
      <c r="CO2" s="116"/>
      <c r="CP2" s="116"/>
      <c r="CQ2" s="116" t="s">
        <v>20</v>
      </c>
      <c r="CR2" s="116"/>
      <c r="CS2" s="116"/>
      <c r="CT2" s="116"/>
      <c r="CU2" s="116"/>
      <c r="CV2" s="116" t="s">
        <v>23</v>
      </c>
      <c r="CW2" s="116"/>
      <c r="CX2" s="116"/>
      <c r="CY2" s="116"/>
      <c r="CZ2" s="116"/>
      <c r="DA2" s="78" t="s">
        <v>66</v>
      </c>
      <c r="DB2" s="10" t="s">
        <v>21</v>
      </c>
      <c r="DC2" s="10" t="s">
        <v>22</v>
      </c>
      <c r="DD2" s="10" t="s">
        <v>24</v>
      </c>
      <c r="DE2" s="10" t="s">
        <v>23</v>
      </c>
      <c r="DF2" s="10" t="s">
        <v>18</v>
      </c>
      <c r="DG2" s="115" t="s">
        <v>19</v>
      </c>
      <c r="DH2" s="115"/>
      <c r="DI2" s="115"/>
      <c r="DJ2" s="115"/>
      <c r="DK2" s="115"/>
      <c r="DL2" s="115" t="s">
        <v>20</v>
      </c>
      <c r="DM2" s="115"/>
      <c r="DN2" s="115"/>
      <c r="DO2" s="115"/>
      <c r="DP2" s="115"/>
      <c r="DQ2" s="115" t="s">
        <v>23</v>
      </c>
      <c r="DR2" s="115"/>
      <c r="DS2" s="115"/>
      <c r="DT2" s="115"/>
      <c r="DU2" s="115"/>
      <c r="DV2" s="77" t="s">
        <v>66</v>
      </c>
      <c r="DW2" s="13" t="s">
        <v>21</v>
      </c>
      <c r="DX2" s="13" t="s">
        <v>22</v>
      </c>
      <c r="DY2" s="13" t="s">
        <v>24</v>
      </c>
      <c r="DZ2" s="13" t="s">
        <v>23</v>
      </c>
      <c r="EA2" s="13" t="s">
        <v>18</v>
      </c>
      <c r="EB2" s="116" t="s">
        <v>19</v>
      </c>
      <c r="EC2" s="116"/>
      <c r="ED2" s="116"/>
      <c r="EE2" s="116"/>
      <c r="EF2" s="116"/>
      <c r="EG2" s="116" t="s">
        <v>20</v>
      </c>
      <c r="EH2" s="116"/>
      <c r="EI2" s="116"/>
      <c r="EJ2" s="116"/>
      <c r="EK2" s="116"/>
      <c r="EL2" s="116" t="s">
        <v>23</v>
      </c>
      <c r="EM2" s="116"/>
      <c r="EN2" s="116"/>
      <c r="EO2" s="116"/>
      <c r="EP2" s="116"/>
      <c r="EQ2" s="78" t="s">
        <v>66</v>
      </c>
      <c r="ER2" s="10" t="s">
        <v>21</v>
      </c>
      <c r="ES2" s="10" t="s">
        <v>22</v>
      </c>
      <c r="ET2" s="10" t="s">
        <v>24</v>
      </c>
      <c r="EU2" s="10" t="s">
        <v>23</v>
      </c>
      <c r="EV2" s="10" t="s">
        <v>18</v>
      </c>
      <c r="EW2" s="115" t="s">
        <v>19</v>
      </c>
      <c r="EX2" s="115"/>
      <c r="EY2" s="115"/>
      <c r="EZ2" s="115"/>
      <c r="FA2" s="115"/>
      <c r="FB2" s="115" t="s">
        <v>20</v>
      </c>
      <c r="FC2" s="115"/>
      <c r="FD2" s="115"/>
      <c r="FE2" s="115"/>
      <c r="FF2" s="115"/>
      <c r="FG2" s="115" t="s">
        <v>23</v>
      </c>
      <c r="FH2" s="115"/>
      <c r="FI2" s="115"/>
      <c r="FJ2" s="115"/>
      <c r="FK2" s="115"/>
      <c r="FL2" s="77" t="s">
        <v>66</v>
      </c>
      <c r="FM2" s="13" t="s">
        <v>21</v>
      </c>
      <c r="FN2" s="13" t="s">
        <v>22</v>
      </c>
      <c r="FO2" s="13" t="s">
        <v>24</v>
      </c>
      <c r="FP2" s="13" t="s">
        <v>23</v>
      </c>
      <c r="FQ2" s="13" t="s">
        <v>18</v>
      </c>
      <c r="FR2" s="116" t="s">
        <v>19</v>
      </c>
      <c r="FS2" s="116"/>
      <c r="FT2" s="116"/>
      <c r="FU2" s="116"/>
      <c r="FV2" s="116"/>
      <c r="FW2" s="116" t="s">
        <v>20</v>
      </c>
      <c r="FX2" s="116"/>
      <c r="FY2" s="116"/>
      <c r="FZ2" s="116"/>
      <c r="GA2" s="116"/>
      <c r="GB2" s="116" t="s">
        <v>23</v>
      </c>
      <c r="GC2" s="116"/>
      <c r="GD2" s="116"/>
      <c r="GE2" s="116"/>
      <c r="GF2" s="116"/>
      <c r="GG2" s="78" t="s">
        <v>66</v>
      </c>
      <c r="GH2" s="10" t="s">
        <v>21</v>
      </c>
      <c r="GI2" s="10" t="s">
        <v>22</v>
      </c>
      <c r="GJ2" s="10" t="s">
        <v>24</v>
      </c>
      <c r="GK2" s="10" t="s">
        <v>23</v>
      </c>
      <c r="GL2" s="10" t="s">
        <v>18</v>
      </c>
      <c r="GM2" s="115" t="s">
        <v>19</v>
      </c>
      <c r="GN2" s="115"/>
      <c r="GO2" s="115"/>
      <c r="GP2" s="115"/>
      <c r="GQ2" s="115"/>
      <c r="GR2" s="115" t="s">
        <v>20</v>
      </c>
      <c r="GS2" s="115"/>
      <c r="GT2" s="115"/>
      <c r="GU2" s="115"/>
      <c r="GV2" s="115"/>
      <c r="GW2" s="115" t="s">
        <v>23</v>
      </c>
      <c r="GX2" s="115"/>
      <c r="GY2" s="115"/>
      <c r="GZ2" s="115"/>
      <c r="HA2" s="115"/>
      <c r="HB2" s="77" t="s">
        <v>66</v>
      </c>
      <c r="HC2" s="13" t="s">
        <v>21</v>
      </c>
      <c r="HD2" s="13" t="s">
        <v>22</v>
      </c>
      <c r="HE2" s="13" t="s">
        <v>24</v>
      </c>
      <c r="HF2" s="13" t="s">
        <v>23</v>
      </c>
      <c r="HG2" s="13" t="s">
        <v>18</v>
      </c>
      <c r="HH2" s="116" t="s">
        <v>19</v>
      </c>
      <c r="HI2" s="116"/>
      <c r="HJ2" s="116"/>
      <c r="HK2" s="116"/>
      <c r="HL2" s="116"/>
      <c r="HM2" s="116" t="s">
        <v>20</v>
      </c>
      <c r="HN2" s="116"/>
      <c r="HO2" s="116"/>
      <c r="HP2" s="116"/>
      <c r="HQ2" s="116"/>
      <c r="HR2" s="116" t="s">
        <v>23</v>
      </c>
      <c r="HS2" s="116"/>
      <c r="HT2" s="116"/>
      <c r="HU2" s="116"/>
      <c r="HV2" s="116"/>
      <c r="HW2" s="78" t="s">
        <v>66</v>
      </c>
      <c r="HX2" s="10" t="s">
        <v>21</v>
      </c>
      <c r="HY2" s="10" t="s">
        <v>22</v>
      </c>
      <c r="HZ2" s="10" t="s">
        <v>24</v>
      </c>
      <c r="IA2" s="10" t="s">
        <v>23</v>
      </c>
      <c r="IB2" s="10" t="s">
        <v>18</v>
      </c>
      <c r="IC2" s="115" t="s">
        <v>19</v>
      </c>
      <c r="ID2" s="115"/>
      <c r="IE2" s="115"/>
      <c r="IF2" s="115"/>
      <c r="IG2" s="115"/>
      <c r="IH2" s="115" t="s">
        <v>20</v>
      </c>
      <c r="II2" s="115"/>
      <c r="IJ2" s="115"/>
      <c r="IK2" s="115"/>
      <c r="IL2" s="115"/>
      <c r="IM2" s="115" t="s">
        <v>23</v>
      </c>
      <c r="IN2" s="115"/>
      <c r="IO2" s="115"/>
      <c r="IP2" s="115"/>
      <c r="IQ2" s="115"/>
      <c r="IR2" s="77" t="s">
        <v>66</v>
      </c>
      <c r="IS2" s="13" t="s">
        <v>21</v>
      </c>
      <c r="IT2" s="13" t="s">
        <v>22</v>
      </c>
      <c r="IU2" s="13" t="s">
        <v>24</v>
      </c>
      <c r="IV2" s="13" t="s">
        <v>23</v>
      </c>
      <c r="IW2" s="13" t="s">
        <v>18</v>
      </c>
      <c r="IX2" s="116" t="s">
        <v>19</v>
      </c>
      <c r="IY2" s="116"/>
      <c r="IZ2" s="116"/>
      <c r="JA2" s="116"/>
      <c r="JB2" s="116"/>
      <c r="JC2" s="116" t="s">
        <v>20</v>
      </c>
      <c r="JD2" s="116"/>
      <c r="JE2" s="116"/>
      <c r="JF2" s="116"/>
      <c r="JG2" s="116"/>
      <c r="JH2" s="116" t="s">
        <v>23</v>
      </c>
      <c r="JI2" s="116"/>
      <c r="JJ2" s="116"/>
      <c r="JK2" s="116"/>
      <c r="JL2" s="116"/>
      <c r="JM2" s="78" t="s">
        <v>66</v>
      </c>
      <c r="JN2" s="10" t="s">
        <v>21</v>
      </c>
      <c r="JO2" s="10" t="s">
        <v>22</v>
      </c>
      <c r="JP2" s="10" t="s">
        <v>24</v>
      </c>
      <c r="JQ2" s="10" t="s">
        <v>23</v>
      </c>
      <c r="JR2" s="10" t="s">
        <v>18</v>
      </c>
      <c r="JS2" s="115" t="s">
        <v>19</v>
      </c>
      <c r="JT2" s="115"/>
      <c r="JU2" s="115"/>
      <c r="JV2" s="115"/>
      <c r="JW2" s="115"/>
      <c r="JX2" s="115" t="s">
        <v>20</v>
      </c>
      <c r="JY2" s="115"/>
      <c r="JZ2" s="115"/>
      <c r="KA2" s="115"/>
      <c r="KB2" s="115"/>
      <c r="KC2" s="115" t="s">
        <v>23</v>
      </c>
      <c r="KD2" s="115"/>
      <c r="KE2" s="115"/>
      <c r="KF2" s="115"/>
      <c r="KG2" s="115"/>
      <c r="KH2" s="77" t="s">
        <v>66</v>
      </c>
      <c r="KI2" s="13" t="s">
        <v>21</v>
      </c>
      <c r="KJ2" s="13" t="s">
        <v>22</v>
      </c>
      <c r="KK2" s="13" t="s">
        <v>24</v>
      </c>
      <c r="KL2" s="13" t="s">
        <v>23</v>
      </c>
      <c r="KM2" s="13" t="s">
        <v>18</v>
      </c>
      <c r="KN2" s="116" t="s">
        <v>19</v>
      </c>
      <c r="KO2" s="116"/>
      <c r="KP2" s="116"/>
      <c r="KQ2" s="116"/>
      <c r="KR2" s="116"/>
      <c r="KS2" s="116" t="s">
        <v>20</v>
      </c>
      <c r="KT2" s="116"/>
      <c r="KU2" s="116"/>
      <c r="KV2" s="116"/>
      <c r="KW2" s="116"/>
      <c r="KX2" s="116" t="s">
        <v>23</v>
      </c>
      <c r="KY2" s="116"/>
      <c r="KZ2" s="116"/>
      <c r="LA2" s="116"/>
      <c r="LB2" s="116"/>
      <c r="LC2" s="78" t="s">
        <v>66</v>
      </c>
      <c r="LD2" s="10" t="s">
        <v>21</v>
      </c>
      <c r="LE2" s="10" t="s">
        <v>22</v>
      </c>
      <c r="LF2" s="10" t="s">
        <v>24</v>
      </c>
      <c r="LG2" s="10" t="s">
        <v>23</v>
      </c>
      <c r="LH2" s="10" t="s">
        <v>18</v>
      </c>
      <c r="LI2" s="115" t="s">
        <v>19</v>
      </c>
      <c r="LJ2" s="115"/>
      <c r="LK2" s="115"/>
      <c r="LL2" s="115"/>
      <c r="LM2" s="115"/>
      <c r="LN2" s="115" t="s">
        <v>20</v>
      </c>
      <c r="LO2" s="115"/>
      <c r="LP2" s="115"/>
      <c r="LQ2" s="115"/>
      <c r="LR2" s="115"/>
      <c r="LS2" s="115" t="s">
        <v>23</v>
      </c>
      <c r="LT2" s="115"/>
      <c r="LU2" s="115"/>
      <c r="LV2" s="115"/>
      <c r="LW2" s="115"/>
      <c r="LX2" s="77" t="s">
        <v>66</v>
      </c>
      <c r="LY2" s="13" t="s">
        <v>21</v>
      </c>
      <c r="LZ2" s="13" t="s">
        <v>22</v>
      </c>
      <c r="MA2" s="13" t="s">
        <v>24</v>
      </c>
      <c r="MB2" s="13" t="s">
        <v>23</v>
      </c>
      <c r="MC2" s="13" t="s">
        <v>18</v>
      </c>
    </row>
    <row r="3" spans="1:341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16</v>
      </c>
      <c r="W3" s="64" t="s">
        <v>7</v>
      </c>
      <c r="X3" s="64" t="s">
        <v>17</v>
      </c>
      <c r="Y3" s="64" t="s">
        <v>32</v>
      </c>
      <c r="Z3" s="64" t="s">
        <v>15</v>
      </c>
      <c r="AA3" s="64" t="s">
        <v>16</v>
      </c>
      <c r="AB3" s="64" t="s">
        <v>7</v>
      </c>
      <c r="AC3" s="64" t="s">
        <v>17</v>
      </c>
      <c r="AD3" s="64" t="s">
        <v>32</v>
      </c>
      <c r="AE3" s="64" t="s">
        <v>15</v>
      </c>
      <c r="AF3" s="64" t="s">
        <v>16</v>
      </c>
      <c r="AG3" s="64" t="s">
        <v>7</v>
      </c>
      <c r="AH3" s="64" t="s">
        <v>17</v>
      </c>
      <c r="AI3" s="64" t="s">
        <v>32</v>
      </c>
      <c r="AJ3" s="97" t="s">
        <v>124</v>
      </c>
      <c r="AK3" s="11"/>
      <c r="AL3" s="10"/>
      <c r="AM3" s="10"/>
      <c r="AN3" s="10"/>
      <c r="AO3" s="11"/>
      <c r="AP3" s="11"/>
      <c r="AQ3" s="63" t="s">
        <v>15</v>
      </c>
      <c r="AR3" s="63" t="s">
        <v>16</v>
      </c>
      <c r="AS3" s="63" t="s">
        <v>7</v>
      </c>
      <c r="AT3" s="63" t="s">
        <v>17</v>
      </c>
      <c r="AU3" s="63" t="s">
        <v>32</v>
      </c>
      <c r="AV3" s="63" t="s">
        <v>15</v>
      </c>
      <c r="AW3" s="63" t="s">
        <v>16</v>
      </c>
      <c r="AX3" s="63" t="s">
        <v>7</v>
      </c>
      <c r="AY3" s="63" t="s">
        <v>17</v>
      </c>
      <c r="AZ3" s="63" t="s">
        <v>32</v>
      </c>
      <c r="BA3" s="63" t="s">
        <v>15</v>
      </c>
      <c r="BB3" s="63" t="s">
        <v>16</v>
      </c>
      <c r="BC3" s="63" t="s">
        <v>7</v>
      </c>
      <c r="BD3" s="63" t="s">
        <v>17</v>
      </c>
      <c r="BE3" s="63" t="s">
        <v>32</v>
      </c>
      <c r="BF3" s="96" t="s">
        <v>124</v>
      </c>
      <c r="BG3" s="14"/>
      <c r="BH3" s="13"/>
      <c r="BI3" s="13"/>
      <c r="BJ3" s="13"/>
      <c r="BK3" s="14"/>
      <c r="BL3" s="14"/>
      <c r="BM3" s="33" t="s">
        <v>15</v>
      </c>
      <c r="BN3" s="33" t="s">
        <v>16</v>
      </c>
      <c r="BO3" s="33" t="s">
        <v>7</v>
      </c>
      <c r="BP3" s="33" t="s">
        <v>17</v>
      </c>
      <c r="BQ3" s="55" t="s">
        <v>32</v>
      </c>
      <c r="BR3" s="33" t="s">
        <v>15</v>
      </c>
      <c r="BS3" s="33" t="s">
        <v>16</v>
      </c>
      <c r="BT3" s="33" t="s">
        <v>7</v>
      </c>
      <c r="BU3" s="33" t="s">
        <v>17</v>
      </c>
      <c r="BV3" s="55" t="s">
        <v>32</v>
      </c>
      <c r="BW3" s="33" t="s">
        <v>15</v>
      </c>
      <c r="BX3" s="33" t="s">
        <v>16</v>
      </c>
      <c r="BY3" s="33" t="s">
        <v>7</v>
      </c>
      <c r="BZ3" s="33" t="s">
        <v>17</v>
      </c>
      <c r="CA3" s="55" t="s">
        <v>32</v>
      </c>
      <c r="CB3" s="97" t="s">
        <v>124</v>
      </c>
      <c r="CC3" s="11"/>
      <c r="CD3" s="10"/>
      <c r="CE3" s="10"/>
      <c r="CF3" s="10"/>
      <c r="CG3" s="11"/>
      <c r="CH3" s="11"/>
      <c r="CI3" s="27"/>
      <c r="CJ3" s="27"/>
      <c r="CK3" s="27"/>
      <c r="CL3" s="64" t="s">
        <v>15</v>
      </c>
      <c r="CM3" s="64" t="s">
        <v>16</v>
      </c>
      <c r="CN3" s="64" t="s">
        <v>7</v>
      </c>
      <c r="CO3" s="64" t="s">
        <v>17</v>
      </c>
      <c r="CP3" s="64" t="s">
        <v>32</v>
      </c>
      <c r="CQ3" s="64" t="s">
        <v>15</v>
      </c>
      <c r="CR3" s="64" t="s">
        <v>16</v>
      </c>
      <c r="CS3" s="64" t="s">
        <v>7</v>
      </c>
      <c r="CT3" s="64" t="s">
        <v>17</v>
      </c>
      <c r="CU3" s="64" t="s">
        <v>32</v>
      </c>
      <c r="CV3" s="64" t="s">
        <v>15</v>
      </c>
      <c r="CW3" s="64" t="s">
        <v>16</v>
      </c>
      <c r="CX3" s="64" t="s">
        <v>7</v>
      </c>
      <c r="CY3" s="64" t="s">
        <v>17</v>
      </c>
      <c r="CZ3" s="64" t="s">
        <v>32</v>
      </c>
      <c r="DA3" s="11"/>
      <c r="DB3" s="10"/>
      <c r="DC3" s="10"/>
      <c r="DD3" s="10"/>
      <c r="DE3" s="11"/>
      <c r="DF3" s="11"/>
      <c r="DG3" s="63" t="s">
        <v>15</v>
      </c>
      <c r="DH3" s="63" t="s">
        <v>16</v>
      </c>
      <c r="DI3" s="63" t="s">
        <v>7</v>
      </c>
      <c r="DJ3" s="63" t="s">
        <v>17</v>
      </c>
      <c r="DK3" s="63" t="s">
        <v>32</v>
      </c>
      <c r="DL3" s="63" t="s">
        <v>15</v>
      </c>
      <c r="DM3" s="63" t="s">
        <v>16</v>
      </c>
      <c r="DN3" s="63" t="s">
        <v>7</v>
      </c>
      <c r="DO3" s="63" t="s">
        <v>17</v>
      </c>
      <c r="DP3" s="63" t="s">
        <v>32</v>
      </c>
      <c r="DQ3" s="63" t="s">
        <v>15</v>
      </c>
      <c r="DR3" s="63" t="s">
        <v>16</v>
      </c>
      <c r="DS3" s="63" t="s">
        <v>7</v>
      </c>
      <c r="DT3" s="63" t="s">
        <v>17</v>
      </c>
      <c r="DU3" s="63" t="s">
        <v>32</v>
      </c>
      <c r="DV3" s="14"/>
      <c r="DW3" s="13"/>
      <c r="DX3" s="13"/>
      <c r="DY3" s="13"/>
      <c r="DZ3" s="14"/>
      <c r="EA3" s="14"/>
      <c r="EB3" s="64" t="s">
        <v>15</v>
      </c>
      <c r="EC3" s="64" t="s">
        <v>16</v>
      </c>
      <c r="ED3" s="64" t="s">
        <v>7</v>
      </c>
      <c r="EE3" s="64" t="s">
        <v>17</v>
      </c>
      <c r="EF3" s="64" t="s">
        <v>32</v>
      </c>
      <c r="EG3" s="64" t="s">
        <v>15</v>
      </c>
      <c r="EH3" s="64" t="s">
        <v>16</v>
      </c>
      <c r="EI3" s="64" t="s">
        <v>7</v>
      </c>
      <c r="EJ3" s="64" t="s">
        <v>17</v>
      </c>
      <c r="EK3" s="64" t="s">
        <v>32</v>
      </c>
      <c r="EL3" s="64" t="s">
        <v>15</v>
      </c>
      <c r="EM3" s="64" t="s">
        <v>16</v>
      </c>
      <c r="EN3" s="64" t="s">
        <v>7</v>
      </c>
      <c r="EO3" s="64" t="s">
        <v>17</v>
      </c>
      <c r="EP3" s="64" t="s">
        <v>32</v>
      </c>
      <c r="EQ3" s="11"/>
      <c r="ER3" s="10"/>
      <c r="ES3" s="10"/>
      <c r="ET3" s="10"/>
      <c r="EU3" s="11"/>
      <c r="EV3" s="11"/>
      <c r="EW3" s="63" t="s">
        <v>15</v>
      </c>
      <c r="EX3" s="63" t="s">
        <v>16</v>
      </c>
      <c r="EY3" s="63" t="s">
        <v>7</v>
      </c>
      <c r="EZ3" s="63" t="s">
        <v>17</v>
      </c>
      <c r="FA3" s="63" t="s">
        <v>32</v>
      </c>
      <c r="FB3" s="63" t="s">
        <v>15</v>
      </c>
      <c r="FC3" s="63" t="s">
        <v>16</v>
      </c>
      <c r="FD3" s="63" t="s">
        <v>7</v>
      </c>
      <c r="FE3" s="63" t="s">
        <v>17</v>
      </c>
      <c r="FF3" s="63" t="s">
        <v>32</v>
      </c>
      <c r="FG3" s="63" t="s">
        <v>15</v>
      </c>
      <c r="FH3" s="63" t="s">
        <v>16</v>
      </c>
      <c r="FI3" s="63" t="s">
        <v>7</v>
      </c>
      <c r="FJ3" s="63" t="s">
        <v>17</v>
      </c>
      <c r="FK3" s="63" t="s">
        <v>32</v>
      </c>
      <c r="FL3" s="14"/>
      <c r="FM3" s="13"/>
      <c r="FN3" s="13"/>
      <c r="FO3" s="13"/>
      <c r="FP3" s="14"/>
      <c r="FQ3" s="14"/>
      <c r="FR3" s="64" t="s">
        <v>15</v>
      </c>
      <c r="FS3" s="64" t="s">
        <v>16</v>
      </c>
      <c r="FT3" s="64" t="s">
        <v>7</v>
      </c>
      <c r="FU3" s="64" t="s">
        <v>17</v>
      </c>
      <c r="FV3" s="64" t="s">
        <v>32</v>
      </c>
      <c r="FW3" s="64" t="s">
        <v>15</v>
      </c>
      <c r="FX3" s="64" t="s">
        <v>16</v>
      </c>
      <c r="FY3" s="64" t="s">
        <v>7</v>
      </c>
      <c r="FZ3" s="64" t="s">
        <v>17</v>
      </c>
      <c r="GA3" s="64" t="s">
        <v>32</v>
      </c>
      <c r="GB3" s="64" t="s">
        <v>15</v>
      </c>
      <c r="GC3" s="64" t="s">
        <v>16</v>
      </c>
      <c r="GD3" s="64" t="s">
        <v>7</v>
      </c>
      <c r="GE3" s="64" t="s">
        <v>17</v>
      </c>
      <c r="GF3" s="64" t="s">
        <v>32</v>
      </c>
      <c r="GG3" s="11"/>
      <c r="GH3" s="10"/>
      <c r="GI3" s="10"/>
      <c r="GJ3" s="10"/>
      <c r="GK3" s="11"/>
      <c r="GL3" s="11"/>
      <c r="GM3" s="63" t="s">
        <v>15</v>
      </c>
      <c r="GN3" s="63" t="s">
        <v>16</v>
      </c>
      <c r="GO3" s="63" t="s">
        <v>7</v>
      </c>
      <c r="GP3" s="63" t="s">
        <v>17</v>
      </c>
      <c r="GQ3" s="63" t="s">
        <v>32</v>
      </c>
      <c r="GR3" s="63" t="s">
        <v>15</v>
      </c>
      <c r="GS3" s="63" t="s">
        <v>16</v>
      </c>
      <c r="GT3" s="63" t="s">
        <v>7</v>
      </c>
      <c r="GU3" s="63" t="s">
        <v>17</v>
      </c>
      <c r="GV3" s="63" t="s">
        <v>32</v>
      </c>
      <c r="GW3" s="63" t="s">
        <v>15</v>
      </c>
      <c r="GX3" s="63" t="s">
        <v>16</v>
      </c>
      <c r="GY3" s="63" t="s">
        <v>7</v>
      </c>
      <c r="GZ3" s="63" t="s">
        <v>17</v>
      </c>
      <c r="HA3" s="63" t="s">
        <v>32</v>
      </c>
      <c r="HB3" s="14"/>
      <c r="HC3" s="13"/>
      <c r="HD3" s="13"/>
      <c r="HE3" s="13"/>
      <c r="HF3" s="14"/>
      <c r="HG3" s="14"/>
      <c r="HH3" s="33" t="s">
        <v>15</v>
      </c>
      <c r="HI3" s="33" t="s">
        <v>16</v>
      </c>
      <c r="HJ3" s="33" t="s">
        <v>7</v>
      </c>
      <c r="HK3" s="33" t="s">
        <v>17</v>
      </c>
      <c r="HL3" s="55" t="s">
        <v>32</v>
      </c>
      <c r="HM3" s="33" t="s">
        <v>15</v>
      </c>
      <c r="HN3" s="33" t="s">
        <v>16</v>
      </c>
      <c r="HO3" s="33" t="s">
        <v>7</v>
      </c>
      <c r="HP3" s="33" t="s">
        <v>17</v>
      </c>
      <c r="HQ3" s="55" t="s">
        <v>32</v>
      </c>
      <c r="HR3" s="33" t="s">
        <v>15</v>
      </c>
      <c r="HS3" s="33" t="s">
        <v>16</v>
      </c>
      <c r="HT3" s="33" t="s">
        <v>7</v>
      </c>
      <c r="HU3" s="33" t="s">
        <v>17</v>
      </c>
      <c r="HV3" s="55" t="s">
        <v>32</v>
      </c>
      <c r="HW3" s="11"/>
      <c r="HX3" s="10"/>
      <c r="HY3" s="10"/>
      <c r="HZ3" s="10"/>
      <c r="IA3" s="11"/>
      <c r="IB3" s="11"/>
      <c r="IC3" s="63" t="s">
        <v>15</v>
      </c>
      <c r="ID3" s="63" t="s">
        <v>16</v>
      </c>
      <c r="IE3" s="63" t="s">
        <v>7</v>
      </c>
      <c r="IF3" s="63" t="s">
        <v>17</v>
      </c>
      <c r="IG3" s="63" t="s">
        <v>32</v>
      </c>
      <c r="IH3" s="63" t="s">
        <v>15</v>
      </c>
      <c r="II3" s="63" t="s">
        <v>16</v>
      </c>
      <c r="IJ3" s="63" t="s">
        <v>7</v>
      </c>
      <c r="IK3" s="63" t="s">
        <v>17</v>
      </c>
      <c r="IL3" s="63" t="s">
        <v>32</v>
      </c>
      <c r="IM3" s="63" t="s">
        <v>15</v>
      </c>
      <c r="IN3" s="63" t="s">
        <v>16</v>
      </c>
      <c r="IO3" s="63" t="s">
        <v>7</v>
      </c>
      <c r="IP3" s="63" t="s">
        <v>17</v>
      </c>
      <c r="IQ3" s="63" t="s">
        <v>32</v>
      </c>
      <c r="IR3" s="14"/>
      <c r="IS3" s="13"/>
      <c r="IT3" s="13"/>
      <c r="IU3" s="13"/>
      <c r="IV3" s="14"/>
      <c r="IW3" s="14"/>
      <c r="IX3" s="33" t="s">
        <v>15</v>
      </c>
      <c r="IY3" s="33" t="s">
        <v>16</v>
      </c>
      <c r="IZ3" s="33" t="s">
        <v>7</v>
      </c>
      <c r="JA3" s="33" t="s">
        <v>17</v>
      </c>
      <c r="JB3" s="55" t="s">
        <v>32</v>
      </c>
      <c r="JC3" s="33" t="s">
        <v>15</v>
      </c>
      <c r="JD3" s="33" t="s">
        <v>16</v>
      </c>
      <c r="JE3" s="33" t="s">
        <v>7</v>
      </c>
      <c r="JF3" s="33" t="s">
        <v>17</v>
      </c>
      <c r="JG3" s="55" t="s">
        <v>32</v>
      </c>
      <c r="JH3" s="33" t="s">
        <v>15</v>
      </c>
      <c r="JI3" s="33" t="s">
        <v>16</v>
      </c>
      <c r="JJ3" s="33" t="s">
        <v>7</v>
      </c>
      <c r="JK3" s="33" t="s">
        <v>17</v>
      </c>
      <c r="JL3" s="55" t="s">
        <v>32</v>
      </c>
      <c r="JM3" s="11"/>
      <c r="JN3" s="10"/>
      <c r="JO3" s="10"/>
      <c r="JP3" s="10"/>
      <c r="JQ3" s="11"/>
      <c r="JR3" s="11"/>
      <c r="JS3" s="32" t="s">
        <v>15</v>
      </c>
      <c r="JT3" s="32" t="s">
        <v>16</v>
      </c>
      <c r="JU3" s="32" t="s">
        <v>7</v>
      </c>
      <c r="JV3" s="32" t="s">
        <v>17</v>
      </c>
      <c r="JW3" s="56" t="s">
        <v>32</v>
      </c>
      <c r="JX3" s="32" t="s">
        <v>15</v>
      </c>
      <c r="JY3" s="32" t="s">
        <v>16</v>
      </c>
      <c r="JZ3" s="32" t="s">
        <v>7</v>
      </c>
      <c r="KA3" s="32" t="s">
        <v>17</v>
      </c>
      <c r="KB3" s="56" t="s">
        <v>32</v>
      </c>
      <c r="KC3" s="32" t="s">
        <v>15</v>
      </c>
      <c r="KD3" s="32" t="s">
        <v>16</v>
      </c>
      <c r="KE3" s="32" t="s">
        <v>7</v>
      </c>
      <c r="KF3" s="32" t="s">
        <v>17</v>
      </c>
      <c r="KG3" s="56" t="s">
        <v>32</v>
      </c>
      <c r="KH3" s="14"/>
      <c r="KI3" s="13"/>
      <c r="KJ3" s="13"/>
      <c r="KK3" s="13"/>
      <c r="KL3" s="14"/>
      <c r="KM3" s="14"/>
      <c r="KN3" s="33" t="s">
        <v>15</v>
      </c>
      <c r="KO3" s="33" t="s">
        <v>16</v>
      </c>
      <c r="KP3" s="33" t="s">
        <v>7</v>
      </c>
      <c r="KQ3" s="33" t="s">
        <v>17</v>
      </c>
      <c r="KR3" s="55" t="s">
        <v>32</v>
      </c>
      <c r="KS3" s="33" t="s">
        <v>15</v>
      </c>
      <c r="KT3" s="33" t="s">
        <v>16</v>
      </c>
      <c r="KU3" s="33" t="s">
        <v>7</v>
      </c>
      <c r="KV3" s="33" t="s">
        <v>17</v>
      </c>
      <c r="KW3" s="55" t="s">
        <v>32</v>
      </c>
      <c r="KX3" s="33" t="s">
        <v>15</v>
      </c>
      <c r="KY3" s="33" t="s">
        <v>16</v>
      </c>
      <c r="KZ3" s="33" t="s">
        <v>7</v>
      </c>
      <c r="LA3" s="33" t="s">
        <v>17</v>
      </c>
      <c r="LB3" s="55" t="s">
        <v>32</v>
      </c>
      <c r="LC3" s="11"/>
      <c r="LD3" s="10"/>
      <c r="LE3" s="10"/>
      <c r="LF3" s="10"/>
      <c r="LG3" s="11"/>
      <c r="LH3" s="11"/>
      <c r="LI3" s="32" t="s">
        <v>15</v>
      </c>
      <c r="LJ3" s="32" t="s">
        <v>16</v>
      </c>
      <c r="LK3" s="32" t="s">
        <v>7</v>
      </c>
      <c r="LL3" s="32" t="s">
        <v>17</v>
      </c>
      <c r="LM3" s="56" t="s">
        <v>32</v>
      </c>
      <c r="LN3" s="56" t="s">
        <v>15</v>
      </c>
      <c r="LO3" s="32" t="s">
        <v>16</v>
      </c>
      <c r="LP3" s="32" t="s">
        <v>7</v>
      </c>
      <c r="LQ3" s="32" t="s">
        <v>17</v>
      </c>
      <c r="LR3" s="56" t="s">
        <v>32</v>
      </c>
      <c r="LS3" s="32" t="s">
        <v>15</v>
      </c>
      <c r="LT3" s="32" t="s">
        <v>16</v>
      </c>
      <c r="LU3" s="32" t="s">
        <v>7</v>
      </c>
      <c r="LV3" s="32" t="s">
        <v>17</v>
      </c>
      <c r="LW3" s="56" t="s">
        <v>32</v>
      </c>
      <c r="LX3" s="14"/>
      <c r="LY3" s="13"/>
      <c r="LZ3" s="13"/>
      <c r="MA3" s="13"/>
      <c r="MB3" s="14"/>
      <c r="MC3" s="14"/>
    </row>
    <row r="4" spans="1:341" x14ac:dyDescent="0.2">
      <c r="A4" s="6">
        <f>IF(AND(F4="P",H4="P"),SUMPRODUCT((F$4:F$16="P")*(H$4:H$16="P")*(E$4:E$16&gt;E4))+1,IF(H4="P",SUMPRODUCT((F$4:F$16="")*(H$4:H$16="P")*(E$4:E$16&gt;E4))+1+SUMPRODUCT((F$4:F$16="P")*(H$4:H$16="P")),""))</f>
        <v>1</v>
      </c>
      <c r="B4" s="9" t="s">
        <v>84</v>
      </c>
      <c r="C4" s="5" t="s">
        <v>6</v>
      </c>
      <c r="D4" s="31">
        <v>2000</v>
      </c>
      <c r="E4" s="16">
        <f>SUM(J4:R4)</f>
        <v>239.27499999999998</v>
      </c>
      <c r="F4" s="4" t="str">
        <f>IF(OR(AND($AK4&gt;=$AL$19,NOT($AK4=""),$AJ4=""),AND($BG4&gt;=$BH$19,NOT($BG4=""),$BF4=""),AND($CC4&gt;=$CD$19,NOT($CC4=""),$CB4="")),"P","")</f>
        <v/>
      </c>
      <c r="G4" s="4" t="str">
        <f>IF(OR(AND($AK4&gt;=$AL$20,NOT($AK4=""),$AJ4=""),AND($BG4&gt;=$BH$20,NOT($BG4=""),$BF4=""),AND($CC4&gt;=$CD$20,NOT($CC4=""),$CB4="")),"P","")</f>
        <v/>
      </c>
      <c r="H4" s="4" t="str">
        <f>IF(OR(AND($AN4&gt;=$AL$21,NOT($AN4=""),$AJ4=""),AND($BJ4&gt;=$BH$21,NOT($BJ4=""),$BF4=""),AND($CF4&gt;=$CD$21,NOT($CF4=""),$CB4="")),"P","")</f>
        <v>P</v>
      </c>
      <c r="I4" t="str">
        <f>IF(AND(F4="P",OR(AND($AM4&gt;$AL$24,NOT($AM4=""),$AJ4=""),AND($AO4&gt;$AL$24,NOT($AO4=""),$AJ4=""),AND($BI4&gt;$BH$24,NOT($BI4=""),$BF4=""),AND($BK4&gt;$BH$24,NOT($BK4=""),$BF4=""),AND($CE4&gt;$CD$24,NOT($CE4=""),$CB4=""),AND($CG4&gt;$CD$24,NOT($CG4=""),$CB4=""))),"Merit",IF(AND(F4="P",OR(AND($AN4&gt;$AL$23,NOT($AN4=""),$AJ4=""),AND($BJ4&gt;$BH$23,NOT($BJ4=""),$BF4=""),AND($CF4&gt;$CD$23,NOT($CF4=""),$CB4=""))),"Funding",IF(AND(F4="P",OR(AND($AN4&gt;$AL$22,NOT($AN4=""),$AJ4=""),AND($BJ4&gt;$BH$22,NOT($BJ4=""),$BF4=""),AND($CF4&gt;$CD$22,NOT($CF4=""),$CB4=""))),"Worlds Team",IF(AND(F4="P",OR(AND($AN4&gt;$AL$21,NOT($AN4=""),$AJ4=""),AND($BJ4&gt;$BH$21,NOT($BJ4=""),$BF4=""),AND($CF4&gt;$CD$21,NOT($CF4=""),$CB4=""))),"National Team",""))))</f>
        <v/>
      </c>
      <c r="J4" s="15">
        <f>MAX(AN4,BJ4,CF4)</f>
        <v>92.87</v>
      </c>
      <c r="K4" s="15" t="str">
        <f>IF(J4=CF4,$BM$1,IF(J4=BJ4,$AQ$1,IF(J4=AN4,$U$1,"")))</f>
        <v>2018 Nationals</v>
      </c>
      <c r="L4" s="15">
        <f>IF($J4=$AN4,MAX(BH4,CD4),IF($J4=$BJ4,MAX(AL4,CD4),MAX(AL4,BH4)))</f>
        <v>46.765000000000001</v>
      </c>
      <c r="M4" s="15" t="str">
        <f>IF(AND(L4=CD4,$K4&lt;&gt;$BM$1),$BM$1,IF(AND(L4=BH4,$K4&lt;&gt;$AQ$1),$AQ$1,IF(AND(L4=AL4,$K4&lt;&gt;$U$1),$U$1,"")))</f>
        <v>2017 Nationals</v>
      </c>
      <c r="N4" s="15">
        <f>IF($J4=$AN4,MAX(BI4,CE4),IF($J4=$BJ4,MAX(AM4,CE4),MAX(AM4,BI4)))</f>
        <v>48.35</v>
      </c>
      <c r="O4" s="15" t="str">
        <f>IF(AND(N4=CE4,$K4&lt;&gt;$BM$1),$BM$1,IF(AND(N4=BI4,$K4&lt;&gt;$AQ$1),$AQ$1,IF(AND(N4=AM4,$K4&lt;&gt;$U$1),$U$1,"")))</f>
        <v>2018 Canada Cup</v>
      </c>
      <c r="P4" s="15">
        <f>MAX(AO4,BK4,CG4)</f>
        <v>51.29</v>
      </c>
      <c r="Q4" s="15" t="str">
        <f>IF(P4=CG4,$BM$1,IF(P4=BK4,$AQ$1,IF(P4=AO4,$U$1,"")))</f>
        <v>2017 Nationals</v>
      </c>
      <c r="R4" s="15" t="str">
        <f>IF(MAX(CI4:CK4)&gt;0,MAX(CI4:CK4),"")</f>
        <v/>
      </c>
      <c r="S4" s="29" t="str">
        <f>IF(R4="","",IF(R4=CI4,"(Vol 1)",IF(R4=CJ4,"(Vol 2)",IF(R4=CK4,"(Final)"))))</f>
        <v/>
      </c>
      <c r="T4" s="15" t="str">
        <f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/>
      </c>
      <c r="U4" s="45">
        <v>18.3</v>
      </c>
      <c r="V4" s="45">
        <v>9.8000000000000007</v>
      </c>
      <c r="W4" s="45">
        <v>3.4</v>
      </c>
      <c r="X4" s="45">
        <v>15.265000000000001</v>
      </c>
      <c r="Y4" s="45">
        <v>0</v>
      </c>
      <c r="Z4" s="45">
        <v>9.3000000000000007</v>
      </c>
      <c r="AA4" s="45">
        <v>5.6</v>
      </c>
      <c r="AB4" s="45">
        <v>7.3</v>
      </c>
      <c r="AC4" s="45">
        <v>8.5950000000000006</v>
      </c>
      <c r="AD4" s="45">
        <v>0</v>
      </c>
      <c r="AE4" s="45">
        <v>16.600000000000001</v>
      </c>
      <c r="AF4" s="45">
        <v>9.6999999999999993</v>
      </c>
      <c r="AG4" s="45">
        <v>10.6</v>
      </c>
      <c r="AH4" s="45">
        <v>14.39</v>
      </c>
      <c r="AI4" s="45">
        <v>0</v>
      </c>
      <c r="AJ4" s="108"/>
      <c r="AK4" s="12">
        <f>IF(SUM(AB4)&gt;0,SUM(AB4),"")</f>
        <v>7.3</v>
      </c>
      <c r="AL4" s="12">
        <f>IF(SUM(U4:X4)-Y4&gt;0,SUM(U4:X4)-Y4,"")</f>
        <v>46.765000000000001</v>
      </c>
      <c r="AM4" s="12">
        <f>IF(SUM(Z4:AC4)-AD4&gt;0,SUM(Z4:AC4)-AD4,"")</f>
        <v>30.795000000000002</v>
      </c>
      <c r="AN4" s="12">
        <f>IF(SUM(AL4:AM4)&gt;0,SUM(AL4:AM4),"")</f>
        <v>77.56</v>
      </c>
      <c r="AO4" s="12">
        <f>IF(SUM(AE4:AH4)-AI4&gt;0,SUM(AE4:AH4)-AI4,"")</f>
        <v>51.29</v>
      </c>
      <c r="AP4" s="12">
        <f>IF(SUM(AN4,AO4)&gt;0,SUM(AN4,AO4),"")</f>
        <v>128.85</v>
      </c>
      <c r="AQ4" s="46">
        <v>15.2</v>
      </c>
      <c r="AR4" s="46">
        <v>8.9</v>
      </c>
      <c r="AS4" s="46">
        <v>3.4</v>
      </c>
      <c r="AT4" s="46">
        <v>15.1</v>
      </c>
      <c r="AU4" s="46">
        <v>0</v>
      </c>
      <c r="AV4" s="46">
        <v>14.1</v>
      </c>
      <c r="AW4" s="46">
        <v>9.15</v>
      </c>
      <c r="AX4" s="46">
        <v>10.6</v>
      </c>
      <c r="AY4" s="46">
        <v>14.5</v>
      </c>
      <c r="AZ4" s="46">
        <v>0</v>
      </c>
      <c r="BA4" s="46">
        <v>14.7</v>
      </c>
      <c r="BB4" s="46">
        <v>8.6999999999999993</v>
      </c>
      <c r="BC4" s="46">
        <v>10.6</v>
      </c>
      <c r="BD4" s="46">
        <v>13.81</v>
      </c>
      <c r="BE4" s="46">
        <v>0</v>
      </c>
      <c r="BF4" s="109"/>
      <c r="BG4" s="15">
        <f>IF(SUM(AX4)&gt;0,SUM(AX4),"")</f>
        <v>10.6</v>
      </c>
      <c r="BH4" s="15">
        <f>IF(SUM(AQ4:AT4)-AU4&gt;0,SUM(AQ4:AT4)-AU4,"")</f>
        <v>42.6</v>
      </c>
      <c r="BI4" s="15">
        <f>IF(SUM(AV4:AY4)-AZ4&gt;0,SUM(AV4:AY4)-AZ4,"")</f>
        <v>48.35</v>
      </c>
      <c r="BJ4" s="15">
        <f>IF(SUM(BH4:BI4)&gt;0,SUM(BH4:BI4),"")</f>
        <v>90.95</v>
      </c>
      <c r="BK4" s="15">
        <f>IF(SUM(BA4:BD4)-BE4&gt;0,SUM(BA4:BD4)-BE4,"")</f>
        <v>47.81</v>
      </c>
      <c r="BL4" s="15">
        <f>IF(SUM(BJ4,BK4)&gt;0,SUM(BJ4,BK4),"")</f>
        <v>138.76</v>
      </c>
      <c r="BM4" s="45">
        <v>15.8</v>
      </c>
      <c r="BN4" s="45">
        <v>8.9499999999999993</v>
      </c>
      <c r="BO4" s="45">
        <v>3.2</v>
      </c>
      <c r="BP4" s="45">
        <v>15.13</v>
      </c>
      <c r="BQ4" s="45">
        <v>0</v>
      </c>
      <c r="BR4" s="45">
        <v>15.6</v>
      </c>
      <c r="BS4" s="45">
        <v>9.1</v>
      </c>
      <c r="BT4" s="45">
        <v>10.6</v>
      </c>
      <c r="BU4" s="45">
        <v>14.49</v>
      </c>
      <c r="BV4" s="45">
        <v>0</v>
      </c>
      <c r="BW4" s="45">
        <v>16.2</v>
      </c>
      <c r="BX4" s="45">
        <v>8.65</v>
      </c>
      <c r="BY4" s="45">
        <v>10.6</v>
      </c>
      <c r="BZ4" s="45">
        <v>14.315</v>
      </c>
      <c r="CA4" s="45">
        <v>0</v>
      </c>
      <c r="CB4" s="108"/>
      <c r="CC4" s="12">
        <f>IF(SUM(BT4)&gt;0,SUM(BT4),"")</f>
        <v>10.6</v>
      </c>
      <c r="CD4" s="12">
        <f>IF(SUM(BM4:BP4)-BQ4&gt;0,SUM(BM4:BP4)-BQ4,"")</f>
        <v>43.08</v>
      </c>
      <c r="CE4" s="12">
        <f>IF(SUM(BR4:BU4)-BV4&gt;0,SUM(BR4:BU4)-BV4,"")</f>
        <v>49.79</v>
      </c>
      <c r="CF4" s="12">
        <f>IF(SUM(CD4:CE4)&gt;0,SUM(CD4:CE4),"")</f>
        <v>92.87</v>
      </c>
      <c r="CG4" s="12">
        <f>IF(SUM(BW4:BZ4)-CA4&gt;0,SUM(BW4:BZ4)-CA4,"")</f>
        <v>49.765000000000001</v>
      </c>
      <c r="CH4" s="12">
        <f>IF(SUM(CF4,CG4)&gt;0,SUM(CF4,CG4),"")</f>
        <v>142.63499999999999</v>
      </c>
      <c r="CI4" s="28" t="str">
        <f>IF(MAX(DB4,DW4,ER4,FM4,GH4,HC4,HX4,IS4,JN4,KI4,LD4,LY4)-L4&gt;0.001,MAX(DB4,DW4,ER4,FM4,GH4,HC4,HX4,IS4,JN4,KI4,LD4,LY4)-L4,"")</f>
        <v/>
      </c>
      <c r="CJ4" s="28" t="str">
        <f>IF(MAX(DC4,DX4,ES4,FN4,GI4,HD4,HY4,IT4,JO4,KJ4,LE4,LZ4)-N4&gt;0.001,MAX(DC4,DX4,ES4,FN4,GI4,HD4,HY4,IT4,JO4,KJ4,LE4,LZ4)-N4,"")</f>
        <v/>
      </c>
      <c r="CK4" s="28" t="str">
        <f>IF(MAX(DE4,DZ4,EU4,FP4,GK4,HF4,IA4,IV4,JQ4,KL4,LG4,MB4)-P4&gt;0.001,MAX(DE4,DZ4,EU4,FP4,GK4,HF4,IA4,IV4,JQ4,KL4,LG4,MB4)-P4,"")</f>
        <v/>
      </c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12" t="str">
        <f>IF(SUM(CS4)&gt;0,SUM(CS4),"")</f>
        <v/>
      </c>
      <c r="DB4" s="12" t="str">
        <f>IF(SUM(CL4:CO4)-CP4&gt;0,SUM(CL4:CO4)-CP4,"")</f>
        <v/>
      </c>
      <c r="DC4" s="12" t="str">
        <f>IF(SUM(CQ4:CT4)-CU4&gt;0,SUM(CQ4:CT4)-CU4,"")</f>
        <v/>
      </c>
      <c r="DD4" s="12" t="str">
        <f>IF(SUM(DB4:DC4)&gt;0,SUM(DB4:DC4),"")</f>
        <v/>
      </c>
      <c r="DE4" s="12" t="str">
        <f>IF(SUM(CV4:CY4)-CZ4&gt;0,SUM(CV4:CY4)-CZ4,"")</f>
        <v/>
      </c>
      <c r="DF4" s="12" t="str">
        <f>IF(SUM(DD4,DE4)&gt;0,SUM(DD4,DE4),"")</f>
        <v/>
      </c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15" t="str">
        <f>IF(SUM(DN4)&gt;0,SUM(DN4),"")</f>
        <v/>
      </c>
      <c r="DW4" s="15" t="str">
        <f>IF(SUM(DG4:DJ4)-DK4&gt;0,SUM(DG4:DJ4)-DK4,"")</f>
        <v/>
      </c>
      <c r="DX4" s="15" t="str">
        <f>IF(SUM(DL4:DO4)-DP4&gt;0,SUM(DL4:DO4)-DP4,"")</f>
        <v/>
      </c>
      <c r="DY4" s="15" t="str">
        <f>IF(SUM(DW4:DX4)&gt;0,SUM(DW4:DX4),"")</f>
        <v/>
      </c>
      <c r="DZ4" s="15" t="str">
        <f>IF(SUM(DQ4:DT4)-DU4&gt;0,SUM(DQ4:DT4)-DU4,"")</f>
        <v/>
      </c>
      <c r="EA4" s="15" t="str">
        <f>IF(SUM(DY4,DZ4)&gt;0,SUM(DY4,DZ4),"")</f>
        <v/>
      </c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12" t="str">
        <f>IF(SUM(EI4)&gt;0,SUM(EI4),"")</f>
        <v/>
      </c>
      <c r="ER4" s="12" t="str">
        <f>IF(SUM(EB4:EE4)-EF4&gt;0,SUM(EB4:EE4)-EF4,"")</f>
        <v/>
      </c>
      <c r="ES4" s="12" t="str">
        <f>IF(SUM(EG4:EJ4)-EK4&gt;0,SUM(EG4:EJ4)-EK4,"")</f>
        <v/>
      </c>
      <c r="ET4" s="12" t="str">
        <f>IF(SUM(ER4:ES4)&gt;0,SUM(ER4:ES4),"")</f>
        <v/>
      </c>
      <c r="EU4" s="12" t="str">
        <f>IF(SUM(EL4:EO4)-EP4&gt;0,SUM(EL4:EO4)-EP4,"")</f>
        <v/>
      </c>
      <c r="EV4" s="12" t="str">
        <f>IF(SUM(ET4,EU4)&gt;0,SUM(ET4,EU4),"")</f>
        <v/>
      </c>
      <c r="EW4" s="46">
        <v>17</v>
      </c>
      <c r="EX4" s="46">
        <v>9</v>
      </c>
      <c r="EY4" s="46">
        <v>0</v>
      </c>
      <c r="EZ4" s="46">
        <v>14.99</v>
      </c>
      <c r="FA4" s="46">
        <v>0</v>
      </c>
      <c r="FB4" s="46">
        <v>13.2</v>
      </c>
      <c r="FC4" s="46">
        <v>9</v>
      </c>
      <c r="FD4" s="46">
        <v>9.3000000000000007</v>
      </c>
      <c r="FE4" s="46">
        <v>14.14</v>
      </c>
      <c r="FF4" s="46">
        <v>0</v>
      </c>
      <c r="FG4" s="46"/>
      <c r="FH4" s="46"/>
      <c r="FI4" s="46"/>
      <c r="FJ4" s="46"/>
      <c r="FK4" s="46"/>
      <c r="FL4" s="15">
        <f>IF(SUM(FD4)&gt;0,SUM(FD4),"")</f>
        <v>9.3000000000000007</v>
      </c>
      <c r="FM4" s="15">
        <f>IF(SUM(EW4:EZ4)-FA4&gt;0,SUM(EW4:EZ4)-FA4,"")</f>
        <v>40.99</v>
      </c>
      <c r="FN4" s="15">
        <f>IF(SUM(FB4:FE4)-FF4&gt;0,SUM(FB4:FE4)-FF4,"")</f>
        <v>45.64</v>
      </c>
      <c r="FO4" s="15">
        <f>IF(SUM(FM4:FN4)&gt;0,SUM(FM4:FN4),"")</f>
        <v>86.63</v>
      </c>
      <c r="FP4" s="15" t="str">
        <f>IF(SUM(FG4:FJ4)-FK4&gt;0,SUM(FG4:FJ4)-FK4,"")</f>
        <v/>
      </c>
      <c r="FQ4" s="15">
        <f>IF(SUM(FO4,FP4)&gt;0,SUM(FO4,FP4),"")</f>
        <v>86.63</v>
      </c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45"/>
      <c r="GC4" s="45"/>
      <c r="GD4" s="45"/>
      <c r="GE4" s="45"/>
      <c r="GF4" s="45"/>
      <c r="GG4" s="12" t="str">
        <f>IF(SUM(FY4)&gt;0,SUM(FY4),"")</f>
        <v/>
      </c>
      <c r="GH4" s="12" t="str">
        <f>IF(SUM(FR4:FU4)-FV4&gt;0,SUM(FR4:FU4)-FV4,"")</f>
        <v/>
      </c>
      <c r="GI4" s="12" t="str">
        <f>IF(SUM(FW4:FZ4)-GA4&gt;0,SUM(FW4:FZ4)-GA4,"")</f>
        <v/>
      </c>
      <c r="GJ4" s="12" t="str">
        <f>IF(SUM(GH4:GI4)&gt;0,SUM(GH4:GI4),"")</f>
        <v/>
      </c>
      <c r="GK4" s="12" t="str">
        <f>IF(SUM(GB4:GE4)-GF4&gt;0,SUM(GB4:GE4)-GF4,"")</f>
        <v/>
      </c>
      <c r="GL4" s="12" t="str">
        <f>IF(SUM(GJ4,GK4)&gt;0,SUM(GJ4,GK4),"")</f>
        <v/>
      </c>
      <c r="GM4" s="46"/>
      <c r="GN4" s="46"/>
      <c r="GO4" s="46"/>
      <c r="GP4" s="46"/>
      <c r="GQ4" s="46"/>
      <c r="GR4" s="46"/>
      <c r="GS4" s="46"/>
      <c r="GT4" s="46"/>
      <c r="GU4" s="46"/>
      <c r="GV4" s="46"/>
      <c r="GW4" s="46"/>
      <c r="GX4" s="46"/>
      <c r="GY4" s="46"/>
      <c r="GZ4" s="46"/>
      <c r="HA4" s="46"/>
      <c r="HB4" s="15" t="str">
        <f>IF(SUM(GT4)&gt;0,SUM(GT4),"")</f>
        <v/>
      </c>
      <c r="HC4" s="15" t="str">
        <f>IF(SUM(GM4:GP4)-GQ4&gt;0,SUM(GM4:GP4)-GQ4,"")</f>
        <v/>
      </c>
      <c r="HD4" s="15" t="str">
        <f>IF(SUM(GR4:GU4)-GV4&gt;0,SUM(GR4:GU4)-GV4,"")</f>
        <v/>
      </c>
      <c r="HE4" s="15" t="str">
        <f>IF(SUM(HC4:HD4)&gt;0,SUM(HC4:HD4),"")</f>
        <v/>
      </c>
      <c r="HF4" s="15" t="str">
        <f>IF(SUM(GW4:GZ4)-HA4&gt;0,SUM(GW4:GZ4)-HA4,"")</f>
        <v/>
      </c>
      <c r="HG4" s="15" t="str">
        <f>IF(SUM(HE4,HF4)&gt;0,SUM(HE4,HF4),"")</f>
        <v/>
      </c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45"/>
      <c r="HS4" s="45"/>
      <c r="HT4" s="45"/>
      <c r="HU4" s="45"/>
      <c r="HV4" s="45"/>
      <c r="HW4" s="12" t="str">
        <f>IF(SUM(HO4)&gt;0,SUM(HO4),"")</f>
        <v/>
      </c>
      <c r="HX4" s="12" t="str">
        <f>IF(SUM(HH4:HK4)-HL4&gt;0,SUM(HH4:HK4)-HL4,"")</f>
        <v/>
      </c>
      <c r="HY4" s="12" t="str">
        <f>IF(SUM(HM4:HP4)-HQ4&gt;0,SUM(HM4:HP4)-HQ4,"")</f>
        <v/>
      </c>
      <c r="HZ4" s="12" t="str">
        <f>IF(SUM(HX4:HY4)&gt;0,SUM(HX4:HY4),"")</f>
        <v/>
      </c>
      <c r="IA4" s="12" t="str">
        <f>IF(SUM(HR4:HU4)-HV4&gt;0,SUM(HR4:HU4)-HV4,"")</f>
        <v/>
      </c>
      <c r="IB4" s="12" t="str">
        <f>IF(SUM(HZ4,IA4)&gt;0,SUM(HZ4,IA4),"")</f>
        <v/>
      </c>
      <c r="IC4" s="46"/>
      <c r="ID4" s="46"/>
      <c r="IE4" s="46"/>
      <c r="IF4" s="46"/>
      <c r="IG4" s="46"/>
      <c r="IH4" s="46"/>
      <c r="II4" s="46"/>
      <c r="IJ4" s="46"/>
      <c r="IK4" s="46"/>
      <c r="IL4" s="46"/>
      <c r="IM4" s="46"/>
      <c r="IN4" s="46"/>
      <c r="IO4" s="46"/>
      <c r="IP4" s="46"/>
      <c r="IQ4" s="46"/>
      <c r="IR4" s="15" t="str">
        <f>IF(SUM(IJ4)&gt;0,SUM(IJ4),"")</f>
        <v/>
      </c>
      <c r="IS4" s="15" t="str">
        <f>IF(SUM(IC4:IF4)-IG4&gt;0,SUM(IC4:IF4)-IG4,"")</f>
        <v/>
      </c>
      <c r="IT4" s="15" t="str">
        <f>IF(SUM(IH4:IK4)-IL4&gt;0,SUM(IH4:IK4)-IL4,"")</f>
        <v/>
      </c>
      <c r="IU4" s="15" t="str">
        <f>IF(SUM(IS4:IT4)&gt;0,SUM(IS4:IT4),"")</f>
        <v/>
      </c>
      <c r="IV4" s="15" t="str">
        <f>IF(SUM(IM4:IP4)-IQ4&gt;0,SUM(IM4:IP4)-IQ4,"")</f>
        <v/>
      </c>
      <c r="IW4" s="15" t="str">
        <f>IF(SUM(IU4,IV4)&gt;0,SUM(IU4,IV4),"")</f>
        <v/>
      </c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45"/>
      <c r="JI4" s="45"/>
      <c r="JJ4" s="45"/>
      <c r="JK4" s="45"/>
      <c r="JL4" s="45"/>
      <c r="JM4" s="12" t="str">
        <f>IF(SUM(JE4)&gt;0,SUM(JE4),"")</f>
        <v/>
      </c>
      <c r="JN4" s="12" t="str">
        <f>IF(SUM(IX4:JA4)-JB4&gt;0,SUM(IX4:JA4)-JB4,"")</f>
        <v/>
      </c>
      <c r="JO4" s="12" t="str">
        <f>IF(SUM(JC4:JF4)-JG4&gt;0,SUM(JC4:JF4)-JG4,"")</f>
        <v/>
      </c>
      <c r="JP4" s="12" t="str">
        <f>IF(SUM(JN4:JO4)&gt;0,SUM(JN4:JO4),"")</f>
        <v/>
      </c>
      <c r="JQ4" s="12" t="str">
        <f>IF(SUM(JH4:JK4)-JL4&gt;0,SUM(JH4:JK4)-JL4,"")</f>
        <v/>
      </c>
      <c r="JR4" s="12" t="str">
        <f>IF(SUM(JP4,JQ4)&gt;0,SUM(JP4,JQ4),"")</f>
        <v/>
      </c>
      <c r="JS4" s="46"/>
      <c r="JT4" s="46"/>
      <c r="JU4" s="46"/>
      <c r="JV4" s="46"/>
      <c r="JW4" s="46"/>
      <c r="JX4" s="46"/>
      <c r="JY4" s="46"/>
      <c r="JZ4" s="46"/>
      <c r="KA4" s="46"/>
      <c r="KB4" s="46"/>
      <c r="KC4" s="46"/>
      <c r="KD4" s="46"/>
      <c r="KE4" s="46"/>
      <c r="KF4" s="46"/>
      <c r="KG4" s="46"/>
      <c r="KH4" s="15" t="str">
        <f>IF(SUM(JZ4)&gt;0,SUM(JZ4),"")</f>
        <v/>
      </c>
      <c r="KI4" s="15" t="str">
        <f>IF(SUM(JS4:JV4)-JW4&gt;0,SUM(JS4:JV4)-JW4,"")</f>
        <v/>
      </c>
      <c r="KJ4" s="15" t="str">
        <f>IF(SUM(JX4:KA4)-KB4&gt;0,SUM(JX4:KA4)-KB4,"")</f>
        <v/>
      </c>
      <c r="KK4" s="15" t="str">
        <f>IF(SUM(KI4:KJ4)&gt;0,SUM(KI4:KJ4),"")</f>
        <v/>
      </c>
      <c r="KL4" s="15" t="str">
        <f>IF(SUM(KC4:KF4)-KG4&gt;0,SUM(KC4:KF4)-KG4,"")</f>
        <v/>
      </c>
      <c r="KM4" s="15" t="str">
        <f>IF(SUM(KK4,KL4)&gt;0,SUM(KK4,KL4),"")</f>
        <v/>
      </c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45"/>
      <c r="KY4" s="45"/>
      <c r="KZ4" s="45"/>
      <c r="LA4" s="45"/>
      <c r="LB4" s="45"/>
      <c r="LC4" s="12" t="str">
        <f>IF(SUM(KU4)&gt;0,SUM(KU4),"")</f>
        <v/>
      </c>
      <c r="LD4" s="12" t="str">
        <f>IF(SUM(KN4:KQ4)-KR4&gt;0,SUM(KN4:KQ4)-KR4,"")</f>
        <v/>
      </c>
      <c r="LE4" s="12" t="str">
        <f>IF(SUM(KS4:KV4)-KW4&gt;0,SUM(KS4:KV4)-KW4,"")</f>
        <v/>
      </c>
      <c r="LF4" s="12" t="str">
        <f>IF(SUM(LD4:LE4)&gt;0,SUM(LD4:LE4),"")</f>
        <v/>
      </c>
      <c r="LG4" s="12" t="str">
        <f>IF(SUM(KX4:LA4)-LB4&gt;0,SUM(KX4:LA4)-LB4,"")</f>
        <v/>
      </c>
      <c r="LH4" s="12" t="str">
        <f>IF(SUM(LF4,LG4)&gt;0,SUM(LF4,LG4),"")</f>
        <v/>
      </c>
      <c r="LI4" s="46"/>
      <c r="LJ4" s="46"/>
      <c r="LK4" s="46"/>
      <c r="LL4" s="46"/>
      <c r="LM4" s="46"/>
      <c r="LN4" s="46"/>
      <c r="LO4" s="46"/>
      <c r="LP4" s="46"/>
      <c r="LQ4" s="46"/>
      <c r="LR4" s="46"/>
      <c r="LS4" s="46"/>
      <c r="LT4" s="46"/>
      <c r="LU4" s="46"/>
      <c r="LV4" s="46"/>
      <c r="LW4" s="46"/>
      <c r="LX4" s="15" t="str">
        <f>IF(SUM(LP4)&gt;0,SUM(LP4),"")</f>
        <v/>
      </c>
      <c r="LY4" s="15" t="str">
        <f>IF(SUM(LI4:LL4)-LM4&gt;0,SUM(LI4:LL4)-LM4,"")</f>
        <v/>
      </c>
      <c r="LZ4" s="15" t="str">
        <f>IF(SUM(LN4:LQ4)-LR4&gt;0,SUM(LN4:LQ4)-LR4,"")</f>
        <v/>
      </c>
      <c r="MA4" s="15" t="str">
        <f>IF(SUM(LY4:LZ4)&gt;0,SUM(LY4:LZ4),"")</f>
        <v/>
      </c>
      <c r="MB4" s="15" t="str">
        <f>IF(SUM(LS4:LV4)-LW4&gt;0,SUM(LS4:LV4)-LW4,"")</f>
        <v/>
      </c>
      <c r="MC4" s="15" t="str">
        <f>IF(SUM(MA4,MB4)&gt;0,SUM(MA4,MB4),"")</f>
        <v/>
      </c>
    </row>
    <row r="5" spans="1:341" x14ac:dyDescent="0.2">
      <c r="A5" s="6">
        <f>IF(AND(F5="P",H5="P"),SUMPRODUCT((F$4:F$16="P")*(H$4:H$16="P")*(E$4:E$16&gt;E5))+1,IF(H5="P",SUMPRODUCT((F$4:F$16="")*(H$4:H$16="P")*(E$4:E$16&gt;E5))+1+SUMPRODUCT((F$4:F$16="P")*(H$4:H$16="P")),""))</f>
        <v>2</v>
      </c>
      <c r="B5" s="9" t="s">
        <v>103</v>
      </c>
      <c r="C5" s="5" t="s">
        <v>4</v>
      </c>
      <c r="D5" s="31">
        <v>2002</v>
      </c>
      <c r="E5" s="16">
        <f>SUM(J5:R5)</f>
        <v>238.62999999999997</v>
      </c>
      <c r="F5" s="4" t="str">
        <f>IF(OR(AND($AK5&gt;=$AL$19,NOT($AK5=""),$AJ5=""),AND($BG5&gt;=$BH$19,NOT($BG5=""),$BF5=""),AND($CC5&gt;=$CD$19,NOT($CC5=""),$CB5="")),"P","")</f>
        <v/>
      </c>
      <c r="G5" s="4" t="str">
        <f>IF(OR(AND($AK5&gt;=$AL$20,NOT($AK5=""),$AJ5=""),AND($BG5&gt;=$BH$20,NOT($BG5=""),$BF5=""),AND($CC5&gt;=$CD$20,NOT($CC5=""),$CB5="")),"P","")</f>
        <v/>
      </c>
      <c r="H5" s="4" t="str">
        <f>IF(OR(AND($AN5&gt;=$AL$21,NOT($AN5=""),$AJ5=""),AND($BJ5&gt;=$BH$21,NOT($BJ5=""),$BF5=""),AND($CF5&gt;=$CD$21,NOT($CF5=""),$CB5="")),"P","")</f>
        <v>P</v>
      </c>
      <c r="I5" t="str">
        <f>IF(AND(F5="P",OR(AND($AM5&gt;$AL$24,NOT($AM5=""),$AJ5=""),AND($AO5&gt;$AL$24,NOT($AO5=""),$AJ5=""),AND($BI5&gt;$BH$24,NOT($BI5=""),$BF5=""),AND($BK5&gt;$BH$24,NOT($BK5=""),$BF5=""),AND($CE5&gt;$CD$24,NOT($CE5=""),$CB5=""),AND($CG5&gt;$CD$24,NOT($CG5=""),$CB5=""))),"Merit",IF(AND(F5="P",OR(AND($AN5&gt;$AL$23,NOT($AN5=""),$AJ5=""),AND($BJ5&gt;$BH$23,NOT($BJ5=""),$BF5=""),AND($CF5&gt;$CD$23,NOT($CF5=""),$CB5=""))),"Funding",IF(AND(F5="P",OR(AND($AN5&gt;$AL$22,NOT($AN5=""),$AJ5=""),AND($BJ5&gt;$BH$22,NOT($BJ5=""),$BF5=""),AND($CF5&gt;$CD$22,NOT($CF5=""),$CB5=""))),"Worlds Team",IF(AND(F5="P",OR(AND($AN5&gt;$AL$21,NOT($AN5=""),$AJ5=""),AND($BJ5&gt;$BH$21,NOT($BJ5=""),$BF5=""),AND($CF5&gt;$CD$21,NOT($CF5=""),$CB5=""))),"National Team",""))))</f>
        <v/>
      </c>
      <c r="J5" s="15">
        <f>MAX(AN5,BJ5,CF5)</f>
        <v>92.515000000000001</v>
      </c>
      <c r="K5" s="15" t="str">
        <f>IF(J5=CF5,$BM$1,IF(J5=BJ5,$AQ$1,IF(J5=AN5,$U$1,"")))</f>
        <v>2017 Nationals</v>
      </c>
      <c r="L5" s="15">
        <f>IF($J5=$AN5,MAX(BH5,CD5),IF($J5=$BJ5,MAX(AL5,CD5),MAX(AL5,BH5)))</f>
        <v>44.835000000000001</v>
      </c>
      <c r="M5" s="15" t="str">
        <f>IF(AND(L5=CD5,$K5&lt;&gt;$BM$1),$BM$1,IF(AND(L5=BH5,$K5&lt;&gt;$AQ$1),$AQ$1,IF(AND(L5=AL5,$K5&lt;&gt;$U$1),$U$1,"")))</f>
        <v>2018 Nationals</v>
      </c>
      <c r="N5" s="15">
        <f>IF($J5=$AN5,MAX(BI5,CE5),IF($J5=$BJ5,MAX(AM5,CE5),MAX(AM5,BI5)))</f>
        <v>49.72</v>
      </c>
      <c r="O5" s="15" t="str">
        <f>IF(AND(N5=CE5,$K5&lt;&gt;$BM$1),$BM$1,IF(AND(N5=BI5,$K5&lt;&gt;$AQ$1),$AQ$1,IF(AND(N5=AM5,$K5&lt;&gt;$U$1),$U$1,"")))</f>
        <v>2018 Canada Cup</v>
      </c>
      <c r="P5" s="15">
        <f>MAX(AO5,BK5,CG5)</f>
        <v>51.394999999999996</v>
      </c>
      <c r="Q5" s="15" t="str">
        <f>IF(P5=CG5,$BM$1,IF(P5=BK5,$AQ$1,IF(P5=AO5,$U$1,"")))</f>
        <v>2018 Nationals</v>
      </c>
      <c r="R5" s="15">
        <f>IF(MAX(CI5:CK5)&gt;0,MAX(CI5:CK5),"")</f>
        <v>0.16499999999999204</v>
      </c>
      <c r="S5" s="29" t="str">
        <f>IF(R5="","",IF(R5=CI5,"(Vol 1)",IF(R5=CJ5,"(Vol 2)",IF(R5=CK5,"(Final)"))))</f>
        <v>(Vol 2)</v>
      </c>
      <c r="T5" s="15" t="str">
        <f>IF(R5="","",IF(R5=CI5,IF(R5+L5=LY5,$LI$1,IF(R5+L5=LD5,$KN$1,IF(R5+L5=KI5,$JS$1,IF(R5+L5=JN5,$IX$1,IF(R5+L5=IS5,$IC$1,IF(R5+L5=HX5,$HH$1,IF(R5+L5=HC5,$GM$1,IF(R5+L5=GH5,$FR$1,IF(R5+L5=FM5,$EW$1,IF(R5+L5=ER5,$EB$1,IF(R5+L5=DW5,$DG$1,IF(R5+L5=DB5,$CL$1)))))))))))),IF(R5=CJ5,IF(R5+N5=LZ5,$LI$1,IF(R5+N5=LE5,$KN$1,IF(R5+N5=KJ5,$JS$1,IF(R5+N5=JO5,$IX$1,IF(R5+N5=IT5,$IC$1,IF(R5+N5=HY5,$HH$1,IF(R5+N5=HD5,$GM$1,IF(R5+N5=GI5,$FR$1,IF(R5+N5=FN5,$EW$1,IF(R5+N5=ES5,$EB$1,IF(R5+N5=DX5,$DG$1,IF(R5+N5=DC5,$CL$1)))))))))))),IF(R5=CK5,IF(R5+P5=MB5,$LI$1,IF(R5+P5=LG5,$KN$1,IF(R5+P5=KL5,$JS$1,IF(R5+P5=JQ5,$IX$1,IF(R5+P5=IV5,$IC$1,IF(R5+P5=IA5,$HH$1,IF(R5+P5=HF5,$GM$1,IF(R5+P5=GK5,$FR$1,IF(R5+P5=FP5,$EW$1,IF(R5+P5=EU5,$EB$1,IF(R5+P5=DZ5,$DG$1,IF(R5+P5=DE5,$CL$1))))))))))))))))</f>
        <v>2018 World Age Groups (Nov 18)</v>
      </c>
      <c r="U5" s="45">
        <v>16.899999999999999</v>
      </c>
      <c r="V5" s="45">
        <v>9.5</v>
      </c>
      <c r="W5" s="45">
        <v>3.8</v>
      </c>
      <c r="X5" s="45">
        <v>13.98</v>
      </c>
      <c r="Y5" s="45">
        <v>0</v>
      </c>
      <c r="Z5" s="45">
        <v>17.100000000000001</v>
      </c>
      <c r="AA5" s="45">
        <v>8.6999999999999993</v>
      </c>
      <c r="AB5" s="45">
        <v>9.1</v>
      </c>
      <c r="AC5" s="45">
        <v>13.435</v>
      </c>
      <c r="AD5" s="45">
        <v>0</v>
      </c>
      <c r="AE5" s="45">
        <v>16.399999999999999</v>
      </c>
      <c r="AF5" s="45">
        <v>9.3000000000000007</v>
      </c>
      <c r="AG5" s="45">
        <v>9.1</v>
      </c>
      <c r="AH5" s="45">
        <v>13.654999999999999</v>
      </c>
      <c r="AI5" s="45">
        <v>0</v>
      </c>
      <c r="AJ5" s="108"/>
      <c r="AK5" s="12">
        <f>IF(SUM(AB5)&gt;0,SUM(AB5),"")</f>
        <v>9.1</v>
      </c>
      <c r="AL5" s="12">
        <f>IF(SUM(U5:X5)-Y5&gt;0,SUM(U5:X5)-Y5,"")</f>
        <v>44.18</v>
      </c>
      <c r="AM5" s="12">
        <f>IF(SUM(Z5:AC5)-AD5&gt;0,SUM(Z5:AC5)-AD5,"")</f>
        <v>48.335000000000001</v>
      </c>
      <c r="AN5" s="12">
        <f>IF(SUM(AL5:AM5)&gt;0,SUM(AL5:AM5),"")</f>
        <v>92.515000000000001</v>
      </c>
      <c r="AO5" s="12">
        <f>IF(SUM(AE5:AH5)-AI5&gt;0,SUM(AE5:AH5)-AI5,"")</f>
        <v>48.454999999999998</v>
      </c>
      <c r="AP5" s="12">
        <f>IF(SUM(AN5,AO5)&gt;0,SUM(AN5,AO5),"")</f>
        <v>140.97</v>
      </c>
      <c r="AQ5" s="46">
        <v>16.3</v>
      </c>
      <c r="AR5" s="46">
        <v>9.1999999999999993</v>
      </c>
      <c r="AS5" s="46">
        <v>3.8</v>
      </c>
      <c r="AT5" s="46">
        <v>14.355</v>
      </c>
      <c r="AU5" s="46">
        <v>2</v>
      </c>
      <c r="AV5" s="46">
        <v>15.6</v>
      </c>
      <c r="AW5" s="46">
        <v>9.6</v>
      </c>
      <c r="AX5" s="46">
        <v>10.3</v>
      </c>
      <c r="AY5" s="46">
        <v>14.22</v>
      </c>
      <c r="AZ5" s="46">
        <v>0</v>
      </c>
      <c r="BA5" s="46">
        <v>8.1999999999999993</v>
      </c>
      <c r="BB5" s="46">
        <v>4.5</v>
      </c>
      <c r="BC5" s="46">
        <v>5.3</v>
      </c>
      <c r="BD5" s="46">
        <v>7.3150000000000004</v>
      </c>
      <c r="BE5" s="46">
        <v>0</v>
      </c>
      <c r="BF5" s="109"/>
      <c r="BG5" s="15">
        <f>IF(SUM(AX5)&gt;0,SUM(AX5),"")</f>
        <v>10.3</v>
      </c>
      <c r="BH5" s="15">
        <f>IF(SUM(AQ5:AT5)-AU5&gt;0,SUM(AQ5:AT5)-AU5,"")</f>
        <v>41.655000000000001</v>
      </c>
      <c r="BI5" s="15">
        <f>IF(SUM(AV5:AY5)-AZ5&gt;0,SUM(AV5:AY5)-AZ5,"")</f>
        <v>49.72</v>
      </c>
      <c r="BJ5" s="15">
        <f>IF(SUM(BH5:BI5)&gt;0,SUM(BH5:BI5),"")</f>
        <v>91.375</v>
      </c>
      <c r="BK5" s="15">
        <f>IF(SUM(BA5:BD5)-BE5&gt;0,SUM(BA5:BD5)-BE5,"")</f>
        <v>25.315000000000001</v>
      </c>
      <c r="BL5" s="15">
        <f>IF(SUM(BJ5,BK5)&gt;0,SUM(BJ5,BK5),"")</f>
        <v>116.69</v>
      </c>
      <c r="BM5" s="45">
        <v>17.7</v>
      </c>
      <c r="BN5" s="45">
        <v>9.4499999999999993</v>
      </c>
      <c r="BO5" s="45">
        <v>3</v>
      </c>
      <c r="BP5" s="45">
        <v>14.685</v>
      </c>
      <c r="BQ5" s="45">
        <v>0</v>
      </c>
      <c r="BR5" s="45">
        <v>9.4</v>
      </c>
      <c r="BS5" s="45">
        <v>5.75</v>
      </c>
      <c r="BT5" s="45">
        <v>6.5</v>
      </c>
      <c r="BU5" s="45">
        <v>9.01</v>
      </c>
      <c r="BV5" s="45">
        <v>0</v>
      </c>
      <c r="BW5" s="45">
        <v>15.6</v>
      </c>
      <c r="BX5" s="45">
        <v>9.5500000000000007</v>
      </c>
      <c r="BY5" s="45">
        <v>11.4</v>
      </c>
      <c r="BZ5" s="45">
        <v>14.845000000000001</v>
      </c>
      <c r="CA5" s="45">
        <v>0</v>
      </c>
      <c r="CB5" s="108"/>
      <c r="CC5" s="12">
        <f>IF(SUM(BT5)&gt;0,SUM(BT5),"")</f>
        <v>6.5</v>
      </c>
      <c r="CD5" s="12">
        <f>IF(SUM(BM5:BP5)-BQ5&gt;0,SUM(BM5:BP5)-BQ5,"")</f>
        <v>44.835000000000001</v>
      </c>
      <c r="CE5" s="12">
        <f>IF(SUM(BR5:BU5)-BV5&gt;0,SUM(BR5:BU5)-BV5,"")</f>
        <v>30.659999999999997</v>
      </c>
      <c r="CF5" s="12">
        <f>IF(SUM(CD5:CE5)&gt;0,SUM(CD5:CE5),"")</f>
        <v>75.495000000000005</v>
      </c>
      <c r="CG5" s="12">
        <f>IF(SUM(BW5:BZ5)-CA5&gt;0,SUM(BW5:BZ5)-CA5,"")</f>
        <v>51.394999999999996</v>
      </c>
      <c r="CH5" s="12">
        <f>IF(SUM(CF5,CG5)&gt;0,SUM(CF5,CG5),"")</f>
        <v>126.89</v>
      </c>
      <c r="CI5" s="28" t="str">
        <f>IF(MAX(DB5,DW5,ER5,FM5,GH5,HC5,HX5,IS5,JN5,KI5,LD5,LY5)-L5&gt;0.001,MAX(DB5,DW5,ER5,FM5,GH5,HC5,HX5,IS5,JN5,KI5,LD5,LY5)-L5,"")</f>
        <v/>
      </c>
      <c r="CJ5" s="28">
        <f>IF(MAX(DC5,DX5,ES5,FN5,GI5,HD5,HY5,IT5,JO5,KJ5,LE5,LZ5)-N5&gt;0.001,MAX(DC5,DX5,ES5,FN5,GI5,HD5,HY5,IT5,JO5,KJ5,LE5,LZ5)-N5,"")</f>
        <v>0.16499999999999204</v>
      </c>
      <c r="CK5" s="28" t="str">
        <f>IF(MAX(DE5,DZ5,EU5,FP5,GK5,HF5,IA5,IV5,JQ5,KL5,LG5,MB5)-P5&gt;0.001,MAX(DE5,DZ5,EU5,FP5,GK5,HF5,IA5,IV5,JQ5,KL5,LG5,MB5)-P5,"")</f>
        <v/>
      </c>
      <c r="CL5" s="45">
        <v>17.3</v>
      </c>
      <c r="CM5" s="45">
        <v>0</v>
      </c>
      <c r="CN5" s="45">
        <v>9.8000000000000007</v>
      </c>
      <c r="CO5" s="45">
        <v>14.55</v>
      </c>
      <c r="CP5" s="45">
        <v>0</v>
      </c>
      <c r="CQ5" s="45">
        <v>14.9</v>
      </c>
      <c r="CR5" s="45">
        <v>10.3</v>
      </c>
      <c r="CS5" s="45">
        <v>9.1</v>
      </c>
      <c r="CT5" s="45">
        <v>14.49</v>
      </c>
      <c r="CU5" s="45">
        <v>0</v>
      </c>
      <c r="CV5" s="45">
        <v>15.8</v>
      </c>
      <c r="CW5" s="45">
        <v>9.4499999999999993</v>
      </c>
      <c r="CX5" s="45">
        <v>10.1</v>
      </c>
      <c r="CY5" s="45">
        <v>14.965</v>
      </c>
      <c r="CZ5" s="45">
        <v>0</v>
      </c>
      <c r="DA5" s="12">
        <f>IF(SUM(CS5)&gt;0,SUM(CS5),"")</f>
        <v>9.1</v>
      </c>
      <c r="DB5" s="12">
        <f>IF(SUM(CL5:CO5)-CP5&gt;0,SUM(CL5:CO5)-CP5,"")</f>
        <v>41.650000000000006</v>
      </c>
      <c r="DC5" s="12">
        <f>IF(SUM(CQ5:CT5)-CU5&gt;0,SUM(CQ5:CT5)-CU5,"")</f>
        <v>48.790000000000006</v>
      </c>
      <c r="DD5" s="12">
        <f>IF(SUM(DB5:DC5)&gt;0,SUM(DB5:DC5),"")</f>
        <v>90.440000000000012</v>
      </c>
      <c r="DE5" s="12">
        <f>IF(SUM(CV5:CY5)-CZ5&gt;0,SUM(CV5:CY5)-CZ5,"")</f>
        <v>50.314999999999998</v>
      </c>
      <c r="DF5" s="12">
        <f>IF(SUM(DD5,DE5)&gt;0,SUM(DD5,DE5),"")</f>
        <v>140.755</v>
      </c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>
        <v>13.1</v>
      </c>
      <c r="DR5" s="46">
        <v>9.3000000000000007</v>
      </c>
      <c r="DS5" s="46">
        <v>10.3</v>
      </c>
      <c r="DT5" s="46">
        <v>14.455</v>
      </c>
      <c r="DU5" s="46">
        <v>0</v>
      </c>
      <c r="DV5" s="15" t="str">
        <f>IF(SUM(DN5)&gt;0,SUM(DN5),"")</f>
        <v/>
      </c>
      <c r="DW5" s="15" t="str">
        <f>IF(SUM(DG5:DJ5)-DK5&gt;0,SUM(DG5:DJ5)-DK5,"")</f>
        <v/>
      </c>
      <c r="DX5" s="15" t="str">
        <f>IF(SUM(DL5:DO5)-DP5&gt;0,SUM(DL5:DO5)-DP5,"")</f>
        <v/>
      </c>
      <c r="DY5" s="15" t="str">
        <f>IF(SUM(DW5:DX5)&gt;0,SUM(DW5:DX5),"")</f>
        <v/>
      </c>
      <c r="DZ5" s="15">
        <f>IF(SUM(DQ5:DT5)-DU5&gt;0,SUM(DQ5:DT5)-DU5,"")</f>
        <v>47.155000000000001</v>
      </c>
      <c r="EA5" s="15">
        <f>IF(SUM(DY5,DZ5)&gt;0,SUM(DY5,DZ5),"")</f>
        <v>47.155000000000001</v>
      </c>
      <c r="EB5" s="45">
        <v>16.8</v>
      </c>
      <c r="EC5" s="45">
        <v>9.1999999999999993</v>
      </c>
      <c r="ED5" s="45">
        <v>0</v>
      </c>
      <c r="EE5" s="45">
        <v>14.975</v>
      </c>
      <c r="EF5" s="45">
        <v>0</v>
      </c>
      <c r="EG5" s="45">
        <v>15.2</v>
      </c>
      <c r="EH5" s="45">
        <v>8.9</v>
      </c>
      <c r="EI5" s="45">
        <v>10.1</v>
      </c>
      <c r="EJ5" s="45">
        <v>14.82</v>
      </c>
      <c r="EK5" s="45">
        <v>0</v>
      </c>
      <c r="EL5" s="45">
        <v>8.8000000000000007</v>
      </c>
      <c r="EM5" s="45">
        <v>4.5</v>
      </c>
      <c r="EN5" s="45">
        <v>4.5999999999999996</v>
      </c>
      <c r="EO5" s="45">
        <v>8.85</v>
      </c>
      <c r="EP5" s="45">
        <v>0</v>
      </c>
      <c r="EQ5" s="12">
        <f>IF(SUM(EI5)&gt;0,SUM(EI5),"")</f>
        <v>10.1</v>
      </c>
      <c r="ER5" s="12">
        <f>IF(SUM(EB5:EE5)-EF5&gt;0,SUM(EB5:EE5)-EF5,"")</f>
        <v>40.975000000000001</v>
      </c>
      <c r="ES5" s="12">
        <f>IF(SUM(EG5:EJ5)-EK5&gt;0,SUM(EG5:EJ5)-EK5,"")</f>
        <v>49.02</v>
      </c>
      <c r="ET5" s="12">
        <f>IF(SUM(ER5:ES5)&gt;0,SUM(ER5:ES5),"")</f>
        <v>89.995000000000005</v>
      </c>
      <c r="EU5" s="12">
        <f>IF(SUM(EL5:EO5)-EP5&gt;0,SUM(EL5:EO5)-EP5,"")</f>
        <v>26.75</v>
      </c>
      <c r="EV5" s="12">
        <f>IF(SUM(ET5,EU5)&gt;0,SUM(ET5,EU5),"")</f>
        <v>116.745</v>
      </c>
      <c r="EW5" s="46">
        <v>17.399999999999999</v>
      </c>
      <c r="EX5" s="46">
        <v>9</v>
      </c>
      <c r="EY5" s="46">
        <v>0</v>
      </c>
      <c r="EZ5" s="46">
        <v>14.525</v>
      </c>
      <c r="FA5" s="46">
        <v>0</v>
      </c>
      <c r="FB5" s="46">
        <v>15</v>
      </c>
      <c r="FC5" s="46">
        <v>8.9</v>
      </c>
      <c r="FD5" s="46">
        <v>11.7</v>
      </c>
      <c r="FE5" s="46">
        <v>14.285</v>
      </c>
      <c r="FF5" s="46">
        <v>0</v>
      </c>
      <c r="FG5" s="46"/>
      <c r="FH5" s="46"/>
      <c r="FI5" s="46"/>
      <c r="FJ5" s="46"/>
      <c r="FK5" s="46"/>
      <c r="FL5" s="15">
        <f>IF(SUM(FD5)&gt;0,SUM(FD5),"")</f>
        <v>11.7</v>
      </c>
      <c r="FM5" s="15">
        <f>IF(SUM(EW5:EZ5)-FA5&gt;0,SUM(EW5:EZ5)-FA5,"")</f>
        <v>40.924999999999997</v>
      </c>
      <c r="FN5" s="15">
        <f>IF(SUM(FB5:FE5)-FF5&gt;0,SUM(FB5:FE5)-FF5,"")</f>
        <v>49.884999999999991</v>
      </c>
      <c r="FO5" s="15">
        <f>IF(SUM(FM5:FN5)&gt;0,SUM(FM5:FN5),"")</f>
        <v>90.809999999999988</v>
      </c>
      <c r="FP5" s="15" t="str">
        <f>IF(SUM(FG5:FJ5)-FK5&gt;0,SUM(FG5:FJ5)-FK5,"")</f>
        <v/>
      </c>
      <c r="FQ5" s="15">
        <f>IF(SUM(FO5,FP5)&gt;0,SUM(FO5,FP5),"")</f>
        <v>90.809999999999988</v>
      </c>
      <c r="FR5" s="45"/>
      <c r="FS5" s="45"/>
      <c r="FT5" s="45"/>
      <c r="FU5" s="45"/>
      <c r="FV5" s="45"/>
      <c r="FW5" s="45"/>
      <c r="FX5" s="45"/>
      <c r="FY5" s="45"/>
      <c r="FZ5" s="45"/>
      <c r="GA5" s="45"/>
      <c r="GB5" s="45"/>
      <c r="GC5" s="45"/>
      <c r="GD5" s="45"/>
      <c r="GE5" s="45"/>
      <c r="GF5" s="45"/>
      <c r="GG5" s="12" t="str">
        <f>IF(SUM(FY5)&gt;0,SUM(FY5),"")</f>
        <v/>
      </c>
      <c r="GH5" s="12" t="str">
        <f>IF(SUM(FR5:FU5)-FV5&gt;0,SUM(FR5:FU5)-FV5,"")</f>
        <v/>
      </c>
      <c r="GI5" s="12" t="str">
        <f>IF(SUM(FW5:FZ5)-GA5&gt;0,SUM(FW5:FZ5)-GA5,"")</f>
        <v/>
      </c>
      <c r="GJ5" s="12" t="str">
        <f>IF(SUM(GH5:GI5)&gt;0,SUM(GH5:GI5),"")</f>
        <v/>
      </c>
      <c r="GK5" s="12" t="str">
        <f>IF(SUM(GB5:GE5)-GF5&gt;0,SUM(GB5:GE5)-GF5,"")</f>
        <v/>
      </c>
      <c r="GL5" s="12" t="str">
        <f>IF(SUM(GJ5,GK5)&gt;0,SUM(GJ5,GK5),"")</f>
        <v/>
      </c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15" t="str">
        <f>IF(SUM(GT5)&gt;0,SUM(GT5),"")</f>
        <v/>
      </c>
      <c r="HC5" s="15" t="str">
        <f>IF(SUM(GM5:GP5)-GQ5&gt;0,SUM(GM5:GP5)-GQ5,"")</f>
        <v/>
      </c>
      <c r="HD5" s="15" t="str">
        <f>IF(SUM(GR5:GU5)-GV5&gt;0,SUM(GR5:GU5)-GV5,"")</f>
        <v/>
      </c>
      <c r="HE5" s="15" t="str">
        <f>IF(SUM(HC5:HD5)&gt;0,SUM(HC5:HD5),"")</f>
        <v/>
      </c>
      <c r="HF5" s="15" t="str">
        <f>IF(SUM(GW5:GZ5)-HA5&gt;0,SUM(GW5:GZ5)-HA5,"")</f>
        <v/>
      </c>
      <c r="HG5" s="15" t="str">
        <f>IF(SUM(HE5,HF5)&gt;0,SUM(HE5,HF5),"")</f>
        <v/>
      </c>
      <c r="HH5" s="45"/>
      <c r="HI5" s="45"/>
      <c r="HJ5" s="45"/>
      <c r="HK5" s="45"/>
      <c r="HL5" s="45"/>
      <c r="HM5" s="45"/>
      <c r="HN5" s="45"/>
      <c r="HO5" s="45"/>
      <c r="HP5" s="45"/>
      <c r="HQ5" s="45"/>
      <c r="HR5" s="45"/>
      <c r="HS5" s="45"/>
      <c r="HT5" s="45"/>
      <c r="HU5" s="45"/>
      <c r="HV5" s="45"/>
      <c r="HW5" s="12" t="str">
        <f>IF(SUM(HO5)&gt;0,SUM(HO5),"")</f>
        <v/>
      </c>
      <c r="HX5" s="12" t="str">
        <f>IF(SUM(HH5:HK5)-HL5&gt;0,SUM(HH5:HK5)-HL5,"")</f>
        <v/>
      </c>
      <c r="HY5" s="12" t="str">
        <f>IF(SUM(HM5:HP5)-HQ5&gt;0,SUM(HM5:HP5)-HQ5,"")</f>
        <v/>
      </c>
      <c r="HZ5" s="12" t="str">
        <f>IF(SUM(HX5:HY5)&gt;0,SUM(HX5:HY5),"")</f>
        <v/>
      </c>
      <c r="IA5" s="12" t="str">
        <f>IF(SUM(HR5:HU5)-HV5&gt;0,SUM(HR5:HU5)-HV5,"")</f>
        <v/>
      </c>
      <c r="IB5" s="12" t="str">
        <f>IF(SUM(HZ5,IA5)&gt;0,SUM(HZ5,IA5),"")</f>
        <v/>
      </c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15" t="str">
        <f>IF(SUM(IJ5)&gt;0,SUM(IJ5),"")</f>
        <v/>
      </c>
      <c r="IS5" s="15" t="str">
        <f>IF(SUM(IC5:IF5)-IG5&gt;0,SUM(IC5:IF5)-IG5,"")</f>
        <v/>
      </c>
      <c r="IT5" s="15" t="str">
        <f>IF(SUM(IH5:IK5)-IL5&gt;0,SUM(IH5:IK5)-IL5,"")</f>
        <v/>
      </c>
      <c r="IU5" s="15" t="str">
        <f>IF(SUM(IS5:IT5)&gt;0,SUM(IS5:IT5),"")</f>
        <v/>
      </c>
      <c r="IV5" s="15" t="str">
        <f>IF(SUM(IM5:IP5)-IQ5&gt;0,SUM(IM5:IP5)-IQ5,"")</f>
        <v/>
      </c>
      <c r="IW5" s="15" t="str">
        <f>IF(SUM(IU5,IV5)&gt;0,SUM(IU5,IV5),"")</f>
        <v/>
      </c>
      <c r="IX5" s="45"/>
      <c r="IY5" s="45"/>
      <c r="IZ5" s="45"/>
      <c r="JA5" s="45"/>
      <c r="JB5" s="45"/>
      <c r="JC5" s="45"/>
      <c r="JD5" s="45"/>
      <c r="JE5" s="45"/>
      <c r="JF5" s="45"/>
      <c r="JG5" s="45"/>
      <c r="JH5" s="45"/>
      <c r="JI5" s="45"/>
      <c r="JJ5" s="45"/>
      <c r="JK5" s="45"/>
      <c r="JL5" s="45"/>
      <c r="JM5" s="12" t="str">
        <f>IF(SUM(JE5)&gt;0,SUM(JE5),"")</f>
        <v/>
      </c>
      <c r="JN5" s="12" t="str">
        <f>IF(SUM(IX5:JA5)-JB5&gt;0,SUM(IX5:JA5)-JB5,"")</f>
        <v/>
      </c>
      <c r="JO5" s="12" t="str">
        <f>IF(SUM(JC5:JF5)-JG5&gt;0,SUM(JC5:JF5)-JG5,"")</f>
        <v/>
      </c>
      <c r="JP5" s="12" t="str">
        <f>IF(SUM(JN5:JO5)&gt;0,SUM(JN5:JO5),"")</f>
        <v/>
      </c>
      <c r="JQ5" s="12" t="str">
        <f>IF(SUM(JH5:JK5)-JL5&gt;0,SUM(JH5:JK5)-JL5,"")</f>
        <v/>
      </c>
      <c r="JR5" s="12" t="str">
        <f>IF(SUM(JP5,JQ5)&gt;0,SUM(JP5,JQ5),"")</f>
        <v/>
      </c>
      <c r="JS5" s="46"/>
      <c r="JT5" s="46"/>
      <c r="JU5" s="46"/>
      <c r="JV5" s="46"/>
      <c r="JW5" s="46"/>
      <c r="JX5" s="46"/>
      <c r="JY5" s="46"/>
      <c r="JZ5" s="46"/>
      <c r="KA5" s="46"/>
      <c r="KB5" s="46"/>
      <c r="KC5" s="46"/>
      <c r="KD5" s="46"/>
      <c r="KE5" s="46"/>
      <c r="KF5" s="46"/>
      <c r="KG5" s="46"/>
      <c r="KH5" s="15" t="str">
        <f>IF(SUM(JZ5)&gt;0,SUM(JZ5),"")</f>
        <v/>
      </c>
      <c r="KI5" s="15" t="str">
        <f>IF(SUM(JS5:JV5)-JW5&gt;0,SUM(JS5:JV5)-JW5,"")</f>
        <v/>
      </c>
      <c r="KJ5" s="15" t="str">
        <f>IF(SUM(JX5:KA5)-KB5&gt;0,SUM(JX5:KA5)-KB5,"")</f>
        <v/>
      </c>
      <c r="KK5" s="15" t="str">
        <f>IF(SUM(KI5:KJ5)&gt;0,SUM(KI5:KJ5),"")</f>
        <v/>
      </c>
      <c r="KL5" s="15" t="str">
        <f>IF(SUM(KC5:KF5)-KG5&gt;0,SUM(KC5:KF5)-KG5,"")</f>
        <v/>
      </c>
      <c r="KM5" s="15" t="str">
        <f>IF(SUM(KK5,KL5)&gt;0,SUM(KK5,KL5),"")</f>
        <v/>
      </c>
      <c r="KN5" s="45"/>
      <c r="KO5" s="45"/>
      <c r="KP5" s="45"/>
      <c r="KQ5" s="45"/>
      <c r="KR5" s="45"/>
      <c r="KS5" s="45"/>
      <c r="KT5" s="45"/>
      <c r="KU5" s="45"/>
      <c r="KV5" s="45"/>
      <c r="KW5" s="45"/>
      <c r="KX5" s="45"/>
      <c r="KY5" s="45"/>
      <c r="KZ5" s="45"/>
      <c r="LA5" s="45"/>
      <c r="LB5" s="45"/>
      <c r="LC5" s="12" t="str">
        <f>IF(SUM(KU5)&gt;0,SUM(KU5),"")</f>
        <v/>
      </c>
      <c r="LD5" s="12" t="str">
        <f>IF(SUM(KN5:KQ5)-KR5&gt;0,SUM(KN5:KQ5)-KR5,"")</f>
        <v/>
      </c>
      <c r="LE5" s="12" t="str">
        <f>IF(SUM(KS5:KV5)-KW5&gt;0,SUM(KS5:KV5)-KW5,"")</f>
        <v/>
      </c>
      <c r="LF5" s="12" t="str">
        <f>IF(SUM(LD5:LE5)&gt;0,SUM(LD5:LE5),"")</f>
        <v/>
      </c>
      <c r="LG5" s="12" t="str">
        <f>IF(SUM(KX5:LA5)-LB5&gt;0,SUM(KX5:LA5)-LB5,"")</f>
        <v/>
      </c>
      <c r="LH5" s="12" t="str">
        <f>IF(SUM(LF5,LG5)&gt;0,SUM(LF5,LG5),"")</f>
        <v/>
      </c>
      <c r="LI5" s="46"/>
      <c r="LJ5" s="46"/>
      <c r="LK5" s="46"/>
      <c r="LL5" s="46"/>
      <c r="LM5" s="46"/>
      <c r="LN5" s="46"/>
      <c r="LO5" s="46"/>
      <c r="LP5" s="46"/>
      <c r="LQ5" s="46"/>
      <c r="LR5" s="46"/>
      <c r="LS5" s="46"/>
      <c r="LT5" s="46"/>
      <c r="LU5" s="46"/>
      <c r="LV5" s="46"/>
      <c r="LW5" s="46"/>
      <c r="LX5" s="15" t="str">
        <f>IF(SUM(LP5)&gt;0,SUM(LP5),"")</f>
        <v/>
      </c>
      <c r="LY5" s="15" t="str">
        <f>IF(SUM(LI5:LL5)-LM5&gt;0,SUM(LI5:LL5)-LM5,"")</f>
        <v/>
      </c>
      <c r="LZ5" s="15" t="str">
        <f>IF(SUM(LN5:LQ5)-LR5&gt;0,SUM(LN5:LQ5)-LR5,"")</f>
        <v/>
      </c>
      <c r="MA5" s="15" t="str">
        <f>IF(SUM(LY5:LZ5)&gt;0,SUM(LY5:LZ5),"")</f>
        <v/>
      </c>
      <c r="MB5" s="15" t="str">
        <f>IF(SUM(LS5:LV5)-LW5&gt;0,SUM(LS5:LV5)-LW5,"")</f>
        <v/>
      </c>
      <c r="MC5" s="15" t="str">
        <f>IF(SUM(MA5,MB5)&gt;0,SUM(MA5,MB5),"")</f>
        <v/>
      </c>
    </row>
    <row r="6" spans="1:341" x14ac:dyDescent="0.2">
      <c r="A6" s="6">
        <f>IF(AND(F6="P",H6="P"),SUMPRODUCT((F$4:F$16="P")*(H$4:H$16="P")*(E$4:E$16&gt;E6))+1,IF(H6="P",SUMPRODUCT((F$4:F$16="")*(H$4:H$16="P")*(E$4:E$16&gt;E6))+1+SUMPRODUCT((F$4:F$16="P")*(H$4:H$16="P")),""))</f>
        <v>3</v>
      </c>
      <c r="B6" s="9" t="s">
        <v>98</v>
      </c>
      <c r="C6" s="5" t="s">
        <v>5</v>
      </c>
      <c r="D6" s="31">
        <v>2002</v>
      </c>
      <c r="E6" s="16">
        <f>SUM(J6:R6)</f>
        <v>235.33500000000001</v>
      </c>
      <c r="F6" s="4" t="str">
        <f>IF(OR(AND($AK6&gt;=$AL$19,NOT($AK6=""),$AJ6=""),AND($BG6&gt;=$BH$19,NOT($BG6=""),$BF6=""),AND($CC6&gt;=$CD$19,NOT($CC6=""),$CB6="")),"P","")</f>
        <v/>
      </c>
      <c r="G6" s="4" t="str">
        <f>IF(OR(AND($AK6&gt;=$AL$20,NOT($AK6=""),$AJ6=""),AND($BG6&gt;=$BH$20,NOT($BG6=""),$BF6=""),AND($CC6&gt;=$CD$20,NOT($CC6=""),$CB6="")),"P","")</f>
        <v/>
      </c>
      <c r="H6" s="4" t="str">
        <f>IF(OR(AND($AN6&gt;=$AL$21,NOT($AN6=""),$AJ6=""),AND($BJ6&gt;=$BH$21,NOT($BJ6=""),$BF6=""),AND($CF6&gt;=$CD$21,NOT($CF6=""),$CB6="")),"P","")</f>
        <v>P</v>
      </c>
      <c r="I6" t="str">
        <f>IF(AND(F6="P",OR(AND($AM6&gt;$AL$24,NOT($AM6=""),$AJ6=""),AND($AO6&gt;$AL$24,NOT($AO6=""),$AJ6=""),AND($BI6&gt;$BH$24,NOT($BI6=""),$BF6=""),AND($BK6&gt;$BH$24,NOT($BK6=""),$BF6=""),AND($CE6&gt;$CD$24,NOT($CE6=""),$CB6=""),AND($CG6&gt;$CD$24,NOT($CG6=""),$CB6=""))),"Merit",IF(AND(F6="P",OR(AND($AN6&gt;$AL$23,NOT($AN6=""),$AJ6=""),AND($BJ6&gt;$BH$23,NOT($BJ6=""),$BF6=""),AND($CF6&gt;$CD$23,NOT($CF6=""),$CB6=""))),"Funding",IF(AND(F6="P",OR(AND($AN6&gt;$AL$22,NOT($AN6=""),$AJ6=""),AND($BJ6&gt;$BH$22,NOT($BJ6=""),$BF6=""),AND($CF6&gt;$CD$22,NOT($CF6=""),$CB6=""))),"Worlds Team",IF(AND(F6="P",OR(AND($AN6&gt;$AL$21,NOT($AN6=""),$AJ6=""),AND($BJ6&gt;$BH$21,NOT($BJ6=""),$BF6=""),AND($CF6&gt;$CD$21,NOT($CF6=""),$CB6=""))),"National Team",""))))</f>
        <v/>
      </c>
      <c r="J6" s="15">
        <f>MAX(AN6,BJ6,CF6)</f>
        <v>92.259999999999991</v>
      </c>
      <c r="K6" s="15" t="str">
        <f>IF(J6=CF6,$BM$1,IF(J6=BJ6,$AQ$1,IF(J6=AN6,$U$1,"")))</f>
        <v>2018 Canada Cup</v>
      </c>
      <c r="L6" s="15">
        <f>IF($J6=$AN6,MAX(BH6,CD6),IF($J6=$BJ6,MAX(AL6,CD6),MAX(AL6,BH6)))</f>
        <v>44.115000000000002</v>
      </c>
      <c r="M6" s="15" t="str">
        <f>IF(AND(L6=CD6,$K6&lt;&gt;$BM$1),$BM$1,IF(AND(L6=BH6,$K6&lt;&gt;$AQ$1),$AQ$1,IF(AND(L6=AL6,$K6&lt;&gt;$U$1),$U$1,"")))</f>
        <v>2018 Nationals</v>
      </c>
      <c r="N6" s="15">
        <f>IF($J6=$AN6,MAX(BI6,CE6),IF($J6=$BJ6,MAX(AM6,CE6),MAX(AM6,BI6)))</f>
        <v>47.97</v>
      </c>
      <c r="O6" s="15" t="str">
        <f>IF(AND(N6=CE6,$K6&lt;&gt;$BM$1),$BM$1,IF(AND(N6=BI6,$K6&lt;&gt;$AQ$1),$AQ$1,IF(AND(N6=AM6,$K6&lt;&gt;$U$1),$U$1,"")))</f>
        <v>2018 Nationals</v>
      </c>
      <c r="P6" s="15">
        <f>MAX(AO6,BK6,CG6)</f>
        <v>50.084999999999994</v>
      </c>
      <c r="Q6" s="15" t="str">
        <f>IF(P6=CG6,$BM$1,IF(P6=BK6,$AQ$1,IF(P6=AO6,$U$1,"")))</f>
        <v>2018 Canada Cup</v>
      </c>
      <c r="R6" s="15">
        <f>IF(MAX(CI6:CK6)&gt;0,MAX(CI6:CK6),"")</f>
        <v>0.90500000000000114</v>
      </c>
      <c r="S6" s="29" t="str">
        <f>IF(R6="","",IF(R6=CI6,"(Vol 1)",IF(R6=CJ6,"(Vol 2)",IF(R6=CK6,"(Final)"))))</f>
        <v>(Vol 2)</v>
      </c>
      <c r="T6" s="15" t="str">
        <f>IF(R6="","",IF(R6=CI6,IF(R6+L6=LY6,$LI$1,IF(R6+L6=LD6,$KN$1,IF(R6+L6=KI6,$JS$1,IF(R6+L6=JN6,$IX$1,IF(R6+L6=IS6,$IC$1,IF(R6+L6=HX6,$HH$1,IF(R6+L6=HC6,$GM$1,IF(R6+L6=GH6,$FR$1,IF(R6+L6=FM6,$EW$1,IF(R6+L6=ER6,$EB$1,IF(R6+L6=DW6,$DG$1,IF(R6+L6=DB6,$CL$1)))))))))))),IF(R6=CJ6,IF(R6+N6=LZ6,$LI$1,IF(R6+N6=LE6,$KN$1,IF(R6+N6=KJ6,$JS$1,IF(R6+N6=JO6,$IX$1,IF(R6+N6=IT6,$IC$1,IF(R6+N6=HY6,$HH$1,IF(R6+N6=HD6,$GM$1,IF(R6+N6=GI6,$FR$1,IF(R6+N6=FN6,$EW$1,IF(R6+N6=ES6,$EB$1,IF(R6+N6=DX6,$DG$1,IF(R6+N6=DC6,$CL$1)))))))))))),IF(R6=CK6,IF(R6+P6=MB6,$LI$1,IF(R6+P6=LG6,$KN$1,IF(R6+P6=KL6,$JS$1,IF(R6+P6=JQ6,$IX$1,IF(R6+P6=IV6,$IC$1,IF(R6+P6=IA6,$HH$1,IF(R6+P6=HF6,$GM$1,IF(R6+P6=GK6,$FR$1,IF(R6+P6=FP6,$EW$1,IF(R6+P6=EU6,$EB$1,IF(R6+P6=DZ6,$DG$1,IF(R6+P6=DE6,$CL$1))))))))))))))))</f>
        <v>2018 World Age Groups (Nov 18)</v>
      </c>
      <c r="U6" s="45">
        <v>17.3</v>
      </c>
      <c r="V6" s="45">
        <v>9.1</v>
      </c>
      <c r="W6" s="45">
        <v>3.5</v>
      </c>
      <c r="X6" s="45">
        <v>13.625</v>
      </c>
      <c r="Y6" s="45">
        <v>0</v>
      </c>
      <c r="Z6" s="45">
        <v>14.3</v>
      </c>
      <c r="AA6" s="45">
        <v>8.9</v>
      </c>
      <c r="AB6" s="45">
        <v>10.1</v>
      </c>
      <c r="AC6" s="45">
        <v>13.28</v>
      </c>
      <c r="AD6" s="45">
        <v>0</v>
      </c>
      <c r="AE6" s="45">
        <v>16.899999999999999</v>
      </c>
      <c r="AF6" s="45">
        <v>9.1</v>
      </c>
      <c r="AG6" s="45">
        <v>9.6</v>
      </c>
      <c r="AH6" s="45">
        <v>13.44</v>
      </c>
      <c r="AI6" s="45">
        <v>0</v>
      </c>
      <c r="AJ6" s="108"/>
      <c r="AK6" s="12">
        <f>IF(SUM(AB6)&gt;0,SUM(AB6),"")</f>
        <v>10.1</v>
      </c>
      <c r="AL6" s="12">
        <f>IF(SUM(U6:X6)-Y6&gt;0,SUM(U6:X6)-Y6,"")</f>
        <v>43.524999999999999</v>
      </c>
      <c r="AM6" s="12">
        <f>IF(SUM(Z6:AC6)-AD6&gt;0,SUM(Z6:AC6)-AD6,"")</f>
        <v>46.580000000000005</v>
      </c>
      <c r="AN6" s="12">
        <f>IF(SUM(AL6:AM6)&gt;0,SUM(AL6:AM6),"")</f>
        <v>90.105000000000004</v>
      </c>
      <c r="AO6" s="12">
        <f>IF(SUM(AE6:AH6)-AI6&gt;0,SUM(AE6:AH6)-AI6,"")</f>
        <v>49.04</v>
      </c>
      <c r="AP6" s="12">
        <f>IF(SUM(AN6,AO6)&gt;0,SUM(AN6,AO6),"")</f>
        <v>139.14500000000001</v>
      </c>
      <c r="AQ6" s="46">
        <v>17.3</v>
      </c>
      <c r="AR6" s="46">
        <v>9.1999999999999993</v>
      </c>
      <c r="AS6" s="46">
        <v>3.4</v>
      </c>
      <c r="AT6" s="46">
        <v>14.58</v>
      </c>
      <c r="AU6" s="46">
        <v>0</v>
      </c>
      <c r="AV6" s="46">
        <v>15.6</v>
      </c>
      <c r="AW6" s="46">
        <v>9.35</v>
      </c>
      <c r="AX6" s="46">
        <v>9.1999999999999993</v>
      </c>
      <c r="AY6" s="46">
        <v>13.63</v>
      </c>
      <c r="AZ6" s="46">
        <v>0</v>
      </c>
      <c r="BA6" s="46">
        <v>16.8</v>
      </c>
      <c r="BB6" s="46">
        <v>9.6</v>
      </c>
      <c r="BC6" s="46">
        <v>9.6999999999999993</v>
      </c>
      <c r="BD6" s="46">
        <v>13.984999999999999</v>
      </c>
      <c r="BE6" s="46">
        <v>0</v>
      </c>
      <c r="BF6" s="109"/>
      <c r="BG6" s="15">
        <f>IF(SUM(AX6)&gt;0,SUM(AX6),"")</f>
        <v>9.1999999999999993</v>
      </c>
      <c r="BH6" s="15">
        <f>IF(SUM(AQ6:AT6)-AU6&gt;0,SUM(AQ6:AT6)-AU6,"")</f>
        <v>44.48</v>
      </c>
      <c r="BI6" s="15">
        <f>IF(SUM(AV6:AY6)-AZ6&gt;0,SUM(AV6:AY6)-AZ6,"")</f>
        <v>47.78</v>
      </c>
      <c r="BJ6" s="15">
        <f>IF(SUM(BH6:BI6)&gt;0,SUM(BH6:BI6),"")</f>
        <v>92.259999999999991</v>
      </c>
      <c r="BK6" s="15">
        <f>IF(SUM(BA6:BD6)-BE6&gt;0,SUM(BA6:BD6)-BE6,"")</f>
        <v>50.084999999999994</v>
      </c>
      <c r="BL6" s="15">
        <f>IF(SUM(BJ6,BK6)&gt;0,SUM(BJ6,BK6),"")</f>
        <v>142.34499999999997</v>
      </c>
      <c r="BM6" s="45">
        <v>16.899999999999999</v>
      </c>
      <c r="BN6" s="45">
        <v>9.6</v>
      </c>
      <c r="BO6" s="45">
        <v>3.1</v>
      </c>
      <c r="BP6" s="45">
        <v>14.515000000000001</v>
      </c>
      <c r="BQ6" s="45">
        <v>0</v>
      </c>
      <c r="BR6" s="45">
        <v>15.7</v>
      </c>
      <c r="BS6" s="45">
        <v>9.15</v>
      </c>
      <c r="BT6" s="45">
        <v>9.1</v>
      </c>
      <c r="BU6" s="45">
        <v>14.02</v>
      </c>
      <c r="BV6" s="45">
        <v>0</v>
      </c>
      <c r="BW6" s="45">
        <v>16.899999999999999</v>
      </c>
      <c r="BX6" s="45">
        <v>8.75</v>
      </c>
      <c r="BY6" s="45">
        <v>9.6999999999999993</v>
      </c>
      <c r="BZ6" s="45">
        <v>14.13</v>
      </c>
      <c r="CA6" s="45">
        <v>0</v>
      </c>
      <c r="CB6" s="108"/>
      <c r="CC6" s="12">
        <f>IF(SUM(BT6)&gt;0,SUM(BT6),"")</f>
        <v>9.1</v>
      </c>
      <c r="CD6" s="12">
        <f>IF(SUM(BM6:BP6)-BQ6&gt;0,SUM(BM6:BP6)-BQ6,"")</f>
        <v>44.115000000000002</v>
      </c>
      <c r="CE6" s="12">
        <f>IF(SUM(BR6:BU6)-BV6&gt;0,SUM(BR6:BU6)-BV6,"")</f>
        <v>47.97</v>
      </c>
      <c r="CF6" s="12">
        <f>IF(SUM(CD6:CE6)&gt;0,SUM(CD6:CE6),"")</f>
        <v>92.085000000000008</v>
      </c>
      <c r="CG6" s="12">
        <f>IF(SUM(BW6:BZ6)-CA6&gt;0,SUM(BW6:BZ6)-CA6,"")</f>
        <v>49.48</v>
      </c>
      <c r="CH6" s="12">
        <f>IF(SUM(CF6,CG6)&gt;0,SUM(CF6,CG6),"")</f>
        <v>141.565</v>
      </c>
      <c r="CI6" s="28" t="str">
        <f>IF(MAX(DB6,DW6,ER6,FM6,GH6,HC6,HX6,IS6,JN6,KI6,LD6,LY6)-L6&gt;0.001,MAX(DB6,DW6,ER6,FM6,GH6,HC6,HX6,IS6,JN6,KI6,LD6,LY6)-L6,"")</f>
        <v/>
      </c>
      <c r="CJ6" s="28">
        <f>IF(MAX(DC6,DX6,ES6,FN6,GI6,HD6,HY6,IT6,JO6,KJ6,LE6,LZ6)-N6&gt;0.001,MAX(DC6,DX6,ES6,FN6,GI6,HD6,HY6,IT6,JO6,KJ6,LE6,LZ6)-N6,"")</f>
        <v>0.90500000000000114</v>
      </c>
      <c r="CK6" s="28" t="str">
        <f>IF(MAX(DE6,DZ6,EU6,FP6,GK6,HF6,IA6,IV6,JQ6,KL6,LG6,MB6)-P6&gt;0.001,MAX(DE6,DZ6,EU6,FP6,GK6,HF6,IA6,IV6,JQ6,KL6,LG6,MB6)-P6,"")</f>
        <v/>
      </c>
      <c r="CL6" s="45">
        <v>17.100000000000001</v>
      </c>
      <c r="CM6" s="45">
        <v>0</v>
      </c>
      <c r="CN6" s="45">
        <v>9.15</v>
      </c>
      <c r="CO6" s="45">
        <v>14.744999999999999</v>
      </c>
      <c r="CP6" s="45">
        <v>0</v>
      </c>
      <c r="CQ6" s="45">
        <v>15.9</v>
      </c>
      <c r="CR6" s="45">
        <v>9.6999999999999993</v>
      </c>
      <c r="CS6" s="45">
        <v>8.9499999999999993</v>
      </c>
      <c r="CT6" s="45">
        <v>14.035</v>
      </c>
      <c r="CU6" s="45">
        <v>0</v>
      </c>
      <c r="CV6" s="45"/>
      <c r="CW6" s="45"/>
      <c r="CX6" s="45"/>
      <c r="CY6" s="45"/>
      <c r="CZ6" s="45"/>
      <c r="DA6" s="12">
        <f>IF(SUM(CS6)&gt;0,SUM(CS6),"")</f>
        <v>8.9499999999999993</v>
      </c>
      <c r="DB6" s="12">
        <f>IF(SUM(CL6:CO6)-CP6&gt;0,SUM(CL6:CO6)-CP6,"")</f>
        <v>40.994999999999997</v>
      </c>
      <c r="DC6" s="12">
        <f>IF(SUM(CQ6:CT6)-CU6&gt;0,SUM(CQ6:CT6)-CU6,"")</f>
        <v>48.584999999999994</v>
      </c>
      <c r="DD6" s="12">
        <f>IF(SUM(DB6:DC6)&gt;0,SUM(DB6:DC6),"")</f>
        <v>89.579999999999984</v>
      </c>
      <c r="DE6" s="12" t="str">
        <f>IF(SUM(CV6:CY6)-CZ6&gt;0,SUM(CV6:CY6)-CZ6,"")</f>
        <v/>
      </c>
      <c r="DF6" s="12">
        <f>IF(SUM(DD6,DE6)&gt;0,SUM(DD6,DE6),"")</f>
        <v>89.579999999999984</v>
      </c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15" t="str">
        <f>IF(SUM(DN6)&gt;0,SUM(DN6),"")</f>
        <v/>
      </c>
      <c r="DW6" s="15" t="str">
        <f>IF(SUM(DG6:DJ6)-DK6&gt;0,SUM(DG6:DJ6)-DK6,"")</f>
        <v/>
      </c>
      <c r="DX6" s="15" t="str">
        <f>IF(SUM(DL6:DO6)-DP6&gt;0,SUM(DL6:DO6)-DP6,"")</f>
        <v/>
      </c>
      <c r="DY6" s="15" t="str">
        <f>IF(SUM(DW6:DX6)&gt;0,SUM(DW6:DX6),"")</f>
        <v/>
      </c>
      <c r="DZ6" s="15" t="str">
        <f>IF(SUM(DQ6:DT6)-DU6&gt;0,SUM(DQ6:DT6)-DU6,"")</f>
        <v/>
      </c>
      <c r="EA6" s="15" t="str">
        <f>IF(SUM(DY6,DZ6)&gt;0,SUM(DY6,DZ6),"")</f>
        <v/>
      </c>
      <c r="EB6" s="45">
        <v>14.5</v>
      </c>
      <c r="EC6" s="45">
        <v>9.1</v>
      </c>
      <c r="ED6" s="45">
        <v>0</v>
      </c>
      <c r="EE6" s="45">
        <v>15.035</v>
      </c>
      <c r="EF6" s="45">
        <v>0</v>
      </c>
      <c r="EG6" s="45">
        <v>0</v>
      </c>
      <c r="EH6" s="45">
        <v>0</v>
      </c>
      <c r="EI6" s="45">
        <v>0</v>
      </c>
      <c r="EJ6" s="45">
        <v>0</v>
      </c>
      <c r="EK6" s="45">
        <v>0</v>
      </c>
      <c r="EL6" s="45"/>
      <c r="EM6" s="45"/>
      <c r="EN6" s="45"/>
      <c r="EO6" s="45"/>
      <c r="EP6" s="45"/>
      <c r="EQ6" s="12" t="str">
        <f>IF(SUM(EI6)&gt;0,SUM(EI6),"")</f>
        <v/>
      </c>
      <c r="ER6" s="12">
        <f>IF(SUM(EB6:EE6)-EF6&gt;0,SUM(EB6:EE6)-EF6,"")</f>
        <v>38.635000000000005</v>
      </c>
      <c r="ES6" s="12" t="str">
        <f>IF(SUM(EG6:EJ6)-EK6&gt;0,SUM(EG6:EJ6)-EK6,"")</f>
        <v/>
      </c>
      <c r="ET6" s="12">
        <f>IF(SUM(ER6:ES6)&gt;0,SUM(ER6:ES6),"")</f>
        <v>38.635000000000005</v>
      </c>
      <c r="EU6" s="12" t="str">
        <f>IF(SUM(EL6:EO6)-EP6&gt;0,SUM(EL6:EO6)-EP6,"")</f>
        <v/>
      </c>
      <c r="EV6" s="12">
        <f>IF(SUM(ET6,EU6)&gt;0,SUM(ET6,EU6),"")</f>
        <v>38.635000000000005</v>
      </c>
      <c r="EW6" s="46">
        <v>16.5</v>
      </c>
      <c r="EX6" s="46">
        <v>9.3000000000000007</v>
      </c>
      <c r="EY6" s="46">
        <v>0</v>
      </c>
      <c r="EZ6" s="46">
        <v>14.47</v>
      </c>
      <c r="FA6" s="46">
        <v>0</v>
      </c>
      <c r="FB6" s="46">
        <v>15.6</v>
      </c>
      <c r="FC6" s="46">
        <v>9.6999999999999993</v>
      </c>
      <c r="FD6" s="46">
        <v>9.5</v>
      </c>
      <c r="FE6" s="46">
        <v>14.074999999999999</v>
      </c>
      <c r="FF6" s="46">
        <v>0</v>
      </c>
      <c r="FG6" s="46"/>
      <c r="FH6" s="46"/>
      <c r="FI6" s="46"/>
      <c r="FJ6" s="46"/>
      <c r="FK6" s="46"/>
      <c r="FL6" s="15">
        <f>IF(SUM(FD6)&gt;0,SUM(FD6),"")</f>
        <v>9.5</v>
      </c>
      <c r="FM6" s="15">
        <f>IF(SUM(EW6:EZ6)-FA6&gt;0,SUM(EW6:EZ6)-FA6,"")</f>
        <v>40.270000000000003</v>
      </c>
      <c r="FN6" s="15">
        <f>IF(SUM(FB6:FE6)-FF6&gt;0,SUM(FB6:FE6)-FF6,"")</f>
        <v>48.875</v>
      </c>
      <c r="FO6" s="15">
        <f>IF(SUM(FM6:FN6)&gt;0,SUM(FM6:FN6),"")</f>
        <v>89.14500000000001</v>
      </c>
      <c r="FP6" s="15" t="str">
        <f>IF(SUM(FG6:FJ6)-FK6&gt;0,SUM(FG6:FJ6)-FK6,"")</f>
        <v/>
      </c>
      <c r="FQ6" s="15">
        <f>IF(SUM(FO6,FP6)&gt;0,SUM(FO6,FP6),"")</f>
        <v>89.14500000000001</v>
      </c>
      <c r="FR6" s="45"/>
      <c r="FS6" s="45"/>
      <c r="FT6" s="45"/>
      <c r="FU6" s="45"/>
      <c r="FV6" s="45"/>
      <c r="FW6" s="45"/>
      <c r="FX6" s="45"/>
      <c r="FY6" s="45"/>
      <c r="FZ6" s="45"/>
      <c r="GA6" s="45"/>
      <c r="GB6" s="45"/>
      <c r="GC6" s="45"/>
      <c r="GD6" s="45"/>
      <c r="GE6" s="45"/>
      <c r="GF6" s="45"/>
      <c r="GG6" s="12" t="str">
        <f>IF(SUM(FY6)&gt;0,SUM(FY6),"")</f>
        <v/>
      </c>
      <c r="GH6" s="12" t="str">
        <f>IF(SUM(FR6:FU6)-FV6&gt;0,SUM(FR6:FU6)-FV6,"")</f>
        <v/>
      </c>
      <c r="GI6" s="12" t="str">
        <f>IF(SUM(FW6:FZ6)-GA6&gt;0,SUM(FW6:FZ6)-GA6,"")</f>
        <v/>
      </c>
      <c r="GJ6" s="12" t="str">
        <f>IF(SUM(GH6:GI6)&gt;0,SUM(GH6:GI6),"")</f>
        <v/>
      </c>
      <c r="GK6" s="12" t="str">
        <f>IF(SUM(GB6:GE6)-GF6&gt;0,SUM(GB6:GE6)-GF6,"")</f>
        <v/>
      </c>
      <c r="GL6" s="12" t="str">
        <f>IF(SUM(GJ6,GK6)&gt;0,SUM(GJ6,GK6),"")</f>
        <v/>
      </c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15" t="str">
        <f>IF(SUM(GT6)&gt;0,SUM(GT6),"")</f>
        <v/>
      </c>
      <c r="HC6" s="15" t="str">
        <f>IF(SUM(GM6:GP6)-GQ6&gt;0,SUM(GM6:GP6)-GQ6,"")</f>
        <v/>
      </c>
      <c r="HD6" s="15" t="str">
        <f>IF(SUM(GR6:GU6)-GV6&gt;0,SUM(GR6:GU6)-GV6,"")</f>
        <v/>
      </c>
      <c r="HE6" s="15" t="str">
        <f>IF(SUM(HC6:HD6)&gt;0,SUM(HC6:HD6),"")</f>
        <v/>
      </c>
      <c r="HF6" s="15" t="str">
        <f>IF(SUM(GW6:GZ6)-HA6&gt;0,SUM(GW6:GZ6)-HA6,"")</f>
        <v/>
      </c>
      <c r="HG6" s="15" t="str">
        <f>IF(SUM(HE6,HF6)&gt;0,SUM(HE6,HF6),"")</f>
        <v/>
      </c>
      <c r="HH6" s="45"/>
      <c r="HI6" s="45"/>
      <c r="HJ6" s="45"/>
      <c r="HK6" s="45"/>
      <c r="HL6" s="45"/>
      <c r="HM6" s="45"/>
      <c r="HN6" s="45"/>
      <c r="HO6" s="45"/>
      <c r="HP6" s="45"/>
      <c r="HQ6" s="45"/>
      <c r="HR6" s="45"/>
      <c r="HS6" s="45"/>
      <c r="HT6" s="45"/>
      <c r="HU6" s="45"/>
      <c r="HV6" s="45"/>
      <c r="HW6" s="12" t="str">
        <f>IF(SUM(HO6)&gt;0,SUM(HO6),"")</f>
        <v/>
      </c>
      <c r="HX6" s="12" t="str">
        <f>IF(SUM(HH6:HK6)-HL6&gt;0,SUM(HH6:HK6)-HL6,"")</f>
        <v/>
      </c>
      <c r="HY6" s="12" t="str">
        <f>IF(SUM(HM6:HP6)-HQ6&gt;0,SUM(HM6:HP6)-HQ6,"")</f>
        <v/>
      </c>
      <c r="HZ6" s="12" t="str">
        <f>IF(SUM(HX6:HY6)&gt;0,SUM(HX6:HY6),"")</f>
        <v/>
      </c>
      <c r="IA6" s="12" t="str">
        <f>IF(SUM(HR6:HU6)-HV6&gt;0,SUM(HR6:HU6)-HV6,"")</f>
        <v/>
      </c>
      <c r="IB6" s="12" t="str">
        <f>IF(SUM(HZ6,IA6)&gt;0,SUM(HZ6,IA6),"")</f>
        <v/>
      </c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15" t="str">
        <f>IF(SUM(IJ6)&gt;0,SUM(IJ6),"")</f>
        <v/>
      </c>
      <c r="IS6" s="15" t="str">
        <f>IF(SUM(IC6:IF6)-IG6&gt;0,SUM(IC6:IF6)-IG6,"")</f>
        <v/>
      </c>
      <c r="IT6" s="15" t="str">
        <f>IF(SUM(IH6:IK6)-IL6&gt;0,SUM(IH6:IK6)-IL6,"")</f>
        <v/>
      </c>
      <c r="IU6" s="15" t="str">
        <f>IF(SUM(IS6:IT6)&gt;0,SUM(IS6:IT6),"")</f>
        <v/>
      </c>
      <c r="IV6" s="15" t="str">
        <f>IF(SUM(IM6:IP6)-IQ6&gt;0,SUM(IM6:IP6)-IQ6,"")</f>
        <v/>
      </c>
      <c r="IW6" s="15" t="str">
        <f>IF(SUM(IU6,IV6)&gt;0,SUM(IU6,IV6),"")</f>
        <v/>
      </c>
      <c r="IX6" s="45"/>
      <c r="IY6" s="45"/>
      <c r="IZ6" s="45"/>
      <c r="JA6" s="45"/>
      <c r="JB6" s="45"/>
      <c r="JC6" s="45"/>
      <c r="JD6" s="45"/>
      <c r="JE6" s="45"/>
      <c r="JF6" s="45"/>
      <c r="JG6" s="45"/>
      <c r="JH6" s="45"/>
      <c r="JI6" s="45"/>
      <c r="JJ6" s="45"/>
      <c r="JK6" s="45"/>
      <c r="JL6" s="45"/>
      <c r="JM6" s="12" t="str">
        <f>IF(SUM(JE6)&gt;0,SUM(JE6),"")</f>
        <v/>
      </c>
      <c r="JN6" s="12" t="str">
        <f>IF(SUM(IX6:JA6)-JB6&gt;0,SUM(IX6:JA6)-JB6,"")</f>
        <v/>
      </c>
      <c r="JO6" s="12" t="str">
        <f>IF(SUM(JC6:JF6)-JG6&gt;0,SUM(JC6:JF6)-JG6,"")</f>
        <v/>
      </c>
      <c r="JP6" s="12" t="str">
        <f>IF(SUM(JN6:JO6)&gt;0,SUM(JN6:JO6),"")</f>
        <v/>
      </c>
      <c r="JQ6" s="12" t="str">
        <f>IF(SUM(JH6:JK6)-JL6&gt;0,SUM(JH6:JK6)-JL6,"")</f>
        <v/>
      </c>
      <c r="JR6" s="12" t="str">
        <f>IF(SUM(JP6,JQ6)&gt;0,SUM(JP6,JQ6),"")</f>
        <v/>
      </c>
      <c r="JS6" s="46"/>
      <c r="JT6" s="46"/>
      <c r="JU6" s="46"/>
      <c r="JV6" s="46"/>
      <c r="JW6" s="46"/>
      <c r="JX6" s="46"/>
      <c r="JY6" s="46"/>
      <c r="JZ6" s="46"/>
      <c r="KA6" s="46"/>
      <c r="KB6" s="46"/>
      <c r="KC6" s="46"/>
      <c r="KD6" s="46"/>
      <c r="KE6" s="46"/>
      <c r="KF6" s="46"/>
      <c r="KG6" s="46"/>
      <c r="KH6" s="15" t="str">
        <f>IF(SUM(JZ6)&gt;0,SUM(JZ6),"")</f>
        <v/>
      </c>
      <c r="KI6" s="15" t="str">
        <f>IF(SUM(JS6:JV6)-JW6&gt;0,SUM(JS6:JV6)-JW6,"")</f>
        <v/>
      </c>
      <c r="KJ6" s="15" t="str">
        <f>IF(SUM(JX6:KA6)-KB6&gt;0,SUM(JX6:KA6)-KB6,"")</f>
        <v/>
      </c>
      <c r="KK6" s="15" t="str">
        <f>IF(SUM(KI6:KJ6)&gt;0,SUM(KI6:KJ6),"")</f>
        <v/>
      </c>
      <c r="KL6" s="15" t="str">
        <f>IF(SUM(KC6:KF6)-KG6&gt;0,SUM(KC6:KF6)-KG6,"")</f>
        <v/>
      </c>
      <c r="KM6" s="15" t="str">
        <f>IF(SUM(KK6,KL6)&gt;0,SUM(KK6,KL6),"")</f>
        <v/>
      </c>
      <c r="KN6" s="45"/>
      <c r="KO6" s="45"/>
      <c r="KP6" s="45"/>
      <c r="KQ6" s="45"/>
      <c r="KR6" s="45"/>
      <c r="KS6" s="45"/>
      <c r="KT6" s="45"/>
      <c r="KU6" s="45"/>
      <c r="KV6" s="45"/>
      <c r="KW6" s="45"/>
      <c r="KX6" s="45"/>
      <c r="KY6" s="45"/>
      <c r="KZ6" s="45"/>
      <c r="LA6" s="45"/>
      <c r="LB6" s="45"/>
      <c r="LC6" s="12" t="str">
        <f>IF(SUM(KU6)&gt;0,SUM(KU6),"")</f>
        <v/>
      </c>
      <c r="LD6" s="12" t="str">
        <f>IF(SUM(KN6:KQ6)-KR6&gt;0,SUM(KN6:KQ6)-KR6,"")</f>
        <v/>
      </c>
      <c r="LE6" s="12" t="str">
        <f>IF(SUM(KS6:KV6)-KW6&gt;0,SUM(KS6:KV6)-KW6,"")</f>
        <v/>
      </c>
      <c r="LF6" s="12" t="str">
        <f>IF(SUM(LD6:LE6)&gt;0,SUM(LD6:LE6),"")</f>
        <v/>
      </c>
      <c r="LG6" s="12" t="str">
        <f>IF(SUM(KX6:LA6)-LB6&gt;0,SUM(KX6:LA6)-LB6,"")</f>
        <v/>
      </c>
      <c r="LH6" s="12" t="str">
        <f>IF(SUM(LF6,LG6)&gt;0,SUM(LF6,LG6),"")</f>
        <v/>
      </c>
      <c r="LI6" s="46"/>
      <c r="LJ6" s="46"/>
      <c r="LK6" s="46"/>
      <c r="LL6" s="46"/>
      <c r="LM6" s="46"/>
      <c r="LN6" s="46"/>
      <c r="LO6" s="46"/>
      <c r="LP6" s="46"/>
      <c r="LQ6" s="46"/>
      <c r="LR6" s="46"/>
      <c r="LS6" s="46"/>
      <c r="LT6" s="46"/>
      <c r="LU6" s="46"/>
      <c r="LV6" s="46"/>
      <c r="LW6" s="46"/>
      <c r="LX6" s="15" t="str">
        <f>IF(SUM(LP6)&gt;0,SUM(LP6),"")</f>
        <v/>
      </c>
      <c r="LY6" s="15" t="str">
        <f>IF(SUM(LI6:LL6)-LM6&gt;0,SUM(LI6:LL6)-LM6,"")</f>
        <v/>
      </c>
      <c r="LZ6" s="15" t="str">
        <f>IF(SUM(LN6:LQ6)-LR6&gt;0,SUM(LN6:LQ6)-LR6,"")</f>
        <v/>
      </c>
      <c r="MA6" s="15" t="str">
        <f>IF(SUM(LY6:LZ6)&gt;0,SUM(LY6:LZ6),"")</f>
        <v/>
      </c>
      <c r="MB6" s="15" t="str">
        <f>IF(SUM(LS6:LV6)-LW6&gt;0,SUM(LS6:LV6)-LW6,"")</f>
        <v/>
      </c>
      <c r="MC6" s="15" t="str">
        <f>IF(SUM(MA6,MB6)&gt;0,SUM(MA6,MB6),"")</f>
        <v/>
      </c>
    </row>
    <row r="7" spans="1:341" x14ac:dyDescent="0.2">
      <c r="A7" s="6">
        <f>IF(AND(F7="P",H7="P"),SUMPRODUCT((F$4:F$16="P")*(H$4:H$16="P")*(E$4:E$16&gt;E7))+1,IF(H7="P",SUMPRODUCT((F$4:F$16="")*(H$4:H$16="P")*(E$4:E$16&gt;E7))+1+SUMPRODUCT((F$4:F$16="P")*(H$4:H$16="P")),""))</f>
        <v>4</v>
      </c>
      <c r="B7" s="9" t="s">
        <v>107</v>
      </c>
      <c r="C7" s="5" t="s">
        <v>5</v>
      </c>
      <c r="D7" s="31">
        <v>2002</v>
      </c>
      <c r="E7" s="16">
        <f>SUM(J7:R7)</f>
        <v>234.92500000000001</v>
      </c>
      <c r="F7" s="4" t="str">
        <f>IF(OR(AND($AK7&gt;=$AL$19,NOT($AK7=""),$AJ7=""),AND($BG7&gt;=$BH$19,NOT($BG7=""),$BF7=""),AND($CC7&gt;=$CD$19,NOT($CC7=""),$CB7="")),"P","")</f>
        <v/>
      </c>
      <c r="G7" s="4" t="str">
        <f>IF(OR(AND($AK7&gt;=$AL$20,NOT($AK7=""),$AJ7=""),AND($BG7&gt;=$BH$20,NOT($BG7=""),$BF7=""),AND($CC7&gt;=$CD$20,NOT($CC7=""),$CB7="")),"P","")</f>
        <v/>
      </c>
      <c r="H7" s="4" t="str">
        <f>IF(OR(AND($AN7&gt;=$AL$21,NOT($AN7=""),$AJ7=""),AND($BJ7&gt;=$BH$21,NOT($BJ7=""),$BF7=""),AND($CF7&gt;=$CD$21,NOT($CF7=""),$CB7="")),"P","")</f>
        <v>P</v>
      </c>
      <c r="I7" t="str">
        <f>IF(AND(F7="P",OR(AND($AM7&gt;$AL$24,NOT($AM7=""),$AJ7=""),AND($AO7&gt;$AL$24,NOT($AO7=""),$AJ7=""),AND($BI7&gt;$BH$24,NOT($BI7=""),$BF7=""),AND($BK7&gt;$BH$24,NOT($BK7=""),$BF7=""),AND($CE7&gt;$CD$24,NOT($CE7=""),$CB7=""),AND($CG7&gt;$CD$24,NOT($CG7=""),$CB7=""))),"Merit",IF(AND(F7="P",OR(AND($AN7&gt;$AL$23,NOT($AN7=""),$AJ7=""),AND($BJ7&gt;$BH$23,NOT($BJ7=""),$BF7=""),AND($CF7&gt;$CD$23,NOT($CF7=""),$CB7=""))),"Funding",IF(AND(F7="P",OR(AND($AN7&gt;$AL$22,NOT($AN7=""),$AJ7=""),AND($BJ7&gt;$BH$22,NOT($BJ7=""),$BF7=""),AND($CF7&gt;$CD$22,NOT($CF7=""),$CB7=""))),"Worlds Team",IF(AND(F7="P",OR(AND($AN7&gt;$AL$21,NOT($AN7=""),$AJ7=""),AND($BJ7&gt;$BH$21,NOT($BJ7=""),$BF7=""),AND($CF7&gt;$CD$21,NOT($CF7=""),$CB7=""))),"National Team",""))))</f>
        <v/>
      </c>
      <c r="J7" s="15">
        <f>MAX(AN7,BJ7,CF7)</f>
        <v>92.544999999999987</v>
      </c>
      <c r="K7" s="15" t="str">
        <f>IF(J7=CF7,$BM$1,IF(J7=BJ7,$AQ$1,IF(J7=AN7,$U$1,"")))</f>
        <v>2017 Nationals</v>
      </c>
      <c r="L7" s="15">
        <f>IF($J7=$AN7,MAX(BH7,CD7),IF($J7=$BJ7,MAX(AL7,CD7),MAX(AL7,BH7)))</f>
        <v>45.16</v>
      </c>
      <c r="M7" s="15" t="str">
        <f>IF(AND(L7=CD7,$K7&lt;&gt;$BM$1),$BM$1,IF(AND(L7=BH7,$K7&lt;&gt;$AQ$1),$AQ$1,IF(AND(L7=AL7,$K7&lt;&gt;$U$1),$U$1,"")))</f>
        <v>2018 Canada Cup</v>
      </c>
      <c r="N7" s="15">
        <f>IF($J7=$AN7,MAX(BI7,CE7),IF($J7=$BJ7,MAX(AM7,CE7),MAX(AM7,BI7)))</f>
        <v>47.46</v>
      </c>
      <c r="O7" s="15" t="str">
        <f>IF(AND(N7=CE7,$K7&lt;&gt;$BM$1),$BM$1,IF(AND(N7=BI7,$K7&lt;&gt;$AQ$1),$AQ$1,IF(AND(N7=AM7,$K7&lt;&gt;$U$1),$U$1,"")))</f>
        <v>2018 Nationals</v>
      </c>
      <c r="P7" s="15">
        <f>MAX(AO7,BK7,CG7)</f>
        <v>49.24</v>
      </c>
      <c r="Q7" s="15" t="str">
        <f>IF(P7=CG7,$BM$1,IF(P7=BK7,$AQ$1,IF(P7=AO7,$U$1,"")))</f>
        <v>2018 Nationals</v>
      </c>
      <c r="R7" s="15">
        <f>IF(MAX(CI7:CK7)&gt;0,MAX(CI7:CK7),"")</f>
        <v>0.52000000000000313</v>
      </c>
      <c r="S7" s="29" t="str">
        <f>IF(R7="","",IF(R7=CI7,"(Vol 1)",IF(R7=CJ7,"(Vol 2)",IF(R7=CK7,"(Final)"))))</f>
        <v>(Vol 2)</v>
      </c>
      <c r="T7" s="15" t="str">
        <f>IF(R7="","",IF(R7=CI7,IF(R7+L7=LY7,$LI$1,IF(R7+L7=LD7,$KN$1,IF(R7+L7=KI7,$JS$1,IF(R7+L7=JN7,$IX$1,IF(R7+L7=IS7,$IC$1,IF(R7+L7=HX7,$HH$1,IF(R7+L7=HC7,$GM$1,IF(R7+L7=GH7,$FR$1,IF(R7+L7=FM7,$EW$1,IF(R7+L7=ER7,$EB$1,IF(R7+L7=DW7,$DG$1,IF(R7+L7=DB7,$CL$1)))))))))))),IF(R7=CJ7,IF(R7+N7=LZ7,$LI$1,IF(R7+N7=LE7,$KN$1,IF(R7+N7=KJ7,$JS$1,IF(R7+N7=JO7,$IX$1,IF(R7+N7=IT7,$IC$1,IF(R7+N7=HY7,$HH$1,IF(R7+N7=HD7,$GM$1,IF(R7+N7=GI7,$FR$1,IF(R7+N7=FN7,$EW$1,IF(R7+N7=ES7,$EB$1,IF(R7+N7=DX7,$DG$1,IF(R7+N7=DC7,$CL$1)))))))))))),IF(R7=CK7,IF(R7+P7=MB7,$LI$1,IF(R7+P7=LG7,$KN$1,IF(R7+P7=KL7,$JS$1,IF(R7+P7=JQ7,$IX$1,IF(R7+P7=IV7,$IC$1,IF(R7+P7=IA7,$HH$1,IF(R7+P7=HF7,$GM$1,IF(R7+P7=GK7,$FR$1,IF(R7+P7=FP7,$EW$1,IF(R7+P7=EU7,$EB$1,IF(R7+P7=DZ7,$DG$1,IF(R7+P7=DE7,$CL$1))))))))))))))))</f>
        <v>2018 World Age Groups (Nov 18)</v>
      </c>
      <c r="U7" s="45">
        <v>16.5</v>
      </c>
      <c r="V7" s="45">
        <v>9.3000000000000007</v>
      </c>
      <c r="W7" s="45">
        <v>3.9</v>
      </c>
      <c r="X7" s="45">
        <v>14.324999999999999</v>
      </c>
      <c r="Y7" s="45">
        <v>0</v>
      </c>
      <c r="Z7" s="45">
        <v>16.100000000000001</v>
      </c>
      <c r="AA7" s="45">
        <v>9.1999999999999993</v>
      </c>
      <c r="AB7" s="45">
        <v>9.1</v>
      </c>
      <c r="AC7" s="45">
        <v>14.12</v>
      </c>
      <c r="AD7" s="45">
        <v>0</v>
      </c>
      <c r="AE7" s="45">
        <v>14.9</v>
      </c>
      <c r="AF7" s="45">
        <v>8.1999999999999993</v>
      </c>
      <c r="AG7" s="45">
        <v>7.9</v>
      </c>
      <c r="AH7" s="45">
        <v>12.635</v>
      </c>
      <c r="AI7" s="45">
        <v>0</v>
      </c>
      <c r="AJ7" s="108"/>
      <c r="AK7" s="12">
        <f>IF(SUM(AB7)&gt;0,SUM(AB7),"")</f>
        <v>9.1</v>
      </c>
      <c r="AL7" s="12">
        <f>IF(SUM(U7:X7)-Y7&gt;0,SUM(U7:X7)-Y7,"")</f>
        <v>44.024999999999999</v>
      </c>
      <c r="AM7" s="12">
        <f>IF(SUM(Z7:AC7)-AD7&gt;0,SUM(Z7:AC7)-AD7,"")</f>
        <v>48.519999999999996</v>
      </c>
      <c r="AN7" s="12">
        <f>IF(SUM(AL7:AM7)&gt;0,SUM(AL7:AM7),"")</f>
        <v>92.544999999999987</v>
      </c>
      <c r="AO7" s="12">
        <f>IF(SUM(AE7:AH7)-AI7&gt;0,SUM(AE7:AH7)-AI7,"")</f>
        <v>43.634999999999998</v>
      </c>
      <c r="AP7" s="12">
        <f>IF(SUM(AN7,AO7)&gt;0,SUM(AN7,AO7),"")</f>
        <v>136.17999999999998</v>
      </c>
      <c r="AQ7" s="46">
        <v>17.2</v>
      </c>
      <c r="AR7" s="46">
        <v>9.35</v>
      </c>
      <c r="AS7" s="46">
        <v>3.4</v>
      </c>
      <c r="AT7" s="46">
        <v>15.21</v>
      </c>
      <c r="AU7" s="46">
        <v>0</v>
      </c>
      <c r="AV7" s="46">
        <v>12.3</v>
      </c>
      <c r="AW7" s="46">
        <v>7.85</v>
      </c>
      <c r="AX7" s="46">
        <v>8.6</v>
      </c>
      <c r="AY7" s="46">
        <v>12.8</v>
      </c>
      <c r="AZ7" s="46">
        <v>0</v>
      </c>
      <c r="BA7" s="46">
        <v>14.2</v>
      </c>
      <c r="BB7" s="46">
        <v>9</v>
      </c>
      <c r="BC7" s="46">
        <v>9.9</v>
      </c>
      <c r="BD7" s="46">
        <v>13.68</v>
      </c>
      <c r="BE7" s="46">
        <v>0</v>
      </c>
      <c r="BF7" s="109"/>
      <c r="BG7" s="15">
        <f>IF(SUM(AX7)&gt;0,SUM(AX7),"")</f>
        <v>8.6</v>
      </c>
      <c r="BH7" s="15">
        <f>IF(SUM(AQ7:AT7)-AU7&gt;0,SUM(AQ7:AT7)-AU7,"")</f>
        <v>45.16</v>
      </c>
      <c r="BI7" s="15">
        <f>IF(SUM(AV7:AY7)-AZ7&gt;0,SUM(AV7:AY7)-AZ7,"")</f>
        <v>41.55</v>
      </c>
      <c r="BJ7" s="15">
        <f>IF(SUM(BH7:BI7)&gt;0,SUM(BH7:BI7),"")</f>
        <v>86.71</v>
      </c>
      <c r="BK7" s="15">
        <f>IF(SUM(BA7:BD7)-BE7&gt;0,SUM(BA7:BD7)-BE7,"")</f>
        <v>46.78</v>
      </c>
      <c r="BL7" s="15">
        <f>IF(SUM(BJ7,BK7)&gt;0,SUM(BJ7,BK7),"")</f>
        <v>133.49</v>
      </c>
      <c r="BM7" s="45">
        <v>15.6</v>
      </c>
      <c r="BN7" s="45">
        <v>8.9499999999999993</v>
      </c>
      <c r="BO7" s="45">
        <v>3.2</v>
      </c>
      <c r="BP7" s="45">
        <v>14.585000000000001</v>
      </c>
      <c r="BQ7" s="45">
        <v>0</v>
      </c>
      <c r="BR7" s="45">
        <v>14.4</v>
      </c>
      <c r="BS7" s="45">
        <v>8.75</v>
      </c>
      <c r="BT7" s="45">
        <v>10</v>
      </c>
      <c r="BU7" s="45">
        <v>14.31</v>
      </c>
      <c r="BV7" s="45">
        <v>0</v>
      </c>
      <c r="BW7" s="45">
        <v>14.9</v>
      </c>
      <c r="BX7" s="45">
        <v>9.25</v>
      </c>
      <c r="BY7" s="45">
        <v>10.6</v>
      </c>
      <c r="BZ7" s="45">
        <v>14.49</v>
      </c>
      <c r="CA7" s="45">
        <v>0</v>
      </c>
      <c r="CB7" s="108"/>
      <c r="CC7" s="12">
        <f>IF(SUM(BT7)&gt;0,SUM(BT7),"")</f>
        <v>10</v>
      </c>
      <c r="CD7" s="12">
        <f>IF(SUM(BM7:BP7)-BQ7&gt;0,SUM(BM7:BP7)-BQ7,"")</f>
        <v>42.334999999999994</v>
      </c>
      <c r="CE7" s="12">
        <f>IF(SUM(BR7:BU7)-BV7&gt;0,SUM(BR7:BU7)-BV7,"")</f>
        <v>47.46</v>
      </c>
      <c r="CF7" s="12">
        <f>IF(SUM(CD7:CE7)&gt;0,SUM(CD7:CE7),"")</f>
        <v>89.794999999999987</v>
      </c>
      <c r="CG7" s="12">
        <f>IF(SUM(BW7:BZ7)-CA7&gt;0,SUM(BW7:BZ7)-CA7,"")</f>
        <v>49.24</v>
      </c>
      <c r="CH7" s="12">
        <f>IF(SUM(CF7,CG7)&gt;0,SUM(CF7,CG7),"")</f>
        <v>139.035</v>
      </c>
      <c r="CI7" s="28" t="str">
        <f>IF(MAX(DB7,DW7,ER7,FM7,GH7,HC7,HX7,IS7,JN7,KI7,LD7,LY7)-L7&gt;0.001,MAX(DB7,DW7,ER7,FM7,GH7,HC7,HX7,IS7,JN7,KI7,LD7,LY7)-L7,"")</f>
        <v/>
      </c>
      <c r="CJ7" s="28">
        <f>IF(MAX(DC7,DX7,ES7,FN7,GI7,HD7,HY7,IT7,JO7,KJ7,LE7,LZ7)-N7&gt;0.001,MAX(DC7,DX7,ES7,FN7,GI7,HD7,HY7,IT7,JO7,KJ7,LE7,LZ7)-N7,"")</f>
        <v>0.52000000000000313</v>
      </c>
      <c r="CK7" s="28" t="str">
        <f>IF(MAX(DE7,DZ7,EU7,FP7,GK7,HF7,IA7,IV7,JQ7,KL7,LG7,MB7)-P7&gt;0.001,MAX(DE7,DZ7,EU7,FP7,GK7,HF7,IA7,IV7,JQ7,KL7,LG7,MB7)-P7,"")</f>
        <v/>
      </c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45"/>
      <c r="CW7" s="45"/>
      <c r="CX7" s="45"/>
      <c r="CY7" s="45"/>
      <c r="CZ7" s="45"/>
      <c r="DA7" s="12" t="str">
        <f>IF(SUM(CS7)&gt;0,SUM(CS7),"")</f>
        <v/>
      </c>
      <c r="DB7" s="12" t="str">
        <f>IF(SUM(CL7:CO7)-CP7&gt;0,SUM(CL7:CO7)-CP7,"")</f>
        <v/>
      </c>
      <c r="DC7" s="12" t="str">
        <f>IF(SUM(CQ7:CT7)-CU7&gt;0,SUM(CQ7:CT7)-CU7,"")</f>
        <v/>
      </c>
      <c r="DD7" s="12" t="str">
        <f>IF(SUM(DB7:DC7)&gt;0,SUM(DB7:DC7),"")</f>
        <v/>
      </c>
      <c r="DE7" s="12" t="str">
        <f>IF(SUM(CV7:CY7)-CZ7&gt;0,SUM(CV7:CY7)-CZ7,"")</f>
        <v/>
      </c>
      <c r="DF7" s="12" t="str">
        <f>IF(SUM(DD7,DE7)&gt;0,SUM(DD7,DE7),"")</f>
        <v/>
      </c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15" t="str">
        <f>IF(SUM(DN7)&gt;0,SUM(DN7),"")</f>
        <v/>
      </c>
      <c r="DW7" s="15" t="str">
        <f>IF(SUM(DG7:DJ7)-DK7&gt;0,SUM(DG7:DJ7)-DK7,"")</f>
        <v/>
      </c>
      <c r="DX7" s="15" t="str">
        <f>IF(SUM(DL7:DO7)-DP7&gt;0,SUM(DL7:DO7)-DP7,"")</f>
        <v/>
      </c>
      <c r="DY7" s="15" t="str">
        <f>IF(SUM(DW7:DX7)&gt;0,SUM(DW7:DX7),"")</f>
        <v/>
      </c>
      <c r="DZ7" s="15" t="str">
        <f>IF(SUM(DQ7:DT7)-DU7&gt;0,SUM(DQ7:DT7)-DU7,"")</f>
        <v/>
      </c>
      <c r="EA7" s="15" t="str">
        <f>IF(SUM(DY7,DZ7)&gt;0,SUM(DY7,DZ7),"")</f>
        <v/>
      </c>
      <c r="EB7" s="45">
        <v>15.8</v>
      </c>
      <c r="EC7" s="45">
        <v>9.15</v>
      </c>
      <c r="ED7" s="45">
        <v>0</v>
      </c>
      <c r="EE7" s="45">
        <v>15.414999999999999</v>
      </c>
      <c r="EF7" s="45">
        <v>2</v>
      </c>
      <c r="EG7" s="45">
        <v>13.8</v>
      </c>
      <c r="EH7" s="45">
        <v>9.0500000000000007</v>
      </c>
      <c r="EI7" s="45">
        <v>7.7</v>
      </c>
      <c r="EJ7" s="45">
        <v>14.255000000000001</v>
      </c>
      <c r="EK7" s="45">
        <v>0</v>
      </c>
      <c r="EL7" s="45"/>
      <c r="EM7" s="45"/>
      <c r="EN7" s="45"/>
      <c r="EO7" s="45"/>
      <c r="EP7" s="45"/>
      <c r="EQ7" s="12">
        <f>IF(SUM(EI7)&gt;0,SUM(EI7),"")</f>
        <v>7.7</v>
      </c>
      <c r="ER7" s="12">
        <f>IF(SUM(EB7:EE7)-EF7&gt;0,SUM(EB7:EE7)-EF7,"")</f>
        <v>38.365000000000002</v>
      </c>
      <c r="ES7" s="12">
        <f>IF(SUM(EG7:EJ7)-EK7&gt;0,SUM(EG7:EJ7)-EK7,"")</f>
        <v>44.805</v>
      </c>
      <c r="ET7" s="12">
        <f>IF(SUM(ER7:ES7)&gt;0,SUM(ER7:ES7),"")</f>
        <v>83.17</v>
      </c>
      <c r="EU7" s="12" t="str">
        <f>IF(SUM(EL7:EO7)-EP7&gt;0,SUM(EL7:EO7)-EP7,"")</f>
        <v/>
      </c>
      <c r="EV7" s="12">
        <f>IF(SUM(ET7,EU7)&gt;0,SUM(ET7,EU7),"")</f>
        <v>83.17</v>
      </c>
      <c r="EW7" s="46">
        <v>17.2</v>
      </c>
      <c r="EX7" s="46">
        <v>9.6</v>
      </c>
      <c r="EY7" s="46">
        <v>0</v>
      </c>
      <c r="EZ7" s="46">
        <v>14.8</v>
      </c>
      <c r="FA7" s="46">
        <v>0</v>
      </c>
      <c r="FB7" s="46">
        <v>13.7</v>
      </c>
      <c r="FC7" s="46">
        <v>9.1999999999999993</v>
      </c>
      <c r="FD7" s="46">
        <v>11.1</v>
      </c>
      <c r="FE7" s="46">
        <v>13.98</v>
      </c>
      <c r="FF7" s="46">
        <v>0</v>
      </c>
      <c r="FG7" s="46"/>
      <c r="FH7" s="46"/>
      <c r="FI7" s="46"/>
      <c r="FJ7" s="46"/>
      <c r="FK7" s="46"/>
      <c r="FL7" s="15">
        <f>IF(SUM(FD7)&gt;0,SUM(FD7),"")</f>
        <v>11.1</v>
      </c>
      <c r="FM7" s="15">
        <f>IF(SUM(EW7:EZ7)-FA7&gt;0,SUM(EW7:EZ7)-FA7,"")</f>
        <v>41.599999999999994</v>
      </c>
      <c r="FN7" s="15">
        <f>IF(SUM(FB7:FE7)-FF7&gt;0,SUM(FB7:FE7)-FF7,"")</f>
        <v>47.980000000000004</v>
      </c>
      <c r="FO7" s="15">
        <f>IF(SUM(FM7:FN7)&gt;0,SUM(FM7:FN7),"")</f>
        <v>89.58</v>
      </c>
      <c r="FP7" s="15" t="str">
        <f>IF(SUM(FG7:FJ7)-FK7&gt;0,SUM(FG7:FJ7)-FK7,"")</f>
        <v/>
      </c>
      <c r="FQ7" s="15">
        <f>IF(SUM(FO7,FP7)&gt;0,SUM(FO7,FP7),"")</f>
        <v>89.58</v>
      </c>
      <c r="FR7" s="45"/>
      <c r="FS7" s="45"/>
      <c r="FT7" s="45"/>
      <c r="FU7" s="45"/>
      <c r="FV7" s="45"/>
      <c r="FW7" s="45"/>
      <c r="FX7" s="45"/>
      <c r="FY7" s="45"/>
      <c r="FZ7" s="45"/>
      <c r="GA7" s="45"/>
      <c r="GB7" s="45"/>
      <c r="GC7" s="45"/>
      <c r="GD7" s="45"/>
      <c r="GE7" s="45"/>
      <c r="GF7" s="45"/>
      <c r="GG7" s="12" t="str">
        <f>IF(SUM(FY7)&gt;0,SUM(FY7),"")</f>
        <v/>
      </c>
      <c r="GH7" s="12" t="str">
        <f>IF(SUM(FR7:FU7)-FV7&gt;0,SUM(FR7:FU7)-FV7,"")</f>
        <v/>
      </c>
      <c r="GI7" s="12" t="str">
        <f>IF(SUM(FW7:FZ7)-GA7&gt;0,SUM(FW7:FZ7)-GA7,"")</f>
        <v/>
      </c>
      <c r="GJ7" s="12" t="str">
        <f>IF(SUM(GH7:GI7)&gt;0,SUM(GH7:GI7),"")</f>
        <v/>
      </c>
      <c r="GK7" s="12" t="str">
        <f>IF(SUM(GB7:GE7)-GF7&gt;0,SUM(GB7:GE7)-GF7,"")</f>
        <v/>
      </c>
      <c r="GL7" s="12" t="str">
        <f>IF(SUM(GJ7,GK7)&gt;0,SUM(GJ7,GK7),"")</f>
        <v/>
      </c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15" t="str">
        <f>IF(SUM(GT7)&gt;0,SUM(GT7),"")</f>
        <v/>
      </c>
      <c r="HC7" s="15" t="str">
        <f>IF(SUM(GM7:GP7)-GQ7&gt;0,SUM(GM7:GP7)-GQ7,"")</f>
        <v/>
      </c>
      <c r="HD7" s="15" t="str">
        <f>IF(SUM(GR7:GU7)-GV7&gt;0,SUM(GR7:GU7)-GV7,"")</f>
        <v/>
      </c>
      <c r="HE7" s="15" t="str">
        <f>IF(SUM(HC7:HD7)&gt;0,SUM(HC7:HD7),"")</f>
        <v/>
      </c>
      <c r="HF7" s="15" t="str">
        <f>IF(SUM(GW7:GZ7)-HA7&gt;0,SUM(GW7:GZ7)-HA7,"")</f>
        <v/>
      </c>
      <c r="HG7" s="15" t="str">
        <f>IF(SUM(HE7,HF7)&gt;0,SUM(HE7,HF7),"")</f>
        <v/>
      </c>
      <c r="HH7" s="45"/>
      <c r="HI7" s="45"/>
      <c r="HJ7" s="45"/>
      <c r="HK7" s="45"/>
      <c r="HL7" s="45"/>
      <c r="HM7" s="45"/>
      <c r="HN7" s="45"/>
      <c r="HO7" s="45"/>
      <c r="HP7" s="45"/>
      <c r="HQ7" s="45"/>
      <c r="HR7" s="45"/>
      <c r="HS7" s="45"/>
      <c r="HT7" s="45"/>
      <c r="HU7" s="45"/>
      <c r="HV7" s="45"/>
      <c r="HW7" s="12" t="str">
        <f>IF(SUM(HO7)&gt;0,SUM(HO7),"")</f>
        <v/>
      </c>
      <c r="HX7" s="12" t="str">
        <f>IF(SUM(HH7:HK7)-HL7&gt;0,SUM(HH7:HK7)-HL7,"")</f>
        <v/>
      </c>
      <c r="HY7" s="12" t="str">
        <f>IF(SUM(HM7:HP7)-HQ7&gt;0,SUM(HM7:HP7)-HQ7,"")</f>
        <v/>
      </c>
      <c r="HZ7" s="12" t="str">
        <f>IF(SUM(HX7:HY7)&gt;0,SUM(HX7:HY7),"")</f>
        <v/>
      </c>
      <c r="IA7" s="12" t="str">
        <f>IF(SUM(HR7:HU7)-HV7&gt;0,SUM(HR7:HU7)-HV7,"")</f>
        <v/>
      </c>
      <c r="IB7" s="12" t="str">
        <f>IF(SUM(HZ7,IA7)&gt;0,SUM(HZ7,IA7),"")</f>
        <v/>
      </c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15" t="str">
        <f>IF(SUM(IJ7)&gt;0,SUM(IJ7),"")</f>
        <v/>
      </c>
      <c r="IS7" s="15" t="str">
        <f>IF(SUM(IC7:IF7)-IG7&gt;0,SUM(IC7:IF7)-IG7,"")</f>
        <v/>
      </c>
      <c r="IT7" s="15" t="str">
        <f>IF(SUM(IH7:IK7)-IL7&gt;0,SUM(IH7:IK7)-IL7,"")</f>
        <v/>
      </c>
      <c r="IU7" s="15" t="str">
        <f>IF(SUM(IS7:IT7)&gt;0,SUM(IS7:IT7),"")</f>
        <v/>
      </c>
      <c r="IV7" s="15" t="str">
        <f>IF(SUM(IM7:IP7)-IQ7&gt;0,SUM(IM7:IP7)-IQ7,"")</f>
        <v/>
      </c>
      <c r="IW7" s="15" t="str">
        <f>IF(SUM(IU7,IV7)&gt;0,SUM(IU7,IV7),"")</f>
        <v/>
      </c>
      <c r="IX7" s="45"/>
      <c r="IY7" s="45"/>
      <c r="IZ7" s="45"/>
      <c r="JA7" s="45"/>
      <c r="JB7" s="45"/>
      <c r="JC7" s="45"/>
      <c r="JD7" s="45"/>
      <c r="JE7" s="45"/>
      <c r="JF7" s="45"/>
      <c r="JG7" s="45"/>
      <c r="JH7" s="45"/>
      <c r="JI7" s="45"/>
      <c r="JJ7" s="45"/>
      <c r="JK7" s="45"/>
      <c r="JL7" s="45"/>
      <c r="JM7" s="12" t="str">
        <f>IF(SUM(JE7)&gt;0,SUM(JE7),"")</f>
        <v/>
      </c>
      <c r="JN7" s="12" t="str">
        <f>IF(SUM(IX7:JA7)-JB7&gt;0,SUM(IX7:JA7)-JB7,"")</f>
        <v/>
      </c>
      <c r="JO7" s="12" t="str">
        <f>IF(SUM(JC7:JF7)-JG7&gt;0,SUM(JC7:JF7)-JG7,"")</f>
        <v/>
      </c>
      <c r="JP7" s="12" t="str">
        <f>IF(SUM(JN7:JO7)&gt;0,SUM(JN7:JO7),"")</f>
        <v/>
      </c>
      <c r="JQ7" s="12" t="str">
        <f>IF(SUM(JH7:JK7)-JL7&gt;0,SUM(JH7:JK7)-JL7,"")</f>
        <v/>
      </c>
      <c r="JR7" s="12" t="str">
        <f>IF(SUM(JP7,JQ7)&gt;0,SUM(JP7,JQ7),"")</f>
        <v/>
      </c>
      <c r="JS7" s="46"/>
      <c r="JT7" s="46"/>
      <c r="JU7" s="46"/>
      <c r="JV7" s="46"/>
      <c r="JW7" s="46"/>
      <c r="JX7" s="46"/>
      <c r="JY7" s="46"/>
      <c r="JZ7" s="46"/>
      <c r="KA7" s="46"/>
      <c r="KB7" s="46"/>
      <c r="KC7" s="46"/>
      <c r="KD7" s="46"/>
      <c r="KE7" s="46"/>
      <c r="KF7" s="46"/>
      <c r="KG7" s="46"/>
      <c r="KH7" s="15" t="str">
        <f>IF(SUM(JZ7)&gt;0,SUM(JZ7),"")</f>
        <v/>
      </c>
      <c r="KI7" s="15" t="str">
        <f>IF(SUM(JS7:JV7)-JW7&gt;0,SUM(JS7:JV7)-JW7,"")</f>
        <v/>
      </c>
      <c r="KJ7" s="15" t="str">
        <f>IF(SUM(JX7:KA7)-KB7&gt;0,SUM(JX7:KA7)-KB7,"")</f>
        <v/>
      </c>
      <c r="KK7" s="15" t="str">
        <f>IF(SUM(KI7:KJ7)&gt;0,SUM(KI7:KJ7),"")</f>
        <v/>
      </c>
      <c r="KL7" s="15" t="str">
        <f>IF(SUM(KC7:KF7)-KG7&gt;0,SUM(KC7:KF7)-KG7,"")</f>
        <v/>
      </c>
      <c r="KM7" s="15" t="str">
        <f>IF(SUM(KK7,KL7)&gt;0,SUM(KK7,KL7),"")</f>
        <v/>
      </c>
      <c r="KN7" s="45"/>
      <c r="KO7" s="45"/>
      <c r="KP7" s="45"/>
      <c r="KQ7" s="45"/>
      <c r="KR7" s="45"/>
      <c r="KS7" s="45"/>
      <c r="KT7" s="45"/>
      <c r="KU7" s="45"/>
      <c r="KV7" s="45"/>
      <c r="KW7" s="45"/>
      <c r="KX7" s="45"/>
      <c r="KY7" s="45"/>
      <c r="KZ7" s="45"/>
      <c r="LA7" s="45"/>
      <c r="LB7" s="45"/>
      <c r="LC7" s="12" t="str">
        <f>IF(SUM(KU7)&gt;0,SUM(KU7),"")</f>
        <v/>
      </c>
      <c r="LD7" s="12" t="str">
        <f>IF(SUM(KN7:KQ7)-KR7&gt;0,SUM(KN7:KQ7)-KR7,"")</f>
        <v/>
      </c>
      <c r="LE7" s="12" t="str">
        <f>IF(SUM(KS7:KV7)-KW7&gt;0,SUM(KS7:KV7)-KW7,"")</f>
        <v/>
      </c>
      <c r="LF7" s="12" t="str">
        <f>IF(SUM(LD7:LE7)&gt;0,SUM(LD7:LE7),"")</f>
        <v/>
      </c>
      <c r="LG7" s="12" t="str">
        <f>IF(SUM(KX7:LA7)-LB7&gt;0,SUM(KX7:LA7)-LB7,"")</f>
        <v/>
      </c>
      <c r="LH7" s="12" t="str">
        <f>IF(SUM(LF7,LG7)&gt;0,SUM(LF7,LG7),"")</f>
        <v/>
      </c>
      <c r="LI7" s="46"/>
      <c r="LJ7" s="46"/>
      <c r="LK7" s="46"/>
      <c r="LL7" s="46"/>
      <c r="LM7" s="46"/>
      <c r="LN7" s="46"/>
      <c r="LO7" s="46"/>
      <c r="LP7" s="46"/>
      <c r="LQ7" s="46"/>
      <c r="LR7" s="46"/>
      <c r="LS7" s="46"/>
      <c r="LT7" s="46"/>
      <c r="LU7" s="46"/>
      <c r="LV7" s="46"/>
      <c r="LW7" s="46"/>
      <c r="LX7" s="15" t="str">
        <f>IF(SUM(LP7)&gt;0,SUM(LP7),"")</f>
        <v/>
      </c>
      <c r="LY7" s="15" t="str">
        <f>IF(SUM(LI7:LL7)-LM7&gt;0,SUM(LI7:LL7)-LM7,"")</f>
        <v/>
      </c>
      <c r="LZ7" s="15" t="str">
        <f>IF(SUM(LN7:LQ7)-LR7&gt;0,SUM(LN7:LQ7)-LR7,"")</f>
        <v/>
      </c>
      <c r="MA7" s="15" t="str">
        <f>IF(SUM(LY7:LZ7)&gt;0,SUM(LY7:LZ7),"")</f>
        <v/>
      </c>
      <c r="MB7" s="15" t="str">
        <f>IF(SUM(LS7:LV7)-LW7&gt;0,SUM(LS7:LV7)-LW7,"")</f>
        <v/>
      </c>
      <c r="MC7" s="15" t="str">
        <f>IF(SUM(MA7,MB7)&gt;0,SUM(MA7,MB7),"")</f>
        <v/>
      </c>
    </row>
    <row r="8" spans="1:341" x14ac:dyDescent="0.2">
      <c r="A8" s="6" t="str">
        <f>IF(AND(F8="P",H8="P"),SUMPRODUCT((F$4:F$16="P")*(H$4:H$16="P")*(E$4:E$16&gt;E8))+1,IF(H8="P",SUMPRODUCT((F$4:F$16="")*(H$4:H$16="P")*(E$4:E$16&gt;E8))+1+SUMPRODUCT((F$4:F$16="P")*(H$4:H$16="P")),""))</f>
        <v/>
      </c>
      <c r="B8" s="9" t="s">
        <v>105</v>
      </c>
      <c r="C8" s="5" t="s">
        <v>6</v>
      </c>
      <c r="D8" s="31">
        <v>2002</v>
      </c>
      <c r="E8" s="16">
        <f>SUM(J8:R8)</f>
        <v>231.23000000000002</v>
      </c>
      <c r="F8" s="4" t="str">
        <f>IF(OR(AND($AK8&gt;=$AL$19,NOT($AK8=""),$AJ8=""),AND($BG8&gt;=$BH$19,NOT($BG8=""),$BF8=""),AND($CC8&gt;=$CD$19,NOT($CC8=""),$CB8="")),"P","")</f>
        <v/>
      </c>
      <c r="G8" s="4" t="str">
        <f>IF(OR(AND($AK8&gt;=$AL$20,NOT($AK8=""),$AJ8=""),AND($BG8&gt;=$BH$20,NOT($BG8=""),$BF8=""),AND($CC8&gt;=$CD$20,NOT($CC8=""),$CB8="")),"P","")</f>
        <v/>
      </c>
      <c r="H8" s="4" t="str">
        <f>IF(OR(AND($AN8&gt;=$AL$21,NOT($AN8=""),$AJ8=""),AND($BJ8&gt;=$BH$21,NOT($BJ8=""),$BF8=""),AND($CF8&gt;=$CD$21,NOT($CF8=""),$CB8="")),"P","")</f>
        <v/>
      </c>
      <c r="I8" t="str">
        <f>IF(AND(F8="P",OR(AND($AM8&gt;$AL$24,NOT($AM8=""),$AJ8=""),AND($AO8&gt;$AL$24,NOT($AO8=""),$AJ8=""),AND($BI8&gt;$BH$24,NOT($BI8=""),$BF8=""),AND($BK8&gt;$BH$24,NOT($BK8=""),$BF8=""),AND($CE8&gt;$CD$24,NOT($CE8=""),$CB8=""),AND($CG8&gt;$CD$24,NOT($CG8=""),$CB8=""))),"Merit",IF(AND(F8="P",OR(AND($AN8&gt;$AL$23,NOT($AN8=""),$AJ8=""),AND($BJ8&gt;$BH$23,NOT($BJ8=""),$BF8=""),AND($CF8&gt;$CD$23,NOT($CF8=""),$CB8=""))),"Funding",IF(AND(F8="P",OR(AND($AN8&gt;$AL$22,NOT($AN8=""),$AJ8=""),AND($BJ8&gt;$BH$22,NOT($BJ8=""),$BF8=""),AND($CF8&gt;$CD$22,NOT($CF8=""),$CB8=""))),"Worlds Team",IF(AND(F8="P",OR(AND($AN8&gt;$AL$21,NOT($AN8=""),$AJ8=""),AND($BJ8&gt;$BH$21,NOT($BJ8=""),$BF8=""),AND($CF8&gt;$CD$21,NOT($CF8=""),$CB8=""))),"National Team",""))))</f>
        <v/>
      </c>
      <c r="J8" s="15">
        <f>MAX(AN8,BJ8,CF8)</f>
        <v>91.705000000000013</v>
      </c>
      <c r="K8" s="15" t="str">
        <f>IF(J8=CF8,$BM$1,IF(J8=BJ8,$AQ$1,IF(J8=AN8,$U$1,"")))</f>
        <v>2017 Nationals</v>
      </c>
      <c r="L8" s="15">
        <f>IF($J8=$AN8,MAX(BH8,CD8),IF($J8=$BJ8,MAX(AL8,CD8),MAX(AL8,BH8)))</f>
        <v>42.81</v>
      </c>
      <c r="M8" s="15" t="str">
        <f>IF(AND(L8=CD8,$K8&lt;&gt;$BM$1),$BM$1,IF(AND(L8=BH8,$K8&lt;&gt;$AQ$1),$AQ$1,IF(AND(L8=AL8,$K8&lt;&gt;$U$1),$U$1,"")))</f>
        <v>2018 Canada Cup</v>
      </c>
      <c r="N8" s="15">
        <f>IF($J8=$AN8,MAX(BI8,CE8),IF($J8=$BJ8,MAX(AM8,CE8),MAX(AM8,BI8)))</f>
        <v>47.08</v>
      </c>
      <c r="O8" s="15" t="str">
        <f>IF(AND(N8=CE8,$K8&lt;&gt;$BM$1),$BM$1,IF(AND(N8=BI8,$K8&lt;&gt;$AQ$1),$AQ$1,IF(AND(N8=AM8,$K8&lt;&gt;$U$1),$U$1,"")))</f>
        <v>2018 Canada Cup</v>
      </c>
      <c r="P8" s="15">
        <f>MAX(AO8,BK8,CG8)</f>
        <v>48.81</v>
      </c>
      <c r="Q8" s="15" t="str">
        <f>IF(P8=CG8,$BM$1,IF(P8=BK8,$AQ$1,IF(P8=AO8,$U$1,"")))</f>
        <v>2018 Nationals</v>
      </c>
      <c r="R8" s="15">
        <f>IF(MAX(CI8:CK8)&gt;0,MAX(CI8:CK8),"")</f>
        <v>0.82500000000000284</v>
      </c>
      <c r="S8" s="29" t="str">
        <f>IF(R8="","",IF(R8=CI8,"(Vol 1)",IF(R8=CJ8,"(Vol 2)",IF(R8=CK8,"(Final)"))))</f>
        <v>(Vol 2)</v>
      </c>
      <c r="T8" s="15" t="str">
        <f>IF(R8="","",IF(R8=CI8,IF(R8+L8=LY8,$LI$1,IF(R8+L8=LD8,$KN$1,IF(R8+L8=KI8,$JS$1,IF(R8+L8=JN8,$IX$1,IF(R8+L8=IS8,$IC$1,IF(R8+L8=HX8,$HH$1,IF(R8+L8=HC8,$GM$1,IF(R8+L8=GH8,$FR$1,IF(R8+L8=FM8,$EW$1,IF(R8+L8=ER8,$EB$1,IF(R8+L8=DW8,$DG$1,IF(R8+L8=DB8,$CL$1)))))))))))),IF(R8=CJ8,IF(R8+N8=LZ8,$LI$1,IF(R8+N8=LE8,$KN$1,IF(R8+N8=KJ8,$JS$1,IF(R8+N8=JO8,$IX$1,IF(R8+N8=IT8,$IC$1,IF(R8+N8=HY8,$HH$1,IF(R8+N8=HD8,$GM$1,IF(R8+N8=GI8,$FR$1,IF(R8+N8=FN8,$EW$1,IF(R8+N8=ES8,$EB$1,IF(R8+N8=DX8,$DG$1,IF(R8+N8=DC8,$CL$1)))))))))))),IF(R8=CK8,IF(R8+P8=MB8,$LI$1,IF(R8+P8=LG8,$KN$1,IF(R8+P8=KL8,$JS$1,IF(R8+P8=JQ8,$IX$1,IF(R8+P8=IV8,$IC$1,IF(R8+P8=IA8,$HH$1,IF(R8+P8=HF8,$GM$1,IF(R8+P8=GK8,$FR$1,IF(R8+P8=FP8,$EW$1,IF(R8+P8=EU8,$EB$1,IF(R8+P8=DZ8,$DG$1,IF(R8+P8=DE8,$CL$1))))))))))))))))</f>
        <v>2018 Junior Pan Am Championships (June 23)</v>
      </c>
      <c r="U8" s="45">
        <v>16.600000000000001</v>
      </c>
      <c r="V8" s="45">
        <v>9.1</v>
      </c>
      <c r="W8" s="45">
        <v>3.4</v>
      </c>
      <c r="X8" s="45">
        <v>14.585000000000001</v>
      </c>
      <c r="Y8" s="45">
        <v>0</v>
      </c>
      <c r="Z8" s="45">
        <v>14.9</v>
      </c>
      <c r="AA8" s="45">
        <v>9.3000000000000007</v>
      </c>
      <c r="AB8" s="45">
        <v>9.6999999999999993</v>
      </c>
      <c r="AC8" s="45">
        <v>14.12</v>
      </c>
      <c r="AD8" s="45">
        <v>0</v>
      </c>
      <c r="AE8" s="45">
        <v>15</v>
      </c>
      <c r="AF8" s="45">
        <v>8.8000000000000007</v>
      </c>
      <c r="AG8" s="45">
        <v>9.6999999999999993</v>
      </c>
      <c r="AH8" s="45">
        <v>13.85</v>
      </c>
      <c r="AI8" s="45">
        <v>0</v>
      </c>
      <c r="AJ8" s="108"/>
      <c r="AK8" s="12">
        <f>IF(SUM(AB8)&gt;0,SUM(AB8),"")</f>
        <v>9.6999999999999993</v>
      </c>
      <c r="AL8" s="12">
        <f>IF(SUM(U8:X8)-Y8&gt;0,SUM(U8:X8)-Y8,"")</f>
        <v>43.685000000000002</v>
      </c>
      <c r="AM8" s="12">
        <f>IF(SUM(Z8:AC8)-AD8&gt;0,SUM(Z8:AC8)-AD8,"")</f>
        <v>48.02</v>
      </c>
      <c r="AN8" s="12">
        <f>IF(SUM(AL8:AM8)&gt;0,SUM(AL8:AM8),"")</f>
        <v>91.705000000000013</v>
      </c>
      <c r="AO8" s="12">
        <f>IF(SUM(AE8:AH8)-AI8&gt;0,SUM(AE8:AH8)-AI8,"")</f>
        <v>47.35</v>
      </c>
      <c r="AP8" s="12">
        <f>IF(SUM(AN8,AO8)&gt;0,SUM(AN8,AO8),"")</f>
        <v>139.05500000000001</v>
      </c>
      <c r="AQ8" s="46">
        <v>16.3</v>
      </c>
      <c r="AR8" s="46">
        <v>8.8000000000000007</v>
      </c>
      <c r="AS8" s="46">
        <v>3.2</v>
      </c>
      <c r="AT8" s="46">
        <v>14.51</v>
      </c>
      <c r="AU8" s="46">
        <v>0</v>
      </c>
      <c r="AV8" s="46">
        <v>14.1</v>
      </c>
      <c r="AW8" s="46">
        <v>8.6999999999999993</v>
      </c>
      <c r="AX8" s="46">
        <v>10.4</v>
      </c>
      <c r="AY8" s="46">
        <v>13.88</v>
      </c>
      <c r="AZ8" s="46">
        <v>0</v>
      </c>
      <c r="BA8" s="46">
        <v>15.1</v>
      </c>
      <c r="BB8" s="46">
        <v>9.3000000000000007</v>
      </c>
      <c r="BC8" s="46">
        <v>10.4</v>
      </c>
      <c r="BD8" s="46">
        <v>14.005000000000001</v>
      </c>
      <c r="BE8" s="46">
        <v>0</v>
      </c>
      <c r="BF8" s="109"/>
      <c r="BG8" s="15">
        <f>IF(SUM(AX8)&gt;0,SUM(AX8),"")</f>
        <v>10.4</v>
      </c>
      <c r="BH8" s="15">
        <f>IF(SUM(AQ8:AT8)-AU8&gt;0,SUM(AQ8:AT8)-AU8,"")</f>
        <v>42.81</v>
      </c>
      <c r="BI8" s="15">
        <f>IF(SUM(AV8:AY8)-AZ8&gt;0,SUM(AV8:AY8)-AZ8,"")</f>
        <v>47.08</v>
      </c>
      <c r="BJ8" s="15">
        <f>IF(SUM(BH8:BI8)&gt;0,SUM(BH8:BI8),"")</f>
        <v>89.89</v>
      </c>
      <c r="BK8" s="15">
        <f>IF(SUM(BA8:BD8)-BE8&gt;0,SUM(BA8:BD8)-BE8,"")</f>
        <v>48.805</v>
      </c>
      <c r="BL8" s="15">
        <f>IF(SUM(BJ8,BK8)&gt;0,SUM(BJ8,BK8),"")</f>
        <v>138.69499999999999</v>
      </c>
      <c r="BM8" s="45">
        <v>15</v>
      </c>
      <c r="BN8" s="45">
        <v>8.6999999999999993</v>
      </c>
      <c r="BO8" s="45">
        <v>2.4</v>
      </c>
      <c r="BP8" s="45">
        <v>14.925000000000001</v>
      </c>
      <c r="BQ8" s="45">
        <v>0</v>
      </c>
      <c r="BR8" s="45">
        <v>15.8</v>
      </c>
      <c r="BS8" s="45">
        <v>9.1</v>
      </c>
      <c r="BT8" s="45">
        <v>7.6</v>
      </c>
      <c r="BU8" s="45">
        <v>15.035</v>
      </c>
      <c r="BV8" s="45">
        <v>2</v>
      </c>
      <c r="BW8" s="45">
        <v>16</v>
      </c>
      <c r="BX8" s="45">
        <v>9.15</v>
      </c>
      <c r="BY8" s="45">
        <v>8</v>
      </c>
      <c r="BZ8" s="45">
        <v>15.66</v>
      </c>
      <c r="CA8" s="45">
        <v>0</v>
      </c>
      <c r="CB8" s="108"/>
      <c r="CC8" s="12">
        <f>IF(SUM(BT8)&gt;0,SUM(BT8),"")</f>
        <v>7.6</v>
      </c>
      <c r="CD8" s="12">
        <f>IF(SUM(BM8:BP8)-BQ8&gt;0,SUM(BM8:BP8)-BQ8,"")</f>
        <v>41.024999999999999</v>
      </c>
      <c r="CE8" s="12">
        <f>IF(SUM(BR8:BU8)-BV8&gt;0,SUM(BR8:BU8)-BV8,"")</f>
        <v>45.534999999999997</v>
      </c>
      <c r="CF8" s="12">
        <f>IF(SUM(CD8:CE8)&gt;0,SUM(CD8:CE8),"")</f>
        <v>86.56</v>
      </c>
      <c r="CG8" s="12">
        <f>IF(SUM(BW8:BZ8)-CA8&gt;0,SUM(BW8:BZ8)-CA8,"")</f>
        <v>48.81</v>
      </c>
      <c r="CH8" s="12">
        <f>IF(SUM(CF8,CG8)&gt;0,SUM(CF8,CG8),"")</f>
        <v>135.37</v>
      </c>
      <c r="CI8" s="28" t="str">
        <f>IF(MAX(DB8,DW8,ER8,FM8,GH8,HC8,HX8,IS8,JN8,KI8,LD8,LY8)-L8&gt;0.001,MAX(DB8,DW8,ER8,FM8,GH8,HC8,HX8,IS8,JN8,KI8,LD8,LY8)-L8,"")</f>
        <v/>
      </c>
      <c r="CJ8" s="28">
        <f>IF(MAX(DC8,DX8,ES8,FN8,GI8,HD8,HY8,IT8,JO8,KJ8,LE8,LZ8)-N8&gt;0.001,MAX(DC8,DX8,ES8,FN8,GI8,HD8,HY8,IT8,JO8,KJ8,LE8,LZ8)-N8,"")</f>
        <v>0.82500000000000284</v>
      </c>
      <c r="CK8" s="28" t="str">
        <f>IF(MAX(DE8,DZ8,EU8,FP8,GK8,HF8,IA8,IV8,JQ8,KL8,LG8,MB8)-P8&gt;0.001,MAX(DE8,DZ8,EU8,FP8,GK8,HF8,IA8,IV8,JQ8,KL8,LG8,MB8)-P8,"")</f>
        <v/>
      </c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45"/>
      <c r="CW8" s="45"/>
      <c r="CX8" s="45"/>
      <c r="CY8" s="45"/>
      <c r="CZ8" s="45"/>
      <c r="DA8" s="12" t="str">
        <f>IF(SUM(CS8)&gt;0,SUM(CS8),"")</f>
        <v/>
      </c>
      <c r="DB8" s="12" t="str">
        <f>IF(SUM(CL8:CO8)-CP8&gt;0,SUM(CL8:CO8)-CP8,"")</f>
        <v/>
      </c>
      <c r="DC8" s="12" t="str">
        <f>IF(SUM(CQ8:CT8)-CU8&gt;0,SUM(CQ8:CT8)-CU8,"")</f>
        <v/>
      </c>
      <c r="DD8" s="12" t="str">
        <f>IF(SUM(DB8:DC8)&gt;0,SUM(DB8:DC8),"")</f>
        <v/>
      </c>
      <c r="DE8" s="12" t="str">
        <f>IF(SUM(CV8:CY8)-CZ8&gt;0,SUM(CV8:CY8)-CZ8,"")</f>
        <v/>
      </c>
      <c r="DF8" s="12" t="str">
        <f>IF(SUM(DD8,DE8)&gt;0,SUM(DD8,DE8),"")</f>
        <v/>
      </c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15" t="str">
        <f>IF(SUM(DN8)&gt;0,SUM(DN8),"")</f>
        <v/>
      </c>
      <c r="DW8" s="15" t="str">
        <f>IF(SUM(DG8:DJ8)-DK8&gt;0,SUM(DG8:DJ8)-DK8,"")</f>
        <v/>
      </c>
      <c r="DX8" s="15" t="str">
        <f>IF(SUM(DL8:DO8)-DP8&gt;0,SUM(DL8:DO8)-DP8,"")</f>
        <v/>
      </c>
      <c r="DY8" s="15" t="str">
        <f>IF(SUM(DW8:DX8)&gt;0,SUM(DW8:DX8),"")</f>
        <v/>
      </c>
      <c r="DZ8" s="15" t="str">
        <f>IF(SUM(DQ8:DT8)-DU8&gt;0,SUM(DQ8:DT8)-DU8,"")</f>
        <v/>
      </c>
      <c r="EA8" s="15" t="str">
        <f>IF(SUM(DY8,DZ8)&gt;0,SUM(DY8,DZ8),"")</f>
        <v/>
      </c>
      <c r="EB8" s="45">
        <v>17.7</v>
      </c>
      <c r="EC8" s="45">
        <v>9.1</v>
      </c>
      <c r="ED8" s="45">
        <v>0</v>
      </c>
      <c r="EE8" s="45">
        <v>15.27</v>
      </c>
      <c r="EF8" s="45">
        <v>4</v>
      </c>
      <c r="EG8" s="45">
        <v>18.100000000000001</v>
      </c>
      <c r="EH8" s="45">
        <v>9</v>
      </c>
      <c r="EI8" s="45">
        <v>5.4</v>
      </c>
      <c r="EJ8" s="45">
        <v>15.404999999999999</v>
      </c>
      <c r="EK8" s="45">
        <v>0</v>
      </c>
      <c r="EL8" s="45"/>
      <c r="EM8" s="45"/>
      <c r="EN8" s="45"/>
      <c r="EO8" s="45"/>
      <c r="EP8" s="45"/>
      <c r="EQ8" s="12">
        <f>IF(SUM(EI8)&gt;0,SUM(EI8),"")</f>
        <v>5.4</v>
      </c>
      <c r="ER8" s="12">
        <f>IF(SUM(EB8:EE8)-EF8&gt;0,SUM(EB8:EE8)-EF8,"")</f>
        <v>38.069999999999993</v>
      </c>
      <c r="ES8" s="12">
        <f>IF(SUM(EG8:EJ8)-EK8&gt;0,SUM(EG8:EJ8)-EK8,"")</f>
        <v>47.905000000000001</v>
      </c>
      <c r="ET8" s="12">
        <f>IF(SUM(ER8:ES8)&gt;0,SUM(ER8:ES8),"")</f>
        <v>85.974999999999994</v>
      </c>
      <c r="EU8" s="12" t="str">
        <f>IF(SUM(EL8:EO8)-EP8&gt;0,SUM(EL8:EO8)-EP8,"")</f>
        <v/>
      </c>
      <c r="EV8" s="12">
        <f>IF(SUM(ET8,EU8)&gt;0,SUM(ET8,EU8),"")</f>
        <v>85.974999999999994</v>
      </c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46"/>
      <c r="FJ8" s="46"/>
      <c r="FK8" s="46"/>
      <c r="FL8" s="15" t="str">
        <f>IF(SUM(FD8)&gt;0,SUM(FD8),"")</f>
        <v/>
      </c>
      <c r="FM8" s="15" t="str">
        <f>IF(SUM(EW8:EZ8)-FA8&gt;0,SUM(EW8:EZ8)-FA8,"")</f>
        <v/>
      </c>
      <c r="FN8" s="15" t="str">
        <f>IF(SUM(FB8:FE8)-FF8&gt;0,SUM(FB8:FE8)-FF8,"")</f>
        <v/>
      </c>
      <c r="FO8" s="15" t="str">
        <f>IF(SUM(FM8:FN8)&gt;0,SUM(FM8:FN8),"")</f>
        <v/>
      </c>
      <c r="FP8" s="15" t="str">
        <f>IF(SUM(FG8:FJ8)-FK8&gt;0,SUM(FG8:FJ8)-FK8,"")</f>
        <v/>
      </c>
      <c r="FQ8" s="15" t="str">
        <f>IF(SUM(FO8,FP8)&gt;0,SUM(FO8,FP8),"")</f>
        <v/>
      </c>
      <c r="FR8" s="45"/>
      <c r="FS8" s="45"/>
      <c r="FT8" s="45"/>
      <c r="FU8" s="45"/>
      <c r="FV8" s="45"/>
      <c r="FW8" s="45"/>
      <c r="FX8" s="45"/>
      <c r="FY8" s="45"/>
      <c r="FZ8" s="45"/>
      <c r="GA8" s="45"/>
      <c r="GB8" s="45"/>
      <c r="GC8" s="45"/>
      <c r="GD8" s="45"/>
      <c r="GE8" s="45"/>
      <c r="GF8" s="45"/>
      <c r="GG8" s="12" t="str">
        <f>IF(SUM(FY8)&gt;0,SUM(FY8),"")</f>
        <v/>
      </c>
      <c r="GH8" s="12" t="str">
        <f>IF(SUM(FR8:FU8)-FV8&gt;0,SUM(FR8:FU8)-FV8,"")</f>
        <v/>
      </c>
      <c r="GI8" s="12" t="str">
        <f>IF(SUM(FW8:FZ8)-GA8&gt;0,SUM(FW8:FZ8)-GA8,"")</f>
        <v/>
      </c>
      <c r="GJ8" s="12" t="str">
        <f>IF(SUM(GH8:GI8)&gt;0,SUM(GH8:GI8),"")</f>
        <v/>
      </c>
      <c r="GK8" s="12" t="str">
        <f>IF(SUM(GB8:GE8)-GF8&gt;0,SUM(GB8:GE8)-GF8,"")</f>
        <v/>
      </c>
      <c r="GL8" s="12" t="str">
        <f>IF(SUM(GJ8,GK8)&gt;0,SUM(GJ8,GK8),"")</f>
        <v/>
      </c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15" t="str">
        <f>IF(SUM(GT8)&gt;0,SUM(GT8),"")</f>
        <v/>
      </c>
      <c r="HC8" s="15" t="str">
        <f>IF(SUM(GM8:GP8)-GQ8&gt;0,SUM(GM8:GP8)-GQ8,"")</f>
        <v/>
      </c>
      <c r="HD8" s="15" t="str">
        <f>IF(SUM(GR8:GU8)-GV8&gt;0,SUM(GR8:GU8)-GV8,"")</f>
        <v/>
      </c>
      <c r="HE8" s="15" t="str">
        <f>IF(SUM(HC8:HD8)&gt;0,SUM(HC8:HD8),"")</f>
        <v/>
      </c>
      <c r="HF8" s="15" t="str">
        <f>IF(SUM(GW8:GZ8)-HA8&gt;0,SUM(GW8:GZ8)-HA8,"")</f>
        <v/>
      </c>
      <c r="HG8" s="15" t="str">
        <f>IF(SUM(HE8,HF8)&gt;0,SUM(HE8,HF8),"")</f>
        <v/>
      </c>
      <c r="HH8" s="45"/>
      <c r="HI8" s="45"/>
      <c r="HJ8" s="45"/>
      <c r="HK8" s="45"/>
      <c r="HL8" s="45"/>
      <c r="HM8" s="45"/>
      <c r="HN8" s="45"/>
      <c r="HO8" s="45"/>
      <c r="HP8" s="45"/>
      <c r="HQ8" s="45"/>
      <c r="HR8" s="45"/>
      <c r="HS8" s="45"/>
      <c r="HT8" s="45"/>
      <c r="HU8" s="45"/>
      <c r="HV8" s="45"/>
      <c r="HW8" s="12" t="str">
        <f>IF(SUM(HO8)&gt;0,SUM(HO8),"")</f>
        <v/>
      </c>
      <c r="HX8" s="12" t="str">
        <f>IF(SUM(HH8:HK8)-HL8&gt;0,SUM(HH8:HK8)-HL8,"")</f>
        <v/>
      </c>
      <c r="HY8" s="12" t="str">
        <f>IF(SUM(HM8:HP8)-HQ8&gt;0,SUM(HM8:HP8)-HQ8,"")</f>
        <v/>
      </c>
      <c r="HZ8" s="12" t="str">
        <f>IF(SUM(HX8:HY8)&gt;0,SUM(HX8:HY8),"")</f>
        <v/>
      </c>
      <c r="IA8" s="12" t="str">
        <f>IF(SUM(HR8:HU8)-HV8&gt;0,SUM(HR8:HU8)-HV8,"")</f>
        <v/>
      </c>
      <c r="IB8" s="12" t="str">
        <f>IF(SUM(HZ8,IA8)&gt;0,SUM(HZ8,IA8),"")</f>
        <v/>
      </c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15" t="str">
        <f>IF(SUM(IJ8)&gt;0,SUM(IJ8),"")</f>
        <v/>
      </c>
      <c r="IS8" s="15" t="str">
        <f>IF(SUM(IC8:IF8)-IG8&gt;0,SUM(IC8:IF8)-IG8,"")</f>
        <v/>
      </c>
      <c r="IT8" s="15" t="str">
        <f>IF(SUM(IH8:IK8)-IL8&gt;0,SUM(IH8:IK8)-IL8,"")</f>
        <v/>
      </c>
      <c r="IU8" s="15" t="str">
        <f>IF(SUM(IS8:IT8)&gt;0,SUM(IS8:IT8),"")</f>
        <v/>
      </c>
      <c r="IV8" s="15" t="str">
        <f>IF(SUM(IM8:IP8)-IQ8&gt;0,SUM(IM8:IP8)-IQ8,"")</f>
        <v/>
      </c>
      <c r="IW8" s="15" t="str">
        <f>IF(SUM(IU8,IV8)&gt;0,SUM(IU8,IV8),"")</f>
        <v/>
      </c>
      <c r="IX8" s="45"/>
      <c r="IY8" s="45"/>
      <c r="IZ8" s="45"/>
      <c r="JA8" s="45"/>
      <c r="JB8" s="45"/>
      <c r="JC8" s="45"/>
      <c r="JD8" s="45"/>
      <c r="JE8" s="45"/>
      <c r="JF8" s="45"/>
      <c r="JG8" s="45"/>
      <c r="JH8" s="45"/>
      <c r="JI8" s="45"/>
      <c r="JJ8" s="45"/>
      <c r="JK8" s="45"/>
      <c r="JL8" s="45"/>
      <c r="JM8" s="12" t="str">
        <f>IF(SUM(JE8)&gt;0,SUM(JE8),"")</f>
        <v/>
      </c>
      <c r="JN8" s="12" t="str">
        <f>IF(SUM(IX8:JA8)-JB8&gt;0,SUM(IX8:JA8)-JB8,"")</f>
        <v/>
      </c>
      <c r="JO8" s="12" t="str">
        <f>IF(SUM(JC8:JF8)-JG8&gt;0,SUM(JC8:JF8)-JG8,"")</f>
        <v/>
      </c>
      <c r="JP8" s="12" t="str">
        <f>IF(SUM(JN8:JO8)&gt;0,SUM(JN8:JO8),"")</f>
        <v/>
      </c>
      <c r="JQ8" s="12" t="str">
        <f>IF(SUM(JH8:JK8)-JL8&gt;0,SUM(JH8:JK8)-JL8,"")</f>
        <v/>
      </c>
      <c r="JR8" s="12" t="str">
        <f>IF(SUM(JP8,JQ8)&gt;0,SUM(JP8,JQ8),"")</f>
        <v/>
      </c>
      <c r="JS8" s="46"/>
      <c r="JT8" s="46"/>
      <c r="JU8" s="46"/>
      <c r="JV8" s="46"/>
      <c r="JW8" s="46"/>
      <c r="JX8" s="46"/>
      <c r="JY8" s="46"/>
      <c r="JZ8" s="46"/>
      <c r="KA8" s="46"/>
      <c r="KB8" s="46"/>
      <c r="KC8" s="46"/>
      <c r="KD8" s="46"/>
      <c r="KE8" s="46"/>
      <c r="KF8" s="46"/>
      <c r="KG8" s="46"/>
      <c r="KH8" s="15" t="str">
        <f>IF(SUM(JZ8)&gt;0,SUM(JZ8),"")</f>
        <v/>
      </c>
      <c r="KI8" s="15" t="str">
        <f>IF(SUM(JS8:JV8)-JW8&gt;0,SUM(JS8:JV8)-JW8,"")</f>
        <v/>
      </c>
      <c r="KJ8" s="15" t="str">
        <f>IF(SUM(JX8:KA8)-KB8&gt;0,SUM(JX8:KA8)-KB8,"")</f>
        <v/>
      </c>
      <c r="KK8" s="15" t="str">
        <f>IF(SUM(KI8:KJ8)&gt;0,SUM(KI8:KJ8),"")</f>
        <v/>
      </c>
      <c r="KL8" s="15" t="str">
        <f>IF(SUM(KC8:KF8)-KG8&gt;0,SUM(KC8:KF8)-KG8,"")</f>
        <v/>
      </c>
      <c r="KM8" s="15" t="str">
        <f>IF(SUM(KK8,KL8)&gt;0,SUM(KK8,KL8),"")</f>
        <v/>
      </c>
      <c r="KN8" s="45"/>
      <c r="KO8" s="45"/>
      <c r="KP8" s="45"/>
      <c r="KQ8" s="45"/>
      <c r="KR8" s="45"/>
      <c r="KS8" s="45"/>
      <c r="KT8" s="45"/>
      <c r="KU8" s="45"/>
      <c r="KV8" s="45"/>
      <c r="KW8" s="45"/>
      <c r="KX8" s="45"/>
      <c r="KY8" s="45"/>
      <c r="KZ8" s="45"/>
      <c r="LA8" s="45"/>
      <c r="LB8" s="45"/>
      <c r="LC8" s="12" t="str">
        <f>IF(SUM(KU8)&gt;0,SUM(KU8),"")</f>
        <v/>
      </c>
      <c r="LD8" s="12" t="str">
        <f>IF(SUM(KN8:KQ8)-KR8&gt;0,SUM(KN8:KQ8)-KR8,"")</f>
        <v/>
      </c>
      <c r="LE8" s="12" t="str">
        <f>IF(SUM(KS8:KV8)-KW8&gt;0,SUM(KS8:KV8)-KW8,"")</f>
        <v/>
      </c>
      <c r="LF8" s="12" t="str">
        <f>IF(SUM(LD8:LE8)&gt;0,SUM(LD8:LE8),"")</f>
        <v/>
      </c>
      <c r="LG8" s="12" t="str">
        <f>IF(SUM(KX8:LA8)-LB8&gt;0,SUM(KX8:LA8)-LB8,"")</f>
        <v/>
      </c>
      <c r="LH8" s="12" t="str">
        <f>IF(SUM(LF8,LG8)&gt;0,SUM(LF8,LG8),"")</f>
        <v/>
      </c>
      <c r="LI8" s="46"/>
      <c r="LJ8" s="46"/>
      <c r="LK8" s="46"/>
      <c r="LL8" s="46"/>
      <c r="LM8" s="46"/>
      <c r="LN8" s="46"/>
      <c r="LO8" s="46"/>
      <c r="LP8" s="46"/>
      <c r="LQ8" s="46"/>
      <c r="LR8" s="46"/>
      <c r="LS8" s="46"/>
      <c r="LT8" s="46"/>
      <c r="LU8" s="46"/>
      <c r="LV8" s="46"/>
      <c r="LW8" s="46"/>
      <c r="LX8" s="15" t="str">
        <f>IF(SUM(LP8)&gt;0,SUM(LP8),"")</f>
        <v/>
      </c>
      <c r="LY8" s="15" t="str">
        <f>IF(SUM(LI8:LL8)-LM8&gt;0,SUM(LI8:LL8)-LM8,"")</f>
        <v/>
      </c>
      <c r="LZ8" s="15" t="str">
        <f>IF(SUM(LN8:LQ8)-LR8&gt;0,SUM(LN8:LQ8)-LR8,"")</f>
        <v/>
      </c>
      <c r="MA8" s="15" t="str">
        <f>IF(SUM(LY8:LZ8)&gt;0,SUM(LY8:LZ8),"")</f>
        <v/>
      </c>
      <c r="MB8" s="15" t="str">
        <f>IF(SUM(LS8:LV8)-LW8&gt;0,SUM(LS8:LV8)-LW8,"")</f>
        <v/>
      </c>
      <c r="MC8" s="15" t="str">
        <f>IF(SUM(MA8,MB8)&gt;0,SUM(MA8,MB8),"")</f>
        <v/>
      </c>
    </row>
    <row r="9" spans="1:341" x14ac:dyDescent="0.2">
      <c r="A9" s="6" t="str">
        <f>IF(AND(F9="P",H9="P"),SUMPRODUCT((F$4:F$16="P")*(H$4:H$16="P")*(E$4:E$16&gt;E9))+1,IF(H9="P",SUMPRODUCT((F$4:F$16="")*(H$4:H$16="P")*(E$4:E$16&gt;E9))+1+SUMPRODUCT((F$4:F$16="P")*(H$4:H$16="P")),""))</f>
        <v/>
      </c>
      <c r="B9" s="9" t="s">
        <v>104</v>
      </c>
      <c r="C9" s="5" t="s">
        <v>3</v>
      </c>
      <c r="D9" s="31">
        <v>2001</v>
      </c>
      <c r="E9" s="16">
        <f>SUM(J9:R9)</f>
        <v>230.45500000000001</v>
      </c>
      <c r="F9" s="4" t="str">
        <f>IF(OR(AND($AK9&gt;=$AL$19,NOT($AK9=""),$AJ9=""),AND($BG9&gt;=$BH$19,NOT($BG9=""),$BF9=""),AND($CC9&gt;=$CD$19,NOT($CC9=""),$CB9="")),"P","")</f>
        <v/>
      </c>
      <c r="G9" s="4" t="str">
        <f>IF(OR(AND($AK9&gt;=$AL$20,NOT($AK9=""),$AJ9=""),AND($BG9&gt;=$BH$20,NOT($BG9=""),$BF9=""),AND($CC9&gt;=$CD$20,NOT($CC9=""),$CB9="")),"P","")</f>
        <v/>
      </c>
      <c r="H9" s="4" t="str">
        <f>IF(OR(AND($AN9&gt;=$AL$21,NOT($AN9=""),$AJ9=""),AND($BJ9&gt;=$BH$21,NOT($BJ9=""),$BF9=""),AND($CF9&gt;=$CD$21,NOT($CF9=""),$CB9="")),"P","")</f>
        <v/>
      </c>
      <c r="I9" t="str">
        <f>IF(AND(F9="P",OR(AND($AM9&gt;$AL$24,NOT($AM9=""),$AJ9=""),AND($AO9&gt;$AL$24,NOT($AO9=""),$AJ9=""),AND($BI9&gt;$BH$24,NOT($BI9=""),$BF9=""),AND($BK9&gt;$BH$24,NOT($BK9=""),$BF9=""),AND($CE9&gt;$CD$24,NOT($CE9=""),$CB9=""),AND($CG9&gt;$CD$24,NOT($CG9=""),$CB9=""))),"Merit",IF(AND(F9="P",OR(AND($AN9&gt;$AL$23,NOT($AN9=""),$AJ9=""),AND($BJ9&gt;$BH$23,NOT($BJ9=""),$BF9=""),AND($CF9&gt;$CD$23,NOT($CF9=""),$CB9=""))),"Funding",IF(AND(F9="P",OR(AND($AN9&gt;$AL$22,NOT($AN9=""),$AJ9=""),AND($BJ9&gt;$BH$22,NOT($BJ9=""),$BF9=""),AND($CF9&gt;$CD$22,NOT($CF9=""),$CB9=""))),"Worlds Team",IF(AND(F9="P",OR(AND($AN9&gt;$AL$21,NOT($AN9=""),$AJ9=""),AND($BJ9&gt;$BH$21,NOT($BJ9=""),$BF9=""),AND($CF9&gt;$CD$21,NOT($CF9=""),$CB9=""))),"National Team",""))))</f>
        <v/>
      </c>
      <c r="J9" s="15">
        <f>MAX(AN9,BJ9,CF9)</f>
        <v>91.575000000000003</v>
      </c>
      <c r="K9" s="15" t="str">
        <f>IF(J9=CF9,$BM$1,IF(J9=BJ9,$AQ$1,IF(J9=AN9,$U$1,"")))</f>
        <v>2017 Nationals</v>
      </c>
      <c r="L9" s="15">
        <f>IF($J9=$AN9,MAX(BH9,CD9),IF($J9=$BJ9,MAX(AL9,CD9),MAX(AL9,BH9)))</f>
        <v>43.22</v>
      </c>
      <c r="M9" s="15" t="str">
        <f>IF(AND(L9=CD9,$K9&lt;&gt;$BM$1),$BM$1,IF(AND(L9=BH9,$K9&lt;&gt;$AQ$1),$AQ$1,IF(AND(L9=AL9,$K9&lt;&gt;$U$1),$U$1,"")))</f>
        <v>2018 Canada Cup</v>
      </c>
      <c r="N9" s="15">
        <f>IF($J9=$AN9,MAX(BI9,CE9),IF($J9=$BJ9,MAX(AM9,CE9),MAX(AM9,BI9)))</f>
        <v>47.25</v>
      </c>
      <c r="O9" s="15" t="str">
        <f>IF(AND(N9=CE9,$K9&lt;&gt;$BM$1),$BM$1,IF(AND(N9=BI9,$K9&lt;&gt;$AQ$1),$AQ$1,IF(AND(N9=AM9,$K9&lt;&gt;$U$1),$U$1,"")))</f>
        <v>2018 Canada Cup</v>
      </c>
      <c r="P9" s="15">
        <f>MAX(AO9,BK9,CG9)</f>
        <v>48.41</v>
      </c>
      <c r="Q9" s="15" t="str">
        <f>IF(P9=CG9,$BM$1,IF(P9=BK9,$AQ$1,IF(P9=AO9,$U$1,"")))</f>
        <v>2018 Nationals</v>
      </c>
      <c r="R9" s="15" t="str">
        <f>IF(MAX(CI9:CK9)&gt;0,MAX(CI9:CK9),"")</f>
        <v/>
      </c>
      <c r="S9" s="29" t="str">
        <f>IF(R9="","",IF(R9=CI9,"(Vol 1)",IF(R9=CJ9,"(Vol 2)",IF(R9=CK9,"(Final)"))))</f>
        <v/>
      </c>
      <c r="T9" s="15" t="str">
        <f>IF(R9="","",IF(R9=CI9,IF(R9+L9=LY9,$LI$1,IF(R9+L9=LD9,$KN$1,IF(R9+L9=KI9,$JS$1,IF(R9+L9=JN9,$IX$1,IF(R9+L9=IS9,$IC$1,IF(R9+L9=HX9,$HH$1,IF(R9+L9=HC9,$GM$1,IF(R9+L9=GH9,$FR$1,IF(R9+L9=FM9,$EW$1,IF(R9+L9=ER9,$EB$1,IF(R9+L9=DW9,$DG$1,IF(R9+L9=DB9,$CL$1)))))))))))),IF(R9=CJ9,IF(R9+N9=LZ9,$LI$1,IF(R9+N9=LE9,$KN$1,IF(R9+N9=KJ9,$JS$1,IF(R9+N9=JO9,$IX$1,IF(R9+N9=IT9,$IC$1,IF(R9+N9=HY9,$HH$1,IF(R9+N9=HD9,$GM$1,IF(R9+N9=GI9,$FR$1,IF(R9+N9=FN9,$EW$1,IF(R9+N9=ES9,$EB$1,IF(R9+N9=DX9,$DG$1,IF(R9+N9=DC9,$CL$1)))))))))))),IF(R9=CK9,IF(R9+P9=MB9,$LI$1,IF(R9+P9=LG9,$KN$1,IF(R9+P9=KL9,$JS$1,IF(R9+P9=JQ9,$IX$1,IF(R9+P9=IV9,$IC$1,IF(R9+P9=IA9,$HH$1,IF(R9+P9=HF9,$GM$1,IF(R9+P9=GK9,$FR$1,IF(R9+P9=FP9,$EW$1,IF(R9+P9=EU9,$EB$1,IF(R9+P9=DZ9,$DG$1,IF(R9+P9=DE9,$CL$1))))))))))))))))</f>
        <v/>
      </c>
      <c r="U9" s="45">
        <v>17.2</v>
      </c>
      <c r="V9" s="45">
        <v>8.6999999999999993</v>
      </c>
      <c r="W9" s="45">
        <v>3.2</v>
      </c>
      <c r="X9" s="45">
        <v>14.05</v>
      </c>
      <c r="Y9" s="45">
        <v>0</v>
      </c>
      <c r="Z9" s="45">
        <v>16.100000000000001</v>
      </c>
      <c r="AA9" s="45">
        <v>8.8000000000000007</v>
      </c>
      <c r="AB9" s="45">
        <v>9.8000000000000007</v>
      </c>
      <c r="AC9" s="45">
        <v>13.725</v>
      </c>
      <c r="AD9" s="45">
        <v>0</v>
      </c>
      <c r="AE9" s="45">
        <v>15</v>
      </c>
      <c r="AF9" s="45">
        <v>9.1</v>
      </c>
      <c r="AG9" s="45">
        <v>9.8000000000000007</v>
      </c>
      <c r="AH9" s="45">
        <v>13.824999999999999</v>
      </c>
      <c r="AI9" s="45">
        <v>0</v>
      </c>
      <c r="AJ9" s="108"/>
      <c r="AK9" s="12">
        <f>IF(SUM(AB9)&gt;0,SUM(AB9),"")</f>
        <v>9.8000000000000007</v>
      </c>
      <c r="AL9" s="12">
        <f>IF(SUM(U9:X9)-Y9&gt;0,SUM(U9:X9)-Y9,"")</f>
        <v>43.15</v>
      </c>
      <c r="AM9" s="12">
        <f>IF(SUM(Z9:AC9)-AD9&gt;0,SUM(Z9:AC9)-AD9,"")</f>
        <v>48.425000000000004</v>
      </c>
      <c r="AN9" s="12">
        <f>IF(SUM(AL9:AM9)&gt;0,SUM(AL9:AM9),"")</f>
        <v>91.575000000000003</v>
      </c>
      <c r="AO9" s="12">
        <f>IF(SUM(AE9:AH9)-AI9&gt;0,SUM(AE9:AH9)-AI9,"")</f>
        <v>47.725000000000009</v>
      </c>
      <c r="AP9" s="12">
        <f>IF(SUM(AN9,AO9)&gt;0,SUM(AN9,AO9),"")</f>
        <v>139.30000000000001</v>
      </c>
      <c r="AQ9" s="46">
        <v>16.100000000000001</v>
      </c>
      <c r="AR9" s="46">
        <v>9.1999999999999993</v>
      </c>
      <c r="AS9" s="46">
        <v>3.8</v>
      </c>
      <c r="AT9" s="46">
        <v>14.12</v>
      </c>
      <c r="AU9" s="46">
        <v>0</v>
      </c>
      <c r="AV9" s="46">
        <v>14.3</v>
      </c>
      <c r="AW9" s="46">
        <v>9</v>
      </c>
      <c r="AX9" s="46">
        <v>10.3</v>
      </c>
      <c r="AY9" s="46">
        <v>13.65</v>
      </c>
      <c r="AZ9" s="46">
        <v>0</v>
      </c>
      <c r="BA9" s="46">
        <v>13.3</v>
      </c>
      <c r="BB9" s="46">
        <v>9.1</v>
      </c>
      <c r="BC9" s="46">
        <v>10</v>
      </c>
      <c r="BD9" s="46">
        <v>13.55</v>
      </c>
      <c r="BE9" s="46">
        <v>0</v>
      </c>
      <c r="BF9" s="109"/>
      <c r="BG9" s="15">
        <f>IF(SUM(AX9)&gt;0,SUM(AX9),"")</f>
        <v>10.3</v>
      </c>
      <c r="BH9" s="15">
        <f>IF(SUM(AQ9:AT9)-AU9&gt;0,SUM(AQ9:AT9)-AU9,"")</f>
        <v>43.22</v>
      </c>
      <c r="BI9" s="15">
        <f>IF(SUM(AV9:AY9)-AZ9&gt;0,SUM(AV9:AY9)-AZ9,"")</f>
        <v>47.25</v>
      </c>
      <c r="BJ9" s="15">
        <f>IF(SUM(BH9:BI9)&gt;0,SUM(BH9:BI9),"")</f>
        <v>90.47</v>
      </c>
      <c r="BK9" s="15">
        <f>IF(SUM(BA9:BD9)-BE9&gt;0,SUM(BA9:BD9)-BE9,"")</f>
        <v>45.95</v>
      </c>
      <c r="BL9" s="15">
        <f>IF(SUM(BJ9,BK9)&gt;0,SUM(BJ9,BK9),"")</f>
        <v>136.42000000000002</v>
      </c>
      <c r="BM9" s="45">
        <v>6.2</v>
      </c>
      <c r="BN9" s="45">
        <v>3.55</v>
      </c>
      <c r="BO9" s="45">
        <v>0.6</v>
      </c>
      <c r="BP9" s="45">
        <v>5.9050000000000002</v>
      </c>
      <c r="BQ9" s="45">
        <v>0</v>
      </c>
      <c r="BR9" s="45">
        <v>10.199999999999999</v>
      </c>
      <c r="BS9" s="45">
        <v>8.65</v>
      </c>
      <c r="BT9" s="45">
        <v>9.9</v>
      </c>
      <c r="BU9" s="45">
        <v>13.68</v>
      </c>
      <c r="BV9" s="45">
        <v>0</v>
      </c>
      <c r="BW9" s="45">
        <v>14.8</v>
      </c>
      <c r="BX9" s="45">
        <v>9.15</v>
      </c>
      <c r="BY9" s="45">
        <v>10.3</v>
      </c>
      <c r="BZ9" s="45">
        <v>14.16</v>
      </c>
      <c r="CA9" s="45">
        <v>0</v>
      </c>
      <c r="CB9" s="108"/>
      <c r="CC9" s="12">
        <f>IF(SUM(BT9)&gt;0,SUM(BT9),"")</f>
        <v>9.9</v>
      </c>
      <c r="CD9" s="12">
        <f>IF(SUM(BM9:BP9)-BQ9&gt;0,SUM(BM9:BP9)-BQ9,"")</f>
        <v>16.254999999999999</v>
      </c>
      <c r="CE9" s="12">
        <f>IF(SUM(BR9:BU9)-BV9&gt;0,SUM(BR9:BU9)-BV9,"")</f>
        <v>42.43</v>
      </c>
      <c r="CF9" s="12">
        <f>IF(SUM(CD9:CE9)&gt;0,SUM(CD9:CE9),"")</f>
        <v>58.685000000000002</v>
      </c>
      <c r="CG9" s="12">
        <f>IF(SUM(BW9:BZ9)-CA9&gt;0,SUM(BW9:BZ9)-CA9,"")</f>
        <v>48.41</v>
      </c>
      <c r="CH9" s="12">
        <f>IF(SUM(CF9,CG9)&gt;0,SUM(CF9,CG9),"")</f>
        <v>107.095</v>
      </c>
      <c r="CI9" s="28" t="str">
        <f>IF(MAX(DB9,DW9,ER9,FM9,GH9,HC9,HX9,IS9,JN9,KI9,LD9,LY9)-L9&gt;0.001,MAX(DB9,DW9,ER9,FM9,GH9,HC9,HX9,IS9,JN9,KI9,LD9,LY9)-L9,"")</f>
        <v/>
      </c>
      <c r="CJ9" s="28" t="str">
        <f>IF(MAX(DC9,DX9,ES9,FN9,GI9,HD9,HY9,IT9,JO9,KJ9,LE9,LZ9)-N9&gt;0.001,MAX(DC9,DX9,ES9,FN9,GI9,HD9,HY9,IT9,JO9,KJ9,LE9,LZ9)-N9,"")</f>
        <v/>
      </c>
      <c r="CK9" s="28" t="str">
        <f>IF(MAX(DE9,DZ9,EU9,FP9,GK9,HF9,IA9,IV9,JQ9,KL9,LG9,MB9)-P9&gt;0.001,MAX(DE9,DZ9,EU9,FP9,GK9,HF9,IA9,IV9,JQ9,KL9,LG9,MB9)-P9,"")</f>
        <v/>
      </c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45"/>
      <c r="CY9" s="45"/>
      <c r="CZ9" s="45"/>
      <c r="DA9" s="12" t="str">
        <f>IF(SUM(CS9)&gt;0,SUM(CS9),"")</f>
        <v/>
      </c>
      <c r="DB9" s="12" t="str">
        <f>IF(SUM(CL9:CO9)-CP9&gt;0,SUM(CL9:CO9)-CP9,"")</f>
        <v/>
      </c>
      <c r="DC9" s="12" t="str">
        <f>IF(SUM(CQ9:CT9)-CU9&gt;0,SUM(CQ9:CT9)-CU9,"")</f>
        <v/>
      </c>
      <c r="DD9" s="12" t="str">
        <f>IF(SUM(DB9:DC9)&gt;0,SUM(DB9:DC9),"")</f>
        <v/>
      </c>
      <c r="DE9" s="12" t="str">
        <f>IF(SUM(CV9:CY9)-CZ9&gt;0,SUM(CV9:CY9)-CZ9,"")</f>
        <v/>
      </c>
      <c r="DF9" s="12" t="str">
        <f>IF(SUM(DD9,DE9)&gt;0,SUM(DD9,DE9),"")</f>
        <v/>
      </c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15" t="str">
        <f>IF(SUM(DN9)&gt;0,SUM(DN9),"")</f>
        <v/>
      </c>
      <c r="DW9" s="15" t="str">
        <f>IF(SUM(DG9:DJ9)-DK9&gt;0,SUM(DG9:DJ9)-DK9,"")</f>
        <v/>
      </c>
      <c r="DX9" s="15" t="str">
        <f>IF(SUM(DL9:DO9)-DP9&gt;0,SUM(DL9:DO9)-DP9,"")</f>
        <v/>
      </c>
      <c r="DY9" s="15" t="str">
        <f>IF(SUM(DW9:DX9)&gt;0,SUM(DW9:DX9),"")</f>
        <v/>
      </c>
      <c r="DZ9" s="15" t="str">
        <f>IF(SUM(DQ9:DT9)-DU9&gt;0,SUM(DQ9:DT9)-DU9,"")</f>
        <v/>
      </c>
      <c r="EA9" s="15" t="str">
        <f>IF(SUM(DY9,DZ9)&gt;0,SUM(DY9,DZ9),"")</f>
        <v/>
      </c>
      <c r="EB9" s="45"/>
      <c r="EC9" s="45"/>
      <c r="ED9" s="45"/>
      <c r="EE9" s="45"/>
      <c r="EF9" s="45"/>
      <c r="EG9" s="45"/>
      <c r="EH9" s="45"/>
      <c r="EI9" s="45"/>
      <c r="EJ9" s="45"/>
      <c r="EK9" s="45"/>
      <c r="EL9" s="45"/>
      <c r="EM9" s="45"/>
      <c r="EN9" s="45"/>
      <c r="EO9" s="45"/>
      <c r="EP9" s="45"/>
      <c r="EQ9" s="12" t="str">
        <f>IF(SUM(EI9)&gt;0,SUM(EI9),"")</f>
        <v/>
      </c>
      <c r="ER9" s="12" t="str">
        <f>IF(SUM(EB9:EE9)-EF9&gt;0,SUM(EB9:EE9)-EF9,"")</f>
        <v/>
      </c>
      <c r="ES9" s="12" t="str">
        <f>IF(SUM(EG9:EJ9)-EK9&gt;0,SUM(EG9:EJ9)-EK9,"")</f>
        <v/>
      </c>
      <c r="ET9" s="12" t="str">
        <f>IF(SUM(ER9:ES9)&gt;0,SUM(ER9:ES9),"")</f>
        <v/>
      </c>
      <c r="EU9" s="12" t="str">
        <f>IF(SUM(EL9:EO9)-EP9&gt;0,SUM(EL9:EO9)-EP9,"")</f>
        <v/>
      </c>
      <c r="EV9" s="12" t="str">
        <f>IF(SUM(ET9,EU9)&gt;0,SUM(ET9,EU9),"")</f>
        <v/>
      </c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46"/>
      <c r="FK9" s="46"/>
      <c r="FL9" s="15" t="str">
        <f>IF(SUM(FD9)&gt;0,SUM(FD9),"")</f>
        <v/>
      </c>
      <c r="FM9" s="15" t="str">
        <f>IF(SUM(EW9:EZ9)-FA9&gt;0,SUM(EW9:EZ9)-FA9,"")</f>
        <v/>
      </c>
      <c r="FN9" s="15" t="str">
        <f>IF(SUM(FB9:FE9)-FF9&gt;0,SUM(FB9:FE9)-FF9,"")</f>
        <v/>
      </c>
      <c r="FO9" s="15" t="str">
        <f>IF(SUM(FM9:FN9)&gt;0,SUM(FM9:FN9),"")</f>
        <v/>
      </c>
      <c r="FP9" s="15" t="str">
        <f>IF(SUM(FG9:FJ9)-FK9&gt;0,SUM(FG9:FJ9)-FK9,"")</f>
        <v/>
      </c>
      <c r="FQ9" s="15" t="str">
        <f>IF(SUM(FO9,FP9)&gt;0,SUM(FO9,FP9),"")</f>
        <v/>
      </c>
      <c r="FR9" s="45"/>
      <c r="FS9" s="45"/>
      <c r="FT9" s="45"/>
      <c r="FU9" s="45"/>
      <c r="FV9" s="45"/>
      <c r="FW9" s="45"/>
      <c r="FX9" s="45"/>
      <c r="FY9" s="45"/>
      <c r="FZ9" s="45"/>
      <c r="GA9" s="45"/>
      <c r="GB9" s="45"/>
      <c r="GC9" s="45"/>
      <c r="GD9" s="45"/>
      <c r="GE9" s="45"/>
      <c r="GF9" s="45"/>
      <c r="GG9" s="12" t="str">
        <f>IF(SUM(FY9)&gt;0,SUM(FY9),"")</f>
        <v/>
      </c>
      <c r="GH9" s="12" t="str">
        <f>IF(SUM(FR9:FU9)-FV9&gt;0,SUM(FR9:FU9)-FV9,"")</f>
        <v/>
      </c>
      <c r="GI9" s="12" t="str">
        <f>IF(SUM(FW9:FZ9)-GA9&gt;0,SUM(FW9:FZ9)-GA9,"")</f>
        <v/>
      </c>
      <c r="GJ9" s="12" t="str">
        <f>IF(SUM(GH9:GI9)&gt;0,SUM(GH9:GI9),"")</f>
        <v/>
      </c>
      <c r="GK9" s="12" t="str">
        <f>IF(SUM(GB9:GE9)-GF9&gt;0,SUM(GB9:GE9)-GF9,"")</f>
        <v/>
      </c>
      <c r="GL9" s="12" t="str">
        <f>IF(SUM(GJ9,GK9)&gt;0,SUM(GJ9,GK9),"")</f>
        <v/>
      </c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46"/>
      <c r="GZ9" s="46"/>
      <c r="HA9" s="46"/>
      <c r="HB9" s="15" t="str">
        <f>IF(SUM(GT9)&gt;0,SUM(GT9),"")</f>
        <v/>
      </c>
      <c r="HC9" s="15" t="str">
        <f>IF(SUM(GM9:GP9)-GQ9&gt;0,SUM(GM9:GP9)-GQ9,"")</f>
        <v/>
      </c>
      <c r="HD9" s="15" t="str">
        <f>IF(SUM(GR9:GU9)-GV9&gt;0,SUM(GR9:GU9)-GV9,"")</f>
        <v/>
      </c>
      <c r="HE9" s="15" t="str">
        <f>IF(SUM(HC9:HD9)&gt;0,SUM(HC9:HD9),"")</f>
        <v/>
      </c>
      <c r="HF9" s="15" t="str">
        <f>IF(SUM(GW9:GZ9)-HA9&gt;0,SUM(GW9:GZ9)-HA9,"")</f>
        <v/>
      </c>
      <c r="HG9" s="15" t="str">
        <f>IF(SUM(HE9,HF9)&gt;0,SUM(HE9,HF9),"")</f>
        <v/>
      </c>
      <c r="HH9" s="45"/>
      <c r="HI9" s="45"/>
      <c r="HJ9" s="45"/>
      <c r="HK9" s="45"/>
      <c r="HL9" s="45"/>
      <c r="HM9" s="45"/>
      <c r="HN9" s="45"/>
      <c r="HO9" s="45"/>
      <c r="HP9" s="45"/>
      <c r="HQ9" s="45"/>
      <c r="HR9" s="45"/>
      <c r="HS9" s="45"/>
      <c r="HT9" s="45"/>
      <c r="HU9" s="45"/>
      <c r="HV9" s="45"/>
      <c r="HW9" s="12" t="str">
        <f>IF(SUM(HO9)&gt;0,SUM(HO9),"")</f>
        <v/>
      </c>
      <c r="HX9" s="12" t="str">
        <f>IF(SUM(HH9:HK9)-HL9&gt;0,SUM(HH9:HK9)-HL9,"")</f>
        <v/>
      </c>
      <c r="HY9" s="12" t="str">
        <f>IF(SUM(HM9:HP9)-HQ9&gt;0,SUM(HM9:HP9)-HQ9,"")</f>
        <v/>
      </c>
      <c r="HZ9" s="12" t="str">
        <f>IF(SUM(HX9:HY9)&gt;0,SUM(HX9:HY9),"")</f>
        <v/>
      </c>
      <c r="IA9" s="12" t="str">
        <f>IF(SUM(HR9:HU9)-HV9&gt;0,SUM(HR9:HU9)-HV9,"")</f>
        <v/>
      </c>
      <c r="IB9" s="12" t="str">
        <f>IF(SUM(HZ9,IA9)&gt;0,SUM(HZ9,IA9),"")</f>
        <v/>
      </c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46"/>
      <c r="IP9" s="46"/>
      <c r="IQ9" s="46"/>
      <c r="IR9" s="15" t="str">
        <f>IF(SUM(IJ9)&gt;0,SUM(IJ9),"")</f>
        <v/>
      </c>
      <c r="IS9" s="15" t="str">
        <f>IF(SUM(IC9:IF9)-IG9&gt;0,SUM(IC9:IF9)-IG9,"")</f>
        <v/>
      </c>
      <c r="IT9" s="15" t="str">
        <f>IF(SUM(IH9:IK9)-IL9&gt;0,SUM(IH9:IK9)-IL9,"")</f>
        <v/>
      </c>
      <c r="IU9" s="15" t="str">
        <f>IF(SUM(IS9:IT9)&gt;0,SUM(IS9:IT9),"")</f>
        <v/>
      </c>
      <c r="IV9" s="15" t="str">
        <f>IF(SUM(IM9:IP9)-IQ9&gt;0,SUM(IM9:IP9)-IQ9,"")</f>
        <v/>
      </c>
      <c r="IW9" s="15" t="str">
        <f>IF(SUM(IU9,IV9)&gt;0,SUM(IU9,IV9),"")</f>
        <v/>
      </c>
      <c r="IX9" s="45"/>
      <c r="IY9" s="45"/>
      <c r="IZ9" s="45"/>
      <c r="JA9" s="45"/>
      <c r="JB9" s="45"/>
      <c r="JC9" s="45"/>
      <c r="JD9" s="45"/>
      <c r="JE9" s="45"/>
      <c r="JF9" s="45"/>
      <c r="JG9" s="45"/>
      <c r="JH9" s="45"/>
      <c r="JI9" s="45"/>
      <c r="JJ9" s="45"/>
      <c r="JK9" s="45"/>
      <c r="JL9" s="45"/>
      <c r="JM9" s="12" t="str">
        <f>IF(SUM(JE9)&gt;0,SUM(JE9),"")</f>
        <v/>
      </c>
      <c r="JN9" s="12" t="str">
        <f>IF(SUM(IX9:JA9)-JB9&gt;0,SUM(IX9:JA9)-JB9,"")</f>
        <v/>
      </c>
      <c r="JO9" s="12" t="str">
        <f>IF(SUM(JC9:JF9)-JG9&gt;0,SUM(JC9:JF9)-JG9,"")</f>
        <v/>
      </c>
      <c r="JP9" s="12" t="str">
        <f>IF(SUM(JN9:JO9)&gt;0,SUM(JN9:JO9),"")</f>
        <v/>
      </c>
      <c r="JQ9" s="12" t="str">
        <f>IF(SUM(JH9:JK9)-JL9&gt;0,SUM(JH9:JK9)-JL9,"")</f>
        <v/>
      </c>
      <c r="JR9" s="12" t="str">
        <f>IF(SUM(JP9,JQ9)&gt;0,SUM(JP9,JQ9),"")</f>
        <v/>
      </c>
      <c r="JS9" s="46"/>
      <c r="JT9" s="46"/>
      <c r="JU9" s="46"/>
      <c r="JV9" s="46"/>
      <c r="JW9" s="46"/>
      <c r="JX9" s="46"/>
      <c r="JY9" s="46"/>
      <c r="JZ9" s="46"/>
      <c r="KA9" s="46"/>
      <c r="KB9" s="46"/>
      <c r="KC9" s="46"/>
      <c r="KD9" s="46"/>
      <c r="KE9" s="46"/>
      <c r="KF9" s="46"/>
      <c r="KG9" s="46"/>
      <c r="KH9" s="15" t="str">
        <f>IF(SUM(JZ9)&gt;0,SUM(JZ9),"")</f>
        <v/>
      </c>
      <c r="KI9" s="15" t="str">
        <f>IF(SUM(JS9:JV9)-JW9&gt;0,SUM(JS9:JV9)-JW9,"")</f>
        <v/>
      </c>
      <c r="KJ9" s="15" t="str">
        <f>IF(SUM(JX9:KA9)-KB9&gt;0,SUM(JX9:KA9)-KB9,"")</f>
        <v/>
      </c>
      <c r="KK9" s="15" t="str">
        <f>IF(SUM(KI9:KJ9)&gt;0,SUM(KI9:KJ9),"")</f>
        <v/>
      </c>
      <c r="KL9" s="15" t="str">
        <f>IF(SUM(KC9:KF9)-KG9&gt;0,SUM(KC9:KF9)-KG9,"")</f>
        <v/>
      </c>
      <c r="KM9" s="15" t="str">
        <f>IF(SUM(KK9,KL9)&gt;0,SUM(KK9,KL9),"")</f>
        <v/>
      </c>
      <c r="KN9" s="45"/>
      <c r="KO9" s="45"/>
      <c r="KP9" s="45"/>
      <c r="KQ9" s="45"/>
      <c r="KR9" s="45"/>
      <c r="KS9" s="45"/>
      <c r="KT9" s="45"/>
      <c r="KU9" s="45"/>
      <c r="KV9" s="45"/>
      <c r="KW9" s="45"/>
      <c r="KX9" s="45"/>
      <c r="KY9" s="45"/>
      <c r="KZ9" s="45"/>
      <c r="LA9" s="45"/>
      <c r="LB9" s="45"/>
      <c r="LC9" s="12" t="str">
        <f>IF(SUM(KU9)&gt;0,SUM(KU9),"")</f>
        <v/>
      </c>
      <c r="LD9" s="12" t="str">
        <f>IF(SUM(KN9:KQ9)-KR9&gt;0,SUM(KN9:KQ9)-KR9,"")</f>
        <v/>
      </c>
      <c r="LE9" s="12" t="str">
        <f>IF(SUM(KS9:KV9)-KW9&gt;0,SUM(KS9:KV9)-KW9,"")</f>
        <v/>
      </c>
      <c r="LF9" s="12" t="str">
        <f>IF(SUM(LD9:LE9)&gt;0,SUM(LD9:LE9),"")</f>
        <v/>
      </c>
      <c r="LG9" s="12" t="str">
        <f>IF(SUM(KX9:LA9)-LB9&gt;0,SUM(KX9:LA9)-LB9,"")</f>
        <v/>
      </c>
      <c r="LH9" s="12" t="str">
        <f>IF(SUM(LF9,LG9)&gt;0,SUM(LF9,LG9),"")</f>
        <v/>
      </c>
      <c r="LI9" s="46"/>
      <c r="LJ9" s="46"/>
      <c r="LK9" s="46"/>
      <c r="LL9" s="46"/>
      <c r="LM9" s="46"/>
      <c r="LN9" s="46"/>
      <c r="LO9" s="46"/>
      <c r="LP9" s="46"/>
      <c r="LQ9" s="46"/>
      <c r="LR9" s="46"/>
      <c r="LS9" s="46"/>
      <c r="LT9" s="46"/>
      <c r="LU9" s="46"/>
      <c r="LV9" s="46"/>
      <c r="LW9" s="46"/>
      <c r="LX9" s="15" t="str">
        <f>IF(SUM(LP9)&gt;0,SUM(LP9),"")</f>
        <v/>
      </c>
      <c r="LY9" s="15" t="str">
        <f>IF(SUM(LI9:LL9)-LM9&gt;0,SUM(LI9:LL9)-LM9,"")</f>
        <v/>
      </c>
      <c r="LZ9" s="15" t="str">
        <f>IF(SUM(LN9:LQ9)-LR9&gt;0,SUM(LN9:LQ9)-LR9,"")</f>
        <v/>
      </c>
      <c r="MA9" s="15" t="str">
        <f>IF(SUM(LY9:LZ9)&gt;0,SUM(LY9:LZ9),"")</f>
        <v/>
      </c>
      <c r="MB9" s="15" t="str">
        <f>IF(SUM(LS9:LV9)-LW9&gt;0,SUM(LS9:LV9)-LW9,"")</f>
        <v/>
      </c>
      <c r="MC9" s="15" t="str">
        <f>IF(SUM(MA9,MB9)&gt;0,SUM(MA9,MB9),"")</f>
        <v/>
      </c>
    </row>
    <row r="10" spans="1:341" x14ac:dyDescent="0.2">
      <c r="A10" s="6" t="str">
        <f>IF(AND(F10="P",H10="P"),SUMPRODUCT((F$4:F$16="P")*(H$4:H$16="P")*(E$4:E$16&gt;E10))+1,IF(H10="P",SUMPRODUCT((F$4:F$16="")*(H$4:H$16="P")*(E$4:E$16&gt;E10))+1+SUMPRODUCT((F$4:F$16="P")*(H$4:H$16="P")),""))</f>
        <v/>
      </c>
      <c r="B10" s="9" t="s">
        <v>106</v>
      </c>
      <c r="C10" s="5" t="s">
        <v>3</v>
      </c>
      <c r="D10" s="31">
        <v>2000</v>
      </c>
      <c r="E10" s="16">
        <f>SUM(J10:R10)</f>
        <v>229.70500000000001</v>
      </c>
      <c r="F10" s="4" t="str">
        <f>IF(OR(AND($AK10&gt;=$AL$19,NOT($AK10=""),$AJ10=""),AND($BG10&gt;=$BH$19,NOT($BG10=""),$BF10=""),AND($CC10&gt;=$CD$19,NOT($CC10=""),$CB10="")),"P","")</f>
        <v/>
      </c>
      <c r="G10" s="4" t="str">
        <f>IF(OR(AND($AK10&gt;=$AL$20,NOT($AK10=""),$AJ10=""),AND($BG10&gt;=$BH$20,NOT($BG10=""),$BF10=""),AND($CC10&gt;=$CD$20,NOT($CC10=""),$CB10="")),"P","")</f>
        <v/>
      </c>
      <c r="H10" s="4" t="str">
        <f>IF(OR(AND($AN10&gt;=$AL$21,NOT($AN10=""),$AJ10=""),AND($BJ10&gt;=$BH$21,NOT($BJ10=""),$BF10=""),AND($CF10&gt;=$CD$21,NOT($CF10=""),$CB10="")),"P","")</f>
        <v/>
      </c>
      <c r="I10" t="str">
        <f>IF(AND(F10="P",OR(AND($AM10&gt;$AL$24,NOT($AM10=""),$AJ10=""),AND($AO10&gt;$AL$24,NOT($AO10=""),$AJ10=""),AND($BI10&gt;$BH$24,NOT($BI10=""),$BF10=""),AND($BK10&gt;$BH$24,NOT($BK10=""),$BF10=""),AND($CE10&gt;$CD$24,NOT($CE10=""),$CB10=""),AND($CG10&gt;$CD$24,NOT($CG10=""),$CB10=""))),"Merit",IF(AND(F10="P",OR(AND($AN10&gt;$AL$23,NOT($AN10=""),$AJ10=""),AND($BJ10&gt;$BH$23,NOT($BJ10=""),$BF10=""),AND($CF10&gt;$CD$23,NOT($CF10=""),$CB10=""))),"Funding",IF(AND(F10="P",OR(AND($AN10&gt;$AL$22,NOT($AN10=""),$AJ10=""),AND($BJ10&gt;$BH$22,NOT($BJ10=""),$BF10=""),AND($CF10&gt;$CD$22,NOT($CF10=""),$CB10=""))),"Worlds Team",IF(AND(F10="P",OR(AND($AN10&gt;$AL$21,NOT($AN10=""),$AJ10=""),AND($BJ10&gt;$BH$21,NOT($BJ10=""),$BF10=""),AND($CF10&gt;$CD$21,NOT($CF10=""),$CB10=""))),"National Team",""))))</f>
        <v/>
      </c>
      <c r="J10" s="15">
        <f>MAX(AN10,BJ10,CF10)</f>
        <v>91.465000000000003</v>
      </c>
      <c r="K10" s="15" t="str">
        <f>IF(J10=CF10,$BM$1,IF(J10=BJ10,$AQ$1,IF(J10=AN10,$U$1,"")))</f>
        <v>2017 Nationals</v>
      </c>
      <c r="L10" s="15">
        <f>IF($J10=$AN10,MAX(BH10,CD10),IF($J10=$BJ10,MAX(AL10,CD10),MAX(AL10,BH10)))</f>
        <v>44.870000000000005</v>
      </c>
      <c r="M10" s="15" t="str">
        <f>IF(AND(L10=CD10,$K10&lt;&gt;$BM$1),$BM$1,IF(AND(L10=BH10,$K10&lt;&gt;$AQ$1),$AQ$1,IF(AND(L10=AL10,$K10&lt;&gt;$U$1),$U$1,"")))</f>
        <v>2018 Nationals</v>
      </c>
      <c r="N10" s="15">
        <f>IF($J10=$AN10,MAX(BI10,CE10),IF($J10=$BJ10,MAX(AM10,CE10),MAX(AM10,BI10)))</f>
        <v>46.84</v>
      </c>
      <c r="O10" s="15" t="str">
        <f>IF(AND(N10=CE10,$K10&lt;&gt;$BM$1),$BM$1,IF(AND(N10=BI10,$K10&lt;&gt;$AQ$1),$AQ$1,IF(AND(N10=AM10,$K10&lt;&gt;$U$1),$U$1,"")))</f>
        <v>2018 Canada Cup</v>
      </c>
      <c r="P10" s="15">
        <f>MAX(AO10,BK10,CG10)</f>
        <v>46.53</v>
      </c>
      <c r="Q10" s="15" t="str">
        <f>IF(P10=CG10,$BM$1,IF(P10=BK10,$AQ$1,IF(P10=AO10,$U$1,"")))</f>
        <v>2018 Nationals</v>
      </c>
      <c r="R10" s="15" t="str">
        <f>IF(MAX(CI10:CK10)&gt;0,MAX(CI10:CK10),"")</f>
        <v/>
      </c>
      <c r="S10" s="29" t="str">
        <f>IF(R10="","",IF(R10=CI10,"(Vol 1)",IF(R10=CJ10,"(Vol 2)",IF(R10=CK10,"(Final)"))))</f>
        <v/>
      </c>
      <c r="T10" s="15" t="str">
        <f>IF(R10="","",IF(R10=CI10,IF(R10+L10=LY10,$LI$1,IF(R10+L10=LD10,$KN$1,IF(R10+L10=KI10,$JS$1,IF(R10+L10=JN10,$IX$1,IF(R10+L10=IS10,$IC$1,IF(R10+L10=HX10,$HH$1,IF(R10+L10=HC10,$GM$1,IF(R10+L10=GH10,$FR$1,IF(R10+L10=FM10,$EW$1,IF(R10+L10=ER10,$EB$1,IF(R10+L10=DW10,$DG$1,IF(R10+L10=DB10,$CL$1)))))))))))),IF(R10=CJ10,IF(R10+N10=LZ10,$LI$1,IF(R10+N10=LE10,$KN$1,IF(R10+N10=KJ10,$JS$1,IF(R10+N10=JO10,$IX$1,IF(R10+N10=IT10,$IC$1,IF(R10+N10=HY10,$HH$1,IF(R10+N10=HD10,$GM$1,IF(R10+N10=GI10,$FR$1,IF(R10+N10=FN10,$EW$1,IF(R10+N10=ES10,$EB$1,IF(R10+N10=DX10,$DG$1,IF(R10+N10=DC10,$CL$1)))))))))))),IF(R10=CK10,IF(R10+P10=MB10,$LI$1,IF(R10+P10=LG10,$KN$1,IF(R10+P10=KL10,$JS$1,IF(R10+P10=JQ10,$IX$1,IF(R10+P10=IV10,$IC$1,IF(R10+P10=IA10,$HH$1,IF(R10+P10=HF10,$GM$1,IF(R10+P10=GK10,$FR$1,IF(R10+P10=FP10,$EW$1,IF(R10+P10=EU10,$EB$1,IF(R10+P10=DZ10,$DG$1,IF(R10+P10=DE10,$CL$1))))))))))))))))</f>
        <v/>
      </c>
      <c r="U10" s="45">
        <v>16.5</v>
      </c>
      <c r="V10" s="45">
        <v>9.6</v>
      </c>
      <c r="W10" s="45">
        <v>3.7</v>
      </c>
      <c r="X10" s="45">
        <v>14.04</v>
      </c>
      <c r="Y10" s="45">
        <v>0</v>
      </c>
      <c r="Z10" s="45">
        <v>15.2</v>
      </c>
      <c r="AA10" s="45">
        <v>9.3000000000000007</v>
      </c>
      <c r="AB10" s="45">
        <v>9.4</v>
      </c>
      <c r="AC10" s="45">
        <v>13.725</v>
      </c>
      <c r="AD10" s="45">
        <v>0</v>
      </c>
      <c r="AE10" s="45">
        <v>13.9</v>
      </c>
      <c r="AF10" s="45">
        <v>9.6999999999999993</v>
      </c>
      <c r="AG10" s="45">
        <v>8.6999999999999993</v>
      </c>
      <c r="AH10" s="45">
        <v>13.275</v>
      </c>
      <c r="AI10" s="45">
        <v>0</v>
      </c>
      <c r="AJ10" s="108"/>
      <c r="AK10" s="12">
        <f>IF(SUM(AB10)&gt;0,SUM(AB10),"")</f>
        <v>9.4</v>
      </c>
      <c r="AL10" s="12">
        <f>IF(SUM(U10:X10)-Y10&gt;0,SUM(U10:X10)-Y10,"")</f>
        <v>43.84</v>
      </c>
      <c r="AM10" s="12">
        <f>IF(SUM(Z10:AC10)-AD10&gt;0,SUM(Z10:AC10)-AD10,"")</f>
        <v>47.625</v>
      </c>
      <c r="AN10" s="12">
        <f>IF(SUM(AL10:AM10)&gt;0,SUM(AL10:AM10),"")</f>
        <v>91.465000000000003</v>
      </c>
      <c r="AO10" s="12">
        <f>IF(SUM(AE10:AH10)-AI10&gt;0,SUM(AE10:AH10)-AI10,"")</f>
        <v>45.574999999999996</v>
      </c>
      <c r="AP10" s="12">
        <f>IF(SUM(AN10,AO10)&gt;0,SUM(AN10,AO10),"")</f>
        <v>137.04</v>
      </c>
      <c r="AQ10" s="46">
        <v>15.7</v>
      </c>
      <c r="AR10" s="46">
        <v>9.15</v>
      </c>
      <c r="AS10" s="46">
        <v>3.5</v>
      </c>
      <c r="AT10" s="46">
        <v>14.475</v>
      </c>
      <c r="AU10" s="46">
        <v>0</v>
      </c>
      <c r="AV10" s="46">
        <v>14</v>
      </c>
      <c r="AW10" s="46">
        <v>9.5</v>
      </c>
      <c r="AX10" s="46">
        <v>9.6</v>
      </c>
      <c r="AY10" s="46">
        <v>13.74</v>
      </c>
      <c r="AZ10" s="46">
        <v>0</v>
      </c>
      <c r="BA10" s="46">
        <v>13.8</v>
      </c>
      <c r="BB10" s="46">
        <v>9.1</v>
      </c>
      <c r="BC10" s="46">
        <v>8.6</v>
      </c>
      <c r="BD10" s="46">
        <v>13.72</v>
      </c>
      <c r="BE10" s="46">
        <v>0</v>
      </c>
      <c r="BF10" s="109"/>
      <c r="BG10" s="15">
        <f>IF(SUM(AX10)&gt;0,SUM(AX10),"")</f>
        <v>9.6</v>
      </c>
      <c r="BH10" s="15">
        <f>IF(SUM(AQ10:AT10)-AU10&gt;0,SUM(AQ10:AT10)-AU10,"")</f>
        <v>42.825000000000003</v>
      </c>
      <c r="BI10" s="15">
        <f>IF(SUM(AV10:AY10)-AZ10&gt;0,SUM(AV10:AY10)-AZ10,"")</f>
        <v>46.84</v>
      </c>
      <c r="BJ10" s="15">
        <f>IF(SUM(BH10:BI10)&gt;0,SUM(BH10:BI10),"")</f>
        <v>89.665000000000006</v>
      </c>
      <c r="BK10" s="15">
        <f>IF(SUM(BA10:BD10)-BE10&gt;0,SUM(BA10:BD10)-BE10,"")</f>
        <v>45.22</v>
      </c>
      <c r="BL10" s="15">
        <f>IF(SUM(BJ10,BK10)&gt;0,SUM(BJ10,BK10),"")</f>
        <v>134.88499999999999</v>
      </c>
      <c r="BM10" s="45">
        <v>16.600000000000001</v>
      </c>
      <c r="BN10" s="45">
        <v>9.6</v>
      </c>
      <c r="BO10" s="45">
        <v>3.9</v>
      </c>
      <c r="BP10" s="45">
        <v>14.77</v>
      </c>
      <c r="BQ10" s="45">
        <v>0</v>
      </c>
      <c r="BR10" s="45">
        <v>12.6</v>
      </c>
      <c r="BS10" s="45">
        <v>9.3000000000000007</v>
      </c>
      <c r="BT10" s="45">
        <v>9.8000000000000007</v>
      </c>
      <c r="BU10" s="45">
        <v>13.9</v>
      </c>
      <c r="BV10" s="45">
        <v>0</v>
      </c>
      <c r="BW10" s="45">
        <v>14.3</v>
      </c>
      <c r="BX10" s="45">
        <v>9.15</v>
      </c>
      <c r="BY10" s="45">
        <v>9.1</v>
      </c>
      <c r="BZ10" s="45">
        <v>13.98</v>
      </c>
      <c r="CA10" s="45">
        <v>0</v>
      </c>
      <c r="CB10" s="108"/>
      <c r="CC10" s="12">
        <f>IF(SUM(BT10)&gt;0,SUM(BT10),"")</f>
        <v>9.8000000000000007</v>
      </c>
      <c r="CD10" s="12">
        <f>IF(SUM(BM10:BP10)-BQ10&gt;0,SUM(BM10:BP10)-BQ10,"")</f>
        <v>44.870000000000005</v>
      </c>
      <c r="CE10" s="12">
        <f>IF(SUM(BR10:BU10)-BV10&gt;0,SUM(BR10:BU10)-BV10,"")</f>
        <v>45.6</v>
      </c>
      <c r="CF10" s="12">
        <f>IF(SUM(CD10:CE10)&gt;0,SUM(CD10:CE10),"")</f>
        <v>90.47</v>
      </c>
      <c r="CG10" s="12">
        <f>IF(SUM(BW10:BZ10)-CA10&gt;0,SUM(BW10:BZ10)-CA10,"")</f>
        <v>46.53</v>
      </c>
      <c r="CH10" s="12">
        <f>IF(SUM(CF10,CG10)&gt;0,SUM(CF10,CG10),"")</f>
        <v>137</v>
      </c>
      <c r="CI10" s="28" t="str">
        <f>IF(MAX(DB10,DW10,ER10,FM10,GH10,HC10,HX10,IS10,JN10,KI10,LD10,LY10)-L10&gt;0.001,MAX(DB10,DW10,ER10,FM10,GH10,HC10,HX10,IS10,JN10,KI10,LD10,LY10)-L10,"")</f>
        <v/>
      </c>
      <c r="CJ10" s="28" t="str">
        <f>IF(MAX(DC10,DX10,ES10,FN10,GI10,HD10,HY10,IT10,JO10,KJ10,LE10,LZ10)-N10&gt;0.001,MAX(DC10,DX10,ES10,FN10,GI10,HD10,HY10,IT10,JO10,KJ10,LE10,LZ10)-N10,"")</f>
        <v/>
      </c>
      <c r="CK10" s="28" t="str">
        <f>IF(MAX(DE10,DZ10,EU10,FP10,GK10,HF10,IA10,IV10,JQ10,KL10,LG10,MB10)-P10&gt;0.001,MAX(DE10,DZ10,EU10,FP10,GK10,HF10,IA10,IV10,JQ10,KL10,LG10,MB10)-P10,"")</f>
        <v/>
      </c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12" t="str">
        <f>IF(SUM(CS10)&gt;0,SUM(CS10),"")</f>
        <v/>
      </c>
      <c r="DB10" s="12" t="str">
        <f>IF(SUM(CL10:CO10)-CP10&gt;0,SUM(CL10:CO10)-CP10,"")</f>
        <v/>
      </c>
      <c r="DC10" s="12" t="str">
        <f>IF(SUM(CQ10:CT10)-CU10&gt;0,SUM(CQ10:CT10)-CU10,"")</f>
        <v/>
      </c>
      <c r="DD10" s="12" t="str">
        <f>IF(SUM(DB10:DC10)&gt;0,SUM(DB10:DC10),"")</f>
        <v/>
      </c>
      <c r="DE10" s="12" t="str">
        <f>IF(SUM(CV10:CY10)-CZ10&gt;0,SUM(CV10:CY10)-CZ10,"")</f>
        <v/>
      </c>
      <c r="DF10" s="12" t="str">
        <f>IF(SUM(DD10,DE10)&gt;0,SUM(DD10,DE10),"")</f>
        <v/>
      </c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15" t="str">
        <f>IF(SUM(DN10)&gt;0,SUM(DN10),"")</f>
        <v/>
      </c>
      <c r="DW10" s="15" t="str">
        <f>IF(SUM(DG10:DJ10)-DK10&gt;0,SUM(DG10:DJ10)-DK10,"")</f>
        <v/>
      </c>
      <c r="DX10" s="15" t="str">
        <f>IF(SUM(DL10:DO10)-DP10&gt;0,SUM(DL10:DO10)-DP10,"")</f>
        <v/>
      </c>
      <c r="DY10" s="15" t="str">
        <f>IF(SUM(DW10:DX10)&gt;0,SUM(DW10:DX10),"")</f>
        <v/>
      </c>
      <c r="DZ10" s="15" t="str">
        <f>IF(SUM(DQ10:DT10)-DU10&gt;0,SUM(DQ10:DT10)-DU10,"")</f>
        <v/>
      </c>
      <c r="EA10" s="15" t="str">
        <f>IF(SUM(DY10,DZ10)&gt;0,SUM(DY10,DZ10),"")</f>
        <v/>
      </c>
      <c r="EB10" s="45"/>
      <c r="EC10" s="45"/>
      <c r="ED10" s="45"/>
      <c r="EE10" s="45"/>
      <c r="EF10" s="45"/>
      <c r="EG10" s="45"/>
      <c r="EH10" s="45"/>
      <c r="EI10" s="45"/>
      <c r="EJ10" s="45"/>
      <c r="EK10" s="45"/>
      <c r="EL10" s="45"/>
      <c r="EM10" s="45"/>
      <c r="EN10" s="45"/>
      <c r="EO10" s="45"/>
      <c r="EP10" s="45"/>
      <c r="EQ10" s="12" t="str">
        <f>IF(SUM(EI10)&gt;0,SUM(EI10),"")</f>
        <v/>
      </c>
      <c r="ER10" s="12" t="str">
        <f>IF(SUM(EB10:EE10)-EF10&gt;0,SUM(EB10:EE10)-EF10,"")</f>
        <v/>
      </c>
      <c r="ES10" s="12" t="str">
        <f>IF(SUM(EG10:EJ10)-EK10&gt;0,SUM(EG10:EJ10)-EK10,"")</f>
        <v/>
      </c>
      <c r="ET10" s="12" t="str">
        <f>IF(SUM(ER10:ES10)&gt;0,SUM(ER10:ES10),"")</f>
        <v/>
      </c>
      <c r="EU10" s="12" t="str">
        <f>IF(SUM(EL10:EO10)-EP10&gt;0,SUM(EL10:EO10)-EP10,"")</f>
        <v/>
      </c>
      <c r="EV10" s="12" t="str">
        <f>IF(SUM(ET10,EU10)&gt;0,SUM(ET10,EU10),"")</f>
        <v/>
      </c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15" t="str">
        <f>IF(SUM(FD10)&gt;0,SUM(FD10),"")</f>
        <v/>
      </c>
      <c r="FM10" s="15" t="str">
        <f>IF(SUM(EW10:EZ10)-FA10&gt;0,SUM(EW10:EZ10)-FA10,"")</f>
        <v/>
      </c>
      <c r="FN10" s="15" t="str">
        <f>IF(SUM(FB10:FE10)-FF10&gt;0,SUM(FB10:FE10)-FF10,"")</f>
        <v/>
      </c>
      <c r="FO10" s="15" t="str">
        <f>IF(SUM(FM10:FN10)&gt;0,SUM(FM10:FN10),"")</f>
        <v/>
      </c>
      <c r="FP10" s="15" t="str">
        <f>IF(SUM(FG10:FJ10)-FK10&gt;0,SUM(FG10:FJ10)-FK10,"")</f>
        <v/>
      </c>
      <c r="FQ10" s="15" t="str">
        <f>IF(SUM(FO10,FP10)&gt;0,SUM(FO10,FP10),"")</f>
        <v/>
      </c>
      <c r="FR10" s="45"/>
      <c r="FS10" s="45"/>
      <c r="FT10" s="45"/>
      <c r="FU10" s="45"/>
      <c r="FV10" s="45"/>
      <c r="FW10" s="45"/>
      <c r="FX10" s="45"/>
      <c r="FY10" s="45"/>
      <c r="FZ10" s="45"/>
      <c r="GA10" s="45"/>
      <c r="GB10" s="45"/>
      <c r="GC10" s="45"/>
      <c r="GD10" s="45"/>
      <c r="GE10" s="45"/>
      <c r="GF10" s="45"/>
      <c r="GG10" s="12" t="str">
        <f>IF(SUM(FY10)&gt;0,SUM(FY10),"")</f>
        <v/>
      </c>
      <c r="GH10" s="12" t="str">
        <f>IF(SUM(FR10:FU10)-FV10&gt;0,SUM(FR10:FU10)-FV10,"")</f>
        <v/>
      </c>
      <c r="GI10" s="12" t="str">
        <f>IF(SUM(FW10:FZ10)-GA10&gt;0,SUM(FW10:FZ10)-GA10,"")</f>
        <v/>
      </c>
      <c r="GJ10" s="12" t="str">
        <f>IF(SUM(GH10:GI10)&gt;0,SUM(GH10:GI10),"")</f>
        <v/>
      </c>
      <c r="GK10" s="12" t="str">
        <f>IF(SUM(GB10:GE10)-GF10&gt;0,SUM(GB10:GE10)-GF10,"")</f>
        <v/>
      </c>
      <c r="GL10" s="12" t="str">
        <f>IF(SUM(GJ10,GK10)&gt;0,SUM(GJ10,GK10),"")</f>
        <v/>
      </c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  <c r="GZ10" s="46"/>
      <c r="HA10" s="46"/>
      <c r="HB10" s="15" t="str">
        <f>IF(SUM(GT10)&gt;0,SUM(GT10),"")</f>
        <v/>
      </c>
      <c r="HC10" s="15" t="str">
        <f>IF(SUM(GM10:GP10)-GQ10&gt;0,SUM(GM10:GP10)-GQ10,"")</f>
        <v/>
      </c>
      <c r="HD10" s="15" t="str">
        <f>IF(SUM(GR10:GU10)-GV10&gt;0,SUM(GR10:GU10)-GV10,"")</f>
        <v/>
      </c>
      <c r="HE10" s="15" t="str">
        <f>IF(SUM(HC10:HD10)&gt;0,SUM(HC10:HD10),"")</f>
        <v/>
      </c>
      <c r="HF10" s="15" t="str">
        <f>IF(SUM(GW10:GZ10)-HA10&gt;0,SUM(GW10:GZ10)-HA10,"")</f>
        <v/>
      </c>
      <c r="HG10" s="15" t="str">
        <f>IF(SUM(HE10,HF10)&gt;0,SUM(HE10,HF10),"")</f>
        <v/>
      </c>
      <c r="HH10" s="45"/>
      <c r="HI10" s="45"/>
      <c r="HJ10" s="45"/>
      <c r="HK10" s="45"/>
      <c r="HL10" s="45"/>
      <c r="HM10" s="45"/>
      <c r="HN10" s="45"/>
      <c r="HO10" s="45"/>
      <c r="HP10" s="45"/>
      <c r="HQ10" s="45"/>
      <c r="HR10" s="45"/>
      <c r="HS10" s="45"/>
      <c r="HT10" s="45"/>
      <c r="HU10" s="45"/>
      <c r="HV10" s="45"/>
      <c r="HW10" s="12" t="str">
        <f>IF(SUM(HO10)&gt;0,SUM(HO10),"")</f>
        <v/>
      </c>
      <c r="HX10" s="12" t="str">
        <f>IF(SUM(HH10:HK10)-HL10&gt;0,SUM(HH10:HK10)-HL10,"")</f>
        <v/>
      </c>
      <c r="HY10" s="12" t="str">
        <f>IF(SUM(HM10:HP10)-HQ10&gt;0,SUM(HM10:HP10)-HQ10,"")</f>
        <v/>
      </c>
      <c r="HZ10" s="12" t="str">
        <f>IF(SUM(HX10:HY10)&gt;0,SUM(HX10:HY10),"")</f>
        <v/>
      </c>
      <c r="IA10" s="12" t="str">
        <f>IF(SUM(HR10:HU10)-HV10&gt;0,SUM(HR10:HU10)-HV10,"")</f>
        <v/>
      </c>
      <c r="IB10" s="12" t="str">
        <f>IF(SUM(HZ10,IA10)&gt;0,SUM(HZ10,IA10),"")</f>
        <v/>
      </c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46"/>
      <c r="IP10" s="46"/>
      <c r="IQ10" s="46"/>
      <c r="IR10" s="15" t="str">
        <f>IF(SUM(IJ10)&gt;0,SUM(IJ10),"")</f>
        <v/>
      </c>
      <c r="IS10" s="15" t="str">
        <f>IF(SUM(IC10:IF10)-IG10&gt;0,SUM(IC10:IF10)-IG10,"")</f>
        <v/>
      </c>
      <c r="IT10" s="15" t="str">
        <f>IF(SUM(IH10:IK10)-IL10&gt;0,SUM(IH10:IK10)-IL10,"")</f>
        <v/>
      </c>
      <c r="IU10" s="15" t="str">
        <f>IF(SUM(IS10:IT10)&gt;0,SUM(IS10:IT10),"")</f>
        <v/>
      </c>
      <c r="IV10" s="15" t="str">
        <f>IF(SUM(IM10:IP10)-IQ10&gt;0,SUM(IM10:IP10)-IQ10,"")</f>
        <v/>
      </c>
      <c r="IW10" s="15" t="str">
        <f>IF(SUM(IU10,IV10)&gt;0,SUM(IU10,IV10),"")</f>
        <v/>
      </c>
      <c r="IX10" s="45"/>
      <c r="IY10" s="45"/>
      <c r="IZ10" s="45"/>
      <c r="JA10" s="45"/>
      <c r="JB10" s="45"/>
      <c r="JC10" s="45"/>
      <c r="JD10" s="45"/>
      <c r="JE10" s="45"/>
      <c r="JF10" s="45"/>
      <c r="JG10" s="45"/>
      <c r="JH10" s="45"/>
      <c r="JI10" s="45"/>
      <c r="JJ10" s="45"/>
      <c r="JK10" s="45"/>
      <c r="JL10" s="45"/>
      <c r="JM10" s="12" t="str">
        <f>IF(SUM(JE10)&gt;0,SUM(JE10),"")</f>
        <v/>
      </c>
      <c r="JN10" s="12" t="str">
        <f>IF(SUM(IX10:JA10)-JB10&gt;0,SUM(IX10:JA10)-JB10,"")</f>
        <v/>
      </c>
      <c r="JO10" s="12" t="str">
        <f>IF(SUM(JC10:JF10)-JG10&gt;0,SUM(JC10:JF10)-JG10,"")</f>
        <v/>
      </c>
      <c r="JP10" s="12" t="str">
        <f>IF(SUM(JN10:JO10)&gt;0,SUM(JN10:JO10),"")</f>
        <v/>
      </c>
      <c r="JQ10" s="12" t="str">
        <f>IF(SUM(JH10:JK10)-JL10&gt;0,SUM(JH10:JK10)-JL10,"")</f>
        <v/>
      </c>
      <c r="JR10" s="12" t="str">
        <f>IF(SUM(JP10,JQ10)&gt;0,SUM(JP10,JQ10),"")</f>
        <v/>
      </c>
      <c r="JS10" s="46"/>
      <c r="JT10" s="46"/>
      <c r="JU10" s="46"/>
      <c r="JV10" s="46"/>
      <c r="JW10" s="46"/>
      <c r="JX10" s="46"/>
      <c r="JY10" s="46"/>
      <c r="JZ10" s="46"/>
      <c r="KA10" s="46"/>
      <c r="KB10" s="46"/>
      <c r="KC10" s="46"/>
      <c r="KD10" s="46"/>
      <c r="KE10" s="46"/>
      <c r="KF10" s="46"/>
      <c r="KG10" s="46"/>
      <c r="KH10" s="15" t="str">
        <f>IF(SUM(JZ10)&gt;0,SUM(JZ10),"")</f>
        <v/>
      </c>
      <c r="KI10" s="15" t="str">
        <f>IF(SUM(JS10:JV10)-JW10&gt;0,SUM(JS10:JV10)-JW10,"")</f>
        <v/>
      </c>
      <c r="KJ10" s="15" t="str">
        <f>IF(SUM(JX10:KA10)-KB10&gt;0,SUM(JX10:KA10)-KB10,"")</f>
        <v/>
      </c>
      <c r="KK10" s="15" t="str">
        <f>IF(SUM(KI10:KJ10)&gt;0,SUM(KI10:KJ10),"")</f>
        <v/>
      </c>
      <c r="KL10" s="15" t="str">
        <f>IF(SUM(KC10:KF10)-KG10&gt;0,SUM(KC10:KF10)-KG10,"")</f>
        <v/>
      </c>
      <c r="KM10" s="15" t="str">
        <f>IF(SUM(KK10,KL10)&gt;0,SUM(KK10,KL10),"")</f>
        <v/>
      </c>
      <c r="KN10" s="45"/>
      <c r="KO10" s="45"/>
      <c r="KP10" s="45"/>
      <c r="KQ10" s="45"/>
      <c r="KR10" s="45"/>
      <c r="KS10" s="45"/>
      <c r="KT10" s="45"/>
      <c r="KU10" s="45"/>
      <c r="KV10" s="45"/>
      <c r="KW10" s="45"/>
      <c r="KX10" s="45"/>
      <c r="KY10" s="45"/>
      <c r="KZ10" s="45"/>
      <c r="LA10" s="45"/>
      <c r="LB10" s="45"/>
      <c r="LC10" s="12" t="str">
        <f>IF(SUM(KU10)&gt;0,SUM(KU10),"")</f>
        <v/>
      </c>
      <c r="LD10" s="12" t="str">
        <f>IF(SUM(KN10:KQ10)-KR10&gt;0,SUM(KN10:KQ10)-KR10,"")</f>
        <v/>
      </c>
      <c r="LE10" s="12" t="str">
        <f>IF(SUM(KS10:KV10)-KW10&gt;0,SUM(KS10:KV10)-KW10,"")</f>
        <v/>
      </c>
      <c r="LF10" s="12" t="str">
        <f>IF(SUM(LD10:LE10)&gt;0,SUM(LD10:LE10),"")</f>
        <v/>
      </c>
      <c r="LG10" s="12" t="str">
        <f>IF(SUM(KX10:LA10)-LB10&gt;0,SUM(KX10:LA10)-LB10,"")</f>
        <v/>
      </c>
      <c r="LH10" s="12" t="str">
        <f>IF(SUM(LF10,LG10)&gt;0,SUM(LF10,LG10),"")</f>
        <v/>
      </c>
      <c r="LI10" s="46"/>
      <c r="LJ10" s="46"/>
      <c r="LK10" s="46"/>
      <c r="LL10" s="46"/>
      <c r="LM10" s="46"/>
      <c r="LN10" s="46"/>
      <c r="LO10" s="46"/>
      <c r="LP10" s="46"/>
      <c r="LQ10" s="46"/>
      <c r="LR10" s="46"/>
      <c r="LS10" s="46"/>
      <c r="LT10" s="46"/>
      <c r="LU10" s="46"/>
      <c r="LV10" s="46"/>
      <c r="LW10" s="46"/>
      <c r="LX10" s="15" t="str">
        <f>IF(SUM(LP10)&gt;0,SUM(LP10),"")</f>
        <v/>
      </c>
      <c r="LY10" s="15" t="str">
        <f>IF(SUM(LI10:LL10)-LM10&gt;0,SUM(LI10:LL10)-LM10,"")</f>
        <v/>
      </c>
      <c r="LZ10" s="15" t="str">
        <f>IF(SUM(LN10:LQ10)-LR10&gt;0,SUM(LN10:LQ10)-LR10,"")</f>
        <v/>
      </c>
      <c r="MA10" s="15" t="str">
        <f>IF(SUM(LY10:LZ10)&gt;0,SUM(LY10:LZ10),"")</f>
        <v/>
      </c>
      <c r="MB10" s="15" t="str">
        <f>IF(SUM(LS10:LV10)-LW10&gt;0,SUM(LS10:LV10)-LW10,"")</f>
        <v/>
      </c>
      <c r="MC10" s="15" t="str">
        <f>IF(SUM(MA10,MB10)&gt;0,SUM(MA10,MB10),"")</f>
        <v/>
      </c>
    </row>
    <row r="11" spans="1:341" x14ac:dyDescent="0.2">
      <c r="A11" s="6" t="str">
        <f>IF(AND(F11="P",H11="P"),SUMPRODUCT((F$4:F$16="P")*(H$4:H$16="P")*(E$4:E$16&gt;E11))+1,IF(H11="P",SUMPRODUCT((F$4:F$16="")*(H$4:H$16="P")*(E$4:E$16&gt;E11))+1+SUMPRODUCT((F$4:F$16="P")*(H$4:H$16="P")),""))</f>
        <v/>
      </c>
      <c r="B11" s="9" t="s">
        <v>82</v>
      </c>
      <c r="C11" s="5" t="s">
        <v>3</v>
      </c>
      <c r="D11" s="31">
        <v>2001</v>
      </c>
      <c r="E11" s="16">
        <f>SUM(J11:R11)</f>
        <v>228.41499999999999</v>
      </c>
      <c r="F11" s="4" t="str">
        <f>IF(OR(AND($AK11&gt;=$AL$19,NOT($AK11=""),$AJ11=""),AND($BG11&gt;=$BH$19,NOT($BG11=""),$BF11=""),AND($CC11&gt;=$CD$19,NOT($CC11=""),$CB11="")),"P","")</f>
        <v/>
      </c>
      <c r="G11" s="4" t="str">
        <f>IF(OR(AND($AK11&gt;=$AL$20,NOT($AK11=""),$AJ11=""),AND($BG11&gt;=$BH$20,NOT($BG11=""),$BF11=""),AND($CC11&gt;=$CD$20,NOT($CC11=""),$CB11="")),"P","")</f>
        <v/>
      </c>
      <c r="H11" s="4" t="str">
        <f>IF(OR(AND($AN11&gt;=$AL$21,NOT($AN11=""),$AJ11=""),AND($BJ11&gt;=$BH$21,NOT($BJ11=""),$BF11=""),AND($CF11&gt;=$CD$21,NOT($CF11=""),$CB11="")),"P","")</f>
        <v/>
      </c>
      <c r="I11" t="str">
        <f>IF(AND(F11="P",OR(AND($AM11&gt;$AL$24,NOT($AM11=""),$AJ11=""),AND($AO11&gt;$AL$24,NOT($AO11=""),$AJ11=""),AND($BI11&gt;$BH$24,NOT($BI11=""),$BF11=""),AND($BK11&gt;$BH$24,NOT($BK11=""),$BF11=""),AND($CE11&gt;$CD$24,NOT($CE11=""),$CB11=""),AND($CG11&gt;$CD$24,NOT($CG11=""),$CB11=""))),"Merit",IF(AND(F11="P",OR(AND($AN11&gt;$AL$23,NOT($AN11=""),$AJ11=""),AND($BJ11&gt;$BH$23,NOT($BJ11=""),$BF11=""),AND($CF11&gt;$CD$23,NOT($CF11=""),$CB11=""))),"Funding",IF(AND(F11="P",OR(AND($AN11&gt;$AL$22,NOT($AN11=""),$AJ11=""),AND($BJ11&gt;$BH$22,NOT($BJ11=""),$BF11=""),AND($CF11&gt;$CD$22,NOT($CF11=""),$CB11=""))),"Worlds Team",IF(AND(F11="P",OR(AND($AN11&gt;$AL$21,NOT($AN11=""),$AJ11=""),AND($BJ11&gt;$BH$21,NOT($BJ11=""),$BF11=""),AND($CF11&gt;$CD$21,NOT($CF11=""),$CB11=""))),"National Team",""))))</f>
        <v/>
      </c>
      <c r="J11" s="15">
        <f>MAX(AN11,BJ11,CF11)</f>
        <v>88.465000000000003</v>
      </c>
      <c r="K11" s="15" t="str">
        <f>IF(J11=CF11,$BM$1,IF(J11=BJ11,$AQ$1,IF(J11=AN11,$U$1,"")))</f>
        <v>2017 Nationals</v>
      </c>
      <c r="L11" s="15">
        <f>IF($J11=$AN11,MAX(BH11,CD11),IF($J11=$BJ11,MAX(AL11,CD11),MAX(AL11,BH11)))</f>
        <v>44.324999999999996</v>
      </c>
      <c r="M11" s="15" t="str">
        <f>IF(AND(L11=CD11,$K11&lt;&gt;$BM$1),$BM$1,IF(AND(L11=BH11,$K11&lt;&gt;$AQ$1),$AQ$1,IF(AND(L11=AL11,$K11&lt;&gt;$U$1),$U$1,"")))</f>
        <v>2018 Nationals</v>
      </c>
      <c r="N11" s="15">
        <f>IF($J11=$AN11,MAX(BI11,CE11),IF($J11=$BJ11,MAX(AM11,CE11),MAX(AM11,BI11)))</f>
        <v>46.900000000000006</v>
      </c>
      <c r="O11" s="15" t="str">
        <f>IF(AND(N11=CE11,$K11&lt;&gt;$BM$1),$BM$1,IF(AND(N11=BI11,$K11&lt;&gt;$AQ$1),$AQ$1,IF(AND(N11=AM11,$K11&lt;&gt;$U$1),$U$1,"")))</f>
        <v>2018 Canada Cup</v>
      </c>
      <c r="P11" s="15">
        <f>MAX(AO11,BK11,CG11)</f>
        <v>48.724999999999994</v>
      </c>
      <c r="Q11" s="15" t="str">
        <f>IF(P11=CG11,$BM$1,IF(P11=BK11,$AQ$1,IF(P11=AO11,$U$1,"")))</f>
        <v>2018 Nationals</v>
      </c>
      <c r="R11" s="15" t="str">
        <f>IF(MAX(CI11:CK11)&gt;0,MAX(CI11:CK11),"")</f>
        <v/>
      </c>
      <c r="S11" s="29" t="str">
        <f>IF(R11="","",IF(R11=CI11,"(Vol 1)",IF(R11=CJ11,"(Vol 2)",IF(R11=CK11,"(Final)"))))</f>
        <v/>
      </c>
      <c r="T11" s="15" t="str">
        <f>IF(R11="","",IF(R11=CI11,IF(R11+L11=LY11,$LI$1,IF(R11+L11=LD11,$KN$1,IF(R11+L11=KI11,$JS$1,IF(R11+L11=JN11,$IX$1,IF(R11+L11=IS11,$IC$1,IF(R11+L11=HX11,$HH$1,IF(R11+L11=HC11,$GM$1,IF(R11+L11=GH11,$FR$1,IF(R11+L11=FM11,$EW$1,IF(R11+L11=ER11,$EB$1,IF(R11+L11=DW11,$DG$1,IF(R11+L11=DB11,$CL$1)))))))))))),IF(R11=CJ11,IF(R11+N11=LZ11,$LI$1,IF(R11+N11=LE11,$KN$1,IF(R11+N11=KJ11,$JS$1,IF(R11+N11=JO11,$IX$1,IF(R11+N11=IT11,$IC$1,IF(R11+N11=HY11,$HH$1,IF(R11+N11=HD11,$GM$1,IF(R11+N11=GI11,$FR$1,IF(R11+N11=FN11,$EW$1,IF(R11+N11=ES11,$EB$1,IF(R11+N11=DX11,$DG$1,IF(R11+N11=DC11,$CL$1)))))))))))),IF(R11=CK11,IF(R11+P11=MB11,$LI$1,IF(R11+P11=LG11,$KN$1,IF(R11+P11=KL11,$JS$1,IF(R11+P11=JQ11,$IX$1,IF(R11+P11=IV11,$IC$1,IF(R11+P11=IA11,$HH$1,IF(R11+P11=HF11,$GM$1,IF(R11+P11=GK11,$FR$1,IF(R11+P11=FP11,$EW$1,IF(R11+P11=EU11,$EB$1,IF(R11+P11=DZ11,$DG$1,IF(R11+P11=DE11,$CL$1))))))))))))))))</f>
        <v/>
      </c>
      <c r="U11" s="45">
        <v>16</v>
      </c>
      <c r="V11" s="45">
        <v>8.5</v>
      </c>
      <c r="W11" s="45">
        <v>2.1</v>
      </c>
      <c r="X11" s="45">
        <v>13.11</v>
      </c>
      <c r="Y11" s="45">
        <v>0</v>
      </c>
      <c r="Z11" s="45">
        <v>16.2</v>
      </c>
      <c r="AA11" s="45">
        <v>9.1999999999999993</v>
      </c>
      <c r="AB11" s="45">
        <v>10.5</v>
      </c>
      <c r="AC11" s="45">
        <v>12.855</v>
      </c>
      <c r="AD11" s="45">
        <v>0</v>
      </c>
      <c r="AE11" s="45">
        <v>14.7</v>
      </c>
      <c r="AF11" s="45">
        <v>9</v>
      </c>
      <c r="AG11" s="45">
        <v>10.3</v>
      </c>
      <c r="AH11" s="45">
        <v>13.46</v>
      </c>
      <c r="AI11" s="45">
        <v>0</v>
      </c>
      <c r="AJ11" s="108"/>
      <c r="AK11" s="12">
        <f>IF(SUM(AB11)&gt;0,SUM(AB11),"")</f>
        <v>10.5</v>
      </c>
      <c r="AL11" s="12">
        <f>IF(SUM(U11:X11)-Y11&gt;0,SUM(U11:X11)-Y11,"")</f>
        <v>39.71</v>
      </c>
      <c r="AM11" s="12">
        <f>IF(SUM(Z11:AC11)-AD11&gt;0,SUM(Z11:AC11)-AD11,"")</f>
        <v>48.754999999999995</v>
      </c>
      <c r="AN11" s="12">
        <f>IF(SUM(AL11:AM11)&gt;0,SUM(AL11:AM11),"")</f>
        <v>88.465000000000003</v>
      </c>
      <c r="AO11" s="12">
        <f>IF(SUM(AE11:AH11)-AI11&gt;0,SUM(AE11:AH11)-AI11,"")</f>
        <v>47.46</v>
      </c>
      <c r="AP11" s="12">
        <f>IF(SUM(AN11,AO11)&gt;0,SUM(AN11,AO11),"")</f>
        <v>135.92500000000001</v>
      </c>
      <c r="AQ11" s="46">
        <v>7.4</v>
      </c>
      <c r="AR11" s="46">
        <v>3.7</v>
      </c>
      <c r="AS11" s="46">
        <v>0.6</v>
      </c>
      <c r="AT11" s="46">
        <v>5.9050000000000002</v>
      </c>
      <c r="AU11" s="46">
        <v>0</v>
      </c>
      <c r="AV11" s="46">
        <v>13.9</v>
      </c>
      <c r="AW11" s="46">
        <v>9.1999999999999993</v>
      </c>
      <c r="AX11" s="46">
        <v>10.5</v>
      </c>
      <c r="AY11" s="46">
        <v>13.3</v>
      </c>
      <c r="AZ11" s="46">
        <v>0</v>
      </c>
      <c r="BA11" s="46"/>
      <c r="BB11" s="46"/>
      <c r="BC11" s="46"/>
      <c r="BD11" s="46"/>
      <c r="BE11" s="46"/>
      <c r="BF11" s="109"/>
      <c r="BG11" s="15">
        <f>IF(SUM(AX11)&gt;0,SUM(AX11),"")</f>
        <v>10.5</v>
      </c>
      <c r="BH11" s="15">
        <f>IF(SUM(AQ11:AT11)-AU11&gt;0,SUM(AQ11:AT11)-AU11,"")</f>
        <v>17.605</v>
      </c>
      <c r="BI11" s="15">
        <f>IF(SUM(AV11:AY11)-AZ11&gt;0,SUM(AV11:AY11)-AZ11,"")</f>
        <v>46.900000000000006</v>
      </c>
      <c r="BJ11" s="15">
        <f>IF(SUM(BH11:BI11)&gt;0,SUM(BH11:BI11),"")</f>
        <v>64.50500000000001</v>
      </c>
      <c r="BK11" s="15" t="str">
        <f>IF(SUM(BA11:BD11)-BE11&gt;0,SUM(BA11:BD11)-BE11,"")</f>
        <v/>
      </c>
      <c r="BL11" s="15">
        <f>IF(SUM(BJ11,BK11)&gt;0,SUM(BJ11,BK11),"")</f>
        <v>64.50500000000001</v>
      </c>
      <c r="BM11" s="45">
        <v>16.7</v>
      </c>
      <c r="BN11" s="45">
        <v>9.6</v>
      </c>
      <c r="BO11" s="45">
        <v>3.4</v>
      </c>
      <c r="BP11" s="45">
        <v>14.625</v>
      </c>
      <c r="BQ11" s="45">
        <v>0</v>
      </c>
      <c r="BR11" s="45">
        <v>12.9</v>
      </c>
      <c r="BS11" s="45">
        <v>7.9</v>
      </c>
      <c r="BT11" s="45">
        <v>9.1999999999999993</v>
      </c>
      <c r="BU11" s="45">
        <v>12.03</v>
      </c>
      <c r="BV11" s="45">
        <v>0</v>
      </c>
      <c r="BW11" s="45">
        <v>14.6</v>
      </c>
      <c r="BX11" s="45">
        <v>9.3000000000000007</v>
      </c>
      <c r="BY11" s="45">
        <v>11.2</v>
      </c>
      <c r="BZ11" s="45">
        <v>13.625</v>
      </c>
      <c r="CA11" s="45">
        <v>0</v>
      </c>
      <c r="CB11" s="108"/>
      <c r="CC11" s="12">
        <f>IF(SUM(BT11)&gt;0,SUM(BT11),"")</f>
        <v>9.1999999999999993</v>
      </c>
      <c r="CD11" s="12">
        <f>IF(SUM(BM11:BP11)-BQ11&gt;0,SUM(BM11:BP11)-BQ11,"")</f>
        <v>44.324999999999996</v>
      </c>
      <c r="CE11" s="12">
        <f>IF(SUM(BR11:BU11)-BV11&gt;0,SUM(BR11:BU11)-BV11,"")</f>
        <v>42.03</v>
      </c>
      <c r="CF11" s="12">
        <f>IF(SUM(CD11:CE11)&gt;0,SUM(CD11:CE11),"")</f>
        <v>86.35499999999999</v>
      </c>
      <c r="CG11" s="12">
        <f>IF(SUM(BW11:BZ11)-CA11&gt;0,SUM(BW11:BZ11)-CA11,"")</f>
        <v>48.724999999999994</v>
      </c>
      <c r="CH11" s="12">
        <f>IF(SUM(CF11,CG11)&gt;0,SUM(CF11,CG11),"")</f>
        <v>135.07999999999998</v>
      </c>
      <c r="CI11" s="28" t="str">
        <f>IF(MAX(DB11,DW11,ER11,FM11,GH11,HC11,HX11,IS11,JN11,KI11,LD11,LY11)-L11&gt;0.001,MAX(DB11,DW11,ER11,FM11,GH11,HC11,HX11,IS11,JN11,KI11,LD11,LY11)-L11,"")</f>
        <v/>
      </c>
      <c r="CJ11" s="28" t="str">
        <f>IF(MAX(DC11,DX11,ES11,FN11,GI11,HD11,HY11,IT11,JO11,KJ11,LE11,LZ11)-N11&gt;0.001,MAX(DC11,DX11,ES11,FN11,GI11,HD11,HY11,IT11,JO11,KJ11,LE11,LZ11)-N11,"")</f>
        <v/>
      </c>
      <c r="CK11" s="28" t="str">
        <f>IF(MAX(DE11,DZ11,EU11,FP11,GK11,HF11,IA11,IV11,JQ11,KL11,LG11,MB11)-P11&gt;0.001,MAX(DE11,DZ11,EU11,FP11,GK11,HF11,IA11,IV11,JQ11,KL11,LG11,MB11)-P11,"")</f>
        <v/>
      </c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  <c r="CX11" s="45"/>
      <c r="CY11" s="45"/>
      <c r="CZ11" s="45"/>
      <c r="DA11" s="12" t="str">
        <f>IF(SUM(CS11)&gt;0,SUM(CS11),"")</f>
        <v/>
      </c>
      <c r="DB11" s="12" t="str">
        <f>IF(SUM(CL11:CO11)-CP11&gt;0,SUM(CL11:CO11)-CP11,"")</f>
        <v/>
      </c>
      <c r="DC11" s="12" t="str">
        <f>IF(SUM(CQ11:CT11)-CU11&gt;0,SUM(CQ11:CT11)-CU11,"")</f>
        <v/>
      </c>
      <c r="DD11" s="12" t="str">
        <f>IF(SUM(DB11:DC11)&gt;0,SUM(DB11:DC11),"")</f>
        <v/>
      </c>
      <c r="DE11" s="12" t="str">
        <f>IF(SUM(CV11:CY11)-CZ11&gt;0,SUM(CV11:CY11)-CZ11,"")</f>
        <v/>
      </c>
      <c r="DF11" s="12" t="str">
        <f>IF(SUM(DD11,DE11)&gt;0,SUM(DD11,DE11),"")</f>
        <v/>
      </c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15" t="str">
        <f>IF(SUM(DN11)&gt;0,SUM(DN11),"")</f>
        <v/>
      </c>
      <c r="DW11" s="15" t="str">
        <f>IF(SUM(DG11:DJ11)-DK11&gt;0,SUM(DG11:DJ11)-DK11,"")</f>
        <v/>
      </c>
      <c r="DX11" s="15" t="str">
        <f>IF(SUM(DL11:DO11)-DP11&gt;0,SUM(DL11:DO11)-DP11,"")</f>
        <v/>
      </c>
      <c r="DY11" s="15" t="str">
        <f>IF(SUM(DW11:DX11)&gt;0,SUM(DW11:DX11),"")</f>
        <v/>
      </c>
      <c r="DZ11" s="15" t="str">
        <f>IF(SUM(DQ11:DT11)-DU11&gt;0,SUM(DQ11:DT11)-DU11,"")</f>
        <v/>
      </c>
      <c r="EA11" s="15" t="str">
        <f>IF(SUM(DY11,DZ11)&gt;0,SUM(DY11,DZ11),"")</f>
        <v/>
      </c>
      <c r="EB11" s="45"/>
      <c r="EC11" s="45"/>
      <c r="ED11" s="45"/>
      <c r="EE11" s="45"/>
      <c r="EF11" s="45"/>
      <c r="EG11" s="45"/>
      <c r="EH11" s="45"/>
      <c r="EI11" s="45"/>
      <c r="EJ11" s="45"/>
      <c r="EK11" s="45"/>
      <c r="EL11" s="45"/>
      <c r="EM11" s="45"/>
      <c r="EN11" s="45"/>
      <c r="EO11" s="45"/>
      <c r="EP11" s="45"/>
      <c r="EQ11" s="12" t="str">
        <f>IF(SUM(EI11)&gt;0,SUM(EI11),"")</f>
        <v/>
      </c>
      <c r="ER11" s="12" t="str">
        <f>IF(SUM(EB11:EE11)-EF11&gt;0,SUM(EB11:EE11)-EF11,"")</f>
        <v/>
      </c>
      <c r="ES11" s="12" t="str">
        <f>IF(SUM(EG11:EJ11)-EK11&gt;0,SUM(EG11:EJ11)-EK11,"")</f>
        <v/>
      </c>
      <c r="ET11" s="12" t="str">
        <f>IF(SUM(ER11:ES11)&gt;0,SUM(ER11:ES11),"")</f>
        <v/>
      </c>
      <c r="EU11" s="12" t="str">
        <f>IF(SUM(EL11:EO11)-EP11&gt;0,SUM(EL11:EO11)-EP11,"")</f>
        <v/>
      </c>
      <c r="EV11" s="12" t="str">
        <f>IF(SUM(ET11,EU11)&gt;0,SUM(ET11,EU11),"")</f>
        <v/>
      </c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15" t="str">
        <f>IF(SUM(FD11)&gt;0,SUM(FD11),"")</f>
        <v/>
      </c>
      <c r="FM11" s="15" t="str">
        <f>IF(SUM(EW11:EZ11)-FA11&gt;0,SUM(EW11:EZ11)-FA11,"")</f>
        <v/>
      </c>
      <c r="FN11" s="15" t="str">
        <f>IF(SUM(FB11:FE11)-FF11&gt;0,SUM(FB11:FE11)-FF11,"")</f>
        <v/>
      </c>
      <c r="FO11" s="15" t="str">
        <f>IF(SUM(FM11:FN11)&gt;0,SUM(FM11:FN11),"")</f>
        <v/>
      </c>
      <c r="FP11" s="15" t="str">
        <f>IF(SUM(FG11:FJ11)-FK11&gt;0,SUM(FG11:FJ11)-FK11,"")</f>
        <v/>
      </c>
      <c r="FQ11" s="15" t="str">
        <f>IF(SUM(FO11,FP11)&gt;0,SUM(FO11,FP11),"")</f>
        <v/>
      </c>
      <c r="FR11" s="45"/>
      <c r="FS11" s="45"/>
      <c r="FT11" s="45"/>
      <c r="FU11" s="45"/>
      <c r="FV11" s="45"/>
      <c r="FW11" s="45"/>
      <c r="FX11" s="45"/>
      <c r="FY11" s="45"/>
      <c r="FZ11" s="45"/>
      <c r="GA11" s="45"/>
      <c r="GB11" s="45"/>
      <c r="GC11" s="45"/>
      <c r="GD11" s="45"/>
      <c r="GE11" s="45"/>
      <c r="GF11" s="45"/>
      <c r="GG11" s="12" t="str">
        <f>IF(SUM(FY11)&gt;0,SUM(FY11),"")</f>
        <v/>
      </c>
      <c r="GH11" s="12" t="str">
        <f>IF(SUM(FR11:FU11)-FV11&gt;0,SUM(FR11:FU11)-FV11,"")</f>
        <v/>
      </c>
      <c r="GI11" s="12" t="str">
        <f>IF(SUM(FW11:FZ11)-GA11&gt;0,SUM(FW11:FZ11)-GA11,"")</f>
        <v/>
      </c>
      <c r="GJ11" s="12" t="str">
        <f>IF(SUM(GH11:GI11)&gt;0,SUM(GH11:GI11),"")</f>
        <v/>
      </c>
      <c r="GK11" s="12" t="str">
        <f>IF(SUM(GB11:GE11)-GF11&gt;0,SUM(GB11:GE11)-GF11,"")</f>
        <v/>
      </c>
      <c r="GL11" s="12" t="str">
        <f>IF(SUM(GJ11,GK11)&gt;0,SUM(GJ11,GK11),"")</f>
        <v/>
      </c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15" t="str">
        <f>IF(SUM(GT11)&gt;0,SUM(GT11),"")</f>
        <v/>
      </c>
      <c r="HC11" s="15" t="str">
        <f>IF(SUM(GM11:GP11)-GQ11&gt;0,SUM(GM11:GP11)-GQ11,"")</f>
        <v/>
      </c>
      <c r="HD11" s="15" t="str">
        <f>IF(SUM(GR11:GU11)-GV11&gt;0,SUM(GR11:GU11)-GV11,"")</f>
        <v/>
      </c>
      <c r="HE11" s="15" t="str">
        <f>IF(SUM(HC11:HD11)&gt;0,SUM(HC11:HD11),"")</f>
        <v/>
      </c>
      <c r="HF11" s="15" t="str">
        <f>IF(SUM(GW11:GZ11)-HA11&gt;0,SUM(GW11:GZ11)-HA11,"")</f>
        <v/>
      </c>
      <c r="HG11" s="15" t="str">
        <f>IF(SUM(HE11,HF11)&gt;0,SUM(HE11,HF11),"")</f>
        <v/>
      </c>
      <c r="HH11" s="45"/>
      <c r="HI11" s="45"/>
      <c r="HJ11" s="45"/>
      <c r="HK11" s="45"/>
      <c r="HL11" s="45"/>
      <c r="HM11" s="45"/>
      <c r="HN11" s="45"/>
      <c r="HO11" s="45"/>
      <c r="HP11" s="45"/>
      <c r="HQ11" s="45"/>
      <c r="HR11" s="45"/>
      <c r="HS11" s="45"/>
      <c r="HT11" s="45"/>
      <c r="HU11" s="45"/>
      <c r="HV11" s="45"/>
      <c r="HW11" s="12" t="str">
        <f>IF(SUM(HO11)&gt;0,SUM(HO11),"")</f>
        <v/>
      </c>
      <c r="HX11" s="12" t="str">
        <f>IF(SUM(HH11:HK11)-HL11&gt;0,SUM(HH11:HK11)-HL11,"")</f>
        <v/>
      </c>
      <c r="HY11" s="12" t="str">
        <f>IF(SUM(HM11:HP11)-HQ11&gt;0,SUM(HM11:HP11)-HQ11,"")</f>
        <v/>
      </c>
      <c r="HZ11" s="12" t="str">
        <f>IF(SUM(HX11:HY11)&gt;0,SUM(HX11:HY11),"")</f>
        <v/>
      </c>
      <c r="IA11" s="12" t="str">
        <f>IF(SUM(HR11:HU11)-HV11&gt;0,SUM(HR11:HU11)-HV11,"")</f>
        <v/>
      </c>
      <c r="IB11" s="12" t="str">
        <f>IF(SUM(HZ11,IA11)&gt;0,SUM(HZ11,IA11),"")</f>
        <v/>
      </c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15" t="str">
        <f>IF(SUM(IJ11)&gt;0,SUM(IJ11),"")</f>
        <v/>
      </c>
      <c r="IS11" s="15" t="str">
        <f>IF(SUM(IC11:IF11)-IG11&gt;0,SUM(IC11:IF11)-IG11,"")</f>
        <v/>
      </c>
      <c r="IT11" s="15" t="str">
        <f>IF(SUM(IH11:IK11)-IL11&gt;0,SUM(IH11:IK11)-IL11,"")</f>
        <v/>
      </c>
      <c r="IU11" s="15" t="str">
        <f>IF(SUM(IS11:IT11)&gt;0,SUM(IS11:IT11),"")</f>
        <v/>
      </c>
      <c r="IV11" s="15" t="str">
        <f>IF(SUM(IM11:IP11)-IQ11&gt;0,SUM(IM11:IP11)-IQ11,"")</f>
        <v/>
      </c>
      <c r="IW11" s="15" t="str">
        <f>IF(SUM(IU11,IV11)&gt;0,SUM(IU11,IV11),"")</f>
        <v/>
      </c>
      <c r="IX11" s="45"/>
      <c r="IY11" s="45"/>
      <c r="IZ11" s="45"/>
      <c r="JA11" s="45"/>
      <c r="JB11" s="45"/>
      <c r="JC11" s="45"/>
      <c r="JD11" s="45"/>
      <c r="JE11" s="45"/>
      <c r="JF11" s="45"/>
      <c r="JG11" s="45"/>
      <c r="JH11" s="45"/>
      <c r="JI11" s="45"/>
      <c r="JJ11" s="45"/>
      <c r="JK11" s="45"/>
      <c r="JL11" s="45"/>
      <c r="JM11" s="12" t="str">
        <f>IF(SUM(JE11)&gt;0,SUM(JE11),"")</f>
        <v/>
      </c>
      <c r="JN11" s="12" t="str">
        <f>IF(SUM(IX11:JA11)-JB11&gt;0,SUM(IX11:JA11)-JB11,"")</f>
        <v/>
      </c>
      <c r="JO11" s="12" t="str">
        <f>IF(SUM(JC11:JF11)-JG11&gt;0,SUM(JC11:JF11)-JG11,"")</f>
        <v/>
      </c>
      <c r="JP11" s="12" t="str">
        <f>IF(SUM(JN11:JO11)&gt;0,SUM(JN11:JO11),"")</f>
        <v/>
      </c>
      <c r="JQ11" s="12" t="str">
        <f>IF(SUM(JH11:JK11)-JL11&gt;0,SUM(JH11:JK11)-JL11,"")</f>
        <v/>
      </c>
      <c r="JR11" s="12" t="str">
        <f>IF(SUM(JP11,JQ11)&gt;0,SUM(JP11,JQ11),"")</f>
        <v/>
      </c>
      <c r="JS11" s="46"/>
      <c r="JT11" s="46"/>
      <c r="JU11" s="46"/>
      <c r="JV11" s="46"/>
      <c r="JW11" s="46"/>
      <c r="JX11" s="46"/>
      <c r="JY11" s="46"/>
      <c r="JZ11" s="46"/>
      <c r="KA11" s="46"/>
      <c r="KB11" s="46"/>
      <c r="KC11" s="46"/>
      <c r="KD11" s="46"/>
      <c r="KE11" s="46"/>
      <c r="KF11" s="46"/>
      <c r="KG11" s="46"/>
      <c r="KH11" s="15" t="str">
        <f>IF(SUM(JZ11)&gt;0,SUM(JZ11),"")</f>
        <v/>
      </c>
      <c r="KI11" s="15" t="str">
        <f>IF(SUM(JS11:JV11)-JW11&gt;0,SUM(JS11:JV11)-JW11,"")</f>
        <v/>
      </c>
      <c r="KJ11" s="15" t="str">
        <f>IF(SUM(JX11:KA11)-KB11&gt;0,SUM(JX11:KA11)-KB11,"")</f>
        <v/>
      </c>
      <c r="KK11" s="15" t="str">
        <f>IF(SUM(KI11:KJ11)&gt;0,SUM(KI11:KJ11),"")</f>
        <v/>
      </c>
      <c r="KL11" s="15" t="str">
        <f>IF(SUM(KC11:KF11)-KG11&gt;0,SUM(KC11:KF11)-KG11,"")</f>
        <v/>
      </c>
      <c r="KM11" s="15" t="str">
        <f>IF(SUM(KK11,KL11)&gt;0,SUM(KK11,KL11),"")</f>
        <v/>
      </c>
      <c r="KN11" s="45"/>
      <c r="KO11" s="45"/>
      <c r="KP11" s="45"/>
      <c r="KQ11" s="45"/>
      <c r="KR11" s="45"/>
      <c r="KS11" s="45"/>
      <c r="KT11" s="45"/>
      <c r="KU11" s="45"/>
      <c r="KV11" s="45"/>
      <c r="KW11" s="45"/>
      <c r="KX11" s="45"/>
      <c r="KY11" s="45"/>
      <c r="KZ11" s="45"/>
      <c r="LA11" s="45"/>
      <c r="LB11" s="45"/>
      <c r="LC11" s="12" t="str">
        <f>IF(SUM(KU11)&gt;0,SUM(KU11),"")</f>
        <v/>
      </c>
      <c r="LD11" s="12" t="str">
        <f>IF(SUM(KN11:KQ11)-KR11&gt;0,SUM(KN11:KQ11)-KR11,"")</f>
        <v/>
      </c>
      <c r="LE11" s="12" t="str">
        <f>IF(SUM(KS11:KV11)-KW11&gt;0,SUM(KS11:KV11)-KW11,"")</f>
        <v/>
      </c>
      <c r="LF11" s="12" t="str">
        <f>IF(SUM(LD11:LE11)&gt;0,SUM(LD11:LE11),"")</f>
        <v/>
      </c>
      <c r="LG11" s="12" t="str">
        <f>IF(SUM(KX11:LA11)-LB11&gt;0,SUM(KX11:LA11)-LB11,"")</f>
        <v/>
      </c>
      <c r="LH11" s="12" t="str">
        <f>IF(SUM(LF11,LG11)&gt;0,SUM(LF11,LG11),"")</f>
        <v/>
      </c>
      <c r="LI11" s="46"/>
      <c r="LJ11" s="46"/>
      <c r="LK11" s="46"/>
      <c r="LL11" s="46"/>
      <c r="LM11" s="46"/>
      <c r="LN11" s="46"/>
      <c r="LO11" s="46"/>
      <c r="LP11" s="46"/>
      <c r="LQ11" s="46"/>
      <c r="LR11" s="46"/>
      <c r="LS11" s="46"/>
      <c r="LT11" s="46"/>
      <c r="LU11" s="46"/>
      <c r="LV11" s="46"/>
      <c r="LW11" s="46"/>
      <c r="LX11" s="15" t="str">
        <f>IF(SUM(LP11)&gt;0,SUM(LP11),"")</f>
        <v/>
      </c>
      <c r="LY11" s="15" t="str">
        <f>IF(SUM(LI11:LL11)-LM11&gt;0,SUM(LI11:LL11)-LM11,"")</f>
        <v/>
      </c>
      <c r="LZ11" s="15" t="str">
        <f>IF(SUM(LN11:LQ11)-LR11&gt;0,SUM(LN11:LQ11)-LR11,"")</f>
        <v/>
      </c>
      <c r="MA11" s="15" t="str">
        <f>IF(SUM(LY11:LZ11)&gt;0,SUM(LY11:LZ11),"")</f>
        <v/>
      </c>
      <c r="MB11" s="15" t="str">
        <f>IF(SUM(LS11:LV11)-LW11&gt;0,SUM(LS11:LV11)-LW11,"")</f>
        <v/>
      </c>
      <c r="MC11" s="15" t="str">
        <f>IF(SUM(MA11,MB11)&gt;0,SUM(MA11,MB11),"")</f>
        <v/>
      </c>
    </row>
    <row r="12" spans="1:341" x14ac:dyDescent="0.2">
      <c r="A12" s="6" t="str">
        <f>IF(AND(F12="P",H12="P"),SUMPRODUCT((F$4:F$16="P")*(H$4:H$16="P")*(E$4:E$16&gt;E12))+1,IF(H12="P",SUMPRODUCT((F$4:F$16="")*(H$4:H$16="P")*(E$4:E$16&gt;E12))+1+SUMPRODUCT((F$4:F$16="P")*(H$4:H$16="P")),""))</f>
        <v/>
      </c>
      <c r="B12" s="9" t="s">
        <v>108</v>
      </c>
      <c r="C12" s="5" t="s">
        <v>5</v>
      </c>
      <c r="D12" s="31">
        <v>2001</v>
      </c>
      <c r="E12" s="16">
        <f>SUM(J12:R12)</f>
        <v>226.375</v>
      </c>
      <c r="F12" s="4" t="str">
        <f>IF(OR(AND($AK12&gt;=$AL$19,NOT($AK12=""),$AJ12=""),AND($BG12&gt;=$BH$19,NOT($BG12=""),$BF12=""),AND($CC12&gt;=$CD$19,NOT($CC12=""),$CB12="")),"P","")</f>
        <v/>
      </c>
      <c r="G12" s="4" t="str">
        <f>IF(OR(AND($AK12&gt;=$AL$20,NOT($AK12=""),$AJ12=""),AND($BG12&gt;=$BH$20,NOT($BG12=""),$BF12=""),AND($CC12&gt;=$CD$20,NOT($CC12=""),$CB12="")),"P","")</f>
        <v/>
      </c>
      <c r="H12" s="4" t="str">
        <f>IF(OR(AND($AN12&gt;=$AL$21,NOT($AN12=""),$AJ12=""),AND($BJ12&gt;=$BH$21,NOT($BJ12=""),$BF12=""),AND($CF12&gt;=$CD$21,NOT($CF12=""),$CB12="")),"P","")</f>
        <v/>
      </c>
      <c r="I12" t="str">
        <f>IF(AND(F12="P",OR(AND($AM12&gt;$AL$24,NOT($AM12=""),$AJ12=""),AND($AO12&gt;$AL$24,NOT($AO12=""),$AJ12=""),AND($BI12&gt;$BH$24,NOT($BI12=""),$BF12=""),AND($BK12&gt;$BH$24,NOT($BK12=""),$BF12=""),AND($CE12&gt;$CD$24,NOT($CE12=""),$CB12=""),AND($CG12&gt;$CD$24,NOT($CG12=""),$CB12=""))),"Merit",IF(AND(F12="P",OR(AND($AN12&gt;$AL$23,NOT($AN12=""),$AJ12=""),AND($BJ12&gt;$BH$23,NOT($BJ12=""),$BF12=""),AND($CF12&gt;$CD$23,NOT($CF12=""),$CB12=""))),"Funding",IF(AND(F12="P",OR(AND($AN12&gt;$AL$22,NOT($AN12=""),$AJ12=""),AND($BJ12&gt;$BH$22,NOT($BJ12=""),$BF12=""),AND($CF12&gt;$CD$22,NOT($CF12=""),$CB12=""))),"Worlds Team",IF(AND(F12="P",OR(AND($AN12&gt;$AL$21,NOT($AN12=""),$AJ12=""),AND($BJ12&gt;$BH$21,NOT($BJ12=""),$BF12=""),AND($CF12&gt;$CD$21,NOT($CF12=""),$CB12=""))),"National Team",""))))</f>
        <v/>
      </c>
      <c r="J12" s="15">
        <f>MAX(AN12,BJ12,CF12)</f>
        <v>89.77000000000001</v>
      </c>
      <c r="K12" s="15" t="str">
        <f>IF(J12=CF12,$BM$1,IF(J12=BJ12,$AQ$1,IF(J12=AN12,$U$1,"")))</f>
        <v>2017 Nationals</v>
      </c>
      <c r="L12" s="15">
        <f>IF($J12=$AN12,MAX(BH12,CD12),IF($J12=$BJ12,MAX(AL12,CD12),MAX(AL12,BH12)))</f>
        <v>43.47</v>
      </c>
      <c r="M12" s="15" t="str">
        <f>IF(AND(L12=CD12,$K12&lt;&gt;$BM$1),$BM$1,IF(AND(L12=BH12,$K12&lt;&gt;$AQ$1),$AQ$1,IF(AND(L12=AL12,$K12&lt;&gt;$U$1),$U$1,"")))</f>
        <v>2018 Nationals</v>
      </c>
      <c r="N12" s="15">
        <f>IF($J12=$AN12,MAX(BI12,CE12),IF($J12=$BJ12,MAX(AM12,CE12),MAX(AM12,BI12)))</f>
        <v>46.004999999999995</v>
      </c>
      <c r="O12" s="15" t="str">
        <f>IF(AND(N12=CE12,$K12&lt;&gt;$BM$1),$BM$1,IF(AND(N12=BI12,$K12&lt;&gt;$AQ$1),$AQ$1,IF(AND(N12=AM12,$K12&lt;&gt;$U$1),$U$1,"")))</f>
        <v>2018 Nationals</v>
      </c>
      <c r="P12" s="15">
        <f>MAX(AO12,BK12,CG12)</f>
        <v>47.129999999999995</v>
      </c>
      <c r="Q12" s="15" t="str">
        <f>IF(P12=CG12,$BM$1,IF(P12=BK12,$AQ$1,IF(P12=AO12,$U$1,"")))</f>
        <v>2018 Nationals</v>
      </c>
      <c r="R12" s="15" t="str">
        <f>IF(MAX(CI12:CK12)&gt;0,MAX(CI12:CK12),"")</f>
        <v/>
      </c>
      <c r="S12" s="29" t="str">
        <f>IF(R12="","",IF(R12=CI12,"(Vol 1)",IF(R12=CJ12,"(Vol 2)",IF(R12=CK12,"(Final)"))))</f>
        <v/>
      </c>
      <c r="T12" s="15" t="str">
        <f>IF(R12="","",IF(R12=CI12,IF(R12+L12=LY12,$LI$1,IF(R12+L12=LD12,$KN$1,IF(R12+L12=KI12,$JS$1,IF(R12+L12=JN12,$IX$1,IF(R12+L12=IS12,$IC$1,IF(R12+L12=HX12,$HH$1,IF(R12+L12=HC12,$GM$1,IF(R12+L12=GH12,$FR$1,IF(R12+L12=FM12,$EW$1,IF(R12+L12=ER12,$EB$1,IF(R12+L12=DW12,$DG$1,IF(R12+L12=DB12,$CL$1)))))))))))),IF(R12=CJ12,IF(R12+N12=LZ12,$LI$1,IF(R12+N12=LE12,$KN$1,IF(R12+N12=KJ12,$JS$1,IF(R12+N12=JO12,$IX$1,IF(R12+N12=IT12,$IC$1,IF(R12+N12=HY12,$HH$1,IF(R12+N12=HD12,$GM$1,IF(R12+N12=GI12,$FR$1,IF(R12+N12=FN12,$EW$1,IF(R12+N12=ES12,$EB$1,IF(R12+N12=DX12,$DG$1,IF(R12+N12=DC12,$CL$1)))))))))))),IF(R12=CK12,IF(R12+P12=MB12,$LI$1,IF(R12+P12=LG12,$KN$1,IF(R12+P12=KL12,$JS$1,IF(R12+P12=JQ12,$IX$1,IF(R12+P12=IV12,$IC$1,IF(R12+P12=IA12,$HH$1,IF(R12+P12=HF12,$GM$1,IF(R12+P12=GK12,$FR$1,IF(R12+P12=FP12,$EW$1,IF(R12+P12=EU12,$EB$1,IF(R12+P12=DZ12,$DG$1,IF(R12+P12=DE12,$CL$1))))))))))))))))</f>
        <v/>
      </c>
      <c r="U12" s="45">
        <v>14.8</v>
      </c>
      <c r="V12" s="45">
        <v>9.6</v>
      </c>
      <c r="W12" s="45">
        <v>4.3</v>
      </c>
      <c r="X12" s="45">
        <v>14.365</v>
      </c>
      <c r="Y12" s="45">
        <v>0</v>
      </c>
      <c r="Z12" s="45">
        <v>14.5</v>
      </c>
      <c r="AA12" s="45">
        <v>8.9</v>
      </c>
      <c r="AB12" s="45">
        <v>9.3000000000000007</v>
      </c>
      <c r="AC12" s="45">
        <v>14.005000000000001</v>
      </c>
      <c r="AD12" s="45"/>
      <c r="AE12" s="45"/>
      <c r="AF12" s="45"/>
      <c r="AG12" s="45"/>
      <c r="AH12" s="45"/>
      <c r="AI12" s="45"/>
      <c r="AJ12" s="108"/>
      <c r="AK12" s="12">
        <f>IF(SUM(AB12)&gt;0,SUM(AB12),"")</f>
        <v>9.3000000000000007</v>
      </c>
      <c r="AL12" s="12">
        <f>IF(SUM(U12:X12)-Y12&gt;0,SUM(U12:X12)-Y12,"")</f>
        <v>43.064999999999998</v>
      </c>
      <c r="AM12" s="12">
        <f>IF(SUM(Z12:AC12)-AD12&gt;0,SUM(Z12:AC12)-AD12,"")</f>
        <v>46.705000000000005</v>
      </c>
      <c r="AN12" s="12">
        <f>IF(SUM(AL12:AM12)&gt;0,SUM(AL12:AM12),"")</f>
        <v>89.77000000000001</v>
      </c>
      <c r="AO12" s="12" t="str">
        <f>IF(SUM(AE12:AH12)-AI12&gt;0,SUM(AE12:AH12)-AI12,"")</f>
        <v/>
      </c>
      <c r="AP12" s="12">
        <f>IF(SUM(AN12,AO12)&gt;0,SUM(AN12,AO12),"")</f>
        <v>89.77000000000001</v>
      </c>
      <c r="AQ12" s="46">
        <v>14.8</v>
      </c>
      <c r="AR12" s="46">
        <v>9</v>
      </c>
      <c r="AS12" s="46">
        <v>4.7</v>
      </c>
      <c r="AT12" s="46">
        <v>14.074999999999999</v>
      </c>
      <c r="AU12" s="46">
        <v>0</v>
      </c>
      <c r="AV12" s="46">
        <v>7.1</v>
      </c>
      <c r="AW12" s="46">
        <v>5.6</v>
      </c>
      <c r="AX12" s="46">
        <v>7.1</v>
      </c>
      <c r="AY12" s="46">
        <v>8.3650000000000002</v>
      </c>
      <c r="AZ12" s="46">
        <v>0</v>
      </c>
      <c r="BA12" s="46">
        <v>5.4</v>
      </c>
      <c r="BB12" s="46">
        <v>3.75</v>
      </c>
      <c r="BC12" s="46">
        <v>4.8</v>
      </c>
      <c r="BD12" s="46">
        <v>5.8150000000000004</v>
      </c>
      <c r="BE12" s="46">
        <v>0</v>
      </c>
      <c r="BF12" s="109"/>
      <c r="BG12" s="15">
        <f>IF(SUM(AX12)&gt;0,SUM(AX12),"")</f>
        <v>7.1</v>
      </c>
      <c r="BH12" s="15">
        <f>IF(SUM(AQ12:AT12)-AU12&gt;0,SUM(AQ12:AT12)-AU12,"")</f>
        <v>42.575000000000003</v>
      </c>
      <c r="BI12" s="15">
        <f>IF(SUM(AV12:AY12)-AZ12&gt;0,SUM(AV12:AY12)-AZ12,"")</f>
        <v>28.164999999999999</v>
      </c>
      <c r="BJ12" s="15">
        <f>IF(SUM(BH12:BI12)&gt;0,SUM(BH12:BI12),"")</f>
        <v>70.740000000000009</v>
      </c>
      <c r="BK12" s="15">
        <f>IF(SUM(BA12:BD12)-BE12&gt;0,SUM(BA12:BD12)-BE12,"")</f>
        <v>19.765000000000001</v>
      </c>
      <c r="BL12" s="15">
        <f>IF(SUM(BJ12,BK12)&gt;0,SUM(BJ12,BK12),"")</f>
        <v>90.50500000000001</v>
      </c>
      <c r="BM12" s="45">
        <v>15.4</v>
      </c>
      <c r="BN12" s="45">
        <v>9.25</v>
      </c>
      <c r="BO12" s="45">
        <v>4.4000000000000004</v>
      </c>
      <c r="BP12" s="45">
        <v>14.42</v>
      </c>
      <c r="BQ12" s="45">
        <v>0</v>
      </c>
      <c r="BR12" s="45">
        <v>12.9</v>
      </c>
      <c r="BS12" s="45">
        <v>9</v>
      </c>
      <c r="BT12" s="45">
        <v>10</v>
      </c>
      <c r="BU12" s="45">
        <v>14.105</v>
      </c>
      <c r="BV12" s="45">
        <v>0</v>
      </c>
      <c r="BW12" s="45">
        <v>13.7</v>
      </c>
      <c r="BX12" s="45">
        <v>8.35</v>
      </c>
      <c r="BY12" s="45">
        <v>10.5</v>
      </c>
      <c r="BZ12" s="45">
        <v>14.58</v>
      </c>
      <c r="CA12" s="45">
        <v>0</v>
      </c>
      <c r="CB12" s="108"/>
      <c r="CC12" s="12">
        <f>IF(SUM(BT12)&gt;0,SUM(BT12),"")</f>
        <v>10</v>
      </c>
      <c r="CD12" s="12">
        <f>IF(SUM(BM12:BP12)-BQ12&gt;0,SUM(BM12:BP12)-BQ12,"")</f>
        <v>43.47</v>
      </c>
      <c r="CE12" s="12">
        <f>IF(SUM(BR12:BU12)-BV12&gt;0,SUM(BR12:BU12)-BV12,"")</f>
        <v>46.004999999999995</v>
      </c>
      <c r="CF12" s="12">
        <f>IF(SUM(CD12:CE12)&gt;0,SUM(CD12:CE12),"")</f>
        <v>89.474999999999994</v>
      </c>
      <c r="CG12" s="12">
        <f>IF(SUM(BW12:BZ12)-CA12&gt;0,SUM(BW12:BZ12)-CA12,"")</f>
        <v>47.129999999999995</v>
      </c>
      <c r="CH12" s="12">
        <f>IF(SUM(CF12,CG12)&gt;0,SUM(CF12,CG12),"")</f>
        <v>136.60499999999999</v>
      </c>
      <c r="CI12" s="28" t="str">
        <f>IF(MAX(DB12,DW12,ER12,FM12,GH12,HC12,HX12,IS12,JN12,KI12,LD12,LY12)-L12&gt;0.001,MAX(DB12,DW12,ER12,FM12,GH12,HC12,HX12,IS12,JN12,KI12,LD12,LY12)-L12,"")</f>
        <v/>
      </c>
      <c r="CJ12" s="28" t="str">
        <f>IF(MAX(DC12,DX12,ES12,FN12,GI12,HD12,HY12,IT12,JO12,KJ12,LE12,LZ12)-N12&gt;0.001,MAX(DC12,DX12,ES12,FN12,GI12,HD12,HY12,IT12,JO12,KJ12,LE12,LZ12)-N12,"")</f>
        <v/>
      </c>
      <c r="CK12" s="28" t="str">
        <f>IF(MAX(DE12,DZ12,EU12,FP12,GK12,HF12,IA12,IV12,JQ12,KL12,LG12,MB12)-P12&gt;0.001,MAX(DE12,DZ12,EU12,FP12,GK12,HF12,IA12,IV12,JQ12,KL12,LG12,MB12)-P12,"")</f>
        <v/>
      </c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12" t="str">
        <f>IF(SUM(CS12)&gt;0,SUM(CS12),"")</f>
        <v/>
      </c>
      <c r="DB12" s="12" t="str">
        <f>IF(SUM(CL12:CO12)-CP12&gt;0,SUM(CL12:CO12)-CP12,"")</f>
        <v/>
      </c>
      <c r="DC12" s="12" t="str">
        <f>IF(SUM(CQ12:CT12)-CU12&gt;0,SUM(CQ12:CT12)-CU12,"")</f>
        <v/>
      </c>
      <c r="DD12" s="12" t="str">
        <f>IF(SUM(DB12:DC12)&gt;0,SUM(DB12:DC12),"")</f>
        <v/>
      </c>
      <c r="DE12" s="12" t="str">
        <f>IF(SUM(CV12:CY12)-CZ12&gt;0,SUM(CV12:CY12)-CZ12,"")</f>
        <v/>
      </c>
      <c r="DF12" s="12" t="str">
        <f>IF(SUM(DD12,DE12)&gt;0,SUM(DD12,DE12),"")</f>
        <v/>
      </c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15" t="str">
        <f>IF(SUM(DN12)&gt;0,SUM(DN12),"")</f>
        <v/>
      </c>
      <c r="DW12" s="15" t="str">
        <f>IF(SUM(DG12:DJ12)-DK12&gt;0,SUM(DG12:DJ12)-DK12,"")</f>
        <v/>
      </c>
      <c r="DX12" s="15" t="str">
        <f>IF(SUM(DL12:DO12)-DP12&gt;0,SUM(DL12:DO12)-DP12,"")</f>
        <v/>
      </c>
      <c r="DY12" s="15" t="str">
        <f>IF(SUM(DW12:DX12)&gt;0,SUM(DW12:DX12),"")</f>
        <v/>
      </c>
      <c r="DZ12" s="15" t="str">
        <f>IF(SUM(DQ12:DT12)-DU12&gt;0,SUM(DQ12:DT12)-DU12,"")</f>
        <v/>
      </c>
      <c r="EA12" s="15" t="str">
        <f>IF(SUM(DY12,DZ12)&gt;0,SUM(DY12,DZ12),"")</f>
        <v/>
      </c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45"/>
      <c r="EO12" s="45"/>
      <c r="EP12" s="45"/>
      <c r="EQ12" s="12" t="str">
        <f>IF(SUM(EI12)&gt;0,SUM(EI12),"")</f>
        <v/>
      </c>
      <c r="ER12" s="12" t="str">
        <f>IF(SUM(EB12:EE12)-EF12&gt;0,SUM(EB12:EE12)-EF12,"")</f>
        <v/>
      </c>
      <c r="ES12" s="12" t="str">
        <f>IF(SUM(EG12:EJ12)-EK12&gt;0,SUM(EG12:EJ12)-EK12,"")</f>
        <v/>
      </c>
      <c r="ET12" s="12" t="str">
        <f>IF(SUM(ER12:ES12)&gt;0,SUM(ER12:ES12),"")</f>
        <v/>
      </c>
      <c r="EU12" s="12" t="str">
        <f>IF(SUM(EL12:EO12)-EP12&gt;0,SUM(EL12:EO12)-EP12,"")</f>
        <v/>
      </c>
      <c r="EV12" s="12" t="str">
        <f>IF(SUM(ET12,EU12)&gt;0,SUM(ET12,EU12),"")</f>
        <v/>
      </c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46"/>
      <c r="FJ12" s="46"/>
      <c r="FK12" s="46"/>
      <c r="FL12" s="15" t="str">
        <f>IF(SUM(FD12)&gt;0,SUM(FD12),"")</f>
        <v/>
      </c>
      <c r="FM12" s="15" t="str">
        <f>IF(SUM(EW12:EZ12)-FA12&gt;0,SUM(EW12:EZ12)-FA12,"")</f>
        <v/>
      </c>
      <c r="FN12" s="15" t="str">
        <f>IF(SUM(FB12:FE12)-FF12&gt;0,SUM(FB12:FE12)-FF12,"")</f>
        <v/>
      </c>
      <c r="FO12" s="15" t="str">
        <f>IF(SUM(FM12:FN12)&gt;0,SUM(FM12:FN12),"")</f>
        <v/>
      </c>
      <c r="FP12" s="15" t="str">
        <f>IF(SUM(FG12:FJ12)-FK12&gt;0,SUM(FG12:FJ12)-FK12,"")</f>
        <v/>
      </c>
      <c r="FQ12" s="15" t="str">
        <f>IF(SUM(FO12,FP12)&gt;0,SUM(FO12,FP12),"")</f>
        <v/>
      </c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45"/>
      <c r="GE12" s="45"/>
      <c r="GF12" s="45"/>
      <c r="GG12" s="12" t="str">
        <f>IF(SUM(FY12)&gt;0,SUM(FY12),"")</f>
        <v/>
      </c>
      <c r="GH12" s="12" t="str">
        <f>IF(SUM(FR12:FU12)-FV12&gt;0,SUM(FR12:FU12)-FV12,"")</f>
        <v/>
      </c>
      <c r="GI12" s="12" t="str">
        <f>IF(SUM(FW12:FZ12)-GA12&gt;0,SUM(FW12:FZ12)-GA12,"")</f>
        <v/>
      </c>
      <c r="GJ12" s="12" t="str">
        <f>IF(SUM(GH12:GI12)&gt;0,SUM(GH12:GI12),"")</f>
        <v/>
      </c>
      <c r="GK12" s="12" t="str">
        <f>IF(SUM(GB12:GE12)-GF12&gt;0,SUM(GB12:GE12)-GF12,"")</f>
        <v/>
      </c>
      <c r="GL12" s="12" t="str">
        <f>IF(SUM(GJ12,GK12)&gt;0,SUM(GJ12,GK12),"")</f>
        <v/>
      </c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46"/>
      <c r="GZ12" s="46"/>
      <c r="HA12" s="46"/>
      <c r="HB12" s="15" t="str">
        <f>IF(SUM(GT12)&gt;0,SUM(GT12),"")</f>
        <v/>
      </c>
      <c r="HC12" s="15" t="str">
        <f>IF(SUM(GM12:GP12)-GQ12&gt;0,SUM(GM12:GP12)-GQ12,"")</f>
        <v/>
      </c>
      <c r="HD12" s="15" t="str">
        <f>IF(SUM(GR12:GU12)-GV12&gt;0,SUM(GR12:GU12)-GV12,"")</f>
        <v/>
      </c>
      <c r="HE12" s="15" t="str">
        <f>IF(SUM(HC12:HD12)&gt;0,SUM(HC12:HD12),"")</f>
        <v/>
      </c>
      <c r="HF12" s="15" t="str">
        <f>IF(SUM(GW12:GZ12)-HA12&gt;0,SUM(GW12:GZ12)-HA12,"")</f>
        <v/>
      </c>
      <c r="HG12" s="15" t="str">
        <f>IF(SUM(HE12,HF12)&gt;0,SUM(HE12,HF12),"")</f>
        <v/>
      </c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45"/>
      <c r="HU12" s="45"/>
      <c r="HV12" s="45"/>
      <c r="HW12" s="12" t="str">
        <f>IF(SUM(HO12)&gt;0,SUM(HO12),"")</f>
        <v/>
      </c>
      <c r="HX12" s="12" t="str">
        <f>IF(SUM(HH12:HK12)-HL12&gt;0,SUM(HH12:HK12)-HL12,"")</f>
        <v/>
      </c>
      <c r="HY12" s="12" t="str">
        <f>IF(SUM(HM12:HP12)-HQ12&gt;0,SUM(HM12:HP12)-HQ12,"")</f>
        <v/>
      </c>
      <c r="HZ12" s="12" t="str">
        <f>IF(SUM(HX12:HY12)&gt;0,SUM(HX12:HY12),"")</f>
        <v/>
      </c>
      <c r="IA12" s="12" t="str">
        <f>IF(SUM(HR12:HU12)-HV12&gt;0,SUM(HR12:HU12)-HV12,"")</f>
        <v/>
      </c>
      <c r="IB12" s="12" t="str">
        <f>IF(SUM(HZ12,IA12)&gt;0,SUM(HZ12,IA12),"")</f>
        <v/>
      </c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46"/>
      <c r="IP12" s="46"/>
      <c r="IQ12" s="46"/>
      <c r="IR12" s="15" t="str">
        <f>IF(SUM(IJ12)&gt;0,SUM(IJ12),"")</f>
        <v/>
      </c>
      <c r="IS12" s="15" t="str">
        <f>IF(SUM(IC12:IF12)-IG12&gt;0,SUM(IC12:IF12)-IG12,"")</f>
        <v/>
      </c>
      <c r="IT12" s="15" t="str">
        <f>IF(SUM(IH12:IK12)-IL12&gt;0,SUM(IH12:IK12)-IL12,"")</f>
        <v/>
      </c>
      <c r="IU12" s="15" t="str">
        <f>IF(SUM(IS12:IT12)&gt;0,SUM(IS12:IT12),"")</f>
        <v/>
      </c>
      <c r="IV12" s="15" t="str">
        <f>IF(SUM(IM12:IP12)-IQ12&gt;0,SUM(IM12:IP12)-IQ12,"")</f>
        <v/>
      </c>
      <c r="IW12" s="15" t="str">
        <f>IF(SUM(IU12,IV12)&gt;0,SUM(IU12,IV12),"")</f>
        <v/>
      </c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45"/>
      <c r="JK12" s="45"/>
      <c r="JL12" s="45"/>
      <c r="JM12" s="12" t="str">
        <f>IF(SUM(JE12)&gt;0,SUM(JE12),"")</f>
        <v/>
      </c>
      <c r="JN12" s="12" t="str">
        <f>IF(SUM(IX12:JA12)-JB12&gt;0,SUM(IX12:JA12)-JB12,"")</f>
        <v/>
      </c>
      <c r="JO12" s="12" t="str">
        <f>IF(SUM(JC12:JF12)-JG12&gt;0,SUM(JC12:JF12)-JG12,"")</f>
        <v/>
      </c>
      <c r="JP12" s="12" t="str">
        <f>IF(SUM(JN12:JO12)&gt;0,SUM(JN12:JO12),"")</f>
        <v/>
      </c>
      <c r="JQ12" s="12" t="str">
        <f>IF(SUM(JH12:JK12)-JL12&gt;0,SUM(JH12:JK12)-JL12,"")</f>
        <v/>
      </c>
      <c r="JR12" s="12" t="str">
        <f>IF(SUM(JP12,JQ12)&gt;0,SUM(JP12,JQ12),"")</f>
        <v/>
      </c>
      <c r="JS12" s="46"/>
      <c r="JT12" s="46"/>
      <c r="JU12" s="46"/>
      <c r="JV12" s="46"/>
      <c r="JW12" s="46"/>
      <c r="JX12" s="46"/>
      <c r="JY12" s="46"/>
      <c r="JZ12" s="46"/>
      <c r="KA12" s="46"/>
      <c r="KB12" s="46"/>
      <c r="KC12" s="46"/>
      <c r="KD12" s="46"/>
      <c r="KE12" s="46"/>
      <c r="KF12" s="46"/>
      <c r="KG12" s="46"/>
      <c r="KH12" s="15" t="str">
        <f>IF(SUM(JZ12)&gt;0,SUM(JZ12),"")</f>
        <v/>
      </c>
      <c r="KI12" s="15" t="str">
        <f>IF(SUM(JS12:JV12)-JW12&gt;0,SUM(JS12:JV12)-JW12,"")</f>
        <v/>
      </c>
      <c r="KJ12" s="15" t="str">
        <f>IF(SUM(JX12:KA12)-KB12&gt;0,SUM(JX12:KA12)-KB12,"")</f>
        <v/>
      </c>
      <c r="KK12" s="15" t="str">
        <f>IF(SUM(KI12:KJ12)&gt;0,SUM(KI12:KJ12),"")</f>
        <v/>
      </c>
      <c r="KL12" s="15" t="str">
        <f>IF(SUM(KC12:KF12)-KG12&gt;0,SUM(KC12:KF12)-KG12,"")</f>
        <v/>
      </c>
      <c r="KM12" s="15" t="str">
        <f>IF(SUM(KK12,KL12)&gt;0,SUM(KK12,KL12),"")</f>
        <v/>
      </c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45"/>
      <c r="LA12" s="45"/>
      <c r="LB12" s="45"/>
      <c r="LC12" s="12" t="str">
        <f>IF(SUM(KU12)&gt;0,SUM(KU12),"")</f>
        <v/>
      </c>
      <c r="LD12" s="12" t="str">
        <f>IF(SUM(KN12:KQ12)-KR12&gt;0,SUM(KN12:KQ12)-KR12,"")</f>
        <v/>
      </c>
      <c r="LE12" s="12" t="str">
        <f>IF(SUM(KS12:KV12)-KW12&gt;0,SUM(KS12:KV12)-KW12,"")</f>
        <v/>
      </c>
      <c r="LF12" s="12" t="str">
        <f>IF(SUM(LD12:LE12)&gt;0,SUM(LD12:LE12),"")</f>
        <v/>
      </c>
      <c r="LG12" s="12" t="str">
        <f>IF(SUM(KX12:LA12)-LB12&gt;0,SUM(KX12:LA12)-LB12,"")</f>
        <v/>
      </c>
      <c r="LH12" s="12" t="str">
        <f>IF(SUM(LF12,LG12)&gt;0,SUM(LF12,LG12),"")</f>
        <v/>
      </c>
      <c r="LI12" s="46"/>
      <c r="LJ12" s="46"/>
      <c r="LK12" s="46"/>
      <c r="LL12" s="46"/>
      <c r="LM12" s="46"/>
      <c r="LN12" s="46"/>
      <c r="LO12" s="46"/>
      <c r="LP12" s="46"/>
      <c r="LQ12" s="46"/>
      <c r="LR12" s="46"/>
      <c r="LS12" s="46"/>
      <c r="LT12" s="46"/>
      <c r="LU12" s="46"/>
      <c r="LV12" s="46"/>
      <c r="LW12" s="46"/>
      <c r="LX12" s="15" t="str">
        <f>IF(SUM(LP12)&gt;0,SUM(LP12),"")</f>
        <v/>
      </c>
      <c r="LY12" s="15" t="str">
        <f>IF(SUM(LI12:LL12)-LM12&gt;0,SUM(LI12:LL12)-LM12,"")</f>
        <v/>
      </c>
      <c r="LZ12" s="15" t="str">
        <f>IF(SUM(LN12:LQ12)-LR12&gt;0,SUM(LN12:LQ12)-LR12,"")</f>
        <v/>
      </c>
      <c r="MA12" s="15" t="str">
        <f>IF(SUM(LY12:LZ12)&gt;0,SUM(LY12:LZ12),"")</f>
        <v/>
      </c>
      <c r="MB12" s="15" t="str">
        <f>IF(SUM(LS12:LV12)-LW12&gt;0,SUM(LS12:LV12)-LW12,"")</f>
        <v/>
      </c>
      <c r="MC12" s="15" t="str">
        <f>IF(SUM(MA12,MB12)&gt;0,SUM(MA12,MB12),"")</f>
        <v/>
      </c>
    </row>
    <row r="13" spans="1:341" x14ac:dyDescent="0.2">
      <c r="A13" s="6">
        <f>IF(AND(F13="P",H13="P"),SUMPRODUCT((F$4:F$16="P")*(H$4:H$16="P")*(E$4:E$16&gt;E13))+1,IF(H13="P",SUMPRODUCT((F$4:F$16="")*(H$4:H$16="P")*(E$4:E$16&gt;E13))+1+SUMPRODUCT((F$4:F$16="P")*(H$4:H$16="P")),""))</f>
        <v>5</v>
      </c>
      <c r="B13" s="9" t="s">
        <v>102</v>
      </c>
      <c r="C13" s="5" t="s">
        <v>5</v>
      </c>
      <c r="D13" s="31">
        <v>2000</v>
      </c>
      <c r="E13" s="16">
        <f>SUM(J13:R13)</f>
        <v>224.40000000000003</v>
      </c>
      <c r="F13" s="4" t="str">
        <f>IF(OR(AND($AK13&gt;=$AL$19,NOT($AK13=""),$AJ13=""),AND($BG13&gt;=$BH$19,NOT($BG13=""),$BF13=""),AND($CC13&gt;=$CD$19,NOT($CC13=""),$CB13="")),"P","")</f>
        <v/>
      </c>
      <c r="G13" s="4" t="str">
        <f>IF(OR(AND($AK13&gt;=$AL$20,NOT($AK13=""),$AJ13=""),AND($BG13&gt;=$BH$20,NOT($BG13=""),$BF13=""),AND($CC13&gt;=$CD$20,NOT($CC13=""),$CB13="")),"P","")</f>
        <v/>
      </c>
      <c r="H13" s="4" t="str">
        <f>IF(OR(AND($AN13&gt;=$AL$21,NOT($AN13=""),$AJ13=""),AND($BJ13&gt;=$BH$21,NOT($BJ13=""),$BF13=""),AND($CF13&gt;=$CD$21,NOT($CF13=""),$CB13="")),"P","")</f>
        <v>P</v>
      </c>
      <c r="I13" t="str">
        <f>IF(AND(F13="P",OR(AND($AM13&gt;$AL$24,NOT($AM13=""),$AJ13=""),AND($AO13&gt;$AL$24,NOT($AO13=""),$AJ13=""),AND($BI13&gt;$BH$24,NOT($BI13=""),$BF13=""),AND($BK13&gt;$BH$24,NOT($BK13=""),$BF13=""),AND($CE13&gt;$CD$24,NOT($CE13=""),$CB13=""),AND($CG13&gt;$CD$24,NOT($CG13=""),$CB13=""))),"Merit",IF(AND(F13="P",OR(AND($AN13&gt;$AL$23,NOT($AN13=""),$AJ13=""),AND($BJ13&gt;$BH$23,NOT($BJ13=""),$BF13=""),AND($CF13&gt;$CD$23,NOT($CF13=""),$CB13=""))),"Funding",IF(AND(F13="P",OR(AND($AN13&gt;$AL$22,NOT($AN13=""),$AJ13=""),AND($BJ13&gt;$BH$22,NOT($BJ13=""),$BF13=""),AND($CF13&gt;$CD$22,NOT($CF13=""),$CB13=""))),"Worlds Team",IF(AND(F13="P",OR(AND($AN13&gt;$AL$21,NOT($AN13=""),$AJ13=""),AND($BJ13&gt;$BH$21,NOT($BJ13=""),$BF13=""),AND($CF13&gt;$CD$21,NOT($CF13=""),$CB13=""))),"National Team",""))))</f>
        <v/>
      </c>
      <c r="J13" s="15">
        <f>MAX(AN13,BJ13,CF13)</f>
        <v>92.365000000000009</v>
      </c>
      <c r="K13" s="15" t="str">
        <f>IF(J13=CF13,$BM$1,IF(J13=BJ13,$AQ$1,IF(J13=AN13,$U$1,"")))</f>
        <v>2018 Canada Cup</v>
      </c>
      <c r="L13" s="15">
        <f>IF($J13=$AN13,MAX(BH13,CD13),IF($J13=$BJ13,MAX(AL13,CD13),MAX(AL13,BH13)))</f>
        <v>43.67</v>
      </c>
      <c r="M13" s="15" t="str">
        <f>IF(AND(L13=CD13,$K13&lt;&gt;$BM$1),$BM$1,IF(AND(L13=BH13,$K13&lt;&gt;$AQ$1),$AQ$1,IF(AND(L13=AL13,$K13&lt;&gt;$U$1),$U$1,"")))</f>
        <v>2017 Nationals</v>
      </c>
      <c r="N13" s="15">
        <f>IF($J13=$AN13,MAX(BI13,CE13),IF($J13=$BJ13,MAX(AM13,CE13),MAX(AM13,BI13)))</f>
        <v>38.734999999999999</v>
      </c>
      <c r="O13" s="15" t="str">
        <f>IF(AND(N13=CE13,$K13&lt;&gt;$BM$1),$BM$1,IF(AND(N13=BI13,$K13&lt;&gt;$AQ$1),$AQ$1,IF(AND(N13=AM13,$K13&lt;&gt;$U$1),$U$1,"")))</f>
        <v>2017 Nationals</v>
      </c>
      <c r="P13" s="15">
        <f>MAX(AO13,BK13,CG13)</f>
        <v>49.63</v>
      </c>
      <c r="Q13" s="15" t="str">
        <f>IF(P13=CG13,$BM$1,IF(P13=BK13,$AQ$1,IF(P13=AO13,$U$1,"")))</f>
        <v>2018 Canada Cup</v>
      </c>
      <c r="R13" s="15" t="str">
        <f>IF(MAX(CI13:CK13)&gt;0,MAX(CI13:CK13),"")</f>
        <v/>
      </c>
      <c r="S13" s="29" t="str">
        <f>IF(R13="","",IF(R13=CI13,"(Vol 1)",IF(R13=CJ13,"(Vol 2)",IF(R13=CK13,"(Final)"))))</f>
        <v/>
      </c>
      <c r="T13" s="15" t="str">
        <f>IF(R13="","",IF(R13=CI13,IF(R13+L13=LY13,$LI$1,IF(R13+L13=LD13,$KN$1,IF(R13+L13=KI13,$JS$1,IF(R13+L13=JN13,$IX$1,IF(R13+L13=IS13,$IC$1,IF(R13+L13=HX13,$HH$1,IF(R13+L13=HC13,$GM$1,IF(R13+L13=GH13,$FR$1,IF(R13+L13=FM13,$EW$1,IF(R13+L13=ER13,$EB$1,IF(R13+L13=DW13,$DG$1,IF(R13+L13=DB13,$CL$1)))))))))))),IF(R13=CJ13,IF(R13+N13=LZ13,$LI$1,IF(R13+N13=LE13,$KN$1,IF(R13+N13=KJ13,$JS$1,IF(R13+N13=JO13,$IX$1,IF(R13+N13=IT13,$IC$1,IF(R13+N13=HY13,$HH$1,IF(R13+N13=HD13,$GM$1,IF(R13+N13=GI13,$FR$1,IF(R13+N13=FN13,$EW$1,IF(R13+N13=ES13,$EB$1,IF(R13+N13=DX13,$DG$1,IF(R13+N13=DC13,$CL$1)))))))))))),IF(R13=CK13,IF(R13+P13=MB13,$LI$1,IF(R13+P13=LG13,$KN$1,IF(R13+P13=KL13,$JS$1,IF(R13+P13=JQ13,$IX$1,IF(R13+P13=IV13,$IC$1,IF(R13+P13=IA13,$HH$1,IF(R13+P13=HF13,$GM$1,IF(R13+P13=GK13,$FR$1,IF(R13+P13=FP13,$EW$1,IF(R13+P13=EU13,$EB$1,IF(R13+P13=DZ13,$DG$1,IF(R13+P13=DE13,$CL$1))))))))))))))))</f>
        <v/>
      </c>
      <c r="U13" s="45">
        <v>15.5</v>
      </c>
      <c r="V13" s="45">
        <v>9.1999999999999993</v>
      </c>
      <c r="W13" s="45">
        <v>4.4000000000000004</v>
      </c>
      <c r="X13" s="45">
        <v>14.57</v>
      </c>
      <c r="Y13" s="45">
        <v>0</v>
      </c>
      <c r="Z13" s="45">
        <v>12.5</v>
      </c>
      <c r="AA13" s="45">
        <v>7.4</v>
      </c>
      <c r="AB13" s="45">
        <v>7.3</v>
      </c>
      <c r="AC13" s="45">
        <v>11.535</v>
      </c>
      <c r="AD13" s="45"/>
      <c r="AE13" s="45"/>
      <c r="AF13" s="45"/>
      <c r="AG13" s="45"/>
      <c r="AH13" s="45"/>
      <c r="AI13" s="45"/>
      <c r="AJ13" s="108"/>
      <c r="AK13" s="12">
        <f>IF(SUM(AB13)&gt;0,SUM(AB13),"")</f>
        <v>7.3</v>
      </c>
      <c r="AL13" s="12">
        <f>IF(SUM(U13:X13)-Y13&gt;0,SUM(U13:X13)-Y13,"")</f>
        <v>43.67</v>
      </c>
      <c r="AM13" s="12">
        <f>IF(SUM(Z13:AC13)-AD13&gt;0,SUM(Z13:AC13)-AD13,"")</f>
        <v>38.734999999999999</v>
      </c>
      <c r="AN13" s="12">
        <f>IF(SUM(AL13:AM13)&gt;0,SUM(AL13:AM13),"")</f>
        <v>82.405000000000001</v>
      </c>
      <c r="AO13" s="12" t="str">
        <f>IF(SUM(AE13:AH13)-AI13&gt;0,SUM(AE13:AH13)-AI13,"")</f>
        <v/>
      </c>
      <c r="AP13" s="12">
        <f>IF(SUM(AN13,AO13)&gt;0,SUM(AN13,AO13),"")</f>
        <v>82.405000000000001</v>
      </c>
      <c r="AQ13" s="46">
        <v>15.4</v>
      </c>
      <c r="AR13" s="46">
        <v>9.15</v>
      </c>
      <c r="AS13" s="46">
        <v>3.4</v>
      </c>
      <c r="AT13" s="46">
        <v>15.03</v>
      </c>
      <c r="AU13" s="46">
        <v>0</v>
      </c>
      <c r="AV13" s="46">
        <v>15.6</v>
      </c>
      <c r="AW13" s="46">
        <v>9.3000000000000007</v>
      </c>
      <c r="AX13" s="46">
        <v>9.8000000000000007</v>
      </c>
      <c r="AY13" s="46">
        <v>14.685</v>
      </c>
      <c r="AZ13" s="46">
        <v>0</v>
      </c>
      <c r="BA13" s="46">
        <v>16</v>
      </c>
      <c r="BB13" s="46">
        <v>9.4</v>
      </c>
      <c r="BC13" s="46">
        <v>9.8000000000000007</v>
      </c>
      <c r="BD13" s="46">
        <v>14.43</v>
      </c>
      <c r="BE13" s="46">
        <v>0</v>
      </c>
      <c r="BF13" s="109"/>
      <c r="BG13" s="15">
        <f>IF(SUM(AX13)&gt;0,SUM(AX13),"")</f>
        <v>9.8000000000000007</v>
      </c>
      <c r="BH13" s="15">
        <f>IF(SUM(AQ13:AT13)-AU13&gt;0,SUM(AQ13:AT13)-AU13,"")</f>
        <v>42.98</v>
      </c>
      <c r="BI13" s="15">
        <f>IF(SUM(AV13:AY13)-AZ13&gt;0,SUM(AV13:AY13)-AZ13,"")</f>
        <v>49.385000000000005</v>
      </c>
      <c r="BJ13" s="15">
        <f>IF(SUM(BH13:BI13)&gt;0,SUM(BH13:BI13),"")</f>
        <v>92.365000000000009</v>
      </c>
      <c r="BK13" s="15">
        <f>IF(SUM(BA13:BD13)-BE13&gt;0,SUM(BA13:BD13)-BE13,"")</f>
        <v>49.63</v>
      </c>
      <c r="BL13" s="15">
        <f>IF(SUM(BJ13,BK13)&gt;0,SUM(BJ13,BK13),"")</f>
        <v>141.995</v>
      </c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108"/>
      <c r="CC13" s="12" t="str">
        <f>IF(SUM(BT13)&gt;0,SUM(BT13),"")</f>
        <v/>
      </c>
      <c r="CD13" s="12" t="str">
        <f>IF(SUM(BM13:BP13)-BQ13&gt;0,SUM(BM13:BP13)-BQ13,"")</f>
        <v/>
      </c>
      <c r="CE13" s="12" t="str">
        <f>IF(SUM(BR13:BU13)-BV13&gt;0,SUM(BR13:BU13)-BV13,"")</f>
        <v/>
      </c>
      <c r="CF13" s="12" t="str">
        <f>IF(SUM(CD13:CE13)&gt;0,SUM(CD13:CE13),"")</f>
        <v/>
      </c>
      <c r="CG13" s="12" t="str">
        <f>IF(SUM(BW13:BZ13)-CA13&gt;0,SUM(BW13:BZ13)-CA13,"")</f>
        <v/>
      </c>
      <c r="CH13" s="12" t="str">
        <f>IF(SUM(CF13,CG13)&gt;0,SUM(CF13,CG13),"")</f>
        <v/>
      </c>
      <c r="CI13" s="28" t="str">
        <f>IF(MAX(DB13,DW13,ER13,FM13,GH13,HC13,HX13,IS13,JN13,KI13,LD13,LY13)-L13&gt;0.001,MAX(DB13,DW13,ER13,FM13,GH13,HC13,HX13,IS13,JN13,KI13,LD13,LY13)-L13,"")</f>
        <v/>
      </c>
      <c r="CJ13" s="28" t="str">
        <f>IF(MAX(DC13,DX13,ES13,FN13,GI13,HD13,HY13,IT13,JO13,KJ13,LE13,LZ13)-N13&gt;0.001,MAX(DC13,DX13,ES13,FN13,GI13,HD13,HY13,IT13,JO13,KJ13,LE13,LZ13)-N13,"")</f>
        <v/>
      </c>
      <c r="CK13" s="28" t="str">
        <f>IF(MAX(DE13,DZ13,EU13,FP13,GK13,HF13,IA13,IV13,JQ13,KL13,LG13,MB13)-P13&gt;0.001,MAX(DE13,DZ13,EU13,FP13,GK13,HF13,IA13,IV13,JQ13,KL13,LG13,MB13)-P13,"")</f>
        <v/>
      </c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12" t="str">
        <f>IF(SUM(CS13)&gt;0,SUM(CS13),"")</f>
        <v/>
      </c>
      <c r="DB13" s="12" t="str">
        <f>IF(SUM(CL13:CO13)-CP13&gt;0,SUM(CL13:CO13)-CP13,"")</f>
        <v/>
      </c>
      <c r="DC13" s="12" t="str">
        <f>IF(SUM(CQ13:CT13)-CU13&gt;0,SUM(CQ13:CT13)-CU13,"")</f>
        <v/>
      </c>
      <c r="DD13" s="12" t="str">
        <f>IF(SUM(DB13:DC13)&gt;0,SUM(DB13:DC13),"")</f>
        <v/>
      </c>
      <c r="DE13" s="12" t="str">
        <f>IF(SUM(CV13:CY13)-CZ13&gt;0,SUM(CV13:CY13)-CZ13,"")</f>
        <v/>
      </c>
      <c r="DF13" s="12" t="str">
        <f>IF(SUM(DD13,DE13)&gt;0,SUM(DD13,DE13),"")</f>
        <v/>
      </c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15" t="str">
        <f>IF(SUM(DN13)&gt;0,SUM(DN13),"")</f>
        <v/>
      </c>
      <c r="DW13" s="15" t="str">
        <f>IF(SUM(DG13:DJ13)-DK13&gt;0,SUM(DG13:DJ13)-DK13,"")</f>
        <v/>
      </c>
      <c r="DX13" s="15" t="str">
        <f>IF(SUM(DL13:DO13)-DP13&gt;0,SUM(DL13:DO13)-DP13,"")</f>
        <v/>
      </c>
      <c r="DY13" s="15" t="str">
        <f>IF(SUM(DW13:DX13)&gt;0,SUM(DW13:DX13),"")</f>
        <v/>
      </c>
      <c r="DZ13" s="15" t="str">
        <f>IF(SUM(DQ13:DT13)-DU13&gt;0,SUM(DQ13:DT13)-DU13,"")</f>
        <v/>
      </c>
      <c r="EA13" s="15" t="str">
        <f>IF(SUM(DY13,DZ13)&gt;0,SUM(DY13,DZ13),"")</f>
        <v/>
      </c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12" t="str">
        <f>IF(SUM(EI13)&gt;0,SUM(EI13),"")</f>
        <v/>
      </c>
      <c r="ER13" s="12" t="str">
        <f>IF(SUM(EB13:EE13)-EF13&gt;0,SUM(EB13:EE13)-EF13,"")</f>
        <v/>
      </c>
      <c r="ES13" s="12" t="str">
        <f>IF(SUM(EG13:EJ13)-EK13&gt;0,SUM(EG13:EJ13)-EK13,"")</f>
        <v/>
      </c>
      <c r="ET13" s="12" t="str">
        <f>IF(SUM(ER13:ES13)&gt;0,SUM(ER13:ES13),"")</f>
        <v/>
      </c>
      <c r="EU13" s="12" t="str">
        <f>IF(SUM(EL13:EO13)-EP13&gt;0,SUM(EL13:EO13)-EP13,"")</f>
        <v/>
      </c>
      <c r="EV13" s="12" t="str">
        <f>IF(SUM(ET13,EU13)&gt;0,SUM(ET13,EU13),"")</f>
        <v/>
      </c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15" t="str">
        <f>IF(SUM(FD13)&gt;0,SUM(FD13),"")</f>
        <v/>
      </c>
      <c r="FM13" s="15" t="str">
        <f>IF(SUM(EW13:EZ13)-FA13&gt;0,SUM(EW13:EZ13)-FA13,"")</f>
        <v/>
      </c>
      <c r="FN13" s="15" t="str">
        <f>IF(SUM(FB13:FE13)-FF13&gt;0,SUM(FB13:FE13)-FF13,"")</f>
        <v/>
      </c>
      <c r="FO13" s="15" t="str">
        <f>IF(SUM(FM13:FN13)&gt;0,SUM(FM13:FN13),"")</f>
        <v/>
      </c>
      <c r="FP13" s="15" t="str">
        <f>IF(SUM(FG13:FJ13)-FK13&gt;0,SUM(FG13:FJ13)-FK13,"")</f>
        <v/>
      </c>
      <c r="FQ13" s="15" t="str">
        <f>IF(SUM(FO13,FP13)&gt;0,SUM(FO13,FP13),"")</f>
        <v/>
      </c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45"/>
      <c r="GE13" s="45"/>
      <c r="GF13" s="45"/>
      <c r="GG13" s="12" t="str">
        <f>IF(SUM(FY13)&gt;0,SUM(FY13),"")</f>
        <v/>
      </c>
      <c r="GH13" s="12" t="str">
        <f>IF(SUM(FR13:FU13)-FV13&gt;0,SUM(FR13:FU13)-FV13,"")</f>
        <v/>
      </c>
      <c r="GI13" s="12" t="str">
        <f>IF(SUM(FW13:FZ13)-GA13&gt;0,SUM(FW13:FZ13)-GA13,"")</f>
        <v/>
      </c>
      <c r="GJ13" s="12" t="str">
        <f>IF(SUM(GH13:GI13)&gt;0,SUM(GH13:GI13),"")</f>
        <v/>
      </c>
      <c r="GK13" s="12" t="str">
        <f>IF(SUM(GB13:GE13)-GF13&gt;0,SUM(GB13:GE13)-GF13,"")</f>
        <v/>
      </c>
      <c r="GL13" s="12" t="str">
        <f>IF(SUM(GJ13,GK13)&gt;0,SUM(GJ13,GK13),"")</f>
        <v/>
      </c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15" t="str">
        <f>IF(SUM(GT13)&gt;0,SUM(GT13),"")</f>
        <v/>
      </c>
      <c r="HC13" s="15" t="str">
        <f>IF(SUM(GM13:GP13)-GQ13&gt;0,SUM(GM13:GP13)-GQ13,"")</f>
        <v/>
      </c>
      <c r="HD13" s="15" t="str">
        <f>IF(SUM(GR13:GU13)-GV13&gt;0,SUM(GR13:GU13)-GV13,"")</f>
        <v/>
      </c>
      <c r="HE13" s="15" t="str">
        <f>IF(SUM(HC13:HD13)&gt;0,SUM(HC13:HD13),"")</f>
        <v/>
      </c>
      <c r="HF13" s="15" t="str">
        <f>IF(SUM(GW13:GZ13)-HA13&gt;0,SUM(GW13:GZ13)-HA13,"")</f>
        <v/>
      </c>
      <c r="HG13" s="15" t="str">
        <f>IF(SUM(HE13,HF13)&gt;0,SUM(HE13,HF13),"")</f>
        <v/>
      </c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45"/>
      <c r="HU13" s="45"/>
      <c r="HV13" s="45"/>
      <c r="HW13" s="12" t="str">
        <f>IF(SUM(HO13)&gt;0,SUM(HO13),"")</f>
        <v/>
      </c>
      <c r="HX13" s="12" t="str">
        <f>IF(SUM(HH13:HK13)-HL13&gt;0,SUM(HH13:HK13)-HL13,"")</f>
        <v/>
      </c>
      <c r="HY13" s="12" t="str">
        <f>IF(SUM(HM13:HP13)-HQ13&gt;0,SUM(HM13:HP13)-HQ13,"")</f>
        <v/>
      </c>
      <c r="HZ13" s="12" t="str">
        <f>IF(SUM(HX13:HY13)&gt;0,SUM(HX13:HY13),"")</f>
        <v/>
      </c>
      <c r="IA13" s="12" t="str">
        <f>IF(SUM(HR13:HU13)-HV13&gt;0,SUM(HR13:HU13)-HV13,"")</f>
        <v/>
      </c>
      <c r="IB13" s="12" t="str">
        <f>IF(SUM(HZ13,IA13)&gt;0,SUM(HZ13,IA13),"")</f>
        <v/>
      </c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15" t="str">
        <f>IF(SUM(IJ13)&gt;0,SUM(IJ13),"")</f>
        <v/>
      </c>
      <c r="IS13" s="15" t="str">
        <f>IF(SUM(IC13:IF13)-IG13&gt;0,SUM(IC13:IF13)-IG13,"")</f>
        <v/>
      </c>
      <c r="IT13" s="15" t="str">
        <f>IF(SUM(IH13:IK13)-IL13&gt;0,SUM(IH13:IK13)-IL13,"")</f>
        <v/>
      </c>
      <c r="IU13" s="15" t="str">
        <f>IF(SUM(IS13:IT13)&gt;0,SUM(IS13:IT13),"")</f>
        <v/>
      </c>
      <c r="IV13" s="15" t="str">
        <f>IF(SUM(IM13:IP13)-IQ13&gt;0,SUM(IM13:IP13)-IQ13,"")</f>
        <v/>
      </c>
      <c r="IW13" s="15" t="str">
        <f>IF(SUM(IU13,IV13)&gt;0,SUM(IU13,IV13),"")</f>
        <v/>
      </c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45"/>
      <c r="JK13" s="45"/>
      <c r="JL13" s="45"/>
      <c r="JM13" s="12" t="str">
        <f>IF(SUM(JE13)&gt;0,SUM(JE13),"")</f>
        <v/>
      </c>
      <c r="JN13" s="12" t="str">
        <f>IF(SUM(IX13:JA13)-JB13&gt;0,SUM(IX13:JA13)-JB13,"")</f>
        <v/>
      </c>
      <c r="JO13" s="12" t="str">
        <f>IF(SUM(JC13:JF13)-JG13&gt;0,SUM(JC13:JF13)-JG13,"")</f>
        <v/>
      </c>
      <c r="JP13" s="12" t="str">
        <f>IF(SUM(JN13:JO13)&gt;0,SUM(JN13:JO13),"")</f>
        <v/>
      </c>
      <c r="JQ13" s="12" t="str">
        <f>IF(SUM(JH13:JK13)-JL13&gt;0,SUM(JH13:JK13)-JL13,"")</f>
        <v/>
      </c>
      <c r="JR13" s="12" t="str">
        <f>IF(SUM(JP13,JQ13)&gt;0,SUM(JP13,JQ13),"")</f>
        <v/>
      </c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15" t="str">
        <f>IF(SUM(JZ13)&gt;0,SUM(JZ13),"")</f>
        <v/>
      </c>
      <c r="KI13" s="15" t="str">
        <f>IF(SUM(JS13:JV13)-JW13&gt;0,SUM(JS13:JV13)-JW13,"")</f>
        <v/>
      </c>
      <c r="KJ13" s="15" t="str">
        <f>IF(SUM(JX13:KA13)-KB13&gt;0,SUM(JX13:KA13)-KB13,"")</f>
        <v/>
      </c>
      <c r="KK13" s="15" t="str">
        <f>IF(SUM(KI13:KJ13)&gt;0,SUM(KI13:KJ13),"")</f>
        <v/>
      </c>
      <c r="KL13" s="15" t="str">
        <f>IF(SUM(KC13:KF13)-KG13&gt;0,SUM(KC13:KF13)-KG13,"")</f>
        <v/>
      </c>
      <c r="KM13" s="15" t="str">
        <f>IF(SUM(KK13,KL13)&gt;0,SUM(KK13,KL13),"")</f>
        <v/>
      </c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45"/>
      <c r="LA13" s="45"/>
      <c r="LB13" s="45"/>
      <c r="LC13" s="12" t="str">
        <f>IF(SUM(KU13)&gt;0,SUM(KU13),"")</f>
        <v/>
      </c>
      <c r="LD13" s="12" t="str">
        <f>IF(SUM(KN13:KQ13)-KR13&gt;0,SUM(KN13:KQ13)-KR13,"")</f>
        <v/>
      </c>
      <c r="LE13" s="12" t="str">
        <f>IF(SUM(KS13:KV13)-KW13&gt;0,SUM(KS13:KV13)-KW13,"")</f>
        <v/>
      </c>
      <c r="LF13" s="12" t="str">
        <f>IF(SUM(LD13:LE13)&gt;0,SUM(LD13:LE13),"")</f>
        <v/>
      </c>
      <c r="LG13" s="12" t="str">
        <f>IF(SUM(KX13:LA13)-LB13&gt;0,SUM(KX13:LA13)-LB13,"")</f>
        <v/>
      </c>
      <c r="LH13" s="12" t="str">
        <f>IF(SUM(LF13,LG13)&gt;0,SUM(LF13,LG13),"")</f>
        <v/>
      </c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15" t="str">
        <f>IF(SUM(LP13)&gt;0,SUM(LP13),"")</f>
        <v/>
      </c>
      <c r="LY13" s="15" t="str">
        <f>IF(SUM(LI13:LL13)-LM13&gt;0,SUM(LI13:LL13)-LM13,"")</f>
        <v/>
      </c>
      <c r="LZ13" s="15" t="str">
        <f>IF(SUM(LN13:LQ13)-LR13&gt;0,SUM(LN13:LQ13)-LR13,"")</f>
        <v/>
      </c>
      <c r="MA13" s="15" t="str">
        <f>IF(SUM(LY13:LZ13)&gt;0,SUM(LY13:LZ13),"")</f>
        <v/>
      </c>
      <c r="MB13" s="15" t="str">
        <f>IF(SUM(LS13:LV13)-LW13&gt;0,SUM(LS13:LV13)-LW13,"")</f>
        <v/>
      </c>
      <c r="MC13" s="15" t="str">
        <f>IF(SUM(MA13,MB13)&gt;0,SUM(MA13,MB13),"")</f>
        <v/>
      </c>
    </row>
    <row r="14" spans="1:341" x14ac:dyDescent="0.2">
      <c r="A14" s="6" t="str">
        <f>IF(AND(F14="P",H14="P"),SUMPRODUCT((F$4:F$16="P")*(H$4:H$16="P")*(E$4:E$16&gt;E14))+1,IF(H14="P",SUMPRODUCT((F$4:F$16="")*(H$4:H$16="P")*(E$4:E$16&gt;E14))+1+SUMPRODUCT((F$4:F$16="P")*(H$4:H$16="P")),""))</f>
        <v/>
      </c>
      <c r="B14" s="9" t="s">
        <v>83</v>
      </c>
      <c r="C14" s="5" t="s">
        <v>3</v>
      </c>
      <c r="D14" s="31">
        <v>1999</v>
      </c>
      <c r="E14" s="16">
        <f>SUM(J14:R14)</f>
        <v>138.32499999999999</v>
      </c>
      <c r="F14" s="4" t="str">
        <f>IF(OR(AND($AK14&gt;=$AL$19,NOT($AK14=""),$AJ14=""),AND($BG14&gt;=$BH$19,NOT($BG14=""),$BF14=""),AND($CC14&gt;=$CD$19,NOT($CC14=""),$CB14="")),"P","")</f>
        <v/>
      </c>
      <c r="G14" s="4" t="str">
        <f>IF(OR(AND($AK14&gt;=$AL$20,NOT($AK14=""),$AJ14=""),AND($BG14&gt;=$BH$20,NOT($BG14=""),$BF14=""),AND($CC14&gt;=$CD$20,NOT($CC14=""),$CB14="")),"P","")</f>
        <v/>
      </c>
      <c r="H14" s="4" t="str">
        <f>IF(OR(AND($AN14&gt;=$AL$21,NOT($AN14=""),$AJ14=""),AND($BJ14&gt;=$BH$21,NOT($BJ14=""),$BF14=""),AND($CF14&gt;=$CD$21,NOT($CF14=""),$CB14="")),"P","")</f>
        <v/>
      </c>
      <c r="I14" t="str">
        <f>IF(AND(F14="P",OR(AND($AM14&gt;$AL$24,NOT($AM14=""),$AJ14=""),AND($AO14&gt;$AL$24,NOT($AO14=""),$AJ14=""),AND($BI14&gt;$BH$24,NOT($BI14=""),$BF14=""),AND($BK14&gt;$BH$24,NOT($BK14=""),$BF14=""),AND($CE14&gt;$CD$24,NOT($CE14=""),$CB14=""),AND($CG14&gt;$CD$24,NOT($CG14=""),$CB14=""))),"Merit",IF(AND(F14="P",OR(AND($AN14&gt;$AL$23,NOT($AN14=""),$AJ14=""),AND($BJ14&gt;$BH$23,NOT($BJ14=""),$BF14=""),AND($CF14&gt;$CD$23,NOT($CF14=""),$CB14=""))),"Funding",IF(AND(F14="P",OR(AND($AN14&gt;$AL$22,NOT($AN14=""),$AJ14=""),AND($BJ14&gt;$BH$22,NOT($BJ14=""),$BF14=""),AND($CF14&gt;$CD$22,NOT($CF14=""),$CB14=""))),"Worlds Team",IF(AND(F14="P",OR(AND($AN14&gt;$AL$21,NOT($AN14=""),$AJ14=""),AND($BJ14&gt;$BH$21,NOT($BJ14=""),$BF14=""),AND($CF14&gt;$CD$21,NOT($CF14=""),$CB14=""))),"National Team",""))))</f>
        <v/>
      </c>
      <c r="J14" s="15">
        <f>MAX(AN14,BJ14,CF14)</f>
        <v>91.5</v>
      </c>
      <c r="K14" s="15" t="str">
        <f>IF(J14=CF14,$BM$1,IF(J14=BJ14,$AQ$1,IF(J14=AN14,$U$1,"")))</f>
        <v>2017 Nationals</v>
      </c>
      <c r="L14" s="15">
        <f>IF($J14=$AN14,MAX(BH14,CD14),IF($J14=$BJ14,MAX(AL14,CD14),MAX(AL14,BH14)))</f>
        <v>0</v>
      </c>
      <c r="M14" s="15" t="str">
        <f>IF(AND(L14=CD14,$K14&lt;&gt;$BM$1),$BM$1,IF(AND(L14=BH14,$K14&lt;&gt;$AQ$1),$AQ$1,IF(AND(L14=AL14,$K14&lt;&gt;$U$1),$U$1,"")))</f>
        <v/>
      </c>
      <c r="N14" s="15">
        <f>IF($J14=$AN14,MAX(BI14,CE14),IF($J14=$BJ14,MAX(AM14,CE14),MAX(AM14,BI14)))</f>
        <v>0</v>
      </c>
      <c r="O14" s="15" t="str">
        <f>IF(AND(N14=CE14,$K14&lt;&gt;$BM$1),$BM$1,IF(AND(N14=BI14,$K14&lt;&gt;$AQ$1),$AQ$1,IF(AND(N14=AM14,$K14&lt;&gt;$U$1),$U$1,"")))</f>
        <v/>
      </c>
      <c r="P14" s="15">
        <f>MAX(AO14,BK14,CG14)</f>
        <v>46.825000000000003</v>
      </c>
      <c r="Q14" s="15" t="str">
        <f>IF(P14=CG14,$BM$1,IF(P14=BK14,$AQ$1,IF(P14=AO14,$U$1,"")))</f>
        <v>2017 Nationals</v>
      </c>
      <c r="R14" s="15" t="str">
        <f>IF(MAX(CI14:CK14)&gt;0,MAX(CI14:CK14),"")</f>
        <v/>
      </c>
      <c r="S14" s="29" t="str">
        <f>IF(R14="","",IF(R14=CI14,"(Vol 1)",IF(R14=CJ14,"(Vol 2)",IF(R14=CK14,"(Final)"))))</f>
        <v/>
      </c>
      <c r="T14" s="15" t="str">
        <f>IF(R14="","",IF(R14=CI14,IF(R14+L14=LY14,$LI$1,IF(R14+L14=LD14,$KN$1,IF(R14+L14=KI14,$JS$1,IF(R14+L14=JN14,$IX$1,IF(R14+L14=IS14,$IC$1,IF(R14+L14=HX14,$HH$1,IF(R14+L14=HC14,$GM$1,IF(R14+L14=GH14,$FR$1,IF(R14+L14=FM14,$EW$1,IF(R14+L14=ER14,$EB$1,IF(R14+L14=DW14,$DG$1,IF(R14+L14=DB14,$CL$1)))))))))))),IF(R14=CJ14,IF(R14+N14=LZ14,$LI$1,IF(R14+N14=LE14,$KN$1,IF(R14+N14=KJ14,$JS$1,IF(R14+N14=JO14,$IX$1,IF(R14+N14=IT14,$IC$1,IF(R14+N14=HY14,$HH$1,IF(R14+N14=HD14,$GM$1,IF(R14+N14=GI14,$FR$1,IF(R14+N14=FN14,$EW$1,IF(R14+N14=ES14,$EB$1,IF(R14+N14=DX14,$DG$1,IF(R14+N14=DC14,$CL$1)))))))))))),IF(R14=CK14,IF(R14+P14=MB14,$LI$1,IF(R14+P14=LG14,$KN$1,IF(R14+P14=KL14,$JS$1,IF(R14+P14=JQ14,$IX$1,IF(R14+P14=IV14,$IC$1,IF(R14+P14=IA14,$HH$1,IF(R14+P14=HF14,$GM$1,IF(R14+P14=GK14,$FR$1,IF(R14+P14=FP14,$EW$1,IF(R14+P14=EU14,$EB$1,IF(R14+P14=DZ14,$DG$1,IF(R14+P14=DE14,$CL$1))))))))))))))))</f>
        <v/>
      </c>
      <c r="U14" s="45">
        <v>16.5</v>
      </c>
      <c r="V14" s="45">
        <v>9.4</v>
      </c>
      <c r="W14" s="45">
        <v>3.9</v>
      </c>
      <c r="X14" s="45">
        <v>14.215</v>
      </c>
      <c r="Y14" s="45">
        <v>0</v>
      </c>
      <c r="Z14" s="45">
        <v>14.5</v>
      </c>
      <c r="AA14" s="45">
        <v>9.5</v>
      </c>
      <c r="AB14" s="45">
        <v>10</v>
      </c>
      <c r="AC14" s="45">
        <v>13.484999999999999</v>
      </c>
      <c r="AD14" s="45">
        <v>0</v>
      </c>
      <c r="AE14" s="45">
        <v>14.3</v>
      </c>
      <c r="AF14" s="45">
        <v>9.1</v>
      </c>
      <c r="AG14" s="45">
        <v>10</v>
      </c>
      <c r="AH14" s="45">
        <v>13.425000000000001</v>
      </c>
      <c r="AI14" s="45">
        <v>0</v>
      </c>
      <c r="AJ14" s="108"/>
      <c r="AK14" s="12">
        <f>IF(SUM(AB14)&gt;0,SUM(AB14),"")</f>
        <v>10</v>
      </c>
      <c r="AL14" s="12">
        <f>IF(SUM(U14:X14)-Y14&gt;0,SUM(U14:X14)-Y14,"")</f>
        <v>44.015000000000001</v>
      </c>
      <c r="AM14" s="12">
        <f>IF(SUM(Z14:AC14)-AD14&gt;0,SUM(Z14:AC14)-AD14,"")</f>
        <v>47.484999999999999</v>
      </c>
      <c r="AN14" s="12">
        <f>IF(SUM(AL14:AM14)&gt;0,SUM(AL14:AM14),"")</f>
        <v>91.5</v>
      </c>
      <c r="AO14" s="12">
        <f>IF(SUM(AE14:AH14)-AI14&gt;0,SUM(AE14:AH14)-AI14,"")</f>
        <v>46.825000000000003</v>
      </c>
      <c r="AP14" s="12">
        <f>IF(SUM(AN14,AO14)&gt;0,SUM(AN14,AO14),"")</f>
        <v>138.32499999999999</v>
      </c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109"/>
      <c r="BG14" s="15" t="str">
        <f>IF(SUM(AX14)&gt;0,SUM(AX14),"")</f>
        <v/>
      </c>
      <c r="BH14" s="15" t="str">
        <f>IF(SUM(AQ14:AT14)-AU14&gt;0,SUM(AQ14:AT14)-AU14,"")</f>
        <v/>
      </c>
      <c r="BI14" s="15" t="str">
        <f>IF(SUM(AV14:AY14)-AZ14&gt;0,SUM(AV14:AY14)-AZ14,"")</f>
        <v/>
      </c>
      <c r="BJ14" s="15" t="str">
        <f>IF(SUM(BH14:BI14)&gt;0,SUM(BH14:BI14),"")</f>
        <v/>
      </c>
      <c r="BK14" s="15" t="str">
        <f>IF(SUM(BA14:BD14)-BE14&gt;0,SUM(BA14:BD14)-BE14,"")</f>
        <v/>
      </c>
      <c r="BL14" s="15" t="str">
        <f>IF(SUM(BJ14,BK14)&gt;0,SUM(BJ14,BK14),"")</f>
        <v/>
      </c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108"/>
      <c r="CC14" s="12" t="str">
        <f>IF(SUM(BT14)&gt;0,SUM(BT14),"")</f>
        <v/>
      </c>
      <c r="CD14" s="12" t="str">
        <f>IF(SUM(BM14:BP14)-BQ14&gt;0,SUM(BM14:BP14)-BQ14,"")</f>
        <v/>
      </c>
      <c r="CE14" s="12" t="str">
        <f>IF(SUM(BR14:BU14)-BV14&gt;0,SUM(BR14:BU14)-BV14,"")</f>
        <v/>
      </c>
      <c r="CF14" s="12" t="str">
        <f>IF(SUM(CD14:CE14)&gt;0,SUM(CD14:CE14),"")</f>
        <v/>
      </c>
      <c r="CG14" s="12" t="str">
        <f>IF(SUM(BW14:BZ14)-CA14&gt;0,SUM(BW14:BZ14)-CA14,"")</f>
        <v/>
      </c>
      <c r="CH14" s="12" t="str">
        <f>IF(SUM(CF14,CG14)&gt;0,SUM(CF14,CG14),"")</f>
        <v/>
      </c>
      <c r="CI14" s="28" t="str">
        <f>IF(MAX(DB14,DW14,ER14,FM14,GH14,HC14,HX14,IS14,JN14,KI14,LD14,LY14)-L14&gt;0.001,MAX(DB14,DW14,ER14,FM14,GH14,HC14,HX14,IS14,JN14,KI14,LD14,LY14)-L14,"")</f>
        <v/>
      </c>
      <c r="CJ14" s="28" t="str">
        <f>IF(MAX(DC14,DX14,ES14,FN14,GI14,HD14,HY14,IT14,JO14,KJ14,LE14,LZ14)-N14&gt;0.001,MAX(DC14,DX14,ES14,FN14,GI14,HD14,HY14,IT14,JO14,KJ14,LE14,LZ14)-N14,"")</f>
        <v/>
      </c>
      <c r="CK14" s="28" t="str">
        <f>IF(MAX(DE14,DZ14,EU14,FP14,GK14,HF14,IA14,IV14,JQ14,KL14,LG14,MB14)-P14&gt;0.001,MAX(DE14,DZ14,EU14,FP14,GK14,HF14,IA14,IV14,JQ14,KL14,LG14,MB14)-P14,"")</f>
        <v/>
      </c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12" t="str">
        <f>IF(SUM(CS14)&gt;0,SUM(CS14),"")</f>
        <v/>
      </c>
      <c r="DB14" s="12" t="str">
        <f>IF(SUM(CL14:CO14)-CP14&gt;0,SUM(CL14:CO14)-CP14,"")</f>
        <v/>
      </c>
      <c r="DC14" s="12" t="str">
        <f>IF(SUM(CQ14:CT14)-CU14&gt;0,SUM(CQ14:CT14)-CU14,"")</f>
        <v/>
      </c>
      <c r="DD14" s="12" t="str">
        <f>IF(SUM(DB14:DC14)&gt;0,SUM(DB14:DC14),"")</f>
        <v/>
      </c>
      <c r="DE14" s="12" t="str">
        <f>IF(SUM(CV14:CY14)-CZ14&gt;0,SUM(CV14:CY14)-CZ14,"")</f>
        <v/>
      </c>
      <c r="DF14" s="12" t="str">
        <f>IF(SUM(DD14,DE14)&gt;0,SUM(DD14,DE14),"")</f>
        <v/>
      </c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15" t="str">
        <f>IF(SUM(DN14)&gt;0,SUM(DN14),"")</f>
        <v/>
      </c>
      <c r="DW14" s="15" t="str">
        <f>IF(SUM(DG14:DJ14)-DK14&gt;0,SUM(DG14:DJ14)-DK14,"")</f>
        <v/>
      </c>
      <c r="DX14" s="15" t="str">
        <f>IF(SUM(DL14:DO14)-DP14&gt;0,SUM(DL14:DO14)-DP14,"")</f>
        <v/>
      </c>
      <c r="DY14" s="15" t="str">
        <f>IF(SUM(DW14:DX14)&gt;0,SUM(DW14:DX14),"")</f>
        <v/>
      </c>
      <c r="DZ14" s="15" t="str">
        <f>IF(SUM(DQ14:DT14)-DU14&gt;0,SUM(DQ14:DT14)-DU14,"")</f>
        <v/>
      </c>
      <c r="EA14" s="15" t="str">
        <f>IF(SUM(DY14,DZ14)&gt;0,SUM(DY14,DZ14),"")</f>
        <v/>
      </c>
      <c r="EB14" s="45"/>
      <c r="EC14" s="45"/>
      <c r="ED14" s="45"/>
      <c r="EE14" s="45"/>
      <c r="EF14" s="45"/>
      <c r="EG14" s="45"/>
      <c r="EH14" s="45"/>
      <c r="EI14" s="45"/>
      <c r="EJ14" s="45"/>
      <c r="EK14" s="45"/>
      <c r="EL14" s="45"/>
      <c r="EM14" s="45"/>
      <c r="EN14" s="45"/>
      <c r="EO14" s="45"/>
      <c r="EP14" s="45"/>
      <c r="EQ14" s="12" t="str">
        <f>IF(SUM(EI14)&gt;0,SUM(EI14),"")</f>
        <v/>
      </c>
      <c r="ER14" s="12" t="str">
        <f>IF(SUM(EB14:EE14)-EF14&gt;0,SUM(EB14:EE14)-EF14,"")</f>
        <v/>
      </c>
      <c r="ES14" s="12" t="str">
        <f>IF(SUM(EG14:EJ14)-EK14&gt;0,SUM(EG14:EJ14)-EK14,"")</f>
        <v/>
      </c>
      <c r="ET14" s="12" t="str">
        <f>IF(SUM(ER14:ES14)&gt;0,SUM(ER14:ES14),"")</f>
        <v/>
      </c>
      <c r="EU14" s="12" t="str">
        <f>IF(SUM(EL14:EO14)-EP14&gt;0,SUM(EL14:EO14)-EP14,"")</f>
        <v/>
      </c>
      <c r="EV14" s="12" t="str">
        <f>IF(SUM(ET14,EU14)&gt;0,SUM(ET14,EU14),"")</f>
        <v/>
      </c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46"/>
      <c r="FK14" s="46"/>
      <c r="FL14" s="15" t="str">
        <f>IF(SUM(FD14)&gt;0,SUM(FD14),"")</f>
        <v/>
      </c>
      <c r="FM14" s="15" t="str">
        <f>IF(SUM(EW14:EZ14)-FA14&gt;0,SUM(EW14:EZ14)-FA14,"")</f>
        <v/>
      </c>
      <c r="FN14" s="15" t="str">
        <f>IF(SUM(FB14:FE14)-FF14&gt;0,SUM(FB14:FE14)-FF14,"")</f>
        <v/>
      </c>
      <c r="FO14" s="15" t="str">
        <f>IF(SUM(FM14:FN14)&gt;0,SUM(FM14:FN14),"")</f>
        <v/>
      </c>
      <c r="FP14" s="15" t="str">
        <f>IF(SUM(FG14:FJ14)-FK14&gt;0,SUM(FG14:FJ14)-FK14,"")</f>
        <v/>
      </c>
      <c r="FQ14" s="15" t="str">
        <f>IF(SUM(FO14,FP14)&gt;0,SUM(FO14,FP14),"")</f>
        <v/>
      </c>
      <c r="FR14" s="45"/>
      <c r="FS14" s="45"/>
      <c r="FT14" s="45"/>
      <c r="FU14" s="45"/>
      <c r="FV14" s="45"/>
      <c r="FW14" s="45"/>
      <c r="FX14" s="45"/>
      <c r="FY14" s="45"/>
      <c r="FZ14" s="45"/>
      <c r="GA14" s="45"/>
      <c r="GB14" s="45"/>
      <c r="GC14" s="45"/>
      <c r="GD14" s="45"/>
      <c r="GE14" s="45"/>
      <c r="GF14" s="45"/>
      <c r="GG14" s="12" t="str">
        <f>IF(SUM(FY14)&gt;0,SUM(FY14),"")</f>
        <v/>
      </c>
      <c r="GH14" s="12" t="str">
        <f>IF(SUM(FR14:FU14)-FV14&gt;0,SUM(FR14:FU14)-FV14,"")</f>
        <v/>
      </c>
      <c r="GI14" s="12" t="str">
        <f>IF(SUM(FW14:FZ14)-GA14&gt;0,SUM(FW14:FZ14)-GA14,"")</f>
        <v/>
      </c>
      <c r="GJ14" s="12" t="str">
        <f>IF(SUM(GH14:GI14)&gt;0,SUM(GH14:GI14),"")</f>
        <v/>
      </c>
      <c r="GK14" s="12" t="str">
        <f>IF(SUM(GB14:GE14)-GF14&gt;0,SUM(GB14:GE14)-GF14,"")</f>
        <v/>
      </c>
      <c r="GL14" s="12" t="str">
        <f>IF(SUM(GJ14,GK14)&gt;0,SUM(GJ14,GK14),"")</f>
        <v/>
      </c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46"/>
      <c r="GZ14" s="46"/>
      <c r="HA14" s="46"/>
      <c r="HB14" s="15" t="str">
        <f>IF(SUM(GT14)&gt;0,SUM(GT14),"")</f>
        <v/>
      </c>
      <c r="HC14" s="15" t="str">
        <f>IF(SUM(GM14:GP14)-GQ14&gt;0,SUM(GM14:GP14)-GQ14,"")</f>
        <v/>
      </c>
      <c r="HD14" s="15" t="str">
        <f>IF(SUM(GR14:GU14)-GV14&gt;0,SUM(GR14:GU14)-GV14,"")</f>
        <v/>
      </c>
      <c r="HE14" s="15" t="str">
        <f>IF(SUM(HC14:HD14)&gt;0,SUM(HC14:HD14),"")</f>
        <v/>
      </c>
      <c r="HF14" s="15" t="str">
        <f>IF(SUM(GW14:GZ14)-HA14&gt;0,SUM(GW14:GZ14)-HA14,"")</f>
        <v/>
      </c>
      <c r="HG14" s="15" t="str">
        <f>IF(SUM(HE14,HF14)&gt;0,SUM(HE14,HF14),"")</f>
        <v/>
      </c>
      <c r="HH14" s="45"/>
      <c r="HI14" s="45"/>
      <c r="HJ14" s="45"/>
      <c r="HK14" s="45"/>
      <c r="HL14" s="45"/>
      <c r="HM14" s="45"/>
      <c r="HN14" s="45"/>
      <c r="HO14" s="45"/>
      <c r="HP14" s="45"/>
      <c r="HQ14" s="45"/>
      <c r="HR14" s="45"/>
      <c r="HS14" s="45"/>
      <c r="HT14" s="45"/>
      <c r="HU14" s="45"/>
      <c r="HV14" s="45"/>
      <c r="HW14" s="12" t="str">
        <f>IF(SUM(HO14)&gt;0,SUM(HO14),"")</f>
        <v/>
      </c>
      <c r="HX14" s="12" t="str">
        <f>IF(SUM(HH14:HK14)-HL14&gt;0,SUM(HH14:HK14)-HL14,"")</f>
        <v/>
      </c>
      <c r="HY14" s="12" t="str">
        <f>IF(SUM(HM14:HP14)-HQ14&gt;0,SUM(HM14:HP14)-HQ14,"")</f>
        <v/>
      </c>
      <c r="HZ14" s="12" t="str">
        <f>IF(SUM(HX14:HY14)&gt;0,SUM(HX14:HY14),"")</f>
        <v/>
      </c>
      <c r="IA14" s="12" t="str">
        <f>IF(SUM(HR14:HU14)-HV14&gt;0,SUM(HR14:HU14)-HV14,"")</f>
        <v/>
      </c>
      <c r="IB14" s="12" t="str">
        <f>IF(SUM(HZ14,IA14)&gt;0,SUM(HZ14,IA14),"")</f>
        <v/>
      </c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15" t="str">
        <f>IF(SUM(IJ14)&gt;0,SUM(IJ14),"")</f>
        <v/>
      </c>
      <c r="IS14" s="15" t="str">
        <f>IF(SUM(IC14:IF14)-IG14&gt;0,SUM(IC14:IF14)-IG14,"")</f>
        <v/>
      </c>
      <c r="IT14" s="15" t="str">
        <f>IF(SUM(IH14:IK14)-IL14&gt;0,SUM(IH14:IK14)-IL14,"")</f>
        <v/>
      </c>
      <c r="IU14" s="15" t="str">
        <f>IF(SUM(IS14:IT14)&gt;0,SUM(IS14:IT14),"")</f>
        <v/>
      </c>
      <c r="IV14" s="15" t="str">
        <f>IF(SUM(IM14:IP14)-IQ14&gt;0,SUM(IM14:IP14)-IQ14,"")</f>
        <v/>
      </c>
      <c r="IW14" s="15" t="str">
        <f>IF(SUM(IU14,IV14)&gt;0,SUM(IU14,IV14),"")</f>
        <v/>
      </c>
      <c r="IX14" s="45"/>
      <c r="IY14" s="45"/>
      <c r="IZ14" s="45"/>
      <c r="JA14" s="45"/>
      <c r="JB14" s="45"/>
      <c r="JC14" s="45"/>
      <c r="JD14" s="45"/>
      <c r="JE14" s="45"/>
      <c r="JF14" s="45"/>
      <c r="JG14" s="45"/>
      <c r="JH14" s="45"/>
      <c r="JI14" s="45"/>
      <c r="JJ14" s="45"/>
      <c r="JK14" s="45"/>
      <c r="JL14" s="45"/>
      <c r="JM14" s="12" t="str">
        <f>IF(SUM(JE14)&gt;0,SUM(JE14),"")</f>
        <v/>
      </c>
      <c r="JN14" s="12" t="str">
        <f>IF(SUM(IX14:JA14)-JB14&gt;0,SUM(IX14:JA14)-JB14,"")</f>
        <v/>
      </c>
      <c r="JO14" s="12" t="str">
        <f>IF(SUM(JC14:JF14)-JG14&gt;0,SUM(JC14:JF14)-JG14,"")</f>
        <v/>
      </c>
      <c r="JP14" s="12" t="str">
        <f>IF(SUM(JN14:JO14)&gt;0,SUM(JN14:JO14),"")</f>
        <v/>
      </c>
      <c r="JQ14" s="12" t="str">
        <f>IF(SUM(JH14:JK14)-JL14&gt;0,SUM(JH14:JK14)-JL14,"")</f>
        <v/>
      </c>
      <c r="JR14" s="12" t="str">
        <f>IF(SUM(JP14,JQ14)&gt;0,SUM(JP14,JQ14),"")</f>
        <v/>
      </c>
      <c r="JS14" s="46"/>
      <c r="JT14" s="46"/>
      <c r="JU14" s="46"/>
      <c r="JV14" s="46"/>
      <c r="JW14" s="46"/>
      <c r="JX14" s="46"/>
      <c r="JY14" s="46"/>
      <c r="JZ14" s="46"/>
      <c r="KA14" s="46"/>
      <c r="KB14" s="46"/>
      <c r="KC14" s="46"/>
      <c r="KD14" s="46"/>
      <c r="KE14" s="46"/>
      <c r="KF14" s="46"/>
      <c r="KG14" s="46"/>
      <c r="KH14" s="15" t="str">
        <f>IF(SUM(JZ14)&gt;0,SUM(JZ14),"")</f>
        <v/>
      </c>
      <c r="KI14" s="15" t="str">
        <f>IF(SUM(JS14:JV14)-JW14&gt;0,SUM(JS14:JV14)-JW14,"")</f>
        <v/>
      </c>
      <c r="KJ14" s="15" t="str">
        <f>IF(SUM(JX14:KA14)-KB14&gt;0,SUM(JX14:KA14)-KB14,"")</f>
        <v/>
      </c>
      <c r="KK14" s="15" t="str">
        <f>IF(SUM(KI14:KJ14)&gt;0,SUM(KI14:KJ14),"")</f>
        <v/>
      </c>
      <c r="KL14" s="15" t="str">
        <f>IF(SUM(KC14:KF14)-KG14&gt;0,SUM(KC14:KF14)-KG14,"")</f>
        <v/>
      </c>
      <c r="KM14" s="15" t="str">
        <f>IF(SUM(KK14,KL14)&gt;0,SUM(KK14,KL14),"")</f>
        <v/>
      </c>
      <c r="KN14" s="45"/>
      <c r="KO14" s="45"/>
      <c r="KP14" s="45"/>
      <c r="KQ14" s="45"/>
      <c r="KR14" s="45"/>
      <c r="KS14" s="45"/>
      <c r="KT14" s="45"/>
      <c r="KU14" s="45"/>
      <c r="KV14" s="45"/>
      <c r="KW14" s="45"/>
      <c r="KX14" s="45"/>
      <c r="KY14" s="45"/>
      <c r="KZ14" s="45"/>
      <c r="LA14" s="45"/>
      <c r="LB14" s="45"/>
      <c r="LC14" s="12" t="str">
        <f>IF(SUM(KU14)&gt;0,SUM(KU14),"")</f>
        <v/>
      </c>
      <c r="LD14" s="12" t="str">
        <f>IF(SUM(KN14:KQ14)-KR14&gt;0,SUM(KN14:KQ14)-KR14,"")</f>
        <v/>
      </c>
      <c r="LE14" s="12" t="str">
        <f>IF(SUM(KS14:KV14)-KW14&gt;0,SUM(KS14:KV14)-KW14,"")</f>
        <v/>
      </c>
      <c r="LF14" s="12" t="str">
        <f>IF(SUM(LD14:LE14)&gt;0,SUM(LD14:LE14),"")</f>
        <v/>
      </c>
      <c r="LG14" s="12" t="str">
        <f>IF(SUM(KX14:LA14)-LB14&gt;0,SUM(KX14:LA14)-LB14,"")</f>
        <v/>
      </c>
      <c r="LH14" s="12" t="str">
        <f>IF(SUM(LF14,LG14)&gt;0,SUM(LF14,LG14),"")</f>
        <v/>
      </c>
      <c r="LI14" s="46"/>
      <c r="LJ14" s="46"/>
      <c r="LK14" s="46"/>
      <c r="LL14" s="46"/>
      <c r="LM14" s="46"/>
      <c r="LN14" s="46"/>
      <c r="LO14" s="46"/>
      <c r="LP14" s="46"/>
      <c r="LQ14" s="46"/>
      <c r="LR14" s="46"/>
      <c r="LS14" s="46"/>
      <c r="LT14" s="46"/>
      <c r="LU14" s="46"/>
      <c r="LV14" s="46"/>
      <c r="LW14" s="46"/>
      <c r="LX14" s="15" t="str">
        <f>IF(SUM(LP14)&gt;0,SUM(LP14),"")</f>
        <v/>
      </c>
      <c r="LY14" s="15" t="str">
        <f>IF(SUM(LI14:LL14)-LM14&gt;0,SUM(LI14:LL14)-LM14,"")</f>
        <v/>
      </c>
      <c r="LZ14" s="15" t="str">
        <f>IF(SUM(LN14:LQ14)-LR14&gt;0,SUM(LN14:LQ14)-LR14,"")</f>
        <v/>
      </c>
      <c r="MA14" s="15" t="str">
        <f>IF(SUM(LY14:LZ14)&gt;0,SUM(LY14:LZ14),"")</f>
        <v/>
      </c>
      <c r="MB14" s="15" t="str">
        <f>IF(SUM(LS14:LV14)-LW14&gt;0,SUM(LS14:LV14)-LW14,"")</f>
        <v/>
      </c>
      <c r="MC14" s="15" t="str">
        <f>IF(SUM(MA14,MB14)&gt;0,SUM(MA14,MB14),"")</f>
        <v/>
      </c>
    </row>
    <row r="15" spans="1:341" x14ac:dyDescent="0.2">
      <c r="A15" s="6" t="str">
        <f>IF(AND(F15="P",H15="P"),SUMPRODUCT((F$4:F$16="P")*(H$4:H$16="P")*(E$4:E$16&gt;E15))+1,IF(H15="P",SUMPRODUCT((F$4:F$16="")*(H$4:H$16="P")*(E$4:E$16&gt;E15))+1+SUMPRODUCT((F$4:F$16="P")*(H$4:H$16="P")),""))</f>
        <v/>
      </c>
      <c r="B15" s="9" t="s">
        <v>117</v>
      </c>
      <c r="C15" s="5" t="s">
        <v>6</v>
      </c>
      <c r="D15" s="31">
        <v>2002</v>
      </c>
      <c r="E15" s="16">
        <f>SUM(J15:R15)</f>
        <v>104.78</v>
      </c>
      <c r="F15" s="4" t="str">
        <f>IF(OR(AND($AK15&gt;=$AL$19,NOT($AK15=""),$AJ15=""),AND($BG15&gt;=$BH$19,NOT($BG15=""),$BF15=""),AND($CC15&gt;=$CD$19,NOT($CC15=""),$CB15="")),"P","")</f>
        <v/>
      </c>
      <c r="G15" s="4" t="str">
        <f>IF(OR(AND($AK15&gt;=$AL$20,NOT($AK15=""),$AJ15=""),AND($BG15&gt;=$BH$20,NOT($BG15=""),$BF15=""),AND($CC15&gt;=$CD$20,NOT($CC15=""),$CB15="")),"P","")</f>
        <v/>
      </c>
      <c r="H15" s="4" t="str">
        <f>IF(OR(AND($AN15&gt;=$AL$21,NOT($AN15=""),$AJ15=""),AND($BJ15&gt;=$BH$21,NOT($BJ15=""),$BF15=""),AND($CF15&gt;=$CD$21,NOT($CF15=""),$CB15="")),"P","")</f>
        <v/>
      </c>
      <c r="I15" t="str">
        <f>IF(AND(F15="P",OR(AND($AM15&gt;$AL$24,NOT($AM15=""),$AJ15=""),AND($AO15&gt;$AL$24,NOT($AO15=""),$AJ15=""),AND($BI15&gt;$BH$24,NOT($BI15=""),$BF15=""),AND($BK15&gt;$BH$24,NOT($BK15=""),$BF15=""),AND($CE15&gt;$CD$24,NOT($CE15=""),$CB15=""),AND($CG15&gt;$CD$24,NOT($CG15=""),$CB15=""))),"Merit",IF(AND(F15="P",OR(AND($AN15&gt;$AL$23,NOT($AN15=""),$AJ15=""),AND($BJ15&gt;$BH$23,NOT($BJ15=""),$BF15=""),AND($CF15&gt;$CD$23,NOT($CF15=""),$CB15=""))),"Funding",IF(AND(F15="P",OR(AND($AN15&gt;$AL$22,NOT($AN15=""),$AJ15=""),AND($BJ15&gt;$BH$22,NOT($BJ15=""),$BF15=""),AND($CF15&gt;$CD$22,NOT($CF15=""),$CB15=""))),"Worlds Team",IF(AND(F15="P",OR(AND($AN15&gt;$AL$21,NOT($AN15=""),$AJ15=""),AND($BJ15&gt;$BH$21,NOT($BJ15=""),$BF15=""),AND($CF15&gt;$CD$21,NOT($CF15=""),$CB15=""))),"National Team",""))))</f>
        <v/>
      </c>
      <c r="J15" s="15">
        <f>MAX(AN15,BJ15,CF15)</f>
        <v>89.81</v>
      </c>
      <c r="K15" s="15" t="str">
        <f>IF(J15=CF15,$BM$1,IF(J15=BJ15,$AQ$1,IF(J15=AN15,$U$1,"")))</f>
        <v>2018 Nationals</v>
      </c>
      <c r="L15" s="15">
        <f>IF($J15=$AN15,MAX(BH15,CD15),IF($J15=$BJ15,MAX(AL15,CD15),MAX(AL15,BH15)))</f>
        <v>0</v>
      </c>
      <c r="M15" s="15" t="str">
        <f>IF(AND(L15=CD15,$K15&lt;&gt;$BM$1),$BM$1,IF(AND(L15=BH15,$K15&lt;&gt;$AQ$1),$AQ$1,IF(AND(L15=AL15,$K15&lt;&gt;$U$1),$U$1,"")))</f>
        <v/>
      </c>
      <c r="N15" s="15">
        <f>IF($J15=$AN15,MAX(BI15,CE15),IF($J15=$BJ15,MAX(AM15,CE15),MAX(AM15,BI15)))</f>
        <v>0</v>
      </c>
      <c r="O15" s="15" t="str">
        <f>IF(AND(N15=CE15,$K15&lt;&gt;$BM$1),$BM$1,IF(AND(N15=BI15,$K15&lt;&gt;$AQ$1),$AQ$1,IF(AND(N15=AM15,$K15&lt;&gt;$U$1),$U$1,"")))</f>
        <v/>
      </c>
      <c r="P15" s="15">
        <f>MAX(AO15,BK15,CG15)</f>
        <v>14.97</v>
      </c>
      <c r="Q15" s="15" t="str">
        <f>IF(P15=CG15,$BM$1,IF(P15=BK15,$AQ$1,IF(P15=AO15,$U$1,"")))</f>
        <v>2018 Nationals</v>
      </c>
      <c r="R15" s="15" t="str">
        <f>IF(MAX(CI15:CK15)&gt;0,MAX(CI15:CK15),"")</f>
        <v/>
      </c>
      <c r="S15" s="29" t="str">
        <f>IF(R15="","",IF(R15=CI15,"(Vol 1)",IF(R15=CJ15,"(Vol 2)",IF(R15=CK15,"(Final)"))))</f>
        <v/>
      </c>
      <c r="T15" s="15" t="str">
        <f>IF(R15="","",IF(R15=CI15,IF(R15+L15=LY15,$LI$1,IF(R15+L15=LD15,$KN$1,IF(R15+L15=KI15,$JS$1,IF(R15+L15=JN15,$IX$1,IF(R15+L15=IS15,$IC$1,IF(R15+L15=HX15,$HH$1,IF(R15+L15=HC15,$GM$1,IF(R15+L15=GH15,$FR$1,IF(R15+L15=FM15,$EW$1,IF(R15+L15=ER15,$EB$1,IF(R15+L15=DW15,$DG$1,IF(R15+L15=DB15,$CL$1)))))))))))),IF(R15=CJ15,IF(R15+N15=LZ15,$LI$1,IF(R15+N15=LE15,$KN$1,IF(R15+N15=KJ15,$JS$1,IF(R15+N15=JO15,$IX$1,IF(R15+N15=IT15,$IC$1,IF(R15+N15=HY15,$HH$1,IF(R15+N15=HD15,$GM$1,IF(R15+N15=GI15,$FR$1,IF(R15+N15=FN15,$EW$1,IF(R15+N15=ES15,$EB$1,IF(R15+N15=DX15,$DG$1,IF(R15+N15=DC15,$CL$1)))))))))))),IF(R15=CK15,IF(R15+P15=MB15,$LI$1,IF(R15+P15=LG15,$KN$1,IF(R15+P15=KL15,$JS$1,IF(R15+P15=JQ15,$IX$1,IF(R15+P15=IV15,$IC$1,IF(R15+P15=IA15,$HH$1,IF(R15+P15=HF15,$GM$1,IF(R15+P15=GK15,$FR$1,IF(R15+P15=FP15,$EW$1,IF(R15+P15=EU15,$EB$1,IF(R15+P15=DZ15,$DG$1,IF(R15+P15=DE15,$CL$1))))))))))))))))</f>
        <v/>
      </c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108"/>
      <c r="AK15" s="12" t="str">
        <f>IF(SUM(AB15)&gt;0,SUM(AB15),"")</f>
        <v/>
      </c>
      <c r="AL15" s="12" t="str">
        <f>IF(SUM(U15:X15)-Y15&gt;0,SUM(U15:X15)-Y15,"")</f>
        <v/>
      </c>
      <c r="AM15" s="12" t="str">
        <f>IF(SUM(Z15:AC15)-AD15&gt;0,SUM(Z15:AC15)-AD15,"")</f>
        <v/>
      </c>
      <c r="AN15" s="12" t="str">
        <f>IF(SUM(AL15:AM15)&gt;0,SUM(AL15:AM15),"")</f>
        <v/>
      </c>
      <c r="AO15" s="12" t="str">
        <f>IF(SUM(AE15:AH15)-AI15&gt;0,SUM(AE15:AH15)-AI15,"")</f>
        <v/>
      </c>
      <c r="AP15" s="12" t="str">
        <f>IF(SUM(AN15,AO15)&gt;0,SUM(AN15,AO15),"")</f>
        <v/>
      </c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109"/>
      <c r="BG15" s="15" t="str">
        <f>IF(SUM(AX15)&gt;0,SUM(AX15),"")</f>
        <v/>
      </c>
      <c r="BH15" s="15" t="str">
        <f>IF(SUM(AQ15:AT15)-AU15&gt;0,SUM(AQ15:AT15)-AU15,"")</f>
        <v/>
      </c>
      <c r="BI15" s="15" t="str">
        <f>IF(SUM(AV15:AY15)-AZ15&gt;0,SUM(AV15:AY15)-AZ15,"")</f>
        <v/>
      </c>
      <c r="BJ15" s="15" t="str">
        <f>IF(SUM(BH15:BI15)&gt;0,SUM(BH15:BI15),"")</f>
        <v/>
      </c>
      <c r="BK15" s="15" t="str">
        <f>IF(SUM(BA15:BD15)-BE15&gt;0,SUM(BA15:BD15)-BE15,"")</f>
        <v/>
      </c>
      <c r="BL15" s="15" t="str">
        <f>IF(SUM(BJ15,BK15)&gt;0,SUM(BJ15,BK15),"")</f>
        <v/>
      </c>
      <c r="BM15" s="45">
        <v>16.100000000000001</v>
      </c>
      <c r="BN15" s="45">
        <v>9.4499999999999993</v>
      </c>
      <c r="BO15" s="45">
        <v>4.0999999999999996</v>
      </c>
      <c r="BP15" s="45">
        <v>14</v>
      </c>
      <c r="BQ15" s="45">
        <v>0</v>
      </c>
      <c r="BR15" s="45">
        <v>13.9</v>
      </c>
      <c r="BS15" s="45">
        <v>8.4499999999999993</v>
      </c>
      <c r="BT15" s="45">
        <v>10.3</v>
      </c>
      <c r="BU15" s="45">
        <v>13.51</v>
      </c>
      <c r="BV15" s="45">
        <v>0</v>
      </c>
      <c r="BW15" s="45">
        <v>4.5999999999999996</v>
      </c>
      <c r="BX15" s="45">
        <v>2.9</v>
      </c>
      <c r="BY15" s="45">
        <v>3.3</v>
      </c>
      <c r="BZ15" s="45">
        <v>4.17</v>
      </c>
      <c r="CA15" s="45">
        <v>0</v>
      </c>
      <c r="CB15" s="108"/>
      <c r="CC15" s="12">
        <f>IF(SUM(BT15)&gt;0,SUM(BT15),"")</f>
        <v>10.3</v>
      </c>
      <c r="CD15" s="12">
        <f>IF(SUM(BM15:BP15)-BQ15&gt;0,SUM(BM15:BP15)-BQ15,"")</f>
        <v>43.65</v>
      </c>
      <c r="CE15" s="12">
        <f>IF(SUM(BR15:BU15)-BV15&gt;0,SUM(BR15:BU15)-BV15,"")</f>
        <v>46.160000000000004</v>
      </c>
      <c r="CF15" s="12">
        <f>IF(SUM(CD15:CE15)&gt;0,SUM(CD15:CE15),"")</f>
        <v>89.81</v>
      </c>
      <c r="CG15" s="12">
        <f>IF(SUM(BW15:BZ15)-CA15&gt;0,SUM(BW15:BZ15)-CA15,"")</f>
        <v>14.97</v>
      </c>
      <c r="CH15" s="12">
        <f>IF(SUM(CF15,CG15)&gt;0,SUM(CF15,CG15),"")</f>
        <v>104.78</v>
      </c>
      <c r="CI15" s="28" t="str">
        <f>IF(MAX(DB15,DW15,ER15,FM15,GH15,HC15,HX15,IS15,JN15,KI15,LD15,LY15)-L15&gt;0.001,MAX(DB15,DW15,ER15,FM15,GH15,HC15,HX15,IS15,JN15,KI15,LD15,LY15)-L15,"")</f>
        <v/>
      </c>
      <c r="CJ15" s="28" t="str">
        <f>IF(MAX(DC15,DX15,ES15,FN15,GI15,HD15,HY15,IT15,JO15,KJ15,LE15,LZ15)-N15&gt;0.001,MAX(DC15,DX15,ES15,FN15,GI15,HD15,HY15,IT15,JO15,KJ15,LE15,LZ15)-N15,"")</f>
        <v/>
      </c>
      <c r="CK15" s="28" t="str">
        <f>IF(MAX(DE15,DZ15,EU15,FP15,GK15,HF15,IA15,IV15,JQ15,KL15,LG15,MB15)-P15&gt;0.001,MAX(DE15,DZ15,EU15,FP15,GK15,HF15,IA15,IV15,JQ15,KL15,LG15,MB15)-P15,"")</f>
        <v/>
      </c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45"/>
      <c r="CY15" s="45"/>
      <c r="CZ15" s="45"/>
      <c r="DA15" s="12" t="str">
        <f>IF(SUM(CS15)&gt;0,SUM(CS15),"")</f>
        <v/>
      </c>
      <c r="DB15" s="12" t="str">
        <f>IF(SUM(CL15:CO15)-CP15&gt;0,SUM(CL15:CO15)-CP15,"")</f>
        <v/>
      </c>
      <c r="DC15" s="12" t="str">
        <f>IF(SUM(CQ15:CT15)-CU15&gt;0,SUM(CQ15:CT15)-CU15,"")</f>
        <v/>
      </c>
      <c r="DD15" s="12" t="str">
        <f>IF(SUM(DB15:DC15)&gt;0,SUM(DB15:DC15),"")</f>
        <v/>
      </c>
      <c r="DE15" s="12" t="str">
        <f>IF(SUM(CV15:CY15)-CZ15&gt;0,SUM(CV15:CY15)-CZ15,"")</f>
        <v/>
      </c>
      <c r="DF15" s="12" t="str">
        <f>IF(SUM(DD15,DE15)&gt;0,SUM(DD15,DE15),"")</f>
        <v/>
      </c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15" t="str">
        <f>IF(SUM(DN15)&gt;0,SUM(DN15),"")</f>
        <v/>
      </c>
      <c r="DW15" s="15" t="str">
        <f>IF(SUM(DG15:DJ15)-DK15&gt;0,SUM(DG15:DJ15)-DK15,"")</f>
        <v/>
      </c>
      <c r="DX15" s="15" t="str">
        <f>IF(SUM(DL15:DO15)-DP15&gt;0,SUM(DL15:DO15)-DP15,"")</f>
        <v/>
      </c>
      <c r="DY15" s="15" t="str">
        <f>IF(SUM(DW15:DX15)&gt;0,SUM(DW15:DX15),"")</f>
        <v/>
      </c>
      <c r="DZ15" s="15" t="str">
        <f>IF(SUM(DQ15:DT15)-DU15&gt;0,SUM(DQ15:DT15)-DU15,"")</f>
        <v/>
      </c>
      <c r="EA15" s="15" t="str">
        <f>IF(SUM(DY15,DZ15)&gt;0,SUM(DY15,DZ15),"")</f>
        <v/>
      </c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45"/>
      <c r="EM15" s="45"/>
      <c r="EN15" s="45"/>
      <c r="EO15" s="45"/>
      <c r="EP15" s="45"/>
      <c r="EQ15" s="12" t="str">
        <f>IF(SUM(EI15)&gt;0,SUM(EI15),"")</f>
        <v/>
      </c>
      <c r="ER15" s="12" t="str">
        <f>IF(SUM(EB15:EE15)-EF15&gt;0,SUM(EB15:EE15)-EF15,"")</f>
        <v/>
      </c>
      <c r="ES15" s="12" t="str">
        <f>IF(SUM(EG15:EJ15)-EK15&gt;0,SUM(EG15:EJ15)-EK15,"")</f>
        <v/>
      </c>
      <c r="ET15" s="12" t="str">
        <f>IF(SUM(ER15:ES15)&gt;0,SUM(ER15:ES15),"")</f>
        <v/>
      </c>
      <c r="EU15" s="12" t="str">
        <f>IF(SUM(EL15:EO15)-EP15&gt;0,SUM(EL15:EO15)-EP15,"")</f>
        <v/>
      </c>
      <c r="EV15" s="12" t="str">
        <f>IF(SUM(ET15,EU15)&gt;0,SUM(ET15,EU15),"")</f>
        <v/>
      </c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15" t="str">
        <f>IF(SUM(FD15)&gt;0,SUM(FD15),"")</f>
        <v/>
      </c>
      <c r="FM15" s="15" t="str">
        <f>IF(SUM(EW15:EZ15)-FA15&gt;0,SUM(EW15:EZ15)-FA15,"")</f>
        <v/>
      </c>
      <c r="FN15" s="15" t="str">
        <f>IF(SUM(FB15:FE15)-FF15&gt;0,SUM(FB15:FE15)-FF15,"")</f>
        <v/>
      </c>
      <c r="FO15" s="15" t="str">
        <f>IF(SUM(FM15:FN15)&gt;0,SUM(FM15:FN15),"")</f>
        <v/>
      </c>
      <c r="FP15" s="15" t="str">
        <f>IF(SUM(FG15:FJ15)-FK15&gt;0,SUM(FG15:FJ15)-FK15,"")</f>
        <v/>
      </c>
      <c r="FQ15" s="15" t="str">
        <f>IF(SUM(FO15,FP15)&gt;0,SUM(FO15,FP15),"")</f>
        <v/>
      </c>
      <c r="FR15" s="45"/>
      <c r="FS15" s="45"/>
      <c r="FT15" s="45"/>
      <c r="FU15" s="45"/>
      <c r="FV15" s="45"/>
      <c r="FW15" s="45"/>
      <c r="FX15" s="45"/>
      <c r="FY15" s="45"/>
      <c r="FZ15" s="45"/>
      <c r="GA15" s="45"/>
      <c r="GB15" s="45"/>
      <c r="GC15" s="45"/>
      <c r="GD15" s="45"/>
      <c r="GE15" s="45"/>
      <c r="GF15" s="45"/>
      <c r="GG15" s="12" t="str">
        <f>IF(SUM(FY15)&gt;0,SUM(FY15),"")</f>
        <v/>
      </c>
      <c r="GH15" s="12" t="str">
        <f>IF(SUM(FR15:FU15)-FV15&gt;0,SUM(FR15:FU15)-FV15,"")</f>
        <v/>
      </c>
      <c r="GI15" s="12" t="str">
        <f>IF(SUM(FW15:FZ15)-GA15&gt;0,SUM(FW15:FZ15)-GA15,"")</f>
        <v/>
      </c>
      <c r="GJ15" s="12" t="str">
        <f>IF(SUM(GH15:GI15)&gt;0,SUM(GH15:GI15),"")</f>
        <v/>
      </c>
      <c r="GK15" s="12" t="str">
        <f>IF(SUM(GB15:GE15)-GF15&gt;0,SUM(GB15:GE15)-GF15,"")</f>
        <v/>
      </c>
      <c r="GL15" s="12" t="str">
        <f>IF(SUM(GJ15,GK15)&gt;0,SUM(GJ15,GK15),"")</f>
        <v/>
      </c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15" t="str">
        <f>IF(SUM(GT15)&gt;0,SUM(GT15),"")</f>
        <v/>
      </c>
      <c r="HC15" s="15" t="str">
        <f>IF(SUM(GM15:GP15)-GQ15&gt;0,SUM(GM15:GP15)-GQ15,"")</f>
        <v/>
      </c>
      <c r="HD15" s="15" t="str">
        <f>IF(SUM(GR15:GU15)-GV15&gt;0,SUM(GR15:GU15)-GV15,"")</f>
        <v/>
      </c>
      <c r="HE15" s="15" t="str">
        <f>IF(SUM(HC15:HD15)&gt;0,SUM(HC15:HD15),"")</f>
        <v/>
      </c>
      <c r="HF15" s="15" t="str">
        <f>IF(SUM(GW15:GZ15)-HA15&gt;0,SUM(GW15:GZ15)-HA15,"")</f>
        <v/>
      </c>
      <c r="HG15" s="15" t="str">
        <f>IF(SUM(HE15,HF15)&gt;0,SUM(HE15,HF15),"")</f>
        <v/>
      </c>
      <c r="HH15" s="45"/>
      <c r="HI15" s="45"/>
      <c r="HJ15" s="45"/>
      <c r="HK15" s="45"/>
      <c r="HL15" s="45"/>
      <c r="HM15" s="45"/>
      <c r="HN15" s="45"/>
      <c r="HO15" s="45"/>
      <c r="HP15" s="45"/>
      <c r="HQ15" s="45"/>
      <c r="HR15" s="45"/>
      <c r="HS15" s="45"/>
      <c r="HT15" s="45"/>
      <c r="HU15" s="45"/>
      <c r="HV15" s="45"/>
      <c r="HW15" s="12" t="str">
        <f>IF(SUM(HO15)&gt;0,SUM(HO15),"")</f>
        <v/>
      </c>
      <c r="HX15" s="12" t="str">
        <f>IF(SUM(HH15:HK15)-HL15&gt;0,SUM(HH15:HK15)-HL15,"")</f>
        <v/>
      </c>
      <c r="HY15" s="12" t="str">
        <f>IF(SUM(HM15:HP15)-HQ15&gt;0,SUM(HM15:HP15)-HQ15,"")</f>
        <v/>
      </c>
      <c r="HZ15" s="12" t="str">
        <f>IF(SUM(HX15:HY15)&gt;0,SUM(HX15:HY15),"")</f>
        <v/>
      </c>
      <c r="IA15" s="12" t="str">
        <f>IF(SUM(HR15:HU15)-HV15&gt;0,SUM(HR15:HU15)-HV15,"")</f>
        <v/>
      </c>
      <c r="IB15" s="12" t="str">
        <f>IF(SUM(HZ15,IA15)&gt;0,SUM(HZ15,IA15),"")</f>
        <v/>
      </c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15" t="str">
        <f>IF(SUM(IJ15)&gt;0,SUM(IJ15),"")</f>
        <v/>
      </c>
      <c r="IS15" s="15" t="str">
        <f>IF(SUM(IC15:IF15)-IG15&gt;0,SUM(IC15:IF15)-IG15,"")</f>
        <v/>
      </c>
      <c r="IT15" s="15" t="str">
        <f>IF(SUM(IH15:IK15)-IL15&gt;0,SUM(IH15:IK15)-IL15,"")</f>
        <v/>
      </c>
      <c r="IU15" s="15" t="str">
        <f>IF(SUM(IS15:IT15)&gt;0,SUM(IS15:IT15),"")</f>
        <v/>
      </c>
      <c r="IV15" s="15" t="str">
        <f>IF(SUM(IM15:IP15)-IQ15&gt;0,SUM(IM15:IP15)-IQ15,"")</f>
        <v/>
      </c>
      <c r="IW15" s="15" t="str">
        <f>IF(SUM(IU15,IV15)&gt;0,SUM(IU15,IV15),"")</f>
        <v/>
      </c>
      <c r="IX15" s="45"/>
      <c r="IY15" s="45"/>
      <c r="IZ15" s="45"/>
      <c r="JA15" s="45"/>
      <c r="JB15" s="45"/>
      <c r="JC15" s="45"/>
      <c r="JD15" s="45"/>
      <c r="JE15" s="45"/>
      <c r="JF15" s="45"/>
      <c r="JG15" s="45"/>
      <c r="JH15" s="45"/>
      <c r="JI15" s="45"/>
      <c r="JJ15" s="45"/>
      <c r="JK15" s="45"/>
      <c r="JL15" s="45"/>
      <c r="JM15" s="12" t="str">
        <f>IF(SUM(JE15)&gt;0,SUM(JE15),"")</f>
        <v/>
      </c>
      <c r="JN15" s="12" t="str">
        <f>IF(SUM(IX15:JA15)-JB15&gt;0,SUM(IX15:JA15)-JB15,"")</f>
        <v/>
      </c>
      <c r="JO15" s="12" t="str">
        <f>IF(SUM(JC15:JF15)-JG15&gt;0,SUM(JC15:JF15)-JG15,"")</f>
        <v/>
      </c>
      <c r="JP15" s="12" t="str">
        <f>IF(SUM(JN15:JO15)&gt;0,SUM(JN15:JO15),"")</f>
        <v/>
      </c>
      <c r="JQ15" s="12" t="str">
        <f>IF(SUM(JH15:JK15)-JL15&gt;0,SUM(JH15:JK15)-JL15,"")</f>
        <v/>
      </c>
      <c r="JR15" s="12" t="str">
        <f>IF(SUM(JP15,JQ15)&gt;0,SUM(JP15,JQ15),"")</f>
        <v/>
      </c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46"/>
      <c r="KD15" s="46"/>
      <c r="KE15" s="46"/>
      <c r="KF15" s="46"/>
      <c r="KG15" s="46"/>
      <c r="KH15" s="15" t="str">
        <f>IF(SUM(JZ15)&gt;0,SUM(JZ15),"")</f>
        <v/>
      </c>
      <c r="KI15" s="15" t="str">
        <f>IF(SUM(JS15:JV15)-JW15&gt;0,SUM(JS15:JV15)-JW15,"")</f>
        <v/>
      </c>
      <c r="KJ15" s="15" t="str">
        <f>IF(SUM(JX15:KA15)-KB15&gt;0,SUM(JX15:KA15)-KB15,"")</f>
        <v/>
      </c>
      <c r="KK15" s="15" t="str">
        <f>IF(SUM(KI15:KJ15)&gt;0,SUM(KI15:KJ15),"")</f>
        <v/>
      </c>
      <c r="KL15" s="15" t="str">
        <f>IF(SUM(KC15:KF15)-KG15&gt;0,SUM(KC15:KF15)-KG15,"")</f>
        <v/>
      </c>
      <c r="KM15" s="15" t="str">
        <f>IF(SUM(KK15,KL15)&gt;0,SUM(KK15,KL15),"")</f>
        <v/>
      </c>
      <c r="KN15" s="45"/>
      <c r="KO15" s="45"/>
      <c r="KP15" s="45"/>
      <c r="KQ15" s="45"/>
      <c r="KR15" s="45"/>
      <c r="KS15" s="45"/>
      <c r="KT15" s="45"/>
      <c r="KU15" s="45"/>
      <c r="KV15" s="45"/>
      <c r="KW15" s="45"/>
      <c r="KX15" s="45"/>
      <c r="KY15" s="45"/>
      <c r="KZ15" s="45"/>
      <c r="LA15" s="45"/>
      <c r="LB15" s="45"/>
      <c r="LC15" s="12" t="str">
        <f>IF(SUM(KU15)&gt;0,SUM(KU15),"")</f>
        <v/>
      </c>
      <c r="LD15" s="12" t="str">
        <f>IF(SUM(KN15:KQ15)-KR15&gt;0,SUM(KN15:KQ15)-KR15,"")</f>
        <v/>
      </c>
      <c r="LE15" s="12" t="str">
        <f>IF(SUM(KS15:KV15)-KW15&gt;0,SUM(KS15:KV15)-KW15,"")</f>
        <v/>
      </c>
      <c r="LF15" s="12" t="str">
        <f>IF(SUM(LD15:LE15)&gt;0,SUM(LD15:LE15),"")</f>
        <v/>
      </c>
      <c r="LG15" s="12" t="str">
        <f>IF(SUM(KX15:LA15)-LB15&gt;0,SUM(KX15:LA15)-LB15,"")</f>
        <v/>
      </c>
      <c r="LH15" s="12" t="str">
        <f>IF(SUM(LF15,LG15)&gt;0,SUM(LF15,LG15),"")</f>
        <v/>
      </c>
      <c r="LI15" s="46"/>
      <c r="LJ15" s="46"/>
      <c r="LK15" s="46"/>
      <c r="LL15" s="46"/>
      <c r="LM15" s="46"/>
      <c r="LN15" s="46"/>
      <c r="LO15" s="46"/>
      <c r="LP15" s="46"/>
      <c r="LQ15" s="46"/>
      <c r="LR15" s="46"/>
      <c r="LS15" s="46"/>
      <c r="LT15" s="46"/>
      <c r="LU15" s="46"/>
      <c r="LV15" s="46"/>
      <c r="LW15" s="46"/>
      <c r="LX15" s="15" t="str">
        <f>IF(SUM(LP15)&gt;0,SUM(LP15),"")</f>
        <v/>
      </c>
      <c r="LY15" s="15" t="str">
        <f>IF(SUM(LI15:LL15)-LM15&gt;0,SUM(LI15:LL15)-LM15,"")</f>
        <v/>
      </c>
      <c r="LZ15" s="15" t="str">
        <f>IF(SUM(LN15:LQ15)-LR15&gt;0,SUM(LN15:LQ15)-LR15,"")</f>
        <v/>
      </c>
      <c r="MA15" s="15" t="str">
        <f>IF(SUM(LY15:LZ15)&gt;0,SUM(LY15:LZ15),"")</f>
        <v/>
      </c>
      <c r="MB15" s="15" t="str">
        <f>IF(SUM(LS15:LV15)-LW15&gt;0,SUM(LS15:LV15)-LW15,"")</f>
        <v/>
      </c>
      <c r="MC15" s="15" t="str">
        <f>IF(SUM(MA15,MB15)&gt;0,SUM(MA15,MB15),"")</f>
        <v/>
      </c>
    </row>
    <row r="16" spans="1:341" x14ac:dyDescent="0.2">
      <c r="A16" s="6" t="str">
        <f>IF(AND(F16="P",H16="P"),SUMPRODUCT((F$4:F$16="P")*(H$4:H$16="P")*(E$4:E$16&gt;E16))+1,IF(H16="P",SUMPRODUCT((F$4:F$16="")*(H$4:H$16="P")*(E$4:E$16&gt;E16))+1+SUMPRODUCT((F$4:F$16="P")*(H$4:H$16="P")),""))</f>
        <v/>
      </c>
      <c r="B16" s="9" t="s">
        <v>85</v>
      </c>
      <c r="C16" s="5" t="s">
        <v>6</v>
      </c>
      <c r="D16" s="31">
        <v>2002</v>
      </c>
      <c r="E16" s="16">
        <f>SUM(J16:R16)</f>
        <v>48.864999999999995</v>
      </c>
      <c r="F16" s="4" t="str">
        <f>IF(OR(AND($AK16&gt;=$AL$19,NOT($AK16=""),$AJ16=""),AND($BG16&gt;=$BH$19,NOT($BG16=""),$BF16=""),AND($CC16&gt;=$CD$19,NOT($CC16=""),$CB16="")),"P","")</f>
        <v/>
      </c>
      <c r="G16" s="4" t="str">
        <f>IF(OR(AND($AK16&gt;=$AL$20,NOT($AK16=""),$AJ16=""),AND($BG16&gt;=$BH$20,NOT($BG16=""),$BF16=""),AND($CC16&gt;=$CD$20,NOT($CC16=""),$CB16="")),"P","")</f>
        <v/>
      </c>
      <c r="H16" s="4" t="str">
        <f>IF(OR(AND($AN16&gt;=$AL$21,NOT($AN16=""),$AJ16=""),AND($BJ16&gt;=$BH$21,NOT($BJ16=""),$BF16=""),AND($CF16&gt;=$CD$21,NOT($CF16=""),$CB16="")),"P","")</f>
        <v/>
      </c>
      <c r="I16" t="str">
        <f>IF(AND(F16="P",OR(AND($AM16&gt;$AL$24,NOT($AM16=""),$AJ16=""),AND($AO16&gt;$AL$24,NOT($AO16=""),$AJ16=""),AND($BI16&gt;$BH$24,NOT($BI16=""),$BF16=""),AND($BK16&gt;$BH$24,NOT($BK16=""),$BF16=""),AND($CE16&gt;$CD$24,NOT($CE16=""),$CB16=""),AND($CG16&gt;$CD$24,NOT($CG16=""),$CB16=""))),"Merit",IF(AND(F16="P",OR(AND($AN16&gt;$AL$23,NOT($AN16=""),$AJ16=""),AND($BJ16&gt;$BH$23,NOT($BJ16=""),$BF16=""),AND($CF16&gt;$CD$23,NOT($CF16=""),$CB16=""))),"Funding",IF(AND(F16="P",OR(AND($AN16&gt;$AL$22,NOT($AN16=""),$AJ16=""),AND($BJ16&gt;$BH$22,NOT($BJ16=""),$BF16=""),AND($CF16&gt;$CD$22,NOT($CF16=""),$CB16=""))),"Worlds Team",IF(AND(F16="P",OR(AND($AN16&gt;$AL$21,NOT($AN16=""),$AJ16=""),AND($BJ16&gt;$BH$21,NOT($BJ16=""),$BF16=""),AND($CF16&gt;$CD$21,NOT($CF16=""),$CB16=""))),"National Team",""))))</f>
        <v/>
      </c>
      <c r="J16" s="15">
        <f>MAX(AN16,BJ16,CF16)</f>
        <v>48.864999999999995</v>
      </c>
      <c r="K16" s="15" t="str">
        <f>IF(J16=CF16,$BM$1,IF(J16=BJ16,$AQ$1,IF(J16=AN16,$U$1,"")))</f>
        <v>2017 Nationals</v>
      </c>
      <c r="L16" s="15">
        <f>IF($J16=$AN16,MAX(BH16,CD16),IF($J16=$BJ16,MAX(AL16,CD16),MAX(AL16,BH16)))</f>
        <v>0</v>
      </c>
      <c r="M16" s="15" t="str">
        <f>IF(AND(L16=CD16,$K16&lt;&gt;$BM$1),$BM$1,IF(AND(L16=BH16,$K16&lt;&gt;$AQ$1),$AQ$1,IF(AND(L16=AL16,$K16&lt;&gt;$U$1),$U$1,"")))</f>
        <v/>
      </c>
      <c r="N16" s="15">
        <f>IF($J16=$AN16,MAX(BI16,CE16),IF($J16=$BJ16,MAX(AM16,CE16),MAX(AM16,BI16)))</f>
        <v>0</v>
      </c>
      <c r="O16" s="15" t="str">
        <f>IF(AND(N16=CE16,$K16&lt;&gt;$BM$1),$BM$1,IF(AND(N16=BI16,$K16&lt;&gt;$AQ$1),$AQ$1,IF(AND(N16=AM16,$K16&lt;&gt;$U$1),$U$1,"")))</f>
        <v/>
      </c>
      <c r="P16" s="15">
        <f>MAX(AO16,BK16,CG16)</f>
        <v>0</v>
      </c>
      <c r="Q16" s="15" t="str">
        <f>IF(P16=CG16,$BM$1,IF(P16=BK16,$AQ$1,IF(P16=AO16,$U$1,"")))</f>
        <v/>
      </c>
      <c r="R16" s="15" t="str">
        <f>IF(MAX(CI16:CK16)&gt;0,MAX(CI16:CK16),"")</f>
        <v/>
      </c>
      <c r="S16" s="29" t="str">
        <f>IF(R16="","",IF(R16=CI16,"(Vol 1)",IF(R16=CJ16,"(Vol 2)",IF(R16=CK16,"(Final)"))))</f>
        <v/>
      </c>
      <c r="T16" s="15" t="str">
        <f>IF(R16="","",IF(R16=CI16,IF(R16+L16=LY16,$LI$1,IF(R16+L16=LD16,$KN$1,IF(R16+L16=KI16,$JS$1,IF(R16+L16=JN16,$IX$1,IF(R16+L16=IS16,$IC$1,IF(R16+L16=HX16,$HH$1,IF(R16+L16=HC16,$GM$1,IF(R16+L16=GH16,$FR$1,IF(R16+L16=FM16,$EW$1,IF(R16+L16=ER16,$EB$1,IF(R16+L16=DW16,$DG$1,IF(R16+L16=DB16,$CL$1)))))))))))),IF(R16=CJ16,IF(R16+N16=LZ16,$LI$1,IF(R16+N16=LE16,$KN$1,IF(R16+N16=KJ16,$JS$1,IF(R16+N16=JO16,$IX$1,IF(R16+N16=IT16,$IC$1,IF(R16+N16=HY16,$HH$1,IF(R16+N16=HD16,$GM$1,IF(R16+N16=GI16,$FR$1,IF(R16+N16=FN16,$EW$1,IF(R16+N16=ES16,$EB$1,IF(R16+N16=DX16,$DG$1,IF(R16+N16=DC16,$CL$1)))))))))))),IF(R16=CK16,IF(R16+P16=MB16,$LI$1,IF(R16+P16=LG16,$KN$1,IF(R16+P16=KL16,$JS$1,IF(R16+P16=JQ16,$IX$1,IF(R16+P16=IV16,$IC$1,IF(R16+P16=IA16,$HH$1,IF(R16+P16=HF16,$GM$1,IF(R16+P16=GK16,$FR$1,IF(R16+P16=FP16,$EW$1,IF(R16+P16=EU16,$EB$1,IF(R16+P16=DZ16,$DG$1,IF(R16+P16=DE16,$CL$1))))))))))))))))</f>
        <v/>
      </c>
      <c r="U16" s="45">
        <v>0</v>
      </c>
      <c r="V16" s="45">
        <v>0</v>
      </c>
      <c r="W16" s="45">
        <v>0</v>
      </c>
      <c r="X16" s="45">
        <v>0</v>
      </c>
      <c r="Y16" s="45">
        <v>0</v>
      </c>
      <c r="Z16" s="54">
        <v>15.7</v>
      </c>
      <c r="AA16" s="54">
        <v>9.1</v>
      </c>
      <c r="AB16" s="54">
        <v>10.3</v>
      </c>
      <c r="AC16" s="54">
        <v>13.765000000000001</v>
      </c>
      <c r="AD16" s="54">
        <v>0</v>
      </c>
      <c r="AE16" s="45"/>
      <c r="AF16" s="45"/>
      <c r="AG16" s="45"/>
      <c r="AH16" s="45"/>
      <c r="AI16" s="45"/>
      <c r="AJ16" s="108" t="s">
        <v>125</v>
      </c>
      <c r="AK16" s="12">
        <f>IF(SUM(AB16)&gt;0,SUM(AB16),"")</f>
        <v>10.3</v>
      </c>
      <c r="AL16" s="12" t="str">
        <f>IF(SUM(U16:X16)-Y16&gt;0,SUM(U16:X16)-Y16,"")</f>
        <v/>
      </c>
      <c r="AM16" s="12">
        <f>IF(SUM(Z16:AC16)-AD16&gt;0,SUM(Z16:AC16)-AD16,"")</f>
        <v>48.864999999999995</v>
      </c>
      <c r="AN16" s="12">
        <f>IF(SUM(AL16:AM16)&gt;0,SUM(AL16:AM16),"")</f>
        <v>48.864999999999995</v>
      </c>
      <c r="AO16" s="12" t="str">
        <f>IF(SUM(AE16:AH16)-AI16&gt;0,SUM(AE16:AH16)-AI16,"")</f>
        <v/>
      </c>
      <c r="AP16" s="12">
        <f>IF(SUM(AN16,AO16)&gt;0,SUM(AN16,AO16),"")</f>
        <v>48.864999999999995</v>
      </c>
      <c r="AQ16" s="46"/>
      <c r="AR16" s="46"/>
      <c r="AS16" s="46"/>
      <c r="AT16" s="46"/>
      <c r="AU16" s="46"/>
      <c r="AV16" s="53"/>
      <c r="AW16" s="53"/>
      <c r="AX16" s="53"/>
      <c r="AY16" s="53"/>
      <c r="AZ16" s="53"/>
      <c r="BA16" s="46"/>
      <c r="BB16" s="46"/>
      <c r="BC16" s="46"/>
      <c r="BD16" s="46"/>
      <c r="BE16" s="46"/>
      <c r="BF16" s="109"/>
      <c r="BG16" s="15" t="str">
        <f>IF(SUM(AX16)&gt;0,SUM(AX16),"")</f>
        <v/>
      </c>
      <c r="BH16" s="15" t="str">
        <f>IF(SUM(AQ16:AT16)-AU16&gt;0,SUM(AQ16:AT16)-AU16,"")</f>
        <v/>
      </c>
      <c r="BI16" s="15" t="str">
        <f>IF(SUM(AV16:AY16)-AZ16&gt;0,SUM(AV16:AY16)-AZ16,"")</f>
        <v/>
      </c>
      <c r="BJ16" s="15" t="str">
        <f>IF(SUM(BH16:BI16)&gt;0,SUM(BH16:BI16),"")</f>
        <v/>
      </c>
      <c r="BK16" s="15" t="str">
        <f>IF(SUM(BA16:BD16)-BE16&gt;0,SUM(BA16:BD16)-BE16,"")</f>
        <v/>
      </c>
      <c r="BL16" s="15" t="str">
        <f>IF(SUM(BJ16,BK16)&gt;0,SUM(BJ16,BK16),"")</f>
        <v/>
      </c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108"/>
      <c r="CC16" s="12" t="str">
        <f>IF(SUM(BT16)&gt;0,SUM(BT16),"")</f>
        <v/>
      </c>
      <c r="CD16" s="12" t="str">
        <f>IF(SUM(BM16:BP16)-BQ16&gt;0,SUM(BM16:BP16)-BQ16,"")</f>
        <v/>
      </c>
      <c r="CE16" s="12" t="str">
        <f>IF(SUM(BR16:BU16)-BV16&gt;0,SUM(BR16:BU16)-BV16,"")</f>
        <v/>
      </c>
      <c r="CF16" s="12" t="str">
        <f>IF(SUM(CD16:CE16)&gt;0,SUM(CD16:CE16),"")</f>
        <v/>
      </c>
      <c r="CG16" s="12" t="str">
        <f>IF(SUM(BW16:BZ16)-CA16&gt;0,SUM(BW16:BZ16)-CA16,"")</f>
        <v/>
      </c>
      <c r="CH16" s="12" t="str">
        <f>IF(SUM(CF16,CG16)&gt;0,SUM(CF16,CG16),"")</f>
        <v/>
      </c>
      <c r="CI16" s="28" t="str">
        <f>IF(MAX(DB16,DW16,ER16,FM16,GH16,HC16,HX16,IS16,JN16,KI16,LD16,LY16)-L16&gt;0.001,MAX(DB16,DW16,ER16,FM16,GH16,HC16,HX16,IS16,JN16,KI16,LD16,LY16)-L16,"")</f>
        <v/>
      </c>
      <c r="CJ16" s="28" t="str">
        <f>IF(MAX(DC16,DX16,ES16,FN16,GI16,HD16,HY16,IT16,JO16,KJ16,LE16,LZ16)-N16&gt;0.001,MAX(DC16,DX16,ES16,FN16,GI16,HD16,HY16,IT16,JO16,KJ16,LE16,LZ16)-N16,"")</f>
        <v/>
      </c>
      <c r="CK16" s="28" t="str">
        <f>IF(MAX(DE16,DZ16,EU16,FP16,GK16,HF16,IA16,IV16,JQ16,KL16,LG16,MB16)-P16&gt;0.001,MAX(DE16,DZ16,EU16,FP16,GK16,HF16,IA16,IV16,JQ16,KL16,LG16,MB16)-P16,"")</f>
        <v/>
      </c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12" t="str">
        <f>IF(SUM(CS16)&gt;0,SUM(CS16),"")</f>
        <v/>
      </c>
      <c r="DB16" s="12" t="str">
        <f>IF(SUM(CL16:CO16)-CP16&gt;0,SUM(CL16:CO16)-CP16,"")</f>
        <v/>
      </c>
      <c r="DC16" s="12" t="str">
        <f>IF(SUM(CQ16:CT16)-CU16&gt;0,SUM(CQ16:CT16)-CU16,"")</f>
        <v/>
      </c>
      <c r="DD16" s="12" t="str">
        <f>IF(SUM(DB16:DC16)&gt;0,SUM(DB16:DC16),"")</f>
        <v/>
      </c>
      <c r="DE16" s="12" t="str">
        <f>IF(SUM(CV16:CY16)-CZ16&gt;0,SUM(CV16:CY16)-CZ16,"")</f>
        <v/>
      </c>
      <c r="DF16" s="12" t="str">
        <f>IF(SUM(DD16,DE16)&gt;0,SUM(DD16,DE16),"")</f>
        <v/>
      </c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15" t="str">
        <f>IF(SUM(DN16)&gt;0,SUM(DN16),"")</f>
        <v/>
      </c>
      <c r="DW16" s="15" t="str">
        <f>IF(SUM(DG16:DJ16)-DK16&gt;0,SUM(DG16:DJ16)-DK16,"")</f>
        <v/>
      </c>
      <c r="DX16" s="15" t="str">
        <f>IF(SUM(DL16:DO16)-DP16&gt;0,SUM(DL16:DO16)-DP16,"")</f>
        <v/>
      </c>
      <c r="DY16" s="15" t="str">
        <f>IF(SUM(DW16:DX16)&gt;0,SUM(DW16:DX16),"")</f>
        <v/>
      </c>
      <c r="DZ16" s="15" t="str">
        <f>IF(SUM(DQ16:DT16)-DU16&gt;0,SUM(DQ16:DT16)-DU16,"")</f>
        <v/>
      </c>
      <c r="EA16" s="15" t="str">
        <f>IF(SUM(DY16,DZ16)&gt;0,SUM(DY16,DZ16),"")</f>
        <v/>
      </c>
      <c r="EB16" s="45"/>
      <c r="EC16" s="45"/>
      <c r="ED16" s="45"/>
      <c r="EE16" s="45"/>
      <c r="EF16" s="45"/>
      <c r="EG16" s="45"/>
      <c r="EH16" s="45"/>
      <c r="EI16" s="45"/>
      <c r="EJ16" s="45"/>
      <c r="EK16" s="45"/>
      <c r="EL16" s="45"/>
      <c r="EM16" s="45"/>
      <c r="EN16" s="45"/>
      <c r="EO16" s="45"/>
      <c r="EP16" s="45"/>
      <c r="EQ16" s="12" t="str">
        <f>IF(SUM(EI16)&gt;0,SUM(EI16),"")</f>
        <v/>
      </c>
      <c r="ER16" s="12" t="str">
        <f>IF(SUM(EB16:EE16)-EF16&gt;0,SUM(EB16:EE16)-EF16,"")</f>
        <v/>
      </c>
      <c r="ES16" s="12" t="str">
        <f>IF(SUM(EG16:EJ16)-EK16&gt;0,SUM(EG16:EJ16)-EK16,"")</f>
        <v/>
      </c>
      <c r="ET16" s="12" t="str">
        <f>IF(SUM(ER16:ES16)&gt;0,SUM(ER16:ES16),"")</f>
        <v/>
      </c>
      <c r="EU16" s="12" t="str">
        <f>IF(SUM(EL16:EO16)-EP16&gt;0,SUM(EL16:EO16)-EP16,"")</f>
        <v/>
      </c>
      <c r="EV16" s="12" t="str">
        <f>IF(SUM(ET16,EU16)&gt;0,SUM(ET16,EU16),"")</f>
        <v/>
      </c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  <c r="FK16" s="46"/>
      <c r="FL16" s="15" t="str">
        <f>IF(SUM(FD16)&gt;0,SUM(FD16),"")</f>
        <v/>
      </c>
      <c r="FM16" s="15" t="str">
        <f>IF(SUM(EW16:EZ16)-FA16&gt;0,SUM(EW16:EZ16)-FA16,"")</f>
        <v/>
      </c>
      <c r="FN16" s="15" t="str">
        <f>IF(SUM(FB16:FE16)-FF16&gt;0,SUM(FB16:FE16)-FF16,"")</f>
        <v/>
      </c>
      <c r="FO16" s="15" t="str">
        <f>IF(SUM(FM16:FN16)&gt;0,SUM(FM16:FN16),"")</f>
        <v/>
      </c>
      <c r="FP16" s="15" t="str">
        <f>IF(SUM(FG16:FJ16)-FK16&gt;0,SUM(FG16:FJ16)-FK16,"")</f>
        <v/>
      </c>
      <c r="FQ16" s="15" t="str">
        <f>IF(SUM(FO16,FP16)&gt;0,SUM(FO16,FP16),"")</f>
        <v/>
      </c>
      <c r="FR16" s="45"/>
      <c r="FS16" s="45"/>
      <c r="FT16" s="45"/>
      <c r="FU16" s="45"/>
      <c r="FV16" s="45"/>
      <c r="FW16" s="45"/>
      <c r="FX16" s="45"/>
      <c r="FY16" s="45"/>
      <c r="FZ16" s="45"/>
      <c r="GA16" s="45"/>
      <c r="GB16" s="45"/>
      <c r="GC16" s="45"/>
      <c r="GD16" s="45"/>
      <c r="GE16" s="45"/>
      <c r="GF16" s="45"/>
      <c r="GG16" s="12" t="str">
        <f>IF(SUM(FY16)&gt;0,SUM(FY16),"")</f>
        <v/>
      </c>
      <c r="GH16" s="12" t="str">
        <f>IF(SUM(FR16:FU16)-FV16&gt;0,SUM(FR16:FU16)-FV16,"")</f>
        <v/>
      </c>
      <c r="GI16" s="12" t="str">
        <f>IF(SUM(FW16:FZ16)-GA16&gt;0,SUM(FW16:FZ16)-GA16,"")</f>
        <v/>
      </c>
      <c r="GJ16" s="12" t="str">
        <f>IF(SUM(GH16:GI16)&gt;0,SUM(GH16:GI16),"")</f>
        <v/>
      </c>
      <c r="GK16" s="12" t="str">
        <f>IF(SUM(GB16:GE16)-GF16&gt;0,SUM(GB16:GE16)-GF16,"")</f>
        <v/>
      </c>
      <c r="GL16" s="12" t="str">
        <f>IF(SUM(GJ16,GK16)&gt;0,SUM(GJ16,GK16),"")</f>
        <v/>
      </c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46"/>
      <c r="GZ16" s="46"/>
      <c r="HA16" s="46"/>
      <c r="HB16" s="15" t="str">
        <f>IF(SUM(GT16)&gt;0,SUM(GT16),"")</f>
        <v/>
      </c>
      <c r="HC16" s="15" t="str">
        <f>IF(SUM(GM16:GP16)-GQ16&gt;0,SUM(GM16:GP16)-GQ16,"")</f>
        <v/>
      </c>
      <c r="HD16" s="15" t="str">
        <f>IF(SUM(GR16:GU16)-GV16&gt;0,SUM(GR16:GU16)-GV16,"")</f>
        <v/>
      </c>
      <c r="HE16" s="15" t="str">
        <f>IF(SUM(HC16:HD16)&gt;0,SUM(HC16:HD16),"")</f>
        <v/>
      </c>
      <c r="HF16" s="15" t="str">
        <f>IF(SUM(GW16:GZ16)-HA16&gt;0,SUM(GW16:GZ16)-HA16,"")</f>
        <v/>
      </c>
      <c r="HG16" s="15" t="str">
        <f>IF(SUM(HE16,HF16)&gt;0,SUM(HE16,HF16),"")</f>
        <v/>
      </c>
      <c r="HH16" s="45"/>
      <c r="HI16" s="45"/>
      <c r="HJ16" s="45"/>
      <c r="HK16" s="45"/>
      <c r="HL16" s="45"/>
      <c r="HM16" s="45"/>
      <c r="HN16" s="45"/>
      <c r="HO16" s="45"/>
      <c r="HP16" s="45"/>
      <c r="HQ16" s="45"/>
      <c r="HR16" s="45"/>
      <c r="HS16" s="45"/>
      <c r="HT16" s="45"/>
      <c r="HU16" s="45"/>
      <c r="HV16" s="45"/>
      <c r="HW16" s="12" t="str">
        <f>IF(SUM(HO16)&gt;0,SUM(HO16),"")</f>
        <v/>
      </c>
      <c r="HX16" s="12" t="str">
        <f>IF(SUM(HH16:HK16)-HL16&gt;0,SUM(HH16:HK16)-HL16,"")</f>
        <v/>
      </c>
      <c r="HY16" s="12" t="str">
        <f>IF(SUM(HM16:HP16)-HQ16&gt;0,SUM(HM16:HP16)-HQ16,"")</f>
        <v/>
      </c>
      <c r="HZ16" s="12" t="str">
        <f>IF(SUM(HX16:HY16)&gt;0,SUM(HX16:HY16),"")</f>
        <v/>
      </c>
      <c r="IA16" s="12" t="str">
        <f>IF(SUM(HR16:HU16)-HV16&gt;0,SUM(HR16:HU16)-HV16,"")</f>
        <v/>
      </c>
      <c r="IB16" s="12" t="str">
        <f>IF(SUM(HZ16,IA16)&gt;0,SUM(HZ16,IA16),"")</f>
        <v/>
      </c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15" t="str">
        <f>IF(SUM(IJ16)&gt;0,SUM(IJ16),"")</f>
        <v/>
      </c>
      <c r="IS16" s="15" t="str">
        <f>IF(SUM(IC16:IF16)-IG16&gt;0,SUM(IC16:IF16)-IG16,"")</f>
        <v/>
      </c>
      <c r="IT16" s="15" t="str">
        <f>IF(SUM(IH16:IK16)-IL16&gt;0,SUM(IH16:IK16)-IL16,"")</f>
        <v/>
      </c>
      <c r="IU16" s="15" t="str">
        <f>IF(SUM(IS16:IT16)&gt;0,SUM(IS16:IT16),"")</f>
        <v/>
      </c>
      <c r="IV16" s="15" t="str">
        <f>IF(SUM(IM16:IP16)-IQ16&gt;0,SUM(IM16:IP16)-IQ16,"")</f>
        <v/>
      </c>
      <c r="IW16" s="15" t="str">
        <f>IF(SUM(IU16,IV16)&gt;0,SUM(IU16,IV16),"")</f>
        <v/>
      </c>
      <c r="IX16" s="45"/>
      <c r="IY16" s="45"/>
      <c r="IZ16" s="45"/>
      <c r="JA16" s="45"/>
      <c r="JB16" s="45"/>
      <c r="JC16" s="45"/>
      <c r="JD16" s="45"/>
      <c r="JE16" s="45"/>
      <c r="JF16" s="45"/>
      <c r="JG16" s="45"/>
      <c r="JH16" s="45"/>
      <c r="JI16" s="45"/>
      <c r="JJ16" s="45"/>
      <c r="JK16" s="45"/>
      <c r="JL16" s="45"/>
      <c r="JM16" s="12" t="str">
        <f>IF(SUM(JE16)&gt;0,SUM(JE16),"")</f>
        <v/>
      </c>
      <c r="JN16" s="12" t="str">
        <f>IF(SUM(IX16:JA16)-JB16&gt;0,SUM(IX16:JA16)-JB16,"")</f>
        <v/>
      </c>
      <c r="JO16" s="12" t="str">
        <f>IF(SUM(JC16:JF16)-JG16&gt;0,SUM(JC16:JF16)-JG16,"")</f>
        <v/>
      </c>
      <c r="JP16" s="12" t="str">
        <f>IF(SUM(JN16:JO16)&gt;0,SUM(JN16:JO16),"")</f>
        <v/>
      </c>
      <c r="JQ16" s="12" t="str">
        <f>IF(SUM(JH16:JK16)-JL16&gt;0,SUM(JH16:JK16)-JL16,"")</f>
        <v/>
      </c>
      <c r="JR16" s="12" t="str">
        <f>IF(SUM(JP16,JQ16)&gt;0,SUM(JP16,JQ16),"")</f>
        <v/>
      </c>
      <c r="JS16" s="46"/>
      <c r="JT16" s="46"/>
      <c r="JU16" s="46"/>
      <c r="JV16" s="46"/>
      <c r="JW16" s="46"/>
      <c r="JX16" s="46"/>
      <c r="JY16" s="46"/>
      <c r="JZ16" s="46"/>
      <c r="KA16" s="46"/>
      <c r="KB16" s="46"/>
      <c r="KC16" s="46"/>
      <c r="KD16" s="46"/>
      <c r="KE16" s="46"/>
      <c r="KF16" s="46"/>
      <c r="KG16" s="46"/>
      <c r="KH16" s="15" t="str">
        <f>IF(SUM(JZ16)&gt;0,SUM(JZ16),"")</f>
        <v/>
      </c>
      <c r="KI16" s="15" t="str">
        <f>IF(SUM(JS16:JV16)-JW16&gt;0,SUM(JS16:JV16)-JW16,"")</f>
        <v/>
      </c>
      <c r="KJ16" s="15" t="str">
        <f>IF(SUM(JX16:KA16)-KB16&gt;0,SUM(JX16:KA16)-KB16,"")</f>
        <v/>
      </c>
      <c r="KK16" s="15" t="str">
        <f>IF(SUM(KI16:KJ16)&gt;0,SUM(KI16:KJ16),"")</f>
        <v/>
      </c>
      <c r="KL16" s="15" t="str">
        <f>IF(SUM(KC16:KF16)-KG16&gt;0,SUM(KC16:KF16)-KG16,"")</f>
        <v/>
      </c>
      <c r="KM16" s="15" t="str">
        <f>IF(SUM(KK16,KL16)&gt;0,SUM(KK16,KL16),"")</f>
        <v/>
      </c>
      <c r="KN16" s="45"/>
      <c r="KO16" s="45"/>
      <c r="KP16" s="45"/>
      <c r="KQ16" s="45"/>
      <c r="KR16" s="45"/>
      <c r="KS16" s="45"/>
      <c r="KT16" s="45"/>
      <c r="KU16" s="45"/>
      <c r="KV16" s="45"/>
      <c r="KW16" s="45"/>
      <c r="KX16" s="45"/>
      <c r="KY16" s="45"/>
      <c r="KZ16" s="45"/>
      <c r="LA16" s="45"/>
      <c r="LB16" s="45"/>
      <c r="LC16" s="12" t="str">
        <f>IF(SUM(KU16)&gt;0,SUM(KU16),"")</f>
        <v/>
      </c>
      <c r="LD16" s="12" t="str">
        <f>IF(SUM(KN16:KQ16)-KR16&gt;0,SUM(KN16:KQ16)-KR16,"")</f>
        <v/>
      </c>
      <c r="LE16" s="12" t="str">
        <f>IF(SUM(KS16:KV16)-KW16&gt;0,SUM(KS16:KV16)-KW16,"")</f>
        <v/>
      </c>
      <c r="LF16" s="12" t="str">
        <f>IF(SUM(LD16:LE16)&gt;0,SUM(LD16:LE16),"")</f>
        <v/>
      </c>
      <c r="LG16" s="12" t="str">
        <f>IF(SUM(KX16:LA16)-LB16&gt;0,SUM(KX16:LA16)-LB16,"")</f>
        <v/>
      </c>
      <c r="LH16" s="12" t="str">
        <f>IF(SUM(LF16,LG16)&gt;0,SUM(LF16,LG16),"")</f>
        <v/>
      </c>
      <c r="LI16" s="46"/>
      <c r="LJ16" s="46"/>
      <c r="LK16" s="46"/>
      <c r="LL16" s="46"/>
      <c r="LM16" s="46"/>
      <c r="LN16" s="46"/>
      <c r="LO16" s="46"/>
      <c r="LP16" s="46"/>
      <c r="LQ16" s="46"/>
      <c r="LR16" s="46"/>
      <c r="LS16" s="46"/>
      <c r="LT16" s="46"/>
      <c r="LU16" s="46"/>
      <c r="LV16" s="46"/>
      <c r="LW16" s="46"/>
      <c r="LX16" s="15" t="str">
        <f>IF(SUM(LP16)&gt;0,SUM(LP16),"")</f>
        <v/>
      </c>
      <c r="LY16" s="15" t="str">
        <f>IF(SUM(LI16:LL16)-LM16&gt;0,SUM(LI16:LL16)-LM16,"")</f>
        <v/>
      </c>
      <c r="LZ16" s="15" t="str">
        <f>IF(SUM(LN16:LQ16)-LR16&gt;0,SUM(LN16:LQ16)-LR16,"")</f>
        <v/>
      </c>
      <c r="MA16" s="15" t="str">
        <f>IF(SUM(LY16:LZ16)&gt;0,SUM(LY16:LZ16),"")</f>
        <v/>
      </c>
      <c r="MB16" s="15" t="str">
        <f>IF(SUM(LS16:LV16)-LW16&gt;0,SUM(LS16:LV16)-LW16,"")</f>
        <v/>
      </c>
      <c r="MC16" s="15" t="str">
        <f>IF(SUM(MA16,MB16)&gt;0,SUM(MA16,MB16),"")</f>
        <v/>
      </c>
    </row>
    <row r="19" spans="1:337" x14ac:dyDescent="0.2">
      <c r="B19" s="88" t="s">
        <v>63</v>
      </c>
      <c r="AK19" s="89"/>
      <c r="AL19" s="70">
        <v>14</v>
      </c>
      <c r="BG19" s="89"/>
      <c r="BH19" s="70">
        <v>11.2</v>
      </c>
      <c r="CC19" s="89"/>
      <c r="CD19" s="70">
        <v>11.2</v>
      </c>
      <c r="DA19" s="89"/>
      <c r="DB19" s="70">
        <v>11.2</v>
      </c>
      <c r="DV19" s="89"/>
      <c r="DW19" s="70">
        <v>11.2</v>
      </c>
      <c r="EQ19" s="89"/>
      <c r="ER19" s="70">
        <v>11.2</v>
      </c>
      <c r="FL19" s="89"/>
      <c r="FM19" s="70">
        <v>11.2</v>
      </c>
      <c r="GG19" s="89"/>
      <c r="GH19" s="70">
        <v>11.2</v>
      </c>
      <c r="HB19" s="89"/>
      <c r="HC19" s="70">
        <v>11.2</v>
      </c>
      <c r="HW19" s="89"/>
      <c r="HX19" s="70">
        <v>11.2</v>
      </c>
      <c r="IR19" s="89"/>
      <c r="IS19" s="70">
        <v>11.2</v>
      </c>
      <c r="JM19" s="89"/>
      <c r="JN19" s="70">
        <v>11.2</v>
      </c>
      <c r="KH19" s="89"/>
      <c r="KI19" s="70">
        <v>11.2</v>
      </c>
      <c r="LC19" s="89"/>
      <c r="LD19" s="70">
        <v>11.2</v>
      </c>
      <c r="LX19" s="89"/>
      <c r="LY19" s="70">
        <v>11.2</v>
      </c>
    </row>
    <row r="20" spans="1:337" ht="16" hidden="1" customHeight="1" x14ac:dyDescent="0.2">
      <c r="A20" s="62"/>
      <c r="B20" s="83" t="s">
        <v>62</v>
      </c>
      <c r="C20" s="61"/>
      <c r="AK20" s="90"/>
      <c r="AL20" s="71">
        <v>1000</v>
      </c>
      <c r="BG20" s="90"/>
      <c r="BH20" s="71">
        <v>1000</v>
      </c>
      <c r="CC20" s="90"/>
      <c r="CD20" s="71">
        <v>1000</v>
      </c>
      <c r="DA20" s="90"/>
      <c r="DB20" s="71">
        <v>1000</v>
      </c>
      <c r="DV20" s="90"/>
      <c r="DW20" s="71">
        <v>1000</v>
      </c>
      <c r="EQ20" s="90"/>
      <c r="ER20" s="71">
        <v>1000</v>
      </c>
      <c r="FL20" s="90"/>
      <c r="FM20" s="71">
        <v>1000</v>
      </c>
      <c r="GG20" s="90"/>
      <c r="GH20" s="71">
        <v>1000</v>
      </c>
      <c r="HB20" s="90"/>
      <c r="HC20" s="71">
        <v>1000</v>
      </c>
      <c r="HW20" s="90"/>
      <c r="HX20" s="71">
        <v>1000</v>
      </c>
      <c r="IR20" s="90"/>
      <c r="IS20" s="71">
        <v>1000</v>
      </c>
      <c r="JM20" s="90"/>
      <c r="JN20" s="71">
        <v>1000</v>
      </c>
      <c r="KH20" s="90"/>
      <c r="KI20" s="71">
        <v>1000</v>
      </c>
      <c r="LC20" s="90"/>
      <c r="LD20" s="71">
        <v>1000</v>
      </c>
      <c r="LX20" s="90"/>
      <c r="LY20" s="71">
        <v>1000</v>
      </c>
    </row>
    <row r="21" spans="1:337" x14ac:dyDescent="0.2">
      <c r="A21" s="62"/>
      <c r="B21" s="84" t="s">
        <v>60</v>
      </c>
      <c r="C21" s="61"/>
      <c r="AK21" s="91"/>
      <c r="AL21" s="72">
        <v>92.3</v>
      </c>
      <c r="BG21" s="91"/>
      <c r="BH21" s="72">
        <v>92.2</v>
      </c>
      <c r="CC21" s="91"/>
      <c r="CD21" s="72">
        <v>92.2</v>
      </c>
      <c r="DA21" s="91"/>
      <c r="DB21" s="72">
        <v>92.2</v>
      </c>
      <c r="DV21" s="91"/>
      <c r="DW21" s="72">
        <v>92.2</v>
      </c>
      <c r="EQ21" s="91"/>
      <c r="ER21" s="72">
        <v>92.2</v>
      </c>
      <c r="FL21" s="91"/>
      <c r="FM21" s="72">
        <v>92.2</v>
      </c>
      <c r="GG21" s="91"/>
      <c r="GH21" s="72">
        <v>92.2</v>
      </c>
      <c r="HB21" s="91"/>
      <c r="HC21" s="72">
        <v>92.2</v>
      </c>
      <c r="HW21" s="91"/>
      <c r="HX21" s="72">
        <v>92.2</v>
      </c>
      <c r="IR21" s="91"/>
      <c r="IS21" s="72">
        <v>92.2</v>
      </c>
      <c r="JM21" s="91"/>
      <c r="JN21" s="72">
        <v>92.2</v>
      </c>
      <c r="KH21" s="91"/>
      <c r="KI21" s="72">
        <v>92.2</v>
      </c>
      <c r="LC21" s="91"/>
      <c r="LD21" s="72">
        <v>92.2</v>
      </c>
      <c r="LX21" s="91"/>
      <c r="LY21" s="72">
        <v>92.2</v>
      </c>
    </row>
    <row r="22" spans="1:337" ht="16" hidden="1" customHeight="1" x14ac:dyDescent="0.2">
      <c r="A22" s="62"/>
      <c r="B22" s="85" t="s">
        <v>61</v>
      </c>
      <c r="C22" s="61"/>
      <c r="AK22" s="92"/>
      <c r="AL22" s="73">
        <f>AL23</f>
        <v>95.7</v>
      </c>
      <c r="BG22" s="92"/>
      <c r="BH22" s="73">
        <f>BH23</f>
        <v>95.1</v>
      </c>
      <c r="CC22" s="92"/>
      <c r="CD22" s="73">
        <f>CD23</f>
        <v>95.1</v>
      </c>
      <c r="DA22" s="92"/>
      <c r="DB22" s="73">
        <f>DB23</f>
        <v>95.1</v>
      </c>
      <c r="DV22" s="92"/>
      <c r="DW22" s="73">
        <f>DW23</f>
        <v>95.1</v>
      </c>
      <c r="EQ22" s="92"/>
      <c r="ER22" s="73">
        <f>ER23</f>
        <v>95.1</v>
      </c>
      <c r="FL22" s="92"/>
      <c r="FM22" s="73">
        <f>FM23</f>
        <v>95.1</v>
      </c>
      <c r="GG22" s="92"/>
      <c r="GH22" s="73">
        <f>GH23</f>
        <v>95.1</v>
      </c>
      <c r="HB22" s="92"/>
      <c r="HC22" s="73">
        <f>HC23</f>
        <v>95.1</v>
      </c>
      <c r="HW22" s="92"/>
      <c r="HX22" s="73">
        <f>HX23</f>
        <v>95.1</v>
      </c>
      <c r="IR22" s="92"/>
      <c r="IS22" s="73">
        <f>IS23</f>
        <v>95.1</v>
      </c>
      <c r="JM22" s="92"/>
      <c r="JN22" s="73">
        <f>JN23</f>
        <v>95.1</v>
      </c>
      <c r="KH22" s="92"/>
      <c r="KI22" s="73">
        <f>KI23</f>
        <v>95.1</v>
      </c>
      <c r="LC22" s="92"/>
      <c r="LD22" s="73">
        <f>LD23</f>
        <v>95.1</v>
      </c>
      <c r="LX22" s="92"/>
      <c r="LY22" s="73">
        <f>LY23</f>
        <v>95.1</v>
      </c>
    </row>
    <row r="23" spans="1:337" x14ac:dyDescent="0.2">
      <c r="A23" s="62"/>
      <c r="B23" s="86" t="s">
        <v>26</v>
      </c>
      <c r="C23" s="61"/>
      <c r="AK23" s="93"/>
      <c r="AL23" s="74">
        <v>95.7</v>
      </c>
      <c r="BG23" s="93"/>
      <c r="BH23" s="74">
        <v>95.1</v>
      </c>
      <c r="CC23" s="93"/>
      <c r="CD23" s="74">
        <v>95.1</v>
      </c>
      <c r="DA23" s="93"/>
      <c r="DB23" s="74">
        <v>95.1</v>
      </c>
      <c r="DV23" s="93"/>
      <c r="DW23" s="74">
        <v>95.1</v>
      </c>
      <c r="EQ23" s="93"/>
      <c r="ER23" s="74">
        <v>95.1</v>
      </c>
      <c r="FL23" s="93"/>
      <c r="FM23" s="74">
        <v>95.1</v>
      </c>
      <c r="GG23" s="93"/>
      <c r="GH23" s="74">
        <v>95.1</v>
      </c>
      <c r="HB23" s="93"/>
      <c r="HC23" s="74">
        <v>95.1</v>
      </c>
      <c r="HW23" s="93"/>
      <c r="HX23" s="74">
        <v>95.1</v>
      </c>
      <c r="IR23" s="93"/>
      <c r="IS23" s="74">
        <v>95.1</v>
      </c>
      <c r="JM23" s="93"/>
      <c r="JN23" s="74">
        <v>95.1</v>
      </c>
      <c r="KH23" s="93"/>
      <c r="KI23" s="74">
        <v>95.1</v>
      </c>
      <c r="LC23" s="93"/>
      <c r="LD23" s="74">
        <v>95.1</v>
      </c>
      <c r="LX23" s="93"/>
      <c r="LY23" s="74">
        <v>95.1</v>
      </c>
    </row>
    <row r="24" spans="1:337" x14ac:dyDescent="0.2">
      <c r="A24" s="62"/>
      <c r="B24" s="87" t="s">
        <v>47</v>
      </c>
      <c r="C24" s="61"/>
      <c r="L24" s="2"/>
      <c r="AK24" s="94"/>
      <c r="AL24" s="75">
        <v>99.1</v>
      </c>
      <c r="BG24" s="94"/>
      <c r="BH24" s="75">
        <v>51.5</v>
      </c>
      <c r="CC24" s="94"/>
      <c r="CD24" s="75">
        <v>51.5</v>
      </c>
      <c r="DA24" s="94"/>
      <c r="DB24" s="75">
        <v>51.5</v>
      </c>
      <c r="DV24" s="94"/>
      <c r="DW24" s="75">
        <v>51.5</v>
      </c>
      <c r="EQ24" s="94"/>
      <c r="ER24" s="75">
        <v>51.5</v>
      </c>
      <c r="FL24" s="94"/>
      <c r="FM24" s="75">
        <v>51.5</v>
      </c>
      <c r="GG24" s="94"/>
      <c r="GH24" s="75">
        <v>51.5</v>
      </c>
      <c r="HB24" s="94"/>
      <c r="HC24" s="75">
        <v>51.5</v>
      </c>
      <c r="HW24" s="94"/>
      <c r="HX24" s="75">
        <v>51.5</v>
      </c>
      <c r="IR24" s="94"/>
      <c r="IS24" s="75">
        <v>51.5</v>
      </c>
      <c r="JM24" s="94"/>
      <c r="JN24" s="75">
        <v>51.5</v>
      </c>
      <c r="KH24" s="94"/>
      <c r="KI24" s="75">
        <v>51.5</v>
      </c>
      <c r="LC24" s="94"/>
      <c r="LD24" s="75">
        <v>51.5</v>
      </c>
      <c r="LX24" s="94"/>
      <c r="LY24" s="75">
        <v>51.5</v>
      </c>
    </row>
    <row r="25" spans="1:337" x14ac:dyDescent="0.2">
      <c r="A25" s="7"/>
      <c r="B25" s="111" t="s">
        <v>126</v>
      </c>
      <c r="C25" s="61"/>
      <c r="AL25" t="s">
        <v>115</v>
      </c>
      <c r="EQ25" s="59"/>
      <c r="ER25" s="59"/>
      <c r="FL25" s="59"/>
      <c r="FM25" s="59"/>
    </row>
    <row r="26" spans="1:337" x14ac:dyDescent="0.2">
      <c r="A26" s="62"/>
      <c r="B26" s="62"/>
      <c r="C26" s="61"/>
    </row>
    <row r="27" spans="1:337" x14ac:dyDescent="0.2">
      <c r="A27" s="62"/>
      <c r="B27" s="62"/>
      <c r="C27" s="61"/>
    </row>
    <row r="28" spans="1:337" x14ac:dyDescent="0.2">
      <c r="A28" s="62"/>
      <c r="B28" s="62"/>
      <c r="C28" s="61"/>
    </row>
  </sheetData>
  <sheetProtection sheet="1" formatCells="0" formatColumns="0" formatRows="0"/>
  <autoFilter ref="A1:MC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4:MC16">
      <sortCondition descending="1" ref="F1:F13"/>
    </sortState>
  </autoFilter>
  <mergeCells count="81">
    <mergeCell ref="EW1:FQ1"/>
    <mergeCell ref="EW2:FA2"/>
    <mergeCell ref="FB2:FF2"/>
    <mergeCell ref="FG2:FK2"/>
    <mergeCell ref="FR2:FV2"/>
    <mergeCell ref="JS2:JW2"/>
    <mergeCell ref="FW2:GA2"/>
    <mergeCell ref="GB2:GF2"/>
    <mergeCell ref="GM2:GQ2"/>
    <mergeCell ref="GR2:GV2"/>
    <mergeCell ref="GW2:HA2"/>
    <mergeCell ref="HH2:HL2"/>
    <mergeCell ref="HM2:HQ2"/>
    <mergeCell ref="HR2:HV2"/>
    <mergeCell ref="IC2:IG2"/>
    <mergeCell ref="IH2:IL2"/>
    <mergeCell ref="BM1:CH1"/>
    <mergeCell ref="DG1:EA1"/>
    <mergeCell ref="EG2:EK2"/>
    <mergeCell ref="EL2:EP2"/>
    <mergeCell ref="AV2:AZ2"/>
    <mergeCell ref="BA2:BE2"/>
    <mergeCell ref="BM2:BQ2"/>
    <mergeCell ref="BR2:BV2"/>
    <mergeCell ref="BW2:CA2"/>
    <mergeCell ref="EB1:EV1"/>
    <mergeCell ref="DL2:DP2"/>
    <mergeCell ref="DQ2:DU2"/>
    <mergeCell ref="EB2:EF2"/>
    <mergeCell ref="CI1:CK1"/>
    <mergeCell ref="A1:A3"/>
    <mergeCell ref="B1:B3"/>
    <mergeCell ref="C1:C3"/>
    <mergeCell ref="E1:E3"/>
    <mergeCell ref="G1:G3"/>
    <mergeCell ref="F1:F3"/>
    <mergeCell ref="D1:D3"/>
    <mergeCell ref="S1:S3"/>
    <mergeCell ref="T1:T3"/>
    <mergeCell ref="U1:AP1"/>
    <mergeCell ref="AE2:AI2"/>
    <mergeCell ref="R1:R3"/>
    <mergeCell ref="J1:J3"/>
    <mergeCell ref="L1:L3"/>
    <mergeCell ref="N1:N3"/>
    <mergeCell ref="P1:P3"/>
    <mergeCell ref="K1:K3"/>
    <mergeCell ref="M1:M3"/>
    <mergeCell ref="O1:O3"/>
    <mergeCell ref="Q1:Q3"/>
    <mergeCell ref="JC2:JG2"/>
    <mergeCell ref="JH2:JL2"/>
    <mergeCell ref="H1:H3"/>
    <mergeCell ref="I1:I3"/>
    <mergeCell ref="U2:Y2"/>
    <mergeCell ref="Z2:AD2"/>
    <mergeCell ref="CQ2:CU2"/>
    <mergeCell ref="CV2:CZ2"/>
    <mergeCell ref="IM2:IQ2"/>
    <mergeCell ref="IX2:JB2"/>
    <mergeCell ref="CL1:DF1"/>
    <mergeCell ref="CL2:CP2"/>
    <mergeCell ref="DG2:DK2"/>
    <mergeCell ref="AQ1:BL1"/>
    <mergeCell ref="AQ2:AU2"/>
    <mergeCell ref="LS2:LW2"/>
    <mergeCell ref="JX2:KB2"/>
    <mergeCell ref="KC2:KG2"/>
    <mergeCell ref="KN2:KR2"/>
    <mergeCell ref="KS2:KW2"/>
    <mergeCell ref="KX2:LB2"/>
    <mergeCell ref="LI2:LM2"/>
    <mergeCell ref="LN2:LR2"/>
    <mergeCell ref="KN1:LH1"/>
    <mergeCell ref="LI1:MC1"/>
    <mergeCell ref="FR1:GL1"/>
    <mergeCell ref="GM1:HG1"/>
    <mergeCell ref="JS1:KM1"/>
    <mergeCell ref="HH1:IB1"/>
    <mergeCell ref="IC1:IW1"/>
    <mergeCell ref="IX1:JR1"/>
  </mergeCells>
  <conditionalFormatting sqref="A1:A1048576">
    <cfRule type="expression" dxfId="136" priority="390">
      <formula>AND(H1="P",F1="")</formula>
    </cfRule>
  </conditionalFormatting>
  <conditionalFormatting sqref="LZ1:LZ1048576 LE1:LE1048576 KJ1:KJ1048576 JO1:JO1048576 IT1:IT1048576 HY1:HY1048576 HD1:HD1048576 GI1:GI1048576 FN1:FN1048576 ES1:ES1048576 DX1:DX1048576 DC1:DC1048576">
    <cfRule type="cellIs" dxfId="135" priority="2187" operator="between">
      <formula>DB$24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34" priority="2224" operator="between">
      <formula>DB$24</formula>
      <formula>1000</formula>
    </cfRule>
  </conditionalFormatting>
  <conditionalFormatting sqref="I1:I3 I17:I1048576">
    <cfRule type="containsText" dxfId="133" priority="391" operator="containsText" text="Merit">
      <formula>NOT(ISERROR(SEARCH("Merit",I1)))</formula>
    </cfRule>
    <cfRule type="containsText" dxfId="132" priority="392" operator="containsText" text="Funding">
      <formula>NOT(ISERROR(SEARCH("Funding",I1)))</formula>
    </cfRule>
    <cfRule type="containsText" dxfId="131" priority="393" operator="containsText" text="Worlds Team">
      <formula>NOT(ISERROR(SEARCH("Worlds Team",I1)))</formula>
    </cfRule>
    <cfRule type="containsText" dxfId="130" priority="674" operator="containsText" text="National Team">
      <formula>NOT(ISERROR(SEARCH("National Team",I1)))</formula>
    </cfRule>
  </conditionalFormatting>
  <conditionalFormatting sqref="I4:I16">
    <cfRule type="containsText" dxfId="129" priority="12" operator="containsText" text="Merit">
      <formula>NOT(ISERROR(SEARCH("Merit",I4)))</formula>
    </cfRule>
    <cfRule type="containsText" dxfId="128" priority="13" operator="containsText" text="Funding">
      <formula>NOT(ISERROR(SEARCH("Funding",I4)))</formula>
    </cfRule>
    <cfRule type="containsText" dxfId="127" priority="14" operator="containsText" text="Worlds Team">
      <formula>NOT(ISERROR(SEARCH("Worlds Team",I4)))</formula>
    </cfRule>
    <cfRule type="containsText" dxfId="126" priority="15" operator="containsText" text="National Team">
      <formula>NOT(ISERROR(SEARCH("National Team",I4)))</formula>
    </cfRule>
  </conditionalFormatting>
  <conditionalFormatting sqref="U4:AP16">
    <cfRule type="expression" dxfId="125" priority="11">
      <formula>IF($AJ4&lt;&gt;"",1,0)</formula>
    </cfRule>
  </conditionalFormatting>
  <conditionalFormatting sqref="AQ4:BL16">
    <cfRule type="expression" dxfId="124" priority="10">
      <formula>IF($BF4&lt;&gt;"",1,0)</formula>
    </cfRule>
  </conditionalFormatting>
  <conditionalFormatting sqref="BM4:CH16">
    <cfRule type="expression" dxfId="123" priority="9">
      <formula>IF($CB4&lt;&gt;"",1,0)</formula>
    </cfRule>
  </conditionalFormatting>
  <conditionalFormatting sqref="DA1:DA1048576 DV1:DV1048576 EQ1:EQ1048576 FL1:FL1048576 GG1:GG1048576 HB1:HB1048576 HW1:HW1048576 IR1:IR1048576 JM1:JM1048576 KH1:KH1048576 LC1:LC1048576 LX1:LX1048576">
    <cfRule type="cellIs" dxfId="122" priority="2167" operator="between">
      <formula>DB$20</formula>
      <formula>100</formula>
    </cfRule>
    <cfRule type="cellIs" dxfId="121" priority="2185" operator="between">
      <formula>DB$19</formula>
      <formula>DB$20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20" priority="2190" operator="between">
      <formula>DB$23</formula>
      <formula>1000</formula>
    </cfRule>
    <cfRule type="cellIs" dxfId="119" priority="2191" operator="between">
      <formula>DB$21</formula>
      <formula>DB$22</formula>
    </cfRule>
    <cfRule type="cellIs" dxfId="118" priority="2218" operator="between">
      <formula>DB$22</formula>
      <formula>DB$23</formula>
    </cfRule>
  </conditionalFormatting>
  <conditionalFormatting sqref="AM1:AM1048576 BI1:BI1048576 CE1:CE1048576">
    <cfRule type="expression" dxfId="117" priority="8">
      <formula>IF(AND(AM1&gt;=AL$24,AM1&lt;1000,AJ1=""),1,0)</formula>
    </cfRule>
  </conditionalFormatting>
  <conditionalFormatting sqref="AO1:AO1048576 BK1:BK1048576 CG1:CG1048576">
    <cfRule type="expression" dxfId="116" priority="7">
      <formula>IF(AND(AO1&gt;=AL$24,AO1&lt;1000,AJ1=""),1,0)</formula>
    </cfRule>
  </conditionalFormatting>
  <conditionalFormatting sqref="AN1:AN1048576 BJ1:BJ1048576 CF1:CF1048576">
    <cfRule type="expression" dxfId="115" priority="3">
      <formula>IF(AND(AN1&gt;=AL$23,AN1&lt;1000,AJ1=""),1,0)</formula>
    </cfRule>
    <cfRule type="expression" dxfId="114" priority="5">
      <formula>IF(AND(AN1&gt;=AL$22,AN1&lt;AL$23,AJ1=""),1,0)</formula>
    </cfRule>
    <cfRule type="expression" dxfId="113" priority="6">
      <formula>IF(AND(AN1&gt;=AL$21,AN1&lt;AL$22,AJ1=""),1,0)</formula>
    </cfRule>
  </conditionalFormatting>
  <conditionalFormatting sqref="AK1:AK1048576 BG1:BG1048576 CC1:CC1048576">
    <cfRule type="expression" dxfId="112" priority="1">
      <formula>IF(AND(AK1&gt;=AL$20,AK1&lt;1000,AJ1=""),1,0)</formula>
    </cfRule>
    <cfRule type="expression" dxfId="111" priority="2">
      <formula>IF(AND(AK1&gt;=AL$19,AK1&lt;AL$20,AJ1=""),1,0)</formula>
    </cfRule>
  </conditionalFormatting>
  <conditionalFormatting sqref="K1:K1048576 M1:M1048576 O1:O1048576 Q1:Q1048576">
    <cfRule type="expression" dxfId="110" priority="681">
      <formula>IF(K1=$BM$1,1,0)</formula>
    </cfRule>
    <cfRule type="expression" dxfId="109" priority="682">
      <formula>IF(K1=$AQ$1,1,0)</formula>
    </cfRule>
    <cfRule type="expression" dxfId="108" priority="684">
      <formula>IF(K1=$U$1,1,0)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5.164062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17" t="s">
        <v>1</v>
      </c>
      <c r="B1" s="117" t="s">
        <v>28</v>
      </c>
      <c r="C1" s="117" t="s">
        <v>0</v>
      </c>
      <c r="D1" s="117" t="s">
        <v>67</v>
      </c>
      <c r="E1" s="117" t="s">
        <v>2</v>
      </c>
      <c r="F1" s="118" t="s">
        <v>63</v>
      </c>
      <c r="G1" s="118" t="s">
        <v>62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42</v>
      </c>
      <c r="M1" s="119" t="s">
        <v>45</v>
      </c>
      <c r="N1" s="119" t="s">
        <v>43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3" t="s">
        <v>64</v>
      </c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4" t="s">
        <v>116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21" t="s">
        <v>14</v>
      </c>
      <c r="CP1" s="121"/>
      <c r="CQ1" s="121"/>
      <c r="CR1" s="114" t="s">
        <v>135</v>
      </c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4"/>
      <c r="HC1" s="113"/>
      <c r="HD1" s="113"/>
      <c r="HE1" s="113"/>
      <c r="HF1" s="113"/>
      <c r="HG1" s="113"/>
      <c r="HH1" s="113"/>
      <c r="HI1" s="113"/>
      <c r="HJ1" s="113"/>
      <c r="HK1" s="113"/>
      <c r="HL1" s="113"/>
      <c r="HM1" s="113"/>
      <c r="HN1" s="113"/>
      <c r="HO1" s="113"/>
      <c r="HP1" s="113"/>
      <c r="HQ1" s="113"/>
      <c r="HR1" s="113"/>
      <c r="HS1" s="113"/>
      <c r="HT1" s="113"/>
      <c r="HU1" s="113"/>
      <c r="HV1" s="113"/>
      <c r="HW1" s="113"/>
      <c r="HX1" s="113"/>
      <c r="HY1" s="113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3"/>
      <c r="IX1" s="113"/>
      <c r="IY1" s="113"/>
      <c r="IZ1" s="113"/>
      <c r="JA1" s="113"/>
      <c r="JB1" s="113"/>
      <c r="JC1" s="113"/>
      <c r="JD1" s="113"/>
      <c r="JE1" s="113"/>
      <c r="JF1" s="113"/>
      <c r="JG1" s="113"/>
      <c r="JH1" s="113"/>
      <c r="JI1" s="113"/>
      <c r="JJ1" s="113"/>
      <c r="JK1" s="113"/>
      <c r="JL1" s="113"/>
      <c r="JM1" s="113"/>
      <c r="JN1" s="113"/>
      <c r="JO1" s="113"/>
      <c r="JP1" s="113"/>
      <c r="JQ1" s="113"/>
      <c r="JR1" s="113"/>
      <c r="JS1" s="113"/>
      <c r="JT1" s="114"/>
      <c r="JU1" s="114"/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3"/>
      <c r="KR1" s="113"/>
      <c r="KS1" s="113"/>
      <c r="KT1" s="113"/>
      <c r="KU1" s="113"/>
      <c r="KV1" s="113"/>
      <c r="KW1" s="113"/>
      <c r="KX1" s="113"/>
      <c r="KY1" s="113"/>
      <c r="KZ1" s="113"/>
      <c r="LA1" s="113"/>
      <c r="LB1" s="113"/>
      <c r="LC1" s="113"/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3"/>
      <c r="ML1" s="113"/>
      <c r="MM1" s="113"/>
      <c r="MN1" s="113"/>
      <c r="MO1" s="113"/>
      <c r="MP1" s="113"/>
      <c r="MQ1" s="113"/>
      <c r="MR1" s="113"/>
      <c r="MS1" s="113"/>
      <c r="MT1" s="113"/>
      <c r="MU1" s="113"/>
      <c r="MV1" s="113"/>
      <c r="MW1" s="113"/>
      <c r="MX1" s="113"/>
      <c r="MY1" s="113"/>
      <c r="MZ1" s="113"/>
      <c r="NA1" s="113"/>
      <c r="NB1" s="113"/>
      <c r="NC1" s="113"/>
      <c r="ND1" s="113"/>
      <c r="NE1" s="113"/>
      <c r="NF1" s="113"/>
      <c r="NG1" s="113"/>
    </row>
    <row r="2" spans="1:371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31</v>
      </c>
      <c r="V2" s="116"/>
      <c r="W2" s="116"/>
      <c r="X2" s="116"/>
      <c r="Y2" s="116" t="s">
        <v>34</v>
      </c>
      <c r="Z2" s="116"/>
      <c r="AA2" s="116"/>
      <c r="AB2" s="116"/>
      <c r="AC2" s="116" t="s">
        <v>35</v>
      </c>
      <c r="AD2" s="116"/>
      <c r="AE2" s="116"/>
      <c r="AF2" s="116"/>
      <c r="AG2" s="124" t="s">
        <v>36</v>
      </c>
      <c r="AH2" s="124"/>
      <c r="AI2" s="124"/>
      <c r="AJ2" s="124"/>
      <c r="AK2" s="98"/>
      <c r="AL2" s="64" t="s">
        <v>27</v>
      </c>
      <c r="AM2" s="64" t="s">
        <v>44</v>
      </c>
      <c r="AN2" s="10" t="s">
        <v>31</v>
      </c>
      <c r="AO2" s="10" t="s">
        <v>34</v>
      </c>
      <c r="AP2" s="10" t="s">
        <v>24</v>
      </c>
      <c r="AQ2" s="10" t="s">
        <v>23</v>
      </c>
      <c r="AR2" s="10" t="s">
        <v>18</v>
      </c>
      <c r="AS2" s="115" t="s">
        <v>31</v>
      </c>
      <c r="AT2" s="115"/>
      <c r="AU2" s="115"/>
      <c r="AV2" s="115"/>
      <c r="AW2" s="115" t="s">
        <v>34</v>
      </c>
      <c r="AX2" s="115"/>
      <c r="AY2" s="115"/>
      <c r="AZ2" s="115"/>
      <c r="BA2" s="115" t="s">
        <v>35</v>
      </c>
      <c r="BB2" s="115"/>
      <c r="BC2" s="115"/>
      <c r="BD2" s="115"/>
      <c r="BE2" s="123" t="s">
        <v>36</v>
      </c>
      <c r="BF2" s="123"/>
      <c r="BG2" s="123"/>
      <c r="BH2" s="123"/>
      <c r="BI2" s="99"/>
      <c r="BJ2" s="63" t="s">
        <v>27</v>
      </c>
      <c r="BK2" s="63" t="s">
        <v>44</v>
      </c>
      <c r="BL2" s="13" t="s">
        <v>31</v>
      </c>
      <c r="BM2" s="13" t="s">
        <v>34</v>
      </c>
      <c r="BN2" s="13" t="s">
        <v>24</v>
      </c>
      <c r="BO2" s="13" t="s">
        <v>23</v>
      </c>
      <c r="BP2" s="13" t="s">
        <v>18</v>
      </c>
      <c r="BQ2" s="116" t="s">
        <v>31</v>
      </c>
      <c r="BR2" s="116"/>
      <c r="BS2" s="116"/>
      <c r="BT2" s="116"/>
      <c r="BU2" s="116" t="s">
        <v>34</v>
      </c>
      <c r="BV2" s="116"/>
      <c r="BW2" s="116"/>
      <c r="BX2" s="116"/>
      <c r="BY2" s="116" t="s">
        <v>35</v>
      </c>
      <c r="BZ2" s="116"/>
      <c r="CA2" s="116"/>
      <c r="CB2" s="116"/>
      <c r="CC2" s="125" t="s">
        <v>36</v>
      </c>
      <c r="CD2" s="125"/>
      <c r="CE2" s="125"/>
      <c r="CF2" s="125"/>
      <c r="CG2" s="98"/>
      <c r="CH2" s="20" t="s">
        <v>27</v>
      </c>
      <c r="CI2" s="20" t="s">
        <v>44</v>
      </c>
      <c r="CJ2" s="10" t="s">
        <v>31</v>
      </c>
      <c r="CK2" s="10" t="s">
        <v>34</v>
      </c>
      <c r="CL2" s="10" t="s">
        <v>24</v>
      </c>
      <c r="CM2" s="10" t="s">
        <v>23</v>
      </c>
      <c r="CN2" s="10" t="s">
        <v>18</v>
      </c>
      <c r="CO2" s="26" t="s">
        <v>31</v>
      </c>
      <c r="CP2" s="26" t="s">
        <v>34</v>
      </c>
      <c r="CQ2" s="26" t="s">
        <v>23</v>
      </c>
      <c r="CR2" s="116" t="s">
        <v>31</v>
      </c>
      <c r="CS2" s="116"/>
      <c r="CT2" s="116"/>
      <c r="CU2" s="116"/>
      <c r="CV2" s="116" t="s">
        <v>34</v>
      </c>
      <c r="CW2" s="116"/>
      <c r="CX2" s="116"/>
      <c r="CY2" s="116"/>
      <c r="CZ2" s="116" t="s">
        <v>35</v>
      </c>
      <c r="DA2" s="116"/>
      <c r="DB2" s="116"/>
      <c r="DC2" s="116"/>
      <c r="DD2" s="122" t="s">
        <v>36</v>
      </c>
      <c r="DE2" s="122"/>
      <c r="DF2" s="122"/>
      <c r="DG2" s="122"/>
      <c r="DH2" s="64" t="s">
        <v>27</v>
      </c>
      <c r="DI2" s="64" t="s">
        <v>44</v>
      </c>
      <c r="DJ2" s="10" t="s">
        <v>31</v>
      </c>
      <c r="DK2" s="10" t="s">
        <v>34</v>
      </c>
      <c r="DL2" s="10" t="s">
        <v>24</v>
      </c>
      <c r="DM2" s="10" t="s">
        <v>23</v>
      </c>
      <c r="DN2" s="10" t="s">
        <v>18</v>
      </c>
      <c r="DO2" s="115" t="s">
        <v>31</v>
      </c>
      <c r="DP2" s="115"/>
      <c r="DQ2" s="115"/>
      <c r="DR2" s="115"/>
      <c r="DS2" s="115" t="s">
        <v>34</v>
      </c>
      <c r="DT2" s="115"/>
      <c r="DU2" s="115"/>
      <c r="DV2" s="115"/>
      <c r="DW2" s="115" t="s">
        <v>35</v>
      </c>
      <c r="DX2" s="115"/>
      <c r="DY2" s="115"/>
      <c r="DZ2" s="115"/>
      <c r="EA2" s="123" t="s">
        <v>36</v>
      </c>
      <c r="EB2" s="123"/>
      <c r="EC2" s="123"/>
      <c r="ED2" s="123"/>
      <c r="EE2" s="63" t="s">
        <v>27</v>
      </c>
      <c r="EF2" s="63" t="s">
        <v>44</v>
      </c>
      <c r="EG2" s="13" t="s">
        <v>31</v>
      </c>
      <c r="EH2" s="13" t="s">
        <v>34</v>
      </c>
      <c r="EI2" s="13" t="s">
        <v>24</v>
      </c>
      <c r="EJ2" s="13" t="s">
        <v>23</v>
      </c>
      <c r="EK2" s="13" t="s">
        <v>18</v>
      </c>
      <c r="EL2" s="116" t="s">
        <v>31</v>
      </c>
      <c r="EM2" s="116"/>
      <c r="EN2" s="116"/>
      <c r="EO2" s="116"/>
      <c r="EP2" s="116" t="s">
        <v>34</v>
      </c>
      <c r="EQ2" s="116"/>
      <c r="ER2" s="116"/>
      <c r="ES2" s="116"/>
      <c r="ET2" s="116" t="s">
        <v>35</v>
      </c>
      <c r="EU2" s="116"/>
      <c r="EV2" s="116"/>
      <c r="EW2" s="116"/>
      <c r="EX2" s="122" t="s">
        <v>36</v>
      </c>
      <c r="EY2" s="122"/>
      <c r="EZ2" s="122"/>
      <c r="FA2" s="122"/>
      <c r="FB2" s="64" t="s">
        <v>27</v>
      </c>
      <c r="FC2" s="64" t="s">
        <v>44</v>
      </c>
      <c r="FD2" s="10" t="s">
        <v>31</v>
      </c>
      <c r="FE2" s="10" t="s">
        <v>34</v>
      </c>
      <c r="FF2" s="10" t="s">
        <v>24</v>
      </c>
      <c r="FG2" s="10" t="s">
        <v>23</v>
      </c>
      <c r="FH2" s="10" t="s">
        <v>18</v>
      </c>
      <c r="FI2" s="115" t="s">
        <v>31</v>
      </c>
      <c r="FJ2" s="115"/>
      <c r="FK2" s="115"/>
      <c r="FL2" s="115"/>
      <c r="FM2" s="115" t="s">
        <v>34</v>
      </c>
      <c r="FN2" s="115"/>
      <c r="FO2" s="115"/>
      <c r="FP2" s="115"/>
      <c r="FQ2" s="115" t="s">
        <v>35</v>
      </c>
      <c r="FR2" s="115"/>
      <c r="FS2" s="115"/>
      <c r="FT2" s="115"/>
      <c r="FU2" s="123" t="s">
        <v>36</v>
      </c>
      <c r="FV2" s="123"/>
      <c r="FW2" s="123"/>
      <c r="FX2" s="123"/>
      <c r="FY2" s="22" t="s">
        <v>27</v>
      </c>
      <c r="FZ2" s="22" t="s">
        <v>44</v>
      </c>
      <c r="GA2" s="13" t="s">
        <v>31</v>
      </c>
      <c r="GB2" s="13" t="s">
        <v>34</v>
      </c>
      <c r="GC2" s="13" t="s">
        <v>24</v>
      </c>
      <c r="GD2" s="13" t="s">
        <v>23</v>
      </c>
      <c r="GE2" s="13" t="s">
        <v>18</v>
      </c>
      <c r="GF2" s="116" t="s">
        <v>31</v>
      </c>
      <c r="GG2" s="116"/>
      <c r="GH2" s="116"/>
      <c r="GI2" s="116"/>
      <c r="GJ2" s="116" t="s">
        <v>34</v>
      </c>
      <c r="GK2" s="116"/>
      <c r="GL2" s="116"/>
      <c r="GM2" s="116"/>
      <c r="GN2" s="116" t="s">
        <v>35</v>
      </c>
      <c r="GO2" s="116"/>
      <c r="GP2" s="116"/>
      <c r="GQ2" s="116"/>
      <c r="GR2" s="122" t="s">
        <v>36</v>
      </c>
      <c r="GS2" s="122"/>
      <c r="GT2" s="122"/>
      <c r="GU2" s="122"/>
      <c r="GV2" s="23" t="s">
        <v>27</v>
      </c>
      <c r="GW2" s="23" t="s">
        <v>44</v>
      </c>
      <c r="GX2" s="10" t="s">
        <v>31</v>
      </c>
      <c r="GY2" s="10" t="s">
        <v>34</v>
      </c>
      <c r="GZ2" s="10" t="s">
        <v>24</v>
      </c>
      <c r="HA2" s="10" t="s">
        <v>23</v>
      </c>
      <c r="HB2" s="10" t="s">
        <v>18</v>
      </c>
      <c r="HC2" s="115" t="s">
        <v>31</v>
      </c>
      <c r="HD2" s="115"/>
      <c r="HE2" s="115"/>
      <c r="HF2" s="115"/>
      <c r="HG2" s="115" t="s">
        <v>34</v>
      </c>
      <c r="HH2" s="115"/>
      <c r="HI2" s="115"/>
      <c r="HJ2" s="115"/>
      <c r="HK2" s="115" t="s">
        <v>35</v>
      </c>
      <c r="HL2" s="115"/>
      <c r="HM2" s="115"/>
      <c r="HN2" s="115"/>
      <c r="HO2" s="123" t="s">
        <v>36</v>
      </c>
      <c r="HP2" s="123"/>
      <c r="HQ2" s="123"/>
      <c r="HR2" s="123"/>
      <c r="HS2" s="22" t="s">
        <v>27</v>
      </c>
      <c r="HT2" s="22" t="s">
        <v>44</v>
      </c>
      <c r="HU2" s="13" t="s">
        <v>31</v>
      </c>
      <c r="HV2" s="13" t="s">
        <v>34</v>
      </c>
      <c r="HW2" s="13" t="s">
        <v>24</v>
      </c>
      <c r="HX2" s="13" t="s">
        <v>23</v>
      </c>
      <c r="HY2" s="13" t="s">
        <v>18</v>
      </c>
      <c r="HZ2" s="116" t="s">
        <v>31</v>
      </c>
      <c r="IA2" s="116"/>
      <c r="IB2" s="116"/>
      <c r="IC2" s="116"/>
      <c r="ID2" s="116" t="s">
        <v>34</v>
      </c>
      <c r="IE2" s="116"/>
      <c r="IF2" s="116"/>
      <c r="IG2" s="116"/>
      <c r="IH2" s="116" t="s">
        <v>35</v>
      </c>
      <c r="II2" s="116"/>
      <c r="IJ2" s="116"/>
      <c r="IK2" s="116"/>
      <c r="IL2" s="122" t="s">
        <v>36</v>
      </c>
      <c r="IM2" s="122"/>
      <c r="IN2" s="122"/>
      <c r="IO2" s="122"/>
      <c r="IP2" s="23" t="s">
        <v>27</v>
      </c>
      <c r="IQ2" s="23" t="s">
        <v>44</v>
      </c>
      <c r="IR2" s="10" t="s">
        <v>31</v>
      </c>
      <c r="IS2" s="10" t="s">
        <v>34</v>
      </c>
      <c r="IT2" s="10" t="s">
        <v>24</v>
      </c>
      <c r="IU2" s="10" t="s">
        <v>23</v>
      </c>
      <c r="IV2" s="10" t="s">
        <v>18</v>
      </c>
      <c r="IW2" s="115" t="s">
        <v>31</v>
      </c>
      <c r="IX2" s="115"/>
      <c r="IY2" s="115"/>
      <c r="IZ2" s="115"/>
      <c r="JA2" s="115" t="s">
        <v>34</v>
      </c>
      <c r="JB2" s="115"/>
      <c r="JC2" s="115"/>
      <c r="JD2" s="115"/>
      <c r="JE2" s="115" t="s">
        <v>35</v>
      </c>
      <c r="JF2" s="115"/>
      <c r="JG2" s="115"/>
      <c r="JH2" s="115"/>
      <c r="JI2" s="123" t="s">
        <v>36</v>
      </c>
      <c r="JJ2" s="123"/>
      <c r="JK2" s="123"/>
      <c r="JL2" s="123"/>
      <c r="JM2" s="22" t="s">
        <v>27</v>
      </c>
      <c r="JN2" s="22" t="s">
        <v>44</v>
      </c>
      <c r="JO2" s="13" t="s">
        <v>31</v>
      </c>
      <c r="JP2" s="13" t="s">
        <v>34</v>
      </c>
      <c r="JQ2" s="13" t="s">
        <v>24</v>
      </c>
      <c r="JR2" s="13" t="s">
        <v>23</v>
      </c>
      <c r="JS2" s="13" t="s">
        <v>18</v>
      </c>
      <c r="JT2" s="116" t="s">
        <v>31</v>
      </c>
      <c r="JU2" s="116"/>
      <c r="JV2" s="116"/>
      <c r="JW2" s="116"/>
      <c r="JX2" s="116" t="s">
        <v>34</v>
      </c>
      <c r="JY2" s="116"/>
      <c r="JZ2" s="116"/>
      <c r="KA2" s="116"/>
      <c r="KB2" s="116" t="s">
        <v>35</v>
      </c>
      <c r="KC2" s="116"/>
      <c r="KD2" s="116"/>
      <c r="KE2" s="116"/>
      <c r="KF2" s="122" t="s">
        <v>36</v>
      </c>
      <c r="KG2" s="122"/>
      <c r="KH2" s="122"/>
      <c r="KI2" s="122"/>
      <c r="KJ2" s="23" t="s">
        <v>27</v>
      </c>
      <c r="KK2" s="23" t="s">
        <v>44</v>
      </c>
      <c r="KL2" s="10" t="s">
        <v>31</v>
      </c>
      <c r="KM2" s="10" t="s">
        <v>34</v>
      </c>
      <c r="KN2" s="10" t="s">
        <v>24</v>
      </c>
      <c r="KO2" s="10" t="s">
        <v>23</v>
      </c>
      <c r="KP2" s="10" t="s">
        <v>18</v>
      </c>
      <c r="KQ2" s="115" t="s">
        <v>31</v>
      </c>
      <c r="KR2" s="115"/>
      <c r="KS2" s="115"/>
      <c r="KT2" s="115"/>
      <c r="KU2" s="115" t="s">
        <v>34</v>
      </c>
      <c r="KV2" s="115"/>
      <c r="KW2" s="115"/>
      <c r="KX2" s="115"/>
      <c r="KY2" s="115" t="s">
        <v>35</v>
      </c>
      <c r="KZ2" s="115"/>
      <c r="LA2" s="115"/>
      <c r="LB2" s="115"/>
      <c r="LC2" s="123" t="s">
        <v>36</v>
      </c>
      <c r="LD2" s="123"/>
      <c r="LE2" s="123"/>
      <c r="LF2" s="123"/>
      <c r="LG2" s="22" t="s">
        <v>27</v>
      </c>
      <c r="LH2" s="22" t="s">
        <v>44</v>
      </c>
      <c r="LI2" s="13" t="s">
        <v>31</v>
      </c>
      <c r="LJ2" s="13" t="s">
        <v>34</v>
      </c>
      <c r="LK2" s="13" t="s">
        <v>24</v>
      </c>
      <c r="LL2" s="13" t="s">
        <v>23</v>
      </c>
      <c r="LM2" s="13" t="s">
        <v>18</v>
      </c>
      <c r="LN2" s="116" t="s">
        <v>31</v>
      </c>
      <c r="LO2" s="116"/>
      <c r="LP2" s="116"/>
      <c r="LQ2" s="116"/>
      <c r="LR2" s="116" t="s">
        <v>34</v>
      </c>
      <c r="LS2" s="116"/>
      <c r="LT2" s="116"/>
      <c r="LU2" s="116"/>
      <c r="LV2" s="116" t="s">
        <v>35</v>
      </c>
      <c r="LW2" s="116"/>
      <c r="LX2" s="116"/>
      <c r="LY2" s="116"/>
      <c r="LZ2" s="122" t="s">
        <v>36</v>
      </c>
      <c r="MA2" s="122"/>
      <c r="MB2" s="122"/>
      <c r="MC2" s="122"/>
      <c r="MD2" s="23" t="s">
        <v>27</v>
      </c>
      <c r="ME2" s="23" t="s">
        <v>44</v>
      </c>
      <c r="MF2" s="10" t="s">
        <v>31</v>
      </c>
      <c r="MG2" s="10" t="s">
        <v>34</v>
      </c>
      <c r="MH2" s="10" t="s">
        <v>24</v>
      </c>
      <c r="MI2" s="10" t="s">
        <v>23</v>
      </c>
      <c r="MJ2" s="10" t="s">
        <v>18</v>
      </c>
      <c r="MK2" s="115" t="s">
        <v>31</v>
      </c>
      <c r="ML2" s="115"/>
      <c r="MM2" s="115"/>
      <c r="MN2" s="115"/>
      <c r="MO2" s="115" t="s">
        <v>34</v>
      </c>
      <c r="MP2" s="115"/>
      <c r="MQ2" s="115"/>
      <c r="MR2" s="115"/>
      <c r="MS2" s="115" t="s">
        <v>35</v>
      </c>
      <c r="MT2" s="115"/>
      <c r="MU2" s="115"/>
      <c r="MV2" s="115"/>
      <c r="MW2" s="123" t="s">
        <v>36</v>
      </c>
      <c r="MX2" s="123"/>
      <c r="MY2" s="123"/>
      <c r="MZ2" s="123"/>
      <c r="NA2" s="22" t="s">
        <v>27</v>
      </c>
      <c r="NB2" s="22" t="s">
        <v>44</v>
      </c>
      <c r="NC2" s="13" t="s">
        <v>31</v>
      </c>
      <c r="ND2" s="13" t="s">
        <v>34</v>
      </c>
      <c r="NE2" s="13" t="s">
        <v>24</v>
      </c>
      <c r="NF2" s="13" t="s">
        <v>23</v>
      </c>
      <c r="NG2" s="13" t="s">
        <v>18</v>
      </c>
    </row>
    <row r="3" spans="1:371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98" t="s">
        <v>124</v>
      </c>
      <c r="AL3" s="11"/>
      <c r="AM3" s="11"/>
      <c r="AN3" s="10"/>
      <c r="AO3" s="10"/>
      <c r="AP3" s="10"/>
      <c r="AQ3" s="11"/>
      <c r="AR3" s="11"/>
      <c r="AS3" s="63" t="s">
        <v>15</v>
      </c>
      <c r="AT3" s="63" t="s">
        <v>7</v>
      </c>
      <c r="AU3" s="63" t="s">
        <v>32</v>
      </c>
      <c r="AV3" s="63" t="s">
        <v>33</v>
      </c>
      <c r="AW3" s="63" t="s">
        <v>15</v>
      </c>
      <c r="AX3" s="63" t="s">
        <v>7</v>
      </c>
      <c r="AY3" s="63" t="s">
        <v>32</v>
      </c>
      <c r="AZ3" s="63" t="s">
        <v>33</v>
      </c>
      <c r="BA3" s="63" t="s">
        <v>15</v>
      </c>
      <c r="BB3" s="63" t="s">
        <v>7</v>
      </c>
      <c r="BC3" s="63" t="s">
        <v>32</v>
      </c>
      <c r="BD3" s="63" t="s">
        <v>33</v>
      </c>
      <c r="BE3" s="65" t="s">
        <v>15</v>
      </c>
      <c r="BF3" s="65" t="s">
        <v>7</v>
      </c>
      <c r="BG3" s="65" t="s">
        <v>32</v>
      </c>
      <c r="BH3" s="65" t="s">
        <v>33</v>
      </c>
      <c r="BI3" s="99" t="s">
        <v>124</v>
      </c>
      <c r="BJ3" s="14"/>
      <c r="BK3" s="14"/>
      <c r="BL3" s="13"/>
      <c r="BM3" s="13"/>
      <c r="BN3" s="13"/>
      <c r="BO3" s="14"/>
      <c r="BP3" s="14"/>
      <c r="BQ3" s="33" t="s">
        <v>15</v>
      </c>
      <c r="BR3" s="33" t="s">
        <v>7</v>
      </c>
      <c r="BS3" s="33" t="s">
        <v>32</v>
      </c>
      <c r="BT3" s="33" t="s">
        <v>33</v>
      </c>
      <c r="BU3" s="33" t="s">
        <v>15</v>
      </c>
      <c r="BV3" s="33" t="s">
        <v>7</v>
      </c>
      <c r="BW3" s="33" t="s">
        <v>32</v>
      </c>
      <c r="BX3" s="33" t="s">
        <v>33</v>
      </c>
      <c r="BY3" s="33" t="s">
        <v>15</v>
      </c>
      <c r="BZ3" s="33" t="s">
        <v>7</v>
      </c>
      <c r="CA3" s="33" t="s">
        <v>32</v>
      </c>
      <c r="CB3" s="33" t="s">
        <v>33</v>
      </c>
      <c r="CC3" s="36" t="s">
        <v>15</v>
      </c>
      <c r="CD3" s="36" t="s">
        <v>7</v>
      </c>
      <c r="CE3" s="36" t="s">
        <v>32</v>
      </c>
      <c r="CF3" s="36" t="s">
        <v>33</v>
      </c>
      <c r="CG3" s="98" t="s">
        <v>124</v>
      </c>
      <c r="CH3" s="11"/>
      <c r="CI3" s="11"/>
      <c r="CJ3" s="10"/>
      <c r="CK3" s="10"/>
      <c r="CL3" s="10"/>
      <c r="CM3" s="11"/>
      <c r="CN3" s="11"/>
      <c r="CO3" s="27"/>
      <c r="CP3" s="27"/>
      <c r="CQ3" s="27"/>
      <c r="CR3" s="64" t="s">
        <v>15</v>
      </c>
      <c r="CS3" s="64" t="s">
        <v>7</v>
      </c>
      <c r="CT3" s="64" t="s">
        <v>32</v>
      </c>
      <c r="CU3" s="64" t="s">
        <v>33</v>
      </c>
      <c r="CV3" s="64" t="s">
        <v>15</v>
      </c>
      <c r="CW3" s="64" t="s">
        <v>7</v>
      </c>
      <c r="CX3" s="64" t="s">
        <v>32</v>
      </c>
      <c r="CY3" s="64" t="s">
        <v>33</v>
      </c>
      <c r="CZ3" s="64" t="s">
        <v>15</v>
      </c>
      <c r="DA3" s="64" t="s">
        <v>7</v>
      </c>
      <c r="DB3" s="64" t="s">
        <v>32</v>
      </c>
      <c r="DC3" s="64" t="s">
        <v>33</v>
      </c>
      <c r="DD3" s="66" t="s">
        <v>15</v>
      </c>
      <c r="DE3" s="66" t="s">
        <v>7</v>
      </c>
      <c r="DF3" s="66" t="s">
        <v>32</v>
      </c>
      <c r="DG3" s="66" t="s">
        <v>33</v>
      </c>
      <c r="DH3" s="11"/>
      <c r="DI3" s="11"/>
      <c r="DJ3" s="10"/>
      <c r="DK3" s="10"/>
      <c r="DL3" s="10"/>
      <c r="DM3" s="11"/>
      <c r="DN3" s="11"/>
      <c r="DO3" s="63" t="s">
        <v>15</v>
      </c>
      <c r="DP3" s="63" t="s">
        <v>7</v>
      </c>
      <c r="DQ3" s="63" t="s">
        <v>32</v>
      </c>
      <c r="DR3" s="63" t="s">
        <v>33</v>
      </c>
      <c r="DS3" s="63" t="s">
        <v>15</v>
      </c>
      <c r="DT3" s="63" t="s">
        <v>7</v>
      </c>
      <c r="DU3" s="63" t="s">
        <v>32</v>
      </c>
      <c r="DV3" s="63" t="s">
        <v>33</v>
      </c>
      <c r="DW3" s="63" t="s">
        <v>15</v>
      </c>
      <c r="DX3" s="63" t="s">
        <v>7</v>
      </c>
      <c r="DY3" s="63" t="s">
        <v>32</v>
      </c>
      <c r="DZ3" s="63" t="s">
        <v>33</v>
      </c>
      <c r="EA3" s="65" t="s">
        <v>15</v>
      </c>
      <c r="EB3" s="65" t="s">
        <v>7</v>
      </c>
      <c r="EC3" s="65" t="s">
        <v>32</v>
      </c>
      <c r="ED3" s="65" t="s">
        <v>33</v>
      </c>
      <c r="EE3" s="14"/>
      <c r="EF3" s="14"/>
      <c r="EG3" s="13"/>
      <c r="EH3" s="13"/>
      <c r="EI3" s="13"/>
      <c r="EJ3" s="14"/>
      <c r="EK3" s="14"/>
      <c r="EL3" s="64" t="s">
        <v>15</v>
      </c>
      <c r="EM3" s="64" t="s">
        <v>7</v>
      </c>
      <c r="EN3" s="64" t="s">
        <v>32</v>
      </c>
      <c r="EO3" s="64" t="s">
        <v>33</v>
      </c>
      <c r="EP3" s="64" t="s">
        <v>15</v>
      </c>
      <c r="EQ3" s="64" t="s">
        <v>7</v>
      </c>
      <c r="ER3" s="64" t="s">
        <v>32</v>
      </c>
      <c r="ES3" s="64" t="s">
        <v>33</v>
      </c>
      <c r="ET3" s="64" t="s">
        <v>15</v>
      </c>
      <c r="EU3" s="64" t="s">
        <v>7</v>
      </c>
      <c r="EV3" s="64" t="s">
        <v>32</v>
      </c>
      <c r="EW3" s="64" t="s">
        <v>33</v>
      </c>
      <c r="EX3" s="66" t="s">
        <v>15</v>
      </c>
      <c r="EY3" s="66" t="s">
        <v>7</v>
      </c>
      <c r="EZ3" s="66" t="s">
        <v>32</v>
      </c>
      <c r="FA3" s="66" t="s">
        <v>33</v>
      </c>
      <c r="FB3" s="11"/>
      <c r="FC3" s="11"/>
      <c r="FD3" s="10"/>
      <c r="FE3" s="10"/>
      <c r="FF3" s="10"/>
      <c r="FG3" s="11"/>
      <c r="FH3" s="11"/>
      <c r="FI3" s="32" t="s">
        <v>15</v>
      </c>
      <c r="FJ3" s="32" t="s">
        <v>7</v>
      </c>
      <c r="FK3" s="32" t="s">
        <v>32</v>
      </c>
      <c r="FL3" s="32" t="s">
        <v>33</v>
      </c>
      <c r="FM3" s="32" t="s">
        <v>15</v>
      </c>
      <c r="FN3" s="32" t="s">
        <v>7</v>
      </c>
      <c r="FO3" s="32" t="s">
        <v>32</v>
      </c>
      <c r="FP3" s="32" t="s">
        <v>33</v>
      </c>
      <c r="FQ3" s="32" t="s">
        <v>15</v>
      </c>
      <c r="FR3" s="32" t="s">
        <v>7</v>
      </c>
      <c r="FS3" s="32" t="s">
        <v>32</v>
      </c>
      <c r="FT3" s="32" t="s">
        <v>33</v>
      </c>
      <c r="FU3" s="35" t="s">
        <v>15</v>
      </c>
      <c r="FV3" s="35" t="s">
        <v>7</v>
      </c>
      <c r="FW3" s="35" t="s">
        <v>32</v>
      </c>
      <c r="FX3" s="35" t="s">
        <v>33</v>
      </c>
      <c r="FY3" s="14"/>
      <c r="FZ3" s="14"/>
      <c r="GA3" s="13"/>
      <c r="GB3" s="13"/>
      <c r="GC3" s="13"/>
      <c r="GD3" s="14"/>
      <c r="GE3" s="14"/>
      <c r="GF3" s="33" t="s">
        <v>15</v>
      </c>
      <c r="GG3" s="33" t="s">
        <v>7</v>
      </c>
      <c r="GH3" s="33" t="s">
        <v>32</v>
      </c>
      <c r="GI3" s="33" t="s">
        <v>33</v>
      </c>
      <c r="GJ3" s="33" t="s">
        <v>15</v>
      </c>
      <c r="GK3" s="33" t="s">
        <v>7</v>
      </c>
      <c r="GL3" s="33" t="s">
        <v>32</v>
      </c>
      <c r="GM3" s="33" t="s">
        <v>33</v>
      </c>
      <c r="GN3" s="33" t="s">
        <v>15</v>
      </c>
      <c r="GO3" s="33" t="s">
        <v>7</v>
      </c>
      <c r="GP3" s="33" t="s">
        <v>32</v>
      </c>
      <c r="GQ3" s="33" t="s">
        <v>33</v>
      </c>
      <c r="GR3" s="34" t="s">
        <v>15</v>
      </c>
      <c r="GS3" s="34" t="s">
        <v>7</v>
      </c>
      <c r="GT3" s="34" t="s">
        <v>32</v>
      </c>
      <c r="GU3" s="34" t="s">
        <v>33</v>
      </c>
      <c r="GV3" s="11"/>
      <c r="GW3" s="11"/>
      <c r="GX3" s="10"/>
      <c r="GY3" s="10"/>
      <c r="GZ3" s="10"/>
      <c r="HA3" s="11"/>
      <c r="HB3" s="11"/>
      <c r="HC3" s="32" t="s">
        <v>15</v>
      </c>
      <c r="HD3" s="32" t="s">
        <v>7</v>
      </c>
      <c r="HE3" s="32" t="s">
        <v>32</v>
      </c>
      <c r="HF3" s="32" t="s">
        <v>33</v>
      </c>
      <c r="HG3" s="32" t="s">
        <v>15</v>
      </c>
      <c r="HH3" s="32" t="s">
        <v>7</v>
      </c>
      <c r="HI3" s="32" t="s">
        <v>32</v>
      </c>
      <c r="HJ3" s="32" t="s">
        <v>33</v>
      </c>
      <c r="HK3" s="32" t="s">
        <v>15</v>
      </c>
      <c r="HL3" s="32" t="s">
        <v>7</v>
      </c>
      <c r="HM3" s="32" t="s">
        <v>32</v>
      </c>
      <c r="HN3" s="32" t="s">
        <v>33</v>
      </c>
      <c r="HO3" s="35" t="s">
        <v>15</v>
      </c>
      <c r="HP3" s="35" t="s">
        <v>7</v>
      </c>
      <c r="HQ3" s="35" t="s">
        <v>32</v>
      </c>
      <c r="HR3" s="35" t="s">
        <v>33</v>
      </c>
      <c r="HS3" s="14"/>
      <c r="HT3" s="14"/>
      <c r="HU3" s="13"/>
      <c r="HV3" s="13"/>
      <c r="HW3" s="13"/>
      <c r="HX3" s="14"/>
      <c r="HY3" s="14"/>
      <c r="HZ3" s="33" t="s">
        <v>15</v>
      </c>
      <c r="IA3" s="33" t="s">
        <v>7</v>
      </c>
      <c r="IB3" s="33" t="s">
        <v>32</v>
      </c>
      <c r="IC3" s="33" t="s">
        <v>33</v>
      </c>
      <c r="ID3" s="33" t="s">
        <v>15</v>
      </c>
      <c r="IE3" s="33" t="s">
        <v>7</v>
      </c>
      <c r="IF3" s="33" t="s">
        <v>32</v>
      </c>
      <c r="IG3" s="33" t="s">
        <v>33</v>
      </c>
      <c r="IH3" s="33" t="s">
        <v>15</v>
      </c>
      <c r="II3" s="33" t="s">
        <v>7</v>
      </c>
      <c r="IJ3" s="33" t="s">
        <v>32</v>
      </c>
      <c r="IK3" s="33" t="s">
        <v>33</v>
      </c>
      <c r="IL3" s="34" t="s">
        <v>15</v>
      </c>
      <c r="IM3" s="34" t="s">
        <v>7</v>
      </c>
      <c r="IN3" s="34" t="s">
        <v>32</v>
      </c>
      <c r="IO3" s="34" t="s">
        <v>33</v>
      </c>
      <c r="IP3" s="11"/>
      <c r="IQ3" s="11"/>
      <c r="IR3" s="10"/>
      <c r="IS3" s="10"/>
      <c r="IT3" s="10"/>
      <c r="IU3" s="11"/>
      <c r="IV3" s="11"/>
      <c r="IW3" s="32" t="s">
        <v>15</v>
      </c>
      <c r="IX3" s="32" t="s">
        <v>7</v>
      </c>
      <c r="IY3" s="32" t="s">
        <v>32</v>
      </c>
      <c r="IZ3" s="32" t="s">
        <v>33</v>
      </c>
      <c r="JA3" s="32" t="s">
        <v>15</v>
      </c>
      <c r="JB3" s="32" t="s">
        <v>7</v>
      </c>
      <c r="JC3" s="32" t="s">
        <v>32</v>
      </c>
      <c r="JD3" s="32" t="s">
        <v>33</v>
      </c>
      <c r="JE3" s="32" t="s">
        <v>15</v>
      </c>
      <c r="JF3" s="32" t="s">
        <v>7</v>
      </c>
      <c r="JG3" s="32" t="s">
        <v>32</v>
      </c>
      <c r="JH3" s="32" t="s">
        <v>33</v>
      </c>
      <c r="JI3" s="35" t="s">
        <v>15</v>
      </c>
      <c r="JJ3" s="35" t="s">
        <v>7</v>
      </c>
      <c r="JK3" s="35" t="s">
        <v>32</v>
      </c>
      <c r="JL3" s="35" t="s">
        <v>33</v>
      </c>
      <c r="JM3" s="14"/>
      <c r="JN3" s="14"/>
      <c r="JO3" s="13"/>
      <c r="JP3" s="13"/>
      <c r="JQ3" s="13"/>
      <c r="JR3" s="14"/>
      <c r="JS3" s="14"/>
      <c r="JT3" s="33" t="s">
        <v>15</v>
      </c>
      <c r="JU3" s="33" t="s">
        <v>7</v>
      </c>
      <c r="JV3" s="33" t="s">
        <v>32</v>
      </c>
      <c r="JW3" s="33" t="s">
        <v>33</v>
      </c>
      <c r="JX3" s="33" t="s">
        <v>15</v>
      </c>
      <c r="JY3" s="33" t="s">
        <v>7</v>
      </c>
      <c r="JZ3" s="33" t="s">
        <v>32</v>
      </c>
      <c r="KA3" s="33" t="s">
        <v>33</v>
      </c>
      <c r="KB3" s="33" t="s">
        <v>15</v>
      </c>
      <c r="KC3" s="33" t="s">
        <v>7</v>
      </c>
      <c r="KD3" s="33" t="s">
        <v>32</v>
      </c>
      <c r="KE3" s="33" t="s">
        <v>33</v>
      </c>
      <c r="KF3" s="34" t="s">
        <v>15</v>
      </c>
      <c r="KG3" s="34" t="s">
        <v>7</v>
      </c>
      <c r="KH3" s="34" t="s">
        <v>32</v>
      </c>
      <c r="KI3" s="34" t="s">
        <v>33</v>
      </c>
      <c r="KJ3" s="11"/>
      <c r="KK3" s="11"/>
      <c r="KL3" s="10"/>
      <c r="KM3" s="10"/>
      <c r="KN3" s="10"/>
      <c r="KO3" s="11"/>
      <c r="KP3" s="11"/>
      <c r="KQ3" s="32" t="s">
        <v>15</v>
      </c>
      <c r="KR3" s="32" t="s">
        <v>7</v>
      </c>
      <c r="KS3" s="32" t="s">
        <v>32</v>
      </c>
      <c r="KT3" s="32" t="s">
        <v>33</v>
      </c>
      <c r="KU3" s="32" t="s">
        <v>15</v>
      </c>
      <c r="KV3" s="32" t="s">
        <v>7</v>
      </c>
      <c r="KW3" s="32" t="s">
        <v>32</v>
      </c>
      <c r="KX3" s="32" t="s">
        <v>33</v>
      </c>
      <c r="KY3" s="32" t="s">
        <v>15</v>
      </c>
      <c r="KZ3" s="32" t="s">
        <v>7</v>
      </c>
      <c r="LA3" s="32" t="s">
        <v>32</v>
      </c>
      <c r="LB3" s="32" t="s">
        <v>33</v>
      </c>
      <c r="LC3" s="35" t="s">
        <v>15</v>
      </c>
      <c r="LD3" s="35" t="s">
        <v>7</v>
      </c>
      <c r="LE3" s="35" t="s">
        <v>32</v>
      </c>
      <c r="LF3" s="35" t="s">
        <v>33</v>
      </c>
      <c r="LG3" s="14"/>
      <c r="LH3" s="14"/>
      <c r="LI3" s="13"/>
      <c r="LJ3" s="13"/>
      <c r="LK3" s="13"/>
      <c r="LL3" s="14"/>
      <c r="LM3" s="14"/>
      <c r="LN3" s="33" t="s">
        <v>15</v>
      </c>
      <c r="LO3" s="33" t="s">
        <v>7</v>
      </c>
      <c r="LP3" s="33" t="s">
        <v>32</v>
      </c>
      <c r="LQ3" s="33" t="s">
        <v>33</v>
      </c>
      <c r="LR3" s="33" t="s">
        <v>15</v>
      </c>
      <c r="LS3" s="33" t="s">
        <v>7</v>
      </c>
      <c r="LT3" s="33" t="s">
        <v>32</v>
      </c>
      <c r="LU3" s="33" t="s">
        <v>33</v>
      </c>
      <c r="LV3" s="33" t="s">
        <v>15</v>
      </c>
      <c r="LW3" s="33" t="s">
        <v>7</v>
      </c>
      <c r="LX3" s="33" t="s">
        <v>32</v>
      </c>
      <c r="LY3" s="33" t="s">
        <v>33</v>
      </c>
      <c r="LZ3" s="34" t="s">
        <v>15</v>
      </c>
      <c r="MA3" s="34" t="s">
        <v>7</v>
      </c>
      <c r="MB3" s="34" t="s">
        <v>32</v>
      </c>
      <c r="MC3" s="34" t="s">
        <v>33</v>
      </c>
      <c r="MD3" s="11"/>
      <c r="ME3" s="11"/>
      <c r="MF3" s="10"/>
      <c r="MG3" s="10"/>
      <c r="MH3" s="10"/>
      <c r="MI3" s="11"/>
      <c r="MJ3" s="11"/>
      <c r="MK3" s="32" t="s">
        <v>15</v>
      </c>
      <c r="ML3" s="32" t="s">
        <v>7</v>
      </c>
      <c r="MM3" s="32" t="s">
        <v>32</v>
      </c>
      <c r="MN3" s="32" t="s">
        <v>33</v>
      </c>
      <c r="MO3" s="32" t="s">
        <v>15</v>
      </c>
      <c r="MP3" s="32" t="s">
        <v>7</v>
      </c>
      <c r="MQ3" s="32" t="s">
        <v>32</v>
      </c>
      <c r="MR3" s="32" t="s">
        <v>33</v>
      </c>
      <c r="MS3" s="32" t="s">
        <v>15</v>
      </c>
      <c r="MT3" s="32" t="s">
        <v>7</v>
      </c>
      <c r="MU3" s="32" t="s">
        <v>32</v>
      </c>
      <c r="MV3" s="32" t="s">
        <v>33</v>
      </c>
      <c r="MW3" s="35" t="s">
        <v>15</v>
      </c>
      <c r="MX3" s="35" t="s">
        <v>7</v>
      </c>
      <c r="MY3" s="35" t="s">
        <v>32</v>
      </c>
      <c r="MZ3" s="35" t="s">
        <v>33</v>
      </c>
      <c r="NA3" s="14"/>
      <c r="NB3" s="14"/>
      <c r="NC3" s="13"/>
      <c r="ND3" s="13"/>
      <c r="NE3" s="13"/>
      <c r="NF3" s="14"/>
      <c r="NG3" s="14"/>
    </row>
    <row r="4" spans="1:371" x14ac:dyDescent="0.2">
      <c r="A4" s="6" t="str">
        <f>IF(AND(F4="P",H4="P"),SUMPRODUCT((F$4:F$9="P")*(H$4:H$9="P")*(E$4:E$9&gt;E4))+1,IF(H4="P",SUMPRODUCT((F$4:F$9="")*(H$4:H$9="P")*(E$4:E$9&gt;E4))+1+SUMPRODUCT((F$4:F$9="P")*(H$4:H$9="P")),""))</f>
        <v/>
      </c>
      <c r="B4" s="9" t="s">
        <v>111</v>
      </c>
      <c r="C4" s="5" t="s">
        <v>4</v>
      </c>
      <c r="D4" s="31">
        <v>2001</v>
      </c>
      <c r="E4" s="16">
        <f>SUM(J4:R4)</f>
        <v>189.7</v>
      </c>
      <c r="F4" s="4" t="str">
        <f>IF(OR(AND($AL4&gt;=$AM$12,NOT($AL4=""),$AK4=""),AND($BJ4&gt;=$BK$12,NOT($BJ4=""),$BI4=""),AND($CH4&gt;=$CI$12,NOT($CH4=""),$CG4="")),"P","")</f>
        <v>P</v>
      </c>
      <c r="G4" s="4" t="str">
        <f>IF(OR(AND($AL4&gt;=$AM$13,NOT($AL4=""),$AK4=""),AND($BJ4&gt;=$BK$13,NOT($BJ4=""),$BI4=""),AND($CH4&gt;=$CI$13,NOT($CH4=""),$CG4="")),"P","")</f>
        <v/>
      </c>
      <c r="H4" s="4" t="str">
        <f>IF(OR(AND($AP4&gt;=$AM$14,NOT($AP4=""),$AK4=""),AND($BN4&gt;=$BK$14,NOT($BN4=""),$BI4=""),AND($CL4&gt;=$CI$14,NOT($CL4=""),$CG4="")),"P","")</f>
        <v/>
      </c>
      <c r="I4" t="str">
        <f>IF(AND(G4="P",OR(AND($AP4&gt;=$AM$17,NOT($AP4=""),$AK4=""),AND($BN4&gt;=$BK$17,NOT($BN4=""),$BI4=""),AND($CL4&gt;=$CI$17,NOT($CL4=""),$CG4=""))),"Merit",IF(AND(G4="P",OR(AND($AP4&gt;=$AM$16,NOT($AP4=""),$AK4=""),AND($BN4&gt;=$BK$16,NOT($BN4=""),$BI4=""),AND($CL4&gt;=$CI$16,NOT($CL4=""),$CG4=""))),"Funding",IF(AND(G4="P",OR(AND($AP4&gt;=$AM$15,NOT($AP4=""),$AK4=""),AND($BN4&gt;=$BK$15,NOT($BN4=""),$BI4=""),AND($CL4&gt;=$CI$15,NOT($CL4=""),$CG4=""))),"Worlds Team",IF(AND(F4="P",OR(AND($AP4&gt;=$AM$14,NOT($AP4=""),$AK4=""),AND($BN4&gt;=$BK$14,NOT($BN4=""),$BI4=""),AND($CL4&gt;=$CI$14,NOT($CL4=""),$CG4=""))),"National Team",""))))</f>
        <v/>
      </c>
      <c r="J4" s="15">
        <f>MAX(AP4,BN4,CL4)</f>
        <v>61.2</v>
      </c>
      <c r="K4" s="15" t="str">
        <f>IF(J4=CL4,$BQ$1,IF(J4=BN4,$AS$1,IF(J4=AP4,$U$1,"")))</f>
        <v>2018 Canada Cup</v>
      </c>
      <c r="L4" s="15">
        <f>IF($J4=$AP4,MAX(BL4,CJ4),IF($J4=$BN4,MAX(AN4,CJ4),MAX(AN4,BL4)))</f>
        <v>29.5</v>
      </c>
      <c r="M4" s="15" t="str">
        <f>IF(AND(L4=CJ4,$K4&lt;&gt;$BQ$1),$BQ$1,IF(AND(L4=BL4,$K4&lt;&gt;$AS$1),$AS$1,IF(AND(L4=AN4,$K4&lt;&gt;$U$1),$U$1,"")))</f>
        <v>2018 Nationals</v>
      </c>
      <c r="N4" s="15">
        <f>IF($J4=$AP4,MAX(BM4,CK4),IF($J4=$BN4,MAX(AO4,CK4),MAX(AO4,BM4)))</f>
        <v>29.4</v>
      </c>
      <c r="O4" s="15" t="str">
        <f>IF(AND(N4=CK4,$K4&lt;&gt;$BQ$1),$BQ$1,IF(AND(N4=BM4,$K4&lt;&gt;$AS$1),$AS$1,IF(AND(N4=AO4,$K4&lt;&gt;$U$1),$U$1,"")))</f>
        <v>2018 Nationals</v>
      </c>
      <c r="P4" s="15">
        <f>MAX(AQ4,BO4,CM4)</f>
        <v>65.8</v>
      </c>
      <c r="Q4" s="15" t="str">
        <f>IF(P4=CM4,$BQ$1,IF(P4=BO4,$AS$1,IF(P4=AQ4,$U$1,"")))</f>
        <v>2018 Nationals</v>
      </c>
      <c r="R4" s="15">
        <f>IF(MAX(CO4:CQ4)&gt;0,MAX(CO4:CQ4),"")</f>
        <v>3.7999999999999972</v>
      </c>
      <c r="S4" s="29" t="str">
        <f>IF(R4="","",IF(R4=CO4,"(Pass 1)",IF(R4=CP4,"(Pass 2)",IF(R4=CQ4,"(Final)"))))</f>
        <v>(Pass 1)</v>
      </c>
      <c r="T4" s="15" t="str">
        <f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>2018 World Age Groups (Nov 18)</v>
      </c>
      <c r="U4" s="48">
        <v>25.4</v>
      </c>
      <c r="V4" s="48">
        <v>3.9</v>
      </c>
      <c r="W4" s="48">
        <v>0</v>
      </c>
      <c r="X4" s="48">
        <v>0</v>
      </c>
      <c r="Y4" s="48">
        <v>24.8</v>
      </c>
      <c r="Z4" s="48">
        <v>4.5</v>
      </c>
      <c r="AA4" s="48">
        <v>0</v>
      </c>
      <c r="AB4" s="48">
        <v>0</v>
      </c>
      <c r="AC4" s="48">
        <v>25.9</v>
      </c>
      <c r="AD4" s="48">
        <v>3.9</v>
      </c>
      <c r="AE4" s="48">
        <v>0</v>
      </c>
      <c r="AF4" s="48">
        <v>0</v>
      </c>
      <c r="AG4" s="48">
        <v>24.8</v>
      </c>
      <c r="AH4" s="48">
        <v>4.5</v>
      </c>
      <c r="AI4" s="48">
        <v>0</v>
      </c>
      <c r="AJ4" s="48">
        <v>0</v>
      </c>
      <c r="AK4" s="108"/>
      <c r="AL4" s="12">
        <f>IF(SUM(V4,Z4)&gt;0,SUM(V4,Z4),"")</f>
        <v>8.4</v>
      </c>
      <c r="AM4" s="12">
        <f>IF(SUM(AD4,AH4)&gt;0,SUM(AD4,AH4),"")</f>
        <v>8.4</v>
      </c>
      <c r="AN4" s="12">
        <f>IF(SUM(U4:V4,X4)-W4&gt;0,SUM(U4:V4,X4)-W4,"")</f>
        <v>29.299999999999997</v>
      </c>
      <c r="AO4" s="12">
        <f>IF(SUM(Y4:Z4,AB4)-AA4&gt;0,SUM(Y4:Z4,AB4)-AA4,"")</f>
        <v>29.3</v>
      </c>
      <c r="AP4" s="12">
        <f>IF(SUM(AN4:AO4)&gt;0,SUM(AN4:AO4),"")</f>
        <v>58.599999999999994</v>
      </c>
      <c r="AQ4" s="12">
        <f>IF(SUM(AC4:AD4,AF4:AH4,AJ4)-SUM(AE4,AI4)&gt;0,SUM(AC4:AD4,AF4:AH4,AJ4)-SUM(AE4,AI4),"")</f>
        <v>59.099999999999994</v>
      </c>
      <c r="AR4" s="12">
        <f>IF(SUM(AP4,AQ4)&gt;0,SUM(AP4,AQ4),"")</f>
        <v>117.69999999999999</v>
      </c>
      <c r="AS4" s="80">
        <v>25.5</v>
      </c>
      <c r="AT4" s="80">
        <v>5.3</v>
      </c>
      <c r="AU4" s="80">
        <v>0</v>
      </c>
      <c r="AV4" s="80">
        <v>0</v>
      </c>
      <c r="AW4" s="80">
        <v>25.4</v>
      </c>
      <c r="AX4" s="80">
        <v>5</v>
      </c>
      <c r="AY4" s="80">
        <v>0</v>
      </c>
      <c r="AZ4" s="80">
        <v>0</v>
      </c>
      <c r="BA4" s="80">
        <v>24</v>
      </c>
      <c r="BB4" s="80">
        <v>5.0999999999999996</v>
      </c>
      <c r="BC4" s="80">
        <v>0.6</v>
      </c>
      <c r="BD4" s="80">
        <v>0</v>
      </c>
      <c r="BE4" s="80">
        <v>23.9</v>
      </c>
      <c r="BF4" s="80">
        <v>2.6</v>
      </c>
      <c r="BG4" s="80">
        <v>0</v>
      </c>
      <c r="BH4" s="80">
        <v>0</v>
      </c>
      <c r="BI4" s="109"/>
      <c r="BJ4" s="15">
        <f>IF(SUM(AT4,AX4)&gt;0,SUM(AT4,AX4),"")</f>
        <v>10.3</v>
      </c>
      <c r="BK4" s="15">
        <f>IF(SUM(BB4,BF4)&gt;0,SUM(BB4,BF4),"")</f>
        <v>7.6999999999999993</v>
      </c>
      <c r="BL4" s="15">
        <f>IF(SUM(AS4:AT4,AV4)-AU4&gt;0,SUM(AS4:AT4,AV4)-AU4,"")</f>
        <v>30.8</v>
      </c>
      <c r="BM4" s="15">
        <f>IF(SUM(AW4:AX4,AZ4)-AY4&gt;0,SUM(AW4:AX4,AZ4)-AY4,"")</f>
        <v>30.4</v>
      </c>
      <c r="BN4" s="15">
        <f>IF(SUM(BL4:BM4)&gt;0,SUM(BL4:BM4),"")</f>
        <v>61.2</v>
      </c>
      <c r="BO4" s="15">
        <f>IF(SUM(BA4:BB4,BD4:BF4,BH4)-SUM(BC4,BG4)&gt;0,SUM(BA4:BB4,BD4:BF4,BH4)-SUM(BC4,BG4),"")</f>
        <v>55</v>
      </c>
      <c r="BP4" s="15">
        <f>IF(SUM(BN4,BO4)&gt;0,SUM(BN4,BO4),"")</f>
        <v>116.2</v>
      </c>
      <c r="BQ4" s="45">
        <v>24</v>
      </c>
      <c r="BR4" s="45">
        <v>5.5</v>
      </c>
      <c r="BS4" s="45">
        <v>0</v>
      </c>
      <c r="BT4" s="45">
        <v>0</v>
      </c>
      <c r="BU4" s="45">
        <v>23.9</v>
      </c>
      <c r="BV4" s="45">
        <v>5.8</v>
      </c>
      <c r="BW4" s="45">
        <v>0.3</v>
      </c>
      <c r="BX4" s="45">
        <v>0</v>
      </c>
      <c r="BY4" s="45">
        <v>26.8</v>
      </c>
      <c r="BZ4" s="45">
        <v>5.7</v>
      </c>
      <c r="CA4" s="45">
        <v>0</v>
      </c>
      <c r="CB4" s="45">
        <v>0</v>
      </c>
      <c r="CC4" s="45">
        <v>27.5</v>
      </c>
      <c r="CD4" s="45">
        <v>5.8</v>
      </c>
      <c r="CE4" s="45">
        <v>0</v>
      </c>
      <c r="CF4" s="45">
        <v>0</v>
      </c>
      <c r="CG4" s="108"/>
      <c r="CH4" s="12">
        <f>IF(SUM(BR4,BV4)&gt;0,SUM(BR4,BV4),"")</f>
        <v>11.3</v>
      </c>
      <c r="CI4" s="12">
        <f>IF(SUM(BZ4,CD4)&gt;0,SUM(BZ4,CD4),"")</f>
        <v>11.5</v>
      </c>
      <c r="CJ4" s="12">
        <f>IF(SUM(BQ4:BR4,BT4)-BS4&gt;0,SUM(BQ4:BR4,BT4)-BS4,"")</f>
        <v>29.5</v>
      </c>
      <c r="CK4" s="12">
        <f>IF(SUM(BU4:BV4,BX4)-BW4&gt;0,SUM(BU4:BV4,BX4)-BW4,"")</f>
        <v>29.4</v>
      </c>
      <c r="CL4" s="12">
        <f>IF(SUM(CJ4:CK4)&gt;0,SUM(CJ4:CK4),"")</f>
        <v>58.9</v>
      </c>
      <c r="CM4" s="12">
        <f>IF(SUM(BY4:BZ4,CB4:CD4,CF4)-SUM(CA4,CE4)&gt;0,SUM(BY4:BZ4,CB4:CD4,CF4)-SUM(CA4,CE4),"")</f>
        <v>65.8</v>
      </c>
      <c r="CN4" s="12">
        <f>IF(SUM(CL4,CM4)&gt;0,SUM(CL4,CM4),"")</f>
        <v>124.69999999999999</v>
      </c>
      <c r="CO4" s="28">
        <f>IF(MAX(DJ4,EG4,FD4,GA4,GX4,HU4,IR4,JO4,KL4,LI4,MF4,NC4)-L4&gt;0.001,MAX(DJ4,EG4,FD4,GA4,GX4,HU4,IR4,JO4,KL4,LI4,MF4,NC4)-L4,"")</f>
        <v>3.7999999999999972</v>
      </c>
      <c r="CP4" s="28" t="str">
        <f>IF(MAX(DK4,EH4,FE4,GB4,GY4,HV4,IS4,JP4,KM4,LJ4,MG4,ND4)-N4&gt;0.001,MAX(DK4,EH4,FE4,GB4,GY4,HV4,IS4,JP4,KM4,LJ4,MG4,ND4)-N4,"")</f>
        <v/>
      </c>
      <c r="CQ4" s="28" t="str">
        <f>IF(MAX(DM4,EJ4,FG4,GD4,HA4,HX4,IU4,JR4,KO4,LL4,MI4,NF4)-P4&gt;0.001,MAX(DM4,EJ4,FG4,GD4,HA4,HX4,IU4,JR4,KO4,LL4,MI4,NF4)-P4,"")</f>
        <v/>
      </c>
      <c r="CR4" s="45">
        <v>26.8</v>
      </c>
      <c r="CS4" s="45">
        <v>6.5</v>
      </c>
      <c r="CT4" s="45">
        <v>0</v>
      </c>
      <c r="CU4" s="45">
        <v>0</v>
      </c>
      <c r="CV4" s="45">
        <v>23</v>
      </c>
      <c r="CW4" s="45">
        <v>3.4</v>
      </c>
      <c r="CX4" s="45">
        <v>0</v>
      </c>
      <c r="CY4" s="45">
        <v>0</v>
      </c>
      <c r="CZ4" s="45"/>
      <c r="DA4" s="45"/>
      <c r="DB4" s="45"/>
      <c r="DC4" s="45"/>
      <c r="DD4" s="45"/>
      <c r="DE4" s="45"/>
      <c r="DF4" s="45"/>
      <c r="DG4" s="45"/>
      <c r="DH4" s="12">
        <f>IF(SUM(CS4,CW4)&gt;0,SUM(CS4,CW4),"")</f>
        <v>9.9</v>
      </c>
      <c r="DI4" s="12" t="str">
        <f>IF(SUM(DA4,DE4)&gt;0,SUM(DA4,DE4),"")</f>
        <v/>
      </c>
      <c r="DJ4" s="12">
        <f>IF(SUM(CR4:CS4,CU4)-CT4&gt;0,SUM(CR4:CS4,CU4)-CT4,"")</f>
        <v>33.299999999999997</v>
      </c>
      <c r="DK4" s="12">
        <f>IF(SUM(CV4:CW4,CY4)-CX4&gt;0,SUM(CV4:CW4,CY4)-CX4,"")</f>
        <v>26.4</v>
      </c>
      <c r="DL4" s="12">
        <f>IF(SUM(DJ4:DK4)&gt;0,SUM(DJ4:DK4),"")</f>
        <v>59.699999999999996</v>
      </c>
      <c r="DM4" s="12" t="str">
        <f>IF(SUM(CZ4:DA4,DC4:DE4,DG4)-SUM(DB4,DF4)&gt;0,SUM(CZ4:DA4,DC4:DE4,DG4)-SUM(DB4,DF4),"")</f>
        <v/>
      </c>
      <c r="DN4" s="12">
        <f>IF(SUM(DL4,DM4)&gt;0,SUM(DL4,DM4),"")</f>
        <v>59.699999999999996</v>
      </c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15" t="str">
        <f>IF(SUM(DP4,DT4)&gt;0,SUM(DP4,DT4),"")</f>
        <v/>
      </c>
      <c r="EF4" s="15" t="str">
        <f>IF(SUM(DX4,EB4)&gt;0,SUM(DX4,EB4),"")</f>
        <v/>
      </c>
      <c r="EG4" s="15" t="str">
        <f>IF(SUM(DO4:DP4,DR4)-DQ4&gt;0,SUM(DO4:DP4,DR4)-DQ4,"")</f>
        <v/>
      </c>
      <c r="EH4" s="15" t="str">
        <f>IF(SUM(DS4:DT4,DV4)-DU4&gt;0,SUM(DS4:DT4,DV4)-DU4,"")</f>
        <v/>
      </c>
      <c r="EI4" s="15" t="str">
        <f>IF(SUM(EG4:EH4)&gt;0,SUM(EG4:EH4),"")</f>
        <v/>
      </c>
      <c r="EJ4" s="15" t="str">
        <f>IF(SUM(DW4:DX4,DZ4:EB4,ED4)-SUM(DY4,EC4)&gt;0,SUM(DW4:DX4,DZ4:EB4,ED4)-SUM(DY4,EC4),"")</f>
        <v/>
      </c>
      <c r="EK4" s="15" t="str">
        <f>IF(SUM(EI4,EJ4)&gt;0,SUM(EI4,EJ4),"")</f>
        <v/>
      </c>
      <c r="EL4" s="45"/>
      <c r="EM4" s="45"/>
      <c r="EN4" s="45"/>
      <c r="EO4" s="45"/>
      <c r="EP4" s="45"/>
      <c r="EQ4" s="45"/>
      <c r="ER4" s="45"/>
      <c r="ES4" s="45"/>
      <c r="ET4" s="45"/>
      <c r="EU4" s="45"/>
      <c r="EV4" s="45"/>
      <c r="EW4" s="45"/>
      <c r="EX4" s="45"/>
      <c r="EY4" s="45"/>
      <c r="EZ4" s="45"/>
      <c r="FA4" s="45"/>
      <c r="FB4" s="12" t="str">
        <f>IF(SUM(EM4,EQ4)&gt;0,SUM(EM4,EQ4),"")</f>
        <v/>
      </c>
      <c r="FC4" s="12" t="str">
        <f>IF(SUM(EU4,EY4)&gt;0,SUM(EU4,EY4),"")</f>
        <v/>
      </c>
      <c r="FD4" s="12" t="str">
        <f>IF(SUM(EL4:EM4,EO4)-EN4&gt;0,SUM(EL4:EM4,EO4)-EN4,"")</f>
        <v/>
      </c>
      <c r="FE4" s="12" t="str">
        <f>IF(SUM(EP4:EQ4,ES4)-ER4&gt;0,SUM(EP4:EQ4,ES4)-ER4,"")</f>
        <v/>
      </c>
      <c r="FF4" s="12" t="str">
        <f>IF(SUM(FD4:FE4)&gt;0,SUM(FD4:FE4),"")</f>
        <v/>
      </c>
      <c r="FG4" s="12" t="str">
        <f>IF(SUM(ET4:EU4,EW4:EY4,FA4)-SUM(EV4,EZ4)&gt;0,SUM(ET4:EU4,EW4:EY4,FA4)-SUM(EV4,EZ4),"")</f>
        <v/>
      </c>
      <c r="FH4" s="12" t="str">
        <f>IF(SUM(FF4,FG4)&gt;0,SUM(FF4,FG4),"")</f>
        <v/>
      </c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15" t="str">
        <f>IF(SUM(FJ4,FN4)&gt;0,SUM(FJ4,FN4),"")</f>
        <v/>
      </c>
      <c r="FZ4" s="15" t="str">
        <f>IF(SUM(FR4,FV4)&gt;0,SUM(FR4,FV4),"")</f>
        <v/>
      </c>
      <c r="GA4" s="15" t="str">
        <f>IF(SUM(FI4:FJ4,FL4)-FK4&gt;0,SUM(FI4:FJ4,FL4)-FK4,"")</f>
        <v/>
      </c>
      <c r="GB4" s="15" t="str">
        <f>IF(SUM(FM4:FN4,FP4)-FO4&gt;0,SUM(FM4:FN4,FP4)-FO4,"")</f>
        <v/>
      </c>
      <c r="GC4" s="15" t="str">
        <f>IF(SUM(GA4:GB4)&gt;0,SUM(GA4:GB4),"")</f>
        <v/>
      </c>
      <c r="GD4" s="15" t="str">
        <f>IF(SUM(FQ4:FR4,FT4:FV4,FX4)-SUM(FS4,FW4)&gt;0,SUM(FQ4:FR4,FT4:FV4,FX4)-SUM(FS4,FW4),"")</f>
        <v/>
      </c>
      <c r="GE4" s="15" t="str">
        <f>IF(SUM(GC4,GD4)&gt;0,SUM(GC4,GD4),"")</f>
        <v/>
      </c>
      <c r="GF4" s="45"/>
      <c r="GG4" s="45"/>
      <c r="GH4" s="45"/>
      <c r="GI4" s="45"/>
      <c r="GJ4" s="45"/>
      <c r="GK4" s="45"/>
      <c r="GL4" s="45"/>
      <c r="GM4" s="45"/>
      <c r="GN4" s="45"/>
      <c r="GO4" s="45"/>
      <c r="GP4" s="45"/>
      <c r="GQ4" s="45"/>
      <c r="GR4" s="45"/>
      <c r="GS4" s="45"/>
      <c r="GT4" s="45"/>
      <c r="GU4" s="45"/>
      <c r="GV4" s="12" t="str">
        <f>IF(SUM(GG4,GK4)&gt;0,SUM(GG4,GK4),"")</f>
        <v/>
      </c>
      <c r="GW4" s="12" t="str">
        <f>IF(SUM(GO4,GS4)&gt;0,SUM(GO4,GS4),"")</f>
        <v/>
      </c>
      <c r="GX4" s="12" t="str">
        <f>IF(SUM(GF4:GG4,GI4)-GH4&gt;0,SUM(GF4:GG4,GI4)-GH4,"")</f>
        <v/>
      </c>
      <c r="GY4" s="12" t="str">
        <f>IF(SUM(GJ4:GK4,GM4)-GL4&gt;0,SUM(GJ4:GK4,GM4)-GL4,"")</f>
        <v/>
      </c>
      <c r="GZ4" s="12" t="str">
        <f>IF(SUM(GX4:GY4)&gt;0,SUM(GX4:GY4),"")</f>
        <v/>
      </c>
      <c r="HA4" s="12" t="str">
        <f>IF(SUM(GN4:GO4,GQ4:GS4,GU4)-SUM(GP4,GT4)&gt;0,SUM(GN4:GO4,GQ4:GS4,GU4)-SUM(GP4,GT4),"")</f>
        <v/>
      </c>
      <c r="HB4" s="12" t="str">
        <f>IF(SUM(GZ4,HA4)&gt;0,SUM(GZ4,HA4),"")</f>
        <v/>
      </c>
      <c r="HC4" s="46"/>
      <c r="HD4" s="46"/>
      <c r="HE4" s="46"/>
      <c r="HF4" s="46"/>
      <c r="HG4" s="46"/>
      <c r="HH4" s="46"/>
      <c r="HI4" s="46"/>
      <c r="HJ4" s="46"/>
      <c r="HK4" s="46"/>
      <c r="HL4" s="46"/>
      <c r="HM4" s="46"/>
      <c r="HN4" s="46"/>
      <c r="HO4" s="46"/>
      <c r="HP4" s="46"/>
      <c r="HQ4" s="46"/>
      <c r="HR4" s="46"/>
      <c r="HS4" s="15" t="str">
        <f>IF(SUM(HD4,HH4)&gt;0,SUM(HD4,HH4),"")</f>
        <v/>
      </c>
      <c r="HT4" s="15" t="str">
        <f>IF(SUM(HL4,HP4)&gt;0,SUM(HL4,HP4),"")</f>
        <v/>
      </c>
      <c r="HU4" s="15" t="str">
        <f>IF(SUM(HC4:HD4,HF4)-HE4&gt;0,SUM(HC4:HD4,HF4)-HE4,"")</f>
        <v/>
      </c>
      <c r="HV4" s="15" t="str">
        <f>IF(SUM(HG4:HH4,HJ4)-HI4&gt;0,SUM(HG4:HH4,HJ4)-HI4,"")</f>
        <v/>
      </c>
      <c r="HW4" s="15" t="str">
        <f>IF(SUM(HU4:HV4)&gt;0,SUM(HU4:HV4),"")</f>
        <v/>
      </c>
      <c r="HX4" s="15" t="str">
        <f>IF(SUM(HK4:HL4,HN4:HP4,HR4)-SUM(HM4,HQ4)&gt;0,SUM(HK4:HL4,HN4:HP4,HR4)-SUM(HM4,HQ4),"")</f>
        <v/>
      </c>
      <c r="HY4" s="15" t="str">
        <f>IF(SUM(HW4,HX4)&gt;0,SUM(HW4,HX4),"")</f>
        <v/>
      </c>
      <c r="HZ4" s="45"/>
      <c r="IA4" s="45"/>
      <c r="IB4" s="45"/>
      <c r="IC4" s="45"/>
      <c r="ID4" s="45"/>
      <c r="IE4" s="45"/>
      <c r="IF4" s="45"/>
      <c r="IG4" s="45"/>
      <c r="IH4" s="45"/>
      <c r="II4" s="45"/>
      <c r="IJ4" s="45"/>
      <c r="IK4" s="45"/>
      <c r="IL4" s="45"/>
      <c r="IM4" s="45"/>
      <c r="IN4" s="45"/>
      <c r="IO4" s="45"/>
      <c r="IP4" s="12" t="str">
        <f>IF(SUM(IA4,IE4)&gt;0,SUM(IA4,IE4),"")</f>
        <v/>
      </c>
      <c r="IQ4" s="12" t="str">
        <f>IF(SUM(II4,IM4)&gt;0,SUM(II4,IM4),"")</f>
        <v/>
      </c>
      <c r="IR4" s="12" t="str">
        <f>IF(SUM(HZ4:IA4,IC4)-IB4&gt;0,SUM(HZ4:IA4,IC4)-IB4,"")</f>
        <v/>
      </c>
      <c r="IS4" s="12" t="str">
        <f>IF(SUM(ID4:IE4,IG4)-IF4&gt;0,SUM(ID4:IE4,IG4)-IF4,"")</f>
        <v/>
      </c>
      <c r="IT4" s="12" t="str">
        <f>IF(SUM(IR4:IS4)&gt;0,SUM(IR4:IS4),"")</f>
        <v/>
      </c>
      <c r="IU4" s="12" t="str">
        <f>IF(SUM(IH4:II4,IK4:IM4,IO4)-SUM(IJ4,IN4)&gt;0,SUM(IH4:II4,IK4:IM4,IO4)-SUM(IJ4,IN4),"")</f>
        <v/>
      </c>
      <c r="IV4" s="12" t="str">
        <f>IF(SUM(IT4,IU4)&gt;0,SUM(IT4,IU4),"")</f>
        <v/>
      </c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15" t="str">
        <f>IF(SUM(IX4,JB4)&gt;0,SUM(IX4,JB4),"")</f>
        <v/>
      </c>
      <c r="JN4" s="15" t="str">
        <f>IF(SUM(JF4,JJ4)&gt;0,SUM(JF4,JJ4),"")</f>
        <v/>
      </c>
      <c r="JO4" s="15" t="str">
        <f>IF(SUM(IW4:IX4,IZ4)-IY4&gt;0,SUM(IW4:IX4,IZ4)-IY4,"")</f>
        <v/>
      </c>
      <c r="JP4" s="15" t="str">
        <f>IF(SUM(JA4:JB4,JD4)-JC4&gt;0,SUM(JA4:JB4,JD4)-JC4,"")</f>
        <v/>
      </c>
      <c r="JQ4" s="15" t="str">
        <f>IF(SUM(JO4:JP4)&gt;0,SUM(JO4:JP4),"")</f>
        <v/>
      </c>
      <c r="JR4" s="15" t="str">
        <f>IF(SUM(JE4:JF4,JH4:JJ4,JL4)-SUM(JG4,JK4)&gt;0,SUM(JE4:JF4,JH4:JJ4,JL4)-SUM(JG4,JK4),"")</f>
        <v/>
      </c>
      <c r="JS4" s="15" t="str">
        <f>IF(SUM(JQ4,JR4)&gt;0,SUM(JQ4,JR4),"")</f>
        <v/>
      </c>
      <c r="JT4" s="45"/>
      <c r="JU4" s="45"/>
      <c r="JV4" s="45"/>
      <c r="JW4" s="45"/>
      <c r="JX4" s="45"/>
      <c r="JY4" s="45"/>
      <c r="JZ4" s="45"/>
      <c r="KA4" s="45"/>
      <c r="KB4" s="45"/>
      <c r="KC4" s="45"/>
      <c r="KD4" s="45"/>
      <c r="KE4" s="45"/>
      <c r="KF4" s="45"/>
      <c r="KG4" s="45"/>
      <c r="KH4" s="45"/>
      <c r="KI4" s="45"/>
      <c r="KJ4" s="12" t="str">
        <f>IF(SUM(JU4,JY4)&gt;0,SUM(JU4,JY4),"")</f>
        <v/>
      </c>
      <c r="KK4" s="12" t="str">
        <f>IF(SUM(KC4,KG4)&gt;0,SUM(KC4,KG4),"")</f>
        <v/>
      </c>
      <c r="KL4" s="12" t="str">
        <f>IF(SUM(JT4:JU4,JW4)-JV4&gt;0,SUM(JT4:JU4,JW4)-JV4,"")</f>
        <v/>
      </c>
      <c r="KM4" s="12" t="str">
        <f>IF(SUM(JX4:JY4,KA4)-JZ4&gt;0,SUM(JX4:JY4,KA4)-JZ4,"")</f>
        <v/>
      </c>
      <c r="KN4" s="12" t="str">
        <f>IF(SUM(KL4:KM4)&gt;0,SUM(KL4:KM4),"")</f>
        <v/>
      </c>
      <c r="KO4" s="12" t="str">
        <f>IF(SUM(KB4:KC4,KE4:KG4,KI4)-SUM(KD4,KH4)&gt;0,SUM(KB4:KC4,KE4:KG4,KI4)-SUM(KD4,KH4),"")</f>
        <v/>
      </c>
      <c r="KP4" s="12" t="str">
        <f>IF(SUM(KN4,KO4)&gt;0,SUM(KN4,KO4),"")</f>
        <v/>
      </c>
      <c r="KQ4" s="46"/>
      <c r="KR4" s="46"/>
      <c r="KS4" s="46"/>
      <c r="KT4" s="46"/>
      <c r="KU4" s="46"/>
      <c r="KV4" s="46"/>
      <c r="KW4" s="46"/>
      <c r="KX4" s="46"/>
      <c r="KY4" s="46"/>
      <c r="KZ4" s="46"/>
      <c r="LA4" s="46"/>
      <c r="LB4" s="46"/>
      <c r="LC4" s="46"/>
      <c r="LD4" s="46"/>
      <c r="LE4" s="46"/>
      <c r="LF4" s="46"/>
      <c r="LG4" s="15" t="str">
        <f>IF(SUM(KR4,KV4)&gt;0,SUM(KR4,KV4),"")</f>
        <v/>
      </c>
      <c r="LH4" s="15" t="str">
        <f>IF(SUM(KZ4,LD4)&gt;0,SUM(KZ4,LD4),"")</f>
        <v/>
      </c>
      <c r="LI4" s="15" t="str">
        <f>IF(SUM(KQ4:KR4,KT4)-KS4&gt;0,SUM(KQ4:KR4,KT4)-KS4,"")</f>
        <v/>
      </c>
      <c r="LJ4" s="15" t="str">
        <f>IF(SUM(KU4:KV4,KX4)-KW4&gt;0,SUM(KU4:KV4,KX4)-KW4,"")</f>
        <v/>
      </c>
      <c r="LK4" s="15" t="str">
        <f>IF(SUM(LI4:LJ4)&gt;0,SUM(LI4:LJ4),"")</f>
        <v/>
      </c>
      <c r="LL4" s="15" t="str">
        <f>IF(SUM(KY4:KZ4,LB4:LD4,LF4)-SUM(LA4,LE4)&gt;0,SUM(KY4:KZ4,LB4:LD4,LF4)-SUM(LA4,LE4),"")</f>
        <v/>
      </c>
      <c r="LM4" s="15" t="str">
        <f>IF(SUM(LK4,LL4)&gt;0,SUM(LK4,LL4),"")</f>
        <v/>
      </c>
      <c r="LN4" s="45"/>
      <c r="LO4" s="45"/>
      <c r="LP4" s="45"/>
      <c r="LQ4" s="45"/>
      <c r="LR4" s="45"/>
      <c r="LS4" s="45"/>
      <c r="LT4" s="45"/>
      <c r="LU4" s="45"/>
      <c r="LV4" s="45"/>
      <c r="LW4" s="45"/>
      <c r="LX4" s="45"/>
      <c r="LY4" s="45"/>
      <c r="LZ4" s="45"/>
      <c r="MA4" s="45"/>
      <c r="MB4" s="45"/>
      <c r="MC4" s="45"/>
      <c r="MD4" s="12" t="str">
        <f>IF(SUM(LO4,LS4)&gt;0,SUM(LO4,LS4),"")</f>
        <v/>
      </c>
      <c r="ME4" s="12" t="str">
        <f>IF(SUM(LW4,MA4)&gt;0,SUM(LW4,MA4),"")</f>
        <v/>
      </c>
      <c r="MF4" s="12" t="str">
        <f>IF(SUM(LN4:LO4,LQ4)-LP4&gt;0,SUM(LN4:LO4,LQ4)-LP4,"")</f>
        <v/>
      </c>
      <c r="MG4" s="12" t="str">
        <f>IF(SUM(LR4:LS4,LU4)-LT4&gt;0,SUM(LR4:LS4,LU4)-LT4,"")</f>
        <v/>
      </c>
      <c r="MH4" s="12" t="str">
        <f>IF(SUM(MF4:MG4)&gt;0,SUM(MF4:MG4),"")</f>
        <v/>
      </c>
      <c r="MI4" s="12" t="str">
        <f>IF(SUM(LV4:LW4,LY4:MA4,MC4)-SUM(LX4,MB4)&gt;0,SUM(LV4:LW4,LY4:MA4,MC4)-SUM(LX4,MB4),"")</f>
        <v/>
      </c>
      <c r="MJ4" s="12" t="str">
        <f>IF(SUM(MH4,MI4)&gt;0,SUM(MH4,MI4),"")</f>
        <v/>
      </c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46"/>
      <c r="MY4" s="46"/>
      <c r="MZ4" s="46"/>
      <c r="NA4" s="15" t="str">
        <f>IF(SUM(ML4,MP4)&gt;0,SUM(ML4,MP4),"")</f>
        <v/>
      </c>
      <c r="NB4" s="15" t="str">
        <f>IF(SUM(MT4,MX4)&gt;0,SUM(MT4,MX4),"")</f>
        <v/>
      </c>
      <c r="NC4" s="15" t="str">
        <f>IF(SUM(MK4:ML4,MN4)-MM4&gt;0,SUM(MK4:ML4,MN4)-MM4,"")</f>
        <v/>
      </c>
      <c r="ND4" s="15" t="str">
        <f>IF(SUM(MO4:MP4,MR4)-MQ4&gt;0,SUM(MO4:MP4,MR4)-MQ4,"")</f>
        <v/>
      </c>
      <c r="NE4" s="15" t="str">
        <f>IF(SUM(NC4:ND4)&gt;0,SUM(NC4:ND4),"")</f>
        <v/>
      </c>
      <c r="NF4" s="15" t="str">
        <f>IF(SUM(MS4:MT4,MV4:MX4,MZ4)-SUM(MU4,MY4)&gt;0,SUM(MS4:MT4,MV4:MX4,MZ4)-SUM(MU4,MY4),"")</f>
        <v/>
      </c>
      <c r="NG4" s="15" t="str">
        <f>IF(SUM(NE4,NF4)&gt;0,SUM(NE4,NF4),"")</f>
        <v/>
      </c>
    </row>
    <row r="5" spans="1:371" x14ac:dyDescent="0.2">
      <c r="A5" s="6" t="str">
        <f>IF(AND(F5="P",H5="P"),SUMPRODUCT((F$4:F$9="P")*(H$4:H$9="P")*(E$4:E$9&gt;E5))+1,IF(H5="P",SUMPRODUCT((F$4:F$9="")*(H$4:H$9="P")*(E$4:E$9&gt;E5))+1+SUMPRODUCT((F$4:F$9="P")*(H$4:H$9="P")),""))</f>
        <v/>
      </c>
      <c r="B5" s="9" t="s">
        <v>122</v>
      </c>
      <c r="C5" s="5" t="s">
        <v>3</v>
      </c>
      <c r="D5" s="31">
        <v>2001</v>
      </c>
      <c r="E5" s="16">
        <f>SUM(J5:R5)</f>
        <v>155.89999999999998</v>
      </c>
      <c r="F5" s="4" t="str">
        <f>IF(OR(AND($AL5&gt;=$AM$12,NOT($AL5=""),$AK5=""),AND($BJ5&gt;=$BK$12,NOT($BJ5=""),$BI5=""),AND($CH5&gt;=$CI$12,NOT($CH5=""),$CG5="")),"P","")</f>
        <v>P</v>
      </c>
      <c r="G5" s="4" t="str">
        <f>IF(OR(AND($AL5&gt;=$AM$13,NOT($AL5=""),$AK5=""),AND($BJ5&gt;=$BK$13,NOT($BJ5=""),$BI5=""),AND($CH5&gt;=$CI$13,NOT($CH5=""),$CG5="")),"P","")</f>
        <v/>
      </c>
      <c r="H5" s="4" t="str">
        <f>IF(OR(AND($AP5&gt;=$AM$14,NOT($AP5=""),$AK5=""),AND($BN5&gt;=$BK$14,NOT($BN5=""),$BI5=""),AND($CL5&gt;=$CI$14,NOT($CL5=""),$CG5="")),"P","")</f>
        <v/>
      </c>
      <c r="I5" t="str">
        <f>IF(AND(G5="P",OR(AND($AP5&gt;=$AM$17,NOT($AP5=""),$AK5=""),AND($BN5&gt;=$BK$17,NOT($BN5=""),$BI5=""),AND($CL5&gt;=$CI$17,NOT($CL5=""),$CG5=""))),"Merit",IF(AND(G5="P",OR(AND($AP5&gt;=$AM$16,NOT($AP5=""),$AK5=""),AND($BN5&gt;=$BK$16,NOT($BN5=""),$BI5=""),AND($CL5&gt;=$CI$16,NOT($CL5=""),$CG5=""))),"Funding",IF(AND(G5="P",OR(AND($AP5&gt;=$AM$15,NOT($AP5=""),$AK5=""),AND($BN5&gt;=$BK$15,NOT($BN5=""),$BI5=""),AND($CL5&gt;=$CI$15,NOT($CL5=""),$CG5=""))),"Worlds Team",IF(AND(F5="P",OR(AND($AP5&gt;=$AM$14,NOT($AP5=""),$AK5=""),AND($BN5&gt;=$BK$14,NOT($BN5=""),$BI5=""),AND($CL5&gt;=$CI$14,NOT($CL5=""),$CG5=""))),"National Team",""))))</f>
        <v/>
      </c>
      <c r="J5" s="15">
        <f>MAX(AP5,BN5,CL5)</f>
        <v>61.3</v>
      </c>
      <c r="K5" s="15" t="str">
        <f>IF(J5=CL5,$BQ$1,IF(J5=BN5,$AS$1,IF(J5=AP5,$U$1,"")))</f>
        <v>2018 Nationals</v>
      </c>
      <c r="L5" s="15">
        <f>IF($J5=$AP5,MAX(BL5,CJ5),IF($J5=$BN5,MAX(AN5,CJ5),MAX(AN5,BL5)))</f>
        <v>0</v>
      </c>
      <c r="M5" s="15" t="str">
        <f>IF(AND(L5=CJ5,$K5&lt;&gt;$BQ$1),$BQ$1,IF(AND(L5=BL5,$K5&lt;&gt;$AS$1),$AS$1,IF(AND(L5=AN5,$K5&lt;&gt;$U$1),$U$1,"")))</f>
        <v/>
      </c>
      <c r="N5" s="15">
        <f>IF($J5=$AP5,MAX(BM5,CK5),IF($J5=$BN5,MAX(AO5,CK5),MAX(AO5,BM5)))</f>
        <v>0</v>
      </c>
      <c r="O5" s="15" t="str">
        <f>IF(AND(N5=CK5,$K5&lt;&gt;$BQ$1),$BQ$1,IF(AND(N5=BM5,$K5&lt;&gt;$AS$1),$AS$1,IF(AND(N5=AO5,$K5&lt;&gt;$U$1),$U$1,"")))</f>
        <v/>
      </c>
      <c r="P5" s="15">
        <f>MAX(AQ5,BO5,CM5)</f>
        <v>62.4</v>
      </c>
      <c r="Q5" s="15" t="str">
        <f>IF(P5=CM5,$BQ$1,IF(P5=BO5,$AS$1,IF(P5=AQ5,$U$1,"")))</f>
        <v>2018 Nationals</v>
      </c>
      <c r="R5" s="15">
        <f>IF(MAX(CO5:CQ5)&gt;0,MAX(CO5:CQ5),"")</f>
        <v>32.200000000000003</v>
      </c>
      <c r="S5" s="29" t="str">
        <f>IF(R5="","",IF(R5=CO5,"(Pass 1)",IF(R5=CP5,"(Pass 2)",IF(R5=CQ5,"(Final)"))))</f>
        <v>(Pass 1)</v>
      </c>
      <c r="T5" s="15" t="str">
        <f>IF(R5="","",IF(R5=CO5,IF(R5+L5=NC5,$MK$1,IF(R5+L5=MF5,$LN$1,IF(R5+L5=LI5,$KQ$1,IF(R5+L5=KL5,$JT$1,IF(R5+L5=JO5,$IW$1,IF(R5+L5=IR5,$HZ$1,IF(R5+L5=HU5,$HC$1,IF(R5+L5=GX5,$GF$1,IF(R5+L5=GA5,$FI$1,IF(R5+L5=FD5,$EL$1,IF(R5+L5=EG5,$DO$1,IF(R5+L5=DJ5,$CR$1)))))))))))),IF(R5=CP5,IF(R5+N5=ND5,$MK$1,IF(R5+N5=MG5,$LN$1,IF(R5+N5=LJ5,$KQ$1,IF(R5+N5=KM5,$JT$1,IF(R5+N5=JP5,$IW$1,IF(R5+N5=IS5,$HZ$1,IF(R5+N5=HV5,$HC$1,IF(R5+N5=GY5,$GF$1,IF(R5+N5=GB5,$FI$1,IF(R5+N5=FE5,$EL$1,IF(R5+N5=EH5,$DO$1,IF(R5+N5=DK5,$CR$1)))))))))))),IF(R5=CQ5,IF(R5+P5=NF5,$MK$1,IF(R5+P5=MI5,$LN$1,IF(R5+P5=LL5,$KQ$1,IF(R5+P5=KO5,$JT$1,IF(R5+P5=JR5,$IW$1,IF(R5+P5=IU5,$HZ$1,IF(R5+P5=HX5,$HC$1,IF(R5+P5=HA5,$GF$1,IF(R5+P5=GD5,$FI$1,IF(R5+P5=FG5,$EL$1,IF(R5+P5=EJ5,$DO$1,IF(R5+P5=DM5,$CR$1))))))))))))))))</f>
        <v>2018 World Age Groups (Nov 18)</v>
      </c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108"/>
      <c r="AL5" s="12" t="str">
        <f>IF(SUM(V5,Z5)&gt;0,SUM(V5,Z5),"")</f>
        <v/>
      </c>
      <c r="AM5" s="12" t="str">
        <f>IF(SUM(AD5,AH5)&gt;0,SUM(AD5,AH5),"")</f>
        <v/>
      </c>
      <c r="AN5" s="12" t="str">
        <f>IF(SUM(U5:V5,X5)-W5&gt;0,SUM(U5:V5,X5)-W5,"")</f>
        <v/>
      </c>
      <c r="AO5" s="12" t="str">
        <f>IF(SUM(Y5:Z5,AB5)-AA5&gt;0,SUM(Y5:Z5,AB5)-AA5,"")</f>
        <v/>
      </c>
      <c r="AP5" s="12" t="str">
        <f>IF(SUM(AN5:AO5)&gt;0,SUM(AN5:AO5),"")</f>
        <v/>
      </c>
      <c r="AQ5" s="12" t="str">
        <f>IF(SUM(AC5:AD5,AF5:AH5,AJ5)-SUM(AE5,AI5)&gt;0,SUM(AC5:AD5,AF5:AH5,AJ5)-SUM(AE5,AI5),"")</f>
        <v/>
      </c>
      <c r="AR5" s="12" t="str">
        <f>IF(SUM(AP5,AQ5)&gt;0,SUM(AP5,AQ5),"")</f>
        <v/>
      </c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109"/>
      <c r="BJ5" s="15" t="str">
        <f>IF(SUM(AT5,AX5)&gt;0,SUM(AT5,AX5),"")</f>
        <v/>
      </c>
      <c r="BK5" s="15" t="str">
        <f>IF(SUM(BB5,BF5)&gt;0,SUM(BB5,BF5),"")</f>
        <v/>
      </c>
      <c r="BL5" s="15" t="str">
        <f>IF(SUM(AS5:AT5,AV5)-AU5&gt;0,SUM(AS5:AT5,AV5)-AU5,"")</f>
        <v/>
      </c>
      <c r="BM5" s="15" t="str">
        <f>IF(SUM(AW5:AX5,AZ5)-AY5&gt;0,SUM(AW5:AX5,AZ5)-AY5,"")</f>
        <v/>
      </c>
      <c r="BN5" s="15" t="str">
        <f>IF(SUM(BL5:BM5)&gt;0,SUM(BL5:BM5),"")</f>
        <v/>
      </c>
      <c r="BO5" s="15" t="str">
        <f>IF(SUM(BA5:BB5,BD5:BF5,BH5)-SUM(BC5,BG5)&gt;0,SUM(BA5:BB5,BD5:BF5,BH5)-SUM(BC5,BG5),"")</f>
        <v/>
      </c>
      <c r="BP5" s="15" t="str">
        <f>IF(SUM(BN5,BO5)&gt;0,SUM(BN5,BO5),"")</f>
        <v/>
      </c>
      <c r="BQ5" s="45">
        <v>23.7</v>
      </c>
      <c r="BR5" s="45">
        <v>5.5</v>
      </c>
      <c r="BS5" s="45">
        <v>0.3</v>
      </c>
      <c r="BT5" s="45">
        <v>0</v>
      </c>
      <c r="BU5" s="45">
        <v>26.4</v>
      </c>
      <c r="BV5" s="45">
        <v>6</v>
      </c>
      <c r="BW5" s="45">
        <v>0</v>
      </c>
      <c r="BX5" s="45">
        <v>0</v>
      </c>
      <c r="BY5" s="45">
        <v>25</v>
      </c>
      <c r="BZ5" s="45">
        <v>6.5</v>
      </c>
      <c r="CA5" s="45">
        <v>0</v>
      </c>
      <c r="CB5" s="45">
        <v>0</v>
      </c>
      <c r="CC5" s="45">
        <v>25.5</v>
      </c>
      <c r="CD5" s="45">
        <v>6</v>
      </c>
      <c r="CE5" s="45">
        <v>0.6</v>
      </c>
      <c r="CF5" s="45">
        <v>0</v>
      </c>
      <c r="CG5" s="108"/>
      <c r="CH5" s="12">
        <f>IF(SUM(BR5,BV5)&gt;0,SUM(BR5,BV5),"")</f>
        <v>11.5</v>
      </c>
      <c r="CI5" s="12">
        <f>IF(SUM(BZ5,CD5)&gt;0,SUM(BZ5,CD5),"")</f>
        <v>12.5</v>
      </c>
      <c r="CJ5" s="12">
        <f>IF(SUM(BQ5:BR5,BT5)-BS5&gt;0,SUM(BQ5:BR5,BT5)-BS5,"")</f>
        <v>28.9</v>
      </c>
      <c r="CK5" s="12">
        <f>IF(SUM(BU5:BV5,BX5)-BW5&gt;0,SUM(BU5:BV5,BX5)-BW5,"")</f>
        <v>32.4</v>
      </c>
      <c r="CL5" s="12">
        <f>IF(SUM(CJ5:CK5)&gt;0,SUM(CJ5:CK5),"")</f>
        <v>61.3</v>
      </c>
      <c r="CM5" s="12">
        <f>IF(SUM(BY5:BZ5,CB5:CD5,CF5)-SUM(CA5,CE5)&gt;0,SUM(BY5:BZ5,CB5:CD5,CF5)-SUM(CA5,CE5),"")</f>
        <v>62.4</v>
      </c>
      <c r="CN5" s="12">
        <f>IF(SUM(CL5,CM5)&gt;0,SUM(CL5,CM5),"")</f>
        <v>123.69999999999999</v>
      </c>
      <c r="CO5" s="28">
        <f>IF(MAX(DJ5,EG5,FD5,GA5,GX5,HU5,IR5,JO5,KL5,LI5,MF5,NC5)-L5&gt;0.001,MAX(DJ5,EG5,FD5,GA5,GX5,HU5,IR5,JO5,KL5,LI5,MF5,NC5)-L5,"")</f>
        <v>32.200000000000003</v>
      </c>
      <c r="CP5" s="28">
        <f>IF(MAX(DK5,EH5,FE5,GB5,GY5,HV5,IS5,JP5,KM5,LJ5,MG5,ND5)-N5&gt;0.001,MAX(DK5,EH5,FE5,GB5,GY5,HV5,IS5,JP5,KM5,LJ5,MG5,ND5)-N5,"")</f>
        <v>29.2</v>
      </c>
      <c r="CQ5" s="28" t="str">
        <f>IF(MAX(DM5,EJ5,FG5,GD5,HA5,HX5,IU5,JR5,KO5,LL5,MI5,NF5)-P5&gt;0.001,MAX(DM5,EJ5,FG5,GD5,HA5,HX5,IU5,JR5,KO5,LL5,MI5,NF5)-P5,"")</f>
        <v/>
      </c>
      <c r="CR5" s="45">
        <v>26.7</v>
      </c>
      <c r="CS5" s="45">
        <v>5.5</v>
      </c>
      <c r="CT5" s="45">
        <v>0</v>
      </c>
      <c r="CU5" s="45">
        <v>0</v>
      </c>
      <c r="CV5" s="45">
        <v>24</v>
      </c>
      <c r="CW5" s="45">
        <v>5.5</v>
      </c>
      <c r="CX5" s="45">
        <v>0.3</v>
      </c>
      <c r="CY5" s="45">
        <v>0</v>
      </c>
      <c r="CZ5" s="45"/>
      <c r="DA5" s="45"/>
      <c r="DB5" s="45"/>
      <c r="DC5" s="45"/>
      <c r="DD5" s="45"/>
      <c r="DE5" s="45"/>
      <c r="DF5" s="45"/>
      <c r="DG5" s="45"/>
      <c r="DH5" s="12">
        <f>IF(SUM(CS5,CW5)&gt;0,SUM(CS5,CW5),"")</f>
        <v>11</v>
      </c>
      <c r="DI5" s="12" t="str">
        <f>IF(SUM(DA5,DE5)&gt;0,SUM(DA5,DE5),"")</f>
        <v/>
      </c>
      <c r="DJ5" s="12">
        <f>IF(SUM(CR5:CS5,CU5)-CT5&gt;0,SUM(CR5:CS5,CU5)-CT5,"")</f>
        <v>32.200000000000003</v>
      </c>
      <c r="DK5" s="12">
        <f>IF(SUM(CV5:CW5,CY5)-CX5&gt;0,SUM(CV5:CW5,CY5)-CX5,"")</f>
        <v>29.2</v>
      </c>
      <c r="DL5" s="12">
        <f>IF(SUM(DJ5:DK5)&gt;0,SUM(DJ5:DK5),"")</f>
        <v>61.400000000000006</v>
      </c>
      <c r="DM5" s="12" t="str">
        <f>IF(SUM(CZ5:DA5,DC5:DE5,DG5)-SUM(DB5,DF5)&gt;0,SUM(CZ5:DA5,DC5:DE5,DG5)-SUM(DB5,DF5),"")</f>
        <v/>
      </c>
      <c r="DN5" s="12">
        <f>IF(SUM(DL5,DM5)&gt;0,SUM(DL5,DM5),"")</f>
        <v>61.400000000000006</v>
      </c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15" t="str">
        <f>IF(SUM(DP5,DT5)&gt;0,SUM(DP5,DT5),"")</f>
        <v/>
      </c>
      <c r="EF5" s="15" t="str">
        <f>IF(SUM(DX5,EB5)&gt;0,SUM(DX5,EB5),"")</f>
        <v/>
      </c>
      <c r="EG5" s="15" t="str">
        <f>IF(SUM(DO5:DP5,DR5)-DQ5&gt;0,SUM(DO5:DP5,DR5)-DQ5,"")</f>
        <v/>
      </c>
      <c r="EH5" s="15" t="str">
        <f>IF(SUM(DS5:DT5,DV5)-DU5&gt;0,SUM(DS5:DT5,DV5)-DU5,"")</f>
        <v/>
      </c>
      <c r="EI5" s="15" t="str">
        <f>IF(SUM(EG5:EH5)&gt;0,SUM(EG5:EH5),"")</f>
        <v/>
      </c>
      <c r="EJ5" s="15" t="str">
        <f>IF(SUM(DW5:DX5,DZ5:EB5,ED5)-SUM(DY5,EC5)&gt;0,SUM(DW5:DX5,DZ5:EB5,ED5)-SUM(DY5,EC5),"")</f>
        <v/>
      </c>
      <c r="EK5" s="15" t="str">
        <f>IF(SUM(EI5,EJ5)&gt;0,SUM(EI5,EJ5),"")</f>
        <v/>
      </c>
      <c r="EL5" s="45"/>
      <c r="EM5" s="45"/>
      <c r="EN5" s="45"/>
      <c r="EO5" s="45"/>
      <c r="EP5" s="45"/>
      <c r="EQ5" s="45"/>
      <c r="ER5" s="45"/>
      <c r="ES5" s="45"/>
      <c r="ET5" s="45"/>
      <c r="EU5" s="45"/>
      <c r="EV5" s="45"/>
      <c r="EW5" s="45"/>
      <c r="EX5" s="45"/>
      <c r="EY5" s="45"/>
      <c r="EZ5" s="45"/>
      <c r="FA5" s="45"/>
      <c r="FB5" s="12" t="str">
        <f>IF(SUM(EM5,EQ5)&gt;0,SUM(EM5,EQ5),"")</f>
        <v/>
      </c>
      <c r="FC5" s="12" t="str">
        <f>IF(SUM(EU5,EY5)&gt;0,SUM(EU5,EY5),"")</f>
        <v/>
      </c>
      <c r="FD5" s="12" t="str">
        <f>IF(SUM(EL5:EM5,EO5)-EN5&gt;0,SUM(EL5:EM5,EO5)-EN5,"")</f>
        <v/>
      </c>
      <c r="FE5" s="12" t="str">
        <f>IF(SUM(EP5:EQ5,ES5)-ER5&gt;0,SUM(EP5:EQ5,ES5)-ER5,"")</f>
        <v/>
      </c>
      <c r="FF5" s="12" t="str">
        <f>IF(SUM(FD5:FE5)&gt;0,SUM(FD5:FE5),"")</f>
        <v/>
      </c>
      <c r="FG5" s="12" t="str">
        <f>IF(SUM(ET5:EU5,EW5:EY5,FA5)-SUM(EV5,EZ5)&gt;0,SUM(ET5:EU5,EW5:EY5,FA5)-SUM(EV5,EZ5),"")</f>
        <v/>
      </c>
      <c r="FH5" s="12" t="str">
        <f>IF(SUM(FF5,FG5)&gt;0,SUM(FF5,FG5),"")</f>
        <v/>
      </c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15" t="str">
        <f>IF(SUM(FJ5,FN5)&gt;0,SUM(FJ5,FN5),"")</f>
        <v/>
      </c>
      <c r="FZ5" s="15" t="str">
        <f>IF(SUM(FR5,FV5)&gt;0,SUM(FR5,FV5),"")</f>
        <v/>
      </c>
      <c r="GA5" s="15" t="str">
        <f>IF(SUM(FI5:FJ5,FL5)-FK5&gt;0,SUM(FI5:FJ5,FL5)-FK5,"")</f>
        <v/>
      </c>
      <c r="GB5" s="15" t="str">
        <f>IF(SUM(FM5:FN5,FP5)-FO5&gt;0,SUM(FM5:FN5,FP5)-FO5,"")</f>
        <v/>
      </c>
      <c r="GC5" s="15" t="str">
        <f>IF(SUM(GA5:GB5)&gt;0,SUM(GA5:GB5),"")</f>
        <v/>
      </c>
      <c r="GD5" s="15" t="str">
        <f>IF(SUM(FQ5:FR5,FT5:FV5,FX5)-SUM(FS5,FW5)&gt;0,SUM(FQ5:FR5,FT5:FV5,FX5)-SUM(FS5,FW5),"")</f>
        <v/>
      </c>
      <c r="GE5" s="15" t="str">
        <f>IF(SUM(GC5,GD5)&gt;0,SUM(GC5,GD5),"")</f>
        <v/>
      </c>
      <c r="GF5" s="45"/>
      <c r="GG5" s="45"/>
      <c r="GH5" s="45"/>
      <c r="GI5" s="45"/>
      <c r="GJ5" s="45"/>
      <c r="GK5" s="45"/>
      <c r="GL5" s="45"/>
      <c r="GM5" s="45"/>
      <c r="GN5" s="45"/>
      <c r="GO5" s="45"/>
      <c r="GP5" s="45"/>
      <c r="GQ5" s="45"/>
      <c r="GR5" s="45"/>
      <c r="GS5" s="45"/>
      <c r="GT5" s="45"/>
      <c r="GU5" s="45"/>
      <c r="GV5" s="12" t="str">
        <f>IF(SUM(GG5,GK5)&gt;0,SUM(GG5,GK5),"")</f>
        <v/>
      </c>
      <c r="GW5" s="12" t="str">
        <f>IF(SUM(GO5,GS5)&gt;0,SUM(GO5,GS5),"")</f>
        <v/>
      </c>
      <c r="GX5" s="12" t="str">
        <f>IF(SUM(GF5:GG5,GI5)-GH5&gt;0,SUM(GF5:GG5,GI5)-GH5,"")</f>
        <v/>
      </c>
      <c r="GY5" s="12" t="str">
        <f>IF(SUM(GJ5:GK5,GM5)-GL5&gt;0,SUM(GJ5:GK5,GM5)-GL5,"")</f>
        <v/>
      </c>
      <c r="GZ5" s="12" t="str">
        <f>IF(SUM(GX5:GY5)&gt;0,SUM(GX5:GY5),"")</f>
        <v/>
      </c>
      <c r="HA5" s="12" t="str">
        <f>IF(SUM(GN5:GO5,GQ5:GS5,GU5)-SUM(GP5,GT5)&gt;0,SUM(GN5:GO5,GQ5:GS5,GU5)-SUM(GP5,GT5),"")</f>
        <v/>
      </c>
      <c r="HB5" s="12" t="str">
        <f>IF(SUM(GZ5,HA5)&gt;0,SUM(GZ5,HA5),"")</f>
        <v/>
      </c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15" t="str">
        <f>IF(SUM(HD5,HH5)&gt;0,SUM(HD5,HH5),"")</f>
        <v/>
      </c>
      <c r="HT5" s="15" t="str">
        <f>IF(SUM(HL5,HP5)&gt;0,SUM(HL5,HP5),"")</f>
        <v/>
      </c>
      <c r="HU5" s="15" t="str">
        <f>IF(SUM(HC5:HD5,HF5)-HE5&gt;0,SUM(HC5:HD5,HF5)-HE5,"")</f>
        <v/>
      </c>
      <c r="HV5" s="15" t="str">
        <f>IF(SUM(HG5:HH5,HJ5)-HI5&gt;0,SUM(HG5:HH5,HJ5)-HI5,"")</f>
        <v/>
      </c>
      <c r="HW5" s="15" t="str">
        <f>IF(SUM(HU5:HV5)&gt;0,SUM(HU5:HV5),"")</f>
        <v/>
      </c>
      <c r="HX5" s="15" t="str">
        <f>IF(SUM(HK5:HL5,HN5:HP5,HR5)-SUM(HM5,HQ5)&gt;0,SUM(HK5:HL5,HN5:HP5,HR5)-SUM(HM5,HQ5),"")</f>
        <v/>
      </c>
      <c r="HY5" s="15" t="str">
        <f>IF(SUM(HW5,HX5)&gt;0,SUM(HW5,HX5),"")</f>
        <v/>
      </c>
      <c r="HZ5" s="45"/>
      <c r="IA5" s="45"/>
      <c r="IB5" s="45"/>
      <c r="IC5" s="45"/>
      <c r="ID5" s="45"/>
      <c r="IE5" s="45"/>
      <c r="IF5" s="45"/>
      <c r="IG5" s="45"/>
      <c r="IH5" s="45"/>
      <c r="II5" s="45"/>
      <c r="IJ5" s="45"/>
      <c r="IK5" s="45"/>
      <c r="IL5" s="45"/>
      <c r="IM5" s="45"/>
      <c r="IN5" s="45"/>
      <c r="IO5" s="45"/>
      <c r="IP5" s="12" t="str">
        <f>IF(SUM(IA5,IE5)&gt;0,SUM(IA5,IE5),"")</f>
        <v/>
      </c>
      <c r="IQ5" s="12" t="str">
        <f>IF(SUM(II5,IM5)&gt;0,SUM(II5,IM5),"")</f>
        <v/>
      </c>
      <c r="IR5" s="12" t="str">
        <f>IF(SUM(HZ5:IA5,IC5)-IB5&gt;0,SUM(HZ5:IA5,IC5)-IB5,"")</f>
        <v/>
      </c>
      <c r="IS5" s="12" t="str">
        <f>IF(SUM(ID5:IE5,IG5)-IF5&gt;0,SUM(ID5:IE5,IG5)-IF5,"")</f>
        <v/>
      </c>
      <c r="IT5" s="12" t="str">
        <f>IF(SUM(IR5:IS5)&gt;0,SUM(IR5:IS5),"")</f>
        <v/>
      </c>
      <c r="IU5" s="12" t="str">
        <f>IF(SUM(IH5:II5,IK5:IM5,IO5)-SUM(IJ5,IN5)&gt;0,SUM(IH5:II5,IK5:IM5,IO5)-SUM(IJ5,IN5),"")</f>
        <v/>
      </c>
      <c r="IV5" s="12" t="str">
        <f>IF(SUM(IT5,IU5)&gt;0,SUM(IT5,IU5),"")</f>
        <v/>
      </c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15" t="str">
        <f>IF(SUM(IX5,JB5)&gt;0,SUM(IX5,JB5),"")</f>
        <v/>
      </c>
      <c r="JN5" s="15" t="str">
        <f>IF(SUM(JF5,JJ5)&gt;0,SUM(JF5,JJ5),"")</f>
        <v/>
      </c>
      <c r="JO5" s="15" t="str">
        <f>IF(SUM(IW5:IX5,IZ5)-IY5&gt;0,SUM(IW5:IX5,IZ5)-IY5,"")</f>
        <v/>
      </c>
      <c r="JP5" s="15" t="str">
        <f>IF(SUM(JA5:JB5,JD5)-JC5&gt;0,SUM(JA5:JB5,JD5)-JC5,"")</f>
        <v/>
      </c>
      <c r="JQ5" s="15" t="str">
        <f>IF(SUM(JO5:JP5)&gt;0,SUM(JO5:JP5),"")</f>
        <v/>
      </c>
      <c r="JR5" s="15" t="str">
        <f>IF(SUM(JE5:JF5,JH5:JJ5,JL5)-SUM(JG5,JK5)&gt;0,SUM(JE5:JF5,JH5:JJ5,JL5)-SUM(JG5,JK5),"")</f>
        <v/>
      </c>
      <c r="JS5" s="15" t="str">
        <f>IF(SUM(JQ5,JR5)&gt;0,SUM(JQ5,JR5),"")</f>
        <v/>
      </c>
      <c r="JT5" s="45"/>
      <c r="JU5" s="45"/>
      <c r="JV5" s="45"/>
      <c r="JW5" s="45"/>
      <c r="JX5" s="45"/>
      <c r="JY5" s="45"/>
      <c r="JZ5" s="45"/>
      <c r="KA5" s="45"/>
      <c r="KB5" s="45"/>
      <c r="KC5" s="45"/>
      <c r="KD5" s="45"/>
      <c r="KE5" s="45"/>
      <c r="KF5" s="45"/>
      <c r="KG5" s="45"/>
      <c r="KH5" s="45"/>
      <c r="KI5" s="45"/>
      <c r="KJ5" s="12" t="str">
        <f>IF(SUM(JU5,JY5)&gt;0,SUM(JU5,JY5),"")</f>
        <v/>
      </c>
      <c r="KK5" s="12" t="str">
        <f>IF(SUM(KC5,KG5)&gt;0,SUM(KC5,KG5),"")</f>
        <v/>
      </c>
      <c r="KL5" s="12" t="str">
        <f>IF(SUM(JT5:JU5,JW5)-JV5&gt;0,SUM(JT5:JU5,JW5)-JV5,"")</f>
        <v/>
      </c>
      <c r="KM5" s="12" t="str">
        <f>IF(SUM(JX5:JY5,KA5)-JZ5&gt;0,SUM(JX5:JY5,KA5)-JZ5,"")</f>
        <v/>
      </c>
      <c r="KN5" s="12" t="str">
        <f>IF(SUM(KL5:KM5)&gt;0,SUM(KL5:KM5),"")</f>
        <v/>
      </c>
      <c r="KO5" s="12" t="str">
        <f>IF(SUM(KB5:KC5,KE5:KG5,KI5)-SUM(KD5,KH5)&gt;0,SUM(KB5:KC5,KE5:KG5,KI5)-SUM(KD5,KH5),"")</f>
        <v/>
      </c>
      <c r="KP5" s="12" t="str">
        <f>IF(SUM(KN5,KO5)&gt;0,SUM(KN5,KO5),"")</f>
        <v/>
      </c>
      <c r="KQ5" s="46"/>
      <c r="KR5" s="46"/>
      <c r="KS5" s="46"/>
      <c r="KT5" s="46"/>
      <c r="KU5" s="46"/>
      <c r="KV5" s="46"/>
      <c r="KW5" s="46"/>
      <c r="KX5" s="46"/>
      <c r="KY5" s="46"/>
      <c r="KZ5" s="46"/>
      <c r="LA5" s="46"/>
      <c r="LB5" s="46"/>
      <c r="LC5" s="46"/>
      <c r="LD5" s="46"/>
      <c r="LE5" s="46"/>
      <c r="LF5" s="46"/>
      <c r="LG5" s="15" t="str">
        <f>IF(SUM(KR5,KV5)&gt;0,SUM(KR5,KV5),"")</f>
        <v/>
      </c>
      <c r="LH5" s="15" t="str">
        <f>IF(SUM(KZ5,LD5)&gt;0,SUM(KZ5,LD5),"")</f>
        <v/>
      </c>
      <c r="LI5" s="15" t="str">
        <f>IF(SUM(KQ5:KR5,KT5)-KS5&gt;0,SUM(KQ5:KR5,KT5)-KS5,"")</f>
        <v/>
      </c>
      <c r="LJ5" s="15" t="str">
        <f>IF(SUM(KU5:KV5,KX5)-KW5&gt;0,SUM(KU5:KV5,KX5)-KW5,"")</f>
        <v/>
      </c>
      <c r="LK5" s="15" t="str">
        <f>IF(SUM(LI5:LJ5)&gt;0,SUM(LI5:LJ5),"")</f>
        <v/>
      </c>
      <c r="LL5" s="15" t="str">
        <f>IF(SUM(KY5:KZ5,LB5:LD5,LF5)-SUM(LA5,LE5)&gt;0,SUM(KY5:KZ5,LB5:LD5,LF5)-SUM(LA5,LE5),"")</f>
        <v/>
      </c>
      <c r="LM5" s="15" t="str">
        <f>IF(SUM(LK5,LL5)&gt;0,SUM(LK5,LL5),"")</f>
        <v/>
      </c>
      <c r="LN5" s="45"/>
      <c r="LO5" s="45"/>
      <c r="LP5" s="45"/>
      <c r="LQ5" s="45"/>
      <c r="LR5" s="45"/>
      <c r="LS5" s="45"/>
      <c r="LT5" s="45"/>
      <c r="LU5" s="45"/>
      <c r="LV5" s="45"/>
      <c r="LW5" s="45"/>
      <c r="LX5" s="45"/>
      <c r="LY5" s="45"/>
      <c r="LZ5" s="45"/>
      <c r="MA5" s="45"/>
      <c r="MB5" s="45"/>
      <c r="MC5" s="45"/>
      <c r="MD5" s="12" t="str">
        <f>IF(SUM(LO5,LS5)&gt;0,SUM(LO5,LS5),"")</f>
        <v/>
      </c>
      <c r="ME5" s="12" t="str">
        <f>IF(SUM(LW5,MA5)&gt;0,SUM(LW5,MA5),"")</f>
        <v/>
      </c>
      <c r="MF5" s="12" t="str">
        <f>IF(SUM(LN5:LO5,LQ5)-LP5&gt;0,SUM(LN5:LO5,LQ5)-LP5,"")</f>
        <v/>
      </c>
      <c r="MG5" s="12" t="str">
        <f>IF(SUM(LR5:LS5,LU5)-LT5&gt;0,SUM(LR5:LS5,LU5)-LT5,"")</f>
        <v/>
      </c>
      <c r="MH5" s="12" t="str">
        <f>IF(SUM(MF5:MG5)&gt;0,SUM(MF5:MG5),"")</f>
        <v/>
      </c>
      <c r="MI5" s="12" t="str">
        <f>IF(SUM(LV5:LW5,LY5:MA5,MC5)-SUM(LX5,MB5)&gt;0,SUM(LV5:LW5,LY5:MA5,MC5)-SUM(LX5,MB5),"")</f>
        <v/>
      </c>
      <c r="MJ5" s="12" t="str">
        <f>IF(SUM(MH5,MI5)&gt;0,SUM(MH5,MI5),"")</f>
        <v/>
      </c>
      <c r="MK5" s="46"/>
      <c r="ML5" s="46"/>
      <c r="MM5" s="46"/>
      <c r="MN5" s="46"/>
      <c r="MO5" s="46"/>
      <c r="MP5" s="46"/>
      <c r="MQ5" s="46"/>
      <c r="MR5" s="46"/>
      <c r="MS5" s="46"/>
      <c r="MT5" s="46"/>
      <c r="MU5" s="46"/>
      <c r="MV5" s="46"/>
      <c r="MW5" s="46"/>
      <c r="MX5" s="46"/>
      <c r="MY5" s="46"/>
      <c r="MZ5" s="46"/>
      <c r="NA5" s="15" t="str">
        <f>IF(SUM(ML5,MP5)&gt;0,SUM(ML5,MP5),"")</f>
        <v/>
      </c>
      <c r="NB5" s="15" t="str">
        <f>IF(SUM(MT5,MX5)&gt;0,SUM(MT5,MX5),"")</f>
        <v/>
      </c>
      <c r="NC5" s="15" t="str">
        <f>IF(SUM(MK5:ML5,MN5)-MM5&gt;0,SUM(MK5:ML5,MN5)-MM5,"")</f>
        <v/>
      </c>
      <c r="ND5" s="15" t="str">
        <f>IF(SUM(MO5:MP5,MR5)-MQ5&gt;0,SUM(MO5:MP5,MR5)-MQ5,"")</f>
        <v/>
      </c>
      <c r="NE5" s="15" t="str">
        <f>IF(SUM(NC5:ND5)&gt;0,SUM(NC5:ND5),"")</f>
        <v/>
      </c>
      <c r="NF5" s="15" t="str">
        <f>IF(SUM(MS5:MT5,MV5:MX5,MZ5)-SUM(MU5,MY5)&gt;0,SUM(MS5:MT5,MV5:MX5,MZ5)-SUM(MU5,MY5),"")</f>
        <v/>
      </c>
      <c r="NG5" s="15" t="str">
        <f>IF(SUM(NE5,NF5)&gt;0,SUM(NE5,NF5),"")</f>
        <v/>
      </c>
    </row>
    <row r="6" spans="1:371" x14ac:dyDescent="0.2">
      <c r="A6" s="6">
        <f>IF(AND(F6="P",H6="P"),SUMPRODUCT((F$4:F$9="P")*(H$4:H$9="P")*(E$4:E$9&gt;E6))+1,IF(H6="P",SUMPRODUCT((F$4:F$9="")*(H$4:H$9="P")*(E$4:E$9&gt;E6))+1+SUMPRODUCT((F$4:F$9="P")*(H$4:H$9="P")),""))</f>
        <v>1</v>
      </c>
      <c r="B6" s="7" t="s">
        <v>86</v>
      </c>
      <c r="C6" s="8" t="s">
        <v>6</v>
      </c>
      <c r="D6" s="6">
        <v>1997</v>
      </c>
      <c r="E6" s="16">
        <f>SUM(J6:R6)</f>
        <v>191.39999999999998</v>
      </c>
      <c r="F6" s="4" t="str">
        <f>IF(OR(AND($AL6&gt;=$AM$12,NOT($AL6=""),$AK6=""),AND($BJ6&gt;=$BK$12,NOT($BJ6=""),$BI6=""),AND($CH6&gt;=$CI$12,NOT($CH6=""),$CG6="")),"P","")</f>
        <v/>
      </c>
      <c r="G6" s="4" t="str">
        <f>IF(OR(AND($AL6&gt;=$AM$13,NOT($AL6=""),$AK6=""),AND($BJ6&gt;=$BK$13,NOT($BJ6=""),$BI6=""),AND($CH6&gt;=$CI$13,NOT($CH6=""),$CG6="")),"P","")</f>
        <v/>
      </c>
      <c r="H6" s="4" t="str">
        <f>IF(OR(AND($AP6&gt;=$AM$14,NOT($AP6=""),$AK6=""),AND($BN6&gt;=$BK$14,NOT($BN6=""),$BI6=""),AND($CL6&gt;=$CI$14,NOT($CL6=""),$CG6="")),"P","")</f>
        <v>P</v>
      </c>
      <c r="I6" t="str">
        <f>IF(AND(G6="P",OR(AND($AP6&gt;=$AM$17,NOT($AP6=""),$AK6=""),AND($BN6&gt;=$BK$17,NOT($BN6=""),$BI6=""),AND($CL6&gt;=$CI$17,NOT($CL6=""),$CG6=""))),"Merit",IF(AND(G6="P",OR(AND($AP6&gt;=$AM$16,NOT($AP6=""),$AK6=""),AND($BN6&gt;=$BK$16,NOT($BN6=""),$BI6=""),AND($CL6&gt;=$CI$16,NOT($CL6=""),$CG6=""))),"Funding",IF(AND(G6="P",OR(AND($AP6&gt;=$AM$15,NOT($AP6=""),$AK6=""),AND($BN6&gt;=$BK$15,NOT($BN6=""),$BI6=""),AND($CL6&gt;=$CI$15,NOT($CL6=""),$CG6=""))),"Worlds Team",IF(AND(F6="P",OR(AND($AP6&gt;=$AM$14,NOT($AP6=""),$AK6=""),AND($BN6&gt;=$BK$14,NOT($BN6=""),$BI6=""),AND($CL6&gt;=$CI$14,NOT($CL6=""),$CG6=""))),"National Team",""))))</f>
        <v/>
      </c>
      <c r="J6" s="15">
        <f>MAX(AP6,BN6,CL6)</f>
        <v>63.3</v>
      </c>
      <c r="K6" s="15" t="str">
        <f>IF(J6=CL6,$BQ$1,IF(J6=BN6,$AS$1,IF(J6=AP6,$U$1,"")))</f>
        <v>2018 Nationals</v>
      </c>
      <c r="L6" s="15">
        <f>IF($J6=$AP6,MAX(BL6,CJ6),IF($J6=$BN6,MAX(AN6,CJ6),MAX(AN6,BL6)))</f>
        <v>30.9</v>
      </c>
      <c r="M6" s="15" t="str">
        <f>IF(AND(L6=CJ6,$K6&lt;&gt;$BQ$1),$BQ$1,IF(AND(L6=BL6,$K6&lt;&gt;$AS$1),$AS$1,IF(AND(L6=AN6,$K6&lt;&gt;$U$1),$U$1,"")))</f>
        <v>2018 Canada Cup</v>
      </c>
      <c r="N6" s="15">
        <f>IF($J6=$AP6,MAX(BM6,CK6),IF($J6=$BN6,MAX(AO6,CK6),MAX(AO6,BM6)))</f>
        <v>32</v>
      </c>
      <c r="O6" s="15" t="str">
        <f>IF(AND(N6=CK6,$K6&lt;&gt;$BQ$1),$BQ$1,IF(AND(N6=BM6,$K6&lt;&gt;$AS$1),$AS$1,IF(AND(N6=AO6,$K6&lt;&gt;$U$1),$U$1,"")))</f>
        <v>2017 Nationals</v>
      </c>
      <c r="P6" s="15">
        <f>MAX(AQ6,BO6,CM6)</f>
        <v>65.199999999999989</v>
      </c>
      <c r="Q6" s="15" t="str">
        <f>IF(P6=CM6,$BQ$1,IF(P6=BO6,$AS$1,IF(P6=AQ6,$U$1,"")))</f>
        <v>2018 Nationals</v>
      </c>
      <c r="R6" s="15" t="str">
        <f>IF(MAX(CO6:CQ6)&gt;0,MAX(CO6:CQ6),"")</f>
        <v/>
      </c>
      <c r="S6" s="29" t="str">
        <f>IF(R6="","",IF(R6=CO6,"(Pass 1)",IF(R6=CP6,"(Pass 2)",IF(R6=CQ6,"(Final)"))))</f>
        <v/>
      </c>
      <c r="T6" s="15" t="str">
        <f>IF(R6="","",IF(R6=CO6,IF(R6+L6=NC6,$MK$1,IF(R6+L6=MF6,$LN$1,IF(R6+L6=LI6,$KQ$1,IF(R6+L6=KL6,$JT$1,IF(R6+L6=JO6,$IW$1,IF(R6+L6=IR6,$HZ$1,IF(R6+L6=HU6,$HC$1,IF(R6+L6=GX6,$GF$1,IF(R6+L6=GA6,$FI$1,IF(R6+L6=FD6,$EL$1,IF(R6+L6=EG6,$DO$1,IF(R6+L6=DJ6,$CR$1)))))))))))),IF(R6=CP6,IF(R6+N6=ND6,$MK$1,IF(R6+N6=MG6,$LN$1,IF(R6+N6=LJ6,$KQ$1,IF(R6+N6=KM6,$JT$1,IF(R6+N6=JP6,$IW$1,IF(R6+N6=IS6,$HZ$1,IF(R6+N6=HV6,$HC$1,IF(R6+N6=GY6,$GF$1,IF(R6+N6=GB6,$FI$1,IF(R6+N6=FE6,$EL$1,IF(R6+N6=EH6,$DO$1,IF(R6+N6=DK6,$CR$1)))))))))))),IF(R6=CQ6,IF(R6+P6=NF6,$MK$1,IF(R6+P6=MI6,$LN$1,IF(R6+P6=LL6,$KQ$1,IF(R6+P6=KO6,$JT$1,IF(R6+P6=JR6,$IW$1,IF(R6+P6=IU6,$HZ$1,IF(R6+P6=HX6,$HC$1,IF(R6+P6=HA6,$GF$1,IF(R6+P6=GD6,$FI$1,IF(R6+P6=FG6,$EL$1,IF(R6+P6=EJ6,$DO$1,IF(R6+P6=DM6,$CR$1))))))))))))))))</f>
        <v/>
      </c>
      <c r="U6" s="48">
        <v>25.4</v>
      </c>
      <c r="V6" s="48">
        <v>5.0999999999999996</v>
      </c>
      <c r="W6" s="48">
        <v>0</v>
      </c>
      <c r="X6" s="48">
        <v>0</v>
      </c>
      <c r="Y6" s="48">
        <v>28</v>
      </c>
      <c r="Z6" s="48">
        <v>4</v>
      </c>
      <c r="AA6" s="48">
        <v>0</v>
      </c>
      <c r="AB6" s="48">
        <v>0</v>
      </c>
      <c r="AC6" s="48">
        <v>25.5</v>
      </c>
      <c r="AD6" s="48">
        <v>5.5</v>
      </c>
      <c r="AE6" s="48">
        <v>0</v>
      </c>
      <c r="AF6" s="48">
        <v>0</v>
      </c>
      <c r="AG6" s="48">
        <v>27.6</v>
      </c>
      <c r="AH6" s="48">
        <v>4</v>
      </c>
      <c r="AI6" s="48">
        <v>0</v>
      </c>
      <c r="AJ6" s="48">
        <v>0</v>
      </c>
      <c r="AK6" s="108"/>
      <c r="AL6" s="12">
        <f>IF(SUM(V6,Z6)&gt;0,SUM(V6,Z6),"")</f>
        <v>9.1</v>
      </c>
      <c r="AM6" s="12">
        <f>IF(SUM(AD6,AH6)&gt;0,SUM(AD6,AH6),"")</f>
        <v>9.5</v>
      </c>
      <c r="AN6" s="12">
        <f>IF(SUM(U6:V6,X6)-W6&gt;0,SUM(U6:V6,X6)-W6,"")</f>
        <v>30.5</v>
      </c>
      <c r="AO6" s="12">
        <f>IF(SUM(Y6:Z6,AB6)-AA6&gt;0,SUM(Y6:Z6,AB6)-AA6,"")</f>
        <v>32</v>
      </c>
      <c r="AP6" s="12">
        <f>IF(SUM(AN6:AO6)&gt;0,SUM(AN6:AO6),"")</f>
        <v>62.5</v>
      </c>
      <c r="AQ6" s="12">
        <f>IF(SUM(AC6:AD6,AF6:AH6,AJ6)-SUM(AE6,AI6)&gt;0,SUM(AC6:AD6,AF6:AH6,AJ6)-SUM(AE6,AI6),"")</f>
        <v>62.6</v>
      </c>
      <c r="AR6" s="12">
        <f>IF(SUM(AP6,AQ6)&gt;0,SUM(AP6,AQ6),"")</f>
        <v>125.1</v>
      </c>
      <c r="AS6" s="80">
        <v>25.4</v>
      </c>
      <c r="AT6" s="80">
        <v>5.5</v>
      </c>
      <c r="AU6" s="80">
        <v>0</v>
      </c>
      <c r="AV6" s="80">
        <v>0</v>
      </c>
      <c r="AW6" s="80">
        <v>27.7</v>
      </c>
      <c r="AX6" s="80">
        <v>4</v>
      </c>
      <c r="AY6" s="80">
        <v>0</v>
      </c>
      <c r="AZ6" s="80">
        <v>0</v>
      </c>
      <c r="BA6" s="80">
        <v>25.2</v>
      </c>
      <c r="BB6" s="80">
        <v>5.5</v>
      </c>
      <c r="BC6" s="80">
        <v>0</v>
      </c>
      <c r="BD6" s="80">
        <v>0</v>
      </c>
      <c r="BE6" s="80">
        <v>27.2</v>
      </c>
      <c r="BF6" s="80">
        <v>4</v>
      </c>
      <c r="BG6" s="80">
        <v>0</v>
      </c>
      <c r="BH6" s="80">
        <v>0</v>
      </c>
      <c r="BI6" s="109"/>
      <c r="BJ6" s="15">
        <f>IF(SUM(AT6,AX6)&gt;0,SUM(AT6,AX6),"")</f>
        <v>9.5</v>
      </c>
      <c r="BK6" s="15">
        <f>IF(SUM(BB6,BF6)&gt;0,SUM(BB6,BF6),"")</f>
        <v>9.5</v>
      </c>
      <c r="BL6" s="15">
        <f>IF(SUM(AS6:AT6,AV6)-AU6&gt;0,SUM(AS6:AT6,AV6)-AU6,"")</f>
        <v>30.9</v>
      </c>
      <c r="BM6" s="15">
        <f>IF(SUM(AW6:AX6,AZ6)-AY6&gt;0,SUM(AW6:AX6,AZ6)-AY6,"")</f>
        <v>31.7</v>
      </c>
      <c r="BN6" s="15">
        <f>IF(SUM(BL6:BM6)&gt;0,SUM(BL6:BM6),"")</f>
        <v>62.599999999999994</v>
      </c>
      <c r="BO6" s="15">
        <f>IF(SUM(BA6:BB6,BD6:BF6,BH6)-SUM(BC6,BG6)&gt;0,SUM(BA6:BB6,BD6:BF6,BH6)-SUM(BC6,BG6),"")</f>
        <v>61.9</v>
      </c>
      <c r="BP6" s="15">
        <f>IF(SUM(BN6,BO6)&gt;0,SUM(BN6,BO6),"")</f>
        <v>124.5</v>
      </c>
      <c r="BQ6" s="45">
        <v>26.2</v>
      </c>
      <c r="BR6" s="45">
        <v>5.5</v>
      </c>
      <c r="BS6" s="45">
        <v>0</v>
      </c>
      <c r="BT6" s="45">
        <v>0</v>
      </c>
      <c r="BU6" s="45">
        <v>27.6</v>
      </c>
      <c r="BV6" s="45">
        <v>4</v>
      </c>
      <c r="BW6" s="45">
        <v>0</v>
      </c>
      <c r="BX6" s="45">
        <v>0</v>
      </c>
      <c r="BY6" s="45">
        <v>26.8</v>
      </c>
      <c r="BZ6" s="45">
        <v>5.5</v>
      </c>
      <c r="CA6" s="45">
        <v>0</v>
      </c>
      <c r="CB6" s="45">
        <v>0</v>
      </c>
      <c r="CC6" s="45">
        <v>28.9</v>
      </c>
      <c r="CD6" s="45">
        <v>4</v>
      </c>
      <c r="CE6" s="45">
        <v>0</v>
      </c>
      <c r="CF6" s="45">
        <v>0</v>
      </c>
      <c r="CG6" s="108"/>
      <c r="CH6" s="12">
        <f>IF(SUM(BR6,BV6)&gt;0,SUM(BR6,BV6),"")</f>
        <v>9.5</v>
      </c>
      <c r="CI6" s="12">
        <f>IF(SUM(BZ6,CD6)&gt;0,SUM(BZ6,CD6),"")</f>
        <v>9.5</v>
      </c>
      <c r="CJ6" s="12">
        <f>IF(SUM(BQ6:BR6,BT6)-BS6&gt;0,SUM(BQ6:BR6,BT6)-BS6,"")</f>
        <v>31.7</v>
      </c>
      <c r="CK6" s="12">
        <f>IF(SUM(BU6:BV6,BX6)-BW6&gt;0,SUM(BU6:BV6,BX6)-BW6,"")</f>
        <v>31.6</v>
      </c>
      <c r="CL6" s="12">
        <f>IF(SUM(CJ6:CK6)&gt;0,SUM(CJ6:CK6),"")</f>
        <v>63.3</v>
      </c>
      <c r="CM6" s="12">
        <f>IF(SUM(BY6:BZ6,CB6:CD6,CF6)-SUM(CA6,CE6)&gt;0,SUM(BY6:BZ6,CB6:CD6,CF6)-SUM(CA6,CE6),"")</f>
        <v>65.199999999999989</v>
      </c>
      <c r="CN6" s="12">
        <f>IF(SUM(CL6,CM6)&gt;0,SUM(CL6,CM6),"")</f>
        <v>128.5</v>
      </c>
      <c r="CO6" s="28" t="str">
        <f>IF(MAX(DJ6,EG6,FD6,GA6,GX6,HU6,IR6,JO6,KL6,LI6,MF6,NC6)-L6&gt;0.001,MAX(DJ6,EG6,FD6,GA6,GX6,HU6,IR6,JO6,KL6,LI6,MF6,NC6)-L6,"")</f>
        <v/>
      </c>
      <c r="CP6" s="28" t="str">
        <f>IF(MAX(DK6,EH6,FE6,GB6,GY6,HV6,IS6,JP6,KM6,LJ6,MG6,ND6)-N6&gt;0.001,MAX(DK6,EH6,FE6,GB6,GY6,HV6,IS6,JP6,KM6,LJ6,MG6,ND6)-N6,"")</f>
        <v/>
      </c>
      <c r="CQ6" s="28" t="str">
        <f>IF(MAX(DM6,EJ6,FG6,GD6,HA6,HX6,IU6,JR6,KO6,LL6,MI6,NF6)-P6&gt;0.001,MAX(DM6,EJ6,FG6,GD6,HA6,HX6,IU6,JR6,KO6,LL6,MI6,NF6)-P6,"")</f>
        <v/>
      </c>
      <c r="CR6" s="45">
        <v>23.7</v>
      </c>
      <c r="CS6" s="45">
        <v>5.4</v>
      </c>
      <c r="CT6" s="45">
        <v>0</v>
      </c>
      <c r="CU6" s="45">
        <v>0</v>
      </c>
      <c r="CV6" s="45">
        <v>26.8</v>
      </c>
      <c r="CW6" s="45">
        <v>4</v>
      </c>
      <c r="CX6" s="45">
        <v>0</v>
      </c>
      <c r="CY6" s="45">
        <v>0</v>
      </c>
      <c r="CZ6" s="45"/>
      <c r="DA6" s="45"/>
      <c r="DB6" s="45"/>
      <c r="DC6" s="45"/>
      <c r="DD6" s="45"/>
      <c r="DE6" s="45"/>
      <c r="DF6" s="45"/>
      <c r="DG6" s="45"/>
      <c r="DH6" s="12">
        <f>IF(SUM(CS6,CW6)&gt;0,SUM(CS6,CW6),"")</f>
        <v>9.4</v>
      </c>
      <c r="DI6" s="12" t="str">
        <f>IF(SUM(DA6,DE6)&gt;0,SUM(DA6,DE6),"")</f>
        <v/>
      </c>
      <c r="DJ6" s="12">
        <f>IF(SUM(CR6:CS6,CU6)-CT6&gt;0,SUM(CR6:CS6,CU6)-CT6,"")</f>
        <v>29.1</v>
      </c>
      <c r="DK6" s="12">
        <f>IF(SUM(CV6:CW6,CY6)-CX6&gt;0,SUM(CV6:CW6,CY6)-CX6,"")</f>
        <v>30.8</v>
      </c>
      <c r="DL6" s="12">
        <f>IF(SUM(DJ6:DK6)&gt;0,SUM(DJ6:DK6),"")</f>
        <v>59.900000000000006</v>
      </c>
      <c r="DM6" s="12" t="str">
        <f>IF(SUM(CZ6:DA6,DC6:DE6,DG6)-SUM(DB6,DF6)&gt;0,SUM(CZ6:DA6,DC6:DE6,DG6)-SUM(DB6,DF6),"")</f>
        <v/>
      </c>
      <c r="DN6" s="12">
        <f>IF(SUM(DL6,DM6)&gt;0,SUM(DL6,DM6),"")</f>
        <v>59.900000000000006</v>
      </c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15" t="str">
        <f>IF(SUM(DP6,DT6)&gt;0,SUM(DP6,DT6),"")</f>
        <v/>
      </c>
      <c r="EF6" s="15" t="str">
        <f>IF(SUM(DX6,EB6)&gt;0,SUM(DX6,EB6),"")</f>
        <v/>
      </c>
      <c r="EG6" s="15" t="str">
        <f>IF(SUM(DO6:DP6,DR6)-DQ6&gt;0,SUM(DO6:DP6,DR6)-DQ6,"")</f>
        <v/>
      </c>
      <c r="EH6" s="15" t="str">
        <f>IF(SUM(DS6:DT6,DV6)-DU6&gt;0,SUM(DS6:DT6,DV6)-DU6,"")</f>
        <v/>
      </c>
      <c r="EI6" s="15" t="str">
        <f>IF(SUM(EG6:EH6)&gt;0,SUM(EG6:EH6),"")</f>
        <v/>
      </c>
      <c r="EJ6" s="15" t="str">
        <f>IF(SUM(DW6:DX6,DZ6:EB6,ED6)-SUM(DY6,EC6)&gt;0,SUM(DW6:DX6,DZ6:EB6,ED6)-SUM(DY6,EC6),"")</f>
        <v/>
      </c>
      <c r="EK6" s="15" t="str">
        <f>IF(SUM(EI6,EJ6)&gt;0,SUM(EI6,EJ6),"")</f>
        <v/>
      </c>
      <c r="EL6" s="45"/>
      <c r="EM6" s="45"/>
      <c r="EN6" s="45"/>
      <c r="EO6" s="45"/>
      <c r="EP6" s="45"/>
      <c r="EQ6" s="45"/>
      <c r="ER6" s="45"/>
      <c r="ES6" s="45"/>
      <c r="ET6" s="45"/>
      <c r="EU6" s="45"/>
      <c r="EV6" s="45"/>
      <c r="EW6" s="45"/>
      <c r="EX6" s="45"/>
      <c r="EY6" s="45"/>
      <c r="EZ6" s="45"/>
      <c r="FA6" s="45"/>
      <c r="FB6" s="12" t="str">
        <f>IF(SUM(EM6,EQ6)&gt;0,SUM(EM6,EQ6),"")</f>
        <v/>
      </c>
      <c r="FC6" s="12" t="str">
        <f>IF(SUM(EU6,EY6)&gt;0,SUM(EU6,EY6),"")</f>
        <v/>
      </c>
      <c r="FD6" s="12" t="str">
        <f>IF(SUM(EL6:EM6,EO6)-EN6&gt;0,SUM(EL6:EM6,EO6)-EN6,"")</f>
        <v/>
      </c>
      <c r="FE6" s="12" t="str">
        <f>IF(SUM(EP6:EQ6,ES6)-ER6&gt;0,SUM(EP6:EQ6,ES6)-ER6,"")</f>
        <v/>
      </c>
      <c r="FF6" s="12" t="str">
        <f>IF(SUM(FD6:FE6)&gt;0,SUM(FD6:FE6),"")</f>
        <v/>
      </c>
      <c r="FG6" s="12" t="str">
        <f>IF(SUM(ET6:EU6,EW6:EY6,FA6)-SUM(EV6,EZ6)&gt;0,SUM(ET6:EU6,EW6:EY6,FA6)-SUM(EV6,EZ6),"")</f>
        <v/>
      </c>
      <c r="FH6" s="12" t="str">
        <f>IF(SUM(FF6,FG6)&gt;0,SUM(FF6,FG6),"")</f>
        <v/>
      </c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15" t="str">
        <f>IF(SUM(FJ6,FN6)&gt;0,SUM(FJ6,FN6),"")</f>
        <v/>
      </c>
      <c r="FZ6" s="15" t="str">
        <f>IF(SUM(FR6,FV6)&gt;0,SUM(FR6,FV6),"")</f>
        <v/>
      </c>
      <c r="GA6" s="15" t="str">
        <f>IF(SUM(FI6:FJ6,FL6)-FK6&gt;0,SUM(FI6:FJ6,FL6)-FK6,"")</f>
        <v/>
      </c>
      <c r="GB6" s="15" t="str">
        <f>IF(SUM(FM6:FN6,FP6)-FO6&gt;0,SUM(FM6:FN6,FP6)-FO6,"")</f>
        <v/>
      </c>
      <c r="GC6" s="15" t="str">
        <f>IF(SUM(GA6:GB6)&gt;0,SUM(GA6:GB6),"")</f>
        <v/>
      </c>
      <c r="GD6" s="15" t="str">
        <f>IF(SUM(FQ6:FR6,FT6:FV6,FX6)-SUM(FS6,FW6)&gt;0,SUM(FQ6:FR6,FT6:FV6,FX6)-SUM(FS6,FW6),"")</f>
        <v/>
      </c>
      <c r="GE6" s="15" t="str">
        <f>IF(SUM(GC6,GD6)&gt;0,SUM(GC6,GD6),"")</f>
        <v/>
      </c>
      <c r="GF6" s="45"/>
      <c r="GG6" s="45"/>
      <c r="GH6" s="45"/>
      <c r="GI6" s="45"/>
      <c r="GJ6" s="45"/>
      <c r="GK6" s="45"/>
      <c r="GL6" s="45"/>
      <c r="GM6" s="45"/>
      <c r="GN6" s="45"/>
      <c r="GO6" s="45"/>
      <c r="GP6" s="45"/>
      <c r="GQ6" s="45"/>
      <c r="GR6" s="45"/>
      <c r="GS6" s="45"/>
      <c r="GT6" s="45"/>
      <c r="GU6" s="45"/>
      <c r="GV6" s="12" t="str">
        <f>IF(SUM(GG6,GK6)&gt;0,SUM(GG6,GK6),"")</f>
        <v/>
      </c>
      <c r="GW6" s="12" t="str">
        <f>IF(SUM(GO6,GS6)&gt;0,SUM(GO6,GS6),"")</f>
        <v/>
      </c>
      <c r="GX6" s="12" t="str">
        <f>IF(SUM(GF6:GG6,GI6)-GH6&gt;0,SUM(GF6:GG6,GI6)-GH6,"")</f>
        <v/>
      </c>
      <c r="GY6" s="12" t="str">
        <f>IF(SUM(GJ6:GK6,GM6)-GL6&gt;0,SUM(GJ6:GK6,GM6)-GL6,"")</f>
        <v/>
      </c>
      <c r="GZ6" s="12" t="str">
        <f>IF(SUM(GX6:GY6)&gt;0,SUM(GX6:GY6),"")</f>
        <v/>
      </c>
      <c r="HA6" s="12" t="str">
        <f>IF(SUM(GN6:GO6,GQ6:GS6,GU6)-SUM(GP6,GT6)&gt;0,SUM(GN6:GO6,GQ6:GS6,GU6)-SUM(GP6,GT6),"")</f>
        <v/>
      </c>
      <c r="HB6" s="12" t="str">
        <f>IF(SUM(GZ6,HA6)&gt;0,SUM(GZ6,HA6),"")</f>
        <v/>
      </c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15" t="str">
        <f>IF(SUM(HD6,HH6)&gt;0,SUM(HD6,HH6),"")</f>
        <v/>
      </c>
      <c r="HT6" s="15" t="str">
        <f>IF(SUM(HL6,HP6)&gt;0,SUM(HL6,HP6),"")</f>
        <v/>
      </c>
      <c r="HU6" s="15" t="str">
        <f>IF(SUM(HC6:HD6,HF6)-HE6&gt;0,SUM(HC6:HD6,HF6)-HE6,"")</f>
        <v/>
      </c>
      <c r="HV6" s="15" t="str">
        <f>IF(SUM(HG6:HH6,HJ6)-HI6&gt;0,SUM(HG6:HH6,HJ6)-HI6,"")</f>
        <v/>
      </c>
      <c r="HW6" s="15" t="str">
        <f>IF(SUM(HU6:HV6)&gt;0,SUM(HU6:HV6),"")</f>
        <v/>
      </c>
      <c r="HX6" s="15" t="str">
        <f>IF(SUM(HK6:HL6,HN6:HP6,HR6)-SUM(HM6,HQ6)&gt;0,SUM(HK6:HL6,HN6:HP6,HR6)-SUM(HM6,HQ6),"")</f>
        <v/>
      </c>
      <c r="HY6" s="15" t="str">
        <f>IF(SUM(HW6,HX6)&gt;0,SUM(HW6,HX6),"")</f>
        <v/>
      </c>
      <c r="HZ6" s="45"/>
      <c r="IA6" s="45"/>
      <c r="IB6" s="45"/>
      <c r="IC6" s="45"/>
      <c r="ID6" s="45"/>
      <c r="IE6" s="45"/>
      <c r="IF6" s="45"/>
      <c r="IG6" s="45"/>
      <c r="IH6" s="45"/>
      <c r="II6" s="45"/>
      <c r="IJ6" s="45"/>
      <c r="IK6" s="45"/>
      <c r="IL6" s="45"/>
      <c r="IM6" s="45"/>
      <c r="IN6" s="45"/>
      <c r="IO6" s="45"/>
      <c r="IP6" s="12" t="str">
        <f>IF(SUM(IA6,IE6)&gt;0,SUM(IA6,IE6),"")</f>
        <v/>
      </c>
      <c r="IQ6" s="12" t="str">
        <f>IF(SUM(II6,IM6)&gt;0,SUM(II6,IM6),"")</f>
        <v/>
      </c>
      <c r="IR6" s="12" t="str">
        <f>IF(SUM(HZ6:IA6,IC6)-IB6&gt;0,SUM(HZ6:IA6,IC6)-IB6,"")</f>
        <v/>
      </c>
      <c r="IS6" s="12" t="str">
        <f>IF(SUM(ID6:IE6,IG6)-IF6&gt;0,SUM(ID6:IE6,IG6)-IF6,"")</f>
        <v/>
      </c>
      <c r="IT6" s="12" t="str">
        <f>IF(SUM(IR6:IS6)&gt;0,SUM(IR6:IS6),"")</f>
        <v/>
      </c>
      <c r="IU6" s="12" t="str">
        <f>IF(SUM(IH6:II6,IK6:IM6,IO6)-SUM(IJ6,IN6)&gt;0,SUM(IH6:II6,IK6:IM6,IO6)-SUM(IJ6,IN6),"")</f>
        <v/>
      </c>
      <c r="IV6" s="12" t="str">
        <f>IF(SUM(IT6,IU6)&gt;0,SUM(IT6,IU6),"")</f>
        <v/>
      </c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15" t="str">
        <f>IF(SUM(IX6,JB6)&gt;0,SUM(IX6,JB6),"")</f>
        <v/>
      </c>
      <c r="JN6" s="15" t="str">
        <f>IF(SUM(JF6,JJ6)&gt;0,SUM(JF6,JJ6),"")</f>
        <v/>
      </c>
      <c r="JO6" s="15" t="str">
        <f>IF(SUM(IW6:IX6,IZ6)-IY6&gt;0,SUM(IW6:IX6,IZ6)-IY6,"")</f>
        <v/>
      </c>
      <c r="JP6" s="15" t="str">
        <f>IF(SUM(JA6:JB6,JD6)-JC6&gt;0,SUM(JA6:JB6,JD6)-JC6,"")</f>
        <v/>
      </c>
      <c r="JQ6" s="15" t="str">
        <f>IF(SUM(JO6:JP6)&gt;0,SUM(JO6:JP6),"")</f>
        <v/>
      </c>
      <c r="JR6" s="15" t="str">
        <f>IF(SUM(JE6:JF6,JH6:JJ6,JL6)-SUM(JG6,JK6)&gt;0,SUM(JE6:JF6,JH6:JJ6,JL6)-SUM(JG6,JK6),"")</f>
        <v/>
      </c>
      <c r="JS6" s="15" t="str">
        <f>IF(SUM(JQ6,JR6)&gt;0,SUM(JQ6,JR6),"")</f>
        <v/>
      </c>
      <c r="JT6" s="45"/>
      <c r="JU6" s="45"/>
      <c r="JV6" s="45"/>
      <c r="JW6" s="45"/>
      <c r="JX6" s="45"/>
      <c r="JY6" s="45"/>
      <c r="JZ6" s="45"/>
      <c r="KA6" s="45"/>
      <c r="KB6" s="45"/>
      <c r="KC6" s="45"/>
      <c r="KD6" s="45"/>
      <c r="KE6" s="45"/>
      <c r="KF6" s="45"/>
      <c r="KG6" s="45"/>
      <c r="KH6" s="45"/>
      <c r="KI6" s="45"/>
      <c r="KJ6" s="12" t="str">
        <f>IF(SUM(JU6,JY6)&gt;0,SUM(JU6,JY6),"")</f>
        <v/>
      </c>
      <c r="KK6" s="12" t="str">
        <f>IF(SUM(KC6,KG6)&gt;0,SUM(KC6,KG6),"")</f>
        <v/>
      </c>
      <c r="KL6" s="12" t="str">
        <f>IF(SUM(JT6:JU6,JW6)-JV6&gt;0,SUM(JT6:JU6,JW6)-JV6,"")</f>
        <v/>
      </c>
      <c r="KM6" s="12" t="str">
        <f>IF(SUM(JX6:JY6,KA6)-JZ6&gt;0,SUM(JX6:JY6,KA6)-JZ6,"")</f>
        <v/>
      </c>
      <c r="KN6" s="12" t="str">
        <f>IF(SUM(KL6:KM6)&gt;0,SUM(KL6:KM6),"")</f>
        <v/>
      </c>
      <c r="KO6" s="12" t="str">
        <f>IF(SUM(KB6:KC6,KE6:KG6,KI6)-SUM(KD6,KH6)&gt;0,SUM(KB6:KC6,KE6:KG6,KI6)-SUM(KD6,KH6),"")</f>
        <v/>
      </c>
      <c r="KP6" s="12" t="str">
        <f>IF(SUM(KN6,KO6)&gt;0,SUM(KN6,KO6),"")</f>
        <v/>
      </c>
      <c r="KQ6" s="46"/>
      <c r="KR6" s="46"/>
      <c r="KS6" s="46"/>
      <c r="KT6" s="46"/>
      <c r="KU6" s="46"/>
      <c r="KV6" s="46"/>
      <c r="KW6" s="46"/>
      <c r="KX6" s="46"/>
      <c r="KY6" s="46"/>
      <c r="KZ6" s="46"/>
      <c r="LA6" s="46"/>
      <c r="LB6" s="46"/>
      <c r="LC6" s="46"/>
      <c r="LD6" s="46"/>
      <c r="LE6" s="46"/>
      <c r="LF6" s="46"/>
      <c r="LG6" s="15" t="str">
        <f>IF(SUM(KR6,KV6)&gt;0,SUM(KR6,KV6),"")</f>
        <v/>
      </c>
      <c r="LH6" s="15" t="str">
        <f>IF(SUM(KZ6,LD6)&gt;0,SUM(KZ6,LD6),"")</f>
        <v/>
      </c>
      <c r="LI6" s="15" t="str">
        <f>IF(SUM(KQ6:KR6,KT6)-KS6&gt;0,SUM(KQ6:KR6,KT6)-KS6,"")</f>
        <v/>
      </c>
      <c r="LJ6" s="15" t="str">
        <f>IF(SUM(KU6:KV6,KX6)-KW6&gt;0,SUM(KU6:KV6,KX6)-KW6,"")</f>
        <v/>
      </c>
      <c r="LK6" s="15" t="str">
        <f>IF(SUM(LI6:LJ6)&gt;0,SUM(LI6:LJ6),"")</f>
        <v/>
      </c>
      <c r="LL6" s="15" t="str">
        <f>IF(SUM(KY6:KZ6,LB6:LD6,LF6)-SUM(LA6,LE6)&gt;0,SUM(KY6:KZ6,LB6:LD6,LF6)-SUM(LA6,LE6),"")</f>
        <v/>
      </c>
      <c r="LM6" s="15" t="str">
        <f>IF(SUM(LK6,LL6)&gt;0,SUM(LK6,LL6),"")</f>
        <v/>
      </c>
      <c r="LN6" s="45"/>
      <c r="LO6" s="45"/>
      <c r="LP6" s="45"/>
      <c r="LQ6" s="45"/>
      <c r="LR6" s="45"/>
      <c r="LS6" s="45"/>
      <c r="LT6" s="45"/>
      <c r="LU6" s="45"/>
      <c r="LV6" s="45"/>
      <c r="LW6" s="45"/>
      <c r="LX6" s="45"/>
      <c r="LY6" s="45"/>
      <c r="LZ6" s="45"/>
      <c r="MA6" s="45"/>
      <c r="MB6" s="45"/>
      <c r="MC6" s="45"/>
      <c r="MD6" s="12" t="str">
        <f>IF(SUM(LO6,LS6)&gt;0,SUM(LO6,LS6),"")</f>
        <v/>
      </c>
      <c r="ME6" s="12" t="str">
        <f>IF(SUM(LW6,MA6)&gt;0,SUM(LW6,MA6),"")</f>
        <v/>
      </c>
      <c r="MF6" s="12" t="str">
        <f>IF(SUM(LN6:LO6,LQ6)-LP6&gt;0,SUM(LN6:LO6,LQ6)-LP6,"")</f>
        <v/>
      </c>
      <c r="MG6" s="12" t="str">
        <f>IF(SUM(LR6:LS6,LU6)-LT6&gt;0,SUM(LR6:LS6,LU6)-LT6,"")</f>
        <v/>
      </c>
      <c r="MH6" s="12" t="str">
        <f>IF(SUM(MF6:MG6)&gt;0,SUM(MF6:MG6),"")</f>
        <v/>
      </c>
      <c r="MI6" s="12" t="str">
        <f>IF(SUM(LV6:LW6,LY6:MA6,MC6)-SUM(LX6,MB6)&gt;0,SUM(LV6:LW6,LY6:MA6,MC6)-SUM(LX6,MB6),"")</f>
        <v/>
      </c>
      <c r="MJ6" s="12" t="str">
        <f>IF(SUM(MH6,MI6)&gt;0,SUM(MH6,MI6),"")</f>
        <v/>
      </c>
      <c r="MK6" s="46"/>
      <c r="ML6" s="46"/>
      <c r="MM6" s="46"/>
      <c r="MN6" s="46"/>
      <c r="MO6" s="46"/>
      <c r="MP6" s="46"/>
      <c r="MQ6" s="46"/>
      <c r="MR6" s="46"/>
      <c r="MS6" s="46"/>
      <c r="MT6" s="46"/>
      <c r="MU6" s="46"/>
      <c r="MV6" s="46"/>
      <c r="MW6" s="46"/>
      <c r="MX6" s="46"/>
      <c r="MY6" s="46"/>
      <c r="MZ6" s="46"/>
      <c r="NA6" s="15" t="str">
        <f>IF(SUM(ML6,MP6)&gt;0,SUM(ML6,MP6),"")</f>
        <v/>
      </c>
      <c r="NB6" s="15" t="str">
        <f>IF(SUM(MT6,MX6)&gt;0,SUM(MT6,MX6),"")</f>
        <v/>
      </c>
      <c r="NC6" s="15" t="str">
        <f>IF(SUM(MK6:ML6,MN6)-MM6&gt;0,SUM(MK6:ML6,MN6)-MM6,"")</f>
        <v/>
      </c>
      <c r="ND6" s="15" t="str">
        <f>IF(SUM(MO6:MP6,MR6)-MQ6&gt;0,SUM(MO6:MP6,MR6)-MQ6,"")</f>
        <v/>
      </c>
      <c r="NE6" s="15" t="str">
        <f>IF(SUM(NC6:ND6)&gt;0,SUM(NC6:ND6),"")</f>
        <v/>
      </c>
      <c r="NF6" s="15" t="str">
        <f>IF(SUM(MS6:MT6,MV6:MX6,MZ6)-SUM(MU6,MY6)&gt;0,SUM(MS6:MT6,MV6:MX6,MZ6)-SUM(MU6,MY6),"")</f>
        <v/>
      </c>
      <c r="NG6" s="15" t="str">
        <f>IF(SUM(NE6,NF6)&gt;0,SUM(NE6,NF6),"")</f>
        <v/>
      </c>
    </row>
    <row r="7" spans="1:371" x14ac:dyDescent="0.2">
      <c r="A7" s="6" t="str">
        <f>IF(AND(F7="P",H7="P"),SUMPRODUCT((F$4:F$9="P")*(H$4:H$9="P")*(E$4:E$9&gt;E7))+1,IF(H7="P",SUMPRODUCT((F$4:F$9="")*(H$4:H$9="P")*(E$4:E$9&gt;E7))+1+SUMPRODUCT((F$4:F$9="P")*(H$4:H$9="P")),""))</f>
        <v/>
      </c>
      <c r="B7" s="9" t="s">
        <v>112</v>
      </c>
      <c r="C7" s="5" t="s">
        <v>6</v>
      </c>
      <c r="D7" s="31">
        <v>1999</v>
      </c>
      <c r="E7" s="16">
        <f>SUM(J7:R7)</f>
        <v>182.7</v>
      </c>
      <c r="F7" s="4" t="str">
        <f>IF(OR(AND($AL7&gt;=$AM$12,NOT($AL7=""),$AK7=""),AND($BJ7&gt;=$BK$12,NOT($BJ7=""),$BI7=""),AND($CH7&gt;=$CI$12,NOT($CH7=""),$CG7="")),"P","")</f>
        <v/>
      </c>
      <c r="G7" s="4" t="str">
        <f>IF(OR(AND($AL7&gt;=$AM$13,NOT($AL7=""),$AK7=""),AND($BJ7&gt;=$BK$13,NOT($BJ7=""),$BI7=""),AND($CH7&gt;=$CI$13,NOT($CH7=""),$CG7="")),"P","")</f>
        <v/>
      </c>
      <c r="H7" s="4" t="str">
        <f>IF(OR(AND($AP7&gt;=$AM$14,NOT($AP7=""),$AK7=""),AND($BN7&gt;=$BK$14,NOT($BN7=""),$BI7=""),AND($CL7&gt;=$CI$14,NOT($CL7=""),$CG7="")),"P","")</f>
        <v/>
      </c>
      <c r="I7" t="str">
        <f>IF(AND(G7="P",OR(AND($AP7&gt;=$AM$17,NOT($AP7=""),$AK7=""),AND($BN7&gt;=$BK$17,NOT($BN7=""),$BI7=""),AND($CL7&gt;=$CI$17,NOT($CL7=""),$CG7=""))),"Merit",IF(AND(G7="P",OR(AND($AP7&gt;=$AM$16,NOT($AP7=""),$AK7=""),AND($BN7&gt;=$BK$16,NOT($BN7=""),$BI7=""),AND($CL7&gt;=$CI$16,NOT($CL7=""),$CG7=""))),"Funding",IF(AND(G7="P",OR(AND($AP7&gt;=$AM$15,NOT($AP7=""),$AK7=""),AND($BN7&gt;=$BK$15,NOT($BN7=""),$BI7=""),AND($CL7&gt;=$CI$15,NOT($CL7=""),$CG7=""))),"Worlds Team",IF(AND(F7="P",OR(AND($AP7&gt;=$AM$14,NOT($AP7=""),$AK7=""),AND($BN7&gt;=$BK$14,NOT($BN7=""),$BI7=""),AND($CL7&gt;=$CI$14,NOT($CL7=""),$CG7=""))),"National Team",""))))</f>
        <v/>
      </c>
      <c r="J7" s="15">
        <f>MAX(AP7,BN7,CL7)</f>
        <v>61.9</v>
      </c>
      <c r="K7" s="15" t="str">
        <f>IF(J7=CL7,$BQ$1,IF(J7=BN7,$AS$1,IF(J7=AP7,$U$1,"")))</f>
        <v>2018 Nationals</v>
      </c>
      <c r="L7" s="15">
        <f>IF($J7=$AP7,MAX(BL7,CJ7),IF($J7=$BN7,MAX(AN7,CJ7),MAX(AN7,BL7)))</f>
        <v>30.200000000000003</v>
      </c>
      <c r="M7" s="15" t="str">
        <f>IF(AND(L7=CJ7,$K7&lt;&gt;$BQ$1),$BQ$1,IF(AND(L7=BL7,$K7&lt;&gt;$AS$1),$AS$1,IF(AND(L7=AN7,$K7&lt;&gt;$U$1),$U$1,"")))</f>
        <v>2017 Nationals</v>
      </c>
      <c r="N7" s="15">
        <f>IF($J7=$AP7,MAX(BM7,CK7),IF($J7=$BN7,MAX(AO7,CK7),MAX(AO7,BM7)))</f>
        <v>28.799999999999997</v>
      </c>
      <c r="O7" s="15" t="str">
        <f>IF(AND(N7=CK7,$K7&lt;&gt;$BQ$1),$BQ$1,IF(AND(N7=BM7,$K7&lt;&gt;$AS$1),$AS$1,IF(AND(N7=AO7,$K7&lt;&gt;$U$1),$U$1,"")))</f>
        <v>2017 Nationals</v>
      </c>
      <c r="P7" s="15">
        <f>MAX(AQ7,BO7,CM7)</f>
        <v>61.8</v>
      </c>
      <c r="Q7" s="15" t="str">
        <f>IF(P7=CM7,$BQ$1,IF(P7=BO7,$AS$1,IF(P7=AQ7,$U$1,"")))</f>
        <v>2018 Nationals</v>
      </c>
      <c r="R7" s="15" t="str">
        <f>IF(MAX(CO7:CQ7)&gt;0,MAX(CO7:CQ7),"")</f>
        <v/>
      </c>
      <c r="S7" s="29" t="str">
        <f>IF(R7="","",IF(R7=CO7,"(Pass 1)",IF(R7=CP7,"(Pass 2)",IF(R7=CQ7,"(Final)"))))</f>
        <v/>
      </c>
      <c r="T7" s="15" t="str">
        <f>IF(R7="","",IF(R7=CO7,IF(R7+L7=NC7,$MK$1,IF(R7+L7=MF7,$LN$1,IF(R7+L7=LI7,$KQ$1,IF(R7+L7=KL7,$JT$1,IF(R7+L7=JO7,$IW$1,IF(R7+L7=IR7,$HZ$1,IF(R7+L7=HU7,$HC$1,IF(R7+L7=GX7,$GF$1,IF(R7+L7=GA7,$FI$1,IF(R7+L7=FD7,$EL$1,IF(R7+L7=EG7,$DO$1,IF(R7+L7=DJ7,$CR$1)))))))))))),IF(R7=CP7,IF(R7+N7=ND7,$MK$1,IF(R7+N7=MG7,$LN$1,IF(R7+N7=LJ7,$KQ$1,IF(R7+N7=KM7,$JT$1,IF(R7+N7=JP7,$IW$1,IF(R7+N7=IS7,$HZ$1,IF(R7+N7=HV7,$HC$1,IF(R7+N7=GY7,$GF$1,IF(R7+N7=GB7,$FI$1,IF(R7+N7=FE7,$EL$1,IF(R7+N7=EH7,$DO$1,IF(R7+N7=DK7,$CR$1)))))))))))),IF(R7=CQ7,IF(R7+P7=NF7,$MK$1,IF(R7+P7=MI7,$LN$1,IF(R7+P7=LL7,$KQ$1,IF(R7+P7=KO7,$JT$1,IF(R7+P7=JR7,$IW$1,IF(R7+P7=IU7,$HZ$1,IF(R7+P7=HX7,$HC$1,IF(R7+P7=HA7,$GF$1,IF(R7+P7=GD7,$FI$1,IF(R7+P7=FG7,$EL$1,IF(R7+P7=EJ7,$DO$1,IF(R7+P7=DM7,$CR$1))))))))))))))))</f>
        <v/>
      </c>
      <c r="U7" s="48">
        <v>24.1</v>
      </c>
      <c r="V7" s="48">
        <v>5.0999999999999996</v>
      </c>
      <c r="W7" s="48">
        <v>0</v>
      </c>
      <c r="X7" s="48">
        <v>1</v>
      </c>
      <c r="Y7" s="48">
        <v>23.7</v>
      </c>
      <c r="Z7" s="48">
        <v>5.0999999999999996</v>
      </c>
      <c r="AA7" s="48">
        <v>0</v>
      </c>
      <c r="AB7" s="48">
        <v>0</v>
      </c>
      <c r="AC7" s="48">
        <v>25.1</v>
      </c>
      <c r="AD7" s="48">
        <v>5.0999999999999996</v>
      </c>
      <c r="AE7" s="48">
        <v>0</v>
      </c>
      <c r="AF7" s="48">
        <v>1</v>
      </c>
      <c r="AG7" s="48">
        <v>25.2</v>
      </c>
      <c r="AH7" s="48">
        <v>5.0999999999999996</v>
      </c>
      <c r="AI7" s="48">
        <v>0</v>
      </c>
      <c r="AJ7" s="48">
        <v>0</v>
      </c>
      <c r="AK7" s="108"/>
      <c r="AL7" s="12">
        <f>IF(SUM(V7,Z7)&gt;0,SUM(V7,Z7),"")</f>
        <v>10.199999999999999</v>
      </c>
      <c r="AM7" s="12">
        <f>IF(SUM(AD7,AH7)&gt;0,SUM(AD7,AH7),"")</f>
        <v>10.199999999999999</v>
      </c>
      <c r="AN7" s="12">
        <f>IF(SUM(U7:V7,X7)-W7&gt;0,SUM(U7:V7,X7)-W7,"")</f>
        <v>30.200000000000003</v>
      </c>
      <c r="AO7" s="12">
        <f>IF(SUM(Y7:Z7,AB7)-AA7&gt;0,SUM(Y7:Z7,AB7)-AA7,"")</f>
        <v>28.799999999999997</v>
      </c>
      <c r="AP7" s="12">
        <f>IF(SUM(AN7:AO7)&gt;0,SUM(AN7:AO7),"")</f>
        <v>59</v>
      </c>
      <c r="AQ7" s="12">
        <f>IF(SUM(AC7:AD7,AF7:AH7,AJ7)-SUM(AE7,AI7)&gt;0,SUM(AC7:AD7,AF7:AH7,AJ7)-SUM(AE7,AI7),"")</f>
        <v>61.500000000000007</v>
      </c>
      <c r="AR7" s="12">
        <f>IF(SUM(AP7,AQ7)&gt;0,SUM(AP7,AQ7),"")</f>
        <v>120.5</v>
      </c>
      <c r="AS7" s="80">
        <v>22.3</v>
      </c>
      <c r="AT7" s="80">
        <v>2.8</v>
      </c>
      <c r="AU7" s="80">
        <v>0</v>
      </c>
      <c r="AV7" s="80">
        <v>0</v>
      </c>
      <c r="AW7" s="80">
        <v>22.8</v>
      </c>
      <c r="AX7" s="80">
        <v>5</v>
      </c>
      <c r="AY7" s="80">
        <v>0.3</v>
      </c>
      <c r="AZ7" s="80">
        <v>0</v>
      </c>
      <c r="BA7" s="80"/>
      <c r="BB7" s="80"/>
      <c r="BC7" s="80"/>
      <c r="BD7" s="80"/>
      <c r="BE7" s="80"/>
      <c r="BF7" s="80"/>
      <c r="BG7" s="80"/>
      <c r="BH7" s="80"/>
      <c r="BI7" s="109"/>
      <c r="BJ7" s="15">
        <f>IF(SUM(AT7,AX7)&gt;0,SUM(AT7,AX7),"")</f>
        <v>7.8</v>
      </c>
      <c r="BK7" s="15" t="str">
        <f>IF(SUM(BB7,BF7)&gt;0,SUM(BB7,BF7),"")</f>
        <v/>
      </c>
      <c r="BL7" s="15">
        <f>IF(SUM(AS7:AT7,AV7)-AU7&gt;0,SUM(AS7:AT7,AV7)-AU7,"")</f>
        <v>25.1</v>
      </c>
      <c r="BM7" s="15">
        <f>IF(SUM(AW7:AX7,AZ7)-AY7&gt;0,SUM(AW7:AX7,AZ7)-AY7,"")</f>
        <v>27.5</v>
      </c>
      <c r="BN7" s="15">
        <f>IF(SUM(BL7:BM7)&gt;0,SUM(BL7:BM7),"")</f>
        <v>52.6</v>
      </c>
      <c r="BO7" s="15" t="str">
        <f>IF(SUM(BA7:BB7,BD7:BF7,BH7)-SUM(BC7,BG7)&gt;0,SUM(BA7:BB7,BD7:BF7,BH7)-SUM(BC7,BG7),"")</f>
        <v/>
      </c>
      <c r="BP7" s="15">
        <f>IF(SUM(BN7,BO7)&gt;0,SUM(BN7,BO7),"")</f>
        <v>52.6</v>
      </c>
      <c r="BQ7" s="45">
        <v>25.4</v>
      </c>
      <c r="BR7" s="45">
        <v>5.2</v>
      </c>
      <c r="BS7" s="45">
        <v>0</v>
      </c>
      <c r="BT7" s="45">
        <v>0</v>
      </c>
      <c r="BU7" s="45">
        <v>26.3</v>
      </c>
      <c r="BV7" s="45">
        <v>5</v>
      </c>
      <c r="BW7" s="45">
        <v>0</v>
      </c>
      <c r="BX7" s="45">
        <v>0</v>
      </c>
      <c r="BY7" s="45">
        <v>26</v>
      </c>
      <c r="BZ7" s="45">
        <v>5.2</v>
      </c>
      <c r="CA7" s="45">
        <v>0</v>
      </c>
      <c r="CB7" s="45">
        <v>0</v>
      </c>
      <c r="CC7" s="45">
        <v>25.6</v>
      </c>
      <c r="CD7" s="45">
        <v>5</v>
      </c>
      <c r="CE7" s="45">
        <v>0</v>
      </c>
      <c r="CF7" s="45">
        <v>0</v>
      </c>
      <c r="CG7" s="108"/>
      <c r="CH7" s="12">
        <f>IF(SUM(BR7,BV7)&gt;0,SUM(BR7,BV7),"")</f>
        <v>10.199999999999999</v>
      </c>
      <c r="CI7" s="12">
        <f>IF(SUM(BZ7,CD7)&gt;0,SUM(BZ7,CD7),"")</f>
        <v>10.199999999999999</v>
      </c>
      <c r="CJ7" s="12">
        <f>IF(SUM(BQ7:BR7,BT7)-BS7&gt;0,SUM(BQ7:BR7,BT7)-BS7,"")</f>
        <v>30.599999999999998</v>
      </c>
      <c r="CK7" s="12">
        <f>IF(SUM(BU7:BV7,BX7)-BW7&gt;0,SUM(BU7:BV7,BX7)-BW7,"")</f>
        <v>31.3</v>
      </c>
      <c r="CL7" s="12">
        <f>IF(SUM(CJ7:CK7)&gt;0,SUM(CJ7:CK7),"")</f>
        <v>61.9</v>
      </c>
      <c r="CM7" s="12">
        <f>IF(SUM(BY7:BZ7,CB7:CD7,CF7)-SUM(CA7,CE7)&gt;0,SUM(BY7:BZ7,CB7:CD7,CF7)-SUM(CA7,CE7),"")</f>
        <v>61.8</v>
      </c>
      <c r="CN7" s="12">
        <f>IF(SUM(CL7,CM7)&gt;0,SUM(CL7,CM7),"")</f>
        <v>123.69999999999999</v>
      </c>
      <c r="CO7" s="28" t="str">
        <f>IF(MAX(DJ7,EG7,FD7,GA7,GX7,HU7,IR7,JO7,KL7,LI7,MF7,NC7)-L7&gt;0.001,MAX(DJ7,EG7,FD7,GA7,GX7,HU7,IR7,JO7,KL7,LI7,MF7,NC7)-L7,"")</f>
        <v/>
      </c>
      <c r="CP7" s="28" t="str">
        <f>IF(MAX(DK7,EH7,FE7,GB7,GY7,HV7,IS7,JP7,KM7,LJ7,MG7,ND7)-N7&gt;0.001,MAX(DK7,EH7,FE7,GB7,GY7,HV7,IS7,JP7,KM7,LJ7,MG7,ND7)-N7,"")</f>
        <v/>
      </c>
      <c r="CQ7" s="28" t="str">
        <f>IF(MAX(DM7,EJ7,FG7,GD7,HA7,HX7,IU7,JR7,KO7,LL7,MI7,NF7)-P7&gt;0.001,MAX(DM7,EJ7,FG7,GD7,HA7,HX7,IU7,JR7,KO7,LL7,MI7,NF7)-P7,"")</f>
        <v/>
      </c>
      <c r="CR7" s="45"/>
      <c r="CS7" s="45"/>
      <c r="CT7" s="45"/>
      <c r="CU7" s="45"/>
      <c r="CV7" s="45"/>
      <c r="CW7" s="45"/>
      <c r="CX7" s="45"/>
      <c r="CY7" s="45"/>
      <c r="CZ7" s="45"/>
      <c r="DA7" s="45"/>
      <c r="DB7" s="45"/>
      <c r="DC7" s="45"/>
      <c r="DD7" s="45"/>
      <c r="DE7" s="45"/>
      <c r="DF7" s="45"/>
      <c r="DG7" s="45"/>
      <c r="DH7" s="12" t="str">
        <f>IF(SUM(CS7,CW7)&gt;0,SUM(CS7,CW7),"")</f>
        <v/>
      </c>
      <c r="DI7" s="12" t="str">
        <f>IF(SUM(DA7,DE7)&gt;0,SUM(DA7,DE7),"")</f>
        <v/>
      </c>
      <c r="DJ7" s="12" t="str">
        <f>IF(SUM(CR7:CS7,CU7)-CT7&gt;0,SUM(CR7:CS7,CU7)-CT7,"")</f>
        <v/>
      </c>
      <c r="DK7" s="12" t="str">
        <f>IF(SUM(CV7:CW7,CY7)-CX7&gt;0,SUM(CV7:CW7,CY7)-CX7,"")</f>
        <v/>
      </c>
      <c r="DL7" s="12" t="str">
        <f>IF(SUM(DJ7:DK7)&gt;0,SUM(DJ7:DK7),"")</f>
        <v/>
      </c>
      <c r="DM7" s="12" t="str">
        <f>IF(SUM(CZ7:DA7,DC7:DE7,DG7)-SUM(DB7,DF7)&gt;0,SUM(CZ7:DA7,DC7:DE7,DG7)-SUM(DB7,DF7),"")</f>
        <v/>
      </c>
      <c r="DN7" s="12" t="str">
        <f>IF(SUM(DL7,DM7)&gt;0,SUM(DL7,DM7),"")</f>
        <v/>
      </c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15" t="str">
        <f>IF(SUM(DP7,DT7)&gt;0,SUM(DP7,DT7),"")</f>
        <v/>
      </c>
      <c r="EF7" s="15" t="str">
        <f>IF(SUM(DX7,EB7)&gt;0,SUM(DX7,EB7),"")</f>
        <v/>
      </c>
      <c r="EG7" s="15" t="str">
        <f>IF(SUM(DO7:DP7,DR7)-DQ7&gt;0,SUM(DO7:DP7,DR7)-DQ7,"")</f>
        <v/>
      </c>
      <c r="EH7" s="15" t="str">
        <f>IF(SUM(DS7:DT7,DV7)-DU7&gt;0,SUM(DS7:DT7,DV7)-DU7,"")</f>
        <v/>
      </c>
      <c r="EI7" s="15" t="str">
        <f>IF(SUM(EG7:EH7)&gt;0,SUM(EG7:EH7),"")</f>
        <v/>
      </c>
      <c r="EJ7" s="15" t="str">
        <f>IF(SUM(DW7:DX7,DZ7:EB7,ED7)-SUM(DY7,EC7)&gt;0,SUM(DW7:DX7,DZ7:EB7,ED7)-SUM(DY7,EC7),"")</f>
        <v/>
      </c>
      <c r="EK7" s="15" t="str">
        <f>IF(SUM(EI7,EJ7)&gt;0,SUM(EI7,EJ7),"")</f>
        <v/>
      </c>
      <c r="EL7" s="45"/>
      <c r="EM7" s="45"/>
      <c r="EN7" s="45"/>
      <c r="EO7" s="45"/>
      <c r="EP7" s="45"/>
      <c r="EQ7" s="45"/>
      <c r="ER7" s="45"/>
      <c r="ES7" s="45"/>
      <c r="ET7" s="45"/>
      <c r="EU7" s="45"/>
      <c r="EV7" s="45"/>
      <c r="EW7" s="45"/>
      <c r="EX7" s="45"/>
      <c r="EY7" s="45"/>
      <c r="EZ7" s="45"/>
      <c r="FA7" s="45"/>
      <c r="FB7" s="12" t="str">
        <f>IF(SUM(EM7,EQ7)&gt;0,SUM(EM7,EQ7),"")</f>
        <v/>
      </c>
      <c r="FC7" s="12" t="str">
        <f>IF(SUM(EU7,EY7)&gt;0,SUM(EU7,EY7),"")</f>
        <v/>
      </c>
      <c r="FD7" s="12" t="str">
        <f>IF(SUM(EL7:EM7,EO7)-EN7&gt;0,SUM(EL7:EM7,EO7)-EN7,"")</f>
        <v/>
      </c>
      <c r="FE7" s="12" t="str">
        <f>IF(SUM(EP7:EQ7,ES7)-ER7&gt;0,SUM(EP7:EQ7,ES7)-ER7,"")</f>
        <v/>
      </c>
      <c r="FF7" s="12" t="str">
        <f>IF(SUM(FD7:FE7)&gt;0,SUM(FD7:FE7),"")</f>
        <v/>
      </c>
      <c r="FG7" s="12" t="str">
        <f>IF(SUM(ET7:EU7,EW7:EY7,FA7)-SUM(EV7,EZ7)&gt;0,SUM(ET7:EU7,EW7:EY7,FA7)-SUM(EV7,EZ7),"")</f>
        <v/>
      </c>
      <c r="FH7" s="12" t="str">
        <f>IF(SUM(FF7,FG7)&gt;0,SUM(FF7,FG7),"")</f>
        <v/>
      </c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15" t="str">
        <f>IF(SUM(FJ7,FN7)&gt;0,SUM(FJ7,FN7),"")</f>
        <v/>
      </c>
      <c r="FZ7" s="15" t="str">
        <f>IF(SUM(FR7,FV7)&gt;0,SUM(FR7,FV7),"")</f>
        <v/>
      </c>
      <c r="GA7" s="15" t="str">
        <f>IF(SUM(FI7:FJ7,FL7)-FK7&gt;0,SUM(FI7:FJ7,FL7)-FK7,"")</f>
        <v/>
      </c>
      <c r="GB7" s="15" t="str">
        <f>IF(SUM(FM7:FN7,FP7)-FO7&gt;0,SUM(FM7:FN7,FP7)-FO7,"")</f>
        <v/>
      </c>
      <c r="GC7" s="15" t="str">
        <f>IF(SUM(GA7:GB7)&gt;0,SUM(GA7:GB7),"")</f>
        <v/>
      </c>
      <c r="GD7" s="15" t="str">
        <f>IF(SUM(FQ7:FR7,FT7:FV7,FX7)-SUM(FS7,FW7)&gt;0,SUM(FQ7:FR7,FT7:FV7,FX7)-SUM(FS7,FW7),"")</f>
        <v/>
      </c>
      <c r="GE7" s="15" t="str">
        <f>IF(SUM(GC7,GD7)&gt;0,SUM(GC7,GD7),"")</f>
        <v/>
      </c>
      <c r="GF7" s="45"/>
      <c r="GG7" s="45"/>
      <c r="GH7" s="45"/>
      <c r="GI7" s="45"/>
      <c r="GJ7" s="45"/>
      <c r="GK7" s="45"/>
      <c r="GL7" s="45"/>
      <c r="GM7" s="45"/>
      <c r="GN7" s="45"/>
      <c r="GO7" s="45"/>
      <c r="GP7" s="45"/>
      <c r="GQ7" s="45"/>
      <c r="GR7" s="45"/>
      <c r="GS7" s="45"/>
      <c r="GT7" s="45"/>
      <c r="GU7" s="45"/>
      <c r="GV7" s="12" t="str">
        <f>IF(SUM(GG7,GK7)&gt;0,SUM(GG7,GK7),"")</f>
        <v/>
      </c>
      <c r="GW7" s="12" t="str">
        <f>IF(SUM(GO7,GS7)&gt;0,SUM(GO7,GS7),"")</f>
        <v/>
      </c>
      <c r="GX7" s="12" t="str">
        <f>IF(SUM(GF7:GG7,GI7)-GH7&gt;0,SUM(GF7:GG7,GI7)-GH7,"")</f>
        <v/>
      </c>
      <c r="GY7" s="12" t="str">
        <f>IF(SUM(GJ7:GK7,GM7)-GL7&gt;0,SUM(GJ7:GK7,GM7)-GL7,"")</f>
        <v/>
      </c>
      <c r="GZ7" s="12" t="str">
        <f>IF(SUM(GX7:GY7)&gt;0,SUM(GX7:GY7),"")</f>
        <v/>
      </c>
      <c r="HA7" s="12" t="str">
        <f>IF(SUM(GN7:GO7,GQ7:GS7,GU7)-SUM(GP7,GT7)&gt;0,SUM(GN7:GO7,GQ7:GS7,GU7)-SUM(GP7,GT7),"")</f>
        <v/>
      </c>
      <c r="HB7" s="12" t="str">
        <f>IF(SUM(GZ7,HA7)&gt;0,SUM(GZ7,HA7),"")</f>
        <v/>
      </c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15" t="str">
        <f>IF(SUM(HD7,HH7)&gt;0,SUM(HD7,HH7),"")</f>
        <v/>
      </c>
      <c r="HT7" s="15" t="str">
        <f>IF(SUM(HL7,HP7)&gt;0,SUM(HL7,HP7),"")</f>
        <v/>
      </c>
      <c r="HU7" s="15" t="str">
        <f>IF(SUM(HC7:HD7,HF7)-HE7&gt;0,SUM(HC7:HD7,HF7)-HE7,"")</f>
        <v/>
      </c>
      <c r="HV7" s="15" t="str">
        <f>IF(SUM(HG7:HH7,HJ7)-HI7&gt;0,SUM(HG7:HH7,HJ7)-HI7,"")</f>
        <v/>
      </c>
      <c r="HW7" s="15" t="str">
        <f>IF(SUM(HU7:HV7)&gt;0,SUM(HU7:HV7),"")</f>
        <v/>
      </c>
      <c r="HX7" s="15" t="str">
        <f>IF(SUM(HK7:HL7,HN7:HP7,HR7)-SUM(HM7,HQ7)&gt;0,SUM(HK7:HL7,HN7:HP7,HR7)-SUM(HM7,HQ7),"")</f>
        <v/>
      </c>
      <c r="HY7" s="15" t="str">
        <f>IF(SUM(HW7,HX7)&gt;0,SUM(HW7,HX7),"")</f>
        <v/>
      </c>
      <c r="HZ7" s="45"/>
      <c r="IA7" s="45"/>
      <c r="IB7" s="45"/>
      <c r="IC7" s="45"/>
      <c r="ID7" s="45"/>
      <c r="IE7" s="45"/>
      <c r="IF7" s="45"/>
      <c r="IG7" s="45"/>
      <c r="IH7" s="45"/>
      <c r="II7" s="45"/>
      <c r="IJ7" s="45"/>
      <c r="IK7" s="45"/>
      <c r="IL7" s="45"/>
      <c r="IM7" s="45"/>
      <c r="IN7" s="45"/>
      <c r="IO7" s="45"/>
      <c r="IP7" s="12" t="str">
        <f>IF(SUM(IA7,IE7)&gt;0,SUM(IA7,IE7),"")</f>
        <v/>
      </c>
      <c r="IQ7" s="12" t="str">
        <f>IF(SUM(II7,IM7)&gt;0,SUM(II7,IM7),"")</f>
        <v/>
      </c>
      <c r="IR7" s="12" t="str">
        <f>IF(SUM(HZ7:IA7,IC7)-IB7&gt;0,SUM(HZ7:IA7,IC7)-IB7,"")</f>
        <v/>
      </c>
      <c r="IS7" s="12" t="str">
        <f>IF(SUM(ID7:IE7,IG7)-IF7&gt;0,SUM(ID7:IE7,IG7)-IF7,"")</f>
        <v/>
      </c>
      <c r="IT7" s="12" t="str">
        <f>IF(SUM(IR7:IS7)&gt;0,SUM(IR7:IS7),"")</f>
        <v/>
      </c>
      <c r="IU7" s="12" t="str">
        <f>IF(SUM(IH7:II7,IK7:IM7,IO7)-SUM(IJ7,IN7)&gt;0,SUM(IH7:II7,IK7:IM7,IO7)-SUM(IJ7,IN7),"")</f>
        <v/>
      </c>
      <c r="IV7" s="12" t="str">
        <f>IF(SUM(IT7,IU7)&gt;0,SUM(IT7,IU7),"")</f>
        <v/>
      </c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15" t="str">
        <f>IF(SUM(IX7,JB7)&gt;0,SUM(IX7,JB7),"")</f>
        <v/>
      </c>
      <c r="JN7" s="15" t="str">
        <f>IF(SUM(JF7,JJ7)&gt;0,SUM(JF7,JJ7),"")</f>
        <v/>
      </c>
      <c r="JO7" s="15" t="str">
        <f>IF(SUM(IW7:IX7,IZ7)-IY7&gt;0,SUM(IW7:IX7,IZ7)-IY7,"")</f>
        <v/>
      </c>
      <c r="JP7" s="15" t="str">
        <f>IF(SUM(JA7:JB7,JD7)-JC7&gt;0,SUM(JA7:JB7,JD7)-JC7,"")</f>
        <v/>
      </c>
      <c r="JQ7" s="15" t="str">
        <f>IF(SUM(JO7:JP7)&gt;0,SUM(JO7:JP7),"")</f>
        <v/>
      </c>
      <c r="JR7" s="15" t="str">
        <f>IF(SUM(JE7:JF7,JH7:JJ7,JL7)-SUM(JG7,JK7)&gt;0,SUM(JE7:JF7,JH7:JJ7,JL7)-SUM(JG7,JK7),"")</f>
        <v/>
      </c>
      <c r="JS7" s="15" t="str">
        <f>IF(SUM(JQ7,JR7)&gt;0,SUM(JQ7,JR7),"")</f>
        <v/>
      </c>
      <c r="JT7" s="45"/>
      <c r="JU7" s="45"/>
      <c r="JV7" s="45"/>
      <c r="JW7" s="45"/>
      <c r="JX7" s="45"/>
      <c r="JY7" s="45"/>
      <c r="JZ7" s="45"/>
      <c r="KA7" s="45"/>
      <c r="KB7" s="45"/>
      <c r="KC7" s="45"/>
      <c r="KD7" s="45"/>
      <c r="KE7" s="45"/>
      <c r="KF7" s="45"/>
      <c r="KG7" s="45"/>
      <c r="KH7" s="45"/>
      <c r="KI7" s="45"/>
      <c r="KJ7" s="12" t="str">
        <f>IF(SUM(JU7,JY7)&gt;0,SUM(JU7,JY7),"")</f>
        <v/>
      </c>
      <c r="KK7" s="12" t="str">
        <f>IF(SUM(KC7,KG7)&gt;0,SUM(KC7,KG7),"")</f>
        <v/>
      </c>
      <c r="KL7" s="12" t="str">
        <f>IF(SUM(JT7:JU7,JW7)-JV7&gt;0,SUM(JT7:JU7,JW7)-JV7,"")</f>
        <v/>
      </c>
      <c r="KM7" s="12" t="str">
        <f>IF(SUM(JX7:JY7,KA7)-JZ7&gt;0,SUM(JX7:JY7,KA7)-JZ7,"")</f>
        <v/>
      </c>
      <c r="KN7" s="12" t="str">
        <f>IF(SUM(KL7:KM7)&gt;0,SUM(KL7:KM7),"")</f>
        <v/>
      </c>
      <c r="KO7" s="12" t="str">
        <f>IF(SUM(KB7:KC7,KE7:KG7,KI7)-SUM(KD7,KH7)&gt;0,SUM(KB7:KC7,KE7:KG7,KI7)-SUM(KD7,KH7),"")</f>
        <v/>
      </c>
      <c r="KP7" s="12" t="str">
        <f>IF(SUM(KN7,KO7)&gt;0,SUM(KN7,KO7),"")</f>
        <v/>
      </c>
      <c r="KQ7" s="46"/>
      <c r="KR7" s="46"/>
      <c r="KS7" s="46"/>
      <c r="KT7" s="46"/>
      <c r="KU7" s="46"/>
      <c r="KV7" s="46"/>
      <c r="KW7" s="46"/>
      <c r="KX7" s="46"/>
      <c r="KY7" s="46"/>
      <c r="KZ7" s="46"/>
      <c r="LA7" s="46"/>
      <c r="LB7" s="46"/>
      <c r="LC7" s="46"/>
      <c r="LD7" s="46"/>
      <c r="LE7" s="46"/>
      <c r="LF7" s="46"/>
      <c r="LG7" s="15" t="str">
        <f>IF(SUM(KR7,KV7)&gt;0,SUM(KR7,KV7),"")</f>
        <v/>
      </c>
      <c r="LH7" s="15" t="str">
        <f>IF(SUM(KZ7,LD7)&gt;0,SUM(KZ7,LD7),"")</f>
        <v/>
      </c>
      <c r="LI7" s="15" t="str">
        <f>IF(SUM(KQ7:KR7,KT7)-KS7&gt;0,SUM(KQ7:KR7,KT7)-KS7,"")</f>
        <v/>
      </c>
      <c r="LJ7" s="15" t="str">
        <f>IF(SUM(KU7:KV7,KX7)-KW7&gt;0,SUM(KU7:KV7,KX7)-KW7,"")</f>
        <v/>
      </c>
      <c r="LK7" s="15" t="str">
        <f>IF(SUM(LI7:LJ7)&gt;0,SUM(LI7:LJ7),"")</f>
        <v/>
      </c>
      <c r="LL7" s="15" t="str">
        <f>IF(SUM(KY7:KZ7,LB7:LD7,LF7)-SUM(LA7,LE7)&gt;0,SUM(KY7:KZ7,LB7:LD7,LF7)-SUM(LA7,LE7),"")</f>
        <v/>
      </c>
      <c r="LM7" s="15" t="str">
        <f>IF(SUM(LK7,LL7)&gt;0,SUM(LK7,LL7),"")</f>
        <v/>
      </c>
      <c r="LN7" s="45"/>
      <c r="LO7" s="45"/>
      <c r="LP7" s="45"/>
      <c r="LQ7" s="45"/>
      <c r="LR7" s="45"/>
      <c r="LS7" s="45"/>
      <c r="LT7" s="45"/>
      <c r="LU7" s="45"/>
      <c r="LV7" s="45"/>
      <c r="LW7" s="45"/>
      <c r="LX7" s="45"/>
      <c r="LY7" s="45"/>
      <c r="LZ7" s="45"/>
      <c r="MA7" s="45"/>
      <c r="MB7" s="45"/>
      <c r="MC7" s="45"/>
      <c r="MD7" s="12" t="str">
        <f>IF(SUM(LO7,LS7)&gt;0,SUM(LO7,LS7),"")</f>
        <v/>
      </c>
      <c r="ME7" s="12" t="str">
        <f>IF(SUM(LW7,MA7)&gt;0,SUM(LW7,MA7),"")</f>
        <v/>
      </c>
      <c r="MF7" s="12" t="str">
        <f>IF(SUM(LN7:LO7,LQ7)-LP7&gt;0,SUM(LN7:LO7,LQ7)-LP7,"")</f>
        <v/>
      </c>
      <c r="MG7" s="12" t="str">
        <f>IF(SUM(LR7:LS7,LU7)-LT7&gt;0,SUM(LR7:LS7,LU7)-LT7,"")</f>
        <v/>
      </c>
      <c r="MH7" s="12" t="str">
        <f>IF(SUM(MF7:MG7)&gt;0,SUM(MF7:MG7),"")</f>
        <v/>
      </c>
      <c r="MI7" s="12" t="str">
        <f>IF(SUM(LV7:LW7,LY7:MA7,MC7)-SUM(LX7,MB7)&gt;0,SUM(LV7:LW7,LY7:MA7,MC7)-SUM(LX7,MB7),"")</f>
        <v/>
      </c>
      <c r="MJ7" s="12" t="str">
        <f>IF(SUM(MH7,MI7)&gt;0,SUM(MH7,MI7),"")</f>
        <v/>
      </c>
      <c r="MK7" s="46"/>
      <c r="ML7" s="46"/>
      <c r="MM7" s="46"/>
      <c r="MN7" s="46"/>
      <c r="MO7" s="46"/>
      <c r="MP7" s="46"/>
      <c r="MQ7" s="46"/>
      <c r="MR7" s="46"/>
      <c r="MS7" s="46"/>
      <c r="MT7" s="46"/>
      <c r="MU7" s="46"/>
      <c r="MV7" s="46"/>
      <c r="MW7" s="46"/>
      <c r="MX7" s="46"/>
      <c r="MY7" s="46"/>
      <c r="MZ7" s="46"/>
      <c r="NA7" s="15" t="str">
        <f>IF(SUM(ML7,MP7)&gt;0,SUM(ML7,MP7),"")</f>
        <v/>
      </c>
      <c r="NB7" s="15" t="str">
        <f>IF(SUM(MT7,MX7)&gt;0,SUM(MT7,MX7),"")</f>
        <v/>
      </c>
      <c r="NC7" s="15" t="str">
        <f>IF(SUM(MK7:ML7,MN7)-MM7&gt;0,SUM(MK7:ML7,MN7)-MM7,"")</f>
        <v/>
      </c>
      <c r="ND7" s="15" t="str">
        <f>IF(SUM(MO7:MP7,MR7)-MQ7&gt;0,SUM(MO7:MP7,MR7)-MQ7,"")</f>
        <v/>
      </c>
      <c r="NE7" s="15" t="str">
        <f>IF(SUM(NC7:ND7)&gt;0,SUM(NC7:ND7),"")</f>
        <v/>
      </c>
      <c r="NF7" s="15" t="str">
        <f>IF(SUM(MS7:MT7,MV7:MX7,MZ7)-SUM(MU7,MY7)&gt;0,SUM(MS7:MT7,MV7:MX7,MZ7)-SUM(MU7,MY7),"")</f>
        <v/>
      </c>
      <c r="NG7" s="15" t="str">
        <f>IF(SUM(NE7,NF7)&gt;0,SUM(NE7,NF7),"")</f>
        <v/>
      </c>
    </row>
    <row r="8" spans="1:371" x14ac:dyDescent="0.2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9" t="s">
        <v>41</v>
      </c>
      <c r="C8" s="5" t="s">
        <v>4</v>
      </c>
      <c r="D8" s="31">
        <v>1997</v>
      </c>
      <c r="E8" s="16">
        <f>SUM(J8:R8)</f>
        <v>164.6</v>
      </c>
      <c r="F8" s="4" t="str">
        <f>IF(OR(AND($AL8&gt;=$AM$12,NOT($AL8=""),$AK8=""),AND($BJ8&gt;=$BK$12,NOT($BJ8=""),$BI8=""),AND($CH8&gt;=$CI$12,NOT($CH8=""),$CG8="")),"P","")</f>
        <v/>
      </c>
      <c r="G8" s="4" t="str">
        <f>IF(OR(AND($AL8&gt;=$AM$13,NOT($AL8=""),$AK8=""),AND($BJ8&gt;=$BK$13,NOT($BJ8=""),$BI8=""),AND($CH8&gt;=$CI$13,NOT($CH8=""),$CG8="")),"P","")</f>
        <v/>
      </c>
      <c r="H8" s="4" t="str">
        <f>IF(OR(AND($AP8&gt;=$AM$14,NOT($AP8=""),$AK8=""),AND($BN8&gt;=$BK$14,NOT($BN8=""),$BI8=""),AND($CL8&gt;=$CI$14,NOT($CL8=""),$CG8="")),"P","")</f>
        <v/>
      </c>
      <c r="I8" t="str">
        <f>IF(AND(G8="P",OR(AND($AP8&gt;=$AM$17,NOT($AP8=""),$AK8=""),AND($BN8&gt;=$BK$17,NOT($BN8=""),$BI8=""),AND($CL8&gt;=$CI$17,NOT($CL8=""),$CG8=""))),"Merit",IF(AND(G8="P",OR(AND($AP8&gt;=$AM$16,NOT($AP8=""),$AK8=""),AND($BN8&gt;=$BK$16,NOT($BN8=""),$BI8=""),AND($CL8&gt;=$CI$16,NOT($CL8=""),$CG8=""))),"Funding",IF(AND(G8="P",OR(AND($AP8&gt;=$AM$15,NOT($AP8=""),$AK8=""),AND($BN8&gt;=$BK$15,NOT($BN8=""),$BI8=""),AND($CL8&gt;=$CI$15,NOT($CL8=""),$CG8=""))),"Worlds Team",IF(AND(F8="P",OR(AND($AP8&gt;=$AM$14,NOT($AP8=""),$AK8=""),AND($BN8&gt;=$BK$14,NOT($BN8=""),$BI8=""),AND($CL8&gt;=$CI$14,NOT($CL8=""),$CG8=""))),"National Team",""))))</f>
        <v/>
      </c>
      <c r="J8" s="15">
        <f>MAX(AP8,BN8,CL8)</f>
        <v>54.7</v>
      </c>
      <c r="K8" s="15" t="str">
        <f>IF(J8=CL8,$BQ$1,IF(J8=BN8,$AS$1,IF(J8=AP8,$U$1,"")))</f>
        <v>2018 Nationals</v>
      </c>
      <c r="L8" s="15">
        <f>IF($J8=$AP8,MAX(BL8,CJ8),IF($J8=$BN8,MAX(AN8,CJ8),MAX(AN8,BL8)))</f>
        <v>24.299999999999997</v>
      </c>
      <c r="M8" s="15" t="str">
        <f>IF(AND(L8=CJ8,$K8&lt;&gt;$BQ$1),$BQ$1,IF(AND(L8=BL8,$K8&lt;&gt;$AS$1),$AS$1,IF(AND(L8=AN8,$K8&lt;&gt;$U$1),$U$1,"")))</f>
        <v>2017 Nationals</v>
      </c>
      <c r="N8" s="15">
        <f>IF($J8=$AP8,MAX(BM8,CK8),IF($J8=$BN8,MAX(AO8,CK8),MAX(AO8,BM8)))</f>
        <v>29.3</v>
      </c>
      <c r="O8" s="15" t="str">
        <f>IF(AND(N8=CK8,$K8&lt;&gt;$BQ$1),$BQ$1,IF(AND(N8=BM8,$K8&lt;&gt;$AS$1),$AS$1,IF(AND(N8=AO8,$K8&lt;&gt;$U$1),$U$1,"")))</f>
        <v>2017 Nationals</v>
      </c>
      <c r="P8" s="15">
        <f>MAX(AQ8,BO8,CM8)</f>
        <v>56.3</v>
      </c>
      <c r="Q8" s="15" t="str">
        <f>IF(P8=CM8,$BQ$1,IF(P8=BO8,$AS$1,IF(P8=AQ8,$U$1,"")))</f>
        <v>2018 Nationals</v>
      </c>
      <c r="R8" s="15" t="str">
        <f>IF(MAX(CO8:CQ8)&gt;0,MAX(CO8:CQ8),"")</f>
        <v/>
      </c>
      <c r="S8" s="29" t="str">
        <f>IF(R8="","",IF(R8=CO8,"(Pass 1)",IF(R8=CP8,"(Pass 2)",IF(R8=CQ8,"(Final)"))))</f>
        <v/>
      </c>
      <c r="T8" s="15" t="str">
        <f>IF(R8="","",IF(R8=CO8,IF(R8+L8=NC8,$MK$1,IF(R8+L8=MF8,$LN$1,IF(R8+L8=LI8,$KQ$1,IF(R8+L8=KL8,$JT$1,IF(R8+L8=JO8,$IW$1,IF(R8+L8=IR8,$HZ$1,IF(R8+L8=HU8,$HC$1,IF(R8+L8=GX8,$GF$1,IF(R8+L8=GA8,$FI$1,IF(R8+L8=FD8,$EL$1,IF(R8+L8=EG8,$DO$1,IF(R8+L8=DJ8,$CR$1)))))))))))),IF(R8=CP8,IF(R8+N8=ND8,$MK$1,IF(R8+N8=MG8,$LN$1,IF(R8+N8=LJ8,$KQ$1,IF(R8+N8=KM8,$JT$1,IF(R8+N8=JP8,$IW$1,IF(R8+N8=IS8,$HZ$1,IF(R8+N8=HV8,$HC$1,IF(R8+N8=GY8,$GF$1,IF(R8+N8=GB8,$FI$1,IF(R8+N8=FE8,$EL$1,IF(R8+N8=EH8,$DO$1,IF(R8+N8=DK8,$CR$1)))))))))))),IF(R8=CQ8,IF(R8+P8=NF8,$MK$1,IF(R8+P8=MI8,$LN$1,IF(R8+P8=LL8,$KQ$1,IF(R8+P8=KO8,$JT$1,IF(R8+P8=JR8,$IW$1,IF(R8+P8=IU8,$HZ$1,IF(R8+P8=HX8,$HC$1,IF(R8+P8=HA8,$GF$1,IF(R8+P8=GD8,$FI$1,IF(R8+P8=FG8,$EL$1,IF(R8+P8=EJ8,$DO$1,IF(R8+P8=DM8,$CR$1))))))))))))))))</f>
        <v/>
      </c>
      <c r="U8" s="48">
        <v>21.5</v>
      </c>
      <c r="V8" s="48">
        <v>3.4</v>
      </c>
      <c r="W8" s="48">
        <v>0.6</v>
      </c>
      <c r="X8" s="48">
        <v>0</v>
      </c>
      <c r="Y8" s="48">
        <v>25</v>
      </c>
      <c r="Z8" s="48">
        <v>4.3</v>
      </c>
      <c r="AA8" s="48">
        <v>0</v>
      </c>
      <c r="AB8" s="48">
        <v>0</v>
      </c>
      <c r="AC8" s="48">
        <v>23.6</v>
      </c>
      <c r="AD8" s="48">
        <v>2.9</v>
      </c>
      <c r="AE8" s="48">
        <v>0</v>
      </c>
      <c r="AF8" s="48">
        <v>0</v>
      </c>
      <c r="AG8" s="48">
        <v>24.4</v>
      </c>
      <c r="AH8" s="48">
        <v>1.9</v>
      </c>
      <c r="AI8" s="48">
        <v>0</v>
      </c>
      <c r="AJ8" s="48">
        <v>0</v>
      </c>
      <c r="AK8" s="108"/>
      <c r="AL8" s="12">
        <f>IF(SUM(V8,Z8)&gt;0,SUM(V8,Z8),"")</f>
        <v>7.6999999999999993</v>
      </c>
      <c r="AM8" s="12">
        <f>IF(SUM(AD8,AH8)&gt;0,SUM(AD8,AH8),"")</f>
        <v>4.8</v>
      </c>
      <c r="AN8" s="12">
        <f>IF(SUM(U8:V8,X8)-W8&gt;0,SUM(U8:V8,X8)-W8,"")</f>
        <v>24.299999999999997</v>
      </c>
      <c r="AO8" s="12">
        <f>IF(SUM(Y8:Z8,AB8)-AA8&gt;0,SUM(Y8:Z8,AB8)-AA8,"")</f>
        <v>29.3</v>
      </c>
      <c r="AP8" s="12">
        <f>IF(SUM(AN8:AO8)&gt;0,SUM(AN8:AO8),"")</f>
        <v>53.599999999999994</v>
      </c>
      <c r="AQ8" s="12">
        <f>IF(SUM(AC8:AD8,AF8:AH8,AJ8)-SUM(AE8,AI8)&gt;0,SUM(AC8:AD8,AF8:AH8,AJ8)-SUM(AE8,AI8),"")</f>
        <v>52.8</v>
      </c>
      <c r="AR8" s="12">
        <f>IF(SUM(AP8,AQ8)&gt;0,SUM(AP8,AQ8),"")</f>
        <v>106.39999999999999</v>
      </c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109"/>
      <c r="BJ8" s="15" t="str">
        <f>IF(SUM(AT8,AX8)&gt;0,SUM(AT8,AX8),"")</f>
        <v/>
      </c>
      <c r="BK8" s="15" t="str">
        <f>IF(SUM(BB8,BF8)&gt;0,SUM(BB8,BF8),"")</f>
        <v/>
      </c>
      <c r="BL8" s="15" t="str">
        <f>IF(SUM(AS8:AT8,AV8)-AU8&gt;0,SUM(AS8:AT8,AV8)-AU8,"")</f>
        <v/>
      </c>
      <c r="BM8" s="15" t="str">
        <f>IF(SUM(AW8:AX8,AZ8)-AY8&gt;0,SUM(AW8:AX8,AZ8)-AY8,"")</f>
        <v/>
      </c>
      <c r="BN8" s="15" t="str">
        <f>IF(SUM(BL8:BM8)&gt;0,SUM(BL8:BM8),"")</f>
        <v/>
      </c>
      <c r="BO8" s="15" t="str">
        <f>IF(SUM(BA8:BB8,BD8:BF8,BH8)-SUM(BC8,BG8)&gt;0,SUM(BA8:BB8,BD8:BF8,BH8)-SUM(BC8,BG8),"")</f>
        <v/>
      </c>
      <c r="BP8" s="15" t="str">
        <f>IF(SUM(BN8,BO8)&gt;0,SUM(BN8,BO8),"")</f>
        <v/>
      </c>
      <c r="BQ8" s="45">
        <v>21.6</v>
      </c>
      <c r="BR8" s="45">
        <v>3.5</v>
      </c>
      <c r="BS8" s="45">
        <v>0.6</v>
      </c>
      <c r="BT8" s="45">
        <v>0</v>
      </c>
      <c r="BU8" s="45">
        <v>25.8</v>
      </c>
      <c r="BV8" s="45">
        <v>4.4000000000000004</v>
      </c>
      <c r="BW8" s="45">
        <v>0</v>
      </c>
      <c r="BX8" s="45">
        <v>0</v>
      </c>
      <c r="BY8" s="45">
        <v>24.7</v>
      </c>
      <c r="BZ8" s="45">
        <v>3.5</v>
      </c>
      <c r="CA8" s="45">
        <v>0.6</v>
      </c>
      <c r="CB8" s="45">
        <v>0</v>
      </c>
      <c r="CC8" s="45">
        <v>24.8</v>
      </c>
      <c r="CD8" s="45">
        <v>3.9</v>
      </c>
      <c r="CE8" s="45">
        <v>0</v>
      </c>
      <c r="CF8" s="45">
        <v>0</v>
      </c>
      <c r="CG8" s="108"/>
      <c r="CH8" s="12">
        <f>IF(SUM(BR8,BV8)&gt;0,SUM(BR8,BV8),"")</f>
        <v>7.9</v>
      </c>
      <c r="CI8" s="12">
        <f>IF(SUM(BZ8,CD8)&gt;0,SUM(BZ8,CD8),"")</f>
        <v>7.4</v>
      </c>
      <c r="CJ8" s="12">
        <f>IF(SUM(BQ8:BR8,BT8)-BS8&gt;0,SUM(BQ8:BR8,BT8)-BS8,"")</f>
        <v>24.5</v>
      </c>
      <c r="CK8" s="12">
        <f>IF(SUM(BU8:BV8,BX8)-BW8&gt;0,SUM(BU8:BV8,BX8)-BW8,"")</f>
        <v>30.200000000000003</v>
      </c>
      <c r="CL8" s="12">
        <f>IF(SUM(CJ8:CK8)&gt;0,SUM(CJ8:CK8),"")</f>
        <v>54.7</v>
      </c>
      <c r="CM8" s="12">
        <f>IF(SUM(BY8:BZ8,CB8:CD8,CF8)-SUM(CA8,CE8)&gt;0,SUM(BY8:BZ8,CB8:CD8,CF8)-SUM(CA8,CE8),"")</f>
        <v>56.3</v>
      </c>
      <c r="CN8" s="12">
        <f>IF(SUM(CL8,CM8)&gt;0,SUM(CL8,CM8),"")</f>
        <v>111</v>
      </c>
      <c r="CO8" s="28" t="str">
        <f>IF(MAX(DJ8,EG8,FD8,GA8,GX8,HU8,IR8,JO8,KL8,LI8,MF8,NC8)-L8&gt;0.001,MAX(DJ8,EG8,FD8,GA8,GX8,HU8,IR8,JO8,KL8,LI8,MF8,NC8)-L8,"")</f>
        <v/>
      </c>
      <c r="CP8" s="28" t="str">
        <f>IF(MAX(DK8,EH8,FE8,GB8,GY8,HV8,IS8,JP8,KM8,LJ8,MG8,ND8)-N8&gt;0.001,MAX(DK8,EH8,FE8,GB8,GY8,HV8,IS8,JP8,KM8,LJ8,MG8,ND8)-N8,"")</f>
        <v/>
      </c>
      <c r="CQ8" s="28" t="str">
        <f>IF(MAX(DM8,EJ8,FG8,GD8,HA8,HX8,IU8,JR8,KO8,LL8,MI8,NF8)-P8&gt;0.001,MAX(DM8,EJ8,FG8,GD8,HA8,HX8,IU8,JR8,KO8,LL8,MI8,NF8)-P8,"")</f>
        <v/>
      </c>
      <c r="CR8" s="45"/>
      <c r="CS8" s="45"/>
      <c r="CT8" s="45"/>
      <c r="CU8" s="45"/>
      <c r="CV8" s="45"/>
      <c r="CW8" s="45"/>
      <c r="CX8" s="45"/>
      <c r="CY8" s="45"/>
      <c r="CZ8" s="45"/>
      <c r="DA8" s="45"/>
      <c r="DB8" s="45"/>
      <c r="DC8" s="45"/>
      <c r="DD8" s="45"/>
      <c r="DE8" s="45"/>
      <c r="DF8" s="45"/>
      <c r="DG8" s="45"/>
      <c r="DH8" s="12" t="str">
        <f>IF(SUM(CS8,CW8)&gt;0,SUM(CS8,CW8),"")</f>
        <v/>
      </c>
      <c r="DI8" s="12" t="str">
        <f>IF(SUM(DA8,DE8)&gt;0,SUM(DA8,DE8),"")</f>
        <v/>
      </c>
      <c r="DJ8" s="12" t="str">
        <f>IF(SUM(CR8:CS8,CU8)-CT8&gt;0,SUM(CR8:CS8,CU8)-CT8,"")</f>
        <v/>
      </c>
      <c r="DK8" s="12" t="str">
        <f>IF(SUM(CV8:CW8,CY8)-CX8&gt;0,SUM(CV8:CW8,CY8)-CX8,"")</f>
        <v/>
      </c>
      <c r="DL8" s="12" t="str">
        <f>IF(SUM(DJ8:DK8)&gt;0,SUM(DJ8:DK8),"")</f>
        <v/>
      </c>
      <c r="DM8" s="12" t="str">
        <f>IF(SUM(CZ8:DA8,DC8:DE8,DG8)-SUM(DB8,DF8)&gt;0,SUM(CZ8:DA8,DC8:DE8,DG8)-SUM(DB8,DF8),"")</f>
        <v/>
      </c>
      <c r="DN8" s="12" t="str">
        <f>IF(SUM(DL8,DM8)&gt;0,SUM(DL8,DM8),"")</f>
        <v/>
      </c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15" t="str">
        <f>IF(SUM(DP8,DT8)&gt;0,SUM(DP8,DT8),"")</f>
        <v/>
      </c>
      <c r="EF8" s="15" t="str">
        <f>IF(SUM(DX8,EB8)&gt;0,SUM(DX8,EB8),"")</f>
        <v/>
      </c>
      <c r="EG8" s="15" t="str">
        <f>IF(SUM(DO8:DP8,DR8)-DQ8&gt;0,SUM(DO8:DP8,DR8)-DQ8,"")</f>
        <v/>
      </c>
      <c r="EH8" s="15" t="str">
        <f>IF(SUM(DS8:DT8,DV8)-DU8&gt;0,SUM(DS8:DT8,DV8)-DU8,"")</f>
        <v/>
      </c>
      <c r="EI8" s="15" t="str">
        <f>IF(SUM(EG8:EH8)&gt;0,SUM(EG8:EH8),"")</f>
        <v/>
      </c>
      <c r="EJ8" s="15" t="str">
        <f>IF(SUM(DW8:DX8,DZ8:EB8,ED8)-SUM(DY8,EC8)&gt;0,SUM(DW8:DX8,DZ8:EB8,ED8)-SUM(DY8,EC8),"")</f>
        <v/>
      </c>
      <c r="EK8" s="15" t="str">
        <f>IF(SUM(EI8,EJ8)&gt;0,SUM(EI8,EJ8),"")</f>
        <v/>
      </c>
      <c r="EL8" s="45"/>
      <c r="EM8" s="45"/>
      <c r="EN8" s="45"/>
      <c r="EO8" s="45"/>
      <c r="EP8" s="45"/>
      <c r="EQ8" s="45"/>
      <c r="ER8" s="45"/>
      <c r="ES8" s="45"/>
      <c r="ET8" s="45"/>
      <c r="EU8" s="45"/>
      <c r="EV8" s="45"/>
      <c r="EW8" s="45"/>
      <c r="EX8" s="45"/>
      <c r="EY8" s="45"/>
      <c r="EZ8" s="45"/>
      <c r="FA8" s="45"/>
      <c r="FB8" s="12" t="str">
        <f>IF(SUM(EM8,EQ8)&gt;0,SUM(EM8,EQ8),"")</f>
        <v/>
      </c>
      <c r="FC8" s="12" t="str">
        <f>IF(SUM(EU8,EY8)&gt;0,SUM(EU8,EY8),"")</f>
        <v/>
      </c>
      <c r="FD8" s="12" t="str">
        <f>IF(SUM(EL8:EM8,EO8)-EN8&gt;0,SUM(EL8:EM8,EO8)-EN8,"")</f>
        <v/>
      </c>
      <c r="FE8" s="12" t="str">
        <f>IF(SUM(EP8:EQ8,ES8)-ER8&gt;0,SUM(EP8:EQ8,ES8)-ER8,"")</f>
        <v/>
      </c>
      <c r="FF8" s="12" t="str">
        <f>IF(SUM(FD8:FE8)&gt;0,SUM(FD8:FE8),"")</f>
        <v/>
      </c>
      <c r="FG8" s="12" t="str">
        <f>IF(SUM(ET8:EU8,EW8:EY8,FA8)-SUM(EV8,EZ8)&gt;0,SUM(ET8:EU8,EW8:EY8,FA8)-SUM(EV8,EZ8),"")</f>
        <v/>
      </c>
      <c r="FH8" s="12" t="str">
        <f>IF(SUM(FF8,FG8)&gt;0,SUM(FF8,FG8),"")</f>
        <v/>
      </c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15" t="str">
        <f>IF(SUM(FJ8,FN8)&gt;0,SUM(FJ8,FN8),"")</f>
        <v/>
      </c>
      <c r="FZ8" s="15" t="str">
        <f>IF(SUM(FR8,FV8)&gt;0,SUM(FR8,FV8),"")</f>
        <v/>
      </c>
      <c r="GA8" s="15" t="str">
        <f>IF(SUM(FI8:FJ8,FL8)-FK8&gt;0,SUM(FI8:FJ8,FL8)-FK8,"")</f>
        <v/>
      </c>
      <c r="GB8" s="15" t="str">
        <f>IF(SUM(FM8:FN8,FP8)-FO8&gt;0,SUM(FM8:FN8,FP8)-FO8,"")</f>
        <v/>
      </c>
      <c r="GC8" s="15" t="str">
        <f>IF(SUM(GA8:GB8)&gt;0,SUM(GA8:GB8),"")</f>
        <v/>
      </c>
      <c r="GD8" s="15" t="str">
        <f>IF(SUM(FQ8:FR8,FT8:FV8,FX8)-SUM(FS8,FW8)&gt;0,SUM(FQ8:FR8,FT8:FV8,FX8)-SUM(FS8,FW8),"")</f>
        <v/>
      </c>
      <c r="GE8" s="15" t="str">
        <f>IF(SUM(GC8,GD8)&gt;0,SUM(GC8,GD8),"")</f>
        <v/>
      </c>
      <c r="GF8" s="45"/>
      <c r="GG8" s="45"/>
      <c r="GH8" s="45"/>
      <c r="GI8" s="45"/>
      <c r="GJ8" s="45"/>
      <c r="GK8" s="45"/>
      <c r="GL8" s="45"/>
      <c r="GM8" s="45"/>
      <c r="GN8" s="45"/>
      <c r="GO8" s="45"/>
      <c r="GP8" s="45"/>
      <c r="GQ8" s="45"/>
      <c r="GR8" s="45"/>
      <c r="GS8" s="45"/>
      <c r="GT8" s="45"/>
      <c r="GU8" s="45"/>
      <c r="GV8" s="12" t="str">
        <f>IF(SUM(GG8,GK8)&gt;0,SUM(GG8,GK8),"")</f>
        <v/>
      </c>
      <c r="GW8" s="12" t="str">
        <f>IF(SUM(GO8,GS8)&gt;0,SUM(GO8,GS8),"")</f>
        <v/>
      </c>
      <c r="GX8" s="12" t="str">
        <f>IF(SUM(GF8:GG8,GI8)-GH8&gt;0,SUM(GF8:GG8,GI8)-GH8,"")</f>
        <v/>
      </c>
      <c r="GY8" s="12" t="str">
        <f>IF(SUM(GJ8:GK8,GM8)-GL8&gt;0,SUM(GJ8:GK8,GM8)-GL8,"")</f>
        <v/>
      </c>
      <c r="GZ8" s="12" t="str">
        <f>IF(SUM(GX8:GY8)&gt;0,SUM(GX8:GY8),"")</f>
        <v/>
      </c>
      <c r="HA8" s="12" t="str">
        <f>IF(SUM(GN8:GO8,GQ8:GS8,GU8)-SUM(GP8,GT8)&gt;0,SUM(GN8:GO8,GQ8:GS8,GU8)-SUM(GP8,GT8),"")</f>
        <v/>
      </c>
      <c r="HB8" s="12" t="str">
        <f>IF(SUM(GZ8,HA8)&gt;0,SUM(GZ8,HA8),"")</f>
        <v/>
      </c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15" t="str">
        <f>IF(SUM(HD8,HH8)&gt;0,SUM(HD8,HH8),"")</f>
        <v/>
      </c>
      <c r="HT8" s="15" t="str">
        <f>IF(SUM(HL8,HP8)&gt;0,SUM(HL8,HP8),"")</f>
        <v/>
      </c>
      <c r="HU8" s="15" t="str">
        <f>IF(SUM(HC8:HD8,HF8)-HE8&gt;0,SUM(HC8:HD8,HF8)-HE8,"")</f>
        <v/>
      </c>
      <c r="HV8" s="15" t="str">
        <f>IF(SUM(HG8:HH8,HJ8)-HI8&gt;0,SUM(HG8:HH8,HJ8)-HI8,"")</f>
        <v/>
      </c>
      <c r="HW8" s="15" t="str">
        <f>IF(SUM(HU8:HV8)&gt;0,SUM(HU8:HV8),"")</f>
        <v/>
      </c>
      <c r="HX8" s="15" t="str">
        <f>IF(SUM(HK8:HL8,HN8:HP8,HR8)-SUM(HM8,HQ8)&gt;0,SUM(HK8:HL8,HN8:HP8,HR8)-SUM(HM8,HQ8),"")</f>
        <v/>
      </c>
      <c r="HY8" s="15" t="str">
        <f>IF(SUM(HW8,HX8)&gt;0,SUM(HW8,HX8),"")</f>
        <v/>
      </c>
      <c r="HZ8" s="45"/>
      <c r="IA8" s="45"/>
      <c r="IB8" s="45"/>
      <c r="IC8" s="45"/>
      <c r="ID8" s="45"/>
      <c r="IE8" s="45"/>
      <c r="IF8" s="45"/>
      <c r="IG8" s="45"/>
      <c r="IH8" s="45"/>
      <c r="II8" s="45"/>
      <c r="IJ8" s="45"/>
      <c r="IK8" s="45"/>
      <c r="IL8" s="45"/>
      <c r="IM8" s="45"/>
      <c r="IN8" s="45"/>
      <c r="IO8" s="45"/>
      <c r="IP8" s="12" t="str">
        <f>IF(SUM(IA8,IE8)&gt;0,SUM(IA8,IE8),"")</f>
        <v/>
      </c>
      <c r="IQ8" s="12" t="str">
        <f>IF(SUM(II8,IM8)&gt;0,SUM(II8,IM8),"")</f>
        <v/>
      </c>
      <c r="IR8" s="12" t="str">
        <f>IF(SUM(HZ8:IA8,IC8)-IB8&gt;0,SUM(HZ8:IA8,IC8)-IB8,"")</f>
        <v/>
      </c>
      <c r="IS8" s="12" t="str">
        <f>IF(SUM(ID8:IE8,IG8)-IF8&gt;0,SUM(ID8:IE8,IG8)-IF8,"")</f>
        <v/>
      </c>
      <c r="IT8" s="12" t="str">
        <f>IF(SUM(IR8:IS8)&gt;0,SUM(IR8:IS8),"")</f>
        <v/>
      </c>
      <c r="IU8" s="12" t="str">
        <f>IF(SUM(IH8:II8,IK8:IM8,IO8)-SUM(IJ8,IN8)&gt;0,SUM(IH8:II8,IK8:IM8,IO8)-SUM(IJ8,IN8),"")</f>
        <v/>
      </c>
      <c r="IV8" s="12" t="str">
        <f>IF(SUM(IT8,IU8)&gt;0,SUM(IT8,IU8),"")</f>
        <v/>
      </c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15" t="str">
        <f>IF(SUM(IX8,JB8)&gt;0,SUM(IX8,JB8),"")</f>
        <v/>
      </c>
      <c r="JN8" s="15" t="str">
        <f>IF(SUM(JF8,JJ8)&gt;0,SUM(JF8,JJ8),"")</f>
        <v/>
      </c>
      <c r="JO8" s="15" t="str">
        <f>IF(SUM(IW8:IX8,IZ8)-IY8&gt;0,SUM(IW8:IX8,IZ8)-IY8,"")</f>
        <v/>
      </c>
      <c r="JP8" s="15" t="str">
        <f>IF(SUM(JA8:JB8,JD8)-JC8&gt;0,SUM(JA8:JB8,JD8)-JC8,"")</f>
        <v/>
      </c>
      <c r="JQ8" s="15" t="str">
        <f>IF(SUM(JO8:JP8)&gt;0,SUM(JO8:JP8),"")</f>
        <v/>
      </c>
      <c r="JR8" s="15" t="str">
        <f>IF(SUM(JE8:JF8,JH8:JJ8,JL8)-SUM(JG8,JK8)&gt;0,SUM(JE8:JF8,JH8:JJ8,JL8)-SUM(JG8,JK8),"")</f>
        <v/>
      </c>
      <c r="JS8" s="15" t="str">
        <f>IF(SUM(JQ8,JR8)&gt;0,SUM(JQ8,JR8),"")</f>
        <v/>
      </c>
      <c r="JT8" s="45"/>
      <c r="JU8" s="45"/>
      <c r="JV8" s="45"/>
      <c r="JW8" s="45"/>
      <c r="JX8" s="45"/>
      <c r="JY8" s="45"/>
      <c r="JZ8" s="45"/>
      <c r="KA8" s="45"/>
      <c r="KB8" s="45"/>
      <c r="KC8" s="45"/>
      <c r="KD8" s="45"/>
      <c r="KE8" s="45"/>
      <c r="KF8" s="45"/>
      <c r="KG8" s="45"/>
      <c r="KH8" s="45"/>
      <c r="KI8" s="45"/>
      <c r="KJ8" s="12" t="str">
        <f>IF(SUM(JU8,JY8)&gt;0,SUM(JU8,JY8),"")</f>
        <v/>
      </c>
      <c r="KK8" s="12" t="str">
        <f>IF(SUM(KC8,KG8)&gt;0,SUM(KC8,KG8),"")</f>
        <v/>
      </c>
      <c r="KL8" s="12" t="str">
        <f>IF(SUM(JT8:JU8,JW8)-JV8&gt;0,SUM(JT8:JU8,JW8)-JV8,"")</f>
        <v/>
      </c>
      <c r="KM8" s="12" t="str">
        <f>IF(SUM(JX8:JY8,KA8)-JZ8&gt;0,SUM(JX8:JY8,KA8)-JZ8,"")</f>
        <v/>
      </c>
      <c r="KN8" s="12" t="str">
        <f>IF(SUM(KL8:KM8)&gt;0,SUM(KL8:KM8),"")</f>
        <v/>
      </c>
      <c r="KO8" s="12" t="str">
        <f>IF(SUM(KB8:KC8,KE8:KG8,KI8)-SUM(KD8,KH8)&gt;0,SUM(KB8:KC8,KE8:KG8,KI8)-SUM(KD8,KH8),"")</f>
        <v/>
      </c>
      <c r="KP8" s="12" t="str">
        <f>IF(SUM(KN8,KO8)&gt;0,SUM(KN8,KO8),"")</f>
        <v/>
      </c>
      <c r="KQ8" s="46"/>
      <c r="KR8" s="46"/>
      <c r="KS8" s="46"/>
      <c r="KT8" s="46"/>
      <c r="KU8" s="46"/>
      <c r="KV8" s="46"/>
      <c r="KW8" s="46"/>
      <c r="KX8" s="46"/>
      <c r="KY8" s="46"/>
      <c r="KZ8" s="46"/>
      <c r="LA8" s="46"/>
      <c r="LB8" s="46"/>
      <c r="LC8" s="46"/>
      <c r="LD8" s="46"/>
      <c r="LE8" s="46"/>
      <c r="LF8" s="46"/>
      <c r="LG8" s="15" t="str">
        <f>IF(SUM(KR8,KV8)&gt;0,SUM(KR8,KV8),"")</f>
        <v/>
      </c>
      <c r="LH8" s="15" t="str">
        <f>IF(SUM(KZ8,LD8)&gt;0,SUM(KZ8,LD8),"")</f>
        <v/>
      </c>
      <c r="LI8" s="15" t="str">
        <f>IF(SUM(KQ8:KR8,KT8)-KS8&gt;0,SUM(KQ8:KR8,KT8)-KS8,"")</f>
        <v/>
      </c>
      <c r="LJ8" s="15" t="str">
        <f>IF(SUM(KU8:KV8,KX8)-KW8&gt;0,SUM(KU8:KV8,KX8)-KW8,"")</f>
        <v/>
      </c>
      <c r="LK8" s="15" t="str">
        <f>IF(SUM(LI8:LJ8)&gt;0,SUM(LI8:LJ8),"")</f>
        <v/>
      </c>
      <c r="LL8" s="15" t="str">
        <f>IF(SUM(KY8:KZ8,LB8:LD8,LF8)-SUM(LA8,LE8)&gt;0,SUM(KY8:KZ8,LB8:LD8,LF8)-SUM(LA8,LE8),"")</f>
        <v/>
      </c>
      <c r="LM8" s="15" t="str">
        <f>IF(SUM(LK8,LL8)&gt;0,SUM(LK8,LL8),"")</f>
        <v/>
      </c>
      <c r="LN8" s="45"/>
      <c r="LO8" s="45"/>
      <c r="LP8" s="45"/>
      <c r="LQ8" s="45"/>
      <c r="LR8" s="45"/>
      <c r="LS8" s="45"/>
      <c r="LT8" s="45"/>
      <c r="LU8" s="45"/>
      <c r="LV8" s="45"/>
      <c r="LW8" s="45"/>
      <c r="LX8" s="45"/>
      <c r="LY8" s="45"/>
      <c r="LZ8" s="45"/>
      <c r="MA8" s="45"/>
      <c r="MB8" s="45"/>
      <c r="MC8" s="45"/>
      <c r="MD8" s="12" t="str">
        <f>IF(SUM(LO8,LS8)&gt;0,SUM(LO8,LS8),"")</f>
        <v/>
      </c>
      <c r="ME8" s="12" t="str">
        <f>IF(SUM(LW8,MA8)&gt;0,SUM(LW8,MA8),"")</f>
        <v/>
      </c>
      <c r="MF8" s="12" t="str">
        <f>IF(SUM(LN8:LO8,LQ8)-LP8&gt;0,SUM(LN8:LO8,LQ8)-LP8,"")</f>
        <v/>
      </c>
      <c r="MG8" s="12" t="str">
        <f>IF(SUM(LR8:LS8,LU8)-LT8&gt;0,SUM(LR8:LS8,LU8)-LT8,"")</f>
        <v/>
      </c>
      <c r="MH8" s="12" t="str">
        <f>IF(SUM(MF8:MG8)&gt;0,SUM(MF8:MG8),"")</f>
        <v/>
      </c>
      <c r="MI8" s="12" t="str">
        <f>IF(SUM(LV8:LW8,LY8:MA8,MC8)-SUM(LX8,MB8)&gt;0,SUM(LV8:LW8,LY8:MA8,MC8)-SUM(LX8,MB8),"")</f>
        <v/>
      </c>
      <c r="MJ8" s="12" t="str">
        <f>IF(SUM(MH8,MI8)&gt;0,SUM(MH8,MI8),"")</f>
        <v/>
      </c>
      <c r="MK8" s="46"/>
      <c r="ML8" s="46"/>
      <c r="MM8" s="46"/>
      <c r="MN8" s="46"/>
      <c r="MO8" s="46"/>
      <c r="MP8" s="46"/>
      <c r="MQ8" s="46"/>
      <c r="MR8" s="46"/>
      <c r="MS8" s="46"/>
      <c r="MT8" s="46"/>
      <c r="MU8" s="46"/>
      <c r="MV8" s="46"/>
      <c r="MW8" s="46"/>
      <c r="MX8" s="46"/>
      <c r="MY8" s="46"/>
      <c r="MZ8" s="46"/>
      <c r="NA8" s="15" t="str">
        <f>IF(SUM(ML8,MP8)&gt;0,SUM(ML8,MP8),"")</f>
        <v/>
      </c>
      <c r="NB8" s="15" t="str">
        <f>IF(SUM(MT8,MX8)&gt;0,SUM(MT8,MX8),"")</f>
        <v/>
      </c>
      <c r="NC8" s="15" t="str">
        <f>IF(SUM(MK8:ML8,MN8)-MM8&gt;0,SUM(MK8:ML8,MN8)-MM8,"")</f>
        <v/>
      </c>
      <c r="ND8" s="15" t="str">
        <f>IF(SUM(MO8:MP8,MR8)-MQ8&gt;0,SUM(MO8:MP8,MR8)-MQ8,"")</f>
        <v/>
      </c>
      <c r="NE8" s="15" t="str">
        <f>IF(SUM(NC8:ND8)&gt;0,SUM(NC8:ND8),"")</f>
        <v/>
      </c>
      <c r="NF8" s="15" t="str">
        <f>IF(SUM(MS8:MT8,MV8:MX8,MZ8)-SUM(MU8,MY8)&gt;0,SUM(MS8:MT8,MV8:MX8,MZ8)-SUM(MU8,MY8),"")</f>
        <v/>
      </c>
      <c r="NG8" s="15" t="str">
        <f>IF(SUM(NE8,NF8)&gt;0,SUM(NE8,NF8),"")</f>
        <v/>
      </c>
    </row>
    <row r="9" spans="1:371" x14ac:dyDescent="0.2">
      <c r="A9" s="6" t="str">
        <f>IF(AND(F9="P",H9="P"),SUMPRODUCT((F$4:F$9="P")*(H$4:H$9="P")*(E$4:E$9&gt;E9))+1,IF(H9="P",SUMPRODUCT((F$4:F$9="")*(H$4:H$9="P")*(E$4:E$9&gt;E9))+1+SUMPRODUCT((F$4:F$9="P")*(H$4:H$9="P")),""))</f>
        <v/>
      </c>
      <c r="B9" s="9" t="s">
        <v>77</v>
      </c>
      <c r="C9" s="5" t="s">
        <v>4</v>
      </c>
      <c r="D9" s="31">
        <v>2002</v>
      </c>
      <c r="E9" s="16">
        <f>SUM(J9:R9)</f>
        <v>153.80000000000001</v>
      </c>
      <c r="F9" s="4" t="str">
        <f>IF(OR(AND($AL9&gt;=$AM$12,NOT($AL9=""),$AK9=""),AND($BJ9&gt;=$BK$12,NOT($BJ9=""),$BI9=""),AND($CH9&gt;=$CI$12,NOT($CH9=""),$CG9="")),"P","")</f>
        <v/>
      </c>
      <c r="G9" s="4" t="str">
        <f>IF(OR(AND($AL9&gt;=$AM$13,NOT($AL9=""),$AK9=""),AND($BJ9&gt;=$BK$13,NOT($BJ9=""),$BI9=""),AND($CH9&gt;=$CI$13,NOT($CH9=""),$CG9="")),"P","")</f>
        <v/>
      </c>
      <c r="H9" s="4" t="str">
        <f>IF(OR(AND($AP9&gt;=$AM$14,NOT($AP9=""),$AK9=""),AND($BN9&gt;=$BK$14,NOT($BN9=""),$BI9=""),AND($CL9&gt;=$CI$14,NOT($CL9=""),$CG9="")),"P","")</f>
        <v/>
      </c>
      <c r="I9" t="str">
        <f>IF(AND(G9="P",OR(AND($AP9&gt;=$AM$17,NOT($AP9=""),$AK9=""),AND($BN9&gt;=$BK$17,NOT($BN9=""),$BI9=""),AND($CL9&gt;=$CI$17,NOT($CL9=""),$CG9=""))),"Merit",IF(AND(G9="P",OR(AND($AP9&gt;=$AM$16,NOT($AP9=""),$AK9=""),AND($BN9&gt;=$BK$16,NOT($BN9=""),$BI9=""),AND($CL9&gt;=$CI$16,NOT($CL9=""),$CG9=""))),"Funding",IF(AND(G9="P",OR(AND($AP9&gt;=$AM$15,NOT($AP9=""),$AK9=""),AND($BN9&gt;=$BK$15,NOT($BN9=""),$BI9=""),AND($CL9&gt;=$CI$15,NOT($CL9=""),$CG9=""))),"Worlds Team",IF(AND(F9="P",OR(AND($AP9&gt;=$AM$14,NOT($AP9=""),$AK9=""),AND($BN9&gt;=$BK$14,NOT($BN9=""),$BI9=""),AND($CL9&gt;=$CI$14,NOT($CL9=""),$CG9=""))),"National Team",""))))</f>
        <v/>
      </c>
      <c r="J9" s="15">
        <f>MAX(AP9,BN9,CL9)</f>
        <v>60.8</v>
      </c>
      <c r="K9" s="15" t="str">
        <f>IF(J9=CL9,$BQ$1,IF(J9=BN9,$AS$1,IF(J9=AP9,$U$1,"")))</f>
        <v>2018 Nationals</v>
      </c>
      <c r="L9" s="15">
        <f>IF($J9=$AP9,MAX(BL9,CJ9),IF($J9=$BN9,MAX(AN9,CJ9),MAX(AN9,BL9)))</f>
        <v>0</v>
      </c>
      <c r="M9" s="15" t="str">
        <f>IF(AND(L9=CJ9,$K9&lt;&gt;$BQ$1),$BQ$1,IF(AND(L9=BL9,$K9&lt;&gt;$AS$1),$AS$1,IF(AND(L9=AN9,$K9&lt;&gt;$U$1),$U$1,"")))</f>
        <v/>
      </c>
      <c r="N9" s="15">
        <f>IF($J9=$AP9,MAX(BM9,CK9),IF($J9=$BN9,MAX(AO9,CK9),MAX(AO9,BM9)))</f>
        <v>0</v>
      </c>
      <c r="O9" s="15" t="str">
        <f>IF(AND(N9=CK9,$K9&lt;&gt;$BQ$1),$BQ$1,IF(AND(N9=BM9,$K9&lt;&gt;$AS$1),$AS$1,IF(AND(N9=AO9,$K9&lt;&gt;$U$1),$U$1,"")))</f>
        <v/>
      </c>
      <c r="P9" s="15">
        <f>MAX(AQ9,BO9,CM9)</f>
        <v>60.7</v>
      </c>
      <c r="Q9" s="15" t="str">
        <f>IF(P9=CM9,$BQ$1,IF(P9=BO9,$AS$1,IF(P9=AQ9,$U$1,"")))</f>
        <v>2018 Nationals</v>
      </c>
      <c r="R9" s="15">
        <f>IF(MAX(CO9:CQ9)&gt;0,MAX(CO9:CQ9),"")</f>
        <v>32.299999999999997</v>
      </c>
      <c r="S9" s="29" t="str">
        <f>IF(R9="","",IF(R9=CO9,"(Pass 1)",IF(R9=CP9,"(Pass 2)",IF(R9=CQ9,"(Final)"))))</f>
        <v>(Pass 2)</v>
      </c>
      <c r="T9" s="15" t="str">
        <f>IF(R9="","",IF(R9=CO9,IF(R9+L9=NC9,$MK$1,IF(R9+L9=MF9,$LN$1,IF(R9+L9=LI9,$KQ$1,IF(R9+L9=KL9,$JT$1,IF(R9+L9=JO9,$IW$1,IF(R9+L9=IR9,$HZ$1,IF(R9+L9=HU9,$HC$1,IF(R9+L9=GX9,$GF$1,IF(R9+L9=GA9,$FI$1,IF(R9+L9=FD9,$EL$1,IF(R9+L9=EG9,$DO$1,IF(R9+L9=DJ9,$CR$1)))))))))))),IF(R9=CP9,IF(R9+N9=ND9,$MK$1,IF(R9+N9=MG9,$LN$1,IF(R9+N9=LJ9,$KQ$1,IF(R9+N9=KM9,$JT$1,IF(R9+N9=JP9,$IW$1,IF(R9+N9=IS9,$HZ$1,IF(R9+N9=HV9,$HC$1,IF(R9+N9=GY9,$GF$1,IF(R9+N9=GB9,$FI$1,IF(R9+N9=FE9,$EL$1,IF(R9+N9=EH9,$DO$1,IF(R9+N9=DK9,$CR$1)))))))))))),IF(R9=CQ9,IF(R9+P9=NF9,$MK$1,IF(R9+P9=MI9,$LN$1,IF(R9+P9=LL9,$KQ$1,IF(R9+P9=KO9,$JT$1,IF(R9+P9=JR9,$IW$1,IF(R9+P9=IU9,$HZ$1,IF(R9+P9=HX9,$HC$1,IF(R9+P9=HA9,$GF$1,IF(R9+P9=GD9,$FI$1,IF(R9+P9=FG9,$EL$1,IF(R9+P9=EJ9,$DO$1,IF(R9+P9=DM9,$CR$1))))))))))))))))</f>
        <v>2018 World Age Groups (Nov 18)</v>
      </c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108"/>
      <c r="AL9" s="12" t="str">
        <f>IF(SUM(V9,Z9)&gt;0,SUM(V9,Z9),"")</f>
        <v/>
      </c>
      <c r="AM9" s="12" t="str">
        <f>IF(SUM(AD9,AH9)&gt;0,SUM(AD9,AH9),"")</f>
        <v/>
      </c>
      <c r="AN9" s="12" t="str">
        <f>IF(SUM(U9:V9,X9)-W9&gt;0,SUM(U9:V9,X9)-W9,"")</f>
        <v/>
      </c>
      <c r="AO9" s="12" t="str">
        <f>IF(SUM(Y9:Z9,AB9)-AA9&gt;0,SUM(Y9:Z9,AB9)-AA9,"")</f>
        <v/>
      </c>
      <c r="AP9" s="12" t="str">
        <f>IF(SUM(AN9:AO9)&gt;0,SUM(AN9:AO9),"")</f>
        <v/>
      </c>
      <c r="AQ9" s="12" t="str">
        <f>IF(SUM(AC9:AD9,AF9:AH9,AJ9)-SUM(AE9,AI9)&gt;0,SUM(AC9:AD9,AF9:AH9,AJ9)-SUM(AE9,AI9),"")</f>
        <v/>
      </c>
      <c r="AR9" s="12" t="str">
        <f>IF(SUM(AP9,AQ9)&gt;0,SUM(AP9,AQ9),"")</f>
        <v/>
      </c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109"/>
      <c r="BJ9" s="15" t="str">
        <f>IF(SUM(AT9,AX9)&gt;0,SUM(AT9,AX9),"")</f>
        <v/>
      </c>
      <c r="BK9" s="15" t="str">
        <f>IF(SUM(BB9,BF9)&gt;0,SUM(BB9,BF9),"")</f>
        <v/>
      </c>
      <c r="BL9" s="15" t="str">
        <f>IF(SUM(AS9:AT9,AV9)-AU9&gt;0,SUM(AS9:AT9,AV9)-AU9,"")</f>
        <v/>
      </c>
      <c r="BM9" s="15" t="str">
        <f>IF(SUM(AW9:AX9,AZ9)-AY9&gt;0,SUM(AW9:AX9,AZ9)-AY9,"")</f>
        <v/>
      </c>
      <c r="BN9" s="15" t="str">
        <f>IF(SUM(BL9:BM9)&gt;0,SUM(BL9:BM9),"")</f>
        <v/>
      </c>
      <c r="BO9" s="15" t="str">
        <f>IF(SUM(BA9:BB9,BD9:BF9,BH9)-SUM(BC9,BG9)&gt;0,SUM(BA9:BB9,BD9:BF9,BH9)-SUM(BC9,BG9),"")</f>
        <v/>
      </c>
      <c r="BP9" s="15" t="str">
        <f>IF(SUM(BN9,BO9)&gt;0,SUM(BN9,BO9),"")</f>
        <v/>
      </c>
      <c r="BQ9" s="45">
        <v>25.1</v>
      </c>
      <c r="BR9" s="45">
        <v>5.0999999999999996</v>
      </c>
      <c r="BS9" s="45">
        <v>0.3</v>
      </c>
      <c r="BT9" s="45">
        <v>0</v>
      </c>
      <c r="BU9" s="45">
        <v>25.8</v>
      </c>
      <c r="BV9" s="45">
        <v>5.0999999999999996</v>
      </c>
      <c r="BW9" s="45">
        <v>0</v>
      </c>
      <c r="BX9" s="45">
        <v>0</v>
      </c>
      <c r="BY9" s="45">
        <v>25.1</v>
      </c>
      <c r="BZ9" s="45">
        <v>5.7</v>
      </c>
      <c r="CA9" s="45">
        <v>0</v>
      </c>
      <c r="CB9" s="45">
        <v>0</v>
      </c>
      <c r="CC9" s="45">
        <v>25.8</v>
      </c>
      <c r="CD9" s="45">
        <v>4.0999999999999996</v>
      </c>
      <c r="CE9" s="45">
        <v>0</v>
      </c>
      <c r="CF9" s="45">
        <v>0</v>
      </c>
      <c r="CG9" s="108"/>
      <c r="CH9" s="12">
        <f>IF(SUM(BR9,BV9)&gt;0,SUM(BR9,BV9),"")</f>
        <v>10.199999999999999</v>
      </c>
      <c r="CI9" s="12">
        <f>IF(SUM(BZ9,CD9)&gt;0,SUM(BZ9,CD9),"")</f>
        <v>9.8000000000000007</v>
      </c>
      <c r="CJ9" s="12">
        <f>IF(SUM(BQ9:BR9,BT9)-BS9&gt;0,SUM(BQ9:BR9,BT9)-BS9,"")</f>
        <v>29.900000000000002</v>
      </c>
      <c r="CK9" s="12">
        <f>IF(SUM(BU9:BV9,BX9)-BW9&gt;0,SUM(BU9:BV9,BX9)-BW9,"")</f>
        <v>30.9</v>
      </c>
      <c r="CL9" s="12">
        <f>IF(SUM(CJ9:CK9)&gt;0,SUM(CJ9:CK9),"")</f>
        <v>60.8</v>
      </c>
      <c r="CM9" s="12">
        <f>IF(SUM(BY9:BZ9,CB9:CD9,CF9)-SUM(CA9,CE9)&gt;0,SUM(BY9:BZ9,CB9:CD9,CF9)-SUM(CA9,CE9),"")</f>
        <v>60.7</v>
      </c>
      <c r="CN9" s="12">
        <f>IF(SUM(CL9,CM9)&gt;0,SUM(CL9,CM9),"")</f>
        <v>121.5</v>
      </c>
      <c r="CO9" s="28">
        <f>IF(MAX(DJ9,EG9,FD9,GA9,GX9,HU9,IR9,JO9,KL9,LI9,MF9,NC9)-L9&gt;0.001,MAX(DJ9,EG9,FD9,GA9,GX9,HU9,IR9,JO9,KL9,LI9,MF9,NC9)-L9,"")</f>
        <v>29.1</v>
      </c>
      <c r="CP9" s="28">
        <f>IF(MAX(DK9,EH9,FE9,GB9,GY9,HV9,IS9,JP9,KM9,LJ9,MG9,ND9)-N9&gt;0.001,MAX(DK9,EH9,FE9,GB9,GY9,HV9,IS9,JP9,KM9,LJ9,MG9,ND9)-N9,"")</f>
        <v>32.299999999999997</v>
      </c>
      <c r="CQ9" s="28" t="str">
        <f>IF(MAX(DM9,EJ9,FG9,GD9,HA9,HX9,IU9,JR9,KO9,LL9,MI9,NF9)-P9&gt;0.001,MAX(DM9,EJ9,FG9,GD9,HA9,HX9,IU9,JR9,KO9,LL9,MI9,NF9)-P9,"")</f>
        <v/>
      </c>
      <c r="CR9" s="45">
        <v>23.6</v>
      </c>
      <c r="CS9" s="45">
        <v>5.5</v>
      </c>
      <c r="CT9" s="45">
        <v>0</v>
      </c>
      <c r="CU9" s="45">
        <v>0</v>
      </c>
      <c r="CV9" s="45">
        <v>26.8</v>
      </c>
      <c r="CW9" s="45">
        <v>5.5</v>
      </c>
      <c r="CX9" s="45">
        <v>0</v>
      </c>
      <c r="CY9" s="45">
        <v>0</v>
      </c>
      <c r="CZ9" s="45"/>
      <c r="DA9" s="45"/>
      <c r="DB9" s="45"/>
      <c r="DC9" s="45"/>
      <c r="DD9" s="45"/>
      <c r="DE9" s="45"/>
      <c r="DF9" s="45"/>
      <c r="DG9" s="45"/>
      <c r="DH9" s="12">
        <f>IF(SUM(CS9,CW9)&gt;0,SUM(CS9,CW9),"")</f>
        <v>11</v>
      </c>
      <c r="DI9" s="12" t="str">
        <f>IF(SUM(DA9,DE9)&gt;0,SUM(DA9,DE9),"")</f>
        <v/>
      </c>
      <c r="DJ9" s="12">
        <f>IF(SUM(CR9:CS9,CU9)-CT9&gt;0,SUM(CR9:CS9,CU9)-CT9,"")</f>
        <v>29.1</v>
      </c>
      <c r="DK9" s="12">
        <f>IF(SUM(CV9:CW9,CY9)-CX9&gt;0,SUM(CV9:CW9,CY9)-CX9,"")</f>
        <v>32.299999999999997</v>
      </c>
      <c r="DL9" s="12">
        <f>IF(SUM(DJ9:DK9)&gt;0,SUM(DJ9:DK9),"")</f>
        <v>61.4</v>
      </c>
      <c r="DM9" s="12" t="str">
        <f>IF(SUM(CZ9:DA9,DC9:DE9,DG9)-SUM(DB9,DF9)&gt;0,SUM(CZ9:DA9,DC9:DE9,DG9)-SUM(DB9,DF9),"")</f>
        <v/>
      </c>
      <c r="DN9" s="12">
        <f>IF(SUM(DL9,DM9)&gt;0,SUM(DL9,DM9),"")</f>
        <v>61.4</v>
      </c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15" t="str">
        <f>IF(SUM(DP9,DT9)&gt;0,SUM(DP9,DT9),"")</f>
        <v/>
      </c>
      <c r="EF9" s="15" t="str">
        <f>IF(SUM(DX9,EB9)&gt;0,SUM(DX9,EB9),"")</f>
        <v/>
      </c>
      <c r="EG9" s="15" t="str">
        <f>IF(SUM(DO9:DP9,DR9)-DQ9&gt;0,SUM(DO9:DP9,DR9)-DQ9,"")</f>
        <v/>
      </c>
      <c r="EH9" s="15" t="str">
        <f>IF(SUM(DS9:DT9,DV9)-DU9&gt;0,SUM(DS9:DT9,DV9)-DU9,"")</f>
        <v/>
      </c>
      <c r="EI9" s="15" t="str">
        <f>IF(SUM(EG9:EH9)&gt;0,SUM(EG9:EH9),"")</f>
        <v/>
      </c>
      <c r="EJ9" s="15" t="str">
        <f>IF(SUM(DW9:DX9,DZ9:EB9,ED9)-SUM(DY9,EC9)&gt;0,SUM(DW9:DX9,DZ9:EB9,ED9)-SUM(DY9,EC9),"")</f>
        <v/>
      </c>
      <c r="EK9" s="15" t="str">
        <f>IF(SUM(EI9,EJ9)&gt;0,SUM(EI9,EJ9),"")</f>
        <v/>
      </c>
      <c r="EL9" s="45"/>
      <c r="EM9" s="45"/>
      <c r="EN9" s="45"/>
      <c r="EO9" s="45"/>
      <c r="EP9" s="45"/>
      <c r="EQ9" s="45"/>
      <c r="ER9" s="45"/>
      <c r="ES9" s="45"/>
      <c r="ET9" s="45"/>
      <c r="EU9" s="45"/>
      <c r="EV9" s="45"/>
      <c r="EW9" s="45"/>
      <c r="EX9" s="45"/>
      <c r="EY9" s="45"/>
      <c r="EZ9" s="45"/>
      <c r="FA9" s="45"/>
      <c r="FB9" s="12" t="str">
        <f>IF(SUM(EM9,EQ9)&gt;0,SUM(EM9,EQ9),"")</f>
        <v/>
      </c>
      <c r="FC9" s="12" t="str">
        <f>IF(SUM(EU9,EY9)&gt;0,SUM(EU9,EY9),"")</f>
        <v/>
      </c>
      <c r="FD9" s="12" t="str">
        <f>IF(SUM(EL9:EM9,EO9)-EN9&gt;0,SUM(EL9:EM9,EO9)-EN9,"")</f>
        <v/>
      </c>
      <c r="FE9" s="12" t="str">
        <f>IF(SUM(EP9:EQ9,ES9)-ER9&gt;0,SUM(EP9:EQ9,ES9)-ER9,"")</f>
        <v/>
      </c>
      <c r="FF9" s="12" t="str">
        <f>IF(SUM(FD9:FE9)&gt;0,SUM(FD9:FE9),"")</f>
        <v/>
      </c>
      <c r="FG9" s="12" t="str">
        <f>IF(SUM(ET9:EU9,EW9:EY9,FA9)-SUM(EV9,EZ9)&gt;0,SUM(ET9:EU9,EW9:EY9,FA9)-SUM(EV9,EZ9),"")</f>
        <v/>
      </c>
      <c r="FH9" s="12" t="str">
        <f>IF(SUM(FF9,FG9)&gt;0,SUM(FF9,FG9),"")</f>
        <v/>
      </c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46"/>
      <c r="FW9" s="46"/>
      <c r="FX9" s="46"/>
      <c r="FY9" s="15" t="str">
        <f>IF(SUM(FJ9,FN9)&gt;0,SUM(FJ9,FN9),"")</f>
        <v/>
      </c>
      <c r="FZ9" s="15" t="str">
        <f>IF(SUM(FR9,FV9)&gt;0,SUM(FR9,FV9),"")</f>
        <v/>
      </c>
      <c r="GA9" s="15" t="str">
        <f>IF(SUM(FI9:FJ9,FL9)-FK9&gt;0,SUM(FI9:FJ9,FL9)-FK9,"")</f>
        <v/>
      </c>
      <c r="GB9" s="15" t="str">
        <f>IF(SUM(FM9:FN9,FP9)-FO9&gt;0,SUM(FM9:FN9,FP9)-FO9,"")</f>
        <v/>
      </c>
      <c r="GC9" s="15" t="str">
        <f>IF(SUM(GA9:GB9)&gt;0,SUM(GA9:GB9),"")</f>
        <v/>
      </c>
      <c r="GD9" s="15" t="str">
        <f>IF(SUM(FQ9:FR9,FT9:FV9,FX9)-SUM(FS9,FW9)&gt;0,SUM(FQ9:FR9,FT9:FV9,FX9)-SUM(FS9,FW9),"")</f>
        <v/>
      </c>
      <c r="GE9" s="15" t="str">
        <f>IF(SUM(GC9,GD9)&gt;0,SUM(GC9,GD9),"")</f>
        <v/>
      </c>
      <c r="GF9" s="45"/>
      <c r="GG9" s="45"/>
      <c r="GH9" s="45"/>
      <c r="GI9" s="45"/>
      <c r="GJ9" s="45"/>
      <c r="GK9" s="45"/>
      <c r="GL9" s="45"/>
      <c r="GM9" s="45"/>
      <c r="GN9" s="45"/>
      <c r="GO9" s="45"/>
      <c r="GP9" s="45"/>
      <c r="GQ9" s="45"/>
      <c r="GR9" s="45"/>
      <c r="GS9" s="45"/>
      <c r="GT9" s="45"/>
      <c r="GU9" s="45"/>
      <c r="GV9" s="12" t="str">
        <f>IF(SUM(GG9,GK9)&gt;0,SUM(GG9,GK9),"")</f>
        <v/>
      </c>
      <c r="GW9" s="12" t="str">
        <f>IF(SUM(GO9,GS9)&gt;0,SUM(GO9,GS9),"")</f>
        <v/>
      </c>
      <c r="GX9" s="12" t="str">
        <f>IF(SUM(GF9:GG9,GI9)-GH9&gt;0,SUM(GF9:GG9,GI9)-GH9,"")</f>
        <v/>
      </c>
      <c r="GY9" s="12" t="str">
        <f>IF(SUM(GJ9:GK9,GM9)-GL9&gt;0,SUM(GJ9:GK9,GM9)-GL9,"")</f>
        <v/>
      </c>
      <c r="GZ9" s="12" t="str">
        <f>IF(SUM(GX9:GY9)&gt;0,SUM(GX9:GY9),"")</f>
        <v/>
      </c>
      <c r="HA9" s="12" t="str">
        <f>IF(SUM(GN9:GO9,GQ9:GS9,GU9)-SUM(GP9,GT9)&gt;0,SUM(GN9:GO9,GQ9:GS9,GU9)-SUM(GP9,GT9),"")</f>
        <v/>
      </c>
      <c r="HB9" s="12" t="str">
        <f>IF(SUM(GZ9,HA9)&gt;0,SUM(GZ9,HA9),"")</f>
        <v/>
      </c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46"/>
      <c r="HQ9" s="46"/>
      <c r="HR9" s="46"/>
      <c r="HS9" s="15" t="str">
        <f>IF(SUM(HD9,HH9)&gt;0,SUM(HD9,HH9),"")</f>
        <v/>
      </c>
      <c r="HT9" s="15" t="str">
        <f>IF(SUM(HL9,HP9)&gt;0,SUM(HL9,HP9),"")</f>
        <v/>
      </c>
      <c r="HU9" s="15" t="str">
        <f>IF(SUM(HC9:HD9,HF9)-HE9&gt;0,SUM(HC9:HD9,HF9)-HE9,"")</f>
        <v/>
      </c>
      <c r="HV9" s="15" t="str">
        <f>IF(SUM(HG9:HH9,HJ9)-HI9&gt;0,SUM(HG9:HH9,HJ9)-HI9,"")</f>
        <v/>
      </c>
      <c r="HW9" s="15" t="str">
        <f>IF(SUM(HU9:HV9)&gt;0,SUM(HU9:HV9),"")</f>
        <v/>
      </c>
      <c r="HX9" s="15" t="str">
        <f>IF(SUM(HK9:HL9,HN9:HP9,HR9)-SUM(HM9,HQ9)&gt;0,SUM(HK9:HL9,HN9:HP9,HR9)-SUM(HM9,HQ9),"")</f>
        <v/>
      </c>
      <c r="HY9" s="15" t="str">
        <f>IF(SUM(HW9,HX9)&gt;0,SUM(HW9,HX9),"")</f>
        <v/>
      </c>
      <c r="HZ9" s="45"/>
      <c r="IA9" s="45"/>
      <c r="IB9" s="45"/>
      <c r="IC9" s="45"/>
      <c r="ID9" s="45"/>
      <c r="IE9" s="45"/>
      <c r="IF9" s="45"/>
      <c r="IG9" s="45"/>
      <c r="IH9" s="45"/>
      <c r="II9" s="45"/>
      <c r="IJ9" s="45"/>
      <c r="IK9" s="45"/>
      <c r="IL9" s="45"/>
      <c r="IM9" s="45"/>
      <c r="IN9" s="45"/>
      <c r="IO9" s="45"/>
      <c r="IP9" s="12" t="str">
        <f>IF(SUM(IA9,IE9)&gt;0,SUM(IA9,IE9),"")</f>
        <v/>
      </c>
      <c r="IQ9" s="12" t="str">
        <f>IF(SUM(II9,IM9)&gt;0,SUM(II9,IM9),"")</f>
        <v/>
      </c>
      <c r="IR9" s="12" t="str">
        <f>IF(SUM(HZ9:IA9,IC9)-IB9&gt;0,SUM(HZ9:IA9,IC9)-IB9,"")</f>
        <v/>
      </c>
      <c r="IS9" s="12" t="str">
        <f>IF(SUM(ID9:IE9,IG9)-IF9&gt;0,SUM(ID9:IE9,IG9)-IF9,"")</f>
        <v/>
      </c>
      <c r="IT9" s="12" t="str">
        <f>IF(SUM(IR9:IS9)&gt;0,SUM(IR9:IS9),"")</f>
        <v/>
      </c>
      <c r="IU9" s="12" t="str">
        <f>IF(SUM(IH9:II9,IK9:IM9,IO9)-SUM(IJ9,IN9)&gt;0,SUM(IH9:II9,IK9:IM9,IO9)-SUM(IJ9,IN9),"")</f>
        <v/>
      </c>
      <c r="IV9" s="12" t="str">
        <f>IF(SUM(IT9,IU9)&gt;0,SUM(IT9,IU9),"")</f>
        <v/>
      </c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15" t="str">
        <f>IF(SUM(IX9,JB9)&gt;0,SUM(IX9,JB9),"")</f>
        <v/>
      </c>
      <c r="JN9" s="15" t="str">
        <f>IF(SUM(JF9,JJ9)&gt;0,SUM(JF9,JJ9),"")</f>
        <v/>
      </c>
      <c r="JO9" s="15" t="str">
        <f>IF(SUM(IW9:IX9,IZ9)-IY9&gt;0,SUM(IW9:IX9,IZ9)-IY9,"")</f>
        <v/>
      </c>
      <c r="JP9" s="15" t="str">
        <f>IF(SUM(JA9:JB9,JD9)-JC9&gt;0,SUM(JA9:JB9,JD9)-JC9,"")</f>
        <v/>
      </c>
      <c r="JQ9" s="15" t="str">
        <f>IF(SUM(JO9:JP9)&gt;0,SUM(JO9:JP9),"")</f>
        <v/>
      </c>
      <c r="JR9" s="15" t="str">
        <f>IF(SUM(JE9:JF9,JH9:JJ9,JL9)-SUM(JG9,JK9)&gt;0,SUM(JE9:JF9,JH9:JJ9,JL9)-SUM(JG9,JK9),"")</f>
        <v/>
      </c>
      <c r="JS9" s="15" t="str">
        <f>IF(SUM(JQ9,JR9)&gt;0,SUM(JQ9,JR9),"")</f>
        <v/>
      </c>
      <c r="JT9" s="45"/>
      <c r="JU9" s="45"/>
      <c r="JV9" s="45"/>
      <c r="JW9" s="45"/>
      <c r="JX9" s="45"/>
      <c r="JY9" s="45"/>
      <c r="JZ9" s="45"/>
      <c r="KA9" s="45"/>
      <c r="KB9" s="45"/>
      <c r="KC9" s="45"/>
      <c r="KD9" s="45"/>
      <c r="KE9" s="45"/>
      <c r="KF9" s="45"/>
      <c r="KG9" s="45"/>
      <c r="KH9" s="45"/>
      <c r="KI9" s="45"/>
      <c r="KJ9" s="12" t="str">
        <f>IF(SUM(JU9,JY9)&gt;0,SUM(JU9,JY9),"")</f>
        <v/>
      </c>
      <c r="KK9" s="12" t="str">
        <f>IF(SUM(KC9,KG9)&gt;0,SUM(KC9,KG9),"")</f>
        <v/>
      </c>
      <c r="KL9" s="12" t="str">
        <f>IF(SUM(JT9:JU9,JW9)-JV9&gt;0,SUM(JT9:JU9,JW9)-JV9,"")</f>
        <v/>
      </c>
      <c r="KM9" s="12" t="str">
        <f>IF(SUM(JX9:JY9,KA9)-JZ9&gt;0,SUM(JX9:JY9,KA9)-JZ9,"")</f>
        <v/>
      </c>
      <c r="KN9" s="12" t="str">
        <f>IF(SUM(KL9:KM9)&gt;0,SUM(KL9:KM9),"")</f>
        <v/>
      </c>
      <c r="KO9" s="12" t="str">
        <f>IF(SUM(KB9:KC9,KE9:KG9,KI9)-SUM(KD9,KH9)&gt;0,SUM(KB9:KC9,KE9:KG9,KI9)-SUM(KD9,KH9),"")</f>
        <v/>
      </c>
      <c r="KP9" s="12" t="str">
        <f>IF(SUM(KN9,KO9)&gt;0,SUM(KN9,KO9),"")</f>
        <v/>
      </c>
      <c r="KQ9" s="46"/>
      <c r="KR9" s="46"/>
      <c r="KS9" s="46"/>
      <c r="KT9" s="46"/>
      <c r="KU9" s="46"/>
      <c r="KV9" s="46"/>
      <c r="KW9" s="46"/>
      <c r="KX9" s="46"/>
      <c r="KY9" s="46"/>
      <c r="KZ9" s="46"/>
      <c r="LA9" s="46"/>
      <c r="LB9" s="46"/>
      <c r="LC9" s="46"/>
      <c r="LD9" s="46"/>
      <c r="LE9" s="46"/>
      <c r="LF9" s="46"/>
      <c r="LG9" s="15" t="str">
        <f>IF(SUM(KR9,KV9)&gt;0,SUM(KR9,KV9),"")</f>
        <v/>
      </c>
      <c r="LH9" s="15" t="str">
        <f>IF(SUM(KZ9,LD9)&gt;0,SUM(KZ9,LD9),"")</f>
        <v/>
      </c>
      <c r="LI9" s="15" t="str">
        <f>IF(SUM(KQ9:KR9,KT9)-KS9&gt;0,SUM(KQ9:KR9,KT9)-KS9,"")</f>
        <v/>
      </c>
      <c r="LJ9" s="15" t="str">
        <f>IF(SUM(KU9:KV9,KX9)-KW9&gt;0,SUM(KU9:KV9,KX9)-KW9,"")</f>
        <v/>
      </c>
      <c r="LK9" s="15" t="str">
        <f>IF(SUM(LI9:LJ9)&gt;0,SUM(LI9:LJ9),"")</f>
        <v/>
      </c>
      <c r="LL9" s="15" t="str">
        <f>IF(SUM(KY9:KZ9,LB9:LD9,LF9)-SUM(LA9,LE9)&gt;0,SUM(KY9:KZ9,LB9:LD9,LF9)-SUM(LA9,LE9),"")</f>
        <v/>
      </c>
      <c r="LM9" s="15" t="str">
        <f>IF(SUM(LK9,LL9)&gt;0,SUM(LK9,LL9),"")</f>
        <v/>
      </c>
      <c r="LN9" s="45"/>
      <c r="LO9" s="45"/>
      <c r="LP9" s="45"/>
      <c r="LQ9" s="45"/>
      <c r="LR9" s="45"/>
      <c r="LS9" s="45"/>
      <c r="LT9" s="45"/>
      <c r="LU9" s="45"/>
      <c r="LV9" s="45"/>
      <c r="LW9" s="45"/>
      <c r="LX9" s="45"/>
      <c r="LY9" s="45"/>
      <c r="LZ9" s="45"/>
      <c r="MA9" s="45"/>
      <c r="MB9" s="45"/>
      <c r="MC9" s="45"/>
      <c r="MD9" s="12" t="str">
        <f>IF(SUM(LO9,LS9)&gt;0,SUM(LO9,LS9),"")</f>
        <v/>
      </c>
      <c r="ME9" s="12" t="str">
        <f>IF(SUM(LW9,MA9)&gt;0,SUM(LW9,MA9),"")</f>
        <v/>
      </c>
      <c r="MF9" s="12" t="str">
        <f>IF(SUM(LN9:LO9,LQ9)-LP9&gt;0,SUM(LN9:LO9,LQ9)-LP9,"")</f>
        <v/>
      </c>
      <c r="MG9" s="12" t="str">
        <f>IF(SUM(LR9:LS9,LU9)-LT9&gt;0,SUM(LR9:LS9,LU9)-LT9,"")</f>
        <v/>
      </c>
      <c r="MH9" s="12" t="str">
        <f>IF(SUM(MF9:MG9)&gt;0,SUM(MF9:MG9),"")</f>
        <v/>
      </c>
      <c r="MI9" s="12" t="str">
        <f>IF(SUM(LV9:LW9,LY9:MA9,MC9)-SUM(LX9,MB9)&gt;0,SUM(LV9:LW9,LY9:MA9,MC9)-SUM(LX9,MB9),"")</f>
        <v/>
      </c>
      <c r="MJ9" s="12" t="str">
        <f>IF(SUM(MH9,MI9)&gt;0,SUM(MH9,MI9),"")</f>
        <v/>
      </c>
      <c r="MK9" s="46"/>
      <c r="ML9" s="46"/>
      <c r="MM9" s="46"/>
      <c r="MN9" s="46"/>
      <c r="MO9" s="46"/>
      <c r="MP9" s="46"/>
      <c r="MQ9" s="46"/>
      <c r="MR9" s="46"/>
      <c r="MS9" s="46"/>
      <c r="MT9" s="46"/>
      <c r="MU9" s="46"/>
      <c r="MV9" s="46"/>
      <c r="MW9" s="46"/>
      <c r="MX9" s="46"/>
      <c r="MY9" s="46"/>
      <c r="MZ9" s="46"/>
      <c r="NA9" s="15" t="str">
        <f>IF(SUM(ML9,MP9)&gt;0,SUM(ML9,MP9),"")</f>
        <v/>
      </c>
      <c r="NB9" s="15" t="str">
        <f>IF(SUM(MT9,MX9)&gt;0,SUM(MT9,MX9),"")</f>
        <v/>
      </c>
      <c r="NC9" s="15" t="str">
        <f>IF(SUM(MK9:ML9,MN9)-MM9&gt;0,SUM(MK9:ML9,MN9)-MM9,"")</f>
        <v/>
      </c>
      <c r="ND9" s="15" t="str">
        <f>IF(SUM(MO9:MP9,MR9)-MQ9&gt;0,SUM(MO9:MP9,MR9)-MQ9,"")</f>
        <v/>
      </c>
      <c r="NE9" s="15" t="str">
        <f>IF(SUM(NC9:ND9)&gt;0,SUM(NC9:ND9),"")</f>
        <v/>
      </c>
      <c r="NF9" s="15" t="str">
        <f>IF(SUM(MS9:MT9,MV9:MX9,MZ9)-SUM(MU9,MY9)&gt;0,SUM(MS9:MT9,MV9:MX9,MZ9)-SUM(MU9,MY9),"")</f>
        <v/>
      </c>
      <c r="NG9" s="15" t="str">
        <f>IF(SUM(NE9,NF9)&gt;0,SUM(NE9,NF9),"")</f>
        <v/>
      </c>
    </row>
    <row r="10" spans="1:371" x14ac:dyDescent="0.2">
      <c r="D10" s="1"/>
    </row>
    <row r="12" spans="1:371" x14ac:dyDescent="0.2">
      <c r="B12" s="88" t="s">
        <v>63</v>
      </c>
      <c r="AL12" s="62"/>
      <c r="AM12" s="70">
        <v>11.3</v>
      </c>
      <c r="BJ12" s="62"/>
      <c r="BK12" s="70">
        <v>10.9</v>
      </c>
      <c r="CH12" s="62"/>
      <c r="CI12" s="70">
        <v>10.9</v>
      </c>
      <c r="DH12" s="62"/>
      <c r="DI12" s="70">
        <v>10.9</v>
      </c>
      <c r="EE12" s="62"/>
      <c r="EF12" s="70">
        <v>10.9</v>
      </c>
      <c r="FB12" s="62"/>
      <c r="FC12" s="70">
        <v>10.9</v>
      </c>
      <c r="FY12" s="62"/>
      <c r="FZ12" s="70">
        <v>10.9</v>
      </c>
      <c r="GV12" s="62"/>
      <c r="GW12" s="70">
        <v>10.9</v>
      </c>
      <c r="HS12" s="62"/>
      <c r="HT12" s="70">
        <v>10.9</v>
      </c>
      <c r="IP12" s="62"/>
      <c r="IQ12" s="70">
        <v>10.9</v>
      </c>
      <c r="JM12" s="62"/>
      <c r="JN12" s="70">
        <v>10.9</v>
      </c>
      <c r="KJ12" s="62"/>
      <c r="KK12" s="70">
        <v>10.9</v>
      </c>
      <c r="LG12" s="62"/>
      <c r="LH12" s="70">
        <v>10.9</v>
      </c>
      <c r="MD12" s="62"/>
      <c r="ME12" s="70">
        <v>10.9</v>
      </c>
      <c r="NA12" s="62"/>
      <c r="NB12" s="70">
        <v>10.9</v>
      </c>
    </row>
    <row r="13" spans="1:371" ht="16" hidden="1" customHeight="1" x14ac:dyDescent="0.2">
      <c r="A13" s="62"/>
      <c r="B13" s="83" t="s">
        <v>62</v>
      </c>
      <c r="C13" s="61"/>
      <c r="AL13" s="62"/>
      <c r="AM13" s="71">
        <v>1000</v>
      </c>
      <c r="BJ13" s="62"/>
      <c r="BK13" s="71">
        <v>1000</v>
      </c>
      <c r="CH13" s="62"/>
      <c r="CI13" s="71">
        <v>1000</v>
      </c>
      <c r="DH13" s="62"/>
      <c r="DI13" s="71">
        <v>1000</v>
      </c>
      <c r="EE13" s="62"/>
      <c r="EF13" s="71">
        <v>1000</v>
      </c>
      <c r="FB13" s="62"/>
      <c r="FC13" s="71">
        <v>1000</v>
      </c>
      <c r="FY13" s="62"/>
      <c r="FZ13" s="71">
        <v>1000</v>
      </c>
      <c r="GV13" s="62"/>
      <c r="GW13" s="71">
        <v>1000</v>
      </c>
      <c r="HS13" s="62"/>
      <c r="HT13" s="71">
        <v>1000</v>
      </c>
      <c r="IP13" s="62"/>
      <c r="IQ13" s="71">
        <v>1000</v>
      </c>
      <c r="JM13" s="62"/>
      <c r="JN13" s="71">
        <v>1000</v>
      </c>
      <c r="KJ13" s="62"/>
      <c r="KK13" s="71">
        <v>1000</v>
      </c>
      <c r="LG13" s="62"/>
      <c r="LH13" s="71">
        <v>1000</v>
      </c>
      <c r="MD13" s="62"/>
      <c r="ME13" s="71">
        <v>1000</v>
      </c>
      <c r="NA13" s="62"/>
      <c r="NB13" s="71">
        <v>1000</v>
      </c>
    </row>
    <row r="14" spans="1:371" x14ac:dyDescent="0.2">
      <c r="A14" s="62"/>
      <c r="B14" s="84" t="s">
        <v>60</v>
      </c>
      <c r="C14" s="61"/>
      <c r="AL14" s="62"/>
      <c r="AM14" s="72">
        <v>63.3</v>
      </c>
      <c r="BJ14" s="62"/>
      <c r="BK14" s="72">
        <v>62.1</v>
      </c>
      <c r="CH14" s="62"/>
      <c r="CI14" s="72">
        <v>62.1</v>
      </c>
      <c r="DH14" s="62"/>
      <c r="DI14" s="72">
        <v>62.1</v>
      </c>
      <c r="EE14" s="62"/>
      <c r="EF14" s="72">
        <v>62.1</v>
      </c>
      <c r="FB14" s="62"/>
      <c r="FC14" s="72">
        <v>62.1</v>
      </c>
      <c r="FY14" s="62"/>
      <c r="FZ14" s="72">
        <v>62.1</v>
      </c>
      <c r="GV14" s="62"/>
      <c r="GW14" s="72">
        <v>62.1</v>
      </c>
      <c r="HS14" s="62"/>
      <c r="HT14" s="72">
        <v>62.1</v>
      </c>
      <c r="IP14" s="62"/>
      <c r="IQ14" s="72">
        <v>62.1</v>
      </c>
      <c r="JM14" s="62"/>
      <c r="JN14" s="72">
        <v>62.1</v>
      </c>
      <c r="KJ14" s="62"/>
      <c r="KK14" s="72">
        <v>62.1</v>
      </c>
      <c r="LG14" s="62"/>
      <c r="LH14" s="72">
        <v>62.1</v>
      </c>
      <c r="MD14" s="62"/>
      <c r="ME14" s="72">
        <v>62.1</v>
      </c>
      <c r="NA14" s="62"/>
      <c r="NB14" s="72">
        <v>62.1</v>
      </c>
    </row>
    <row r="15" spans="1:371" ht="16" hidden="1" customHeight="1" x14ac:dyDescent="0.2">
      <c r="A15" s="62"/>
      <c r="B15" s="85" t="s">
        <v>61</v>
      </c>
      <c r="C15" s="61"/>
      <c r="AL15" s="62"/>
      <c r="AM15" s="73">
        <v>1000</v>
      </c>
      <c r="BJ15" s="62"/>
      <c r="BK15" s="73">
        <v>1000</v>
      </c>
      <c r="CH15" s="62"/>
      <c r="CI15" s="73">
        <v>1000</v>
      </c>
      <c r="DH15" s="62"/>
      <c r="DI15" s="73">
        <v>1000</v>
      </c>
      <c r="EE15" s="62"/>
      <c r="EF15" s="73">
        <v>1000</v>
      </c>
      <c r="FB15" s="62"/>
      <c r="FC15" s="73">
        <v>1000</v>
      </c>
      <c r="FY15" s="62"/>
      <c r="FZ15" s="73">
        <v>1000</v>
      </c>
      <c r="GV15" s="62"/>
      <c r="GW15" s="73">
        <v>1000</v>
      </c>
      <c r="HS15" s="62"/>
      <c r="HT15" s="73">
        <v>1000</v>
      </c>
      <c r="IP15" s="62"/>
      <c r="IQ15" s="73">
        <v>1000</v>
      </c>
      <c r="JM15" s="62"/>
      <c r="JN15" s="73">
        <v>1000</v>
      </c>
      <c r="KJ15" s="62"/>
      <c r="KK15" s="73">
        <v>1000</v>
      </c>
      <c r="LG15" s="62"/>
      <c r="LH15" s="73">
        <v>1000</v>
      </c>
      <c r="MD15" s="62"/>
      <c r="ME15" s="73">
        <v>1000</v>
      </c>
      <c r="NA15" s="62"/>
      <c r="NB15" s="73">
        <v>1000</v>
      </c>
    </row>
    <row r="16" spans="1:371" ht="16" hidden="1" customHeight="1" x14ac:dyDescent="0.2">
      <c r="A16" s="62"/>
      <c r="B16" s="86" t="s">
        <v>26</v>
      </c>
      <c r="C16" s="61"/>
      <c r="AL16" s="62"/>
      <c r="AM16" s="74">
        <v>1000</v>
      </c>
      <c r="BJ16" s="62"/>
      <c r="BK16" s="74">
        <v>1000</v>
      </c>
      <c r="CH16" s="62"/>
      <c r="CI16" s="74">
        <v>1000</v>
      </c>
      <c r="DH16" s="62"/>
      <c r="DI16" s="74">
        <v>1000</v>
      </c>
      <c r="EE16" s="62"/>
      <c r="EF16" s="74">
        <v>1000</v>
      </c>
      <c r="FB16" s="62"/>
      <c r="FC16" s="74">
        <v>1000</v>
      </c>
      <c r="FY16" s="62"/>
      <c r="FZ16" s="74">
        <v>1000</v>
      </c>
      <c r="GV16" s="62"/>
      <c r="GW16" s="74">
        <v>1000</v>
      </c>
      <c r="HS16" s="62"/>
      <c r="HT16" s="74">
        <v>1000</v>
      </c>
      <c r="IP16" s="62"/>
      <c r="IQ16" s="74">
        <v>1000</v>
      </c>
      <c r="JM16" s="62"/>
      <c r="JN16" s="74">
        <v>1000</v>
      </c>
      <c r="KJ16" s="62"/>
      <c r="KK16" s="74">
        <v>1000</v>
      </c>
      <c r="LG16" s="62"/>
      <c r="LH16" s="74">
        <v>1000</v>
      </c>
      <c r="MD16" s="62"/>
      <c r="ME16" s="74">
        <v>1000</v>
      </c>
      <c r="NA16" s="62"/>
      <c r="NB16" s="74">
        <v>1000</v>
      </c>
    </row>
    <row r="17" spans="1:366" ht="16" hidden="1" customHeight="1" x14ac:dyDescent="0.2">
      <c r="A17" s="62"/>
      <c r="B17" s="87" t="s">
        <v>47</v>
      </c>
      <c r="C17" s="61"/>
      <c r="AL17" s="62"/>
      <c r="AM17" s="75">
        <v>1000</v>
      </c>
      <c r="BJ17" s="62"/>
      <c r="BK17" s="75">
        <v>1000</v>
      </c>
      <c r="CH17" s="62"/>
      <c r="CI17" s="75">
        <v>1000</v>
      </c>
      <c r="DH17" s="62"/>
      <c r="DI17" s="75">
        <v>1000</v>
      </c>
      <c r="EE17" s="62"/>
      <c r="EF17" s="75">
        <v>1000</v>
      </c>
      <c r="FB17" s="62"/>
      <c r="FC17" s="75">
        <v>1000</v>
      </c>
      <c r="FY17" s="62"/>
      <c r="FZ17" s="75">
        <v>1000</v>
      </c>
      <c r="GV17" s="62"/>
      <c r="GW17" s="75">
        <v>1000</v>
      </c>
      <c r="HS17" s="62"/>
      <c r="HT17" s="75">
        <v>1000</v>
      </c>
      <c r="IP17" s="62"/>
      <c r="IQ17" s="75">
        <v>1000</v>
      </c>
      <c r="JM17" s="62"/>
      <c r="JN17" s="75">
        <v>1000</v>
      </c>
      <c r="KJ17" s="62"/>
      <c r="KK17" s="75">
        <v>1000</v>
      </c>
      <c r="LG17" s="62"/>
      <c r="LH17" s="75">
        <v>1000</v>
      </c>
      <c r="MD17" s="62"/>
      <c r="ME17" s="75">
        <v>1000</v>
      </c>
      <c r="NA17" s="62"/>
      <c r="NB17" s="75">
        <v>1000</v>
      </c>
    </row>
    <row r="18" spans="1:366" x14ac:dyDescent="0.2">
      <c r="B18" s="111" t="s">
        <v>126</v>
      </c>
      <c r="C18" s="3"/>
      <c r="AL18" s="7"/>
      <c r="AM18" t="s">
        <v>115</v>
      </c>
      <c r="BJ18" s="7"/>
      <c r="CH18" s="7"/>
      <c r="DH18" s="7"/>
      <c r="EE18" s="7"/>
      <c r="FB18" s="7"/>
      <c r="FY18" s="7"/>
      <c r="GV18" s="7"/>
      <c r="HS18" s="7"/>
      <c r="IP18" s="7"/>
      <c r="JM18" s="7"/>
      <c r="KJ18" s="7"/>
      <c r="LG18" s="7"/>
      <c r="MD18" s="7"/>
      <c r="NA18" s="7"/>
    </row>
    <row r="19" spans="1:366" x14ac:dyDescent="0.2">
      <c r="A19" s="62"/>
      <c r="B19" s="62"/>
      <c r="C19" s="61"/>
      <c r="BJ19" s="7"/>
      <c r="BK19" s="7"/>
      <c r="FB19" s="7"/>
      <c r="FC19" s="7"/>
      <c r="KJ19" s="7"/>
      <c r="KK19" s="7"/>
    </row>
    <row r="20" spans="1:366" ht="17" x14ac:dyDescent="0.2">
      <c r="A20" s="62"/>
      <c r="B20" s="62"/>
      <c r="C20" s="61"/>
      <c r="R20" s="21"/>
      <c r="S20" s="21"/>
      <c r="T20" s="21"/>
    </row>
    <row r="21" spans="1:366" ht="17" x14ac:dyDescent="0.2">
      <c r="A21" s="62"/>
      <c r="B21" s="62"/>
      <c r="C21" s="61"/>
      <c r="R21" s="21"/>
      <c r="S21" s="21"/>
      <c r="T21" s="21"/>
    </row>
    <row r="22" spans="1:366" ht="17" x14ac:dyDescent="0.2">
      <c r="R22" s="21"/>
      <c r="S22" s="21"/>
      <c r="T22" s="21"/>
    </row>
    <row r="23" spans="1:366" ht="17" x14ac:dyDescent="0.2">
      <c r="R23" s="21"/>
      <c r="S23" s="21"/>
      <c r="T23" s="21"/>
    </row>
    <row r="24" spans="1:366" ht="17" x14ac:dyDescent="0.2">
      <c r="R24" s="21"/>
      <c r="S24" s="21"/>
      <c r="T24" s="21"/>
    </row>
    <row r="25" spans="1:366" ht="17" x14ac:dyDescent="0.2">
      <c r="R25" s="21"/>
      <c r="S25" s="21"/>
      <c r="T25" s="21"/>
    </row>
    <row r="26" spans="1:366" ht="17" x14ac:dyDescent="0.2">
      <c r="R26" s="21"/>
      <c r="S26" s="21"/>
      <c r="T26" s="21"/>
    </row>
    <row r="27" spans="1:366" ht="17" x14ac:dyDescent="0.2">
      <c r="R27" s="21"/>
      <c r="S27" s="21"/>
      <c r="T27" s="21"/>
    </row>
    <row r="28" spans="1:366" ht="17" x14ac:dyDescent="0.2">
      <c r="R28" s="21"/>
      <c r="S28" s="21"/>
      <c r="T28" s="21"/>
    </row>
    <row r="29" spans="1:366" ht="17" x14ac:dyDescent="0.2">
      <c r="R29" s="21"/>
      <c r="S29" s="21"/>
      <c r="T29" s="21"/>
    </row>
    <row r="30" spans="1:366" ht="17" x14ac:dyDescent="0.2">
      <c r="R30" s="21"/>
      <c r="S30" s="21"/>
      <c r="T30" s="21"/>
    </row>
    <row r="31" spans="1:366" ht="17" x14ac:dyDescent="0.2">
      <c r="R31" s="21"/>
      <c r="S31" s="21"/>
      <c r="T31" s="21"/>
    </row>
    <row r="32" spans="1:366" ht="17" x14ac:dyDescent="0.2">
      <c r="R32" s="21"/>
      <c r="S32" s="21"/>
      <c r="T32" s="21"/>
    </row>
    <row r="33" spans="18:20" ht="17" x14ac:dyDescent="0.2">
      <c r="R33" s="21"/>
      <c r="S33" s="21"/>
      <c r="T33" s="21"/>
    </row>
    <row r="34" spans="18:20" ht="17" x14ac:dyDescent="0.2">
      <c r="R34" s="21"/>
      <c r="S34" s="21"/>
      <c r="T34" s="21"/>
    </row>
    <row r="35" spans="18:20" ht="17" x14ac:dyDescent="0.2">
      <c r="R35" s="21"/>
      <c r="S35" s="21"/>
      <c r="T35" s="21"/>
    </row>
    <row r="36" spans="18:20" ht="17" x14ac:dyDescent="0.2">
      <c r="R36" s="21"/>
      <c r="S36" s="21"/>
      <c r="T36" s="21"/>
    </row>
    <row r="37" spans="18:20" ht="17" x14ac:dyDescent="0.2">
      <c r="R37" s="21"/>
      <c r="S37" s="21"/>
      <c r="T37" s="21"/>
    </row>
    <row r="38" spans="18:20" ht="17" x14ac:dyDescent="0.2">
      <c r="R38" s="21"/>
      <c r="S38" s="21"/>
      <c r="T38" s="21"/>
    </row>
    <row r="39" spans="18:20" ht="17" x14ac:dyDescent="0.2">
      <c r="R39" s="21"/>
      <c r="S39" s="21"/>
      <c r="T39" s="21"/>
    </row>
  </sheetData>
  <sheetProtection sheet="1" formatCells="0" formatColumns="0" formatRows="0"/>
  <autoFilter ref="A1:NG3" xr:uid="{00000000-0009-0000-0000-000005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ref="A4:NG9">
      <sortCondition descending="1" ref="F1:F8"/>
    </sortState>
  </autoFilter>
  <mergeCells count="96">
    <mergeCell ref="CR1:DN1"/>
    <mergeCell ref="CR2:CU2"/>
    <mergeCell ref="CV2:CY2"/>
    <mergeCell ref="CZ2:DC2"/>
    <mergeCell ref="DD2:DG2"/>
    <mergeCell ref="BY2:CB2"/>
    <mergeCell ref="CC2:CF2"/>
    <mergeCell ref="CO1:CQ1"/>
    <mergeCell ref="BQ1:CN1"/>
    <mergeCell ref="BQ2:BT2"/>
    <mergeCell ref="BU2:BX2"/>
    <mergeCell ref="DO1:EK1"/>
    <mergeCell ref="DO2:DR2"/>
    <mergeCell ref="DS2:DV2"/>
    <mergeCell ref="DW2:DZ2"/>
    <mergeCell ref="EA2:ED2"/>
    <mergeCell ref="T1:T3"/>
    <mergeCell ref="M1:M3"/>
    <mergeCell ref="K1:K3"/>
    <mergeCell ref="L1:L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N1:N3"/>
    <mergeCell ref="P1:P3"/>
    <mergeCell ref="BE2:BH2"/>
    <mergeCell ref="U2:X2"/>
    <mergeCell ref="Y2:AB2"/>
    <mergeCell ref="AG2:AJ2"/>
    <mergeCell ref="AS2:AV2"/>
    <mergeCell ref="AW2:AZ2"/>
    <mergeCell ref="AC2:AF2"/>
    <mergeCell ref="BA2:BD2"/>
    <mergeCell ref="O1:O3"/>
    <mergeCell ref="Q1:Q3"/>
    <mergeCell ref="S1:S3"/>
    <mergeCell ref="FI1:GE1"/>
    <mergeCell ref="EL2:EO2"/>
    <mergeCell ref="EP2:ES2"/>
    <mergeCell ref="ET2:EW2"/>
    <mergeCell ref="EX2:FA2"/>
    <mergeCell ref="FI2:FL2"/>
    <mergeCell ref="FM2:FP2"/>
    <mergeCell ref="FQ2:FT2"/>
    <mergeCell ref="FU2:FX2"/>
    <mergeCell ref="EL1:FH1"/>
    <mergeCell ref="R1:R3"/>
    <mergeCell ref="U1:AR1"/>
    <mergeCell ref="AS1:BP1"/>
    <mergeCell ref="GF1:HB1"/>
    <mergeCell ref="HC1:HY1"/>
    <mergeCell ref="GF2:GI2"/>
    <mergeCell ref="GJ2:GM2"/>
    <mergeCell ref="GN2:GQ2"/>
    <mergeCell ref="GR2:GU2"/>
    <mergeCell ref="HC2:HF2"/>
    <mergeCell ref="HG2:HJ2"/>
    <mergeCell ref="HK2:HN2"/>
    <mergeCell ref="HO2:HR2"/>
    <mergeCell ref="HZ1:IV1"/>
    <mergeCell ref="IW1:JS1"/>
    <mergeCell ref="HZ2:IC2"/>
    <mergeCell ref="ID2:IG2"/>
    <mergeCell ref="IH2:IK2"/>
    <mergeCell ref="IL2:IO2"/>
    <mergeCell ref="IW2:IZ2"/>
    <mergeCell ref="JA2:JD2"/>
    <mergeCell ref="JE2:JH2"/>
    <mergeCell ref="JI2:JL2"/>
    <mergeCell ref="JT1:KP1"/>
    <mergeCell ref="KQ1:LM1"/>
    <mergeCell ref="JT2:JW2"/>
    <mergeCell ref="JX2:KA2"/>
    <mergeCell ref="KB2:KE2"/>
    <mergeCell ref="KF2:KI2"/>
    <mergeCell ref="KQ2:KT2"/>
    <mergeCell ref="KU2:KX2"/>
    <mergeCell ref="KY2:LB2"/>
    <mergeCell ref="LC2:LF2"/>
    <mergeCell ref="LN1:MJ1"/>
    <mergeCell ref="MK1:NG1"/>
    <mergeCell ref="LN2:LQ2"/>
    <mergeCell ref="LR2:LU2"/>
    <mergeCell ref="LV2:LY2"/>
    <mergeCell ref="LZ2:MC2"/>
    <mergeCell ref="MK2:MN2"/>
    <mergeCell ref="MO2:MR2"/>
    <mergeCell ref="MS2:MV2"/>
    <mergeCell ref="MW2:MZ2"/>
  </mergeCells>
  <conditionalFormatting sqref="A1:A1048576">
    <cfRule type="expression" dxfId="107" priority="38">
      <formula>AND(H1="P",F1="")</formula>
    </cfRule>
  </conditionalFormatting>
  <conditionalFormatting sqref="I1:I3 I10:I1048576">
    <cfRule type="containsText" dxfId="106" priority="39" operator="containsText" text="Merit">
      <formula>NOT(ISERROR(SEARCH("Merit",I1)))</formula>
    </cfRule>
    <cfRule type="containsText" dxfId="105" priority="40" operator="containsText" text="Funding">
      <formula>NOT(ISERROR(SEARCH("Funding",I1)))</formula>
    </cfRule>
    <cfRule type="containsText" dxfId="104" priority="88" operator="containsText" text="Worlds Team">
      <formula>NOT(ISERROR(SEARCH("Worlds Team",I1)))</formula>
    </cfRule>
    <cfRule type="containsText" dxfId="103" priority="89" operator="containsText" text="National Team">
      <formula>NOT(ISERROR(SEARCH("National Team",I1)))</formula>
    </cfRule>
  </conditionalFormatting>
  <conditionalFormatting sqref="I4:I9">
    <cfRule type="containsText" dxfId="102" priority="12" operator="containsText" text="Merit">
      <formula>NOT(ISERROR(SEARCH("Merit",I4)))</formula>
    </cfRule>
    <cfRule type="containsText" dxfId="101" priority="13" operator="containsText" text="Funding">
      <formula>NOT(ISERROR(SEARCH("Funding",I4)))</formula>
    </cfRule>
    <cfRule type="containsText" dxfId="100" priority="14" operator="containsText" text="Worlds Team">
      <formula>NOT(ISERROR(SEARCH("Worlds Team",I4)))</formula>
    </cfRule>
    <cfRule type="containsText" dxfId="99" priority="15" operator="containsText" text="National Team">
      <formula>NOT(ISERROR(SEARCH("National Team",I4)))</formula>
    </cfRule>
  </conditionalFormatting>
  <conditionalFormatting sqref="U4:AR9">
    <cfRule type="expression" dxfId="98" priority="11">
      <formula>IF($AK4&lt;&gt;"",1,0)</formula>
    </cfRule>
  </conditionalFormatting>
  <conditionalFormatting sqref="AS4:BP9">
    <cfRule type="expression" dxfId="97" priority="10">
      <formula>IF($BI4&lt;&gt;"",1,0)</formula>
    </cfRule>
  </conditionalFormatting>
  <conditionalFormatting sqref="BQ4:CN9">
    <cfRule type="expression" dxfId="96" priority="9">
      <formula>IF($CG4&lt;&gt;"",1,0)</formula>
    </cfRule>
  </conditionalFormatting>
  <conditionalFormatting sqref="NA1:NA1048576 MD1:MD1048576 LG1:LG1048576 KJ1:KJ1048576 JM1:JM1048576 IP1:IP1048576 HS1:HS1048576 GV1:GV1048576 FY1:FY1048576 FB1:FB1048576 EE1:EE1048576 DH1:DH1048576">
    <cfRule type="cellIs" dxfId="95" priority="2469" operator="between">
      <formula>DI$13</formula>
      <formula>100</formula>
    </cfRule>
    <cfRule type="cellIs" dxfId="94" priority="2470" operator="between">
      <formula>DI$12</formula>
      <formula>DI$13</formula>
    </cfRule>
  </conditionalFormatting>
  <conditionalFormatting sqref="DL1:DL1048576 EI1:EI1048576 FF1:FF1048576 GC1:GC1048576 GZ1:GZ1048576 HW1:HW1048576 IT1:IT1048576 JQ1:JQ1048576 KN1:KN1048576 LK1:LK1048576 MH1:MH1048576 NE1:NE1048576">
    <cfRule type="cellIs" dxfId="93" priority="2559" operator="between">
      <formula>DI$17</formula>
      <formula>1000</formula>
    </cfRule>
    <cfRule type="cellIs" dxfId="92" priority="2560" operator="between">
      <formula>DI$16</formula>
      <formula>DI$17</formula>
    </cfRule>
    <cfRule type="cellIs" dxfId="91" priority="2561" operator="between">
      <formula>DI$15</formula>
      <formula>DI$16</formula>
    </cfRule>
    <cfRule type="cellIs" dxfId="90" priority="2562" operator="between">
      <formula>DI$14</formula>
      <formula>DI$15</formula>
    </cfRule>
  </conditionalFormatting>
  <conditionalFormatting sqref="AL1:AL1048576 BJ1:BJ1048576 CH1:CH1048576">
    <cfRule type="expression" dxfId="89" priority="5">
      <formula>IF(AND(AL1&gt;=AM$13,AL1&lt;1000,AK1=""),1,0)</formula>
    </cfRule>
    <cfRule type="expression" dxfId="88" priority="7">
      <formula>IF(AND(AL1&gt;=AM$12,AL1&lt;AM$13,AK1=""),1,0)</formula>
    </cfRule>
  </conditionalFormatting>
  <conditionalFormatting sqref="AP1:AP1048576 BN1:BN1048576 CL1:CL1048576">
    <cfRule type="expression" dxfId="87" priority="1">
      <formula>IF(AND(AP1&gt;=AM$17,AP1&lt;1000,AK1=""),1,0)</formula>
    </cfRule>
    <cfRule type="expression" dxfId="86" priority="2">
      <formula>IF(AND(AP1&gt;=AM$16,AP1&lt;AM$17,AK1=""),1,0)</formula>
    </cfRule>
    <cfRule type="expression" dxfId="85" priority="3">
      <formula>IF(AND(AP1&gt;=AM$15,AP1&lt;AM$16,AK1=""),1,0)</formula>
    </cfRule>
    <cfRule type="expression" dxfId="84" priority="4">
      <formula>IF(AND(AP1&gt;=AM$14,AP1&lt;AM$15,AK1=""),1,0)</formula>
    </cfRule>
  </conditionalFormatting>
  <conditionalFormatting sqref="K1:K1048576 M1:M1048576 O1:O1048576 Q1:Q1048576">
    <cfRule type="expression" dxfId="83" priority="216">
      <formula>IF(K1=$BQ$1,1,0)</formula>
    </cfRule>
    <cfRule type="expression" dxfId="82" priority="217">
      <formula>IF(K1=$AS$1,1,0)</formula>
    </cfRule>
    <cfRule type="expression" dxfId="81" priority="368">
      <formula>IF(K1=$U$1,1,0)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G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33203125" customWidth="1"/>
    <col min="7" max="7" width="15.3320312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17" t="s">
        <v>1</v>
      </c>
      <c r="B1" s="117" t="s">
        <v>28</v>
      </c>
      <c r="C1" s="117" t="s">
        <v>0</v>
      </c>
      <c r="D1" s="117" t="s">
        <v>67</v>
      </c>
      <c r="E1" s="117" t="s">
        <v>2</v>
      </c>
      <c r="F1" s="118" t="s">
        <v>63</v>
      </c>
      <c r="G1" s="118" t="s">
        <v>62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42</v>
      </c>
      <c r="M1" s="119" t="s">
        <v>45</v>
      </c>
      <c r="N1" s="119" t="s">
        <v>43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3" t="s">
        <v>64</v>
      </c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4" t="s">
        <v>116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21" t="s">
        <v>14</v>
      </c>
      <c r="CP1" s="121"/>
      <c r="CQ1" s="121"/>
      <c r="CR1" s="114" t="s">
        <v>135</v>
      </c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4"/>
      <c r="HC1" s="113"/>
      <c r="HD1" s="113"/>
      <c r="HE1" s="113"/>
      <c r="HF1" s="113"/>
      <c r="HG1" s="113"/>
      <c r="HH1" s="113"/>
      <c r="HI1" s="113"/>
      <c r="HJ1" s="113"/>
      <c r="HK1" s="113"/>
      <c r="HL1" s="113"/>
      <c r="HM1" s="113"/>
      <c r="HN1" s="113"/>
      <c r="HO1" s="113"/>
      <c r="HP1" s="113"/>
      <c r="HQ1" s="113"/>
      <c r="HR1" s="113"/>
      <c r="HS1" s="113"/>
      <c r="HT1" s="113"/>
      <c r="HU1" s="113"/>
      <c r="HV1" s="113"/>
      <c r="HW1" s="113"/>
      <c r="HX1" s="113"/>
      <c r="HY1" s="113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3"/>
      <c r="IX1" s="113"/>
      <c r="IY1" s="113"/>
      <c r="IZ1" s="113"/>
      <c r="JA1" s="113"/>
      <c r="JB1" s="113"/>
      <c r="JC1" s="113"/>
      <c r="JD1" s="113"/>
      <c r="JE1" s="113"/>
      <c r="JF1" s="113"/>
      <c r="JG1" s="113"/>
      <c r="JH1" s="113"/>
      <c r="JI1" s="113"/>
      <c r="JJ1" s="113"/>
      <c r="JK1" s="113"/>
      <c r="JL1" s="113"/>
      <c r="JM1" s="113"/>
      <c r="JN1" s="113"/>
      <c r="JO1" s="113"/>
      <c r="JP1" s="113"/>
      <c r="JQ1" s="113"/>
      <c r="JR1" s="113"/>
      <c r="JS1" s="113"/>
      <c r="JT1" s="114"/>
      <c r="JU1" s="114"/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3"/>
      <c r="KR1" s="113"/>
      <c r="KS1" s="113"/>
      <c r="KT1" s="113"/>
      <c r="KU1" s="113"/>
      <c r="KV1" s="113"/>
      <c r="KW1" s="113"/>
      <c r="KX1" s="113"/>
      <c r="KY1" s="113"/>
      <c r="KZ1" s="113"/>
      <c r="LA1" s="113"/>
      <c r="LB1" s="113"/>
      <c r="LC1" s="113"/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3"/>
      <c r="ML1" s="113"/>
      <c r="MM1" s="113"/>
      <c r="MN1" s="113"/>
      <c r="MO1" s="113"/>
      <c r="MP1" s="113"/>
      <c r="MQ1" s="113"/>
      <c r="MR1" s="113"/>
      <c r="MS1" s="113"/>
      <c r="MT1" s="113"/>
      <c r="MU1" s="113"/>
      <c r="MV1" s="113"/>
      <c r="MW1" s="113"/>
      <c r="MX1" s="113"/>
      <c r="MY1" s="113"/>
      <c r="MZ1" s="113"/>
      <c r="NA1" s="113"/>
      <c r="NB1" s="113"/>
      <c r="NC1" s="113"/>
      <c r="ND1" s="113"/>
      <c r="NE1" s="113"/>
      <c r="NF1" s="113"/>
      <c r="NG1" s="113"/>
    </row>
    <row r="2" spans="1:371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31</v>
      </c>
      <c r="V2" s="116"/>
      <c r="W2" s="116"/>
      <c r="X2" s="116"/>
      <c r="Y2" s="116" t="s">
        <v>34</v>
      </c>
      <c r="Z2" s="116"/>
      <c r="AA2" s="116"/>
      <c r="AB2" s="116"/>
      <c r="AC2" s="116" t="s">
        <v>35</v>
      </c>
      <c r="AD2" s="116"/>
      <c r="AE2" s="116"/>
      <c r="AF2" s="116"/>
      <c r="AG2" s="124" t="s">
        <v>36</v>
      </c>
      <c r="AH2" s="124"/>
      <c r="AI2" s="124"/>
      <c r="AJ2" s="124"/>
      <c r="AK2" s="98"/>
      <c r="AL2" s="64" t="s">
        <v>27</v>
      </c>
      <c r="AM2" s="64" t="s">
        <v>44</v>
      </c>
      <c r="AN2" s="10" t="s">
        <v>31</v>
      </c>
      <c r="AO2" s="10" t="s">
        <v>34</v>
      </c>
      <c r="AP2" s="10" t="s">
        <v>24</v>
      </c>
      <c r="AQ2" s="10" t="s">
        <v>23</v>
      </c>
      <c r="AR2" s="10" t="s">
        <v>18</v>
      </c>
      <c r="AS2" s="115" t="s">
        <v>31</v>
      </c>
      <c r="AT2" s="115"/>
      <c r="AU2" s="115"/>
      <c r="AV2" s="115"/>
      <c r="AW2" s="115" t="s">
        <v>34</v>
      </c>
      <c r="AX2" s="115"/>
      <c r="AY2" s="115"/>
      <c r="AZ2" s="115"/>
      <c r="BA2" s="115" t="s">
        <v>35</v>
      </c>
      <c r="BB2" s="115"/>
      <c r="BC2" s="115"/>
      <c r="BD2" s="115"/>
      <c r="BE2" s="123" t="s">
        <v>36</v>
      </c>
      <c r="BF2" s="123"/>
      <c r="BG2" s="123"/>
      <c r="BH2" s="123"/>
      <c r="BI2" s="99"/>
      <c r="BJ2" s="63" t="s">
        <v>27</v>
      </c>
      <c r="BK2" s="63" t="s">
        <v>44</v>
      </c>
      <c r="BL2" s="13" t="s">
        <v>31</v>
      </c>
      <c r="BM2" s="13" t="s">
        <v>34</v>
      </c>
      <c r="BN2" s="13" t="s">
        <v>24</v>
      </c>
      <c r="BO2" s="13" t="s">
        <v>23</v>
      </c>
      <c r="BP2" s="13" t="s">
        <v>18</v>
      </c>
      <c r="BQ2" s="116" t="s">
        <v>31</v>
      </c>
      <c r="BR2" s="116"/>
      <c r="BS2" s="116"/>
      <c r="BT2" s="116"/>
      <c r="BU2" s="116" t="s">
        <v>34</v>
      </c>
      <c r="BV2" s="116"/>
      <c r="BW2" s="116"/>
      <c r="BX2" s="116"/>
      <c r="BY2" s="116" t="s">
        <v>35</v>
      </c>
      <c r="BZ2" s="116"/>
      <c r="CA2" s="116"/>
      <c r="CB2" s="116"/>
      <c r="CC2" s="125" t="s">
        <v>36</v>
      </c>
      <c r="CD2" s="125"/>
      <c r="CE2" s="125"/>
      <c r="CF2" s="125"/>
      <c r="CG2" s="98"/>
      <c r="CH2" s="20" t="s">
        <v>27</v>
      </c>
      <c r="CI2" s="20" t="s">
        <v>44</v>
      </c>
      <c r="CJ2" s="10" t="s">
        <v>31</v>
      </c>
      <c r="CK2" s="10" t="s">
        <v>34</v>
      </c>
      <c r="CL2" s="10" t="s">
        <v>24</v>
      </c>
      <c r="CM2" s="10" t="s">
        <v>23</v>
      </c>
      <c r="CN2" s="10" t="s">
        <v>18</v>
      </c>
      <c r="CO2" s="26" t="s">
        <v>31</v>
      </c>
      <c r="CP2" s="26" t="s">
        <v>34</v>
      </c>
      <c r="CQ2" s="26" t="s">
        <v>23</v>
      </c>
      <c r="CR2" s="116" t="s">
        <v>31</v>
      </c>
      <c r="CS2" s="116"/>
      <c r="CT2" s="116"/>
      <c r="CU2" s="116"/>
      <c r="CV2" s="116" t="s">
        <v>34</v>
      </c>
      <c r="CW2" s="116"/>
      <c r="CX2" s="116"/>
      <c r="CY2" s="116"/>
      <c r="CZ2" s="116" t="s">
        <v>35</v>
      </c>
      <c r="DA2" s="116"/>
      <c r="DB2" s="116"/>
      <c r="DC2" s="116"/>
      <c r="DD2" s="122" t="s">
        <v>36</v>
      </c>
      <c r="DE2" s="122"/>
      <c r="DF2" s="122"/>
      <c r="DG2" s="122"/>
      <c r="DH2" s="64" t="s">
        <v>27</v>
      </c>
      <c r="DI2" s="64" t="s">
        <v>44</v>
      </c>
      <c r="DJ2" s="10" t="s">
        <v>31</v>
      </c>
      <c r="DK2" s="10" t="s">
        <v>34</v>
      </c>
      <c r="DL2" s="10" t="s">
        <v>24</v>
      </c>
      <c r="DM2" s="10" t="s">
        <v>23</v>
      </c>
      <c r="DN2" s="10" t="s">
        <v>18</v>
      </c>
      <c r="DO2" s="115" t="s">
        <v>31</v>
      </c>
      <c r="DP2" s="115"/>
      <c r="DQ2" s="115"/>
      <c r="DR2" s="115"/>
      <c r="DS2" s="115" t="s">
        <v>34</v>
      </c>
      <c r="DT2" s="115"/>
      <c r="DU2" s="115"/>
      <c r="DV2" s="115"/>
      <c r="DW2" s="115" t="s">
        <v>35</v>
      </c>
      <c r="DX2" s="115"/>
      <c r="DY2" s="115"/>
      <c r="DZ2" s="115"/>
      <c r="EA2" s="123" t="s">
        <v>36</v>
      </c>
      <c r="EB2" s="123"/>
      <c r="EC2" s="123"/>
      <c r="ED2" s="123"/>
      <c r="EE2" s="63" t="s">
        <v>27</v>
      </c>
      <c r="EF2" s="63" t="s">
        <v>44</v>
      </c>
      <c r="EG2" s="13" t="s">
        <v>31</v>
      </c>
      <c r="EH2" s="13" t="s">
        <v>34</v>
      </c>
      <c r="EI2" s="13" t="s">
        <v>24</v>
      </c>
      <c r="EJ2" s="13" t="s">
        <v>23</v>
      </c>
      <c r="EK2" s="13" t="s">
        <v>18</v>
      </c>
      <c r="EL2" s="116" t="s">
        <v>31</v>
      </c>
      <c r="EM2" s="116"/>
      <c r="EN2" s="116"/>
      <c r="EO2" s="116"/>
      <c r="EP2" s="116" t="s">
        <v>34</v>
      </c>
      <c r="EQ2" s="116"/>
      <c r="ER2" s="116"/>
      <c r="ES2" s="116"/>
      <c r="ET2" s="116" t="s">
        <v>35</v>
      </c>
      <c r="EU2" s="116"/>
      <c r="EV2" s="116"/>
      <c r="EW2" s="116"/>
      <c r="EX2" s="122" t="s">
        <v>36</v>
      </c>
      <c r="EY2" s="122"/>
      <c r="EZ2" s="122"/>
      <c r="FA2" s="122"/>
      <c r="FB2" s="64" t="s">
        <v>27</v>
      </c>
      <c r="FC2" s="64" t="s">
        <v>44</v>
      </c>
      <c r="FD2" s="10" t="s">
        <v>31</v>
      </c>
      <c r="FE2" s="10" t="s">
        <v>34</v>
      </c>
      <c r="FF2" s="10" t="s">
        <v>24</v>
      </c>
      <c r="FG2" s="10" t="s">
        <v>23</v>
      </c>
      <c r="FH2" s="10" t="s">
        <v>18</v>
      </c>
      <c r="FI2" s="115" t="s">
        <v>31</v>
      </c>
      <c r="FJ2" s="115"/>
      <c r="FK2" s="115"/>
      <c r="FL2" s="115"/>
      <c r="FM2" s="115" t="s">
        <v>34</v>
      </c>
      <c r="FN2" s="115"/>
      <c r="FO2" s="115"/>
      <c r="FP2" s="115"/>
      <c r="FQ2" s="115" t="s">
        <v>35</v>
      </c>
      <c r="FR2" s="115"/>
      <c r="FS2" s="115"/>
      <c r="FT2" s="115"/>
      <c r="FU2" s="123" t="s">
        <v>36</v>
      </c>
      <c r="FV2" s="123"/>
      <c r="FW2" s="123"/>
      <c r="FX2" s="123"/>
      <c r="FY2" s="22" t="s">
        <v>27</v>
      </c>
      <c r="FZ2" s="22" t="s">
        <v>44</v>
      </c>
      <c r="GA2" s="13" t="s">
        <v>31</v>
      </c>
      <c r="GB2" s="13" t="s">
        <v>34</v>
      </c>
      <c r="GC2" s="13" t="s">
        <v>24</v>
      </c>
      <c r="GD2" s="13" t="s">
        <v>23</v>
      </c>
      <c r="GE2" s="13" t="s">
        <v>18</v>
      </c>
      <c r="GF2" s="116" t="s">
        <v>31</v>
      </c>
      <c r="GG2" s="116"/>
      <c r="GH2" s="116"/>
      <c r="GI2" s="116"/>
      <c r="GJ2" s="116" t="s">
        <v>34</v>
      </c>
      <c r="GK2" s="116"/>
      <c r="GL2" s="116"/>
      <c r="GM2" s="116"/>
      <c r="GN2" s="116" t="s">
        <v>35</v>
      </c>
      <c r="GO2" s="116"/>
      <c r="GP2" s="116"/>
      <c r="GQ2" s="116"/>
      <c r="GR2" s="122" t="s">
        <v>36</v>
      </c>
      <c r="GS2" s="122"/>
      <c r="GT2" s="122"/>
      <c r="GU2" s="122"/>
      <c r="GV2" s="23" t="s">
        <v>27</v>
      </c>
      <c r="GW2" s="23" t="s">
        <v>44</v>
      </c>
      <c r="GX2" s="10" t="s">
        <v>31</v>
      </c>
      <c r="GY2" s="10" t="s">
        <v>34</v>
      </c>
      <c r="GZ2" s="10" t="s">
        <v>24</v>
      </c>
      <c r="HA2" s="10" t="s">
        <v>23</v>
      </c>
      <c r="HB2" s="10" t="s">
        <v>18</v>
      </c>
      <c r="HC2" s="115" t="s">
        <v>31</v>
      </c>
      <c r="HD2" s="115"/>
      <c r="HE2" s="115"/>
      <c r="HF2" s="115"/>
      <c r="HG2" s="115" t="s">
        <v>34</v>
      </c>
      <c r="HH2" s="115"/>
      <c r="HI2" s="115"/>
      <c r="HJ2" s="115"/>
      <c r="HK2" s="115" t="s">
        <v>35</v>
      </c>
      <c r="HL2" s="115"/>
      <c r="HM2" s="115"/>
      <c r="HN2" s="115"/>
      <c r="HO2" s="123" t="s">
        <v>36</v>
      </c>
      <c r="HP2" s="123"/>
      <c r="HQ2" s="123"/>
      <c r="HR2" s="123"/>
      <c r="HS2" s="22" t="s">
        <v>27</v>
      </c>
      <c r="HT2" s="22" t="s">
        <v>44</v>
      </c>
      <c r="HU2" s="13" t="s">
        <v>31</v>
      </c>
      <c r="HV2" s="13" t="s">
        <v>34</v>
      </c>
      <c r="HW2" s="13" t="s">
        <v>24</v>
      </c>
      <c r="HX2" s="13" t="s">
        <v>23</v>
      </c>
      <c r="HY2" s="13" t="s">
        <v>18</v>
      </c>
      <c r="HZ2" s="116" t="s">
        <v>31</v>
      </c>
      <c r="IA2" s="116"/>
      <c r="IB2" s="116"/>
      <c r="IC2" s="116"/>
      <c r="ID2" s="116" t="s">
        <v>34</v>
      </c>
      <c r="IE2" s="116"/>
      <c r="IF2" s="116"/>
      <c r="IG2" s="116"/>
      <c r="IH2" s="116" t="s">
        <v>35</v>
      </c>
      <c r="II2" s="116"/>
      <c r="IJ2" s="116"/>
      <c r="IK2" s="116"/>
      <c r="IL2" s="122" t="s">
        <v>36</v>
      </c>
      <c r="IM2" s="122"/>
      <c r="IN2" s="122"/>
      <c r="IO2" s="122"/>
      <c r="IP2" s="23" t="s">
        <v>27</v>
      </c>
      <c r="IQ2" s="23" t="s">
        <v>44</v>
      </c>
      <c r="IR2" s="10" t="s">
        <v>31</v>
      </c>
      <c r="IS2" s="10" t="s">
        <v>34</v>
      </c>
      <c r="IT2" s="10" t="s">
        <v>24</v>
      </c>
      <c r="IU2" s="10" t="s">
        <v>23</v>
      </c>
      <c r="IV2" s="10" t="s">
        <v>18</v>
      </c>
      <c r="IW2" s="115" t="s">
        <v>31</v>
      </c>
      <c r="IX2" s="115"/>
      <c r="IY2" s="115"/>
      <c r="IZ2" s="115"/>
      <c r="JA2" s="115" t="s">
        <v>34</v>
      </c>
      <c r="JB2" s="115"/>
      <c r="JC2" s="115"/>
      <c r="JD2" s="115"/>
      <c r="JE2" s="115" t="s">
        <v>35</v>
      </c>
      <c r="JF2" s="115"/>
      <c r="JG2" s="115"/>
      <c r="JH2" s="115"/>
      <c r="JI2" s="123" t="s">
        <v>36</v>
      </c>
      <c r="JJ2" s="123"/>
      <c r="JK2" s="123"/>
      <c r="JL2" s="123"/>
      <c r="JM2" s="22" t="s">
        <v>27</v>
      </c>
      <c r="JN2" s="22" t="s">
        <v>44</v>
      </c>
      <c r="JO2" s="13" t="s">
        <v>31</v>
      </c>
      <c r="JP2" s="13" t="s">
        <v>34</v>
      </c>
      <c r="JQ2" s="13" t="s">
        <v>24</v>
      </c>
      <c r="JR2" s="13" t="s">
        <v>23</v>
      </c>
      <c r="JS2" s="13" t="s">
        <v>18</v>
      </c>
      <c r="JT2" s="116" t="s">
        <v>31</v>
      </c>
      <c r="JU2" s="116"/>
      <c r="JV2" s="116"/>
      <c r="JW2" s="116"/>
      <c r="JX2" s="116" t="s">
        <v>34</v>
      </c>
      <c r="JY2" s="116"/>
      <c r="JZ2" s="116"/>
      <c r="KA2" s="116"/>
      <c r="KB2" s="116" t="s">
        <v>35</v>
      </c>
      <c r="KC2" s="116"/>
      <c r="KD2" s="116"/>
      <c r="KE2" s="116"/>
      <c r="KF2" s="122" t="s">
        <v>36</v>
      </c>
      <c r="KG2" s="122"/>
      <c r="KH2" s="122"/>
      <c r="KI2" s="122"/>
      <c r="KJ2" s="23" t="s">
        <v>27</v>
      </c>
      <c r="KK2" s="23" t="s">
        <v>44</v>
      </c>
      <c r="KL2" s="10" t="s">
        <v>31</v>
      </c>
      <c r="KM2" s="10" t="s">
        <v>34</v>
      </c>
      <c r="KN2" s="10" t="s">
        <v>24</v>
      </c>
      <c r="KO2" s="10" t="s">
        <v>23</v>
      </c>
      <c r="KP2" s="10" t="s">
        <v>18</v>
      </c>
      <c r="KQ2" s="115" t="s">
        <v>31</v>
      </c>
      <c r="KR2" s="115"/>
      <c r="KS2" s="115"/>
      <c r="KT2" s="115"/>
      <c r="KU2" s="115" t="s">
        <v>34</v>
      </c>
      <c r="KV2" s="115"/>
      <c r="KW2" s="115"/>
      <c r="KX2" s="115"/>
      <c r="KY2" s="115" t="s">
        <v>35</v>
      </c>
      <c r="KZ2" s="115"/>
      <c r="LA2" s="115"/>
      <c r="LB2" s="115"/>
      <c r="LC2" s="123" t="s">
        <v>36</v>
      </c>
      <c r="LD2" s="123"/>
      <c r="LE2" s="123"/>
      <c r="LF2" s="123"/>
      <c r="LG2" s="22" t="s">
        <v>27</v>
      </c>
      <c r="LH2" s="22" t="s">
        <v>44</v>
      </c>
      <c r="LI2" s="13" t="s">
        <v>31</v>
      </c>
      <c r="LJ2" s="13" t="s">
        <v>34</v>
      </c>
      <c r="LK2" s="13" t="s">
        <v>24</v>
      </c>
      <c r="LL2" s="13" t="s">
        <v>23</v>
      </c>
      <c r="LM2" s="13" t="s">
        <v>18</v>
      </c>
      <c r="LN2" s="116" t="s">
        <v>31</v>
      </c>
      <c r="LO2" s="116"/>
      <c r="LP2" s="116"/>
      <c r="LQ2" s="116"/>
      <c r="LR2" s="116" t="s">
        <v>34</v>
      </c>
      <c r="LS2" s="116"/>
      <c r="LT2" s="116"/>
      <c r="LU2" s="116"/>
      <c r="LV2" s="116" t="s">
        <v>35</v>
      </c>
      <c r="LW2" s="116"/>
      <c r="LX2" s="116"/>
      <c r="LY2" s="116"/>
      <c r="LZ2" s="122" t="s">
        <v>36</v>
      </c>
      <c r="MA2" s="122"/>
      <c r="MB2" s="122"/>
      <c r="MC2" s="122"/>
      <c r="MD2" s="23" t="s">
        <v>27</v>
      </c>
      <c r="ME2" s="23" t="s">
        <v>44</v>
      </c>
      <c r="MF2" s="10" t="s">
        <v>31</v>
      </c>
      <c r="MG2" s="10" t="s">
        <v>34</v>
      </c>
      <c r="MH2" s="10" t="s">
        <v>24</v>
      </c>
      <c r="MI2" s="10" t="s">
        <v>23</v>
      </c>
      <c r="MJ2" s="10" t="s">
        <v>18</v>
      </c>
      <c r="MK2" s="115" t="s">
        <v>31</v>
      </c>
      <c r="ML2" s="115"/>
      <c r="MM2" s="115"/>
      <c r="MN2" s="115"/>
      <c r="MO2" s="115" t="s">
        <v>34</v>
      </c>
      <c r="MP2" s="115"/>
      <c r="MQ2" s="115"/>
      <c r="MR2" s="115"/>
      <c r="MS2" s="115" t="s">
        <v>35</v>
      </c>
      <c r="MT2" s="115"/>
      <c r="MU2" s="115"/>
      <c r="MV2" s="115"/>
      <c r="MW2" s="123" t="s">
        <v>36</v>
      </c>
      <c r="MX2" s="123"/>
      <c r="MY2" s="123"/>
      <c r="MZ2" s="123"/>
      <c r="NA2" s="22" t="s">
        <v>27</v>
      </c>
      <c r="NB2" s="22" t="s">
        <v>44</v>
      </c>
      <c r="NC2" s="13" t="s">
        <v>31</v>
      </c>
      <c r="ND2" s="13" t="s">
        <v>34</v>
      </c>
      <c r="NE2" s="13" t="s">
        <v>24</v>
      </c>
      <c r="NF2" s="13" t="s">
        <v>23</v>
      </c>
      <c r="NG2" s="13" t="s">
        <v>18</v>
      </c>
    </row>
    <row r="3" spans="1:371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98" t="s">
        <v>124</v>
      </c>
      <c r="AL3" s="11"/>
      <c r="AM3" s="11"/>
      <c r="AN3" s="10"/>
      <c r="AO3" s="10"/>
      <c r="AP3" s="10"/>
      <c r="AQ3" s="11"/>
      <c r="AR3" s="11"/>
      <c r="AS3" s="63" t="s">
        <v>15</v>
      </c>
      <c r="AT3" s="63" t="s">
        <v>7</v>
      </c>
      <c r="AU3" s="63" t="s">
        <v>32</v>
      </c>
      <c r="AV3" s="63" t="s">
        <v>33</v>
      </c>
      <c r="AW3" s="63" t="s">
        <v>15</v>
      </c>
      <c r="AX3" s="63" t="s">
        <v>7</v>
      </c>
      <c r="AY3" s="63" t="s">
        <v>32</v>
      </c>
      <c r="AZ3" s="63" t="s">
        <v>33</v>
      </c>
      <c r="BA3" s="63" t="s">
        <v>15</v>
      </c>
      <c r="BB3" s="63" t="s">
        <v>7</v>
      </c>
      <c r="BC3" s="63" t="s">
        <v>32</v>
      </c>
      <c r="BD3" s="63" t="s">
        <v>33</v>
      </c>
      <c r="BE3" s="65" t="s">
        <v>15</v>
      </c>
      <c r="BF3" s="65" t="s">
        <v>7</v>
      </c>
      <c r="BG3" s="65" t="s">
        <v>32</v>
      </c>
      <c r="BH3" s="65" t="s">
        <v>33</v>
      </c>
      <c r="BI3" s="99" t="s">
        <v>124</v>
      </c>
      <c r="BJ3" s="14"/>
      <c r="BK3" s="14"/>
      <c r="BL3" s="13"/>
      <c r="BM3" s="13"/>
      <c r="BN3" s="13"/>
      <c r="BO3" s="14"/>
      <c r="BP3" s="14"/>
      <c r="BQ3" s="33" t="s">
        <v>15</v>
      </c>
      <c r="BR3" s="33" t="s">
        <v>7</v>
      </c>
      <c r="BS3" s="33" t="s">
        <v>32</v>
      </c>
      <c r="BT3" s="33" t="s">
        <v>33</v>
      </c>
      <c r="BU3" s="33" t="s">
        <v>15</v>
      </c>
      <c r="BV3" s="33" t="s">
        <v>7</v>
      </c>
      <c r="BW3" s="33" t="s">
        <v>32</v>
      </c>
      <c r="BX3" s="33" t="s">
        <v>33</v>
      </c>
      <c r="BY3" s="33" t="s">
        <v>15</v>
      </c>
      <c r="BZ3" s="33" t="s">
        <v>7</v>
      </c>
      <c r="CA3" s="33" t="s">
        <v>32</v>
      </c>
      <c r="CB3" s="33" t="s">
        <v>33</v>
      </c>
      <c r="CC3" s="36" t="s">
        <v>15</v>
      </c>
      <c r="CD3" s="36" t="s">
        <v>7</v>
      </c>
      <c r="CE3" s="36" t="s">
        <v>32</v>
      </c>
      <c r="CF3" s="36" t="s">
        <v>33</v>
      </c>
      <c r="CG3" s="98" t="s">
        <v>124</v>
      </c>
      <c r="CH3" s="11"/>
      <c r="CI3" s="11"/>
      <c r="CJ3" s="10"/>
      <c r="CK3" s="10"/>
      <c r="CL3" s="10"/>
      <c r="CM3" s="11"/>
      <c r="CN3" s="11"/>
      <c r="CO3" s="27"/>
      <c r="CP3" s="27"/>
      <c r="CQ3" s="27"/>
      <c r="CR3" s="64" t="s">
        <v>15</v>
      </c>
      <c r="CS3" s="64" t="s">
        <v>7</v>
      </c>
      <c r="CT3" s="64" t="s">
        <v>32</v>
      </c>
      <c r="CU3" s="64" t="s">
        <v>33</v>
      </c>
      <c r="CV3" s="64" t="s">
        <v>15</v>
      </c>
      <c r="CW3" s="64" t="s">
        <v>7</v>
      </c>
      <c r="CX3" s="64" t="s">
        <v>32</v>
      </c>
      <c r="CY3" s="64" t="s">
        <v>33</v>
      </c>
      <c r="CZ3" s="64" t="s">
        <v>15</v>
      </c>
      <c r="DA3" s="64" t="s">
        <v>7</v>
      </c>
      <c r="DB3" s="64" t="s">
        <v>32</v>
      </c>
      <c r="DC3" s="64" t="s">
        <v>33</v>
      </c>
      <c r="DD3" s="66" t="s">
        <v>15</v>
      </c>
      <c r="DE3" s="66" t="s">
        <v>7</v>
      </c>
      <c r="DF3" s="66" t="s">
        <v>32</v>
      </c>
      <c r="DG3" s="66" t="s">
        <v>33</v>
      </c>
      <c r="DH3" s="11"/>
      <c r="DI3" s="11"/>
      <c r="DJ3" s="10"/>
      <c r="DK3" s="10"/>
      <c r="DL3" s="10"/>
      <c r="DM3" s="11"/>
      <c r="DN3" s="11"/>
      <c r="DO3" s="63" t="s">
        <v>15</v>
      </c>
      <c r="DP3" s="63" t="s">
        <v>7</v>
      </c>
      <c r="DQ3" s="63" t="s">
        <v>32</v>
      </c>
      <c r="DR3" s="63" t="s">
        <v>33</v>
      </c>
      <c r="DS3" s="63" t="s">
        <v>15</v>
      </c>
      <c r="DT3" s="63" t="s">
        <v>7</v>
      </c>
      <c r="DU3" s="63" t="s">
        <v>32</v>
      </c>
      <c r="DV3" s="63" t="s">
        <v>33</v>
      </c>
      <c r="DW3" s="63" t="s">
        <v>15</v>
      </c>
      <c r="DX3" s="63" t="s">
        <v>7</v>
      </c>
      <c r="DY3" s="63" t="s">
        <v>32</v>
      </c>
      <c r="DZ3" s="63" t="s">
        <v>33</v>
      </c>
      <c r="EA3" s="65" t="s">
        <v>15</v>
      </c>
      <c r="EB3" s="65" t="s">
        <v>7</v>
      </c>
      <c r="EC3" s="65" t="s">
        <v>32</v>
      </c>
      <c r="ED3" s="65" t="s">
        <v>33</v>
      </c>
      <c r="EE3" s="14"/>
      <c r="EF3" s="14"/>
      <c r="EG3" s="13"/>
      <c r="EH3" s="13"/>
      <c r="EI3" s="13"/>
      <c r="EJ3" s="14"/>
      <c r="EK3" s="14"/>
      <c r="EL3" s="64" t="s">
        <v>15</v>
      </c>
      <c r="EM3" s="64" t="s">
        <v>7</v>
      </c>
      <c r="EN3" s="64" t="s">
        <v>32</v>
      </c>
      <c r="EO3" s="64" t="s">
        <v>33</v>
      </c>
      <c r="EP3" s="64" t="s">
        <v>15</v>
      </c>
      <c r="EQ3" s="64" t="s">
        <v>7</v>
      </c>
      <c r="ER3" s="64" t="s">
        <v>32</v>
      </c>
      <c r="ES3" s="64" t="s">
        <v>33</v>
      </c>
      <c r="ET3" s="64" t="s">
        <v>15</v>
      </c>
      <c r="EU3" s="64" t="s">
        <v>7</v>
      </c>
      <c r="EV3" s="64" t="s">
        <v>32</v>
      </c>
      <c r="EW3" s="64" t="s">
        <v>33</v>
      </c>
      <c r="EX3" s="66" t="s">
        <v>15</v>
      </c>
      <c r="EY3" s="66" t="s">
        <v>7</v>
      </c>
      <c r="EZ3" s="66" t="s">
        <v>32</v>
      </c>
      <c r="FA3" s="66" t="s">
        <v>33</v>
      </c>
      <c r="FB3" s="11"/>
      <c r="FC3" s="11"/>
      <c r="FD3" s="10"/>
      <c r="FE3" s="10"/>
      <c r="FF3" s="10"/>
      <c r="FG3" s="11"/>
      <c r="FH3" s="11"/>
      <c r="FI3" s="32" t="s">
        <v>15</v>
      </c>
      <c r="FJ3" s="32" t="s">
        <v>7</v>
      </c>
      <c r="FK3" s="32" t="s">
        <v>32</v>
      </c>
      <c r="FL3" s="32" t="s">
        <v>33</v>
      </c>
      <c r="FM3" s="32" t="s">
        <v>15</v>
      </c>
      <c r="FN3" s="32" t="s">
        <v>7</v>
      </c>
      <c r="FO3" s="32" t="s">
        <v>32</v>
      </c>
      <c r="FP3" s="32" t="s">
        <v>33</v>
      </c>
      <c r="FQ3" s="32" t="s">
        <v>15</v>
      </c>
      <c r="FR3" s="32" t="s">
        <v>7</v>
      </c>
      <c r="FS3" s="32" t="s">
        <v>32</v>
      </c>
      <c r="FT3" s="32" t="s">
        <v>33</v>
      </c>
      <c r="FU3" s="35" t="s">
        <v>15</v>
      </c>
      <c r="FV3" s="35" t="s">
        <v>7</v>
      </c>
      <c r="FW3" s="35" t="s">
        <v>32</v>
      </c>
      <c r="FX3" s="35" t="s">
        <v>33</v>
      </c>
      <c r="FY3" s="14"/>
      <c r="FZ3" s="14"/>
      <c r="GA3" s="13"/>
      <c r="GB3" s="13"/>
      <c r="GC3" s="13"/>
      <c r="GD3" s="14"/>
      <c r="GE3" s="14"/>
      <c r="GF3" s="33" t="s">
        <v>15</v>
      </c>
      <c r="GG3" s="33" t="s">
        <v>7</v>
      </c>
      <c r="GH3" s="33" t="s">
        <v>32</v>
      </c>
      <c r="GI3" s="33" t="s">
        <v>33</v>
      </c>
      <c r="GJ3" s="33" t="s">
        <v>15</v>
      </c>
      <c r="GK3" s="33" t="s">
        <v>7</v>
      </c>
      <c r="GL3" s="33" t="s">
        <v>32</v>
      </c>
      <c r="GM3" s="33" t="s">
        <v>33</v>
      </c>
      <c r="GN3" s="33" t="s">
        <v>15</v>
      </c>
      <c r="GO3" s="33" t="s">
        <v>7</v>
      </c>
      <c r="GP3" s="33" t="s">
        <v>32</v>
      </c>
      <c r="GQ3" s="33" t="s">
        <v>33</v>
      </c>
      <c r="GR3" s="34" t="s">
        <v>15</v>
      </c>
      <c r="GS3" s="34" t="s">
        <v>7</v>
      </c>
      <c r="GT3" s="34" t="s">
        <v>32</v>
      </c>
      <c r="GU3" s="34" t="s">
        <v>33</v>
      </c>
      <c r="GV3" s="11"/>
      <c r="GW3" s="11"/>
      <c r="GX3" s="10"/>
      <c r="GY3" s="10"/>
      <c r="GZ3" s="10"/>
      <c r="HA3" s="11"/>
      <c r="HB3" s="11"/>
      <c r="HC3" s="32" t="s">
        <v>15</v>
      </c>
      <c r="HD3" s="32" t="s">
        <v>7</v>
      </c>
      <c r="HE3" s="32" t="s">
        <v>32</v>
      </c>
      <c r="HF3" s="32" t="s">
        <v>33</v>
      </c>
      <c r="HG3" s="32" t="s">
        <v>15</v>
      </c>
      <c r="HH3" s="32" t="s">
        <v>7</v>
      </c>
      <c r="HI3" s="32" t="s">
        <v>32</v>
      </c>
      <c r="HJ3" s="32" t="s">
        <v>33</v>
      </c>
      <c r="HK3" s="32" t="s">
        <v>15</v>
      </c>
      <c r="HL3" s="32" t="s">
        <v>7</v>
      </c>
      <c r="HM3" s="32" t="s">
        <v>32</v>
      </c>
      <c r="HN3" s="32" t="s">
        <v>33</v>
      </c>
      <c r="HO3" s="35" t="s">
        <v>15</v>
      </c>
      <c r="HP3" s="35" t="s">
        <v>7</v>
      </c>
      <c r="HQ3" s="35" t="s">
        <v>32</v>
      </c>
      <c r="HR3" s="35" t="s">
        <v>33</v>
      </c>
      <c r="HS3" s="14"/>
      <c r="HT3" s="14"/>
      <c r="HU3" s="13"/>
      <c r="HV3" s="13"/>
      <c r="HW3" s="13"/>
      <c r="HX3" s="14"/>
      <c r="HY3" s="14"/>
      <c r="HZ3" s="33" t="s">
        <v>15</v>
      </c>
      <c r="IA3" s="33" t="s">
        <v>7</v>
      </c>
      <c r="IB3" s="33" t="s">
        <v>32</v>
      </c>
      <c r="IC3" s="33" t="s">
        <v>33</v>
      </c>
      <c r="ID3" s="33" t="s">
        <v>15</v>
      </c>
      <c r="IE3" s="33" t="s">
        <v>7</v>
      </c>
      <c r="IF3" s="33" t="s">
        <v>32</v>
      </c>
      <c r="IG3" s="33" t="s">
        <v>33</v>
      </c>
      <c r="IH3" s="33" t="s">
        <v>15</v>
      </c>
      <c r="II3" s="33" t="s">
        <v>7</v>
      </c>
      <c r="IJ3" s="33" t="s">
        <v>32</v>
      </c>
      <c r="IK3" s="33" t="s">
        <v>33</v>
      </c>
      <c r="IL3" s="34" t="s">
        <v>15</v>
      </c>
      <c r="IM3" s="34" t="s">
        <v>7</v>
      </c>
      <c r="IN3" s="34" t="s">
        <v>32</v>
      </c>
      <c r="IO3" s="34" t="s">
        <v>33</v>
      </c>
      <c r="IP3" s="11"/>
      <c r="IQ3" s="11"/>
      <c r="IR3" s="10"/>
      <c r="IS3" s="10"/>
      <c r="IT3" s="10"/>
      <c r="IU3" s="11"/>
      <c r="IV3" s="11"/>
      <c r="IW3" s="32" t="s">
        <v>15</v>
      </c>
      <c r="IX3" s="32" t="s">
        <v>7</v>
      </c>
      <c r="IY3" s="32" t="s">
        <v>32</v>
      </c>
      <c r="IZ3" s="32" t="s">
        <v>33</v>
      </c>
      <c r="JA3" s="32" t="s">
        <v>15</v>
      </c>
      <c r="JB3" s="32" t="s">
        <v>7</v>
      </c>
      <c r="JC3" s="32" t="s">
        <v>32</v>
      </c>
      <c r="JD3" s="32" t="s">
        <v>33</v>
      </c>
      <c r="JE3" s="32" t="s">
        <v>15</v>
      </c>
      <c r="JF3" s="32" t="s">
        <v>7</v>
      </c>
      <c r="JG3" s="32" t="s">
        <v>32</v>
      </c>
      <c r="JH3" s="32" t="s">
        <v>33</v>
      </c>
      <c r="JI3" s="35" t="s">
        <v>15</v>
      </c>
      <c r="JJ3" s="35" t="s">
        <v>7</v>
      </c>
      <c r="JK3" s="35" t="s">
        <v>32</v>
      </c>
      <c r="JL3" s="35" t="s">
        <v>33</v>
      </c>
      <c r="JM3" s="14"/>
      <c r="JN3" s="14"/>
      <c r="JO3" s="13"/>
      <c r="JP3" s="13"/>
      <c r="JQ3" s="13"/>
      <c r="JR3" s="14"/>
      <c r="JS3" s="14"/>
      <c r="JT3" s="33" t="s">
        <v>15</v>
      </c>
      <c r="JU3" s="33" t="s">
        <v>7</v>
      </c>
      <c r="JV3" s="33" t="s">
        <v>32</v>
      </c>
      <c r="JW3" s="33" t="s">
        <v>33</v>
      </c>
      <c r="JX3" s="33" t="s">
        <v>15</v>
      </c>
      <c r="JY3" s="33" t="s">
        <v>7</v>
      </c>
      <c r="JZ3" s="33" t="s">
        <v>32</v>
      </c>
      <c r="KA3" s="33" t="s">
        <v>33</v>
      </c>
      <c r="KB3" s="33" t="s">
        <v>15</v>
      </c>
      <c r="KC3" s="33" t="s">
        <v>7</v>
      </c>
      <c r="KD3" s="33" t="s">
        <v>32</v>
      </c>
      <c r="KE3" s="33" t="s">
        <v>33</v>
      </c>
      <c r="KF3" s="34" t="s">
        <v>15</v>
      </c>
      <c r="KG3" s="34" t="s">
        <v>7</v>
      </c>
      <c r="KH3" s="34" t="s">
        <v>32</v>
      </c>
      <c r="KI3" s="34" t="s">
        <v>33</v>
      </c>
      <c r="KJ3" s="11"/>
      <c r="KK3" s="11"/>
      <c r="KL3" s="10"/>
      <c r="KM3" s="10"/>
      <c r="KN3" s="10"/>
      <c r="KO3" s="11"/>
      <c r="KP3" s="11"/>
      <c r="KQ3" s="32" t="s">
        <v>15</v>
      </c>
      <c r="KR3" s="32" t="s">
        <v>7</v>
      </c>
      <c r="KS3" s="32" t="s">
        <v>32</v>
      </c>
      <c r="KT3" s="32" t="s">
        <v>33</v>
      </c>
      <c r="KU3" s="32" t="s">
        <v>15</v>
      </c>
      <c r="KV3" s="32" t="s">
        <v>7</v>
      </c>
      <c r="KW3" s="32" t="s">
        <v>32</v>
      </c>
      <c r="KX3" s="32" t="s">
        <v>33</v>
      </c>
      <c r="KY3" s="32" t="s">
        <v>15</v>
      </c>
      <c r="KZ3" s="32" t="s">
        <v>7</v>
      </c>
      <c r="LA3" s="32" t="s">
        <v>32</v>
      </c>
      <c r="LB3" s="32" t="s">
        <v>33</v>
      </c>
      <c r="LC3" s="35" t="s">
        <v>15</v>
      </c>
      <c r="LD3" s="35" t="s">
        <v>7</v>
      </c>
      <c r="LE3" s="35" t="s">
        <v>32</v>
      </c>
      <c r="LF3" s="35" t="s">
        <v>33</v>
      </c>
      <c r="LG3" s="14"/>
      <c r="LH3" s="14"/>
      <c r="LI3" s="13"/>
      <c r="LJ3" s="13"/>
      <c r="LK3" s="13"/>
      <c r="LL3" s="14"/>
      <c r="LM3" s="14"/>
      <c r="LN3" s="33" t="s">
        <v>15</v>
      </c>
      <c r="LO3" s="33" t="s">
        <v>7</v>
      </c>
      <c r="LP3" s="33" t="s">
        <v>32</v>
      </c>
      <c r="LQ3" s="33" t="s">
        <v>33</v>
      </c>
      <c r="LR3" s="33" t="s">
        <v>15</v>
      </c>
      <c r="LS3" s="33" t="s">
        <v>7</v>
      </c>
      <c r="LT3" s="33" t="s">
        <v>32</v>
      </c>
      <c r="LU3" s="33" t="s">
        <v>33</v>
      </c>
      <c r="LV3" s="33" t="s">
        <v>15</v>
      </c>
      <c r="LW3" s="33" t="s">
        <v>7</v>
      </c>
      <c r="LX3" s="33" t="s">
        <v>32</v>
      </c>
      <c r="LY3" s="33" t="s">
        <v>33</v>
      </c>
      <c r="LZ3" s="34" t="s">
        <v>15</v>
      </c>
      <c r="MA3" s="34" t="s">
        <v>7</v>
      </c>
      <c r="MB3" s="34" t="s">
        <v>32</v>
      </c>
      <c r="MC3" s="34" t="s">
        <v>33</v>
      </c>
      <c r="MD3" s="11"/>
      <c r="ME3" s="11"/>
      <c r="MF3" s="10"/>
      <c r="MG3" s="10"/>
      <c r="MH3" s="10"/>
      <c r="MI3" s="11"/>
      <c r="MJ3" s="11"/>
      <c r="MK3" s="32" t="s">
        <v>15</v>
      </c>
      <c r="ML3" s="32" t="s">
        <v>7</v>
      </c>
      <c r="MM3" s="32" t="s">
        <v>32</v>
      </c>
      <c r="MN3" s="32" t="s">
        <v>33</v>
      </c>
      <c r="MO3" s="32" t="s">
        <v>15</v>
      </c>
      <c r="MP3" s="32" t="s">
        <v>7</v>
      </c>
      <c r="MQ3" s="32" t="s">
        <v>32</v>
      </c>
      <c r="MR3" s="32" t="s">
        <v>33</v>
      </c>
      <c r="MS3" s="32" t="s">
        <v>15</v>
      </c>
      <c r="MT3" s="32" t="s">
        <v>7</v>
      </c>
      <c r="MU3" s="32" t="s">
        <v>32</v>
      </c>
      <c r="MV3" s="32" t="s">
        <v>33</v>
      </c>
      <c r="MW3" s="35" t="s">
        <v>15</v>
      </c>
      <c r="MX3" s="35" t="s">
        <v>7</v>
      </c>
      <c r="MY3" s="35" t="s">
        <v>32</v>
      </c>
      <c r="MZ3" s="35" t="s">
        <v>33</v>
      </c>
      <c r="NA3" s="14"/>
      <c r="NB3" s="14"/>
      <c r="NC3" s="13"/>
      <c r="ND3" s="13"/>
      <c r="NE3" s="13"/>
      <c r="NF3" s="14"/>
      <c r="NG3" s="14"/>
    </row>
    <row r="4" spans="1:371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9" t="s">
        <v>110</v>
      </c>
      <c r="C4" s="5" t="s">
        <v>3</v>
      </c>
      <c r="D4" s="31">
        <v>2003</v>
      </c>
      <c r="E4" s="16">
        <f>SUM(J4:R4)</f>
        <v>187.6</v>
      </c>
      <c r="F4" s="4" t="str">
        <f>IF(OR(AND($AL4&gt;=$AM$12,NOT($AL4=""),$AK4=""),AND($BJ4&gt;=$BK$12,NOT($BJ4=""),$BI4=""),AND($CH4&gt;=$CI$12,NOT($CH4=""),$CG4="")),"P","")</f>
        <v>P</v>
      </c>
      <c r="G4" s="4" t="str">
        <f>IF(OR(AND($AL4&gt;=$AM$13,NOT($AL4=""),$AK4=""),AND($BJ4&gt;=$BK$13,NOT($BJ4=""),$BI4=""),AND($CH4&gt;=$CI$13,NOT($CH4=""),$CG4="")),"P","")</f>
        <v/>
      </c>
      <c r="H4" s="4" t="str">
        <f>IF(OR(AND($AP4&gt;=$AM$14,NOT($AP4=""),$AK4=""),AND($BN4&gt;=$BK$14,NOT($BN4=""),$BI4=""),AND($CL4&gt;=$CI$14,NOT($CL4=""),$CG4="")),"P","")</f>
        <v>P</v>
      </c>
      <c r="I4" t="str">
        <f>IF(AND(G4="P",OR(AND($AP4&gt;=$AM$17,NOT($AP4=""),$AK4=""),AND($BN4&gt;=$BK$17,NOT($BN4=""),$BI4=""),AND($CL4&gt;=$CI$17,NOT($CL4=""),$CG4=""))),"Merit",IF(AND(G4="P",OR(AND($AP4&gt;=$AM$16,NOT($AP4=""),$AK4=""),AND($BN4&gt;=$BK$16,NOT($BN4=""),$BI4=""),AND($CL4&gt;=$CI$16,NOT($CL4=""),$CG4=""))),"Funding",IF(AND(G4="P",OR(AND($AP4&gt;=$AM$15,NOT($AP4=""),$AK4=""),AND($BN4&gt;=$BK$15,NOT($BN4=""),$BI4=""),AND($CL4&gt;=$CI$15,NOT($CL4=""),$CG4=""))),"Worlds Team",IF(AND(F4="P",OR(AND($AP4&gt;=$AM$14,NOT($AP4=""),$AK4=""),AND($BN4&gt;=$BK$14,NOT($BN4=""),$BI4=""),AND($CL4&gt;=$CI$14,NOT($CL4=""),$CG4=""))),"National Team",""))))</f>
        <v>National Team</v>
      </c>
      <c r="J4" s="15">
        <f>MAX(AP4,BN4,CL4)</f>
        <v>63.8</v>
      </c>
      <c r="K4" s="15" t="str">
        <f>IF(J4=CL4,$BQ$1,IF(J4=BN4,$AS$1,IF(J4=AP4,$U$1,"")))</f>
        <v>2018 Nationals</v>
      </c>
      <c r="L4" s="15">
        <f>IF($J4=$AP4,MAX(BL4,CJ4),IF($J4=$BN4,MAX(AN4,CJ4),MAX(AN4,BL4)))</f>
        <v>29.299999999999997</v>
      </c>
      <c r="M4" s="15" t="str">
        <f>IF(AND(L4=CJ4,$K4&lt;&gt;$BQ$1),$BQ$1,IF(AND(L4=BL4,$K4&lt;&gt;$AS$1),$AS$1,IF(AND(L4=AN4,$K4&lt;&gt;$U$1),$U$1,"")))</f>
        <v>2017 Nationals</v>
      </c>
      <c r="N4" s="15">
        <f>IF($J4=$AP4,MAX(BM4,CK4),IF($J4=$BN4,MAX(AO4,CK4),MAX(AO4,BM4)))</f>
        <v>29.400000000000002</v>
      </c>
      <c r="O4" s="15" t="str">
        <f>IF(AND(N4=CK4,$K4&lt;&gt;$BQ$1),$BQ$1,IF(AND(N4=BM4,$K4&lt;&gt;$AS$1),$AS$1,IF(AND(N4=AO4,$K4&lt;&gt;$U$1),$U$1,"")))</f>
        <v>2017 Nationals</v>
      </c>
      <c r="P4" s="15">
        <f>MAX(AQ4,BO4,CM4)</f>
        <v>63.099999999999994</v>
      </c>
      <c r="Q4" s="15" t="str">
        <f>IF(P4=CM4,$BQ$1,IF(P4=BO4,$AS$1,IF(P4=AQ4,$U$1,"")))</f>
        <v>2018 Nationals</v>
      </c>
      <c r="R4" s="15">
        <f>IF(MAX(CO4:CQ4)&gt;0,MAX(CO4:CQ4),"")</f>
        <v>2.0000000000000036</v>
      </c>
      <c r="S4" s="29" t="str">
        <f>IF(R4="","",IF(R4=CO4,"(Pass 1)",IF(R4=CP4,"(Pass 2)",IF(R4=CQ4,"(Final)"))))</f>
        <v>(Pass 1)</v>
      </c>
      <c r="T4" s="15" t="str">
        <f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>2018 World Age Groups (Nov 18)</v>
      </c>
      <c r="U4" s="76">
        <v>25.2</v>
      </c>
      <c r="V4" s="76">
        <v>4.0999999999999996</v>
      </c>
      <c r="W4" s="76">
        <v>0</v>
      </c>
      <c r="X4" s="76">
        <v>0</v>
      </c>
      <c r="Y4" s="76">
        <v>24.8</v>
      </c>
      <c r="Z4" s="76">
        <v>3.6</v>
      </c>
      <c r="AA4" s="76">
        <v>0</v>
      </c>
      <c r="AB4" s="76">
        <v>1</v>
      </c>
      <c r="AC4" s="76">
        <v>25.7</v>
      </c>
      <c r="AD4" s="76">
        <v>4.0999999999999996</v>
      </c>
      <c r="AE4" s="76">
        <v>0</v>
      </c>
      <c r="AF4" s="76">
        <v>0</v>
      </c>
      <c r="AG4" s="76">
        <v>26.2</v>
      </c>
      <c r="AH4" s="76">
        <v>3.6</v>
      </c>
      <c r="AI4" s="76">
        <v>0</v>
      </c>
      <c r="AJ4" s="76">
        <v>1</v>
      </c>
      <c r="AK4" s="108"/>
      <c r="AL4" s="12">
        <f>IF(SUM(V4,Z4)&gt;0,SUM(V4,Z4),"")</f>
        <v>7.6999999999999993</v>
      </c>
      <c r="AM4" s="12">
        <f>IF(SUM(AD4,AH4)&gt;0,SUM(AD4,AH4),"")</f>
        <v>7.6999999999999993</v>
      </c>
      <c r="AN4" s="12">
        <f>IF(SUM(U4:V4,X4)-W4&gt;0,SUM(U4:V4,X4)-W4,"")</f>
        <v>29.299999999999997</v>
      </c>
      <c r="AO4" s="12">
        <f>IF(SUM(Y4:Z4,AB4)-AA4&gt;0,SUM(Y4:Z4,AB4)-AA4,"")</f>
        <v>29.400000000000002</v>
      </c>
      <c r="AP4" s="12">
        <f>IF(SUM(AN4:AO4)&gt;0,SUM(AN4:AO4),"")</f>
        <v>58.7</v>
      </c>
      <c r="AQ4" s="12">
        <f>IF(SUM(AC4:AD4,AF4:AH4,AJ4)-SUM(AE4,AI4)&gt;0,SUM(AC4:AD4,AF4:AH4,AJ4)-SUM(AE4,AI4),"")</f>
        <v>60.6</v>
      </c>
      <c r="AR4" s="12">
        <f>IF(SUM(AP4,AQ4)&gt;0,SUM(AP4,AQ4),"")</f>
        <v>119.30000000000001</v>
      </c>
      <c r="AS4" s="81">
        <v>25.9</v>
      </c>
      <c r="AT4" s="81">
        <v>3.2</v>
      </c>
      <c r="AU4" s="81">
        <v>0</v>
      </c>
      <c r="AV4" s="81">
        <v>0</v>
      </c>
      <c r="AW4" s="81">
        <v>25.3</v>
      </c>
      <c r="AX4" s="81">
        <v>4.0999999999999996</v>
      </c>
      <c r="AY4" s="81">
        <v>3</v>
      </c>
      <c r="AZ4" s="81">
        <v>0</v>
      </c>
      <c r="BA4" s="81">
        <v>26.9</v>
      </c>
      <c r="BB4" s="81">
        <v>3.6</v>
      </c>
      <c r="BC4" s="81">
        <v>0</v>
      </c>
      <c r="BD4" s="81">
        <v>0</v>
      </c>
      <c r="BE4" s="81">
        <v>25.6</v>
      </c>
      <c r="BF4" s="81">
        <v>4.3</v>
      </c>
      <c r="BG4" s="81">
        <v>0</v>
      </c>
      <c r="BH4" s="81">
        <v>0</v>
      </c>
      <c r="BI4" s="109"/>
      <c r="BJ4" s="15">
        <f>IF(SUM(AT4,AX4)&gt;0,SUM(AT4,AX4),"")</f>
        <v>7.3</v>
      </c>
      <c r="BK4" s="15">
        <f>IF(SUM(BB4,BF4)&gt;0,SUM(BB4,BF4),"")</f>
        <v>7.9</v>
      </c>
      <c r="BL4" s="15">
        <f>IF(SUM(AS4:AT4,AV4)-AU4&gt;0,SUM(AS4:AT4,AV4)-AU4,"")</f>
        <v>29.099999999999998</v>
      </c>
      <c r="BM4" s="15">
        <f>IF(SUM(AW4:AX4,AZ4)-AY4&gt;0,SUM(AW4:AX4,AZ4)-AY4,"")</f>
        <v>26.4</v>
      </c>
      <c r="BN4" s="15">
        <f>IF(SUM(BL4:BM4)&gt;0,SUM(BL4:BM4),"")</f>
        <v>55.5</v>
      </c>
      <c r="BO4" s="15">
        <f>IF(SUM(BA4:BB4,BD4:BF4,BH4)-SUM(BC4,BG4)&gt;0,SUM(BA4:BB4,BD4:BF4,BH4)-SUM(BC4,BG4),"")</f>
        <v>60.4</v>
      </c>
      <c r="BP4" s="15">
        <f>IF(SUM(BN4,BO4)&gt;0,SUM(BN4,BO4),"")</f>
        <v>115.9</v>
      </c>
      <c r="BQ4" s="45">
        <v>25.2</v>
      </c>
      <c r="BR4" s="45">
        <v>6.1</v>
      </c>
      <c r="BS4" s="45">
        <v>0</v>
      </c>
      <c r="BT4" s="45">
        <v>1</v>
      </c>
      <c r="BU4" s="45">
        <v>26.2</v>
      </c>
      <c r="BV4" s="45">
        <v>4.3</v>
      </c>
      <c r="BW4" s="45">
        <v>0</v>
      </c>
      <c r="BX4" s="45">
        <v>1</v>
      </c>
      <c r="BY4" s="45">
        <v>25.8</v>
      </c>
      <c r="BZ4" s="45">
        <v>5.0999999999999996</v>
      </c>
      <c r="CA4" s="45">
        <v>0</v>
      </c>
      <c r="CB4" s="45">
        <v>1</v>
      </c>
      <c r="CC4" s="45">
        <v>26.9</v>
      </c>
      <c r="CD4" s="45">
        <v>4.3</v>
      </c>
      <c r="CE4" s="45">
        <v>0</v>
      </c>
      <c r="CF4" s="45">
        <v>0</v>
      </c>
      <c r="CG4" s="108"/>
      <c r="CH4" s="12">
        <f>IF(SUM(BR4,BV4)&gt;0,SUM(BR4,BV4),"")</f>
        <v>10.399999999999999</v>
      </c>
      <c r="CI4" s="12">
        <f>IF(SUM(BZ4,CD4)&gt;0,SUM(BZ4,CD4),"")</f>
        <v>9.3999999999999986</v>
      </c>
      <c r="CJ4" s="12">
        <f>IF(SUM(BQ4:BR4,BT4)-BS4&gt;0,SUM(BQ4:BR4,BT4)-BS4,"")</f>
        <v>32.299999999999997</v>
      </c>
      <c r="CK4" s="12">
        <f>IF(SUM(BU4:BV4,BX4)-BW4&gt;0,SUM(BU4:BV4,BX4)-BW4,"")</f>
        <v>31.5</v>
      </c>
      <c r="CL4" s="12">
        <f>IF(SUM(CJ4:CK4)&gt;0,SUM(CJ4:CK4),"")</f>
        <v>63.8</v>
      </c>
      <c r="CM4" s="12">
        <f>IF(SUM(BY4:BZ4,CB4:CD4,CF4)-SUM(CA4,CE4)&gt;0,SUM(BY4:BZ4,CB4:CD4,CF4)-SUM(CA4,CE4),"")</f>
        <v>63.099999999999994</v>
      </c>
      <c r="CN4" s="12">
        <f>IF(SUM(CL4,CM4)&gt;0,SUM(CL4,CM4),"")</f>
        <v>126.89999999999999</v>
      </c>
      <c r="CO4" s="28">
        <f>IF(MAX(DJ4,EG4,FD4,GA4,GX4,HU4,IR4,JO4,KL4,LI4,MF4,NC4)-L4&gt;0.001,MAX(DJ4,EG4,FD4,GA4,GX4,HU4,IR4,JO4,KL4,LI4,MF4,NC4)-L4,"")</f>
        <v>2.0000000000000036</v>
      </c>
      <c r="CP4" s="28">
        <f>IF(MAX(DK4,EH4,FE4,GB4,GY4,HV4,IS4,JP4,KM4,LJ4,MG4,ND4)-N4&gt;0.001,MAX(DK4,EH4,FE4,GB4,GY4,HV4,IS4,JP4,KM4,LJ4,MG4,ND4)-N4,"")</f>
        <v>1.3000000000000007</v>
      </c>
      <c r="CQ4" s="28" t="str">
        <f>IF(MAX(DM4,EJ4,FG4,GD4,HA4,HX4,IU4,JR4,KO4,LL4,MI4,NF4)-P4&gt;0.001,MAX(DM4,EJ4,FG4,GD4,HA4,HX4,IU4,JR4,KO4,LL4,MI4,NF4)-P4,"")</f>
        <v/>
      </c>
      <c r="CR4" s="45">
        <v>27</v>
      </c>
      <c r="CS4" s="45">
        <v>4.3</v>
      </c>
      <c r="CT4" s="45">
        <v>0</v>
      </c>
      <c r="CU4" s="45">
        <v>0</v>
      </c>
      <c r="CV4" s="45">
        <v>27.1</v>
      </c>
      <c r="CW4" s="45">
        <v>3.6</v>
      </c>
      <c r="CX4" s="45">
        <v>0</v>
      </c>
      <c r="CY4" s="45">
        <v>0</v>
      </c>
      <c r="CZ4" s="45"/>
      <c r="DA4" s="45"/>
      <c r="DB4" s="45"/>
      <c r="DC4" s="45"/>
      <c r="DD4" s="45"/>
      <c r="DE4" s="45"/>
      <c r="DF4" s="45"/>
      <c r="DG4" s="45"/>
      <c r="DH4" s="12">
        <f>IF(SUM(CS4,CW4)&gt;0,SUM(CS4,CW4),"")</f>
        <v>7.9</v>
      </c>
      <c r="DI4" s="12" t="str">
        <f>IF(SUM(DA4,DE4)&gt;0,SUM(DA4,DE4),"")</f>
        <v/>
      </c>
      <c r="DJ4" s="12">
        <f>IF(SUM(CR4:CS4,CU4)-CT4&gt;0,SUM(CR4:CS4,CU4)-CT4,"")</f>
        <v>31.3</v>
      </c>
      <c r="DK4" s="12">
        <f>IF(SUM(CV4:CW4,CY4)-CX4&gt;0,SUM(CV4:CW4,CY4)-CX4,"")</f>
        <v>30.700000000000003</v>
      </c>
      <c r="DL4" s="12">
        <f>IF(SUM(DJ4:DK4)&gt;0,SUM(DJ4:DK4),"")</f>
        <v>62</v>
      </c>
      <c r="DM4" s="12" t="str">
        <f>IF(SUM(CZ4:DA4,DC4:DE4,DG4)-SUM(DB4,DF4)&gt;0,SUM(CZ4:DA4,DC4:DE4,DG4)-SUM(DB4,DF4),"")</f>
        <v/>
      </c>
      <c r="DN4" s="12">
        <f>IF(SUM(DL4,DM4)&gt;0,SUM(DL4,DM4),"")</f>
        <v>62</v>
      </c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15" t="str">
        <f>IF(SUM(DP4,DT4)&gt;0,SUM(DP4,DT4),"")</f>
        <v/>
      </c>
      <c r="EF4" s="15" t="str">
        <f>IF(SUM(DX4,EB4)&gt;0,SUM(DX4,EB4),"")</f>
        <v/>
      </c>
      <c r="EG4" s="15" t="str">
        <f>IF(SUM(DO4:DP4,DR4)-DQ4&gt;0,SUM(DO4:DP4,DR4)-DQ4,"")</f>
        <v/>
      </c>
      <c r="EH4" s="15" t="str">
        <f>IF(SUM(DS4:DT4,DV4)-DU4&gt;0,SUM(DS4:DT4,DV4)-DU4,"")</f>
        <v/>
      </c>
      <c r="EI4" s="15" t="str">
        <f>IF(SUM(EG4:EH4)&gt;0,SUM(EG4:EH4),"")</f>
        <v/>
      </c>
      <c r="EJ4" s="15" t="str">
        <f>IF(SUM(DW4:DX4,DZ4:EB4,ED4)-SUM(DY4,EC4)&gt;0,SUM(DW4:DX4,DZ4:EB4,ED4)-SUM(DY4,EC4),"")</f>
        <v/>
      </c>
      <c r="EK4" s="15" t="str">
        <f>IF(SUM(EI4,EJ4)&gt;0,SUM(EI4,EJ4),"")</f>
        <v/>
      </c>
      <c r="EL4" s="45"/>
      <c r="EM4" s="45"/>
      <c r="EN4" s="45"/>
      <c r="EO4" s="45"/>
      <c r="EP4" s="45"/>
      <c r="EQ4" s="45"/>
      <c r="ER4" s="45"/>
      <c r="ES4" s="45"/>
      <c r="ET4" s="45"/>
      <c r="EU4" s="45"/>
      <c r="EV4" s="45"/>
      <c r="EW4" s="45"/>
      <c r="EX4" s="45"/>
      <c r="EY4" s="45"/>
      <c r="EZ4" s="45"/>
      <c r="FA4" s="45"/>
      <c r="FB4" s="12" t="str">
        <f>IF(SUM(EM4,EQ4)&gt;0,SUM(EM4,EQ4),"")</f>
        <v/>
      </c>
      <c r="FC4" s="12" t="str">
        <f>IF(SUM(EU4,EY4)&gt;0,SUM(EU4,EY4),"")</f>
        <v/>
      </c>
      <c r="FD4" s="12" t="str">
        <f>IF(SUM(EL4:EM4,EO4)-EN4&gt;0,SUM(EL4:EM4,EO4)-EN4,"")</f>
        <v/>
      </c>
      <c r="FE4" s="12" t="str">
        <f>IF(SUM(EP4:EQ4,ES4)-ER4&gt;0,SUM(EP4:EQ4,ES4)-ER4,"")</f>
        <v/>
      </c>
      <c r="FF4" s="12" t="str">
        <f>IF(SUM(FD4:FE4)&gt;0,SUM(FD4:FE4),"")</f>
        <v/>
      </c>
      <c r="FG4" s="12" t="str">
        <f>IF(SUM(ET4:EU4,EW4:EY4,FA4)-SUM(EV4,EZ4)&gt;0,SUM(ET4:EU4,EW4:EY4,FA4)-SUM(EV4,EZ4),"")</f>
        <v/>
      </c>
      <c r="FH4" s="12" t="str">
        <f>IF(SUM(FF4,FG4)&gt;0,SUM(FF4,FG4),"")</f>
        <v/>
      </c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15" t="str">
        <f>IF(SUM(FJ4,FN4)&gt;0,SUM(FJ4,FN4),"")</f>
        <v/>
      </c>
      <c r="FZ4" s="15" t="str">
        <f>IF(SUM(FR4,FV4)&gt;0,SUM(FR4,FV4),"")</f>
        <v/>
      </c>
      <c r="GA4" s="15" t="str">
        <f>IF(SUM(FI4:FJ4,FL4)-FK4&gt;0,SUM(FI4:FJ4,FL4)-FK4,"")</f>
        <v/>
      </c>
      <c r="GB4" s="15" t="str">
        <f>IF(SUM(FM4:FN4,FP4)-FO4&gt;0,SUM(FM4:FN4,FP4)-FO4,"")</f>
        <v/>
      </c>
      <c r="GC4" s="15" t="str">
        <f>IF(SUM(GA4:GB4)&gt;0,SUM(GA4:GB4),"")</f>
        <v/>
      </c>
      <c r="GD4" s="15" t="str">
        <f>IF(SUM(FQ4:FR4,FT4:FV4,FX4)-SUM(FS4,FW4)&gt;0,SUM(FQ4:FR4,FT4:FV4,FX4)-SUM(FS4,FW4),"")</f>
        <v/>
      </c>
      <c r="GE4" s="15" t="str">
        <f>IF(SUM(GC4,GD4)&gt;0,SUM(GC4,GD4),"")</f>
        <v/>
      </c>
      <c r="GF4" s="45"/>
      <c r="GG4" s="45"/>
      <c r="GH4" s="45"/>
      <c r="GI4" s="45"/>
      <c r="GJ4" s="45"/>
      <c r="GK4" s="45"/>
      <c r="GL4" s="45"/>
      <c r="GM4" s="45"/>
      <c r="GN4" s="45"/>
      <c r="GO4" s="45"/>
      <c r="GP4" s="45"/>
      <c r="GQ4" s="45"/>
      <c r="GR4" s="45"/>
      <c r="GS4" s="45"/>
      <c r="GT4" s="45"/>
      <c r="GU4" s="45"/>
      <c r="GV4" s="12" t="str">
        <f>IF(SUM(GG4,GK4)&gt;0,SUM(GG4,GK4),"")</f>
        <v/>
      </c>
      <c r="GW4" s="12" t="str">
        <f>IF(SUM(GO4,GS4)&gt;0,SUM(GO4,GS4),"")</f>
        <v/>
      </c>
      <c r="GX4" s="12" t="str">
        <f>IF(SUM(GF4:GG4,GI4)-GH4&gt;0,SUM(GF4:GG4,GI4)-GH4,"")</f>
        <v/>
      </c>
      <c r="GY4" s="12" t="str">
        <f>IF(SUM(GJ4:GK4,GM4)-GL4&gt;0,SUM(GJ4:GK4,GM4)-GL4,"")</f>
        <v/>
      </c>
      <c r="GZ4" s="12" t="str">
        <f>IF(SUM(GX4:GY4)&gt;0,SUM(GX4:GY4),"")</f>
        <v/>
      </c>
      <c r="HA4" s="12" t="str">
        <f>IF(SUM(GN4:GO4,GQ4:GS4,GU4)-SUM(GP4,GT4)&gt;0,SUM(GN4:GO4,GQ4:GS4,GU4)-SUM(GP4,GT4),"")</f>
        <v/>
      </c>
      <c r="HB4" s="12" t="str">
        <f>IF(SUM(GZ4,HA4)&gt;0,SUM(GZ4,HA4),"")</f>
        <v/>
      </c>
      <c r="HC4" s="46"/>
      <c r="HD4" s="46"/>
      <c r="HE4" s="46"/>
      <c r="HF4" s="46"/>
      <c r="HG4" s="46"/>
      <c r="HH4" s="46"/>
      <c r="HI4" s="46"/>
      <c r="HJ4" s="46"/>
      <c r="HK4" s="46"/>
      <c r="HL4" s="46"/>
      <c r="HM4" s="46"/>
      <c r="HN4" s="46"/>
      <c r="HO4" s="46"/>
      <c r="HP4" s="46"/>
      <c r="HQ4" s="46"/>
      <c r="HR4" s="46"/>
      <c r="HS4" s="15" t="str">
        <f>IF(SUM(HD4,HH4)&gt;0,SUM(HD4,HH4),"")</f>
        <v/>
      </c>
      <c r="HT4" s="15" t="str">
        <f>IF(SUM(HL4,HP4)&gt;0,SUM(HL4,HP4),"")</f>
        <v/>
      </c>
      <c r="HU4" s="15" t="str">
        <f>IF(SUM(HC4:HD4,HF4)-HE4&gt;0,SUM(HC4:HD4,HF4)-HE4,"")</f>
        <v/>
      </c>
      <c r="HV4" s="15" t="str">
        <f>IF(SUM(HG4:HH4,HJ4)-HI4&gt;0,SUM(HG4:HH4,HJ4)-HI4,"")</f>
        <v/>
      </c>
      <c r="HW4" s="15" t="str">
        <f>IF(SUM(HU4:HV4)&gt;0,SUM(HU4:HV4),"")</f>
        <v/>
      </c>
      <c r="HX4" s="15" t="str">
        <f>IF(SUM(HK4:HL4,HN4:HP4,HR4)-SUM(HM4,HQ4)&gt;0,SUM(HK4:HL4,HN4:HP4,HR4)-SUM(HM4,HQ4),"")</f>
        <v/>
      </c>
      <c r="HY4" s="15" t="str">
        <f>IF(SUM(HW4,HX4)&gt;0,SUM(HW4,HX4),"")</f>
        <v/>
      </c>
      <c r="HZ4" s="45"/>
      <c r="IA4" s="45"/>
      <c r="IB4" s="45"/>
      <c r="IC4" s="45"/>
      <c r="ID4" s="45"/>
      <c r="IE4" s="45"/>
      <c r="IF4" s="45"/>
      <c r="IG4" s="45"/>
      <c r="IH4" s="45"/>
      <c r="II4" s="45"/>
      <c r="IJ4" s="45"/>
      <c r="IK4" s="45"/>
      <c r="IL4" s="45"/>
      <c r="IM4" s="45"/>
      <c r="IN4" s="45"/>
      <c r="IO4" s="45"/>
      <c r="IP4" s="12" t="str">
        <f>IF(SUM(IA4,IE4)&gt;0,SUM(IA4,IE4),"")</f>
        <v/>
      </c>
      <c r="IQ4" s="12" t="str">
        <f>IF(SUM(II4,IM4)&gt;0,SUM(II4,IM4),"")</f>
        <v/>
      </c>
      <c r="IR4" s="12" t="str">
        <f>IF(SUM(HZ4:IA4,IC4)-IB4&gt;0,SUM(HZ4:IA4,IC4)-IB4,"")</f>
        <v/>
      </c>
      <c r="IS4" s="12" t="str">
        <f>IF(SUM(ID4:IE4,IG4)-IF4&gt;0,SUM(ID4:IE4,IG4)-IF4,"")</f>
        <v/>
      </c>
      <c r="IT4" s="12" t="str">
        <f>IF(SUM(IR4:IS4)&gt;0,SUM(IR4:IS4),"")</f>
        <v/>
      </c>
      <c r="IU4" s="12" t="str">
        <f>IF(SUM(IH4:II4,IK4:IM4,IO4)-SUM(IJ4,IN4)&gt;0,SUM(IH4:II4,IK4:IM4,IO4)-SUM(IJ4,IN4),"")</f>
        <v/>
      </c>
      <c r="IV4" s="12" t="str">
        <f>IF(SUM(IT4,IU4)&gt;0,SUM(IT4,IU4),"")</f>
        <v/>
      </c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15" t="str">
        <f>IF(SUM(IX4,JB4)&gt;0,SUM(IX4,JB4),"")</f>
        <v/>
      </c>
      <c r="JN4" s="15" t="str">
        <f>IF(SUM(JF4,JJ4)&gt;0,SUM(JF4,JJ4),"")</f>
        <v/>
      </c>
      <c r="JO4" s="15" t="str">
        <f>IF(SUM(IW4:IX4,IZ4)-IY4&gt;0,SUM(IW4:IX4,IZ4)-IY4,"")</f>
        <v/>
      </c>
      <c r="JP4" s="15" t="str">
        <f>IF(SUM(JA4:JB4,JD4)-JC4&gt;0,SUM(JA4:JB4,JD4)-JC4,"")</f>
        <v/>
      </c>
      <c r="JQ4" s="15" t="str">
        <f>IF(SUM(JO4:JP4)&gt;0,SUM(JO4:JP4),"")</f>
        <v/>
      </c>
      <c r="JR4" s="15" t="str">
        <f>IF(SUM(JE4:JF4,JH4:JJ4,JL4)-SUM(JG4,JK4)&gt;0,SUM(JE4:JF4,JH4:JJ4,JL4)-SUM(JG4,JK4),"")</f>
        <v/>
      </c>
      <c r="JS4" s="15" t="str">
        <f>IF(SUM(JQ4,JR4)&gt;0,SUM(JQ4,JR4),"")</f>
        <v/>
      </c>
      <c r="JT4" s="45"/>
      <c r="JU4" s="45"/>
      <c r="JV4" s="45"/>
      <c r="JW4" s="45"/>
      <c r="JX4" s="45"/>
      <c r="JY4" s="45"/>
      <c r="JZ4" s="45"/>
      <c r="KA4" s="45"/>
      <c r="KB4" s="45"/>
      <c r="KC4" s="45"/>
      <c r="KD4" s="45"/>
      <c r="KE4" s="45"/>
      <c r="KF4" s="45"/>
      <c r="KG4" s="45"/>
      <c r="KH4" s="45"/>
      <c r="KI4" s="45"/>
      <c r="KJ4" s="12" t="str">
        <f>IF(SUM(JU4,JY4)&gt;0,SUM(JU4,JY4),"")</f>
        <v/>
      </c>
      <c r="KK4" s="12" t="str">
        <f>IF(SUM(KC4,KG4)&gt;0,SUM(KC4,KG4),"")</f>
        <v/>
      </c>
      <c r="KL4" s="12" t="str">
        <f>IF(SUM(JT4:JU4,JW4)-JV4&gt;0,SUM(JT4:JU4,JW4)-JV4,"")</f>
        <v/>
      </c>
      <c r="KM4" s="12" t="str">
        <f>IF(SUM(JX4:JY4,KA4)-JZ4&gt;0,SUM(JX4:JY4,KA4)-JZ4,"")</f>
        <v/>
      </c>
      <c r="KN4" s="12" t="str">
        <f>IF(SUM(KL4:KM4)&gt;0,SUM(KL4:KM4),"")</f>
        <v/>
      </c>
      <c r="KO4" s="12" t="str">
        <f>IF(SUM(KB4:KC4,KE4:KG4,KI4)-SUM(KD4,KH4)&gt;0,SUM(KB4:KC4,KE4:KG4,KI4)-SUM(KD4,KH4),"")</f>
        <v/>
      </c>
      <c r="KP4" s="12" t="str">
        <f>IF(SUM(KN4,KO4)&gt;0,SUM(KN4,KO4),"")</f>
        <v/>
      </c>
      <c r="KQ4" s="46"/>
      <c r="KR4" s="46"/>
      <c r="KS4" s="46"/>
      <c r="KT4" s="46"/>
      <c r="KU4" s="46"/>
      <c r="KV4" s="46"/>
      <c r="KW4" s="46"/>
      <c r="KX4" s="46"/>
      <c r="KY4" s="46"/>
      <c r="KZ4" s="46"/>
      <c r="LA4" s="46"/>
      <c r="LB4" s="46"/>
      <c r="LC4" s="46"/>
      <c r="LD4" s="46"/>
      <c r="LE4" s="46"/>
      <c r="LF4" s="46"/>
      <c r="LG4" s="15" t="str">
        <f>IF(SUM(KR4,KV4)&gt;0,SUM(KR4,KV4),"")</f>
        <v/>
      </c>
      <c r="LH4" s="15" t="str">
        <f>IF(SUM(KZ4,LD4)&gt;0,SUM(KZ4,LD4),"")</f>
        <v/>
      </c>
      <c r="LI4" s="15" t="str">
        <f>IF(SUM(KQ4:KR4,KT4)-KS4&gt;0,SUM(KQ4:KR4,KT4)-KS4,"")</f>
        <v/>
      </c>
      <c r="LJ4" s="15" t="str">
        <f>IF(SUM(KU4:KV4,KX4)-KW4&gt;0,SUM(KU4:KV4,KX4)-KW4,"")</f>
        <v/>
      </c>
      <c r="LK4" s="15" t="str">
        <f>IF(SUM(LI4:LJ4)&gt;0,SUM(LI4:LJ4),"")</f>
        <v/>
      </c>
      <c r="LL4" s="15" t="str">
        <f>IF(SUM(KY4:KZ4,LB4:LD4,LF4)-SUM(LA4,LE4)&gt;0,SUM(KY4:KZ4,LB4:LD4,LF4)-SUM(LA4,LE4),"")</f>
        <v/>
      </c>
      <c r="LM4" s="15" t="str">
        <f>IF(SUM(LK4,LL4)&gt;0,SUM(LK4,LL4),"")</f>
        <v/>
      </c>
      <c r="LN4" s="45"/>
      <c r="LO4" s="45"/>
      <c r="LP4" s="45"/>
      <c r="LQ4" s="45"/>
      <c r="LR4" s="45"/>
      <c r="LS4" s="45"/>
      <c r="LT4" s="45"/>
      <c r="LU4" s="45"/>
      <c r="LV4" s="45"/>
      <c r="LW4" s="45"/>
      <c r="LX4" s="45"/>
      <c r="LY4" s="45"/>
      <c r="LZ4" s="45"/>
      <c r="MA4" s="45"/>
      <c r="MB4" s="45"/>
      <c r="MC4" s="45"/>
      <c r="MD4" s="12" t="str">
        <f>IF(SUM(LO4,LS4)&gt;0,SUM(LO4,LS4),"")</f>
        <v/>
      </c>
      <c r="ME4" s="12" t="str">
        <f>IF(SUM(LW4,MA4)&gt;0,SUM(LW4,MA4),"")</f>
        <v/>
      </c>
      <c r="MF4" s="12" t="str">
        <f>IF(SUM(LN4:LO4,LQ4)-LP4&gt;0,SUM(LN4:LO4,LQ4)-LP4,"")</f>
        <v/>
      </c>
      <c r="MG4" s="12" t="str">
        <f>IF(SUM(LR4:LS4,LU4)-LT4&gt;0,SUM(LR4:LS4,LU4)-LT4,"")</f>
        <v/>
      </c>
      <c r="MH4" s="12" t="str">
        <f>IF(SUM(MF4:MG4)&gt;0,SUM(MF4:MG4),"")</f>
        <v/>
      </c>
      <c r="MI4" s="12" t="str">
        <f>IF(SUM(LV4:LW4,LY4:MA4,MC4)-SUM(LX4,MB4)&gt;0,SUM(LV4:LW4,LY4:MA4,MC4)-SUM(LX4,MB4),"")</f>
        <v/>
      </c>
      <c r="MJ4" s="12" t="str">
        <f>IF(SUM(MH4,MI4)&gt;0,SUM(MH4,MI4),"")</f>
        <v/>
      </c>
      <c r="MK4" s="46"/>
      <c r="ML4" s="46"/>
      <c r="MM4" s="46"/>
      <c r="MN4" s="46"/>
      <c r="MO4" s="46"/>
      <c r="MP4" s="46"/>
      <c r="MQ4" s="46"/>
      <c r="MR4" s="46"/>
      <c r="MS4" s="46"/>
      <c r="MT4" s="46"/>
      <c r="MU4" s="46"/>
      <c r="MV4" s="46"/>
      <c r="MW4" s="46"/>
      <c r="MX4" s="46"/>
      <c r="MY4" s="46"/>
      <c r="MZ4" s="46"/>
      <c r="NA4" s="15" t="str">
        <f>IF(SUM(ML4,MP4)&gt;0,SUM(ML4,MP4),"")</f>
        <v/>
      </c>
      <c r="NB4" s="15" t="str">
        <f>IF(SUM(MT4,MX4)&gt;0,SUM(MT4,MX4),"")</f>
        <v/>
      </c>
      <c r="NC4" s="15" t="str">
        <f>IF(SUM(MK4:ML4,MN4)-MM4&gt;0,SUM(MK4:ML4,MN4)-MM4,"")</f>
        <v/>
      </c>
      <c r="ND4" s="15" t="str">
        <f>IF(SUM(MO4:MP4,MR4)-MQ4&gt;0,SUM(MO4:MP4,MR4)-MQ4,"")</f>
        <v/>
      </c>
      <c r="NE4" s="15" t="str">
        <f>IF(SUM(NC4:ND4)&gt;0,SUM(NC4:ND4),"")</f>
        <v/>
      </c>
      <c r="NF4" s="15" t="str">
        <f>IF(SUM(MS4:MT4,MV4:MX4,MZ4)-SUM(MU4,MY4)&gt;0,SUM(MS4:MT4,MV4:MX4,MZ4)-SUM(MU4,MY4),"")</f>
        <v/>
      </c>
      <c r="NG4" s="15" t="str">
        <f>IF(SUM(NE4,NF4)&gt;0,SUM(NE4,NF4),"")</f>
        <v/>
      </c>
    </row>
    <row r="5" spans="1:371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9" t="s">
        <v>109</v>
      </c>
      <c r="C5" s="5" t="s">
        <v>3</v>
      </c>
      <c r="D5" s="31">
        <v>2000</v>
      </c>
      <c r="E5" s="16">
        <f>SUM(J5:R5)</f>
        <v>185.5</v>
      </c>
      <c r="F5" s="4" t="str">
        <f>IF(OR(AND($AL5&gt;=$AM$12,NOT($AL5=""),$AK5=""),AND($BJ5&gt;=$BK$12,NOT($BJ5=""),$BI5=""),AND($CH5&gt;=$CI$12,NOT($CH5=""),$CG5="")),"P","")</f>
        <v>P</v>
      </c>
      <c r="G5" s="4" t="str">
        <f>IF(OR(AND($AL5&gt;=$AM$13,NOT($AL5=""),$AK5=""),AND($BJ5&gt;=$BK$13,NOT($BJ5=""),$BI5=""),AND($CH5&gt;=$CI$13,NOT($CH5=""),$CG5="")),"P","")</f>
        <v/>
      </c>
      <c r="H5" s="4" t="str">
        <f>IF(OR(AND($AP5&gt;=$AM$14,NOT($AP5=""),$AK5=""),AND($BN5&gt;=$BK$14,NOT($BN5=""),$BI5=""),AND($CL5&gt;=$CI$14,NOT($CL5=""),$CG5="")),"P","")</f>
        <v>P</v>
      </c>
      <c r="I5" t="str">
        <f>IF(AND(G5="P",OR(AND($AP5&gt;=$AM$17,NOT($AP5=""),$AK5=""),AND($BN5&gt;=$BK$17,NOT($BN5=""),$BI5=""),AND($CL5&gt;=$CI$17,NOT($CL5=""),$CG5=""))),"Merit",IF(AND(G5="P",OR(AND($AP5&gt;=$AM$16,NOT($AP5=""),$AK5=""),AND($BN5&gt;=$BK$16,NOT($BN5=""),$BI5=""),AND($CL5&gt;=$CI$16,NOT($CL5=""),$CG5=""))),"Funding",IF(AND(G5="P",OR(AND($AP5&gt;=$AM$15,NOT($AP5=""),$AK5=""),AND($BN5&gt;=$BK$15,NOT($BN5=""),$BI5=""),AND($CL5&gt;=$CI$15,NOT($CL5=""),$CG5=""))),"Worlds Team",IF(AND(F5="P",OR(AND($AP5&gt;=$AM$14,NOT($AP5=""),$AK5=""),AND($BN5&gt;=$BK$14,NOT($BN5=""),$BI5=""),AND($CL5&gt;=$CI$14,NOT($CL5=""),$CG5=""))),"National Team",""))))</f>
        <v>National Team</v>
      </c>
      <c r="J5" s="15">
        <f>MAX(AP5,BN5,CL5)</f>
        <v>61.900000000000006</v>
      </c>
      <c r="K5" s="15" t="str">
        <f>IF(J5=CL5,$BQ$1,IF(J5=BN5,$AS$1,IF(J5=AP5,$U$1,"")))</f>
        <v>2018 Nationals</v>
      </c>
      <c r="L5" s="15">
        <f>IF($J5=$AP5,MAX(BL5,CJ5),IF($J5=$BN5,MAX(AN5,CJ5),MAX(AN5,BL5)))</f>
        <v>27.3</v>
      </c>
      <c r="M5" s="15" t="str">
        <f>IF(AND(L5=CJ5,$K5&lt;&gt;$BQ$1),$BQ$1,IF(AND(L5=BL5,$K5&lt;&gt;$AS$1),$AS$1,IF(AND(L5=AN5,$K5&lt;&gt;$U$1),$U$1,"")))</f>
        <v>2017 Nationals</v>
      </c>
      <c r="N5" s="15">
        <f>IF($J5=$AP5,MAX(BM5,CK5),IF($J5=$BN5,MAX(AO5,CK5),MAX(AO5,BM5)))</f>
        <v>29.9</v>
      </c>
      <c r="O5" s="15" t="str">
        <f>IF(AND(N5=CK5,$K5&lt;&gt;$BQ$1),$BQ$1,IF(AND(N5=BM5,$K5&lt;&gt;$AS$1),$AS$1,IF(AND(N5=AO5,$K5&lt;&gt;$U$1),$U$1,"")))</f>
        <v>2018 Canada Cup</v>
      </c>
      <c r="P5" s="15">
        <f>MAX(AQ5,BO5,CM5)</f>
        <v>62.6</v>
      </c>
      <c r="Q5" s="15" t="str">
        <f>IF(P5=CM5,$BQ$1,IF(P5=BO5,$AS$1,IF(P5=AQ5,$U$1,"")))</f>
        <v>2018 Nationals</v>
      </c>
      <c r="R5" s="15">
        <f>IF(MAX(CO5:CQ5)&gt;0,MAX(CO5:CQ5),"")</f>
        <v>3.7999999999999972</v>
      </c>
      <c r="S5" s="29" t="str">
        <f>IF(R5="","",IF(R5=CO5,"(Pass 1)",IF(R5=CP5,"(Pass 2)",IF(R5=CQ5,"(Final)"))))</f>
        <v>(Pass 1)</v>
      </c>
      <c r="T5" s="15" t="str">
        <f>IF(R5="","",IF(R5=CO5,IF(R5+L5=NC5,$MK$1,IF(R5+L5=MF5,$LN$1,IF(R5+L5=LI5,$KQ$1,IF(R5+L5=KL5,$JT$1,IF(R5+L5=JO5,$IW$1,IF(R5+L5=IR5,$HZ$1,IF(R5+L5=HU5,$HC$1,IF(R5+L5=GX5,$GF$1,IF(R5+L5=GA5,$FI$1,IF(R5+L5=FD5,$EL$1,IF(R5+L5=EG5,$DO$1,IF(R5+L5=DJ5,$CR$1)))))))))))),IF(R5=CP5,IF(R5+N5=ND5,$MK$1,IF(R5+N5=MG5,$LN$1,IF(R5+N5=LJ5,$KQ$1,IF(R5+N5=KM5,$JT$1,IF(R5+N5=JP5,$IW$1,IF(R5+N5=IS5,$HZ$1,IF(R5+N5=HV5,$HC$1,IF(R5+N5=GY5,$GF$1,IF(R5+N5=GB5,$FI$1,IF(R5+N5=FE5,$EL$1,IF(R5+N5=EH5,$DO$1,IF(R5+N5=DK5,$CR$1)))))))))))),IF(R5=CQ5,IF(R5+P5=NF5,$MK$1,IF(R5+P5=MI5,$LN$1,IF(R5+P5=LL5,$KQ$1,IF(R5+P5=KO5,$JT$1,IF(R5+P5=JR5,$IW$1,IF(R5+P5=IU5,$HZ$1,IF(R5+P5=HX5,$HC$1,IF(R5+P5=HA5,$GF$1,IF(R5+P5=GD5,$FI$1,IF(R5+P5=FG5,$EL$1,IF(R5+P5=EJ5,$DO$1,IF(R5+P5=DM5,$CR$1))))))))))))))))</f>
        <v>2018 World Age Groups (Nov 18)</v>
      </c>
      <c r="U5" s="76">
        <v>24.1</v>
      </c>
      <c r="V5" s="76">
        <v>3.2</v>
      </c>
      <c r="W5" s="76">
        <v>0</v>
      </c>
      <c r="X5" s="76">
        <v>0</v>
      </c>
      <c r="Y5" s="76">
        <v>24</v>
      </c>
      <c r="Z5" s="76">
        <v>4.0999999999999996</v>
      </c>
      <c r="AA5" s="76">
        <v>0</v>
      </c>
      <c r="AB5" s="76">
        <v>0</v>
      </c>
      <c r="AC5" s="76">
        <v>26.2</v>
      </c>
      <c r="AD5" s="76">
        <v>3.4</v>
      </c>
      <c r="AE5" s="76">
        <v>0.3</v>
      </c>
      <c r="AF5" s="76">
        <v>0</v>
      </c>
      <c r="AG5" s="76">
        <v>25.4</v>
      </c>
      <c r="AH5" s="76">
        <v>3.9</v>
      </c>
      <c r="AI5" s="76">
        <v>0</v>
      </c>
      <c r="AJ5" s="76">
        <v>0</v>
      </c>
      <c r="AK5" s="108"/>
      <c r="AL5" s="12">
        <f>IF(SUM(V5,Z5)&gt;0,SUM(V5,Z5),"")</f>
        <v>7.3</v>
      </c>
      <c r="AM5" s="12">
        <f>IF(SUM(AD5,AH5)&gt;0,SUM(AD5,AH5),"")</f>
        <v>7.3</v>
      </c>
      <c r="AN5" s="12">
        <f>IF(SUM(U5:V5,X5)-W5&gt;0,SUM(U5:V5,X5)-W5,"")</f>
        <v>27.3</v>
      </c>
      <c r="AO5" s="12">
        <f>IF(SUM(Y5:Z5,AB5)-AA5&gt;0,SUM(Y5:Z5,AB5)-AA5,"")</f>
        <v>28.1</v>
      </c>
      <c r="AP5" s="12">
        <f>IF(SUM(AN5:AO5)&gt;0,SUM(AN5:AO5),"")</f>
        <v>55.400000000000006</v>
      </c>
      <c r="AQ5" s="12">
        <f>IF(SUM(AC5:AD5,AF5:AH5,AJ5)-SUM(AE5,AI5)&gt;0,SUM(AC5:AD5,AF5:AH5,AJ5)-SUM(AE5,AI5),"")</f>
        <v>58.6</v>
      </c>
      <c r="AR5" s="12">
        <f>IF(SUM(AP5,AQ5)&gt;0,SUM(AP5,AQ5),"")</f>
        <v>114</v>
      </c>
      <c r="AS5" s="81">
        <v>25.5</v>
      </c>
      <c r="AT5" s="81">
        <v>1.2</v>
      </c>
      <c r="AU5" s="81">
        <v>0</v>
      </c>
      <c r="AV5" s="81">
        <v>0</v>
      </c>
      <c r="AW5" s="81">
        <v>25.8</v>
      </c>
      <c r="AX5" s="81">
        <v>4.0999999999999996</v>
      </c>
      <c r="AY5" s="81">
        <v>0</v>
      </c>
      <c r="AZ5" s="81">
        <v>0</v>
      </c>
      <c r="BA5" s="81">
        <v>27.3</v>
      </c>
      <c r="BB5" s="81">
        <v>3.6</v>
      </c>
      <c r="BC5" s="81">
        <v>0</v>
      </c>
      <c r="BD5" s="81">
        <v>0</v>
      </c>
      <c r="BE5" s="81">
        <v>24.7</v>
      </c>
      <c r="BF5" s="81">
        <v>4.0999999999999996</v>
      </c>
      <c r="BG5" s="81">
        <v>0</v>
      </c>
      <c r="BH5" s="81">
        <v>0</v>
      </c>
      <c r="BI5" s="109"/>
      <c r="BJ5" s="15">
        <f>IF(SUM(AT5,AX5)&gt;0,SUM(AT5,AX5),"")</f>
        <v>5.3</v>
      </c>
      <c r="BK5" s="15">
        <f>IF(SUM(BB5,BF5)&gt;0,SUM(BB5,BF5),"")</f>
        <v>7.6999999999999993</v>
      </c>
      <c r="BL5" s="15">
        <f>IF(SUM(AS5:AT5,AV5)-AU5&gt;0,SUM(AS5:AT5,AV5)-AU5,"")</f>
        <v>26.7</v>
      </c>
      <c r="BM5" s="15">
        <f>IF(SUM(AW5:AX5,AZ5)-AY5&gt;0,SUM(AW5:AX5,AZ5)-AY5,"")</f>
        <v>29.9</v>
      </c>
      <c r="BN5" s="15">
        <f>IF(SUM(BL5:BM5)&gt;0,SUM(BL5:BM5),"")</f>
        <v>56.599999999999994</v>
      </c>
      <c r="BO5" s="15">
        <f>IF(SUM(BA5:BB5,BD5:BF5,BH5)-SUM(BC5,BG5)&gt;0,SUM(BA5:BB5,BD5:BF5,BH5)-SUM(BC5,BG5),"")</f>
        <v>59.7</v>
      </c>
      <c r="BP5" s="15">
        <f>IF(SUM(BN5,BO5)&gt;0,SUM(BN5,BO5),"")</f>
        <v>116.3</v>
      </c>
      <c r="BQ5" s="45">
        <v>27.7</v>
      </c>
      <c r="BR5" s="45">
        <v>3.6</v>
      </c>
      <c r="BS5" s="45">
        <v>0.3</v>
      </c>
      <c r="BT5" s="45">
        <v>0</v>
      </c>
      <c r="BU5" s="45">
        <v>25.6</v>
      </c>
      <c r="BV5" s="45">
        <v>4.3</v>
      </c>
      <c r="BW5" s="45">
        <v>0</v>
      </c>
      <c r="BX5" s="45">
        <v>1</v>
      </c>
      <c r="BY5" s="45">
        <v>28</v>
      </c>
      <c r="BZ5" s="45">
        <v>3.6</v>
      </c>
      <c r="CA5" s="45">
        <v>0</v>
      </c>
      <c r="CB5" s="45">
        <v>0</v>
      </c>
      <c r="CC5" s="45">
        <v>26.9</v>
      </c>
      <c r="CD5" s="45">
        <v>4.0999999999999996</v>
      </c>
      <c r="CE5" s="45">
        <v>0</v>
      </c>
      <c r="CF5" s="45">
        <v>0</v>
      </c>
      <c r="CG5" s="108"/>
      <c r="CH5" s="12">
        <f>IF(SUM(BR5,BV5)&gt;0,SUM(BR5,BV5),"")</f>
        <v>7.9</v>
      </c>
      <c r="CI5" s="12">
        <f>IF(SUM(BZ5,CD5)&gt;0,SUM(BZ5,CD5),"")</f>
        <v>7.6999999999999993</v>
      </c>
      <c r="CJ5" s="12">
        <f>IF(SUM(BQ5:BR5,BT5)-BS5&gt;0,SUM(BQ5:BR5,BT5)-BS5,"")</f>
        <v>31</v>
      </c>
      <c r="CK5" s="12">
        <f>IF(SUM(BU5:BV5,BX5)-BW5&gt;0,SUM(BU5:BV5,BX5)-BW5,"")</f>
        <v>30.900000000000002</v>
      </c>
      <c r="CL5" s="12">
        <f>IF(SUM(CJ5:CK5)&gt;0,SUM(CJ5:CK5),"")</f>
        <v>61.900000000000006</v>
      </c>
      <c r="CM5" s="12">
        <f>IF(SUM(BY5:BZ5,CB5:CD5,CF5)-SUM(CA5,CE5)&gt;0,SUM(BY5:BZ5,CB5:CD5,CF5)-SUM(CA5,CE5),"")</f>
        <v>62.6</v>
      </c>
      <c r="CN5" s="12">
        <f>IF(SUM(CL5,CM5)&gt;0,SUM(CL5,CM5),"")</f>
        <v>124.5</v>
      </c>
      <c r="CO5" s="28">
        <f>IF(MAX(DJ5,EG5,FD5,GA5,GX5,HU5,IR5,JO5,KL5,LI5,MF5,NC5)-L5&gt;0.001,MAX(DJ5,EG5,FD5,GA5,GX5,HU5,IR5,JO5,KL5,LI5,MF5,NC5)-L5,"")</f>
        <v>3.7999999999999972</v>
      </c>
      <c r="CP5" s="28" t="str">
        <f>IF(MAX(DK5,EH5,FE5,GB5,GY5,HV5,IS5,JP5,KM5,LJ5,MG5,ND5)-N5&gt;0.001,MAX(DK5,EH5,FE5,GB5,GY5,HV5,IS5,JP5,KM5,LJ5,MG5,ND5)-N5,"")</f>
        <v/>
      </c>
      <c r="CQ5" s="28" t="str">
        <f>IF(MAX(DM5,EJ5,FG5,GD5,HA5,HX5,IU5,JR5,KO5,LL5,MI5,NF5)-P5&gt;0.001,MAX(DM5,EJ5,FG5,GD5,HA5,HX5,IU5,JR5,KO5,LL5,MI5,NF5)-P5,"")</f>
        <v/>
      </c>
      <c r="CR5" s="45">
        <v>27.7</v>
      </c>
      <c r="CS5" s="45">
        <v>3.4</v>
      </c>
      <c r="CT5" s="45">
        <v>0</v>
      </c>
      <c r="CU5" s="45">
        <v>0</v>
      </c>
      <c r="CV5" s="45">
        <v>25.1</v>
      </c>
      <c r="CW5" s="45">
        <v>1.2</v>
      </c>
      <c r="CX5" s="45">
        <v>0</v>
      </c>
      <c r="CY5" s="45">
        <v>0</v>
      </c>
      <c r="CZ5" s="45"/>
      <c r="DA5" s="45"/>
      <c r="DB5" s="45"/>
      <c r="DC5" s="45"/>
      <c r="DD5" s="45"/>
      <c r="DE5" s="45"/>
      <c r="DF5" s="45"/>
      <c r="DG5" s="45"/>
      <c r="DH5" s="12">
        <f>IF(SUM(CS5,CW5)&gt;0,SUM(CS5,CW5),"")</f>
        <v>4.5999999999999996</v>
      </c>
      <c r="DI5" s="12" t="str">
        <f>IF(SUM(DA5,DE5)&gt;0,SUM(DA5,DE5),"")</f>
        <v/>
      </c>
      <c r="DJ5" s="12">
        <f>IF(SUM(CR5:CS5,CU5)-CT5&gt;0,SUM(CR5:CS5,CU5)-CT5,"")</f>
        <v>31.099999999999998</v>
      </c>
      <c r="DK5" s="12">
        <f>IF(SUM(CV5:CW5,CY5)-CX5&gt;0,SUM(CV5:CW5,CY5)-CX5,"")</f>
        <v>26.3</v>
      </c>
      <c r="DL5" s="12">
        <f>IF(SUM(DJ5:DK5)&gt;0,SUM(DJ5:DK5),"")</f>
        <v>57.4</v>
      </c>
      <c r="DM5" s="12" t="str">
        <f>IF(SUM(CZ5:DA5,DC5:DE5,DG5)-SUM(DB5,DF5)&gt;0,SUM(CZ5:DA5,DC5:DE5,DG5)-SUM(DB5,DF5),"")</f>
        <v/>
      </c>
      <c r="DN5" s="12">
        <f>IF(SUM(DL5,DM5)&gt;0,SUM(DL5,DM5),"")</f>
        <v>57.4</v>
      </c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15" t="str">
        <f>IF(SUM(DP5,DT5)&gt;0,SUM(DP5,DT5),"")</f>
        <v/>
      </c>
      <c r="EF5" s="15" t="str">
        <f>IF(SUM(DX5,EB5)&gt;0,SUM(DX5,EB5),"")</f>
        <v/>
      </c>
      <c r="EG5" s="15" t="str">
        <f>IF(SUM(DO5:DP5,DR5)-DQ5&gt;0,SUM(DO5:DP5,DR5)-DQ5,"")</f>
        <v/>
      </c>
      <c r="EH5" s="15" t="str">
        <f>IF(SUM(DS5:DT5,DV5)-DU5&gt;0,SUM(DS5:DT5,DV5)-DU5,"")</f>
        <v/>
      </c>
      <c r="EI5" s="15" t="str">
        <f>IF(SUM(EG5:EH5)&gt;0,SUM(EG5:EH5),"")</f>
        <v/>
      </c>
      <c r="EJ5" s="15" t="str">
        <f>IF(SUM(DW5:DX5,DZ5:EB5,ED5)-SUM(DY5,EC5)&gt;0,SUM(DW5:DX5,DZ5:EB5,ED5)-SUM(DY5,EC5),"")</f>
        <v/>
      </c>
      <c r="EK5" s="15" t="str">
        <f>IF(SUM(EI5,EJ5)&gt;0,SUM(EI5,EJ5),"")</f>
        <v/>
      </c>
      <c r="EL5" s="45"/>
      <c r="EM5" s="45"/>
      <c r="EN5" s="45"/>
      <c r="EO5" s="45"/>
      <c r="EP5" s="45"/>
      <c r="EQ5" s="45"/>
      <c r="ER5" s="45"/>
      <c r="ES5" s="45"/>
      <c r="ET5" s="45"/>
      <c r="EU5" s="45"/>
      <c r="EV5" s="45"/>
      <c r="EW5" s="45"/>
      <c r="EX5" s="45"/>
      <c r="EY5" s="45"/>
      <c r="EZ5" s="45"/>
      <c r="FA5" s="45"/>
      <c r="FB5" s="12" t="str">
        <f>IF(SUM(EM5,EQ5)&gt;0,SUM(EM5,EQ5),"")</f>
        <v/>
      </c>
      <c r="FC5" s="12" t="str">
        <f>IF(SUM(EU5,EY5)&gt;0,SUM(EU5,EY5),"")</f>
        <v/>
      </c>
      <c r="FD5" s="12" t="str">
        <f>IF(SUM(EL5:EM5,EO5)-EN5&gt;0,SUM(EL5:EM5,EO5)-EN5,"")</f>
        <v/>
      </c>
      <c r="FE5" s="12" t="str">
        <f>IF(SUM(EP5:EQ5,ES5)-ER5&gt;0,SUM(EP5:EQ5,ES5)-ER5,"")</f>
        <v/>
      </c>
      <c r="FF5" s="12" t="str">
        <f>IF(SUM(FD5:FE5)&gt;0,SUM(FD5:FE5),"")</f>
        <v/>
      </c>
      <c r="FG5" s="12" t="str">
        <f>IF(SUM(ET5:EU5,EW5:EY5,FA5)-SUM(EV5,EZ5)&gt;0,SUM(ET5:EU5,EW5:EY5,FA5)-SUM(EV5,EZ5),"")</f>
        <v/>
      </c>
      <c r="FH5" s="12" t="str">
        <f>IF(SUM(FF5,FG5)&gt;0,SUM(FF5,FG5),"")</f>
        <v/>
      </c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15" t="str">
        <f>IF(SUM(FJ5,FN5)&gt;0,SUM(FJ5,FN5),"")</f>
        <v/>
      </c>
      <c r="FZ5" s="15" t="str">
        <f>IF(SUM(FR5,FV5)&gt;0,SUM(FR5,FV5),"")</f>
        <v/>
      </c>
      <c r="GA5" s="15" t="str">
        <f>IF(SUM(FI5:FJ5,FL5)-FK5&gt;0,SUM(FI5:FJ5,FL5)-FK5,"")</f>
        <v/>
      </c>
      <c r="GB5" s="15" t="str">
        <f>IF(SUM(FM5:FN5,FP5)-FO5&gt;0,SUM(FM5:FN5,FP5)-FO5,"")</f>
        <v/>
      </c>
      <c r="GC5" s="15" t="str">
        <f>IF(SUM(GA5:GB5)&gt;0,SUM(GA5:GB5),"")</f>
        <v/>
      </c>
      <c r="GD5" s="15" t="str">
        <f>IF(SUM(FQ5:FR5,FT5:FV5,FX5)-SUM(FS5,FW5)&gt;0,SUM(FQ5:FR5,FT5:FV5,FX5)-SUM(FS5,FW5),"")</f>
        <v/>
      </c>
      <c r="GE5" s="15" t="str">
        <f>IF(SUM(GC5,GD5)&gt;0,SUM(GC5,GD5),"")</f>
        <v/>
      </c>
      <c r="GF5" s="45"/>
      <c r="GG5" s="45"/>
      <c r="GH5" s="45"/>
      <c r="GI5" s="45"/>
      <c r="GJ5" s="45"/>
      <c r="GK5" s="45"/>
      <c r="GL5" s="45"/>
      <c r="GM5" s="45"/>
      <c r="GN5" s="45"/>
      <c r="GO5" s="45"/>
      <c r="GP5" s="45"/>
      <c r="GQ5" s="45"/>
      <c r="GR5" s="45"/>
      <c r="GS5" s="45"/>
      <c r="GT5" s="45"/>
      <c r="GU5" s="45"/>
      <c r="GV5" s="12" t="str">
        <f>IF(SUM(GG5,GK5)&gt;0,SUM(GG5,GK5),"")</f>
        <v/>
      </c>
      <c r="GW5" s="12" t="str">
        <f>IF(SUM(GO5,GS5)&gt;0,SUM(GO5,GS5),"")</f>
        <v/>
      </c>
      <c r="GX5" s="12" t="str">
        <f>IF(SUM(GF5:GG5,GI5)-GH5&gt;0,SUM(GF5:GG5,GI5)-GH5,"")</f>
        <v/>
      </c>
      <c r="GY5" s="12" t="str">
        <f>IF(SUM(GJ5:GK5,GM5)-GL5&gt;0,SUM(GJ5:GK5,GM5)-GL5,"")</f>
        <v/>
      </c>
      <c r="GZ5" s="12" t="str">
        <f>IF(SUM(GX5:GY5)&gt;0,SUM(GX5:GY5),"")</f>
        <v/>
      </c>
      <c r="HA5" s="12" t="str">
        <f>IF(SUM(GN5:GO5,GQ5:GS5,GU5)-SUM(GP5,GT5)&gt;0,SUM(GN5:GO5,GQ5:GS5,GU5)-SUM(GP5,GT5),"")</f>
        <v/>
      </c>
      <c r="HB5" s="12" t="str">
        <f>IF(SUM(GZ5,HA5)&gt;0,SUM(GZ5,HA5),"")</f>
        <v/>
      </c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15" t="str">
        <f>IF(SUM(HD5,HH5)&gt;0,SUM(HD5,HH5),"")</f>
        <v/>
      </c>
      <c r="HT5" s="15" t="str">
        <f>IF(SUM(HL5,HP5)&gt;0,SUM(HL5,HP5),"")</f>
        <v/>
      </c>
      <c r="HU5" s="15" t="str">
        <f>IF(SUM(HC5:HD5,HF5)-HE5&gt;0,SUM(HC5:HD5,HF5)-HE5,"")</f>
        <v/>
      </c>
      <c r="HV5" s="15" t="str">
        <f>IF(SUM(HG5:HH5,HJ5)-HI5&gt;0,SUM(HG5:HH5,HJ5)-HI5,"")</f>
        <v/>
      </c>
      <c r="HW5" s="15" t="str">
        <f>IF(SUM(HU5:HV5)&gt;0,SUM(HU5:HV5),"")</f>
        <v/>
      </c>
      <c r="HX5" s="15" t="str">
        <f>IF(SUM(HK5:HL5,HN5:HP5,HR5)-SUM(HM5,HQ5)&gt;0,SUM(HK5:HL5,HN5:HP5,HR5)-SUM(HM5,HQ5),"")</f>
        <v/>
      </c>
      <c r="HY5" s="15" t="str">
        <f>IF(SUM(HW5,HX5)&gt;0,SUM(HW5,HX5),"")</f>
        <v/>
      </c>
      <c r="HZ5" s="45"/>
      <c r="IA5" s="45"/>
      <c r="IB5" s="45"/>
      <c r="IC5" s="45"/>
      <c r="ID5" s="45"/>
      <c r="IE5" s="45"/>
      <c r="IF5" s="45"/>
      <c r="IG5" s="45"/>
      <c r="IH5" s="45"/>
      <c r="II5" s="45"/>
      <c r="IJ5" s="45"/>
      <c r="IK5" s="45"/>
      <c r="IL5" s="45"/>
      <c r="IM5" s="45"/>
      <c r="IN5" s="45"/>
      <c r="IO5" s="45"/>
      <c r="IP5" s="12" t="str">
        <f>IF(SUM(IA5,IE5)&gt;0,SUM(IA5,IE5),"")</f>
        <v/>
      </c>
      <c r="IQ5" s="12" t="str">
        <f>IF(SUM(II5,IM5)&gt;0,SUM(II5,IM5),"")</f>
        <v/>
      </c>
      <c r="IR5" s="12" t="str">
        <f>IF(SUM(HZ5:IA5,IC5)-IB5&gt;0,SUM(HZ5:IA5,IC5)-IB5,"")</f>
        <v/>
      </c>
      <c r="IS5" s="12" t="str">
        <f>IF(SUM(ID5:IE5,IG5)-IF5&gt;0,SUM(ID5:IE5,IG5)-IF5,"")</f>
        <v/>
      </c>
      <c r="IT5" s="12" t="str">
        <f>IF(SUM(IR5:IS5)&gt;0,SUM(IR5:IS5),"")</f>
        <v/>
      </c>
      <c r="IU5" s="12" t="str">
        <f>IF(SUM(IH5:II5,IK5:IM5,IO5)-SUM(IJ5,IN5)&gt;0,SUM(IH5:II5,IK5:IM5,IO5)-SUM(IJ5,IN5),"")</f>
        <v/>
      </c>
      <c r="IV5" s="12" t="str">
        <f>IF(SUM(IT5,IU5)&gt;0,SUM(IT5,IU5),"")</f>
        <v/>
      </c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15" t="str">
        <f>IF(SUM(IX5,JB5)&gt;0,SUM(IX5,JB5),"")</f>
        <v/>
      </c>
      <c r="JN5" s="15" t="str">
        <f>IF(SUM(JF5,JJ5)&gt;0,SUM(JF5,JJ5),"")</f>
        <v/>
      </c>
      <c r="JO5" s="15" t="str">
        <f>IF(SUM(IW5:IX5,IZ5)-IY5&gt;0,SUM(IW5:IX5,IZ5)-IY5,"")</f>
        <v/>
      </c>
      <c r="JP5" s="15" t="str">
        <f>IF(SUM(JA5:JB5,JD5)-JC5&gt;0,SUM(JA5:JB5,JD5)-JC5,"")</f>
        <v/>
      </c>
      <c r="JQ5" s="15" t="str">
        <f>IF(SUM(JO5:JP5)&gt;0,SUM(JO5:JP5),"")</f>
        <v/>
      </c>
      <c r="JR5" s="15" t="str">
        <f>IF(SUM(JE5:JF5,JH5:JJ5,JL5)-SUM(JG5,JK5)&gt;0,SUM(JE5:JF5,JH5:JJ5,JL5)-SUM(JG5,JK5),"")</f>
        <v/>
      </c>
      <c r="JS5" s="15" t="str">
        <f>IF(SUM(JQ5,JR5)&gt;0,SUM(JQ5,JR5),"")</f>
        <v/>
      </c>
      <c r="JT5" s="45"/>
      <c r="JU5" s="45"/>
      <c r="JV5" s="45"/>
      <c r="JW5" s="45"/>
      <c r="JX5" s="45"/>
      <c r="JY5" s="45"/>
      <c r="JZ5" s="45"/>
      <c r="KA5" s="45"/>
      <c r="KB5" s="45"/>
      <c r="KC5" s="45"/>
      <c r="KD5" s="45"/>
      <c r="KE5" s="45"/>
      <c r="KF5" s="45"/>
      <c r="KG5" s="45"/>
      <c r="KH5" s="45"/>
      <c r="KI5" s="45"/>
      <c r="KJ5" s="12" t="str">
        <f>IF(SUM(JU5,JY5)&gt;0,SUM(JU5,JY5),"")</f>
        <v/>
      </c>
      <c r="KK5" s="12" t="str">
        <f>IF(SUM(KC5,KG5)&gt;0,SUM(KC5,KG5),"")</f>
        <v/>
      </c>
      <c r="KL5" s="12" t="str">
        <f>IF(SUM(JT5:JU5,JW5)-JV5&gt;0,SUM(JT5:JU5,JW5)-JV5,"")</f>
        <v/>
      </c>
      <c r="KM5" s="12" t="str">
        <f>IF(SUM(JX5:JY5,KA5)-JZ5&gt;0,SUM(JX5:JY5,KA5)-JZ5,"")</f>
        <v/>
      </c>
      <c r="KN5" s="12" t="str">
        <f>IF(SUM(KL5:KM5)&gt;0,SUM(KL5:KM5),"")</f>
        <v/>
      </c>
      <c r="KO5" s="12" t="str">
        <f>IF(SUM(KB5:KC5,KE5:KG5,KI5)-SUM(KD5,KH5)&gt;0,SUM(KB5:KC5,KE5:KG5,KI5)-SUM(KD5,KH5),"")</f>
        <v/>
      </c>
      <c r="KP5" s="12" t="str">
        <f>IF(SUM(KN5,KO5)&gt;0,SUM(KN5,KO5),"")</f>
        <v/>
      </c>
      <c r="KQ5" s="46"/>
      <c r="KR5" s="46"/>
      <c r="KS5" s="46"/>
      <c r="KT5" s="46"/>
      <c r="KU5" s="46"/>
      <c r="KV5" s="46"/>
      <c r="KW5" s="46"/>
      <c r="KX5" s="46"/>
      <c r="KY5" s="46"/>
      <c r="KZ5" s="46"/>
      <c r="LA5" s="46"/>
      <c r="LB5" s="46"/>
      <c r="LC5" s="46"/>
      <c r="LD5" s="46"/>
      <c r="LE5" s="46"/>
      <c r="LF5" s="46"/>
      <c r="LG5" s="15" t="str">
        <f>IF(SUM(KR5,KV5)&gt;0,SUM(KR5,KV5),"")</f>
        <v/>
      </c>
      <c r="LH5" s="15" t="str">
        <f>IF(SUM(KZ5,LD5)&gt;0,SUM(KZ5,LD5),"")</f>
        <v/>
      </c>
      <c r="LI5" s="15" t="str">
        <f>IF(SUM(KQ5:KR5,KT5)-KS5&gt;0,SUM(KQ5:KR5,KT5)-KS5,"")</f>
        <v/>
      </c>
      <c r="LJ5" s="15" t="str">
        <f>IF(SUM(KU5:KV5,KX5)-KW5&gt;0,SUM(KU5:KV5,KX5)-KW5,"")</f>
        <v/>
      </c>
      <c r="LK5" s="15" t="str">
        <f>IF(SUM(LI5:LJ5)&gt;0,SUM(LI5:LJ5),"")</f>
        <v/>
      </c>
      <c r="LL5" s="15" t="str">
        <f>IF(SUM(KY5:KZ5,LB5:LD5,LF5)-SUM(LA5,LE5)&gt;0,SUM(KY5:KZ5,LB5:LD5,LF5)-SUM(LA5,LE5),"")</f>
        <v/>
      </c>
      <c r="LM5" s="15" t="str">
        <f>IF(SUM(LK5,LL5)&gt;0,SUM(LK5,LL5),"")</f>
        <v/>
      </c>
      <c r="LN5" s="45"/>
      <c r="LO5" s="45"/>
      <c r="LP5" s="45"/>
      <c r="LQ5" s="45"/>
      <c r="LR5" s="45"/>
      <c r="LS5" s="45"/>
      <c r="LT5" s="45"/>
      <c r="LU5" s="45"/>
      <c r="LV5" s="45"/>
      <c r="LW5" s="45"/>
      <c r="LX5" s="45"/>
      <c r="LY5" s="45"/>
      <c r="LZ5" s="45"/>
      <c r="MA5" s="45"/>
      <c r="MB5" s="45"/>
      <c r="MC5" s="45"/>
      <c r="MD5" s="12" t="str">
        <f>IF(SUM(LO5,LS5)&gt;0,SUM(LO5,LS5),"")</f>
        <v/>
      </c>
      <c r="ME5" s="12" t="str">
        <f>IF(SUM(LW5,MA5)&gt;0,SUM(LW5,MA5),"")</f>
        <v/>
      </c>
      <c r="MF5" s="12" t="str">
        <f>IF(SUM(LN5:LO5,LQ5)-LP5&gt;0,SUM(LN5:LO5,LQ5)-LP5,"")</f>
        <v/>
      </c>
      <c r="MG5" s="12" t="str">
        <f>IF(SUM(LR5:LS5,LU5)-LT5&gt;0,SUM(LR5:LS5,LU5)-LT5,"")</f>
        <v/>
      </c>
      <c r="MH5" s="12" t="str">
        <f>IF(SUM(MF5:MG5)&gt;0,SUM(MF5:MG5),"")</f>
        <v/>
      </c>
      <c r="MI5" s="12" t="str">
        <f>IF(SUM(LV5:LW5,LY5:MA5,MC5)-SUM(LX5,MB5)&gt;0,SUM(LV5:LW5,LY5:MA5,MC5)-SUM(LX5,MB5),"")</f>
        <v/>
      </c>
      <c r="MJ5" s="12" t="str">
        <f>IF(SUM(MH5,MI5)&gt;0,SUM(MH5,MI5),"")</f>
        <v/>
      </c>
      <c r="MK5" s="46"/>
      <c r="ML5" s="46"/>
      <c r="MM5" s="46"/>
      <c r="MN5" s="46"/>
      <c r="MO5" s="46"/>
      <c r="MP5" s="46"/>
      <c r="MQ5" s="46"/>
      <c r="MR5" s="46"/>
      <c r="MS5" s="46"/>
      <c r="MT5" s="46"/>
      <c r="MU5" s="46"/>
      <c r="MV5" s="46"/>
      <c r="MW5" s="46"/>
      <c r="MX5" s="46"/>
      <c r="MY5" s="46"/>
      <c r="MZ5" s="46"/>
      <c r="NA5" s="15" t="str">
        <f>IF(SUM(ML5,MP5)&gt;0,SUM(ML5,MP5),"")</f>
        <v/>
      </c>
      <c r="NB5" s="15" t="str">
        <f>IF(SUM(MT5,MX5)&gt;0,SUM(MT5,MX5),"")</f>
        <v/>
      </c>
      <c r="NC5" s="15" t="str">
        <f>IF(SUM(MK5:ML5,MN5)-MM5&gt;0,SUM(MK5:ML5,MN5)-MM5,"")</f>
        <v/>
      </c>
      <c r="ND5" s="15" t="str">
        <f>IF(SUM(MO5:MP5,MR5)-MQ5&gt;0,SUM(MO5:MP5,MR5)-MQ5,"")</f>
        <v/>
      </c>
      <c r="NE5" s="15" t="str">
        <f>IF(SUM(NC5:ND5)&gt;0,SUM(NC5:ND5),"")</f>
        <v/>
      </c>
      <c r="NF5" s="15" t="str">
        <f>IF(SUM(MS5:MT5,MV5:MX5,MZ5)-SUM(MU5,MY5)&gt;0,SUM(MS5:MT5,MV5:MX5,MZ5)-SUM(MU5,MY5),"")</f>
        <v/>
      </c>
      <c r="NG5" s="15" t="str">
        <f>IF(SUM(NE5,NF5)&gt;0,SUM(NE5,NF5),"")</f>
        <v/>
      </c>
    </row>
    <row r="6" spans="1:371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7" t="s">
        <v>88</v>
      </c>
      <c r="C6" s="8" t="s">
        <v>4</v>
      </c>
      <c r="D6" s="31">
        <v>2001</v>
      </c>
      <c r="E6" s="16">
        <f>SUM(J6:R6)</f>
        <v>182.90000000000003</v>
      </c>
      <c r="F6" s="4" t="str">
        <f>IF(OR(AND($AL6&gt;=$AM$12,NOT($AL6=""),$AK6=""),AND($BJ6&gt;=$BK$12,NOT($BJ6=""),$BI6=""),AND($CH6&gt;=$CI$12,NOT($CH6=""),$CG6="")),"P","")</f>
        <v>P</v>
      </c>
      <c r="G6" s="4" t="str">
        <f>IF(OR(AND($AL6&gt;=$AM$13,NOT($AL6=""),$AK6=""),AND($BJ6&gt;=$BK$13,NOT($BJ6=""),$BI6=""),AND($CH6&gt;=$CI$13,NOT($CH6=""),$CG6="")),"P","")</f>
        <v/>
      </c>
      <c r="H6" s="4" t="str">
        <f>IF(OR(AND($AP6&gt;=$AM$14,NOT($AP6=""),$AK6=""),AND($BN6&gt;=$BK$14,NOT($BN6=""),$BI6=""),AND($CL6&gt;=$CI$14,NOT($CL6=""),$CG6="")),"P","")</f>
        <v>P</v>
      </c>
      <c r="I6" t="str">
        <f>IF(AND(G6="P",OR(AND($AP6&gt;=$AM$17,NOT($AP6=""),$AK6=""),AND($BN6&gt;=$BK$17,NOT($BN6=""),$BI6=""),AND($CL6&gt;=$CI$17,NOT($CL6=""),$CG6=""))),"Merit",IF(AND(G6="P",OR(AND($AP6&gt;=$AM$16,NOT($AP6=""),$AK6=""),AND($BN6&gt;=$BK$16,NOT($BN6=""),$BI6=""),AND($CL6&gt;=$CI$16,NOT($CL6=""),$CG6=""))),"Funding",IF(AND(G6="P",OR(AND($AP6&gt;=$AM$15,NOT($AP6=""),$AK6=""),AND($BN6&gt;=$BK$15,NOT($BN6=""),$BI6=""),AND($CL6&gt;=$CI$15,NOT($CL6=""),$CG6=""))),"Worlds Team",IF(AND(F6="P",OR(AND($AP6&gt;=$AM$14,NOT($AP6=""),$AK6=""),AND($BN6&gt;=$BK$14,NOT($BN6=""),$BI6=""),AND($CL6&gt;=$CI$14,NOT($CL6=""),$CG6=""))),"National Team",""))))</f>
        <v>National Team</v>
      </c>
      <c r="J6" s="15">
        <f>MAX(AP6,BN6,CL6)</f>
        <v>60.600000000000009</v>
      </c>
      <c r="K6" s="15" t="str">
        <f>IF(J6=CL6,$BQ$1,IF(J6=BN6,$AS$1,IF(J6=AP6,$U$1,"")))</f>
        <v>2018 Nationals</v>
      </c>
      <c r="L6" s="15">
        <f>IF($J6=$AP6,MAX(BL6,CJ6),IF($J6=$BN6,MAX(AN6,CJ6),MAX(AN6,BL6)))</f>
        <v>30.6</v>
      </c>
      <c r="M6" s="15" t="str">
        <f>IF(AND(L6=CJ6,$K6&lt;&gt;$BQ$1),$BQ$1,IF(AND(L6=BL6,$K6&lt;&gt;$AS$1),$AS$1,IF(AND(L6=AN6,$K6&lt;&gt;$U$1),$U$1,"")))</f>
        <v>2018 Canada Cup</v>
      </c>
      <c r="N6" s="15">
        <f>IF($J6=$AP6,MAX(BM6,CK6),IF($J6=$BN6,MAX(AO6,CK6),MAX(AO6,BM6)))</f>
        <v>29.4</v>
      </c>
      <c r="O6" s="15" t="str">
        <f>IF(AND(N6=CK6,$K6&lt;&gt;$BQ$1),$BQ$1,IF(AND(N6=BM6,$K6&lt;&gt;$AS$1),$AS$1,IF(AND(N6=AO6,$K6&lt;&gt;$U$1),$U$1,"")))</f>
        <v>2017 Nationals</v>
      </c>
      <c r="P6" s="15">
        <f>MAX(AQ6,BO6,CM6)</f>
        <v>62.300000000000004</v>
      </c>
      <c r="Q6" s="15" t="str">
        <f>IF(P6=CM6,$BQ$1,IF(P6=BO6,$AS$1,IF(P6=AQ6,$U$1,"")))</f>
        <v>2017 Nationals</v>
      </c>
      <c r="R6" s="15" t="str">
        <f>IF(MAX(CO6:CQ6)&gt;0,MAX(CO6:CQ6),"")</f>
        <v/>
      </c>
      <c r="S6" s="29" t="str">
        <f>IF(R6="","",IF(R6=CO6,"(Pass 1)",IF(R6=CP6,"(Pass 2)",IF(R6=CQ6,"(Final)"))))</f>
        <v/>
      </c>
      <c r="T6" s="15" t="str">
        <f>IF(R6="","",IF(R6=CO6,IF(R6+L6=NC6,$MK$1,IF(R6+L6=MF6,$LN$1,IF(R6+L6=LI6,$KQ$1,IF(R6+L6=KL6,$JT$1,IF(R6+L6=JO6,$IW$1,IF(R6+L6=IR6,$HZ$1,IF(R6+L6=HU6,$HC$1,IF(R6+L6=GX6,$GF$1,IF(R6+L6=GA6,$FI$1,IF(R6+L6=FD6,$EL$1,IF(R6+L6=EG6,$DO$1,IF(R6+L6=DJ6,$CR$1)))))))))))),IF(R6=CP6,IF(R6+N6=ND6,$MK$1,IF(R6+N6=MG6,$LN$1,IF(R6+N6=LJ6,$KQ$1,IF(R6+N6=KM6,$JT$1,IF(R6+N6=JP6,$IW$1,IF(R6+N6=IS6,$HZ$1,IF(R6+N6=HV6,$HC$1,IF(R6+N6=GY6,$GF$1,IF(R6+N6=GB6,$FI$1,IF(R6+N6=FE6,$EL$1,IF(R6+N6=EH6,$DO$1,IF(R6+N6=DK6,$CR$1)))))))))))),IF(R6=CQ6,IF(R6+P6=NF6,$MK$1,IF(R6+P6=MI6,$LN$1,IF(R6+P6=LL6,$KQ$1,IF(R6+P6=KO6,$JT$1,IF(R6+P6=JR6,$IW$1,IF(R6+P6=IU6,$HZ$1,IF(R6+P6=HX6,$HC$1,IF(R6+P6=HA6,$GF$1,IF(R6+P6=GD6,$FI$1,IF(R6+P6=FG6,$EL$1,IF(R6+P6=EJ6,$DO$1,IF(R6+P6=DM6,$CR$1))))))))))))))))</f>
        <v/>
      </c>
      <c r="U6" s="52">
        <v>26</v>
      </c>
      <c r="V6" s="52">
        <v>3.6</v>
      </c>
      <c r="W6" s="52">
        <v>0</v>
      </c>
      <c r="X6" s="52">
        <v>0</v>
      </c>
      <c r="Y6" s="52">
        <v>25.5</v>
      </c>
      <c r="Z6" s="52">
        <v>3.9</v>
      </c>
      <c r="AA6" s="52">
        <v>0</v>
      </c>
      <c r="AB6" s="52">
        <v>0</v>
      </c>
      <c r="AC6" s="52">
        <v>27.8</v>
      </c>
      <c r="AD6" s="52">
        <v>3.6</v>
      </c>
      <c r="AE6" s="52">
        <v>0</v>
      </c>
      <c r="AF6" s="52">
        <v>0</v>
      </c>
      <c r="AG6" s="52">
        <v>27.3</v>
      </c>
      <c r="AH6" s="52">
        <v>3.6</v>
      </c>
      <c r="AI6" s="52">
        <v>0</v>
      </c>
      <c r="AJ6" s="52">
        <v>0</v>
      </c>
      <c r="AK6" s="108"/>
      <c r="AL6" s="12">
        <f>IF(SUM(V6,Z6)&gt;0,SUM(V6,Z6),"")</f>
        <v>7.5</v>
      </c>
      <c r="AM6" s="12">
        <f>IF(SUM(AD6,AH6)&gt;0,SUM(AD6,AH6),"")</f>
        <v>7.2</v>
      </c>
      <c r="AN6" s="12">
        <f>IF(SUM(U6:V6,X6)-W6&gt;0,SUM(U6:V6,X6)-W6,"")</f>
        <v>29.6</v>
      </c>
      <c r="AO6" s="12">
        <f>IF(SUM(Y6:Z6,AB6)-AA6&gt;0,SUM(Y6:Z6,AB6)-AA6,"")</f>
        <v>29.4</v>
      </c>
      <c r="AP6" s="12">
        <f>IF(SUM(AN6:AO6)&gt;0,SUM(AN6:AO6),"")</f>
        <v>59</v>
      </c>
      <c r="AQ6" s="12">
        <f>IF(SUM(AC6:AD6,AF6:AH6,AJ6)-SUM(AE6,AI6)&gt;0,SUM(AC6:AD6,AF6:AH6,AJ6)-SUM(AE6,AI6),"")</f>
        <v>62.300000000000004</v>
      </c>
      <c r="AR6" s="12">
        <f>IF(SUM(AP6,AQ6)&gt;0,SUM(AP6,AQ6),"")</f>
        <v>121.30000000000001</v>
      </c>
      <c r="AS6" s="82">
        <v>27</v>
      </c>
      <c r="AT6" s="82">
        <v>3.6</v>
      </c>
      <c r="AU6" s="82">
        <v>0</v>
      </c>
      <c r="AV6" s="82">
        <v>0</v>
      </c>
      <c r="AW6" s="82">
        <v>23.6</v>
      </c>
      <c r="AX6" s="82">
        <v>1.9</v>
      </c>
      <c r="AY6" s="82">
        <v>0</v>
      </c>
      <c r="AZ6" s="82">
        <v>0</v>
      </c>
      <c r="BA6" s="82">
        <v>25.9</v>
      </c>
      <c r="BB6" s="82">
        <v>3.6</v>
      </c>
      <c r="BC6" s="82">
        <v>0</v>
      </c>
      <c r="BD6" s="82">
        <v>0</v>
      </c>
      <c r="BE6" s="82">
        <v>25.7</v>
      </c>
      <c r="BF6" s="82">
        <v>4.0999999999999996</v>
      </c>
      <c r="BG6" s="82">
        <v>0</v>
      </c>
      <c r="BH6" s="82">
        <v>0</v>
      </c>
      <c r="BI6" s="109"/>
      <c r="BJ6" s="15">
        <f>IF(SUM(AT6,AX6)&gt;0,SUM(AT6,AX6),"")</f>
        <v>5.5</v>
      </c>
      <c r="BK6" s="15">
        <f>IF(SUM(BB6,BF6)&gt;0,SUM(BB6,BF6),"")</f>
        <v>7.6999999999999993</v>
      </c>
      <c r="BL6" s="15">
        <f>IF(SUM(AS6:AT6,AV6)-AU6&gt;0,SUM(AS6:AT6,AV6)-AU6,"")</f>
        <v>30.6</v>
      </c>
      <c r="BM6" s="15">
        <f>IF(SUM(AW6:AX6,AZ6)-AY6&gt;0,SUM(AW6:AX6,AZ6)-AY6,"")</f>
        <v>25.5</v>
      </c>
      <c r="BN6" s="15">
        <f>IF(SUM(BL6:BM6)&gt;0,SUM(BL6:BM6),"")</f>
        <v>56.1</v>
      </c>
      <c r="BO6" s="15">
        <f>IF(SUM(BA6:BB6,BD6:BF6,BH6)-SUM(BC6,BG6)&gt;0,SUM(BA6:BB6,BD6:BF6,BH6)-SUM(BC6,BG6),"")</f>
        <v>59.300000000000004</v>
      </c>
      <c r="BP6" s="15">
        <f>IF(SUM(BN6,BO6)&gt;0,SUM(BN6,BO6),"")</f>
        <v>115.4</v>
      </c>
      <c r="BQ6" s="45">
        <v>26.8</v>
      </c>
      <c r="BR6" s="45">
        <v>3.6</v>
      </c>
      <c r="BS6" s="45">
        <v>0</v>
      </c>
      <c r="BT6" s="45">
        <v>0</v>
      </c>
      <c r="BU6" s="45">
        <v>26.1</v>
      </c>
      <c r="BV6" s="45">
        <v>4.0999999999999996</v>
      </c>
      <c r="BW6" s="45">
        <v>0</v>
      </c>
      <c r="BX6" s="45">
        <v>0</v>
      </c>
      <c r="BY6" s="45">
        <v>27.5</v>
      </c>
      <c r="BZ6" s="45">
        <v>3.6</v>
      </c>
      <c r="CA6" s="45">
        <v>0</v>
      </c>
      <c r="CB6" s="45">
        <v>0</v>
      </c>
      <c r="CC6" s="45">
        <v>26.6</v>
      </c>
      <c r="CD6" s="45">
        <v>3.6</v>
      </c>
      <c r="CE6" s="45">
        <v>0</v>
      </c>
      <c r="CF6" s="45">
        <v>0</v>
      </c>
      <c r="CG6" s="108"/>
      <c r="CH6" s="12">
        <f>IF(SUM(BR6,BV6)&gt;0,SUM(BR6,BV6),"")</f>
        <v>7.6999999999999993</v>
      </c>
      <c r="CI6" s="12">
        <f>IF(SUM(BZ6,CD6)&gt;0,SUM(BZ6,CD6),"")</f>
        <v>7.2</v>
      </c>
      <c r="CJ6" s="12">
        <f>IF(SUM(BQ6:BR6,BT6)-BS6&gt;0,SUM(BQ6:BR6,BT6)-BS6,"")</f>
        <v>30.400000000000002</v>
      </c>
      <c r="CK6" s="12">
        <f>IF(SUM(BU6:BV6,BX6)-BW6&gt;0,SUM(BU6:BV6,BX6)-BW6,"")</f>
        <v>30.200000000000003</v>
      </c>
      <c r="CL6" s="12">
        <f>IF(SUM(CJ6:CK6)&gt;0,SUM(CJ6:CK6),"")</f>
        <v>60.600000000000009</v>
      </c>
      <c r="CM6" s="12">
        <f>IF(SUM(BY6:BZ6,CB6:CD6,CF6)-SUM(CA6,CE6)&gt;0,SUM(BY6:BZ6,CB6:CD6,CF6)-SUM(CA6,CE6),"")</f>
        <v>61.300000000000004</v>
      </c>
      <c r="CN6" s="12">
        <f>IF(SUM(CL6,CM6)&gt;0,SUM(CL6,CM6),"")</f>
        <v>121.9</v>
      </c>
      <c r="CO6" s="28" t="str">
        <f>IF(MAX(DJ6,EG6,FD6,GA6,GX6,HU6,IR6,JO6,KL6,LI6,MF6,NC6)-L6&gt;0.001,MAX(DJ6,EG6,FD6,GA6,GX6,HU6,IR6,JO6,KL6,LI6,MF6,NC6)-L6,"")</f>
        <v/>
      </c>
      <c r="CP6" s="28" t="str">
        <f>IF(MAX(DK6,EH6,FE6,GB6,GY6,HV6,IS6,JP6,KM6,LJ6,MG6,ND6)-N6&gt;0.001,MAX(DK6,EH6,FE6,GB6,GY6,HV6,IS6,JP6,KM6,LJ6,MG6,ND6)-N6,"")</f>
        <v/>
      </c>
      <c r="CQ6" s="28" t="str">
        <f>IF(MAX(DM6,EJ6,FG6,GD6,HA6,HX6,IU6,JR6,KO6,LL6,MI6,NF6)-P6&gt;0.001,MAX(DM6,EJ6,FG6,GD6,HA6,HX6,IU6,JR6,KO6,LL6,MI6,NF6)-P6,"")</f>
        <v/>
      </c>
      <c r="CR6" s="45">
        <v>26.5</v>
      </c>
      <c r="CS6" s="45">
        <v>3.6</v>
      </c>
      <c r="CT6" s="45">
        <v>0</v>
      </c>
      <c r="CU6" s="45">
        <v>0</v>
      </c>
      <c r="CV6" s="45">
        <v>22.8</v>
      </c>
      <c r="CW6" s="45">
        <v>4.0999999999999996</v>
      </c>
      <c r="CX6" s="45">
        <v>0.6</v>
      </c>
      <c r="CY6" s="45">
        <v>0</v>
      </c>
      <c r="CZ6" s="45"/>
      <c r="DA6" s="45"/>
      <c r="DB6" s="45"/>
      <c r="DC6" s="45"/>
      <c r="DD6" s="45"/>
      <c r="DE6" s="45"/>
      <c r="DF6" s="45"/>
      <c r="DG6" s="45"/>
      <c r="DH6" s="12">
        <f>IF(SUM(CS6,CW6)&gt;0,SUM(CS6,CW6),"")</f>
        <v>7.6999999999999993</v>
      </c>
      <c r="DI6" s="12" t="str">
        <f>IF(SUM(DA6,DE6)&gt;0,SUM(DA6,DE6),"")</f>
        <v/>
      </c>
      <c r="DJ6" s="12">
        <f>IF(SUM(CR6:CS6,CU6)-CT6&gt;0,SUM(CR6:CS6,CU6)-CT6,"")</f>
        <v>30.1</v>
      </c>
      <c r="DK6" s="12">
        <f>IF(SUM(CV6:CW6,CY6)-CX6&gt;0,SUM(CV6:CW6,CY6)-CX6,"")</f>
        <v>26.299999999999997</v>
      </c>
      <c r="DL6" s="12">
        <f>IF(SUM(DJ6:DK6)&gt;0,SUM(DJ6:DK6),"")</f>
        <v>56.4</v>
      </c>
      <c r="DM6" s="12" t="str">
        <f>IF(SUM(CZ6:DA6,DC6:DE6,DG6)-SUM(DB6,DF6)&gt;0,SUM(CZ6:DA6,DC6:DE6,DG6)-SUM(DB6,DF6),"")</f>
        <v/>
      </c>
      <c r="DN6" s="12">
        <f>IF(SUM(DL6,DM6)&gt;0,SUM(DL6,DM6),"")</f>
        <v>56.4</v>
      </c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15" t="str">
        <f>IF(SUM(DP6,DT6)&gt;0,SUM(DP6,DT6),"")</f>
        <v/>
      </c>
      <c r="EF6" s="15" t="str">
        <f>IF(SUM(DX6,EB6)&gt;0,SUM(DX6,EB6),"")</f>
        <v/>
      </c>
      <c r="EG6" s="15" t="str">
        <f>IF(SUM(DO6:DP6,DR6)-DQ6&gt;0,SUM(DO6:DP6,DR6)-DQ6,"")</f>
        <v/>
      </c>
      <c r="EH6" s="15" t="str">
        <f>IF(SUM(DS6:DT6,DV6)-DU6&gt;0,SUM(DS6:DT6,DV6)-DU6,"")</f>
        <v/>
      </c>
      <c r="EI6" s="15" t="str">
        <f>IF(SUM(EG6:EH6)&gt;0,SUM(EG6:EH6),"")</f>
        <v/>
      </c>
      <c r="EJ6" s="15" t="str">
        <f>IF(SUM(DW6:DX6,DZ6:EB6,ED6)-SUM(DY6,EC6)&gt;0,SUM(DW6:DX6,DZ6:EB6,ED6)-SUM(DY6,EC6),"")</f>
        <v/>
      </c>
      <c r="EK6" s="15" t="str">
        <f>IF(SUM(EI6,EJ6)&gt;0,SUM(EI6,EJ6),"")</f>
        <v/>
      </c>
      <c r="EL6" s="45"/>
      <c r="EM6" s="45"/>
      <c r="EN6" s="45"/>
      <c r="EO6" s="45"/>
      <c r="EP6" s="45"/>
      <c r="EQ6" s="45"/>
      <c r="ER6" s="45"/>
      <c r="ES6" s="45"/>
      <c r="ET6" s="45"/>
      <c r="EU6" s="45"/>
      <c r="EV6" s="45"/>
      <c r="EW6" s="45"/>
      <c r="EX6" s="45"/>
      <c r="EY6" s="45"/>
      <c r="EZ6" s="45"/>
      <c r="FA6" s="45"/>
      <c r="FB6" s="12" t="str">
        <f>IF(SUM(EM6,EQ6)&gt;0,SUM(EM6,EQ6),"")</f>
        <v/>
      </c>
      <c r="FC6" s="12" t="str">
        <f>IF(SUM(EU6,EY6)&gt;0,SUM(EU6,EY6),"")</f>
        <v/>
      </c>
      <c r="FD6" s="12" t="str">
        <f>IF(SUM(EL6:EM6,EO6)-EN6&gt;0,SUM(EL6:EM6,EO6)-EN6,"")</f>
        <v/>
      </c>
      <c r="FE6" s="12" t="str">
        <f>IF(SUM(EP6:EQ6,ES6)-ER6&gt;0,SUM(EP6:EQ6,ES6)-ER6,"")</f>
        <v/>
      </c>
      <c r="FF6" s="12" t="str">
        <f>IF(SUM(FD6:FE6)&gt;0,SUM(FD6:FE6),"")</f>
        <v/>
      </c>
      <c r="FG6" s="12" t="str">
        <f>IF(SUM(ET6:EU6,EW6:EY6,FA6)-SUM(EV6,EZ6)&gt;0,SUM(ET6:EU6,EW6:EY6,FA6)-SUM(EV6,EZ6),"")</f>
        <v/>
      </c>
      <c r="FH6" s="12" t="str">
        <f>IF(SUM(FF6,FG6)&gt;0,SUM(FF6,FG6),"")</f>
        <v/>
      </c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15" t="str">
        <f>IF(SUM(FJ6,FN6)&gt;0,SUM(FJ6,FN6),"")</f>
        <v/>
      </c>
      <c r="FZ6" s="15" t="str">
        <f>IF(SUM(FR6,FV6)&gt;0,SUM(FR6,FV6),"")</f>
        <v/>
      </c>
      <c r="GA6" s="15" t="str">
        <f>IF(SUM(FI6:FJ6,FL6)-FK6&gt;0,SUM(FI6:FJ6,FL6)-FK6,"")</f>
        <v/>
      </c>
      <c r="GB6" s="15" t="str">
        <f>IF(SUM(FM6:FN6,FP6)-FO6&gt;0,SUM(FM6:FN6,FP6)-FO6,"")</f>
        <v/>
      </c>
      <c r="GC6" s="15" t="str">
        <f>IF(SUM(GA6:GB6)&gt;0,SUM(GA6:GB6),"")</f>
        <v/>
      </c>
      <c r="GD6" s="15" t="str">
        <f>IF(SUM(FQ6:FR6,FT6:FV6,FX6)-SUM(FS6,FW6)&gt;0,SUM(FQ6:FR6,FT6:FV6,FX6)-SUM(FS6,FW6),"")</f>
        <v/>
      </c>
      <c r="GE6" s="15" t="str">
        <f>IF(SUM(GC6,GD6)&gt;0,SUM(GC6,GD6),"")</f>
        <v/>
      </c>
      <c r="GF6" s="45"/>
      <c r="GG6" s="45"/>
      <c r="GH6" s="45"/>
      <c r="GI6" s="45"/>
      <c r="GJ6" s="45"/>
      <c r="GK6" s="45"/>
      <c r="GL6" s="45"/>
      <c r="GM6" s="45"/>
      <c r="GN6" s="45"/>
      <c r="GO6" s="45"/>
      <c r="GP6" s="45"/>
      <c r="GQ6" s="45"/>
      <c r="GR6" s="45"/>
      <c r="GS6" s="45"/>
      <c r="GT6" s="45"/>
      <c r="GU6" s="45"/>
      <c r="GV6" s="12" t="str">
        <f>IF(SUM(GG6,GK6)&gt;0,SUM(GG6,GK6),"")</f>
        <v/>
      </c>
      <c r="GW6" s="12" t="str">
        <f>IF(SUM(GO6,GS6)&gt;0,SUM(GO6,GS6),"")</f>
        <v/>
      </c>
      <c r="GX6" s="12" t="str">
        <f>IF(SUM(GF6:GG6,GI6)-GH6&gt;0,SUM(GF6:GG6,GI6)-GH6,"")</f>
        <v/>
      </c>
      <c r="GY6" s="12" t="str">
        <f>IF(SUM(GJ6:GK6,GM6)-GL6&gt;0,SUM(GJ6:GK6,GM6)-GL6,"")</f>
        <v/>
      </c>
      <c r="GZ6" s="12" t="str">
        <f>IF(SUM(GX6:GY6)&gt;0,SUM(GX6:GY6),"")</f>
        <v/>
      </c>
      <c r="HA6" s="12" t="str">
        <f>IF(SUM(GN6:GO6,GQ6:GS6,GU6)-SUM(GP6,GT6)&gt;0,SUM(GN6:GO6,GQ6:GS6,GU6)-SUM(GP6,GT6),"")</f>
        <v/>
      </c>
      <c r="HB6" s="12" t="str">
        <f>IF(SUM(GZ6,HA6)&gt;0,SUM(GZ6,HA6),"")</f>
        <v/>
      </c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15" t="str">
        <f>IF(SUM(HD6,HH6)&gt;0,SUM(HD6,HH6),"")</f>
        <v/>
      </c>
      <c r="HT6" s="15" t="str">
        <f>IF(SUM(HL6,HP6)&gt;0,SUM(HL6,HP6),"")</f>
        <v/>
      </c>
      <c r="HU6" s="15" t="str">
        <f>IF(SUM(HC6:HD6,HF6)-HE6&gt;0,SUM(HC6:HD6,HF6)-HE6,"")</f>
        <v/>
      </c>
      <c r="HV6" s="15" t="str">
        <f>IF(SUM(HG6:HH6,HJ6)-HI6&gt;0,SUM(HG6:HH6,HJ6)-HI6,"")</f>
        <v/>
      </c>
      <c r="HW6" s="15" t="str">
        <f>IF(SUM(HU6:HV6)&gt;0,SUM(HU6:HV6),"")</f>
        <v/>
      </c>
      <c r="HX6" s="15" t="str">
        <f>IF(SUM(HK6:HL6,HN6:HP6,HR6)-SUM(HM6,HQ6)&gt;0,SUM(HK6:HL6,HN6:HP6,HR6)-SUM(HM6,HQ6),"")</f>
        <v/>
      </c>
      <c r="HY6" s="15" t="str">
        <f>IF(SUM(HW6,HX6)&gt;0,SUM(HW6,HX6),"")</f>
        <v/>
      </c>
      <c r="HZ6" s="45"/>
      <c r="IA6" s="45"/>
      <c r="IB6" s="45"/>
      <c r="IC6" s="45"/>
      <c r="ID6" s="45"/>
      <c r="IE6" s="45"/>
      <c r="IF6" s="45"/>
      <c r="IG6" s="45"/>
      <c r="IH6" s="45"/>
      <c r="II6" s="45"/>
      <c r="IJ6" s="45"/>
      <c r="IK6" s="45"/>
      <c r="IL6" s="45"/>
      <c r="IM6" s="45"/>
      <c r="IN6" s="45"/>
      <c r="IO6" s="45"/>
      <c r="IP6" s="12" t="str">
        <f>IF(SUM(IA6,IE6)&gt;0,SUM(IA6,IE6),"")</f>
        <v/>
      </c>
      <c r="IQ6" s="12" t="str">
        <f>IF(SUM(II6,IM6)&gt;0,SUM(II6,IM6),"")</f>
        <v/>
      </c>
      <c r="IR6" s="12" t="str">
        <f>IF(SUM(HZ6:IA6,IC6)-IB6&gt;0,SUM(HZ6:IA6,IC6)-IB6,"")</f>
        <v/>
      </c>
      <c r="IS6" s="12" t="str">
        <f>IF(SUM(ID6:IE6,IG6)-IF6&gt;0,SUM(ID6:IE6,IG6)-IF6,"")</f>
        <v/>
      </c>
      <c r="IT6" s="12" t="str">
        <f>IF(SUM(IR6:IS6)&gt;0,SUM(IR6:IS6),"")</f>
        <v/>
      </c>
      <c r="IU6" s="12" t="str">
        <f>IF(SUM(IH6:II6,IK6:IM6,IO6)-SUM(IJ6,IN6)&gt;0,SUM(IH6:II6,IK6:IM6,IO6)-SUM(IJ6,IN6),"")</f>
        <v/>
      </c>
      <c r="IV6" s="12" t="str">
        <f>IF(SUM(IT6,IU6)&gt;0,SUM(IT6,IU6),"")</f>
        <v/>
      </c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15" t="str">
        <f>IF(SUM(IX6,JB6)&gt;0,SUM(IX6,JB6),"")</f>
        <v/>
      </c>
      <c r="JN6" s="15" t="str">
        <f>IF(SUM(JF6,JJ6)&gt;0,SUM(JF6,JJ6),"")</f>
        <v/>
      </c>
      <c r="JO6" s="15" t="str">
        <f>IF(SUM(IW6:IX6,IZ6)-IY6&gt;0,SUM(IW6:IX6,IZ6)-IY6,"")</f>
        <v/>
      </c>
      <c r="JP6" s="15" t="str">
        <f>IF(SUM(JA6:JB6,JD6)-JC6&gt;0,SUM(JA6:JB6,JD6)-JC6,"")</f>
        <v/>
      </c>
      <c r="JQ6" s="15" t="str">
        <f>IF(SUM(JO6:JP6)&gt;0,SUM(JO6:JP6),"")</f>
        <v/>
      </c>
      <c r="JR6" s="15" t="str">
        <f>IF(SUM(JE6:JF6,JH6:JJ6,JL6)-SUM(JG6,JK6)&gt;0,SUM(JE6:JF6,JH6:JJ6,JL6)-SUM(JG6,JK6),"")</f>
        <v/>
      </c>
      <c r="JS6" s="15" t="str">
        <f>IF(SUM(JQ6,JR6)&gt;0,SUM(JQ6,JR6),"")</f>
        <v/>
      </c>
      <c r="JT6" s="45"/>
      <c r="JU6" s="45"/>
      <c r="JV6" s="45"/>
      <c r="JW6" s="45"/>
      <c r="JX6" s="45"/>
      <c r="JY6" s="45"/>
      <c r="JZ6" s="45"/>
      <c r="KA6" s="45"/>
      <c r="KB6" s="45"/>
      <c r="KC6" s="45"/>
      <c r="KD6" s="45"/>
      <c r="KE6" s="45"/>
      <c r="KF6" s="45"/>
      <c r="KG6" s="45"/>
      <c r="KH6" s="45"/>
      <c r="KI6" s="45"/>
      <c r="KJ6" s="12" t="str">
        <f>IF(SUM(JU6,JY6)&gt;0,SUM(JU6,JY6),"")</f>
        <v/>
      </c>
      <c r="KK6" s="12" t="str">
        <f>IF(SUM(KC6,KG6)&gt;0,SUM(KC6,KG6),"")</f>
        <v/>
      </c>
      <c r="KL6" s="12" t="str">
        <f>IF(SUM(JT6:JU6,JW6)-JV6&gt;0,SUM(JT6:JU6,JW6)-JV6,"")</f>
        <v/>
      </c>
      <c r="KM6" s="12" t="str">
        <f>IF(SUM(JX6:JY6,KA6)-JZ6&gt;0,SUM(JX6:JY6,KA6)-JZ6,"")</f>
        <v/>
      </c>
      <c r="KN6" s="12" t="str">
        <f>IF(SUM(KL6:KM6)&gt;0,SUM(KL6:KM6),"")</f>
        <v/>
      </c>
      <c r="KO6" s="12" t="str">
        <f>IF(SUM(KB6:KC6,KE6:KG6,KI6)-SUM(KD6,KH6)&gt;0,SUM(KB6:KC6,KE6:KG6,KI6)-SUM(KD6,KH6),"")</f>
        <v/>
      </c>
      <c r="KP6" s="12" t="str">
        <f>IF(SUM(KN6,KO6)&gt;0,SUM(KN6,KO6),"")</f>
        <v/>
      </c>
      <c r="KQ6" s="46"/>
      <c r="KR6" s="46"/>
      <c r="KS6" s="46"/>
      <c r="KT6" s="46"/>
      <c r="KU6" s="46"/>
      <c r="KV6" s="46"/>
      <c r="KW6" s="46"/>
      <c r="KX6" s="46"/>
      <c r="KY6" s="46"/>
      <c r="KZ6" s="46"/>
      <c r="LA6" s="46"/>
      <c r="LB6" s="46"/>
      <c r="LC6" s="46"/>
      <c r="LD6" s="46"/>
      <c r="LE6" s="46"/>
      <c r="LF6" s="46"/>
      <c r="LG6" s="15" t="str">
        <f>IF(SUM(KR6,KV6)&gt;0,SUM(KR6,KV6),"")</f>
        <v/>
      </c>
      <c r="LH6" s="15" t="str">
        <f>IF(SUM(KZ6,LD6)&gt;0,SUM(KZ6,LD6),"")</f>
        <v/>
      </c>
      <c r="LI6" s="15" t="str">
        <f>IF(SUM(KQ6:KR6,KT6)-KS6&gt;0,SUM(KQ6:KR6,KT6)-KS6,"")</f>
        <v/>
      </c>
      <c r="LJ6" s="15" t="str">
        <f>IF(SUM(KU6:KV6,KX6)-KW6&gt;0,SUM(KU6:KV6,KX6)-KW6,"")</f>
        <v/>
      </c>
      <c r="LK6" s="15" t="str">
        <f>IF(SUM(LI6:LJ6)&gt;0,SUM(LI6:LJ6),"")</f>
        <v/>
      </c>
      <c r="LL6" s="15" t="str">
        <f>IF(SUM(KY6:KZ6,LB6:LD6,LF6)-SUM(LA6,LE6)&gt;0,SUM(KY6:KZ6,LB6:LD6,LF6)-SUM(LA6,LE6),"")</f>
        <v/>
      </c>
      <c r="LM6" s="15" t="str">
        <f>IF(SUM(LK6,LL6)&gt;0,SUM(LK6,LL6),"")</f>
        <v/>
      </c>
      <c r="LN6" s="45"/>
      <c r="LO6" s="45"/>
      <c r="LP6" s="45"/>
      <c r="LQ6" s="45"/>
      <c r="LR6" s="45"/>
      <c r="LS6" s="45"/>
      <c r="LT6" s="45"/>
      <c r="LU6" s="45"/>
      <c r="LV6" s="45"/>
      <c r="LW6" s="45"/>
      <c r="LX6" s="45"/>
      <c r="LY6" s="45"/>
      <c r="LZ6" s="45"/>
      <c r="MA6" s="45"/>
      <c r="MB6" s="45"/>
      <c r="MC6" s="45"/>
      <c r="MD6" s="12" t="str">
        <f>IF(SUM(LO6,LS6)&gt;0,SUM(LO6,LS6),"")</f>
        <v/>
      </c>
      <c r="ME6" s="12" t="str">
        <f>IF(SUM(LW6,MA6)&gt;0,SUM(LW6,MA6),"")</f>
        <v/>
      </c>
      <c r="MF6" s="12" t="str">
        <f>IF(SUM(LN6:LO6,LQ6)-LP6&gt;0,SUM(LN6:LO6,LQ6)-LP6,"")</f>
        <v/>
      </c>
      <c r="MG6" s="12" t="str">
        <f>IF(SUM(LR6:LS6,LU6)-LT6&gt;0,SUM(LR6:LS6,LU6)-LT6,"")</f>
        <v/>
      </c>
      <c r="MH6" s="12" t="str">
        <f>IF(SUM(MF6:MG6)&gt;0,SUM(MF6:MG6),"")</f>
        <v/>
      </c>
      <c r="MI6" s="12" t="str">
        <f>IF(SUM(LV6:LW6,LY6:MA6,MC6)-SUM(LX6,MB6)&gt;0,SUM(LV6:LW6,LY6:MA6,MC6)-SUM(LX6,MB6),"")</f>
        <v/>
      </c>
      <c r="MJ6" s="12" t="str">
        <f>IF(SUM(MH6,MI6)&gt;0,SUM(MH6,MI6),"")</f>
        <v/>
      </c>
      <c r="MK6" s="46"/>
      <c r="ML6" s="46"/>
      <c r="MM6" s="46"/>
      <c r="MN6" s="46"/>
      <c r="MO6" s="46"/>
      <c r="MP6" s="46"/>
      <c r="MQ6" s="46"/>
      <c r="MR6" s="46"/>
      <c r="MS6" s="46"/>
      <c r="MT6" s="46"/>
      <c r="MU6" s="46"/>
      <c r="MV6" s="46"/>
      <c r="MW6" s="46"/>
      <c r="MX6" s="46"/>
      <c r="MY6" s="46"/>
      <c r="MZ6" s="46"/>
      <c r="NA6" s="15" t="str">
        <f>IF(SUM(ML6,MP6)&gt;0,SUM(ML6,MP6),"")</f>
        <v/>
      </c>
      <c r="NB6" s="15" t="str">
        <f>IF(SUM(MT6,MX6)&gt;0,SUM(MT6,MX6),"")</f>
        <v/>
      </c>
      <c r="NC6" s="15" t="str">
        <f>IF(SUM(MK6:ML6,MN6)-MM6&gt;0,SUM(MK6:ML6,MN6)-MM6,"")</f>
        <v/>
      </c>
      <c r="ND6" s="15" t="str">
        <f>IF(SUM(MO6:MP6,MR6)-MQ6&gt;0,SUM(MO6:MP6,MR6)-MQ6,"")</f>
        <v/>
      </c>
      <c r="NE6" s="15" t="str">
        <f>IF(SUM(NC6:ND6)&gt;0,SUM(NC6:ND6),"")</f>
        <v/>
      </c>
      <c r="NF6" s="15" t="str">
        <f>IF(SUM(MS6:MT6,MV6:MX6,MZ6)-SUM(MU6,MY6)&gt;0,SUM(MS6:MT6,MV6:MX6,MZ6)-SUM(MU6,MY6),"")</f>
        <v/>
      </c>
      <c r="NG6" s="15" t="str">
        <f>IF(SUM(NE6,NF6)&gt;0,SUM(NE6,NF6),"")</f>
        <v/>
      </c>
    </row>
    <row r="7" spans="1:371" x14ac:dyDescent="0.2">
      <c r="A7" s="6">
        <f>IF(AND(F7="P",H7="P"),SUMPRODUCT((F$4:F$9="P")*(H$4:H$9="P")*(E$4:E$9&gt;E7))+1,IF(H7="P",SUMPRODUCT((F$4:F$9="")*(H$4:H$9="P")*(E$4:E$9&gt;E7))+1+SUMPRODUCT((F$4:F$9="P")*(H$4:H$9="P")),""))</f>
        <v>4</v>
      </c>
      <c r="B7" s="9" t="s">
        <v>65</v>
      </c>
      <c r="C7" s="5" t="s">
        <v>4</v>
      </c>
      <c r="D7" s="31">
        <v>2000</v>
      </c>
      <c r="E7" s="16">
        <f>SUM(J7:R7)</f>
        <v>182.5</v>
      </c>
      <c r="F7" s="4" t="str">
        <f>IF(OR(AND($AL7&gt;=$AM$12,NOT($AL7=""),$AK7=""),AND($BJ7&gt;=$BK$12,NOT($BJ7=""),$BI7=""),AND($CH7&gt;=$CI$12,NOT($CH7=""),$CG7="")),"P","")</f>
        <v>P</v>
      </c>
      <c r="G7" s="4" t="str">
        <f>IF(OR(AND($AL7&gt;=$AM$13,NOT($AL7=""),$AK7=""),AND($BJ7&gt;=$BK$13,NOT($BJ7=""),$BI7=""),AND($CH7&gt;=$CI$13,NOT($CH7=""),$CG7="")),"P","")</f>
        <v/>
      </c>
      <c r="H7" s="4" t="str">
        <f>IF(OR(AND($AP7&gt;=$AM$14,NOT($AP7=""),$AK7=""),AND($BN7&gt;=$BK$14,NOT($BN7=""),$BI7=""),AND($CL7&gt;=$CI$14,NOT($CL7=""),$CG7="")),"P","")</f>
        <v>P</v>
      </c>
      <c r="I7" t="str">
        <f>IF(AND(G7="P",OR(AND($AP7&gt;=$AM$17,NOT($AP7=""),$AK7=""),AND($BN7&gt;=$BK$17,NOT($BN7=""),$BI7=""),AND($CL7&gt;=$CI$17,NOT($CL7=""),$CG7=""))),"Merit",IF(AND(G7="P",OR(AND($AP7&gt;=$AM$16,NOT($AP7=""),$AK7=""),AND($BN7&gt;=$BK$16,NOT($BN7=""),$BI7=""),AND($CL7&gt;=$CI$16,NOT($CL7=""),$CG7=""))),"Funding",IF(AND(G7="P",OR(AND($AP7&gt;=$AM$15,NOT($AP7=""),$AK7=""),AND($BN7&gt;=$BK$15,NOT($BN7=""),$BI7=""),AND($CL7&gt;=$CI$15,NOT($CL7=""),$CG7=""))),"Worlds Team",IF(AND(F7="P",OR(AND($AP7&gt;=$AM$14,NOT($AP7=""),$AK7=""),AND($BN7&gt;=$BK$14,NOT($BN7=""),$BI7=""),AND($CL7&gt;=$CI$14,NOT($CL7=""),$CG7=""))),"National Team",""))))</f>
        <v>National Team</v>
      </c>
      <c r="J7" s="15">
        <f>MAX(AP7,BN7,CL7)</f>
        <v>61.6</v>
      </c>
      <c r="K7" s="15" t="str">
        <f>IF(J7=CL7,$BQ$1,IF(J7=BN7,$AS$1,IF(J7=AP7,$U$1,"")))</f>
        <v>2018 Nationals</v>
      </c>
      <c r="L7" s="15">
        <f>IF($J7=$AP7,MAX(BL7,CJ7),IF($J7=$BN7,MAX(AN7,CJ7),MAX(AN7,BL7)))</f>
        <v>30</v>
      </c>
      <c r="M7" s="15" t="str">
        <f>IF(AND(L7=CJ7,$K7&lt;&gt;$BQ$1),$BQ$1,IF(AND(L7=BL7,$K7&lt;&gt;$AS$1),$AS$1,IF(AND(L7=AN7,$K7&lt;&gt;$U$1),$U$1,"")))</f>
        <v>2018 Canada Cup</v>
      </c>
      <c r="N7" s="15">
        <f>IF($J7=$AP7,MAX(BM7,CK7),IF($J7=$BN7,MAX(AO7,CK7),MAX(AO7,BM7)))</f>
        <v>29.200000000000003</v>
      </c>
      <c r="O7" s="15" t="str">
        <f>IF(AND(N7=CK7,$K7&lt;&gt;$BQ$1),$BQ$1,IF(AND(N7=BM7,$K7&lt;&gt;$AS$1),$AS$1,IF(AND(N7=AO7,$K7&lt;&gt;$U$1),$U$1,"")))</f>
        <v>2017 Nationals</v>
      </c>
      <c r="P7" s="15">
        <f>MAX(AQ7,BO7,CM7)</f>
        <v>61.300000000000004</v>
      </c>
      <c r="Q7" s="15" t="str">
        <f>IF(P7=CM7,$BQ$1,IF(P7=BO7,$AS$1,IF(P7=AQ7,$U$1,"")))</f>
        <v>2018 Nationals</v>
      </c>
      <c r="R7" s="15">
        <f>IF(MAX(CO7:CQ7)&gt;0,MAX(CO7:CQ7),"")</f>
        <v>0.39999999999999503</v>
      </c>
      <c r="S7" s="29" t="str">
        <f>IF(R7="","",IF(R7=CO7,"(Pass 1)",IF(R7=CP7,"(Pass 2)",IF(R7=CQ7,"(Final)"))))</f>
        <v>(Pass 2)</v>
      </c>
      <c r="T7" s="15" t="str">
        <f>IF(R7="","",IF(R7=CO7,IF(R7+L7=NC7,$MK$1,IF(R7+L7=MF7,$LN$1,IF(R7+L7=LI7,$KQ$1,IF(R7+L7=KL7,$JT$1,IF(R7+L7=JO7,$IW$1,IF(R7+L7=IR7,$HZ$1,IF(R7+L7=HU7,$HC$1,IF(R7+L7=GX7,$GF$1,IF(R7+L7=GA7,$FI$1,IF(R7+L7=FD7,$EL$1,IF(R7+L7=EG7,$DO$1,IF(R7+L7=DJ7,$CR$1)))))))))))),IF(R7=CP7,IF(R7+N7=ND7,$MK$1,IF(R7+N7=MG7,$LN$1,IF(R7+N7=LJ7,$KQ$1,IF(R7+N7=KM7,$JT$1,IF(R7+N7=JP7,$IW$1,IF(R7+N7=IS7,$HZ$1,IF(R7+N7=HV7,$HC$1,IF(R7+N7=GY7,$GF$1,IF(R7+N7=GB7,$FI$1,IF(R7+N7=FE7,$EL$1,IF(R7+N7=EH7,$DO$1,IF(R7+N7=DK7,$CR$1)))))))))))),IF(R7=CQ7,IF(R7+P7=NF7,$MK$1,IF(R7+P7=MI7,$LN$1,IF(R7+P7=LL7,$KQ$1,IF(R7+P7=KO7,$JT$1,IF(R7+P7=JR7,$IW$1,IF(R7+P7=IU7,$HZ$1,IF(R7+P7=HX7,$HC$1,IF(R7+P7=HA7,$GF$1,IF(R7+P7=GD7,$FI$1,IF(R7+P7=FG7,$EL$1,IF(R7+P7=EJ7,$DO$1,IF(R7+P7=DM7,$CR$1))))))))))))))))</f>
        <v>2018 World Age Groups (Nov 18)</v>
      </c>
      <c r="U7" s="76">
        <v>24.6</v>
      </c>
      <c r="V7" s="76">
        <v>1.3</v>
      </c>
      <c r="W7" s="76">
        <v>0</v>
      </c>
      <c r="X7" s="76">
        <v>0</v>
      </c>
      <c r="Y7" s="76">
        <v>25.1</v>
      </c>
      <c r="Z7" s="76">
        <v>4.0999999999999996</v>
      </c>
      <c r="AA7" s="76">
        <v>0</v>
      </c>
      <c r="AB7" s="76">
        <v>0</v>
      </c>
      <c r="AC7" s="76">
        <v>27.5</v>
      </c>
      <c r="AD7" s="76">
        <v>3.6</v>
      </c>
      <c r="AE7" s="76">
        <v>0</v>
      </c>
      <c r="AF7" s="76">
        <v>0</v>
      </c>
      <c r="AG7" s="76">
        <v>25.3</v>
      </c>
      <c r="AH7" s="76">
        <v>4.0999999999999996</v>
      </c>
      <c r="AI7" s="76">
        <v>0</v>
      </c>
      <c r="AJ7" s="76">
        <v>0</v>
      </c>
      <c r="AK7" s="108"/>
      <c r="AL7" s="12">
        <f>IF(SUM(V7,Z7)&gt;0,SUM(V7,Z7),"")</f>
        <v>5.3999999999999995</v>
      </c>
      <c r="AM7" s="12">
        <f>IF(SUM(AD7,AH7)&gt;0,SUM(AD7,AH7),"")</f>
        <v>7.6999999999999993</v>
      </c>
      <c r="AN7" s="12">
        <f>IF(SUM(U7:V7,X7)-W7&gt;0,SUM(U7:V7,X7)-W7,"")</f>
        <v>25.900000000000002</v>
      </c>
      <c r="AO7" s="12">
        <f>IF(SUM(Y7:Z7,AB7)-AA7&gt;0,SUM(Y7:Z7,AB7)-AA7,"")</f>
        <v>29.200000000000003</v>
      </c>
      <c r="AP7" s="12">
        <f>IF(SUM(AN7:AO7)&gt;0,SUM(AN7:AO7),"")</f>
        <v>55.100000000000009</v>
      </c>
      <c r="AQ7" s="12">
        <f>IF(SUM(AC7:AD7,AF7:AH7,AJ7)-SUM(AE7,AI7)&gt;0,SUM(AC7:AD7,AF7:AH7,AJ7)-SUM(AE7,AI7),"")</f>
        <v>60.500000000000007</v>
      </c>
      <c r="AR7" s="12">
        <f>IF(SUM(AP7,AQ7)&gt;0,SUM(AP7,AQ7),"")</f>
        <v>115.60000000000002</v>
      </c>
      <c r="AS7" s="81">
        <v>26.4</v>
      </c>
      <c r="AT7" s="81">
        <v>3.6</v>
      </c>
      <c r="AU7" s="81">
        <v>0</v>
      </c>
      <c r="AV7" s="81">
        <v>0</v>
      </c>
      <c r="AW7" s="81">
        <v>26.2</v>
      </c>
      <c r="AX7" s="81">
        <v>2.5</v>
      </c>
      <c r="AY7" s="81">
        <v>0</v>
      </c>
      <c r="AZ7" s="81">
        <v>0</v>
      </c>
      <c r="BA7" s="81">
        <v>26.9</v>
      </c>
      <c r="BB7" s="81">
        <v>3.6</v>
      </c>
      <c r="BC7" s="81">
        <v>0</v>
      </c>
      <c r="BD7" s="81">
        <v>0</v>
      </c>
      <c r="BE7" s="81">
        <v>22.4</v>
      </c>
      <c r="BF7" s="81">
        <v>4.0999999999999996</v>
      </c>
      <c r="BG7" s="81">
        <v>0.6</v>
      </c>
      <c r="BH7" s="81">
        <v>0</v>
      </c>
      <c r="BI7" s="109"/>
      <c r="BJ7" s="15">
        <f>IF(SUM(AT7,AX7)&gt;0,SUM(AT7,AX7),"")</f>
        <v>6.1</v>
      </c>
      <c r="BK7" s="15">
        <f>IF(SUM(BB7,BF7)&gt;0,SUM(BB7,BF7),"")</f>
        <v>7.6999999999999993</v>
      </c>
      <c r="BL7" s="15">
        <f>IF(SUM(AS7:AT7,AV7)-AU7&gt;0,SUM(AS7:AT7,AV7)-AU7,"")</f>
        <v>30</v>
      </c>
      <c r="BM7" s="15">
        <f>IF(SUM(AW7:AX7,AZ7)-AY7&gt;0,SUM(AW7:AX7,AZ7)-AY7,"")</f>
        <v>28.7</v>
      </c>
      <c r="BN7" s="15">
        <f>IF(SUM(BL7:BM7)&gt;0,SUM(BL7:BM7),"")</f>
        <v>58.7</v>
      </c>
      <c r="BO7" s="15">
        <f>IF(SUM(BA7:BB7,BD7:BF7,BH7)-SUM(BC7,BG7)&gt;0,SUM(BA7:BB7,BD7:BF7,BH7)-SUM(BC7,BG7),"")</f>
        <v>56.4</v>
      </c>
      <c r="BP7" s="15">
        <f>IF(SUM(BN7,BO7)&gt;0,SUM(BN7,BO7),"")</f>
        <v>115.1</v>
      </c>
      <c r="BQ7" s="45">
        <v>27.6</v>
      </c>
      <c r="BR7" s="45">
        <v>3.6</v>
      </c>
      <c r="BS7" s="45">
        <v>0</v>
      </c>
      <c r="BT7" s="45">
        <v>0</v>
      </c>
      <c r="BU7" s="45">
        <v>26.3</v>
      </c>
      <c r="BV7" s="45">
        <v>4.0999999999999996</v>
      </c>
      <c r="BW7" s="45">
        <v>0</v>
      </c>
      <c r="BX7" s="45">
        <v>0</v>
      </c>
      <c r="BY7" s="45">
        <v>27.1</v>
      </c>
      <c r="BZ7" s="45">
        <v>3.6</v>
      </c>
      <c r="CA7" s="45">
        <v>0</v>
      </c>
      <c r="CB7" s="45">
        <v>0</v>
      </c>
      <c r="CC7" s="45">
        <v>26.5</v>
      </c>
      <c r="CD7" s="45">
        <v>4.0999999999999996</v>
      </c>
      <c r="CE7" s="45">
        <v>0</v>
      </c>
      <c r="CF7" s="45">
        <v>0</v>
      </c>
      <c r="CG7" s="108"/>
      <c r="CH7" s="12">
        <f>IF(SUM(BR7,BV7)&gt;0,SUM(BR7,BV7),"")</f>
        <v>7.6999999999999993</v>
      </c>
      <c r="CI7" s="12">
        <f>IF(SUM(BZ7,CD7)&gt;0,SUM(BZ7,CD7),"")</f>
        <v>7.6999999999999993</v>
      </c>
      <c r="CJ7" s="12">
        <f>IF(SUM(BQ7:BR7,BT7)-BS7&gt;0,SUM(BQ7:BR7,BT7)-BS7,"")</f>
        <v>31.200000000000003</v>
      </c>
      <c r="CK7" s="12">
        <f>IF(SUM(BU7:BV7,BX7)-BW7&gt;0,SUM(BU7:BV7,BX7)-BW7,"")</f>
        <v>30.4</v>
      </c>
      <c r="CL7" s="12">
        <f>IF(SUM(CJ7:CK7)&gt;0,SUM(CJ7:CK7),"")</f>
        <v>61.6</v>
      </c>
      <c r="CM7" s="12">
        <f>IF(SUM(BY7:BZ7,CB7:CD7,CF7)-SUM(CA7,CE7)&gt;0,SUM(BY7:BZ7,CB7:CD7,CF7)-SUM(CA7,CE7),"")</f>
        <v>61.300000000000004</v>
      </c>
      <c r="CN7" s="12">
        <f>IF(SUM(CL7,CM7)&gt;0,SUM(CL7,CM7),"")</f>
        <v>122.9</v>
      </c>
      <c r="CO7" s="28" t="str">
        <f>IF(MAX(DJ7,EG7,FD7,GA7,GX7,HU7,IR7,JO7,KL7,LI7,MF7,NC7)-L7&gt;0.001,MAX(DJ7,EG7,FD7,GA7,GX7,HU7,IR7,JO7,KL7,LI7,MF7,NC7)-L7,"")</f>
        <v/>
      </c>
      <c r="CP7" s="28">
        <f>IF(MAX(DK7,EH7,FE7,GB7,GY7,HV7,IS7,JP7,KM7,LJ7,MG7,ND7)-N7&gt;0.001,MAX(DK7,EH7,FE7,GB7,GY7,HV7,IS7,JP7,KM7,LJ7,MG7,ND7)-N7,"")</f>
        <v>0.39999999999999503</v>
      </c>
      <c r="CQ7" s="28" t="str">
        <f>IF(MAX(DM7,EJ7,FG7,GD7,HA7,HX7,IU7,JR7,KO7,LL7,MI7,NF7)-P7&gt;0.001,MAX(DM7,EJ7,FG7,GD7,HA7,HX7,IU7,JR7,KO7,LL7,MI7,NF7)-P7,"")</f>
        <v/>
      </c>
      <c r="CR7" s="45">
        <v>26.4</v>
      </c>
      <c r="CS7" s="45">
        <v>3.6</v>
      </c>
      <c r="CT7" s="45">
        <v>0</v>
      </c>
      <c r="CU7" s="45">
        <v>0</v>
      </c>
      <c r="CV7" s="45">
        <v>25.8</v>
      </c>
      <c r="CW7" s="45">
        <v>4.0999999999999996</v>
      </c>
      <c r="CX7" s="45">
        <v>0.3</v>
      </c>
      <c r="CY7" s="45">
        <v>0</v>
      </c>
      <c r="CZ7" s="45"/>
      <c r="DA7" s="45"/>
      <c r="DB7" s="45"/>
      <c r="DC7" s="45"/>
      <c r="DD7" s="45"/>
      <c r="DE7" s="45"/>
      <c r="DF7" s="45"/>
      <c r="DG7" s="45"/>
      <c r="DH7" s="12">
        <f>IF(SUM(CS7,CW7)&gt;0,SUM(CS7,CW7),"")</f>
        <v>7.6999999999999993</v>
      </c>
      <c r="DI7" s="12" t="str">
        <f>IF(SUM(DA7,DE7)&gt;0,SUM(DA7,DE7),"")</f>
        <v/>
      </c>
      <c r="DJ7" s="12">
        <f>IF(SUM(CR7:CS7,CU7)-CT7&gt;0,SUM(CR7:CS7,CU7)-CT7,"")</f>
        <v>30</v>
      </c>
      <c r="DK7" s="12">
        <f>IF(SUM(CV7:CW7,CY7)-CX7&gt;0,SUM(CV7:CW7,CY7)-CX7,"")</f>
        <v>29.599999999999998</v>
      </c>
      <c r="DL7" s="12">
        <f>IF(SUM(DJ7:DK7)&gt;0,SUM(DJ7:DK7),"")</f>
        <v>59.599999999999994</v>
      </c>
      <c r="DM7" s="12" t="str">
        <f>IF(SUM(CZ7:DA7,DC7:DE7,DG7)-SUM(DB7,DF7)&gt;0,SUM(CZ7:DA7,DC7:DE7,DG7)-SUM(DB7,DF7),"")</f>
        <v/>
      </c>
      <c r="DN7" s="12">
        <f>IF(SUM(DL7,DM7)&gt;0,SUM(DL7,DM7),"")</f>
        <v>59.599999999999994</v>
      </c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15" t="str">
        <f>IF(SUM(DP7,DT7)&gt;0,SUM(DP7,DT7),"")</f>
        <v/>
      </c>
      <c r="EF7" s="15" t="str">
        <f>IF(SUM(DX7,EB7)&gt;0,SUM(DX7,EB7),"")</f>
        <v/>
      </c>
      <c r="EG7" s="15" t="str">
        <f>IF(SUM(DO7:DP7,DR7)-DQ7&gt;0,SUM(DO7:DP7,DR7)-DQ7,"")</f>
        <v/>
      </c>
      <c r="EH7" s="15" t="str">
        <f>IF(SUM(DS7:DT7,DV7)-DU7&gt;0,SUM(DS7:DT7,DV7)-DU7,"")</f>
        <v/>
      </c>
      <c r="EI7" s="15" t="str">
        <f>IF(SUM(EG7:EH7)&gt;0,SUM(EG7:EH7),"")</f>
        <v/>
      </c>
      <c r="EJ7" s="15" t="str">
        <f>IF(SUM(DW7:DX7,DZ7:EB7,ED7)-SUM(DY7,EC7)&gt;0,SUM(DW7:DX7,DZ7:EB7,ED7)-SUM(DY7,EC7),"")</f>
        <v/>
      </c>
      <c r="EK7" s="15" t="str">
        <f>IF(SUM(EI7,EJ7)&gt;0,SUM(EI7,EJ7),"")</f>
        <v/>
      </c>
      <c r="EL7" s="45"/>
      <c r="EM7" s="45"/>
      <c r="EN7" s="45"/>
      <c r="EO7" s="45"/>
      <c r="EP7" s="45"/>
      <c r="EQ7" s="45"/>
      <c r="ER7" s="45"/>
      <c r="ES7" s="45"/>
      <c r="ET7" s="45"/>
      <c r="EU7" s="45"/>
      <c r="EV7" s="45"/>
      <c r="EW7" s="45"/>
      <c r="EX7" s="45"/>
      <c r="EY7" s="45"/>
      <c r="EZ7" s="45"/>
      <c r="FA7" s="45"/>
      <c r="FB7" s="12" t="str">
        <f>IF(SUM(EM7,EQ7)&gt;0,SUM(EM7,EQ7),"")</f>
        <v/>
      </c>
      <c r="FC7" s="12" t="str">
        <f>IF(SUM(EU7,EY7)&gt;0,SUM(EU7,EY7),"")</f>
        <v/>
      </c>
      <c r="FD7" s="12" t="str">
        <f>IF(SUM(EL7:EM7,EO7)-EN7&gt;0,SUM(EL7:EM7,EO7)-EN7,"")</f>
        <v/>
      </c>
      <c r="FE7" s="12" t="str">
        <f>IF(SUM(EP7:EQ7,ES7)-ER7&gt;0,SUM(EP7:EQ7,ES7)-ER7,"")</f>
        <v/>
      </c>
      <c r="FF7" s="12" t="str">
        <f>IF(SUM(FD7:FE7)&gt;0,SUM(FD7:FE7),"")</f>
        <v/>
      </c>
      <c r="FG7" s="12" t="str">
        <f>IF(SUM(ET7:EU7,EW7:EY7,FA7)-SUM(EV7,EZ7)&gt;0,SUM(ET7:EU7,EW7:EY7,FA7)-SUM(EV7,EZ7),"")</f>
        <v/>
      </c>
      <c r="FH7" s="12" t="str">
        <f>IF(SUM(FF7,FG7)&gt;0,SUM(FF7,FG7),"")</f>
        <v/>
      </c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15" t="str">
        <f>IF(SUM(FJ7,FN7)&gt;0,SUM(FJ7,FN7),"")</f>
        <v/>
      </c>
      <c r="FZ7" s="15" t="str">
        <f>IF(SUM(FR7,FV7)&gt;0,SUM(FR7,FV7),"")</f>
        <v/>
      </c>
      <c r="GA7" s="15" t="str">
        <f>IF(SUM(FI7:FJ7,FL7)-FK7&gt;0,SUM(FI7:FJ7,FL7)-FK7,"")</f>
        <v/>
      </c>
      <c r="GB7" s="15" t="str">
        <f>IF(SUM(FM7:FN7,FP7)-FO7&gt;0,SUM(FM7:FN7,FP7)-FO7,"")</f>
        <v/>
      </c>
      <c r="GC7" s="15" t="str">
        <f>IF(SUM(GA7:GB7)&gt;0,SUM(GA7:GB7),"")</f>
        <v/>
      </c>
      <c r="GD7" s="15" t="str">
        <f>IF(SUM(FQ7:FR7,FT7:FV7,FX7)-SUM(FS7,FW7)&gt;0,SUM(FQ7:FR7,FT7:FV7,FX7)-SUM(FS7,FW7),"")</f>
        <v/>
      </c>
      <c r="GE7" s="15" t="str">
        <f>IF(SUM(GC7,GD7)&gt;0,SUM(GC7,GD7),"")</f>
        <v/>
      </c>
      <c r="GF7" s="45"/>
      <c r="GG7" s="45"/>
      <c r="GH7" s="45"/>
      <c r="GI7" s="45"/>
      <c r="GJ7" s="45"/>
      <c r="GK7" s="45"/>
      <c r="GL7" s="45"/>
      <c r="GM7" s="45"/>
      <c r="GN7" s="45"/>
      <c r="GO7" s="45"/>
      <c r="GP7" s="45"/>
      <c r="GQ7" s="45"/>
      <c r="GR7" s="45"/>
      <c r="GS7" s="45"/>
      <c r="GT7" s="45"/>
      <c r="GU7" s="45"/>
      <c r="GV7" s="12" t="str">
        <f>IF(SUM(GG7,GK7)&gt;0,SUM(GG7,GK7),"")</f>
        <v/>
      </c>
      <c r="GW7" s="12" t="str">
        <f>IF(SUM(GO7,GS7)&gt;0,SUM(GO7,GS7),"")</f>
        <v/>
      </c>
      <c r="GX7" s="12" t="str">
        <f>IF(SUM(GF7:GG7,GI7)-GH7&gt;0,SUM(GF7:GG7,GI7)-GH7,"")</f>
        <v/>
      </c>
      <c r="GY7" s="12" t="str">
        <f>IF(SUM(GJ7:GK7,GM7)-GL7&gt;0,SUM(GJ7:GK7,GM7)-GL7,"")</f>
        <v/>
      </c>
      <c r="GZ7" s="12" t="str">
        <f>IF(SUM(GX7:GY7)&gt;0,SUM(GX7:GY7),"")</f>
        <v/>
      </c>
      <c r="HA7" s="12" t="str">
        <f>IF(SUM(GN7:GO7,GQ7:GS7,GU7)-SUM(GP7,GT7)&gt;0,SUM(GN7:GO7,GQ7:GS7,GU7)-SUM(GP7,GT7),"")</f>
        <v/>
      </c>
      <c r="HB7" s="12" t="str">
        <f>IF(SUM(GZ7,HA7)&gt;0,SUM(GZ7,HA7),"")</f>
        <v/>
      </c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15" t="str">
        <f>IF(SUM(HD7,HH7)&gt;0,SUM(HD7,HH7),"")</f>
        <v/>
      </c>
      <c r="HT7" s="15" t="str">
        <f>IF(SUM(HL7,HP7)&gt;0,SUM(HL7,HP7),"")</f>
        <v/>
      </c>
      <c r="HU7" s="15" t="str">
        <f>IF(SUM(HC7:HD7,HF7)-HE7&gt;0,SUM(HC7:HD7,HF7)-HE7,"")</f>
        <v/>
      </c>
      <c r="HV7" s="15" t="str">
        <f>IF(SUM(HG7:HH7,HJ7)-HI7&gt;0,SUM(HG7:HH7,HJ7)-HI7,"")</f>
        <v/>
      </c>
      <c r="HW7" s="15" t="str">
        <f>IF(SUM(HU7:HV7)&gt;0,SUM(HU7:HV7),"")</f>
        <v/>
      </c>
      <c r="HX7" s="15" t="str">
        <f>IF(SUM(HK7:HL7,HN7:HP7,HR7)-SUM(HM7,HQ7)&gt;0,SUM(HK7:HL7,HN7:HP7,HR7)-SUM(HM7,HQ7),"")</f>
        <v/>
      </c>
      <c r="HY7" s="15" t="str">
        <f>IF(SUM(HW7,HX7)&gt;0,SUM(HW7,HX7),"")</f>
        <v/>
      </c>
      <c r="HZ7" s="45"/>
      <c r="IA7" s="45"/>
      <c r="IB7" s="45"/>
      <c r="IC7" s="45"/>
      <c r="ID7" s="45"/>
      <c r="IE7" s="45"/>
      <c r="IF7" s="45"/>
      <c r="IG7" s="45"/>
      <c r="IH7" s="45"/>
      <c r="II7" s="45"/>
      <c r="IJ7" s="45"/>
      <c r="IK7" s="45"/>
      <c r="IL7" s="45"/>
      <c r="IM7" s="45"/>
      <c r="IN7" s="45"/>
      <c r="IO7" s="45"/>
      <c r="IP7" s="12" t="str">
        <f>IF(SUM(IA7,IE7)&gt;0,SUM(IA7,IE7),"")</f>
        <v/>
      </c>
      <c r="IQ7" s="12" t="str">
        <f>IF(SUM(II7,IM7)&gt;0,SUM(II7,IM7),"")</f>
        <v/>
      </c>
      <c r="IR7" s="12" t="str">
        <f>IF(SUM(HZ7:IA7,IC7)-IB7&gt;0,SUM(HZ7:IA7,IC7)-IB7,"")</f>
        <v/>
      </c>
      <c r="IS7" s="12" t="str">
        <f>IF(SUM(ID7:IE7,IG7)-IF7&gt;0,SUM(ID7:IE7,IG7)-IF7,"")</f>
        <v/>
      </c>
      <c r="IT7" s="12" t="str">
        <f>IF(SUM(IR7:IS7)&gt;0,SUM(IR7:IS7),"")</f>
        <v/>
      </c>
      <c r="IU7" s="12" t="str">
        <f>IF(SUM(IH7:II7,IK7:IM7,IO7)-SUM(IJ7,IN7)&gt;0,SUM(IH7:II7,IK7:IM7,IO7)-SUM(IJ7,IN7),"")</f>
        <v/>
      </c>
      <c r="IV7" s="12" t="str">
        <f>IF(SUM(IT7,IU7)&gt;0,SUM(IT7,IU7),"")</f>
        <v/>
      </c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15" t="str">
        <f>IF(SUM(IX7,JB7)&gt;0,SUM(IX7,JB7),"")</f>
        <v/>
      </c>
      <c r="JN7" s="15" t="str">
        <f>IF(SUM(JF7,JJ7)&gt;0,SUM(JF7,JJ7),"")</f>
        <v/>
      </c>
      <c r="JO7" s="15" t="str">
        <f>IF(SUM(IW7:IX7,IZ7)-IY7&gt;0,SUM(IW7:IX7,IZ7)-IY7,"")</f>
        <v/>
      </c>
      <c r="JP7" s="15" t="str">
        <f>IF(SUM(JA7:JB7,JD7)-JC7&gt;0,SUM(JA7:JB7,JD7)-JC7,"")</f>
        <v/>
      </c>
      <c r="JQ7" s="15" t="str">
        <f>IF(SUM(JO7:JP7)&gt;0,SUM(JO7:JP7),"")</f>
        <v/>
      </c>
      <c r="JR7" s="15" t="str">
        <f>IF(SUM(JE7:JF7,JH7:JJ7,JL7)-SUM(JG7,JK7)&gt;0,SUM(JE7:JF7,JH7:JJ7,JL7)-SUM(JG7,JK7),"")</f>
        <v/>
      </c>
      <c r="JS7" s="15" t="str">
        <f>IF(SUM(JQ7,JR7)&gt;0,SUM(JQ7,JR7),"")</f>
        <v/>
      </c>
      <c r="JT7" s="45"/>
      <c r="JU7" s="45"/>
      <c r="JV7" s="45"/>
      <c r="JW7" s="45"/>
      <c r="JX7" s="45"/>
      <c r="JY7" s="45"/>
      <c r="JZ7" s="45"/>
      <c r="KA7" s="45"/>
      <c r="KB7" s="45"/>
      <c r="KC7" s="45"/>
      <c r="KD7" s="45"/>
      <c r="KE7" s="45"/>
      <c r="KF7" s="45"/>
      <c r="KG7" s="45"/>
      <c r="KH7" s="45"/>
      <c r="KI7" s="45"/>
      <c r="KJ7" s="12" t="str">
        <f>IF(SUM(JU7,JY7)&gt;0,SUM(JU7,JY7),"")</f>
        <v/>
      </c>
      <c r="KK7" s="12" t="str">
        <f>IF(SUM(KC7,KG7)&gt;0,SUM(KC7,KG7),"")</f>
        <v/>
      </c>
      <c r="KL7" s="12" t="str">
        <f>IF(SUM(JT7:JU7,JW7)-JV7&gt;0,SUM(JT7:JU7,JW7)-JV7,"")</f>
        <v/>
      </c>
      <c r="KM7" s="12" t="str">
        <f>IF(SUM(JX7:JY7,KA7)-JZ7&gt;0,SUM(JX7:JY7,KA7)-JZ7,"")</f>
        <v/>
      </c>
      <c r="KN7" s="12" t="str">
        <f>IF(SUM(KL7:KM7)&gt;0,SUM(KL7:KM7),"")</f>
        <v/>
      </c>
      <c r="KO7" s="12" t="str">
        <f>IF(SUM(KB7:KC7,KE7:KG7,KI7)-SUM(KD7,KH7)&gt;0,SUM(KB7:KC7,KE7:KG7,KI7)-SUM(KD7,KH7),"")</f>
        <v/>
      </c>
      <c r="KP7" s="12" t="str">
        <f>IF(SUM(KN7,KO7)&gt;0,SUM(KN7,KO7),"")</f>
        <v/>
      </c>
      <c r="KQ7" s="46"/>
      <c r="KR7" s="46"/>
      <c r="KS7" s="46"/>
      <c r="KT7" s="46"/>
      <c r="KU7" s="46"/>
      <c r="KV7" s="46"/>
      <c r="KW7" s="46"/>
      <c r="KX7" s="46"/>
      <c r="KY7" s="46"/>
      <c r="KZ7" s="46"/>
      <c r="LA7" s="46"/>
      <c r="LB7" s="46"/>
      <c r="LC7" s="46"/>
      <c r="LD7" s="46"/>
      <c r="LE7" s="46"/>
      <c r="LF7" s="46"/>
      <c r="LG7" s="15" t="str">
        <f>IF(SUM(KR7,KV7)&gt;0,SUM(KR7,KV7),"")</f>
        <v/>
      </c>
      <c r="LH7" s="15" t="str">
        <f>IF(SUM(KZ7,LD7)&gt;0,SUM(KZ7,LD7),"")</f>
        <v/>
      </c>
      <c r="LI7" s="15" t="str">
        <f>IF(SUM(KQ7:KR7,KT7)-KS7&gt;0,SUM(KQ7:KR7,KT7)-KS7,"")</f>
        <v/>
      </c>
      <c r="LJ7" s="15" t="str">
        <f>IF(SUM(KU7:KV7,KX7)-KW7&gt;0,SUM(KU7:KV7,KX7)-KW7,"")</f>
        <v/>
      </c>
      <c r="LK7" s="15" t="str">
        <f>IF(SUM(LI7:LJ7)&gt;0,SUM(LI7:LJ7),"")</f>
        <v/>
      </c>
      <c r="LL7" s="15" t="str">
        <f>IF(SUM(KY7:KZ7,LB7:LD7,LF7)-SUM(LA7,LE7)&gt;0,SUM(KY7:KZ7,LB7:LD7,LF7)-SUM(LA7,LE7),"")</f>
        <v/>
      </c>
      <c r="LM7" s="15" t="str">
        <f>IF(SUM(LK7,LL7)&gt;0,SUM(LK7,LL7),"")</f>
        <v/>
      </c>
      <c r="LN7" s="45"/>
      <c r="LO7" s="45"/>
      <c r="LP7" s="45"/>
      <c r="LQ7" s="45"/>
      <c r="LR7" s="45"/>
      <c r="LS7" s="45"/>
      <c r="LT7" s="45"/>
      <c r="LU7" s="45"/>
      <c r="LV7" s="45"/>
      <c r="LW7" s="45"/>
      <c r="LX7" s="45"/>
      <c r="LY7" s="45"/>
      <c r="LZ7" s="45"/>
      <c r="MA7" s="45"/>
      <c r="MB7" s="45"/>
      <c r="MC7" s="45"/>
      <c r="MD7" s="12" t="str">
        <f>IF(SUM(LO7,LS7)&gt;0,SUM(LO7,LS7),"")</f>
        <v/>
      </c>
      <c r="ME7" s="12" t="str">
        <f>IF(SUM(LW7,MA7)&gt;0,SUM(LW7,MA7),"")</f>
        <v/>
      </c>
      <c r="MF7" s="12" t="str">
        <f>IF(SUM(LN7:LO7,LQ7)-LP7&gt;0,SUM(LN7:LO7,LQ7)-LP7,"")</f>
        <v/>
      </c>
      <c r="MG7" s="12" t="str">
        <f>IF(SUM(LR7:LS7,LU7)-LT7&gt;0,SUM(LR7:LS7,LU7)-LT7,"")</f>
        <v/>
      </c>
      <c r="MH7" s="12" t="str">
        <f>IF(SUM(MF7:MG7)&gt;0,SUM(MF7:MG7),"")</f>
        <v/>
      </c>
      <c r="MI7" s="12" t="str">
        <f>IF(SUM(LV7:LW7,LY7:MA7,MC7)-SUM(LX7,MB7)&gt;0,SUM(LV7:LW7,LY7:MA7,MC7)-SUM(LX7,MB7),"")</f>
        <v/>
      </c>
      <c r="MJ7" s="12" t="str">
        <f>IF(SUM(MH7,MI7)&gt;0,SUM(MH7,MI7),"")</f>
        <v/>
      </c>
      <c r="MK7" s="46"/>
      <c r="ML7" s="46"/>
      <c r="MM7" s="46"/>
      <c r="MN7" s="46"/>
      <c r="MO7" s="46"/>
      <c r="MP7" s="46"/>
      <c r="MQ7" s="46"/>
      <c r="MR7" s="46"/>
      <c r="MS7" s="46"/>
      <c r="MT7" s="46"/>
      <c r="MU7" s="46"/>
      <c r="MV7" s="46"/>
      <c r="MW7" s="46"/>
      <c r="MX7" s="46"/>
      <c r="MY7" s="46"/>
      <c r="MZ7" s="46"/>
      <c r="NA7" s="15" t="str">
        <f>IF(SUM(ML7,MP7)&gt;0,SUM(ML7,MP7),"")</f>
        <v/>
      </c>
      <c r="NB7" s="15" t="str">
        <f>IF(SUM(MT7,MX7)&gt;0,SUM(MT7,MX7),"")</f>
        <v/>
      </c>
      <c r="NC7" s="15" t="str">
        <f>IF(SUM(MK7:ML7,MN7)-MM7&gt;0,SUM(MK7:ML7,MN7)-MM7,"")</f>
        <v/>
      </c>
      <c r="ND7" s="15" t="str">
        <f>IF(SUM(MO7:MP7,MR7)-MQ7&gt;0,SUM(MO7:MP7,MR7)-MQ7,"")</f>
        <v/>
      </c>
      <c r="NE7" s="15" t="str">
        <f>IF(SUM(NC7:ND7)&gt;0,SUM(NC7:ND7),"")</f>
        <v/>
      </c>
      <c r="NF7" s="15" t="str">
        <f>IF(SUM(MS7:MT7,MV7:MX7,MZ7)-SUM(MU7,MY7)&gt;0,SUM(MS7:MT7,MV7:MX7,MZ7)-SUM(MU7,MY7),"")</f>
        <v/>
      </c>
      <c r="NG7" s="15" t="str">
        <f>IF(SUM(NE7,NF7)&gt;0,SUM(NE7,NF7),"")</f>
        <v/>
      </c>
    </row>
    <row r="8" spans="1:371" x14ac:dyDescent="0.2">
      <c r="A8" s="6">
        <f>IF(AND(F8="P",H8="P"),SUMPRODUCT((F$4:F$9="P")*(H$4:H$9="P")*(E$4:E$9&gt;E8))+1,IF(H8="P",SUMPRODUCT((F$4:F$9="")*(H$4:H$9="P")*(E$4:E$9&gt;E8))+1+SUMPRODUCT((F$4:F$9="P")*(H$4:H$9="P")),""))</f>
        <v>5</v>
      </c>
      <c r="B8" s="9" t="s">
        <v>87</v>
      </c>
      <c r="C8" s="5" t="s">
        <v>3</v>
      </c>
      <c r="D8" s="31">
        <v>1999</v>
      </c>
      <c r="E8" s="16">
        <f>SUM(J8:R8)</f>
        <v>122.30000000000001</v>
      </c>
      <c r="F8" s="4" t="str">
        <f>IF(OR(AND($AL8&gt;=$AM$12,NOT($AL8=""),$AK8=""),AND($BJ8&gt;=$BK$12,NOT($BJ8=""),$BI8=""),AND($CH8&gt;=$CI$12,NOT($CH8=""),$CG8="")),"P","")</f>
        <v/>
      </c>
      <c r="G8" s="4" t="str">
        <f>IF(OR(AND($AL8&gt;=$AM$13,NOT($AL8=""),$AK8=""),AND($BJ8&gt;=$BK$13,NOT($BJ8=""),$BI8=""),AND($CH8&gt;=$CI$13,NOT($CH8=""),$CG8="")),"P","")</f>
        <v/>
      </c>
      <c r="H8" s="4" t="str">
        <f>IF(OR(AND($AP8&gt;=$AM$14,NOT($AP8=""),$AK8=""),AND($BN8&gt;=$BK$14,NOT($BN8=""),$BI8=""),AND($CL8&gt;=$CI$14,NOT($CL8=""),$CG8="")),"P","")</f>
        <v>P</v>
      </c>
      <c r="I8" t="str">
        <f>IF(AND(G8="P",OR(AND($AP8&gt;=$AM$17,NOT($AP8=""),$AK8=""),AND($BN8&gt;=$BK$17,NOT($BN8=""),$BI8=""),AND($CL8&gt;=$CI$17,NOT($CL8=""),$CG8=""))),"Merit",IF(AND(G8="P",OR(AND($AP8&gt;=$AM$16,NOT($AP8=""),$AK8=""),AND($BN8&gt;=$BK$16,NOT($BN8=""),$BI8=""),AND($CL8&gt;=$CI$16,NOT($CL8=""),$CG8=""))),"Funding",IF(AND(G8="P",OR(AND($AP8&gt;=$AM$15,NOT($AP8=""),$AK8=""),AND($BN8&gt;=$BK$15,NOT($BN8=""),$BI8=""),AND($CL8&gt;=$CI$15,NOT($CL8=""),$CG8=""))),"Worlds Team",IF(AND(F8="P",OR(AND($AP8&gt;=$AM$14,NOT($AP8=""),$AK8=""),AND($BN8&gt;=$BK$14,NOT($BN8=""),$BI8=""),AND($CL8&gt;=$CI$14,NOT($CL8=""),$CG8=""))),"National Team",""))))</f>
        <v/>
      </c>
      <c r="J8" s="15">
        <f>MAX(AP8,BN8,CL8)</f>
        <v>61.300000000000004</v>
      </c>
      <c r="K8" s="15" t="str">
        <f>IF(J8=CL8,$BQ$1,IF(J8=BN8,$AS$1,IF(J8=AP8,$U$1,"")))</f>
        <v>2017 Nationals</v>
      </c>
      <c r="L8" s="15">
        <f>IF($J8=$AP8,MAX(BL8,CJ8),IF($J8=$BN8,MAX(AN8,CJ8),MAX(AN8,BL8)))</f>
        <v>0</v>
      </c>
      <c r="M8" s="15" t="str">
        <f>IF(AND(L8=CJ8,$K8&lt;&gt;$BQ$1),$BQ$1,IF(AND(L8=BL8,$K8&lt;&gt;$AS$1),$AS$1,IF(AND(L8=AN8,$K8&lt;&gt;$U$1),$U$1,"")))</f>
        <v/>
      </c>
      <c r="N8" s="15">
        <f>IF($J8=$AP8,MAX(BM8,CK8),IF($J8=$BN8,MAX(AO8,CK8),MAX(AO8,BM8)))</f>
        <v>0</v>
      </c>
      <c r="O8" s="15" t="str">
        <f>IF(AND(N8=CK8,$K8&lt;&gt;$BQ$1),$BQ$1,IF(AND(N8=BM8,$K8&lt;&gt;$AS$1),$AS$1,IF(AND(N8=AO8,$K8&lt;&gt;$U$1),$U$1,"")))</f>
        <v/>
      </c>
      <c r="P8" s="15">
        <f>MAX(AQ8,BO8,CM8)</f>
        <v>61.000000000000007</v>
      </c>
      <c r="Q8" s="15" t="str">
        <f>IF(P8=CM8,$BQ$1,IF(P8=BO8,$AS$1,IF(P8=AQ8,$U$1,"")))</f>
        <v>2017 Nationals</v>
      </c>
      <c r="R8" s="15" t="str">
        <f>IF(MAX(CO8:CQ8)&gt;0,MAX(CO8:CQ8),"")</f>
        <v/>
      </c>
      <c r="S8" s="29" t="str">
        <f>IF(R8="","",IF(R8=CO8,"(Pass 1)",IF(R8=CP8,"(Pass 2)",IF(R8=CQ8,"(Final)"))))</f>
        <v/>
      </c>
      <c r="T8" s="15" t="str">
        <f>IF(R8="","",IF(R8=CO8,IF(R8+L8=NC8,$MK$1,IF(R8+L8=MF8,$LN$1,IF(R8+L8=LI8,$KQ$1,IF(R8+L8=KL8,$JT$1,IF(R8+L8=JO8,$IW$1,IF(R8+L8=IR8,$HZ$1,IF(R8+L8=HU8,$HC$1,IF(R8+L8=GX8,$GF$1,IF(R8+L8=GA8,$FI$1,IF(R8+L8=FD8,$EL$1,IF(R8+L8=EG8,$DO$1,IF(R8+L8=DJ8,$CR$1)))))))))))),IF(R8=CP8,IF(R8+N8=ND8,$MK$1,IF(R8+N8=MG8,$LN$1,IF(R8+N8=LJ8,$KQ$1,IF(R8+N8=KM8,$JT$1,IF(R8+N8=JP8,$IW$1,IF(R8+N8=IS8,$HZ$1,IF(R8+N8=HV8,$HC$1,IF(R8+N8=GY8,$GF$1,IF(R8+N8=GB8,$FI$1,IF(R8+N8=FE8,$EL$1,IF(R8+N8=EH8,$DO$1,IF(R8+N8=DK8,$CR$1)))))))))))),IF(R8=CQ8,IF(R8+P8=NF8,$MK$1,IF(R8+P8=MI8,$LN$1,IF(R8+P8=LL8,$KQ$1,IF(R8+P8=KO8,$JT$1,IF(R8+P8=JR8,$IW$1,IF(R8+P8=IU8,$HZ$1,IF(R8+P8=HX8,$HC$1,IF(R8+P8=HA8,$GF$1,IF(R8+P8=GD8,$FI$1,IF(R8+P8=FG8,$EL$1,IF(R8+P8=EJ8,$DO$1,IF(R8+P8=DM8,$CR$1))))))))))))))))</f>
        <v/>
      </c>
      <c r="U8" s="76">
        <v>27.3</v>
      </c>
      <c r="V8" s="76">
        <v>3.6</v>
      </c>
      <c r="W8" s="76">
        <v>0</v>
      </c>
      <c r="X8" s="76">
        <v>0</v>
      </c>
      <c r="Y8" s="76">
        <v>26.6</v>
      </c>
      <c r="Z8" s="76">
        <v>4.0999999999999996</v>
      </c>
      <c r="AA8" s="76">
        <v>0.3</v>
      </c>
      <c r="AB8" s="76">
        <v>0</v>
      </c>
      <c r="AC8" s="76">
        <v>27.5</v>
      </c>
      <c r="AD8" s="76">
        <v>3.6</v>
      </c>
      <c r="AE8" s="76">
        <v>0</v>
      </c>
      <c r="AF8" s="76">
        <v>0</v>
      </c>
      <c r="AG8" s="76">
        <v>25.8</v>
      </c>
      <c r="AH8" s="76">
        <v>4.0999999999999996</v>
      </c>
      <c r="AI8" s="76">
        <v>0</v>
      </c>
      <c r="AJ8" s="76">
        <v>0</v>
      </c>
      <c r="AK8" s="108"/>
      <c r="AL8" s="12">
        <f>IF(SUM(V8,Z8)&gt;0,SUM(V8,Z8),"")</f>
        <v>7.6999999999999993</v>
      </c>
      <c r="AM8" s="12">
        <f>IF(SUM(AD8,AH8)&gt;0,SUM(AD8,AH8),"")</f>
        <v>7.6999999999999993</v>
      </c>
      <c r="AN8" s="12">
        <f>IF(SUM(U8:V8,X8)-W8&gt;0,SUM(U8:V8,X8)-W8,"")</f>
        <v>30.900000000000002</v>
      </c>
      <c r="AO8" s="12">
        <f>IF(SUM(Y8:Z8,AB8)-AA8&gt;0,SUM(Y8:Z8,AB8)-AA8,"")</f>
        <v>30.400000000000002</v>
      </c>
      <c r="AP8" s="12">
        <f>IF(SUM(AN8:AO8)&gt;0,SUM(AN8:AO8),"")</f>
        <v>61.300000000000004</v>
      </c>
      <c r="AQ8" s="12">
        <f>IF(SUM(AC8:AD8,AF8:AH8,AJ8)-SUM(AE8,AI8)&gt;0,SUM(AC8:AD8,AF8:AH8,AJ8)-SUM(AE8,AI8),"")</f>
        <v>61.000000000000007</v>
      </c>
      <c r="AR8" s="12">
        <f>IF(SUM(AP8,AQ8)&gt;0,SUM(AP8,AQ8),"")</f>
        <v>122.30000000000001</v>
      </c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109"/>
      <c r="BJ8" s="15" t="str">
        <f>IF(SUM(AT8,AX8)&gt;0,SUM(AT8,AX8),"")</f>
        <v/>
      </c>
      <c r="BK8" s="15" t="str">
        <f>IF(SUM(BB8,BF8)&gt;0,SUM(BB8,BF8),"")</f>
        <v/>
      </c>
      <c r="BL8" s="15" t="str">
        <f>IF(SUM(AS8:AT8,AV8)-AU8&gt;0,SUM(AS8:AT8,AV8)-AU8,"")</f>
        <v/>
      </c>
      <c r="BM8" s="15" t="str">
        <f>IF(SUM(AW8:AX8,AZ8)-AY8&gt;0,SUM(AW8:AX8,AZ8)-AY8,"")</f>
        <v/>
      </c>
      <c r="BN8" s="15" t="str">
        <f>IF(SUM(BL8:BM8)&gt;0,SUM(BL8:BM8),"")</f>
        <v/>
      </c>
      <c r="BO8" s="15" t="str">
        <f>IF(SUM(BA8:BB8,BD8:BF8,BH8)-SUM(BC8,BG8)&gt;0,SUM(BA8:BB8,BD8:BF8,BH8)-SUM(BC8,BG8),"")</f>
        <v/>
      </c>
      <c r="BP8" s="15" t="str">
        <f>IF(SUM(BN8,BO8)&gt;0,SUM(BN8,BO8),"")</f>
        <v/>
      </c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108"/>
      <c r="CH8" s="12" t="str">
        <f>IF(SUM(BR8,BV8)&gt;0,SUM(BR8,BV8),"")</f>
        <v/>
      </c>
      <c r="CI8" s="12" t="str">
        <f>IF(SUM(BZ8,CD8)&gt;0,SUM(BZ8,CD8),"")</f>
        <v/>
      </c>
      <c r="CJ8" s="12" t="str">
        <f>IF(SUM(BQ8:BR8,BT8)-BS8&gt;0,SUM(BQ8:BR8,BT8)-BS8,"")</f>
        <v/>
      </c>
      <c r="CK8" s="12" t="str">
        <f>IF(SUM(BU8:BV8,BX8)-BW8&gt;0,SUM(BU8:BV8,BX8)-BW8,"")</f>
        <v/>
      </c>
      <c r="CL8" s="12" t="str">
        <f>IF(SUM(CJ8:CK8)&gt;0,SUM(CJ8:CK8),"")</f>
        <v/>
      </c>
      <c r="CM8" s="12" t="str">
        <f>IF(SUM(BY8:BZ8,CB8:CD8,CF8)-SUM(CA8,CE8)&gt;0,SUM(BY8:BZ8,CB8:CD8,CF8)-SUM(CA8,CE8),"")</f>
        <v/>
      </c>
      <c r="CN8" s="12" t="str">
        <f>IF(SUM(CL8,CM8)&gt;0,SUM(CL8,CM8),"")</f>
        <v/>
      </c>
      <c r="CO8" s="28" t="str">
        <f>IF(MAX(DJ8,EG8,FD8,GA8,GX8,HU8,IR8,JO8,KL8,LI8,MF8,NC8)-L8&gt;0.001,MAX(DJ8,EG8,FD8,GA8,GX8,HU8,IR8,JO8,KL8,LI8,MF8,NC8)-L8,"")</f>
        <v/>
      </c>
      <c r="CP8" s="28" t="str">
        <f>IF(MAX(DK8,EH8,FE8,GB8,GY8,HV8,IS8,JP8,KM8,LJ8,MG8,ND8)-N8&gt;0.001,MAX(DK8,EH8,FE8,GB8,GY8,HV8,IS8,JP8,KM8,LJ8,MG8,ND8)-N8,"")</f>
        <v/>
      </c>
      <c r="CQ8" s="28" t="str">
        <f>IF(MAX(DM8,EJ8,FG8,GD8,HA8,HX8,IU8,JR8,KO8,LL8,MI8,NF8)-P8&gt;0.001,MAX(DM8,EJ8,FG8,GD8,HA8,HX8,IU8,JR8,KO8,LL8,MI8,NF8)-P8,"")</f>
        <v/>
      </c>
      <c r="CR8" s="45"/>
      <c r="CS8" s="45"/>
      <c r="CT8" s="45"/>
      <c r="CU8" s="45"/>
      <c r="CV8" s="45"/>
      <c r="CW8" s="45"/>
      <c r="CX8" s="45"/>
      <c r="CY8" s="45"/>
      <c r="CZ8" s="45"/>
      <c r="DA8" s="45"/>
      <c r="DB8" s="45"/>
      <c r="DC8" s="45"/>
      <c r="DD8" s="45"/>
      <c r="DE8" s="45"/>
      <c r="DF8" s="45"/>
      <c r="DG8" s="45"/>
      <c r="DH8" s="12" t="str">
        <f>IF(SUM(CS8,CW8)&gt;0,SUM(CS8,CW8),"")</f>
        <v/>
      </c>
      <c r="DI8" s="12" t="str">
        <f>IF(SUM(DA8,DE8)&gt;0,SUM(DA8,DE8),"")</f>
        <v/>
      </c>
      <c r="DJ8" s="12" t="str">
        <f>IF(SUM(CR8:CS8,CU8)-CT8&gt;0,SUM(CR8:CS8,CU8)-CT8,"")</f>
        <v/>
      </c>
      <c r="DK8" s="12" t="str">
        <f>IF(SUM(CV8:CW8,CY8)-CX8&gt;0,SUM(CV8:CW8,CY8)-CX8,"")</f>
        <v/>
      </c>
      <c r="DL8" s="12" t="str">
        <f>IF(SUM(DJ8:DK8)&gt;0,SUM(DJ8:DK8),"")</f>
        <v/>
      </c>
      <c r="DM8" s="12" t="str">
        <f>IF(SUM(CZ8:DA8,DC8:DE8,DG8)-SUM(DB8,DF8)&gt;0,SUM(CZ8:DA8,DC8:DE8,DG8)-SUM(DB8,DF8),"")</f>
        <v/>
      </c>
      <c r="DN8" s="12" t="str">
        <f>IF(SUM(DL8,DM8)&gt;0,SUM(DL8,DM8),"")</f>
        <v/>
      </c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15" t="str">
        <f>IF(SUM(DP8,DT8)&gt;0,SUM(DP8,DT8),"")</f>
        <v/>
      </c>
      <c r="EF8" s="15" t="str">
        <f>IF(SUM(DX8,EB8)&gt;0,SUM(DX8,EB8),"")</f>
        <v/>
      </c>
      <c r="EG8" s="15" t="str">
        <f>IF(SUM(DO8:DP8,DR8)-DQ8&gt;0,SUM(DO8:DP8,DR8)-DQ8,"")</f>
        <v/>
      </c>
      <c r="EH8" s="15" t="str">
        <f>IF(SUM(DS8:DT8,DV8)-DU8&gt;0,SUM(DS8:DT8,DV8)-DU8,"")</f>
        <v/>
      </c>
      <c r="EI8" s="15" t="str">
        <f>IF(SUM(EG8:EH8)&gt;0,SUM(EG8:EH8),"")</f>
        <v/>
      </c>
      <c r="EJ8" s="15" t="str">
        <f>IF(SUM(DW8:DX8,DZ8:EB8,ED8)-SUM(DY8,EC8)&gt;0,SUM(DW8:DX8,DZ8:EB8,ED8)-SUM(DY8,EC8),"")</f>
        <v/>
      </c>
      <c r="EK8" s="15" t="str">
        <f>IF(SUM(EI8,EJ8)&gt;0,SUM(EI8,EJ8),"")</f>
        <v/>
      </c>
      <c r="EL8" s="45"/>
      <c r="EM8" s="45"/>
      <c r="EN8" s="45"/>
      <c r="EO8" s="45"/>
      <c r="EP8" s="45"/>
      <c r="EQ8" s="45"/>
      <c r="ER8" s="45"/>
      <c r="ES8" s="45"/>
      <c r="ET8" s="45"/>
      <c r="EU8" s="45"/>
      <c r="EV8" s="45"/>
      <c r="EW8" s="45"/>
      <c r="EX8" s="45"/>
      <c r="EY8" s="45"/>
      <c r="EZ8" s="45"/>
      <c r="FA8" s="45"/>
      <c r="FB8" s="12" t="str">
        <f>IF(SUM(EM8,EQ8)&gt;0,SUM(EM8,EQ8),"")</f>
        <v/>
      </c>
      <c r="FC8" s="12" t="str">
        <f>IF(SUM(EU8,EY8)&gt;0,SUM(EU8,EY8),"")</f>
        <v/>
      </c>
      <c r="FD8" s="12" t="str">
        <f>IF(SUM(EL8:EM8,EO8)-EN8&gt;0,SUM(EL8:EM8,EO8)-EN8,"")</f>
        <v/>
      </c>
      <c r="FE8" s="12" t="str">
        <f>IF(SUM(EP8:EQ8,ES8)-ER8&gt;0,SUM(EP8:EQ8,ES8)-ER8,"")</f>
        <v/>
      </c>
      <c r="FF8" s="12" t="str">
        <f>IF(SUM(FD8:FE8)&gt;0,SUM(FD8:FE8),"")</f>
        <v/>
      </c>
      <c r="FG8" s="12" t="str">
        <f>IF(SUM(ET8:EU8,EW8:EY8,FA8)-SUM(EV8,EZ8)&gt;0,SUM(ET8:EU8,EW8:EY8,FA8)-SUM(EV8,EZ8),"")</f>
        <v/>
      </c>
      <c r="FH8" s="12" t="str">
        <f>IF(SUM(FF8,FG8)&gt;0,SUM(FF8,FG8),"")</f>
        <v/>
      </c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15" t="str">
        <f>IF(SUM(FJ8,FN8)&gt;0,SUM(FJ8,FN8),"")</f>
        <v/>
      </c>
      <c r="FZ8" s="15" t="str">
        <f>IF(SUM(FR8,FV8)&gt;0,SUM(FR8,FV8),"")</f>
        <v/>
      </c>
      <c r="GA8" s="15" t="str">
        <f>IF(SUM(FI8:FJ8,FL8)-FK8&gt;0,SUM(FI8:FJ8,FL8)-FK8,"")</f>
        <v/>
      </c>
      <c r="GB8" s="15" t="str">
        <f>IF(SUM(FM8:FN8,FP8)-FO8&gt;0,SUM(FM8:FN8,FP8)-FO8,"")</f>
        <v/>
      </c>
      <c r="GC8" s="15" t="str">
        <f>IF(SUM(GA8:GB8)&gt;0,SUM(GA8:GB8),"")</f>
        <v/>
      </c>
      <c r="GD8" s="15" t="str">
        <f>IF(SUM(FQ8:FR8,FT8:FV8,FX8)-SUM(FS8,FW8)&gt;0,SUM(FQ8:FR8,FT8:FV8,FX8)-SUM(FS8,FW8),"")</f>
        <v/>
      </c>
      <c r="GE8" s="15" t="str">
        <f>IF(SUM(GC8,GD8)&gt;0,SUM(GC8,GD8),"")</f>
        <v/>
      </c>
      <c r="GF8" s="45"/>
      <c r="GG8" s="45"/>
      <c r="GH8" s="45"/>
      <c r="GI8" s="45"/>
      <c r="GJ8" s="45"/>
      <c r="GK8" s="45"/>
      <c r="GL8" s="45"/>
      <c r="GM8" s="45"/>
      <c r="GN8" s="45"/>
      <c r="GO8" s="45"/>
      <c r="GP8" s="45"/>
      <c r="GQ8" s="45"/>
      <c r="GR8" s="45"/>
      <c r="GS8" s="45"/>
      <c r="GT8" s="45"/>
      <c r="GU8" s="45"/>
      <c r="GV8" s="12" t="str">
        <f>IF(SUM(GG8,GK8)&gt;0,SUM(GG8,GK8),"")</f>
        <v/>
      </c>
      <c r="GW8" s="12" t="str">
        <f>IF(SUM(GO8,GS8)&gt;0,SUM(GO8,GS8),"")</f>
        <v/>
      </c>
      <c r="GX8" s="12" t="str">
        <f>IF(SUM(GF8:GG8,GI8)-GH8&gt;0,SUM(GF8:GG8,GI8)-GH8,"")</f>
        <v/>
      </c>
      <c r="GY8" s="12" t="str">
        <f>IF(SUM(GJ8:GK8,GM8)-GL8&gt;0,SUM(GJ8:GK8,GM8)-GL8,"")</f>
        <v/>
      </c>
      <c r="GZ8" s="12" t="str">
        <f>IF(SUM(GX8:GY8)&gt;0,SUM(GX8:GY8),"")</f>
        <v/>
      </c>
      <c r="HA8" s="12" t="str">
        <f>IF(SUM(GN8:GO8,GQ8:GS8,GU8)-SUM(GP8,GT8)&gt;0,SUM(GN8:GO8,GQ8:GS8,GU8)-SUM(GP8,GT8),"")</f>
        <v/>
      </c>
      <c r="HB8" s="12" t="str">
        <f>IF(SUM(GZ8,HA8)&gt;0,SUM(GZ8,HA8),"")</f>
        <v/>
      </c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15" t="str">
        <f>IF(SUM(HD8,HH8)&gt;0,SUM(HD8,HH8),"")</f>
        <v/>
      </c>
      <c r="HT8" s="15" t="str">
        <f>IF(SUM(HL8,HP8)&gt;0,SUM(HL8,HP8),"")</f>
        <v/>
      </c>
      <c r="HU8" s="15" t="str">
        <f>IF(SUM(HC8:HD8,HF8)-HE8&gt;0,SUM(HC8:HD8,HF8)-HE8,"")</f>
        <v/>
      </c>
      <c r="HV8" s="15" t="str">
        <f>IF(SUM(HG8:HH8,HJ8)-HI8&gt;0,SUM(HG8:HH8,HJ8)-HI8,"")</f>
        <v/>
      </c>
      <c r="HW8" s="15" t="str">
        <f>IF(SUM(HU8:HV8)&gt;0,SUM(HU8:HV8),"")</f>
        <v/>
      </c>
      <c r="HX8" s="15" t="str">
        <f>IF(SUM(HK8:HL8,HN8:HP8,HR8)-SUM(HM8,HQ8)&gt;0,SUM(HK8:HL8,HN8:HP8,HR8)-SUM(HM8,HQ8),"")</f>
        <v/>
      </c>
      <c r="HY8" s="15" t="str">
        <f>IF(SUM(HW8,HX8)&gt;0,SUM(HW8,HX8),"")</f>
        <v/>
      </c>
      <c r="HZ8" s="45"/>
      <c r="IA8" s="45"/>
      <c r="IB8" s="45"/>
      <c r="IC8" s="45"/>
      <c r="ID8" s="45"/>
      <c r="IE8" s="45"/>
      <c r="IF8" s="45"/>
      <c r="IG8" s="45"/>
      <c r="IH8" s="45"/>
      <c r="II8" s="45"/>
      <c r="IJ8" s="45"/>
      <c r="IK8" s="45"/>
      <c r="IL8" s="45"/>
      <c r="IM8" s="45"/>
      <c r="IN8" s="45"/>
      <c r="IO8" s="45"/>
      <c r="IP8" s="12" t="str">
        <f>IF(SUM(IA8,IE8)&gt;0,SUM(IA8,IE8),"")</f>
        <v/>
      </c>
      <c r="IQ8" s="12" t="str">
        <f>IF(SUM(II8,IM8)&gt;0,SUM(II8,IM8),"")</f>
        <v/>
      </c>
      <c r="IR8" s="12" t="str">
        <f>IF(SUM(HZ8:IA8,IC8)-IB8&gt;0,SUM(HZ8:IA8,IC8)-IB8,"")</f>
        <v/>
      </c>
      <c r="IS8" s="12" t="str">
        <f>IF(SUM(ID8:IE8,IG8)-IF8&gt;0,SUM(ID8:IE8,IG8)-IF8,"")</f>
        <v/>
      </c>
      <c r="IT8" s="12" t="str">
        <f>IF(SUM(IR8:IS8)&gt;0,SUM(IR8:IS8),"")</f>
        <v/>
      </c>
      <c r="IU8" s="12" t="str">
        <f>IF(SUM(IH8:II8,IK8:IM8,IO8)-SUM(IJ8,IN8)&gt;0,SUM(IH8:II8,IK8:IM8,IO8)-SUM(IJ8,IN8),"")</f>
        <v/>
      </c>
      <c r="IV8" s="12" t="str">
        <f>IF(SUM(IT8,IU8)&gt;0,SUM(IT8,IU8),"")</f>
        <v/>
      </c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15" t="str">
        <f>IF(SUM(IX8,JB8)&gt;0,SUM(IX8,JB8),"")</f>
        <v/>
      </c>
      <c r="JN8" s="15" t="str">
        <f>IF(SUM(JF8,JJ8)&gt;0,SUM(JF8,JJ8),"")</f>
        <v/>
      </c>
      <c r="JO8" s="15" t="str">
        <f>IF(SUM(IW8:IX8,IZ8)-IY8&gt;0,SUM(IW8:IX8,IZ8)-IY8,"")</f>
        <v/>
      </c>
      <c r="JP8" s="15" t="str">
        <f>IF(SUM(JA8:JB8,JD8)-JC8&gt;0,SUM(JA8:JB8,JD8)-JC8,"")</f>
        <v/>
      </c>
      <c r="JQ8" s="15" t="str">
        <f>IF(SUM(JO8:JP8)&gt;0,SUM(JO8:JP8),"")</f>
        <v/>
      </c>
      <c r="JR8" s="15" t="str">
        <f>IF(SUM(JE8:JF8,JH8:JJ8,JL8)-SUM(JG8,JK8)&gt;0,SUM(JE8:JF8,JH8:JJ8,JL8)-SUM(JG8,JK8),"")</f>
        <v/>
      </c>
      <c r="JS8" s="15" t="str">
        <f>IF(SUM(JQ8,JR8)&gt;0,SUM(JQ8,JR8),"")</f>
        <v/>
      </c>
      <c r="JT8" s="45"/>
      <c r="JU8" s="45"/>
      <c r="JV8" s="45"/>
      <c r="JW8" s="45"/>
      <c r="JX8" s="45"/>
      <c r="JY8" s="45"/>
      <c r="JZ8" s="45"/>
      <c r="KA8" s="45"/>
      <c r="KB8" s="45"/>
      <c r="KC8" s="45"/>
      <c r="KD8" s="45"/>
      <c r="KE8" s="45"/>
      <c r="KF8" s="45"/>
      <c r="KG8" s="45"/>
      <c r="KH8" s="45"/>
      <c r="KI8" s="45"/>
      <c r="KJ8" s="12" t="str">
        <f>IF(SUM(JU8,JY8)&gt;0,SUM(JU8,JY8),"")</f>
        <v/>
      </c>
      <c r="KK8" s="12" t="str">
        <f>IF(SUM(KC8,KG8)&gt;0,SUM(KC8,KG8),"")</f>
        <v/>
      </c>
      <c r="KL8" s="12" t="str">
        <f>IF(SUM(JT8:JU8,JW8)-JV8&gt;0,SUM(JT8:JU8,JW8)-JV8,"")</f>
        <v/>
      </c>
      <c r="KM8" s="12" t="str">
        <f>IF(SUM(JX8:JY8,KA8)-JZ8&gt;0,SUM(JX8:JY8,KA8)-JZ8,"")</f>
        <v/>
      </c>
      <c r="KN8" s="12" t="str">
        <f>IF(SUM(KL8:KM8)&gt;0,SUM(KL8:KM8),"")</f>
        <v/>
      </c>
      <c r="KO8" s="12" t="str">
        <f>IF(SUM(KB8:KC8,KE8:KG8,KI8)-SUM(KD8,KH8)&gt;0,SUM(KB8:KC8,KE8:KG8,KI8)-SUM(KD8,KH8),"")</f>
        <v/>
      </c>
      <c r="KP8" s="12" t="str">
        <f>IF(SUM(KN8,KO8)&gt;0,SUM(KN8,KO8),"")</f>
        <v/>
      </c>
      <c r="KQ8" s="46"/>
      <c r="KR8" s="46"/>
      <c r="KS8" s="46"/>
      <c r="KT8" s="46"/>
      <c r="KU8" s="46"/>
      <c r="KV8" s="46"/>
      <c r="KW8" s="46"/>
      <c r="KX8" s="46"/>
      <c r="KY8" s="46"/>
      <c r="KZ8" s="46"/>
      <c r="LA8" s="46"/>
      <c r="LB8" s="46"/>
      <c r="LC8" s="46"/>
      <c r="LD8" s="46"/>
      <c r="LE8" s="46"/>
      <c r="LF8" s="46"/>
      <c r="LG8" s="15" t="str">
        <f>IF(SUM(KR8,KV8)&gt;0,SUM(KR8,KV8),"")</f>
        <v/>
      </c>
      <c r="LH8" s="15" t="str">
        <f>IF(SUM(KZ8,LD8)&gt;0,SUM(KZ8,LD8),"")</f>
        <v/>
      </c>
      <c r="LI8" s="15" t="str">
        <f>IF(SUM(KQ8:KR8,KT8)-KS8&gt;0,SUM(KQ8:KR8,KT8)-KS8,"")</f>
        <v/>
      </c>
      <c r="LJ8" s="15" t="str">
        <f>IF(SUM(KU8:KV8,KX8)-KW8&gt;0,SUM(KU8:KV8,KX8)-KW8,"")</f>
        <v/>
      </c>
      <c r="LK8" s="15" t="str">
        <f>IF(SUM(LI8:LJ8)&gt;0,SUM(LI8:LJ8),"")</f>
        <v/>
      </c>
      <c r="LL8" s="15" t="str">
        <f>IF(SUM(KY8:KZ8,LB8:LD8,LF8)-SUM(LA8,LE8)&gt;0,SUM(KY8:KZ8,LB8:LD8,LF8)-SUM(LA8,LE8),"")</f>
        <v/>
      </c>
      <c r="LM8" s="15" t="str">
        <f>IF(SUM(LK8,LL8)&gt;0,SUM(LK8,LL8),"")</f>
        <v/>
      </c>
      <c r="LN8" s="45"/>
      <c r="LO8" s="45"/>
      <c r="LP8" s="45"/>
      <c r="LQ8" s="45"/>
      <c r="LR8" s="45"/>
      <c r="LS8" s="45"/>
      <c r="LT8" s="45"/>
      <c r="LU8" s="45"/>
      <c r="LV8" s="45"/>
      <c r="LW8" s="45"/>
      <c r="LX8" s="45"/>
      <c r="LY8" s="45"/>
      <c r="LZ8" s="45"/>
      <c r="MA8" s="45"/>
      <c r="MB8" s="45"/>
      <c r="MC8" s="45"/>
      <c r="MD8" s="12" t="str">
        <f>IF(SUM(LO8,LS8)&gt;0,SUM(LO8,LS8),"")</f>
        <v/>
      </c>
      <c r="ME8" s="12" t="str">
        <f>IF(SUM(LW8,MA8)&gt;0,SUM(LW8,MA8),"")</f>
        <v/>
      </c>
      <c r="MF8" s="12" t="str">
        <f>IF(SUM(LN8:LO8,LQ8)-LP8&gt;0,SUM(LN8:LO8,LQ8)-LP8,"")</f>
        <v/>
      </c>
      <c r="MG8" s="12" t="str">
        <f>IF(SUM(LR8:LS8,LU8)-LT8&gt;0,SUM(LR8:LS8,LU8)-LT8,"")</f>
        <v/>
      </c>
      <c r="MH8" s="12" t="str">
        <f>IF(SUM(MF8:MG8)&gt;0,SUM(MF8:MG8),"")</f>
        <v/>
      </c>
      <c r="MI8" s="12" t="str">
        <f>IF(SUM(LV8:LW8,LY8:MA8,MC8)-SUM(LX8,MB8)&gt;0,SUM(LV8:LW8,LY8:MA8,MC8)-SUM(LX8,MB8),"")</f>
        <v/>
      </c>
      <c r="MJ8" s="12" t="str">
        <f>IF(SUM(MH8,MI8)&gt;0,SUM(MH8,MI8),"")</f>
        <v/>
      </c>
      <c r="MK8" s="46"/>
      <c r="ML8" s="46"/>
      <c r="MM8" s="46"/>
      <c r="MN8" s="46"/>
      <c r="MO8" s="46"/>
      <c r="MP8" s="46"/>
      <c r="MQ8" s="46"/>
      <c r="MR8" s="46"/>
      <c r="MS8" s="46"/>
      <c r="MT8" s="46"/>
      <c r="MU8" s="46"/>
      <c r="MV8" s="46"/>
      <c r="MW8" s="46"/>
      <c r="MX8" s="46"/>
      <c r="MY8" s="46"/>
      <c r="MZ8" s="46"/>
      <c r="NA8" s="15" t="str">
        <f>IF(SUM(ML8,MP8)&gt;0,SUM(ML8,MP8),"")</f>
        <v/>
      </c>
      <c r="NB8" s="15" t="str">
        <f>IF(SUM(MT8,MX8)&gt;0,SUM(MT8,MX8),"")</f>
        <v/>
      </c>
      <c r="NC8" s="15" t="str">
        <f>IF(SUM(MK8:ML8,MN8)-MM8&gt;0,SUM(MK8:ML8,MN8)-MM8,"")</f>
        <v/>
      </c>
      <c r="ND8" s="15" t="str">
        <f>IF(SUM(MO8:MP8,MR8)-MQ8&gt;0,SUM(MO8:MP8,MR8)-MQ8,"")</f>
        <v/>
      </c>
      <c r="NE8" s="15" t="str">
        <f>IF(SUM(NC8:ND8)&gt;0,SUM(NC8:ND8),"")</f>
        <v/>
      </c>
      <c r="NF8" s="15" t="str">
        <f>IF(SUM(MS8:MT8,MV8:MX8,MZ8)-SUM(MU8,MY8)&gt;0,SUM(MS8:MT8,MV8:MX8,MZ8)-SUM(MU8,MY8),"")</f>
        <v/>
      </c>
      <c r="NG8" s="15" t="str">
        <f>IF(SUM(NE8,NF8)&gt;0,SUM(NE8,NF8),"")</f>
        <v/>
      </c>
    </row>
    <row r="9" spans="1:371" x14ac:dyDescent="0.2">
      <c r="A9" s="6" t="str">
        <f>IF(AND(F9="P",H9="P"),SUMPRODUCT((F$4:F$9="P")*(H$4:H$9="P")*(E$4:E$9&gt;E9))+1,IF(H9="P",SUMPRODUCT((F$4:F$9="")*(H$4:H$9="P")*(E$4:E$9&gt;E9))+1+SUMPRODUCT((F$4:F$9="P")*(H$4:H$9="P")),""))</f>
        <v/>
      </c>
      <c r="B9" s="7" t="s">
        <v>89</v>
      </c>
      <c r="C9" s="8" t="s">
        <v>3</v>
      </c>
      <c r="D9" s="6">
        <v>1997</v>
      </c>
      <c r="E9" s="16">
        <f>SUM(J9:R9)</f>
        <v>113.79999999999998</v>
      </c>
      <c r="F9" s="4" t="str">
        <f>IF(OR(AND($AL9&gt;=$AM$12,NOT($AL9=""),$AK9=""),AND($BJ9&gt;=$BK$12,NOT($BJ9=""),$BI9=""),AND($CH9&gt;=$CI$12,NOT($CH9=""),$CG9="")),"P","")</f>
        <v/>
      </c>
      <c r="G9" s="4" t="str">
        <f>IF(OR(AND($AL9&gt;=$AM$13,NOT($AL9=""),$AK9=""),AND($BJ9&gt;=$BK$13,NOT($BJ9=""),$BI9=""),AND($CH9&gt;=$CI$13,NOT($CH9=""),$CG9="")),"P","")</f>
        <v/>
      </c>
      <c r="H9" s="4" t="str">
        <f>IF(OR(AND($AP9&gt;=$AM$14,NOT($AP9=""),$AK9=""),AND($BN9&gt;=$BK$14,NOT($BN9=""),$BI9=""),AND($CL9&gt;=$CI$14,NOT($CL9=""),$CG9="")),"P","")</f>
        <v/>
      </c>
      <c r="I9" t="str">
        <f>IF(AND(G9="P",OR(AND($AP9&gt;=$AM$17,NOT($AP9=""),$AK9=""),AND($BN9&gt;=$BK$17,NOT($BN9=""),$BI9=""),AND($CL9&gt;=$CI$17,NOT($CL9=""),$CG9=""))),"Merit",IF(AND(G9="P",OR(AND($AP9&gt;=$AM$16,NOT($AP9=""),$AK9=""),AND($BN9&gt;=$BK$16,NOT($BN9=""),$BI9=""),AND($CL9&gt;=$CI$16,NOT($CL9=""),$CG9=""))),"Funding",IF(AND(G9="P",OR(AND($AP9&gt;=$AM$15,NOT($AP9=""),$AK9=""),AND($BN9&gt;=$BK$15,NOT($BN9=""),$BI9=""),AND($CL9&gt;=$CI$15,NOT($CL9=""),$CG9=""))),"Worlds Team",IF(AND(F9="P",OR(AND($AP9&gt;=$AM$14,NOT($AP9=""),$AK9=""),AND($BN9&gt;=$BK$14,NOT($BN9=""),$BI9=""),AND($CL9&gt;=$CI$14,NOT($CL9=""),$CG9=""))),"National Team",""))))</f>
        <v/>
      </c>
      <c r="J9" s="15">
        <f>MAX(AP9,BN9,CL9)</f>
        <v>54.8</v>
      </c>
      <c r="K9" s="15" t="str">
        <f>IF(J9=CL9,$BQ$1,IF(J9=BN9,$AS$1,IF(J9=AP9,$U$1,"")))</f>
        <v>2017 Nationals</v>
      </c>
      <c r="L9" s="15">
        <f>IF($J9=$AP9,MAX(BL9,CJ9),IF($J9=$BN9,MAX(AN9,CJ9),MAX(AN9,BL9)))</f>
        <v>0</v>
      </c>
      <c r="M9" s="15" t="str">
        <f>IF(AND(L9=CJ9,$K9&lt;&gt;$BQ$1),$BQ$1,IF(AND(L9=BL9,$K9&lt;&gt;$AS$1),$AS$1,IF(AND(L9=AN9,$K9&lt;&gt;$U$1),$U$1,"")))</f>
        <v/>
      </c>
      <c r="N9" s="15">
        <f>IF($J9=$AP9,MAX(BM9,CK9),IF($J9=$BN9,MAX(AO9,CK9),MAX(AO9,BM9)))</f>
        <v>0</v>
      </c>
      <c r="O9" s="15" t="str">
        <f>IF(AND(N9=CK9,$K9&lt;&gt;$BQ$1),$BQ$1,IF(AND(N9=BM9,$K9&lt;&gt;$AS$1),$AS$1,IF(AND(N9=AO9,$K9&lt;&gt;$U$1),$U$1,"")))</f>
        <v/>
      </c>
      <c r="P9" s="15">
        <f>MAX(AQ9,BO9,CM9)</f>
        <v>58.999999999999993</v>
      </c>
      <c r="Q9" s="15" t="str">
        <f>IF(P9=CM9,$BQ$1,IF(P9=BO9,$AS$1,IF(P9=AQ9,$U$1,"")))</f>
        <v>2017 Nationals</v>
      </c>
      <c r="R9" s="15" t="str">
        <f>IF(MAX(CO9:CQ9)&gt;0,MAX(CO9:CQ9),"")</f>
        <v/>
      </c>
      <c r="S9" s="29" t="str">
        <f>IF(R9="","",IF(R9=CO9,"(Pass 1)",IF(R9=CP9,"(Pass 2)",IF(R9=CQ9,"(Final)"))))</f>
        <v/>
      </c>
      <c r="T9" s="15" t="str">
        <f>IF(R9="","",IF(R9=CO9,IF(R9+L9=NC9,$MK$1,IF(R9+L9=MF9,$LN$1,IF(R9+L9=LI9,$KQ$1,IF(R9+L9=KL9,$JT$1,IF(R9+L9=JO9,$IW$1,IF(R9+L9=IR9,$HZ$1,IF(R9+L9=HU9,$HC$1,IF(R9+L9=GX9,$GF$1,IF(R9+L9=GA9,$FI$1,IF(R9+L9=FD9,$EL$1,IF(R9+L9=EG9,$DO$1,IF(R9+L9=DJ9,$CR$1)))))))))))),IF(R9=CP9,IF(R9+N9=ND9,$MK$1,IF(R9+N9=MG9,$LN$1,IF(R9+N9=LJ9,$KQ$1,IF(R9+N9=KM9,$JT$1,IF(R9+N9=JP9,$IW$1,IF(R9+N9=IS9,$HZ$1,IF(R9+N9=HV9,$HC$1,IF(R9+N9=GY9,$GF$1,IF(R9+N9=GB9,$FI$1,IF(R9+N9=FE9,$EL$1,IF(R9+N9=EH9,$DO$1,IF(R9+N9=DK9,$CR$1)))))))))))),IF(R9=CQ9,IF(R9+P9=NF9,$MK$1,IF(R9+P9=MI9,$LN$1,IF(R9+P9=LL9,$KQ$1,IF(R9+P9=KO9,$JT$1,IF(R9+P9=JR9,$IW$1,IF(R9+P9=IU9,$HZ$1,IF(R9+P9=HX9,$HC$1,IF(R9+P9=HA9,$GF$1,IF(R9+P9=GD9,$FI$1,IF(R9+P9=FG9,$EL$1,IF(R9+P9=EJ9,$DO$1,IF(R9+P9=DM9,$CR$1))))))))))))))))</f>
        <v/>
      </c>
      <c r="U9" s="76">
        <v>26.9</v>
      </c>
      <c r="V9" s="76">
        <v>3.2</v>
      </c>
      <c r="W9" s="76">
        <v>0.3</v>
      </c>
      <c r="X9" s="76">
        <v>0</v>
      </c>
      <c r="Y9" s="76">
        <v>26.1</v>
      </c>
      <c r="Z9" s="76">
        <v>1.9</v>
      </c>
      <c r="AA9" s="76">
        <v>3</v>
      </c>
      <c r="AB9" s="76">
        <v>0</v>
      </c>
      <c r="AC9" s="76">
        <v>27.5</v>
      </c>
      <c r="AD9" s="76">
        <v>3.2</v>
      </c>
      <c r="AE9" s="76">
        <v>0</v>
      </c>
      <c r="AF9" s="76">
        <v>0</v>
      </c>
      <c r="AG9" s="76">
        <v>25.9</v>
      </c>
      <c r="AH9" s="76">
        <v>2.4</v>
      </c>
      <c r="AI9" s="76">
        <v>0</v>
      </c>
      <c r="AJ9" s="76">
        <v>0</v>
      </c>
      <c r="AK9" s="108"/>
      <c r="AL9" s="12">
        <f>IF(SUM(V9,Z9)&gt;0,SUM(V9,Z9),"")</f>
        <v>5.0999999999999996</v>
      </c>
      <c r="AM9" s="12">
        <f>IF(SUM(AD9,AH9)&gt;0,SUM(AD9,AH9),"")</f>
        <v>5.6</v>
      </c>
      <c r="AN9" s="12">
        <f>IF(SUM(U9:V9,X9)-W9&gt;0,SUM(U9:V9,X9)-W9,"")</f>
        <v>29.799999999999997</v>
      </c>
      <c r="AO9" s="12">
        <f>IF(SUM(Y9:Z9,AB9)-AA9&gt;0,SUM(Y9:Z9,AB9)-AA9,"")</f>
        <v>25</v>
      </c>
      <c r="AP9" s="12">
        <f>IF(SUM(AN9:AO9)&gt;0,SUM(AN9:AO9),"")</f>
        <v>54.8</v>
      </c>
      <c r="AQ9" s="12">
        <f>IF(SUM(AC9:AD9,AF9:AH9,AJ9)-SUM(AE9,AI9)&gt;0,SUM(AC9:AD9,AF9:AH9,AJ9)-SUM(AE9,AI9),"")</f>
        <v>58.999999999999993</v>
      </c>
      <c r="AR9" s="12">
        <f>IF(SUM(AP9,AQ9)&gt;0,SUM(AP9,AQ9),"")</f>
        <v>113.79999999999998</v>
      </c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109"/>
      <c r="BJ9" s="15" t="str">
        <f>IF(SUM(AT9,AX9)&gt;0,SUM(AT9,AX9),"")</f>
        <v/>
      </c>
      <c r="BK9" s="15" t="str">
        <f>IF(SUM(BB9,BF9)&gt;0,SUM(BB9,BF9),"")</f>
        <v/>
      </c>
      <c r="BL9" s="15" t="str">
        <f>IF(SUM(AS9:AT9,AV9)-AU9&gt;0,SUM(AS9:AT9,AV9)-AU9,"")</f>
        <v/>
      </c>
      <c r="BM9" s="15" t="str">
        <f>IF(SUM(AW9:AX9,AZ9)-AY9&gt;0,SUM(AW9:AX9,AZ9)-AY9,"")</f>
        <v/>
      </c>
      <c r="BN9" s="15" t="str">
        <f>IF(SUM(BL9:BM9)&gt;0,SUM(BL9:BM9),"")</f>
        <v/>
      </c>
      <c r="BO9" s="15" t="str">
        <f>IF(SUM(BA9:BB9,BD9:BF9,BH9)-SUM(BC9,BG9)&gt;0,SUM(BA9:BB9,BD9:BF9,BH9)-SUM(BC9,BG9),"")</f>
        <v/>
      </c>
      <c r="BP9" s="15" t="str">
        <f>IF(SUM(BN9,BO9)&gt;0,SUM(BN9,BO9),"")</f>
        <v/>
      </c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108"/>
      <c r="CH9" s="12" t="str">
        <f>IF(SUM(BR9,BV9)&gt;0,SUM(BR9,BV9),"")</f>
        <v/>
      </c>
      <c r="CI9" s="12" t="str">
        <f>IF(SUM(BZ9,CD9)&gt;0,SUM(BZ9,CD9),"")</f>
        <v/>
      </c>
      <c r="CJ9" s="12" t="str">
        <f>IF(SUM(BQ9:BR9,BT9)-BS9&gt;0,SUM(BQ9:BR9,BT9)-BS9,"")</f>
        <v/>
      </c>
      <c r="CK9" s="12" t="str">
        <f>IF(SUM(BU9:BV9,BX9)-BW9&gt;0,SUM(BU9:BV9,BX9)-BW9,"")</f>
        <v/>
      </c>
      <c r="CL9" s="12" t="str">
        <f>IF(SUM(CJ9:CK9)&gt;0,SUM(CJ9:CK9),"")</f>
        <v/>
      </c>
      <c r="CM9" s="12" t="str">
        <f>IF(SUM(BY9:BZ9,CB9:CD9,CF9)-SUM(CA9,CE9)&gt;0,SUM(BY9:BZ9,CB9:CD9,CF9)-SUM(CA9,CE9),"")</f>
        <v/>
      </c>
      <c r="CN9" s="12" t="str">
        <f>IF(SUM(CL9,CM9)&gt;0,SUM(CL9,CM9),"")</f>
        <v/>
      </c>
      <c r="CO9" s="28" t="str">
        <f>IF(MAX(DJ9,EG9,FD9,GA9,GX9,HU9,IR9,JO9,KL9,LI9,MF9,NC9)-L9&gt;0.001,MAX(DJ9,EG9,FD9,GA9,GX9,HU9,IR9,JO9,KL9,LI9,MF9,NC9)-L9,"")</f>
        <v/>
      </c>
      <c r="CP9" s="28" t="str">
        <f>IF(MAX(DK9,EH9,FE9,GB9,GY9,HV9,IS9,JP9,KM9,LJ9,MG9,ND9)-N9&gt;0.001,MAX(DK9,EH9,FE9,GB9,GY9,HV9,IS9,JP9,KM9,LJ9,MG9,ND9)-N9,"")</f>
        <v/>
      </c>
      <c r="CQ9" s="28" t="str">
        <f>IF(MAX(DM9,EJ9,FG9,GD9,HA9,HX9,IU9,JR9,KO9,LL9,MI9,NF9)-P9&gt;0.001,MAX(DM9,EJ9,FG9,GD9,HA9,HX9,IU9,JR9,KO9,LL9,MI9,NF9)-P9,"")</f>
        <v/>
      </c>
      <c r="CR9" s="45"/>
      <c r="CS9" s="45"/>
      <c r="CT9" s="45"/>
      <c r="CU9" s="45"/>
      <c r="CV9" s="47"/>
      <c r="CW9" s="45"/>
      <c r="CX9" s="45"/>
      <c r="CY9" s="45"/>
      <c r="CZ9" s="45"/>
      <c r="DA9" s="45"/>
      <c r="DB9" s="45"/>
      <c r="DC9" s="45"/>
      <c r="DD9" s="45"/>
      <c r="DE9" s="45"/>
      <c r="DF9" s="45"/>
      <c r="DG9" s="45"/>
      <c r="DH9" s="12" t="str">
        <f>IF(SUM(CS9,CW9)&gt;0,SUM(CS9,CW9),"")</f>
        <v/>
      </c>
      <c r="DI9" s="12" t="str">
        <f>IF(SUM(DA9,DE9)&gt;0,SUM(DA9,DE9),"")</f>
        <v/>
      </c>
      <c r="DJ9" s="12" t="str">
        <f>IF(SUM(CR9:CS9,CU9)-CT9&gt;0,SUM(CR9:CS9,CU9)-CT9,"")</f>
        <v/>
      </c>
      <c r="DK9" s="12" t="str">
        <f>IF(SUM(CV9:CW9,CY9)-CX9&gt;0,SUM(CV9:CW9,CY9)-CX9,"")</f>
        <v/>
      </c>
      <c r="DL9" s="12" t="str">
        <f>IF(SUM(DJ9:DK9)&gt;0,SUM(DJ9:DK9),"")</f>
        <v/>
      </c>
      <c r="DM9" s="12" t="str">
        <f>IF(SUM(CZ9:DA9,DC9:DE9,DG9)-SUM(DB9,DF9)&gt;0,SUM(CZ9:DA9,DC9:DE9,DG9)-SUM(DB9,DF9),"")</f>
        <v/>
      </c>
      <c r="DN9" s="12" t="str">
        <f>IF(SUM(DL9,DM9)&gt;0,SUM(DL9,DM9),"")</f>
        <v/>
      </c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15" t="str">
        <f>IF(SUM(DP9,DT9)&gt;0,SUM(DP9,DT9),"")</f>
        <v/>
      </c>
      <c r="EF9" s="15" t="str">
        <f>IF(SUM(DX9,EB9)&gt;0,SUM(DX9,EB9),"")</f>
        <v/>
      </c>
      <c r="EG9" s="15" t="str">
        <f>IF(SUM(DO9:DP9,DR9)-DQ9&gt;0,SUM(DO9:DP9,DR9)-DQ9,"")</f>
        <v/>
      </c>
      <c r="EH9" s="15" t="str">
        <f>IF(SUM(DS9:DT9,DV9)-DU9&gt;0,SUM(DS9:DT9,DV9)-DU9,"")</f>
        <v/>
      </c>
      <c r="EI9" s="15" t="str">
        <f>IF(SUM(EG9:EH9)&gt;0,SUM(EG9:EH9),"")</f>
        <v/>
      </c>
      <c r="EJ9" s="15" t="str">
        <f>IF(SUM(DW9:DX9,DZ9:EB9,ED9)-SUM(DY9,EC9)&gt;0,SUM(DW9:DX9,DZ9:EB9,ED9)-SUM(DY9,EC9),"")</f>
        <v/>
      </c>
      <c r="EK9" s="15" t="str">
        <f>IF(SUM(EI9,EJ9)&gt;0,SUM(EI9,EJ9),"")</f>
        <v/>
      </c>
      <c r="EL9" s="45"/>
      <c r="EM9" s="45"/>
      <c r="EN9" s="45"/>
      <c r="EO9" s="45"/>
      <c r="EP9" s="45"/>
      <c r="EQ9" s="45"/>
      <c r="ER9" s="45"/>
      <c r="ES9" s="45"/>
      <c r="ET9" s="45"/>
      <c r="EU9" s="45"/>
      <c r="EV9" s="45"/>
      <c r="EW9" s="45"/>
      <c r="EX9" s="45"/>
      <c r="EY9" s="45"/>
      <c r="EZ9" s="45"/>
      <c r="FA9" s="45"/>
      <c r="FB9" s="12" t="str">
        <f>IF(SUM(EM9,EQ9)&gt;0,SUM(EM9,EQ9),"")</f>
        <v/>
      </c>
      <c r="FC9" s="12" t="str">
        <f>IF(SUM(EU9,EY9)&gt;0,SUM(EU9,EY9),"")</f>
        <v/>
      </c>
      <c r="FD9" s="12" t="str">
        <f>IF(SUM(EL9:EM9,EO9)-EN9&gt;0,SUM(EL9:EM9,EO9)-EN9,"")</f>
        <v/>
      </c>
      <c r="FE9" s="12" t="str">
        <f>IF(SUM(EP9:EQ9,ES9)-ER9&gt;0,SUM(EP9:EQ9,ES9)-ER9,"")</f>
        <v/>
      </c>
      <c r="FF9" s="12" t="str">
        <f>IF(SUM(FD9:FE9)&gt;0,SUM(FD9:FE9),"")</f>
        <v/>
      </c>
      <c r="FG9" s="12" t="str">
        <f>IF(SUM(ET9:EU9,EW9:EY9,FA9)-SUM(EV9,EZ9)&gt;0,SUM(ET9:EU9,EW9:EY9,FA9)-SUM(EV9,EZ9),"")</f>
        <v/>
      </c>
      <c r="FH9" s="12" t="str">
        <f>IF(SUM(FF9,FG9)&gt;0,SUM(FF9,FG9),"")</f>
        <v/>
      </c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46"/>
      <c r="FW9" s="46"/>
      <c r="FX9" s="46"/>
      <c r="FY9" s="15" t="str">
        <f>IF(SUM(FJ9,FN9)&gt;0,SUM(FJ9,FN9),"")</f>
        <v/>
      </c>
      <c r="FZ9" s="15" t="str">
        <f>IF(SUM(FR9,FV9)&gt;0,SUM(FR9,FV9),"")</f>
        <v/>
      </c>
      <c r="GA9" s="15" t="str">
        <f>IF(SUM(FI9:FJ9,FL9)-FK9&gt;0,SUM(FI9:FJ9,FL9)-FK9,"")</f>
        <v/>
      </c>
      <c r="GB9" s="15" t="str">
        <f>IF(SUM(FM9:FN9,FP9)-FO9&gt;0,SUM(FM9:FN9,FP9)-FO9,"")</f>
        <v/>
      </c>
      <c r="GC9" s="15" t="str">
        <f>IF(SUM(GA9:GB9)&gt;0,SUM(GA9:GB9),"")</f>
        <v/>
      </c>
      <c r="GD9" s="15" t="str">
        <f>IF(SUM(FQ9:FR9,FT9:FV9,FX9)-SUM(FS9,FW9)&gt;0,SUM(FQ9:FR9,FT9:FV9,FX9)-SUM(FS9,FW9),"")</f>
        <v/>
      </c>
      <c r="GE9" s="15" t="str">
        <f>IF(SUM(GC9,GD9)&gt;0,SUM(GC9,GD9),"")</f>
        <v/>
      </c>
      <c r="GF9" s="45"/>
      <c r="GG9" s="45"/>
      <c r="GH9" s="45"/>
      <c r="GI9" s="45"/>
      <c r="GJ9" s="45"/>
      <c r="GK9" s="45"/>
      <c r="GL9" s="45"/>
      <c r="GM9" s="45"/>
      <c r="GN9" s="45"/>
      <c r="GO9" s="45"/>
      <c r="GP9" s="45"/>
      <c r="GQ9" s="45"/>
      <c r="GR9" s="45"/>
      <c r="GS9" s="45"/>
      <c r="GT9" s="45"/>
      <c r="GU9" s="45"/>
      <c r="GV9" s="12" t="str">
        <f>IF(SUM(GG9,GK9)&gt;0,SUM(GG9,GK9),"")</f>
        <v/>
      </c>
      <c r="GW9" s="12" t="str">
        <f>IF(SUM(GO9,GS9)&gt;0,SUM(GO9,GS9),"")</f>
        <v/>
      </c>
      <c r="GX9" s="12" t="str">
        <f>IF(SUM(GF9:GG9,GI9)-GH9&gt;0,SUM(GF9:GG9,GI9)-GH9,"")</f>
        <v/>
      </c>
      <c r="GY9" s="12" t="str">
        <f>IF(SUM(GJ9:GK9,GM9)-GL9&gt;0,SUM(GJ9:GK9,GM9)-GL9,"")</f>
        <v/>
      </c>
      <c r="GZ9" s="12" t="str">
        <f>IF(SUM(GX9:GY9)&gt;0,SUM(GX9:GY9),"")</f>
        <v/>
      </c>
      <c r="HA9" s="12" t="str">
        <f>IF(SUM(GN9:GO9,GQ9:GS9,GU9)-SUM(GP9,GT9)&gt;0,SUM(GN9:GO9,GQ9:GS9,GU9)-SUM(GP9,GT9),"")</f>
        <v/>
      </c>
      <c r="HB9" s="12" t="str">
        <f>IF(SUM(GZ9,HA9)&gt;0,SUM(GZ9,HA9),"")</f>
        <v/>
      </c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46"/>
      <c r="HQ9" s="46"/>
      <c r="HR9" s="46"/>
      <c r="HS9" s="15" t="str">
        <f>IF(SUM(HD9,HH9)&gt;0,SUM(HD9,HH9),"")</f>
        <v/>
      </c>
      <c r="HT9" s="15" t="str">
        <f>IF(SUM(HL9,HP9)&gt;0,SUM(HL9,HP9),"")</f>
        <v/>
      </c>
      <c r="HU9" s="15" t="str">
        <f>IF(SUM(HC9:HD9,HF9)-HE9&gt;0,SUM(HC9:HD9,HF9)-HE9,"")</f>
        <v/>
      </c>
      <c r="HV9" s="15" t="str">
        <f>IF(SUM(HG9:HH9,HJ9)-HI9&gt;0,SUM(HG9:HH9,HJ9)-HI9,"")</f>
        <v/>
      </c>
      <c r="HW9" s="15" t="str">
        <f>IF(SUM(HU9:HV9)&gt;0,SUM(HU9:HV9),"")</f>
        <v/>
      </c>
      <c r="HX9" s="15" t="str">
        <f>IF(SUM(HK9:HL9,HN9:HP9,HR9)-SUM(HM9,HQ9)&gt;0,SUM(HK9:HL9,HN9:HP9,HR9)-SUM(HM9,HQ9),"")</f>
        <v/>
      </c>
      <c r="HY9" s="15" t="str">
        <f>IF(SUM(HW9,HX9)&gt;0,SUM(HW9,HX9),"")</f>
        <v/>
      </c>
      <c r="HZ9" s="45"/>
      <c r="IA9" s="45"/>
      <c r="IB9" s="45"/>
      <c r="IC9" s="45"/>
      <c r="ID9" s="45"/>
      <c r="IE9" s="45"/>
      <c r="IF9" s="45"/>
      <c r="IG9" s="45"/>
      <c r="IH9" s="45"/>
      <c r="II9" s="45"/>
      <c r="IJ9" s="45"/>
      <c r="IK9" s="45"/>
      <c r="IL9" s="45"/>
      <c r="IM9" s="45"/>
      <c r="IN9" s="45"/>
      <c r="IO9" s="45"/>
      <c r="IP9" s="12" t="str">
        <f>IF(SUM(IA9,IE9)&gt;0,SUM(IA9,IE9),"")</f>
        <v/>
      </c>
      <c r="IQ9" s="12" t="str">
        <f>IF(SUM(II9,IM9)&gt;0,SUM(II9,IM9),"")</f>
        <v/>
      </c>
      <c r="IR9" s="12" t="str">
        <f>IF(SUM(HZ9:IA9,IC9)-IB9&gt;0,SUM(HZ9:IA9,IC9)-IB9,"")</f>
        <v/>
      </c>
      <c r="IS9" s="12" t="str">
        <f>IF(SUM(ID9:IE9,IG9)-IF9&gt;0,SUM(ID9:IE9,IG9)-IF9,"")</f>
        <v/>
      </c>
      <c r="IT9" s="12" t="str">
        <f>IF(SUM(IR9:IS9)&gt;0,SUM(IR9:IS9),"")</f>
        <v/>
      </c>
      <c r="IU9" s="12" t="str">
        <f>IF(SUM(IH9:II9,IK9:IM9,IO9)-SUM(IJ9,IN9)&gt;0,SUM(IH9:II9,IK9:IM9,IO9)-SUM(IJ9,IN9),"")</f>
        <v/>
      </c>
      <c r="IV9" s="12" t="str">
        <f>IF(SUM(IT9,IU9)&gt;0,SUM(IT9,IU9),"")</f>
        <v/>
      </c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15" t="str">
        <f>IF(SUM(IX9,JB9)&gt;0,SUM(IX9,JB9),"")</f>
        <v/>
      </c>
      <c r="JN9" s="15" t="str">
        <f>IF(SUM(JF9,JJ9)&gt;0,SUM(JF9,JJ9),"")</f>
        <v/>
      </c>
      <c r="JO9" s="15" t="str">
        <f>IF(SUM(IW9:IX9,IZ9)-IY9&gt;0,SUM(IW9:IX9,IZ9)-IY9,"")</f>
        <v/>
      </c>
      <c r="JP9" s="15" t="str">
        <f>IF(SUM(JA9:JB9,JD9)-JC9&gt;0,SUM(JA9:JB9,JD9)-JC9,"")</f>
        <v/>
      </c>
      <c r="JQ9" s="15" t="str">
        <f>IF(SUM(JO9:JP9)&gt;0,SUM(JO9:JP9),"")</f>
        <v/>
      </c>
      <c r="JR9" s="15" t="str">
        <f>IF(SUM(JE9:JF9,JH9:JJ9,JL9)-SUM(JG9,JK9)&gt;0,SUM(JE9:JF9,JH9:JJ9,JL9)-SUM(JG9,JK9),"")</f>
        <v/>
      </c>
      <c r="JS9" s="15" t="str">
        <f>IF(SUM(JQ9,JR9)&gt;0,SUM(JQ9,JR9),"")</f>
        <v/>
      </c>
      <c r="JT9" s="45"/>
      <c r="JU9" s="45"/>
      <c r="JV9" s="45"/>
      <c r="JW9" s="45"/>
      <c r="JX9" s="45"/>
      <c r="JY9" s="45"/>
      <c r="JZ9" s="45"/>
      <c r="KA9" s="45"/>
      <c r="KB9" s="45"/>
      <c r="KC9" s="45"/>
      <c r="KD9" s="45"/>
      <c r="KE9" s="45"/>
      <c r="KF9" s="45"/>
      <c r="KG9" s="45"/>
      <c r="KH9" s="45"/>
      <c r="KI9" s="45"/>
      <c r="KJ9" s="12" t="str">
        <f>IF(SUM(JU9,JY9)&gt;0,SUM(JU9,JY9),"")</f>
        <v/>
      </c>
      <c r="KK9" s="12" t="str">
        <f>IF(SUM(KC9,KG9)&gt;0,SUM(KC9,KG9),"")</f>
        <v/>
      </c>
      <c r="KL9" s="12" t="str">
        <f>IF(SUM(JT9:JU9,JW9)-JV9&gt;0,SUM(JT9:JU9,JW9)-JV9,"")</f>
        <v/>
      </c>
      <c r="KM9" s="12" t="str">
        <f>IF(SUM(JX9:JY9,KA9)-JZ9&gt;0,SUM(JX9:JY9,KA9)-JZ9,"")</f>
        <v/>
      </c>
      <c r="KN9" s="12" t="str">
        <f>IF(SUM(KL9:KM9)&gt;0,SUM(KL9:KM9),"")</f>
        <v/>
      </c>
      <c r="KO9" s="12" t="str">
        <f>IF(SUM(KB9:KC9,KE9:KG9,KI9)-SUM(KD9,KH9)&gt;0,SUM(KB9:KC9,KE9:KG9,KI9)-SUM(KD9,KH9),"")</f>
        <v/>
      </c>
      <c r="KP9" s="12" t="str">
        <f>IF(SUM(KN9,KO9)&gt;0,SUM(KN9,KO9),"")</f>
        <v/>
      </c>
      <c r="KQ9" s="46"/>
      <c r="KR9" s="46"/>
      <c r="KS9" s="46"/>
      <c r="KT9" s="46"/>
      <c r="KU9" s="46"/>
      <c r="KV9" s="46"/>
      <c r="KW9" s="46"/>
      <c r="KX9" s="46"/>
      <c r="KY9" s="46"/>
      <c r="KZ9" s="46"/>
      <c r="LA9" s="46"/>
      <c r="LB9" s="46"/>
      <c r="LC9" s="46"/>
      <c r="LD9" s="46"/>
      <c r="LE9" s="46"/>
      <c r="LF9" s="46"/>
      <c r="LG9" s="15" t="str">
        <f>IF(SUM(KR9,KV9)&gt;0,SUM(KR9,KV9),"")</f>
        <v/>
      </c>
      <c r="LH9" s="15" t="str">
        <f>IF(SUM(KZ9,LD9)&gt;0,SUM(KZ9,LD9),"")</f>
        <v/>
      </c>
      <c r="LI9" s="15" t="str">
        <f>IF(SUM(KQ9:KR9,KT9)-KS9&gt;0,SUM(KQ9:KR9,KT9)-KS9,"")</f>
        <v/>
      </c>
      <c r="LJ9" s="15" t="str">
        <f>IF(SUM(KU9:KV9,KX9)-KW9&gt;0,SUM(KU9:KV9,KX9)-KW9,"")</f>
        <v/>
      </c>
      <c r="LK9" s="15" t="str">
        <f>IF(SUM(LI9:LJ9)&gt;0,SUM(LI9:LJ9),"")</f>
        <v/>
      </c>
      <c r="LL9" s="15" t="str">
        <f>IF(SUM(KY9:KZ9,LB9:LD9,LF9)-SUM(LA9,LE9)&gt;0,SUM(KY9:KZ9,LB9:LD9,LF9)-SUM(LA9,LE9),"")</f>
        <v/>
      </c>
      <c r="LM9" s="15" t="str">
        <f>IF(SUM(LK9,LL9)&gt;0,SUM(LK9,LL9),"")</f>
        <v/>
      </c>
      <c r="LN9" s="45"/>
      <c r="LO9" s="45"/>
      <c r="LP9" s="45"/>
      <c r="LQ9" s="45"/>
      <c r="LR9" s="45"/>
      <c r="LS9" s="45"/>
      <c r="LT9" s="45"/>
      <c r="LU9" s="45"/>
      <c r="LV9" s="45"/>
      <c r="LW9" s="45"/>
      <c r="LX9" s="45"/>
      <c r="LY9" s="45"/>
      <c r="LZ9" s="45"/>
      <c r="MA9" s="45"/>
      <c r="MB9" s="45"/>
      <c r="MC9" s="45"/>
      <c r="MD9" s="12" t="str">
        <f>IF(SUM(LO9,LS9)&gt;0,SUM(LO9,LS9),"")</f>
        <v/>
      </c>
      <c r="ME9" s="12" t="str">
        <f>IF(SUM(LW9,MA9)&gt;0,SUM(LW9,MA9),"")</f>
        <v/>
      </c>
      <c r="MF9" s="12" t="str">
        <f>IF(SUM(LN9:LO9,LQ9)-LP9&gt;0,SUM(LN9:LO9,LQ9)-LP9,"")</f>
        <v/>
      </c>
      <c r="MG9" s="12" t="str">
        <f>IF(SUM(LR9:LS9,LU9)-LT9&gt;0,SUM(LR9:LS9,LU9)-LT9,"")</f>
        <v/>
      </c>
      <c r="MH9" s="12" t="str">
        <f>IF(SUM(MF9:MG9)&gt;0,SUM(MF9:MG9),"")</f>
        <v/>
      </c>
      <c r="MI9" s="12" t="str">
        <f>IF(SUM(LV9:LW9,LY9:MA9,MC9)-SUM(LX9,MB9)&gt;0,SUM(LV9:LW9,LY9:MA9,MC9)-SUM(LX9,MB9),"")</f>
        <v/>
      </c>
      <c r="MJ9" s="12" t="str">
        <f>IF(SUM(MH9,MI9)&gt;0,SUM(MH9,MI9),"")</f>
        <v/>
      </c>
      <c r="MK9" s="46"/>
      <c r="ML9" s="46"/>
      <c r="MM9" s="46"/>
      <c r="MN9" s="46"/>
      <c r="MO9" s="46"/>
      <c r="MP9" s="46"/>
      <c r="MQ9" s="46"/>
      <c r="MR9" s="46"/>
      <c r="MS9" s="46"/>
      <c r="MT9" s="46"/>
      <c r="MU9" s="46"/>
      <c r="MV9" s="46"/>
      <c r="MW9" s="46"/>
      <c r="MX9" s="46"/>
      <c r="MY9" s="46"/>
      <c r="MZ9" s="46"/>
      <c r="NA9" s="15" t="str">
        <f>IF(SUM(ML9,MP9)&gt;0,SUM(ML9,MP9),"")</f>
        <v/>
      </c>
      <c r="NB9" s="15" t="str">
        <f>IF(SUM(MT9,MX9)&gt;0,SUM(MT9,MX9),"")</f>
        <v/>
      </c>
      <c r="NC9" s="15" t="str">
        <f>IF(SUM(MK9:ML9,MN9)-MM9&gt;0,SUM(MK9:ML9,MN9)-MM9,"")</f>
        <v/>
      </c>
      <c r="ND9" s="15" t="str">
        <f>IF(SUM(MO9:MP9,MR9)-MQ9&gt;0,SUM(MO9:MP9,MR9)-MQ9,"")</f>
        <v/>
      </c>
      <c r="NE9" s="15" t="str">
        <f>IF(SUM(NC9:ND9)&gt;0,SUM(NC9:ND9),"")</f>
        <v/>
      </c>
      <c r="NF9" s="15" t="str">
        <f>IF(SUM(MS9:MT9,MV9:MX9,MZ9)-SUM(MU9,MY9)&gt;0,SUM(MS9:MT9,MV9:MX9,MZ9)-SUM(MU9,MY9),"")</f>
        <v/>
      </c>
      <c r="NG9" s="15" t="str">
        <f>IF(SUM(NE9,NF9)&gt;0,SUM(NE9,NF9),"")</f>
        <v/>
      </c>
    </row>
    <row r="10" spans="1:371" ht="17" x14ac:dyDescent="0.2">
      <c r="R10" s="21"/>
      <c r="S10" s="21"/>
      <c r="T10" s="21"/>
      <c r="KQ10" s="49"/>
      <c r="KR10" s="49"/>
      <c r="KS10" s="49"/>
      <c r="KT10" s="49"/>
      <c r="KU10" s="49"/>
      <c r="KV10" s="49"/>
      <c r="KW10" s="49"/>
      <c r="KX10" s="49"/>
      <c r="KY10" s="49"/>
      <c r="KZ10" s="49"/>
      <c r="LA10" s="49"/>
      <c r="LB10" s="49"/>
      <c r="LC10" s="49"/>
      <c r="LD10" s="49"/>
      <c r="LE10" s="49"/>
      <c r="LF10" s="49"/>
    </row>
    <row r="11" spans="1:371" ht="17" x14ac:dyDescent="0.2">
      <c r="R11" s="21"/>
      <c r="S11" s="21"/>
      <c r="T11" s="21"/>
    </row>
    <row r="12" spans="1:371" ht="17" x14ac:dyDescent="0.2">
      <c r="B12" s="88" t="s">
        <v>63</v>
      </c>
      <c r="R12" s="21"/>
      <c r="S12" s="21"/>
      <c r="T12" s="21"/>
      <c r="AL12" s="62"/>
      <c r="AM12" s="70">
        <v>7.9</v>
      </c>
      <c r="BJ12" s="62"/>
      <c r="BK12" s="70">
        <v>7.7</v>
      </c>
      <c r="CH12" s="62"/>
      <c r="CI12" s="70">
        <v>7.7</v>
      </c>
      <c r="DH12" s="62"/>
      <c r="DI12" s="70">
        <v>7.7</v>
      </c>
      <c r="EE12" s="62"/>
      <c r="EF12" s="70">
        <v>7.7</v>
      </c>
      <c r="FB12" s="62"/>
      <c r="FC12" s="70">
        <v>7.7</v>
      </c>
      <c r="FY12" s="62"/>
      <c r="FZ12" s="70">
        <v>7.7</v>
      </c>
      <c r="GV12" s="62"/>
      <c r="GW12" s="70">
        <v>7.7</v>
      </c>
      <c r="HS12" s="62"/>
      <c r="HT12" s="70">
        <v>7.7</v>
      </c>
      <c r="IP12" s="62"/>
      <c r="IQ12" s="70">
        <v>7.7</v>
      </c>
      <c r="JM12" s="62"/>
      <c r="JN12" s="70">
        <v>7.7</v>
      </c>
      <c r="KJ12" s="62"/>
      <c r="KK12" s="70">
        <v>7.7</v>
      </c>
      <c r="LG12" s="62"/>
      <c r="LH12" s="70">
        <v>7.7</v>
      </c>
      <c r="MD12" s="62"/>
      <c r="ME12" s="70">
        <v>7.7</v>
      </c>
      <c r="NA12" s="62"/>
      <c r="NB12" s="70">
        <v>7.7</v>
      </c>
    </row>
    <row r="13" spans="1:371" ht="17" hidden="1" customHeight="1" x14ac:dyDescent="0.2">
      <c r="A13" s="62"/>
      <c r="B13" s="83" t="s">
        <v>62</v>
      </c>
      <c r="C13" s="61"/>
      <c r="R13" s="21"/>
      <c r="S13" s="21"/>
      <c r="T13" s="21"/>
      <c r="AL13" s="62"/>
      <c r="AM13" s="71">
        <v>1000</v>
      </c>
      <c r="BJ13" s="62"/>
      <c r="BK13" s="71">
        <v>1000</v>
      </c>
      <c r="CH13" s="62"/>
      <c r="CI13" s="71">
        <v>1000</v>
      </c>
      <c r="DH13" s="62"/>
      <c r="DI13" s="71">
        <v>1000</v>
      </c>
      <c r="EE13" s="62"/>
      <c r="EF13" s="71">
        <v>1000</v>
      </c>
      <c r="FB13" s="62"/>
      <c r="FC13" s="71">
        <v>1000</v>
      </c>
      <c r="FY13" s="62"/>
      <c r="FZ13" s="71">
        <v>1000</v>
      </c>
      <c r="GV13" s="62"/>
      <c r="GW13" s="71">
        <v>1000</v>
      </c>
      <c r="HS13" s="62"/>
      <c r="HT13" s="71">
        <v>1000</v>
      </c>
      <c r="IP13" s="62"/>
      <c r="IQ13" s="71">
        <v>1000</v>
      </c>
      <c r="JM13" s="62"/>
      <c r="JN13" s="71">
        <v>1000</v>
      </c>
      <c r="KJ13" s="62"/>
      <c r="KK13" s="71">
        <v>1000</v>
      </c>
      <c r="LG13" s="62"/>
      <c r="LH13" s="71">
        <v>1000</v>
      </c>
      <c r="MD13" s="62"/>
      <c r="ME13" s="71">
        <v>1000</v>
      </c>
      <c r="NA13" s="62"/>
      <c r="NB13" s="71">
        <v>1000</v>
      </c>
    </row>
    <row r="14" spans="1:371" ht="17" x14ac:dyDescent="0.2">
      <c r="A14" s="62"/>
      <c r="B14" s="84" t="s">
        <v>60</v>
      </c>
      <c r="C14" s="61"/>
      <c r="R14" s="21"/>
      <c r="S14" s="21"/>
      <c r="T14" s="21"/>
      <c r="AL14" s="62"/>
      <c r="AM14" s="72">
        <v>59.9</v>
      </c>
      <c r="BJ14" s="62"/>
      <c r="BK14" s="72">
        <v>59.9</v>
      </c>
      <c r="CH14" s="62"/>
      <c r="CI14" s="72">
        <v>59.9</v>
      </c>
      <c r="DH14" s="62"/>
      <c r="DI14" s="72">
        <v>59.9</v>
      </c>
      <c r="EE14" s="62"/>
      <c r="EF14" s="72">
        <v>59.9</v>
      </c>
      <c r="FB14" s="62"/>
      <c r="FC14" s="72">
        <v>59.9</v>
      </c>
      <c r="FY14" s="62"/>
      <c r="FZ14" s="72">
        <v>59.9</v>
      </c>
      <c r="GV14" s="62"/>
      <c r="GW14" s="72">
        <v>59.9</v>
      </c>
      <c r="HS14" s="62"/>
      <c r="HT14" s="72">
        <v>59.9</v>
      </c>
      <c r="IP14" s="62"/>
      <c r="IQ14" s="72">
        <v>59.9</v>
      </c>
      <c r="JM14" s="62"/>
      <c r="JN14" s="72">
        <v>59.9</v>
      </c>
      <c r="KJ14" s="62"/>
      <c r="KK14" s="72">
        <v>59.9</v>
      </c>
      <c r="LG14" s="62"/>
      <c r="LH14" s="72">
        <v>59.9</v>
      </c>
      <c r="MD14" s="62"/>
      <c r="ME14" s="72">
        <v>59.9</v>
      </c>
      <c r="NA14" s="62"/>
      <c r="NB14" s="72">
        <v>59.9</v>
      </c>
    </row>
    <row r="15" spans="1:371" ht="17" hidden="1" customHeight="1" x14ac:dyDescent="0.2">
      <c r="A15" s="62"/>
      <c r="B15" s="85" t="s">
        <v>61</v>
      </c>
      <c r="C15" s="61"/>
      <c r="R15" s="21"/>
      <c r="S15" s="21"/>
      <c r="T15" s="21"/>
      <c r="AL15" s="62"/>
      <c r="AM15" s="73">
        <v>1000</v>
      </c>
      <c r="BJ15" s="62"/>
      <c r="BK15" s="73">
        <v>1000</v>
      </c>
      <c r="CH15" s="62"/>
      <c r="CI15" s="73">
        <v>1000</v>
      </c>
      <c r="DH15" s="62"/>
      <c r="DI15" s="73">
        <v>1000</v>
      </c>
      <c r="EE15" s="62"/>
      <c r="EF15" s="73">
        <v>1000</v>
      </c>
      <c r="FB15" s="62"/>
      <c r="FC15" s="73">
        <v>1000</v>
      </c>
      <c r="FY15" s="62"/>
      <c r="FZ15" s="73">
        <v>1000</v>
      </c>
      <c r="GV15" s="62"/>
      <c r="GW15" s="73">
        <v>1000</v>
      </c>
      <c r="HS15" s="62"/>
      <c r="HT15" s="73">
        <v>1000</v>
      </c>
      <c r="IP15" s="62"/>
      <c r="IQ15" s="73">
        <v>1000</v>
      </c>
      <c r="JM15" s="62"/>
      <c r="JN15" s="73">
        <v>1000</v>
      </c>
      <c r="KJ15" s="62"/>
      <c r="KK15" s="73">
        <v>1000</v>
      </c>
      <c r="LG15" s="62"/>
      <c r="LH15" s="73">
        <v>1000</v>
      </c>
      <c r="MD15" s="62"/>
      <c r="ME15" s="73">
        <v>1000</v>
      </c>
      <c r="NA15" s="62"/>
      <c r="NB15" s="73">
        <v>1000</v>
      </c>
    </row>
    <row r="16" spans="1:371" ht="17" hidden="1" customHeight="1" x14ac:dyDescent="0.2">
      <c r="A16" s="62"/>
      <c r="B16" s="86" t="s">
        <v>26</v>
      </c>
      <c r="C16" s="61"/>
      <c r="R16" s="21"/>
      <c r="S16" s="21"/>
      <c r="T16" s="21"/>
      <c r="AL16" s="62"/>
      <c r="AM16" s="74">
        <v>1000</v>
      </c>
      <c r="BJ16" s="62"/>
      <c r="BK16" s="74">
        <v>1000</v>
      </c>
      <c r="CH16" s="62"/>
      <c r="CI16" s="74">
        <v>1000</v>
      </c>
      <c r="DH16" s="62"/>
      <c r="DI16" s="74">
        <v>1000</v>
      </c>
      <c r="EE16" s="62"/>
      <c r="EF16" s="74">
        <v>1000</v>
      </c>
      <c r="FB16" s="62"/>
      <c r="FC16" s="74">
        <v>1000</v>
      </c>
      <c r="FY16" s="62"/>
      <c r="FZ16" s="74">
        <v>1000</v>
      </c>
      <c r="GV16" s="62"/>
      <c r="GW16" s="74">
        <v>1000</v>
      </c>
      <c r="HS16" s="62"/>
      <c r="HT16" s="74">
        <v>1000</v>
      </c>
      <c r="IP16" s="62"/>
      <c r="IQ16" s="74">
        <v>1000</v>
      </c>
      <c r="JM16" s="62"/>
      <c r="JN16" s="74">
        <v>1000</v>
      </c>
      <c r="KJ16" s="62"/>
      <c r="KK16" s="74">
        <v>1000</v>
      </c>
      <c r="LG16" s="62"/>
      <c r="LH16" s="74">
        <v>1000</v>
      </c>
      <c r="MD16" s="62"/>
      <c r="ME16" s="74">
        <v>1000</v>
      </c>
      <c r="NA16" s="62"/>
      <c r="NB16" s="74">
        <v>1000</v>
      </c>
    </row>
    <row r="17" spans="1:366" ht="17" hidden="1" customHeight="1" x14ac:dyDescent="0.2">
      <c r="A17" s="62"/>
      <c r="B17" s="87" t="s">
        <v>47</v>
      </c>
      <c r="C17" s="61"/>
      <c r="R17" s="21"/>
      <c r="S17" s="21"/>
      <c r="T17" s="21"/>
      <c r="AL17" s="62"/>
      <c r="AM17" s="75">
        <v>1000</v>
      </c>
      <c r="BJ17" s="62"/>
      <c r="BK17" s="75">
        <v>1000</v>
      </c>
      <c r="CH17" s="62"/>
      <c r="CI17" s="75">
        <v>1000</v>
      </c>
      <c r="DH17" s="62"/>
      <c r="DI17" s="75">
        <v>1000</v>
      </c>
      <c r="EE17" s="62"/>
      <c r="EF17" s="75">
        <v>1000</v>
      </c>
      <c r="FB17" s="62"/>
      <c r="FC17" s="75">
        <v>1000</v>
      </c>
      <c r="FY17" s="62"/>
      <c r="FZ17" s="75">
        <v>1000</v>
      </c>
      <c r="GV17" s="62"/>
      <c r="GW17" s="75">
        <v>1000</v>
      </c>
      <c r="HS17" s="62"/>
      <c r="HT17" s="75">
        <v>1000</v>
      </c>
      <c r="IP17" s="62"/>
      <c r="IQ17" s="75">
        <v>1000</v>
      </c>
      <c r="JM17" s="62"/>
      <c r="JN17" s="75">
        <v>1000</v>
      </c>
      <c r="KJ17" s="62"/>
      <c r="KK17" s="75">
        <v>1000</v>
      </c>
      <c r="LG17" s="62"/>
      <c r="LH17" s="75">
        <v>1000</v>
      </c>
      <c r="MD17" s="62"/>
      <c r="ME17" s="75">
        <v>1000</v>
      </c>
      <c r="NA17" s="62"/>
      <c r="NB17" s="75">
        <v>1000</v>
      </c>
    </row>
    <row r="18" spans="1:366" x14ac:dyDescent="0.2">
      <c r="B18" s="111" t="s">
        <v>126</v>
      </c>
      <c r="C18" s="3"/>
      <c r="AL18" s="7"/>
      <c r="AM18" t="s">
        <v>115</v>
      </c>
      <c r="BJ18" s="7"/>
      <c r="CH18" s="7"/>
      <c r="DH18" s="7"/>
      <c r="EE18" s="7"/>
      <c r="FB18" s="7"/>
      <c r="FY18" s="7"/>
      <c r="GV18" s="7"/>
      <c r="HS18" s="7"/>
      <c r="IP18" s="7"/>
      <c r="JM18" s="7"/>
      <c r="KJ18" s="7"/>
      <c r="LG18" s="7"/>
      <c r="MD18" s="7"/>
      <c r="NA18" s="7"/>
    </row>
    <row r="19" spans="1:366" x14ac:dyDescent="0.2">
      <c r="A19" s="62"/>
      <c r="B19" s="62"/>
      <c r="C19" s="61"/>
      <c r="GV19" s="7"/>
      <c r="GW19" s="7"/>
    </row>
    <row r="20" spans="1:366" x14ac:dyDescent="0.2">
      <c r="A20" s="62"/>
      <c r="B20" s="62"/>
      <c r="C20" s="61"/>
    </row>
    <row r="21" spans="1:366" x14ac:dyDescent="0.2">
      <c r="A21" s="62"/>
      <c r="B21" s="62"/>
      <c r="C21" s="61"/>
    </row>
    <row r="22" spans="1:366" x14ac:dyDescent="0.2">
      <c r="A22" s="7"/>
      <c r="B22" s="7"/>
      <c r="C22" s="7"/>
    </row>
  </sheetData>
  <sheetProtection sheet="1" formatCells="0" formatColumns="0" formatRows="0"/>
  <autoFilter ref="A1:NG3" xr:uid="{00000000-0009-0000-0000-000006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ref="A4:NG9">
      <sortCondition descending="1" ref="F1:F7"/>
    </sortState>
  </autoFilter>
  <mergeCells count="96">
    <mergeCell ref="A1:A3"/>
    <mergeCell ref="BA2:BD2"/>
    <mergeCell ref="B1:B3"/>
    <mergeCell ref="C1:C3"/>
    <mergeCell ref="D1:D3"/>
    <mergeCell ref="E1:E3"/>
    <mergeCell ref="U2:X2"/>
    <mergeCell ref="K1:K3"/>
    <mergeCell ref="O1:O3"/>
    <mergeCell ref="Q1:Q3"/>
    <mergeCell ref="S1:S3"/>
    <mergeCell ref="T1:T3"/>
    <mergeCell ref="N1:N3"/>
    <mergeCell ref="P1:P3"/>
    <mergeCell ref="R1:R3"/>
    <mergeCell ref="G1:G3"/>
    <mergeCell ref="H1:H3"/>
    <mergeCell ref="I1:I3"/>
    <mergeCell ref="J1:J3"/>
    <mergeCell ref="L1:L3"/>
    <mergeCell ref="BE2:BH2"/>
    <mergeCell ref="U1:AR1"/>
    <mergeCell ref="AS1:BP1"/>
    <mergeCell ref="DO1:EK1"/>
    <mergeCell ref="DO2:DR2"/>
    <mergeCell ref="DS2:DV2"/>
    <mergeCell ref="DW2:DZ2"/>
    <mergeCell ref="EA2:ED2"/>
    <mergeCell ref="CC2:CF2"/>
    <mergeCell ref="BY2:CB2"/>
    <mergeCell ref="Y2:AB2"/>
    <mergeCell ref="AC2:AF2"/>
    <mergeCell ref="AG2:AJ2"/>
    <mergeCell ref="AS2:AV2"/>
    <mergeCell ref="AW2:AZ2"/>
    <mergeCell ref="HZ2:IC2"/>
    <mergeCell ref="ID2:IG2"/>
    <mergeCell ref="EL1:FH1"/>
    <mergeCell ref="BQ2:BT2"/>
    <mergeCell ref="BU2:BX2"/>
    <mergeCell ref="CV2:CY2"/>
    <mergeCell ref="CZ2:DC2"/>
    <mergeCell ref="DD2:DG2"/>
    <mergeCell ref="CR2:CU2"/>
    <mergeCell ref="CO1:CQ1"/>
    <mergeCell ref="CR1:DN1"/>
    <mergeCell ref="BQ1:CN1"/>
    <mergeCell ref="GF2:GI2"/>
    <mergeCell ref="HC2:HF2"/>
    <mergeCell ref="HG2:HJ2"/>
    <mergeCell ref="HK2:HN2"/>
    <mergeCell ref="HO2:HR2"/>
    <mergeCell ref="EX2:FA2"/>
    <mergeCell ref="FI2:FL2"/>
    <mergeCell ref="FM2:FP2"/>
    <mergeCell ref="FQ2:FT2"/>
    <mergeCell ref="FU2:FX2"/>
    <mergeCell ref="JT1:KP1"/>
    <mergeCell ref="KQ1:LM1"/>
    <mergeCell ref="LN1:MJ1"/>
    <mergeCell ref="MK1:NG1"/>
    <mergeCell ref="JE2:JH2"/>
    <mergeCell ref="JI2:JL2"/>
    <mergeCell ref="JT2:JW2"/>
    <mergeCell ref="JX2:KA2"/>
    <mergeCell ref="KB2:KE2"/>
    <mergeCell ref="IW1:JS1"/>
    <mergeCell ref="KF2:KI2"/>
    <mergeCell ref="KQ2:KT2"/>
    <mergeCell ref="KU2:KX2"/>
    <mergeCell ref="KY2:LB2"/>
    <mergeCell ref="LC2:LF2"/>
    <mergeCell ref="MO2:MR2"/>
    <mergeCell ref="MS2:MV2"/>
    <mergeCell ref="MW2:MZ2"/>
    <mergeCell ref="LN2:LQ2"/>
    <mergeCell ref="LR2:LU2"/>
    <mergeCell ref="LV2:LY2"/>
    <mergeCell ref="LZ2:MC2"/>
    <mergeCell ref="MK2:MN2"/>
    <mergeCell ref="F1:F3"/>
    <mergeCell ref="IH2:IK2"/>
    <mergeCell ref="IL2:IO2"/>
    <mergeCell ref="IW2:IZ2"/>
    <mergeCell ref="JA2:JD2"/>
    <mergeCell ref="GJ2:GM2"/>
    <mergeCell ref="GN2:GQ2"/>
    <mergeCell ref="GR2:GU2"/>
    <mergeCell ref="FI1:GE1"/>
    <mergeCell ref="GF1:HB1"/>
    <mergeCell ref="HC1:HY1"/>
    <mergeCell ref="HZ1:IV1"/>
    <mergeCell ref="M1:M3"/>
    <mergeCell ref="EL2:EO2"/>
    <mergeCell ref="EP2:ES2"/>
    <mergeCell ref="ET2:EW2"/>
  </mergeCells>
  <conditionalFormatting sqref="A1:A1048576">
    <cfRule type="expression" dxfId="80" priority="90">
      <formula>AND(H1="P",F1="")</formula>
    </cfRule>
  </conditionalFormatting>
  <conditionalFormatting sqref="I1:I3 I10:I1048576">
    <cfRule type="containsText" dxfId="79" priority="91" operator="containsText" text="Merit">
      <formula>NOT(ISERROR(SEARCH("Merit",I1)))</formula>
    </cfRule>
    <cfRule type="containsText" dxfId="78" priority="92" operator="containsText" text="Funding">
      <formula>NOT(ISERROR(SEARCH("Funding",I1)))</formula>
    </cfRule>
    <cfRule type="containsText" dxfId="77" priority="93" operator="containsText" text="Worlds Team">
      <formula>NOT(ISERROR(SEARCH("Worlds Team",I1)))</formula>
    </cfRule>
    <cfRule type="containsText" dxfId="76" priority="261" operator="containsText" text="National Team">
      <formula>NOT(ISERROR(SEARCH("National Team",I1)))</formula>
    </cfRule>
  </conditionalFormatting>
  <conditionalFormatting sqref="I4:I9">
    <cfRule type="containsText" dxfId="75" priority="10" operator="containsText" text="Merit">
      <formula>NOT(ISERROR(SEARCH("Merit",I4)))</formula>
    </cfRule>
    <cfRule type="containsText" dxfId="74" priority="11" operator="containsText" text="Funding">
      <formula>NOT(ISERROR(SEARCH("Funding",I4)))</formula>
    </cfRule>
    <cfRule type="containsText" dxfId="73" priority="12" operator="containsText" text="Worlds Team">
      <formula>NOT(ISERROR(SEARCH("Worlds Team",I4)))</formula>
    </cfRule>
    <cfRule type="containsText" dxfId="72" priority="13" operator="containsText" text="National Team">
      <formula>NOT(ISERROR(SEARCH("National Team",I4)))</formula>
    </cfRule>
  </conditionalFormatting>
  <conditionalFormatting sqref="U4:AR9">
    <cfRule type="expression" dxfId="71" priority="9">
      <formula>IF($AK4&lt;&gt;"",1,0)</formula>
    </cfRule>
  </conditionalFormatting>
  <conditionalFormatting sqref="AS4:BP9">
    <cfRule type="expression" dxfId="70" priority="8">
      <formula>IF($BI4&lt;&gt;"",1,0)</formula>
    </cfRule>
  </conditionalFormatting>
  <conditionalFormatting sqref="BQ4:CN9">
    <cfRule type="expression" dxfId="69" priority="7">
      <formula>IF($CG4&lt;&gt;"",1,0)</formula>
    </cfRule>
  </conditionalFormatting>
  <conditionalFormatting sqref="K1:K1048576 M1:M1048576 O1:O1048576 Q1:Q1048576">
    <cfRule type="expression" dxfId="68" priority="268">
      <formula>IF(K1=$BQ$1,1,0)</formula>
    </cfRule>
    <cfRule type="expression" dxfId="67" priority="269">
      <formula>IF(K1=$AS$1,1,0)</formula>
    </cfRule>
    <cfRule type="expression" dxfId="66" priority="472">
      <formula>IF(K1=$U$1,1,0)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65" priority="3553" operator="between">
      <formula>DI$13</formula>
      <formula>100</formula>
    </cfRule>
    <cfRule type="cellIs" dxfId="64" priority="3554" operator="between">
      <formula>DI$12</formula>
      <formula>DI$13</formula>
    </cfRule>
  </conditionalFormatting>
  <conditionalFormatting sqref="NE1:NE1048576 MH1:MH1048576 LK1:LK1048576 KN1:KN1048576 JQ1:JQ1048576 IT1:IT1048576 HW1:HW1048576 GZ1:GZ1048576 GC1:GC1048576 FF1:FF1048576 EI1:EI1048576 DL1:DL1048576">
    <cfRule type="cellIs" dxfId="63" priority="3625" operator="between">
      <formula>DI$17</formula>
      <formula>1000</formula>
    </cfRule>
    <cfRule type="cellIs" dxfId="62" priority="3626" operator="between">
      <formula>DI$16</formula>
      <formula>DI$17</formula>
    </cfRule>
    <cfRule type="cellIs" dxfId="61" priority="3627" operator="between">
      <formula>DI$15</formula>
      <formula>DI$16</formula>
    </cfRule>
    <cfRule type="cellIs" dxfId="60" priority="3628" operator="between">
      <formula>DI$14</formula>
      <formula>DI$15</formula>
    </cfRule>
  </conditionalFormatting>
  <conditionalFormatting sqref="AL1:AL1048576 BJ1:BJ1048576 CH1:CH1048576">
    <cfRule type="expression" dxfId="59" priority="3805">
      <formula>IF(AND(AL1&gt;=AM$13,AL1&lt;1000,AK1=""),1,0)</formula>
    </cfRule>
    <cfRule type="expression" dxfId="58" priority="3806">
      <formula>IF(AND(AL1&gt;=AM$12,AL1&lt;AM$13,AK1=""),1,0)</formula>
    </cfRule>
  </conditionalFormatting>
  <conditionalFormatting sqref="AP1:AP1048576 BN1:BN1048576 CL1:CL1048576">
    <cfRule type="expression" dxfId="57" priority="3823">
      <formula>IF(AND(AP1&gt;=AM$17,AP1&lt;1000,AK1=""),1,0)</formula>
    </cfRule>
    <cfRule type="expression" dxfId="56" priority="3824">
      <formula>IF(AND(AP1&gt;=AM$16,AP1&lt;AM$17,AK1=""),1,0)</formula>
    </cfRule>
    <cfRule type="expression" dxfId="55" priority="3825">
      <formula>IF(AND(AP1&gt;=AM$15,AP1&lt;AM$16,AK1=""),1,0)</formula>
    </cfRule>
    <cfRule type="expression" dxfId="54" priority="3826">
      <formula>IF(AND(AP1&gt;=AM$14,AP1&lt;AM$15,AK1=""),1,0)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H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4.83203125" hidden="1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17" t="s">
        <v>1</v>
      </c>
      <c r="B1" s="117" t="s">
        <v>28</v>
      </c>
      <c r="C1" s="117" t="s">
        <v>0</v>
      </c>
      <c r="D1" s="117" t="s">
        <v>67</v>
      </c>
      <c r="E1" s="117" t="s">
        <v>2</v>
      </c>
      <c r="F1" s="118" t="s">
        <v>63</v>
      </c>
      <c r="G1" s="118" t="s">
        <v>62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29</v>
      </c>
      <c r="M1" s="119" t="s">
        <v>45</v>
      </c>
      <c r="N1" s="119" t="s">
        <v>30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3" t="s">
        <v>64</v>
      </c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4" t="s">
        <v>116</v>
      </c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21" t="s">
        <v>14</v>
      </c>
      <c r="DK1" s="121"/>
      <c r="DL1" s="121"/>
      <c r="DM1" s="128" t="s">
        <v>135</v>
      </c>
      <c r="DN1" s="128"/>
      <c r="DO1" s="128"/>
      <c r="DP1" s="128"/>
      <c r="DQ1" s="128"/>
      <c r="DR1" s="128"/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8"/>
      <c r="EI1" s="128"/>
      <c r="EJ1" s="128"/>
      <c r="EK1" s="128"/>
      <c r="EL1" s="128"/>
      <c r="EM1" s="128"/>
      <c r="EN1" s="128"/>
      <c r="EO1" s="128"/>
      <c r="EP1" s="128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6"/>
      <c r="FN1" s="126"/>
      <c r="FO1" s="126"/>
      <c r="FP1" s="126"/>
      <c r="FQ1" s="126"/>
      <c r="FR1" s="126"/>
      <c r="FS1" s="126"/>
      <c r="FT1" s="126"/>
      <c r="FU1" s="128"/>
      <c r="FV1" s="128"/>
      <c r="FW1" s="128"/>
      <c r="FX1" s="128"/>
      <c r="FY1" s="128"/>
      <c r="FZ1" s="128"/>
      <c r="GA1" s="128"/>
      <c r="GB1" s="128"/>
      <c r="GC1" s="128"/>
      <c r="GD1" s="128"/>
      <c r="GE1" s="128"/>
      <c r="GF1" s="128"/>
      <c r="GG1" s="128"/>
      <c r="GH1" s="128"/>
      <c r="GI1" s="128"/>
      <c r="GJ1" s="128"/>
      <c r="GK1" s="128"/>
      <c r="GL1" s="128"/>
      <c r="GM1" s="128"/>
      <c r="GN1" s="128"/>
      <c r="GO1" s="128"/>
      <c r="GP1" s="128"/>
      <c r="GQ1" s="128"/>
      <c r="GR1" s="128"/>
      <c r="GS1" s="128"/>
      <c r="GT1" s="128"/>
      <c r="GU1" s="128"/>
      <c r="GV1" s="128"/>
      <c r="GW1" s="128"/>
      <c r="GX1" s="128"/>
      <c r="GY1" s="126"/>
      <c r="GZ1" s="126"/>
      <c r="HA1" s="126"/>
      <c r="HB1" s="126"/>
      <c r="HC1" s="126"/>
      <c r="HD1" s="126"/>
      <c r="HE1" s="126"/>
      <c r="HF1" s="126"/>
      <c r="HG1" s="126"/>
      <c r="HH1" s="126"/>
      <c r="HI1" s="126"/>
      <c r="HJ1" s="126"/>
      <c r="HK1" s="126"/>
      <c r="HL1" s="126"/>
      <c r="HM1" s="126"/>
      <c r="HN1" s="126"/>
      <c r="HO1" s="126"/>
      <c r="HP1" s="126"/>
      <c r="HQ1" s="126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8"/>
      <c r="ID1" s="128"/>
      <c r="IE1" s="128"/>
      <c r="IF1" s="128"/>
      <c r="IG1" s="128"/>
      <c r="IH1" s="128"/>
      <c r="II1" s="128"/>
      <c r="IJ1" s="128"/>
      <c r="IK1" s="128"/>
      <c r="IL1" s="128"/>
      <c r="IM1" s="128"/>
      <c r="IN1" s="128"/>
      <c r="IO1" s="128"/>
      <c r="IP1" s="128"/>
      <c r="IQ1" s="128"/>
      <c r="IR1" s="128"/>
      <c r="IS1" s="128"/>
      <c r="IT1" s="128"/>
      <c r="IU1" s="128"/>
      <c r="IV1" s="128"/>
      <c r="IW1" s="128"/>
      <c r="IX1" s="128"/>
      <c r="IY1" s="128"/>
      <c r="IZ1" s="128"/>
      <c r="JA1" s="128"/>
      <c r="JB1" s="128"/>
      <c r="JC1" s="128"/>
      <c r="JD1" s="128"/>
      <c r="JE1" s="128"/>
      <c r="JF1" s="128"/>
      <c r="JG1" s="126"/>
      <c r="JH1" s="126"/>
      <c r="JI1" s="126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6"/>
      <c r="KJ1" s="126"/>
      <c r="KK1" s="128"/>
      <c r="KL1" s="128"/>
      <c r="KM1" s="128"/>
      <c r="KN1" s="128"/>
      <c r="KO1" s="128"/>
      <c r="KP1" s="128"/>
      <c r="KQ1" s="128"/>
      <c r="KR1" s="128"/>
      <c r="KS1" s="128"/>
      <c r="KT1" s="128"/>
      <c r="KU1" s="128"/>
      <c r="KV1" s="128"/>
      <c r="KW1" s="128"/>
      <c r="KX1" s="128"/>
      <c r="KY1" s="128"/>
      <c r="KZ1" s="128"/>
      <c r="LA1" s="128"/>
      <c r="LB1" s="128"/>
      <c r="LC1" s="128"/>
      <c r="LD1" s="128"/>
      <c r="LE1" s="128"/>
      <c r="LF1" s="128"/>
      <c r="LG1" s="128"/>
      <c r="LH1" s="128"/>
      <c r="LI1" s="128"/>
      <c r="LJ1" s="128"/>
      <c r="LK1" s="128"/>
      <c r="LL1" s="128"/>
      <c r="LM1" s="128"/>
      <c r="LN1" s="128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6"/>
      <c r="LZ1" s="126"/>
      <c r="MA1" s="126"/>
      <c r="MB1" s="126"/>
      <c r="MC1" s="126"/>
      <c r="MD1" s="126"/>
      <c r="ME1" s="126"/>
      <c r="MF1" s="126"/>
      <c r="MG1" s="126"/>
      <c r="MH1" s="126"/>
      <c r="MI1" s="126"/>
      <c r="MJ1" s="126"/>
      <c r="MK1" s="126"/>
      <c r="ML1" s="126"/>
      <c r="MM1" s="126"/>
      <c r="MN1" s="126"/>
      <c r="MO1" s="126"/>
      <c r="MP1" s="126"/>
      <c r="MQ1" s="126"/>
      <c r="MR1" s="126"/>
      <c r="MS1" s="128"/>
      <c r="MT1" s="128"/>
      <c r="MU1" s="128"/>
      <c r="MV1" s="128"/>
      <c r="MW1" s="128"/>
      <c r="MX1" s="128"/>
      <c r="MY1" s="128"/>
      <c r="MZ1" s="128"/>
      <c r="NA1" s="128"/>
      <c r="NB1" s="128"/>
      <c r="NC1" s="128"/>
      <c r="ND1" s="128"/>
      <c r="NE1" s="128"/>
      <c r="NF1" s="128"/>
      <c r="NG1" s="128"/>
      <c r="NH1" s="128"/>
      <c r="NI1" s="128"/>
      <c r="NJ1" s="128"/>
      <c r="NK1" s="128"/>
      <c r="NL1" s="128"/>
      <c r="NM1" s="128"/>
      <c r="NN1" s="128"/>
      <c r="NO1" s="128"/>
      <c r="NP1" s="128"/>
      <c r="NQ1" s="128"/>
      <c r="NR1" s="128"/>
      <c r="NS1" s="128"/>
      <c r="NT1" s="128"/>
      <c r="NU1" s="128"/>
      <c r="NV1" s="128"/>
      <c r="NW1" s="126"/>
      <c r="NX1" s="126"/>
      <c r="NY1" s="126"/>
      <c r="NZ1" s="126"/>
      <c r="OA1" s="126"/>
      <c r="OB1" s="126"/>
      <c r="OC1" s="126"/>
      <c r="OD1" s="126"/>
      <c r="OE1" s="126"/>
      <c r="OF1" s="126"/>
      <c r="OG1" s="126"/>
      <c r="OH1" s="126"/>
      <c r="OI1" s="126"/>
      <c r="OJ1" s="126"/>
      <c r="OK1" s="126"/>
      <c r="OL1" s="126"/>
      <c r="OM1" s="126"/>
      <c r="ON1" s="126"/>
      <c r="OO1" s="126"/>
      <c r="OP1" s="126"/>
      <c r="OQ1" s="126"/>
      <c r="OR1" s="126"/>
      <c r="OS1" s="126"/>
      <c r="OT1" s="126"/>
      <c r="OU1" s="126"/>
      <c r="OV1" s="126"/>
      <c r="OW1" s="126"/>
      <c r="OX1" s="126"/>
      <c r="OY1" s="126"/>
      <c r="OZ1" s="126"/>
      <c r="PA1" s="128"/>
      <c r="PB1" s="128"/>
      <c r="PC1" s="128"/>
      <c r="PD1" s="128"/>
      <c r="PE1" s="128"/>
      <c r="PF1" s="128"/>
      <c r="PG1" s="128"/>
      <c r="PH1" s="128"/>
      <c r="PI1" s="128"/>
      <c r="PJ1" s="128"/>
      <c r="PK1" s="128"/>
      <c r="PL1" s="128"/>
      <c r="PM1" s="128"/>
      <c r="PN1" s="128"/>
      <c r="PO1" s="128"/>
      <c r="PP1" s="128"/>
      <c r="PQ1" s="128"/>
      <c r="PR1" s="128"/>
      <c r="PS1" s="128"/>
      <c r="PT1" s="128"/>
      <c r="PU1" s="128"/>
      <c r="PV1" s="128"/>
      <c r="PW1" s="128"/>
      <c r="PX1" s="128"/>
      <c r="PY1" s="128"/>
      <c r="PZ1" s="128"/>
      <c r="QA1" s="128"/>
      <c r="QB1" s="128"/>
      <c r="QC1" s="128"/>
      <c r="QD1" s="128"/>
      <c r="QE1" s="126"/>
      <c r="QF1" s="126"/>
      <c r="QG1" s="126"/>
      <c r="QH1" s="126"/>
      <c r="QI1" s="126"/>
      <c r="QJ1" s="126"/>
      <c r="QK1" s="126"/>
      <c r="QL1" s="126"/>
      <c r="QM1" s="126"/>
      <c r="QN1" s="126"/>
      <c r="QO1" s="126"/>
      <c r="QP1" s="126"/>
      <c r="QQ1" s="126"/>
      <c r="QR1" s="126"/>
      <c r="QS1" s="126"/>
      <c r="QT1" s="126"/>
      <c r="QU1" s="126"/>
      <c r="QV1" s="126"/>
      <c r="QW1" s="126"/>
      <c r="QX1" s="126"/>
      <c r="QY1" s="126"/>
      <c r="QZ1" s="126"/>
      <c r="RA1" s="126"/>
      <c r="RB1" s="126"/>
      <c r="RC1" s="126"/>
      <c r="RD1" s="126"/>
      <c r="RE1" s="126"/>
      <c r="RF1" s="126"/>
      <c r="RG1" s="126"/>
      <c r="RH1" s="126"/>
    </row>
    <row r="2" spans="1:476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31</v>
      </c>
      <c r="V2" s="116"/>
      <c r="W2" s="116"/>
      <c r="X2" s="116"/>
      <c r="Y2" s="116" t="s">
        <v>34</v>
      </c>
      <c r="Z2" s="116"/>
      <c r="AA2" s="116"/>
      <c r="AB2" s="116"/>
      <c r="AC2" s="116" t="s">
        <v>35</v>
      </c>
      <c r="AD2" s="116"/>
      <c r="AE2" s="116"/>
      <c r="AF2" s="116"/>
      <c r="AG2" s="124" t="s">
        <v>36</v>
      </c>
      <c r="AH2" s="124"/>
      <c r="AI2" s="124"/>
      <c r="AJ2" s="124"/>
      <c r="AK2" s="124" t="s">
        <v>37</v>
      </c>
      <c r="AL2" s="124"/>
      <c r="AM2" s="124"/>
      <c r="AN2" s="124"/>
      <c r="AO2" s="124" t="s">
        <v>38</v>
      </c>
      <c r="AP2" s="124"/>
      <c r="AQ2" s="124"/>
      <c r="AR2" s="124"/>
      <c r="AS2" s="98"/>
      <c r="AT2" s="64" t="s">
        <v>27</v>
      </c>
      <c r="AU2" s="10" t="s">
        <v>39</v>
      </c>
      <c r="AV2" s="10" t="s">
        <v>40</v>
      </c>
      <c r="AW2" s="10" t="s">
        <v>24</v>
      </c>
      <c r="AX2" s="10" t="s">
        <v>23</v>
      </c>
      <c r="AY2" s="10" t="s">
        <v>18</v>
      </c>
      <c r="AZ2" s="115" t="s">
        <v>31</v>
      </c>
      <c r="BA2" s="115"/>
      <c r="BB2" s="115"/>
      <c r="BC2" s="115"/>
      <c r="BD2" s="115" t="s">
        <v>34</v>
      </c>
      <c r="BE2" s="115"/>
      <c r="BF2" s="115"/>
      <c r="BG2" s="115"/>
      <c r="BH2" s="115" t="s">
        <v>35</v>
      </c>
      <c r="BI2" s="115"/>
      <c r="BJ2" s="115"/>
      <c r="BK2" s="115"/>
      <c r="BL2" s="127" t="s">
        <v>36</v>
      </c>
      <c r="BM2" s="127"/>
      <c r="BN2" s="127"/>
      <c r="BO2" s="127"/>
      <c r="BP2" s="127" t="s">
        <v>37</v>
      </c>
      <c r="BQ2" s="127"/>
      <c r="BR2" s="127"/>
      <c r="BS2" s="127"/>
      <c r="BT2" s="127" t="s">
        <v>38</v>
      </c>
      <c r="BU2" s="127"/>
      <c r="BV2" s="127"/>
      <c r="BW2" s="127"/>
      <c r="BX2" s="99"/>
      <c r="BY2" s="63" t="s">
        <v>27</v>
      </c>
      <c r="BZ2" s="13" t="s">
        <v>39</v>
      </c>
      <c r="CA2" s="13" t="s">
        <v>40</v>
      </c>
      <c r="CB2" s="13" t="s">
        <v>24</v>
      </c>
      <c r="CC2" s="13" t="s">
        <v>23</v>
      </c>
      <c r="CD2" s="13" t="s">
        <v>18</v>
      </c>
      <c r="CE2" s="116" t="s">
        <v>31</v>
      </c>
      <c r="CF2" s="116"/>
      <c r="CG2" s="116"/>
      <c r="CH2" s="116"/>
      <c r="CI2" s="116" t="s">
        <v>34</v>
      </c>
      <c r="CJ2" s="116"/>
      <c r="CK2" s="116"/>
      <c r="CL2" s="116"/>
      <c r="CM2" s="116" t="s">
        <v>35</v>
      </c>
      <c r="CN2" s="116"/>
      <c r="CO2" s="116"/>
      <c r="CP2" s="116"/>
      <c r="CQ2" s="124" t="s">
        <v>36</v>
      </c>
      <c r="CR2" s="124"/>
      <c r="CS2" s="124"/>
      <c r="CT2" s="124"/>
      <c r="CU2" s="124" t="s">
        <v>37</v>
      </c>
      <c r="CV2" s="124"/>
      <c r="CW2" s="124"/>
      <c r="CX2" s="124"/>
      <c r="CY2" s="124" t="s">
        <v>38</v>
      </c>
      <c r="CZ2" s="124"/>
      <c r="DA2" s="124"/>
      <c r="DB2" s="124"/>
      <c r="DC2" s="98"/>
      <c r="DD2" s="17" t="s">
        <v>27</v>
      </c>
      <c r="DE2" s="10" t="s">
        <v>39</v>
      </c>
      <c r="DF2" s="10" t="s">
        <v>40</v>
      </c>
      <c r="DG2" s="10" t="s">
        <v>24</v>
      </c>
      <c r="DH2" s="10" t="s">
        <v>23</v>
      </c>
      <c r="DI2" s="10" t="s">
        <v>18</v>
      </c>
      <c r="DJ2" s="26" t="s">
        <v>39</v>
      </c>
      <c r="DK2" s="26" t="s">
        <v>40</v>
      </c>
      <c r="DL2" s="26" t="s">
        <v>23</v>
      </c>
      <c r="DM2" s="116" t="s">
        <v>31</v>
      </c>
      <c r="DN2" s="116"/>
      <c r="DO2" s="116"/>
      <c r="DP2" s="116"/>
      <c r="DQ2" s="116" t="s">
        <v>34</v>
      </c>
      <c r="DR2" s="116"/>
      <c r="DS2" s="116"/>
      <c r="DT2" s="116"/>
      <c r="DU2" s="116" t="s">
        <v>35</v>
      </c>
      <c r="DV2" s="116"/>
      <c r="DW2" s="116"/>
      <c r="DX2" s="116"/>
      <c r="DY2" s="124" t="s">
        <v>36</v>
      </c>
      <c r="DZ2" s="124"/>
      <c r="EA2" s="124"/>
      <c r="EB2" s="124"/>
      <c r="EC2" s="124" t="s">
        <v>37</v>
      </c>
      <c r="ED2" s="124"/>
      <c r="EE2" s="124"/>
      <c r="EF2" s="124"/>
      <c r="EG2" s="124" t="s">
        <v>38</v>
      </c>
      <c r="EH2" s="124"/>
      <c r="EI2" s="124"/>
      <c r="EJ2" s="124"/>
      <c r="EK2" s="64" t="s">
        <v>27</v>
      </c>
      <c r="EL2" s="10" t="s">
        <v>39</v>
      </c>
      <c r="EM2" s="10" t="s">
        <v>40</v>
      </c>
      <c r="EN2" s="10" t="s">
        <v>24</v>
      </c>
      <c r="EO2" s="10" t="s">
        <v>23</v>
      </c>
      <c r="EP2" s="10" t="s">
        <v>18</v>
      </c>
      <c r="EQ2" s="127" t="s">
        <v>31</v>
      </c>
      <c r="ER2" s="127"/>
      <c r="ES2" s="127"/>
      <c r="ET2" s="127"/>
      <c r="EU2" s="127" t="s">
        <v>34</v>
      </c>
      <c r="EV2" s="127"/>
      <c r="EW2" s="127"/>
      <c r="EX2" s="127"/>
      <c r="EY2" s="127" t="s">
        <v>35</v>
      </c>
      <c r="EZ2" s="127"/>
      <c r="FA2" s="127"/>
      <c r="FB2" s="127"/>
      <c r="FC2" s="127" t="s">
        <v>36</v>
      </c>
      <c r="FD2" s="127"/>
      <c r="FE2" s="127"/>
      <c r="FF2" s="127"/>
      <c r="FG2" s="127" t="s">
        <v>37</v>
      </c>
      <c r="FH2" s="127"/>
      <c r="FI2" s="127"/>
      <c r="FJ2" s="127"/>
      <c r="FK2" s="127" t="s">
        <v>38</v>
      </c>
      <c r="FL2" s="127"/>
      <c r="FM2" s="127"/>
      <c r="FN2" s="127"/>
      <c r="FO2" s="68" t="s">
        <v>27</v>
      </c>
      <c r="FP2" s="18" t="s">
        <v>39</v>
      </c>
      <c r="FQ2" s="18" t="s">
        <v>40</v>
      </c>
      <c r="FR2" s="18" t="s">
        <v>24</v>
      </c>
      <c r="FS2" s="18" t="s">
        <v>23</v>
      </c>
      <c r="FT2" s="18" t="s">
        <v>18</v>
      </c>
      <c r="FU2" s="124" t="s">
        <v>31</v>
      </c>
      <c r="FV2" s="124"/>
      <c r="FW2" s="124"/>
      <c r="FX2" s="124"/>
      <c r="FY2" s="124" t="s">
        <v>34</v>
      </c>
      <c r="FZ2" s="124"/>
      <c r="GA2" s="124"/>
      <c r="GB2" s="124"/>
      <c r="GC2" s="124" t="s">
        <v>35</v>
      </c>
      <c r="GD2" s="124"/>
      <c r="GE2" s="124"/>
      <c r="GF2" s="124"/>
      <c r="GG2" s="124" t="s">
        <v>36</v>
      </c>
      <c r="GH2" s="124"/>
      <c r="GI2" s="124"/>
      <c r="GJ2" s="124"/>
      <c r="GK2" s="124" t="s">
        <v>37</v>
      </c>
      <c r="GL2" s="124"/>
      <c r="GM2" s="124"/>
      <c r="GN2" s="124"/>
      <c r="GO2" s="124" t="s">
        <v>38</v>
      </c>
      <c r="GP2" s="124"/>
      <c r="GQ2" s="124"/>
      <c r="GR2" s="124"/>
      <c r="GS2" s="67" t="s">
        <v>27</v>
      </c>
      <c r="GT2" s="19" t="s">
        <v>39</v>
      </c>
      <c r="GU2" s="19" t="s">
        <v>40</v>
      </c>
      <c r="GV2" s="19" t="s">
        <v>24</v>
      </c>
      <c r="GW2" s="19" t="s">
        <v>23</v>
      </c>
      <c r="GX2" s="19" t="s">
        <v>18</v>
      </c>
      <c r="GY2" s="127" t="s">
        <v>31</v>
      </c>
      <c r="GZ2" s="127"/>
      <c r="HA2" s="127"/>
      <c r="HB2" s="127"/>
      <c r="HC2" s="127" t="s">
        <v>34</v>
      </c>
      <c r="HD2" s="127"/>
      <c r="HE2" s="127"/>
      <c r="HF2" s="127"/>
      <c r="HG2" s="127" t="s">
        <v>35</v>
      </c>
      <c r="HH2" s="127"/>
      <c r="HI2" s="127"/>
      <c r="HJ2" s="127"/>
      <c r="HK2" s="127" t="s">
        <v>36</v>
      </c>
      <c r="HL2" s="127"/>
      <c r="HM2" s="127"/>
      <c r="HN2" s="127"/>
      <c r="HO2" s="127" t="s">
        <v>37</v>
      </c>
      <c r="HP2" s="127"/>
      <c r="HQ2" s="127"/>
      <c r="HR2" s="127"/>
      <c r="HS2" s="127" t="s">
        <v>38</v>
      </c>
      <c r="HT2" s="127"/>
      <c r="HU2" s="127"/>
      <c r="HV2" s="127"/>
      <c r="HW2" s="68" t="s">
        <v>27</v>
      </c>
      <c r="HX2" s="18" t="s">
        <v>39</v>
      </c>
      <c r="HY2" s="18" t="s">
        <v>40</v>
      </c>
      <c r="HZ2" s="18" t="s">
        <v>24</v>
      </c>
      <c r="IA2" s="18" t="s">
        <v>23</v>
      </c>
      <c r="IB2" s="18" t="s">
        <v>18</v>
      </c>
      <c r="IC2" s="124" t="s">
        <v>31</v>
      </c>
      <c r="ID2" s="124"/>
      <c r="IE2" s="124"/>
      <c r="IF2" s="124"/>
      <c r="IG2" s="124" t="s">
        <v>34</v>
      </c>
      <c r="IH2" s="124"/>
      <c r="II2" s="124"/>
      <c r="IJ2" s="124"/>
      <c r="IK2" s="124" t="s">
        <v>35</v>
      </c>
      <c r="IL2" s="124"/>
      <c r="IM2" s="124"/>
      <c r="IN2" s="124"/>
      <c r="IO2" s="124" t="s">
        <v>36</v>
      </c>
      <c r="IP2" s="124"/>
      <c r="IQ2" s="124"/>
      <c r="IR2" s="124"/>
      <c r="IS2" s="124" t="s">
        <v>37</v>
      </c>
      <c r="IT2" s="124"/>
      <c r="IU2" s="124"/>
      <c r="IV2" s="124"/>
      <c r="IW2" s="124" t="s">
        <v>38</v>
      </c>
      <c r="IX2" s="124"/>
      <c r="IY2" s="124"/>
      <c r="IZ2" s="124"/>
      <c r="JA2" s="25" t="s">
        <v>27</v>
      </c>
      <c r="JB2" s="19" t="s">
        <v>39</v>
      </c>
      <c r="JC2" s="19" t="s">
        <v>40</v>
      </c>
      <c r="JD2" s="19" t="s">
        <v>24</v>
      </c>
      <c r="JE2" s="19" t="s">
        <v>23</v>
      </c>
      <c r="JF2" s="19" t="s">
        <v>18</v>
      </c>
      <c r="JG2" s="127" t="s">
        <v>31</v>
      </c>
      <c r="JH2" s="127"/>
      <c r="JI2" s="127"/>
      <c r="JJ2" s="127"/>
      <c r="JK2" s="127" t="s">
        <v>34</v>
      </c>
      <c r="JL2" s="127"/>
      <c r="JM2" s="127"/>
      <c r="JN2" s="127"/>
      <c r="JO2" s="127" t="s">
        <v>35</v>
      </c>
      <c r="JP2" s="127"/>
      <c r="JQ2" s="127"/>
      <c r="JR2" s="127"/>
      <c r="JS2" s="127" t="s">
        <v>36</v>
      </c>
      <c r="JT2" s="127"/>
      <c r="JU2" s="127"/>
      <c r="JV2" s="127"/>
      <c r="JW2" s="127" t="s">
        <v>37</v>
      </c>
      <c r="JX2" s="127"/>
      <c r="JY2" s="127"/>
      <c r="JZ2" s="127"/>
      <c r="KA2" s="127" t="s">
        <v>38</v>
      </c>
      <c r="KB2" s="127"/>
      <c r="KC2" s="127"/>
      <c r="KD2" s="127"/>
      <c r="KE2" s="24" t="s">
        <v>27</v>
      </c>
      <c r="KF2" s="18" t="s">
        <v>39</v>
      </c>
      <c r="KG2" s="18" t="s">
        <v>40</v>
      </c>
      <c r="KH2" s="18" t="s">
        <v>24</v>
      </c>
      <c r="KI2" s="18" t="s">
        <v>23</v>
      </c>
      <c r="KJ2" s="18" t="s">
        <v>18</v>
      </c>
      <c r="KK2" s="124" t="s">
        <v>31</v>
      </c>
      <c r="KL2" s="124"/>
      <c r="KM2" s="124"/>
      <c r="KN2" s="124"/>
      <c r="KO2" s="124" t="s">
        <v>34</v>
      </c>
      <c r="KP2" s="124"/>
      <c r="KQ2" s="124"/>
      <c r="KR2" s="124"/>
      <c r="KS2" s="124" t="s">
        <v>35</v>
      </c>
      <c r="KT2" s="124"/>
      <c r="KU2" s="124"/>
      <c r="KV2" s="124"/>
      <c r="KW2" s="124" t="s">
        <v>36</v>
      </c>
      <c r="KX2" s="124"/>
      <c r="KY2" s="124"/>
      <c r="KZ2" s="124"/>
      <c r="LA2" s="124" t="s">
        <v>37</v>
      </c>
      <c r="LB2" s="124"/>
      <c r="LC2" s="124"/>
      <c r="LD2" s="124"/>
      <c r="LE2" s="124" t="s">
        <v>38</v>
      </c>
      <c r="LF2" s="124"/>
      <c r="LG2" s="124"/>
      <c r="LH2" s="124"/>
      <c r="LI2" s="25" t="s">
        <v>27</v>
      </c>
      <c r="LJ2" s="19" t="s">
        <v>39</v>
      </c>
      <c r="LK2" s="19" t="s">
        <v>40</v>
      </c>
      <c r="LL2" s="19" t="s">
        <v>24</v>
      </c>
      <c r="LM2" s="19" t="s">
        <v>23</v>
      </c>
      <c r="LN2" s="19" t="s">
        <v>18</v>
      </c>
      <c r="LO2" s="127" t="s">
        <v>31</v>
      </c>
      <c r="LP2" s="127"/>
      <c r="LQ2" s="127"/>
      <c r="LR2" s="127"/>
      <c r="LS2" s="127" t="s">
        <v>34</v>
      </c>
      <c r="LT2" s="127"/>
      <c r="LU2" s="127"/>
      <c r="LV2" s="127"/>
      <c r="LW2" s="127" t="s">
        <v>35</v>
      </c>
      <c r="LX2" s="127"/>
      <c r="LY2" s="127"/>
      <c r="LZ2" s="127"/>
      <c r="MA2" s="127" t="s">
        <v>36</v>
      </c>
      <c r="MB2" s="127"/>
      <c r="MC2" s="127"/>
      <c r="MD2" s="127"/>
      <c r="ME2" s="127" t="s">
        <v>37</v>
      </c>
      <c r="MF2" s="127"/>
      <c r="MG2" s="127"/>
      <c r="MH2" s="127"/>
      <c r="MI2" s="127" t="s">
        <v>38</v>
      </c>
      <c r="MJ2" s="127"/>
      <c r="MK2" s="127"/>
      <c r="ML2" s="127"/>
      <c r="MM2" s="24" t="s">
        <v>27</v>
      </c>
      <c r="MN2" s="18" t="s">
        <v>39</v>
      </c>
      <c r="MO2" s="18" t="s">
        <v>40</v>
      </c>
      <c r="MP2" s="18" t="s">
        <v>24</v>
      </c>
      <c r="MQ2" s="18" t="s">
        <v>23</v>
      </c>
      <c r="MR2" s="18" t="s">
        <v>18</v>
      </c>
      <c r="MS2" s="124" t="s">
        <v>31</v>
      </c>
      <c r="MT2" s="124"/>
      <c r="MU2" s="124"/>
      <c r="MV2" s="124"/>
      <c r="MW2" s="124" t="s">
        <v>34</v>
      </c>
      <c r="MX2" s="124"/>
      <c r="MY2" s="124"/>
      <c r="MZ2" s="124"/>
      <c r="NA2" s="124" t="s">
        <v>35</v>
      </c>
      <c r="NB2" s="124"/>
      <c r="NC2" s="124"/>
      <c r="ND2" s="124"/>
      <c r="NE2" s="124" t="s">
        <v>36</v>
      </c>
      <c r="NF2" s="124"/>
      <c r="NG2" s="124"/>
      <c r="NH2" s="124"/>
      <c r="NI2" s="124" t="s">
        <v>37</v>
      </c>
      <c r="NJ2" s="124"/>
      <c r="NK2" s="124"/>
      <c r="NL2" s="124"/>
      <c r="NM2" s="124" t="s">
        <v>38</v>
      </c>
      <c r="NN2" s="124"/>
      <c r="NO2" s="124"/>
      <c r="NP2" s="124"/>
      <c r="NQ2" s="25" t="s">
        <v>27</v>
      </c>
      <c r="NR2" s="19" t="s">
        <v>39</v>
      </c>
      <c r="NS2" s="19" t="s">
        <v>40</v>
      </c>
      <c r="NT2" s="19" t="s">
        <v>24</v>
      </c>
      <c r="NU2" s="19" t="s">
        <v>23</v>
      </c>
      <c r="NV2" s="19" t="s">
        <v>18</v>
      </c>
      <c r="NW2" s="127" t="s">
        <v>31</v>
      </c>
      <c r="NX2" s="127"/>
      <c r="NY2" s="127"/>
      <c r="NZ2" s="127"/>
      <c r="OA2" s="127" t="s">
        <v>34</v>
      </c>
      <c r="OB2" s="127"/>
      <c r="OC2" s="127"/>
      <c r="OD2" s="127"/>
      <c r="OE2" s="127" t="s">
        <v>35</v>
      </c>
      <c r="OF2" s="127"/>
      <c r="OG2" s="127"/>
      <c r="OH2" s="127"/>
      <c r="OI2" s="127" t="s">
        <v>36</v>
      </c>
      <c r="OJ2" s="127"/>
      <c r="OK2" s="127"/>
      <c r="OL2" s="127"/>
      <c r="OM2" s="127" t="s">
        <v>37</v>
      </c>
      <c r="ON2" s="127"/>
      <c r="OO2" s="127"/>
      <c r="OP2" s="127"/>
      <c r="OQ2" s="127" t="s">
        <v>38</v>
      </c>
      <c r="OR2" s="127"/>
      <c r="OS2" s="127"/>
      <c r="OT2" s="127"/>
      <c r="OU2" s="24" t="s">
        <v>27</v>
      </c>
      <c r="OV2" s="18" t="s">
        <v>39</v>
      </c>
      <c r="OW2" s="18" t="s">
        <v>40</v>
      </c>
      <c r="OX2" s="18" t="s">
        <v>24</v>
      </c>
      <c r="OY2" s="18" t="s">
        <v>23</v>
      </c>
      <c r="OZ2" s="18" t="s">
        <v>18</v>
      </c>
      <c r="PA2" s="124" t="s">
        <v>31</v>
      </c>
      <c r="PB2" s="124"/>
      <c r="PC2" s="124"/>
      <c r="PD2" s="124"/>
      <c r="PE2" s="124" t="s">
        <v>34</v>
      </c>
      <c r="PF2" s="124"/>
      <c r="PG2" s="124"/>
      <c r="PH2" s="124"/>
      <c r="PI2" s="124" t="s">
        <v>35</v>
      </c>
      <c r="PJ2" s="124"/>
      <c r="PK2" s="124"/>
      <c r="PL2" s="124"/>
      <c r="PM2" s="124" t="s">
        <v>36</v>
      </c>
      <c r="PN2" s="124"/>
      <c r="PO2" s="124"/>
      <c r="PP2" s="124"/>
      <c r="PQ2" s="124" t="s">
        <v>37</v>
      </c>
      <c r="PR2" s="124"/>
      <c r="PS2" s="124"/>
      <c r="PT2" s="124"/>
      <c r="PU2" s="124" t="s">
        <v>38</v>
      </c>
      <c r="PV2" s="124"/>
      <c r="PW2" s="124"/>
      <c r="PX2" s="124"/>
      <c r="PY2" s="25" t="s">
        <v>27</v>
      </c>
      <c r="PZ2" s="19" t="s">
        <v>39</v>
      </c>
      <c r="QA2" s="19" t="s">
        <v>40</v>
      </c>
      <c r="QB2" s="19" t="s">
        <v>24</v>
      </c>
      <c r="QC2" s="19" t="s">
        <v>23</v>
      </c>
      <c r="QD2" s="19" t="s">
        <v>18</v>
      </c>
      <c r="QE2" s="127" t="s">
        <v>31</v>
      </c>
      <c r="QF2" s="127"/>
      <c r="QG2" s="127"/>
      <c r="QH2" s="127"/>
      <c r="QI2" s="127" t="s">
        <v>34</v>
      </c>
      <c r="QJ2" s="127"/>
      <c r="QK2" s="127"/>
      <c r="QL2" s="127"/>
      <c r="QM2" s="127" t="s">
        <v>35</v>
      </c>
      <c r="QN2" s="127"/>
      <c r="QO2" s="127"/>
      <c r="QP2" s="127"/>
      <c r="QQ2" s="127" t="s">
        <v>36</v>
      </c>
      <c r="QR2" s="127"/>
      <c r="QS2" s="127"/>
      <c r="QT2" s="127"/>
      <c r="QU2" s="127" t="s">
        <v>37</v>
      </c>
      <c r="QV2" s="127"/>
      <c r="QW2" s="127"/>
      <c r="QX2" s="127"/>
      <c r="QY2" s="127" t="s">
        <v>38</v>
      </c>
      <c r="QZ2" s="127"/>
      <c r="RA2" s="127"/>
      <c r="RB2" s="127"/>
      <c r="RC2" s="24" t="s">
        <v>27</v>
      </c>
      <c r="RD2" s="18" t="s">
        <v>39</v>
      </c>
      <c r="RE2" s="18" t="s">
        <v>40</v>
      </c>
      <c r="RF2" s="18" t="s">
        <v>24</v>
      </c>
      <c r="RG2" s="18" t="s">
        <v>23</v>
      </c>
      <c r="RH2" s="18" t="s">
        <v>18</v>
      </c>
    </row>
    <row r="3" spans="1:476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67" t="s">
        <v>15</v>
      </c>
      <c r="AL3" s="67" t="s">
        <v>7</v>
      </c>
      <c r="AM3" s="67" t="s">
        <v>32</v>
      </c>
      <c r="AN3" s="67" t="s">
        <v>33</v>
      </c>
      <c r="AO3" s="67" t="s">
        <v>15</v>
      </c>
      <c r="AP3" s="67" t="s">
        <v>7</v>
      </c>
      <c r="AQ3" s="67" t="s">
        <v>32</v>
      </c>
      <c r="AR3" s="67" t="s">
        <v>33</v>
      </c>
      <c r="AS3" s="98" t="s">
        <v>124</v>
      </c>
      <c r="AT3" s="11"/>
      <c r="AU3" s="10"/>
      <c r="AV3" s="10"/>
      <c r="AW3" s="10"/>
      <c r="AX3" s="11"/>
      <c r="AY3" s="11"/>
      <c r="AZ3" s="63" t="s">
        <v>15</v>
      </c>
      <c r="BA3" s="63" t="s">
        <v>7</v>
      </c>
      <c r="BB3" s="63" t="s">
        <v>32</v>
      </c>
      <c r="BC3" s="63" t="s">
        <v>33</v>
      </c>
      <c r="BD3" s="63" t="s">
        <v>15</v>
      </c>
      <c r="BE3" s="63" t="s">
        <v>7</v>
      </c>
      <c r="BF3" s="63" t="s">
        <v>32</v>
      </c>
      <c r="BG3" s="63" t="s">
        <v>33</v>
      </c>
      <c r="BH3" s="63" t="s">
        <v>15</v>
      </c>
      <c r="BI3" s="63" t="s">
        <v>7</v>
      </c>
      <c r="BJ3" s="63" t="s">
        <v>32</v>
      </c>
      <c r="BK3" s="63" t="s">
        <v>33</v>
      </c>
      <c r="BL3" s="68" t="s">
        <v>15</v>
      </c>
      <c r="BM3" s="68" t="s">
        <v>7</v>
      </c>
      <c r="BN3" s="68" t="s">
        <v>32</v>
      </c>
      <c r="BO3" s="68" t="s">
        <v>33</v>
      </c>
      <c r="BP3" s="68" t="s">
        <v>15</v>
      </c>
      <c r="BQ3" s="68" t="s">
        <v>7</v>
      </c>
      <c r="BR3" s="68" t="s">
        <v>32</v>
      </c>
      <c r="BS3" s="68" t="s">
        <v>33</v>
      </c>
      <c r="BT3" s="68" t="s">
        <v>15</v>
      </c>
      <c r="BU3" s="68" t="s">
        <v>7</v>
      </c>
      <c r="BV3" s="68" t="s">
        <v>32</v>
      </c>
      <c r="BW3" s="68" t="s">
        <v>33</v>
      </c>
      <c r="BX3" s="99" t="s">
        <v>124</v>
      </c>
      <c r="BY3" s="14"/>
      <c r="BZ3" s="13"/>
      <c r="CA3" s="13"/>
      <c r="CB3" s="13"/>
      <c r="CC3" s="14"/>
      <c r="CD3" s="14"/>
      <c r="CE3" s="33" t="s">
        <v>15</v>
      </c>
      <c r="CF3" s="33" t="s">
        <v>7</v>
      </c>
      <c r="CG3" s="33" t="s">
        <v>32</v>
      </c>
      <c r="CH3" s="33" t="s">
        <v>33</v>
      </c>
      <c r="CI3" s="33" t="s">
        <v>15</v>
      </c>
      <c r="CJ3" s="33" t="s">
        <v>7</v>
      </c>
      <c r="CK3" s="33" t="s">
        <v>32</v>
      </c>
      <c r="CL3" s="33" t="s">
        <v>33</v>
      </c>
      <c r="CM3" s="33" t="s">
        <v>15</v>
      </c>
      <c r="CN3" s="33" t="s">
        <v>7</v>
      </c>
      <c r="CO3" s="33" t="s">
        <v>32</v>
      </c>
      <c r="CP3" s="33" t="s">
        <v>33</v>
      </c>
      <c r="CQ3" s="38" t="s">
        <v>15</v>
      </c>
      <c r="CR3" s="38" t="s">
        <v>7</v>
      </c>
      <c r="CS3" s="38" t="s">
        <v>32</v>
      </c>
      <c r="CT3" s="38" t="s">
        <v>33</v>
      </c>
      <c r="CU3" s="38" t="s">
        <v>15</v>
      </c>
      <c r="CV3" s="38" t="s">
        <v>7</v>
      </c>
      <c r="CW3" s="38" t="s">
        <v>32</v>
      </c>
      <c r="CX3" s="38" t="s">
        <v>33</v>
      </c>
      <c r="CY3" s="38" t="s">
        <v>15</v>
      </c>
      <c r="CZ3" s="38" t="s">
        <v>7</v>
      </c>
      <c r="DA3" s="38" t="s">
        <v>32</v>
      </c>
      <c r="DB3" s="38" t="s">
        <v>33</v>
      </c>
      <c r="DC3" s="98" t="s">
        <v>124</v>
      </c>
      <c r="DD3" s="11"/>
      <c r="DE3" s="10"/>
      <c r="DF3" s="10"/>
      <c r="DG3" s="10"/>
      <c r="DH3" s="11"/>
      <c r="DI3" s="11"/>
      <c r="DJ3" s="27"/>
      <c r="DK3" s="27"/>
      <c r="DL3" s="27"/>
      <c r="DM3" s="64" t="s">
        <v>15</v>
      </c>
      <c r="DN3" s="64" t="s">
        <v>7</v>
      </c>
      <c r="DO3" s="64" t="s">
        <v>32</v>
      </c>
      <c r="DP3" s="64" t="s">
        <v>33</v>
      </c>
      <c r="DQ3" s="64" t="s">
        <v>15</v>
      </c>
      <c r="DR3" s="64" t="s">
        <v>7</v>
      </c>
      <c r="DS3" s="64" t="s">
        <v>32</v>
      </c>
      <c r="DT3" s="64" t="s">
        <v>33</v>
      </c>
      <c r="DU3" s="64" t="s">
        <v>15</v>
      </c>
      <c r="DV3" s="64" t="s">
        <v>7</v>
      </c>
      <c r="DW3" s="64" t="s">
        <v>32</v>
      </c>
      <c r="DX3" s="64" t="s">
        <v>33</v>
      </c>
      <c r="DY3" s="67" t="s">
        <v>15</v>
      </c>
      <c r="DZ3" s="67" t="s">
        <v>7</v>
      </c>
      <c r="EA3" s="67" t="s">
        <v>32</v>
      </c>
      <c r="EB3" s="67" t="s">
        <v>33</v>
      </c>
      <c r="EC3" s="67" t="s">
        <v>15</v>
      </c>
      <c r="ED3" s="67" t="s">
        <v>7</v>
      </c>
      <c r="EE3" s="67" t="s">
        <v>32</v>
      </c>
      <c r="EF3" s="67" t="s">
        <v>33</v>
      </c>
      <c r="EG3" s="67" t="s">
        <v>15</v>
      </c>
      <c r="EH3" s="67" t="s">
        <v>7</v>
      </c>
      <c r="EI3" s="67" t="s">
        <v>32</v>
      </c>
      <c r="EJ3" s="67" t="s">
        <v>33</v>
      </c>
      <c r="EK3" s="11"/>
      <c r="EL3" s="10"/>
      <c r="EM3" s="10"/>
      <c r="EN3" s="10"/>
      <c r="EO3" s="11"/>
      <c r="EP3" s="11"/>
      <c r="EQ3" s="68" t="s">
        <v>15</v>
      </c>
      <c r="ER3" s="68" t="s">
        <v>7</v>
      </c>
      <c r="ES3" s="68" t="s">
        <v>32</v>
      </c>
      <c r="ET3" s="68" t="s">
        <v>33</v>
      </c>
      <c r="EU3" s="68" t="s">
        <v>15</v>
      </c>
      <c r="EV3" s="68" t="s">
        <v>7</v>
      </c>
      <c r="EW3" s="68" t="s">
        <v>32</v>
      </c>
      <c r="EX3" s="68" t="s">
        <v>33</v>
      </c>
      <c r="EY3" s="68" t="s">
        <v>15</v>
      </c>
      <c r="EZ3" s="68" t="s">
        <v>7</v>
      </c>
      <c r="FA3" s="68" t="s">
        <v>32</v>
      </c>
      <c r="FB3" s="68" t="s">
        <v>33</v>
      </c>
      <c r="FC3" s="68" t="s">
        <v>15</v>
      </c>
      <c r="FD3" s="68" t="s">
        <v>7</v>
      </c>
      <c r="FE3" s="68" t="s">
        <v>32</v>
      </c>
      <c r="FF3" s="68" t="s">
        <v>33</v>
      </c>
      <c r="FG3" s="68" t="s">
        <v>15</v>
      </c>
      <c r="FH3" s="68" t="s">
        <v>7</v>
      </c>
      <c r="FI3" s="68" t="s">
        <v>32</v>
      </c>
      <c r="FJ3" s="68" t="s">
        <v>33</v>
      </c>
      <c r="FK3" s="68" t="s">
        <v>15</v>
      </c>
      <c r="FL3" s="68" t="s">
        <v>7</v>
      </c>
      <c r="FM3" s="68" t="s">
        <v>32</v>
      </c>
      <c r="FN3" s="68" t="s">
        <v>33</v>
      </c>
      <c r="FO3" s="18"/>
      <c r="FP3" s="18"/>
      <c r="FQ3" s="18"/>
      <c r="FR3" s="18"/>
      <c r="FS3" s="18"/>
      <c r="FT3" s="18"/>
      <c r="FU3" s="67" t="s">
        <v>15</v>
      </c>
      <c r="FV3" s="67" t="s">
        <v>7</v>
      </c>
      <c r="FW3" s="67" t="s">
        <v>32</v>
      </c>
      <c r="FX3" s="67" t="s">
        <v>33</v>
      </c>
      <c r="FY3" s="67" t="s">
        <v>15</v>
      </c>
      <c r="FZ3" s="67" t="s">
        <v>7</v>
      </c>
      <c r="GA3" s="67" t="s">
        <v>32</v>
      </c>
      <c r="GB3" s="67" t="s">
        <v>33</v>
      </c>
      <c r="GC3" s="67" t="s">
        <v>15</v>
      </c>
      <c r="GD3" s="67" t="s">
        <v>7</v>
      </c>
      <c r="GE3" s="67" t="s">
        <v>32</v>
      </c>
      <c r="GF3" s="67" t="s">
        <v>33</v>
      </c>
      <c r="GG3" s="67" t="s">
        <v>15</v>
      </c>
      <c r="GH3" s="67" t="s">
        <v>7</v>
      </c>
      <c r="GI3" s="67" t="s">
        <v>32</v>
      </c>
      <c r="GJ3" s="67" t="s">
        <v>33</v>
      </c>
      <c r="GK3" s="67" t="s">
        <v>15</v>
      </c>
      <c r="GL3" s="67" t="s">
        <v>7</v>
      </c>
      <c r="GM3" s="67" t="s">
        <v>32</v>
      </c>
      <c r="GN3" s="67" t="s">
        <v>33</v>
      </c>
      <c r="GO3" s="67" t="s">
        <v>15</v>
      </c>
      <c r="GP3" s="67" t="s">
        <v>7</v>
      </c>
      <c r="GQ3" s="67" t="s">
        <v>32</v>
      </c>
      <c r="GR3" s="67" t="s">
        <v>33</v>
      </c>
      <c r="GS3" s="19"/>
      <c r="GT3" s="19"/>
      <c r="GU3" s="19"/>
      <c r="GV3" s="19"/>
      <c r="GW3" s="19"/>
      <c r="GX3" s="19"/>
      <c r="GY3" s="68" t="s">
        <v>15</v>
      </c>
      <c r="GZ3" s="68" t="s">
        <v>7</v>
      </c>
      <c r="HA3" s="68" t="s">
        <v>32</v>
      </c>
      <c r="HB3" s="68" t="s">
        <v>33</v>
      </c>
      <c r="HC3" s="68" t="s">
        <v>15</v>
      </c>
      <c r="HD3" s="68" t="s">
        <v>7</v>
      </c>
      <c r="HE3" s="68" t="s">
        <v>32</v>
      </c>
      <c r="HF3" s="68" t="s">
        <v>33</v>
      </c>
      <c r="HG3" s="68" t="s">
        <v>15</v>
      </c>
      <c r="HH3" s="68" t="s">
        <v>7</v>
      </c>
      <c r="HI3" s="68" t="s">
        <v>32</v>
      </c>
      <c r="HJ3" s="68" t="s">
        <v>33</v>
      </c>
      <c r="HK3" s="68" t="s">
        <v>15</v>
      </c>
      <c r="HL3" s="68" t="s">
        <v>7</v>
      </c>
      <c r="HM3" s="68" t="s">
        <v>32</v>
      </c>
      <c r="HN3" s="68" t="s">
        <v>33</v>
      </c>
      <c r="HO3" s="68" t="s">
        <v>15</v>
      </c>
      <c r="HP3" s="68" t="s">
        <v>7</v>
      </c>
      <c r="HQ3" s="68" t="s">
        <v>32</v>
      </c>
      <c r="HR3" s="68" t="s">
        <v>33</v>
      </c>
      <c r="HS3" s="68" t="s">
        <v>15</v>
      </c>
      <c r="HT3" s="68" t="s">
        <v>7</v>
      </c>
      <c r="HU3" s="68" t="s">
        <v>32</v>
      </c>
      <c r="HV3" s="68" t="s">
        <v>33</v>
      </c>
      <c r="HW3" s="18"/>
      <c r="HX3" s="18"/>
      <c r="HY3" s="18"/>
      <c r="HZ3" s="18"/>
      <c r="IA3" s="18"/>
      <c r="IB3" s="18"/>
      <c r="IC3" s="38" t="s">
        <v>15</v>
      </c>
      <c r="ID3" s="38" t="s">
        <v>7</v>
      </c>
      <c r="IE3" s="38" t="s">
        <v>32</v>
      </c>
      <c r="IF3" s="38" t="s">
        <v>33</v>
      </c>
      <c r="IG3" s="38" t="s">
        <v>15</v>
      </c>
      <c r="IH3" s="38" t="s">
        <v>7</v>
      </c>
      <c r="II3" s="38" t="s">
        <v>32</v>
      </c>
      <c r="IJ3" s="38" t="s">
        <v>33</v>
      </c>
      <c r="IK3" s="38" t="s">
        <v>15</v>
      </c>
      <c r="IL3" s="38" t="s">
        <v>7</v>
      </c>
      <c r="IM3" s="38" t="s">
        <v>32</v>
      </c>
      <c r="IN3" s="38" t="s">
        <v>33</v>
      </c>
      <c r="IO3" s="38" t="s">
        <v>15</v>
      </c>
      <c r="IP3" s="38" t="s">
        <v>7</v>
      </c>
      <c r="IQ3" s="38" t="s">
        <v>32</v>
      </c>
      <c r="IR3" s="38" t="s">
        <v>33</v>
      </c>
      <c r="IS3" s="38" t="s">
        <v>15</v>
      </c>
      <c r="IT3" s="38" t="s">
        <v>7</v>
      </c>
      <c r="IU3" s="38" t="s">
        <v>32</v>
      </c>
      <c r="IV3" s="38" t="s">
        <v>33</v>
      </c>
      <c r="IW3" s="38" t="s">
        <v>15</v>
      </c>
      <c r="IX3" s="38" t="s">
        <v>7</v>
      </c>
      <c r="IY3" s="38" t="s">
        <v>32</v>
      </c>
      <c r="IZ3" s="38" t="s">
        <v>33</v>
      </c>
      <c r="JA3" s="19"/>
      <c r="JB3" s="19"/>
      <c r="JC3" s="19"/>
      <c r="JD3" s="19"/>
      <c r="JE3" s="19"/>
      <c r="JF3" s="19"/>
      <c r="JG3" s="37" t="s">
        <v>15</v>
      </c>
      <c r="JH3" s="37" t="s">
        <v>7</v>
      </c>
      <c r="JI3" s="37" t="s">
        <v>32</v>
      </c>
      <c r="JJ3" s="37" t="s">
        <v>33</v>
      </c>
      <c r="JK3" s="37" t="s">
        <v>15</v>
      </c>
      <c r="JL3" s="37" t="s">
        <v>7</v>
      </c>
      <c r="JM3" s="37" t="s">
        <v>32</v>
      </c>
      <c r="JN3" s="37" t="s">
        <v>33</v>
      </c>
      <c r="JO3" s="37" t="s">
        <v>15</v>
      </c>
      <c r="JP3" s="37" t="s">
        <v>7</v>
      </c>
      <c r="JQ3" s="37" t="s">
        <v>32</v>
      </c>
      <c r="JR3" s="37" t="s">
        <v>33</v>
      </c>
      <c r="JS3" s="37" t="s">
        <v>15</v>
      </c>
      <c r="JT3" s="37" t="s">
        <v>7</v>
      </c>
      <c r="JU3" s="37" t="s">
        <v>32</v>
      </c>
      <c r="JV3" s="37" t="s">
        <v>33</v>
      </c>
      <c r="JW3" s="37" t="s">
        <v>15</v>
      </c>
      <c r="JX3" s="37" t="s">
        <v>7</v>
      </c>
      <c r="JY3" s="37" t="s">
        <v>32</v>
      </c>
      <c r="JZ3" s="37" t="s">
        <v>33</v>
      </c>
      <c r="KA3" s="37" t="s">
        <v>15</v>
      </c>
      <c r="KB3" s="37" t="s">
        <v>7</v>
      </c>
      <c r="KC3" s="37" t="s">
        <v>32</v>
      </c>
      <c r="KD3" s="37" t="s">
        <v>33</v>
      </c>
      <c r="KE3" s="18"/>
      <c r="KF3" s="18"/>
      <c r="KG3" s="18"/>
      <c r="KH3" s="18"/>
      <c r="KI3" s="18"/>
      <c r="KJ3" s="18"/>
      <c r="KK3" s="38" t="s">
        <v>15</v>
      </c>
      <c r="KL3" s="38" t="s">
        <v>7</v>
      </c>
      <c r="KM3" s="38" t="s">
        <v>32</v>
      </c>
      <c r="KN3" s="38" t="s">
        <v>33</v>
      </c>
      <c r="KO3" s="38" t="s">
        <v>15</v>
      </c>
      <c r="KP3" s="38" t="s">
        <v>7</v>
      </c>
      <c r="KQ3" s="38" t="s">
        <v>32</v>
      </c>
      <c r="KR3" s="38" t="s">
        <v>33</v>
      </c>
      <c r="KS3" s="38" t="s">
        <v>15</v>
      </c>
      <c r="KT3" s="38" t="s">
        <v>7</v>
      </c>
      <c r="KU3" s="38" t="s">
        <v>32</v>
      </c>
      <c r="KV3" s="38" t="s">
        <v>33</v>
      </c>
      <c r="KW3" s="38" t="s">
        <v>15</v>
      </c>
      <c r="KX3" s="38" t="s">
        <v>7</v>
      </c>
      <c r="KY3" s="38" t="s">
        <v>32</v>
      </c>
      <c r="KZ3" s="38" t="s">
        <v>33</v>
      </c>
      <c r="LA3" s="38" t="s">
        <v>15</v>
      </c>
      <c r="LB3" s="38" t="s">
        <v>7</v>
      </c>
      <c r="LC3" s="38" t="s">
        <v>32</v>
      </c>
      <c r="LD3" s="38" t="s">
        <v>33</v>
      </c>
      <c r="LE3" s="38" t="s">
        <v>15</v>
      </c>
      <c r="LF3" s="38" t="s">
        <v>7</v>
      </c>
      <c r="LG3" s="38" t="s">
        <v>32</v>
      </c>
      <c r="LH3" s="38" t="s">
        <v>33</v>
      </c>
      <c r="LI3" s="19"/>
      <c r="LJ3" s="19"/>
      <c r="LK3" s="19"/>
      <c r="LL3" s="19"/>
      <c r="LM3" s="19"/>
      <c r="LN3" s="19"/>
      <c r="LO3" s="37" t="s">
        <v>15</v>
      </c>
      <c r="LP3" s="37" t="s">
        <v>7</v>
      </c>
      <c r="LQ3" s="37" t="s">
        <v>32</v>
      </c>
      <c r="LR3" s="37" t="s">
        <v>33</v>
      </c>
      <c r="LS3" s="37" t="s">
        <v>15</v>
      </c>
      <c r="LT3" s="37" t="s">
        <v>7</v>
      </c>
      <c r="LU3" s="37" t="s">
        <v>32</v>
      </c>
      <c r="LV3" s="37" t="s">
        <v>33</v>
      </c>
      <c r="LW3" s="37" t="s">
        <v>15</v>
      </c>
      <c r="LX3" s="37" t="s">
        <v>7</v>
      </c>
      <c r="LY3" s="37" t="s">
        <v>32</v>
      </c>
      <c r="LZ3" s="37" t="s">
        <v>33</v>
      </c>
      <c r="MA3" s="37" t="s">
        <v>15</v>
      </c>
      <c r="MB3" s="37" t="s">
        <v>7</v>
      </c>
      <c r="MC3" s="37" t="s">
        <v>32</v>
      </c>
      <c r="MD3" s="37" t="s">
        <v>33</v>
      </c>
      <c r="ME3" s="37" t="s">
        <v>15</v>
      </c>
      <c r="MF3" s="37" t="s">
        <v>7</v>
      </c>
      <c r="MG3" s="37" t="s">
        <v>32</v>
      </c>
      <c r="MH3" s="37" t="s">
        <v>33</v>
      </c>
      <c r="MI3" s="37" t="s">
        <v>15</v>
      </c>
      <c r="MJ3" s="37" t="s">
        <v>7</v>
      </c>
      <c r="MK3" s="37" t="s">
        <v>32</v>
      </c>
      <c r="ML3" s="37" t="s">
        <v>33</v>
      </c>
      <c r="MM3" s="18"/>
      <c r="MN3" s="18"/>
      <c r="MO3" s="18"/>
      <c r="MP3" s="18"/>
      <c r="MQ3" s="18"/>
      <c r="MR3" s="18"/>
      <c r="MS3" s="38" t="s">
        <v>15</v>
      </c>
      <c r="MT3" s="38" t="s">
        <v>7</v>
      </c>
      <c r="MU3" s="38" t="s">
        <v>32</v>
      </c>
      <c r="MV3" s="38" t="s">
        <v>33</v>
      </c>
      <c r="MW3" s="38" t="s">
        <v>15</v>
      </c>
      <c r="MX3" s="38" t="s">
        <v>7</v>
      </c>
      <c r="MY3" s="38" t="s">
        <v>32</v>
      </c>
      <c r="MZ3" s="38" t="s">
        <v>33</v>
      </c>
      <c r="NA3" s="38" t="s">
        <v>15</v>
      </c>
      <c r="NB3" s="38" t="s">
        <v>7</v>
      </c>
      <c r="NC3" s="38" t="s">
        <v>32</v>
      </c>
      <c r="ND3" s="38" t="s">
        <v>33</v>
      </c>
      <c r="NE3" s="38" t="s">
        <v>15</v>
      </c>
      <c r="NF3" s="38" t="s">
        <v>7</v>
      </c>
      <c r="NG3" s="38" t="s">
        <v>32</v>
      </c>
      <c r="NH3" s="38" t="s">
        <v>33</v>
      </c>
      <c r="NI3" s="38" t="s">
        <v>15</v>
      </c>
      <c r="NJ3" s="38" t="s">
        <v>7</v>
      </c>
      <c r="NK3" s="38" t="s">
        <v>32</v>
      </c>
      <c r="NL3" s="38" t="s">
        <v>33</v>
      </c>
      <c r="NM3" s="38" t="s">
        <v>15</v>
      </c>
      <c r="NN3" s="38" t="s">
        <v>7</v>
      </c>
      <c r="NO3" s="38" t="s">
        <v>32</v>
      </c>
      <c r="NP3" s="38" t="s">
        <v>33</v>
      </c>
      <c r="NQ3" s="19"/>
      <c r="NR3" s="19"/>
      <c r="NS3" s="19"/>
      <c r="NT3" s="19"/>
      <c r="NU3" s="19"/>
      <c r="NV3" s="19"/>
      <c r="NW3" s="37" t="s">
        <v>15</v>
      </c>
      <c r="NX3" s="37" t="s">
        <v>7</v>
      </c>
      <c r="NY3" s="37" t="s">
        <v>32</v>
      </c>
      <c r="NZ3" s="37" t="s">
        <v>33</v>
      </c>
      <c r="OA3" s="37" t="s">
        <v>15</v>
      </c>
      <c r="OB3" s="37" t="s">
        <v>7</v>
      </c>
      <c r="OC3" s="37" t="s">
        <v>32</v>
      </c>
      <c r="OD3" s="37" t="s">
        <v>33</v>
      </c>
      <c r="OE3" s="37" t="s">
        <v>15</v>
      </c>
      <c r="OF3" s="37" t="s">
        <v>7</v>
      </c>
      <c r="OG3" s="37" t="s">
        <v>32</v>
      </c>
      <c r="OH3" s="37" t="s">
        <v>33</v>
      </c>
      <c r="OI3" s="37" t="s">
        <v>15</v>
      </c>
      <c r="OJ3" s="37" t="s">
        <v>7</v>
      </c>
      <c r="OK3" s="37" t="s">
        <v>32</v>
      </c>
      <c r="OL3" s="37" t="s">
        <v>33</v>
      </c>
      <c r="OM3" s="37" t="s">
        <v>15</v>
      </c>
      <c r="ON3" s="37" t="s">
        <v>7</v>
      </c>
      <c r="OO3" s="37" t="s">
        <v>32</v>
      </c>
      <c r="OP3" s="37" t="s">
        <v>33</v>
      </c>
      <c r="OQ3" s="37" t="s">
        <v>15</v>
      </c>
      <c r="OR3" s="37" t="s">
        <v>7</v>
      </c>
      <c r="OS3" s="37" t="s">
        <v>32</v>
      </c>
      <c r="OT3" s="37" t="s">
        <v>33</v>
      </c>
      <c r="OU3" s="18"/>
      <c r="OV3" s="18"/>
      <c r="OW3" s="18"/>
      <c r="OX3" s="18"/>
      <c r="OY3" s="18"/>
      <c r="OZ3" s="18"/>
      <c r="PA3" s="38" t="s">
        <v>15</v>
      </c>
      <c r="PB3" s="38" t="s">
        <v>7</v>
      </c>
      <c r="PC3" s="38" t="s">
        <v>32</v>
      </c>
      <c r="PD3" s="38" t="s">
        <v>33</v>
      </c>
      <c r="PE3" s="38" t="s">
        <v>15</v>
      </c>
      <c r="PF3" s="38" t="s">
        <v>7</v>
      </c>
      <c r="PG3" s="38" t="s">
        <v>32</v>
      </c>
      <c r="PH3" s="38" t="s">
        <v>33</v>
      </c>
      <c r="PI3" s="38" t="s">
        <v>15</v>
      </c>
      <c r="PJ3" s="38" t="s">
        <v>7</v>
      </c>
      <c r="PK3" s="38" t="s">
        <v>32</v>
      </c>
      <c r="PL3" s="38" t="s">
        <v>33</v>
      </c>
      <c r="PM3" s="38" t="s">
        <v>15</v>
      </c>
      <c r="PN3" s="38" t="s">
        <v>7</v>
      </c>
      <c r="PO3" s="38" t="s">
        <v>32</v>
      </c>
      <c r="PP3" s="38" t="s">
        <v>33</v>
      </c>
      <c r="PQ3" s="38" t="s">
        <v>15</v>
      </c>
      <c r="PR3" s="38" t="s">
        <v>7</v>
      </c>
      <c r="PS3" s="38" t="s">
        <v>32</v>
      </c>
      <c r="PT3" s="38" t="s">
        <v>33</v>
      </c>
      <c r="PU3" s="38" t="s">
        <v>15</v>
      </c>
      <c r="PV3" s="38" t="s">
        <v>7</v>
      </c>
      <c r="PW3" s="38" t="s">
        <v>32</v>
      </c>
      <c r="PX3" s="38" t="s">
        <v>33</v>
      </c>
      <c r="PY3" s="19"/>
      <c r="PZ3" s="19"/>
      <c r="QA3" s="19"/>
      <c r="QB3" s="19"/>
      <c r="QC3" s="19"/>
      <c r="QD3" s="19"/>
      <c r="QE3" s="37" t="s">
        <v>15</v>
      </c>
      <c r="QF3" s="37" t="s">
        <v>7</v>
      </c>
      <c r="QG3" s="37" t="s">
        <v>32</v>
      </c>
      <c r="QH3" s="37" t="s">
        <v>33</v>
      </c>
      <c r="QI3" s="37" t="s">
        <v>15</v>
      </c>
      <c r="QJ3" s="37" t="s">
        <v>7</v>
      </c>
      <c r="QK3" s="37" t="s">
        <v>32</v>
      </c>
      <c r="QL3" s="37" t="s">
        <v>33</v>
      </c>
      <c r="QM3" s="37" t="s">
        <v>15</v>
      </c>
      <c r="QN3" s="37" t="s">
        <v>7</v>
      </c>
      <c r="QO3" s="37" t="s">
        <v>32</v>
      </c>
      <c r="QP3" s="37" t="s">
        <v>33</v>
      </c>
      <c r="QQ3" s="37" t="s">
        <v>15</v>
      </c>
      <c r="QR3" s="37" t="s">
        <v>7</v>
      </c>
      <c r="QS3" s="37" t="s">
        <v>32</v>
      </c>
      <c r="QT3" s="37" t="s">
        <v>33</v>
      </c>
      <c r="QU3" s="37" t="s">
        <v>15</v>
      </c>
      <c r="QV3" s="37" t="s">
        <v>7</v>
      </c>
      <c r="QW3" s="37" t="s">
        <v>32</v>
      </c>
      <c r="QX3" s="37" t="s">
        <v>33</v>
      </c>
      <c r="QY3" s="37" t="s">
        <v>15</v>
      </c>
      <c r="QZ3" s="37" t="s">
        <v>7</v>
      </c>
      <c r="RA3" s="37" t="s">
        <v>32</v>
      </c>
      <c r="RB3" s="37" t="s">
        <v>33</v>
      </c>
      <c r="RC3" s="18"/>
      <c r="RD3" s="18"/>
      <c r="RE3" s="18"/>
      <c r="RF3" s="18"/>
      <c r="RG3" s="18"/>
      <c r="RH3" s="18"/>
    </row>
    <row r="4" spans="1:476" x14ac:dyDescent="0.2">
      <c r="A4" s="6">
        <f>IF(AND(F4="P",H4="P"),SUMPRODUCT((F$4:F$16="P")*(H$4:H$16="P")*(E$4:E$16&gt;E4))+1,IF(H4="P",SUMPRODUCT((F$4:F$16="")*(H$4:H$16="P")*(E$4:E$16&gt;E4))+1+SUMPRODUCT((F$4:F$16="P")*(H$4:H$16="P")),""))</f>
        <v>1</v>
      </c>
      <c r="B4" s="9" t="s">
        <v>68</v>
      </c>
      <c r="C4" s="5" t="s">
        <v>5</v>
      </c>
      <c r="D4" s="6">
        <v>2003</v>
      </c>
      <c r="E4" s="16">
        <f>SUM(J4:R4)</f>
        <v>351.70000000000005</v>
      </c>
      <c r="F4" s="4" t="str">
        <f>IF(OR(AND($AT4&gt;=$AU$19,NOT($AT4=""),$AS4=""),AND($BY4&gt;=$BZ$19,NOT($BY4=""),$BX4=""),AND($DD4&gt;=$DE$19,NOT($DD4=""),$DC4="")),"P","")</f>
        <v>P</v>
      </c>
      <c r="G4" s="4" t="str">
        <f>IF(OR(AND($AT4&gt;=$AU$20,NOT($AT4=""),$AS4=""),AND($BY4&gt;=$BZ$20,NOT($BY4=""),$BX4=""),AND($DD4&gt;=$DE$20,NOT($DD4=""),$DC4="")),"P","")</f>
        <v/>
      </c>
      <c r="H4" s="4" t="str">
        <f>IF(OR(AND($AW4&gt;=$AU$21,NOT($AW4=""),$AS4=""),AND($CB4&gt;=$BZ$21,NOT($CB4=""),$BX4=""),AND($DG4&gt;=$DE$21,NOT($DG4=""),$DC4="")),"P","")</f>
        <v>P</v>
      </c>
      <c r="I4" t="str">
        <f>IF(AND(G4="P",OR(AND($AW4&gt;=$AU$24,NOT($AW4=""),$AS4=""),AND($CB4&gt;=$BZ$24,NOT($CB4=""),$BX4=""),AND($DG4&gt;=$DE$24,NOT($DG4=""),$DC4=""))),"Merit",IF(AND(G4="P",OR(AND($AW4&gt;=$AU$23,NOT($AW4=""),$AS4=""),AND($CB4&gt;=$BZ$23,NOT($CB4=""),$BX4=""),AND($DG4&gt;=$DE$23,NOT($DG4=""),$DC4=""))),"Funding",IF(AND(G4="P",OR(AND($AW4&gt;=$AU$22,NOT($AW4=""),$AS4=""),AND($CB4&gt;=$BZ$22,NOT($CB4=""),$BX4=""),AND($DG4&gt;=$DE$22,NOT($DG4=""),$DC4=""))),"Worlds Team",IF(AND(F4="P",OR(AND($AW4&gt;=$AU$21,NOT($AW4=""),$AS4=""),AND($CB4&gt;=$BZ$21,NOT($CB4=""),$BX4=""),AND($DG4&gt;=$DE$21,NOT($DG4=""),$DC4=""))),"National Team",""))))</f>
        <v>National Team</v>
      </c>
      <c r="J4" s="15">
        <f>MAX(AW4,CB4,DG4)</f>
        <v>140.4</v>
      </c>
      <c r="K4" s="15" t="str">
        <f>IF(J4=DG4,$CE$1,IF(J4=CB4,$AZ$1,IF(J4=AW4,$U$1,"")))</f>
        <v>2018 Canada Cup</v>
      </c>
      <c r="L4" s="15">
        <f>IF($J4=$AW4,MAX(BZ4,DE4),IF($J4=$CB4,MAX(AU4,DE4),MAX(AU4,BZ4)))</f>
        <v>69.899999999999991</v>
      </c>
      <c r="M4" s="15" t="str">
        <f>IF(L4=DE4,$CE$1,IF(L4=BZ4,$AZ$1,IF(L4=AU4,$U$1,"")))</f>
        <v>2018 Nationals</v>
      </c>
      <c r="N4" s="15">
        <f>IF($J4=$AW4,MAX(CA4,DF4),IF($J4=$CB4,MAX(AV4,DF4),MAX(AV4,CA4)))</f>
        <v>70.400000000000006</v>
      </c>
      <c r="O4" s="15" t="str">
        <f>IF(N4=DF4,$CE$1,IF(N4=CA4,$AZ$1,IF(N4=AV4,$U$1,"")))</f>
        <v>2018 Nationals</v>
      </c>
      <c r="P4" s="15">
        <f>MAX(AX4,CC4,DH4)</f>
        <v>71</v>
      </c>
      <c r="Q4" s="15" t="str">
        <f>IF(P4=DH4,$CE$1,IF(P4=CC4,$AZ$1,IF(P4=AX4,$U$1,"")))</f>
        <v>2018 Canada Cup</v>
      </c>
      <c r="R4" s="15" t="str">
        <f>IF(MAX(DJ4:DL4)&gt;0,MAX(DJ4:DL4),"")</f>
        <v/>
      </c>
      <c r="S4" s="29" t="str">
        <f>IF(R4="","",IF(R4=DJ4,"(Pass 1-2)",IF(R4=DK4,"(Pass 3-4)",IF(R4=DL4,"(Final)"))))</f>
        <v/>
      </c>
      <c r="T4" s="15" t="str">
        <f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/>
      </c>
      <c r="U4" s="76">
        <v>27.9</v>
      </c>
      <c r="V4" s="76">
        <v>6.8</v>
      </c>
      <c r="W4" s="76">
        <v>0.9</v>
      </c>
      <c r="X4" s="76">
        <v>0</v>
      </c>
      <c r="Y4" s="76">
        <v>27.7</v>
      </c>
      <c r="Z4" s="76">
        <v>7.6</v>
      </c>
      <c r="AA4" s="76">
        <v>0</v>
      </c>
      <c r="AB4" s="76">
        <v>0</v>
      </c>
      <c r="AC4" s="76">
        <v>27.7</v>
      </c>
      <c r="AD4" s="76">
        <v>6.8</v>
      </c>
      <c r="AE4" s="76">
        <v>0</v>
      </c>
      <c r="AF4" s="76">
        <v>0</v>
      </c>
      <c r="AG4" s="76">
        <v>28</v>
      </c>
      <c r="AH4" s="76">
        <v>7.2</v>
      </c>
      <c r="AI4" s="76">
        <v>0</v>
      </c>
      <c r="AJ4" s="76">
        <v>0</v>
      </c>
      <c r="AK4" s="76">
        <v>27.9</v>
      </c>
      <c r="AL4" s="76">
        <v>6.8</v>
      </c>
      <c r="AM4" s="76">
        <v>0.9</v>
      </c>
      <c r="AN4" s="76">
        <v>0</v>
      </c>
      <c r="AO4" s="76">
        <v>28.3</v>
      </c>
      <c r="AP4" s="76">
        <v>7.2</v>
      </c>
      <c r="AQ4" s="76">
        <v>0</v>
      </c>
      <c r="AR4" s="76">
        <v>0</v>
      </c>
      <c r="AS4" s="108"/>
      <c r="AT4" s="12">
        <f>IF(SUM(V4,Z4,AD4,AH4)&gt;0,SUM(V4,Z4,AD4,AH4),"")</f>
        <v>28.4</v>
      </c>
      <c r="AU4" s="12">
        <f>IF(SUM(U4:V4,X4:Z4,AB4)-SUM(W4,AA4)&gt;0,SUM(U4:V4,X4:Z4,AB4)-SUM(W4,AA4),"")</f>
        <v>69.09999999999998</v>
      </c>
      <c r="AV4" s="12">
        <f>IF(SUM(AC4:AD4,AF4:AH4,AJ4)-SUM(AE4,AI4)&gt;0,SUM(AC4:AD4,AF4:AH4,AJ4)-SUM(AE4,AI4),"")</f>
        <v>69.7</v>
      </c>
      <c r="AW4" s="12">
        <f>IF(SUM(U4:V4,X4:Z4,AB4:AD4,AF4:AH4,AJ4)-SUM(W4,AA4,AE4,AI4)&gt;0,SUM(U4:V4,X4:Z4,AB4:AD4,AF4:AH4,AJ4)-SUM(W4,AA4,AE4,AI4),"")</f>
        <v>138.79999999999998</v>
      </c>
      <c r="AX4" s="12">
        <f>IF(SUM(AK4:AL4,AN4:AP4,AR4)-SUM(AM4,AQ4)&gt;0,SUM(AK4:AL4,AN4:AP4,AR4)-SUM(AM4,AQ4),"")</f>
        <v>69.3</v>
      </c>
      <c r="AY4" s="12">
        <f>IF(SUM(AW4,AX4)&gt;0,SUM(AW4,AX4),"")</f>
        <v>208.09999999999997</v>
      </c>
      <c r="AZ4" s="80">
        <v>28.3</v>
      </c>
      <c r="BA4" s="80">
        <v>7.6</v>
      </c>
      <c r="BB4" s="80">
        <v>0</v>
      </c>
      <c r="BC4" s="80">
        <v>0</v>
      </c>
      <c r="BD4" s="80">
        <v>27.6</v>
      </c>
      <c r="BE4" s="80">
        <v>6.8</v>
      </c>
      <c r="BF4" s="80">
        <v>0</v>
      </c>
      <c r="BG4" s="80">
        <v>0</v>
      </c>
      <c r="BH4" s="80">
        <v>27.7</v>
      </c>
      <c r="BI4" s="80">
        <v>7.3</v>
      </c>
      <c r="BJ4" s="80">
        <v>0</v>
      </c>
      <c r="BK4" s="80">
        <v>0</v>
      </c>
      <c r="BL4" s="80">
        <v>27.5</v>
      </c>
      <c r="BM4" s="80">
        <v>7.6</v>
      </c>
      <c r="BN4" s="80">
        <v>0</v>
      </c>
      <c r="BO4" s="80">
        <v>0</v>
      </c>
      <c r="BP4" s="80">
        <v>28.1</v>
      </c>
      <c r="BQ4" s="80">
        <v>7.6</v>
      </c>
      <c r="BR4" s="80">
        <v>0</v>
      </c>
      <c r="BS4" s="80">
        <v>0</v>
      </c>
      <c r="BT4" s="80">
        <v>28.1</v>
      </c>
      <c r="BU4" s="80">
        <v>7.2</v>
      </c>
      <c r="BV4" s="80">
        <v>0</v>
      </c>
      <c r="BW4" s="80">
        <v>0</v>
      </c>
      <c r="BX4" s="105"/>
      <c r="BY4" s="110">
        <f>IF(SUM(BA4,BE4,BI4,BM4)&gt;0,SUM(BA4,BE4,BI4,BM4),"")</f>
        <v>29.299999999999997</v>
      </c>
      <c r="BZ4" s="110">
        <f>IF(SUM(AZ4:BA4,BC4:BE4,BG4)-SUM(BB4,BF4)&gt;0,SUM(AZ4:BA4,BC4:BE4,BG4)-SUM(BB4,BF4),"")</f>
        <v>70.3</v>
      </c>
      <c r="CA4" s="110">
        <f>IF(SUM(BH4:BI4,BK4:BM4,BO4)-SUM(BJ4,BN4)&gt;0,SUM(BH4:BI4,BK4:BM4,BO4)-SUM(BJ4,BN4),"")</f>
        <v>70.099999999999994</v>
      </c>
      <c r="CB4" s="110">
        <f>IF(SUM(AZ4:BA4,BC4:BE4,BG4:BI4,BK4:BM4,BO4)-SUM(BB4,BF4,BJ4,BN4)&gt;0,SUM(AZ4:BA4,BC4:BE4,BG4:BI4,BK4:BM4,BO4)-SUM(BB4,BF4,BJ4,BN4),"")</f>
        <v>140.4</v>
      </c>
      <c r="CC4" s="110">
        <f>IF(SUM(BP4:BQ4,BS4:BU4,BW4)-SUM(BR4,BV4)&gt;0,SUM(BP4:BQ4,BS4:BU4,BW4)-SUM(BR4,BV4),"")</f>
        <v>71</v>
      </c>
      <c r="CD4" s="110">
        <f>IF(SUM(CB4,CC4)&gt;0,SUM(CB4,CC4),"")</f>
        <v>211.4</v>
      </c>
      <c r="CE4" s="45">
        <v>28.5</v>
      </c>
      <c r="CF4" s="45">
        <v>7.6</v>
      </c>
      <c r="CG4" s="45">
        <v>0.9</v>
      </c>
      <c r="CH4" s="45">
        <v>0</v>
      </c>
      <c r="CI4" s="45">
        <v>27.9</v>
      </c>
      <c r="CJ4" s="45">
        <v>6.8</v>
      </c>
      <c r="CK4" s="45">
        <v>0</v>
      </c>
      <c r="CL4" s="45">
        <v>0</v>
      </c>
      <c r="CM4" s="45">
        <v>28.5</v>
      </c>
      <c r="CN4" s="45">
        <v>7.2</v>
      </c>
      <c r="CO4" s="45">
        <v>0</v>
      </c>
      <c r="CP4" s="45">
        <v>0</v>
      </c>
      <c r="CQ4" s="45">
        <v>27.9</v>
      </c>
      <c r="CR4" s="45">
        <v>6.8</v>
      </c>
      <c r="CS4" s="45">
        <v>0</v>
      </c>
      <c r="CT4" s="45">
        <v>0</v>
      </c>
      <c r="CU4" s="45">
        <v>28.5</v>
      </c>
      <c r="CV4" s="45">
        <v>7.6</v>
      </c>
      <c r="CW4" s="45">
        <v>0.9</v>
      </c>
      <c r="CX4" s="45">
        <v>0</v>
      </c>
      <c r="CY4" s="45">
        <v>28.3</v>
      </c>
      <c r="CZ4" s="45">
        <v>7.2</v>
      </c>
      <c r="DA4" s="45">
        <v>0</v>
      </c>
      <c r="DB4" s="45">
        <v>0</v>
      </c>
      <c r="DC4" s="108"/>
      <c r="DD4" s="12">
        <f>IF(SUM(CF4,CJ4,CN4,CR4)&gt;0,SUM(CF4,CJ4,CN4,CR4),"")</f>
        <v>28.4</v>
      </c>
      <c r="DE4" s="12">
        <f>IF(SUM(CE4:CF4,CH4:CJ4,CL4)-SUM(CG4,CK4)&gt;0,SUM(CE4:CF4,CH4:CJ4,CL4)-SUM(CG4,CK4),"")</f>
        <v>69.899999999999991</v>
      </c>
      <c r="DF4" s="12">
        <f>IF(SUM(CM4:CN4,CP4:CR4,CT4)-SUM(CO4,CS4)&gt;0,SUM(CM4:CN4,CP4:CR4,CT4)-SUM(CO4,CS4),"")</f>
        <v>70.400000000000006</v>
      </c>
      <c r="DG4" s="12">
        <f>IF(SUM(CE4:CF4,CH4:CJ4,CL4:CN4,CP4:CR4,CT4)-SUM(CG4,CK4,CO4,CS4)&gt;0,SUM(CE4:CF4,CH4:CJ4,CL4:CN4,CP4:CR4,CT4)-SUM(CG4,CK4,CO4,CS4),"")</f>
        <v>140.30000000000001</v>
      </c>
      <c r="DH4" s="12">
        <f>IF(SUM(CU4:CV4,CX4:CZ4,DB4)-SUM(CW4,DA4)&gt;0,SUM(CU4:CV4,CX4:CZ4,DB4)-SUM(CW4,DA4),"")</f>
        <v>70.7</v>
      </c>
      <c r="DI4" s="12">
        <f>IF(SUM(DG4,DH4)&gt;0,SUM(DG4,DH4),"")</f>
        <v>211</v>
      </c>
      <c r="DJ4" s="28" t="str">
        <f>IF(MAX(EL4,FP4,GT4,HX4,JB4,KF4,LJ4,MN4,NR4,OV4,PZ4,RD4)-L4&gt;0.001,MAX(EL4,FP4,GT4,HX4,JB4,KF4,LJ4,MN4,NR4,OV4,PZ4,RD4)-L4,"")</f>
        <v/>
      </c>
      <c r="DK4" s="28" t="str">
        <f>IF(MAX(EM4,FQ4,GU4,HY4,JC4,KG4,LK4,MO4,NS4,OW4,QA4,RE4)-N4&gt;0.001,MAX(EM4,FQ4,GU4,HY4,JC4,KG4,LK4,MO4,NS4,OW4,QA4,RE4)-N4,"")</f>
        <v/>
      </c>
      <c r="DL4" s="28" t="str">
        <f>IF(MAX(EO4,FS4,GW4,IA4,JE4,KI4,LM4,MQ4,OY4,QC4,RG4)-P4&gt;0.001,MAX(EO4,FS4,GW4,IA4,JE4,KI4,LM4,MQ4,OY4,QC4,RG4)-P4,"")</f>
        <v/>
      </c>
      <c r="DM4" s="45">
        <v>27.7</v>
      </c>
      <c r="DN4" s="45">
        <v>6.8</v>
      </c>
      <c r="DO4" s="45">
        <v>0</v>
      </c>
      <c r="DP4" s="45">
        <v>0</v>
      </c>
      <c r="DQ4" s="45">
        <v>27.2</v>
      </c>
      <c r="DR4" s="45">
        <v>6.8</v>
      </c>
      <c r="DS4" s="45">
        <v>0</v>
      </c>
      <c r="DT4" s="45">
        <v>0</v>
      </c>
      <c r="DU4" s="45"/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12">
        <f>IF(SUM(DN4,DR4,DV4,DZ4)&gt;0,SUM(DN4,DR4,DV4,DZ4),"")</f>
        <v>13.6</v>
      </c>
      <c r="EL4" s="12">
        <f>IF(SUM(DM4:DN4,DP4:DR4,DT4)-SUM(DO4,DS4)&gt;0,SUM(DM4:DN4,DP4:DR4,DT4)-SUM(DO4,DS4),"")</f>
        <v>68.5</v>
      </c>
      <c r="EM4" s="12" t="str">
        <f>IF(SUM(DU4:DV4,DX4:DZ4,EB4)-SUM(DW4,EA4)&gt;0,SUM(DU4:DV4,DX4:DZ4,EB4)-SUM(DW4,EA4),"")</f>
        <v/>
      </c>
      <c r="EN4" s="12">
        <f>IF(SUM(DM4:DN4,DP4:DR4,DT4:DV4,DX4:DZ4,EB4)-SUM(DO4,DS4,DW4,EA4)&gt;0,SUM(DM4:DN4,DP4:DR4,DT4:DV4,DX4:DZ4,EB4)-SUM(DO4,DS4,DW4,EA4),"")</f>
        <v>68.5</v>
      </c>
      <c r="EO4" s="12" t="str">
        <f>IF(SUM(EC4:ED4,EF4:EH4,EJ4)-SUM(EE4,EI4)&gt;0,SUM(EC4:ED4,EF4:EH4,EJ4)-SUM(EE4,EI4),"")</f>
        <v/>
      </c>
      <c r="EP4" s="12">
        <f>IF(SUM(EN4,EO4)&gt;0,SUM(EN4,EO4),"")</f>
        <v>68.5</v>
      </c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50"/>
      <c r="FM4" s="50"/>
      <c r="FN4" s="50"/>
      <c r="FO4" s="15" t="str">
        <f>IF(SUM(ER4,EV4,EZ4,FD4)&gt;0,SUM(ER4,EV4,EZ4,FD4),"")</f>
        <v/>
      </c>
      <c r="FP4" s="15" t="str">
        <f>IF(SUM(EQ4:ER4,ET4:EV4,EX4)-SUM(ES4,EW4)&gt;0,SUM(EQ4:ER4,ET4:EV4,EX4)-SUM(ES4,EW4),"")</f>
        <v/>
      </c>
      <c r="FQ4" s="15" t="str">
        <f>IF(SUM(EY4:EZ4,FB4:FD4,FF4)-SUM(FA4,FE4)&gt;0,SUM(EY4:EZ4,FB4:FD4,FF4)-SUM(FA4,FE4),"")</f>
        <v/>
      </c>
      <c r="FR4" s="15" t="str">
        <f>IF(SUM(EQ4:ER4,ET4:EV4,EX4:EZ4,FB4:FD4,FF4)-SUM(ES4,EW4,FA4,FE4)&gt;0,SUM(EQ4:ER4,ET4:EV4,EX4:EZ4,FB4:FD4,FF4)-SUM(ES4,EW4,FA4,FE4),"")</f>
        <v/>
      </c>
      <c r="FS4" s="15" t="str">
        <f>IF(SUM(FG4:FH4,FJ4:FL4,FN4)-SUM(FI4,FM4)&gt;0,SUM(FG4:FH4,FJ4:FL4,FN4)-SUM(FI4,FM4),"")</f>
        <v/>
      </c>
      <c r="FT4" s="15" t="str">
        <f>IF(SUM(FR4,FS4)&gt;0,SUM(FR4,FS4),"")</f>
        <v/>
      </c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51"/>
      <c r="GQ4" s="51"/>
      <c r="GR4" s="51"/>
      <c r="GS4" s="12" t="str">
        <f>IF(SUM(FV4,FZ4,GD4,GH4)&gt;0,SUM(FV4,FZ4,GD4,GH4),"")</f>
        <v/>
      </c>
      <c r="GT4" s="12" t="str">
        <f>IF(SUM(FU4:FV4,FX4:FZ4,GB4)-SUM(FW4,GA4)&gt;0,SUM(FU4:FV4,FX4:FZ4,GB4)-SUM(FW4,GA4),"")</f>
        <v/>
      </c>
      <c r="GU4" s="12" t="str">
        <f>IF(SUM(GC4:GD4,GF4:GH4,GJ4)-SUM(GE4,GI4)&gt;0,SUM(GC4:GD4,GF4:GH4,GJ4)-SUM(GE4,GI4),"")</f>
        <v/>
      </c>
      <c r="GV4" s="12" t="str">
        <f>IF(SUM(FU4:FV4,FX4:FZ4,GB4:GD4,GF4:GH4,GJ4)-SUM(FW4,GA4,GE4,GI4)&gt;0,SUM(FU4:FV4,FX4:FZ4,GB4:GD4,GF4:GH4,GJ4)-SUM(FW4,GA4,GE4,GI4),"")</f>
        <v/>
      </c>
      <c r="GW4" s="12" t="str">
        <f>IF(SUM(GK4:GL4,GN4:GP4,GR4)-SUM(GM4,GQ4)&gt;0,SUM(GK4:GL4,GN4:GP4,GR4)-SUM(GM4,GQ4),"")</f>
        <v/>
      </c>
      <c r="GX4" s="12" t="str">
        <f>IF(SUM(GV4,GW4)&gt;0,SUM(GV4,GW4),"")</f>
        <v/>
      </c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50"/>
      <c r="HU4" s="50"/>
      <c r="HV4" s="50"/>
      <c r="HW4" s="15" t="str">
        <f>IF(SUM(GZ4,HD4,HH4,HL4)&gt;0,SUM(GZ4,HD4,HH4,HL4),"")</f>
        <v/>
      </c>
      <c r="HX4" s="15" t="str">
        <f>IF(SUM(GY4:GZ4,HB4:HD4,HF4)-SUM(HA4,HE4)&gt;0,SUM(GY4:GZ4,HB4:HD4,HF4)-SUM(HA4,HE4),"")</f>
        <v/>
      </c>
      <c r="HY4" s="15" t="str">
        <f>IF(SUM(HG4:HH4,HJ4:HL4,HN4)-SUM(HI4,HM4)&gt;0,SUM(HG4:HH4,HJ4:HL4,HN4)-SUM(HI4,HM4),"")</f>
        <v/>
      </c>
      <c r="HZ4" s="15" t="str">
        <f>IF(SUM(GY4:GZ4,HB4:HD4,HF4:HH4,HJ4:HL4,HN4)-SUM(HA4,HE4,HI4,HM4)&gt;0,SUM(GY4:GZ4,HB4:HD4,HF4:HH4,HJ4:HL4,HN4)-SUM(HA4,HE4,HI4,HM4),"")</f>
        <v/>
      </c>
      <c r="IA4" s="15" t="str">
        <f>IF(SUM(HO4:HP4,HR4:HT4,HV4)-SUM(HQ4,HU4)&gt;0,SUM(HO4:HP4,HR4:HT4,HV4)-SUM(HQ4,HU4),"")</f>
        <v/>
      </c>
      <c r="IB4" s="15" t="str">
        <f>IF(SUM(HZ4,IA4)&gt;0,SUM(HZ4,IA4),"")</f>
        <v/>
      </c>
      <c r="IC4" s="51"/>
      <c r="ID4" s="51"/>
      <c r="IE4" s="51"/>
      <c r="IF4" s="51"/>
      <c r="IG4" s="51"/>
      <c r="IH4" s="51"/>
      <c r="II4" s="51"/>
      <c r="IJ4" s="51"/>
      <c r="IK4" s="51"/>
      <c r="IL4" s="51"/>
      <c r="IM4" s="51"/>
      <c r="IN4" s="51"/>
      <c r="IO4" s="51"/>
      <c r="IP4" s="51"/>
      <c r="IQ4" s="51"/>
      <c r="IR4" s="51"/>
      <c r="IS4" s="51"/>
      <c r="IT4" s="51"/>
      <c r="IU4" s="51"/>
      <c r="IV4" s="51"/>
      <c r="IW4" s="51"/>
      <c r="IX4" s="51"/>
      <c r="IY4" s="51"/>
      <c r="IZ4" s="51"/>
      <c r="JA4" s="12" t="str">
        <f>IF(SUM(ID4,IH4,IL4,IP4)&gt;0,SUM(ID4,IH4,IL4,IP4),"")</f>
        <v/>
      </c>
      <c r="JB4" s="12" t="str">
        <f>IF(SUM(IC4:ID4,IF4:IH4,IJ4)-SUM(IE4,II4)&gt;0,SUM(IC4:ID4,IF4:IH4,IJ4)-SUM(IE4,II4),"")</f>
        <v/>
      </c>
      <c r="JC4" s="12" t="str">
        <f>IF(SUM(IK4:IL4,IN4:IP4,IR4)-SUM(IM4,IQ4)&gt;0,SUM(IK4:IL4,IN4:IP4,IR4)-SUM(IM4,IQ4),"")</f>
        <v/>
      </c>
      <c r="JD4" s="12" t="str">
        <f>IF(SUM(IC4:ID4,IF4:IH4,IJ4:IL4,IN4:IP4,IR4)-SUM(IE4,II4,IM4,IQ4)&gt;0,SUM(IC4:ID4,IF4:IH4,IJ4:IL4,IN4:IP4,IR4)-SUM(IE4,II4,IM4,IQ4),"")</f>
        <v/>
      </c>
      <c r="JE4" s="12" t="str">
        <f>IF(SUM(IS4:IT4,IV4:IX4,IZ4)-SUM(IU4,IY4)&gt;0,SUM(IS4:IT4,IV4:IX4,IZ4)-SUM(IU4,IY4),"")</f>
        <v/>
      </c>
      <c r="JF4" s="12" t="str">
        <f>IF(SUM(JD4,JE4)&gt;0,SUM(JD4,JE4),"")</f>
        <v/>
      </c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JX4" s="50"/>
      <c r="JY4" s="50"/>
      <c r="JZ4" s="50"/>
      <c r="KA4" s="50"/>
      <c r="KB4" s="50"/>
      <c r="KC4" s="50"/>
      <c r="KD4" s="50"/>
      <c r="KE4" s="15" t="str">
        <f>IF(SUM(JH4,JL4,JP4,JT4)&gt;0,SUM(JH4,JL4,JP4,JT4),"")</f>
        <v/>
      </c>
      <c r="KF4" s="15" t="str">
        <f>IF(SUM(JG4:JH4,JJ4:JL4,JN4)-SUM(JI4,JM4)&gt;0,SUM(JG4:JH4,JJ4:JL4,JN4)-SUM(JI4,JM4),"")</f>
        <v/>
      </c>
      <c r="KG4" s="15" t="str">
        <f>IF(SUM(JO4:JP4,JR4:JT4,JV4)-SUM(JQ4,JU4)&gt;0,SUM(JO4:JP4,JR4:JT4,JV4)-SUM(JQ4,JU4),"")</f>
        <v/>
      </c>
      <c r="KH4" s="15" t="str">
        <f>IF(SUM(JG4:JH4,JJ4:JL4,JN4:JP4,JR4:JT4,JV4)-SUM(JI4,JM4,JQ4,JU4)&gt;0,SUM(JG4:JH4,JJ4:JL4,JN4:JP4,JR4:JT4,JV4)-SUM(JI4,JM4,JQ4,JU4),"")</f>
        <v/>
      </c>
      <c r="KI4" s="15" t="str">
        <f>IF(SUM(JW4:JX4,JZ4:KB4,KD4)-SUM(JY4,KC4)&gt;0,SUM(JW4:JX4,JZ4:KB4,KD4)-SUM(JY4,KC4),"")</f>
        <v/>
      </c>
      <c r="KJ4" s="15" t="str">
        <f>IF(SUM(KH4,KI4)&gt;0,SUM(KH4,KI4),"")</f>
        <v/>
      </c>
      <c r="KK4" s="51"/>
      <c r="KL4" s="51"/>
      <c r="KM4" s="51"/>
      <c r="KN4" s="51"/>
      <c r="KO4" s="51"/>
      <c r="KP4" s="51"/>
      <c r="KQ4" s="51"/>
      <c r="KR4" s="51"/>
      <c r="KS4" s="51"/>
      <c r="KT4" s="51"/>
      <c r="KU4" s="51"/>
      <c r="KV4" s="51"/>
      <c r="KW4" s="51"/>
      <c r="KX4" s="51"/>
      <c r="KY4" s="51"/>
      <c r="KZ4" s="51"/>
      <c r="LA4" s="51"/>
      <c r="LB4" s="51"/>
      <c r="LC4" s="51"/>
      <c r="LD4" s="51"/>
      <c r="LE4" s="51"/>
      <c r="LF4" s="51"/>
      <c r="LG4" s="51"/>
      <c r="LH4" s="51"/>
      <c r="LI4" s="12" t="str">
        <f>IF(SUM(KL4,KP4,KT4,KX4)&gt;0,SUM(KL4,KP4,KT4,KX4),"")</f>
        <v/>
      </c>
      <c r="LJ4" s="12" t="str">
        <f>IF(SUM(KK4:KL4,KN4:KP4,KR4)-SUM(KM4,KQ4)&gt;0,SUM(KK4:KL4,KN4:KP4,KR4)-SUM(KM4,KQ4),"")</f>
        <v/>
      </c>
      <c r="LK4" s="12" t="str">
        <f>IF(SUM(KS4:KT4,KV4:KX4,KZ4)-SUM(KU4,KY4)&gt;0,SUM(KS4:KT4,KV4:KX4,KZ4)-SUM(KU4,KY4),"")</f>
        <v/>
      </c>
      <c r="LL4" s="12" t="str">
        <f>IF(SUM(KK4:KL4,KN4:KP4,KR4:KT4,KV4:KX4,KZ4)-SUM(KM4,KQ4,KU4,KY4)&gt;0,SUM(KK4:KL4,KN4:KP4,KR4:KT4,KV4:KX4,KZ4)-SUM(KM4,KQ4,KU4,KY4),"")</f>
        <v/>
      </c>
      <c r="LM4" s="12" t="str">
        <f>IF(SUM(LA4:LB4,LD4:LF4,LH4)-SUM(LC4,LG4)&gt;0,SUM(LA4:LB4,LD4:LF4,LH4)-SUM(LC4,LG4),"")</f>
        <v/>
      </c>
      <c r="LN4" s="12" t="str">
        <f>IF(SUM(LL4,LM4)&gt;0,SUM(LL4,LM4),"")</f>
        <v/>
      </c>
      <c r="LO4" s="50"/>
      <c r="LP4" s="50"/>
      <c r="LQ4" s="50"/>
      <c r="LR4" s="50"/>
      <c r="LS4" s="50"/>
      <c r="LT4" s="50"/>
      <c r="LU4" s="50"/>
      <c r="LV4" s="50"/>
      <c r="LW4" s="50"/>
      <c r="LX4" s="50"/>
      <c r="LY4" s="50"/>
      <c r="LZ4" s="50"/>
      <c r="MA4" s="50"/>
      <c r="MB4" s="50"/>
      <c r="MC4" s="50"/>
      <c r="MD4" s="50"/>
      <c r="ME4" s="50"/>
      <c r="MF4" s="50"/>
      <c r="MG4" s="50"/>
      <c r="MH4" s="50"/>
      <c r="MI4" s="50"/>
      <c r="MJ4" s="50"/>
      <c r="MK4" s="50"/>
      <c r="ML4" s="50"/>
      <c r="MM4" s="15" t="str">
        <f>IF(SUM(LP4,LT4,LX4,MB4)&gt;0,SUM(LP4,LT4,LX4,MB4),"")</f>
        <v/>
      </c>
      <c r="MN4" s="15" t="str">
        <f>IF(SUM(LO4:LP4,LR4:LT4,LV4)-SUM(LQ4,LU4)&gt;0,SUM(LO4:LP4,LR4:LT4,LV4)-SUM(LQ4,LU4),"")</f>
        <v/>
      </c>
      <c r="MO4" s="15" t="str">
        <f>IF(SUM(LW4:LX4,LZ4:MB4,MD4)-SUM(LY4,MC4)&gt;0,SUM(LW4:LX4,LZ4:MB4,MD4)-SUM(LY4,MC4),"")</f>
        <v/>
      </c>
      <c r="MP4" s="15" t="str">
        <f>IF(SUM(LO4:LP4,LR4:LT4,LV4:LX4,LZ4:MB4,MD4)-SUM(LQ4,LU4,LY4,MC4)&gt;0,SUM(LO4:LP4,LR4:LT4,LV4:LX4,LZ4:MB4,MD4)-SUM(LQ4,LU4,LY4,MC4),"")</f>
        <v/>
      </c>
      <c r="MQ4" s="15" t="str">
        <f>IF(SUM(ME4:MF4,MH4:MJ4,ML4)-SUM(MG4,MK4)&gt;0,SUM(ME4:MF4,MH4:MJ4,ML4)-SUM(MG4,MK4),"")</f>
        <v/>
      </c>
      <c r="MR4" s="15" t="str">
        <f>IF(SUM(MP4,MQ4)&gt;0,SUM(MP4,MQ4),"")</f>
        <v/>
      </c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51"/>
      <c r="NO4" s="51"/>
      <c r="NP4" s="51"/>
      <c r="NQ4" s="12" t="str">
        <f>IF(SUM(MT4,MX4,NB4,NF4)&gt;0,SUM(MT4,MX4,NB4,NF4),"")</f>
        <v/>
      </c>
      <c r="NR4" s="12" t="str">
        <f>IF(SUM(MS4:MT4,MV4:MX4,MZ4)-SUM(MU4,MY4)&gt;0,SUM(MS4:MT4,MV4:MX4,MZ4)-SUM(MU4,MY4),"")</f>
        <v/>
      </c>
      <c r="NS4" s="12" t="str">
        <f>IF(SUM(NA4:NB4,ND4:NF4,NH4)-SUM(NC4,NG4)&gt;0,SUM(NA4:NB4,ND4:NF4,NH4)-SUM(NC4,NG4),"")</f>
        <v/>
      </c>
      <c r="NT4" s="12" t="str">
        <f>IF(SUM(MS4:MT4,MV4:MX4,MZ4:NB4,ND4:NF4,NH4)-SUM(MU4,MY4,NC4,NG4)&gt;0,SUM(MS4:MT4,MV4:MX4,MZ4:NB4,ND4:NF4,NH4)-SUM(MU4,MY4,NC4,NG4),"")</f>
        <v/>
      </c>
      <c r="NU4" s="12" t="str">
        <f>IF(SUM(NI4:NJ4,NL4:NN4,NP4)-SUM(NK4,NO4)&gt;0,SUM(NI4:NJ4,NL4:NN4,NP4)-SUM(NK4,NO4),"")</f>
        <v/>
      </c>
      <c r="NV4" s="12" t="str">
        <f>IF(SUM(NT4,NU4)&gt;0,SUM(NT4,NU4),"")</f>
        <v/>
      </c>
      <c r="NW4" s="50"/>
      <c r="NX4" s="50"/>
      <c r="NY4" s="50"/>
      <c r="NZ4" s="50"/>
      <c r="OA4" s="50"/>
      <c r="OB4" s="50"/>
      <c r="OC4" s="50"/>
      <c r="OD4" s="50"/>
      <c r="OE4" s="50"/>
      <c r="OF4" s="50"/>
      <c r="OG4" s="50"/>
      <c r="OH4" s="50"/>
      <c r="OI4" s="50"/>
      <c r="OJ4" s="50"/>
      <c r="OK4" s="50"/>
      <c r="OL4" s="50"/>
      <c r="OM4" s="50"/>
      <c r="ON4" s="50"/>
      <c r="OO4" s="50"/>
      <c r="OP4" s="50"/>
      <c r="OQ4" s="50"/>
      <c r="OR4" s="50"/>
      <c r="OS4" s="50"/>
      <c r="OT4" s="50"/>
      <c r="OU4" s="15" t="str">
        <f>IF(SUM(NX4,OB4,OF4,OJ4)&gt;0,SUM(NX4,OB4,OF4,OJ4),"")</f>
        <v/>
      </c>
      <c r="OV4" s="15" t="str">
        <f>IF(SUM(NW4:NX4,NZ4:OB4,OD4)-SUM(NY4,OC4)&gt;0,SUM(NW4:NX4,NZ4:OB4,OD4)-SUM(NY4,OC4),"")</f>
        <v/>
      </c>
      <c r="OW4" s="15" t="str">
        <f>IF(SUM(OE4:OF4,OH4:OJ4,OL4)-SUM(OG4,OK4)&gt;0,SUM(OE4:OF4,OH4:OJ4,OL4)-SUM(OG4,OK4),"")</f>
        <v/>
      </c>
      <c r="OX4" s="15" t="str">
        <f>IF(SUM(NW4:NX4,NZ4:OB4,OD4:OF4,OH4:OJ4,OL4)-SUM(NY4,OC4,OG4,OK4)&gt;0,SUM(NW4:NX4,NZ4:OB4,OD4:OF4,OH4:OJ4,OL4)-SUM(NY4,OC4,OG4,OK4),"")</f>
        <v/>
      </c>
      <c r="OY4" s="15" t="str">
        <f>IF(SUM(OM4:ON4,OP4:OR4,OT4)-SUM(OO4,OS4)&gt;0,SUM(OM4:ON4,OP4:OR4,OT4)-SUM(OO4,OS4),"")</f>
        <v/>
      </c>
      <c r="OZ4" s="15" t="str">
        <f>IF(SUM(OX4,OY4)&gt;0,SUM(OX4,OY4),"")</f>
        <v/>
      </c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51"/>
      <c r="PW4" s="51"/>
      <c r="PX4" s="51"/>
      <c r="PY4" s="12" t="str">
        <f>IF(SUM(PB4,PF4,PJ4,PN4)&gt;0,SUM(PB4,PF4,PJ4,PN4),"")</f>
        <v/>
      </c>
      <c r="PZ4" s="12" t="str">
        <f>IF(SUM(PA4:PB4,PD4:PF4,PH4)-SUM(PC4,PG4)&gt;0,SUM(PA4:PB4,PD4:PF4,PH4)-SUM(PC4,PG4),"")</f>
        <v/>
      </c>
      <c r="QA4" s="12" t="str">
        <f>IF(SUM(PI4:PJ4,PL4:PN4,PP4)-SUM(PK4,PO4)&gt;0,SUM(PI4:PJ4,PL4:PN4,PP4)-SUM(PK4,PO4),"")</f>
        <v/>
      </c>
      <c r="QB4" s="12" t="str">
        <f>IF(SUM(PA4:PB4,PD4:PF4,PH4:PJ4,PL4:PN4,PP4)-SUM(PC4,PG4,PK4,PO4)&gt;0,SUM(PA4:PB4,PD4:PF4,PH4:PJ4,PL4:PN4,PP4)-SUM(PC4,PG4,PK4,PO4),"")</f>
        <v/>
      </c>
      <c r="QC4" s="12" t="str">
        <f>IF(SUM(PQ4:PR4,PT4:PV4,PX4)-SUM(PS4,PW4)&gt;0,SUM(PQ4:PR4,PT4:PV4,PX4)-SUM(PS4,PW4),"")</f>
        <v/>
      </c>
      <c r="QD4" s="12" t="str">
        <f>IF(SUM(QB4,QC4)&gt;0,SUM(QB4,QC4),"")</f>
        <v/>
      </c>
      <c r="QE4" s="50"/>
      <c r="QF4" s="50"/>
      <c r="QG4" s="50"/>
      <c r="QH4" s="50"/>
      <c r="QI4" s="50"/>
      <c r="QJ4" s="50"/>
      <c r="QK4" s="50"/>
      <c r="QL4" s="50"/>
      <c r="QM4" s="50"/>
      <c r="QN4" s="50"/>
      <c r="QO4" s="50"/>
      <c r="QP4" s="50"/>
      <c r="QQ4" s="50"/>
      <c r="QR4" s="50"/>
      <c r="QS4" s="50"/>
      <c r="QT4" s="50"/>
      <c r="QU4" s="50"/>
      <c r="QV4" s="50"/>
      <c r="QW4" s="50"/>
      <c r="QX4" s="50"/>
      <c r="QY4" s="50"/>
      <c r="QZ4" s="50"/>
      <c r="RA4" s="50"/>
      <c r="RB4" s="50"/>
      <c r="RC4" s="15" t="str">
        <f>IF(SUM(QF4,QJ4,QN4,QR4)&gt;0,SUM(QF4,QJ4,QN4,QR4),"")</f>
        <v/>
      </c>
      <c r="RD4" s="15" t="str">
        <f>IF(SUM(QE4:QF4,QH4:QJ4,QL4)-SUM(QG4,QK4)&gt;0,SUM(QE4:QF4,QH4:QJ4,QL4)-SUM(QG4,QK4),"")</f>
        <v/>
      </c>
      <c r="RE4" s="15" t="str">
        <f>IF(SUM(QM4:QN4,QP4:QR4,QT4)-SUM(QO4,QS4)&gt;0,SUM(QM4:QN4,QP4:QR4,QT4)-SUM(QO4,QS4),"")</f>
        <v/>
      </c>
      <c r="RF4" s="15" t="str">
        <f>IF(SUM(QE4:QF4,QH4:QJ4,QL4:QN4,QP4:QR4,QT4)-SUM(QG4,QK4,QO4,QS4)&gt;0,SUM(QE4:QF4,QH4:QJ4,QL4:QN4,QP4:QR4,QT4)-SUM(QG4,QK4,QO4,QS4),"")</f>
        <v/>
      </c>
      <c r="RG4" s="15" t="str">
        <f>IF(SUM(QU4:QV4,QX4:QZ4,RB4)-SUM(QW4,RA4)&gt;0,SUM(QU4:QV4,QX4:QZ4,RB4)-SUM(QW4,RA4),"")</f>
        <v/>
      </c>
      <c r="RH4" s="15" t="str">
        <f>IF(SUM(RF4,RG4)&gt;0,SUM(RF4,RG4),"")</f>
        <v/>
      </c>
    </row>
    <row r="5" spans="1:476" x14ac:dyDescent="0.2">
      <c r="A5" s="6">
        <f>IF(AND(F5="P",H5="P"),SUMPRODUCT((F$4:F$16="P")*(H$4:H$16="P")*(E$4:E$16&gt;E5))+1,IF(H5="P",SUMPRODUCT((F$4:F$16="")*(H$4:H$16="P")*(E$4:E$16&gt;E5))+1+SUMPRODUCT((F$4:F$16="P")*(H$4:H$16="P")),""))</f>
        <v>2</v>
      </c>
      <c r="B5" s="9" t="s">
        <v>91</v>
      </c>
      <c r="C5" s="5" t="s">
        <v>3</v>
      </c>
      <c r="D5" s="6">
        <v>2003</v>
      </c>
      <c r="E5" s="16">
        <f>SUM(J5:R5)</f>
        <v>342</v>
      </c>
      <c r="F5" s="4" t="str">
        <f>IF(OR(AND($AT5&gt;=$AU$19,NOT($AT5=""),$AS5=""),AND($BY5&gt;=$BZ$19,NOT($BY5=""),$BX5=""),AND($DD5&gt;=$DE$19,NOT($DD5=""),$DC5="")),"P","")</f>
        <v>P</v>
      </c>
      <c r="G5" s="4" t="str">
        <f>IF(OR(AND($AT5&gt;=$AU$20,NOT($AT5=""),$AS5=""),AND($BY5&gt;=$BZ$20,NOT($BY5=""),$BX5=""),AND($DD5&gt;=$DE$20,NOT($DD5=""),$DC5="")),"P","")</f>
        <v/>
      </c>
      <c r="H5" s="4" t="str">
        <f>IF(OR(AND($AW5&gt;=$AU$21,NOT($AW5=""),$AS5=""),AND($CB5&gt;=$BZ$21,NOT($CB5=""),$BX5=""),AND($DG5&gt;=$DE$21,NOT($DG5=""),$DC5="")),"P","")</f>
        <v>P</v>
      </c>
      <c r="I5" t="str">
        <f>IF(AND(G5="P",OR(AND($AW5&gt;=$AU$24,NOT($AW5=""),$AS5=""),AND($CB5&gt;=$BZ$24,NOT($CB5=""),$BX5=""),AND($DG5&gt;=$DE$24,NOT($DG5=""),$DC5=""))),"Merit",IF(AND(G5="P",OR(AND($AW5&gt;=$AU$23,NOT($AW5=""),$AS5=""),AND($CB5&gt;=$BZ$23,NOT($CB5=""),$BX5=""),AND($DG5&gt;=$DE$23,NOT($DG5=""),$DC5=""))),"Funding",IF(AND(G5="P",OR(AND($AW5&gt;=$AU$22,NOT($AW5=""),$AS5=""),AND($CB5&gt;=$BZ$22,NOT($CB5=""),$BX5=""),AND($DG5&gt;=$DE$22,NOT($DG5=""),$DC5=""))),"Worlds Team",IF(AND(F5="P",OR(AND($AW5&gt;=$AU$21,NOT($AW5=""),$AS5=""),AND($CB5&gt;=$BZ$21,NOT($CB5=""),$BX5=""),AND($DG5&gt;=$DE$21,NOT($DG5=""),$DC5=""))),"National Team",""))))</f>
        <v>National Team</v>
      </c>
      <c r="J5" s="15">
        <f>MAX(AW5,CB5,DG5)</f>
        <v>138.1</v>
      </c>
      <c r="K5" s="15" t="str">
        <f>IF(J5=DG5,$CE$1,IF(J5=CB5,$AZ$1,IF(J5=AW5,$U$1,"")))</f>
        <v>2018 Nationals</v>
      </c>
      <c r="L5" s="15">
        <f>IF($J5=$AW5,MAX(BZ5,DE5),IF($J5=$CB5,MAX(AU5,DE5),MAX(AU5,BZ5)))</f>
        <v>68.7</v>
      </c>
      <c r="M5" s="15" t="str">
        <f>IF(L5=DE5,$CE$1,IF(L5=BZ5,$AZ$1,IF(L5=AU5,$U$1,"")))</f>
        <v>2018 Canada Cup</v>
      </c>
      <c r="N5" s="15">
        <f>IF($J5=$AW5,MAX(CA5,DF5),IF($J5=$CB5,MAX(AV5,DF5),MAX(AV5,CA5)))</f>
        <v>66.3</v>
      </c>
      <c r="O5" s="15" t="str">
        <f>IF(N5=DF5,$CE$1,IF(N5=CA5,$AZ$1,IF(N5=AV5,$U$1,"")))</f>
        <v>2018 Canada Cup</v>
      </c>
      <c r="P5" s="15">
        <f>MAX(AX5,CC5,DH5)</f>
        <v>68.900000000000006</v>
      </c>
      <c r="Q5" s="15" t="str">
        <f>IF(P5=DH5,$CE$1,IF(P5=CC5,$AZ$1,IF(P5=AX5,$U$1,"")))</f>
        <v>2018 Nationals</v>
      </c>
      <c r="R5" s="15" t="str">
        <f>IF(MAX(DJ5:DL5)&gt;0,MAX(DJ5:DL5),"")</f>
        <v/>
      </c>
      <c r="S5" s="29" t="str">
        <f>IF(R5="","",IF(R5=DJ5,"(Pass 1-2)",IF(R5=DK5,"(Pass 3-4)",IF(R5=DL5,"(Final)"))))</f>
        <v/>
      </c>
      <c r="T5" s="15" t="str">
        <f>IF(R5="","",IF(R5=DJ5,IF(R5+L5=RD5,$QE$1,IF(R5+L5=PZ5,$PA$1,IF(R5+L5=OV5,$NW$1,IF(R5+L5=NR5,$MS$1,IF(R5+L5=MN5,$LO$1,IF(R5+L5=LJ5,$KK$1,IF(R5+L5=KF5,$JG$1,IF(R5+L5=JB5,$IC$1,IF(R5+L5=HX5,$GY$1,IF(R5+L5=GT5,$FU$1,IF(R5+L5=FP5,$EQ$1,IF(R5+L5=EL5,$DM$1)))))))))))),IF(R5=DK5,IF(R5+N5=RE5,$QE$1,IF(R5+N5=QA5,$PA$1,IF(R5+N5=OW5,$NW$1,IF(R5+N5=NS5,$MS$1,IF(R5+N5=MO5,$LO$1,IF(R5+N5=LK5,$KK$1,IF(R5+N5=KG5,$JG$1,IF(R5+N5=JC5,$IC$1,IF(R5+N5=HY5,$GY$1,IF(R5+N5=GU5,$FU$1,IF(R5+N5=FQ5,$EQ$1,IF(R5+N5=EM5,$DM$1)))))))))))),IF(R5=DL5,IF(R5+P5=RG5,$QE$1,IF(R5+P5=QC5,$PA$1,IF(R5+P5=OY5,$NW$1,IF(R5+P5=NU5,$MS$1,IF(R5+P5=MQ5,$LO$1,IF(R5+P5=LM5,$KK$1,IF(R5+P5=KI5,$JG$1,IF(R5+P5=JE5,$IC$1,IF(R5+P5=IA5,$GY$1,IF(R5+P5=GW5,$FU$1,IF(R5+P5=FS5,$EQ$1,IF(R5+P5=EO5,$DM$1))))))))))))))))</f>
        <v/>
      </c>
      <c r="U5" s="76">
        <v>28.2</v>
      </c>
      <c r="V5" s="76">
        <v>6</v>
      </c>
      <c r="W5" s="76">
        <v>0.3</v>
      </c>
      <c r="X5" s="76">
        <v>0</v>
      </c>
      <c r="Y5" s="76">
        <v>27.9</v>
      </c>
      <c r="Z5" s="76">
        <v>5.2</v>
      </c>
      <c r="AA5" s="76">
        <v>0</v>
      </c>
      <c r="AB5" s="76">
        <v>0</v>
      </c>
      <c r="AC5" s="76">
        <v>27.3</v>
      </c>
      <c r="AD5" s="76">
        <v>5.6</v>
      </c>
      <c r="AE5" s="76">
        <v>0</v>
      </c>
      <c r="AF5" s="76">
        <v>0</v>
      </c>
      <c r="AG5" s="76">
        <v>19.899999999999999</v>
      </c>
      <c r="AH5" s="76">
        <v>2</v>
      </c>
      <c r="AI5" s="76">
        <v>0</v>
      </c>
      <c r="AJ5" s="76">
        <v>0</v>
      </c>
      <c r="AK5" s="76">
        <v>27.8</v>
      </c>
      <c r="AL5" s="76">
        <v>6</v>
      </c>
      <c r="AM5" s="76">
        <v>0.3</v>
      </c>
      <c r="AN5" s="76">
        <v>0</v>
      </c>
      <c r="AO5" s="76">
        <v>28.5</v>
      </c>
      <c r="AP5" s="76">
        <v>5.2</v>
      </c>
      <c r="AQ5" s="76">
        <v>0</v>
      </c>
      <c r="AR5" s="76">
        <v>0</v>
      </c>
      <c r="AS5" s="108"/>
      <c r="AT5" s="12">
        <f>IF(SUM(V5,Z5,AD5,AH5)&gt;0,SUM(V5,Z5,AD5,AH5),"")</f>
        <v>18.799999999999997</v>
      </c>
      <c r="AU5" s="12">
        <f>IF(SUM(U5:V5,X5:Z5,AB5)-SUM(W5,AA5)&gt;0,SUM(U5:V5,X5:Z5,AB5)-SUM(W5,AA5),"")</f>
        <v>67</v>
      </c>
      <c r="AV5" s="12">
        <f>IF(SUM(AC5:AD5,AF5:AH5,AJ5)-SUM(AE5,AI5)&gt;0,SUM(AC5:AD5,AF5:AH5,AJ5)-SUM(AE5,AI5),"")</f>
        <v>54.8</v>
      </c>
      <c r="AW5" s="12">
        <f>IF(SUM(U5:V5,X5:Z5,AB5:AD5,AF5:AH5,AJ5)-SUM(W5,AA5,AE5,AI5)&gt;0,SUM(U5:V5,X5:Z5,AB5:AD5,AF5:AH5,AJ5)-SUM(W5,AA5,AE5,AI5),"")</f>
        <v>121.8</v>
      </c>
      <c r="AX5" s="12">
        <f>IF(SUM(AK5:AL5,AN5:AP5,AR5)-SUM(AM5,AQ5)&gt;0,SUM(AK5:AL5,AN5:AP5,AR5)-SUM(AM5,AQ5),"")</f>
        <v>67.2</v>
      </c>
      <c r="AY5" s="12">
        <f>IF(SUM(AW5,AX5)&gt;0,SUM(AW5,AX5),"")</f>
        <v>189</v>
      </c>
      <c r="AZ5" s="80">
        <v>27.9</v>
      </c>
      <c r="BA5" s="80">
        <v>6.8</v>
      </c>
      <c r="BB5" s="80">
        <v>0.3</v>
      </c>
      <c r="BC5" s="80">
        <v>0</v>
      </c>
      <c r="BD5" s="80">
        <v>27.9</v>
      </c>
      <c r="BE5" s="80">
        <v>6.4</v>
      </c>
      <c r="BF5" s="80">
        <v>0</v>
      </c>
      <c r="BG5" s="80">
        <v>0</v>
      </c>
      <c r="BH5" s="80">
        <v>27.2</v>
      </c>
      <c r="BI5" s="80">
        <v>6.8</v>
      </c>
      <c r="BJ5" s="80">
        <v>1.2</v>
      </c>
      <c r="BK5" s="80">
        <v>0</v>
      </c>
      <c r="BL5" s="80">
        <v>27.9</v>
      </c>
      <c r="BM5" s="80">
        <v>5.6</v>
      </c>
      <c r="BN5" s="80">
        <v>0</v>
      </c>
      <c r="BO5" s="80">
        <v>0</v>
      </c>
      <c r="BP5" s="80">
        <v>28.1</v>
      </c>
      <c r="BQ5" s="80">
        <v>5.15</v>
      </c>
      <c r="BR5" s="80">
        <v>0.15</v>
      </c>
      <c r="BS5" s="80">
        <v>0</v>
      </c>
      <c r="BT5" s="80">
        <v>28.25</v>
      </c>
      <c r="BU5" s="80">
        <v>5</v>
      </c>
      <c r="BV5" s="80">
        <v>0</v>
      </c>
      <c r="BW5" s="80">
        <v>0</v>
      </c>
      <c r="BX5" s="105"/>
      <c r="BY5" s="110">
        <f>IF(SUM(BA5,BE5,BI5,BM5)&gt;0,SUM(BA5,BE5,BI5,BM5),"")</f>
        <v>25.6</v>
      </c>
      <c r="BZ5" s="110">
        <f>IF(SUM(AZ5:BA5,BC5:BE5,BG5)-SUM(BB5,BF5)&gt;0,SUM(AZ5:BA5,BC5:BE5,BG5)-SUM(BB5,BF5),"")</f>
        <v>68.7</v>
      </c>
      <c r="CA5" s="110">
        <f>IF(SUM(BH5:BI5,BK5:BM5,BO5)-SUM(BJ5,BN5)&gt;0,SUM(BH5:BI5,BK5:BM5,BO5)-SUM(BJ5,BN5),"")</f>
        <v>66.3</v>
      </c>
      <c r="CB5" s="110">
        <f>IF(SUM(AZ5:BA5,BC5:BE5,BG5:BI5,BK5:BM5,BO5)-SUM(BB5,BF5,BJ5,BN5)&gt;0,SUM(AZ5:BA5,BC5:BE5,BG5:BI5,BK5:BM5,BO5)-SUM(BB5,BF5,BJ5,BN5),"")</f>
        <v>135</v>
      </c>
      <c r="CC5" s="110">
        <f>IF(SUM(BP5:BQ5,BS5:BU5,BW5)-SUM(BR5,BV5)&gt;0,SUM(BP5:BQ5,BS5:BU5,BW5)-SUM(BR5,BV5),"")</f>
        <v>66.349999999999994</v>
      </c>
      <c r="CD5" s="110">
        <f>IF(SUM(CB5,CC5)&gt;0,SUM(CB5,CC5),"")</f>
        <v>201.35</v>
      </c>
      <c r="CE5" s="45">
        <v>28.6</v>
      </c>
      <c r="CF5" s="45">
        <v>6.8</v>
      </c>
      <c r="CG5" s="45">
        <v>0</v>
      </c>
      <c r="CH5" s="45">
        <v>0</v>
      </c>
      <c r="CI5" s="45">
        <v>28.4</v>
      </c>
      <c r="CJ5" s="45">
        <v>6.4</v>
      </c>
      <c r="CK5" s="45">
        <v>0</v>
      </c>
      <c r="CL5" s="45">
        <v>0</v>
      </c>
      <c r="CM5" s="45">
        <v>27.7</v>
      </c>
      <c r="CN5" s="45">
        <v>6.8</v>
      </c>
      <c r="CO5" s="45">
        <v>0.9</v>
      </c>
      <c r="CP5" s="45">
        <v>0</v>
      </c>
      <c r="CQ5" s="45">
        <v>28.3</v>
      </c>
      <c r="CR5" s="45">
        <v>6</v>
      </c>
      <c r="CS5" s="45">
        <v>0</v>
      </c>
      <c r="CT5" s="45">
        <v>0</v>
      </c>
      <c r="CU5" s="76">
        <v>27.6</v>
      </c>
      <c r="CV5" s="76">
        <v>7.6</v>
      </c>
      <c r="CW5" s="76">
        <v>0.3</v>
      </c>
      <c r="CX5" s="76">
        <v>0</v>
      </c>
      <c r="CY5" s="76">
        <v>27.5</v>
      </c>
      <c r="CZ5" s="76">
        <v>6.8</v>
      </c>
      <c r="DA5" s="76">
        <v>0.3</v>
      </c>
      <c r="DB5" s="76">
        <v>0</v>
      </c>
      <c r="DC5" s="108"/>
      <c r="DD5" s="12">
        <f>IF(SUM(CF5,CJ5,CN5,CR5)&gt;0,SUM(CF5,CJ5,CN5,CR5),"")</f>
        <v>26</v>
      </c>
      <c r="DE5" s="12">
        <f>IF(SUM(CE5:CF5,CH5:CJ5,CL5)-SUM(CG5,CK5)&gt;0,SUM(CE5:CF5,CH5:CJ5,CL5)-SUM(CG5,CK5),"")</f>
        <v>70.2</v>
      </c>
      <c r="DF5" s="12">
        <f>IF(SUM(CM5:CN5,CP5:CR5,CT5)-SUM(CO5,CS5)&gt;0,SUM(CM5:CN5,CP5:CR5,CT5)-SUM(CO5,CS5),"")</f>
        <v>67.899999999999991</v>
      </c>
      <c r="DG5" s="12">
        <f>IF(SUM(CE5:CF5,CH5:CJ5,CL5:CN5,CP5:CR5,CT5)-SUM(CG5,CK5,CO5,CS5)&gt;0,SUM(CE5:CF5,CH5:CJ5,CL5:CN5,CP5:CR5,CT5)-SUM(CG5,CK5,CO5,CS5),"")</f>
        <v>138.1</v>
      </c>
      <c r="DH5" s="12">
        <f>IF(SUM(CU5:CV5,CX5:CZ5,DB5)-SUM(CW5,DA5)&gt;0,SUM(CU5:CV5,CX5:CZ5,DB5)-SUM(CW5,DA5),"")</f>
        <v>68.900000000000006</v>
      </c>
      <c r="DI5" s="12">
        <f>IF(SUM(DG5,DH5)&gt;0,SUM(DG5,DH5),"")</f>
        <v>207</v>
      </c>
      <c r="DJ5" s="28" t="str">
        <f>IF(MAX(EL5,FP5,GT5,HX5,JB5,KF5,LJ5,MN5,NR5,OV5,PZ5,RD5)-L5&gt;0.001,MAX(EL5,FP5,GT5,HX5,JB5,KF5,LJ5,MN5,NR5,OV5,PZ5,RD5)-L5,"")</f>
        <v/>
      </c>
      <c r="DK5" s="28" t="str">
        <f>IF(MAX(EM5,FQ5,GU5,HY5,JC5,KG5,LK5,MO5,NS5,OW5,QA5,RE5)-N5&gt;0.001,MAX(EM5,FQ5,GU5,HY5,JC5,KG5,LK5,MO5,NS5,OW5,QA5,RE5)-N5,"")</f>
        <v/>
      </c>
      <c r="DL5" s="28" t="str">
        <f>IF(MAX(EO5,FS5,GW5,IA5,JE5,KI5,LM5,MQ5,OY5,QC5,RG5)-P5&gt;0.001,MAX(EO5,FS5,GW5,IA5,JE5,KI5,LM5,MQ5,OY5,QC5,RG5)-P5,"")</f>
        <v/>
      </c>
      <c r="DM5" s="45">
        <v>27.7</v>
      </c>
      <c r="DN5" s="45">
        <v>7.2</v>
      </c>
      <c r="DO5" s="45">
        <v>0.9</v>
      </c>
      <c r="DP5" s="45">
        <v>0</v>
      </c>
      <c r="DQ5" s="45">
        <v>27.7</v>
      </c>
      <c r="DR5" s="45">
        <v>6.8</v>
      </c>
      <c r="DS5" s="45">
        <v>1.2</v>
      </c>
      <c r="DT5" s="45">
        <v>0</v>
      </c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12">
        <f>IF(SUM(DN5,DR5,DV5,DZ5)&gt;0,SUM(DN5,DR5,DV5,DZ5),"")</f>
        <v>14</v>
      </c>
      <c r="EL5" s="12">
        <f>IF(SUM(DM5:DN5,DP5:DR5,DT5)-SUM(DO5,DS5)&gt;0,SUM(DM5:DN5,DP5:DR5,DT5)-SUM(DO5,DS5),"")</f>
        <v>67.3</v>
      </c>
      <c r="EM5" s="12" t="str">
        <f>IF(SUM(DU5:DV5,DX5:DZ5,EB5)-SUM(DW5,EA5)&gt;0,SUM(DU5:DV5,DX5:DZ5,EB5)-SUM(DW5,EA5),"")</f>
        <v/>
      </c>
      <c r="EN5" s="12">
        <f>IF(SUM(DM5:DN5,DP5:DR5,DT5:DV5,DX5:DZ5,EB5)-SUM(DO5,DS5,DW5,EA5)&gt;0,SUM(DM5:DN5,DP5:DR5,DT5:DV5,DX5:DZ5,EB5)-SUM(DO5,DS5,DW5,EA5),"")</f>
        <v>67.3</v>
      </c>
      <c r="EO5" s="12" t="str">
        <f>IF(SUM(EC5:ED5,EF5:EH5,EJ5)-SUM(EE5,EI5)&gt;0,SUM(EC5:ED5,EF5:EH5,EJ5)-SUM(EE5,EI5),"")</f>
        <v/>
      </c>
      <c r="EP5" s="12">
        <f>IF(SUM(EN5,EO5)&gt;0,SUM(EN5,EO5),"")</f>
        <v>67.3</v>
      </c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  <c r="FF5" s="50"/>
      <c r="FG5" s="50"/>
      <c r="FH5" s="50"/>
      <c r="FI5" s="50"/>
      <c r="FJ5" s="50"/>
      <c r="FK5" s="50"/>
      <c r="FL5" s="50"/>
      <c r="FM5" s="50"/>
      <c r="FN5" s="50"/>
      <c r="FO5" s="15" t="str">
        <f>IF(SUM(ER5,EV5,EZ5,FD5)&gt;0,SUM(ER5,EV5,EZ5,FD5),"")</f>
        <v/>
      </c>
      <c r="FP5" s="15" t="str">
        <f>IF(SUM(EQ5:ER5,ET5:EV5,EX5)-SUM(ES5,EW5)&gt;0,SUM(EQ5:ER5,ET5:EV5,EX5)-SUM(ES5,EW5),"")</f>
        <v/>
      </c>
      <c r="FQ5" s="15" t="str">
        <f>IF(SUM(EY5:EZ5,FB5:FD5,FF5)-SUM(FA5,FE5)&gt;0,SUM(EY5:EZ5,FB5:FD5,FF5)-SUM(FA5,FE5),"")</f>
        <v/>
      </c>
      <c r="FR5" s="15" t="str">
        <f>IF(SUM(EQ5:ER5,ET5:EV5,EX5:EZ5,FB5:FD5,FF5)-SUM(ES5,EW5,FA5,FE5)&gt;0,SUM(EQ5:ER5,ET5:EV5,EX5:EZ5,FB5:FD5,FF5)-SUM(ES5,EW5,FA5,FE5),"")</f>
        <v/>
      </c>
      <c r="FS5" s="15" t="str">
        <f>IF(SUM(FG5:FH5,FJ5:FL5,FN5)-SUM(FI5,FM5)&gt;0,SUM(FG5:FH5,FJ5:FL5,FN5)-SUM(FI5,FM5),"")</f>
        <v/>
      </c>
      <c r="FT5" s="15" t="str">
        <f>IF(SUM(FR5,FS5)&gt;0,SUM(FR5,FS5),"")</f>
        <v/>
      </c>
      <c r="FU5" s="51"/>
      <c r="FV5" s="51"/>
      <c r="FW5" s="51"/>
      <c r="FX5" s="51"/>
      <c r="FY5" s="51"/>
      <c r="FZ5" s="51"/>
      <c r="GA5" s="51"/>
      <c r="GB5" s="51"/>
      <c r="GC5" s="51"/>
      <c r="GD5" s="51"/>
      <c r="GE5" s="51"/>
      <c r="GF5" s="51"/>
      <c r="GG5" s="51"/>
      <c r="GH5" s="51"/>
      <c r="GI5" s="51"/>
      <c r="GJ5" s="51"/>
      <c r="GK5" s="51"/>
      <c r="GL5" s="51"/>
      <c r="GM5" s="51"/>
      <c r="GN5" s="51"/>
      <c r="GO5" s="51"/>
      <c r="GP5" s="51"/>
      <c r="GQ5" s="51"/>
      <c r="GR5" s="51"/>
      <c r="GS5" s="12" t="str">
        <f>IF(SUM(FV5,FZ5,GD5,GH5)&gt;0,SUM(FV5,FZ5,GD5,GH5),"")</f>
        <v/>
      </c>
      <c r="GT5" s="12" t="str">
        <f>IF(SUM(FU5:FV5,FX5:FZ5,GB5)-SUM(FW5,GA5)&gt;0,SUM(FU5:FV5,FX5:FZ5,GB5)-SUM(FW5,GA5),"")</f>
        <v/>
      </c>
      <c r="GU5" s="12" t="str">
        <f>IF(SUM(GC5:GD5,GF5:GH5,GJ5)-SUM(GE5,GI5)&gt;0,SUM(GC5:GD5,GF5:GH5,GJ5)-SUM(GE5,GI5),"")</f>
        <v/>
      </c>
      <c r="GV5" s="12" t="str">
        <f>IF(SUM(FU5:FV5,FX5:FZ5,GB5:GD5,GF5:GH5,GJ5)-SUM(FW5,GA5,GE5,GI5)&gt;0,SUM(FU5:FV5,FX5:FZ5,GB5:GD5,GF5:GH5,GJ5)-SUM(FW5,GA5,GE5,GI5),"")</f>
        <v/>
      </c>
      <c r="GW5" s="12" t="str">
        <f>IF(SUM(GK5:GL5,GN5:GP5,GR5)-SUM(GM5,GQ5)&gt;0,SUM(GK5:GL5,GN5:GP5,GR5)-SUM(GM5,GQ5),"")</f>
        <v/>
      </c>
      <c r="GX5" s="12" t="str">
        <f>IF(SUM(GV5,GW5)&gt;0,SUM(GV5,GW5),"")</f>
        <v/>
      </c>
      <c r="GY5" s="50"/>
      <c r="GZ5" s="50"/>
      <c r="HA5" s="50"/>
      <c r="HB5" s="50"/>
      <c r="HC5" s="50"/>
      <c r="HD5" s="50"/>
      <c r="HE5" s="50"/>
      <c r="HF5" s="50"/>
      <c r="HG5" s="50"/>
      <c r="HH5" s="50"/>
      <c r="HI5" s="50"/>
      <c r="HJ5" s="50"/>
      <c r="HK5" s="50"/>
      <c r="HL5" s="50"/>
      <c r="HM5" s="50"/>
      <c r="HN5" s="50"/>
      <c r="HO5" s="50"/>
      <c r="HP5" s="50"/>
      <c r="HQ5" s="50"/>
      <c r="HR5" s="50"/>
      <c r="HS5" s="50"/>
      <c r="HT5" s="50"/>
      <c r="HU5" s="50"/>
      <c r="HV5" s="50"/>
      <c r="HW5" s="15" t="str">
        <f>IF(SUM(GZ5,HD5,HH5,HL5)&gt;0,SUM(GZ5,HD5,HH5,HL5),"")</f>
        <v/>
      </c>
      <c r="HX5" s="15" t="str">
        <f>IF(SUM(GY5:GZ5,HB5:HD5,HF5)-SUM(HA5,HE5)&gt;0,SUM(GY5:GZ5,HB5:HD5,HF5)-SUM(HA5,HE5),"")</f>
        <v/>
      </c>
      <c r="HY5" s="15" t="str">
        <f>IF(SUM(HG5:HH5,HJ5:HL5,HN5)-SUM(HI5,HM5)&gt;0,SUM(HG5:HH5,HJ5:HL5,HN5)-SUM(HI5,HM5),"")</f>
        <v/>
      </c>
      <c r="HZ5" s="15" t="str">
        <f>IF(SUM(GY5:GZ5,HB5:HD5,HF5:HH5,HJ5:HL5,HN5)-SUM(HA5,HE5,HI5,HM5)&gt;0,SUM(GY5:GZ5,HB5:HD5,HF5:HH5,HJ5:HL5,HN5)-SUM(HA5,HE5,HI5,HM5),"")</f>
        <v/>
      </c>
      <c r="IA5" s="15" t="str">
        <f>IF(SUM(HO5:HP5,HR5:HT5,HV5)-SUM(HQ5,HU5)&gt;0,SUM(HO5:HP5,HR5:HT5,HV5)-SUM(HQ5,HU5),"")</f>
        <v/>
      </c>
      <c r="IB5" s="15" t="str">
        <f>IF(SUM(HZ5,IA5)&gt;0,SUM(HZ5,IA5),"")</f>
        <v/>
      </c>
      <c r="IC5" s="51"/>
      <c r="ID5" s="51"/>
      <c r="IE5" s="51"/>
      <c r="IF5" s="51"/>
      <c r="IG5" s="51"/>
      <c r="IH5" s="51"/>
      <c r="II5" s="51"/>
      <c r="IJ5" s="51"/>
      <c r="IK5" s="51"/>
      <c r="IL5" s="51"/>
      <c r="IM5" s="51"/>
      <c r="IN5" s="51"/>
      <c r="IO5" s="51"/>
      <c r="IP5" s="51"/>
      <c r="IQ5" s="51"/>
      <c r="IR5" s="51"/>
      <c r="IS5" s="51"/>
      <c r="IT5" s="51"/>
      <c r="IU5" s="51"/>
      <c r="IV5" s="51"/>
      <c r="IW5" s="51"/>
      <c r="IX5" s="51"/>
      <c r="IY5" s="51"/>
      <c r="IZ5" s="51"/>
      <c r="JA5" s="12" t="str">
        <f>IF(SUM(ID5,IH5,IL5,IP5)&gt;0,SUM(ID5,IH5,IL5,IP5),"")</f>
        <v/>
      </c>
      <c r="JB5" s="12" t="str">
        <f>IF(SUM(IC5:ID5,IF5:IH5,IJ5)-SUM(IE5,II5)&gt;0,SUM(IC5:ID5,IF5:IH5,IJ5)-SUM(IE5,II5),"")</f>
        <v/>
      </c>
      <c r="JC5" s="12" t="str">
        <f>IF(SUM(IK5:IL5,IN5:IP5,IR5)-SUM(IM5,IQ5)&gt;0,SUM(IK5:IL5,IN5:IP5,IR5)-SUM(IM5,IQ5),"")</f>
        <v/>
      </c>
      <c r="JD5" s="12" t="str">
        <f>IF(SUM(IC5:ID5,IF5:IH5,IJ5:IL5,IN5:IP5,IR5)-SUM(IE5,II5,IM5,IQ5)&gt;0,SUM(IC5:ID5,IF5:IH5,IJ5:IL5,IN5:IP5,IR5)-SUM(IE5,II5,IM5,IQ5),"")</f>
        <v/>
      </c>
      <c r="JE5" s="12" t="str">
        <f>IF(SUM(IS5:IT5,IV5:IX5,IZ5)-SUM(IU5,IY5)&gt;0,SUM(IS5:IT5,IV5:IX5,IZ5)-SUM(IU5,IY5),"")</f>
        <v/>
      </c>
      <c r="JF5" s="12" t="str">
        <f>IF(SUM(JD5,JE5)&gt;0,SUM(JD5,JE5),"")</f>
        <v/>
      </c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JX5" s="50"/>
      <c r="JY5" s="50"/>
      <c r="JZ5" s="50"/>
      <c r="KA5" s="50"/>
      <c r="KB5" s="50"/>
      <c r="KC5" s="50"/>
      <c r="KD5" s="50"/>
      <c r="KE5" s="15" t="str">
        <f>IF(SUM(JH5,JL5,JP5,JT5)&gt;0,SUM(JH5,JL5,JP5,JT5),"")</f>
        <v/>
      </c>
      <c r="KF5" s="15" t="str">
        <f>IF(SUM(JG5:JH5,JJ5:JL5,JN5)-SUM(JI5,JM5)&gt;0,SUM(JG5:JH5,JJ5:JL5,JN5)-SUM(JI5,JM5),"")</f>
        <v/>
      </c>
      <c r="KG5" s="15" t="str">
        <f>IF(SUM(JO5:JP5,JR5:JT5,JV5)-SUM(JQ5,JU5)&gt;0,SUM(JO5:JP5,JR5:JT5,JV5)-SUM(JQ5,JU5),"")</f>
        <v/>
      </c>
      <c r="KH5" s="15" t="str">
        <f>IF(SUM(JG5:JH5,JJ5:JL5,JN5:JP5,JR5:JT5,JV5)-SUM(JI5,JM5,JQ5,JU5)&gt;0,SUM(JG5:JH5,JJ5:JL5,JN5:JP5,JR5:JT5,JV5)-SUM(JI5,JM5,JQ5,JU5),"")</f>
        <v/>
      </c>
      <c r="KI5" s="15" t="str">
        <f>IF(SUM(JW5:JX5,JZ5:KB5,KD5)-SUM(JY5,KC5)&gt;0,SUM(JW5:JX5,JZ5:KB5,KD5)-SUM(JY5,KC5),"")</f>
        <v/>
      </c>
      <c r="KJ5" s="15" t="str">
        <f>IF(SUM(KH5,KI5)&gt;0,SUM(KH5,KI5),"")</f>
        <v/>
      </c>
      <c r="KK5" s="51"/>
      <c r="KL5" s="51"/>
      <c r="KM5" s="51"/>
      <c r="KN5" s="51"/>
      <c r="KO5" s="51"/>
      <c r="KP5" s="51"/>
      <c r="KQ5" s="51"/>
      <c r="KR5" s="51"/>
      <c r="KS5" s="51"/>
      <c r="KT5" s="51"/>
      <c r="KU5" s="51"/>
      <c r="KV5" s="51"/>
      <c r="KW5" s="51"/>
      <c r="KX5" s="51"/>
      <c r="KY5" s="51"/>
      <c r="KZ5" s="51"/>
      <c r="LA5" s="51"/>
      <c r="LB5" s="51"/>
      <c r="LC5" s="51"/>
      <c r="LD5" s="51"/>
      <c r="LE5" s="51"/>
      <c r="LF5" s="51"/>
      <c r="LG5" s="51"/>
      <c r="LH5" s="51"/>
      <c r="LI5" s="12" t="str">
        <f>IF(SUM(KL5,KP5,KT5,KX5)&gt;0,SUM(KL5,KP5,KT5,KX5),"")</f>
        <v/>
      </c>
      <c r="LJ5" s="12" t="str">
        <f>IF(SUM(KK5:KL5,KN5:KP5,KR5)-SUM(KM5,KQ5)&gt;0,SUM(KK5:KL5,KN5:KP5,KR5)-SUM(KM5,KQ5),"")</f>
        <v/>
      </c>
      <c r="LK5" s="12" t="str">
        <f>IF(SUM(KS5:KT5,KV5:KX5,KZ5)-SUM(KU5,KY5)&gt;0,SUM(KS5:KT5,KV5:KX5,KZ5)-SUM(KU5,KY5),"")</f>
        <v/>
      </c>
      <c r="LL5" s="12" t="str">
        <f>IF(SUM(KK5:KL5,KN5:KP5,KR5:KT5,KV5:KX5,KZ5)-SUM(KM5,KQ5,KU5,KY5)&gt;0,SUM(KK5:KL5,KN5:KP5,KR5:KT5,KV5:KX5,KZ5)-SUM(KM5,KQ5,KU5,KY5),"")</f>
        <v/>
      </c>
      <c r="LM5" s="12" t="str">
        <f>IF(SUM(LA5:LB5,LD5:LF5,LH5)-SUM(LC5,LG5)&gt;0,SUM(LA5:LB5,LD5:LF5,LH5)-SUM(LC5,LG5),"")</f>
        <v/>
      </c>
      <c r="LN5" s="12" t="str">
        <f>IF(SUM(LL5,LM5)&gt;0,SUM(LL5,LM5),"")</f>
        <v/>
      </c>
      <c r="LO5" s="50"/>
      <c r="LP5" s="50"/>
      <c r="LQ5" s="50"/>
      <c r="LR5" s="50"/>
      <c r="LS5" s="50"/>
      <c r="LT5" s="50"/>
      <c r="LU5" s="50"/>
      <c r="LV5" s="50"/>
      <c r="LW5" s="50"/>
      <c r="LX5" s="50"/>
      <c r="LY5" s="50"/>
      <c r="LZ5" s="50"/>
      <c r="MA5" s="50"/>
      <c r="MB5" s="50"/>
      <c r="MC5" s="50"/>
      <c r="MD5" s="50"/>
      <c r="ME5" s="50"/>
      <c r="MF5" s="50"/>
      <c r="MG5" s="50"/>
      <c r="MH5" s="50"/>
      <c r="MI5" s="50"/>
      <c r="MJ5" s="50"/>
      <c r="MK5" s="50"/>
      <c r="ML5" s="50"/>
      <c r="MM5" s="15" t="str">
        <f>IF(SUM(LP5,LT5,LX5,MB5)&gt;0,SUM(LP5,LT5,LX5,MB5),"")</f>
        <v/>
      </c>
      <c r="MN5" s="15" t="str">
        <f>IF(SUM(LO5:LP5,LR5:LT5,LV5)-SUM(LQ5,LU5)&gt;0,SUM(LO5:LP5,LR5:LT5,LV5)-SUM(LQ5,LU5),"")</f>
        <v/>
      </c>
      <c r="MO5" s="15" t="str">
        <f>IF(SUM(LW5:LX5,LZ5:MB5,MD5)-SUM(LY5,MC5)&gt;0,SUM(LW5:LX5,LZ5:MB5,MD5)-SUM(LY5,MC5),"")</f>
        <v/>
      </c>
      <c r="MP5" s="15" t="str">
        <f>IF(SUM(LO5:LP5,LR5:LT5,LV5:LX5,LZ5:MB5,MD5)-SUM(LQ5,LU5,LY5,MC5)&gt;0,SUM(LO5:LP5,LR5:LT5,LV5:LX5,LZ5:MB5,MD5)-SUM(LQ5,LU5,LY5,MC5),"")</f>
        <v/>
      </c>
      <c r="MQ5" s="15" t="str">
        <f>IF(SUM(ME5:MF5,MH5:MJ5,ML5)-SUM(MG5,MK5)&gt;0,SUM(ME5:MF5,MH5:MJ5,ML5)-SUM(MG5,MK5),"")</f>
        <v/>
      </c>
      <c r="MR5" s="15" t="str">
        <f>IF(SUM(MP5,MQ5)&gt;0,SUM(MP5,MQ5),"")</f>
        <v/>
      </c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51"/>
      <c r="NO5" s="51"/>
      <c r="NP5" s="51"/>
      <c r="NQ5" s="12" t="str">
        <f>IF(SUM(MT5,MX5,NB5,NF5)&gt;0,SUM(MT5,MX5,NB5,NF5),"")</f>
        <v/>
      </c>
      <c r="NR5" s="12" t="str">
        <f>IF(SUM(MS5:MT5,MV5:MX5,MZ5)-SUM(MU5,MY5)&gt;0,SUM(MS5:MT5,MV5:MX5,MZ5)-SUM(MU5,MY5),"")</f>
        <v/>
      </c>
      <c r="NS5" s="12" t="str">
        <f>IF(SUM(NA5:NB5,ND5:NF5,NH5)-SUM(NC5,NG5)&gt;0,SUM(NA5:NB5,ND5:NF5,NH5)-SUM(NC5,NG5),"")</f>
        <v/>
      </c>
      <c r="NT5" s="12" t="str">
        <f>IF(SUM(MS5:MT5,MV5:MX5,MZ5:NB5,ND5:NF5,NH5)-SUM(MU5,MY5,NC5,NG5)&gt;0,SUM(MS5:MT5,MV5:MX5,MZ5:NB5,ND5:NF5,NH5)-SUM(MU5,MY5,NC5,NG5),"")</f>
        <v/>
      </c>
      <c r="NU5" s="12" t="str">
        <f>IF(SUM(NI5:NJ5,NL5:NN5,NP5)-SUM(NK5,NO5)&gt;0,SUM(NI5:NJ5,NL5:NN5,NP5)-SUM(NK5,NO5),"")</f>
        <v/>
      </c>
      <c r="NV5" s="12" t="str">
        <f>IF(SUM(NT5,NU5)&gt;0,SUM(NT5,NU5),"")</f>
        <v/>
      </c>
      <c r="NW5" s="50"/>
      <c r="NX5" s="50"/>
      <c r="NY5" s="50"/>
      <c r="NZ5" s="50"/>
      <c r="OA5" s="50"/>
      <c r="OB5" s="50"/>
      <c r="OC5" s="50"/>
      <c r="OD5" s="50"/>
      <c r="OE5" s="50"/>
      <c r="OF5" s="50"/>
      <c r="OG5" s="50"/>
      <c r="OH5" s="50"/>
      <c r="OI5" s="50"/>
      <c r="OJ5" s="50"/>
      <c r="OK5" s="50"/>
      <c r="OL5" s="50"/>
      <c r="OM5" s="50"/>
      <c r="ON5" s="50"/>
      <c r="OO5" s="50"/>
      <c r="OP5" s="50"/>
      <c r="OQ5" s="50"/>
      <c r="OR5" s="50"/>
      <c r="OS5" s="50"/>
      <c r="OT5" s="50"/>
      <c r="OU5" s="15" t="str">
        <f>IF(SUM(NX5,OB5,OF5,OJ5)&gt;0,SUM(NX5,OB5,OF5,OJ5),"")</f>
        <v/>
      </c>
      <c r="OV5" s="15" t="str">
        <f>IF(SUM(NW5:NX5,NZ5:OB5,OD5)-SUM(NY5,OC5)&gt;0,SUM(NW5:NX5,NZ5:OB5,OD5)-SUM(NY5,OC5),"")</f>
        <v/>
      </c>
      <c r="OW5" s="15" t="str">
        <f>IF(SUM(OE5:OF5,OH5:OJ5,OL5)-SUM(OG5,OK5)&gt;0,SUM(OE5:OF5,OH5:OJ5,OL5)-SUM(OG5,OK5),"")</f>
        <v/>
      </c>
      <c r="OX5" s="15" t="str">
        <f>IF(SUM(NW5:NX5,NZ5:OB5,OD5:OF5,OH5:OJ5,OL5)-SUM(NY5,OC5,OG5,OK5)&gt;0,SUM(NW5:NX5,NZ5:OB5,OD5:OF5,OH5:OJ5,OL5)-SUM(NY5,OC5,OG5,OK5),"")</f>
        <v/>
      </c>
      <c r="OY5" s="15" t="str">
        <f>IF(SUM(OM5:ON5,OP5:OR5,OT5)-SUM(OO5,OS5)&gt;0,SUM(OM5:ON5,OP5:OR5,OT5)-SUM(OO5,OS5),"")</f>
        <v/>
      </c>
      <c r="OZ5" s="15" t="str">
        <f>IF(SUM(OX5,OY5)&gt;0,SUM(OX5,OY5),"")</f>
        <v/>
      </c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51"/>
      <c r="PW5" s="51"/>
      <c r="PX5" s="51"/>
      <c r="PY5" s="12" t="str">
        <f>IF(SUM(PB5,PF5,PJ5,PN5)&gt;0,SUM(PB5,PF5,PJ5,PN5),"")</f>
        <v/>
      </c>
      <c r="PZ5" s="12" t="str">
        <f>IF(SUM(PA5:PB5,PD5:PF5,PH5)-SUM(PC5,PG5)&gt;0,SUM(PA5:PB5,PD5:PF5,PH5)-SUM(PC5,PG5),"")</f>
        <v/>
      </c>
      <c r="QA5" s="12" t="str">
        <f>IF(SUM(PI5:PJ5,PL5:PN5,PP5)-SUM(PK5,PO5)&gt;0,SUM(PI5:PJ5,PL5:PN5,PP5)-SUM(PK5,PO5),"")</f>
        <v/>
      </c>
      <c r="QB5" s="12" t="str">
        <f>IF(SUM(PA5:PB5,PD5:PF5,PH5:PJ5,PL5:PN5,PP5)-SUM(PC5,PG5,PK5,PO5)&gt;0,SUM(PA5:PB5,PD5:PF5,PH5:PJ5,PL5:PN5,PP5)-SUM(PC5,PG5,PK5,PO5),"")</f>
        <v/>
      </c>
      <c r="QC5" s="12" t="str">
        <f>IF(SUM(PQ5:PR5,PT5:PV5,PX5)-SUM(PS5,PW5)&gt;0,SUM(PQ5:PR5,PT5:PV5,PX5)-SUM(PS5,PW5),"")</f>
        <v/>
      </c>
      <c r="QD5" s="12" t="str">
        <f>IF(SUM(QB5,QC5)&gt;0,SUM(QB5,QC5),"")</f>
        <v/>
      </c>
      <c r="QE5" s="50"/>
      <c r="QF5" s="50"/>
      <c r="QG5" s="50"/>
      <c r="QH5" s="50"/>
      <c r="QI5" s="50"/>
      <c r="QJ5" s="50"/>
      <c r="QK5" s="50"/>
      <c r="QL5" s="50"/>
      <c r="QM5" s="50"/>
      <c r="QN5" s="50"/>
      <c r="QO5" s="50"/>
      <c r="QP5" s="50"/>
      <c r="QQ5" s="50"/>
      <c r="QR5" s="50"/>
      <c r="QS5" s="50"/>
      <c r="QT5" s="50"/>
      <c r="QU5" s="50"/>
      <c r="QV5" s="50"/>
      <c r="QW5" s="50"/>
      <c r="QX5" s="50"/>
      <c r="QY5" s="50"/>
      <c r="QZ5" s="50"/>
      <c r="RA5" s="50"/>
      <c r="RB5" s="50"/>
      <c r="RC5" s="15" t="str">
        <f>IF(SUM(QF5,QJ5,QN5,QR5)&gt;0,SUM(QF5,QJ5,QN5,QR5),"")</f>
        <v/>
      </c>
      <c r="RD5" s="15" t="str">
        <f>IF(SUM(QE5:QF5,QH5:QJ5,QL5)-SUM(QG5,QK5)&gt;0,SUM(QE5:QF5,QH5:QJ5,QL5)-SUM(QG5,QK5),"")</f>
        <v/>
      </c>
      <c r="RE5" s="15" t="str">
        <f>IF(SUM(QM5:QN5,QP5:QR5,QT5)-SUM(QO5,QS5)&gt;0,SUM(QM5:QN5,QP5:QR5,QT5)-SUM(QO5,QS5),"")</f>
        <v/>
      </c>
      <c r="RF5" s="15" t="str">
        <f>IF(SUM(QE5:QF5,QH5:QJ5,QL5:QN5,QP5:QR5,QT5)-SUM(QG5,QK5,QO5,QS5)&gt;0,SUM(QE5:QF5,QH5:QJ5,QL5:QN5,QP5:QR5,QT5)-SUM(QG5,QK5,QO5,QS5),"")</f>
        <v/>
      </c>
      <c r="RG5" s="15" t="str">
        <f>IF(SUM(QU5:QV5,QX5:QZ5,RB5)-SUM(QW5,RA5)&gt;0,SUM(QU5:QV5,QX5:QZ5,RB5)-SUM(QW5,RA5),"")</f>
        <v/>
      </c>
      <c r="RH5" s="15" t="str">
        <f>IF(SUM(RF5,RG5)&gt;0,SUM(RF5,RG5),"")</f>
        <v/>
      </c>
    </row>
    <row r="6" spans="1:476" x14ac:dyDescent="0.2">
      <c r="A6" s="6">
        <f>IF(AND(F6="P",H6="P"),SUMPRODUCT((F$4:F$16="P")*(H$4:H$16="P")*(E$4:E$16&gt;E6))+1,IF(H6="P",SUMPRODUCT((F$4:F$16="")*(H$4:H$16="P")*(E$4:E$16&gt;E6))+1+SUMPRODUCT((F$4:F$16="P")*(H$4:H$16="P")),""))</f>
        <v>3</v>
      </c>
      <c r="B6" s="9" t="s">
        <v>74</v>
      </c>
      <c r="C6" s="5" t="s">
        <v>5</v>
      </c>
      <c r="D6" s="6">
        <v>2001</v>
      </c>
      <c r="E6" s="16">
        <f>SUM(J6:R6)</f>
        <v>337.40000000000003</v>
      </c>
      <c r="F6" s="4" t="str">
        <f>IF(OR(AND($AT6&gt;=$AU$19,NOT($AT6=""),$AS6=""),AND($BY6&gt;=$BZ$19,NOT($BY6=""),$BX6=""),AND($DD6&gt;=$DE$19,NOT($DD6=""),$DC6="")),"P","")</f>
        <v>P</v>
      </c>
      <c r="G6" s="4" t="str">
        <f>IF(OR(AND($AT6&gt;=$AU$20,NOT($AT6=""),$AS6=""),AND($BY6&gt;=$BZ$20,NOT($BY6=""),$BX6=""),AND($DD6&gt;=$DE$20,NOT($DD6=""),$DC6="")),"P","")</f>
        <v/>
      </c>
      <c r="H6" s="4" t="str">
        <f>IF(OR(AND($AW6&gt;=$AU$21,NOT($AW6=""),$AS6=""),AND($CB6&gt;=$BZ$21,NOT($CB6=""),$BX6=""),AND($DG6&gt;=$DE$21,NOT($DG6=""),$DC6="")),"P","")</f>
        <v>P</v>
      </c>
      <c r="I6" t="str">
        <f>IF(AND(G6="P",OR(AND($AW6&gt;=$AU$24,NOT($AW6=""),$AS6=""),AND($CB6&gt;=$BZ$24,NOT($CB6=""),$BX6=""),AND($DG6&gt;=$DE$24,NOT($DG6=""),$DC6=""))),"Merit",IF(AND(G6="P",OR(AND($AW6&gt;=$AU$23,NOT($AW6=""),$AS6=""),AND($CB6&gt;=$BZ$23,NOT($CB6=""),$BX6=""),AND($DG6&gt;=$DE$23,NOT($DG6=""),$DC6=""))),"Funding",IF(AND(G6="P",OR(AND($AW6&gt;=$AU$22,NOT($AW6=""),$AS6=""),AND($CB6&gt;=$BZ$22,NOT($CB6=""),$BX6=""),AND($DG6&gt;=$DE$22,NOT($DG6=""),$DC6=""))),"Worlds Team",IF(AND(F6="P",OR(AND($AW6&gt;=$AU$21,NOT($AW6=""),$AS6=""),AND($CB6&gt;=$BZ$21,NOT($CB6=""),$BX6=""),AND($DG6&gt;=$DE$21,NOT($DG6=""),$DC6=""))),"National Team",""))))</f>
        <v>National Team</v>
      </c>
      <c r="J6" s="15">
        <f>MAX(AW6,CB6,DG6)</f>
        <v>135.10000000000002</v>
      </c>
      <c r="K6" s="15" t="str">
        <f>IF(J6=DG6,$CE$1,IF(J6=CB6,$AZ$1,IF(J6=AW6,$U$1,"")))</f>
        <v>2018 Nationals</v>
      </c>
      <c r="L6" s="15">
        <f>IF($J6=$AW6,MAX(BZ6,DE6),IF($J6=$CB6,MAX(AU6,DE6),MAX(AU6,BZ6)))</f>
        <v>68</v>
      </c>
      <c r="M6" s="15" t="str">
        <f>IF(L6=DE6,$CE$1,IF(L6=BZ6,$AZ$1,IF(L6=AU6,$U$1,"")))</f>
        <v>2017 Nationals</v>
      </c>
      <c r="N6" s="15">
        <f>IF($J6=$AW6,MAX(CA6,DF6),IF($J6=$CB6,MAX(AV6,DF6),MAX(AV6,CA6)))</f>
        <v>65.8</v>
      </c>
      <c r="O6" s="15" t="str">
        <f>IF(N6=DF6,$CE$1,IF(N6=CA6,$AZ$1,IF(N6=AV6,$U$1,"")))</f>
        <v>2017 Nationals</v>
      </c>
      <c r="P6" s="15">
        <f>MAX(AX6,CC6,DH6)</f>
        <v>67.5</v>
      </c>
      <c r="Q6" s="15" t="str">
        <f>IF(P6=DH6,$CE$1,IF(P6=CC6,$AZ$1,IF(P6=AX6,$U$1,"")))</f>
        <v>2017 Nationals</v>
      </c>
      <c r="R6" s="15">
        <f>IF(MAX(DJ6:DL6)&gt;0,MAX(DJ6:DL6),"")</f>
        <v>1</v>
      </c>
      <c r="S6" s="29" t="str">
        <f>IF(R6="","",IF(R6=DJ6,"(Pass 1-2)",IF(R6=DK6,"(Pass 3-4)",IF(R6=DL6,"(Final)"))))</f>
        <v>(Pass 1-2)</v>
      </c>
      <c r="T6" s="15" t="str">
        <f>IF(R6="","",IF(R6=DJ6,IF(R6+L6=RD6,$QE$1,IF(R6+L6=PZ6,$PA$1,IF(R6+L6=OV6,$NW$1,IF(R6+L6=NR6,$MS$1,IF(R6+L6=MN6,$LO$1,IF(R6+L6=LJ6,$KK$1,IF(R6+L6=KF6,$JG$1,IF(R6+L6=JB6,$IC$1,IF(R6+L6=HX6,$GY$1,IF(R6+L6=GT6,$FU$1,IF(R6+L6=FP6,$EQ$1,IF(R6+L6=EL6,$DM$1)))))))))))),IF(R6=DK6,IF(R6+N6=RE6,$QE$1,IF(R6+N6=QA6,$PA$1,IF(R6+N6=OW6,$NW$1,IF(R6+N6=NS6,$MS$1,IF(R6+N6=MO6,$LO$1,IF(R6+N6=LK6,$KK$1,IF(R6+N6=KG6,$JG$1,IF(R6+N6=JC6,$IC$1,IF(R6+N6=HY6,$GY$1,IF(R6+N6=GU6,$FU$1,IF(R6+N6=FQ6,$EQ$1,IF(R6+N6=EM6,$DM$1)))))))))))),IF(R6=DL6,IF(R6+P6=RG6,$QE$1,IF(R6+P6=QC6,$PA$1,IF(R6+P6=OY6,$NW$1,IF(R6+P6=NU6,$MS$1,IF(R6+P6=MQ6,$LO$1,IF(R6+P6=LM6,$KK$1,IF(R6+P6=KI6,$JG$1,IF(R6+P6=JE6,$IC$1,IF(R6+P6=IA6,$GY$1,IF(R6+P6=GW6,$FU$1,IF(R6+P6=FS6,$EQ$1,IF(R6+P6=EO6,$DM$1))))))))))))))))</f>
        <v>2018 World Age Groups (Nov 18)</v>
      </c>
      <c r="U6" s="76">
        <v>28.5</v>
      </c>
      <c r="V6" s="76">
        <v>6</v>
      </c>
      <c r="W6" s="76">
        <v>0</v>
      </c>
      <c r="X6" s="76">
        <v>0</v>
      </c>
      <c r="Y6" s="76">
        <v>28.4</v>
      </c>
      <c r="Z6" s="76">
        <v>5.0999999999999996</v>
      </c>
      <c r="AA6" s="76">
        <v>0</v>
      </c>
      <c r="AB6" s="76">
        <v>0</v>
      </c>
      <c r="AC6" s="76">
        <v>28.1</v>
      </c>
      <c r="AD6" s="76">
        <v>4.8</v>
      </c>
      <c r="AE6" s="76">
        <v>0</v>
      </c>
      <c r="AF6" s="76">
        <v>0</v>
      </c>
      <c r="AG6" s="76">
        <v>28.1</v>
      </c>
      <c r="AH6" s="76">
        <v>4.8</v>
      </c>
      <c r="AI6" s="76">
        <v>0</v>
      </c>
      <c r="AJ6" s="76">
        <v>0</v>
      </c>
      <c r="AK6" s="76">
        <v>28.1</v>
      </c>
      <c r="AL6" s="76">
        <v>6</v>
      </c>
      <c r="AM6" s="76">
        <v>0</v>
      </c>
      <c r="AN6" s="76">
        <v>0</v>
      </c>
      <c r="AO6" s="76">
        <v>28.3</v>
      </c>
      <c r="AP6" s="76">
        <v>5.0999999999999996</v>
      </c>
      <c r="AQ6" s="76">
        <v>0</v>
      </c>
      <c r="AR6" s="76">
        <v>0</v>
      </c>
      <c r="AS6" s="108"/>
      <c r="AT6" s="12">
        <f>IF(SUM(V6,Z6,AD6,AH6)&gt;0,SUM(V6,Z6,AD6,AH6),"")</f>
        <v>20.7</v>
      </c>
      <c r="AU6" s="12">
        <f>IF(SUM(U6:V6,X6:Z6,AB6)-SUM(W6,AA6)&gt;0,SUM(U6:V6,X6:Z6,AB6)-SUM(W6,AA6),"")</f>
        <v>68</v>
      </c>
      <c r="AV6" s="12">
        <f>IF(SUM(AC6:AD6,AF6:AH6,AJ6)-SUM(AE6,AI6)&gt;0,SUM(AC6:AD6,AF6:AH6,AJ6)-SUM(AE6,AI6),"")</f>
        <v>65.8</v>
      </c>
      <c r="AW6" s="12">
        <f>IF(SUM(U6:V6,X6:Z6,AB6:AD6,AF6:AH6,AJ6)-SUM(W6,AA6,AE6,AI6)&gt;0,SUM(U6:V6,X6:Z6,AB6:AD6,AF6:AH6,AJ6)-SUM(W6,AA6,AE6,AI6),"")</f>
        <v>133.80000000000001</v>
      </c>
      <c r="AX6" s="12">
        <f>IF(SUM(AK6:AL6,AN6:AP6,AR6)-SUM(AM6,AQ6)&gt;0,SUM(AK6:AL6,AN6:AP6,AR6)-SUM(AM6,AQ6),"")</f>
        <v>67.5</v>
      </c>
      <c r="AY6" s="12">
        <f>IF(SUM(AW6,AX6)&gt;0,SUM(AW6,AX6),"")</f>
        <v>201.3</v>
      </c>
      <c r="AZ6" s="80">
        <v>28.8</v>
      </c>
      <c r="BA6" s="80">
        <v>6</v>
      </c>
      <c r="BB6" s="80">
        <v>0</v>
      </c>
      <c r="BC6" s="80">
        <v>0</v>
      </c>
      <c r="BD6" s="80">
        <v>27.6</v>
      </c>
      <c r="BE6" s="80">
        <v>5.6</v>
      </c>
      <c r="BF6" s="80">
        <v>0.9</v>
      </c>
      <c r="BG6" s="80">
        <v>0</v>
      </c>
      <c r="BH6" s="80">
        <v>0</v>
      </c>
      <c r="BI6" s="80">
        <v>0</v>
      </c>
      <c r="BJ6" s="80">
        <v>0</v>
      </c>
      <c r="BK6" s="80">
        <v>0</v>
      </c>
      <c r="BL6" s="80">
        <v>27</v>
      </c>
      <c r="BM6" s="80">
        <v>6</v>
      </c>
      <c r="BN6" s="80">
        <v>0</v>
      </c>
      <c r="BO6" s="80">
        <v>0</v>
      </c>
      <c r="BP6" s="80"/>
      <c r="BQ6" s="80"/>
      <c r="BR6" s="80"/>
      <c r="BS6" s="80"/>
      <c r="BT6" s="80"/>
      <c r="BU6" s="80"/>
      <c r="BV6" s="80"/>
      <c r="BW6" s="80"/>
      <c r="BX6" s="105"/>
      <c r="BY6" s="110">
        <f>IF(SUM(BA6,BE6,BI6,BM6)&gt;0,SUM(BA6,BE6,BI6,BM6),"")</f>
        <v>17.600000000000001</v>
      </c>
      <c r="BZ6" s="110">
        <f>IF(SUM(AZ6:BA6,BC6:BE6,BG6)-SUM(BB6,BF6)&gt;0,SUM(AZ6:BA6,BC6:BE6,BG6)-SUM(BB6,BF6),"")</f>
        <v>67.099999999999994</v>
      </c>
      <c r="CA6" s="110">
        <f>IF(SUM(BH6:BI6,BK6:BM6,BO6)-SUM(BJ6,BN6)&gt;0,SUM(BH6:BI6,BK6:BM6,BO6)-SUM(BJ6,BN6),"")</f>
        <v>33</v>
      </c>
      <c r="CB6" s="110">
        <f>IF(SUM(AZ6:BA6,BC6:BE6,BG6:BI6,BK6:BM6,BO6)-SUM(BB6,BF6,BJ6,BN6)&gt;0,SUM(AZ6:BA6,BC6:BE6,BG6:BI6,BK6:BM6,BO6)-SUM(BB6,BF6,BJ6,BN6),"")</f>
        <v>100.1</v>
      </c>
      <c r="CC6" s="110" t="str">
        <f>IF(SUM(BP6:BQ6,BS6:BU6,BW6)-SUM(BR6,BV6)&gt;0,SUM(BP6:BQ6,BS6:BU6,BW6)-SUM(BR6,BV6),"")</f>
        <v/>
      </c>
      <c r="CD6" s="110">
        <f>IF(SUM(CB6,CC6)&gt;0,SUM(CB6,CC6),"")</f>
        <v>100.1</v>
      </c>
      <c r="CE6" s="45">
        <v>27.9</v>
      </c>
      <c r="CF6" s="45">
        <v>6.8</v>
      </c>
      <c r="CG6" s="45">
        <v>0.9</v>
      </c>
      <c r="CH6" s="45">
        <v>0</v>
      </c>
      <c r="CI6" s="45">
        <v>28.5</v>
      </c>
      <c r="CJ6" s="45">
        <v>6.4</v>
      </c>
      <c r="CK6" s="45">
        <v>0.3</v>
      </c>
      <c r="CL6" s="45">
        <v>0</v>
      </c>
      <c r="CM6" s="45">
        <v>27.6</v>
      </c>
      <c r="CN6" s="45">
        <v>6</v>
      </c>
      <c r="CO6" s="45">
        <v>0</v>
      </c>
      <c r="CP6" s="45">
        <v>0</v>
      </c>
      <c r="CQ6" s="45">
        <v>28.3</v>
      </c>
      <c r="CR6" s="45">
        <v>4.8</v>
      </c>
      <c r="CS6" s="45">
        <v>0</v>
      </c>
      <c r="CT6" s="45">
        <v>0</v>
      </c>
      <c r="CU6" s="45">
        <v>25</v>
      </c>
      <c r="CV6" s="45">
        <v>6.8</v>
      </c>
      <c r="CW6" s="45">
        <v>0.9</v>
      </c>
      <c r="CX6" s="45">
        <v>0</v>
      </c>
      <c r="CY6" s="45">
        <v>27.9</v>
      </c>
      <c r="CZ6" s="45">
        <v>7.2</v>
      </c>
      <c r="DA6" s="45">
        <v>0</v>
      </c>
      <c r="DB6" s="45">
        <v>0</v>
      </c>
      <c r="DC6" s="108"/>
      <c r="DD6" s="12">
        <f>IF(SUM(CF6,CJ6,CN6,CR6)&gt;0,SUM(CF6,CJ6,CN6,CR6),"")</f>
        <v>24</v>
      </c>
      <c r="DE6" s="12">
        <f>IF(SUM(CE6:CF6,CH6:CJ6,CL6)-SUM(CG6,CK6)&gt;0,SUM(CE6:CF6,CH6:CJ6,CL6)-SUM(CG6,CK6),"")</f>
        <v>68.399999999999991</v>
      </c>
      <c r="DF6" s="12">
        <f>IF(SUM(CM6:CN6,CP6:CR6,CT6)-SUM(CO6,CS6)&gt;0,SUM(CM6:CN6,CP6:CR6,CT6)-SUM(CO6,CS6),"")</f>
        <v>66.7</v>
      </c>
      <c r="DG6" s="12">
        <f>IF(SUM(CE6:CF6,CH6:CJ6,CL6:CN6,CP6:CR6,CT6)-SUM(CG6,CK6,CO6,CS6)&gt;0,SUM(CE6:CF6,CH6:CJ6,CL6:CN6,CP6:CR6,CT6)-SUM(CG6,CK6,CO6,CS6),"")</f>
        <v>135.10000000000002</v>
      </c>
      <c r="DH6" s="12">
        <f>IF(SUM(CU6:CV6,CX6:CZ6,DB6)-SUM(CW6,DA6)&gt;0,SUM(CU6:CV6,CX6:CZ6,DB6)-SUM(CW6,DA6),"")</f>
        <v>66</v>
      </c>
      <c r="DI6" s="12">
        <f>IF(SUM(DG6,DH6)&gt;0,SUM(DG6,DH6),"")</f>
        <v>201.10000000000002</v>
      </c>
      <c r="DJ6" s="28">
        <f>IF(MAX(EL6,FP6,GT6,HX6,JB6,KF6,LJ6,MN6,NR6,OV6,PZ6,RD6)-L6&gt;0.001,MAX(EL6,FP6,GT6,HX6,JB6,KF6,LJ6,MN6,NR6,OV6,PZ6,RD6)-L6,"")</f>
        <v>1</v>
      </c>
      <c r="DK6" s="28" t="str">
        <f>IF(MAX(EM6,FQ6,GU6,HY6,JC6,KG6,LK6,MO6,NS6,OW6,QA6,RE6)-N6&gt;0.001,MAX(EM6,FQ6,GU6,HY6,JC6,KG6,LK6,MO6,NS6,OW6,QA6,RE6)-N6,"")</f>
        <v/>
      </c>
      <c r="DL6" s="28" t="str">
        <f>IF(MAX(EO6,FS6,GW6,IA6,JE6,KI6,LM6,MQ6,OY6,QC6,RG6)-P6&gt;0.001,MAX(EO6,FS6,GW6,IA6,JE6,KI6,LM6,MQ6,OY6,QC6,RG6)-P6,"")</f>
        <v/>
      </c>
      <c r="DM6" s="45">
        <v>27.3</v>
      </c>
      <c r="DN6" s="45">
        <v>6.8</v>
      </c>
      <c r="DO6" s="45">
        <v>0</v>
      </c>
      <c r="DP6" s="45">
        <v>0</v>
      </c>
      <c r="DQ6" s="45">
        <v>27.7</v>
      </c>
      <c r="DR6" s="45">
        <v>7.2</v>
      </c>
      <c r="DS6" s="45">
        <v>0</v>
      </c>
      <c r="DT6" s="45">
        <v>0</v>
      </c>
      <c r="DU6" s="45"/>
      <c r="DV6" s="45"/>
      <c r="DW6" s="45"/>
      <c r="DX6" s="45"/>
      <c r="DY6" s="45"/>
      <c r="DZ6" s="45"/>
      <c r="EA6" s="45"/>
      <c r="EB6" s="45"/>
      <c r="EC6" s="45"/>
      <c r="ED6" s="45"/>
      <c r="EE6" s="45"/>
      <c r="EF6" s="45"/>
      <c r="EG6" s="45"/>
      <c r="EH6" s="45"/>
      <c r="EI6" s="45"/>
      <c r="EJ6" s="45"/>
      <c r="EK6" s="12">
        <f>IF(SUM(DN6,DR6,DV6,DZ6)&gt;0,SUM(DN6,DR6,DV6,DZ6),"")</f>
        <v>14</v>
      </c>
      <c r="EL6" s="12">
        <f>IF(SUM(DM6:DN6,DP6:DR6,DT6)-SUM(DO6,DS6)&gt;0,SUM(DM6:DN6,DP6:DR6,DT6)-SUM(DO6,DS6),"")</f>
        <v>69</v>
      </c>
      <c r="EM6" s="12" t="str">
        <f>IF(SUM(DU6:DV6,DX6:DZ6,EB6)-SUM(DW6,EA6)&gt;0,SUM(DU6:DV6,DX6:DZ6,EB6)-SUM(DW6,EA6),"")</f>
        <v/>
      </c>
      <c r="EN6" s="12">
        <f>IF(SUM(DM6:DN6,DP6:DR6,DT6:DV6,DX6:DZ6,EB6)-SUM(DO6,DS6,DW6,EA6)&gt;0,SUM(DM6:DN6,DP6:DR6,DT6:DV6,DX6:DZ6,EB6)-SUM(DO6,DS6,DW6,EA6),"")</f>
        <v>69</v>
      </c>
      <c r="EO6" s="12" t="str">
        <f>IF(SUM(EC6:ED6,EF6:EH6,EJ6)-SUM(EE6,EI6)&gt;0,SUM(EC6:ED6,EF6:EH6,EJ6)-SUM(EE6,EI6),"")</f>
        <v/>
      </c>
      <c r="EP6" s="12">
        <f>IF(SUM(EN6,EO6)&gt;0,SUM(EN6,EO6),"")</f>
        <v>69</v>
      </c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  <c r="FF6" s="50"/>
      <c r="FG6" s="50"/>
      <c r="FH6" s="50"/>
      <c r="FI6" s="50"/>
      <c r="FJ6" s="50"/>
      <c r="FK6" s="50"/>
      <c r="FL6" s="50"/>
      <c r="FM6" s="50"/>
      <c r="FN6" s="50"/>
      <c r="FO6" s="15" t="str">
        <f>IF(SUM(ER6,EV6,EZ6,FD6)&gt;0,SUM(ER6,EV6,EZ6,FD6),"")</f>
        <v/>
      </c>
      <c r="FP6" s="15" t="str">
        <f>IF(SUM(EQ6:ER6,ET6:EV6,EX6)-SUM(ES6,EW6)&gt;0,SUM(EQ6:ER6,ET6:EV6,EX6)-SUM(ES6,EW6),"")</f>
        <v/>
      </c>
      <c r="FQ6" s="15" t="str">
        <f>IF(SUM(EY6:EZ6,FB6:FD6,FF6)-SUM(FA6,FE6)&gt;0,SUM(EY6:EZ6,FB6:FD6,FF6)-SUM(FA6,FE6),"")</f>
        <v/>
      </c>
      <c r="FR6" s="15" t="str">
        <f>IF(SUM(EQ6:ER6,ET6:EV6,EX6:EZ6,FB6:FD6,FF6)-SUM(ES6,EW6,FA6,FE6)&gt;0,SUM(EQ6:ER6,ET6:EV6,EX6:EZ6,FB6:FD6,FF6)-SUM(ES6,EW6,FA6,FE6),"")</f>
        <v/>
      </c>
      <c r="FS6" s="15" t="str">
        <f>IF(SUM(FG6:FH6,FJ6:FL6,FN6)-SUM(FI6,FM6)&gt;0,SUM(FG6:FH6,FJ6:FL6,FN6)-SUM(FI6,FM6),"")</f>
        <v/>
      </c>
      <c r="FT6" s="15" t="str">
        <f>IF(SUM(FR6,FS6)&gt;0,SUM(FR6,FS6),"")</f>
        <v/>
      </c>
      <c r="FU6" s="51"/>
      <c r="FV6" s="51"/>
      <c r="FW6" s="51"/>
      <c r="FX6" s="51"/>
      <c r="FY6" s="51"/>
      <c r="FZ6" s="51"/>
      <c r="GA6" s="51"/>
      <c r="GB6" s="51"/>
      <c r="GC6" s="51"/>
      <c r="GD6" s="51"/>
      <c r="GE6" s="51"/>
      <c r="GF6" s="51"/>
      <c r="GG6" s="51"/>
      <c r="GH6" s="51"/>
      <c r="GI6" s="51"/>
      <c r="GJ6" s="51"/>
      <c r="GK6" s="51"/>
      <c r="GL6" s="51"/>
      <c r="GM6" s="51"/>
      <c r="GN6" s="51"/>
      <c r="GO6" s="51"/>
      <c r="GP6" s="51"/>
      <c r="GQ6" s="51"/>
      <c r="GR6" s="51"/>
      <c r="GS6" s="12" t="str">
        <f>IF(SUM(FV6,FZ6,GD6,GH6)&gt;0,SUM(FV6,FZ6,GD6,GH6),"")</f>
        <v/>
      </c>
      <c r="GT6" s="12" t="str">
        <f>IF(SUM(FU6:FV6,FX6:FZ6,GB6)-SUM(FW6,GA6)&gt;0,SUM(FU6:FV6,FX6:FZ6,GB6)-SUM(FW6,GA6),"")</f>
        <v/>
      </c>
      <c r="GU6" s="12" t="str">
        <f>IF(SUM(GC6:GD6,GF6:GH6,GJ6)-SUM(GE6,GI6)&gt;0,SUM(GC6:GD6,GF6:GH6,GJ6)-SUM(GE6,GI6),"")</f>
        <v/>
      </c>
      <c r="GV6" s="12" t="str">
        <f>IF(SUM(FU6:FV6,FX6:FZ6,GB6:GD6,GF6:GH6,GJ6)-SUM(FW6,GA6,GE6,GI6)&gt;0,SUM(FU6:FV6,FX6:FZ6,GB6:GD6,GF6:GH6,GJ6)-SUM(FW6,GA6,GE6,GI6),"")</f>
        <v/>
      </c>
      <c r="GW6" s="12" t="str">
        <f>IF(SUM(GK6:GL6,GN6:GP6,GR6)-SUM(GM6,GQ6)&gt;0,SUM(GK6:GL6,GN6:GP6,GR6)-SUM(GM6,GQ6),"")</f>
        <v/>
      </c>
      <c r="GX6" s="12" t="str">
        <f>IF(SUM(GV6,GW6)&gt;0,SUM(GV6,GW6),"")</f>
        <v/>
      </c>
      <c r="GY6" s="50"/>
      <c r="GZ6" s="50"/>
      <c r="HA6" s="50"/>
      <c r="HB6" s="50"/>
      <c r="HC6" s="50"/>
      <c r="HD6" s="50"/>
      <c r="HE6" s="50"/>
      <c r="HF6" s="50"/>
      <c r="HG6" s="50"/>
      <c r="HH6" s="50"/>
      <c r="HI6" s="50"/>
      <c r="HJ6" s="50"/>
      <c r="HK6" s="50"/>
      <c r="HL6" s="50"/>
      <c r="HM6" s="50"/>
      <c r="HN6" s="50"/>
      <c r="HO6" s="50"/>
      <c r="HP6" s="50"/>
      <c r="HQ6" s="50"/>
      <c r="HR6" s="50"/>
      <c r="HS6" s="50"/>
      <c r="HT6" s="50"/>
      <c r="HU6" s="50"/>
      <c r="HV6" s="50"/>
      <c r="HW6" s="15" t="str">
        <f>IF(SUM(GZ6,HD6,HH6,HL6)&gt;0,SUM(GZ6,HD6,HH6,HL6),"")</f>
        <v/>
      </c>
      <c r="HX6" s="15" t="str">
        <f>IF(SUM(GY6:GZ6,HB6:HD6,HF6)-SUM(HA6,HE6)&gt;0,SUM(GY6:GZ6,HB6:HD6,HF6)-SUM(HA6,HE6),"")</f>
        <v/>
      </c>
      <c r="HY6" s="15" t="str">
        <f>IF(SUM(HG6:HH6,HJ6:HL6,HN6)-SUM(HI6,HM6)&gt;0,SUM(HG6:HH6,HJ6:HL6,HN6)-SUM(HI6,HM6),"")</f>
        <v/>
      </c>
      <c r="HZ6" s="15" t="str">
        <f>IF(SUM(GY6:GZ6,HB6:HD6,HF6:HH6,HJ6:HL6,HN6)-SUM(HA6,HE6,HI6,HM6)&gt;0,SUM(GY6:GZ6,HB6:HD6,HF6:HH6,HJ6:HL6,HN6)-SUM(HA6,HE6,HI6,HM6),"")</f>
        <v/>
      </c>
      <c r="IA6" s="15" t="str">
        <f>IF(SUM(HO6:HP6,HR6:HT6,HV6)-SUM(HQ6,HU6)&gt;0,SUM(HO6:HP6,HR6:HT6,HV6)-SUM(HQ6,HU6),"")</f>
        <v/>
      </c>
      <c r="IB6" s="15" t="str">
        <f>IF(SUM(HZ6,IA6)&gt;0,SUM(HZ6,IA6),"")</f>
        <v/>
      </c>
      <c r="IC6" s="51"/>
      <c r="ID6" s="51"/>
      <c r="IE6" s="51"/>
      <c r="IF6" s="51"/>
      <c r="IG6" s="51"/>
      <c r="IH6" s="51"/>
      <c r="II6" s="51"/>
      <c r="IJ6" s="51"/>
      <c r="IK6" s="51"/>
      <c r="IL6" s="51"/>
      <c r="IM6" s="51"/>
      <c r="IN6" s="51"/>
      <c r="IO6" s="51"/>
      <c r="IP6" s="51"/>
      <c r="IQ6" s="51"/>
      <c r="IR6" s="51"/>
      <c r="IS6" s="51"/>
      <c r="IT6" s="51"/>
      <c r="IU6" s="51"/>
      <c r="IV6" s="51"/>
      <c r="IW6" s="51"/>
      <c r="IX6" s="51"/>
      <c r="IY6" s="51"/>
      <c r="IZ6" s="51"/>
      <c r="JA6" s="12" t="str">
        <f>IF(SUM(ID6,IH6,IL6,IP6)&gt;0,SUM(ID6,IH6,IL6,IP6),"")</f>
        <v/>
      </c>
      <c r="JB6" s="12" t="str">
        <f>IF(SUM(IC6:ID6,IF6:IH6,IJ6)-SUM(IE6,II6)&gt;0,SUM(IC6:ID6,IF6:IH6,IJ6)-SUM(IE6,II6),"")</f>
        <v/>
      </c>
      <c r="JC6" s="12" t="str">
        <f>IF(SUM(IK6:IL6,IN6:IP6,IR6)-SUM(IM6,IQ6)&gt;0,SUM(IK6:IL6,IN6:IP6,IR6)-SUM(IM6,IQ6),"")</f>
        <v/>
      </c>
      <c r="JD6" s="12" t="str">
        <f>IF(SUM(IC6:ID6,IF6:IH6,IJ6:IL6,IN6:IP6,IR6)-SUM(IE6,II6,IM6,IQ6)&gt;0,SUM(IC6:ID6,IF6:IH6,IJ6:IL6,IN6:IP6,IR6)-SUM(IE6,II6,IM6,IQ6),"")</f>
        <v/>
      </c>
      <c r="JE6" s="12" t="str">
        <f>IF(SUM(IS6:IT6,IV6:IX6,IZ6)-SUM(IU6,IY6)&gt;0,SUM(IS6:IT6,IV6:IX6,IZ6)-SUM(IU6,IY6),"")</f>
        <v/>
      </c>
      <c r="JF6" s="12" t="str">
        <f>IF(SUM(JD6,JE6)&gt;0,SUM(JD6,JE6),"")</f>
        <v/>
      </c>
      <c r="JG6" s="50"/>
      <c r="JH6" s="50"/>
      <c r="JI6" s="50"/>
      <c r="JJ6" s="50"/>
      <c r="JK6" s="50"/>
      <c r="JL6" s="50"/>
      <c r="JM6" s="50"/>
      <c r="JN6" s="50"/>
      <c r="JO6" s="50"/>
      <c r="JP6" s="50"/>
      <c r="JQ6" s="50"/>
      <c r="JR6" s="50"/>
      <c r="JS6" s="50"/>
      <c r="JT6" s="50"/>
      <c r="JU6" s="50"/>
      <c r="JV6" s="50"/>
      <c r="JW6" s="50"/>
      <c r="JX6" s="50"/>
      <c r="JY6" s="50"/>
      <c r="JZ6" s="50"/>
      <c r="KA6" s="50"/>
      <c r="KB6" s="50"/>
      <c r="KC6" s="50"/>
      <c r="KD6" s="50"/>
      <c r="KE6" s="15" t="str">
        <f>IF(SUM(JH6,JL6,JP6,JT6)&gt;0,SUM(JH6,JL6,JP6,JT6),"")</f>
        <v/>
      </c>
      <c r="KF6" s="15" t="str">
        <f>IF(SUM(JG6:JH6,JJ6:JL6,JN6)-SUM(JI6,JM6)&gt;0,SUM(JG6:JH6,JJ6:JL6,JN6)-SUM(JI6,JM6),"")</f>
        <v/>
      </c>
      <c r="KG6" s="15" t="str">
        <f>IF(SUM(JO6:JP6,JR6:JT6,JV6)-SUM(JQ6,JU6)&gt;0,SUM(JO6:JP6,JR6:JT6,JV6)-SUM(JQ6,JU6),"")</f>
        <v/>
      </c>
      <c r="KH6" s="15" t="str">
        <f>IF(SUM(JG6:JH6,JJ6:JL6,JN6:JP6,JR6:JT6,JV6)-SUM(JI6,JM6,JQ6,JU6)&gt;0,SUM(JG6:JH6,JJ6:JL6,JN6:JP6,JR6:JT6,JV6)-SUM(JI6,JM6,JQ6,JU6),"")</f>
        <v/>
      </c>
      <c r="KI6" s="15" t="str">
        <f>IF(SUM(JW6:JX6,JZ6:KB6,KD6)-SUM(JY6,KC6)&gt;0,SUM(JW6:JX6,JZ6:KB6,KD6)-SUM(JY6,KC6),"")</f>
        <v/>
      </c>
      <c r="KJ6" s="15" t="str">
        <f>IF(SUM(KH6,KI6)&gt;0,SUM(KH6,KI6),"")</f>
        <v/>
      </c>
      <c r="KK6" s="51"/>
      <c r="KL6" s="51"/>
      <c r="KM6" s="51"/>
      <c r="KN6" s="51"/>
      <c r="KO6" s="51"/>
      <c r="KP6" s="51"/>
      <c r="KQ6" s="51"/>
      <c r="KR6" s="51"/>
      <c r="KS6" s="51"/>
      <c r="KT6" s="51"/>
      <c r="KU6" s="51"/>
      <c r="KV6" s="51"/>
      <c r="KW6" s="51"/>
      <c r="KX6" s="51"/>
      <c r="KY6" s="51"/>
      <c r="KZ6" s="51"/>
      <c r="LA6" s="51"/>
      <c r="LB6" s="51"/>
      <c r="LC6" s="51"/>
      <c r="LD6" s="51"/>
      <c r="LE6" s="51"/>
      <c r="LF6" s="51"/>
      <c r="LG6" s="51"/>
      <c r="LH6" s="51"/>
      <c r="LI6" s="12" t="str">
        <f>IF(SUM(KL6,KP6,KT6,KX6)&gt;0,SUM(KL6,KP6,KT6,KX6),"")</f>
        <v/>
      </c>
      <c r="LJ6" s="12" t="str">
        <f>IF(SUM(KK6:KL6,KN6:KP6,KR6)-SUM(KM6,KQ6)&gt;0,SUM(KK6:KL6,KN6:KP6,KR6)-SUM(KM6,KQ6),"")</f>
        <v/>
      </c>
      <c r="LK6" s="12" t="str">
        <f>IF(SUM(KS6:KT6,KV6:KX6,KZ6)-SUM(KU6,KY6)&gt;0,SUM(KS6:KT6,KV6:KX6,KZ6)-SUM(KU6,KY6),"")</f>
        <v/>
      </c>
      <c r="LL6" s="12" t="str">
        <f>IF(SUM(KK6:KL6,KN6:KP6,KR6:KT6,KV6:KX6,KZ6)-SUM(KM6,KQ6,KU6,KY6)&gt;0,SUM(KK6:KL6,KN6:KP6,KR6:KT6,KV6:KX6,KZ6)-SUM(KM6,KQ6,KU6,KY6),"")</f>
        <v/>
      </c>
      <c r="LM6" s="12" t="str">
        <f>IF(SUM(LA6:LB6,LD6:LF6,LH6)-SUM(LC6,LG6)&gt;0,SUM(LA6:LB6,LD6:LF6,LH6)-SUM(LC6,LG6),"")</f>
        <v/>
      </c>
      <c r="LN6" s="12" t="str">
        <f>IF(SUM(LL6,LM6)&gt;0,SUM(LL6,LM6),"")</f>
        <v/>
      </c>
      <c r="LO6" s="50"/>
      <c r="LP6" s="50"/>
      <c r="LQ6" s="50"/>
      <c r="LR6" s="50"/>
      <c r="LS6" s="50"/>
      <c r="LT6" s="50"/>
      <c r="LU6" s="50"/>
      <c r="LV6" s="50"/>
      <c r="LW6" s="50"/>
      <c r="LX6" s="50"/>
      <c r="LY6" s="50"/>
      <c r="LZ6" s="50"/>
      <c r="MA6" s="50"/>
      <c r="MB6" s="50"/>
      <c r="MC6" s="50"/>
      <c r="MD6" s="50"/>
      <c r="ME6" s="50"/>
      <c r="MF6" s="50"/>
      <c r="MG6" s="50"/>
      <c r="MH6" s="50"/>
      <c r="MI6" s="50"/>
      <c r="MJ6" s="50"/>
      <c r="MK6" s="50"/>
      <c r="ML6" s="50"/>
      <c r="MM6" s="15" t="str">
        <f>IF(SUM(LP6,LT6,LX6,MB6)&gt;0,SUM(LP6,LT6,LX6,MB6),"")</f>
        <v/>
      </c>
      <c r="MN6" s="15" t="str">
        <f>IF(SUM(LO6:LP6,LR6:LT6,LV6)-SUM(LQ6,LU6)&gt;0,SUM(LO6:LP6,LR6:LT6,LV6)-SUM(LQ6,LU6),"")</f>
        <v/>
      </c>
      <c r="MO6" s="15" t="str">
        <f>IF(SUM(LW6:LX6,LZ6:MB6,MD6)-SUM(LY6,MC6)&gt;0,SUM(LW6:LX6,LZ6:MB6,MD6)-SUM(LY6,MC6),"")</f>
        <v/>
      </c>
      <c r="MP6" s="15" t="str">
        <f>IF(SUM(LO6:LP6,LR6:LT6,LV6:LX6,LZ6:MB6,MD6)-SUM(LQ6,LU6,LY6,MC6)&gt;0,SUM(LO6:LP6,LR6:LT6,LV6:LX6,LZ6:MB6,MD6)-SUM(LQ6,LU6,LY6,MC6),"")</f>
        <v/>
      </c>
      <c r="MQ6" s="15" t="str">
        <f>IF(SUM(ME6:MF6,MH6:MJ6,ML6)-SUM(MG6,MK6)&gt;0,SUM(ME6:MF6,MH6:MJ6,ML6)-SUM(MG6,MK6),"")</f>
        <v/>
      </c>
      <c r="MR6" s="15" t="str">
        <f>IF(SUM(MP6,MQ6)&gt;0,SUM(MP6,MQ6),"")</f>
        <v/>
      </c>
      <c r="MS6" s="51"/>
      <c r="MT6" s="51"/>
      <c r="MU6" s="51"/>
      <c r="MV6" s="51"/>
      <c r="MW6" s="51"/>
      <c r="MX6" s="51"/>
      <c r="MY6" s="51"/>
      <c r="MZ6" s="51"/>
      <c r="NA6" s="51"/>
      <c r="NB6" s="51"/>
      <c r="NC6" s="51"/>
      <c r="ND6" s="51"/>
      <c r="NE6" s="51"/>
      <c r="NF6" s="51"/>
      <c r="NG6" s="51"/>
      <c r="NH6" s="51"/>
      <c r="NI6" s="51"/>
      <c r="NJ6" s="51"/>
      <c r="NK6" s="51"/>
      <c r="NL6" s="51"/>
      <c r="NM6" s="51"/>
      <c r="NN6" s="51"/>
      <c r="NO6" s="51"/>
      <c r="NP6" s="51"/>
      <c r="NQ6" s="12" t="str">
        <f>IF(SUM(MT6,MX6,NB6,NF6)&gt;0,SUM(MT6,MX6,NB6,NF6),"")</f>
        <v/>
      </c>
      <c r="NR6" s="12" t="str">
        <f>IF(SUM(MS6:MT6,MV6:MX6,MZ6)-SUM(MU6,MY6)&gt;0,SUM(MS6:MT6,MV6:MX6,MZ6)-SUM(MU6,MY6),"")</f>
        <v/>
      </c>
      <c r="NS6" s="12" t="str">
        <f>IF(SUM(NA6:NB6,ND6:NF6,NH6)-SUM(NC6,NG6)&gt;0,SUM(NA6:NB6,ND6:NF6,NH6)-SUM(NC6,NG6),"")</f>
        <v/>
      </c>
      <c r="NT6" s="12" t="str">
        <f>IF(SUM(MS6:MT6,MV6:MX6,MZ6:NB6,ND6:NF6,NH6)-SUM(MU6,MY6,NC6,NG6)&gt;0,SUM(MS6:MT6,MV6:MX6,MZ6:NB6,ND6:NF6,NH6)-SUM(MU6,MY6,NC6,NG6),"")</f>
        <v/>
      </c>
      <c r="NU6" s="12" t="str">
        <f>IF(SUM(NI6:NJ6,NL6:NN6,NP6)-SUM(NK6,NO6)&gt;0,SUM(NI6:NJ6,NL6:NN6,NP6)-SUM(NK6,NO6),"")</f>
        <v/>
      </c>
      <c r="NV6" s="12" t="str">
        <f>IF(SUM(NT6,NU6)&gt;0,SUM(NT6,NU6),"")</f>
        <v/>
      </c>
      <c r="NW6" s="50"/>
      <c r="NX6" s="50"/>
      <c r="NY6" s="50"/>
      <c r="NZ6" s="50"/>
      <c r="OA6" s="50"/>
      <c r="OB6" s="50"/>
      <c r="OC6" s="50"/>
      <c r="OD6" s="50"/>
      <c r="OE6" s="50"/>
      <c r="OF6" s="50"/>
      <c r="OG6" s="50"/>
      <c r="OH6" s="50"/>
      <c r="OI6" s="50"/>
      <c r="OJ6" s="50"/>
      <c r="OK6" s="50"/>
      <c r="OL6" s="50"/>
      <c r="OM6" s="50"/>
      <c r="ON6" s="50"/>
      <c r="OO6" s="50"/>
      <c r="OP6" s="50"/>
      <c r="OQ6" s="50"/>
      <c r="OR6" s="50"/>
      <c r="OS6" s="50"/>
      <c r="OT6" s="50"/>
      <c r="OU6" s="15" t="str">
        <f>IF(SUM(NX6,OB6,OF6,OJ6)&gt;0,SUM(NX6,OB6,OF6,OJ6),"")</f>
        <v/>
      </c>
      <c r="OV6" s="15" t="str">
        <f>IF(SUM(NW6:NX6,NZ6:OB6,OD6)-SUM(NY6,OC6)&gt;0,SUM(NW6:NX6,NZ6:OB6,OD6)-SUM(NY6,OC6),"")</f>
        <v/>
      </c>
      <c r="OW6" s="15" t="str">
        <f>IF(SUM(OE6:OF6,OH6:OJ6,OL6)-SUM(OG6,OK6)&gt;0,SUM(OE6:OF6,OH6:OJ6,OL6)-SUM(OG6,OK6),"")</f>
        <v/>
      </c>
      <c r="OX6" s="15" t="str">
        <f>IF(SUM(NW6:NX6,NZ6:OB6,OD6:OF6,OH6:OJ6,OL6)-SUM(NY6,OC6,OG6,OK6)&gt;0,SUM(NW6:NX6,NZ6:OB6,OD6:OF6,OH6:OJ6,OL6)-SUM(NY6,OC6,OG6,OK6),"")</f>
        <v/>
      </c>
      <c r="OY6" s="15" t="str">
        <f>IF(SUM(OM6:ON6,OP6:OR6,OT6)-SUM(OO6,OS6)&gt;0,SUM(OM6:ON6,OP6:OR6,OT6)-SUM(OO6,OS6),"")</f>
        <v/>
      </c>
      <c r="OZ6" s="15" t="str">
        <f>IF(SUM(OX6,OY6)&gt;0,SUM(OX6,OY6),"")</f>
        <v/>
      </c>
      <c r="PA6" s="51"/>
      <c r="PB6" s="51"/>
      <c r="PC6" s="51"/>
      <c r="PD6" s="51"/>
      <c r="PE6" s="51"/>
      <c r="PF6" s="51"/>
      <c r="PG6" s="51"/>
      <c r="PH6" s="51"/>
      <c r="PI6" s="51"/>
      <c r="PJ6" s="51"/>
      <c r="PK6" s="51"/>
      <c r="PL6" s="51"/>
      <c r="PM6" s="51"/>
      <c r="PN6" s="51"/>
      <c r="PO6" s="51"/>
      <c r="PP6" s="51"/>
      <c r="PQ6" s="51"/>
      <c r="PR6" s="51"/>
      <c r="PS6" s="51"/>
      <c r="PT6" s="51"/>
      <c r="PU6" s="51"/>
      <c r="PV6" s="51"/>
      <c r="PW6" s="51"/>
      <c r="PX6" s="51"/>
      <c r="PY6" s="12" t="str">
        <f>IF(SUM(PB6,PF6,PJ6,PN6)&gt;0,SUM(PB6,PF6,PJ6,PN6),"")</f>
        <v/>
      </c>
      <c r="PZ6" s="12" t="str">
        <f>IF(SUM(PA6:PB6,PD6:PF6,PH6)-SUM(PC6,PG6)&gt;0,SUM(PA6:PB6,PD6:PF6,PH6)-SUM(PC6,PG6),"")</f>
        <v/>
      </c>
      <c r="QA6" s="12" t="str">
        <f>IF(SUM(PI6:PJ6,PL6:PN6,PP6)-SUM(PK6,PO6)&gt;0,SUM(PI6:PJ6,PL6:PN6,PP6)-SUM(PK6,PO6),"")</f>
        <v/>
      </c>
      <c r="QB6" s="12" t="str">
        <f>IF(SUM(PA6:PB6,PD6:PF6,PH6:PJ6,PL6:PN6,PP6)-SUM(PC6,PG6,PK6,PO6)&gt;0,SUM(PA6:PB6,PD6:PF6,PH6:PJ6,PL6:PN6,PP6)-SUM(PC6,PG6,PK6,PO6),"")</f>
        <v/>
      </c>
      <c r="QC6" s="12" t="str">
        <f>IF(SUM(PQ6:PR6,PT6:PV6,PX6)-SUM(PS6,PW6)&gt;0,SUM(PQ6:PR6,PT6:PV6,PX6)-SUM(PS6,PW6),"")</f>
        <v/>
      </c>
      <c r="QD6" s="12" t="str">
        <f>IF(SUM(QB6,QC6)&gt;0,SUM(QB6,QC6),"")</f>
        <v/>
      </c>
      <c r="QE6" s="50"/>
      <c r="QF6" s="50"/>
      <c r="QG6" s="50"/>
      <c r="QH6" s="50"/>
      <c r="QI6" s="50"/>
      <c r="QJ6" s="50"/>
      <c r="QK6" s="50"/>
      <c r="QL6" s="50"/>
      <c r="QM6" s="50"/>
      <c r="QN6" s="50"/>
      <c r="QO6" s="50"/>
      <c r="QP6" s="50"/>
      <c r="QQ6" s="50"/>
      <c r="QR6" s="50"/>
      <c r="QS6" s="50"/>
      <c r="QT6" s="50"/>
      <c r="QU6" s="50"/>
      <c r="QV6" s="50"/>
      <c r="QW6" s="50"/>
      <c r="QX6" s="50"/>
      <c r="QY6" s="50"/>
      <c r="QZ6" s="50"/>
      <c r="RA6" s="50"/>
      <c r="RB6" s="50"/>
      <c r="RC6" s="15" t="str">
        <f>IF(SUM(QF6,QJ6,QN6,QR6)&gt;0,SUM(QF6,QJ6,QN6,QR6),"")</f>
        <v/>
      </c>
      <c r="RD6" s="15" t="str">
        <f>IF(SUM(QE6:QF6,QH6:QJ6,QL6)-SUM(QG6,QK6)&gt;0,SUM(QE6:QF6,QH6:QJ6,QL6)-SUM(QG6,QK6),"")</f>
        <v/>
      </c>
      <c r="RE6" s="15" t="str">
        <f>IF(SUM(QM6:QN6,QP6:QR6,QT6)-SUM(QO6,QS6)&gt;0,SUM(QM6:QN6,QP6:QR6,QT6)-SUM(QO6,QS6),"")</f>
        <v/>
      </c>
      <c r="RF6" s="15" t="str">
        <f>IF(SUM(QE6:QF6,QH6:QJ6,QL6:QN6,QP6:QR6,QT6)-SUM(QG6,QK6,QO6,QS6)&gt;0,SUM(QE6:QF6,QH6:QJ6,QL6:QN6,QP6:QR6,QT6)-SUM(QG6,QK6,QO6,QS6),"")</f>
        <v/>
      </c>
      <c r="RG6" s="15" t="str">
        <f>IF(SUM(QU6:QV6,QX6:QZ6,RB6)-SUM(QW6,RA6)&gt;0,SUM(QU6:QV6,QX6:QZ6,RB6)-SUM(QW6,RA6),"")</f>
        <v/>
      </c>
      <c r="RH6" s="15" t="str">
        <f>IF(SUM(RF6,RG6)&gt;0,SUM(RF6,RG6),"")</f>
        <v/>
      </c>
    </row>
    <row r="7" spans="1:476" x14ac:dyDescent="0.2">
      <c r="A7" s="6">
        <f>IF(AND(F7="P",H7="P"),SUMPRODUCT((F$4:F$16="P")*(H$4:H$16="P")*(E$4:E$16&gt;E7))+1,IF(H7="P",SUMPRODUCT((F$4:F$16="")*(H$4:H$16="P")*(E$4:E$16&gt;E7))+1+SUMPRODUCT((F$4:F$16="P")*(H$4:H$16="P")),""))</f>
        <v>4</v>
      </c>
      <c r="B7" s="9" t="s">
        <v>79</v>
      </c>
      <c r="C7" s="5" t="s">
        <v>5</v>
      </c>
      <c r="D7" s="6">
        <v>2001</v>
      </c>
      <c r="E7" s="16">
        <f>SUM(J7:R7)</f>
        <v>336.4</v>
      </c>
      <c r="F7" s="4" t="str">
        <f>IF(OR(AND($AT7&gt;=$AU$19,NOT($AT7=""),$AS7=""),AND($BY7&gt;=$BZ$19,NOT($BY7=""),$BX7=""),AND($DD7&gt;=$DE$19,NOT($DD7=""),$DC7="")),"P","")</f>
        <v>P</v>
      </c>
      <c r="G7" s="4" t="str">
        <f>IF(OR(AND($AT7&gt;=$AU$20,NOT($AT7=""),$AS7=""),AND($BY7&gt;=$BZ$20,NOT($BY7=""),$BX7=""),AND($DD7&gt;=$DE$20,NOT($DD7=""),$DC7="")),"P","")</f>
        <v/>
      </c>
      <c r="H7" s="4" t="str">
        <f>IF(OR(AND($AW7&gt;=$AU$21,NOT($AW7=""),$AS7=""),AND($CB7&gt;=$BZ$21,NOT($CB7=""),$BX7=""),AND($DG7&gt;=$DE$21,NOT($DG7=""),$DC7="")),"P","")</f>
        <v>P</v>
      </c>
      <c r="I7" t="str">
        <f>IF(AND(G7="P",OR(AND($AW7&gt;=$AU$24,NOT($AW7=""),$AS7=""),AND($CB7&gt;=$BZ$24,NOT($CB7=""),$BX7=""),AND($DG7&gt;=$DE$24,NOT($DG7=""),$DC7=""))),"Merit",IF(AND(G7="P",OR(AND($AW7&gt;=$AU$23,NOT($AW7=""),$AS7=""),AND($CB7&gt;=$BZ$23,NOT($CB7=""),$BX7=""),AND($DG7&gt;=$DE$23,NOT($DG7=""),$DC7=""))),"Funding",IF(AND(G7="P",OR(AND($AW7&gt;=$AU$22,NOT($AW7=""),$AS7=""),AND($CB7&gt;=$BZ$22,NOT($CB7=""),$BX7=""),AND($DG7&gt;=$DE$22,NOT($DG7=""),$DC7=""))),"Worlds Team",IF(AND(F7="P",OR(AND($AW7&gt;=$AU$21,NOT($AW7=""),$AS7=""),AND($CB7&gt;=$BZ$21,NOT($CB7=""),$BX7=""),AND($DG7&gt;=$DE$21,NOT($DG7=""),$DC7=""))),"National Team",""))))</f>
        <v>National Team</v>
      </c>
      <c r="J7" s="15">
        <f>MAX(AW7,CB7,DG7)</f>
        <v>139.79999999999998</v>
      </c>
      <c r="K7" s="15" t="str">
        <f>IF(J7=DG7,$CE$1,IF(J7=CB7,$AZ$1,IF(J7=AW7,$U$1,"")))</f>
        <v>2018 Nationals</v>
      </c>
      <c r="L7" s="15">
        <f>IF($J7=$AW7,MAX(BZ7,DE7),IF($J7=$CB7,MAX(AU7,DE7),MAX(AU7,BZ7)))</f>
        <v>68.100000000000009</v>
      </c>
      <c r="M7" s="15" t="str">
        <f>IF(L7=DE7,$CE$1,IF(L7=BZ7,$AZ$1,IF(L7=AU7,$U$1,"")))</f>
        <v>2018 Canada Cup</v>
      </c>
      <c r="N7" s="15">
        <f>IF($J7=$AW7,MAX(CA7,DF7),IF($J7=$CB7,MAX(AV7,DF7),MAX(AV7,CA7)))</f>
        <v>58.6</v>
      </c>
      <c r="O7" s="15" t="str">
        <f>IF(N7=DF7,$CE$1,IF(N7=CA7,$AZ$1,IF(N7=AV7,$U$1,"")))</f>
        <v>2018 Canada Cup</v>
      </c>
      <c r="P7" s="15">
        <f>MAX(AX7,CC7,DH7)</f>
        <v>69.900000000000006</v>
      </c>
      <c r="Q7" s="15" t="str">
        <f>IF(P7=DH7,$CE$1,IF(P7=CC7,$AZ$1,IF(P7=AX7,$U$1,"")))</f>
        <v>2018 Nationals</v>
      </c>
      <c r="R7" s="15" t="str">
        <f>IF(MAX(DJ7:DL7)&gt;0,MAX(DJ7:DL7),"")</f>
        <v/>
      </c>
      <c r="S7" s="29" t="str">
        <f>IF(R7="","",IF(R7=DJ7,"(Pass 1-2)",IF(R7=DK7,"(Pass 3-4)",IF(R7=DL7,"(Final)"))))</f>
        <v/>
      </c>
      <c r="T7" s="15" t="str">
        <f>IF(R7="","",IF(R7=DJ7,IF(R7+L7=RD7,$QE$1,IF(R7+L7=PZ7,$PA$1,IF(R7+L7=OV7,$NW$1,IF(R7+L7=NR7,$MS$1,IF(R7+L7=MN7,$LO$1,IF(R7+L7=LJ7,$KK$1,IF(R7+L7=KF7,$JG$1,IF(R7+L7=JB7,$IC$1,IF(R7+L7=HX7,$GY$1,IF(R7+L7=GT7,$FU$1,IF(R7+L7=FP7,$EQ$1,IF(R7+L7=EL7,$DM$1)))))))))))),IF(R7=DK7,IF(R7+N7=RE7,$QE$1,IF(R7+N7=QA7,$PA$1,IF(R7+N7=OW7,$NW$1,IF(R7+N7=NS7,$MS$1,IF(R7+N7=MO7,$LO$1,IF(R7+N7=LK7,$KK$1,IF(R7+N7=KG7,$JG$1,IF(R7+N7=JC7,$IC$1,IF(R7+N7=HY7,$GY$1,IF(R7+N7=GU7,$FU$1,IF(R7+N7=FQ7,$EQ$1,IF(R7+N7=EM7,$DM$1)))))))))))),IF(R7=DL7,IF(R7+P7=RG7,$QE$1,IF(R7+P7=QC7,$PA$1,IF(R7+P7=OY7,$NW$1,IF(R7+P7=NU7,$MS$1,IF(R7+P7=MQ7,$LO$1,IF(R7+P7=LM7,$KK$1,IF(R7+P7=KI7,$JG$1,IF(R7+P7=JE7,$IC$1,IF(R7+P7=IA7,$GY$1,IF(R7+P7=GW7,$FU$1,IF(R7+P7=FS7,$EQ$1,IF(R7+P7=EO7,$DM$1))))))))))))))))</f>
        <v/>
      </c>
      <c r="U7" s="76">
        <v>27.2</v>
      </c>
      <c r="V7" s="76">
        <v>6.9</v>
      </c>
      <c r="W7" s="76">
        <v>0.3</v>
      </c>
      <c r="X7" s="76">
        <v>0</v>
      </c>
      <c r="Y7" s="76">
        <v>28.4</v>
      </c>
      <c r="Z7" s="76">
        <v>6.4</v>
      </c>
      <c r="AA7" s="76">
        <v>0.9</v>
      </c>
      <c r="AB7" s="76">
        <v>0</v>
      </c>
      <c r="AC7" s="76">
        <v>28.6</v>
      </c>
      <c r="AD7" s="76">
        <v>5.6</v>
      </c>
      <c r="AE7" s="76">
        <v>0.3</v>
      </c>
      <c r="AF7" s="76">
        <v>0</v>
      </c>
      <c r="AG7" s="76">
        <v>19.600000000000001</v>
      </c>
      <c r="AH7" s="76">
        <v>2.4</v>
      </c>
      <c r="AI7" s="76">
        <v>0</v>
      </c>
      <c r="AJ7" s="76">
        <v>0</v>
      </c>
      <c r="AK7" s="76">
        <v>27.3</v>
      </c>
      <c r="AL7" s="76">
        <v>6.9</v>
      </c>
      <c r="AM7" s="76">
        <v>0.3</v>
      </c>
      <c r="AN7" s="76">
        <v>0</v>
      </c>
      <c r="AO7" s="76">
        <v>28.4</v>
      </c>
      <c r="AP7" s="76">
        <v>7.2</v>
      </c>
      <c r="AQ7" s="76">
        <v>0.3</v>
      </c>
      <c r="AR7" s="76">
        <v>0</v>
      </c>
      <c r="AS7" s="108"/>
      <c r="AT7" s="12">
        <f>IF(SUM(V7,Z7,AD7,AH7)&gt;0,SUM(V7,Z7,AD7,AH7),"")</f>
        <v>21.299999999999997</v>
      </c>
      <c r="AU7" s="12">
        <f>IF(SUM(U7:V7,X7:Z7,AB7)-SUM(W7,AA7)&gt;0,SUM(U7:V7,X7:Z7,AB7)-SUM(W7,AA7),"")</f>
        <v>67.7</v>
      </c>
      <c r="AV7" s="12">
        <f>IF(SUM(AC7:AD7,AF7:AH7,AJ7)-SUM(AE7,AI7)&gt;0,SUM(AC7:AD7,AF7:AH7,AJ7)-SUM(AE7,AI7),"")</f>
        <v>55.900000000000006</v>
      </c>
      <c r="AW7" s="12">
        <f>IF(SUM(U7:V7,X7:Z7,AB7:AD7,AF7:AH7,AJ7)-SUM(W7,AA7,AE7,AI7)&gt;0,SUM(U7:V7,X7:Z7,AB7:AD7,AF7:AH7,AJ7)-SUM(W7,AA7,AE7,AI7),"")</f>
        <v>123.6</v>
      </c>
      <c r="AX7" s="12">
        <f>IF(SUM(AK7:AL7,AN7:AP7,AR7)-SUM(AM7,AQ7)&gt;0,SUM(AK7:AL7,AN7:AP7,AR7)-SUM(AM7,AQ7),"")</f>
        <v>69.2</v>
      </c>
      <c r="AY7" s="12">
        <f>IF(SUM(AW7,AX7)&gt;0,SUM(AW7,AX7),"")</f>
        <v>192.8</v>
      </c>
      <c r="AZ7" s="80">
        <v>28.5</v>
      </c>
      <c r="BA7" s="80">
        <v>7.6</v>
      </c>
      <c r="BB7" s="80">
        <v>0.9</v>
      </c>
      <c r="BC7" s="80">
        <v>0</v>
      </c>
      <c r="BD7" s="80">
        <v>26.9</v>
      </c>
      <c r="BE7" s="80">
        <v>7.2</v>
      </c>
      <c r="BF7" s="80">
        <v>1.2</v>
      </c>
      <c r="BG7" s="80">
        <v>0</v>
      </c>
      <c r="BH7" s="80">
        <v>20.399999999999999</v>
      </c>
      <c r="BI7" s="80">
        <v>2.8</v>
      </c>
      <c r="BJ7" s="80">
        <v>0</v>
      </c>
      <c r="BK7" s="80">
        <v>0</v>
      </c>
      <c r="BL7" s="80">
        <v>27.8</v>
      </c>
      <c r="BM7" s="80">
        <v>7.6</v>
      </c>
      <c r="BN7" s="80">
        <v>0</v>
      </c>
      <c r="BO7" s="80">
        <v>0</v>
      </c>
      <c r="BP7" s="80">
        <v>0</v>
      </c>
      <c r="BQ7" s="80">
        <v>0</v>
      </c>
      <c r="BR7" s="80">
        <v>0</v>
      </c>
      <c r="BS7" s="80">
        <v>0</v>
      </c>
      <c r="BT7" s="80">
        <v>0</v>
      </c>
      <c r="BU7" s="80">
        <v>0</v>
      </c>
      <c r="BV7" s="80">
        <v>0</v>
      </c>
      <c r="BW7" s="80">
        <v>0</v>
      </c>
      <c r="BX7" s="105"/>
      <c r="BY7" s="110">
        <f>IF(SUM(BA7,BE7,BI7,BM7)&gt;0,SUM(BA7,BE7,BI7,BM7),"")</f>
        <v>25.200000000000003</v>
      </c>
      <c r="BZ7" s="110">
        <f>IF(SUM(AZ7:BA7,BC7:BE7,BG7)-SUM(BB7,BF7)&gt;0,SUM(AZ7:BA7,BC7:BE7,BG7)-SUM(BB7,BF7),"")</f>
        <v>68.100000000000009</v>
      </c>
      <c r="CA7" s="110">
        <f>IF(SUM(BH7:BI7,BK7:BM7,BO7)-SUM(BJ7,BN7)&gt;0,SUM(BH7:BI7,BK7:BM7,BO7)-SUM(BJ7,BN7),"")</f>
        <v>58.6</v>
      </c>
      <c r="CB7" s="110">
        <f>IF(SUM(AZ7:BA7,BC7:BE7,BG7:BI7,BK7:BM7,BO7)-SUM(BB7,BF7,BJ7,BN7)&gt;0,SUM(AZ7:BA7,BC7:BE7,BG7:BI7,BK7:BM7,BO7)-SUM(BB7,BF7,BJ7,BN7),"")</f>
        <v>126.69999999999999</v>
      </c>
      <c r="CC7" s="110" t="str">
        <f>IF(SUM(BP7:BQ7,BS7:BU7,BW7)-SUM(BR7,BV7)&gt;0,SUM(BP7:BQ7,BS7:BU7,BW7)-SUM(BR7,BV7),"")</f>
        <v/>
      </c>
      <c r="CD7" s="110">
        <f>IF(SUM(CB7,CC7)&gt;0,SUM(CB7,CC7),"")</f>
        <v>126.69999999999999</v>
      </c>
      <c r="CE7" s="45">
        <v>27.5</v>
      </c>
      <c r="CF7" s="45">
        <v>7.6</v>
      </c>
      <c r="CG7" s="45">
        <v>1.2</v>
      </c>
      <c r="CH7" s="45">
        <v>0</v>
      </c>
      <c r="CI7" s="45">
        <v>28.1</v>
      </c>
      <c r="CJ7" s="45">
        <v>7.6</v>
      </c>
      <c r="CK7" s="45">
        <v>0</v>
      </c>
      <c r="CL7" s="45">
        <v>0</v>
      </c>
      <c r="CM7" s="45">
        <v>27.8</v>
      </c>
      <c r="CN7" s="45">
        <v>7.3</v>
      </c>
      <c r="CO7" s="45">
        <v>0.3</v>
      </c>
      <c r="CP7" s="45">
        <v>0</v>
      </c>
      <c r="CQ7" s="45">
        <v>28.2</v>
      </c>
      <c r="CR7" s="45">
        <v>7.2</v>
      </c>
      <c r="CS7" s="45">
        <v>0</v>
      </c>
      <c r="CT7" s="45">
        <v>0</v>
      </c>
      <c r="CU7" s="45">
        <v>27.9</v>
      </c>
      <c r="CV7" s="45">
        <v>7.6</v>
      </c>
      <c r="CW7" s="45">
        <v>0</v>
      </c>
      <c r="CX7" s="45">
        <v>0</v>
      </c>
      <c r="CY7" s="45">
        <v>27.5</v>
      </c>
      <c r="CZ7" s="45">
        <v>7.2</v>
      </c>
      <c r="DA7" s="45">
        <v>0.3</v>
      </c>
      <c r="DB7" s="45">
        <v>0</v>
      </c>
      <c r="DC7" s="108"/>
      <c r="DD7" s="12">
        <f>IF(SUM(CF7,CJ7,CN7,CR7)&gt;0,SUM(CF7,CJ7,CN7,CR7),"")</f>
        <v>29.7</v>
      </c>
      <c r="DE7" s="12">
        <f>IF(SUM(CE7:CF7,CH7:CJ7,CL7)-SUM(CG7,CK7)&gt;0,SUM(CE7:CF7,CH7:CJ7,CL7)-SUM(CG7,CK7),"")</f>
        <v>69.599999999999994</v>
      </c>
      <c r="DF7" s="12">
        <f>IF(SUM(CM7:CN7,CP7:CR7,CT7)-SUM(CO7,CS7)&gt;0,SUM(CM7:CN7,CP7:CR7,CT7)-SUM(CO7,CS7),"")</f>
        <v>70.2</v>
      </c>
      <c r="DG7" s="12">
        <f>IF(SUM(CE7:CF7,CH7:CJ7,CL7:CN7,CP7:CR7,CT7)-SUM(CG7,CK7,CO7,CS7)&gt;0,SUM(CE7:CF7,CH7:CJ7,CL7:CN7,CP7:CR7,CT7)-SUM(CG7,CK7,CO7,CS7),"")</f>
        <v>139.79999999999998</v>
      </c>
      <c r="DH7" s="12">
        <f>IF(SUM(CU7:CV7,CX7:CZ7,DB7)-SUM(CW7,DA7)&gt;0,SUM(CU7:CV7,CX7:CZ7,DB7)-SUM(CW7,DA7),"")</f>
        <v>69.900000000000006</v>
      </c>
      <c r="DI7" s="12">
        <f>IF(SUM(DG7,DH7)&gt;0,SUM(DG7,DH7),"")</f>
        <v>209.7</v>
      </c>
      <c r="DJ7" s="28" t="str">
        <f>IF(MAX(EL7,FP7,GT7,HX7,JB7,KF7,LJ7,MN7,NR7,OV7,PZ7,RD7)-L7&gt;0.001,MAX(EL7,FP7,GT7,HX7,JB7,KF7,LJ7,MN7,NR7,OV7,PZ7,RD7)-L7,"")</f>
        <v/>
      </c>
      <c r="DK7" s="28" t="str">
        <f>IF(MAX(EM7,FQ7,GU7,HY7,JC7,KG7,LK7,MO7,NS7,OW7,QA7,RE7)-N7&gt;0.001,MAX(EM7,FQ7,GU7,HY7,JC7,KG7,LK7,MO7,NS7,OW7,QA7,RE7)-N7,"")</f>
        <v/>
      </c>
      <c r="DL7" s="28" t="str">
        <f>IF(MAX(EO7,FS7,GW7,IA7,JE7,KI7,LM7,MQ7,OY7,QC7,RG7)-P7&gt;0.001,MAX(EO7,FS7,GW7,IA7,JE7,KI7,LM7,MQ7,OY7,QC7,RG7)-P7,"")</f>
        <v/>
      </c>
      <c r="DM7" s="45">
        <v>27.7</v>
      </c>
      <c r="DN7" s="45">
        <v>7.2</v>
      </c>
      <c r="DO7" s="45">
        <v>1.2</v>
      </c>
      <c r="DP7" s="45">
        <v>0</v>
      </c>
      <c r="DQ7" s="45">
        <v>27</v>
      </c>
      <c r="DR7" s="45">
        <v>6.8</v>
      </c>
      <c r="DS7" s="45">
        <v>1.2</v>
      </c>
      <c r="DT7" s="45">
        <v>0</v>
      </c>
      <c r="DU7" s="45"/>
      <c r="DV7" s="45"/>
      <c r="DW7" s="45"/>
      <c r="DX7" s="45"/>
      <c r="DY7" s="45"/>
      <c r="DZ7" s="45"/>
      <c r="EA7" s="45"/>
      <c r="EB7" s="45"/>
      <c r="EC7" s="45"/>
      <c r="ED7" s="45"/>
      <c r="EE7" s="45"/>
      <c r="EF7" s="45"/>
      <c r="EG7" s="45"/>
      <c r="EH7" s="45"/>
      <c r="EI7" s="45"/>
      <c r="EJ7" s="45"/>
      <c r="EK7" s="12">
        <f>IF(SUM(DN7,DR7,DV7,DZ7)&gt;0,SUM(DN7,DR7,DV7,DZ7),"")</f>
        <v>14</v>
      </c>
      <c r="EL7" s="12">
        <f>IF(SUM(DM7:DN7,DP7:DR7,DT7)-SUM(DO7,DS7)&gt;0,SUM(DM7:DN7,DP7:DR7,DT7)-SUM(DO7,DS7),"")</f>
        <v>66.3</v>
      </c>
      <c r="EM7" s="12" t="str">
        <f>IF(SUM(DU7:DV7,DX7:DZ7,EB7)-SUM(DW7,EA7)&gt;0,SUM(DU7:DV7,DX7:DZ7,EB7)-SUM(DW7,EA7),"")</f>
        <v/>
      </c>
      <c r="EN7" s="12">
        <f>IF(SUM(DM7:DN7,DP7:DR7,DT7:DV7,DX7:DZ7,EB7)-SUM(DO7,DS7,DW7,EA7)&gt;0,SUM(DM7:DN7,DP7:DR7,DT7:DV7,DX7:DZ7,EB7)-SUM(DO7,DS7,DW7,EA7),"")</f>
        <v>66.3</v>
      </c>
      <c r="EO7" s="12" t="str">
        <f>IF(SUM(EC7:ED7,EF7:EH7,EJ7)-SUM(EE7,EI7)&gt;0,SUM(EC7:ED7,EF7:EH7,EJ7)-SUM(EE7,EI7),"")</f>
        <v/>
      </c>
      <c r="EP7" s="12">
        <f>IF(SUM(EN7,EO7)&gt;0,SUM(EN7,EO7),"")</f>
        <v>66.3</v>
      </c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  <c r="FF7" s="50"/>
      <c r="FG7" s="50"/>
      <c r="FH7" s="50"/>
      <c r="FI7" s="50"/>
      <c r="FJ7" s="50"/>
      <c r="FK7" s="50"/>
      <c r="FL7" s="50"/>
      <c r="FM7" s="50"/>
      <c r="FN7" s="50"/>
      <c r="FO7" s="15" t="str">
        <f>IF(SUM(ER7,EV7,EZ7,FD7)&gt;0,SUM(ER7,EV7,EZ7,FD7),"")</f>
        <v/>
      </c>
      <c r="FP7" s="15" t="str">
        <f>IF(SUM(EQ7:ER7,ET7:EV7,EX7)-SUM(ES7,EW7)&gt;0,SUM(EQ7:ER7,ET7:EV7,EX7)-SUM(ES7,EW7),"")</f>
        <v/>
      </c>
      <c r="FQ7" s="15" t="str">
        <f>IF(SUM(EY7:EZ7,FB7:FD7,FF7)-SUM(FA7,FE7)&gt;0,SUM(EY7:EZ7,FB7:FD7,FF7)-SUM(FA7,FE7),"")</f>
        <v/>
      </c>
      <c r="FR7" s="15" t="str">
        <f>IF(SUM(EQ7:ER7,ET7:EV7,EX7:EZ7,FB7:FD7,FF7)-SUM(ES7,EW7,FA7,FE7)&gt;0,SUM(EQ7:ER7,ET7:EV7,EX7:EZ7,FB7:FD7,FF7)-SUM(ES7,EW7,FA7,FE7),"")</f>
        <v/>
      </c>
      <c r="FS7" s="15" t="str">
        <f>IF(SUM(FG7:FH7,FJ7:FL7,FN7)-SUM(FI7,FM7)&gt;0,SUM(FG7:FH7,FJ7:FL7,FN7)-SUM(FI7,FM7),"")</f>
        <v/>
      </c>
      <c r="FT7" s="15" t="str">
        <f>IF(SUM(FR7,FS7)&gt;0,SUM(FR7,FS7),"")</f>
        <v/>
      </c>
      <c r="FU7" s="51"/>
      <c r="FV7" s="51"/>
      <c r="FW7" s="51"/>
      <c r="FX7" s="51"/>
      <c r="FY7" s="51"/>
      <c r="FZ7" s="51"/>
      <c r="GA7" s="51"/>
      <c r="GB7" s="51"/>
      <c r="GC7" s="51"/>
      <c r="GD7" s="51"/>
      <c r="GE7" s="51"/>
      <c r="GF7" s="51"/>
      <c r="GG7" s="51"/>
      <c r="GH7" s="51"/>
      <c r="GI7" s="51"/>
      <c r="GJ7" s="51"/>
      <c r="GK7" s="51"/>
      <c r="GL7" s="51"/>
      <c r="GM7" s="51"/>
      <c r="GN7" s="51"/>
      <c r="GO7" s="51"/>
      <c r="GP7" s="51"/>
      <c r="GQ7" s="51"/>
      <c r="GR7" s="51"/>
      <c r="GS7" s="12" t="str">
        <f>IF(SUM(FV7,FZ7,GD7,GH7)&gt;0,SUM(FV7,FZ7,GD7,GH7),"")</f>
        <v/>
      </c>
      <c r="GT7" s="12" t="str">
        <f>IF(SUM(FU7:FV7,FX7:FZ7,GB7)-SUM(FW7,GA7)&gt;0,SUM(FU7:FV7,FX7:FZ7,GB7)-SUM(FW7,GA7),"")</f>
        <v/>
      </c>
      <c r="GU7" s="12" t="str">
        <f>IF(SUM(GC7:GD7,GF7:GH7,GJ7)-SUM(GE7,GI7)&gt;0,SUM(GC7:GD7,GF7:GH7,GJ7)-SUM(GE7,GI7),"")</f>
        <v/>
      </c>
      <c r="GV7" s="12" t="str">
        <f>IF(SUM(FU7:FV7,FX7:FZ7,GB7:GD7,GF7:GH7,GJ7)-SUM(FW7,GA7,GE7,GI7)&gt;0,SUM(FU7:FV7,FX7:FZ7,GB7:GD7,GF7:GH7,GJ7)-SUM(FW7,GA7,GE7,GI7),"")</f>
        <v/>
      </c>
      <c r="GW7" s="12" t="str">
        <f>IF(SUM(GK7:GL7,GN7:GP7,GR7)-SUM(GM7,GQ7)&gt;0,SUM(GK7:GL7,GN7:GP7,GR7)-SUM(GM7,GQ7),"")</f>
        <v/>
      </c>
      <c r="GX7" s="12" t="str">
        <f>IF(SUM(GV7,GW7)&gt;0,SUM(GV7,GW7),"")</f>
        <v/>
      </c>
      <c r="GY7" s="50"/>
      <c r="GZ7" s="50"/>
      <c r="HA7" s="50"/>
      <c r="HB7" s="50"/>
      <c r="HC7" s="50"/>
      <c r="HD7" s="50"/>
      <c r="HE7" s="50"/>
      <c r="HF7" s="50"/>
      <c r="HG7" s="50"/>
      <c r="HH7" s="50"/>
      <c r="HI7" s="50"/>
      <c r="HJ7" s="50"/>
      <c r="HK7" s="50"/>
      <c r="HL7" s="50"/>
      <c r="HM7" s="50"/>
      <c r="HN7" s="50"/>
      <c r="HO7" s="50"/>
      <c r="HP7" s="50"/>
      <c r="HQ7" s="50"/>
      <c r="HR7" s="50"/>
      <c r="HS7" s="50"/>
      <c r="HT7" s="50"/>
      <c r="HU7" s="50"/>
      <c r="HV7" s="50"/>
      <c r="HW7" s="15" t="str">
        <f>IF(SUM(GZ7,HD7,HH7,HL7)&gt;0,SUM(GZ7,HD7,HH7,HL7),"")</f>
        <v/>
      </c>
      <c r="HX7" s="15" t="str">
        <f>IF(SUM(GY7:GZ7,HB7:HD7,HF7)-SUM(HA7,HE7)&gt;0,SUM(GY7:GZ7,HB7:HD7,HF7)-SUM(HA7,HE7),"")</f>
        <v/>
      </c>
      <c r="HY7" s="15" t="str">
        <f>IF(SUM(HG7:HH7,HJ7:HL7,HN7)-SUM(HI7,HM7)&gt;0,SUM(HG7:HH7,HJ7:HL7,HN7)-SUM(HI7,HM7),"")</f>
        <v/>
      </c>
      <c r="HZ7" s="15" t="str">
        <f>IF(SUM(GY7:GZ7,HB7:HD7,HF7:HH7,HJ7:HL7,HN7)-SUM(HA7,HE7,HI7,HM7)&gt;0,SUM(GY7:GZ7,HB7:HD7,HF7:HH7,HJ7:HL7,HN7)-SUM(HA7,HE7,HI7,HM7),"")</f>
        <v/>
      </c>
      <c r="IA7" s="15" t="str">
        <f>IF(SUM(HO7:HP7,HR7:HT7,HV7)-SUM(HQ7,HU7)&gt;0,SUM(HO7:HP7,HR7:HT7,HV7)-SUM(HQ7,HU7),"")</f>
        <v/>
      </c>
      <c r="IB7" s="15" t="str">
        <f>IF(SUM(HZ7,IA7)&gt;0,SUM(HZ7,IA7),"")</f>
        <v/>
      </c>
      <c r="IC7" s="51"/>
      <c r="ID7" s="51"/>
      <c r="IE7" s="51"/>
      <c r="IF7" s="51"/>
      <c r="IG7" s="51"/>
      <c r="IH7" s="51"/>
      <c r="II7" s="51"/>
      <c r="IJ7" s="51"/>
      <c r="IK7" s="51"/>
      <c r="IL7" s="51"/>
      <c r="IM7" s="51"/>
      <c r="IN7" s="51"/>
      <c r="IO7" s="51"/>
      <c r="IP7" s="51"/>
      <c r="IQ7" s="51"/>
      <c r="IR7" s="51"/>
      <c r="IS7" s="51"/>
      <c r="IT7" s="51"/>
      <c r="IU7" s="51"/>
      <c r="IV7" s="51"/>
      <c r="IW7" s="51"/>
      <c r="IX7" s="51"/>
      <c r="IY7" s="51"/>
      <c r="IZ7" s="51"/>
      <c r="JA7" s="12" t="str">
        <f>IF(SUM(ID7,IH7,IL7,IP7)&gt;0,SUM(ID7,IH7,IL7,IP7),"")</f>
        <v/>
      </c>
      <c r="JB7" s="12" t="str">
        <f>IF(SUM(IC7:ID7,IF7:IH7,IJ7)-SUM(IE7,II7)&gt;0,SUM(IC7:ID7,IF7:IH7,IJ7)-SUM(IE7,II7),"")</f>
        <v/>
      </c>
      <c r="JC7" s="12" t="str">
        <f>IF(SUM(IK7:IL7,IN7:IP7,IR7)-SUM(IM7,IQ7)&gt;0,SUM(IK7:IL7,IN7:IP7,IR7)-SUM(IM7,IQ7),"")</f>
        <v/>
      </c>
      <c r="JD7" s="12" t="str">
        <f>IF(SUM(IC7:ID7,IF7:IH7,IJ7:IL7,IN7:IP7,IR7)-SUM(IE7,II7,IM7,IQ7)&gt;0,SUM(IC7:ID7,IF7:IH7,IJ7:IL7,IN7:IP7,IR7)-SUM(IE7,II7,IM7,IQ7),"")</f>
        <v/>
      </c>
      <c r="JE7" s="12" t="str">
        <f>IF(SUM(IS7:IT7,IV7:IX7,IZ7)-SUM(IU7,IY7)&gt;0,SUM(IS7:IT7,IV7:IX7,IZ7)-SUM(IU7,IY7),"")</f>
        <v/>
      </c>
      <c r="JF7" s="12" t="str">
        <f>IF(SUM(JD7,JE7)&gt;0,SUM(JD7,JE7),"")</f>
        <v/>
      </c>
      <c r="JG7" s="50"/>
      <c r="JH7" s="50"/>
      <c r="JI7" s="50"/>
      <c r="JJ7" s="50"/>
      <c r="JK7" s="50"/>
      <c r="JL7" s="50"/>
      <c r="JM7" s="50"/>
      <c r="JN7" s="50"/>
      <c r="JO7" s="50"/>
      <c r="JP7" s="50"/>
      <c r="JQ7" s="50"/>
      <c r="JR7" s="50"/>
      <c r="JS7" s="50"/>
      <c r="JT7" s="50"/>
      <c r="JU7" s="50"/>
      <c r="JV7" s="50"/>
      <c r="JW7" s="50"/>
      <c r="JX7" s="50"/>
      <c r="JY7" s="50"/>
      <c r="JZ7" s="50"/>
      <c r="KA7" s="50"/>
      <c r="KB7" s="50"/>
      <c r="KC7" s="50"/>
      <c r="KD7" s="50"/>
      <c r="KE7" s="15" t="str">
        <f>IF(SUM(JH7,JL7,JP7,JT7)&gt;0,SUM(JH7,JL7,JP7,JT7),"")</f>
        <v/>
      </c>
      <c r="KF7" s="15" t="str">
        <f>IF(SUM(JG7:JH7,JJ7:JL7,JN7)-SUM(JI7,JM7)&gt;0,SUM(JG7:JH7,JJ7:JL7,JN7)-SUM(JI7,JM7),"")</f>
        <v/>
      </c>
      <c r="KG7" s="15" t="str">
        <f>IF(SUM(JO7:JP7,JR7:JT7,JV7)-SUM(JQ7,JU7)&gt;0,SUM(JO7:JP7,JR7:JT7,JV7)-SUM(JQ7,JU7),"")</f>
        <v/>
      </c>
      <c r="KH7" s="15" t="str">
        <f>IF(SUM(JG7:JH7,JJ7:JL7,JN7:JP7,JR7:JT7,JV7)-SUM(JI7,JM7,JQ7,JU7)&gt;0,SUM(JG7:JH7,JJ7:JL7,JN7:JP7,JR7:JT7,JV7)-SUM(JI7,JM7,JQ7,JU7),"")</f>
        <v/>
      </c>
      <c r="KI7" s="15" t="str">
        <f>IF(SUM(JW7:JX7,JZ7:KB7,KD7)-SUM(JY7,KC7)&gt;0,SUM(JW7:JX7,JZ7:KB7,KD7)-SUM(JY7,KC7),"")</f>
        <v/>
      </c>
      <c r="KJ7" s="15" t="str">
        <f>IF(SUM(KH7,KI7)&gt;0,SUM(KH7,KI7),"")</f>
        <v/>
      </c>
      <c r="KK7" s="51"/>
      <c r="KL7" s="51"/>
      <c r="KM7" s="51"/>
      <c r="KN7" s="51"/>
      <c r="KO7" s="51"/>
      <c r="KP7" s="51"/>
      <c r="KQ7" s="51"/>
      <c r="KR7" s="51"/>
      <c r="KS7" s="51"/>
      <c r="KT7" s="51"/>
      <c r="KU7" s="51"/>
      <c r="KV7" s="51"/>
      <c r="KW7" s="51"/>
      <c r="KX7" s="51"/>
      <c r="KY7" s="51"/>
      <c r="KZ7" s="51"/>
      <c r="LA7" s="51"/>
      <c r="LB7" s="51"/>
      <c r="LC7" s="51"/>
      <c r="LD7" s="51"/>
      <c r="LE7" s="51"/>
      <c r="LF7" s="51"/>
      <c r="LG7" s="51"/>
      <c r="LH7" s="51"/>
      <c r="LI7" s="12" t="str">
        <f>IF(SUM(KL7,KP7,KT7,KX7)&gt;0,SUM(KL7,KP7,KT7,KX7),"")</f>
        <v/>
      </c>
      <c r="LJ7" s="12" t="str">
        <f>IF(SUM(KK7:KL7,KN7:KP7,KR7)-SUM(KM7,KQ7)&gt;0,SUM(KK7:KL7,KN7:KP7,KR7)-SUM(KM7,KQ7),"")</f>
        <v/>
      </c>
      <c r="LK7" s="12" t="str">
        <f>IF(SUM(KS7:KT7,KV7:KX7,KZ7)-SUM(KU7,KY7)&gt;0,SUM(KS7:KT7,KV7:KX7,KZ7)-SUM(KU7,KY7),"")</f>
        <v/>
      </c>
      <c r="LL7" s="12" t="str">
        <f>IF(SUM(KK7:KL7,KN7:KP7,KR7:KT7,KV7:KX7,KZ7)-SUM(KM7,KQ7,KU7,KY7)&gt;0,SUM(KK7:KL7,KN7:KP7,KR7:KT7,KV7:KX7,KZ7)-SUM(KM7,KQ7,KU7,KY7),"")</f>
        <v/>
      </c>
      <c r="LM7" s="12" t="str">
        <f>IF(SUM(LA7:LB7,LD7:LF7,LH7)-SUM(LC7,LG7)&gt;0,SUM(LA7:LB7,LD7:LF7,LH7)-SUM(LC7,LG7),"")</f>
        <v/>
      </c>
      <c r="LN7" s="12" t="str">
        <f>IF(SUM(LL7,LM7)&gt;0,SUM(LL7,LM7),"")</f>
        <v/>
      </c>
      <c r="LO7" s="50"/>
      <c r="LP7" s="50"/>
      <c r="LQ7" s="50"/>
      <c r="LR7" s="50"/>
      <c r="LS7" s="50"/>
      <c r="LT7" s="50"/>
      <c r="LU7" s="50"/>
      <c r="LV7" s="50"/>
      <c r="LW7" s="50"/>
      <c r="LX7" s="50"/>
      <c r="LY7" s="50"/>
      <c r="LZ7" s="50"/>
      <c r="MA7" s="50"/>
      <c r="MB7" s="50"/>
      <c r="MC7" s="50"/>
      <c r="MD7" s="50"/>
      <c r="ME7" s="50"/>
      <c r="MF7" s="50"/>
      <c r="MG7" s="50"/>
      <c r="MH7" s="50"/>
      <c r="MI7" s="50"/>
      <c r="MJ7" s="50"/>
      <c r="MK7" s="50"/>
      <c r="ML7" s="50"/>
      <c r="MM7" s="15" t="str">
        <f>IF(SUM(LP7,LT7,LX7,MB7)&gt;0,SUM(LP7,LT7,LX7,MB7),"")</f>
        <v/>
      </c>
      <c r="MN7" s="15" t="str">
        <f>IF(SUM(LO7:LP7,LR7:LT7,LV7)-SUM(LQ7,LU7)&gt;0,SUM(LO7:LP7,LR7:LT7,LV7)-SUM(LQ7,LU7),"")</f>
        <v/>
      </c>
      <c r="MO7" s="15" t="str">
        <f>IF(SUM(LW7:LX7,LZ7:MB7,MD7)-SUM(LY7,MC7)&gt;0,SUM(LW7:LX7,LZ7:MB7,MD7)-SUM(LY7,MC7),"")</f>
        <v/>
      </c>
      <c r="MP7" s="15" t="str">
        <f>IF(SUM(LO7:LP7,LR7:LT7,LV7:LX7,LZ7:MB7,MD7)-SUM(LQ7,LU7,LY7,MC7)&gt;0,SUM(LO7:LP7,LR7:LT7,LV7:LX7,LZ7:MB7,MD7)-SUM(LQ7,LU7,LY7,MC7),"")</f>
        <v/>
      </c>
      <c r="MQ7" s="15" t="str">
        <f>IF(SUM(ME7:MF7,MH7:MJ7,ML7)-SUM(MG7,MK7)&gt;0,SUM(ME7:MF7,MH7:MJ7,ML7)-SUM(MG7,MK7),"")</f>
        <v/>
      </c>
      <c r="MR7" s="15" t="str">
        <f>IF(SUM(MP7,MQ7)&gt;0,SUM(MP7,MQ7),"")</f>
        <v/>
      </c>
      <c r="MS7" s="51"/>
      <c r="MT7" s="51"/>
      <c r="MU7" s="51"/>
      <c r="MV7" s="51"/>
      <c r="MW7" s="51"/>
      <c r="MX7" s="51"/>
      <c r="MY7" s="51"/>
      <c r="MZ7" s="51"/>
      <c r="NA7" s="51"/>
      <c r="NB7" s="51"/>
      <c r="NC7" s="51"/>
      <c r="ND7" s="51"/>
      <c r="NE7" s="51"/>
      <c r="NF7" s="51"/>
      <c r="NG7" s="51"/>
      <c r="NH7" s="51"/>
      <c r="NI7" s="51"/>
      <c r="NJ7" s="51"/>
      <c r="NK7" s="51"/>
      <c r="NL7" s="51"/>
      <c r="NM7" s="51"/>
      <c r="NN7" s="51"/>
      <c r="NO7" s="51"/>
      <c r="NP7" s="51"/>
      <c r="NQ7" s="12" t="str">
        <f>IF(SUM(MT7,MX7,NB7,NF7)&gt;0,SUM(MT7,MX7,NB7,NF7),"")</f>
        <v/>
      </c>
      <c r="NR7" s="12" t="str">
        <f>IF(SUM(MS7:MT7,MV7:MX7,MZ7)-SUM(MU7,MY7)&gt;0,SUM(MS7:MT7,MV7:MX7,MZ7)-SUM(MU7,MY7),"")</f>
        <v/>
      </c>
      <c r="NS7" s="12" t="str">
        <f>IF(SUM(NA7:NB7,ND7:NF7,NH7)-SUM(NC7,NG7)&gt;0,SUM(NA7:NB7,ND7:NF7,NH7)-SUM(NC7,NG7),"")</f>
        <v/>
      </c>
      <c r="NT7" s="12" t="str">
        <f>IF(SUM(MS7:MT7,MV7:MX7,MZ7:NB7,ND7:NF7,NH7)-SUM(MU7,MY7,NC7,NG7)&gt;0,SUM(MS7:MT7,MV7:MX7,MZ7:NB7,ND7:NF7,NH7)-SUM(MU7,MY7,NC7,NG7),"")</f>
        <v/>
      </c>
      <c r="NU7" s="12" t="str">
        <f>IF(SUM(NI7:NJ7,NL7:NN7,NP7)-SUM(NK7,NO7)&gt;0,SUM(NI7:NJ7,NL7:NN7,NP7)-SUM(NK7,NO7),"")</f>
        <v/>
      </c>
      <c r="NV7" s="12" t="str">
        <f>IF(SUM(NT7,NU7)&gt;0,SUM(NT7,NU7),"")</f>
        <v/>
      </c>
      <c r="NW7" s="50"/>
      <c r="NX7" s="50"/>
      <c r="NY7" s="50"/>
      <c r="NZ7" s="50"/>
      <c r="OA7" s="50"/>
      <c r="OB7" s="50"/>
      <c r="OC7" s="50"/>
      <c r="OD7" s="50"/>
      <c r="OE7" s="50"/>
      <c r="OF7" s="50"/>
      <c r="OG7" s="50"/>
      <c r="OH7" s="50"/>
      <c r="OI7" s="50"/>
      <c r="OJ7" s="50"/>
      <c r="OK7" s="50"/>
      <c r="OL7" s="50"/>
      <c r="OM7" s="50"/>
      <c r="ON7" s="50"/>
      <c r="OO7" s="50"/>
      <c r="OP7" s="50"/>
      <c r="OQ7" s="50"/>
      <c r="OR7" s="50"/>
      <c r="OS7" s="50"/>
      <c r="OT7" s="50"/>
      <c r="OU7" s="15" t="str">
        <f>IF(SUM(NX7,OB7,OF7,OJ7)&gt;0,SUM(NX7,OB7,OF7,OJ7),"")</f>
        <v/>
      </c>
      <c r="OV7" s="15" t="str">
        <f>IF(SUM(NW7:NX7,NZ7:OB7,OD7)-SUM(NY7,OC7)&gt;0,SUM(NW7:NX7,NZ7:OB7,OD7)-SUM(NY7,OC7),"")</f>
        <v/>
      </c>
      <c r="OW7" s="15" t="str">
        <f>IF(SUM(OE7:OF7,OH7:OJ7,OL7)-SUM(OG7,OK7)&gt;0,SUM(OE7:OF7,OH7:OJ7,OL7)-SUM(OG7,OK7),"")</f>
        <v/>
      </c>
      <c r="OX7" s="15" t="str">
        <f>IF(SUM(NW7:NX7,NZ7:OB7,OD7:OF7,OH7:OJ7,OL7)-SUM(NY7,OC7,OG7,OK7)&gt;0,SUM(NW7:NX7,NZ7:OB7,OD7:OF7,OH7:OJ7,OL7)-SUM(NY7,OC7,OG7,OK7),"")</f>
        <v/>
      </c>
      <c r="OY7" s="15" t="str">
        <f>IF(SUM(OM7:ON7,OP7:OR7,OT7)-SUM(OO7,OS7)&gt;0,SUM(OM7:ON7,OP7:OR7,OT7)-SUM(OO7,OS7),"")</f>
        <v/>
      </c>
      <c r="OZ7" s="15" t="str">
        <f>IF(SUM(OX7,OY7)&gt;0,SUM(OX7,OY7),"")</f>
        <v/>
      </c>
      <c r="PA7" s="51"/>
      <c r="PB7" s="51"/>
      <c r="PC7" s="51"/>
      <c r="PD7" s="51"/>
      <c r="PE7" s="51"/>
      <c r="PF7" s="51"/>
      <c r="PG7" s="51"/>
      <c r="PH7" s="51"/>
      <c r="PI7" s="51"/>
      <c r="PJ7" s="51"/>
      <c r="PK7" s="51"/>
      <c r="PL7" s="51"/>
      <c r="PM7" s="51"/>
      <c r="PN7" s="51"/>
      <c r="PO7" s="51"/>
      <c r="PP7" s="51"/>
      <c r="PQ7" s="51"/>
      <c r="PR7" s="51"/>
      <c r="PS7" s="51"/>
      <c r="PT7" s="51"/>
      <c r="PU7" s="51"/>
      <c r="PV7" s="51"/>
      <c r="PW7" s="51"/>
      <c r="PX7" s="51"/>
      <c r="PY7" s="12" t="str">
        <f>IF(SUM(PB7,PF7,PJ7,PN7)&gt;0,SUM(PB7,PF7,PJ7,PN7),"")</f>
        <v/>
      </c>
      <c r="PZ7" s="12" t="str">
        <f>IF(SUM(PA7:PB7,PD7:PF7,PH7)-SUM(PC7,PG7)&gt;0,SUM(PA7:PB7,PD7:PF7,PH7)-SUM(PC7,PG7),"")</f>
        <v/>
      </c>
      <c r="QA7" s="12" t="str">
        <f>IF(SUM(PI7:PJ7,PL7:PN7,PP7)-SUM(PK7,PO7)&gt;0,SUM(PI7:PJ7,PL7:PN7,PP7)-SUM(PK7,PO7),"")</f>
        <v/>
      </c>
      <c r="QB7" s="12" t="str">
        <f>IF(SUM(PA7:PB7,PD7:PF7,PH7:PJ7,PL7:PN7,PP7)-SUM(PC7,PG7,PK7,PO7)&gt;0,SUM(PA7:PB7,PD7:PF7,PH7:PJ7,PL7:PN7,PP7)-SUM(PC7,PG7,PK7,PO7),"")</f>
        <v/>
      </c>
      <c r="QC7" s="12" t="str">
        <f>IF(SUM(PQ7:PR7,PT7:PV7,PX7)-SUM(PS7,PW7)&gt;0,SUM(PQ7:PR7,PT7:PV7,PX7)-SUM(PS7,PW7),"")</f>
        <v/>
      </c>
      <c r="QD7" s="12" t="str">
        <f>IF(SUM(QB7,QC7)&gt;0,SUM(QB7,QC7),"")</f>
        <v/>
      </c>
      <c r="QE7" s="50"/>
      <c r="QF7" s="50"/>
      <c r="QG7" s="50"/>
      <c r="QH7" s="50"/>
      <c r="QI7" s="50"/>
      <c r="QJ7" s="50"/>
      <c r="QK7" s="50"/>
      <c r="QL7" s="50"/>
      <c r="QM7" s="50"/>
      <c r="QN7" s="50"/>
      <c r="QO7" s="50"/>
      <c r="QP7" s="50"/>
      <c r="QQ7" s="50"/>
      <c r="QR7" s="50"/>
      <c r="QS7" s="50"/>
      <c r="QT7" s="50"/>
      <c r="QU7" s="50"/>
      <c r="QV7" s="50"/>
      <c r="QW7" s="50"/>
      <c r="QX7" s="50"/>
      <c r="QY7" s="50"/>
      <c r="QZ7" s="50"/>
      <c r="RA7" s="50"/>
      <c r="RB7" s="50"/>
      <c r="RC7" s="15" t="str">
        <f>IF(SUM(QF7,QJ7,QN7,QR7)&gt;0,SUM(QF7,QJ7,QN7,QR7),"")</f>
        <v/>
      </c>
      <c r="RD7" s="15" t="str">
        <f>IF(SUM(QE7:QF7,QH7:QJ7,QL7)-SUM(QG7,QK7)&gt;0,SUM(QE7:QF7,QH7:QJ7,QL7)-SUM(QG7,QK7),"")</f>
        <v/>
      </c>
      <c r="RE7" s="15" t="str">
        <f>IF(SUM(QM7:QN7,QP7:QR7,QT7)-SUM(QO7,QS7)&gt;0,SUM(QM7:QN7,QP7:QR7,QT7)-SUM(QO7,QS7),"")</f>
        <v/>
      </c>
      <c r="RF7" s="15" t="str">
        <f>IF(SUM(QE7:QF7,QH7:QJ7,QL7:QN7,QP7:QR7,QT7)-SUM(QG7,QK7,QO7,QS7)&gt;0,SUM(QE7:QF7,QH7:QJ7,QL7:QN7,QP7:QR7,QT7)-SUM(QG7,QK7,QO7,QS7),"")</f>
        <v/>
      </c>
      <c r="RG7" s="15" t="str">
        <f>IF(SUM(QU7:QV7,QX7:QZ7,RB7)-SUM(QW7,RA7)&gt;0,SUM(QU7:QV7,QX7:QZ7,RB7)-SUM(QW7,RA7),"")</f>
        <v/>
      </c>
      <c r="RH7" s="15" t="str">
        <f>IF(SUM(RF7,RG7)&gt;0,SUM(RF7,RG7),"")</f>
        <v/>
      </c>
    </row>
    <row r="8" spans="1:476" x14ac:dyDescent="0.2">
      <c r="A8" s="6" t="str">
        <f>IF(AND(F8="P",H8="P"),SUMPRODUCT((F$4:F$16="P")*(H$4:H$16="P")*(E$4:E$16&gt;E8))+1,IF(H8="P",SUMPRODUCT((F$4:F$16="")*(H$4:H$16="P")*(E$4:E$16&gt;E8))+1+SUMPRODUCT((F$4:F$16="P")*(H$4:H$16="P")),""))</f>
        <v/>
      </c>
      <c r="B8" s="9" t="s">
        <v>92</v>
      </c>
      <c r="C8" s="5" t="s">
        <v>4</v>
      </c>
      <c r="D8" s="6">
        <v>2003</v>
      </c>
      <c r="E8" s="16">
        <f>SUM(J8:R8)</f>
        <v>335.8</v>
      </c>
      <c r="F8" s="4" t="str">
        <f>IF(OR(AND($AT8&gt;=$AU$19,NOT($AT8=""),$AS8=""),AND($BY8&gt;=$BZ$19,NOT($BY8=""),$BX8=""),AND($DD8&gt;=$DE$19,NOT($DD8=""),$DC8="")),"P","")</f>
        <v/>
      </c>
      <c r="G8" s="4" t="str">
        <f>IF(OR(AND($AT8&gt;=$AU$20,NOT($AT8=""),$AS8=""),AND($BY8&gt;=$BZ$20,NOT($BY8=""),$BX8=""),AND($DD8&gt;=$DE$20,NOT($DD8=""),$DC8="")),"P","")</f>
        <v/>
      </c>
      <c r="H8" s="4" t="str">
        <f>IF(OR(AND($AW8&gt;=$AU$21,NOT($AW8=""),$AS8=""),AND($CB8&gt;=$BZ$21,NOT($CB8=""),$BX8=""),AND($DG8&gt;=$DE$21,NOT($DG8=""),$DC8="")),"P","")</f>
        <v/>
      </c>
      <c r="I8" t="str">
        <f>IF(AND(G8="P",OR(AND($AW8&gt;=$AU$24,NOT($AW8=""),$AS8=""),AND($CB8&gt;=$BZ$24,NOT($CB8=""),$BX8=""),AND($DG8&gt;=$DE$24,NOT($DG8=""),$DC8=""))),"Merit",IF(AND(G8="P",OR(AND($AW8&gt;=$AU$23,NOT($AW8=""),$AS8=""),AND($CB8&gt;=$BZ$23,NOT($CB8=""),$BX8=""),AND($DG8&gt;=$DE$23,NOT($DG8=""),$DC8=""))),"Funding",IF(AND(G8="P",OR(AND($AW8&gt;=$AU$22,NOT($AW8=""),$AS8=""),AND($CB8&gt;=$BZ$22,NOT($CB8=""),$BX8=""),AND($DG8&gt;=$DE$22,NOT($DG8=""),$DC8=""))),"Worlds Team",IF(AND(F8="P",OR(AND($AW8&gt;=$AU$21,NOT($AW8=""),$AS8=""),AND($CB8&gt;=$BZ$21,NOT($CB8=""),$BX8=""),AND($DG8&gt;=$DE$21,NOT($DG8=""),$DC8=""))),"National Team",""))))</f>
        <v/>
      </c>
      <c r="J8" s="15">
        <f>MAX(AW8,CB8,DG8)</f>
        <v>131.69999999999999</v>
      </c>
      <c r="K8" s="15" t="str">
        <f>IF(J8=DG8,$CE$1,IF(J8=CB8,$AZ$1,IF(J8=AW8,$U$1,"")))</f>
        <v>2018 Canada Cup</v>
      </c>
      <c r="L8" s="15">
        <f>IF($J8=$AW8,MAX(BZ8,DE8),IF($J8=$CB8,MAX(AU8,DE8),MAX(AU8,BZ8)))</f>
        <v>68.8</v>
      </c>
      <c r="M8" s="15" t="str">
        <f>IF(L8=DE8,$CE$1,IF(L8=BZ8,$AZ$1,IF(L8=AU8,$U$1,"")))</f>
        <v>2018 Nationals</v>
      </c>
      <c r="N8" s="15">
        <f>IF($J8=$AW8,MAX(CA8,DF8),IF($J8=$CB8,MAX(AV8,DF8),MAX(AV8,CA8)))</f>
        <v>65.3</v>
      </c>
      <c r="O8" s="15" t="str">
        <f>IF(N8=DF8,$CE$1,IF(N8=CA8,$AZ$1,IF(N8=AV8,$U$1,"")))</f>
        <v>2017 Nationals</v>
      </c>
      <c r="P8" s="15">
        <f>MAX(AX8,CC8,DH8)</f>
        <v>70</v>
      </c>
      <c r="Q8" s="15" t="str">
        <f>IF(P8=DH8,$CE$1,IF(P8=CC8,$AZ$1,IF(P8=AX8,$U$1,"")))</f>
        <v>2018 Nationals</v>
      </c>
      <c r="R8" s="15" t="str">
        <f>IF(MAX(DJ8:DL8)&gt;0,MAX(DJ8:DL8),"")</f>
        <v/>
      </c>
      <c r="S8" s="29" t="str">
        <f>IF(R8="","",IF(R8=DJ8,"(Pass 1-2)",IF(R8=DK8,"(Pass 3-4)",IF(R8=DL8,"(Final)"))))</f>
        <v/>
      </c>
      <c r="T8" s="15" t="str">
        <f>IF(R8="","",IF(R8=DJ8,IF(R8+L8=RD8,$QE$1,IF(R8+L8=PZ8,$PA$1,IF(R8+L8=OV8,$NW$1,IF(R8+L8=NR8,$MS$1,IF(R8+L8=MN8,$LO$1,IF(R8+L8=LJ8,$KK$1,IF(R8+L8=KF8,$JG$1,IF(R8+L8=JB8,$IC$1,IF(R8+L8=HX8,$GY$1,IF(R8+L8=GT8,$FU$1,IF(R8+L8=FP8,$EQ$1,IF(R8+L8=EL8,$DM$1)))))))))))),IF(R8=DK8,IF(R8+N8=RE8,$QE$1,IF(R8+N8=QA8,$PA$1,IF(R8+N8=OW8,$NW$1,IF(R8+N8=NS8,$MS$1,IF(R8+N8=MO8,$LO$1,IF(R8+N8=LK8,$KK$1,IF(R8+N8=KG8,$JG$1,IF(R8+N8=JC8,$IC$1,IF(R8+N8=HY8,$GY$1,IF(R8+N8=GU8,$FU$1,IF(R8+N8=FQ8,$EQ$1,IF(R8+N8=EM8,$DM$1)))))))))))),IF(R8=DL8,IF(R8+P8=RG8,$QE$1,IF(R8+P8=QC8,$PA$1,IF(R8+P8=OY8,$NW$1,IF(R8+P8=NU8,$MS$1,IF(R8+P8=MQ8,$LO$1,IF(R8+P8=LM8,$KK$1,IF(R8+P8=KI8,$JG$1,IF(R8+P8=JE8,$IC$1,IF(R8+P8=IA8,$GY$1,IF(R8+P8=GW8,$FU$1,IF(R8+P8=FS8,$EQ$1,IF(R8+P8=EO8,$DM$1))))))))))))))))</f>
        <v/>
      </c>
      <c r="U8" s="76">
        <v>26.9</v>
      </c>
      <c r="V8" s="76">
        <v>5.2</v>
      </c>
      <c r="W8" s="76">
        <v>1.2</v>
      </c>
      <c r="X8" s="76">
        <v>0</v>
      </c>
      <c r="Y8" s="76">
        <v>27.9</v>
      </c>
      <c r="Z8" s="76">
        <v>5.2</v>
      </c>
      <c r="AA8" s="76">
        <v>0</v>
      </c>
      <c r="AB8" s="76">
        <v>0</v>
      </c>
      <c r="AC8" s="76">
        <v>28.2</v>
      </c>
      <c r="AD8" s="76">
        <v>4.8</v>
      </c>
      <c r="AE8" s="76">
        <v>0</v>
      </c>
      <c r="AF8" s="76">
        <v>0</v>
      </c>
      <c r="AG8" s="76">
        <v>28.5</v>
      </c>
      <c r="AH8" s="76">
        <v>3.8</v>
      </c>
      <c r="AI8" s="76">
        <v>0</v>
      </c>
      <c r="AJ8" s="76">
        <v>0</v>
      </c>
      <c r="AK8" s="76">
        <v>27.5</v>
      </c>
      <c r="AL8" s="76">
        <v>5.2</v>
      </c>
      <c r="AM8" s="76">
        <v>0</v>
      </c>
      <c r="AN8" s="76">
        <v>0</v>
      </c>
      <c r="AO8" s="76">
        <v>27.8</v>
      </c>
      <c r="AP8" s="76">
        <v>4.8</v>
      </c>
      <c r="AQ8" s="76">
        <v>0.9</v>
      </c>
      <c r="AR8" s="76">
        <v>0</v>
      </c>
      <c r="AS8" s="108"/>
      <c r="AT8" s="12">
        <f>IF(SUM(V8,Z8,AD8,AH8)&gt;0,SUM(V8,Z8,AD8,AH8),"")</f>
        <v>19</v>
      </c>
      <c r="AU8" s="12">
        <f>IF(SUM(U8:V8,X8:Z8,AB8)-SUM(W8,AA8)&gt;0,SUM(U8:V8,X8:Z8,AB8)-SUM(W8,AA8),"")</f>
        <v>64</v>
      </c>
      <c r="AV8" s="12">
        <f>IF(SUM(AC8:AD8,AF8:AH8,AJ8)-SUM(AE8,AI8)&gt;0,SUM(AC8:AD8,AF8:AH8,AJ8)-SUM(AE8,AI8),"")</f>
        <v>65.3</v>
      </c>
      <c r="AW8" s="12">
        <f>IF(SUM(U8:V8,X8:Z8,AB8:AD8,AF8:AH8,AJ8)-SUM(W8,AA8,AE8,AI8)&gt;0,SUM(U8:V8,X8:Z8,AB8:AD8,AF8:AH8,AJ8)-SUM(W8,AA8,AE8,AI8),"")</f>
        <v>129.30000000000001</v>
      </c>
      <c r="AX8" s="12">
        <f>IF(SUM(AK8:AL8,AN8:AP8,AR8)-SUM(AM8,AQ8)&gt;0,SUM(AK8:AL8,AN8:AP8,AR8)-SUM(AM8,AQ8),"")</f>
        <v>64.399999999999991</v>
      </c>
      <c r="AY8" s="12">
        <f>IF(SUM(AW8,AX8)&gt;0,SUM(AW8,AX8),"")</f>
        <v>193.7</v>
      </c>
      <c r="AZ8" s="80">
        <v>28.7</v>
      </c>
      <c r="BA8" s="80">
        <v>5.2</v>
      </c>
      <c r="BB8" s="80">
        <v>0</v>
      </c>
      <c r="BC8" s="80">
        <v>0</v>
      </c>
      <c r="BD8" s="80">
        <v>28</v>
      </c>
      <c r="BE8" s="80">
        <v>6</v>
      </c>
      <c r="BF8" s="80">
        <v>0</v>
      </c>
      <c r="BG8" s="80">
        <v>0</v>
      </c>
      <c r="BH8" s="80">
        <v>27.5</v>
      </c>
      <c r="BI8" s="80">
        <v>5.2</v>
      </c>
      <c r="BJ8" s="80">
        <v>0.9</v>
      </c>
      <c r="BK8" s="80">
        <v>0</v>
      </c>
      <c r="BL8" s="80">
        <v>27.7</v>
      </c>
      <c r="BM8" s="80">
        <v>5.2</v>
      </c>
      <c r="BN8" s="80">
        <v>0.9</v>
      </c>
      <c r="BO8" s="80">
        <v>0</v>
      </c>
      <c r="BP8" s="80">
        <v>28.5</v>
      </c>
      <c r="BQ8" s="80">
        <v>5.2</v>
      </c>
      <c r="BR8" s="80">
        <v>0</v>
      </c>
      <c r="BS8" s="80">
        <v>0</v>
      </c>
      <c r="BT8" s="80">
        <v>27.7</v>
      </c>
      <c r="BU8" s="80">
        <v>6</v>
      </c>
      <c r="BV8" s="80">
        <v>0</v>
      </c>
      <c r="BW8" s="80">
        <v>0</v>
      </c>
      <c r="BX8" s="105"/>
      <c r="BY8" s="110">
        <f>IF(SUM(BA8,BE8,BI8,BM8)&gt;0,SUM(BA8,BE8,BI8,BM8),"")</f>
        <v>21.599999999999998</v>
      </c>
      <c r="BZ8" s="110">
        <f>IF(SUM(AZ8:BA8,BC8:BE8,BG8)-SUM(BB8,BF8)&gt;0,SUM(AZ8:BA8,BC8:BE8,BG8)-SUM(BB8,BF8),"")</f>
        <v>67.900000000000006</v>
      </c>
      <c r="CA8" s="110">
        <f>IF(SUM(BH8:BI8,BK8:BM8,BO8)-SUM(BJ8,BN8)&gt;0,SUM(BH8:BI8,BK8:BM8,BO8)-SUM(BJ8,BN8),"")</f>
        <v>63.800000000000011</v>
      </c>
      <c r="CB8" s="110">
        <f>IF(SUM(AZ8:BA8,BC8:BE8,BG8:BI8,BK8:BM8,BO8)-SUM(BB8,BF8,BJ8,BN8)&gt;0,SUM(AZ8:BA8,BC8:BE8,BG8:BI8,BK8:BM8,BO8)-SUM(BB8,BF8,BJ8,BN8),"")</f>
        <v>131.69999999999999</v>
      </c>
      <c r="CC8" s="110">
        <f>IF(SUM(BP8:BQ8,BS8:BU8,BW8)-SUM(BR8,BV8)&gt;0,SUM(BP8:BQ8,BS8:BU8,BW8)-SUM(BR8,BV8),"")</f>
        <v>67.400000000000006</v>
      </c>
      <c r="CD8" s="110">
        <f>IF(SUM(CB8,CC8)&gt;0,SUM(CB8,CC8),"")</f>
        <v>199.1</v>
      </c>
      <c r="CE8" s="45">
        <v>28.5</v>
      </c>
      <c r="CF8" s="45">
        <v>6.8</v>
      </c>
      <c r="CG8" s="45">
        <v>0</v>
      </c>
      <c r="CH8" s="45">
        <v>0</v>
      </c>
      <c r="CI8" s="45">
        <v>28.3</v>
      </c>
      <c r="CJ8" s="45">
        <v>5.2</v>
      </c>
      <c r="CK8" s="45">
        <v>0</v>
      </c>
      <c r="CL8" s="45">
        <v>0</v>
      </c>
      <c r="CM8" s="45">
        <v>27.4</v>
      </c>
      <c r="CN8" s="45">
        <v>6.4</v>
      </c>
      <c r="CO8" s="45">
        <v>1.5</v>
      </c>
      <c r="CP8" s="45">
        <v>0</v>
      </c>
      <c r="CQ8" s="45">
        <v>0</v>
      </c>
      <c r="CR8" s="45">
        <v>0</v>
      </c>
      <c r="CS8" s="45">
        <v>0</v>
      </c>
      <c r="CT8" s="45">
        <v>0</v>
      </c>
      <c r="CU8" s="45">
        <v>28.3</v>
      </c>
      <c r="CV8" s="45">
        <v>6.8</v>
      </c>
      <c r="CW8" s="45">
        <v>0</v>
      </c>
      <c r="CX8" s="45">
        <v>0</v>
      </c>
      <c r="CY8" s="45">
        <v>28.5</v>
      </c>
      <c r="CZ8" s="45">
        <v>6.4</v>
      </c>
      <c r="DA8" s="45">
        <v>0</v>
      </c>
      <c r="DB8" s="45">
        <v>0</v>
      </c>
      <c r="DC8" s="108"/>
      <c r="DD8" s="12">
        <f>IF(SUM(CF8,CJ8,CN8,CR8)&gt;0,SUM(CF8,CJ8,CN8,CR8),"")</f>
        <v>18.399999999999999</v>
      </c>
      <c r="DE8" s="12">
        <f>IF(SUM(CE8:CF8,CH8:CJ8,CL8)-SUM(CG8,CK8)&gt;0,SUM(CE8:CF8,CH8:CJ8,CL8)-SUM(CG8,CK8),"")</f>
        <v>68.8</v>
      </c>
      <c r="DF8" s="12">
        <f>IF(SUM(CM8:CN8,CP8:CR8,CT8)-SUM(CO8,CS8)&gt;0,SUM(CM8:CN8,CP8:CR8,CT8)-SUM(CO8,CS8),"")</f>
        <v>32.299999999999997</v>
      </c>
      <c r="DG8" s="12">
        <f>IF(SUM(CE8:CF8,CH8:CJ8,CL8:CN8,CP8:CR8,CT8)-SUM(CG8,CK8,CO8,CS8)&gt;0,SUM(CE8:CF8,CH8:CJ8,CL8:CN8,CP8:CR8,CT8)-SUM(CG8,CK8,CO8,CS8),"")</f>
        <v>101.1</v>
      </c>
      <c r="DH8" s="12">
        <f>IF(SUM(CU8:CV8,CX8:CZ8,DB8)-SUM(CW8,DA8)&gt;0,SUM(CU8:CV8,CX8:CZ8,DB8)-SUM(CW8,DA8),"")</f>
        <v>70</v>
      </c>
      <c r="DI8" s="12">
        <f>IF(SUM(DG8,DH8)&gt;0,SUM(DG8,DH8),"")</f>
        <v>171.1</v>
      </c>
      <c r="DJ8" s="28" t="str">
        <f>IF(MAX(EL8,FP8,GT8,HX8,JB8,KF8,LJ8,MN8,NR8,OV8,PZ8,RD8)-L8&gt;0.001,MAX(EL8,FP8,GT8,HX8,JB8,KF8,LJ8,MN8,NR8,OV8,PZ8,RD8)-L8,"")</f>
        <v/>
      </c>
      <c r="DK8" s="28" t="str">
        <f>IF(MAX(EM8,FQ8,GU8,HY8,JC8,KG8,LK8,MO8,NS8,OW8,QA8,RE8)-N8&gt;0.001,MAX(EM8,FQ8,GU8,HY8,JC8,KG8,LK8,MO8,NS8,OW8,QA8,RE8)-N8,"")</f>
        <v/>
      </c>
      <c r="DL8" s="28" t="str">
        <f>IF(MAX(EO8,FS8,GW8,IA8,JE8,KI8,LM8,MQ8,OY8,QC8,RG8)-P8&gt;0.001,MAX(EO8,FS8,GW8,IA8,JE8,KI8,LM8,MQ8,OY8,QC8,RG8)-P8,"")</f>
        <v/>
      </c>
      <c r="DM8" s="45"/>
      <c r="DN8" s="45"/>
      <c r="DO8" s="45"/>
      <c r="DP8" s="45"/>
      <c r="DQ8" s="45"/>
      <c r="DR8" s="45"/>
      <c r="DS8" s="45"/>
      <c r="DT8" s="45"/>
      <c r="DU8" s="45"/>
      <c r="DV8" s="45"/>
      <c r="DW8" s="45"/>
      <c r="DX8" s="45"/>
      <c r="DY8" s="45"/>
      <c r="DZ8" s="45"/>
      <c r="EA8" s="45"/>
      <c r="EB8" s="45"/>
      <c r="EC8" s="45"/>
      <c r="ED8" s="45"/>
      <c r="EE8" s="45"/>
      <c r="EF8" s="45"/>
      <c r="EG8" s="45"/>
      <c r="EH8" s="45"/>
      <c r="EI8" s="45"/>
      <c r="EJ8" s="45"/>
      <c r="EK8" s="12" t="str">
        <f>IF(SUM(DN8,DR8,DV8,DZ8)&gt;0,SUM(DN8,DR8,DV8,DZ8),"")</f>
        <v/>
      </c>
      <c r="EL8" s="12" t="str">
        <f>IF(SUM(DM8:DN8,DP8:DR8,DT8)-SUM(DO8,DS8)&gt;0,SUM(DM8:DN8,DP8:DR8,DT8)-SUM(DO8,DS8),"")</f>
        <v/>
      </c>
      <c r="EM8" s="12" t="str">
        <f>IF(SUM(DU8:DV8,DX8:DZ8,EB8)-SUM(DW8,EA8)&gt;0,SUM(DU8:DV8,DX8:DZ8,EB8)-SUM(DW8,EA8),"")</f>
        <v/>
      </c>
      <c r="EN8" s="12" t="str">
        <f>IF(SUM(DM8:DN8,DP8:DR8,DT8:DV8,DX8:DZ8,EB8)-SUM(DO8,DS8,DW8,EA8)&gt;0,SUM(DM8:DN8,DP8:DR8,DT8:DV8,DX8:DZ8,EB8)-SUM(DO8,DS8,DW8,EA8),"")</f>
        <v/>
      </c>
      <c r="EO8" s="12" t="str">
        <f>IF(SUM(EC8:ED8,EF8:EH8,EJ8)-SUM(EE8,EI8)&gt;0,SUM(EC8:ED8,EF8:EH8,EJ8)-SUM(EE8,EI8),"")</f>
        <v/>
      </c>
      <c r="EP8" s="12" t="str">
        <f>IF(SUM(EN8,EO8)&gt;0,SUM(EN8,EO8),"")</f>
        <v/>
      </c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  <c r="FF8" s="50"/>
      <c r="FG8" s="50"/>
      <c r="FH8" s="50"/>
      <c r="FI8" s="50"/>
      <c r="FJ8" s="50"/>
      <c r="FK8" s="50"/>
      <c r="FL8" s="50"/>
      <c r="FM8" s="50"/>
      <c r="FN8" s="50"/>
      <c r="FO8" s="15" t="str">
        <f>IF(SUM(ER8,EV8,EZ8,FD8)&gt;0,SUM(ER8,EV8,EZ8,FD8),"")</f>
        <v/>
      </c>
      <c r="FP8" s="15" t="str">
        <f>IF(SUM(EQ8:ER8,ET8:EV8,EX8)-SUM(ES8,EW8)&gt;0,SUM(EQ8:ER8,ET8:EV8,EX8)-SUM(ES8,EW8),"")</f>
        <v/>
      </c>
      <c r="FQ8" s="15" t="str">
        <f>IF(SUM(EY8:EZ8,FB8:FD8,FF8)-SUM(FA8,FE8)&gt;0,SUM(EY8:EZ8,FB8:FD8,FF8)-SUM(FA8,FE8),"")</f>
        <v/>
      </c>
      <c r="FR8" s="15" t="str">
        <f>IF(SUM(EQ8:ER8,ET8:EV8,EX8:EZ8,FB8:FD8,FF8)-SUM(ES8,EW8,FA8,FE8)&gt;0,SUM(EQ8:ER8,ET8:EV8,EX8:EZ8,FB8:FD8,FF8)-SUM(ES8,EW8,FA8,FE8),"")</f>
        <v/>
      </c>
      <c r="FS8" s="15" t="str">
        <f>IF(SUM(FG8:FH8,FJ8:FL8,FN8)-SUM(FI8,FM8)&gt;0,SUM(FG8:FH8,FJ8:FL8,FN8)-SUM(FI8,FM8),"")</f>
        <v/>
      </c>
      <c r="FT8" s="15" t="str">
        <f>IF(SUM(FR8,FS8)&gt;0,SUM(FR8,FS8),"")</f>
        <v/>
      </c>
      <c r="FU8" s="51"/>
      <c r="FV8" s="51"/>
      <c r="FW8" s="51"/>
      <c r="FX8" s="51"/>
      <c r="FY8" s="51"/>
      <c r="FZ8" s="51"/>
      <c r="GA8" s="51"/>
      <c r="GB8" s="51"/>
      <c r="GC8" s="51"/>
      <c r="GD8" s="51"/>
      <c r="GE8" s="51"/>
      <c r="GF8" s="51"/>
      <c r="GG8" s="51"/>
      <c r="GH8" s="51"/>
      <c r="GI8" s="51"/>
      <c r="GJ8" s="51"/>
      <c r="GK8" s="51"/>
      <c r="GL8" s="51"/>
      <c r="GM8" s="51"/>
      <c r="GN8" s="51"/>
      <c r="GO8" s="51"/>
      <c r="GP8" s="51"/>
      <c r="GQ8" s="51"/>
      <c r="GR8" s="51"/>
      <c r="GS8" s="12" t="str">
        <f>IF(SUM(FV8,FZ8,GD8,GH8)&gt;0,SUM(FV8,FZ8,GD8,GH8),"")</f>
        <v/>
      </c>
      <c r="GT8" s="12" t="str">
        <f>IF(SUM(FU8:FV8,FX8:FZ8,GB8)-SUM(FW8,GA8)&gt;0,SUM(FU8:FV8,FX8:FZ8,GB8)-SUM(FW8,GA8),"")</f>
        <v/>
      </c>
      <c r="GU8" s="12" t="str">
        <f>IF(SUM(GC8:GD8,GF8:GH8,GJ8)-SUM(GE8,GI8)&gt;0,SUM(GC8:GD8,GF8:GH8,GJ8)-SUM(GE8,GI8),"")</f>
        <v/>
      </c>
      <c r="GV8" s="12" t="str">
        <f>IF(SUM(FU8:FV8,FX8:FZ8,GB8:GD8,GF8:GH8,GJ8)-SUM(FW8,GA8,GE8,GI8)&gt;0,SUM(FU8:FV8,FX8:FZ8,GB8:GD8,GF8:GH8,GJ8)-SUM(FW8,GA8,GE8,GI8),"")</f>
        <v/>
      </c>
      <c r="GW8" s="12" t="str">
        <f>IF(SUM(GK8:GL8,GN8:GP8,GR8)-SUM(GM8,GQ8)&gt;0,SUM(GK8:GL8,GN8:GP8,GR8)-SUM(GM8,GQ8),"")</f>
        <v/>
      </c>
      <c r="GX8" s="12" t="str">
        <f>IF(SUM(GV8,GW8)&gt;0,SUM(GV8,GW8),"")</f>
        <v/>
      </c>
      <c r="GY8" s="50"/>
      <c r="GZ8" s="50"/>
      <c r="HA8" s="50"/>
      <c r="HB8" s="50"/>
      <c r="HC8" s="50"/>
      <c r="HD8" s="50"/>
      <c r="HE8" s="50"/>
      <c r="HF8" s="50"/>
      <c r="HG8" s="50"/>
      <c r="HH8" s="50"/>
      <c r="HI8" s="50"/>
      <c r="HJ8" s="50"/>
      <c r="HK8" s="50"/>
      <c r="HL8" s="50"/>
      <c r="HM8" s="50"/>
      <c r="HN8" s="50"/>
      <c r="HO8" s="50"/>
      <c r="HP8" s="50"/>
      <c r="HQ8" s="50"/>
      <c r="HR8" s="50"/>
      <c r="HS8" s="50"/>
      <c r="HT8" s="50"/>
      <c r="HU8" s="50"/>
      <c r="HV8" s="50"/>
      <c r="HW8" s="15" t="str">
        <f>IF(SUM(GZ8,HD8,HH8,HL8)&gt;0,SUM(GZ8,HD8,HH8,HL8),"")</f>
        <v/>
      </c>
      <c r="HX8" s="15" t="str">
        <f>IF(SUM(GY8:GZ8,HB8:HD8,HF8)-SUM(HA8,HE8)&gt;0,SUM(GY8:GZ8,HB8:HD8,HF8)-SUM(HA8,HE8),"")</f>
        <v/>
      </c>
      <c r="HY8" s="15" t="str">
        <f>IF(SUM(HG8:HH8,HJ8:HL8,HN8)-SUM(HI8,HM8)&gt;0,SUM(HG8:HH8,HJ8:HL8,HN8)-SUM(HI8,HM8),"")</f>
        <v/>
      </c>
      <c r="HZ8" s="15" t="str">
        <f>IF(SUM(GY8:GZ8,HB8:HD8,HF8:HH8,HJ8:HL8,HN8)-SUM(HA8,HE8,HI8,HM8)&gt;0,SUM(GY8:GZ8,HB8:HD8,HF8:HH8,HJ8:HL8,HN8)-SUM(HA8,HE8,HI8,HM8),"")</f>
        <v/>
      </c>
      <c r="IA8" s="15" t="str">
        <f>IF(SUM(HO8:HP8,HR8:HT8,HV8)-SUM(HQ8,HU8)&gt;0,SUM(HO8:HP8,HR8:HT8,HV8)-SUM(HQ8,HU8),"")</f>
        <v/>
      </c>
      <c r="IB8" s="15" t="str">
        <f>IF(SUM(HZ8,IA8)&gt;0,SUM(HZ8,IA8),"")</f>
        <v/>
      </c>
      <c r="IC8" s="51"/>
      <c r="ID8" s="51"/>
      <c r="IE8" s="51"/>
      <c r="IF8" s="51"/>
      <c r="IG8" s="51"/>
      <c r="IH8" s="51"/>
      <c r="II8" s="51"/>
      <c r="IJ8" s="51"/>
      <c r="IK8" s="51"/>
      <c r="IL8" s="51"/>
      <c r="IM8" s="51"/>
      <c r="IN8" s="51"/>
      <c r="IO8" s="51"/>
      <c r="IP8" s="51"/>
      <c r="IQ8" s="51"/>
      <c r="IR8" s="51"/>
      <c r="IS8" s="51"/>
      <c r="IT8" s="51"/>
      <c r="IU8" s="51"/>
      <c r="IV8" s="51"/>
      <c r="IW8" s="51"/>
      <c r="IX8" s="51"/>
      <c r="IY8" s="51"/>
      <c r="IZ8" s="51"/>
      <c r="JA8" s="12" t="str">
        <f>IF(SUM(ID8,IH8,IL8,IP8)&gt;0,SUM(ID8,IH8,IL8,IP8),"")</f>
        <v/>
      </c>
      <c r="JB8" s="12" t="str">
        <f>IF(SUM(IC8:ID8,IF8:IH8,IJ8)-SUM(IE8,II8)&gt;0,SUM(IC8:ID8,IF8:IH8,IJ8)-SUM(IE8,II8),"")</f>
        <v/>
      </c>
      <c r="JC8" s="12" t="str">
        <f>IF(SUM(IK8:IL8,IN8:IP8,IR8)-SUM(IM8,IQ8)&gt;0,SUM(IK8:IL8,IN8:IP8,IR8)-SUM(IM8,IQ8),"")</f>
        <v/>
      </c>
      <c r="JD8" s="12" t="str">
        <f>IF(SUM(IC8:ID8,IF8:IH8,IJ8:IL8,IN8:IP8,IR8)-SUM(IE8,II8,IM8,IQ8)&gt;0,SUM(IC8:ID8,IF8:IH8,IJ8:IL8,IN8:IP8,IR8)-SUM(IE8,II8,IM8,IQ8),"")</f>
        <v/>
      </c>
      <c r="JE8" s="12" t="str">
        <f>IF(SUM(IS8:IT8,IV8:IX8,IZ8)-SUM(IU8,IY8)&gt;0,SUM(IS8:IT8,IV8:IX8,IZ8)-SUM(IU8,IY8),"")</f>
        <v/>
      </c>
      <c r="JF8" s="12" t="str">
        <f>IF(SUM(JD8,JE8)&gt;0,SUM(JD8,JE8),"")</f>
        <v/>
      </c>
      <c r="JG8" s="50"/>
      <c r="JH8" s="50"/>
      <c r="JI8" s="50"/>
      <c r="JJ8" s="50"/>
      <c r="JK8" s="50"/>
      <c r="JL8" s="50"/>
      <c r="JM8" s="50"/>
      <c r="JN8" s="50"/>
      <c r="JO8" s="50"/>
      <c r="JP8" s="50"/>
      <c r="JQ8" s="50"/>
      <c r="JR8" s="50"/>
      <c r="JS8" s="50"/>
      <c r="JT8" s="50"/>
      <c r="JU8" s="50"/>
      <c r="JV8" s="50"/>
      <c r="JW8" s="50"/>
      <c r="JX8" s="50"/>
      <c r="JY8" s="50"/>
      <c r="JZ8" s="50"/>
      <c r="KA8" s="50"/>
      <c r="KB8" s="50"/>
      <c r="KC8" s="50"/>
      <c r="KD8" s="50"/>
      <c r="KE8" s="15" t="str">
        <f>IF(SUM(JH8,JL8,JP8,JT8)&gt;0,SUM(JH8,JL8,JP8,JT8),"")</f>
        <v/>
      </c>
      <c r="KF8" s="15" t="str">
        <f>IF(SUM(JG8:JH8,JJ8:JL8,JN8)-SUM(JI8,JM8)&gt;0,SUM(JG8:JH8,JJ8:JL8,JN8)-SUM(JI8,JM8),"")</f>
        <v/>
      </c>
      <c r="KG8" s="15" t="str">
        <f>IF(SUM(JO8:JP8,JR8:JT8,JV8)-SUM(JQ8,JU8)&gt;0,SUM(JO8:JP8,JR8:JT8,JV8)-SUM(JQ8,JU8),"")</f>
        <v/>
      </c>
      <c r="KH8" s="15" t="str">
        <f>IF(SUM(JG8:JH8,JJ8:JL8,JN8:JP8,JR8:JT8,JV8)-SUM(JI8,JM8,JQ8,JU8)&gt;0,SUM(JG8:JH8,JJ8:JL8,JN8:JP8,JR8:JT8,JV8)-SUM(JI8,JM8,JQ8,JU8),"")</f>
        <v/>
      </c>
      <c r="KI8" s="15" t="str">
        <f>IF(SUM(JW8:JX8,JZ8:KB8,KD8)-SUM(JY8,KC8)&gt;0,SUM(JW8:JX8,JZ8:KB8,KD8)-SUM(JY8,KC8),"")</f>
        <v/>
      </c>
      <c r="KJ8" s="15" t="str">
        <f>IF(SUM(KH8,KI8)&gt;0,SUM(KH8,KI8),"")</f>
        <v/>
      </c>
      <c r="KK8" s="51"/>
      <c r="KL8" s="51"/>
      <c r="KM8" s="51"/>
      <c r="KN8" s="51"/>
      <c r="KO8" s="51"/>
      <c r="KP8" s="51"/>
      <c r="KQ8" s="51"/>
      <c r="KR8" s="51"/>
      <c r="KS8" s="51"/>
      <c r="KT8" s="51"/>
      <c r="KU8" s="51"/>
      <c r="KV8" s="51"/>
      <c r="KW8" s="51"/>
      <c r="KX8" s="51"/>
      <c r="KY8" s="51"/>
      <c r="KZ8" s="51"/>
      <c r="LA8" s="51"/>
      <c r="LB8" s="51"/>
      <c r="LC8" s="51"/>
      <c r="LD8" s="51"/>
      <c r="LE8" s="51"/>
      <c r="LF8" s="51"/>
      <c r="LG8" s="51"/>
      <c r="LH8" s="51"/>
      <c r="LI8" s="12" t="str">
        <f>IF(SUM(KL8,KP8,KT8,KX8)&gt;0,SUM(KL8,KP8,KT8,KX8),"")</f>
        <v/>
      </c>
      <c r="LJ8" s="12" t="str">
        <f>IF(SUM(KK8:KL8,KN8:KP8,KR8)-SUM(KM8,KQ8)&gt;0,SUM(KK8:KL8,KN8:KP8,KR8)-SUM(KM8,KQ8),"")</f>
        <v/>
      </c>
      <c r="LK8" s="12" t="str">
        <f>IF(SUM(KS8:KT8,KV8:KX8,KZ8)-SUM(KU8,KY8)&gt;0,SUM(KS8:KT8,KV8:KX8,KZ8)-SUM(KU8,KY8),"")</f>
        <v/>
      </c>
      <c r="LL8" s="12" t="str">
        <f>IF(SUM(KK8:KL8,KN8:KP8,KR8:KT8,KV8:KX8,KZ8)-SUM(KM8,KQ8,KU8,KY8)&gt;0,SUM(KK8:KL8,KN8:KP8,KR8:KT8,KV8:KX8,KZ8)-SUM(KM8,KQ8,KU8,KY8),"")</f>
        <v/>
      </c>
      <c r="LM8" s="12" t="str">
        <f>IF(SUM(LA8:LB8,LD8:LF8,LH8)-SUM(LC8,LG8)&gt;0,SUM(LA8:LB8,LD8:LF8,LH8)-SUM(LC8,LG8),"")</f>
        <v/>
      </c>
      <c r="LN8" s="12" t="str">
        <f>IF(SUM(LL8,LM8)&gt;0,SUM(LL8,LM8),"")</f>
        <v/>
      </c>
      <c r="LO8" s="50"/>
      <c r="LP8" s="50"/>
      <c r="LQ8" s="50"/>
      <c r="LR8" s="50"/>
      <c r="LS8" s="50"/>
      <c r="LT8" s="50"/>
      <c r="LU8" s="50"/>
      <c r="LV8" s="50"/>
      <c r="LW8" s="50"/>
      <c r="LX8" s="50"/>
      <c r="LY8" s="50"/>
      <c r="LZ8" s="50"/>
      <c r="MA8" s="50"/>
      <c r="MB8" s="50"/>
      <c r="MC8" s="50"/>
      <c r="MD8" s="50"/>
      <c r="ME8" s="50"/>
      <c r="MF8" s="50"/>
      <c r="MG8" s="50"/>
      <c r="MH8" s="50"/>
      <c r="MI8" s="50"/>
      <c r="MJ8" s="50"/>
      <c r="MK8" s="50"/>
      <c r="ML8" s="50"/>
      <c r="MM8" s="15" t="str">
        <f>IF(SUM(LP8,LT8,LX8,MB8)&gt;0,SUM(LP8,LT8,LX8,MB8),"")</f>
        <v/>
      </c>
      <c r="MN8" s="15" t="str">
        <f>IF(SUM(LO8:LP8,LR8:LT8,LV8)-SUM(LQ8,LU8)&gt;0,SUM(LO8:LP8,LR8:LT8,LV8)-SUM(LQ8,LU8),"")</f>
        <v/>
      </c>
      <c r="MO8" s="15" t="str">
        <f>IF(SUM(LW8:LX8,LZ8:MB8,MD8)-SUM(LY8,MC8)&gt;0,SUM(LW8:LX8,LZ8:MB8,MD8)-SUM(LY8,MC8),"")</f>
        <v/>
      </c>
      <c r="MP8" s="15" t="str">
        <f>IF(SUM(LO8:LP8,LR8:LT8,LV8:LX8,LZ8:MB8,MD8)-SUM(LQ8,LU8,LY8,MC8)&gt;0,SUM(LO8:LP8,LR8:LT8,LV8:LX8,LZ8:MB8,MD8)-SUM(LQ8,LU8,LY8,MC8),"")</f>
        <v/>
      </c>
      <c r="MQ8" s="15" t="str">
        <f>IF(SUM(ME8:MF8,MH8:MJ8,ML8)-SUM(MG8,MK8)&gt;0,SUM(ME8:MF8,MH8:MJ8,ML8)-SUM(MG8,MK8),"")</f>
        <v/>
      </c>
      <c r="MR8" s="15" t="str">
        <f>IF(SUM(MP8,MQ8)&gt;0,SUM(MP8,MQ8),"")</f>
        <v/>
      </c>
      <c r="MS8" s="51"/>
      <c r="MT8" s="51"/>
      <c r="MU8" s="51"/>
      <c r="MV8" s="51"/>
      <c r="MW8" s="51"/>
      <c r="MX8" s="51"/>
      <c r="MY8" s="51"/>
      <c r="MZ8" s="51"/>
      <c r="NA8" s="51"/>
      <c r="NB8" s="51"/>
      <c r="NC8" s="51"/>
      <c r="ND8" s="51"/>
      <c r="NE8" s="51"/>
      <c r="NF8" s="51"/>
      <c r="NG8" s="51"/>
      <c r="NH8" s="51"/>
      <c r="NI8" s="51"/>
      <c r="NJ8" s="51"/>
      <c r="NK8" s="51"/>
      <c r="NL8" s="51"/>
      <c r="NM8" s="51"/>
      <c r="NN8" s="51"/>
      <c r="NO8" s="51"/>
      <c r="NP8" s="51"/>
      <c r="NQ8" s="12" t="str">
        <f>IF(SUM(MT8,MX8,NB8,NF8)&gt;0,SUM(MT8,MX8,NB8,NF8),"")</f>
        <v/>
      </c>
      <c r="NR8" s="12" t="str">
        <f>IF(SUM(MS8:MT8,MV8:MX8,MZ8)-SUM(MU8,MY8)&gt;0,SUM(MS8:MT8,MV8:MX8,MZ8)-SUM(MU8,MY8),"")</f>
        <v/>
      </c>
      <c r="NS8" s="12" t="str">
        <f>IF(SUM(NA8:NB8,ND8:NF8,NH8)-SUM(NC8,NG8)&gt;0,SUM(NA8:NB8,ND8:NF8,NH8)-SUM(NC8,NG8),"")</f>
        <v/>
      </c>
      <c r="NT8" s="12" t="str">
        <f>IF(SUM(MS8:MT8,MV8:MX8,MZ8:NB8,ND8:NF8,NH8)-SUM(MU8,MY8,NC8,NG8)&gt;0,SUM(MS8:MT8,MV8:MX8,MZ8:NB8,ND8:NF8,NH8)-SUM(MU8,MY8,NC8,NG8),"")</f>
        <v/>
      </c>
      <c r="NU8" s="12" t="str">
        <f>IF(SUM(NI8:NJ8,NL8:NN8,NP8)-SUM(NK8,NO8)&gt;0,SUM(NI8:NJ8,NL8:NN8,NP8)-SUM(NK8,NO8),"")</f>
        <v/>
      </c>
      <c r="NV8" s="12" t="str">
        <f>IF(SUM(NT8,NU8)&gt;0,SUM(NT8,NU8),"")</f>
        <v/>
      </c>
      <c r="NW8" s="50"/>
      <c r="NX8" s="50"/>
      <c r="NY8" s="50"/>
      <c r="NZ8" s="50"/>
      <c r="OA8" s="50"/>
      <c r="OB8" s="50"/>
      <c r="OC8" s="50"/>
      <c r="OD8" s="50"/>
      <c r="OE8" s="50"/>
      <c r="OF8" s="50"/>
      <c r="OG8" s="50"/>
      <c r="OH8" s="50"/>
      <c r="OI8" s="50"/>
      <c r="OJ8" s="50"/>
      <c r="OK8" s="50"/>
      <c r="OL8" s="50"/>
      <c r="OM8" s="50"/>
      <c r="ON8" s="50"/>
      <c r="OO8" s="50"/>
      <c r="OP8" s="50"/>
      <c r="OQ8" s="50"/>
      <c r="OR8" s="50"/>
      <c r="OS8" s="50"/>
      <c r="OT8" s="50"/>
      <c r="OU8" s="15" t="str">
        <f>IF(SUM(NX8,OB8,OF8,OJ8)&gt;0,SUM(NX8,OB8,OF8,OJ8),"")</f>
        <v/>
      </c>
      <c r="OV8" s="15" t="str">
        <f>IF(SUM(NW8:NX8,NZ8:OB8,OD8)-SUM(NY8,OC8)&gt;0,SUM(NW8:NX8,NZ8:OB8,OD8)-SUM(NY8,OC8),"")</f>
        <v/>
      </c>
      <c r="OW8" s="15" t="str">
        <f>IF(SUM(OE8:OF8,OH8:OJ8,OL8)-SUM(OG8,OK8)&gt;0,SUM(OE8:OF8,OH8:OJ8,OL8)-SUM(OG8,OK8),"")</f>
        <v/>
      </c>
      <c r="OX8" s="15" t="str">
        <f>IF(SUM(NW8:NX8,NZ8:OB8,OD8:OF8,OH8:OJ8,OL8)-SUM(NY8,OC8,OG8,OK8)&gt;0,SUM(NW8:NX8,NZ8:OB8,OD8:OF8,OH8:OJ8,OL8)-SUM(NY8,OC8,OG8,OK8),"")</f>
        <v/>
      </c>
      <c r="OY8" s="15" t="str">
        <f>IF(SUM(OM8:ON8,OP8:OR8,OT8)-SUM(OO8,OS8)&gt;0,SUM(OM8:ON8,OP8:OR8,OT8)-SUM(OO8,OS8),"")</f>
        <v/>
      </c>
      <c r="OZ8" s="15" t="str">
        <f>IF(SUM(OX8,OY8)&gt;0,SUM(OX8,OY8),"")</f>
        <v/>
      </c>
      <c r="PA8" s="51"/>
      <c r="PB8" s="51"/>
      <c r="PC8" s="51"/>
      <c r="PD8" s="51"/>
      <c r="PE8" s="51"/>
      <c r="PF8" s="51"/>
      <c r="PG8" s="51"/>
      <c r="PH8" s="51"/>
      <c r="PI8" s="51"/>
      <c r="PJ8" s="51"/>
      <c r="PK8" s="51"/>
      <c r="PL8" s="51"/>
      <c r="PM8" s="51"/>
      <c r="PN8" s="51"/>
      <c r="PO8" s="51"/>
      <c r="PP8" s="51"/>
      <c r="PQ8" s="51"/>
      <c r="PR8" s="51"/>
      <c r="PS8" s="51"/>
      <c r="PT8" s="51"/>
      <c r="PU8" s="51"/>
      <c r="PV8" s="51"/>
      <c r="PW8" s="51"/>
      <c r="PX8" s="51"/>
      <c r="PY8" s="12" t="str">
        <f>IF(SUM(PB8,PF8,PJ8,PN8)&gt;0,SUM(PB8,PF8,PJ8,PN8),"")</f>
        <v/>
      </c>
      <c r="PZ8" s="12" t="str">
        <f>IF(SUM(PA8:PB8,PD8:PF8,PH8)-SUM(PC8,PG8)&gt;0,SUM(PA8:PB8,PD8:PF8,PH8)-SUM(PC8,PG8),"")</f>
        <v/>
      </c>
      <c r="QA8" s="12" t="str">
        <f>IF(SUM(PI8:PJ8,PL8:PN8,PP8)-SUM(PK8,PO8)&gt;0,SUM(PI8:PJ8,PL8:PN8,PP8)-SUM(PK8,PO8),"")</f>
        <v/>
      </c>
      <c r="QB8" s="12" t="str">
        <f>IF(SUM(PA8:PB8,PD8:PF8,PH8:PJ8,PL8:PN8,PP8)-SUM(PC8,PG8,PK8,PO8)&gt;0,SUM(PA8:PB8,PD8:PF8,PH8:PJ8,PL8:PN8,PP8)-SUM(PC8,PG8,PK8,PO8),"")</f>
        <v/>
      </c>
      <c r="QC8" s="12" t="str">
        <f>IF(SUM(PQ8:PR8,PT8:PV8,PX8)-SUM(PS8,PW8)&gt;0,SUM(PQ8:PR8,PT8:PV8,PX8)-SUM(PS8,PW8),"")</f>
        <v/>
      </c>
      <c r="QD8" s="12" t="str">
        <f>IF(SUM(QB8,QC8)&gt;0,SUM(QB8,QC8),"")</f>
        <v/>
      </c>
      <c r="QE8" s="50"/>
      <c r="QF8" s="50"/>
      <c r="QG8" s="50"/>
      <c r="QH8" s="50"/>
      <c r="QI8" s="50"/>
      <c r="QJ8" s="50"/>
      <c r="QK8" s="50"/>
      <c r="QL8" s="50"/>
      <c r="QM8" s="50"/>
      <c r="QN8" s="50"/>
      <c r="QO8" s="50"/>
      <c r="QP8" s="50"/>
      <c r="QQ8" s="50"/>
      <c r="QR8" s="50"/>
      <c r="QS8" s="50"/>
      <c r="QT8" s="50"/>
      <c r="QU8" s="50"/>
      <c r="QV8" s="50"/>
      <c r="QW8" s="50"/>
      <c r="QX8" s="50"/>
      <c r="QY8" s="50"/>
      <c r="QZ8" s="50"/>
      <c r="RA8" s="50"/>
      <c r="RB8" s="50"/>
      <c r="RC8" s="15" t="str">
        <f>IF(SUM(QF8,QJ8,QN8,QR8)&gt;0,SUM(QF8,QJ8,QN8,QR8),"")</f>
        <v/>
      </c>
      <c r="RD8" s="15" t="str">
        <f>IF(SUM(QE8:QF8,QH8:QJ8,QL8)-SUM(QG8,QK8)&gt;0,SUM(QE8:QF8,QH8:QJ8,QL8)-SUM(QG8,QK8),"")</f>
        <v/>
      </c>
      <c r="RE8" s="15" t="str">
        <f>IF(SUM(QM8:QN8,QP8:QR8,QT8)-SUM(QO8,QS8)&gt;0,SUM(QM8:QN8,QP8:QR8,QT8)-SUM(QO8,QS8),"")</f>
        <v/>
      </c>
      <c r="RF8" s="15" t="str">
        <f>IF(SUM(QE8:QF8,QH8:QJ8,QL8:QN8,QP8:QR8,QT8)-SUM(QG8,QK8,QO8,QS8)&gt;0,SUM(QE8:QF8,QH8:QJ8,QL8:QN8,QP8:QR8,QT8)-SUM(QG8,QK8,QO8,QS8),"")</f>
        <v/>
      </c>
      <c r="RG8" s="15" t="str">
        <f>IF(SUM(QU8:QV8,QX8:QZ8,RB8)-SUM(QW8,RA8)&gt;0,SUM(QU8:QV8,QX8:QZ8,RB8)-SUM(QW8,RA8),"")</f>
        <v/>
      </c>
      <c r="RH8" s="15" t="str">
        <f>IF(SUM(RF8,RG8)&gt;0,SUM(RF8,RG8),"")</f>
        <v/>
      </c>
    </row>
    <row r="9" spans="1:476" x14ac:dyDescent="0.2">
      <c r="A9" s="6" t="str">
        <f>IF(AND(F9="P",H9="P"),SUMPRODUCT((F$4:F$16="P")*(H$4:H$16="P")*(E$4:E$16&gt;E9))+1,IF(H9="P",SUMPRODUCT((F$4:F$16="")*(H$4:H$16="P")*(E$4:E$16&gt;E9))+1+SUMPRODUCT((F$4:F$16="P")*(H$4:H$16="P")),""))</f>
        <v/>
      </c>
      <c r="B9" s="9" t="s">
        <v>95</v>
      </c>
      <c r="C9" s="5" t="s">
        <v>4</v>
      </c>
      <c r="D9" s="6">
        <v>2003</v>
      </c>
      <c r="E9" s="16">
        <f>SUM(J9:R9)</f>
        <v>317.19999999999993</v>
      </c>
      <c r="F9" s="4" t="str">
        <f>IF(OR(AND($AT9&gt;=$AU$19,NOT($AT9=""),$AS9=""),AND($BY9&gt;=$BZ$19,NOT($BY9=""),$BX9=""),AND($DD9&gt;=$DE$19,NOT($DD9=""),$DC9="")),"P","")</f>
        <v/>
      </c>
      <c r="G9" s="4" t="str">
        <f>IF(OR(AND($AT9&gt;=$AU$20,NOT($AT9=""),$AS9=""),AND($BY9&gt;=$BZ$20,NOT($BY9=""),$BX9=""),AND($DD9&gt;=$DE$20,NOT($DD9=""),$DC9="")),"P","")</f>
        <v/>
      </c>
      <c r="H9" s="4" t="str">
        <f>IF(OR(AND($AW9&gt;=$AU$21,NOT($AW9=""),$AS9=""),AND($CB9&gt;=$BZ$21,NOT($CB9=""),$BX9=""),AND($DG9&gt;=$DE$21,NOT($DG9=""),$DC9="")),"P","")</f>
        <v/>
      </c>
      <c r="I9" t="str">
        <f>IF(AND(G9="P",OR(AND($AW9&gt;=$AU$24,NOT($AW9=""),$AS9=""),AND($CB9&gt;=$BZ$24,NOT($CB9=""),$BX9=""),AND($DG9&gt;=$DE$24,NOT($DG9=""),$DC9=""))),"Merit",IF(AND(G9="P",OR(AND($AW9&gt;=$AU$23,NOT($AW9=""),$AS9=""),AND($CB9&gt;=$BZ$23,NOT($CB9=""),$BX9=""),AND($DG9&gt;=$DE$23,NOT($DG9=""),$DC9=""))),"Funding",IF(AND(G9="P",OR(AND($AW9&gt;=$AU$22,NOT($AW9=""),$AS9=""),AND($CB9&gt;=$BZ$22,NOT($CB9=""),$BX9=""),AND($DG9&gt;=$DE$22,NOT($DG9=""),$DC9=""))),"Worlds Team",IF(AND(F9="P",OR(AND($AW9&gt;=$AU$21,NOT($AW9=""),$AS9=""),AND($CB9&gt;=$BZ$21,NOT($CB9=""),$BX9=""),AND($DG9&gt;=$DE$21,NOT($DG9=""),$DC9=""))),"National Team",""))))</f>
        <v/>
      </c>
      <c r="J9" s="15">
        <f>MAX(AW9,CB9,DG9)</f>
        <v>126.29999999999998</v>
      </c>
      <c r="K9" s="15" t="str">
        <f>IF(J9=DG9,$CE$1,IF(J9=CB9,$AZ$1,IF(J9=AW9,$U$1,"")))</f>
        <v>2018 Nationals</v>
      </c>
      <c r="L9" s="15">
        <f>IF($J9=$AW9,MAX(BZ9,DE9),IF($J9=$CB9,MAX(AU9,DE9),MAX(AU9,BZ9)))</f>
        <v>62.8</v>
      </c>
      <c r="M9" s="15" t="str">
        <f>IF(L9=DE9,$CE$1,IF(L9=BZ9,$AZ$1,IF(L9=AU9,$U$1,"")))</f>
        <v>2017 Nationals</v>
      </c>
      <c r="N9" s="15">
        <f>IF($J9=$AW9,MAX(CA9,DF9),IF($J9=$CB9,MAX(AV9,DF9),MAX(AV9,CA9)))</f>
        <v>61</v>
      </c>
      <c r="O9" s="15" t="str">
        <f>IF(N9=DF9,$CE$1,IF(N9=CA9,$AZ$1,IF(N9=AV9,$U$1,"")))</f>
        <v>2017 Nationals</v>
      </c>
      <c r="P9" s="15">
        <f>MAX(AX9,CC9,DH9)</f>
        <v>67.099999999999994</v>
      </c>
      <c r="Q9" s="15" t="str">
        <f>IF(P9=DH9,$CE$1,IF(P9=CC9,$AZ$1,IF(P9=AX9,$U$1,"")))</f>
        <v>2018 Nationals</v>
      </c>
      <c r="R9" s="15" t="str">
        <f>IF(MAX(DJ9:DL9)&gt;0,MAX(DJ9:DL9),"")</f>
        <v/>
      </c>
      <c r="S9" s="29" t="str">
        <f>IF(R9="","",IF(R9=DJ9,"(Pass 1-2)",IF(R9=DK9,"(Pass 3-4)",IF(R9=DL9,"(Final)"))))</f>
        <v/>
      </c>
      <c r="T9" s="15" t="str">
        <f>IF(R9="","",IF(R9=DJ9,IF(R9+L9=RD9,$QE$1,IF(R9+L9=PZ9,$PA$1,IF(R9+L9=OV9,$NW$1,IF(R9+L9=NR9,$MS$1,IF(R9+L9=MN9,$LO$1,IF(R9+L9=LJ9,$KK$1,IF(R9+L9=KF9,$JG$1,IF(R9+L9=JB9,$IC$1,IF(R9+L9=HX9,$GY$1,IF(R9+L9=GT9,$FU$1,IF(R9+L9=FP9,$EQ$1,IF(R9+L9=EL9,$DM$1)))))))))))),IF(R9=DK9,IF(R9+N9=RE9,$QE$1,IF(R9+N9=QA9,$PA$1,IF(R9+N9=OW9,$NW$1,IF(R9+N9=NS9,$MS$1,IF(R9+N9=MO9,$LO$1,IF(R9+N9=LK9,$KK$1,IF(R9+N9=KG9,$JG$1,IF(R9+N9=JC9,$IC$1,IF(R9+N9=HY9,$GY$1,IF(R9+N9=GU9,$FU$1,IF(R9+N9=FQ9,$EQ$1,IF(R9+N9=EM9,$DM$1)))))))))))),IF(R9=DL9,IF(R9+P9=RG9,$QE$1,IF(R9+P9=QC9,$PA$1,IF(R9+P9=OY9,$NW$1,IF(R9+P9=NU9,$MS$1,IF(R9+P9=MQ9,$LO$1,IF(R9+P9=LM9,$KK$1,IF(R9+P9=KI9,$JG$1,IF(R9+P9=JE9,$IC$1,IF(R9+P9=IA9,$GY$1,IF(R9+P9=GW9,$FU$1,IF(R9+P9=FS9,$EQ$1,IF(R9+P9=EO9,$DM$1))))))))))))))))</f>
        <v/>
      </c>
      <c r="U9" s="76">
        <v>27.1</v>
      </c>
      <c r="V9" s="76">
        <v>4.4000000000000004</v>
      </c>
      <c r="W9" s="76">
        <v>1.2</v>
      </c>
      <c r="X9" s="76">
        <v>0</v>
      </c>
      <c r="Y9" s="76">
        <v>27.3</v>
      </c>
      <c r="Z9" s="76">
        <v>5.2</v>
      </c>
      <c r="AA9" s="76">
        <v>0</v>
      </c>
      <c r="AB9" s="76">
        <v>0</v>
      </c>
      <c r="AC9" s="76">
        <v>27.5</v>
      </c>
      <c r="AD9" s="76">
        <v>4.4000000000000004</v>
      </c>
      <c r="AE9" s="76">
        <v>0</v>
      </c>
      <c r="AF9" s="76">
        <v>0</v>
      </c>
      <c r="AG9" s="76">
        <v>25.1</v>
      </c>
      <c r="AH9" s="76">
        <v>4.3</v>
      </c>
      <c r="AI9" s="76">
        <v>0.3</v>
      </c>
      <c r="AJ9" s="76">
        <v>0</v>
      </c>
      <c r="AK9" s="76">
        <v>27.8</v>
      </c>
      <c r="AL9" s="76">
        <v>5.2</v>
      </c>
      <c r="AM9" s="76">
        <v>0</v>
      </c>
      <c r="AN9" s="76">
        <v>0</v>
      </c>
      <c r="AO9" s="76">
        <v>28.1</v>
      </c>
      <c r="AP9" s="76">
        <v>4.3</v>
      </c>
      <c r="AQ9" s="76">
        <v>0.3</v>
      </c>
      <c r="AR9" s="76">
        <v>0</v>
      </c>
      <c r="AS9" s="108"/>
      <c r="AT9" s="12">
        <f>IF(SUM(V9,Z9,AD9,AH9)&gt;0,SUM(V9,Z9,AD9,AH9),"")</f>
        <v>18.3</v>
      </c>
      <c r="AU9" s="12">
        <f>IF(SUM(U9:V9,X9:Z9,AB9)-SUM(W9,AA9)&gt;0,SUM(U9:V9,X9:Z9,AB9)-SUM(W9,AA9),"")</f>
        <v>62.8</v>
      </c>
      <c r="AV9" s="12">
        <f>IF(SUM(AC9:AD9,AF9:AH9,AJ9)-SUM(AE9,AI9)&gt;0,SUM(AC9:AD9,AF9:AH9,AJ9)-SUM(AE9,AI9),"")</f>
        <v>61</v>
      </c>
      <c r="AW9" s="12">
        <f>IF(SUM(U9:V9,X9:Z9,AB9:AD9,AF9:AH9,AJ9)-SUM(W9,AA9,AE9,AI9)&gt;0,SUM(U9:V9,X9:Z9,AB9:AD9,AF9:AH9,AJ9)-SUM(W9,AA9,AE9,AI9),"")</f>
        <v>123.8</v>
      </c>
      <c r="AX9" s="12">
        <f>IF(SUM(AK9:AL9,AN9:AP9,AR9)-SUM(AM9,AQ9)&gt;0,SUM(AK9:AL9,AN9:AP9,AR9)-SUM(AM9,AQ9),"")</f>
        <v>65.100000000000009</v>
      </c>
      <c r="AY9" s="12">
        <f>IF(SUM(AW9,AX9)&gt;0,SUM(AW9,AX9),"")</f>
        <v>188.9</v>
      </c>
      <c r="AZ9" s="80">
        <v>27.6</v>
      </c>
      <c r="BA9" s="80">
        <v>5.6</v>
      </c>
      <c r="BB9" s="80">
        <v>0</v>
      </c>
      <c r="BC9" s="80">
        <v>0</v>
      </c>
      <c r="BD9" s="80">
        <v>19.7</v>
      </c>
      <c r="BE9" s="80">
        <v>2.4</v>
      </c>
      <c r="BF9" s="80">
        <v>0</v>
      </c>
      <c r="BG9" s="80">
        <v>0</v>
      </c>
      <c r="BH9" s="80">
        <v>27.1</v>
      </c>
      <c r="BI9" s="80">
        <v>4.8</v>
      </c>
      <c r="BJ9" s="80">
        <v>0</v>
      </c>
      <c r="BK9" s="80">
        <v>0</v>
      </c>
      <c r="BL9" s="80">
        <v>0</v>
      </c>
      <c r="BM9" s="80">
        <v>0</v>
      </c>
      <c r="BN9" s="80">
        <v>0</v>
      </c>
      <c r="BO9" s="80">
        <v>0</v>
      </c>
      <c r="BP9" s="80"/>
      <c r="BQ9" s="80"/>
      <c r="BR9" s="80"/>
      <c r="BS9" s="80"/>
      <c r="BT9" s="80"/>
      <c r="BU9" s="80"/>
      <c r="BV9" s="80"/>
      <c r="BW9" s="80"/>
      <c r="BX9" s="105"/>
      <c r="BY9" s="110">
        <f>IF(SUM(BA9,BE9,BI9,BM9)&gt;0,SUM(BA9,BE9,BI9,BM9),"")</f>
        <v>12.8</v>
      </c>
      <c r="BZ9" s="110">
        <f>IF(SUM(AZ9:BA9,BC9:BE9,BG9)-SUM(BB9,BF9)&gt;0,SUM(AZ9:BA9,BC9:BE9,BG9)-SUM(BB9,BF9),"")</f>
        <v>55.300000000000004</v>
      </c>
      <c r="CA9" s="110">
        <f>IF(SUM(BH9:BI9,BK9:BM9,BO9)-SUM(BJ9,BN9)&gt;0,SUM(BH9:BI9,BK9:BM9,BO9)-SUM(BJ9,BN9),"")</f>
        <v>31.900000000000002</v>
      </c>
      <c r="CB9" s="110">
        <f>IF(SUM(AZ9:BA9,BC9:BE9,BG9:BI9,BK9:BM9,BO9)-SUM(BB9,BF9,BJ9,BN9)&gt;0,SUM(AZ9:BA9,BC9:BE9,BG9:BI9,BK9:BM9,BO9)-SUM(BB9,BF9,BJ9,BN9),"")</f>
        <v>87.2</v>
      </c>
      <c r="CC9" s="110" t="str">
        <f>IF(SUM(BP9:BQ9,BS9:BU9,BW9)-SUM(BR9,BV9)&gt;0,SUM(BP9:BQ9,BS9:BU9,BW9)-SUM(BR9,BV9),"")</f>
        <v/>
      </c>
      <c r="CD9" s="110">
        <f>IF(SUM(CB9,CC9)&gt;0,SUM(CB9,CC9),"")</f>
        <v>87.2</v>
      </c>
      <c r="CE9" s="45">
        <v>25.1</v>
      </c>
      <c r="CF9" s="45">
        <v>6.8</v>
      </c>
      <c r="CG9" s="45">
        <v>0.3</v>
      </c>
      <c r="CH9" s="45">
        <v>0</v>
      </c>
      <c r="CI9" s="45">
        <v>24.9</v>
      </c>
      <c r="CJ9" s="45">
        <v>6.4</v>
      </c>
      <c r="CK9" s="45">
        <v>1.8</v>
      </c>
      <c r="CL9" s="45">
        <v>0</v>
      </c>
      <c r="CM9" s="45">
        <v>27</v>
      </c>
      <c r="CN9" s="45">
        <v>5.2</v>
      </c>
      <c r="CO9" s="45">
        <v>0.3</v>
      </c>
      <c r="CP9" s="45">
        <v>0</v>
      </c>
      <c r="CQ9" s="45">
        <v>28.1</v>
      </c>
      <c r="CR9" s="45">
        <v>5.2</v>
      </c>
      <c r="CS9" s="45">
        <v>0</v>
      </c>
      <c r="CT9" s="45">
        <v>0</v>
      </c>
      <c r="CU9" s="45">
        <v>27.9</v>
      </c>
      <c r="CV9" s="45">
        <v>6.8</v>
      </c>
      <c r="CW9" s="45">
        <v>0</v>
      </c>
      <c r="CX9" s="45">
        <v>0</v>
      </c>
      <c r="CY9" s="45">
        <v>26.9</v>
      </c>
      <c r="CZ9" s="45">
        <v>6.4</v>
      </c>
      <c r="DA9" s="45">
        <v>0.9</v>
      </c>
      <c r="DB9" s="45">
        <v>0</v>
      </c>
      <c r="DC9" s="108"/>
      <c r="DD9" s="12">
        <f>IF(SUM(CF9,CJ9,CN9,CR9)&gt;0,SUM(CF9,CJ9,CN9,CR9),"")</f>
        <v>23.599999999999998</v>
      </c>
      <c r="DE9" s="12">
        <f>IF(SUM(CE9:CF9,CH9:CJ9,CL9)-SUM(CG9,CK9)&gt;0,SUM(CE9:CF9,CH9:CJ9,CL9)-SUM(CG9,CK9),"")</f>
        <v>61.099999999999994</v>
      </c>
      <c r="DF9" s="12">
        <f>IF(SUM(CM9:CN9,CP9:CR9,CT9)-SUM(CO9,CS9)&gt;0,SUM(CM9:CN9,CP9:CR9,CT9)-SUM(CO9,CS9),"")</f>
        <v>65.2</v>
      </c>
      <c r="DG9" s="12">
        <f>IF(SUM(CE9:CF9,CH9:CJ9,CL9:CN9,CP9:CR9,CT9)-SUM(CG9,CK9,CO9,CS9)&gt;0,SUM(CE9:CF9,CH9:CJ9,CL9:CN9,CP9:CR9,CT9)-SUM(CG9,CK9,CO9,CS9),"")</f>
        <v>126.29999999999998</v>
      </c>
      <c r="DH9" s="12">
        <f>IF(SUM(CU9:CV9,CX9:CZ9,DB9)-SUM(CW9,DA9)&gt;0,SUM(CU9:CV9,CX9:CZ9,DB9)-SUM(CW9,DA9),"")</f>
        <v>67.099999999999994</v>
      </c>
      <c r="DI9" s="12">
        <f>IF(SUM(DG9,DH9)&gt;0,SUM(DG9,DH9),"")</f>
        <v>193.39999999999998</v>
      </c>
      <c r="DJ9" s="28" t="str">
        <f>IF(MAX(EL9,FP9,GT9,HX9,JB9,KF9,LJ9,MN9,NR9,OV9,PZ9,RD9)-L9&gt;0.001,MAX(EL9,FP9,GT9,HX9,JB9,KF9,LJ9,MN9,NR9,OV9,PZ9,RD9)-L9,"")</f>
        <v/>
      </c>
      <c r="DK9" s="28" t="str">
        <f>IF(MAX(EM9,FQ9,GU9,HY9,JC9,KG9,LK9,MO9,NS9,OW9,QA9,RE9)-N9&gt;0.001,MAX(EM9,FQ9,GU9,HY9,JC9,KG9,LK9,MO9,NS9,OW9,QA9,RE9)-N9,"")</f>
        <v/>
      </c>
      <c r="DL9" s="28" t="str">
        <f>IF(MAX(EO9,FS9,GW9,IA9,JE9,KI9,LM9,MQ9,OY9,QC9,RG9)-P9&gt;0.001,MAX(EO9,FS9,GW9,IA9,JE9,KI9,LM9,MQ9,OY9,QC9,RG9)-P9,"")</f>
        <v/>
      </c>
      <c r="DM9" s="45"/>
      <c r="DN9" s="45"/>
      <c r="DO9" s="45"/>
      <c r="DP9" s="45"/>
      <c r="DQ9" s="45"/>
      <c r="DR9" s="45"/>
      <c r="DS9" s="45"/>
      <c r="DT9" s="45"/>
      <c r="DU9" s="45"/>
      <c r="DV9" s="45"/>
      <c r="DW9" s="45"/>
      <c r="DX9" s="45"/>
      <c r="DY9" s="45"/>
      <c r="DZ9" s="45"/>
      <c r="EA9" s="45"/>
      <c r="EB9" s="45"/>
      <c r="EC9" s="45"/>
      <c r="ED9" s="45"/>
      <c r="EE9" s="45"/>
      <c r="EF9" s="45"/>
      <c r="EG9" s="45"/>
      <c r="EH9" s="45"/>
      <c r="EI9" s="45"/>
      <c r="EJ9" s="45"/>
      <c r="EK9" s="12" t="str">
        <f>IF(SUM(DN9,DR9,DV9,DZ9)&gt;0,SUM(DN9,DR9,DV9,DZ9),"")</f>
        <v/>
      </c>
      <c r="EL9" s="12" t="str">
        <f>IF(SUM(DM9:DN9,DP9:DR9,DT9)-SUM(DO9,DS9)&gt;0,SUM(DM9:DN9,DP9:DR9,DT9)-SUM(DO9,DS9),"")</f>
        <v/>
      </c>
      <c r="EM9" s="12" t="str">
        <f>IF(SUM(DU9:DV9,DX9:DZ9,EB9)-SUM(DW9,EA9)&gt;0,SUM(DU9:DV9,DX9:DZ9,EB9)-SUM(DW9,EA9),"")</f>
        <v/>
      </c>
      <c r="EN9" s="12" t="str">
        <f>IF(SUM(DM9:DN9,DP9:DR9,DT9:DV9,DX9:DZ9,EB9)-SUM(DO9,DS9,DW9,EA9)&gt;0,SUM(DM9:DN9,DP9:DR9,DT9:DV9,DX9:DZ9,EB9)-SUM(DO9,DS9,DW9,EA9),"")</f>
        <v/>
      </c>
      <c r="EO9" s="12" t="str">
        <f>IF(SUM(EC9:ED9,EF9:EH9,EJ9)-SUM(EE9,EI9)&gt;0,SUM(EC9:ED9,EF9:EH9,EJ9)-SUM(EE9,EI9),"")</f>
        <v/>
      </c>
      <c r="EP9" s="12" t="str">
        <f>IF(SUM(EN9,EO9)&gt;0,SUM(EN9,EO9),"")</f>
        <v/>
      </c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  <c r="FF9" s="50"/>
      <c r="FG9" s="50"/>
      <c r="FH9" s="50"/>
      <c r="FI9" s="50"/>
      <c r="FJ9" s="50"/>
      <c r="FK9" s="50"/>
      <c r="FL9" s="50"/>
      <c r="FM9" s="50"/>
      <c r="FN9" s="50"/>
      <c r="FO9" s="15" t="str">
        <f>IF(SUM(ER9,EV9,EZ9,FD9)&gt;0,SUM(ER9,EV9,EZ9,FD9),"")</f>
        <v/>
      </c>
      <c r="FP9" s="15" t="str">
        <f>IF(SUM(EQ9:ER9,ET9:EV9,EX9)-SUM(ES9,EW9)&gt;0,SUM(EQ9:ER9,ET9:EV9,EX9)-SUM(ES9,EW9),"")</f>
        <v/>
      </c>
      <c r="FQ9" s="15" t="str">
        <f>IF(SUM(EY9:EZ9,FB9:FD9,FF9)-SUM(FA9,FE9)&gt;0,SUM(EY9:EZ9,FB9:FD9,FF9)-SUM(FA9,FE9),"")</f>
        <v/>
      </c>
      <c r="FR9" s="15" t="str">
        <f>IF(SUM(EQ9:ER9,ET9:EV9,EX9:EZ9,FB9:FD9,FF9)-SUM(ES9,EW9,FA9,FE9)&gt;0,SUM(EQ9:ER9,ET9:EV9,EX9:EZ9,FB9:FD9,FF9)-SUM(ES9,EW9,FA9,FE9),"")</f>
        <v/>
      </c>
      <c r="FS9" s="15" t="str">
        <f>IF(SUM(FG9:FH9,FJ9:FL9,FN9)-SUM(FI9,FM9)&gt;0,SUM(FG9:FH9,FJ9:FL9,FN9)-SUM(FI9,FM9),"")</f>
        <v/>
      </c>
      <c r="FT9" s="15" t="str">
        <f>IF(SUM(FR9,FS9)&gt;0,SUM(FR9,FS9),"")</f>
        <v/>
      </c>
      <c r="FU9" s="51"/>
      <c r="FV9" s="51"/>
      <c r="FW9" s="51"/>
      <c r="FX9" s="51"/>
      <c r="FY9" s="51"/>
      <c r="FZ9" s="51"/>
      <c r="GA9" s="51"/>
      <c r="GB9" s="51"/>
      <c r="GC9" s="51"/>
      <c r="GD9" s="51"/>
      <c r="GE9" s="51"/>
      <c r="GF9" s="51"/>
      <c r="GG9" s="51"/>
      <c r="GH9" s="51"/>
      <c r="GI9" s="51"/>
      <c r="GJ9" s="51"/>
      <c r="GK9" s="51"/>
      <c r="GL9" s="51"/>
      <c r="GM9" s="51"/>
      <c r="GN9" s="51"/>
      <c r="GO9" s="51"/>
      <c r="GP9" s="51"/>
      <c r="GQ9" s="51"/>
      <c r="GR9" s="51"/>
      <c r="GS9" s="12" t="str">
        <f>IF(SUM(FV9,FZ9,GD9,GH9)&gt;0,SUM(FV9,FZ9,GD9,GH9),"")</f>
        <v/>
      </c>
      <c r="GT9" s="12" t="str">
        <f>IF(SUM(FU9:FV9,FX9:FZ9,GB9)-SUM(FW9,GA9)&gt;0,SUM(FU9:FV9,FX9:FZ9,GB9)-SUM(FW9,GA9),"")</f>
        <v/>
      </c>
      <c r="GU9" s="12" t="str">
        <f>IF(SUM(GC9:GD9,GF9:GH9,GJ9)-SUM(GE9,GI9)&gt;0,SUM(GC9:GD9,GF9:GH9,GJ9)-SUM(GE9,GI9),"")</f>
        <v/>
      </c>
      <c r="GV9" s="12" t="str">
        <f>IF(SUM(FU9:FV9,FX9:FZ9,GB9:GD9,GF9:GH9,GJ9)-SUM(FW9,GA9,GE9,GI9)&gt;0,SUM(FU9:FV9,FX9:FZ9,GB9:GD9,GF9:GH9,GJ9)-SUM(FW9,GA9,GE9,GI9),"")</f>
        <v/>
      </c>
      <c r="GW9" s="12" t="str">
        <f>IF(SUM(GK9:GL9,GN9:GP9,GR9)-SUM(GM9,GQ9)&gt;0,SUM(GK9:GL9,GN9:GP9,GR9)-SUM(GM9,GQ9),"")</f>
        <v/>
      </c>
      <c r="GX9" s="12" t="str">
        <f>IF(SUM(GV9,GW9)&gt;0,SUM(GV9,GW9),"")</f>
        <v/>
      </c>
      <c r="GY9" s="50"/>
      <c r="GZ9" s="50"/>
      <c r="HA9" s="50"/>
      <c r="HB9" s="50"/>
      <c r="HC9" s="50"/>
      <c r="HD9" s="50"/>
      <c r="HE9" s="50"/>
      <c r="HF9" s="50"/>
      <c r="HG9" s="50"/>
      <c r="HH9" s="50"/>
      <c r="HI9" s="50"/>
      <c r="HJ9" s="50"/>
      <c r="HK9" s="50"/>
      <c r="HL9" s="50"/>
      <c r="HM9" s="50"/>
      <c r="HN9" s="50"/>
      <c r="HO9" s="50"/>
      <c r="HP9" s="50"/>
      <c r="HQ9" s="50"/>
      <c r="HR9" s="50"/>
      <c r="HS9" s="50"/>
      <c r="HT9" s="50"/>
      <c r="HU9" s="50"/>
      <c r="HV9" s="50"/>
      <c r="HW9" s="15" t="str">
        <f>IF(SUM(GZ9,HD9,HH9,HL9)&gt;0,SUM(GZ9,HD9,HH9,HL9),"")</f>
        <v/>
      </c>
      <c r="HX9" s="15" t="str">
        <f>IF(SUM(GY9:GZ9,HB9:HD9,HF9)-SUM(HA9,HE9)&gt;0,SUM(GY9:GZ9,HB9:HD9,HF9)-SUM(HA9,HE9),"")</f>
        <v/>
      </c>
      <c r="HY9" s="15" t="str">
        <f>IF(SUM(HG9:HH9,HJ9:HL9,HN9)-SUM(HI9,HM9)&gt;0,SUM(HG9:HH9,HJ9:HL9,HN9)-SUM(HI9,HM9),"")</f>
        <v/>
      </c>
      <c r="HZ9" s="15" t="str">
        <f>IF(SUM(GY9:GZ9,HB9:HD9,HF9:HH9,HJ9:HL9,HN9)-SUM(HA9,HE9,HI9,HM9)&gt;0,SUM(GY9:GZ9,HB9:HD9,HF9:HH9,HJ9:HL9,HN9)-SUM(HA9,HE9,HI9,HM9),"")</f>
        <v/>
      </c>
      <c r="IA9" s="15" t="str">
        <f>IF(SUM(HO9:HP9,HR9:HT9,HV9)-SUM(HQ9,HU9)&gt;0,SUM(HO9:HP9,HR9:HT9,HV9)-SUM(HQ9,HU9),"")</f>
        <v/>
      </c>
      <c r="IB9" s="15" t="str">
        <f>IF(SUM(HZ9,IA9)&gt;0,SUM(HZ9,IA9),"")</f>
        <v/>
      </c>
      <c r="IC9" s="51"/>
      <c r="ID9" s="51"/>
      <c r="IE9" s="51"/>
      <c r="IF9" s="51"/>
      <c r="IG9" s="51"/>
      <c r="IH9" s="51"/>
      <c r="II9" s="51"/>
      <c r="IJ9" s="51"/>
      <c r="IK9" s="51"/>
      <c r="IL9" s="51"/>
      <c r="IM9" s="51"/>
      <c r="IN9" s="51"/>
      <c r="IO9" s="51"/>
      <c r="IP9" s="51"/>
      <c r="IQ9" s="51"/>
      <c r="IR9" s="51"/>
      <c r="IS9" s="51"/>
      <c r="IT9" s="51"/>
      <c r="IU9" s="51"/>
      <c r="IV9" s="51"/>
      <c r="IW9" s="51"/>
      <c r="IX9" s="51"/>
      <c r="IY9" s="51"/>
      <c r="IZ9" s="51"/>
      <c r="JA9" s="12" t="str">
        <f>IF(SUM(ID9,IH9,IL9,IP9)&gt;0,SUM(ID9,IH9,IL9,IP9),"")</f>
        <v/>
      </c>
      <c r="JB9" s="12" t="str">
        <f>IF(SUM(IC9:ID9,IF9:IH9,IJ9)-SUM(IE9,II9)&gt;0,SUM(IC9:ID9,IF9:IH9,IJ9)-SUM(IE9,II9),"")</f>
        <v/>
      </c>
      <c r="JC9" s="12" t="str">
        <f>IF(SUM(IK9:IL9,IN9:IP9,IR9)-SUM(IM9,IQ9)&gt;0,SUM(IK9:IL9,IN9:IP9,IR9)-SUM(IM9,IQ9),"")</f>
        <v/>
      </c>
      <c r="JD9" s="12" t="str">
        <f>IF(SUM(IC9:ID9,IF9:IH9,IJ9:IL9,IN9:IP9,IR9)-SUM(IE9,II9,IM9,IQ9)&gt;0,SUM(IC9:ID9,IF9:IH9,IJ9:IL9,IN9:IP9,IR9)-SUM(IE9,II9,IM9,IQ9),"")</f>
        <v/>
      </c>
      <c r="JE9" s="12" t="str">
        <f>IF(SUM(IS9:IT9,IV9:IX9,IZ9)-SUM(IU9,IY9)&gt;0,SUM(IS9:IT9,IV9:IX9,IZ9)-SUM(IU9,IY9),"")</f>
        <v/>
      </c>
      <c r="JF9" s="12" t="str">
        <f>IF(SUM(JD9,JE9)&gt;0,SUM(JD9,JE9),"")</f>
        <v/>
      </c>
      <c r="JG9" s="50"/>
      <c r="JH9" s="50"/>
      <c r="JI9" s="50"/>
      <c r="JJ9" s="50"/>
      <c r="JK9" s="50"/>
      <c r="JL9" s="50"/>
      <c r="JM9" s="50"/>
      <c r="JN9" s="50"/>
      <c r="JO9" s="50"/>
      <c r="JP9" s="50"/>
      <c r="JQ9" s="50"/>
      <c r="JR9" s="50"/>
      <c r="JS9" s="50"/>
      <c r="JT9" s="50"/>
      <c r="JU9" s="50"/>
      <c r="JV9" s="50"/>
      <c r="JW9" s="50"/>
      <c r="JX9" s="50"/>
      <c r="JY9" s="50"/>
      <c r="JZ9" s="50"/>
      <c r="KA9" s="50"/>
      <c r="KB9" s="50"/>
      <c r="KC9" s="50"/>
      <c r="KD9" s="50"/>
      <c r="KE9" s="15" t="str">
        <f>IF(SUM(JH9,JL9,JP9,JT9)&gt;0,SUM(JH9,JL9,JP9,JT9),"")</f>
        <v/>
      </c>
      <c r="KF9" s="15" t="str">
        <f>IF(SUM(JG9:JH9,JJ9:JL9,JN9)-SUM(JI9,JM9)&gt;0,SUM(JG9:JH9,JJ9:JL9,JN9)-SUM(JI9,JM9),"")</f>
        <v/>
      </c>
      <c r="KG9" s="15" t="str">
        <f>IF(SUM(JO9:JP9,JR9:JT9,JV9)-SUM(JQ9,JU9)&gt;0,SUM(JO9:JP9,JR9:JT9,JV9)-SUM(JQ9,JU9),"")</f>
        <v/>
      </c>
      <c r="KH9" s="15" t="str">
        <f>IF(SUM(JG9:JH9,JJ9:JL9,JN9:JP9,JR9:JT9,JV9)-SUM(JI9,JM9,JQ9,JU9)&gt;0,SUM(JG9:JH9,JJ9:JL9,JN9:JP9,JR9:JT9,JV9)-SUM(JI9,JM9,JQ9,JU9),"")</f>
        <v/>
      </c>
      <c r="KI9" s="15" t="str">
        <f>IF(SUM(JW9:JX9,JZ9:KB9,KD9)-SUM(JY9,KC9)&gt;0,SUM(JW9:JX9,JZ9:KB9,KD9)-SUM(JY9,KC9),"")</f>
        <v/>
      </c>
      <c r="KJ9" s="15" t="str">
        <f>IF(SUM(KH9,KI9)&gt;0,SUM(KH9,KI9),"")</f>
        <v/>
      </c>
      <c r="KK9" s="51"/>
      <c r="KL9" s="51"/>
      <c r="KM9" s="51"/>
      <c r="KN9" s="51"/>
      <c r="KO9" s="51"/>
      <c r="KP9" s="51"/>
      <c r="KQ9" s="51"/>
      <c r="KR9" s="51"/>
      <c r="KS9" s="51"/>
      <c r="KT9" s="51"/>
      <c r="KU9" s="51"/>
      <c r="KV9" s="51"/>
      <c r="KW9" s="51"/>
      <c r="KX9" s="51"/>
      <c r="KY9" s="51"/>
      <c r="KZ9" s="51"/>
      <c r="LA9" s="51"/>
      <c r="LB9" s="51"/>
      <c r="LC9" s="51"/>
      <c r="LD9" s="51"/>
      <c r="LE9" s="51"/>
      <c r="LF9" s="51"/>
      <c r="LG9" s="51"/>
      <c r="LH9" s="51"/>
      <c r="LI9" s="12" t="str">
        <f>IF(SUM(KL9,KP9,KT9,KX9)&gt;0,SUM(KL9,KP9,KT9,KX9),"")</f>
        <v/>
      </c>
      <c r="LJ9" s="12" t="str">
        <f>IF(SUM(KK9:KL9,KN9:KP9,KR9)-SUM(KM9,KQ9)&gt;0,SUM(KK9:KL9,KN9:KP9,KR9)-SUM(KM9,KQ9),"")</f>
        <v/>
      </c>
      <c r="LK9" s="12" t="str">
        <f>IF(SUM(KS9:KT9,KV9:KX9,KZ9)-SUM(KU9,KY9)&gt;0,SUM(KS9:KT9,KV9:KX9,KZ9)-SUM(KU9,KY9),"")</f>
        <v/>
      </c>
      <c r="LL9" s="12" t="str">
        <f>IF(SUM(KK9:KL9,KN9:KP9,KR9:KT9,KV9:KX9,KZ9)-SUM(KM9,KQ9,KU9,KY9)&gt;0,SUM(KK9:KL9,KN9:KP9,KR9:KT9,KV9:KX9,KZ9)-SUM(KM9,KQ9,KU9,KY9),"")</f>
        <v/>
      </c>
      <c r="LM9" s="12" t="str">
        <f>IF(SUM(LA9:LB9,LD9:LF9,LH9)-SUM(LC9,LG9)&gt;0,SUM(LA9:LB9,LD9:LF9,LH9)-SUM(LC9,LG9),"")</f>
        <v/>
      </c>
      <c r="LN9" s="12" t="str">
        <f>IF(SUM(LL9,LM9)&gt;0,SUM(LL9,LM9),"")</f>
        <v/>
      </c>
      <c r="LO9" s="50"/>
      <c r="LP9" s="50"/>
      <c r="LQ9" s="50"/>
      <c r="LR9" s="50"/>
      <c r="LS9" s="50"/>
      <c r="LT9" s="50"/>
      <c r="LU9" s="50"/>
      <c r="LV9" s="50"/>
      <c r="LW9" s="50"/>
      <c r="LX9" s="50"/>
      <c r="LY9" s="50"/>
      <c r="LZ9" s="50"/>
      <c r="MA9" s="50"/>
      <c r="MB9" s="50"/>
      <c r="MC9" s="50"/>
      <c r="MD9" s="50"/>
      <c r="ME9" s="50"/>
      <c r="MF9" s="50"/>
      <c r="MG9" s="50"/>
      <c r="MH9" s="50"/>
      <c r="MI9" s="50"/>
      <c r="MJ9" s="50"/>
      <c r="MK9" s="50"/>
      <c r="ML9" s="50"/>
      <c r="MM9" s="15" t="str">
        <f>IF(SUM(LP9,LT9,LX9,MB9)&gt;0,SUM(LP9,LT9,LX9,MB9),"")</f>
        <v/>
      </c>
      <c r="MN9" s="15" t="str">
        <f>IF(SUM(LO9:LP9,LR9:LT9,LV9)-SUM(LQ9,LU9)&gt;0,SUM(LO9:LP9,LR9:LT9,LV9)-SUM(LQ9,LU9),"")</f>
        <v/>
      </c>
      <c r="MO9" s="15" t="str">
        <f>IF(SUM(LW9:LX9,LZ9:MB9,MD9)-SUM(LY9,MC9)&gt;0,SUM(LW9:LX9,LZ9:MB9,MD9)-SUM(LY9,MC9),"")</f>
        <v/>
      </c>
      <c r="MP9" s="15" t="str">
        <f>IF(SUM(LO9:LP9,LR9:LT9,LV9:LX9,LZ9:MB9,MD9)-SUM(LQ9,LU9,LY9,MC9)&gt;0,SUM(LO9:LP9,LR9:LT9,LV9:LX9,LZ9:MB9,MD9)-SUM(LQ9,LU9,LY9,MC9),"")</f>
        <v/>
      </c>
      <c r="MQ9" s="15" t="str">
        <f>IF(SUM(ME9:MF9,MH9:MJ9,ML9)-SUM(MG9,MK9)&gt;0,SUM(ME9:MF9,MH9:MJ9,ML9)-SUM(MG9,MK9),"")</f>
        <v/>
      </c>
      <c r="MR9" s="15" t="str">
        <f>IF(SUM(MP9,MQ9)&gt;0,SUM(MP9,MQ9),"")</f>
        <v/>
      </c>
      <c r="MS9" s="51"/>
      <c r="MT9" s="51"/>
      <c r="MU9" s="51"/>
      <c r="MV9" s="51"/>
      <c r="MW9" s="51"/>
      <c r="MX9" s="51"/>
      <c r="MY9" s="51"/>
      <c r="MZ9" s="51"/>
      <c r="NA9" s="51"/>
      <c r="NB9" s="51"/>
      <c r="NC9" s="51"/>
      <c r="ND9" s="51"/>
      <c r="NE9" s="51"/>
      <c r="NF9" s="51"/>
      <c r="NG9" s="51"/>
      <c r="NH9" s="51"/>
      <c r="NI9" s="51"/>
      <c r="NJ9" s="51"/>
      <c r="NK9" s="51"/>
      <c r="NL9" s="51"/>
      <c r="NM9" s="51"/>
      <c r="NN9" s="51"/>
      <c r="NO9" s="51"/>
      <c r="NP9" s="51"/>
      <c r="NQ9" s="12" t="str">
        <f>IF(SUM(MT9,MX9,NB9,NF9)&gt;0,SUM(MT9,MX9,NB9,NF9),"")</f>
        <v/>
      </c>
      <c r="NR9" s="12" t="str">
        <f>IF(SUM(MS9:MT9,MV9:MX9,MZ9)-SUM(MU9,MY9)&gt;0,SUM(MS9:MT9,MV9:MX9,MZ9)-SUM(MU9,MY9),"")</f>
        <v/>
      </c>
      <c r="NS9" s="12" t="str">
        <f>IF(SUM(NA9:NB9,ND9:NF9,NH9)-SUM(NC9,NG9)&gt;0,SUM(NA9:NB9,ND9:NF9,NH9)-SUM(NC9,NG9),"")</f>
        <v/>
      </c>
      <c r="NT9" s="12" t="str">
        <f>IF(SUM(MS9:MT9,MV9:MX9,MZ9:NB9,ND9:NF9,NH9)-SUM(MU9,MY9,NC9,NG9)&gt;0,SUM(MS9:MT9,MV9:MX9,MZ9:NB9,ND9:NF9,NH9)-SUM(MU9,MY9,NC9,NG9),"")</f>
        <v/>
      </c>
      <c r="NU9" s="12" t="str">
        <f>IF(SUM(NI9:NJ9,NL9:NN9,NP9)-SUM(NK9,NO9)&gt;0,SUM(NI9:NJ9,NL9:NN9,NP9)-SUM(NK9,NO9),"")</f>
        <v/>
      </c>
      <c r="NV9" s="12" t="str">
        <f>IF(SUM(NT9,NU9)&gt;0,SUM(NT9,NU9),"")</f>
        <v/>
      </c>
      <c r="NW9" s="50"/>
      <c r="NX9" s="50"/>
      <c r="NY9" s="50"/>
      <c r="NZ9" s="50"/>
      <c r="OA9" s="50"/>
      <c r="OB9" s="50"/>
      <c r="OC9" s="50"/>
      <c r="OD9" s="50"/>
      <c r="OE9" s="50"/>
      <c r="OF9" s="50"/>
      <c r="OG9" s="50"/>
      <c r="OH9" s="50"/>
      <c r="OI9" s="50"/>
      <c r="OJ9" s="50"/>
      <c r="OK9" s="50"/>
      <c r="OL9" s="50"/>
      <c r="OM9" s="50"/>
      <c r="ON9" s="50"/>
      <c r="OO9" s="50"/>
      <c r="OP9" s="50"/>
      <c r="OQ9" s="50"/>
      <c r="OR9" s="50"/>
      <c r="OS9" s="50"/>
      <c r="OT9" s="50"/>
      <c r="OU9" s="15" t="str">
        <f>IF(SUM(NX9,OB9,OF9,OJ9)&gt;0,SUM(NX9,OB9,OF9,OJ9),"")</f>
        <v/>
      </c>
      <c r="OV9" s="15" t="str">
        <f>IF(SUM(NW9:NX9,NZ9:OB9,OD9)-SUM(NY9,OC9)&gt;0,SUM(NW9:NX9,NZ9:OB9,OD9)-SUM(NY9,OC9),"")</f>
        <v/>
      </c>
      <c r="OW9" s="15" t="str">
        <f>IF(SUM(OE9:OF9,OH9:OJ9,OL9)-SUM(OG9,OK9)&gt;0,SUM(OE9:OF9,OH9:OJ9,OL9)-SUM(OG9,OK9),"")</f>
        <v/>
      </c>
      <c r="OX9" s="15" t="str">
        <f>IF(SUM(NW9:NX9,NZ9:OB9,OD9:OF9,OH9:OJ9,OL9)-SUM(NY9,OC9,OG9,OK9)&gt;0,SUM(NW9:NX9,NZ9:OB9,OD9:OF9,OH9:OJ9,OL9)-SUM(NY9,OC9,OG9,OK9),"")</f>
        <v/>
      </c>
      <c r="OY9" s="15" t="str">
        <f>IF(SUM(OM9:ON9,OP9:OR9,OT9)-SUM(OO9,OS9)&gt;0,SUM(OM9:ON9,OP9:OR9,OT9)-SUM(OO9,OS9),"")</f>
        <v/>
      </c>
      <c r="OZ9" s="15" t="str">
        <f>IF(SUM(OX9,OY9)&gt;0,SUM(OX9,OY9),"")</f>
        <v/>
      </c>
      <c r="PA9" s="51"/>
      <c r="PB9" s="51"/>
      <c r="PC9" s="51"/>
      <c r="PD9" s="51"/>
      <c r="PE9" s="51"/>
      <c r="PF9" s="51"/>
      <c r="PG9" s="51"/>
      <c r="PH9" s="51"/>
      <c r="PI9" s="51"/>
      <c r="PJ9" s="51"/>
      <c r="PK9" s="51"/>
      <c r="PL9" s="51"/>
      <c r="PM9" s="51"/>
      <c r="PN9" s="51"/>
      <c r="PO9" s="51"/>
      <c r="PP9" s="51"/>
      <c r="PQ9" s="51"/>
      <c r="PR9" s="51"/>
      <c r="PS9" s="51"/>
      <c r="PT9" s="51"/>
      <c r="PU9" s="51"/>
      <c r="PV9" s="51"/>
      <c r="PW9" s="51"/>
      <c r="PX9" s="51"/>
      <c r="PY9" s="12" t="str">
        <f>IF(SUM(PB9,PF9,PJ9,PN9)&gt;0,SUM(PB9,PF9,PJ9,PN9),"")</f>
        <v/>
      </c>
      <c r="PZ9" s="12" t="str">
        <f>IF(SUM(PA9:PB9,PD9:PF9,PH9)-SUM(PC9,PG9)&gt;0,SUM(PA9:PB9,PD9:PF9,PH9)-SUM(PC9,PG9),"")</f>
        <v/>
      </c>
      <c r="QA9" s="12" t="str">
        <f>IF(SUM(PI9:PJ9,PL9:PN9,PP9)-SUM(PK9,PO9)&gt;0,SUM(PI9:PJ9,PL9:PN9,PP9)-SUM(PK9,PO9),"")</f>
        <v/>
      </c>
      <c r="QB9" s="12" t="str">
        <f>IF(SUM(PA9:PB9,PD9:PF9,PH9:PJ9,PL9:PN9,PP9)-SUM(PC9,PG9,PK9,PO9)&gt;0,SUM(PA9:PB9,PD9:PF9,PH9:PJ9,PL9:PN9,PP9)-SUM(PC9,PG9,PK9,PO9),"")</f>
        <v/>
      </c>
      <c r="QC9" s="12" t="str">
        <f>IF(SUM(PQ9:PR9,PT9:PV9,PX9)-SUM(PS9,PW9)&gt;0,SUM(PQ9:PR9,PT9:PV9,PX9)-SUM(PS9,PW9),"")</f>
        <v/>
      </c>
      <c r="QD9" s="12" t="str">
        <f>IF(SUM(QB9,QC9)&gt;0,SUM(QB9,QC9),"")</f>
        <v/>
      </c>
      <c r="QE9" s="50"/>
      <c r="QF9" s="50"/>
      <c r="QG9" s="50"/>
      <c r="QH9" s="50"/>
      <c r="QI9" s="50"/>
      <c r="QJ9" s="50"/>
      <c r="QK9" s="50"/>
      <c r="QL9" s="50"/>
      <c r="QM9" s="50"/>
      <c r="QN9" s="50"/>
      <c r="QO9" s="50"/>
      <c r="QP9" s="50"/>
      <c r="QQ9" s="50"/>
      <c r="QR9" s="50"/>
      <c r="QS9" s="50"/>
      <c r="QT9" s="50"/>
      <c r="QU9" s="50"/>
      <c r="QV9" s="50"/>
      <c r="QW9" s="50"/>
      <c r="QX9" s="50"/>
      <c r="QY9" s="50"/>
      <c r="QZ9" s="50"/>
      <c r="RA9" s="50"/>
      <c r="RB9" s="50"/>
      <c r="RC9" s="15" t="str">
        <f>IF(SUM(QF9,QJ9,QN9,QR9)&gt;0,SUM(QF9,QJ9,QN9,QR9),"")</f>
        <v/>
      </c>
      <c r="RD9" s="15" t="str">
        <f>IF(SUM(QE9:QF9,QH9:QJ9,QL9)-SUM(QG9,QK9)&gt;0,SUM(QE9:QF9,QH9:QJ9,QL9)-SUM(QG9,QK9),"")</f>
        <v/>
      </c>
      <c r="RE9" s="15" t="str">
        <f>IF(SUM(QM9:QN9,QP9:QR9,QT9)-SUM(QO9,QS9)&gt;0,SUM(QM9:QN9,QP9:QR9,QT9)-SUM(QO9,QS9),"")</f>
        <v/>
      </c>
      <c r="RF9" s="15" t="str">
        <f>IF(SUM(QE9:QF9,QH9:QJ9,QL9:QN9,QP9:QR9,QT9)-SUM(QG9,QK9,QO9,QS9)&gt;0,SUM(QE9:QF9,QH9:QJ9,QL9:QN9,QP9:QR9,QT9)-SUM(QG9,QK9,QO9,QS9),"")</f>
        <v/>
      </c>
      <c r="RG9" s="15" t="str">
        <f>IF(SUM(QU9:QV9,QX9:QZ9,RB9)-SUM(QW9,RA9)&gt;0,SUM(QU9:QV9,QX9:QZ9,RB9)-SUM(QW9,RA9),"")</f>
        <v/>
      </c>
      <c r="RH9" s="15" t="str">
        <f>IF(SUM(RF9,RG9)&gt;0,SUM(RF9,RG9),"")</f>
        <v/>
      </c>
    </row>
    <row r="10" spans="1:476" x14ac:dyDescent="0.2">
      <c r="A10" s="6" t="str">
        <f>IF(AND(F10="P",H10="P"),SUMPRODUCT((F$4:F$16="P")*(H$4:H$16="P")*(E$4:E$16&gt;E10))+1,IF(H10="P",SUMPRODUCT((F$4:F$16="")*(H$4:H$16="P")*(E$4:E$16&gt;E10))+1+SUMPRODUCT((F$4:F$16="P")*(H$4:H$16="P")),""))</f>
        <v/>
      </c>
      <c r="B10" s="9" t="s">
        <v>93</v>
      </c>
      <c r="C10" s="5" t="s">
        <v>3</v>
      </c>
      <c r="D10" s="6">
        <v>2000</v>
      </c>
      <c r="E10" s="16">
        <f>SUM(J10:R10)</f>
        <v>316.89999999999998</v>
      </c>
      <c r="F10" s="4" t="str">
        <f>IF(OR(AND($AT10&gt;=$AU$19,NOT($AT10=""),$AS10=""),AND($BY10&gt;=$BZ$19,NOT($BY10=""),$BX10=""),AND($DD10&gt;=$DE$19,NOT($DD10=""),$DC10="")),"P","")</f>
        <v/>
      </c>
      <c r="G10" s="4" t="str">
        <f>IF(OR(AND($AT10&gt;=$AU$20,NOT($AT10=""),$AS10=""),AND($BY10&gt;=$BZ$20,NOT($BY10=""),$BX10=""),AND($DD10&gt;=$DE$20,NOT($DD10=""),$DC10="")),"P","")</f>
        <v/>
      </c>
      <c r="H10" s="4" t="str">
        <f>IF(OR(AND($AW10&gt;=$AU$21,NOT($AW10=""),$AS10=""),AND($CB10&gt;=$BZ$21,NOT($CB10=""),$BX10=""),AND($DG10&gt;=$DE$21,NOT($DG10=""),$DC10="")),"P","")</f>
        <v/>
      </c>
      <c r="I10" t="str">
        <f>IF(AND(G10="P",OR(AND($AW10&gt;=$AU$24,NOT($AW10=""),$AS10=""),AND($CB10&gt;=$BZ$24,NOT($CB10=""),$BX10=""),AND($DG10&gt;=$DE$24,NOT($DG10=""),$DC10=""))),"Merit",IF(AND(G10="P",OR(AND($AW10&gt;=$AU$23,NOT($AW10=""),$AS10=""),AND($CB10&gt;=$BZ$23,NOT($CB10=""),$BX10=""),AND($DG10&gt;=$DE$23,NOT($DG10=""),$DC10=""))),"Funding",IF(AND(G10="P",OR(AND($AW10&gt;=$AU$22,NOT($AW10=""),$AS10=""),AND($CB10&gt;=$BZ$22,NOT($CB10=""),$BX10=""),AND($DG10&gt;=$DE$22,NOT($DG10=""),$DC10=""))),"Worlds Team",IF(AND(F10="P",OR(AND($AW10&gt;=$AU$21,NOT($AW10=""),$AS10=""),AND($CB10&gt;=$BZ$21,NOT($CB10=""),$BX10=""),AND($DG10&gt;=$DE$21,NOT($DG10=""),$DC10=""))),"National Team",""))))</f>
        <v/>
      </c>
      <c r="J10" s="15">
        <f>MAX(AW10,CB10,DG10)</f>
        <v>131.6</v>
      </c>
      <c r="K10" s="15" t="str">
        <f>IF(J10=DG10,$CE$1,IF(J10=CB10,$AZ$1,IF(J10=AW10,$U$1,"")))</f>
        <v>2017 Nationals</v>
      </c>
      <c r="L10" s="15">
        <f>IF($J10=$AW10,MAX(BZ10,DE10),IF($J10=$CB10,MAX(AU10,DE10),MAX(AU10,BZ10)))</f>
        <v>66.299999999999983</v>
      </c>
      <c r="M10" s="15" t="str">
        <f>IF(L10=DE10,$CE$1,IF(L10=BZ10,$AZ$1,IF(L10=AU10,$U$1,"")))</f>
        <v>2018 Nationals</v>
      </c>
      <c r="N10" s="15">
        <f>IF($J10=$AW10,MAX(CA10,DF10),IF($J10=$CB10,MAX(AV10,DF10),MAX(AV10,CA10)))</f>
        <v>53.3</v>
      </c>
      <c r="O10" s="15" t="str">
        <f>IF(N10=DF10,$CE$1,IF(N10=CA10,$AZ$1,IF(N10=AV10,$U$1,"")))</f>
        <v>2018 Nationals</v>
      </c>
      <c r="P10" s="15">
        <f>MAX(AX10,CC10,DH10)</f>
        <v>65.7</v>
      </c>
      <c r="Q10" s="15" t="str">
        <f>IF(P10=DH10,$CE$1,IF(P10=CC10,$AZ$1,IF(P10=AX10,$U$1,"")))</f>
        <v>2018 Nationals</v>
      </c>
      <c r="R10" s="15" t="str">
        <f>IF(MAX(DJ10:DL10)&gt;0,MAX(DJ10:DL10),"")</f>
        <v/>
      </c>
      <c r="S10" s="29" t="str">
        <f>IF(R10="","",IF(R10=DJ10,"(Pass 1-2)",IF(R10=DK10,"(Pass 3-4)",IF(R10=DL10,"(Final)"))))</f>
        <v/>
      </c>
      <c r="T10" s="15" t="str">
        <f>IF(R10="","",IF(R10=DJ10,IF(R10+L10=RD10,$QE$1,IF(R10+L10=PZ10,$PA$1,IF(R10+L10=OV10,$NW$1,IF(R10+L10=NR10,$MS$1,IF(R10+L10=MN10,$LO$1,IF(R10+L10=LJ10,$KK$1,IF(R10+L10=KF10,$JG$1,IF(R10+L10=JB10,$IC$1,IF(R10+L10=HX10,$GY$1,IF(R10+L10=GT10,$FU$1,IF(R10+L10=FP10,$EQ$1,IF(R10+L10=EL10,$DM$1)))))))))))),IF(R10=DK10,IF(R10+N10=RE10,$QE$1,IF(R10+N10=QA10,$PA$1,IF(R10+N10=OW10,$NW$1,IF(R10+N10=NS10,$MS$1,IF(R10+N10=MO10,$LO$1,IF(R10+N10=LK10,$KK$1,IF(R10+N10=KG10,$JG$1,IF(R10+N10=JC10,$IC$1,IF(R10+N10=HY10,$GY$1,IF(R10+N10=GU10,$FU$1,IF(R10+N10=FQ10,$EQ$1,IF(R10+N10=EM10,$DM$1)))))))))))),IF(R10=DL10,IF(R10+P10=RG10,$QE$1,IF(R10+P10=QC10,$PA$1,IF(R10+P10=OY10,$NW$1,IF(R10+P10=NU10,$MS$1,IF(R10+P10=MQ10,$LO$1,IF(R10+P10=LM10,$KK$1,IF(R10+P10=KI10,$JG$1,IF(R10+P10=JE10,$IC$1,IF(R10+P10=IA10,$GY$1,IF(R10+P10=GW10,$FU$1,IF(R10+P10=FS10,$EQ$1,IF(R10+P10=EO10,$DM$1))))))))))))))))</f>
        <v/>
      </c>
      <c r="U10" s="76">
        <v>27.7</v>
      </c>
      <c r="V10" s="76">
        <v>6</v>
      </c>
      <c r="W10" s="76">
        <v>0.9</v>
      </c>
      <c r="X10" s="76">
        <v>0</v>
      </c>
      <c r="Y10" s="76">
        <v>27.9</v>
      </c>
      <c r="Z10" s="76">
        <v>5.2</v>
      </c>
      <c r="AA10" s="76">
        <v>0</v>
      </c>
      <c r="AB10" s="76">
        <v>0</v>
      </c>
      <c r="AC10" s="76">
        <v>27.9</v>
      </c>
      <c r="AD10" s="76">
        <v>5.2</v>
      </c>
      <c r="AE10" s="76">
        <v>0</v>
      </c>
      <c r="AF10" s="76">
        <v>0</v>
      </c>
      <c r="AG10" s="76">
        <v>27.7</v>
      </c>
      <c r="AH10" s="76">
        <v>5.2</v>
      </c>
      <c r="AI10" s="76">
        <v>0.3</v>
      </c>
      <c r="AJ10" s="76">
        <v>0</v>
      </c>
      <c r="AK10" s="76">
        <v>27.7</v>
      </c>
      <c r="AL10" s="76">
        <v>5.2</v>
      </c>
      <c r="AM10" s="76">
        <v>0</v>
      </c>
      <c r="AN10" s="76">
        <v>0</v>
      </c>
      <c r="AO10" s="76">
        <v>27.6</v>
      </c>
      <c r="AP10" s="76">
        <v>2</v>
      </c>
      <c r="AQ10" s="76">
        <v>0</v>
      </c>
      <c r="AR10" s="76">
        <v>0</v>
      </c>
      <c r="AS10" s="108"/>
      <c r="AT10" s="12">
        <f>IF(SUM(V10,Z10,AD10,AH10)&gt;0,SUM(V10,Z10,AD10,AH10),"")</f>
        <v>21.599999999999998</v>
      </c>
      <c r="AU10" s="12">
        <f>IF(SUM(U10:V10,X10:Z10,AB10)-SUM(W10,AA10)&gt;0,SUM(U10:V10,X10:Z10,AB10)-SUM(W10,AA10),"")</f>
        <v>65.899999999999991</v>
      </c>
      <c r="AV10" s="12">
        <f>IF(SUM(AC10:AD10,AF10:AH10,AJ10)-SUM(AE10,AI10)&gt;0,SUM(AC10:AD10,AF10:AH10,AJ10)-SUM(AE10,AI10),"")</f>
        <v>65.7</v>
      </c>
      <c r="AW10" s="12">
        <f>IF(SUM(U10:V10,X10:Z10,AB10:AD10,AF10:AH10,AJ10)-SUM(W10,AA10,AE10,AI10)&gt;0,SUM(U10:V10,X10:Z10,AB10:AD10,AF10:AH10,AJ10)-SUM(W10,AA10,AE10,AI10),"")</f>
        <v>131.6</v>
      </c>
      <c r="AX10" s="12">
        <f>IF(SUM(AK10:AL10,AN10:AP10,AR10)-SUM(AM10,AQ10)&gt;0,SUM(AK10:AL10,AN10:AP10,AR10)-SUM(AM10,AQ10),"")</f>
        <v>62.5</v>
      </c>
      <c r="AY10" s="12">
        <f>IF(SUM(AW10,AX10)&gt;0,SUM(AW10,AX10),"")</f>
        <v>194.1</v>
      </c>
      <c r="AZ10" s="80">
        <v>27</v>
      </c>
      <c r="BA10" s="80">
        <v>5.2</v>
      </c>
      <c r="BB10" s="80">
        <v>0</v>
      </c>
      <c r="BC10" s="80">
        <v>0</v>
      </c>
      <c r="BD10" s="80">
        <v>27.3</v>
      </c>
      <c r="BE10" s="80">
        <v>4.4000000000000004</v>
      </c>
      <c r="BF10" s="80">
        <v>0.9</v>
      </c>
      <c r="BG10" s="80">
        <v>0</v>
      </c>
      <c r="BH10" s="80">
        <v>27</v>
      </c>
      <c r="BI10" s="80">
        <v>2</v>
      </c>
      <c r="BJ10" s="80">
        <v>0</v>
      </c>
      <c r="BK10" s="80">
        <v>0</v>
      </c>
      <c r="BL10" s="80">
        <v>19.8</v>
      </c>
      <c r="BM10" s="80">
        <v>2.4</v>
      </c>
      <c r="BN10" s="80">
        <v>0</v>
      </c>
      <c r="BO10" s="80">
        <v>0</v>
      </c>
      <c r="BP10" s="80"/>
      <c r="BQ10" s="80"/>
      <c r="BR10" s="80"/>
      <c r="BS10" s="80"/>
      <c r="BT10" s="80"/>
      <c r="BU10" s="80"/>
      <c r="BV10" s="80"/>
      <c r="BW10" s="80"/>
      <c r="BX10" s="105"/>
      <c r="BY10" s="110">
        <f>IF(SUM(BA10,BE10,BI10,BM10)&gt;0,SUM(BA10,BE10,BI10,BM10),"")</f>
        <v>14.000000000000002</v>
      </c>
      <c r="BZ10" s="110">
        <f>IF(SUM(AZ10:BA10,BC10:BE10,BG10)-SUM(BB10,BF10)&gt;0,SUM(AZ10:BA10,BC10:BE10,BG10)-SUM(BB10,BF10),"")</f>
        <v>63</v>
      </c>
      <c r="CA10" s="110">
        <f>IF(SUM(BH10:BI10,BK10:BM10,BO10)-SUM(BJ10,BN10)&gt;0,SUM(BH10:BI10,BK10:BM10,BO10)-SUM(BJ10,BN10),"")</f>
        <v>51.199999999999996</v>
      </c>
      <c r="CB10" s="110">
        <f>IF(SUM(AZ10:BA10,BC10:BE10,BG10:BI10,BK10:BM10,BO10)-SUM(BB10,BF10,BJ10,BN10)&gt;0,SUM(AZ10:BA10,BC10:BE10,BG10:BI10,BK10:BM10,BO10)-SUM(BB10,BF10,BJ10,BN10),"")</f>
        <v>114.2</v>
      </c>
      <c r="CC10" s="110" t="str">
        <f>IF(SUM(BP10:BQ10,BS10:BU10,BW10)-SUM(BR10,BV10)&gt;0,SUM(BP10:BQ10,BS10:BU10,BW10)-SUM(BR10,BV10),"")</f>
        <v/>
      </c>
      <c r="CD10" s="110">
        <f>IF(SUM(CB10,CC10)&gt;0,SUM(CB10,CC10),"")</f>
        <v>114.2</v>
      </c>
      <c r="CE10" s="45">
        <v>27.9</v>
      </c>
      <c r="CF10" s="45">
        <v>6</v>
      </c>
      <c r="CG10" s="45">
        <v>0</v>
      </c>
      <c r="CH10" s="45">
        <v>0</v>
      </c>
      <c r="CI10" s="45">
        <v>27.7</v>
      </c>
      <c r="CJ10" s="45">
        <v>5.6</v>
      </c>
      <c r="CK10" s="45">
        <v>0.9</v>
      </c>
      <c r="CL10" s="45">
        <v>0</v>
      </c>
      <c r="CM10" s="45">
        <v>19.7</v>
      </c>
      <c r="CN10" s="45">
        <v>3.2</v>
      </c>
      <c r="CO10" s="45">
        <v>0</v>
      </c>
      <c r="CP10" s="45">
        <v>0</v>
      </c>
      <c r="CQ10" s="45">
        <v>27.5</v>
      </c>
      <c r="CR10" s="45">
        <v>4.4000000000000004</v>
      </c>
      <c r="CS10" s="45">
        <v>1.5</v>
      </c>
      <c r="CT10" s="45">
        <v>0</v>
      </c>
      <c r="CU10" s="45">
        <v>27.7</v>
      </c>
      <c r="CV10" s="45">
        <v>6</v>
      </c>
      <c r="CW10" s="45">
        <v>0.3</v>
      </c>
      <c r="CX10" s="45">
        <v>0</v>
      </c>
      <c r="CY10" s="45">
        <v>27.4</v>
      </c>
      <c r="CZ10" s="45">
        <v>5.2</v>
      </c>
      <c r="DA10" s="45">
        <v>0.3</v>
      </c>
      <c r="DB10" s="45">
        <v>0</v>
      </c>
      <c r="DC10" s="108"/>
      <c r="DD10" s="12">
        <f>IF(SUM(CF10,CJ10,CN10,CR10)&gt;0,SUM(CF10,CJ10,CN10,CR10),"")</f>
        <v>19.200000000000003</v>
      </c>
      <c r="DE10" s="12">
        <f>IF(SUM(CE10:CF10,CH10:CJ10,CL10)-SUM(CG10,CK10)&gt;0,SUM(CE10:CF10,CH10:CJ10,CL10)-SUM(CG10,CK10),"")</f>
        <v>66.299999999999983</v>
      </c>
      <c r="DF10" s="12">
        <f>IF(SUM(CM10:CN10,CP10:CR10,CT10)-SUM(CO10,CS10)&gt;0,SUM(CM10:CN10,CP10:CR10,CT10)-SUM(CO10,CS10),"")</f>
        <v>53.3</v>
      </c>
      <c r="DG10" s="12">
        <f>IF(SUM(CE10:CF10,CH10:CJ10,CL10:CN10,CP10:CR10,CT10)-SUM(CG10,CK10,CO10,CS10)&gt;0,SUM(CE10:CF10,CH10:CJ10,CL10:CN10,CP10:CR10,CT10)-SUM(CG10,CK10,CO10,CS10),"")</f>
        <v>119.6</v>
      </c>
      <c r="DH10" s="12">
        <f>IF(SUM(CU10:CV10,CX10:CZ10,DB10)-SUM(CW10,DA10)&gt;0,SUM(CU10:CV10,CX10:CZ10,DB10)-SUM(CW10,DA10),"")</f>
        <v>65.7</v>
      </c>
      <c r="DI10" s="12">
        <f>IF(SUM(DG10,DH10)&gt;0,SUM(DG10,DH10),"")</f>
        <v>185.3</v>
      </c>
      <c r="DJ10" s="28" t="str">
        <f>IF(MAX(EL10,FP10,GT10,HX10,JB10,KF10,LJ10,MN10,NR10,OV10,PZ10,RD10)-L10&gt;0.001,MAX(EL10,FP10,GT10,HX10,JB10,KF10,LJ10,MN10,NR10,OV10,PZ10,RD10)-L10,"")</f>
        <v/>
      </c>
      <c r="DK10" s="28" t="str">
        <f>IF(MAX(EM10,FQ10,GU10,HY10,JC10,KG10,LK10,MO10,NS10,OW10,QA10,RE10)-N10&gt;0.001,MAX(EM10,FQ10,GU10,HY10,JC10,KG10,LK10,MO10,NS10,OW10,QA10,RE10)-N10,"")</f>
        <v/>
      </c>
      <c r="DL10" s="28" t="str">
        <f>IF(MAX(EO10,FS10,GW10,IA10,JE10,KI10,LM10,MQ10,OY10,QC10,RG10)-P10&gt;0.001,MAX(EO10,FS10,GW10,IA10,JE10,KI10,LM10,MQ10,OY10,QC10,RG10)-P10,"")</f>
        <v/>
      </c>
      <c r="DM10" s="45"/>
      <c r="DN10" s="45"/>
      <c r="DO10" s="45"/>
      <c r="DP10" s="45"/>
      <c r="DQ10" s="45"/>
      <c r="DR10" s="45"/>
      <c r="DS10" s="45"/>
      <c r="DT10" s="45"/>
      <c r="DU10" s="45"/>
      <c r="DV10" s="45"/>
      <c r="DW10" s="45"/>
      <c r="DX10" s="45"/>
      <c r="DY10" s="45"/>
      <c r="DZ10" s="45"/>
      <c r="EA10" s="45"/>
      <c r="EB10" s="45"/>
      <c r="EC10" s="45"/>
      <c r="ED10" s="45"/>
      <c r="EE10" s="45"/>
      <c r="EF10" s="45"/>
      <c r="EG10" s="45"/>
      <c r="EH10" s="45"/>
      <c r="EI10" s="45"/>
      <c r="EJ10" s="45"/>
      <c r="EK10" s="12" t="str">
        <f>IF(SUM(DN10,DR10,DV10,DZ10)&gt;0,SUM(DN10,DR10,DV10,DZ10),"")</f>
        <v/>
      </c>
      <c r="EL10" s="12" t="str">
        <f>IF(SUM(DM10:DN10,DP10:DR10,DT10)-SUM(DO10,DS10)&gt;0,SUM(DM10:DN10,DP10:DR10,DT10)-SUM(DO10,DS10),"")</f>
        <v/>
      </c>
      <c r="EM10" s="12" t="str">
        <f>IF(SUM(DU10:DV10,DX10:DZ10,EB10)-SUM(DW10,EA10)&gt;0,SUM(DU10:DV10,DX10:DZ10,EB10)-SUM(DW10,EA10),"")</f>
        <v/>
      </c>
      <c r="EN10" s="12" t="str">
        <f>IF(SUM(DM10:DN10,DP10:DR10,DT10:DV10,DX10:DZ10,EB10)-SUM(DO10,DS10,DW10,EA10)&gt;0,SUM(DM10:DN10,DP10:DR10,DT10:DV10,DX10:DZ10,EB10)-SUM(DO10,DS10,DW10,EA10),"")</f>
        <v/>
      </c>
      <c r="EO10" s="12" t="str">
        <f>IF(SUM(EC10:ED10,EF10:EH10,EJ10)-SUM(EE10,EI10)&gt;0,SUM(EC10:ED10,EF10:EH10,EJ10)-SUM(EE10,EI10),"")</f>
        <v/>
      </c>
      <c r="EP10" s="12" t="str">
        <f>IF(SUM(EN10,EO10)&gt;0,SUM(EN10,EO10),"")</f>
        <v/>
      </c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  <c r="FF10" s="50"/>
      <c r="FG10" s="50"/>
      <c r="FH10" s="50"/>
      <c r="FI10" s="50"/>
      <c r="FJ10" s="50"/>
      <c r="FK10" s="50"/>
      <c r="FL10" s="50"/>
      <c r="FM10" s="50"/>
      <c r="FN10" s="50"/>
      <c r="FO10" s="15" t="str">
        <f>IF(SUM(ER10,EV10,EZ10,FD10)&gt;0,SUM(ER10,EV10,EZ10,FD10),"")</f>
        <v/>
      </c>
      <c r="FP10" s="15" t="str">
        <f>IF(SUM(EQ10:ER10,ET10:EV10,EX10)-SUM(ES10,EW10)&gt;0,SUM(EQ10:ER10,ET10:EV10,EX10)-SUM(ES10,EW10),"")</f>
        <v/>
      </c>
      <c r="FQ10" s="15" t="str">
        <f>IF(SUM(EY10:EZ10,FB10:FD10,FF10)-SUM(FA10,FE10)&gt;0,SUM(EY10:EZ10,FB10:FD10,FF10)-SUM(FA10,FE10),"")</f>
        <v/>
      </c>
      <c r="FR10" s="15" t="str">
        <f>IF(SUM(EQ10:ER10,ET10:EV10,EX10:EZ10,FB10:FD10,FF10)-SUM(ES10,EW10,FA10,FE10)&gt;0,SUM(EQ10:ER10,ET10:EV10,EX10:EZ10,FB10:FD10,FF10)-SUM(ES10,EW10,FA10,FE10),"")</f>
        <v/>
      </c>
      <c r="FS10" s="15" t="str">
        <f>IF(SUM(FG10:FH10,FJ10:FL10,FN10)-SUM(FI10,FM10)&gt;0,SUM(FG10:FH10,FJ10:FL10,FN10)-SUM(FI10,FM10),"")</f>
        <v/>
      </c>
      <c r="FT10" s="15" t="str">
        <f>IF(SUM(FR10,FS10)&gt;0,SUM(FR10,FS10),"")</f>
        <v/>
      </c>
      <c r="FU10" s="51"/>
      <c r="FV10" s="51"/>
      <c r="FW10" s="51"/>
      <c r="FX10" s="51"/>
      <c r="FY10" s="51"/>
      <c r="FZ10" s="51"/>
      <c r="GA10" s="51"/>
      <c r="GB10" s="51"/>
      <c r="GC10" s="51"/>
      <c r="GD10" s="51"/>
      <c r="GE10" s="51"/>
      <c r="GF10" s="51"/>
      <c r="GG10" s="51"/>
      <c r="GH10" s="51"/>
      <c r="GI10" s="51"/>
      <c r="GJ10" s="51"/>
      <c r="GK10" s="51"/>
      <c r="GL10" s="51"/>
      <c r="GM10" s="51"/>
      <c r="GN10" s="51"/>
      <c r="GO10" s="51"/>
      <c r="GP10" s="51"/>
      <c r="GQ10" s="51"/>
      <c r="GR10" s="51"/>
      <c r="GS10" s="12" t="str">
        <f>IF(SUM(FV10,FZ10,GD10,GH10)&gt;0,SUM(FV10,FZ10,GD10,GH10),"")</f>
        <v/>
      </c>
      <c r="GT10" s="12" t="str">
        <f>IF(SUM(FU10:FV10,FX10:FZ10,GB10)-SUM(FW10,GA10)&gt;0,SUM(FU10:FV10,FX10:FZ10,GB10)-SUM(FW10,GA10),"")</f>
        <v/>
      </c>
      <c r="GU10" s="12" t="str">
        <f>IF(SUM(GC10:GD10,GF10:GH10,GJ10)-SUM(GE10,GI10)&gt;0,SUM(GC10:GD10,GF10:GH10,GJ10)-SUM(GE10,GI10),"")</f>
        <v/>
      </c>
      <c r="GV10" s="12" t="str">
        <f>IF(SUM(FU10:FV10,FX10:FZ10,GB10:GD10,GF10:GH10,GJ10)-SUM(FW10,GA10,GE10,GI10)&gt;0,SUM(FU10:FV10,FX10:FZ10,GB10:GD10,GF10:GH10,GJ10)-SUM(FW10,GA10,GE10,GI10),"")</f>
        <v/>
      </c>
      <c r="GW10" s="12" t="str">
        <f>IF(SUM(GK10:GL10,GN10:GP10,GR10)-SUM(GM10,GQ10)&gt;0,SUM(GK10:GL10,GN10:GP10,GR10)-SUM(GM10,GQ10),"")</f>
        <v/>
      </c>
      <c r="GX10" s="12" t="str">
        <f>IF(SUM(GV10,GW10)&gt;0,SUM(GV10,GW10),"")</f>
        <v/>
      </c>
      <c r="GY10" s="50"/>
      <c r="GZ10" s="50"/>
      <c r="HA10" s="50"/>
      <c r="HB10" s="50"/>
      <c r="HC10" s="50"/>
      <c r="HD10" s="50"/>
      <c r="HE10" s="50"/>
      <c r="HF10" s="50"/>
      <c r="HG10" s="50"/>
      <c r="HH10" s="50"/>
      <c r="HI10" s="50"/>
      <c r="HJ10" s="50"/>
      <c r="HK10" s="50"/>
      <c r="HL10" s="50"/>
      <c r="HM10" s="50"/>
      <c r="HN10" s="50"/>
      <c r="HO10" s="50"/>
      <c r="HP10" s="50"/>
      <c r="HQ10" s="50"/>
      <c r="HR10" s="50"/>
      <c r="HS10" s="50"/>
      <c r="HT10" s="50"/>
      <c r="HU10" s="50"/>
      <c r="HV10" s="50"/>
      <c r="HW10" s="15" t="str">
        <f>IF(SUM(GZ10,HD10,HH10,HL10)&gt;0,SUM(GZ10,HD10,HH10,HL10),"")</f>
        <v/>
      </c>
      <c r="HX10" s="15" t="str">
        <f>IF(SUM(GY10:GZ10,HB10:HD10,HF10)-SUM(HA10,HE10)&gt;0,SUM(GY10:GZ10,HB10:HD10,HF10)-SUM(HA10,HE10),"")</f>
        <v/>
      </c>
      <c r="HY10" s="15" t="str">
        <f>IF(SUM(HG10:HH10,HJ10:HL10,HN10)-SUM(HI10,HM10)&gt;0,SUM(HG10:HH10,HJ10:HL10,HN10)-SUM(HI10,HM10),"")</f>
        <v/>
      </c>
      <c r="HZ10" s="15" t="str">
        <f>IF(SUM(GY10:GZ10,HB10:HD10,HF10:HH10,HJ10:HL10,HN10)-SUM(HA10,HE10,HI10,HM10)&gt;0,SUM(GY10:GZ10,HB10:HD10,HF10:HH10,HJ10:HL10,HN10)-SUM(HA10,HE10,HI10,HM10),"")</f>
        <v/>
      </c>
      <c r="IA10" s="15" t="str">
        <f>IF(SUM(HO10:HP10,HR10:HT10,HV10)-SUM(HQ10,HU10)&gt;0,SUM(HO10:HP10,HR10:HT10,HV10)-SUM(HQ10,HU10),"")</f>
        <v/>
      </c>
      <c r="IB10" s="15" t="str">
        <f>IF(SUM(HZ10,IA10)&gt;0,SUM(HZ10,IA10),"")</f>
        <v/>
      </c>
      <c r="IC10" s="51"/>
      <c r="ID10" s="51"/>
      <c r="IE10" s="51"/>
      <c r="IF10" s="51"/>
      <c r="IG10" s="51"/>
      <c r="IH10" s="51"/>
      <c r="II10" s="51"/>
      <c r="IJ10" s="51"/>
      <c r="IK10" s="51"/>
      <c r="IL10" s="51"/>
      <c r="IM10" s="51"/>
      <c r="IN10" s="51"/>
      <c r="IO10" s="51"/>
      <c r="IP10" s="51"/>
      <c r="IQ10" s="51"/>
      <c r="IR10" s="51"/>
      <c r="IS10" s="51"/>
      <c r="IT10" s="51"/>
      <c r="IU10" s="51"/>
      <c r="IV10" s="51"/>
      <c r="IW10" s="51"/>
      <c r="IX10" s="51"/>
      <c r="IY10" s="51"/>
      <c r="IZ10" s="51"/>
      <c r="JA10" s="12" t="str">
        <f>IF(SUM(ID10,IH10,IL10,IP10)&gt;0,SUM(ID10,IH10,IL10,IP10),"")</f>
        <v/>
      </c>
      <c r="JB10" s="12" t="str">
        <f>IF(SUM(IC10:ID10,IF10:IH10,IJ10)-SUM(IE10,II10)&gt;0,SUM(IC10:ID10,IF10:IH10,IJ10)-SUM(IE10,II10),"")</f>
        <v/>
      </c>
      <c r="JC10" s="12" t="str">
        <f>IF(SUM(IK10:IL10,IN10:IP10,IR10)-SUM(IM10,IQ10)&gt;0,SUM(IK10:IL10,IN10:IP10,IR10)-SUM(IM10,IQ10),"")</f>
        <v/>
      </c>
      <c r="JD10" s="12" t="str">
        <f>IF(SUM(IC10:ID10,IF10:IH10,IJ10:IL10,IN10:IP10,IR10)-SUM(IE10,II10,IM10,IQ10)&gt;0,SUM(IC10:ID10,IF10:IH10,IJ10:IL10,IN10:IP10,IR10)-SUM(IE10,II10,IM10,IQ10),"")</f>
        <v/>
      </c>
      <c r="JE10" s="12" t="str">
        <f>IF(SUM(IS10:IT10,IV10:IX10,IZ10)-SUM(IU10,IY10)&gt;0,SUM(IS10:IT10,IV10:IX10,IZ10)-SUM(IU10,IY10),"")</f>
        <v/>
      </c>
      <c r="JF10" s="12" t="str">
        <f>IF(SUM(JD10,JE10)&gt;0,SUM(JD10,JE10),"")</f>
        <v/>
      </c>
      <c r="JG10" s="50"/>
      <c r="JH10" s="50"/>
      <c r="JI10" s="50"/>
      <c r="JJ10" s="50"/>
      <c r="JK10" s="50"/>
      <c r="JL10" s="50"/>
      <c r="JM10" s="50"/>
      <c r="JN10" s="50"/>
      <c r="JO10" s="50"/>
      <c r="JP10" s="50"/>
      <c r="JQ10" s="50"/>
      <c r="JR10" s="50"/>
      <c r="JS10" s="50"/>
      <c r="JT10" s="50"/>
      <c r="JU10" s="50"/>
      <c r="JV10" s="50"/>
      <c r="JW10" s="50"/>
      <c r="JX10" s="50"/>
      <c r="JY10" s="50"/>
      <c r="JZ10" s="50"/>
      <c r="KA10" s="50"/>
      <c r="KB10" s="50"/>
      <c r="KC10" s="50"/>
      <c r="KD10" s="50"/>
      <c r="KE10" s="15" t="str">
        <f>IF(SUM(JH10,JL10,JP10,JT10)&gt;0,SUM(JH10,JL10,JP10,JT10),"")</f>
        <v/>
      </c>
      <c r="KF10" s="15" t="str">
        <f>IF(SUM(JG10:JH10,JJ10:JL10,JN10)-SUM(JI10,JM10)&gt;0,SUM(JG10:JH10,JJ10:JL10,JN10)-SUM(JI10,JM10),"")</f>
        <v/>
      </c>
      <c r="KG10" s="15" t="str">
        <f>IF(SUM(JO10:JP10,JR10:JT10,JV10)-SUM(JQ10,JU10)&gt;0,SUM(JO10:JP10,JR10:JT10,JV10)-SUM(JQ10,JU10),"")</f>
        <v/>
      </c>
      <c r="KH10" s="15" t="str">
        <f>IF(SUM(JG10:JH10,JJ10:JL10,JN10:JP10,JR10:JT10,JV10)-SUM(JI10,JM10,JQ10,JU10)&gt;0,SUM(JG10:JH10,JJ10:JL10,JN10:JP10,JR10:JT10,JV10)-SUM(JI10,JM10,JQ10,JU10),"")</f>
        <v/>
      </c>
      <c r="KI10" s="15" t="str">
        <f>IF(SUM(JW10:JX10,JZ10:KB10,KD10)-SUM(JY10,KC10)&gt;0,SUM(JW10:JX10,JZ10:KB10,KD10)-SUM(JY10,KC10),"")</f>
        <v/>
      </c>
      <c r="KJ10" s="15" t="str">
        <f>IF(SUM(KH10,KI10)&gt;0,SUM(KH10,KI10),"")</f>
        <v/>
      </c>
      <c r="KK10" s="51"/>
      <c r="KL10" s="51"/>
      <c r="KM10" s="51"/>
      <c r="KN10" s="51"/>
      <c r="KO10" s="51"/>
      <c r="KP10" s="51"/>
      <c r="KQ10" s="51"/>
      <c r="KR10" s="51"/>
      <c r="KS10" s="51"/>
      <c r="KT10" s="51"/>
      <c r="KU10" s="51"/>
      <c r="KV10" s="51"/>
      <c r="KW10" s="51"/>
      <c r="KX10" s="51"/>
      <c r="KY10" s="51"/>
      <c r="KZ10" s="51"/>
      <c r="LA10" s="51"/>
      <c r="LB10" s="51"/>
      <c r="LC10" s="51"/>
      <c r="LD10" s="51"/>
      <c r="LE10" s="51"/>
      <c r="LF10" s="51"/>
      <c r="LG10" s="51"/>
      <c r="LH10" s="51"/>
      <c r="LI10" s="12" t="str">
        <f>IF(SUM(KL10,KP10,KT10,KX10)&gt;0,SUM(KL10,KP10,KT10,KX10),"")</f>
        <v/>
      </c>
      <c r="LJ10" s="12" t="str">
        <f>IF(SUM(KK10:KL10,KN10:KP10,KR10)-SUM(KM10,KQ10)&gt;0,SUM(KK10:KL10,KN10:KP10,KR10)-SUM(KM10,KQ10),"")</f>
        <v/>
      </c>
      <c r="LK10" s="12" t="str">
        <f>IF(SUM(KS10:KT10,KV10:KX10,KZ10)-SUM(KU10,KY10)&gt;0,SUM(KS10:KT10,KV10:KX10,KZ10)-SUM(KU10,KY10),"")</f>
        <v/>
      </c>
      <c r="LL10" s="12" t="str">
        <f>IF(SUM(KK10:KL10,KN10:KP10,KR10:KT10,KV10:KX10,KZ10)-SUM(KM10,KQ10,KU10,KY10)&gt;0,SUM(KK10:KL10,KN10:KP10,KR10:KT10,KV10:KX10,KZ10)-SUM(KM10,KQ10,KU10,KY10),"")</f>
        <v/>
      </c>
      <c r="LM10" s="12" t="str">
        <f>IF(SUM(LA10:LB10,LD10:LF10,LH10)-SUM(LC10,LG10)&gt;0,SUM(LA10:LB10,LD10:LF10,LH10)-SUM(LC10,LG10),"")</f>
        <v/>
      </c>
      <c r="LN10" s="12" t="str">
        <f>IF(SUM(LL10,LM10)&gt;0,SUM(LL10,LM10),"")</f>
        <v/>
      </c>
      <c r="LO10" s="50"/>
      <c r="LP10" s="50"/>
      <c r="LQ10" s="50"/>
      <c r="LR10" s="50"/>
      <c r="LS10" s="50"/>
      <c r="LT10" s="50"/>
      <c r="LU10" s="50"/>
      <c r="LV10" s="50"/>
      <c r="LW10" s="50"/>
      <c r="LX10" s="50"/>
      <c r="LY10" s="50"/>
      <c r="LZ10" s="50"/>
      <c r="MA10" s="50"/>
      <c r="MB10" s="50"/>
      <c r="MC10" s="50"/>
      <c r="MD10" s="50"/>
      <c r="ME10" s="50"/>
      <c r="MF10" s="50"/>
      <c r="MG10" s="50"/>
      <c r="MH10" s="50"/>
      <c r="MI10" s="50"/>
      <c r="MJ10" s="50"/>
      <c r="MK10" s="50"/>
      <c r="ML10" s="50"/>
      <c r="MM10" s="15" t="str">
        <f>IF(SUM(LP10,LT10,LX10,MB10)&gt;0,SUM(LP10,LT10,LX10,MB10),"")</f>
        <v/>
      </c>
      <c r="MN10" s="15" t="str">
        <f>IF(SUM(LO10:LP10,LR10:LT10,LV10)-SUM(LQ10,LU10)&gt;0,SUM(LO10:LP10,LR10:LT10,LV10)-SUM(LQ10,LU10),"")</f>
        <v/>
      </c>
      <c r="MO10" s="15" t="str">
        <f>IF(SUM(LW10:LX10,LZ10:MB10,MD10)-SUM(LY10,MC10)&gt;0,SUM(LW10:LX10,LZ10:MB10,MD10)-SUM(LY10,MC10),"")</f>
        <v/>
      </c>
      <c r="MP10" s="15" t="str">
        <f>IF(SUM(LO10:LP10,LR10:LT10,LV10:LX10,LZ10:MB10,MD10)-SUM(LQ10,LU10,LY10,MC10)&gt;0,SUM(LO10:LP10,LR10:LT10,LV10:LX10,LZ10:MB10,MD10)-SUM(LQ10,LU10,LY10,MC10),"")</f>
        <v/>
      </c>
      <c r="MQ10" s="15" t="str">
        <f>IF(SUM(ME10:MF10,MH10:MJ10,ML10)-SUM(MG10,MK10)&gt;0,SUM(ME10:MF10,MH10:MJ10,ML10)-SUM(MG10,MK10),"")</f>
        <v/>
      </c>
      <c r="MR10" s="15" t="str">
        <f>IF(SUM(MP10,MQ10)&gt;0,SUM(MP10,MQ10),"")</f>
        <v/>
      </c>
      <c r="MS10" s="51"/>
      <c r="MT10" s="51"/>
      <c r="MU10" s="51"/>
      <c r="MV10" s="51"/>
      <c r="MW10" s="51"/>
      <c r="MX10" s="51"/>
      <c r="MY10" s="51"/>
      <c r="MZ10" s="51"/>
      <c r="NA10" s="51"/>
      <c r="NB10" s="51"/>
      <c r="NC10" s="51"/>
      <c r="ND10" s="51"/>
      <c r="NE10" s="51"/>
      <c r="NF10" s="51"/>
      <c r="NG10" s="51"/>
      <c r="NH10" s="51"/>
      <c r="NI10" s="51"/>
      <c r="NJ10" s="51"/>
      <c r="NK10" s="51"/>
      <c r="NL10" s="51"/>
      <c r="NM10" s="51"/>
      <c r="NN10" s="51"/>
      <c r="NO10" s="51"/>
      <c r="NP10" s="51"/>
      <c r="NQ10" s="12" t="str">
        <f>IF(SUM(MT10,MX10,NB10,NF10)&gt;0,SUM(MT10,MX10,NB10,NF10),"")</f>
        <v/>
      </c>
      <c r="NR10" s="12" t="str">
        <f>IF(SUM(MS10:MT10,MV10:MX10,MZ10)-SUM(MU10,MY10)&gt;0,SUM(MS10:MT10,MV10:MX10,MZ10)-SUM(MU10,MY10),"")</f>
        <v/>
      </c>
      <c r="NS10" s="12" t="str">
        <f>IF(SUM(NA10:NB10,ND10:NF10,NH10)-SUM(NC10,NG10)&gt;0,SUM(NA10:NB10,ND10:NF10,NH10)-SUM(NC10,NG10),"")</f>
        <v/>
      </c>
      <c r="NT10" s="12" t="str">
        <f>IF(SUM(MS10:MT10,MV10:MX10,MZ10:NB10,ND10:NF10,NH10)-SUM(MU10,MY10,NC10,NG10)&gt;0,SUM(MS10:MT10,MV10:MX10,MZ10:NB10,ND10:NF10,NH10)-SUM(MU10,MY10,NC10,NG10),"")</f>
        <v/>
      </c>
      <c r="NU10" s="12" t="str">
        <f>IF(SUM(NI10:NJ10,NL10:NN10,NP10)-SUM(NK10,NO10)&gt;0,SUM(NI10:NJ10,NL10:NN10,NP10)-SUM(NK10,NO10),"")</f>
        <v/>
      </c>
      <c r="NV10" s="12" t="str">
        <f>IF(SUM(NT10,NU10)&gt;0,SUM(NT10,NU10),"")</f>
        <v/>
      </c>
      <c r="NW10" s="50"/>
      <c r="NX10" s="50"/>
      <c r="NY10" s="50"/>
      <c r="NZ10" s="50"/>
      <c r="OA10" s="50"/>
      <c r="OB10" s="50"/>
      <c r="OC10" s="50"/>
      <c r="OD10" s="50"/>
      <c r="OE10" s="50"/>
      <c r="OF10" s="50"/>
      <c r="OG10" s="50"/>
      <c r="OH10" s="50"/>
      <c r="OI10" s="50"/>
      <c r="OJ10" s="50"/>
      <c r="OK10" s="50"/>
      <c r="OL10" s="50"/>
      <c r="OM10" s="50"/>
      <c r="ON10" s="50"/>
      <c r="OO10" s="50"/>
      <c r="OP10" s="50"/>
      <c r="OQ10" s="50"/>
      <c r="OR10" s="50"/>
      <c r="OS10" s="50"/>
      <c r="OT10" s="50"/>
      <c r="OU10" s="15" t="str">
        <f>IF(SUM(NX10,OB10,OF10,OJ10)&gt;0,SUM(NX10,OB10,OF10,OJ10),"")</f>
        <v/>
      </c>
      <c r="OV10" s="15" t="str">
        <f>IF(SUM(NW10:NX10,NZ10:OB10,OD10)-SUM(NY10,OC10)&gt;0,SUM(NW10:NX10,NZ10:OB10,OD10)-SUM(NY10,OC10),"")</f>
        <v/>
      </c>
      <c r="OW10" s="15" t="str">
        <f>IF(SUM(OE10:OF10,OH10:OJ10,OL10)-SUM(OG10,OK10)&gt;0,SUM(OE10:OF10,OH10:OJ10,OL10)-SUM(OG10,OK10),"")</f>
        <v/>
      </c>
      <c r="OX10" s="15" t="str">
        <f>IF(SUM(NW10:NX10,NZ10:OB10,OD10:OF10,OH10:OJ10,OL10)-SUM(NY10,OC10,OG10,OK10)&gt;0,SUM(NW10:NX10,NZ10:OB10,OD10:OF10,OH10:OJ10,OL10)-SUM(NY10,OC10,OG10,OK10),"")</f>
        <v/>
      </c>
      <c r="OY10" s="15" t="str">
        <f>IF(SUM(OM10:ON10,OP10:OR10,OT10)-SUM(OO10,OS10)&gt;0,SUM(OM10:ON10,OP10:OR10,OT10)-SUM(OO10,OS10),"")</f>
        <v/>
      </c>
      <c r="OZ10" s="15" t="str">
        <f>IF(SUM(OX10,OY10)&gt;0,SUM(OX10,OY10),"")</f>
        <v/>
      </c>
      <c r="PA10" s="51"/>
      <c r="PB10" s="51"/>
      <c r="PC10" s="51"/>
      <c r="PD10" s="51"/>
      <c r="PE10" s="51"/>
      <c r="PF10" s="51"/>
      <c r="PG10" s="51"/>
      <c r="PH10" s="51"/>
      <c r="PI10" s="51"/>
      <c r="PJ10" s="51"/>
      <c r="PK10" s="51"/>
      <c r="PL10" s="51"/>
      <c r="PM10" s="51"/>
      <c r="PN10" s="51"/>
      <c r="PO10" s="51"/>
      <c r="PP10" s="51"/>
      <c r="PQ10" s="51"/>
      <c r="PR10" s="51"/>
      <c r="PS10" s="51"/>
      <c r="PT10" s="51"/>
      <c r="PU10" s="51"/>
      <c r="PV10" s="51"/>
      <c r="PW10" s="51"/>
      <c r="PX10" s="51"/>
      <c r="PY10" s="12" t="str">
        <f>IF(SUM(PB10,PF10,PJ10,PN10)&gt;0,SUM(PB10,PF10,PJ10,PN10),"")</f>
        <v/>
      </c>
      <c r="PZ10" s="12" t="str">
        <f>IF(SUM(PA10:PB10,PD10:PF10,PH10)-SUM(PC10,PG10)&gt;0,SUM(PA10:PB10,PD10:PF10,PH10)-SUM(PC10,PG10),"")</f>
        <v/>
      </c>
      <c r="QA10" s="12" t="str">
        <f>IF(SUM(PI10:PJ10,PL10:PN10,PP10)-SUM(PK10,PO10)&gt;0,SUM(PI10:PJ10,PL10:PN10,PP10)-SUM(PK10,PO10),"")</f>
        <v/>
      </c>
      <c r="QB10" s="12" t="str">
        <f>IF(SUM(PA10:PB10,PD10:PF10,PH10:PJ10,PL10:PN10,PP10)-SUM(PC10,PG10,PK10,PO10)&gt;0,SUM(PA10:PB10,PD10:PF10,PH10:PJ10,PL10:PN10,PP10)-SUM(PC10,PG10,PK10,PO10),"")</f>
        <v/>
      </c>
      <c r="QC10" s="12" t="str">
        <f>IF(SUM(PQ10:PR10,PT10:PV10,PX10)-SUM(PS10,PW10)&gt;0,SUM(PQ10:PR10,PT10:PV10,PX10)-SUM(PS10,PW10),"")</f>
        <v/>
      </c>
      <c r="QD10" s="12" t="str">
        <f>IF(SUM(QB10,QC10)&gt;0,SUM(QB10,QC10),"")</f>
        <v/>
      </c>
      <c r="QE10" s="50"/>
      <c r="QF10" s="50"/>
      <c r="QG10" s="50"/>
      <c r="QH10" s="50"/>
      <c r="QI10" s="50"/>
      <c r="QJ10" s="50"/>
      <c r="QK10" s="50"/>
      <c r="QL10" s="50"/>
      <c r="QM10" s="50"/>
      <c r="QN10" s="50"/>
      <c r="QO10" s="50"/>
      <c r="QP10" s="50"/>
      <c r="QQ10" s="50"/>
      <c r="QR10" s="50"/>
      <c r="QS10" s="50"/>
      <c r="QT10" s="50"/>
      <c r="QU10" s="50"/>
      <c r="QV10" s="50"/>
      <c r="QW10" s="50"/>
      <c r="QX10" s="50"/>
      <c r="QY10" s="50"/>
      <c r="QZ10" s="50"/>
      <c r="RA10" s="50"/>
      <c r="RB10" s="50"/>
      <c r="RC10" s="15" t="str">
        <f>IF(SUM(QF10,QJ10,QN10,QR10)&gt;0,SUM(QF10,QJ10,QN10,QR10),"")</f>
        <v/>
      </c>
      <c r="RD10" s="15" t="str">
        <f>IF(SUM(QE10:QF10,QH10:QJ10,QL10)-SUM(QG10,QK10)&gt;0,SUM(QE10:QF10,QH10:QJ10,QL10)-SUM(QG10,QK10),"")</f>
        <v/>
      </c>
      <c r="RE10" s="15" t="str">
        <f>IF(SUM(QM10:QN10,QP10:QR10,QT10)-SUM(QO10,QS10)&gt;0,SUM(QM10:QN10,QP10:QR10,QT10)-SUM(QO10,QS10),"")</f>
        <v/>
      </c>
      <c r="RF10" s="15" t="str">
        <f>IF(SUM(QE10:QF10,QH10:QJ10,QL10:QN10,QP10:QR10,QT10)-SUM(QG10,QK10,QO10,QS10)&gt;0,SUM(QE10:QF10,QH10:QJ10,QL10:QN10,QP10:QR10,QT10)-SUM(QG10,QK10,QO10,QS10),"")</f>
        <v/>
      </c>
      <c r="RG10" s="15" t="str">
        <f>IF(SUM(QU10:QV10,QX10:QZ10,RB10)-SUM(QW10,RA10)&gt;0,SUM(QU10:QV10,QX10:QZ10,RB10)-SUM(QW10,RA10),"")</f>
        <v/>
      </c>
      <c r="RH10" s="15" t="str">
        <f>IF(SUM(RF10,RG10)&gt;0,SUM(RF10,RG10),"")</f>
        <v/>
      </c>
    </row>
    <row r="11" spans="1:476" x14ac:dyDescent="0.2">
      <c r="A11" s="6" t="str">
        <f>IF(AND(F11="P",H11="P"),SUMPRODUCT((F$4:F$16="P")*(H$4:H$16="P")*(E$4:E$16&gt;E11))+1,IF(H11="P",SUMPRODUCT((F$4:F$16="")*(H$4:H$16="P")*(E$4:E$16&gt;E11))+1+SUMPRODUCT((F$4:F$16="P")*(H$4:H$16="P")),""))</f>
        <v/>
      </c>
      <c r="B11" s="9" t="s">
        <v>90</v>
      </c>
      <c r="C11" s="5" t="s">
        <v>5</v>
      </c>
      <c r="D11" s="6">
        <v>2001</v>
      </c>
      <c r="E11" s="16">
        <f>SUM(J11:R11)</f>
        <v>313.89999999999998</v>
      </c>
      <c r="F11" s="4" t="str">
        <f>IF(OR(AND($AT11&gt;=$AU$19,NOT($AT11=""),$AS11=""),AND($BY11&gt;=$BZ$19,NOT($BY11=""),$BX11=""),AND($DD11&gt;=$DE$19,NOT($DD11=""),$DC11="")),"P","")</f>
        <v/>
      </c>
      <c r="G11" s="4" t="str">
        <f>IF(OR(AND($AT11&gt;=$AU$20,NOT($AT11=""),$AS11=""),AND($BY11&gt;=$BZ$20,NOT($BY11=""),$BX11=""),AND($DD11&gt;=$DE$20,NOT($DD11=""),$DC11="")),"P","")</f>
        <v/>
      </c>
      <c r="H11" s="4" t="str">
        <f>IF(OR(AND($AW11&gt;=$AU$21,NOT($AW11=""),$AS11=""),AND($CB11&gt;=$BZ$21,NOT($CB11=""),$BX11=""),AND($DG11&gt;=$DE$21,NOT($DG11=""),$DC11="")),"P","")</f>
        <v/>
      </c>
      <c r="I11" t="str">
        <f>IF(AND(G11="P",OR(AND($AW11&gt;=$AU$24,NOT($AW11=""),$AS11=""),AND($CB11&gt;=$BZ$24,NOT($CB11=""),$BX11=""),AND($DG11&gt;=$DE$24,NOT($DG11=""),$DC11=""))),"Merit",IF(AND(G11="P",OR(AND($AW11&gt;=$AU$23,NOT($AW11=""),$AS11=""),AND($CB11&gt;=$BZ$23,NOT($CB11=""),$BX11=""),AND($DG11&gt;=$DE$23,NOT($DG11=""),$DC11=""))),"Funding",IF(AND(G11="P",OR(AND($AW11&gt;=$AU$22,NOT($AW11=""),$AS11=""),AND($CB11&gt;=$BZ$22,NOT($CB11=""),$BX11=""),AND($DG11&gt;=$DE$22,NOT($DG11=""),$DC11=""))),"Worlds Team",IF(AND(F11="P",OR(AND($AW11&gt;=$AU$21,NOT($AW11=""),$AS11=""),AND($CB11&gt;=$BZ$21,NOT($CB11=""),$BX11=""),AND($DG11&gt;=$DE$21,NOT($DG11=""),$DC11=""))),"National Team",""))))</f>
        <v/>
      </c>
      <c r="J11" s="15">
        <f>MAX(AW11,CB11,DG11)</f>
        <v>122.19999999999999</v>
      </c>
      <c r="K11" s="15" t="str">
        <f>IF(J11=DG11,$CE$1,IF(J11=CB11,$AZ$1,IF(J11=AW11,$U$1,"")))</f>
        <v>2018 Canada Cup</v>
      </c>
      <c r="L11" s="15">
        <f>IF($J11=$AW11,MAX(BZ11,DE11),IF($J11=$CB11,MAX(AU11,DE11),MAX(AU11,BZ11)))</f>
        <v>69</v>
      </c>
      <c r="M11" s="15" t="str">
        <f>IF(L11=DE11,$CE$1,IF(L11=BZ11,$AZ$1,IF(L11=AU11,$U$1,"")))</f>
        <v>2018 Nationals</v>
      </c>
      <c r="N11" s="15">
        <f>IF($J11=$AW11,MAX(CA11,DF11),IF($J11=$CB11,MAX(AV11,DF11),MAX(AV11,CA11)))</f>
        <v>53.9</v>
      </c>
      <c r="O11" s="15" t="str">
        <f>IF(N11=DF11,$CE$1,IF(N11=CA11,$AZ$1,IF(N11=AV11,$U$1,"")))</f>
        <v>2017 Nationals</v>
      </c>
      <c r="P11" s="15">
        <f>MAX(AX11,CC11,DH11)</f>
        <v>68.8</v>
      </c>
      <c r="Q11" s="15" t="str">
        <f>IF(P11=DH11,$CE$1,IF(P11=CC11,$AZ$1,IF(P11=AX11,$U$1,"")))</f>
        <v>2018 Nationals</v>
      </c>
      <c r="R11" s="15" t="str">
        <f>IF(MAX(DJ11:DL11)&gt;0,MAX(DJ11:DL11),"")</f>
        <v/>
      </c>
      <c r="S11" s="29" t="str">
        <f>IF(R11="","",IF(R11=DJ11,"(Pass 1-2)",IF(R11=DK11,"(Pass 3-4)",IF(R11=DL11,"(Final)"))))</f>
        <v/>
      </c>
      <c r="T11" s="15" t="str">
        <f>IF(R11="","",IF(R11=DJ11,IF(R11+L11=RD11,$QE$1,IF(R11+L11=PZ11,$PA$1,IF(R11+L11=OV11,$NW$1,IF(R11+L11=NR11,$MS$1,IF(R11+L11=MN11,$LO$1,IF(R11+L11=LJ11,$KK$1,IF(R11+L11=KF11,$JG$1,IF(R11+L11=JB11,$IC$1,IF(R11+L11=HX11,$GY$1,IF(R11+L11=GT11,$FU$1,IF(R11+L11=FP11,$EQ$1,IF(R11+L11=EL11,$DM$1)))))))))))),IF(R11=DK11,IF(R11+N11=RE11,$QE$1,IF(R11+N11=QA11,$PA$1,IF(R11+N11=OW11,$NW$1,IF(R11+N11=NS11,$MS$1,IF(R11+N11=MO11,$LO$1,IF(R11+N11=LK11,$KK$1,IF(R11+N11=KG11,$JG$1,IF(R11+N11=JC11,$IC$1,IF(R11+N11=HY11,$GY$1,IF(R11+N11=GU11,$FU$1,IF(R11+N11=FQ11,$EQ$1,IF(R11+N11=EM11,$DM$1)))))))))))),IF(R11=DL11,IF(R11+P11=RG11,$QE$1,IF(R11+P11=QC11,$PA$1,IF(R11+P11=OY11,$NW$1,IF(R11+P11=NU11,$MS$1,IF(R11+P11=MQ11,$LO$1,IF(R11+P11=LM11,$KK$1,IF(R11+P11=KI11,$JG$1,IF(R11+P11=JE11,$IC$1,IF(R11+P11=IA11,$GY$1,IF(R11+P11=GW11,$FU$1,IF(R11+P11=FS11,$EQ$1,IF(R11+P11=EO11,$DM$1))))))))))))))))</f>
        <v/>
      </c>
      <c r="U11" s="76">
        <v>20.3</v>
      </c>
      <c r="V11" s="76">
        <v>2.4</v>
      </c>
      <c r="W11" s="76">
        <v>0</v>
      </c>
      <c r="X11" s="76">
        <v>0</v>
      </c>
      <c r="Y11" s="76">
        <v>27</v>
      </c>
      <c r="Z11" s="76">
        <v>5.6</v>
      </c>
      <c r="AA11" s="76">
        <v>0</v>
      </c>
      <c r="AB11" s="76">
        <v>0</v>
      </c>
      <c r="AC11" s="76">
        <v>27.4</v>
      </c>
      <c r="AD11" s="76">
        <v>4.4000000000000004</v>
      </c>
      <c r="AE11" s="76">
        <v>0.9</v>
      </c>
      <c r="AF11" s="76">
        <v>0</v>
      </c>
      <c r="AG11" s="76">
        <v>19.8</v>
      </c>
      <c r="AH11" s="76">
        <v>3.2</v>
      </c>
      <c r="AI11" s="76">
        <v>0</v>
      </c>
      <c r="AJ11" s="76">
        <v>0</v>
      </c>
      <c r="AK11" s="76"/>
      <c r="AL11" s="76"/>
      <c r="AM11" s="76"/>
      <c r="AN11" s="76"/>
      <c r="AO11" s="76"/>
      <c r="AP11" s="76"/>
      <c r="AQ11" s="76"/>
      <c r="AR11" s="76"/>
      <c r="AS11" s="108"/>
      <c r="AT11" s="12">
        <f>IF(SUM(V11,Z11,AD11,AH11)&gt;0,SUM(V11,Z11,AD11,AH11),"")</f>
        <v>15.600000000000001</v>
      </c>
      <c r="AU11" s="12">
        <f>IF(SUM(U11:V11,X11:Z11,AB11)-SUM(W11,AA11)&gt;0,SUM(U11:V11,X11:Z11,AB11)-SUM(W11,AA11),"")</f>
        <v>55.300000000000004</v>
      </c>
      <c r="AV11" s="12">
        <f>IF(SUM(AC11:AD11,AF11:AH11,AJ11)-SUM(AE11,AI11)&gt;0,SUM(AC11:AD11,AF11:AH11,AJ11)-SUM(AE11,AI11),"")</f>
        <v>53.9</v>
      </c>
      <c r="AW11" s="12">
        <f>IF(SUM(U11:V11,X11:Z11,AB11:AD11,AF11:AH11,AJ11)-SUM(W11,AA11,AE11,AI11)&gt;0,SUM(U11:V11,X11:Z11,AB11:AD11,AF11:AH11,AJ11)-SUM(W11,AA11,AE11,AI11),"")</f>
        <v>109.2</v>
      </c>
      <c r="AX11" s="12" t="str">
        <f>IF(SUM(AK11:AL11,AN11:AP11,AR11)-SUM(AM11,AQ11)&gt;0,SUM(AK11:AL11,AN11:AP11,AR11)-SUM(AM11,AQ11),"")</f>
        <v/>
      </c>
      <c r="AY11" s="12">
        <f>IF(SUM(AW11,AX11)&gt;0,SUM(AW11,AX11),"")</f>
        <v>109.2</v>
      </c>
      <c r="AZ11" s="80">
        <v>20.5</v>
      </c>
      <c r="BA11" s="80">
        <v>2.4</v>
      </c>
      <c r="BB11" s="80">
        <v>0</v>
      </c>
      <c r="BC11" s="80">
        <v>0</v>
      </c>
      <c r="BD11" s="80">
        <v>27.2</v>
      </c>
      <c r="BE11" s="80">
        <v>6.4</v>
      </c>
      <c r="BF11" s="80">
        <v>0.9</v>
      </c>
      <c r="BG11" s="80">
        <v>0</v>
      </c>
      <c r="BH11" s="80">
        <v>27.3</v>
      </c>
      <c r="BI11" s="80">
        <v>6</v>
      </c>
      <c r="BJ11" s="80">
        <v>0</v>
      </c>
      <c r="BK11" s="80">
        <v>0</v>
      </c>
      <c r="BL11" s="80">
        <v>28</v>
      </c>
      <c r="BM11" s="80">
        <v>5.6</v>
      </c>
      <c r="BN11" s="80">
        <v>0.3</v>
      </c>
      <c r="BO11" s="80">
        <v>0</v>
      </c>
      <c r="BP11" s="80">
        <v>27.5</v>
      </c>
      <c r="BQ11" s="80">
        <v>7.3</v>
      </c>
      <c r="BR11" s="80">
        <v>0.3</v>
      </c>
      <c r="BS11" s="80">
        <v>0</v>
      </c>
      <c r="BT11" s="80">
        <v>27.5</v>
      </c>
      <c r="BU11" s="80">
        <v>6.8</v>
      </c>
      <c r="BV11" s="80">
        <v>1.2</v>
      </c>
      <c r="BW11" s="80">
        <v>0</v>
      </c>
      <c r="BX11" s="105"/>
      <c r="BY11" s="110">
        <f>IF(SUM(BA11,BE11,BI11,BM11)&gt;0,SUM(BA11,BE11,BI11,BM11),"")</f>
        <v>20.399999999999999</v>
      </c>
      <c r="BZ11" s="110">
        <f>IF(SUM(AZ11:BA11,BC11:BE11,BG11)-SUM(BB11,BF11)&gt;0,SUM(AZ11:BA11,BC11:BE11,BG11)-SUM(BB11,BF11),"")</f>
        <v>55.599999999999994</v>
      </c>
      <c r="CA11" s="110">
        <f>IF(SUM(BH11:BI11,BK11:BM11,BO11)-SUM(BJ11,BN11)&gt;0,SUM(BH11:BI11,BK11:BM11,BO11)-SUM(BJ11,BN11),"")</f>
        <v>66.599999999999994</v>
      </c>
      <c r="CB11" s="110">
        <f>IF(SUM(AZ11:BA11,BC11:BE11,BG11:BI11,BK11:BM11,BO11)-SUM(BB11,BF11,BJ11,BN11)&gt;0,SUM(AZ11:BA11,BC11:BE11,BG11:BI11,BK11:BM11,BO11)-SUM(BB11,BF11,BJ11,BN11),"")</f>
        <v>122.19999999999999</v>
      </c>
      <c r="CC11" s="110">
        <f>IF(SUM(BP11:BQ11,BS11:BU11,BW11)-SUM(BR11,BV11)&gt;0,SUM(BP11:BQ11,BS11:BU11,BW11)-SUM(BR11,BV11),"")</f>
        <v>67.599999999999994</v>
      </c>
      <c r="CD11" s="110">
        <f>IF(SUM(CB11,CC11)&gt;0,SUM(CB11,CC11),"")</f>
        <v>189.79999999999998</v>
      </c>
      <c r="CE11" s="45">
        <v>28.2</v>
      </c>
      <c r="CF11" s="45">
        <v>6.8</v>
      </c>
      <c r="CG11" s="45">
        <v>0.9</v>
      </c>
      <c r="CH11" s="45">
        <v>0</v>
      </c>
      <c r="CI11" s="45">
        <v>28.1</v>
      </c>
      <c r="CJ11" s="45">
        <v>6.8</v>
      </c>
      <c r="CK11" s="45">
        <v>0</v>
      </c>
      <c r="CL11" s="45">
        <v>0</v>
      </c>
      <c r="CM11" s="45">
        <v>28.4</v>
      </c>
      <c r="CN11" s="45">
        <v>7.2</v>
      </c>
      <c r="CO11" s="45">
        <v>0</v>
      </c>
      <c r="CP11" s="45">
        <v>0</v>
      </c>
      <c r="CQ11" s="45">
        <v>0</v>
      </c>
      <c r="CR11" s="45">
        <v>0</v>
      </c>
      <c r="CS11" s="45">
        <v>0</v>
      </c>
      <c r="CT11" s="45">
        <v>0</v>
      </c>
      <c r="CU11" s="45">
        <v>28.2</v>
      </c>
      <c r="CV11" s="45">
        <v>6.4</v>
      </c>
      <c r="CW11" s="45">
        <v>0.9</v>
      </c>
      <c r="CX11" s="45">
        <v>0</v>
      </c>
      <c r="CY11" s="45">
        <v>28.6</v>
      </c>
      <c r="CZ11" s="45">
        <v>6.8</v>
      </c>
      <c r="DA11" s="45">
        <v>0.3</v>
      </c>
      <c r="DB11" s="45">
        <v>0</v>
      </c>
      <c r="DC11" s="108"/>
      <c r="DD11" s="12">
        <f>IF(SUM(CF11,CJ11,CN11,CR11)&gt;0,SUM(CF11,CJ11,CN11,CR11),"")</f>
        <v>20.8</v>
      </c>
      <c r="DE11" s="12">
        <f>IF(SUM(CE11:CF11,CH11:CJ11,CL11)-SUM(CG11,CK11)&gt;0,SUM(CE11:CF11,CH11:CJ11,CL11)-SUM(CG11,CK11),"")</f>
        <v>69</v>
      </c>
      <c r="DF11" s="12">
        <f>IF(SUM(CM11:CN11,CP11:CR11,CT11)-SUM(CO11,CS11)&gt;0,SUM(CM11:CN11,CP11:CR11,CT11)-SUM(CO11,CS11),"")</f>
        <v>35.6</v>
      </c>
      <c r="DG11" s="12">
        <f>IF(SUM(CE11:CF11,CH11:CJ11,CL11:CN11,CP11:CR11,CT11)-SUM(CG11,CK11,CO11,CS11)&gt;0,SUM(CE11:CF11,CH11:CJ11,CL11:CN11,CP11:CR11,CT11)-SUM(CG11,CK11,CO11,CS11),"")</f>
        <v>104.60000000000001</v>
      </c>
      <c r="DH11" s="12">
        <f>IF(SUM(CU11:CV11,CX11:CZ11,DB11)-SUM(CW11,DA11)&gt;0,SUM(CU11:CV11,CX11:CZ11,DB11)-SUM(CW11,DA11),"")</f>
        <v>68.8</v>
      </c>
      <c r="DI11" s="12">
        <f>IF(SUM(DG11,DH11)&gt;0,SUM(DG11,DH11),"")</f>
        <v>173.4</v>
      </c>
      <c r="DJ11" s="28" t="str">
        <f>IF(MAX(EL11,FP11,GT11,HX11,JB11,KF11,LJ11,MN11,NR11,OV11,PZ11,RD11)-L11&gt;0.001,MAX(EL11,FP11,GT11,HX11,JB11,KF11,LJ11,MN11,NR11,OV11,PZ11,RD11)-L11,"")</f>
        <v/>
      </c>
      <c r="DK11" s="28" t="str">
        <f>IF(MAX(EM11,FQ11,GU11,HY11,JC11,KG11,LK11,MO11,NS11,OW11,QA11,RE11)-N11&gt;0.001,MAX(EM11,FQ11,GU11,HY11,JC11,KG11,LK11,MO11,NS11,OW11,QA11,RE11)-N11,"")</f>
        <v/>
      </c>
      <c r="DL11" s="28" t="str">
        <f>IF(MAX(EO11,FS11,GW11,IA11,JE11,KI11,LM11,MQ11,OY11,QC11,RG11)-P11&gt;0.001,MAX(EO11,FS11,GW11,IA11,JE11,KI11,LM11,MQ11,OY11,QC11,RG11)-P11,"")</f>
        <v/>
      </c>
      <c r="DM11" s="45"/>
      <c r="DN11" s="45"/>
      <c r="DO11" s="45"/>
      <c r="DP11" s="45"/>
      <c r="DQ11" s="45"/>
      <c r="DR11" s="45"/>
      <c r="DS11" s="45"/>
      <c r="DT11" s="45"/>
      <c r="DU11" s="45"/>
      <c r="DV11" s="45"/>
      <c r="DW11" s="45"/>
      <c r="DX11" s="45"/>
      <c r="DY11" s="45"/>
      <c r="DZ11" s="45"/>
      <c r="EA11" s="45"/>
      <c r="EB11" s="45"/>
      <c r="EC11" s="45"/>
      <c r="ED11" s="45"/>
      <c r="EE11" s="45"/>
      <c r="EF11" s="45"/>
      <c r="EG11" s="45"/>
      <c r="EH11" s="45"/>
      <c r="EI11" s="45"/>
      <c r="EJ11" s="45"/>
      <c r="EK11" s="12" t="str">
        <f>IF(SUM(DN11,DR11,DV11,DZ11)&gt;0,SUM(DN11,DR11,DV11,DZ11),"")</f>
        <v/>
      </c>
      <c r="EL11" s="12" t="str">
        <f>IF(SUM(DM11:DN11,DP11:DR11,DT11)-SUM(DO11,DS11)&gt;0,SUM(DM11:DN11,DP11:DR11,DT11)-SUM(DO11,DS11),"")</f>
        <v/>
      </c>
      <c r="EM11" s="12" t="str">
        <f>IF(SUM(DU11:DV11,DX11:DZ11,EB11)-SUM(DW11,EA11)&gt;0,SUM(DU11:DV11,DX11:DZ11,EB11)-SUM(DW11,EA11),"")</f>
        <v/>
      </c>
      <c r="EN11" s="12" t="str">
        <f>IF(SUM(DM11:DN11,DP11:DR11,DT11:DV11,DX11:DZ11,EB11)-SUM(DO11,DS11,DW11,EA11)&gt;0,SUM(DM11:DN11,DP11:DR11,DT11:DV11,DX11:DZ11,EB11)-SUM(DO11,DS11,DW11,EA11),"")</f>
        <v/>
      </c>
      <c r="EO11" s="12" t="str">
        <f>IF(SUM(EC11:ED11,EF11:EH11,EJ11)-SUM(EE11,EI11)&gt;0,SUM(EC11:ED11,EF11:EH11,EJ11)-SUM(EE11,EI11),"")</f>
        <v/>
      </c>
      <c r="EP11" s="12" t="str">
        <f>IF(SUM(EN11,EO11)&gt;0,SUM(EN11,EO11),"")</f>
        <v/>
      </c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  <c r="FF11" s="50"/>
      <c r="FG11" s="50"/>
      <c r="FH11" s="50"/>
      <c r="FI11" s="50"/>
      <c r="FJ11" s="50"/>
      <c r="FK11" s="50"/>
      <c r="FL11" s="50"/>
      <c r="FM11" s="50"/>
      <c r="FN11" s="50"/>
      <c r="FO11" s="15" t="str">
        <f>IF(SUM(ER11,EV11,EZ11,FD11)&gt;0,SUM(ER11,EV11,EZ11,FD11),"")</f>
        <v/>
      </c>
      <c r="FP11" s="15" t="str">
        <f>IF(SUM(EQ11:ER11,ET11:EV11,EX11)-SUM(ES11,EW11)&gt;0,SUM(EQ11:ER11,ET11:EV11,EX11)-SUM(ES11,EW11),"")</f>
        <v/>
      </c>
      <c r="FQ11" s="15" t="str">
        <f>IF(SUM(EY11:EZ11,FB11:FD11,FF11)-SUM(FA11,FE11)&gt;0,SUM(EY11:EZ11,FB11:FD11,FF11)-SUM(FA11,FE11),"")</f>
        <v/>
      </c>
      <c r="FR11" s="15" t="str">
        <f>IF(SUM(EQ11:ER11,ET11:EV11,EX11:EZ11,FB11:FD11,FF11)-SUM(ES11,EW11,FA11,FE11)&gt;0,SUM(EQ11:ER11,ET11:EV11,EX11:EZ11,FB11:FD11,FF11)-SUM(ES11,EW11,FA11,FE11),"")</f>
        <v/>
      </c>
      <c r="FS11" s="15" t="str">
        <f>IF(SUM(FG11:FH11,FJ11:FL11,FN11)-SUM(FI11,FM11)&gt;0,SUM(FG11:FH11,FJ11:FL11,FN11)-SUM(FI11,FM11),"")</f>
        <v/>
      </c>
      <c r="FT11" s="15" t="str">
        <f>IF(SUM(FR11,FS11)&gt;0,SUM(FR11,FS11),"")</f>
        <v/>
      </c>
      <c r="FU11" s="51"/>
      <c r="FV11" s="51"/>
      <c r="FW11" s="51"/>
      <c r="FX11" s="51"/>
      <c r="FY11" s="51"/>
      <c r="FZ11" s="51"/>
      <c r="GA11" s="51"/>
      <c r="GB11" s="51"/>
      <c r="GC11" s="51"/>
      <c r="GD11" s="51"/>
      <c r="GE11" s="51"/>
      <c r="GF11" s="51"/>
      <c r="GG11" s="51"/>
      <c r="GH11" s="51"/>
      <c r="GI11" s="51"/>
      <c r="GJ11" s="51"/>
      <c r="GK11" s="51"/>
      <c r="GL11" s="51"/>
      <c r="GM11" s="51"/>
      <c r="GN11" s="51"/>
      <c r="GO11" s="51"/>
      <c r="GP11" s="51"/>
      <c r="GQ11" s="51"/>
      <c r="GR11" s="51"/>
      <c r="GS11" s="12" t="str">
        <f>IF(SUM(FV11,FZ11,GD11,GH11)&gt;0,SUM(FV11,FZ11,GD11,GH11),"")</f>
        <v/>
      </c>
      <c r="GT11" s="12" t="str">
        <f>IF(SUM(FU11:FV11,FX11:FZ11,GB11)-SUM(FW11,GA11)&gt;0,SUM(FU11:FV11,FX11:FZ11,GB11)-SUM(FW11,GA11),"")</f>
        <v/>
      </c>
      <c r="GU11" s="12" t="str">
        <f>IF(SUM(GC11:GD11,GF11:GH11,GJ11)-SUM(GE11,GI11)&gt;0,SUM(GC11:GD11,GF11:GH11,GJ11)-SUM(GE11,GI11),"")</f>
        <v/>
      </c>
      <c r="GV11" s="12" t="str">
        <f>IF(SUM(FU11:FV11,FX11:FZ11,GB11:GD11,GF11:GH11,GJ11)-SUM(FW11,GA11,GE11,GI11)&gt;0,SUM(FU11:FV11,FX11:FZ11,GB11:GD11,GF11:GH11,GJ11)-SUM(FW11,GA11,GE11,GI11),"")</f>
        <v/>
      </c>
      <c r="GW11" s="12" t="str">
        <f>IF(SUM(GK11:GL11,GN11:GP11,GR11)-SUM(GM11,GQ11)&gt;0,SUM(GK11:GL11,GN11:GP11,GR11)-SUM(GM11,GQ11),"")</f>
        <v/>
      </c>
      <c r="GX11" s="12" t="str">
        <f>IF(SUM(GV11,GW11)&gt;0,SUM(GV11,GW11),"")</f>
        <v/>
      </c>
      <c r="GY11" s="50"/>
      <c r="GZ11" s="50"/>
      <c r="HA11" s="50"/>
      <c r="HB11" s="50"/>
      <c r="HC11" s="50"/>
      <c r="HD11" s="50"/>
      <c r="HE11" s="50"/>
      <c r="HF11" s="50"/>
      <c r="HG11" s="50"/>
      <c r="HH11" s="50"/>
      <c r="HI11" s="50"/>
      <c r="HJ11" s="50"/>
      <c r="HK11" s="50"/>
      <c r="HL11" s="50"/>
      <c r="HM11" s="50"/>
      <c r="HN11" s="50"/>
      <c r="HO11" s="50"/>
      <c r="HP11" s="50"/>
      <c r="HQ11" s="50"/>
      <c r="HR11" s="50"/>
      <c r="HS11" s="50"/>
      <c r="HT11" s="50"/>
      <c r="HU11" s="50"/>
      <c r="HV11" s="50"/>
      <c r="HW11" s="15" t="str">
        <f>IF(SUM(GZ11,HD11,HH11,HL11)&gt;0,SUM(GZ11,HD11,HH11,HL11),"")</f>
        <v/>
      </c>
      <c r="HX11" s="15" t="str">
        <f>IF(SUM(GY11:GZ11,HB11:HD11,HF11)-SUM(HA11,HE11)&gt;0,SUM(GY11:GZ11,HB11:HD11,HF11)-SUM(HA11,HE11),"")</f>
        <v/>
      </c>
      <c r="HY11" s="15" t="str">
        <f>IF(SUM(HG11:HH11,HJ11:HL11,HN11)-SUM(HI11,HM11)&gt;0,SUM(HG11:HH11,HJ11:HL11,HN11)-SUM(HI11,HM11),"")</f>
        <v/>
      </c>
      <c r="HZ11" s="15" t="str">
        <f>IF(SUM(GY11:GZ11,HB11:HD11,HF11:HH11,HJ11:HL11,HN11)-SUM(HA11,HE11,HI11,HM11)&gt;0,SUM(GY11:GZ11,HB11:HD11,HF11:HH11,HJ11:HL11,HN11)-SUM(HA11,HE11,HI11,HM11),"")</f>
        <v/>
      </c>
      <c r="IA11" s="15" t="str">
        <f>IF(SUM(HO11:HP11,HR11:HT11,HV11)-SUM(HQ11,HU11)&gt;0,SUM(HO11:HP11,HR11:HT11,HV11)-SUM(HQ11,HU11),"")</f>
        <v/>
      </c>
      <c r="IB11" s="15" t="str">
        <f>IF(SUM(HZ11,IA11)&gt;0,SUM(HZ11,IA11),"")</f>
        <v/>
      </c>
      <c r="IC11" s="51"/>
      <c r="ID11" s="51"/>
      <c r="IE11" s="51"/>
      <c r="IF11" s="51"/>
      <c r="IG11" s="51"/>
      <c r="IH11" s="51"/>
      <c r="II11" s="51"/>
      <c r="IJ11" s="51"/>
      <c r="IK11" s="51"/>
      <c r="IL11" s="51"/>
      <c r="IM11" s="51"/>
      <c r="IN11" s="51"/>
      <c r="IO11" s="51"/>
      <c r="IP11" s="51"/>
      <c r="IQ11" s="51"/>
      <c r="IR11" s="51"/>
      <c r="IS11" s="51"/>
      <c r="IT11" s="51"/>
      <c r="IU11" s="51"/>
      <c r="IV11" s="51"/>
      <c r="IW11" s="51"/>
      <c r="IX11" s="51"/>
      <c r="IY11" s="51"/>
      <c r="IZ11" s="51"/>
      <c r="JA11" s="12" t="str">
        <f>IF(SUM(ID11,IH11,IL11,IP11)&gt;0,SUM(ID11,IH11,IL11,IP11),"")</f>
        <v/>
      </c>
      <c r="JB11" s="12" t="str">
        <f>IF(SUM(IC11:ID11,IF11:IH11,IJ11)-SUM(IE11,II11)&gt;0,SUM(IC11:ID11,IF11:IH11,IJ11)-SUM(IE11,II11),"")</f>
        <v/>
      </c>
      <c r="JC11" s="12" t="str">
        <f>IF(SUM(IK11:IL11,IN11:IP11,IR11)-SUM(IM11,IQ11)&gt;0,SUM(IK11:IL11,IN11:IP11,IR11)-SUM(IM11,IQ11),"")</f>
        <v/>
      </c>
      <c r="JD11" s="12" t="str">
        <f>IF(SUM(IC11:ID11,IF11:IH11,IJ11:IL11,IN11:IP11,IR11)-SUM(IE11,II11,IM11,IQ11)&gt;0,SUM(IC11:ID11,IF11:IH11,IJ11:IL11,IN11:IP11,IR11)-SUM(IE11,II11,IM11,IQ11),"")</f>
        <v/>
      </c>
      <c r="JE11" s="12" t="str">
        <f>IF(SUM(IS11:IT11,IV11:IX11,IZ11)-SUM(IU11,IY11)&gt;0,SUM(IS11:IT11,IV11:IX11,IZ11)-SUM(IU11,IY11),"")</f>
        <v/>
      </c>
      <c r="JF11" s="12" t="str">
        <f>IF(SUM(JD11,JE11)&gt;0,SUM(JD11,JE11),"")</f>
        <v/>
      </c>
      <c r="JG11" s="50"/>
      <c r="JH11" s="50"/>
      <c r="JI11" s="50"/>
      <c r="JJ11" s="50"/>
      <c r="JK11" s="50"/>
      <c r="JL11" s="50"/>
      <c r="JM11" s="50"/>
      <c r="JN11" s="50"/>
      <c r="JO11" s="50"/>
      <c r="JP11" s="50"/>
      <c r="JQ11" s="50"/>
      <c r="JR11" s="50"/>
      <c r="JS11" s="50"/>
      <c r="JT11" s="50"/>
      <c r="JU11" s="50"/>
      <c r="JV11" s="50"/>
      <c r="JW11" s="50"/>
      <c r="JX11" s="50"/>
      <c r="JY11" s="50"/>
      <c r="JZ11" s="50"/>
      <c r="KA11" s="50"/>
      <c r="KB11" s="50"/>
      <c r="KC11" s="50"/>
      <c r="KD11" s="50"/>
      <c r="KE11" s="15" t="str">
        <f>IF(SUM(JH11,JL11,JP11,JT11)&gt;0,SUM(JH11,JL11,JP11,JT11),"")</f>
        <v/>
      </c>
      <c r="KF11" s="15" t="str">
        <f>IF(SUM(JG11:JH11,JJ11:JL11,JN11)-SUM(JI11,JM11)&gt;0,SUM(JG11:JH11,JJ11:JL11,JN11)-SUM(JI11,JM11),"")</f>
        <v/>
      </c>
      <c r="KG11" s="15" t="str">
        <f>IF(SUM(JO11:JP11,JR11:JT11,JV11)-SUM(JQ11,JU11)&gt;0,SUM(JO11:JP11,JR11:JT11,JV11)-SUM(JQ11,JU11),"")</f>
        <v/>
      </c>
      <c r="KH11" s="15" t="str">
        <f>IF(SUM(JG11:JH11,JJ11:JL11,JN11:JP11,JR11:JT11,JV11)-SUM(JI11,JM11,JQ11,JU11)&gt;0,SUM(JG11:JH11,JJ11:JL11,JN11:JP11,JR11:JT11,JV11)-SUM(JI11,JM11,JQ11,JU11),"")</f>
        <v/>
      </c>
      <c r="KI11" s="15" t="str">
        <f>IF(SUM(JW11:JX11,JZ11:KB11,KD11)-SUM(JY11,KC11)&gt;0,SUM(JW11:JX11,JZ11:KB11,KD11)-SUM(JY11,KC11),"")</f>
        <v/>
      </c>
      <c r="KJ11" s="15" t="str">
        <f>IF(SUM(KH11,KI11)&gt;0,SUM(KH11,KI11),"")</f>
        <v/>
      </c>
      <c r="KK11" s="51"/>
      <c r="KL11" s="51"/>
      <c r="KM11" s="51"/>
      <c r="KN11" s="51"/>
      <c r="KO11" s="51"/>
      <c r="KP11" s="51"/>
      <c r="KQ11" s="51"/>
      <c r="KR11" s="51"/>
      <c r="KS11" s="51"/>
      <c r="KT11" s="51"/>
      <c r="KU11" s="51"/>
      <c r="KV11" s="51"/>
      <c r="KW11" s="51"/>
      <c r="KX11" s="51"/>
      <c r="KY11" s="51"/>
      <c r="KZ11" s="51"/>
      <c r="LA11" s="51"/>
      <c r="LB11" s="51"/>
      <c r="LC11" s="51"/>
      <c r="LD11" s="51"/>
      <c r="LE11" s="51"/>
      <c r="LF11" s="51"/>
      <c r="LG11" s="51"/>
      <c r="LH11" s="51"/>
      <c r="LI11" s="12" t="str">
        <f>IF(SUM(KL11,KP11,KT11,KX11)&gt;0,SUM(KL11,KP11,KT11,KX11),"")</f>
        <v/>
      </c>
      <c r="LJ11" s="12" t="str">
        <f>IF(SUM(KK11:KL11,KN11:KP11,KR11)-SUM(KM11,KQ11)&gt;0,SUM(KK11:KL11,KN11:KP11,KR11)-SUM(KM11,KQ11),"")</f>
        <v/>
      </c>
      <c r="LK11" s="12" t="str">
        <f>IF(SUM(KS11:KT11,KV11:KX11,KZ11)-SUM(KU11,KY11)&gt;0,SUM(KS11:KT11,KV11:KX11,KZ11)-SUM(KU11,KY11),"")</f>
        <v/>
      </c>
      <c r="LL11" s="12" t="str">
        <f>IF(SUM(KK11:KL11,KN11:KP11,KR11:KT11,KV11:KX11,KZ11)-SUM(KM11,KQ11,KU11,KY11)&gt;0,SUM(KK11:KL11,KN11:KP11,KR11:KT11,KV11:KX11,KZ11)-SUM(KM11,KQ11,KU11,KY11),"")</f>
        <v/>
      </c>
      <c r="LM11" s="12" t="str">
        <f>IF(SUM(LA11:LB11,LD11:LF11,LH11)-SUM(LC11,LG11)&gt;0,SUM(LA11:LB11,LD11:LF11,LH11)-SUM(LC11,LG11),"")</f>
        <v/>
      </c>
      <c r="LN11" s="12" t="str">
        <f>IF(SUM(LL11,LM11)&gt;0,SUM(LL11,LM11),"")</f>
        <v/>
      </c>
      <c r="LO11" s="50"/>
      <c r="LP11" s="50"/>
      <c r="LQ11" s="50"/>
      <c r="LR11" s="50"/>
      <c r="LS11" s="50"/>
      <c r="LT11" s="50"/>
      <c r="LU11" s="50"/>
      <c r="LV11" s="50"/>
      <c r="LW11" s="50"/>
      <c r="LX11" s="50"/>
      <c r="LY11" s="50"/>
      <c r="LZ11" s="50"/>
      <c r="MA11" s="50"/>
      <c r="MB11" s="50"/>
      <c r="MC11" s="50"/>
      <c r="MD11" s="50"/>
      <c r="ME11" s="50"/>
      <c r="MF11" s="50"/>
      <c r="MG11" s="50"/>
      <c r="MH11" s="50"/>
      <c r="MI11" s="50"/>
      <c r="MJ11" s="50"/>
      <c r="MK11" s="50"/>
      <c r="ML11" s="50"/>
      <c r="MM11" s="15" t="str">
        <f>IF(SUM(LP11,LT11,LX11,MB11)&gt;0,SUM(LP11,LT11,LX11,MB11),"")</f>
        <v/>
      </c>
      <c r="MN11" s="15" t="str">
        <f>IF(SUM(LO11:LP11,LR11:LT11,LV11)-SUM(LQ11,LU11)&gt;0,SUM(LO11:LP11,LR11:LT11,LV11)-SUM(LQ11,LU11),"")</f>
        <v/>
      </c>
      <c r="MO11" s="15" t="str">
        <f>IF(SUM(LW11:LX11,LZ11:MB11,MD11)-SUM(LY11,MC11)&gt;0,SUM(LW11:LX11,LZ11:MB11,MD11)-SUM(LY11,MC11),"")</f>
        <v/>
      </c>
      <c r="MP11" s="15" t="str">
        <f>IF(SUM(LO11:LP11,LR11:LT11,LV11:LX11,LZ11:MB11,MD11)-SUM(LQ11,LU11,LY11,MC11)&gt;0,SUM(LO11:LP11,LR11:LT11,LV11:LX11,LZ11:MB11,MD11)-SUM(LQ11,LU11,LY11,MC11),"")</f>
        <v/>
      </c>
      <c r="MQ11" s="15" t="str">
        <f>IF(SUM(ME11:MF11,MH11:MJ11,ML11)-SUM(MG11,MK11)&gt;0,SUM(ME11:MF11,MH11:MJ11,ML11)-SUM(MG11,MK11),"")</f>
        <v/>
      </c>
      <c r="MR11" s="15" t="str">
        <f>IF(SUM(MP11,MQ11)&gt;0,SUM(MP11,MQ11),"")</f>
        <v/>
      </c>
      <c r="MS11" s="51"/>
      <c r="MT11" s="51"/>
      <c r="MU11" s="51"/>
      <c r="MV11" s="51"/>
      <c r="MW11" s="51"/>
      <c r="MX11" s="51"/>
      <c r="MY11" s="51"/>
      <c r="MZ11" s="51"/>
      <c r="NA11" s="51"/>
      <c r="NB11" s="51"/>
      <c r="NC11" s="51"/>
      <c r="ND11" s="51"/>
      <c r="NE11" s="51"/>
      <c r="NF11" s="51"/>
      <c r="NG11" s="51"/>
      <c r="NH11" s="51"/>
      <c r="NI11" s="51"/>
      <c r="NJ11" s="51"/>
      <c r="NK11" s="51"/>
      <c r="NL11" s="51"/>
      <c r="NM11" s="51"/>
      <c r="NN11" s="51"/>
      <c r="NO11" s="51"/>
      <c r="NP11" s="51"/>
      <c r="NQ11" s="12" t="str">
        <f>IF(SUM(MT11,MX11,NB11,NF11)&gt;0,SUM(MT11,MX11,NB11,NF11),"")</f>
        <v/>
      </c>
      <c r="NR11" s="12" t="str">
        <f>IF(SUM(MS11:MT11,MV11:MX11,MZ11)-SUM(MU11,MY11)&gt;0,SUM(MS11:MT11,MV11:MX11,MZ11)-SUM(MU11,MY11),"")</f>
        <v/>
      </c>
      <c r="NS11" s="12" t="str">
        <f>IF(SUM(NA11:NB11,ND11:NF11,NH11)-SUM(NC11,NG11)&gt;0,SUM(NA11:NB11,ND11:NF11,NH11)-SUM(NC11,NG11),"")</f>
        <v/>
      </c>
      <c r="NT11" s="12" t="str">
        <f>IF(SUM(MS11:MT11,MV11:MX11,MZ11:NB11,ND11:NF11,NH11)-SUM(MU11,MY11,NC11,NG11)&gt;0,SUM(MS11:MT11,MV11:MX11,MZ11:NB11,ND11:NF11,NH11)-SUM(MU11,MY11,NC11,NG11),"")</f>
        <v/>
      </c>
      <c r="NU11" s="12" t="str">
        <f>IF(SUM(NI11:NJ11,NL11:NN11,NP11)-SUM(NK11,NO11)&gt;0,SUM(NI11:NJ11,NL11:NN11,NP11)-SUM(NK11,NO11),"")</f>
        <v/>
      </c>
      <c r="NV11" s="12" t="str">
        <f>IF(SUM(NT11,NU11)&gt;0,SUM(NT11,NU11),"")</f>
        <v/>
      </c>
      <c r="NW11" s="50"/>
      <c r="NX11" s="50"/>
      <c r="NY11" s="50"/>
      <c r="NZ11" s="50"/>
      <c r="OA11" s="50"/>
      <c r="OB11" s="50"/>
      <c r="OC11" s="50"/>
      <c r="OD11" s="50"/>
      <c r="OE11" s="50"/>
      <c r="OF11" s="50"/>
      <c r="OG11" s="50"/>
      <c r="OH11" s="50"/>
      <c r="OI11" s="50"/>
      <c r="OJ11" s="50"/>
      <c r="OK11" s="50"/>
      <c r="OL11" s="50"/>
      <c r="OM11" s="50"/>
      <c r="ON11" s="50"/>
      <c r="OO11" s="50"/>
      <c r="OP11" s="50"/>
      <c r="OQ11" s="50"/>
      <c r="OR11" s="50"/>
      <c r="OS11" s="50"/>
      <c r="OT11" s="50"/>
      <c r="OU11" s="15" t="str">
        <f>IF(SUM(NX11,OB11,OF11,OJ11)&gt;0,SUM(NX11,OB11,OF11,OJ11),"")</f>
        <v/>
      </c>
      <c r="OV11" s="15" t="str">
        <f>IF(SUM(NW11:NX11,NZ11:OB11,OD11)-SUM(NY11,OC11)&gt;0,SUM(NW11:NX11,NZ11:OB11,OD11)-SUM(NY11,OC11),"")</f>
        <v/>
      </c>
      <c r="OW11" s="15" t="str">
        <f>IF(SUM(OE11:OF11,OH11:OJ11,OL11)-SUM(OG11,OK11)&gt;0,SUM(OE11:OF11,OH11:OJ11,OL11)-SUM(OG11,OK11),"")</f>
        <v/>
      </c>
      <c r="OX11" s="15" t="str">
        <f>IF(SUM(NW11:NX11,NZ11:OB11,OD11:OF11,OH11:OJ11,OL11)-SUM(NY11,OC11,OG11,OK11)&gt;0,SUM(NW11:NX11,NZ11:OB11,OD11:OF11,OH11:OJ11,OL11)-SUM(NY11,OC11,OG11,OK11),"")</f>
        <v/>
      </c>
      <c r="OY11" s="15" t="str">
        <f>IF(SUM(OM11:ON11,OP11:OR11,OT11)-SUM(OO11,OS11)&gt;0,SUM(OM11:ON11,OP11:OR11,OT11)-SUM(OO11,OS11),"")</f>
        <v/>
      </c>
      <c r="OZ11" s="15" t="str">
        <f>IF(SUM(OX11,OY11)&gt;0,SUM(OX11,OY11),"")</f>
        <v/>
      </c>
      <c r="PA11" s="51"/>
      <c r="PB11" s="51"/>
      <c r="PC11" s="51"/>
      <c r="PD11" s="51"/>
      <c r="PE11" s="51"/>
      <c r="PF11" s="51"/>
      <c r="PG11" s="51"/>
      <c r="PH11" s="51"/>
      <c r="PI11" s="51"/>
      <c r="PJ11" s="51"/>
      <c r="PK11" s="51"/>
      <c r="PL11" s="51"/>
      <c r="PM11" s="51"/>
      <c r="PN11" s="51"/>
      <c r="PO11" s="51"/>
      <c r="PP11" s="51"/>
      <c r="PQ11" s="51"/>
      <c r="PR11" s="51"/>
      <c r="PS11" s="51"/>
      <c r="PT11" s="51"/>
      <c r="PU11" s="51"/>
      <c r="PV11" s="51"/>
      <c r="PW11" s="51"/>
      <c r="PX11" s="51"/>
      <c r="PY11" s="12" t="str">
        <f>IF(SUM(PB11,PF11,PJ11,PN11)&gt;0,SUM(PB11,PF11,PJ11,PN11),"")</f>
        <v/>
      </c>
      <c r="PZ11" s="12" t="str">
        <f>IF(SUM(PA11:PB11,PD11:PF11,PH11)-SUM(PC11,PG11)&gt;0,SUM(PA11:PB11,PD11:PF11,PH11)-SUM(PC11,PG11),"")</f>
        <v/>
      </c>
      <c r="QA11" s="12" t="str">
        <f>IF(SUM(PI11:PJ11,PL11:PN11,PP11)-SUM(PK11,PO11)&gt;0,SUM(PI11:PJ11,PL11:PN11,PP11)-SUM(PK11,PO11),"")</f>
        <v/>
      </c>
      <c r="QB11" s="12" t="str">
        <f>IF(SUM(PA11:PB11,PD11:PF11,PH11:PJ11,PL11:PN11,PP11)-SUM(PC11,PG11,PK11,PO11)&gt;0,SUM(PA11:PB11,PD11:PF11,PH11:PJ11,PL11:PN11,PP11)-SUM(PC11,PG11,PK11,PO11),"")</f>
        <v/>
      </c>
      <c r="QC11" s="12" t="str">
        <f>IF(SUM(PQ11:PR11,PT11:PV11,PX11)-SUM(PS11,PW11)&gt;0,SUM(PQ11:PR11,PT11:PV11,PX11)-SUM(PS11,PW11),"")</f>
        <v/>
      </c>
      <c r="QD11" s="12" t="str">
        <f>IF(SUM(QB11,QC11)&gt;0,SUM(QB11,QC11),"")</f>
        <v/>
      </c>
      <c r="QE11" s="50"/>
      <c r="QF11" s="50"/>
      <c r="QG11" s="50"/>
      <c r="QH11" s="50"/>
      <c r="QI11" s="50"/>
      <c r="QJ11" s="50"/>
      <c r="QK11" s="50"/>
      <c r="QL11" s="50"/>
      <c r="QM11" s="50"/>
      <c r="QN11" s="50"/>
      <c r="QO11" s="50"/>
      <c r="QP11" s="50"/>
      <c r="QQ11" s="50"/>
      <c r="QR11" s="50"/>
      <c r="QS11" s="50"/>
      <c r="QT11" s="50"/>
      <c r="QU11" s="50"/>
      <c r="QV11" s="50"/>
      <c r="QW11" s="50"/>
      <c r="QX11" s="50"/>
      <c r="QY11" s="50"/>
      <c r="QZ11" s="50"/>
      <c r="RA11" s="50"/>
      <c r="RB11" s="50"/>
      <c r="RC11" s="15" t="str">
        <f>IF(SUM(QF11,QJ11,QN11,QR11)&gt;0,SUM(QF11,QJ11,QN11,QR11),"")</f>
        <v/>
      </c>
      <c r="RD11" s="15" t="str">
        <f>IF(SUM(QE11:QF11,QH11:QJ11,QL11)-SUM(QG11,QK11)&gt;0,SUM(QE11:QF11,QH11:QJ11,QL11)-SUM(QG11,QK11),"")</f>
        <v/>
      </c>
      <c r="RE11" s="15" t="str">
        <f>IF(SUM(QM11:QN11,QP11:QR11,QT11)-SUM(QO11,QS11)&gt;0,SUM(QM11:QN11,QP11:QR11,QT11)-SUM(QO11,QS11),"")</f>
        <v/>
      </c>
      <c r="RF11" s="15" t="str">
        <f>IF(SUM(QE11:QF11,QH11:QJ11,QL11:QN11,QP11:QR11,QT11)-SUM(QG11,QK11,QO11,QS11)&gt;0,SUM(QE11:QF11,QH11:QJ11,QL11:QN11,QP11:QR11,QT11)-SUM(QG11,QK11,QO11,QS11),"")</f>
        <v/>
      </c>
      <c r="RG11" s="15" t="str">
        <f>IF(SUM(QU11:QV11,QX11:QZ11,RB11)-SUM(QW11,RA11)&gt;0,SUM(QU11:QV11,QX11:QZ11,RB11)-SUM(QW11,RA11),"")</f>
        <v/>
      </c>
      <c r="RH11" s="15" t="str">
        <f>IF(SUM(RF11,RG11)&gt;0,SUM(RF11,RG11),"")</f>
        <v/>
      </c>
    </row>
    <row r="12" spans="1:476" x14ac:dyDescent="0.2">
      <c r="A12" s="6" t="str">
        <f>IF(AND(F12="P",H12="P"),SUMPRODUCT((F$4:F$16="P")*(H$4:H$16="P")*(E$4:E$16&gt;E12))+1,IF(H12="P",SUMPRODUCT((F$4:F$16="")*(H$4:H$16="P")*(E$4:E$16&gt;E12))+1+SUMPRODUCT((F$4:F$16="P")*(H$4:H$16="P")),""))</f>
        <v/>
      </c>
      <c r="B12" s="9" t="s">
        <v>94</v>
      </c>
      <c r="C12" s="5" t="s">
        <v>4</v>
      </c>
      <c r="D12" s="6">
        <v>2003</v>
      </c>
      <c r="E12" s="16">
        <f>SUM(J12:R12)</f>
        <v>287.20000000000005</v>
      </c>
      <c r="F12" s="4" t="str">
        <f>IF(OR(AND($AT12&gt;=$AU$19,NOT($AT12=""),$AS12=""),AND($BY12&gt;=$BZ$19,NOT($BY12=""),$BX12=""),AND($DD12&gt;=$DE$19,NOT($DD12=""),$DC12="")),"P","")</f>
        <v/>
      </c>
      <c r="G12" s="4" t="str">
        <f>IF(OR(AND($AT12&gt;=$AU$20,NOT($AT12=""),$AS12=""),AND($BY12&gt;=$BZ$20,NOT($BY12=""),$BX12=""),AND($DD12&gt;=$DE$20,NOT($DD12=""),$DC12="")),"P","")</f>
        <v/>
      </c>
      <c r="H12" s="4" t="str">
        <f>IF(OR(AND($AW12&gt;=$AU$21,NOT($AW12=""),$AS12=""),AND($CB12&gt;=$BZ$21,NOT($CB12=""),$BX12=""),AND($DG12&gt;=$DE$21,NOT($DG12=""),$DC12="")),"P","")</f>
        <v/>
      </c>
      <c r="I12" t="str">
        <f>IF(AND(G12="P",OR(AND($AW12&gt;=$AU$24,NOT($AW12=""),$AS12=""),AND($CB12&gt;=$BZ$24,NOT($CB12=""),$BX12=""),AND($DG12&gt;=$DE$24,NOT($DG12=""),$DC12=""))),"Merit",IF(AND(G12="P",OR(AND($AW12&gt;=$AU$23,NOT($AW12=""),$AS12=""),AND($CB12&gt;=$BZ$23,NOT($CB12=""),$BX12=""),AND($DG12&gt;=$DE$23,NOT($DG12=""),$DC12=""))),"Funding",IF(AND(G12="P",OR(AND($AW12&gt;=$AU$22,NOT($AW12=""),$AS12=""),AND($CB12&gt;=$BZ$22,NOT($CB12=""),$BX12=""),AND($DG12&gt;=$DE$22,NOT($DG12=""),$DC12=""))),"Worlds Team",IF(AND(F12="P",OR(AND($AW12&gt;=$AU$21,NOT($AW12=""),$AS12=""),AND($CB12&gt;=$BZ$21,NOT($CB12=""),$BX12=""),AND($DG12&gt;=$DE$21,NOT($DG12=""),$DC12=""))),"National Team",""))))</f>
        <v/>
      </c>
      <c r="J12" s="15">
        <f>MAX(AW12,CB12,DG12)</f>
        <v>126.80000000000001</v>
      </c>
      <c r="K12" s="15" t="str">
        <f>IF(J12=DG12,$CE$1,IF(J12=CB12,$AZ$1,IF(J12=AW12,$U$1,"")))</f>
        <v>2017 Nationals</v>
      </c>
      <c r="L12" s="15">
        <f>IF($J12=$AW12,MAX(BZ12,DE12),IF($J12=$CB12,MAX(AU12,DE12),MAX(AU12,BZ12)))</f>
        <v>65.5</v>
      </c>
      <c r="M12" s="15" t="str">
        <f>IF(L12=DE12,$CE$1,IF(L12=BZ12,$AZ$1,IF(L12=AU12,$U$1,"")))</f>
        <v>2018 Canada Cup</v>
      </c>
      <c r="N12" s="15">
        <f>IF($J12=$AW12,MAX(CA12,DF12),IF($J12=$CB12,MAX(AV12,DF12),MAX(AV12,CA12)))</f>
        <v>31.8</v>
      </c>
      <c r="O12" s="15" t="str">
        <f>IF(N12=DF12,$CE$1,IF(N12=CA12,$AZ$1,IF(N12=AV12,$U$1,"")))</f>
        <v>2018 Nationals</v>
      </c>
      <c r="P12" s="15">
        <f>MAX(AX12,CC12,DH12)</f>
        <v>63.1</v>
      </c>
      <c r="Q12" s="15" t="str">
        <f>IF(P12=DH12,$CE$1,IF(P12=CC12,$AZ$1,IF(P12=AX12,$U$1,"")))</f>
        <v>2017 Nationals</v>
      </c>
      <c r="R12" s="15" t="str">
        <f>IF(MAX(DJ12:DL12)&gt;0,MAX(DJ12:DL12),"")</f>
        <v/>
      </c>
      <c r="S12" s="29" t="str">
        <f>IF(R12="","",IF(R12=DJ12,"(Pass 1-2)",IF(R12=DK12,"(Pass 3-4)",IF(R12=DL12,"(Final)"))))</f>
        <v/>
      </c>
      <c r="T12" s="15" t="str">
        <f>IF(R12="","",IF(R12=DJ12,IF(R12+L12=RD12,$QE$1,IF(R12+L12=PZ12,$PA$1,IF(R12+L12=OV12,$NW$1,IF(R12+L12=NR12,$MS$1,IF(R12+L12=MN12,$LO$1,IF(R12+L12=LJ12,$KK$1,IF(R12+L12=KF12,$JG$1,IF(R12+L12=JB12,$IC$1,IF(R12+L12=HX12,$GY$1,IF(R12+L12=GT12,$FU$1,IF(R12+L12=FP12,$EQ$1,IF(R12+L12=EL12,$DM$1)))))))))))),IF(R12=DK12,IF(R12+N12=RE12,$QE$1,IF(R12+N12=QA12,$PA$1,IF(R12+N12=OW12,$NW$1,IF(R12+N12=NS12,$MS$1,IF(R12+N12=MO12,$LO$1,IF(R12+N12=LK12,$KK$1,IF(R12+N12=KG12,$JG$1,IF(R12+N12=JC12,$IC$1,IF(R12+N12=HY12,$GY$1,IF(R12+N12=GU12,$FU$1,IF(R12+N12=FQ12,$EQ$1,IF(R12+N12=EM12,$DM$1)))))))))))),IF(R12=DL12,IF(R12+P12=RG12,$QE$1,IF(R12+P12=QC12,$PA$1,IF(R12+P12=OY12,$NW$1,IF(R12+P12=NU12,$MS$1,IF(R12+P12=MQ12,$LO$1,IF(R12+P12=LM12,$KK$1,IF(R12+P12=KI12,$JG$1,IF(R12+P12=JE12,$IC$1,IF(R12+P12=IA12,$GY$1,IF(R12+P12=GW12,$FU$1,IF(R12+P12=FS12,$EQ$1,IF(R12+P12=EO12,$DM$1))))))))))))))))</f>
        <v/>
      </c>
      <c r="U12" s="76">
        <v>27.4</v>
      </c>
      <c r="V12" s="76">
        <v>4.8</v>
      </c>
      <c r="W12" s="76">
        <v>0</v>
      </c>
      <c r="X12" s="76">
        <v>0</v>
      </c>
      <c r="Y12" s="76">
        <v>28.1</v>
      </c>
      <c r="Z12" s="76">
        <v>3.7</v>
      </c>
      <c r="AA12" s="76">
        <v>0</v>
      </c>
      <c r="AB12" s="76">
        <v>0</v>
      </c>
      <c r="AC12" s="76">
        <v>27.6</v>
      </c>
      <c r="AD12" s="76">
        <v>3.2</v>
      </c>
      <c r="AE12" s="76">
        <v>0.3</v>
      </c>
      <c r="AF12" s="76">
        <v>0</v>
      </c>
      <c r="AG12" s="76">
        <v>27.1</v>
      </c>
      <c r="AH12" s="76">
        <v>5.2</v>
      </c>
      <c r="AI12" s="76">
        <v>0</v>
      </c>
      <c r="AJ12" s="76">
        <v>0</v>
      </c>
      <c r="AK12" s="76">
        <v>27</v>
      </c>
      <c r="AL12" s="76">
        <v>5.2</v>
      </c>
      <c r="AM12" s="76">
        <v>0</v>
      </c>
      <c r="AN12" s="76">
        <v>0</v>
      </c>
      <c r="AO12" s="76">
        <v>27</v>
      </c>
      <c r="AP12" s="76">
        <v>4.8</v>
      </c>
      <c r="AQ12" s="76">
        <v>0.9</v>
      </c>
      <c r="AR12" s="76">
        <v>0</v>
      </c>
      <c r="AS12" s="108"/>
      <c r="AT12" s="12">
        <f>IF(SUM(V12,Z12,AD12,AH12)&gt;0,SUM(V12,Z12,AD12,AH12),"")</f>
        <v>16.899999999999999</v>
      </c>
      <c r="AU12" s="12">
        <f>IF(SUM(U12:V12,X12:Z12,AB12)-SUM(W12,AA12)&gt;0,SUM(U12:V12,X12:Z12,AB12)-SUM(W12,AA12),"")</f>
        <v>64</v>
      </c>
      <c r="AV12" s="12">
        <f>IF(SUM(AC12:AD12,AF12:AH12,AJ12)-SUM(AE12,AI12)&gt;0,SUM(AC12:AD12,AF12:AH12,AJ12)-SUM(AE12,AI12),"")</f>
        <v>62.800000000000011</v>
      </c>
      <c r="AW12" s="12">
        <f>IF(SUM(U12:V12,X12:Z12,AB12:AD12,AF12:AH12,AJ12)-SUM(W12,AA12,AE12,AI12)&gt;0,SUM(U12:V12,X12:Z12,AB12:AD12,AF12:AH12,AJ12)-SUM(W12,AA12,AE12,AI12),"")</f>
        <v>126.80000000000001</v>
      </c>
      <c r="AX12" s="12">
        <f>IF(SUM(AK12:AL12,AN12:AP12,AR12)-SUM(AM12,AQ12)&gt;0,SUM(AK12:AL12,AN12:AP12,AR12)-SUM(AM12,AQ12),"")</f>
        <v>63.1</v>
      </c>
      <c r="AY12" s="12">
        <f>IF(SUM(AW12,AX12)&gt;0,SUM(AW12,AX12),"")</f>
        <v>189.9</v>
      </c>
      <c r="AZ12" s="80">
        <v>27.6</v>
      </c>
      <c r="BA12" s="80">
        <v>5.6</v>
      </c>
      <c r="BB12" s="80">
        <v>0</v>
      </c>
      <c r="BC12" s="80">
        <v>0</v>
      </c>
      <c r="BD12" s="80">
        <v>27.4</v>
      </c>
      <c r="BE12" s="80">
        <v>5.2</v>
      </c>
      <c r="BF12" s="80">
        <v>0.3</v>
      </c>
      <c r="BG12" s="80">
        <v>0</v>
      </c>
      <c r="BH12" s="80">
        <v>27.9</v>
      </c>
      <c r="BI12" s="80">
        <v>3.3</v>
      </c>
      <c r="BJ12" s="80">
        <v>0</v>
      </c>
      <c r="BK12" s="80">
        <v>0</v>
      </c>
      <c r="BL12" s="80">
        <v>0</v>
      </c>
      <c r="BM12" s="80">
        <v>0</v>
      </c>
      <c r="BN12" s="80">
        <v>0</v>
      </c>
      <c r="BO12" s="80">
        <v>0</v>
      </c>
      <c r="BP12" s="80"/>
      <c r="BQ12" s="80"/>
      <c r="BR12" s="80"/>
      <c r="BS12" s="80"/>
      <c r="BT12" s="80"/>
      <c r="BU12" s="80"/>
      <c r="BV12" s="80"/>
      <c r="BW12" s="80"/>
      <c r="BX12" s="105"/>
      <c r="BY12" s="110">
        <f>IF(SUM(BA12,BE12,BI12,BM12)&gt;0,SUM(BA12,BE12,BI12,BM12),"")</f>
        <v>14.100000000000001</v>
      </c>
      <c r="BZ12" s="110">
        <f>IF(SUM(AZ12:BA12,BC12:BE12,BG12)-SUM(BB12,BF12)&gt;0,SUM(AZ12:BA12,BC12:BE12,BG12)-SUM(BB12,BF12),"")</f>
        <v>65.5</v>
      </c>
      <c r="CA12" s="110">
        <f>IF(SUM(BH12:BI12,BK12:BM12,BO12)-SUM(BJ12,BN12)&gt;0,SUM(BH12:BI12,BK12:BM12,BO12)-SUM(BJ12,BN12),"")</f>
        <v>31.2</v>
      </c>
      <c r="CB12" s="110">
        <f>IF(SUM(AZ12:BA12,BC12:BE12,BG12:BI12,BK12:BM12,BO12)-SUM(BB12,BF12,BJ12,BN12)&gt;0,SUM(AZ12:BA12,BC12:BE12,BG12:BI12,BK12:BM12,BO12)-SUM(BB12,BF12,BJ12,BN12),"")</f>
        <v>96.699999999999989</v>
      </c>
      <c r="CC12" s="110" t="str">
        <f>IF(SUM(BP12:BQ12,BS12:BU12,BW12)-SUM(BR12,BV12)&gt;0,SUM(BP12:BQ12,BS12:BU12,BW12)-SUM(BR12,BV12),"")</f>
        <v/>
      </c>
      <c r="CD12" s="110">
        <f>IF(SUM(CB12,CC12)&gt;0,SUM(CB12,CC12),"")</f>
        <v>96.699999999999989</v>
      </c>
      <c r="CE12" s="45">
        <v>27.7</v>
      </c>
      <c r="CF12" s="45">
        <v>6.4</v>
      </c>
      <c r="CG12" s="45">
        <v>0.9</v>
      </c>
      <c r="CH12" s="45">
        <v>0</v>
      </c>
      <c r="CI12" s="45">
        <v>19.8</v>
      </c>
      <c r="CJ12" s="45">
        <v>2.4</v>
      </c>
      <c r="CK12" s="45">
        <v>0</v>
      </c>
      <c r="CL12" s="45">
        <v>0</v>
      </c>
      <c r="CM12" s="45">
        <v>27.3</v>
      </c>
      <c r="CN12" s="45">
        <v>4.8</v>
      </c>
      <c r="CO12" s="45">
        <v>0.3</v>
      </c>
      <c r="CP12" s="45">
        <v>0</v>
      </c>
      <c r="CQ12" s="45">
        <v>0</v>
      </c>
      <c r="CR12" s="45">
        <v>0</v>
      </c>
      <c r="CS12" s="45">
        <v>0</v>
      </c>
      <c r="CT12" s="45">
        <v>0</v>
      </c>
      <c r="CU12" s="45"/>
      <c r="CV12" s="45"/>
      <c r="CW12" s="45"/>
      <c r="CX12" s="45"/>
      <c r="CY12" s="45"/>
      <c r="CZ12" s="45"/>
      <c r="DA12" s="45"/>
      <c r="DB12" s="45"/>
      <c r="DC12" s="108"/>
      <c r="DD12" s="12">
        <f>IF(SUM(CF12,CJ12,CN12,CR12)&gt;0,SUM(CF12,CJ12,CN12,CR12),"")</f>
        <v>13.600000000000001</v>
      </c>
      <c r="DE12" s="12">
        <f>IF(SUM(CE12:CF12,CH12:CJ12,CL12)-SUM(CG12,CK12)&gt;0,SUM(CE12:CF12,CH12:CJ12,CL12)-SUM(CG12,CK12),"")</f>
        <v>55.400000000000006</v>
      </c>
      <c r="DF12" s="12">
        <f>IF(SUM(CM12:CN12,CP12:CR12,CT12)-SUM(CO12,CS12)&gt;0,SUM(CM12:CN12,CP12:CR12,CT12)-SUM(CO12,CS12),"")</f>
        <v>31.8</v>
      </c>
      <c r="DG12" s="12">
        <f>IF(SUM(CE12:CF12,CH12:CJ12,CL12:CN12,CP12:CR12,CT12)-SUM(CG12,CK12,CO12,CS12)&gt;0,SUM(CE12:CF12,CH12:CJ12,CL12:CN12,CP12:CR12,CT12)-SUM(CG12,CK12,CO12,CS12),"")</f>
        <v>87.2</v>
      </c>
      <c r="DH12" s="12" t="str">
        <f>IF(SUM(CU12:CV12,CX12:CZ12,DB12)-SUM(CW12,DA12)&gt;0,SUM(CU12:CV12,CX12:CZ12,DB12)-SUM(CW12,DA12),"")</f>
        <v/>
      </c>
      <c r="DI12" s="12">
        <f>IF(SUM(DG12,DH12)&gt;0,SUM(DG12,DH12),"")</f>
        <v>87.2</v>
      </c>
      <c r="DJ12" s="28" t="str">
        <f>IF(MAX(EL12,FP12,GT12,HX12,JB12,KF12,LJ12,MN12,NR12,OV12,PZ12,RD12)-L12&gt;0.001,MAX(EL12,FP12,GT12,HX12,JB12,KF12,LJ12,MN12,NR12,OV12,PZ12,RD12)-L12,"")</f>
        <v/>
      </c>
      <c r="DK12" s="28" t="str">
        <f>IF(MAX(EM12,FQ12,GU12,HY12,JC12,KG12,LK12,MO12,NS12,OW12,QA12,RE12)-N12&gt;0.001,MAX(EM12,FQ12,GU12,HY12,JC12,KG12,LK12,MO12,NS12,OW12,QA12,RE12)-N12,"")</f>
        <v/>
      </c>
      <c r="DL12" s="28" t="str">
        <f>IF(MAX(EO12,FS12,GW12,IA12,JE12,KI12,LM12,MQ12,OY12,QC12,RG12)-P12&gt;0.001,MAX(EO12,FS12,GW12,IA12,JE12,KI12,LM12,MQ12,OY12,QC12,RG12)-P12,"")</f>
        <v/>
      </c>
      <c r="DM12" s="45"/>
      <c r="DN12" s="45"/>
      <c r="DO12" s="45"/>
      <c r="DP12" s="45"/>
      <c r="DQ12" s="45"/>
      <c r="DR12" s="45"/>
      <c r="DS12" s="45"/>
      <c r="DT12" s="45"/>
      <c r="DU12" s="45"/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12" t="str">
        <f>IF(SUM(DN12,DR12,DV12,DZ12)&gt;0,SUM(DN12,DR12,DV12,DZ12),"")</f>
        <v/>
      </c>
      <c r="EL12" s="12" t="str">
        <f>IF(SUM(DM12:DN12,DP12:DR12,DT12)-SUM(DO12,DS12)&gt;0,SUM(DM12:DN12,DP12:DR12,DT12)-SUM(DO12,DS12),"")</f>
        <v/>
      </c>
      <c r="EM12" s="12" t="str">
        <f>IF(SUM(DU12:DV12,DX12:DZ12,EB12)-SUM(DW12,EA12)&gt;0,SUM(DU12:DV12,DX12:DZ12,EB12)-SUM(DW12,EA12),"")</f>
        <v/>
      </c>
      <c r="EN12" s="12" t="str">
        <f>IF(SUM(DM12:DN12,DP12:DR12,DT12:DV12,DX12:DZ12,EB12)-SUM(DO12,DS12,DW12,EA12)&gt;0,SUM(DM12:DN12,DP12:DR12,DT12:DV12,DX12:DZ12,EB12)-SUM(DO12,DS12,DW12,EA12),"")</f>
        <v/>
      </c>
      <c r="EO12" s="12" t="str">
        <f>IF(SUM(EC12:ED12,EF12:EH12,EJ12)-SUM(EE12,EI12)&gt;0,SUM(EC12:ED12,EF12:EH12,EJ12)-SUM(EE12,EI12),"")</f>
        <v/>
      </c>
      <c r="EP12" s="12" t="str">
        <f>IF(SUM(EN12,EO12)&gt;0,SUM(EN12,EO12),"")</f>
        <v/>
      </c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  <c r="FF12" s="50"/>
      <c r="FG12" s="50"/>
      <c r="FH12" s="50"/>
      <c r="FI12" s="50"/>
      <c r="FJ12" s="50"/>
      <c r="FK12" s="50"/>
      <c r="FL12" s="50"/>
      <c r="FM12" s="50"/>
      <c r="FN12" s="50"/>
      <c r="FO12" s="15" t="str">
        <f>IF(SUM(ER12,EV12,EZ12,FD12)&gt;0,SUM(ER12,EV12,EZ12,FD12),"")</f>
        <v/>
      </c>
      <c r="FP12" s="15" t="str">
        <f>IF(SUM(EQ12:ER12,ET12:EV12,EX12)-SUM(ES12,EW12)&gt;0,SUM(EQ12:ER12,ET12:EV12,EX12)-SUM(ES12,EW12),"")</f>
        <v/>
      </c>
      <c r="FQ12" s="15" t="str">
        <f>IF(SUM(EY12:EZ12,FB12:FD12,FF12)-SUM(FA12,FE12)&gt;0,SUM(EY12:EZ12,FB12:FD12,FF12)-SUM(FA12,FE12),"")</f>
        <v/>
      </c>
      <c r="FR12" s="15" t="str">
        <f>IF(SUM(EQ12:ER12,ET12:EV12,EX12:EZ12,FB12:FD12,FF12)-SUM(ES12,EW12,FA12,FE12)&gt;0,SUM(EQ12:ER12,ET12:EV12,EX12:EZ12,FB12:FD12,FF12)-SUM(ES12,EW12,FA12,FE12),"")</f>
        <v/>
      </c>
      <c r="FS12" s="15" t="str">
        <f>IF(SUM(FG12:FH12,FJ12:FL12,FN12)-SUM(FI12,FM12)&gt;0,SUM(FG12:FH12,FJ12:FL12,FN12)-SUM(FI12,FM12),"")</f>
        <v/>
      </c>
      <c r="FT12" s="15" t="str">
        <f>IF(SUM(FR12,FS12)&gt;0,SUM(FR12,FS12),"")</f>
        <v/>
      </c>
      <c r="FU12" s="51"/>
      <c r="FV12" s="51"/>
      <c r="FW12" s="51"/>
      <c r="FX12" s="51"/>
      <c r="FY12" s="51"/>
      <c r="FZ12" s="51"/>
      <c r="GA12" s="51"/>
      <c r="GB12" s="51"/>
      <c r="GC12" s="51"/>
      <c r="GD12" s="51"/>
      <c r="GE12" s="51"/>
      <c r="GF12" s="51"/>
      <c r="GG12" s="51"/>
      <c r="GH12" s="51"/>
      <c r="GI12" s="51"/>
      <c r="GJ12" s="51"/>
      <c r="GK12" s="51"/>
      <c r="GL12" s="51"/>
      <c r="GM12" s="51"/>
      <c r="GN12" s="51"/>
      <c r="GO12" s="51"/>
      <c r="GP12" s="51"/>
      <c r="GQ12" s="51"/>
      <c r="GR12" s="51"/>
      <c r="GS12" s="12" t="str">
        <f>IF(SUM(FV12,FZ12,GD12,GH12)&gt;0,SUM(FV12,FZ12,GD12,GH12),"")</f>
        <v/>
      </c>
      <c r="GT12" s="12" t="str">
        <f>IF(SUM(FU12:FV12,FX12:FZ12,GB12)-SUM(FW12,GA12)&gt;0,SUM(FU12:FV12,FX12:FZ12,GB12)-SUM(FW12,GA12),"")</f>
        <v/>
      </c>
      <c r="GU12" s="12" t="str">
        <f>IF(SUM(GC12:GD12,GF12:GH12,GJ12)-SUM(GE12,GI12)&gt;0,SUM(GC12:GD12,GF12:GH12,GJ12)-SUM(GE12,GI12),"")</f>
        <v/>
      </c>
      <c r="GV12" s="12" t="str">
        <f>IF(SUM(FU12:FV12,FX12:FZ12,GB12:GD12,GF12:GH12,GJ12)-SUM(FW12,GA12,GE12,GI12)&gt;0,SUM(FU12:FV12,FX12:FZ12,GB12:GD12,GF12:GH12,GJ12)-SUM(FW12,GA12,GE12,GI12),"")</f>
        <v/>
      </c>
      <c r="GW12" s="12" t="str">
        <f>IF(SUM(GK12:GL12,GN12:GP12,GR12)-SUM(GM12,GQ12)&gt;0,SUM(GK12:GL12,GN12:GP12,GR12)-SUM(GM12,GQ12),"")</f>
        <v/>
      </c>
      <c r="GX12" s="12" t="str">
        <f>IF(SUM(GV12,GW12)&gt;0,SUM(GV12,GW12),"")</f>
        <v/>
      </c>
      <c r="GY12" s="50"/>
      <c r="GZ12" s="50"/>
      <c r="HA12" s="50"/>
      <c r="HB12" s="50"/>
      <c r="HC12" s="50"/>
      <c r="HD12" s="50"/>
      <c r="HE12" s="50"/>
      <c r="HF12" s="50"/>
      <c r="HG12" s="50"/>
      <c r="HH12" s="50"/>
      <c r="HI12" s="50"/>
      <c r="HJ12" s="50"/>
      <c r="HK12" s="50"/>
      <c r="HL12" s="50"/>
      <c r="HM12" s="50"/>
      <c r="HN12" s="50"/>
      <c r="HO12" s="50"/>
      <c r="HP12" s="50"/>
      <c r="HQ12" s="50"/>
      <c r="HR12" s="50"/>
      <c r="HS12" s="50"/>
      <c r="HT12" s="50"/>
      <c r="HU12" s="50"/>
      <c r="HV12" s="50"/>
      <c r="HW12" s="15" t="str">
        <f>IF(SUM(GZ12,HD12,HH12,HL12)&gt;0,SUM(GZ12,HD12,HH12,HL12),"")</f>
        <v/>
      </c>
      <c r="HX12" s="15" t="str">
        <f>IF(SUM(GY12:GZ12,HB12:HD12,HF12)-SUM(HA12,HE12)&gt;0,SUM(GY12:GZ12,HB12:HD12,HF12)-SUM(HA12,HE12),"")</f>
        <v/>
      </c>
      <c r="HY12" s="15" t="str">
        <f>IF(SUM(HG12:HH12,HJ12:HL12,HN12)-SUM(HI12,HM12)&gt;0,SUM(HG12:HH12,HJ12:HL12,HN12)-SUM(HI12,HM12),"")</f>
        <v/>
      </c>
      <c r="HZ12" s="15" t="str">
        <f>IF(SUM(GY12:GZ12,HB12:HD12,HF12:HH12,HJ12:HL12,HN12)-SUM(HA12,HE12,HI12,HM12)&gt;0,SUM(GY12:GZ12,HB12:HD12,HF12:HH12,HJ12:HL12,HN12)-SUM(HA12,HE12,HI12,HM12),"")</f>
        <v/>
      </c>
      <c r="IA12" s="15" t="str">
        <f>IF(SUM(HO12:HP12,HR12:HT12,HV12)-SUM(HQ12,HU12)&gt;0,SUM(HO12:HP12,HR12:HT12,HV12)-SUM(HQ12,HU12),"")</f>
        <v/>
      </c>
      <c r="IB12" s="15" t="str">
        <f>IF(SUM(HZ12,IA12)&gt;0,SUM(HZ12,IA12),"")</f>
        <v/>
      </c>
      <c r="IC12" s="51"/>
      <c r="ID12" s="51"/>
      <c r="IE12" s="51"/>
      <c r="IF12" s="51"/>
      <c r="IG12" s="51"/>
      <c r="IH12" s="51"/>
      <c r="II12" s="51"/>
      <c r="IJ12" s="51"/>
      <c r="IK12" s="51"/>
      <c r="IL12" s="51"/>
      <c r="IM12" s="51"/>
      <c r="IN12" s="51"/>
      <c r="IO12" s="51"/>
      <c r="IP12" s="51"/>
      <c r="IQ12" s="51"/>
      <c r="IR12" s="51"/>
      <c r="IS12" s="51"/>
      <c r="IT12" s="51"/>
      <c r="IU12" s="51"/>
      <c r="IV12" s="51"/>
      <c r="IW12" s="51"/>
      <c r="IX12" s="51"/>
      <c r="IY12" s="51"/>
      <c r="IZ12" s="51"/>
      <c r="JA12" s="12" t="str">
        <f>IF(SUM(ID12,IH12,IL12,IP12)&gt;0,SUM(ID12,IH12,IL12,IP12),"")</f>
        <v/>
      </c>
      <c r="JB12" s="12" t="str">
        <f>IF(SUM(IC12:ID12,IF12:IH12,IJ12)-SUM(IE12,II12)&gt;0,SUM(IC12:ID12,IF12:IH12,IJ12)-SUM(IE12,II12),"")</f>
        <v/>
      </c>
      <c r="JC12" s="12" t="str">
        <f>IF(SUM(IK12:IL12,IN12:IP12,IR12)-SUM(IM12,IQ12)&gt;0,SUM(IK12:IL12,IN12:IP12,IR12)-SUM(IM12,IQ12),"")</f>
        <v/>
      </c>
      <c r="JD12" s="12" t="str">
        <f>IF(SUM(IC12:ID12,IF12:IH12,IJ12:IL12,IN12:IP12,IR12)-SUM(IE12,II12,IM12,IQ12)&gt;0,SUM(IC12:ID12,IF12:IH12,IJ12:IL12,IN12:IP12,IR12)-SUM(IE12,II12,IM12,IQ12),"")</f>
        <v/>
      </c>
      <c r="JE12" s="12" t="str">
        <f>IF(SUM(IS12:IT12,IV12:IX12,IZ12)-SUM(IU12,IY12)&gt;0,SUM(IS12:IT12,IV12:IX12,IZ12)-SUM(IU12,IY12),"")</f>
        <v/>
      </c>
      <c r="JF12" s="12" t="str">
        <f>IF(SUM(JD12,JE12)&gt;0,SUM(JD12,JE12),"")</f>
        <v/>
      </c>
      <c r="JG12" s="50"/>
      <c r="JH12" s="50"/>
      <c r="JI12" s="50"/>
      <c r="JJ12" s="50"/>
      <c r="JK12" s="50"/>
      <c r="JL12" s="50"/>
      <c r="JM12" s="50"/>
      <c r="JN12" s="50"/>
      <c r="JO12" s="50"/>
      <c r="JP12" s="50"/>
      <c r="JQ12" s="50"/>
      <c r="JR12" s="50"/>
      <c r="JS12" s="50"/>
      <c r="JT12" s="50"/>
      <c r="JU12" s="50"/>
      <c r="JV12" s="50"/>
      <c r="JW12" s="50"/>
      <c r="JX12" s="50"/>
      <c r="JY12" s="50"/>
      <c r="JZ12" s="50"/>
      <c r="KA12" s="50"/>
      <c r="KB12" s="50"/>
      <c r="KC12" s="50"/>
      <c r="KD12" s="50"/>
      <c r="KE12" s="15" t="str">
        <f>IF(SUM(JH12,JL12,JP12,JT12)&gt;0,SUM(JH12,JL12,JP12,JT12),"")</f>
        <v/>
      </c>
      <c r="KF12" s="15" t="str">
        <f>IF(SUM(JG12:JH12,JJ12:JL12,JN12)-SUM(JI12,JM12)&gt;0,SUM(JG12:JH12,JJ12:JL12,JN12)-SUM(JI12,JM12),"")</f>
        <v/>
      </c>
      <c r="KG12" s="15" t="str">
        <f>IF(SUM(JO12:JP12,JR12:JT12,JV12)-SUM(JQ12,JU12)&gt;0,SUM(JO12:JP12,JR12:JT12,JV12)-SUM(JQ12,JU12),"")</f>
        <v/>
      </c>
      <c r="KH12" s="15" t="str">
        <f>IF(SUM(JG12:JH12,JJ12:JL12,JN12:JP12,JR12:JT12,JV12)-SUM(JI12,JM12,JQ12,JU12)&gt;0,SUM(JG12:JH12,JJ12:JL12,JN12:JP12,JR12:JT12,JV12)-SUM(JI12,JM12,JQ12,JU12),"")</f>
        <v/>
      </c>
      <c r="KI12" s="15" t="str">
        <f>IF(SUM(JW12:JX12,JZ12:KB12,KD12)-SUM(JY12,KC12)&gt;0,SUM(JW12:JX12,JZ12:KB12,KD12)-SUM(JY12,KC12),"")</f>
        <v/>
      </c>
      <c r="KJ12" s="15" t="str">
        <f>IF(SUM(KH12,KI12)&gt;0,SUM(KH12,KI12),"")</f>
        <v/>
      </c>
      <c r="KK12" s="51"/>
      <c r="KL12" s="51"/>
      <c r="KM12" s="51"/>
      <c r="KN12" s="51"/>
      <c r="KO12" s="51"/>
      <c r="KP12" s="51"/>
      <c r="KQ12" s="51"/>
      <c r="KR12" s="51"/>
      <c r="KS12" s="51"/>
      <c r="KT12" s="51"/>
      <c r="KU12" s="51"/>
      <c r="KV12" s="51"/>
      <c r="KW12" s="51"/>
      <c r="KX12" s="51"/>
      <c r="KY12" s="51"/>
      <c r="KZ12" s="51"/>
      <c r="LA12" s="51"/>
      <c r="LB12" s="51"/>
      <c r="LC12" s="51"/>
      <c r="LD12" s="51"/>
      <c r="LE12" s="51"/>
      <c r="LF12" s="51"/>
      <c r="LG12" s="51"/>
      <c r="LH12" s="51"/>
      <c r="LI12" s="12" t="str">
        <f>IF(SUM(KL12,KP12,KT12,KX12)&gt;0,SUM(KL12,KP12,KT12,KX12),"")</f>
        <v/>
      </c>
      <c r="LJ12" s="12" t="str">
        <f>IF(SUM(KK12:KL12,KN12:KP12,KR12)-SUM(KM12,KQ12)&gt;0,SUM(KK12:KL12,KN12:KP12,KR12)-SUM(KM12,KQ12),"")</f>
        <v/>
      </c>
      <c r="LK12" s="12" t="str">
        <f>IF(SUM(KS12:KT12,KV12:KX12,KZ12)-SUM(KU12,KY12)&gt;0,SUM(KS12:KT12,KV12:KX12,KZ12)-SUM(KU12,KY12),"")</f>
        <v/>
      </c>
      <c r="LL12" s="12" t="str">
        <f>IF(SUM(KK12:KL12,KN12:KP12,KR12:KT12,KV12:KX12,KZ12)-SUM(KM12,KQ12,KU12,KY12)&gt;0,SUM(KK12:KL12,KN12:KP12,KR12:KT12,KV12:KX12,KZ12)-SUM(KM12,KQ12,KU12,KY12),"")</f>
        <v/>
      </c>
      <c r="LM12" s="12" t="str">
        <f>IF(SUM(LA12:LB12,LD12:LF12,LH12)-SUM(LC12,LG12)&gt;0,SUM(LA12:LB12,LD12:LF12,LH12)-SUM(LC12,LG12),"")</f>
        <v/>
      </c>
      <c r="LN12" s="12" t="str">
        <f>IF(SUM(LL12,LM12)&gt;0,SUM(LL12,LM12),"")</f>
        <v/>
      </c>
      <c r="LO12" s="50"/>
      <c r="LP12" s="50"/>
      <c r="LQ12" s="50"/>
      <c r="LR12" s="50"/>
      <c r="LS12" s="50"/>
      <c r="LT12" s="50"/>
      <c r="LU12" s="50"/>
      <c r="LV12" s="50"/>
      <c r="LW12" s="50"/>
      <c r="LX12" s="50"/>
      <c r="LY12" s="50"/>
      <c r="LZ12" s="50"/>
      <c r="MA12" s="50"/>
      <c r="MB12" s="50"/>
      <c r="MC12" s="50"/>
      <c r="MD12" s="50"/>
      <c r="ME12" s="50"/>
      <c r="MF12" s="50"/>
      <c r="MG12" s="50"/>
      <c r="MH12" s="50"/>
      <c r="MI12" s="50"/>
      <c r="MJ12" s="50"/>
      <c r="MK12" s="50"/>
      <c r="ML12" s="50"/>
      <c r="MM12" s="15" t="str">
        <f>IF(SUM(LP12,LT12,LX12,MB12)&gt;0,SUM(LP12,LT12,LX12,MB12),"")</f>
        <v/>
      </c>
      <c r="MN12" s="15" t="str">
        <f>IF(SUM(LO12:LP12,LR12:LT12,LV12)-SUM(LQ12,LU12)&gt;0,SUM(LO12:LP12,LR12:LT12,LV12)-SUM(LQ12,LU12),"")</f>
        <v/>
      </c>
      <c r="MO12" s="15" t="str">
        <f>IF(SUM(LW12:LX12,LZ12:MB12,MD12)-SUM(LY12,MC12)&gt;0,SUM(LW12:LX12,LZ12:MB12,MD12)-SUM(LY12,MC12),"")</f>
        <v/>
      </c>
      <c r="MP12" s="15" t="str">
        <f>IF(SUM(LO12:LP12,LR12:LT12,LV12:LX12,LZ12:MB12,MD12)-SUM(LQ12,LU12,LY12,MC12)&gt;0,SUM(LO12:LP12,LR12:LT12,LV12:LX12,LZ12:MB12,MD12)-SUM(LQ12,LU12,LY12,MC12),"")</f>
        <v/>
      </c>
      <c r="MQ12" s="15" t="str">
        <f>IF(SUM(ME12:MF12,MH12:MJ12,ML12)-SUM(MG12,MK12)&gt;0,SUM(ME12:MF12,MH12:MJ12,ML12)-SUM(MG12,MK12),"")</f>
        <v/>
      </c>
      <c r="MR12" s="15" t="str">
        <f>IF(SUM(MP12,MQ12)&gt;0,SUM(MP12,MQ12),"")</f>
        <v/>
      </c>
      <c r="MS12" s="51"/>
      <c r="MT12" s="51"/>
      <c r="MU12" s="51"/>
      <c r="MV12" s="51"/>
      <c r="MW12" s="51"/>
      <c r="MX12" s="51"/>
      <c r="MY12" s="51"/>
      <c r="MZ12" s="51"/>
      <c r="NA12" s="51"/>
      <c r="NB12" s="51"/>
      <c r="NC12" s="51"/>
      <c r="ND12" s="51"/>
      <c r="NE12" s="51"/>
      <c r="NF12" s="51"/>
      <c r="NG12" s="51"/>
      <c r="NH12" s="51"/>
      <c r="NI12" s="51"/>
      <c r="NJ12" s="51"/>
      <c r="NK12" s="51"/>
      <c r="NL12" s="51"/>
      <c r="NM12" s="51"/>
      <c r="NN12" s="51"/>
      <c r="NO12" s="51"/>
      <c r="NP12" s="51"/>
      <c r="NQ12" s="12" t="str">
        <f>IF(SUM(MT12,MX12,NB12,NF12)&gt;0,SUM(MT12,MX12,NB12,NF12),"")</f>
        <v/>
      </c>
      <c r="NR12" s="12" t="str">
        <f>IF(SUM(MS12:MT12,MV12:MX12,MZ12)-SUM(MU12,MY12)&gt;0,SUM(MS12:MT12,MV12:MX12,MZ12)-SUM(MU12,MY12),"")</f>
        <v/>
      </c>
      <c r="NS12" s="12" t="str">
        <f>IF(SUM(NA12:NB12,ND12:NF12,NH12)-SUM(NC12,NG12)&gt;0,SUM(NA12:NB12,ND12:NF12,NH12)-SUM(NC12,NG12),"")</f>
        <v/>
      </c>
      <c r="NT12" s="12" t="str">
        <f>IF(SUM(MS12:MT12,MV12:MX12,MZ12:NB12,ND12:NF12,NH12)-SUM(MU12,MY12,NC12,NG12)&gt;0,SUM(MS12:MT12,MV12:MX12,MZ12:NB12,ND12:NF12,NH12)-SUM(MU12,MY12,NC12,NG12),"")</f>
        <v/>
      </c>
      <c r="NU12" s="12" t="str">
        <f>IF(SUM(NI12:NJ12,NL12:NN12,NP12)-SUM(NK12,NO12)&gt;0,SUM(NI12:NJ12,NL12:NN12,NP12)-SUM(NK12,NO12),"")</f>
        <v/>
      </c>
      <c r="NV12" s="12" t="str">
        <f>IF(SUM(NT12,NU12)&gt;0,SUM(NT12,NU12),"")</f>
        <v/>
      </c>
      <c r="NW12" s="50"/>
      <c r="NX12" s="50"/>
      <c r="NY12" s="50"/>
      <c r="NZ12" s="50"/>
      <c r="OA12" s="50"/>
      <c r="OB12" s="50"/>
      <c r="OC12" s="50"/>
      <c r="OD12" s="50"/>
      <c r="OE12" s="50"/>
      <c r="OF12" s="50"/>
      <c r="OG12" s="50"/>
      <c r="OH12" s="50"/>
      <c r="OI12" s="50"/>
      <c r="OJ12" s="50"/>
      <c r="OK12" s="50"/>
      <c r="OL12" s="50"/>
      <c r="OM12" s="50"/>
      <c r="ON12" s="50"/>
      <c r="OO12" s="50"/>
      <c r="OP12" s="50"/>
      <c r="OQ12" s="50"/>
      <c r="OR12" s="50"/>
      <c r="OS12" s="50"/>
      <c r="OT12" s="50"/>
      <c r="OU12" s="15" t="str">
        <f>IF(SUM(NX12,OB12,OF12,OJ12)&gt;0,SUM(NX12,OB12,OF12,OJ12),"")</f>
        <v/>
      </c>
      <c r="OV12" s="15" t="str">
        <f>IF(SUM(NW12:NX12,NZ12:OB12,OD12)-SUM(NY12,OC12)&gt;0,SUM(NW12:NX12,NZ12:OB12,OD12)-SUM(NY12,OC12),"")</f>
        <v/>
      </c>
      <c r="OW12" s="15" t="str">
        <f>IF(SUM(OE12:OF12,OH12:OJ12,OL12)-SUM(OG12,OK12)&gt;0,SUM(OE12:OF12,OH12:OJ12,OL12)-SUM(OG12,OK12),"")</f>
        <v/>
      </c>
      <c r="OX12" s="15" t="str">
        <f>IF(SUM(NW12:NX12,NZ12:OB12,OD12:OF12,OH12:OJ12,OL12)-SUM(NY12,OC12,OG12,OK12)&gt;0,SUM(NW12:NX12,NZ12:OB12,OD12:OF12,OH12:OJ12,OL12)-SUM(NY12,OC12,OG12,OK12),"")</f>
        <v/>
      </c>
      <c r="OY12" s="15" t="str">
        <f>IF(SUM(OM12:ON12,OP12:OR12,OT12)-SUM(OO12,OS12)&gt;0,SUM(OM12:ON12,OP12:OR12,OT12)-SUM(OO12,OS12),"")</f>
        <v/>
      </c>
      <c r="OZ12" s="15" t="str">
        <f>IF(SUM(OX12,OY12)&gt;0,SUM(OX12,OY12),"")</f>
        <v/>
      </c>
      <c r="PA12" s="51"/>
      <c r="PB12" s="51"/>
      <c r="PC12" s="51"/>
      <c r="PD12" s="51"/>
      <c r="PE12" s="51"/>
      <c r="PF12" s="51"/>
      <c r="PG12" s="51"/>
      <c r="PH12" s="51"/>
      <c r="PI12" s="51"/>
      <c r="PJ12" s="51"/>
      <c r="PK12" s="51"/>
      <c r="PL12" s="51"/>
      <c r="PM12" s="51"/>
      <c r="PN12" s="51"/>
      <c r="PO12" s="51"/>
      <c r="PP12" s="51"/>
      <c r="PQ12" s="51"/>
      <c r="PR12" s="51"/>
      <c r="PS12" s="51"/>
      <c r="PT12" s="51"/>
      <c r="PU12" s="51"/>
      <c r="PV12" s="51"/>
      <c r="PW12" s="51"/>
      <c r="PX12" s="51"/>
      <c r="PY12" s="12" t="str">
        <f>IF(SUM(PB12,PF12,PJ12,PN12)&gt;0,SUM(PB12,PF12,PJ12,PN12),"")</f>
        <v/>
      </c>
      <c r="PZ12" s="12" t="str">
        <f>IF(SUM(PA12:PB12,PD12:PF12,PH12)-SUM(PC12,PG12)&gt;0,SUM(PA12:PB12,PD12:PF12,PH12)-SUM(PC12,PG12),"")</f>
        <v/>
      </c>
      <c r="QA12" s="12" t="str">
        <f>IF(SUM(PI12:PJ12,PL12:PN12,PP12)-SUM(PK12,PO12)&gt;0,SUM(PI12:PJ12,PL12:PN12,PP12)-SUM(PK12,PO12),"")</f>
        <v/>
      </c>
      <c r="QB12" s="12" t="str">
        <f>IF(SUM(PA12:PB12,PD12:PF12,PH12:PJ12,PL12:PN12,PP12)-SUM(PC12,PG12,PK12,PO12)&gt;0,SUM(PA12:PB12,PD12:PF12,PH12:PJ12,PL12:PN12,PP12)-SUM(PC12,PG12,PK12,PO12),"")</f>
        <v/>
      </c>
      <c r="QC12" s="12" t="str">
        <f>IF(SUM(PQ12:PR12,PT12:PV12,PX12)-SUM(PS12,PW12)&gt;0,SUM(PQ12:PR12,PT12:PV12,PX12)-SUM(PS12,PW12),"")</f>
        <v/>
      </c>
      <c r="QD12" s="12" t="str">
        <f>IF(SUM(QB12,QC12)&gt;0,SUM(QB12,QC12),"")</f>
        <v/>
      </c>
      <c r="QE12" s="50"/>
      <c r="QF12" s="50"/>
      <c r="QG12" s="50"/>
      <c r="QH12" s="50"/>
      <c r="QI12" s="50"/>
      <c r="QJ12" s="50"/>
      <c r="QK12" s="50"/>
      <c r="QL12" s="50"/>
      <c r="QM12" s="50"/>
      <c r="QN12" s="50"/>
      <c r="QO12" s="50"/>
      <c r="QP12" s="50"/>
      <c r="QQ12" s="50"/>
      <c r="QR12" s="50"/>
      <c r="QS12" s="50"/>
      <c r="QT12" s="50"/>
      <c r="QU12" s="50"/>
      <c r="QV12" s="50"/>
      <c r="QW12" s="50"/>
      <c r="QX12" s="50"/>
      <c r="QY12" s="50"/>
      <c r="QZ12" s="50"/>
      <c r="RA12" s="50"/>
      <c r="RB12" s="50"/>
      <c r="RC12" s="15" t="str">
        <f>IF(SUM(QF12,QJ12,QN12,QR12)&gt;0,SUM(QF12,QJ12,QN12,QR12),"")</f>
        <v/>
      </c>
      <c r="RD12" s="15" t="str">
        <f>IF(SUM(QE12:QF12,QH12:QJ12,QL12)-SUM(QG12,QK12)&gt;0,SUM(QE12:QF12,QH12:QJ12,QL12)-SUM(QG12,QK12),"")</f>
        <v/>
      </c>
      <c r="RE12" s="15" t="str">
        <f>IF(SUM(QM12:QN12,QP12:QR12,QT12)-SUM(QO12,QS12)&gt;0,SUM(QM12:QN12,QP12:QR12,QT12)-SUM(QO12,QS12),"")</f>
        <v/>
      </c>
      <c r="RF12" s="15" t="str">
        <f>IF(SUM(QE12:QF12,QH12:QJ12,QL12:QN12,QP12:QR12,QT12)-SUM(QG12,QK12,QO12,QS12)&gt;0,SUM(QE12:QF12,QH12:QJ12,QL12:QN12,QP12:QR12,QT12)-SUM(QG12,QK12,QO12,QS12),"")</f>
        <v/>
      </c>
      <c r="RG12" s="15" t="str">
        <f>IF(SUM(QU12:QV12,QX12:QZ12,RB12)-SUM(QW12,RA12)&gt;0,SUM(QU12:QV12,QX12:QZ12,RB12)-SUM(QW12,RA12),"")</f>
        <v/>
      </c>
      <c r="RH12" s="15" t="str">
        <f>IF(SUM(RF12,RG12)&gt;0,SUM(RF12,RG12),"")</f>
        <v/>
      </c>
    </row>
    <row r="13" spans="1:476" x14ac:dyDescent="0.2">
      <c r="A13" s="6" t="str">
        <f>IF(AND(F13="P",H13="P"),SUMPRODUCT((F$4:F$16="P")*(H$4:H$16="P")*(E$4:E$16&gt;E13))+1,IF(H13="P",SUMPRODUCT((F$4:F$16="")*(H$4:H$16="P")*(E$4:E$16&gt;E13))+1+SUMPRODUCT((F$4:F$16="P")*(H$4:H$16="P")),""))</f>
        <v/>
      </c>
      <c r="B13" s="9" t="s">
        <v>97</v>
      </c>
      <c r="C13" s="5" t="s">
        <v>6</v>
      </c>
      <c r="D13" s="6">
        <v>2000</v>
      </c>
      <c r="E13" s="16">
        <f>SUM(J13:R13)</f>
        <v>269.2</v>
      </c>
      <c r="F13" s="4" t="str">
        <f>IF(OR(AND($AT13&gt;=$AU$19,NOT($AT13=""),$AS13=""),AND($BY13&gt;=$BZ$19,NOT($BY13=""),$BX13=""),AND($DD13&gt;=$DE$19,NOT($DD13=""),$DC13="")),"P","")</f>
        <v/>
      </c>
      <c r="G13" s="4" t="str">
        <f>IF(OR(AND($AT13&gt;=$AU$20,NOT($AT13=""),$AS13=""),AND($BY13&gt;=$BZ$20,NOT($BY13=""),$BX13=""),AND($DD13&gt;=$DE$20,NOT($DD13=""),$DC13="")),"P","")</f>
        <v/>
      </c>
      <c r="H13" s="4" t="str">
        <f>IF(OR(AND($AW13&gt;=$AU$21,NOT($AW13=""),$AS13=""),AND($CB13&gt;=$BZ$21,NOT($CB13=""),$BX13=""),AND($DG13&gt;=$DE$21,NOT($DG13=""),$DC13="")),"P","")</f>
        <v/>
      </c>
      <c r="I13" t="str">
        <f>IF(AND(G13="P",OR(AND($AW13&gt;=$AU$24,NOT($AW13=""),$AS13=""),AND($CB13&gt;=$BZ$24,NOT($CB13=""),$BX13=""),AND($DG13&gt;=$DE$24,NOT($DG13=""),$DC13=""))),"Merit",IF(AND(G13="P",OR(AND($AW13&gt;=$AU$23,NOT($AW13=""),$AS13=""),AND($CB13&gt;=$BZ$23,NOT($CB13=""),$BX13=""),AND($DG13&gt;=$DE$23,NOT($DG13=""),$DC13=""))),"Funding",IF(AND(G13="P",OR(AND($AW13&gt;=$AU$22,NOT($AW13=""),$AS13=""),AND($CB13&gt;=$BZ$22,NOT($CB13=""),$BX13=""),AND($DG13&gt;=$DE$22,NOT($DG13=""),$DC13=""))),"Worlds Team",IF(AND(F13="P",OR(AND($AW13&gt;=$AU$21,NOT($AW13=""),$AS13=""),AND($CB13&gt;=$BZ$21,NOT($CB13=""),$BX13=""),AND($DG13&gt;=$DE$21,NOT($DG13=""),$DC13=""))),"National Team",""))))</f>
        <v/>
      </c>
      <c r="J13" s="15">
        <f>MAX(AW13,CB13,DG13)</f>
        <v>101.8</v>
      </c>
      <c r="K13" s="15" t="str">
        <f>IF(J13=DG13,$CE$1,IF(J13=CB13,$AZ$1,IF(J13=AW13,$U$1,"")))</f>
        <v>2018 Nationals</v>
      </c>
      <c r="L13" s="15">
        <f>IF($J13=$AW13,MAX(BZ13,DE13),IF($J13=$CB13,MAX(AU13,DE13),MAX(AU13,BZ13)))</f>
        <v>30.900000000000002</v>
      </c>
      <c r="M13" s="15" t="str">
        <f>IF(L13=DE13,$CE$1,IF(L13=BZ13,$AZ$1,IF(L13=AU13,$U$1,"")))</f>
        <v>2018 Canada Cup</v>
      </c>
      <c r="N13" s="15">
        <f>IF($J13=$AW13,MAX(CA13,DF13),IF($J13=$CB13,MAX(AV13,DF13),MAX(AV13,CA13)))</f>
        <v>68.399999999999991</v>
      </c>
      <c r="O13" s="15" t="str">
        <f>IF(N13=DF13,$CE$1,IF(N13=CA13,$AZ$1,IF(N13=AV13,$U$1,"")))</f>
        <v>2018 Canada Cup</v>
      </c>
      <c r="P13" s="15">
        <f>MAX(AX13,CC13,DH13)</f>
        <v>68.100000000000009</v>
      </c>
      <c r="Q13" s="15" t="str">
        <f>IF(P13=DH13,$CE$1,IF(P13=CC13,$AZ$1,IF(P13=AX13,$U$1,"")))</f>
        <v>2018 Nationals</v>
      </c>
      <c r="R13" s="15" t="str">
        <f>IF(MAX(DJ13:DL13)&gt;0,MAX(DJ13:DL13),"")</f>
        <v/>
      </c>
      <c r="S13" s="29" t="str">
        <f>IF(R13="","",IF(R13=DJ13,"(Pass 1-2)",IF(R13=DK13,"(Pass 3-4)",IF(R13=DL13,"(Final)"))))</f>
        <v/>
      </c>
      <c r="T13" s="15" t="str">
        <f>IF(R13="","",IF(R13=DJ13,IF(R13+L13=RD13,$QE$1,IF(R13+L13=PZ13,$PA$1,IF(R13+L13=OV13,$NW$1,IF(R13+L13=NR13,$MS$1,IF(R13+L13=MN13,$LO$1,IF(R13+L13=LJ13,$KK$1,IF(R13+L13=KF13,$JG$1,IF(R13+L13=JB13,$IC$1,IF(R13+L13=HX13,$GY$1,IF(R13+L13=GT13,$FU$1,IF(R13+L13=FP13,$EQ$1,IF(R13+L13=EL13,$DM$1)))))))))))),IF(R13=DK13,IF(R13+N13=RE13,$QE$1,IF(R13+N13=QA13,$PA$1,IF(R13+N13=OW13,$NW$1,IF(R13+N13=NS13,$MS$1,IF(R13+N13=MO13,$LO$1,IF(R13+N13=LK13,$KK$1,IF(R13+N13=KG13,$JG$1,IF(R13+N13=JC13,$IC$1,IF(R13+N13=HY13,$GY$1,IF(R13+N13=GU13,$FU$1,IF(R13+N13=FQ13,$EQ$1,IF(R13+N13=EM13,$DM$1)))))))))))),IF(R13=DL13,IF(R13+P13=RG13,$QE$1,IF(R13+P13=QC13,$PA$1,IF(R13+P13=OY13,$NW$1,IF(R13+P13=NU13,$MS$1,IF(R13+P13=MQ13,$LO$1,IF(R13+P13=LM13,$KK$1,IF(R13+P13=KI13,$JG$1,IF(R13+P13=JE13,$IC$1,IF(R13+P13=IA13,$GY$1,IF(R13+P13=GW13,$FU$1,IF(R13+P13=FS13,$EQ$1,IF(R13+P13=EO13,$DM$1))))))))))))))))</f>
        <v/>
      </c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108"/>
      <c r="AT13" s="12" t="str">
        <f>IF(SUM(V13,Z13,AD13,AH13)&gt;0,SUM(V13,Z13,AD13,AH13),"")</f>
        <v/>
      </c>
      <c r="AU13" s="12" t="str">
        <f>IF(SUM(U13:V13,X13:Z13,AB13)-SUM(W13,AA13)&gt;0,SUM(U13:V13,X13:Z13,AB13)-SUM(W13,AA13),"")</f>
        <v/>
      </c>
      <c r="AV13" s="12" t="str">
        <f>IF(SUM(AC13:AD13,AF13:AH13,AJ13)-SUM(AE13,AI13)&gt;0,SUM(AC13:AD13,AF13:AH13,AJ13)-SUM(AE13,AI13),"")</f>
        <v/>
      </c>
      <c r="AW13" s="12" t="str">
        <f>IF(SUM(U13:V13,X13:Z13,AB13:AD13,AF13:AH13,AJ13)-SUM(W13,AA13,AE13,AI13)&gt;0,SUM(U13:V13,X13:Z13,AB13:AD13,AF13:AH13,AJ13)-SUM(W13,AA13,AE13,AI13),"")</f>
        <v/>
      </c>
      <c r="AX13" s="12" t="str">
        <f>IF(SUM(AK13:AL13,AN13:AP13,AR13)-SUM(AM13,AQ13)&gt;0,SUM(AK13:AL13,AN13:AP13,AR13)-SUM(AM13,AQ13),"")</f>
        <v/>
      </c>
      <c r="AY13" s="12" t="str">
        <f>IF(SUM(AW13,AX13)&gt;0,SUM(AW13,AX13),"")</f>
        <v/>
      </c>
      <c r="AZ13" s="80">
        <v>0</v>
      </c>
      <c r="BA13" s="80">
        <v>0</v>
      </c>
      <c r="BB13" s="80">
        <v>0</v>
      </c>
      <c r="BC13" s="80">
        <v>0</v>
      </c>
      <c r="BD13" s="80">
        <v>27</v>
      </c>
      <c r="BE13" s="80">
        <v>4.8</v>
      </c>
      <c r="BF13" s="80">
        <v>0.9</v>
      </c>
      <c r="BG13" s="80">
        <v>0</v>
      </c>
      <c r="BH13" s="80">
        <v>26.4</v>
      </c>
      <c r="BI13" s="80">
        <v>7.6</v>
      </c>
      <c r="BJ13" s="80">
        <v>1.2</v>
      </c>
      <c r="BK13" s="80">
        <v>0</v>
      </c>
      <c r="BL13" s="80">
        <v>28.4</v>
      </c>
      <c r="BM13" s="80">
        <v>7.2</v>
      </c>
      <c r="BN13" s="80">
        <v>0</v>
      </c>
      <c r="BO13" s="80">
        <v>0</v>
      </c>
      <c r="BP13" s="80"/>
      <c r="BQ13" s="80"/>
      <c r="BR13" s="80"/>
      <c r="BS13" s="80"/>
      <c r="BT13" s="80"/>
      <c r="BU13" s="80"/>
      <c r="BV13" s="80"/>
      <c r="BW13" s="80"/>
      <c r="BX13" s="105"/>
      <c r="BY13" s="110">
        <f>IF(SUM(BA13,BE13,BI13,BM13)&gt;0,SUM(BA13,BE13,BI13,BM13),"")</f>
        <v>19.599999999999998</v>
      </c>
      <c r="BZ13" s="110">
        <f>IF(SUM(AZ13:BA13,BC13:BE13,BG13)-SUM(BB13,BF13)&gt;0,SUM(AZ13:BA13,BC13:BE13,BG13)-SUM(BB13,BF13),"")</f>
        <v>30.900000000000002</v>
      </c>
      <c r="CA13" s="110">
        <f>IF(SUM(BH13:BI13,BK13:BM13,BO13)-SUM(BJ13,BN13)&gt;0,SUM(BH13:BI13,BK13:BM13,BO13)-SUM(BJ13,BN13),"")</f>
        <v>68.399999999999991</v>
      </c>
      <c r="CB13" s="110">
        <f>IF(SUM(AZ13:BA13,BC13:BE13,BG13:BI13,BK13:BM13,BO13)-SUM(BB13,BF13,BJ13,BN13)&gt;0,SUM(AZ13:BA13,BC13:BE13,BG13:BI13,BK13:BM13,BO13)-SUM(BB13,BF13,BJ13,BN13),"")</f>
        <v>99.3</v>
      </c>
      <c r="CC13" s="110" t="str">
        <f>IF(SUM(BP13:BQ13,BS13:BU13,BW13)-SUM(BR13,BV13)&gt;0,SUM(BP13:BQ13,BS13:BU13,BW13)-SUM(BR13,BV13),"")</f>
        <v/>
      </c>
      <c r="CD13" s="110">
        <f>IF(SUM(CB13,CC13)&gt;0,SUM(CB13,CC13),"")</f>
        <v>99.3</v>
      </c>
      <c r="CE13" s="45">
        <v>28.9</v>
      </c>
      <c r="CF13" s="45">
        <v>7.2</v>
      </c>
      <c r="CG13" s="45">
        <v>0</v>
      </c>
      <c r="CH13" s="45">
        <v>0</v>
      </c>
      <c r="CI13" s="45">
        <v>0</v>
      </c>
      <c r="CJ13" s="45">
        <v>0</v>
      </c>
      <c r="CK13" s="45">
        <v>0</v>
      </c>
      <c r="CL13" s="45">
        <v>0</v>
      </c>
      <c r="CM13" s="45">
        <v>26.7</v>
      </c>
      <c r="CN13" s="45">
        <v>8</v>
      </c>
      <c r="CO13" s="45">
        <v>1.2</v>
      </c>
      <c r="CP13" s="45">
        <v>0</v>
      </c>
      <c r="CQ13" s="45">
        <v>26.6</v>
      </c>
      <c r="CR13" s="45">
        <v>7.1</v>
      </c>
      <c r="CS13" s="45">
        <v>1.5</v>
      </c>
      <c r="CT13" s="45">
        <v>0</v>
      </c>
      <c r="CU13" s="45">
        <v>28.5</v>
      </c>
      <c r="CV13" s="45">
        <v>7.2</v>
      </c>
      <c r="CW13" s="45">
        <v>0.3</v>
      </c>
      <c r="CX13" s="45">
        <v>0</v>
      </c>
      <c r="CY13" s="45">
        <v>28.2</v>
      </c>
      <c r="CZ13" s="45">
        <v>6</v>
      </c>
      <c r="DA13" s="45">
        <v>1.5</v>
      </c>
      <c r="DB13" s="45">
        <v>0</v>
      </c>
      <c r="DC13" s="108"/>
      <c r="DD13" s="12">
        <f>IF(SUM(CF13,CJ13,CN13,CR13)&gt;0,SUM(CF13,CJ13,CN13,CR13),"")</f>
        <v>22.299999999999997</v>
      </c>
      <c r="DE13" s="12">
        <f>IF(SUM(CE13:CF13,CH13:CJ13,CL13)-SUM(CG13,CK13)&gt;0,SUM(CE13:CF13,CH13:CJ13,CL13)-SUM(CG13,CK13),"")</f>
        <v>36.1</v>
      </c>
      <c r="DF13" s="12">
        <f>IF(SUM(CM13:CN13,CP13:CR13,CT13)-SUM(CO13,CS13)&gt;0,SUM(CM13:CN13,CP13:CR13,CT13)-SUM(CO13,CS13),"")</f>
        <v>65.7</v>
      </c>
      <c r="DG13" s="12">
        <f>IF(SUM(CE13:CF13,CH13:CJ13,CL13:CN13,CP13:CR13,CT13)-SUM(CG13,CK13,CO13,CS13)&gt;0,SUM(CE13:CF13,CH13:CJ13,CL13:CN13,CP13:CR13,CT13)-SUM(CG13,CK13,CO13,CS13),"")</f>
        <v>101.8</v>
      </c>
      <c r="DH13" s="12">
        <f>IF(SUM(CU13:CV13,CX13:CZ13,DB13)-SUM(CW13,DA13)&gt;0,SUM(CU13:CV13,CX13:CZ13,DB13)-SUM(CW13,DA13),"")</f>
        <v>68.100000000000009</v>
      </c>
      <c r="DI13" s="12">
        <f>IF(SUM(DG13,DH13)&gt;0,SUM(DG13,DH13),"")</f>
        <v>169.9</v>
      </c>
      <c r="DJ13" s="28" t="str">
        <f>IF(MAX(EL13,FP13,GT13,HX13,JB13,KF13,LJ13,MN13,NR13,OV13,PZ13,RD13)-L13&gt;0.001,MAX(EL13,FP13,GT13,HX13,JB13,KF13,LJ13,MN13,NR13,OV13,PZ13,RD13)-L13,"")</f>
        <v/>
      </c>
      <c r="DK13" s="28" t="str">
        <f>IF(MAX(EM13,FQ13,GU13,HY13,JC13,KG13,LK13,MO13,NS13,OW13,QA13,RE13)-N13&gt;0.001,MAX(EM13,FQ13,GU13,HY13,JC13,KG13,LK13,MO13,NS13,OW13,QA13,RE13)-N13,"")</f>
        <v/>
      </c>
      <c r="DL13" s="28" t="str">
        <f>IF(MAX(EO13,FS13,GW13,IA13,JE13,KI13,LM13,MQ13,OY13,QC13,RG13)-P13&gt;0.001,MAX(EO13,FS13,GW13,IA13,JE13,KI13,LM13,MQ13,OY13,QC13,RG13)-P13,"")</f>
        <v/>
      </c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12" t="str">
        <f>IF(SUM(DN13,DR13,DV13,DZ13)&gt;0,SUM(DN13,DR13,DV13,DZ13),"")</f>
        <v/>
      </c>
      <c r="EL13" s="12" t="str">
        <f>IF(SUM(DM13:DN13,DP13:DR13,DT13)-SUM(DO13,DS13)&gt;0,SUM(DM13:DN13,DP13:DR13,DT13)-SUM(DO13,DS13),"")</f>
        <v/>
      </c>
      <c r="EM13" s="12" t="str">
        <f>IF(SUM(DU13:DV13,DX13:DZ13,EB13)-SUM(DW13,EA13)&gt;0,SUM(DU13:DV13,DX13:DZ13,EB13)-SUM(DW13,EA13),"")</f>
        <v/>
      </c>
      <c r="EN13" s="12" t="str">
        <f>IF(SUM(DM13:DN13,DP13:DR13,DT13:DV13,DX13:DZ13,EB13)-SUM(DO13,DS13,DW13,EA13)&gt;0,SUM(DM13:DN13,DP13:DR13,DT13:DV13,DX13:DZ13,EB13)-SUM(DO13,DS13,DW13,EA13),"")</f>
        <v/>
      </c>
      <c r="EO13" s="12" t="str">
        <f>IF(SUM(EC13:ED13,EF13:EH13,EJ13)-SUM(EE13,EI13)&gt;0,SUM(EC13:ED13,EF13:EH13,EJ13)-SUM(EE13,EI13),"")</f>
        <v/>
      </c>
      <c r="EP13" s="12" t="str">
        <f>IF(SUM(EN13,EO13)&gt;0,SUM(EN13,EO13),"")</f>
        <v/>
      </c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  <c r="FF13" s="50"/>
      <c r="FG13" s="50"/>
      <c r="FH13" s="50"/>
      <c r="FI13" s="50"/>
      <c r="FJ13" s="50"/>
      <c r="FK13" s="50"/>
      <c r="FL13" s="50"/>
      <c r="FM13" s="50"/>
      <c r="FN13" s="50"/>
      <c r="FO13" s="15" t="str">
        <f>IF(SUM(ER13,EV13,EZ13,FD13)&gt;0,SUM(ER13,EV13,EZ13,FD13),"")</f>
        <v/>
      </c>
      <c r="FP13" s="15" t="str">
        <f>IF(SUM(EQ13:ER13,ET13:EV13,EX13)-SUM(ES13,EW13)&gt;0,SUM(EQ13:ER13,ET13:EV13,EX13)-SUM(ES13,EW13),"")</f>
        <v/>
      </c>
      <c r="FQ13" s="15" t="str">
        <f>IF(SUM(EY13:EZ13,FB13:FD13,FF13)-SUM(FA13,FE13)&gt;0,SUM(EY13:EZ13,FB13:FD13,FF13)-SUM(FA13,FE13),"")</f>
        <v/>
      </c>
      <c r="FR13" s="15" t="str">
        <f>IF(SUM(EQ13:ER13,ET13:EV13,EX13:EZ13,FB13:FD13,FF13)-SUM(ES13,EW13,FA13,FE13)&gt;0,SUM(EQ13:ER13,ET13:EV13,EX13:EZ13,FB13:FD13,FF13)-SUM(ES13,EW13,FA13,FE13),"")</f>
        <v/>
      </c>
      <c r="FS13" s="15" t="str">
        <f>IF(SUM(FG13:FH13,FJ13:FL13,FN13)-SUM(FI13,FM13)&gt;0,SUM(FG13:FH13,FJ13:FL13,FN13)-SUM(FI13,FM13),"")</f>
        <v/>
      </c>
      <c r="FT13" s="15" t="str">
        <f>IF(SUM(FR13,FS13)&gt;0,SUM(FR13,FS13),"")</f>
        <v/>
      </c>
      <c r="FU13" s="51"/>
      <c r="FV13" s="51"/>
      <c r="FW13" s="51"/>
      <c r="FX13" s="51"/>
      <c r="FY13" s="51"/>
      <c r="FZ13" s="51"/>
      <c r="GA13" s="51"/>
      <c r="GB13" s="51"/>
      <c r="GC13" s="51"/>
      <c r="GD13" s="51"/>
      <c r="GE13" s="51"/>
      <c r="GF13" s="51"/>
      <c r="GG13" s="51"/>
      <c r="GH13" s="51"/>
      <c r="GI13" s="51"/>
      <c r="GJ13" s="51"/>
      <c r="GK13" s="51"/>
      <c r="GL13" s="51"/>
      <c r="GM13" s="51"/>
      <c r="GN13" s="51"/>
      <c r="GO13" s="51"/>
      <c r="GP13" s="51"/>
      <c r="GQ13" s="51"/>
      <c r="GR13" s="51"/>
      <c r="GS13" s="12" t="str">
        <f>IF(SUM(FV13,FZ13,GD13,GH13)&gt;0,SUM(FV13,FZ13,GD13,GH13),"")</f>
        <v/>
      </c>
      <c r="GT13" s="12" t="str">
        <f>IF(SUM(FU13:FV13,FX13:FZ13,GB13)-SUM(FW13,GA13)&gt;0,SUM(FU13:FV13,FX13:FZ13,GB13)-SUM(FW13,GA13),"")</f>
        <v/>
      </c>
      <c r="GU13" s="12" t="str">
        <f>IF(SUM(GC13:GD13,GF13:GH13,GJ13)-SUM(GE13,GI13)&gt;0,SUM(GC13:GD13,GF13:GH13,GJ13)-SUM(GE13,GI13),"")</f>
        <v/>
      </c>
      <c r="GV13" s="12" t="str">
        <f>IF(SUM(FU13:FV13,FX13:FZ13,GB13:GD13,GF13:GH13,GJ13)-SUM(FW13,GA13,GE13,GI13)&gt;0,SUM(FU13:FV13,FX13:FZ13,GB13:GD13,GF13:GH13,GJ13)-SUM(FW13,GA13,GE13,GI13),"")</f>
        <v/>
      </c>
      <c r="GW13" s="12" t="str">
        <f>IF(SUM(GK13:GL13,GN13:GP13,GR13)-SUM(GM13,GQ13)&gt;0,SUM(GK13:GL13,GN13:GP13,GR13)-SUM(GM13,GQ13),"")</f>
        <v/>
      </c>
      <c r="GX13" s="12" t="str">
        <f>IF(SUM(GV13,GW13)&gt;0,SUM(GV13,GW13),"")</f>
        <v/>
      </c>
      <c r="GY13" s="50"/>
      <c r="GZ13" s="50"/>
      <c r="HA13" s="50"/>
      <c r="HB13" s="50"/>
      <c r="HC13" s="50"/>
      <c r="HD13" s="50"/>
      <c r="HE13" s="50"/>
      <c r="HF13" s="50"/>
      <c r="HG13" s="50"/>
      <c r="HH13" s="50"/>
      <c r="HI13" s="50"/>
      <c r="HJ13" s="50"/>
      <c r="HK13" s="50"/>
      <c r="HL13" s="50"/>
      <c r="HM13" s="50"/>
      <c r="HN13" s="50"/>
      <c r="HO13" s="50"/>
      <c r="HP13" s="50"/>
      <c r="HQ13" s="50"/>
      <c r="HR13" s="50"/>
      <c r="HS13" s="50"/>
      <c r="HT13" s="50"/>
      <c r="HU13" s="50"/>
      <c r="HV13" s="50"/>
      <c r="HW13" s="15" t="str">
        <f>IF(SUM(GZ13,HD13,HH13,HL13)&gt;0,SUM(GZ13,HD13,HH13,HL13),"")</f>
        <v/>
      </c>
      <c r="HX13" s="15" t="str">
        <f>IF(SUM(GY13:GZ13,HB13:HD13,HF13)-SUM(HA13,HE13)&gt;0,SUM(GY13:GZ13,HB13:HD13,HF13)-SUM(HA13,HE13),"")</f>
        <v/>
      </c>
      <c r="HY13" s="15" t="str">
        <f>IF(SUM(HG13:HH13,HJ13:HL13,HN13)-SUM(HI13,HM13)&gt;0,SUM(HG13:HH13,HJ13:HL13,HN13)-SUM(HI13,HM13),"")</f>
        <v/>
      </c>
      <c r="HZ13" s="15" t="str">
        <f>IF(SUM(GY13:GZ13,HB13:HD13,HF13:HH13,HJ13:HL13,HN13)-SUM(HA13,HE13,HI13,HM13)&gt;0,SUM(GY13:GZ13,HB13:HD13,HF13:HH13,HJ13:HL13,HN13)-SUM(HA13,HE13,HI13,HM13),"")</f>
        <v/>
      </c>
      <c r="IA13" s="15" t="str">
        <f>IF(SUM(HO13:HP13,HR13:HT13,HV13)-SUM(HQ13,HU13)&gt;0,SUM(HO13:HP13,HR13:HT13,HV13)-SUM(HQ13,HU13),"")</f>
        <v/>
      </c>
      <c r="IB13" s="15" t="str">
        <f>IF(SUM(HZ13,IA13)&gt;0,SUM(HZ13,IA13),"")</f>
        <v/>
      </c>
      <c r="IC13" s="51"/>
      <c r="ID13" s="51"/>
      <c r="IE13" s="51"/>
      <c r="IF13" s="51"/>
      <c r="IG13" s="51"/>
      <c r="IH13" s="51"/>
      <c r="II13" s="51"/>
      <c r="IJ13" s="51"/>
      <c r="IK13" s="51"/>
      <c r="IL13" s="51"/>
      <c r="IM13" s="51"/>
      <c r="IN13" s="51"/>
      <c r="IO13" s="51"/>
      <c r="IP13" s="51"/>
      <c r="IQ13" s="51"/>
      <c r="IR13" s="51"/>
      <c r="IS13" s="51"/>
      <c r="IT13" s="51"/>
      <c r="IU13" s="51"/>
      <c r="IV13" s="51"/>
      <c r="IW13" s="51"/>
      <c r="IX13" s="51"/>
      <c r="IY13" s="51"/>
      <c r="IZ13" s="51"/>
      <c r="JA13" s="12" t="str">
        <f>IF(SUM(ID13,IH13,IL13,IP13)&gt;0,SUM(ID13,IH13,IL13,IP13),"")</f>
        <v/>
      </c>
      <c r="JB13" s="12" t="str">
        <f>IF(SUM(IC13:ID13,IF13:IH13,IJ13)-SUM(IE13,II13)&gt;0,SUM(IC13:ID13,IF13:IH13,IJ13)-SUM(IE13,II13),"")</f>
        <v/>
      </c>
      <c r="JC13" s="12" t="str">
        <f>IF(SUM(IK13:IL13,IN13:IP13,IR13)-SUM(IM13,IQ13)&gt;0,SUM(IK13:IL13,IN13:IP13,IR13)-SUM(IM13,IQ13),"")</f>
        <v/>
      </c>
      <c r="JD13" s="12" t="str">
        <f>IF(SUM(IC13:ID13,IF13:IH13,IJ13:IL13,IN13:IP13,IR13)-SUM(IE13,II13,IM13,IQ13)&gt;0,SUM(IC13:ID13,IF13:IH13,IJ13:IL13,IN13:IP13,IR13)-SUM(IE13,II13,IM13,IQ13),"")</f>
        <v/>
      </c>
      <c r="JE13" s="12" t="str">
        <f>IF(SUM(IS13:IT13,IV13:IX13,IZ13)-SUM(IU13,IY13)&gt;0,SUM(IS13:IT13,IV13:IX13,IZ13)-SUM(IU13,IY13),"")</f>
        <v/>
      </c>
      <c r="JF13" s="12" t="str">
        <f>IF(SUM(JD13,JE13)&gt;0,SUM(JD13,JE13),"")</f>
        <v/>
      </c>
      <c r="JG13" s="50"/>
      <c r="JH13" s="50"/>
      <c r="JI13" s="50"/>
      <c r="JJ13" s="50"/>
      <c r="JK13" s="50"/>
      <c r="JL13" s="50"/>
      <c r="JM13" s="50"/>
      <c r="JN13" s="50"/>
      <c r="JO13" s="50"/>
      <c r="JP13" s="50"/>
      <c r="JQ13" s="50"/>
      <c r="JR13" s="50"/>
      <c r="JS13" s="50"/>
      <c r="JT13" s="50"/>
      <c r="JU13" s="50"/>
      <c r="JV13" s="50"/>
      <c r="JW13" s="50"/>
      <c r="JX13" s="50"/>
      <c r="JY13" s="50"/>
      <c r="JZ13" s="50"/>
      <c r="KA13" s="50"/>
      <c r="KB13" s="50"/>
      <c r="KC13" s="50"/>
      <c r="KD13" s="50"/>
      <c r="KE13" s="15" t="str">
        <f>IF(SUM(JH13,JL13,JP13,JT13)&gt;0,SUM(JH13,JL13,JP13,JT13),"")</f>
        <v/>
      </c>
      <c r="KF13" s="15" t="str">
        <f>IF(SUM(JG13:JH13,JJ13:JL13,JN13)-SUM(JI13,JM13)&gt;0,SUM(JG13:JH13,JJ13:JL13,JN13)-SUM(JI13,JM13),"")</f>
        <v/>
      </c>
      <c r="KG13" s="15" t="str">
        <f>IF(SUM(JO13:JP13,JR13:JT13,JV13)-SUM(JQ13,JU13)&gt;0,SUM(JO13:JP13,JR13:JT13,JV13)-SUM(JQ13,JU13),"")</f>
        <v/>
      </c>
      <c r="KH13" s="15" t="str">
        <f>IF(SUM(JG13:JH13,JJ13:JL13,JN13:JP13,JR13:JT13,JV13)-SUM(JI13,JM13,JQ13,JU13)&gt;0,SUM(JG13:JH13,JJ13:JL13,JN13:JP13,JR13:JT13,JV13)-SUM(JI13,JM13,JQ13,JU13),"")</f>
        <v/>
      </c>
      <c r="KI13" s="15" t="str">
        <f>IF(SUM(JW13:JX13,JZ13:KB13,KD13)-SUM(JY13,KC13)&gt;0,SUM(JW13:JX13,JZ13:KB13,KD13)-SUM(JY13,KC13),"")</f>
        <v/>
      </c>
      <c r="KJ13" s="15" t="str">
        <f>IF(SUM(KH13,KI13)&gt;0,SUM(KH13,KI13),"")</f>
        <v/>
      </c>
      <c r="KK13" s="51"/>
      <c r="KL13" s="51"/>
      <c r="KM13" s="51"/>
      <c r="KN13" s="51"/>
      <c r="KO13" s="51"/>
      <c r="KP13" s="51"/>
      <c r="KQ13" s="51"/>
      <c r="KR13" s="51"/>
      <c r="KS13" s="51"/>
      <c r="KT13" s="51"/>
      <c r="KU13" s="51"/>
      <c r="KV13" s="51"/>
      <c r="KW13" s="51"/>
      <c r="KX13" s="51"/>
      <c r="KY13" s="51"/>
      <c r="KZ13" s="51"/>
      <c r="LA13" s="51"/>
      <c r="LB13" s="51"/>
      <c r="LC13" s="51"/>
      <c r="LD13" s="51"/>
      <c r="LE13" s="51"/>
      <c r="LF13" s="51"/>
      <c r="LG13" s="51"/>
      <c r="LH13" s="51"/>
      <c r="LI13" s="12" t="str">
        <f>IF(SUM(KL13,KP13,KT13,KX13)&gt;0,SUM(KL13,KP13,KT13,KX13),"")</f>
        <v/>
      </c>
      <c r="LJ13" s="12" t="str">
        <f>IF(SUM(KK13:KL13,KN13:KP13,KR13)-SUM(KM13,KQ13)&gt;0,SUM(KK13:KL13,KN13:KP13,KR13)-SUM(KM13,KQ13),"")</f>
        <v/>
      </c>
      <c r="LK13" s="12" t="str">
        <f>IF(SUM(KS13:KT13,KV13:KX13,KZ13)-SUM(KU13,KY13)&gt;0,SUM(KS13:KT13,KV13:KX13,KZ13)-SUM(KU13,KY13),"")</f>
        <v/>
      </c>
      <c r="LL13" s="12" t="str">
        <f>IF(SUM(KK13:KL13,KN13:KP13,KR13:KT13,KV13:KX13,KZ13)-SUM(KM13,KQ13,KU13,KY13)&gt;0,SUM(KK13:KL13,KN13:KP13,KR13:KT13,KV13:KX13,KZ13)-SUM(KM13,KQ13,KU13,KY13),"")</f>
        <v/>
      </c>
      <c r="LM13" s="12" t="str">
        <f>IF(SUM(LA13:LB13,LD13:LF13,LH13)-SUM(LC13,LG13)&gt;0,SUM(LA13:LB13,LD13:LF13,LH13)-SUM(LC13,LG13),"")</f>
        <v/>
      </c>
      <c r="LN13" s="12" t="str">
        <f>IF(SUM(LL13,LM13)&gt;0,SUM(LL13,LM13),"")</f>
        <v/>
      </c>
      <c r="LO13" s="50"/>
      <c r="LP13" s="50"/>
      <c r="LQ13" s="50"/>
      <c r="LR13" s="50"/>
      <c r="LS13" s="50"/>
      <c r="LT13" s="50"/>
      <c r="LU13" s="50"/>
      <c r="LV13" s="50"/>
      <c r="LW13" s="50"/>
      <c r="LX13" s="50"/>
      <c r="LY13" s="50"/>
      <c r="LZ13" s="50"/>
      <c r="MA13" s="50"/>
      <c r="MB13" s="50"/>
      <c r="MC13" s="50"/>
      <c r="MD13" s="50"/>
      <c r="ME13" s="50"/>
      <c r="MF13" s="50"/>
      <c r="MG13" s="50"/>
      <c r="MH13" s="50"/>
      <c r="MI13" s="50"/>
      <c r="MJ13" s="50"/>
      <c r="MK13" s="50"/>
      <c r="ML13" s="50"/>
      <c r="MM13" s="15" t="str">
        <f>IF(SUM(LP13,LT13,LX13,MB13)&gt;0,SUM(LP13,LT13,LX13,MB13),"")</f>
        <v/>
      </c>
      <c r="MN13" s="15" t="str">
        <f>IF(SUM(LO13:LP13,LR13:LT13,LV13)-SUM(LQ13,LU13)&gt;0,SUM(LO13:LP13,LR13:LT13,LV13)-SUM(LQ13,LU13),"")</f>
        <v/>
      </c>
      <c r="MO13" s="15" t="str">
        <f>IF(SUM(LW13:LX13,LZ13:MB13,MD13)-SUM(LY13,MC13)&gt;0,SUM(LW13:LX13,LZ13:MB13,MD13)-SUM(LY13,MC13),"")</f>
        <v/>
      </c>
      <c r="MP13" s="15" t="str">
        <f>IF(SUM(LO13:LP13,LR13:LT13,LV13:LX13,LZ13:MB13,MD13)-SUM(LQ13,LU13,LY13,MC13)&gt;0,SUM(LO13:LP13,LR13:LT13,LV13:LX13,LZ13:MB13,MD13)-SUM(LQ13,LU13,LY13,MC13),"")</f>
        <v/>
      </c>
      <c r="MQ13" s="15" t="str">
        <f>IF(SUM(ME13:MF13,MH13:MJ13,ML13)-SUM(MG13,MK13)&gt;0,SUM(ME13:MF13,MH13:MJ13,ML13)-SUM(MG13,MK13),"")</f>
        <v/>
      </c>
      <c r="MR13" s="15" t="str">
        <f>IF(SUM(MP13,MQ13)&gt;0,SUM(MP13,MQ13),"")</f>
        <v/>
      </c>
      <c r="MS13" s="51"/>
      <c r="MT13" s="51"/>
      <c r="MU13" s="51"/>
      <c r="MV13" s="51"/>
      <c r="MW13" s="51"/>
      <c r="MX13" s="51"/>
      <c r="MY13" s="51"/>
      <c r="MZ13" s="51"/>
      <c r="NA13" s="51"/>
      <c r="NB13" s="51"/>
      <c r="NC13" s="51"/>
      <c r="ND13" s="51"/>
      <c r="NE13" s="51"/>
      <c r="NF13" s="51"/>
      <c r="NG13" s="51"/>
      <c r="NH13" s="51"/>
      <c r="NI13" s="51"/>
      <c r="NJ13" s="51"/>
      <c r="NK13" s="51"/>
      <c r="NL13" s="51"/>
      <c r="NM13" s="51"/>
      <c r="NN13" s="51"/>
      <c r="NO13" s="51"/>
      <c r="NP13" s="51"/>
      <c r="NQ13" s="12" t="str">
        <f>IF(SUM(MT13,MX13,NB13,NF13)&gt;0,SUM(MT13,MX13,NB13,NF13),"")</f>
        <v/>
      </c>
      <c r="NR13" s="12" t="str">
        <f>IF(SUM(MS13:MT13,MV13:MX13,MZ13)-SUM(MU13,MY13)&gt;0,SUM(MS13:MT13,MV13:MX13,MZ13)-SUM(MU13,MY13),"")</f>
        <v/>
      </c>
      <c r="NS13" s="12" t="str">
        <f>IF(SUM(NA13:NB13,ND13:NF13,NH13)-SUM(NC13,NG13)&gt;0,SUM(NA13:NB13,ND13:NF13,NH13)-SUM(NC13,NG13),"")</f>
        <v/>
      </c>
      <c r="NT13" s="12" t="str">
        <f>IF(SUM(MS13:MT13,MV13:MX13,MZ13:NB13,ND13:NF13,NH13)-SUM(MU13,MY13,NC13,NG13)&gt;0,SUM(MS13:MT13,MV13:MX13,MZ13:NB13,ND13:NF13,NH13)-SUM(MU13,MY13,NC13,NG13),"")</f>
        <v/>
      </c>
      <c r="NU13" s="12" t="str">
        <f>IF(SUM(NI13:NJ13,NL13:NN13,NP13)-SUM(NK13,NO13)&gt;0,SUM(NI13:NJ13,NL13:NN13,NP13)-SUM(NK13,NO13),"")</f>
        <v/>
      </c>
      <c r="NV13" s="12" t="str">
        <f>IF(SUM(NT13,NU13)&gt;0,SUM(NT13,NU13),"")</f>
        <v/>
      </c>
      <c r="NW13" s="50"/>
      <c r="NX13" s="50"/>
      <c r="NY13" s="50"/>
      <c r="NZ13" s="50"/>
      <c r="OA13" s="50"/>
      <c r="OB13" s="50"/>
      <c r="OC13" s="50"/>
      <c r="OD13" s="50"/>
      <c r="OE13" s="50"/>
      <c r="OF13" s="50"/>
      <c r="OG13" s="50"/>
      <c r="OH13" s="50"/>
      <c r="OI13" s="50"/>
      <c r="OJ13" s="50"/>
      <c r="OK13" s="50"/>
      <c r="OL13" s="50"/>
      <c r="OM13" s="50"/>
      <c r="ON13" s="50"/>
      <c r="OO13" s="50"/>
      <c r="OP13" s="50"/>
      <c r="OQ13" s="50"/>
      <c r="OR13" s="50"/>
      <c r="OS13" s="50"/>
      <c r="OT13" s="50"/>
      <c r="OU13" s="15" t="str">
        <f>IF(SUM(NX13,OB13,OF13,OJ13)&gt;0,SUM(NX13,OB13,OF13,OJ13),"")</f>
        <v/>
      </c>
      <c r="OV13" s="15" t="str">
        <f>IF(SUM(NW13:NX13,NZ13:OB13,OD13)-SUM(NY13,OC13)&gt;0,SUM(NW13:NX13,NZ13:OB13,OD13)-SUM(NY13,OC13),"")</f>
        <v/>
      </c>
      <c r="OW13" s="15" t="str">
        <f>IF(SUM(OE13:OF13,OH13:OJ13,OL13)-SUM(OG13,OK13)&gt;0,SUM(OE13:OF13,OH13:OJ13,OL13)-SUM(OG13,OK13),"")</f>
        <v/>
      </c>
      <c r="OX13" s="15" t="str">
        <f>IF(SUM(NW13:NX13,NZ13:OB13,OD13:OF13,OH13:OJ13,OL13)-SUM(NY13,OC13,OG13,OK13)&gt;0,SUM(NW13:NX13,NZ13:OB13,OD13:OF13,OH13:OJ13,OL13)-SUM(NY13,OC13,OG13,OK13),"")</f>
        <v/>
      </c>
      <c r="OY13" s="15" t="str">
        <f>IF(SUM(OM13:ON13,OP13:OR13,OT13)-SUM(OO13,OS13)&gt;0,SUM(OM13:ON13,OP13:OR13,OT13)-SUM(OO13,OS13),"")</f>
        <v/>
      </c>
      <c r="OZ13" s="15" t="str">
        <f>IF(SUM(OX13,OY13)&gt;0,SUM(OX13,OY13),"")</f>
        <v/>
      </c>
      <c r="PA13" s="51"/>
      <c r="PB13" s="51"/>
      <c r="PC13" s="51"/>
      <c r="PD13" s="51"/>
      <c r="PE13" s="51"/>
      <c r="PF13" s="51"/>
      <c r="PG13" s="51"/>
      <c r="PH13" s="51"/>
      <c r="PI13" s="51"/>
      <c r="PJ13" s="51"/>
      <c r="PK13" s="51"/>
      <c r="PL13" s="51"/>
      <c r="PM13" s="51"/>
      <c r="PN13" s="51"/>
      <c r="PO13" s="51"/>
      <c r="PP13" s="51"/>
      <c r="PQ13" s="51"/>
      <c r="PR13" s="51"/>
      <c r="PS13" s="51"/>
      <c r="PT13" s="51"/>
      <c r="PU13" s="51"/>
      <c r="PV13" s="51"/>
      <c r="PW13" s="51"/>
      <c r="PX13" s="51"/>
      <c r="PY13" s="12" t="str">
        <f>IF(SUM(PB13,PF13,PJ13,PN13)&gt;0,SUM(PB13,PF13,PJ13,PN13),"")</f>
        <v/>
      </c>
      <c r="PZ13" s="12" t="str">
        <f>IF(SUM(PA13:PB13,PD13:PF13,PH13)-SUM(PC13,PG13)&gt;0,SUM(PA13:PB13,PD13:PF13,PH13)-SUM(PC13,PG13),"")</f>
        <v/>
      </c>
      <c r="QA13" s="12" t="str">
        <f>IF(SUM(PI13:PJ13,PL13:PN13,PP13)-SUM(PK13,PO13)&gt;0,SUM(PI13:PJ13,PL13:PN13,PP13)-SUM(PK13,PO13),"")</f>
        <v/>
      </c>
      <c r="QB13" s="12" t="str">
        <f>IF(SUM(PA13:PB13,PD13:PF13,PH13:PJ13,PL13:PN13,PP13)-SUM(PC13,PG13,PK13,PO13)&gt;0,SUM(PA13:PB13,PD13:PF13,PH13:PJ13,PL13:PN13,PP13)-SUM(PC13,PG13,PK13,PO13),"")</f>
        <v/>
      </c>
      <c r="QC13" s="12" t="str">
        <f>IF(SUM(PQ13:PR13,PT13:PV13,PX13)-SUM(PS13,PW13)&gt;0,SUM(PQ13:PR13,PT13:PV13,PX13)-SUM(PS13,PW13),"")</f>
        <v/>
      </c>
      <c r="QD13" s="12" t="str">
        <f>IF(SUM(QB13,QC13)&gt;0,SUM(QB13,QC13),"")</f>
        <v/>
      </c>
      <c r="QE13" s="50"/>
      <c r="QF13" s="50"/>
      <c r="QG13" s="50"/>
      <c r="QH13" s="50"/>
      <c r="QI13" s="50"/>
      <c r="QJ13" s="50"/>
      <c r="QK13" s="50"/>
      <c r="QL13" s="50"/>
      <c r="QM13" s="50"/>
      <c r="QN13" s="50"/>
      <c r="QO13" s="50"/>
      <c r="QP13" s="50"/>
      <c r="QQ13" s="50"/>
      <c r="QR13" s="50"/>
      <c r="QS13" s="50"/>
      <c r="QT13" s="50"/>
      <c r="QU13" s="50"/>
      <c r="QV13" s="50"/>
      <c r="QW13" s="50"/>
      <c r="QX13" s="50"/>
      <c r="QY13" s="50"/>
      <c r="QZ13" s="50"/>
      <c r="RA13" s="50"/>
      <c r="RB13" s="50"/>
      <c r="RC13" s="15" t="str">
        <f>IF(SUM(QF13,QJ13,QN13,QR13)&gt;0,SUM(QF13,QJ13,QN13,QR13),"")</f>
        <v/>
      </c>
      <c r="RD13" s="15" t="str">
        <f>IF(SUM(QE13:QF13,QH13:QJ13,QL13)-SUM(QG13,QK13)&gt;0,SUM(QE13:QF13,QH13:QJ13,QL13)-SUM(QG13,QK13),"")</f>
        <v/>
      </c>
      <c r="RE13" s="15" t="str">
        <f>IF(SUM(QM13:QN13,QP13:QR13,QT13)-SUM(QO13,QS13)&gt;0,SUM(QM13:QN13,QP13:QR13,QT13)-SUM(QO13,QS13),"")</f>
        <v/>
      </c>
      <c r="RF13" s="15" t="str">
        <f>IF(SUM(QE13:QF13,QH13:QJ13,QL13:QN13,QP13:QR13,QT13)-SUM(QG13,QK13,QO13,QS13)&gt;0,SUM(QE13:QF13,QH13:QJ13,QL13:QN13,QP13:QR13,QT13)-SUM(QG13,QK13,QO13,QS13),"")</f>
        <v/>
      </c>
      <c r="RG13" s="15" t="str">
        <f>IF(SUM(QU13:QV13,QX13:QZ13,RB13)-SUM(QW13,RA13)&gt;0,SUM(QU13:QV13,QX13:QZ13,RB13)-SUM(QW13,RA13),"")</f>
        <v/>
      </c>
      <c r="RH13" s="15" t="str">
        <f>IF(SUM(RF13,RG13)&gt;0,SUM(RF13,RG13),"")</f>
        <v/>
      </c>
    </row>
    <row r="14" spans="1:476" x14ac:dyDescent="0.2">
      <c r="A14" s="6" t="str">
        <f>IF(AND(F14="P",H14="P"),SUMPRODUCT((F$4:F$16="P")*(H$4:H$16="P")*(E$4:E$16&gt;E14))+1,IF(H14="P",SUMPRODUCT((F$4:F$16="")*(H$4:H$16="P")*(E$4:E$16&gt;E14))+1+SUMPRODUCT((F$4:F$16="P")*(H$4:H$16="P")),""))</f>
        <v/>
      </c>
      <c r="B14" s="9" t="s">
        <v>121</v>
      </c>
      <c r="C14" s="5" t="s">
        <v>3</v>
      </c>
      <c r="D14" s="6">
        <v>2004</v>
      </c>
      <c r="E14" s="16">
        <f>SUM(J14:R14)</f>
        <v>261.8</v>
      </c>
      <c r="F14" s="4" t="str">
        <f>IF(OR(AND($AT14&gt;=$AU$19,NOT($AT14=""),$AS14=""),AND($BY14&gt;=$BZ$19,NOT($BY14=""),$BX14=""),AND($DD14&gt;=$DE$19,NOT($DD14=""),$DC14="")),"P","")</f>
        <v/>
      </c>
      <c r="G14" s="4" t="str">
        <f>IF(OR(AND($AT14&gt;=$AU$20,NOT($AT14=""),$AS14=""),AND($BY14&gt;=$BZ$20,NOT($BY14=""),$BX14=""),AND($DD14&gt;=$DE$20,NOT($DD14=""),$DC14="")),"P","")</f>
        <v/>
      </c>
      <c r="H14" s="4" t="str">
        <f>IF(OR(AND($AW14&gt;=$AU$21,NOT($AW14=""),$AS14=""),AND($CB14&gt;=$BZ$21,NOT($CB14=""),$BX14=""),AND($DG14&gt;=$DE$21,NOT($DG14=""),$DC14="")),"P","")</f>
        <v/>
      </c>
      <c r="I14" t="str">
        <f>IF(AND(G14="P",OR(AND($AW14&gt;=$AU$24,NOT($AW14=""),$AS14=""),AND($CB14&gt;=$BZ$24,NOT($CB14=""),$BX14=""),AND($DG14&gt;=$DE$24,NOT($DG14=""),$DC14=""))),"Merit",IF(AND(G14="P",OR(AND($AW14&gt;=$AU$23,NOT($AW14=""),$AS14=""),AND($CB14&gt;=$BZ$23,NOT($CB14=""),$BX14=""),AND($DG14&gt;=$DE$23,NOT($DG14=""),$DC14=""))),"Funding",IF(AND(G14="P",OR(AND($AW14&gt;=$AU$22,NOT($AW14=""),$AS14=""),AND($CB14&gt;=$BZ$22,NOT($CB14=""),$BX14=""),AND($DG14&gt;=$DE$22,NOT($DG14=""),$DC14=""))),"Worlds Team",IF(AND(F14="P",OR(AND($AW14&gt;=$AU$21,NOT($AW14=""),$AS14=""),AND($CB14&gt;=$BZ$21,NOT($CB14=""),$BX14=""),AND($DG14&gt;=$DE$21,NOT($DG14=""),$DC14=""))),"National Team",""))))</f>
        <v/>
      </c>
      <c r="J14" s="15">
        <f>MAX(AW14,CB14,DG14)</f>
        <v>126.4</v>
      </c>
      <c r="K14" s="15" t="str">
        <f>IF(J14=DG14,$CE$1,IF(J14=CB14,$AZ$1,IF(J14=AW14,$U$1,"")))</f>
        <v>2018 Nationals</v>
      </c>
      <c r="L14" s="15">
        <f>IF($J14=$AW14,MAX(BZ14,DE14),IF($J14=$CB14,MAX(AU14,DE14),MAX(AU14,BZ14)))</f>
        <v>0</v>
      </c>
      <c r="M14" s="15" t="str">
        <f>IF(L14=DE14,$CE$1,IF(L14=BZ14,$AZ$1,IF(L14=AU14,$U$1,"")))</f>
        <v/>
      </c>
      <c r="N14" s="15">
        <f>IF($J14=$AW14,MAX(CA14,DF14),IF($J14=$CB14,MAX(AV14,DF14),MAX(AV14,CA14)))</f>
        <v>0</v>
      </c>
      <c r="O14" s="15" t="str">
        <f>IF(N14=DF14,$CE$1,IF(N14=CA14,$AZ$1,IF(N14=AV14,$U$1,"")))</f>
        <v/>
      </c>
      <c r="P14" s="15">
        <f>MAX(AX14,CC14,DH14)</f>
        <v>67.899999999999991</v>
      </c>
      <c r="Q14" s="15" t="str">
        <f>IF(P14=DH14,$CE$1,IF(P14=CC14,$AZ$1,IF(P14=AX14,$U$1,"")))</f>
        <v>2018 Nationals</v>
      </c>
      <c r="R14" s="15">
        <f>IF(MAX(DJ14:DL14)&gt;0,MAX(DJ14:DL14),"")</f>
        <v>67.5</v>
      </c>
      <c r="S14" s="29" t="str">
        <f>IF(R14="","",IF(R14=DJ14,"(Pass 1-2)",IF(R14=DK14,"(Pass 3-4)",IF(R14=DL14,"(Final)"))))</f>
        <v>(Pass 1-2)</v>
      </c>
      <c r="T14" s="15" t="str">
        <f>IF(R14="","",IF(R14=DJ14,IF(R14+L14=RD14,$QE$1,IF(R14+L14=PZ14,$PA$1,IF(R14+L14=OV14,$NW$1,IF(R14+L14=NR14,$MS$1,IF(R14+L14=MN14,$LO$1,IF(R14+L14=LJ14,$KK$1,IF(R14+L14=KF14,$JG$1,IF(R14+L14=JB14,$IC$1,IF(R14+L14=HX14,$GY$1,IF(R14+L14=GT14,$FU$1,IF(R14+L14=FP14,$EQ$1,IF(R14+L14=EL14,$DM$1)))))))))))),IF(R14=DK14,IF(R14+N14=RE14,$QE$1,IF(R14+N14=QA14,$PA$1,IF(R14+N14=OW14,$NW$1,IF(R14+N14=NS14,$MS$1,IF(R14+N14=MO14,$LO$1,IF(R14+N14=LK14,$KK$1,IF(R14+N14=KG14,$JG$1,IF(R14+N14=JC14,$IC$1,IF(R14+N14=HY14,$GY$1,IF(R14+N14=GU14,$FU$1,IF(R14+N14=FQ14,$EQ$1,IF(R14+N14=EM14,$DM$1)))))))))))),IF(R14=DL14,IF(R14+P14=RG14,$QE$1,IF(R14+P14=QC14,$PA$1,IF(R14+P14=OY14,$NW$1,IF(R14+P14=NU14,$MS$1,IF(R14+P14=MQ14,$LO$1,IF(R14+P14=LM14,$KK$1,IF(R14+P14=KI14,$JG$1,IF(R14+P14=JE14,$IC$1,IF(R14+P14=IA14,$GY$1,IF(R14+P14=GW14,$FU$1,IF(R14+P14=FS14,$EQ$1,IF(R14+P14=EO14,$DM$1))))))))))))))))</f>
        <v>2018 World Age Groups (Nov 18)</v>
      </c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108"/>
      <c r="AT14" s="12" t="str">
        <f>IF(SUM(V14,Z14,AD14,AH14)&gt;0,SUM(V14,Z14,AD14,AH14),"")</f>
        <v/>
      </c>
      <c r="AU14" s="12" t="str">
        <f>IF(SUM(U14:V14,X14:Z14,AB14)-SUM(W14,AA14)&gt;0,SUM(U14:V14,X14:Z14,AB14)-SUM(W14,AA14),"")</f>
        <v/>
      </c>
      <c r="AV14" s="12" t="str">
        <f>IF(SUM(AC14:AD14,AF14:AH14,AJ14)-SUM(AE14,AI14)&gt;0,SUM(AC14:AD14,AF14:AH14,AJ14)-SUM(AE14,AI14),"")</f>
        <v/>
      </c>
      <c r="AW14" s="12" t="str">
        <f>IF(SUM(U14:V14,X14:Z14,AB14:AD14,AF14:AH14,AJ14)-SUM(W14,AA14,AE14,AI14)&gt;0,SUM(U14:V14,X14:Z14,AB14:AD14,AF14:AH14,AJ14)-SUM(W14,AA14,AE14,AI14),"")</f>
        <v/>
      </c>
      <c r="AX14" s="12" t="str">
        <f>IF(SUM(AK14:AL14,AN14:AP14,AR14)-SUM(AM14,AQ14)&gt;0,SUM(AK14:AL14,AN14:AP14,AR14)-SUM(AM14,AQ14),"")</f>
        <v/>
      </c>
      <c r="AY14" s="12" t="str">
        <f>IF(SUM(AW14,AX14)&gt;0,SUM(AW14,AX14),"")</f>
        <v/>
      </c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105"/>
      <c r="BY14" s="110" t="str">
        <f>IF(SUM(BA14,BE14,BI14,BM14)&gt;0,SUM(BA14,BE14,BI14,BM14),"")</f>
        <v/>
      </c>
      <c r="BZ14" s="110" t="str">
        <f>IF(SUM(AZ14:BA14,BC14:BE14,BG14)-SUM(BB14,BF14)&gt;0,SUM(AZ14:BA14,BC14:BE14,BG14)-SUM(BB14,BF14),"")</f>
        <v/>
      </c>
      <c r="CA14" s="110" t="str">
        <f>IF(SUM(BH14:BI14,BK14:BM14,BO14)-SUM(BJ14,BN14)&gt;0,SUM(BH14:BI14,BK14:BM14,BO14)-SUM(BJ14,BN14),"")</f>
        <v/>
      </c>
      <c r="CB14" s="110" t="str">
        <f>IF(SUM(AZ14:BA14,BC14:BE14,BG14:BI14,BK14:BM14,BO14)-SUM(BB14,BF14,BJ14,BN14)&gt;0,SUM(AZ14:BA14,BC14:BE14,BG14:BI14,BK14:BM14,BO14)-SUM(BB14,BF14,BJ14,BN14),"")</f>
        <v/>
      </c>
      <c r="CC14" s="110" t="str">
        <f>IF(SUM(BP14:BQ14,BS14:BU14,BW14)-SUM(BR14,BV14)&gt;0,SUM(BP14:BQ14,BS14:BU14,BW14)-SUM(BR14,BV14),"")</f>
        <v/>
      </c>
      <c r="CD14" s="110" t="str">
        <f>IF(SUM(CB14,CC14)&gt;0,SUM(CB14,CC14),"")</f>
        <v/>
      </c>
      <c r="CE14" s="45">
        <v>26.6</v>
      </c>
      <c r="CF14" s="45">
        <v>2.9</v>
      </c>
      <c r="CG14" s="45">
        <v>0.3</v>
      </c>
      <c r="CH14" s="45">
        <v>0</v>
      </c>
      <c r="CI14" s="45">
        <v>27.6</v>
      </c>
      <c r="CJ14" s="45">
        <v>6.4</v>
      </c>
      <c r="CK14" s="45">
        <v>0</v>
      </c>
      <c r="CL14" s="45">
        <v>0</v>
      </c>
      <c r="CM14" s="45">
        <v>26.5</v>
      </c>
      <c r="CN14" s="45">
        <v>6.8</v>
      </c>
      <c r="CO14" s="45">
        <v>0.9</v>
      </c>
      <c r="CP14" s="45">
        <v>0</v>
      </c>
      <c r="CQ14" s="45">
        <v>26.5</v>
      </c>
      <c r="CR14" s="45">
        <v>5.2</v>
      </c>
      <c r="CS14" s="45">
        <v>0.9</v>
      </c>
      <c r="CT14" s="45">
        <v>0</v>
      </c>
      <c r="CU14" s="45">
        <v>27.6</v>
      </c>
      <c r="CV14" s="45">
        <v>6.8</v>
      </c>
      <c r="CW14" s="45">
        <v>0</v>
      </c>
      <c r="CX14" s="45">
        <v>0</v>
      </c>
      <c r="CY14" s="45">
        <v>26.7</v>
      </c>
      <c r="CZ14" s="45">
        <v>6.8</v>
      </c>
      <c r="DA14" s="45">
        <v>0</v>
      </c>
      <c r="DB14" s="45">
        <v>0</v>
      </c>
      <c r="DC14" s="108"/>
      <c r="DD14" s="12">
        <f>IF(SUM(CF14,CJ14,CN14,CR14)&gt;0,SUM(CF14,CJ14,CN14,CR14),"")</f>
        <v>21.3</v>
      </c>
      <c r="DE14" s="12">
        <f>IF(SUM(CE14:CF14,CH14:CJ14,CL14)-SUM(CG14,CK14)&gt;0,SUM(CE14:CF14,CH14:CJ14,CL14)-SUM(CG14,CK14),"")</f>
        <v>63.2</v>
      </c>
      <c r="DF14" s="12">
        <f>IF(SUM(CM14:CN14,CP14:CR14,CT14)-SUM(CO14,CS14)&gt;0,SUM(CM14:CN14,CP14:CR14,CT14)-SUM(CO14,CS14),"")</f>
        <v>63.2</v>
      </c>
      <c r="DG14" s="12">
        <f>IF(SUM(CE14:CF14,CH14:CJ14,CL14:CN14,CP14:CR14,CT14)-SUM(CG14,CK14,CO14,CS14)&gt;0,SUM(CE14:CF14,CH14:CJ14,CL14:CN14,CP14:CR14,CT14)-SUM(CG14,CK14,CO14,CS14),"")</f>
        <v>126.4</v>
      </c>
      <c r="DH14" s="12">
        <f>IF(SUM(CU14:CV14,CX14:CZ14,DB14)-SUM(CW14,DA14)&gt;0,SUM(CU14:CV14,CX14:CZ14,DB14)-SUM(CW14,DA14),"")</f>
        <v>67.899999999999991</v>
      </c>
      <c r="DI14" s="12">
        <f>IF(SUM(DG14,DH14)&gt;0,SUM(DG14,DH14),"")</f>
        <v>194.3</v>
      </c>
      <c r="DJ14" s="28">
        <f>IF(MAX(EL14,FP14,GT14,HX14,JB14,KF14,LJ14,MN14,NR14,OV14,PZ14,RD14)-L14&gt;0.001,MAX(EL14,FP14,GT14,HX14,JB14,KF14,LJ14,MN14,NR14,OV14,PZ14,RD14)-L14,"")</f>
        <v>67.5</v>
      </c>
      <c r="DK14" s="28" t="str">
        <f>IF(MAX(EM14,FQ14,GU14,HY14,JC14,KG14,LK14,MO14,NS14,OW14,QA14,RE14)-N14&gt;0.001,MAX(EM14,FQ14,GU14,HY14,JC14,KG14,LK14,MO14,NS14,OW14,QA14,RE14)-N14,"")</f>
        <v/>
      </c>
      <c r="DL14" s="28" t="str">
        <f>IF(MAX(EO14,FS14,GW14,IA14,JE14,KI14,LM14,MQ14,OY14,QC14,RG14)-P14&gt;0.001,MAX(EO14,FS14,GW14,IA14,JE14,KI14,LM14,MQ14,OY14,QC14,RG14)-P14,"")</f>
        <v/>
      </c>
      <c r="DM14" s="45">
        <v>27.7</v>
      </c>
      <c r="DN14" s="45">
        <v>6.8</v>
      </c>
      <c r="DO14" s="45">
        <v>1.2</v>
      </c>
      <c r="DP14" s="45">
        <v>0</v>
      </c>
      <c r="DQ14" s="45">
        <v>27.8</v>
      </c>
      <c r="DR14" s="45">
        <v>6.4</v>
      </c>
      <c r="DS14" s="45">
        <v>0</v>
      </c>
      <c r="DT14" s="45">
        <v>0</v>
      </c>
      <c r="DU14" s="45"/>
      <c r="DV14" s="45"/>
      <c r="DW14" s="45"/>
      <c r="DX14" s="45"/>
      <c r="DY14" s="45"/>
      <c r="DZ14" s="45"/>
      <c r="EA14" s="45"/>
      <c r="EB14" s="45"/>
      <c r="EC14" s="45"/>
      <c r="ED14" s="45"/>
      <c r="EE14" s="45"/>
      <c r="EF14" s="45"/>
      <c r="EG14" s="45"/>
      <c r="EH14" s="45"/>
      <c r="EI14" s="45"/>
      <c r="EJ14" s="45"/>
      <c r="EK14" s="12">
        <f>IF(SUM(DN14,DR14,DV14,DZ14)&gt;0,SUM(DN14,DR14,DV14,DZ14),"")</f>
        <v>13.2</v>
      </c>
      <c r="EL14" s="12">
        <f>IF(SUM(DM14:DN14,DP14:DR14,DT14)-SUM(DO14,DS14)&gt;0,SUM(DM14:DN14,DP14:DR14,DT14)-SUM(DO14,DS14),"")</f>
        <v>67.5</v>
      </c>
      <c r="EM14" s="12" t="str">
        <f>IF(SUM(DU14:DV14,DX14:DZ14,EB14)-SUM(DW14,EA14)&gt;0,SUM(DU14:DV14,DX14:DZ14,EB14)-SUM(DW14,EA14),"")</f>
        <v/>
      </c>
      <c r="EN14" s="12">
        <f>IF(SUM(DM14:DN14,DP14:DR14,DT14:DV14,DX14:DZ14,EB14)-SUM(DO14,DS14,DW14,EA14)&gt;0,SUM(DM14:DN14,DP14:DR14,DT14:DV14,DX14:DZ14,EB14)-SUM(DO14,DS14,DW14,EA14),"")</f>
        <v>67.5</v>
      </c>
      <c r="EO14" s="12" t="str">
        <f>IF(SUM(EC14:ED14,EF14:EH14,EJ14)-SUM(EE14,EI14)&gt;0,SUM(EC14:ED14,EF14:EH14,EJ14)-SUM(EE14,EI14),"")</f>
        <v/>
      </c>
      <c r="EP14" s="12">
        <f>IF(SUM(EN14,EO14)&gt;0,SUM(EN14,EO14),"")</f>
        <v>67.5</v>
      </c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  <c r="FF14" s="50"/>
      <c r="FG14" s="50"/>
      <c r="FH14" s="50"/>
      <c r="FI14" s="50"/>
      <c r="FJ14" s="50"/>
      <c r="FK14" s="50"/>
      <c r="FL14" s="50"/>
      <c r="FM14" s="50"/>
      <c r="FN14" s="50"/>
      <c r="FO14" s="15" t="str">
        <f>IF(SUM(ER14,EV14,EZ14,FD14)&gt;0,SUM(ER14,EV14,EZ14,FD14),"")</f>
        <v/>
      </c>
      <c r="FP14" s="15" t="str">
        <f>IF(SUM(EQ14:ER14,ET14:EV14,EX14)-SUM(ES14,EW14)&gt;0,SUM(EQ14:ER14,ET14:EV14,EX14)-SUM(ES14,EW14),"")</f>
        <v/>
      </c>
      <c r="FQ14" s="15" t="str">
        <f>IF(SUM(EY14:EZ14,FB14:FD14,FF14)-SUM(FA14,FE14)&gt;0,SUM(EY14:EZ14,FB14:FD14,FF14)-SUM(FA14,FE14),"")</f>
        <v/>
      </c>
      <c r="FR14" s="15" t="str">
        <f>IF(SUM(EQ14:ER14,ET14:EV14,EX14:EZ14,FB14:FD14,FF14)-SUM(ES14,EW14,FA14,FE14)&gt;0,SUM(EQ14:ER14,ET14:EV14,EX14:EZ14,FB14:FD14,FF14)-SUM(ES14,EW14,FA14,FE14),"")</f>
        <v/>
      </c>
      <c r="FS14" s="15" t="str">
        <f>IF(SUM(FG14:FH14,FJ14:FL14,FN14)-SUM(FI14,FM14)&gt;0,SUM(FG14:FH14,FJ14:FL14,FN14)-SUM(FI14,FM14),"")</f>
        <v/>
      </c>
      <c r="FT14" s="15" t="str">
        <f>IF(SUM(FR14,FS14)&gt;0,SUM(FR14,FS14),"")</f>
        <v/>
      </c>
      <c r="FU14" s="51"/>
      <c r="FV14" s="51"/>
      <c r="FW14" s="51"/>
      <c r="FX14" s="51"/>
      <c r="FY14" s="51"/>
      <c r="FZ14" s="51"/>
      <c r="GA14" s="51"/>
      <c r="GB14" s="51"/>
      <c r="GC14" s="51"/>
      <c r="GD14" s="51"/>
      <c r="GE14" s="51"/>
      <c r="GF14" s="51"/>
      <c r="GG14" s="51"/>
      <c r="GH14" s="51"/>
      <c r="GI14" s="51"/>
      <c r="GJ14" s="51"/>
      <c r="GK14" s="51"/>
      <c r="GL14" s="51"/>
      <c r="GM14" s="51"/>
      <c r="GN14" s="51"/>
      <c r="GO14" s="51"/>
      <c r="GP14" s="51"/>
      <c r="GQ14" s="51"/>
      <c r="GR14" s="51"/>
      <c r="GS14" s="12" t="str">
        <f>IF(SUM(FV14,FZ14,GD14,GH14)&gt;0,SUM(FV14,FZ14,GD14,GH14),"")</f>
        <v/>
      </c>
      <c r="GT14" s="12" t="str">
        <f>IF(SUM(FU14:FV14,FX14:FZ14,GB14)-SUM(FW14,GA14)&gt;0,SUM(FU14:FV14,FX14:FZ14,GB14)-SUM(FW14,GA14),"")</f>
        <v/>
      </c>
      <c r="GU14" s="12" t="str">
        <f>IF(SUM(GC14:GD14,GF14:GH14,GJ14)-SUM(GE14,GI14)&gt;0,SUM(GC14:GD14,GF14:GH14,GJ14)-SUM(GE14,GI14),"")</f>
        <v/>
      </c>
      <c r="GV14" s="12" t="str">
        <f>IF(SUM(FU14:FV14,FX14:FZ14,GB14:GD14,GF14:GH14,GJ14)-SUM(FW14,GA14,GE14,GI14)&gt;0,SUM(FU14:FV14,FX14:FZ14,GB14:GD14,GF14:GH14,GJ14)-SUM(FW14,GA14,GE14,GI14),"")</f>
        <v/>
      </c>
      <c r="GW14" s="12" t="str">
        <f>IF(SUM(GK14:GL14,GN14:GP14,GR14)-SUM(GM14,GQ14)&gt;0,SUM(GK14:GL14,GN14:GP14,GR14)-SUM(GM14,GQ14),"")</f>
        <v/>
      </c>
      <c r="GX14" s="12" t="str">
        <f>IF(SUM(GV14,GW14)&gt;0,SUM(GV14,GW14),"")</f>
        <v/>
      </c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15" t="str">
        <f>IF(SUM(GZ14,HD14,HH14,HL14)&gt;0,SUM(GZ14,HD14,HH14,HL14),"")</f>
        <v/>
      </c>
      <c r="HX14" s="15" t="str">
        <f>IF(SUM(GY14:GZ14,HB14:HD14,HF14)-SUM(HA14,HE14)&gt;0,SUM(GY14:GZ14,HB14:HD14,HF14)-SUM(HA14,HE14),"")</f>
        <v/>
      </c>
      <c r="HY14" s="15" t="str">
        <f>IF(SUM(HG14:HH14,HJ14:HL14,HN14)-SUM(HI14,HM14)&gt;0,SUM(HG14:HH14,HJ14:HL14,HN14)-SUM(HI14,HM14),"")</f>
        <v/>
      </c>
      <c r="HZ14" s="15" t="str">
        <f>IF(SUM(GY14:GZ14,HB14:HD14,HF14:HH14,HJ14:HL14,HN14)-SUM(HA14,HE14,HI14,HM14)&gt;0,SUM(GY14:GZ14,HB14:HD14,HF14:HH14,HJ14:HL14,HN14)-SUM(HA14,HE14,HI14,HM14),"")</f>
        <v/>
      </c>
      <c r="IA14" s="15" t="str">
        <f>IF(SUM(HO14:HP14,HR14:HT14,HV14)-SUM(HQ14,HU14)&gt;0,SUM(HO14:HP14,HR14:HT14,HV14)-SUM(HQ14,HU14),"")</f>
        <v/>
      </c>
      <c r="IB14" s="15" t="str">
        <f>IF(SUM(HZ14,IA14)&gt;0,SUM(HZ14,IA14),"")</f>
        <v/>
      </c>
      <c r="IC14" s="51"/>
      <c r="ID14" s="51"/>
      <c r="IE14" s="51"/>
      <c r="IF14" s="51"/>
      <c r="IG14" s="51"/>
      <c r="IH14" s="51"/>
      <c r="II14" s="51"/>
      <c r="IJ14" s="51"/>
      <c r="IK14" s="51"/>
      <c r="IL14" s="51"/>
      <c r="IM14" s="51"/>
      <c r="IN14" s="51"/>
      <c r="IO14" s="51"/>
      <c r="IP14" s="51"/>
      <c r="IQ14" s="51"/>
      <c r="IR14" s="51"/>
      <c r="IS14" s="51"/>
      <c r="IT14" s="51"/>
      <c r="IU14" s="51"/>
      <c r="IV14" s="51"/>
      <c r="IW14" s="51"/>
      <c r="IX14" s="51"/>
      <c r="IY14" s="51"/>
      <c r="IZ14" s="51"/>
      <c r="JA14" s="12" t="str">
        <f>IF(SUM(ID14,IH14,IL14,IP14)&gt;0,SUM(ID14,IH14,IL14,IP14),"")</f>
        <v/>
      </c>
      <c r="JB14" s="12" t="str">
        <f>IF(SUM(IC14:ID14,IF14:IH14,IJ14)-SUM(IE14,II14)&gt;0,SUM(IC14:ID14,IF14:IH14,IJ14)-SUM(IE14,II14),"")</f>
        <v/>
      </c>
      <c r="JC14" s="12" t="str">
        <f>IF(SUM(IK14:IL14,IN14:IP14,IR14)-SUM(IM14,IQ14)&gt;0,SUM(IK14:IL14,IN14:IP14,IR14)-SUM(IM14,IQ14),"")</f>
        <v/>
      </c>
      <c r="JD14" s="12" t="str">
        <f>IF(SUM(IC14:ID14,IF14:IH14,IJ14:IL14,IN14:IP14,IR14)-SUM(IE14,II14,IM14,IQ14)&gt;0,SUM(IC14:ID14,IF14:IH14,IJ14:IL14,IN14:IP14,IR14)-SUM(IE14,II14,IM14,IQ14),"")</f>
        <v/>
      </c>
      <c r="JE14" s="12" t="str">
        <f>IF(SUM(IS14:IT14,IV14:IX14,IZ14)-SUM(IU14,IY14)&gt;0,SUM(IS14:IT14,IV14:IX14,IZ14)-SUM(IU14,IY14),"")</f>
        <v/>
      </c>
      <c r="JF14" s="12" t="str">
        <f>IF(SUM(JD14,JE14)&gt;0,SUM(JD14,JE14),"")</f>
        <v/>
      </c>
      <c r="JG14" s="50"/>
      <c r="JH14" s="50"/>
      <c r="JI14" s="50"/>
      <c r="JJ14" s="50"/>
      <c r="JK14" s="50"/>
      <c r="JL14" s="50"/>
      <c r="JM14" s="50"/>
      <c r="JN14" s="50"/>
      <c r="JO14" s="50"/>
      <c r="JP14" s="50"/>
      <c r="JQ14" s="50"/>
      <c r="JR14" s="50"/>
      <c r="JS14" s="50"/>
      <c r="JT14" s="50"/>
      <c r="JU14" s="50"/>
      <c r="JV14" s="50"/>
      <c r="JW14" s="50"/>
      <c r="JX14" s="50"/>
      <c r="JY14" s="50"/>
      <c r="JZ14" s="50"/>
      <c r="KA14" s="50"/>
      <c r="KB14" s="50"/>
      <c r="KC14" s="50"/>
      <c r="KD14" s="50"/>
      <c r="KE14" s="15" t="str">
        <f>IF(SUM(JH14,JL14,JP14,JT14)&gt;0,SUM(JH14,JL14,JP14,JT14),"")</f>
        <v/>
      </c>
      <c r="KF14" s="15" t="str">
        <f>IF(SUM(JG14:JH14,JJ14:JL14,JN14)-SUM(JI14,JM14)&gt;0,SUM(JG14:JH14,JJ14:JL14,JN14)-SUM(JI14,JM14),"")</f>
        <v/>
      </c>
      <c r="KG14" s="15" t="str">
        <f>IF(SUM(JO14:JP14,JR14:JT14,JV14)-SUM(JQ14,JU14)&gt;0,SUM(JO14:JP14,JR14:JT14,JV14)-SUM(JQ14,JU14),"")</f>
        <v/>
      </c>
      <c r="KH14" s="15" t="str">
        <f>IF(SUM(JG14:JH14,JJ14:JL14,JN14:JP14,JR14:JT14,JV14)-SUM(JI14,JM14,JQ14,JU14)&gt;0,SUM(JG14:JH14,JJ14:JL14,JN14:JP14,JR14:JT14,JV14)-SUM(JI14,JM14,JQ14,JU14),"")</f>
        <v/>
      </c>
      <c r="KI14" s="15" t="str">
        <f>IF(SUM(JW14:JX14,JZ14:KB14,KD14)-SUM(JY14,KC14)&gt;0,SUM(JW14:JX14,JZ14:KB14,KD14)-SUM(JY14,KC14),"")</f>
        <v/>
      </c>
      <c r="KJ14" s="15" t="str">
        <f>IF(SUM(KH14,KI14)&gt;0,SUM(KH14,KI14),"")</f>
        <v/>
      </c>
      <c r="KK14" s="51"/>
      <c r="KL14" s="51"/>
      <c r="KM14" s="51"/>
      <c r="KN14" s="51"/>
      <c r="KO14" s="51"/>
      <c r="KP14" s="51"/>
      <c r="KQ14" s="51"/>
      <c r="KR14" s="51"/>
      <c r="KS14" s="51"/>
      <c r="KT14" s="51"/>
      <c r="KU14" s="51"/>
      <c r="KV14" s="51"/>
      <c r="KW14" s="51"/>
      <c r="KX14" s="51"/>
      <c r="KY14" s="51"/>
      <c r="KZ14" s="51"/>
      <c r="LA14" s="51"/>
      <c r="LB14" s="51"/>
      <c r="LC14" s="51"/>
      <c r="LD14" s="51"/>
      <c r="LE14" s="51"/>
      <c r="LF14" s="51"/>
      <c r="LG14" s="51"/>
      <c r="LH14" s="51"/>
      <c r="LI14" s="12" t="str">
        <f>IF(SUM(KL14,KP14,KT14,KX14)&gt;0,SUM(KL14,KP14,KT14,KX14),"")</f>
        <v/>
      </c>
      <c r="LJ14" s="12" t="str">
        <f>IF(SUM(KK14:KL14,KN14:KP14,KR14)-SUM(KM14,KQ14)&gt;0,SUM(KK14:KL14,KN14:KP14,KR14)-SUM(KM14,KQ14),"")</f>
        <v/>
      </c>
      <c r="LK14" s="12" t="str">
        <f>IF(SUM(KS14:KT14,KV14:KX14,KZ14)-SUM(KU14,KY14)&gt;0,SUM(KS14:KT14,KV14:KX14,KZ14)-SUM(KU14,KY14),"")</f>
        <v/>
      </c>
      <c r="LL14" s="12" t="str">
        <f>IF(SUM(KK14:KL14,KN14:KP14,KR14:KT14,KV14:KX14,KZ14)-SUM(KM14,KQ14,KU14,KY14)&gt;0,SUM(KK14:KL14,KN14:KP14,KR14:KT14,KV14:KX14,KZ14)-SUM(KM14,KQ14,KU14,KY14),"")</f>
        <v/>
      </c>
      <c r="LM14" s="12" t="str">
        <f>IF(SUM(LA14:LB14,LD14:LF14,LH14)-SUM(LC14,LG14)&gt;0,SUM(LA14:LB14,LD14:LF14,LH14)-SUM(LC14,LG14),"")</f>
        <v/>
      </c>
      <c r="LN14" s="12" t="str">
        <f>IF(SUM(LL14,LM14)&gt;0,SUM(LL14,LM14),"")</f>
        <v/>
      </c>
      <c r="LO14" s="50"/>
      <c r="LP14" s="50"/>
      <c r="LQ14" s="50"/>
      <c r="LR14" s="50"/>
      <c r="LS14" s="50"/>
      <c r="LT14" s="50"/>
      <c r="LU14" s="50"/>
      <c r="LV14" s="50"/>
      <c r="LW14" s="50"/>
      <c r="LX14" s="50"/>
      <c r="LY14" s="50"/>
      <c r="LZ14" s="50"/>
      <c r="MA14" s="50"/>
      <c r="MB14" s="50"/>
      <c r="MC14" s="50"/>
      <c r="MD14" s="50"/>
      <c r="ME14" s="50"/>
      <c r="MF14" s="50"/>
      <c r="MG14" s="50"/>
      <c r="MH14" s="50"/>
      <c r="MI14" s="50"/>
      <c r="MJ14" s="50"/>
      <c r="MK14" s="50"/>
      <c r="ML14" s="50"/>
      <c r="MM14" s="15" t="str">
        <f>IF(SUM(LP14,LT14,LX14,MB14)&gt;0,SUM(LP14,LT14,LX14,MB14),"")</f>
        <v/>
      </c>
      <c r="MN14" s="15" t="str">
        <f>IF(SUM(LO14:LP14,LR14:LT14,LV14)-SUM(LQ14,LU14)&gt;0,SUM(LO14:LP14,LR14:LT14,LV14)-SUM(LQ14,LU14),"")</f>
        <v/>
      </c>
      <c r="MO14" s="15" t="str">
        <f>IF(SUM(LW14:LX14,LZ14:MB14,MD14)-SUM(LY14,MC14)&gt;0,SUM(LW14:LX14,LZ14:MB14,MD14)-SUM(LY14,MC14),"")</f>
        <v/>
      </c>
      <c r="MP14" s="15" t="str">
        <f>IF(SUM(LO14:LP14,LR14:LT14,LV14:LX14,LZ14:MB14,MD14)-SUM(LQ14,LU14,LY14,MC14)&gt;0,SUM(LO14:LP14,LR14:LT14,LV14:LX14,LZ14:MB14,MD14)-SUM(LQ14,LU14,LY14,MC14),"")</f>
        <v/>
      </c>
      <c r="MQ14" s="15" t="str">
        <f>IF(SUM(ME14:MF14,MH14:MJ14,ML14)-SUM(MG14,MK14)&gt;0,SUM(ME14:MF14,MH14:MJ14,ML14)-SUM(MG14,MK14),"")</f>
        <v/>
      </c>
      <c r="MR14" s="15" t="str">
        <f>IF(SUM(MP14,MQ14)&gt;0,SUM(MP14,MQ14),"")</f>
        <v/>
      </c>
      <c r="MS14" s="51"/>
      <c r="MT14" s="51"/>
      <c r="MU14" s="51"/>
      <c r="MV14" s="51"/>
      <c r="MW14" s="51"/>
      <c r="MX14" s="51"/>
      <c r="MY14" s="51"/>
      <c r="MZ14" s="51"/>
      <c r="NA14" s="51"/>
      <c r="NB14" s="51"/>
      <c r="NC14" s="51"/>
      <c r="ND14" s="51"/>
      <c r="NE14" s="51"/>
      <c r="NF14" s="51"/>
      <c r="NG14" s="51"/>
      <c r="NH14" s="51"/>
      <c r="NI14" s="51"/>
      <c r="NJ14" s="51"/>
      <c r="NK14" s="51"/>
      <c r="NL14" s="51"/>
      <c r="NM14" s="51"/>
      <c r="NN14" s="51"/>
      <c r="NO14" s="51"/>
      <c r="NP14" s="51"/>
      <c r="NQ14" s="12" t="str">
        <f>IF(SUM(MT14,MX14,NB14,NF14)&gt;0,SUM(MT14,MX14,NB14,NF14),"")</f>
        <v/>
      </c>
      <c r="NR14" s="12" t="str">
        <f>IF(SUM(MS14:MT14,MV14:MX14,MZ14)-SUM(MU14,MY14)&gt;0,SUM(MS14:MT14,MV14:MX14,MZ14)-SUM(MU14,MY14),"")</f>
        <v/>
      </c>
      <c r="NS14" s="12" t="str">
        <f>IF(SUM(NA14:NB14,ND14:NF14,NH14)-SUM(NC14,NG14)&gt;0,SUM(NA14:NB14,ND14:NF14,NH14)-SUM(NC14,NG14),"")</f>
        <v/>
      </c>
      <c r="NT14" s="12" t="str">
        <f>IF(SUM(MS14:MT14,MV14:MX14,MZ14:NB14,ND14:NF14,NH14)-SUM(MU14,MY14,NC14,NG14)&gt;0,SUM(MS14:MT14,MV14:MX14,MZ14:NB14,ND14:NF14,NH14)-SUM(MU14,MY14,NC14,NG14),"")</f>
        <v/>
      </c>
      <c r="NU14" s="12" t="str">
        <f>IF(SUM(NI14:NJ14,NL14:NN14,NP14)-SUM(NK14,NO14)&gt;0,SUM(NI14:NJ14,NL14:NN14,NP14)-SUM(NK14,NO14),"")</f>
        <v/>
      </c>
      <c r="NV14" s="12" t="str">
        <f>IF(SUM(NT14,NU14)&gt;0,SUM(NT14,NU14),"")</f>
        <v/>
      </c>
      <c r="NW14" s="50"/>
      <c r="NX14" s="50"/>
      <c r="NY14" s="50"/>
      <c r="NZ14" s="50"/>
      <c r="OA14" s="50"/>
      <c r="OB14" s="50"/>
      <c r="OC14" s="50"/>
      <c r="OD14" s="50"/>
      <c r="OE14" s="50"/>
      <c r="OF14" s="50"/>
      <c r="OG14" s="50"/>
      <c r="OH14" s="50"/>
      <c r="OI14" s="50"/>
      <c r="OJ14" s="50"/>
      <c r="OK14" s="50"/>
      <c r="OL14" s="50"/>
      <c r="OM14" s="50"/>
      <c r="ON14" s="50"/>
      <c r="OO14" s="50"/>
      <c r="OP14" s="50"/>
      <c r="OQ14" s="50"/>
      <c r="OR14" s="50"/>
      <c r="OS14" s="50"/>
      <c r="OT14" s="50"/>
      <c r="OU14" s="15" t="str">
        <f>IF(SUM(NX14,OB14,OF14,OJ14)&gt;0,SUM(NX14,OB14,OF14,OJ14),"")</f>
        <v/>
      </c>
      <c r="OV14" s="15" t="str">
        <f>IF(SUM(NW14:NX14,NZ14:OB14,OD14)-SUM(NY14,OC14)&gt;0,SUM(NW14:NX14,NZ14:OB14,OD14)-SUM(NY14,OC14),"")</f>
        <v/>
      </c>
      <c r="OW14" s="15" t="str">
        <f>IF(SUM(OE14:OF14,OH14:OJ14,OL14)-SUM(OG14,OK14)&gt;0,SUM(OE14:OF14,OH14:OJ14,OL14)-SUM(OG14,OK14),"")</f>
        <v/>
      </c>
      <c r="OX14" s="15" t="str">
        <f>IF(SUM(NW14:NX14,NZ14:OB14,OD14:OF14,OH14:OJ14,OL14)-SUM(NY14,OC14,OG14,OK14)&gt;0,SUM(NW14:NX14,NZ14:OB14,OD14:OF14,OH14:OJ14,OL14)-SUM(NY14,OC14,OG14,OK14),"")</f>
        <v/>
      </c>
      <c r="OY14" s="15" t="str">
        <f>IF(SUM(OM14:ON14,OP14:OR14,OT14)-SUM(OO14,OS14)&gt;0,SUM(OM14:ON14,OP14:OR14,OT14)-SUM(OO14,OS14),"")</f>
        <v/>
      </c>
      <c r="OZ14" s="15" t="str">
        <f>IF(SUM(OX14,OY14)&gt;0,SUM(OX14,OY14),"")</f>
        <v/>
      </c>
      <c r="PA14" s="51"/>
      <c r="PB14" s="51"/>
      <c r="PC14" s="51"/>
      <c r="PD14" s="51"/>
      <c r="PE14" s="51"/>
      <c r="PF14" s="51"/>
      <c r="PG14" s="51"/>
      <c r="PH14" s="51"/>
      <c r="PI14" s="51"/>
      <c r="PJ14" s="51"/>
      <c r="PK14" s="51"/>
      <c r="PL14" s="51"/>
      <c r="PM14" s="51"/>
      <c r="PN14" s="51"/>
      <c r="PO14" s="51"/>
      <c r="PP14" s="51"/>
      <c r="PQ14" s="51"/>
      <c r="PR14" s="51"/>
      <c r="PS14" s="51"/>
      <c r="PT14" s="51"/>
      <c r="PU14" s="51"/>
      <c r="PV14" s="51"/>
      <c r="PW14" s="51"/>
      <c r="PX14" s="51"/>
      <c r="PY14" s="12" t="str">
        <f>IF(SUM(PB14,PF14,PJ14,PN14)&gt;0,SUM(PB14,PF14,PJ14,PN14),"")</f>
        <v/>
      </c>
      <c r="PZ14" s="12" t="str">
        <f>IF(SUM(PA14:PB14,PD14:PF14,PH14)-SUM(PC14,PG14)&gt;0,SUM(PA14:PB14,PD14:PF14,PH14)-SUM(PC14,PG14),"")</f>
        <v/>
      </c>
      <c r="QA14" s="12" t="str">
        <f>IF(SUM(PI14:PJ14,PL14:PN14,PP14)-SUM(PK14,PO14)&gt;0,SUM(PI14:PJ14,PL14:PN14,PP14)-SUM(PK14,PO14),"")</f>
        <v/>
      </c>
      <c r="QB14" s="12" t="str">
        <f>IF(SUM(PA14:PB14,PD14:PF14,PH14:PJ14,PL14:PN14,PP14)-SUM(PC14,PG14,PK14,PO14)&gt;0,SUM(PA14:PB14,PD14:PF14,PH14:PJ14,PL14:PN14,PP14)-SUM(PC14,PG14,PK14,PO14),"")</f>
        <v/>
      </c>
      <c r="QC14" s="12" t="str">
        <f>IF(SUM(PQ14:PR14,PT14:PV14,PX14)-SUM(PS14,PW14)&gt;0,SUM(PQ14:PR14,PT14:PV14,PX14)-SUM(PS14,PW14),"")</f>
        <v/>
      </c>
      <c r="QD14" s="12" t="str">
        <f>IF(SUM(QB14,QC14)&gt;0,SUM(QB14,QC14),"")</f>
        <v/>
      </c>
      <c r="QE14" s="50"/>
      <c r="QF14" s="50"/>
      <c r="QG14" s="50"/>
      <c r="QH14" s="50"/>
      <c r="QI14" s="50"/>
      <c r="QJ14" s="50"/>
      <c r="QK14" s="50"/>
      <c r="QL14" s="50"/>
      <c r="QM14" s="50"/>
      <c r="QN14" s="50"/>
      <c r="QO14" s="50"/>
      <c r="QP14" s="50"/>
      <c r="QQ14" s="50"/>
      <c r="QR14" s="50"/>
      <c r="QS14" s="50"/>
      <c r="QT14" s="50"/>
      <c r="QU14" s="50"/>
      <c r="QV14" s="50"/>
      <c r="QW14" s="50"/>
      <c r="QX14" s="50"/>
      <c r="QY14" s="50"/>
      <c r="QZ14" s="50"/>
      <c r="RA14" s="50"/>
      <c r="RB14" s="50"/>
      <c r="RC14" s="15" t="str">
        <f>IF(SUM(QF14,QJ14,QN14,QR14)&gt;0,SUM(QF14,QJ14,QN14,QR14),"")</f>
        <v/>
      </c>
      <c r="RD14" s="15" t="str">
        <f>IF(SUM(QE14:QF14,QH14:QJ14,QL14)-SUM(QG14,QK14)&gt;0,SUM(QE14:QF14,QH14:QJ14,QL14)-SUM(QG14,QK14),"")</f>
        <v/>
      </c>
      <c r="RE14" s="15" t="str">
        <f>IF(SUM(QM14:QN14,QP14:QR14,QT14)-SUM(QO14,QS14)&gt;0,SUM(QM14:QN14,QP14:QR14,QT14)-SUM(QO14,QS14),"")</f>
        <v/>
      </c>
      <c r="RF14" s="15" t="str">
        <f>IF(SUM(QE14:QF14,QH14:QJ14,QL14:QN14,QP14:QR14,QT14)-SUM(QG14,QK14,QO14,QS14)&gt;0,SUM(QE14:QF14,QH14:QJ14,QL14:QN14,QP14:QR14,QT14)-SUM(QG14,QK14,QO14,QS14),"")</f>
        <v/>
      </c>
      <c r="RG14" s="15" t="str">
        <f>IF(SUM(QU14:QV14,QX14:QZ14,RB14)-SUM(QW14,RA14)&gt;0,SUM(QU14:QV14,QX14:QZ14,RB14)-SUM(QW14,RA14),"")</f>
        <v/>
      </c>
      <c r="RH14" s="15" t="str">
        <f>IF(SUM(RF14,RG14)&gt;0,SUM(RF14,RG14),"")</f>
        <v/>
      </c>
    </row>
    <row r="15" spans="1:476" x14ac:dyDescent="0.2">
      <c r="A15" s="6" t="str">
        <f>IF(AND(F15="P",H15="P"),SUMPRODUCT((F$4:F$16="P")*(H$4:H$16="P")*(E$4:E$16&gt;E15))+1,IF(H15="P",SUMPRODUCT((F$4:F$16="")*(H$4:H$16="P")*(E$4:E$16&gt;E15))+1+SUMPRODUCT((F$4:F$16="P")*(H$4:H$16="P")),""))</f>
        <v/>
      </c>
      <c r="B15" s="9" t="s">
        <v>96</v>
      </c>
      <c r="C15" s="5" t="s">
        <v>5</v>
      </c>
      <c r="D15" s="6">
        <v>2000</v>
      </c>
      <c r="E15" s="16">
        <f>SUM(J15:R15)</f>
        <v>201.89999999999998</v>
      </c>
      <c r="F15" s="4" t="str">
        <f>IF(OR(AND($AT15&gt;=$AU$19,NOT($AT15=""),$AS15=""),AND($BY15&gt;=$BZ$19,NOT($BY15=""),$BX15=""),AND($DD15&gt;=$DE$19,NOT($DD15=""),$DC15="")),"P","")</f>
        <v/>
      </c>
      <c r="G15" s="4" t="str">
        <f>IF(OR(AND($AT15&gt;=$AU$20,NOT($AT15=""),$AS15=""),AND($BY15&gt;=$BZ$20,NOT($BY15=""),$BX15=""),AND($DD15&gt;=$DE$20,NOT($DD15=""),$DC15="")),"P","")</f>
        <v/>
      </c>
      <c r="H15" s="4" t="str">
        <f>IF(OR(AND($AW15&gt;=$AU$21,NOT($AW15=""),$AS15=""),AND($CB15&gt;=$BZ$21,NOT($CB15=""),$BX15=""),AND($DG15&gt;=$DE$21,NOT($DG15=""),$DC15="")),"P","")</f>
        <v/>
      </c>
      <c r="I15" t="str">
        <f>IF(AND(G15="P",OR(AND($AW15&gt;=$AU$24,NOT($AW15=""),$AS15=""),AND($CB15&gt;=$BZ$24,NOT($CB15=""),$BX15=""),AND($DG15&gt;=$DE$24,NOT($DG15=""),$DC15=""))),"Merit",IF(AND(G15="P",OR(AND($AW15&gt;=$AU$23,NOT($AW15=""),$AS15=""),AND($CB15&gt;=$BZ$23,NOT($CB15=""),$BX15=""),AND($DG15&gt;=$DE$23,NOT($DG15=""),$DC15=""))),"Funding",IF(AND(G15="P",OR(AND($AW15&gt;=$AU$22,NOT($AW15=""),$AS15=""),AND($CB15&gt;=$BZ$22,NOT($CB15=""),$BX15=""),AND($DG15&gt;=$DE$22,NOT($DG15=""),$DC15=""))),"Worlds Team",IF(AND(F15="P",OR(AND($AW15&gt;=$AU$21,NOT($AW15=""),$AS15=""),AND($CB15&gt;=$BZ$21,NOT($CB15=""),$BX15=""),AND($DG15&gt;=$DE$21,NOT($DG15=""),$DC15=""))),"National Team",""))))</f>
        <v/>
      </c>
      <c r="J15" s="15">
        <f>MAX(AW15,CB15,DG15)</f>
        <v>110.89999999999999</v>
      </c>
      <c r="K15" s="15" t="str">
        <f>IF(J15=DG15,$CE$1,IF(J15=CB15,$AZ$1,IF(J15=AW15,$U$1,"")))</f>
        <v>2018 Canada Cup</v>
      </c>
      <c r="L15" s="15">
        <f>IF($J15=$AW15,MAX(BZ15,DE15),IF($J15=$CB15,MAX(AU15,DE15),MAX(AU15,BZ15)))</f>
        <v>33.200000000000003</v>
      </c>
      <c r="M15" s="15" t="str">
        <f>IF(L15=DE15,$CE$1,IF(L15=BZ15,$AZ$1,IF(L15=AU15,$U$1,"")))</f>
        <v>2018 Nationals</v>
      </c>
      <c r="N15" s="15">
        <f>IF($J15=$AW15,MAX(CA15,DF15),IF($J15=$CB15,MAX(AV15,DF15),MAX(AV15,CA15)))</f>
        <v>57.8</v>
      </c>
      <c r="O15" s="15" t="str">
        <f>IF(N15=DF15,$CE$1,IF(N15=CA15,$AZ$1,IF(N15=AV15,$U$1,"")))</f>
        <v>2018 Nationals</v>
      </c>
      <c r="P15" s="15">
        <f>MAX(AX15,CC15,DH15)</f>
        <v>0</v>
      </c>
      <c r="Q15" s="15" t="str">
        <f>IF(P15=DH15,$CE$1,IF(P15=CC15,$AZ$1,IF(P15=AX15,$U$1,"")))</f>
        <v/>
      </c>
      <c r="R15" s="15" t="str">
        <f>IF(MAX(DJ15:DL15)&gt;0,MAX(DJ15:DL15),"")</f>
        <v/>
      </c>
      <c r="S15" s="29" t="str">
        <f>IF(R15="","",IF(R15=DJ15,"(Pass 1-2)",IF(R15=DK15,"(Pass 3-4)",IF(R15=DL15,"(Final)"))))</f>
        <v/>
      </c>
      <c r="T15" s="15" t="str">
        <f>IF(R15="","",IF(R15=DJ15,IF(R15+L15=RD15,$QE$1,IF(R15+L15=PZ15,$PA$1,IF(R15+L15=OV15,$NW$1,IF(R15+L15=NR15,$MS$1,IF(R15+L15=MN15,$LO$1,IF(R15+L15=LJ15,$KK$1,IF(R15+L15=KF15,$JG$1,IF(R15+L15=JB15,$IC$1,IF(R15+L15=HX15,$GY$1,IF(R15+L15=GT15,$FU$1,IF(R15+L15=FP15,$EQ$1,IF(R15+L15=EL15,$DM$1)))))))))))),IF(R15=DK15,IF(R15+N15=RE15,$QE$1,IF(R15+N15=QA15,$PA$1,IF(R15+N15=OW15,$NW$1,IF(R15+N15=NS15,$MS$1,IF(R15+N15=MO15,$LO$1,IF(R15+N15=LK15,$KK$1,IF(R15+N15=KG15,$JG$1,IF(R15+N15=JC15,$IC$1,IF(R15+N15=HY15,$GY$1,IF(R15+N15=GU15,$FU$1,IF(R15+N15=FQ15,$EQ$1,IF(R15+N15=EM15,$DM$1)))))))))))),IF(R15=DL15,IF(R15+P15=RG15,$QE$1,IF(R15+P15=QC15,$PA$1,IF(R15+P15=OY15,$NW$1,IF(R15+P15=NU15,$MS$1,IF(R15+P15=MQ15,$LO$1,IF(R15+P15=LM15,$KK$1,IF(R15+P15=KI15,$JG$1,IF(R15+P15=JE15,$IC$1,IF(R15+P15=IA15,$GY$1,IF(R15+P15=GW15,$FU$1,IF(R15+P15=FS15,$EQ$1,IF(R15+P15=EO15,$DM$1))))))))))))))))</f>
        <v/>
      </c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108"/>
      <c r="AT15" s="12" t="str">
        <f>IF(SUM(V15,Z15,AD15,AH15)&gt;0,SUM(V15,Z15,AD15,AH15),"")</f>
        <v/>
      </c>
      <c r="AU15" s="12" t="str">
        <f>IF(SUM(U15:V15,X15:Z15,AB15)-SUM(W15,AA15)&gt;0,SUM(U15:V15,X15:Z15,AB15)-SUM(W15,AA15),"")</f>
        <v/>
      </c>
      <c r="AV15" s="12" t="str">
        <f>IF(SUM(AC15:AD15,AF15:AH15,AJ15)-SUM(AE15,AI15)&gt;0,SUM(AC15:AD15,AF15:AH15,AJ15)-SUM(AE15,AI15),"")</f>
        <v/>
      </c>
      <c r="AW15" s="12" t="str">
        <f>IF(SUM(U15:V15,X15:Z15,AB15:AD15,AF15:AH15,AJ15)-SUM(W15,AA15,AE15,AI15)&gt;0,SUM(U15:V15,X15:Z15,AB15:AD15,AF15:AH15,AJ15)-SUM(W15,AA15,AE15,AI15),"")</f>
        <v/>
      </c>
      <c r="AX15" s="12" t="str">
        <f>IF(SUM(AK15:AL15,AN15:AP15,AR15)-SUM(AM15,AQ15)&gt;0,SUM(AK15:AL15,AN15:AP15,AR15)-SUM(AM15,AQ15),"")</f>
        <v/>
      </c>
      <c r="AY15" s="12" t="str">
        <f>IF(SUM(AW15,AX15)&gt;0,SUM(AW15,AX15),"")</f>
        <v/>
      </c>
      <c r="AZ15" s="80">
        <v>19.5</v>
      </c>
      <c r="BA15" s="80">
        <v>3.6</v>
      </c>
      <c r="BB15" s="80">
        <v>0</v>
      </c>
      <c r="BC15" s="80">
        <v>0</v>
      </c>
      <c r="BD15" s="80">
        <v>27.3</v>
      </c>
      <c r="BE15" s="80">
        <v>5.6</v>
      </c>
      <c r="BF15" s="80">
        <v>0.3</v>
      </c>
      <c r="BG15" s="80">
        <v>0</v>
      </c>
      <c r="BH15" s="80">
        <v>19.5</v>
      </c>
      <c r="BI15" s="80">
        <v>3.2</v>
      </c>
      <c r="BJ15" s="80">
        <v>0</v>
      </c>
      <c r="BK15" s="80">
        <v>0</v>
      </c>
      <c r="BL15" s="80">
        <v>27.4</v>
      </c>
      <c r="BM15" s="80">
        <v>6</v>
      </c>
      <c r="BN15" s="80">
        <v>0.9</v>
      </c>
      <c r="BO15" s="80">
        <v>0</v>
      </c>
      <c r="BP15" s="80"/>
      <c r="BQ15" s="80"/>
      <c r="BR15" s="80"/>
      <c r="BS15" s="80"/>
      <c r="BT15" s="80"/>
      <c r="BU15" s="80"/>
      <c r="BV15" s="80"/>
      <c r="BW15" s="80"/>
      <c r="BX15" s="105"/>
      <c r="BY15" s="110">
        <f>IF(SUM(BA15,BE15,BI15,BM15)&gt;0,SUM(BA15,BE15,BI15,BM15),"")</f>
        <v>18.399999999999999</v>
      </c>
      <c r="BZ15" s="110">
        <f>IF(SUM(AZ15:BA15,BC15:BE15,BG15)-SUM(BB15,BF15)&gt;0,SUM(AZ15:BA15,BC15:BE15,BG15)-SUM(BB15,BF15),"")</f>
        <v>55.70000000000001</v>
      </c>
      <c r="CA15" s="110">
        <f>IF(SUM(BH15:BI15,BK15:BM15,BO15)-SUM(BJ15,BN15)&gt;0,SUM(BH15:BI15,BK15:BM15,BO15)-SUM(BJ15,BN15),"")</f>
        <v>55.199999999999996</v>
      </c>
      <c r="CB15" s="110">
        <f>IF(SUM(AZ15:BA15,BC15:BE15,BG15:BI15,BK15:BM15,BO15)-SUM(BB15,BF15,BJ15,BN15)&gt;0,SUM(AZ15:BA15,BC15:BE15,BG15:BI15,BK15:BM15,BO15)-SUM(BB15,BF15,BJ15,BN15),"")</f>
        <v>110.89999999999999</v>
      </c>
      <c r="CC15" s="110" t="str">
        <f>IF(SUM(BP15:BQ15,BS15:BU15,BW15)-SUM(BR15,BV15)&gt;0,SUM(BP15:BQ15,BS15:BU15,BW15)-SUM(BR15,BV15),"")</f>
        <v/>
      </c>
      <c r="CD15" s="110">
        <f>IF(SUM(CB15,CC15)&gt;0,SUM(CB15,CC15),"")</f>
        <v>110.89999999999999</v>
      </c>
      <c r="CE15" s="45">
        <v>0</v>
      </c>
      <c r="CF15" s="45">
        <v>0</v>
      </c>
      <c r="CG15" s="45">
        <v>0</v>
      </c>
      <c r="CH15" s="45">
        <v>0</v>
      </c>
      <c r="CI15" s="45">
        <v>28.1</v>
      </c>
      <c r="CJ15" s="45">
        <v>6</v>
      </c>
      <c r="CK15" s="45">
        <v>0.9</v>
      </c>
      <c r="CL15" s="45">
        <v>0</v>
      </c>
      <c r="CM15" s="45">
        <v>27.1</v>
      </c>
      <c r="CN15" s="45">
        <v>7.6</v>
      </c>
      <c r="CO15" s="45">
        <v>0</v>
      </c>
      <c r="CP15" s="45">
        <v>0</v>
      </c>
      <c r="CQ15" s="45">
        <v>20.3</v>
      </c>
      <c r="CR15" s="45">
        <v>2.8</v>
      </c>
      <c r="CS15" s="45">
        <v>0</v>
      </c>
      <c r="CT15" s="45">
        <v>0</v>
      </c>
      <c r="CU15" s="45"/>
      <c r="CV15" s="45"/>
      <c r="CW15" s="45"/>
      <c r="CX15" s="45"/>
      <c r="CY15" s="45"/>
      <c r="CZ15" s="45"/>
      <c r="DA15" s="45"/>
      <c r="DB15" s="45"/>
      <c r="DC15" s="108"/>
      <c r="DD15" s="12">
        <f>IF(SUM(CF15,CJ15,CN15,CR15)&gt;0,SUM(CF15,CJ15,CN15,CR15),"")</f>
        <v>16.399999999999999</v>
      </c>
      <c r="DE15" s="12">
        <f>IF(SUM(CE15:CF15,CH15:CJ15,CL15)-SUM(CG15,CK15)&gt;0,SUM(CE15:CF15,CH15:CJ15,CL15)-SUM(CG15,CK15),"")</f>
        <v>33.200000000000003</v>
      </c>
      <c r="DF15" s="12">
        <f>IF(SUM(CM15:CN15,CP15:CR15,CT15)-SUM(CO15,CS15)&gt;0,SUM(CM15:CN15,CP15:CR15,CT15)-SUM(CO15,CS15),"")</f>
        <v>57.8</v>
      </c>
      <c r="DG15" s="12">
        <f>IF(SUM(CE15:CF15,CH15:CJ15,CL15:CN15,CP15:CR15,CT15)-SUM(CG15,CK15,CO15,CS15)&gt;0,SUM(CE15:CF15,CH15:CJ15,CL15:CN15,CP15:CR15,CT15)-SUM(CG15,CK15,CO15,CS15),"")</f>
        <v>90.999999999999986</v>
      </c>
      <c r="DH15" s="12" t="str">
        <f>IF(SUM(CU15:CV15,CX15:CZ15,DB15)-SUM(CW15,DA15)&gt;0,SUM(CU15:CV15,CX15:CZ15,DB15)-SUM(CW15,DA15),"")</f>
        <v/>
      </c>
      <c r="DI15" s="12">
        <f>IF(SUM(DG15,DH15)&gt;0,SUM(DG15,DH15),"")</f>
        <v>90.999999999999986</v>
      </c>
      <c r="DJ15" s="28" t="str">
        <f>IF(MAX(EL15,FP15,GT15,HX15,JB15,KF15,LJ15,MN15,NR15,OV15,PZ15,RD15)-L15&gt;0.001,MAX(EL15,FP15,GT15,HX15,JB15,KF15,LJ15,MN15,NR15,OV15,PZ15,RD15)-L15,"")</f>
        <v/>
      </c>
      <c r="DK15" s="28" t="str">
        <f>IF(MAX(EM15,FQ15,GU15,HY15,JC15,KG15,LK15,MO15,NS15,OW15,QA15,RE15)-N15&gt;0.001,MAX(EM15,FQ15,GU15,HY15,JC15,KG15,LK15,MO15,NS15,OW15,QA15,RE15)-N15,"")</f>
        <v/>
      </c>
      <c r="DL15" s="28" t="str">
        <f>IF(MAX(EO15,FS15,GW15,IA15,JE15,KI15,LM15,MQ15,OY15,QC15,RG15)-P15&gt;0.001,MAX(EO15,FS15,GW15,IA15,JE15,KI15,LM15,MQ15,OY15,QC15,RG15)-P15,"")</f>
        <v/>
      </c>
      <c r="DM15" s="45"/>
      <c r="DN15" s="45"/>
      <c r="DO15" s="45"/>
      <c r="DP15" s="45"/>
      <c r="DQ15" s="45"/>
      <c r="DR15" s="45"/>
      <c r="DS15" s="45"/>
      <c r="DT15" s="45"/>
      <c r="DU15" s="45"/>
      <c r="DV15" s="45"/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12" t="str">
        <f>IF(SUM(DN15,DR15,DV15,DZ15)&gt;0,SUM(DN15,DR15,DV15,DZ15),"")</f>
        <v/>
      </c>
      <c r="EL15" s="12" t="str">
        <f>IF(SUM(DM15:DN15,DP15:DR15,DT15)-SUM(DO15,DS15)&gt;0,SUM(DM15:DN15,DP15:DR15,DT15)-SUM(DO15,DS15),"")</f>
        <v/>
      </c>
      <c r="EM15" s="12" t="str">
        <f>IF(SUM(DU15:DV15,DX15:DZ15,EB15)-SUM(DW15,EA15)&gt;0,SUM(DU15:DV15,DX15:DZ15,EB15)-SUM(DW15,EA15),"")</f>
        <v/>
      </c>
      <c r="EN15" s="12" t="str">
        <f>IF(SUM(DM15:DN15,DP15:DR15,DT15:DV15,DX15:DZ15,EB15)-SUM(DO15,DS15,DW15,EA15)&gt;0,SUM(DM15:DN15,DP15:DR15,DT15:DV15,DX15:DZ15,EB15)-SUM(DO15,DS15,DW15,EA15),"")</f>
        <v/>
      </c>
      <c r="EO15" s="12" t="str">
        <f>IF(SUM(EC15:ED15,EF15:EH15,EJ15)-SUM(EE15,EI15)&gt;0,SUM(EC15:ED15,EF15:EH15,EJ15)-SUM(EE15,EI15),"")</f>
        <v/>
      </c>
      <c r="EP15" s="12" t="str">
        <f>IF(SUM(EN15,EO15)&gt;0,SUM(EN15,EO15),"")</f>
        <v/>
      </c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  <c r="FF15" s="50"/>
      <c r="FG15" s="50"/>
      <c r="FH15" s="50"/>
      <c r="FI15" s="50"/>
      <c r="FJ15" s="50"/>
      <c r="FK15" s="50"/>
      <c r="FL15" s="50"/>
      <c r="FM15" s="50"/>
      <c r="FN15" s="50"/>
      <c r="FO15" s="15" t="str">
        <f>IF(SUM(ER15,EV15,EZ15,FD15)&gt;0,SUM(ER15,EV15,EZ15,FD15),"")</f>
        <v/>
      </c>
      <c r="FP15" s="15" t="str">
        <f>IF(SUM(EQ15:ER15,ET15:EV15,EX15)-SUM(ES15,EW15)&gt;0,SUM(EQ15:ER15,ET15:EV15,EX15)-SUM(ES15,EW15),"")</f>
        <v/>
      </c>
      <c r="FQ15" s="15" t="str">
        <f>IF(SUM(EY15:EZ15,FB15:FD15,FF15)-SUM(FA15,FE15)&gt;0,SUM(EY15:EZ15,FB15:FD15,FF15)-SUM(FA15,FE15),"")</f>
        <v/>
      </c>
      <c r="FR15" s="15" t="str">
        <f>IF(SUM(EQ15:ER15,ET15:EV15,EX15:EZ15,FB15:FD15,FF15)-SUM(ES15,EW15,FA15,FE15)&gt;0,SUM(EQ15:ER15,ET15:EV15,EX15:EZ15,FB15:FD15,FF15)-SUM(ES15,EW15,FA15,FE15),"")</f>
        <v/>
      </c>
      <c r="FS15" s="15" t="str">
        <f>IF(SUM(FG15:FH15,FJ15:FL15,FN15)-SUM(FI15,FM15)&gt;0,SUM(FG15:FH15,FJ15:FL15,FN15)-SUM(FI15,FM15),"")</f>
        <v/>
      </c>
      <c r="FT15" s="15" t="str">
        <f>IF(SUM(FR15,FS15)&gt;0,SUM(FR15,FS15),"")</f>
        <v/>
      </c>
      <c r="FU15" s="51"/>
      <c r="FV15" s="51"/>
      <c r="FW15" s="51"/>
      <c r="FX15" s="51"/>
      <c r="FY15" s="51"/>
      <c r="FZ15" s="51"/>
      <c r="GA15" s="51"/>
      <c r="GB15" s="51"/>
      <c r="GC15" s="51"/>
      <c r="GD15" s="51"/>
      <c r="GE15" s="51"/>
      <c r="GF15" s="51"/>
      <c r="GG15" s="51"/>
      <c r="GH15" s="51"/>
      <c r="GI15" s="51"/>
      <c r="GJ15" s="51"/>
      <c r="GK15" s="51"/>
      <c r="GL15" s="51"/>
      <c r="GM15" s="51"/>
      <c r="GN15" s="51"/>
      <c r="GO15" s="51"/>
      <c r="GP15" s="51"/>
      <c r="GQ15" s="51"/>
      <c r="GR15" s="51"/>
      <c r="GS15" s="12" t="str">
        <f>IF(SUM(FV15,FZ15,GD15,GH15)&gt;0,SUM(FV15,FZ15,GD15,GH15),"")</f>
        <v/>
      </c>
      <c r="GT15" s="12" t="str">
        <f>IF(SUM(FU15:FV15,FX15:FZ15,GB15)-SUM(FW15,GA15)&gt;0,SUM(FU15:FV15,FX15:FZ15,GB15)-SUM(FW15,GA15),"")</f>
        <v/>
      </c>
      <c r="GU15" s="12" t="str">
        <f>IF(SUM(GC15:GD15,GF15:GH15,GJ15)-SUM(GE15,GI15)&gt;0,SUM(GC15:GD15,GF15:GH15,GJ15)-SUM(GE15,GI15),"")</f>
        <v/>
      </c>
      <c r="GV15" s="12" t="str">
        <f>IF(SUM(FU15:FV15,FX15:FZ15,GB15:GD15,GF15:GH15,GJ15)-SUM(FW15,GA15,GE15,GI15)&gt;0,SUM(FU15:FV15,FX15:FZ15,GB15:GD15,GF15:GH15,GJ15)-SUM(FW15,GA15,GE15,GI15),"")</f>
        <v/>
      </c>
      <c r="GW15" s="12" t="str">
        <f>IF(SUM(GK15:GL15,GN15:GP15,GR15)-SUM(GM15,GQ15)&gt;0,SUM(GK15:GL15,GN15:GP15,GR15)-SUM(GM15,GQ15),"")</f>
        <v/>
      </c>
      <c r="GX15" s="12" t="str">
        <f>IF(SUM(GV15,GW15)&gt;0,SUM(GV15,GW15),"")</f>
        <v/>
      </c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15" t="str">
        <f>IF(SUM(GZ15,HD15,HH15,HL15)&gt;0,SUM(GZ15,HD15,HH15,HL15),"")</f>
        <v/>
      </c>
      <c r="HX15" s="15" t="str">
        <f>IF(SUM(GY15:GZ15,HB15:HD15,HF15)-SUM(HA15,HE15)&gt;0,SUM(GY15:GZ15,HB15:HD15,HF15)-SUM(HA15,HE15),"")</f>
        <v/>
      </c>
      <c r="HY15" s="15" t="str">
        <f>IF(SUM(HG15:HH15,HJ15:HL15,HN15)-SUM(HI15,HM15)&gt;0,SUM(HG15:HH15,HJ15:HL15,HN15)-SUM(HI15,HM15),"")</f>
        <v/>
      </c>
      <c r="HZ15" s="15" t="str">
        <f>IF(SUM(GY15:GZ15,HB15:HD15,HF15:HH15,HJ15:HL15,HN15)-SUM(HA15,HE15,HI15,HM15)&gt;0,SUM(GY15:GZ15,HB15:HD15,HF15:HH15,HJ15:HL15,HN15)-SUM(HA15,HE15,HI15,HM15),"")</f>
        <v/>
      </c>
      <c r="IA15" s="15" t="str">
        <f>IF(SUM(HO15:HP15,HR15:HT15,HV15)-SUM(HQ15,HU15)&gt;0,SUM(HO15:HP15,HR15:HT15,HV15)-SUM(HQ15,HU15),"")</f>
        <v/>
      </c>
      <c r="IB15" s="15" t="str">
        <f>IF(SUM(HZ15,IA15)&gt;0,SUM(HZ15,IA15),"")</f>
        <v/>
      </c>
      <c r="IC15" s="51"/>
      <c r="ID15" s="51"/>
      <c r="IE15" s="51"/>
      <c r="IF15" s="51"/>
      <c r="IG15" s="51"/>
      <c r="IH15" s="51"/>
      <c r="II15" s="51"/>
      <c r="IJ15" s="51"/>
      <c r="IK15" s="51"/>
      <c r="IL15" s="51"/>
      <c r="IM15" s="51"/>
      <c r="IN15" s="51"/>
      <c r="IO15" s="51"/>
      <c r="IP15" s="51"/>
      <c r="IQ15" s="51"/>
      <c r="IR15" s="51"/>
      <c r="IS15" s="51"/>
      <c r="IT15" s="51"/>
      <c r="IU15" s="51"/>
      <c r="IV15" s="51"/>
      <c r="IW15" s="51"/>
      <c r="IX15" s="51"/>
      <c r="IY15" s="51"/>
      <c r="IZ15" s="51"/>
      <c r="JA15" s="12" t="str">
        <f>IF(SUM(ID15,IH15,IL15,IP15)&gt;0,SUM(ID15,IH15,IL15,IP15),"")</f>
        <v/>
      </c>
      <c r="JB15" s="12" t="str">
        <f>IF(SUM(IC15:ID15,IF15:IH15,IJ15)-SUM(IE15,II15)&gt;0,SUM(IC15:ID15,IF15:IH15,IJ15)-SUM(IE15,II15),"")</f>
        <v/>
      </c>
      <c r="JC15" s="12" t="str">
        <f>IF(SUM(IK15:IL15,IN15:IP15,IR15)-SUM(IM15,IQ15)&gt;0,SUM(IK15:IL15,IN15:IP15,IR15)-SUM(IM15,IQ15),"")</f>
        <v/>
      </c>
      <c r="JD15" s="12" t="str">
        <f>IF(SUM(IC15:ID15,IF15:IH15,IJ15:IL15,IN15:IP15,IR15)-SUM(IE15,II15,IM15,IQ15)&gt;0,SUM(IC15:ID15,IF15:IH15,IJ15:IL15,IN15:IP15,IR15)-SUM(IE15,II15,IM15,IQ15),"")</f>
        <v/>
      </c>
      <c r="JE15" s="12" t="str">
        <f>IF(SUM(IS15:IT15,IV15:IX15,IZ15)-SUM(IU15,IY15)&gt;0,SUM(IS15:IT15,IV15:IX15,IZ15)-SUM(IU15,IY15),"")</f>
        <v/>
      </c>
      <c r="JF15" s="12" t="str">
        <f>IF(SUM(JD15,JE15)&gt;0,SUM(JD15,JE15),"")</f>
        <v/>
      </c>
      <c r="JG15" s="50"/>
      <c r="JH15" s="50"/>
      <c r="JI15" s="50"/>
      <c r="JJ15" s="50"/>
      <c r="JK15" s="50"/>
      <c r="JL15" s="50"/>
      <c r="JM15" s="50"/>
      <c r="JN15" s="50"/>
      <c r="JO15" s="50"/>
      <c r="JP15" s="50"/>
      <c r="JQ15" s="50"/>
      <c r="JR15" s="50"/>
      <c r="JS15" s="50"/>
      <c r="JT15" s="50"/>
      <c r="JU15" s="50"/>
      <c r="JV15" s="50"/>
      <c r="JW15" s="50"/>
      <c r="JX15" s="50"/>
      <c r="JY15" s="50"/>
      <c r="JZ15" s="50"/>
      <c r="KA15" s="50"/>
      <c r="KB15" s="50"/>
      <c r="KC15" s="50"/>
      <c r="KD15" s="50"/>
      <c r="KE15" s="15" t="str">
        <f>IF(SUM(JH15,JL15,JP15,JT15)&gt;0,SUM(JH15,JL15,JP15,JT15),"")</f>
        <v/>
      </c>
      <c r="KF15" s="15" t="str">
        <f>IF(SUM(JG15:JH15,JJ15:JL15,JN15)-SUM(JI15,JM15)&gt;0,SUM(JG15:JH15,JJ15:JL15,JN15)-SUM(JI15,JM15),"")</f>
        <v/>
      </c>
      <c r="KG15" s="15" t="str">
        <f>IF(SUM(JO15:JP15,JR15:JT15,JV15)-SUM(JQ15,JU15)&gt;0,SUM(JO15:JP15,JR15:JT15,JV15)-SUM(JQ15,JU15),"")</f>
        <v/>
      </c>
      <c r="KH15" s="15" t="str">
        <f>IF(SUM(JG15:JH15,JJ15:JL15,JN15:JP15,JR15:JT15,JV15)-SUM(JI15,JM15,JQ15,JU15)&gt;0,SUM(JG15:JH15,JJ15:JL15,JN15:JP15,JR15:JT15,JV15)-SUM(JI15,JM15,JQ15,JU15),"")</f>
        <v/>
      </c>
      <c r="KI15" s="15" t="str">
        <f>IF(SUM(JW15:JX15,JZ15:KB15,KD15)-SUM(JY15,KC15)&gt;0,SUM(JW15:JX15,JZ15:KB15,KD15)-SUM(JY15,KC15),"")</f>
        <v/>
      </c>
      <c r="KJ15" s="15" t="str">
        <f>IF(SUM(KH15,KI15)&gt;0,SUM(KH15,KI15),"")</f>
        <v/>
      </c>
      <c r="KK15" s="51"/>
      <c r="KL15" s="51"/>
      <c r="KM15" s="51"/>
      <c r="KN15" s="51"/>
      <c r="KO15" s="51"/>
      <c r="KP15" s="51"/>
      <c r="KQ15" s="51"/>
      <c r="KR15" s="51"/>
      <c r="KS15" s="51"/>
      <c r="KT15" s="51"/>
      <c r="KU15" s="51"/>
      <c r="KV15" s="51"/>
      <c r="KW15" s="51"/>
      <c r="KX15" s="51"/>
      <c r="KY15" s="51"/>
      <c r="KZ15" s="51"/>
      <c r="LA15" s="51"/>
      <c r="LB15" s="51"/>
      <c r="LC15" s="51"/>
      <c r="LD15" s="51"/>
      <c r="LE15" s="51"/>
      <c r="LF15" s="51"/>
      <c r="LG15" s="51"/>
      <c r="LH15" s="51"/>
      <c r="LI15" s="12" t="str">
        <f>IF(SUM(KL15,KP15,KT15,KX15)&gt;0,SUM(KL15,KP15,KT15,KX15),"")</f>
        <v/>
      </c>
      <c r="LJ15" s="12" t="str">
        <f>IF(SUM(KK15:KL15,KN15:KP15,KR15)-SUM(KM15,KQ15)&gt;0,SUM(KK15:KL15,KN15:KP15,KR15)-SUM(KM15,KQ15),"")</f>
        <v/>
      </c>
      <c r="LK15" s="12" t="str">
        <f>IF(SUM(KS15:KT15,KV15:KX15,KZ15)-SUM(KU15,KY15)&gt;0,SUM(KS15:KT15,KV15:KX15,KZ15)-SUM(KU15,KY15),"")</f>
        <v/>
      </c>
      <c r="LL15" s="12" t="str">
        <f>IF(SUM(KK15:KL15,KN15:KP15,KR15:KT15,KV15:KX15,KZ15)-SUM(KM15,KQ15,KU15,KY15)&gt;0,SUM(KK15:KL15,KN15:KP15,KR15:KT15,KV15:KX15,KZ15)-SUM(KM15,KQ15,KU15,KY15),"")</f>
        <v/>
      </c>
      <c r="LM15" s="12" t="str">
        <f>IF(SUM(LA15:LB15,LD15:LF15,LH15)-SUM(LC15,LG15)&gt;0,SUM(LA15:LB15,LD15:LF15,LH15)-SUM(LC15,LG15),"")</f>
        <v/>
      </c>
      <c r="LN15" s="12" t="str">
        <f>IF(SUM(LL15,LM15)&gt;0,SUM(LL15,LM15),"")</f>
        <v/>
      </c>
      <c r="LO15" s="50"/>
      <c r="LP15" s="50"/>
      <c r="LQ15" s="50"/>
      <c r="LR15" s="50"/>
      <c r="LS15" s="50"/>
      <c r="LT15" s="50"/>
      <c r="LU15" s="50"/>
      <c r="LV15" s="50"/>
      <c r="LW15" s="50"/>
      <c r="LX15" s="50"/>
      <c r="LY15" s="50"/>
      <c r="LZ15" s="50"/>
      <c r="MA15" s="50"/>
      <c r="MB15" s="50"/>
      <c r="MC15" s="50"/>
      <c r="MD15" s="50"/>
      <c r="ME15" s="50"/>
      <c r="MF15" s="50"/>
      <c r="MG15" s="50"/>
      <c r="MH15" s="50"/>
      <c r="MI15" s="50"/>
      <c r="MJ15" s="50"/>
      <c r="MK15" s="50"/>
      <c r="ML15" s="50"/>
      <c r="MM15" s="15" t="str">
        <f>IF(SUM(LP15,LT15,LX15,MB15)&gt;0,SUM(LP15,LT15,LX15,MB15),"")</f>
        <v/>
      </c>
      <c r="MN15" s="15" t="str">
        <f>IF(SUM(LO15:LP15,LR15:LT15,LV15)-SUM(LQ15,LU15)&gt;0,SUM(LO15:LP15,LR15:LT15,LV15)-SUM(LQ15,LU15),"")</f>
        <v/>
      </c>
      <c r="MO15" s="15" t="str">
        <f>IF(SUM(LW15:LX15,LZ15:MB15,MD15)-SUM(LY15,MC15)&gt;0,SUM(LW15:LX15,LZ15:MB15,MD15)-SUM(LY15,MC15),"")</f>
        <v/>
      </c>
      <c r="MP15" s="15" t="str">
        <f>IF(SUM(LO15:LP15,LR15:LT15,LV15:LX15,LZ15:MB15,MD15)-SUM(LQ15,LU15,LY15,MC15)&gt;0,SUM(LO15:LP15,LR15:LT15,LV15:LX15,LZ15:MB15,MD15)-SUM(LQ15,LU15,LY15,MC15),"")</f>
        <v/>
      </c>
      <c r="MQ15" s="15" t="str">
        <f>IF(SUM(ME15:MF15,MH15:MJ15,ML15)-SUM(MG15,MK15)&gt;0,SUM(ME15:MF15,MH15:MJ15,ML15)-SUM(MG15,MK15),"")</f>
        <v/>
      </c>
      <c r="MR15" s="15" t="str">
        <f>IF(SUM(MP15,MQ15)&gt;0,SUM(MP15,MQ15),"")</f>
        <v/>
      </c>
      <c r="MS15" s="51"/>
      <c r="MT15" s="51"/>
      <c r="MU15" s="51"/>
      <c r="MV15" s="51"/>
      <c r="MW15" s="51"/>
      <c r="MX15" s="51"/>
      <c r="MY15" s="51"/>
      <c r="MZ15" s="51"/>
      <c r="NA15" s="51"/>
      <c r="NB15" s="51"/>
      <c r="NC15" s="51"/>
      <c r="ND15" s="51"/>
      <c r="NE15" s="51"/>
      <c r="NF15" s="51"/>
      <c r="NG15" s="51"/>
      <c r="NH15" s="51"/>
      <c r="NI15" s="51"/>
      <c r="NJ15" s="51"/>
      <c r="NK15" s="51"/>
      <c r="NL15" s="51"/>
      <c r="NM15" s="51"/>
      <c r="NN15" s="51"/>
      <c r="NO15" s="51"/>
      <c r="NP15" s="51"/>
      <c r="NQ15" s="12" t="str">
        <f>IF(SUM(MT15,MX15,NB15,NF15)&gt;0,SUM(MT15,MX15,NB15,NF15),"")</f>
        <v/>
      </c>
      <c r="NR15" s="12" t="str">
        <f>IF(SUM(MS15:MT15,MV15:MX15,MZ15)-SUM(MU15,MY15)&gt;0,SUM(MS15:MT15,MV15:MX15,MZ15)-SUM(MU15,MY15),"")</f>
        <v/>
      </c>
      <c r="NS15" s="12" t="str">
        <f>IF(SUM(NA15:NB15,ND15:NF15,NH15)-SUM(NC15,NG15)&gt;0,SUM(NA15:NB15,ND15:NF15,NH15)-SUM(NC15,NG15),"")</f>
        <v/>
      </c>
      <c r="NT15" s="12" t="str">
        <f>IF(SUM(MS15:MT15,MV15:MX15,MZ15:NB15,ND15:NF15,NH15)-SUM(MU15,MY15,NC15,NG15)&gt;0,SUM(MS15:MT15,MV15:MX15,MZ15:NB15,ND15:NF15,NH15)-SUM(MU15,MY15,NC15,NG15),"")</f>
        <v/>
      </c>
      <c r="NU15" s="12" t="str">
        <f>IF(SUM(NI15:NJ15,NL15:NN15,NP15)-SUM(NK15,NO15)&gt;0,SUM(NI15:NJ15,NL15:NN15,NP15)-SUM(NK15,NO15),"")</f>
        <v/>
      </c>
      <c r="NV15" s="12" t="str">
        <f>IF(SUM(NT15,NU15)&gt;0,SUM(NT15,NU15),"")</f>
        <v/>
      </c>
      <c r="NW15" s="50"/>
      <c r="NX15" s="50"/>
      <c r="NY15" s="50"/>
      <c r="NZ15" s="50"/>
      <c r="OA15" s="50"/>
      <c r="OB15" s="50"/>
      <c r="OC15" s="50"/>
      <c r="OD15" s="50"/>
      <c r="OE15" s="50"/>
      <c r="OF15" s="50"/>
      <c r="OG15" s="50"/>
      <c r="OH15" s="50"/>
      <c r="OI15" s="50"/>
      <c r="OJ15" s="50"/>
      <c r="OK15" s="50"/>
      <c r="OL15" s="50"/>
      <c r="OM15" s="50"/>
      <c r="ON15" s="50"/>
      <c r="OO15" s="50"/>
      <c r="OP15" s="50"/>
      <c r="OQ15" s="50"/>
      <c r="OR15" s="50"/>
      <c r="OS15" s="50"/>
      <c r="OT15" s="50"/>
      <c r="OU15" s="15" t="str">
        <f>IF(SUM(NX15,OB15,OF15,OJ15)&gt;0,SUM(NX15,OB15,OF15,OJ15),"")</f>
        <v/>
      </c>
      <c r="OV15" s="15" t="str">
        <f>IF(SUM(NW15:NX15,NZ15:OB15,OD15)-SUM(NY15,OC15)&gt;0,SUM(NW15:NX15,NZ15:OB15,OD15)-SUM(NY15,OC15),"")</f>
        <v/>
      </c>
      <c r="OW15" s="15" t="str">
        <f>IF(SUM(OE15:OF15,OH15:OJ15,OL15)-SUM(OG15,OK15)&gt;0,SUM(OE15:OF15,OH15:OJ15,OL15)-SUM(OG15,OK15),"")</f>
        <v/>
      </c>
      <c r="OX15" s="15" t="str">
        <f>IF(SUM(NW15:NX15,NZ15:OB15,OD15:OF15,OH15:OJ15,OL15)-SUM(NY15,OC15,OG15,OK15)&gt;0,SUM(NW15:NX15,NZ15:OB15,OD15:OF15,OH15:OJ15,OL15)-SUM(NY15,OC15,OG15,OK15),"")</f>
        <v/>
      </c>
      <c r="OY15" s="15" t="str">
        <f>IF(SUM(OM15:ON15,OP15:OR15,OT15)-SUM(OO15,OS15)&gt;0,SUM(OM15:ON15,OP15:OR15,OT15)-SUM(OO15,OS15),"")</f>
        <v/>
      </c>
      <c r="OZ15" s="15" t="str">
        <f>IF(SUM(OX15,OY15)&gt;0,SUM(OX15,OY15),"")</f>
        <v/>
      </c>
      <c r="PA15" s="51"/>
      <c r="PB15" s="51"/>
      <c r="PC15" s="51"/>
      <c r="PD15" s="51"/>
      <c r="PE15" s="51"/>
      <c r="PF15" s="51"/>
      <c r="PG15" s="51"/>
      <c r="PH15" s="51"/>
      <c r="PI15" s="51"/>
      <c r="PJ15" s="51"/>
      <c r="PK15" s="51"/>
      <c r="PL15" s="51"/>
      <c r="PM15" s="51"/>
      <c r="PN15" s="51"/>
      <c r="PO15" s="51"/>
      <c r="PP15" s="51"/>
      <c r="PQ15" s="51"/>
      <c r="PR15" s="51"/>
      <c r="PS15" s="51"/>
      <c r="PT15" s="51"/>
      <c r="PU15" s="51"/>
      <c r="PV15" s="51"/>
      <c r="PW15" s="51"/>
      <c r="PX15" s="51"/>
      <c r="PY15" s="12" t="str">
        <f>IF(SUM(PB15,PF15,PJ15,PN15)&gt;0,SUM(PB15,PF15,PJ15,PN15),"")</f>
        <v/>
      </c>
      <c r="PZ15" s="12" t="str">
        <f>IF(SUM(PA15:PB15,PD15:PF15,PH15)-SUM(PC15,PG15)&gt;0,SUM(PA15:PB15,PD15:PF15,PH15)-SUM(PC15,PG15),"")</f>
        <v/>
      </c>
      <c r="QA15" s="12" t="str">
        <f>IF(SUM(PI15:PJ15,PL15:PN15,PP15)-SUM(PK15,PO15)&gt;0,SUM(PI15:PJ15,PL15:PN15,PP15)-SUM(PK15,PO15),"")</f>
        <v/>
      </c>
      <c r="QB15" s="12" t="str">
        <f>IF(SUM(PA15:PB15,PD15:PF15,PH15:PJ15,PL15:PN15,PP15)-SUM(PC15,PG15,PK15,PO15)&gt;0,SUM(PA15:PB15,PD15:PF15,PH15:PJ15,PL15:PN15,PP15)-SUM(PC15,PG15,PK15,PO15),"")</f>
        <v/>
      </c>
      <c r="QC15" s="12" t="str">
        <f>IF(SUM(PQ15:PR15,PT15:PV15,PX15)-SUM(PS15,PW15)&gt;0,SUM(PQ15:PR15,PT15:PV15,PX15)-SUM(PS15,PW15),"")</f>
        <v/>
      </c>
      <c r="QD15" s="12" t="str">
        <f>IF(SUM(QB15,QC15)&gt;0,SUM(QB15,QC15),"")</f>
        <v/>
      </c>
      <c r="QE15" s="50"/>
      <c r="QF15" s="50"/>
      <c r="QG15" s="50"/>
      <c r="QH15" s="50"/>
      <c r="QI15" s="50"/>
      <c r="QJ15" s="50"/>
      <c r="QK15" s="50"/>
      <c r="QL15" s="50"/>
      <c r="QM15" s="50"/>
      <c r="QN15" s="50"/>
      <c r="QO15" s="50"/>
      <c r="QP15" s="50"/>
      <c r="QQ15" s="50"/>
      <c r="QR15" s="50"/>
      <c r="QS15" s="50"/>
      <c r="QT15" s="50"/>
      <c r="QU15" s="50"/>
      <c r="QV15" s="50"/>
      <c r="QW15" s="50"/>
      <c r="QX15" s="50"/>
      <c r="QY15" s="50"/>
      <c r="QZ15" s="50"/>
      <c r="RA15" s="50"/>
      <c r="RB15" s="50"/>
      <c r="RC15" s="15" t="str">
        <f>IF(SUM(QF15,QJ15,QN15,QR15)&gt;0,SUM(QF15,QJ15,QN15,QR15),"")</f>
        <v/>
      </c>
      <c r="RD15" s="15" t="str">
        <f>IF(SUM(QE15:QF15,QH15:QJ15,QL15)-SUM(QG15,QK15)&gt;0,SUM(QE15:QF15,QH15:QJ15,QL15)-SUM(QG15,QK15),"")</f>
        <v/>
      </c>
      <c r="RE15" s="15" t="str">
        <f>IF(SUM(QM15:QN15,QP15:QR15,QT15)-SUM(QO15,QS15)&gt;0,SUM(QM15:QN15,QP15:QR15,QT15)-SUM(QO15,QS15),"")</f>
        <v/>
      </c>
      <c r="RF15" s="15" t="str">
        <f>IF(SUM(QE15:QF15,QH15:QJ15,QL15:QN15,QP15:QR15,QT15)-SUM(QG15,QK15,QO15,QS15)&gt;0,SUM(QE15:QF15,QH15:QJ15,QL15:QN15,QP15:QR15,QT15)-SUM(QG15,QK15,QO15,QS15),"")</f>
        <v/>
      </c>
      <c r="RG15" s="15" t="str">
        <f>IF(SUM(QU15:QV15,QX15:QZ15,RB15)-SUM(QW15,RA15)&gt;0,SUM(QU15:QV15,QX15:QZ15,RB15)-SUM(QW15,RA15),"")</f>
        <v/>
      </c>
      <c r="RH15" s="15" t="str">
        <f>IF(SUM(RF15,RG15)&gt;0,SUM(RF15,RG15),"")</f>
        <v/>
      </c>
    </row>
    <row r="16" spans="1:476" x14ac:dyDescent="0.2">
      <c r="A16" s="6" t="str">
        <f>IF(AND(F16="P",H16="P"),SUMPRODUCT((F$4:F$16="P")*(H$4:H$16="P")*(E$4:E$16&gt;E16))+1,IF(H16="P",SUMPRODUCT((F$4:F$16="")*(H$4:H$16="P")*(E$4:E$16&gt;E16))+1+SUMPRODUCT((F$4:F$16="P")*(H$4:H$16="P")),""))</f>
        <v/>
      </c>
      <c r="B16" s="9" t="s">
        <v>77</v>
      </c>
      <c r="C16" s="5" t="s">
        <v>4</v>
      </c>
      <c r="D16" s="6">
        <v>2002</v>
      </c>
      <c r="E16" s="16">
        <f>SUM(J16:R16)</f>
        <v>156.80000000000001</v>
      </c>
      <c r="F16" s="4" t="str">
        <f>IF(OR(AND($AT16&gt;=$AU$19,NOT($AT16=""),$AS16=""),AND($BY16&gt;=$BZ$19,NOT($BY16=""),$BX16=""),AND($DD16&gt;=$DE$19,NOT($DD16=""),$DC16="")),"P","")</f>
        <v/>
      </c>
      <c r="G16" s="4" t="str">
        <f>IF(OR(AND($AT16&gt;=$AU$20,NOT($AT16=""),$AS16=""),AND($BY16&gt;=$BZ$20,NOT($BY16=""),$BX16=""),AND($DD16&gt;=$DE$20,NOT($DD16=""),$DC16="")),"P","")</f>
        <v/>
      </c>
      <c r="H16" s="4" t="str">
        <f>IF(OR(AND($AW16&gt;=$AU$21,NOT($AW16=""),$AS16=""),AND($CB16&gt;=$BZ$21,NOT($CB16=""),$BX16=""),AND($DG16&gt;=$DE$21,NOT($DG16=""),$DC16="")),"P","")</f>
        <v/>
      </c>
      <c r="I16" t="str">
        <f>IF(AND(G16="P",OR(AND($AW16&gt;=$AU$24,NOT($AW16=""),$AS16=""),AND($CB16&gt;=$BZ$24,NOT($CB16=""),$BX16=""),AND($DG16&gt;=$DE$24,NOT($DG16=""),$DC16=""))),"Merit",IF(AND(G16="P",OR(AND($AW16&gt;=$AU$23,NOT($AW16=""),$AS16=""),AND($CB16&gt;=$BZ$23,NOT($CB16=""),$BX16=""),AND($DG16&gt;=$DE$23,NOT($DG16=""),$DC16=""))),"Funding",IF(AND(G16="P",OR(AND($AW16&gt;=$AU$22,NOT($AW16=""),$AS16=""),AND($CB16&gt;=$BZ$22,NOT($CB16=""),$BX16=""),AND($DG16&gt;=$DE$22,NOT($DG16=""),$DC16=""))),"Worlds Team",IF(AND(F16="P",OR(AND($AW16&gt;=$AU$21,NOT($AW16=""),$AS16=""),AND($CB16&gt;=$BZ$21,NOT($CB16=""),$BX16=""),AND($DG16&gt;=$DE$21,NOT($DG16=""),$DC16=""))),"National Team",""))))</f>
        <v/>
      </c>
      <c r="J16" s="15">
        <f>MAX(AW16,CB16,DG16)</f>
        <v>99.800000000000011</v>
      </c>
      <c r="K16" s="15" t="str">
        <f>IF(J16=DG16,$CE$1,IF(J16=CB16,$AZ$1,IF(J16=AW16,$U$1,"")))</f>
        <v>2018 Nationals</v>
      </c>
      <c r="L16" s="15">
        <f>IF($J16=$AW16,MAX(BZ16,DE16),IF($J16=$CB16,MAX(AU16,DE16),MAX(AU16,BZ16)))</f>
        <v>0</v>
      </c>
      <c r="M16" s="15" t="str">
        <f>IF(L16=DE16,$CE$1,IF(L16=BZ16,$AZ$1,IF(L16=AU16,$U$1,"")))</f>
        <v/>
      </c>
      <c r="N16" s="15">
        <f>IF($J16=$AW16,MAX(CA16,DF16),IF($J16=$CB16,MAX(AV16,DF16),MAX(AV16,CA16)))</f>
        <v>0</v>
      </c>
      <c r="O16" s="15" t="str">
        <f>IF(N16=DF16,$CE$1,IF(N16=CA16,$AZ$1,IF(N16=AV16,$U$1,"")))</f>
        <v/>
      </c>
      <c r="P16" s="15">
        <f>MAX(AX16,CC16,DH16)</f>
        <v>57</v>
      </c>
      <c r="Q16" s="15" t="str">
        <f>IF(P16=DH16,$CE$1,IF(P16=CC16,$AZ$1,IF(P16=AX16,$U$1,"")))</f>
        <v>2018 Nationals</v>
      </c>
      <c r="R16" s="15" t="str">
        <f>IF(MAX(DJ16:DL16)&gt;0,MAX(DJ16:DL16),"")</f>
        <v/>
      </c>
      <c r="S16" s="29" t="str">
        <f>IF(R16="","",IF(R16=DJ16,"(Pass 1-2)",IF(R16=DK16,"(Pass 3-4)",IF(R16=DL16,"(Final)"))))</f>
        <v/>
      </c>
      <c r="T16" s="15" t="str">
        <f>IF(R16="","",IF(R16=DJ16,IF(R16+L16=RD16,$QE$1,IF(R16+L16=PZ16,$PA$1,IF(R16+L16=OV16,$NW$1,IF(R16+L16=NR16,$MS$1,IF(R16+L16=MN16,$LO$1,IF(R16+L16=LJ16,$KK$1,IF(R16+L16=KF16,$JG$1,IF(R16+L16=JB16,$IC$1,IF(R16+L16=HX16,$GY$1,IF(R16+L16=GT16,$FU$1,IF(R16+L16=FP16,$EQ$1,IF(R16+L16=EL16,$DM$1)))))))))))),IF(R16=DK16,IF(R16+N16=RE16,$QE$1,IF(R16+N16=QA16,$PA$1,IF(R16+N16=OW16,$NW$1,IF(R16+N16=NS16,$MS$1,IF(R16+N16=MO16,$LO$1,IF(R16+N16=LK16,$KK$1,IF(R16+N16=KG16,$JG$1,IF(R16+N16=JC16,$IC$1,IF(R16+N16=HY16,$GY$1,IF(R16+N16=GU16,$FU$1,IF(R16+N16=FQ16,$EQ$1,IF(R16+N16=EM16,$DM$1)))))))))))),IF(R16=DL16,IF(R16+P16=RG16,$QE$1,IF(R16+P16=QC16,$PA$1,IF(R16+P16=OY16,$NW$1,IF(R16+P16=NU16,$MS$1,IF(R16+P16=MQ16,$LO$1,IF(R16+P16=LM16,$KK$1,IF(R16+P16=KI16,$JG$1,IF(R16+P16=JE16,$IC$1,IF(R16+P16=IA16,$GY$1,IF(R16+P16=GW16,$FU$1,IF(R16+P16=FS16,$EQ$1,IF(R16+P16=EO16,$DM$1))))))))))))))))</f>
        <v/>
      </c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108"/>
      <c r="AT16" s="12" t="str">
        <f>IF(SUM(V16,Z16,AD16,AH16)&gt;0,SUM(V16,Z16,AD16,AH16),"")</f>
        <v/>
      </c>
      <c r="AU16" s="12" t="str">
        <f>IF(SUM(U16:V16,X16:Z16,AB16)-SUM(W16,AA16)&gt;0,SUM(U16:V16,X16:Z16,AB16)-SUM(W16,AA16),"")</f>
        <v/>
      </c>
      <c r="AV16" s="12" t="str">
        <f>IF(SUM(AC16:AD16,AF16:AH16,AJ16)-SUM(AE16,AI16)&gt;0,SUM(AC16:AD16,AF16:AH16,AJ16)-SUM(AE16,AI16),"")</f>
        <v/>
      </c>
      <c r="AW16" s="12" t="str">
        <f>IF(SUM(U16:V16,X16:Z16,AB16:AD16,AF16:AH16,AJ16)-SUM(W16,AA16,AE16,AI16)&gt;0,SUM(U16:V16,X16:Z16,AB16:AD16,AF16:AH16,AJ16)-SUM(W16,AA16,AE16,AI16),"")</f>
        <v/>
      </c>
      <c r="AX16" s="12" t="str">
        <f>IF(SUM(AK16:AL16,AN16:AP16,AR16)-SUM(AM16,AQ16)&gt;0,SUM(AK16:AL16,AN16:AP16,AR16)-SUM(AM16,AQ16),"")</f>
        <v/>
      </c>
      <c r="AY16" s="12" t="str">
        <f>IF(SUM(AW16,AX16)&gt;0,SUM(AW16,AX16),"")</f>
        <v/>
      </c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105"/>
      <c r="BY16" s="110" t="str">
        <f>IF(SUM(BA16,BE16,BI16,BM16)&gt;0,SUM(BA16,BE16,BI16,BM16),"")</f>
        <v/>
      </c>
      <c r="BZ16" s="110" t="str">
        <f>IF(SUM(AZ16:BA16,BC16:BE16,BG16)-SUM(BB16,BF16)&gt;0,SUM(AZ16:BA16,BC16:BE16,BG16)-SUM(BB16,BF16),"")</f>
        <v/>
      </c>
      <c r="CA16" s="110" t="str">
        <f>IF(SUM(BH16:BI16,BK16:BM16,BO16)-SUM(BJ16,BN16)&gt;0,SUM(BH16:BI16,BK16:BM16,BO16)-SUM(BJ16,BN16),"")</f>
        <v/>
      </c>
      <c r="CB16" s="110" t="str">
        <f>IF(SUM(AZ16:BA16,BC16:BE16,BG16:BI16,BK16:BM16,BO16)-SUM(BB16,BF16,BJ16,BN16)&gt;0,SUM(AZ16:BA16,BC16:BE16,BG16:BI16,BK16:BM16,BO16)-SUM(BB16,BF16,BJ16,BN16),"")</f>
        <v/>
      </c>
      <c r="CC16" s="110" t="str">
        <f>IF(SUM(BP16:BQ16,BS16:BU16,BW16)-SUM(BR16,BV16)&gt;0,SUM(BP16:BQ16,BS16:BU16,BW16)-SUM(BR16,BV16),"")</f>
        <v/>
      </c>
      <c r="CD16" s="110" t="str">
        <f>IF(SUM(CB16,CC16)&gt;0,SUM(CB16,CC16),"")</f>
        <v/>
      </c>
      <c r="CE16" s="45">
        <v>28.2</v>
      </c>
      <c r="CF16" s="45">
        <v>6.8</v>
      </c>
      <c r="CG16" s="45">
        <v>1.2</v>
      </c>
      <c r="CH16" s="45">
        <v>0</v>
      </c>
      <c r="CI16" s="45">
        <v>0</v>
      </c>
      <c r="CJ16" s="45">
        <v>0</v>
      </c>
      <c r="CK16" s="45">
        <v>0</v>
      </c>
      <c r="CL16" s="45">
        <v>0</v>
      </c>
      <c r="CM16" s="45">
        <v>27.7</v>
      </c>
      <c r="CN16" s="45">
        <v>6.8</v>
      </c>
      <c r="CO16" s="45">
        <v>1.2</v>
      </c>
      <c r="CP16" s="45">
        <v>0</v>
      </c>
      <c r="CQ16" s="45">
        <v>27.5</v>
      </c>
      <c r="CR16" s="45">
        <v>6.4</v>
      </c>
      <c r="CS16" s="45">
        <v>1.2</v>
      </c>
      <c r="CT16" s="45">
        <v>0</v>
      </c>
      <c r="CU16" s="45">
        <v>27.4</v>
      </c>
      <c r="CV16" s="45">
        <v>7.6</v>
      </c>
      <c r="CW16" s="45">
        <v>0.9</v>
      </c>
      <c r="CX16" s="45">
        <v>0</v>
      </c>
      <c r="CY16" s="45">
        <v>20.100000000000001</v>
      </c>
      <c r="CZ16" s="45">
        <v>2.8</v>
      </c>
      <c r="DA16" s="45">
        <v>0</v>
      </c>
      <c r="DB16" s="45">
        <v>0</v>
      </c>
      <c r="DC16" s="108"/>
      <c r="DD16" s="12">
        <f>IF(SUM(CF16,CJ16,CN16,CR16)&gt;0,SUM(CF16,CJ16,CN16,CR16),"")</f>
        <v>20</v>
      </c>
      <c r="DE16" s="12">
        <f>IF(SUM(CE16:CF16,CH16:CJ16,CL16)-SUM(CG16,CK16)&gt;0,SUM(CE16:CF16,CH16:CJ16,CL16)-SUM(CG16,CK16),"")</f>
        <v>33.799999999999997</v>
      </c>
      <c r="DF16" s="12">
        <f>IF(SUM(CM16:CN16,CP16:CR16,CT16)-SUM(CO16,CS16)&gt;0,SUM(CM16:CN16,CP16:CR16,CT16)-SUM(CO16,CS16),"")</f>
        <v>66</v>
      </c>
      <c r="DG16" s="12">
        <f>IF(SUM(CE16:CF16,CH16:CJ16,CL16:CN16,CP16:CR16,CT16)-SUM(CG16,CK16,CO16,CS16)&gt;0,SUM(CE16:CF16,CH16:CJ16,CL16:CN16,CP16:CR16,CT16)-SUM(CG16,CK16,CO16,CS16),"")</f>
        <v>99.800000000000011</v>
      </c>
      <c r="DH16" s="12">
        <f>IF(SUM(CU16:CV16,CX16:CZ16,DB16)-SUM(CW16,DA16)&gt;0,SUM(CU16:CV16,CX16:CZ16,DB16)-SUM(CW16,DA16),"")</f>
        <v>57</v>
      </c>
      <c r="DI16" s="12">
        <f>IF(SUM(DG16,DH16)&gt;0,SUM(DG16,DH16),"")</f>
        <v>156.80000000000001</v>
      </c>
      <c r="DJ16" s="28" t="str">
        <f>IF(MAX(EL16,FP16,GT16,HX16,JB16,KF16,LJ16,MN16,NR16,OV16,PZ16,RD16)-L16&gt;0.001,MAX(EL16,FP16,GT16,HX16,JB16,KF16,LJ16,MN16,NR16,OV16,PZ16,RD16)-L16,"")</f>
        <v/>
      </c>
      <c r="DK16" s="28" t="str">
        <f>IF(MAX(EM16,FQ16,GU16,HY16,JC16,KG16,LK16,MO16,NS16,OW16,QA16,RE16)-N16&gt;0.001,MAX(EM16,FQ16,GU16,HY16,JC16,KG16,LK16,MO16,NS16,OW16,QA16,RE16)-N16,"")</f>
        <v/>
      </c>
      <c r="DL16" s="28" t="str">
        <f>IF(MAX(EO16,FS16,GW16,IA16,JE16,KI16,LM16,MQ16,OY16,QC16,RG16)-P16&gt;0.001,MAX(EO16,FS16,GW16,IA16,JE16,KI16,LM16,MQ16,OY16,QC16,RG16)-P16,"")</f>
        <v/>
      </c>
      <c r="DM16" s="45"/>
      <c r="DN16" s="45"/>
      <c r="DO16" s="45"/>
      <c r="DP16" s="45"/>
      <c r="DQ16" s="45"/>
      <c r="DR16" s="45"/>
      <c r="DS16" s="45"/>
      <c r="DT16" s="45"/>
      <c r="DU16" s="45"/>
      <c r="DV16" s="45"/>
      <c r="DW16" s="45"/>
      <c r="DX16" s="45"/>
      <c r="DY16" s="45"/>
      <c r="DZ16" s="45"/>
      <c r="EA16" s="45"/>
      <c r="EB16" s="45"/>
      <c r="EC16" s="45"/>
      <c r="ED16" s="45"/>
      <c r="EE16" s="45"/>
      <c r="EF16" s="45"/>
      <c r="EG16" s="45"/>
      <c r="EH16" s="45"/>
      <c r="EI16" s="45"/>
      <c r="EJ16" s="45"/>
      <c r="EK16" s="12" t="str">
        <f>IF(SUM(DN16,DR16,DV16,DZ16)&gt;0,SUM(DN16,DR16,DV16,DZ16),"")</f>
        <v/>
      </c>
      <c r="EL16" s="12" t="str">
        <f>IF(SUM(DM16:DN16,DP16:DR16,DT16)-SUM(DO16,DS16)&gt;0,SUM(DM16:DN16,DP16:DR16,DT16)-SUM(DO16,DS16),"")</f>
        <v/>
      </c>
      <c r="EM16" s="12" t="str">
        <f>IF(SUM(DU16:DV16,DX16:DZ16,EB16)-SUM(DW16,EA16)&gt;0,SUM(DU16:DV16,DX16:DZ16,EB16)-SUM(DW16,EA16),"")</f>
        <v/>
      </c>
      <c r="EN16" s="12" t="str">
        <f>IF(SUM(DM16:DN16,DP16:DR16,DT16:DV16,DX16:DZ16,EB16)-SUM(DO16,DS16,DW16,EA16)&gt;0,SUM(DM16:DN16,DP16:DR16,DT16:DV16,DX16:DZ16,EB16)-SUM(DO16,DS16,DW16,EA16),"")</f>
        <v/>
      </c>
      <c r="EO16" s="12" t="str">
        <f>IF(SUM(EC16:ED16,EF16:EH16,EJ16)-SUM(EE16,EI16)&gt;0,SUM(EC16:ED16,EF16:EH16,EJ16)-SUM(EE16,EI16),"")</f>
        <v/>
      </c>
      <c r="EP16" s="12" t="str">
        <f>IF(SUM(EN16,EO16)&gt;0,SUM(EN16,EO16),"")</f>
        <v/>
      </c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  <c r="FF16" s="50"/>
      <c r="FG16" s="50"/>
      <c r="FH16" s="50"/>
      <c r="FI16" s="50"/>
      <c r="FJ16" s="50"/>
      <c r="FK16" s="50"/>
      <c r="FL16" s="50"/>
      <c r="FM16" s="50"/>
      <c r="FN16" s="50"/>
      <c r="FO16" s="15" t="str">
        <f>IF(SUM(ER16,EV16,EZ16,FD16)&gt;0,SUM(ER16,EV16,EZ16,FD16),"")</f>
        <v/>
      </c>
      <c r="FP16" s="15" t="str">
        <f>IF(SUM(EQ16:ER16,ET16:EV16,EX16)-SUM(ES16,EW16)&gt;0,SUM(EQ16:ER16,ET16:EV16,EX16)-SUM(ES16,EW16),"")</f>
        <v/>
      </c>
      <c r="FQ16" s="15" t="str">
        <f>IF(SUM(EY16:EZ16,FB16:FD16,FF16)-SUM(FA16,FE16)&gt;0,SUM(EY16:EZ16,FB16:FD16,FF16)-SUM(FA16,FE16),"")</f>
        <v/>
      </c>
      <c r="FR16" s="15" t="str">
        <f>IF(SUM(EQ16:ER16,ET16:EV16,EX16:EZ16,FB16:FD16,FF16)-SUM(ES16,EW16,FA16,FE16)&gt;0,SUM(EQ16:ER16,ET16:EV16,EX16:EZ16,FB16:FD16,FF16)-SUM(ES16,EW16,FA16,FE16),"")</f>
        <v/>
      </c>
      <c r="FS16" s="15" t="str">
        <f>IF(SUM(FG16:FH16,FJ16:FL16,FN16)-SUM(FI16,FM16)&gt;0,SUM(FG16:FH16,FJ16:FL16,FN16)-SUM(FI16,FM16),"")</f>
        <v/>
      </c>
      <c r="FT16" s="15" t="str">
        <f>IF(SUM(FR16,FS16)&gt;0,SUM(FR16,FS16),"")</f>
        <v/>
      </c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12" t="str">
        <f>IF(SUM(FV16,FZ16,GD16,GH16)&gt;0,SUM(FV16,FZ16,GD16,GH16),"")</f>
        <v/>
      </c>
      <c r="GT16" s="12" t="str">
        <f>IF(SUM(FU16:FV16,FX16:FZ16,GB16)-SUM(FW16,GA16)&gt;0,SUM(FU16:FV16,FX16:FZ16,GB16)-SUM(FW16,GA16),"")</f>
        <v/>
      </c>
      <c r="GU16" s="12" t="str">
        <f>IF(SUM(GC16:GD16,GF16:GH16,GJ16)-SUM(GE16,GI16)&gt;0,SUM(GC16:GD16,GF16:GH16,GJ16)-SUM(GE16,GI16),"")</f>
        <v/>
      </c>
      <c r="GV16" s="12" t="str">
        <f>IF(SUM(FU16:FV16,FX16:FZ16,GB16:GD16,GF16:GH16,GJ16)-SUM(FW16,GA16,GE16,GI16)&gt;0,SUM(FU16:FV16,FX16:FZ16,GB16:GD16,GF16:GH16,GJ16)-SUM(FW16,GA16,GE16,GI16),"")</f>
        <v/>
      </c>
      <c r="GW16" s="12" t="str">
        <f>IF(SUM(GK16:GL16,GN16:GP16,GR16)-SUM(GM16,GQ16)&gt;0,SUM(GK16:GL16,GN16:GP16,GR16)-SUM(GM16,GQ16),"")</f>
        <v/>
      </c>
      <c r="GX16" s="12" t="str">
        <f>IF(SUM(GV16,GW16)&gt;0,SUM(GV16,GW16),"")</f>
        <v/>
      </c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15" t="str">
        <f>IF(SUM(GZ16,HD16,HH16,HL16)&gt;0,SUM(GZ16,HD16,HH16,HL16),"")</f>
        <v/>
      </c>
      <c r="HX16" s="15" t="str">
        <f>IF(SUM(GY16:GZ16,HB16:HD16,HF16)-SUM(HA16,HE16)&gt;0,SUM(GY16:GZ16,HB16:HD16,HF16)-SUM(HA16,HE16),"")</f>
        <v/>
      </c>
      <c r="HY16" s="15" t="str">
        <f>IF(SUM(HG16:HH16,HJ16:HL16,HN16)-SUM(HI16,HM16)&gt;0,SUM(HG16:HH16,HJ16:HL16,HN16)-SUM(HI16,HM16),"")</f>
        <v/>
      </c>
      <c r="HZ16" s="15" t="str">
        <f>IF(SUM(GY16:GZ16,HB16:HD16,HF16:HH16,HJ16:HL16,HN16)-SUM(HA16,HE16,HI16,HM16)&gt;0,SUM(GY16:GZ16,HB16:HD16,HF16:HH16,HJ16:HL16,HN16)-SUM(HA16,HE16,HI16,HM16),"")</f>
        <v/>
      </c>
      <c r="IA16" s="15" t="str">
        <f>IF(SUM(HO16:HP16,HR16:HT16,HV16)-SUM(HQ16,HU16)&gt;0,SUM(HO16:HP16,HR16:HT16,HV16)-SUM(HQ16,HU16),"")</f>
        <v/>
      </c>
      <c r="IB16" s="15" t="str">
        <f>IF(SUM(HZ16,IA16)&gt;0,SUM(HZ16,IA16),"")</f>
        <v/>
      </c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12" t="str">
        <f>IF(SUM(ID16,IH16,IL16,IP16)&gt;0,SUM(ID16,IH16,IL16,IP16),"")</f>
        <v/>
      </c>
      <c r="JB16" s="12" t="str">
        <f>IF(SUM(IC16:ID16,IF16:IH16,IJ16)-SUM(IE16,II16)&gt;0,SUM(IC16:ID16,IF16:IH16,IJ16)-SUM(IE16,II16),"")</f>
        <v/>
      </c>
      <c r="JC16" s="12" t="str">
        <f>IF(SUM(IK16:IL16,IN16:IP16,IR16)-SUM(IM16,IQ16)&gt;0,SUM(IK16:IL16,IN16:IP16,IR16)-SUM(IM16,IQ16),"")</f>
        <v/>
      </c>
      <c r="JD16" s="12" t="str">
        <f>IF(SUM(IC16:ID16,IF16:IH16,IJ16:IL16,IN16:IP16,IR16)-SUM(IE16,II16,IM16,IQ16)&gt;0,SUM(IC16:ID16,IF16:IH16,IJ16:IL16,IN16:IP16,IR16)-SUM(IE16,II16,IM16,IQ16),"")</f>
        <v/>
      </c>
      <c r="JE16" s="12" t="str">
        <f>IF(SUM(IS16:IT16,IV16:IX16,IZ16)-SUM(IU16,IY16)&gt;0,SUM(IS16:IT16,IV16:IX16,IZ16)-SUM(IU16,IY16),"")</f>
        <v/>
      </c>
      <c r="JF16" s="12" t="str">
        <f>IF(SUM(JD16,JE16)&gt;0,SUM(JD16,JE16),"")</f>
        <v/>
      </c>
      <c r="JG16" s="50"/>
      <c r="JH16" s="50"/>
      <c r="JI16" s="50"/>
      <c r="JJ16" s="50"/>
      <c r="JK16" s="50"/>
      <c r="JL16" s="50"/>
      <c r="JM16" s="50"/>
      <c r="JN16" s="50"/>
      <c r="JO16" s="50"/>
      <c r="JP16" s="50"/>
      <c r="JQ16" s="50"/>
      <c r="JR16" s="50"/>
      <c r="JS16" s="50"/>
      <c r="JT16" s="50"/>
      <c r="JU16" s="50"/>
      <c r="JV16" s="50"/>
      <c r="JW16" s="50"/>
      <c r="JX16" s="50"/>
      <c r="JY16" s="50"/>
      <c r="JZ16" s="50"/>
      <c r="KA16" s="50"/>
      <c r="KB16" s="50"/>
      <c r="KC16" s="50"/>
      <c r="KD16" s="50"/>
      <c r="KE16" s="15" t="str">
        <f>IF(SUM(JH16,JL16,JP16,JT16)&gt;0,SUM(JH16,JL16,JP16,JT16),"")</f>
        <v/>
      </c>
      <c r="KF16" s="15" t="str">
        <f>IF(SUM(JG16:JH16,JJ16:JL16,JN16)-SUM(JI16,JM16)&gt;0,SUM(JG16:JH16,JJ16:JL16,JN16)-SUM(JI16,JM16),"")</f>
        <v/>
      </c>
      <c r="KG16" s="15" t="str">
        <f>IF(SUM(JO16:JP16,JR16:JT16,JV16)-SUM(JQ16,JU16)&gt;0,SUM(JO16:JP16,JR16:JT16,JV16)-SUM(JQ16,JU16),"")</f>
        <v/>
      </c>
      <c r="KH16" s="15" t="str">
        <f>IF(SUM(JG16:JH16,JJ16:JL16,JN16:JP16,JR16:JT16,JV16)-SUM(JI16,JM16,JQ16,JU16)&gt;0,SUM(JG16:JH16,JJ16:JL16,JN16:JP16,JR16:JT16,JV16)-SUM(JI16,JM16,JQ16,JU16),"")</f>
        <v/>
      </c>
      <c r="KI16" s="15" t="str">
        <f>IF(SUM(JW16:JX16,JZ16:KB16,KD16)-SUM(JY16,KC16)&gt;0,SUM(JW16:JX16,JZ16:KB16,KD16)-SUM(JY16,KC16),"")</f>
        <v/>
      </c>
      <c r="KJ16" s="15" t="str">
        <f>IF(SUM(KH16,KI16)&gt;0,SUM(KH16,KI16),"")</f>
        <v/>
      </c>
      <c r="KK16" s="51"/>
      <c r="KL16" s="51"/>
      <c r="KM16" s="51"/>
      <c r="KN16" s="51"/>
      <c r="KO16" s="51"/>
      <c r="KP16" s="51"/>
      <c r="KQ16" s="51"/>
      <c r="KR16" s="51"/>
      <c r="KS16" s="51"/>
      <c r="KT16" s="51"/>
      <c r="KU16" s="51"/>
      <c r="KV16" s="51"/>
      <c r="KW16" s="51"/>
      <c r="KX16" s="51"/>
      <c r="KY16" s="51"/>
      <c r="KZ16" s="51"/>
      <c r="LA16" s="51"/>
      <c r="LB16" s="51"/>
      <c r="LC16" s="51"/>
      <c r="LD16" s="51"/>
      <c r="LE16" s="51"/>
      <c r="LF16" s="51"/>
      <c r="LG16" s="51"/>
      <c r="LH16" s="51"/>
      <c r="LI16" s="12" t="str">
        <f>IF(SUM(KL16,KP16,KT16,KX16)&gt;0,SUM(KL16,KP16,KT16,KX16),"")</f>
        <v/>
      </c>
      <c r="LJ16" s="12" t="str">
        <f>IF(SUM(KK16:KL16,KN16:KP16,KR16)-SUM(KM16,KQ16)&gt;0,SUM(KK16:KL16,KN16:KP16,KR16)-SUM(KM16,KQ16),"")</f>
        <v/>
      </c>
      <c r="LK16" s="12" t="str">
        <f>IF(SUM(KS16:KT16,KV16:KX16,KZ16)-SUM(KU16,KY16)&gt;0,SUM(KS16:KT16,KV16:KX16,KZ16)-SUM(KU16,KY16),"")</f>
        <v/>
      </c>
      <c r="LL16" s="12" t="str">
        <f>IF(SUM(KK16:KL16,KN16:KP16,KR16:KT16,KV16:KX16,KZ16)-SUM(KM16,KQ16,KU16,KY16)&gt;0,SUM(KK16:KL16,KN16:KP16,KR16:KT16,KV16:KX16,KZ16)-SUM(KM16,KQ16,KU16,KY16),"")</f>
        <v/>
      </c>
      <c r="LM16" s="12" t="str">
        <f>IF(SUM(LA16:LB16,LD16:LF16,LH16)-SUM(LC16,LG16)&gt;0,SUM(LA16:LB16,LD16:LF16,LH16)-SUM(LC16,LG16),"")</f>
        <v/>
      </c>
      <c r="LN16" s="12" t="str">
        <f>IF(SUM(LL16,LM16)&gt;0,SUM(LL16,LM16),"")</f>
        <v/>
      </c>
      <c r="LO16" s="50"/>
      <c r="LP16" s="50"/>
      <c r="LQ16" s="50"/>
      <c r="LR16" s="50"/>
      <c r="LS16" s="50"/>
      <c r="LT16" s="50"/>
      <c r="LU16" s="50"/>
      <c r="LV16" s="50"/>
      <c r="LW16" s="50"/>
      <c r="LX16" s="50"/>
      <c r="LY16" s="50"/>
      <c r="LZ16" s="50"/>
      <c r="MA16" s="50"/>
      <c r="MB16" s="50"/>
      <c r="MC16" s="50"/>
      <c r="MD16" s="50"/>
      <c r="ME16" s="50"/>
      <c r="MF16" s="50"/>
      <c r="MG16" s="50"/>
      <c r="MH16" s="50"/>
      <c r="MI16" s="50"/>
      <c r="MJ16" s="50"/>
      <c r="MK16" s="50"/>
      <c r="ML16" s="50"/>
      <c r="MM16" s="15" t="str">
        <f>IF(SUM(LP16,LT16,LX16,MB16)&gt;0,SUM(LP16,LT16,LX16,MB16),"")</f>
        <v/>
      </c>
      <c r="MN16" s="15" t="str">
        <f>IF(SUM(LO16:LP16,LR16:LT16,LV16)-SUM(LQ16,LU16)&gt;0,SUM(LO16:LP16,LR16:LT16,LV16)-SUM(LQ16,LU16),"")</f>
        <v/>
      </c>
      <c r="MO16" s="15" t="str">
        <f>IF(SUM(LW16:LX16,LZ16:MB16,MD16)-SUM(LY16,MC16)&gt;0,SUM(LW16:LX16,LZ16:MB16,MD16)-SUM(LY16,MC16),"")</f>
        <v/>
      </c>
      <c r="MP16" s="15" t="str">
        <f>IF(SUM(LO16:LP16,LR16:LT16,LV16:LX16,LZ16:MB16,MD16)-SUM(LQ16,LU16,LY16,MC16)&gt;0,SUM(LO16:LP16,LR16:LT16,LV16:LX16,LZ16:MB16,MD16)-SUM(LQ16,LU16,LY16,MC16),"")</f>
        <v/>
      </c>
      <c r="MQ16" s="15" t="str">
        <f>IF(SUM(ME16:MF16,MH16:MJ16,ML16)-SUM(MG16,MK16)&gt;0,SUM(ME16:MF16,MH16:MJ16,ML16)-SUM(MG16,MK16),"")</f>
        <v/>
      </c>
      <c r="MR16" s="15" t="str">
        <f>IF(SUM(MP16,MQ16)&gt;0,SUM(MP16,MQ16),"")</f>
        <v/>
      </c>
      <c r="MS16" s="51"/>
      <c r="MT16" s="51"/>
      <c r="MU16" s="51"/>
      <c r="MV16" s="51"/>
      <c r="MW16" s="51"/>
      <c r="MX16" s="51"/>
      <c r="MY16" s="51"/>
      <c r="MZ16" s="51"/>
      <c r="NA16" s="51"/>
      <c r="NB16" s="51"/>
      <c r="NC16" s="51"/>
      <c r="ND16" s="51"/>
      <c r="NE16" s="51"/>
      <c r="NF16" s="51"/>
      <c r="NG16" s="51"/>
      <c r="NH16" s="51"/>
      <c r="NI16" s="51"/>
      <c r="NJ16" s="51"/>
      <c r="NK16" s="51"/>
      <c r="NL16" s="51"/>
      <c r="NM16" s="51"/>
      <c r="NN16" s="51"/>
      <c r="NO16" s="51"/>
      <c r="NP16" s="51"/>
      <c r="NQ16" s="12" t="str">
        <f>IF(SUM(MT16,MX16,NB16,NF16)&gt;0,SUM(MT16,MX16,NB16,NF16),"")</f>
        <v/>
      </c>
      <c r="NR16" s="12" t="str">
        <f>IF(SUM(MS16:MT16,MV16:MX16,MZ16)-SUM(MU16,MY16)&gt;0,SUM(MS16:MT16,MV16:MX16,MZ16)-SUM(MU16,MY16),"")</f>
        <v/>
      </c>
      <c r="NS16" s="12" t="str">
        <f>IF(SUM(NA16:NB16,ND16:NF16,NH16)-SUM(NC16,NG16)&gt;0,SUM(NA16:NB16,ND16:NF16,NH16)-SUM(NC16,NG16),"")</f>
        <v/>
      </c>
      <c r="NT16" s="12" t="str">
        <f>IF(SUM(MS16:MT16,MV16:MX16,MZ16:NB16,ND16:NF16,NH16)-SUM(MU16,MY16,NC16,NG16)&gt;0,SUM(MS16:MT16,MV16:MX16,MZ16:NB16,ND16:NF16,NH16)-SUM(MU16,MY16,NC16,NG16),"")</f>
        <v/>
      </c>
      <c r="NU16" s="12" t="str">
        <f>IF(SUM(NI16:NJ16,NL16:NN16,NP16)-SUM(NK16,NO16)&gt;0,SUM(NI16:NJ16,NL16:NN16,NP16)-SUM(NK16,NO16),"")</f>
        <v/>
      </c>
      <c r="NV16" s="12" t="str">
        <f>IF(SUM(NT16,NU16)&gt;0,SUM(NT16,NU16),"")</f>
        <v/>
      </c>
      <c r="NW16" s="50"/>
      <c r="NX16" s="50"/>
      <c r="NY16" s="50"/>
      <c r="NZ16" s="50"/>
      <c r="OA16" s="50"/>
      <c r="OB16" s="50"/>
      <c r="OC16" s="50"/>
      <c r="OD16" s="50"/>
      <c r="OE16" s="50"/>
      <c r="OF16" s="50"/>
      <c r="OG16" s="50"/>
      <c r="OH16" s="50"/>
      <c r="OI16" s="50"/>
      <c r="OJ16" s="50"/>
      <c r="OK16" s="50"/>
      <c r="OL16" s="50"/>
      <c r="OM16" s="50"/>
      <c r="ON16" s="50"/>
      <c r="OO16" s="50"/>
      <c r="OP16" s="50"/>
      <c r="OQ16" s="50"/>
      <c r="OR16" s="50"/>
      <c r="OS16" s="50"/>
      <c r="OT16" s="50"/>
      <c r="OU16" s="15" t="str">
        <f>IF(SUM(NX16,OB16,OF16,OJ16)&gt;0,SUM(NX16,OB16,OF16,OJ16),"")</f>
        <v/>
      </c>
      <c r="OV16" s="15" t="str">
        <f>IF(SUM(NW16:NX16,NZ16:OB16,OD16)-SUM(NY16,OC16)&gt;0,SUM(NW16:NX16,NZ16:OB16,OD16)-SUM(NY16,OC16),"")</f>
        <v/>
      </c>
      <c r="OW16" s="15" t="str">
        <f>IF(SUM(OE16:OF16,OH16:OJ16,OL16)-SUM(OG16,OK16)&gt;0,SUM(OE16:OF16,OH16:OJ16,OL16)-SUM(OG16,OK16),"")</f>
        <v/>
      </c>
      <c r="OX16" s="15" t="str">
        <f>IF(SUM(NW16:NX16,NZ16:OB16,OD16:OF16,OH16:OJ16,OL16)-SUM(NY16,OC16,OG16,OK16)&gt;0,SUM(NW16:NX16,NZ16:OB16,OD16:OF16,OH16:OJ16,OL16)-SUM(NY16,OC16,OG16,OK16),"")</f>
        <v/>
      </c>
      <c r="OY16" s="15" t="str">
        <f>IF(SUM(OM16:ON16,OP16:OR16,OT16)-SUM(OO16,OS16)&gt;0,SUM(OM16:ON16,OP16:OR16,OT16)-SUM(OO16,OS16),"")</f>
        <v/>
      </c>
      <c r="OZ16" s="15" t="str">
        <f>IF(SUM(OX16,OY16)&gt;0,SUM(OX16,OY16),"")</f>
        <v/>
      </c>
      <c r="PA16" s="51"/>
      <c r="PB16" s="51"/>
      <c r="PC16" s="51"/>
      <c r="PD16" s="51"/>
      <c r="PE16" s="51"/>
      <c r="PF16" s="51"/>
      <c r="PG16" s="51"/>
      <c r="PH16" s="51"/>
      <c r="PI16" s="51"/>
      <c r="PJ16" s="51"/>
      <c r="PK16" s="51"/>
      <c r="PL16" s="51"/>
      <c r="PM16" s="51"/>
      <c r="PN16" s="51"/>
      <c r="PO16" s="51"/>
      <c r="PP16" s="51"/>
      <c r="PQ16" s="51"/>
      <c r="PR16" s="51"/>
      <c r="PS16" s="51"/>
      <c r="PT16" s="51"/>
      <c r="PU16" s="51"/>
      <c r="PV16" s="51"/>
      <c r="PW16" s="51"/>
      <c r="PX16" s="51"/>
      <c r="PY16" s="12" t="str">
        <f>IF(SUM(PB16,PF16,PJ16,PN16)&gt;0,SUM(PB16,PF16,PJ16,PN16),"")</f>
        <v/>
      </c>
      <c r="PZ16" s="12" t="str">
        <f>IF(SUM(PA16:PB16,PD16:PF16,PH16)-SUM(PC16,PG16)&gt;0,SUM(PA16:PB16,PD16:PF16,PH16)-SUM(PC16,PG16),"")</f>
        <v/>
      </c>
      <c r="QA16" s="12" t="str">
        <f>IF(SUM(PI16:PJ16,PL16:PN16,PP16)-SUM(PK16,PO16)&gt;0,SUM(PI16:PJ16,PL16:PN16,PP16)-SUM(PK16,PO16),"")</f>
        <v/>
      </c>
      <c r="QB16" s="12" t="str">
        <f>IF(SUM(PA16:PB16,PD16:PF16,PH16:PJ16,PL16:PN16,PP16)-SUM(PC16,PG16,PK16,PO16)&gt;0,SUM(PA16:PB16,PD16:PF16,PH16:PJ16,PL16:PN16,PP16)-SUM(PC16,PG16,PK16,PO16),"")</f>
        <v/>
      </c>
      <c r="QC16" s="12" t="str">
        <f>IF(SUM(PQ16:PR16,PT16:PV16,PX16)-SUM(PS16,PW16)&gt;0,SUM(PQ16:PR16,PT16:PV16,PX16)-SUM(PS16,PW16),"")</f>
        <v/>
      </c>
      <c r="QD16" s="12" t="str">
        <f>IF(SUM(QB16,QC16)&gt;0,SUM(QB16,QC16),"")</f>
        <v/>
      </c>
      <c r="QE16" s="50"/>
      <c r="QF16" s="50"/>
      <c r="QG16" s="50"/>
      <c r="QH16" s="50"/>
      <c r="QI16" s="50"/>
      <c r="QJ16" s="50"/>
      <c r="QK16" s="50"/>
      <c r="QL16" s="50"/>
      <c r="QM16" s="50"/>
      <c r="QN16" s="50"/>
      <c r="QO16" s="50"/>
      <c r="QP16" s="50"/>
      <c r="QQ16" s="50"/>
      <c r="QR16" s="50"/>
      <c r="QS16" s="50"/>
      <c r="QT16" s="50"/>
      <c r="QU16" s="50"/>
      <c r="QV16" s="50"/>
      <c r="QW16" s="50"/>
      <c r="QX16" s="50"/>
      <c r="QY16" s="50"/>
      <c r="QZ16" s="50"/>
      <c r="RA16" s="50"/>
      <c r="RB16" s="50"/>
      <c r="RC16" s="15" t="str">
        <f>IF(SUM(QF16,QJ16,QN16,QR16)&gt;0,SUM(QF16,QJ16,QN16,QR16),"")</f>
        <v/>
      </c>
      <c r="RD16" s="15" t="str">
        <f>IF(SUM(QE16:QF16,QH16:QJ16,QL16)-SUM(QG16,QK16)&gt;0,SUM(QE16:QF16,QH16:QJ16,QL16)-SUM(QG16,QK16),"")</f>
        <v/>
      </c>
      <c r="RE16" s="15" t="str">
        <f>IF(SUM(QM16:QN16,QP16:QR16,QT16)-SUM(QO16,QS16)&gt;0,SUM(QM16:QN16,QP16:QR16,QT16)-SUM(QO16,QS16),"")</f>
        <v/>
      </c>
      <c r="RF16" s="15" t="str">
        <f>IF(SUM(QE16:QF16,QH16:QJ16,QL16:QN16,QP16:QR16,QT16)-SUM(QG16,QK16,QO16,QS16)&gt;0,SUM(QE16:QF16,QH16:QJ16,QL16:QN16,QP16:QR16,QT16)-SUM(QG16,QK16,QO16,QS16),"")</f>
        <v/>
      </c>
      <c r="RG16" s="15" t="str">
        <f>IF(SUM(QU16:QV16,QX16:QZ16,RB16)-SUM(QW16,RA16)&gt;0,SUM(QU16:QV16,QX16:QZ16,RB16)-SUM(QW16,RA16),"")</f>
        <v/>
      </c>
      <c r="RH16" s="15" t="str">
        <f>IF(SUM(RF16,RG16)&gt;0,SUM(RF16,RG16),"")</f>
        <v/>
      </c>
    </row>
    <row r="19" spans="1:474" x14ac:dyDescent="0.2">
      <c r="B19" s="88" t="s">
        <v>63</v>
      </c>
      <c r="AT19" s="62"/>
      <c r="AU19" s="70">
        <v>24</v>
      </c>
      <c r="AW19" s="62"/>
      <c r="BY19" s="62"/>
      <c r="BZ19" s="70">
        <v>24</v>
      </c>
      <c r="CB19" s="62"/>
      <c r="DD19" s="62"/>
      <c r="DE19" s="70">
        <v>24</v>
      </c>
      <c r="DG19" s="62"/>
      <c r="EK19" s="62"/>
      <c r="EL19" s="70">
        <v>24</v>
      </c>
      <c r="EN19" s="62"/>
      <c r="FO19" s="62"/>
      <c r="FP19" s="70">
        <v>24</v>
      </c>
      <c r="FR19" s="62"/>
      <c r="GS19" s="62"/>
      <c r="GT19" s="70">
        <v>24</v>
      </c>
      <c r="GV19" s="62"/>
      <c r="HW19" s="62"/>
      <c r="HX19" s="70">
        <v>24</v>
      </c>
      <c r="HZ19" s="62"/>
      <c r="JA19" s="62"/>
      <c r="JB19" s="70">
        <v>24</v>
      </c>
      <c r="JD19" s="62"/>
      <c r="KE19" s="62"/>
      <c r="KF19" s="70">
        <v>24</v>
      </c>
      <c r="KH19" s="62"/>
      <c r="LI19" s="62"/>
      <c r="LJ19" s="70">
        <v>24</v>
      </c>
      <c r="LL19" s="62"/>
      <c r="MM19" s="62"/>
      <c r="MN19" s="70">
        <v>24</v>
      </c>
      <c r="MP19" s="62"/>
      <c r="NQ19" s="62"/>
      <c r="NR19" s="70">
        <v>24</v>
      </c>
      <c r="NT19" s="62"/>
      <c r="OU19" s="62"/>
      <c r="OV19" s="70">
        <v>24</v>
      </c>
      <c r="OX19" s="62"/>
      <c r="PY19" s="62"/>
      <c r="PZ19" s="70">
        <v>24</v>
      </c>
      <c r="QB19" s="62"/>
      <c r="RC19" s="62"/>
      <c r="RD19" s="70">
        <v>24</v>
      </c>
      <c r="RF19" s="62"/>
    </row>
    <row r="20" spans="1:474" ht="16" hidden="1" customHeight="1" x14ac:dyDescent="0.2">
      <c r="A20" s="62"/>
      <c r="B20" s="83" t="s">
        <v>62</v>
      </c>
      <c r="C20" s="61"/>
      <c r="AT20" s="62"/>
      <c r="AU20" s="71">
        <v>1000</v>
      </c>
      <c r="AW20" s="62"/>
      <c r="BY20" s="62"/>
      <c r="BZ20" s="71">
        <v>1000</v>
      </c>
      <c r="CB20" s="62"/>
      <c r="DD20" s="62"/>
      <c r="DE20" s="71">
        <v>1000</v>
      </c>
      <c r="DG20" s="62"/>
      <c r="EK20" s="62"/>
      <c r="EL20" s="71">
        <v>1000</v>
      </c>
      <c r="EN20" s="62"/>
      <c r="FO20" s="62"/>
      <c r="FP20" s="71">
        <v>1000</v>
      </c>
      <c r="FR20" s="62"/>
      <c r="GS20" s="62"/>
      <c r="GT20" s="71">
        <v>1000</v>
      </c>
      <c r="GV20" s="62"/>
      <c r="HW20" s="62"/>
      <c r="HX20" s="71">
        <v>1000</v>
      </c>
      <c r="HZ20" s="62"/>
      <c r="JA20" s="62"/>
      <c r="JB20" s="71">
        <v>1000</v>
      </c>
      <c r="JD20" s="62"/>
      <c r="KE20" s="62"/>
      <c r="KF20" s="71">
        <v>1000</v>
      </c>
      <c r="KH20" s="62"/>
      <c r="LI20" s="62"/>
      <c r="LJ20" s="71">
        <v>1000</v>
      </c>
      <c r="LL20" s="62"/>
      <c r="MM20" s="62"/>
      <c r="MN20" s="71">
        <v>1000</v>
      </c>
      <c r="MP20" s="62"/>
      <c r="NQ20" s="62"/>
      <c r="NR20" s="71">
        <v>1000</v>
      </c>
      <c r="NT20" s="62"/>
      <c r="OU20" s="62"/>
      <c r="OV20" s="71">
        <v>1000</v>
      </c>
      <c r="OX20" s="62"/>
      <c r="PY20" s="62"/>
      <c r="PZ20" s="71">
        <v>1000</v>
      </c>
      <c r="QB20" s="62"/>
      <c r="RC20" s="62"/>
      <c r="RD20" s="71">
        <v>1000</v>
      </c>
      <c r="RF20" s="62"/>
    </row>
    <row r="21" spans="1:474" x14ac:dyDescent="0.2">
      <c r="A21" s="62"/>
      <c r="B21" s="84" t="s">
        <v>60</v>
      </c>
      <c r="C21" s="61"/>
      <c r="AT21" s="62"/>
      <c r="AU21" s="72">
        <v>132.6</v>
      </c>
      <c r="AW21" s="62"/>
      <c r="BY21" s="62"/>
      <c r="BZ21" s="72">
        <v>132</v>
      </c>
      <c r="CB21" s="62"/>
      <c r="DD21" s="62"/>
      <c r="DE21" s="72">
        <v>132</v>
      </c>
      <c r="DG21" s="62"/>
      <c r="EK21" s="62"/>
      <c r="EL21" s="72">
        <v>132</v>
      </c>
      <c r="EN21" s="62"/>
      <c r="FO21" s="62"/>
      <c r="FP21" s="72">
        <v>132</v>
      </c>
      <c r="FR21" s="62"/>
      <c r="GS21" s="62"/>
      <c r="GT21" s="72">
        <v>132</v>
      </c>
      <c r="GV21" s="62"/>
      <c r="HW21" s="62"/>
      <c r="HX21" s="72">
        <v>132</v>
      </c>
      <c r="HZ21" s="62"/>
      <c r="JA21" s="62"/>
      <c r="JB21" s="72">
        <v>132</v>
      </c>
      <c r="JD21" s="62"/>
      <c r="KE21" s="62"/>
      <c r="KF21" s="72">
        <v>132</v>
      </c>
      <c r="KH21" s="62"/>
      <c r="LI21" s="62"/>
      <c r="LJ21" s="72">
        <v>132</v>
      </c>
      <c r="LL21" s="62"/>
      <c r="MM21" s="62"/>
      <c r="MN21" s="72">
        <v>132</v>
      </c>
      <c r="MP21" s="62"/>
      <c r="NQ21" s="62"/>
      <c r="NR21" s="72">
        <v>132</v>
      </c>
      <c r="NT21" s="62"/>
      <c r="OU21" s="62"/>
      <c r="OV21" s="72">
        <v>132</v>
      </c>
      <c r="OX21" s="62"/>
      <c r="PY21" s="62"/>
      <c r="PZ21" s="72">
        <v>132</v>
      </c>
      <c r="QB21" s="62"/>
      <c r="RC21" s="62"/>
      <c r="RD21" s="72">
        <v>132</v>
      </c>
      <c r="RF21" s="62"/>
    </row>
    <row r="22" spans="1:474" ht="16" hidden="1" customHeight="1" x14ac:dyDescent="0.2">
      <c r="A22" s="62"/>
      <c r="B22" s="85" t="s">
        <v>61</v>
      </c>
      <c r="C22" s="61"/>
      <c r="AT22" s="62"/>
      <c r="AU22" s="73">
        <v>1000</v>
      </c>
      <c r="AW22" s="62"/>
      <c r="BY22" s="62"/>
      <c r="BZ22" s="73">
        <v>1000</v>
      </c>
      <c r="CB22" s="62"/>
      <c r="DD22" s="62"/>
      <c r="DE22" s="73">
        <v>1000</v>
      </c>
      <c r="DG22" s="62"/>
      <c r="EK22" s="62"/>
      <c r="EL22" s="73">
        <v>1000</v>
      </c>
      <c r="EN22" s="62"/>
      <c r="FO22" s="62"/>
      <c r="FP22" s="73">
        <v>1000</v>
      </c>
      <c r="FR22" s="62"/>
      <c r="GS22" s="62"/>
      <c r="GT22" s="73">
        <v>1000</v>
      </c>
      <c r="GV22" s="62"/>
      <c r="HW22" s="62"/>
      <c r="HX22" s="73">
        <v>1000</v>
      </c>
      <c r="HZ22" s="62"/>
      <c r="JA22" s="62"/>
      <c r="JB22" s="73">
        <v>1000</v>
      </c>
      <c r="JD22" s="62"/>
      <c r="KE22" s="62"/>
      <c r="KF22" s="73">
        <v>1000</v>
      </c>
      <c r="KH22" s="62"/>
      <c r="LI22" s="62"/>
      <c r="LJ22" s="73">
        <v>1000</v>
      </c>
      <c r="LL22" s="62"/>
      <c r="MM22" s="62"/>
      <c r="MN22" s="73">
        <v>1000</v>
      </c>
      <c r="MP22" s="62"/>
      <c r="NQ22" s="62"/>
      <c r="NR22" s="73">
        <v>1000</v>
      </c>
      <c r="NT22" s="62"/>
      <c r="OU22" s="62"/>
      <c r="OV22" s="73">
        <v>1000</v>
      </c>
      <c r="OX22" s="62"/>
      <c r="PY22" s="62"/>
      <c r="PZ22" s="73">
        <v>1000</v>
      </c>
      <c r="QB22" s="62"/>
      <c r="RC22" s="62"/>
      <c r="RD22" s="73">
        <v>1000</v>
      </c>
      <c r="RF22" s="62"/>
    </row>
    <row r="23" spans="1:474" ht="16" hidden="1" customHeight="1" x14ac:dyDescent="0.2">
      <c r="A23" s="62"/>
      <c r="B23" s="86" t="s">
        <v>26</v>
      </c>
      <c r="C23" s="61"/>
      <c r="AT23" s="62"/>
      <c r="AU23" s="74">
        <v>1000</v>
      </c>
      <c r="AW23" s="62"/>
      <c r="BY23" s="62"/>
      <c r="BZ23" s="74">
        <v>1000</v>
      </c>
      <c r="CB23" s="62"/>
      <c r="DD23" s="62"/>
      <c r="DE23" s="74">
        <v>1000</v>
      </c>
      <c r="DG23" s="62"/>
      <c r="EK23" s="62"/>
      <c r="EL23" s="74">
        <v>1000</v>
      </c>
      <c r="EN23" s="62"/>
      <c r="FO23" s="62"/>
      <c r="FP23" s="74">
        <v>1000</v>
      </c>
      <c r="FR23" s="62"/>
      <c r="GS23" s="62"/>
      <c r="GT23" s="74">
        <v>1000</v>
      </c>
      <c r="GV23" s="62"/>
      <c r="HW23" s="62"/>
      <c r="HX23" s="74">
        <v>1000</v>
      </c>
      <c r="HZ23" s="62"/>
      <c r="JA23" s="62"/>
      <c r="JB23" s="74">
        <v>1000</v>
      </c>
      <c r="JD23" s="62"/>
      <c r="KE23" s="62"/>
      <c r="KF23" s="74">
        <v>1000</v>
      </c>
      <c r="KH23" s="62"/>
      <c r="LI23" s="62"/>
      <c r="LJ23" s="74">
        <v>1000</v>
      </c>
      <c r="LL23" s="62"/>
      <c r="MM23" s="62"/>
      <c r="MN23" s="74">
        <v>1000</v>
      </c>
      <c r="MP23" s="62"/>
      <c r="NQ23" s="62"/>
      <c r="NR23" s="74">
        <v>1000</v>
      </c>
      <c r="NT23" s="62"/>
      <c r="OU23" s="62"/>
      <c r="OV23" s="74">
        <v>1000</v>
      </c>
      <c r="OX23" s="62"/>
      <c r="PY23" s="62"/>
      <c r="PZ23" s="74">
        <v>1000</v>
      </c>
      <c r="QB23" s="62"/>
      <c r="RC23" s="62"/>
      <c r="RD23" s="74">
        <v>1000</v>
      </c>
      <c r="RF23" s="62"/>
    </row>
    <row r="24" spans="1:474" ht="16" hidden="1" customHeight="1" x14ac:dyDescent="0.2">
      <c r="A24" s="62"/>
      <c r="B24" s="87" t="s">
        <v>47</v>
      </c>
      <c r="C24" s="61"/>
      <c r="AT24" s="62"/>
      <c r="AU24" s="75">
        <v>1000</v>
      </c>
      <c r="AW24" s="62"/>
      <c r="BY24" s="62"/>
      <c r="BZ24" s="75">
        <v>1000</v>
      </c>
      <c r="CB24" s="62"/>
      <c r="DD24" s="62"/>
      <c r="DE24" s="75">
        <v>1000</v>
      </c>
      <c r="DG24" s="62"/>
      <c r="EK24" s="62"/>
      <c r="EL24" s="75">
        <v>1000</v>
      </c>
      <c r="EN24" s="62"/>
      <c r="FO24" s="62"/>
      <c r="FP24" s="75">
        <v>1000</v>
      </c>
      <c r="FR24" s="62"/>
      <c r="GS24" s="62"/>
      <c r="GT24" s="75">
        <v>1000</v>
      </c>
      <c r="GV24" s="62"/>
      <c r="HW24" s="62"/>
      <c r="HX24" s="75">
        <v>1000</v>
      </c>
      <c r="HZ24" s="62"/>
      <c r="JA24" s="62"/>
      <c r="JB24" s="75">
        <v>1000</v>
      </c>
      <c r="JD24" s="62"/>
      <c r="KE24" s="62"/>
      <c r="KF24" s="75">
        <v>1000</v>
      </c>
      <c r="KH24" s="62"/>
      <c r="LI24" s="62"/>
      <c r="LJ24" s="75">
        <v>1000</v>
      </c>
      <c r="LL24" s="62"/>
      <c r="MM24" s="62"/>
      <c r="MN24" s="75">
        <v>1000</v>
      </c>
      <c r="MP24" s="62"/>
      <c r="NQ24" s="62"/>
      <c r="NR24" s="75">
        <v>1000</v>
      </c>
      <c r="NT24" s="62"/>
      <c r="OU24" s="62"/>
      <c r="OV24" s="75">
        <v>1000</v>
      </c>
      <c r="OX24" s="62"/>
      <c r="PY24" s="62"/>
      <c r="PZ24" s="75">
        <v>1000</v>
      </c>
      <c r="QB24" s="62"/>
      <c r="RC24" s="62"/>
      <c r="RD24" s="75">
        <v>1000</v>
      </c>
      <c r="RF24" s="62"/>
    </row>
    <row r="25" spans="1:474" x14ac:dyDescent="0.2">
      <c r="B25" s="111" t="s">
        <v>126</v>
      </c>
      <c r="C25" s="3"/>
      <c r="AT25" s="7"/>
      <c r="AU25" t="s">
        <v>115</v>
      </c>
      <c r="AW25" s="7"/>
      <c r="BY25" s="7"/>
      <c r="CB25" s="7"/>
      <c r="DD25" s="7"/>
      <c r="DG25" s="7"/>
      <c r="EK25" s="7"/>
      <c r="EN25" s="7"/>
      <c r="FO25" s="7"/>
      <c r="FR25" s="7"/>
      <c r="GS25" s="7"/>
      <c r="GV25" s="7"/>
      <c r="HW25" s="7"/>
      <c r="HZ25" s="7"/>
      <c r="JA25" s="7"/>
      <c r="JD25" s="7"/>
      <c r="KE25" s="7"/>
      <c r="KH25" s="7"/>
      <c r="LI25" s="7"/>
      <c r="LL25" s="7"/>
      <c r="MM25" s="7"/>
      <c r="MP25" s="7"/>
      <c r="NQ25" s="7"/>
      <c r="NT25" s="7"/>
      <c r="OU25" s="7"/>
      <c r="OX25" s="7"/>
      <c r="PY25" s="7"/>
      <c r="QB25" s="7"/>
      <c r="RC25" s="7"/>
      <c r="RF25" s="7"/>
    </row>
    <row r="26" spans="1:474" x14ac:dyDescent="0.2">
      <c r="A26" s="62"/>
      <c r="B26" s="62"/>
      <c r="C26" s="61"/>
      <c r="OU26" s="7"/>
      <c r="OX26" s="7"/>
    </row>
    <row r="27" spans="1:474" x14ac:dyDescent="0.2">
      <c r="A27" s="62"/>
      <c r="B27" s="62"/>
      <c r="C27" s="61"/>
    </row>
    <row r="28" spans="1:474" x14ac:dyDescent="0.2">
      <c r="A28" s="62"/>
      <c r="B28" s="62"/>
      <c r="C28" s="61"/>
    </row>
  </sheetData>
  <sheetProtection sheet="1" formatCells="0" formatColumns="0" formatRows="0"/>
  <autoFilter ref="A1:RH3" xr:uid="{00000000-0009-0000-0000-000007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sortState ref="A4:RH16">
      <sortCondition descending="1" ref="F1:F13"/>
    </sortState>
  </autoFilter>
  <mergeCells count="126">
    <mergeCell ref="A1:A3"/>
    <mergeCell ref="B1:B3"/>
    <mergeCell ref="C1:C3"/>
    <mergeCell ref="E1:E3"/>
    <mergeCell ref="G1:G3"/>
    <mergeCell ref="FU1:GX1"/>
    <mergeCell ref="FU2:FX2"/>
    <mergeCell ref="FY2:GB2"/>
    <mergeCell ref="GC2:GF2"/>
    <mergeCell ref="GG2:GJ2"/>
    <mergeCell ref="GK2:GN2"/>
    <mergeCell ref="GO2:GR2"/>
    <mergeCell ref="DM1:EP1"/>
    <mergeCell ref="EQ1:FT1"/>
    <mergeCell ref="I1:I3"/>
    <mergeCell ref="J1:J3"/>
    <mergeCell ref="L1:L3"/>
    <mergeCell ref="N1:N3"/>
    <mergeCell ref="P1:P3"/>
    <mergeCell ref="R1:R3"/>
    <mergeCell ref="AO2:AR2"/>
    <mergeCell ref="U1:AY1"/>
    <mergeCell ref="AZ1:CD1"/>
    <mergeCell ref="CE1:DI1"/>
    <mergeCell ref="DJ1:DL1"/>
    <mergeCell ref="U2:X2"/>
    <mergeCell ref="Y2:AB2"/>
    <mergeCell ref="AC2:AF2"/>
    <mergeCell ref="FG2:FJ2"/>
    <mergeCell ref="AG2:AJ2"/>
    <mergeCell ref="AK2:AN2"/>
    <mergeCell ref="CY2:DB2"/>
    <mergeCell ref="AZ2:BC2"/>
    <mergeCell ref="BD2:BG2"/>
    <mergeCell ref="BH2:BK2"/>
    <mergeCell ref="BL2:BO2"/>
    <mergeCell ref="BP2:BS2"/>
    <mergeCell ref="BT2:BW2"/>
    <mergeCell ref="CE2:CH2"/>
    <mergeCell ref="CI2:CL2"/>
    <mergeCell ref="CM2:CP2"/>
    <mergeCell ref="CQ2:CT2"/>
    <mergeCell ref="CU2:CX2"/>
    <mergeCell ref="FK2:FN2"/>
    <mergeCell ref="DM2:DP2"/>
    <mergeCell ref="DQ2:DT2"/>
    <mergeCell ref="DU2:DX2"/>
    <mergeCell ref="DY2:EB2"/>
    <mergeCell ref="EC2:EF2"/>
    <mergeCell ref="EG2:EJ2"/>
    <mergeCell ref="EQ2:ET2"/>
    <mergeCell ref="EU2:EX2"/>
    <mergeCell ref="EY2:FB2"/>
    <mergeCell ref="FC2:FF2"/>
    <mergeCell ref="IC1:JF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GY1:IB1"/>
    <mergeCell ref="JG1:KJ1"/>
    <mergeCell ref="KK1:LN1"/>
    <mergeCell ref="JG2:JJ2"/>
    <mergeCell ref="JK2:JN2"/>
    <mergeCell ref="JO2:JR2"/>
    <mergeCell ref="JS2:JV2"/>
    <mergeCell ref="JW2:JZ2"/>
    <mergeCell ref="KA2:KD2"/>
    <mergeCell ref="KK2:KN2"/>
    <mergeCell ref="KO2:KR2"/>
    <mergeCell ref="KS2:KV2"/>
    <mergeCell ref="KW2:KZ2"/>
    <mergeCell ref="LA2:LD2"/>
    <mergeCell ref="LE2:LH2"/>
    <mergeCell ref="LO1:MR1"/>
    <mergeCell ref="MS1:NV1"/>
    <mergeCell ref="LO2:LR2"/>
    <mergeCell ref="LS2:LV2"/>
    <mergeCell ref="LW2:LZ2"/>
    <mergeCell ref="MA2:MD2"/>
    <mergeCell ref="ME2:MH2"/>
    <mergeCell ref="MI2:ML2"/>
    <mergeCell ref="MS2:MV2"/>
    <mergeCell ref="MW2:MZ2"/>
    <mergeCell ref="NA2:ND2"/>
    <mergeCell ref="NE2:NH2"/>
    <mergeCell ref="NI2:NL2"/>
    <mergeCell ref="NM2:NP2"/>
    <mergeCell ref="QE1:RH1"/>
    <mergeCell ref="QE2:QH2"/>
    <mergeCell ref="QI2:QL2"/>
    <mergeCell ref="QM2:QP2"/>
    <mergeCell ref="QQ2:QT2"/>
    <mergeCell ref="QU2:QX2"/>
    <mergeCell ref="QY2:RB2"/>
    <mergeCell ref="NW1:OZ1"/>
    <mergeCell ref="PA1:QD1"/>
    <mergeCell ref="NW2:NZ2"/>
    <mergeCell ref="OA2:OD2"/>
    <mergeCell ref="OE2:OH2"/>
    <mergeCell ref="OI2:OL2"/>
    <mergeCell ref="OM2:OP2"/>
    <mergeCell ref="OQ2:OT2"/>
    <mergeCell ref="PA2:PD2"/>
    <mergeCell ref="PE2:PH2"/>
    <mergeCell ref="PI2:PL2"/>
    <mergeCell ref="PM2:PP2"/>
    <mergeCell ref="PQ2:PT2"/>
    <mergeCell ref="PU2:PX2"/>
    <mergeCell ref="F1:F3"/>
    <mergeCell ref="M1:M3"/>
    <mergeCell ref="K1:K3"/>
    <mergeCell ref="O1:O3"/>
    <mergeCell ref="Q1:Q3"/>
    <mergeCell ref="H1:H3"/>
    <mergeCell ref="D1:D3"/>
    <mergeCell ref="S1:S3"/>
    <mergeCell ref="T1:T3"/>
  </mergeCells>
  <conditionalFormatting sqref="A1:A1048576">
    <cfRule type="expression" dxfId="53" priority="80">
      <formula>AND(H1="P",F1="")</formula>
    </cfRule>
  </conditionalFormatting>
  <conditionalFormatting sqref="I1:I3 I17:I1048576">
    <cfRule type="containsText" dxfId="52" priority="81" operator="containsText" text="Merit">
      <formula>NOT(ISERROR(SEARCH("Merit",I1)))</formula>
    </cfRule>
    <cfRule type="containsText" dxfId="51" priority="82" operator="containsText" text="Funding">
      <formula>NOT(ISERROR(SEARCH("Funding",I1)))</formula>
    </cfRule>
    <cfRule type="containsText" dxfId="50" priority="83" operator="containsText" text="Worlds Team">
      <formula>NOT(ISERROR(SEARCH("Worlds Team",I1)))</formula>
    </cfRule>
    <cfRule type="containsText" dxfId="49" priority="90" operator="containsText" text="National Team">
      <formula>NOT(ISERROR(SEARCH("National Team",I1)))</formula>
    </cfRule>
  </conditionalFormatting>
  <conditionalFormatting sqref="I4:I16">
    <cfRule type="containsText" dxfId="48" priority="10" operator="containsText" text="Merit">
      <formula>NOT(ISERROR(SEARCH("Merit",I4)))</formula>
    </cfRule>
    <cfRule type="containsText" dxfId="47" priority="11" operator="containsText" text="Funding">
      <formula>NOT(ISERROR(SEARCH("Funding",I4)))</formula>
    </cfRule>
    <cfRule type="containsText" dxfId="46" priority="12" operator="containsText" text="Worlds Team">
      <formula>NOT(ISERROR(SEARCH("Worlds Team",I4)))</formula>
    </cfRule>
    <cfRule type="containsText" dxfId="45" priority="13" operator="containsText" text="National Team">
      <formula>NOT(ISERROR(SEARCH("National Team",I4)))</formula>
    </cfRule>
  </conditionalFormatting>
  <conditionalFormatting sqref="U4:AY16">
    <cfRule type="expression" dxfId="44" priority="9">
      <formula>IF($AS4&lt;&gt;"",1,0)</formula>
    </cfRule>
  </conditionalFormatting>
  <conditionalFormatting sqref="AZ4:CD16">
    <cfRule type="expression" dxfId="43" priority="8">
      <formula>IF($BX4&lt;&gt;"",1,0)</formula>
    </cfRule>
  </conditionalFormatting>
  <conditionalFormatting sqref="CE4:DI16">
    <cfRule type="expression" dxfId="42" priority="7">
      <formula>IF($DC4&lt;&gt;"",1,0)</formula>
    </cfRule>
  </conditionalFormatting>
  <conditionalFormatting sqref="K1:K1048576 M1:M1048576 O1:O1048576 Q1:Q1048576">
    <cfRule type="expression" dxfId="41" priority="2384">
      <formula>IF(K1=$CE$1,1,0)</formula>
    </cfRule>
    <cfRule type="expression" dxfId="40" priority="2385">
      <formula>IF(K1=$AZ$1,1,0)</formula>
    </cfRule>
    <cfRule type="expression" dxfId="39" priority="2386">
      <formula>IF(K1=$U$1,1,0)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38" priority="3189" operator="between">
      <formula>EL$20</formula>
      <formula>100</formula>
    </cfRule>
    <cfRule type="cellIs" dxfId="37" priority="3190" operator="between">
      <formula>EL$19</formula>
      <formula>EL$20</formula>
    </cfRule>
  </conditionalFormatting>
  <conditionalFormatting sqref="RF1:RF1048576 QB1:QB1048576 OX1:OX1048576 NT1:NT1048576 MP1:MP1048576 LL1:LL1048576 KH1:KH1048576 JD1:JD1048576 HZ1:HZ1048576 GV1:GV1048576 FR1:FR1048576 EN1:EN1048576">
    <cfRule type="cellIs" dxfId="36" priority="3261" operator="between">
      <formula>EL$24</formula>
      <formula>1000</formula>
    </cfRule>
    <cfRule type="cellIs" dxfId="35" priority="3262" operator="between">
      <formula>EL$23</formula>
      <formula>EL$24</formula>
    </cfRule>
    <cfRule type="cellIs" dxfId="34" priority="3263" operator="between">
      <formula>EL$22</formula>
      <formula>EL$23</formula>
    </cfRule>
    <cfRule type="cellIs" dxfId="33" priority="3264" operator="between">
      <formula>EL$21</formula>
      <formula>EL$22</formula>
    </cfRule>
  </conditionalFormatting>
  <conditionalFormatting sqref="AT1:AT1048576 BY1:BY1048576 DD1:DD1048576">
    <cfRule type="expression" dxfId="32" priority="3441">
      <formula>IF(AND(AT1&gt;=AU$20,AT1&lt;1000,AS1=""),1,0)</formula>
    </cfRule>
    <cfRule type="expression" dxfId="31" priority="3442">
      <formula>IF(AND(AT1&gt;=AU$19,AT1&lt;AU$20,AS1=""),1,0)</formula>
    </cfRule>
  </conditionalFormatting>
  <conditionalFormatting sqref="AW1:AW1048576 CB1:CB1048576 DG1:DG1048576">
    <cfRule type="expression" dxfId="30" priority="3459">
      <formula>IF(AND(AW1&gt;=AU$24,AW1&lt;1000,AS1=""),1,0)</formula>
    </cfRule>
    <cfRule type="expression" dxfId="29" priority="3460">
      <formula>IF(AND(AW1&gt;=AU$23,AW1&lt;AU$24,AS1=""),1,0)</formula>
    </cfRule>
    <cfRule type="expression" dxfId="28" priority="3461">
      <formula>IF(AND(AW1&gt;=AU$22,AW1&lt;AU$23,AS1=""),1,0)</formula>
    </cfRule>
    <cfRule type="expression" dxfId="27" priority="3462">
      <formula>IF(AND(AW1&gt;=AU$21,AW1&lt;AU$22,AS1=""),1,0)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H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5.83203125" customWidth="1"/>
    <col min="7" max="7" width="15" hidden="1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17" t="s">
        <v>1</v>
      </c>
      <c r="B1" s="117" t="s">
        <v>28</v>
      </c>
      <c r="C1" s="117" t="s">
        <v>0</v>
      </c>
      <c r="D1" s="117" t="s">
        <v>67</v>
      </c>
      <c r="E1" s="117" t="s">
        <v>2</v>
      </c>
      <c r="F1" s="118" t="s">
        <v>63</v>
      </c>
      <c r="G1" s="118" t="s">
        <v>62</v>
      </c>
      <c r="H1" s="117" t="s">
        <v>8</v>
      </c>
      <c r="I1" s="117" t="s">
        <v>9</v>
      </c>
      <c r="J1" s="119" t="s">
        <v>10</v>
      </c>
      <c r="K1" s="119" t="s">
        <v>45</v>
      </c>
      <c r="L1" s="119" t="s">
        <v>29</v>
      </c>
      <c r="M1" s="119" t="s">
        <v>45</v>
      </c>
      <c r="N1" s="119" t="s">
        <v>30</v>
      </c>
      <c r="O1" s="119" t="s">
        <v>45</v>
      </c>
      <c r="P1" s="119" t="s">
        <v>13</v>
      </c>
      <c r="Q1" s="119" t="s">
        <v>45</v>
      </c>
      <c r="R1" s="120" t="s">
        <v>14</v>
      </c>
      <c r="S1" s="119" t="s">
        <v>46</v>
      </c>
      <c r="T1" s="119" t="s">
        <v>45</v>
      </c>
      <c r="U1" s="114" t="s">
        <v>25</v>
      </c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3" t="s">
        <v>64</v>
      </c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4" t="s">
        <v>116</v>
      </c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21" t="s">
        <v>14</v>
      </c>
      <c r="DK1" s="121"/>
      <c r="DL1" s="121"/>
      <c r="DM1" s="128" t="s">
        <v>135</v>
      </c>
      <c r="DN1" s="128"/>
      <c r="DO1" s="128"/>
      <c r="DP1" s="128"/>
      <c r="DQ1" s="128"/>
      <c r="DR1" s="128"/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8"/>
      <c r="EI1" s="128"/>
      <c r="EJ1" s="128"/>
      <c r="EK1" s="128"/>
      <c r="EL1" s="128"/>
      <c r="EM1" s="128"/>
      <c r="EN1" s="128"/>
      <c r="EO1" s="128"/>
      <c r="EP1" s="128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6"/>
      <c r="FN1" s="126"/>
      <c r="FO1" s="126"/>
      <c r="FP1" s="126"/>
      <c r="FQ1" s="126"/>
      <c r="FR1" s="126"/>
      <c r="FS1" s="126"/>
      <c r="FT1" s="126"/>
      <c r="FU1" s="128"/>
      <c r="FV1" s="128"/>
      <c r="FW1" s="128"/>
      <c r="FX1" s="128"/>
      <c r="FY1" s="128"/>
      <c r="FZ1" s="128"/>
      <c r="GA1" s="128"/>
      <c r="GB1" s="128"/>
      <c r="GC1" s="128"/>
      <c r="GD1" s="128"/>
      <c r="GE1" s="128"/>
      <c r="GF1" s="128"/>
      <c r="GG1" s="128"/>
      <c r="GH1" s="128"/>
      <c r="GI1" s="128"/>
      <c r="GJ1" s="128"/>
      <c r="GK1" s="128"/>
      <c r="GL1" s="128"/>
      <c r="GM1" s="128"/>
      <c r="GN1" s="128"/>
      <c r="GO1" s="128"/>
      <c r="GP1" s="128"/>
      <c r="GQ1" s="128"/>
      <c r="GR1" s="128"/>
      <c r="GS1" s="128"/>
      <c r="GT1" s="128"/>
      <c r="GU1" s="128"/>
      <c r="GV1" s="128"/>
      <c r="GW1" s="128"/>
      <c r="GX1" s="128"/>
      <c r="GY1" s="126"/>
      <c r="GZ1" s="126"/>
      <c r="HA1" s="126"/>
      <c r="HB1" s="126"/>
      <c r="HC1" s="126"/>
      <c r="HD1" s="126"/>
      <c r="HE1" s="126"/>
      <c r="HF1" s="126"/>
      <c r="HG1" s="126"/>
      <c r="HH1" s="126"/>
      <c r="HI1" s="126"/>
      <c r="HJ1" s="126"/>
      <c r="HK1" s="126"/>
      <c r="HL1" s="126"/>
      <c r="HM1" s="126"/>
      <c r="HN1" s="126"/>
      <c r="HO1" s="126"/>
      <c r="HP1" s="126"/>
      <c r="HQ1" s="126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8"/>
      <c r="ID1" s="128"/>
      <c r="IE1" s="128"/>
      <c r="IF1" s="128"/>
      <c r="IG1" s="128"/>
      <c r="IH1" s="128"/>
      <c r="II1" s="128"/>
      <c r="IJ1" s="128"/>
      <c r="IK1" s="128"/>
      <c r="IL1" s="128"/>
      <c r="IM1" s="128"/>
      <c r="IN1" s="128"/>
      <c r="IO1" s="128"/>
      <c r="IP1" s="128"/>
      <c r="IQ1" s="128"/>
      <c r="IR1" s="128"/>
      <c r="IS1" s="128"/>
      <c r="IT1" s="128"/>
      <c r="IU1" s="128"/>
      <c r="IV1" s="128"/>
      <c r="IW1" s="128"/>
      <c r="IX1" s="128"/>
      <c r="IY1" s="128"/>
      <c r="IZ1" s="128"/>
      <c r="JA1" s="128"/>
      <c r="JB1" s="128"/>
      <c r="JC1" s="128"/>
      <c r="JD1" s="128"/>
      <c r="JE1" s="128"/>
      <c r="JF1" s="128"/>
      <c r="JG1" s="126"/>
      <c r="JH1" s="126"/>
      <c r="JI1" s="126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6"/>
      <c r="KJ1" s="126"/>
      <c r="KK1" s="128"/>
      <c r="KL1" s="128"/>
      <c r="KM1" s="128"/>
      <c r="KN1" s="128"/>
      <c r="KO1" s="128"/>
      <c r="KP1" s="128"/>
      <c r="KQ1" s="128"/>
      <c r="KR1" s="128"/>
      <c r="KS1" s="128"/>
      <c r="KT1" s="128"/>
      <c r="KU1" s="128"/>
      <c r="KV1" s="128"/>
      <c r="KW1" s="128"/>
      <c r="KX1" s="128"/>
      <c r="KY1" s="128"/>
      <c r="KZ1" s="128"/>
      <c r="LA1" s="128"/>
      <c r="LB1" s="128"/>
      <c r="LC1" s="128"/>
      <c r="LD1" s="128"/>
      <c r="LE1" s="128"/>
      <c r="LF1" s="128"/>
      <c r="LG1" s="128"/>
      <c r="LH1" s="128"/>
      <c r="LI1" s="128"/>
      <c r="LJ1" s="128"/>
      <c r="LK1" s="128"/>
      <c r="LL1" s="128"/>
      <c r="LM1" s="128"/>
      <c r="LN1" s="128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6"/>
      <c r="LZ1" s="126"/>
      <c r="MA1" s="126"/>
      <c r="MB1" s="126"/>
      <c r="MC1" s="126"/>
      <c r="MD1" s="126"/>
      <c r="ME1" s="126"/>
      <c r="MF1" s="126"/>
      <c r="MG1" s="126"/>
      <c r="MH1" s="126"/>
      <c r="MI1" s="126"/>
      <c r="MJ1" s="126"/>
      <c r="MK1" s="126"/>
      <c r="ML1" s="126"/>
      <c r="MM1" s="126"/>
      <c r="MN1" s="126"/>
      <c r="MO1" s="126"/>
      <c r="MP1" s="126"/>
      <c r="MQ1" s="126"/>
      <c r="MR1" s="126"/>
      <c r="MS1" s="128"/>
      <c r="MT1" s="128"/>
      <c r="MU1" s="128"/>
      <c r="MV1" s="128"/>
      <c r="MW1" s="128"/>
      <c r="MX1" s="128"/>
      <c r="MY1" s="128"/>
      <c r="MZ1" s="128"/>
      <c r="NA1" s="128"/>
      <c r="NB1" s="128"/>
      <c r="NC1" s="128"/>
      <c r="ND1" s="128"/>
      <c r="NE1" s="128"/>
      <c r="NF1" s="128"/>
      <c r="NG1" s="128"/>
      <c r="NH1" s="128"/>
      <c r="NI1" s="128"/>
      <c r="NJ1" s="128"/>
      <c r="NK1" s="128"/>
      <c r="NL1" s="128"/>
      <c r="NM1" s="128"/>
      <c r="NN1" s="128"/>
      <c r="NO1" s="128"/>
      <c r="NP1" s="128"/>
      <c r="NQ1" s="128"/>
      <c r="NR1" s="128"/>
      <c r="NS1" s="128"/>
      <c r="NT1" s="128"/>
      <c r="NU1" s="128"/>
      <c r="NV1" s="128"/>
      <c r="NW1" s="126"/>
      <c r="NX1" s="126"/>
      <c r="NY1" s="126"/>
      <c r="NZ1" s="126"/>
      <c r="OA1" s="126"/>
      <c r="OB1" s="126"/>
      <c r="OC1" s="126"/>
      <c r="OD1" s="126"/>
      <c r="OE1" s="126"/>
      <c r="OF1" s="126"/>
      <c r="OG1" s="126"/>
      <c r="OH1" s="126"/>
      <c r="OI1" s="126"/>
      <c r="OJ1" s="126"/>
      <c r="OK1" s="126"/>
      <c r="OL1" s="126"/>
      <c r="OM1" s="126"/>
      <c r="ON1" s="126"/>
      <c r="OO1" s="126"/>
      <c r="OP1" s="126"/>
      <c r="OQ1" s="126"/>
      <c r="OR1" s="126"/>
      <c r="OS1" s="126"/>
      <c r="OT1" s="126"/>
      <c r="OU1" s="126"/>
      <c r="OV1" s="126"/>
      <c r="OW1" s="126"/>
      <c r="OX1" s="126"/>
      <c r="OY1" s="126"/>
      <c r="OZ1" s="126"/>
      <c r="PA1" s="128"/>
      <c r="PB1" s="128"/>
      <c r="PC1" s="128"/>
      <c r="PD1" s="128"/>
      <c r="PE1" s="128"/>
      <c r="PF1" s="128"/>
      <c r="PG1" s="128"/>
      <c r="PH1" s="128"/>
      <c r="PI1" s="128"/>
      <c r="PJ1" s="128"/>
      <c r="PK1" s="128"/>
      <c r="PL1" s="128"/>
      <c r="PM1" s="128"/>
      <c r="PN1" s="128"/>
      <c r="PO1" s="128"/>
      <c r="PP1" s="128"/>
      <c r="PQ1" s="128"/>
      <c r="PR1" s="128"/>
      <c r="PS1" s="128"/>
      <c r="PT1" s="128"/>
      <c r="PU1" s="128"/>
      <c r="PV1" s="128"/>
      <c r="PW1" s="128"/>
      <c r="PX1" s="128"/>
      <c r="PY1" s="128"/>
      <c r="PZ1" s="128"/>
      <c r="QA1" s="128"/>
      <c r="QB1" s="128"/>
      <c r="QC1" s="128"/>
      <c r="QD1" s="128"/>
      <c r="QE1" s="126"/>
      <c r="QF1" s="126"/>
      <c r="QG1" s="126"/>
      <c r="QH1" s="126"/>
      <c r="QI1" s="126"/>
      <c r="QJ1" s="126"/>
      <c r="QK1" s="126"/>
      <c r="QL1" s="126"/>
      <c r="QM1" s="126"/>
      <c r="QN1" s="126"/>
      <c r="QO1" s="126"/>
      <c r="QP1" s="126"/>
      <c r="QQ1" s="126"/>
      <c r="QR1" s="126"/>
      <c r="QS1" s="126"/>
      <c r="QT1" s="126"/>
      <c r="QU1" s="126"/>
      <c r="QV1" s="126"/>
      <c r="QW1" s="126"/>
      <c r="QX1" s="126"/>
      <c r="QY1" s="126"/>
      <c r="QZ1" s="126"/>
      <c r="RA1" s="126"/>
      <c r="RB1" s="126"/>
      <c r="RC1" s="126"/>
      <c r="RD1" s="126"/>
      <c r="RE1" s="126"/>
      <c r="RF1" s="126"/>
      <c r="RG1" s="126"/>
      <c r="RH1" s="126"/>
    </row>
    <row r="2" spans="1:476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6" t="s">
        <v>31</v>
      </c>
      <c r="V2" s="116"/>
      <c r="W2" s="116"/>
      <c r="X2" s="116"/>
      <c r="Y2" s="116" t="s">
        <v>34</v>
      </c>
      <c r="Z2" s="116"/>
      <c r="AA2" s="116"/>
      <c r="AB2" s="116"/>
      <c r="AC2" s="116" t="s">
        <v>35</v>
      </c>
      <c r="AD2" s="116"/>
      <c r="AE2" s="116"/>
      <c r="AF2" s="116"/>
      <c r="AG2" s="124" t="s">
        <v>36</v>
      </c>
      <c r="AH2" s="124"/>
      <c r="AI2" s="124"/>
      <c r="AJ2" s="124"/>
      <c r="AK2" s="124" t="s">
        <v>37</v>
      </c>
      <c r="AL2" s="124"/>
      <c r="AM2" s="124"/>
      <c r="AN2" s="124"/>
      <c r="AO2" s="124" t="s">
        <v>38</v>
      </c>
      <c r="AP2" s="124"/>
      <c r="AQ2" s="124"/>
      <c r="AR2" s="124"/>
      <c r="AS2" s="98"/>
      <c r="AT2" s="64" t="s">
        <v>27</v>
      </c>
      <c r="AU2" s="10" t="s">
        <v>39</v>
      </c>
      <c r="AV2" s="10" t="s">
        <v>40</v>
      </c>
      <c r="AW2" s="10" t="s">
        <v>24</v>
      </c>
      <c r="AX2" s="10" t="s">
        <v>23</v>
      </c>
      <c r="AY2" s="10" t="s">
        <v>18</v>
      </c>
      <c r="AZ2" s="115" t="s">
        <v>31</v>
      </c>
      <c r="BA2" s="115"/>
      <c r="BB2" s="115"/>
      <c r="BC2" s="115"/>
      <c r="BD2" s="115" t="s">
        <v>34</v>
      </c>
      <c r="BE2" s="115"/>
      <c r="BF2" s="115"/>
      <c r="BG2" s="115"/>
      <c r="BH2" s="115" t="s">
        <v>35</v>
      </c>
      <c r="BI2" s="115"/>
      <c r="BJ2" s="115"/>
      <c r="BK2" s="115"/>
      <c r="BL2" s="127" t="s">
        <v>36</v>
      </c>
      <c r="BM2" s="127"/>
      <c r="BN2" s="127"/>
      <c r="BO2" s="127"/>
      <c r="BP2" s="127" t="s">
        <v>37</v>
      </c>
      <c r="BQ2" s="127"/>
      <c r="BR2" s="127"/>
      <c r="BS2" s="127"/>
      <c r="BT2" s="127" t="s">
        <v>38</v>
      </c>
      <c r="BU2" s="127"/>
      <c r="BV2" s="127"/>
      <c r="BW2" s="127"/>
      <c r="BX2" s="99"/>
      <c r="BY2" s="63" t="s">
        <v>27</v>
      </c>
      <c r="BZ2" s="13" t="s">
        <v>39</v>
      </c>
      <c r="CA2" s="13" t="s">
        <v>40</v>
      </c>
      <c r="CB2" s="13" t="s">
        <v>24</v>
      </c>
      <c r="CC2" s="13" t="s">
        <v>23</v>
      </c>
      <c r="CD2" s="13" t="s">
        <v>18</v>
      </c>
      <c r="CE2" s="116" t="s">
        <v>31</v>
      </c>
      <c r="CF2" s="116"/>
      <c r="CG2" s="116"/>
      <c r="CH2" s="116"/>
      <c r="CI2" s="116" t="s">
        <v>34</v>
      </c>
      <c r="CJ2" s="116"/>
      <c r="CK2" s="116"/>
      <c r="CL2" s="116"/>
      <c r="CM2" s="116" t="s">
        <v>35</v>
      </c>
      <c r="CN2" s="116"/>
      <c r="CO2" s="116"/>
      <c r="CP2" s="116"/>
      <c r="CQ2" s="124" t="s">
        <v>36</v>
      </c>
      <c r="CR2" s="124"/>
      <c r="CS2" s="124"/>
      <c r="CT2" s="124"/>
      <c r="CU2" s="124" t="s">
        <v>37</v>
      </c>
      <c r="CV2" s="124"/>
      <c r="CW2" s="124"/>
      <c r="CX2" s="124"/>
      <c r="CY2" s="124" t="s">
        <v>38</v>
      </c>
      <c r="CZ2" s="124"/>
      <c r="DA2" s="124"/>
      <c r="DB2" s="124"/>
      <c r="DC2" s="98"/>
      <c r="DD2" s="17" t="s">
        <v>27</v>
      </c>
      <c r="DE2" s="10" t="s">
        <v>39</v>
      </c>
      <c r="DF2" s="10" t="s">
        <v>40</v>
      </c>
      <c r="DG2" s="10" t="s">
        <v>24</v>
      </c>
      <c r="DH2" s="10" t="s">
        <v>23</v>
      </c>
      <c r="DI2" s="10" t="s">
        <v>18</v>
      </c>
      <c r="DJ2" s="26" t="s">
        <v>39</v>
      </c>
      <c r="DK2" s="26" t="s">
        <v>40</v>
      </c>
      <c r="DL2" s="26" t="s">
        <v>23</v>
      </c>
      <c r="DM2" s="116" t="s">
        <v>31</v>
      </c>
      <c r="DN2" s="116"/>
      <c r="DO2" s="116"/>
      <c r="DP2" s="116"/>
      <c r="DQ2" s="116" t="s">
        <v>34</v>
      </c>
      <c r="DR2" s="116"/>
      <c r="DS2" s="116"/>
      <c r="DT2" s="116"/>
      <c r="DU2" s="116" t="s">
        <v>35</v>
      </c>
      <c r="DV2" s="116"/>
      <c r="DW2" s="116"/>
      <c r="DX2" s="116"/>
      <c r="DY2" s="124" t="s">
        <v>36</v>
      </c>
      <c r="DZ2" s="124"/>
      <c r="EA2" s="124"/>
      <c r="EB2" s="124"/>
      <c r="EC2" s="124" t="s">
        <v>37</v>
      </c>
      <c r="ED2" s="124"/>
      <c r="EE2" s="124"/>
      <c r="EF2" s="124"/>
      <c r="EG2" s="124" t="s">
        <v>38</v>
      </c>
      <c r="EH2" s="124"/>
      <c r="EI2" s="124"/>
      <c r="EJ2" s="124"/>
      <c r="EK2" s="64" t="s">
        <v>27</v>
      </c>
      <c r="EL2" s="10" t="s">
        <v>39</v>
      </c>
      <c r="EM2" s="10" t="s">
        <v>40</v>
      </c>
      <c r="EN2" s="10" t="s">
        <v>24</v>
      </c>
      <c r="EO2" s="10" t="s">
        <v>23</v>
      </c>
      <c r="EP2" s="10" t="s">
        <v>18</v>
      </c>
      <c r="EQ2" s="127" t="s">
        <v>31</v>
      </c>
      <c r="ER2" s="127"/>
      <c r="ES2" s="127"/>
      <c r="ET2" s="127"/>
      <c r="EU2" s="127" t="s">
        <v>34</v>
      </c>
      <c r="EV2" s="127"/>
      <c r="EW2" s="127"/>
      <c r="EX2" s="127"/>
      <c r="EY2" s="127" t="s">
        <v>35</v>
      </c>
      <c r="EZ2" s="127"/>
      <c r="FA2" s="127"/>
      <c r="FB2" s="127"/>
      <c r="FC2" s="127" t="s">
        <v>36</v>
      </c>
      <c r="FD2" s="127"/>
      <c r="FE2" s="127"/>
      <c r="FF2" s="127"/>
      <c r="FG2" s="127" t="s">
        <v>37</v>
      </c>
      <c r="FH2" s="127"/>
      <c r="FI2" s="127"/>
      <c r="FJ2" s="127"/>
      <c r="FK2" s="127" t="s">
        <v>38</v>
      </c>
      <c r="FL2" s="127"/>
      <c r="FM2" s="127"/>
      <c r="FN2" s="127"/>
      <c r="FO2" s="68" t="s">
        <v>27</v>
      </c>
      <c r="FP2" s="18" t="s">
        <v>39</v>
      </c>
      <c r="FQ2" s="18" t="s">
        <v>40</v>
      </c>
      <c r="FR2" s="18" t="s">
        <v>24</v>
      </c>
      <c r="FS2" s="18" t="s">
        <v>23</v>
      </c>
      <c r="FT2" s="18" t="s">
        <v>18</v>
      </c>
      <c r="FU2" s="124" t="s">
        <v>31</v>
      </c>
      <c r="FV2" s="124"/>
      <c r="FW2" s="124"/>
      <c r="FX2" s="124"/>
      <c r="FY2" s="124" t="s">
        <v>34</v>
      </c>
      <c r="FZ2" s="124"/>
      <c r="GA2" s="124"/>
      <c r="GB2" s="124"/>
      <c r="GC2" s="124" t="s">
        <v>35</v>
      </c>
      <c r="GD2" s="124"/>
      <c r="GE2" s="124"/>
      <c r="GF2" s="124"/>
      <c r="GG2" s="124" t="s">
        <v>36</v>
      </c>
      <c r="GH2" s="124"/>
      <c r="GI2" s="124"/>
      <c r="GJ2" s="124"/>
      <c r="GK2" s="124" t="s">
        <v>37</v>
      </c>
      <c r="GL2" s="124"/>
      <c r="GM2" s="124"/>
      <c r="GN2" s="124"/>
      <c r="GO2" s="124" t="s">
        <v>38</v>
      </c>
      <c r="GP2" s="124"/>
      <c r="GQ2" s="124"/>
      <c r="GR2" s="124"/>
      <c r="GS2" s="67" t="s">
        <v>27</v>
      </c>
      <c r="GT2" s="19" t="s">
        <v>39</v>
      </c>
      <c r="GU2" s="19" t="s">
        <v>40</v>
      </c>
      <c r="GV2" s="19" t="s">
        <v>24</v>
      </c>
      <c r="GW2" s="19" t="s">
        <v>23</v>
      </c>
      <c r="GX2" s="19" t="s">
        <v>18</v>
      </c>
      <c r="GY2" s="127" t="s">
        <v>31</v>
      </c>
      <c r="GZ2" s="127"/>
      <c r="HA2" s="127"/>
      <c r="HB2" s="127"/>
      <c r="HC2" s="127" t="s">
        <v>34</v>
      </c>
      <c r="HD2" s="127"/>
      <c r="HE2" s="127"/>
      <c r="HF2" s="127"/>
      <c r="HG2" s="127" t="s">
        <v>35</v>
      </c>
      <c r="HH2" s="127"/>
      <c r="HI2" s="127"/>
      <c r="HJ2" s="127"/>
      <c r="HK2" s="127" t="s">
        <v>36</v>
      </c>
      <c r="HL2" s="127"/>
      <c r="HM2" s="127"/>
      <c r="HN2" s="127"/>
      <c r="HO2" s="127" t="s">
        <v>37</v>
      </c>
      <c r="HP2" s="127"/>
      <c r="HQ2" s="127"/>
      <c r="HR2" s="127"/>
      <c r="HS2" s="127" t="s">
        <v>38</v>
      </c>
      <c r="HT2" s="127"/>
      <c r="HU2" s="127"/>
      <c r="HV2" s="127"/>
      <c r="HW2" s="68" t="s">
        <v>27</v>
      </c>
      <c r="HX2" s="18" t="s">
        <v>39</v>
      </c>
      <c r="HY2" s="18" t="s">
        <v>40</v>
      </c>
      <c r="HZ2" s="18" t="s">
        <v>24</v>
      </c>
      <c r="IA2" s="18" t="s">
        <v>23</v>
      </c>
      <c r="IB2" s="18" t="s">
        <v>18</v>
      </c>
      <c r="IC2" s="124" t="s">
        <v>31</v>
      </c>
      <c r="ID2" s="124"/>
      <c r="IE2" s="124"/>
      <c r="IF2" s="124"/>
      <c r="IG2" s="124" t="s">
        <v>34</v>
      </c>
      <c r="IH2" s="124"/>
      <c r="II2" s="124"/>
      <c r="IJ2" s="124"/>
      <c r="IK2" s="124" t="s">
        <v>35</v>
      </c>
      <c r="IL2" s="124"/>
      <c r="IM2" s="124"/>
      <c r="IN2" s="124"/>
      <c r="IO2" s="124" t="s">
        <v>36</v>
      </c>
      <c r="IP2" s="124"/>
      <c r="IQ2" s="124"/>
      <c r="IR2" s="124"/>
      <c r="IS2" s="124" t="s">
        <v>37</v>
      </c>
      <c r="IT2" s="124"/>
      <c r="IU2" s="124"/>
      <c r="IV2" s="124"/>
      <c r="IW2" s="124" t="s">
        <v>38</v>
      </c>
      <c r="IX2" s="124"/>
      <c r="IY2" s="124"/>
      <c r="IZ2" s="124"/>
      <c r="JA2" s="67" t="s">
        <v>27</v>
      </c>
      <c r="JB2" s="19" t="s">
        <v>39</v>
      </c>
      <c r="JC2" s="19" t="s">
        <v>40</v>
      </c>
      <c r="JD2" s="19" t="s">
        <v>24</v>
      </c>
      <c r="JE2" s="19" t="s">
        <v>23</v>
      </c>
      <c r="JF2" s="19" t="s">
        <v>18</v>
      </c>
      <c r="JG2" s="127" t="s">
        <v>31</v>
      </c>
      <c r="JH2" s="127"/>
      <c r="JI2" s="127"/>
      <c r="JJ2" s="127"/>
      <c r="JK2" s="127" t="s">
        <v>34</v>
      </c>
      <c r="JL2" s="127"/>
      <c r="JM2" s="127"/>
      <c r="JN2" s="127"/>
      <c r="JO2" s="127" t="s">
        <v>35</v>
      </c>
      <c r="JP2" s="127"/>
      <c r="JQ2" s="127"/>
      <c r="JR2" s="127"/>
      <c r="JS2" s="127" t="s">
        <v>36</v>
      </c>
      <c r="JT2" s="127"/>
      <c r="JU2" s="127"/>
      <c r="JV2" s="127"/>
      <c r="JW2" s="127" t="s">
        <v>37</v>
      </c>
      <c r="JX2" s="127"/>
      <c r="JY2" s="127"/>
      <c r="JZ2" s="127"/>
      <c r="KA2" s="127" t="s">
        <v>38</v>
      </c>
      <c r="KB2" s="127"/>
      <c r="KC2" s="127"/>
      <c r="KD2" s="127"/>
      <c r="KE2" s="24" t="s">
        <v>27</v>
      </c>
      <c r="KF2" s="18" t="s">
        <v>39</v>
      </c>
      <c r="KG2" s="18" t="s">
        <v>40</v>
      </c>
      <c r="KH2" s="18" t="s">
        <v>24</v>
      </c>
      <c r="KI2" s="18" t="s">
        <v>23</v>
      </c>
      <c r="KJ2" s="18" t="s">
        <v>18</v>
      </c>
      <c r="KK2" s="124" t="s">
        <v>31</v>
      </c>
      <c r="KL2" s="124"/>
      <c r="KM2" s="124"/>
      <c r="KN2" s="124"/>
      <c r="KO2" s="124" t="s">
        <v>34</v>
      </c>
      <c r="KP2" s="124"/>
      <c r="KQ2" s="124"/>
      <c r="KR2" s="124"/>
      <c r="KS2" s="124" t="s">
        <v>35</v>
      </c>
      <c r="KT2" s="124"/>
      <c r="KU2" s="124"/>
      <c r="KV2" s="124"/>
      <c r="KW2" s="124" t="s">
        <v>36</v>
      </c>
      <c r="KX2" s="124"/>
      <c r="KY2" s="124"/>
      <c r="KZ2" s="124"/>
      <c r="LA2" s="124" t="s">
        <v>37</v>
      </c>
      <c r="LB2" s="124"/>
      <c r="LC2" s="124"/>
      <c r="LD2" s="124"/>
      <c r="LE2" s="124" t="s">
        <v>38</v>
      </c>
      <c r="LF2" s="124"/>
      <c r="LG2" s="124"/>
      <c r="LH2" s="124"/>
      <c r="LI2" s="25" t="s">
        <v>27</v>
      </c>
      <c r="LJ2" s="19" t="s">
        <v>39</v>
      </c>
      <c r="LK2" s="19" t="s">
        <v>40</v>
      </c>
      <c r="LL2" s="19" t="s">
        <v>24</v>
      </c>
      <c r="LM2" s="19" t="s">
        <v>23</v>
      </c>
      <c r="LN2" s="19" t="s">
        <v>18</v>
      </c>
      <c r="LO2" s="127" t="s">
        <v>31</v>
      </c>
      <c r="LP2" s="127"/>
      <c r="LQ2" s="127"/>
      <c r="LR2" s="127"/>
      <c r="LS2" s="127" t="s">
        <v>34</v>
      </c>
      <c r="LT2" s="127"/>
      <c r="LU2" s="127"/>
      <c r="LV2" s="127"/>
      <c r="LW2" s="127" t="s">
        <v>35</v>
      </c>
      <c r="LX2" s="127"/>
      <c r="LY2" s="127"/>
      <c r="LZ2" s="127"/>
      <c r="MA2" s="127" t="s">
        <v>36</v>
      </c>
      <c r="MB2" s="127"/>
      <c r="MC2" s="127"/>
      <c r="MD2" s="127"/>
      <c r="ME2" s="127" t="s">
        <v>37</v>
      </c>
      <c r="MF2" s="127"/>
      <c r="MG2" s="127"/>
      <c r="MH2" s="127"/>
      <c r="MI2" s="127" t="s">
        <v>38</v>
      </c>
      <c r="MJ2" s="127"/>
      <c r="MK2" s="127"/>
      <c r="ML2" s="127"/>
      <c r="MM2" s="24" t="s">
        <v>27</v>
      </c>
      <c r="MN2" s="18" t="s">
        <v>39</v>
      </c>
      <c r="MO2" s="18" t="s">
        <v>40</v>
      </c>
      <c r="MP2" s="18" t="s">
        <v>24</v>
      </c>
      <c r="MQ2" s="18" t="s">
        <v>23</v>
      </c>
      <c r="MR2" s="18" t="s">
        <v>18</v>
      </c>
      <c r="MS2" s="124" t="s">
        <v>31</v>
      </c>
      <c r="MT2" s="124"/>
      <c r="MU2" s="124"/>
      <c r="MV2" s="124"/>
      <c r="MW2" s="124" t="s">
        <v>34</v>
      </c>
      <c r="MX2" s="124"/>
      <c r="MY2" s="124"/>
      <c r="MZ2" s="124"/>
      <c r="NA2" s="124" t="s">
        <v>35</v>
      </c>
      <c r="NB2" s="124"/>
      <c r="NC2" s="124"/>
      <c r="ND2" s="124"/>
      <c r="NE2" s="124" t="s">
        <v>36</v>
      </c>
      <c r="NF2" s="124"/>
      <c r="NG2" s="124"/>
      <c r="NH2" s="124"/>
      <c r="NI2" s="124" t="s">
        <v>37</v>
      </c>
      <c r="NJ2" s="124"/>
      <c r="NK2" s="124"/>
      <c r="NL2" s="124"/>
      <c r="NM2" s="124" t="s">
        <v>38</v>
      </c>
      <c r="NN2" s="124"/>
      <c r="NO2" s="124"/>
      <c r="NP2" s="124"/>
      <c r="NQ2" s="25" t="s">
        <v>27</v>
      </c>
      <c r="NR2" s="19" t="s">
        <v>39</v>
      </c>
      <c r="NS2" s="19" t="s">
        <v>40</v>
      </c>
      <c r="NT2" s="19" t="s">
        <v>24</v>
      </c>
      <c r="NU2" s="19" t="s">
        <v>23</v>
      </c>
      <c r="NV2" s="19" t="s">
        <v>18</v>
      </c>
      <c r="NW2" s="127" t="s">
        <v>31</v>
      </c>
      <c r="NX2" s="127"/>
      <c r="NY2" s="127"/>
      <c r="NZ2" s="127"/>
      <c r="OA2" s="127" t="s">
        <v>34</v>
      </c>
      <c r="OB2" s="127"/>
      <c r="OC2" s="127"/>
      <c r="OD2" s="127"/>
      <c r="OE2" s="127" t="s">
        <v>35</v>
      </c>
      <c r="OF2" s="127"/>
      <c r="OG2" s="127"/>
      <c r="OH2" s="127"/>
      <c r="OI2" s="127" t="s">
        <v>36</v>
      </c>
      <c r="OJ2" s="127"/>
      <c r="OK2" s="127"/>
      <c r="OL2" s="127"/>
      <c r="OM2" s="127" t="s">
        <v>37</v>
      </c>
      <c r="ON2" s="127"/>
      <c r="OO2" s="127"/>
      <c r="OP2" s="127"/>
      <c r="OQ2" s="127" t="s">
        <v>38</v>
      </c>
      <c r="OR2" s="127"/>
      <c r="OS2" s="127"/>
      <c r="OT2" s="127"/>
      <c r="OU2" s="24" t="s">
        <v>27</v>
      </c>
      <c r="OV2" s="18" t="s">
        <v>39</v>
      </c>
      <c r="OW2" s="18" t="s">
        <v>40</v>
      </c>
      <c r="OX2" s="18" t="s">
        <v>24</v>
      </c>
      <c r="OY2" s="18" t="s">
        <v>23</v>
      </c>
      <c r="OZ2" s="18" t="s">
        <v>18</v>
      </c>
      <c r="PA2" s="124" t="s">
        <v>31</v>
      </c>
      <c r="PB2" s="124"/>
      <c r="PC2" s="124"/>
      <c r="PD2" s="124"/>
      <c r="PE2" s="124" t="s">
        <v>34</v>
      </c>
      <c r="PF2" s="124"/>
      <c r="PG2" s="124"/>
      <c r="PH2" s="124"/>
      <c r="PI2" s="124" t="s">
        <v>35</v>
      </c>
      <c r="PJ2" s="124"/>
      <c r="PK2" s="124"/>
      <c r="PL2" s="124"/>
      <c r="PM2" s="124" t="s">
        <v>36</v>
      </c>
      <c r="PN2" s="124"/>
      <c r="PO2" s="124"/>
      <c r="PP2" s="124"/>
      <c r="PQ2" s="124" t="s">
        <v>37</v>
      </c>
      <c r="PR2" s="124"/>
      <c r="PS2" s="124"/>
      <c r="PT2" s="124"/>
      <c r="PU2" s="124" t="s">
        <v>38</v>
      </c>
      <c r="PV2" s="124"/>
      <c r="PW2" s="124"/>
      <c r="PX2" s="124"/>
      <c r="PY2" s="25" t="s">
        <v>27</v>
      </c>
      <c r="PZ2" s="19" t="s">
        <v>39</v>
      </c>
      <c r="QA2" s="19" t="s">
        <v>40</v>
      </c>
      <c r="QB2" s="19" t="s">
        <v>24</v>
      </c>
      <c r="QC2" s="19" t="s">
        <v>23</v>
      </c>
      <c r="QD2" s="19" t="s">
        <v>18</v>
      </c>
      <c r="QE2" s="127" t="s">
        <v>31</v>
      </c>
      <c r="QF2" s="127"/>
      <c r="QG2" s="127"/>
      <c r="QH2" s="127"/>
      <c r="QI2" s="127" t="s">
        <v>34</v>
      </c>
      <c r="QJ2" s="127"/>
      <c r="QK2" s="127"/>
      <c r="QL2" s="127"/>
      <c r="QM2" s="127" t="s">
        <v>35</v>
      </c>
      <c r="QN2" s="127"/>
      <c r="QO2" s="127"/>
      <c r="QP2" s="127"/>
      <c r="QQ2" s="127" t="s">
        <v>36</v>
      </c>
      <c r="QR2" s="127"/>
      <c r="QS2" s="127"/>
      <c r="QT2" s="127"/>
      <c r="QU2" s="127" t="s">
        <v>37</v>
      </c>
      <c r="QV2" s="127"/>
      <c r="QW2" s="127"/>
      <c r="QX2" s="127"/>
      <c r="QY2" s="127" t="s">
        <v>38</v>
      </c>
      <c r="QZ2" s="127"/>
      <c r="RA2" s="127"/>
      <c r="RB2" s="127"/>
      <c r="RC2" s="24" t="s">
        <v>27</v>
      </c>
      <c r="RD2" s="18" t="s">
        <v>39</v>
      </c>
      <c r="RE2" s="18" t="s">
        <v>40</v>
      </c>
      <c r="RF2" s="18" t="s">
        <v>24</v>
      </c>
      <c r="RG2" s="18" t="s">
        <v>23</v>
      </c>
      <c r="RH2" s="18" t="s">
        <v>18</v>
      </c>
    </row>
    <row r="3" spans="1:476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9"/>
      <c r="K3" s="119"/>
      <c r="L3" s="119"/>
      <c r="M3" s="119"/>
      <c r="N3" s="119"/>
      <c r="O3" s="119"/>
      <c r="P3" s="119"/>
      <c r="Q3" s="119"/>
      <c r="R3" s="120"/>
      <c r="S3" s="119"/>
      <c r="T3" s="119"/>
      <c r="U3" s="64" t="s">
        <v>15</v>
      </c>
      <c r="V3" s="64" t="s">
        <v>7</v>
      </c>
      <c r="W3" s="64" t="s">
        <v>32</v>
      </c>
      <c r="X3" s="64" t="s">
        <v>33</v>
      </c>
      <c r="Y3" s="64" t="s">
        <v>15</v>
      </c>
      <c r="Z3" s="64" t="s">
        <v>7</v>
      </c>
      <c r="AA3" s="64" t="s">
        <v>32</v>
      </c>
      <c r="AB3" s="64" t="s">
        <v>33</v>
      </c>
      <c r="AC3" s="64" t="s">
        <v>15</v>
      </c>
      <c r="AD3" s="64" t="s">
        <v>7</v>
      </c>
      <c r="AE3" s="64" t="s">
        <v>32</v>
      </c>
      <c r="AF3" s="64" t="s">
        <v>33</v>
      </c>
      <c r="AG3" s="67" t="s">
        <v>15</v>
      </c>
      <c r="AH3" s="67" t="s">
        <v>7</v>
      </c>
      <c r="AI3" s="67" t="s">
        <v>32</v>
      </c>
      <c r="AJ3" s="67" t="s">
        <v>33</v>
      </c>
      <c r="AK3" s="67" t="s">
        <v>15</v>
      </c>
      <c r="AL3" s="67" t="s">
        <v>7</v>
      </c>
      <c r="AM3" s="67" t="s">
        <v>32</v>
      </c>
      <c r="AN3" s="67" t="s">
        <v>33</v>
      </c>
      <c r="AO3" s="67" t="s">
        <v>15</v>
      </c>
      <c r="AP3" s="67" t="s">
        <v>7</v>
      </c>
      <c r="AQ3" s="67" t="s">
        <v>32</v>
      </c>
      <c r="AR3" s="67" t="s">
        <v>33</v>
      </c>
      <c r="AS3" s="98" t="s">
        <v>124</v>
      </c>
      <c r="AT3" s="11"/>
      <c r="AU3" s="10"/>
      <c r="AV3" s="10"/>
      <c r="AW3" s="10"/>
      <c r="AX3" s="11"/>
      <c r="AY3" s="11"/>
      <c r="AZ3" s="63" t="s">
        <v>15</v>
      </c>
      <c r="BA3" s="63" t="s">
        <v>7</v>
      </c>
      <c r="BB3" s="63" t="s">
        <v>32</v>
      </c>
      <c r="BC3" s="63" t="s">
        <v>33</v>
      </c>
      <c r="BD3" s="63" t="s">
        <v>15</v>
      </c>
      <c r="BE3" s="63" t="s">
        <v>7</v>
      </c>
      <c r="BF3" s="63" t="s">
        <v>32</v>
      </c>
      <c r="BG3" s="63" t="s">
        <v>33</v>
      </c>
      <c r="BH3" s="63" t="s">
        <v>15</v>
      </c>
      <c r="BI3" s="63" t="s">
        <v>7</v>
      </c>
      <c r="BJ3" s="63" t="s">
        <v>32</v>
      </c>
      <c r="BK3" s="63" t="s">
        <v>33</v>
      </c>
      <c r="BL3" s="68" t="s">
        <v>15</v>
      </c>
      <c r="BM3" s="68" t="s">
        <v>7</v>
      </c>
      <c r="BN3" s="68" t="s">
        <v>32</v>
      </c>
      <c r="BO3" s="68" t="s">
        <v>33</v>
      </c>
      <c r="BP3" s="68" t="s">
        <v>15</v>
      </c>
      <c r="BQ3" s="68" t="s">
        <v>7</v>
      </c>
      <c r="BR3" s="68" t="s">
        <v>32</v>
      </c>
      <c r="BS3" s="68" t="s">
        <v>33</v>
      </c>
      <c r="BT3" s="68" t="s">
        <v>15</v>
      </c>
      <c r="BU3" s="68" t="s">
        <v>7</v>
      </c>
      <c r="BV3" s="68" t="s">
        <v>32</v>
      </c>
      <c r="BW3" s="68" t="s">
        <v>33</v>
      </c>
      <c r="BX3" s="99" t="s">
        <v>124</v>
      </c>
      <c r="BY3" s="14"/>
      <c r="BZ3" s="13"/>
      <c r="CA3" s="13"/>
      <c r="CB3" s="13"/>
      <c r="CC3" s="14"/>
      <c r="CD3" s="14"/>
      <c r="CE3" s="33" t="s">
        <v>15</v>
      </c>
      <c r="CF3" s="33" t="s">
        <v>7</v>
      </c>
      <c r="CG3" s="33" t="s">
        <v>32</v>
      </c>
      <c r="CH3" s="33" t="s">
        <v>33</v>
      </c>
      <c r="CI3" s="33" t="s">
        <v>15</v>
      </c>
      <c r="CJ3" s="33" t="s">
        <v>7</v>
      </c>
      <c r="CK3" s="33" t="s">
        <v>32</v>
      </c>
      <c r="CL3" s="33" t="s">
        <v>33</v>
      </c>
      <c r="CM3" s="33" t="s">
        <v>15</v>
      </c>
      <c r="CN3" s="33" t="s">
        <v>7</v>
      </c>
      <c r="CO3" s="33" t="s">
        <v>32</v>
      </c>
      <c r="CP3" s="33" t="s">
        <v>33</v>
      </c>
      <c r="CQ3" s="38" t="s">
        <v>15</v>
      </c>
      <c r="CR3" s="38" t="s">
        <v>7</v>
      </c>
      <c r="CS3" s="38" t="s">
        <v>32</v>
      </c>
      <c r="CT3" s="38" t="s">
        <v>33</v>
      </c>
      <c r="CU3" s="38" t="s">
        <v>15</v>
      </c>
      <c r="CV3" s="38" t="s">
        <v>7</v>
      </c>
      <c r="CW3" s="38" t="s">
        <v>32</v>
      </c>
      <c r="CX3" s="38" t="s">
        <v>33</v>
      </c>
      <c r="CY3" s="38" t="s">
        <v>15</v>
      </c>
      <c r="CZ3" s="38" t="s">
        <v>7</v>
      </c>
      <c r="DA3" s="38" t="s">
        <v>32</v>
      </c>
      <c r="DB3" s="38" t="s">
        <v>33</v>
      </c>
      <c r="DC3" s="98" t="s">
        <v>124</v>
      </c>
      <c r="DD3" s="11"/>
      <c r="DE3" s="10"/>
      <c r="DF3" s="10"/>
      <c r="DG3" s="10"/>
      <c r="DH3" s="11"/>
      <c r="DI3" s="11"/>
      <c r="DJ3" s="27"/>
      <c r="DK3" s="27"/>
      <c r="DL3" s="27"/>
      <c r="DM3" s="64" t="s">
        <v>15</v>
      </c>
      <c r="DN3" s="64" t="s">
        <v>7</v>
      </c>
      <c r="DO3" s="64" t="s">
        <v>32</v>
      </c>
      <c r="DP3" s="64" t="s">
        <v>33</v>
      </c>
      <c r="DQ3" s="64" t="s">
        <v>15</v>
      </c>
      <c r="DR3" s="64" t="s">
        <v>7</v>
      </c>
      <c r="DS3" s="64" t="s">
        <v>32</v>
      </c>
      <c r="DT3" s="64" t="s">
        <v>33</v>
      </c>
      <c r="DU3" s="64" t="s">
        <v>15</v>
      </c>
      <c r="DV3" s="64" t="s">
        <v>7</v>
      </c>
      <c r="DW3" s="64" t="s">
        <v>32</v>
      </c>
      <c r="DX3" s="64" t="s">
        <v>33</v>
      </c>
      <c r="DY3" s="67" t="s">
        <v>15</v>
      </c>
      <c r="DZ3" s="67" t="s">
        <v>7</v>
      </c>
      <c r="EA3" s="67" t="s">
        <v>32</v>
      </c>
      <c r="EB3" s="67" t="s">
        <v>33</v>
      </c>
      <c r="EC3" s="67" t="s">
        <v>15</v>
      </c>
      <c r="ED3" s="67" t="s">
        <v>7</v>
      </c>
      <c r="EE3" s="67" t="s">
        <v>32</v>
      </c>
      <c r="EF3" s="67" t="s">
        <v>33</v>
      </c>
      <c r="EG3" s="67" t="s">
        <v>15</v>
      </c>
      <c r="EH3" s="67" t="s">
        <v>7</v>
      </c>
      <c r="EI3" s="67" t="s">
        <v>32</v>
      </c>
      <c r="EJ3" s="67" t="s">
        <v>33</v>
      </c>
      <c r="EK3" s="11"/>
      <c r="EL3" s="10"/>
      <c r="EM3" s="10"/>
      <c r="EN3" s="10"/>
      <c r="EO3" s="11"/>
      <c r="EP3" s="11"/>
      <c r="EQ3" s="68" t="s">
        <v>15</v>
      </c>
      <c r="ER3" s="68" t="s">
        <v>7</v>
      </c>
      <c r="ES3" s="68" t="s">
        <v>32</v>
      </c>
      <c r="ET3" s="68" t="s">
        <v>33</v>
      </c>
      <c r="EU3" s="68" t="s">
        <v>15</v>
      </c>
      <c r="EV3" s="68" t="s">
        <v>7</v>
      </c>
      <c r="EW3" s="68" t="s">
        <v>32</v>
      </c>
      <c r="EX3" s="68" t="s">
        <v>33</v>
      </c>
      <c r="EY3" s="68" t="s">
        <v>15</v>
      </c>
      <c r="EZ3" s="68" t="s">
        <v>7</v>
      </c>
      <c r="FA3" s="68" t="s">
        <v>32</v>
      </c>
      <c r="FB3" s="68" t="s">
        <v>33</v>
      </c>
      <c r="FC3" s="68" t="s">
        <v>15</v>
      </c>
      <c r="FD3" s="68" t="s">
        <v>7</v>
      </c>
      <c r="FE3" s="68" t="s">
        <v>32</v>
      </c>
      <c r="FF3" s="68" t="s">
        <v>33</v>
      </c>
      <c r="FG3" s="68" t="s">
        <v>15</v>
      </c>
      <c r="FH3" s="68" t="s">
        <v>7</v>
      </c>
      <c r="FI3" s="68" t="s">
        <v>32</v>
      </c>
      <c r="FJ3" s="68" t="s">
        <v>33</v>
      </c>
      <c r="FK3" s="68" t="s">
        <v>15</v>
      </c>
      <c r="FL3" s="68" t="s">
        <v>7</v>
      </c>
      <c r="FM3" s="68" t="s">
        <v>32</v>
      </c>
      <c r="FN3" s="68" t="s">
        <v>33</v>
      </c>
      <c r="FO3" s="18"/>
      <c r="FP3" s="18"/>
      <c r="FQ3" s="18"/>
      <c r="FR3" s="18"/>
      <c r="FS3" s="18"/>
      <c r="FT3" s="18"/>
      <c r="FU3" s="67" t="s">
        <v>15</v>
      </c>
      <c r="FV3" s="67" t="s">
        <v>7</v>
      </c>
      <c r="FW3" s="67" t="s">
        <v>32</v>
      </c>
      <c r="FX3" s="67" t="s">
        <v>33</v>
      </c>
      <c r="FY3" s="67" t="s">
        <v>15</v>
      </c>
      <c r="FZ3" s="67" t="s">
        <v>7</v>
      </c>
      <c r="GA3" s="67" t="s">
        <v>32</v>
      </c>
      <c r="GB3" s="67" t="s">
        <v>33</v>
      </c>
      <c r="GC3" s="67" t="s">
        <v>15</v>
      </c>
      <c r="GD3" s="67" t="s">
        <v>7</v>
      </c>
      <c r="GE3" s="67" t="s">
        <v>32</v>
      </c>
      <c r="GF3" s="67" t="s">
        <v>33</v>
      </c>
      <c r="GG3" s="67" t="s">
        <v>15</v>
      </c>
      <c r="GH3" s="67" t="s">
        <v>7</v>
      </c>
      <c r="GI3" s="67" t="s">
        <v>32</v>
      </c>
      <c r="GJ3" s="67" t="s">
        <v>33</v>
      </c>
      <c r="GK3" s="67" t="s">
        <v>15</v>
      </c>
      <c r="GL3" s="67" t="s">
        <v>7</v>
      </c>
      <c r="GM3" s="67" t="s">
        <v>32</v>
      </c>
      <c r="GN3" s="67" t="s">
        <v>33</v>
      </c>
      <c r="GO3" s="67" t="s">
        <v>15</v>
      </c>
      <c r="GP3" s="67" t="s">
        <v>7</v>
      </c>
      <c r="GQ3" s="67" t="s">
        <v>32</v>
      </c>
      <c r="GR3" s="67" t="s">
        <v>33</v>
      </c>
      <c r="GS3" s="19"/>
      <c r="GT3" s="19"/>
      <c r="GU3" s="19"/>
      <c r="GV3" s="19"/>
      <c r="GW3" s="19"/>
      <c r="GX3" s="19"/>
      <c r="GY3" s="68" t="s">
        <v>15</v>
      </c>
      <c r="GZ3" s="68" t="s">
        <v>7</v>
      </c>
      <c r="HA3" s="68" t="s">
        <v>32</v>
      </c>
      <c r="HB3" s="68" t="s">
        <v>33</v>
      </c>
      <c r="HC3" s="68" t="s">
        <v>15</v>
      </c>
      <c r="HD3" s="68" t="s">
        <v>7</v>
      </c>
      <c r="HE3" s="68" t="s">
        <v>32</v>
      </c>
      <c r="HF3" s="68" t="s">
        <v>33</v>
      </c>
      <c r="HG3" s="68" t="s">
        <v>15</v>
      </c>
      <c r="HH3" s="68" t="s">
        <v>7</v>
      </c>
      <c r="HI3" s="68" t="s">
        <v>32</v>
      </c>
      <c r="HJ3" s="68" t="s">
        <v>33</v>
      </c>
      <c r="HK3" s="68" t="s">
        <v>15</v>
      </c>
      <c r="HL3" s="68" t="s">
        <v>7</v>
      </c>
      <c r="HM3" s="68" t="s">
        <v>32</v>
      </c>
      <c r="HN3" s="68" t="s">
        <v>33</v>
      </c>
      <c r="HO3" s="68" t="s">
        <v>15</v>
      </c>
      <c r="HP3" s="68" t="s">
        <v>7</v>
      </c>
      <c r="HQ3" s="68" t="s">
        <v>32</v>
      </c>
      <c r="HR3" s="68" t="s">
        <v>33</v>
      </c>
      <c r="HS3" s="68" t="s">
        <v>15</v>
      </c>
      <c r="HT3" s="68" t="s">
        <v>7</v>
      </c>
      <c r="HU3" s="68" t="s">
        <v>32</v>
      </c>
      <c r="HV3" s="68" t="s">
        <v>33</v>
      </c>
      <c r="HW3" s="18"/>
      <c r="HX3" s="18"/>
      <c r="HY3" s="18"/>
      <c r="HZ3" s="18"/>
      <c r="IA3" s="18"/>
      <c r="IB3" s="18"/>
      <c r="IC3" s="67" t="s">
        <v>15</v>
      </c>
      <c r="ID3" s="67" t="s">
        <v>7</v>
      </c>
      <c r="IE3" s="67" t="s">
        <v>32</v>
      </c>
      <c r="IF3" s="67" t="s">
        <v>33</v>
      </c>
      <c r="IG3" s="67" t="s">
        <v>15</v>
      </c>
      <c r="IH3" s="67" t="s">
        <v>7</v>
      </c>
      <c r="II3" s="67" t="s">
        <v>32</v>
      </c>
      <c r="IJ3" s="67" t="s">
        <v>33</v>
      </c>
      <c r="IK3" s="67" t="s">
        <v>15</v>
      </c>
      <c r="IL3" s="67" t="s">
        <v>7</v>
      </c>
      <c r="IM3" s="67" t="s">
        <v>32</v>
      </c>
      <c r="IN3" s="67" t="s">
        <v>33</v>
      </c>
      <c r="IO3" s="67" t="s">
        <v>15</v>
      </c>
      <c r="IP3" s="67" t="s">
        <v>7</v>
      </c>
      <c r="IQ3" s="67" t="s">
        <v>32</v>
      </c>
      <c r="IR3" s="67" t="s">
        <v>33</v>
      </c>
      <c r="IS3" s="67" t="s">
        <v>15</v>
      </c>
      <c r="IT3" s="67" t="s">
        <v>7</v>
      </c>
      <c r="IU3" s="67" t="s">
        <v>32</v>
      </c>
      <c r="IV3" s="67" t="s">
        <v>33</v>
      </c>
      <c r="IW3" s="67" t="s">
        <v>15</v>
      </c>
      <c r="IX3" s="67" t="s">
        <v>7</v>
      </c>
      <c r="IY3" s="67" t="s">
        <v>32</v>
      </c>
      <c r="IZ3" s="67" t="s">
        <v>33</v>
      </c>
      <c r="JA3" s="19"/>
      <c r="JB3" s="19"/>
      <c r="JC3" s="19"/>
      <c r="JD3" s="19"/>
      <c r="JE3" s="19"/>
      <c r="JF3" s="19"/>
      <c r="JG3" s="37" t="s">
        <v>15</v>
      </c>
      <c r="JH3" s="37" t="s">
        <v>7</v>
      </c>
      <c r="JI3" s="37" t="s">
        <v>32</v>
      </c>
      <c r="JJ3" s="37" t="s">
        <v>33</v>
      </c>
      <c r="JK3" s="37" t="s">
        <v>15</v>
      </c>
      <c r="JL3" s="37" t="s">
        <v>7</v>
      </c>
      <c r="JM3" s="37" t="s">
        <v>32</v>
      </c>
      <c r="JN3" s="37" t="s">
        <v>33</v>
      </c>
      <c r="JO3" s="37" t="s">
        <v>15</v>
      </c>
      <c r="JP3" s="37" t="s">
        <v>7</v>
      </c>
      <c r="JQ3" s="37" t="s">
        <v>32</v>
      </c>
      <c r="JR3" s="37" t="s">
        <v>33</v>
      </c>
      <c r="JS3" s="37" t="s">
        <v>15</v>
      </c>
      <c r="JT3" s="37" t="s">
        <v>7</v>
      </c>
      <c r="JU3" s="37" t="s">
        <v>32</v>
      </c>
      <c r="JV3" s="37" t="s">
        <v>33</v>
      </c>
      <c r="JW3" s="37" t="s">
        <v>15</v>
      </c>
      <c r="JX3" s="37" t="s">
        <v>7</v>
      </c>
      <c r="JY3" s="37" t="s">
        <v>32</v>
      </c>
      <c r="JZ3" s="37" t="s">
        <v>33</v>
      </c>
      <c r="KA3" s="37" t="s">
        <v>15</v>
      </c>
      <c r="KB3" s="37" t="s">
        <v>7</v>
      </c>
      <c r="KC3" s="37" t="s">
        <v>32</v>
      </c>
      <c r="KD3" s="37" t="s">
        <v>33</v>
      </c>
      <c r="KE3" s="18"/>
      <c r="KF3" s="18"/>
      <c r="KG3" s="18"/>
      <c r="KH3" s="18"/>
      <c r="KI3" s="18"/>
      <c r="KJ3" s="18"/>
      <c r="KK3" s="38" t="s">
        <v>15</v>
      </c>
      <c r="KL3" s="38" t="s">
        <v>7</v>
      </c>
      <c r="KM3" s="38" t="s">
        <v>32</v>
      </c>
      <c r="KN3" s="38" t="s">
        <v>33</v>
      </c>
      <c r="KO3" s="38" t="s">
        <v>15</v>
      </c>
      <c r="KP3" s="38" t="s">
        <v>7</v>
      </c>
      <c r="KQ3" s="38" t="s">
        <v>32</v>
      </c>
      <c r="KR3" s="38" t="s">
        <v>33</v>
      </c>
      <c r="KS3" s="38" t="s">
        <v>15</v>
      </c>
      <c r="KT3" s="38" t="s">
        <v>7</v>
      </c>
      <c r="KU3" s="38" t="s">
        <v>32</v>
      </c>
      <c r="KV3" s="38" t="s">
        <v>33</v>
      </c>
      <c r="KW3" s="38" t="s">
        <v>15</v>
      </c>
      <c r="KX3" s="38" t="s">
        <v>7</v>
      </c>
      <c r="KY3" s="38" t="s">
        <v>32</v>
      </c>
      <c r="KZ3" s="38" t="s">
        <v>33</v>
      </c>
      <c r="LA3" s="38" t="s">
        <v>15</v>
      </c>
      <c r="LB3" s="38" t="s">
        <v>7</v>
      </c>
      <c r="LC3" s="38" t="s">
        <v>32</v>
      </c>
      <c r="LD3" s="38" t="s">
        <v>33</v>
      </c>
      <c r="LE3" s="38" t="s">
        <v>15</v>
      </c>
      <c r="LF3" s="38" t="s">
        <v>7</v>
      </c>
      <c r="LG3" s="38" t="s">
        <v>32</v>
      </c>
      <c r="LH3" s="38" t="s">
        <v>33</v>
      </c>
      <c r="LI3" s="19"/>
      <c r="LJ3" s="19"/>
      <c r="LK3" s="19"/>
      <c r="LL3" s="19"/>
      <c r="LM3" s="19"/>
      <c r="LN3" s="19"/>
      <c r="LO3" s="37" t="s">
        <v>15</v>
      </c>
      <c r="LP3" s="37" t="s">
        <v>7</v>
      </c>
      <c r="LQ3" s="37" t="s">
        <v>32</v>
      </c>
      <c r="LR3" s="37" t="s">
        <v>33</v>
      </c>
      <c r="LS3" s="37" t="s">
        <v>15</v>
      </c>
      <c r="LT3" s="37" t="s">
        <v>7</v>
      </c>
      <c r="LU3" s="37" t="s">
        <v>32</v>
      </c>
      <c r="LV3" s="37" t="s">
        <v>33</v>
      </c>
      <c r="LW3" s="37" t="s">
        <v>15</v>
      </c>
      <c r="LX3" s="37" t="s">
        <v>7</v>
      </c>
      <c r="LY3" s="37" t="s">
        <v>32</v>
      </c>
      <c r="LZ3" s="37" t="s">
        <v>33</v>
      </c>
      <c r="MA3" s="37" t="s">
        <v>15</v>
      </c>
      <c r="MB3" s="37" t="s">
        <v>7</v>
      </c>
      <c r="MC3" s="37" t="s">
        <v>32</v>
      </c>
      <c r="MD3" s="37" t="s">
        <v>33</v>
      </c>
      <c r="ME3" s="37" t="s">
        <v>15</v>
      </c>
      <c r="MF3" s="37" t="s">
        <v>7</v>
      </c>
      <c r="MG3" s="37" t="s">
        <v>32</v>
      </c>
      <c r="MH3" s="37" t="s">
        <v>33</v>
      </c>
      <c r="MI3" s="37" t="s">
        <v>15</v>
      </c>
      <c r="MJ3" s="37" t="s">
        <v>7</v>
      </c>
      <c r="MK3" s="37" t="s">
        <v>32</v>
      </c>
      <c r="ML3" s="37" t="s">
        <v>33</v>
      </c>
      <c r="MM3" s="18"/>
      <c r="MN3" s="18"/>
      <c r="MO3" s="18"/>
      <c r="MP3" s="18"/>
      <c r="MQ3" s="18"/>
      <c r="MR3" s="18"/>
      <c r="MS3" s="38" t="s">
        <v>15</v>
      </c>
      <c r="MT3" s="38" t="s">
        <v>7</v>
      </c>
      <c r="MU3" s="38" t="s">
        <v>32</v>
      </c>
      <c r="MV3" s="38" t="s">
        <v>33</v>
      </c>
      <c r="MW3" s="38" t="s">
        <v>15</v>
      </c>
      <c r="MX3" s="38" t="s">
        <v>7</v>
      </c>
      <c r="MY3" s="38" t="s">
        <v>32</v>
      </c>
      <c r="MZ3" s="38" t="s">
        <v>33</v>
      </c>
      <c r="NA3" s="38" t="s">
        <v>15</v>
      </c>
      <c r="NB3" s="38" t="s">
        <v>7</v>
      </c>
      <c r="NC3" s="38" t="s">
        <v>32</v>
      </c>
      <c r="ND3" s="38" t="s">
        <v>33</v>
      </c>
      <c r="NE3" s="38" t="s">
        <v>15</v>
      </c>
      <c r="NF3" s="38" t="s">
        <v>7</v>
      </c>
      <c r="NG3" s="38" t="s">
        <v>32</v>
      </c>
      <c r="NH3" s="38" t="s">
        <v>33</v>
      </c>
      <c r="NI3" s="38" t="s">
        <v>15</v>
      </c>
      <c r="NJ3" s="38" t="s">
        <v>7</v>
      </c>
      <c r="NK3" s="38" t="s">
        <v>32</v>
      </c>
      <c r="NL3" s="38" t="s">
        <v>33</v>
      </c>
      <c r="NM3" s="38" t="s">
        <v>15</v>
      </c>
      <c r="NN3" s="38" t="s">
        <v>7</v>
      </c>
      <c r="NO3" s="38" t="s">
        <v>32</v>
      </c>
      <c r="NP3" s="38" t="s">
        <v>33</v>
      </c>
      <c r="NQ3" s="19"/>
      <c r="NR3" s="19"/>
      <c r="NS3" s="19"/>
      <c r="NT3" s="19"/>
      <c r="NU3" s="19"/>
      <c r="NV3" s="19"/>
      <c r="NW3" s="37" t="s">
        <v>15</v>
      </c>
      <c r="NX3" s="37" t="s">
        <v>7</v>
      </c>
      <c r="NY3" s="37" t="s">
        <v>32</v>
      </c>
      <c r="NZ3" s="37" t="s">
        <v>33</v>
      </c>
      <c r="OA3" s="37" t="s">
        <v>15</v>
      </c>
      <c r="OB3" s="37" t="s">
        <v>7</v>
      </c>
      <c r="OC3" s="37" t="s">
        <v>32</v>
      </c>
      <c r="OD3" s="37" t="s">
        <v>33</v>
      </c>
      <c r="OE3" s="37" t="s">
        <v>15</v>
      </c>
      <c r="OF3" s="37" t="s">
        <v>7</v>
      </c>
      <c r="OG3" s="37" t="s">
        <v>32</v>
      </c>
      <c r="OH3" s="37" t="s">
        <v>33</v>
      </c>
      <c r="OI3" s="37" t="s">
        <v>15</v>
      </c>
      <c r="OJ3" s="37" t="s">
        <v>7</v>
      </c>
      <c r="OK3" s="37" t="s">
        <v>32</v>
      </c>
      <c r="OL3" s="37" t="s">
        <v>33</v>
      </c>
      <c r="OM3" s="37" t="s">
        <v>15</v>
      </c>
      <c r="ON3" s="37" t="s">
        <v>7</v>
      </c>
      <c r="OO3" s="37" t="s">
        <v>32</v>
      </c>
      <c r="OP3" s="37" t="s">
        <v>33</v>
      </c>
      <c r="OQ3" s="37" t="s">
        <v>15</v>
      </c>
      <c r="OR3" s="37" t="s">
        <v>7</v>
      </c>
      <c r="OS3" s="37" t="s">
        <v>32</v>
      </c>
      <c r="OT3" s="37" t="s">
        <v>33</v>
      </c>
      <c r="OU3" s="18"/>
      <c r="OV3" s="18"/>
      <c r="OW3" s="18"/>
      <c r="OX3" s="18"/>
      <c r="OY3" s="18"/>
      <c r="OZ3" s="18"/>
      <c r="PA3" s="38" t="s">
        <v>15</v>
      </c>
      <c r="PB3" s="38" t="s">
        <v>7</v>
      </c>
      <c r="PC3" s="38" t="s">
        <v>32</v>
      </c>
      <c r="PD3" s="38" t="s">
        <v>33</v>
      </c>
      <c r="PE3" s="38" t="s">
        <v>15</v>
      </c>
      <c r="PF3" s="38" t="s">
        <v>7</v>
      </c>
      <c r="PG3" s="38" t="s">
        <v>32</v>
      </c>
      <c r="PH3" s="38" t="s">
        <v>33</v>
      </c>
      <c r="PI3" s="38" t="s">
        <v>15</v>
      </c>
      <c r="PJ3" s="38" t="s">
        <v>7</v>
      </c>
      <c r="PK3" s="38" t="s">
        <v>32</v>
      </c>
      <c r="PL3" s="38" t="s">
        <v>33</v>
      </c>
      <c r="PM3" s="38" t="s">
        <v>15</v>
      </c>
      <c r="PN3" s="38" t="s">
        <v>7</v>
      </c>
      <c r="PO3" s="38" t="s">
        <v>32</v>
      </c>
      <c r="PP3" s="38" t="s">
        <v>33</v>
      </c>
      <c r="PQ3" s="38" t="s">
        <v>15</v>
      </c>
      <c r="PR3" s="38" t="s">
        <v>7</v>
      </c>
      <c r="PS3" s="38" t="s">
        <v>32</v>
      </c>
      <c r="PT3" s="38" t="s">
        <v>33</v>
      </c>
      <c r="PU3" s="38" t="s">
        <v>15</v>
      </c>
      <c r="PV3" s="38" t="s">
        <v>7</v>
      </c>
      <c r="PW3" s="38" t="s">
        <v>32</v>
      </c>
      <c r="PX3" s="38" t="s">
        <v>33</v>
      </c>
      <c r="PY3" s="19"/>
      <c r="PZ3" s="19"/>
      <c r="QA3" s="19"/>
      <c r="QB3" s="19"/>
      <c r="QC3" s="19"/>
      <c r="QD3" s="19"/>
      <c r="QE3" s="37" t="s">
        <v>15</v>
      </c>
      <c r="QF3" s="37" t="s">
        <v>7</v>
      </c>
      <c r="QG3" s="37" t="s">
        <v>32</v>
      </c>
      <c r="QH3" s="37" t="s">
        <v>33</v>
      </c>
      <c r="QI3" s="37" t="s">
        <v>15</v>
      </c>
      <c r="QJ3" s="37" t="s">
        <v>7</v>
      </c>
      <c r="QK3" s="37" t="s">
        <v>32</v>
      </c>
      <c r="QL3" s="37" t="s">
        <v>33</v>
      </c>
      <c r="QM3" s="37" t="s">
        <v>15</v>
      </c>
      <c r="QN3" s="37" t="s">
        <v>7</v>
      </c>
      <c r="QO3" s="37" t="s">
        <v>32</v>
      </c>
      <c r="QP3" s="37" t="s">
        <v>33</v>
      </c>
      <c r="QQ3" s="37" t="s">
        <v>15</v>
      </c>
      <c r="QR3" s="37" t="s">
        <v>7</v>
      </c>
      <c r="QS3" s="37" t="s">
        <v>32</v>
      </c>
      <c r="QT3" s="37" t="s">
        <v>33</v>
      </c>
      <c r="QU3" s="37" t="s">
        <v>15</v>
      </c>
      <c r="QV3" s="37" t="s">
        <v>7</v>
      </c>
      <c r="QW3" s="37" t="s">
        <v>32</v>
      </c>
      <c r="QX3" s="37" t="s">
        <v>33</v>
      </c>
      <c r="QY3" s="37" t="s">
        <v>15</v>
      </c>
      <c r="QZ3" s="37" t="s">
        <v>7</v>
      </c>
      <c r="RA3" s="37" t="s">
        <v>32</v>
      </c>
      <c r="RB3" s="37" t="s">
        <v>33</v>
      </c>
      <c r="RC3" s="18"/>
      <c r="RD3" s="18"/>
      <c r="RE3" s="18"/>
      <c r="RF3" s="18"/>
      <c r="RG3" s="18"/>
      <c r="RH3" s="18"/>
    </row>
    <row r="4" spans="1:476" x14ac:dyDescent="0.2">
      <c r="A4" s="6">
        <f>IF(AND(F4="P",H4="P"),SUMPRODUCT((F$4:F$5="P")*(H$4:H$5="P")*(E$4:E$5&gt;E4))+1,IF(H4="P",SUMPRODUCT((F$4:F$5="")*(H$4:H$5="P")*(E$4:E$5&gt;E4))+1+SUMPRODUCT((F$4:F$5="P")*(H$4:H$5="P")),""))</f>
        <v>1</v>
      </c>
      <c r="B4" s="9" t="s">
        <v>99</v>
      </c>
      <c r="C4" s="5" t="s">
        <v>4</v>
      </c>
      <c r="D4" s="31">
        <v>2000</v>
      </c>
      <c r="E4" s="16">
        <f>SUM(J4:R4)</f>
        <v>191.3</v>
      </c>
      <c r="F4" s="4" t="str">
        <f>IF(OR(AND($AT4&gt;=$AU$8,NOT($AT4=""),$AS4=""),AND($BY4&gt;=$BZ$8,NOT($BY4=""),$BX4=""),AND($DD4&gt;=$DE$8,NOT($DD4=""),$DC4="")),"P","")</f>
        <v>P</v>
      </c>
      <c r="G4" s="4" t="str">
        <f>IF(OR(AND($AT4&gt;=$AU$9,NOT($AT4=""),$AS4=""),AND($BY4&gt;=$BZ$9,NOT($BY4=""),$BX4=""),AND($DD4&gt;=$DE$9,NOT($DD4=""),$DC4="")),"P","")</f>
        <v/>
      </c>
      <c r="H4" s="4" t="str">
        <f>IF(OR(AND($AW4&gt;=$AU$10,NOT($AW4=""),$AS4=""),AND($CB4&gt;=$BZ$10,NOT($CB4=""),$BX4=""),AND($DG4&gt;=$DE$10,NOT($DG4=""),$DC4="")),"P","")</f>
        <v>P</v>
      </c>
      <c r="I4" t="str">
        <f>IF(AND(G4="P",OR(AND($AW4&gt;=$AU$13,NOT($AW4=""),$AS4=""),AND($CB4&gt;=$BZ$13,NOT($CB4=""),$BX4=""),AND($DG4&gt;=$DE$13,NOT($DG4=""),$DC4=""))),"Merit",IF(AND(G4="P",OR(AND($AW4&gt;=$AU$12,NOT($AW4=""),$AS4=""),AND($CB4&gt;=$BZ$12,NOT($CB4=""),$BX4=""),AND($DG4&gt;=$DE$12,NOT($DG4=""),$DC4=""))),"Funding",IF(AND(G4="P",OR(AND($AW4&gt;=$AU$11,NOT($AW4=""),$AS4=""),AND($CB4&gt;=$BZ$11,NOT($CB4=""),$BX4=""),AND($DG4&gt;=$DE$11,NOT($DG4=""),$DC4=""))),"Worlds Team",IF(AND(F4="P",OR(AND($AW4&gt;=$AU$10,NOT($AW4=""),$AS4=""),AND($CB4&gt;=$BZ$10,NOT($CB4=""),$BX4=""),AND($DG4&gt;=$DE$10,NOT($DG4=""),$DC4=""))),"National Team",""))))</f>
        <v>National Team</v>
      </c>
      <c r="J4" s="15">
        <f>MAX(AW4,CB4,DG4)</f>
        <v>128.10000000000002</v>
      </c>
      <c r="K4" s="15" t="str">
        <f>IF(J4=DG4,$CE$1,IF(J4=CB4,$AZ$1,IF(J4=AW4,$U$1,"")))</f>
        <v>2017 Nationals</v>
      </c>
      <c r="L4" s="15">
        <f>IF($J4=$AW4,MAX(BZ4,DE4),IF($J4=$CB4,MAX(AU4,DE4),MAX(AU4,BZ4)))</f>
        <v>0</v>
      </c>
      <c r="M4" s="15" t="str">
        <f>IF(AND(L4=DE4,$K4&lt;&gt;$CE$1),$CE$1,IF(AND(L4=BZ4,$K4&lt;&gt;$AZ$1),$AZ$1,IF(AND(L4=AU4,$K4&lt;&gt;$U$1),$U$1,"")))</f>
        <v/>
      </c>
      <c r="N4" s="15">
        <f>IF($J4=$AW4,MAX(CA4,DF4),IF($J4=$CB4,MAX(AV4,DF4),MAX(AV4,CA4)))</f>
        <v>0</v>
      </c>
      <c r="O4" s="15" t="str">
        <f>IF(AND(N4=DF4,$K4&lt;&gt;$CE$1),$CE$1,IF(AND(N4=CA4,$K4&lt;&gt;$AZ$1),$AZ$1,IF(AND(N4=AV4,$K4&lt;&gt;$U$1),$U$1,"")))</f>
        <v/>
      </c>
      <c r="P4" s="15">
        <f>MAX(AX4,CC4,DH4)</f>
        <v>63.199999999999989</v>
      </c>
      <c r="Q4" s="15" t="str">
        <f>IF(P4=DH4,$CE$1,IF(P4=CC4,$AZ$1,IF(P4=AX4,$U$1,"")))</f>
        <v>2017 Nationals</v>
      </c>
      <c r="R4" s="15" t="str">
        <f>IF(MAX(DJ4:DL4)&gt;0,MAX(DJ4:DL4),"")</f>
        <v/>
      </c>
      <c r="S4" s="29" t="str">
        <f>IF(R4="","",IF(R4=DJ4,"(Pass 1-2)",IF(R4=DK4,"(Pass 3-4)",IF(R4=DL4,"(Final)"))))</f>
        <v/>
      </c>
      <c r="T4" s="15" t="str">
        <f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/>
      </c>
      <c r="U4" s="45">
        <v>27.3</v>
      </c>
      <c r="V4" s="45">
        <v>5.2</v>
      </c>
      <c r="W4" s="45">
        <v>0.3</v>
      </c>
      <c r="X4" s="45">
        <v>0</v>
      </c>
      <c r="Y4" s="45">
        <v>26.9</v>
      </c>
      <c r="Z4" s="45">
        <v>5.6</v>
      </c>
      <c r="AA4" s="45">
        <v>0.9</v>
      </c>
      <c r="AB4" s="45">
        <v>0</v>
      </c>
      <c r="AC4" s="45">
        <v>27.4</v>
      </c>
      <c r="AD4" s="45">
        <v>4.8</v>
      </c>
      <c r="AE4" s="45">
        <v>0</v>
      </c>
      <c r="AF4" s="45">
        <v>0</v>
      </c>
      <c r="AG4" s="45">
        <v>27.3</v>
      </c>
      <c r="AH4" s="45">
        <v>4.8</v>
      </c>
      <c r="AI4" s="45">
        <v>0</v>
      </c>
      <c r="AJ4" s="45">
        <v>0</v>
      </c>
      <c r="AK4" s="45">
        <v>26.9</v>
      </c>
      <c r="AL4" s="45">
        <v>4.4000000000000004</v>
      </c>
      <c r="AM4" s="45">
        <v>1.2</v>
      </c>
      <c r="AN4" s="45">
        <v>0</v>
      </c>
      <c r="AO4" s="45">
        <v>27.5</v>
      </c>
      <c r="AP4" s="45">
        <v>5.6</v>
      </c>
      <c r="AQ4" s="45">
        <v>0</v>
      </c>
      <c r="AR4" s="45">
        <v>0</v>
      </c>
      <c r="AS4" s="108"/>
      <c r="AT4" s="12">
        <f>IF(SUM(V4,Z4,AD4,AH4)&gt;0,SUM(V4,Z4,AD4,AH4),"")</f>
        <v>20.400000000000002</v>
      </c>
      <c r="AU4" s="12">
        <f>IF(SUM(U4:V4,X4:Z4,AB4)-SUM(W4,AA4)&gt;0,SUM(U4:V4,X4:Z4,AB4)-SUM(W4,AA4),"")</f>
        <v>63.8</v>
      </c>
      <c r="AV4" s="12">
        <f>IF(SUM(AC4:AD4,AF4:AH4,AJ4)-SUM(AE4,AI4)&gt;0,SUM(AC4:AD4,AF4:AH4,AJ4)-SUM(AE4,AI4),"")</f>
        <v>64.3</v>
      </c>
      <c r="AW4" s="12">
        <f>IF(SUM(U4:V4,X4:Z4,AB4:AD4,AF4:AH4,AJ4)-SUM(W4,AA4,AE4,AI4)&gt;0,SUM(U4:V4,X4:Z4,AB4:AD4,AF4:AH4,AJ4)-SUM(W4,AA4,AE4,AI4),"")</f>
        <v>128.10000000000002</v>
      </c>
      <c r="AX4" s="12">
        <f>IF(SUM(AK4:AL4,AN4:AP4,AR4)-SUM(AM4,AQ4)&gt;0,SUM(AK4:AL4,AN4:AP4,AR4)-SUM(AM4,AQ4),"")</f>
        <v>63.199999999999989</v>
      </c>
      <c r="AY4" s="12">
        <f>IF(SUM(AW4,AX4)&gt;0,SUM(AW4,AX4),"")</f>
        <v>191.3</v>
      </c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109"/>
      <c r="BY4" s="15" t="str">
        <f>IF(SUM(BA4,BE4,BI4,BM4)&gt;0,SUM(BA4,BE4,BI4,BM4),"")</f>
        <v/>
      </c>
      <c r="BZ4" s="15" t="str">
        <f>IF(SUM(AZ4:BA4,BC4:BE4,BG4)-SUM(BB4,BF4)&gt;0,SUM(AZ4:BA4,BC4:BE4,BG4)-SUM(BB4,BF4),"")</f>
        <v/>
      </c>
      <c r="CA4" s="15" t="str">
        <f>IF(SUM(BH4:BI4,BK4:BM4,BO4)-SUM(BJ4,BN4)&gt;0,SUM(BH4:BI4,BK4:BM4,BO4)-SUM(BJ4,BN4),"")</f>
        <v/>
      </c>
      <c r="CB4" s="15" t="str">
        <f>IF(SUM(AZ4:BA4,BC4:BE4,BG4:BI4,BK4:BM4,BO4)-SUM(BB4,BF4,BJ4,BN4)&gt;0,SUM(AZ4:BA4,BC4:BE4,BG4:BI4,BK4:BM4,BO4)-SUM(BB4,BF4,BJ4,BN4),"")</f>
        <v/>
      </c>
      <c r="CC4" s="15" t="str">
        <f>IF(SUM(BP4:BQ4,BS4:BU4,BW4)-SUM(BR4,BV4)&gt;0,SUM(BP4:BQ4,BS4:BU4,BW4)-SUM(BR4,BV4),"")</f>
        <v/>
      </c>
      <c r="CD4" s="15" t="str">
        <f>IF(SUM(CB4,CC4)&gt;0,SUM(CB4,CC4),"")</f>
        <v/>
      </c>
      <c r="CE4" s="76"/>
      <c r="CF4" s="76"/>
      <c r="CG4" s="76"/>
      <c r="CH4" s="76"/>
      <c r="CI4" s="76"/>
      <c r="CJ4" s="76"/>
      <c r="CK4" s="76"/>
      <c r="CL4" s="76"/>
      <c r="CM4" s="76"/>
      <c r="CN4" s="76"/>
      <c r="CO4" s="76"/>
      <c r="CP4" s="76"/>
      <c r="CQ4" s="76"/>
      <c r="CR4" s="76"/>
      <c r="CS4" s="76"/>
      <c r="CT4" s="76"/>
      <c r="CU4" s="76"/>
      <c r="CV4" s="76"/>
      <c r="CW4" s="76"/>
      <c r="CX4" s="76"/>
      <c r="CY4" s="76"/>
      <c r="CZ4" s="76"/>
      <c r="DA4" s="76"/>
      <c r="DB4" s="76"/>
      <c r="DC4" s="108"/>
      <c r="DD4" s="12" t="str">
        <f>IF(SUM(CF4,CJ4,CN4,CR4)&gt;0,SUM(CF4,CJ4,CN4,CR4),"")</f>
        <v/>
      </c>
      <c r="DE4" s="12" t="str">
        <f>IF(SUM(CE4:CF4,CH4:CJ4,CL4)-SUM(CG4,CK4)&gt;0,SUM(CE4:CF4,CH4:CJ4,CL4)-SUM(CG4,CK4),"")</f>
        <v/>
      </c>
      <c r="DF4" s="12" t="str">
        <f>IF(SUM(CM4:CN4,CP4:CR4,CT4)-SUM(CO4,CS4)&gt;0,SUM(CM4:CN4,CP4:CR4,CT4)-SUM(CO4,CS4),"")</f>
        <v/>
      </c>
      <c r="DG4" s="12" t="str">
        <f>IF(SUM(CE4:CF4,CH4:CJ4,CL4:CN4,CP4:CR4,CT4)-SUM(CG4,CK4,CO4,CS4)&gt;0,SUM(CE4:CF4,CH4:CJ4,CL4:CN4,CP4:CR4,CT4)-SUM(CG4,CK4,CO4,CS4),"")</f>
        <v/>
      </c>
      <c r="DH4" s="12" t="str">
        <f>IF(SUM(CU4:CV4,CX4:CZ4,DB4)-SUM(CW4,DA4)&gt;0,SUM(CU4:CV4,CX4:CZ4,DB4)-SUM(CW4,DA4),"")</f>
        <v/>
      </c>
      <c r="DI4" s="12" t="str">
        <f>IF(SUM(DG4,DH4)&gt;0,SUM(DG4,DH4),"")</f>
        <v/>
      </c>
      <c r="DJ4" s="28" t="str">
        <f>IF(MAX(EL4,FP4,GT4,HX4,JB4,KF4,LJ4,MN4,NR4,OV4,PZ4,RD4)-L4&gt;0.001,MAX(EL4,FP4,GT4,HX4,JB4,KF4,LJ4,MN4,NR4,OV4,PZ4,RD4)-L4,"")</f>
        <v/>
      </c>
      <c r="DK4" s="28" t="str">
        <f>IF(MAX(EM4,FQ4,GU4,HY4,JC4,KG4,LK4,MO4,NS4,OW4,QA4,RE4)-N4&gt;0.001,MAX(EM4,FQ4,GU4,HY4,JC4,KG4,LK4,MO4,NS4,OW4,QA4,RE4)-N4,"")</f>
        <v/>
      </c>
      <c r="DL4" s="28" t="str">
        <f>IF(MAX(EO4,FS4,GW4,IA4,JE4,KI4,LM4,MQ4,OY4,QC4,RG4)-P4&gt;0.001,MAX(EO4,FS4,GW4,IA4,JE4,KI4,LM4,MQ4,OY4,QC4,RG4)-P4,"")</f>
        <v/>
      </c>
      <c r="DM4" s="45"/>
      <c r="DN4" s="45"/>
      <c r="DO4" s="45"/>
      <c r="DP4" s="45"/>
      <c r="DQ4" s="45"/>
      <c r="DR4" s="45"/>
      <c r="DS4" s="45"/>
      <c r="DT4" s="45"/>
      <c r="DU4" s="45"/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12" t="str">
        <f>IF(SUM(DN4,DR4,DV4,DZ4)&gt;0,SUM(DN4,DR4,DV4,DZ4),"")</f>
        <v/>
      </c>
      <c r="EL4" s="12" t="str">
        <f>IF(SUM(DM4:DN4,DP4:DR4,DT4)-SUM(DO4,DS4)&gt;0,SUM(DM4:DN4,DP4:DR4,DT4)-SUM(DO4,DS4),"")</f>
        <v/>
      </c>
      <c r="EM4" s="12" t="str">
        <f>IF(SUM(DU4:DV4,DX4:DZ4,EB4)-SUM(DW4,EA4)&gt;0,SUM(DU4:DV4,DX4:DZ4,EB4)-SUM(DW4,EA4),"")</f>
        <v/>
      </c>
      <c r="EN4" s="12" t="str">
        <f>IF(SUM(DM4:DN4,DP4:DR4,DT4:DV4,DX4:DZ4,EB4)-SUM(DO4,DS4,DW4,EA4)&gt;0,SUM(DM4:DN4,DP4:DR4,DT4:DV4,DX4:DZ4,EB4)-SUM(DO4,DS4,DW4,EA4),"")</f>
        <v/>
      </c>
      <c r="EO4" s="12" t="str">
        <f>IF(SUM(EC4:ED4,EF4:EH4,EJ4)-SUM(EE4,EI4)&gt;0,SUM(EC4:ED4,EF4:EH4,EJ4)-SUM(EE4,EI4),"")</f>
        <v/>
      </c>
      <c r="EP4" s="12" t="str">
        <f>IF(SUM(EN4,EO4)&gt;0,SUM(EN4,EO4),"")</f>
        <v/>
      </c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50"/>
      <c r="FM4" s="50"/>
      <c r="FN4" s="50"/>
      <c r="FO4" s="15" t="str">
        <f>IF(SUM(ER4,EV4,EZ4,FD4)&gt;0,SUM(ER4,EV4,EZ4,FD4),"")</f>
        <v/>
      </c>
      <c r="FP4" s="15" t="str">
        <f>IF(SUM(EQ4:ER4,ET4:EV4,EX4)-SUM(ES4,EW4)&gt;0,SUM(EQ4:ER4,ET4:EV4,EX4)-SUM(ES4,EW4),"")</f>
        <v/>
      </c>
      <c r="FQ4" s="15" t="str">
        <f>IF(SUM(EY4:EZ4,FB4:FD4,FF4)-SUM(FA4,FE4)&gt;0,SUM(EY4:EZ4,FB4:FD4,FF4)-SUM(FA4,FE4),"")</f>
        <v/>
      </c>
      <c r="FR4" s="15" t="str">
        <f>IF(SUM(EQ4:ER4,ET4:EV4,EX4:EZ4,FB4:FD4,FF4)-SUM(ES4,EW4,FA4,FE4)&gt;0,SUM(EQ4:ER4,ET4:EV4,EX4:EZ4,FB4:FD4,FF4)-SUM(ES4,EW4,FA4,FE4),"")</f>
        <v/>
      </c>
      <c r="FS4" s="15" t="str">
        <f>IF(SUM(FG4:FH4,FJ4:FL4,FN4)-SUM(FI4,FM4)&gt;0,SUM(FG4:FH4,FJ4:FL4,FN4)-SUM(FI4,FM4),"")</f>
        <v/>
      </c>
      <c r="FT4" s="15" t="str">
        <f>IF(SUM(FR4,FS4)&gt;0,SUM(FR4,FS4),"")</f>
        <v/>
      </c>
      <c r="FU4" s="51"/>
      <c r="FV4" s="51"/>
      <c r="FW4" s="51"/>
      <c r="FX4" s="51"/>
      <c r="FY4" s="51"/>
      <c r="FZ4" s="51"/>
      <c r="GA4" s="51"/>
      <c r="GB4" s="51"/>
      <c r="GC4" s="51"/>
      <c r="GD4" s="51"/>
      <c r="GE4" s="51"/>
      <c r="GF4" s="51"/>
      <c r="GG4" s="51"/>
      <c r="GH4" s="51"/>
      <c r="GI4" s="51"/>
      <c r="GJ4" s="51"/>
      <c r="GK4" s="51"/>
      <c r="GL4" s="51"/>
      <c r="GM4" s="51"/>
      <c r="GN4" s="51"/>
      <c r="GO4" s="51"/>
      <c r="GP4" s="51"/>
      <c r="GQ4" s="51"/>
      <c r="GR4" s="51"/>
      <c r="GS4" s="12" t="str">
        <f>IF(SUM(FV4,FZ4,GD4,GH4)&gt;0,SUM(FV4,FZ4,GD4,GH4),"")</f>
        <v/>
      </c>
      <c r="GT4" s="12" t="str">
        <f>IF(SUM(FU4:FV4,FX4:FZ4,GB4)-SUM(FW4,GA4)&gt;0,SUM(FU4:FV4,FX4:FZ4,GB4)-SUM(FW4,GA4),"")</f>
        <v/>
      </c>
      <c r="GU4" s="12" t="str">
        <f>IF(SUM(GC4:GD4,GF4:GH4,GJ4)-SUM(GE4,GI4)&gt;0,SUM(GC4:GD4,GF4:GH4,GJ4)-SUM(GE4,GI4),"")</f>
        <v/>
      </c>
      <c r="GV4" s="12" t="str">
        <f>IF(SUM(FU4:FV4,FX4:FZ4,GB4:GD4,GF4:GH4,GJ4)-SUM(FW4,GA4,GE4,GI4)&gt;0,SUM(FU4:FV4,FX4:FZ4,GB4:GD4,GF4:GH4,GJ4)-SUM(FW4,GA4,GE4,GI4),"")</f>
        <v/>
      </c>
      <c r="GW4" s="12" t="str">
        <f>IF(SUM(GK4:GL4,GN4:GP4,GR4)-SUM(GM4,GQ4)&gt;0,SUM(GK4:GL4,GN4:GP4,GR4)-SUM(GM4,GQ4),"")</f>
        <v/>
      </c>
      <c r="GX4" s="12" t="str">
        <f>IF(SUM(GV4,GW4)&gt;0,SUM(GV4,GW4),"")</f>
        <v/>
      </c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50"/>
      <c r="HU4" s="50"/>
      <c r="HV4" s="50"/>
      <c r="HW4" s="15" t="str">
        <f>IF(SUM(GZ4,HD4,HH4,HL4)&gt;0,SUM(GZ4,HD4,HH4,HL4),"")</f>
        <v/>
      </c>
      <c r="HX4" s="15" t="str">
        <f>IF(SUM(GY4:GZ4,HB4:HD4,HF4)-SUM(HA4,HE4)&gt;0,SUM(GY4:GZ4,HB4:HD4,HF4)-SUM(HA4,HE4),"")</f>
        <v/>
      </c>
      <c r="HY4" s="15" t="str">
        <f>IF(SUM(HG4:HH4,HJ4:HL4,HN4)-SUM(HI4,HM4)&gt;0,SUM(HG4:HH4,HJ4:HL4,HN4)-SUM(HI4,HM4),"")</f>
        <v/>
      </c>
      <c r="HZ4" s="15" t="str">
        <f>IF(SUM(GY4:GZ4,HB4:HD4,HF4:HH4,HJ4:HL4,HN4)-SUM(HA4,HE4,HI4,HM4)&gt;0,SUM(GY4:GZ4,HB4:HD4,HF4:HH4,HJ4:HL4,HN4)-SUM(HA4,HE4,HI4,HM4),"")</f>
        <v/>
      </c>
      <c r="IA4" s="15" t="str">
        <f>IF(SUM(HO4:HP4,HR4:HT4,HV4)-SUM(HQ4,HU4)&gt;0,SUM(HO4:HP4,HR4:HT4,HV4)-SUM(HQ4,HU4),"")</f>
        <v/>
      </c>
      <c r="IB4" s="15" t="str">
        <f>IF(SUM(HZ4,IA4)&gt;0,SUM(HZ4,IA4),"")</f>
        <v/>
      </c>
      <c r="IC4" s="51"/>
      <c r="ID4" s="51"/>
      <c r="IE4" s="51"/>
      <c r="IF4" s="51"/>
      <c r="IG4" s="51"/>
      <c r="IH4" s="51"/>
      <c r="II4" s="51"/>
      <c r="IJ4" s="51"/>
      <c r="IK4" s="51"/>
      <c r="IL4" s="51"/>
      <c r="IM4" s="51"/>
      <c r="IN4" s="51"/>
      <c r="IO4" s="51"/>
      <c r="IP4" s="51"/>
      <c r="IQ4" s="51"/>
      <c r="IR4" s="51"/>
      <c r="IS4" s="51"/>
      <c r="IT4" s="51"/>
      <c r="IU4" s="51"/>
      <c r="IV4" s="51"/>
      <c r="IW4" s="51"/>
      <c r="IX4" s="51"/>
      <c r="IY4" s="51"/>
      <c r="IZ4" s="51"/>
      <c r="JA4" s="12" t="str">
        <f>IF(SUM(ID4,IH4,IL4,IP4)&gt;0,SUM(ID4,IH4,IL4,IP4),"")</f>
        <v/>
      </c>
      <c r="JB4" s="12" t="str">
        <f>IF(SUM(IC4:ID4,IF4:IH4,IJ4)-SUM(IE4,II4)&gt;0,SUM(IC4:ID4,IF4:IH4,IJ4)-SUM(IE4,II4),"")</f>
        <v/>
      </c>
      <c r="JC4" s="12" t="str">
        <f>IF(SUM(IK4:IL4,IN4:IP4,IR4)-SUM(IM4,IQ4)&gt;0,SUM(IK4:IL4,IN4:IP4,IR4)-SUM(IM4,IQ4),"")</f>
        <v/>
      </c>
      <c r="JD4" s="12" t="str">
        <f>IF(SUM(IC4:ID4,IF4:IH4,IJ4:IL4,IN4:IP4,IR4)-SUM(IE4,II4,IM4,IQ4)&gt;0,SUM(IC4:ID4,IF4:IH4,IJ4:IL4,IN4:IP4,IR4)-SUM(IE4,II4,IM4,IQ4),"")</f>
        <v/>
      </c>
      <c r="JE4" s="12" t="str">
        <f>IF(SUM(IS4:IT4,IV4:IX4,IZ4)-SUM(IU4,IY4)&gt;0,SUM(IS4:IT4,IV4:IX4,IZ4)-SUM(IU4,IY4),"")</f>
        <v/>
      </c>
      <c r="JF4" s="12" t="str">
        <f>IF(SUM(JD4,JE4)&gt;0,SUM(JD4,JE4),"")</f>
        <v/>
      </c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JX4" s="50"/>
      <c r="JY4" s="50"/>
      <c r="JZ4" s="50"/>
      <c r="KA4" s="50"/>
      <c r="KB4" s="50"/>
      <c r="KC4" s="50"/>
      <c r="KD4" s="50"/>
      <c r="KE4" s="15" t="str">
        <f>IF(SUM(JH4,JL4,JP4,JT4)&gt;0,SUM(JH4,JL4,JP4,JT4),"")</f>
        <v/>
      </c>
      <c r="KF4" s="15" t="str">
        <f>IF(SUM(JG4:JH4,JJ4:JL4,JN4)-SUM(JI4,JM4)&gt;0,SUM(JG4:JH4,JJ4:JL4,JN4)-SUM(JI4,JM4),"")</f>
        <v/>
      </c>
      <c r="KG4" s="15" t="str">
        <f>IF(SUM(JO4:JP4,JR4:JT4,JV4)-SUM(JQ4,JU4)&gt;0,SUM(JO4:JP4,JR4:JT4,JV4)-SUM(JQ4,JU4),"")</f>
        <v/>
      </c>
      <c r="KH4" s="15" t="str">
        <f>IF(SUM(JG4:JH4,JJ4:JL4,JN4:JP4,JR4:JT4,JV4)-SUM(JI4,JM4,JQ4,JU4)&gt;0,SUM(JG4:JH4,JJ4:JL4,JN4:JP4,JR4:JT4,JV4)-SUM(JI4,JM4,JQ4,JU4),"")</f>
        <v/>
      </c>
      <c r="KI4" s="15" t="str">
        <f>IF(SUM(JW4:JX4,JZ4:KB4,KD4)-SUM(JY4,KC4)&gt;0,SUM(JW4:JX4,JZ4:KB4,KD4)-SUM(JY4,KC4),"")</f>
        <v/>
      </c>
      <c r="KJ4" s="15" t="str">
        <f>IF(SUM(KH4,KI4)&gt;0,SUM(KH4,KI4),"")</f>
        <v/>
      </c>
      <c r="KK4" s="51"/>
      <c r="KL4" s="51"/>
      <c r="KM4" s="51"/>
      <c r="KN4" s="51"/>
      <c r="KO4" s="51"/>
      <c r="KP4" s="51"/>
      <c r="KQ4" s="51"/>
      <c r="KR4" s="51"/>
      <c r="KS4" s="51"/>
      <c r="KT4" s="51"/>
      <c r="KU4" s="51"/>
      <c r="KV4" s="51"/>
      <c r="KW4" s="51"/>
      <c r="KX4" s="51"/>
      <c r="KY4" s="51"/>
      <c r="KZ4" s="51"/>
      <c r="LA4" s="51"/>
      <c r="LB4" s="51"/>
      <c r="LC4" s="51"/>
      <c r="LD4" s="51"/>
      <c r="LE4" s="51"/>
      <c r="LF4" s="51"/>
      <c r="LG4" s="51"/>
      <c r="LH4" s="51"/>
      <c r="LI4" s="12" t="str">
        <f>IF(SUM(KL4,KP4,KT4,KX4)&gt;0,SUM(KL4,KP4,KT4,KX4),"")</f>
        <v/>
      </c>
      <c r="LJ4" s="12" t="str">
        <f>IF(SUM(KK4:KL4,KN4:KP4,KR4)-SUM(KM4,KQ4)&gt;0,SUM(KK4:KL4,KN4:KP4,KR4)-SUM(KM4,KQ4),"")</f>
        <v/>
      </c>
      <c r="LK4" s="12" t="str">
        <f>IF(SUM(KS4:KT4,KV4:KX4,KZ4)-SUM(KU4,KY4)&gt;0,SUM(KS4:KT4,KV4:KX4,KZ4)-SUM(KU4,KY4),"")</f>
        <v/>
      </c>
      <c r="LL4" s="12" t="str">
        <f>IF(SUM(KK4:KL4,KN4:KP4,KR4:KT4,KV4:KX4,KZ4)-SUM(KM4,KQ4,KU4,KY4)&gt;0,SUM(KK4:KL4,KN4:KP4,KR4:KT4,KV4:KX4,KZ4)-SUM(KM4,KQ4,KU4,KY4),"")</f>
        <v/>
      </c>
      <c r="LM4" s="12" t="str">
        <f>IF(SUM(LA4:LB4,LD4:LF4,LH4)-SUM(LC4,LG4)&gt;0,SUM(LA4:LB4,LD4:LF4,LH4)-SUM(LC4,LG4),"")</f>
        <v/>
      </c>
      <c r="LN4" s="12" t="str">
        <f>IF(SUM(LL4,LM4)&gt;0,SUM(LL4,LM4),"")</f>
        <v/>
      </c>
      <c r="LO4" s="50"/>
      <c r="LP4" s="50"/>
      <c r="LQ4" s="50"/>
      <c r="LR4" s="50"/>
      <c r="LS4" s="50"/>
      <c r="LT4" s="50"/>
      <c r="LU4" s="50"/>
      <c r="LV4" s="50"/>
      <c r="LW4" s="50"/>
      <c r="LX4" s="50"/>
      <c r="LY4" s="50"/>
      <c r="LZ4" s="50"/>
      <c r="MA4" s="50"/>
      <c r="MB4" s="50"/>
      <c r="MC4" s="50"/>
      <c r="MD4" s="50"/>
      <c r="ME4" s="50"/>
      <c r="MF4" s="50"/>
      <c r="MG4" s="50"/>
      <c r="MH4" s="50"/>
      <c r="MI4" s="50"/>
      <c r="MJ4" s="50"/>
      <c r="MK4" s="50"/>
      <c r="ML4" s="50"/>
      <c r="MM4" s="15" t="str">
        <f>IF(SUM(LP4,LT4,LX4,MB4)&gt;0,SUM(LP4,LT4,LX4,MB4),"")</f>
        <v/>
      </c>
      <c r="MN4" s="15" t="str">
        <f>IF(SUM(LO4:LP4,LR4:LT4,LV4)-SUM(LQ4,LU4)&gt;0,SUM(LO4:LP4,LR4:LT4,LV4)-SUM(LQ4,LU4),"")</f>
        <v/>
      </c>
      <c r="MO4" s="15" t="str">
        <f>IF(SUM(LW4:LX4,LZ4:MB4,MD4)-SUM(LY4,MC4)&gt;0,SUM(LW4:LX4,LZ4:MB4,MD4)-SUM(LY4,MC4),"")</f>
        <v/>
      </c>
      <c r="MP4" s="15" t="str">
        <f>IF(SUM(LO4:LP4,LR4:LT4,LV4:LX4,LZ4:MB4,MD4)-SUM(LQ4,LU4,LY4,MC4)&gt;0,SUM(LO4:LP4,LR4:LT4,LV4:LX4,LZ4:MB4,MD4)-SUM(LQ4,LU4,LY4,MC4),"")</f>
        <v/>
      </c>
      <c r="MQ4" s="15" t="str">
        <f>IF(SUM(ME4:MF4,MH4:MJ4,ML4)-SUM(MG4,MK4)&gt;0,SUM(ME4:MF4,MH4:MJ4,ML4)-SUM(MG4,MK4),"")</f>
        <v/>
      </c>
      <c r="MR4" s="15" t="str">
        <f>IF(SUM(MP4,MQ4)&gt;0,SUM(MP4,MQ4),"")</f>
        <v/>
      </c>
      <c r="MS4" s="51"/>
      <c r="MT4" s="51"/>
      <c r="MU4" s="51"/>
      <c r="MV4" s="51"/>
      <c r="MW4" s="51"/>
      <c r="MX4" s="51"/>
      <c r="MY4" s="51"/>
      <c r="MZ4" s="51"/>
      <c r="NA4" s="51"/>
      <c r="NB4" s="51"/>
      <c r="NC4" s="51"/>
      <c r="ND4" s="51"/>
      <c r="NE4" s="51"/>
      <c r="NF4" s="51"/>
      <c r="NG4" s="51"/>
      <c r="NH4" s="51"/>
      <c r="NI4" s="51"/>
      <c r="NJ4" s="51"/>
      <c r="NK4" s="51"/>
      <c r="NL4" s="51"/>
      <c r="NM4" s="51"/>
      <c r="NN4" s="51"/>
      <c r="NO4" s="51"/>
      <c r="NP4" s="51"/>
      <c r="NQ4" s="12" t="str">
        <f>IF(SUM(MT4,MX4,NB4,NF4)&gt;0,SUM(MT4,MX4,NB4,NF4),"")</f>
        <v/>
      </c>
      <c r="NR4" s="12" t="str">
        <f>IF(SUM(MS4:MT4,MV4:MX4,MZ4)-SUM(MU4,MY4)&gt;0,SUM(MS4:MT4,MV4:MX4,MZ4)-SUM(MU4,MY4),"")</f>
        <v/>
      </c>
      <c r="NS4" s="12" t="str">
        <f>IF(SUM(NA4:NB4,ND4:NF4,NH4)-SUM(NC4,NG4)&gt;0,SUM(NA4:NB4,ND4:NF4,NH4)-SUM(NC4,NG4),"")</f>
        <v/>
      </c>
      <c r="NT4" s="12" t="str">
        <f>IF(SUM(MS4:MT4,MV4:MX4,MZ4:NB4,ND4:NF4,NH4)-SUM(MU4,MY4,NC4,NG4)&gt;0,SUM(MS4:MT4,MV4:MX4,MZ4:NB4,ND4:NF4,NH4)-SUM(MU4,MY4,NC4,NG4),"")</f>
        <v/>
      </c>
      <c r="NU4" s="12" t="str">
        <f>IF(SUM(NI4:NJ4,NL4:NN4,NP4)-SUM(NK4,NO4)&gt;0,SUM(NI4:NJ4,NL4:NN4,NP4)-SUM(NK4,NO4),"")</f>
        <v/>
      </c>
      <c r="NV4" s="12" t="str">
        <f>IF(SUM(NT4,NU4)&gt;0,SUM(NT4,NU4),"")</f>
        <v/>
      </c>
      <c r="NW4" s="50"/>
      <c r="NX4" s="50"/>
      <c r="NY4" s="50"/>
      <c r="NZ4" s="50"/>
      <c r="OA4" s="50"/>
      <c r="OB4" s="50"/>
      <c r="OC4" s="50"/>
      <c r="OD4" s="50"/>
      <c r="OE4" s="50"/>
      <c r="OF4" s="50"/>
      <c r="OG4" s="50"/>
      <c r="OH4" s="50"/>
      <c r="OI4" s="50"/>
      <c r="OJ4" s="50"/>
      <c r="OK4" s="50"/>
      <c r="OL4" s="50"/>
      <c r="OM4" s="50"/>
      <c r="ON4" s="50"/>
      <c r="OO4" s="50"/>
      <c r="OP4" s="50"/>
      <c r="OQ4" s="50"/>
      <c r="OR4" s="50"/>
      <c r="OS4" s="50"/>
      <c r="OT4" s="50"/>
      <c r="OU4" s="15" t="str">
        <f>IF(SUM(NX4,OB4,OF4,OJ4)&gt;0,SUM(NX4,OB4,OF4,OJ4),"")</f>
        <v/>
      </c>
      <c r="OV4" s="15" t="str">
        <f>IF(SUM(NW4:NX4,NZ4:OB4,OD4)-SUM(NY4,OC4)&gt;0,SUM(NW4:NX4,NZ4:OB4,OD4)-SUM(NY4,OC4),"")</f>
        <v/>
      </c>
      <c r="OW4" s="15" t="str">
        <f>IF(SUM(OE4:OF4,OH4:OJ4,OL4)-SUM(OG4,OK4)&gt;0,SUM(OE4:OF4,OH4:OJ4,OL4)-SUM(OG4,OK4),"")</f>
        <v/>
      </c>
      <c r="OX4" s="15" t="str">
        <f>IF(SUM(NW4:NX4,NZ4:OB4,OD4:OF4,OH4:OJ4,OL4)-SUM(NY4,OC4,OG4,OK4)&gt;0,SUM(NW4:NX4,NZ4:OB4,OD4:OF4,OH4:OJ4,OL4)-SUM(NY4,OC4,OG4,OK4),"")</f>
        <v/>
      </c>
      <c r="OY4" s="15" t="str">
        <f>IF(SUM(OM4:ON4,OP4:OR4,OT4)-SUM(OO4,OS4)&gt;0,SUM(OM4:ON4,OP4:OR4,OT4)-SUM(OO4,OS4),"")</f>
        <v/>
      </c>
      <c r="OZ4" s="15" t="str">
        <f>IF(SUM(OX4,OY4)&gt;0,SUM(OX4,OY4),"")</f>
        <v/>
      </c>
      <c r="PA4" s="51"/>
      <c r="PB4" s="51"/>
      <c r="PC4" s="51"/>
      <c r="PD4" s="51"/>
      <c r="PE4" s="51"/>
      <c r="PF4" s="51"/>
      <c r="PG4" s="51"/>
      <c r="PH4" s="51"/>
      <c r="PI4" s="51"/>
      <c r="PJ4" s="51"/>
      <c r="PK4" s="51"/>
      <c r="PL4" s="51"/>
      <c r="PM4" s="51"/>
      <c r="PN4" s="51"/>
      <c r="PO4" s="51"/>
      <c r="PP4" s="51"/>
      <c r="PQ4" s="51"/>
      <c r="PR4" s="51"/>
      <c r="PS4" s="51"/>
      <c r="PT4" s="51"/>
      <c r="PU4" s="51"/>
      <c r="PV4" s="51"/>
      <c r="PW4" s="51"/>
      <c r="PX4" s="51"/>
      <c r="PY4" s="12" t="str">
        <f>IF(SUM(PB4,PF4,PJ4,PN4)&gt;0,SUM(PB4,PF4,PJ4,PN4),"")</f>
        <v/>
      </c>
      <c r="PZ4" s="12" t="str">
        <f>IF(SUM(PA4:PB4,PD4:PF4,PH4)-SUM(PC4,PG4)&gt;0,SUM(PA4:PB4,PD4:PF4,PH4)-SUM(PC4,PG4),"")</f>
        <v/>
      </c>
      <c r="QA4" s="12" t="str">
        <f>IF(SUM(PI4:PJ4,PL4:PN4,PP4)-SUM(PK4,PO4)&gt;0,SUM(PI4:PJ4,PL4:PN4,PP4)-SUM(PK4,PO4),"")</f>
        <v/>
      </c>
      <c r="QB4" s="12" t="str">
        <f>IF(SUM(PA4:PB4,PD4:PF4,PH4:PJ4,PL4:PN4,PP4)-SUM(PC4,PG4,PK4,PO4)&gt;0,SUM(PA4:PB4,PD4:PF4,PH4:PJ4,PL4:PN4,PP4)-SUM(PC4,PG4,PK4,PO4),"")</f>
        <v/>
      </c>
      <c r="QC4" s="12" t="str">
        <f>IF(SUM(PQ4:PR4,PT4:PV4,PX4)-SUM(PS4,PW4)&gt;0,SUM(PQ4:PR4,PT4:PV4,PX4)-SUM(PS4,PW4),"")</f>
        <v/>
      </c>
      <c r="QD4" s="12" t="str">
        <f>IF(SUM(QB4,QC4)&gt;0,SUM(QB4,QC4),"")</f>
        <v/>
      </c>
      <c r="QE4" s="50"/>
      <c r="QF4" s="50"/>
      <c r="QG4" s="50"/>
      <c r="QH4" s="50"/>
      <c r="QI4" s="50"/>
      <c r="QJ4" s="50"/>
      <c r="QK4" s="50"/>
      <c r="QL4" s="50"/>
      <c r="QM4" s="50"/>
      <c r="QN4" s="50"/>
      <c r="QO4" s="50"/>
      <c r="QP4" s="50"/>
      <c r="QQ4" s="50"/>
      <c r="QR4" s="50"/>
      <c r="QS4" s="50"/>
      <c r="QT4" s="50"/>
      <c r="QU4" s="50"/>
      <c r="QV4" s="50"/>
      <c r="QW4" s="50"/>
      <c r="QX4" s="50"/>
      <c r="QY4" s="50"/>
      <c r="QZ4" s="50"/>
      <c r="RA4" s="50"/>
      <c r="RB4" s="50"/>
      <c r="RC4" s="15" t="str">
        <f>IF(SUM(QF4,QJ4,QN4,QR4)&gt;0,SUM(QF4,QJ4,QN4,QR4),"")</f>
        <v/>
      </c>
      <c r="RD4" s="15" t="str">
        <f>IF(SUM(QE4:QF4,QH4:QJ4,QL4)-SUM(QG4,QK4)&gt;0,SUM(QE4:QF4,QH4:QJ4,QL4)-SUM(QG4,QK4),"")</f>
        <v/>
      </c>
      <c r="RE4" s="15" t="str">
        <f>IF(SUM(QM4:QN4,QP4:QR4,QT4)-SUM(QO4,QS4)&gt;0,SUM(QM4:QN4,QP4:QR4,QT4)-SUM(QO4,QS4),"")</f>
        <v/>
      </c>
      <c r="RF4" s="15" t="str">
        <f>IF(SUM(QE4:QF4,QH4:QJ4,QL4:QN4,QP4:QR4,QT4)-SUM(QG4,QK4,QO4,QS4)&gt;0,SUM(QE4:QF4,QH4:QJ4,QL4:QN4,QP4:QR4,QT4)-SUM(QG4,QK4,QO4,QS4),"")</f>
        <v/>
      </c>
      <c r="RG4" s="15" t="str">
        <f>IF(SUM(QU4:QV4,QX4:QZ4,RB4)-SUM(QW4,RA4)&gt;0,SUM(QU4:QV4,QX4:QZ4,RB4)-SUM(QW4,RA4),"")</f>
        <v/>
      </c>
      <c r="RH4" s="15" t="str">
        <f>IF(SUM(RF4,RG4)&gt;0,SUM(RF4,RG4),"")</f>
        <v/>
      </c>
    </row>
    <row r="5" spans="1:476" x14ac:dyDescent="0.2">
      <c r="A5" s="6">
        <f>IF(AND(F5="P",H5="P"),SUMPRODUCT((F$4:F$5="P")*(H$4:H$5="P")*(E$4:E$5&gt;E5))+1,IF(H5="P",SUMPRODUCT((F$4:F$5="")*(H$4:H$5="P")*(E$4:E$5&gt;E5))+1+SUMPRODUCT((F$4:F$5="P")*(H$4:H$5="P")),""))</f>
        <v>2</v>
      </c>
      <c r="B5" s="9" t="s">
        <v>98</v>
      </c>
      <c r="C5" s="5" t="s">
        <v>5</v>
      </c>
      <c r="D5" s="31">
        <v>2002</v>
      </c>
      <c r="E5" s="16">
        <f>SUM(J5:R5)</f>
        <v>327.9</v>
      </c>
      <c r="F5" s="4" t="str">
        <f>IF(OR(AND($AT5&gt;=$AU$8,NOT($AT5=""),$AS5=""),AND($BY5&gt;=$BZ$8,NOT($BY5=""),$BX5=""),AND($DD5&gt;=$DE$8,NOT($DD5=""),$DC5="")),"P","")</f>
        <v/>
      </c>
      <c r="G5" s="4" t="str">
        <f>IF(OR(AND($AT5&gt;=$AU$9,NOT($AT5=""),$AS5=""),AND($BY5&gt;=$BZ$9,NOT($BY5=""),$BX5=""),AND($DD5&gt;=$DE$9,NOT($DD5=""),$DC5="")),"P","")</f>
        <v/>
      </c>
      <c r="H5" s="4" t="str">
        <f>IF(OR(AND($AW5&gt;=$AU$10,NOT($AW5=""),$AS5=""),AND($CB5&gt;=$BZ$10,NOT($CB5=""),$BX5=""),AND($DG5&gt;=$DE$10,NOT($DG5=""),$DC5="")),"P","")</f>
        <v>P</v>
      </c>
      <c r="I5" t="str">
        <f>IF(AND(G5="P",OR(AND($AW5&gt;=$AU$13,NOT($AW5=""),$AS5=""),AND($CB5&gt;=$BZ$13,NOT($CB5=""),$BX5=""),AND($DG5&gt;=$DE$13,NOT($DG5=""),$DC5=""))),"Merit",IF(AND(G5="P",OR(AND($AW5&gt;=$AU$12,NOT($AW5=""),$AS5=""),AND($CB5&gt;=$BZ$12,NOT($CB5=""),$BX5=""),AND($DG5&gt;=$DE$12,NOT($DG5=""),$DC5=""))),"Funding",IF(AND(G5="P",OR(AND($AW5&gt;=$AU$11,NOT($AW5=""),$AS5=""),AND($CB5&gt;=$BZ$11,NOT($CB5=""),$BX5=""),AND($DG5&gt;=$DE$11,NOT($DG5=""),$DC5=""))),"Worlds Team",IF(AND(F5="P",OR(AND($AW5&gt;=$AU$10,NOT($AW5=""),$AS5=""),AND($CB5&gt;=$BZ$10,NOT($CB5=""),$BX5=""),AND($DG5&gt;=$DE$10,NOT($DG5=""),$DC5=""))),"National Team",""))))</f>
        <v/>
      </c>
      <c r="J5" s="15">
        <f>MAX(AW5,CB5,DG5)</f>
        <v>131.1</v>
      </c>
      <c r="K5" s="15" t="str">
        <f>IF(J5=DG5,$CE$1,IF(J5=CB5,$AZ$1,IF(J5=AW5,$U$1,"")))</f>
        <v>2018 Canada Cup</v>
      </c>
      <c r="L5" s="15">
        <f>IF($J5=$AW5,MAX(BZ5,DE5),IF($J5=$CB5,MAX(AU5,DE5),MAX(AU5,BZ5)))</f>
        <v>67.400000000000006</v>
      </c>
      <c r="M5" s="15" t="str">
        <f>IF(AND(L5=DE5,$K5&lt;&gt;$CE$1),$CE$1,IF(AND(L5=BZ5,$K5&lt;&gt;$AZ$1),$AZ$1,IF(AND(L5=AU5,$K5&lt;&gt;$U$1),$U$1,"")))</f>
        <v>2018 Nationals</v>
      </c>
      <c r="N5" s="15">
        <f>IF($J5=$AW5,MAX(CA5,DF5),IF($J5=$CB5,MAX(AV5,DF5),MAX(AV5,CA5)))</f>
        <v>61.9</v>
      </c>
      <c r="O5" s="15" t="str">
        <f>IF(AND(N5=DF5,$K5&lt;&gt;$CE$1),$CE$1,IF(AND(N5=CA5,$K5&lt;&gt;$AZ$1),$AZ$1,IF(AND(N5=AV5,$K5&lt;&gt;$U$1),$U$1,"")))</f>
        <v>2017 Nationals</v>
      </c>
      <c r="P5" s="15">
        <f>MAX(AX5,CC5,DH5)</f>
        <v>67.5</v>
      </c>
      <c r="Q5" s="15" t="str">
        <f>IF(P5=DH5,$CE$1,IF(P5=CC5,$AZ$1,IF(P5=AX5,$U$1,"")))</f>
        <v>2018 Canada Cup</v>
      </c>
      <c r="R5" s="15" t="str">
        <f>IF(MAX(DJ5:DL5)&gt;0,MAX(DJ5:DL5),"")</f>
        <v/>
      </c>
      <c r="S5" s="29" t="str">
        <f>IF(R5="","",IF(R5=DJ5,"(Pass 1-2)",IF(R5=DK5,"(Pass 3-4)",IF(R5=DL5,"(Final)"))))</f>
        <v/>
      </c>
      <c r="T5" s="15" t="str">
        <f>IF(R5="","",IF(R5=DJ5,IF(R5+L5=RD5,$QE$1,IF(R5+L5=PZ5,$PA$1,IF(R5+L5=OV5,$NW$1,IF(R5+L5=NR5,$MS$1,IF(R5+L5=MN5,$LO$1,IF(R5+L5=LJ5,$KK$1,IF(R5+L5=KF5,$JG$1,IF(R5+L5=JB5,$IC$1,IF(R5+L5=HX5,$GY$1,IF(R5+L5=GT5,$FU$1,IF(R5+L5=FP5,$EQ$1,IF(R5+L5=EL5,$DM$1)))))))))))),IF(R5=DK5,IF(R5+N5=RE5,$QE$1,IF(R5+N5=QA5,$PA$1,IF(R5+N5=OW5,$NW$1,IF(R5+N5=NS5,$MS$1,IF(R5+N5=MO5,$LO$1,IF(R5+N5=LK5,$KK$1,IF(R5+N5=KG5,$JG$1,IF(R5+N5=JC5,$IC$1,IF(R5+N5=HY5,$GY$1,IF(R5+N5=GU5,$FU$1,IF(R5+N5=FQ5,$EQ$1,IF(R5+N5=EM5,$DM$1)))))))))))),IF(R5=DL5,IF(R5+P5=RG5,$QE$1,IF(R5+P5=QC5,$PA$1,IF(R5+P5=OY5,$NW$1,IF(R5+P5=NU5,$MS$1,IF(R5+P5=MQ5,$LO$1,IF(R5+P5=LM5,$KK$1,IF(R5+P5=KI5,$JG$1,IF(R5+P5=JE5,$IC$1,IF(R5+P5=IA5,$GY$1,IF(R5+P5=GW5,$FU$1,IF(R5+P5=FS5,$EQ$1,IF(R5+P5=EO5,$DM$1))))))))))))))))</f>
        <v/>
      </c>
      <c r="U5" s="45">
        <v>25.8</v>
      </c>
      <c r="V5" s="45">
        <v>5.2</v>
      </c>
      <c r="W5" s="45">
        <v>0.3</v>
      </c>
      <c r="X5" s="45">
        <v>0</v>
      </c>
      <c r="Y5" s="45">
        <v>28.3</v>
      </c>
      <c r="Z5" s="45">
        <v>5.2</v>
      </c>
      <c r="AA5" s="45">
        <v>0.3</v>
      </c>
      <c r="AB5" s="45">
        <v>0</v>
      </c>
      <c r="AC5" s="45">
        <v>28.1</v>
      </c>
      <c r="AD5" s="45">
        <v>3</v>
      </c>
      <c r="AE5" s="45">
        <v>0.9</v>
      </c>
      <c r="AF5" s="45">
        <v>0</v>
      </c>
      <c r="AG5" s="45">
        <v>28.1</v>
      </c>
      <c r="AH5" s="45">
        <v>4.8</v>
      </c>
      <c r="AI5" s="45">
        <v>1.2</v>
      </c>
      <c r="AJ5" s="45">
        <v>0</v>
      </c>
      <c r="AK5" s="45">
        <v>28.2</v>
      </c>
      <c r="AL5" s="45">
        <v>5.2</v>
      </c>
      <c r="AM5" s="45">
        <v>0</v>
      </c>
      <c r="AN5" s="45">
        <v>0</v>
      </c>
      <c r="AO5" s="45">
        <v>28.2</v>
      </c>
      <c r="AP5" s="45">
        <v>5.2</v>
      </c>
      <c r="AQ5" s="45">
        <v>0</v>
      </c>
      <c r="AR5" s="45">
        <v>0</v>
      </c>
      <c r="AS5" s="108"/>
      <c r="AT5" s="12">
        <f>IF(SUM(V5,Z5,AD5,AH5)&gt;0,SUM(V5,Z5,AD5,AH5),"")</f>
        <v>18.2</v>
      </c>
      <c r="AU5" s="12">
        <f>IF(SUM(U5:V5,X5:Z5,AB5)-SUM(W5,AA5)&gt;0,SUM(U5:V5,X5:Z5,AB5)-SUM(W5,AA5),"")</f>
        <v>63.9</v>
      </c>
      <c r="AV5" s="12">
        <f>IF(SUM(AC5:AD5,AF5:AH5,AJ5)-SUM(AE5,AI5)&gt;0,SUM(AC5:AD5,AF5:AH5,AJ5)-SUM(AE5,AI5),"")</f>
        <v>61.9</v>
      </c>
      <c r="AW5" s="12">
        <f>IF(SUM(U5:V5,X5:Z5,AB5:AD5,AF5:AH5,AJ5)-SUM(W5,AA5,AE5,AI5)&gt;0,SUM(U5:V5,X5:Z5,AB5:AD5,AF5:AH5,AJ5)-SUM(W5,AA5,AE5,AI5),"")</f>
        <v>125.8</v>
      </c>
      <c r="AX5" s="12">
        <f>IF(SUM(AK5:AL5,AN5:AP5,AR5)-SUM(AM5,AQ5)&gt;0,SUM(AK5:AL5,AN5:AP5,AR5)-SUM(AM5,AQ5),"")</f>
        <v>66.8</v>
      </c>
      <c r="AY5" s="12">
        <f>IF(SUM(AW5,AX5)&gt;0,SUM(AW5,AX5),"")</f>
        <v>192.6</v>
      </c>
      <c r="AZ5" s="46">
        <v>28</v>
      </c>
      <c r="BA5" s="46">
        <v>6</v>
      </c>
      <c r="BB5" s="46">
        <v>0</v>
      </c>
      <c r="BC5" s="46">
        <v>0</v>
      </c>
      <c r="BD5" s="46">
        <v>27.8</v>
      </c>
      <c r="BE5" s="46">
        <v>5.6</v>
      </c>
      <c r="BF5" s="46">
        <v>0</v>
      </c>
      <c r="BG5" s="46">
        <v>0</v>
      </c>
      <c r="BH5" s="46">
        <v>28.4</v>
      </c>
      <c r="BI5" s="46">
        <v>3.2</v>
      </c>
      <c r="BJ5" s="46">
        <v>0</v>
      </c>
      <c r="BK5" s="46">
        <v>0</v>
      </c>
      <c r="BL5" s="46">
        <v>29</v>
      </c>
      <c r="BM5" s="46">
        <v>3.1</v>
      </c>
      <c r="BN5" s="46">
        <v>0</v>
      </c>
      <c r="BO5" s="46">
        <v>0</v>
      </c>
      <c r="BP5" s="46">
        <v>28</v>
      </c>
      <c r="BQ5" s="46">
        <v>6</v>
      </c>
      <c r="BR5" s="46">
        <v>0</v>
      </c>
      <c r="BS5" s="46">
        <v>0</v>
      </c>
      <c r="BT5" s="46">
        <v>27.9</v>
      </c>
      <c r="BU5" s="46">
        <v>5.6</v>
      </c>
      <c r="BV5" s="46">
        <v>0</v>
      </c>
      <c r="BW5" s="46">
        <v>0</v>
      </c>
      <c r="BX5" s="109"/>
      <c r="BY5" s="15">
        <f>IF(SUM(BA5,BE5,BI5,BM5)&gt;0,SUM(BA5,BE5,BI5,BM5),"")</f>
        <v>17.900000000000002</v>
      </c>
      <c r="BZ5" s="15">
        <f>IF(SUM(AZ5:BA5,BC5:BE5,BG5)-SUM(BB5,BF5)&gt;0,SUM(AZ5:BA5,BC5:BE5,BG5)-SUM(BB5,BF5),"")</f>
        <v>67.399999999999991</v>
      </c>
      <c r="CA5" s="15">
        <f>IF(SUM(BH5:BI5,BK5:BM5,BO5)-SUM(BJ5,BN5)&gt;0,SUM(BH5:BI5,BK5:BM5,BO5)-SUM(BJ5,BN5),"")</f>
        <v>63.699999999999996</v>
      </c>
      <c r="CB5" s="15">
        <f>IF(SUM(AZ5:BA5,BC5:BE5,BG5:BI5,BK5:BM5,BO5)-SUM(BB5,BF5,BJ5,BN5)&gt;0,SUM(AZ5:BA5,BC5:BE5,BG5:BI5,BK5:BM5,BO5)-SUM(BB5,BF5,BJ5,BN5),"")</f>
        <v>131.1</v>
      </c>
      <c r="CC5" s="15">
        <f>IF(SUM(BP5:BQ5,BS5:BU5,BW5)-SUM(BR5,BV5)&gt;0,SUM(BP5:BQ5,BS5:BU5,BW5)-SUM(BR5,BV5),"")</f>
        <v>67.5</v>
      </c>
      <c r="CD5" s="15">
        <f>IF(SUM(CB5,CC5)&gt;0,SUM(CB5,CC5),"")</f>
        <v>198.6</v>
      </c>
      <c r="CE5" s="76">
        <v>28.5</v>
      </c>
      <c r="CF5" s="76">
        <v>6</v>
      </c>
      <c r="CG5" s="76">
        <v>0</v>
      </c>
      <c r="CH5" s="76">
        <v>0</v>
      </c>
      <c r="CI5" s="76">
        <v>28.1</v>
      </c>
      <c r="CJ5" s="76">
        <v>4.8</v>
      </c>
      <c r="CK5" s="76">
        <v>0</v>
      </c>
      <c r="CL5" s="76">
        <v>0</v>
      </c>
      <c r="CM5" s="76">
        <v>28.2</v>
      </c>
      <c r="CN5" s="76">
        <v>4.8</v>
      </c>
      <c r="CO5" s="76">
        <v>0</v>
      </c>
      <c r="CP5" s="76">
        <v>0</v>
      </c>
      <c r="CQ5" s="76">
        <v>20.8</v>
      </c>
      <c r="CR5" s="76">
        <v>0.7</v>
      </c>
      <c r="CS5" s="76">
        <v>0</v>
      </c>
      <c r="CT5" s="76">
        <v>0</v>
      </c>
      <c r="CU5" s="76">
        <v>28.2</v>
      </c>
      <c r="CV5" s="76">
        <v>3</v>
      </c>
      <c r="CW5" s="76">
        <v>0</v>
      </c>
      <c r="CX5" s="76">
        <v>0</v>
      </c>
      <c r="CY5" s="76">
        <v>28</v>
      </c>
      <c r="CZ5" s="76">
        <v>5.6</v>
      </c>
      <c r="DA5" s="76">
        <v>0</v>
      </c>
      <c r="DB5" s="76">
        <v>0</v>
      </c>
      <c r="DC5" s="108"/>
      <c r="DD5" s="12">
        <f>IF(SUM(CF5,CJ5,CN5,CR5)&gt;0,SUM(CF5,CJ5,CN5,CR5),"")</f>
        <v>16.3</v>
      </c>
      <c r="DE5" s="12">
        <f>IF(SUM(CE5:CF5,CH5:CJ5,CL5)-SUM(CG5,CK5)&gt;0,SUM(CE5:CF5,CH5:CJ5,CL5)-SUM(CG5,CK5),"")</f>
        <v>67.400000000000006</v>
      </c>
      <c r="DF5" s="12">
        <f>IF(SUM(CM5:CN5,CP5:CR5,CT5)-SUM(CO5,CS5)&gt;0,SUM(CM5:CN5,CP5:CR5,CT5)-SUM(CO5,CS5),"")</f>
        <v>54.5</v>
      </c>
      <c r="DG5" s="12">
        <f>IF(SUM(CE5:CF5,CH5:CJ5,CL5:CN5,CP5:CR5,CT5)-SUM(CG5,CK5,CO5,CS5)&gt;0,SUM(CE5:CF5,CH5:CJ5,CL5:CN5,CP5:CR5,CT5)-SUM(CG5,CK5,CO5,CS5),"")</f>
        <v>121.9</v>
      </c>
      <c r="DH5" s="12">
        <f>IF(SUM(CU5:CV5,CX5:CZ5,DB5)-SUM(CW5,DA5)&gt;0,SUM(CU5:CV5,CX5:CZ5,DB5)-SUM(CW5,DA5),"")</f>
        <v>64.8</v>
      </c>
      <c r="DI5" s="12">
        <f>IF(SUM(DG5,DH5)&gt;0,SUM(DG5,DH5),"")</f>
        <v>186.7</v>
      </c>
      <c r="DJ5" s="28" t="str">
        <f>IF(MAX(EL5,FP5,GT5,HX5,JB5,KF5,LJ5,MN5,NR5,OV5,PZ5,RD5)-L5&gt;0.001,MAX(EL5,FP5,GT5,HX5,JB5,KF5,LJ5,MN5,NR5,OV5,PZ5,RD5)-L5,"")</f>
        <v/>
      </c>
      <c r="DK5" s="28" t="str">
        <f>IF(MAX(EM5,FQ5,GU5,HY5,JC5,KG5,LK5,MO5,NS5,OW5,QA5,RE5)-N5&gt;0.001,MAX(EM5,FQ5,GU5,HY5,JC5,KG5,LK5,MO5,NS5,OW5,QA5,RE5)-N5,"")</f>
        <v/>
      </c>
      <c r="DL5" s="28" t="str">
        <f>IF(MAX(EO5,FS5,GW5,IA5,JE5,KI5,LM5,MQ5,OY5,QC5,RG5)-P5&gt;0.001,MAX(EO5,FS5,GW5,IA5,JE5,KI5,LM5,MQ5,OY5,QC5,RG5)-P5,"")</f>
        <v/>
      </c>
      <c r="DM5" s="45">
        <v>27.4</v>
      </c>
      <c r="DN5" s="45">
        <v>6</v>
      </c>
      <c r="DO5" s="45">
        <v>0.9</v>
      </c>
      <c r="DP5" s="45">
        <v>0</v>
      </c>
      <c r="DQ5" s="45">
        <v>28</v>
      </c>
      <c r="DR5" s="45">
        <v>5.6</v>
      </c>
      <c r="DS5" s="45">
        <v>0</v>
      </c>
      <c r="DT5" s="45">
        <v>0</v>
      </c>
      <c r="DU5" s="45"/>
      <c r="DV5" s="45"/>
      <c r="DW5" s="45"/>
      <c r="DX5" s="45"/>
      <c r="DY5" s="45"/>
      <c r="DZ5" s="45"/>
      <c r="EA5" s="45"/>
      <c r="EB5" s="45"/>
      <c r="EC5" s="45">
        <v>28.3</v>
      </c>
      <c r="ED5" s="45">
        <v>4.8</v>
      </c>
      <c r="EE5" s="45">
        <v>0.3</v>
      </c>
      <c r="EF5" s="45">
        <v>0</v>
      </c>
      <c r="EG5" s="45">
        <v>28.2</v>
      </c>
      <c r="EH5" s="45">
        <v>4.8</v>
      </c>
      <c r="EI5" s="45">
        <v>0</v>
      </c>
      <c r="EJ5" s="45">
        <v>0</v>
      </c>
      <c r="EK5" s="12">
        <f>IF(SUM(DN5,DR5,DV5,DZ5)&gt;0,SUM(DN5,DR5,DV5,DZ5),"")</f>
        <v>11.6</v>
      </c>
      <c r="EL5" s="12">
        <f>IF(SUM(DM5:DN5,DP5:DR5,DT5)-SUM(DO5,DS5)&gt;0,SUM(DM5:DN5,DP5:DR5,DT5)-SUM(DO5,DS5),"")</f>
        <v>66.099999999999994</v>
      </c>
      <c r="EM5" s="12" t="str">
        <f>IF(SUM(DU5:DV5,DX5:DZ5,EB5)-SUM(DW5,EA5)&gt;0,SUM(DU5:DV5,DX5:DZ5,EB5)-SUM(DW5,EA5),"")</f>
        <v/>
      </c>
      <c r="EN5" s="12">
        <f>IF(SUM(DM5:DN5,DP5:DR5,DT5:DV5,DX5:DZ5,EB5)-SUM(DO5,DS5,DW5,EA5)&gt;0,SUM(DM5:DN5,DP5:DR5,DT5:DV5,DX5:DZ5,EB5)-SUM(DO5,DS5,DW5,EA5),"")</f>
        <v>66.099999999999994</v>
      </c>
      <c r="EO5" s="12">
        <f>IF(SUM(EC5:ED5,EF5:EH5,EJ5)-SUM(EE5,EI5)&gt;0,SUM(EC5:ED5,EF5:EH5,EJ5)-SUM(EE5,EI5),"")</f>
        <v>65.8</v>
      </c>
      <c r="EP5" s="12">
        <f>IF(SUM(EN5,EO5)&gt;0,SUM(EN5,EO5),"")</f>
        <v>131.89999999999998</v>
      </c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  <c r="FF5" s="50"/>
      <c r="FG5" s="50"/>
      <c r="FH5" s="50"/>
      <c r="FI5" s="50"/>
      <c r="FJ5" s="50"/>
      <c r="FK5" s="50"/>
      <c r="FL5" s="50"/>
      <c r="FM5" s="50"/>
      <c r="FN5" s="50"/>
      <c r="FO5" s="15" t="str">
        <f>IF(SUM(ER5,EV5,EZ5,FD5)&gt;0,SUM(ER5,EV5,EZ5,FD5),"")</f>
        <v/>
      </c>
      <c r="FP5" s="15" t="str">
        <f>IF(SUM(EQ5:ER5,ET5:EV5,EX5)-SUM(ES5,EW5)&gt;0,SUM(EQ5:ER5,ET5:EV5,EX5)-SUM(ES5,EW5),"")</f>
        <v/>
      </c>
      <c r="FQ5" s="15" t="str">
        <f>IF(SUM(EY5:EZ5,FB5:FD5,FF5)-SUM(FA5,FE5)&gt;0,SUM(EY5:EZ5,FB5:FD5,FF5)-SUM(FA5,FE5),"")</f>
        <v/>
      </c>
      <c r="FR5" s="15" t="str">
        <f>IF(SUM(EQ5:ER5,ET5:EV5,EX5:EZ5,FB5:FD5,FF5)-SUM(ES5,EW5,FA5,FE5)&gt;0,SUM(EQ5:ER5,ET5:EV5,EX5:EZ5,FB5:FD5,FF5)-SUM(ES5,EW5,FA5,FE5),"")</f>
        <v/>
      </c>
      <c r="FS5" s="15" t="str">
        <f>IF(SUM(FG5:FH5,FJ5:FL5,FN5)-SUM(FI5,FM5)&gt;0,SUM(FG5:FH5,FJ5:FL5,FN5)-SUM(FI5,FM5),"")</f>
        <v/>
      </c>
      <c r="FT5" s="15" t="str">
        <f>IF(SUM(FR5,FS5)&gt;0,SUM(FR5,FS5),"")</f>
        <v/>
      </c>
      <c r="FU5" s="51"/>
      <c r="FV5" s="51"/>
      <c r="FW5" s="51"/>
      <c r="FX5" s="51"/>
      <c r="FY5" s="51"/>
      <c r="FZ5" s="51"/>
      <c r="GA5" s="51"/>
      <c r="GB5" s="51"/>
      <c r="GC5" s="51"/>
      <c r="GD5" s="51"/>
      <c r="GE5" s="51"/>
      <c r="GF5" s="51"/>
      <c r="GG5" s="51"/>
      <c r="GH5" s="51"/>
      <c r="GI5" s="51"/>
      <c r="GJ5" s="51"/>
      <c r="GK5" s="51"/>
      <c r="GL5" s="51"/>
      <c r="GM5" s="51"/>
      <c r="GN5" s="51"/>
      <c r="GO5" s="51"/>
      <c r="GP5" s="51"/>
      <c r="GQ5" s="51"/>
      <c r="GR5" s="51"/>
      <c r="GS5" s="12" t="str">
        <f>IF(SUM(FV5,FZ5,GD5,GH5)&gt;0,SUM(FV5,FZ5,GD5,GH5),"")</f>
        <v/>
      </c>
      <c r="GT5" s="12" t="str">
        <f>IF(SUM(FU5:FV5,FX5:FZ5,GB5)-SUM(FW5,GA5)&gt;0,SUM(FU5:FV5,FX5:FZ5,GB5)-SUM(FW5,GA5),"")</f>
        <v/>
      </c>
      <c r="GU5" s="12" t="str">
        <f>IF(SUM(GC5:GD5,GF5:GH5,GJ5)-SUM(GE5,GI5)&gt;0,SUM(GC5:GD5,GF5:GH5,GJ5)-SUM(GE5,GI5),"")</f>
        <v/>
      </c>
      <c r="GV5" s="12" t="str">
        <f>IF(SUM(FU5:FV5,FX5:FZ5,GB5:GD5,GF5:GH5,GJ5)-SUM(FW5,GA5,GE5,GI5)&gt;0,SUM(FU5:FV5,FX5:FZ5,GB5:GD5,GF5:GH5,GJ5)-SUM(FW5,GA5,GE5,GI5),"")</f>
        <v/>
      </c>
      <c r="GW5" s="12" t="str">
        <f>IF(SUM(GK5:GL5,GN5:GP5,GR5)-SUM(GM5,GQ5)&gt;0,SUM(GK5:GL5,GN5:GP5,GR5)-SUM(GM5,GQ5),"")</f>
        <v/>
      </c>
      <c r="GX5" s="12" t="str">
        <f>IF(SUM(GV5,GW5)&gt;0,SUM(GV5,GW5),"")</f>
        <v/>
      </c>
      <c r="GY5" s="50"/>
      <c r="GZ5" s="50"/>
      <c r="HA5" s="50"/>
      <c r="HB5" s="50"/>
      <c r="HC5" s="50"/>
      <c r="HD5" s="50"/>
      <c r="HE5" s="50"/>
      <c r="HF5" s="50"/>
      <c r="HG5" s="50"/>
      <c r="HH5" s="50"/>
      <c r="HI5" s="50"/>
      <c r="HJ5" s="50"/>
      <c r="HK5" s="50"/>
      <c r="HL5" s="50"/>
      <c r="HM5" s="50"/>
      <c r="HN5" s="50"/>
      <c r="HO5" s="50"/>
      <c r="HP5" s="50"/>
      <c r="HQ5" s="50"/>
      <c r="HR5" s="50"/>
      <c r="HS5" s="50"/>
      <c r="HT5" s="50"/>
      <c r="HU5" s="50"/>
      <c r="HV5" s="50"/>
      <c r="HW5" s="15" t="str">
        <f>IF(SUM(GZ5,HD5,HH5,HL5)&gt;0,SUM(GZ5,HD5,HH5,HL5),"")</f>
        <v/>
      </c>
      <c r="HX5" s="15" t="str">
        <f>IF(SUM(GY5:GZ5,HB5:HD5,HF5)-SUM(HA5,HE5)&gt;0,SUM(GY5:GZ5,HB5:HD5,HF5)-SUM(HA5,HE5),"")</f>
        <v/>
      </c>
      <c r="HY5" s="15" t="str">
        <f>IF(SUM(HG5:HH5,HJ5:HL5,HN5)-SUM(HI5,HM5)&gt;0,SUM(HG5:HH5,HJ5:HL5,HN5)-SUM(HI5,HM5),"")</f>
        <v/>
      </c>
      <c r="HZ5" s="15" t="str">
        <f>IF(SUM(GY5:GZ5,HB5:HD5,HF5:HH5,HJ5:HL5,HN5)-SUM(HA5,HE5,HI5,HM5)&gt;0,SUM(GY5:GZ5,HB5:HD5,HF5:HH5,HJ5:HL5,HN5)-SUM(HA5,HE5,HI5,HM5),"")</f>
        <v/>
      </c>
      <c r="IA5" s="15" t="str">
        <f>IF(SUM(HO5:HP5,HR5:HT5,HV5)-SUM(HQ5,HU5)&gt;0,SUM(HO5:HP5,HR5:HT5,HV5)-SUM(HQ5,HU5),"")</f>
        <v/>
      </c>
      <c r="IB5" s="15" t="str">
        <f>IF(SUM(HZ5,IA5)&gt;0,SUM(HZ5,IA5),"")</f>
        <v/>
      </c>
      <c r="IC5" s="51"/>
      <c r="ID5" s="51"/>
      <c r="IE5" s="51"/>
      <c r="IF5" s="51"/>
      <c r="IG5" s="51"/>
      <c r="IH5" s="51"/>
      <c r="II5" s="51"/>
      <c r="IJ5" s="51"/>
      <c r="IK5" s="51"/>
      <c r="IL5" s="51"/>
      <c r="IM5" s="51"/>
      <c r="IN5" s="51"/>
      <c r="IO5" s="51"/>
      <c r="IP5" s="51"/>
      <c r="IQ5" s="51"/>
      <c r="IR5" s="51"/>
      <c r="IS5" s="51"/>
      <c r="IT5" s="51"/>
      <c r="IU5" s="51"/>
      <c r="IV5" s="51"/>
      <c r="IW5" s="51"/>
      <c r="IX5" s="51"/>
      <c r="IY5" s="51"/>
      <c r="IZ5" s="51"/>
      <c r="JA5" s="12" t="str">
        <f>IF(SUM(ID5,IH5,IL5,IP5)&gt;0,SUM(ID5,IH5,IL5,IP5),"")</f>
        <v/>
      </c>
      <c r="JB5" s="12" t="str">
        <f>IF(SUM(IC5:ID5,IF5:IH5,IJ5)-SUM(IE5,II5)&gt;0,SUM(IC5:ID5,IF5:IH5,IJ5)-SUM(IE5,II5),"")</f>
        <v/>
      </c>
      <c r="JC5" s="12" t="str">
        <f>IF(SUM(IK5:IL5,IN5:IP5,IR5)-SUM(IM5,IQ5)&gt;0,SUM(IK5:IL5,IN5:IP5,IR5)-SUM(IM5,IQ5),"")</f>
        <v/>
      </c>
      <c r="JD5" s="12" t="str">
        <f>IF(SUM(IC5:ID5,IF5:IH5,IJ5:IL5,IN5:IP5,IR5)-SUM(IE5,II5,IM5,IQ5)&gt;0,SUM(IC5:ID5,IF5:IH5,IJ5:IL5,IN5:IP5,IR5)-SUM(IE5,II5,IM5,IQ5),"")</f>
        <v/>
      </c>
      <c r="JE5" s="12" t="str">
        <f>IF(SUM(IS5:IT5,IV5:IX5,IZ5)-SUM(IU5,IY5)&gt;0,SUM(IS5:IT5,IV5:IX5,IZ5)-SUM(IU5,IY5),"")</f>
        <v/>
      </c>
      <c r="JF5" s="12" t="str">
        <f>IF(SUM(JD5,JE5)&gt;0,SUM(JD5,JE5),"")</f>
        <v/>
      </c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JX5" s="50"/>
      <c r="JY5" s="50"/>
      <c r="JZ5" s="50"/>
      <c r="KA5" s="50"/>
      <c r="KB5" s="50"/>
      <c r="KC5" s="50"/>
      <c r="KD5" s="50"/>
      <c r="KE5" s="15" t="str">
        <f>IF(SUM(JH5,JL5,JP5,JT5)&gt;0,SUM(JH5,JL5,JP5,JT5),"")</f>
        <v/>
      </c>
      <c r="KF5" s="15" t="str">
        <f>IF(SUM(JG5:JH5,JJ5:JL5,JN5)-SUM(JI5,JM5)&gt;0,SUM(JG5:JH5,JJ5:JL5,JN5)-SUM(JI5,JM5),"")</f>
        <v/>
      </c>
      <c r="KG5" s="15" t="str">
        <f>IF(SUM(JO5:JP5,JR5:JT5,JV5)-SUM(JQ5,JU5)&gt;0,SUM(JO5:JP5,JR5:JT5,JV5)-SUM(JQ5,JU5),"")</f>
        <v/>
      </c>
      <c r="KH5" s="15" t="str">
        <f>IF(SUM(JG5:JH5,JJ5:JL5,JN5:JP5,JR5:JT5,JV5)-SUM(JI5,JM5,JQ5,JU5)&gt;0,SUM(JG5:JH5,JJ5:JL5,JN5:JP5,JR5:JT5,JV5)-SUM(JI5,JM5,JQ5,JU5),"")</f>
        <v/>
      </c>
      <c r="KI5" s="15" t="str">
        <f>IF(SUM(JW5:JX5,JZ5:KB5,KD5)-SUM(JY5,KC5)&gt;0,SUM(JW5:JX5,JZ5:KB5,KD5)-SUM(JY5,KC5),"")</f>
        <v/>
      </c>
      <c r="KJ5" s="15" t="str">
        <f>IF(SUM(KH5,KI5)&gt;0,SUM(KH5,KI5),"")</f>
        <v/>
      </c>
      <c r="KK5" s="51"/>
      <c r="KL5" s="51"/>
      <c r="KM5" s="51"/>
      <c r="KN5" s="51"/>
      <c r="KO5" s="51"/>
      <c r="KP5" s="51"/>
      <c r="KQ5" s="51"/>
      <c r="KR5" s="51"/>
      <c r="KS5" s="51"/>
      <c r="KT5" s="51"/>
      <c r="KU5" s="51"/>
      <c r="KV5" s="51"/>
      <c r="KW5" s="51"/>
      <c r="KX5" s="51"/>
      <c r="KY5" s="51"/>
      <c r="KZ5" s="51"/>
      <c r="LA5" s="51"/>
      <c r="LB5" s="51"/>
      <c r="LC5" s="51"/>
      <c r="LD5" s="51"/>
      <c r="LE5" s="51"/>
      <c r="LF5" s="51"/>
      <c r="LG5" s="51"/>
      <c r="LH5" s="51"/>
      <c r="LI5" s="12" t="str">
        <f>IF(SUM(KL5,KP5,KT5,KX5)&gt;0,SUM(KL5,KP5,KT5,KX5),"")</f>
        <v/>
      </c>
      <c r="LJ5" s="12" t="str">
        <f>IF(SUM(KK5:KL5,KN5:KP5,KR5)-SUM(KM5,KQ5)&gt;0,SUM(KK5:KL5,KN5:KP5,KR5)-SUM(KM5,KQ5),"")</f>
        <v/>
      </c>
      <c r="LK5" s="12" t="str">
        <f>IF(SUM(KS5:KT5,KV5:KX5,KZ5)-SUM(KU5,KY5)&gt;0,SUM(KS5:KT5,KV5:KX5,KZ5)-SUM(KU5,KY5),"")</f>
        <v/>
      </c>
      <c r="LL5" s="12" t="str">
        <f>IF(SUM(KK5:KL5,KN5:KP5,KR5:KT5,KV5:KX5,KZ5)-SUM(KM5,KQ5,KU5,KY5)&gt;0,SUM(KK5:KL5,KN5:KP5,KR5:KT5,KV5:KX5,KZ5)-SUM(KM5,KQ5,KU5,KY5),"")</f>
        <v/>
      </c>
      <c r="LM5" s="12" t="str">
        <f>IF(SUM(LA5:LB5,LD5:LF5,LH5)-SUM(LC5,LG5)&gt;0,SUM(LA5:LB5,LD5:LF5,LH5)-SUM(LC5,LG5),"")</f>
        <v/>
      </c>
      <c r="LN5" s="12" t="str">
        <f>IF(SUM(LL5,LM5)&gt;0,SUM(LL5,LM5),"")</f>
        <v/>
      </c>
      <c r="LO5" s="50"/>
      <c r="LP5" s="50"/>
      <c r="LQ5" s="50"/>
      <c r="LR5" s="50"/>
      <c r="LS5" s="50"/>
      <c r="LT5" s="50"/>
      <c r="LU5" s="50"/>
      <c r="LV5" s="50"/>
      <c r="LW5" s="50"/>
      <c r="LX5" s="50"/>
      <c r="LY5" s="50"/>
      <c r="LZ5" s="50"/>
      <c r="MA5" s="50"/>
      <c r="MB5" s="50"/>
      <c r="MC5" s="50"/>
      <c r="MD5" s="50"/>
      <c r="ME5" s="50"/>
      <c r="MF5" s="50"/>
      <c r="MG5" s="50"/>
      <c r="MH5" s="50"/>
      <c r="MI5" s="50"/>
      <c r="MJ5" s="50"/>
      <c r="MK5" s="50"/>
      <c r="ML5" s="50"/>
      <c r="MM5" s="15" t="str">
        <f>IF(SUM(LP5,LT5,LX5,MB5)&gt;0,SUM(LP5,LT5,LX5,MB5),"")</f>
        <v/>
      </c>
      <c r="MN5" s="15" t="str">
        <f>IF(SUM(LO5:LP5,LR5:LT5,LV5)-SUM(LQ5,LU5)&gt;0,SUM(LO5:LP5,LR5:LT5,LV5)-SUM(LQ5,LU5),"")</f>
        <v/>
      </c>
      <c r="MO5" s="15" t="str">
        <f>IF(SUM(LW5:LX5,LZ5:MB5,MD5)-SUM(LY5,MC5)&gt;0,SUM(LW5:LX5,LZ5:MB5,MD5)-SUM(LY5,MC5),"")</f>
        <v/>
      </c>
      <c r="MP5" s="15" t="str">
        <f>IF(SUM(LO5:LP5,LR5:LT5,LV5:LX5,LZ5:MB5,MD5)-SUM(LQ5,LU5,LY5,MC5)&gt;0,SUM(LO5:LP5,LR5:LT5,LV5:LX5,LZ5:MB5,MD5)-SUM(LQ5,LU5,LY5,MC5),"")</f>
        <v/>
      </c>
      <c r="MQ5" s="15" t="str">
        <f>IF(SUM(ME5:MF5,MH5:MJ5,ML5)-SUM(MG5,MK5)&gt;0,SUM(ME5:MF5,MH5:MJ5,ML5)-SUM(MG5,MK5),"")</f>
        <v/>
      </c>
      <c r="MR5" s="15" t="str">
        <f>IF(SUM(MP5,MQ5)&gt;0,SUM(MP5,MQ5),"")</f>
        <v/>
      </c>
      <c r="MS5" s="51"/>
      <c r="MT5" s="51"/>
      <c r="MU5" s="51"/>
      <c r="MV5" s="51"/>
      <c r="MW5" s="51"/>
      <c r="MX5" s="51"/>
      <c r="MY5" s="51"/>
      <c r="MZ5" s="51"/>
      <c r="NA5" s="51"/>
      <c r="NB5" s="51"/>
      <c r="NC5" s="51"/>
      <c r="ND5" s="51"/>
      <c r="NE5" s="51"/>
      <c r="NF5" s="51"/>
      <c r="NG5" s="51"/>
      <c r="NH5" s="51"/>
      <c r="NI5" s="51"/>
      <c r="NJ5" s="51"/>
      <c r="NK5" s="51"/>
      <c r="NL5" s="51"/>
      <c r="NM5" s="51"/>
      <c r="NN5" s="51"/>
      <c r="NO5" s="51"/>
      <c r="NP5" s="51"/>
      <c r="NQ5" s="12" t="str">
        <f>IF(SUM(MT5,MX5,NB5,NF5)&gt;0,SUM(MT5,MX5,NB5,NF5),"")</f>
        <v/>
      </c>
      <c r="NR5" s="12" t="str">
        <f>IF(SUM(MS5:MT5,MV5:MX5,MZ5)-SUM(MU5,MY5)&gt;0,SUM(MS5:MT5,MV5:MX5,MZ5)-SUM(MU5,MY5),"")</f>
        <v/>
      </c>
      <c r="NS5" s="12" t="str">
        <f>IF(SUM(NA5:NB5,ND5:NF5,NH5)-SUM(NC5,NG5)&gt;0,SUM(NA5:NB5,ND5:NF5,NH5)-SUM(NC5,NG5),"")</f>
        <v/>
      </c>
      <c r="NT5" s="12" t="str">
        <f>IF(SUM(MS5:MT5,MV5:MX5,MZ5:NB5,ND5:NF5,NH5)-SUM(MU5,MY5,NC5,NG5)&gt;0,SUM(MS5:MT5,MV5:MX5,MZ5:NB5,ND5:NF5,NH5)-SUM(MU5,MY5,NC5,NG5),"")</f>
        <v/>
      </c>
      <c r="NU5" s="12" t="str">
        <f>IF(SUM(NI5:NJ5,NL5:NN5,NP5)-SUM(NK5,NO5)&gt;0,SUM(NI5:NJ5,NL5:NN5,NP5)-SUM(NK5,NO5),"")</f>
        <v/>
      </c>
      <c r="NV5" s="12" t="str">
        <f>IF(SUM(NT5,NU5)&gt;0,SUM(NT5,NU5),"")</f>
        <v/>
      </c>
      <c r="NW5" s="50"/>
      <c r="NX5" s="50"/>
      <c r="NY5" s="50"/>
      <c r="NZ5" s="50"/>
      <c r="OA5" s="50"/>
      <c r="OB5" s="50"/>
      <c r="OC5" s="50"/>
      <c r="OD5" s="50"/>
      <c r="OE5" s="50"/>
      <c r="OF5" s="50"/>
      <c r="OG5" s="50"/>
      <c r="OH5" s="50"/>
      <c r="OI5" s="50"/>
      <c r="OJ5" s="50"/>
      <c r="OK5" s="50"/>
      <c r="OL5" s="50"/>
      <c r="OM5" s="50"/>
      <c r="ON5" s="50"/>
      <c r="OO5" s="50"/>
      <c r="OP5" s="50"/>
      <c r="OQ5" s="50"/>
      <c r="OR5" s="50"/>
      <c r="OS5" s="50"/>
      <c r="OT5" s="50"/>
      <c r="OU5" s="15" t="str">
        <f>IF(SUM(NX5,OB5,OF5,OJ5)&gt;0,SUM(NX5,OB5,OF5,OJ5),"")</f>
        <v/>
      </c>
      <c r="OV5" s="15" t="str">
        <f>IF(SUM(NW5:NX5,NZ5:OB5,OD5)-SUM(NY5,OC5)&gt;0,SUM(NW5:NX5,NZ5:OB5,OD5)-SUM(NY5,OC5),"")</f>
        <v/>
      </c>
      <c r="OW5" s="15" t="str">
        <f>IF(SUM(OE5:OF5,OH5:OJ5,OL5)-SUM(OG5,OK5)&gt;0,SUM(OE5:OF5,OH5:OJ5,OL5)-SUM(OG5,OK5),"")</f>
        <v/>
      </c>
      <c r="OX5" s="15" t="str">
        <f>IF(SUM(NW5:NX5,NZ5:OB5,OD5:OF5,OH5:OJ5,OL5)-SUM(NY5,OC5,OG5,OK5)&gt;0,SUM(NW5:NX5,NZ5:OB5,OD5:OF5,OH5:OJ5,OL5)-SUM(NY5,OC5,OG5,OK5),"")</f>
        <v/>
      </c>
      <c r="OY5" s="15" t="str">
        <f>IF(SUM(OM5:ON5,OP5:OR5,OT5)-SUM(OO5,OS5)&gt;0,SUM(OM5:ON5,OP5:OR5,OT5)-SUM(OO5,OS5),"")</f>
        <v/>
      </c>
      <c r="OZ5" s="15" t="str">
        <f>IF(SUM(OX5,OY5)&gt;0,SUM(OX5,OY5),"")</f>
        <v/>
      </c>
      <c r="PA5" s="51"/>
      <c r="PB5" s="51"/>
      <c r="PC5" s="51"/>
      <c r="PD5" s="51"/>
      <c r="PE5" s="51"/>
      <c r="PF5" s="51"/>
      <c r="PG5" s="51"/>
      <c r="PH5" s="51"/>
      <c r="PI5" s="51"/>
      <c r="PJ5" s="51"/>
      <c r="PK5" s="51"/>
      <c r="PL5" s="51"/>
      <c r="PM5" s="51"/>
      <c r="PN5" s="51"/>
      <c r="PO5" s="51"/>
      <c r="PP5" s="51"/>
      <c r="PQ5" s="51"/>
      <c r="PR5" s="51"/>
      <c r="PS5" s="51"/>
      <c r="PT5" s="51"/>
      <c r="PU5" s="51"/>
      <c r="PV5" s="51"/>
      <c r="PW5" s="51"/>
      <c r="PX5" s="51"/>
      <c r="PY5" s="12" t="str">
        <f>IF(SUM(PB5,PF5,PJ5,PN5)&gt;0,SUM(PB5,PF5,PJ5,PN5),"")</f>
        <v/>
      </c>
      <c r="PZ5" s="12" t="str">
        <f>IF(SUM(PA5:PB5,PD5:PF5,PH5)-SUM(PC5,PG5)&gt;0,SUM(PA5:PB5,PD5:PF5,PH5)-SUM(PC5,PG5),"")</f>
        <v/>
      </c>
      <c r="QA5" s="12" t="str">
        <f>IF(SUM(PI5:PJ5,PL5:PN5,PP5)-SUM(PK5,PO5)&gt;0,SUM(PI5:PJ5,PL5:PN5,PP5)-SUM(PK5,PO5),"")</f>
        <v/>
      </c>
      <c r="QB5" s="12" t="str">
        <f>IF(SUM(PA5:PB5,PD5:PF5,PH5:PJ5,PL5:PN5,PP5)-SUM(PC5,PG5,PK5,PO5)&gt;0,SUM(PA5:PB5,PD5:PF5,PH5:PJ5,PL5:PN5,PP5)-SUM(PC5,PG5,PK5,PO5),"")</f>
        <v/>
      </c>
      <c r="QC5" s="12" t="str">
        <f>IF(SUM(PQ5:PR5,PT5:PV5,PX5)-SUM(PS5,PW5)&gt;0,SUM(PQ5:PR5,PT5:PV5,PX5)-SUM(PS5,PW5),"")</f>
        <v/>
      </c>
      <c r="QD5" s="12" t="str">
        <f>IF(SUM(QB5,QC5)&gt;0,SUM(QB5,QC5),"")</f>
        <v/>
      </c>
      <c r="QE5" s="50"/>
      <c r="QF5" s="50"/>
      <c r="QG5" s="50"/>
      <c r="QH5" s="50"/>
      <c r="QI5" s="50"/>
      <c r="QJ5" s="50"/>
      <c r="QK5" s="50"/>
      <c r="QL5" s="50"/>
      <c r="QM5" s="50"/>
      <c r="QN5" s="50"/>
      <c r="QO5" s="50"/>
      <c r="QP5" s="50"/>
      <c r="QQ5" s="50"/>
      <c r="QR5" s="50"/>
      <c r="QS5" s="50"/>
      <c r="QT5" s="50"/>
      <c r="QU5" s="50"/>
      <c r="QV5" s="50"/>
      <c r="QW5" s="50"/>
      <c r="QX5" s="50"/>
      <c r="QY5" s="50"/>
      <c r="QZ5" s="50"/>
      <c r="RA5" s="50"/>
      <c r="RB5" s="50"/>
      <c r="RC5" s="15" t="str">
        <f>IF(SUM(QF5,QJ5,QN5,QR5)&gt;0,SUM(QF5,QJ5,QN5,QR5),"")</f>
        <v/>
      </c>
      <c r="RD5" s="15" t="str">
        <f>IF(SUM(QE5:QF5,QH5:QJ5,QL5)-SUM(QG5,QK5)&gt;0,SUM(QE5:QF5,QH5:QJ5,QL5)-SUM(QG5,QK5),"")</f>
        <v/>
      </c>
      <c r="RE5" s="15" t="str">
        <f>IF(SUM(QM5:QN5,QP5:QR5,QT5)-SUM(QO5,QS5)&gt;0,SUM(QM5:QN5,QP5:QR5,QT5)-SUM(QO5,QS5),"")</f>
        <v/>
      </c>
      <c r="RF5" s="15" t="str">
        <f>IF(SUM(QE5:QF5,QH5:QJ5,QL5:QN5,QP5:QR5,QT5)-SUM(QG5,QK5,QO5,QS5)&gt;0,SUM(QE5:QF5,QH5:QJ5,QL5:QN5,QP5:QR5,QT5)-SUM(QG5,QK5,QO5,QS5),"")</f>
        <v/>
      </c>
      <c r="RG5" s="15" t="str">
        <f>IF(SUM(QU5:QV5,QX5:QZ5,RB5)-SUM(QW5,RA5)&gt;0,SUM(QU5:QV5,QX5:QZ5,RB5)-SUM(QW5,RA5),"")</f>
        <v/>
      </c>
      <c r="RH5" s="15" t="str">
        <f>IF(SUM(RF5,RG5)&gt;0,SUM(RF5,RG5),"")</f>
        <v/>
      </c>
    </row>
    <row r="6" spans="1:476" s="41" customFormat="1" x14ac:dyDescent="0.2">
      <c r="AS6"/>
      <c r="BX6"/>
      <c r="DC6"/>
      <c r="GS6" s="41" t="str">
        <f>IF(SUM(FV6,FZ6,GD6,GH6)&gt;0,SUM(FV6,FZ6,GD6,GH6),"")</f>
        <v/>
      </c>
      <c r="GT6" s="41" t="str">
        <f>IF(SUM(FU6:FV6,FX6:FZ6,GB6)-SUM(FW6,GA6)&gt;0,SUM(FU6:FV6,FX6:FZ6,GB6)-SUM(FW6,GA6),"")</f>
        <v/>
      </c>
      <c r="GU6" s="41" t="str">
        <f>IF(SUM(GC6:GD6,GF6:GH6,GJ6)-SUM(GE6,GI6)&gt;0,SUM(GC6:GD6,GF6:GH6,GJ6)-SUM(GE6,GI6),"")</f>
        <v/>
      </c>
      <c r="GV6" s="41" t="str">
        <f>IF(SUM(FU6:FV6,FX6:FZ6,GB6:GD6,GF6:GH6,GJ6)-SUM(FW6,GA6,GE6,GI6)&gt;0,SUM(FU6:FV6,FX6:FZ6,GB6:GD6,GF6:GH6,GJ6)-SUM(FW6,GA6,GE6,GI6),"")</f>
        <v/>
      </c>
      <c r="GW6" s="41" t="str">
        <f>IF(SUM(GK6:GL6,GN6:GP6,GR6)-SUM(GM6,GQ6)&gt;0,SUM(GK6:GL6,GN6:GP6,GR6)-SUM(GM6,GQ6),"")</f>
        <v/>
      </c>
      <c r="GX6" s="41" t="str">
        <f>IF(SUM(GV6,GW6)&gt;0,SUM(GV6,GW6),"")</f>
        <v/>
      </c>
      <c r="GY6" s="42"/>
      <c r="GZ6" s="42"/>
      <c r="HA6" s="42"/>
      <c r="HB6" s="42"/>
      <c r="HC6" s="42"/>
      <c r="HD6" s="42"/>
      <c r="HE6" s="42"/>
      <c r="HF6" s="42"/>
      <c r="HG6" s="42"/>
      <c r="HH6" s="42"/>
      <c r="HI6" s="42"/>
      <c r="HJ6" s="42"/>
      <c r="HK6" s="42"/>
      <c r="HL6" s="42"/>
      <c r="HM6" s="42"/>
      <c r="HN6" s="42"/>
      <c r="HO6" s="42"/>
      <c r="HP6" s="42"/>
      <c r="HQ6" s="42"/>
      <c r="HR6" s="42"/>
      <c r="HS6" s="42"/>
      <c r="HT6" s="42"/>
      <c r="HU6" s="42"/>
      <c r="HV6" s="42"/>
      <c r="HW6" s="43" t="str">
        <f>IF(SUM(GZ6,HD6,HH6,HL6)&gt;0,SUM(GZ6,HD6,HH6,HL6),"")</f>
        <v/>
      </c>
      <c r="HX6" s="43" t="str">
        <f>IF(SUM(GY6:GZ6,HB6:HD6,HF6)-SUM(HA6,HE6)&gt;0,SUM(GY6:GZ6,HB6:HD6,HF6)-SUM(HA6,HE6),"")</f>
        <v/>
      </c>
      <c r="HY6" s="43" t="str">
        <f>IF(SUM(HG6:HH6,HJ6:HL6,HN6)-SUM(HI6,HM6)&gt;0,SUM(HG6:HH6,HJ6:HL6,HN6)-SUM(HI6,HM6),"")</f>
        <v/>
      </c>
      <c r="HZ6" s="43" t="str">
        <f>IF(SUM(GY6:GZ6,HB6:HD6,HF6:HH6,HJ6:HL6,HN6)-SUM(HA6,HE6,HI6,HM6)&gt;0,SUM(GY6:GZ6,HB6:HD6,HF6:HH6,HJ6:HL6,HN6)-SUM(HA6,HE6,HI6,HM6),"")</f>
        <v/>
      </c>
      <c r="IA6" s="43" t="str">
        <f>IF(SUM(HO6:HP6,HR6:HT6,HV6)-SUM(HQ6,HU6)&gt;0,SUM(HO6:HP6,HR6:HT6,HV6)-SUM(HQ6,HU6),"")</f>
        <v/>
      </c>
      <c r="IB6" s="43" t="str">
        <f>IF(SUM(HZ6,IA6)&gt;0,SUM(HZ6,IA6),"")</f>
        <v/>
      </c>
      <c r="IC6" s="44"/>
      <c r="ID6" s="44"/>
      <c r="IE6" s="44"/>
      <c r="IF6" s="44"/>
      <c r="IG6" s="44"/>
      <c r="IH6" s="44"/>
      <c r="II6" s="44"/>
      <c r="IJ6" s="44"/>
      <c r="IK6" s="44"/>
      <c r="IL6" s="44"/>
      <c r="IM6" s="44"/>
      <c r="IN6" s="44"/>
      <c r="IO6" s="44"/>
      <c r="IP6" s="44"/>
      <c r="IQ6" s="44"/>
      <c r="IR6" s="44"/>
      <c r="IS6" s="44"/>
      <c r="IT6" s="44"/>
      <c r="IU6" s="44"/>
      <c r="IV6" s="44"/>
      <c r="IW6" s="44"/>
      <c r="IX6" s="44"/>
      <c r="IY6" s="44"/>
      <c r="IZ6" s="44"/>
      <c r="JA6" s="43" t="str">
        <f>IF(SUM(ID6,IH6,IL6,IP6)&gt;0,SUM(ID6,IH6,IL6,IP6),"")</f>
        <v/>
      </c>
      <c r="JB6" s="43" t="str">
        <f>IF(SUM(IC6:ID6,IF6:IH6,IJ6)-SUM(IE6,II6)&gt;0,SUM(IC6:ID6,IF6:IH6,IJ6)-SUM(IE6,II6),"")</f>
        <v/>
      </c>
      <c r="JC6" s="43" t="str">
        <f>IF(SUM(IK6:IL6,IN6:IP6,IR6)-SUM(IM6,IQ6)&gt;0,SUM(IK6:IL6,IN6:IP6,IR6)-SUM(IM6,IQ6),"")</f>
        <v/>
      </c>
      <c r="JD6" s="43" t="str">
        <f>IF(SUM(IC6:ID6,IF6:IH6,IJ6:IL6,IN6:IP6,IR6)-SUM(IE6,II6,IM6,IQ6)&gt;0,SUM(IC6:ID6,IF6:IH6,IJ6:IL6,IN6:IP6,IR6)-SUM(IE6,II6,IM6,IQ6),"")</f>
        <v/>
      </c>
      <c r="JE6" s="43" t="str">
        <f>IF(SUM(IS6:IT6,IV6:IX6,IZ6)-SUM(IU6,IY6)&gt;0,SUM(IS6:IT6,IV6:IX6,IZ6)-SUM(IU6,IY6),"")</f>
        <v/>
      </c>
      <c r="JF6" s="43" t="str">
        <f>IF(SUM(JD6,JE6)&gt;0,SUM(JD6,JE6),"")</f>
        <v/>
      </c>
      <c r="JG6" s="42"/>
      <c r="JH6" s="42"/>
      <c r="JI6" s="42"/>
      <c r="JJ6" s="42"/>
      <c r="JK6" s="42"/>
      <c r="JL6" s="42"/>
      <c r="JM6" s="42"/>
      <c r="JN6" s="42"/>
      <c r="JO6" s="42"/>
      <c r="JP6" s="42"/>
      <c r="JQ6" s="42"/>
      <c r="JR6" s="42"/>
      <c r="JS6" s="42"/>
      <c r="JT6" s="42"/>
      <c r="JU6" s="42"/>
      <c r="JV6" s="42"/>
      <c r="JW6" s="42"/>
      <c r="JX6" s="42"/>
      <c r="JY6" s="42"/>
      <c r="JZ6" s="42"/>
      <c r="KA6" s="42"/>
      <c r="KB6" s="42"/>
      <c r="KC6" s="42"/>
      <c r="KD6" s="42"/>
      <c r="KE6" s="43" t="str">
        <f>IF(SUM(JH6,JL6,JP6,JT6)&gt;0,SUM(JH6,JL6,JP6,JT6),"")</f>
        <v/>
      </c>
      <c r="KF6" s="43" t="str">
        <f>IF(SUM(JG6:JH6,JJ6:JL6,JN6)-SUM(JI6,JM6)&gt;0,SUM(JG6:JH6,JJ6:JL6,JN6)-SUM(JI6,JM6),"")</f>
        <v/>
      </c>
      <c r="KG6" s="43" t="str">
        <f>IF(SUM(JO6:JP6,JR6:JT6,JV6)-SUM(JQ6,JU6)&gt;0,SUM(JO6:JP6,JR6:JT6,JV6)-SUM(JQ6,JU6),"")</f>
        <v/>
      </c>
      <c r="KH6" s="43" t="str">
        <f>IF(SUM(JG6:JH6,JJ6:JL6,JN6:JP6,JR6:JT6,JV6)-SUM(JI6,JM6,JQ6,JU6)&gt;0,SUM(JG6:JH6,JJ6:JL6,JN6:JP6,JR6:JT6,JV6)-SUM(JI6,JM6,JQ6,JU6),"")</f>
        <v/>
      </c>
      <c r="KI6" s="43" t="str">
        <f>IF(SUM(JW6:JX6,JZ6:KB6,KD6)-SUM(JY6,KC6)&gt;0,SUM(JW6:JX6,JZ6:KB6,KD6)-SUM(JY6,KC6),"")</f>
        <v/>
      </c>
      <c r="KJ6" s="43" t="str">
        <f>IF(SUM(KH6,KI6)&gt;0,SUM(KH6,KI6),"")</f>
        <v/>
      </c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44"/>
      <c r="KZ6" s="44"/>
      <c r="LA6" s="44"/>
      <c r="LB6" s="44"/>
      <c r="LC6" s="44"/>
      <c r="LD6" s="44"/>
      <c r="LE6" s="44"/>
      <c r="LF6" s="44"/>
      <c r="LG6" s="44"/>
      <c r="LH6" s="44"/>
      <c r="LI6" s="43" t="str">
        <f>IF(SUM(KL6,KP6,KT6,KX6)&gt;0,SUM(KL6,KP6,KT6,KX6),"")</f>
        <v/>
      </c>
      <c r="LJ6" s="43" t="str">
        <f>IF(SUM(KK6:KL6,KN6:KP6,KR6)-SUM(KM6,KQ6)&gt;0,SUM(KK6:KL6,KN6:KP6,KR6)-SUM(KM6,KQ6),"")</f>
        <v/>
      </c>
      <c r="LK6" s="43" t="str">
        <f>IF(SUM(KS6:KT6,KV6:KX6,KZ6)-SUM(KU6,KY6)&gt;0,SUM(KS6:KT6,KV6:KX6,KZ6)-SUM(KU6,KY6),"")</f>
        <v/>
      </c>
      <c r="LL6" s="43" t="str">
        <f>IF(SUM(KK6:KL6,KN6:KP6,KR6:KT6,KV6:KX6,KZ6)-SUM(KM6,KQ6,KU6,KY6)&gt;0,SUM(KK6:KL6,KN6:KP6,KR6:KT6,KV6:KX6,KZ6)-SUM(KM6,KQ6,KU6,KY6),"")</f>
        <v/>
      </c>
      <c r="LM6" s="43" t="str">
        <f>IF(SUM(LA6:LB6,LD6:LF6,LH6)-SUM(LC6,LG6)&gt;0,SUM(LA6:LB6,LD6:LF6,LH6)-SUM(LC6,LG6),"")</f>
        <v/>
      </c>
      <c r="LN6" s="43" t="str">
        <f>IF(SUM(LL6,LM6)&gt;0,SUM(LL6,LM6),"")</f>
        <v/>
      </c>
      <c r="LO6" s="42"/>
      <c r="LP6" s="42"/>
      <c r="LQ6" s="42"/>
      <c r="LR6" s="42"/>
      <c r="LS6" s="42"/>
      <c r="LT6" s="42"/>
      <c r="LU6" s="42"/>
      <c r="LV6" s="42"/>
      <c r="LW6" s="42"/>
      <c r="LX6" s="42"/>
      <c r="LY6" s="42"/>
      <c r="LZ6" s="42"/>
      <c r="MA6" s="42"/>
      <c r="MB6" s="42"/>
      <c r="MC6" s="42"/>
      <c r="MD6" s="42"/>
      <c r="ME6" s="42"/>
      <c r="MF6" s="42"/>
      <c r="MG6" s="42"/>
      <c r="MH6" s="42"/>
      <c r="MI6" s="42"/>
      <c r="MJ6" s="42"/>
      <c r="MK6" s="42"/>
      <c r="ML6" s="42"/>
      <c r="MM6" s="43" t="str">
        <f>IF(SUM(LP6,LT6,LX6,MB6)&gt;0,SUM(LP6,LT6,LX6,MB6),"")</f>
        <v/>
      </c>
      <c r="MN6" s="43" t="str">
        <f>IF(SUM(LO6:LP6,LR6:LT6,LV6)-SUM(LQ6,LU6)&gt;0,SUM(LO6:LP6,LR6:LT6,LV6)-SUM(LQ6,LU6),"")</f>
        <v/>
      </c>
      <c r="MO6" s="43" t="str">
        <f>IF(SUM(LW6:LX6,LZ6:MB6,MD6)-SUM(LY6,MC6)&gt;0,SUM(LW6:LX6,LZ6:MB6,MD6)-SUM(LY6,MC6),"")</f>
        <v/>
      </c>
      <c r="MP6" s="43" t="str">
        <f>IF(SUM(LO6:LP6,LR6:LT6,LV6:LX6,LZ6:MB6,MD6)-SUM(LQ6,LU6,LY6,MC6)&gt;0,SUM(LO6:LP6,LR6:LT6,LV6:LX6,LZ6:MB6,MD6)-SUM(LQ6,LU6,LY6,MC6),"")</f>
        <v/>
      </c>
      <c r="MQ6" s="43" t="str">
        <f>IF(SUM(ME6:MF6,MH6:MJ6,ML6)-SUM(MG6,MK6)&gt;0,SUM(ME6:MF6,MH6:MJ6,ML6)-SUM(MG6,MK6),"")</f>
        <v/>
      </c>
      <c r="MR6" s="43" t="str">
        <f>IF(SUM(MP6,MQ6)&gt;0,SUM(MP6,MQ6),"")</f>
        <v/>
      </c>
      <c r="MS6" s="44"/>
      <c r="MT6" s="44"/>
      <c r="MU6" s="44"/>
      <c r="MV6" s="44"/>
      <c r="MW6" s="44"/>
      <c r="MX6" s="44"/>
      <c r="MY6" s="44"/>
      <c r="MZ6" s="44"/>
      <c r="NA6" s="44"/>
      <c r="NB6" s="44"/>
      <c r="NC6" s="44"/>
      <c r="ND6" s="44"/>
      <c r="NE6" s="44"/>
      <c r="NF6" s="44"/>
      <c r="NG6" s="44"/>
      <c r="NH6" s="44"/>
      <c r="NI6" s="44"/>
      <c r="NJ6" s="44"/>
      <c r="NK6" s="44"/>
      <c r="NL6" s="44"/>
      <c r="NM6" s="44"/>
      <c r="NN6" s="44"/>
      <c r="NO6" s="44"/>
      <c r="NP6" s="44"/>
      <c r="NQ6" s="43" t="str">
        <f>IF(SUM(MT6,MX6,NB6,NF6)&gt;0,SUM(MT6,MX6,NB6,NF6),"")</f>
        <v/>
      </c>
      <c r="NR6" s="43" t="str">
        <f>IF(SUM(MS6:MT6,MV6:MX6,MZ6)-SUM(MU6,MY6)&gt;0,SUM(MS6:MT6,MV6:MX6,MZ6)-SUM(MU6,MY6),"")</f>
        <v/>
      </c>
      <c r="NS6" s="43" t="str">
        <f>IF(SUM(NA6:NB6,ND6:NF6,NH6)-SUM(NC6,NG6)&gt;0,SUM(NA6:NB6,ND6:NF6,NH6)-SUM(NC6,NG6),"")</f>
        <v/>
      </c>
      <c r="NT6" s="43" t="str">
        <f>IF(SUM(MS6:MT6,MV6:MX6,MZ6:NB6,ND6:NF6,NH6)-SUM(MU6,MY6,NC6,NG6)&gt;0,SUM(MS6:MT6,MV6:MX6,MZ6:NB6,ND6:NF6,NH6)-SUM(MU6,MY6,NC6,NG6),"")</f>
        <v/>
      </c>
      <c r="NU6" s="43" t="str">
        <f>IF(SUM(NI6:NJ6,NL6:NN6,NP6)-SUM(NK6,NO6)&gt;0,SUM(NI6:NJ6,NL6:NN6,NP6)-SUM(NK6,NO6),"")</f>
        <v/>
      </c>
      <c r="NV6" s="43" t="str">
        <f>IF(SUM(NT6,NU6)&gt;0,SUM(NT6,NU6),"")</f>
        <v/>
      </c>
      <c r="NW6" s="42"/>
      <c r="NX6" s="42"/>
      <c r="NY6" s="42"/>
      <c r="NZ6" s="42"/>
      <c r="OA6" s="42"/>
      <c r="OB6" s="42"/>
      <c r="OC6" s="42"/>
      <c r="OD6" s="42"/>
      <c r="OE6" s="42"/>
      <c r="OF6" s="42"/>
      <c r="OG6" s="42"/>
      <c r="OH6" s="42"/>
      <c r="OI6" s="42"/>
      <c r="OJ6" s="42"/>
      <c r="OK6" s="42"/>
      <c r="OL6" s="42"/>
      <c r="OM6" s="42"/>
      <c r="ON6" s="42"/>
      <c r="OO6" s="42"/>
      <c r="OP6" s="42"/>
      <c r="OQ6" s="42"/>
      <c r="OR6" s="42"/>
      <c r="OS6" s="42"/>
      <c r="OT6" s="42"/>
      <c r="OU6" s="43" t="str">
        <f>IF(SUM(NX6,OB6,OF6,OJ6)&gt;0,SUM(NX6,OB6,OF6,OJ6),"")</f>
        <v/>
      </c>
      <c r="OV6" s="43" t="str">
        <f>IF(SUM(NW6:NX6,NZ6:OB6,OD6)-SUM(NY6,OC6)&gt;0,SUM(NW6:NX6,NZ6:OB6,OD6)-SUM(NY6,OC6),"")</f>
        <v/>
      </c>
      <c r="OW6" s="43" t="str">
        <f>IF(SUM(OE6:OF6,OH6:OJ6,OL6)-SUM(OG6,OK6)&gt;0,SUM(OE6:OF6,OH6:OJ6,OL6)-SUM(OG6,OK6),"")</f>
        <v/>
      </c>
      <c r="OX6" s="43" t="str">
        <f>IF(SUM(NW6:NX6,NZ6:OB6,OD6:OF6,OH6:OJ6,OL6)-SUM(NY6,OC6,OG6,OK6)&gt;0,SUM(NW6:NX6,NZ6:OB6,OD6:OF6,OH6:OJ6,OL6)-SUM(NY6,OC6,OG6,OK6),"")</f>
        <v/>
      </c>
      <c r="OY6" s="43" t="str">
        <f>IF(SUM(OM6:ON6,OP6:OR6,OT6)-SUM(OO6,OS6)&gt;0,SUM(OM6:ON6,OP6:OR6,OT6)-SUM(OO6,OS6),"")</f>
        <v/>
      </c>
      <c r="OZ6" s="43" t="str">
        <f>IF(SUM(OX6,OY6)&gt;0,SUM(OX6,OY6),"")</f>
        <v/>
      </c>
      <c r="PA6" s="44"/>
      <c r="PB6" s="44"/>
      <c r="PC6" s="44"/>
      <c r="PD6" s="44"/>
      <c r="PE6" s="44"/>
      <c r="PF6" s="44"/>
      <c r="PG6" s="44"/>
      <c r="PH6" s="44"/>
      <c r="PI6" s="44"/>
      <c r="PJ6" s="44"/>
      <c r="PK6" s="44"/>
      <c r="PL6" s="44"/>
      <c r="PM6" s="44"/>
      <c r="PN6" s="44"/>
      <c r="PO6" s="44"/>
      <c r="PP6" s="44"/>
      <c r="PQ6" s="44"/>
      <c r="PR6" s="44"/>
      <c r="PS6" s="44"/>
      <c r="PT6" s="44"/>
      <c r="PU6" s="44"/>
      <c r="PV6" s="44"/>
      <c r="PW6" s="44"/>
      <c r="PX6" s="44"/>
      <c r="PY6" s="43" t="str">
        <f>IF(SUM(PB6,PF6,PJ6,PN6)&gt;0,SUM(PB6,PF6,PJ6,PN6),"")</f>
        <v/>
      </c>
      <c r="PZ6" s="43" t="str">
        <f>IF(SUM(PA6:PB6,PD6:PF6,PH6)-SUM(PC6,PG6)&gt;0,SUM(PA6:PB6,PD6:PF6,PH6)-SUM(PC6,PG6),"")</f>
        <v/>
      </c>
      <c r="QA6" s="43" t="str">
        <f>IF(SUM(PI6:PJ6,PL6:PN6,PP6)-SUM(PK6,PO6)&gt;0,SUM(PI6:PJ6,PL6:PN6,PP6)-SUM(PK6,PO6),"")</f>
        <v/>
      </c>
      <c r="QB6" s="43" t="str">
        <f>IF(SUM(PA6:PB6,PD6:PF6,PH6:PJ6,PL6:PN6,PP6)-SUM(PC6,PG6,PK6,PO6)&gt;0,SUM(PA6:PB6,PD6:PF6,PH6:PJ6,PL6:PN6,PP6)-SUM(PC6,PG6,PK6,PO6),"")</f>
        <v/>
      </c>
      <c r="QC6" s="43" t="str">
        <f>IF(SUM(PQ6:PR6,PT6:PV6,PX6)-SUM(PS6,PW6)&gt;0,SUM(PQ6:PR6,PT6:PV6,PX6)-SUM(PS6,PW6),"")</f>
        <v/>
      </c>
      <c r="QD6" s="43" t="str">
        <f>IF(SUM(QB6,QC6)&gt;0,SUM(QB6,QC6),"")</f>
        <v/>
      </c>
      <c r="QE6" s="42"/>
      <c r="QF6" s="42"/>
      <c r="QG6" s="42"/>
      <c r="QH6" s="42"/>
      <c r="QI6" s="42"/>
      <c r="QJ6" s="42"/>
      <c r="QK6" s="42"/>
      <c r="QL6" s="42"/>
      <c r="QM6" s="42"/>
      <c r="QN6" s="42"/>
      <c r="QO6" s="42"/>
      <c r="QP6" s="42"/>
      <c r="QQ6" s="42"/>
      <c r="QR6" s="42"/>
      <c r="QS6" s="42"/>
      <c r="QT6" s="42"/>
      <c r="QU6" s="42"/>
      <c r="QV6" s="42"/>
      <c r="QW6" s="42"/>
      <c r="QX6" s="42"/>
      <c r="QY6" s="42"/>
      <c r="QZ6" s="42"/>
      <c r="RA6" s="42"/>
      <c r="RB6" s="42"/>
      <c r="RC6" s="43" t="str">
        <f>IF(SUM(QF6,QJ6,QN6,QR6)&gt;0,SUM(QF6,QJ6,QN6,QR6),"")</f>
        <v/>
      </c>
      <c r="RD6" s="43" t="str">
        <f>IF(SUM(QE6:QF6,QH6:QJ6,QL6)-SUM(QG6,QK6)&gt;0,SUM(QE6:QF6,QH6:QJ6,QL6)-SUM(QG6,QK6),"")</f>
        <v/>
      </c>
      <c r="RE6" s="43" t="str">
        <f>IF(SUM(QM6:QN6,QP6:QR6,QT6)-SUM(QO6,QS6)&gt;0,SUM(QM6:QN6,QP6:QR6,QT6)-SUM(QO6,QS6),"")</f>
        <v/>
      </c>
      <c r="RF6" s="43" t="str">
        <f>IF(SUM(QE6:QF6,QH6:QJ6,QL6:QN6,QP6:QR6,QT6)-SUM(QG6,QK6,QO6,QS6)&gt;0,SUM(QE6:QF6,QH6:QJ6,QL6:QN6,QP6:QR6,QT6)-SUM(QG6,QK6,QO6,QS6),"")</f>
        <v/>
      </c>
      <c r="RG6" s="43" t="str">
        <f>IF(SUM(QU6:QV6,QX6:QZ6,RB6)-SUM(QW6,RA6)&gt;0,SUM(QU6:QV6,QX6:QZ6,RB6)-SUM(QW6,RA6),"")</f>
        <v/>
      </c>
      <c r="RH6" s="43" t="str">
        <f>IF(SUM(RF6,RG6)&gt;0,SUM(RF6,RG6),"")</f>
        <v/>
      </c>
    </row>
    <row r="8" spans="1:476" x14ac:dyDescent="0.2">
      <c r="B8" s="88" t="s">
        <v>63</v>
      </c>
      <c r="AT8" s="62"/>
      <c r="AU8" s="70">
        <v>19.2</v>
      </c>
      <c r="AW8" s="62"/>
      <c r="BY8" s="62"/>
      <c r="BZ8" s="70">
        <v>19.2</v>
      </c>
      <c r="CB8" s="62"/>
      <c r="DD8" s="62"/>
      <c r="DE8" s="70">
        <v>19.2</v>
      </c>
      <c r="DG8" s="62"/>
      <c r="EK8" s="62"/>
      <c r="EL8" s="70">
        <v>19.2</v>
      </c>
      <c r="EN8" s="62"/>
      <c r="FO8" s="62"/>
      <c r="FP8" s="70">
        <v>19.2</v>
      </c>
      <c r="FR8" s="62"/>
      <c r="GS8" s="62"/>
      <c r="GT8" s="70">
        <v>19.2</v>
      </c>
      <c r="GV8" s="62"/>
      <c r="HW8" s="62"/>
      <c r="HX8" s="70">
        <v>19.2</v>
      </c>
      <c r="HZ8" s="62"/>
      <c r="JA8" s="62"/>
      <c r="JB8" s="70">
        <v>19.2</v>
      </c>
      <c r="JD8" s="62"/>
      <c r="KE8" s="62"/>
      <c r="KF8" s="70">
        <v>19.2</v>
      </c>
      <c r="KH8" s="62"/>
      <c r="LI8" s="62"/>
      <c r="LJ8" s="70">
        <v>19.2</v>
      </c>
      <c r="LL8" s="62"/>
      <c r="MM8" s="62"/>
      <c r="MN8" s="70">
        <v>19.2</v>
      </c>
      <c r="MP8" s="62"/>
      <c r="NQ8" s="62"/>
      <c r="NR8" s="70">
        <v>19.2</v>
      </c>
      <c r="NT8" s="62"/>
      <c r="OU8" s="62"/>
      <c r="OV8" s="70">
        <v>19.2</v>
      </c>
      <c r="OX8" s="62"/>
      <c r="PY8" s="62"/>
      <c r="PZ8" s="70">
        <v>19.2</v>
      </c>
      <c r="QB8" s="62"/>
      <c r="RC8" s="62"/>
      <c r="RD8" s="70">
        <v>19.2</v>
      </c>
      <c r="RF8" s="62"/>
    </row>
    <row r="9" spans="1:476" ht="16" hidden="1" customHeight="1" x14ac:dyDescent="0.2">
      <c r="A9" s="62"/>
      <c r="B9" s="83" t="s">
        <v>62</v>
      </c>
      <c r="C9" s="61"/>
      <c r="AT9" s="62"/>
      <c r="AU9" s="71">
        <v>1000</v>
      </c>
      <c r="AW9" s="62"/>
      <c r="BY9" s="62"/>
      <c r="BZ9" s="71">
        <v>1000</v>
      </c>
      <c r="CB9" s="62"/>
      <c r="DD9" s="62"/>
      <c r="DE9" s="71">
        <v>1000</v>
      </c>
      <c r="DG9" s="62"/>
      <c r="EK9" s="62"/>
      <c r="EL9" s="71">
        <v>1000</v>
      </c>
      <c r="EN9" s="62"/>
      <c r="FO9" s="62"/>
      <c r="FP9" s="71">
        <v>1000</v>
      </c>
      <c r="FR9" s="62"/>
      <c r="GS9" s="62"/>
      <c r="GT9" s="71">
        <v>1000</v>
      </c>
      <c r="GV9" s="62"/>
      <c r="HW9" s="62"/>
      <c r="HX9" s="71">
        <v>1000</v>
      </c>
      <c r="HZ9" s="62"/>
      <c r="JA9" s="62"/>
      <c r="JB9" s="71">
        <v>1000</v>
      </c>
      <c r="JD9" s="62"/>
      <c r="KE9" s="62"/>
      <c r="KF9" s="71">
        <v>1000</v>
      </c>
      <c r="KH9" s="62"/>
      <c r="LI9" s="62"/>
      <c r="LJ9" s="71">
        <v>1000</v>
      </c>
      <c r="LL9" s="62"/>
      <c r="MM9" s="62"/>
      <c r="MN9" s="71">
        <v>1000</v>
      </c>
      <c r="MP9" s="62"/>
      <c r="NQ9" s="62"/>
      <c r="NR9" s="71">
        <v>1000</v>
      </c>
      <c r="NT9" s="62"/>
      <c r="OU9" s="62"/>
      <c r="OV9" s="71">
        <v>1000</v>
      </c>
      <c r="OX9" s="62"/>
      <c r="PY9" s="62"/>
      <c r="PZ9" s="71">
        <v>1000</v>
      </c>
      <c r="QB9" s="62"/>
      <c r="RC9" s="62"/>
      <c r="RD9" s="71">
        <v>1000</v>
      </c>
      <c r="RF9" s="62"/>
    </row>
    <row r="10" spans="1:476" x14ac:dyDescent="0.2">
      <c r="A10" s="62"/>
      <c r="B10" s="84" t="s">
        <v>60</v>
      </c>
      <c r="C10" s="61"/>
      <c r="AT10" s="62"/>
      <c r="AU10" s="72">
        <v>127.8</v>
      </c>
      <c r="AW10" s="62"/>
      <c r="BY10" s="62"/>
      <c r="BZ10" s="72">
        <v>127</v>
      </c>
      <c r="CB10" s="62"/>
      <c r="DD10" s="62"/>
      <c r="DE10" s="72">
        <v>127</v>
      </c>
      <c r="DG10" s="62"/>
      <c r="EK10" s="62"/>
      <c r="EL10" s="72">
        <v>127</v>
      </c>
      <c r="EN10" s="62"/>
      <c r="FO10" s="62"/>
      <c r="FP10" s="72">
        <v>127</v>
      </c>
      <c r="FR10" s="62"/>
      <c r="GS10" s="62"/>
      <c r="GT10" s="72">
        <v>127</v>
      </c>
      <c r="GV10" s="62"/>
      <c r="HW10" s="62"/>
      <c r="HX10" s="72">
        <v>127</v>
      </c>
      <c r="HZ10" s="62"/>
      <c r="JA10" s="62"/>
      <c r="JB10" s="72">
        <v>127</v>
      </c>
      <c r="JD10" s="62"/>
      <c r="KE10" s="62"/>
      <c r="KF10" s="72">
        <v>127</v>
      </c>
      <c r="KH10" s="62"/>
      <c r="LI10" s="62"/>
      <c r="LJ10" s="72">
        <v>127</v>
      </c>
      <c r="LL10" s="62"/>
      <c r="MM10" s="62"/>
      <c r="MN10" s="72">
        <v>127</v>
      </c>
      <c r="MP10" s="62"/>
      <c r="NQ10" s="62"/>
      <c r="NR10" s="72">
        <v>127</v>
      </c>
      <c r="NT10" s="62"/>
      <c r="OU10" s="62"/>
      <c r="OV10" s="72">
        <v>127</v>
      </c>
      <c r="OX10" s="62"/>
      <c r="PY10" s="62"/>
      <c r="PZ10" s="72">
        <v>127</v>
      </c>
      <c r="QB10" s="62"/>
      <c r="RC10" s="62"/>
      <c r="RD10" s="72">
        <v>127</v>
      </c>
      <c r="RF10" s="62"/>
    </row>
    <row r="11" spans="1:476" ht="16" hidden="1" customHeight="1" x14ac:dyDescent="0.2">
      <c r="A11" s="62"/>
      <c r="B11" s="85" t="s">
        <v>61</v>
      </c>
      <c r="C11" s="61"/>
      <c r="AT11" s="62"/>
      <c r="AU11" s="73">
        <v>1000</v>
      </c>
      <c r="AW11" s="62"/>
      <c r="BY11" s="62"/>
      <c r="BZ11" s="73">
        <v>1000</v>
      </c>
      <c r="CB11" s="62"/>
      <c r="DD11" s="62"/>
      <c r="DE11" s="73">
        <v>1000</v>
      </c>
      <c r="DG11" s="62"/>
      <c r="EK11" s="62"/>
      <c r="EL11" s="73">
        <v>1000</v>
      </c>
      <c r="EN11" s="62"/>
      <c r="FO11" s="62"/>
      <c r="FP11" s="73">
        <v>1000</v>
      </c>
      <c r="FR11" s="62"/>
      <c r="GS11" s="62"/>
      <c r="GT11" s="73">
        <v>1000</v>
      </c>
      <c r="GV11" s="62"/>
      <c r="HW11" s="62"/>
      <c r="HX11" s="73">
        <v>1000</v>
      </c>
      <c r="HZ11" s="62"/>
      <c r="JA11" s="62"/>
      <c r="JB11" s="73">
        <v>1000</v>
      </c>
      <c r="JD11" s="62"/>
      <c r="KE11" s="62"/>
      <c r="KF11" s="73">
        <v>1000</v>
      </c>
      <c r="KH11" s="62"/>
      <c r="LI11" s="62"/>
      <c r="LJ11" s="73">
        <v>1000</v>
      </c>
      <c r="LL11" s="62"/>
      <c r="MM11" s="62"/>
      <c r="MN11" s="73">
        <v>1000</v>
      </c>
      <c r="MP11" s="62"/>
      <c r="NQ11" s="62"/>
      <c r="NR11" s="73">
        <v>1000</v>
      </c>
      <c r="NT11" s="62"/>
      <c r="OU11" s="62"/>
      <c r="OV11" s="73">
        <v>1000</v>
      </c>
      <c r="OX11" s="62"/>
      <c r="PY11" s="62"/>
      <c r="PZ11" s="73">
        <v>1000</v>
      </c>
      <c r="QB11" s="62"/>
      <c r="RC11" s="62"/>
      <c r="RD11" s="73">
        <v>1000</v>
      </c>
      <c r="RF11" s="62"/>
    </row>
    <row r="12" spans="1:476" ht="16" hidden="1" customHeight="1" x14ac:dyDescent="0.2">
      <c r="A12" s="62"/>
      <c r="B12" s="86" t="s">
        <v>26</v>
      </c>
      <c r="C12" s="61"/>
      <c r="AT12" s="62"/>
      <c r="AU12" s="74">
        <v>1000</v>
      </c>
      <c r="AW12" s="62"/>
      <c r="BY12" s="62"/>
      <c r="BZ12" s="74">
        <v>1000</v>
      </c>
      <c r="CB12" s="62"/>
      <c r="DD12" s="62"/>
      <c r="DE12" s="74">
        <v>1000</v>
      </c>
      <c r="DG12" s="62"/>
      <c r="EK12" s="62"/>
      <c r="EL12" s="74">
        <v>1000</v>
      </c>
      <c r="EN12" s="62"/>
      <c r="FO12" s="62"/>
      <c r="FP12" s="74">
        <v>1000</v>
      </c>
      <c r="FR12" s="62"/>
      <c r="GS12" s="62"/>
      <c r="GT12" s="74">
        <v>1000</v>
      </c>
      <c r="GV12" s="62"/>
      <c r="HW12" s="62"/>
      <c r="HX12" s="74">
        <v>1000</v>
      </c>
      <c r="HZ12" s="62"/>
      <c r="JA12" s="62"/>
      <c r="JB12" s="74">
        <v>1000</v>
      </c>
      <c r="JD12" s="62"/>
      <c r="KE12" s="62"/>
      <c r="KF12" s="74">
        <v>1000</v>
      </c>
      <c r="KH12" s="62"/>
      <c r="LI12" s="62"/>
      <c r="LJ12" s="74">
        <v>1000</v>
      </c>
      <c r="LL12" s="62"/>
      <c r="MM12" s="62"/>
      <c r="MN12" s="74">
        <v>1000</v>
      </c>
      <c r="MP12" s="62"/>
      <c r="NQ12" s="62"/>
      <c r="NR12" s="74">
        <v>1000</v>
      </c>
      <c r="NT12" s="62"/>
      <c r="OU12" s="62"/>
      <c r="OV12" s="74">
        <v>1000</v>
      </c>
      <c r="OX12" s="62"/>
      <c r="PY12" s="62"/>
      <c r="PZ12" s="74">
        <v>1000</v>
      </c>
      <c r="QB12" s="62"/>
      <c r="RC12" s="62"/>
      <c r="RD12" s="74">
        <v>1000</v>
      </c>
      <c r="RF12" s="62"/>
    </row>
    <row r="13" spans="1:476" ht="16" hidden="1" customHeight="1" x14ac:dyDescent="0.2">
      <c r="A13" s="62"/>
      <c r="B13" s="87" t="s">
        <v>47</v>
      </c>
      <c r="C13" s="61"/>
      <c r="AT13" s="62"/>
      <c r="AU13" s="75">
        <v>1000</v>
      </c>
      <c r="AW13" s="62"/>
      <c r="BY13" s="62"/>
      <c r="BZ13" s="75">
        <v>1000</v>
      </c>
      <c r="CB13" s="62"/>
      <c r="DD13" s="62"/>
      <c r="DE13" s="75">
        <v>1000</v>
      </c>
      <c r="DG13" s="62"/>
      <c r="EK13" s="62"/>
      <c r="EL13" s="75">
        <v>1000</v>
      </c>
      <c r="EN13" s="62"/>
      <c r="FO13" s="62"/>
      <c r="FP13" s="75">
        <v>1000</v>
      </c>
      <c r="FR13" s="62"/>
      <c r="GS13" s="62"/>
      <c r="GT13" s="75">
        <v>1000</v>
      </c>
      <c r="GV13" s="62"/>
      <c r="HW13" s="62"/>
      <c r="HX13" s="75">
        <v>1000</v>
      </c>
      <c r="HZ13" s="62"/>
      <c r="JA13" s="62"/>
      <c r="JB13" s="75">
        <v>1000</v>
      </c>
      <c r="JD13" s="62"/>
      <c r="KE13" s="62"/>
      <c r="KF13" s="75">
        <v>1000</v>
      </c>
      <c r="KH13" s="62"/>
      <c r="LI13" s="62"/>
      <c r="LJ13" s="75">
        <v>1000</v>
      </c>
      <c r="LL13" s="62"/>
      <c r="MM13" s="62"/>
      <c r="MN13" s="75">
        <v>1000</v>
      </c>
      <c r="MP13" s="62"/>
      <c r="NQ13" s="62"/>
      <c r="NR13" s="75">
        <v>1000</v>
      </c>
      <c r="NT13" s="62"/>
      <c r="OU13" s="62"/>
      <c r="OV13" s="75">
        <v>1000</v>
      </c>
      <c r="OX13" s="62"/>
      <c r="PY13" s="62"/>
      <c r="PZ13" s="75">
        <v>1000</v>
      </c>
      <c r="QB13" s="62"/>
      <c r="RC13" s="62"/>
      <c r="RD13" s="75">
        <v>1000</v>
      </c>
      <c r="RF13" s="62"/>
    </row>
    <row r="14" spans="1:476" x14ac:dyDescent="0.2">
      <c r="A14" s="7"/>
      <c r="B14" s="111" t="s">
        <v>126</v>
      </c>
      <c r="C14" s="61"/>
      <c r="AT14" s="7"/>
      <c r="AU14" t="s">
        <v>115</v>
      </c>
      <c r="AW14" s="7"/>
      <c r="BY14" s="7"/>
      <c r="CB14" s="7"/>
      <c r="DD14" s="7"/>
      <c r="DG14" s="7"/>
      <c r="EK14" s="7"/>
      <c r="EN14" s="7"/>
      <c r="FO14" s="7"/>
      <c r="FR14" s="7"/>
      <c r="GS14" s="7"/>
      <c r="GV14" s="7"/>
      <c r="HW14" s="7"/>
      <c r="HZ14" s="7"/>
      <c r="JA14" s="7"/>
      <c r="JD14" s="7"/>
      <c r="KE14" s="7"/>
      <c r="KH14" s="7"/>
      <c r="LI14" s="7"/>
      <c r="LL14" s="7"/>
      <c r="MM14" s="7"/>
      <c r="MP14" s="7"/>
      <c r="NQ14" s="7"/>
      <c r="NT14" s="7"/>
      <c r="OU14" s="7"/>
      <c r="OX14" s="7"/>
      <c r="PY14" s="7"/>
      <c r="QB14" s="7"/>
      <c r="RC14" s="7"/>
      <c r="RF14" s="7"/>
    </row>
    <row r="15" spans="1:476" x14ac:dyDescent="0.2">
      <c r="A15" s="62"/>
      <c r="B15" s="62"/>
      <c r="C15" s="61"/>
      <c r="KE15" s="7"/>
      <c r="KH15" s="7"/>
      <c r="PY15" s="7"/>
      <c r="QB15" s="7"/>
    </row>
    <row r="16" spans="1:476" x14ac:dyDescent="0.2">
      <c r="A16" s="62"/>
      <c r="B16" s="62"/>
      <c r="C16" s="61"/>
    </row>
    <row r="17" spans="1:114" x14ac:dyDescent="0.2">
      <c r="A17" s="62"/>
      <c r="B17" s="62"/>
      <c r="C17" s="61"/>
    </row>
    <row r="20" spans="1:114" x14ac:dyDescent="0.2">
      <c r="DJ20" s="3"/>
    </row>
  </sheetData>
  <sheetProtection sheet="1" formatCells="0" formatColumns="0" formatRows="0"/>
  <autoFilter ref="A1:RH6" xr:uid="{00000000-0009-0000-0000-000008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sortState ref="A4:RH6">
      <sortCondition descending="1" ref="F1:F14"/>
    </sortState>
  </autoFilter>
  <mergeCells count="126">
    <mergeCell ref="EQ2:ET2"/>
    <mergeCell ref="DM1:EP1"/>
    <mergeCell ref="DM2:DP2"/>
    <mergeCell ref="DQ2:DT2"/>
    <mergeCell ref="DU2:DX2"/>
    <mergeCell ref="DY2:EB2"/>
    <mergeCell ref="EC2:EF2"/>
    <mergeCell ref="EG2:EJ2"/>
    <mergeCell ref="CU2:CX2"/>
    <mergeCell ref="CY2:DB2"/>
    <mergeCell ref="FK2:FN2"/>
    <mergeCell ref="FU2:FX2"/>
    <mergeCell ref="FY2:GB2"/>
    <mergeCell ref="GC2:GF2"/>
    <mergeCell ref="GG2:GJ2"/>
    <mergeCell ref="GK2:GN2"/>
    <mergeCell ref="GO2:GR2"/>
    <mergeCell ref="EY2:FB2"/>
    <mergeCell ref="EU2:EX2"/>
    <mergeCell ref="FC2:FF2"/>
    <mergeCell ref="FG2:FJ2"/>
    <mergeCell ref="AO2:AR2"/>
    <mergeCell ref="AZ1:CD1"/>
    <mergeCell ref="AZ2:BC2"/>
    <mergeCell ref="BD2:BG2"/>
    <mergeCell ref="BH2:BK2"/>
    <mergeCell ref="U2:X2"/>
    <mergeCell ref="BP2:BS2"/>
    <mergeCell ref="BT2:BW2"/>
    <mergeCell ref="D1:D3"/>
    <mergeCell ref="AG2:AJ2"/>
    <mergeCell ref="A1:A3"/>
    <mergeCell ref="B1:B3"/>
    <mergeCell ref="C1:C3"/>
    <mergeCell ref="E1:E3"/>
    <mergeCell ref="G1:G3"/>
    <mergeCell ref="U1:AY1"/>
    <mergeCell ref="DJ1:DL1"/>
    <mergeCell ref="CE1:DI1"/>
    <mergeCell ref="I1:I3"/>
    <mergeCell ref="J1:J3"/>
    <mergeCell ref="L1:L3"/>
    <mergeCell ref="N1:N3"/>
    <mergeCell ref="P1:P3"/>
    <mergeCell ref="R1:R3"/>
    <mergeCell ref="Y2:AB2"/>
    <mergeCell ref="AC2:AF2"/>
    <mergeCell ref="BL2:BO2"/>
    <mergeCell ref="CE2:CH2"/>
    <mergeCell ref="CI2:CL2"/>
    <mergeCell ref="S1:S3"/>
    <mergeCell ref="T1:T3"/>
    <mergeCell ref="K1:K3"/>
    <mergeCell ref="O1:O3"/>
    <mergeCell ref="Q1:Q3"/>
    <mergeCell ref="ME2:MH2"/>
    <mergeCell ref="NW1:OZ1"/>
    <mergeCell ref="PA1:QD1"/>
    <mergeCell ref="QE1:RH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JG2:JJ2"/>
    <mergeCell ref="IC1:JF1"/>
    <mergeCell ref="JG1:KJ1"/>
    <mergeCell ref="KK1:LN1"/>
    <mergeCell ref="LO1:MR1"/>
    <mergeCell ref="MS1:NV1"/>
    <mergeCell ref="KK2:KN2"/>
    <mergeCell ref="GY1:IB1"/>
    <mergeCell ref="LE2:LH2"/>
    <mergeCell ref="LO2:LR2"/>
    <mergeCell ref="LS2:LV2"/>
    <mergeCell ref="LW2:LZ2"/>
    <mergeCell ref="MA2:MD2"/>
    <mergeCell ref="KS2:KV2"/>
    <mergeCell ref="KW2:KZ2"/>
    <mergeCell ref="LA2:LD2"/>
    <mergeCell ref="JK2:JN2"/>
    <mergeCell ref="JO2:JR2"/>
    <mergeCell ref="JS2:JV2"/>
    <mergeCell ref="JW2:JZ2"/>
    <mergeCell ref="KA2:KD2"/>
    <mergeCell ref="KO2:KR2"/>
    <mergeCell ref="NE2:NH2"/>
    <mergeCell ref="NI2:NL2"/>
    <mergeCell ref="NM2:NP2"/>
    <mergeCell ref="NW2:NZ2"/>
    <mergeCell ref="OA2:OD2"/>
    <mergeCell ref="MI2:ML2"/>
    <mergeCell ref="MS2:MV2"/>
    <mergeCell ref="MW2:MZ2"/>
    <mergeCell ref="NA2:ND2"/>
    <mergeCell ref="FU1:GX1"/>
    <mergeCell ref="EQ1:FT1"/>
    <mergeCell ref="F1:F3"/>
    <mergeCell ref="CM2:CP2"/>
    <mergeCell ref="CQ2:CT2"/>
    <mergeCell ref="M1:M3"/>
    <mergeCell ref="H1:H3"/>
    <mergeCell ref="AK2:AN2"/>
    <mergeCell ref="QY2:RB2"/>
    <mergeCell ref="QE2:QH2"/>
    <mergeCell ref="QI2:QL2"/>
    <mergeCell ref="QM2:QP2"/>
    <mergeCell ref="QQ2:QT2"/>
    <mergeCell ref="QU2:QX2"/>
    <mergeCell ref="PE2:PH2"/>
    <mergeCell ref="PI2:PL2"/>
    <mergeCell ref="PM2:PP2"/>
    <mergeCell ref="PQ2:PT2"/>
    <mergeCell ref="PU2:PX2"/>
    <mergeCell ref="OE2:OH2"/>
    <mergeCell ref="OI2:OL2"/>
    <mergeCell ref="OM2:OP2"/>
    <mergeCell ref="OQ2:OT2"/>
    <mergeCell ref="PA2:PD2"/>
  </mergeCells>
  <conditionalFormatting sqref="A1:A1048576">
    <cfRule type="expression" dxfId="26" priority="482">
      <formula>AND(H1="P",F1="")</formula>
    </cfRule>
  </conditionalFormatting>
  <conditionalFormatting sqref="I1:I3 I6:I1048576">
    <cfRule type="containsText" dxfId="25" priority="115" operator="containsText" text="Merit">
      <formula>NOT(ISERROR(SEARCH("Merit",I1)))</formula>
    </cfRule>
    <cfRule type="containsText" dxfId="24" priority="116" operator="containsText" text="Funding">
      <formula>NOT(ISERROR(SEARCH("Funding",I1)))</formula>
    </cfRule>
    <cfRule type="containsText" dxfId="23" priority="117" operator="containsText" text="Worlds Team">
      <formula>NOT(ISERROR(SEARCH("Worlds Team",I1)))</formula>
    </cfRule>
    <cfRule type="containsText" dxfId="22" priority="118" operator="containsText" text="National Team">
      <formula>NOT(ISERROR(SEARCH("National Team",I1)))</formula>
    </cfRule>
  </conditionalFormatting>
  <conditionalFormatting sqref="I4:I5">
    <cfRule type="containsText" dxfId="21" priority="10" operator="containsText" text="Merit">
      <formula>NOT(ISERROR(SEARCH("Merit",I4)))</formula>
    </cfRule>
    <cfRule type="containsText" dxfId="20" priority="11" operator="containsText" text="Funding">
      <formula>NOT(ISERROR(SEARCH("Funding",I4)))</formula>
    </cfRule>
    <cfRule type="containsText" dxfId="19" priority="12" operator="containsText" text="Worlds Team">
      <formula>NOT(ISERROR(SEARCH("Worlds Team",I4)))</formula>
    </cfRule>
    <cfRule type="containsText" dxfId="18" priority="13" operator="containsText" text="National Team">
      <formula>NOT(ISERROR(SEARCH("National Team",I4)))</formula>
    </cfRule>
  </conditionalFormatting>
  <conditionalFormatting sqref="U4:AY5">
    <cfRule type="expression" dxfId="17" priority="9">
      <formula>IF($AS4&lt;&gt;"",1,0)</formula>
    </cfRule>
  </conditionalFormatting>
  <conditionalFormatting sqref="AZ4:CD5">
    <cfRule type="expression" dxfId="16" priority="8">
      <formula>IF($BX4&lt;&gt;"",1,0)</formula>
    </cfRule>
  </conditionalFormatting>
  <conditionalFormatting sqref="CE4:DI5">
    <cfRule type="expression" dxfId="15" priority="7">
      <formula>IF($DC4&lt;&gt;"",1,0)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14" priority="2246" operator="between">
      <formula>EL$9</formula>
      <formula>100</formula>
    </cfRule>
    <cfRule type="cellIs" dxfId="13" priority="2247" operator="between">
      <formula>EL$8</formula>
      <formula>EL$9</formula>
    </cfRule>
  </conditionalFormatting>
  <conditionalFormatting sqref="RF1:RF1048576 QB1:QB1048576 OX1:OX1048576 NT1:NT1048576 MP1:MP1048576 LL1:LL1048576 KH1:KH1048576 JD1:JD1048576 HZ1:HZ1048576 GV1:GV1048576 FR1:FR1048576 EN1:EN1048576">
    <cfRule type="cellIs" dxfId="12" priority="2233" operator="between">
      <formula>EL$13</formula>
      <formula>1000</formula>
    </cfRule>
    <cfRule type="cellIs" dxfId="11" priority="2234" operator="between">
      <formula>EL$12</formula>
      <formula>EL$13</formula>
    </cfRule>
    <cfRule type="cellIs" dxfId="10" priority="2235" operator="between">
      <formula>EL$11</formula>
      <formula>EL$12</formula>
    </cfRule>
    <cfRule type="cellIs" dxfId="9" priority="2236" operator="between">
      <formula>EL$10</formula>
      <formula>EL$11</formula>
    </cfRule>
  </conditionalFormatting>
  <conditionalFormatting sqref="AT1:AT1048576 BY1:BY1048576 DD1:DD1048576">
    <cfRule type="expression" dxfId="8" priority="5">
      <formula>IF(AND(AT1&gt;=AU$9,AT1&lt;1000,AS1=""),1,0)</formula>
    </cfRule>
    <cfRule type="expression" dxfId="7" priority="6">
      <formula>IF(AND(AT1&gt;=AU$8,AT1&lt;AU$9,AS1=""),1,0)</formula>
    </cfRule>
  </conditionalFormatting>
  <conditionalFormatting sqref="AW1:AW1048576 CB1:CB1048576 DG1:DG1048576">
    <cfRule type="expression" dxfId="6" priority="1">
      <formula>IF(AND(AW1&gt;=AU$13,AW1&lt;1000,AS1=""),1,0)</formula>
    </cfRule>
    <cfRule type="expression" dxfId="5" priority="2">
      <formula>IF(AND(AW1&gt;=AU$12,AW1&lt;AU$13,AS1=""),1,0)</formula>
    </cfRule>
    <cfRule type="expression" dxfId="4" priority="3">
      <formula>IF(AND(AW1&gt;=AU$11,AW1&lt;AU$12,AS1=""),1,0)</formula>
    </cfRule>
    <cfRule type="expression" dxfId="3" priority="4">
      <formula>IF(AND(AW1&gt;=AU$10,AW1&lt;AU$11,AS1=""),1,0)</formula>
    </cfRule>
  </conditionalFormatting>
  <conditionalFormatting sqref="K1:K1048576 M1:M1048576 O1:O1048576 Q1:Q1048576">
    <cfRule type="expression" dxfId="2" priority="2302">
      <formula>IF(K1=$CE$1,1,0)</formula>
    </cfRule>
    <cfRule type="expression" dxfId="1" priority="2303">
      <formula>IF(K1=$AZ$1,1,0)</formula>
    </cfRule>
    <cfRule type="expression" dxfId="0" priority="2304">
      <formula>IF(K1=$U$1,1,0)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2018-11-19T23:53:52Z</dcterms:modified>
</cp:coreProperties>
</file>