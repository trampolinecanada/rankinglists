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CC24966-D7ED-C647-9216-5FAE36AFBBFD}" xr6:coauthVersionLast="47" xr6:coauthVersionMax="47" xr10:uidLastSave="{00000000-0000-0000-0000-000000000000}"/>
  <bookViews>
    <workbookView xWindow="-38400" yWindow="-9340" windowWidth="38400" windowHeight="210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'DMT-M'!$A$1:$PC$3</definedName>
    <definedName name="_xlnm._FilterDatabase" localSheetId="6" hidden="1">'DMT-W'!$A$1:$PC$3</definedName>
    <definedName name="_xlnm._FilterDatabase" localSheetId="1" hidden="1">'TRA-M'!$A$1:$NM$3</definedName>
    <definedName name="_xlnm._FilterDatabase" localSheetId="2" hidden="1">'TRA-W'!$A$1:$NM$3</definedName>
    <definedName name="_xlnm._FilterDatabase" localSheetId="3" hidden="1">'TUM-M'!$A$1:$PC$4</definedName>
    <definedName name="_xlnm._FilterDatabase" localSheetId="4" hidden="1">'TUM-W'!$A$1:$PC$3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H7" i="17" l="1"/>
  <c r="BG7" i="17"/>
  <c r="BF7" i="17"/>
  <c r="BI7" i="17" s="1"/>
  <c r="BE7" i="17"/>
  <c r="BH4" i="17"/>
  <c r="BG4" i="17"/>
  <c r="BF4" i="17"/>
  <c r="BE4" i="17"/>
  <c r="BH6" i="17"/>
  <c r="BG6" i="17"/>
  <c r="BF6" i="17"/>
  <c r="BE6" i="17"/>
  <c r="BH5" i="17"/>
  <c r="BG5" i="17"/>
  <c r="BF5" i="17"/>
  <c r="BE5" i="17"/>
  <c r="AL7" i="17"/>
  <c r="AK7" i="17"/>
  <c r="AJ7" i="17"/>
  <c r="AI7" i="17"/>
  <c r="AL4" i="17"/>
  <c r="AK4" i="17"/>
  <c r="AJ4" i="17"/>
  <c r="AI4" i="17"/>
  <c r="AL6" i="17"/>
  <c r="AK6" i="17"/>
  <c r="AJ6" i="17"/>
  <c r="AI6" i="17"/>
  <c r="AL5" i="17"/>
  <c r="AK5" i="17"/>
  <c r="AJ5" i="17"/>
  <c r="AI5" i="17"/>
  <c r="BH9" i="16"/>
  <c r="BG9" i="16"/>
  <c r="BF9" i="16"/>
  <c r="BE9" i="16"/>
  <c r="BH8" i="16"/>
  <c r="BG8" i="16"/>
  <c r="BF8" i="16"/>
  <c r="BE8" i="16"/>
  <c r="BH7" i="16"/>
  <c r="BG7" i="16"/>
  <c r="BF7" i="16"/>
  <c r="BI7" i="16" s="1"/>
  <c r="BE7" i="16"/>
  <c r="BH6" i="16"/>
  <c r="BG6" i="16"/>
  <c r="BF6" i="16"/>
  <c r="BE6" i="16"/>
  <c r="BH5" i="16"/>
  <c r="BG5" i="16"/>
  <c r="BF5" i="16"/>
  <c r="BE5" i="16"/>
  <c r="BH4" i="16"/>
  <c r="BG4" i="16"/>
  <c r="BF4" i="16"/>
  <c r="BE4" i="16"/>
  <c r="AL9" i="16"/>
  <c r="AK9" i="16"/>
  <c r="AJ9" i="16"/>
  <c r="AI9" i="16"/>
  <c r="AL8" i="16"/>
  <c r="AK8" i="16"/>
  <c r="AJ8" i="16"/>
  <c r="AI8" i="16"/>
  <c r="AL7" i="16"/>
  <c r="AK7" i="16"/>
  <c r="AJ7" i="16"/>
  <c r="AI7" i="16"/>
  <c r="AL6" i="16"/>
  <c r="AK6" i="16"/>
  <c r="AJ6" i="16"/>
  <c r="AI6" i="16"/>
  <c r="AL5" i="16"/>
  <c r="AK5" i="16"/>
  <c r="AJ5" i="16"/>
  <c r="AI5" i="16"/>
  <c r="AL4" i="16"/>
  <c r="AK4" i="16"/>
  <c r="AJ4" i="16"/>
  <c r="AI4" i="16"/>
  <c r="BH5" i="15"/>
  <c r="BG5" i="15"/>
  <c r="BF5" i="15"/>
  <c r="BE5" i="15"/>
  <c r="BH4" i="15"/>
  <c r="BG4" i="15"/>
  <c r="BF4" i="15"/>
  <c r="BE4" i="15"/>
  <c r="AL5" i="15"/>
  <c r="AK5" i="15"/>
  <c r="AJ5" i="15"/>
  <c r="AI5" i="15"/>
  <c r="AL4" i="15"/>
  <c r="AK4" i="15"/>
  <c r="AJ4" i="15"/>
  <c r="AI4" i="15"/>
  <c r="BH4" i="14"/>
  <c r="BG4" i="14"/>
  <c r="BF4" i="14"/>
  <c r="BE4" i="14"/>
  <c r="BH5" i="14"/>
  <c r="BG5" i="14"/>
  <c r="BF5" i="14"/>
  <c r="BE5" i="14"/>
  <c r="AL4" i="14"/>
  <c r="AK4" i="14"/>
  <c r="AJ4" i="14"/>
  <c r="AM4" i="14" s="1"/>
  <c r="AI4" i="14"/>
  <c r="AL5" i="14"/>
  <c r="AK5" i="14"/>
  <c r="AJ5" i="14"/>
  <c r="AI5" i="14"/>
  <c r="BL5" i="13"/>
  <c r="BK5" i="13"/>
  <c r="BI5" i="13"/>
  <c r="BH5" i="13"/>
  <c r="BG5" i="13"/>
  <c r="BL4" i="13"/>
  <c r="BK4" i="13"/>
  <c r="BI4" i="13"/>
  <c r="BH4" i="13"/>
  <c r="BG4" i="13"/>
  <c r="AO5" i="13"/>
  <c r="AN5" i="13"/>
  <c r="AL5" i="13"/>
  <c r="AK5" i="13"/>
  <c r="AJ5" i="13"/>
  <c r="AO4" i="13"/>
  <c r="AN4" i="13"/>
  <c r="AL4" i="13"/>
  <c r="AK4" i="13"/>
  <c r="AJ4" i="13"/>
  <c r="BL4" i="4"/>
  <c r="BK4" i="4"/>
  <c r="BI4" i="4"/>
  <c r="BH4" i="4"/>
  <c r="BG4" i="4"/>
  <c r="BL8" i="4"/>
  <c r="BK8" i="4"/>
  <c r="BI8" i="4"/>
  <c r="BH8" i="4"/>
  <c r="BG8" i="4"/>
  <c r="BL6" i="4"/>
  <c r="BK6" i="4"/>
  <c r="BI6" i="4"/>
  <c r="BH6" i="4"/>
  <c r="BG6" i="4"/>
  <c r="BL9" i="4"/>
  <c r="BK9" i="4"/>
  <c r="BI9" i="4"/>
  <c r="BH9" i="4"/>
  <c r="BG9" i="4"/>
  <c r="BL7" i="4"/>
  <c r="BK7" i="4"/>
  <c r="BI7" i="4"/>
  <c r="BH7" i="4"/>
  <c r="BG7" i="4"/>
  <c r="BL5" i="4"/>
  <c r="BK5" i="4"/>
  <c r="BI5" i="4"/>
  <c r="BH5" i="4"/>
  <c r="BG5" i="4"/>
  <c r="AO4" i="4"/>
  <c r="AN4" i="4"/>
  <c r="AL4" i="4"/>
  <c r="AK4" i="4"/>
  <c r="AJ4" i="4"/>
  <c r="AO8" i="4"/>
  <c r="AN8" i="4"/>
  <c r="AL8" i="4"/>
  <c r="AK8" i="4"/>
  <c r="AJ8" i="4"/>
  <c r="AO6" i="4"/>
  <c r="AN6" i="4"/>
  <c r="AL6" i="4"/>
  <c r="AK6" i="4"/>
  <c r="AJ6" i="4"/>
  <c r="AO9" i="4"/>
  <c r="AN9" i="4"/>
  <c r="AL9" i="4"/>
  <c r="AK9" i="4"/>
  <c r="AJ9" i="4"/>
  <c r="AO7" i="4"/>
  <c r="AN7" i="4"/>
  <c r="AL7" i="4"/>
  <c r="AK7" i="4"/>
  <c r="AJ7" i="4"/>
  <c r="AO5" i="4"/>
  <c r="AN5" i="4"/>
  <c r="AL5" i="4"/>
  <c r="AK5" i="4"/>
  <c r="AJ5" i="4"/>
  <c r="CA9" i="16"/>
  <c r="CB9" i="16"/>
  <c r="CC9" i="16"/>
  <c r="CD9" i="16"/>
  <c r="DB9" i="16"/>
  <c r="DC9" i="16"/>
  <c r="DD9" i="16"/>
  <c r="DE9" i="16"/>
  <c r="DF9" i="16"/>
  <c r="EB9" i="16"/>
  <c r="EC9" i="16"/>
  <c r="ED9" i="16"/>
  <c r="EE9" i="16"/>
  <c r="EF9" i="16"/>
  <c r="FB9" i="16"/>
  <c r="FC9" i="16"/>
  <c r="FD9" i="16"/>
  <c r="FE9" i="16"/>
  <c r="FF9" i="16"/>
  <c r="GB9" i="16"/>
  <c r="GC9" i="16"/>
  <c r="GD9" i="16"/>
  <c r="GE9" i="16"/>
  <c r="GF9" i="16"/>
  <c r="HB9" i="16"/>
  <c r="HC9" i="16"/>
  <c r="HD9" i="16"/>
  <c r="HE9" i="16"/>
  <c r="HF9" i="16"/>
  <c r="IB9" i="16"/>
  <c r="IC9" i="16"/>
  <c r="ID9" i="16"/>
  <c r="IE9" i="16"/>
  <c r="IF9" i="16"/>
  <c r="JB9" i="16"/>
  <c r="JC9" i="16"/>
  <c r="JD9" i="16"/>
  <c r="JE9" i="16"/>
  <c r="JF9" i="16"/>
  <c r="KB9" i="16"/>
  <c r="KC9" i="16"/>
  <c r="KD9" i="16"/>
  <c r="KE9" i="16"/>
  <c r="KF9" i="16"/>
  <c r="LB9" i="16"/>
  <c r="LC9" i="16"/>
  <c r="LD9" i="16"/>
  <c r="LE9" i="16"/>
  <c r="LF9" i="16"/>
  <c r="MB9" i="16"/>
  <c r="MC9" i="16"/>
  <c r="MD9" i="16"/>
  <c r="ME9" i="16"/>
  <c r="MF9" i="16"/>
  <c r="NB9" i="16"/>
  <c r="NC9" i="16"/>
  <c r="ND9" i="16"/>
  <c r="NE9" i="16"/>
  <c r="NF9" i="16"/>
  <c r="OB9" i="16"/>
  <c r="OC9" i="16"/>
  <c r="OD9" i="16"/>
  <c r="OE9" i="16"/>
  <c r="OF9" i="16"/>
  <c r="OH9" i="16"/>
  <c r="OI9" i="16"/>
  <c r="OJ9" i="16"/>
  <c r="OK9" i="16"/>
  <c r="OL9" i="16"/>
  <c r="OM9" i="16"/>
  <c r="ON9" i="16"/>
  <c r="OO9" i="16"/>
  <c r="OP9" i="16"/>
  <c r="OQ9" i="16"/>
  <c r="OR9" i="16"/>
  <c r="OS9" i="16"/>
  <c r="OT9" i="16"/>
  <c r="OU9" i="16"/>
  <c r="OV9" i="16"/>
  <c r="OW9" i="16"/>
  <c r="NF7" i="17"/>
  <c r="NE7" i="17"/>
  <c r="ND7" i="17"/>
  <c r="NC7" i="17"/>
  <c r="NB7" i="17"/>
  <c r="NF6" i="17"/>
  <c r="NE6" i="17"/>
  <c r="ND6" i="17"/>
  <c r="NC6" i="17"/>
  <c r="NB6" i="17"/>
  <c r="NF5" i="17"/>
  <c r="NE5" i="17"/>
  <c r="ND5" i="17"/>
  <c r="NC5" i="17"/>
  <c r="NB5" i="17"/>
  <c r="NF4" i="17"/>
  <c r="NE4" i="17"/>
  <c r="ND4" i="17"/>
  <c r="NC4" i="17"/>
  <c r="NB4" i="17"/>
  <c r="MF7" i="17"/>
  <c r="ME7" i="17"/>
  <c r="MD7" i="17"/>
  <c r="MC7" i="17"/>
  <c r="MB7" i="17"/>
  <c r="MF6" i="17"/>
  <c r="ME6" i="17"/>
  <c r="MD6" i="17"/>
  <c r="MC6" i="17"/>
  <c r="MB6" i="17"/>
  <c r="MF5" i="17"/>
  <c r="ME5" i="17"/>
  <c r="MD5" i="17"/>
  <c r="MC5" i="17"/>
  <c r="MB5" i="17"/>
  <c r="MF4" i="17"/>
  <c r="ME4" i="17"/>
  <c r="MD4" i="17"/>
  <c r="MC4" i="17"/>
  <c r="MB4" i="17"/>
  <c r="LF7" i="17"/>
  <c r="LE7" i="17"/>
  <c r="LD7" i="17"/>
  <c r="LC7" i="17"/>
  <c r="LB7" i="17"/>
  <c r="LF6" i="17"/>
  <c r="LE6" i="17"/>
  <c r="LD6" i="17"/>
  <c r="LC6" i="17"/>
  <c r="LB6" i="17"/>
  <c r="LF5" i="17"/>
  <c r="LE5" i="17"/>
  <c r="LD5" i="17"/>
  <c r="LC5" i="17"/>
  <c r="LB5" i="17"/>
  <c r="LF4" i="17"/>
  <c r="LE4" i="17"/>
  <c r="LD4" i="17"/>
  <c r="LC4" i="17"/>
  <c r="LB4" i="17"/>
  <c r="KF7" i="17"/>
  <c r="KE7" i="17"/>
  <c r="KD7" i="17"/>
  <c r="KC7" i="17"/>
  <c r="KB7" i="17"/>
  <c r="KF6" i="17"/>
  <c r="KE6" i="17"/>
  <c r="KD6" i="17"/>
  <c r="KC6" i="17"/>
  <c r="KB6" i="17"/>
  <c r="KF5" i="17"/>
  <c r="KE5" i="17"/>
  <c r="KD5" i="17"/>
  <c r="KC5" i="17"/>
  <c r="KB5" i="17"/>
  <c r="KF4" i="17"/>
  <c r="KE4" i="17"/>
  <c r="KD4" i="17"/>
  <c r="KC4" i="17"/>
  <c r="KB4" i="17"/>
  <c r="JF7" i="17"/>
  <c r="JE7" i="17"/>
  <c r="JD7" i="17"/>
  <c r="JC7" i="17"/>
  <c r="JB7" i="17"/>
  <c r="JF6" i="17"/>
  <c r="JE6" i="17"/>
  <c r="JD6" i="17"/>
  <c r="JC6" i="17"/>
  <c r="JB6" i="17"/>
  <c r="JF5" i="17"/>
  <c r="JE5" i="17"/>
  <c r="JD5" i="17"/>
  <c r="JC5" i="17"/>
  <c r="JB5" i="17"/>
  <c r="JF4" i="17"/>
  <c r="JE4" i="17"/>
  <c r="JD4" i="17"/>
  <c r="JC4" i="17"/>
  <c r="JB4" i="17"/>
  <c r="IF7" i="17"/>
  <c r="IE7" i="17"/>
  <c r="ID7" i="17"/>
  <c r="IC7" i="17"/>
  <c r="IB7" i="17"/>
  <c r="IF6" i="17"/>
  <c r="IE6" i="17"/>
  <c r="ID6" i="17"/>
  <c r="IC6" i="17"/>
  <c r="IB6" i="17"/>
  <c r="IF5" i="17"/>
  <c r="IE5" i="17"/>
  <c r="ID5" i="17"/>
  <c r="IC5" i="17"/>
  <c r="IB5" i="17"/>
  <c r="IF4" i="17"/>
  <c r="IE4" i="17"/>
  <c r="ID4" i="17"/>
  <c r="IC4" i="17"/>
  <c r="IB4" i="17"/>
  <c r="HF7" i="17"/>
  <c r="HE7" i="17"/>
  <c r="HD7" i="17"/>
  <c r="HC7" i="17"/>
  <c r="HB7" i="17"/>
  <c r="HF6" i="17"/>
  <c r="HE6" i="17"/>
  <c r="HD6" i="17"/>
  <c r="HC6" i="17"/>
  <c r="HB6" i="17"/>
  <c r="HF5" i="17"/>
  <c r="HE5" i="17"/>
  <c r="HD5" i="17"/>
  <c r="HC5" i="17"/>
  <c r="HB5" i="17"/>
  <c r="HF4" i="17"/>
  <c r="HE4" i="17"/>
  <c r="HD4" i="17"/>
  <c r="HC4" i="17"/>
  <c r="HB4" i="17"/>
  <c r="GF7" i="17"/>
  <c r="GE7" i="17"/>
  <c r="GD7" i="17"/>
  <c r="GC7" i="17"/>
  <c r="GB7" i="17"/>
  <c r="GF6" i="17"/>
  <c r="GE6" i="17"/>
  <c r="GD6" i="17"/>
  <c r="GC6" i="17"/>
  <c r="GB6" i="17"/>
  <c r="GF5" i="17"/>
  <c r="GE5" i="17"/>
  <c r="GD5" i="17"/>
  <c r="GC5" i="17"/>
  <c r="GB5" i="17"/>
  <c r="GF4" i="17"/>
  <c r="GE4" i="17"/>
  <c r="GD4" i="17"/>
  <c r="GC4" i="17"/>
  <c r="GB4" i="17"/>
  <c r="FF7" i="17"/>
  <c r="FE7" i="17"/>
  <c r="FD7" i="17"/>
  <c r="FC7" i="17"/>
  <c r="FB7" i="17"/>
  <c r="FF6" i="17"/>
  <c r="FE6" i="17"/>
  <c r="FD6" i="17"/>
  <c r="FC6" i="17"/>
  <c r="FB6" i="17"/>
  <c r="FF5" i="17"/>
  <c r="FE5" i="17"/>
  <c r="FD5" i="17"/>
  <c r="FC5" i="17"/>
  <c r="FB5" i="17"/>
  <c r="FF4" i="17"/>
  <c r="FE4" i="17"/>
  <c r="FD4" i="17"/>
  <c r="FC4" i="17"/>
  <c r="FB4" i="17"/>
  <c r="EF7" i="17"/>
  <c r="EE7" i="17"/>
  <c r="ED7" i="17"/>
  <c r="EC7" i="17"/>
  <c r="EB7" i="17"/>
  <c r="EF6" i="17"/>
  <c r="EE6" i="17"/>
  <c r="ED6" i="17"/>
  <c r="EC6" i="17"/>
  <c r="EB6" i="17"/>
  <c r="EF5" i="17"/>
  <c r="EE5" i="17"/>
  <c r="ED5" i="17"/>
  <c r="EC5" i="17"/>
  <c r="EB5" i="17"/>
  <c r="EF4" i="17"/>
  <c r="EE4" i="17"/>
  <c r="ED4" i="17"/>
  <c r="EC4" i="17"/>
  <c r="EB4" i="17"/>
  <c r="DF7" i="17"/>
  <c r="DE7" i="17"/>
  <c r="DD7" i="17"/>
  <c r="DC7" i="17"/>
  <c r="DB7" i="17"/>
  <c r="DF6" i="17"/>
  <c r="DE6" i="17"/>
  <c r="DD6" i="17"/>
  <c r="DC6" i="17"/>
  <c r="DB6" i="17"/>
  <c r="DF5" i="17"/>
  <c r="DE5" i="17"/>
  <c r="DD5" i="17"/>
  <c r="DC5" i="17"/>
  <c r="DB5" i="17"/>
  <c r="DF4" i="17"/>
  <c r="DE4" i="17"/>
  <c r="DD4" i="17"/>
  <c r="DC4" i="17"/>
  <c r="DB4" i="17"/>
  <c r="NF8" i="16"/>
  <c r="NE8" i="16"/>
  <c r="ND8" i="16"/>
  <c r="NC8" i="16"/>
  <c r="NB8" i="16"/>
  <c r="NF7" i="16"/>
  <c r="NE7" i="16"/>
  <c r="ND7" i="16"/>
  <c r="NC7" i="16"/>
  <c r="NB7" i="16"/>
  <c r="NF6" i="16"/>
  <c r="NE6" i="16"/>
  <c r="ND6" i="16"/>
  <c r="NC6" i="16"/>
  <c r="NB6" i="16"/>
  <c r="NF5" i="16"/>
  <c r="NE5" i="16"/>
  <c r="ND5" i="16"/>
  <c r="NC5" i="16"/>
  <c r="NB5" i="16"/>
  <c r="NF4" i="16"/>
  <c r="NE4" i="16"/>
  <c r="ND4" i="16"/>
  <c r="NC4" i="16"/>
  <c r="NB4" i="16"/>
  <c r="MF8" i="16"/>
  <c r="ME8" i="16"/>
  <c r="MD8" i="16"/>
  <c r="MC8" i="16"/>
  <c r="MB8" i="16"/>
  <c r="MF7" i="16"/>
  <c r="ME7" i="16"/>
  <c r="MD7" i="16"/>
  <c r="MC7" i="16"/>
  <c r="MB7" i="16"/>
  <c r="MF6" i="16"/>
  <c r="ME6" i="16"/>
  <c r="MD6" i="16"/>
  <c r="MC6" i="16"/>
  <c r="MB6" i="16"/>
  <c r="MF5" i="16"/>
  <c r="ME5" i="16"/>
  <c r="MD5" i="16"/>
  <c r="MC5" i="16"/>
  <c r="MB5" i="16"/>
  <c r="MF4" i="16"/>
  <c r="ME4" i="16"/>
  <c r="MD4" i="16"/>
  <c r="MC4" i="16"/>
  <c r="MB4" i="16"/>
  <c r="LF8" i="16"/>
  <c r="LE8" i="16"/>
  <c r="LD8" i="16"/>
  <c r="LC8" i="16"/>
  <c r="LB8" i="16"/>
  <c r="LF7" i="16"/>
  <c r="LE7" i="16"/>
  <c r="LD7" i="16"/>
  <c r="LC7" i="16"/>
  <c r="LB7" i="16"/>
  <c r="LF6" i="16"/>
  <c r="LE6" i="16"/>
  <c r="LD6" i="16"/>
  <c r="LC6" i="16"/>
  <c r="LB6" i="16"/>
  <c r="LF5" i="16"/>
  <c r="LE5" i="16"/>
  <c r="LD5" i="16"/>
  <c r="LC5" i="16"/>
  <c r="LB5" i="16"/>
  <c r="LF4" i="16"/>
  <c r="LE4" i="16"/>
  <c r="LD4" i="16"/>
  <c r="LC4" i="16"/>
  <c r="LB4" i="16"/>
  <c r="KF8" i="16"/>
  <c r="KE8" i="16"/>
  <c r="KD8" i="16"/>
  <c r="KC8" i="16"/>
  <c r="KB8" i="16"/>
  <c r="KF7" i="16"/>
  <c r="KE7" i="16"/>
  <c r="KD7" i="16"/>
  <c r="KC7" i="16"/>
  <c r="KB7" i="16"/>
  <c r="KF6" i="16"/>
  <c r="KE6" i="16"/>
  <c r="KD6" i="16"/>
  <c r="KC6" i="16"/>
  <c r="KB6" i="16"/>
  <c r="KF5" i="16"/>
  <c r="KE5" i="16"/>
  <c r="KD5" i="16"/>
  <c r="KC5" i="16"/>
  <c r="KB5" i="16"/>
  <c r="KF4" i="16"/>
  <c r="KE4" i="16"/>
  <c r="KD4" i="16"/>
  <c r="KC4" i="16"/>
  <c r="KB4" i="16"/>
  <c r="JF8" i="16"/>
  <c r="JE8" i="16"/>
  <c r="JD8" i="16"/>
  <c r="JC8" i="16"/>
  <c r="JB8" i="16"/>
  <c r="JF7" i="16"/>
  <c r="JE7" i="16"/>
  <c r="JD7" i="16"/>
  <c r="JC7" i="16"/>
  <c r="JB7" i="16"/>
  <c r="JF6" i="16"/>
  <c r="JE6" i="16"/>
  <c r="JD6" i="16"/>
  <c r="JC6" i="16"/>
  <c r="JB6" i="16"/>
  <c r="JF5" i="16"/>
  <c r="JE5" i="16"/>
  <c r="JD5" i="16"/>
  <c r="JC5" i="16"/>
  <c r="JB5" i="16"/>
  <c r="JF4" i="16"/>
  <c r="JE4" i="16"/>
  <c r="JD4" i="16"/>
  <c r="JC4" i="16"/>
  <c r="JB4" i="16"/>
  <c r="IF8" i="16"/>
  <c r="IE8" i="16"/>
  <c r="ID8" i="16"/>
  <c r="IC8" i="16"/>
  <c r="IB8" i="16"/>
  <c r="IF7" i="16"/>
  <c r="IE7" i="16"/>
  <c r="ID7" i="16"/>
  <c r="IC7" i="16"/>
  <c r="IB7" i="16"/>
  <c r="IF6" i="16"/>
  <c r="IE6" i="16"/>
  <c r="ID6" i="16"/>
  <c r="IC6" i="16"/>
  <c r="IB6" i="16"/>
  <c r="IF5" i="16"/>
  <c r="IE5" i="16"/>
  <c r="ID5" i="16"/>
  <c r="IC5" i="16"/>
  <c r="IB5" i="16"/>
  <c r="IF4" i="16"/>
  <c r="IE4" i="16"/>
  <c r="ID4" i="16"/>
  <c r="IC4" i="16"/>
  <c r="IB4" i="16"/>
  <c r="HF8" i="16"/>
  <c r="HE8" i="16"/>
  <c r="HD8" i="16"/>
  <c r="HC8" i="16"/>
  <c r="HB8" i="16"/>
  <c r="HF7" i="16"/>
  <c r="HE7" i="16"/>
  <c r="HD7" i="16"/>
  <c r="HC7" i="16"/>
  <c r="HB7" i="16"/>
  <c r="HF6" i="16"/>
  <c r="HE6" i="16"/>
  <c r="HD6" i="16"/>
  <c r="HC6" i="16"/>
  <c r="HB6" i="16"/>
  <c r="HF5" i="16"/>
  <c r="HE5" i="16"/>
  <c r="HD5" i="16"/>
  <c r="HC5" i="16"/>
  <c r="HB5" i="16"/>
  <c r="HF4" i="16"/>
  <c r="HE4" i="16"/>
  <c r="HD4" i="16"/>
  <c r="HC4" i="16"/>
  <c r="HB4" i="16"/>
  <c r="GF8" i="16"/>
  <c r="GE8" i="16"/>
  <c r="GD8" i="16"/>
  <c r="GC8" i="16"/>
  <c r="GB8" i="16"/>
  <c r="GF7" i="16"/>
  <c r="GE7" i="16"/>
  <c r="GD7" i="16"/>
  <c r="GC7" i="16"/>
  <c r="GB7" i="16"/>
  <c r="GF6" i="16"/>
  <c r="GE6" i="16"/>
  <c r="GD6" i="16"/>
  <c r="GC6" i="16"/>
  <c r="GB6" i="16"/>
  <c r="GF5" i="16"/>
  <c r="GE5" i="16"/>
  <c r="GD5" i="16"/>
  <c r="GC5" i="16"/>
  <c r="GB5" i="16"/>
  <c r="GF4" i="16"/>
  <c r="GE4" i="16"/>
  <c r="GD4" i="16"/>
  <c r="GC4" i="16"/>
  <c r="GB4" i="16"/>
  <c r="FF8" i="16"/>
  <c r="FE8" i="16"/>
  <c r="FD8" i="16"/>
  <c r="FC8" i="16"/>
  <c r="FB8" i="16"/>
  <c r="FF7" i="16"/>
  <c r="FE7" i="16"/>
  <c r="FD7" i="16"/>
  <c r="FC7" i="16"/>
  <c r="FB7" i="16"/>
  <c r="FF6" i="16"/>
  <c r="FE6" i="16"/>
  <c r="FD6" i="16"/>
  <c r="FC6" i="16"/>
  <c r="FB6" i="16"/>
  <c r="FF5" i="16"/>
  <c r="FE5" i="16"/>
  <c r="FD5" i="16"/>
  <c r="FC5" i="16"/>
  <c r="FB5" i="16"/>
  <c r="FF4" i="16"/>
  <c r="FE4" i="16"/>
  <c r="FD4" i="16"/>
  <c r="FC4" i="16"/>
  <c r="FB4" i="16"/>
  <c r="EF8" i="16"/>
  <c r="EE8" i="16"/>
  <c r="ED8" i="16"/>
  <c r="EC8" i="16"/>
  <c r="EB8" i="16"/>
  <c r="EF7" i="16"/>
  <c r="EE7" i="16"/>
  <c r="ED7" i="16"/>
  <c r="EC7" i="16"/>
  <c r="EB7" i="16"/>
  <c r="EF6" i="16"/>
  <c r="EE6" i="16"/>
  <c r="ED6" i="16"/>
  <c r="EC6" i="16"/>
  <c r="EB6" i="16"/>
  <c r="EF5" i="16"/>
  <c r="EE5" i="16"/>
  <c r="ED5" i="16"/>
  <c r="EC5" i="16"/>
  <c r="EB5" i="16"/>
  <c r="EF4" i="16"/>
  <c r="EE4" i="16"/>
  <c r="ED4" i="16"/>
  <c r="EC4" i="16"/>
  <c r="EB4" i="16"/>
  <c r="DF8" i="16"/>
  <c r="DE8" i="16"/>
  <c r="DD8" i="16"/>
  <c r="DC8" i="16"/>
  <c r="DB8" i="16"/>
  <c r="DF7" i="16"/>
  <c r="DE7" i="16"/>
  <c r="DD7" i="16"/>
  <c r="DC7" i="16"/>
  <c r="DB7" i="16"/>
  <c r="DF6" i="16"/>
  <c r="DE6" i="16"/>
  <c r="DD6" i="16"/>
  <c r="DC6" i="16"/>
  <c r="DB6" i="16"/>
  <c r="DF5" i="16"/>
  <c r="DE5" i="16"/>
  <c r="DD5" i="16"/>
  <c r="DC5" i="16"/>
  <c r="DB5" i="16"/>
  <c r="DF4" i="16"/>
  <c r="DE4" i="16"/>
  <c r="DD4" i="16"/>
  <c r="DC4" i="16"/>
  <c r="DB4" i="16"/>
  <c r="NF5" i="15"/>
  <c r="NE5" i="15"/>
  <c r="ND5" i="15"/>
  <c r="NC5" i="15"/>
  <c r="NB5" i="15"/>
  <c r="NF4" i="15"/>
  <c r="NE4" i="15"/>
  <c r="ND4" i="15"/>
  <c r="NC4" i="15"/>
  <c r="NB4" i="15"/>
  <c r="MF5" i="15"/>
  <c r="ME5" i="15"/>
  <c r="MD5" i="15"/>
  <c r="MC5" i="15"/>
  <c r="MB5" i="15"/>
  <c r="MF4" i="15"/>
  <c r="ME4" i="15"/>
  <c r="MD4" i="15"/>
  <c r="MC4" i="15"/>
  <c r="MB4" i="15"/>
  <c r="LF5" i="15"/>
  <c r="LE5" i="15"/>
  <c r="LD5" i="15"/>
  <c r="LC5" i="15"/>
  <c r="LB5" i="15"/>
  <c r="LF4" i="15"/>
  <c r="LE4" i="15"/>
  <c r="LD4" i="15"/>
  <c r="LC4" i="15"/>
  <c r="LB4" i="15"/>
  <c r="KF5" i="15"/>
  <c r="KE5" i="15"/>
  <c r="KD5" i="15"/>
  <c r="KC5" i="15"/>
  <c r="KB5" i="15"/>
  <c r="KF4" i="15"/>
  <c r="KE4" i="15"/>
  <c r="KD4" i="15"/>
  <c r="KC4" i="15"/>
  <c r="KB4" i="15"/>
  <c r="JF5" i="15"/>
  <c r="JE5" i="15"/>
  <c r="JD5" i="15"/>
  <c r="JC5" i="15"/>
  <c r="JB5" i="15"/>
  <c r="JF4" i="15"/>
  <c r="JE4" i="15"/>
  <c r="JD4" i="15"/>
  <c r="JC4" i="15"/>
  <c r="JB4" i="15"/>
  <c r="IF5" i="15"/>
  <c r="IE5" i="15"/>
  <c r="ID5" i="15"/>
  <c r="IC5" i="15"/>
  <c r="IB5" i="15"/>
  <c r="IF4" i="15"/>
  <c r="IE4" i="15"/>
  <c r="ID4" i="15"/>
  <c r="IC4" i="15"/>
  <c r="IB4" i="15"/>
  <c r="HF5" i="15"/>
  <c r="HE5" i="15"/>
  <c r="HD5" i="15"/>
  <c r="HC5" i="15"/>
  <c r="HB5" i="15"/>
  <c r="HF4" i="15"/>
  <c r="HE4" i="15"/>
  <c r="HD4" i="15"/>
  <c r="HC4" i="15"/>
  <c r="HB4" i="15"/>
  <c r="GF5" i="15"/>
  <c r="GE5" i="15"/>
  <c r="GD5" i="15"/>
  <c r="GC5" i="15"/>
  <c r="GB5" i="15"/>
  <c r="GF4" i="15"/>
  <c r="GE4" i="15"/>
  <c r="GD4" i="15"/>
  <c r="GC4" i="15"/>
  <c r="GB4" i="15"/>
  <c r="FF5" i="15"/>
  <c r="FE5" i="15"/>
  <c r="FD5" i="15"/>
  <c r="FC5" i="15"/>
  <c r="FB5" i="15"/>
  <c r="FF4" i="15"/>
  <c r="FE4" i="15"/>
  <c r="FD4" i="15"/>
  <c r="FC4" i="15"/>
  <c r="FB4" i="15"/>
  <c r="EF5" i="15"/>
  <c r="EE5" i="15"/>
  <c r="ED5" i="15"/>
  <c r="EC5" i="15"/>
  <c r="EB5" i="15"/>
  <c r="EF4" i="15"/>
  <c r="EE4" i="15"/>
  <c r="ED4" i="15"/>
  <c r="EC4" i="15"/>
  <c r="EB4" i="15"/>
  <c r="DF5" i="15"/>
  <c r="DE5" i="15"/>
  <c r="DD5" i="15"/>
  <c r="DC5" i="15"/>
  <c r="DB5" i="15"/>
  <c r="DF4" i="15"/>
  <c r="DE4" i="15"/>
  <c r="DD4" i="15"/>
  <c r="DC4" i="15"/>
  <c r="DB4" i="15"/>
  <c r="NF5" i="14"/>
  <c r="NE5" i="14"/>
  <c r="ND5" i="14"/>
  <c r="NC5" i="14"/>
  <c r="NB5" i="14"/>
  <c r="NF4" i="14"/>
  <c r="NE4" i="14"/>
  <c r="ND4" i="14"/>
  <c r="NC4" i="14"/>
  <c r="NB4" i="14"/>
  <c r="MF5" i="14"/>
  <c r="ME5" i="14"/>
  <c r="MD5" i="14"/>
  <c r="MC5" i="14"/>
  <c r="MB5" i="14"/>
  <c r="MF4" i="14"/>
  <c r="ME4" i="14"/>
  <c r="MD4" i="14"/>
  <c r="MC4" i="14"/>
  <c r="MB4" i="14"/>
  <c r="LF5" i="14"/>
  <c r="LE5" i="14"/>
  <c r="LD5" i="14"/>
  <c r="LC5" i="14"/>
  <c r="LB5" i="14"/>
  <c r="LF4" i="14"/>
  <c r="LE4" i="14"/>
  <c r="LD4" i="14"/>
  <c r="LC4" i="14"/>
  <c r="LB4" i="14"/>
  <c r="KF5" i="14"/>
  <c r="KE5" i="14"/>
  <c r="KD5" i="14"/>
  <c r="KC5" i="14"/>
  <c r="KB5" i="14"/>
  <c r="KF4" i="14"/>
  <c r="KE4" i="14"/>
  <c r="KD4" i="14"/>
  <c r="KC4" i="14"/>
  <c r="KB4" i="14"/>
  <c r="JF5" i="14"/>
  <c r="JE5" i="14"/>
  <c r="JD5" i="14"/>
  <c r="JC5" i="14"/>
  <c r="JB5" i="14"/>
  <c r="JF4" i="14"/>
  <c r="JE4" i="14"/>
  <c r="JD4" i="14"/>
  <c r="JC4" i="14"/>
  <c r="JB4" i="14"/>
  <c r="IF5" i="14"/>
  <c r="IE5" i="14"/>
  <c r="ID5" i="14"/>
  <c r="IC5" i="14"/>
  <c r="IB5" i="14"/>
  <c r="IF4" i="14"/>
  <c r="IE4" i="14"/>
  <c r="ID4" i="14"/>
  <c r="IC4" i="14"/>
  <c r="IB4" i="14"/>
  <c r="HF5" i="14"/>
  <c r="HE5" i="14"/>
  <c r="HD5" i="14"/>
  <c r="HC5" i="14"/>
  <c r="HB5" i="14"/>
  <c r="HF4" i="14"/>
  <c r="HE4" i="14"/>
  <c r="HD4" i="14"/>
  <c r="HC4" i="14"/>
  <c r="HB4" i="14"/>
  <c r="GF5" i="14"/>
  <c r="GE5" i="14"/>
  <c r="GD5" i="14"/>
  <c r="GC5" i="14"/>
  <c r="GB5" i="14"/>
  <c r="GF4" i="14"/>
  <c r="GE4" i="14"/>
  <c r="GD4" i="14"/>
  <c r="GC4" i="14"/>
  <c r="GB4" i="14"/>
  <c r="FF5" i="14"/>
  <c r="FE5" i="14"/>
  <c r="FD5" i="14"/>
  <c r="FC5" i="14"/>
  <c r="FB5" i="14"/>
  <c r="FF4" i="14"/>
  <c r="FE4" i="14"/>
  <c r="FD4" i="14"/>
  <c r="FC4" i="14"/>
  <c r="FB4" i="14"/>
  <c r="EF5" i="14"/>
  <c r="EE5" i="14"/>
  <c r="ED5" i="14"/>
  <c r="EC5" i="14"/>
  <c r="EB5" i="14"/>
  <c r="EF4" i="14"/>
  <c r="EE4" i="14"/>
  <c r="ED4" i="14"/>
  <c r="EC4" i="14"/>
  <c r="EB4" i="14"/>
  <c r="DF5" i="14"/>
  <c r="DE5" i="14"/>
  <c r="DD5" i="14"/>
  <c r="DC5" i="14"/>
  <c r="DB5" i="14"/>
  <c r="DF4" i="14"/>
  <c r="DE4" i="14"/>
  <c r="DD4" i="14"/>
  <c r="DC4" i="14"/>
  <c r="DB4" i="14"/>
  <c r="LU5" i="13"/>
  <c r="LT5" i="13"/>
  <c r="LR5" i="13"/>
  <c r="LQ5" i="13"/>
  <c r="LP5" i="13"/>
  <c r="LU4" i="13"/>
  <c r="LT4" i="13"/>
  <c r="LR4" i="13"/>
  <c r="LQ4" i="13"/>
  <c r="LP4" i="13"/>
  <c r="KY5" i="13"/>
  <c r="KX5" i="13"/>
  <c r="KV5" i="13"/>
  <c r="KU5" i="13"/>
  <c r="KT5" i="13"/>
  <c r="KY4" i="13"/>
  <c r="KX4" i="13"/>
  <c r="KV4" i="13"/>
  <c r="KU4" i="13"/>
  <c r="KT4" i="13"/>
  <c r="KC5" i="13"/>
  <c r="KB5" i="13"/>
  <c r="JZ5" i="13"/>
  <c r="JY5" i="13"/>
  <c r="JX5" i="13"/>
  <c r="KC4" i="13"/>
  <c r="KB4" i="13"/>
  <c r="JZ4" i="13"/>
  <c r="JY4" i="13"/>
  <c r="JX4" i="13"/>
  <c r="JG5" i="13"/>
  <c r="JF5" i="13"/>
  <c r="JD5" i="13"/>
  <c r="JC5" i="13"/>
  <c r="JB5" i="13"/>
  <c r="JG4" i="13"/>
  <c r="JF4" i="13"/>
  <c r="JD4" i="13"/>
  <c r="JC4" i="13"/>
  <c r="JB4" i="13"/>
  <c r="IK5" i="13"/>
  <c r="IJ5" i="13"/>
  <c r="IH5" i="13"/>
  <c r="IG5" i="13"/>
  <c r="IF5" i="13"/>
  <c r="IK4" i="13"/>
  <c r="IJ4" i="13"/>
  <c r="IH4" i="13"/>
  <c r="IG4" i="13"/>
  <c r="IF4" i="13"/>
  <c r="HO5" i="13"/>
  <c r="HN5" i="13"/>
  <c r="HL5" i="13"/>
  <c r="HK5" i="13"/>
  <c r="HJ5" i="13"/>
  <c r="HO4" i="13"/>
  <c r="HN4" i="13"/>
  <c r="HL4" i="13"/>
  <c r="HK4" i="13"/>
  <c r="HJ4" i="13"/>
  <c r="GS5" i="13"/>
  <c r="GR5" i="13"/>
  <c r="GP5" i="13"/>
  <c r="GO5" i="13"/>
  <c r="GN5" i="13"/>
  <c r="GS4" i="13"/>
  <c r="GR4" i="13"/>
  <c r="GP4" i="13"/>
  <c r="GO4" i="13"/>
  <c r="GN4" i="13"/>
  <c r="FW5" i="13"/>
  <c r="FV5" i="13"/>
  <c r="FT5" i="13"/>
  <c r="FS5" i="13"/>
  <c r="FR5" i="13"/>
  <c r="FW4" i="13"/>
  <c r="FV4" i="13"/>
  <c r="FT4" i="13"/>
  <c r="FS4" i="13"/>
  <c r="FU4" i="13" s="1"/>
  <c r="FR4" i="13"/>
  <c r="FA5" i="13"/>
  <c r="EZ5" i="13"/>
  <c r="EX5" i="13"/>
  <c r="EW5" i="13"/>
  <c r="EV5" i="13"/>
  <c r="FA4" i="13"/>
  <c r="EZ4" i="13"/>
  <c r="EX4" i="13"/>
  <c r="EW4" i="13"/>
  <c r="EV4" i="13"/>
  <c r="EE5" i="13"/>
  <c r="ED5" i="13"/>
  <c r="EB5" i="13"/>
  <c r="EA5" i="13"/>
  <c r="DZ5" i="13"/>
  <c r="EE4" i="13"/>
  <c r="ED4" i="13"/>
  <c r="EB4" i="13"/>
  <c r="EA4" i="13"/>
  <c r="DZ4" i="13"/>
  <c r="DI5" i="13"/>
  <c r="DH5" i="13"/>
  <c r="DF5" i="13"/>
  <c r="DE5" i="13"/>
  <c r="DD5" i="13"/>
  <c r="DI4" i="13"/>
  <c r="DH4" i="13"/>
  <c r="DF4" i="13"/>
  <c r="DE4" i="13"/>
  <c r="DD4" i="13"/>
  <c r="LU4" i="4"/>
  <c r="LT4" i="4"/>
  <c r="LR4" i="4"/>
  <c r="LQ4" i="4"/>
  <c r="LP4" i="4"/>
  <c r="LU6" i="4"/>
  <c r="LT6" i="4"/>
  <c r="LR6" i="4"/>
  <c r="LQ6" i="4"/>
  <c r="LP6" i="4"/>
  <c r="LU9" i="4"/>
  <c r="LT9" i="4"/>
  <c r="LR9" i="4"/>
  <c r="LQ9" i="4"/>
  <c r="LP9" i="4"/>
  <c r="LU8" i="4"/>
  <c r="LT8" i="4"/>
  <c r="LR8" i="4"/>
  <c r="LQ8" i="4"/>
  <c r="LP8" i="4"/>
  <c r="LU7" i="4"/>
  <c r="LT7" i="4"/>
  <c r="LR7" i="4"/>
  <c r="LQ7" i="4"/>
  <c r="LP7" i="4"/>
  <c r="LU5" i="4"/>
  <c r="LT5" i="4"/>
  <c r="LR5" i="4"/>
  <c r="LQ5" i="4"/>
  <c r="LP5" i="4"/>
  <c r="KY4" i="4"/>
  <c r="KX4" i="4"/>
  <c r="KV4" i="4"/>
  <c r="KU4" i="4"/>
  <c r="KT4" i="4"/>
  <c r="KY6" i="4"/>
  <c r="KX6" i="4"/>
  <c r="KV6" i="4"/>
  <c r="KU6" i="4"/>
  <c r="KT6" i="4"/>
  <c r="KY9" i="4"/>
  <c r="KX9" i="4"/>
  <c r="KV9" i="4"/>
  <c r="KU9" i="4"/>
  <c r="KT9" i="4"/>
  <c r="KY8" i="4"/>
  <c r="KX8" i="4"/>
  <c r="KV8" i="4"/>
  <c r="KU8" i="4"/>
  <c r="KT8" i="4"/>
  <c r="KY7" i="4"/>
  <c r="KX7" i="4"/>
  <c r="KV7" i="4"/>
  <c r="KU7" i="4"/>
  <c r="KT7" i="4"/>
  <c r="KY5" i="4"/>
  <c r="KX5" i="4"/>
  <c r="KV5" i="4"/>
  <c r="KU5" i="4"/>
  <c r="KT5" i="4"/>
  <c r="KC4" i="4"/>
  <c r="KB4" i="4"/>
  <c r="JZ4" i="4"/>
  <c r="JY4" i="4"/>
  <c r="JX4" i="4"/>
  <c r="KC6" i="4"/>
  <c r="KB6" i="4"/>
  <c r="JZ6" i="4"/>
  <c r="JY6" i="4"/>
  <c r="JX6" i="4"/>
  <c r="KC9" i="4"/>
  <c r="KB9" i="4"/>
  <c r="JZ9" i="4"/>
  <c r="JY9" i="4"/>
  <c r="JX9" i="4"/>
  <c r="KC8" i="4"/>
  <c r="KB8" i="4"/>
  <c r="JZ8" i="4"/>
  <c r="JY8" i="4"/>
  <c r="JX8" i="4"/>
  <c r="KC7" i="4"/>
  <c r="KB7" i="4"/>
  <c r="JZ7" i="4"/>
  <c r="JY7" i="4"/>
  <c r="JX7" i="4"/>
  <c r="KC5" i="4"/>
  <c r="KB5" i="4"/>
  <c r="JZ5" i="4"/>
  <c r="JY5" i="4"/>
  <c r="JX5" i="4"/>
  <c r="JG4" i="4"/>
  <c r="JF4" i="4"/>
  <c r="JD4" i="4"/>
  <c r="JC4" i="4"/>
  <c r="JB4" i="4"/>
  <c r="JG6" i="4"/>
  <c r="JF6" i="4"/>
  <c r="JD6" i="4"/>
  <c r="JC6" i="4"/>
  <c r="JB6" i="4"/>
  <c r="JG9" i="4"/>
  <c r="JF9" i="4"/>
  <c r="JD9" i="4"/>
  <c r="JC9" i="4"/>
  <c r="JB9" i="4"/>
  <c r="JG8" i="4"/>
  <c r="JF8" i="4"/>
  <c r="JD8" i="4"/>
  <c r="JC8" i="4"/>
  <c r="JB8" i="4"/>
  <c r="JG7" i="4"/>
  <c r="JF7" i="4"/>
  <c r="JD7" i="4"/>
  <c r="JC7" i="4"/>
  <c r="JB7" i="4"/>
  <c r="JG5" i="4"/>
  <c r="JF5" i="4"/>
  <c r="JD5" i="4"/>
  <c r="JC5" i="4"/>
  <c r="JB5" i="4"/>
  <c r="IK4" i="4"/>
  <c r="IJ4" i="4"/>
  <c r="IH4" i="4"/>
  <c r="IG4" i="4"/>
  <c r="IF4" i="4"/>
  <c r="IK6" i="4"/>
  <c r="IJ6" i="4"/>
  <c r="IH6" i="4"/>
  <c r="IG6" i="4"/>
  <c r="IF6" i="4"/>
  <c r="IK9" i="4"/>
  <c r="IJ9" i="4"/>
  <c r="IH9" i="4"/>
  <c r="IG9" i="4"/>
  <c r="IF9" i="4"/>
  <c r="IK8" i="4"/>
  <c r="IJ8" i="4"/>
  <c r="IH8" i="4"/>
  <c r="IG8" i="4"/>
  <c r="IF8" i="4"/>
  <c r="IK7" i="4"/>
  <c r="IJ7" i="4"/>
  <c r="IH7" i="4"/>
  <c r="IG7" i="4"/>
  <c r="IF7" i="4"/>
  <c r="IK5" i="4"/>
  <c r="IJ5" i="4"/>
  <c r="IH5" i="4"/>
  <c r="IG5" i="4"/>
  <c r="IF5" i="4"/>
  <c r="HO4" i="4"/>
  <c r="HN4" i="4"/>
  <c r="HL4" i="4"/>
  <c r="HK4" i="4"/>
  <c r="HJ4" i="4"/>
  <c r="HO6" i="4"/>
  <c r="HN6" i="4"/>
  <c r="HL6" i="4"/>
  <c r="HK6" i="4"/>
  <c r="HJ6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J7" i="4"/>
  <c r="HO5" i="4"/>
  <c r="HN5" i="4"/>
  <c r="HL5" i="4"/>
  <c r="HK5" i="4"/>
  <c r="HJ5" i="4"/>
  <c r="GS4" i="4"/>
  <c r="GR4" i="4"/>
  <c r="GP4" i="4"/>
  <c r="GO4" i="4"/>
  <c r="GN4" i="4"/>
  <c r="GS6" i="4"/>
  <c r="GR6" i="4"/>
  <c r="GP6" i="4"/>
  <c r="GO6" i="4"/>
  <c r="GN6" i="4"/>
  <c r="GS9" i="4"/>
  <c r="GR9" i="4"/>
  <c r="GP9" i="4"/>
  <c r="GO9" i="4"/>
  <c r="GN9" i="4"/>
  <c r="GS8" i="4"/>
  <c r="GR8" i="4"/>
  <c r="GP8" i="4"/>
  <c r="GO8" i="4"/>
  <c r="GN8" i="4"/>
  <c r="GS7" i="4"/>
  <c r="GR7" i="4"/>
  <c r="GP7" i="4"/>
  <c r="GO7" i="4"/>
  <c r="GN7" i="4"/>
  <c r="GS5" i="4"/>
  <c r="GR5" i="4"/>
  <c r="GP5" i="4"/>
  <c r="GO5" i="4"/>
  <c r="GN5" i="4"/>
  <c r="FW4" i="4"/>
  <c r="FV4" i="4"/>
  <c r="FT4" i="4"/>
  <c r="FS4" i="4"/>
  <c r="FR4" i="4"/>
  <c r="FW6" i="4"/>
  <c r="FV6" i="4"/>
  <c r="FT6" i="4"/>
  <c r="FS6" i="4"/>
  <c r="FR6" i="4"/>
  <c r="FW9" i="4"/>
  <c r="FV9" i="4"/>
  <c r="FT9" i="4"/>
  <c r="FS9" i="4"/>
  <c r="FR9" i="4"/>
  <c r="FW8" i="4"/>
  <c r="FV8" i="4"/>
  <c r="FT8" i="4"/>
  <c r="FS8" i="4"/>
  <c r="FR8" i="4"/>
  <c r="FW7" i="4"/>
  <c r="FV7" i="4"/>
  <c r="FT7" i="4"/>
  <c r="FS7" i="4"/>
  <c r="FR7" i="4"/>
  <c r="FW5" i="4"/>
  <c r="FV5" i="4"/>
  <c r="FT5" i="4"/>
  <c r="FS5" i="4"/>
  <c r="FR5" i="4"/>
  <c r="FA4" i="4"/>
  <c r="EZ4" i="4"/>
  <c r="EX4" i="4"/>
  <c r="EW4" i="4"/>
  <c r="EV4" i="4"/>
  <c r="FA6" i="4"/>
  <c r="EZ6" i="4"/>
  <c r="EX6" i="4"/>
  <c r="EW6" i="4"/>
  <c r="EV6" i="4"/>
  <c r="FA9" i="4"/>
  <c r="EZ9" i="4"/>
  <c r="EX9" i="4"/>
  <c r="EW9" i="4"/>
  <c r="EV9" i="4"/>
  <c r="FA8" i="4"/>
  <c r="EZ8" i="4"/>
  <c r="EX8" i="4"/>
  <c r="EW8" i="4"/>
  <c r="EV8" i="4"/>
  <c r="FA7" i="4"/>
  <c r="EZ7" i="4"/>
  <c r="EX7" i="4"/>
  <c r="EW7" i="4"/>
  <c r="EV7" i="4"/>
  <c r="FA5" i="4"/>
  <c r="EZ5" i="4"/>
  <c r="EX5" i="4"/>
  <c r="EW5" i="4"/>
  <c r="EV5" i="4"/>
  <c r="EE4" i="4"/>
  <c r="ED4" i="4"/>
  <c r="EB4" i="4"/>
  <c r="EA4" i="4"/>
  <c r="DZ4" i="4"/>
  <c r="EE6" i="4"/>
  <c r="ED6" i="4"/>
  <c r="EB6" i="4"/>
  <c r="EA6" i="4"/>
  <c r="DZ6" i="4"/>
  <c r="EE9" i="4"/>
  <c r="ED9" i="4"/>
  <c r="EB9" i="4"/>
  <c r="EA9" i="4"/>
  <c r="DZ9" i="4"/>
  <c r="EE8" i="4"/>
  <c r="ED8" i="4"/>
  <c r="EB8" i="4"/>
  <c r="EA8" i="4"/>
  <c r="DZ8" i="4"/>
  <c r="EE7" i="4"/>
  <c r="ED7" i="4"/>
  <c r="EB7" i="4"/>
  <c r="EA7" i="4"/>
  <c r="DZ7" i="4"/>
  <c r="EE5" i="4"/>
  <c r="ED5" i="4"/>
  <c r="EB5" i="4"/>
  <c r="EA5" i="4"/>
  <c r="DZ5" i="4"/>
  <c r="DI4" i="4"/>
  <c r="DH4" i="4"/>
  <c r="DF4" i="4"/>
  <c r="DE4" i="4"/>
  <c r="DD4" i="4"/>
  <c r="DI6" i="4"/>
  <c r="DH6" i="4"/>
  <c r="DF6" i="4"/>
  <c r="DE6" i="4"/>
  <c r="DD6" i="4"/>
  <c r="DI9" i="4"/>
  <c r="DH9" i="4"/>
  <c r="DF9" i="4"/>
  <c r="DE9" i="4"/>
  <c r="DD9" i="4"/>
  <c r="DI8" i="4"/>
  <c r="DH8" i="4"/>
  <c r="DF8" i="4"/>
  <c r="DE8" i="4"/>
  <c r="DD8" i="4"/>
  <c r="DI7" i="4"/>
  <c r="DH7" i="4"/>
  <c r="DF7" i="4"/>
  <c r="DE7" i="4"/>
  <c r="DD7" i="4"/>
  <c r="DI5" i="4"/>
  <c r="DH5" i="4"/>
  <c r="DF5" i="4"/>
  <c r="DE5" i="4"/>
  <c r="DD5" i="4"/>
  <c r="CA7" i="17"/>
  <c r="CB7" i="17"/>
  <c r="CC7" i="17"/>
  <c r="CD7" i="17"/>
  <c r="OB7" i="17"/>
  <c r="OC7" i="17"/>
  <c r="OD7" i="17"/>
  <c r="OE7" i="17"/>
  <c r="OF7" i="17"/>
  <c r="OH7" i="17"/>
  <c r="OI7" i="17"/>
  <c r="OJ7" i="17"/>
  <c r="OK7" i="17"/>
  <c r="OL7" i="17"/>
  <c r="OM7" i="17"/>
  <c r="ON7" i="17"/>
  <c r="OO7" i="17"/>
  <c r="OP7" i="17"/>
  <c r="OQ7" i="17"/>
  <c r="OR7" i="17"/>
  <c r="OS7" i="17"/>
  <c r="OT7" i="17"/>
  <c r="OU7" i="17"/>
  <c r="OV7" i="17"/>
  <c r="OW7" i="17"/>
  <c r="CA7" i="16"/>
  <c r="CB7" i="16"/>
  <c r="CC7" i="16"/>
  <c r="CD7" i="16"/>
  <c r="OB7" i="16"/>
  <c r="OC7" i="16"/>
  <c r="OD7" i="16"/>
  <c r="OE7" i="16"/>
  <c r="OF7" i="16"/>
  <c r="OH7" i="16"/>
  <c r="OI7" i="16"/>
  <c r="OJ7" i="16"/>
  <c r="OK7" i="16"/>
  <c r="OL7" i="16"/>
  <c r="OM7" i="16"/>
  <c r="ON7" i="16"/>
  <c r="OO7" i="16"/>
  <c r="OP7" i="16"/>
  <c r="OQ7" i="16"/>
  <c r="OR7" i="16"/>
  <c r="OS7" i="16"/>
  <c r="OT7" i="16"/>
  <c r="OU7" i="16"/>
  <c r="OV7" i="16"/>
  <c r="OW7" i="16"/>
  <c r="CA6" i="16"/>
  <c r="CB6" i="16"/>
  <c r="CC6" i="16"/>
  <c r="CD6" i="16"/>
  <c r="OB6" i="16"/>
  <c r="OC6" i="16"/>
  <c r="OD6" i="16"/>
  <c r="OE6" i="16"/>
  <c r="OF6" i="16"/>
  <c r="OH6" i="16"/>
  <c r="OI6" i="16"/>
  <c r="OJ6" i="16"/>
  <c r="OK6" i="16"/>
  <c r="OL6" i="16"/>
  <c r="OM6" i="16"/>
  <c r="ON6" i="16"/>
  <c r="OO6" i="16"/>
  <c r="OP6" i="16"/>
  <c r="OQ6" i="16"/>
  <c r="OR6" i="16"/>
  <c r="OS6" i="16"/>
  <c r="OT6" i="16"/>
  <c r="OU6" i="16"/>
  <c r="OV6" i="16"/>
  <c r="OW6" i="16"/>
  <c r="CA5" i="16"/>
  <c r="CB5" i="16"/>
  <c r="CC5" i="16"/>
  <c r="CD5" i="16"/>
  <c r="OB5" i="16"/>
  <c r="OC5" i="16"/>
  <c r="OD5" i="16"/>
  <c r="OE5" i="16"/>
  <c r="OF5" i="16"/>
  <c r="OH5" i="16"/>
  <c r="OI5" i="16"/>
  <c r="OJ5" i="16"/>
  <c r="OK5" i="16"/>
  <c r="OL5" i="16"/>
  <c r="OM5" i="16"/>
  <c r="ON5" i="16"/>
  <c r="OO5" i="16"/>
  <c r="OP5" i="16"/>
  <c r="OQ5" i="16"/>
  <c r="OR5" i="16"/>
  <c r="OS5" i="16"/>
  <c r="OT5" i="16"/>
  <c r="OU5" i="16"/>
  <c r="OV5" i="16"/>
  <c r="OW5" i="16"/>
  <c r="CA5" i="15"/>
  <c r="CB5" i="15"/>
  <c r="CC5" i="15"/>
  <c r="CD5" i="15"/>
  <c r="OB5" i="15"/>
  <c r="OC5" i="15"/>
  <c r="OD5" i="15"/>
  <c r="OE5" i="15"/>
  <c r="OF5" i="15"/>
  <c r="OH5" i="15"/>
  <c r="OI5" i="15"/>
  <c r="OJ5" i="15"/>
  <c r="OK5" i="15"/>
  <c r="OL5" i="15"/>
  <c r="OM5" i="15"/>
  <c r="ON5" i="15"/>
  <c r="OO5" i="15"/>
  <c r="OP5" i="15"/>
  <c r="OQ5" i="15"/>
  <c r="OR5" i="15"/>
  <c r="OS5" i="15"/>
  <c r="OT5" i="15"/>
  <c r="OU5" i="15"/>
  <c r="OV5" i="15"/>
  <c r="OW5" i="15"/>
  <c r="CA4" i="14"/>
  <c r="CB4" i="14"/>
  <c r="CC4" i="14"/>
  <c r="CD4" i="14"/>
  <c r="OB4" i="14"/>
  <c r="OC4" i="14"/>
  <c r="OD4" i="14"/>
  <c r="OE4" i="14"/>
  <c r="OF4" i="14"/>
  <c r="OH4" i="14"/>
  <c r="OI4" i="14"/>
  <c r="OJ4" i="14"/>
  <c r="OK4" i="14"/>
  <c r="OL4" i="14"/>
  <c r="OM4" i="14"/>
  <c r="ON4" i="14"/>
  <c r="OO4" i="14"/>
  <c r="OP4" i="14"/>
  <c r="OQ4" i="14"/>
  <c r="OR4" i="14"/>
  <c r="OS4" i="14"/>
  <c r="OT4" i="14"/>
  <c r="OU4" i="14"/>
  <c r="OV4" i="14"/>
  <c r="OW4" i="14"/>
  <c r="CH9" i="4"/>
  <c r="CI9" i="4"/>
  <c r="ML9" i="4"/>
  <c r="MM9" i="4"/>
  <c r="MN9" i="4"/>
  <c r="MP9" i="4"/>
  <c r="MQ9" i="4"/>
  <c r="NC9" i="4"/>
  <c r="ND9" i="4"/>
  <c r="NE9" i="4"/>
  <c r="NM9" i="4" s="1"/>
  <c r="NF9" i="4"/>
  <c r="NG9" i="4"/>
  <c r="CH6" i="4"/>
  <c r="CI6" i="4"/>
  <c r="ML6" i="4"/>
  <c r="MM6" i="4"/>
  <c r="MN6" i="4"/>
  <c r="MP6" i="4"/>
  <c r="MQ6" i="4"/>
  <c r="NC6" i="4"/>
  <c r="ND6" i="4"/>
  <c r="NE6" i="4"/>
  <c r="NM6" i="4" s="1"/>
  <c r="NF6" i="4"/>
  <c r="NG6" i="4"/>
  <c r="CH8" i="4"/>
  <c r="CI8" i="4"/>
  <c r="ML8" i="4"/>
  <c r="MM8" i="4"/>
  <c r="MN8" i="4"/>
  <c r="MP8" i="4"/>
  <c r="MQ8" i="4"/>
  <c r="NC8" i="4"/>
  <c r="ND8" i="4"/>
  <c r="NE8" i="4"/>
  <c r="NM8" i="4" s="1"/>
  <c r="NF8" i="4"/>
  <c r="NG8" i="4"/>
  <c r="CH4" i="4"/>
  <c r="CI4" i="4"/>
  <c r="ML4" i="4"/>
  <c r="MM4" i="4"/>
  <c r="MN4" i="4"/>
  <c r="MP4" i="4"/>
  <c r="MQ4" i="4"/>
  <c r="NC4" i="4"/>
  <c r="ND4" i="4"/>
  <c r="NE4" i="4"/>
  <c r="NM4" i="4" s="1"/>
  <c r="NF4" i="4"/>
  <c r="NG4" i="4"/>
  <c r="CA6" i="17"/>
  <c r="CB6" i="17"/>
  <c r="CC6" i="17"/>
  <c r="CD6" i="17"/>
  <c r="OB6" i="17"/>
  <c r="OC6" i="17"/>
  <c r="OD6" i="17"/>
  <c r="OE6" i="17"/>
  <c r="OF6" i="17"/>
  <c r="OH6" i="17"/>
  <c r="OI6" i="17"/>
  <c r="OJ6" i="17"/>
  <c r="OK6" i="17"/>
  <c r="OL6" i="17"/>
  <c r="OM6" i="17"/>
  <c r="ON6" i="17"/>
  <c r="OO6" i="17"/>
  <c r="OP6" i="17"/>
  <c r="OQ6" i="17"/>
  <c r="OR6" i="17"/>
  <c r="OS6" i="17"/>
  <c r="OT6" i="17"/>
  <c r="OU6" i="17"/>
  <c r="OV6" i="17"/>
  <c r="OW6" i="17"/>
  <c r="CA5" i="17"/>
  <c r="CB5" i="17"/>
  <c r="CC5" i="17"/>
  <c r="CD5" i="17"/>
  <c r="OB5" i="17"/>
  <c r="OC5" i="17"/>
  <c r="OD5" i="17"/>
  <c r="OE5" i="17"/>
  <c r="OF5" i="17"/>
  <c r="OH5" i="17"/>
  <c r="OI5" i="17"/>
  <c r="OJ5" i="17"/>
  <c r="OK5" i="17"/>
  <c r="OL5" i="17"/>
  <c r="OM5" i="17"/>
  <c r="ON5" i="17"/>
  <c r="OO5" i="17"/>
  <c r="OP5" i="17"/>
  <c r="OQ5" i="17"/>
  <c r="OR5" i="17"/>
  <c r="OS5" i="17"/>
  <c r="OT5" i="17"/>
  <c r="OU5" i="17"/>
  <c r="OV5" i="17"/>
  <c r="OW5" i="17"/>
  <c r="CA4" i="17"/>
  <c r="CB4" i="17"/>
  <c r="CC4" i="17"/>
  <c r="CD4" i="17"/>
  <c r="OB4" i="17"/>
  <c r="OC4" i="17"/>
  <c r="OD4" i="17"/>
  <c r="OE4" i="17"/>
  <c r="OF4" i="17"/>
  <c r="OH4" i="17"/>
  <c r="OI4" i="17"/>
  <c r="OJ4" i="17"/>
  <c r="OK4" i="17"/>
  <c r="OL4" i="17"/>
  <c r="OM4" i="17"/>
  <c r="ON4" i="17"/>
  <c r="OO4" i="17"/>
  <c r="OP4" i="17"/>
  <c r="OQ4" i="17"/>
  <c r="OR4" i="17"/>
  <c r="OS4" i="17"/>
  <c r="OT4" i="17"/>
  <c r="OU4" i="17"/>
  <c r="OV4" i="17"/>
  <c r="OW4" i="17"/>
  <c r="CA4" i="16"/>
  <c r="CB4" i="16"/>
  <c r="CC4" i="16"/>
  <c r="CD4" i="16"/>
  <c r="OB4" i="16"/>
  <c r="OC4" i="16"/>
  <c r="OD4" i="16"/>
  <c r="OE4" i="16"/>
  <c r="OF4" i="16"/>
  <c r="OH4" i="16"/>
  <c r="OI4" i="16"/>
  <c r="OJ4" i="16"/>
  <c r="OK4" i="16"/>
  <c r="OL4" i="16"/>
  <c r="OM4" i="16"/>
  <c r="ON4" i="16"/>
  <c r="OO4" i="16"/>
  <c r="OP4" i="16"/>
  <c r="OQ4" i="16"/>
  <c r="OR4" i="16"/>
  <c r="OS4" i="16"/>
  <c r="OT4" i="16"/>
  <c r="OU4" i="16"/>
  <c r="OV4" i="16"/>
  <c r="OW4" i="16"/>
  <c r="CA8" i="16"/>
  <c r="CB8" i="16"/>
  <c r="CC8" i="16"/>
  <c r="CD8" i="16"/>
  <c r="OB8" i="16"/>
  <c r="OC8" i="16"/>
  <c r="OD8" i="16"/>
  <c r="OE8" i="16"/>
  <c r="OF8" i="16"/>
  <c r="OH8" i="16"/>
  <c r="OI8" i="16"/>
  <c r="OJ8" i="16"/>
  <c r="OK8" i="16"/>
  <c r="OL8" i="16"/>
  <c r="OM8" i="16"/>
  <c r="ON8" i="16"/>
  <c r="OO8" i="16"/>
  <c r="OP8" i="16"/>
  <c r="OQ8" i="16"/>
  <c r="OR8" i="16"/>
  <c r="OS8" i="16"/>
  <c r="OT8" i="16"/>
  <c r="OU8" i="16"/>
  <c r="OV8" i="16"/>
  <c r="OW8" i="16"/>
  <c r="CD5" i="13"/>
  <c r="CE5" i="13"/>
  <c r="CF5" i="13"/>
  <c r="CH5" i="13"/>
  <c r="CI5" i="13"/>
  <c r="ML5" i="13"/>
  <c r="MM5" i="13"/>
  <c r="MN5" i="13"/>
  <c r="MP5" i="13"/>
  <c r="MQ5" i="13"/>
  <c r="MS5" i="13"/>
  <c r="MT5" i="13"/>
  <c r="MU5" i="13"/>
  <c r="MV5" i="13"/>
  <c r="MW5" i="13"/>
  <c r="MX5" i="13"/>
  <c r="MY5" i="13"/>
  <c r="MZ5" i="13"/>
  <c r="NJ5" i="13" s="1"/>
  <c r="NA5" i="13"/>
  <c r="NB5" i="13"/>
  <c r="NC5" i="13"/>
  <c r="ND5" i="13"/>
  <c r="NE5" i="13"/>
  <c r="NM5" i="13" s="1"/>
  <c r="NF5" i="13"/>
  <c r="NG5" i="13"/>
  <c r="CD4" i="13"/>
  <c r="CE4" i="13"/>
  <c r="CF4" i="13"/>
  <c r="CH4" i="13"/>
  <c r="CI4" i="13"/>
  <c r="ML4" i="13"/>
  <c r="MM4" i="13"/>
  <c r="MN4" i="13"/>
  <c r="MP4" i="13"/>
  <c r="MQ4" i="13"/>
  <c r="MS4" i="13"/>
  <c r="MT4" i="13"/>
  <c r="MU4" i="13"/>
  <c r="MV4" i="13"/>
  <c r="MW4" i="13"/>
  <c r="MX4" i="13"/>
  <c r="MY4" i="13"/>
  <c r="MZ4" i="13"/>
  <c r="NJ4" i="13" s="1"/>
  <c r="NA4" i="13"/>
  <c r="NB4" i="13"/>
  <c r="NC4" i="13"/>
  <c r="ND4" i="13"/>
  <c r="NE4" i="13"/>
  <c r="NM4" i="13" s="1"/>
  <c r="NF4" i="13"/>
  <c r="NG4" i="13"/>
  <c r="CH7" i="4"/>
  <c r="CI7" i="4"/>
  <c r="ML7" i="4"/>
  <c r="MM7" i="4"/>
  <c r="MN7" i="4"/>
  <c r="MP7" i="4"/>
  <c r="MQ7" i="4"/>
  <c r="NC7" i="4"/>
  <c r="ND7" i="4"/>
  <c r="NE7" i="4"/>
  <c r="NM7" i="4" s="1"/>
  <c r="NF7" i="4"/>
  <c r="NG7" i="4"/>
  <c r="BI5" i="14" l="1"/>
  <c r="AM6" i="17"/>
  <c r="IG7" i="17"/>
  <c r="DG4" i="17"/>
  <c r="FG5" i="17"/>
  <c r="BI5" i="17"/>
  <c r="BI6" i="16"/>
  <c r="BI4" i="16"/>
  <c r="BI8" i="16"/>
  <c r="AM5" i="15"/>
  <c r="LS4" i="13"/>
  <c r="LV4" i="13" s="1"/>
  <c r="KA5" i="13"/>
  <c r="KD5" i="13" s="1"/>
  <c r="BJ8" i="4"/>
  <c r="BM8" i="4" s="1"/>
  <c r="AM5" i="14"/>
  <c r="CE7" i="17"/>
  <c r="AM5" i="16"/>
  <c r="AM4" i="15"/>
  <c r="BI5" i="15"/>
  <c r="BI4" i="14"/>
  <c r="CE4" i="14"/>
  <c r="BJ6" i="4"/>
  <c r="BM6" i="4" s="1"/>
  <c r="BJ5" i="4"/>
  <c r="BM5" i="4" s="1"/>
  <c r="CE5" i="17"/>
  <c r="AM7" i="17"/>
  <c r="CE6" i="17"/>
  <c r="AM5" i="17"/>
  <c r="IG5" i="17"/>
  <c r="BI4" i="17"/>
  <c r="BI6" i="17"/>
  <c r="AM4" i="17"/>
  <c r="CE4" i="17"/>
  <c r="CE7" i="16"/>
  <c r="AM9" i="16"/>
  <c r="BI5" i="16"/>
  <c r="CE8" i="16"/>
  <c r="CE6" i="16"/>
  <c r="CE4" i="16"/>
  <c r="CE9" i="16"/>
  <c r="CE5" i="16"/>
  <c r="BI9" i="16"/>
  <c r="AM6" i="16"/>
  <c r="AM4" i="16"/>
  <c r="AM7" i="16"/>
  <c r="IG5" i="16"/>
  <c r="AM8" i="16"/>
  <c r="JG9" i="16"/>
  <c r="DG5" i="15"/>
  <c r="CE5" i="15"/>
  <c r="BI4" i="15"/>
  <c r="LG5" i="14"/>
  <c r="OG4" i="14"/>
  <c r="EG5" i="14"/>
  <c r="HM5" i="13"/>
  <c r="HP5" i="13" s="1"/>
  <c r="EC4" i="13"/>
  <c r="EF4" i="13" s="1"/>
  <c r="II5" i="13"/>
  <c r="IL5" i="13" s="1"/>
  <c r="KA4" i="13"/>
  <c r="KD4" i="13" s="1"/>
  <c r="AM4" i="13"/>
  <c r="AP4" i="13" s="1"/>
  <c r="AM5" i="13"/>
  <c r="AP5" i="13" s="1"/>
  <c r="BJ4" i="13"/>
  <c r="BM4" i="13" s="1"/>
  <c r="BJ5" i="13"/>
  <c r="BM5" i="13" s="1"/>
  <c r="CG4" i="13"/>
  <c r="CJ4" i="13" s="1"/>
  <c r="CG5" i="13"/>
  <c r="CJ5" i="13" s="1"/>
  <c r="DG5" i="13"/>
  <c r="DJ5" i="13" s="1"/>
  <c r="EY4" i="13"/>
  <c r="FB4" i="13" s="1"/>
  <c r="JE5" i="13"/>
  <c r="JH5" i="13" s="1"/>
  <c r="KW4" i="13"/>
  <c r="KZ4" i="13" s="1"/>
  <c r="DG4" i="13"/>
  <c r="DJ4" i="13" s="1"/>
  <c r="AM6" i="4"/>
  <c r="AP6" i="4" s="1"/>
  <c r="BJ4" i="4"/>
  <c r="BM4" i="4" s="1"/>
  <c r="DG7" i="4"/>
  <c r="DJ7" i="4" s="1"/>
  <c r="II9" i="4"/>
  <c r="IL9" i="4" s="1"/>
  <c r="JE4" i="4"/>
  <c r="JH4" i="4" s="1"/>
  <c r="BJ7" i="4"/>
  <c r="BM7" i="4" s="1"/>
  <c r="BJ9" i="4"/>
  <c r="BM9" i="4" s="1"/>
  <c r="AM4" i="4"/>
  <c r="AP4" i="4" s="1"/>
  <c r="AM7" i="4"/>
  <c r="AP7" i="4" s="1"/>
  <c r="AM9" i="4"/>
  <c r="AP9" i="4" s="1"/>
  <c r="AM5" i="4"/>
  <c r="AP5" i="4" s="1"/>
  <c r="HM9" i="4"/>
  <c r="HP9" i="4" s="1"/>
  <c r="II4" i="4"/>
  <c r="IL4" i="4" s="1"/>
  <c r="KW8" i="4"/>
  <c r="KZ8" i="4" s="1"/>
  <c r="AM8" i="4"/>
  <c r="AP8" i="4" s="1"/>
  <c r="DG6" i="4"/>
  <c r="DJ6" i="4" s="1"/>
  <c r="KA5" i="4"/>
  <c r="KD5" i="4" s="1"/>
  <c r="GQ9" i="4"/>
  <c r="GT9" i="4" s="1"/>
  <c r="HM4" i="4"/>
  <c r="HP4" i="4" s="1"/>
  <c r="JE5" i="4"/>
  <c r="JH5" i="4" s="1"/>
  <c r="KW6" i="4"/>
  <c r="KZ6" i="4" s="1"/>
  <c r="DG4" i="4"/>
  <c r="DJ4" i="4" s="1"/>
  <c r="EY5" i="4"/>
  <c r="FB5" i="4" s="1"/>
  <c r="FU8" i="4"/>
  <c r="FX8" i="4" s="1"/>
  <c r="GQ6" i="4"/>
  <c r="GT6" i="4" s="1"/>
  <c r="JE7" i="4"/>
  <c r="JH7" i="4" s="1"/>
  <c r="DG5" i="4"/>
  <c r="DJ5" i="4" s="1"/>
  <c r="EC8" i="4"/>
  <c r="EF8" i="4" s="1"/>
  <c r="EY6" i="4"/>
  <c r="FB6" i="4" s="1"/>
  <c r="HM7" i="4"/>
  <c r="HP7" i="4" s="1"/>
  <c r="GG7" i="17"/>
  <c r="MG4" i="17"/>
  <c r="LG4" i="17"/>
  <c r="NG5" i="17"/>
  <c r="IG4" i="17"/>
  <c r="KG5" i="17"/>
  <c r="DG5" i="17"/>
  <c r="JG7" i="17"/>
  <c r="DG7" i="17"/>
  <c r="FG7" i="17"/>
  <c r="OG7" i="17"/>
  <c r="JG5" i="17"/>
  <c r="EG4" i="17"/>
  <c r="GG5" i="17"/>
  <c r="MG7" i="17"/>
  <c r="LG7" i="16"/>
  <c r="OG9" i="16"/>
  <c r="DG9" i="16"/>
  <c r="LG9" i="16"/>
  <c r="FG9" i="16"/>
  <c r="M9" i="16"/>
  <c r="N9" i="16" s="1"/>
  <c r="EG9" i="16"/>
  <c r="HG4" i="16"/>
  <c r="IG8" i="16"/>
  <c r="GG6" i="16"/>
  <c r="JG4" i="16"/>
  <c r="FG6" i="16"/>
  <c r="GG8" i="16"/>
  <c r="NG5" i="16"/>
  <c r="KG9" i="16"/>
  <c r="HG9" i="16"/>
  <c r="MG9" i="16"/>
  <c r="JG7" i="16"/>
  <c r="NG6" i="16"/>
  <c r="IG5" i="15"/>
  <c r="MG5" i="15"/>
  <c r="HG5" i="15"/>
  <c r="LG5" i="15"/>
  <c r="GG4" i="14"/>
  <c r="NG4" i="14"/>
  <c r="FG5" i="14"/>
  <c r="MG5" i="14"/>
  <c r="HG4" i="14"/>
  <c r="IG5" i="14"/>
  <c r="DG4" i="14"/>
  <c r="KG4" i="14"/>
  <c r="HG5" i="14"/>
  <c r="JG4" i="14"/>
  <c r="DG5" i="14"/>
  <c r="KG5" i="14"/>
  <c r="EG4" i="14"/>
  <c r="LG4" i="14"/>
  <c r="EC5" i="13"/>
  <c r="EF5" i="13" s="1"/>
  <c r="JE4" i="13"/>
  <c r="JH4" i="13" s="1"/>
  <c r="FU5" i="13"/>
  <c r="FX5" i="13" s="1"/>
  <c r="HM4" i="13"/>
  <c r="HP4" i="13" s="1"/>
  <c r="LS5" i="13"/>
  <c r="LV5" i="13" s="1"/>
  <c r="EY5" i="13"/>
  <c r="FB5" i="13" s="1"/>
  <c r="GQ4" i="13"/>
  <c r="GT4" i="13" s="1"/>
  <c r="KW5" i="13"/>
  <c r="KZ5" i="13" s="1"/>
  <c r="FX4" i="13"/>
  <c r="FU7" i="4"/>
  <c r="FX7" i="4" s="1"/>
  <c r="KW9" i="4"/>
  <c r="KZ9" i="4" s="1"/>
  <c r="LS4" i="4"/>
  <c r="LV4" i="4" s="1"/>
  <c r="KA8" i="4"/>
  <c r="KD8" i="4" s="1"/>
  <c r="EY9" i="4"/>
  <c r="FB9" i="4" s="1"/>
  <c r="FU4" i="4"/>
  <c r="FX4" i="4" s="1"/>
  <c r="HM5" i="4"/>
  <c r="HP5" i="4" s="1"/>
  <c r="II8" i="4"/>
  <c r="IL8" i="4" s="1"/>
  <c r="JE6" i="4"/>
  <c r="JH6" i="4" s="1"/>
  <c r="LS7" i="4"/>
  <c r="LV7" i="4" s="1"/>
  <c r="EY7" i="4"/>
  <c r="FB7" i="4" s="1"/>
  <c r="KA9" i="4"/>
  <c r="KD9" i="4" s="1"/>
  <c r="KW4" i="4"/>
  <c r="KZ4" i="4" s="1"/>
  <c r="KW5" i="4"/>
  <c r="KZ5" i="4" s="1"/>
  <c r="LS8" i="4"/>
  <c r="LV8" i="4" s="1"/>
  <c r="LS6" i="4"/>
  <c r="LV6" i="4" s="1"/>
  <c r="FU9" i="4"/>
  <c r="FX9" i="4" s="1"/>
  <c r="GQ4" i="4"/>
  <c r="GT4" i="4" s="1"/>
  <c r="II5" i="4"/>
  <c r="IL5" i="4" s="1"/>
  <c r="JE8" i="4"/>
  <c r="JH8" i="4" s="1"/>
  <c r="KA6" i="4"/>
  <c r="KD6" i="4" s="1"/>
  <c r="DG9" i="4"/>
  <c r="DJ9" i="4" s="1"/>
  <c r="EC4" i="4"/>
  <c r="EF4" i="4" s="1"/>
  <c r="FU5" i="4"/>
  <c r="FX5" i="4" s="1"/>
  <c r="GG5" i="15"/>
  <c r="EG4" i="15"/>
  <c r="EG5" i="15"/>
  <c r="NG5" i="15"/>
  <c r="NG9" i="16"/>
  <c r="IG9" i="16"/>
  <c r="GG9" i="16"/>
  <c r="K9" i="16"/>
  <c r="CF9" i="16" s="1"/>
  <c r="OZ9" i="16"/>
  <c r="OY9" i="16"/>
  <c r="PA9" i="16"/>
  <c r="PB9" i="16"/>
  <c r="F9" i="16"/>
  <c r="I9" i="16"/>
  <c r="G9" i="16"/>
  <c r="DG6" i="16"/>
  <c r="EG8" i="16"/>
  <c r="GG4" i="16"/>
  <c r="LG5" i="16"/>
  <c r="NG7" i="16"/>
  <c r="DG8" i="16"/>
  <c r="FG4" i="16"/>
  <c r="KG5" i="16"/>
  <c r="EG4" i="16"/>
  <c r="FG4" i="17"/>
  <c r="HG5" i="17"/>
  <c r="NG7" i="17"/>
  <c r="GG5" i="16"/>
  <c r="MG6" i="16"/>
  <c r="NG8" i="16"/>
  <c r="KG5" i="15"/>
  <c r="GQ5" i="13"/>
  <c r="GT5" i="13" s="1"/>
  <c r="II4" i="13"/>
  <c r="IL4" i="13" s="1"/>
  <c r="GQ8" i="4"/>
  <c r="GT8" i="4" s="1"/>
  <c r="HM6" i="4"/>
  <c r="HP6" i="4" s="1"/>
  <c r="KA7" i="4"/>
  <c r="KD7" i="4" s="1"/>
  <c r="HG7" i="16"/>
  <c r="FG4" i="14"/>
  <c r="MG4" i="14"/>
  <c r="DG8" i="4"/>
  <c r="DJ8" i="4" s="1"/>
  <c r="EC6" i="4"/>
  <c r="EF6" i="4" s="1"/>
  <c r="GQ7" i="4"/>
  <c r="GT7" i="4" s="1"/>
  <c r="LS9" i="4"/>
  <c r="LV9" i="4" s="1"/>
  <c r="EG5" i="16"/>
  <c r="GG7" i="16"/>
  <c r="KG6" i="16"/>
  <c r="LG8" i="16"/>
  <c r="NG4" i="16"/>
  <c r="DG5" i="16"/>
  <c r="KG8" i="16"/>
  <c r="MG4" i="16"/>
  <c r="EG7" i="16"/>
  <c r="IG6" i="16"/>
  <c r="JG8" i="16"/>
  <c r="LG4" i="16"/>
  <c r="EG6" i="17"/>
  <c r="EG5" i="17"/>
  <c r="GG4" i="17"/>
  <c r="JG4" i="17"/>
  <c r="LG5" i="17"/>
  <c r="NG6" i="17"/>
  <c r="HG6" i="17"/>
  <c r="KG6" i="17"/>
  <c r="LG7" i="17"/>
  <c r="FG6" i="17"/>
  <c r="MG6" i="17"/>
  <c r="M7" i="17"/>
  <c r="CG7" i="17" s="1"/>
  <c r="GG6" i="17"/>
  <c r="JG6" i="17"/>
  <c r="KG7" i="17"/>
  <c r="DG6" i="17"/>
  <c r="EG7" i="17"/>
  <c r="HG7" i="17"/>
  <c r="NG4" i="17"/>
  <c r="LG6" i="17"/>
  <c r="IG6" i="17"/>
  <c r="HG4" i="17"/>
  <c r="KG4" i="17"/>
  <c r="MG5" i="17"/>
  <c r="FG8" i="16"/>
  <c r="IG4" i="16"/>
  <c r="MG8" i="16"/>
  <c r="DG7" i="16"/>
  <c r="HG5" i="16"/>
  <c r="JG6" i="16"/>
  <c r="KG7" i="16"/>
  <c r="FG5" i="16"/>
  <c r="HG6" i="16"/>
  <c r="IG7" i="16"/>
  <c r="MG5" i="16"/>
  <c r="DG4" i="16"/>
  <c r="HG8" i="16"/>
  <c r="KG4" i="16"/>
  <c r="EG6" i="16"/>
  <c r="FG7" i="16"/>
  <c r="JG5" i="16"/>
  <c r="LG6" i="16"/>
  <c r="MG7" i="16"/>
  <c r="IG4" i="15"/>
  <c r="MG4" i="15"/>
  <c r="HG4" i="15"/>
  <c r="LG4" i="15"/>
  <c r="GG4" i="15"/>
  <c r="KG4" i="15"/>
  <c r="FG4" i="15"/>
  <c r="FG5" i="15"/>
  <c r="NG4" i="15"/>
  <c r="DG4" i="15"/>
  <c r="JG4" i="15"/>
  <c r="JG5" i="15"/>
  <c r="GG5" i="14"/>
  <c r="NG5" i="14"/>
  <c r="IG4" i="14"/>
  <c r="JG5" i="14"/>
  <c r="EC9" i="4"/>
  <c r="EF9" i="4" s="1"/>
  <c r="EY4" i="4"/>
  <c r="FB4" i="4" s="1"/>
  <c r="GQ5" i="4"/>
  <c r="GT5" i="4" s="1"/>
  <c r="HM8" i="4"/>
  <c r="HP8" i="4" s="1"/>
  <c r="II6" i="4"/>
  <c r="IL6" i="4" s="1"/>
  <c r="KW7" i="4"/>
  <c r="KZ7" i="4" s="1"/>
  <c r="EC5" i="4"/>
  <c r="EF5" i="4" s="1"/>
  <c r="EY8" i="4"/>
  <c r="FB8" i="4" s="1"/>
  <c r="FU6" i="4"/>
  <c r="FX6" i="4" s="1"/>
  <c r="II7" i="4"/>
  <c r="IL7" i="4" s="1"/>
  <c r="MO9" i="4"/>
  <c r="MR9" i="4" s="1"/>
  <c r="EC7" i="4"/>
  <c r="EF7" i="4" s="1"/>
  <c r="JE9" i="4"/>
  <c r="JH9" i="4" s="1"/>
  <c r="KA4" i="4"/>
  <c r="KD4" i="4" s="1"/>
  <c r="LS5" i="4"/>
  <c r="LV5" i="4" s="1"/>
  <c r="OG6" i="16"/>
  <c r="MO4" i="13"/>
  <c r="MR4" i="13" s="1"/>
  <c r="MO6" i="4"/>
  <c r="MR6" i="4" s="1"/>
  <c r="MO4" i="4"/>
  <c r="MR4" i="4" s="1"/>
  <c r="O8" i="4"/>
  <c r="CN8" i="4" s="1"/>
  <c r="MO8" i="4"/>
  <c r="MR8" i="4" s="1"/>
  <c r="OG7" i="16"/>
  <c r="M6" i="16"/>
  <c r="CG6" i="16" s="1"/>
  <c r="PA7" i="16"/>
  <c r="M7" i="16"/>
  <c r="CG7" i="16" s="1"/>
  <c r="OG5" i="15"/>
  <c r="NN9" i="4"/>
  <c r="O6" i="4"/>
  <c r="CN6" i="4" s="1"/>
  <c r="O4" i="4"/>
  <c r="P4" i="4" s="1"/>
  <c r="O9" i="4"/>
  <c r="P9" i="4" s="1"/>
  <c r="I7" i="17"/>
  <c r="J7" i="17" s="1"/>
  <c r="OY7" i="17"/>
  <c r="G7" i="17"/>
  <c r="PA7" i="17"/>
  <c r="PB7" i="17"/>
  <c r="OZ7" i="17"/>
  <c r="F7" i="17"/>
  <c r="K7" i="17"/>
  <c r="I7" i="16"/>
  <c r="J7" i="16" s="1"/>
  <c r="PB7" i="16"/>
  <c r="F7" i="16"/>
  <c r="OZ7" i="16"/>
  <c r="OY7" i="16"/>
  <c r="K7" i="16"/>
  <c r="G7" i="16"/>
  <c r="OG5" i="16"/>
  <c r="M5" i="16"/>
  <c r="CG5" i="16" s="1"/>
  <c r="I6" i="16"/>
  <c r="J6" i="16" s="1"/>
  <c r="OZ6" i="16"/>
  <c r="OY6" i="16"/>
  <c r="G6" i="16"/>
  <c r="PA6" i="16"/>
  <c r="PB6" i="16"/>
  <c r="F6" i="16"/>
  <c r="K6" i="16"/>
  <c r="I5" i="16"/>
  <c r="J5" i="16" s="1"/>
  <c r="OZ5" i="16"/>
  <c r="OY5" i="16"/>
  <c r="G5" i="16"/>
  <c r="PA5" i="16"/>
  <c r="PB5" i="16"/>
  <c r="F5" i="16"/>
  <c r="K5" i="16"/>
  <c r="M5" i="15"/>
  <c r="CG5" i="15" s="1"/>
  <c r="I5" i="15"/>
  <c r="J5" i="15" s="1"/>
  <c r="OY5" i="15"/>
  <c r="G5" i="15"/>
  <c r="F5" i="15"/>
  <c r="PA5" i="15"/>
  <c r="PB5" i="15"/>
  <c r="OZ5" i="15"/>
  <c r="K5" i="15"/>
  <c r="I4" i="14"/>
  <c r="J4" i="14" s="1"/>
  <c r="OZ4" i="14"/>
  <c r="G4" i="14"/>
  <c r="OY4" i="14"/>
  <c r="PB4" i="14"/>
  <c r="F4" i="14"/>
  <c r="M4" i="14"/>
  <c r="CG4" i="14" s="1"/>
  <c r="K4" i="14"/>
  <c r="PA4" i="14"/>
  <c r="NN8" i="4"/>
  <c r="OG6" i="17"/>
  <c r="OG4" i="17"/>
  <c r="M4" i="16"/>
  <c r="N4" i="16" s="1"/>
  <c r="OG4" i="16"/>
  <c r="MO7" i="4"/>
  <c r="MR7" i="4" s="1"/>
  <c r="M4" i="17"/>
  <c r="N4" i="17" s="1"/>
  <c r="OG5" i="17"/>
  <c r="OG8" i="16"/>
  <c r="MO5" i="13"/>
  <c r="MR5" i="13" s="1"/>
  <c r="NN6" i="4"/>
  <c r="OY5" i="17"/>
  <c r="PA5" i="17"/>
  <c r="OY4" i="17"/>
  <c r="G4" i="17"/>
  <c r="I6" i="17"/>
  <c r="J6" i="17" s="1"/>
  <c r="F6" i="17"/>
  <c r="PB5" i="17"/>
  <c r="K4" i="17"/>
  <c r="OY6" i="17"/>
  <c r="M5" i="17"/>
  <c r="CG5" i="17" s="1"/>
  <c r="F4" i="17"/>
  <c r="PA6" i="17"/>
  <c r="OZ4" i="17"/>
  <c r="OZ5" i="17"/>
  <c r="G6" i="17"/>
  <c r="PB6" i="17"/>
  <c r="PA4" i="17"/>
  <c r="PB4" i="17"/>
  <c r="F5" i="17"/>
  <c r="I5" i="17"/>
  <c r="J5" i="17" s="1"/>
  <c r="OZ6" i="17"/>
  <c r="K5" i="17"/>
  <c r="M6" i="17"/>
  <c r="N6" i="17" s="1"/>
  <c r="PA4" i="16"/>
  <c r="OY8" i="16"/>
  <c r="M8" i="16"/>
  <c r="N8" i="16" s="1"/>
  <c r="I4" i="16"/>
  <c r="J4" i="16" s="1"/>
  <c r="NK5" i="13"/>
  <c r="NN7" i="4"/>
  <c r="G5" i="17"/>
  <c r="K6" i="17"/>
  <c r="I4" i="17"/>
  <c r="PB8" i="16"/>
  <c r="OZ8" i="16"/>
  <c r="PA8" i="16"/>
  <c r="G4" i="16"/>
  <c r="PB4" i="16"/>
  <c r="OZ4" i="16"/>
  <c r="OY4" i="16"/>
  <c r="I8" i="16"/>
  <c r="J8" i="16" s="1"/>
  <c r="F4" i="16"/>
  <c r="G8" i="16"/>
  <c r="F8" i="16"/>
  <c r="K8" i="16"/>
  <c r="K4" i="16"/>
  <c r="NI4" i="13"/>
  <c r="NK4" i="13"/>
  <c r="O4" i="13"/>
  <c r="CN4" i="13" s="1"/>
  <c r="NI5" i="13"/>
  <c r="NN5" i="13"/>
  <c r="O5" i="13"/>
  <c r="P5" i="13" s="1"/>
  <c r="O7" i="4"/>
  <c r="P7" i="4" s="1"/>
  <c r="PC4" i="16" l="1"/>
  <c r="NL5" i="13"/>
  <c r="NL4" i="13"/>
  <c r="PC7" i="17"/>
  <c r="PC6" i="17"/>
  <c r="PC5" i="17"/>
  <c r="PC4" i="17"/>
  <c r="L9" i="16"/>
  <c r="PC7" i="16"/>
  <c r="PC8" i="16"/>
  <c r="PC5" i="16"/>
  <c r="CG9" i="16"/>
  <c r="O9" i="16" s="1"/>
  <c r="Q9" i="16" s="1"/>
  <c r="PC9" i="16"/>
  <c r="PC6" i="16"/>
  <c r="PC5" i="15"/>
  <c r="PC4" i="14"/>
  <c r="H9" i="16"/>
  <c r="A9" i="16" s="1" a="1"/>
  <c r="A9" i="16" s="1"/>
  <c r="J9" i="16"/>
  <c r="P8" i="4"/>
  <c r="N7" i="17"/>
  <c r="L5" i="17"/>
  <c r="CN9" i="4"/>
  <c r="P6" i="4"/>
  <c r="N7" i="16"/>
  <c r="N4" i="14"/>
  <c r="H7" i="17"/>
  <c r="A7" i="17" s="1" a="1"/>
  <c r="A7" i="17" s="1"/>
  <c r="N6" i="16"/>
  <c r="N5" i="15"/>
  <c r="CN4" i="4"/>
  <c r="CF7" i="17"/>
  <c r="O7" i="17" s="1"/>
  <c r="L7" i="17"/>
  <c r="CG4" i="17"/>
  <c r="N5" i="16"/>
  <c r="H5" i="16"/>
  <c r="A5" i="16" s="1" a="1"/>
  <c r="A5" i="16" s="1"/>
  <c r="H7" i="16"/>
  <c r="A7" i="16" s="1" a="1"/>
  <c r="A7" i="16" s="1"/>
  <c r="CF7" i="16"/>
  <c r="O7" i="16" s="1"/>
  <c r="L7" i="16"/>
  <c r="H6" i="16"/>
  <c r="A6" i="16" s="1" a="1"/>
  <c r="A6" i="16" s="1"/>
  <c r="CF6" i="16"/>
  <c r="O6" i="16" s="1"/>
  <c r="L6" i="16"/>
  <c r="CF5" i="16"/>
  <c r="O5" i="16" s="1"/>
  <c r="L5" i="16"/>
  <c r="H5" i="15"/>
  <c r="A5" i="15" s="1" a="1"/>
  <c r="A5" i="15" s="1"/>
  <c r="CF5" i="15"/>
  <c r="O5" i="15" s="1"/>
  <c r="L5" i="15"/>
  <c r="H4" i="14"/>
  <c r="A4" i="14" s="1" a="1"/>
  <c r="A4" i="14" s="1"/>
  <c r="CF4" i="14"/>
  <c r="O4" i="14" s="1"/>
  <c r="L4" i="14"/>
  <c r="L4" i="17"/>
  <c r="H4" i="17"/>
  <c r="A4" i="17" s="1" a="1"/>
  <c r="A4" i="17" s="1"/>
  <c r="CG4" i="16"/>
  <c r="CF4" i="17"/>
  <c r="F5" i="13"/>
  <c r="I5" i="13"/>
  <c r="I4" i="13"/>
  <c r="F4" i="13"/>
  <c r="CG6" i="17"/>
  <c r="N5" i="17"/>
  <c r="CF5" i="17"/>
  <c r="O5" i="17" s="1"/>
  <c r="H6" i="17"/>
  <c r="A6" i="17" s="1" a="1"/>
  <c r="A6" i="17" s="1"/>
  <c r="H5" i="17"/>
  <c r="A5" i="17" s="1" a="1"/>
  <c r="A5" i="17" s="1"/>
  <c r="H4" i="16"/>
  <c r="CG8" i="16"/>
  <c r="G4" i="13"/>
  <c r="H4" i="13" s="1"/>
  <c r="J4" i="17"/>
  <c r="CF6" i="17"/>
  <c r="L6" i="17"/>
  <c r="H8" i="16"/>
  <c r="CF8" i="16"/>
  <c r="L8" i="16"/>
  <c r="CF4" i="16"/>
  <c r="L4" i="16"/>
  <c r="P4" i="13"/>
  <c r="G5" i="13"/>
  <c r="H5" i="13" s="1"/>
  <c r="CN5" i="13"/>
  <c r="CN7" i="4"/>
  <c r="P9" i="16" l="1"/>
  <c r="K4" i="13"/>
  <c r="M4" i="13"/>
  <c r="CL4" i="13" s="1"/>
  <c r="K5" i="13"/>
  <c r="CK5" i="13" s="1"/>
  <c r="M5" i="13"/>
  <c r="CL5" i="13" s="1"/>
  <c r="E9" i="16"/>
  <c r="O4" i="17"/>
  <c r="Q4" i="17" s="1"/>
  <c r="E7" i="17"/>
  <c r="Q7" i="17"/>
  <c r="P7" i="17"/>
  <c r="E7" i="16"/>
  <c r="Q7" i="16"/>
  <c r="P7" i="16"/>
  <c r="O4" i="16"/>
  <c r="Q4" i="16" s="1"/>
  <c r="E6" i="16"/>
  <c r="Q6" i="16"/>
  <c r="P6" i="16"/>
  <c r="E5" i="16"/>
  <c r="Q5" i="16"/>
  <c r="P5" i="16"/>
  <c r="E5" i="15"/>
  <c r="Q5" i="15"/>
  <c r="P5" i="15"/>
  <c r="E4" i="14"/>
  <c r="Q4" i="14"/>
  <c r="P4" i="14"/>
  <c r="NO5" i="13"/>
  <c r="O6" i="17"/>
  <c r="E6" i="17" s="1"/>
  <c r="CM5" i="13"/>
  <c r="J5" i="13"/>
  <c r="J4" i="13"/>
  <c r="L4" i="13" s="1"/>
  <c r="CM4" i="13"/>
  <c r="O8" i="16"/>
  <c r="Q8" i="16" s="1"/>
  <c r="P5" i="17"/>
  <c r="Q5" i="17"/>
  <c r="E5" i="17"/>
  <c r="CK4" i="13"/>
  <c r="L5" i="13" l="1"/>
  <c r="N5" i="13"/>
  <c r="N4" i="13"/>
  <c r="E4" i="17"/>
  <c r="P4" i="17"/>
  <c r="E4" i="16"/>
  <c r="Q6" i="17"/>
  <c r="P6" i="17"/>
  <c r="P4" i="16"/>
  <c r="E8" i="16"/>
  <c r="Q4" i="13"/>
  <c r="R4" i="13" s="1"/>
  <c r="P8" i="16"/>
  <c r="A8" i="16" a="1"/>
  <c r="A8" i="16" s="1"/>
  <c r="Q5" i="13"/>
  <c r="E5" i="13" l="1"/>
  <c r="E4" i="13"/>
  <c r="S4" i="13"/>
  <c r="R5" i="13"/>
  <c r="S5" i="13"/>
  <c r="A4" i="13" l="1" a="1"/>
  <c r="A4" i="13" s="1"/>
  <c r="A5" i="13" a="1"/>
  <c r="A5" i="13" s="1"/>
  <c r="CA4" i="15" l="1"/>
  <c r="CB4" i="15"/>
  <c r="CC4" i="15"/>
  <c r="CD4" i="15"/>
  <c r="OB4" i="15"/>
  <c r="OC4" i="15"/>
  <c r="OD4" i="15"/>
  <c r="OE4" i="15"/>
  <c r="OF4" i="15"/>
  <c r="OH4" i="15"/>
  <c r="OI4" i="15"/>
  <c r="OJ4" i="15"/>
  <c r="OK4" i="15"/>
  <c r="OL4" i="15"/>
  <c r="OM4" i="15"/>
  <c r="ON4" i="15"/>
  <c r="OO4" i="15"/>
  <c r="OP4" i="15"/>
  <c r="OQ4" i="15"/>
  <c r="OR4" i="15"/>
  <c r="OS4" i="15"/>
  <c r="OT4" i="15"/>
  <c r="OU4" i="15"/>
  <c r="OV4" i="15"/>
  <c r="OW4" i="15"/>
  <c r="CE4" i="15" l="1"/>
  <c r="M4" i="15"/>
  <c r="N4" i="15" s="1"/>
  <c r="OG4" i="15"/>
  <c r="PB4" i="15"/>
  <c r="PA4" i="15"/>
  <c r="OY4" i="15"/>
  <c r="OZ4" i="15"/>
  <c r="PC4" i="15" s="1"/>
  <c r="F4" i="15"/>
  <c r="I4" i="15"/>
  <c r="J4" i="15" s="1"/>
  <c r="G4" i="15"/>
  <c r="K4" i="15"/>
  <c r="CD5" i="4"/>
  <c r="CE5" i="4"/>
  <c r="CF5" i="4"/>
  <c r="CH5" i="4"/>
  <c r="CI5" i="4"/>
  <c r="ML5" i="4"/>
  <c r="MM5" i="4"/>
  <c r="MN5" i="4"/>
  <c r="MP5" i="4"/>
  <c r="MQ5" i="4"/>
  <c r="MS5" i="4"/>
  <c r="MT5" i="4"/>
  <c r="MU5" i="4"/>
  <c r="MV5" i="4"/>
  <c r="MW5" i="4"/>
  <c r="MX5" i="4"/>
  <c r="MY5" i="4"/>
  <c r="MZ5" i="4"/>
  <c r="NJ5" i="4" s="1"/>
  <c r="NA5" i="4"/>
  <c r="NB5" i="4"/>
  <c r="NC5" i="4"/>
  <c r="ND5" i="4"/>
  <c r="NE5" i="4"/>
  <c r="NM5" i="4" s="1"/>
  <c r="NF5" i="4"/>
  <c r="NG5" i="4"/>
  <c r="NN5" i="4" s="1"/>
  <c r="CA5" i="14"/>
  <c r="CB5" i="14"/>
  <c r="CC5" i="14"/>
  <c r="CD5" i="14"/>
  <c r="OB5" i="14"/>
  <c r="OC5" i="14"/>
  <c r="OD5" i="14"/>
  <c r="OE5" i="14"/>
  <c r="OF5" i="14"/>
  <c r="OH5" i="14"/>
  <c r="OI5" i="14"/>
  <c r="OJ5" i="14"/>
  <c r="OK5" i="14"/>
  <c r="OL5" i="14"/>
  <c r="OM5" i="14"/>
  <c r="ON5" i="14"/>
  <c r="OO5" i="14"/>
  <c r="OP5" i="14"/>
  <c r="OQ5" i="14"/>
  <c r="OR5" i="14"/>
  <c r="OS5" i="14"/>
  <c r="OT5" i="14"/>
  <c r="OU5" i="14"/>
  <c r="OV5" i="14"/>
  <c r="OW5" i="14"/>
  <c r="CE5" i="14" l="1"/>
  <c r="CG5" i="4"/>
  <c r="L4" i="15"/>
  <c r="CG4" i="15"/>
  <c r="H4" i="15"/>
  <c r="CF4" i="15"/>
  <c r="OG5" i="14"/>
  <c r="O5" i="4"/>
  <c r="P5" i="4" s="1"/>
  <c r="NN4" i="4"/>
  <c r="MO5" i="4"/>
  <c r="MR5" i="4" s="1"/>
  <c r="NK5" i="4"/>
  <c r="NI5" i="4"/>
  <c r="M5" i="14"/>
  <c r="N5" i="14" s="1"/>
  <c r="OZ5" i="14"/>
  <c r="PB5" i="14"/>
  <c r="PA5" i="14"/>
  <c r="OY5" i="14"/>
  <c r="G5" i="14"/>
  <c r="F5" i="14"/>
  <c r="I5" i="14"/>
  <c r="K5" i="14"/>
  <c r="PC5" i="14" l="1"/>
  <c r="NL5" i="4"/>
  <c r="O4" i="15"/>
  <c r="E4" i="15" s="1"/>
  <c r="L5" i="14"/>
  <c r="I5" i="4"/>
  <c r="CN5" i="4"/>
  <c r="F5" i="4"/>
  <c r="CJ5" i="4"/>
  <c r="G5" i="4"/>
  <c r="H5" i="4" s="1"/>
  <c r="CG5" i="14"/>
  <c r="H5" i="14"/>
  <c r="J5" i="14"/>
  <c r="CF5" i="14"/>
  <c r="J5" i="4" l="1"/>
  <c r="M5" i="4"/>
  <c r="N5" i="4" s="1"/>
  <c r="A4" i="16" a="1"/>
  <c r="A4" i="16" s="1"/>
  <c r="P4" i="15"/>
  <c r="Q4" i="15"/>
  <c r="K5" i="4"/>
  <c r="CK5" i="4" s="1"/>
  <c r="CM5" i="4"/>
  <c r="O5" i="14"/>
  <c r="E5" i="14" s="1"/>
  <c r="CL5" i="4" l="1"/>
  <c r="Q5" i="4" s="1"/>
  <c r="L5" i="4"/>
  <c r="Q5" i="14"/>
  <c r="P5" i="14"/>
  <c r="E5" i="4" l="1"/>
  <c r="S5" i="4"/>
  <c r="R5" i="4"/>
  <c r="A5" i="4" l="1" a="1"/>
  <c r="A5" i="4" s="1"/>
  <c r="A4" i="15" l="1" a="1"/>
  <c r="A4" i="15" s="1"/>
  <c r="A5" i="14" a="1"/>
  <c r="A5" i="14" s="1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NN4" i="13" l="1"/>
  <c r="NO4" i="13" l="1"/>
  <c r="D8" i="11" l="1"/>
  <c r="D7" i="11"/>
  <c r="C9" i="11"/>
  <c r="C8" i="11"/>
  <c r="C6" i="11"/>
  <c r="D9" i="11"/>
  <c r="C7" i="11"/>
  <c r="D6" i="11"/>
  <c r="MS6" i="4" l="1"/>
  <c r="MS7" i="4"/>
  <c r="MS9" i="4"/>
  <c r="MS4" i="4"/>
  <c r="CD7" i="4"/>
  <c r="CD6" i="4"/>
  <c r="MS8" i="4"/>
  <c r="CD8" i="4"/>
  <c r="CD4" i="4"/>
  <c r="CD9" i="4"/>
  <c r="MX6" i="4"/>
  <c r="MX8" i="4"/>
  <c r="MX4" i="4"/>
  <c r="MX9" i="4"/>
  <c r="MX7" i="4"/>
  <c r="MT8" i="4"/>
  <c r="NB9" i="4"/>
  <c r="MW7" i="4"/>
  <c r="MW6" i="4"/>
  <c r="CF6" i="4"/>
  <c r="NA9" i="4"/>
  <c r="NB4" i="4"/>
  <c r="MV6" i="4"/>
  <c r="MZ6" i="4"/>
  <c r="NJ6" i="4" s="1"/>
  <c r="NA6" i="4"/>
  <c r="MZ7" i="4"/>
  <c r="NJ7" i="4" s="1"/>
  <c r="MV8" i="4"/>
  <c r="MU8" i="4"/>
  <c r="NA4" i="4"/>
  <c r="MY9" i="4"/>
  <c r="MT4" i="4"/>
  <c r="MT6" i="4"/>
  <c r="CF8" i="4"/>
  <c r="MW9" i="4"/>
  <c r="NB7" i="4"/>
  <c r="NA7" i="4"/>
  <c r="MW8" i="4"/>
  <c r="CF7" i="4"/>
  <c r="MT7" i="4"/>
  <c r="MY4" i="4"/>
  <c r="NB8" i="4"/>
  <c r="MV9" i="4"/>
  <c r="MZ9" i="4"/>
  <c r="NJ9" i="4" s="1"/>
  <c r="CF9" i="4"/>
  <c r="MW4" i="4"/>
  <c r="CF4" i="4"/>
  <c r="NA8" i="4"/>
  <c r="MU9" i="4"/>
  <c r="NB6" i="4"/>
  <c r="MU7" i="4"/>
  <c r="MU6" i="4"/>
  <c r="MV4" i="4"/>
  <c r="MZ4" i="4"/>
  <c r="NJ4" i="4" s="1"/>
  <c r="MZ8" i="4"/>
  <c r="NJ8" i="4" s="1"/>
  <c r="MT9" i="4"/>
  <c r="MY7" i="4"/>
  <c r="MY6" i="4"/>
  <c r="MV7" i="4"/>
  <c r="CE7" i="4"/>
  <c r="CE4" i="4"/>
  <c r="MU4" i="4"/>
  <c r="MY8" i="4"/>
  <c r="CE8" i="4"/>
  <c r="CE6" i="4"/>
  <c r="CE9" i="4"/>
  <c r="CG6" i="4" l="1"/>
  <c r="CG7" i="4"/>
  <c r="CG9" i="4"/>
  <c r="I9" i="4" s="1"/>
  <c r="M9" i="4" s="1"/>
  <c r="N9" i="4" s="1"/>
  <c r="CG4" i="4"/>
  <c r="CG8" i="4"/>
  <c r="G8" i="4" s="1"/>
  <c r="H8" i="4" s="1"/>
  <c r="A8" i="4" s="1" a="1"/>
  <c r="A8" i="4" s="1"/>
  <c r="NI6" i="4"/>
  <c r="G4" i="4"/>
  <c r="H4" i="4" s="1"/>
  <c r="A4" i="4" s="1" a="1"/>
  <c r="A4" i="4" s="1"/>
  <c r="NI9" i="4"/>
  <c r="NK8" i="4"/>
  <c r="NI7" i="4"/>
  <c r="NI8" i="4"/>
  <c r="F6" i="4"/>
  <c r="NK4" i="4"/>
  <c r="NI4" i="4"/>
  <c r="NL4" i="4" s="1"/>
  <c r="NO4" i="4" s="1"/>
  <c r="NK6" i="4"/>
  <c r="NK7" i="4"/>
  <c r="G7" i="4"/>
  <c r="H7" i="4" s="1"/>
  <c r="A7" i="4" s="1" a="1"/>
  <c r="A7" i="4" s="1"/>
  <c r="NK9" i="4"/>
  <c r="F9" i="4" l="1"/>
  <c r="NL9" i="4"/>
  <c r="NL6" i="4"/>
  <c r="NL8" i="4"/>
  <c r="NL7" i="4"/>
  <c r="NO9" i="4"/>
  <c r="I4" i="4"/>
  <c r="F4" i="4"/>
  <c r="I7" i="4"/>
  <c r="I8" i="4"/>
  <c r="F7" i="4"/>
  <c r="CJ7" i="4"/>
  <c r="CJ8" i="4"/>
  <c r="CJ4" i="4"/>
  <c r="F8" i="4"/>
  <c r="CJ9" i="4"/>
  <c r="G9" i="4"/>
  <c r="H9" i="4" s="1"/>
  <c r="A9" i="4" s="1" a="1"/>
  <c r="A9" i="4" s="1"/>
  <c r="G6" i="4"/>
  <c r="H6" i="4" s="1"/>
  <c r="A6" i="4" s="1" a="1"/>
  <c r="A6" i="4" s="1"/>
  <c r="I6" i="4"/>
  <c r="CJ6" i="4"/>
  <c r="CM9" i="4"/>
  <c r="J9" i="4"/>
  <c r="K9" i="4"/>
  <c r="J8" i="4" l="1"/>
  <c r="M8" i="4"/>
  <c r="N8" i="4" s="1"/>
  <c r="J7" i="4"/>
  <c r="M7" i="4"/>
  <c r="N7" i="4" s="1"/>
  <c r="CM4" i="4"/>
  <c r="M4" i="4"/>
  <c r="J6" i="4"/>
  <c r="M6" i="4"/>
  <c r="N6" i="4" s="1"/>
  <c r="K4" i="4"/>
  <c r="K7" i="4"/>
  <c r="CK7" i="4" s="1"/>
  <c r="J4" i="4"/>
  <c r="CM7" i="4"/>
  <c r="CM8" i="4"/>
  <c r="K8" i="4"/>
  <c r="L8" i="4" s="1"/>
  <c r="NO6" i="4"/>
  <c r="CM6" i="4"/>
  <c r="K6" i="4"/>
  <c r="CK6" i="4" s="1"/>
  <c r="NO5" i="4"/>
  <c r="NO8" i="4"/>
  <c r="D2" i="11"/>
  <c r="NO7" i="4"/>
  <c r="C2" i="11"/>
  <c r="C5" i="11"/>
  <c r="C4" i="11"/>
  <c r="D3" i="11"/>
  <c r="D4" i="11"/>
  <c r="D5" i="11"/>
  <c r="C3" i="11"/>
  <c r="L9" i="4"/>
  <c r="CK9" i="4"/>
  <c r="CL9" i="4"/>
  <c r="CL8" i="4" l="1"/>
  <c r="N4" i="4"/>
  <c r="L4" i="4"/>
  <c r="CL7" i="4"/>
  <c r="L7" i="4"/>
  <c r="CK4" i="4"/>
  <c r="CL6" i="4"/>
  <c r="Q6" i="4" s="1"/>
  <c r="CK8" i="4"/>
  <c r="Q8" i="4" s="1"/>
  <c r="S8" i="4" s="1"/>
  <c r="CL4" i="4"/>
  <c r="L6" i="4"/>
  <c r="Q9" i="4"/>
  <c r="S9" i="4" s="1"/>
  <c r="Q7" i="4"/>
  <c r="R7" i="4" s="1"/>
  <c r="Q4" i="4" l="1"/>
  <c r="R4" i="4" s="1"/>
  <c r="R6" i="4"/>
  <c r="S6" i="4"/>
  <c r="E6" i="4"/>
  <c r="E4" i="4"/>
  <c r="E9" i="4"/>
  <c r="R9" i="4"/>
  <c r="R8" i="4"/>
  <c r="S4" i="4"/>
  <c r="E7" i="4"/>
  <c r="E8" i="4"/>
  <c r="S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<sst xmlns="http://schemas.openxmlformats.org/spreadsheetml/2006/main" count="3013" uniqueCount="101">
  <si>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</si>
  <si>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</si>
  <si>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</si>
  <si>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</si>
  <si>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</si>
  <si>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</si>
  <si>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</si>
  <si>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</si>
  <si>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</si>
  <si>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</si>
  <si>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</si>
  <si>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</si>
  <si>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</si>
  <si>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</si>
  <si>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</si>
  <si>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</si>
  <si>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</si>
  <si>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</si>
  <si>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</si>
  <si>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</si>
  <si>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</si>
  <si>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</si>
  <si>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</si>
  <si>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</si>
  <si>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</si>
  <si>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</si>
  <si>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</si>
  <si>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</si>
  <si>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</si>
  <si>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</si>
  <si>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</si>
  <si>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</si>
  <si>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</si>
  <si>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</si>
  <si>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</si>
  <si>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</si>
  <si>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</si>
  <si>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</si>
  <si>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</si>
  <si>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</si>
  <si>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</si>
  <si>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</si>
  <si>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</si>
  <si>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</si>
  <si>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</si>
  <si>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</si>
  <si>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</si>
  <si>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</si>
  <si>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</si>
  <si>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</si>
  <si>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</si>
  <si>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</si>
  <si>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</si>
  <si>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</si>
  <si>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</si>
  <si>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</si>
  <si>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</si>
  <si>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</si>
  <si>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</si>
  <si>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</si>
  <si>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</si>
  <si>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Best Vol 2</t>
  </si>
  <si>
    <t>ON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</si>
  <si>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</si>
  <si>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</si>
  <si>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</si>
  <si>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</si>
  <si>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</si>
  <si>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</si>
  <si>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</si>
  <si>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</si>
  <si>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</si>
  <si>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</si>
  <si>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</si>
  <si>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HUGHES, Arya</t>
  </si>
  <si>
    <t>2025 Elite Canada</t>
  </si>
  <si>
    <t>RENOU, Brayden</t>
  </si>
  <si>
    <t>CAHILL, Benjamin</t>
  </si>
  <si>
    <t>AB</t>
  </si>
  <si>
    <t>MOBORG, Reese</t>
  </si>
  <si>
    <t>SLUGA, Arianna</t>
  </si>
  <si>
    <t>MACINTOSH, Braxton</t>
  </si>
  <si>
    <t>SANDERSON, Aurora</t>
  </si>
  <si>
    <t>MACDOUGALL, Kira</t>
  </si>
  <si>
    <t>2025 Nationals</t>
  </si>
  <si>
    <t>PATEL, Blaine</t>
  </si>
  <si>
    <t>MORNEAU, Benjamin</t>
  </si>
  <si>
    <t>JENKINSON, Bentley</t>
  </si>
  <si>
    <t>FORTINO, Louis</t>
  </si>
  <si>
    <t>NS</t>
  </si>
  <si>
    <t>MCFARLANE, Michael</t>
  </si>
  <si>
    <t>MOSIER, Bella</t>
  </si>
  <si>
    <t>MILLIN, Declan</t>
  </si>
  <si>
    <t>GORMICK, Liam</t>
  </si>
  <si>
    <t>BILO, Eva</t>
  </si>
  <si>
    <t>2025 Coimbra Gym Fest (July 6)</t>
  </si>
  <si>
    <t>TOLOSA, Kaizen</t>
  </si>
  <si>
    <t>2025 3rd Domestic Trial</t>
  </si>
  <si>
    <t>Prelim DD</t>
  </si>
  <si>
    <t>2025 WAGC (Nov 16)</t>
  </si>
  <si>
    <t>2026 Age Group Adjustments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</si>
</sst>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22"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hidden="1" x14ac:dyDescent="0.2">
      <c r="A18" s="6" t="s">
        <v>37</v>
      </c>
      <c r="B18" s="6">
        <v>1</v>
      </c>
      <c r="C18" s="6" t="str">
        <f>IF(B2&gt;MAX('DMT-M'!A:A),"",INDEX('DMT-M'!B:B,MATCH(B2,'DMT-M'!A:A,0)))</f>
        <v/>
      </c>
      <c r="D18" s="16" t="str">
        <f>IF(B2&gt;MAX('DMT-M'!A:A),"",INDEX('DMT-M'!H:H,MATCH(B2,'DMT-M'!A:A,0)))</f>
        <v/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hidden="1" x14ac:dyDescent="0.2">
      <c r="A22" s="8" t="s">
        <v>38</v>
      </c>
      <c r="B22" s="8">
        <v>1</v>
      </c>
      <c r="C22" s="8" t="str">
        <f>IF(B2&gt;MAX('DMT-W'!A:A),"",INDEX('DMT-W'!B:B,MATCH(B2,'DMT-W'!A:A,0)))</f>
        <v/>
      </c>
      <c r="D22" s="17" t="str">
        <f>IF(B2&gt;MAX('DMT-W'!A:A),"",INDEX('DMT-W'!H:H,MATCH(B2,'DMT-W'!A:A,0)))</f>
        <v/>
      </c>
    </row>
    <row r="23" spans="1:5" hidden="1" x14ac:dyDescent="0.2">
      <c r="A23" s="8"/>
      <c r="B23" s="8">
        <v>2</v>
      </c>
      <c r="C23" s="8" t="str">
        <f>IF(B3&gt;MAX('DMT-W'!A:A),"",INDEX('DMT-W'!B:B,MATCH(B3,'DMT-W'!A:A,0)))</f>
        <v/>
      </c>
      <c r="D23" s="17" t="str">
        <f>IF(B3&gt;MAX('DMT-W'!A:A),"",INDEX('DMT-W'!H:H,MATCH(B3,'DMT-W'!A:A,0)))</f>
        <v/>
      </c>
    </row>
    <row r="24" spans="1:5" hidden="1" x14ac:dyDescent="0.2">
      <c r="A24" s="8"/>
      <c r="B24" s="8">
        <v>3</v>
      </c>
      <c r="C24" s="8" t="str">
        <f>IF(B4&gt;MAX('DMT-W'!A:A),"",INDEX('DMT-W'!B:B,MATCH(B4,'DMT-W'!A:A,0)))</f>
        <v/>
      </c>
      <c r="D24" s="17" t="str">
        <f>IF(B4&gt;MAX('DMT-W'!A:A),"",INDEX('DMT-W'!H:H,MATCH(B4,'DMT-W'!A:A,0)))</f>
        <v/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46023</v>
      </c>
      <c r="C34" s="68"/>
    </row>
    <row r="35" spans="1:3" x14ac:dyDescent="0.2">
      <c r="B35" t="s">
        <v>100</v>
      </c>
    </row>
  </sheetData>
  <sheetProtection formatCells="0" formatColumns="0" formatRows="0"/>
  <mergeCells count="1">
    <mergeCell ref="B34:C34"/>
  </mergeCells>
  <conditionalFormatting sqref="D2:D25">
    <cfRule type="containsText" dxfId="221" priority="1" operator="containsText" text="No DD">
      <formula>NOT(ISERROR(SEARCH("No DD",D2)))</formula>
    </cfRule>
    <cfRule type="containsText" dxfId="220" priority="4" operator="containsText" text="Merit">
      <formula>NOT(ISERROR(SEARCH("Merit",D2)))</formula>
    </cfRule>
    <cfRule type="containsText" dxfId="219" priority="5" operator="containsText" text="Excellence">
      <formula>NOT(ISERROR(SEARCH("Excellence",D2)))</formula>
    </cfRule>
    <cfRule type="containsText" dxfId="218" priority="6" operator="containsText" text="Worlds Team">
      <formula>NOT(ISERROR(SEARCH("Worlds Team",D2)))</formula>
    </cfRule>
    <cfRule type="containsText" dxfId="2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O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92" width="10.83203125" customWidth="1"/>
    <col min="93" max="107" width="10.83203125" hidden="1" customWidth="1"/>
    <col min="108" max="114" width="10.83203125" customWidth="1"/>
    <col min="115" max="379" width="10.83203125" hidden="1" customWidth="1"/>
    <col min="380" max="381" width="10.83203125" customWidth="1"/>
  </cols>
  <sheetData>
    <row r="1" spans="1:37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61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75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2" t="s">
        <v>84</v>
      </c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1" t="s">
        <v>97</v>
      </c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3" t="s">
        <v>10</v>
      </c>
      <c r="CL1" s="73"/>
      <c r="CM1" s="73"/>
      <c r="CN1" s="73"/>
      <c r="CO1" s="71" t="s">
        <v>99</v>
      </c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1" t="s">
        <v>55</v>
      </c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</row>
    <row r="2" spans="1:379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19</v>
      </c>
      <c r="AE2" s="69"/>
      <c r="AF2" s="69"/>
      <c r="AG2" s="69"/>
      <c r="AH2" s="69"/>
      <c r="AI2" s="16"/>
      <c r="AJ2" s="6" t="s">
        <v>17</v>
      </c>
      <c r="AK2" s="6" t="s">
        <v>60</v>
      </c>
      <c r="AL2" s="6" t="s">
        <v>18</v>
      </c>
      <c r="AM2" s="6" t="s">
        <v>20</v>
      </c>
      <c r="AN2" s="6" t="s">
        <v>56</v>
      </c>
      <c r="AO2" s="6" t="s">
        <v>19</v>
      </c>
      <c r="AP2" s="6" t="s">
        <v>14</v>
      </c>
      <c r="AQ2" s="70" t="s">
        <v>15</v>
      </c>
      <c r="AR2" s="70"/>
      <c r="AS2" s="70"/>
      <c r="AT2" s="70"/>
      <c r="AU2" s="70"/>
      <c r="AV2" s="70" t="s">
        <v>16</v>
      </c>
      <c r="AW2" s="70"/>
      <c r="AX2" s="70"/>
      <c r="AY2" s="70"/>
      <c r="AZ2" s="70"/>
      <c r="BA2" s="70" t="s">
        <v>19</v>
      </c>
      <c r="BB2" s="70"/>
      <c r="BC2" s="70"/>
      <c r="BD2" s="70"/>
      <c r="BE2" s="70"/>
      <c r="BF2" s="17"/>
      <c r="BG2" s="8" t="s">
        <v>17</v>
      </c>
      <c r="BH2" s="8" t="s">
        <v>60</v>
      </c>
      <c r="BI2" s="8" t="s">
        <v>18</v>
      </c>
      <c r="BJ2" s="8" t="s">
        <v>20</v>
      </c>
      <c r="BK2" s="8" t="s">
        <v>56</v>
      </c>
      <c r="BL2" s="8" t="s">
        <v>19</v>
      </c>
      <c r="BM2" s="8" t="s">
        <v>14</v>
      </c>
      <c r="BN2" s="69" t="s">
        <v>15</v>
      </c>
      <c r="BO2" s="69"/>
      <c r="BP2" s="69"/>
      <c r="BQ2" s="69"/>
      <c r="BR2" s="69"/>
      <c r="BS2" s="69" t="s">
        <v>16</v>
      </c>
      <c r="BT2" s="69"/>
      <c r="BU2" s="69"/>
      <c r="BV2" s="69"/>
      <c r="BW2" s="69"/>
      <c r="BX2" s="69" t="s">
        <v>19</v>
      </c>
      <c r="BY2" s="69"/>
      <c r="BZ2" s="69"/>
      <c r="CA2" s="69"/>
      <c r="CB2" s="69"/>
      <c r="CC2" s="16"/>
      <c r="CD2" s="6" t="s">
        <v>17</v>
      </c>
      <c r="CE2" s="6" t="s">
        <v>60</v>
      </c>
      <c r="CF2" s="6" t="s">
        <v>18</v>
      </c>
      <c r="CG2" s="6" t="s">
        <v>20</v>
      </c>
      <c r="CH2" s="6" t="s">
        <v>56</v>
      </c>
      <c r="CI2" s="6" t="s">
        <v>19</v>
      </c>
      <c r="CJ2" s="6" t="s">
        <v>14</v>
      </c>
      <c r="CK2" s="12" t="s">
        <v>17</v>
      </c>
      <c r="CL2" s="12" t="s">
        <v>18</v>
      </c>
      <c r="CM2" s="12" t="s">
        <v>20</v>
      </c>
      <c r="CN2" s="12" t="s">
        <v>19</v>
      </c>
      <c r="CO2" s="69" t="s">
        <v>15</v>
      </c>
      <c r="CP2" s="69"/>
      <c r="CQ2" s="69"/>
      <c r="CR2" s="69"/>
      <c r="CS2" s="69"/>
      <c r="CT2" s="69" t="s">
        <v>16</v>
      </c>
      <c r="CU2" s="69"/>
      <c r="CV2" s="69"/>
      <c r="CW2" s="69"/>
      <c r="CX2" s="69"/>
      <c r="CY2" s="69" t="s">
        <v>19</v>
      </c>
      <c r="CZ2" s="69"/>
      <c r="DA2" s="69"/>
      <c r="DB2" s="69"/>
      <c r="DC2" s="69"/>
      <c r="DD2" s="16" t="s">
        <v>50</v>
      </c>
      <c r="DE2" s="6" t="s">
        <v>17</v>
      </c>
      <c r="DF2" s="6" t="s">
        <v>18</v>
      </c>
      <c r="DG2" s="6" t="s">
        <v>20</v>
      </c>
      <c r="DH2" s="6" t="s">
        <v>56</v>
      </c>
      <c r="DI2" s="6" t="s">
        <v>19</v>
      </c>
      <c r="DJ2" s="6" t="s">
        <v>14</v>
      </c>
      <c r="DK2" s="70" t="s">
        <v>15</v>
      </c>
      <c r="DL2" s="70"/>
      <c r="DM2" s="70"/>
      <c r="DN2" s="70"/>
      <c r="DO2" s="70"/>
      <c r="DP2" s="70" t="s">
        <v>16</v>
      </c>
      <c r="DQ2" s="70"/>
      <c r="DR2" s="70"/>
      <c r="DS2" s="70"/>
      <c r="DT2" s="70"/>
      <c r="DU2" s="70" t="s">
        <v>19</v>
      </c>
      <c r="DV2" s="70"/>
      <c r="DW2" s="70"/>
      <c r="DX2" s="70"/>
      <c r="DY2" s="70"/>
      <c r="DZ2" s="17" t="s">
        <v>50</v>
      </c>
      <c r="EA2" s="8" t="s">
        <v>17</v>
      </c>
      <c r="EB2" s="8" t="s">
        <v>18</v>
      </c>
      <c r="EC2" s="8" t="s">
        <v>20</v>
      </c>
      <c r="ED2" s="8" t="s">
        <v>56</v>
      </c>
      <c r="EE2" s="8" t="s">
        <v>19</v>
      </c>
      <c r="EF2" s="8" t="s">
        <v>14</v>
      </c>
      <c r="EG2" s="69" t="s">
        <v>15</v>
      </c>
      <c r="EH2" s="69"/>
      <c r="EI2" s="69"/>
      <c r="EJ2" s="69"/>
      <c r="EK2" s="69"/>
      <c r="EL2" s="69" t="s">
        <v>16</v>
      </c>
      <c r="EM2" s="69"/>
      <c r="EN2" s="69"/>
      <c r="EO2" s="69"/>
      <c r="EP2" s="69"/>
      <c r="EQ2" s="69" t="s">
        <v>19</v>
      </c>
      <c r="ER2" s="69"/>
      <c r="ES2" s="69"/>
      <c r="ET2" s="69"/>
      <c r="EU2" s="69"/>
      <c r="EV2" s="16" t="s">
        <v>50</v>
      </c>
      <c r="EW2" s="6" t="s">
        <v>17</v>
      </c>
      <c r="EX2" s="6" t="s">
        <v>18</v>
      </c>
      <c r="EY2" s="6" t="s">
        <v>20</v>
      </c>
      <c r="EZ2" s="6" t="s">
        <v>56</v>
      </c>
      <c r="FA2" s="6" t="s">
        <v>19</v>
      </c>
      <c r="FB2" s="6" t="s">
        <v>14</v>
      </c>
      <c r="FC2" s="70" t="s">
        <v>15</v>
      </c>
      <c r="FD2" s="70"/>
      <c r="FE2" s="70"/>
      <c r="FF2" s="70"/>
      <c r="FG2" s="70"/>
      <c r="FH2" s="70" t="s">
        <v>16</v>
      </c>
      <c r="FI2" s="70"/>
      <c r="FJ2" s="70"/>
      <c r="FK2" s="70"/>
      <c r="FL2" s="70"/>
      <c r="FM2" s="70" t="s">
        <v>19</v>
      </c>
      <c r="FN2" s="70"/>
      <c r="FO2" s="70"/>
      <c r="FP2" s="70"/>
      <c r="FQ2" s="70"/>
      <c r="FR2" s="17" t="s">
        <v>50</v>
      </c>
      <c r="FS2" s="8" t="s">
        <v>17</v>
      </c>
      <c r="FT2" s="8" t="s">
        <v>18</v>
      </c>
      <c r="FU2" s="8" t="s">
        <v>20</v>
      </c>
      <c r="FV2" s="8" t="s">
        <v>56</v>
      </c>
      <c r="FW2" s="8" t="s">
        <v>19</v>
      </c>
      <c r="FX2" s="8" t="s">
        <v>14</v>
      </c>
      <c r="FY2" s="69" t="s">
        <v>15</v>
      </c>
      <c r="FZ2" s="69"/>
      <c r="GA2" s="69"/>
      <c r="GB2" s="69"/>
      <c r="GC2" s="69"/>
      <c r="GD2" s="69" t="s">
        <v>16</v>
      </c>
      <c r="GE2" s="69"/>
      <c r="GF2" s="69"/>
      <c r="GG2" s="69"/>
      <c r="GH2" s="69"/>
      <c r="GI2" s="69" t="s">
        <v>19</v>
      </c>
      <c r="GJ2" s="69"/>
      <c r="GK2" s="69"/>
      <c r="GL2" s="69"/>
      <c r="GM2" s="69"/>
      <c r="GN2" s="16" t="s">
        <v>50</v>
      </c>
      <c r="GO2" s="6" t="s">
        <v>17</v>
      </c>
      <c r="GP2" s="6" t="s">
        <v>18</v>
      </c>
      <c r="GQ2" s="6" t="s">
        <v>20</v>
      </c>
      <c r="GR2" s="6" t="s">
        <v>56</v>
      </c>
      <c r="GS2" s="6" t="s">
        <v>19</v>
      </c>
      <c r="GT2" s="6" t="s">
        <v>14</v>
      </c>
      <c r="GU2" s="70" t="s">
        <v>15</v>
      </c>
      <c r="GV2" s="70"/>
      <c r="GW2" s="70"/>
      <c r="GX2" s="70"/>
      <c r="GY2" s="70"/>
      <c r="GZ2" s="70" t="s">
        <v>16</v>
      </c>
      <c r="HA2" s="70"/>
      <c r="HB2" s="70"/>
      <c r="HC2" s="70"/>
      <c r="HD2" s="70"/>
      <c r="HE2" s="70" t="s">
        <v>19</v>
      </c>
      <c r="HF2" s="70"/>
      <c r="HG2" s="70"/>
      <c r="HH2" s="70"/>
      <c r="HI2" s="70"/>
      <c r="HJ2" s="17" t="s">
        <v>50</v>
      </c>
      <c r="HK2" s="8" t="s">
        <v>17</v>
      </c>
      <c r="HL2" s="8" t="s">
        <v>18</v>
      </c>
      <c r="HM2" s="8" t="s">
        <v>20</v>
      </c>
      <c r="HN2" s="8" t="s">
        <v>56</v>
      </c>
      <c r="HO2" s="8" t="s">
        <v>19</v>
      </c>
      <c r="HP2" s="8" t="s">
        <v>14</v>
      </c>
      <c r="HQ2" s="69" t="s">
        <v>15</v>
      </c>
      <c r="HR2" s="69"/>
      <c r="HS2" s="69"/>
      <c r="HT2" s="69"/>
      <c r="HU2" s="69"/>
      <c r="HV2" s="69" t="s">
        <v>16</v>
      </c>
      <c r="HW2" s="69"/>
      <c r="HX2" s="69"/>
      <c r="HY2" s="69"/>
      <c r="HZ2" s="69"/>
      <c r="IA2" s="69" t="s">
        <v>19</v>
      </c>
      <c r="IB2" s="69"/>
      <c r="IC2" s="69"/>
      <c r="ID2" s="69"/>
      <c r="IE2" s="69"/>
      <c r="IF2" s="16" t="s">
        <v>50</v>
      </c>
      <c r="IG2" s="6" t="s">
        <v>17</v>
      </c>
      <c r="IH2" s="6" t="s">
        <v>18</v>
      </c>
      <c r="II2" s="6" t="s">
        <v>20</v>
      </c>
      <c r="IJ2" s="6" t="s">
        <v>56</v>
      </c>
      <c r="IK2" s="6" t="s">
        <v>19</v>
      </c>
      <c r="IL2" s="6" t="s">
        <v>14</v>
      </c>
      <c r="IM2" s="70" t="s">
        <v>15</v>
      </c>
      <c r="IN2" s="70"/>
      <c r="IO2" s="70"/>
      <c r="IP2" s="70"/>
      <c r="IQ2" s="70"/>
      <c r="IR2" s="70" t="s">
        <v>16</v>
      </c>
      <c r="IS2" s="70"/>
      <c r="IT2" s="70"/>
      <c r="IU2" s="70"/>
      <c r="IV2" s="70"/>
      <c r="IW2" s="70" t="s">
        <v>19</v>
      </c>
      <c r="IX2" s="70"/>
      <c r="IY2" s="70"/>
      <c r="IZ2" s="70"/>
      <c r="JA2" s="70"/>
      <c r="JB2" s="17" t="s">
        <v>50</v>
      </c>
      <c r="JC2" s="8" t="s">
        <v>17</v>
      </c>
      <c r="JD2" s="8" t="s">
        <v>18</v>
      </c>
      <c r="JE2" s="8" t="s">
        <v>20</v>
      </c>
      <c r="JF2" s="8" t="s">
        <v>56</v>
      </c>
      <c r="JG2" s="8" t="s">
        <v>19</v>
      </c>
      <c r="JH2" s="8" t="s">
        <v>14</v>
      </c>
      <c r="JI2" s="69" t="s">
        <v>15</v>
      </c>
      <c r="JJ2" s="69"/>
      <c r="JK2" s="69"/>
      <c r="JL2" s="69"/>
      <c r="JM2" s="69"/>
      <c r="JN2" s="69" t="s">
        <v>16</v>
      </c>
      <c r="JO2" s="69"/>
      <c r="JP2" s="69"/>
      <c r="JQ2" s="69"/>
      <c r="JR2" s="69"/>
      <c r="JS2" s="69" t="s">
        <v>19</v>
      </c>
      <c r="JT2" s="69"/>
      <c r="JU2" s="69"/>
      <c r="JV2" s="69"/>
      <c r="JW2" s="69"/>
      <c r="JX2" s="16" t="s">
        <v>50</v>
      </c>
      <c r="JY2" s="6" t="s">
        <v>17</v>
      </c>
      <c r="JZ2" s="6" t="s">
        <v>18</v>
      </c>
      <c r="KA2" s="6" t="s">
        <v>20</v>
      </c>
      <c r="KB2" s="6" t="s">
        <v>56</v>
      </c>
      <c r="KC2" s="6" t="s">
        <v>19</v>
      </c>
      <c r="KD2" s="6" t="s">
        <v>14</v>
      </c>
      <c r="KE2" s="70" t="s">
        <v>15</v>
      </c>
      <c r="KF2" s="70"/>
      <c r="KG2" s="70"/>
      <c r="KH2" s="70"/>
      <c r="KI2" s="70"/>
      <c r="KJ2" s="70" t="s">
        <v>16</v>
      </c>
      <c r="KK2" s="70"/>
      <c r="KL2" s="70"/>
      <c r="KM2" s="70"/>
      <c r="KN2" s="70"/>
      <c r="KO2" s="70" t="s">
        <v>19</v>
      </c>
      <c r="KP2" s="70"/>
      <c r="KQ2" s="70"/>
      <c r="KR2" s="70"/>
      <c r="KS2" s="70"/>
      <c r="KT2" s="17" t="s">
        <v>50</v>
      </c>
      <c r="KU2" s="8" t="s">
        <v>17</v>
      </c>
      <c r="KV2" s="8" t="s">
        <v>18</v>
      </c>
      <c r="KW2" s="8" t="s">
        <v>20</v>
      </c>
      <c r="KX2" s="8" t="s">
        <v>56</v>
      </c>
      <c r="KY2" s="8" t="s">
        <v>19</v>
      </c>
      <c r="KZ2" s="8" t="s">
        <v>14</v>
      </c>
      <c r="LA2" s="69" t="s">
        <v>15</v>
      </c>
      <c r="LB2" s="69"/>
      <c r="LC2" s="69"/>
      <c r="LD2" s="69"/>
      <c r="LE2" s="69"/>
      <c r="LF2" s="69" t="s">
        <v>16</v>
      </c>
      <c r="LG2" s="69"/>
      <c r="LH2" s="69"/>
      <c r="LI2" s="69"/>
      <c r="LJ2" s="69"/>
      <c r="LK2" s="69" t="s">
        <v>19</v>
      </c>
      <c r="LL2" s="69"/>
      <c r="LM2" s="69"/>
      <c r="LN2" s="69"/>
      <c r="LO2" s="69"/>
      <c r="LP2" s="16" t="s">
        <v>50</v>
      </c>
      <c r="LQ2" s="6" t="s">
        <v>17</v>
      </c>
      <c r="LR2" s="6" t="s">
        <v>18</v>
      </c>
      <c r="LS2" s="6" t="s">
        <v>20</v>
      </c>
      <c r="LT2" s="6" t="s">
        <v>56</v>
      </c>
      <c r="LU2" s="6" t="s">
        <v>19</v>
      </c>
      <c r="LV2" s="6" t="s">
        <v>14</v>
      </c>
      <c r="LW2" s="70" t="s">
        <v>15</v>
      </c>
      <c r="LX2" s="70"/>
      <c r="LY2" s="70"/>
      <c r="LZ2" s="70"/>
      <c r="MA2" s="70"/>
      <c r="MB2" s="70" t="s">
        <v>16</v>
      </c>
      <c r="MC2" s="70"/>
      <c r="MD2" s="70"/>
      <c r="ME2" s="70"/>
      <c r="MF2" s="70"/>
      <c r="MG2" s="70" t="s">
        <v>19</v>
      </c>
      <c r="MH2" s="70"/>
      <c r="MI2" s="70"/>
      <c r="MJ2" s="70"/>
      <c r="MK2" s="70"/>
      <c r="ML2" s="17" t="s">
        <v>50</v>
      </c>
      <c r="MM2" s="8" t="s">
        <v>17</v>
      </c>
      <c r="MN2" s="8" t="s">
        <v>18</v>
      </c>
      <c r="MO2" s="8" t="s">
        <v>20</v>
      </c>
      <c r="MP2" s="8" t="s">
        <v>56</v>
      </c>
      <c r="MQ2" s="8" t="s">
        <v>19</v>
      </c>
      <c r="MR2" s="8" t="s">
        <v>14</v>
      </c>
      <c r="MS2" s="69" t="s">
        <v>15</v>
      </c>
      <c r="MT2" s="69"/>
      <c r="MU2" s="69"/>
      <c r="MV2" s="69"/>
      <c r="MW2" s="69"/>
      <c r="MX2" s="69" t="s">
        <v>16</v>
      </c>
      <c r="MY2" s="69"/>
      <c r="MZ2" s="69"/>
      <c r="NA2" s="69"/>
      <c r="NB2" s="69"/>
      <c r="NC2" s="69" t="s">
        <v>19</v>
      </c>
      <c r="ND2" s="69"/>
      <c r="NE2" s="69"/>
      <c r="NF2" s="69"/>
      <c r="NG2" s="69"/>
      <c r="NH2" s="16"/>
      <c r="NI2" s="6" t="s">
        <v>17</v>
      </c>
      <c r="NJ2" s="6" t="s">
        <v>60</v>
      </c>
      <c r="NK2" s="6" t="s">
        <v>18</v>
      </c>
      <c r="NL2" s="6" t="s">
        <v>20</v>
      </c>
      <c r="NM2" s="6" t="s">
        <v>56</v>
      </c>
      <c r="NN2" s="6" t="s">
        <v>19</v>
      </c>
      <c r="NO2" s="6" t="s">
        <v>14</v>
      </c>
    </row>
    <row r="3" spans="1:379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43</v>
      </c>
      <c r="AJ3" s="6"/>
      <c r="AK3" s="6"/>
      <c r="AL3" s="6"/>
      <c r="AM3" s="6"/>
      <c r="AN3" s="6"/>
      <c r="AO3" s="6"/>
      <c r="AP3" s="6"/>
      <c r="AQ3" s="17" t="s">
        <v>11</v>
      </c>
      <c r="AR3" s="17" t="s">
        <v>12</v>
      </c>
      <c r="AS3" s="17" t="s">
        <v>4</v>
      </c>
      <c r="AT3" s="17" t="s">
        <v>13</v>
      </c>
      <c r="AU3" s="17" t="s">
        <v>22</v>
      </c>
      <c r="AV3" s="17" t="s">
        <v>11</v>
      </c>
      <c r="AW3" s="17" t="s">
        <v>12</v>
      </c>
      <c r="AX3" s="17" t="s">
        <v>4</v>
      </c>
      <c r="AY3" s="17" t="s">
        <v>13</v>
      </c>
      <c r="AZ3" s="17" t="s">
        <v>22</v>
      </c>
      <c r="BA3" s="17" t="s">
        <v>11</v>
      </c>
      <c r="BB3" s="17" t="s">
        <v>12</v>
      </c>
      <c r="BC3" s="17" t="s">
        <v>4</v>
      </c>
      <c r="BD3" s="17" t="s">
        <v>13</v>
      </c>
      <c r="BE3" s="17" t="s">
        <v>22</v>
      </c>
      <c r="BF3" s="17" t="s">
        <v>43</v>
      </c>
      <c r="BG3" s="8"/>
      <c r="BH3" s="8"/>
      <c r="BI3" s="8"/>
      <c r="BJ3" s="8"/>
      <c r="BK3" s="8"/>
      <c r="BL3" s="8"/>
      <c r="BM3" s="8"/>
      <c r="BN3" s="16" t="s">
        <v>11</v>
      </c>
      <c r="BO3" s="16" t="s">
        <v>12</v>
      </c>
      <c r="BP3" s="16" t="s">
        <v>4</v>
      </c>
      <c r="BQ3" s="16" t="s">
        <v>13</v>
      </c>
      <c r="BR3" s="16" t="s">
        <v>22</v>
      </c>
      <c r="BS3" s="16" t="s">
        <v>11</v>
      </c>
      <c r="BT3" s="16" t="s">
        <v>12</v>
      </c>
      <c r="BU3" s="16" t="s">
        <v>4</v>
      </c>
      <c r="BV3" s="16" t="s">
        <v>13</v>
      </c>
      <c r="BW3" s="16" t="s">
        <v>22</v>
      </c>
      <c r="BX3" s="16" t="s">
        <v>11</v>
      </c>
      <c r="BY3" s="16" t="s">
        <v>12</v>
      </c>
      <c r="BZ3" s="16" t="s">
        <v>4</v>
      </c>
      <c r="CA3" s="16" t="s">
        <v>13</v>
      </c>
      <c r="CB3" s="16" t="s">
        <v>22</v>
      </c>
      <c r="CC3" s="16" t="s">
        <v>43</v>
      </c>
      <c r="CD3" s="6"/>
      <c r="CE3" s="6"/>
      <c r="CF3" s="6"/>
      <c r="CG3" s="6"/>
      <c r="CH3" s="6"/>
      <c r="CI3" s="6"/>
      <c r="CJ3" s="6"/>
      <c r="CK3" s="12"/>
      <c r="CL3" s="12"/>
      <c r="CM3" s="12"/>
      <c r="CN3" s="12"/>
      <c r="CO3" s="16" t="s">
        <v>11</v>
      </c>
      <c r="CP3" s="16" t="s">
        <v>12</v>
      </c>
      <c r="CQ3" s="16" t="s">
        <v>4</v>
      </c>
      <c r="CR3" s="16" t="s">
        <v>13</v>
      </c>
      <c r="CS3" s="16" t="s">
        <v>22</v>
      </c>
      <c r="CT3" s="16" t="s">
        <v>11</v>
      </c>
      <c r="CU3" s="16" t="s">
        <v>12</v>
      </c>
      <c r="CV3" s="16" t="s">
        <v>4</v>
      </c>
      <c r="CW3" s="16" t="s">
        <v>13</v>
      </c>
      <c r="CX3" s="16" t="s">
        <v>22</v>
      </c>
      <c r="CY3" s="16" t="s">
        <v>11</v>
      </c>
      <c r="CZ3" s="16" t="s">
        <v>12</v>
      </c>
      <c r="DA3" s="16" t="s">
        <v>4</v>
      </c>
      <c r="DB3" s="16" t="s">
        <v>13</v>
      </c>
      <c r="DC3" s="16" t="s">
        <v>22</v>
      </c>
      <c r="DD3" s="6"/>
      <c r="DE3" s="6"/>
      <c r="DF3" s="6"/>
      <c r="DG3" s="6"/>
      <c r="DH3" s="6"/>
      <c r="DI3" s="6"/>
      <c r="DJ3" s="6"/>
      <c r="DK3" s="17" t="s">
        <v>11</v>
      </c>
      <c r="DL3" s="17" t="s">
        <v>12</v>
      </c>
      <c r="DM3" s="17" t="s">
        <v>4</v>
      </c>
      <c r="DN3" s="17" t="s">
        <v>13</v>
      </c>
      <c r="DO3" s="17" t="s">
        <v>22</v>
      </c>
      <c r="DP3" s="17" t="s">
        <v>11</v>
      </c>
      <c r="DQ3" s="17" t="s">
        <v>12</v>
      </c>
      <c r="DR3" s="17" t="s">
        <v>4</v>
      </c>
      <c r="DS3" s="17" t="s">
        <v>13</v>
      </c>
      <c r="DT3" s="17" t="s">
        <v>22</v>
      </c>
      <c r="DU3" s="17" t="s">
        <v>11</v>
      </c>
      <c r="DV3" s="17" t="s">
        <v>12</v>
      </c>
      <c r="DW3" s="17" t="s">
        <v>4</v>
      </c>
      <c r="DX3" s="17" t="s">
        <v>13</v>
      </c>
      <c r="DY3" s="21" t="s">
        <v>22</v>
      </c>
      <c r="DZ3" s="8"/>
      <c r="EA3" s="8"/>
      <c r="EB3" s="8"/>
      <c r="EC3" s="8"/>
      <c r="ED3" s="8"/>
      <c r="EE3" s="8"/>
      <c r="EF3" s="8"/>
      <c r="EG3" s="16" t="s">
        <v>11</v>
      </c>
      <c r="EH3" s="16" t="s">
        <v>12</v>
      </c>
      <c r="EI3" s="16" t="s">
        <v>4</v>
      </c>
      <c r="EJ3" s="16" t="s">
        <v>13</v>
      </c>
      <c r="EK3" s="16" t="s">
        <v>22</v>
      </c>
      <c r="EL3" s="16" t="s">
        <v>11</v>
      </c>
      <c r="EM3" s="16" t="s">
        <v>12</v>
      </c>
      <c r="EN3" s="16" t="s">
        <v>4</v>
      </c>
      <c r="EO3" s="16" t="s">
        <v>13</v>
      </c>
      <c r="EP3" s="16" t="s">
        <v>22</v>
      </c>
      <c r="EQ3" s="16" t="s">
        <v>11</v>
      </c>
      <c r="ER3" s="16" t="s">
        <v>12</v>
      </c>
      <c r="ES3" s="16" t="s">
        <v>4</v>
      </c>
      <c r="ET3" s="16" t="s">
        <v>13</v>
      </c>
      <c r="EU3" s="16" t="s">
        <v>22</v>
      </c>
      <c r="EV3" s="6"/>
      <c r="EW3" s="6"/>
      <c r="EX3" s="6"/>
      <c r="EY3" s="6"/>
      <c r="EZ3" s="6"/>
      <c r="FA3" s="6"/>
      <c r="FB3" s="6"/>
      <c r="FC3" s="17" t="s">
        <v>11</v>
      </c>
      <c r="FD3" s="17" t="s">
        <v>12</v>
      </c>
      <c r="FE3" s="17" t="s">
        <v>4</v>
      </c>
      <c r="FF3" s="17" t="s">
        <v>13</v>
      </c>
      <c r="FG3" s="17" t="s">
        <v>22</v>
      </c>
      <c r="FH3" s="17" t="s">
        <v>11</v>
      </c>
      <c r="FI3" s="17" t="s">
        <v>12</v>
      </c>
      <c r="FJ3" s="17" t="s">
        <v>4</v>
      </c>
      <c r="FK3" s="17" t="s">
        <v>13</v>
      </c>
      <c r="FL3" s="17" t="s">
        <v>22</v>
      </c>
      <c r="FM3" s="17" t="s">
        <v>11</v>
      </c>
      <c r="FN3" s="17" t="s">
        <v>12</v>
      </c>
      <c r="FO3" s="17" t="s">
        <v>4</v>
      </c>
      <c r="FP3" s="17" t="s">
        <v>13</v>
      </c>
      <c r="FQ3" s="17" t="s">
        <v>22</v>
      </c>
      <c r="FR3" s="8"/>
      <c r="FS3" s="8"/>
      <c r="FT3" s="8"/>
      <c r="FU3" s="8"/>
      <c r="FV3" s="8"/>
      <c r="FW3" s="8"/>
      <c r="FX3" s="8"/>
      <c r="FY3" s="16" t="s">
        <v>11</v>
      </c>
      <c r="FZ3" s="16" t="s">
        <v>12</v>
      </c>
      <c r="GA3" s="16" t="s">
        <v>4</v>
      </c>
      <c r="GB3" s="16" t="s">
        <v>13</v>
      </c>
      <c r="GC3" s="16" t="s">
        <v>22</v>
      </c>
      <c r="GD3" s="16" t="s">
        <v>11</v>
      </c>
      <c r="GE3" s="16" t="s">
        <v>12</v>
      </c>
      <c r="GF3" s="16" t="s">
        <v>4</v>
      </c>
      <c r="GG3" s="16" t="s">
        <v>13</v>
      </c>
      <c r="GH3" s="16" t="s">
        <v>22</v>
      </c>
      <c r="GI3" s="16" t="s">
        <v>11</v>
      </c>
      <c r="GJ3" s="16" t="s">
        <v>12</v>
      </c>
      <c r="GK3" s="16" t="s">
        <v>4</v>
      </c>
      <c r="GL3" s="16" t="s">
        <v>13</v>
      </c>
      <c r="GM3" s="16" t="s">
        <v>22</v>
      </c>
      <c r="GN3" s="6"/>
      <c r="GO3" s="6"/>
      <c r="GP3" s="6"/>
      <c r="GQ3" s="6"/>
      <c r="GR3" s="6"/>
      <c r="GS3" s="6"/>
      <c r="GT3" s="6"/>
      <c r="GU3" s="17" t="s">
        <v>11</v>
      </c>
      <c r="GV3" s="17" t="s">
        <v>12</v>
      </c>
      <c r="GW3" s="17" t="s">
        <v>4</v>
      </c>
      <c r="GX3" s="17" t="s">
        <v>13</v>
      </c>
      <c r="GY3" s="17" t="s">
        <v>22</v>
      </c>
      <c r="GZ3" s="17" t="s">
        <v>11</v>
      </c>
      <c r="HA3" s="17" t="s">
        <v>12</v>
      </c>
      <c r="HB3" s="17" t="s">
        <v>4</v>
      </c>
      <c r="HC3" s="17" t="s">
        <v>13</v>
      </c>
      <c r="HD3" s="17" t="s">
        <v>22</v>
      </c>
      <c r="HE3" s="17" t="s">
        <v>11</v>
      </c>
      <c r="HF3" s="17" t="s">
        <v>12</v>
      </c>
      <c r="HG3" s="17" t="s">
        <v>4</v>
      </c>
      <c r="HH3" s="17" t="s">
        <v>13</v>
      </c>
      <c r="HI3" s="17" t="s">
        <v>22</v>
      </c>
      <c r="HJ3" s="8"/>
      <c r="HK3" s="8"/>
      <c r="HL3" s="8"/>
      <c r="HM3" s="8"/>
      <c r="HN3" s="8"/>
      <c r="HO3" s="8"/>
      <c r="HP3" s="8"/>
      <c r="HQ3" s="16" t="s">
        <v>11</v>
      </c>
      <c r="HR3" s="16" t="s">
        <v>12</v>
      </c>
      <c r="HS3" s="16" t="s">
        <v>4</v>
      </c>
      <c r="HT3" s="16" t="s">
        <v>13</v>
      </c>
      <c r="HU3" s="16" t="s">
        <v>22</v>
      </c>
      <c r="HV3" s="16" t="s">
        <v>11</v>
      </c>
      <c r="HW3" s="16" t="s">
        <v>12</v>
      </c>
      <c r="HX3" s="16" t="s">
        <v>4</v>
      </c>
      <c r="HY3" s="16" t="s">
        <v>13</v>
      </c>
      <c r="HZ3" s="16" t="s">
        <v>22</v>
      </c>
      <c r="IA3" s="16" t="s">
        <v>11</v>
      </c>
      <c r="IB3" s="16" t="s">
        <v>12</v>
      </c>
      <c r="IC3" s="16" t="s">
        <v>4</v>
      </c>
      <c r="ID3" s="16" t="s">
        <v>13</v>
      </c>
      <c r="IE3" s="16" t="s">
        <v>22</v>
      </c>
      <c r="IF3" s="6"/>
      <c r="IG3" s="6"/>
      <c r="IH3" s="6"/>
      <c r="II3" s="6"/>
      <c r="IJ3" s="6"/>
      <c r="IK3" s="6"/>
      <c r="IL3" s="6"/>
      <c r="IM3" s="17" t="s">
        <v>11</v>
      </c>
      <c r="IN3" s="17" t="s">
        <v>12</v>
      </c>
      <c r="IO3" s="17" t="s">
        <v>4</v>
      </c>
      <c r="IP3" s="17" t="s">
        <v>13</v>
      </c>
      <c r="IQ3" s="17" t="s">
        <v>22</v>
      </c>
      <c r="IR3" s="17" t="s">
        <v>11</v>
      </c>
      <c r="IS3" s="17" t="s">
        <v>12</v>
      </c>
      <c r="IT3" s="17" t="s">
        <v>4</v>
      </c>
      <c r="IU3" s="17" t="s">
        <v>13</v>
      </c>
      <c r="IV3" s="17" t="s">
        <v>22</v>
      </c>
      <c r="IW3" s="17" t="s">
        <v>11</v>
      </c>
      <c r="IX3" s="17" t="s">
        <v>12</v>
      </c>
      <c r="IY3" s="17" t="s">
        <v>4</v>
      </c>
      <c r="IZ3" s="17" t="s">
        <v>13</v>
      </c>
      <c r="JA3" s="17" t="s">
        <v>22</v>
      </c>
      <c r="JB3" s="8"/>
      <c r="JC3" s="8"/>
      <c r="JD3" s="8"/>
      <c r="JE3" s="8"/>
      <c r="JF3" s="8"/>
      <c r="JG3" s="8"/>
      <c r="JH3" s="8"/>
      <c r="JI3" s="16" t="s">
        <v>11</v>
      </c>
      <c r="JJ3" s="16" t="s">
        <v>12</v>
      </c>
      <c r="JK3" s="16" t="s">
        <v>4</v>
      </c>
      <c r="JL3" s="16" t="s">
        <v>13</v>
      </c>
      <c r="JM3" s="16" t="s">
        <v>22</v>
      </c>
      <c r="JN3" s="16" t="s">
        <v>11</v>
      </c>
      <c r="JO3" s="16" t="s">
        <v>12</v>
      </c>
      <c r="JP3" s="16" t="s">
        <v>4</v>
      </c>
      <c r="JQ3" s="16" t="s">
        <v>13</v>
      </c>
      <c r="JR3" s="16" t="s">
        <v>22</v>
      </c>
      <c r="JS3" s="16" t="s">
        <v>11</v>
      </c>
      <c r="JT3" s="16" t="s">
        <v>12</v>
      </c>
      <c r="JU3" s="16" t="s">
        <v>4</v>
      </c>
      <c r="JV3" s="16" t="s">
        <v>13</v>
      </c>
      <c r="JW3" s="16" t="s">
        <v>22</v>
      </c>
      <c r="JX3" s="6"/>
      <c r="JY3" s="6"/>
      <c r="JZ3" s="6"/>
      <c r="KA3" s="6"/>
      <c r="KB3" s="6"/>
      <c r="KC3" s="6"/>
      <c r="KD3" s="6"/>
      <c r="KE3" s="17" t="s">
        <v>11</v>
      </c>
      <c r="KF3" s="17" t="s">
        <v>12</v>
      </c>
      <c r="KG3" s="17" t="s">
        <v>4</v>
      </c>
      <c r="KH3" s="17" t="s">
        <v>13</v>
      </c>
      <c r="KI3" s="17" t="s">
        <v>22</v>
      </c>
      <c r="KJ3" s="17" t="s">
        <v>11</v>
      </c>
      <c r="KK3" s="17" t="s">
        <v>12</v>
      </c>
      <c r="KL3" s="17" t="s">
        <v>4</v>
      </c>
      <c r="KM3" s="17" t="s">
        <v>13</v>
      </c>
      <c r="KN3" s="17" t="s">
        <v>22</v>
      </c>
      <c r="KO3" s="17" t="s">
        <v>11</v>
      </c>
      <c r="KP3" s="17" t="s">
        <v>12</v>
      </c>
      <c r="KQ3" s="17" t="s">
        <v>4</v>
      </c>
      <c r="KR3" s="17" t="s">
        <v>13</v>
      </c>
      <c r="KS3" s="17" t="s">
        <v>22</v>
      </c>
      <c r="KT3" s="8"/>
      <c r="KU3" s="8"/>
      <c r="KV3" s="8"/>
      <c r="KW3" s="8"/>
      <c r="KX3" s="8"/>
      <c r="KY3" s="8"/>
      <c r="KZ3" s="8"/>
      <c r="LA3" s="16" t="s">
        <v>11</v>
      </c>
      <c r="LB3" s="16" t="s">
        <v>12</v>
      </c>
      <c r="LC3" s="16" t="s">
        <v>4</v>
      </c>
      <c r="LD3" s="16" t="s">
        <v>13</v>
      </c>
      <c r="LE3" s="16" t="s">
        <v>22</v>
      </c>
      <c r="LF3" s="16" t="s">
        <v>11</v>
      </c>
      <c r="LG3" s="16" t="s">
        <v>12</v>
      </c>
      <c r="LH3" s="16" t="s">
        <v>4</v>
      </c>
      <c r="LI3" s="16" t="s">
        <v>13</v>
      </c>
      <c r="LJ3" s="16" t="s">
        <v>22</v>
      </c>
      <c r="LK3" s="16" t="s">
        <v>11</v>
      </c>
      <c r="LL3" s="16" t="s">
        <v>12</v>
      </c>
      <c r="LM3" s="16" t="s">
        <v>4</v>
      </c>
      <c r="LN3" s="16" t="s">
        <v>13</v>
      </c>
      <c r="LO3" s="16" t="s">
        <v>22</v>
      </c>
      <c r="LP3" s="6"/>
      <c r="LQ3" s="6"/>
      <c r="LR3" s="6"/>
      <c r="LS3" s="6"/>
      <c r="LT3" s="6"/>
      <c r="LU3" s="6"/>
      <c r="LV3" s="6"/>
      <c r="LW3" s="17" t="s">
        <v>11</v>
      </c>
      <c r="LX3" s="17" t="s">
        <v>12</v>
      </c>
      <c r="LY3" s="17" t="s">
        <v>4</v>
      </c>
      <c r="LZ3" s="17" t="s">
        <v>13</v>
      </c>
      <c r="MA3" s="17" t="s">
        <v>22</v>
      </c>
      <c r="MB3" s="17" t="s">
        <v>11</v>
      </c>
      <c r="MC3" s="17" t="s">
        <v>12</v>
      </c>
      <c r="MD3" s="17" t="s">
        <v>4</v>
      </c>
      <c r="ME3" s="17" t="s">
        <v>13</v>
      </c>
      <c r="MF3" s="17" t="s">
        <v>22</v>
      </c>
      <c r="MG3" s="17" t="s">
        <v>11</v>
      </c>
      <c r="MH3" s="17" t="s">
        <v>12</v>
      </c>
      <c r="MI3" s="17" t="s">
        <v>4</v>
      </c>
      <c r="MJ3" s="17" t="s">
        <v>13</v>
      </c>
      <c r="MK3" s="17" t="s">
        <v>22</v>
      </c>
      <c r="ML3" s="8"/>
      <c r="MM3" s="8"/>
      <c r="MN3" s="8"/>
      <c r="MO3" s="8"/>
      <c r="MP3" s="8"/>
      <c r="MQ3" s="8"/>
      <c r="MR3" s="8"/>
      <c r="MS3" s="16" t="s">
        <v>11</v>
      </c>
      <c r="MT3" s="16" t="s">
        <v>12</v>
      </c>
      <c r="MU3" s="16" t="s">
        <v>4</v>
      </c>
      <c r="MV3" s="16" t="s">
        <v>13</v>
      </c>
      <c r="MW3" s="16" t="s">
        <v>22</v>
      </c>
      <c r="MX3" s="16" t="s">
        <v>11</v>
      </c>
      <c r="MY3" s="16" t="s">
        <v>12</v>
      </c>
      <c r="MZ3" s="16" t="s">
        <v>4</v>
      </c>
      <c r="NA3" s="16" t="s">
        <v>13</v>
      </c>
      <c r="NB3" s="16" t="s">
        <v>22</v>
      </c>
      <c r="NC3" s="16" t="s">
        <v>11</v>
      </c>
      <c r="ND3" s="16" t="s">
        <v>12</v>
      </c>
      <c r="NE3" s="16" t="s">
        <v>4</v>
      </c>
      <c r="NF3" s="16" t="s">
        <v>13</v>
      </c>
      <c r="NG3" s="16" t="s">
        <v>22</v>
      </c>
      <c r="NH3" s="16" t="s">
        <v>43</v>
      </c>
      <c r="NI3" s="6"/>
      <c r="NJ3" s="6"/>
      <c r="NK3" s="6"/>
      <c r="NL3" s="6"/>
      <c r="NM3" s="6"/>
      <c r="NN3" s="6"/>
      <c r="NO3" s="6"/>
    </row>
    <row r="4" spans="1:379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88</v>
      </c>
      <c r="C4" s="4" t="s">
        <v>62</v>
      </c>
      <c r="D4" s="4">
        <v>2010</v>
      </c>
      <c r="E4" s="10">
        <f t="shared" ref="E4:E9" si="0">SUM(I4:Q4)</f>
        <v>235.07000000000002</v>
      </c>
      <c r="F4" s="3" t="str">
        <f t="shared" ref="F4:F9" si="1">IF(OR(AND(AK4&gt;=AP$12,AM4&gt;=AP$16,AJ4&lt;&gt;"",AI4=""),AND(BH4&gt;=BM$12,BJ4&gt;=BM$16,BG4&lt;&gt;"",BF4=""),AND(CE4&gt;=CJ$12,CG4&gt;=CJ$16,CD4&lt;&gt;"",CC4=""),AND(DD4&gt;=DJ$12,DG4&gt;=DJ$16,DD4&lt;&gt;""),AND(DZ4&gt;=EF$12,EC4&gt;=EF$16,DZ4&lt;&gt;""),AND(EV4&gt;=FB$12,EY4&gt;=FB$16,EV4&lt;&gt;""),AND(FR4&gt;=FX$12,FU4&gt;=FX$16,FR4&lt;&gt;""),AND(GN4&gt;=GT$12,GQ4&gt;=GT$16,GN4&lt;&gt;""),AND(HJ4&gt;=HP$12,HM4&gt;=HP$16,HJ4&lt;&gt;""),AND(IF4&gt;=IL$12,II4&gt;=IL$16,IF4&lt;&gt;""),AND(JB4&gt;=JH$12,JE4&gt;=JH$16,JB4&lt;&gt;""),AND(JX4&gt;=KD$12,KA4&gt;=KD$16,JX4&lt;&gt;""),AND(KT4&gt;=KZ$12,KW4&gt;=KZ$16,KT4&lt;&gt;""),AND(LP4&gt;=LV$12,LS4&gt;=LV$16,LP4&lt;&gt;""),AND(ML4&gt;=MR$12,MO4&gt;=MR$16,ML4&lt;&gt;"")),"P","")</f>
        <v/>
      </c>
      <c r="G4" s="3" t="str">
        <f t="shared" ref="G4:G9" si="2">IF(OR(AND(AM4&gt;=AP$16,AJ4&lt;&gt;"",AI4=""),AND(BJ4&gt;=BM$16,BG4&lt;&gt;"",BF4=""),AND(CG4&gt;=CJ$16,CD4&lt;&gt;"",CC4=""),AND(DG4&gt;=DJ$16,DD4&lt;&gt;""),AND(EC4&gt;=EF$16,DZ4&lt;&gt;""),AND(EY4&gt;=FB$16,EV4&lt;&gt;""),AND(FU4&gt;=FX$16,FR4&lt;&gt;""),AND(GQ4&gt;=GT$16,GN4&lt;&gt;""),AND(HM4&gt;=HP$16,HJ4&lt;&gt;""),AND(II4&gt;=IL$16,IF4&lt;&gt;""),AND(JE4&gt;=JH$16,JB4&lt;&gt;""),AND(KA4&gt;=KD$16,JX4&lt;&gt;""),AND(KW4&gt;=KZ$16,KT4&lt;&gt;""),AND(LS4&gt;=LV$16,LP4&lt;&gt;""),AND(MO4&gt;=MR$16,ML4&lt;&gt;"")),"P","")</f>
        <v/>
      </c>
      <c r="H4" s="47" t="str">
        <f t="shared" ref="H4:H9" si="3">IF(OR(AND(AK4&gt;=AP$15,AL4&gt;=AP$19,AK4&lt;&gt;"",AI4=""),AND(AN4&gt;=AP$15,AO4&gt;=AP$19,AN4&lt;&gt;"",AI4=""),AND(BH4&gt;=BM$15,BI4&gt;=BM$19,BH4&lt;&gt;"",BF4=""),AND(BK4&gt;=BM$15,BL4&gt;=BM$19,BK4&lt;&gt;"",BF4=""),AND(CE4&gt;=CJ$15,CF4&gt;=CJ$19,CE4&lt;&gt;"",CC4=""),AND(CH4&gt;=CJ$15,CI4&gt;=CJ$19,CH4&lt;&gt;"",CC4=""),AND(DD4&gt;=DJ$15,DF4&gt;=DJ$19,DD4&lt;&gt;""),AND(DH4&gt;=DJ$15,DI4&gt;=DJ$19,DH4&lt;&gt;""),AND(DZ4&gt;=EF$15,EB4&gt;=EF$19,DZ4&lt;&gt;""),AND(ED4&gt;=EF$15,EE4&gt;=EF$19,ED4&lt;&gt;""),AND(EV4&gt;=FB$15,EX4&gt;=FB$19,EV4&lt;&gt;""),AND(EZ4&gt;=FB$15,FA4&gt;=FB$19,EZ4&lt;&gt;""),AND(FR4&gt;=FX$15,FT4&gt;=FX$19,FR4&lt;&gt;""),AND(FV4&gt;=FX$15,FW4&gt;=FX$19,FV4&lt;&gt;""),AND(GN4&gt;=GT$15,GP4&gt;=GT$19,GN4&lt;&gt;""),AND(GR4&gt;=GT$15,GS4&gt;=GT$19,GR4&lt;&gt;""),AND(HJ4&gt;=HP$15,HL4&gt;=HP$19,HJ4&lt;&gt;""),AND(HN4&gt;=HP$15,HO4&gt;=HP$19,HN4&lt;&gt;""),AND(IF4&gt;=IL$15,IH4&gt;=IL$19,IF4&lt;&gt;""),AND(IJ4&gt;=IL$15,IK4&gt;=IL$19,IJ4&lt;&gt;""),AND(JB4&gt;=JH$15,JD4&gt;=JH$19,JB4&lt;&gt;""),AND(JF4&gt;=JH$15,JG4&gt;=JH$19,JF4&lt;&gt;""),AND(JX4&gt;=KD$15,JZ4&gt;=KD$19,JX4&lt;&gt;""),AND(KB4&gt;=KD$15,KC4&gt;=KD$19,KB4&lt;&gt;""),AND(KT4&gt;=KZ$15,KV4&gt;=KZ$19,KT4&lt;&gt;""),AND(KX4&gt;=KZ$15,KY4&gt;=KZ$19,KX4&lt;&gt;""),AND(LP4&gt;=LV$15,LR4&gt;=LV$19,LP4&lt;&gt;""),AND(LT4&gt;=LV$15,LU4&gt;=LV$19,LT4&lt;&gt;""),AND(ML4&gt;=MR$15,MN4&gt;=MR$19,ML4&lt;&gt;""),AND(MP4&gt;=MR$15,MQ4&gt;=MR$19,MP4&lt;&gt;"")),"Merit",IF(OR(AND(AK4&gt;=AP$14,AM4&gt;=AP$18,AJ4&lt;&gt;"",AI4=""),AND(BH4&gt;=BM$14,BJ4&gt;=BM$18,BG4&lt;&gt;"",BF4=""),AND(CE4&gt;=CJ$14,CG4&gt;=CJ$18,CD4&lt;&gt;"",CC4=""),AND(DD4&gt;=DJ$14,DG4&gt;=DJ$18,DD4&lt;&gt;""),AND(DZ4&gt;=EF$14,EC4&gt;=EF$18,DZ4&lt;&gt;""),AND(EV4&gt;=FB$14,EY4&gt;=FB$18,EV4&lt;&gt;""),AND(FR4&gt;=FX$14,FU4&gt;=FX$18,FR4&lt;&gt;""),AND(GN4&gt;=GT$14,GQ4&gt;=GT$18,GN4&lt;&gt;""),AND(HJ4&gt;=HP$14,HM4&gt;=HP$18,HJ4&lt;&gt;""),AND(IF4&gt;=IL$14,II4&gt;=IL$18,IF4&lt;&gt;""),AND(JB4&gt;=JH$14,JE4&gt;=JH$18,JB4&lt;&gt;""),AND(JX4&gt;=KD$14,KA4&gt;=KD$18,JX4&lt;&gt;""),AND(KT4&gt;=KZ$14,KW4&gt;=KZ$18,KT4&lt;&gt;""),AND(LP4&gt;=LV$14,LS4&gt;=LV$18,LP4&lt;&gt;""),AND(ML4&gt;=MR$14,MO4&gt;=MR$18,ML4&lt;&gt;"")),"Excellence",IF(OR(AND(AK4&gt;=AP$12,AM4&gt;=AP$16,AJ4&lt;&gt;"",AI4=""),AND(BH4&gt;=BM$12,BJ4&gt;=BM$16,BG4&lt;&gt;"",BF4=""),AND(CE4&gt;=CJ$12,CG4&gt;=CJ$16,CD4&lt;&gt;"",CC4=""),AND(DD4&gt;=DJ$12,DG4&gt;=DJ$16,DD4&lt;&gt;""),AND(DZ4&gt;=EF$12,EC4&gt;=EF$16,DZ4&lt;&gt;""),AND(EV4&gt;=FB$12,EY4&gt;=FB$16,EV4&lt;&gt;""),AND(FR4&gt;=FX$12,FU4&gt;=FX$16,FR4&lt;&gt;""),AND(GN4&gt;=GT$12,GQ4&gt;=GT$16,GN4&lt;&gt;""),AND(HJ4&gt;=HP$12,HM4&gt;=HP$16,HJ4&lt;&gt;""),AND(IF4&gt;=IL$12,II4&gt;=IL$16,IF4&lt;&gt;""),AND(JB4&gt;=JH$12,JE4&gt;=JH$16,JB4&lt;&gt;""),AND(JX4&gt;=KD$12,KA4&gt;=KD$16,JX4&lt;&gt;""),AND(KT4&gt;=KZ$12,KW4&gt;=KZ$16,KT4&lt;&gt;""),AND(LP4&gt;=LV$12,LS4&gt;=LV$16,LP4&lt;&gt;""),AND(ML4&gt;=MR$12,MO4&gt;=MR$16,ML4&lt;&gt;"")),"National Team",IF(G4="P","No DD",""))))</f>
        <v/>
      </c>
      <c r="I4" s="9">
        <f t="shared" ref="I4:I9" si="4">IF(MAX(AM4,BJ4,CG4)&gt;0,MAX(AM4,BJ4,CG4),0)</f>
        <v>92.19</v>
      </c>
      <c r="J4" s="9" t="str">
        <f t="shared" ref="J4:J9" si="5">IF(I4=0,"",IF(I4=CG4,$BN$1,IF(I4=BJ4,$AQ$1,IF(I4=AM4,$T$1,""))))</f>
        <v>2025 3rd Domestic Trial</v>
      </c>
      <c r="K4" s="9">
        <f t="shared" ref="K4:K9" si="6">IF($I4=$AM4,MAX(BG4,CD4),IF($I4=$BJ4,MAX(AJ4,CD4),IF($I4=$CG4,MAX(AJ4,BG4),MAX(AJ4,BG4,CD4))))</f>
        <v>40.480000000000004</v>
      </c>
      <c r="L4" s="9" t="str">
        <f t="shared" ref="L4:L9" si="7">IF(K4=0,"",IF(AND(K4=CD4,$J4&lt;&gt;$BN$1),$BN$1,IF(AND(K4=BG4,$J4&lt;&gt;$AQ$1),$AQ$1,IF(AND(K4=AJ4,$J4&lt;&gt;$T$1),$T$1,""))))</f>
        <v>2025 Nationals</v>
      </c>
      <c r="M4" s="9">
        <f t="shared" ref="M4:M9" si="8">IF(I4-N(AJ4)=AL4,MAX(BI4,CF4),IF(I4-N(BG4)=BI4,MAX(AL4,CF4),IF(I4-N(CD4)=CF4,MAX(AL4,BI4))))</f>
        <v>15.559999999999999</v>
      </c>
      <c r="N4" s="9" t="str">
        <f t="shared" ref="N4:N9" si="9">IF(M4=0,"",IF(AND(OR(M4=CF4),$J4&lt;&gt;$BN$1),$BN$1,IF(AND(OR(M4=BI4),$J4&lt;&gt;$AQ$1),$AQ$1,IF(AND(OR(M4=AL4),$J4&lt;&gt;$T$1),$T$1,""))))</f>
        <v>2025 Nationals</v>
      </c>
      <c r="O4" s="9">
        <f t="shared" ref="O4:O9" si="10">MAX(AO4,BL4,CI4)</f>
        <v>50.629999999999995</v>
      </c>
      <c r="P4" s="9" t="str">
        <f t="shared" ref="P4:P9" si="11">IF(O4=0,"",IF(O4=CI4,$BN$1,IF(O4=BL4,$AQ$1,IF(O4=AO4,$T$1,""))))</f>
        <v>2025 Nationals</v>
      </c>
      <c r="Q4" s="9">
        <f t="shared" ref="Q4:Q9" si="12">IF(MAX(CK4,CL4,CM4,CN4)&gt;0,MAX(CK4,CL4,CM4,CN4),"")</f>
        <v>36.210000000000008</v>
      </c>
      <c r="R4" s="14" t="str">
        <f t="shared" ref="R4:R9" si="13">IF(Q4="","",IF(Q4=CK4,"(Vol 1)",IF(Q4=CL4,"(Vol 2)",IF(Q4=CM4,"(Prelim)",IF(Q4=CN4,"(Final)")))))</f>
        <v>(Vol 2)</v>
      </c>
      <c r="S4" s="9" t="str">
        <f t="shared" ref="S4:S9" si="14">IF(Q4="","",IF(Q4=CK4,IF(Q4+IF(K4="",0,K4)=MM4,$LW$1,IF(Q4+IF(K4="",0,K4)=LQ4,$LA$1,IF(Q4+IF(K4="",0,K4)=KU4,$KE$1,IF(Q4+IF(K4="",0,K4)=JY4,$JI$1,IF(Q4+IF(K4="",0,K4)=JC4,$IM$1,IF(Q4+IF(K4="",0,K4)=IG4,$HQ$1,IF(Q4+IF(K4="",0,K4)=HK4,$GU$1,IF(Q4+IF(K4="",0,K4)=GO4,$FY$1,IF(Q4+IF(K4="",0,K4)=FS4,$FC$1,IF(Q4+IF(K4="",0,K4)=EW4,$EG$1,IF(Q4+IF(K4="",0,K4)=EA4,$DK$1,IF(Q4+IF(K4="",0,K4)=DE4,$CO$1)))))))))))),IF(Q4=CL4,IF(Q4+IF(M4="",0,M4)=MN4,$LW$1,IF(Q4+IF(M4="",0,M4)=LR4,$LA$1,IF(Q4+IF(M4="",0,M4)=KV4,$KE$1,IF(Q4+IF(M4="",0,M4)=JZ4,$JI$1,IF(Q4+IF(M4="",0,M4)=JD4,$IM$1,IF(Q4+IF(M4="",0,M4)=IH4,$HQ$1,IF(Q4+IF(M4="",0,M4)=HL4,$GU$1,IF(Q4+IF(M4="",0,M4)=GP4,$FY$1,IF(Q4+IF(M4="",0,M4)=FT4,$FC$1,IF(Q4+IF(M4="",0,M4)=EX4,$EG$1,IF(Q4+IF(M4="",0,M4)=EB4,$DK$1,IF(Q4+IF(M4="",0,M4)=DF4,$CO$1)))))))))))),IF(Q4=CM4,IF(Q4+IF(I4="",0,I4)=MO4,$LW$1,IF(Q4+IF(I4="",0,I4)=LS4,$LA$1,IF(Q4+IF(I4="",0,I4)=KW4,$KE$1,IF(Q4+IF(I4="",0,I4)=KA4,$JI$1,IF(Q4+IF(I4="",0,I4)=JE4,$IM$1,IF(Q4+IF(I4="",0,I4)=II4,$HQ$1,IF(Q4+IF(I4="",0,I4)=HM4,$GU$1,IF(Q4+IF(I4="",0,I4)=GQ4,$FY$1,IF(Q4+IF(I4="",0,I4)=FU4,$FC$1,IF(Q4+IF(I4="",0,I4)=EY4,$EG$1,IF(Q4+IF(I4="",0,I4)=EC4,$DK$1,IF(Q4+IF(I4="",0,I4)=DG4,$CO$1)))))))))))),IF(Q4=CN4,IF(Q4+IF(O4="",0,O4)=MQ4,$LW$1,IF(Q4+IF(O4="",0,O4)=LU4,$LA$1,IF(Q4+IF(O4="",0,O4)=KY4,$KE$1,IF(Q4+IF(O4="",0,O4)=KC4,$JI$1,IF(Q4+IF(O4="",0,O4)=JG4,$IM$1,IF(Q4+IF(O4="",0,O4)=IK4,$HQ$1,IF(Q4+IF(O4="",0,O4)=HO4,$GU$1,IF(Q4+IF(O4="",0,O4)=GS4,$FY$1,IF(Q4+IF(O4="",0,O4)=FW4,$FC$1,IF(Q4+IF(O4="",0,O4)=FA4,$EG$1,IF(Q4+IF(O4="",0,O4)=EE4,$DK$1,IF(Q4+IF(O4="",0,O4)=DI4,$CO$1)))))))))))))))))</f>
        <v>2025 WAGC (Nov 16)</v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32"/>
      <c r="AJ4" s="7" t="str">
        <f t="shared" ref="AJ4:AJ9" si="15">IF(SUM(T4:W4)-X4&gt;0,SUM(T4:W4)-X4,"")</f>
        <v/>
      </c>
      <c r="AK4" s="7" t="str">
        <f t="shared" ref="AK4:AK9" si="16">IF(AA4&gt;0,AA4,"")</f>
        <v/>
      </c>
      <c r="AL4" s="7" t="str">
        <f t="shared" ref="AL4:AL9" si="17">IF(SUM(Y4:AB4)-AC4&gt;0,SUM(Y4:AB4)-AC4,"")</f>
        <v/>
      </c>
      <c r="AM4" s="7" t="str">
        <f t="shared" ref="AM4:AM9" si="18">IF(AJ4="",IF(AL4&gt;0,AL4,""),AL4+AJ4)</f>
        <v/>
      </c>
      <c r="AN4" s="7" t="str">
        <f t="shared" ref="AN4:AN9" si="19">IF(AF4&gt;0,AF4,"")</f>
        <v/>
      </c>
      <c r="AO4" s="7" t="str">
        <f t="shared" ref="AO4:AO9" si="20">IF(SUM(AD4:AG4)-AH4&gt;0,SUM(AD4:AG4)-AH4,"")</f>
        <v/>
      </c>
      <c r="AP4" s="7" t="str">
        <f t="shared" ref="AP4:AP9" si="21">IF(SUM(AM4,AO4)&gt;0,SUM(AM4,AO4),"")</f>
        <v/>
      </c>
      <c r="AQ4" s="23">
        <v>16</v>
      </c>
      <c r="AR4" s="23">
        <v>9.3000000000000007</v>
      </c>
      <c r="AS4" s="23">
        <v>0</v>
      </c>
      <c r="AT4" s="23">
        <v>15.18</v>
      </c>
      <c r="AU4" s="23">
        <v>0</v>
      </c>
      <c r="AV4" s="23">
        <v>4.2</v>
      </c>
      <c r="AW4" s="23">
        <v>2.5</v>
      </c>
      <c r="AX4" s="23">
        <v>4.3</v>
      </c>
      <c r="AY4" s="23">
        <v>4.5599999999999996</v>
      </c>
      <c r="AZ4" s="23">
        <v>0</v>
      </c>
      <c r="BA4" s="23">
        <v>13.1</v>
      </c>
      <c r="BB4" s="23">
        <v>9.1</v>
      </c>
      <c r="BC4" s="23">
        <v>13.6</v>
      </c>
      <c r="BD4" s="23">
        <v>14.83</v>
      </c>
      <c r="BE4" s="23">
        <v>0</v>
      </c>
      <c r="BF4" s="33"/>
      <c r="BG4" s="9">
        <f t="shared" ref="BG4:BG9" si="22">IF(SUM(AQ4:AT4)-AU4&gt;0,SUM(AQ4:AT4)-AU4,"")</f>
        <v>40.480000000000004</v>
      </c>
      <c r="BH4" s="9">
        <f t="shared" ref="BH4:BH9" si="23">IF(AX4&gt;0,AX4,"")</f>
        <v>4.3</v>
      </c>
      <c r="BI4" s="9">
        <f t="shared" ref="BI4:BI9" si="24">IF(SUM(AV4:AY4)-AZ4&gt;0,SUM(AV4:AY4)-AZ4,"")</f>
        <v>15.559999999999999</v>
      </c>
      <c r="BJ4" s="9">
        <f t="shared" ref="BJ4:BJ9" si="25">IF(BG4="",IF(BI4&gt;0,BI4,""),BI4+BG4)</f>
        <v>56.040000000000006</v>
      </c>
      <c r="BK4" s="9">
        <f t="shared" ref="BK4:BK9" si="26">IF(BC4&gt;0,BC4,"")</f>
        <v>13.6</v>
      </c>
      <c r="BL4" s="9">
        <f t="shared" ref="BL4:BL9" si="27">IF(SUM(BA4:BD4)-BE4&gt;0,SUM(BA4:BD4)-BE4,"")</f>
        <v>50.629999999999995</v>
      </c>
      <c r="BM4" s="9">
        <f t="shared" ref="BM4:BM9" si="28">IF(SUM(BJ4,BL4)&gt;0,SUM(BJ4,BL4),"")</f>
        <v>106.67</v>
      </c>
      <c r="BN4" s="27">
        <v>16.5</v>
      </c>
      <c r="BO4" s="27">
        <v>9.4</v>
      </c>
      <c r="BP4" s="27">
        <v>0</v>
      </c>
      <c r="BQ4" s="27">
        <v>15.51</v>
      </c>
      <c r="BR4" s="27">
        <v>0</v>
      </c>
      <c r="BS4" s="27">
        <v>13.4</v>
      </c>
      <c r="BT4" s="27">
        <v>8.8000000000000007</v>
      </c>
      <c r="BU4" s="27">
        <v>13</v>
      </c>
      <c r="BV4" s="27">
        <v>15.58</v>
      </c>
      <c r="BW4" s="27">
        <v>0</v>
      </c>
      <c r="BX4" s="27">
        <v>11.7</v>
      </c>
      <c r="BY4" s="27">
        <v>9.1999999999999993</v>
      </c>
      <c r="BZ4" s="27">
        <v>12.1</v>
      </c>
      <c r="CA4" s="27">
        <v>15.21</v>
      </c>
      <c r="CB4" s="27">
        <v>0.2</v>
      </c>
      <c r="CC4" s="32"/>
      <c r="CD4" s="7">
        <f t="shared" ref="CD4:CD9" si="29">IF(SUM(BN4:BQ4)-BR4&gt;0,SUM(BN4:BQ4)-BR4,"")</f>
        <v>41.41</v>
      </c>
      <c r="CE4" s="7">
        <f t="shared" ref="CE4:CE9" si="30">IF(BU4&gt;0,BU4,"")</f>
        <v>13</v>
      </c>
      <c r="CF4" s="7">
        <f t="shared" ref="CF4:CF9" si="31">IF(SUM(BS4:BV4)-BW4&gt;0,SUM(BS4:BV4)-BW4,"")</f>
        <v>50.78</v>
      </c>
      <c r="CG4" s="7">
        <f t="shared" ref="CG4:CG9" si="32">IF(CD4="",IF(CF4&gt;0,CF4,""),CF4+CD4)</f>
        <v>92.19</v>
      </c>
      <c r="CH4" s="7">
        <f t="shared" ref="CH4:CH9" si="33">IF(BZ4&gt;0,BZ4,"")</f>
        <v>12.1</v>
      </c>
      <c r="CI4" s="7">
        <f t="shared" ref="CI4:CI9" si="34">IF(SUM(BX4:CA4)-CB4&gt;0,SUM(BX4:CA4)-CB4,"")</f>
        <v>48.01</v>
      </c>
      <c r="CJ4" s="7">
        <f t="shared" ref="CJ4:CJ9" si="35">IF(SUM(CG4,CI4)&gt;0,SUM(CG4,CI4),"")</f>
        <v>140.19999999999999</v>
      </c>
      <c r="CK4" s="13">
        <f t="shared" ref="CK4:CK9" si="36">IF(MAX(DE4,EA4,EW4,FS4,GO4,HK4,IG4,JC4,JY4,KU4,LQ4,MM4)-IF(K4="",0,K4)&gt;0.001,MAX(DE4,EA4,EW4,FS4,GO4,HK4,IG4,JC4,JY4,KU4,LQ4,MM4)-IF(K4="",0,K4),"")</f>
        <v>0.5</v>
      </c>
      <c r="CL4" s="13">
        <f t="shared" ref="CL4:CL9" si="37">IF(MAX(DF4,EB4,EX4,FT4,GP4,HL4,IH4,JD4,JZ4,KV4,LR4,MN4)-IF(M4="",0,M4)&gt;0.001,MAX(DF4,EB4,EX4,FT4,GP4,HL4,IH4,JD4,JZ4,KV4,LR4,MN4)-IF(M4="",0,M4),"")</f>
        <v>36.210000000000008</v>
      </c>
      <c r="CM4" s="13">
        <f t="shared" ref="CM4:CM9" si="38">IF(MAX(DG4,EC4,EY4,FU4,GQ4,HM4,II4,JE4,KA4,KW4,LS4,MO4)-IF(I4="",0,I4)&gt;0.001,MAX(DG4,EC4,EY4,FU4,GQ4,HM4,II4,JE4,KA4,KW4,LS4,MO4)-IF(I4="",0,I4),"")</f>
        <v>0.56000000000000227</v>
      </c>
      <c r="CN4" s="13" t="str">
        <f t="shared" ref="CN4:CN9" si="39">IF(MAX(DI4,EE4,FA4,FW4,GS4,HO4,IK4,JG4,KC4,KY4,LU4,MQ4)-IF(O4="",0,O4)&gt;0.001,MAX(DI4,EE4,FA4,FW4,GS4,HO4,IK4,JG4,KC4,KY4,LU4,MQ4)-IF(O4="",0,O4),"")</f>
        <v/>
      </c>
      <c r="CO4" s="18">
        <v>16.100000000000001</v>
      </c>
      <c r="CP4" s="18">
        <v>9.1999999999999993</v>
      </c>
      <c r="CQ4" s="18">
        <v>0</v>
      </c>
      <c r="CR4" s="18">
        <v>15.68</v>
      </c>
      <c r="CS4" s="18">
        <v>0</v>
      </c>
      <c r="CT4" s="18">
        <v>13.8</v>
      </c>
      <c r="CU4" s="18">
        <v>9.3000000000000007</v>
      </c>
      <c r="CV4" s="18">
        <v>13.6</v>
      </c>
      <c r="CW4" s="18">
        <v>15.07</v>
      </c>
      <c r="CX4" s="18">
        <v>0</v>
      </c>
      <c r="CY4" s="18"/>
      <c r="CZ4" s="18"/>
      <c r="DA4" s="18"/>
      <c r="DB4" s="18"/>
      <c r="DC4" s="18"/>
      <c r="DD4" s="7">
        <f t="shared" ref="DD4:DD9" si="40">IF(CV4&gt;0,CV4,"")</f>
        <v>13.6</v>
      </c>
      <c r="DE4" s="7">
        <f t="shared" ref="DE4:DE9" si="41">IF(SUM(CO4:CR4)-CS4&gt;0,SUM(CO4:CR4)-CS4,"")</f>
        <v>40.980000000000004</v>
      </c>
      <c r="DF4" s="7">
        <f t="shared" ref="DF4:DF9" si="42">IF(SUM(CT4:CW4)-CX4&gt;0,SUM(CT4:CW4)-CX4,"")</f>
        <v>51.77</v>
      </c>
      <c r="DG4" s="7">
        <f t="shared" ref="DG4:DG9" si="43">IF(SUM(DE4:DF4)&gt;0,SUM(DE4:DF4),"")</f>
        <v>92.75</v>
      </c>
      <c r="DH4" s="7" t="str">
        <f t="shared" ref="DH4:DH9" si="44">IF(DA4&gt;0,DA4,"")</f>
        <v/>
      </c>
      <c r="DI4" s="7" t="str">
        <f t="shared" ref="DI4:DI9" si="45">IF(SUM(CY4:DB4)-DC4&gt;0,SUM(CY4:DB4)-DC4,"")</f>
        <v/>
      </c>
      <c r="DJ4" s="7">
        <f t="shared" ref="DJ4:DJ9" si="46">IF(SUM(DG4,DI4)&gt;0,SUM(DG4,DI4),"")</f>
        <v>92.75</v>
      </c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9" t="str">
        <f t="shared" ref="DZ4:DZ9" si="47">IF(DR4&gt;0,DR4,"")</f>
        <v/>
      </c>
      <c r="EA4" s="9" t="str">
        <f t="shared" ref="EA4:EA9" si="48">IF(SUM(DK4:DN4)-DO4&gt;0,SUM(DK4:DN4)-DO4,"")</f>
        <v/>
      </c>
      <c r="EB4" s="9" t="str">
        <f t="shared" ref="EB4:EB9" si="49">IF(SUM(DP4:DS4)-DT4&gt;0,SUM(DP4:DS4)-DT4,"")</f>
        <v/>
      </c>
      <c r="EC4" s="9" t="str">
        <f t="shared" ref="EC4:EC9" si="50">IF(SUM(EA4:EB4)&gt;0,SUM(EA4:EB4),"")</f>
        <v/>
      </c>
      <c r="ED4" s="9" t="str">
        <f t="shared" ref="ED4:ED9" si="51">IF(DW4&gt;0,DW4,"")</f>
        <v/>
      </c>
      <c r="EE4" s="9" t="str">
        <f t="shared" ref="EE4:EE9" si="52">IF(SUM(DU4:DX4)-DY4&gt;0,SUM(DU4:DX4)-DY4,"")</f>
        <v/>
      </c>
      <c r="EF4" s="9" t="str">
        <f t="shared" ref="EF4:EF9" si="53">IF(SUM(EC4,EE4)&gt;0,SUM(EC4,EE4),"")</f>
        <v/>
      </c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7" t="str">
        <f t="shared" ref="EV4:EV9" si="54">IF(EN4&gt;0,EN4,"")</f>
        <v/>
      </c>
      <c r="EW4" s="7" t="str">
        <f t="shared" ref="EW4:EW9" si="55">IF(SUM(EG4:EJ4)-EK4&gt;0,SUM(EG4:EJ4)-EK4,"")</f>
        <v/>
      </c>
      <c r="EX4" s="7" t="str">
        <f t="shared" ref="EX4:EX9" si="56">IF(SUM(EL4:EO4)-EP4&gt;0,SUM(EL4:EO4)-EP4,"")</f>
        <v/>
      </c>
      <c r="EY4" s="7" t="str">
        <f t="shared" ref="EY4:EY9" si="57">IF(SUM(EW4:EX4)&gt;0,SUM(EW4:EX4),"")</f>
        <v/>
      </c>
      <c r="EZ4" s="7" t="str">
        <f t="shared" ref="EZ4:EZ9" si="58">IF(ES4&gt;0,ES4,"")</f>
        <v/>
      </c>
      <c r="FA4" s="7" t="str">
        <f t="shared" ref="FA4:FA9" si="59">IF(SUM(EQ4:ET4)-EU4&gt;0,SUM(EQ4:ET4)-EU4,"")</f>
        <v/>
      </c>
      <c r="FB4" s="7" t="str">
        <f t="shared" ref="FB4:FB9" si="60">IF(SUM(EY4,FA4)&gt;0,SUM(EY4,FA4),"")</f>
        <v/>
      </c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9" t="str">
        <f t="shared" ref="FR4:FR9" si="61">IF(FJ4&gt;0,FJ4,"")</f>
        <v/>
      </c>
      <c r="FS4" s="9" t="str">
        <f t="shared" ref="FS4:FS9" si="62">IF(SUM(FC4:FF4)-FG4&gt;0,SUM(FC4:FF4)-FG4,"")</f>
        <v/>
      </c>
      <c r="FT4" s="9" t="str">
        <f t="shared" ref="FT4:FT9" si="63">IF(SUM(FH4:FK4)-FL4&gt;0,SUM(FH4:FK4)-FL4,"")</f>
        <v/>
      </c>
      <c r="FU4" s="9" t="str">
        <f t="shared" ref="FU4:FU9" si="64">IF(SUM(FS4:FT4)&gt;0,SUM(FS4:FT4),"")</f>
        <v/>
      </c>
      <c r="FV4" s="9" t="str">
        <f t="shared" ref="FV4:FV9" si="65">IF(FO4&gt;0,FO4,"")</f>
        <v/>
      </c>
      <c r="FW4" s="9" t="str">
        <f t="shared" ref="FW4:FW9" si="66">IF(SUM(FM4:FP4)-FQ4&gt;0,SUM(FM4:FP4)-FQ4,"")</f>
        <v/>
      </c>
      <c r="FX4" s="9" t="str">
        <f t="shared" ref="FX4:FX9" si="67">IF(SUM(FU4,FW4)&gt;0,SUM(FU4,FW4),"")</f>
        <v/>
      </c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7" t="str">
        <f t="shared" ref="GN4:GN9" si="68">IF(GF4&gt;0,GF4,"")</f>
        <v/>
      </c>
      <c r="GO4" s="7" t="str">
        <f t="shared" ref="GO4:GO9" si="69">IF(SUM(FY4:GB4)-GC4&gt;0,SUM(FY4:GB4)-GC4,"")</f>
        <v/>
      </c>
      <c r="GP4" s="7" t="str">
        <f t="shared" ref="GP4:GP9" si="70">IF(SUM(GD4:GG4)-GH4&gt;0,SUM(GD4:GG4)-GH4,"")</f>
        <v/>
      </c>
      <c r="GQ4" s="7" t="str">
        <f t="shared" ref="GQ4:GQ9" si="71">IF(SUM(GO4:GP4)&gt;0,SUM(GO4:GP4),"")</f>
        <v/>
      </c>
      <c r="GR4" s="7" t="str">
        <f t="shared" ref="GR4:GR9" si="72">IF(GK4&gt;0,GK4,"")</f>
        <v/>
      </c>
      <c r="GS4" s="7" t="str">
        <f t="shared" ref="GS4:GS9" si="73">IF(SUM(GI4:GL4)-GM4&gt;0,SUM(GI4:GL4)-GM4,"")</f>
        <v/>
      </c>
      <c r="GT4" s="7" t="str">
        <f t="shared" ref="GT4:GT9" si="74">IF(SUM(GQ4,GS4)&gt;0,SUM(GQ4,GS4),"")</f>
        <v/>
      </c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9" t="str">
        <f t="shared" ref="HJ4:HJ9" si="75">IF(HB4&gt;0,HB4,"")</f>
        <v/>
      </c>
      <c r="HK4" s="9" t="str">
        <f t="shared" ref="HK4:HK9" si="76">IF(SUM(GU4:GX4)-GY4&gt;0,SUM(GU4:GX4)-GY4,"")</f>
        <v/>
      </c>
      <c r="HL4" s="9" t="str">
        <f t="shared" ref="HL4:HL9" si="77">IF(SUM(GZ4:HC4)-HD4&gt;0,SUM(GZ4:HC4)-HD4,"")</f>
        <v/>
      </c>
      <c r="HM4" s="9" t="str">
        <f t="shared" ref="HM4:HM9" si="78">IF(SUM(HK4:HL4)&gt;0,SUM(HK4:HL4),"")</f>
        <v/>
      </c>
      <c r="HN4" s="9" t="str">
        <f t="shared" ref="HN4:HN9" si="79">IF(HG4&gt;0,HG4,"")</f>
        <v/>
      </c>
      <c r="HO4" s="9" t="str">
        <f t="shared" ref="HO4:HO9" si="80">IF(SUM(HE4:HH4)-HI4&gt;0,SUM(HE4:HH4)-HI4,"")</f>
        <v/>
      </c>
      <c r="HP4" s="9" t="str">
        <f t="shared" ref="HP4:HP9" si="81">IF(SUM(HM4,HO4)&gt;0,SUM(HM4,HO4),"")</f>
        <v/>
      </c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7" t="str">
        <f t="shared" ref="IF4:IF9" si="82">IF(HX4&gt;0,HX4,"")</f>
        <v/>
      </c>
      <c r="IG4" s="7" t="str">
        <f t="shared" ref="IG4:IG9" si="83">IF(SUM(HQ4:HT4)-HU4&gt;0,SUM(HQ4:HT4)-HU4,"")</f>
        <v/>
      </c>
      <c r="IH4" s="7" t="str">
        <f t="shared" ref="IH4:IH9" si="84">IF(SUM(HV4:HY4)-HZ4&gt;0,SUM(HV4:HY4)-HZ4,"")</f>
        <v/>
      </c>
      <c r="II4" s="7" t="str">
        <f t="shared" ref="II4:II9" si="85">IF(SUM(IG4:IH4)&gt;0,SUM(IG4:IH4),"")</f>
        <v/>
      </c>
      <c r="IJ4" s="7" t="str">
        <f t="shared" ref="IJ4:IJ9" si="86">IF(IC4&gt;0,IC4,"")</f>
        <v/>
      </c>
      <c r="IK4" s="7" t="str">
        <f t="shared" ref="IK4:IK9" si="87">IF(SUM(IA4:ID4)-IE4&gt;0,SUM(IA4:ID4)-IE4,"")</f>
        <v/>
      </c>
      <c r="IL4" s="7" t="str">
        <f t="shared" ref="IL4:IL9" si="88">IF(SUM(II4,IK4)&gt;0,SUM(II4,IK4),"")</f>
        <v/>
      </c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9" t="str">
        <f t="shared" ref="JB4:JB9" si="89">IF(IT4&gt;0,IT4,"")</f>
        <v/>
      </c>
      <c r="JC4" s="9" t="str">
        <f t="shared" ref="JC4:JC9" si="90">IF(SUM(IM4:IP4)-IQ4&gt;0,SUM(IM4:IP4)-IQ4,"")</f>
        <v/>
      </c>
      <c r="JD4" s="9" t="str">
        <f t="shared" ref="JD4:JD9" si="91">IF(SUM(IR4:IU4)-IV4&gt;0,SUM(IR4:IU4)-IV4,"")</f>
        <v/>
      </c>
      <c r="JE4" s="9" t="str">
        <f t="shared" ref="JE4:JE9" si="92">IF(SUM(JC4:JD4)&gt;0,SUM(JC4:JD4),"")</f>
        <v/>
      </c>
      <c r="JF4" s="9" t="str">
        <f t="shared" ref="JF4:JF9" si="93">IF(IY4&gt;0,IY4,"")</f>
        <v/>
      </c>
      <c r="JG4" s="9" t="str">
        <f t="shared" ref="JG4:JG9" si="94">IF(SUM(IW4:IZ4)-JA4&gt;0,SUM(IW4:IZ4)-JA4,"")</f>
        <v/>
      </c>
      <c r="JH4" s="9" t="str">
        <f t="shared" ref="JH4:JH9" si="95">IF(SUM(JE4,JG4)&gt;0,SUM(JE4,JG4),"")</f>
        <v/>
      </c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7" t="str">
        <f t="shared" ref="JX4:JX9" si="96">IF(JP4&gt;0,JP4,"")</f>
        <v/>
      </c>
      <c r="JY4" s="7" t="str">
        <f t="shared" ref="JY4:JY9" si="97">IF(SUM(JI4:JL4)-JM4&gt;0,SUM(JI4:JL4)-JM4,"")</f>
        <v/>
      </c>
      <c r="JZ4" s="7" t="str">
        <f t="shared" ref="JZ4:JZ9" si="98">IF(SUM(JN4:JQ4)-JR4&gt;0,SUM(JN4:JQ4)-JR4,"")</f>
        <v/>
      </c>
      <c r="KA4" s="7" t="str">
        <f t="shared" ref="KA4:KA9" si="99">IF(SUM(JY4:JZ4)&gt;0,SUM(JY4:JZ4),"")</f>
        <v/>
      </c>
      <c r="KB4" s="7" t="str">
        <f t="shared" ref="KB4:KB9" si="100">IF(JU4&gt;0,JU4,"")</f>
        <v/>
      </c>
      <c r="KC4" s="7" t="str">
        <f t="shared" ref="KC4:KC9" si="101">IF(SUM(JS4:JV4)-JW4&gt;0,SUM(JS4:JV4)-JW4,"")</f>
        <v/>
      </c>
      <c r="KD4" s="7" t="str">
        <f t="shared" ref="KD4:KD9" si="102">IF(SUM(KA4,KC4)&gt;0,SUM(KA4,KC4),"")</f>
        <v/>
      </c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9" t="str">
        <f t="shared" ref="KT4:KT9" si="103">IF(KL4&gt;0,KL4,"")</f>
        <v/>
      </c>
      <c r="KU4" s="9" t="str">
        <f t="shared" ref="KU4:KU9" si="104">IF(SUM(KE4:KH4)-KI4&gt;0,SUM(KE4:KH4)-KI4,"")</f>
        <v/>
      </c>
      <c r="KV4" s="9" t="str">
        <f t="shared" ref="KV4:KV9" si="105">IF(SUM(KJ4:KM4)-KN4&gt;0,SUM(KJ4:KM4)-KN4,"")</f>
        <v/>
      </c>
      <c r="KW4" s="9" t="str">
        <f t="shared" ref="KW4:KW9" si="106">IF(SUM(KU4:KV4)&gt;0,SUM(KU4:KV4),"")</f>
        <v/>
      </c>
      <c r="KX4" s="9" t="str">
        <f t="shared" ref="KX4:KX9" si="107">IF(KQ4&gt;0,KQ4,"")</f>
        <v/>
      </c>
      <c r="KY4" s="9" t="str">
        <f t="shared" ref="KY4:KY9" si="108">IF(SUM(KO4:KR4)-KS4&gt;0,SUM(KO4:KR4)-KS4,"")</f>
        <v/>
      </c>
      <c r="KZ4" s="9" t="str">
        <f t="shared" ref="KZ4:KZ9" si="109">IF(SUM(KW4,KY4)&gt;0,SUM(KW4,KY4),"")</f>
        <v/>
      </c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7" t="str">
        <f t="shared" ref="LP4:LP9" si="110">IF(LH4&gt;0,LH4,"")</f>
        <v/>
      </c>
      <c r="LQ4" s="7" t="str">
        <f t="shared" ref="LQ4:LQ9" si="111">IF(SUM(LA4:LD4)-LE4&gt;0,SUM(LA4:LD4)-LE4,"")</f>
        <v/>
      </c>
      <c r="LR4" s="7" t="str">
        <f t="shared" ref="LR4:LR9" si="112">IF(SUM(LF4:LI4)-LJ4&gt;0,SUM(LF4:LI4)-LJ4,"")</f>
        <v/>
      </c>
      <c r="LS4" s="7" t="str">
        <f t="shared" ref="LS4:LS9" si="113">IF(SUM(LQ4:LR4)&gt;0,SUM(LQ4:LR4),"")</f>
        <v/>
      </c>
      <c r="LT4" s="7" t="str">
        <f t="shared" ref="LT4:LT9" si="114">IF(LM4&gt;0,LM4,"")</f>
        <v/>
      </c>
      <c r="LU4" s="7" t="str">
        <f t="shared" ref="LU4:LU9" si="115">IF(SUM(LK4:LN4)-LO4&gt;0,SUM(LK4:LN4)-LO4,"")</f>
        <v/>
      </c>
      <c r="LV4" s="7" t="str">
        <f t="shared" ref="LV4:LV9" si="116">IF(SUM(LS4,LU4)&gt;0,SUM(LS4,LU4),"")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9" t="str">
        <f t="shared" ref="ML4:ML9" si="117">IF(MD4&gt;0,MD4,"")</f>
        <v/>
      </c>
      <c r="MM4" s="9" t="str">
        <f t="shared" ref="MM4:MM9" si="118">IF(SUM(LW4:LZ4)-MA4&gt;0,SUM(LW4:LZ4)-MA4,"")</f>
        <v/>
      </c>
      <c r="MN4" s="9" t="str">
        <f t="shared" ref="MN4:MN9" si="119">IF(SUM(MB4:ME4)-MF4&gt;0,SUM(MB4:ME4)-MF4,"")</f>
        <v/>
      </c>
      <c r="MO4" s="9" t="str">
        <f t="shared" ref="MO4:MO9" si="120">IF(SUM(MM4:MN4)&gt;0,SUM(MM4:MN4),"")</f>
        <v/>
      </c>
      <c r="MP4" s="9" t="str">
        <f t="shared" ref="MP4:MP9" si="121">IF(MI4&gt;0,MI4,"")</f>
        <v/>
      </c>
      <c r="MQ4" s="9" t="str">
        <f t="shared" ref="MQ4:MQ9" si="122">IF(SUM(MG4:MJ4)-MK4&gt;0,SUM(MG4:MJ4)-MK4,"")</f>
        <v/>
      </c>
      <c r="MR4" s="9" t="str">
        <f t="shared" ref="MR4:MR9" si="123">IF(SUM(MO4,MQ4)&gt;0,SUM(MO4,MQ4),"")</f>
        <v/>
      </c>
      <c r="MS4" s="27">
        <f t="shared" ref="MS4:NG9" si="124">IF($CC4="P",BN4,(BN4+AQ4)/2)</f>
        <v>16.25</v>
      </c>
      <c r="MT4" s="27">
        <f t="shared" si="124"/>
        <v>9.3500000000000014</v>
      </c>
      <c r="MU4" s="27">
        <f t="shared" si="124"/>
        <v>0</v>
      </c>
      <c r="MV4" s="27">
        <f t="shared" si="124"/>
        <v>15.344999999999999</v>
      </c>
      <c r="MW4" s="27">
        <f t="shared" si="124"/>
        <v>0</v>
      </c>
      <c r="MX4" s="27">
        <f t="shared" si="124"/>
        <v>8.8000000000000007</v>
      </c>
      <c r="MY4" s="27">
        <f t="shared" si="124"/>
        <v>5.65</v>
      </c>
      <c r="MZ4" s="27">
        <f t="shared" si="124"/>
        <v>8.65</v>
      </c>
      <c r="NA4" s="27">
        <f t="shared" si="124"/>
        <v>10.07</v>
      </c>
      <c r="NB4" s="27">
        <f t="shared" si="124"/>
        <v>0</v>
      </c>
      <c r="NC4" s="27">
        <f t="shared" si="124"/>
        <v>12.399999999999999</v>
      </c>
      <c r="ND4" s="27">
        <f t="shared" si="124"/>
        <v>9.1499999999999986</v>
      </c>
      <c r="NE4" s="27">
        <f t="shared" si="124"/>
        <v>12.85</v>
      </c>
      <c r="NF4" s="27">
        <f t="shared" si="124"/>
        <v>15.02</v>
      </c>
      <c r="NG4" s="27">
        <f t="shared" si="124"/>
        <v>0.1</v>
      </c>
      <c r="NH4" s="32" t="s">
        <v>44</v>
      </c>
      <c r="NI4" s="7">
        <f t="shared" ref="NI4:NI9" si="125">IF(SUM(MS4:MV4)-MW4&gt;0,SUM(MS4:MV4)-MW4,"")</f>
        <v>40.945</v>
      </c>
      <c r="NJ4" s="7">
        <f t="shared" ref="NJ4:NJ9" si="126">IF(MZ4&gt;0,MZ4,"")</f>
        <v>8.65</v>
      </c>
      <c r="NK4" s="7">
        <f t="shared" ref="NK4:NK9" si="127">IF(SUM(MX4:NA4)-NB4&gt;0,SUM(MX4:NA4)-NB4,"")</f>
        <v>33.17</v>
      </c>
      <c r="NL4" s="7">
        <f t="shared" ref="NL4:NL9" si="128">IF(OR(NI4&lt;&gt;"",NK4&lt;&gt;""),NI4+NK4,"")</f>
        <v>74.115000000000009</v>
      </c>
      <c r="NM4" s="7">
        <f t="shared" ref="NM4:NM9" si="129">IF(NE4&gt;0,NE4,"")</f>
        <v>12.85</v>
      </c>
      <c r="NN4" s="7">
        <f t="shared" ref="NN4:NN9" si="130">IF(SUM(NC4:NF4)-NG4&gt;0,SUM(NC4:NF4)-NG4,"")</f>
        <v>49.32</v>
      </c>
      <c r="NO4" s="7">
        <f>IF(SUM(NL4,NN4)&gt;0,SUM(NL4,NN4),"")</f>
        <v>123.435</v>
      </c>
    </row>
    <row r="5" spans="1:379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76</v>
      </c>
      <c r="C5" s="4" t="s">
        <v>63</v>
      </c>
      <c r="D5" s="4">
        <v>2012</v>
      </c>
      <c r="E5" s="10">
        <f t="shared" si="0"/>
        <v>230.45000000000002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90.070000000000007</v>
      </c>
      <c r="J5" s="9" t="str">
        <f t="shared" si="5"/>
        <v>2025 Nationals</v>
      </c>
      <c r="K5" s="9">
        <f t="shared" si="6"/>
        <v>40.130000000000003</v>
      </c>
      <c r="L5" s="9" t="str">
        <f t="shared" si="7"/>
        <v>2025 Elite Canada</v>
      </c>
      <c r="M5" s="9">
        <f t="shared" si="8"/>
        <v>48.19</v>
      </c>
      <c r="N5" s="9" t="str">
        <f t="shared" si="9"/>
        <v>2025 Elite Canada</v>
      </c>
      <c r="O5" s="9">
        <f t="shared" si="10"/>
        <v>49.69</v>
      </c>
      <c r="P5" s="9" t="str">
        <f t="shared" si="11"/>
        <v>2025 Nationals</v>
      </c>
      <c r="Q5" s="9">
        <f t="shared" si="12"/>
        <v>2.3700000000000045</v>
      </c>
      <c r="R5" s="14" t="str">
        <f t="shared" si="13"/>
        <v>(Vol 2)</v>
      </c>
      <c r="S5" s="9" t="str">
        <f t="shared" si="14"/>
        <v>2025 WAGC (Nov 16)</v>
      </c>
      <c r="T5" s="27">
        <v>16.899999999999999</v>
      </c>
      <c r="U5" s="27">
        <v>9.6</v>
      </c>
      <c r="V5" s="27">
        <v>0</v>
      </c>
      <c r="W5" s="27">
        <v>13.63</v>
      </c>
      <c r="X5" s="27">
        <v>0</v>
      </c>
      <c r="Y5" s="27">
        <v>14.4</v>
      </c>
      <c r="Z5" s="27">
        <v>9.6999999999999993</v>
      </c>
      <c r="AA5" s="27">
        <v>10.9</v>
      </c>
      <c r="AB5" s="27">
        <v>13.19</v>
      </c>
      <c r="AC5" s="27">
        <v>0</v>
      </c>
      <c r="AD5" s="27">
        <v>15</v>
      </c>
      <c r="AE5" s="27">
        <v>9.6999999999999993</v>
      </c>
      <c r="AF5" s="27">
        <v>10.9</v>
      </c>
      <c r="AG5" s="27">
        <v>13.02</v>
      </c>
      <c r="AH5" s="27">
        <v>0</v>
      </c>
      <c r="AI5" s="32"/>
      <c r="AJ5" s="7">
        <f t="shared" si="15"/>
        <v>40.130000000000003</v>
      </c>
      <c r="AK5" s="7">
        <f t="shared" si="16"/>
        <v>10.9</v>
      </c>
      <c r="AL5" s="7">
        <f t="shared" si="17"/>
        <v>48.19</v>
      </c>
      <c r="AM5" s="7">
        <f t="shared" si="18"/>
        <v>88.32</v>
      </c>
      <c r="AN5" s="7">
        <f t="shared" si="19"/>
        <v>10.9</v>
      </c>
      <c r="AO5" s="7">
        <f t="shared" si="20"/>
        <v>48.620000000000005</v>
      </c>
      <c r="AP5" s="7">
        <f t="shared" si="21"/>
        <v>136.94</v>
      </c>
      <c r="AQ5" s="23">
        <v>17.8</v>
      </c>
      <c r="AR5" s="23">
        <v>9.1</v>
      </c>
      <c r="AS5" s="23">
        <v>0</v>
      </c>
      <c r="AT5" s="23">
        <v>13.99</v>
      </c>
      <c r="AU5" s="23">
        <v>0</v>
      </c>
      <c r="AV5" s="23">
        <v>15.5</v>
      </c>
      <c r="AW5" s="23">
        <v>9.3000000000000007</v>
      </c>
      <c r="AX5" s="23">
        <v>10.9</v>
      </c>
      <c r="AY5" s="23">
        <v>13.48</v>
      </c>
      <c r="AZ5" s="23">
        <v>0</v>
      </c>
      <c r="BA5" s="23">
        <v>15.8</v>
      </c>
      <c r="BB5" s="23">
        <v>9.6</v>
      </c>
      <c r="BC5" s="23">
        <v>10.9</v>
      </c>
      <c r="BD5" s="23">
        <v>13.39</v>
      </c>
      <c r="BE5" s="23">
        <v>0</v>
      </c>
      <c r="BF5" s="33"/>
      <c r="BG5" s="9">
        <f t="shared" si="22"/>
        <v>40.89</v>
      </c>
      <c r="BH5" s="9">
        <f t="shared" si="23"/>
        <v>10.9</v>
      </c>
      <c r="BI5" s="9">
        <f t="shared" si="24"/>
        <v>49.180000000000007</v>
      </c>
      <c r="BJ5" s="9">
        <f t="shared" si="25"/>
        <v>90.070000000000007</v>
      </c>
      <c r="BK5" s="9">
        <f t="shared" si="26"/>
        <v>10.9</v>
      </c>
      <c r="BL5" s="9">
        <f t="shared" si="27"/>
        <v>49.69</v>
      </c>
      <c r="BM5" s="9">
        <f t="shared" si="28"/>
        <v>139.76</v>
      </c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32"/>
      <c r="CD5" s="7" t="str">
        <f t="shared" si="29"/>
        <v/>
      </c>
      <c r="CE5" s="7" t="str">
        <f t="shared" si="30"/>
        <v/>
      </c>
      <c r="CF5" s="7" t="str">
        <f t="shared" si="31"/>
        <v/>
      </c>
      <c r="CG5" s="7" t="str">
        <f t="shared" si="32"/>
        <v/>
      </c>
      <c r="CH5" s="7" t="str">
        <f t="shared" si="33"/>
        <v/>
      </c>
      <c r="CI5" s="7" t="str">
        <f t="shared" si="34"/>
        <v/>
      </c>
      <c r="CJ5" s="7" t="str">
        <f t="shared" si="35"/>
        <v/>
      </c>
      <c r="CK5" s="13">
        <f t="shared" si="36"/>
        <v>1.3999999999999986</v>
      </c>
      <c r="CL5" s="13">
        <f t="shared" si="37"/>
        <v>2.3700000000000045</v>
      </c>
      <c r="CM5" s="13">
        <f t="shared" si="38"/>
        <v>2.019999999999996</v>
      </c>
      <c r="CN5" s="13" t="str">
        <f t="shared" si="39"/>
        <v/>
      </c>
      <c r="CO5" s="18">
        <v>17.3</v>
      </c>
      <c r="CP5" s="18">
        <v>9.6</v>
      </c>
      <c r="CQ5" s="18">
        <v>14.63</v>
      </c>
      <c r="CR5" s="18">
        <v>0</v>
      </c>
      <c r="CS5" s="18">
        <v>0</v>
      </c>
      <c r="CT5" s="18">
        <v>15.3</v>
      </c>
      <c r="CU5" s="18">
        <v>9.5</v>
      </c>
      <c r="CV5" s="18">
        <v>11.8</v>
      </c>
      <c r="CW5" s="18">
        <v>13.96</v>
      </c>
      <c r="CX5" s="18">
        <v>0</v>
      </c>
      <c r="CY5" s="18"/>
      <c r="CZ5" s="18"/>
      <c r="DA5" s="18"/>
      <c r="DB5" s="18"/>
      <c r="DC5" s="18"/>
      <c r="DD5" s="7">
        <f t="shared" si="40"/>
        <v>11.8</v>
      </c>
      <c r="DE5" s="7">
        <f t="shared" si="41"/>
        <v>41.53</v>
      </c>
      <c r="DF5" s="7">
        <f t="shared" si="42"/>
        <v>50.56</v>
      </c>
      <c r="DG5" s="7">
        <f t="shared" si="43"/>
        <v>92.09</v>
      </c>
      <c r="DH5" s="7" t="str">
        <f t="shared" si="44"/>
        <v/>
      </c>
      <c r="DI5" s="7" t="str">
        <f t="shared" si="45"/>
        <v/>
      </c>
      <c r="DJ5" s="7">
        <f t="shared" si="46"/>
        <v>92.09</v>
      </c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9" t="str">
        <f t="shared" si="47"/>
        <v/>
      </c>
      <c r="EA5" s="9" t="str">
        <f t="shared" si="48"/>
        <v/>
      </c>
      <c r="EB5" s="9" t="str">
        <f t="shared" si="49"/>
        <v/>
      </c>
      <c r="EC5" s="9" t="str">
        <f t="shared" si="50"/>
        <v/>
      </c>
      <c r="ED5" s="9" t="str">
        <f t="shared" si="51"/>
        <v/>
      </c>
      <c r="EE5" s="9" t="str">
        <f t="shared" si="52"/>
        <v/>
      </c>
      <c r="EF5" s="9" t="str">
        <f t="shared" si="53"/>
        <v/>
      </c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7" t="str">
        <f t="shared" si="54"/>
        <v/>
      </c>
      <c r="EW5" s="7" t="str">
        <f t="shared" si="55"/>
        <v/>
      </c>
      <c r="EX5" s="7" t="str">
        <f t="shared" si="56"/>
        <v/>
      </c>
      <c r="EY5" s="7" t="str">
        <f t="shared" si="57"/>
        <v/>
      </c>
      <c r="EZ5" s="7" t="str">
        <f t="shared" si="58"/>
        <v/>
      </c>
      <c r="FA5" s="7" t="str">
        <f t="shared" si="59"/>
        <v/>
      </c>
      <c r="FB5" s="7" t="str">
        <f t="shared" si="60"/>
        <v/>
      </c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9" t="str">
        <f t="shared" si="61"/>
        <v/>
      </c>
      <c r="FS5" s="9" t="str">
        <f t="shared" si="62"/>
        <v/>
      </c>
      <c r="FT5" s="9" t="str">
        <f t="shared" si="63"/>
        <v/>
      </c>
      <c r="FU5" s="9" t="str">
        <f t="shared" si="64"/>
        <v/>
      </c>
      <c r="FV5" s="9" t="str">
        <f t="shared" si="65"/>
        <v/>
      </c>
      <c r="FW5" s="9" t="str">
        <f t="shared" si="66"/>
        <v/>
      </c>
      <c r="FX5" s="9" t="str">
        <f t="shared" si="67"/>
        <v/>
      </c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7" t="str">
        <f t="shared" si="68"/>
        <v/>
      </c>
      <c r="GO5" s="7" t="str">
        <f t="shared" si="69"/>
        <v/>
      </c>
      <c r="GP5" s="7" t="str">
        <f t="shared" si="70"/>
        <v/>
      </c>
      <c r="GQ5" s="7" t="str">
        <f t="shared" si="71"/>
        <v/>
      </c>
      <c r="GR5" s="7" t="str">
        <f t="shared" si="72"/>
        <v/>
      </c>
      <c r="GS5" s="7" t="str">
        <f t="shared" si="73"/>
        <v/>
      </c>
      <c r="GT5" s="7" t="str">
        <f t="shared" si="74"/>
        <v/>
      </c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9" t="str">
        <f t="shared" si="75"/>
        <v/>
      </c>
      <c r="HK5" s="9" t="str">
        <f t="shared" si="76"/>
        <v/>
      </c>
      <c r="HL5" s="9" t="str">
        <f t="shared" si="77"/>
        <v/>
      </c>
      <c r="HM5" s="9" t="str">
        <f t="shared" si="78"/>
        <v/>
      </c>
      <c r="HN5" s="9" t="str">
        <f t="shared" si="79"/>
        <v/>
      </c>
      <c r="HO5" s="9" t="str">
        <f t="shared" si="80"/>
        <v/>
      </c>
      <c r="HP5" s="9" t="str">
        <f t="shared" si="81"/>
        <v/>
      </c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7" t="str">
        <f t="shared" si="82"/>
        <v/>
      </c>
      <c r="IG5" s="7" t="str">
        <f t="shared" si="83"/>
        <v/>
      </c>
      <c r="IH5" s="7" t="str">
        <f t="shared" si="84"/>
        <v/>
      </c>
      <c r="II5" s="7" t="str">
        <f t="shared" si="85"/>
        <v/>
      </c>
      <c r="IJ5" s="7" t="str">
        <f t="shared" si="86"/>
        <v/>
      </c>
      <c r="IK5" s="7" t="str">
        <f t="shared" si="87"/>
        <v/>
      </c>
      <c r="IL5" s="7" t="str">
        <f t="shared" si="88"/>
        <v/>
      </c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9" t="str">
        <f t="shared" si="89"/>
        <v/>
      </c>
      <c r="JC5" s="9" t="str">
        <f t="shared" si="90"/>
        <v/>
      </c>
      <c r="JD5" s="9" t="str">
        <f t="shared" si="91"/>
        <v/>
      </c>
      <c r="JE5" s="9" t="str">
        <f t="shared" si="92"/>
        <v/>
      </c>
      <c r="JF5" s="9" t="str">
        <f t="shared" si="93"/>
        <v/>
      </c>
      <c r="JG5" s="9" t="str">
        <f t="shared" si="94"/>
        <v/>
      </c>
      <c r="JH5" s="9" t="str">
        <f t="shared" si="95"/>
        <v/>
      </c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7" t="str">
        <f t="shared" si="96"/>
        <v/>
      </c>
      <c r="JY5" s="7" t="str">
        <f t="shared" si="97"/>
        <v/>
      </c>
      <c r="JZ5" s="7" t="str">
        <f t="shared" si="98"/>
        <v/>
      </c>
      <c r="KA5" s="7" t="str">
        <f t="shared" si="99"/>
        <v/>
      </c>
      <c r="KB5" s="7" t="str">
        <f t="shared" si="100"/>
        <v/>
      </c>
      <c r="KC5" s="7" t="str">
        <f t="shared" si="101"/>
        <v/>
      </c>
      <c r="KD5" s="7" t="str">
        <f t="shared" si="102"/>
        <v/>
      </c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9" t="str">
        <f t="shared" si="103"/>
        <v/>
      </c>
      <c r="KU5" s="9" t="str">
        <f t="shared" si="104"/>
        <v/>
      </c>
      <c r="KV5" s="9" t="str">
        <f t="shared" si="105"/>
        <v/>
      </c>
      <c r="KW5" s="9" t="str">
        <f t="shared" si="106"/>
        <v/>
      </c>
      <c r="KX5" s="9" t="str">
        <f t="shared" si="107"/>
        <v/>
      </c>
      <c r="KY5" s="9" t="str">
        <f t="shared" si="108"/>
        <v/>
      </c>
      <c r="KZ5" s="9" t="str">
        <f t="shared" si="109"/>
        <v/>
      </c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7" t="str">
        <f t="shared" si="110"/>
        <v/>
      </c>
      <c r="LQ5" s="7" t="str">
        <f t="shared" si="111"/>
        <v/>
      </c>
      <c r="LR5" s="7" t="str">
        <f t="shared" si="112"/>
        <v/>
      </c>
      <c r="LS5" s="7" t="str">
        <f t="shared" si="113"/>
        <v/>
      </c>
      <c r="LT5" s="7" t="str">
        <f t="shared" si="114"/>
        <v/>
      </c>
      <c r="LU5" s="7" t="str">
        <f t="shared" si="115"/>
        <v/>
      </c>
      <c r="LV5" s="7" t="str">
        <f t="shared" si="116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9" t="str">
        <f t="shared" si="117"/>
        <v/>
      </c>
      <c r="MM5" s="9" t="str">
        <f t="shared" si="118"/>
        <v/>
      </c>
      <c r="MN5" s="9" t="str">
        <f t="shared" si="119"/>
        <v/>
      </c>
      <c r="MO5" s="9" t="str">
        <f t="shared" si="120"/>
        <v/>
      </c>
      <c r="MP5" s="9" t="str">
        <f t="shared" si="121"/>
        <v/>
      </c>
      <c r="MQ5" s="9" t="str">
        <f t="shared" si="122"/>
        <v/>
      </c>
      <c r="MR5" s="9" t="str">
        <f t="shared" si="123"/>
        <v/>
      </c>
      <c r="MS5" s="27">
        <f t="shared" si="124"/>
        <v>8.9</v>
      </c>
      <c r="MT5" s="27">
        <f t="shared" si="124"/>
        <v>4.55</v>
      </c>
      <c r="MU5" s="27">
        <f t="shared" si="124"/>
        <v>0</v>
      </c>
      <c r="MV5" s="27">
        <f t="shared" si="124"/>
        <v>6.9950000000000001</v>
      </c>
      <c r="MW5" s="27">
        <f t="shared" si="124"/>
        <v>0</v>
      </c>
      <c r="MX5" s="27">
        <f t="shared" si="124"/>
        <v>7.75</v>
      </c>
      <c r="MY5" s="27">
        <f t="shared" si="124"/>
        <v>4.6500000000000004</v>
      </c>
      <c r="MZ5" s="27">
        <f t="shared" si="124"/>
        <v>5.45</v>
      </c>
      <c r="NA5" s="27">
        <f t="shared" si="124"/>
        <v>6.74</v>
      </c>
      <c r="NB5" s="27">
        <f t="shared" si="124"/>
        <v>0</v>
      </c>
      <c r="NC5" s="27">
        <f t="shared" si="124"/>
        <v>7.9</v>
      </c>
      <c r="ND5" s="27">
        <f t="shared" si="124"/>
        <v>4.8</v>
      </c>
      <c r="NE5" s="27">
        <f t="shared" si="124"/>
        <v>5.45</v>
      </c>
      <c r="NF5" s="27">
        <f t="shared" si="124"/>
        <v>6.6950000000000003</v>
      </c>
      <c r="NG5" s="27">
        <f t="shared" si="124"/>
        <v>0</v>
      </c>
      <c r="NH5" s="32" t="s">
        <v>44</v>
      </c>
      <c r="NI5" s="7">
        <f t="shared" si="125"/>
        <v>20.445</v>
      </c>
      <c r="NJ5" s="7">
        <f t="shared" si="126"/>
        <v>5.45</v>
      </c>
      <c r="NK5" s="7">
        <f t="shared" si="127"/>
        <v>24.590000000000003</v>
      </c>
      <c r="NL5" s="7">
        <f t="shared" si="128"/>
        <v>45.035000000000004</v>
      </c>
      <c r="NM5" s="7">
        <f t="shared" si="129"/>
        <v>5.45</v>
      </c>
      <c r="NN5" s="7">
        <f t="shared" si="130"/>
        <v>24.844999999999999</v>
      </c>
      <c r="NO5" s="7">
        <f t="shared" ref="NO5:NO7" si="131">IF(SUM(NL5,NN5)&gt;0,SUM(NL5,NN5),"")</f>
        <v>69.88</v>
      </c>
    </row>
    <row r="6" spans="1:379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86</v>
      </c>
      <c r="C6" s="4" t="s">
        <v>3</v>
      </c>
      <c r="D6" s="4">
        <v>2010</v>
      </c>
      <c r="E6" s="10">
        <f t="shared" si="0"/>
        <v>227.89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91.210000000000008</v>
      </c>
      <c r="J6" s="9" t="str">
        <f t="shared" si="5"/>
        <v>2025 3rd Domestic Trial</v>
      </c>
      <c r="K6" s="9">
        <f t="shared" si="6"/>
        <v>41.48</v>
      </c>
      <c r="L6" s="9" t="str">
        <f t="shared" si="7"/>
        <v>2025 Nationals</v>
      </c>
      <c r="M6" s="9">
        <f t="shared" si="8"/>
        <v>47.69</v>
      </c>
      <c r="N6" s="9" t="str">
        <f t="shared" si="9"/>
        <v>2025 Nationals</v>
      </c>
      <c r="O6" s="9">
        <f t="shared" si="10"/>
        <v>47.51</v>
      </c>
      <c r="P6" s="9" t="str">
        <f t="shared" si="11"/>
        <v>2025 3rd Domestic Trial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32"/>
      <c r="AJ6" s="7" t="str">
        <f t="shared" si="15"/>
        <v/>
      </c>
      <c r="AK6" s="7" t="str">
        <f t="shared" si="16"/>
        <v/>
      </c>
      <c r="AL6" s="7" t="str">
        <f t="shared" si="17"/>
        <v/>
      </c>
      <c r="AM6" s="7" t="str">
        <f t="shared" si="18"/>
        <v/>
      </c>
      <c r="AN6" s="7" t="str">
        <f t="shared" si="19"/>
        <v/>
      </c>
      <c r="AO6" s="7" t="str">
        <f t="shared" si="20"/>
        <v/>
      </c>
      <c r="AP6" s="7" t="str">
        <f t="shared" si="21"/>
        <v/>
      </c>
      <c r="AQ6" s="23">
        <v>17.399999999999999</v>
      </c>
      <c r="AR6" s="23">
        <v>9.4</v>
      </c>
      <c r="AS6" s="23">
        <v>0</v>
      </c>
      <c r="AT6" s="23">
        <v>14.68</v>
      </c>
      <c r="AU6" s="23">
        <v>0</v>
      </c>
      <c r="AV6" s="23">
        <v>14.4</v>
      </c>
      <c r="AW6" s="23">
        <v>8.9</v>
      </c>
      <c r="AX6" s="23">
        <v>10.1</v>
      </c>
      <c r="AY6" s="23">
        <v>14.29</v>
      </c>
      <c r="AZ6" s="23">
        <v>0</v>
      </c>
      <c r="BA6" s="23">
        <v>13.7</v>
      </c>
      <c r="BB6" s="23">
        <v>8.9</v>
      </c>
      <c r="BC6" s="23">
        <v>10.1</v>
      </c>
      <c r="BD6" s="23">
        <v>13.69</v>
      </c>
      <c r="BE6" s="23">
        <v>0.2</v>
      </c>
      <c r="BF6" s="33"/>
      <c r="BG6" s="9">
        <f t="shared" si="22"/>
        <v>41.48</v>
      </c>
      <c r="BH6" s="9">
        <f t="shared" si="23"/>
        <v>10.1</v>
      </c>
      <c r="BI6" s="9">
        <f t="shared" si="24"/>
        <v>47.69</v>
      </c>
      <c r="BJ6" s="9">
        <f t="shared" si="25"/>
        <v>89.169999999999987</v>
      </c>
      <c r="BK6" s="9">
        <f t="shared" si="26"/>
        <v>10.1</v>
      </c>
      <c r="BL6" s="9">
        <f t="shared" si="27"/>
        <v>46.19</v>
      </c>
      <c r="BM6" s="9">
        <f t="shared" si="28"/>
        <v>135.35999999999999</v>
      </c>
      <c r="BN6" s="27">
        <v>17.2</v>
      </c>
      <c r="BO6" s="27">
        <v>9.3000000000000007</v>
      </c>
      <c r="BP6" s="27">
        <v>0</v>
      </c>
      <c r="BQ6" s="27">
        <v>15.36</v>
      </c>
      <c r="BR6" s="27">
        <v>0</v>
      </c>
      <c r="BS6" s="27">
        <v>14.8</v>
      </c>
      <c r="BT6" s="27">
        <v>9.6999999999999993</v>
      </c>
      <c r="BU6" s="27">
        <v>10.1</v>
      </c>
      <c r="BV6" s="27">
        <v>14.75</v>
      </c>
      <c r="BW6" s="27">
        <v>0</v>
      </c>
      <c r="BX6" s="27">
        <v>14.5</v>
      </c>
      <c r="BY6" s="27">
        <v>8.6</v>
      </c>
      <c r="BZ6" s="27">
        <v>10.1</v>
      </c>
      <c r="CA6" s="27">
        <v>14.51</v>
      </c>
      <c r="CB6" s="27">
        <v>0.2</v>
      </c>
      <c r="CC6" s="32"/>
      <c r="CD6" s="7">
        <f t="shared" si="29"/>
        <v>41.86</v>
      </c>
      <c r="CE6" s="7">
        <f t="shared" si="30"/>
        <v>10.1</v>
      </c>
      <c r="CF6" s="7">
        <f t="shared" si="31"/>
        <v>49.35</v>
      </c>
      <c r="CG6" s="7">
        <f t="shared" si="32"/>
        <v>91.210000000000008</v>
      </c>
      <c r="CH6" s="7">
        <f t="shared" si="33"/>
        <v>10.1</v>
      </c>
      <c r="CI6" s="7">
        <f t="shared" si="34"/>
        <v>47.51</v>
      </c>
      <c r="CJ6" s="7">
        <f t="shared" si="35"/>
        <v>138.72</v>
      </c>
      <c r="CK6" s="13" t="str">
        <f t="shared" si="36"/>
        <v/>
      </c>
      <c r="CL6" s="13" t="str">
        <f t="shared" si="37"/>
        <v/>
      </c>
      <c r="CM6" s="13" t="str">
        <f t="shared" si="38"/>
        <v/>
      </c>
      <c r="CN6" s="13" t="str">
        <f t="shared" si="39"/>
        <v/>
      </c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7" t="str">
        <f t="shared" si="40"/>
        <v/>
      </c>
      <c r="DE6" s="7" t="str">
        <f t="shared" si="41"/>
        <v/>
      </c>
      <c r="DF6" s="7" t="str">
        <f t="shared" si="42"/>
        <v/>
      </c>
      <c r="DG6" s="7" t="str">
        <f t="shared" si="43"/>
        <v/>
      </c>
      <c r="DH6" s="7" t="str">
        <f t="shared" si="44"/>
        <v/>
      </c>
      <c r="DI6" s="7" t="str">
        <f t="shared" si="45"/>
        <v/>
      </c>
      <c r="DJ6" s="7" t="str">
        <f t="shared" si="46"/>
        <v/>
      </c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9" t="str">
        <f t="shared" si="47"/>
        <v/>
      </c>
      <c r="EA6" s="9" t="str">
        <f t="shared" si="48"/>
        <v/>
      </c>
      <c r="EB6" s="9" t="str">
        <f t="shared" si="49"/>
        <v/>
      </c>
      <c r="EC6" s="9" t="str">
        <f t="shared" si="50"/>
        <v/>
      </c>
      <c r="ED6" s="9" t="str">
        <f t="shared" si="51"/>
        <v/>
      </c>
      <c r="EE6" s="9" t="str">
        <f t="shared" si="52"/>
        <v/>
      </c>
      <c r="EF6" s="9" t="str">
        <f t="shared" si="53"/>
        <v/>
      </c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7" t="str">
        <f t="shared" si="54"/>
        <v/>
      </c>
      <c r="EW6" s="7" t="str">
        <f t="shared" si="55"/>
        <v/>
      </c>
      <c r="EX6" s="7" t="str">
        <f t="shared" si="56"/>
        <v/>
      </c>
      <c r="EY6" s="7" t="str">
        <f t="shared" si="57"/>
        <v/>
      </c>
      <c r="EZ6" s="7" t="str">
        <f t="shared" si="58"/>
        <v/>
      </c>
      <c r="FA6" s="7" t="str">
        <f t="shared" si="59"/>
        <v/>
      </c>
      <c r="FB6" s="7" t="str">
        <f t="shared" si="60"/>
        <v/>
      </c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9" t="str">
        <f t="shared" si="61"/>
        <v/>
      </c>
      <c r="FS6" s="9" t="str">
        <f t="shared" si="62"/>
        <v/>
      </c>
      <c r="FT6" s="9" t="str">
        <f t="shared" si="63"/>
        <v/>
      </c>
      <c r="FU6" s="9" t="str">
        <f t="shared" si="64"/>
        <v/>
      </c>
      <c r="FV6" s="9" t="str">
        <f t="shared" si="65"/>
        <v/>
      </c>
      <c r="FW6" s="9" t="str">
        <f t="shared" si="66"/>
        <v/>
      </c>
      <c r="FX6" s="9" t="str">
        <f t="shared" si="67"/>
        <v/>
      </c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7" t="str">
        <f t="shared" si="68"/>
        <v/>
      </c>
      <c r="GO6" s="7" t="str">
        <f t="shared" si="69"/>
        <v/>
      </c>
      <c r="GP6" s="7" t="str">
        <f t="shared" si="70"/>
        <v/>
      </c>
      <c r="GQ6" s="7" t="str">
        <f t="shared" si="71"/>
        <v/>
      </c>
      <c r="GR6" s="7" t="str">
        <f t="shared" si="72"/>
        <v/>
      </c>
      <c r="GS6" s="7" t="str">
        <f t="shared" si="73"/>
        <v/>
      </c>
      <c r="GT6" s="7" t="str">
        <f t="shared" si="74"/>
        <v/>
      </c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9" t="str">
        <f t="shared" si="75"/>
        <v/>
      </c>
      <c r="HK6" s="9" t="str">
        <f t="shared" si="76"/>
        <v/>
      </c>
      <c r="HL6" s="9" t="str">
        <f t="shared" si="77"/>
        <v/>
      </c>
      <c r="HM6" s="9" t="str">
        <f t="shared" si="78"/>
        <v/>
      </c>
      <c r="HN6" s="9" t="str">
        <f t="shared" si="79"/>
        <v/>
      </c>
      <c r="HO6" s="9" t="str">
        <f t="shared" si="80"/>
        <v/>
      </c>
      <c r="HP6" s="9" t="str">
        <f t="shared" si="81"/>
        <v/>
      </c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7" t="str">
        <f t="shared" si="82"/>
        <v/>
      </c>
      <c r="IG6" s="7" t="str">
        <f t="shared" si="83"/>
        <v/>
      </c>
      <c r="IH6" s="7" t="str">
        <f t="shared" si="84"/>
        <v/>
      </c>
      <c r="II6" s="7" t="str">
        <f t="shared" si="85"/>
        <v/>
      </c>
      <c r="IJ6" s="7" t="str">
        <f t="shared" si="86"/>
        <v/>
      </c>
      <c r="IK6" s="7" t="str">
        <f t="shared" si="87"/>
        <v/>
      </c>
      <c r="IL6" s="7" t="str">
        <f t="shared" si="88"/>
        <v/>
      </c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9" t="str">
        <f t="shared" si="89"/>
        <v/>
      </c>
      <c r="JC6" s="9" t="str">
        <f t="shared" si="90"/>
        <v/>
      </c>
      <c r="JD6" s="9" t="str">
        <f t="shared" si="91"/>
        <v/>
      </c>
      <c r="JE6" s="9" t="str">
        <f t="shared" si="92"/>
        <v/>
      </c>
      <c r="JF6" s="9" t="str">
        <f t="shared" si="93"/>
        <v/>
      </c>
      <c r="JG6" s="9" t="str">
        <f t="shared" si="94"/>
        <v/>
      </c>
      <c r="JH6" s="9" t="str">
        <f t="shared" si="95"/>
        <v/>
      </c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7" t="str">
        <f t="shared" si="96"/>
        <v/>
      </c>
      <c r="JY6" s="7" t="str">
        <f t="shared" si="97"/>
        <v/>
      </c>
      <c r="JZ6" s="7" t="str">
        <f t="shared" si="98"/>
        <v/>
      </c>
      <c r="KA6" s="7" t="str">
        <f t="shared" si="99"/>
        <v/>
      </c>
      <c r="KB6" s="7" t="str">
        <f t="shared" si="100"/>
        <v/>
      </c>
      <c r="KC6" s="7" t="str">
        <f t="shared" si="101"/>
        <v/>
      </c>
      <c r="KD6" s="7" t="str">
        <f t="shared" si="102"/>
        <v/>
      </c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9" t="str">
        <f t="shared" si="103"/>
        <v/>
      </c>
      <c r="KU6" s="9" t="str">
        <f t="shared" si="104"/>
        <v/>
      </c>
      <c r="KV6" s="9" t="str">
        <f t="shared" si="105"/>
        <v/>
      </c>
      <c r="KW6" s="9" t="str">
        <f t="shared" si="106"/>
        <v/>
      </c>
      <c r="KX6" s="9" t="str">
        <f t="shared" si="107"/>
        <v/>
      </c>
      <c r="KY6" s="9" t="str">
        <f t="shared" si="108"/>
        <v/>
      </c>
      <c r="KZ6" s="9" t="str">
        <f t="shared" si="109"/>
        <v/>
      </c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7" t="str">
        <f t="shared" si="110"/>
        <v/>
      </c>
      <c r="LQ6" s="7" t="str">
        <f t="shared" si="111"/>
        <v/>
      </c>
      <c r="LR6" s="7" t="str">
        <f t="shared" si="112"/>
        <v/>
      </c>
      <c r="LS6" s="7" t="str">
        <f t="shared" si="113"/>
        <v/>
      </c>
      <c r="LT6" s="7" t="str">
        <f t="shared" si="114"/>
        <v/>
      </c>
      <c r="LU6" s="7" t="str">
        <f t="shared" si="115"/>
        <v/>
      </c>
      <c r="LV6" s="7" t="str">
        <f t="shared" si="116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9" t="str">
        <f t="shared" si="117"/>
        <v/>
      </c>
      <c r="MM6" s="9" t="str">
        <f t="shared" si="118"/>
        <v/>
      </c>
      <c r="MN6" s="9" t="str">
        <f t="shared" si="119"/>
        <v/>
      </c>
      <c r="MO6" s="9" t="str">
        <f t="shared" si="120"/>
        <v/>
      </c>
      <c r="MP6" s="9" t="str">
        <f t="shared" si="121"/>
        <v/>
      </c>
      <c r="MQ6" s="9" t="str">
        <f t="shared" si="122"/>
        <v/>
      </c>
      <c r="MR6" s="9" t="str">
        <f t="shared" si="123"/>
        <v/>
      </c>
      <c r="MS6" s="27">
        <f t="shared" si="124"/>
        <v>17.299999999999997</v>
      </c>
      <c r="MT6" s="27">
        <f t="shared" si="124"/>
        <v>9.3500000000000014</v>
      </c>
      <c r="MU6" s="27">
        <f t="shared" si="124"/>
        <v>0</v>
      </c>
      <c r="MV6" s="27">
        <f t="shared" si="124"/>
        <v>15.02</v>
      </c>
      <c r="MW6" s="27">
        <f t="shared" si="124"/>
        <v>0</v>
      </c>
      <c r="MX6" s="27">
        <f t="shared" si="124"/>
        <v>14.600000000000001</v>
      </c>
      <c r="MY6" s="27">
        <f t="shared" si="124"/>
        <v>9.3000000000000007</v>
      </c>
      <c r="MZ6" s="27">
        <f t="shared" si="124"/>
        <v>10.1</v>
      </c>
      <c r="NA6" s="27">
        <f t="shared" si="124"/>
        <v>14.52</v>
      </c>
      <c r="NB6" s="27">
        <f t="shared" si="124"/>
        <v>0</v>
      </c>
      <c r="NC6" s="27">
        <f t="shared" si="124"/>
        <v>14.1</v>
      </c>
      <c r="ND6" s="27">
        <f t="shared" si="124"/>
        <v>8.75</v>
      </c>
      <c r="NE6" s="27">
        <f t="shared" si="124"/>
        <v>10.1</v>
      </c>
      <c r="NF6" s="27">
        <f t="shared" si="124"/>
        <v>14.1</v>
      </c>
      <c r="NG6" s="27">
        <f t="shared" si="124"/>
        <v>0.2</v>
      </c>
      <c r="NH6" s="32" t="s">
        <v>44</v>
      </c>
      <c r="NI6" s="7">
        <f t="shared" si="125"/>
        <v>41.67</v>
      </c>
      <c r="NJ6" s="7">
        <f t="shared" si="126"/>
        <v>10.1</v>
      </c>
      <c r="NK6" s="7">
        <f t="shared" si="127"/>
        <v>48.519999999999996</v>
      </c>
      <c r="NL6" s="7">
        <f t="shared" si="128"/>
        <v>90.19</v>
      </c>
      <c r="NM6" s="7">
        <f t="shared" si="129"/>
        <v>10.1</v>
      </c>
      <c r="NN6" s="7">
        <f t="shared" si="130"/>
        <v>46.85</v>
      </c>
      <c r="NO6" s="7">
        <f t="shared" si="131"/>
        <v>137.04</v>
      </c>
    </row>
    <row r="7" spans="1:379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77</v>
      </c>
      <c r="C7" s="4" t="s">
        <v>3</v>
      </c>
      <c r="D7" s="4">
        <v>2010</v>
      </c>
      <c r="E7" s="10">
        <f t="shared" si="0"/>
        <v>225.67000000000002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87.75</v>
      </c>
      <c r="J7" s="9" t="str">
        <f t="shared" si="5"/>
        <v>2025 3rd Domestic Trial</v>
      </c>
      <c r="K7" s="9">
        <f t="shared" si="6"/>
        <v>39.83</v>
      </c>
      <c r="L7" s="9" t="str">
        <f t="shared" si="7"/>
        <v>2025 Nationals</v>
      </c>
      <c r="M7" s="9">
        <f t="shared" si="8"/>
        <v>47.730000000000004</v>
      </c>
      <c r="N7" s="9" t="str">
        <f t="shared" si="9"/>
        <v>2025 Nationals</v>
      </c>
      <c r="O7" s="9">
        <f t="shared" si="10"/>
        <v>50.36</v>
      </c>
      <c r="P7" s="9" t="str">
        <f t="shared" si="11"/>
        <v>2025 Nationals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15.3</v>
      </c>
      <c r="U7" s="27">
        <v>9.5</v>
      </c>
      <c r="V7" s="27">
        <v>0</v>
      </c>
      <c r="W7" s="27">
        <v>14.54</v>
      </c>
      <c r="X7" s="27">
        <v>0</v>
      </c>
      <c r="Y7" s="27">
        <v>13.1</v>
      </c>
      <c r="Z7" s="27">
        <v>9.3000000000000007</v>
      </c>
      <c r="AA7" s="27">
        <v>10.1</v>
      </c>
      <c r="AB7" s="27">
        <v>14.32</v>
      </c>
      <c r="AC7" s="27">
        <v>0</v>
      </c>
      <c r="AD7" s="27">
        <v>11.3</v>
      </c>
      <c r="AE7" s="27">
        <v>8.1</v>
      </c>
      <c r="AF7" s="27">
        <v>8.8000000000000007</v>
      </c>
      <c r="AG7" s="27">
        <v>12.91</v>
      </c>
      <c r="AH7" s="27">
        <v>0</v>
      </c>
      <c r="AI7" s="32"/>
      <c r="AJ7" s="7">
        <f t="shared" si="15"/>
        <v>39.340000000000003</v>
      </c>
      <c r="AK7" s="7">
        <f t="shared" si="16"/>
        <v>10.1</v>
      </c>
      <c r="AL7" s="7">
        <f t="shared" si="17"/>
        <v>46.82</v>
      </c>
      <c r="AM7" s="7">
        <f t="shared" si="18"/>
        <v>86.16</v>
      </c>
      <c r="AN7" s="7">
        <f t="shared" si="19"/>
        <v>8.8000000000000007</v>
      </c>
      <c r="AO7" s="7">
        <f t="shared" si="20"/>
        <v>41.11</v>
      </c>
      <c r="AP7" s="7">
        <f t="shared" si="21"/>
        <v>127.27</v>
      </c>
      <c r="AQ7" s="23">
        <v>16.100000000000001</v>
      </c>
      <c r="AR7" s="23">
        <v>9.3000000000000007</v>
      </c>
      <c r="AS7" s="23">
        <v>0</v>
      </c>
      <c r="AT7" s="23">
        <v>14.43</v>
      </c>
      <c r="AU7" s="23">
        <v>0</v>
      </c>
      <c r="AV7" s="23">
        <v>12.9</v>
      </c>
      <c r="AW7" s="23">
        <v>9.1999999999999993</v>
      </c>
      <c r="AX7" s="23">
        <v>11.6</v>
      </c>
      <c r="AY7" s="23">
        <v>14.03</v>
      </c>
      <c r="AZ7" s="23">
        <v>0</v>
      </c>
      <c r="BA7" s="23">
        <v>15.2</v>
      </c>
      <c r="BB7" s="23">
        <v>9.1</v>
      </c>
      <c r="BC7" s="23">
        <v>11.6</v>
      </c>
      <c r="BD7" s="23">
        <v>14.46</v>
      </c>
      <c r="BE7" s="23">
        <v>0</v>
      </c>
      <c r="BF7" s="33"/>
      <c r="BG7" s="9">
        <f t="shared" si="22"/>
        <v>39.83</v>
      </c>
      <c r="BH7" s="9">
        <f t="shared" si="23"/>
        <v>11.6</v>
      </c>
      <c r="BI7" s="9">
        <f t="shared" si="24"/>
        <v>47.730000000000004</v>
      </c>
      <c r="BJ7" s="9">
        <f t="shared" si="25"/>
        <v>87.56</v>
      </c>
      <c r="BK7" s="9">
        <f t="shared" si="26"/>
        <v>11.6</v>
      </c>
      <c r="BL7" s="9">
        <f t="shared" si="27"/>
        <v>50.36</v>
      </c>
      <c r="BM7" s="9">
        <f t="shared" si="28"/>
        <v>137.92000000000002</v>
      </c>
      <c r="BN7" s="27">
        <v>16.2</v>
      </c>
      <c r="BO7" s="27">
        <v>9.3000000000000007</v>
      </c>
      <c r="BP7" s="27">
        <v>0</v>
      </c>
      <c r="BQ7" s="27">
        <v>14.41</v>
      </c>
      <c r="BR7" s="27">
        <v>0</v>
      </c>
      <c r="BS7" s="27">
        <v>13.7</v>
      </c>
      <c r="BT7" s="27">
        <v>8.8000000000000007</v>
      </c>
      <c r="BU7" s="27">
        <v>10.9</v>
      </c>
      <c r="BV7" s="27">
        <v>14.44</v>
      </c>
      <c r="BW7" s="27">
        <v>0</v>
      </c>
      <c r="BX7" s="27">
        <v>15</v>
      </c>
      <c r="BY7" s="27">
        <v>9.1999999999999993</v>
      </c>
      <c r="BZ7" s="27">
        <v>10.9</v>
      </c>
      <c r="CA7" s="27">
        <v>14.45</v>
      </c>
      <c r="CB7" s="27">
        <v>0</v>
      </c>
      <c r="CC7" s="32"/>
      <c r="CD7" s="7">
        <f t="shared" si="29"/>
        <v>39.909999999999997</v>
      </c>
      <c r="CE7" s="7">
        <f t="shared" si="30"/>
        <v>10.9</v>
      </c>
      <c r="CF7" s="7">
        <f t="shared" si="31"/>
        <v>47.839999999999996</v>
      </c>
      <c r="CG7" s="7">
        <f t="shared" si="32"/>
        <v>87.75</v>
      </c>
      <c r="CH7" s="7">
        <f t="shared" si="33"/>
        <v>10.9</v>
      </c>
      <c r="CI7" s="7">
        <f t="shared" si="34"/>
        <v>49.55</v>
      </c>
      <c r="CJ7" s="7">
        <f t="shared" si="35"/>
        <v>137.30000000000001</v>
      </c>
      <c r="CK7" s="13" t="str">
        <f t="shared" si="36"/>
        <v/>
      </c>
      <c r="CL7" s="13" t="str">
        <f t="shared" si="37"/>
        <v/>
      </c>
      <c r="CM7" s="13" t="str">
        <f t="shared" si="38"/>
        <v/>
      </c>
      <c r="CN7" s="13" t="str">
        <f t="shared" si="39"/>
        <v/>
      </c>
      <c r="CO7" s="18">
        <v>15.1</v>
      </c>
      <c r="CP7" s="18">
        <v>9.6</v>
      </c>
      <c r="CQ7" s="18">
        <v>0</v>
      </c>
      <c r="CR7" s="18">
        <v>14.68</v>
      </c>
      <c r="CS7" s="18">
        <v>0</v>
      </c>
      <c r="CT7" s="18">
        <v>12.9</v>
      </c>
      <c r="CU7" s="18">
        <v>8.6999999999999993</v>
      </c>
      <c r="CV7" s="18">
        <v>11.6</v>
      </c>
      <c r="CW7" s="18">
        <v>14.32</v>
      </c>
      <c r="CX7" s="18">
        <v>0</v>
      </c>
      <c r="CY7" s="18"/>
      <c r="CZ7" s="18"/>
      <c r="DA7" s="18"/>
      <c r="DB7" s="18"/>
      <c r="DC7" s="18"/>
      <c r="DD7" s="7">
        <f t="shared" si="40"/>
        <v>11.6</v>
      </c>
      <c r="DE7" s="7">
        <f t="shared" si="41"/>
        <v>39.379999999999995</v>
      </c>
      <c r="DF7" s="7">
        <f t="shared" si="42"/>
        <v>47.52</v>
      </c>
      <c r="DG7" s="7">
        <f t="shared" si="43"/>
        <v>86.9</v>
      </c>
      <c r="DH7" s="7" t="str">
        <f t="shared" si="44"/>
        <v/>
      </c>
      <c r="DI7" s="7" t="str">
        <f t="shared" si="45"/>
        <v/>
      </c>
      <c r="DJ7" s="7">
        <f t="shared" si="46"/>
        <v>86.9</v>
      </c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9" t="str">
        <f t="shared" si="47"/>
        <v/>
      </c>
      <c r="EA7" s="9" t="str">
        <f t="shared" si="48"/>
        <v/>
      </c>
      <c r="EB7" s="9" t="str">
        <f t="shared" si="49"/>
        <v/>
      </c>
      <c r="EC7" s="9" t="str">
        <f t="shared" si="50"/>
        <v/>
      </c>
      <c r="ED7" s="9" t="str">
        <f t="shared" si="51"/>
        <v/>
      </c>
      <c r="EE7" s="9" t="str">
        <f t="shared" si="52"/>
        <v/>
      </c>
      <c r="EF7" s="9" t="str">
        <f t="shared" si="53"/>
        <v/>
      </c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7" t="str">
        <f t="shared" si="54"/>
        <v/>
      </c>
      <c r="EW7" s="7" t="str">
        <f t="shared" si="55"/>
        <v/>
      </c>
      <c r="EX7" s="7" t="str">
        <f t="shared" si="56"/>
        <v/>
      </c>
      <c r="EY7" s="7" t="str">
        <f t="shared" si="57"/>
        <v/>
      </c>
      <c r="EZ7" s="7" t="str">
        <f t="shared" si="58"/>
        <v/>
      </c>
      <c r="FA7" s="7" t="str">
        <f t="shared" si="59"/>
        <v/>
      </c>
      <c r="FB7" s="7" t="str">
        <f t="shared" si="60"/>
        <v/>
      </c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9" t="str">
        <f t="shared" si="61"/>
        <v/>
      </c>
      <c r="FS7" s="9" t="str">
        <f t="shared" si="62"/>
        <v/>
      </c>
      <c r="FT7" s="9" t="str">
        <f t="shared" si="63"/>
        <v/>
      </c>
      <c r="FU7" s="9" t="str">
        <f t="shared" si="64"/>
        <v/>
      </c>
      <c r="FV7" s="9" t="str">
        <f t="shared" si="65"/>
        <v/>
      </c>
      <c r="FW7" s="9" t="str">
        <f t="shared" si="66"/>
        <v/>
      </c>
      <c r="FX7" s="9" t="str">
        <f t="shared" si="67"/>
        <v/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7" t="str">
        <f t="shared" si="68"/>
        <v/>
      </c>
      <c r="GO7" s="7" t="str">
        <f t="shared" si="69"/>
        <v/>
      </c>
      <c r="GP7" s="7" t="str">
        <f t="shared" si="70"/>
        <v/>
      </c>
      <c r="GQ7" s="7" t="str">
        <f t="shared" si="71"/>
        <v/>
      </c>
      <c r="GR7" s="7" t="str">
        <f t="shared" si="72"/>
        <v/>
      </c>
      <c r="GS7" s="7" t="str">
        <f t="shared" si="73"/>
        <v/>
      </c>
      <c r="GT7" s="7" t="str">
        <f t="shared" si="74"/>
        <v/>
      </c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9" t="str">
        <f t="shared" si="75"/>
        <v/>
      </c>
      <c r="HK7" s="9" t="str">
        <f t="shared" si="76"/>
        <v/>
      </c>
      <c r="HL7" s="9" t="str">
        <f t="shared" si="77"/>
        <v/>
      </c>
      <c r="HM7" s="9" t="str">
        <f t="shared" si="78"/>
        <v/>
      </c>
      <c r="HN7" s="9" t="str">
        <f t="shared" si="79"/>
        <v/>
      </c>
      <c r="HO7" s="9" t="str">
        <f t="shared" si="80"/>
        <v/>
      </c>
      <c r="HP7" s="9" t="str">
        <f t="shared" si="81"/>
        <v/>
      </c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7" t="str">
        <f t="shared" si="82"/>
        <v/>
      </c>
      <c r="IG7" s="7" t="str">
        <f t="shared" si="83"/>
        <v/>
      </c>
      <c r="IH7" s="7" t="str">
        <f t="shared" si="84"/>
        <v/>
      </c>
      <c r="II7" s="7" t="str">
        <f t="shared" si="85"/>
        <v/>
      </c>
      <c r="IJ7" s="7" t="str">
        <f t="shared" si="86"/>
        <v/>
      </c>
      <c r="IK7" s="7" t="str">
        <f t="shared" si="87"/>
        <v/>
      </c>
      <c r="IL7" s="7" t="str">
        <f t="shared" si="88"/>
        <v/>
      </c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9" t="str">
        <f t="shared" si="89"/>
        <v/>
      </c>
      <c r="JC7" s="9" t="str">
        <f t="shared" si="90"/>
        <v/>
      </c>
      <c r="JD7" s="9" t="str">
        <f t="shared" si="91"/>
        <v/>
      </c>
      <c r="JE7" s="9" t="str">
        <f t="shared" si="92"/>
        <v/>
      </c>
      <c r="JF7" s="9" t="str">
        <f t="shared" si="93"/>
        <v/>
      </c>
      <c r="JG7" s="9" t="str">
        <f t="shared" si="94"/>
        <v/>
      </c>
      <c r="JH7" s="9" t="str">
        <f t="shared" si="95"/>
        <v/>
      </c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7" t="str">
        <f t="shared" si="96"/>
        <v/>
      </c>
      <c r="JY7" s="7" t="str">
        <f t="shared" si="97"/>
        <v/>
      </c>
      <c r="JZ7" s="7" t="str">
        <f t="shared" si="98"/>
        <v/>
      </c>
      <c r="KA7" s="7" t="str">
        <f t="shared" si="99"/>
        <v/>
      </c>
      <c r="KB7" s="7" t="str">
        <f t="shared" si="100"/>
        <v/>
      </c>
      <c r="KC7" s="7" t="str">
        <f t="shared" si="101"/>
        <v/>
      </c>
      <c r="KD7" s="7" t="str">
        <f t="shared" si="102"/>
        <v/>
      </c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9" t="str">
        <f t="shared" si="103"/>
        <v/>
      </c>
      <c r="KU7" s="9" t="str">
        <f t="shared" si="104"/>
        <v/>
      </c>
      <c r="KV7" s="9" t="str">
        <f t="shared" si="105"/>
        <v/>
      </c>
      <c r="KW7" s="9" t="str">
        <f t="shared" si="106"/>
        <v/>
      </c>
      <c r="KX7" s="9" t="str">
        <f t="shared" si="107"/>
        <v/>
      </c>
      <c r="KY7" s="9" t="str">
        <f t="shared" si="108"/>
        <v/>
      </c>
      <c r="KZ7" s="9" t="str">
        <f t="shared" si="109"/>
        <v/>
      </c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7" t="str">
        <f t="shared" si="110"/>
        <v/>
      </c>
      <c r="LQ7" s="7" t="str">
        <f t="shared" si="111"/>
        <v/>
      </c>
      <c r="LR7" s="7" t="str">
        <f t="shared" si="112"/>
        <v/>
      </c>
      <c r="LS7" s="7" t="str">
        <f t="shared" si="113"/>
        <v/>
      </c>
      <c r="LT7" s="7" t="str">
        <f t="shared" si="114"/>
        <v/>
      </c>
      <c r="LU7" s="7" t="str">
        <f t="shared" si="115"/>
        <v/>
      </c>
      <c r="LV7" s="7" t="str">
        <f t="shared" si="116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9" t="str">
        <f t="shared" si="117"/>
        <v/>
      </c>
      <c r="MM7" s="9" t="str">
        <f t="shared" si="118"/>
        <v/>
      </c>
      <c r="MN7" s="9" t="str">
        <f t="shared" si="119"/>
        <v/>
      </c>
      <c r="MO7" s="9" t="str">
        <f t="shared" si="120"/>
        <v/>
      </c>
      <c r="MP7" s="9" t="str">
        <f t="shared" si="121"/>
        <v/>
      </c>
      <c r="MQ7" s="9" t="str">
        <f t="shared" si="122"/>
        <v/>
      </c>
      <c r="MR7" s="9" t="str">
        <f t="shared" si="123"/>
        <v/>
      </c>
      <c r="MS7" s="27">
        <f t="shared" si="124"/>
        <v>16.149999999999999</v>
      </c>
      <c r="MT7" s="27">
        <f t="shared" si="124"/>
        <v>9.3000000000000007</v>
      </c>
      <c r="MU7" s="27">
        <f t="shared" si="124"/>
        <v>0</v>
      </c>
      <c r="MV7" s="27">
        <f t="shared" si="124"/>
        <v>14.42</v>
      </c>
      <c r="MW7" s="27">
        <f t="shared" si="124"/>
        <v>0</v>
      </c>
      <c r="MX7" s="27">
        <f t="shared" si="124"/>
        <v>13.3</v>
      </c>
      <c r="MY7" s="27">
        <f t="shared" si="124"/>
        <v>9</v>
      </c>
      <c r="MZ7" s="27">
        <f t="shared" si="124"/>
        <v>11.25</v>
      </c>
      <c r="NA7" s="27">
        <f t="shared" si="124"/>
        <v>14.234999999999999</v>
      </c>
      <c r="NB7" s="27">
        <f t="shared" si="124"/>
        <v>0</v>
      </c>
      <c r="NC7" s="27">
        <f t="shared" si="124"/>
        <v>15.1</v>
      </c>
      <c r="ND7" s="27">
        <f t="shared" si="124"/>
        <v>9.1499999999999986</v>
      </c>
      <c r="NE7" s="27">
        <f t="shared" si="124"/>
        <v>11.25</v>
      </c>
      <c r="NF7" s="27">
        <f t="shared" si="124"/>
        <v>14.455</v>
      </c>
      <c r="NG7" s="27">
        <f t="shared" si="124"/>
        <v>0</v>
      </c>
      <c r="NH7" s="32" t="s">
        <v>44</v>
      </c>
      <c r="NI7" s="7">
        <f t="shared" si="125"/>
        <v>39.869999999999997</v>
      </c>
      <c r="NJ7" s="7">
        <f t="shared" si="126"/>
        <v>11.25</v>
      </c>
      <c r="NK7" s="7">
        <f t="shared" si="127"/>
        <v>47.784999999999997</v>
      </c>
      <c r="NL7" s="7">
        <f t="shared" si="128"/>
        <v>87.655000000000001</v>
      </c>
      <c r="NM7" s="7">
        <f t="shared" si="129"/>
        <v>11.25</v>
      </c>
      <c r="NN7" s="7">
        <f t="shared" si="130"/>
        <v>49.954999999999998</v>
      </c>
      <c r="NO7" s="7">
        <f t="shared" si="131"/>
        <v>137.61000000000001</v>
      </c>
    </row>
    <row r="8" spans="1:379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87</v>
      </c>
      <c r="C8" s="4" t="s">
        <v>89</v>
      </c>
      <c r="D8" s="4">
        <v>2010</v>
      </c>
      <c r="E8" s="10">
        <f t="shared" si="0"/>
        <v>210.22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85.64</v>
      </c>
      <c r="J8" s="9" t="str">
        <f t="shared" si="5"/>
        <v>2025 Nationals</v>
      </c>
      <c r="K8" s="9">
        <f t="shared" si="6"/>
        <v>38.36</v>
      </c>
      <c r="L8" s="9" t="str">
        <f t="shared" si="7"/>
        <v>2025 3rd Domestic Trial</v>
      </c>
      <c r="M8" s="9">
        <f t="shared" si="8"/>
        <v>40.200000000000003</v>
      </c>
      <c r="N8" s="9" t="str">
        <f t="shared" si="9"/>
        <v>2025 3rd Domestic Trial</v>
      </c>
      <c r="O8" s="9">
        <f t="shared" si="10"/>
        <v>46.02</v>
      </c>
      <c r="P8" s="9" t="str">
        <f t="shared" si="11"/>
        <v>2025 Nationals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32"/>
      <c r="AJ8" s="7" t="str">
        <f t="shared" si="15"/>
        <v/>
      </c>
      <c r="AK8" s="7" t="str">
        <f t="shared" si="16"/>
        <v/>
      </c>
      <c r="AL8" s="7" t="str">
        <f t="shared" si="17"/>
        <v/>
      </c>
      <c r="AM8" s="7" t="str">
        <f t="shared" si="18"/>
        <v/>
      </c>
      <c r="AN8" s="7" t="str">
        <f t="shared" si="19"/>
        <v/>
      </c>
      <c r="AO8" s="7" t="str">
        <f t="shared" si="20"/>
        <v/>
      </c>
      <c r="AP8" s="7" t="str">
        <f t="shared" si="21"/>
        <v/>
      </c>
      <c r="AQ8" s="23">
        <v>15.1</v>
      </c>
      <c r="AR8" s="23">
        <v>9.1999999999999993</v>
      </c>
      <c r="AS8" s="23">
        <v>0</v>
      </c>
      <c r="AT8" s="23">
        <v>14.09</v>
      </c>
      <c r="AU8" s="23">
        <v>0</v>
      </c>
      <c r="AV8" s="23">
        <v>12.4</v>
      </c>
      <c r="AW8" s="23">
        <v>9.1999999999999993</v>
      </c>
      <c r="AX8" s="23">
        <v>12.5</v>
      </c>
      <c r="AY8" s="23">
        <v>13.15</v>
      </c>
      <c r="AZ8" s="23">
        <v>0</v>
      </c>
      <c r="BA8" s="23">
        <v>13.1</v>
      </c>
      <c r="BB8" s="23">
        <v>8.6</v>
      </c>
      <c r="BC8" s="23">
        <v>11</v>
      </c>
      <c r="BD8" s="23">
        <v>13.32</v>
      </c>
      <c r="BE8" s="23">
        <v>0</v>
      </c>
      <c r="BF8" s="33"/>
      <c r="BG8" s="9">
        <f t="shared" si="22"/>
        <v>38.39</v>
      </c>
      <c r="BH8" s="9">
        <f t="shared" si="23"/>
        <v>12.5</v>
      </c>
      <c r="BI8" s="9">
        <f t="shared" si="24"/>
        <v>47.25</v>
      </c>
      <c r="BJ8" s="9">
        <f t="shared" si="25"/>
        <v>85.64</v>
      </c>
      <c r="BK8" s="9">
        <f t="shared" si="26"/>
        <v>11</v>
      </c>
      <c r="BL8" s="9">
        <f t="shared" si="27"/>
        <v>46.02</v>
      </c>
      <c r="BM8" s="9">
        <f t="shared" si="28"/>
        <v>131.66</v>
      </c>
      <c r="BN8" s="27">
        <v>15</v>
      </c>
      <c r="BO8" s="27">
        <v>9.4</v>
      </c>
      <c r="BP8" s="27">
        <v>0</v>
      </c>
      <c r="BQ8" s="27">
        <v>13.96</v>
      </c>
      <c r="BR8" s="27">
        <v>0</v>
      </c>
      <c r="BS8" s="27">
        <v>13</v>
      </c>
      <c r="BT8" s="27">
        <v>9.1</v>
      </c>
      <c r="BU8" s="27">
        <v>7.6</v>
      </c>
      <c r="BV8" s="27">
        <v>13</v>
      </c>
      <c r="BW8" s="27">
        <v>2.5</v>
      </c>
      <c r="BX8" s="27">
        <v>1.1000000000000001</v>
      </c>
      <c r="BY8" s="27">
        <v>0.9</v>
      </c>
      <c r="BZ8" s="27">
        <v>1.3</v>
      </c>
      <c r="CA8" s="27">
        <v>1.44</v>
      </c>
      <c r="CB8" s="27">
        <v>0</v>
      </c>
      <c r="CC8" s="32"/>
      <c r="CD8" s="7">
        <f t="shared" si="29"/>
        <v>38.36</v>
      </c>
      <c r="CE8" s="7">
        <f t="shared" si="30"/>
        <v>7.6</v>
      </c>
      <c r="CF8" s="7">
        <f t="shared" si="31"/>
        <v>40.200000000000003</v>
      </c>
      <c r="CG8" s="7">
        <f t="shared" si="32"/>
        <v>78.56</v>
      </c>
      <c r="CH8" s="7">
        <f t="shared" si="33"/>
        <v>1.3</v>
      </c>
      <c r="CI8" s="7">
        <f t="shared" si="34"/>
        <v>4.74</v>
      </c>
      <c r="CJ8" s="7">
        <f t="shared" si="35"/>
        <v>83.3</v>
      </c>
      <c r="CK8" s="13" t="str">
        <f t="shared" si="36"/>
        <v/>
      </c>
      <c r="CL8" s="13" t="str">
        <f t="shared" si="37"/>
        <v/>
      </c>
      <c r="CM8" s="13" t="str">
        <f t="shared" si="38"/>
        <v/>
      </c>
      <c r="CN8" s="13" t="str">
        <f t="shared" si="39"/>
        <v/>
      </c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7" t="str">
        <f t="shared" si="40"/>
        <v/>
      </c>
      <c r="DE8" s="7" t="str">
        <f t="shared" si="41"/>
        <v/>
      </c>
      <c r="DF8" s="7" t="str">
        <f t="shared" si="42"/>
        <v/>
      </c>
      <c r="DG8" s="7" t="str">
        <f t="shared" si="43"/>
        <v/>
      </c>
      <c r="DH8" s="7" t="str">
        <f t="shared" si="44"/>
        <v/>
      </c>
      <c r="DI8" s="7" t="str">
        <f t="shared" si="45"/>
        <v/>
      </c>
      <c r="DJ8" s="7" t="str">
        <f t="shared" si="46"/>
        <v/>
      </c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9" t="str">
        <f t="shared" si="47"/>
        <v/>
      </c>
      <c r="EA8" s="9" t="str">
        <f t="shared" si="48"/>
        <v/>
      </c>
      <c r="EB8" s="9" t="str">
        <f t="shared" si="49"/>
        <v/>
      </c>
      <c r="EC8" s="9" t="str">
        <f t="shared" si="50"/>
        <v/>
      </c>
      <c r="ED8" s="9" t="str">
        <f t="shared" si="51"/>
        <v/>
      </c>
      <c r="EE8" s="9" t="str">
        <f t="shared" si="52"/>
        <v/>
      </c>
      <c r="EF8" s="9" t="str">
        <f t="shared" si="53"/>
        <v/>
      </c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7" t="str">
        <f t="shared" si="54"/>
        <v/>
      </c>
      <c r="EW8" s="7" t="str">
        <f t="shared" si="55"/>
        <v/>
      </c>
      <c r="EX8" s="7" t="str">
        <f t="shared" si="56"/>
        <v/>
      </c>
      <c r="EY8" s="7" t="str">
        <f t="shared" si="57"/>
        <v/>
      </c>
      <c r="EZ8" s="7" t="str">
        <f t="shared" si="58"/>
        <v/>
      </c>
      <c r="FA8" s="7" t="str">
        <f t="shared" si="59"/>
        <v/>
      </c>
      <c r="FB8" s="7" t="str">
        <f t="shared" si="60"/>
        <v/>
      </c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9" t="str">
        <f t="shared" si="61"/>
        <v/>
      </c>
      <c r="FS8" s="9" t="str">
        <f t="shared" si="62"/>
        <v/>
      </c>
      <c r="FT8" s="9" t="str">
        <f t="shared" si="63"/>
        <v/>
      </c>
      <c r="FU8" s="9" t="str">
        <f t="shared" si="64"/>
        <v/>
      </c>
      <c r="FV8" s="9" t="str">
        <f t="shared" si="65"/>
        <v/>
      </c>
      <c r="FW8" s="9" t="str">
        <f t="shared" si="66"/>
        <v/>
      </c>
      <c r="FX8" s="9" t="str">
        <f t="shared" si="67"/>
        <v/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7" t="str">
        <f t="shared" si="68"/>
        <v/>
      </c>
      <c r="GO8" s="7" t="str">
        <f t="shared" si="69"/>
        <v/>
      </c>
      <c r="GP8" s="7" t="str">
        <f t="shared" si="70"/>
        <v/>
      </c>
      <c r="GQ8" s="7" t="str">
        <f t="shared" si="71"/>
        <v/>
      </c>
      <c r="GR8" s="7" t="str">
        <f t="shared" si="72"/>
        <v/>
      </c>
      <c r="GS8" s="7" t="str">
        <f t="shared" si="73"/>
        <v/>
      </c>
      <c r="GT8" s="7" t="str">
        <f t="shared" si="74"/>
        <v/>
      </c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9" t="str">
        <f t="shared" si="75"/>
        <v/>
      </c>
      <c r="HK8" s="9" t="str">
        <f t="shared" si="76"/>
        <v/>
      </c>
      <c r="HL8" s="9" t="str">
        <f t="shared" si="77"/>
        <v/>
      </c>
      <c r="HM8" s="9" t="str">
        <f t="shared" si="78"/>
        <v/>
      </c>
      <c r="HN8" s="9" t="str">
        <f t="shared" si="79"/>
        <v/>
      </c>
      <c r="HO8" s="9" t="str">
        <f t="shared" si="80"/>
        <v/>
      </c>
      <c r="HP8" s="9" t="str">
        <f t="shared" si="81"/>
        <v/>
      </c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7" t="str">
        <f t="shared" si="82"/>
        <v/>
      </c>
      <c r="IG8" s="7" t="str">
        <f t="shared" si="83"/>
        <v/>
      </c>
      <c r="IH8" s="7" t="str">
        <f t="shared" si="84"/>
        <v/>
      </c>
      <c r="II8" s="7" t="str">
        <f t="shared" si="85"/>
        <v/>
      </c>
      <c r="IJ8" s="7" t="str">
        <f t="shared" si="86"/>
        <v/>
      </c>
      <c r="IK8" s="7" t="str">
        <f t="shared" si="87"/>
        <v/>
      </c>
      <c r="IL8" s="7" t="str">
        <f t="shared" si="88"/>
        <v/>
      </c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9" t="str">
        <f t="shared" si="89"/>
        <v/>
      </c>
      <c r="JC8" s="9" t="str">
        <f t="shared" si="90"/>
        <v/>
      </c>
      <c r="JD8" s="9" t="str">
        <f t="shared" si="91"/>
        <v/>
      </c>
      <c r="JE8" s="9" t="str">
        <f t="shared" si="92"/>
        <v/>
      </c>
      <c r="JF8" s="9" t="str">
        <f t="shared" si="93"/>
        <v/>
      </c>
      <c r="JG8" s="9" t="str">
        <f t="shared" si="94"/>
        <v/>
      </c>
      <c r="JH8" s="9" t="str">
        <f t="shared" si="95"/>
        <v/>
      </c>
      <c r="JI8" s="18"/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7" t="str">
        <f t="shared" si="96"/>
        <v/>
      </c>
      <c r="JY8" s="7" t="str">
        <f t="shared" si="97"/>
        <v/>
      </c>
      <c r="JZ8" s="7" t="str">
        <f t="shared" si="98"/>
        <v/>
      </c>
      <c r="KA8" s="7" t="str">
        <f t="shared" si="99"/>
        <v/>
      </c>
      <c r="KB8" s="7" t="str">
        <f t="shared" si="100"/>
        <v/>
      </c>
      <c r="KC8" s="7" t="str">
        <f t="shared" si="101"/>
        <v/>
      </c>
      <c r="KD8" s="7" t="str">
        <f t="shared" si="102"/>
        <v/>
      </c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9" t="str">
        <f t="shared" si="103"/>
        <v/>
      </c>
      <c r="KU8" s="9" t="str">
        <f t="shared" si="104"/>
        <v/>
      </c>
      <c r="KV8" s="9" t="str">
        <f t="shared" si="105"/>
        <v/>
      </c>
      <c r="KW8" s="9" t="str">
        <f t="shared" si="106"/>
        <v/>
      </c>
      <c r="KX8" s="9" t="str">
        <f t="shared" si="107"/>
        <v/>
      </c>
      <c r="KY8" s="9" t="str">
        <f t="shared" si="108"/>
        <v/>
      </c>
      <c r="KZ8" s="9" t="str">
        <f t="shared" si="109"/>
        <v/>
      </c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7" t="str">
        <f t="shared" si="110"/>
        <v/>
      </c>
      <c r="LQ8" s="7" t="str">
        <f t="shared" si="111"/>
        <v/>
      </c>
      <c r="LR8" s="7" t="str">
        <f t="shared" si="112"/>
        <v/>
      </c>
      <c r="LS8" s="7" t="str">
        <f t="shared" si="113"/>
        <v/>
      </c>
      <c r="LT8" s="7" t="str">
        <f t="shared" si="114"/>
        <v/>
      </c>
      <c r="LU8" s="7" t="str">
        <f t="shared" si="115"/>
        <v/>
      </c>
      <c r="LV8" s="7" t="str">
        <f t="shared" si="116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9" t="str">
        <f t="shared" si="117"/>
        <v/>
      </c>
      <c r="MM8" s="9" t="str">
        <f t="shared" si="118"/>
        <v/>
      </c>
      <c r="MN8" s="9" t="str">
        <f t="shared" si="119"/>
        <v/>
      </c>
      <c r="MO8" s="9" t="str">
        <f t="shared" si="120"/>
        <v/>
      </c>
      <c r="MP8" s="9" t="str">
        <f t="shared" si="121"/>
        <v/>
      </c>
      <c r="MQ8" s="9" t="str">
        <f t="shared" si="122"/>
        <v/>
      </c>
      <c r="MR8" s="9" t="str">
        <f t="shared" si="123"/>
        <v/>
      </c>
      <c r="MS8" s="27">
        <f t="shared" si="124"/>
        <v>15.05</v>
      </c>
      <c r="MT8" s="27">
        <f t="shared" si="124"/>
        <v>9.3000000000000007</v>
      </c>
      <c r="MU8" s="27">
        <f t="shared" si="124"/>
        <v>0</v>
      </c>
      <c r="MV8" s="27">
        <f t="shared" si="124"/>
        <v>14.025</v>
      </c>
      <c r="MW8" s="27">
        <f t="shared" si="124"/>
        <v>0</v>
      </c>
      <c r="MX8" s="27">
        <f t="shared" si="124"/>
        <v>12.7</v>
      </c>
      <c r="MY8" s="27">
        <f t="shared" si="124"/>
        <v>9.1499999999999986</v>
      </c>
      <c r="MZ8" s="27">
        <f t="shared" si="124"/>
        <v>10.050000000000001</v>
      </c>
      <c r="NA8" s="27">
        <f t="shared" si="124"/>
        <v>13.074999999999999</v>
      </c>
      <c r="NB8" s="27">
        <f t="shared" si="124"/>
        <v>1.25</v>
      </c>
      <c r="NC8" s="27">
        <f t="shared" si="124"/>
        <v>7.1</v>
      </c>
      <c r="ND8" s="27">
        <f t="shared" si="124"/>
        <v>4.75</v>
      </c>
      <c r="NE8" s="27">
        <f t="shared" si="124"/>
        <v>6.15</v>
      </c>
      <c r="NF8" s="27">
        <f t="shared" si="124"/>
        <v>7.38</v>
      </c>
      <c r="NG8" s="27">
        <f t="shared" si="124"/>
        <v>0</v>
      </c>
      <c r="NH8" s="32" t="s">
        <v>44</v>
      </c>
      <c r="NI8" s="7">
        <f t="shared" si="125"/>
        <v>38.375</v>
      </c>
      <c r="NJ8" s="7">
        <f t="shared" si="126"/>
        <v>10.050000000000001</v>
      </c>
      <c r="NK8" s="7">
        <f t="shared" si="127"/>
        <v>43.724999999999994</v>
      </c>
      <c r="NL8" s="7">
        <f t="shared" si="128"/>
        <v>82.1</v>
      </c>
      <c r="NM8" s="7">
        <f t="shared" si="129"/>
        <v>6.15</v>
      </c>
      <c r="NN8" s="7">
        <f t="shared" si="130"/>
        <v>25.38</v>
      </c>
      <c r="NO8" s="7">
        <f t="shared" ref="NO8:NO9" si="132">IF(SUM(NL8,NN8)&gt;0,SUM(NL8,NN8),"")</f>
        <v>107.47999999999999</v>
      </c>
    </row>
    <row r="9" spans="1:37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85</v>
      </c>
      <c r="C9" s="4" t="s">
        <v>62</v>
      </c>
      <c r="D9" s="4">
        <v>2010</v>
      </c>
      <c r="E9" s="10">
        <f t="shared" si="0"/>
        <v>188.49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89.62</v>
      </c>
      <c r="J9" s="9" t="str">
        <f t="shared" si="5"/>
        <v>2025 Nationals</v>
      </c>
      <c r="K9" s="9">
        <f t="shared" si="6"/>
        <v>0</v>
      </c>
      <c r="L9" s="9" t="str">
        <f t="shared" si="7"/>
        <v/>
      </c>
      <c r="M9" s="9">
        <f t="shared" si="8"/>
        <v>0</v>
      </c>
      <c r="N9" s="9" t="str">
        <f t="shared" si="9"/>
        <v/>
      </c>
      <c r="O9" s="9">
        <f t="shared" si="10"/>
        <v>49.040000000000006</v>
      </c>
      <c r="P9" s="9" t="str">
        <f t="shared" si="11"/>
        <v>2025 Nationals</v>
      </c>
      <c r="Q9" s="9">
        <f t="shared" si="12"/>
        <v>49.83</v>
      </c>
      <c r="R9" s="14" t="str">
        <f t="shared" si="13"/>
        <v>(Vol 2)</v>
      </c>
      <c r="S9" s="9" t="str">
        <f t="shared" si="14"/>
        <v>2025 WAGC (Nov 16)</v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32"/>
      <c r="AJ9" s="7" t="str">
        <f t="shared" si="15"/>
        <v/>
      </c>
      <c r="AK9" s="7" t="str">
        <f t="shared" si="16"/>
        <v/>
      </c>
      <c r="AL9" s="7" t="str">
        <f t="shared" si="17"/>
        <v/>
      </c>
      <c r="AM9" s="7" t="str">
        <f t="shared" si="18"/>
        <v/>
      </c>
      <c r="AN9" s="7" t="str">
        <f t="shared" si="19"/>
        <v/>
      </c>
      <c r="AO9" s="7" t="str">
        <f t="shared" si="20"/>
        <v/>
      </c>
      <c r="AP9" s="7" t="str">
        <f t="shared" si="21"/>
        <v/>
      </c>
      <c r="AQ9" s="23">
        <v>16.8</v>
      </c>
      <c r="AR9" s="23">
        <v>9.5</v>
      </c>
      <c r="AS9" s="23">
        <v>0</v>
      </c>
      <c r="AT9" s="23">
        <v>14.95</v>
      </c>
      <c r="AU9" s="23">
        <v>0</v>
      </c>
      <c r="AV9" s="23">
        <v>12.7</v>
      </c>
      <c r="AW9" s="23">
        <v>9.1</v>
      </c>
      <c r="AX9" s="23">
        <v>12</v>
      </c>
      <c r="AY9" s="23">
        <v>14.57</v>
      </c>
      <c r="AZ9" s="23">
        <v>0</v>
      </c>
      <c r="BA9" s="23">
        <v>13.5</v>
      </c>
      <c r="BB9" s="23">
        <v>9.1999999999999993</v>
      </c>
      <c r="BC9" s="23">
        <v>12</v>
      </c>
      <c r="BD9" s="23">
        <v>14.34</v>
      </c>
      <c r="BE9" s="23">
        <v>0</v>
      </c>
      <c r="BF9" s="33"/>
      <c r="BG9" s="9">
        <f t="shared" si="22"/>
        <v>41.25</v>
      </c>
      <c r="BH9" s="9">
        <f t="shared" si="23"/>
        <v>12</v>
      </c>
      <c r="BI9" s="9">
        <f t="shared" si="24"/>
        <v>48.37</v>
      </c>
      <c r="BJ9" s="9">
        <f t="shared" si="25"/>
        <v>89.62</v>
      </c>
      <c r="BK9" s="9">
        <f t="shared" si="26"/>
        <v>12</v>
      </c>
      <c r="BL9" s="9">
        <f t="shared" si="27"/>
        <v>49.040000000000006</v>
      </c>
      <c r="BM9" s="9">
        <f t="shared" si="28"/>
        <v>138.66000000000003</v>
      </c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32"/>
      <c r="CD9" s="7" t="str">
        <f t="shared" si="29"/>
        <v/>
      </c>
      <c r="CE9" s="7" t="str">
        <f t="shared" si="30"/>
        <v/>
      </c>
      <c r="CF9" s="7" t="str">
        <f t="shared" si="31"/>
        <v/>
      </c>
      <c r="CG9" s="7" t="str">
        <f t="shared" si="32"/>
        <v/>
      </c>
      <c r="CH9" s="7" t="str">
        <f t="shared" si="33"/>
        <v/>
      </c>
      <c r="CI9" s="7" t="str">
        <f t="shared" si="34"/>
        <v/>
      </c>
      <c r="CJ9" s="7" t="str">
        <f t="shared" si="35"/>
        <v/>
      </c>
      <c r="CK9" s="13">
        <f t="shared" si="36"/>
        <v>39.090000000000003</v>
      </c>
      <c r="CL9" s="13">
        <f t="shared" si="37"/>
        <v>49.83</v>
      </c>
      <c r="CM9" s="13" t="str">
        <f t="shared" si="38"/>
        <v/>
      </c>
      <c r="CN9" s="13" t="str">
        <f t="shared" si="39"/>
        <v/>
      </c>
      <c r="CO9" s="18">
        <v>13.7</v>
      </c>
      <c r="CP9" s="18">
        <v>9.1999999999999993</v>
      </c>
      <c r="CQ9" s="18">
        <v>0</v>
      </c>
      <c r="CR9" s="18">
        <v>16.190000000000001</v>
      </c>
      <c r="CS9" s="18">
        <v>0</v>
      </c>
      <c r="CT9" s="18">
        <v>11.2</v>
      </c>
      <c r="CU9" s="18">
        <v>9.4</v>
      </c>
      <c r="CV9" s="18">
        <v>14</v>
      </c>
      <c r="CW9" s="18">
        <v>15.23</v>
      </c>
      <c r="CX9" s="18">
        <v>0</v>
      </c>
      <c r="CY9" s="18"/>
      <c r="CZ9" s="18"/>
      <c r="DA9" s="18"/>
      <c r="DB9" s="18"/>
      <c r="DC9" s="18"/>
      <c r="DD9" s="7">
        <f t="shared" si="40"/>
        <v>14</v>
      </c>
      <c r="DE9" s="7">
        <f t="shared" si="41"/>
        <v>39.090000000000003</v>
      </c>
      <c r="DF9" s="7">
        <f t="shared" si="42"/>
        <v>49.83</v>
      </c>
      <c r="DG9" s="7">
        <f t="shared" si="43"/>
        <v>88.92</v>
      </c>
      <c r="DH9" s="7" t="str">
        <f t="shared" si="44"/>
        <v/>
      </c>
      <c r="DI9" s="7" t="str">
        <f t="shared" si="45"/>
        <v/>
      </c>
      <c r="DJ9" s="7">
        <f t="shared" si="46"/>
        <v>88.92</v>
      </c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9" t="str">
        <f t="shared" si="47"/>
        <v/>
      </c>
      <c r="EA9" s="9" t="str">
        <f t="shared" si="48"/>
        <v/>
      </c>
      <c r="EB9" s="9" t="str">
        <f t="shared" si="49"/>
        <v/>
      </c>
      <c r="EC9" s="9" t="str">
        <f t="shared" si="50"/>
        <v/>
      </c>
      <c r="ED9" s="9" t="str">
        <f t="shared" si="51"/>
        <v/>
      </c>
      <c r="EE9" s="9" t="str">
        <f t="shared" si="52"/>
        <v/>
      </c>
      <c r="EF9" s="9" t="str">
        <f t="shared" si="53"/>
        <v/>
      </c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7" t="str">
        <f t="shared" si="54"/>
        <v/>
      </c>
      <c r="EW9" s="7" t="str">
        <f t="shared" si="55"/>
        <v/>
      </c>
      <c r="EX9" s="7" t="str">
        <f t="shared" si="56"/>
        <v/>
      </c>
      <c r="EY9" s="7" t="str">
        <f t="shared" si="57"/>
        <v/>
      </c>
      <c r="EZ9" s="7" t="str">
        <f t="shared" si="58"/>
        <v/>
      </c>
      <c r="FA9" s="7" t="str">
        <f t="shared" si="59"/>
        <v/>
      </c>
      <c r="FB9" s="7" t="str">
        <f t="shared" si="60"/>
        <v/>
      </c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9" t="str">
        <f t="shared" si="61"/>
        <v/>
      </c>
      <c r="FS9" s="9" t="str">
        <f t="shared" si="62"/>
        <v/>
      </c>
      <c r="FT9" s="9" t="str">
        <f t="shared" si="63"/>
        <v/>
      </c>
      <c r="FU9" s="9" t="str">
        <f t="shared" si="64"/>
        <v/>
      </c>
      <c r="FV9" s="9" t="str">
        <f t="shared" si="65"/>
        <v/>
      </c>
      <c r="FW9" s="9" t="str">
        <f t="shared" si="66"/>
        <v/>
      </c>
      <c r="FX9" s="9" t="str">
        <f t="shared" si="67"/>
        <v/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7" t="str">
        <f t="shared" si="68"/>
        <v/>
      </c>
      <c r="GO9" s="7" t="str">
        <f t="shared" si="69"/>
        <v/>
      </c>
      <c r="GP9" s="7" t="str">
        <f t="shared" si="70"/>
        <v/>
      </c>
      <c r="GQ9" s="7" t="str">
        <f t="shared" si="71"/>
        <v/>
      </c>
      <c r="GR9" s="7" t="str">
        <f t="shared" si="72"/>
        <v/>
      </c>
      <c r="GS9" s="7" t="str">
        <f t="shared" si="73"/>
        <v/>
      </c>
      <c r="GT9" s="7" t="str">
        <f t="shared" si="74"/>
        <v/>
      </c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9" t="str">
        <f t="shared" si="75"/>
        <v/>
      </c>
      <c r="HK9" s="9" t="str">
        <f t="shared" si="76"/>
        <v/>
      </c>
      <c r="HL9" s="9" t="str">
        <f t="shared" si="77"/>
        <v/>
      </c>
      <c r="HM9" s="9" t="str">
        <f t="shared" si="78"/>
        <v/>
      </c>
      <c r="HN9" s="9" t="str">
        <f t="shared" si="79"/>
        <v/>
      </c>
      <c r="HO9" s="9" t="str">
        <f t="shared" si="80"/>
        <v/>
      </c>
      <c r="HP9" s="9" t="str">
        <f t="shared" si="81"/>
        <v/>
      </c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7" t="str">
        <f t="shared" si="82"/>
        <v/>
      </c>
      <c r="IG9" s="7" t="str">
        <f t="shared" si="83"/>
        <v/>
      </c>
      <c r="IH9" s="7" t="str">
        <f t="shared" si="84"/>
        <v/>
      </c>
      <c r="II9" s="7" t="str">
        <f t="shared" si="85"/>
        <v/>
      </c>
      <c r="IJ9" s="7" t="str">
        <f t="shared" si="86"/>
        <v/>
      </c>
      <c r="IK9" s="7" t="str">
        <f t="shared" si="87"/>
        <v/>
      </c>
      <c r="IL9" s="7" t="str">
        <f t="shared" si="88"/>
        <v/>
      </c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9" t="str">
        <f t="shared" si="89"/>
        <v/>
      </c>
      <c r="JC9" s="9" t="str">
        <f t="shared" si="90"/>
        <v/>
      </c>
      <c r="JD9" s="9" t="str">
        <f t="shared" si="91"/>
        <v/>
      </c>
      <c r="JE9" s="9" t="str">
        <f t="shared" si="92"/>
        <v/>
      </c>
      <c r="JF9" s="9" t="str">
        <f t="shared" si="93"/>
        <v/>
      </c>
      <c r="JG9" s="9" t="str">
        <f t="shared" si="94"/>
        <v/>
      </c>
      <c r="JH9" s="9" t="str">
        <f t="shared" si="95"/>
        <v/>
      </c>
      <c r="JI9" s="18"/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7" t="str">
        <f t="shared" si="96"/>
        <v/>
      </c>
      <c r="JY9" s="7" t="str">
        <f t="shared" si="97"/>
        <v/>
      </c>
      <c r="JZ9" s="7" t="str">
        <f t="shared" si="98"/>
        <v/>
      </c>
      <c r="KA9" s="7" t="str">
        <f t="shared" si="99"/>
        <v/>
      </c>
      <c r="KB9" s="7" t="str">
        <f t="shared" si="100"/>
        <v/>
      </c>
      <c r="KC9" s="7" t="str">
        <f t="shared" si="101"/>
        <v/>
      </c>
      <c r="KD9" s="7" t="str">
        <f t="shared" si="102"/>
        <v/>
      </c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9" t="str">
        <f t="shared" si="103"/>
        <v/>
      </c>
      <c r="KU9" s="9" t="str">
        <f t="shared" si="104"/>
        <v/>
      </c>
      <c r="KV9" s="9" t="str">
        <f t="shared" si="105"/>
        <v/>
      </c>
      <c r="KW9" s="9" t="str">
        <f t="shared" si="106"/>
        <v/>
      </c>
      <c r="KX9" s="9" t="str">
        <f t="shared" si="107"/>
        <v/>
      </c>
      <c r="KY9" s="9" t="str">
        <f t="shared" si="108"/>
        <v/>
      </c>
      <c r="KZ9" s="9" t="str">
        <f t="shared" si="109"/>
        <v/>
      </c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7" t="str">
        <f t="shared" si="110"/>
        <v/>
      </c>
      <c r="LQ9" s="7" t="str">
        <f t="shared" si="111"/>
        <v/>
      </c>
      <c r="LR9" s="7" t="str">
        <f t="shared" si="112"/>
        <v/>
      </c>
      <c r="LS9" s="7" t="str">
        <f t="shared" si="113"/>
        <v/>
      </c>
      <c r="LT9" s="7" t="str">
        <f t="shared" si="114"/>
        <v/>
      </c>
      <c r="LU9" s="7" t="str">
        <f t="shared" si="115"/>
        <v/>
      </c>
      <c r="LV9" s="7" t="str">
        <f t="shared" si="116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9" t="str">
        <f t="shared" si="117"/>
        <v/>
      </c>
      <c r="MM9" s="9" t="str">
        <f t="shared" si="118"/>
        <v/>
      </c>
      <c r="MN9" s="9" t="str">
        <f t="shared" si="119"/>
        <v/>
      </c>
      <c r="MO9" s="9" t="str">
        <f t="shared" si="120"/>
        <v/>
      </c>
      <c r="MP9" s="9" t="str">
        <f t="shared" si="121"/>
        <v/>
      </c>
      <c r="MQ9" s="9" t="str">
        <f t="shared" si="122"/>
        <v/>
      </c>
      <c r="MR9" s="9" t="str">
        <f t="shared" si="123"/>
        <v/>
      </c>
      <c r="MS9" s="27">
        <f t="shared" si="124"/>
        <v>8.4</v>
      </c>
      <c r="MT9" s="27">
        <f t="shared" si="124"/>
        <v>4.75</v>
      </c>
      <c r="MU9" s="27">
        <f t="shared" si="124"/>
        <v>0</v>
      </c>
      <c r="MV9" s="27">
        <f t="shared" si="124"/>
        <v>7.4749999999999996</v>
      </c>
      <c r="MW9" s="27">
        <f t="shared" si="124"/>
        <v>0</v>
      </c>
      <c r="MX9" s="27">
        <f t="shared" si="124"/>
        <v>6.35</v>
      </c>
      <c r="MY9" s="27">
        <f t="shared" si="124"/>
        <v>4.55</v>
      </c>
      <c r="MZ9" s="27">
        <f t="shared" si="124"/>
        <v>6</v>
      </c>
      <c r="NA9" s="27">
        <f t="shared" si="124"/>
        <v>7.2850000000000001</v>
      </c>
      <c r="NB9" s="27">
        <f t="shared" si="124"/>
        <v>0</v>
      </c>
      <c r="NC9" s="27">
        <f t="shared" si="124"/>
        <v>6.75</v>
      </c>
      <c r="ND9" s="27">
        <f t="shared" si="124"/>
        <v>4.5999999999999996</v>
      </c>
      <c r="NE9" s="27">
        <f t="shared" si="124"/>
        <v>6</v>
      </c>
      <c r="NF9" s="27">
        <f t="shared" si="124"/>
        <v>7.17</v>
      </c>
      <c r="NG9" s="27">
        <f t="shared" si="124"/>
        <v>0</v>
      </c>
      <c r="NH9" s="32" t="s">
        <v>44</v>
      </c>
      <c r="NI9" s="7">
        <f t="shared" si="125"/>
        <v>20.625</v>
      </c>
      <c r="NJ9" s="7">
        <f t="shared" si="126"/>
        <v>6</v>
      </c>
      <c r="NK9" s="7">
        <f t="shared" si="127"/>
        <v>24.184999999999999</v>
      </c>
      <c r="NL9" s="7">
        <f t="shared" si="128"/>
        <v>44.81</v>
      </c>
      <c r="NM9" s="7">
        <f t="shared" si="129"/>
        <v>6</v>
      </c>
      <c r="NN9" s="7">
        <f t="shared" si="130"/>
        <v>24.520000000000003</v>
      </c>
      <c r="NO9" s="7">
        <f t="shared" si="132"/>
        <v>69.330000000000013</v>
      </c>
    </row>
    <row r="10" spans="1:379" x14ac:dyDescent="0.2">
      <c r="B10" s="5"/>
      <c r="D10" s="1"/>
    </row>
    <row r="12" spans="1:379" x14ac:dyDescent="0.2">
      <c r="B12" s="28" t="s">
        <v>42</v>
      </c>
      <c r="C12" s="5"/>
      <c r="AK12" s="46"/>
      <c r="AL12" s="46"/>
      <c r="AN12" s="2"/>
      <c r="AP12" s="24">
        <v>13.4</v>
      </c>
      <c r="BH12" s="46"/>
      <c r="BI12" s="46"/>
      <c r="BK12" s="2"/>
      <c r="BM12" s="24">
        <v>13.4</v>
      </c>
      <c r="CE12" s="46"/>
      <c r="CF12" s="46"/>
      <c r="CH12" s="2"/>
      <c r="CJ12" s="24">
        <v>13.4</v>
      </c>
      <c r="DD12" s="5"/>
      <c r="DH12" s="2"/>
      <c r="DJ12" s="24">
        <v>13.4</v>
      </c>
      <c r="DZ12" s="5"/>
      <c r="ED12" s="2"/>
      <c r="EF12" s="24">
        <v>13.4</v>
      </c>
      <c r="EV12" s="5"/>
      <c r="EZ12" s="2"/>
      <c r="FB12" s="24">
        <v>13.4</v>
      </c>
      <c r="FR12" s="5"/>
      <c r="FV12" s="2"/>
      <c r="FX12" s="24">
        <v>13.4</v>
      </c>
      <c r="GN12" s="5"/>
      <c r="GR12" s="2"/>
      <c r="GT12" s="24">
        <v>13.4</v>
      </c>
      <c r="HJ12" s="5"/>
      <c r="HN12" s="2"/>
      <c r="HP12" s="24">
        <v>13.4</v>
      </c>
      <c r="IF12" s="5"/>
      <c r="IJ12" s="2"/>
      <c r="IL12" s="24">
        <v>13.4</v>
      </c>
      <c r="JB12" s="5"/>
      <c r="JF12" s="2"/>
      <c r="JH12" s="24">
        <v>13.4</v>
      </c>
      <c r="JX12" s="5"/>
      <c r="KB12" s="2"/>
      <c r="KD12" s="24">
        <v>13.4</v>
      </c>
      <c r="KT12" s="5"/>
      <c r="KX12" s="2"/>
      <c r="KZ12" s="24">
        <v>13.4</v>
      </c>
      <c r="LP12" s="5"/>
      <c r="LT12" s="2"/>
      <c r="LV12" s="24">
        <v>13.4</v>
      </c>
      <c r="ML12" s="5"/>
      <c r="MP12" s="2"/>
      <c r="MR12" s="24">
        <v>13.4</v>
      </c>
    </row>
    <row r="13" spans="1:379" hidden="1" x14ac:dyDescent="0.2">
      <c r="B13" s="35" t="s">
        <v>41</v>
      </c>
      <c r="C13" s="5"/>
      <c r="AK13" s="46"/>
      <c r="AL13" s="46"/>
      <c r="AN13" s="2"/>
      <c r="AP13" s="39">
        <v>1000</v>
      </c>
      <c r="BH13" s="46"/>
      <c r="BI13" s="46"/>
      <c r="BK13" s="2"/>
      <c r="BM13" s="39">
        <v>1000</v>
      </c>
      <c r="CE13" s="46"/>
      <c r="CF13" s="46"/>
      <c r="CH13" s="2"/>
      <c r="CJ13" s="39">
        <v>1000</v>
      </c>
      <c r="DD13" s="5"/>
      <c r="DH13" s="2"/>
      <c r="DJ13" s="39">
        <v>1000</v>
      </c>
      <c r="DZ13" s="5"/>
      <c r="ED13" s="2"/>
      <c r="EF13" s="39">
        <v>1000</v>
      </c>
      <c r="EV13" s="5"/>
      <c r="EZ13" s="2"/>
      <c r="FB13" s="39">
        <v>1000</v>
      </c>
      <c r="FR13" s="5"/>
      <c r="FV13" s="2"/>
      <c r="FX13" s="39">
        <v>1000</v>
      </c>
      <c r="GN13" s="5"/>
      <c r="GR13" s="2"/>
      <c r="GT13" s="39">
        <v>1000</v>
      </c>
      <c r="HJ13" s="5"/>
      <c r="HN13" s="2"/>
      <c r="HP13" s="39">
        <v>1000</v>
      </c>
      <c r="IF13" s="5"/>
      <c r="IJ13" s="2"/>
      <c r="IL13" s="39">
        <v>1000</v>
      </c>
      <c r="JB13" s="5"/>
      <c r="JF13" s="2"/>
      <c r="JH13" s="39">
        <v>1000</v>
      </c>
      <c r="JX13" s="5"/>
      <c r="KB13" s="2"/>
      <c r="KD13" s="39">
        <v>1000</v>
      </c>
      <c r="KT13" s="5"/>
      <c r="KX13" s="2"/>
      <c r="KZ13" s="39">
        <v>1000</v>
      </c>
      <c r="LP13" s="5"/>
      <c r="LT13" s="2"/>
      <c r="LV13" s="39">
        <v>1000</v>
      </c>
      <c r="ML13" s="5"/>
      <c r="MP13" s="2"/>
      <c r="MR13" s="39">
        <v>1000</v>
      </c>
    </row>
    <row r="14" spans="1:379" hidden="1" x14ac:dyDescent="0.2">
      <c r="A14" s="5"/>
      <c r="B14" s="36" t="s">
        <v>54</v>
      </c>
      <c r="C14" s="5"/>
      <c r="AK14" s="46"/>
      <c r="AL14" s="46"/>
      <c r="AM14" s="2"/>
      <c r="AN14" s="2"/>
      <c r="AO14" s="2"/>
      <c r="AP14" s="38">
        <v>1000</v>
      </c>
      <c r="BH14" s="46"/>
      <c r="BI14" s="46"/>
      <c r="BK14" s="2"/>
      <c r="BM14" s="38">
        <v>1000</v>
      </c>
      <c r="CE14" s="46"/>
      <c r="CF14" s="46"/>
      <c r="CG14" s="2"/>
      <c r="CH14" s="2"/>
      <c r="CI14" s="2"/>
      <c r="CJ14" s="38">
        <v>1000</v>
      </c>
      <c r="DD14" s="5"/>
      <c r="DH14" s="2"/>
      <c r="DJ14" s="38">
        <v>1000</v>
      </c>
      <c r="DZ14" s="5"/>
      <c r="ED14" s="2"/>
      <c r="EF14" s="38">
        <v>1000</v>
      </c>
      <c r="EV14" s="5"/>
      <c r="EZ14" s="2"/>
      <c r="FB14" s="38">
        <v>1000</v>
      </c>
      <c r="FR14" s="5"/>
      <c r="FV14" s="2"/>
      <c r="FX14" s="38">
        <v>1000</v>
      </c>
      <c r="GN14" s="5"/>
      <c r="GR14" s="2"/>
      <c r="GT14" s="38">
        <v>1000</v>
      </c>
      <c r="HJ14" s="5"/>
      <c r="HN14" s="2"/>
      <c r="HP14" s="38">
        <v>1000</v>
      </c>
      <c r="IF14" s="5"/>
      <c r="IJ14" s="2"/>
      <c r="IL14" s="38">
        <v>1000</v>
      </c>
      <c r="JB14" s="5"/>
      <c r="JF14" s="2"/>
      <c r="JH14" s="38">
        <v>1000</v>
      </c>
      <c r="JX14" s="5"/>
      <c r="KB14" s="2"/>
      <c r="KD14" s="38">
        <v>1000</v>
      </c>
      <c r="KT14" s="5"/>
      <c r="KX14" s="2"/>
      <c r="KZ14" s="38">
        <v>1000</v>
      </c>
      <c r="LP14" s="5"/>
      <c r="LT14" s="2"/>
      <c r="LV14" s="38">
        <v>1000</v>
      </c>
      <c r="ML14" s="5"/>
      <c r="MP14" s="2"/>
      <c r="MR14" s="38">
        <v>1000</v>
      </c>
    </row>
    <row r="15" spans="1:379" hidden="1" x14ac:dyDescent="0.2">
      <c r="A15" s="5"/>
      <c r="B15" s="44" t="s">
        <v>59</v>
      </c>
      <c r="C15" s="5"/>
      <c r="AK15" s="46"/>
      <c r="AL15" s="46"/>
      <c r="AM15" s="2"/>
      <c r="AN15" s="2"/>
      <c r="AO15" s="2"/>
      <c r="AP15" s="45">
        <v>1000</v>
      </c>
      <c r="BH15" s="46"/>
      <c r="BI15" s="46"/>
      <c r="BK15" s="2"/>
      <c r="BM15" s="45">
        <v>1000</v>
      </c>
      <c r="CE15" s="46"/>
      <c r="CF15" s="46"/>
      <c r="CG15" s="2"/>
      <c r="CH15" s="2"/>
      <c r="CI15" s="2"/>
      <c r="CJ15" s="45">
        <v>1000</v>
      </c>
      <c r="DD15" s="5"/>
      <c r="DH15" s="2"/>
      <c r="DJ15" s="45">
        <v>1000</v>
      </c>
      <c r="DZ15" s="5"/>
      <c r="ED15" s="2"/>
      <c r="EF15" s="45">
        <v>1000</v>
      </c>
      <c r="EV15" s="5"/>
      <c r="EZ15" s="2"/>
      <c r="FB15" s="45">
        <v>1000</v>
      </c>
      <c r="FR15" s="5"/>
      <c r="FV15" s="2"/>
      <c r="FX15" s="45">
        <v>1000</v>
      </c>
      <c r="GN15" s="5"/>
      <c r="GR15" s="2"/>
      <c r="GT15" s="45">
        <v>1000</v>
      </c>
      <c r="HJ15" s="5"/>
      <c r="HN15" s="2"/>
      <c r="HP15" s="45">
        <v>1000</v>
      </c>
      <c r="IF15" s="5"/>
      <c r="IJ15" s="2"/>
      <c r="IL15" s="45">
        <v>1000</v>
      </c>
      <c r="JB15" s="5"/>
      <c r="JF15" s="2"/>
      <c r="JH15" s="45">
        <v>1000</v>
      </c>
      <c r="JX15" s="5"/>
      <c r="KB15" s="2"/>
      <c r="KD15" s="45">
        <v>1000</v>
      </c>
      <c r="KT15" s="5"/>
      <c r="KX15" s="2"/>
      <c r="KZ15" s="45">
        <v>1000</v>
      </c>
      <c r="LP15" s="5"/>
      <c r="LT15" s="2"/>
      <c r="LV15" s="45">
        <v>1000</v>
      </c>
      <c r="ML15" s="5"/>
      <c r="MP15" s="2"/>
      <c r="MR15" s="45">
        <v>1000</v>
      </c>
    </row>
    <row r="16" spans="1:379" x14ac:dyDescent="0.2">
      <c r="A16" s="5"/>
      <c r="B16" s="42" t="s">
        <v>39</v>
      </c>
      <c r="C16" s="5"/>
      <c r="M16" s="2"/>
      <c r="AK16" s="46"/>
      <c r="AL16" s="46"/>
      <c r="AM16" s="2"/>
      <c r="AN16" s="2"/>
      <c r="AO16" s="2"/>
      <c r="AP16" s="43">
        <v>93.9</v>
      </c>
      <c r="BH16" s="46"/>
      <c r="BI16" s="46"/>
      <c r="BK16" s="2"/>
      <c r="BM16" s="43">
        <v>93.9</v>
      </c>
      <c r="CE16" s="46"/>
      <c r="CF16" s="46"/>
      <c r="CG16" s="2"/>
      <c r="CH16" s="2"/>
      <c r="CI16" s="2"/>
      <c r="CJ16" s="43">
        <v>93.9</v>
      </c>
      <c r="DD16" s="5"/>
      <c r="DH16" s="2"/>
      <c r="DJ16" s="43">
        <v>93.9</v>
      </c>
      <c r="DZ16" s="5"/>
      <c r="ED16" s="2"/>
      <c r="EF16" s="43">
        <v>93.9</v>
      </c>
      <c r="EV16" s="5"/>
      <c r="EZ16" s="2"/>
      <c r="FB16" s="43">
        <v>93.9</v>
      </c>
      <c r="FR16" s="5"/>
      <c r="FV16" s="2"/>
      <c r="FX16" s="43">
        <v>93.9</v>
      </c>
      <c r="GN16" s="5"/>
      <c r="GR16" s="2"/>
      <c r="GT16" s="43">
        <v>93.9</v>
      </c>
      <c r="HJ16" s="5"/>
      <c r="HN16" s="2"/>
      <c r="HP16" s="43">
        <v>93.9</v>
      </c>
      <c r="IF16" s="5"/>
      <c r="IJ16" s="2"/>
      <c r="IL16" s="43">
        <v>93.9</v>
      </c>
      <c r="JB16" s="5"/>
      <c r="JF16" s="2"/>
      <c r="JH16" s="43">
        <v>93.9</v>
      </c>
      <c r="JX16" s="5"/>
      <c r="KB16" s="2"/>
      <c r="KD16" s="43">
        <v>93.9</v>
      </c>
      <c r="KT16" s="5"/>
      <c r="KX16" s="2"/>
      <c r="KZ16" s="43">
        <v>93.9</v>
      </c>
      <c r="LP16" s="5"/>
      <c r="LT16" s="2"/>
      <c r="LV16" s="43">
        <v>93.9</v>
      </c>
      <c r="ML16" s="5"/>
      <c r="MP16" s="2"/>
      <c r="MR16" s="43">
        <v>93.9</v>
      </c>
    </row>
    <row r="17" spans="1:356" hidden="1" x14ac:dyDescent="0.2">
      <c r="A17" s="5"/>
      <c r="B17" s="29" t="s">
        <v>40</v>
      </c>
      <c r="C17" s="5"/>
      <c r="M17" s="2"/>
      <c r="AK17" s="46"/>
      <c r="AL17" s="46"/>
      <c r="AM17" s="2"/>
      <c r="AN17" s="2"/>
      <c r="AO17" s="2"/>
      <c r="AP17" s="25">
        <v>1000</v>
      </c>
      <c r="BH17" s="46"/>
      <c r="BI17" s="46"/>
      <c r="BK17" s="2"/>
      <c r="BM17" s="25">
        <v>1000</v>
      </c>
      <c r="CE17" s="46"/>
      <c r="CF17" s="46"/>
      <c r="CG17" s="2"/>
      <c r="CH17" s="2"/>
      <c r="CI17" s="2"/>
      <c r="CJ17" s="25">
        <v>1000</v>
      </c>
      <c r="DD17" s="5"/>
      <c r="DH17" s="2"/>
      <c r="DJ17" s="25">
        <v>1000</v>
      </c>
      <c r="DZ17" s="5"/>
      <c r="ED17" s="2"/>
      <c r="EF17" s="25">
        <v>1000</v>
      </c>
      <c r="EV17" s="5"/>
      <c r="EZ17" s="2"/>
      <c r="FB17" s="25">
        <v>1000</v>
      </c>
      <c r="FR17" s="5"/>
      <c r="FV17" s="2"/>
      <c r="FX17" s="25">
        <v>1000</v>
      </c>
      <c r="GN17" s="5"/>
      <c r="GR17" s="2"/>
      <c r="GT17" s="25">
        <v>1000</v>
      </c>
      <c r="HJ17" s="5"/>
      <c r="HN17" s="2"/>
      <c r="HP17" s="25">
        <v>1000</v>
      </c>
      <c r="IF17" s="5"/>
      <c r="IJ17" s="2"/>
      <c r="IL17" s="25">
        <v>1000</v>
      </c>
      <c r="JB17" s="5"/>
      <c r="JF17" s="2"/>
      <c r="JH17" s="25">
        <v>1000</v>
      </c>
      <c r="JX17" s="5"/>
      <c r="KB17" s="2"/>
      <c r="KD17" s="25">
        <v>1000</v>
      </c>
      <c r="KT17" s="5"/>
      <c r="KX17" s="2"/>
      <c r="KZ17" s="25">
        <v>1000</v>
      </c>
      <c r="LP17" s="5"/>
      <c r="LT17" s="2"/>
      <c r="LV17" s="25">
        <v>1000</v>
      </c>
      <c r="ML17" s="5"/>
      <c r="MP17" s="2"/>
      <c r="MR17" s="25">
        <v>1000</v>
      </c>
    </row>
    <row r="18" spans="1:356" hidden="1" x14ac:dyDescent="0.2">
      <c r="A18" s="5"/>
      <c r="B18" s="40" t="s">
        <v>53</v>
      </c>
      <c r="C18" s="5"/>
      <c r="AK18" s="46"/>
      <c r="AL18" s="46"/>
      <c r="AM18" s="2"/>
      <c r="AN18" s="2"/>
      <c r="AO18" s="2"/>
      <c r="AP18" s="41">
        <v>1000</v>
      </c>
      <c r="BH18" s="46"/>
      <c r="BI18" s="46"/>
      <c r="BK18" s="2"/>
      <c r="BL18" s="48"/>
      <c r="BM18" s="41">
        <v>1000</v>
      </c>
      <c r="CE18" s="46"/>
      <c r="CF18" s="46"/>
      <c r="CG18" s="2"/>
      <c r="CH18" s="2"/>
      <c r="CI18" s="2"/>
      <c r="CJ18" s="41">
        <v>1000</v>
      </c>
      <c r="DD18" s="5"/>
      <c r="DH18" s="2"/>
      <c r="DI18" s="48"/>
      <c r="DJ18" s="41">
        <v>1000</v>
      </c>
      <c r="DZ18" s="5"/>
      <c r="ED18" s="2"/>
      <c r="EF18" s="41">
        <v>1000</v>
      </c>
      <c r="EV18" s="5"/>
      <c r="EZ18" s="2"/>
      <c r="FB18" s="41">
        <v>1000</v>
      </c>
      <c r="FR18" s="5"/>
      <c r="FV18" s="2"/>
      <c r="FW18" s="48"/>
      <c r="FX18" s="41">
        <v>1000</v>
      </c>
      <c r="GN18" s="5"/>
      <c r="GR18" s="2"/>
      <c r="GS18" s="48"/>
      <c r="GT18" s="41">
        <v>1000</v>
      </c>
      <c r="HJ18" s="5"/>
      <c r="HN18" s="2"/>
      <c r="HO18" s="48"/>
      <c r="HP18" s="41">
        <v>1000</v>
      </c>
      <c r="IF18" s="5"/>
      <c r="IJ18" s="2"/>
      <c r="IL18" s="41">
        <v>1000</v>
      </c>
      <c r="JB18" s="5"/>
      <c r="JF18" s="2"/>
      <c r="JH18" s="41">
        <v>1000</v>
      </c>
      <c r="JX18" s="5"/>
      <c r="KB18" s="2"/>
      <c r="KD18" s="41">
        <v>1000</v>
      </c>
      <c r="KT18" s="5"/>
      <c r="KX18" s="2"/>
      <c r="KZ18" s="41">
        <v>1000</v>
      </c>
      <c r="LP18" s="5"/>
      <c r="LT18" s="2"/>
      <c r="LV18" s="41">
        <v>1000</v>
      </c>
      <c r="ML18" s="5"/>
      <c r="MP18" s="2"/>
      <c r="MR18" s="41">
        <v>1000</v>
      </c>
    </row>
    <row r="19" spans="1:356" hidden="1" x14ac:dyDescent="0.2">
      <c r="A19" s="5"/>
      <c r="B19" s="30" t="s">
        <v>26</v>
      </c>
      <c r="C19" s="5"/>
      <c r="M19" s="2"/>
      <c r="AK19" s="46"/>
      <c r="AL19" s="46"/>
      <c r="AM19" s="2"/>
      <c r="AN19" s="2"/>
      <c r="AO19" s="2"/>
      <c r="AP19" s="26">
        <v>1000</v>
      </c>
      <c r="BH19" s="46"/>
      <c r="BI19" s="46"/>
      <c r="BK19" s="2"/>
      <c r="BM19" s="26">
        <v>1000</v>
      </c>
      <c r="CE19" s="46"/>
      <c r="CF19" s="46"/>
      <c r="CG19" s="2"/>
      <c r="CH19" s="2"/>
      <c r="CI19" s="2"/>
      <c r="CJ19" s="26">
        <v>1000</v>
      </c>
      <c r="DD19" s="5"/>
      <c r="DH19" s="2"/>
      <c r="DJ19" s="26">
        <v>1000</v>
      </c>
      <c r="DZ19" s="5"/>
      <c r="ED19" s="2"/>
      <c r="EF19" s="26">
        <v>1000</v>
      </c>
      <c r="EV19" s="5"/>
      <c r="EZ19" s="2"/>
      <c r="FB19" s="26">
        <v>1000</v>
      </c>
      <c r="FR19" s="5"/>
      <c r="FV19" s="2"/>
      <c r="FX19" s="26">
        <v>1000</v>
      </c>
      <c r="GN19" s="5"/>
      <c r="GR19" s="2"/>
      <c r="GT19" s="26">
        <v>1000</v>
      </c>
      <c r="HJ19" s="5"/>
      <c r="HN19" s="2"/>
      <c r="HO19" s="48"/>
      <c r="HP19" s="26">
        <v>1000</v>
      </c>
      <c r="IF19" s="5"/>
      <c r="IJ19" s="2"/>
      <c r="IL19" s="26">
        <v>1000</v>
      </c>
      <c r="JB19" s="5"/>
      <c r="JF19" s="2"/>
      <c r="JH19" s="26">
        <v>1000</v>
      </c>
      <c r="JX19" s="5"/>
      <c r="KB19" s="2"/>
      <c r="KD19" s="26">
        <v>1000</v>
      </c>
      <c r="KT19" s="5"/>
      <c r="KX19" s="2"/>
      <c r="KZ19" s="26">
        <v>1000</v>
      </c>
      <c r="LP19" s="5"/>
      <c r="LT19" s="2"/>
      <c r="LV19" s="26">
        <v>1000</v>
      </c>
      <c r="ML19" s="5"/>
      <c r="MP19" s="2"/>
      <c r="MR19" s="26">
        <v>1000</v>
      </c>
    </row>
    <row r="20" spans="1:356" x14ac:dyDescent="0.2">
      <c r="B20" s="34" t="s">
        <v>45</v>
      </c>
      <c r="C20" s="2"/>
      <c r="AM20" s="2"/>
      <c r="AO20" s="2"/>
      <c r="CG20" s="2"/>
      <c r="CI20" s="2"/>
      <c r="EA20" s="2"/>
    </row>
    <row r="21" spans="1:356" x14ac:dyDescent="0.2">
      <c r="A21" s="5"/>
      <c r="B21" s="5"/>
      <c r="C21" s="22"/>
      <c r="AJ21" s="2"/>
      <c r="AK21" s="2"/>
      <c r="AL21" s="2"/>
      <c r="AM21" s="2"/>
      <c r="AO21" s="2"/>
      <c r="CD21" s="2"/>
      <c r="CE21" s="2"/>
      <c r="CF21" s="2"/>
      <c r="CG21" s="2"/>
      <c r="CI21" s="2"/>
    </row>
    <row r="22" spans="1:356" ht="17" x14ac:dyDescent="0.2">
      <c r="A22" s="5"/>
      <c r="B22" s="5"/>
      <c r="C22" s="22"/>
      <c r="Q22" s="11"/>
      <c r="R22" s="11"/>
      <c r="AJ22" s="2"/>
      <c r="AK22" s="2"/>
      <c r="AL22" s="2"/>
      <c r="AM22" s="2"/>
      <c r="AO22" s="2"/>
      <c r="CD22" s="2"/>
      <c r="CE22" s="2"/>
      <c r="CF22" s="2"/>
      <c r="CG22" s="2"/>
      <c r="CI22" s="2"/>
    </row>
    <row r="23" spans="1:356" ht="17" x14ac:dyDescent="0.2">
      <c r="A23" s="5"/>
      <c r="B23" s="5"/>
      <c r="C23" s="22"/>
      <c r="Q23" s="11"/>
      <c r="AJ23" s="2"/>
      <c r="AK23" s="2"/>
      <c r="AL23" s="2"/>
      <c r="AM23" s="2"/>
      <c r="AO23" s="2"/>
      <c r="CD23" s="2"/>
      <c r="CE23" s="2"/>
      <c r="CF23" s="2"/>
      <c r="CG23" s="2"/>
      <c r="CI23" s="2"/>
    </row>
    <row r="24" spans="1:356" ht="17" x14ac:dyDescent="0.2">
      <c r="Q24" s="11"/>
      <c r="R24" s="11"/>
      <c r="AJ24" s="2"/>
      <c r="AK24" s="2"/>
      <c r="AL24" s="2"/>
      <c r="AM24" s="2"/>
      <c r="AO24" s="2"/>
      <c r="CD24" s="2"/>
      <c r="CE24" s="2"/>
      <c r="CF24" s="2"/>
      <c r="CG24" s="2"/>
      <c r="CI24" s="2"/>
    </row>
    <row r="25" spans="1:356" ht="17" x14ac:dyDescent="0.2">
      <c r="Q25" s="11"/>
      <c r="R25" s="11"/>
      <c r="AJ25" s="2"/>
      <c r="AK25" s="2"/>
      <c r="AL25" s="2"/>
      <c r="AM25" s="2"/>
      <c r="AO25" s="2"/>
      <c r="CD25" s="2"/>
      <c r="CE25" s="2"/>
      <c r="CF25" s="2"/>
      <c r="CG25" s="2"/>
      <c r="CI25" s="2"/>
    </row>
    <row r="26" spans="1:356" ht="17" x14ac:dyDescent="0.2">
      <c r="Q26" s="11"/>
      <c r="R26" s="11"/>
      <c r="AJ26" s="2"/>
      <c r="AK26" s="2"/>
      <c r="AL26" s="2"/>
      <c r="AM26" s="2"/>
      <c r="AO26" s="2"/>
      <c r="CD26" s="2"/>
      <c r="CE26" s="2"/>
      <c r="CF26" s="2"/>
      <c r="CG26" s="2"/>
      <c r="CI26" s="2"/>
    </row>
    <row r="27" spans="1:356" ht="17" x14ac:dyDescent="0.2">
      <c r="Q27" s="11"/>
      <c r="R27" s="11"/>
      <c r="S27" s="11"/>
    </row>
    <row r="28" spans="1:356" ht="17" x14ac:dyDescent="0.2">
      <c r="Q28" s="11"/>
      <c r="R28" s="11"/>
      <c r="S28" s="11"/>
    </row>
    <row r="29" spans="1:356" ht="17" x14ac:dyDescent="0.2">
      <c r="Q29" s="11"/>
      <c r="R29" s="11"/>
      <c r="S29" s="11"/>
    </row>
    <row r="30" spans="1:356" ht="17" x14ac:dyDescent="0.2">
      <c r="Q30" s="11"/>
      <c r="R30" s="11"/>
      <c r="S30" s="11"/>
    </row>
    <row r="31" spans="1:356" ht="17" x14ac:dyDescent="0.2">
      <c r="Q31" s="11"/>
      <c r="R31" s="11"/>
      <c r="S31" s="11"/>
    </row>
    <row r="32" spans="1:356" ht="17" x14ac:dyDescent="0.2">
      <c r="Q32" s="11"/>
      <c r="R32" s="11"/>
      <c r="S32" s="11"/>
    </row>
    <row r="33" spans="10:19" ht="17" x14ac:dyDescent="0.2">
      <c r="J33" s="5"/>
      <c r="K33" s="4"/>
      <c r="L33" s="4"/>
      <c r="Q33" s="11"/>
      <c r="R33" s="11"/>
      <c r="S33" s="11"/>
    </row>
    <row r="34" spans="10:19" ht="17" x14ac:dyDescent="0.2">
      <c r="J34" s="5"/>
      <c r="K34" s="4"/>
      <c r="L34" s="4"/>
      <c r="Q34" s="11"/>
      <c r="R34" s="11"/>
      <c r="S34" s="11"/>
    </row>
    <row r="35" spans="10:19" ht="17" x14ac:dyDescent="0.2">
      <c r="J35" s="5"/>
      <c r="K35" s="4"/>
      <c r="L35" s="4"/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Q38" s="11"/>
      <c r="R38" s="11"/>
      <c r="S38" s="11"/>
    </row>
    <row r="39" spans="10:19" ht="17" x14ac:dyDescent="0.2">
      <c r="Q39" s="11"/>
      <c r="R39" s="11"/>
      <c r="S39" s="11"/>
    </row>
    <row r="40" spans="10:19" ht="17" x14ac:dyDescent="0.2">
      <c r="Q40" s="11"/>
      <c r="R40" s="11"/>
      <c r="S40" s="11"/>
    </row>
    <row r="41" spans="10:19" ht="17" x14ac:dyDescent="0.2">
      <c r="Q41" s="11"/>
      <c r="R41" s="11"/>
      <c r="S41" s="11"/>
    </row>
  </sheetData>
  <sheetProtection sheet="1" formatCells="0" formatColumns="0" formatRows="0"/>
  <autoFilter ref="A1:NM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sortState xmlns:xlrd2="http://schemas.microsoft.com/office/spreadsheetml/2017/richdata2" ref="A6:NM9">
      <sortCondition descending="1" ref="F1:F10"/>
    </sortState>
  </autoFilter>
  <sortState xmlns:xlrd2="http://schemas.microsoft.com/office/spreadsheetml/2017/richdata2" ref="A1:N3">
    <sortCondition ref="A1"/>
  </sortState>
  <mergeCells count="84">
    <mergeCell ref="MX2:NB2"/>
    <mergeCell ref="MS1:NM1"/>
    <mergeCell ref="MS2:MW2"/>
    <mergeCell ref="NC2:NG2"/>
    <mergeCell ref="FH2:FL2"/>
    <mergeCell ref="FC1:FX1"/>
    <mergeCell ref="HQ1:IL1"/>
    <mergeCell ref="FY1:GT1"/>
    <mergeCell ref="GU1:HP1"/>
    <mergeCell ref="FY2:GC2"/>
    <mergeCell ref="HE2:HI2"/>
    <mergeCell ref="FC2:FG2"/>
    <mergeCell ref="LA2:LE2"/>
    <mergeCell ref="KO2:KS2"/>
    <mergeCell ref="LW1:MR1"/>
    <mergeCell ref="JI2:JM2"/>
    <mergeCell ref="IW2:JA2"/>
    <mergeCell ref="LA1:LV1"/>
    <mergeCell ref="MG2:MK2"/>
    <mergeCell ref="MB2:MF2"/>
    <mergeCell ref="LW2:MA2"/>
    <mergeCell ref="LK2:LO2"/>
    <mergeCell ref="LF2:LJ2"/>
    <mergeCell ref="JS2:JW2"/>
    <mergeCell ref="JN2:JR2"/>
    <mergeCell ref="KE1:KZ1"/>
    <mergeCell ref="KJ2:KN2"/>
    <mergeCell ref="KE2:KI2"/>
    <mergeCell ref="IM1:JH1"/>
    <mergeCell ref="JI1:KD1"/>
    <mergeCell ref="IR2:IV2"/>
    <mergeCell ref="IM2:IQ2"/>
    <mergeCell ref="FM2:FQ2"/>
    <mergeCell ref="IA2:IE2"/>
    <mergeCell ref="HV2:HZ2"/>
    <mergeCell ref="HQ2:HU2"/>
    <mergeCell ref="GZ2:HD2"/>
    <mergeCell ref="GU2:GY2"/>
    <mergeCell ref="GI2:GM2"/>
    <mergeCell ref="GD2:GH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P1"/>
    <mergeCell ref="AD2:AH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Q1:BM1"/>
    <mergeCell ref="AQ2:AU2"/>
    <mergeCell ref="CY2:DC2"/>
    <mergeCell ref="CT2:CX2"/>
    <mergeCell ref="CO1:DJ1"/>
    <mergeCell ref="BA2:BE2"/>
    <mergeCell ref="CO2:CS2"/>
    <mergeCell ref="CK1:CN1"/>
    <mergeCell ref="BN1:CJ1"/>
    <mergeCell ref="BN2:BR2"/>
    <mergeCell ref="AV2:AZ2"/>
    <mergeCell ref="BS2:BW2"/>
    <mergeCell ref="BX2:CB2"/>
    <mergeCell ref="EQ2:EU2"/>
    <mergeCell ref="EL2:EP2"/>
    <mergeCell ref="DP2:DT2"/>
    <mergeCell ref="EG1:FB1"/>
    <mergeCell ref="DK2:DO2"/>
    <mergeCell ref="DK1:EF1"/>
    <mergeCell ref="DU2:DY2"/>
    <mergeCell ref="EG2:EK2"/>
  </mergeCells>
  <conditionalFormatting sqref="H1:H1048576">
    <cfRule type="containsText" dxfId="216" priority="6" operator="containsText" text="No DD">
      <formula>NOT(ISERROR(SEARCH("No DD",H1)))</formula>
    </cfRule>
    <cfRule type="containsText" dxfId="215" priority="7" operator="containsText" text="Merit">
      <formula>NOT(ISERROR(SEARCH("Merit",H1)))</formula>
    </cfRule>
    <cfRule type="containsText" dxfId="214" priority="8" operator="containsText" text="Excellence">
      <formula>NOT(ISERROR(SEARCH("Excellence",H1)))</formula>
    </cfRule>
    <cfRule type="containsText" dxfId="213" priority="9" operator="containsText" text="Worlds Team">
      <formula>NOT(ISERROR(SEARCH("Worlds Team",H1)))</formula>
    </cfRule>
    <cfRule type="containsText" dxfId="212" priority="10" operator="containsText" text="National Team">
      <formula>NOT(ISERROR(SEARCH("National Team",H1)))</formula>
    </cfRule>
  </conditionalFormatting>
  <conditionalFormatting sqref="A4:A1048576">
    <cfRule type="expression" dxfId="211" priority="1">
      <formula>AND(G4&lt;&gt;"",F4="")</formula>
    </cfRule>
    <cfRule type="expression" dxfId="210" priority="48705">
      <formula>IF(A4&gt;4,1,0)</formula>
    </cfRule>
  </conditionalFormatting>
  <conditionalFormatting sqref="T4:AP9">
    <cfRule type="expression" dxfId="209" priority="70310" stopIfTrue="1">
      <formula>IF($AI4&lt;&gt;"",1,0)</formula>
    </cfRule>
  </conditionalFormatting>
  <conditionalFormatting sqref="AQ4:BM9">
    <cfRule type="expression" dxfId="208" priority="70325" stopIfTrue="1">
      <formula>IF($BF4&lt;&gt;"",1,0)</formula>
    </cfRule>
  </conditionalFormatting>
  <conditionalFormatting sqref="J36:J1048576 L36:L1048576 L1:L32 P1:P1048576 J1:J32 N1:N1048576">
    <cfRule type="expression" dxfId="207" priority="70327">
      <formula>IF(J1=$BN$1,1,0)</formula>
    </cfRule>
    <cfRule type="expression" dxfId="206" priority="70328">
      <formula>IF(J1=$AQ$1,1,0)</formula>
    </cfRule>
    <cfRule type="expression" dxfId="205" priority="70329">
      <formula>IF(J1=$T$1,1,0)</formula>
    </cfRule>
  </conditionalFormatting>
  <conditionalFormatting sqref="BN4:CJ9">
    <cfRule type="expression" dxfId="204" priority="70330" stopIfTrue="1">
      <formula>IF($CC4&lt;&gt;"",1,0)</formula>
    </cfRule>
  </conditionalFormatting>
  <conditionalFormatting sqref="DF1:DF1048576 EB1:EB1048576 EX1:EX1048576 FT1:FT1048576 GP1:GP1048576 HL1:HL1048576 IH1:IH1048576 JD1:JD1048576 JZ1:JZ1048576 KV1:KV1048576 LR1:LR1048576 MN1:MN1048576">
    <cfRule type="cellIs" dxfId="203" priority="72497" stopIfTrue="1" operator="between">
      <formula>DJ$19</formula>
      <formula>1000</formula>
    </cfRule>
    <cfRule type="cellIs" dxfId="202" priority="72498" operator="between">
      <formula>DJ$18</formula>
      <formula>DJ$19</formula>
    </cfRule>
  </conditionalFormatting>
  <conditionalFormatting sqref="DG1:DG1048576 EC1:EC1048576 EY1:EY1048576 FU1:FU1048576 GQ1:GQ1048576 HM1:HM1048576 II1:II1048576 JE1:JE1048576 KA1:KA1048576 KW1:KW1048576 LS1:LS1048576 MO1:MO1048576 AM1:AM1048576 BJ1:BJ1048576 CG1:CG1048576">
    <cfRule type="cellIs" dxfId="201" priority="72569" operator="between">
      <formula>AP$18</formula>
      <formula>1000</formula>
    </cfRule>
    <cfRule type="cellIs" dxfId="200" priority="72570" operator="between">
      <formula>AP$17</formula>
      <formula>AP$18</formula>
    </cfRule>
    <cfRule type="cellIs" dxfId="199" priority="72571" operator="between">
      <formula>AP$16</formula>
      <formula>AP$17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98" priority="72704" operator="between">
      <formula>AP$19</formula>
      <formula>1000</formula>
    </cfRule>
  </conditionalFormatting>
  <conditionalFormatting sqref="DD1:DD1048576 DZ1:DZ1048576 EV1:EV1048576 FR1:FR1048576 GN1:GN1048576 HJ1:HJ1048576 IF1:IF1048576 JB1:JB1048576 JX1:JX1048576 KT1:KT1048576 LP1:LP1048576 ML1:ML1048576">
    <cfRule type="cellIs" dxfId="197" priority="72749" operator="between">
      <formula>DJ$15</formula>
      <formula>1000</formula>
    </cfRule>
    <cfRule type="cellIs" dxfId="196" priority="72750" operator="between">
      <formula>DJ$14</formula>
      <formula>DJ$15</formula>
    </cfRule>
    <cfRule type="cellIs" dxfId="195" priority="72751" operator="between">
      <formula>DJ$13</formula>
      <formula>DJ$14</formula>
    </cfRule>
    <cfRule type="cellIs" dxfId="194" priority="72752" operator="between">
      <formula>DJ$12</formula>
      <formula>DJ$13</formula>
    </cfRule>
  </conditionalFormatting>
  <conditionalFormatting sqref="CE1:CE1048576 AK1:AK1048576 BH1:BH1048576">
    <cfRule type="cellIs" dxfId="193" priority="72893" operator="between">
      <formula>AP$15</formula>
      <formula>1000</formula>
    </cfRule>
    <cfRule type="cellIs" dxfId="192" priority="72894" operator="between">
      <formula>AP$14</formula>
      <formula>AP$15</formula>
    </cfRule>
    <cfRule type="cellIs" dxfId="191" priority="72895" operator="between">
      <formula>AP$13</formula>
      <formula>AP$14</formula>
    </cfRule>
    <cfRule type="cellIs" dxfId="190" priority="72896" operator="between">
      <formula>AP$12</formula>
      <formula>AP$13</formula>
    </cfRule>
  </conditionalFormatting>
  <conditionalFormatting sqref="CF1:CF1048576 AL1:AL1048576 BI1:BI1048576">
    <cfRule type="cellIs" dxfId="189" priority="72929" operator="between">
      <formula>AP$19</formula>
      <formula>1000</formula>
    </cfRule>
  </conditionalFormatting>
  <conditionalFormatting sqref="AN1:AN1048576 CH1:CH1048576 BK1:BK1048576 DH1:DH1048576 ED1:ED1048576 EZ1:EZ1048576 FV1:FV1048576 GR1:GR1048576 HN1:HN1048576 IJ1:IJ1048576 JF1:JF1048576 KB1:KB1048576 KX1:KX1048576 LT1:LT1048576 MP1:MP1048576">
    <cfRule type="cellIs" dxfId="188" priority="72938" operator="between">
      <formula>AP$15</formula>
      <formula>1000</formula>
    </cfRule>
    <cfRule type="cellIs" dxfId="187" priority="72939" operator="between">
      <formula>AP$14</formula>
      <formula>AP$15</formula>
    </cfRule>
    <cfRule type="cellIs" dxfId="186" priority="72940" operator="between">
      <formula>AP$13</formula>
      <formula>AP$14</formula>
    </cfRule>
    <cfRule type="cellIs" dxfId="185" priority="72941" operator="between">
      <formula>AP$12</formula>
      <formula>AP$13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NO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379" width="10.83203125" hidden="1" customWidth="1"/>
    <col min="380" max="381" width="10.83203125" customWidth="1"/>
  </cols>
  <sheetData>
    <row r="1" spans="1:37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61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75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2" t="s">
        <v>84</v>
      </c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1" t="s">
        <v>97</v>
      </c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3" t="s">
        <v>10</v>
      </c>
      <c r="CL1" s="73"/>
      <c r="CM1" s="73"/>
      <c r="CN1" s="73"/>
      <c r="CO1" s="71" t="s">
        <v>95</v>
      </c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2" t="s">
        <v>99</v>
      </c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1" t="s">
        <v>55</v>
      </c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</row>
    <row r="2" spans="1:379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19</v>
      </c>
      <c r="AE2" s="69"/>
      <c r="AF2" s="69"/>
      <c r="AG2" s="69"/>
      <c r="AH2" s="69"/>
      <c r="AI2" s="16"/>
      <c r="AJ2" s="6" t="s">
        <v>17</v>
      </c>
      <c r="AK2" s="6" t="s">
        <v>60</v>
      </c>
      <c r="AL2" s="6" t="s">
        <v>18</v>
      </c>
      <c r="AM2" s="6" t="s">
        <v>20</v>
      </c>
      <c r="AN2" s="6" t="s">
        <v>56</v>
      </c>
      <c r="AO2" s="6" t="s">
        <v>19</v>
      </c>
      <c r="AP2" s="6" t="s">
        <v>14</v>
      </c>
      <c r="AQ2" s="70" t="s">
        <v>15</v>
      </c>
      <c r="AR2" s="70"/>
      <c r="AS2" s="70"/>
      <c r="AT2" s="70"/>
      <c r="AU2" s="70"/>
      <c r="AV2" s="70" t="s">
        <v>16</v>
      </c>
      <c r="AW2" s="70"/>
      <c r="AX2" s="70"/>
      <c r="AY2" s="70"/>
      <c r="AZ2" s="70"/>
      <c r="BA2" s="70" t="s">
        <v>19</v>
      </c>
      <c r="BB2" s="70"/>
      <c r="BC2" s="70"/>
      <c r="BD2" s="70"/>
      <c r="BE2" s="70"/>
      <c r="BF2" s="17"/>
      <c r="BG2" s="8" t="s">
        <v>17</v>
      </c>
      <c r="BH2" s="8" t="s">
        <v>60</v>
      </c>
      <c r="BI2" s="8" t="s">
        <v>18</v>
      </c>
      <c r="BJ2" s="8" t="s">
        <v>20</v>
      </c>
      <c r="BK2" s="8" t="s">
        <v>56</v>
      </c>
      <c r="BL2" s="8" t="s">
        <v>19</v>
      </c>
      <c r="BM2" s="8" t="s">
        <v>14</v>
      </c>
      <c r="BN2" s="69" t="s">
        <v>15</v>
      </c>
      <c r="BO2" s="69"/>
      <c r="BP2" s="69"/>
      <c r="BQ2" s="69"/>
      <c r="BR2" s="69"/>
      <c r="BS2" s="69" t="s">
        <v>16</v>
      </c>
      <c r="BT2" s="69"/>
      <c r="BU2" s="69"/>
      <c r="BV2" s="69"/>
      <c r="BW2" s="69"/>
      <c r="BX2" s="69" t="s">
        <v>19</v>
      </c>
      <c r="BY2" s="69"/>
      <c r="BZ2" s="69"/>
      <c r="CA2" s="69"/>
      <c r="CB2" s="69"/>
      <c r="CC2" s="16"/>
      <c r="CD2" s="6" t="s">
        <v>17</v>
      </c>
      <c r="CE2" s="6" t="s">
        <v>60</v>
      </c>
      <c r="CF2" s="6" t="s">
        <v>18</v>
      </c>
      <c r="CG2" s="6" t="s">
        <v>20</v>
      </c>
      <c r="CH2" s="6" t="s">
        <v>56</v>
      </c>
      <c r="CI2" s="6" t="s">
        <v>19</v>
      </c>
      <c r="CJ2" s="6" t="s">
        <v>14</v>
      </c>
      <c r="CK2" s="12" t="s">
        <v>17</v>
      </c>
      <c r="CL2" s="12" t="s">
        <v>18</v>
      </c>
      <c r="CM2" s="12" t="s">
        <v>20</v>
      </c>
      <c r="CN2" s="12" t="s">
        <v>19</v>
      </c>
      <c r="CO2" s="69" t="s">
        <v>15</v>
      </c>
      <c r="CP2" s="69"/>
      <c r="CQ2" s="69"/>
      <c r="CR2" s="69"/>
      <c r="CS2" s="69"/>
      <c r="CT2" s="69" t="s">
        <v>16</v>
      </c>
      <c r="CU2" s="69"/>
      <c r="CV2" s="69"/>
      <c r="CW2" s="69"/>
      <c r="CX2" s="69"/>
      <c r="CY2" s="69" t="s">
        <v>19</v>
      </c>
      <c r="CZ2" s="69"/>
      <c r="DA2" s="69"/>
      <c r="DB2" s="69"/>
      <c r="DC2" s="69"/>
      <c r="DD2" s="16" t="s">
        <v>50</v>
      </c>
      <c r="DE2" s="6" t="s">
        <v>17</v>
      </c>
      <c r="DF2" s="6" t="s">
        <v>18</v>
      </c>
      <c r="DG2" s="6" t="s">
        <v>20</v>
      </c>
      <c r="DH2" s="6" t="s">
        <v>56</v>
      </c>
      <c r="DI2" s="6" t="s">
        <v>19</v>
      </c>
      <c r="DJ2" s="6" t="s">
        <v>14</v>
      </c>
      <c r="DK2" s="70" t="s">
        <v>15</v>
      </c>
      <c r="DL2" s="70"/>
      <c r="DM2" s="70"/>
      <c r="DN2" s="70"/>
      <c r="DO2" s="70"/>
      <c r="DP2" s="70" t="s">
        <v>16</v>
      </c>
      <c r="DQ2" s="70"/>
      <c r="DR2" s="70"/>
      <c r="DS2" s="70"/>
      <c r="DT2" s="70"/>
      <c r="DU2" s="70" t="s">
        <v>19</v>
      </c>
      <c r="DV2" s="70"/>
      <c r="DW2" s="70"/>
      <c r="DX2" s="70"/>
      <c r="DY2" s="70"/>
      <c r="DZ2" s="17" t="s">
        <v>50</v>
      </c>
      <c r="EA2" s="8" t="s">
        <v>17</v>
      </c>
      <c r="EB2" s="8" t="s">
        <v>18</v>
      </c>
      <c r="EC2" s="8" t="s">
        <v>20</v>
      </c>
      <c r="ED2" s="8" t="s">
        <v>56</v>
      </c>
      <c r="EE2" s="8" t="s">
        <v>19</v>
      </c>
      <c r="EF2" s="8" t="s">
        <v>14</v>
      </c>
      <c r="EG2" s="69" t="s">
        <v>15</v>
      </c>
      <c r="EH2" s="69"/>
      <c r="EI2" s="69"/>
      <c r="EJ2" s="69"/>
      <c r="EK2" s="69"/>
      <c r="EL2" s="69" t="s">
        <v>16</v>
      </c>
      <c r="EM2" s="69"/>
      <c r="EN2" s="69"/>
      <c r="EO2" s="69"/>
      <c r="EP2" s="69"/>
      <c r="EQ2" s="69" t="s">
        <v>19</v>
      </c>
      <c r="ER2" s="69"/>
      <c r="ES2" s="69"/>
      <c r="ET2" s="69"/>
      <c r="EU2" s="69"/>
      <c r="EV2" s="16" t="s">
        <v>50</v>
      </c>
      <c r="EW2" s="6" t="s">
        <v>17</v>
      </c>
      <c r="EX2" s="6" t="s">
        <v>18</v>
      </c>
      <c r="EY2" s="6" t="s">
        <v>20</v>
      </c>
      <c r="EZ2" s="6" t="s">
        <v>56</v>
      </c>
      <c r="FA2" s="6" t="s">
        <v>19</v>
      </c>
      <c r="FB2" s="6" t="s">
        <v>14</v>
      </c>
      <c r="FC2" s="70" t="s">
        <v>15</v>
      </c>
      <c r="FD2" s="70"/>
      <c r="FE2" s="70"/>
      <c r="FF2" s="70"/>
      <c r="FG2" s="70"/>
      <c r="FH2" s="70" t="s">
        <v>16</v>
      </c>
      <c r="FI2" s="70"/>
      <c r="FJ2" s="70"/>
      <c r="FK2" s="70"/>
      <c r="FL2" s="70"/>
      <c r="FM2" s="70" t="s">
        <v>19</v>
      </c>
      <c r="FN2" s="70"/>
      <c r="FO2" s="70"/>
      <c r="FP2" s="70"/>
      <c r="FQ2" s="70"/>
      <c r="FR2" s="17" t="s">
        <v>50</v>
      </c>
      <c r="FS2" s="8" t="s">
        <v>17</v>
      </c>
      <c r="FT2" s="8" t="s">
        <v>18</v>
      </c>
      <c r="FU2" s="8" t="s">
        <v>20</v>
      </c>
      <c r="FV2" s="8" t="s">
        <v>56</v>
      </c>
      <c r="FW2" s="8" t="s">
        <v>19</v>
      </c>
      <c r="FX2" s="8" t="s">
        <v>14</v>
      </c>
      <c r="FY2" s="69" t="s">
        <v>15</v>
      </c>
      <c r="FZ2" s="69"/>
      <c r="GA2" s="69"/>
      <c r="GB2" s="69"/>
      <c r="GC2" s="69"/>
      <c r="GD2" s="69" t="s">
        <v>16</v>
      </c>
      <c r="GE2" s="69"/>
      <c r="GF2" s="69"/>
      <c r="GG2" s="69"/>
      <c r="GH2" s="69"/>
      <c r="GI2" s="69" t="s">
        <v>19</v>
      </c>
      <c r="GJ2" s="69"/>
      <c r="GK2" s="69"/>
      <c r="GL2" s="69"/>
      <c r="GM2" s="69"/>
      <c r="GN2" s="16" t="s">
        <v>50</v>
      </c>
      <c r="GO2" s="6" t="s">
        <v>17</v>
      </c>
      <c r="GP2" s="6" t="s">
        <v>18</v>
      </c>
      <c r="GQ2" s="6" t="s">
        <v>20</v>
      </c>
      <c r="GR2" s="6" t="s">
        <v>56</v>
      </c>
      <c r="GS2" s="6" t="s">
        <v>19</v>
      </c>
      <c r="GT2" s="6" t="s">
        <v>14</v>
      </c>
      <c r="GU2" s="70" t="s">
        <v>15</v>
      </c>
      <c r="GV2" s="70"/>
      <c r="GW2" s="70"/>
      <c r="GX2" s="70"/>
      <c r="GY2" s="70"/>
      <c r="GZ2" s="70" t="s">
        <v>16</v>
      </c>
      <c r="HA2" s="70"/>
      <c r="HB2" s="70"/>
      <c r="HC2" s="70"/>
      <c r="HD2" s="70"/>
      <c r="HE2" s="70" t="s">
        <v>19</v>
      </c>
      <c r="HF2" s="70"/>
      <c r="HG2" s="70"/>
      <c r="HH2" s="70"/>
      <c r="HI2" s="70"/>
      <c r="HJ2" s="17" t="s">
        <v>50</v>
      </c>
      <c r="HK2" s="8" t="s">
        <v>17</v>
      </c>
      <c r="HL2" s="8" t="s">
        <v>18</v>
      </c>
      <c r="HM2" s="8" t="s">
        <v>20</v>
      </c>
      <c r="HN2" s="8" t="s">
        <v>56</v>
      </c>
      <c r="HO2" s="8" t="s">
        <v>19</v>
      </c>
      <c r="HP2" s="8" t="s">
        <v>14</v>
      </c>
      <c r="HQ2" s="69" t="s">
        <v>15</v>
      </c>
      <c r="HR2" s="69"/>
      <c r="HS2" s="69"/>
      <c r="HT2" s="69"/>
      <c r="HU2" s="69"/>
      <c r="HV2" s="69" t="s">
        <v>16</v>
      </c>
      <c r="HW2" s="69"/>
      <c r="HX2" s="69"/>
      <c r="HY2" s="69"/>
      <c r="HZ2" s="69"/>
      <c r="IA2" s="69" t="s">
        <v>19</v>
      </c>
      <c r="IB2" s="69"/>
      <c r="IC2" s="69"/>
      <c r="ID2" s="69"/>
      <c r="IE2" s="69"/>
      <c r="IF2" s="16" t="s">
        <v>50</v>
      </c>
      <c r="IG2" s="6" t="s">
        <v>17</v>
      </c>
      <c r="IH2" s="6" t="s">
        <v>18</v>
      </c>
      <c r="II2" s="6" t="s">
        <v>20</v>
      </c>
      <c r="IJ2" s="6" t="s">
        <v>56</v>
      </c>
      <c r="IK2" s="6" t="s">
        <v>19</v>
      </c>
      <c r="IL2" s="6" t="s">
        <v>14</v>
      </c>
      <c r="IM2" s="70" t="s">
        <v>15</v>
      </c>
      <c r="IN2" s="70"/>
      <c r="IO2" s="70"/>
      <c r="IP2" s="70"/>
      <c r="IQ2" s="70"/>
      <c r="IR2" s="70" t="s">
        <v>16</v>
      </c>
      <c r="IS2" s="70"/>
      <c r="IT2" s="70"/>
      <c r="IU2" s="70"/>
      <c r="IV2" s="70"/>
      <c r="IW2" s="70" t="s">
        <v>19</v>
      </c>
      <c r="IX2" s="70"/>
      <c r="IY2" s="70"/>
      <c r="IZ2" s="70"/>
      <c r="JA2" s="70"/>
      <c r="JB2" s="17" t="s">
        <v>50</v>
      </c>
      <c r="JC2" s="8" t="s">
        <v>17</v>
      </c>
      <c r="JD2" s="8" t="s">
        <v>18</v>
      </c>
      <c r="JE2" s="8" t="s">
        <v>20</v>
      </c>
      <c r="JF2" s="8" t="s">
        <v>56</v>
      </c>
      <c r="JG2" s="8" t="s">
        <v>19</v>
      </c>
      <c r="JH2" s="8" t="s">
        <v>14</v>
      </c>
      <c r="JI2" s="69" t="s">
        <v>15</v>
      </c>
      <c r="JJ2" s="69"/>
      <c r="JK2" s="69"/>
      <c r="JL2" s="69"/>
      <c r="JM2" s="69"/>
      <c r="JN2" s="69" t="s">
        <v>16</v>
      </c>
      <c r="JO2" s="69"/>
      <c r="JP2" s="69"/>
      <c r="JQ2" s="69"/>
      <c r="JR2" s="69"/>
      <c r="JS2" s="69" t="s">
        <v>19</v>
      </c>
      <c r="JT2" s="69"/>
      <c r="JU2" s="69"/>
      <c r="JV2" s="69"/>
      <c r="JW2" s="69"/>
      <c r="JX2" s="16" t="s">
        <v>50</v>
      </c>
      <c r="JY2" s="6" t="s">
        <v>17</v>
      </c>
      <c r="JZ2" s="6" t="s">
        <v>18</v>
      </c>
      <c r="KA2" s="6" t="s">
        <v>20</v>
      </c>
      <c r="KB2" s="6" t="s">
        <v>56</v>
      </c>
      <c r="KC2" s="6" t="s">
        <v>19</v>
      </c>
      <c r="KD2" s="6" t="s">
        <v>14</v>
      </c>
      <c r="KE2" s="70" t="s">
        <v>15</v>
      </c>
      <c r="KF2" s="70"/>
      <c r="KG2" s="70"/>
      <c r="KH2" s="70"/>
      <c r="KI2" s="70"/>
      <c r="KJ2" s="70" t="s">
        <v>16</v>
      </c>
      <c r="KK2" s="70"/>
      <c r="KL2" s="70"/>
      <c r="KM2" s="70"/>
      <c r="KN2" s="70"/>
      <c r="KO2" s="70" t="s">
        <v>19</v>
      </c>
      <c r="KP2" s="70"/>
      <c r="KQ2" s="70"/>
      <c r="KR2" s="70"/>
      <c r="KS2" s="70"/>
      <c r="KT2" s="17" t="s">
        <v>50</v>
      </c>
      <c r="KU2" s="8" t="s">
        <v>17</v>
      </c>
      <c r="KV2" s="8" t="s">
        <v>18</v>
      </c>
      <c r="KW2" s="8" t="s">
        <v>20</v>
      </c>
      <c r="KX2" s="8" t="s">
        <v>56</v>
      </c>
      <c r="KY2" s="8" t="s">
        <v>19</v>
      </c>
      <c r="KZ2" s="8" t="s">
        <v>14</v>
      </c>
      <c r="LA2" s="69" t="s">
        <v>15</v>
      </c>
      <c r="LB2" s="69"/>
      <c r="LC2" s="69"/>
      <c r="LD2" s="69"/>
      <c r="LE2" s="69"/>
      <c r="LF2" s="69" t="s">
        <v>16</v>
      </c>
      <c r="LG2" s="69"/>
      <c r="LH2" s="69"/>
      <c r="LI2" s="69"/>
      <c r="LJ2" s="69"/>
      <c r="LK2" s="69" t="s">
        <v>19</v>
      </c>
      <c r="LL2" s="69"/>
      <c r="LM2" s="69"/>
      <c r="LN2" s="69"/>
      <c r="LO2" s="69"/>
      <c r="LP2" s="16" t="s">
        <v>50</v>
      </c>
      <c r="LQ2" s="6" t="s">
        <v>17</v>
      </c>
      <c r="LR2" s="6" t="s">
        <v>18</v>
      </c>
      <c r="LS2" s="6" t="s">
        <v>20</v>
      </c>
      <c r="LT2" s="6" t="s">
        <v>56</v>
      </c>
      <c r="LU2" s="6" t="s">
        <v>19</v>
      </c>
      <c r="LV2" s="6" t="s">
        <v>14</v>
      </c>
      <c r="LW2" s="70" t="s">
        <v>15</v>
      </c>
      <c r="LX2" s="70"/>
      <c r="LY2" s="70"/>
      <c r="LZ2" s="70"/>
      <c r="MA2" s="70"/>
      <c r="MB2" s="70" t="s">
        <v>16</v>
      </c>
      <c r="MC2" s="70"/>
      <c r="MD2" s="70"/>
      <c r="ME2" s="70"/>
      <c r="MF2" s="70"/>
      <c r="MG2" s="70" t="s">
        <v>19</v>
      </c>
      <c r="MH2" s="70"/>
      <c r="MI2" s="70"/>
      <c r="MJ2" s="70"/>
      <c r="MK2" s="70"/>
      <c r="ML2" s="17" t="s">
        <v>50</v>
      </c>
      <c r="MM2" s="8" t="s">
        <v>17</v>
      </c>
      <c r="MN2" s="8" t="s">
        <v>18</v>
      </c>
      <c r="MO2" s="8" t="s">
        <v>20</v>
      </c>
      <c r="MP2" s="8" t="s">
        <v>56</v>
      </c>
      <c r="MQ2" s="8" t="s">
        <v>19</v>
      </c>
      <c r="MR2" s="8" t="s">
        <v>14</v>
      </c>
      <c r="MS2" s="69" t="s">
        <v>15</v>
      </c>
      <c r="MT2" s="69"/>
      <c r="MU2" s="69"/>
      <c r="MV2" s="69"/>
      <c r="MW2" s="69"/>
      <c r="MX2" s="69" t="s">
        <v>16</v>
      </c>
      <c r="MY2" s="69"/>
      <c r="MZ2" s="69"/>
      <c r="NA2" s="69"/>
      <c r="NB2" s="69"/>
      <c r="NC2" s="69" t="s">
        <v>19</v>
      </c>
      <c r="ND2" s="69"/>
      <c r="NE2" s="69"/>
      <c r="NF2" s="69"/>
      <c r="NG2" s="69"/>
      <c r="NH2" s="16"/>
      <c r="NI2" s="6" t="s">
        <v>17</v>
      </c>
      <c r="NJ2" s="6" t="s">
        <v>60</v>
      </c>
      <c r="NK2" s="6" t="s">
        <v>18</v>
      </c>
      <c r="NL2" s="6" t="s">
        <v>20</v>
      </c>
      <c r="NM2" s="6" t="s">
        <v>56</v>
      </c>
      <c r="NN2" s="6" t="s">
        <v>19</v>
      </c>
      <c r="NO2" s="6" t="s">
        <v>14</v>
      </c>
    </row>
    <row r="3" spans="1:379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43</v>
      </c>
      <c r="AJ3" s="6"/>
      <c r="AK3" s="6"/>
      <c r="AL3" s="6"/>
      <c r="AM3" s="6"/>
      <c r="AN3" s="6"/>
      <c r="AO3" s="6"/>
      <c r="AP3" s="6"/>
      <c r="AQ3" s="17" t="s">
        <v>11</v>
      </c>
      <c r="AR3" s="17" t="s">
        <v>12</v>
      </c>
      <c r="AS3" s="17" t="s">
        <v>4</v>
      </c>
      <c r="AT3" s="17" t="s">
        <v>13</v>
      </c>
      <c r="AU3" s="17" t="s">
        <v>22</v>
      </c>
      <c r="AV3" s="17" t="s">
        <v>11</v>
      </c>
      <c r="AW3" s="17" t="s">
        <v>12</v>
      </c>
      <c r="AX3" s="17" t="s">
        <v>4</v>
      </c>
      <c r="AY3" s="17" t="s">
        <v>13</v>
      </c>
      <c r="AZ3" s="17" t="s">
        <v>22</v>
      </c>
      <c r="BA3" s="17" t="s">
        <v>11</v>
      </c>
      <c r="BB3" s="17" t="s">
        <v>12</v>
      </c>
      <c r="BC3" s="17" t="s">
        <v>4</v>
      </c>
      <c r="BD3" s="17" t="s">
        <v>13</v>
      </c>
      <c r="BE3" s="17" t="s">
        <v>22</v>
      </c>
      <c r="BF3" s="17" t="s">
        <v>43</v>
      </c>
      <c r="BG3" s="8"/>
      <c r="BH3" s="8"/>
      <c r="BI3" s="8"/>
      <c r="BJ3" s="8"/>
      <c r="BK3" s="8"/>
      <c r="BL3" s="8"/>
      <c r="BM3" s="8"/>
      <c r="BN3" s="16" t="s">
        <v>11</v>
      </c>
      <c r="BO3" s="16" t="s">
        <v>12</v>
      </c>
      <c r="BP3" s="16" t="s">
        <v>4</v>
      </c>
      <c r="BQ3" s="16" t="s">
        <v>13</v>
      </c>
      <c r="BR3" s="16" t="s">
        <v>22</v>
      </c>
      <c r="BS3" s="16" t="s">
        <v>11</v>
      </c>
      <c r="BT3" s="16" t="s">
        <v>12</v>
      </c>
      <c r="BU3" s="16" t="s">
        <v>4</v>
      </c>
      <c r="BV3" s="16" t="s">
        <v>13</v>
      </c>
      <c r="BW3" s="16" t="s">
        <v>22</v>
      </c>
      <c r="BX3" s="16" t="s">
        <v>11</v>
      </c>
      <c r="BY3" s="16" t="s">
        <v>12</v>
      </c>
      <c r="BZ3" s="16" t="s">
        <v>4</v>
      </c>
      <c r="CA3" s="16" t="s">
        <v>13</v>
      </c>
      <c r="CB3" s="16" t="s">
        <v>22</v>
      </c>
      <c r="CC3" s="16" t="s">
        <v>43</v>
      </c>
      <c r="CD3" s="6"/>
      <c r="CE3" s="6"/>
      <c r="CF3" s="6"/>
      <c r="CG3" s="6"/>
      <c r="CH3" s="6"/>
      <c r="CI3" s="6"/>
      <c r="CJ3" s="6"/>
      <c r="CK3" s="12"/>
      <c r="CL3" s="12"/>
      <c r="CM3" s="12"/>
      <c r="CN3" s="12"/>
      <c r="CO3" s="16" t="s">
        <v>11</v>
      </c>
      <c r="CP3" s="16" t="s">
        <v>12</v>
      </c>
      <c r="CQ3" s="16" t="s">
        <v>4</v>
      </c>
      <c r="CR3" s="16" t="s">
        <v>13</v>
      </c>
      <c r="CS3" s="16" t="s">
        <v>22</v>
      </c>
      <c r="CT3" s="16" t="s">
        <v>11</v>
      </c>
      <c r="CU3" s="16" t="s">
        <v>12</v>
      </c>
      <c r="CV3" s="16" t="s">
        <v>4</v>
      </c>
      <c r="CW3" s="16" t="s">
        <v>13</v>
      </c>
      <c r="CX3" s="16" t="s">
        <v>22</v>
      </c>
      <c r="CY3" s="16" t="s">
        <v>11</v>
      </c>
      <c r="CZ3" s="16" t="s">
        <v>12</v>
      </c>
      <c r="DA3" s="16" t="s">
        <v>4</v>
      </c>
      <c r="DB3" s="16" t="s">
        <v>13</v>
      </c>
      <c r="DC3" s="16" t="s">
        <v>22</v>
      </c>
      <c r="DD3" s="6"/>
      <c r="DE3" s="6"/>
      <c r="DF3" s="6"/>
      <c r="DG3" s="6"/>
      <c r="DH3" s="6"/>
      <c r="DI3" s="6"/>
      <c r="DJ3" s="6"/>
      <c r="DK3" s="17" t="s">
        <v>11</v>
      </c>
      <c r="DL3" s="17" t="s">
        <v>12</v>
      </c>
      <c r="DM3" s="17" t="s">
        <v>4</v>
      </c>
      <c r="DN3" s="17" t="s">
        <v>13</v>
      </c>
      <c r="DO3" s="17" t="s">
        <v>22</v>
      </c>
      <c r="DP3" s="17" t="s">
        <v>11</v>
      </c>
      <c r="DQ3" s="17" t="s">
        <v>12</v>
      </c>
      <c r="DR3" s="17" t="s">
        <v>4</v>
      </c>
      <c r="DS3" s="17" t="s">
        <v>13</v>
      </c>
      <c r="DT3" s="17" t="s">
        <v>22</v>
      </c>
      <c r="DU3" s="17" t="s">
        <v>11</v>
      </c>
      <c r="DV3" s="17" t="s">
        <v>12</v>
      </c>
      <c r="DW3" s="17" t="s">
        <v>4</v>
      </c>
      <c r="DX3" s="17" t="s">
        <v>13</v>
      </c>
      <c r="DY3" s="21" t="s">
        <v>22</v>
      </c>
      <c r="DZ3" s="8"/>
      <c r="EA3" s="8"/>
      <c r="EB3" s="8"/>
      <c r="EC3" s="8"/>
      <c r="ED3" s="8"/>
      <c r="EE3" s="8"/>
      <c r="EF3" s="8"/>
      <c r="EG3" s="16" t="s">
        <v>11</v>
      </c>
      <c r="EH3" s="16" t="s">
        <v>12</v>
      </c>
      <c r="EI3" s="16" t="s">
        <v>4</v>
      </c>
      <c r="EJ3" s="16" t="s">
        <v>13</v>
      </c>
      <c r="EK3" s="16" t="s">
        <v>22</v>
      </c>
      <c r="EL3" s="16" t="s">
        <v>11</v>
      </c>
      <c r="EM3" s="16" t="s">
        <v>12</v>
      </c>
      <c r="EN3" s="16" t="s">
        <v>4</v>
      </c>
      <c r="EO3" s="16" t="s">
        <v>13</v>
      </c>
      <c r="EP3" s="16" t="s">
        <v>22</v>
      </c>
      <c r="EQ3" s="16" t="s">
        <v>11</v>
      </c>
      <c r="ER3" s="16" t="s">
        <v>12</v>
      </c>
      <c r="ES3" s="16" t="s">
        <v>4</v>
      </c>
      <c r="ET3" s="16" t="s">
        <v>13</v>
      </c>
      <c r="EU3" s="16" t="s">
        <v>22</v>
      </c>
      <c r="EV3" s="6"/>
      <c r="EW3" s="6"/>
      <c r="EX3" s="6"/>
      <c r="EY3" s="6"/>
      <c r="EZ3" s="6"/>
      <c r="FA3" s="6"/>
      <c r="FB3" s="6"/>
      <c r="FC3" s="17" t="s">
        <v>11</v>
      </c>
      <c r="FD3" s="17" t="s">
        <v>12</v>
      </c>
      <c r="FE3" s="17" t="s">
        <v>4</v>
      </c>
      <c r="FF3" s="17" t="s">
        <v>13</v>
      </c>
      <c r="FG3" s="17" t="s">
        <v>22</v>
      </c>
      <c r="FH3" s="17" t="s">
        <v>11</v>
      </c>
      <c r="FI3" s="17" t="s">
        <v>12</v>
      </c>
      <c r="FJ3" s="17" t="s">
        <v>4</v>
      </c>
      <c r="FK3" s="17" t="s">
        <v>13</v>
      </c>
      <c r="FL3" s="17" t="s">
        <v>22</v>
      </c>
      <c r="FM3" s="17" t="s">
        <v>11</v>
      </c>
      <c r="FN3" s="17" t="s">
        <v>12</v>
      </c>
      <c r="FO3" s="17" t="s">
        <v>4</v>
      </c>
      <c r="FP3" s="17" t="s">
        <v>13</v>
      </c>
      <c r="FQ3" s="17" t="s">
        <v>22</v>
      </c>
      <c r="FR3" s="8"/>
      <c r="FS3" s="8"/>
      <c r="FT3" s="8"/>
      <c r="FU3" s="8"/>
      <c r="FV3" s="8"/>
      <c r="FW3" s="8"/>
      <c r="FX3" s="8"/>
      <c r="FY3" s="16" t="s">
        <v>11</v>
      </c>
      <c r="FZ3" s="16" t="s">
        <v>12</v>
      </c>
      <c r="GA3" s="16" t="s">
        <v>4</v>
      </c>
      <c r="GB3" s="16" t="s">
        <v>13</v>
      </c>
      <c r="GC3" s="16" t="s">
        <v>22</v>
      </c>
      <c r="GD3" s="16" t="s">
        <v>11</v>
      </c>
      <c r="GE3" s="16" t="s">
        <v>12</v>
      </c>
      <c r="GF3" s="16" t="s">
        <v>4</v>
      </c>
      <c r="GG3" s="16" t="s">
        <v>13</v>
      </c>
      <c r="GH3" s="16" t="s">
        <v>22</v>
      </c>
      <c r="GI3" s="16" t="s">
        <v>11</v>
      </c>
      <c r="GJ3" s="16" t="s">
        <v>12</v>
      </c>
      <c r="GK3" s="16" t="s">
        <v>4</v>
      </c>
      <c r="GL3" s="16" t="s">
        <v>13</v>
      </c>
      <c r="GM3" s="16" t="s">
        <v>22</v>
      </c>
      <c r="GN3" s="6"/>
      <c r="GO3" s="6"/>
      <c r="GP3" s="6"/>
      <c r="GQ3" s="6"/>
      <c r="GR3" s="6"/>
      <c r="GS3" s="6"/>
      <c r="GT3" s="6"/>
      <c r="GU3" s="17" t="s">
        <v>11</v>
      </c>
      <c r="GV3" s="17" t="s">
        <v>12</v>
      </c>
      <c r="GW3" s="17" t="s">
        <v>4</v>
      </c>
      <c r="GX3" s="17" t="s">
        <v>13</v>
      </c>
      <c r="GY3" s="17" t="s">
        <v>22</v>
      </c>
      <c r="GZ3" s="17" t="s">
        <v>11</v>
      </c>
      <c r="HA3" s="17" t="s">
        <v>12</v>
      </c>
      <c r="HB3" s="17" t="s">
        <v>4</v>
      </c>
      <c r="HC3" s="17" t="s">
        <v>13</v>
      </c>
      <c r="HD3" s="17" t="s">
        <v>22</v>
      </c>
      <c r="HE3" s="17" t="s">
        <v>11</v>
      </c>
      <c r="HF3" s="17" t="s">
        <v>12</v>
      </c>
      <c r="HG3" s="17" t="s">
        <v>4</v>
      </c>
      <c r="HH3" s="17" t="s">
        <v>13</v>
      </c>
      <c r="HI3" s="17" t="s">
        <v>22</v>
      </c>
      <c r="HJ3" s="8"/>
      <c r="HK3" s="8"/>
      <c r="HL3" s="8"/>
      <c r="HM3" s="8"/>
      <c r="HN3" s="8"/>
      <c r="HO3" s="8"/>
      <c r="HP3" s="8"/>
      <c r="HQ3" s="16" t="s">
        <v>11</v>
      </c>
      <c r="HR3" s="16" t="s">
        <v>12</v>
      </c>
      <c r="HS3" s="16" t="s">
        <v>4</v>
      </c>
      <c r="HT3" s="16" t="s">
        <v>13</v>
      </c>
      <c r="HU3" s="16" t="s">
        <v>22</v>
      </c>
      <c r="HV3" s="16" t="s">
        <v>11</v>
      </c>
      <c r="HW3" s="16" t="s">
        <v>12</v>
      </c>
      <c r="HX3" s="16" t="s">
        <v>4</v>
      </c>
      <c r="HY3" s="16" t="s">
        <v>13</v>
      </c>
      <c r="HZ3" s="16" t="s">
        <v>22</v>
      </c>
      <c r="IA3" s="16" t="s">
        <v>11</v>
      </c>
      <c r="IB3" s="16" t="s">
        <v>12</v>
      </c>
      <c r="IC3" s="16" t="s">
        <v>4</v>
      </c>
      <c r="ID3" s="16" t="s">
        <v>13</v>
      </c>
      <c r="IE3" s="16" t="s">
        <v>22</v>
      </c>
      <c r="IF3" s="6"/>
      <c r="IG3" s="6"/>
      <c r="IH3" s="6"/>
      <c r="II3" s="6"/>
      <c r="IJ3" s="6"/>
      <c r="IK3" s="6"/>
      <c r="IL3" s="6"/>
      <c r="IM3" s="17" t="s">
        <v>11</v>
      </c>
      <c r="IN3" s="17" t="s">
        <v>12</v>
      </c>
      <c r="IO3" s="17" t="s">
        <v>4</v>
      </c>
      <c r="IP3" s="17" t="s">
        <v>13</v>
      </c>
      <c r="IQ3" s="17" t="s">
        <v>22</v>
      </c>
      <c r="IR3" s="17" t="s">
        <v>11</v>
      </c>
      <c r="IS3" s="17" t="s">
        <v>12</v>
      </c>
      <c r="IT3" s="17" t="s">
        <v>4</v>
      </c>
      <c r="IU3" s="17" t="s">
        <v>13</v>
      </c>
      <c r="IV3" s="17" t="s">
        <v>22</v>
      </c>
      <c r="IW3" s="17" t="s">
        <v>11</v>
      </c>
      <c r="IX3" s="17" t="s">
        <v>12</v>
      </c>
      <c r="IY3" s="17" t="s">
        <v>4</v>
      </c>
      <c r="IZ3" s="17" t="s">
        <v>13</v>
      </c>
      <c r="JA3" s="17" t="s">
        <v>22</v>
      </c>
      <c r="JB3" s="8"/>
      <c r="JC3" s="8"/>
      <c r="JD3" s="8"/>
      <c r="JE3" s="8"/>
      <c r="JF3" s="8"/>
      <c r="JG3" s="8"/>
      <c r="JH3" s="8"/>
      <c r="JI3" s="16" t="s">
        <v>11</v>
      </c>
      <c r="JJ3" s="16" t="s">
        <v>12</v>
      </c>
      <c r="JK3" s="16" t="s">
        <v>4</v>
      </c>
      <c r="JL3" s="16" t="s">
        <v>13</v>
      </c>
      <c r="JM3" s="16" t="s">
        <v>22</v>
      </c>
      <c r="JN3" s="16" t="s">
        <v>11</v>
      </c>
      <c r="JO3" s="16" t="s">
        <v>12</v>
      </c>
      <c r="JP3" s="16" t="s">
        <v>4</v>
      </c>
      <c r="JQ3" s="16" t="s">
        <v>13</v>
      </c>
      <c r="JR3" s="16" t="s">
        <v>22</v>
      </c>
      <c r="JS3" s="16" t="s">
        <v>11</v>
      </c>
      <c r="JT3" s="16" t="s">
        <v>12</v>
      </c>
      <c r="JU3" s="16" t="s">
        <v>4</v>
      </c>
      <c r="JV3" s="16" t="s">
        <v>13</v>
      </c>
      <c r="JW3" s="16" t="s">
        <v>22</v>
      </c>
      <c r="JX3" s="6"/>
      <c r="JY3" s="6"/>
      <c r="JZ3" s="6"/>
      <c r="KA3" s="6"/>
      <c r="KB3" s="6"/>
      <c r="KC3" s="6"/>
      <c r="KD3" s="6"/>
      <c r="KE3" s="17" t="s">
        <v>11</v>
      </c>
      <c r="KF3" s="17" t="s">
        <v>12</v>
      </c>
      <c r="KG3" s="17" t="s">
        <v>4</v>
      </c>
      <c r="KH3" s="17" t="s">
        <v>13</v>
      </c>
      <c r="KI3" s="17" t="s">
        <v>22</v>
      </c>
      <c r="KJ3" s="17" t="s">
        <v>11</v>
      </c>
      <c r="KK3" s="17" t="s">
        <v>12</v>
      </c>
      <c r="KL3" s="17" t="s">
        <v>4</v>
      </c>
      <c r="KM3" s="17" t="s">
        <v>13</v>
      </c>
      <c r="KN3" s="17" t="s">
        <v>22</v>
      </c>
      <c r="KO3" s="17" t="s">
        <v>11</v>
      </c>
      <c r="KP3" s="17" t="s">
        <v>12</v>
      </c>
      <c r="KQ3" s="17" t="s">
        <v>4</v>
      </c>
      <c r="KR3" s="17" t="s">
        <v>13</v>
      </c>
      <c r="KS3" s="17" t="s">
        <v>22</v>
      </c>
      <c r="KT3" s="8"/>
      <c r="KU3" s="8"/>
      <c r="KV3" s="8"/>
      <c r="KW3" s="8"/>
      <c r="KX3" s="8"/>
      <c r="KY3" s="8"/>
      <c r="KZ3" s="8"/>
      <c r="LA3" s="16" t="s">
        <v>11</v>
      </c>
      <c r="LB3" s="16" t="s">
        <v>12</v>
      </c>
      <c r="LC3" s="16" t="s">
        <v>4</v>
      </c>
      <c r="LD3" s="16" t="s">
        <v>13</v>
      </c>
      <c r="LE3" s="16" t="s">
        <v>22</v>
      </c>
      <c r="LF3" s="16" t="s">
        <v>11</v>
      </c>
      <c r="LG3" s="16" t="s">
        <v>12</v>
      </c>
      <c r="LH3" s="16" t="s">
        <v>4</v>
      </c>
      <c r="LI3" s="16" t="s">
        <v>13</v>
      </c>
      <c r="LJ3" s="16" t="s">
        <v>22</v>
      </c>
      <c r="LK3" s="16" t="s">
        <v>11</v>
      </c>
      <c r="LL3" s="16" t="s">
        <v>12</v>
      </c>
      <c r="LM3" s="16" t="s">
        <v>4</v>
      </c>
      <c r="LN3" s="16" t="s">
        <v>13</v>
      </c>
      <c r="LO3" s="16" t="s">
        <v>22</v>
      </c>
      <c r="LP3" s="6"/>
      <c r="LQ3" s="6"/>
      <c r="LR3" s="6"/>
      <c r="LS3" s="6"/>
      <c r="LT3" s="6"/>
      <c r="LU3" s="6"/>
      <c r="LV3" s="6"/>
      <c r="LW3" s="17" t="s">
        <v>11</v>
      </c>
      <c r="LX3" s="17" t="s">
        <v>12</v>
      </c>
      <c r="LY3" s="17" t="s">
        <v>4</v>
      </c>
      <c r="LZ3" s="17" t="s">
        <v>13</v>
      </c>
      <c r="MA3" s="17" t="s">
        <v>22</v>
      </c>
      <c r="MB3" s="17" t="s">
        <v>11</v>
      </c>
      <c r="MC3" s="17" t="s">
        <v>12</v>
      </c>
      <c r="MD3" s="17" t="s">
        <v>4</v>
      </c>
      <c r="ME3" s="17" t="s">
        <v>13</v>
      </c>
      <c r="MF3" s="17" t="s">
        <v>22</v>
      </c>
      <c r="MG3" s="17" t="s">
        <v>11</v>
      </c>
      <c r="MH3" s="17" t="s">
        <v>12</v>
      </c>
      <c r="MI3" s="17" t="s">
        <v>4</v>
      </c>
      <c r="MJ3" s="17" t="s">
        <v>13</v>
      </c>
      <c r="MK3" s="17" t="s">
        <v>22</v>
      </c>
      <c r="ML3" s="8"/>
      <c r="MM3" s="8"/>
      <c r="MN3" s="8"/>
      <c r="MO3" s="8"/>
      <c r="MP3" s="8"/>
      <c r="MQ3" s="8"/>
      <c r="MR3" s="8"/>
      <c r="MS3" s="16" t="s">
        <v>11</v>
      </c>
      <c r="MT3" s="16" t="s">
        <v>12</v>
      </c>
      <c r="MU3" s="16" t="s">
        <v>4</v>
      </c>
      <c r="MV3" s="16" t="s">
        <v>13</v>
      </c>
      <c r="MW3" s="16" t="s">
        <v>22</v>
      </c>
      <c r="MX3" s="16" t="s">
        <v>11</v>
      </c>
      <c r="MY3" s="16" t="s">
        <v>12</v>
      </c>
      <c r="MZ3" s="16" t="s">
        <v>4</v>
      </c>
      <c r="NA3" s="16" t="s">
        <v>13</v>
      </c>
      <c r="NB3" s="16" t="s">
        <v>22</v>
      </c>
      <c r="NC3" s="16" t="s">
        <v>11</v>
      </c>
      <c r="ND3" s="16" t="s">
        <v>12</v>
      </c>
      <c r="NE3" s="16" t="s">
        <v>4</v>
      </c>
      <c r="NF3" s="16" t="s">
        <v>13</v>
      </c>
      <c r="NG3" s="16" t="s">
        <v>22</v>
      </c>
      <c r="NH3" s="16" t="s">
        <v>43</v>
      </c>
      <c r="NI3" s="6"/>
      <c r="NJ3" s="6"/>
      <c r="NK3" s="6"/>
      <c r="NL3" s="6"/>
      <c r="NM3" s="6"/>
      <c r="NN3" s="6"/>
      <c r="NO3" s="6"/>
    </row>
    <row r="4" spans="1:37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80</v>
      </c>
      <c r="C4" s="4" t="s">
        <v>62</v>
      </c>
      <c r="D4" s="4">
        <v>2010</v>
      </c>
      <c r="E4" s="10">
        <f>SUM(I4:Q4)</f>
        <v>229.51999999999998</v>
      </c>
      <c r="F4" s="3" t="str">
        <f>IF(OR(AND(AK4&gt;=AP$8,AM4&gt;=AP$12,AJ4&lt;&gt;"",AI4=""),AND(BH4&gt;=BM$8,BJ4&gt;=BM$12,BG4&lt;&gt;"",BF4=""),AND(CE4&gt;=CJ$8,CG4&gt;=CJ$12,CD4&lt;&gt;"",CC4=""),AND(DD4&gt;=DJ$8,DG4&gt;=DJ$12,DD4&lt;&gt;""),AND(DZ4&gt;=EF$8,EC4&gt;=EF$12,DZ4&lt;&gt;""),AND(EV4&gt;=FB$8,EY4&gt;=FB$12,EV4&lt;&gt;""),AND(FR4&gt;=FX$8,FU4&gt;=FX$12,FR4&lt;&gt;""),AND(GN4&gt;=GT$8,GQ4&gt;=GT$12,GN4&lt;&gt;""),AND(HJ4&gt;=HP$8,HM4&gt;=HP$12,HJ4&lt;&gt;""),AND(IF4&gt;=IL$8,II4&gt;=IL$12,IF4&lt;&gt;""),AND(JB4&gt;=JH$8,JE4&gt;=JH$12,JB4&lt;&gt;""),AND(JX4&gt;=KD$8,KA4&gt;=KD$12,JX4&lt;&gt;""),AND(KT4&gt;=KZ$8,KW4&gt;=KZ$12,KT4&lt;&gt;""),AND(LP4&gt;=LV$8,LS4&gt;=LV$12,LP4&lt;&gt;""),AND(ML4&gt;=MR$8,MO4&gt;=MR$12,ML4&lt;&gt;"")),"P","")</f>
        <v/>
      </c>
      <c r="G4" s="3" t="str">
        <f>IF(OR(AND(AM4&gt;=AP$12,AJ4&lt;&gt;"",AI4=""),AND(BJ4&gt;=BM$12,BG4&lt;&gt;"",BF4=""),AND(CG4&gt;=CJ$12,CD4&lt;&gt;"",CC4=""),AND(DG4&gt;=DJ$12,DD4&lt;&gt;""),AND(EC4&gt;=EF$12,DZ4&lt;&gt;""),AND(EY4&gt;=FB$12,EV4&lt;&gt;""),AND(FU4&gt;=FX$12,FR4&lt;&gt;""),AND(GQ4&gt;=GT$12,GN4&lt;&gt;""),AND(HM4&gt;=HP$12,HJ4&lt;&gt;""),AND(II4&gt;=IL$12,IF4&lt;&gt;""),AND(JE4&gt;=JH$12,JB4&lt;&gt;""),AND(KA4&gt;=KD$12,JX4&lt;&gt;""),AND(KW4&gt;=KZ$12,KT4&lt;&gt;""),AND(LS4&gt;=LV$12,LP4&lt;&gt;""),AND(MO4&gt;=MR$12,ML4&lt;&gt;"")),"P","")</f>
        <v/>
      </c>
      <c r="H4" s="47" t="str">
        <f>IF(OR(AND(AK4&gt;=AP$11,AL4&gt;=AP$15,AK4&lt;&gt;"",AI4=""),AND(AN4&gt;=AP$11,AO4&gt;=AP$15,AN4&lt;&gt;"",AI4=""),AND(BH4&gt;=BM$11,BI4&gt;=BM$15,BH4&lt;&gt;"",BF4=""),AND(BK4&gt;=BM$11,BL4&gt;=BM$15,BK4&lt;&gt;"",BF4=""),AND(CE4&gt;=CJ$11,CF4&gt;=CJ$15,CE4&lt;&gt;"",CC4=""),AND(CH4&gt;=CJ$11,CI4&gt;=CJ$15,CH4&lt;&gt;"",CC4=""),AND(DD4&gt;=DJ$11,DF4&gt;=DJ$15,DD4&lt;&gt;""),AND(DH4&gt;=DJ$11,DI4&gt;=DJ$15,DH4&lt;&gt;""),AND(DZ4&gt;=EF$11,EB4&gt;=EF$15,DZ4&lt;&gt;""),AND(ED4&gt;=EF$11,EE4&gt;=EF$15,ED4&lt;&gt;""),AND(EV4&gt;=FB$11,EX4&gt;=FB$15,EV4&lt;&gt;""),AND(EZ4&gt;=FB$11,FA4&gt;=FB$15,EZ4&lt;&gt;""),AND(FR4&gt;=FX$11,FT4&gt;=FX$15,FR4&lt;&gt;""),AND(FV4&gt;=FX$11,FW4&gt;=FX$15,FV4&lt;&gt;""),AND(GN4&gt;=GT$11,GP4&gt;=GT$15,GN4&lt;&gt;""),AND(GR4&gt;=GT$11,GS4&gt;=GT$15,GR4&lt;&gt;""),AND(HJ4&gt;=HP$11,HL4&gt;=HP$15,HJ4&lt;&gt;""),AND(HN4&gt;=HP$11,HO4&gt;=HP$15,HN4&lt;&gt;""),AND(IF4&gt;=IL$11,IH4&gt;=IL$15,IF4&lt;&gt;""),AND(IJ4&gt;=IL$11,IK4&gt;=IL$15,IJ4&lt;&gt;""),AND(JB4&gt;=JH$11,JD4&gt;=JH$15,JB4&lt;&gt;""),AND(JF4&gt;=JH$11,JG4&gt;=JH$15,JF4&lt;&gt;""),AND(JX4&gt;=KD$11,JZ4&gt;=KD$15,JX4&lt;&gt;""),AND(KB4&gt;=KD$11,KC4&gt;=KD$15,KB4&lt;&gt;""),AND(KT4&gt;=KZ$11,KV4&gt;=KZ$15,KT4&lt;&gt;""),AND(KX4&gt;=KZ$11,KY4&gt;=KZ$15,KX4&lt;&gt;""),AND(LP4&gt;=LV$11,LR4&gt;=LV$15,LP4&lt;&gt;""),AND(LT4&gt;=LV$11,LU4&gt;=LV$15,LT4&lt;&gt;""),AND(ML4&gt;=MR$11,MN4&gt;=MR$15,ML4&lt;&gt;""),AND(MP4&gt;=MR$11,MQ4&gt;=MR$15,MP4&lt;&gt;"")),"Merit",IF(OR(AND(AK4&gt;=AP$10,AM4&gt;=AP$14,AJ4&lt;&gt;"",AI4=""),AND(BH4&gt;=BM$10,BJ4&gt;=BM$14,BG4&lt;&gt;"",BF4=""),AND(CE4&gt;=CJ$10,CG4&gt;=CJ$14,CD4&lt;&gt;"",CC4=""),AND(DD4&gt;=DJ$10,DG4&gt;=DJ$14,DD4&lt;&gt;""),AND(DZ4&gt;=EF$10,EC4&gt;=EF$14,DZ4&lt;&gt;""),AND(EV4&gt;=FB$10,EY4&gt;=FB$14,EV4&lt;&gt;""),AND(FR4&gt;=FX$10,FU4&gt;=FX$14,FR4&lt;&gt;""),AND(GN4&gt;=GT$10,GQ4&gt;=GT$14,GN4&lt;&gt;""),AND(HJ4&gt;=HP$10,HM4&gt;=HP$14,HJ4&lt;&gt;""),AND(IF4&gt;=IL$10,II4&gt;=IL$14,IF4&lt;&gt;""),AND(JB4&gt;=JH$10,JE4&gt;=JH$14,JB4&lt;&gt;""),AND(JX4&gt;=KD$10,KA4&gt;=KD$14,JX4&lt;&gt;""),AND(KT4&gt;=KZ$10,KW4&gt;=KZ$14,KT4&lt;&gt;""),AND(LP4&gt;=LV$10,LS4&gt;=LV$14,LP4&lt;&gt;""),AND(ML4&gt;=MR$10,MO4&gt;=MR$14,ML4&lt;&gt;"")),"Excellence",IF(OR(AND(AK4&gt;=AP$8,AM4&gt;=AP$12,AJ4&lt;&gt;"",AI4=""),AND(BH4&gt;=BM$8,BJ4&gt;=BM$12,BG4&lt;&gt;"",BF4=""),AND(CE4&gt;=CJ$8,CG4&gt;=CJ$12,CD4&lt;&gt;"",CC4=""),AND(DD4&gt;=DJ$8,DG4&gt;=DJ$12,DD4&lt;&gt;""),AND(DZ4&gt;=EF$8,EC4&gt;=EF$12,DZ4&lt;&gt;""),AND(EV4&gt;=FB$8,EY4&gt;=FB$12,EV4&lt;&gt;""),AND(FR4&gt;=FX$8,FU4&gt;=FX$12,FR4&lt;&gt;""),AND(GN4&gt;=GT$8,GQ4&gt;=GT$12,GN4&lt;&gt;""),AND(HJ4&gt;=HP$8,HM4&gt;=HP$12,HJ4&lt;&gt;""),AND(IF4&gt;=IL$8,II4&gt;=IL$12,IF4&lt;&gt;""),AND(JB4&gt;=JH$8,JE4&gt;=JH$12,JB4&lt;&gt;""),AND(JX4&gt;=KD$8,KA4&gt;=KD$12,JX4&lt;&gt;""),AND(KT4&gt;=KZ$8,KW4&gt;=KZ$12,KT4&lt;&gt;""),AND(LP4&gt;=LV$8,LS4&gt;=LV$12,LP4&lt;&gt;""),AND(ML4&gt;=MR$8,MO4&gt;=MR$12,ML4&lt;&gt;"")),"National Team",IF(G4="P","No DD",""))))</f>
        <v/>
      </c>
      <c r="I4" s="9">
        <f>IF(MAX(AM4,BJ4,CG4)&gt;0,MAX(AM4,BJ4,CG4),0)</f>
        <v>89.67</v>
      </c>
      <c r="J4" s="9" t="str">
        <f>IF(I4=0,"",IF(I4=CG4,$BN$1,IF(I4=BJ4,$AQ$1,IF(I4=AM4,$T$1,""))))</f>
        <v>2025 3rd Domestic Trial</v>
      </c>
      <c r="K4" s="9">
        <f>IF($I4=$AM4,MAX(BG4,CD4),IF($I4=$BJ4,MAX(AJ4,CD4),IF($I4=$CG4,MAX(AJ4,BG4),MAX(AJ4,BG4,CD4))))</f>
        <v>40.019999999999996</v>
      </c>
      <c r="L4" s="9" t="str">
        <f>IF(K4=0,"",IF(AND(K4=CD4,$J4&lt;&gt;$BN$1),$BN$1,IF(AND(K4=BG4,$J4&lt;&gt;$AQ$1),$AQ$1,IF(AND(K4=AJ4,$J4&lt;&gt;$T$1),$T$1,""))))</f>
        <v>2025 Nationals</v>
      </c>
      <c r="M4" s="9">
        <f>IF(I4-N(AJ4)=AL4,MAX(BI4,CF4),IF(I4-N(BG4)=BI4,MAX(AL4,CF4),IF(I4-N(CD4)=CF4,MAX(AL4,BI4))))</f>
        <v>49.519999999999996</v>
      </c>
      <c r="N4" s="9" t="str">
        <f>IF(M4=0,"",IF(AND(OR(M4=CF4),$J4&lt;&gt;$BN$1),$BN$1,IF(AND(OR(M4=BI4),$J4&lt;&gt;$AQ$1),$AQ$1,IF(AND(OR(M4=AL4),$J4&lt;&gt;$T$1),$T$1,""))))</f>
        <v>2025 Nationals</v>
      </c>
      <c r="O4" s="9">
        <f>MAX(AO4,BL4,CI4)</f>
        <v>49.940000000000005</v>
      </c>
      <c r="P4" s="9" t="str">
        <f>IF(O4=0,"",IF(O4=CI4,$BN$1,IF(O4=BL4,$AQ$1,IF(O4=AO4,$T$1,""))))</f>
        <v>2025 3rd Domestic Trial</v>
      </c>
      <c r="Q4" s="9">
        <f>IF(MAX(CK4,CL4,CM4,CN4)&gt;0,MAX(CK4,CL4,CM4,CN4),"")</f>
        <v>0.37000000000000455</v>
      </c>
      <c r="R4" s="14" t="str">
        <f>IF(Q4="","",IF(Q4=CK4,"(Vol 1)",IF(Q4=CL4,"(Vol 2)",IF(Q4=CM4,"(Prelim)",IF(Q4=CN4,"(Final)")))))</f>
        <v>(Vol 1)</v>
      </c>
      <c r="S4" s="9" t="str">
        <f>IF(Q4="","",IF(Q4=CK4,IF(Q4+IF(K4="",0,K4)=MM4,$LW$1,IF(Q4+IF(K4="",0,K4)=LQ4,$LA$1,IF(Q4+IF(K4="",0,K4)=KU4,$KE$1,IF(Q4+IF(K4="",0,K4)=JY4,$JI$1,IF(Q4+IF(K4="",0,K4)=JC4,$IM$1,IF(Q4+IF(K4="",0,K4)=IG4,$HQ$1,IF(Q4+IF(K4="",0,K4)=HK4,$GU$1,IF(Q4+IF(K4="",0,K4)=GO4,$FY$1,IF(Q4+IF(K4="",0,K4)=FS4,$FC$1,IF(Q4+IF(K4="",0,K4)=EW4,$EG$1,IF(Q4+IF(K4="",0,K4)=EA4,$DK$1,IF(Q4+IF(K4="",0,K4)=DE4,$CO$1)))))))))))),IF(Q4=CL4,IF(Q4+IF(M4="",0,M4)=MN4,$LW$1,IF(Q4+IF(M4="",0,M4)=LR4,$LA$1,IF(Q4+IF(M4="",0,M4)=KV4,$KE$1,IF(Q4+IF(M4="",0,M4)=JZ4,$JI$1,IF(Q4+IF(M4="",0,M4)=JD4,$IM$1,IF(Q4+IF(M4="",0,M4)=IH4,$HQ$1,IF(Q4+IF(M4="",0,M4)=HL4,$GU$1,IF(Q4+IF(M4="",0,M4)=GP4,$FY$1,IF(Q4+IF(M4="",0,M4)=FT4,$FC$1,IF(Q4+IF(M4="",0,M4)=EX4,$EG$1,IF(Q4+IF(M4="",0,M4)=EB4,$DK$1,IF(Q4+IF(M4="",0,M4)=DF4,$CO$1)))))))))))),IF(Q4=CM4,IF(Q4+IF(I4="",0,I4)=MO4,$LW$1,IF(Q4+IF(I4="",0,I4)=LS4,$LA$1,IF(Q4+IF(I4="",0,I4)=KW4,$KE$1,IF(Q4+IF(I4="",0,I4)=KA4,$JI$1,IF(Q4+IF(I4="",0,I4)=JE4,$IM$1,IF(Q4+IF(I4="",0,I4)=II4,$HQ$1,IF(Q4+IF(I4="",0,I4)=HM4,$GU$1,IF(Q4+IF(I4="",0,I4)=GQ4,$FY$1,IF(Q4+IF(I4="",0,I4)=FU4,$FC$1,IF(Q4+IF(I4="",0,I4)=EY4,$EG$1,IF(Q4+IF(I4="",0,I4)=EC4,$DK$1,IF(Q4+IF(I4="",0,I4)=DG4,$CO$1)))))))))))),IF(Q4=CN4,IF(Q4+IF(O4="",0,O4)=MQ4,$LW$1,IF(Q4+IF(O4="",0,O4)=LU4,$LA$1,IF(Q4+IF(O4="",0,O4)=KY4,$KE$1,IF(Q4+IF(O4="",0,O4)=KC4,$JI$1,IF(Q4+IF(O4="",0,O4)=JG4,$IM$1,IF(Q4+IF(O4="",0,O4)=IK4,$HQ$1,IF(Q4+IF(O4="",0,O4)=HO4,$GU$1,IF(Q4+IF(O4="",0,O4)=GS4,$FY$1,IF(Q4+IF(O4="",0,O4)=FW4,$FC$1,IF(Q4+IF(O4="",0,O4)=FA4,$EG$1,IF(Q4+IF(O4="",0,O4)=EE4,$DK$1,IF(Q4+IF(O4="",0,O4)=DI4,$CO$1)))))))))))))))))</f>
        <v>2025 WAGC (Nov 16)</v>
      </c>
      <c r="T4" s="27">
        <v>16.600000000000001</v>
      </c>
      <c r="U4" s="27">
        <v>9.4</v>
      </c>
      <c r="V4" s="27">
        <v>0</v>
      </c>
      <c r="W4" s="27">
        <v>13.63</v>
      </c>
      <c r="X4" s="27">
        <v>0</v>
      </c>
      <c r="Y4" s="27">
        <v>14.6</v>
      </c>
      <c r="Z4" s="27">
        <v>8.9</v>
      </c>
      <c r="AA4" s="27">
        <v>10.9</v>
      </c>
      <c r="AB4" s="27">
        <v>13.91</v>
      </c>
      <c r="AC4" s="27">
        <v>0</v>
      </c>
      <c r="AD4" s="27">
        <v>1.4</v>
      </c>
      <c r="AE4" s="27">
        <v>0.9</v>
      </c>
      <c r="AF4" s="27">
        <v>1.5</v>
      </c>
      <c r="AG4" s="27">
        <v>1.44</v>
      </c>
      <c r="AH4" s="27">
        <v>0</v>
      </c>
      <c r="AI4" s="32"/>
      <c r="AJ4" s="7">
        <f>IF(SUM(T4:W4)-X4&gt;0,SUM(T4:W4)-X4,"")</f>
        <v>39.630000000000003</v>
      </c>
      <c r="AK4" s="7">
        <f>IF(AA4&gt;0,AA4,"")</f>
        <v>10.9</v>
      </c>
      <c r="AL4" s="7">
        <f>IF(SUM(Y4:AB4)-AC4&gt;0,SUM(Y4:AB4)-AC4,"")</f>
        <v>48.31</v>
      </c>
      <c r="AM4" s="7">
        <f>IF(AJ4="",IF(AL4&gt;0,AL4,""),AL4+AJ4)</f>
        <v>87.94</v>
      </c>
      <c r="AN4" s="7">
        <f>IF(AF4&gt;0,AF4,"")</f>
        <v>1.5</v>
      </c>
      <c r="AO4" s="7">
        <f>IF(SUM(AD4:AG4)-AH4&gt;0,SUM(AD4:AG4)-AH4,"")</f>
        <v>5.24</v>
      </c>
      <c r="AP4" s="7">
        <f>IF(SUM(AM4,AO4)&gt;0,SUM(AM4,AO4),"")</f>
        <v>93.179999999999993</v>
      </c>
      <c r="AQ4" s="31">
        <v>16.2</v>
      </c>
      <c r="AR4" s="31">
        <v>9.6</v>
      </c>
      <c r="AS4" s="31">
        <v>0</v>
      </c>
      <c r="AT4" s="31">
        <v>14.22</v>
      </c>
      <c r="AU4" s="31">
        <v>0</v>
      </c>
      <c r="AV4" s="31">
        <v>14.6</v>
      </c>
      <c r="AW4" s="31">
        <v>9.5</v>
      </c>
      <c r="AX4" s="31">
        <v>10.9</v>
      </c>
      <c r="AY4" s="31">
        <v>14.52</v>
      </c>
      <c r="AZ4" s="31">
        <v>0</v>
      </c>
      <c r="BA4" s="31">
        <v>15.4</v>
      </c>
      <c r="BB4" s="31">
        <v>9.3000000000000007</v>
      </c>
      <c r="BC4" s="31">
        <v>10.9</v>
      </c>
      <c r="BD4" s="31">
        <v>14</v>
      </c>
      <c r="BE4" s="31">
        <v>0</v>
      </c>
      <c r="BF4" s="33"/>
      <c r="BG4" s="9">
        <f>IF(SUM(AQ4:AT4)-AU4&gt;0,SUM(AQ4:AT4)-AU4,"")</f>
        <v>40.019999999999996</v>
      </c>
      <c r="BH4" s="9">
        <f>IF(AX4&gt;0,AX4,"")</f>
        <v>10.9</v>
      </c>
      <c r="BI4" s="9">
        <f>IF(SUM(AV4:AY4)-AZ4&gt;0,SUM(AV4:AY4)-AZ4,"")</f>
        <v>49.519999999999996</v>
      </c>
      <c r="BJ4" s="9">
        <f>IF(BG4="",IF(BI4&gt;0,BI4,""),BI4+BG4)</f>
        <v>89.539999999999992</v>
      </c>
      <c r="BK4" s="9">
        <f>IF(BC4&gt;0,BC4,"")</f>
        <v>10.9</v>
      </c>
      <c r="BL4" s="9">
        <f>IF(SUM(BA4:BD4)-BE4&gt;0,SUM(BA4:BD4)-BE4,"")</f>
        <v>49.6</v>
      </c>
      <c r="BM4" s="9">
        <f>IF(SUM(BJ4,BL4)&gt;0,SUM(BJ4,BL4),"")</f>
        <v>139.13999999999999</v>
      </c>
      <c r="BN4" s="27">
        <v>15.9</v>
      </c>
      <c r="BO4" s="27">
        <v>9.6</v>
      </c>
      <c r="BP4" s="27">
        <v>0</v>
      </c>
      <c r="BQ4" s="27">
        <v>14.42</v>
      </c>
      <c r="BR4" s="27">
        <v>0</v>
      </c>
      <c r="BS4" s="27">
        <v>14.5</v>
      </c>
      <c r="BT4" s="27">
        <v>9.1</v>
      </c>
      <c r="BU4" s="27">
        <v>11.6</v>
      </c>
      <c r="BV4" s="27">
        <v>14.55</v>
      </c>
      <c r="BW4" s="27">
        <v>0</v>
      </c>
      <c r="BX4" s="27">
        <v>14.6</v>
      </c>
      <c r="BY4" s="27">
        <v>9</v>
      </c>
      <c r="BZ4" s="27">
        <v>11.6</v>
      </c>
      <c r="CA4" s="27">
        <v>14.74</v>
      </c>
      <c r="CB4" s="27">
        <v>0</v>
      </c>
      <c r="CC4" s="32"/>
      <c r="CD4" s="7">
        <f>IF(SUM(BN4:BQ4)-BR4&gt;0,SUM(BN4:BQ4)-BR4,"")</f>
        <v>39.92</v>
      </c>
      <c r="CE4" s="7">
        <f>IF(BU4&gt;0,BU4,"")</f>
        <v>11.6</v>
      </c>
      <c r="CF4" s="7">
        <f>IF(SUM(BS4:BV4)-BW4&gt;0,SUM(BS4:BV4)-BW4,"")</f>
        <v>49.75</v>
      </c>
      <c r="CG4" s="7">
        <f>IF(CD4="",IF(CF4&gt;0,CF4,""),CF4+CD4)</f>
        <v>89.67</v>
      </c>
      <c r="CH4" s="7">
        <f>IF(BZ4&gt;0,BZ4,"")</f>
        <v>11.6</v>
      </c>
      <c r="CI4" s="7">
        <f>IF(SUM(BX4:CA4)-CB4&gt;0,SUM(BX4:CA4)-CB4,"")</f>
        <v>49.940000000000005</v>
      </c>
      <c r="CJ4" s="7">
        <f>IF(SUM(CG4,CI4)&gt;0,SUM(CG4,CI4),"")</f>
        <v>139.61000000000001</v>
      </c>
      <c r="CK4" s="13">
        <f>IF(MAX(DE4,EA4,EW4,FS4,GO4,HK4,IG4,JC4,JY4,KU4,LQ4,MM4)-IF(K4="",0,K4)&gt;0.001,MAX(DE4,EA4,EW4,FS4,GO4,HK4,IG4,JC4,JY4,KU4,LQ4,MM4)-IF(K4="",0,K4),"")</f>
        <v>0.37000000000000455</v>
      </c>
      <c r="CL4" s="13" t="str">
        <f>IF(MAX(DF4,EB4,EX4,FT4,GP4,HL4,IH4,JD4,JZ4,KV4,LR4,MN4)-IF(M4="",0,M4)&gt;0.001,MAX(DF4,EB4,EX4,FT4,GP4,HL4,IH4,JD4,JZ4,KV4,LR4,MN4)-IF(M4="",0,M4),"")</f>
        <v/>
      </c>
      <c r="CM4" s="13" t="str">
        <f>IF(MAX(DG4,EC4,EY4,FU4,GQ4,HM4,II4,JE4,KA4,KW4,LS4,MO4)-IF(I4="",0,I4)&gt;0.001,MAX(DG4,EC4,EY4,FU4,GQ4,HM4,II4,JE4,KA4,KW4,LS4,MO4)-IF(I4="",0,I4),"")</f>
        <v/>
      </c>
      <c r="CN4" s="13" t="str">
        <f>IF(MAX(DI4,EE4,FA4,FW4,GS4,HO4,IK4,JG4,KC4,KY4,LU4,MQ4)-IF(O4="",0,O4)&gt;0.001,MAX(DI4,EE4,FA4,FW4,GS4,HO4,IK4,JG4,KC4,KY4,LU4,MQ4)-IF(O4="",0,O4),"")</f>
        <v/>
      </c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7" t="str">
        <f>IF(CV4&gt;0,CV4,"")</f>
        <v/>
      </c>
      <c r="DE4" s="7" t="str">
        <f>IF(SUM(CO4:CR4)-CS4&gt;0,SUM(CO4:CR4)-CS4,"")</f>
        <v/>
      </c>
      <c r="DF4" s="7" t="str">
        <f>IF(SUM(CT4:CW4)-CX4&gt;0,SUM(CT4:CW4)-CX4,"")</f>
        <v/>
      </c>
      <c r="DG4" s="7" t="str">
        <f>IF(SUM(DE4:DF4)&gt;0,SUM(DE4:DF4),"")</f>
        <v/>
      </c>
      <c r="DH4" s="7" t="str">
        <f>IF(DA4&gt;0,DA4,"")</f>
        <v/>
      </c>
      <c r="DI4" s="7" t="str">
        <f>IF(SUM(CY4:DB4)-DC4&gt;0,SUM(CY4:DB4)-DC4,"")</f>
        <v/>
      </c>
      <c r="DJ4" s="7" t="str">
        <f>IF(SUM(DG4,DI4)&gt;0,SUM(DG4,DI4),"")</f>
        <v/>
      </c>
      <c r="DK4" s="19">
        <v>16.3</v>
      </c>
      <c r="DL4" s="19">
        <v>9.8000000000000007</v>
      </c>
      <c r="DM4" s="19">
        <v>0</v>
      </c>
      <c r="DN4" s="19">
        <v>14.29</v>
      </c>
      <c r="DO4" s="19">
        <v>0</v>
      </c>
      <c r="DP4" s="19">
        <v>2.7</v>
      </c>
      <c r="DQ4" s="19">
        <v>1.8</v>
      </c>
      <c r="DR4" s="19">
        <v>2.1</v>
      </c>
      <c r="DS4" s="19">
        <v>2.98</v>
      </c>
      <c r="DT4" s="19">
        <v>0</v>
      </c>
      <c r="DU4" s="19"/>
      <c r="DV4" s="19"/>
      <c r="DW4" s="19"/>
      <c r="DX4" s="19"/>
      <c r="DY4" s="19"/>
      <c r="DZ4" s="9">
        <f>IF(DR4&gt;0,DR4,"")</f>
        <v>2.1</v>
      </c>
      <c r="EA4" s="9">
        <f>IF(SUM(DK4:DN4)-DO4&gt;0,SUM(DK4:DN4)-DO4,"")</f>
        <v>40.39</v>
      </c>
      <c r="EB4" s="9">
        <f>IF(SUM(DP4:DS4)-DT4&gt;0,SUM(DP4:DS4)-DT4,"")</f>
        <v>9.58</v>
      </c>
      <c r="EC4" s="9">
        <f>IF(SUM(EA4:EB4)&gt;0,SUM(EA4:EB4),"")</f>
        <v>49.97</v>
      </c>
      <c r="ED4" s="9" t="str">
        <f>IF(DW4&gt;0,DW4,"")</f>
        <v/>
      </c>
      <c r="EE4" s="9" t="str">
        <f>IF(SUM(DU4:DX4)-DY4&gt;0,SUM(DU4:DX4)-DY4,"")</f>
        <v/>
      </c>
      <c r="EF4" s="9">
        <f>IF(SUM(EC4,EE4)&gt;0,SUM(EC4,EE4),"")</f>
        <v>49.97</v>
      </c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7" t="str">
        <f>IF(EN4&gt;0,EN4,"")</f>
        <v/>
      </c>
      <c r="EW4" s="7" t="str">
        <f>IF(SUM(EG4:EJ4)-EK4&gt;0,SUM(EG4:EJ4)-EK4,"")</f>
        <v/>
      </c>
      <c r="EX4" s="7" t="str">
        <f>IF(SUM(EL4:EO4)-EP4&gt;0,SUM(EL4:EO4)-EP4,"")</f>
        <v/>
      </c>
      <c r="EY4" s="7" t="str">
        <f>IF(SUM(EW4:EX4)&gt;0,SUM(EW4:EX4),"")</f>
        <v/>
      </c>
      <c r="EZ4" s="7" t="str">
        <f>IF(ES4&gt;0,ES4,"")</f>
        <v/>
      </c>
      <c r="FA4" s="7" t="str">
        <f>IF(SUM(EQ4:ET4)-EU4&gt;0,SUM(EQ4:ET4)-EU4,"")</f>
        <v/>
      </c>
      <c r="FB4" s="7" t="str">
        <f>IF(SUM(EY4,FA4)&gt;0,SUM(EY4,FA4),"")</f>
        <v/>
      </c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9" t="str">
        <f>IF(FJ4&gt;0,FJ4,"")</f>
        <v/>
      </c>
      <c r="FS4" s="9" t="str">
        <f>IF(SUM(FC4:FF4)-FG4&gt;0,SUM(FC4:FF4)-FG4,"")</f>
        <v/>
      </c>
      <c r="FT4" s="9" t="str">
        <f>IF(SUM(FH4:FK4)-FL4&gt;0,SUM(FH4:FK4)-FL4,"")</f>
        <v/>
      </c>
      <c r="FU4" s="9" t="str">
        <f>IF(SUM(FS4:FT4)&gt;0,SUM(FS4:FT4),"")</f>
        <v/>
      </c>
      <c r="FV4" s="9" t="str">
        <f>IF(FO4&gt;0,FO4,"")</f>
        <v/>
      </c>
      <c r="FW4" s="9" t="str">
        <f>IF(SUM(FM4:FP4)-FQ4&gt;0,SUM(FM4:FP4)-FQ4,"")</f>
        <v/>
      </c>
      <c r="FX4" s="9" t="str">
        <f>IF(SUM(FU4,FW4)&gt;0,SUM(FU4,FW4),"")</f>
        <v/>
      </c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7" t="str">
        <f>IF(GF4&gt;0,GF4,"")</f>
        <v/>
      </c>
      <c r="GO4" s="7" t="str">
        <f>IF(SUM(FY4:GB4)-GC4&gt;0,SUM(FY4:GB4)-GC4,"")</f>
        <v/>
      </c>
      <c r="GP4" s="7" t="str">
        <f>IF(SUM(GD4:GG4)-GH4&gt;0,SUM(GD4:GG4)-GH4,"")</f>
        <v/>
      </c>
      <c r="GQ4" s="7" t="str">
        <f>IF(SUM(GO4:GP4)&gt;0,SUM(GO4:GP4),"")</f>
        <v/>
      </c>
      <c r="GR4" s="7" t="str">
        <f>IF(GK4&gt;0,GK4,"")</f>
        <v/>
      </c>
      <c r="GS4" s="7" t="str">
        <f>IF(SUM(GI4:GL4)-GM4&gt;0,SUM(GI4:GL4)-GM4,"")</f>
        <v/>
      </c>
      <c r="GT4" s="7" t="str">
        <f>IF(SUM(GQ4,GS4)&gt;0,SUM(GQ4,GS4),"")</f>
        <v/>
      </c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9" t="str">
        <f>IF(HB4&gt;0,HB4,"")</f>
        <v/>
      </c>
      <c r="HK4" s="9" t="str">
        <f>IF(SUM(GU4:GX4)-GY4&gt;0,SUM(GU4:GX4)-GY4,"")</f>
        <v/>
      </c>
      <c r="HL4" s="9" t="str">
        <f>IF(SUM(GZ4:HC4)-HD4&gt;0,SUM(GZ4:HC4)-HD4,"")</f>
        <v/>
      </c>
      <c r="HM4" s="9" t="str">
        <f>IF(SUM(HK4:HL4)&gt;0,SUM(HK4:HL4),"")</f>
        <v/>
      </c>
      <c r="HN4" s="9" t="str">
        <f>IF(HG4&gt;0,HG4,"")</f>
        <v/>
      </c>
      <c r="HO4" s="9" t="str">
        <f>IF(SUM(HE4:HH4)-HI4&gt;0,SUM(HE4:HH4)-HI4,"")</f>
        <v/>
      </c>
      <c r="HP4" s="9" t="str">
        <f>IF(SUM(HM4,HO4)&gt;0,SUM(HM4,HO4),"")</f>
        <v/>
      </c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7" t="str">
        <f>IF(HX4&gt;0,HX4,"")</f>
        <v/>
      </c>
      <c r="IG4" s="7" t="str">
        <f>IF(SUM(HQ4:HT4)-HU4&gt;0,SUM(HQ4:HT4)-HU4,"")</f>
        <v/>
      </c>
      <c r="IH4" s="7" t="str">
        <f>IF(SUM(HV4:HY4)-HZ4&gt;0,SUM(HV4:HY4)-HZ4,"")</f>
        <v/>
      </c>
      <c r="II4" s="7" t="str">
        <f>IF(SUM(IG4:IH4)&gt;0,SUM(IG4:IH4),"")</f>
        <v/>
      </c>
      <c r="IJ4" s="7" t="str">
        <f>IF(IC4&gt;0,IC4,"")</f>
        <v/>
      </c>
      <c r="IK4" s="7" t="str">
        <f>IF(SUM(IA4:ID4)-IE4&gt;0,SUM(IA4:ID4)-IE4,"")</f>
        <v/>
      </c>
      <c r="IL4" s="7" t="str">
        <f>IF(SUM(II4,IK4)&gt;0,SUM(II4,IK4),"")</f>
        <v/>
      </c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9" t="str">
        <f>IF(IT4&gt;0,IT4,"")</f>
        <v/>
      </c>
      <c r="JC4" s="9" t="str">
        <f>IF(SUM(IM4:IP4)-IQ4&gt;0,SUM(IM4:IP4)-IQ4,"")</f>
        <v/>
      </c>
      <c r="JD4" s="9" t="str">
        <f>IF(SUM(IR4:IU4)-IV4&gt;0,SUM(IR4:IU4)-IV4,"")</f>
        <v/>
      </c>
      <c r="JE4" s="9" t="str">
        <f>IF(SUM(JC4:JD4)&gt;0,SUM(JC4:JD4),"")</f>
        <v/>
      </c>
      <c r="JF4" s="9" t="str">
        <f>IF(IY4&gt;0,IY4,"")</f>
        <v/>
      </c>
      <c r="JG4" s="9" t="str">
        <f>IF(SUM(IW4:IZ4)-JA4&gt;0,SUM(IW4:IZ4)-JA4,"")</f>
        <v/>
      </c>
      <c r="JH4" s="9" t="str">
        <f>IF(SUM(JE4,JG4)&gt;0,SUM(JE4,JG4),"")</f>
        <v/>
      </c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7" t="str">
        <f>IF(JP4&gt;0,JP4,"")</f>
        <v/>
      </c>
      <c r="JY4" s="7" t="str">
        <f>IF(SUM(JI4:JL4)-JM4&gt;0,SUM(JI4:JL4)-JM4,"")</f>
        <v/>
      </c>
      <c r="JZ4" s="7" t="str">
        <f>IF(SUM(JN4:JQ4)-JR4&gt;0,SUM(JN4:JQ4)-JR4,"")</f>
        <v/>
      </c>
      <c r="KA4" s="7" t="str">
        <f>IF(SUM(JY4:JZ4)&gt;0,SUM(JY4:JZ4),"")</f>
        <v/>
      </c>
      <c r="KB4" s="7" t="str">
        <f>IF(JU4&gt;0,JU4,"")</f>
        <v/>
      </c>
      <c r="KC4" s="7" t="str">
        <f>IF(SUM(JS4:JV4)-JW4&gt;0,SUM(JS4:JV4)-JW4,"")</f>
        <v/>
      </c>
      <c r="KD4" s="7" t="str">
        <f>IF(SUM(KA4,KC4)&gt;0,SUM(KA4,KC4),"")</f>
        <v/>
      </c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9" t="str">
        <f>IF(KL4&gt;0,KL4,"")</f>
        <v/>
      </c>
      <c r="KU4" s="9" t="str">
        <f>IF(SUM(KE4:KH4)-KI4&gt;0,SUM(KE4:KH4)-KI4,"")</f>
        <v/>
      </c>
      <c r="KV4" s="9" t="str">
        <f>IF(SUM(KJ4:KM4)-KN4&gt;0,SUM(KJ4:KM4)-KN4,"")</f>
        <v/>
      </c>
      <c r="KW4" s="9" t="str">
        <f>IF(SUM(KU4:KV4)&gt;0,SUM(KU4:KV4),"")</f>
        <v/>
      </c>
      <c r="KX4" s="9" t="str">
        <f>IF(KQ4&gt;0,KQ4,"")</f>
        <v/>
      </c>
      <c r="KY4" s="9" t="str">
        <f>IF(SUM(KO4:KR4)-KS4&gt;0,SUM(KO4:KR4)-KS4,"")</f>
        <v/>
      </c>
      <c r="KZ4" s="9" t="str">
        <f>IF(SUM(KW4,KY4)&gt;0,SUM(KW4,KY4),"")</f>
        <v/>
      </c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7" t="str">
        <f>IF(LH4&gt;0,LH4,"")</f>
        <v/>
      </c>
      <c r="LQ4" s="7" t="str">
        <f>IF(SUM(LA4:LD4)-LE4&gt;0,SUM(LA4:LD4)-LE4,"")</f>
        <v/>
      </c>
      <c r="LR4" s="7" t="str">
        <f>IF(SUM(LF4:LI4)-LJ4&gt;0,SUM(LF4:LI4)-LJ4,"")</f>
        <v/>
      </c>
      <c r="LS4" s="7" t="str">
        <f>IF(SUM(LQ4:LR4)&gt;0,SUM(LQ4:LR4),"")</f>
        <v/>
      </c>
      <c r="LT4" s="7" t="str">
        <f>IF(LM4&gt;0,LM4,"")</f>
        <v/>
      </c>
      <c r="LU4" s="7" t="str">
        <f>IF(SUM(LK4:LN4)-LO4&gt;0,SUM(LK4:LN4)-LO4,"")</f>
        <v/>
      </c>
      <c r="LV4" s="7" t="str">
        <f>IF(SUM(LS4,LU4)&gt;0,SUM(LS4,LU4),"")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9" t="str">
        <f>IF(MD4&gt;0,MD4,"")</f>
        <v/>
      </c>
      <c r="MM4" s="9" t="str">
        <f>IF(SUM(LW4:LZ4)-MA4&gt;0,SUM(LW4:LZ4)-MA4,"")</f>
        <v/>
      </c>
      <c r="MN4" s="9" t="str">
        <f>IF(SUM(MB4:ME4)-MF4&gt;0,SUM(MB4:ME4)-MF4,"")</f>
        <v/>
      </c>
      <c r="MO4" s="9" t="str">
        <f>IF(SUM(MM4:MN4)&gt;0,SUM(MM4:MN4),"")</f>
        <v/>
      </c>
      <c r="MP4" s="9" t="str">
        <f>IF(MI4&gt;0,MI4,"")</f>
        <v/>
      </c>
      <c r="MQ4" s="9" t="str">
        <f>IF(SUM(MG4:MJ4)-MK4&gt;0,SUM(MG4:MJ4)-MK4,"")</f>
        <v/>
      </c>
      <c r="MR4" s="9" t="str">
        <f>IF(SUM(MO4,MQ4)&gt;0,SUM(MO4,MQ4),"")</f>
        <v/>
      </c>
      <c r="MS4" s="27">
        <f t="shared" ref="MS4:NG5" si="0">IF($CC4="P",BN4,(BN4+AQ4)/2)</f>
        <v>16.05</v>
      </c>
      <c r="MT4" s="27">
        <f t="shared" si="0"/>
        <v>9.6</v>
      </c>
      <c r="MU4" s="27">
        <f t="shared" si="0"/>
        <v>0</v>
      </c>
      <c r="MV4" s="27">
        <f t="shared" si="0"/>
        <v>14.32</v>
      </c>
      <c r="MW4" s="27">
        <f t="shared" si="0"/>
        <v>0</v>
      </c>
      <c r="MX4" s="27">
        <f t="shared" si="0"/>
        <v>14.55</v>
      </c>
      <c r="MY4" s="27">
        <f t="shared" si="0"/>
        <v>9.3000000000000007</v>
      </c>
      <c r="MZ4" s="27">
        <f t="shared" si="0"/>
        <v>11.25</v>
      </c>
      <c r="NA4" s="27">
        <f t="shared" si="0"/>
        <v>14.535</v>
      </c>
      <c r="NB4" s="27">
        <f t="shared" si="0"/>
        <v>0</v>
      </c>
      <c r="NC4" s="27">
        <f t="shared" si="0"/>
        <v>15</v>
      </c>
      <c r="ND4" s="27">
        <f t="shared" si="0"/>
        <v>9.15</v>
      </c>
      <c r="NE4" s="27">
        <f t="shared" si="0"/>
        <v>11.25</v>
      </c>
      <c r="NF4" s="27">
        <f t="shared" si="0"/>
        <v>14.370000000000001</v>
      </c>
      <c r="NG4" s="27">
        <f t="shared" si="0"/>
        <v>0</v>
      </c>
      <c r="NH4" s="32" t="s">
        <v>44</v>
      </c>
      <c r="NI4" s="7">
        <f>IF(SUM(MS4:MV4)-MW4&gt;0,SUM(MS4:MV4)-MW4,"")</f>
        <v>39.97</v>
      </c>
      <c r="NJ4" s="7">
        <f>IF(MZ4&gt;0,MZ4,"")</f>
        <v>11.25</v>
      </c>
      <c r="NK4" s="7">
        <f>IF(SUM(MX4:NA4)-NB4&gt;0,SUM(MX4:NA4)-NB4,"")</f>
        <v>49.635000000000005</v>
      </c>
      <c r="NL4" s="7">
        <f>IF(OR(NI4&lt;&gt;"",NK4&lt;&gt;""),NI4+NK4,"")</f>
        <v>89.605000000000004</v>
      </c>
      <c r="NM4" s="7">
        <f>IF(NE4&gt;0,NE4,"")</f>
        <v>11.25</v>
      </c>
      <c r="NN4" s="7">
        <f t="shared" ref="NN4:NN5" si="1">IF(SUM(NC4:NF4)-NG4&gt;0,SUM(NC4:NF4)-NG4,"")</f>
        <v>49.769999999999996</v>
      </c>
      <c r="NO4" s="7">
        <f t="shared" ref="NO4" si="2">IF(SUM(NL4,NN4)&gt;0,SUM(NL4,NN4),"")</f>
        <v>139.375</v>
      </c>
    </row>
    <row r="5" spans="1:37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79</v>
      </c>
      <c r="C5" s="4" t="s">
        <v>78</v>
      </c>
      <c r="D5" s="4">
        <v>2010</v>
      </c>
      <c r="E5" s="10">
        <f>SUM(I5:Q5)</f>
        <v>213.22</v>
      </c>
      <c r="F5" s="3" t="str">
        <f>IF(OR(AND(AK5&gt;=AP$8,AM5&gt;=AP$12,AJ5&lt;&gt;"",AI5=""),AND(BH5&gt;=BM$8,BJ5&gt;=BM$12,BG5&lt;&gt;"",BF5=""),AND(CE5&gt;=CJ$8,CG5&gt;=CJ$12,CD5&lt;&gt;"",CC5=""),AND(DD5&gt;=DJ$8,DG5&gt;=DJ$12,DD5&lt;&gt;""),AND(DZ5&gt;=EF$8,EC5&gt;=EF$12,DZ5&lt;&gt;""),AND(EV5&gt;=FB$8,EY5&gt;=FB$12,EV5&lt;&gt;""),AND(FR5&gt;=FX$8,FU5&gt;=FX$12,FR5&lt;&gt;""),AND(GN5&gt;=GT$8,GQ5&gt;=GT$12,GN5&lt;&gt;""),AND(HJ5&gt;=HP$8,HM5&gt;=HP$12,HJ5&lt;&gt;""),AND(IF5&gt;=IL$8,II5&gt;=IL$12,IF5&lt;&gt;""),AND(JB5&gt;=JH$8,JE5&gt;=JH$12,JB5&lt;&gt;""),AND(JX5&gt;=KD$8,KA5&gt;=KD$12,JX5&lt;&gt;""),AND(KT5&gt;=KZ$8,KW5&gt;=KZ$12,KT5&lt;&gt;""),AND(LP5&gt;=LV$8,LS5&gt;=LV$12,LP5&lt;&gt;""),AND(ML5&gt;=MR$8,MO5&gt;=MR$12,ML5&lt;&gt;"")),"P","")</f>
        <v/>
      </c>
      <c r="G5" s="3" t="str">
        <f>IF(OR(AND(AM5&gt;=AP$12,AJ5&lt;&gt;"",AI5=""),AND(BJ5&gt;=BM$12,BG5&lt;&gt;"",BF5=""),AND(CG5&gt;=CJ$12,CD5&lt;&gt;"",CC5=""),AND(DG5&gt;=DJ$12,DD5&lt;&gt;""),AND(EC5&gt;=EF$12,DZ5&lt;&gt;""),AND(EY5&gt;=FB$12,EV5&lt;&gt;""),AND(FU5&gt;=FX$12,FR5&lt;&gt;""),AND(GQ5&gt;=GT$12,GN5&lt;&gt;""),AND(HM5&gt;=HP$12,HJ5&lt;&gt;""),AND(II5&gt;=IL$12,IF5&lt;&gt;""),AND(JE5&gt;=JH$12,JB5&lt;&gt;""),AND(KA5&gt;=KD$12,JX5&lt;&gt;""),AND(KW5&gt;=KZ$12,KT5&lt;&gt;""),AND(LS5&gt;=LV$12,LP5&lt;&gt;""),AND(MO5&gt;=MR$12,ML5&lt;&gt;"")),"P","")</f>
        <v/>
      </c>
      <c r="H5" s="47" t="str">
        <f>IF(OR(AND(AK5&gt;=AP$11,AL5&gt;=AP$15,AK5&lt;&gt;"",AI5=""),AND(AN5&gt;=AP$11,AO5&gt;=AP$15,AN5&lt;&gt;"",AI5=""),AND(BH5&gt;=BM$11,BI5&gt;=BM$15,BH5&lt;&gt;"",BF5=""),AND(BK5&gt;=BM$11,BL5&gt;=BM$15,BK5&lt;&gt;"",BF5=""),AND(CE5&gt;=CJ$11,CF5&gt;=CJ$15,CE5&lt;&gt;"",CC5=""),AND(CH5&gt;=CJ$11,CI5&gt;=CJ$15,CH5&lt;&gt;"",CC5=""),AND(DD5&gt;=DJ$11,DF5&gt;=DJ$15,DD5&lt;&gt;""),AND(DH5&gt;=DJ$11,DI5&gt;=DJ$15,DH5&lt;&gt;""),AND(DZ5&gt;=EF$11,EB5&gt;=EF$15,DZ5&lt;&gt;""),AND(ED5&gt;=EF$11,EE5&gt;=EF$15,ED5&lt;&gt;""),AND(EV5&gt;=FB$11,EX5&gt;=FB$15,EV5&lt;&gt;""),AND(EZ5&gt;=FB$11,FA5&gt;=FB$15,EZ5&lt;&gt;""),AND(FR5&gt;=FX$11,FT5&gt;=FX$15,FR5&lt;&gt;""),AND(FV5&gt;=FX$11,FW5&gt;=FX$15,FV5&lt;&gt;""),AND(GN5&gt;=GT$11,GP5&gt;=GT$15,GN5&lt;&gt;""),AND(GR5&gt;=GT$11,GS5&gt;=GT$15,GR5&lt;&gt;""),AND(HJ5&gt;=HP$11,HL5&gt;=HP$15,HJ5&lt;&gt;""),AND(HN5&gt;=HP$11,HO5&gt;=HP$15,HN5&lt;&gt;""),AND(IF5&gt;=IL$11,IH5&gt;=IL$15,IF5&lt;&gt;""),AND(IJ5&gt;=IL$11,IK5&gt;=IL$15,IJ5&lt;&gt;""),AND(JB5&gt;=JH$11,JD5&gt;=JH$15,JB5&lt;&gt;""),AND(JF5&gt;=JH$11,JG5&gt;=JH$15,JF5&lt;&gt;""),AND(JX5&gt;=KD$11,JZ5&gt;=KD$15,JX5&lt;&gt;""),AND(KB5&gt;=KD$11,KC5&gt;=KD$15,KB5&lt;&gt;""),AND(KT5&gt;=KZ$11,KV5&gt;=KZ$15,KT5&lt;&gt;""),AND(KX5&gt;=KZ$11,KY5&gt;=KZ$15,KX5&lt;&gt;""),AND(LP5&gt;=LV$11,LR5&gt;=LV$15,LP5&lt;&gt;""),AND(LT5&gt;=LV$11,LU5&gt;=LV$15,LT5&lt;&gt;""),AND(ML5&gt;=MR$11,MN5&gt;=MR$15,ML5&lt;&gt;""),AND(MP5&gt;=MR$11,MQ5&gt;=MR$15,MP5&lt;&gt;"")),"Merit",IF(OR(AND(AK5&gt;=AP$10,AM5&gt;=AP$14,AJ5&lt;&gt;"",AI5=""),AND(BH5&gt;=BM$10,BJ5&gt;=BM$14,BG5&lt;&gt;"",BF5=""),AND(CE5&gt;=CJ$10,CG5&gt;=CJ$14,CD5&lt;&gt;"",CC5=""),AND(DD5&gt;=DJ$10,DG5&gt;=DJ$14,DD5&lt;&gt;""),AND(DZ5&gt;=EF$10,EC5&gt;=EF$14,DZ5&lt;&gt;""),AND(EV5&gt;=FB$10,EY5&gt;=FB$14,EV5&lt;&gt;""),AND(FR5&gt;=FX$10,FU5&gt;=FX$14,FR5&lt;&gt;""),AND(GN5&gt;=GT$10,GQ5&gt;=GT$14,GN5&lt;&gt;""),AND(HJ5&gt;=HP$10,HM5&gt;=HP$14,HJ5&lt;&gt;""),AND(IF5&gt;=IL$10,II5&gt;=IL$14,IF5&lt;&gt;""),AND(JB5&gt;=JH$10,JE5&gt;=JH$14,JB5&lt;&gt;""),AND(JX5&gt;=KD$10,KA5&gt;=KD$14,JX5&lt;&gt;""),AND(KT5&gt;=KZ$10,KW5&gt;=KZ$14,KT5&lt;&gt;""),AND(LP5&gt;=LV$10,LS5&gt;=LV$14,LP5&lt;&gt;""),AND(ML5&gt;=MR$10,MO5&gt;=MR$14,ML5&lt;&gt;"")),"Excellence",IF(OR(AND(AK5&gt;=AP$8,AM5&gt;=AP$12,AJ5&lt;&gt;"",AI5=""),AND(BH5&gt;=BM$8,BJ5&gt;=BM$12,BG5&lt;&gt;"",BF5=""),AND(CE5&gt;=CJ$8,CG5&gt;=CJ$12,CD5&lt;&gt;"",CC5=""),AND(DD5&gt;=DJ$8,DG5&gt;=DJ$12,DD5&lt;&gt;""),AND(DZ5&gt;=EF$8,EC5&gt;=EF$12,DZ5&lt;&gt;""),AND(EV5&gt;=FB$8,EY5&gt;=FB$12,EV5&lt;&gt;""),AND(FR5&gt;=FX$8,FU5&gt;=FX$12,FR5&lt;&gt;""),AND(GN5&gt;=GT$8,GQ5&gt;=GT$12,GN5&lt;&gt;""),AND(HJ5&gt;=HP$8,HM5&gt;=HP$12,HJ5&lt;&gt;""),AND(IF5&gt;=IL$8,II5&gt;=IL$12,IF5&lt;&gt;""),AND(JB5&gt;=JH$8,JE5&gt;=JH$12,JB5&lt;&gt;""),AND(JX5&gt;=KD$8,KA5&gt;=KD$12,JX5&lt;&gt;""),AND(KT5&gt;=KZ$8,KW5&gt;=KZ$12,KT5&lt;&gt;""),AND(LP5&gt;=LV$8,LS5&gt;=LV$12,LP5&lt;&gt;""),AND(ML5&gt;=MR$8,MO5&gt;=MR$12,ML5&lt;&gt;"")),"National Team",IF(G5="P","No DD",""))))</f>
        <v/>
      </c>
      <c r="I5" s="9">
        <f>IF(MAX(AM5,BJ5,CG5)&gt;0,MAX(AM5,BJ5,CG5),0)</f>
        <v>85</v>
      </c>
      <c r="J5" s="9" t="str">
        <f>IF(I5=0,"",IF(I5=CG5,$BN$1,IF(I5=BJ5,$AQ$1,IF(I5=AM5,$T$1,""))))</f>
        <v>2025 Nationals</v>
      </c>
      <c r="K5" s="9">
        <f>IF($I5=$AM5,MAX(BG5,CD5),IF($I5=$BJ5,MAX(AJ5,CD5),IF($I5=$CG5,MAX(AJ5,BG5),MAX(AJ5,BG5,CD5))))</f>
        <v>37.29</v>
      </c>
      <c r="L5" s="9" t="str">
        <f>IF(K5=0,"",IF(AND(K5=CD5,$J5&lt;&gt;$BN$1),$BN$1,IF(AND(K5=BG5,$J5&lt;&gt;$AQ$1),$AQ$1,IF(AND(K5=AJ5,$J5&lt;&gt;$T$1),$T$1,""))))</f>
        <v>2025 Elite Canada</v>
      </c>
      <c r="M5" s="9">
        <f>IF(I5-N(AJ5)=AL5,MAX(BI5,CF5),IF(I5-N(BG5)=BI5,MAX(AL5,CF5),IF(I5-N(CD5)=CF5,MAX(AL5,BI5))))</f>
        <v>45.47</v>
      </c>
      <c r="N5" s="9" t="str">
        <f>IF(M5=0,"",IF(AND(OR(M5=CF5),$J5&lt;&gt;$BN$1),$BN$1,IF(AND(OR(M5=BI5),$J5&lt;&gt;$AQ$1),$AQ$1,IF(AND(OR(M5=AL5),$J5&lt;&gt;$T$1),$T$1,""))))</f>
        <v>2025 Elite Canada</v>
      </c>
      <c r="O5" s="9">
        <f>MAX(AO5,BL5,CI5)</f>
        <v>45.46</v>
      </c>
      <c r="P5" s="9" t="str">
        <f>IF(O5=0,"",IF(O5=CI5,$BN$1,IF(O5=BL5,$AQ$1,IF(O5=AO5,$T$1,""))))</f>
        <v>2025 Elite Canada</v>
      </c>
      <c r="Q5" s="9" t="str">
        <f>IF(MAX(CK5,CL5,CM5,CN5)&gt;0,MAX(CK5,CL5,CM5,CN5),"")</f>
        <v/>
      </c>
      <c r="R5" s="14" t="str">
        <f>IF(Q5="","",IF(Q5=CK5,"(Vol 1)",IF(Q5=CL5,"(Vol 2)",IF(Q5=CM5,"(Prelim)",IF(Q5=CN5,"(Final)")))))</f>
        <v/>
      </c>
      <c r="S5" s="9" t="str">
        <f>IF(Q5="","",IF(Q5=CK5,IF(Q5+IF(K5="",0,K5)=MM5,$LW$1,IF(Q5+IF(K5="",0,K5)=LQ5,$LA$1,IF(Q5+IF(K5="",0,K5)=KU5,$KE$1,IF(Q5+IF(K5="",0,K5)=JY5,$JI$1,IF(Q5+IF(K5="",0,K5)=JC5,$IM$1,IF(Q5+IF(K5="",0,K5)=IG5,$HQ$1,IF(Q5+IF(K5="",0,K5)=HK5,$GU$1,IF(Q5+IF(K5="",0,K5)=GO5,$FY$1,IF(Q5+IF(K5="",0,K5)=FS5,$FC$1,IF(Q5+IF(K5="",0,K5)=EW5,$EG$1,IF(Q5+IF(K5="",0,K5)=EA5,$DK$1,IF(Q5+IF(K5="",0,K5)=DE5,$CO$1)))))))))))),IF(Q5=CL5,IF(Q5+IF(M5="",0,M5)=MN5,$LW$1,IF(Q5+IF(M5="",0,M5)=LR5,$LA$1,IF(Q5+IF(M5="",0,M5)=KV5,$KE$1,IF(Q5+IF(M5="",0,M5)=JZ5,$JI$1,IF(Q5+IF(M5="",0,M5)=JD5,$IM$1,IF(Q5+IF(M5="",0,M5)=IH5,$HQ$1,IF(Q5+IF(M5="",0,M5)=HL5,$GU$1,IF(Q5+IF(M5="",0,M5)=GP5,$FY$1,IF(Q5+IF(M5="",0,M5)=FT5,$FC$1,IF(Q5+IF(M5="",0,M5)=EX5,$EG$1,IF(Q5+IF(M5="",0,M5)=EB5,$DK$1,IF(Q5+IF(M5="",0,M5)=DF5,$CO$1)))))))))))),IF(Q5=CM5,IF(Q5+IF(I5="",0,I5)=MO5,$LW$1,IF(Q5+IF(I5="",0,I5)=LS5,$LA$1,IF(Q5+IF(I5="",0,I5)=KW5,$KE$1,IF(Q5+IF(I5="",0,I5)=KA5,$JI$1,IF(Q5+IF(I5="",0,I5)=JE5,$IM$1,IF(Q5+IF(I5="",0,I5)=II5,$HQ$1,IF(Q5+IF(I5="",0,I5)=HM5,$GU$1,IF(Q5+IF(I5="",0,I5)=GQ5,$FY$1,IF(Q5+IF(I5="",0,I5)=FU5,$FC$1,IF(Q5+IF(I5="",0,I5)=EY5,$EG$1,IF(Q5+IF(I5="",0,I5)=EC5,$DK$1,IF(Q5+IF(I5="",0,I5)=DG5,$CO$1)))))))))))),IF(Q5=CN5,IF(Q5+IF(O5="",0,O5)=MQ5,$LW$1,IF(Q5+IF(O5="",0,O5)=LU5,$LA$1,IF(Q5+IF(O5="",0,O5)=KY5,$KE$1,IF(Q5+IF(O5="",0,O5)=KC5,$JI$1,IF(Q5+IF(O5="",0,O5)=JG5,$IM$1,IF(Q5+IF(O5="",0,O5)=IK5,$HQ$1,IF(Q5+IF(O5="",0,O5)=HO5,$GU$1,IF(Q5+IF(O5="",0,O5)=GS5,$FY$1,IF(Q5+IF(O5="",0,O5)=FW5,$FC$1,IF(Q5+IF(O5="",0,O5)=FA5,$EG$1,IF(Q5+IF(O5="",0,O5)=EE5,$DK$1,IF(Q5+IF(O5="",0,O5)=DI5,$CO$1)))))))))))))))))</f>
        <v/>
      </c>
      <c r="T5" s="27">
        <v>15</v>
      </c>
      <c r="U5" s="27">
        <v>9.5</v>
      </c>
      <c r="V5" s="27">
        <v>0</v>
      </c>
      <c r="W5" s="27">
        <v>12.79</v>
      </c>
      <c r="X5" s="27">
        <v>0</v>
      </c>
      <c r="Y5" s="27">
        <v>13.4</v>
      </c>
      <c r="Z5" s="27">
        <v>9.1</v>
      </c>
      <c r="AA5" s="27">
        <v>10.1</v>
      </c>
      <c r="AB5" s="27">
        <v>12.87</v>
      </c>
      <c r="AC5" s="27">
        <v>0</v>
      </c>
      <c r="AD5" s="27">
        <v>13.2</v>
      </c>
      <c r="AE5" s="27">
        <v>9.1</v>
      </c>
      <c r="AF5" s="27">
        <v>10.1</v>
      </c>
      <c r="AG5" s="27">
        <v>13.06</v>
      </c>
      <c r="AH5" s="27">
        <v>0</v>
      </c>
      <c r="AI5" s="32"/>
      <c r="AJ5" s="7">
        <f>IF(SUM(T5:W5)-X5&gt;0,SUM(T5:W5)-X5,"")</f>
        <v>37.29</v>
      </c>
      <c r="AK5" s="7">
        <f>IF(AA5&gt;0,AA5,"")</f>
        <v>10.1</v>
      </c>
      <c r="AL5" s="7">
        <f>IF(SUM(Y5:AB5)-AC5&gt;0,SUM(Y5:AB5)-AC5,"")</f>
        <v>45.47</v>
      </c>
      <c r="AM5" s="7">
        <f>IF(AJ5="",IF(AL5&gt;0,AL5,""),AL5+AJ5)</f>
        <v>82.759999999999991</v>
      </c>
      <c r="AN5" s="7">
        <f>IF(AF5&gt;0,AF5,"")</f>
        <v>10.1</v>
      </c>
      <c r="AO5" s="7">
        <f>IF(SUM(AD5:AG5)-AH5&gt;0,SUM(AD5:AG5)-AH5,"")</f>
        <v>45.46</v>
      </c>
      <c r="AP5" s="7">
        <f>IF(SUM(AM5,AO5)&gt;0,SUM(AM5,AO5),"")</f>
        <v>128.22</v>
      </c>
      <c r="AQ5" s="31">
        <v>15.7</v>
      </c>
      <c r="AR5" s="31">
        <v>9.6</v>
      </c>
      <c r="AS5" s="31">
        <v>0</v>
      </c>
      <c r="AT5" s="31">
        <v>12.17</v>
      </c>
      <c r="AU5" s="31">
        <v>0</v>
      </c>
      <c r="AV5" s="31">
        <v>14.7</v>
      </c>
      <c r="AW5" s="31">
        <v>9.1999999999999993</v>
      </c>
      <c r="AX5" s="31">
        <v>10.1</v>
      </c>
      <c r="AY5" s="31">
        <v>13.53</v>
      </c>
      <c r="AZ5" s="31">
        <v>0</v>
      </c>
      <c r="BA5" s="31">
        <v>8.1</v>
      </c>
      <c r="BB5" s="31">
        <v>5.8</v>
      </c>
      <c r="BC5" s="31">
        <v>5.6</v>
      </c>
      <c r="BD5" s="31">
        <v>8.1</v>
      </c>
      <c r="BE5" s="31">
        <v>0</v>
      </c>
      <c r="BF5" s="33"/>
      <c r="BG5" s="9">
        <f>IF(SUM(AQ5:AT5)-AU5&gt;0,SUM(AQ5:AT5)-AU5,"")</f>
        <v>37.47</v>
      </c>
      <c r="BH5" s="9">
        <f>IF(AX5&gt;0,AX5,"")</f>
        <v>10.1</v>
      </c>
      <c r="BI5" s="9">
        <f>IF(SUM(AV5:AY5)-AZ5&gt;0,SUM(AV5:AY5)-AZ5,"")</f>
        <v>47.53</v>
      </c>
      <c r="BJ5" s="9">
        <f>IF(BG5="",IF(BI5&gt;0,BI5,""),BI5+BG5)</f>
        <v>85</v>
      </c>
      <c r="BK5" s="9">
        <f>IF(BC5&gt;0,BC5,"")</f>
        <v>5.6</v>
      </c>
      <c r="BL5" s="9">
        <f>IF(SUM(BA5:BD5)-BE5&gt;0,SUM(BA5:BD5)-BE5,"")</f>
        <v>27.6</v>
      </c>
      <c r="BM5" s="9">
        <f>IF(SUM(BJ5,BL5)&gt;0,SUM(BJ5,BL5),"")</f>
        <v>112.6</v>
      </c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32"/>
      <c r="CD5" s="7" t="str">
        <f>IF(SUM(BN5:BQ5)-BR5&gt;0,SUM(BN5:BQ5)-BR5,"")</f>
        <v/>
      </c>
      <c r="CE5" s="7" t="str">
        <f>IF(BU5&gt;0,BU5,"")</f>
        <v/>
      </c>
      <c r="CF5" s="7" t="str">
        <f>IF(SUM(BS5:BV5)-BW5&gt;0,SUM(BS5:BV5)-BW5,"")</f>
        <v/>
      </c>
      <c r="CG5" s="7" t="str">
        <f>IF(CD5="",IF(CF5&gt;0,CF5,""),CF5+CD5)</f>
        <v/>
      </c>
      <c r="CH5" s="7" t="str">
        <f>IF(BZ5&gt;0,BZ5,"")</f>
        <v/>
      </c>
      <c r="CI5" s="7" t="str">
        <f>IF(SUM(BX5:CA5)-CB5&gt;0,SUM(BX5:CA5)-CB5,"")</f>
        <v/>
      </c>
      <c r="CJ5" s="7" t="str">
        <f>IF(SUM(CG5,CI5)&gt;0,SUM(CG5,CI5),"")</f>
        <v/>
      </c>
      <c r="CK5" s="13" t="str">
        <f>IF(MAX(DE5,EA5,EW5,FS5,GO5,HK5,IG5,JC5,JY5,KU5,LQ5,MM5)-IF(K5="",0,K5)&gt;0.001,MAX(DE5,EA5,EW5,FS5,GO5,HK5,IG5,JC5,JY5,KU5,LQ5,MM5)-IF(K5="",0,K5),"")</f>
        <v/>
      </c>
      <c r="CL5" s="13" t="str">
        <f>IF(MAX(DF5,EB5,EX5,FT5,GP5,HL5,IH5,JD5,JZ5,KV5,LR5,MN5)-IF(M5="",0,M5)&gt;0.001,MAX(DF5,EB5,EX5,FT5,GP5,HL5,IH5,JD5,JZ5,KV5,LR5,MN5)-IF(M5="",0,M5),"")</f>
        <v/>
      </c>
      <c r="CM5" s="13" t="str">
        <f>IF(MAX(DG5,EC5,EY5,FU5,GQ5,HM5,II5,JE5,KA5,KW5,LS5,MO5)-IF(I5="",0,I5)&gt;0.001,MAX(DG5,EC5,EY5,FU5,GQ5,HM5,II5,JE5,KA5,KW5,LS5,MO5)-IF(I5="",0,I5),"")</f>
        <v/>
      </c>
      <c r="CN5" s="13" t="str">
        <f>IF(MAX(DI5,EE5,FA5,FW5,GS5,HO5,IK5,JG5,KC5,KY5,LU5,MQ5)-IF(O5="",0,O5)&gt;0.001,MAX(DI5,EE5,FA5,FW5,GS5,HO5,IK5,JG5,KC5,KY5,LU5,MQ5)-IF(O5="",0,O5),"")</f>
        <v/>
      </c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7" t="str">
        <f>IF(CV5&gt;0,CV5,"")</f>
        <v/>
      </c>
      <c r="DE5" s="7" t="str">
        <f>IF(SUM(CO5:CR5)-CS5&gt;0,SUM(CO5:CR5)-CS5,"")</f>
        <v/>
      </c>
      <c r="DF5" s="7" t="str">
        <f>IF(SUM(CT5:CW5)-CX5&gt;0,SUM(CT5:CW5)-CX5,"")</f>
        <v/>
      </c>
      <c r="DG5" s="7" t="str">
        <f>IF(SUM(DE5:DF5)&gt;0,SUM(DE5:DF5),"")</f>
        <v/>
      </c>
      <c r="DH5" s="7" t="str">
        <f>IF(DA5&gt;0,DA5,"")</f>
        <v/>
      </c>
      <c r="DI5" s="7" t="str">
        <f>IF(SUM(CY5:DB5)-DC5&gt;0,SUM(CY5:DB5)-DC5,"")</f>
        <v/>
      </c>
      <c r="DJ5" s="7" t="str">
        <f>IF(SUM(DG5,DI5)&gt;0,SUM(DG5,DI5),"")</f>
        <v/>
      </c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9" t="str">
        <f>IF(DR5&gt;0,DR5,"")</f>
        <v/>
      </c>
      <c r="EA5" s="9" t="str">
        <f>IF(SUM(DK5:DN5)-DO5&gt;0,SUM(DK5:DN5)-DO5,"")</f>
        <v/>
      </c>
      <c r="EB5" s="9" t="str">
        <f>IF(SUM(DP5:DS5)-DT5&gt;0,SUM(DP5:DS5)-DT5,"")</f>
        <v/>
      </c>
      <c r="EC5" s="9" t="str">
        <f>IF(SUM(EA5:EB5)&gt;0,SUM(EA5:EB5),"")</f>
        <v/>
      </c>
      <c r="ED5" s="9" t="str">
        <f>IF(DW5&gt;0,DW5,"")</f>
        <v/>
      </c>
      <c r="EE5" s="9" t="str">
        <f>IF(SUM(DU5:DX5)-DY5&gt;0,SUM(DU5:DX5)-DY5,"")</f>
        <v/>
      </c>
      <c r="EF5" s="9" t="str">
        <f>IF(SUM(EC5,EE5)&gt;0,SUM(EC5,EE5),"")</f>
        <v/>
      </c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7" t="str">
        <f>IF(EN5&gt;0,EN5,"")</f>
        <v/>
      </c>
      <c r="EW5" s="7" t="str">
        <f>IF(SUM(EG5:EJ5)-EK5&gt;0,SUM(EG5:EJ5)-EK5,"")</f>
        <v/>
      </c>
      <c r="EX5" s="7" t="str">
        <f>IF(SUM(EL5:EO5)-EP5&gt;0,SUM(EL5:EO5)-EP5,"")</f>
        <v/>
      </c>
      <c r="EY5" s="7" t="str">
        <f>IF(SUM(EW5:EX5)&gt;0,SUM(EW5:EX5),"")</f>
        <v/>
      </c>
      <c r="EZ5" s="7" t="str">
        <f>IF(ES5&gt;0,ES5,"")</f>
        <v/>
      </c>
      <c r="FA5" s="7" t="str">
        <f>IF(SUM(EQ5:ET5)-EU5&gt;0,SUM(EQ5:ET5)-EU5,"")</f>
        <v/>
      </c>
      <c r="FB5" s="7" t="str">
        <f>IF(SUM(EY5,FA5)&gt;0,SUM(EY5,FA5),"")</f>
        <v/>
      </c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9" t="str">
        <f>IF(FJ5&gt;0,FJ5,"")</f>
        <v/>
      </c>
      <c r="FS5" s="9" t="str">
        <f>IF(SUM(FC5:FF5)-FG5&gt;0,SUM(FC5:FF5)-FG5,"")</f>
        <v/>
      </c>
      <c r="FT5" s="9" t="str">
        <f>IF(SUM(FH5:FK5)-FL5&gt;0,SUM(FH5:FK5)-FL5,"")</f>
        <v/>
      </c>
      <c r="FU5" s="9" t="str">
        <f>IF(SUM(FS5:FT5)&gt;0,SUM(FS5:FT5),"")</f>
        <v/>
      </c>
      <c r="FV5" s="9" t="str">
        <f>IF(FO5&gt;0,FO5,"")</f>
        <v/>
      </c>
      <c r="FW5" s="9" t="str">
        <f>IF(SUM(FM5:FP5)-FQ5&gt;0,SUM(FM5:FP5)-FQ5,"")</f>
        <v/>
      </c>
      <c r="FX5" s="9" t="str">
        <f>IF(SUM(FU5,FW5)&gt;0,SUM(FU5,FW5),"")</f>
        <v/>
      </c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7" t="str">
        <f>IF(GF5&gt;0,GF5,"")</f>
        <v/>
      </c>
      <c r="GO5" s="7" t="str">
        <f>IF(SUM(FY5:GB5)-GC5&gt;0,SUM(FY5:GB5)-GC5,"")</f>
        <v/>
      </c>
      <c r="GP5" s="7" t="str">
        <f>IF(SUM(GD5:GG5)-GH5&gt;0,SUM(GD5:GG5)-GH5,"")</f>
        <v/>
      </c>
      <c r="GQ5" s="7" t="str">
        <f>IF(SUM(GO5:GP5)&gt;0,SUM(GO5:GP5),"")</f>
        <v/>
      </c>
      <c r="GR5" s="7" t="str">
        <f>IF(GK5&gt;0,GK5,"")</f>
        <v/>
      </c>
      <c r="GS5" s="7" t="str">
        <f>IF(SUM(GI5:GL5)-GM5&gt;0,SUM(GI5:GL5)-GM5,"")</f>
        <v/>
      </c>
      <c r="GT5" s="7" t="str">
        <f>IF(SUM(GQ5,GS5)&gt;0,SUM(GQ5,GS5),"")</f>
        <v/>
      </c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9" t="str">
        <f>IF(HB5&gt;0,HB5,"")</f>
        <v/>
      </c>
      <c r="HK5" s="9" t="str">
        <f>IF(SUM(GU5:GX5)-GY5&gt;0,SUM(GU5:GX5)-GY5,"")</f>
        <v/>
      </c>
      <c r="HL5" s="9" t="str">
        <f>IF(SUM(GZ5:HC5)-HD5&gt;0,SUM(GZ5:HC5)-HD5,"")</f>
        <v/>
      </c>
      <c r="HM5" s="9" t="str">
        <f>IF(SUM(HK5:HL5)&gt;0,SUM(HK5:HL5),"")</f>
        <v/>
      </c>
      <c r="HN5" s="9" t="str">
        <f>IF(HG5&gt;0,HG5,"")</f>
        <v/>
      </c>
      <c r="HO5" s="9" t="str">
        <f>IF(SUM(HE5:HH5)-HI5&gt;0,SUM(HE5:HH5)-HI5,"")</f>
        <v/>
      </c>
      <c r="HP5" s="9" t="str">
        <f>IF(SUM(HM5,HO5)&gt;0,SUM(HM5,HO5),"")</f>
        <v/>
      </c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7" t="str">
        <f>IF(HX5&gt;0,HX5,"")</f>
        <v/>
      </c>
      <c r="IG5" s="7" t="str">
        <f>IF(SUM(HQ5:HT5)-HU5&gt;0,SUM(HQ5:HT5)-HU5,"")</f>
        <v/>
      </c>
      <c r="IH5" s="7" t="str">
        <f>IF(SUM(HV5:HY5)-HZ5&gt;0,SUM(HV5:HY5)-HZ5,"")</f>
        <v/>
      </c>
      <c r="II5" s="7" t="str">
        <f>IF(SUM(IG5:IH5)&gt;0,SUM(IG5:IH5),"")</f>
        <v/>
      </c>
      <c r="IJ5" s="7" t="str">
        <f>IF(IC5&gt;0,IC5,"")</f>
        <v/>
      </c>
      <c r="IK5" s="7" t="str">
        <f>IF(SUM(IA5:ID5)-IE5&gt;0,SUM(IA5:ID5)-IE5,"")</f>
        <v/>
      </c>
      <c r="IL5" s="7" t="str">
        <f>IF(SUM(II5,IK5)&gt;0,SUM(II5,IK5),"")</f>
        <v/>
      </c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9" t="str">
        <f>IF(IT5&gt;0,IT5,"")</f>
        <v/>
      </c>
      <c r="JC5" s="9" t="str">
        <f>IF(SUM(IM5:IP5)-IQ5&gt;0,SUM(IM5:IP5)-IQ5,"")</f>
        <v/>
      </c>
      <c r="JD5" s="9" t="str">
        <f>IF(SUM(IR5:IU5)-IV5&gt;0,SUM(IR5:IU5)-IV5,"")</f>
        <v/>
      </c>
      <c r="JE5" s="9" t="str">
        <f>IF(SUM(JC5:JD5)&gt;0,SUM(JC5:JD5),"")</f>
        <v/>
      </c>
      <c r="JF5" s="9" t="str">
        <f>IF(IY5&gt;0,IY5,"")</f>
        <v/>
      </c>
      <c r="JG5" s="9" t="str">
        <f>IF(SUM(IW5:IZ5)-JA5&gt;0,SUM(IW5:IZ5)-JA5,"")</f>
        <v/>
      </c>
      <c r="JH5" s="9" t="str">
        <f>IF(SUM(JE5,JG5)&gt;0,SUM(JE5,JG5),"")</f>
        <v/>
      </c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7" t="str">
        <f>IF(JP5&gt;0,JP5,"")</f>
        <v/>
      </c>
      <c r="JY5" s="7" t="str">
        <f>IF(SUM(JI5:JL5)-JM5&gt;0,SUM(JI5:JL5)-JM5,"")</f>
        <v/>
      </c>
      <c r="JZ5" s="7" t="str">
        <f>IF(SUM(JN5:JQ5)-JR5&gt;0,SUM(JN5:JQ5)-JR5,"")</f>
        <v/>
      </c>
      <c r="KA5" s="7" t="str">
        <f>IF(SUM(JY5:JZ5)&gt;0,SUM(JY5:JZ5),"")</f>
        <v/>
      </c>
      <c r="KB5" s="7" t="str">
        <f>IF(JU5&gt;0,JU5,"")</f>
        <v/>
      </c>
      <c r="KC5" s="7" t="str">
        <f>IF(SUM(JS5:JV5)-JW5&gt;0,SUM(JS5:JV5)-JW5,"")</f>
        <v/>
      </c>
      <c r="KD5" s="7" t="str">
        <f>IF(SUM(KA5,KC5)&gt;0,SUM(KA5,KC5),"")</f>
        <v/>
      </c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9" t="str">
        <f>IF(KL5&gt;0,KL5,"")</f>
        <v/>
      </c>
      <c r="KU5" s="9" t="str">
        <f>IF(SUM(KE5:KH5)-KI5&gt;0,SUM(KE5:KH5)-KI5,"")</f>
        <v/>
      </c>
      <c r="KV5" s="9" t="str">
        <f>IF(SUM(KJ5:KM5)-KN5&gt;0,SUM(KJ5:KM5)-KN5,"")</f>
        <v/>
      </c>
      <c r="KW5" s="9" t="str">
        <f>IF(SUM(KU5:KV5)&gt;0,SUM(KU5:KV5),"")</f>
        <v/>
      </c>
      <c r="KX5" s="9" t="str">
        <f>IF(KQ5&gt;0,KQ5,"")</f>
        <v/>
      </c>
      <c r="KY5" s="9" t="str">
        <f>IF(SUM(KO5:KR5)-KS5&gt;0,SUM(KO5:KR5)-KS5,"")</f>
        <v/>
      </c>
      <c r="KZ5" s="9" t="str">
        <f>IF(SUM(KW5,KY5)&gt;0,SUM(KW5,KY5),"")</f>
        <v/>
      </c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7" t="str">
        <f>IF(LH5&gt;0,LH5,"")</f>
        <v/>
      </c>
      <c r="LQ5" s="7" t="str">
        <f>IF(SUM(LA5:LD5)-LE5&gt;0,SUM(LA5:LD5)-LE5,"")</f>
        <v/>
      </c>
      <c r="LR5" s="7" t="str">
        <f>IF(SUM(LF5:LI5)-LJ5&gt;0,SUM(LF5:LI5)-LJ5,"")</f>
        <v/>
      </c>
      <c r="LS5" s="7" t="str">
        <f>IF(SUM(LQ5:LR5)&gt;0,SUM(LQ5:LR5),"")</f>
        <v/>
      </c>
      <c r="LT5" s="7" t="str">
        <f>IF(LM5&gt;0,LM5,"")</f>
        <v/>
      </c>
      <c r="LU5" s="7" t="str">
        <f>IF(SUM(LK5:LN5)-LO5&gt;0,SUM(LK5:LN5)-LO5,"")</f>
        <v/>
      </c>
      <c r="LV5" s="7" t="str">
        <f>IF(SUM(LS5,LU5)&gt;0,SUM(LS5,LU5),"")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9" t="str">
        <f>IF(MD5&gt;0,MD5,"")</f>
        <v/>
      </c>
      <c r="MM5" s="9" t="str">
        <f>IF(SUM(LW5:LZ5)-MA5&gt;0,SUM(LW5:LZ5)-MA5,"")</f>
        <v/>
      </c>
      <c r="MN5" s="9" t="str">
        <f>IF(SUM(MB5:ME5)-MF5&gt;0,SUM(MB5:ME5)-MF5,"")</f>
        <v/>
      </c>
      <c r="MO5" s="9" t="str">
        <f>IF(SUM(MM5:MN5)&gt;0,SUM(MM5:MN5),"")</f>
        <v/>
      </c>
      <c r="MP5" s="9" t="str">
        <f>IF(MI5&gt;0,MI5,"")</f>
        <v/>
      </c>
      <c r="MQ5" s="9" t="str">
        <f>IF(SUM(MG5:MJ5)-MK5&gt;0,SUM(MG5:MJ5)-MK5,"")</f>
        <v/>
      </c>
      <c r="MR5" s="9" t="str">
        <f>IF(SUM(MO5,MQ5)&gt;0,SUM(MO5,MQ5),"")</f>
        <v/>
      </c>
      <c r="MS5" s="27">
        <f t="shared" si="0"/>
        <v>7.85</v>
      </c>
      <c r="MT5" s="27">
        <f t="shared" si="0"/>
        <v>4.8</v>
      </c>
      <c r="MU5" s="27">
        <f t="shared" si="0"/>
        <v>0</v>
      </c>
      <c r="MV5" s="27">
        <f t="shared" si="0"/>
        <v>6.085</v>
      </c>
      <c r="MW5" s="27">
        <f t="shared" si="0"/>
        <v>0</v>
      </c>
      <c r="MX5" s="27">
        <f t="shared" si="0"/>
        <v>7.35</v>
      </c>
      <c r="MY5" s="27">
        <f t="shared" si="0"/>
        <v>4.5999999999999996</v>
      </c>
      <c r="MZ5" s="27">
        <f t="shared" si="0"/>
        <v>5.05</v>
      </c>
      <c r="NA5" s="27">
        <f t="shared" si="0"/>
        <v>6.7649999999999997</v>
      </c>
      <c r="NB5" s="27">
        <f t="shared" si="0"/>
        <v>0</v>
      </c>
      <c r="NC5" s="27">
        <f t="shared" si="0"/>
        <v>4.05</v>
      </c>
      <c r="ND5" s="27">
        <f t="shared" si="0"/>
        <v>2.9</v>
      </c>
      <c r="NE5" s="27">
        <f t="shared" si="0"/>
        <v>2.8</v>
      </c>
      <c r="NF5" s="27">
        <f t="shared" si="0"/>
        <v>4.05</v>
      </c>
      <c r="NG5" s="27">
        <f t="shared" si="0"/>
        <v>0</v>
      </c>
      <c r="NH5" s="32" t="s">
        <v>44</v>
      </c>
      <c r="NI5" s="7">
        <f>IF(SUM(MS5:MV5)-MW5&gt;0,SUM(MS5:MV5)-MW5,"")</f>
        <v>18.734999999999999</v>
      </c>
      <c r="NJ5" s="7">
        <f>IF(MZ5&gt;0,MZ5,"")</f>
        <v>5.05</v>
      </c>
      <c r="NK5" s="7">
        <f>IF(SUM(MX5:NA5)-NB5&gt;0,SUM(MX5:NA5)-NB5,"")</f>
        <v>23.765000000000001</v>
      </c>
      <c r="NL5" s="7">
        <f>IF(OR(NI5&lt;&gt;"",NK5&lt;&gt;""),NI5+NK5,"")</f>
        <v>42.5</v>
      </c>
      <c r="NM5" s="7">
        <f>IF(NE5&gt;0,NE5,"")</f>
        <v>2.8</v>
      </c>
      <c r="NN5" s="7">
        <f t="shared" si="1"/>
        <v>13.8</v>
      </c>
      <c r="NO5" s="7">
        <f t="shared" ref="NO5" si="3">IF(SUM(NL5,NN5)&gt;0,SUM(NL5,NN5),"")</f>
        <v>56.3</v>
      </c>
    </row>
    <row r="6" spans="1:379" x14ac:dyDescent="0.2">
      <c r="B6" s="5"/>
      <c r="D6" s="1"/>
    </row>
    <row r="8" spans="1:379" x14ac:dyDescent="0.2">
      <c r="B8" s="28" t="s">
        <v>42</v>
      </c>
      <c r="C8" s="5"/>
      <c r="AK8" s="46"/>
      <c r="AL8" s="46"/>
      <c r="AN8" s="2"/>
      <c r="AP8" s="24">
        <v>11.6</v>
      </c>
      <c r="BH8" s="46"/>
      <c r="BI8" s="46"/>
      <c r="BK8" s="2"/>
      <c r="BM8" s="24">
        <v>11.6</v>
      </c>
      <c r="CE8" s="46"/>
      <c r="CF8" s="46"/>
      <c r="CH8" s="2"/>
      <c r="CJ8" s="24">
        <v>11.6</v>
      </c>
      <c r="DD8" s="5"/>
      <c r="DH8" s="2"/>
      <c r="DJ8" s="24">
        <v>11.6</v>
      </c>
      <c r="DZ8" s="5"/>
      <c r="ED8" s="2"/>
      <c r="EF8" s="24">
        <v>11.6</v>
      </c>
      <c r="EV8" s="5"/>
      <c r="EZ8" s="2"/>
      <c r="FB8" s="24">
        <v>11.6</v>
      </c>
      <c r="FR8" s="5"/>
      <c r="FV8" s="2"/>
      <c r="FX8" s="24">
        <v>11.6</v>
      </c>
      <c r="GN8" s="5"/>
      <c r="GR8" s="2"/>
      <c r="GT8" s="24">
        <v>11.6</v>
      </c>
      <c r="HJ8" s="5"/>
      <c r="HN8" s="2"/>
      <c r="HP8" s="24">
        <v>11.6</v>
      </c>
      <c r="IF8" s="5"/>
      <c r="IJ8" s="2"/>
      <c r="IL8" s="24">
        <v>11.6</v>
      </c>
      <c r="JB8" s="5"/>
      <c r="JF8" s="2"/>
      <c r="JH8" s="24">
        <v>11.6</v>
      </c>
      <c r="JX8" s="5"/>
      <c r="KB8" s="2"/>
      <c r="KD8" s="24">
        <v>11.6</v>
      </c>
      <c r="KT8" s="5"/>
      <c r="KX8" s="2"/>
      <c r="KZ8" s="24">
        <v>11.6</v>
      </c>
      <c r="LP8" s="5"/>
      <c r="LT8" s="2"/>
      <c r="LV8" s="24">
        <v>11.6</v>
      </c>
      <c r="ML8" s="5"/>
      <c r="MP8" s="2"/>
      <c r="MR8" s="24">
        <v>11.6</v>
      </c>
    </row>
    <row r="9" spans="1:379" hidden="1" x14ac:dyDescent="0.2">
      <c r="B9" s="35" t="s">
        <v>41</v>
      </c>
      <c r="C9" s="5"/>
      <c r="AK9" s="46"/>
      <c r="AL9" s="46"/>
      <c r="AN9" s="2"/>
      <c r="AP9" s="37">
        <v>1000</v>
      </c>
      <c r="BH9" s="46"/>
      <c r="BI9" s="46"/>
      <c r="BK9" s="2"/>
      <c r="BM9" s="37">
        <v>1000</v>
      </c>
      <c r="CE9" s="46"/>
      <c r="CF9" s="46"/>
      <c r="CH9" s="2"/>
      <c r="CJ9" s="37">
        <v>1000</v>
      </c>
      <c r="DD9" s="5"/>
      <c r="DH9" s="2"/>
      <c r="DJ9" s="37">
        <v>1000</v>
      </c>
      <c r="DZ9" s="5"/>
      <c r="ED9" s="2"/>
      <c r="EF9" s="37">
        <v>1000</v>
      </c>
      <c r="EV9" s="5"/>
      <c r="EZ9" s="2"/>
      <c r="FB9" s="37">
        <v>1000</v>
      </c>
      <c r="FR9" s="5"/>
      <c r="FV9" s="2"/>
      <c r="FX9" s="37">
        <v>1000</v>
      </c>
      <c r="GN9" s="5"/>
      <c r="GR9" s="2"/>
      <c r="GT9" s="37">
        <v>1000</v>
      </c>
      <c r="HJ9" s="5"/>
      <c r="HN9" s="2"/>
      <c r="HP9" s="37">
        <v>1000</v>
      </c>
      <c r="IF9" s="5"/>
      <c r="IJ9" s="2"/>
      <c r="IL9" s="37">
        <v>1000</v>
      </c>
      <c r="JB9" s="5"/>
      <c r="JF9" s="2"/>
      <c r="JH9" s="37">
        <v>1000</v>
      </c>
      <c r="JX9" s="5"/>
      <c r="KB9" s="2"/>
      <c r="KD9" s="37">
        <v>1000</v>
      </c>
      <c r="KT9" s="5"/>
      <c r="KX9" s="2"/>
      <c r="KZ9" s="37">
        <v>1000</v>
      </c>
      <c r="LP9" s="5"/>
      <c r="LT9" s="2"/>
      <c r="LV9" s="37">
        <v>1000</v>
      </c>
      <c r="ML9" s="5"/>
      <c r="MP9" s="2"/>
      <c r="MR9" s="37">
        <v>1000</v>
      </c>
    </row>
    <row r="10" spans="1:379" hidden="1" x14ac:dyDescent="0.2">
      <c r="A10" s="5"/>
      <c r="B10" s="36" t="s">
        <v>54</v>
      </c>
      <c r="C10" s="5"/>
      <c r="AK10" s="46"/>
      <c r="AL10" s="46"/>
      <c r="AM10" s="2"/>
      <c r="AN10" s="2"/>
      <c r="AO10" s="2"/>
      <c r="AP10" s="38">
        <v>1000</v>
      </c>
      <c r="BH10" s="46"/>
      <c r="BI10" s="46"/>
      <c r="BK10" s="2"/>
      <c r="BM10" s="38">
        <v>1000</v>
      </c>
      <c r="CE10" s="46"/>
      <c r="CF10" s="46"/>
      <c r="CG10" s="2"/>
      <c r="CH10" s="2"/>
      <c r="CI10" s="2"/>
      <c r="CJ10" s="38">
        <v>1000</v>
      </c>
      <c r="DD10" s="5"/>
      <c r="DH10" s="2"/>
      <c r="DJ10" s="38">
        <v>1000</v>
      </c>
      <c r="DZ10" s="5"/>
      <c r="ED10" s="2"/>
      <c r="EF10" s="38">
        <v>1000</v>
      </c>
      <c r="EV10" s="5"/>
      <c r="EZ10" s="2"/>
      <c r="FB10" s="38">
        <v>1000</v>
      </c>
      <c r="FR10" s="5"/>
      <c r="FV10" s="2"/>
      <c r="FX10" s="38">
        <v>1000</v>
      </c>
      <c r="GN10" s="5"/>
      <c r="GR10" s="2"/>
      <c r="GT10" s="38">
        <v>1000</v>
      </c>
      <c r="HJ10" s="5"/>
      <c r="HN10" s="2"/>
      <c r="HP10" s="38">
        <v>1000</v>
      </c>
      <c r="IF10" s="5"/>
      <c r="IJ10" s="2"/>
      <c r="IL10" s="38">
        <v>1000</v>
      </c>
      <c r="JB10" s="5"/>
      <c r="JF10" s="2"/>
      <c r="JH10" s="38">
        <v>1000</v>
      </c>
      <c r="JX10" s="5"/>
      <c r="KB10" s="2"/>
      <c r="KD10" s="38">
        <v>1000</v>
      </c>
      <c r="KT10" s="5"/>
      <c r="KX10" s="2"/>
      <c r="KZ10" s="38">
        <v>1000</v>
      </c>
      <c r="LP10" s="5"/>
      <c r="LT10" s="2"/>
      <c r="LV10" s="38">
        <v>1000</v>
      </c>
      <c r="ML10" s="5"/>
      <c r="MP10" s="2"/>
      <c r="MR10" s="38">
        <v>1000</v>
      </c>
    </row>
    <row r="11" spans="1:379" hidden="1" x14ac:dyDescent="0.2">
      <c r="A11" s="5"/>
      <c r="B11" s="44" t="s">
        <v>59</v>
      </c>
      <c r="C11" s="5"/>
      <c r="AK11" s="46"/>
      <c r="AL11" s="46"/>
      <c r="AM11" s="2"/>
      <c r="AN11" s="2"/>
      <c r="AO11" s="2"/>
      <c r="AP11" s="45">
        <v>1000</v>
      </c>
      <c r="BH11" s="46"/>
      <c r="BI11" s="46"/>
      <c r="BK11" s="2"/>
      <c r="BM11" s="45">
        <v>1000</v>
      </c>
      <c r="CE11" s="46"/>
      <c r="CF11" s="46"/>
      <c r="CG11" s="2"/>
      <c r="CH11" s="2"/>
      <c r="CI11" s="2"/>
      <c r="CJ11" s="45">
        <v>1000</v>
      </c>
      <c r="DD11" s="5"/>
      <c r="DH11" s="2"/>
      <c r="DJ11" s="45">
        <v>1000</v>
      </c>
      <c r="DZ11" s="5"/>
      <c r="ED11" s="2"/>
      <c r="EF11" s="45">
        <v>1000</v>
      </c>
      <c r="EV11" s="5"/>
      <c r="EZ11" s="2"/>
      <c r="FB11" s="45">
        <v>1000</v>
      </c>
      <c r="FR11" s="5"/>
      <c r="FV11" s="2"/>
      <c r="FX11" s="45">
        <v>1000</v>
      </c>
      <c r="GN11" s="5"/>
      <c r="GR11" s="2"/>
      <c r="GT11" s="45">
        <v>1000</v>
      </c>
      <c r="HJ11" s="5"/>
      <c r="HN11" s="2"/>
      <c r="HP11" s="45">
        <v>1000</v>
      </c>
      <c r="IF11" s="5"/>
      <c r="IJ11" s="2"/>
      <c r="IL11" s="45">
        <v>1000</v>
      </c>
      <c r="JB11" s="5"/>
      <c r="JF11" s="2"/>
      <c r="JH11" s="45">
        <v>1000</v>
      </c>
      <c r="JX11" s="5"/>
      <c r="KB11" s="2"/>
      <c r="KD11" s="45">
        <v>1000</v>
      </c>
      <c r="KT11" s="5"/>
      <c r="KX11" s="2"/>
      <c r="KZ11" s="45">
        <v>1000</v>
      </c>
      <c r="LP11" s="5"/>
      <c r="LT11" s="2"/>
      <c r="LV11" s="45">
        <v>1000</v>
      </c>
      <c r="ML11" s="5"/>
      <c r="MP11" s="2"/>
      <c r="MR11" s="45">
        <v>1000</v>
      </c>
    </row>
    <row r="12" spans="1:379" x14ac:dyDescent="0.2">
      <c r="A12" s="5"/>
      <c r="B12" s="42" t="s">
        <v>39</v>
      </c>
      <c r="C12" s="5"/>
      <c r="M12" s="2"/>
      <c r="AK12" s="46"/>
      <c r="AL12" s="46"/>
      <c r="AM12" s="2"/>
      <c r="AN12" s="2"/>
      <c r="AO12" s="2"/>
      <c r="AP12" s="43">
        <v>92</v>
      </c>
      <c r="BH12" s="46"/>
      <c r="BI12" s="46"/>
      <c r="BK12" s="2"/>
      <c r="BM12" s="43">
        <v>92</v>
      </c>
      <c r="CE12" s="46"/>
      <c r="CF12" s="46"/>
      <c r="CG12" s="2"/>
      <c r="CH12" s="2"/>
      <c r="CI12" s="2"/>
      <c r="CJ12" s="43">
        <v>92</v>
      </c>
      <c r="DD12" s="5"/>
      <c r="DH12" s="2"/>
      <c r="DJ12" s="43">
        <v>92</v>
      </c>
      <c r="DZ12" s="5"/>
      <c r="ED12" s="2"/>
      <c r="EF12" s="43">
        <v>92</v>
      </c>
      <c r="EV12" s="5"/>
      <c r="EZ12" s="2"/>
      <c r="FB12" s="43">
        <v>92</v>
      </c>
      <c r="FR12" s="5"/>
      <c r="FV12" s="2"/>
      <c r="FX12" s="43">
        <v>92</v>
      </c>
      <c r="GN12" s="5"/>
      <c r="GR12" s="2"/>
      <c r="GT12" s="43">
        <v>92</v>
      </c>
      <c r="HJ12" s="5"/>
      <c r="HN12" s="2"/>
      <c r="HP12" s="43">
        <v>92</v>
      </c>
      <c r="IF12" s="5"/>
      <c r="IJ12" s="2"/>
      <c r="IL12" s="43">
        <v>92</v>
      </c>
      <c r="JB12" s="5"/>
      <c r="JF12" s="2"/>
      <c r="JH12" s="43">
        <v>92</v>
      </c>
      <c r="JX12" s="5"/>
      <c r="KB12" s="2"/>
      <c r="KD12" s="43">
        <v>92</v>
      </c>
      <c r="KT12" s="5"/>
      <c r="KX12" s="2"/>
      <c r="KZ12" s="43">
        <v>92</v>
      </c>
      <c r="LP12" s="5"/>
      <c r="LT12" s="2"/>
      <c r="LV12" s="43">
        <v>92</v>
      </c>
      <c r="ML12" s="5"/>
      <c r="MP12" s="2"/>
      <c r="MR12" s="43">
        <v>92</v>
      </c>
    </row>
    <row r="13" spans="1:379" hidden="1" x14ac:dyDescent="0.2">
      <c r="A13" s="5"/>
      <c r="B13" s="29" t="s">
        <v>40</v>
      </c>
      <c r="C13" s="5"/>
      <c r="M13" s="2"/>
      <c r="AK13" s="46"/>
      <c r="AL13" s="46"/>
      <c r="AM13" s="2"/>
      <c r="AN13" s="2"/>
      <c r="AO13" s="2"/>
      <c r="AP13" s="25">
        <v>1000</v>
      </c>
      <c r="BH13" s="46"/>
      <c r="BI13" s="46"/>
      <c r="BK13" s="2"/>
      <c r="BM13" s="25">
        <v>1000</v>
      </c>
      <c r="CE13" s="46"/>
      <c r="CF13" s="46"/>
      <c r="CG13" s="2"/>
      <c r="CH13" s="2"/>
      <c r="CI13" s="2"/>
      <c r="CJ13" s="25">
        <v>1000</v>
      </c>
      <c r="DD13" s="5"/>
      <c r="DH13" s="2"/>
      <c r="DJ13" s="25">
        <v>1000</v>
      </c>
      <c r="DZ13" s="5"/>
      <c r="ED13" s="2"/>
      <c r="EF13" s="25">
        <v>1000</v>
      </c>
      <c r="EV13" s="5"/>
      <c r="EZ13" s="2"/>
      <c r="FB13" s="25">
        <v>1000</v>
      </c>
      <c r="FR13" s="5"/>
      <c r="FV13" s="2"/>
      <c r="FX13" s="25">
        <v>1000</v>
      </c>
      <c r="GN13" s="5"/>
      <c r="GR13" s="2"/>
      <c r="GT13" s="25">
        <v>1000</v>
      </c>
      <c r="HJ13" s="5"/>
      <c r="HN13" s="2"/>
      <c r="HP13" s="25">
        <v>1000</v>
      </c>
      <c r="IF13" s="5"/>
      <c r="IJ13" s="2"/>
      <c r="IL13" s="25">
        <v>1000</v>
      </c>
      <c r="JB13" s="5"/>
      <c r="JF13" s="2"/>
      <c r="JH13" s="25">
        <v>1000</v>
      </c>
      <c r="JX13" s="5"/>
      <c r="KB13" s="2"/>
      <c r="KD13" s="25">
        <v>1000</v>
      </c>
      <c r="KT13" s="5"/>
      <c r="KX13" s="2"/>
      <c r="KZ13" s="25">
        <v>1000</v>
      </c>
      <c r="LP13" s="5"/>
      <c r="LT13" s="2"/>
      <c r="LV13" s="25">
        <v>1000</v>
      </c>
      <c r="ML13" s="5"/>
      <c r="MP13" s="2"/>
      <c r="MR13" s="25">
        <v>1000</v>
      </c>
    </row>
    <row r="14" spans="1:379" hidden="1" x14ac:dyDescent="0.2">
      <c r="A14" s="5"/>
      <c r="B14" s="40" t="s">
        <v>53</v>
      </c>
      <c r="C14" s="5"/>
      <c r="AK14" s="46"/>
      <c r="AL14" s="46"/>
      <c r="AM14" s="2"/>
      <c r="AN14" s="2"/>
      <c r="AO14" s="49"/>
      <c r="AP14" s="41">
        <v>1000</v>
      </c>
      <c r="BH14" s="46"/>
      <c r="BI14" s="46"/>
      <c r="BK14" s="2"/>
      <c r="BL14" s="48"/>
      <c r="BM14" s="41">
        <v>1000</v>
      </c>
      <c r="CE14" s="46"/>
      <c r="CF14" s="46"/>
      <c r="CG14" s="2"/>
      <c r="CH14" s="2"/>
      <c r="CI14" s="2"/>
      <c r="CJ14" s="41">
        <v>1000</v>
      </c>
      <c r="DD14" s="5"/>
      <c r="DH14" s="2"/>
      <c r="DJ14" s="41">
        <v>1000</v>
      </c>
      <c r="DZ14" s="5"/>
      <c r="ED14" s="2"/>
      <c r="EF14" s="41">
        <v>1000</v>
      </c>
      <c r="EV14" s="5"/>
      <c r="EZ14" s="2"/>
      <c r="FB14" s="41">
        <v>1000</v>
      </c>
      <c r="FR14" s="5"/>
      <c r="FV14" s="2"/>
      <c r="FW14" s="48"/>
      <c r="FX14" s="41">
        <v>1000</v>
      </c>
      <c r="GN14" s="5"/>
      <c r="GR14" s="2"/>
      <c r="GS14" s="48"/>
      <c r="GT14" s="41">
        <v>1000</v>
      </c>
      <c r="HJ14" s="5"/>
      <c r="HN14" s="2"/>
      <c r="HP14" s="41">
        <v>1000</v>
      </c>
      <c r="IF14" s="5"/>
      <c r="IJ14" s="2"/>
      <c r="IL14" s="41">
        <v>1000</v>
      </c>
      <c r="JB14" s="5"/>
      <c r="JF14" s="2"/>
      <c r="JG14" s="50"/>
      <c r="JH14" s="41">
        <v>1000</v>
      </c>
      <c r="JX14" s="5"/>
      <c r="KB14" s="2"/>
      <c r="KD14" s="41">
        <v>1000</v>
      </c>
      <c r="KT14" s="5"/>
      <c r="KX14" s="2"/>
      <c r="KZ14" s="41">
        <v>1000</v>
      </c>
      <c r="LP14" s="5"/>
      <c r="LT14" s="2"/>
      <c r="LU14" s="50"/>
      <c r="LV14" s="41">
        <v>1000</v>
      </c>
      <c r="ML14" s="5"/>
      <c r="MP14" s="2"/>
      <c r="MR14" s="41">
        <v>1000</v>
      </c>
    </row>
    <row r="15" spans="1:379" hidden="1" x14ac:dyDescent="0.2">
      <c r="A15" s="5"/>
      <c r="B15" s="30" t="s">
        <v>26</v>
      </c>
      <c r="C15" s="5"/>
      <c r="M15" s="2"/>
      <c r="AK15" s="46"/>
      <c r="AL15" s="46"/>
      <c r="AM15" s="2"/>
      <c r="AN15" s="2"/>
      <c r="AO15" s="2"/>
      <c r="AP15" s="26">
        <v>1000</v>
      </c>
      <c r="BH15" s="46"/>
      <c r="BI15" s="46"/>
      <c r="BK15" s="2"/>
      <c r="BM15" s="26">
        <v>1000</v>
      </c>
      <c r="CE15" s="46"/>
      <c r="CF15" s="46"/>
      <c r="CG15" s="2"/>
      <c r="CH15" s="2"/>
      <c r="CI15" s="2"/>
      <c r="CJ15" s="26">
        <v>1000</v>
      </c>
      <c r="DD15" s="5"/>
      <c r="DH15" s="2"/>
      <c r="DJ15" s="26">
        <v>1000</v>
      </c>
      <c r="DZ15" s="5"/>
      <c r="ED15" s="2"/>
      <c r="EF15" s="26">
        <v>1000</v>
      </c>
      <c r="EV15" s="5"/>
      <c r="EZ15" s="2"/>
      <c r="FB15" s="26">
        <v>1000</v>
      </c>
      <c r="FR15" s="5"/>
      <c r="FV15" s="2"/>
      <c r="FW15" s="48"/>
      <c r="FX15" s="26">
        <v>1000</v>
      </c>
      <c r="GN15" s="5"/>
      <c r="GR15" s="2"/>
      <c r="GT15" s="26">
        <v>1000</v>
      </c>
      <c r="HJ15" s="5"/>
      <c r="HN15" s="2"/>
      <c r="HP15" s="26">
        <v>1000</v>
      </c>
      <c r="IF15" s="5"/>
      <c r="IJ15" s="2"/>
      <c r="IL15" s="26">
        <v>1000</v>
      </c>
      <c r="JB15" s="5"/>
      <c r="JF15" s="2"/>
      <c r="JH15" s="26">
        <v>1000</v>
      </c>
      <c r="JX15" s="5"/>
      <c r="KB15" s="2"/>
      <c r="KD15" s="26">
        <v>1000</v>
      </c>
      <c r="KT15" s="5"/>
      <c r="KX15" s="2"/>
      <c r="KZ15" s="26">
        <v>1000</v>
      </c>
      <c r="LP15" s="5"/>
      <c r="LT15" s="2"/>
      <c r="LV15" s="26">
        <v>1000</v>
      </c>
      <c r="ML15" s="5"/>
      <c r="MP15" s="2"/>
      <c r="MR15" s="26">
        <v>1000</v>
      </c>
    </row>
    <row r="16" spans="1:379" x14ac:dyDescent="0.2">
      <c r="B16" s="34" t="s">
        <v>45</v>
      </c>
      <c r="C16" s="2"/>
      <c r="AM16" s="2"/>
      <c r="AO16" s="2"/>
      <c r="CG16" s="2"/>
      <c r="CI16" s="2"/>
      <c r="EA16" s="2"/>
    </row>
    <row r="17" spans="1:87" x14ac:dyDescent="0.2">
      <c r="A17" s="5"/>
      <c r="B17" s="5"/>
      <c r="C17" s="22"/>
      <c r="AJ17" s="2"/>
      <c r="AK17" s="2"/>
      <c r="AL17" s="2"/>
      <c r="AM17" s="2"/>
      <c r="AO17" s="2"/>
      <c r="CD17" s="2"/>
      <c r="CE17" s="2"/>
      <c r="CF17" s="2"/>
      <c r="CG17" s="2"/>
      <c r="CI17" s="2"/>
    </row>
    <row r="18" spans="1:87" ht="17" x14ac:dyDescent="0.2">
      <c r="A18" s="5"/>
      <c r="B18" s="5"/>
      <c r="C18" s="22"/>
      <c r="Q18" s="11"/>
      <c r="R18" s="11"/>
      <c r="AJ18" s="2"/>
      <c r="AK18" s="2"/>
      <c r="AL18" s="2"/>
      <c r="AM18" s="2"/>
      <c r="AO18" s="2"/>
      <c r="CD18" s="2"/>
      <c r="CE18" s="2"/>
      <c r="CF18" s="2"/>
      <c r="CG18" s="2"/>
      <c r="CI18" s="2"/>
    </row>
    <row r="19" spans="1:87" ht="17" x14ac:dyDescent="0.2">
      <c r="A19" s="5"/>
      <c r="B19" s="5"/>
      <c r="C19" s="22"/>
      <c r="Q19" s="11"/>
      <c r="AJ19" s="2"/>
      <c r="AK19" s="2"/>
      <c r="AL19" s="2"/>
      <c r="AM19" s="2"/>
      <c r="AO19" s="2"/>
      <c r="CD19" s="2"/>
      <c r="CE19" s="2"/>
      <c r="CF19" s="2"/>
      <c r="CG19" s="2"/>
      <c r="CI19" s="2"/>
    </row>
    <row r="20" spans="1:87" ht="17" x14ac:dyDescent="0.2">
      <c r="Q20" s="11"/>
      <c r="R20" s="11"/>
      <c r="AJ20" s="2"/>
      <c r="AK20" s="2"/>
      <c r="AL20" s="2"/>
      <c r="AM20" s="2"/>
      <c r="AO20" s="2"/>
      <c r="CD20" s="2"/>
      <c r="CE20" s="2"/>
      <c r="CF20" s="2"/>
      <c r="CG20" s="2"/>
      <c r="CI20" s="2"/>
    </row>
    <row r="21" spans="1:87" ht="17" x14ac:dyDescent="0.2">
      <c r="Q21" s="11"/>
      <c r="R21" s="11"/>
      <c r="AJ21" s="2"/>
      <c r="AK21" s="2"/>
      <c r="AL21" s="2"/>
      <c r="AM21" s="2"/>
      <c r="AO21" s="2"/>
      <c r="CD21" s="2"/>
      <c r="CE21" s="2"/>
      <c r="CF21" s="2"/>
      <c r="CG21" s="2"/>
      <c r="CI21" s="2"/>
    </row>
    <row r="22" spans="1:87" ht="17" x14ac:dyDescent="0.2">
      <c r="Q22" s="11"/>
      <c r="R22" s="11"/>
      <c r="AJ22" s="2"/>
      <c r="AK22" s="2"/>
      <c r="AL22" s="2"/>
      <c r="AM22" s="2"/>
      <c r="AO22" s="2"/>
      <c r="CD22" s="2"/>
      <c r="CE22" s="2"/>
      <c r="CF22" s="2"/>
      <c r="CG22" s="2"/>
      <c r="CI22" s="2"/>
    </row>
    <row r="23" spans="1:87" ht="17" x14ac:dyDescent="0.2">
      <c r="Q23" s="11"/>
      <c r="R23" s="11"/>
      <c r="S23" s="11"/>
    </row>
    <row r="24" spans="1:87" ht="17" x14ac:dyDescent="0.2">
      <c r="Q24" s="11"/>
      <c r="R24" s="11"/>
      <c r="S24" s="11"/>
    </row>
    <row r="25" spans="1:87" ht="17" x14ac:dyDescent="0.2">
      <c r="Q25" s="11"/>
      <c r="R25" s="11"/>
      <c r="S25" s="11"/>
    </row>
    <row r="26" spans="1:87" ht="17" x14ac:dyDescent="0.2">
      <c r="Q26" s="11"/>
      <c r="R26" s="11"/>
      <c r="S26" s="11"/>
    </row>
    <row r="27" spans="1:87" ht="17" x14ac:dyDescent="0.2">
      <c r="Q27" s="11"/>
      <c r="R27" s="11"/>
      <c r="S27" s="11"/>
    </row>
    <row r="28" spans="1:87" ht="17" x14ac:dyDescent="0.2">
      <c r="Q28" s="11"/>
      <c r="R28" s="11"/>
      <c r="S28" s="11"/>
    </row>
    <row r="29" spans="1:87" ht="17" x14ac:dyDescent="0.2">
      <c r="Q29" s="11"/>
      <c r="R29" s="11"/>
      <c r="S29" s="11"/>
    </row>
    <row r="30" spans="1:87" ht="17" x14ac:dyDescent="0.2">
      <c r="Q30" s="11"/>
      <c r="R30" s="11"/>
      <c r="S30" s="11"/>
    </row>
    <row r="31" spans="1:87" ht="17" x14ac:dyDescent="0.2">
      <c r="Q31" s="11"/>
      <c r="R31" s="11"/>
      <c r="S31" s="11"/>
    </row>
    <row r="32" spans="1:8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NM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sortState xmlns:xlrd2="http://schemas.microsoft.com/office/spreadsheetml/2017/richdata2" ref="A6:NM5">
      <sortCondition descending="1" ref="F1:F6"/>
    </sortState>
  </autoFilter>
  <mergeCells count="84">
    <mergeCell ref="MS2:MW2"/>
    <mergeCell ref="MX2:NB2"/>
    <mergeCell ref="NC2:NG2"/>
    <mergeCell ref="LA2:LE2"/>
    <mergeCell ref="LF2:LJ2"/>
    <mergeCell ref="LK2:LO2"/>
    <mergeCell ref="LW2:MA2"/>
    <mergeCell ref="MB2:MF2"/>
    <mergeCell ref="MG2:MK2"/>
    <mergeCell ref="KO2:KS2"/>
    <mergeCell ref="HQ2:HU2"/>
    <mergeCell ref="HV2:HZ2"/>
    <mergeCell ref="IA2:IE2"/>
    <mergeCell ref="IM2:IQ2"/>
    <mergeCell ref="IR2:IV2"/>
    <mergeCell ref="IW2:JA2"/>
    <mergeCell ref="JI2:JM2"/>
    <mergeCell ref="JN2:JR2"/>
    <mergeCell ref="JS2:JW2"/>
    <mergeCell ref="KE2:KI2"/>
    <mergeCell ref="KJ2:KN2"/>
    <mergeCell ref="DK1:EF1"/>
    <mergeCell ref="EG1:FB1"/>
    <mergeCell ref="GD2:GH2"/>
    <mergeCell ref="GI2:GM2"/>
    <mergeCell ref="GU2:GY2"/>
    <mergeCell ref="DU2:DY2"/>
    <mergeCell ref="FM2:FQ2"/>
    <mergeCell ref="FY2:GC2"/>
    <mergeCell ref="FC1:FX1"/>
    <mergeCell ref="FY1:GT1"/>
    <mergeCell ref="HE2:HI2"/>
    <mergeCell ref="EG2:EK2"/>
    <mergeCell ref="EL2:EP2"/>
    <mergeCell ref="EQ2:EU2"/>
    <mergeCell ref="FC2:FG2"/>
    <mergeCell ref="FH2:FL2"/>
    <mergeCell ref="GZ2:HD2"/>
    <mergeCell ref="CO2:CS2"/>
    <mergeCell ref="CT2:CX2"/>
    <mergeCell ref="CY2:DC2"/>
    <mergeCell ref="DK2:DO2"/>
    <mergeCell ref="DP2:DT2"/>
    <mergeCell ref="MS1:NM1"/>
    <mergeCell ref="KE1:KZ1"/>
    <mergeCell ref="LA1:LV1"/>
    <mergeCell ref="LW1:MR1"/>
    <mergeCell ref="GU1:HP1"/>
    <mergeCell ref="HQ1:IL1"/>
    <mergeCell ref="IM1:JH1"/>
    <mergeCell ref="JI1:KD1"/>
    <mergeCell ref="R1:R3"/>
    <mergeCell ref="S1:S3"/>
    <mergeCell ref="T1:AP1"/>
    <mergeCell ref="AQ1:BM1"/>
    <mergeCell ref="BN1:CJ1"/>
    <mergeCell ref="T2:X2"/>
    <mergeCell ref="Y2:AC2"/>
    <mergeCell ref="AD2:AH2"/>
    <mergeCell ref="AQ2:AU2"/>
    <mergeCell ref="AV2:AZ2"/>
    <mergeCell ref="BA2:BE2"/>
    <mergeCell ref="BN2:BR2"/>
    <mergeCell ref="M1:M3"/>
    <mergeCell ref="N1:N3"/>
    <mergeCell ref="O1:O3"/>
    <mergeCell ref="P1:P3"/>
    <mergeCell ref="Q1:Q3"/>
    <mergeCell ref="CO1:DJ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CK1:CN1"/>
    <mergeCell ref="BS2:BW2"/>
    <mergeCell ref="BX2:CB2"/>
    <mergeCell ref="L1:L3"/>
  </mergeCells>
  <conditionalFormatting sqref="H4:H1048576">
    <cfRule type="containsText" dxfId="184" priority="17" operator="containsText" text="No DD">
      <formula>NOT(ISERROR(SEARCH("No DD",H4)))</formula>
    </cfRule>
    <cfRule type="containsText" dxfId="183" priority="18" operator="containsText" text="Merit">
      <formula>NOT(ISERROR(SEARCH("Merit",H4)))</formula>
    </cfRule>
    <cfRule type="containsText" dxfId="182" priority="19" operator="containsText" text="Excellence">
      <formula>NOT(ISERROR(SEARCH("Excellence",H4)))</formula>
    </cfRule>
    <cfRule type="containsText" dxfId="181" priority="20" operator="containsText" text="Worlds Team">
      <formula>NOT(ISERROR(SEARCH("Worlds Team",H4)))</formula>
    </cfRule>
    <cfRule type="containsText" dxfId="180" priority="21" operator="containsText" text="National Team">
      <formula>NOT(ISERROR(SEARCH("National Team",H4)))</formula>
    </cfRule>
  </conditionalFormatting>
  <conditionalFormatting sqref="FW16:FW1048576 GS15:GS1048576 JG15:JG1048576 LU15:LU1048576 AO1:AO1048576 BL1:BL1048576 CI1:CI1048576 DI1:DI1048576 EE1:EE1048576 FA1:FA1048576 FW1:FW13 GS1:GS13 HO1:HO1048576 IK1:IK1048576 JG1:JG13 KC1:KC1048576 KY1:KY1048576 LU1:LU13 MQ1:MQ1048576">
    <cfRule type="cellIs" dxfId="179" priority="37585" operator="between">
      <formula>AP$15</formula>
      <formula>1000</formula>
    </cfRule>
  </conditionalFormatting>
  <conditionalFormatting sqref="H1:H3">
    <cfRule type="containsText" dxfId="178" priority="2" operator="containsText" text="No DD">
      <formula>NOT(ISERROR(SEARCH("No DD",H1)))</formula>
    </cfRule>
    <cfRule type="containsText" dxfId="177" priority="3" operator="containsText" text="Merit">
      <formula>NOT(ISERROR(SEARCH("Merit",H1)))</formula>
    </cfRule>
    <cfRule type="containsText" dxfId="176" priority="4" operator="containsText" text="Excellence">
      <formula>NOT(ISERROR(SEARCH("Excellence",H1)))</formula>
    </cfRule>
    <cfRule type="containsText" dxfId="175" priority="5" operator="containsText" text="Worlds Team">
      <formula>NOT(ISERROR(SEARCH("Worlds Team",H1)))</formula>
    </cfRule>
    <cfRule type="containsText" dxfId="174" priority="6" operator="containsText" text="National Team">
      <formula>NOT(ISERROR(SEARCH("National Team",H1)))</formula>
    </cfRule>
  </conditionalFormatting>
  <conditionalFormatting sqref="A4:A1048576">
    <cfRule type="expression" dxfId="173" priority="1">
      <formula>AND(G4&lt;&gt;"",F4="")</formula>
    </cfRule>
    <cfRule type="expression" dxfId="172" priority="48720">
      <formula>IF(A4&gt;4,1,0)</formula>
    </cfRule>
  </conditionalFormatting>
  <conditionalFormatting sqref="BN4:CJ5">
    <cfRule type="expression" dxfId="171" priority="70338" stopIfTrue="1">
      <formula>IF($CC4&lt;&gt;"",1,0)</formula>
    </cfRule>
  </conditionalFormatting>
  <conditionalFormatting sqref="AQ4:BM5">
    <cfRule type="expression" dxfId="170" priority="70344" stopIfTrue="1">
      <formula>IF($BF4&lt;&gt;"",1,0)</formula>
    </cfRule>
  </conditionalFormatting>
  <conditionalFormatting sqref="T4:AP5">
    <cfRule type="expression" dxfId="169" priority="70354" stopIfTrue="1">
      <formula>IF($AI4&lt;&gt;"",1,0)</formula>
    </cfRule>
  </conditionalFormatting>
  <conditionalFormatting sqref="L1:L1048576 P1:P1048576 J1:J1048576 N1:N1048576">
    <cfRule type="expression" dxfId="168" priority="70356">
      <formula>IF(J1=$BN$1,1,0)</formula>
    </cfRule>
    <cfRule type="expression" dxfId="167" priority="70357">
      <formula>IF(J1=$AQ$1,1,0)</formula>
    </cfRule>
    <cfRule type="expression" dxfId="166" priority="70358">
      <formula>IF(J1=$T$1,1,0)</formula>
    </cfRule>
  </conditionalFormatting>
  <conditionalFormatting sqref="DF1:DF1048576 EB1:EB1048576 EX1:EX1048576 FT1:FT1048576 GP1:GP1048576 HL1:HL1048576 IH1:IH1048576 JD1:JD1048576 JZ1:JZ1048576 KV1:KV1048576 LR1:LR1048576 MN1:MN1048576">
    <cfRule type="cellIs" dxfId="165" priority="75506" operator="between">
      <formula>DJ$15</formula>
      <formula>1000</formula>
    </cfRule>
    <cfRule type="cellIs" dxfId="164" priority="75507" operator="between">
      <formula>DJ$14</formula>
      <formula>DJ$15</formula>
    </cfRule>
  </conditionalFormatting>
  <conditionalFormatting sqref="DG1:DG1048576 EC1:EC1048576 EY1:EY1048576 FU1:FU1048576 GQ1:GQ1048576 HM1:HM1048576 II1:II1048576 JE1:JE1048576 KA1:KA1048576 KW1:KW1048576 LS1:LS1048576 MO1:MO1048576 AM1:AM1048576 BJ1:BJ1048576 CG1:CG1048576">
    <cfRule type="cellIs" dxfId="163" priority="75578" operator="between">
      <formula>AP$14</formula>
      <formula>1000</formula>
    </cfRule>
    <cfRule type="cellIs" dxfId="162" priority="75579" operator="between">
      <formula>AP$13</formula>
      <formula>AP$14</formula>
    </cfRule>
    <cfRule type="cellIs" dxfId="161" priority="75580" operator="between">
      <formula>AP$12</formula>
      <formula>AP$13</formula>
    </cfRule>
  </conditionalFormatting>
  <conditionalFormatting sqref="DD1:DD1048576 DZ1:DZ1048576 EV1:EV1048576 FR1:FR1048576 GN1:GN1048576 HJ1:HJ1048576 IF1:IF1048576 JB1:JB1048576 JX1:JX1048576 KT1:KT1048576 LP1:LP1048576 ML1:ML1048576">
    <cfRule type="cellIs" dxfId="160" priority="75713" operator="between">
      <formula>DJ$11</formula>
      <formula>1000</formula>
    </cfRule>
    <cfRule type="cellIs" dxfId="159" priority="75714" operator="between">
      <formula>DJ$10</formula>
      <formula>DJ$11</formula>
    </cfRule>
    <cfRule type="cellIs" dxfId="158" priority="75715" operator="between">
      <formula>DJ$9</formula>
      <formula>DJ$10</formula>
    </cfRule>
    <cfRule type="cellIs" dxfId="157" priority="75716" operator="between">
      <formula>DJ$8</formula>
      <formula>DJ$9</formula>
    </cfRule>
  </conditionalFormatting>
  <conditionalFormatting sqref="AK1:AK1048576 CE1:CE1048576 BH1:BH1048576">
    <cfRule type="cellIs" dxfId="156" priority="75857" operator="between">
      <formula>AP$11</formula>
      <formula>1000</formula>
    </cfRule>
    <cfRule type="cellIs" dxfId="155" priority="75858" operator="between">
      <formula>AP$10</formula>
      <formula>AP$11</formula>
    </cfRule>
    <cfRule type="cellIs" dxfId="154" priority="75859" operator="between">
      <formula>AP$9</formula>
      <formula>AP$10</formula>
    </cfRule>
    <cfRule type="cellIs" dxfId="153" priority="75860" operator="between">
      <formula>AP$8</formula>
      <formula>AP$9</formula>
    </cfRule>
  </conditionalFormatting>
  <conditionalFormatting sqref="AL1:AL1048576 CF1:CF1048576 BI1:BI1048576">
    <cfRule type="cellIs" dxfId="152" priority="75893" operator="between">
      <formula>AP$15</formula>
      <formula>1000</formula>
    </cfRule>
  </conditionalFormatting>
  <conditionalFormatting sqref="AN1:AN1048576 CH1:CH1048576 BK1:BK1048576 DH1:DH1048576 ED1:ED1048576 EZ1:EZ1048576 FV1:FV1048576 GR1:GR1048576 HN1:HN1048576 IJ1:IJ1048576 JF1:JF1048576 KB1:KB1048576 KX1:KX1048576 LT1:LT1048576 MP1:MP1048576">
    <cfRule type="cellIs" dxfId="151" priority="75902" operator="between">
      <formula>AP$11</formula>
      <formula>1000</formula>
    </cfRule>
    <cfRule type="cellIs" dxfId="150" priority="75903" operator="between">
      <formula>AP$10</formula>
      <formula>AP$11</formula>
    </cfRule>
    <cfRule type="cellIs" dxfId="149" priority="75904" operator="between">
      <formula>AP$9</formula>
      <formula>AP$10</formula>
    </cfRule>
    <cfRule type="cellIs" dxfId="148" priority="75905" operator="between">
      <formula>AP$8</formula>
      <formula>AP$9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C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64</v>
      </c>
      <c r="J1" s="75" t="s">
        <v>24</v>
      </c>
      <c r="K1" s="81" t="s">
        <v>65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75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84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97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99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66</v>
      </c>
      <c r="S2" s="69"/>
      <c r="T2" s="69"/>
      <c r="U2" s="69"/>
      <c r="V2" s="69" t="s">
        <v>67</v>
      </c>
      <c r="W2" s="69"/>
      <c r="X2" s="69"/>
      <c r="Y2" s="69"/>
      <c r="Z2" s="69" t="s">
        <v>69</v>
      </c>
      <c r="AA2" s="69"/>
      <c r="AB2" s="69"/>
      <c r="AC2" s="69"/>
      <c r="AD2" s="78" t="s">
        <v>70</v>
      </c>
      <c r="AE2" s="78"/>
      <c r="AF2" s="78"/>
      <c r="AG2" s="78"/>
      <c r="AH2" s="16"/>
      <c r="AI2" s="16" t="s">
        <v>98</v>
      </c>
      <c r="AJ2" s="16" t="s">
        <v>20</v>
      </c>
      <c r="AK2" s="16" t="s">
        <v>56</v>
      </c>
      <c r="AL2" s="16" t="s">
        <v>73</v>
      </c>
      <c r="AM2" s="16" t="s">
        <v>14</v>
      </c>
      <c r="AN2" s="70" t="s">
        <v>66</v>
      </c>
      <c r="AO2" s="70"/>
      <c r="AP2" s="70"/>
      <c r="AQ2" s="70"/>
      <c r="AR2" s="70" t="s">
        <v>67</v>
      </c>
      <c r="AS2" s="70"/>
      <c r="AT2" s="70"/>
      <c r="AU2" s="70"/>
      <c r="AV2" s="70" t="s">
        <v>69</v>
      </c>
      <c r="AW2" s="70"/>
      <c r="AX2" s="70"/>
      <c r="AY2" s="70"/>
      <c r="AZ2" s="79" t="s">
        <v>70</v>
      </c>
      <c r="BA2" s="79"/>
      <c r="BB2" s="79"/>
      <c r="BC2" s="79"/>
      <c r="BD2" s="17"/>
      <c r="BE2" s="17" t="s">
        <v>98</v>
      </c>
      <c r="BF2" s="17" t="s">
        <v>20</v>
      </c>
      <c r="BG2" s="17" t="s">
        <v>56</v>
      </c>
      <c r="BH2" s="17" t="s">
        <v>73</v>
      </c>
      <c r="BI2" s="17" t="s">
        <v>14</v>
      </c>
      <c r="BJ2" s="69" t="s">
        <v>66</v>
      </c>
      <c r="BK2" s="69"/>
      <c r="BL2" s="69"/>
      <c r="BM2" s="69"/>
      <c r="BN2" s="69" t="s">
        <v>67</v>
      </c>
      <c r="BO2" s="69"/>
      <c r="BP2" s="69"/>
      <c r="BQ2" s="69"/>
      <c r="BR2" s="69" t="s">
        <v>69</v>
      </c>
      <c r="BS2" s="69"/>
      <c r="BT2" s="69"/>
      <c r="BU2" s="69"/>
      <c r="BV2" s="78" t="s">
        <v>70</v>
      </c>
      <c r="BW2" s="78"/>
      <c r="BX2" s="78"/>
      <c r="BY2" s="78"/>
      <c r="BZ2" s="16"/>
      <c r="CA2" s="16" t="s">
        <v>98</v>
      </c>
      <c r="CB2" s="16" t="s">
        <v>20</v>
      </c>
      <c r="CC2" s="16" t="s">
        <v>56</v>
      </c>
      <c r="CD2" s="16" t="s">
        <v>73</v>
      </c>
      <c r="CE2" s="16" t="s">
        <v>14</v>
      </c>
      <c r="CF2" s="54" t="s">
        <v>72</v>
      </c>
      <c r="CG2" s="54" t="s">
        <v>19</v>
      </c>
      <c r="CH2" s="69" t="s">
        <v>66</v>
      </c>
      <c r="CI2" s="69"/>
      <c r="CJ2" s="69"/>
      <c r="CK2" s="69"/>
      <c r="CL2" s="69" t="s">
        <v>67</v>
      </c>
      <c r="CM2" s="69"/>
      <c r="CN2" s="69"/>
      <c r="CO2" s="69"/>
      <c r="CP2" s="69" t="s">
        <v>68</v>
      </c>
      <c r="CQ2" s="69"/>
      <c r="CR2" s="69"/>
      <c r="CS2" s="69"/>
      <c r="CT2" s="69" t="s">
        <v>69</v>
      </c>
      <c r="CU2" s="69"/>
      <c r="CV2" s="69"/>
      <c r="CW2" s="69"/>
      <c r="CX2" s="80" t="s">
        <v>70</v>
      </c>
      <c r="CY2" s="80"/>
      <c r="CZ2" s="80"/>
      <c r="DA2" s="80"/>
      <c r="DB2" s="16" t="s">
        <v>71</v>
      </c>
      <c r="DC2" s="16" t="s">
        <v>72</v>
      </c>
      <c r="DD2" s="16" t="s">
        <v>68</v>
      </c>
      <c r="DE2" s="16" t="s">
        <v>56</v>
      </c>
      <c r="DF2" s="16" t="s">
        <v>73</v>
      </c>
      <c r="DG2" s="16" t="s">
        <v>14</v>
      </c>
      <c r="DH2" s="70" t="s">
        <v>66</v>
      </c>
      <c r="DI2" s="70"/>
      <c r="DJ2" s="70"/>
      <c r="DK2" s="70"/>
      <c r="DL2" s="70" t="s">
        <v>67</v>
      </c>
      <c r="DM2" s="70"/>
      <c r="DN2" s="70"/>
      <c r="DO2" s="70"/>
      <c r="DP2" s="70" t="s">
        <v>68</v>
      </c>
      <c r="DQ2" s="70"/>
      <c r="DR2" s="70"/>
      <c r="DS2" s="70"/>
      <c r="DT2" s="70" t="s">
        <v>69</v>
      </c>
      <c r="DU2" s="70"/>
      <c r="DV2" s="70"/>
      <c r="DW2" s="70"/>
      <c r="DX2" s="79" t="s">
        <v>70</v>
      </c>
      <c r="DY2" s="79"/>
      <c r="DZ2" s="79"/>
      <c r="EA2" s="79"/>
      <c r="EB2" s="17" t="s">
        <v>71</v>
      </c>
      <c r="EC2" s="17" t="s">
        <v>72</v>
      </c>
      <c r="ED2" s="17" t="s">
        <v>68</v>
      </c>
      <c r="EE2" s="17" t="s">
        <v>56</v>
      </c>
      <c r="EF2" s="17" t="s">
        <v>73</v>
      </c>
      <c r="EG2" s="17" t="s">
        <v>14</v>
      </c>
      <c r="EH2" s="69" t="s">
        <v>66</v>
      </c>
      <c r="EI2" s="69"/>
      <c r="EJ2" s="69"/>
      <c r="EK2" s="69"/>
      <c r="EL2" s="69" t="s">
        <v>67</v>
      </c>
      <c r="EM2" s="69"/>
      <c r="EN2" s="69"/>
      <c r="EO2" s="69"/>
      <c r="EP2" s="69" t="s">
        <v>68</v>
      </c>
      <c r="EQ2" s="69"/>
      <c r="ER2" s="69"/>
      <c r="ES2" s="69"/>
      <c r="ET2" s="69" t="s">
        <v>69</v>
      </c>
      <c r="EU2" s="69"/>
      <c r="EV2" s="69"/>
      <c r="EW2" s="69"/>
      <c r="EX2" s="80" t="s">
        <v>70</v>
      </c>
      <c r="EY2" s="80"/>
      <c r="EZ2" s="80"/>
      <c r="FA2" s="80"/>
      <c r="FB2" s="16" t="s">
        <v>71</v>
      </c>
      <c r="FC2" s="16" t="s">
        <v>72</v>
      </c>
      <c r="FD2" s="16" t="s">
        <v>68</v>
      </c>
      <c r="FE2" s="16" t="s">
        <v>56</v>
      </c>
      <c r="FF2" s="16" t="s">
        <v>73</v>
      </c>
      <c r="FG2" s="16" t="s">
        <v>14</v>
      </c>
      <c r="FH2" s="70" t="s">
        <v>66</v>
      </c>
      <c r="FI2" s="70"/>
      <c r="FJ2" s="70"/>
      <c r="FK2" s="70"/>
      <c r="FL2" s="70" t="s">
        <v>67</v>
      </c>
      <c r="FM2" s="70"/>
      <c r="FN2" s="70"/>
      <c r="FO2" s="70"/>
      <c r="FP2" s="70" t="s">
        <v>68</v>
      </c>
      <c r="FQ2" s="70"/>
      <c r="FR2" s="70"/>
      <c r="FS2" s="70"/>
      <c r="FT2" s="70" t="s">
        <v>69</v>
      </c>
      <c r="FU2" s="70"/>
      <c r="FV2" s="70"/>
      <c r="FW2" s="70"/>
      <c r="FX2" s="79" t="s">
        <v>70</v>
      </c>
      <c r="FY2" s="79"/>
      <c r="FZ2" s="79"/>
      <c r="GA2" s="79"/>
      <c r="GB2" s="17" t="s">
        <v>71</v>
      </c>
      <c r="GC2" s="17" t="s">
        <v>72</v>
      </c>
      <c r="GD2" s="17" t="s">
        <v>68</v>
      </c>
      <c r="GE2" s="17" t="s">
        <v>56</v>
      </c>
      <c r="GF2" s="17" t="s">
        <v>73</v>
      </c>
      <c r="GG2" s="17" t="s">
        <v>14</v>
      </c>
      <c r="GH2" s="69" t="s">
        <v>66</v>
      </c>
      <c r="GI2" s="69"/>
      <c r="GJ2" s="69"/>
      <c r="GK2" s="69"/>
      <c r="GL2" s="69" t="s">
        <v>67</v>
      </c>
      <c r="GM2" s="69"/>
      <c r="GN2" s="69"/>
      <c r="GO2" s="69"/>
      <c r="GP2" s="69" t="s">
        <v>68</v>
      </c>
      <c r="GQ2" s="69"/>
      <c r="GR2" s="69"/>
      <c r="GS2" s="69"/>
      <c r="GT2" s="69" t="s">
        <v>69</v>
      </c>
      <c r="GU2" s="69"/>
      <c r="GV2" s="69"/>
      <c r="GW2" s="69"/>
      <c r="GX2" s="80" t="s">
        <v>70</v>
      </c>
      <c r="GY2" s="80"/>
      <c r="GZ2" s="80"/>
      <c r="HA2" s="80"/>
      <c r="HB2" s="16" t="s">
        <v>71</v>
      </c>
      <c r="HC2" s="16" t="s">
        <v>72</v>
      </c>
      <c r="HD2" s="16" t="s">
        <v>68</v>
      </c>
      <c r="HE2" s="16" t="s">
        <v>56</v>
      </c>
      <c r="HF2" s="16" t="s">
        <v>73</v>
      </c>
      <c r="HG2" s="16" t="s">
        <v>14</v>
      </c>
      <c r="HH2" s="70" t="s">
        <v>66</v>
      </c>
      <c r="HI2" s="70"/>
      <c r="HJ2" s="70"/>
      <c r="HK2" s="70"/>
      <c r="HL2" s="70" t="s">
        <v>67</v>
      </c>
      <c r="HM2" s="70"/>
      <c r="HN2" s="70"/>
      <c r="HO2" s="70"/>
      <c r="HP2" s="70" t="s">
        <v>68</v>
      </c>
      <c r="HQ2" s="70"/>
      <c r="HR2" s="70"/>
      <c r="HS2" s="70"/>
      <c r="HT2" s="70" t="s">
        <v>69</v>
      </c>
      <c r="HU2" s="70"/>
      <c r="HV2" s="70"/>
      <c r="HW2" s="70"/>
      <c r="HX2" s="79" t="s">
        <v>70</v>
      </c>
      <c r="HY2" s="79"/>
      <c r="HZ2" s="79"/>
      <c r="IA2" s="79"/>
      <c r="IB2" s="17" t="s">
        <v>71</v>
      </c>
      <c r="IC2" s="17" t="s">
        <v>72</v>
      </c>
      <c r="ID2" s="17" t="s">
        <v>68</v>
      </c>
      <c r="IE2" s="17" t="s">
        <v>56</v>
      </c>
      <c r="IF2" s="17" t="s">
        <v>73</v>
      </c>
      <c r="IG2" s="17" t="s">
        <v>14</v>
      </c>
      <c r="IH2" s="69" t="s">
        <v>66</v>
      </c>
      <c r="II2" s="69"/>
      <c r="IJ2" s="69"/>
      <c r="IK2" s="69"/>
      <c r="IL2" s="69" t="s">
        <v>67</v>
      </c>
      <c r="IM2" s="69"/>
      <c r="IN2" s="69"/>
      <c r="IO2" s="69"/>
      <c r="IP2" s="69" t="s">
        <v>68</v>
      </c>
      <c r="IQ2" s="69"/>
      <c r="IR2" s="69"/>
      <c r="IS2" s="69"/>
      <c r="IT2" s="69" t="s">
        <v>69</v>
      </c>
      <c r="IU2" s="69"/>
      <c r="IV2" s="69"/>
      <c r="IW2" s="69"/>
      <c r="IX2" s="80" t="s">
        <v>70</v>
      </c>
      <c r="IY2" s="80"/>
      <c r="IZ2" s="80"/>
      <c r="JA2" s="80"/>
      <c r="JB2" s="16" t="s">
        <v>71</v>
      </c>
      <c r="JC2" s="16" t="s">
        <v>72</v>
      </c>
      <c r="JD2" s="16" t="s">
        <v>68</v>
      </c>
      <c r="JE2" s="16" t="s">
        <v>56</v>
      </c>
      <c r="JF2" s="16" t="s">
        <v>73</v>
      </c>
      <c r="JG2" s="16" t="s">
        <v>14</v>
      </c>
      <c r="JH2" s="70" t="s">
        <v>66</v>
      </c>
      <c r="JI2" s="70"/>
      <c r="JJ2" s="70"/>
      <c r="JK2" s="70"/>
      <c r="JL2" s="70" t="s">
        <v>67</v>
      </c>
      <c r="JM2" s="70"/>
      <c r="JN2" s="70"/>
      <c r="JO2" s="70"/>
      <c r="JP2" s="70" t="s">
        <v>68</v>
      </c>
      <c r="JQ2" s="70"/>
      <c r="JR2" s="70"/>
      <c r="JS2" s="70"/>
      <c r="JT2" s="70" t="s">
        <v>69</v>
      </c>
      <c r="JU2" s="70"/>
      <c r="JV2" s="70"/>
      <c r="JW2" s="70"/>
      <c r="JX2" s="79" t="s">
        <v>70</v>
      </c>
      <c r="JY2" s="79"/>
      <c r="JZ2" s="79"/>
      <c r="KA2" s="79"/>
      <c r="KB2" s="17" t="s">
        <v>71</v>
      </c>
      <c r="KC2" s="17" t="s">
        <v>72</v>
      </c>
      <c r="KD2" s="17" t="s">
        <v>68</v>
      </c>
      <c r="KE2" s="17" t="s">
        <v>56</v>
      </c>
      <c r="KF2" s="17" t="s">
        <v>73</v>
      </c>
      <c r="KG2" s="17" t="s">
        <v>14</v>
      </c>
      <c r="KH2" s="69" t="s">
        <v>66</v>
      </c>
      <c r="KI2" s="69"/>
      <c r="KJ2" s="69"/>
      <c r="KK2" s="69"/>
      <c r="KL2" s="69" t="s">
        <v>67</v>
      </c>
      <c r="KM2" s="69"/>
      <c r="KN2" s="69"/>
      <c r="KO2" s="69"/>
      <c r="KP2" s="69" t="s">
        <v>68</v>
      </c>
      <c r="KQ2" s="69"/>
      <c r="KR2" s="69"/>
      <c r="KS2" s="69"/>
      <c r="KT2" s="69" t="s">
        <v>69</v>
      </c>
      <c r="KU2" s="69"/>
      <c r="KV2" s="69"/>
      <c r="KW2" s="69"/>
      <c r="KX2" s="80" t="s">
        <v>70</v>
      </c>
      <c r="KY2" s="80"/>
      <c r="KZ2" s="80"/>
      <c r="LA2" s="80"/>
      <c r="LB2" s="16" t="s">
        <v>71</v>
      </c>
      <c r="LC2" s="16" t="s">
        <v>72</v>
      </c>
      <c r="LD2" s="16" t="s">
        <v>68</v>
      </c>
      <c r="LE2" s="16" t="s">
        <v>56</v>
      </c>
      <c r="LF2" s="16" t="s">
        <v>73</v>
      </c>
      <c r="LG2" s="16" t="s">
        <v>14</v>
      </c>
      <c r="LH2" s="70" t="s">
        <v>66</v>
      </c>
      <c r="LI2" s="70"/>
      <c r="LJ2" s="70"/>
      <c r="LK2" s="70"/>
      <c r="LL2" s="70" t="s">
        <v>67</v>
      </c>
      <c r="LM2" s="70"/>
      <c r="LN2" s="70"/>
      <c r="LO2" s="70"/>
      <c r="LP2" s="70" t="s">
        <v>68</v>
      </c>
      <c r="LQ2" s="70"/>
      <c r="LR2" s="70"/>
      <c r="LS2" s="70"/>
      <c r="LT2" s="70" t="s">
        <v>69</v>
      </c>
      <c r="LU2" s="70"/>
      <c r="LV2" s="70"/>
      <c r="LW2" s="70"/>
      <c r="LX2" s="79" t="s">
        <v>70</v>
      </c>
      <c r="LY2" s="79"/>
      <c r="LZ2" s="79"/>
      <c r="MA2" s="79"/>
      <c r="MB2" s="17" t="s">
        <v>71</v>
      </c>
      <c r="MC2" s="17" t="s">
        <v>72</v>
      </c>
      <c r="MD2" s="17" t="s">
        <v>68</v>
      </c>
      <c r="ME2" s="17" t="s">
        <v>56</v>
      </c>
      <c r="MF2" s="17" t="s">
        <v>73</v>
      </c>
      <c r="MG2" s="17" t="s">
        <v>14</v>
      </c>
      <c r="MH2" s="69" t="s">
        <v>66</v>
      </c>
      <c r="MI2" s="69"/>
      <c r="MJ2" s="69"/>
      <c r="MK2" s="69"/>
      <c r="ML2" s="69" t="s">
        <v>67</v>
      </c>
      <c r="MM2" s="69"/>
      <c r="MN2" s="69"/>
      <c r="MO2" s="69"/>
      <c r="MP2" s="69" t="s">
        <v>68</v>
      </c>
      <c r="MQ2" s="69"/>
      <c r="MR2" s="69"/>
      <c r="MS2" s="69"/>
      <c r="MT2" s="69" t="s">
        <v>69</v>
      </c>
      <c r="MU2" s="69"/>
      <c r="MV2" s="69"/>
      <c r="MW2" s="69"/>
      <c r="MX2" s="80" t="s">
        <v>70</v>
      </c>
      <c r="MY2" s="80"/>
      <c r="MZ2" s="80"/>
      <c r="NA2" s="80"/>
      <c r="NB2" s="16" t="s">
        <v>71</v>
      </c>
      <c r="NC2" s="16" t="s">
        <v>72</v>
      </c>
      <c r="ND2" s="16" t="s">
        <v>68</v>
      </c>
      <c r="NE2" s="16" t="s">
        <v>56</v>
      </c>
      <c r="NF2" s="16" t="s">
        <v>73</v>
      </c>
      <c r="NG2" s="16" t="s">
        <v>14</v>
      </c>
      <c r="NH2" s="70" t="s">
        <v>66</v>
      </c>
      <c r="NI2" s="70"/>
      <c r="NJ2" s="70"/>
      <c r="NK2" s="70"/>
      <c r="NL2" s="70" t="s">
        <v>67</v>
      </c>
      <c r="NM2" s="70"/>
      <c r="NN2" s="70"/>
      <c r="NO2" s="70"/>
      <c r="NP2" s="70" t="s">
        <v>68</v>
      </c>
      <c r="NQ2" s="70"/>
      <c r="NR2" s="70"/>
      <c r="NS2" s="70"/>
      <c r="NT2" s="70" t="s">
        <v>69</v>
      </c>
      <c r="NU2" s="70"/>
      <c r="NV2" s="70"/>
      <c r="NW2" s="70"/>
      <c r="NX2" s="79" t="s">
        <v>70</v>
      </c>
      <c r="NY2" s="79"/>
      <c r="NZ2" s="79"/>
      <c r="OA2" s="79"/>
      <c r="OB2" s="17" t="s">
        <v>71</v>
      </c>
      <c r="OC2" s="17" t="s">
        <v>72</v>
      </c>
      <c r="OD2" s="17" t="s">
        <v>68</v>
      </c>
      <c r="OE2" s="17" t="s">
        <v>56</v>
      </c>
      <c r="OF2" s="17" t="s">
        <v>73</v>
      </c>
      <c r="OG2" s="17" t="s">
        <v>14</v>
      </c>
      <c r="OH2" s="69" t="s">
        <v>66</v>
      </c>
      <c r="OI2" s="69"/>
      <c r="OJ2" s="69"/>
      <c r="OK2" s="69"/>
      <c r="OL2" s="69" t="s">
        <v>67</v>
      </c>
      <c r="OM2" s="69"/>
      <c r="ON2" s="69"/>
      <c r="OO2" s="69"/>
      <c r="OP2" s="69" t="s">
        <v>69</v>
      </c>
      <c r="OQ2" s="69"/>
      <c r="OR2" s="69"/>
      <c r="OS2" s="69"/>
      <c r="OT2" s="78" t="s">
        <v>70</v>
      </c>
      <c r="OU2" s="78"/>
      <c r="OV2" s="78"/>
      <c r="OW2" s="78"/>
      <c r="OX2" s="16"/>
      <c r="OY2" s="16" t="s">
        <v>98</v>
      </c>
      <c r="OZ2" s="16" t="s">
        <v>20</v>
      </c>
      <c r="PA2" s="16" t="s">
        <v>56</v>
      </c>
      <c r="PB2" s="16" t="s">
        <v>73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90</v>
      </c>
      <c r="C4" s="4" t="s">
        <v>62</v>
      </c>
      <c r="D4" s="4">
        <v>2010</v>
      </c>
      <c r="E4" s="10">
        <f>SUM(I4:O4)+SUM(I4:M4)*0.0000001+SUM(I4)*0.0000000000001</f>
        <v>125.10000861000431</v>
      </c>
      <c r="F4" s="3" t="str">
        <f>IF(OR(AND(AI4&gt;=AM$8,AJ4&gt;=AM$12,AI4&lt;&gt;"",AH4=""),AND(AK4&gt;=AM$8,AL4&gt;=AM$12,AK4&lt;&gt;"",AH4=""),AND(BE4&gt;=BI$8,BF4&gt;=BI$12,BE4&lt;&gt;"",BD4=""),AND(BG4&gt;=BI$8,BH4&gt;=BI$12,BG4&lt;&gt;"",BD4=""),AND(CA4&gt;=CE$8,CB4&gt;=CE$12,CA4&lt;&gt;"",BZ4=""),AND(CC4&gt;=CE$8,CD4&gt;=CE$12,CC4&lt;&gt;""),AND(DB4&gt;=DG$8,DC4&gt;=DG$12,DB4&lt;&gt;""),AND(DE4&gt;=DG$8,DF4&gt;=DG$12,DE4&lt;&gt;""),AND(EB4&gt;=EG$8,EC4&gt;=EG$12,EB4&lt;&gt;""),AND(EE4&gt;=EG$8,EF4&gt;=EG$12,EE4&lt;&gt;""),AND(FB4&gt;=FG$8,FC4&gt;=FG$12,FB4&lt;&gt;""),AND(FE4&gt;=FG$8,FF4&gt;=FG$12,FE4&lt;&gt;""),AND(GB4&gt;=GG$8,GC4&gt;=GG$12,GB4&lt;&gt;""),AND(GE4&gt;=GG$8,GF4&gt;=GG$12,GE4&lt;&gt;""),AND(HB4&gt;=HG$8,HC4&gt;=HG$12,HB4&lt;&gt;""),AND(HE4&gt;=HG$8,HF4&gt;=HG$12,HE4&lt;&gt;""),AND(IB4&gt;=IG$8,IC4&gt;=IG$12,IB4&lt;&gt;""),AND(IE4&gt;=IG$8,IF4&gt;=IG$12,IE4&lt;&gt;""),AND(JB4&gt;=JG$8,JC4&gt;=JG$12,JB4&lt;&gt;""),AND(JE4&gt;=JG$8,JF4&gt;=JG$12,JE4&lt;&gt;""),AND(KB4&gt;=KG$8,KC4&gt;=KG$12,KB4&lt;&gt;""),AND(KE4&gt;=KG$8,KF4&gt;=KG$12,KE4&lt;&gt;""),AND(LB4&gt;=LG$8,LC4&gt;=LG$12,LB4&lt;&gt;""),AND(LE4&gt;=LG$8,LF4&gt;=LG$12,LE4&lt;&gt;""),AND(MB4&gt;=MG$8,MC4&gt;=MG$12,MB4&lt;&gt;""),AND(ME4&gt;=MG$8,MF4&gt;=MG$12,ME4&lt;&gt;""),AND(NB4&gt;=NG$8,NC4&gt;=NG$12,NB4&lt;&gt;""),AND(NE4&gt;=NG$8,NF4&gt;=NG$12,NE4&lt;&gt;""),AND(OB4&gt;=OG$8,OC4&gt;=OG$12,OB4&lt;&gt;""),AND(OE4&gt;=OG$8,OF4&gt;=OG$12,OE4&lt;&gt;"")),"P","")</f>
        <v/>
      </c>
      <c r="G4" s="3" t="str">
        <f>IF(OR(AND(AJ4&gt;=AM$12,AJ4&lt;&gt;"",AH4=""),AND(AL4&gt;=AM$12,AL4&lt;&gt;"",AH4=""),AND(BF4&gt;=BI$12,BF4&lt;&gt;"",BD4=""),AND(BH4&gt;=BI$12,BH4&lt;&gt;"",BD4=""),AND(CB4&gt;=CE$12,CB4&lt;&gt;"",BZ4=""),AND(CD4&gt;=CE$12,CD4&lt;&gt;"",BZ4=""),AND(DC4&gt;=DG$12,DC4&lt;&gt;""),AND(DF4&gt;=DG$12,DF4&lt;&gt;""),AND(EC4&gt;=EG$12,EC4&lt;&gt;""),AND(EF4&gt;=EG$12,EF4&lt;&gt;""),AND(FC4&gt;=FG$12,FC4&lt;&gt;""),AND(FF4&gt;=FG$12,FF4&lt;&gt;""),AND(GC4&gt;=GG$12,GC4&lt;&gt;""),AND(GF4&gt;=GG$12,GF4&lt;&gt;""),AND(HC4&gt;=HG$12,HC4&lt;&gt;""),AND(HF4&gt;=HG$12,HF4&lt;&gt;""),AND(IC4&gt;=IG$12,IC4&lt;&gt;""),AND(IF4&gt;=IG$12,IF4&lt;&gt;""),AND(JC4&gt;=JG$12,JC4&lt;&gt;""),AND(JF4&gt;=JG$12,JF4&lt;&gt;""),AND(KC4&gt;=KG$12,KC4&lt;&gt;""),AND(KF4&gt;=KG$12,KF4&lt;&gt;""),AND(LC4&gt;=LG$12,LC4&lt;&gt;""),AND(LF4&gt;=LG$12,LF4&lt;&gt;""),AND(MC4&gt;=MG$12,MC4&lt;&gt;""),AND(MF4&gt;=MG$12,MF4&lt;&gt;""),AND(NC4&gt;=NG$12,NC4&lt;&gt;""),AND(NF4&gt;=NG$12,NF4&lt;&gt;""),AND(OC4&gt;=OG$12,OC4&lt;&gt;""),AND(OF4&gt;=OG$12,OF4&lt;&gt;"")),"P","")</f>
        <v/>
      </c>
      <c r="H4" s="47" t="str">
        <f>IF(AND(G4="P",F4=""),"No DD",IF(OR(AND(AI4&gt;=AM$11,AJ4&gt;=AM$15,AI4&lt;&gt;"",AH4=""),AND(AK4&gt;=AM$11,AL4&gt;=AM$15,AK4&lt;&gt;"",AH4=""),AND(BE4&gt;=BI$11,BF4&gt;=BI$15,BE4&lt;&gt;"",BD4=""),AND(BG4&gt;=BI$11,BH4&gt;=BI$15,BG4&lt;&gt;"",BD4=""),AND(CA4&gt;=CE$11,CB4&gt;=CE$15,CA4&lt;&gt;"",BZ4=""),AND(CC4&gt;=CE$11,CD4&gt;=CE$15,CC4&lt;&gt;""),AND(DB4&gt;=DG$11,DC4&gt;=DG$15,DB4&lt;&gt;""),AND(DE4&gt;=DG$11,DF4&gt;=DG$15,DE4&lt;&gt;""),AND(EB4&gt;=EG$11,EC4&gt;=EG$15,EB4&lt;&gt;""),AND(EE4&gt;=EG$11,EF4&gt;=EG$15,EE4&lt;&gt;""),AND(FB4&gt;=FG$11,FC4&gt;=FG$15,FB4&lt;&gt;""),AND(FE4&gt;=FG$11,FF4&gt;=FG$15,FE4&lt;&gt;""),AND(GB4&gt;=GG$11,GC4&gt;=GG$15,GB4&lt;&gt;""),AND(GE4&gt;=GG$11,GF4&gt;=GG$15,GE4&lt;&gt;""),AND(HB4&gt;=HG$11,HC4&gt;=HG$15,HB4&lt;&gt;""),AND(HE4&gt;=HG$11,HF4&gt;=HG$15,HE4&lt;&gt;""),AND(IB4&gt;=IG$11,IC4&gt;=IG$15,IB4&lt;&gt;""),AND(IE4&gt;=IG$11,IF4&gt;=IG$15,IE4&lt;&gt;""),AND(JB4&gt;=JG$11,JC4&gt;=JG$15,JB4&lt;&gt;""),AND(JE4&gt;=JG$11,JF4&gt;=JG$15,JE4&lt;&gt;""),AND(KB4&gt;=KG$11,KC4&gt;=KG$15,KB4&lt;&gt;""),AND(KE4&gt;=KG$11,KF4&gt;=KG$15,KE4&lt;&gt;""),AND(LB4&gt;=LG$11,LC4&gt;=LG$15,LB4&lt;&gt;""),AND(LE4&gt;=LG$11,LF4&gt;=LG$15,LE4&lt;&gt;""),AND(MB4&gt;=MG$11,MC4&gt;=MG$15,MB4&lt;&gt;""),AND(ME4&gt;=MG$11,MF4&gt;=MG$15,ME4&lt;&gt;""),AND(NB4&gt;=NG$11,NC4&gt;=NG$15,NB4&lt;&gt;""),AND(NE4&gt;=NG$11,NF4&gt;=NG$15,NE4&lt;&gt;""),AND(OB4&gt;=OG$11,OC4&gt;=OG$15,OB4&lt;&gt;""),AND(OE4&gt;=OG$11,OF4&gt;=OG$15,OE4&lt;&gt;"")),"Merit",IF(OR(AND(AI4&gt;=AM$10,AJ4&gt;=AM$14,AI4&lt;&gt;"",AH4=""),AND(AK4&gt;=AM$10,AL4&gt;=AM$14,AK4&lt;&gt;"",AH4=""),AND(BE4&gt;=BI$10,BF4&gt;=BI$14,BE4&lt;&gt;"",BD4=""),AND(BG4&gt;=BI$10,BH4&gt;=BI$14,BG4&lt;&gt;"",BD4=""),AND(CA4&gt;=CE$10,CB4&gt;=CE$14,CA4&lt;&gt;"",BZ4=""),AND(CC4&gt;=CE$10,CD4&gt;=CE$14,CC4&lt;&gt;""),AND(DB4&gt;=DG$10,DC4&gt;=DG$14,DB4&lt;&gt;""),AND(DE4&gt;=DG$10,DF4&gt;=DG$14,DE4&lt;&gt;""),AND(EB4&gt;=EG$10,EC4&gt;=EG$14,EB4&lt;&gt;""),AND(EE4&gt;=EG$10,EF4&gt;=EG$14,EE4&lt;&gt;""),AND(FB4&gt;=FG$10,FC4&gt;=FG$14,FB4&lt;&gt;""),AND(FE4&gt;=FG$10,FF4&gt;=FG$14,FE4&lt;&gt;""),AND(GB4&gt;=GG$10,GC4&gt;=GG$14,GB4&lt;&gt;""),AND(GE4&gt;=GG$10,GF4&gt;=GG$14,GE4&lt;&gt;""),AND(HB4&gt;=HG$10,HC4&gt;=HG$14,HB4&lt;&gt;""),AND(HE4&gt;=HG$10,HF4&gt;=HG$14,HE4&lt;&gt;""),AND(IB4&gt;=IG$10,IC4&gt;=IG$14,IB4&lt;&gt;""),AND(IE4&gt;=IG$10,IF4&gt;=IG$14,IE4&lt;&gt;""),AND(JB4&gt;=JG$10,JC4&gt;=JG$14,JB4&lt;&gt;""),AND(JE4&gt;=JG$10,JF4&gt;=JG$14,JE4&lt;&gt;""),AND(KB4&gt;=KG$10,KC4&gt;=KG$14,KB4&lt;&gt;""),AND(KE4&gt;=KG$10,KF4&gt;=KG$14,KE4&lt;&gt;""),AND(LB4&gt;=LG$10,LC4&gt;=LG$14,LB4&lt;&gt;""),AND(LE4&gt;=LG$10,LF4&gt;=LG$14,LE4&lt;&gt;""),AND(MB4&gt;=MG$10,MC4&gt;=MG$14,MB4&lt;&gt;""),AND(ME4&gt;=MG$10,MF4&gt;=MG$14,ME4&lt;&gt;""),AND(NB4&gt;=NG$10,NC4&gt;=NG$14,NB4&lt;&gt;""),AND(NE4&gt;=NG$10,NF4&gt;=NG$14,NE4&lt;&gt;""),AND(OB4&gt;=OG$10,OC4&gt;=OG$14,OB4&lt;&gt;""),AND(OE4&gt;=OG$10,OF4&gt;=OG$14,OE4&lt;&gt;"")),"Excellence",IF(F4="P","National Team",""))))</f>
        <v/>
      </c>
      <c r="I4" s="9">
        <f>IF(COUNT(AJ4,BF4,CB4)&gt;0,LARGE((AJ4,BF4,CB4),1),0)</f>
        <v>43.199999999999996</v>
      </c>
      <c r="J4" s="9" t="str">
        <f>IF(I4=0,"",IF(I4=CB4,$BJ$1,IF(I4=BF4,$AN$1,IF(I4=AJ4,$R$1,""))))</f>
        <v>2025 Nationals</v>
      </c>
      <c r="K4" s="9">
        <f>IF(COUNT(AJ4,BF4,CB4)&gt;1,LARGE((AJ4,BF4,CB4),2),0)</f>
        <v>0</v>
      </c>
      <c r="L4" s="9" t="str">
        <f>IF(K4=0,"",IF(AND(K4=I4,K4=AJ4,K4=BF4),$R$1,IF(AND(K4=I4,K4=AJ4,K4=CB4),$R$1,IF(AND(K4=I4,K4=CB4,K4=BF4),$AN$1,IF(K4=CB4,$BJ$1,IF(K4=BF4,$AN$1,IF(K4=AJ4,$R$1,"")))))))</f>
        <v/>
      </c>
      <c r="M4" s="9">
        <f>IF(MAX(AL4,BH4,CD4)&gt;0,MAX(AL4,BH4,CD4),0)</f>
        <v>42.9</v>
      </c>
      <c r="N4" s="9" t="str">
        <f>IF(M4=0,"",IF(M4=CD4,$BJ$1,IF(M4=BH4,$AN$1,IF(M4=AL4,$R$1,""))))</f>
        <v>2025 Nationals</v>
      </c>
      <c r="O4" s="9">
        <f>IF(MAX(CF4:CG4)&gt;0,MAX(CF4:CG4),"")</f>
        <v>39</v>
      </c>
      <c r="P4" s="14" t="str">
        <f>IF(O4="","",IF(O4=CF4,"("&amp;CF$2&amp;")",IF(O4=CG4,"("&amp;CG$2&amp;")")))</f>
        <v>(Q1)</v>
      </c>
      <c r="Q4" s="9" t="str">
        <f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>2025 WAGC (Nov 16)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32"/>
      <c r="AI4" s="55" t="str">
        <f>IF(SUM(S4,W4)&gt;0,SUM(S4,W4),"")</f>
        <v/>
      </c>
      <c r="AJ4" s="55" t="str">
        <f>IF(SUM(R4:S4,U4:W4,Y4)-T4-X4&gt;0,SUM(R4:S4,U4:W4,Y4)-T4-X4,"")</f>
        <v/>
      </c>
      <c r="AK4" s="55" t="str">
        <f>IF(SUM(AA4,AE4)&gt;0,SUM(AA4,AE4),"")</f>
        <v/>
      </c>
      <c r="AL4" s="55" t="str">
        <f>IF(SUM(Z4:AA4,AC4:AE4,AG4)-SUM(AB4,AF4)&gt;0,SUM(Z4:AA4,AC4:AE4,AG4)-SUM(AB4,AF4),"")</f>
        <v/>
      </c>
      <c r="AM4" s="55" t="str">
        <f>IF(SUM(AJ4,AL4)&gt;0,SUM(AJ4,AL4),"")</f>
        <v/>
      </c>
      <c r="AN4" s="19">
        <v>17.2</v>
      </c>
      <c r="AO4" s="19">
        <v>4.5999999999999996</v>
      </c>
      <c r="AP4" s="19">
        <v>0</v>
      </c>
      <c r="AQ4" s="19">
        <v>0</v>
      </c>
      <c r="AR4" s="19">
        <v>17.5</v>
      </c>
      <c r="AS4" s="19">
        <v>3.9</v>
      </c>
      <c r="AT4" s="19">
        <v>0</v>
      </c>
      <c r="AU4" s="19">
        <v>0</v>
      </c>
      <c r="AV4" s="19">
        <v>17</v>
      </c>
      <c r="AW4" s="19">
        <v>4.5999999999999996</v>
      </c>
      <c r="AX4" s="19">
        <v>0</v>
      </c>
      <c r="AY4" s="19">
        <v>0</v>
      </c>
      <c r="AZ4" s="19">
        <v>16.5</v>
      </c>
      <c r="BA4" s="19">
        <v>4.8</v>
      </c>
      <c r="BB4" s="19">
        <v>0</v>
      </c>
      <c r="BC4" s="19">
        <v>0</v>
      </c>
      <c r="BD4" s="33"/>
      <c r="BE4" s="14">
        <f>IF(SUM(AO4,AS4)&gt;0,SUM(AO4,AS4),"")</f>
        <v>8.5</v>
      </c>
      <c r="BF4" s="14">
        <f>IF(SUM(AN4:AO4,AQ4:AS4,AU4)-AP4-AT4&gt;0,SUM(AN4:AO4,AQ4:AS4,AU4)-AP4-AT4,"")</f>
        <v>43.199999999999996</v>
      </c>
      <c r="BG4" s="14">
        <f>IF(SUM(AW4,BA4)&gt;0,SUM(AW4,BA4),"")</f>
        <v>9.3999999999999986</v>
      </c>
      <c r="BH4" s="14">
        <f>IF(SUM(AV4:AW4,AY4:BA4,BC4)-SUM(AX4,BB4)&gt;0,SUM(AV4:AW4,AY4:BA4,BC4)-SUM(AX4,BB4),"")</f>
        <v>42.9</v>
      </c>
      <c r="BI4" s="14">
        <f>IF(SUM(BF4,BH4)&gt;0,SUM(BF4,BH4),"")</f>
        <v>86.1</v>
      </c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32"/>
      <c r="CA4" s="55" t="str">
        <f>IF(SUM(BK4,BO4)&gt;0,SUM(BK4,BO4),"")</f>
        <v/>
      </c>
      <c r="CB4" s="55" t="str">
        <f>IF(SUM(BJ4:BK4,BM4:BO4,BQ4)-BL4-BP4&gt;0,SUM(BJ4:BK4,BM4:BO4,BQ4)-BL4-BP4,"")</f>
        <v/>
      </c>
      <c r="CC4" s="55" t="str">
        <f>IF(SUM(BS4,BW4)&gt;0,SUM(BS4,BW4),"")</f>
        <v/>
      </c>
      <c r="CD4" s="55" t="str">
        <f>IF(SUM(BR4:BS4,BU4:BW4,BY4)-SUM(BT4,BX4)&gt;0,SUM(BR4:BS4,BU4:BW4,BY4)-SUM(BT4,BX4),"")</f>
        <v/>
      </c>
      <c r="CE4" s="55" t="str">
        <f>IF(SUM(CB4,CD4)&gt;0,SUM(CB4,CD4),"")</f>
        <v/>
      </c>
      <c r="CF4" s="56">
        <f>IF(MAX(DC4,EC4,FC4,GC4,HC4,IC4,JC4,KC4,LC4,MC4,NC4,OC4)-IF(K4="",0,K4)&gt;0.001,MAX(DC4,EC4,FC4,GC4,HC4,IC4,JC4,KC4,LC4,MC4,NC4,OC4)-IF(K4="",0,K4),"")</f>
        <v>39</v>
      </c>
      <c r="CG4" s="56" t="str">
        <f>IF(MAX(DF4,EF4,FF4,GF4,HF4,IF4,JF4,KF4,LF4,MF4,NF4,OF4)-IF(M4="",0,M4)&gt;0.001,MAX(DF4,EF4,FF4,GF4,HF4,IF4,JF4,KF4,LF4,MF4,NF4,OF4)-IF(M4="",0,M4),"")</f>
        <v/>
      </c>
      <c r="CH4" s="18">
        <v>15.8</v>
      </c>
      <c r="CI4" s="18">
        <v>2.6</v>
      </c>
      <c r="CJ4" s="18">
        <v>0</v>
      </c>
      <c r="CK4" s="18">
        <v>0</v>
      </c>
      <c r="CL4" s="18">
        <v>16.399999999999999</v>
      </c>
      <c r="CM4" s="18">
        <v>4.5999999999999996</v>
      </c>
      <c r="CN4" s="18">
        <v>0.4</v>
      </c>
      <c r="CO4" s="18">
        <v>0</v>
      </c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>
        <f>IF(SUM(CI4,CM4)&gt;0,SUM(CI4,CM4),"")</f>
        <v>7.1999999999999993</v>
      </c>
      <c r="DC4" s="55">
        <f>IF(SUM(CH4:CI4,CK4:CM4,CO4)-CJ4-CN4&gt;0,SUM(CH4:CI4,CK4:CM4,CO4)-CJ4-CN4,"")</f>
        <v>39</v>
      </c>
      <c r="DD4" s="55" t="str">
        <f>IF(SUM(CP4:CQ4,CS4)-CR4&gt;0,SUM(CP4:CQ4,CS4)-CR4,"")</f>
        <v/>
      </c>
      <c r="DE4" s="55" t="str">
        <f>IF(SUM(CU4,CY4)&gt;0,SUM(CU4,CY4),"")</f>
        <v/>
      </c>
      <c r="DF4" s="55" t="str">
        <f>IF(SUM(CT4:CU4,CW4:CY4,DA4)-SUM(CV4,CZ4)&gt;0,SUM(CT4:CU4,CW4:CY4,DA4)-SUM(CV4,CZ4),"")</f>
        <v/>
      </c>
      <c r="DG4" s="55">
        <f>IF(SUM(DC4,DD4,DF4)&gt;0,SUM(DC4,DD4,DF4),"")</f>
        <v>39</v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>IF(SUM(DI4,DM4)&gt;0,SUM(DI4,DM4),"")</f>
        <v/>
      </c>
      <c r="EC4" s="14" t="str">
        <f>IF(SUM(DH4:DI4,DK4:DM4,DO4)-DJ4-DN4&gt;0,SUM(DH4:DI4,DK4:DM4,DO4)-DJ4-DN4,"")</f>
        <v/>
      </c>
      <c r="ED4" s="14" t="str">
        <f>IF(SUM(DP4:DQ4,DS4)-DR4&gt;0,SUM(DP4:DQ4,DS4)-DR4,"")</f>
        <v/>
      </c>
      <c r="EE4" s="14" t="str">
        <f>IF(SUM(DU4,DY4)&gt;0,SUM(DU4,DY4),"")</f>
        <v/>
      </c>
      <c r="EF4" s="14" t="str">
        <f>IF(SUM(DT4:DU4,DW4:DY4,EA4)-SUM(DV4,DZ4)&gt;0,SUM(DT4:DU4,DW4:DY4,EA4)-SUM(DV4,DZ4),"")</f>
        <v/>
      </c>
      <c r="EG4" s="14" t="str">
        <f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>IF(SUM(EI4,EM4)&gt;0,SUM(EI4,EM4),"")</f>
        <v/>
      </c>
      <c r="FC4" s="55" t="str">
        <f>IF(SUM(EH4:EI4,EK4:EM4,EO4)-EJ4-EN4&gt;0,SUM(EH4:EI4,EK4:EM4,EO4)-EJ4-EN4,"")</f>
        <v/>
      </c>
      <c r="FD4" s="55" t="str">
        <f>IF(SUM(EP4:EQ4,ES4)-ER4&gt;0,SUM(EP4:EQ4,ES4)-ER4,"")</f>
        <v/>
      </c>
      <c r="FE4" s="55" t="str">
        <f>IF(SUM(EU4,EY4)&gt;0,SUM(EU4,EY4),"")</f>
        <v/>
      </c>
      <c r="FF4" s="55" t="str">
        <f>IF(SUM(ET4:EU4,EW4:EY4,FA4)-SUM(EV4,EZ4)&gt;0,SUM(ET4:EU4,EW4:EY4,FA4)-SUM(EV4,EZ4),"")</f>
        <v/>
      </c>
      <c r="FG4" s="55" t="str">
        <f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>IF(SUM(FI4,FM4)&gt;0,SUM(FI4,FM4),"")</f>
        <v/>
      </c>
      <c r="GC4" s="14" t="str">
        <f>IF(SUM(FH4:FI4,FK4:FM4,FO4)-FJ4-FN4&gt;0,SUM(FH4:FI4,FK4:FM4,FO4)-FJ4-FN4,"")</f>
        <v/>
      </c>
      <c r="GD4" s="14" t="str">
        <f>IF(SUM(FP4:FQ4,FS4)-FR4&gt;0,SUM(FP4:FQ4,FS4)-FR4,"")</f>
        <v/>
      </c>
      <c r="GE4" s="14" t="str">
        <f>IF(SUM(FU4,FY4)&gt;0,SUM(FU4,FY4),"")</f>
        <v/>
      </c>
      <c r="GF4" s="14" t="str">
        <f>IF(SUM(FT4:FU4,FW4:FY4,GA4)-SUM(FV4,FZ4)&gt;0,SUM(FT4:FU4,FW4:FY4,GA4)-SUM(FV4,FZ4),"")</f>
        <v/>
      </c>
      <c r="GG4" s="14" t="str">
        <f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>IF(SUM(GI4,GM4)&gt;0,SUM(GI4,GM4),"")</f>
        <v/>
      </c>
      <c r="HC4" s="55" t="str">
        <f>IF(SUM(GH4:GI4,GK4:GM4,GO4)-GJ4-GN4&gt;0,SUM(GH4:GI4,GK4:GM4,GO4)-GJ4-GN4,"")</f>
        <v/>
      </c>
      <c r="HD4" s="55" t="str">
        <f>IF(SUM(GP4:GQ4,GS4)-GR4&gt;0,SUM(GP4:GQ4,GS4)-GR4,"")</f>
        <v/>
      </c>
      <c r="HE4" s="55" t="str">
        <f>IF(SUM(GU4,GY4)&gt;0,SUM(GU4,GY4),"")</f>
        <v/>
      </c>
      <c r="HF4" s="55" t="str">
        <f>IF(SUM(GT4:GU4,GW4:GY4,HA4)-SUM(GV4,GZ4)&gt;0,SUM(GT4:GU4,GW4:GY4,HA4)-SUM(GV4,GZ4),"")</f>
        <v/>
      </c>
      <c r="HG4" s="55" t="str">
        <f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>IF(SUM(HI4,HM4)&gt;0,SUM(HI4,HM4),"")</f>
        <v/>
      </c>
      <c r="IC4" s="14" t="str">
        <f>IF(SUM(HH4:HI4,HK4:HM4,HO4)-HJ4-HN4&gt;0,SUM(HH4:HI4,HK4:HM4,HO4)-HJ4-HN4,"")</f>
        <v/>
      </c>
      <c r="ID4" s="14" t="str">
        <f>IF(SUM(HP4:HQ4,HS4)-HR4&gt;0,SUM(HP4:HQ4,HS4)-HR4,"")</f>
        <v/>
      </c>
      <c r="IE4" s="14" t="str">
        <f>IF(SUM(HU4,HY4)&gt;0,SUM(HU4,HY4),"")</f>
        <v/>
      </c>
      <c r="IF4" s="14" t="str">
        <f>IF(SUM(HT4:HU4,HW4:HY4,IA4)-SUM(HV4,HZ4)&gt;0,SUM(HT4:HU4,HW4:HY4,IA4)-SUM(HV4,HZ4),"")</f>
        <v/>
      </c>
      <c r="IG4" s="14" t="str">
        <f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>IF(SUM(II4,IM4)&gt;0,SUM(II4,IM4),"")</f>
        <v/>
      </c>
      <c r="JC4" s="55" t="str">
        <f>IF(SUM(IH4:II4,IK4:IM4,IO4)-IJ4-IN4&gt;0,SUM(IH4:II4,IK4:IM4,IO4)-IJ4-IN4,"")</f>
        <v/>
      </c>
      <c r="JD4" s="55" t="str">
        <f>IF(SUM(IP4:IQ4,IS4)-IR4&gt;0,SUM(IP4:IQ4,IS4)-IR4,"")</f>
        <v/>
      </c>
      <c r="JE4" s="55" t="str">
        <f>IF(SUM(IU4,IY4)&gt;0,SUM(IU4,IY4),"")</f>
        <v/>
      </c>
      <c r="JF4" s="55" t="str">
        <f>IF(SUM(IT4:IU4,IW4:IY4,JA4)-SUM(IV4,IZ4)&gt;0,SUM(IT4:IU4,IW4:IY4,JA4)-SUM(IV4,IZ4),"")</f>
        <v/>
      </c>
      <c r="JG4" s="55" t="str">
        <f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>IF(SUM(JI4,JM4)&gt;0,SUM(JI4,JM4),"")</f>
        <v/>
      </c>
      <c r="KC4" s="14" t="str">
        <f>IF(SUM(JH4:JI4,JK4:JM4,JO4)-JJ4-JN4&gt;0,SUM(JH4:JI4,JK4:JM4,JO4)-JJ4-JN4,"")</f>
        <v/>
      </c>
      <c r="KD4" s="14" t="str">
        <f>IF(SUM(JP4:JQ4,JS4)-JR4&gt;0,SUM(JP4:JQ4,JS4)-JR4,"")</f>
        <v/>
      </c>
      <c r="KE4" s="14" t="str">
        <f>IF(SUM(JU4,JY4)&gt;0,SUM(JU4,JY4),"")</f>
        <v/>
      </c>
      <c r="KF4" s="14" t="str">
        <f>IF(SUM(JT4:JU4,JW4:JY4,KA4)-SUM(JV4,JZ4)&gt;0,SUM(JT4:JU4,JW4:JY4,KA4)-SUM(JV4,JZ4),"")</f>
        <v/>
      </c>
      <c r="KG4" s="14" t="str">
        <f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>IF(SUM(KI4,KM4)&gt;0,SUM(KI4,KM4),"")</f>
        <v/>
      </c>
      <c r="LC4" s="55" t="str">
        <f>IF(SUM(KH4:KI4,KK4:KM4,KO4)-KJ4-KN4&gt;0,SUM(KH4:KI4,KK4:KM4,KO4)-KJ4-KN4,"")</f>
        <v/>
      </c>
      <c r="LD4" s="55" t="str">
        <f>IF(SUM(KP4:KQ4,KS4)-KR4&gt;0,SUM(KP4:KQ4,KS4)-KR4,"")</f>
        <v/>
      </c>
      <c r="LE4" s="55" t="str">
        <f>IF(SUM(KU4,KY4)&gt;0,SUM(KU4,KY4),"")</f>
        <v/>
      </c>
      <c r="LF4" s="55" t="str">
        <f>IF(SUM(KT4:KU4,KW4:KY4,LA4)-SUM(KV4,KZ4)&gt;0,SUM(KT4:KU4,KW4:KY4,LA4)-SUM(KV4,KZ4),"")</f>
        <v/>
      </c>
      <c r="LG4" s="55" t="str">
        <f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>IF(SUM(LI4,LM4)&gt;0,SUM(LI4,LM4),"")</f>
        <v/>
      </c>
      <c r="MC4" s="14" t="str">
        <f>IF(SUM(LH4:LI4,LK4:LM4,LO4)-LJ4-LN4&gt;0,SUM(LH4:LI4,LK4:LM4,LO4)-LJ4-LN4,"")</f>
        <v/>
      </c>
      <c r="MD4" s="14" t="str">
        <f>IF(SUM(LP4:LQ4,LS4)-LR4&gt;0,SUM(LP4:LQ4,LS4)-LR4,"")</f>
        <v/>
      </c>
      <c r="ME4" s="14" t="str">
        <f>IF(SUM(LU4,LY4)&gt;0,SUM(LU4,LY4),"")</f>
        <v/>
      </c>
      <c r="MF4" s="14" t="str">
        <f>IF(SUM(LT4:LU4,LW4:LY4,MA4)-SUM(LV4,LZ4)&gt;0,SUM(LT4:LU4,LW4:LY4,MA4)-SUM(LV4,LZ4),"")</f>
        <v/>
      </c>
      <c r="MG4" s="14" t="str">
        <f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>IF(SUM(MI4,MM4)&gt;0,SUM(MI4,MM4),"")</f>
        <v/>
      </c>
      <c r="NC4" s="55" t="str">
        <f>IF(SUM(MH4:MI4,MK4:MM4,MO4)-MJ4-MN4&gt;0,SUM(MH4:MI4,MK4:MM4,MO4)-MJ4-MN4,"")</f>
        <v/>
      </c>
      <c r="ND4" s="55" t="str">
        <f>IF(SUM(MP4:MQ4,MS4)-MR4&gt;0,SUM(MP4:MQ4,MS4)-MR4,"")</f>
        <v/>
      </c>
      <c r="NE4" s="55" t="str">
        <f>IF(SUM(MU4,MY4)&gt;0,SUM(MU4,MY4),"")</f>
        <v/>
      </c>
      <c r="NF4" s="55" t="str">
        <f>IF(SUM(MT4:MU4,MW4:MY4,NA4)-SUM(MV4,MZ4)&gt;0,SUM(MT4:MU4,MW4:MY4,NA4)-SUM(MV4,MZ4),"")</f>
        <v/>
      </c>
      <c r="NG4" s="55" t="str">
        <f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>IF(SUM(NI4,NM4)&gt;0,SUM(NI4,NM4),"")</f>
        <v/>
      </c>
      <c r="OC4" s="14" t="str">
        <f>IF(SUM(NH4:NI4,NK4:NM4,NO4)-NJ4-NN4&gt;0,SUM(NH4:NI4,NK4:NM4,NO4)-NJ4-NN4,"")</f>
        <v/>
      </c>
      <c r="OD4" s="14" t="str">
        <f>IF(SUM(NP4:NQ4,NS4)-NR4&gt;0,SUM(NP4:NQ4,NS4)-NR4,"")</f>
        <v/>
      </c>
      <c r="OE4" s="14" t="str">
        <f>IF(SUM(NU4,NY4)&gt;0,SUM(NU4,NY4),"")</f>
        <v/>
      </c>
      <c r="OF4" s="14" t="str">
        <f>IF(SUM(NT4:NU4,NW4:NY4,OA4)-SUM(NV4,NZ4)&gt;0,SUM(NT4:NU4,NW4:NY4,OA4)-SUM(NV4,NZ4),"")</f>
        <v/>
      </c>
      <c r="OG4" s="14" t="str">
        <f>IF(SUM(OC4,OD4,OF4)&gt;0,SUM(OC4,OD4,OF4),"")</f>
        <v/>
      </c>
      <c r="OH4" s="27">
        <f t="shared" ref="OH4:OW5" si="0">IF($BZ4="P",BJ4,(BJ4+AN4)/2)</f>
        <v>8.6</v>
      </c>
      <c r="OI4" s="27">
        <f t="shared" si="0"/>
        <v>2.2999999999999998</v>
      </c>
      <c r="OJ4" s="27">
        <f t="shared" si="0"/>
        <v>0</v>
      </c>
      <c r="OK4" s="27">
        <f t="shared" si="0"/>
        <v>0</v>
      </c>
      <c r="OL4" s="27">
        <f t="shared" si="0"/>
        <v>8.75</v>
      </c>
      <c r="OM4" s="27">
        <f t="shared" si="0"/>
        <v>1.95</v>
      </c>
      <c r="ON4" s="27">
        <f t="shared" si="0"/>
        <v>0</v>
      </c>
      <c r="OO4" s="27">
        <f t="shared" si="0"/>
        <v>0</v>
      </c>
      <c r="OP4" s="27">
        <f t="shared" si="0"/>
        <v>8.5</v>
      </c>
      <c r="OQ4" s="27">
        <f t="shared" si="0"/>
        <v>2.2999999999999998</v>
      </c>
      <c r="OR4" s="27">
        <f t="shared" si="0"/>
        <v>0</v>
      </c>
      <c r="OS4" s="27">
        <f t="shared" si="0"/>
        <v>0</v>
      </c>
      <c r="OT4" s="27">
        <f t="shared" si="0"/>
        <v>8.25</v>
      </c>
      <c r="OU4" s="27">
        <f t="shared" si="0"/>
        <v>2.4</v>
      </c>
      <c r="OV4" s="27">
        <f t="shared" si="0"/>
        <v>0</v>
      </c>
      <c r="OW4" s="27">
        <f t="shared" si="0"/>
        <v>0</v>
      </c>
      <c r="OX4" s="32" t="s">
        <v>44</v>
      </c>
      <c r="OY4" s="55">
        <f>IF(SUM(OI4,OM4)&gt;0,SUM(OI4,OM4),"")</f>
        <v>4.25</v>
      </c>
      <c r="OZ4" s="55">
        <f>IF(SUM(OH4:OI4,OK4:OM4,OO4)-OJ4-ON4&gt;0,SUM(OH4:OI4,OK4:OM4,OO4)-OJ4-ON4,"")</f>
        <v>21.599999999999998</v>
      </c>
      <c r="PA4" s="55">
        <f>IF(SUM(OQ4,OU4)&gt;0,SUM(OQ4,OU4),"")</f>
        <v>4.6999999999999993</v>
      </c>
      <c r="PB4" s="55">
        <f>IF(SUM(OP4:OQ4,OS4:OU4,OW4)-SUM(OR4,OV4)&gt;0,SUM(OP4:OQ4,OS4:OU4,OW4)-SUM(OR4,OV4),"")</f>
        <v>21.45</v>
      </c>
      <c r="PC4" s="55">
        <f>IF(SUM(OZ4,PB4)&gt;0,SUM(OZ4,PB4),"")</f>
        <v>43.05</v>
      </c>
    </row>
    <row r="5" spans="1:41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76</v>
      </c>
      <c r="C5" s="4" t="s">
        <v>63</v>
      </c>
      <c r="D5" s="4">
        <v>2012</v>
      </c>
      <c r="E5" s="10">
        <f>SUM(I5:O5)+SUM(I5:M5)*0.0000001+SUM(I5)*0.0000000000001</f>
        <v>123.40001204000416</v>
      </c>
      <c r="F5" s="3" t="str">
        <f>IF(OR(AND(AI5&gt;=AM$8,AJ5&gt;=AM$12,AI5&lt;&gt;"",AH5=""),AND(AK5&gt;=AM$8,AL5&gt;=AM$12,AK5&lt;&gt;"",AH5=""),AND(BE5&gt;=BI$8,BF5&gt;=BI$12,BE5&lt;&gt;"",BD5=""),AND(BG5&gt;=BI$8,BH5&gt;=BI$12,BG5&lt;&gt;"",BD5=""),AND(CA5&gt;=CE$8,CB5&gt;=CE$12,CA5&lt;&gt;"",BZ5=""),AND(CC5&gt;=CE$8,CD5&gt;=CE$12,CC5&lt;&gt;""),AND(DB5&gt;=DG$8,DC5&gt;=DG$12,DB5&lt;&gt;""),AND(DE5&gt;=DG$8,DF5&gt;=DG$12,DE5&lt;&gt;""),AND(EB5&gt;=EG$8,EC5&gt;=EG$12,EB5&lt;&gt;""),AND(EE5&gt;=EG$8,EF5&gt;=EG$12,EE5&lt;&gt;""),AND(FB5&gt;=FG$8,FC5&gt;=FG$12,FB5&lt;&gt;""),AND(FE5&gt;=FG$8,FF5&gt;=FG$12,FE5&lt;&gt;""),AND(GB5&gt;=GG$8,GC5&gt;=GG$12,GB5&lt;&gt;""),AND(GE5&gt;=GG$8,GF5&gt;=GG$12,GE5&lt;&gt;""),AND(HB5&gt;=HG$8,HC5&gt;=HG$12,HB5&lt;&gt;""),AND(HE5&gt;=HG$8,HF5&gt;=HG$12,HE5&lt;&gt;""),AND(IB5&gt;=IG$8,IC5&gt;=IG$12,IB5&lt;&gt;""),AND(IE5&gt;=IG$8,IF5&gt;=IG$12,IE5&lt;&gt;""),AND(JB5&gt;=JG$8,JC5&gt;=JG$12,JB5&lt;&gt;""),AND(JE5&gt;=JG$8,JF5&gt;=JG$12,JE5&lt;&gt;""),AND(KB5&gt;=KG$8,KC5&gt;=KG$12,KB5&lt;&gt;""),AND(KE5&gt;=KG$8,KF5&gt;=KG$12,KE5&lt;&gt;""),AND(LB5&gt;=LG$8,LC5&gt;=LG$12,LB5&lt;&gt;""),AND(LE5&gt;=LG$8,LF5&gt;=LG$12,LE5&lt;&gt;""),AND(MB5&gt;=MG$8,MC5&gt;=MG$12,MB5&lt;&gt;""),AND(ME5&gt;=MG$8,MF5&gt;=MG$12,ME5&lt;&gt;""),AND(NB5&gt;=NG$8,NC5&gt;=NG$12,NB5&lt;&gt;""),AND(NE5&gt;=NG$8,NF5&gt;=NG$12,NE5&lt;&gt;""),AND(OB5&gt;=OG$8,OC5&gt;=OG$12,OB5&lt;&gt;""),AND(OE5&gt;=OG$8,OF5&gt;=OG$12,OE5&lt;&gt;"")),"P","")</f>
        <v/>
      </c>
      <c r="G5" s="3" t="str">
        <f>IF(OR(AND(AJ5&gt;=AM$12,AJ5&lt;&gt;"",AH5=""),AND(AL5&gt;=AM$12,AL5&lt;&gt;"",AH5=""),AND(BF5&gt;=BI$12,BF5&lt;&gt;"",BD5=""),AND(BH5&gt;=BI$12,BH5&lt;&gt;"",BD5=""),AND(CB5&gt;=CE$12,CB5&lt;&gt;"",BZ5=""),AND(CD5&gt;=CE$12,CD5&lt;&gt;"",BZ5=""),AND(DC5&gt;=DG$12,DC5&lt;&gt;""),AND(DF5&gt;=DG$12,DF5&lt;&gt;""),AND(EC5&gt;=EG$12,EC5&lt;&gt;""),AND(EF5&gt;=EG$12,EF5&lt;&gt;""),AND(FC5&gt;=FG$12,FC5&lt;&gt;""),AND(FF5&gt;=FG$12,FF5&lt;&gt;""),AND(GC5&gt;=GG$12,GC5&lt;&gt;""),AND(GF5&gt;=GG$12,GF5&lt;&gt;""),AND(HC5&gt;=HG$12,HC5&lt;&gt;""),AND(HF5&gt;=HG$12,HF5&lt;&gt;""),AND(IC5&gt;=IG$12,IC5&lt;&gt;""),AND(IF5&gt;=IG$12,IF5&lt;&gt;""),AND(JC5&gt;=JG$12,JC5&lt;&gt;""),AND(JF5&gt;=JG$12,JF5&lt;&gt;""),AND(KC5&gt;=KG$12,KC5&lt;&gt;""),AND(KF5&gt;=KG$12,KF5&lt;&gt;""),AND(LC5&gt;=LG$12,LC5&lt;&gt;""),AND(LF5&gt;=LG$12,LF5&lt;&gt;""),AND(MC5&gt;=MG$12,MC5&lt;&gt;""),AND(MF5&gt;=MG$12,MF5&lt;&gt;""),AND(NC5&gt;=NG$12,NC5&lt;&gt;""),AND(NF5&gt;=NG$12,NF5&lt;&gt;""),AND(OC5&gt;=OG$12,OC5&lt;&gt;""),AND(OF5&gt;=OG$12,OF5&lt;&gt;"")),"P","")</f>
        <v/>
      </c>
      <c r="H5" s="47" t="str">
        <f>IF(AND(G5="P",F5=""),"No DD",IF(OR(AND(AI5&gt;=AM$11,AJ5&gt;=AM$15,AI5&lt;&gt;"",AH5=""),AND(AK5&gt;=AM$11,AL5&gt;=AM$15,AK5&lt;&gt;"",AH5=""),AND(BE5&gt;=BI$11,BF5&gt;=BI$15,BE5&lt;&gt;"",BD5=""),AND(BG5&gt;=BI$11,BH5&gt;=BI$15,BG5&lt;&gt;"",BD5=""),AND(CA5&gt;=CE$11,CB5&gt;=CE$15,CA5&lt;&gt;"",BZ5=""),AND(CC5&gt;=CE$11,CD5&gt;=CE$15,CC5&lt;&gt;""),AND(DB5&gt;=DG$11,DC5&gt;=DG$15,DB5&lt;&gt;""),AND(DE5&gt;=DG$11,DF5&gt;=DG$15,DE5&lt;&gt;""),AND(EB5&gt;=EG$11,EC5&gt;=EG$15,EB5&lt;&gt;""),AND(EE5&gt;=EG$11,EF5&gt;=EG$15,EE5&lt;&gt;""),AND(FB5&gt;=FG$11,FC5&gt;=FG$15,FB5&lt;&gt;""),AND(FE5&gt;=FG$11,FF5&gt;=FG$15,FE5&lt;&gt;""),AND(GB5&gt;=GG$11,GC5&gt;=GG$15,GB5&lt;&gt;""),AND(GE5&gt;=GG$11,GF5&gt;=GG$15,GE5&lt;&gt;""),AND(HB5&gt;=HG$11,HC5&gt;=HG$15,HB5&lt;&gt;""),AND(HE5&gt;=HG$11,HF5&gt;=HG$15,HE5&lt;&gt;""),AND(IB5&gt;=IG$11,IC5&gt;=IG$15,IB5&lt;&gt;""),AND(IE5&gt;=IG$11,IF5&gt;=IG$15,IE5&lt;&gt;""),AND(JB5&gt;=JG$11,JC5&gt;=JG$15,JB5&lt;&gt;""),AND(JE5&gt;=JG$11,JF5&gt;=JG$15,JE5&lt;&gt;""),AND(KB5&gt;=KG$11,KC5&gt;=KG$15,KB5&lt;&gt;""),AND(KE5&gt;=KG$11,KF5&gt;=KG$15,KE5&lt;&gt;""),AND(LB5&gt;=LG$11,LC5&gt;=LG$15,LB5&lt;&gt;""),AND(LE5&gt;=LG$11,LF5&gt;=LG$15,LE5&lt;&gt;""),AND(MB5&gt;=MG$11,MC5&gt;=MG$15,MB5&lt;&gt;""),AND(ME5&gt;=MG$11,MF5&gt;=MG$15,ME5&lt;&gt;""),AND(NB5&gt;=NG$11,NC5&gt;=NG$15,NB5&lt;&gt;""),AND(NE5&gt;=NG$11,NF5&gt;=NG$15,NE5&lt;&gt;""),AND(OB5&gt;=OG$11,OC5&gt;=OG$15,OB5&lt;&gt;""),AND(OE5&gt;=OG$11,OF5&gt;=OG$15,OE5&lt;&gt;"")),"Merit",IF(OR(AND(AI5&gt;=AM$10,AJ5&gt;=AM$14,AI5&lt;&gt;"",AH5=""),AND(AK5&gt;=AM$10,AL5&gt;=AM$14,AK5&lt;&gt;"",AH5=""),AND(BE5&gt;=BI$10,BF5&gt;=BI$14,BE5&lt;&gt;"",BD5=""),AND(BG5&gt;=BI$10,BH5&gt;=BI$14,BG5&lt;&gt;"",BD5=""),AND(CA5&gt;=CE$10,CB5&gt;=CE$14,CA5&lt;&gt;"",BZ5=""),AND(CC5&gt;=CE$10,CD5&gt;=CE$14,CC5&lt;&gt;""),AND(DB5&gt;=DG$10,DC5&gt;=DG$14,DB5&lt;&gt;""),AND(DE5&gt;=DG$10,DF5&gt;=DG$14,DE5&lt;&gt;""),AND(EB5&gt;=EG$10,EC5&gt;=EG$14,EB5&lt;&gt;""),AND(EE5&gt;=EG$10,EF5&gt;=EG$14,EE5&lt;&gt;""),AND(FB5&gt;=FG$10,FC5&gt;=FG$14,FB5&lt;&gt;""),AND(FE5&gt;=FG$10,FF5&gt;=FG$14,FE5&lt;&gt;""),AND(GB5&gt;=GG$10,GC5&gt;=GG$14,GB5&lt;&gt;""),AND(GE5&gt;=GG$10,GF5&gt;=GG$14,GE5&lt;&gt;""),AND(HB5&gt;=HG$10,HC5&gt;=HG$14,HB5&lt;&gt;""),AND(HE5&gt;=HG$10,HF5&gt;=HG$14,HE5&lt;&gt;""),AND(IB5&gt;=IG$10,IC5&gt;=IG$14,IB5&lt;&gt;""),AND(IE5&gt;=IG$10,IF5&gt;=IG$14,IE5&lt;&gt;""),AND(JB5&gt;=JG$10,JC5&gt;=JG$14,JB5&lt;&gt;""),AND(JE5&gt;=JG$10,JF5&gt;=JG$14,JE5&lt;&gt;""),AND(KB5&gt;=KG$10,KC5&gt;=KG$14,KB5&lt;&gt;""),AND(KE5&gt;=KG$10,KF5&gt;=KG$14,KE5&lt;&gt;""),AND(LB5&gt;=LG$10,LC5&gt;=LG$14,LB5&lt;&gt;""),AND(LE5&gt;=LG$10,LF5&gt;=LG$14,LE5&lt;&gt;""),AND(MB5&gt;=MG$10,MC5&gt;=MG$14,MB5&lt;&gt;""),AND(ME5&gt;=MG$10,MF5&gt;=MG$14,ME5&lt;&gt;""),AND(NB5&gt;=NG$10,NC5&gt;=NG$14,NB5&lt;&gt;""),AND(NE5&gt;=NG$10,NF5&gt;=NG$14,NE5&lt;&gt;""),AND(OB5&gt;=OG$10,OC5&gt;=OG$14,OB5&lt;&gt;""),AND(OE5&gt;=OG$10,OF5&gt;=OG$14,OE5&lt;&gt;"")),"Excellence",IF(F5="P","National Team",""))))</f>
        <v/>
      </c>
      <c r="I5" s="9">
        <f>IF(COUNT(AJ5,BF5,CB5)&gt;0,LARGE((AJ5,BF5,CB5),1),0)</f>
        <v>41.500000000000007</v>
      </c>
      <c r="J5" s="9" t="str">
        <f>IF(I5=0,"",IF(I5=CB5,$BJ$1,IF(I5=BF5,$AN$1,IF(I5=AJ5,$R$1,""))))</f>
        <v>2025 Nationals</v>
      </c>
      <c r="K5" s="9">
        <f>IF(COUNT(AJ5,BF5,CB5)&gt;1,LARGE((AJ5,BF5,CB5),2),0)</f>
        <v>38.800000000000004</v>
      </c>
      <c r="L5" s="9" t="str">
        <f>IF(K5=0,"",IF(AND(K5=I5,K5=AJ5,K5=BF5),$R$1,IF(AND(K5=I5,K5=AJ5,K5=CB5),$R$1,IF(AND(K5=I5,K5=CB5,K5=BF5),$AN$1,IF(K5=CB5,$BJ$1,IF(K5=BF5,$AN$1,IF(K5=AJ5,$R$1,"")))))))</f>
        <v>2025 Elite Canada</v>
      </c>
      <c r="M5" s="9">
        <f>IF(MAX(AL5,BH5,CD5)&gt;0,MAX(AL5,BH5,CD5),0)</f>
        <v>40.1</v>
      </c>
      <c r="N5" s="9" t="str">
        <f>IF(M5=0,"",IF(M5=CD5,$BJ$1,IF(M5=BH5,$AN$1,IF(M5=AL5,$R$1,""))))</f>
        <v>2025 Elite Canada</v>
      </c>
      <c r="O5" s="9">
        <f>IF(MAX(CF5:CG5)&gt;0,MAX(CF5:CG5),"")</f>
        <v>2.9999999999999929</v>
      </c>
      <c r="P5" s="14" t="str">
        <f>IF(O5="","",IF(O5=CF5,"("&amp;CF$2&amp;")",IF(O5=CG5,"("&amp;CG$2&amp;")")))</f>
        <v>(Q1)</v>
      </c>
      <c r="Q5" s="9" t="str">
        <f>IF(O5="","",IF(O5=CF5,IF(O5+IF(K5="",0,K5)=OC5,$NH$1,IF(O5+IF(K5="",0,K5)=NC5,$MH$1,IF(O5+IF(K5="",0,K5)=MC5,$LH$1,IF(O5+IF(K5="",0,K5)=LC5,$KH$1,IF(O5+IF(K5="",0,K5)=KC5,$JH$1,IF(O5+IF(K5="",0,K5)=JC5,$IH$1,IF(O5+IF(K5="",0,K5)=IC5,$HH$1,IF(O5+IF(K5="",0,K5)=HC5,$GH$1,IF(O5+IF(K5="",0,K5)=GC5,$FH$1,IF(O5+IF(K5="",0,K5)=FC5,$EH$1,IF(O5+IF(K5="",0,K5)=EC5,$DH$1,IF(O5+IF(K5="",0,K5)=DC5,$CH$1)))))))))))),IF(O5=CG5,IF(O5+IF(M5="",0,M5)=OF5,$NH$1,IF(O5+IF(M5="",0,M5)=NF5,$MH$1,IF(O5+IF(M5="",0,M5)=MF5,$LH$1,IF(O5+IF(M5="",0,M5)=LF5,$KH$1,IF(O5+IF(M5="",0,M5)=KF5,$JH$1,IF(O5+IF(M5="",0,M5)=JF5,$IH$1,IF(O5+IF(M5="",0,M5)=IF5,$HH$1,IF(O5+IF(M5="",0,M5)=HF5,$GH$1,IF(O5+IF(M5="",0,M5)=GF5,$FH$1,IF(O5+IF(M5="",0,M5)=FF5,$EH$1,IF(O5+IF(M5="",0,M5)=EF5,$DH$1,IF(O5+IF(M5="",0,M5)=DF5,$CH$1)))))))))))))))</f>
        <v>2025 WAGC (Nov 16)</v>
      </c>
      <c r="R5" s="20">
        <v>16.600000000000001</v>
      </c>
      <c r="S5" s="20">
        <v>1.3</v>
      </c>
      <c r="T5" s="20">
        <v>0</v>
      </c>
      <c r="U5" s="20">
        <v>0</v>
      </c>
      <c r="V5" s="20">
        <v>16.600000000000001</v>
      </c>
      <c r="W5" s="20">
        <v>4.7</v>
      </c>
      <c r="X5" s="20">
        <v>0.4</v>
      </c>
      <c r="Y5" s="20">
        <v>0</v>
      </c>
      <c r="Z5" s="20">
        <v>17.5</v>
      </c>
      <c r="AA5" s="20">
        <v>3.5</v>
      </c>
      <c r="AB5" s="20">
        <v>0.4</v>
      </c>
      <c r="AC5" s="20">
        <v>0</v>
      </c>
      <c r="AD5" s="20">
        <v>15.5</v>
      </c>
      <c r="AE5" s="20">
        <v>4</v>
      </c>
      <c r="AF5" s="20">
        <v>0</v>
      </c>
      <c r="AG5" s="20">
        <v>0</v>
      </c>
      <c r="AH5" s="32"/>
      <c r="AI5" s="55">
        <f>IF(SUM(S5,W5)&gt;0,SUM(S5,W5),"")</f>
        <v>6</v>
      </c>
      <c r="AJ5" s="55">
        <f>IF(SUM(R5:S5,U5:W5,Y5)-T5-X5&gt;0,SUM(R5:S5,U5:W5,Y5)-T5-X5,"")</f>
        <v>38.800000000000004</v>
      </c>
      <c r="AK5" s="55">
        <f>IF(SUM(AA5,AE5)&gt;0,SUM(AA5,AE5),"")</f>
        <v>7.5</v>
      </c>
      <c r="AL5" s="55">
        <f>IF(SUM(Z5:AA5,AC5:AE5,AG5)-SUM(AB5,AF5)&gt;0,SUM(Z5:AA5,AC5:AE5,AG5)-SUM(AB5,AF5),"")</f>
        <v>40.1</v>
      </c>
      <c r="AM5" s="55">
        <f>IF(SUM(AJ5,AL5)&gt;0,SUM(AJ5,AL5),"")</f>
        <v>78.900000000000006</v>
      </c>
      <c r="AN5" s="19">
        <v>17.2</v>
      </c>
      <c r="AO5" s="19">
        <v>3.5</v>
      </c>
      <c r="AP5" s="19">
        <v>0.4</v>
      </c>
      <c r="AQ5" s="19">
        <v>0</v>
      </c>
      <c r="AR5" s="19">
        <v>16.5</v>
      </c>
      <c r="AS5" s="19">
        <v>4.7</v>
      </c>
      <c r="AT5" s="19">
        <v>0</v>
      </c>
      <c r="AU5" s="19">
        <v>0</v>
      </c>
      <c r="AV5" s="19">
        <v>17</v>
      </c>
      <c r="AW5" s="19">
        <v>3.5</v>
      </c>
      <c r="AX5" s="19">
        <v>0.4</v>
      </c>
      <c r="AY5" s="19">
        <v>0</v>
      </c>
      <c r="AZ5" s="19">
        <v>15.8</v>
      </c>
      <c r="BA5" s="19">
        <v>4</v>
      </c>
      <c r="BB5" s="19">
        <v>0</v>
      </c>
      <c r="BC5" s="19">
        <v>0</v>
      </c>
      <c r="BD5" s="33"/>
      <c r="BE5" s="14">
        <f>IF(SUM(AO5,AS5)&gt;0,SUM(AO5,AS5),"")</f>
        <v>8.1999999999999993</v>
      </c>
      <c r="BF5" s="14">
        <f>IF(SUM(AN5:AO5,AQ5:AS5,AU5)-AP5-AT5&gt;0,SUM(AN5:AO5,AQ5:AS5,AU5)-AP5-AT5,"")</f>
        <v>41.500000000000007</v>
      </c>
      <c r="BG5" s="14">
        <f>IF(SUM(AW5,BA5)&gt;0,SUM(AW5,BA5),"")</f>
        <v>7.5</v>
      </c>
      <c r="BH5" s="14">
        <f>IF(SUM(AV5:AW5,AY5:BA5,BC5)-SUM(AX5,BB5)&gt;0,SUM(AV5:AW5,AY5:BA5,BC5)-SUM(AX5,BB5),"")</f>
        <v>39.9</v>
      </c>
      <c r="BI5" s="14">
        <f>IF(SUM(BF5,BH5)&gt;0,SUM(BF5,BH5),"")</f>
        <v>81.400000000000006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>IF(SUM(BK5,BO5)&gt;0,SUM(BK5,BO5),"")</f>
        <v/>
      </c>
      <c r="CB5" s="55" t="str">
        <f>IF(SUM(BJ5:BK5,BM5:BO5,BQ5)-BL5-BP5&gt;0,SUM(BJ5:BK5,BM5:BO5,BQ5)-BL5-BP5,"")</f>
        <v/>
      </c>
      <c r="CC5" s="55" t="str">
        <f>IF(SUM(BS5,BW5)&gt;0,SUM(BS5,BW5),"")</f>
        <v/>
      </c>
      <c r="CD5" s="55" t="str">
        <f>IF(SUM(BR5:BS5,BU5:BW5,BY5)-SUM(BT5,BX5)&gt;0,SUM(BR5:BS5,BU5:BW5,BY5)-SUM(BT5,BX5),"")</f>
        <v/>
      </c>
      <c r="CE5" s="55" t="str">
        <f>IF(SUM(CB5,CD5)&gt;0,SUM(CB5,CD5),"")</f>
        <v/>
      </c>
      <c r="CF5" s="56">
        <f>IF(MAX(DC5,EC5,FC5,GC5,HC5,IC5,JC5,KC5,LC5,MC5,NC5,OC5)-IF(K5="",0,K5)&gt;0.001,MAX(DC5,EC5,FC5,GC5,HC5,IC5,JC5,KC5,LC5,MC5,NC5,OC5)-IF(K5="",0,K5),"")</f>
        <v>2.9999999999999929</v>
      </c>
      <c r="CG5" s="56" t="str">
        <f>IF(MAX(DF5,EF5,FF5,GF5,HF5,IF5,JF5,KF5,LF5,MF5,NF5,OF5)-IF(M5="",0,M5)&gt;0.001,MAX(DF5,EF5,FF5,GF5,HF5,IF5,JF5,KF5,LF5,MF5,NF5,OF5)-IF(M5="",0,M5),"")</f>
        <v/>
      </c>
      <c r="CH5" s="18">
        <v>16.399999999999999</v>
      </c>
      <c r="CI5" s="18">
        <v>4.2</v>
      </c>
      <c r="CJ5" s="18">
        <v>0</v>
      </c>
      <c r="CK5" s="18">
        <v>0</v>
      </c>
      <c r="CL5" s="18">
        <v>16.5</v>
      </c>
      <c r="CM5" s="18">
        <v>4.7</v>
      </c>
      <c r="CN5" s="18">
        <v>0</v>
      </c>
      <c r="CO5" s="18">
        <v>0</v>
      </c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>
        <f>IF(SUM(CI5,CM5)&gt;0,SUM(CI5,CM5),"")</f>
        <v>8.9</v>
      </c>
      <c r="DC5" s="55">
        <f>IF(SUM(CH5:CI5,CK5:CM5,CO5)-CJ5-CN5&gt;0,SUM(CH5:CI5,CK5:CM5,CO5)-CJ5-CN5,"")</f>
        <v>41.8</v>
      </c>
      <c r="DD5" s="55" t="str">
        <f>IF(SUM(CP5:CQ5,CS5)-CR5&gt;0,SUM(CP5:CQ5,CS5)-CR5,"")</f>
        <v/>
      </c>
      <c r="DE5" s="55" t="str">
        <f>IF(SUM(CU5,CY5)&gt;0,SUM(CU5,CY5),"")</f>
        <v/>
      </c>
      <c r="DF5" s="55" t="str">
        <f>IF(SUM(CT5:CU5,CW5:CY5,DA5)-SUM(CV5,CZ5)&gt;0,SUM(CT5:CU5,CW5:CY5,DA5)-SUM(CV5,CZ5),"")</f>
        <v/>
      </c>
      <c r="DG5" s="55">
        <f>IF(SUM(DC5,DD5,DF5)&gt;0,SUM(DC5,DD5,DF5),"")</f>
        <v>41.8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>IF(SUM(DI5,DM5)&gt;0,SUM(DI5,DM5),"")</f>
        <v/>
      </c>
      <c r="EC5" s="14" t="str">
        <f>IF(SUM(DH5:DI5,DK5:DM5,DO5)-DJ5-DN5&gt;0,SUM(DH5:DI5,DK5:DM5,DO5)-DJ5-DN5,"")</f>
        <v/>
      </c>
      <c r="ED5" s="14" t="str">
        <f>IF(SUM(DP5:DQ5,DS5)-DR5&gt;0,SUM(DP5:DQ5,DS5)-DR5,"")</f>
        <v/>
      </c>
      <c r="EE5" s="14" t="str">
        <f>IF(SUM(DU5,DY5)&gt;0,SUM(DU5,DY5),"")</f>
        <v/>
      </c>
      <c r="EF5" s="14" t="str">
        <f>IF(SUM(DT5:DU5,DW5:DY5,EA5)-SUM(DV5,DZ5)&gt;0,SUM(DT5:DU5,DW5:DY5,EA5)-SUM(DV5,DZ5),"")</f>
        <v/>
      </c>
      <c r="EG5" s="14" t="str">
        <f>IF(SUM(EC5,ED5,EF5)&gt;0,SUM(EC5,ED5,EF5),"")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>IF(SUM(EI5,EM5)&gt;0,SUM(EI5,EM5),"")</f>
        <v/>
      </c>
      <c r="FC5" s="55" t="str">
        <f>IF(SUM(EH5:EI5,EK5:EM5,EO5)-EJ5-EN5&gt;0,SUM(EH5:EI5,EK5:EM5,EO5)-EJ5-EN5,"")</f>
        <v/>
      </c>
      <c r="FD5" s="55" t="str">
        <f>IF(SUM(EP5:EQ5,ES5)-ER5&gt;0,SUM(EP5:EQ5,ES5)-ER5,"")</f>
        <v/>
      </c>
      <c r="FE5" s="55" t="str">
        <f>IF(SUM(EU5,EY5)&gt;0,SUM(EU5,EY5),"")</f>
        <v/>
      </c>
      <c r="FF5" s="55" t="str">
        <f>IF(SUM(ET5:EU5,EW5:EY5,FA5)-SUM(EV5,EZ5)&gt;0,SUM(ET5:EU5,EW5:EY5,FA5)-SUM(EV5,EZ5),"")</f>
        <v/>
      </c>
      <c r="FG5" s="55" t="str">
        <f>IF(SUM(FC5,FD5,FF5)&gt;0,SUM(FC5,FD5,FF5),"")</f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>IF(SUM(FI5,FM5)&gt;0,SUM(FI5,FM5),"")</f>
        <v/>
      </c>
      <c r="GC5" s="14" t="str">
        <f>IF(SUM(FH5:FI5,FK5:FM5,FO5)-FJ5-FN5&gt;0,SUM(FH5:FI5,FK5:FM5,FO5)-FJ5-FN5,"")</f>
        <v/>
      </c>
      <c r="GD5" s="14" t="str">
        <f>IF(SUM(FP5:FQ5,FS5)-FR5&gt;0,SUM(FP5:FQ5,FS5)-FR5,"")</f>
        <v/>
      </c>
      <c r="GE5" s="14" t="str">
        <f>IF(SUM(FU5,FY5)&gt;0,SUM(FU5,FY5),"")</f>
        <v/>
      </c>
      <c r="GF5" s="14" t="str">
        <f>IF(SUM(FT5:FU5,FW5:FY5,GA5)-SUM(FV5,FZ5)&gt;0,SUM(FT5:FU5,FW5:FY5,GA5)-SUM(FV5,FZ5),"")</f>
        <v/>
      </c>
      <c r="GG5" s="14" t="str">
        <f>IF(SUM(GC5,GD5,GF5)&gt;0,SUM(GC5,GD5,GF5),"")</f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>IF(SUM(GI5,GM5)&gt;0,SUM(GI5,GM5),"")</f>
        <v/>
      </c>
      <c r="HC5" s="55" t="str">
        <f>IF(SUM(GH5:GI5,GK5:GM5,GO5)-GJ5-GN5&gt;0,SUM(GH5:GI5,GK5:GM5,GO5)-GJ5-GN5,"")</f>
        <v/>
      </c>
      <c r="HD5" s="55" t="str">
        <f>IF(SUM(GP5:GQ5,GS5)-GR5&gt;0,SUM(GP5:GQ5,GS5)-GR5,"")</f>
        <v/>
      </c>
      <c r="HE5" s="55" t="str">
        <f>IF(SUM(GU5,GY5)&gt;0,SUM(GU5,GY5),"")</f>
        <v/>
      </c>
      <c r="HF5" s="55" t="str">
        <f>IF(SUM(GT5:GU5,GW5:GY5,HA5)-SUM(GV5,GZ5)&gt;0,SUM(GT5:GU5,GW5:GY5,HA5)-SUM(GV5,GZ5),"")</f>
        <v/>
      </c>
      <c r="HG5" s="55" t="str">
        <f>IF(SUM(HC5,HD5,HF5)&gt;0,SUM(HC5,HD5,HF5),"")</f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>IF(SUM(HI5,HM5)&gt;0,SUM(HI5,HM5),"")</f>
        <v/>
      </c>
      <c r="IC5" s="14" t="str">
        <f>IF(SUM(HH5:HI5,HK5:HM5,HO5)-HJ5-HN5&gt;0,SUM(HH5:HI5,HK5:HM5,HO5)-HJ5-HN5,"")</f>
        <v/>
      </c>
      <c r="ID5" s="14" t="str">
        <f>IF(SUM(HP5:HQ5,HS5)-HR5&gt;0,SUM(HP5:HQ5,HS5)-HR5,"")</f>
        <v/>
      </c>
      <c r="IE5" s="14" t="str">
        <f>IF(SUM(HU5,HY5)&gt;0,SUM(HU5,HY5),"")</f>
        <v/>
      </c>
      <c r="IF5" s="14" t="str">
        <f>IF(SUM(HT5:HU5,HW5:HY5,IA5)-SUM(HV5,HZ5)&gt;0,SUM(HT5:HU5,HW5:HY5,IA5)-SUM(HV5,HZ5),"")</f>
        <v/>
      </c>
      <c r="IG5" s="14" t="str">
        <f>IF(SUM(IC5,ID5,IF5)&gt;0,SUM(IC5,ID5,IF5),"")</f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>IF(SUM(II5,IM5)&gt;0,SUM(II5,IM5),"")</f>
        <v/>
      </c>
      <c r="JC5" s="55" t="str">
        <f>IF(SUM(IH5:II5,IK5:IM5,IO5)-IJ5-IN5&gt;0,SUM(IH5:II5,IK5:IM5,IO5)-IJ5-IN5,"")</f>
        <v/>
      </c>
      <c r="JD5" s="55" t="str">
        <f>IF(SUM(IP5:IQ5,IS5)-IR5&gt;0,SUM(IP5:IQ5,IS5)-IR5,"")</f>
        <v/>
      </c>
      <c r="JE5" s="55" t="str">
        <f>IF(SUM(IU5,IY5)&gt;0,SUM(IU5,IY5),"")</f>
        <v/>
      </c>
      <c r="JF5" s="55" t="str">
        <f>IF(SUM(IT5:IU5,IW5:IY5,JA5)-SUM(IV5,IZ5)&gt;0,SUM(IT5:IU5,IW5:IY5,JA5)-SUM(IV5,IZ5),"")</f>
        <v/>
      </c>
      <c r="JG5" s="55" t="str">
        <f>IF(SUM(JC5,JD5,JF5)&gt;0,SUM(JC5,JD5,JF5),"")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>IF(SUM(JI5,JM5)&gt;0,SUM(JI5,JM5),"")</f>
        <v/>
      </c>
      <c r="KC5" s="14" t="str">
        <f>IF(SUM(JH5:JI5,JK5:JM5,JO5)-JJ5-JN5&gt;0,SUM(JH5:JI5,JK5:JM5,JO5)-JJ5-JN5,"")</f>
        <v/>
      </c>
      <c r="KD5" s="14" t="str">
        <f>IF(SUM(JP5:JQ5,JS5)-JR5&gt;0,SUM(JP5:JQ5,JS5)-JR5,"")</f>
        <v/>
      </c>
      <c r="KE5" s="14" t="str">
        <f>IF(SUM(JU5,JY5)&gt;0,SUM(JU5,JY5),"")</f>
        <v/>
      </c>
      <c r="KF5" s="14" t="str">
        <f>IF(SUM(JT5:JU5,JW5:JY5,KA5)-SUM(JV5,JZ5)&gt;0,SUM(JT5:JU5,JW5:JY5,KA5)-SUM(JV5,JZ5),"")</f>
        <v/>
      </c>
      <c r="KG5" s="14" t="str">
        <f>IF(SUM(KC5,KD5,KF5)&gt;0,SUM(KC5,KD5,KF5),"")</f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>IF(SUM(KI5,KM5)&gt;0,SUM(KI5,KM5),"")</f>
        <v/>
      </c>
      <c r="LC5" s="55" t="str">
        <f>IF(SUM(KH5:KI5,KK5:KM5,KO5)-KJ5-KN5&gt;0,SUM(KH5:KI5,KK5:KM5,KO5)-KJ5-KN5,"")</f>
        <v/>
      </c>
      <c r="LD5" s="55" t="str">
        <f>IF(SUM(KP5:KQ5,KS5)-KR5&gt;0,SUM(KP5:KQ5,KS5)-KR5,"")</f>
        <v/>
      </c>
      <c r="LE5" s="55" t="str">
        <f>IF(SUM(KU5,KY5)&gt;0,SUM(KU5,KY5),"")</f>
        <v/>
      </c>
      <c r="LF5" s="55" t="str">
        <f>IF(SUM(KT5:KU5,KW5:KY5,LA5)-SUM(KV5,KZ5)&gt;0,SUM(KT5:KU5,KW5:KY5,LA5)-SUM(KV5,KZ5),"")</f>
        <v/>
      </c>
      <c r="LG5" s="55" t="str">
        <f>IF(SUM(LC5,LD5,LF5)&gt;0,SUM(LC5,LD5,LF5),"")</f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>IF(SUM(LI5,LM5)&gt;0,SUM(LI5,LM5),"")</f>
        <v/>
      </c>
      <c r="MC5" s="14" t="str">
        <f>IF(SUM(LH5:LI5,LK5:LM5,LO5)-LJ5-LN5&gt;0,SUM(LH5:LI5,LK5:LM5,LO5)-LJ5-LN5,"")</f>
        <v/>
      </c>
      <c r="MD5" s="14" t="str">
        <f>IF(SUM(LP5:LQ5,LS5)-LR5&gt;0,SUM(LP5:LQ5,LS5)-LR5,"")</f>
        <v/>
      </c>
      <c r="ME5" s="14" t="str">
        <f>IF(SUM(LU5,LY5)&gt;0,SUM(LU5,LY5),"")</f>
        <v/>
      </c>
      <c r="MF5" s="14" t="str">
        <f>IF(SUM(LT5:LU5,LW5:LY5,MA5)-SUM(LV5,LZ5)&gt;0,SUM(LT5:LU5,LW5:LY5,MA5)-SUM(LV5,LZ5),"")</f>
        <v/>
      </c>
      <c r="MG5" s="14" t="str">
        <f>IF(SUM(MC5,MD5,MF5)&gt;0,SUM(MC5,MD5,MF5),"")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>IF(SUM(MI5,MM5)&gt;0,SUM(MI5,MM5),"")</f>
        <v/>
      </c>
      <c r="NC5" s="55" t="str">
        <f>IF(SUM(MH5:MI5,MK5:MM5,MO5)-MJ5-MN5&gt;0,SUM(MH5:MI5,MK5:MM5,MO5)-MJ5-MN5,"")</f>
        <v/>
      </c>
      <c r="ND5" s="55" t="str">
        <f>IF(SUM(MP5:MQ5,MS5)-MR5&gt;0,SUM(MP5:MQ5,MS5)-MR5,"")</f>
        <v/>
      </c>
      <c r="NE5" s="55" t="str">
        <f>IF(SUM(MU5,MY5)&gt;0,SUM(MU5,MY5),"")</f>
        <v/>
      </c>
      <c r="NF5" s="55" t="str">
        <f>IF(SUM(MT5:MU5,MW5:MY5,NA5)-SUM(MV5,MZ5)&gt;0,SUM(MT5:MU5,MW5:MY5,NA5)-SUM(MV5,MZ5),"")</f>
        <v/>
      </c>
      <c r="NG5" s="55" t="str">
        <f>IF(SUM(NC5,ND5,NF5)&gt;0,SUM(NC5,ND5,NF5),"")</f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>IF(SUM(NI5,NM5)&gt;0,SUM(NI5,NM5),"")</f>
        <v/>
      </c>
      <c r="OC5" s="14" t="str">
        <f>IF(SUM(NH5:NI5,NK5:NM5,NO5)-NJ5-NN5&gt;0,SUM(NH5:NI5,NK5:NM5,NO5)-NJ5-NN5,"")</f>
        <v/>
      </c>
      <c r="OD5" s="14" t="str">
        <f>IF(SUM(NP5:NQ5,NS5)-NR5&gt;0,SUM(NP5:NQ5,NS5)-NR5,"")</f>
        <v/>
      </c>
      <c r="OE5" s="14" t="str">
        <f>IF(SUM(NU5,NY5)&gt;0,SUM(NU5,NY5),"")</f>
        <v/>
      </c>
      <c r="OF5" s="14" t="str">
        <f>IF(SUM(NT5:NU5,NW5:NY5,OA5)-SUM(NV5,NZ5)&gt;0,SUM(NT5:NU5,NW5:NY5,OA5)-SUM(NV5,NZ5),"")</f>
        <v/>
      </c>
      <c r="OG5" s="14" t="str">
        <f>IF(SUM(OC5,OD5,OF5)&gt;0,SUM(OC5,OD5,OF5),"")</f>
        <v/>
      </c>
      <c r="OH5" s="27">
        <f t="shared" si="0"/>
        <v>8.6</v>
      </c>
      <c r="OI5" s="27">
        <f t="shared" si="0"/>
        <v>1.75</v>
      </c>
      <c r="OJ5" s="27">
        <f t="shared" si="0"/>
        <v>0.2</v>
      </c>
      <c r="OK5" s="27">
        <f t="shared" si="0"/>
        <v>0</v>
      </c>
      <c r="OL5" s="27">
        <f t="shared" si="0"/>
        <v>8.25</v>
      </c>
      <c r="OM5" s="27">
        <f t="shared" si="0"/>
        <v>2.35</v>
      </c>
      <c r="ON5" s="27">
        <f t="shared" si="0"/>
        <v>0</v>
      </c>
      <c r="OO5" s="27">
        <f t="shared" si="0"/>
        <v>0</v>
      </c>
      <c r="OP5" s="27">
        <f t="shared" si="0"/>
        <v>8.5</v>
      </c>
      <c r="OQ5" s="27">
        <f t="shared" si="0"/>
        <v>1.75</v>
      </c>
      <c r="OR5" s="27">
        <f t="shared" si="0"/>
        <v>0.2</v>
      </c>
      <c r="OS5" s="27">
        <f t="shared" si="0"/>
        <v>0</v>
      </c>
      <c r="OT5" s="27">
        <f t="shared" si="0"/>
        <v>7.9</v>
      </c>
      <c r="OU5" s="27">
        <f t="shared" si="0"/>
        <v>2</v>
      </c>
      <c r="OV5" s="27">
        <f t="shared" si="0"/>
        <v>0</v>
      </c>
      <c r="OW5" s="27">
        <f t="shared" si="0"/>
        <v>0</v>
      </c>
      <c r="OX5" s="32" t="s">
        <v>44</v>
      </c>
      <c r="OY5" s="55">
        <f>IF(SUM(OI5,OM5)&gt;0,SUM(OI5,OM5),"")</f>
        <v>4.0999999999999996</v>
      </c>
      <c r="OZ5" s="55">
        <f>IF(SUM(OH5:OI5,OK5:OM5,OO5)-OJ5-ON5&gt;0,SUM(OH5:OI5,OK5:OM5,OO5)-OJ5-ON5,"")</f>
        <v>20.750000000000004</v>
      </c>
      <c r="PA5" s="55">
        <f>IF(SUM(OQ5,OU5)&gt;0,SUM(OQ5,OU5),"")</f>
        <v>3.75</v>
      </c>
      <c r="PB5" s="55">
        <f>IF(SUM(OP5:OQ5,OS5:OU5,OW5)-SUM(OR5,OV5)&gt;0,SUM(OP5:OQ5,OS5:OU5,OW5)-SUM(OR5,OV5),"")</f>
        <v>19.95</v>
      </c>
      <c r="PC5" s="55">
        <f>IF(SUM(OZ5,PB5)&gt;0,SUM(OZ5,PB5),"")</f>
        <v>40.700000000000003</v>
      </c>
    </row>
    <row r="6" spans="1:419" ht="17" x14ac:dyDescent="0.2">
      <c r="O6" s="11"/>
      <c r="P6" s="11"/>
      <c r="Q6" s="11"/>
    </row>
    <row r="7" spans="1:419" ht="17" x14ac:dyDescent="0.2">
      <c r="O7" s="11"/>
      <c r="P7" s="11"/>
      <c r="Q7" s="11"/>
    </row>
    <row r="8" spans="1:419" ht="17" x14ac:dyDescent="0.2">
      <c r="B8" s="28" t="s">
        <v>42</v>
      </c>
      <c r="O8" s="11"/>
      <c r="P8" s="11"/>
      <c r="Q8" s="11"/>
      <c r="AI8" s="4"/>
      <c r="AM8" s="57">
        <v>8.6</v>
      </c>
      <c r="BE8" s="4"/>
      <c r="BI8" s="57">
        <v>8.6</v>
      </c>
      <c r="CA8" s="4"/>
      <c r="CE8" s="57">
        <v>8.6</v>
      </c>
      <c r="DB8" s="4"/>
      <c r="DG8" s="57">
        <v>8.6</v>
      </c>
      <c r="EB8" s="4"/>
      <c r="EG8" s="57">
        <v>8.6</v>
      </c>
      <c r="FB8" s="4"/>
      <c r="FG8" s="57">
        <v>8.6</v>
      </c>
      <c r="GB8" s="4"/>
      <c r="GG8" s="57">
        <v>8.6</v>
      </c>
      <c r="HB8" s="4"/>
      <c r="HG8" s="57">
        <v>8.6</v>
      </c>
      <c r="IB8" s="4"/>
      <c r="IG8" s="57">
        <v>8.6</v>
      </c>
      <c r="JB8" s="4"/>
      <c r="JG8" s="57">
        <v>8.6</v>
      </c>
      <c r="KB8" s="4"/>
      <c r="KG8" s="57">
        <v>8.6</v>
      </c>
      <c r="LB8" s="4"/>
      <c r="LG8" s="57">
        <v>8.6</v>
      </c>
      <c r="MB8" s="4"/>
      <c r="MG8" s="57">
        <v>8.6</v>
      </c>
      <c r="NB8" s="4"/>
      <c r="NG8" s="57">
        <v>8.6</v>
      </c>
      <c r="OB8" s="4"/>
      <c r="OG8" s="57">
        <v>8.6</v>
      </c>
    </row>
    <row r="9" spans="1:419" ht="17" hidden="1" x14ac:dyDescent="0.2">
      <c r="B9" s="35" t="s">
        <v>41</v>
      </c>
      <c r="O9" s="11"/>
      <c r="P9" s="11"/>
      <c r="Q9" s="11"/>
      <c r="AI9" s="4"/>
      <c r="AM9" s="58">
        <v>1000</v>
      </c>
      <c r="BE9" s="4"/>
      <c r="BI9" s="58">
        <v>1000</v>
      </c>
      <c r="CA9" s="4"/>
      <c r="CE9" s="58">
        <v>1000</v>
      </c>
      <c r="DB9" s="4"/>
      <c r="DG9" s="58">
        <v>1000</v>
      </c>
      <c r="EB9" s="4"/>
      <c r="EG9" s="58">
        <v>1000</v>
      </c>
      <c r="FB9" s="4"/>
      <c r="FG9" s="58">
        <v>1000</v>
      </c>
      <c r="GB9" s="4"/>
      <c r="GG9" s="58">
        <v>1000</v>
      </c>
      <c r="HB9" s="4"/>
      <c r="HG9" s="58">
        <v>1000</v>
      </c>
      <c r="IB9" s="4"/>
      <c r="IG9" s="58">
        <v>1000</v>
      </c>
      <c r="JB9" s="4"/>
      <c r="JG9" s="58">
        <v>1000</v>
      </c>
      <c r="KB9" s="4"/>
      <c r="KG9" s="58">
        <v>1000</v>
      </c>
      <c r="LB9" s="4"/>
      <c r="LG9" s="58">
        <v>1000</v>
      </c>
      <c r="MB9" s="4"/>
      <c r="MG9" s="58">
        <v>1000</v>
      </c>
      <c r="NB9" s="4"/>
      <c r="NG9" s="58">
        <v>1000</v>
      </c>
      <c r="OB9" s="4"/>
      <c r="OG9" s="58">
        <v>1000</v>
      </c>
    </row>
    <row r="10" spans="1:419" ht="17" hidden="1" x14ac:dyDescent="0.2">
      <c r="A10" s="5"/>
      <c r="B10" s="36" t="s">
        <v>54</v>
      </c>
      <c r="C10" s="22"/>
      <c r="O10" s="11"/>
      <c r="P10" s="11"/>
      <c r="Q10" s="11"/>
      <c r="AI10" s="4"/>
      <c r="AM10" s="59">
        <v>1000</v>
      </c>
      <c r="BE10" s="4"/>
      <c r="BI10" s="59">
        <v>1000</v>
      </c>
      <c r="CA10" s="4"/>
      <c r="CE10" s="59">
        <v>1000</v>
      </c>
      <c r="DB10" s="4"/>
      <c r="DG10" s="59">
        <v>1000</v>
      </c>
      <c r="EB10" s="4"/>
      <c r="EG10" s="59">
        <v>1000</v>
      </c>
      <c r="FB10" s="4"/>
      <c r="FG10" s="59">
        <v>1000</v>
      </c>
      <c r="GB10" s="4"/>
      <c r="GG10" s="59">
        <v>1000</v>
      </c>
      <c r="HB10" s="4"/>
      <c r="HG10" s="59">
        <v>1000</v>
      </c>
      <c r="IB10" s="4"/>
      <c r="IG10" s="59">
        <v>1000</v>
      </c>
      <c r="JB10" s="4"/>
      <c r="JG10" s="59">
        <v>1000</v>
      </c>
      <c r="KB10" s="4"/>
      <c r="KG10" s="59">
        <v>1000</v>
      </c>
      <c r="LB10" s="4"/>
      <c r="LG10" s="59">
        <v>1000</v>
      </c>
      <c r="MB10" s="4"/>
      <c r="MG10" s="59">
        <v>1000</v>
      </c>
      <c r="NB10" s="4"/>
      <c r="NG10" s="59">
        <v>1000</v>
      </c>
      <c r="OB10" s="4"/>
      <c r="OG10" s="59">
        <v>1000</v>
      </c>
    </row>
    <row r="11" spans="1:419" ht="17" hidden="1" x14ac:dyDescent="0.2">
      <c r="A11" s="5"/>
      <c r="B11" s="44" t="s">
        <v>59</v>
      </c>
      <c r="C11" s="22"/>
      <c r="O11" s="11"/>
      <c r="P11" s="11"/>
      <c r="Q11" s="11"/>
      <c r="AI11" s="4"/>
      <c r="AM11" s="60">
        <v>1000</v>
      </c>
      <c r="BE11" s="4"/>
      <c r="BI11" s="60">
        <v>1000</v>
      </c>
      <c r="CA11" s="4"/>
      <c r="CE11" s="60">
        <v>1000</v>
      </c>
      <c r="DB11" s="4"/>
      <c r="DG11" s="60">
        <v>1000</v>
      </c>
      <c r="EB11" s="4"/>
      <c r="EG11" s="60">
        <v>1000</v>
      </c>
      <c r="FB11" s="4"/>
      <c r="FG11" s="60">
        <v>1000</v>
      </c>
      <c r="GB11" s="4"/>
      <c r="GG11" s="60">
        <v>1000</v>
      </c>
      <c r="HB11" s="4"/>
      <c r="HG11" s="60">
        <v>1000</v>
      </c>
      <c r="IB11" s="4"/>
      <c r="IG11" s="60">
        <v>1000</v>
      </c>
      <c r="JB11" s="4"/>
      <c r="JG11" s="60">
        <v>1000</v>
      </c>
      <c r="KB11" s="4"/>
      <c r="KG11" s="60">
        <v>1000</v>
      </c>
      <c r="LB11" s="4"/>
      <c r="LG11" s="60">
        <v>1000</v>
      </c>
      <c r="MB11" s="4"/>
      <c r="MG11" s="60">
        <v>1000</v>
      </c>
      <c r="NB11" s="4"/>
      <c r="NG11" s="60">
        <v>1000</v>
      </c>
      <c r="OB11" s="4"/>
      <c r="OG11" s="60">
        <v>1000</v>
      </c>
    </row>
    <row r="12" spans="1:419" ht="17" x14ac:dyDescent="0.2">
      <c r="A12" s="5"/>
      <c r="B12" s="42" t="s">
        <v>39</v>
      </c>
      <c r="C12" s="22"/>
      <c r="O12" s="11"/>
      <c r="P12" s="11"/>
      <c r="Q12" s="11"/>
      <c r="AI12" s="4"/>
      <c r="AM12" s="61">
        <v>43.8</v>
      </c>
      <c r="BE12" s="4"/>
      <c r="BI12" s="61">
        <v>43.8</v>
      </c>
      <c r="CA12" s="4"/>
      <c r="CE12" s="61">
        <v>43.8</v>
      </c>
      <c r="DB12" s="4"/>
      <c r="DG12" s="61">
        <v>43.8</v>
      </c>
      <c r="EB12" s="4"/>
      <c r="EG12" s="61">
        <v>43.8</v>
      </c>
      <c r="FB12" s="4"/>
      <c r="FG12" s="61">
        <v>43.8</v>
      </c>
      <c r="GB12" s="4"/>
      <c r="GG12" s="61">
        <v>43.8</v>
      </c>
      <c r="HB12" s="4"/>
      <c r="HG12" s="61">
        <v>43.8</v>
      </c>
      <c r="IB12" s="4"/>
      <c r="IG12" s="61">
        <v>43.8</v>
      </c>
      <c r="JB12" s="4"/>
      <c r="JG12" s="61">
        <v>43.8</v>
      </c>
      <c r="KB12" s="4"/>
      <c r="KG12" s="61">
        <v>43.8</v>
      </c>
      <c r="LB12" s="4"/>
      <c r="LG12" s="61">
        <v>43.8</v>
      </c>
      <c r="MB12" s="4"/>
      <c r="MG12" s="61">
        <v>43.8</v>
      </c>
      <c r="NB12" s="4"/>
      <c r="NG12" s="61">
        <v>43.8</v>
      </c>
      <c r="OB12" s="4"/>
      <c r="OG12" s="61">
        <v>43.8</v>
      </c>
    </row>
    <row r="13" spans="1:419" ht="17" hidden="1" x14ac:dyDescent="0.2">
      <c r="A13" s="5"/>
      <c r="B13" s="29" t="s">
        <v>40</v>
      </c>
      <c r="C13" s="22"/>
      <c r="O13" s="11"/>
      <c r="P13" s="11"/>
      <c r="Q13" s="11"/>
      <c r="AI13" s="4"/>
      <c r="AM13" s="62">
        <v>1000</v>
      </c>
      <c r="BE13" s="4"/>
      <c r="BI13" s="62">
        <v>1000</v>
      </c>
      <c r="CA13" s="4"/>
      <c r="CE13" s="62">
        <v>1000</v>
      </c>
      <c r="DB13" s="4"/>
      <c r="DG13" s="62">
        <v>1000</v>
      </c>
      <c r="EB13" s="4"/>
      <c r="EG13" s="62">
        <v>1000</v>
      </c>
      <c r="FB13" s="4"/>
      <c r="FG13" s="62">
        <v>1000</v>
      </c>
      <c r="GB13" s="4"/>
      <c r="GG13" s="62">
        <v>1000</v>
      </c>
      <c r="HB13" s="4"/>
      <c r="HG13" s="62">
        <v>1000</v>
      </c>
      <c r="IB13" s="4"/>
      <c r="IG13" s="62">
        <v>1000</v>
      </c>
      <c r="JB13" s="4"/>
      <c r="JG13" s="62">
        <v>1000</v>
      </c>
      <c r="KB13" s="4"/>
      <c r="KG13" s="62">
        <v>1000</v>
      </c>
      <c r="LB13" s="4"/>
      <c r="LG13" s="62">
        <v>1000</v>
      </c>
      <c r="MB13" s="4"/>
      <c r="MG13" s="62">
        <v>1000</v>
      </c>
      <c r="NB13" s="4"/>
      <c r="NG13" s="62">
        <v>1000</v>
      </c>
      <c r="OB13" s="4"/>
      <c r="OG13" s="62">
        <v>1000</v>
      </c>
    </row>
    <row r="14" spans="1:419" ht="17" hidden="1" x14ac:dyDescent="0.2">
      <c r="A14" s="5"/>
      <c r="B14" s="40" t="s">
        <v>53</v>
      </c>
      <c r="C14" s="22"/>
      <c r="O14" s="11"/>
      <c r="P14" s="11"/>
      <c r="Q14" s="11"/>
      <c r="AI14" s="4"/>
      <c r="AM14" s="63">
        <v>1000</v>
      </c>
      <c r="BE14" s="4"/>
      <c r="BI14" s="63">
        <v>1000</v>
      </c>
      <c r="CA14" s="4"/>
      <c r="CE14" s="63">
        <v>1000</v>
      </c>
      <c r="DB14" s="4"/>
      <c r="DG14" s="63">
        <v>1000</v>
      </c>
      <c r="EB14" s="4"/>
      <c r="EG14" s="63">
        <v>1000</v>
      </c>
      <c r="FB14" s="4"/>
      <c r="FG14" s="63">
        <v>1000</v>
      </c>
      <c r="GB14" s="4"/>
      <c r="GG14" s="63">
        <v>1000</v>
      </c>
      <c r="HB14" s="4"/>
      <c r="HG14" s="63">
        <v>1000</v>
      </c>
      <c r="IB14" s="4"/>
      <c r="IG14" s="63">
        <v>1000</v>
      </c>
      <c r="JB14" s="4"/>
      <c r="JG14" s="63">
        <v>1000</v>
      </c>
      <c r="KB14" s="4"/>
      <c r="KG14" s="63">
        <v>1000</v>
      </c>
      <c r="LB14" s="4"/>
      <c r="LG14" s="63">
        <v>1000</v>
      </c>
      <c r="MB14" s="4"/>
      <c r="MG14" s="63">
        <v>1000</v>
      </c>
      <c r="NB14" s="4"/>
      <c r="NG14" s="63">
        <v>1000</v>
      </c>
      <c r="OB14" s="4"/>
      <c r="OG14" s="63">
        <v>1000</v>
      </c>
    </row>
    <row r="15" spans="1:419" ht="17" hidden="1" x14ac:dyDescent="0.2">
      <c r="A15" s="5"/>
      <c r="B15" s="30" t="s">
        <v>26</v>
      </c>
      <c r="C15" s="22"/>
      <c r="O15" s="11"/>
      <c r="P15" s="11"/>
      <c r="Q15" s="11"/>
      <c r="AI15" s="4"/>
      <c r="AM15" s="64">
        <v>1000</v>
      </c>
      <c r="BE15" s="4"/>
      <c r="BI15" s="64">
        <v>1000</v>
      </c>
      <c r="CA15" s="4"/>
      <c r="CE15" s="64">
        <v>1000</v>
      </c>
      <c r="DB15" s="4"/>
      <c r="DG15" s="64">
        <v>1000</v>
      </c>
      <c r="EB15" s="4"/>
      <c r="EG15" s="64">
        <v>1000</v>
      </c>
      <c r="FB15" s="4"/>
      <c r="FG15" s="64">
        <v>1000</v>
      </c>
      <c r="GB15" s="4"/>
      <c r="GG15" s="64">
        <v>1000</v>
      </c>
      <c r="HB15" s="4"/>
      <c r="HG15" s="64">
        <v>1000</v>
      </c>
      <c r="IB15" s="4"/>
      <c r="IG15" s="64">
        <v>1000</v>
      </c>
      <c r="JB15" s="4"/>
      <c r="JG15" s="64">
        <v>1000</v>
      </c>
      <c r="KB15" s="4"/>
      <c r="KG15" s="64">
        <v>1000</v>
      </c>
      <c r="LB15" s="4"/>
      <c r="LG15" s="64">
        <v>1000</v>
      </c>
      <c r="MB15" s="4"/>
      <c r="MG15" s="64">
        <v>1000</v>
      </c>
      <c r="NB15" s="4"/>
      <c r="NG15" s="64">
        <v>1000</v>
      </c>
      <c r="OB15" s="4"/>
      <c r="OG15" s="64">
        <v>1000</v>
      </c>
    </row>
    <row r="16" spans="1:41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C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5">
      <sortCondition descending="1" ref="F1:F6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147" priority="1">
      <formula>AND(G4&lt;&gt;"",F4="")</formula>
    </cfRule>
    <cfRule type="expression" dxfId="146" priority="13" stopIfTrue="1">
      <formula>IF(A4&gt;4,1,0)</formula>
    </cfRule>
  </conditionalFormatting>
  <conditionalFormatting sqref="H1:H1048576">
    <cfRule type="containsText" dxfId="145" priority="5" operator="containsText" text="No DD">
      <formula>NOT(ISERROR(SEARCH("No DD",H1)))</formula>
    </cfRule>
    <cfRule type="containsText" dxfId="144" priority="6" operator="containsText" text="Merit">
      <formula>NOT(ISERROR(SEARCH("Merit",H1)))</formula>
    </cfRule>
    <cfRule type="containsText" dxfId="143" priority="7" operator="containsText" text="Excellence">
      <formula>NOT(ISERROR(SEARCH("Excellence",H1)))</formula>
    </cfRule>
    <cfRule type="containsText" dxfId="142" priority="8" operator="containsText" text="Worlds Team">
      <formula>NOT(ISERROR(SEARCH("Worlds Team",H1)))</formula>
    </cfRule>
    <cfRule type="containsText" dxfId="141" priority="9" operator="containsText" text="National Team">
      <formula>NOT(ISERROR(SEARCH("National Team",H1)))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140" priority="61993" operator="between">
      <formula>DG$11</formula>
      <formula>1000</formula>
    </cfRule>
    <cfRule type="cellIs" dxfId="139" priority="61994" operator="between">
      <formula>DG$10</formula>
      <formula>DG$11</formula>
    </cfRule>
    <cfRule type="cellIs" dxfId="138" priority="61995" operator="between">
      <formula>DG$9</formula>
      <formula>DG$10</formula>
    </cfRule>
    <cfRule type="cellIs" dxfId="137" priority="61996" operator="between">
      <formula>DG$8</formula>
      <formula>DG$9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136" priority="62173" operator="between">
      <formula>DG$15</formula>
      <formula>1000</formula>
    </cfRule>
    <cfRule type="cellIs" dxfId="135" priority="62174" operator="between">
      <formula>DG$14</formula>
      <formula>DG$15</formula>
    </cfRule>
    <cfRule type="cellIs" dxfId="134" priority="62175" operator="between">
      <formula>DG$13</formula>
      <formula>DG$14</formula>
    </cfRule>
    <cfRule type="cellIs" dxfId="133" priority="62176" operator="between">
      <formula>DG$12</formula>
      <formula>DG$13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132" priority="62353" operator="between">
      <formula>AM$8</formula>
      <formula>AM$9</formula>
    </cfRule>
    <cfRule type="cellIs" dxfId="131" priority="62354" operator="between">
      <formula>AM$9</formula>
      <formula>AM$10</formula>
    </cfRule>
    <cfRule type="cellIs" dxfId="130" priority="62355" operator="between">
      <formula>AM$10</formula>
      <formula>AM$11</formula>
    </cfRule>
    <cfRule type="cellIs" dxfId="129" priority="62356" operator="between">
      <formula>AM$11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128" priority="62533" operator="between">
      <formula>AM$12</formula>
      <formula>AM$13</formula>
    </cfRule>
    <cfRule type="cellIs" dxfId="127" priority="62534" operator="between">
      <formula>AM$13</formula>
      <formula>AM$14</formula>
    </cfRule>
    <cfRule type="cellIs" dxfId="126" priority="62535" operator="between">
      <formula>AM$14</formula>
      <formula>AM$15</formula>
    </cfRule>
    <cfRule type="cellIs" dxfId="125" priority="62536" operator="between">
      <formula>AM$15</formula>
      <formula>1000</formula>
    </cfRule>
  </conditionalFormatting>
  <conditionalFormatting sqref="R4:AM5">
    <cfRule type="expression" dxfId="124" priority="70359" stopIfTrue="1">
      <formula>IF($AH4&lt;&gt;"",1,0)</formula>
    </cfRule>
  </conditionalFormatting>
  <conditionalFormatting sqref="AI1:AI1048576 BE1:BE1048576 CA1:CA1048576">
    <cfRule type="cellIs" dxfId="123" priority="70364" operator="between">
      <formula>AM$11</formula>
      <formula>1000</formula>
    </cfRule>
    <cfRule type="cellIs" dxfId="122" priority="70365" operator="between">
      <formula>AM$10</formula>
      <formula>AM$11</formula>
    </cfRule>
    <cfRule type="cellIs" dxfId="121" priority="70366" operator="between">
      <formula>AM$9</formula>
      <formula>AM$10</formula>
    </cfRule>
    <cfRule type="cellIs" dxfId="120" priority="70367" operator="between">
      <formula>AM$8</formula>
      <formula>AM$9</formula>
    </cfRule>
  </conditionalFormatting>
  <conditionalFormatting sqref="AJ1:AJ1048576 BF1:BF1048576 CB1:CB1048576">
    <cfRule type="cellIs" dxfId="119" priority="70368" operator="between">
      <formula>AM$15</formula>
      <formula>1000</formula>
    </cfRule>
    <cfRule type="cellIs" dxfId="118" priority="70369" operator="between">
      <formula>AM$14</formula>
      <formula>AM$15</formula>
    </cfRule>
    <cfRule type="cellIs" dxfId="117" priority="70370" operator="between">
      <formula>AM$13</formula>
      <formula>AM$14</formula>
    </cfRule>
    <cfRule type="cellIs" dxfId="116" priority="70371" operator="between">
      <formula>AM$12</formula>
      <formula>AM$13</formula>
    </cfRule>
  </conditionalFormatting>
  <conditionalFormatting sqref="AN4:BI5">
    <cfRule type="expression" dxfId="115" priority="70377" stopIfTrue="1">
      <formula>IF($BD4&lt;&gt;"",1,0)</formula>
    </cfRule>
  </conditionalFormatting>
  <conditionalFormatting sqref="J1:J1048576 N1:N1048576 L1:L1048576">
    <cfRule type="expression" dxfId="114" priority="70392">
      <formula>IF(J1=$BJ$1,1,0)</formula>
    </cfRule>
    <cfRule type="expression" dxfId="113" priority="70393">
      <formula>IF(J1=$AN$1,1,0)</formula>
    </cfRule>
    <cfRule type="expression" dxfId="112" priority="70394">
      <formula>IF(J1=$R$1,1,0)</formula>
    </cfRule>
  </conditionalFormatting>
  <conditionalFormatting sqref="BJ4:CE5">
    <cfRule type="expression" dxfId="111" priority="70395" stopIfTrue="1">
      <formula>IF($BZ4&lt;&gt;"",1,0)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C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64</v>
      </c>
      <c r="J1" s="75" t="s">
        <v>24</v>
      </c>
      <c r="K1" s="81" t="s">
        <v>65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75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84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97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99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66</v>
      </c>
      <c r="S2" s="69"/>
      <c r="T2" s="69"/>
      <c r="U2" s="69"/>
      <c r="V2" s="69" t="s">
        <v>67</v>
      </c>
      <c r="W2" s="69"/>
      <c r="X2" s="69"/>
      <c r="Y2" s="69"/>
      <c r="Z2" s="69" t="s">
        <v>69</v>
      </c>
      <c r="AA2" s="69"/>
      <c r="AB2" s="69"/>
      <c r="AC2" s="69"/>
      <c r="AD2" s="78" t="s">
        <v>70</v>
      </c>
      <c r="AE2" s="78"/>
      <c r="AF2" s="78"/>
      <c r="AG2" s="78"/>
      <c r="AH2" s="16"/>
      <c r="AI2" s="16" t="s">
        <v>98</v>
      </c>
      <c r="AJ2" s="16" t="s">
        <v>20</v>
      </c>
      <c r="AK2" s="16" t="s">
        <v>56</v>
      </c>
      <c r="AL2" s="16" t="s">
        <v>73</v>
      </c>
      <c r="AM2" s="16" t="s">
        <v>14</v>
      </c>
      <c r="AN2" s="70" t="s">
        <v>66</v>
      </c>
      <c r="AO2" s="70"/>
      <c r="AP2" s="70"/>
      <c r="AQ2" s="70"/>
      <c r="AR2" s="70" t="s">
        <v>67</v>
      </c>
      <c r="AS2" s="70"/>
      <c r="AT2" s="70"/>
      <c r="AU2" s="70"/>
      <c r="AV2" s="70" t="s">
        <v>69</v>
      </c>
      <c r="AW2" s="70"/>
      <c r="AX2" s="70"/>
      <c r="AY2" s="70"/>
      <c r="AZ2" s="79" t="s">
        <v>70</v>
      </c>
      <c r="BA2" s="79"/>
      <c r="BB2" s="79"/>
      <c r="BC2" s="79"/>
      <c r="BD2" s="17"/>
      <c r="BE2" s="17" t="s">
        <v>98</v>
      </c>
      <c r="BF2" s="17" t="s">
        <v>20</v>
      </c>
      <c r="BG2" s="17" t="s">
        <v>56</v>
      </c>
      <c r="BH2" s="17" t="s">
        <v>73</v>
      </c>
      <c r="BI2" s="17" t="s">
        <v>14</v>
      </c>
      <c r="BJ2" s="69" t="s">
        <v>66</v>
      </c>
      <c r="BK2" s="69"/>
      <c r="BL2" s="69"/>
      <c r="BM2" s="69"/>
      <c r="BN2" s="69" t="s">
        <v>67</v>
      </c>
      <c r="BO2" s="69"/>
      <c r="BP2" s="69"/>
      <c r="BQ2" s="69"/>
      <c r="BR2" s="69" t="s">
        <v>69</v>
      </c>
      <c r="BS2" s="69"/>
      <c r="BT2" s="69"/>
      <c r="BU2" s="69"/>
      <c r="BV2" s="78" t="s">
        <v>70</v>
      </c>
      <c r="BW2" s="78"/>
      <c r="BX2" s="78"/>
      <c r="BY2" s="78"/>
      <c r="BZ2" s="16"/>
      <c r="CA2" s="16" t="s">
        <v>98</v>
      </c>
      <c r="CB2" s="16" t="s">
        <v>20</v>
      </c>
      <c r="CC2" s="16" t="s">
        <v>56</v>
      </c>
      <c r="CD2" s="16" t="s">
        <v>73</v>
      </c>
      <c r="CE2" s="16" t="s">
        <v>14</v>
      </c>
      <c r="CF2" s="54" t="s">
        <v>72</v>
      </c>
      <c r="CG2" s="54" t="s">
        <v>19</v>
      </c>
      <c r="CH2" s="69" t="s">
        <v>66</v>
      </c>
      <c r="CI2" s="69"/>
      <c r="CJ2" s="69"/>
      <c r="CK2" s="69"/>
      <c r="CL2" s="69" t="s">
        <v>67</v>
      </c>
      <c r="CM2" s="69"/>
      <c r="CN2" s="69"/>
      <c r="CO2" s="69"/>
      <c r="CP2" s="69" t="s">
        <v>68</v>
      </c>
      <c r="CQ2" s="69"/>
      <c r="CR2" s="69"/>
      <c r="CS2" s="69"/>
      <c r="CT2" s="69" t="s">
        <v>69</v>
      </c>
      <c r="CU2" s="69"/>
      <c r="CV2" s="69"/>
      <c r="CW2" s="69"/>
      <c r="CX2" s="80" t="s">
        <v>70</v>
      </c>
      <c r="CY2" s="80"/>
      <c r="CZ2" s="80"/>
      <c r="DA2" s="80"/>
      <c r="DB2" s="16" t="s">
        <v>71</v>
      </c>
      <c r="DC2" s="16" t="s">
        <v>72</v>
      </c>
      <c r="DD2" s="16" t="s">
        <v>68</v>
      </c>
      <c r="DE2" s="16" t="s">
        <v>56</v>
      </c>
      <c r="DF2" s="16" t="s">
        <v>73</v>
      </c>
      <c r="DG2" s="16" t="s">
        <v>14</v>
      </c>
      <c r="DH2" s="70" t="s">
        <v>66</v>
      </c>
      <c r="DI2" s="70"/>
      <c r="DJ2" s="70"/>
      <c r="DK2" s="70"/>
      <c r="DL2" s="70" t="s">
        <v>67</v>
      </c>
      <c r="DM2" s="70"/>
      <c r="DN2" s="70"/>
      <c r="DO2" s="70"/>
      <c r="DP2" s="70" t="s">
        <v>68</v>
      </c>
      <c r="DQ2" s="70"/>
      <c r="DR2" s="70"/>
      <c r="DS2" s="70"/>
      <c r="DT2" s="70" t="s">
        <v>69</v>
      </c>
      <c r="DU2" s="70"/>
      <c r="DV2" s="70"/>
      <c r="DW2" s="70"/>
      <c r="DX2" s="79" t="s">
        <v>70</v>
      </c>
      <c r="DY2" s="79"/>
      <c r="DZ2" s="79"/>
      <c r="EA2" s="79"/>
      <c r="EB2" s="17" t="s">
        <v>71</v>
      </c>
      <c r="EC2" s="17" t="s">
        <v>72</v>
      </c>
      <c r="ED2" s="17" t="s">
        <v>68</v>
      </c>
      <c r="EE2" s="17" t="s">
        <v>56</v>
      </c>
      <c r="EF2" s="17" t="s">
        <v>73</v>
      </c>
      <c r="EG2" s="17" t="s">
        <v>14</v>
      </c>
      <c r="EH2" s="69" t="s">
        <v>66</v>
      </c>
      <c r="EI2" s="69"/>
      <c r="EJ2" s="69"/>
      <c r="EK2" s="69"/>
      <c r="EL2" s="69" t="s">
        <v>67</v>
      </c>
      <c r="EM2" s="69"/>
      <c r="EN2" s="69"/>
      <c r="EO2" s="69"/>
      <c r="EP2" s="69" t="s">
        <v>68</v>
      </c>
      <c r="EQ2" s="69"/>
      <c r="ER2" s="69"/>
      <c r="ES2" s="69"/>
      <c r="ET2" s="69" t="s">
        <v>69</v>
      </c>
      <c r="EU2" s="69"/>
      <c r="EV2" s="69"/>
      <c r="EW2" s="69"/>
      <c r="EX2" s="80" t="s">
        <v>70</v>
      </c>
      <c r="EY2" s="80"/>
      <c r="EZ2" s="80"/>
      <c r="FA2" s="80"/>
      <c r="FB2" s="16" t="s">
        <v>71</v>
      </c>
      <c r="FC2" s="16" t="s">
        <v>72</v>
      </c>
      <c r="FD2" s="16" t="s">
        <v>68</v>
      </c>
      <c r="FE2" s="16" t="s">
        <v>56</v>
      </c>
      <c r="FF2" s="16" t="s">
        <v>73</v>
      </c>
      <c r="FG2" s="16" t="s">
        <v>14</v>
      </c>
      <c r="FH2" s="70" t="s">
        <v>66</v>
      </c>
      <c r="FI2" s="70"/>
      <c r="FJ2" s="70"/>
      <c r="FK2" s="70"/>
      <c r="FL2" s="70" t="s">
        <v>67</v>
      </c>
      <c r="FM2" s="70"/>
      <c r="FN2" s="70"/>
      <c r="FO2" s="70"/>
      <c r="FP2" s="70" t="s">
        <v>68</v>
      </c>
      <c r="FQ2" s="70"/>
      <c r="FR2" s="70"/>
      <c r="FS2" s="70"/>
      <c r="FT2" s="70" t="s">
        <v>69</v>
      </c>
      <c r="FU2" s="70"/>
      <c r="FV2" s="70"/>
      <c r="FW2" s="70"/>
      <c r="FX2" s="79" t="s">
        <v>70</v>
      </c>
      <c r="FY2" s="79"/>
      <c r="FZ2" s="79"/>
      <c r="GA2" s="79"/>
      <c r="GB2" s="17" t="s">
        <v>71</v>
      </c>
      <c r="GC2" s="17" t="s">
        <v>72</v>
      </c>
      <c r="GD2" s="17" t="s">
        <v>68</v>
      </c>
      <c r="GE2" s="17" t="s">
        <v>56</v>
      </c>
      <c r="GF2" s="17" t="s">
        <v>73</v>
      </c>
      <c r="GG2" s="17" t="s">
        <v>14</v>
      </c>
      <c r="GH2" s="69" t="s">
        <v>66</v>
      </c>
      <c r="GI2" s="69"/>
      <c r="GJ2" s="69"/>
      <c r="GK2" s="69"/>
      <c r="GL2" s="69" t="s">
        <v>67</v>
      </c>
      <c r="GM2" s="69"/>
      <c r="GN2" s="69"/>
      <c r="GO2" s="69"/>
      <c r="GP2" s="69" t="s">
        <v>68</v>
      </c>
      <c r="GQ2" s="69"/>
      <c r="GR2" s="69"/>
      <c r="GS2" s="69"/>
      <c r="GT2" s="69" t="s">
        <v>69</v>
      </c>
      <c r="GU2" s="69"/>
      <c r="GV2" s="69"/>
      <c r="GW2" s="69"/>
      <c r="GX2" s="80" t="s">
        <v>70</v>
      </c>
      <c r="GY2" s="80"/>
      <c r="GZ2" s="80"/>
      <c r="HA2" s="80"/>
      <c r="HB2" s="16" t="s">
        <v>71</v>
      </c>
      <c r="HC2" s="16" t="s">
        <v>72</v>
      </c>
      <c r="HD2" s="16" t="s">
        <v>68</v>
      </c>
      <c r="HE2" s="16" t="s">
        <v>56</v>
      </c>
      <c r="HF2" s="16" t="s">
        <v>73</v>
      </c>
      <c r="HG2" s="16" t="s">
        <v>14</v>
      </c>
      <c r="HH2" s="70" t="s">
        <v>66</v>
      </c>
      <c r="HI2" s="70"/>
      <c r="HJ2" s="70"/>
      <c r="HK2" s="70"/>
      <c r="HL2" s="70" t="s">
        <v>67</v>
      </c>
      <c r="HM2" s="70"/>
      <c r="HN2" s="70"/>
      <c r="HO2" s="70"/>
      <c r="HP2" s="70" t="s">
        <v>68</v>
      </c>
      <c r="HQ2" s="70"/>
      <c r="HR2" s="70"/>
      <c r="HS2" s="70"/>
      <c r="HT2" s="70" t="s">
        <v>69</v>
      </c>
      <c r="HU2" s="70"/>
      <c r="HV2" s="70"/>
      <c r="HW2" s="70"/>
      <c r="HX2" s="79" t="s">
        <v>70</v>
      </c>
      <c r="HY2" s="79"/>
      <c r="HZ2" s="79"/>
      <c r="IA2" s="79"/>
      <c r="IB2" s="17" t="s">
        <v>71</v>
      </c>
      <c r="IC2" s="17" t="s">
        <v>72</v>
      </c>
      <c r="ID2" s="17" t="s">
        <v>68</v>
      </c>
      <c r="IE2" s="17" t="s">
        <v>56</v>
      </c>
      <c r="IF2" s="17" t="s">
        <v>73</v>
      </c>
      <c r="IG2" s="17" t="s">
        <v>14</v>
      </c>
      <c r="IH2" s="69" t="s">
        <v>66</v>
      </c>
      <c r="II2" s="69"/>
      <c r="IJ2" s="69"/>
      <c r="IK2" s="69"/>
      <c r="IL2" s="69" t="s">
        <v>67</v>
      </c>
      <c r="IM2" s="69"/>
      <c r="IN2" s="69"/>
      <c r="IO2" s="69"/>
      <c r="IP2" s="69" t="s">
        <v>68</v>
      </c>
      <c r="IQ2" s="69"/>
      <c r="IR2" s="69"/>
      <c r="IS2" s="69"/>
      <c r="IT2" s="69" t="s">
        <v>69</v>
      </c>
      <c r="IU2" s="69"/>
      <c r="IV2" s="69"/>
      <c r="IW2" s="69"/>
      <c r="IX2" s="80" t="s">
        <v>70</v>
      </c>
      <c r="IY2" s="80"/>
      <c r="IZ2" s="80"/>
      <c r="JA2" s="80"/>
      <c r="JB2" s="16" t="s">
        <v>71</v>
      </c>
      <c r="JC2" s="16" t="s">
        <v>72</v>
      </c>
      <c r="JD2" s="16" t="s">
        <v>68</v>
      </c>
      <c r="JE2" s="16" t="s">
        <v>56</v>
      </c>
      <c r="JF2" s="16" t="s">
        <v>73</v>
      </c>
      <c r="JG2" s="16" t="s">
        <v>14</v>
      </c>
      <c r="JH2" s="70" t="s">
        <v>66</v>
      </c>
      <c r="JI2" s="70"/>
      <c r="JJ2" s="70"/>
      <c r="JK2" s="70"/>
      <c r="JL2" s="70" t="s">
        <v>67</v>
      </c>
      <c r="JM2" s="70"/>
      <c r="JN2" s="70"/>
      <c r="JO2" s="70"/>
      <c r="JP2" s="70" t="s">
        <v>68</v>
      </c>
      <c r="JQ2" s="70"/>
      <c r="JR2" s="70"/>
      <c r="JS2" s="70"/>
      <c r="JT2" s="70" t="s">
        <v>69</v>
      </c>
      <c r="JU2" s="70"/>
      <c r="JV2" s="70"/>
      <c r="JW2" s="70"/>
      <c r="JX2" s="79" t="s">
        <v>70</v>
      </c>
      <c r="JY2" s="79"/>
      <c r="JZ2" s="79"/>
      <c r="KA2" s="79"/>
      <c r="KB2" s="17" t="s">
        <v>71</v>
      </c>
      <c r="KC2" s="17" t="s">
        <v>72</v>
      </c>
      <c r="KD2" s="17" t="s">
        <v>68</v>
      </c>
      <c r="KE2" s="17" t="s">
        <v>56</v>
      </c>
      <c r="KF2" s="17" t="s">
        <v>73</v>
      </c>
      <c r="KG2" s="17" t="s">
        <v>14</v>
      </c>
      <c r="KH2" s="69" t="s">
        <v>66</v>
      </c>
      <c r="KI2" s="69"/>
      <c r="KJ2" s="69"/>
      <c r="KK2" s="69"/>
      <c r="KL2" s="69" t="s">
        <v>67</v>
      </c>
      <c r="KM2" s="69"/>
      <c r="KN2" s="69"/>
      <c r="KO2" s="69"/>
      <c r="KP2" s="69" t="s">
        <v>68</v>
      </c>
      <c r="KQ2" s="69"/>
      <c r="KR2" s="69"/>
      <c r="KS2" s="69"/>
      <c r="KT2" s="69" t="s">
        <v>69</v>
      </c>
      <c r="KU2" s="69"/>
      <c r="KV2" s="69"/>
      <c r="KW2" s="69"/>
      <c r="KX2" s="80" t="s">
        <v>70</v>
      </c>
      <c r="KY2" s="80"/>
      <c r="KZ2" s="80"/>
      <c r="LA2" s="80"/>
      <c r="LB2" s="16" t="s">
        <v>71</v>
      </c>
      <c r="LC2" s="16" t="s">
        <v>72</v>
      </c>
      <c r="LD2" s="16" t="s">
        <v>68</v>
      </c>
      <c r="LE2" s="16" t="s">
        <v>56</v>
      </c>
      <c r="LF2" s="16" t="s">
        <v>73</v>
      </c>
      <c r="LG2" s="16" t="s">
        <v>14</v>
      </c>
      <c r="LH2" s="70" t="s">
        <v>66</v>
      </c>
      <c r="LI2" s="70"/>
      <c r="LJ2" s="70"/>
      <c r="LK2" s="70"/>
      <c r="LL2" s="70" t="s">
        <v>67</v>
      </c>
      <c r="LM2" s="70"/>
      <c r="LN2" s="70"/>
      <c r="LO2" s="70"/>
      <c r="LP2" s="70" t="s">
        <v>68</v>
      </c>
      <c r="LQ2" s="70"/>
      <c r="LR2" s="70"/>
      <c r="LS2" s="70"/>
      <c r="LT2" s="70" t="s">
        <v>69</v>
      </c>
      <c r="LU2" s="70"/>
      <c r="LV2" s="70"/>
      <c r="LW2" s="70"/>
      <c r="LX2" s="79" t="s">
        <v>70</v>
      </c>
      <c r="LY2" s="79"/>
      <c r="LZ2" s="79"/>
      <c r="MA2" s="79"/>
      <c r="MB2" s="17" t="s">
        <v>71</v>
      </c>
      <c r="MC2" s="17" t="s">
        <v>72</v>
      </c>
      <c r="MD2" s="17" t="s">
        <v>68</v>
      </c>
      <c r="ME2" s="17" t="s">
        <v>56</v>
      </c>
      <c r="MF2" s="17" t="s">
        <v>73</v>
      </c>
      <c r="MG2" s="17" t="s">
        <v>14</v>
      </c>
      <c r="MH2" s="69" t="s">
        <v>66</v>
      </c>
      <c r="MI2" s="69"/>
      <c r="MJ2" s="69"/>
      <c r="MK2" s="69"/>
      <c r="ML2" s="69" t="s">
        <v>67</v>
      </c>
      <c r="MM2" s="69"/>
      <c r="MN2" s="69"/>
      <c r="MO2" s="69"/>
      <c r="MP2" s="69" t="s">
        <v>68</v>
      </c>
      <c r="MQ2" s="69"/>
      <c r="MR2" s="69"/>
      <c r="MS2" s="69"/>
      <c r="MT2" s="69" t="s">
        <v>69</v>
      </c>
      <c r="MU2" s="69"/>
      <c r="MV2" s="69"/>
      <c r="MW2" s="69"/>
      <c r="MX2" s="80" t="s">
        <v>70</v>
      </c>
      <c r="MY2" s="80"/>
      <c r="MZ2" s="80"/>
      <c r="NA2" s="80"/>
      <c r="NB2" s="16" t="s">
        <v>71</v>
      </c>
      <c r="NC2" s="16" t="s">
        <v>72</v>
      </c>
      <c r="ND2" s="16" t="s">
        <v>68</v>
      </c>
      <c r="NE2" s="16" t="s">
        <v>56</v>
      </c>
      <c r="NF2" s="16" t="s">
        <v>73</v>
      </c>
      <c r="NG2" s="16" t="s">
        <v>14</v>
      </c>
      <c r="NH2" s="70" t="s">
        <v>66</v>
      </c>
      <c r="NI2" s="70"/>
      <c r="NJ2" s="70"/>
      <c r="NK2" s="70"/>
      <c r="NL2" s="70" t="s">
        <v>67</v>
      </c>
      <c r="NM2" s="70"/>
      <c r="NN2" s="70"/>
      <c r="NO2" s="70"/>
      <c r="NP2" s="70" t="s">
        <v>68</v>
      </c>
      <c r="NQ2" s="70"/>
      <c r="NR2" s="70"/>
      <c r="NS2" s="70"/>
      <c r="NT2" s="70" t="s">
        <v>69</v>
      </c>
      <c r="NU2" s="70"/>
      <c r="NV2" s="70"/>
      <c r="NW2" s="70"/>
      <c r="NX2" s="79" t="s">
        <v>70</v>
      </c>
      <c r="NY2" s="79"/>
      <c r="NZ2" s="79"/>
      <c r="OA2" s="79"/>
      <c r="OB2" s="17" t="s">
        <v>71</v>
      </c>
      <c r="OC2" s="17" t="s">
        <v>72</v>
      </c>
      <c r="OD2" s="17" t="s">
        <v>68</v>
      </c>
      <c r="OE2" s="17" t="s">
        <v>56</v>
      </c>
      <c r="OF2" s="17" t="s">
        <v>73</v>
      </c>
      <c r="OG2" s="17" t="s">
        <v>14</v>
      </c>
      <c r="OH2" s="69" t="s">
        <v>66</v>
      </c>
      <c r="OI2" s="69"/>
      <c r="OJ2" s="69"/>
      <c r="OK2" s="69"/>
      <c r="OL2" s="69" t="s">
        <v>67</v>
      </c>
      <c r="OM2" s="69"/>
      <c r="ON2" s="69"/>
      <c r="OO2" s="69"/>
      <c r="OP2" s="69" t="s">
        <v>69</v>
      </c>
      <c r="OQ2" s="69"/>
      <c r="OR2" s="69"/>
      <c r="OS2" s="69"/>
      <c r="OT2" s="78" t="s">
        <v>70</v>
      </c>
      <c r="OU2" s="78"/>
      <c r="OV2" s="78"/>
      <c r="OW2" s="78"/>
      <c r="OX2" s="16"/>
      <c r="OY2" s="16" t="s">
        <v>98</v>
      </c>
      <c r="OZ2" s="16" t="s">
        <v>20</v>
      </c>
      <c r="PA2" s="16" t="s">
        <v>56</v>
      </c>
      <c r="PB2" s="16" t="s">
        <v>73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74</v>
      </c>
      <c r="C4" s="4" t="s">
        <v>62</v>
      </c>
      <c r="D4" s="4">
        <v>2010</v>
      </c>
      <c r="E4" s="10">
        <f>SUM(I4:O4)+SUM(I4:M4)*0.0000001+SUM(I4)*0.0000000000001</f>
        <v>125.30001253000415</v>
      </c>
      <c r="F4" s="3" t="str">
        <f>IF(OR(AND(AI4&gt;=AM$8,AJ4&gt;=AM$12,AI4&lt;&gt;"",AH4=""),AND(AK4&gt;=AM$8,AL4&gt;=AM$12,AK4&lt;&gt;"",AH4=""),AND(BE4&gt;=BI$8,BF4&gt;=BI$12,BE4&lt;&gt;"",BD4=""),AND(BG4&gt;=BI$8,BH4&gt;=BI$12,BG4&lt;&gt;"",BD4=""),AND(CA4&gt;=CE$8,CB4&gt;=CE$12,CA4&lt;&gt;"",BZ4=""),AND(CC4&gt;=CE$8,CD4&gt;=CE$12,CC4&lt;&gt;""),AND(DB4&gt;=DG$8,DC4&gt;=DG$12,DB4&lt;&gt;""),AND(DE4&gt;=DG$8,DF4&gt;=DG$12,DE4&lt;&gt;""),AND(EB4&gt;=EG$8,EC4&gt;=EG$12,EB4&lt;&gt;""),AND(EE4&gt;=EG$8,EF4&gt;=EG$12,EE4&lt;&gt;""),AND(FB4&gt;=FG$8,FC4&gt;=FG$12,FB4&lt;&gt;""),AND(FE4&gt;=FG$8,FF4&gt;=FG$12,FE4&lt;&gt;""),AND(GB4&gt;=GG$8,GC4&gt;=GG$12,GB4&lt;&gt;""),AND(GE4&gt;=GG$8,GF4&gt;=GG$12,GE4&lt;&gt;""),AND(HB4&gt;=HG$8,HC4&gt;=HG$12,HB4&lt;&gt;""),AND(HE4&gt;=HG$8,HF4&gt;=HG$12,HE4&lt;&gt;""),AND(IB4&gt;=IG$8,IC4&gt;=IG$12,IB4&lt;&gt;""),AND(IE4&gt;=IG$8,IF4&gt;=IG$12,IE4&lt;&gt;""),AND(JB4&gt;=JG$8,JC4&gt;=JG$12,JB4&lt;&gt;""),AND(JE4&gt;=JG$8,JF4&gt;=JG$12,JE4&lt;&gt;""),AND(KB4&gt;=KG$8,KC4&gt;=KG$12,KB4&lt;&gt;""),AND(KE4&gt;=KG$8,KF4&gt;=KG$12,KE4&lt;&gt;""),AND(LB4&gt;=LG$8,LC4&gt;=LG$12,LB4&lt;&gt;""),AND(LE4&gt;=LG$8,LF4&gt;=LG$12,LE4&lt;&gt;""),AND(MB4&gt;=MG$8,MC4&gt;=MG$12,MB4&lt;&gt;""),AND(ME4&gt;=MG$8,MF4&gt;=MG$12,ME4&lt;&gt;""),AND(NB4&gt;=NG$8,NC4&gt;=NG$12,NB4&lt;&gt;""),AND(NE4&gt;=NG$8,NF4&gt;=NG$12,NE4&lt;&gt;""),AND(OB4&gt;=OG$8,OC4&gt;=OG$12,OB4&lt;&gt;""),AND(OE4&gt;=OG$8,OF4&gt;=OG$12,OE4&lt;&gt;"")),"P","")</f>
        <v>P</v>
      </c>
      <c r="G4" s="3" t="str">
        <f>IF(OR(AND(AJ4&gt;=AM$12,AJ4&lt;&gt;"",AH4=""),AND(AL4&gt;=AM$12,AL4&lt;&gt;"",AH4=""),AND(BF4&gt;=BI$12,BF4&lt;&gt;"",BD4=""),AND(BH4&gt;=BI$12,BH4&lt;&gt;"",BD4=""),AND(CB4&gt;=CE$12,CB4&lt;&gt;"",BZ4=""),AND(CD4&gt;=CE$12,CD4&lt;&gt;"",BZ4=""),AND(DC4&gt;=DG$12,DC4&lt;&gt;""),AND(DF4&gt;=DG$12,DF4&lt;&gt;""),AND(EC4&gt;=EG$12,EC4&lt;&gt;""),AND(EF4&gt;=EG$12,EF4&lt;&gt;""),AND(FC4&gt;=FG$12,FC4&lt;&gt;""),AND(FF4&gt;=FG$12,FF4&lt;&gt;""),AND(GC4&gt;=GG$12,GC4&lt;&gt;""),AND(GF4&gt;=GG$12,GF4&lt;&gt;""),AND(HC4&gt;=HG$12,HC4&lt;&gt;""),AND(HF4&gt;=HG$12,HF4&lt;&gt;""),AND(IC4&gt;=IG$12,IC4&lt;&gt;""),AND(IF4&gt;=IG$12,IF4&lt;&gt;""),AND(JC4&gt;=JG$12,JC4&lt;&gt;""),AND(JF4&gt;=JG$12,JF4&lt;&gt;""),AND(KC4&gt;=KG$12,KC4&lt;&gt;""),AND(KF4&gt;=KG$12,KF4&lt;&gt;""),AND(LC4&gt;=LG$12,LC4&lt;&gt;""),AND(LF4&gt;=LG$12,LF4&lt;&gt;""),AND(MC4&gt;=MG$12,MC4&lt;&gt;""),AND(MF4&gt;=MG$12,MF4&lt;&gt;""),AND(NC4&gt;=NG$12,NC4&lt;&gt;""),AND(NF4&gt;=NG$12,NF4&lt;&gt;""),AND(OC4&gt;=OG$12,OC4&lt;&gt;""),AND(OF4&gt;=OG$12,OF4&lt;&gt;"")),"P","")</f>
        <v>P</v>
      </c>
      <c r="H4" s="47" t="str">
        <f>IF(AND(G4="P",F4=""),"No DD",IF(OR(AND(AI4&gt;=AM$11,AJ4&gt;=AM$15,AI4&lt;&gt;"",AH4=""),AND(AK4&gt;=AM$11,AL4&gt;=AM$15,AK4&lt;&gt;"",AH4=""),AND(BE4&gt;=BI$11,BF4&gt;=BI$15,BE4&lt;&gt;"",BD4=""),AND(BG4&gt;=BI$11,BH4&gt;=BI$15,BG4&lt;&gt;"",BD4=""),AND(CA4&gt;=CE$11,CB4&gt;=CE$15,CA4&lt;&gt;"",BZ4=""),AND(CC4&gt;=CE$11,CD4&gt;=CE$15,CC4&lt;&gt;""),AND(DB4&gt;=DG$11,DC4&gt;=DG$15,DB4&lt;&gt;""),AND(DE4&gt;=DG$11,DF4&gt;=DG$15,DE4&lt;&gt;""),AND(EB4&gt;=EG$11,EC4&gt;=EG$15,EB4&lt;&gt;""),AND(EE4&gt;=EG$11,EF4&gt;=EG$15,EE4&lt;&gt;""),AND(FB4&gt;=FG$11,FC4&gt;=FG$15,FB4&lt;&gt;""),AND(FE4&gt;=FG$11,FF4&gt;=FG$15,FE4&lt;&gt;""),AND(GB4&gt;=GG$11,GC4&gt;=GG$15,GB4&lt;&gt;""),AND(GE4&gt;=GG$11,GF4&gt;=GG$15,GE4&lt;&gt;""),AND(HB4&gt;=HG$11,HC4&gt;=HG$15,HB4&lt;&gt;""),AND(HE4&gt;=HG$11,HF4&gt;=HG$15,HE4&lt;&gt;""),AND(IB4&gt;=IG$11,IC4&gt;=IG$15,IB4&lt;&gt;""),AND(IE4&gt;=IG$11,IF4&gt;=IG$15,IE4&lt;&gt;""),AND(JB4&gt;=JG$11,JC4&gt;=JG$15,JB4&lt;&gt;""),AND(JE4&gt;=JG$11,JF4&gt;=JG$15,JE4&lt;&gt;""),AND(KB4&gt;=KG$11,KC4&gt;=KG$15,KB4&lt;&gt;""),AND(KE4&gt;=KG$11,KF4&gt;=KG$15,KE4&lt;&gt;""),AND(LB4&gt;=LG$11,LC4&gt;=LG$15,LB4&lt;&gt;""),AND(LE4&gt;=LG$11,LF4&gt;=LG$15,LE4&lt;&gt;""),AND(MB4&gt;=MG$11,MC4&gt;=MG$15,MB4&lt;&gt;""),AND(ME4&gt;=MG$11,MF4&gt;=MG$15,ME4&lt;&gt;""),AND(NB4&gt;=NG$11,NC4&gt;=NG$15,NB4&lt;&gt;""),AND(NE4&gt;=NG$11,NF4&gt;=NG$15,NE4&lt;&gt;""),AND(OB4&gt;=OG$11,OC4&gt;=OG$15,OB4&lt;&gt;""),AND(OE4&gt;=OG$11,OF4&gt;=OG$15,OE4&lt;&gt;"")),"Merit",IF(OR(AND(AI4&gt;=AM$10,AJ4&gt;=AM$14,AI4&lt;&gt;"",AH4=""),AND(AK4&gt;=AM$10,AL4&gt;=AM$14,AK4&lt;&gt;"",AH4=""),AND(BE4&gt;=BI$10,BF4&gt;=BI$14,BE4&lt;&gt;"",BD4=""),AND(BG4&gt;=BI$10,BH4&gt;=BI$14,BG4&lt;&gt;"",BD4=""),AND(CA4&gt;=CE$10,CB4&gt;=CE$14,CA4&lt;&gt;"",BZ4=""),AND(CC4&gt;=CE$10,CD4&gt;=CE$14,CC4&lt;&gt;""),AND(DB4&gt;=DG$10,DC4&gt;=DG$14,DB4&lt;&gt;""),AND(DE4&gt;=DG$10,DF4&gt;=DG$14,DE4&lt;&gt;""),AND(EB4&gt;=EG$10,EC4&gt;=EG$14,EB4&lt;&gt;""),AND(EE4&gt;=EG$10,EF4&gt;=EG$14,EE4&lt;&gt;""),AND(FB4&gt;=FG$10,FC4&gt;=FG$14,FB4&lt;&gt;""),AND(FE4&gt;=FG$10,FF4&gt;=FG$14,FE4&lt;&gt;""),AND(GB4&gt;=GG$10,GC4&gt;=GG$14,GB4&lt;&gt;""),AND(GE4&gt;=GG$10,GF4&gt;=GG$14,GE4&lt;&gt;""),AND(HB4&gt;=HG$10,HC4&gt;=HG$14,HB4&lt;&gt;""),AND(HE4&gt;=HG$10,HF4&gt;=HG$14,HE4&lt;&gt;""),AND(IB4&gt;=IG$10,IC4&gt;=IG$14,IB4&lt;&gt;""),AND(IE4&gt;=IG$10,IF4&gt;=IG$14,IE4&lt;&gt;""),AND(JB4&gt;=JG$10,JC4&gt;=JG$14,JB4&lt;&gt;""),AND(JE4&gt;=JG$10,JF4&gt;=JG$14,JE4&lt;&gt;""),AND(KB4&gt;=KG$10,KC4&gt;=KG$14,KB4&lt;&gt;""),AND(KE4&gt;=KG$10,KF4&gt;=KG$14,KE4&lt;&gt;""),AND(LB4&gt;=LG$10,LC4&gt;=LG$14,LB4&lt;&gt;""),AND(LE4&gt;=LG$10,LF4&gt;=LG$14,LE4&lt;&gt;""),AND(MB4&gt;=MG$10,MC4&gt;=MG$14,MB4&lt;&gt;""),AND(ME4&gt;=MG$10,MF4&gt;=MG$14,ME4&lt;&gt;""),AND(NB4&gt;=NG$10,NC4&gt;=NG$14,NB4&lt;&gt;""),AND(NE4&gt;=NG$10,NF4&gt;=NG$14,NE4&lt;&gt;""),AND(OB4&gt;=OG$10,OC4&gt;=OG$14,OB4&lt;&gt;""),AND(OE4&gt;=OG$10,OF4&gt;=OG$14,OE4&lt;&gt;"")),"Excellence",IF(F4="P","National Team",""))))</f>
        <v>National Team</v>
      </c>
      <c r="I4" s="9">
        <f>IF(COUNT(AJ4,BF4,CB4)&gt;0,LARGE((AJ4,BF4,CB4),1),0)</f>
        <v>41.499999999999993</v>
      </c>
      <c r="J4" s="9" t="str">
        <f>IF(I4=0,"",IF(I4=CB4,$BJ$1,IF(I4=BF4,$AN$1,IF(I4=AJ4,$R$1,""))))</f>
        <v>2025 3rd Domestic Trial</v>
      </c>
      <c r="K4" s="9">
        <f>IF(COUNT(AJ4,BF4,CB4)&gt;1,LARGE((AJ4,BF4,CB4),2),0)</f>
        <v>41.1</v>
      </c>
      <c r="L4" s="9" t="str">
        <f>IF(K4=0,"",IF(AND(K4=I4,K4=AJ4,K4=BF4),$R$1,IF(AND(K4=I4,K4=AJ4,K4=CB4),$R$1,IF(AND(K4=I4,K4=CB4,K4=BF4),$AN$1,IF(K4=CB4,$BJ$1,IF(K4=BF4,$AN$1,IF(K4=AJ4,$R$1,"")))))))</f>
        <v>2025 Nationals</v>
      </c>
      <c r="M4" s="9">
        <f>IF(MAX(AL4,BH4,CD4)&gt;0,MAX(AL4,BH4,CD4),0)</f>
        <v>42.7</v>
      </c>
      <c r="N4" s="9" t="str">
        <f>IF(M4=0,"",IF(M4=CD4,$BJ$1,IF(M4=BH4,$AN$1,IF(M4=AL4,$R$1,""))))</f>
        <v>2025 Nationals</v>
      </c>
      <c r="O4" s="9" t="str">
        <f>IF(MAX(CF4:CG4)&gt;0,MAX(CF4:CG4),"")</f>
        <v/>
      </c>
      <c r="P4" s="14" t="str">
        <f>IF(O4="","",IF(O4=CF4,"("&amp;CF$2&amp;")",IF(O4=CG4,"("&amp;CG$2&amp;")")))</f>
        <v/>
      </c>
      <c r="Q4" s="9" t="str">
        <f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/>
      </c>
      <c r="R4" s="20">
        <v>15.1</v>
      </c>
      <c r="S4" s="20">
        <v>3.9</v>
      </c>
      <c r="T4" s="20">
        <v>0.2</v>
      </c>
      <c r="U4" s="20">
        <v>0</v>
      </c>
      <c r="V4" s="20">
        <v>16.899999999999999</v>
      </c>
      <c r="W4" s="20">
        <v>2.8</v>
      </c>
      <c r="X4" s="20">
        <v>0.2</v>
      </c>
      <c r="Y4" s="20">
        <v>0</v>
      </c>
      <c r="Z4" s="20">
        <v>17.2</v>
      </c>
      <c r="AA4" s="20">
        <v>3.9</v>
      </c>
      <c r="AB4" s="20">
        <v>0</v>
      </c>
      <c r="AC4" s="20">
        <v>0</v>
      </c>
      <c r="AD4" s="20">
        <v>17.5</v>
      </c>
      <c r="AE4" s="20">
        <v>3.4</v>
      </c>
      <c r="AF4" s="20">
        <v>0</v>
      </c>
      <c r="AG4" s="20">
        <v>0</v>
      </c>
      <c r="AH4" s="32"/>
      <c r="AI4" s="55">
        <f>IF(SUM(S4,W4)&gt;0,SUM(S4,W4),"")</f>
        <v>6.6999999999999993</v>
      </c>
      <c r="AJ4" s="55">
        <f>IF(SUM(R4:S4,U4:W4,Y4)-T4-X4&gt;0,SUM(R4:S4,U4:W4,Y4)-T4-X4,"")</f>
        <v>38.29999999999999</v>
      </c>
      <c r="AK4" s="55">
        <f>IF(SUM(AA4,AE4)&gt;0,SUM(AA4,AE4),"")</f>
        <v>7.3</v>
      </c>
      <c r="AL4" s="55">
        <f>IF(SUM(Z4:AA4,AC4:AE4,AG4)-SUM(AB4,AF4)&gt;0,SUM(Z4:AA4,AC4:AE4,AG4)-SUM(AB4,AF4),"")</f>
        <v>41.999999999999993</v>
      </c>
      <c r="AM4" s="55">
        <f>IF(SUM(AJ4,AL4)&gt;0,SUM(AJ4,AL4),"")</f>
        <v>80.299999999999983</v>
      </c>
      <c r="AN4" s="19">
        <v>17.3</v>
      </c>
      <c r="AO4" s="19">
        <v>3.9</v>
      </c>
      <c r="AP4" s="19">
        <v>0</v>
      </c>
      <c r="AQ4" s="19">
        <v>0</v>
      </c>
      <c r="AR4" s="19">
        <v>15.8</v>
      </c>
      <c r="AS4" s="19">
        <v>4.0999999999999996</v>
      </c>
      <c r="AT4" s="19">
        <v>0</v>
      </c>
      <c r="AU4" s="19">
        <v>0</v>
      </c>
      <c r="AV4" s="19">
        <v>17.399999999999999</v>
      </c>
      <c r="AW4" s="19">
        <v>4.0999999999999996</v>
      </c>
      <c r="AX4" s="19">
        <v>0</v>
      </c>
      <c r="AY4" s="19">
        <v>0</v>
      </c>
      <c r="AZ4" s="19">
        <v>18</v>
      </c>
      <c r="BA4" s="19">
        <v>3.2</v>
      </c>
      <c r="BB4" s="19">
        <v>0</v>
      </c>
      <c r="BC4" s="19">
        <v>0</v>
      </c>
      <c r="BD4" s="33"/>
      <c r="BE4" s="14">
        <f>IF(SUM(AO4,AS4)&gt;0,SUM(AO4,AS4),"")</f>
        <v>8</v>
      </c>
      <c r="BF4" s="14">
        <f>IF(SUM(AN4:AO4,AQ4:AS4,AU4)-AP4-AT4&gt;0,SUM(AN4:AO4,AQ4:AS4,AU4)-AP4-AT4,"")</f>
        <v>41.1</v>
      </c>
      <c r="BG4" s="14">
        <f>IF(SUM(AW4,BA4)&gt;0,SUM(AW4,BA4),"")</f>
        <v>7.3</v>
      </c>
      <c r="BH4" s="14">
        <f>IF(SUM(AV4:AW4,AY4:BA4,BC4)-SUM(AX4,BB4)&gt;0,SUM(AV4:AW4,AY4:BA4,BC4)-SUM(AX4,BB4),"")</f>
        <v>42.7</v>
      </c>
      <c r="BI4" s="14">
        <f>IF(SUM(BF4,BH4)&gt;0,SUM(BF4,BH4),"")</f>
        <v>83.800000000000011</v>
      </c>
      <c r="BJ4" s="20">
        <v>17.5</v>
      </c>
      <c r="BK4" s="20">
        <v>3.4</v>
      </c>
      <c r="BL4" s="20">
        <v>0</v>
      </c>
      <c r="BM4" s="20">
        <v>0</v>
      </c>
      <c r="BN4" s="20">
        <v>16.7</v>
      </c>
      <c r="BO4" s="20">
        <v>3.9</v>
      </c>
      <c r="BP4" s="20">
        <v>0</v>
      </c>
      <c r="BQ4" s="20">
        <v>0</v>
      </c>
      <c r="BR4" s="20">
        <v>16</v>
      </c>
      <c r="BS4" s="20">
        <v>3.4</v>
      </c>
      <c r="BT4" s="20">
        <v>0.2</v>
      </c>
      <c r="BU4" s="20">
        <v>0</v>
      </c>
      <c r="BV4" s="20">
        <v>5.7</v>
      </c>
      <c r="BW4" s="20">
        <v>0.1</v>
      </c>
      <c r="BX4" s="20">
        <v>0.2</v>
      </c>
      <c r="BY4" s="20">
        <v>0</v>
      </c>
      <c r="BZ4" s="32"/>
      <c r="CA4" s="55">
        <f>IF(SUM(BK4,BO4)&gt;0,SUM(BK4,BO4),"")</f>
        <v>7.3</v>
      </c>
      <c r="CB4" s="55">
        <f>IF(SUM(BJ4:BK4,BM4:BO4,BQ4)-BL4-BP4&gt;0,SUM(BJ4:BK4,BM4:BO4,BQ4)-BL4-BP4,"")</f>
        <v>41.499999999999993</v>
      </c>
      <c r="CC4" s="55">
        <f>IF(SUM(BS4,BW4)&gt;0,SUM(BS4,BW4),"")</f>
        <v>3.5</v>
      </c>
      <c r="CD4" s="55">
        <f>IF(SUM(BR4:BS4,BU4:BW4,BY4)-SUM(BT4,BX4)&gt;0,SUM(BR4:BS4,BU4:BW4,BY4)-SUM(BT4,BX4),"")</f>
        <v>24.8</v>
      </c>
      <c r="CE4" s="55">
        <f>IF(SUM(CB4,CD4)&gt;0,SUM(CB4,CD4),"")</f>
        <v>66.3</v>
      </c>
      <c r="CF4" s="56" t="str">
        <f>IF(MAX(DC4,EC4,FC4,GC4,HC4,IC4,JC4,KC4,LC4,MC4,NC4,OC4)-IF(K4="",0,K4)&gt;0.001,MAX(DC4,EC4,FC4,GC4,HC4,IC4,JC4,KC4,LC4,MC4,NC4,OC4)-IF(K4="",0,K4),"")</f>
        <v/>
      </c>
      <c r="CG4" s="56" t="str">
        <f>IF(MAX(DF4,EF4,FF4,GF4,HF4,IF4,JF4,KF4,LF4,MF4,NF4,OF4)-IF(M4="",0,M4)&gt;0.001,MAX(DF4,EF4,FF4,GF4,HF4,IF4,JF4,KF4,LF4,MF4,NF4,OF4)-IF(M4="",0,M4),"")</f>
        <v/>
      </c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 t="str">
        <f>IF(SUM(CI4,CM4)&gt;0,SUM(CI4,CM4),"")</f>
        <v/>
      </c>
      <c r="DC4" s="55" t="str">
        <f>IF(SUM(CH4:CI4,CK4:CM4,CO4)-CJ4-CN4&gt;0,SUM(CH4:CI4,CK4:CM4,CO4)-CJ4-CN4,"")</f>
        <v/>
      </c>
      <c r="DD4" s="55" t="str">
        <f>IF(SUM(CP4:CQ4,CS4)-CR4&gt;0,SUM(CP4:CQ4,CS4)-CR4,"")</f>
        <v/>
      </c>
      <c r="DE4" s="55" t="str">
        <f>IF(SUM(CU4,CY4)&gt;0,SUM(CU4,CY4),"")</f>
        <v/>
      </c>
      <c r="DF4" s="55" t="str">
        <f>IF(SUM(CT4:CU4,CW4:CY4,DA4)-SUM(CV4,CZ4)&gt;0,SUM(CT4:CU4,CW4:CY4,DA4)-SUM(CV4,CZ4),"")</f>
        <v/>
      </c>
      <c r="DG4" s="55" t="str">
        <f>IF(SUM(DC4,DD4,DF4)&gt;0,SUM(DC4,DD4,DF4),"")</f>
        <v/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>IF(SUM(DI4,DM4)&gt;0,SUM(DI4,DM4),"")</f>
        <v/>
      </c>
      <c r="EC4" s="14" t="str">
        <f>IF(SUM(DH4:DI4,DK4:DM4,DO4)-DJ4-DN4&gt;0,SUM(DH4:DI4,DK4:DM4,DO4)-DJ4-DN4,"")</f>
        <v/>
      </c>
      <c r="ED4" s="14" t="str">
        <f>IF(SUM(DP4:DQ4,DS4)-DR4&gt;0,SUM(DP4:DQ4,DS4)-DR4,"")</f>
        <v/>
      </c>
      <c r="EE4" s="14" t="str">
        <f>IF(SUM(DU4,DY4)&gt;0,SUM(DU4,DY4),"")</f>
        <v/>
      </c>
      <c r="EF4" s="14" t="str">
        <f>IF(SUM(DT4:DU4,DW4:DY4,EA4)-SUM(DV4,DZ4)&gt;0,SUM(DT4:DU4,DW4:DY4,EA4)-SUM(DV4,DZ4),"")</f>
        <v/>
      </c>
      <c r="EG4" s="14" t="str">
        <f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>IF(SUM(EI4,EM4)&gt;0,SUM(EI4,EM4),"")</f>
        <v/>
      </c>
      <c r="FC4" s="55" t="str">
        <f>IF(SUM(EH4:EI4,EK4:EM4,EO4)-EJ4-EN4&gt;0,SUM(EH4:EI4,EK4:EM4,EO4)-EJ4-EN4,"")</f>
        <v/>
      </c>
      <c r="FD4" s="55" t="str">
        <f>IF(SUM(EP4:EQ4,ES4)-ER4&gt;0,SUM(EP4:EQ4,ES4)-ER4,"")</f>
        <v/>
      </c>
      <c r="FE4" s="55" t="str">
        <f>IF(SUM(EU4,EY4)&gt;0,SUM(EU4,EY4),"")</f>
        <v/>
      </c>
      <c r="FF4" s="55" t="str">
        <f>IF(SUM(ET4:EU4,EW4:EY4,FA4)-SUM(EV4,EZ4)&gt;0,SUM(ET4:EU4,EW4:EY4,FA4)-SUM(EV4,EZ4),"")</f>
        <v/>
      </c>
      <c r="FG4" s="55" t="str">
        <f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>IF(SUM(FI4,FM4)&gt;0,SUM(FI4,FM4),"")</f>
        <v/>
      </c>
      <c r="GC4" s="14" t="str">
        <f>IF(SUM(FH4:FI4,FK4:FM4,FO4)-FJ4-FN4&gt;0,SUM(FH4:FI4,FK4:FM4,FO4)-FJ4-FN4,"")</f>
        <v/>
      </c>
      <c r="GD4" s="14" t="str">
        <f>IF(SUM(FP4:FQ4,FS4)-FR4&gt;0,SUM(FP4:FQ4,FS4)-FR4,"")</f>
        <v/>
      </c>
      <c r="GE4" s="14" t="str">
        <f>IF(SUM(FU4,FY4)&gt;0,SUM(FU4,FY4),"")</f>
        <v/>
      </c>
      <c r="GF4" s="14" t="str">
        <f>IF(SUM(FT4:FU4,FW4:FY4,GA4)-SUM(FV4,FZ4)&gt;0,SUM(FT4:FU4,FW4:FY4,GA4)-SUM(FV4,FZ4),"")</f>
        <v/>
      </c>
      <c r="GG4" s="14" t="str">
        <f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>IF(SUM(GI4,GM4)&gt;0,SUM(GI4,GM4),"")</f>
        <v/>
      </c>
      <c r="HC4" s="55" t="str">
        <f>IF(SUM(GH4:GI4,GK4:GM4,GO4)-GJ4-GN4&gt;0,SUM(GH4:GI4,GK4:GM4,GO4)-GJ4-GN4,"")</f>
        <v/>
      </c>
      <c r="HD4" s="55" t="str">
        <f>IF(SUM(GP4:GQ4,GS4)-GR4&gt;0,SUM(GP4:GQ4,GS4)-GR4,"")</f>
        <v/>
      </c>
      <c r="HE4" s="55" t="str">
        <f>IF(SUM(GU4,GY4)&gt;0,SUM(GU4,GY4),"")</f>
        <v/>
      </c>
      <c r="HF4" s="55" t="str">
        <f>IF(SUM(GT4:GU4,GW4:GY4,HA4)-SUM(GV4,GZ4)&gt;0,SUM(GT4:GU4,GW4:GY4,HA4)-SUM(GV4,GZ4),"")</f>
        <v/>
      </c>
      <c r="HG4" s="55" t="str">
        <f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>IF(SUM(HI4,HM4)&gt;0,SUM(HI4,HM4),"")</f>
        <v/>
      </c>
      <c r="IC4" s="14" t="str">
        <f>IF(SUM(HH4:HI4,HK4:HM4,HO4)-HJ4-HN4&gt;0,SUM(HH4:HI4,HK4:HM4,HO4)-HJ4-HN4,"")</f>
        <v/>
      </c>
      <c r="ID4" s="14" t="str">
        <f>IF(SUM(HP4:HQ4,HS4)-HR4&gt;0,SUM(HP4:HQ4,HS4)-HR4,"")</f>
        <v/>
      </c>
      <c r="IE4" s="14" t="str">
        <f>IF(SUM(HU4,HY4)&gt;0,SUM(HU4,HY4),"")</f>
        <v/>
      </c>
      <c r="IF4" s="14" t="str">
        <f>IF(SUM(HT4:HU4,HW4:HY4,IA4)-SUM(HV4,HZ4)&gt;0,SUM(HT4:HU4,HW4:HY4,IA4)-SUM(HV4,HZ4),"")</f>
        <v/>
      </c>
      <c r="IG4" s="14" t="str">
        <f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>IF(SUM(II4,IM4)&gt;0,SUM(II4,IM4),"")</f>
        <v/>
      </c>
      <c r="JC4" s="55" t="str">
        <f>IF(SUM(IH4:II4,IK4:IM4,IO4)-IJ4-IN4&gt;0,SUM(IH4:II4,IK4:IM4,IO4)-IJ4-IN4,"")</f>
        <v/>
      </c>
      <c r="JD4" s="55" t="str">
        <f>IF(SUM(IP4:IQ4,IS4)-IR4&gt;0,SUM(IP4:IQ4,IS4)-IR4,"")</f>
        <v/>
      </c>
      <c r="JE4" s="55" t="str">
        <f>IF(SUM(IU4,IY4)&gt;0,SUM(IU4,IY4),"")</f>
        <v/>
      </c>
      <c r="JF4" s="55" t="str">
        <f>IF(SUM(IT4:IU4,IW4:IY4,JA4)-SUM(IV4,IZ4)&gt;0,SUM(IT4:IU4,IW4:IY4,JA4)-SUM(IV4,IZ4),"")</f>
        <v/>
      </c>
      <c r="JG4" s="55" t="str">
        <f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>IF(SUM(JI4,JM4)&gt;0,SUM(JI4,JM4),"")</f>
        <v/>
      </c>
      <c r="KC4" s="14" t="str">
        <f>IF(SUM(JH4:JI4,JK4:JM4,JO4)-JJ4-JN4&gt;0,SUM(JH4:JI4,JK4:JM4,JO4)-JJ4-JN4,"")</f>
        <v/>
      </c>
      <c r="KD4" s="14" t="str">
        <f>IF(SUM(JP4:JQ4,JS4)-JR4&gt;0,SUM(JP4:JQ4,JS4)-JR4,"")</f>
        <v/>
      </c>
      <c r="KE4" s="14" t="str">
        <f>IF(SUM(JU4,JY4)&gt;0,SUM(JU4,JY4),"")</f>
        <v/>
      </c>
      <c r="KF4" s="14" t="str">
        <f>IF(SUM(JT4:JU4,JW4:JY4,KA4)-SUM(JV4,JZ4)&gt;0,SUM(JT4:JU4,JW4:JY4,KA4)-SUM(JV4,JZ4),"")</f>
        <v/>
      </c>
      <c r="KG4" s="14" t="str">
        <f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>IF(SUM(KI4,KM4)&gt;0,SUM(KI4,KM4),"")</f>
        <v/>
      </c>
      <c r="LC4" s="55" t="str">
        <f>IF(SUM(KH4:KI4,KK4:KM4,KO4)-KJ4-KN4&gt;0,SUM(KH4:KI4,KK4:KM4,KO4)-KJ4-KN4,"")</f>
        <v/>
      </c>
      <c r="LD4" s="55" t="str">
        <f>IF(SUM(KP4:KQ4,KS4)-KR4&gt;0,SUM(KP4:KQ4,KS4)-KR4,"")</f>
        <v/>
      </c>
      <c r="LE4" s="55" t="str">
        <f>IF(SUM(KU4,KY4)&gt;0,SUM(KU4,KY4),"")</f>
        <v/>
      </c>
      <c r="LF4" s="55" t="str">
        <f>IF(SUM(KT4:KU4,KW4:KY4,LA4)-SUM(KV4,KZ4)&gt;0,SUM(KT4:KU4,KW4:KY4,LA4)-SUM(KV4,KZ4),"")</f>
        <v/>
      </c>
      <c r="LG4" s="55" t="str">
        <f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>IF(SUM(LI4,LM4)&gt;0,SUM(LI4,LM4),"")</f>
        <v/>
      </c>
      <c r="MC4" s="14" t="str">
        <f>IF(SUM(LH4:LI4,LK4:LM4,LO4)-LJ4-LN4&gt;0,SUM(LH4:LI4,LK4:LM4,LO4)-LJ4-LN4,"")</f>
        <v/>
      </c>
      <c r="MD4" s="14" t="str">
        <f>IF(SUM(LP4:LQ4,LS4)-LR4&gt;0,SUM(LP4:LQ4,LS4)-LR4,"")</f>
        <v/>
      </c>
      <c r="ME4" s="14" t="str">
        <f>IF(SUM(LU4,LY4)&gt;0,SUM(LU4,LY4),"")</f>
        <v/>
      </c>
      <c r="MF4" s="14" t="str">
        <f>IF(SUM(LT4:LU4,LW4:LY4,MA4)-SUM(LV4,LZ4)&gt;0,SUM(LT4:LU4,LW4:LY4,MA4)-SUM(LV4,LZ4),"")</f>
        <v/>
      </c>
      <c r="MG4" s="14" t="str">
        <f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>IF(SUM(MI4,MM4)&gt;0,SUM(MI4,MM4),"")</f>
        <v/>
      </c>
      <c r="NC4" s="55" t="str">
        <f>IF(SUM(MH4:MI4,MK4:MM4,MO4)-MJ4-MN4&gt;0,SUM(MH4:MI4,MK4:MM4,MO4)-MJ4-MN4,"")</f>
        <v/>
      </c>
      <c r="ND4" s="55" t="str">
        <f>IF(SUM(MP4:MQ4,MS4)-MR4&gt;0,SUM(MP4:MQ4,MS4)-MR4,"")</f>
        <v/>
      </c>
      <c r="NE4" s="55" t="str">
        <f>IF(SUM(MU4,MY4)&gt;0,SUM(MU4,MY4),"")</f>
        <v/>
      </c>
      <c r="NF4" s="55" t="str">
        <f>IF(SUM(MT4:MU4,MW4:MY4,NA4)-SUM(MV4,MZ4)&gt;0,SUM(MT4:MU4,MW4:MY4,NA4)-SUM(MV4,MZ4),"")</f>
        <v/>
      </c>
      <c r="NG4" s="55" t="str">
        <f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>IF(SUM(NI4,NM4)&gt;0,SUM(NI4,NM4),"")</f>
        <v/>
      </c>
      <c r="OC4" s="14" t="str">
        <f>IF(SUM(NH4:NI4,NK4:NM4,NO4)-NJ4-NN4&gt;0,SUM(NH4:NI4,NK4:NM4,NO4)-NJ4-NN4,"")</f>
        <v/>
      </c>
      <c r="OD4" s="14" t="str">
        <f>IF(SUM(NP4:NQ4,NS4)-NR4&gt;0,SUM(NP4:NQ4,NS4)-NR4,"")</f>
        <v/>
      </c>
      <c r="OE4" s="14" t="str">
        <f>IF(SUM(NU4,NY4)&gt;0,SUM(NU4,NY4),"")</f>
        <v/>
      </c>
      <c r="OF4" s="14" t="str">
        <f>IF(SUM(NT4:NU4,NW4:NY4,OA4)-SUM(NV4,NZ4)&gt;0,SUM(NT4:NU4,NW4:NY4,OA4)-SUM(NV4,NZ4),"")</f>
        <v/>
      </c>
      <c r="OG4" s="14" t="str">
        <f>IF(SUM(OC4,OD4,OF4)&gt;0,SUM(OC4,OD4,OF4),"")</f>
        <v/>
      </c>
      <c r="OH4" s="27">
        <f t="shared" ref="OH4:OW5" si="0">IF($BZ4="P",BJ4,(BJ4+AN4)/2)</f>
        <v>17.399999999999999</v>
      </c>
      <c r="OI4" s="27">
        <f t="shared" si="0"/>
        <v>3.65</v>
      </c>
      <c r="OJ4" s="27">
        <f t="shared" si="0"/>
        <v>0</v>
      </c>
      <c r="OK4" s="27">
        <f t="shared" si="0"/>
        <v>0</v>
      </c>
      <c r="OL4" s="27">
        <f t="shared" si="0"/>
        <v>16.25</v>
      </c>
      <c r="OM4" s="27">
        <f t="shared" si="0"/>
        <v>4</v>
      </c>
      <c r="ON4" s="27">
        <f t="shared" si="0"/>
        <v>0</v>
      </c>
      <c r="OO4" s="27">
        <f t="shared" si="0"/>
        <v>0</v>
      </c>
      <c r="OP4" s="27">
        <f t="shared" si="0"/>
        <v>16.7</v>
      </c>
      <c r="OQ4" s="27">
        <f t="shared" si="0"/>
        <v>3.75</v>
      </c>
      <c r="OR4" s="27">
        <f t="shared" si="0"/>
        <v>0.1</v>
      </c>
      <c r="OS4" s="27">
        <f t="shared" si="0"/>
        <v>0</v>
      </c>
      <c r="OT4" s="27">
        <f t="shared" si="0"/>
        <v>11.85</v>
      </c>
      <c r="OU4" s="27">
        <f t="shared" si="0"/>
        <v>1.6500000000000001</v>
      </c>
      <c r="OV4" s="27">
        <f t="shared" si="0"/>
        <v>0.1</v>
      </c>
      <c r="OW4" s="27">
        <f t="shared" si="0"/>
        <v>0</v>
      </c>
      <c r="OX4" s="32" t="s">
        <v>44</v>
      </c>
      <c r="OY4" s="55">
        <f>IF(SUM(OI4,OM4)&gt;0,SUM(OI4,OM4),"")</f>
        <v>7.65</v>
      </c>
      <c r="OZ4" s="55">
        <f>IF(SUM(OH4:OI4,OK4:OM4,OO4)-OJ4-ON4&gt;0,SUM(OH4:OI4,OK4:OM4,OO4)-OJ4-ON4,"")</f>
        <v>41.3</v>
      </c>
      <c r="PA4" s="55">
        <f>IF(SUM(OQ4,OU4)&gt;0,SUM(OQ4,OU4),"")</f>
        <v>5.4</v>
      </c>
      <c r="PB4" s="55">
        <f>IF(SUM(OP4:OQ4,OS4:OU4,OW4)-SUM(OR4,OV4)&gt;0,SUM(OP4:OQ4,OS4:OU4,OW4)-SUM(OR4,OV4),"")</f>
        <v>33.749999999999993</v>
      </c>
      <c r="PC4" s="55">
        <f>IF(SUM(OZ4,PB4)&gt;0,SUM(OZ4,PB4),"")</f>
        <v>75.049999999999983</v>
      </c>
    </row>
    <row r="5" spans="1:41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91</v>
      </c>
      <c r="C5" s="4" t="s">
        <v>78</v>
      </c>
      <c r="D5" s="4">
        <v>2011</v>
      </c>
      <c r="E5" s="10">
        <f>SUM(I5:O5)+SUM(I5:M5)*0.0000001+SUM(I5)*0.0000000000001</f>
        <v>106.90000796000388</v>
      </c>
      <c r="F5" s="3" t="str">
        <f>IF(OR(AND(AI5&gt;=AM$8,AJ5&gt;=AM$12,AI5&lt;&gt;"",AH5=""),AND(AK5&gt;=AM$8,AL5&gt;=AM$12,AK5&lt;&gt;"",AH5=""),AND(BE5&gt;=BI$8,BF5&gt;=BI$12,BE5&lt;&gt;"",BD5=""),AND(BG5&gt;=BI$8,BH5&gt;=BI$12,BG5&lt;&gt;"",BD5=""),AND(CA5&gt;=CE$8,CB5&gt;=CE$12,CA5&lt;&gt;"",BZ5=""),AND(CC5&gt;=CE$8,CD5&gt;=CE$12,CC5&lt;&gt;""),AND(DB5&gt;=DG$8,DC5&gt;=DG$12,DB5&lt;&gt;""),AND(DE5&gt;=DG$8,DF5&gt;=DG$12,DE5&lt;&gt;""),AND(EB5&gt;=EG$8,EC5&gt;=EG$12,EB5&lt;&gt;""),AND(EE5&gt;=EG$8,EF5&gt;=EG$12,EE5&lt;&gt;""),AND(FB5&gt;=FG$8,FC5&gt;=FG$12,FB5&lt;&gt;""),AND(FE5&gt;=FG$8,FF5&gt;=FG$12,FE5&lt;&gt;""),AND(GB5&gt;=GG$8,GC5&gt;=GG$12,GB5&lt;&gt;""),AND(GE5&gt;=GG$8,GF5&gt;=GG$12,GE5&lt;&gt;""),AND(HB5&gt;=HG$8,HC5&gt;=HG$12,HB5&lt;&gt;""),AND(HE5&gt;=HG$8,HF5&gt;=HG$12,HE5&lt;&gt;""),AND(IB5&gt;=IG$8,IC5&gt;=IG$12,IB5&lt;&gt;""),AND(IE5&gt;=IG$8,IF5&gt;=IG$12,IE5&lt;&gt;""),AND(JB5&gt;=JG$8,JC5&gt;=JG$12,JB5&lt;&gt;""),AND(JE5&gt;=JG$8,JF5&gt;=JG$12,JE5&lt;&gt;""),AND(KB5&gt;=KG$8,KC5&gt;=KG$12,KB5&lt;&gt;""),AND(KE5&gt;=KG$8,KF5&gt;=KG$12,KE5&lt;&gt;""),AND(LB5&gt;=LG$8,LC5&gt;=LG$12,LB5&lt;&gt;""),AND(LE5&gt;=LG$8,LF5&gt;=LG$12,LE5&lt;&gt;""),AND(MB5&gt;=MG$8,MC5&gt;=MG$12,MB5&lt;&gt;""),AND(ME5&gt;=MG$8,MF5&gt;=MG$12,ME5&lt;&gt;""),AND(NB5&gt;=NG$8,NC5&gt;=NG$12,NB5&lt;&gt;""),AND(NE5&gt;=NG$8,NF5&gt;=NG$12,NE5&lt;&gt;""),AND(OB5&gt;=OG$8,OC5&gt;=OG$12,OB5&lt;&gt;""),AND(OE5&gt;=OG$8,OF5&gt;=OG$12,OE5&lt;&gt;"")),"P","")</f>
        <v/>
      </c>
      <c r="G5" s="3" t="str">
        <f>IF(OR(AND(AJ5&gt;=AM$12,AJ5&lt;&gt;"",AH5=""),AND(AL5&gt;=AM$12,AL5&lt;&gt;"",AH5=""),AND(BF5&gt;=BI$12,BF5&lt;&gt;"",BD5=""),AND(BH5&gt;=BI$12,BH5&lt;&gt;"",BD5=""),AND(CB5&gt;=CE$12,CB5&lt;&gt;"",BZ5=""),AND(CD5&gt;=CE$12,CD5&lt;&gt;"",BZ5=""),AND(DC5&gt;=DG$12,DC5&lt;&gt;""),AND(DF5&gt;=DG$12,DF5&lt;&gt;""),AND(EC5&gt;=EG$12,EC5&lt;&gt;""),AND(EF5&gt;=EG$12,EF5&lt;&gt;""),AND(FC5&gt;=FG$12,FC5&lt;&gt;""),AND(FF5&gt;=FG$12,FF5&lt;&gt;""),AND(GC5&gt;=GG$12,GC5&lt;&gt;""),AND(GF5&gt;=GG$12,GF5&lt;&gt;""),AND(HC5&gt;=HG$12,HC5&lt;&gt;""),AND(HF5&gt;=HG$12,HF5&lt;&gt;""),AND(IC5&gt;=IG$12,IC5&lt;&gt;""),AND(IF5&gt;=IG$12,IF5&lt;&gt;""),AND(JC5&gt;=JG$12,JC5&lt;&gt;""),AND(JF5&gt;=JG$12,JF5&lt;&gt;""),AND(KC5&gt;=KG$12,KC5&lt;&gt;""),AND(KF5&gt;=KG$12,KF5&lt;&gt;""),AND(LC5&gt;=LG$12,LC5&lt;&gt;""),AND(LF5&gt;=LG$12,LF5&lt;&gt;""),AND(MC5&gt;=MG$12,MC5&lt;&gt;""),AND(MF5&gt;=MG$12,MF5&lt;&gt;""),AND(NC5&gt;=NG$12,NC5&lt;&gt;""),AND(NF5&gt;=NG$12,NF5&lt;&gt;""),AND(OC5&gt;=OG$12,OC5&lt;&gt;""),AND(OF5&gt;=OG$12,OF5&lt;&gt;"")),"P","")</f>
        <v/>
      </c>
      <c r="H5" s="47" t="str">
        <f>IF(AND(G5="P",F5=""),"No DD",IF(OR(AND(AI5&gt;=AM$11,AJ5&gt;=AM$15,AI5&lt;&gt;"",AH5=""),AND(AK5&gt;=AM$11,AL5&gt;=AM$15,AK5&lt;&gt;"",AH5=""),AND(BE5&gt;=BI$11,BF5&gt;=BI$15,BE5&lt;&gt;"",BD5=""),AND(BG5&gt;=BI$11,BH5&gt;=BI$15,BG5&lt;&gt;"",BD5=""),AND(CA5&gt;=CE$11,CB5&gt;=CE$15,CA5&lt;&gt;"",BZ5=""),AND(CC5&gt;=CE$11,CD5&gt;=CE$15,CC5&lt;&gt;""),AND(DB5&gt;=DG$11,DC5&gt;=DG$15,DB5&lt;&gt;""),AND(DE5&gt;=DG$11,DF5&gt;=DG$15,DE5&lt;&gt;""),AND(EB5&gt;=EG$11,EC5&gt;=EG$15,EB5&lt;&gt;""),AND(EE5&gt;=EG$11,EF5&gt;=EG$15,EE5&lt;&gt;""),AND(FB5&gt;=FG$11,FC5&gt;=FG$15,FB5&lt;&gt;""),AND(FE5&gt;=FG$11,FF5&gt;=FG$15,FE5&lt;&gt;""),AND(GB5&gt;=GG$11,GC5&gt;=GG$15,GB5&lt;&gt;""),AND(GE5&gt;=GG$11,GF5&gt;=GG$15,GE5&lt;&gt;""),AND(HB5&gt;=HG$11,HC5&gt;=HG$15,HB5&lt;&gt;""),AND(HE5&gt;=HG$11,HF5&gt;=HG$15,HE5&lt;&gt;""),AND(IB5&gt;=IG$11,IC5&gt;=IG$15,IB5&lt;&gt;""),AND(IE5&gt;=IG$11,IF5&gt;=IG$15,IE5&lt;&gt;""),AND(JB5&gt;=JG$11,JC5&gt;=JG$15,JB5&lt;&gt;""),AND(JE5&gt;=JG$11,JF5&gt;=JG$15,JE5&lt;&gt;""),AND(KB5&gt;=KG$11,KC5&gt;=KG$15,KB5&lt;&gt;""),AND(KE5&gt;=KG$11,KF5&gt;=KG$15,KE5&lt;&gt;""),AND(LB5&gt;=LG$11,LC5&gt;=LG$15,LB5&lt;&gt;""),AND(LE5&gt;=LG$11,LF5&gt;=LG$15,LE5&lt;&gt;""),AND(MB5&gt;=MG$11,MC5&gt;=MG$15,MB5&lt;&gt;""),AND(ME5&gt;=MG$11,MF5&gt;=MG$15,ME5&lt;&gt;""),AND(NB5&gt;=NG$11,NC5&gt;=NG$15,NB5&lt;&gt;""),AND(NE5&gt;=NG$11,NF5&gt;=NG$15,NE5&lt;&gt;""),AND(OB5&gt;=OG$11,OC5&gt;=OG$15,OB5&lt;&gt;""),AND(OE5&gt;=OG$11,OF5&gt;=OG$15,OE5&lt;&gt;"")),"Merit",IF(OR(AND(AI5&gt;=AM$10,AJ5&gt;=AM$14,AI5&lt;&gt;"",AH5=""),AND(AK5&gt;=AM$10,AL5&gt;=AM$14,AK5&lt;&gt;"",AH5=""),AND(BE5&gt;=BI$10,BF5&gt;=BI$14,BE5&lt;&gt;"",BD5=""),AND(BG5&gt;=BI$10,BH5&gt;=BI$14,BG5&lt;&gt;"",BD5=""),AND(CA5&gt;=CE$10,CB5&gt;=CE$14,CA5&lt;&gt;"",BZ5=""),AND(CC5&gt;=CE$10,CD5&gt;=CE$14,CC5&lt;&gt;""),AND(DB5&gt;=DG$10,DC5&gt;=DG$14,DB5&lt;&gt;""),AND(DE5&gt;=DG$10,DF5&gt;=DG$14,DE5&lt;&gt;""),AND(EB5&gt;=EG$10,EC5&gt;=EG$14,EB5&lt;&gt;""),AND(EE5&gt;=EG$10,EF5&gt;=EG$14,EE5&lt;&gt;""),AND(FB5&gt;=FG$10,FC5&gt;=FG$14,FB5&lt;&gt;""),AND(FE5&gt;=FG$10,FF5&gt;=FG$14,FE5&lt;&gt;""),AND(GB5&gt;=GG$10,GC5&gt;=GG$14,GB5&lt;&gt;""),AND(GE5&gt;=GG$10,GF5&gt;=GG$14,GE5&lt;&gt;""),AND(HB5&gt;=HG$10,HC5&gt;=HG$14,HB5&lt;&gt;""),AND(HE5&gt;=HG$10,HF5&gt;=HG$14,HE5&lt;&gt;""),AND(IB5&gt;=IG$10,IC5&gt;=IG$14,IB5&lt;&gt;""),AND(IE5&gt;=IG$10,IF5&gt;=IG$14,IE5&lt;&gt;""),AND(JB5&gt;=JG$10,JC5&gt;=JG$14,JB5&lt;&gt;""),AND(JE5&gt;=JG$10,JF5&gt;=JG$14,JE5&lt;&gt;""),AND(KB5&gt;=KG$10,KC5&gt;=KG$14,KB5&lt;&gt;""),AND(KE5&gt;=KG$10,KF5&gt;=KG$14,KE5&lt;&gt;""),AND(LB5&gt;=LG$10,LC5&gt;=LG$14,LB5&lt;&gt;""),AND(LE5&gt;=LG$10,LF5&gt;=LG$14,LE5&lt;&gt;""),AND(MB5&gt;=MG$10,MC5&gt;=MG$14,MB5&lt;&gt;""),AND(ME5&gt;=MG$10,MF5&gt;=MG$14,ME5&lt;&gt;""),AND(NB5&gt;=NG$10,NC5&gt;=NG$14,NB5&lt;&gt;""),AND(NE5&gt;=NG$10,NF5&gt;=NG$14,NE5&lt;&gt;""),AND(OB5&gt;=OG$10,OC5&gt;=OG$14,OB5&lt;&gt;""),AND(OE5&gt;=OG$10,OF5&gt;=OG$14,OE5&lt;&gt;"")),"Excellence",IF(F5="P","National Team",""))))</f>
        <v/>
      </c>
      <c r="I5" s="9">
        <f>IF(COUNT(AJ5,BF5,CB5)&gt;0,LARGE((AJ5,BF5,CB5),1),0)</f>
        <v>38.799999999999997</v>
      </c>
      <c r="J5" s="9" t="str">
        <f>IF(I5=0,"",IF(I5=CB5,$BJ$1,IF(I5=BF5,$AN$1,IF(I5=AJ5,$R$1,""))))</f>
        <v>2025 Nationals</v>
      </c>
      <c r="K5" s="9">
        <f>IF(COUNT(AJ5,BF5,CB5)&gt;1,LARGE((AJ5,BF5,CB5),2),0)</f>
        <v>0</v>
      </c>
      <c r="L5" s="9" t="str">
        <f>IF(K5=0,"",IF(AND(K5=I5,K5=AJ5,K5=BF5),$R$1,IF(AND(K5=I5,K5=AJ5,K5=CB5),$R$1,IF(AND(K5=I5,K5=CB5,K5=BF5),$AN$1,IF(K5=CB5,$BJ$1,IF(K5=BF5,$AN$1,IF(K5=AJ5,$R$1,"")))))))</f>
        <v/>
      </c>
      <c r="M5" s="9">
        <f>IF(MAX(AL5,BH5,CD5)&gt;0,MAX(AL5,BH5,CD5),0)</f>
        <v>40.799999999999997</v>
      </c>
      <c r="N5" s="9" t="str">
        <f>IF(M5=0,"",IF(M5=CD5,$BJ$1,IF(M5=BH5,$AN$1,IF(M5=AL5,$R$1,""))))</f>
        <v>2025 Nationals</v>
      </c>
      <c r="O5" s="9">
        <f>IF(MAX(CF5:CG5)&gt;0,MAX(CF5:CG5),"")</f>
        <v>27.3</v>
      </c>
      <c r="P5" s="14" t="str">
        <f>IF(O5="","",IF(O5=CF5,"("&amp;CF$2&amp;")",IF(O5=CG5,"("&amp;CG$2&amp;")")))</f>
        <v>(Q1)</v>
      </c>
      <c r="Q5" s="9" t="str">
        <f>IF(O5="","",IF(O5=CF5,IF(O5+IF(K5="",0,K5)=OC5,$NH$1,IF(O5+IF(K5="",0,K5)=NC5,$MH$1,IF(O5+IF(K5="",0,K5)=MC5,$LH$1,IF(O5+IF(K5="",0,K5)=LC5,$KH$1,IF(O5+IF(K5="",0,K5)=KC5,$JH$1,IF(O5+IF(K5="",0,K5)=JC5,$IH$1,IF(O5+IF(K5="",0,K5)=IC5,$HH$1,IF(O5+IF(K5="",0,K5)=HC5,$GH$1,IF(O5+IF(K5="",0,K5)=GC5,$FH$1,IF(O5+IF(K5="",0,K5)=FC5,$EH$1,IF(O5+IF(K5="",0,K5)=EC5,$DH$1,IF(O5+IF(K5="",0,K5)=DC5,$CH$1)))))))))))),IF(O5=CG5,IF(O5+IF(M5="",0,M5)=OF5,$NH$1,IF(O5+IF(M5="",0,M5)=NF5,$MH$1,IF(O5+IF(M5="",0,M5)=MF5,$LH$1,IF(O5+IF(M5="",0,M5)=LF5,$KH$1,IF(O5+IF(M5="",0,M5)=KF5,$JH$1,IF(O5+IF(M5="",0,M5)=JF5,$IH$1,IF(O5+IF(M5="",0,M5)=IF5,$HH$1,IF(O5+IF(M5="",0,M5)=HF5,$GH$1,IF(O5+IF(M5="",0,M5)=GF5,$FH$1,IF(O5+IF(M5="",0,M5)=FF5,$EH$1,IF(O5+IF(M5="",0,M5)=EF5,$DH$1,IF(O5+IF(M5="",0,M5)=DF5,$CH$1)))))))))))))))</f>
        <v>2025 WAGC (Nov 16)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32"/>
      <c r="AI5" s="55" t="str">
        <f>IF(SUM(S5,W5)&gt;0,SUM(S5,W5),"")</f>
        <v/>
      </c>
      <c r="AJ5" s="55" t="str">
        <f>IF(SUM(R5:S5,U5:W5,Y5)-T5-X5&gt;0,SUM(R5:S5,U5:W5,Y5)-T5-X5,"")</f>
        <v/>
      </c>
      <c r="AK5" s="55" t="str">
        <f>IF(SUM(AA5,AE5)&gt;0,SUM(AA5,AE5),"")</f>
        <v/>
      </c>
      <c r="AL5" s="55" t="str">
        <f>IF(SUM(Z5:AA5,AC5:AE5,AG5)-SUM(AB5,AF5)&gt;0,SUM(Z5:AA5,AC5:AE5,AG5)-SUM(AB5,AF5),"")</f>
        <v/>
      </c>
      <c r="AM5" s="55" t="str">
        <f>IF(SUM(AJ5,AL5)&gt;0,SUM(AJ5,AL5),"")</f>
        <v/>
      </c>
      <c r="AN5" s="19">
        <v>16.3</v>
      </c>
      <c r="AO5" s="19">
        <v>3.4</v>
      </c>
      <c r="AP5" s="19">
        <v>0</v>
      </c>
      <c r="AQ5" s="19">
        <v>0</v>
      </c>
      <c r="AR5" s="19">
        <v>15.4</v>
      </c>
      <c r="AS5" s="19">
        <v>3.9</v>
      </c>
      <c r="AT5" s="19">
        <v>0.2</v>
      </c>
      <c r="AU5" s="19">
        <v>0</v>
      </c>
      <c r="AV5" s="19">
        <v>16.5</v>
      </c>
      <c r="AW5" s="19">
        <v>3.4</v>
      </c>
      <c r="AX5" s="19">
        <v>0</v>
      </c>
      <c r="AY5" s="19">
        <v>0</v>
      </c>
      <c r="AZ5" s="19">
        <v>17</v>
      </c>
      <c r="BA5" s="19">
        <v>3.9</v>
      </c>
      <c r="BB5" s="19">
        <v>0</v>
      </c>
      <c r="BC5" s="19">
        <v>0</v>
      </c>
      <c r="BD5" s="33"/>
      <c r="BE5" s="14">
        <f>IF(SUM(AO5,AS5)&gt;0,SUM(AO5,AS5),"")</f>
        <v>7.3</v>
      </c>
      <c r="BF5" s="14">
        <f>IF(SUM(AN5:AO5,AQ5:AS5,AU5)-AP5-AT5&gt;0,SUM(AN5:AO5,AQ5:AS5,AU5)-AP5-AT5,"")</f>
        <v>38.799999999999997</v>
      </c>
      <c r="BG5" s="14">
        <f>IF(SUM(AW5,BA5)&gt;0,SUM(AW5,BA5),"")</f>
        <v>7.3</v>
      </c>
      <c r="BH5" s="14">
        <f>IF(SUM(AV5:AW5,AY5:BA5,BC5)-SUM(AX5,BB5)&gt;0,SUM(AV5:AW5,AY5:BA5,BC5)-SUM(AX5,BB5),"")</f>
        <v>40.799999999999997</v>
      </c>
      <c r="BI5" s="14">
        <f>IF(SUM(BF5,BH5)&gt;0,SUM(BF5,BH5),"")</f>
        <v>79.599999999999994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>IF(SUM(BK5,BO5)&gt;0,SUM(BK5,BO5),"")</f>
        <v/>
      </c>
      <c r="CB5" s="55" t="str">
        <f>IF(SUM(BJ5:BK5,BM5:BO5,BQ5)-BL5-BP5&gt;0,SUM(BJ5:BK5,BM5:BO5,BQ5)-BL5-BP5,"")</f>
        <v/>
      </c>
      <c r="CC5" s="55" t="str">
        <f>IF(SUM(BS5,BW5)&gt;0,SUM(BS5,BW5),"")</f>
        <v/>
      </c>
      <c r="CD5" s="55" t="str">
        <f>IF(SUM(BR5:BS5,BU5:BW5,BY5)-SUM(BT5,BX5)&gt;0,SUM(BR5:BS5,BU5:BW5,BY5)-SUM(BT5,BX5),"")</f>
        <v/>
      </c>
      <c r="CE5" s="55" t="str">
        <f>IF(SUM(CB5,CD5)&gt;0,SUM(CB5,CD5),"")</f>
        <v/>
      </c>
      <c r="CF5" s="56">
        <f>IF(MAX(DC5,EC5,FC5,GC5,HC5,IC5,JC5,KC5,LC5,MC5,NC5,OC5)-IF(K5="",0,K5)&gt;0.001,MAX(DC5,EC5,FC5,GC5,HC5,IC5,JC5,KC5,LC5,MC5,NC5,OC5)-IF(K5="",0,K5),"")</f>
        <v>27.3</v>
      </c>
      <c r="CG5" s="56" t="str">
        <f>IF(MAX(DF5,EF5,FF5,GF5,HF5,IF5,JF5,KF5,LF5,MF5,NF5,OF5)-IF(M5="",0,M5)&gt;0.001,MAX(DF5,EF5,FF5,GF5,HF5,IF5,JF5,KF5,LF5,MF5,NF5,OF5)-IF(M5="",0,M5),"")</f>
        <v/>
      </c>
      <c r="CH5" s="18">
        <v>13.8</v>
      </c>
      <c r="CI5" s="18">
        <v>1.7</v>
      </c>
      <c r="CJ5" s="18">
        <v>0</v>
      </c>
      <c r="CK5" s="18">
        <v>0</v>
      </c>
      <c r="CL5" s="18">
        <v>9.6999999999999993</v>
      </c>
      <c r="CM5" s="18">
        <v>2.1</v>
      </c>
      <c r="CN5" s="18">
        <v>0</v>
      </c>
      <c r="CO5" s="18">
        <v>0</v>
      </c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>
        <f>IF(SUM(CI5,CM5)&gt;0,SUM(CI5,CM5),"")</f>
        <v>3.8</v>
      </c>
      <c r="DC5" s="55">
        <f>IF(SUM(CH5:CI5,CK5:CM5,CO5)-CJ5-CN5&gt;0,SUM(CH5:CI5,CK5:CM5,CO5)-CJ5-CN5,"")</f>
        <v>27.3</v>
      </c>
      <c r="DD5" s="55" t="str">
        <f>IF(SUM(CP5:CQ5,CS5)-CR5&gt;0,SUM(CP5:CQ5,CS5)-CR5,"")</f>
        <v/>
      </c>
      <c r="DE5" s="55" t="str">
        <f>IF(SUM(CU5,CY5)&gt;0,SUM(CU5,CY5),"")</f>
        <v/>
      </c>
      <c r="DF5" s="55" t="str">
        <f>IF(SUM(CT5:CU5,CW5:CY5,DA5)-SUM(CV5,CZ5)&gt;0,SUM(CT5:CU5,CW5:CY5,DA5)-SUM(CV5,CZ5),"")</f>
        <v/>
      </c>
      <c r="DG5" s="55">
        <f>IF(SUM(DC5,DD5,DF5)&gt;0,SUM(DC5,DD5,DF5),"")</f>
        <v>27.3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>IF(SUM(DI5,DM5)&gt;0,SUM(DI5,DM5),"")</f>
        <v/>
      </c>
      <c r="EC5" s="14" t="str">
        <f>IF(SUM(DH5:DI5,DK5:DM5,DO5)-DJ5-DN5&gt;0,SUM(DH5:DI5,DK5:DM5,DO5)-DJ5-DN5,"")</f>
        <v/>
      </c>
      <c r="ED5" s="14" t="str">
        <f>IF(SUM(DP5:DQ5,DS5)-DR5&gt;0,SUM(DP5:DQ5,DS5)-DR5,"")</f>
        <v/>
      </c>
      <c r="EE5" s="14" t="str">
        <f>IF(SUM(DU5,DY5)&gt;0,SUM(DU5,DY5),"")</f>
        <v/>
      </c>
      <c r="EF5" s="14" t="str">
        <f>IF(SUM(DT5:DU5,DW5:DY5,EA5)-SUM(DV5,DZ5)&gt;0,SUM(DT5:DU5,DW5:DY5,EA5)-SUM(DV5,DZ5),"")</f>
        <v/>
      </c>
      <c r="EG5" s="14" t="str">
        <f>IF(SUM(EC5,ED5,EF5)&gt;0,SUM(EC5,ED5,EF5),"")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>IF(SUM(EI5,EM5)&gt;0,SUM(EI5,EM5),"")</f>
        <v/>
      </c>
      <c r="FC5" s="55" t="str">
        <f>IF(SUM(EH5:EI5,EK5:EM5,EO5)-EJ5-EN5&gt;0,SUM(EH5:EI5,EK5:EM5,EO5)-EJ5-EN5,"")</f>
        <v/>
      </c>
      <c r="FD5" s="55" t="str">
        <f>IF(SUM(EP5:EQ5,ES5)-ER5&gt;0,SUM(EP5:EQ5,ES5)-ER5,"")</f>
        <v/>
      </c>
      <c r="FE5" s="55" t="str">
        <f>IF(SUM(EU5,EY5)&gt;0,SUM(EU5,EY5),"")</f>
        <v/>
      </c>
      <c r="FF5" s="55" t="str">
        <f>IF(SUM(ET5:EU5,EW5:EY5,FA5)-SUM(EV5,EZ5)&gt;0,SUM(ET5:EU5,EW5:EY5,FA5)-SUM(EV5,EZ5),"")</f>
        <v/>
      </c>
      <c r="FG5" s="55" t="str">
        <f>IF(SUM(FC5,FD5,FF5)&gt;0,SUM(FC5,FD5,FF5),"")</f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>IF(SUM(FI5,FM5)&gt;0,SUM(FI5,FM5),"")</f>
        <v/>
      </c>
      <c r="GC5" s="14" t="str">
        <f>IF(SUM(FH5:FI5,FK5:FM5,FO5)-FJ5-FN5&gt;0,SUM(FH5:FI5,FK5:FM5,FO5)-FJ5-FN5,"")</f>
        <v/>
      </c>
      <c r="GD5" s="14" t="str">
        <f>IF(SUM(FP5:FQ5,FS5)-FR5&gt;0,SUM(FP5:FQ5,FS5)-FR5,"")</f>
        <v/>
      </c>
      <c r="GE5" s="14" t="str">
        <f>IF(SUM(FU5,FY5)&gt;0,SUM(FU5,FY5),"")</f>
        <v/>
      </c>
      <c r="GF5" s="14" t="str">
        <f>IF(SUM(FT5:FU5,FW5:FY5,GA5)-SUM(FV5,FZ5)&gt;0,SUM(FT5:FU5,FW5:FY5,GA5)-SUM(FV5,FZ5),"")</f>
        <v/>
      </c>
      <c r="GG5" s="14" t="str">
        <f>IF(SUM(GC5,GD5,GF5)&gt;0,SUM(GC5,GD5,GF5),"")</f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>IF(SUM(GI5,GM5)&gt;0,SUM(GI5,GM5),"")</f>
        <v/>
      </c>
      <c r="HC5" s="55" t="str">
        <f>IF(SUM(GH5:GI5,GK5:GM5,GO5)-GJ5-GN5&gt;0,SUM(GH5:GI5,GK5:GM5,GO5)-GJ5-GN5,"")</f>
        <v/>
      </c>
      <c r="HD5" s="55" t="str">
        <f>IF(SUM(GP5:GQ5,GS5)-GR5&gt;0,SUM(GP5:GQ5,GS5)-GR5,"")</f>
        <v/>
      </c>
      <c r="HE5" s="55" t="str">
        <f>IF(SUM(GU5,GY5)&gt;0,SUM(GU5,GY5),"")</f>
        <v/>
      </c>
      <c r="HF5" s="55" t="str">
        <f>IF(SUM(GT5:GU5,GW5:GY5,HA5)-SUM(GV5,GZ5)&gt;0,SUM(GT5:GU5,GW5:GY5,HA5)-SUM(GV5,GZ5),"")</f>
        <v/>
      </c>
      <c r="HG5" s="55" t="str">
        <f>IF(SUM(HC5,HD5,HF5)&gt;0,SUM(HC5,HD5,HF5),"")</f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>IF(SUM(HI5,HM5)&gt;0,SUM(HI5,HM5),"")</f>
        <v/>
      </c>
      <c r="IC5" s="14" t="str">
        <f>IF(SUM(HH5:HI5,HK5:HM5,HO5)-HJ5-HN5&gt;0,SUM(HH5:HI5,HK5:HM5,HO5)-HJ5-HN5,"")</f>
        <v/>
      </c>
      <c r="ID5" s="14" t="str">
        <f>IF(SUM(HP5:HQ5,HS5)-HR5&gt;0,SUM(HP5:HQ5,HS5)-HR5,"")</f>
        <v/>
      </c>
      <c r="IE5" s="14" t="str">
        <f>IF(SUM(HU5,HY5)&gt;0,SUM(HU5,HY5),"")</f>
        <v/>
      </c>
      <c r="IF5" s="14" t="str">
        <f>IF(SUM(HT5:HU5,HW5:HY5,IA5)-SUM(HV5,HZ5)&gt;0,SUM(HT5:HU5,HW5:HY5,IA5)-SUM(HV5,HZ5),"")</f>
        <v/>
      </c>
      <c r="IG5" s="14" t="str">
        <f>IF(SUM(IC5,ID5,IF5)&gt;0,SUM(IC5,ID5,IF5),"")</f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>IF(SUM(II5,IM5)&gt;0,SUM(II5,IM5),"")</f>
        <v/>
      </c>
      <c r="JC5" s="55" t="str">
        <f>IF(SUM(IH5:II5,IK5:IM5,IO5)-IJ5-IN5&gt;0,SUM(IH5:II5,IK5:IM5,IO5)-IJ5-IN5,"")</f>
        <v/>
      </c>
      <c r="JD5" s="55" t="str">
        <f>IF(SUM(IP5:IQ5,IS5)-IR5&gt;0,SUM(IP5:IQ5,IS5)-IR5,"")</f>
        <v/>
      </c>
      <c r="JE5" s="55" t="str">
        <f>IF(SUM(IU5,IY5)&gt;0,SUM(IU5,IY5),"")</f>
        <v/>
      </c>
      <c r="JF5" s="55" t="str">
        <f>IF(SUM(IT5:IU5,IW5:IY5,JA5)-SUM(IV5,IZ5)&gt;0,SUM(IT5:IU5,IW5:IY5,JA5)-SUM(IV5,IZ5),"")</f>
        <v/>
      </c>
      <c r="JG5" s="55" t="str">
        <f>IF(SUM(JC5,JD5,JF5)&gt;0,SUM(JC5,JD5,JF5),"")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>IF(SUM(JI5,JM5)&gt;0,SUM(JI5,JM5),"")</f>
        <v/>
      </c>
      <c r="KC5" s="14" t="str">
        <f>IF(SUM(JH5:JI5,JK5:JM5,JO5)-JJ5-JN5&gt;0,SUM(JH5:JI5,JK5:JM5,JO5)-JJ5-JN5,"")</f>
        <v/>
      </c>
      <c r="KD5" s="14" t="str">
        <f>IF(SUM(JP5:JQ5,JS5)-JR5&gt;0,SUM(JP5:JQ5,JS5)-JR5,"")</f>
        <v/>
      </c>
      <c r="KE5" s="14" t="str">
        <f>IF(SUM(JU5,JY5)&gt;0,SUM(JU5,JY5),"")</f>
        <v/>
      </c>
      <c r="KF5" s="14" t="str">
        <f>IF(SUM(JT5:JU5,JW5:JY5,KA5)-SUM(JV5,JZ5)&gt;0,SUM(JT5:JU5,JW5:JY5,KA5)-SUM(JV5,JZ5),"")</f>
        <v/>
      </c>
      <c r="KG5" s="14" t="str">
        <f>IF(SUM(KC5,KD5,KF5)&gt;0,SUM(KC5,KD5,KF5),"")</f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>IF(SUM(KI5,KM5)&gt;0,SUM(KI5,KM5),"")</f>
        <v/>
      </c>
      <c r="LC5" s="55" t="str">
        <f>IF(SUM(KH5:KI5,KK5:KM5,KO5)-KJ5-KN5&gt;0,SUM(KH5:KI5,KK5:KM5,KO5)-KJ5-KN5,"")</f>
        <v/>
      </c>
      <c r="LD5" s="55" t="str">
        <f>IF(SUM(KP5:KQ5,KS5)-KR5&gt;0,SUM(KP5:KQ5,KS5)-KR5,"")</f>
        <v/>
      </c>
      <c r="LE5" s="55" t="str">
        <f>IF(SUM(KU5,KY5)&gt;0,SUM(KU5,KY5),"")</f>
        <v/>
      </c>
      <c r="LF5" s="55" t="str">
        <f>IF(SUM(KT5:KU5,KW5:KY5,LA5)-SUM(KV5,KZ5)&gt;0,SUM(KT5:KU5,KW5:KY5,LA5)-SUM(KV5,KZ5),"")</f>
        <v/>
      </c>
      <c r="LG5" s="55" t="str">
        <f>IF(SUM(LC5,LD5,LF5)&gt;0,SUM(LC5,LD5,LF5),"")</f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>IF(SUM(LI5,LM5)&gt;0,SUM(LI5,LM5),"")</f>
        <v/>
      </c>
      <c r="MC5" s="14" t="str">
        <f>IF(SUM(LH5:LI5,LK5:LM5,LO5)-LJ5-LN5&gt;0,SUM(LH5:LI5,LK5:LM5,LO5)-LJ5-LN5,"")</f>
        <v/>
      </c>
      <c r="MD5" s="14" t="str">
        <f>IF(SUM(LP5:LQ5,LS5)-LR5&gt;0,SUM(LP5:LQ5,LS5)-LR5,"")</f>
        <v/>
      </c>
      <c r="ME5" s="14" t="str">
        <f>IF(SUM(LU5,LY5)&gt;0,SUM(LU5,LY5),"")</f>
        <v/>
      </c>
      <c r="MF5" s="14" t="str">
        <f>IF(SUM(LT5:LU5,LW5:LY5,MA5)-SUM(LV5,LZ5)&gt;0,SUM(LT5:LU5,LW5:LY5,MA5)-SUM(LV5,LZ5),"")</f>
        <v/>
      </c>
      <c r="MG5" s="14" t="str">
        <f>IF(SUM(MC5,MD5,MF5)&gt;0,SUM(MC5,MD5,MF5),"")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>IF(SUM(MI5,MM5)&gt;0,SUM(MI5,MM5),"")</f>
        <v/>
      </c>
      <c r="NC5" s="55" t="str">
        <f>IF(SUM(MH5:MI5,MK5:MM5,MO5)-MJ5-MN5&gt;0,SUM(MH5:MI5,MK5:MM5,MO5)-MJ5-MN5,"")</f>
        <v/>
      </c>
      <c r="ND5" s="55" t="str">
        <f>IF(SUM(MP5:MQ5,MS5)-MR5&gt;0,SUM(MP5:MQ5,MS5)-MR5,"")</f>
        <v/>
      </c>
      <c r="NE5" s="55" t="str">
        <f>IF(SUM(MU5,MY5)&gt;0,SUM(MU5,MY5),"")</f>
        <v/>
      </c>
      <c r="NF5" s="55" t="str">
        <f>IF(SUM(MT5:MU5,MW5:MY5,NA5)-SUM(MV5,MZ5)&gt;0,SUM(MT5:MU5,MW5:MY5,NA5)-SUM(MV5,MZ5),"")</f>
        <v/>
      </c>
      <c r="NG5" s="55" t="str">
        <f>IF(SUM(NC5,ND5,NF5)&gt;0,SUM(NC5,ND5,NF5),"")</f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>IF(SUM(NI5,NM5)&gt;0,SUM(NI5,NM5),"")</f>
        <v/>
      </c>
      <c r="OC5" s="14" t="str">
        <f>IF(SUM(NH5:NI5,NK5:NM5,NO5)-NJ5-NN5&gt;0,SUM(NH5:NI5,NK5:NM5,NO5)-NJ5-NN5,"")</f>
        <v/>
      </c>
      <c r="OD5" s="14" t="str">
        <f>IF(SUM(NP5:NQ5,NS5)-NR5&gt;0,SUM(NP5:NQ5,NS5)-NR5,"")</f>
        <v/>
      </c>
      <c r="OE5" s="14" t="str">
        <f>IF(SUM(NU5,NY5)&gt;0,SUM(NU5,NY5),"")</f>
        <v/>
      </c>
      <c r="OF5" s="14" t="str">
        <f>IF(SUM(NT5:NU5,NW5:NY5,OA5)-SUM(NV5,NZ5)&gt;0,SUM(NT5:NU5,NW5:NY5,OA5)-SUM(NV5,NZ5),"")</f>
        <v/>
      </c>
      <c r="OG5" s="14" t="str">
        <f>IF(SUM(OC5,OD5,OF5)&gt;0,SUM(OC5,OD5,OF5),"")</f>
        <v/>
      </c>
      <c r="OH5" s="27">
        <f t="shared" si="0"/>
        <v>8.15</v>
      </c>
      <c r="OI5" s="27">
        <f t="shared" si="0"/>
        <v>1.7</v>
      </c>
      <c r="OJ5" s="27">
        <f t="shared" si="0"/>
        <v>0</v>
      </c>
      <c r="OK5" s="27">
        <f t="shared" si="0"/>
        <v>0</v>
      </c>
      <c r="OL5" s="27">
        <f t="shared" si="0"/>
        <v>7.7</v>
      </c>
      <c r="OM5" s="27">
        <f t="shared" si="0"/>
        <v>1.95</v>
      </c>
      <c r="ON5" s="27">
        <f t="shared" si="0"/>
        <v>0.1</v>
      </c>
      <c r="OO5" s="27">
        <f t="shared" si="0"/>
        <v>0</v>
      </c>
      <c r="OP5" s="27">
        <f t="shared" si="0"/>
        <v>8.25</v>
      </c>
      <c r="OQ5" s="27">
        <f t="shared" si="0"/>
        <v>1.7</v>
      </c>
      <c r="OR5" s="27">
        <f t="shared" si="0"/>
        <v>0</v>
      </c>
      <c r="OS5" s="27">
        <f t="shared" si="0"/>
        <v>0</v>
      </c>
      <c r="OT5" s="27">
        <f t="shared" si="0"/>
        <v>8.5</v>
      </c>
      <c r="OU5" s="27">
        <f t="shared" si="0"/>
        <v>1.95</v>
      </c>
      <c r="OV5" s="27">
        <f t="shared" si="0"/>
        <v>0</v>
      </c>
      <c r="OW5" s="27">
        <f t="shared" si="0"/>
        <v>0</v>
      </c>
      <c r="OX5" s="32" t="s">
        <v>44</v>
      </c>
      <c r="OY5" s="55">
        <f>IF(SUM(OI5,OM5)&gt;0,SUM(OI5,OM5),"")</f>
        <v>3.65</v>
      </c>
      <c r="OZ5" s="55">
        <f>IF(SUM(OH5:OI5,OK5:OM5,OO5)-OJ5-ON5&gt;0,SUM(OH5:OI5,OK5:OM5,OO5)-OJ5-ON5,"")</f>
        <v>19.399999999999999</v>
      </c>
      <c r="PA5" s="55">
        <f>IF(SUM(OQ5,OU5)&gt;0,SUM(OQ5,OU5),"")</f>
        <v>3.65</v>
      </c>
      <c r="PB5" s="55">
        <f>IF(SUM(OP5:OQ5,OS5:OU5,OW5)-SUM(OR5,OV5)&gt;0,SUM(OP5:OQ5,OS5:OU5,OW5)-SUM(OR5,OV5),"")</f>
        <v>20.399999999999999</v>
      </c>
      <c r="PC5" s="55">
        <f>IF(SUM(OZ5,PB5)&gt;0,SUM(OZ5,PB5),"")</f>
        <v>39.799999999999997</v>
      </c>
    </row>
    <row r="6" spans="1:419" ht="17" x14ac:dyDescent="0.2">
      <c r="O6" s="11"/>
      <c r="P6" s="11"/>
      <c r="Q6" s="11"/>
    </row>
    <row r="7" spans="1:419" ht="17" x14ac:dyDescent="0.2">
      <c r="O7" s="11"/>
      <c r="P7" s="11"/>
      <c r="Q7" s="11"/>
    </row>
    <row r="8" spans="1:419" ht="17" x14ac:dyDescent="0.2">
      <c r="B8" s="28" t="s">
        <v>42</v>
      </c>
      <c r="O8" s="11"/>
      <c r="P8" s="11"/>
      <c r="Q8" s="11"/>
      <c r="AI8" s="4"/>
      <c r="AM8" s="57">
        <v>7.3</v>
      </c>
      <c r="BE8" s="4"/>
      <c r="BI8" s="57">
        <v>7.3</v>
      </c>
      <c r="CA8" s="4"/>
      <c r="CE8" s="57">
        <v>7.3</v>
      </c>
      <c r="DB8" s="4"/>
      <c r="DG8" s="57">
        <v>7.3</v>
      </c>
      <c r="EB8" s="4"/>
      <c r="EG8" s="57">
        <v>7.3</v>
      </c>
      <c r="FB8" s="4"/>
      <c r="FG8" s="57">
        <v>7.3</v>
      </c>
      <c r="GB8" s="4"/>
      <c r="GG8" s="57">
        <v>7.3</v>
      </c>
      <c r="HB8" s="4"/>
      <c r="HG8" s="57">
        <v>7.3</v>
      </c>
      <c r="IB8" s="4"/>
      <c r="IG8" s="57">
        <v>7.3</v>
      </c>
      <c r="JB8" s="4"/>
      <c r="JG8" s="57">
        <v>7.3</v>
      </c>
      <c r="KB8" s="4"/>
      <c r="KG8" s="57">
        <v>7.3</v>
      </c>
      <c r="LB8" s="4"/>
      <c r="LG8" s="57">
        <v>7.3</v>
      </c>
      <c r="MB8" s="4"/>
      <c r="MG8" s="57">
        <v>7.3</v>
      </c>
      <c r="NB8" s="4"/>
      <c r="NG8" s="57">
        <v>7.3</v>
      </c>
      <c r="OB8" s="4"/>
      <c r="OG8" s="57">
        <v>7.3</v>
      </c>
    </row>
    <row r="9" spans="1:419" ht="17" hidden="1" x14ac:dyDescent="0.2">
      <c r="B9" s="35" t="s">
        <v>41</v>
      </c>
      <c r="O9" s="11"/>
      <c r="P9" s="11"/>
      <c r="Q9" s="11"/>
      <c r="AI9" s="4"/>
      <c r="AM9" s="58">
        <v>1000</v>
      </c>
      <c r="BE9" s="4"/>
      <c r="BI9" s="58">
        <v>1000</v>
      </c>
      <c r="CA9" s="4"/>
      <c r="CE9" s="58">
        <v>1000</v>
      </c>
      <c r="DB9" s="4"/>
      <c r="DG9" s="58">
        <v>1000</v>
      </c>
      <c r="EB9" s="4"/>
      <c r="EG9" s="58">
        <v>1000</v>
      </c>
      <c r="FB9" s="4"/>
      <c r="FG9" s="58">
        <v>1000</v>
      </c>
      <c r="GB9" s="4"/>
      <c r="GG9" s="58">
        <v>1000</v>
      </c>
      <c r="HB9" s="4"/>
      <c r="HG9" s="58">
        <v>1000</v>
      </c>
      <c r="IB9" s="4"/>
      <c r="IG9" s="58">
        <v>1000</v>
      </c>
      <c r="JB9" s="4"/>
      <c r="JG9" s="58">
        <v>1000</v>
      </c>
      <c r="KB9" s="4"/>
      <c r="KG9" s="58">
        <v>1000</v>
      </c>
      <c r="LB9" s="4"/>
      <c r="LG9" s="58">
        <v>1000</v>
      </c>
      <c r="MB9" s="4"/>
      <c r="MG9" s="58">
        <v>1000</v>
      </c>
      <c r="NB9" s="4"/>
      <c r="NG9" s="58">
        <v>1000</v>
      </c>
      <c r="OB9" s="4"/>
      <c r="OG9" s="58">
        <v>1000</v>
      </c>
    </row>
    <row r="10" spans="1:419" ht="17" hidden="1" x14ac:dyDescent="0.2">
      <c r="A10" s="5"/>
      <c r="B10" s="36" t="s">
        <v>54</v>
      </c>
      <c r="C10" s="22"/>
      <c r="O10" s="11"/>
      <c r="P10" s="11"/>
      <c r="Q10" s="11"/>
      <c r="AI10" s="4"/>
      <c r="AM10" s="59">
        <v>1000</v>
      </c>
      <c r="BE10" s="4"/>
      <c r="BI10" s="59">
        <v>1000</v>
      </c>
      <c r="CA10" s="4"/>
      <c r="CE10" s="59">
        <v>1000</v>
      </c>
      <c r="DB10" s="4"/>
      <c r="DG10" s="59">
        <v>1000</v>
      </c>
      <c r="EB10" s="4"/>
      <c r="EG10" s="59">
        <v>1000</v>
      </c>
      <c r="FB10" s="4"/>
      <c r="FG10" s="59">
        <v>1000</v>
      </c>
      <c r="GB10" s="4"/>
      <c r="GG10" s="59">
        <v>1000</v>
      </c>
      <c r="HB10" s="4"/>
      <c r="HG10" s="59">
        <v>1000</v>
      </c>
      <c r="IB10" s="4"/>
      <c r="IG10" s="59">
        <v>1000</v>
      </c>
      <c r="JB10" s="4"/>
      <c r="JG10" s="59">
        <v>1000</v>
      </c>
      <c r="KB10" s="4"/>
      <c r="KG10" s="59">
        <v>1000</v>
      </c>
      <c r="LB10" s="4"/>
      <c r="LG10" s="59">
        <v>1000</v>
      </c>
      <c r="MB10" s="4"/>
      <c r="MG10" s="59">
        <v>1000</v>
      </c>
      <c r="NB10" s="4"/>
      <c r="NG10" s="59">
        <v>1000</v>
      </c>
      <c r="OB10" s="4"/>
      <c r="OG10" s="59">
        <v>1000</v>
      </c>
    </row>
    <row r="11" spans="1:419" ht="17" hidden="1" x14ac:dyDescent="0.2">
      <c r="A11" s="5"/>
      <c r="B11" s="44" t="s">
        <v>59</v>
      </c>
      <c r="C11" s="22"/>
      <c r="O11" s="11"/>
      <c r="P11" s="11"/>
      <c r="Q11" s="11"/>
      <c r="AI11" s="4"/>
      <c r="AM11" s="60">
        <v>1000</v>
      </c>
      <c r="BE11" s="4"/>
      <c r="BI11" s="60">
        <v>1000</v>
      </c>
      <c r="CA11" s="4"/>
      <c r="CE11" s="60">
        <v>1000</v>
      </c>
      <c r="DB11" s="4"/>
      <c r="DG11" s="60">
        <v>1000</v>
      </c>
      <c r="EB11" s="4"/>
      <c r="EG11" s="60">
        <v>1000</v>
      </c>
      <c r="FB11" s="4"/>
      <c r="FG11" s="60">
        <v>1000</v>
      </c>
      <c r="GB11" s="4"/>
      <c r="GG11" s="60">
        <v>1000</v>
      </c>
      <c r="HB11" s="4"/>
      <c r="HG11" s="60">
        <v>1000</v>
      </c>
      <c r="IB11" s="4"/>
      <c r="IG11" s="60">
        <v>1000</v>
      </c>
      <c r="JB11" s="4"/>
      <c r="JG11" s="60">
        <v>1000</v>
      </c>
      <c r="KB11" s="4"/>
      <c r="KG11" s="60">
        <v>1000</v>
      </c>
      <c r="LB11" s="4"/>
      <c r="LG11" s="60">
        <v>1000</v>
      </c>
      <c r="MB11" s="4"/>
      <c r="MG11" s="60">
        <v>1000</v>
      </c>
      <c r="NB11" s="4"/>
      <c r="NG11" s="60">
        <v>1000</v>
      </c>
      <c r="OB11" s="4"/>
      <c r="OG11" s="60">
        <v>1000</v>
      </c>
    </row>
    <row r="12" spans="1:419" ht="17" x14ac:dyDescent="0.2">
      <c r="A12" s="5"/>
      <c r="B12" s="42" t="s">
        <v>39</v>
      </c>
      <c r="C12" s="22"/>
      <c r="O12" s="11"/>
      <c r="P12" s="11"/>
      <c r="Q12" s="11"/>
      <c r="AI12" s="4"/>
      <c r="AM12" s="61">
        <v>42.5</v>
      </c>
      <c r="BE12" s="4"/>
      <c r="BI12" s="61">
        <v>42.5</v>
      </c>
      <c r="CA12" s="4"/>
      <c r="CE12" s="61">
        <v>42.5</v>
      </c>
      <c r="DB12" s="4"/>
      <c r="DG12" s="61">
        <v>42.5</v>
      </c>
      <c r="EB12" s="4"/>
      <c r="EG12" s="61">
        <v>42.5</v>
      </c>
      <c r="FB12" s="4"/>
      <c r="FG12" s="61">
        <v>42.5</v>
      </c>
      <c r="GB12" s="4"/>
      <c r="GG12" s="61">
        <v>42.5</v>
      </c>
      <c r="HB12" s="4"/>
      <c r="HG12" s="61">
        <v>42.5</v>
      </c>
      <c r="IB12" s="4"/>
      <c r="IG12" s="61">
        <v>42.5</v>
      </c>
      <c r="JB12" s="4"/>
      <c r="JG12" s="61">
        <v>42.5</v>
      </c>
      <c r="KB12" s="4"/>
      <c r="KG12" s="61">
        <v>42.5</v>
      </c>
      <c r="LB12" s="4"/>
      <c r="LG12" s="61">
        <v>42.5</v>
      </c>
      <c r="MB12" s="4"/>
      <c r="MG12" s="61">
        <v>42.5</v>
      </c>
      <c r="NB12" s="4"/>
      <c r="NG12" s="61">
        <v>42.5</v>
      </c>
      <c r="OB12" s="4"/>
      <c r="OG12" s="61">
        <v>42.5</v>
      </c>
    </row>
    <row r="13" spans="1:419" ht="17" hidden="1" x14ac:dyDescent="0.2">
      <c r="A13" s="5"/>
      <c r="B13" s="29" t="s">
        <v>40</v>
      </c>
      <c r="C13" s="22"/>
      <c r="O13" s="11"/>
      <c r="P13" s="11"/>
      <c r="Q13" s="11"/>
      <c r="AI13" s="4"/>
      <c r="AM13" s="62">
        <v>1000</v>
      </c>
      <c r="BE13" s="4"/>
      <c r="BI13" s="62">
        <v>1000</v>
      </c>
      <c r="CA13" s="4"/>
      <c r="CE13" s="62">
        <v>1000</v>
      </c>
      <c r="DB13" s="4"/>
      <c r="DG13" s="62">
        <v>1000</v>
      </c>
      <c r="EB13" s="4"/>
      <c r="EG13" s="62">
        <v>1000</v>
      </c>
      <c r="FB13" s="4"/>
      <c r="FG13" s="62">
        <v>1000</v>
      </c>
      <c r="GB13" s="4"/>
      <c r="GG13" s="62">
        <v>1000</v>
      </c>
      <c r="HB13" s="4"/>
      <c r="HG13" s="62">
        <v>1000</v>
      </c>
      <c r="IB13" s="4"/>
      <c r="IG13" s="62">
        <v>1000</v>
      </c>
      <c r="JB13" s="4"/>
      <c r="JG13" s="62">
        <v>1000</v>
      </c>
      <c r="KB13" s="4"/>
      <c r="KG13" s="62">
        <v>1000</v>
      </c>
      <c r="LB13" s="4"/>
      <c r="LG13" s="62">
        <v>1000</v>
      </c>
      <c r="MB13" s="4"/>
      <c r="MG13" s="62">
        <v>1000</v>
      </c>
      <c r="NB13" s="4"/>
      <c r="NG13" s="62">
        <v>1000</v>
      </c>
      <c r="OB13" s="4"/>
      <c r="OG13" s="62">
        <v>1000</v>
      </c>
    </row>
    <row r="14" spans="1:419" ht="17" hidden="1" x14ac:dyDescent="0.2">
      <c r="A14" s="5"/>
      <c r="B14" s="40" t="s">
        <v>53</v>
      </c>
      <c r="C14" s="22"/>
      <c r="O14" s="11"/>
      <c r="P14" s="11"/>
      <c r="Q14" s="11"/>
      <c r="AI14" s="4"/>
      <c r="AM14" s="63">
        <v>1000</v>
      </c>
      <c r="BE14" s="4"/>
      <c r="BI14" s="63">
        <v>1000</v>
      </c>
      <c r="CA14" s="4"/>
      <c r="CE14" s="63">
        <v>1000</v>
      </c>
      <c r="DB14" s="4"/>
      <c r="DG14" s="63">
        <v>1000</v>
      </c>
      <c r="EB14" s="4"/>
      <c r="EG14" s="63">
        <v>1000</v>
      </c>
      <c r="FB14" s="4"/>
      <c r="FG14" s="63">
        <v>1000</v>
      </c>
      <c r="GB14" s="4"/>
      <c r="GG14" s="63">
        <v>1000</v>
      </c>
      <c r="HB14" s="4"/>
      <c r="HG14" s="63">
        <v>1000</v>
      </c>
      <c r="IB14" s="4"/>
      <c r="IG14" s="63">
        <v>1000</v>
      </c>
      <c r="JB14" s="4"/>
      <c r="JG14" s="63">
        <v>1000</v>
      </c>
      <c r="KB14" s="4"/>
      <c r="KG14" s="63">
        <v>1000</v>
      </c>
      <c r="LB14" s="4"/>
      <c r="LG14" s="63">
        <v>1000</v>
      </c>
      <c r="MB14" s="4"/>
      <c r="MG14" s="63">
        <v>1000</v>
      </c>
      <c r="NB14" s="4"/>
      <c r="NG14" s="63">
        <v>1000</v>
      </c>
      <c r="OB14" s="4"/>
      <c r="OG14" s="63">
        <v>1000</v>
      </c>
    </row>
    <row r="15" spans="1:419" ht="17" hidden="1" x14ac:dyDescent="0.2">
      <c r="A15" s="5"/>
      <c r="B15" s="30" t="s">
        <v>26</v>
      </c>
      <c r="C15" s="22"/>
      <c r="O15" s="11"/>
      <c r="P15" s="11"/>
      <c r="Q15" s="11"/>
      <c r="AI15" s="4"/>
      <c r="AM15" s="64">
        <v>1000</v>
      </c>
      <c r="BE15" s="4"/>
      <c r="BI15" s="64">
        <v>1000</v>
      </c>
      <c r="CA15" s="4"/>
      <c r="CE15" s="64">
        <v>1000</v>
      </c>
      <c r="DB15" s="4"/>
      <c r="DG15" s="64">
        <v>1000</v>
      </c>
      <c r="EB15" s="4"/>
      <c r="EG15" s="64">
        <v>1000</v>
      </c>
      <c r="FB15" s="4"/>
      <c r="FG15" s="64">
        <v>1000</v>
      </c>
      <c r="GB15" s="4"/>
      <c r="GG15" s="64">
        <v>1000</v>
      </c>
      <c r="HB15" s="4"/>
      <c r="HG15" s="64">
        <v>1000</v>
      </c>
      <c r="IB15" s="4"/>
      <c r="IG15" s="64">
        <v>1000</v>
      </c>
      <c r="JB15" s="4"/>
      <c r="JG15" s="64">
        <v>1000</v>
      </c>
      <c r="KB15" s="4"/>
      <c r="KG15" s="64">
        <v>1000</v>
      </c>
      <c r="LB15" s="4"/>
      <c r="LG15" s="64">
        <v>1000</v>
      </c>
      <c r="MB15" s="4"/>
      <c r="MG15" s="64">
        <v>1000</v>
      </c>
      <c r="NB15" s="4"/>
      <c r="NG15" s="64">
        <v>1000</v>
      </c>
      <c r="OB15" s="4"/>
      <c r="OG15" s="64">
        <v>1000</v>
      </c>
    </row>
    <row r="16" spans="1:41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C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5">
      <sortCondition descending="1" ref="F1:F6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110" priority="1">
      <formula>AND(G4&lt;&gt;"",F4="")</formula>
    </cfRule>
    <cfRule type="expression" dxfId="109" priority="21">
      <formula>IF(A4&gt;4,1,0)</formula>
    </cfRule>
  </conditionalFormatting>
  <conditionalFormatting sqref="H1:H1048576">
    <cfRule type="containsText" dxfId="108" priority="13" operator="containsText" text="No DD">
      <formula>NOT(ISERROR(SEARCH("No DD",H1)))</formula>
    </cfRule>
    <cfRule type="containsText" dxfId="107" priority="14" operator="containsText" text="Merit">
      <formula>NOT(ISERROR(SEARCH("Merit",H1)))</formula>
    </cfRule>
    <cfRule type="containsText" dxfId="106" priority="15" operator="containsText" text="Excellence">
      <formula>NOT(ISERROR(SEARCH("Excellence",H1)))</formula>
    </cfRule>
    <cfRule type="containsText" dxfId="105" priority="16" operator="containsText" text="Worlds Team">
      <formula>NOT(ISERROR(SEARCH("Worlds Team",H1)))</formula>
    </cfRule>
    <cfRule type="containsText" dxfId="104" priority="17" operator="containsText" text="National Team">
      <formula>NOT(ISERROR(SEARCH("National Team",H1)))</formula>
    </cfRule>
  </conditionalFormatting>
  <conditionalFormatting sqref="R4:AM5">
    <cfRule type="expression" dxfId="103" priority="70396" stopIfTrue="1">
      <formula>IF($AH4&lt;&gt;"",1,0)</formula>
    </cfRule>
  </conditionalFormatting>
  <conditionalFormatting sqref="AN4:BI5">
    <cfRule type="expression" dxfId="102" priority="70414" stopIfTrue="1">
      <formula>IF($BD4&lt;&gt;"",1,0)</formula>
    </cfRule>
  </conditionalFormatting>
  <conditionalFormatting sqref="J1:J1048576 N1:N1048576 L1:L1048576">
    <cfRule type="expression" dxfId="101" priority="70429">
      <formula>IF(J1=$BJ$1,1,0)</formula>
    </cfRule>
    <cfRule type="expression" dxfId="100" priority="70430">
      <formula>IF(J1=$AN$1,1,0)</formula>
    </cfRule>
    <cfRule type="expression" dxfId="99" priority="70431">
      <formula>IF(J1=$R$1,1,0)</formula>
    </cfRule>
  </conditionalFormatting>
  <conditionalFormatting sqref="BJ4:CE5">
    <cfRule type="expression" dxfId="98" priority="70432" stopIfTrue="1">
      <formula>IF($BZ4&lt;&gt;"",1,0)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97" priority="78154" operator="between">
      <formula>DG$11</formula>
      <formula>1000</formula>
    </cfRule>
    <cfRule type="cellIs" dxfId="96" priority="78155" operator="between">
      <formula>DG$10</formula>
      <formula>DG$11</formula>
    </cfRule>
    <cfRule type="cellIs" dxfId="95" priority="78156" operator="between">
      <formula>DG$9</formula>
      <formula>DG$10</formula>
    </cfRule>
    <cfRule type="cellIs" dxfId="94" priority="78157" operator="between">
      <formula>DG$8</formula>
      <formula>DG$9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93" priority="78298" operator="between">
      <formula>DG$15</formula>
      <formula>1000</formula>
    </cfRule>
    <cfRule type="cellIs" dxfId="92" priority="78299" operator="between">
      <formula>DG$14</formula>
      <formula>DG$15</formula>
    </cfRule>
    <cfRule type="cellIs" dxfId="91" priority="78300" operator="between">
      <formula>DG$13</formula>
      <formula>DG$14</formula>
    </cfRule>
    <cfRule type="cellIs" dxfId="90" priority="78301" operator="between">
      <formula>DG$12</formula>
      <formula>DG$13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89" priority="78442" operator="between">
      <formula>AM$8</formula>
      <formula>AM$9</formula>
    </cfRule>
    <cfRule type="cellIs" dxfId="88" priority="78443" operator="between">
      <formula>AM$9</formula>
      <formula>AM$10</formula>
    </cfRule>
    <cfRule type="cellIs" dxfId="87" priority="78444" operator="between">
      <formula>AM$10</formula>
      <formula>AM$11</formula>
    </cfRule>
    <cfRule type="cellIs" dxfId="86" priority="78445" operator="between">
      <formula>AM$11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85" priority="78622" operator="between">
      <formula>AM$12</formula>
      <formula>AM$13</formula>
    </cfRule>
    <cfRule type="cellIs" dxfId="84" priority="78623" operator="between">
      <formula>AM$13</formula>
      <formula>AM$14</formula>
    </cfRule>
    <cfRule type="cellIs" dxfId="83" priority="78624" operator="between">
      <formula>AM$14</formula>
      <formula>AM$15</formula>
    </cfRule>
    <cfRule type="cellIs" dxfId="82" priority="78625" operator="between">
      <formula>AM$15</formula>
      <formula>1000</formula>
    </cfRule>
  </conditionalFormatting>
  <conditionalFormatting sqref="AI1:AI1048576 BE1:BE1048576 CA1:CA1048576">
    <cfRule type="cellIs" dxfId="81" priority="78802" operator="between">
      <formula>AM$11</formula>
      <formula>1000</formula>
    </cfRule>
    <cfRule type="cellIs" dxfId="80" priority="78803" operator="between">
      <formula>AM$10</formula>
      <formula>AM$11</formula>
    </cfRule>
    <cfRule type="cellIs" dxfId="79" priority="78804" operator="between">
      <formula>AM$9</formula>
      <formula>AM$10</formula>
    </cfRule>
    <cfRule type="cellIs" dxfId="78" priority="78805" operator="between">
      <formula>AM$8</formula>
      <formula>AM$9</formula>
    </cfRule>
  </conditionalFormatting>
  <conditionalFormatting sqref="AJ1:AJ1048576 BF1:BF1048576 CB1:CB1048576">
    <cfRule type="cellIs" dxfId="77" priority="78838" operator="between">
      <formula>AM$15</formula>
      <formula>1000</formula>
    </cfRule>
    <cfRule type="cellIs" dxfId="76" priority="78839" operator="between">
      <formula>AM$14</formula>
      <formula>AM$15</formula>
    </cfRule>
    <cfRule type="cellIs" dxfId="75" priority="78840" operator="between">
      <formula>AM$13</formula>
      <formula>AM$14</formula>
    </cfRule>
    <cfRule type="cellIs" dxfId="74" priority="78841" operator="between">
      <formula>AM$12</formula>
      <formula>AM$13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C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64</v>
      </c>
      <c r="J1" s="75" t="s">
        <v>24</v>
      </c>
      <c r="K1" s="81" t="s">
        <v>65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75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84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97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99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66</v>
      </c>
      <c r="S2" s="69"/>
      <c r="T2" s="69"/>
      <c r="U2" s="69"/>
      <c r="V2" s="69" t="s">
        <v>67</v>
      </c>
      <c r="W2" s="69"/>
      <c r="X2" s="69"/>
      <c r="Y2" s="69"/>
      <c r="Z2" s="69" t="s">
        <v>69</v>
      </c>
      <c r="AA2" s="69"/>
      <c r="AB2" s="69"/>
      <c r="AC2" s="69"/>
      <c r="AD2" s="78" t="s">
        <v>70</v>
      </c>
      <c r="AE2" s="78"/>
      <c r="AF2" s="78"/>
      <c r="AG2" s="78"/>
      <c r="AH2" s="16"/>
      <c r="AI2" s="16" t="s">
        <v>98</v>
      </c>
      <c r="AJ2" s="16" t="s">
        <v>20</v>
      </c>
      <c r="AK2" s="16" t="s">
        <v>56</v>
      </c>
      <c r="AL2" s="16" t="s">
        <v>73</v>
      </c>
      <c r="AM2" s="16" t="s">
        <v>14</v>
      </c>
      <c r="AN2" s="70" t="s">
        <v>66</v>
      </c>
      <c r="AO2" s="70"/>
      <c r="AP2" s="70"/>
      <c r="AQ2" s="70"/>
      <c r="AR2" s="70" t="s">
        <v>67</v>
      </c>
      <c r="AS2" s="70"/>
      <c r="AT2" s="70"/>
      <c r="AU2" s="70"/>
      <c r="AV2" s="70" t="s">
        <v>69</v>
      </c>
      <c r="AW2" s="70"/>
      <c r="AX2" s="70"/>
      <c r="AY2" s="70"/>
      <c r="AZ2" s="79" t="s">
        <v>70</v>
      </c>
      <c r="BA2" s="79"/>
      <c r="BB2" s="79"/>
      <c r="BC2" s="79"/>
      <c r="BD2" s="17"/>
      <c r="BE2" s="17" t="s">
        <v>98</v>
      </c>
      <c r="BF2" s="17" t="s">
        <v>20</v>
      </c>
      <c r="BG2" s="17" t="s">
        <v>56</v>
      </c>
      <c r="BH2" s="17" t="s">
        <v>73</v>
      </c>
      <c r="BI2" s="17" t="s">
        <v>14</v>
      </c>
      <c r="BJ2" s="69" t="s">
        <v>66</v>
      </c>
      <c r="BK2" s="69"/>
      <c r="BL2" s="69"/>
      <c r="BM2" s="69"/>
      <c r="BN2" s="69" t="s">
        <v>67</v>
      </c>
      <c r="BO2" s="69"/>
      <c r="BP2" s="69"/>
      <c r="BQ2" s="69"/>
      <c r="BR2" s="69" t="s">
        <v>69</v>
      </c>
      <c r="BS2" s="69"/>
      <c r="BT2" s="69"/>
      <c r="BU2" s="69"/>
      <c r="BV2" s="78" t="s">
        <v>70</v>
      </c>
      <c r="BW2" s="78"/>
      <c r="BX2" s="78"/>
      <c r="BY2" s="78"/>
      <c r="BZ2" s="16"/>
      <c r="CA2" s="16" t="s">
        <v>98</v>
      </c>
      <c r="CB2" s="16" t="s">
        <v>20</v>
      </c>
      <c r="CC2" s="16" t="s">
        <v>56</v>
      </c>
      <c r="CD2" s="16" t="s">
        <v>73</v>
      </c>
      <c r="CE2" s="16" t="s">
        <v>14</v>
      </c>
      <c r="CF2" s="54" t="s">
        <v>72</v>
      </c>
      <c r="CG2" s="54" t="s">
        <v>19</v>
      </c>
      <c r="CH2" s="69" t="s">
        <v>66</v>
      </c>
      <c r="CI2" s="69"/>
      <c r="CJ2" s="69"/>
      <c r="CK2" s="69"/>
      <c r="CL2" s="69" t="s">
        <v>67</v>
      </c>
      <c r="CM2" s="69"/>
      <c r="CN2" s="69"/>
      <c r="CO2" s="69"/>
      <c r="CP2" s="69" t="s">
        <v>68</v>
      </c>
      <c r="CQ2" s="69"/>
      <c r="CR2" s="69"/>
      <c r="CS2" s="69"/>
      <c r="CT2" s="69" t="s">
        <v>69</v>
      </c>
      <c r="CU2" s="69"/>
      <c r="CV2" s="69"/>
      <c r="CW2" s="69"/>
      <c r="CX2" s="80" t="s">
        <v>70</v>
      </c>
      <c r="CY2" s="80"/>
      <c r="CZ2" s="80"/>
      <c r="DA2" s="80"/>
      <c r="DB2" s="16" t="s">
        <v>71</v>
      </c>
      <c r="DC2" s="16" t="s">
        <v>72</v>
      </c>
      <c r="DD2" s="16" t="s">
        <v>68</v>
      </c>
      <c r="DE2" s="16" t="s">
        <v>56</v>
      </c>
      <c r="DF2" s="16" t="s">
        <v>73</v>
      </c>
      <c r="DG2" s="16" t="s">
        <v>14</v>
      </c>
      <c r="DH2" s="70" t="s">
        <v>66</v>
      </c>
      <c r="DI2" s="70"/>
      <c r="DJ2" s="70"/>
      <c r="DK2" s="70"/>
      <c r="DL2" s="70" t="s">
        <v>67</v>
      </c>
      <c r="DM2" s="70"/>
      <c r="DN2" s="70"/>
      <c r="DO2" s="70"/>
      <c r="DP2" s="70" t="s">
        <v>68</v>
      </c>
      <c r="DQ2" s="70"/>
      <c r="DR2" s="70"/>
      <c r="DS2" s="70"/>
      <c r="DT2" s="70" t="s">
        <v>69</v>
      </c>
      <c r="DU2" s="70"/>
      <c r="DV2" s="70"/>
      <c r="DW2" s="70"/>
      <c r="DX2" s="79" t="s">
        <v>70</v>
      </c>
      <c r="DY2" s="79"/>
      <c r="DZ2" s="79"/>
      <c r="EA2" s="79"/>
      <c r="EB2" s="17" t="s">
        <v>71</v>
      </c>
      <c r="EC2" s="17" t="s">
        <v>72</v>
      </c>
      <c r="ED2" s="17" t="s">
        <v>68</v>
      </c>
      <c r="EE2" s="17" t="s">
        <v>56</v>
      </c>
      <c r="EF2" s="17" t="s">
        <v>73</v>
      </c>
      <c r="EG2" s="17" t="s">
        <v>14</v>
      </c>
      <c r="EH2" s="69" t="s">
        <v>66</v>
      </c>
      <c r="EI2" s="69"/>
      <c r="EJ2" s="69"/>
      <c r="EK2" s="69"/>
      <c r="EL2" s="69" t="s">
        <v>67</v>
      </c>
      <c r="EM2" s="69"/>
      <c r="EN2" s="69"/>
      <c r="EO2" s="69"/>
      <c r="EP2" s="69" t="s">
        <v>68</v>
      </c>
      <c r="EQ2" s="69"/>
      <c r="ER2" s="69"/>
      <c r="ES2" s="69"/>
      <c r="ET2" s="69" t="s">
        <v>69</v>
      </c>
      <c r="EU2" s="69"/>
      <c r="EV2" s="69"/>
      <c r="EW2" s="69"/>
      <c r="EX2" s="80" t="s">
        <v>70</v>
      </c>
      <c r="EY2" s="80"/>
      <c r="EZ2" s="80"/>
      <c r="FA2" s="80"/>
      <c r="FB2" s="16" t="s">
        <v>71</v>
      </c>
      <c r="FC2" s="16" t="s">
        <v>72</v>
      </c>
      <c r="FD2" s="16" t="s">
        <v>68</v>
      </c>
      <c r="FE2" s="16" t="s">
        <v>56</v>
      </c>
      <c r="FF2" s="16" t="s">
        <v>73</v>
      </c>
      <c r="FG2" s="16" t="s">
        <v>14</v>
      </c>
      <c r="FH2" s="70" t="s">
        <v>66</v>
      </c>
      <c r="FI2" s="70"/>
      <c r="FJ2" s="70"/>
      <c r="FK2" s="70"/>
      <c r="FL2" s="70" t="s">
        <v>67</v>
      </c>
      <c r="FM2" s="70"/>
      <c r="FN2" s="70"/>
      <c r="FO2" s="70"/>
      <c r="FP2" s="70" t="s">
        <v>68</v>
      </c>
      <c r="FQ2" s="70"/>
      <c r="FR2" s="70"/>
      <c r="FS2" s="70"/>
      <c r="FT2" s="70" t="s">
        <v>69</v>
      </c>
      <c r="FU2" s="70"/>
      <c r="FV2" s="70"/>
      <c r="FW2" s="70"/>
      <c r="FX2" s="79" t="s">
        <v>70</v>
      </c>
      <c r="FY2" s="79"/>
      <c r="FZ2" s="79"/>
      <c r="GA2" s="79"/>
      <c r="GB2" s="17" t="s">
        <v>71</v>
      </c>
      <c r="GC2" s="17" t="s">
        <v>72</v>
      </c>
      <c r="GD2" s="17" t="s">
        <v>68</v>
      </c>
      <c r="GE2" s="17" t="s">
        <v>56</v>
      </c>
      <c r="GF2" s="17" t="s">
        <v>73</v>
      </c>
      <c r="GG2" s="17" t="s">
        <v>14</v>
      </c>
      <c r="GH2" s="69" t="s">
        <v>66</v>
      </c>
      <c r="GI2" s="69"/>
      <c r="GJ2" s="69"/>
      <c r="GK2" s="69"/>
      <c r="GL2" s="69" t="s">
        <v>67</v>
      </c>
      <c r="GM2" s="69"/>
      <c r="GN2" s="69"/>
      <c r="GO2" s="69"/>
      <c r="GP2" s="69" t="s">
        <v>68</v>
      </c>
      <c r="GQ2" s="69"/>
      <c r="GR2" s="69"/>
      <c r="GS2" s="69"/>
      <c r="GT2" s="69" t="s">
        <v>69</v>
      </c>
      <c r="GU2" s="69"/>
      <c r="GV2" s="69"/>
      <c r="GW2" s="69"/>
      <c r="GX2" s="80" t="s">
        <v>70</v>
      </c>
      <c r="GY2" s="80"/>
      <c r="GZ2" s="80"/>
      <c r="HA2" s="80"/>
      <c r="HB2" s="16" t="s">
        <v>71</v>
      </c>
      <c r="HC2" s="16" t="s">
        <v>72</v>
      </c>
      <c r="HD2" s="16" t="s">
        <v>68</v>
      </c>
      <c r="HE2" s="16" t="s">
        <v>56</v>
      </c>
      <c r="HF2" s="16" t="s">
        <v>73</v>
      </c>
      <c r="HG2" s="16" t="s">
        <v>14</v>
      </c>
      <c r="HH2" s="70" t="s">
        <v>66</v>
      </c>
      <c r="HI2" s="70"/>
      <c r="HJ2" s="70"/>
      <c r="HK2" s="70"/>
      <c r="HL2" s="70" t="s">
        <v>67</v>
      </c>
      <c r="HM2" s="70"/>
      <c r="HN2" s="70"/>
      <c r="HO2" s="70"/>
      <c r="HP2" s="70" t="s">
        <v>68</v>
      </c>
      <c r="HQ2" s="70"/>
      <c r="HR2" s="70"/>
      <c r="HS2" s="70"/>
      <c r="HT2" s="70" t="s">
        <v>69</v>
      </c>
      <c r="HU2" s="70"/>
      <c r="HV2" s="70"/>
      <c r="HW2" s="70"/>
      <c r="HX2" s="79" t="s">
        <v>70</v>
      </c>
      <c r="HY2" s="79"/>
      <c r="HZ2" s="79"/>
      <c r="IA2" s="79"/>
      <c r="IB2" s="17" t="s">
        <v>71</v>
      </c>
      <c r="IC2" s="17" t="s">
        <v>72</v>
      </c>
      <c r="ID2" s="17" t="s">
        <v>68</v>
      </c>
      <c r="IE2" s="17" t="s">
        <v>56</v>
      </c>
      <c r="IF2" s="17" t="s">
        <v>73</v>
      </c>
      <c r="IG2" s="17" t="s">
        <v>14</v>
      </c>
      <c r="IH2" s="69" t="s">
        <v>66</v>
      </c>
      <c r="II2" s="69"/>
      <c r="IJ2" s="69"/>
      <c r="IK2" s="69"/>
      <c r="IL2" s="69" t="s">
        <v>67</v>
      </c>
      <c r="IM2" s="69"/>
      <c r="IN2" s="69"/>
      <c r="IO2" s="69"/>
      <c r="IP2" s="69" t="s">
        <v>68</v>
      </c>
      <c r="IQ2" s="69"/>
      <c r="IR2" s="69"/>
      <c r="IS2" s="69"/>
      <c r="IT2" s="69" t="s">
        <v>69</v>
      </c>
      <c r="IU2" s="69"/>
      <c r="IV2" s="69"/>
      <c r="IW2" s="69"/>
      <c r="IX2" s="80" t="s">
        <v>70</v>
      </c>
      <c r="IY2" s="80"/>
      <c r="IZ2" s="80"/>
      <c r="JA2" s="80"/>
      <c r="JB2" s="16" t="s">
        <v>71</v>
      </c>
      <c r="JC2" s="16" t="s">
        <v>72</v>
      </c>
      <c r="JD2" s="16" t="s">
        <v>68</v>
      </c>
      <c r="JE2" s="16" t="s">
        <v>56</v>
      </c>
      <c r="JF2" s="16" t="s">
        <v>73</v>
      </c>
      <c r="JG2" s="16" t="s">
        <v>14</v>
      </c>
      <c r="JH2" s="70" t="s">
        <v>66</v>
      </c>
      <c r="JI2" s="70"/>
      <c r="JJ2" s="70"/>
      <c r="JK2" s="70"/>
      <c r="JL2" s="70" t="s">
        <v>67</v>
      </c>
      <c r="JM2" s="70"/>
      <c r="JN2" s="70"/>
      <c r="JO2" s="70"/>
      <c r="JP2" s="70" t="s">
        <v>68</v>
      </c>
      <c r="JQ2" s="70"/>
      <c r="JR2" s="70"/>
      <c r="JS2" s="70"/>
      <c r="JT2" s="70" t="s">
        <v>69</v>
      </c>
      <c r="JU2" s="70"/>
      <c r="JV2" s="70"/>
      <c r="JW2" s="70"/>
      <c r="JX2" s="79" t="s">
        <v>70</v>
      </c>
      <c r="JY2" s="79"/>
      <c r="JZ2" s="79"/>
      <c r="KA2" s="79"/>
      <c r="KB2" s="17" t="s">
        <v>71</v>
      </c>
      <c r="KC2" s="17" t="s">
        <v>72</v>
      </c>
      <c r="KD2" s="17" t="s">
        <v>68</v>
      </c>
      <c r="KE2" s="17" t="s">
        <v>56</v>
      </c>
      <c r="KF2" s="17" t="s">
        <v>73</v>
      </c>
      <c r="KG2" s="17" t="s">
        <v>14</v>
      </c>
      <c r="KH2" s="69" t="s">
        <v>66</v>
      </c>
      <c r="KI2" s="69"/>
      <c r="KJ2" s="69"/>
      <c r="KK2" s="69"/>
      <c r="KL2" s="69" t="s">
        <v>67</v>
      </c>
      <c r="KM2" s="69"/>
      <c r="KN2" s="69"/>
      <c r="KO2" s="69"/>
      <c r="KP2" s="69" t="s">
        <v>68</v>
      </c>
      <c r="KQ2" s="69"/>
      <c r="KR2" s="69"/>
      <c r="KS2" s="69"/>
      <c r="KT2" s="69" t="s">
        <v>69</v>
      </c>
      <c r="KU2" s="69"/>
      <c r="KV2" s="69"/>
      <c r="KW2" s="69"/>
      <c r="KX2" s="80" t="s">
        <v>70</v>
      </c>
      <c r="KY2" s="80"/>
      <c r="KZ2" s="80"/>
      <c r="LA2" s="80"/>
      <c r="LB2" s="16" t="s">
        <v>71</v>
      </c>
      <c r="LC2" s="16" t="s">
        <v>72</v>
      </c>
      <c r="LD2" s="16" t="s">
        <v>68</v>
      </c>
      <c r="LE2" s="16" t="s">
        <v>56</v>
      </c>
      <c r="LF2" s="16" t="s">
        <v>73</v>
      </c>
      <c r="LG2" s="16" t="s">
        <v>14</v>
      </c>
      <c r="LH2" s="70" t="s">
        <v>66</v>
      </c>
      <c r="LI2" s="70"/>
      <c r="LJ2" s="70"/>
      <c r="LK2" s="70"/>
      <c r="LL2" s="70" t="s">
        <v>67</v>
      </c>
      <c r="LM2" s="70"/>
      <c r="LN2" s="70"/>
      <c r="LO2" s="70"/>
      <c r="LP2" s="70" t="s">
        <v>68</v>
      </c>
      <c r="LQ2" s="70"/>
      <c r="LR2" s="70"/>
      <c r="LS2" s="70"/>
      <c r="LT2" s="70" t="s">
        <v>69</v>
      </c>
      <c r="LU2" s="70"/>
      <c r="LV2" s="70"/>
      <c r="LW2" s="70"/>
      <c r="LX2" s="79" t="s">
        <v>70</v>
      </c>
      <c r="LY2" s="79"/>
      <c r="LZ2" s="79"/>
      <c r="MA2" s="79"/>
      <c r="MB2" s="17" t="s">
        <v>71</v>
      </c>
      <c r="MC2" s="17" t="s">
        <v>72</v>
      </c>
      <c r="MD2" s="17" t="s">
        <v>68</v>
      </c>
      <c r="ME2" s="17" t="s">
        <v>56</v>
      </c>
      <c r="MF2" s="17" t="s">
        <v>73</v>
      </c>
      <c r="MG2" s="17" t="s">
        <v>14</v>
      </c>
      <c r="MH2" s="69" t="s">
        <v>66</v>
      </c>
      <c r="MI2" s="69"/>
      <c r="MJ2" s="69"/>
      <c r="MK2" s="69"/>
      <c r="ML2" s="69" t="s">
        <v>67</v>
      </c>
      <c r="MM2" s="69"/>
      <c r="MN2" s="69"/>
      <c r="MO2" s="69"/>
      <c r="MP2" s="69" t="s">
        <v>68</v>
      </c>
      <c r="MQ2" s="69"/>
      <c r="MR2" s="69"/>
      <c r="MS2" s="69"/>
      <c r="MT2" s="69" t="s">
        <v>69</v>
      </c>
      <c r="MU2" s="69"/>
      <c r="MV2" s="69"/>
      <c r="MW2" s="69"/>
      <c r="MX2" s="80" t="s">
        <v>70</v>
      </c>
      <c r="MY2" s="80"/>
      <c r="MZ2" s="80"/>
      <c r="NA2" s="80"/>
      <c r="NB2" s="16" t="s">
        <v>71</v>
      </c>
      <c r="NC2" s="16" t="s">
        <v>72</v>
      </c>
      <c r="ND2" s="16" t="s">
        <v>68</v>
      </c>
      <c r="NE2" s="16" t="s">
        <v>56</v>
      </c>
      <c r="NF2" s="16" t="s">
        <v>73</v>
      </c>
      <c r="NG2" s="16" t="s">
        <v>14</v>
      </c>
      <c r="NH2" s="70" t="s">
        <v>66</v>
      </c>
      <c r="NI2" s="70"/>
      <c r="NJ2" s="70"/>
      <c r="NK2" s="70"/>
      <c r="NL2" s="70" t="s">
        <v>67</v>
      </c>
      <c r="NM2" s="70"/>
      <c r="NN2" s="70"/>
      <c r="NO2" s="70"/>
      <c r="NP2" s="70" t="s">
        <v>68</v>
      </c>
      <c r="NQ2" s="70"/>
      <c r="NR2" s="70"/>
      <c r="NS2" s="70"/>
      <c r="NT2" s="70" t="s">
        <v>69</v>
      </c>
      <c r="NU2" s="70"/>
      <c r="NV2" s="70"/>
      <c r="NW2" s="70"/>
      <c r="NX2" s="79" t="s">
        <v>70</v>
      </c>
      <c r="NY2" s="79"/>
      <c r="NZ2" s="79"/>
      <c r="OA2" s="79"/>
      <c r="OB2" s="17" t="s">
        <v>71</v>
      </c>
      <c r="OC2" s="17" t="s">
        <v>72</v>
      </c>
      <c r="OD2" s="17" t="s">
        <v>68</v>
      </c>
      <c r="OE2" s="17" t="s">
        <v>56</v>
      </c>
      <c r="OF2" s="17" t="s">
        <v>73</v>
      </c>
      <c r="OG2" s="17" t="s">
        <v>14</v>
      </c>
      <c r="OH2" s="69" t="s">
        <v>66</v>
      </c>
      <c r="OI2" s="69"/>
      <c r="OJ2" s="69"/>
      <c r="OK2" s="69"/>
      <c r="OL2" s="69" t="s">
        <v>67</v>
      </c>
      <c r="OM2" s="69"/>
      <c r="ON2" s="69"/>
      <c r="OO2" s="69"/>
      <c r="OP2" s="69" t="s">
        <v>69</v>
      </c>
      <c r="OQ2" s="69"/>
      <c r="OR2" s="69"/>
      <c r="OS2" s="69"/>
      <c r="OT2" s="78" t="s">
        <v>70</v>
      </c>
      <c r="OU2" s="78"/>
      <c r="OV2" s="78"/>
      <c r="OW2" s="78"/>
      <c r="OX2" s="16"/>
      <c r="OY2" s="16" t="s">
        <v>98</v>
      </c>
      <c r="OZ2" s="16" t="s">
        <v>20</v>
      </c>
      <c r="PA2" s="16" t="s">
        <v>56</v>
      </c>
      <c r="PB2" s="16" t="s">
        <v>73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t="str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/>
      </c>
      <c r="B4" s="5" t="s">
        <v>76</v>
      </c>
      <c r="C4" s="4" t="s">
        <v>63</v>
      </c>
      <c r="D4" s="4">
        <v>2012</v>
      </c>
      <c r="E4" s="10">
        <f t="shared" ref="E4:E9" si="0">SUM(I4:O4)+SUM(I4:M4)*0.0000001+SUM(I4)*0.0000000000001</f>
        <v>147.70001472000493</v>
      </c>
      <c r="F4" s="3" t="str">
        <f t="shared" ref="F4:F9" si="1">IF(OR(AND(AI4&gt;=AM$12,AJ4&gt;=AM$16,AI4&lt;&gt;"",AH4=""),AND(AK4&gt;=AM$12,AL4&gt;=AM$16,AK4&lt;&gt;"",AH4=""),AND(BE4&gt;=BI$12,BF4&gt;=BI$16,BE4&lt;&gt;"",BD4=""),AND(BG4&gt;=BI$12,BH4&gt;=BI$16,BG4&lt;&gt;"",BD4=""),AND(CA4&gt;=CE$12,CB4&gt;=CE$16,CA4&lt;&gt;"",BZ4=""),AND(CC4&gt;=CE$12,CD4&gt;=CE$16,CC4&lt;&gt;""),AND(DB4&gt;=DG$12,DC4&gt;=DG$16,DB4&lt;&gt;""),AND(DE4&gt;=DG$12,DF4&gt;=DG$16,DE4&lt;&gt;""),AND(EB4&gt;=EG$12,EC4&gt;=EG$16,EB4&lt;&gt;""),AND(EE4&gt;=EG$12,EF4&gt;=EG$16,EE4&lt;&gt;""),AND(FB4&gt;=FG$12,FC4&gt;=FG$16,FB4&lt;&gt;""),AND(FE4&gt;=FG$12,FF4&gt;=FG$16,FE4&lt;&gt;""),AND(GB4&gt;=GG$12,GC4&gt;=GG$16,GB4&lt;&gt;""),AND(GE4&gt;=GG$12,GF4&gt;=GG$16,GE4&lt;&gt;""),AND(HB4&gt;=HG$12,HC4&gt;=HG$16,HB4&lt;&gt;""),AND(HE4&gt;=HG$12,HF4&gt;=HG$16,HE4&lt;&gt;""),AND(IB4&gt;=IG$12,IC4&gt;=IG$16,IB4&lt;&gt;""),AND(IE4&gt;=IG$12,IF4&gt;=IG$16,IE4&lt;&gt;""),AND(JB4&gt;=JG$12,JC4&gt;=JG$16,JB4&lt;&gt;""),AND(JE4&gt;=JG$12,JF4&gt;=JG$16,JE4&lt;&gt;""),AND(KB4&gt;=KG$12,KC4&gt;=KG$16,KB4&lt;&gt;""),AND(KE4&gt;=KG$12,KF4&gt;=KG$16,KE4&lt;&gt;""),AND(LB4&gt;=LG$12,LC4&gt;=LG$16,LB4&lt;&gt;""),AND(LE4&gt;=LG$12,LF4&gt;=LG$16,LE4&lt;&gt;""),AND(MB4&gt;=MG$12,MC4&gt;=MG$16,MB4&lt;&gt;""),AND(ME4&gt;=MG$12,MF4&gt;=MG$16,ME4&lt;&gt;""),AND(NB4&gt;=NG$12,NC4&gt;=NG$16,NB4&lt;&gt;""),AND(NE4&gt;=NG$12,NF4&gt;=NG$16,NE4&lt;&gt;""),AND(OB4&gt;=OG$12,OC4&gt;=OG$16,OB4&lt;&gt;""),AND(OE4&gt;=OG$12,OF4&gt;=OG$16,OE4&lt;&gt;"")),"P","")</f>
        <v/>
      </c>
      <c r="G4" s="3" t="str">
        <f t="shared" ref="G4:G9" si="2">IF(OR(AND(AJ4&gt;=AM$16,AJ4&lt;&gt;"",AH4=""),AND(AL4&gt;=AM$16,AL4&lt;&gt;"",AH4=""),AND(BF4&gt;=BI$16,BF4&lt;&gt;"",BD4=""),AND(BH4&gt;=BI$16,BH4&lt;&gt;"",BD4=""),AND(CB4&gt;=CE$16,CB4&lt;&gt;"",BZ4=""),AND(CD4&gt;=CE$16,CD4&lt;&gt;"",BZ4=""),AND(DC4&gt;=DG$16,DC4&lt;&gt;""),AND(DF4&gt;=DG$16,DF4&lt;&gt;""),AND(EC4&gt;=EG$16,EC4&lt;&gt;""),AND(EF4&gt;=EG$16,EF4&lt;&gt;""),AND(FC4&gt;=FG$16,FC4&lt;&gt;""),AND(FF4&gt;=FG$16,FF4&lt;&gt;""),AND(GC4&gt;=GG$16,GC4&lt;&gt;""),AND(GF4&gt;=GG$16,GF4&lt;&gt;""),AND(HC4&gt;=HG$16,HC4&lt;&gt;""),AND(HF4&gt;=HG$16,HF4&lt;&gt;""),AND(IC4&gt;=IG$16,IC4&lt;&gt;""),AND(IF4&gt;=IG$16,IF4&lt;&gt;""),AND(JC4&gt;=JG$16,JC4&lt;&gt;""),AND(JF4&gt;=JG$16,JF4&lt;&gt;""),AND(KC4&gt;=KG$16,KC4&lt;&gt;""),AND(KF4&gt;=KG$16,KF4&lt;&gt;""),AND(LC4&gt;=LG$16,LC4&lt;&gt;""),AND(LF4&gt;=LG$16,LF4&lt;&gt;""),AND(MC4&gt;=MG$16,MC4&lt;&gt;""),AND(MF4&gt;=MG$16,MF4&lt;&gt;""),AND(NC4&gt;=NG$16,NC4&lt;&gt;""),AND(NF4&gt;=NG$16,NF4&lt;&gt;""),AND(OC4&gt;=OG$16,OC4&lt;&gt;""),AND(OF4&gt;=OG$16,OF4&lt;&gt;"")),"P","")</f>
        <v/>
      </c>
      <c r="H4" s="47" t="str">
        <f t="shared" ref="H4:H9" si="3">IF(AND(G4="P",F4=""),"No DD",IF(OR(AND(AI4&gt;=AM$15,AJ4&gt;=AM$19,AI4&lt;&gt;"",AH4=""),AND(AK4&gt;=AM$15,AL4&gt;=AM$19,AK4&lt;&gt;"",AH4=""),AND(BE4&gt;=BI$15,BF4&gt;=BI$19,BE4&lt;&gt;"",BD4=""),AND(BG4&gt;=BI$15,BH4&gt;=BI$19,BG4&lt;&gt;"",BD4=""),AND(CA4&gt;=CE$15,CB4&gt;=CE$19,CA4&lt;&gt;"",BZ4=""),AND(CC4&gt;=CE$15,CD4&gt;=CE$19,CC4&lt;&gt;""),AND(DB4&gt;=DG$15,DC4&gt;=DG$19,DB4&lt;&gt;""),AND(DE4&gt;=DG$15,DF4&gt;=DG$19,DE4&lt;&gt;""),AND(EB4&gt;=EG$15,EC4&gt;=EG$19,EB4&lt;&gt;""),AND(EE4&gt;=EG$15,EF4&gt;=EG$19,EE4&lt;&gt;""),AND(FB4&gt;=FG$15,FC4&gt;=FG$19,FB4&lt;&gt;""),AND(FE4&gt;=FG$15,FF4&gt;=FG$19,FE4&lt;&gt;""),AND(GB4&gt;=GG$15,GC4&gt;=GG$19,GB4&lt;&gt;""),AND(GE4&gt;=GG$15,GF4&gt;=GG$19,GE4&lt;&gt;""),AND(HB4&gt;=HG$15,HC4&gt;=HG$19,HB4&lt;&gt;""),AND(HE4&gt;=HG$15,HF4&gt;=HG$19,HE4&lt;&gt;""),AND(IB4&gt;=IG$15,IC4&gt;=IG$19,IB4&lt;&gt;""),AND(IE4&gt;=IG$15,IF4&gt;=IG$19,IE4&lt;&gt;""),AND(JB4&gt;=JG$15,JC4&gt;=JG$19,JB4&lt;&gt;""),AND(JE4&gt;=JG$15,JF4&gt;=JG$19,JE4&lt;&gt;""),AND(KB4&gt;=KG$15,KC4&gt;=KG$19,KB4&lt;&gt;""),AND(KE4&gt;=KG$15,KF4&gt;=KG$19,KE4&lt;&gt;""),AND(LB4&gt;=LG$15,LC4&gt;=LG$19,LB4&lt;&gt;""),AND(LE4&gt;=LG$15,LF4&gt;=LG$19,LE4&lt;&gt;""),AND(MB4&gt;=MG$15,MC4&gt;=MG$19,MB4&lt;&gt;""),AND(ME4&gt;=MG$15,MF4&gt;=MG$19,ME4&lt;&gt;""),AND(NB4&gt;=NG$15,NC4&gt;=NG$19,NB4&lt;&gt;""),AND(NE4&gt;=NG$15,NF4&gt;=NG$19,NE4&lt;&gt;""),AND(OB4&gt;=OG$15,OC4&gt;=OG$19,OB4&lt;&gt;""),AND(OE4&gt;=OG$15,OF4&gt;=OG$19,OE4&lt;&gt;"")),"Merit",IF(OR(AND(AI4&gt;=AM$14,AJ4&gt;=AM$18,AI4&lt;&gt;"",AH4=""),AND(AK4&gt;=AM$14,AL4&gt;=AM$18,AK4&lt;&gt;"",AH4=""),AND(BE4&gt;=BI$14,BF4&gt;=BI$18,BE4&lt;&gt;"",BD4=""),AND(BG4&gt;=BI$14,BH4&gt;=BI$18,BG4&lt;&gt;"",BD4=""),AND(CA4&gt;=CE$14,CB4&gt;=CE$18,CA4&lt;&gt;"",BZ4=""),AND(CC4&gt;=CE$14,CD4&gt;=CE$18,CC4&lt;&gt;""),AND(DB4&gt;=DG$14,DC4&gt;=DG$18,DB4&lt;&gt;""),AND(DE4&gt;=DG$14,DF4&gt;=DG$18,DE4&lt;&gt;""),AND(EB4&gt;=EG$14,EC4&gt;=EG$18,EB4&lt;&gt;""),AND(EE4&gt;=EG$14,EF4&gt;=EG$18,EE4&lt;&gt;""),AND(FB4&gt;=FG$14,FC4&gt;=FG$18,FB4&lt;&gt;""),AND(FE4&gt;=FG$14,FF4&gt;=FG$18,FE4&lt;&gt;""),AND(GB4&gt;=GG$14,GC4&gt;=GG$18,GB4&lt;&gt;""),AND(GE4&gt;=GG$14,GF4&gt;=GG$18,GE4&lt;&gt;""),AND(HB4&gt;=HG$14,HC4&gt;=HG$18,HB4&lt;&gt;""),AND(HE4&gt;=HG$14,HF4&gt;=HG$18,HE4&lt;&gt;""),AND(IB4&gt;=IG$14,IC4&gt;=IG$18,IB4&lt;&gt;""),AND(IE4&gt;=IG$14,IF4&gt;=IG$18,IE4&lt;&gt;""),AND(JB4&gt;=JG$14,JC4&gt;=JG$18,JB4&lt;&gt;""),AND(JE4&gt;=JG$14,JF4&gt;=JG$18,JE4&lt;&gt;""),AND(KB4&gt;=KG$14,KC4&gt;=KG$18,KB4&lt;&gt;""),AND(KE4&gt;=KG$14,KF4&gt;=KG$18,KE4&lt;&gt;""),AND(LB4&gt;=LG$14,LC4&gt;=LG$18,LB4&lt;&gt;""),AND(LE4&gt;=LG$14,LF4&gt;=LG$18,LE4&lt;&gt;""),AND(MB4&gt;=MG$14,MC4&gt;=MG$18,MB4&lt;&gt;""),AND(ME4&gt;=MG$14,MF4&gt;=MG$18,ME4&lt;&gt;""),AND(NB4&gt;=NG$14,NC4&gt;=NG$18,NB4&lt;&gt;""),AND(NE4&gt;=NG$14,NF4&gt;=NG$18,NE4&lt;&gt;""),AND(OB4&gt;=OG$14,OC4&gt;=OG$18,OB4&lt;&gt;""),AND(OE4&gt;=OG$14,OF4&gt;=OG$18,OE4&lt;&gt;"")),"Excellence",IF(F4="P","National Team",""))))</f>
        <v/>
      </c>
      <c r="I4" s="9">
        <f>IF(COUNT(AJ4,BF4,CB4)&gt;0,LARGE((AJ4,BF4,CB4),1),0)</f>
        <v>49.1</v>
      </c>
      <c r="J4" s="9" t="str">
        <f t="shared" ref="J4:J9" si="4">IF(I4=0,"",IF(I4=CB4,$BJ$1,IF(I4=BF4,$AN$1,IF(I4=AJ4,$R$1,""))))</f>
        <v>2025 Nationals</v>
      </c>
      <c r="K4" s="9">
        <f>IF(COUNT(AJ4,BF4,CB4)&gt;1,LARGE((AJ4,BF4,CB4),2),0)</f>
        <v>48.500000000000007</v>
      </c>
      <c r="L4" s="9" t="str">
        <f t="shared" ref="L4:L9" si="5">IF(K4=0,"",IF(AND(K4=I4,K4=AJ4,K4=BF4),$R$1,IF(AND(K4=I4,K4=AJ4,K4=CB4),$R$1,IF(AND(K4=I4,K4=CB4,K4=BF4),$AN$1,IF(K4=CB4,$BJ$1,IF(K4=BF4,$AN$1,IF(K4=AJ4,$R$1,"")))))))</f>
        <v>2025 Elite Canada</v>
      </c>
      <c r="M4" s="9">
        <f t="shared" ref="M4:M9" si="6">IF(MAX(AL4,BH4,CD4)&gt;0,MAX(AL4,BH4,CD4),0)</f>
        <v>49.6</v>
      </c>
      <c r="N4" s="9" t="str">
        <f t="shared" ref="N4:N9" si="7">IF(M4=0,"",IF(M4=CD4,$BJ$1,IF(M4=BH4,$AN$1,IF(M4=AL4,$R$1,""))))</f>
        <v>2025 Nationals</v>
      </c>
      <c r="O4" s="9">
        <f t="shared" ref="O4:O9" si="8">IF(MAX(CF4:CG4)&gt;0,MAX(CF4:CG4),"")</f>
        <v>0.49999999999999289</v>
      </c>
      <c r="P4" s="14" t="str">
        <f t="shared" ref="P4:P9" si="9">IF(O4="","",IF(O4=CF4,"("&amp;CF$2&amp;")",IF(O4=CG4,"("&amp;CG$2&amp;")")))</f>
        <v>(Q1)</v>
      </c>
      <c r="Q4" s="9" t="str">
        <f t="shared" ref="Q4:Q9" si="10"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>2025 WAGC (Nov 16)</v>
      </c>
      <c r="R4" s="20">
        <v>19.100000000000001</v>
      </c>
      <c r="S4" s="20">
        <v>5.2</v>
      </c>
      <c r="T4" s="20">
        <v>0</v>
      </c>
      <c r="U4" s="20">
        <v>0</v>
      </c>
      <c r="V4" s="20">
        <v>18.600000000000001</v>
      </c>
      <c r="W4" s="20">
        <v>5.6</v>
      </c>
      <c r="X4" s="20">
        <v>0</v>
      </c>
      <c r="Y4" s="20">
        <v>0</v>
      </c>
      <c r="Z4" s="20">
        <v>19</v>
      </c>
      <c r="AA4" s="20">
        <v>6</v>
      </c>
      <c r="AB4" s="20">
        <v>0</v>
      </c>
      <c r="AC4" s="20">
        <v>0</v>
      </c>
      <c r="AD4" s="20">
        <v>18.600000000000001</v>
      </c>
      <c r="AE4" s="20">
        <v>5.6</v>
      </c>
      <c r="AF4" s="20">
        <v>0.2</v>
      </c>
      <c r="AG4" s="20">
        <v>0</v>
      </c>
      <c r="AH4" s="32"/>
      <c r="AI4" s="55">
        <f t="shared" ref="AI4:AI9" si="11">IF(SUM(S4,W4)&gt;0,SUM(S4,W4),"")</f>
        <v>10.8</v>
      </c>
      <c r="AJ4" s="55">
        <f t="shared" ref="AJ4:AJ9" si="12">IF(SUM(R4:S4,U4:W4,Y4)-T4-X4&gt;0,SUM(R4:S4,U4:W4,Y4)-T4-X4,"")</f>
        <v>48.500000000000007</v>
      </c>
      <c r="AK4" s="55">
        <f t="shared" ref="AK4:AK9" si="13">IF(SUM(AA4,AE4)&gt;0,SUM(AA4,AE4),"")</f>
        <v>11.6</v>
      </c>
      <c r="AL4" s="55">
        <f t="shared" ref="AL4:AL9" si="14">IF(SUM(Z4:AA4,AC4:AE4,AG4)-SUM(AB4,AF4)&gt;0,SUM(Z4:AA4,AC4:AE4,AG4)-SUM(AB4,AF4),"")</f>
        <v>49</v>
      </c>
      <c r="AM4" s="55">
        <f t="shared" ref="AM4:AM9" si="15">IF(SUM(AJ4,AL4)&gt;0,SUM(AJ4,AL4),"")</f>
        <v>97.5</v>
      </c>
      <c r="AN4" s="19">
        <v>19</v>
      </c>
      <c r="AO4" s="19">
        <v>6</v>
      </c>
      <c r="AP4" s="19">
        <v>0.6</v>
      </c>
      <c r="AQ4" s="19">
        <v>0</v>
      </c>
      <c r="AR4" s="19">
        <v>19.100000000000001</v>
      </c>
      <c r="AS4" s="19">
        <v>5.6</v>
      </c>
      <c r="AT4" s="19">
        <v>0</v>
      </c>
      <c r="AU4" s="19">
        <v>0</v>
      </c>
      <c r="AV4" s="19">
        <v>19.2</v>
      </c>
      <c r="AW4" s="19">
        <v>6</v>
      </c>
      <c r="AX4" s="19">
        <v>0</v>
      </c>
      <c r="AY4" s="19">
        <v>0</v>
      </c>
      <c r="AZ4" s="19">
        <v>18.8</v>
      </c>
      <c r="BA4" s="19">
        <v>5.6</v>
      </c>
      <c r="BB4" s="19">
        <v>0</v>
      </c>
      <c r="BC4" s="19">
        <v>0</v>
      </c>
      <c r="BD4" s="33"/>
      <c r="BE4" s="14">
        <f t="shared" ref="BE4:BE9" si="16">IF(SUM(AO4,AS4)&gt;0,SUM(AO4,AS4),"")</f>
        <v>11.6</v>
      </c>
      <c r="BF4" s="14">
        <f t="shared" ref="BF4:BF9" si="17">IF(SUM(AN4:AO4,AQ4:AS4,AU4)-AP4-AT4&gt;0,SUM(AN4:AO4,AQ4:AS4,AU4)-AP4-AT4,"")</f>
        <v>49.1</v>
      </c>
      <c r="BG4" s="14">
        <f t="shared" ref="BG4:BG9" si="18">IF(SUM(AW4,BA4)&gt;0,SUM(AW4,BA4),"")</f>
        <v>11.6</v>
      </c>
      <c r="BH4" s="14">
        <f t="shared" ref="BH4:BH9" si="19">IF(SUM(AV4:AW4,AY4:BA4,BC4)-SUM(AX4,BB4)&gt;0,SUM(AV4:AW4,AY4:BA4,BC4)-SUM(AX4,BB4),"")</f>
        <v>49.6</v>
      </c>
      <c r="BI4" s="14">
        <f t="shared" ref="BI4:BI9" si="20">IF(SUM(BF4,BH4)&gt;0,SUM(BF4,BH4),"")</f>
        <v>98.7</v>
      </c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32"/>
      <c r="CA4" s="55" t="str">
        <f t="shared" ref="CA4:CA9" si="21">IF(SUM(BK4,BO4)&gt;0,SUM(BK4,BO4),"")</f>
        <v/>
      </c>
      <c r="CB4" s="55" t="str">
        <f t="shared" ref="CB4:CB9" si="22">IF(SUM(BJ4:BK4,BM4:BO4,BQ4)-BL4-BP4&gt;0,SUM(BJ4:BK4,BM4:BO4,BQ4)-BL4-BP4,"")</f>
        <v/>
      </c>
      <c r="CC4" s="55" t="str">
        <f t="shared" ref="CC4:CC9" si="23">IF(SUM(BS4,BW4)&gt;0,SUM(BS4,BW4),"")</f>
        <v/>
      </c>
      <c r="CD4" s="55" t="str">
        <f t="shared" ref="CD4:CD9" si="24">IF(SUM(BR4:BS4,BU4:BW4,BY4)-SUM(BT4,BX4)&gt;0,SUM(BR4:BS4,BU4:BW4,BY4)-SUM(BT4,BX4),"")</f>
        <v/>
      </c>
      <c r="CE4" s="55" t="str">
        <f t="shared" ref="CE4:CE9" si="25">IF(SUM(CB4,CD4)&gt;0,SUM(CB4,CD4),"")</f>
        <v/>
      </c>
      <c r="CF4" s="56">
        <f t="shared" ref="CF4:CF9" si="26">IF(MAX(DC4,EC4,FC4,GC4,HC4,IC4,JC4,KC4,LC4,MC4,NC4,OC4)-IF(K4="",0,K4)&gt;0.001,MAX(DC4,EC4,FC4,GC4,HC4,IC4,JC4,KC4,LC4,MC4,NC4,OC4)-IF(K4="",0,K4),"")</f>
        <v>0.49999999999999289</v>
      </c>
      <c r="CG4" s="56" t="str">
        <f t="shared" ref="CG4:CG9" si="27">IF(MAX(DF4,EF4,FF4,GF4,HF4,IF4,JF4,KF4,LF4,MF4,NF4,OF4)-IF(M4="",0,M4)&gt;0.001,MAX(DF4,EF4,FF4,GF4,HF4,IF4,JF4,KF4,LF4,MF4,NF4,OF4)-IF(M4="",0,M4),"")</f>
        <v/>
      </c>
      <c r="CH4" s="18">
        <v>18.8</v>
      </c>
      <c r="CI4" s="18">
        <v>6</v>
      </c>
      <c r="CJ4" s="18">
        <v>0.6</v>
      </c>
      <c r="CK4" s="18">
        <v>0</v>
      </c>
      <c r="CL4" s="18">
        <v>19.2</v>
      </c>
      <c r="CM4" s="18">
        <v>5.6</v>
      </c>
      <c r="CN4" s="18">
        <v>0</v>
      </c>
      <c r="CO4" s="18">
        <v>0</v>
      </c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>
        <f t="shared" ref="DB4:DB9" si="28">IF(SUM(CI4,CM4)&gt;0,SUM(CI4,CM4),"")</f>
        <v>11.6</v>
      </c>
      <c r="DC4" s="55">
        <f t="shared" ref="DC4:DC9" si="29">IF(SUM(CH4:CI4,CK4:CM4,CO4)-CJ4-CN4&gt;0,SUM(CH4:CI4,CK4:CM4,CO4)-CJ4-CN4,"")</f>
        <v>49</v>
      </c>
      <c r="DD4" s="55" t="str">
        <f t="shared" ref="DD4:DD9" si="30">IF(SUM(CP4:CQ4,CS4)-CR4&gt;0,SUM(CP4:CQ4,CS4)-CR4,"")</f>
        <v/>
      </c>
      <c r="DE4" s="55" t="str">
        <f t="shared" ref="DE4:DE9" si="31">IF(SUM(CU4,CY4)&gt;0,SUM(CU4,CY4),"")</f>
        <v/>
      </c>
      <c r="DF4" s="55" t="str">
        <f t="shared" ref="DF4:DF9" si="32">IF(SUM(CT4:CU4,CW4:CY4,DA4)-SUM(CV4,CZ4)&gt;0,SUM(CT4:CU4,CW4:CY4,DA4)-SUM(CV4,CZ4),"")</f>
        <v/>
      </c>
      <c r="DG4" s="55">
        <f t="shared" ref="DG4:DG9" si="33">IF(SUM(DC4,DD4,DF4)&gt;0,SUM(DC4,DD4,DF4),"")</f>
        <v>49</v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 t="shared" ref="EB4:EB9" si="34">IF(SUM(DI4,DM4)&gt;0,SUM(DI4,DM4),"")</f>
        <v/>
      </c>
      <c r="EC4" s="14" t="str">
        <f t="shared" ref="EC4:EC9" si="35">IF(SUM(DH4:DI4,DK4:DM4,DO4)-DJ4-DN4&gt;0,SUM(DH4:DI4,DK4:DM4,DO4)-DJ4-DN4,"")</f>
        <v/>
      </c>
      <c r="ED4" s="14" t="str">
        <f t="shared" ref="ED4:ED9" si="36">IF(SUM(DP4:DQ4,DS4)-DR4&gt;0,SUM(DP4:DQ4,DS4)-DR4,"")</f>
        <v/>
      </c>
      <c r="EE4" s="14" t="str">
        <f t="shared" ref="EE4:EE9" si="37">IF(SUM(DU4,DY4)&gt;0,SUM(DU4,DY4),"")</f>
        <v/>
      </c>
      <c r="EF4" s="14" t="str">
        <f t="shared" ref="EF4:EF9" si="38">IF(SUM(DT4:DU4,DW4:DY4,EA4)-SUM(DV4,DZ4)&gt;0,SUM(DT4:DU4,DW4:DY4,EA4)-SUM(DV4,DZ4),"")</f>
        <v/>
      </c>
      <c r="EG4" s="14" t="str">
        <f t="shared" ref="EG4:EG9" si="39"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 t="shared" ref="FB4:FB9" si="40">IF(SUM(EI4,EM4)&gt;0,SUM(EI4,EM4),"")</f>
        <v/>
      </c>
      <c r="FC4" s="55" t="str">
        <f t="shared" ref="FC4:FC9" si="41">IF(SUM(EH4:EI4,EK4:EM4,EO4)-EJ4-EN4&gt;0,SUM(EH4:EI4,EK4:EM4,EO4)-EJ4-EN4,"")</f>
        <v/>
      </c>
      <c r="FD4" s="55" t="str">
        <f t="shared" ref="FD4:FD9" si="42">IF(SUM(EP4:EQ4,ES4)-ER4&gt;0,SUM(EP4:EQ4,ES4)-ER4,"")</f>
        <v/>
      </c>
      <c r="FE4" s="55" t="str">
        <f t="shared" ref="FE4:FE9" si="43">IF(SUM(EU4,EY4)&gt;0,SUM(EU4,EY4),"")</f>
        <v/>
      </c>
      <c r="FF4" s="55" t="str">
        <f t="shared" ref="FF4:FF9" si="44">IF(SUM(ET4:EU4,EW4:EY4,FA4)-SUM(EV4,EZ4)&gt;0,SUM(ET4:EU4,EW4:EY4,FA4)-SUM(EV4,EZ4),"")</f>
        <v/>
      </c>
      <c r="FG4" s="55" t="str">
        <f t="shared" ref="FG4:FG9" si="45"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 t="shared" ref="GB4:GB9" si="46">IF(SUM(FI4,FM4)&gt;0,SUM(FI4,FM4),"")</f>
        <v/>
      </c>
      <c r="GC4" s="14" t="str">
        <f t="shared" ref="GC4:GC9" si="47">IF(SUM(FH4:FI4,FK4:FM4,FO4)-FJ4-FN4&gt;0,SUM(FH4:FI4,FK4:FM4,FO4)-FJ4-FN4,"")</f>
        <v/>
      </c>
      <c r="GD4" s="14" t="str">
        <f t="shared" ref="GD4:GD9" si="48">IF(SUM(FP4:FQ4,FS4)-FR4&gt;0,SUM(FP4:FQ4,FS4)-FR4,"")</f>
        <v/>
      </c>
      <c r="GE4" s="14" t="str">
        <f t="shared" ref="GE4:GE9" si="49">IF(SUM(FU4,FY4)&gt;0,SUM(FU4,FY4),"")</f>
        <v/>
      </c>
      <c r="GF4" s="14" t="str">
        <f t="shared" ref="GF4:GF9" si="50">IF(SUM(FT4:FU4,FW4:FY4,GA4)-SUM(FV4,FZ4)&gt;0,SUM(FT4:FU4,FW4:FY4,GA4)-SUM(FV4,FZ4),"")</f>
        <v/>
      </c>
      <c r="GG4" s="14" t="str">
        <f t="shared" ref="GG4:GG9" si="51"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 t="shared" ref="HB4:HB9" si="52">IF(SUM(GI4,GM4)&gt;0,SUM(GI4,GM4),"")</f>
        <v/>
      </c>
      <c r="HC4" s="55" t="str">
        <f t="shared" ref="HC4:HC9" si="53">IF(SUM(GH4:GI4,GK4:GM4,GO4)-GJ4-GN4&gt;0,SUM(GH4:GI4,GK4:GM4,GO4)-GJ4-GN4,"")</f>
        <v/>
      </c>
      <c r="HD4" s="55" t="str">
        <f t="shared" ref="HD4:HD9" si="54">IF(SUM(GP4:GQ4,GS4)-GR4&gt;0,SUM(GP4:GQ4,GS4)-GR4,"")</f>
        <v/>
      </c>
      <c r="HE4" s="55" t="str">
        <f t="shared" ref="HE4:HE9" si="55">IF(SUM(GU4,GY4)&gt;0,SUM(GU4,GY4),"")</f>
        <v/>
      </c>
      <c r="HF4" s="55" t="str">
        <f t="shared" ref="HF4:HF9" si="56">IF(SUM(GT4:GU4,GW4:GY4,HA4)-SUM(GV4,GZ4)&gt;0,SUM(GT4:GU4,GW4:GY4,HA4)-SUM(GV4,GZ4),"")</f>
        <v/>
      </c>
      <c r="HG4" s="55" t="str">
        <f t="shared" ref="HG4:HG9" si="57"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 t="shared" ref="IB4:IB9" si="58">IF(SUM(HI4,HM4)&gt;0,SUM(HI4,HM4),"")</f>
        <v/>
      </c>
      <c r="IC4" s="14" t="str">
        <f t="shared" ref="IC4:IC9" si="59">IF(SUM(HH4:HI4,HK4:HM4,HO4)-HJ4-HN4&gt;0,SUM(HH4:HI4,HK4:HM4,HO4)-HJ4-HN4,"")</f>
        <v/>
      </c>
      <c r="ID4" s="14" t="str">
        <f t="shared" ref="ID4:ID9" si="60">IF(SUM(HP4:HQ4,HS4)-HR4&gt;0,SUM(HP4:HQ4,HS4)-HR4,"")</f>
        <v/>
      </c>
      <c r="IE4" s="14" t="str">
        <f t="shared" ref="IE4:IE9" si="61">IF(SUM(HU4,HY4)&gt;0,SUM(HU4,HY4),"")</f>
        <v/>
      </c>
      <c r="IF4" s="14" t="str">
        <f t="shared" ref="IF4:IF9" si="62">IF(SUM(HT4:HU4,HW4:HY4,IA4)-SUM(HV4,HZ4)&gt;0,SUM(HT4:HU4,HW4:HY4,IA4)-SUM(HV4,HZ4),"")</f>
        <v/>
      </c>
      <c r="IG4" s="14" t="str">
        <f t="shared" ref="IG4:IG9" si="63"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 t="shared" ref="JB4:JB9" si="64">IF(SUM(II4,IM4)&gt;0,SUM(II4,IM4),"")</f>
        <v/>
      </c>
      <c r="JC4" s="55" t="str">
        <f t="shared" ref="JC4:JC9" si="65">IF(SUM(IH4:II4,IK4:IM4,IO4)-IJ4-IN4&gt;0,SUM(IH4:II4,IK4:IM4,IO4)-IJ4-IN4,"")</f>
        <v/>
      </c>
      <c r="JD4" s="55" t="str">
        <f t="shared" ref="JD4:JD9" si="66">IF(SUM(IP4:IQ4,IS4)-IR4&gt;0,SUM(IP4:IQ4,IS4)-IR4,"")</f>
        <v/>
      </c>
      <c r="JE4" s="55" t="str">
        <f t="shared" ref="JE4:JE9" si="67">IF(SUM(IU4,IY4)&gt;0,SUM(IU4,IY4),"")</f>
        <v/>
      </c>
      <c r="JF4" s="55" t="str">
        <f t="shared" ref="JF4:JF9" si="68">IF(SUM(IT4:IU4,IW4:IY4,JA4)-SUM(IV4,IZ4)&gt;0,SUM(IT4:IU4,IW4:IY4,JA4)-SUM(IV4,IZ4),"")</f>
        <v/>
      </c>
      <c r="JG4" s="55" t="str">
        <f t="shared" ref="JG4:JG9" si="69"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 t="shared" ref="KB4:KB9" si="70">IF(SUM(JI4,JM4)&gt;0,SUM(JI4,JM4),"")</f>
        <v/>
      </c>
      <c r="KC4" s="14" t="str">
        <f t="shared" ref="KC4:KC9" si="71">IF(SUM(JH4:JI4,JK4:JM4,JO4)-JJ4-JN4&gt;0,SUM(JH4:JI4,JK4:JM4,JO4)-JJ4-JN4,"")</f>
        <v/>
      </c>
      <c r="KD4" s="14" t="str">
        <f t="shared" ref="KD4:KD9" si="72">IF(SUM(JP4:JQ4,JS4)-JR4&gt;0,SUM(JP4:JQ4,JS4)-JR4,"")</f>
        <v/>
      </c>
      <c r="KE4" s="14" t="str">
        <f t="shared" ref="KE4:KE9" si="73">IF(SUM(JU4,JY4)&gt;0,SUM(JU4,JY4),"")</f>
        <v/>
      </c>
      <c r="KF4" s="14" t="str">
        <f t="shared" ref="KF4:KF9" si="74">IF(SUM(JT4:JU4,JW4:JY4,KA4)-SUM(JV4,JZ4)&gt;0,SUM(JT4:JU4,JW4:JY4,KA4)-SUM(JV4,JZ4),"")</f>
        <v/>
      </c>
      <c r="KG4" s="14" t="str">
        <f t="shared" ref="KG4:KG9" si="75"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 t="shared" ref="LB4:LB9" si="76">IF(SUM(KI4,KM4)&gt;0,SUM(KI4,KM4),"")</f>
        <v/>
      </c>
      <c r="LC4" s="55" t="str">
        <f t="shared" ref="LC4:LC9" si="77">IF(SUM(KH4:KI4,KK4:KM4,KO4)-KJ4-KN4&gt;0,SUM(KH4:KI4,KK4:KM4,KO4)-KJ4-KN4,"")</f>
        <v/>
      </c>
      <c r="LD4" s="55" t="str">
        <f t="shared" ref="LD4:LD9" si="78">IF(SUM(KP4:KQ4,KS4)-KR4&gt;0,SUM(KP4:KQ4,KS4)-KR4,"")</f>
        <v/>
      </c>
      <c r="LE4" s="55" t="str">
        <f t="shared" ref="LE4:LE9" si="79">IF(SUM(KU4,KY4)&gt;0,SUM(KU4,KY4),"")</f>
        <v/>
      </c>
      <c r="LF4" s="55" t="str">
        <f t="shared" ref="LF4:LF9" si="80">IF(SUM(KT4:KU4,KW4:KY4,LA4)-SUM(KV4,KZ4)&gt;0,SUM(KT4:KU4,KW4:KY4,LA4)-SUM(KV4,KZ4),"")</f>
        <v/>
      </c>
      <c r="LG4" s="55" t="str">
        <f t="shared" ref="LG4:LG9" si="81"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 t="shared" ref="MB4:MB9" si="82">IF(SUM(LI4,LM4)&gt;0,SUM(LI4,LM4),"")</f>
        <v/>
      </c>
      <c r="MC4" s="14" t="str">
        <f t="shared" ref="MC4:MC9" si="83">IF(SUM(LH4:LI4,LK4:LM4,LO4)-LJ4-LN4&gt;0,SUM(LH4:LI4,LK4:LM4,LO4)-LJ4-LN4,"")</f>
        <v/>
      </c>
      <c r="MD4" s="14" t="str">
        <f t="shared" ref="MD4:MD9" si="84">IF(SUM(LP4:LQ4,LS4)-LR4&gt;0,SUM(LP4:LQ4,LS4)-LR4,"")</f>
        <v/>
      </c>
      <c r="ME4" s="14" t="str">
        <f t="shared" ref="ME4:ME9" si="85">IF(SUM(LU4,LY4)&gt;0,SUM(LU4,LY4),"")</f>
        <v/>
      </c>
      <c r="MF4" s="14" t="str">
        <f t="shared" ref="MF4:MF9" si="86">IF(SUM(LT4:LU4,LW4:LY4,MA4)-SUM(LV4,LZ4)&gt;0,SUM(LT4:LU4,LW4:LY4,MA4)-SUM(LV4,LZ4),"")</f>
        <v/>
      </c>
      <c r="MG4" s="14" t="str">
        <f t="shared" ref="MG4:MG9" si="87"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 t="shared" ref="NB4:NB9" si="88">IF(SUM(MI4,MM4)&gt;0,SUM(MI4,MM4),"")</f>
        <v/>
      </c>
      <c r="NC4" s="55" t="str">
        <f t="shared" ref="NC4:NC9" si="89">IF(SUM(MH4:MI4,MK4:MM4,MO4)-MJ4-MN4&gt;0,SUM(MH4:MI4,MK4:MM4,MO4)-MJ4-MN4,"")</f>
        <v/>
      </c>
      <c r="ND4" s="55" t="str">
        <f t="shared" ref="ND4:ND9" si="90">IF(SUM(MP4:MQ4,MS4)-MR4&gt;0,SUM(MP4:MQ4,MS4)-MR4,"")</f>
        <v/>
      </c>
      <c r="NE4" s="55" t="str">
        <f t="shared" ref="NE4:NE9" si="91">IF(SUM(MU4,MY4)&gt;0,SUM(MU4,MY4),"")</f>
        <v/>
      </c>
      <c r="NF4" s="55" t="str">
        <f t="shared" ref="NF4:NF9" si="92">IF(SUM(MT4:MU4,MW4:MY4,NA4)-SUM(MV4,MZ4)&gt;0,SUM(MT4:MU4,MW4:MY4,NA4)-SUM(MV4,MZ4),"")</f>
        <v/>
      </c>
      <c r="NG4" s="55" t="str">
        <f t="shared" ref="NG4:NG9" si="93"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 t="shared" ref="OB4:OB9" si="94">IF(SUM(NI4,NM4)&gt;0,SUM(NI4,NM4),"")</f>
        <v/>
      </c>
      <c r="OC4" s="14" t="str">
        <f t="shared" ref="OC4:OC9" si="95">IF(SUM(NH4:NI4,NK4:NM4,NO4)-NJ4-NN4&gt;0,SUM(NH4:NI4,NK4:NM4,NO4)-NJ4-NN4,"")</f>
        <v/>
      </c>
      <c r="OD4" s="14" t="str">
        <f t="shared" ref="OD4:OD9" si="96">IF(SUM(NP4:NQ4,NS4)-NR4&gt;0,SUM(NP4:NQ4,NS4)-NR4,"")</f>
        <v/>
      </c>
      <c r="OE4" s="14" t="str">
        <f t="shared" ref="OE4:OE9" si="97">IF(SUM(NU4,NY4)&gt;0,SUM(NU4,NY4),"")</f>
        <v/>
      </c>
      <c r="OF4" s="14" t="str">
        <f t="shared" ref="OF4:OF9" si="98">IF(SUM(NT4:NU4,NW4:NY4,OA4)-SUM(NV4,NZ4)&gt;0,SUM(NT4:NU4,NW4:NY4,OA4)-SUM(NV4,NZ4),"")</f>
        <v/>
      </c>
      <c r="OG4" s="14" t="str">
        <f t="shared" ref="OG4:OG9" si="99">IF(SUM(OC4,OD4,OF4)&gt;0,SUM(OC4,OD4,OF4),"")</f>
        <v/>
      </c>
      <c r="OH4" s="27">
        <f t="shared" ref="OH4:OW9" si="100">IF($BZ4="P",BJ4,(BJ4+AN4)/2)</f>
        <v>9.5</v>
      </c>
      <c r="OI4" s="27">
        <f t="shared" si="100"/>
        <v>3</v>
      </c>
      <c r="OJ4" s="27">
        <f t="shared" si="100"/>
        <v>0.3</v>
      </c>
      <c r="OK4" s="27">
        <f t="shared" si="100"/>
        <v>0</v>
      </c>
      <c r="OL4" s="27">
        <f t="shared" si="100"/>
        <v>9.5500000000000007</v>
      </c>
      <c r="OM4" s="27">
        <f t="shared" si="100"/>
        <v>2.8</v>
      </c>
      <c r="ON4" s="27">
        <f t="shared" si="100"/>
        <v>0</v>
      </c>
      <c r="OO4" s="27">
        <f t="shared" si="100"/>
        <v>0</v>
      </c>
      <c r="OP4" s="27">
        <f t="shared" si="100"/>
        <v>9.6</v>
      </c>
      <c r="OQ4" s="27">
        <f t="shared" si="100"/>
        <v>3</v>
      </c>
      <c r="OR4" s="27">
        <f t="shared" si="100"/>
        <v>0</v>
      </c>
      <c r="OS4" s="27">
        <f t="shared" si="100"/>
        <v>0</v>
      </c>
      <c r="OT4" s="27">
        <f t="shared" si="100"/>
        <v>9.4</v>
      </c>
      <c r="OU4" s="27">
        <f t="shared" si="100"/>
        <v>2.8</v>
      </c>
      <c r="OV4" s="27">
        <f t="shared" si="100"/>
        <v>0</v>
      </c>
      <c r="OW4" s="27">
        <f t="shared" si="100"/>
        <v>0</v>
      </c>
      <c r="OX4" s="32" t="s">
        <v>44</v>
      </c>
      <c r="OY4" s="55">
        <f t="shared" ref="OY4:OY9" si="101">IF(SUM(OI4,OM4)&gt;0,SUM(OI4,OM4),"")</f>
        <v>5.8</v>
      </c>
      <c r="OZ4" s="55">
        <f t="shared" ref="OZ4:OZ9" si="102">IF(SUM(OH4:OI4,OK4:OM4,OO4)-OJ4-ON4&gt;0,SUM(OH4:OI4,OK4:OM4,OO4)-OJ4-ON4,"")</f>
        <v>24.55</v>
      </c>
      <c r="PA4" s="55">
        <f t="shared" ref="PA4:PA9" si="103">IF(SUM(OQ4,OU4)&gt;0,SUM(OQ4,OU4),"")</f>
        <v>5.8</v>
      </c>
      <c r="PB4" s="55">
        <f t="shared" ref="PB4:PB9" si="104">IF(SUM(OP4:OQ4,OS4:OU4,OW4)-SUM(OR4,OV4)&gt;0,SUM(OP4:OQ4,OS4:OU4,OW4)-SUM(OR4,OV4),"")</f>
        <v>24.8</v>
      </c>
      <c r="PC4" s="55">
        <f t="shared" ref="PC4:PC9" si="105">IF(SUM(OZ4,PB4)&gt;0,SUM(OZ4,PB4),"")</f>
        <v>49.35</v>
      </c>
    </row>
    <row r="5" spans="1:419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87</v>
      </c>
      <c r="C5" s="4" t="s">
        <v>89</v>
      </c>
      <c r="D5" s="4">
        <v>2010</v>
      </c>
      <c r="E5" s="10">
        <f t="shared" si="0"/>
        <v>144.30001443000486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>IF(COUNT(AJ5,BF5,CB5)&gt;0,LARGE((AJ5,BF5,CB5),1),0)</f>
        <v>48.499999999999993</v>
      </c>
      <c r="J5" s="9" t="str">
        <f t="shared" si="4"/>
        <v>2025 Nationals</v>
      </c>
      <c r="K5" s="9">
        <f>IF(COUNT(AJ5,BF5,CB5)&gt;1,LARGE((AJ5,BF5,CB5),2),0)</f>
        <v>46.000000000000007</v>
      </c>
      <c r="L5" s="9" t="str">
        <f t="shared" si="5"/>
        <v>2025 3rd Domestic Trial</v>
      </c>
      <c r="M5" s="9">
        <f t="shared" si="6"/>
        <v>49.800000000000004</v>
      </c>
      <c r="N5" s="9" t="str">
        <f t="shared" si="7"/>
        <v>2025 3rd Domestic Trial</v>
      </c>
      <c r="O5" s="9" t="str">
        <f t="shared" si="8"/>
        <v/>
      </c>
      <c r="P5" s="14" t="str">
        <f t="shared" si="9"/>
        <v/>
      </c>
      <c r="Q5" s="9" t="str">
        <f t="shared" si="10"/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32"/>
      <c r="AI5" s="55" t="str">
        <f t="shared" si="11"/>
        <v/>
      </c>
      <c r="AJ5" s="55" t="str">
        <f t="shared" si="12"/>
        <v/>
      </c>
      <c r="AK5" s="55" t="str">
        <f t="shared" si="13"/>
        <v/>
      </c>
      <c r="AL5" s="55" t="str">
        <f t="shared" si="14"/>
        <v/>
      </c>
      <c r="AM5" s="55" t="str">
        <f t="shared" si="15"/>
        <v/>
      </c>
      <c r="AN5" s="19">
        <v>18.600000000000001</v>
      </c>
      <c r="AO5" s="19">
        <v>6</v>
      </c>
      <c r="AP5" s="19">
        <v>0.2</v>
      </c>
      <c r="AQ5" s="19">
        <v>0</v>
      </c>
      <c r="AR5" s="19">
        <v>18.7</v>
      </c>
      <c r="AS5" s="19">
        <v>6</v>
      </c>
      <c r="AT5" s="19">
        <v>0.6</v>
      </c>
      <c r="AU5" s="19">
        <v>0</v>
      </c>
      <c r="AV5" s="19">
        <v>18.8</v>
      </c>
      <c r="AW5" s="19">
        <v>6</v>
      </c>
      <c r="AX5" s="19">
        <v>0.6</v>
      </c>
      <c r="AY5" s="19">
        <v>0</v>
      </c>
      <c r="AZ5" s="19">
        <v>18.600000000000001</v>
      </c>
      <c r="BA5" s="19">
        <v>6</v>
      </c>
      <c r="BB5" s="19">
        <v>0.6</v>
      </c>
      <c r="BC5" s="19">
        <v>0</v>
      </c>
      <c r="BD5" s="33"/>
      <c r="BE5" s="14">
        <f t="shared" si="16"/>
        <v>12</v>
      </c>
      <c r="BF5" s="14">
        <f t="shared" si="17"/>
        <v>48.499999999999993</v>
      </c>
      <c r="BG5" s="14">
        <f t="shared" si="18"/>
        <v>12</v>
      </c>
      <c r="BH5" s="14">
        <f t="shared" si="19"/>
        <v>48.2</v>
      </c>
      <c r="BI5" s="14">
        <f t="shared" si="20"/>
        <v>96.699999999999989</v>
      </c>
      <c r="BJ5" s="20">
        <v>18.8</v>
      </c>
      <c r="BK5" s="20">
        <v>6.8</v>
      </c>
      <c r="BL5" s="20">
        <v>0.8</v>
      </c>
      <c r="BM5" s="20">
        <v>0</v>
      </c>
      <c r="BN5" s="20">
        <v>18.399999999999999</v>
      </c>
      <c r="BO5" s="20">
        <v>3.6</v>
      </c>
      <c r="BP5" s="20">
        <v>0.8</v>
      </c>
      <c r="BQ5" s="20">
        <v>0</v>
      </c>
      <c r="BR5" s="20">
        <v>18.600000000000001</v>
      </c>
      <c r="BS5" s="20">
        <v>6.8</v>
      </c>
      <c r="BT5" s="20">
        <v>0.8</v>
      </c>
      <c r="BU5" s="20">
        <v>0</v>
      </c>
      <c r="BV5" s="20">
        <v>18.8</v>
      </c>
      <c r="BW5" s="20">
        <v>6.4</v>
      </c>
      <c r="BX5" s="20">
        <v>0</v>
      </c>
      <c r="BY5" s="20">
        <v>0</v>
      </c>
      <c r="BZ5" s="32"/>
      <c r="CA5" s="55">
        <f t="shared" si="21"/>
        <v>10.4</v>
      </c>
      <c r="CB5" s="55">
        <f t="shared" si="22"/>
        <v>46.000000000000007</v>
      </c>
      <c r="CC5" s="55">
        <f t="shared" si="23"/>
        <v>13.2</v>
      </c>
      <c r="CD5" s="55">
        <f t="shared" si="24"/>
        <v>49.800000000000004</v>
      </c>
      <c r="CE5" s="55">
        <f t="shared" si="25"/>
        <v>95.800000000000011</v>
      </c>
      <c r="CF5" s="56" t="str">
        <f t="shared" si="26"/>
        <v/>
      </c>
      <c r="CG5" s="56" t="str">
        <f t="shared" si="27"/>
        <v/>
      </c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 t="str">
        <f t="shared" si="28"/>
        <v/>
      </c>
      <c r="DC5" s="55" t="str">
        <f t="shared" si="29"/>
        <v/>
      </c>
      <c r="DD5" s="55" t="str">
        <f t="shared" si="30"/>
        <v/>
      </c>
      <c r="DE5" s="55" t="str">
        <f t="shared" si="31"/>
        <v/>
      </c>
      <c r="DF5" s="55" t="str">
        <f t="shared" si="32"/>
        <v/>
      </c>
      <c r="DG5" s="55" t="str">
        <f t="shared" si="33"/>
        <v/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 t="shared" si="34"/>
        <v/>
      </c>
      <c r="EC5" s="14" t="str">
        <f t="shared" si="35"/>
        <v/>
      </c>
      <c r="ED5" s="14" t="str">
        <f t="shared" si="36"/>
        <v/>
      </c>
      <c r="EE5" s="14" t="str">
        <f t="shared" si="37"/>
        <v/>
      </c>
      <c r="EF5" s="14" t="str">
        <f t="shared" si="38"/>
        <v/>
      </c>
      <c r="EG5" s="14" t="str">
        <f t="shared" si="39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 t="shared" si="40"/>
        <v/>
      </c>
      <c r="FC5" s="55" t="str">
        <f t="shared" si="41"/>
        <v/>
      </c>
      <c r="FD5" s="55" t="str">
        <f t="shared" si="42"/>
        <v/>
      </c>
      <c r="FE5" s="55" t="str">
        <f t="shared" si="43"/>
        <v/>
      </c>
      <c r="FF5" s="55" t="str">
        <f t="shared" si="44"/>
        <v/>
      </c>
      <c r="FG5" s="55" t="str">
        <f t="shared" si="45"/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 t="shared" si="46"/>
        <v/>
      </c>
      <c r="GC5" s="14" t="str">
        <f t="shared" si="47"/>
        <v/>
      </c>
      <c r="GD5" s="14" t="str">
        <f t="shared" si="48"/>
        <v/>
      </c>
      <c r="GE5" s="14" t="str">
        <f t="shared" si="49"/>
        <v/>
      </c>
      <c r="GF5" s="14" t="str">
        <f t="shared" si="50"/>
        <v/>
      </c>
      <c r="GG5" s="14" t="str">
        <f t="shared" si="51"/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 t="shared" si="52"/>
        <v/>
      </c>
      <c r="HC5" s="55" t="str">
        <f t="shared" si="53"/>
        <v/>
      </c>
      <c r="HD5" s="55" t="str">
        <f t="shared" si="54"/>
        <v/>
      </c>
      <c r="HE5" s="55" t="str">
        <f t="shared" si="55"/>
        <v/>
      </c>
      <c r="HF5" s="55" t="str">
        <f t="shared" si="56"/>
        <v/>
      </c>
      <c r="HG5" s="55" t="str">
        <f t="shared" si="57"/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 t="shared" si="58"/>
        <v/>
      </c>
      <c r="IC5" s="14" t="str">
        <f t="shared" si="59"/>
        <v/>
      </c>
      <c r="ID5" s="14" t="str">
        <f t="shared" si="60"/>
        <v/>
      </c>
      <c r="IE5" s="14" t="str">
        <f t="shared" si="61"/>
        <v/>
      </c>
      <c r="IF5" s="14" t="str">
        <f t="shared" si="62"/>
        <v/>
      </c>
      <c r="IG5" s="14" t="str">
        <f t="shared" si="63"/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 t="shared" si="64"/>
        <v/>
      </c>
      <c r="JC5" s="55" t="str">
        <f t="shared" si="65"/>
        <v/>
      </c>
      <c r="JD5" s="55" t="str">
        <f t="shared" si="66"/>
        <v/>
      </c>
      <c r="JE5" s="55" t="str">
        <f t="shared" si="67"/>
        <v/>
      </c>
      <c r="JF5" s="55" t="str">
        <f t="shared" si="68"/>
        <v/>
      </c>
      <c r="JG5" s="55" t="str">
        <f t="shared" si="69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 t="shared" si="70"/>
        <v/>
      </c>
      <c r="KC5" s="14" t="str">
        <f t="shared" si="71"/>
        <v/>
      </c>
      <c r="KD5" s="14" t="str">
        <f t="shared" si="72"/>
        <v/>
      </c>
      <c r="KE5" s="14" t="str">
        <f t="shared" si="73"/>
        <v/>
      </c>
      <c r="KF5" s="14" t="str">
        <f t="shared" si="74"/>
        <v/>
      </c>
      <c r="KG5" s="14" t="str">
        <f t="shared" si="75"/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 t="shared" si="76"/>
        <v/>
      </c>
      <c r="LC5" s="55" t="str">
        <f t="shared" si="77"/>
        <v/>
      </c>
      <c r="LD5" s="55" t="str">
        <f t="shared" si="78"/>
        <v/>
      </c>
      <c r="LE5" s="55" t="str">
        <f t="shared" si="79"/>
        <v/>
      </c>
      <c r="LF5" s="55" t="str">
        <f t="shared" si="80"/>
        <v/>
      </c>
      <c r="LG5" s="55" t="str">
        <f t="shared" si="81"/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 t="shared" si="82"/>
        <v/>
      </c>
      <c r="MC5" s="14" t="str">
        <f t="shared" si="83"/>
        <v/>
      </c>
      <c r="MD5" s="14" t="str">
        <f t="shared" si="84"/>
        <v/>
      </c>
      <c r="ME5" s="14" t="str">
        <f t="shared" si="85"/>
        <v/>
      </c>
      <c r="MF5" s="14" t="str">
        <f t="shared" si="86"/>
        <v/>
      </c>
      <c r="MG5" s="14" t="str">
        <f t="shared" si="8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 t="shared" si="88"/>
        <v/>
      </c>
      <c r="NC5" s="55" t="str">
        <f t="shared" si="89"/>
        <v/>
      </c>
      <c r="ND5" s="55" t="str">
        <f t="shared" si="90"/>
        <v/>
      </c>
      <c r="NE5" s="55" t="str">
        <f t="shared" si="91"/>
        <v/>
      </c>
      <c r="NF5" s="55" t="str">
        <f t="shared" si="92"/>
        <v/>
      </c>
      <c r="NG5" s="55" t="str">
        <f t="shared" si="93"/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 t="shared" si="94"/>
        <v/>
      </c>
      <c r="OC5" s="14" t="str">
        <f t="shared" si="95"/>
        <v/>
      </c>
      <c r="OD5" s="14" t="str">
        <f t="shared" si="96"/>
        <v/>
      </c>
      <c r="OE5" s="14" t="str">
        <f t="shared" si="97"/>
        <v/>
      </c>
      <c r="OF5" s="14" t="str">
        <f t="shared" si="98"/>
        <v/>
      </c>
      <c r="OG5" s="14" t="str">
        <f t="shared" si="99"/>
        <v/>
      </c>
      <c r="OH5" s="27">
        <f t="shared" si="100"/>
        <v>18.700000000000003</v>
      </c>
      <c r="OI5" s="27">
        <f t="shared" si="100"/>
        <v>6.4</v>
      </c>
      <c r="OJ5" s="27">
        <f t="shared" si="100"/>
        <v>0.5</v>
      </c>
      <c r="OK5" s="27">
        <f t="shared" si="100"/>
        <v>0</v>
      </c>
      <c r="OL5" s="27">
        <f t="shared" si="100"/>
        <v>18.549999999999997</v>
      </c>
      <c r="OM5" s="27">
        <f t="shared" si="100"/>
        <v>4.8</v>
      </c>
      <c r="ON5" s="27">
        <f t="shared" si="100"/>
        <v>0.7</v>
      </c>
      <c r="OO5" s="27">
        <f t="shared" si="100"/>
        <v>0</v>
      </c>
      <c r="OP5" s="27">
        <f t="shared" si="100"/>
        <v>18.700000000000003</v>
      </c>
      <c r="OQ5" s="27">
        <f t="shared" si="100"/>
        <v>6.4</v>
      </c>
      <c r="OR5" s="27">
        <f t="shared" si="100"/>
        <v>0.7</v>
      </c>
      <c r="OS5" s="27">
        <f t="shared" si="100"/>
        <v>0</v>
      </c>
      <c r="OT5" s="27">
        <f t="shared" si="100"/>
        <v>18.700000000000003</v>
      </c>
      <c r="OU5" s="27">
        <f t="shared" si="100"/>
        <v>6.2</v>
      </c>
      <c r="OV5" s="27">
        <f t="shared" si="100"/>
        <v>0.3</v>
      </c>
      <c r="OW5" s="27">
        <f t="shared" si="100"/>
        <v>0</v>
      </c>
      <c r="OX5" s="32" t="s">
        <v>44</v>
      </c>
      <c r="OY5" s="55">
        <f t="shared" si="101"/>
        <v>11.2</v>
      </c>
      <c r="OZ5" s="55">
        <f t="shared" si="102"/>
        <v>47.249999999999993</v>
      </c>
      <c r="PA5" s="55">
        <f t="shared" si="103"/>
        <v>12.600000000000001</v>
      </c>
      <c r="PB5" s="55">
        <f t="shared" si="104"/>
        <v>49.000000000000007</v>
      </c>
      <c r="PC5" s="55">
        <f t="shared" si="105"/>
        <v>96.25</v>
      </c>
    </row>
    <row r="6" spans="1:419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92</v>
      </c>
      <c r="C6" s="4" t="s">
        <v>63</v>
      </c>
      <c r="D6" s="4">
        <v>2012</v>
      </c>
      <c r="E6" s="10">
        <f t="shared" si="0"/>
        <v>140.60001385000476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IF(COUNT(AJ6,BF6,CB6)&gt;0,LARGE((AJ6,BF6,CB6),1),0)</f>
        <v>47.5</v>
      </c>
      <c r="J6" s="9" t="str">
        <f t="shared" si="4"/>
        <v>2025 Nationals</v>
      </c>
      <c r="K6" s="9">
        <f>IF(COUNT(AJ6,BF6,CB6)&gt;1,LARGE((AJ6,BF6,CB6),2),0)</f>
        <v>43.399999999999991</v>
      </c>
      <c r="L6" s="9" t="str">
        <f t="shared" si="5"/>
        <v>2025 3rd Domestic Trial</v>
      </c>
      <c r="M6" s="9">
        <f t="shared" si="6"/>
        <v>47.599999999999994</v>
      </c>
      <c r="N6" s="9" t="str">
        <f t="shared" si="7"/>
        <v>2025 Nationals</v>
      </c>
      <c r="O6" s="9">
        <f t="shared" si="8"/>
        <v>2.1000000000000156</v>
      </c>
      <c r="P6" s="14" t="str">
        <f t="shared" si="9"/>
        <v>(Q1)</v>
      </c>
      <c r="Q6" s="9" t="str">
        <f t="shared" si="10"/>
        <v>2025 WAGC (Nov 16)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32"/>
      <c r="AI6" s="55" t="str">
        <f t="shared" si="11"/>
        <v/>
      </c>
      <c r="AJ6" s="55" t="str">
        <f t="shared" si="12"/>
        <v/>
      </c>
      <c r="AK6" s="55" t="str">
        <f t="shared" si="13"/>
        <v/>
      </c>
      <c r="AL6" s="55" t="str">
        <f t="shared" si="14"/>
        <v/>
      </c>
      <c r="AM6" s="55" t="str">
        <f t="shared" si="15"/>
        <v/>
      </c>
      <c r="AN6" s="19">
        <v>18.3</v>
      </c>
      <c r="AO6" s="19">
        <v>5.6</v>
      </c>
      <c r="AP6" s="19">
        <v>0</v>
      </c>
      <c r="AQ6" s="19">
        <v>0</v>
      </c>
      <c r="AR6" s="19">
        <v>18.8</v>
      </c>
      <c r="AS6" s="19">
        <v>4.8</v>
      </c>
      <c r="AT6" s="19">
        <v>0</v>
      </c>
      <c r="AU6" s="19">
        <v>0</v>
      </c>
      <c r="AV6" s="19">
        <v>18.7</v>
      </c>
      <c r="AW6" s="19">
        <v>5.6</v>
      </c>
      <c r="AX6" s="19">
        <v>0</v>
      </c>
      <c r="AY6" s="19">
        <v>0</v>
      </c>
      <c r="AZ6" s="19">
        <v>18.5</v>
      </c>
      <c r="BA6" s="19">
        <v>4.8</v>
      </c>
      <c r="BB6" s="19">
        <v>0</v>
      </c>
      <c r="BC6" s="19">
        <v>0</v>
      </c>
      <c r="BD6" s="33"/>
      <c r="BE6" s="14">
        <f t="shared" si="16"/>
        <v>10.399999999999999</v>
      </c>
      <c r="BF6" s="14">
        <f t="shared" si="17"/>
        <v>47.5</v>
      </c>
      <c r="BG6" s="14">
        <f t="shared" si="18"/>
        <v>10.399999999999999</v>
      </c>
      <c r="BH6" s="14">
        <f t="shared" si="19"/>
        <v>47.599999999999994</v>
      </c>
      <c r="BI6" s="14">
        <f t="shared" si="20"/>
        <v>95.1</v>
      </c>
      <c r="BJ6" s="20">
        <v>18.100000000000001</v>
      </c>
      <c r="BK6" s="20">
        <v>5.2</v>
      </c>
      <c r="BL6" s="20">
        <v>0.2</v>
      </c>
      <c r="BM6" s="20">
        <v>0</v>
      </c>
      <c r="BN6" s="20">
        <v>18.5</v>
      </c>
      <c r="BO6" s="20">
        <v>2.8</v>
      </c>
      <c r="BP6" s="20">
        <v>1</v>
      </c>
      <c r="BQ6" s="20">
        <v>0</v>
      </c>
      <c r="BR6" s="20">
        <v>18.2</v>
      </c>
      <c r="BS6" s="20">
        <v>6</v>
      </c>
      <c r="BT6" s="20">
        <v>0.2</v>
      </c>
      <c r="BU6" s="20">
        <v>0</v>
      </c>
      <c r="BV6" s="20">
        <v>18.399999999999999</v>
      </c>
      <c r="BW6" s="20">
        <v>5.2</v>
      </c>
      <c r="BX6" s="20">
        <v>0.2</v>
      </c>
      <c r="BY6" s="20">
        <v>0</v>
      </c>
      <c r="BZ6" s="32"/>
      <c r="CA6" s="55">
        <f t="shared" si="21"/>
        <v>8</v>
      </c>
      <c r="CB6" s="55">
        <f t="shared" si="22"/>
        <v>43.399999999999991</v>
      </c>
      <c r="CC6" s="55">
        <f t="shared" si="23"/>
        <v>11.2</v>
      </c>
      <c r="CD6" s="55">
        <f t="shared" si="24"/>
        <v>47.4</v>
      </c>
      <c r="CE6" s="55">
        <f t="shared" si="25"/>
        <v>90.799999999999983</v>
      </c>
      <c r="CF6" s="56">
        <f t="shared" si="26"/>
        <v>2.1000000000000156</v>
      </c>
      <c r="CG6" s="56" t="str">
        <f t="shared" si="27"/>
        <v/>
      </c>
      <c r="CH6" s="18">
        <v>18.600000000000001</v>
      </c>
      <c r="CI6" s="18">
        <v>4.3</v>
      </c>
      <c r="CJ6" s="18">
        <v>0</v>
      </c>
      <c r="CK6" s="18">
        <v>0</v>
      </c>
      <c r="CL6" s="18">
        <v>18</v>
      </c>
      <c r="CM6" s="18">
        <v>5.2</v>
      </c>
      <c r="CN6" s="18">
        <v>0.6</v>
      </c>
      <c r="CO6" s="18">
        <v>0</v>
      </c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55">
        <f t="shared" si="28"/>
        <v>9.5</v>
      </c>
      <c r="DC6" s="55">
        <f t="shared" si="29"/>
        <v>45.500000000000007</v>
      </c>
      <c r="DD6" s="55" t="str">
        <f t="shared" si="30"/>
        <v/>
      </c>
      <c r="DE6" s="55" t="str">
        <f t="shared" si="31"/>
        <v/>
      </c>
      <c r="DF6" s="55" t="str">
        <f t="shared" si="32"/>
        <v/>
      </c>
      <c r="DG6" s="55">
        <f t="shared" si="33"/>
        <v>45.500000000000007</v>
      </c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4" t="str">
        <f t="shared" si="34"/>
        <v/>
      </c>
      <c r="EC6" s="14" t="str">
        <f t="shared" si="35"/>
        <v/>
      </c>
      <c r="ED6" s="14" t="str">
        <f t="shared" si="36"/>
        <v/>
      </c>
      <c r="EE6" s="14" t="str">
        <f t="shared" si="37"/>
        <v/>
      </c>
      <c r="EF6" s="14" t="str">
        <f t="shared" si="38"/>
        <v/>
      </c>
      <c r="EG6" s="14" t="str">
        <f t="shared" si="39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55" t="str">
        <f t="shared" si="40"/>
        <v/>
      </c>
      <c r="FC6" s="55" t="str">
        <f t="shared" si="41"/>
        <v/>
      </c>
      <c r="FD6" s="55" t="str">
        <f t="shared" si="42"/>
        <v/>
      </c>
      <c r="FE6" s="55" t="str">
        <f t="shared" si="43"/>
        <v/>
      </c>
      <c r="FF6" s="55" t="str">
        <f t="shared" si="44"/>
        <v/>
      </c>
      <c r="FG6" s="55" t="str">
        <f t="shared" si="45"/>
        <v/>
      </c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4" t="str">
        <f t="shared" si="46"/>
        <v/>
      </c>
      <c r="GC6" s="14" t="str">
        <f t="shared" si="47"/>
        <v/>
      </c>
      <c r="GD6" s="14" t="str">
        <f t="shared" si="48"/>
        <v/>
      </c>
      <c r="GE6" s="14" t="str">
        <f t="shared" si="49"/>
        <v/>
      </c>
      <c r="GF6" s="14" t="str">
        <f t="shared" si="50"/>
        <v/>
      </c>
      <c r="GG6" s="14" t="str">
        <f t="shared" si="51"/>
        <v/>
      </c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55" t="str">
        <f t="shared" si="52"/>
        <v/>
      </c>
      <c r="HC6" s="55" t="str">
        <f t="shared" si="53"/>
        <v/>
      </c>
      <c r="HD6" s="55" t="str">
        <f t="shared" si="54"/>
        <v/>
      </c>
      <c r="HE6" s="55" t="str">
        <f t="shared" si="55"/>
        <v/>
      </c>
      <c r="HF6" s="55" t="str">
        <f t="shared" si="56"/>
        <v/>
      </c>
      <c r="HG6" s="55" t="str">
        <f t="shared" si="57"/>
        <v/>
      </c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4" t="str">
        <f t="shared" si="58"/>
        <v/>
      </c>
      <c r="IC6" s="14" t="str">
        <f t="shared" si="59"/>
        <v/>
      </c>
      <c r="ID6" s="14" t="str">
        <f t="shared" si="60"/>
        <v/>
      </c>
      <c r="IE6" s="14" t="str">
        <f t="shared" si="61"/>
        <v/>
      </c>
      <c r="IF6" s="14" t="str">
        <f t="shared" si="62"/>
        <v/>
      </c>
      <c r="IG6" s="14" t="str">
        <f t="shared" si="63"/>
        <v/>
      </c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55" t="str">
        <f t="shared" si="64"/>
        <v/>
      </c>
      <c r="JC6" s="55" t="str">
        <f t="shared" si="65"/>
        <v/>
      </c>
      <c r="JD6" s="55" t="str">
        <f t="shared" si="66"/>
        <v/>
      </c>
      <c r="JE6" s="55" t="str">
        <f t="shared" si="67"/>
        <v/>
      </c>
      <c r="JF6" s="55" t="str">
        <f t="shared" si="68"/>
        <v/>
      </c>
      <c r="JG6" s="55" t="str">
        <f t="shared" si="69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4" t="str">
        <f t="shared" si="70"/>
        <v/>
      </c>
      <c r="KC6" s="14" t="str">
        <f t="shared" si="71"/>
        <v/>
      </c>
      <c r="KD6" s="14" t="str">
        <f t="shared" si="72"/>
        <v/>
      </c>
      <c r="KE6" s="14" t="str">
        <f t="shared" si="73"/>
        <v/>
      </c>
      <c r="KF6" s="14" t="str">
        <f t="shared" si="74"/>
        <v/>
      </c>
      <c r="KG6" s="14" t="str">
        <f t="shared" si="75"/>
        <v/>
      </c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55" t="str">
        <f t="shared" si="76"/>
        <v/>
      </c>
      <c r="LC6" s="55" t="str">
        <f t="shared" si="77"/>
        <v/>
      </c>
      <c r="LD6" s="55" t="str">
        <f t="shared" si="78"/>
        <v/>
      </c>
      <c r="LE6" s="55" t="str">
        <f t="shared" si="79"/>
        <v/>
      </c>
      <c r="LF6" s="55" t="str">
        <f t="shared" si="80"/>
        <v/>
      </c>
      <c r="LG6" s="55" t="str">
        <f t="shared" si="81"/>
        <v/>
      </c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4" t="str">
        <f t="shared" si="82"/>
        <v/>
      </c>
      <c r="MC6" s="14" t="str">
        <f t="shared" si="83"/>
        <v/>
      </c>
      <c r="MD6" s="14" t="str">
        <f t="shared" si="84"/>
        <v/>
      </c>
      <c r="ME6" s="14" t="str">
        <f t="shared" si="85"/>
        <v/>
      </c>
      <c r="MF6" s="14" t="str">
        <f t="shared" si="86"/>
        <v/>
      </c>
      <c r="MG6" s="14" t="str">
        <f t="shared" si="8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55" t="str">
        <f t="shared" si="88"/>
        <v/>
      </c>
      <c r="NC6" s="55" t="str">
        <f t="shared" si="89"/>
        <v/>
      </c>
      <c r="ND6" s="55" t="str">
        <f t="shared" si="90"/>
        <v/>
      </c>
      <c r="NE6" s="55" t="str">
        <f t="shared" si="91"/>
        <v/>
      </c>
      <c r="NF6" s="55" t="str">
        <f t="shared" si="92"/>
        <v/>
      </c>
      <c r="NG6" s="55" t="str">
        <f t="shared" si="93"/>
        <v/>
      </c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4" t="str">
        <f t="shared" si="94"/>
        <v/>
      </c>
      <c r="OC6" s="14" t="str">
        <f t="shared" si="95"/>
        <v/>
      </c>
      <c r="OD6" s="14" t="str">
        <f t="shared" si="96"/>
        <v/>
      </c>
      <c r="OE6" s="14" t="str">
        <f t="shared" si="97"/>
        <v/>
      </c>
      <c r="OF6" s="14" t="str">
        <f t="shared" si="98"/>
        <v/>
      </c>
      <c r="OG6" s="14" t="str">
        <f t="shared" si="99"/>
        <v/>
      </c>
      <c r="OH6" s="27">
        <f t="shared" si="100"/>
        <v>18.200000000000003</v>
      </c>
      <c r="OI6" s="27">
        <f t="shared" si="100"/>
        <v>5.4</v>
      </c>
      <c r="OJ6" s="27">
        <f t="shared" si="100"/>
        <v>0.1</v>
      </c>
      <c r="OK6" s="27">
        <f t="shared" si="100"/>
        <v>0</v>
      </c>
      <c r="OL6" s="27">
        <f t="shared" si="100"/>
        <v>18.649999999999999</v>
      </c>
      <c r="OM6" s="27">
        <f t="shared" si="100"/>
        <v>3.8</v>
      </c>
      <c r="ON6" s="27">
        <f t="shared" si="100"/>
        <v>0.5</v>
      </c>
      <c r="OO6" s="27">
        <f t="shared" si="100"/>
        <v>0</v>
      </c>
      <c r="OP6" s="27">
        <f t="shared" si="100"/>
        <v>18.45</v>
      </c>
      <c r="OQ6" s="27">
        <f t="shared" si="100"/>
        <v>5.8</v>
      </c>
      <c r="OR6" s="27">
        <f t="shared" si="100"/>
        <v>0.1</v>
      </c>
      <c r="OS6" s="27">
        <f t="shared" si="100"/>
        <v>0</v>
      </c>
      <c r="OT6" s="27">
        <f t="shared" si="100"/>
        <v>18.45</v>
      </c>
      <c r="OU6" s="27">
        <f t="shared" si="100"/>
        <v>5</v>
      </c>
      <c r="OV6" s="27">
        <f t="shared" si="100"/>
        <v>0.1</v>
      </c>
      <c r="OW6" s="27">
        <f t="shared" si="100"/>
        <v>0</v>
      </c>
      <c r="OX6" s="32" t="s">
        <v>44</v>
      </c>
      <c r="OY6" s="55">
        <f t="shared" si="101"/>
        <v>9.1999999999999993</v>
      </c>
      <c r="OZ6" s="55">
        <f t="shared" si="102"/>
        <v>45.449999999999996</v>
      </c>
      <c r="PA6" s="55">
        <f t="shared" si="103"/>
        <v>10.8</v>
      </c>
      <c r="PB6" s="55">
        <f t="shared" si="104"/>
        <v>47.5</v>
      </c>
      <c r="PC6" s="55">
        <f t="shared" si="105"/>
        <v>92.949999999999989</v>
      </c>
    </row>
    <row r="7" spans="1:419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93</v>
      </c>
      <c r="C7" s="4" t="s">
        <v>63</v>
      </c>
      <c r="D7" s="4">
        <v>2012</v>
      </c>
      <c r="E7" s="10">
        <f t="shared" si="0"/>
        <v>135.80001089000413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IF(COUNT(AJ7,BF7,CB7)&gt;0,LARGE((AJ7,BF7,CB7),1),0)</f>
        <v>41.099999999999994</v>
      </c>
      <c r="J7" s="9" t="str">
        <f t="shared" si="4"/>
        <v>2025 Nationals</v>
      </c>
      <c r="K7" s="9">
        <f>IF(COUNT(AJ7,BF7,CB7)&gt;1,LARGE((AJ7,BF7,CB7),2),0)</f>
        <v>22.1</v>
      </c>
      <c r="L7" s="9" t="str">
        <f t="shared" si="5"/>
        <v>2025 3rd Domestic Trial</v>
      </c>
      <c r="M7" s="9">
        <f t="shared" si="6"/>
        <v>45.7</v>
      </c>
      <c r="N7" s="9" t="str">
        <f t="shared" si="7"/>
        <v>2025 Nationals</v>
      </c>
      <c r="O7" s="9">
        <f t="shared" si="8"/>
        <v>26.9</v>
      </c>
      <c r="P7" s="14" t="str">
        <f t="shared" si="9"/>
        <v>(Q1)</v>
      </c>
      <c r="Q7" s="9" t="str">
        <f t="shared" si="10"/>
        <v>2025 WAGC (Nov 16)</v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32"/>
      <c r="AI7" s="55" t="str">
        <f t="shared" si="11"/>
        <v/>
      </c>
      <c r="AJ7" s="55" t="str">
        <f t="shared" si="12"/>
        <v/>
      </c>
      <c r="AK7" s="55" t="str">
        <f t="shared" si="13"/>
        <v/>
      </c>
      <c r="AL7" s="55" t="str">
        <f t="shared" si="14"/>
        <v/>
      </c>
      <c r="AM7" s="55" t="str">
        <f t="shared" si="15"/>
        <v/>
      </c>
      <c r="AN7" s="19">
        <v>17.899999999999999</v>
      </c>
      <c r="AO7" s="19">
        <v>5.2</v>
      </c>
      <c r="AP7" s="19">
        <v>0.2</v>
      </c>
      <c r="AQ7" s="19">
        <v>0</v>
      </c>
      <c r="AR7" s="19">
        <v>15</v>
      </c>
      <c r="AS7" s="19">
        <v>3.2</v>
      </c>
      <c r="AT7" s="19">
        <v>0</v>
      </c>
      <c r="AU7" s="19">
        <v>0</v>
      </c>
      <c r="AV7" s="19">
        <v>18.399999999999999</v>
      </c>
      <c r="AW7" s="19">
        <v>5.2</v>
      </c>
      <c r="AX7" s="19">
        <v>0.2</v>
      </c>
      <c r="AY7" s="19">
        <v>0</v>
      </c>
      <c r="AZ7" s="19">
        <v>18.100000000000001</v>
      </c>
      <c r="BA7" s="19">
        <v>4.8</v>
      </c>
      <c r="BB7" s="19">
        <v>0.6</v>
      </c>
      <c r="BC7" s="19">
        <v>0</v>
      </c>
      <c r="BD7" s="33"/>
      <c r="BE7" s="14">
        <f t="shared" si="16"/>
        <v>8.4</v>
      </c>
      <c r="BF7" s="14">
        <f t="shared" si="17"/>
        <v>41.099999999999994</v>
      </c>
      <c r="BG7" s="14">
        <f t="shared" si="18"/>
        <v>10</v>
      </c>
      <c r="BH7" s="14">
        <f t="shared" si="19"/>
        <v>45.7</v>
      </c>
      <c r="BI7" s="14">
        <f t="shared" si="20"/>
        <v>86.8</v>
      </c>
      <c r="BJ7" s="20">
        <v>0</v>
      </c>
      <c r="BK7" s="20">
        <v>0</v>
      </c>
      <c r="BL7" s="20">
        <v>0</v>
      </c>
      <c r="BM7" s="20">
        <v>0</v>
      </c>
      <c r="BN7" s="20">
        <v>18.100000000000001</v>
      </c>
      <c r="BO7" s="20">
        <v>4.4000000000000004</v>
      </c>
      <c r="BP7" s="20">
        <v>0.4</v>
      </c>
      <c r="BQ7" s="20">
        <v>0</v>
      </c>
      <c r="BR7" s="20">
        <v>18.100000000000001</v>
      </c>
      <c r="BS7" s="20">
        <v>4.4000000000000004</v>
      </c>
      <c r="BT7" s="20">
        <v>0.6</v>
      </c>
      <c r="BU7" s="20">
        <v>0</v>
      </c>
      <c r="BV7" s="20">
        <v>18.2</v>
      </c>
      <c r="BW7" s="20">
        <v>1.2</v>
      </c>
      <c r="BX7" s="20">
        <v>1.4</v>
      </c>
      <c r="BY7" s="20">
        <v>0</v>
      </c>
      <c r="BZ7" s="32"/>
      <c r="CA7" s="55">
        <f t="shared" si="21"/>
        <v>4.4000000000000004</v>
      </c>
      <c r="CB7" s="55">
        <f t="shared" si="22"/>
        <v>22.1</v>
      </c>
      <c r="CC7" s="55">
        <f t="shared" si="23"/>
        <v>5.6000000000000005</v>
      </c>
      <c r="CD7" s="55">
        <f t="shared" si="24"/>
        <v>39.900000000000006</v>
      </c>
      <c r="CE7" s="55">
        <f t="shared" si="25"/>
        <v>62.000000000000007</v>
      </c>
      <c r="CF7" s="56">
        <f t="shared" si="26"/>
        <v>26.9</v>
      </c>
      <c r="CG7" s="56" t="str">
        <f t="shared" si="27"/>
        <v/>
      </c>
      <c r="CH7" s="18">
        <v>18.600000000000001</v>
      </c>
      <c r="CI7" s="18">
        <v>5.6</v>
      </c>
      <c r="CJ7" s="18">
        <v>0</v>
      </c>
      <c r="CK7" s="18">
        <v>0</v>
      </c>
      <c r="CL7" s="18">
        <v>18.8</v>
      </c>
      <c r="CM7" s="18">
        <v>6</v>
      </c>
      <c r="CN7" s="18">
        <v>0</v>
      </c>
      <c r="CO7" s="18">
        <v>0</v>
      </c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55">
        <f t="shared" si="28"/>
        <v>11.6</v>
      </c>
      <c r="DC7" s="55">
        <f t="shared" si="29"/>
        <v>49</v>
      </c>
      <c r="DD7" s="55" t="str">
        <f t="shared" si="30"/>
        <v/>
      </c>
      <c r="DE7" s="55" t="str">
        <f t="shared" si="31"/>
        <v/>
      </c>
      <c r="DF7" s="55" t="str">
        <f t="shared" si="32"/>
        <v/>
      </c>
      <c r="DG7" s="55">
        <f t="shared" si="33"/>
        <v>49</v>
      </c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4" t="str">
        <f t="shared" si="34"/>
        <v/>
      </c>
      <c r="EC7" s="14" t="str">
        <f t="shared" si="35"/>
        <v/>
      </c>
      <c r="ED7" s="14" t="str">
        <f t="shared" si="36"/>
        <v/>
      </c>
      <c r="EE7" s="14" t="str">
        <f t="shared" si="37"/>
        <v/>
      </c>
      <c r="EF7" s="14" t="str">
        <f t="shared" si="38"/>
        <v/>
      </c>
      <c r="EG7" s="14" t="str">
        <f t="shared" si="39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55" t="str">
        <f t="shared" si="40"/>
        <v/>
      </c>
      <c r="FC7" s="55" t="str">
        <f t="shared" si="41"/>
        <v/>
      </c>
      <c r="FD7" s="55" t="str">
        <f t="shared" si="42"/>
        <v/>
      </c>
      <c r="FE7" s="55" t="str">
        <f t="shared" si="43"/>
        <v/>
      </c>
      <c r="FF7" s="55" t="str">
        <f t="shared" si="44"/>
        <v/>
      </c>
      <c r="FG7" s="55" t="str">
        <f t="shared" si="45"/>
        <v/>
      </c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4" t="str">
        <f t="shared" si="46"/>
        <v/>
      </c>
      <c r="GC7" s="14" t="str">
        <f t="shared" si="47"/>
        <v/>
      </c>
      <c r="GD7" s="14" t="str">
        <f t="shared" si="48"/>
        <v/>
      </c>
      <c r="GE7" s="14" t="str">
        <f t="shared" si="49"/>
        <v/>
      </c>
      <c r="GF7" s="14" t="str">
        <f t="shared" si="50"/>
        <v/>
      </c>
      <c r="GG7" s="14" t="str">
        <f t="shared" si="51"/>
        <v/>
      </c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55" t="str">
        <f t="shared" si="52"/>
        <v/>
      </c>
      <c r="HC7" s="55" t="str">
        <f t="shared" si="53"/>
        <v/>
      </c>
      <c r="HD7" s="55" t="str">
        <f t="shared" si="54"/>
        <v/>
      </c>
      <c r="HE7" s="55" t="str">
        <f t="shared" si="55"/>
        <v/>
      </c>
      <c r="HF7" s="55" t="str">
        <f t="shared" si="56"/>
        <v/>
      </c>
      <c r="HG7" s="55" t="str">
        <f t="shared" si="57"/>
        <v/>
      </c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4" t="str">
        <f t="shared" si="58"/>
        <v/>
      </c>
      <c r="IC7" s="14" t="str">
        <f t="shared" si="59"/>
        <v/>
      </c>
      <c r="ID7" s="14" t="str">
        <f t="shared" si="60"/>
        <v/>
      </c>
      <c r="IE7" s="14" t="str">
        <f t="shared" si="61"/>
        <v/>
      </c>
      <c r="IF7" s="14" t="str">
        <f t="shared" si="62"/>
        <v/>
      </c>
      <c r="IG7" s="14" t="str">
        <f t="shared" si="63"/>
        <v/>
      </c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55" t="str">
        <f t="shared" si="64"/>
        <v/>
      </c>
      <c r="JC7" s="55" t="str">
        <f t="shared" si="65"/>
        <v/>
      </c>
      <c r="JD7" s="55" t="str">
        <f t="shared" si="66"/>
        <v/>
      </c>
      <c r="JE7" s="55" t="str">
        <f t="shared" si="67"/>
        <v/>
      </c>
      <c r="JF7" s="55" t="str">
        <f t="shared" si="68"/>
        <v/>
      </c>
      <c r="JG7" s="55" t="str">
        <f t="shared" si="69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4" t="str">
        <f t="shared" si="70"/>
        <v/>
      </c>
      <c r="KC7" s="14" t="str">
        <f t="shared" si="71"/>
        <v/>
      </c>
      <c r="KD7" s="14" t="str">
        <f t="shared" si="72"/>
        <v/>
      </c>
      <c r="KE7" s="14" t="str">
        <f t="shared" si="73"/>
        <v/>
      </c>
      <c r="KF7" s="14" t="str">
        <f t="shared" si="74"/>
        <v/>
      </c>
      <c r="KG7" s="14" t="str">
        <f t="shared" si="75"/>
        <v/>
      </c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55" t="str">
        <f t="shared" si="76"/>
        <v/>
      </c>
      <c r="LC7" s="55" t="str">
        <f t="shared" si="77"/>
        <v/>
      </c>
      <c r="LD7" s="55" t="str">
        <f t="shared" si="78"/>
        <v/>
      </c>
      <c r="LE7" s="55" t="str">
        <f t="shared" si="79"/>
        <v/>
      </c>
      <c r="LF7" s="55" t="str">
        <f t="shared" si="80"/>
        <v/>
      </c>
      <c r="LG7" s="55" t="str">
        <f t="shared" si="81"/>
        <v/>
      </c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4" t="str">
        <f t="shared" si="82"/>
        <v/>
      </c>
      <c r="MC7" s="14" t="str">
        <f t="shared" si="83"/>
        <v/>
      </c>
      <c r="MD7" s="14" t="str">
        <f t="shared" si="84"/>
        <v/>
      </c>
      <c r="ME7" s="14" t="str">
        <f t="shared" si="85"/>
        <v/>
      </c>
      <c r="MF7" s="14" t="str">
        <f t="shared" si="86"/>
        <v/>
      </c>
      <c r="MG7" s="14" t="str">
        <f t="shared" si="8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55" t="str">
        <f t="shared" si="88"/>
        <v/>
      </c>
      <c r="NC7" s="55" t="str">
        <f t="shared" si="89"/>
        <v/>
      </c>
      <c r="ND7" s="55" t="str">
        <f t="shared" si="90"/>
        <v/>
      </c>
      <c r="NE7" s="55" t="str">
        <f t="shared" si="91"/>
        <v/>
      </c>
      <c r="NF7" s="55" t="str">
        <f t="shared" si="92"/>
        <v/>
      </c>
      <c r="NG7" s="55" t="str">
        <f t="shared" si="93"/>
        <v/>
      </c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4" t="str">
        <f t="shared" si="94"/>
        <v/>
      </c>
      <c r="OC7" s="14" t="str">
        <f t="shared" si="95"/>
        <v/>
      </c>
      <c r="OD7" s="14" t="str">
        <f t="shared" si="96"/>
        <v/>
      </c>
      <c r="OE7" s="14" t="str">
        <f t="shared" si="97"/>
        <v/>
      </c>
      <c r="OF7" s="14" t="str">
        <f t="shared" si="98"/>
        <v/>
      </c>
      <c r="OG7" s="14" t="str">
        <f t="shared" si="99"/>
        <v/>
      </c>
      <c r="OH7" s="27">
        <f t="shared" si="100"/>
        <v>8.9499999999999993</v>
      </c>
      <c r="OI7" s="27">
        <f t="shared" si="100"/>
        <v>2.6</v>
      </c>
      <c r="OJ7" s="27">
        <f t="shared" si="100"/>
        <v>0.1</v>
      </c>
      <c r="OK7" s="27">
        <f t="shared" si="100"/>
        <v>0</v>
      </c>
      <c r="OL7" s="27">
        <f t="shared" si="100"/>
        <v>16.55</v>
      </c>
      <c r="OM7" s="27">
        <f t="shared" si="100"/>
        <v>3.8000000000000003</v>
      </c>
      <c r="ON7" s="27">
        <f t="shared" si="100"/>
        <v>0.2</v>
      </c>
      <c r="OO7" s="27">
        <f t="shared" si="100"/>
        <v>0</v>
      </c>
      <c r="OP7" s="27">
        <f t="shared" si="100"/>
        <v>18.25</v>
      </c>
      <c r="OQ7" s="27">
        <f t="shared" si="100"/>
        <v>4.8000000000000007</v>
      </c>
      <c r="OR7" s="27">
        <f t="shared" si="100"/>
        <v>0.4</v>
      </c>
      <c r="OS7" s="27">
        <f t="shared" si="100"/>
        <v>0</v>
      </c>
      <c r="OT7" s="27">
        <f t="shared" si="100"/>
        <v>18.149999999999999</v>
      </c>
      <c r="OU7" s="27">
        <f t="shared" si="100"/>
        <v>3</v>
      </c>
      <c r="OV7" s="27">
        <f t="shared" si="100"/>
        <v>1</v>
      </c>
      <c r="OW7" s="27">
        <f t="shared" si="100"/>
        <v>0</v>
      </c>
      <c r="OX7" s="32" t="s">
        <v>44</v>
      </c>
      <c r="OY7" s="55">
        <f t="shared" si="101"/>
        <v>6.4</v>
      </c>
      <c r="OZ7" s="55">
        <f t="shared" si="102"/>
        <v>31.6</v>
      </c>
      <c r="PA7" s="55">
        <f t="shared" si="103"/>
        <v>7.8000000000000007</v>
      </c>
      <c r="PB7" s="55">
        <f t="shared" si="104"/>
        <v>42.800000000000004</v>
      </c>
      <c r="PC7" s="55">
        <f t="shared" si="105"/>
        <v>74.400000000000006</v>
      </c>
    </row>
    <row r="8" spans="1:419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81</v>
      </c>
      <c r="C8" s="4" t="s">
        <v>62</v>
      </c>
      <c r="D8" s="4">
        <v>2010</v>
      </c>
      <c r="E8" s="10">
        <f t="shared" si="0"/>
        <v>83.930008393004471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IF(COUNT(AJ8,BF8,CB8)&gt;0,LARGE((AJ8,BF8,CB8),1),0)</f>
        <v>44.63</v>
      </c>
      <c r="J8" s="9" t="str">
        <f t="shared" si="4"/>
        <v>2025 Elite Canada</v>
      </c>
      <c r="K8" s="9">
        <f>IF(COUNT(AJ8,BF8,CB8)&gt;1,LARGE((AJ8,BF8,CB8),2),0)</f>
        <v>0</v>
      </c>
      <c r="L8" s="9" t="str">
        <f t="shared" si="5"/>
        <v/>
      </c>
      <c r="M8" s="9">
        <f t="shared" si="6"/>
        <v>39.299999999999997</v>
      </c>
      <c r="N8" s="9" t="str">
        <f t="shared" si="7"/>
        <v>2025 Elite Canada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>
        <v>17.63</v>
      </c>
      <c r="S8" s="20">
        <v>4.4000000000000004</v>
      </c>
      <c r="T8" s="20">
        <v>0.8</v>
      </c>
      <c r="U8" s="20">
        <v>0</v>
      </c>
      <c r="V8" s="20">
        <v>18</v>
      </c>
      <c r="W8" s="20">
        <v>5.6</v>
      </c>
      <c r="X8" s="20">
        <v>0.2</v>
      </c>
      <c r="Y8" s="20">
        <v>0</v>
      </c>
      <c r="Z8" s="20">
        <v>15.2</v>
      </c>
      <c r="AA8" s="20">
        <v>2.8</v>
      </c>
      <c r="AB8" s="20">
        <v>0</v>
      </c>
      <c r="AC8" s="20">
        <v>0</v>
      </c>
      <c r="AD8" s="20">
        <v>16.3</v>
      </c>
      <c r="AE8" s="20">
        <v>5.2</v>
      </c>
      <c r="AF8" s="20">
        <v>0.2</v>
      </c>
      <c r="AG8" s="20">
        <v>0</v>
      </c>
      <c r="AH8" s="32"/>
      <c r="AI8" s="55">
        <f t="shared" si="11"/>
        <v>10</v>
      </c>
      <c r="AJ8" s="55">
        <f t="shared" si="12"/>
        <v>44.63</v>
      </c>
      <c r="AK8" s="55">
        <f t="shared" si="13"/>
        <v>8</v>
      </c>
      <c r="AL8" s="55">
        <f t="shared" si="14"/>
        <v>39.299999999999997</v>
      </c>
      <c r="AM8" s="55">
        <f t="shared" si="15"/>
        <v>83.93</v>
      </c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33"/>
      <c r="BE8" s="14" t="str">
        <f t="shared" si="16"/>
        <v/>
      </c>
      <c r="BF8" s="14" t="str">
        <f t="shared" si="17"/>
        <v/>
      </c>
      <c r="BG8" s="14" t="str">
        <f t="shared" si="18"/>
        <v/>
      </c>
      <c r="BH8" s="14" t="str">
        <f t="shared" si="19"/>
        <v/>
      </c>
      <c r="BI8" s="14" t="str">
        <f t="shared" si="20"/>
        <v/>
      </c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32"/>
      <c r="CA8" s="55" t="str">
        <f t="shared" si="21"/>
        <v/>
      </c>
      <c r="CB8" s="55" t="str">
        <f t="shared" si="22"/>
        <v/>
      </c>
      <c r="CC8" s="55" t="str">
        <f t="shared" si="23"/>
        <v/>
      </c>
      <c r="CD8" s="55" t="str">
        <f t="shared" si="24"/>
        <v/>
      </c>
      <c r="CE8" s="55" t="str">
        <f t="shared" si="25"/>
        <v/>
      </c>
      <c r="CF8" s="56" t="str">
        <f t="shared" si="26"/>
        <v/>
      </c>
      <c r="CG8" s="56" t="str">
        <f t="shared" si="27"/>
        <v/>
      </c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55" t="str">
        <f t="shared" si="28"/>
        <v/>
      </c>
      <c r="DC8" s="55" t="str">
        <f t="shared" si="29"/>
        <v/>
      </c>
      <c r="DD8" s="55" t="str">
        <f t="shared" si="30"/>
        <v/>
      </c>
      <c r="DE8" s="55" t="str">
        <f t="shared" si="31"/>
        <v/>
      </c>
      <c r="DF8" s="55" t="str">
        <f t="shared" si="32"/>
        <v/>
      </c>
      <c r="DG8" s="55" t="str">
        <f t="shared" si="33"/>
        <v/>
      </c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4" t="str">
        <f t="shared" si="34"/>
        <v/>
      </c>
      <c r="EC8" s="14" t="str">
        <f t="shared" si="35"/>
        <v/>
      </c>
      <c r="ED8" s="14" t="str">
        <f t="shared" si="36"/>
        <v/>
      </c>
      <c r="EE8" s="14" t="str">
        <f t="shared" si="37"/>
        <v/>
      </c>
      <c r="EF8" s="14" t="str">
        <f t="shared" si="38"/>
        <v/>
      </c>
      <c r="EG8" s="14" t="str">
        <f t="shared" si="39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55" t="str">
        <f t="shared" si="40"/>
        <v/>
      </c>
      <c r="FC8" s="55" t="str">
        <f t="shared" si="41"/>
        <v/>
      </c>
      <c r="FD8" s="55" t="str">
        <f t="shared" si="42"/>
        <v/>
      </c>
      <c r="FE8" s="55" t="str">
        <f t="shared" si="43"/>
        <v/>
      </c>
      <c r="FF8" s="55" t="str">
        <f t="shared" si="44"/>
        <v/>
      </c>
      <c r="FG8" s="55" t="str">
        <f t="shared" si="45"/>
        <v/>
      </c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4" t="str">
        <f t="shared" si="46"/>
        <v/>
      </c>
      <c r="GC8" s="14" t="str">
        <f t="shared" si="47"/>
        <v/>
      </c>
      <c r="GD8" s="14" t="str">
        <f t="shared" si="48"/>
        <v/>
      </c>
      <c r="GE8" s="14" t="str">
        <f t="shared" si="49"/>
        <v/>
      </c>
      <c r="GF8" s="14" t="str">
        <f t="shared" si="50"/>
        <v/>
      </c>
      <c r="GG8" s="14" t="str">
        <f t="shared" si="51"/>
        <v/>
      </c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55" t="str">
        <f t="shared" si="52"/>
        <v/>
      </c>
      <c r="HC8" s="55" t="str">
        <f t="shared" si="53"/>
        <v/>
      </c>
      <c r="HD8" s="55" t="str">
        <f t="shared" si="54"/>
        <v/>
      </c>
      <c r="HE8" s="55" t="str">
        <f t="shared" si="55"/>
        <v/>
      </c>
      <c r="HF8" s="55" t="str">
        <f t="shared" si="56"/>
        <v/>
      </c>
      <c r="HG8" s="55" t="str">
        <f t="shared" si="57"/>
        <v/>
      </c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4" t="str">
        <f t="shared" si="58"/>
        <v/>
      </c>
      <c r="IC8" s="14" t="str">
        <f t="shared" si="59"/>
        <v/>
      </c>
      <c r="ID8" s="14" t="str">
        <f t="shared" si="60"/>
        <v/>
      </c>
      <c r="IE8" s="14" t="str">
        <f t="shared" si="61"/>
        <v/>
      </c>
      <c r="IF8" s="14" t="str">
        <f t="shared" si="62"/>
        <v/>
      </c>
      <c r="IG8" s="14" t="str">
        <f t="shared" si="63"/>
        <v/>
      </c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55" t="str">
        <f t="shared" si="64"/>
        <v/>
      </c>
      <c r="JC8" s="55" t="str">
        <f t="shared" si="65"/>
        <v/>
      </c>
      <c r="JD8" s="55" t="str">
        <f t="shared" si="66"/>
        <v/>
      </c>
      <c r="JE8" s="55" t="str">
        <f t="shared" si="67"/>
        <v/>
      </c>
      <c r="JF8" s="55" t="str">
        <f t="shared" si="68"/>
        <v/>
      </c>
      <c r="JG8" s="55" t="str">
        <f t="shared" si="69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4" t="str">
        <f t="shared" si="70"/>
        <v/>
      </c>
      <c r="KC8" s="14" t="str">
        <f t="shared" si="71"/>
        <v/>
      </c>
      <c r="KD8" s="14" t="str">
        <f t="shared" si="72"/>
        <v/>
      </c>
      <c r="KE8" s="14" t="str">
        <f t="shared" si="73"/>
        <v/>
      </c>
      <c r="KF8" s="14" t="str">
        <f t="shared" si="74"/>
        <v/>
      </c>
      <c r="KG8" s="14" t="str">
        <f t="shared" si="75"/>
        <v/>
      </c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55" t="str">
        <f t="shared" si="76"/>
        <v/>
      </c>
      <c r="LC8" s="55" t="str">
        <f t="shared" si="77"/>
        <v/>
      </c>
      <c r="LD8" s="55" t="str">
        <f t="shared" si="78"/>
        <v/>
      </c>
      <c r="LE8" s="55" t="str">
        <f t="shared" si="79"/>
        <v/>
      </c>
      <c r="LF8" s="55" t="str">
        <f t="shared" si="80"/>
        <v/>
      </c>
      <c r="LG8" s="55" t="str">
        <f t="shared" si="81"/>
        <v/>
      </c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4" t="str">
        <f t="shared" si="82"/>
        <v/>
      </c>
      <c r="MC8" s="14" t="str">
        <f t="shared" si="83"/>
        <v/>
      </c>
      <c r="MD8" s="14" t="str">
        <f t="shared" si="84"/>
        <v/>
      </c>
      <c r="ME8" s="14" t="str">
        <f t="shared" si="85"/>
        <v/>
      </c>
      <c r="MF8" s="14" t="str">
        <f t="shared" si="86"/>
        <v/>
      </c>
      <c r="MG8" s="14" t="str">
        <f t="shared" si="8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55" t="str">
        <f t="shared" si="88"/>
        <v/>
      </c>
      <c r="NC8" s="55" t="str">
        <f t="shared" si="89"/>
        <v/>
      </c>
      <c r="ND8" s="55" t="str">
        <f t="shared" si="90"/>
        <v/>
      </c>
      <c r="NE8" s="55" t="str">
        <f t="shared" si="91"/>
        <v/>
      </c>
      <c r="NF8" s="55" t="str">
        <f t="shared" si="92"/>
        <v/>
      </c>
      <c r="NG8" s="55" t="str">
        <f t="shared" si="93"/>
        <v/>
      </c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4" t="str">
        <f t="shared" si="94"/>
        <v/>
      </c>
      <c r="OC8" s="14" t="str">
        <f t="shared" si="95"/>
        <v/>
      </c>
      <c r="OD8" s="14" t="str">
        <f t="shared" si="96"/>
        <v/>
      </c>
      <c r="OE8" s="14" t="str">
        <f t="shared" si="97"/>
        <v/>
      </c>
      <c r="OF8" s="14" t="str">
        <f t="shared" si="98"/>
        <v/>
      </c>
      <c r="OG8" s="14" t="str">
        <f t="shared" si="99"/>
        <v/>
      </c>
      <c r="OH8" s="27">
        <f t="shared" si="100"/>
        <v>0</v>
      </c>
      <c r="OI8" s="27">
        <f t="shared" si="100"/>
        <v>0</v>
      </c>
      <c r="OJ8" s="27">
        <f t="shared" si="100"/>
        <v>0</v>
      </c>
      <c r="OK8" s="27">
        <f t="shared" si="100"/>
        <v>0</v>
      </c>
      <c r="OL8" s="27">
        <f t="shared" si="100"/>
        <v>0</v>
      </c>
      <c r="OM8" s="27">
        <f t="shared" si="100"/>
        <v>0</v>
      </c>
      <c r="ON8" s="27">
        <f t="shared" si="100"/>
        <v>0</v>
      </c>
      <c r="OO8" s="27">
        <f t="shared" si="100"/>
        <v>0</v>
      </c>
      <c r="OP8" s="27">
        <f t="shared" si="100"/>
        <v>0</v>
      </c>
      <c r="OQ8" s="27">
        <f t="shared" si="100"/>
        <v>0</v>
      </c>
      <c r="OR8" s="27">
        <f t="shared" si="100"/>
        <v>0</v>
      </c>
      <c r="OS8" s="27">
        <f t="shared" si="100"/>
        <v>0</v>
      </c>
      <c r="OT8" s="27">
        <f t="shared" si="100"/>
        <v>0</v>
      </c>
      <c r="OU8" s="27">
        <f t="shared" si="100"/>
        <v>0</v>
      </c>
      <c r="OV8" s="27">
        <f t="shared" si="100"/>
        <v>0</v>
      </c>
      <c r="OW8" s="27">
        <f t="shared" si="100"/>
        <v>0</v>
      </c>
      <c r="OX8" s="32" t="s">
        <v>44</v>
      </c>
      <c r="OY8" s="55" t="str">
        <f t="shared" si="101"/>
        <v/>
      </c>
      <c r="OZ8" s="55" t="str">
        <f t="shared" si="102"/>
        <v/>
      </c>
      <c r="PA8" s="55" t="str">
        <f t="shared" si="103"/>
        <v/>
      </c>
      <c r="PB8" s="55" t="str">
        <f t="shared" si="104"/>
        <v/>
      </c>
      <c r="PC8" s="55" t="str">
        <f t="shared" si="105"/>
        <v/>
      </c>
    </row>
    <row r="9" spans="1:41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96</v>
      </c>
      <c r="C9" s="4" t="s">
        <v>63</v>
      </c>
      <c r="D9" s="4">
        <v>2011</v>
      </c>
      <c r="E9" s="10">
        <f t="shared" si="0"/>
        <v>80.800008080004218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IF(COUNT(AJ9,BF9,CB9)&gt;0,LARGE((AJ9,BF9,CB9),1),0)</f>
        <v>42.2</v>
      </c>
      <c r="J9" s="9" t="str">
        <f t="shared" si="4"/>
        <v>2025 3rd Domestic Trial</v>
      </c>
      <c r="K9" s="9">
        <f>IF(COUNT(AJ9,BF9,CB9)&gt;1,LARGE((AJ9,BF9,CB9),2),0)</f>
        <v>0</v>
      </c>
      <c r="L9" s="9" t="str">
        <f t="shared" si="5"/>
        <v/>
      </c>
      <c r="M9" s="9">
        <f t="shared" si="6"/>
        <v>38.599999999999994</v>
      </c>
      <c r="N9" s="9" t="str">
        <f t="shared" si="7"/>
        <v>2025 3rd Domestic Trial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32"/>
      <c r="AI9" s="55" t="str">
        <f t="shared" si="11"/>
        <v/>
      </c>
      <c r="AJ9" s="55" t="str">
        <f t="shared" si="12"/>
        <v/>
      </c>
      <c r="AK9" s="55" t="str">
        <f t="shared" si="13"/>
        <v/>
      </c>
      <c r="AL9" s="55" t="str">
        <f t="shared" si="14"/>
        <v/>
      </c>
      <c r="AM9" s="55" t="str">
        <f t="shared" si="15"/>
        <v/>
      </c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33"/>
      <c r="BE9" s="14" t="str">
        <f t="shared" si="16"/>
        <v/>
      </c>
      <c r="BF9" s="14" t="str">
        <f t="shared" si="17"/>
        <v/>
      </c>
      <c r="BG9" s="14" t="str">
        <f t="shared" si="18"/>
        <v/>
      </c>
      <c r="BH9" s="14" t="str">
        <f t="shared" si="19"/>
        <v/>
      </c>
      <c r="BI9" s="14" t="str">
        <f t="shared" si="20"/>
        <v/>
      </c>
      <c r="BJ9" s="20">
        <v>15.2</v>
      </c>
      <c r="BK9" s="20">
        <v>2.8</v>
      </c>
      <c r="BL9" s="20">
        <v>0</v>
      </c>
      <c r="BM9" s="20">
        <v>0</v>
      </c>
      <c r="BN9" s="20">
        <v>19</v>
      </c>
      <c r="BO9" s="20">
        <v>5.2</v>
      </c>
      <c r="BP9" s="20">
        <v>0</v>
      </c>
      <c r="BQ9" s="20">
        <v>0</v>
      </c>
      <c r="BR9" s="20">
        <v>18.3</v>
      </c>
      <c r="BS9" s="20">
        <v>5.2</v>
      </c>
      <c r="BT9" s="20">
        <v>0.2</v>
      </c>
      <c r="BU9" s="20">
        <v>0</v>
      </c>
      <c r="BV9" s="20">
        <v>15.3</v>
      </c>
      <c r="BW9" s="20">
        <v>0</v>
      </c>
      <c r="BX9" s="20">
        <v>0</v>
      </c>
      <c r="BY9" s="20">
        <v>0</v>
      </c>
      <c r="BZ9" s="32"/>
      <c r="CA9" s="55">
        <f t="shared" si="21"/>
        <v>8</v>
      </c>
      <c r="CB9" s="55">
        <f t="shared" si="22"/>
        <v>42.2</v>
      </c>
      <c r="CC9" s="55">
        <f t="shared" si="23"/>
        <v>5.2</v>
      </c>
      <c r="CD9" s="55">
        <f t="shared" si="24"/>
        <v>38.599999999999994</v>
      </c>
      <c r="CE9" s="55">
        <f t="shared" si="25"/>
        <v>80.8</v>
      </c>
      <c r="CF9" s="56" t="str">
        <f t="shared" si="26"/>
        <v/>
      </c>
      <c r="CG9" s="56" t="str">
        <f t="shared" si="27"/>
        <v/>
      </c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55" t="str">
        <f t="shared" si="28"/>
        <v/>
      </c>
      <c r="DC9" s="55" t="str">
        <f t="shared" si="29"/>
        <v/>
      </c>
      <c r="DD9" s="55" t="str">
        <f t="shared" si="30"/>
        <v/>
      </c>
      <c r="DE9" s="55" t="str">
        <f t="shared" si="31"/>
        <v/>
      </c>
      <c r="DF9" s="55" t="str">
        <f t="shared" si="32"/>
        <v/>
      </c>
      <c r="DG9" s="55" t="str">
        <f t="shared" si="33"/>
        <v/>
      </c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4" t="str">
        <f t="shared" si="34"/>
        <v/>
      </c>
      <c r="EC9" s="14" t="str">
        <f t="shared" si="35"/>
        <v/>
      </c>
      <c r="ED9" s="14" t="str">
        <f t="shared" si="36"/>
        <v/>
      </c>
      <c r="EE9" s="14" t="str">
        <f t="shared" si="37"/>
        <v/>
      </c>
      <c r="EF9" s="14" t="str">
        <f t="shared" si="38"/>
        <v/>
      </c>
      <c r="EG9" s="14" t="str">
        <f t="shared" si="39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55" t="str">
        <f t="shared" si="40"/>
        <v/>
      </c>
      <c r="FC9" s="55" t="str">
        <f t="shared" si="41"/>
        <v/>
      </c>
      <c r="FD9" s="55" t="str">
        <f t="shared" si="42"/>
        <v/>
      </c>
      <c r="FE9" s="55" t="str">
        <f t="shared" si="43"/>
        <v/>
      </c>
      <c r="FF9" s="55" t="str">
        <f t="shared" si="44"/>
        <v/>
      </c>
      <c r="FG9" s="55" t="str">
        <f t="shared" si="45"/>
        <v/>
      </c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4" t="str">
        <f t="shared" si="46"/>
        <v/>
      </c>
      <c r="GC9" s="14" t="str">
        <f t="shared" si="47"/>
        <v/>
      </c>
      <c r="GD9" s="14" t="str">
        <f t="shared" si="48"/>
        <v/>
      </c>
      <c r="GE9" s="14" t="str">
        <f t="shared" si="49"/>
        <v/>
      </c>
      <c r="GF9" s="14" t="str">
        <f t="shared" si="50"/>
        <v/>
      </c>
      <c r="GG9" s="14" t="str">
        <f t="shared" si="51"/>
        <v/>
      </c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55" t="str">
        <f t="shared" si="52"/>
        <v/>
      </c>
      <c r="HC9" s="55" t="str">
        <f t="shared" si="53"/>
        <v/>
      </c>
      <c r="HD9" s="55" t="str">
        <f t="shared" si="54"/>
        <v/>
      </c>
      <c r="HE9" s="55" t="str">
        <f t="shared" si="55"/>
        <v/>
      </c>
      <c r="HF9" s="55" t="str">
        <f t="shared" si="56"/>
        <v/>
      </c>
      <c r="HG9" s="55" t="str">
        <f t="shared" si="57"/>
        <v/>
      </c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4" t="str">
        <f t="shared" si="58"/>
        <v/>
      </c>
      <c r="IC9" s="14" t="str">
        <f t="shared" si="59"/>
        <v/>
      </c>
      <c r="ID9" s="14" t="str">
        <f t="shared" si="60"/>
        <v/>
      </c>
      <c r="IE9" s="14" t="str">
        <f t="shared" si="61"/>
        <v/>
      </c>
      <c r="IF9" s="14" t="str">
        <f t="shared" si="62"/>
        <v/>
      </c>
      <c r="IG9" s="14" t="str">
        <f t="shared" si="63"/>
        <v/>
      </c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55" t="str">
        <f t="shared" si="64"/>
        <v/>
      </c>
      <c r="JC9" s="55" t="str">
        <f t="shared" si="65"/>
        <v/>
      </c>
      <c r="JD9" s="55" t="str">
        <f t="shared" si="66"/>
        <v/>
      </c>
      <c r="JE9" s="55" t="str">
        <f t="shared" si="67"/>
        <v/>
      </c>
      <c r="JF9" s="55" t="str">
        <f t="shared" si="68"/>
        <v/>
      </c>
      <c r="JG9" s="55" t="str">
        <f t="shared" si="69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4" t="str">
        <f t="shared" si="70"/>
        <v/>
      </c>
      <c r="KC9" s="14" t="str">
        <f t="shared" si="71"/>
        <v/>
      </c>
      <c r="KD9" s="14" t="str">
        <f t="shared" si="72"/>
        <v/>
      </c>
      <c r="KE9" s="14" t="str">
        <f t="shared" si="73"/>
        <v/>
      </c>
      <c r="KF9" s="14" t="str">
        <f t="shared" si="74"/>
        <v/>
      </c>
      <c r="KG9" s="14" t="str">
        <f t="shared" si="75"/>
        <v/>
      </c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55" t="str">
        <f t="shared" si="76"/>
        <v/>
      </c>
      <c r="LC9" s="55" t="str">
        <f t="shared" si="77"/>
        <v/>
      </c>
      <c r="LD9" s="55" t="str">
        <f t="shared" si="78"/>
        <v/>
      </c>
      <c r="LE9" s="55" t="str">
        <f t="shared" si="79"/>
        <v/>
      </c>
      <c r="LF9" s="55" t="str">
        <f t="shared" si="80"/>
        <v/>
      </c>
      <c r="LG9" s="55" t="str">
        <f t="shared" si="81"/>
        <v/>
      </c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4" t="str">
        <f t="shared" si="82"/>
        <v/>
      </c>
      <c r="MC9" s="14" t="str">
        <f t="shared" si="83"/>
        <v/>
      </c>
      <c r="MD9" s="14" t="str">
        <f t="shared" si="84"/>
        <v/>
      </c>
      <c r="ME9" s="14" t="str">
        <f t="shared" si="85"/>
        <v/>
      </c>
      <c r="MF9" s="14" t="str">
        <f t="shared" si="86"/>
        <v/>
      </c>
      <c r="MG9" s="14" t="str">
        <f t="shared" si="8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55" t="str">
        <f t="shared" si="88"/>
        <v/>
      </c>
      <c r="NC9" s="55" t="str">
        <f t="shared" si="89"/>
        <v/>
      </c>
      <c r="ND9" s="55" t="str">
        <f t="shared" si="90"/>
        <v/>
      </c>
      <c r="NE9" s="55" t="str">
        <f t="shared" si="91"/>
        <v/>
      </c>
      <c r="NF9" s="55" t="str">
        <f t="shared" si="92"/>
        <v/>
      </c>
      <c r="NG9" s="55" t="str">
        <f t="shared" si="93"/>
        <v/>
      </c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4" t="str">
        <f t="shared" si="94"/>
        <v/>
      </c>
      <c r="OC9" s="14" t="str">
        <f t="shared" si="95"/>
        <v/>
      </c>
      <c r="OD9" s="14" t="str">
        <f t="shared" si="96"/>
        <v/>
      </c>
      <c r="OE9" s="14" t="str">
        <f t="shared" si="97"/>
        <v/>
      </c>
      <c r="OF9" s="14" t="str">
        <f t="shared" si="98"/>
        <v/>
      </c>
      <c r="OG9" s="14" t="str">
        <f t="shared" si="99"/>
        <v/>
      </c>
      <c r="OH9" s="27">
        <f t="shared" si="100"/>
        <v>7.6</v>
      </c>
      <c r="OI9" s="27">
        <f t="shared" si="100"/>
        <v>1.4</v>
      </c>
      <c r="OJ9" s="27">
        <f t="shared" si="100"/>
        <v>0</v>
      </c>
      <c r="OK9" s="27">
        <f t="shared" si="100"/>
        <v>0</v>
      </c>
      <c r="OL9" s="27">
        <f t="shared" si="100"/>
        <v>9.5</v>
      </c>
      <c r="OM9" s="27">
        <f t="shared" si="100"/>
        <v>2.6</v>
      </c>
      <c r="ON9" s="27">
        <f t="shared" si="100"/>
        <v>0</v>
      </c>
      <c r="OO9" s="27">
        <f t="shared" si="100"/>
        <v>0</v>
      </c>
      <c r="OP9" s="27">
        <f t="shared" si="100"/>
        <v>9.15</v>
      </c>
      <c r="OQ9" s="27">
        <f t="shared" si="100"/>
        <v>2.6</v>
      </c>
      <c r="OR9" s="27">
        <f t="shared" si="100"/>
        <v>0.1</v>
      </c>
      <c r="OS9" s="27">
        <f t="shared" si="100"/>
        <v>0</v>
      </c>
      <c r="OT9" s="27">
        <f t="shared" si="100"/>
        <v>7.65</v>
      </c>
      <c r="OU9" s="27">
        <f t="shared" si="100"/>
        <v>0</v>
      </c>
      <c r="OV9" s="27">
        <f t="shared" si="100"/>
        <v>0</v>
      </c>
      <c r="OW9" s="27">
        <f t="shared" si="100"/>
        <v>0</v>
      </c>
      <c r="OX9" s="32" t="s">
        <v>44</v>
      </c>
      <c r="OY9" s="55">
        <f t="shared" si="101"/>
        <v>4</v>
      </c>
      <c r="OZ9" s="55">
        <f t="shared" si="102"/>
        <v>21.1</v>
      </c>
      <c r="PA9" s="55">
        <f t="shared" si="103"/>
        <v>2.6</v>
      </c>
      <c r="PB9" s="55">
        <f t="shared" si="104"/>
        <v>19.299999999999997</v>
      </c>
      <c r="PC9" s="55">
        <f t="shared" si="105"/>
        <v>40.4</v>
      </c>
    </row>
    <row r="10" spans="1:419" ht="17" x14ac:dyDescent="0.2">
      <c r="O10" s="11"/>
      <c r="P10" s="11"/>
      <c r="Q10" s="11"/>
    </row>
    <row r="11" spans="1:419" ht="17" x14ac:dyDescent="0.2">
      <c r="O11" s="11"/>
      <c r="P11" s="11"/>
      <c r="Q11" s="11"/>
    </row>
    <row r="12" spans="1:419" ht="17" x14ac:dyDescent="0.2">
      <c r="B12" s="28" t="s">
        <v>42</v>
      </c>
      <c r="O12" s="11"/>
      <c r="P12" s="11"/>
      <c r="Q12" s="11"/>
      <c r="AI12" s="4"/>
      <c r="AM12" s="57">
        <v>13.2</v>
      </c>
      <c r="BE12" s="4"/>
      <c r="BI12" s="57">
        <v>13.2</v>
      </c>
      <c r="CA12" s="4"/>
      <c r="CE12" s="57">
        <v>13.2</v>
      </c>
      <c r="DB12" s="4"/>
      <c r="DG12" s="57">
        <v>13.2</v>
      </c>
      <c r="EB12" s="4"/>
      <c r="EG12" s="57">
        <v>13.2</v>
      </c>
      <c r="FB12" s="4"/>
      <c r="FG12" s="57">
        <v>13.2</v>
      </c>
      <c r="GB12" s="4"/>
      <c r="GG12" s="57">
        <v>13.2</v>
      </c>
      <c r="HB12" s="4"/>
      <c r="HG12" s="57">
        <v>13.2</v>
      </c>
      <c r="IB12" s="4"/>
      <c r="IG12" s="57">
        <v>13.2</v>
      </c>
      <c r="JB12" s="4"/>
      <c r="JG12" s="57">
        <v>13.2</v>
      </c>
      <c r="KB12" s="4"/>
      <c r="KG12" s="57">
        <v>13.2</v>
      </c>
      <c r="LB12" s="4"/>
      <c r="LG12" s="57">
        <v>13.2</v>
      </c>
      <c r="MB12" s="4"/>
      <c r="MG12" s="57">
        <v>13.2</v>
      </c>
      <c r="NB12" s="4"/>
      <c r="NG12" s="57">
        <v>13.2</v>
      </c>
      <c r="OB12" s="4"/>
      <c r="OG12" s="57">
        <v>13.2</v>
      </c>
    </row>
    <row r="13" spans="1:419" ht="17" hidden="1" x14ac:dyDescent="0.2">
      <c r="B13" s="35" t="s">
        <v>41</v>
      </c>
      <c r="O13" s="11"/>
      <c r="P13" s="11"/>
      <c r="Q13" s="11"/>
      <c r="AI13" s="4"/>
      <c r="AM13" s="58">
        <v>1000</v>
      </c>
      <c r="BE13" s="4"/>
      <c r="BI13" s="58">
        <v>1000</v>
      </c>
      <c r="CA13" s="4"/>
      <c r="CE13" s="58">
        <v>1000</v>
      </c>
      <c r="DB13" s="4"/>
      <c r="DG13" s="58">
        <v>1000</v>
      </c>
      <c r="EB13" s="4"/>
      <c r="EG13" s="58">
        <v>1000</v>
      </c>
      <c r="FB13" s="4"/>
      <c r="FG13" s="58">
        <v>1000</v>
      </c>
      <c r="GB13" s="4"/>
      <c r="GG13" s="58">
        <v>1000</v>
      </c>
      <c r="HB13" s="4"/>
      <c r="HG13" s="58">
        <v>1000</v>
      </c>
      <c r="IB13" s="4"/>
      <c r="IG13" s="58">
        <v>1000</v>
      </c>
      <c r="JB13" s="4"/>
      <c r="JG13" s="58">
        <v>1000</v>
      </c>
      <c r="KB13" s="4"/>
      <c r="KG13" s="58">
        <v>1000</v>
      </c>
      <c r="LB13" s="4"/>
      <c r="LG13" s="58">
        <v>1000</v>
      </c>
      <c r="MB13" s="4"/>
      <c r="MG13" s="58">
        <v>1000</v>
      </c>
      <c r="NB13" s="4"/>
      <c r="NG13" s="58">
        <v>1000</v>
      </c>
      <c r="OB13" s="4"/>
      <c r="OG13" s="58">
        <v>1000</v>
      </c>
    </row>
    <row r="14" spans="1:419" ht="17" hidden="1" x14ac:dyDescent="0.2">
      <c r="A14" s="5"/>
      <c r="B14" s="36" t="s">
        <v>54</v>
      </c>
      <c r="C14" s="22"/>
      <c r="O14" s="11"/>
      <c r="P14" s="11"/>
      <c r="Q14" s="11"/>
      <c r="AI14" s="4"/>
      <c r="AM14" s="59">
        <v>1000</v>
      </c>
      <c r="BE14" s="4"/>
      <c r="BI14" s="59">
        <v>1000</v>
      </c>
      <c r="CA14" s="4"/>
      <c r="CE14" s="59">
        <v>1000</v>
      </c>
      <c r="DB14" s="4"/>
      <c r="DG14" s="59">
        <v>1000</v>
      </c>
      <c r="EB14" s="4"/>
      <c r="EG14" s="59">
        <v>1000</v>
      </c>
      <c r="FB14" s="4"/>
      <c r="FG14" s="59">
        <v>1000</v>
      </c>
      <c r="GB14" s="4"/>
      <c r="GG14" s="59">
        <v>1000</v>
      </c>
      <c r="HB14" s="4"/>
      <c r="HG14" s="59">
        <v>1000</v>
      </c>
      <c r="IB14" s="4"/>
      <c r="IG14" s="59">
        <v>1000</v>
      </c>
      <c r="JB14" s="4"/>
      <c r="JG14" s="59">
        <v>1000</v>
      </c>
      <c r="KB14" s="4"/>
      <c r="KG14" s="59">
        <v>1000</v>
      </c>
      <c r="LB14" s="4"/>
      <c r="LG14" s="59">
        <v>1000</v>
      </c>
      <c r="MB14" s="4"/>
      <c r="MG14" s="59">
        <v>1000</v>
      </c>
      <c r="NB14" s="4"/>
      <c r="NG14" s="59">
        <v>1000</v>
      </c>
      <c r="OB14" s="4"/>
      <c r="OG14" s="59">
        <v>1000</v>
      </c>
    </row>
    <row r="15" spans="1:419" ht="17" hidden="1" x14ac:dyDescent="0.2">
      <c r="A15" s="5"/>
      <c r="B15" s="44" t="s">
        <v>59</v>
      </c>
      <c r="C15" s="22"/>
      <c r="O15" s="11"/>
      <c r="P15" s="11"/>
      <c r="Q15" s="11"/>
      <c r="AI15" s="4"/>
      <c r="AM15" s="65">
        <v>1000</v>
      </c>
      <c r="BE15" s="4"/>
      <c r="BI15" s="65">
        <v>1000</v>
      </c>
      <c r="CA15" s="4"/>
      <c r="CE15" s="65">
        <v>1000</v>
      </c>
      <c r="DB15" s="4"/>
      <c r="DG15" s="65">
        <v>1000</v>
      </c>
      <c r="EB15" s="4"/>
      <c r="EG15" s="65">
        <v>1000</v>
      </c>
      <c r="FB15" s="4"/>
      <c r="FG15" s="65">
        <v>1000</v>
      </c>
      <c r="GB15" s="4"/>
      <c r="GG15" s="65">
        <v>1000</v>
      </c>
      <c r="HB15" s="4"/>
      <c r="HG15" s="65">
        <v>1000</v>
      </c>
      <c r="IB15" s="4"/>
      <c r="IG15" s="65">
        <v>1000</v>
      </c>
      <c r="JB15" s="4"/>
      <c r="JG15" s="65">
        <v>1000</v>
      </c>
      <c r="KB15" s="4"/>
      <c r="KG15" s="65">
        <v>1000</v>
      </c>
      <c r="LB15" s="4"/>
      <c r="LG15" s="65">
        <v>1000</v>
      </c>
      <c r="MB15" s="4"/>
      <c r="MG15" s="65">
        <v>1000</v>
      </c>
      <c r="NB15" s="4"/>
      <c r="NG15" s="65">
        <v>1000</v>
      </c>
      <c r="OB15" s="4"/>
      <c r="OG15" s="65">
        <v>1000</v>
      </c>
    </row>
    <row r="16" spans="1:419" ht="17" x14ac:dyDescent="0.2">
      <c r="A16" s="5"/>
      <c r="B16" s="42" t="s">
        <v>39</v>
      </c>
      <c r="C16" s="22"/>
      <c r="O16" s="11"/>
      <c r="P16" s="11"/>
      <c r="Q16" s="11"/>
      <c r="AI16" s="4"/>
      <c r="AM16" s="66">
        <v>50</v>
      </c>
      <c r="BE16" s="4"/>
      <c r="BI16" s="66">
        <v>50</v>
      </c>
      <c r="CA16" s="4"/>
      <c r="CE16" s="66">
        <v>50</v>
      </c>
      <c r="DB16" s="4"/>
      <c r="DG16" s="66">
        <v>50</v>
      </c>
      <c r="EB16" s="4"/>
      <c r="EG16" s="66">
        <v>50</v>
      </c>
      <c r="FB16" s="4"/>
      <c r="FG16" s="66">
        <v>50</v>
      </c>
      <c r="GB16" s="4"/>
      <c r="GG16" s="66">
        <v>50</v>
      </c>
      <c r="HB16" s="4"/>
      <c r="HG16" s="66">
        <v>50</v>
      </c>
      <c r="IB16" s="4"/>
      <c r="IG16" s="66">
        <v>50</v>
      </c>
      <c r="JB16" s="4"/>
      <c r="JG16" s="66">
        <v>50</v>
      </c>
      <c r="KB16" s="4"/>
      <c r="KG16" s="66">
        <v>50</v>
      </c>
      <c r="LB16" s="4"/>
      <c r="LG16" s="66">
        <v>50</v>
      </c>
      <c r="MB16" s="4"/>
      <c r="MG16" s="66">
        <v>50</v>
      </c>
      <c r="NB16" s="4"/>
      <c r="NG16" s="66">
        <v>50</v>
      </c>
      <c r="OB16" s="4"/>
      <c r="OG16" s="66">
        <v>50</v>
      </c>
    </row>
    <row r="17" spans="1:397" ht="17" hidden="1" x14ac:dyDescent="0.2">
      <c r="A17" s="5"/>
      <c r="B17" s="29" t="s">
        <v>40</v>
      </c>
      <c r="C17" s="22"/>
      <c r="O17" s="11"/>
      <c r="P17" s="11"/>
      <c r="Q17" s="11"/>
      <c r="AI17" s="4"/>
      <c r="AM17" s="62">
        <v>1000</v>
      </c>
      <c r="BE17" s="4"/>
      <c r="BI17" s="62">
        <v>1000</v>
      </c>
      <c r="CA17" s="4"/>
      <c r="CE17" s="62">
        <v>1000</v>
      </c>
      <c r="DB17" s="4"/>
      <c r="DG17" s="62">
        <v>1000</v>
      </c>
      <c r="EB17" s="4"/>
      <c r="EG17" s="62">
        <v>1000</v>
      </c>
      <c r="FB17" s="4"/>
      <c r="FG17" s="62">
        <v>1000</v>
      </c>
      <c r="GB17" s="4"/>
      <c r="GG17" s="62">
        <v>1000</v>
      </c>
      <c r="HB17" s="4"/>
      <c r="HG17" s="62">
        <v>1000</v>
      </c>
      <c r="IB17" s="4"/>
      <c r="IG17" s="62">
        <v>1000</v>
      </c>
      <c r="JB17" s="4"/>
      <c r="JG17" s="62">
        <v>1000</v>
      </c>
      <c r="KB17" s="4"/>
      <c r="KG17" s="62">
        <v>1000</v>
      </c>
      <c r="LB17" s="4"/>
      <c r="LG17" s="62">
        <v>1000</v>
      </c>
      <c r="MB17" s="4"/>
      <c r="MG17" s="62">
        <v>1000</v>
      </c>
      <c r="NB17" s="4"/>
      <c r="NG17" s="62">
        <v>1000</v>
      </c>
      <c r="OB17" s="4"/>
      <c r="OG17" s="62">
        <v>1000</v>
      </c>
    </row>
    <row r="18" spans="1:397" ht="17" hidden="1" x14ac:dyDescent="0.2">
      <c r="A18" s="5"/>
      <c r="B18" s="40" t="s">
        <v>53</v>
      </c>
      <c r="C18" s="22"/>
      <c r="O18" s="11"/>
      <c r="P18" s="11"/>
      <c r="Q18" s="11"/>
      <c r="AI18" s="4"/>
      <c r="AM18" s="63">
        <v>1000</v>
      </c>
      <c r="BE18" s="4"/>
      <c r="BI18" s="63">
        <v>1000</v>
      </c>
      <c r="CA18" s="4"/>
      <c r="CE18" s="63">
        <v>1000</v>
      </c>
      <c r="DB18" s="4"/>
      <c r="DG18" s="63">
        <v>1000</v>
      </c>
      <c r="EB18" s="4"/>
      <c r="EG18" s="63">
        <v>1000</v>
      </c>
      <c r="FB18" s="4"/>
      <c r="FG18" s="63">
        <v>1000</v>
      </c>
      <c r="GB18" s="4"/>
      <c r="GG18" s="63">
        <v>1000</v>
      </c>
      <c r="HB18" s="4"/>
      <c r="HG18" s="63">
        <v>1000</v>
      </c>
      <c r="IB18" s="4"/>
      <c r="IG18" s="63">
        <v>1000</v>
      </c>
      <c r="JB18" s="4"/>
      <c r="JG18" s="63">
        <v>1000</v>
      </c>
      <c r="KB18" s="4"/>
      <c r="KG18" s="63">
        <v>1000</v>
      </c>
      <c r="LB18" s="4"/>
      <c r="LG18" s="63">
        <v>1000</v>
      </c>
      <c r="MB18" s="4"/>
      <c r="MG18" s="63">
        <v>1000</v>
      </c>
      <c r="NB18" s="4"/>
      <c r="NG18" s="63">
        <v>1000</v>
      </c>
      <c r="OB18" s="4"/>
      <c r="OG18" s="63">
        <v>1000</v>
      </c>
    </row>
    <row r="19" spans="1:397" ht="17" hidden="1" x14ac:dyDescent="0.2">
      <c r="A19" s="5"/>
      <c r="B19" s="30" t="s">
        <v>26</v>
      </c>
      <c r="C19" s="22"/>
      <c r="O19" s="11"/>
      <c r="P19" s="11"/>
      <c r="Q19" s="11"/>
      <c r="AI19" s="4"/>
      <c r="AM19" s="64">
        <v>1000</v>
      </c>
      <c r="BE19" s="4"/>
      <c r="BI19" s="64">
        <v>1000</v>
      </c>
      <c r="CA19" s="4"/>
      <c r="CE19" s="64">
        <v>1000</v>
      </c>
      <c r="DB19" s="4"/>
      <c r="DG19" s="64">
        <v>1000</v>
      </c>
      <c r="EB19" s="4"/>
      <c r="EG19" s="64">
        <v>1000</v>
      </c>
      <c r="FB19" s="4"/>
      <c r="FG19" s="64">
        <v>1000</v>
      </c>
      <c r="GB19" s="4"/>
      <c r="GG19" s="64">
        <v>1000</v>
      </c>
      <c r="HB19" s="4"/>
      <c r="HG19" s="64">
        <v>1000</v>
      </c>
      <c r="IB19" s="4"/>
      <c r="IG19" s="64">
        <v>1000</v>
      </c>
      <c r="JB19" s="4"/>
      <c r="JG19" s="64">
        <v>1000</v>
      </c>
      <c r="KB19" s="4"/>
      <c r="KG19" s="64">
        <v>1000</v>
      </c>
      <c r="LB19" s="4"/>
      <c r="LG19" s="64">
        <v>1000</v>
      </c>
      <c r="MB19" s="4"/>
      <c r="MG19" s="64">
        <v>1000</v>
      </c>
      <c r="NB19" s="4"/>
      <c r="NG19" s="64">
        <v>1000</v>
      </c>
      <c r="OB19" s="4"/>
      <c r="OG19" s="64">
        <v>1000</v>
      </c>
    </row>
    <row r="20" spans="1:397" x14ac:dyDescent="0.2">
      <c r="B20" s="34" t="s">
        <v>45</v>
      </c>
      <c r="C20" s="2"/>
    </row>
    <row r="21" spans="1:397" x14ac:dyDescent="0.2">
      <c r="A21" s="5"/>
      <c r="B21" s="5"/>
      <c r="C21" s="22"/>
    </row>
    <row r="22" spans="1:397" x14ac:dyDescent="0.2">
      <c r="A22" s="5"/>
      <c r="B22" s="5"/>
      <c r="C22" s="22"/>
    </row>
    <row r="23" spans="1:397" x14ac:dyDescent="0.2">
      <c r="A23" s="5"/>
      <c r="B23" s="5"/>
      <c r="C23" s="22"/>
    </row>
    <row r="24" spans="1:397" x14ac:dyDescent="0.2">
      <c r="A24" s="5"/>
      <c r="B24" s="5"/>
      <c r="C24" s="5"/>
    </row>
  </sheetData>
  <sheetProtection sheet="1" formatCells="0" formatColumns="0" formatRows="0"/>
  <autoFilter ref="A1:PC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9">
      <sortCondition descending="1" ref="F1:F10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73" priority="1">
      <formula>AND(G4&lt;&gt;"",F4="")</formula>
    </cfRule>
    <cfRule type="expression" dxfId="72" priority="13" stopIfTrue="1">
      <formula>IF(A4&gt;4,1,0)</formula>
    </cfRule>
  </conditionalFormatting>
  <conditionalFormatting sqref="H1:H1048576">
    <cfRule type="containsText" dxfId="71" priority="5" operator="containsText" text="No DD">
      <formula>NOT(ISERROR(SEARCH("No DD",H1)))</formula>
    </cfRule>
    <cfRule type="containsText" dxfId="70" priority="6" operator="containsText" text="Merit">
      <formula>NOT(ISERROR(SEARCH("Merit",H1)))</formula>
    </cfRule>
    <cfRule type="containsText" dxfId="69" priority="7" operator="containsText" text="Excellence">
      <formula>NOT(ISERROR(SEARCH("Excellence",H1)))</formula>
    </cfRule>
    <cfRule type="containsText" dxfId="68" priority="8" operator="containsText" text="Worlds Team">
      <formula>NOT(ISERROR(SEARCH("Worlds Team",H1)))</formula>
    </cfRule>
    <cfRule type="containsText" dxfId="67" priority="9" operator="containsText" text="National Team">
      <formula>NOT(ISERROR(SEARCH("National Team",H1)))</formula>
    </cfRule>
  </conditionalFormatting>
  <conditionalFormatting sqref="R4:AM9">
    <cfRule type="expression" dxfId="66" priority="70433" stopIfTrue="1">
      <formula>IF($AH4&lt;&gt;"",1,0)</formula>
    </cfRule>
  </conditionalFormatting>
  <conditionalFormatting sqref="AN4:BI9">
    <cfRule type="expression" dxfId="65" priority="70451" stopIfTrue="1">
      <formula>IF($BD4&lt;&gt;"",1,0)</formula>
    </cfRule>
  </conditionalFormatting>
  <conditionalFormatting sqref="J1:J1048576 N1:N1048576 L1:L1048576">
    <cfRule type="expression" dxfId="64" priority="70466">
      <formula>IF(J1=$BJ$1,1,0)</formula>
    </cfRule>
    <cfRule type="expression" dxfId="63" priority="70467">
      <formula>IF(J1=$AN$1,1,0)</formula>
    </cfRule>
    <cfRule type="expression" dxfId="62" priority="70468">
      <formula>IF(J1=$R$1,1,0)</formula>
    </cfRule>
  </conditionalFormatting>
  <conditionalFormatting sqref="BJ4:CE9">
    <cfRule type="expression" dxfId="61" priority="70469" stopIfTrue="1">
      <formula>IF($BZ4&lt;&gt;"",1,0)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60" priority="82570" operator="between">
      <formula>DG$15</formula>
      <formula>1000</formula>
    </cfRule>
    <cfRule type="cellIs" dxfId="59" priority="82571" operator="between">
      <formula>DG$14</formula>
      <formula>DG$15</formula>
    </cfRule>
    <cfRule type="cellIs" dxfId="58" priority="82572" operator="between">
      <formula>DG$13</formula>
      <formula>DG$14</formula>
    </cfRule>
    <cfRule type="cellIs" dxfId="57" priority="82573" operator="between">
      <formula>DG$12</formula>
      <formula>DG$13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56" priority="82714" operator="between">
      <formula>DG$19</formula>
      <formula>1000</formula>
    </cfRule>
    <cfRule type="cellIs" dxfId="55" priority="82715" operator="between">
      <formula>DG$18</formula>
      <formula>DG$19</formula>
    </cfRule>
    <cfRule type="cellIs" dxfId="54" priority="82716" operator="between">
      <formula>DG$17</formula>
      <formula>DG$18</formula>
    </cfRule>
    <cfRule type="cellIs" dxfId="53" priority="82717" operator="between">
      <formula>DG$16</formula>
      <formula>DG$17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52" priority="82858" operator="between">
      <formula>AM$15</formula>
      <formula>1000</formula>
    </cfRule>
    <cfRule type="cellIs" dxfId="51" priority="82859" operator="between">
      <formula>AM$14</formula>
      <formula>AM$15</formula>
    </cfRule>
    <cfRule type="cellIs" dxfId="50" priority="82860" operator="between">
      <formula>AM$13</formula>
      <formula>AM$14</formula>
    </cfRule>
    <cfRule type="cellIs" dxfId="49" priority="82861" operator="between">
      <formula>AM$12</formula>
      <formula>AM$13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48" priority="83038" operator="between">
      <formula>AM$16</formula>
      <formula>AM$17</formula>
    </cfRule>
    <cfRule type="cellIs" dxfId="47" priority="83039" operator="between">
      <formula>AM$17</formula>
      <formula>AM$18</formula>
    </cfRule>
    <cfRule type="cellIs" dxfId="46" priority="83040" operator="between">
      <formula>AM$18</formula>
      <formula>AM$19</formula>
    </cfRule>
    <cfRule type="cellIs" dxfId="45" priority="83041" operator="between">
      <formula>AM$19</formula>
      <formula>1000</formula>
    </cfRule>
  </conditionalFormatting>
  <conditionalFormatting sqref="AI1:AI1048576 BE1:BE1048576 CA1:CA1048576">
    <cfRule type="cellIs" dxfId="44" priority="83218" operator="between">
      <formula>AM$15</formula>
      <formula>1000</formula>
    </cfRule>
    <cfRule type="cellIs" dxfId="43" priority="83219" operator="between">
      <formula>AM$14</formula>
      <formula>AM$15</formula>
    </cfRule>
    <cfRule type="cellIs" dxfId="42" priority="83220" operator="between">
      <formula>AM$13</formula>
      <formula>AM$14</formula>
    </cfRule>
    <cfRule type="cellIs" dxfId="41" priority="83221" operator="between">
      <formula>AM$12</formula>
      <formula>AM$13</formula>
    </cfRule>
  </conditionalFormatting>
  <conditionalFormatting sqref="AJ1:AJ1048576 BF1:BF1048576 CB1:CB1048576">
    <cfRule type="cellIs" dxfId="40" priority="83254" operator="between">
      <formula>AM$19</formula>
      <formula>1000</formula>
    </cfRule>
    <cfRule type="cellIs" dxfId="39" priority="83255" operator="between">
      <formula>AM$18</formula>
      <formula>AM$19</formula>
    </cfRule>
    <cfRule type="cellIs" dxfId="38" priority="83256" operator="between">
      <formula>AM$17</formula>
      <formula>AM$18</formula>
    </cfRule>
    <cfRule type="cellIs" dxfId="37" priority="83257" operator="between">
      <formula>AM$16</formula>
      <formula>AM$17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C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64</v>
      </c>
      <c r="J1" s="75" t="s">
        <v>24</v>
      </c>
      <c r="K1" s="81" t="s">
        <v>65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75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84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97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99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66</v>
      </c>
      <c r="S2" s="69"/>
      <c r="T2" s="69"/>
      <c r="U2" s="69"/>
      <c r="V2" s="69" t="s">
        <v>67</v>
      </c>
      <c r="W2" s="69"/>
      <c r="X2" s="69"/>
      <c r="Y2" s="69"/>
      <c r="Z2" s="69" t="s">
        <v>69</v>
      </c>
      <c r="AA2" s="69"/>
      <c r="AB2" s="69"/>
      <c r="AC2" s="69"/>
      <c r="AD2" s="78" t="s">
        <v>70</v>
      </c>
      <c r="AE2" s="78"/>
      <c r="AF2" s="78"/>
      <c r="AG2" s="78"/>
      <c r="AH2" s="16"/>
      <c r="AI2" s="16" t="s">
        <v>98</v>
      </c>
      <c r="AJ2" s="16" t="s">
        <v>20</v>
      </c>
      <c r="AK2" s="16" t="s">
        <v>56</v>
      </c>
      <c r="AL2" s="16" t="s">
        <v>73</v>
      </c>
      <c r="AM2" s="16" t="s">
        <v>14</v>
      </c>
      <c r="AN2" s="70" t="s">
        <v>66</v>
      </c>
      <c r="AO2" s="70"/>
      <c r="AP2" s="70"/>
      <c r="AQ2" s="70"/>
      <c r="AR2" s="70" t="s">
        <v>67</v>
      </c>
      <c r="AS2" s="70"/>
      <c r="AT2" s="70"/>
      <c r="AU2" s="70"/>
      <c r="AV2" s="70" t="s">
        <v>69</v>
      </c>
      <c r="AW2" s="70"/>
      <c r="AX2" s="70"/>
      <c r="AY2" s="70"/>
      <c r="AZ2" s="79" t="s">
        <v>70</v>
      </c>
      <c r="BA2" s="79"/>
      <c r="BB2" s="79"/>
      <c r="BC2" s="79"/>
      <c r="BD2" s="17"/>
      <c r="BE2" s="17" t="s">
        <v>98</v>
      </c>
      <c r="BF2" s="17" t="s">
        <v>20</v>
      </c>
      <c r="BG2" s="17" t="s">
        <v>56</v>
      </c>
      <c r="BH2" s="17" t="s">
        <v>73</v>
      </c>
      <c r="BI2" s="17" t="s">
        <v>14</v>
      </c>
      <c r="BJ2" s="69" t="s">
        <v>66</v>
      </c>
      <c r="BK2" s="69"/>
      <c r="BL2" s="69"/>
      <c r="BM2" s="69"/>
      <c r="BN2" s="69" t="s">
        <v>67</v>
      </c>
      <c r="BO2" s="69"/>
      <c r="BP2" s="69"/>
      <c r="BQ2" s="69"/>
      <c r="BR2" s="69" t="s">
        <v>69</v>
      </c>
      <c r="BS2" s="69"/>
      <c r="BT2" s="69"/>
      <c r="BU2" s="69"/>
      <c r="BV2" s="78" t="s">
        <v>70</v>
      </c>
      <c r="BW2" s="78"/>
      <c r="BX2" s="78"/>
      <c r="BY2" s="78"/>
      <c r="BZ2" s="16"/>
      <c r="CA2" s="16" t="s">
        <v>98</v>
      </c>
      <c r="CB2" s="16" t="s">
        <v>20</v>
      </c>
      <c r="CC2" s="16" t="s">
        <v>56</v>
      </c>
      <c r="CD2" s="16" t="s">
        <v>73</v>
      </c>
      <c r="CE2" s="16" t="s">
        <v>14</v>
      </c>
      <c r="CF2" s="54" t="s">
        <v>72</v>
      </c>
      <c r="CG2" s="54" t="s">
        <v>19</v>
      </c>
      <c r="CH2" s="69" t="s">
        <v>66</v>
      </c>
      <c r="CI2" s="69"/>
      <c r="CJ2" s="69"/>
      <c r="CK2" s="69"/>
      <c r="CL2" s="69" t="s">
        <v>67</v>
      </c>
      <c r="CM2" s="69"/>
      <c r="CN2" s="69"/>
      <c r="CO2" s="69"/>
      <c r="CP2" s="69" t="s">
        <v>68</v>
      </c>
      <c r="CQ2" s="69"/>
      <c r="CR2" s="69"/>
      <c r="CS2" s="69"/>
      <c r="CT2" s="69" t="s">
        <v>69</v>
      </c>
      <c r="CU2" s="69"/>
      <c r="CV2" s="69"/>
      <c r="CW2" s="69"/>
      <c r="CX2" s="80" t="s">
        <v>70</v>
      </c>
      <c r="CY2" s="80"/>
      <c r="CZ2" s="80"/>
      <c r="DA2" s="80"/>
      <c r="DB2" s="16" t="s">
        <v>71</v>
      </c>
      <c r="DC2" s="16" t="s">
        <v>72</v>
      </c>
      <c r="DD2" s="16" t="s">
        <v>68</v>
      </c>
      <c r="DE2" s="16" t="s">
        <v>56</v>
      </c>
      <c r="DF2" s="16" t="s">
        <v>73</v>
      </c>
      <c r="DG2" s="16" t="s">
        <v>14</v>
      </c>
      <c r="DH2" s="70" t="s">
        <v>66</v>
      </c>
      <c r="DI2" s="70"/>
      <c r="DJ2" s="70"/>
      <c r="DK2" s="70"/>
      <c r="DL2" s="70" t="s">
        <v>67</v>
      </c>
      <c r="DM2" s="70"/>
      <c r="DN2" s="70"/>
      <c r="DO2" s="70"/>
      <c r="DP2" s="70" t="s">
        <v>68</v>
      </c>
      <c r="DQ2" s="70"/>
      <c r="DR2" s="70"/>
      <c r="DS2" s="70"/>
      <c r="DT2" s="70" t="s">
        <v>69</v>
      </c>
      <c r="DU2" s="70"/>
      <c r="DV2" s="70"/>
      <c r="DW2" s="70"/>
      <c r="DX2" s="79" t="s">
        <v>70</v>
      </c>
      <c r="DY2" s="79"/>
      <c r="DZ2" s="79"/>
      <c r="EA2" s="79"/>
      <c r="EB2" s="17" t="s">
        <v>71</v>
      </c>
      <c r="EC2" s="17" t="s">
        <v>72</v>
      </c>
      <c r="ED2" s="17" t="s">
        <v>68</v>
      </c>
      <c r="EE2" s="17" t="s">
        <v>56</v>
      </c>
      <c r="EF2" s="17" t="s">
        <v>73</v>
      </c>
      <c r="EG2" s="17" t="s">
        <v>14</v>
      </c>
      <c r="EH2" s="69" t="s">
        <v>66</v>
      </c>
      <c r="EI2" s="69"/>
      <c r="EJ2" s="69"/>
      <c r="EK2" s="69"/>
      <c r="EL2" s="69" t="s">
        <v>67</v>
      </c>
      <c r="EM2" s="69"/>
      <c r="EN2" s="69"/>
      <c r="EO2" s="69"/>
      <c r="EP2" s="69" t="s">
        <v>68</v>
      </c>
      <c r="EQ2" s="69"/>
      <c r="ER2" s="69"/>
      <c r="ES2" s="69"/>
      <c r="ET2" s="69" t="s">
        <v>69</v>
      </c>
      <c r="EU2" s="69"/>
      <c r="EV2" s="69"/>
      <c r="EW2" s="69"/>
      <c r="EX2" s="80" t="s">
        <v>70</v>
      </c>
      <c r="EY2" s="80"/>
      <c r="EZ2" s="80"/>
      <c r="FA2" s="80"/>
      <c r="FB2" s="16" t="s">
        <v>71</v>
      </c>
      <c r="FC2" s="16" t="s">
        <v>72</v>
      </c>
      <c r="FD2" s="16" t="s">
        <v>68</v>
      </c>
      <c r="FE2" s="16" t="s">
        <v>56</v>
      </c>
      <c r="FF2" s="16" t="s">
        <v>73</v>
      </c>
      <c r="FG2" s="16" t="s">
        <v>14</v>
      </c>
      <c r="FH2" s="70" t="s">
        <v>66</v>
      </c>
      <c r="FI2" s="70"/>
      <c r="FJ2" s="70"/>
      <c r="FK2" s="70"/>
      <c r="FL2" s="70" t="s">
        <v>67</v>
      </c>
      <c r="FM2" s="70"/>
      <c r="FN2" s="70"/>
      <c r="FO2" s="70"/>
      <c r="FP2" s="70" t="s">
        <v>68</v>
      </c>
      <c r="FQ2" s="70"/>
      <c r="FR2" s="70"/>
      <c r="FS2" s="70"/>
      <c r="FT2" s="70" t="s">
        <v>69</v>
      </c>
      <c r="FU2" s="70"/>
      <c r="FV2" s="70"/>
      <c r="FW2" s="70"/>
      <c r="FX2" s="79" t="s">
        <v>70</v>
      </c>
      <c r="FY2" s="79"/>
      <c r="FZ2" s="79"/>
      <c r="GA2" s="79"/>
      <c r="GB2" s="17" t="s">
        <v>71</v>
      </c>
      <c r="GC2" s="17" t="s">
        <v>72</v>
      </c>
      <c r="GD2" s="17" t="s">
        <v>68</v>
      </c>
      <c r="GE2" s="17" t="s">
        <v>56</v>
      </c>
      <c r="GF2" s="17" t="s">
        <v>73</v>
      </c>
      <c r="GG2" s="17" t="s">
        <v>14</v>
      </c>
      <c r="GH2" s="69" t="s">
        <v>66</v>
      </c>
      <c r="GI2" s="69"/>
      <c r="GJ2" s="69"/>
      <c r="GK2" s="69"/>
      <c r="GL2" s="69" t="s">
        <v>67</v>
      </c>
      <c r="GM2" s="69"/>
      <c r="GN2" s="69"/>
      <c r="GO2" s="69"/>
      <c r="GP2" s="69" t="s">
        <v>68</v>
      </c>
      <c r="GQ2" s="69"/>
      <c r="GR2" s="69"/>
      <c r="GS2" s="69"/>
      <c r="GT2" s="69" t="s">
        <v>69</v>
      </c>
      <c r="GU2" s="69"/>
      <c r="GV2" s="69"/>
      <c r="GW2" s="69"/>
      <c r="GX2" s="80" t="s">
        <v>70</v>
      </c>
      <c r="GY2" s="80"/>
      <c r="GZ2" s="80"/>
      <c r="HA2" s="80"/>
      <c r="HB2" s="16" t="s">
        <v>71</v>
      </c>
      <c r="HC2" s="16" t="s">
        <v>72</v>
      </c>
      <c r="HD2" s="16" t="s">
        <v>68</v>
      </c>
      <c r="HE2" s="16" t="s">
        <v>56</v>
      </c>
      <c r="HF2" s="16" t="s">
        <v>73</v>
      </c>
      <c r="HG2" s="16" t="s">
        <v>14</v>
      </c>
      <c r="HH2" s="70" t="s">
        <v>66</v>
      </c>
      <c r="HI2" s="70"/>
      <c r="HJ2" s="70"/>
      <c r="HK2" s="70"/>
      <c r="HL2" s="70" t="s">
        <v>67</v>
      </c>
      <c r="HM2" s="70"/>
      <c r="HN2" s="70"/>
      <c r="HO2" s="70"/>
      <c r="HP2" s="70" t="s">
        <v>68</v>
      </c>
      <c r="HQ2" s="70"/>
      <c r="HR2" s="70"/>
      <c r="HS2" s="70"/>
      <c r="HT2" s="70" t="s">
        <v>69</v>
      </c>
      <c r="HU2" s="70"/>
      <c r="HV2" s="70"/>
      <c r="HW2" s="70"/>
      <c r="HX2" s="79" t="s">
        <v>70</v>
      </c>
      <c r="HY2" s="79"/>
      <c r="HZ2" s="79"/>
      <c r="IA2" s="79"/>
      <c r="IB2" s="17" t="s">
        <v>71</v>
      </c>
      <c r="IC2" s="17" t="s">
        <v>72</v>
      </c>
      <c r="ID2" s="17" t="s">
        <v>68</v>
      </c>
      <c r="IE2" s="17" t="s">
        <v>56</v>
      </c>
      <c r="IF2" s="17" t="s">
        <v>73</v>
      </c>
      <c r="IG2" s="17" t="s">
        <v>14</v>
      </c>
      <c r="IH2" s="69" t="s">
        <v>66</v>
      </c>
      <c r="II2" s="69"/>
      <c r="IJ2" s="69"/>
      <c r="IK2" s="69"/>
      <c r="IL2" s="69" t="s">
        <v>67</v>
      </c>
      <c r="IM2" s="69"/>
      <c r="IN2" s="69"/>
      <c r="IO2" s="69"/>
      <c r="IP2" s="69" t="s">
        <v>68</v>
      </c>
      <c r="IQ2" s="69"/>
      <c r="IR2" s="69"/>
      <c r="IS2" s="69"/>
      <c r="IT2" s="69" t="s">
        <v>69</v>
      </c>
      <c r="IU2" s="69"/>
      <c r="IV2" s="69"/>
      <c r="IW2" s="69"/>
      <c r="IX2" s="80" t="s">
        <v>70</v>
      </c>
      <c r="IY2" s="80"/>
      <c r="IZ2" s="80"/>
      <c r="JA2" s="80"/>
      <c r="JB2" s="16" t="s">
        <v>71</v>
      </c>
      <c r="JC2" s="16" t="s">
        <v>72</v>
      </c>
      <c r="JD2" s="16" t="s">
        <v>68</v>
      </c>
      <c r="JE2" s="16" t="s">
        <v>56</v>
      </c>
      <c r="JF2" s="16" t="s">
        <v>73</v>
      </c>
      <c r="JG2" s="16" t="s">
        <v>14</v>
      </c>
      <c r="JH2" s="70" t="s">
        <v>66</v>
      </c>
      <c r="JI2" s="70"/>
      <c r="JJ2" s="70"/>
      <c r="JK2" s="70"/>
      <c r="JL2" s="70" t="s">
        <v>67</v>
      </c>
      <c r="JM2" s="70"/>
      <c r="JN2" s="70"/>
      <c r="JO2" s="70"/>
      <c r="JP2" s="70" t="s">
        <v>68</v>
      </c>
      <c r="JQ2" s="70"/>
      <c r="JR2" s="70"/>
      <c r="JS2" s="70"/>
      <c r="JT2" s="70" t="s">
        <v>69</v>
      </c>
      <c r="JU2" s="70"/>
      <c r="JV2" s="70"/>
      <c r="JW2" s="70"/>
      <c r="JX2" s="79" t="s">
        <v>70</v>
      </c>
      <c r="JY2" s="79"/>
      <c r="JZ2" s="79"/>
      <c r="KA2" s="79"/>
      <c r="KB2" s="17" t="s">
        <v>71</v>
      </c>
      <c r="KC2" s="17" t="s">
        <v>72</v>
      </c>
      <c r="KD2" s="17" t="s">
        <v>68</v>
      </c>
      <c r="KE2" s="17" t="s">
        <v>56</v>
      </c>
      <c r="KF2" s="17" t="s">
        <v>73</v>
      </c>
      <c r="KG2" s="17" t="s">
        <v>14</v>
      </c>
      <c r="KH2" s="69" t="s">
        <v>66</v>
      </c>
      <c r="KI2" s="69"/>
      <c r="KJ2" s="69"/>
      <c r="KK2" s="69"/>
      <c r="KL2" s="69" t="s">
        <v>67</v>
      </c>
      <c r="KM2" s="69"/>
      <c r="KN2" s="69"/>
      <c r="KO2" s="69"/>
      <c r="KP2" s="69" t="s">
        <v>68</v>
      </c>
      <c r="KQ2" s="69"/>
      <c r="KR2" s="69"/>
      <c r="KS2" s="69"/>
      <c r="KT2" s="69" t="s">
        <v>69</v>
      </c>
      <c r="KU2" s="69"/>
      <c r="KV2" s="69"/>
      <c r="KW2" s="69"/>
      <c r="KX2" s="80" t="s">
        <v>70</v>
      </c>
      <c r="KY2" s="80"/>
      <c r="KZ2" s="80"/>
      <c r="LA2" s="80"/>
      <c r="LB2" s="16" t="s">
        <v>71</v>
      </c>
      <c r="LC2" s="16" t="s">
        <v>72</v>
      </c>
      <c r="LD2" s="16" t="s">
        <v>68</v>
      </c>
      <c r="LE2" s="16" t="s">
        <v>56</v>
      </c>
      <c r="LF2" s="16" t="s">
        <v>73</v>
      </c>
      <c r="LG2" s="16" t="s">
        <v>14</v>
      </c>
      <c r="LH2" s="70" t="s">
        <v>66</v>
      </c>
      <c r="LI2" s="70"/>
      <c r="LJ2" s="70"/>
      <c r="LK2" s="70"/>
      <c r="LL2" s="70" t="s">
        <v>67</v>
      </c>
      <c r="LM2" s="70"/>
      <c r="LN2" s="70"/>
      <c r="LO2" s="70"/>
      <c r="LP2" s="70" t="s">
        <v>68</v>
      </c>
      <c r="LQ2" s="70"/>
      <c r="LR2" s="70"/>
      <c r="LS2" s="70"/>
      <c r="LT2" s="70" t="s">
        <v>69</v>
      </c>
      <c r="LU2" s="70"/>
      <c r="LV2" s="70"/>
      <c r="LW2" s="70"/>
      <c r="LX2" s="79" t="s">
        <v>70</v>
      </c>
      <c r="LY2" s="79"/>
      <c r="LZ2" s="79"/>
      <c r="MA2" s="79"/>
      <c r="MB2" s="17" t="s">
        <v>71</v>
      </c>
      <c r="MC2" s="17" t="s">
        <v>72</v>
      </c>
      <c r="MD2" s="17" t="s">
        <v>68</v>
      </c>
      <c r="ME2" s="17" t="s">
        <v>56</v>
      </c>
      <c r="MF2" s="17" t="s">
        <v>73</v>
      </c>
      <c r="MG2" s="17" t="s">
        <v>14</v>
      </c>
      <c r="MH2" s="69" t="s">
        <v>66</v>
      </c>
      <c r="MI2" s="69"/>
      <c r="MJ2" s="69"/>
      <c r="MK2" s="69"/>
      <c r="ML2" s="69" t="s">
        <v>67</v>
      </c>
      <c r="MM2" s="69"/>
      <c r="MN2" s="69"/>
      <c r="MO2" s="69"/>
      <c r="MP2" s="69" t="s">
        <v>68</v>
      </c>
      <c r="MQ2" s="69"/>
      <c r="MR2" s="69"/>
      <c r="MS2" s="69"/>
      <c r="MT2" s="69" t="s">
        <v>69</v>
      </c>
      <c r="MU2" s="69"/>
      <c r="MV2" s="69"/>
      <c r="MW2" s="69"/>
      <c r="MX2" s="80" t="s">
        <v>70</v>
      </c>
      <c r="MY2" s="80"/>
      <c r="MZ2" s="80"/>
      <c r="NA2" s="80"/>
      <c r="NB2" s="16" t="s">
        <v>71</v>
      </c>
      <c r="NC2" s="16" t="s">
        <v>72</v>
      </c>
      <c r="ND2" s="16" t="s">
        <v>68</v>
      </c>
      <c r="NE2" s="16" t="s">
        <v>56</v>
      </c>
      <c r="NF2" s="16" t="s">
        <v>73</v>
      </c>
      <c r="NG2" s="16" t="s">
        <v>14</v>
      </c>
      <c r="NH2" s="70" t="s">
        <v>66</v>
      </c>
      <c r="NI2" s="70"/>
      <c r="NJ2" s="70"/>
      <c r="NK2" s="70"/>
      <c r="NL2" s="70" t="s">
        <v>67</v>
      </c>
      <c r="NM2" s="70"/>
      <c r="NN2" s="70"/>
      <c r="NO2" s="70"/>
      <c r="NP2" s="70" t="s">
        <v>68</v>
      </c>
      <c r="NQ2" s="70"/>
      <c r="NR2" s="70"/>
      <c r="NS2" s="70"/>
      <c r="NT2" s="70" t="s">
        <v>69</v>
      </c>
      <c r="NU2" s="70"/>
      <c r="NV2" s="70"/>
      <c r="NW2" s="70"/>
      <c r="NX2" s="79" t="s">
        <v>70</v>
      </c>
      <c r="NY2" s="79"/>
      <c r="NZ2" s="79"/>
      <c r="OA2" s="79"/>
      <c r="OB2" s="17" t="s">
        <v>71</v>
      </c>
      <c r="OC2" s="17" t="s">
        <v>72</v>
      </c>
      <c r="OD2" s="17" t="s">
        <v>68</v>
      </c>
      <c r="OE2" s="17" t="s">
        <v>56</v>
      </c>
      <c r="OF2" s="17" t="s">
        <v>73</v>
      </c>
      <c r="OG2" s="17" t="s">
        <v>14</v>
      </c>
      <c r="OH2" s="69" t="s">
        <v>66</v>
      </c>
      <c r="OI2" s="69"/>
      <c r="OJ2" s="69"/>
      <c r="OK2" s="69"/>
      <c r="OL2" s="69" t="s">
        <v>67</v>
      </c>
      <c r="OM2" s="69"/>
      <c r="ON2" s="69"/>
      <c r="OO2" s="69"/>
      <c r="OP2" s="69" t="s">
        <v>69</v>
      </c>
      <c r="OQ2" s="69"/>
      <c r="OR2" s="69"/>
      <c r="OS2" s="69"/>
      <c r="OT2" s="78" t="s">
        <v>70</v>
      </c>
      <c r="OU2" s="78"/>
      <c r="OV2" s="78"/>
      <c r="OW2" s="78"/>
      <c r="OX2" s="16"/>
      <c r="OY2" s="16" t="s">
        <v>98</v>
      </c>
      <c r="OZ2" s="16" t="s">
        <v>20</v>
      </c>
      <c r="PA2" s="16" t="s">
        <v>56</v>
      </c>
      <c r="PB2" s="16" t="s">
        <v>73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t="str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/>
      </c>
      <c r="B4" s="5" t="s">
        <v>83</v>
      </c>
      <c r="C4" s="4" t="s">
        <v>63</v>
      </c>
      <c r="D4" s="4">
        <v>2010</v>
      </c>
      <c r="E4" s="10">
        <f>SUM(I4:O4)+SUM(I4:M4)*0.0000001+SUM(I4)*0.0000000000001</f>
        <v>127.10001271000451</v>
      </c>
      <c r="F4" s="3" t="str">
        <f>IF(OR(AND(AI4&gt;=AM$10,AJ4&gt;=AM$14,AI4&lt;&gt;"",AH4=""),AND(AK4&gt;=AM$10,AL4&gt;=AM$14,AK4&lt;&gt;"",AH4=""),AND(BE4&gt;=BI$10,BF4&gt;=BI$14,BE4&lt;&gt;"",BD4=""),AND(BG4&gt;=BI$10,BH4&gt;=BI$14,BG4&lt;&gt;"",BD4=""),AND(CA4&gt;=CE$10,CB4&gt;=CE$14,CA4&lt;&gt;"",BZ4=""),AND(CC4&gt;=CE$10,CD4&gt;=CE$14,CC4&lt;&gt;""),AND(DB4&gt;=DG$10,DC4&gt;=DG$14,DB4&lt;&gt;""),AND(DE4&gt;=DG$10,DF4&gt;=DG$14,DE4&lt;&gt;""),AND(EB4&gt;=EG$10,EC4&gt;=EG$14,EB4&lt;&gt;""),AND(EE4&gt;=EG$10,EF4&gt;=EG$14,EE4&lt;&gt;""),AND(FB4&gt;=FG$10,FC4&gt;=FG$14,FB4&lt;&gt;""),AND(FE4&gt;=FG$10,FF4&gt;=FG$14,FE4&lt;&gt;""),AND(GB4&gt;=GG$10,GC4&gt;=GG$14,GB4&lt;&gt;""),AND(GE4&gt;=GG$10,GF4&gt;=GG$14,GE4&lt;&gt;""),AND(HB4&gt;=HG$10,HC4&gt;=HG$14,HB4&lt;&gt;""),AND(HE4&gt;=HG$10,HF4&gt;=HG$14,HE4&lt;&gt;""),AND(IB4&gt;=IG$10,IC4&gt;=IG$14,IB4&lt;&gt;""),AND(IE4&gt;=IG$10,IF4&gt;=IG$14,IE4&lt;&gt;""),AND(JB4&gt;=JG$10,JC4&gt;=JG$14,JB4&lt;&gt;""),AND(JE4&gt;=JG$10,JF4&gt;=JG$14,JE4&lt;&gt;""),AND(KB4&gt;=KG$10,KC4&gt;=KG$14,KB4&lt;&gt;""),AND(KE4&gt;=KG$10,KF4&gt;=KG$14,KE4&lt;&gt;""),AND(LB4&gt;=LG$10,LC4&gt;=LG$14,LB4&lt;&gt;""),AND(LE4&gt;=LG$10,LF4&gt;=LG$14,LE4&lt;&gt;""),AND(MB4&gt;=MG$10,MC4&gt;=MG$14,MB4&lt;&gt;""),AND(ME4&gt;=MG$10,MF4&gt;=MG$14,ME4&lt;&gt;""),AND(NB4&gt;=NG$10,NC4&gt;=NG$14,NB4&lt;&gt;""),AND(NE4&gt;=NG$10,NF4&gt;=NG$14,NE4&lt;&gt;""),AND(OB4&gt;=OG$10,OC4&gt;=OG$14,OB4&lt;&gt;""),AND(OE4&gt;=OG$10,OF4&gt;=OG$14,OE4&lt;&gt;"")),"P","")</f>
        <v/>
      </c>
      <c r="G4" s="3" t="str">
        <f>IF(OR(AND(AJ4&gt;=AM$14,AJ4&lt;&gt;"",AH4=""),AND(AL4&gt;=AM$14,AL4&lt;&gt;"",AH4=""),AND(BF4&gt;=BI$14,BF4&lt;&gt;"",BD4=""),AND(BH4&gt;=BI$14,BH4&lt;&gt;"",BD4=""),AND(CB4&gt;=CE$14,CB4&lt;&gt;"",BZ4=""),AND(CD4&gt;=CE$14,CD4&lt;&gt;"",BZ4=""),AND(DC4&gt;=DG$14,DC4&lt;&gt;""),AND(DF4&gt;=DG$14,DF4&lt;&gt;""),AND(EC4&gt;=EG$14,EC4&lt;&gt;""),AND(EF4&gt;=EG$14,EF4&lt;&gt;""),AND(FC4&gt;=FG$14,FC4&lt;&gt;""),AND(FF4&gt;=FG$14,FF4&lt;&gt;""),AND(GC4&gt;=GG$14,GC4&lt;&gt;""),AND(GF4&gt;=GG$14,GF4&lt;&gt;""),AND(HC4&gt;=HG$14,HC4&lt;&gt;""),AND(HF4&gt;=HG$14,HF4&lt;&gt;""),AND(IC4&gt;=IG$14,IC4&lt;&gt;""),AND(IF4&gt;=IG$14,IF4&lt;&gt;""),AND(JC4&gt;=JG$14,JC4&lt;&gt;""),AND(JF4&gt;=JG$14,JF4&lt;&gt;""),AND(KC4&gt;=KG$14,KC4&lt;&gt;""),AND(KF4&gt;=KG$14,KF4&lt;&gt;""),AND(LC4&gt;=LG$14,LC4&lt;&gt;""),AND(LF4&gt;=LG$14,LF4&lt;&gt;""),AND(MC4&gt;=MG$14,MC4&lt;&gt;""),AND(MF4&gt;=MG$14,MF4&lt;&gt;""),AND(NC4&gt;=NG$14,NC4&lt;&gt;""),AND(NF4&gt;=NG$14,NF4&lt;&gt;""),AND(OC4&gt;=OG$14,OC4&lt;&gt;""),AND(OF4&gt;=OG$14,OF4&lt;&gt;"")),"P","")</f>
        <v/>
      </c>
      <c r="H4" s="47" t="str">
        <f>IF(AND(G4="P",F4=""),"No DD",IF(OR(AND(AI4&gt;=AM$13,AJ4&gt;=AM$17,AI4&lt;&gt;"",AH4=""),AND(AK4&gt;=AM$13,AL4&gt;=AM$17,AK4&lt;&gt;"",AH4=""),AND(BE4&gt;=BI$13,BF4&gt;=BI$17,BE4&lt;&gt;"",BD4=""),AND(BG4&gt;=BI$13,BH4&gt;=BI$17,BG4&lt;&gt;"",BD4=""),AND(CA4&gt;=CE$13,CB4&gt;=CE$17,CA4&lt;&gt;"",BZ4=""),AND(CC4&gt;=CE$13,CD4&gt;=CE$17,CC4&lt;&gt;""),AND(DB4&gt;=DG$13,DC4&gt;=DG$17,DB4&lt;&gt;""),AND(DE4&gt;=DG$13,DF4&gt;=DG$17,DE4&lt;&gt;""),AND(EB4&gt;=EG$13,EC4&gt;=EG$17,EB4&lt;&gt;""),AND(EE4&gt;=EG$13,EF4&gt;=EG$17,EE4&lt;&gt;""),AND(FB4&gt;=FG$13,FC4&gt;=FG$17,FB4&lt;&gt;""),AND(FE4&gt;=FG$13,FF4&gt;=FG$17,FE4&lt;&gt;""),AND(GB4&gt;=GG$13,GC4&gt;=GG$17,GB4&lt;&gt;""),AND(GE4&gt;=GG$13,GF4&gt;=GG$17,GE4&lt;&gt;""),AND(HB4&gt;=HG$13,HC4&gt;=HG$17,HB4&lt;&gt;""),AND(HE4&gt;=HG$13,HF4&gt;=HG$17,HE4&lt;&gt;""),AND(IB4&gt;=IG$13,IC4&gt;=IG$17,IB4&lt;&gt;""),AND(IE4&gt;=IG$13,IF4&gt;=IG$17,IE4&lt;&gt;""),AND(JB4&gt;=JG$13,JC4&gt;=JG$17,JB4&lt;&gt;""),AND(JE4&gt;=JG$13,JF4&gt;=JG$17,JE4&lt;&gt;""),AND(KB4&gt;=KG$13,KC4&gt;=KG$17,KB4&lt;&gt;""),AND(KE4&gt;=KG$13,KF4&gt;=KG$17,KE4&lt;&gt;""),AND(LB4&gt;=LG$13,LC4&gt;=LG$17,LB4&lt;&gt;""),AND(LE4&gt;=LG$13,LF4&gt;=LG$17,LE4&lt;&gt;""),AND(MB4&gt;=MG$13,MC4&gt;=MG$17,MB4&lt;&gt;""),AND(ME4&gt;=MG$13,MF4&gt;=MG$17,ME4&lt;&gt;""),AND(NB4&gt;=NG$13,NC4&gt;=NG$17,NB4&lt;&gt;""),AND(NE4&gt;=NG$13,NF4&gt;=NG$17,NE4&lt;&gt;""),AND(OB4&gt;=OG$13,OC4&gt;=OG$17,OB4&lt;&gt;""),AND(OE4&gt;=OG$13,OF4&gt;=OG$17,OE4&lt;&gt;"")),"Merit",IF(OR(AND(AI4&gt;=AM$12,AJ4&gt;=AM$16,AI4&lt;&gt;"",AH4=""),AND(AK4&gt;=AM$12,AL4&gt;=AM$16,AK4&lt;&gt;"",AH4=""),AND(BE4&gt;=BI$12,BF4&gt;=BI$16,BE4&lt;&gt;"",BD4=""),AND(BG4&gt;=BI$12,BH4&gt;=BI$16,BG4&lt;&gt;"",BD4=""),AND(CA4&gt;=CE$12,CB4&gt;=CE$16,CA4&lt;&gt;"",BZ4=""),AND(CC4&gt;=CE$12,CD4&gt;=CE$16,CC4&lt;&gt;""),AND(DB4&gt;=DG$12,DC4&gt;=DG$16,DB4&lt;&gt;""),AND(DE4&gt;=DG$12,DF4&gt;=DG$16,DE4&lt;&gt;""),AND(EB4&gt;=EG$12,EC4&gt;=EG$16,EB4&lt;&gt;""),AND(EE4&gt;=EG$12,EF4&gt;=EG$16,EE4&lt;&gt;""),AND(FB4&gt;=FG$12,FC4&gt;=FG$16,FB4&lt;&gt;""),AND(FE4&gt;=FG$12,FF4&gt;=FG$16,FE4&lt;&gt;""),AND(GB4&gt;=GG$12,GC4&gt;=GG$16,GB4&lt;&gt;""),AND(GE4&gt;=GG$12,GF4&gt;=GG$16,GE4&lt;&gt;""),AND(HB4&gt;=HG$12,HC4&gt;=HG$16,HB4&lt;&gt;""),AND(HE4&gt;=HG$12,HF4&gt;=HG$16,HE4&lt;&gt;""),AND(IB4&gt;=IG$12,IC4&gt;=IG$16,IB4&lt;&gt;""),AND(IE4&gt;=IG$12,IF4&gt;=IG$16,IE4&lt;&gt;""),AND(JB4&gt;=JG$12,JC4&gt;=JG$16,JB4&lt;&gt;""),AND(JE4&gt;=JG$12,JF4&gt;=JG$16,JE4&lt;&gt;""),AND(KB4&gt;=KG$12,KC4&gt;=KG$16,KB4&lt;&gt;""),AND(KE4&gt;=KG$12,KF4&gt;=KG$16,KE4&lt;&gt;""),AND(LB4&gt;=LG$12,LC4&gt;=LG$16,LB4&lt;&gt;""),AND(LE4&gt;=LG$12,LF4&gt;=LG$16,LE4&lt;&gt;""),AND(MB4&gt;=MG$12,MC4&gt;=MG$16,MB4&lt;&gt;""),AND(ME4&gt;=MG$12,MF4&gt;=MG$16,ME4&lt;&gt;""),AND(NB4&gt;=NG$12,NC4&gt;=NG$16,NB4&lt;&gt;""),AND(NE4&gt;=NG$12,NF4&gt;=NG$16,NE4&lt;&gt;""),AND(OB4&gt;=OG$12,OC4&gt;=OG$16,OB4&lt;&gt;""),AND(OE4&gt;=OG$12,OF4&gt;=OG$16,OE4&lt;&gt;"")),"Excellence",IF(F4="P","National Team",""))))</f>
        <v/>
      </c>
      <c r="I4" s="9">
        <f>IF(COUNT(AJ4,BF4,CB4)&gt;0,LARGE((AJ4,BF4,CB4),1),0)</f>
        <v>45.199999999999996</v>
      </c>
      <c r="J4" s="9" t="str">
        <f>IF(I4=0,"",IF(I4=CB4,$BJ$1,IF(I4=BF4,$AN$1,IF(I4=AJ4,$R$1,""))))</f>
        <v>2025 Elite Canada</v>
      </c>
      <c r="K4" s="9">
        <f>IF(COUNT(AJ4,BF4,CB4)&gt;1,LARGE((AJ4,BF4,CB4),2),0)</f>
        <v>40.400000000000006</v>
      </c>
      <c r="L4" s="9" t="str">
        <f>IF(K4=0,"",IF(AND(K4=I4,K4=AJ4,K4=BF4),$R$1,IF(AND(K4=I4,K4=AJ4,K4=CB4),$R$1,IF(AND(K4=I4,K4=CB4,K4=BF4),$AN$1,IF(K4=CB4,$BJ$1,IF(K4=BF4,$AN$1,IF(K4=AJ4,$R$1,"")))))))</f>
        <v>2025 3rd Domestic Trial</v>
      </c>
      <c r="M4" s="9">
        <f>IF(MAX(AL4,BH4,CD4)&gt;0,MAX(AL4,BH4,CD4),0)</f>
        <v>41.5</v>
      </c>
      <c r="N4" s="9" t="str">
        <f>IF(M4=0,"",IF(M4=CD4,$BJ$1,IF(M4=BH4,$AN$1,IF(M4=AL4,$R$1,""))))</f>
        <v>2025 Elite Canada</v>
      </c>
      <c r="O4" s="9" t="str">
        <f>IF(MAX(CF4:CG4)&gt;0,MAX(CF4:CG4),"")</f>
        <v/>
      </c>
      <c r="P4" s="14" t="str">
        <f>IF(O4="","",IF(O4=CF4,"("&amp;CF$2&amp;")",IF(O4=CG4,"("&amp;CG$2&amp;")")))</f>
        <v/>
      </c>
      <c r="Q4" s="9" t="str">
        <f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/>
      </c>
      <c r="R4" s="20">
        <v>19</v>
      </c>
      <c r="S4" s="20">
        <v>3.5</v>
      </c>
      <c r="T4" s="20">
        <v>0</v>
      </c>
      <c r="U4" s="20">
        <v>0</v>
      </c>
      <c r="V4" s="20">
        <v>17.899999999999999</v>
      </c>
      <c r="W4" s="20">
        <v>4.8</v>
      </c>
      <c r="X4" s="20">
        <v>0</v>
      </c>
      <c r="Y4" s="20">
        <v>0</v>
      </c>
      <c r="Z4" s="20">
        <v>18.600000000000001</v>
      </c>
      <c r="AA4" s="20">
        <v>4</v>
      </c>
      <c r="AB4" s="20">
        <v>0</v>
      </c>
      <c r="AC4" s="20">
        <v>0</v>
      </c>
      <c r="AD4" s="20">
        <v>17.399999999999999</v>
      </c>
      <c r="AE4" s="20">
        <v>2.9</v>
      </c>
      <c r="AF4" s="20">
        <v>1.4</v>
      </c>
      <c r="AG4" s="20">
        <v>0</v>
      </c>
      <c r="AH4" s="32"/>
      <c r="AI4" s="55">
        <f>IF(SUM(S4,W4)&gt;0,SUM(S4,W4),"")</f>
        <v>8.3000000000000007</v>
      </c>
      <c r="AJ4" s="55">
        <f>IF(SUM(R4:S4,U4:W4,Y4)-T4-X4&gt;0,SUM(R4:S4,U4:W4,Y4)-T4-X4,"")</f>
        <v>45.199999999999996</v>
      </c>
      <c r="AK4" s="55">
        <f>IF(SUM(AA4,AE4)&gt;0,SUM(AA4,AE4),"")</f>
        <v>6.9</v>
      </c>
      <c r="AL4" s="55">
        <f>IF(SUM(Z4:AA4,AC4:AE4,AG4)-SUM(AB4,AF4)&gt;0,SUM(Z4:AA4,AC4:AE4,AG4)-SUM(AB4,AF4),"")</f>
        <v>41.5</v>
      </c>
      <c r="AM4" s="55">
        <f>IF(SUM(AJ4,AL4)&gt;0,SUM(AJ4,AL4),"")</f>
        <v>86.699999999999989</v>
      </c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33"/>
      <c r="BE4" s="14" t="str">
        <f>IF(SUM(AO4,AS4)&gt;0,SUM(AO4,AS4),"")</f>
        <v/>
      </c>
      <c r="BF4" s="14" t="str">
        <f>IF(SUM(AN4:AO4,AQ4:AS4,AU4)-AP4-AT4&gt;0,SUM(AN4:AO4,AQ4:AS4,AU4)-AP4-AT4,"")</f>
        <v/>
      </c>
      <c r="BG4" s="14" t="str">
        <f>IF(SUM(AW4,BA4)&gt;0,SUM(AW4,BA4),"")</f>
        <v/>
      </c>
      <c r="BH4" s="14" t="str">
        <f>IF(SUM(AV4:AW4,AY4:BA4,BC4)-SUM(AX4,BB4)&gt;0,SUM(AV4:AW4,AY4:BA4,BC4)-SUM(AX4,BB4),"")</f>
        <v/>
      </c>
      <c r="BI4" s="14" t="str">
        <f>IF(SUM(BF4,BH4)&gt;0,SUM(BF4,BH4),"")</f>
        <v/>
      </c>
      <c r="BJ4" s="20">
        <v>18.5</v>
      </c>
      <c r="BK4" s="20">
        <v>3.6</v>
      </c>
      <c r="BL4" s="20">
        <v>0</v>
      </c>
      <c r="BM4" s="20">
        <v>0</v>
      </c>
      <c r="BN4" s="20">
        <v>16.600000000000001</v>
      </c>
      <c r="BO4" s="20">
        <v>2.7</v>
      </c>
      <c r="BP4" s="20">
        <v>1</v>
      </c>
      <c r="BQ4" s="20">
        <v>0</v>
      </c>
      <c r="BR4" s="20">
        <v>15.77</v>
      </c>
      <c r="BS4" s="20">
        <v>0.7</v>
      </c>
      <c r="BT4" s="20">
        <v>0</v>
      </c>
      <c r="BU4" s="20">
        <v>0</v>
      </c>
      <c r="BV4" s="20">
        <v>16.8</v>
      </c>
      <c r="BW4" s="20">
        <v>3.6</v>
      </c>
      <c r="BX4" s="20">
        <v>0.2</v>
      </c>
      <c r="BY4" s="20">
        <v>0</v>
      </c>
      <c r="BZ4" s="32"/>
      <c r="CA4" s="55">
        <f>IF(SUM(BK4,BO4)&gt;0,SUM(BK4,BO4),"")</f>
        <v>6.3000000000000007</v>
      </c>
      <c r="CB4" s="55">
        <f>IF(SUM(BJ4:BK4,BM4:BO4,BQ4)-BL4-BP4&gt;0,SUM(BJ4:BK4,BM4:BO4,BQ4)-BL4-BP4,"")</f>
        <v>40.400000000000006</v>
      </c>
      <c r="CC4" s="55">
        <f>IF(SUM(BS4,BW4)&gt;0,SUM(BS4,BW4),"")</f>
        <v>4.3</v>
      </c>
      <c r="CD4" s="55">
        <f>IF(SUM(BR4:BS4,BU4:BW4,BY4)-SUM(BT4,BX4)&gt;0,SUM(BR4:BS4,BU4:BW4,BY4)-SUM(BT4,BX4),"")</f>
        <v>36.669999999999995</v>
      </c>
      <c r="CE4" s="55">
        <f>IF(SUM(CB4,CD4)&gt;0,SUM(CB4,CD4),"")</f>
        <v>77.069999999999993</v>
      </c>
      <c r="CF4" s="56" t="str">
        <f>IF(MAX(DC4,EC4,FC4,GC4,HC4,IC4,JC4,KC4,LC4,MC4,NC4,OC4)-IF(K4="",0,K4)&gt;0.001,MAX(DC4,EC4,FC4,GC4,HC4,IC4,JC4,KC4,LC4,MC4,NC4,OC4)-IF(K4="",0,K4),"")</f>
        <v/>
      </c>
      <c r="CG4" s="56" t="str">
        <f>IF(MAX(DF4,EF4,FF4,GF4,HF4,IF4,JF4,KF4,LF4,MF4,NF4,OF4)-IF(M4="",0,M4)&gt;0.001,MAX(DF4,EF4,FF4,GF4,HF4,IF4,JF4,KF4,LF4,MF4,NF4,OF4)-IF(M4="",0,M4),"")</f>
        <v/>
      </c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 t="str">
        <f>IF(SUM(CI4,CM4)&gt;0,SUM(CI4,CM4),"")</f>
        <v/>
      </c>
      <c r="DC4" s="55" t="str">
        <f>IF(SUM(CH4:CI4,CK4:CM4,CO4)-CJ4-CN4&gt;0,SUM(CH4:CI4,CK4:CM4,CO4)-CJ4-CN4,"")</f>
        <v/>
      </c>
      <c r="DD4" s="55" t="str">
        <f>IF(SUM(CP4:CQ4,CS4)-CR4&gt;0,SUM(CP4:CQ4,CS4)-CR4,"")</f>
        <v/>
      </c>
      <c r="DE4" s="55" t="str">
        <f>IF(SUM(CU4,CY4)&gt;0,SUM(CU4,CY4),"")</f>
        <v/>
      </c>
      <c r="DF4" s="55" t="str">
        <f>IF(SUM(CT4:CU4,CW4:CY4,DA4)-SUM(CV4,CZ4)&gt;0,SUM(CT4:CU4,CW4:CY4,DA4)-SUM(CV4,CZ4),"")</f>
        <v/>
      </c>
      <c r="DG4" s="55" t="str">
        <f>IF(SUM(DC4,DD4,DF4)&gt;0,SUM(DC4,DD4,DF4),"")</f>
        <v/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>IF(SUM(DI4,DM4)&gt;0,SUM(DI4,DM4),"")</f>
        <v/>
      </c>
      <c r="EC4" s="14" t="str">
        <f>IF(SUM(DH4:DI4,DK4:DM4,DO4)-DJ4-DN4&gt;0,SUM(DH4:DI4,DK4:DM4,DO4)-DJ4-DN4,"")</f>
        <v/>
      </c>
      <c r="ED4" s="14" t="str">
        <f>IF(SUM(DP4:DQ4,DS4)-DR4&gt;0,SUM(DP4:DQ4,DS4)-DR4,"")</f>
        <v/>
      </c>
      <c r="EE4" s="14" t="str">
        <f>IF(SUM(DU4,DY4)&gt;0,SUM(DU4,DY4),"")</f>
        <v/>
      </c>
      <c r="EF4" s="14" t="str">
        <f>IF(SUM(DT4:DU4,DW4:DY4,EA4)-SUM(DV4,DZ4)&gt;0,SUM(DT4:DU4,DW4:DY4,EA4)-SUM(DV4,DZ4),"")</f>
        <v/>
      </c>
      <c r="EG4" s="14" t="str">
        <f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>IF(SUM(EI4,EM4)&gt;0,SUM(EI4,EM4),"")</f>
        <v/>
      </c>
      <c r="FC4" s="55" t="str">
        <f>IF(SUM(EH4:EI4,EK4:EM4,EO4)-EJ4-EN4&gt;0,SUM(EH4:EI4,EK4:EM4,EO4)-EJ4-EN4,"")</f>
        <v/>
      </c>
      <c r="FD4" s="55" t="str">
        <f>IF(SUM(EP4:EQ4,ES4)-ER4&gt;0,SUM(EP4:EQ4,ES4)-ER4,"")</f>
        <v/>
      </c>
      <c r="FE4" s="55" t="str">
        <f>IF(SUM(EU4,EY4)&gt;0,SUM(EU4,EY4),"")</f>
        <v/>
      </c>
      <c r="FF4" s="55" t="str">
        <f>IF(SUM(ET4:EU4,EW4:EY4,FA4)-SUM(EV4,EZ4)&gt;0,SUM(ET4:EU4,EW4:EY4,FA4)-SUM(EV4,EZ4),"")</f>
        <v/>
      </c>
      <c r="FG4" s="55" t="str">
        <f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>IF(SUM(FI4,FM4)&gt;0,SUM(FI4,FM4),"")</f>
        <v/>
      </c>
      <c r="GC4" s="14" t="str">
        <f>IF(SUM(FH4:FI4,FK4:FM4,FO4)-FJ4-FN4&gt;0,SUM(FH4:FI4,FK4:FM4,FO4)-FJ4-FN4,"")</f>
        <v/>
      </c>
      <c r="GD4" s="14" t="str">
        <f>IF(SUM(FP4:FQ4,FS4)-FR4&gt;0,SUM(FP4:FQ4,FS4)-FR4,"")</f>
        <v/>
      </c>
      <c r="GE4" s="14" t="str">
        <f>IF(SUM(FU4,FY4)&gt;0,SUM(FU4,FY4),"")</f>
        <v/>
      </c>
      <c r="GF4" s="14" t="str">
        <f>IF(SUM(FT4:FU4,FW4:FY4,GA4)-SUM(FV4,FZ4)&gt;0,SUM(FT4:FU4,FW4:FY4,GA4)-SUM(FV4,FZ4),"")</f>
        <v/>
      </c>
      <c r="GG4" s="14" t="str">
        <f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>IF(SUM(GI4,GM4)&gt;0,SUM(GI4,GM4),"")</f>
        <v/>
      </c>
      <c r="HC4" s="55" t="str">
        <f>IF(SUM(GH4:GI4,GK4:GM4,GO4)-GJ4-GN4&gt;0,SUM(GH4:GI4,GK4:GM4,GO4)-GJ4-GN4,"")</f>
        <v/>
      </c>
      <c r="HD4" s="55" t="str">
        <f>IF(SUM(GP4:GQ4,GS4)-GR4&gt;0,SUM(GP4:GQ4,GS4)-GR4,"")</f>
        <v/>
      </c>
      <c r="HE4" s="55" t="str">
        <f>IF(SUM(GU4,GY4)&gt;0,SUM(GU4,GY4),"")</f>
        <v/>
      </c>
      <c r="HF4" s="55" t="str">
        <f>IF(SUM(GT4:GU4,GW4:GY4,HA4)-SUM(GV4,GZ4)&gt;0,SUM(GT4:GU4,GW4:GY4,HA4)-SUM(GV4,GZ4),"")</f>
        <v/>
      </c>
      <c r="HG4" s="55" t="str">
        <f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>IF(SUM(HI4,HM4)&gt;0,SUM(HI4,HM4),"")</f>
        <v/>
      </c>
      <c r="IC4" s="14" t="str">
        <f>IF(SUM(HH4:HI4,HK4:HM4,HO4)-HJ4-HN4&gt;0,SUM(HH4:HI4,HK4:HM4,HO4)-HJ4-HN4,"")</f>
        <v/>
      </c>
      <c r="ID4" s="14" t="str">
        <f>IF(SUM(HP4:HQ4,HS4)-HR4&gt;0,SUM(HP4:HQ4,HS4)-HR4,"")</f>
        <v/>
      </c>
      <c r="IE4" s="14" t="str">
        <f>IF(SUM(HU4,HY4)&gt;0,SUM(HU4,HY4),"")</f>
        <v/>
      </c>
      <c r="IF4" s="14" t="str">
        <f>IF(SUM(HT4:HU4,HW4:HY4,IA4)-SUM(HV4,HZ4)&gt;0,SUM(HT4:HU4,HW4:HY4,IA4)-SUM(HV4,HZ4),"")</f>
        <v/>
      </c>
      <c r="IG4" s="14" t="str">
        <f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>IF(SUM(II4,IM4)&gt;0,SUM(II4,IM4),"")</f>
        <v/>
      </c>
      <c r="JC4" s="55" t="str">
        <f>IF(SUM(IH4:II4,IK4:IM4,IO4)-IJ4-IN4&gt;0,SUM(IH4:II4,IK4:IM4,IO4)-IJ4-IN4,"")</f>
        <v/>
      </c>
      <c r="JD4" s="55" t="str">
        <f>IF(SUM(IP4:IQ4,IS4)-IR4&gt;0,SUM(IP4:IQ4,IS4)-IR4,"")</f>
        <v/>
      </c>
      <c r="JE4" s="55" t="str">
        <f>IF(SUM(IU4,IY4)&gt;0,SUM(IU4,IY4),"")</f>
        <v/>
      </c>
      <c r="JF4" s="55" t="str">
        <f>IF(SUM(IT4:IU4,IW4:IY4,JA4)-SUM(IV4,IZ4)&gt;0,SUM(IT4:IU4,IW4:IY4,JA4)-SUM(IV4,IZ4),"")</f>
        <v/>
      </c>
      <c r="JG4" s="55" t="str">
        <f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>IF(SUM(JI4,JM4)&gt;0,SUM(JI4,JM4),"")</f>
        <v/>
      </c>
      <c r="KC4" s="14" t="str">
        <f>IF(SUM(JH4:JI4,JK4:JM4,JO4)-JJ4-JN4&gt;0,SUM(JH4:JI4,JK4:JM4,JO4)-JJ4-JN4,"")</f>
        <v/>
      </c>
      <c r="KD4" s="14" t="str">
        <f>IF(SUM(JP4:JQ4,JS4)-JR4&gt;0,SUM(JP4:JQ4,JS4)-JR4,"")</f>
        <v/>
      </c>
      <c r="KE4" s="14" t="str">
        <f>IF(SUM(JU4,JY4)&gt;0,SUM(JU4,JY4),"")</f>
        <v/>
      </c>
      <c r="KF4" s="14" t="str">
        <f>IF(SUM(JT4:JU4,JW4:JY4,KA4)-SUM(JV4,JZ4)&gt;0,SUM(JT4:JU4,JW4:JY4,KA4)-SUM(JV4,JZ4),"")</f>
        <v/>
      </c>
      <c r="KG4" s="14" t="str">
        <f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>IF(SUM(KI4,KM4)&gt;0,SUM(KI4,KM4),"")</f>
        <v/>
      </c>
      <c r="LC4" s="55" t="str">
        <f>IF(SUM(KH4:KI4,KK4:KM4,KO4)-KJ4-KN4&gt;0,SUM(KH4:KI4,KK4:KM4,KO4)-KJ4-KN4,"")</f>
        <v/>
      </c>
      <c r="LD4" s="55" t="str">
        <f>IF(SUM(KP4:KQ4,KS4)-KR4&gt;0,SUM(KP4:KQ4,KS4)-KR4,"")</f>
        <v/>
      </c>
      <c r="LE4" s="55" t="str">
        <f>IF(SUM(KU4,KY4)&gt;0,SUM(KU4,KY4),"")</f>
        <v/>
      </c>
      <c r="LF4" s="55" t="str">
        <f>IF(SUM(KT4:KU4,KW4:KY4,LA4)-SUM(KV4,KZ4)&gt;0,SUM(KT4:KU4,KW4:KY4,LA4)-SUM(KV4,KZ4),"")</f>
        <v/>
      </c>
      <c r="LG4" s="55" t="str">
        <f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>IF(SUM(LI4,LM4)&gt;0,SUM(LI4,LM4),"")</f>
        <v/>
      </c>
      <c r="MC4" s="14" t="str">
        <f>IF(SUM(LH4:LI4,LK4:LM4,LO4)-LJ4-LN4&gt;0,SUM(LH4:LI4,LK4:LM4,LO4)-LJ4-LN4,"")</f>
        <v/>
      </c>
      <c r="MD4" s="14" t="str">
        <f>IF(SUM(LP4:LQ4,LS4)-LR4&gt;0,SUM(LP4:LQ4,LS4)-LR4,"")</f>
        <v/>
      </c>
      <c r="ME4" s="14" t="str">
        <f>IF(SUM(LU4,LY4)&gt;0,SUM(LU4,LY4),"")</f>
        <v/>
      </c>
      <c r="MF4" s="14" t="str">
        <f>IF(SUM(LT4:LU4,LW4:LY4,MA4)-SUM(LV4,LZ4)&gt;0,SUM(LT4:LU4,LW4:LY4,MA4)-SUM(LV4,LZ4),"")</f>
        <v/>
      </c>
      <c r="MG4" s="14" t="str">
        <f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>IF(SUM(MI4,MM4)&gt;0,SUM(MI4,MM4),"")</f>
        <v/>
      </c>
      <c r="NC4" s="55" t="str">
        <f>IF(SUM(MH4:MI4,MK4:MM4,MO4)-MJ4-MN4&gt;0,SUM(MH4:MI4,MK4:MM4,MO4)-MJ4-MN4,"")</f>
        <v/>
      </c>
      <c r="ND4" s="55" t="str">
        <f>IF(SUM(MP4:MQ4,MS4)-MR4&gt;0,SUM(MP4:MQ4,MS4)-MR4,"")</f>
        <v/>
      </c>
      <c r="NE4" s="55" t="str">
        <f>IF(SUM(MU4,MY4)&gt;0,SUM(MU4,MY4),"")</f>
        <v/>
      </c>
      <c r="NF4" s="55" t="str">
        <f>IF(SUM(MT4:MU4,MW4:MY4,NA4)-SUM(MV4,MZ4)&gt;0,SUM(MT4:MU4,MW4:MY4,NA4)-SUM(MV4,MZ4),"")</f>
        <v/>
      </c>
      <c r="NG4" s="55" t="str">
        <f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>IF(SUM(NI4,NM4)&gt;0,SUM(NI4,NM4),"")</f>
        <v/>
      </c>
      <c r="OC4" s="14" t="str">
        <f>IF(SUM(NH4:NI4,NK4:NM4,NO4)-NJ4-NN4&gt;0,SUM(NH4:NI4,NK4:NM4,NO4)-NJ4-NN4,"")</f>
        <v/>
      </c>
      <c r="OD4" s="14" t="str">
        <f>IF(SUM(NP4:NQ4,NS4)-NR4&gt;0,SUM(NP4:NQ4,NS4)-NR4,"")</f>
        <v/>
      </c>
      <c r="OE4" s="14" t="str">
        <f>IF(SUM(NU4,NY4)&gt;0,SUM(NU4,NY4),"")</f>
        <v/>
      </c>
      <c r="OF4" s="14" t="str">
        <f>IF(SUM(NT4:NU4,NW4:NY4,OA4)-SUM(NV4,NZ4)&gt;0,SUM(NT4:NU4,NW4:NY4,OA4)-SUM(NV4,NZ4),"")</f>
        <v/>
      </c>
      <c r="OG4" s="14" t="str">
        <f>IF(SUM(OC4,OD4,OF4)&gt;0,SUM(OC4,OD4,OF4),"")</f>
        <v/>
      </c>
      <c r="OH4" s="27">
        <f t="shared" ref="OH4:OW7" si="0">IF($BZ4="P",BJ4,(BJ4+AN4)/2)</f>
        <v>9.25</v>
      </c>
      <c r="OI4" s="27">
        <f t="shared" si="0"/>
        <v>1.8</v>
      </c>
      <c r="OJ4" s="27">
        <f t="shared" si="0"/>
        <v>0</v>
      </c>
      <c r="OK4" s="27">
        <f t="shared" si="0"/>
        <v>0</v>
      </c>
      <c r="OL4" s="27">
        <f t="shared" si="0"/>
        <v>8.3000000000000007</v>
      </c>
      <c r="OM4" s="27">
        <f t="shared" si="0"/>
        <v>1.35</v>
      </c>
      <c r="ON4" s="27">
        <f t="shared" si="0"/>
        <v>0.5</v>
      </c>
      <c r="OO4" s="27">
        <f t="shared" si="0"/>
        <v>0</v>
      </c>
      <c r="OP4" s="27">
        <f t="shared" si="0"/>
        <v>7.8849999999999998</v>
      </c>
      <c r="OQ4" s="27">
        <f t="shared" si="0"/>
        <v>0.35</v>
      </c>
      <c r="OR4" s="27">
        <f t="shared" si="0"/>
        <v>0</v>
      </c>
      <c r="OS4" s="27">
        <f t="shared" si="0"/>
        <v>0</v>
      </c>
      <c r="OT4" s="27">
        <f t="shared" si="0"/>
        <v>8.4</v>
      </c>
      <c r="OU4" s="27">
        <f t="shared" si="0"/>
        <v>1.8</v>
      </c>
      <c r="OV4" s="27">
        <f t="shared" si="0"/>
        <v>0.1</v>
      </c>
      <c r="OW4" s="27">
        <f t="shared" si="0"/>
        <v>0</v>
      </c>
      <c r="OX4" s="32" t="s">
        <v>44</v>
      </c>
      <c r="OY4" s="55">
        <f>IF(SUM(OI4,OM4)&gt;0,SUM(OI4,OM4),"")</f>
        <v>3.1500000000000004</v>
      </c>
      <c r="OZ4" s="55">
        <f>IF(SUM(OH4:OI4,OK4:OM4,OO4)-OJ4-ON4&gt;0,SUM(OH4:OI4,OK4:OM4,OO4)-OJ4-ON4,"")</f>
        <v>20.200000000000003</v>
      </c>
      <c r="PA4" s="55">
        <f>IF(SUM(OQ4,OU4)&gt;0,SUM(OQ4,OU4),"")</f>
        <v>2.15</v>
      </c>
      <c r="PB4" s="55">
        <f>IF(SUM(OP4:OQ4,OS4:OU4,OW4)-SUM(OR4,OV4)&gt;0,SUM(OP4:OQ4,OS4:OU4,OW4)-SUM(OR4,OV4),"")</f>
        <v>18.334999999999997</v>
      </c>
      <c r="PC4" s="55">
        <f>IF(SUM(OZ4,PB4)&gt;0,SUM(OZ4,PB4),"")</f>
        <v>38.534999999999997</v>
      </c>
    </row>
    <row r="5" spans="1:419" x14ac:dyDescent="0.2">
      <c r="A5" s="4" t="str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/>
      </c>
      <c r="B5" s="5" t="s">
        <v>82</v>
      </c>
      <c r="C5" s="4" t="s">
        <v>63</v>
      </c>
      <c r="D5" s="4">
        <v>2010</v>
      </c>
      <c r="E5" s="10">
        <f>SUM(I5:O5)+SUM(I5:M5)*0.0000001+SUM(I5)*0.0000000000001</f>
        <v>126.60001266000444</v>
      </c>
      <c r="F5" s="3" t="str">
        <f>IF(OR(AND(AI5&gt;=AM$10,AJ5&gt;=AM$14,AI5&lt;&gt;"",AH5=""),AND(AK5&gt;=AM$10,AL5&gt;=AM$14,AK5&lt;&gt;"",AH5=""),AND(BE5&gt;=BI$10,BF5&gt;=BI$14,BE5&lt;&gt;"",BD5=""),AND(BG5&gt;=BI$10,BH5&gt;=BI$14,BG5&lt;&gt;"",BD5=""),AND(CA5&gt;=CE$10,CB5&gt;=CE$14,CA5&lt;&gt;"",BZ5=""),AND(CC5&gt;=CE$10,CD5&gt;=CE$14,CC5&lt;&gt;""),AND(DB5&gt;=DG$10,DC5&gt;=DG$14,DB5&lt;&gt;""),AND(DE5&gt;=DG$10,DF5&gt;=DG$14,DE5&lt;&gt;""),AND(EB5&gt;=EG$10,EC5&gt;=EG$14,EB5&lt;&gt;""),AND(EE5&gt;=EG$10,EF5&gt;=EG$14,EE5&lt;&gt;""),AND(FB5&gt;=FG$10,FC5&gt;=FG$14,FB5&lt;&gt;""),AND(FE5&gt;=FG$10,FF5&gt;=FG$14,FE5&lt;&gt;""),AND(GB5&gt;=GG$10,GC5&gt;=GG$14,GB5&lt;&gt;""),AND(GE5&gt;=GG$10,GF5&gt;=GG$14,GE5&lt;&gt;""),AND(HB5&gt;=HG$10,HC5&gt;=HG$14,HB5&lt;&gt;""),AND(HE5&gt;=HG$10,HF5&gt;=HG$14,HE5&lt;&gt;""),AND(IB5&gt;=IG$10,IC5&gt;=IG$14,IB5&lt;&gt;""),AND(IE5&gt;=IG$10,IF5&gt;=IG$14,IE5&lt;&gt;""),AND(JB5&gt;=JG$10,JC5&gt;=JG$14,JB5&lt;&gt;""),AND(JE5&gt;=JG$10,JF5&gt;=JG$14,JE5&lt;&gt;""),AND(KB5&gt;=KG$10,KC5&gt;=KG$14,KB5&lt;&gt;""),AND(KE5&gt;=KG$10,KF5&gt;=KG$14,KE5&lt;&gt;""),AND(LB5&gt;=LG$10,LC5&gt;=LG$14,LB5&lt;&gt;""),AND(LE5&gt;=LG$10,LF5&gt;=LG$14,LE5&lt;&gt;""),AND(MB5&gt;=MG$10,MC5&gt;=MG$14,MB5&lt;&gt;""),AND(ME5&gt;=MG$10,MF5&gt;=MG$14,ME5&lt;&gt;""),AND(NB5&gt;=NG$10,NC5&gt;=NG$14,NB5&lt;&gt;""),AND(NE5&gt;=NG$10,NF5&gt;=NG$14,NE5&lt;&gt;""),AND(OB5&gt;=OG$10,OC5&gt;=OG$14,OB5&lt;&gt;""),AND(OE5&gt;=OG$10,OF5&gt;=OG$14,OE5&lt;&gt;"")),"P","")</f>
        <v/>
      </c>
      <c r="G5" s="3" t="str">
        <f>IF(OR(AND(AJ5&gt;=AM$14,AJ5&lt;&gt;"",AH5=""),AND(AL5&gt;=AM$14,AL5&lt;&gt;"",AH5=""),AND(BF5&gt;=BI$14,BF5&lt;&gt;"",BD5=""),AND(BH5&gt;=BI$14,BH5&lt;&gt;"",BD5=""),AND(CB5&gt;=CE$14,CB5&lt;&gt;"",BZ5=""),AND(CD5&gt;=CE$14,CD5&lt;&gt;"",BZ5=""),AND(DC5&gt;=DG$14,DC5&lt;&gt;""),AND(DF5&gt;=DG$14,DF5&lt;&gt;""),AND(EC5&gt;=EG$14,EC5&lt;&gt;""),AND(EF5&gt;=EG$14,EF5&lt;&gt;""),AND(FC5&gt;=FG$14,FC5&lt;&gt;""),AND(FF5&gt;=FG$14,FF5&lt;&gt;""),AND(GC5&gt;=GG$14,GC5&lt;&gt;""),AND(GF5&gt;=GG$14,GF5&lt;&gt;""),AND(HC5&gt;=HG$14,HC5&lt;&gt;""),AND(HF5&gt;=HG$14,HF5&lt;&gt;""),AND(IC5&gt;=IG$14,IC5&lt;&gt;""),AND(IF5&gt;=IG$14,IF5&lt;&gt;""),AND(JC5&gt;=JG$14,JC5&lt;&gt;""),AND(JF5&gt;=JG$14,JF5&lt;&gt;""),AND(KC5&gt;=KG$14,KC5&lt;&gt;""),AND(KF5&gt;=KG$14,KF5&lt;&gt;""),AND(LC5&gt;=LG$14,LC5&lt;&gt;""),AND(LF5&gt;=LG$14,LF5&lt;&gt;""),AND(MC5&gt;=MG$14,MC5&lt;&gt;""),AND(MF5&gt;=MG$14,MF5&lt;&gt;""),AND(NC5&gt;=NG$14,NC5&lt;&gt;""),AND(NF5&gt;=NG$14,NF5&lt;&gt;""),AND(OC5&gt;=OG$14,OC5&lt;&gt;""),AND(OF5&gt;=OG$14,OF5&lt;&gt;"")),"P","")</f>
        <v/>
      </c>
      <c r="H5" s="47" t="str">
        <f>IF(AND(G5="P",F5=""),"No DD",IF(OR(AND(AI5&gt;=AM$13,AJ5&gt;=AM$17,AI5&lt;&gt;"",AH5=""),AND(AK5&gt;=AM$13,AL5&gt;=AM$17,AK5&lt;&gt;"",AH5=""),AND(BE5&gt;=BI$13,BF5&gt;=BI$17,BE5&lt;&gt;"",BD5=""),AND(BG5&gt;=BI$13,BH5&gt;=BI$17,BG5&lt;&gt;"",BD5=""),AND(CA5&gt;=CE$13,CB5&gt;=CE$17,CA5&lt;&gt;"",BZ5=""),AND(CC5&gt;=CE$13,CD5&gt;=CE$17,CC5&lt;&gt;""),AND(DB5&gt;=DG$13,DC5&gt;=DG$17,DB5&lt;&gt;""),AND(DE5&gt;=DG$13,DF5&gt;=DG$17,DE5&lt;&gt;""),AND(EB5&gt;=EG$13,EC5&gt;=EG$17,EB5&lt;&gt;""),AND(EE5&gt;=EG$13,EF5&gt;=EG$17,EE5&lt;&gt;""),AND(FB5&gt;=FG$13,FC5&gt;=FG$17,FB5&lt;&gt;""),AND(FE5&gt;=FG$13,FF5&gt;=FG$17,FE5&lt;&gt;""),AND(GB5&gt;=GG$13,GC5&gt;=GG$17,GB5&lt;&gt;""),AND(GE5&gt;=GG$13,GF5&gt;=GG$17,GE5&lt;&gt;""),AND(HB5&gt;=HG$13,HC5&gt;=HG$17,HB5&lt;&gt;""),AND(HE5&gt;=HG$13,HF5&gt;=HG$17,HE5&lt;&gt;""),AND(IB5&gt;=IG$13,IC5&gt;=IG$17,IB5&lt;&gt;""),AND(IE5&gt;=IG$13,IF5&gt;=IG$17,IE5&lt;&gt;""),AND(JB5&gt;=JG$13,JC5&gt;=JG$17,JB5&lt;&gt;""),AND(JE5&gt;=JG$13,JF5&gt;=JG$17,JE5&lt;&gt;""),AND(KB5&gt;=KG$13,KC5&gt;=KG$17,KB5&lt;&gt;""),AND(KE5&gt;=KG$13,KF5&gt;=KG$17,KE5&lt;&gt;""),AND(LB5&gt;=LG$13,LC5&gt;=LG$17,LB5&lt;&gt;""),AND(LE5&gt;=LG$13,LF5&gt;=LG$17,LE5&lt;&gt;""),AND(MB5&gt;=MG$13,MC5&gt;=MG$17,MB5&lt;&gt;""),AND(ME5&gt;=MG$13,MF5&gt;=MG$17,ME5&lt;&gt;""),AND(NB5&gt;=NG$13,NC5&gt;=NG$17,NB5&lt;&gt;""),AND(NE5&gt;=NG$13,NF5&gt;=NG$17,NE5&lt;&gt;""),AND(OB5&gt;=OG$13,OC5&gt;=OG$17,OB5&lt;&gt;""),AND(OE5&gt;=OG$13,OF5&gt;=OG$17,OE5&lt;&gt;"")),"Merit",IF(OR(AND(AI5&gt;=AM$12,AJ5&gt;=AM$16,AI5&lt;&gt;"",AH5=""),AND(AK5&gt;=AM$12,AL5&gt;=AM$16,AK5&lt;&gt;"",AH5=""),AND(BE5&gt;=BI$12,BF5&gt;=BI$16,BE5&lt;&gt;"",BD5=""),AND(BG5&gt;=BI$12,BH5&gt;=BI$16,BG5&lt;&gt;"",BD5=""),AND(CA5&gt;=CE$12,CB5&gt;=CE$16,CA5&lt;&gt;"",BZ5=""),AND(CC5&gt;=CE$12,CD5&gt;=CE$16,CC5&lt;&gt;""),AND(DB5&gt;=DG$12,DC5&gt;=DG$16,DB5&lt;&gt;""),AND(DE5&gt;=DG$12,DF5&gt;=DG$16,DE5&lt;&gt;""),AND(EB5&gt;=EG$12,EC5&gt;=EG$16,EB5&lt;&gt;""),AND(EE5&gt;=EG$12,EF5&gt;=EG$16,EE5&lt;&gt;""),AND(FB5&gt;=FG$12,FC5&gt;=FG$16,FB5&lt;&gt;""),AND(FE5&gt;=FG$12,FF5&gt;=FG$16,FE5&lt;&gt;""),AND(GB5&gt;=GG$12,GC5&gt;=GG$16,GB5&lt;&gt;""),AND(GE5&gt;=GG$12,GF5&gt;=GG$16,GE5&lt;&gt;""),AND(HB5&gt;=HG$12,HC5&gt;=HG$16,HB5&lt;&gt;""),AND(HE5&gt;=HG$12,HF5&gt;=HG$16,HE5&lt;&gt;""),AND(IB5&gt;=IG$12,IC5&gt;=IG$16,IB5&lt;&gt;""),AND(IE5&gt;=IG$12,IF5&gt;=IG$16,IE5&lt;&gt;""),AND(JB5&gt;=JG$12,JC5&gt;=JG$16,JB5&lt;&gt;""),AND(JE5&gt;=JG$12,JF5&gt;=JG$16,JE5&lt;&gt;""),AND(KB5&gt;=KG$12,KC5&gt;=KG$16,KB5&lt;&gt;""),AND(KE5&gt;=KG$12,KF5&gt;=KG$16,KE5&lt;&gt;""),AND(LB5&gt;=LG$12,LC5&gt;=LG$16,LB5&lt;&gt;""),AND(LE5&gt;=LG$12,LF5&gt;=LG$16,LE5&lt;&gt;""),AND(MB5&gt;=MG$12,MC5&gt;=MG$16,MB5&lt;&gt;""),AND(ME5&gt;=MG$12,MF5&gt;=MG$16,ME5&lt;&gt;""),AND(NB5&gt;=NG$12,NC5&gt;=NG$16,NB5&lt;&gt;""),AND(NE5&gt;=NG$12,NF5&gt;=NG$16,NE5&lt;&gt;""),AND(OB5&gt;=OG$12,OC5&gt;=OG$16,OB5&lt;&gt;""),AND(OE5&gt;=OG$12,OF5&gt;=OG$16,OE5&lt;&gt;"")),"Excellence",IF(F5="P","National Team",""))))</f>
        <v/>
      </c>
      <c r="I5" s="9">
        <f>IF(COUNT(AJ5,BF5,CB5)&gt;0,LARGE((AJ5,BF5,CB5),1),0)</f>
        <v>44.499999999999993</v>
      </c>
      <c r="J5" s="9" t="str">
        <f>IF(I5=0,"",IF(I5=CB5,$BJ$1,IF(I5=BF5,$AN$1,IF(I5=AJ5,$R$1,""))))</f>
        <v>2025 Nationals</v>
      </c>
      <c r="K5" s="9">
        <f>IF(COUNT(AJ5,BF5,CB5)&gt;1,LARGE((AJ5,BF5,CB5),2),0)</f>
        <v>38.099999999999994</v>
      </c>
      <c r="L5" s="9" t="str">
        <f>IF(K5=0,"",IF(AND(K5=I5,K5=AJ5,K5=BF5),$R$1,IF(AND(K5=I5,K5=AJ5,K5=CB5),$R$1,IF(AND(K5=I5,K5=CB5,K5=BF5),$AN$1,IF(K5=CB5,$BJ$1,IF(K5=BF5,$AN$1,IF(K5=AJ5,$R$1,"")))))))</f>
        <v>2025 Elite Canada</v>
      </c>
      <c r="M5" s="9">
        <f>IF(MAX(AL5,BH5,CD5)&gt;0,MAX(AL5,BH5,CD5),0)</f>
        <v>44</v>
      </c>
      <c r="N5" s="9" t="str">
        <f>IF(M5=0,"",IF(M5=CD5,$BJ$1,IF(M5=BH5,$AN$1,IF(M5=AL5,$R$1,""))))</f>
        <v>2025 Elite Canada</v>
      </c>
      <c r="O5" s="9" t="str">
        <f>IF(MAX(CF5:CG5)&gt;0,MAX(CF5:CG5),"")</f>
        <v/>
      </c>
      <c r="P5" s="14" t="str">
        <f>IF(O5="","",IF(O5=CF5,"("&amp;CF$2&amp;")",IF(O5=CG5,"("&amp;CG$2&amp;")")))</f>
        <v/>
      </c>
      <c r="Q5" s="9" t="str">
        <f>IF(O5="","",IF(O5=CF5,IF(O5+IF(K5="",0,K5)=OC5,$NH$1,IF(O5+IF(K5="",0,K5)=NC5,$MH$1,IF(O5+IF(K5="",0,K5)=MC5,$LH$1,IF(O5+IF(K5="",0,K5)=LC5,$KH$1,IF(O5+IF(K5="",0,K5)=KC5,$JH$1,IF(O5+IF(K5="",0,K5)=JC5,$IH$1,IF(O5+IF(K5="",0,K5)=IC5,$HH$1,IF(O5+IF(K5="",0,K5)=HC5,$GH$1,IF(O5+IF(K5="",0,K5)=GC5,$FH$1,IF(O5+IF(K5="",0,K5)=FC5,$EH$1,IF(O5+IF(K5="",0,K5)=EC5,$DH$1,IF(O5+IF(K5="",0,K5)=DC5,$CH$1)))))))))))),IF(O5=CG5,IF(O5+IF(M5="",0,M5)=OF5,$NH$1,IF(O5+IF(M5="",0,M5)=NF5,$MH$1,IF(O5+IF(M5="",0,M5)=MF5,$LH$1,IF(O5+IF(M5="",0,M5)=LF5,$KH$1,IF(O5+IF(M5="",0,M5)=KF5,$JH$1,IF(O5+IF(M5="",0,M5)=JF5,$IH$1,IF(O5+IF(M5="",0,M5)=IF5,$HH$1,IF(O5+IF(M5="",0,M5)=HF5,$GH$1,IF(O5+IF(M5="",0,M5)=GF5,$FH$1,IF(O5+IF(M5="",0,M5)=FF5,$EH$1,IF(O5+IF(M5="",0,M5)=EF5,$DH$1,IF(O5+IF(M5="",0,M5)=DF5,$CH$1)))))))))))))))</f>
        <v/>
      </c>
      <c r="R5" s="20">
        <v>15.4</v>
      </c>
      <c r="S5" s="20">
        <v>1.2</v>
      </c>
      <c r="T5" s="20">
        <v>0</v>
      </c>
      <c r="U5" s="20">
        <v>0</v>
      </c>
      <c r="V5" s="20">
        <v>17.7</v>
      </c>
      <c r="W5" s="20">
        <v>4.4000000000000004</v>
      </c>
      <c r="X5" s="20">
        <v>0.6</v>
      </c>
      <c r="Y5" s="20">
        <v>0</v>
      </c>
      <c r="Z5" s="20">
        <v>18.5</v>
      </c>
      <c r="AA5" s="20">
        <v>3.6</v>
      </c>
      <c r="AB5" s="20">
        <v>0</v>
      </c>
      <c r="AC5" s="20">
        <v>0</v>
      </c>
      <c r="AD5" s="20">
        <v>18.100000000000001</v>
      </c>
      <c r="AE5" s="20">
        <v>4.4000000000000004</v>
      </c>
      <c r="AF5" s="20">
        <v>0.6</v>
      </c>
      <c r="AG5" s="20">
        <v>0</v>
      </c>
      <c r="AH5" s="32"/>
      <c r="AI5" s="55">
        <f>IF(SUM(S5,W5)&gt;0,SUM(S5,W5),"")</f>
        <v>5.6000000000000005</v>
      </c>
      <c r="AJ5" s="55">
        <f>IF(SUM(R5:S5,U5:W5,Y5)-T5-X5&gt;0,SUM(R5:S5,U5:W5,Y5)-T5-X5,"")</f>
        <v>38.099999999999994</v>
      </c>
      <c r="AK5" s="55">
        <f>IF(SUM(AA5,AE5)&gt;0,SUM(AA5,AE5),"")</f>
        <v>8</v>
      </c>
      <c r="AL5" s="55">
        <f>IF(SUM(Z5:AA5,AC5:AE5,AG5)-SUM(AB5,AF5)&gt;0,SUM(Z5:AA5,AC5:AE5,AG5)-SUM(AB5,AF5),"")</f>
        <v>44</v>
      </c>
      <c r="AM5" s="55">
        <f>IF(SUM(AJ5,AL5)&gt;0,SUM(AJ5,AL5),"")</f>
        <v>82.1</v>
      </c>
      <c r="AN5" s="19">
        <v>18.399999999999999</v>
      </c>
      <c r="AO5" s="19">
        <v>4.4000000000000004</v>
      </c>
      <c r="AP5" s="19">
        <v>0</v>
      </c>
      <c r="AQ5" s="19">
        <v>0</v>
      </c>
      <c r="AR5" s="19">
        <v>18.3</v>
      </c>
      <c r="AS5" s="19">
        <v>3.6</v>
      </c>
      <c r="AT5" s="19">
        <v>0.2</v>
      </c>
      <c r="AU5" s="19">
        <v>0</v>
      </c>
      <c r="AV5" s="19">
        <v>18.2</v>
      </c>
      <c r="AW5" s="19">
        <v>4.4000000000000004</v>
      </c>
      <c r="AX5" s="19">
        <v>0.8</v>
      </c>
      <c r="AY5" s="19">
        <v>0</v>
      </c>
      <c r="AZ5" s="19">
        <v>0</v>
      </c>
      <c r="BA5" s="19">
        <v>0</v>
      </c>
      <c r="BB5" s="19">
        <v>0</v>
      </c>
      <c r="BC5" s="19">
        <v>0</v>
      </c>
      <c r="BD5" s="33"/>
      <c r="BE5" s="14">
        <f>IF(SUM(AO5,AS5)&gt;0,SUM(AO5,AS5),"")</f>
        <v>8</v>
      </c>
      <c r="BF5" s="14">
        <f>IF(SUM(AN5:AO5,AQ5:AS5,AU5)-AP5-AT5&gt;0,SUM(AN5:AO5,AQ5:AS5,AU5)-AP5-AT5,"")</f>
        <v>44.499999999999993</v>
      </c>
      <c r="BG5" s="14">
        <f>IF(SUM(AW5,BA5)&gt;0,SUM(AW5,BA5),"")</f>
        <v>4.4000000000000004</v>
      </c>
      <c r="BH5" s="14">
        <f>IF(SUM(AV5:AW5,AY5:BA5,BC5)-SUM(AX5,BB5)&gt;0,SUM(AV5:AW5,AY5:BA5,BC5)-SUM(AX5,BB5),"")</f>
        <v>21.8</v>
      </c>
      <c r="BI5" s="14">
        <f>IF(SUM(BF5,BH5)&gt;0,SUM(BF5,BH5),"")</f>
        <v>66.3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>IF(SUM(BK5,BO5)&gt;0,SUM(BK5,BO5),"")</f>
        <v/>
      </c>
      <c r="CB5" s="55" t="str">
        <f>IF(SUM(BJ5:BK5,BM5:BO5,BQ5)-BL5-BP5&gt;0,SUM(BJ5:BK5,BM5:BO5,BQ5)-BL5-BP5,"")</f>
        <v/>
      </c>
      <c r="CC5" s="55" t="str">
        <f>IF(SUM(BS5,BW5)&gt;0,SUM(BS5,BW5),"")</f>
        <v/>
      </c>
      <c r="CD5" s="55" t="str">
        <f>IF(SUM(BR5:BS5,BU5:BW5,BY5)-SUM(BT5,BX5)&gt;0,SUM(BR5:BS5,BU5:BW5,BY5)-SUM(BT5,BX5),"")</f>
        <v/>
      </c>
      <c r="CE5" s="55" t="str">
        <f>IF(SUM(CB5,CD5)&gt;0,SUM(CB5,CD5),"")</f>
        <v/>
      </c>
      <c r="CF5" s="56" t="str">
        <f>IF(MAX(DC5,EC5,FC5,GC5,HC5,IC5,JC5,KC5,LC5,MC5,NC5,OC5)-IF(K5="",0,K5)&gt;0.001,MAX(DC5,EC5,FC5,GC5,HC5,IC5,JC5,KC5,LC5,MC5,NC5,OC5)-IF(K5="",0,K5),"")</f>
        <v/>
      </c>
      <c r="CG5" s="56" t="str">
        <f>IF(MAX(DF5,EF5,FF5,GF5,HF5,IF5,JF5,KF5,LF5,MF5,NF5,OF5)-IF(M5="",0,M5)&gt;0.001,MAX(DF5,EF5,FF5,GF5,HF5,IF5,JF5,KF5,LF5,MF5,NF5,OF5)-IF(M5="",0,M5),"")</f>
        <v/>
      </c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 t="str">
        <f>IF(SUM(CI5,CM5)&gt;0,SUM(CI5,CM5),"")</f>
        <v/>
      </c>
      <c r="DC5" s="55" t="str">
        <f>IF(SUM(CH5:CI5,CK5:CM5,CO5)-CJ5-CN5&gt;0,SUM(CH5:CI5,CK5:CM5,CO5)-CJ5-CN5,"")</f>
        <v/>
      </c>
      <c r="DD5" s="55" t="str">
        <f>IF(SUM(CP5:CQ5,CS5)-CR5&gt;0,SUM(CP5:CQ5,CS5)-CR5,"")</f>
        <v/>
      </c>
      <c r="DE5" s="55" t="str">
        <f>IF(SUM(CU5,CY5)&gt;0,SUM(CU5,CY5),"")</f>
        <v/>
      </c>
      <c r="DF5" s="55" t="str">
        <f>IF(SUM(CT5:CU5,CW5:CY5,DA5)-SUM(CV5,CZ5)&gt;0,SUM(CT5:CU5,CW5:CY5,DA5)-SUM(CV5,CZ5),"")</f>
        <v/>
      </c>
      <c r="DG5" s="55" t="str">
        <f>IF(SUM(DC5,DD5,DF5)&gt;0,SUM(DC5,DD5,DF5),"")</f>
        <v/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>IF(SUM(DI5,DM5)&gt;0,SUM(DI5,DM5),"")</f>
        <v/>
      </c>
      <c r="EC5" s="14" t="str">
        <f>IF(SUM(DH5:DI5,DK5:DM5,DO5)-DJ5-DN5&gt;0,SUM(DH5:DI5,DK5:DM5,DO5)-DJ5-DN5,"")</f>
        <v/>
      </c>
      <c r="ED5" s="14" t="str">
        <f>IF(SUM(DP5:DQ5,DS5)-DR5&gt;0,SUM(DP5:DQ5,DS5)-DR5,"")</f>
        <v/>
      </c>
      <c r="EE5" s="14" t="str">
        <f>IF(SUM(DU5,DY5)&gt;0,SUM(DU5,DY5),"")</f>
        <v/>
      </c>
      <c r="EF5" s="14" t="str">
        <f>IF(SUM(DT5:DU5,DW5:DY5,EA5)-SUM(DV5,DZ5)&gt;0,SUM(DT5:DU5,DW5:DY5,EA5)-SUM(DV5,DZ5),"")</f>
        <v/>
      </c>
      <c r="EG5" s="14" t="str">
        <f>IF(SUM(EC5,ED5,EF5)&gt;0,SUM(EC5,ED5,EF5),"")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>IF(SUM(EI5,EM5)&gt;0,SUM(EI5,EM5),"")</f>
        <v/>
      </c>
      <c r="FC5" s="55" t="str">
        <f>IF(SUM(EH5:EI5,EK5:EM5,EO5)-EJ5-EN5&gt;0,SUM(EH5:EI5,EK5:EM5,EO5)-EJ5-EN5,"")</f>
        <v/>
      </c>
      <c r="FD5" s="55" t="str">
        <f>IF(SUM(EP5:EQ5,ES5)-ER5&gt;0,SUM(EP5:EQ5,ES5)-ER5,"")</f>
        <v/>
      </c>
      <c r="FE5" s="55" t="str">
        <f>IF(SUM(EU5,EY5)&gt;0,SUM(EU5,EY5),"")</f>
        <v/>
      </c>
      <c r="FF5" s="55" t="str">
        <f>IF(SUM(ET5:EU5,EW5:EY5,FA5)-SUM(EV5,EZ5)&gt;0,SUM(ET5:EU5,EW5:EY5,FA5)-SUM(EV5,EZ5),"")</f>
        <v/>
      </c>
      <c r="FG5" s="55" t="str">
        <f>IF(SUM(FC5,FD5,FF5)&gt;0,SUM(FC5,FD5,FF5),"")</f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>IF(SUM(FI5,FM5)&gt;0,SUM(FI5,FM5),"")</f>
        <v/>
      </c>
      <c r="GC5" s="14" t="str">
        <f>IF(SUM(FH5:FI5,FK5:FM5,FO5)-FJ5-FN5&gt;0,SUM(FH5:FI5,FK5:FM5,FO5)-FJ5-FN5,"")</f>
        <v/>
      </c>
      <c r="GD5" s="14" t="str">
        <f>IF(SUM(FP5:FQ5,FS5)-FR5&gt;0,SUM(FP5:FQ5,FS5)-FR5,"")</f>
        <v/>
      </c>
      <c r="GE5" s="14" t="str">
        <f>IF(SUM(FU5,FY5)&gt;0,SUM(FU5,FY5),"")</f>
        <v/>
      </c>
      <c r="GF5" s="14" t="str">
        <f>IF(SUM(FT5:FU5,FW5:FY5,GA5)-SUM(FV5,FZ5)&gt;0,SUM(FT5:FU5,FW5:FY5,GA5)-SUM(FV5,FZ5),"")</f>
        <v/>
      </c>
      <c r="GG5" s="14" t="str">
        <f>IF(SUM(GC5,GD5,GF5)&gt;0,SUM(GC5,GD5,GF5),"")</f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>IF(SUM(GI5,GM5)&gt;0,SUM(GI5,GM5),"")</f>
        <v/>
      </c>
      <c r="HC5" s="55" t="str">
        <f>IF(SUM(GH5:GI5,GK5:GM5,GO5)-GJ5-GN5&gt;0,SUM(GH5:GI5,GK5:GM5,GO5)-GJ5-GN5,"")</f>
        <v/>
      </c>
      <c r="HD5" s="55" t="str">
        <f>IF(SUM(GP5:GQ5,GS5)-GR5&gt;0,SUM(GP5:GQ5,GS5)-GR5,"")</f>
        <v/>
      </c>
      <c r="HE5" s="55" t="str">
        <f>IF(SUM(GU5,GY5)&gt;0,SUM(GU5,GY5),"")</f>
        <v/>
      </c>
      <c r="HF5" s="55" t="str">
        <f>IF(SUM(GT5:GU5,GW5:GY5,HA5)-SUM(GV5,GZ5)&gt;0,SUM(GT5:GU5,GW5:GY5,HA5)-SUM(GV5,GZ5),"")</f>
        <v/>
      </c>
      <c r="HG5" s="55" t="str">
        <f>IF(SUM(HC5,HD5,HF5)&gt;0,SUM(HC5,HD5,HF5),"")</f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>IF(SUM(HI5,HM5)&gt;0,SUM(HI5,HM5),"")</f>
        <v/>
      </c>
      <c r="IC5" s="14" t="str">
        <f>IF(SUM(HH5:HI5,HK5:HM5,HO5)-HJ5-HN5&gt;0,SUM(HH5:HI5,HK5:HM5,HO5)-HJ5-HN5,"")</f>
        <v/>
      </c>
      <c r="ID5" s="14" t="str">
        <f>IF(SUM(HP5:HQ5,HS5)-HR5&gt;0,SUM(HP5:HQ5,HS5)-HR5,"")</f>
        <v/>
      </c>
      <c r="IE5" s="14" t="str">
        <f>IF(SUM(HU5,HY5)&gt;0,SUM(HU5,HY5),"")</f>
        <v/>
      </c>
      <c r="IF5" s="14" t="str">
        <f>IF(SUM(HT5:HU5,HW5:HY5,IA5)-SUM(HV5,HZ5)&gt;0,SUM(HT5:HU5,HW5:HY5,IA5)-SUM(HV5,HZ5),"")</f>
        <v/>
      </c>
      <c r="IG5" s="14" t="str">
        <f>IF(SUM(IC5,ID5,IF5)&gt;0,SUM(IC5,ID5,IF5),"")</f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>IF(SUM(II5,IM5)&gt;0,SUM(II5,IM5),"")</f>
        <v/>
      </c>
      <c r="JC5" s="55" t="str">
        <f>IF(SUM(IH5:II5,IK5:IM5,IO5)-IJ5-IN5&gt;0,SUM(IH5:II5,IK5:IM5,IO5)-IJ5-IN5,"")</f>
        <v/>
      </c>
      <c r="JD5" s="55" t="str">
        <f>IF(SUM(IP5:IQ5,IS5)-IR5&gt;0,SUM(IP5:IQ5,IS5)-IR5,"")</f>
        <v/>
      </c>
      <c r="JE5" s="55" t="str">
        <f>IF(SUM(IU5,IY5)&gt;0,SUM(IU5,IY5),"")</f>
        <v/>
      </c>
      <c r="JF5" s="55" t="str">
        <f>IF(SUM(IT5:IU5,IW5:IY5,JA5)-SUM(IV5,IZ5)&gt;0,SUM(IT5:IU5,IW5:IY5,JA5)-SUM(IV5,IZ5),"")</f>
        <v/>
      </c>
      <c r="JG5" s="55" t="str">
        <f>IF(SUM(JC5,JD5,JF5)&gt;0,SUM(JC5,JD5,JF5),"")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>IF(SUM(JI5,JM5)&gt;0,SUM(JI5,JM5),"")</f>
        <v/>
      </c>
      <c r="KC5" s="14" t="str">
        <f>IF(SUM(JH5:JI5,JK5:JM5,JO5)-JJ5-JN5&gt;0,SUM(JH5:JI5,JK5:JM5,JO5)-JJ5-JN5,"")</f>
        <v/>
      </c>
      <c r="KD5" s="14" t="str">
        <f>IF(SUM(JP5:JQ5,JS5)-JR5&gt;0,SUM(JP5:JQ5,JS5)-JR5,"")</f>
        <v/>
      </c>
      <c r="KE5" s="14" t="str">
        <f>IF(SUM(JU5,JY5)&gt;0,SUM(JU5,JY5),"")</f>
        <v/>
      </c>
      <c r="KF5" s="14" t="str">
        <f>IF(SUM(JT5:JU5,JW5:JY5,KA5)-SUM(JV5,JZ5)&gt;0,SUM(JT5:JU5,JW5:JY5,KA5)-SUM(JV5,JZ5),"")</f>
        <v/>
      </c>
      <c r="KG5" s="14" t="str">
        <f>IF(SUM(KC5,KD5,KF5)&gt;0,SUM(KC5,KD5,KF5),"")</f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>IF(SUM(KI5,KM5)&gt;0,SUM(KI5,KM5),"")</f>
        <v/>
      </c>
      <c r="LC5" s="55" t="str">
        <f>IF(SUM(KH5:KI5,KK5:KM5,KO5)-KJ5-KN5&gt;0,SUM(KH5:KI5,KK5:KM5,KO5)-KJ5-KN5,"")</f>
        <v/>
      </c>
      <c r="LD5" s="55" t="str">
        <f>IF(SUM(KP5:KQ5,KS5)-KR5&gt;0,SUM(KP5:KQ5,KS5)-KR5,"")</f>
        <v/>
      </c>
      <c r="LE5" s="55" t="str">
        <f>IF(SUM(KU5,KY5)&gt;0,SUM(KU5,KY5),"")</f>
        <v/>
      </c>
      <c r="LF5" s="55" t="str">
        <f>IF(SUM(KT5:KU5,KW5:KY5,LA5)-SUM(KV5,KZ5)&gt;0,SUM(KT5:KU5,KW5:KY5,LA5)-SUM(KV5,KZ5),"")</f>
        <v/>
      </c>
      <c r="LG5" s="55" t="str">
        <f>IF(SUM(LC5,LD5,LF5)&gt;0,SUM(LC5,LD5,LF5),"")</f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>IF(SUM(LI5,LM5)&gt;0,SUM(LI5,LM5),"")</f>
        <v/>
      </c>
      <c r="MC5" s="14" t="str">
        <f>IF(SUM(LH5:LI5,LK5:LM5,LO5)-LJ5-LN5&gt;0,SUM(LH5:LI5,LK5:LM5,LO5)-LJ5-LN5,"")</f>
        <v/>
      </c>
      <c r="MD5" s="14" t="str">
        <f>IF(SUM(LP5:LQ5,LS5)-LR5&gt;0,SUM(LP5:LQ5,LS5)-LR5,"")</f>
        <v/>
      </c>
      <c r="ME5" s="14" t="str">
        <f>IF(SUM(LU5,LY5)&gt;0,SUM(LU5,LY5),"")</f>
        <v/>
      </c>
      <c r="MF5" s="14" t="str">
        <f>IF(SUM(LT5:LU5,LW5:LY5,MA5)-SUM(LV5,LZ5)&gt;0,SUM(LT5:LU5,LW5:LY5,MA5)-SUM(LV5,LZ5),"")</f>
        <v/>
      </c>
      <c r="MG5" s="14" t="str">
        <f>IF(SUM(MC5,MD5,MF5)&gt;0,SUM(MC5,MD5,MF5),"")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>IF(SUM(MI5,MM5)&gt;0,SUM(MI5,MM5),"")</f>
        <v/>
      </c>
      <c r="NC5" s="55" t="str">
        <f>IF(SUM(MH5:MI5,MK5:MM5,MO5)-MJ5-MN5&gt;0,SUM(MH5:MI5,MK5:MM5,MO5)-MJ5-MN5,"")</f>
        <v/>
      </c>
      <c r="ND5" s="55" t="str">
        <f>IF(SUM(MP5:MQ5,MS5)-MR5&gt;0,SUM(MP5:MQ5,MS5)-MR5,"")</f>
        <v/>
      </c>
      <c r="NE5" s="55" t="str">
        <f>IF(SUM(MU5,MY5)&gt;0,SUM(MU5,MY5),"")</f>
        <v/>
      </c>
      <c r="NF5" s="55" t="str">
        <f>IF(SUM(MT5:MU5,MW5:MY5,NA5)-SUM(MV5,MZ5)&gt;0,SUM(MT5:MU5,MW5:MY5,NA5)-SUM(MV5,MZ5),"")</f>
        <v/>
      </c>
      <c r="NG5" s="55" t="str">
        <f>IF(SUM(NC5,ND5,NF5)&gt;0,SUM(NC5,ND5,NF5),"")</f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>IF(SUM(NI5,NM5)&gt;0,SUM(NI5,NM5),"")</f>
        <v/>
      </c>
      <c r="OC5" s="14" t="str">
        <f>IF(SUM(NH5:NI5,NK5:NM5,NO5)-NJ5-NN5&gt;0,SUM(NH5:NI5,NK5:NM5,NO5)-NJ5-NN5,"")</f>
        <v/>
      </c>
      <c r="OD5" s="14" t="str">
        <f>IF(SUM(NP5:NQ5,NS5)-NR5&gt;0,SUM(NP5:NQ5,NS5)-NR5,"")</f>
        <v/>
      </c>
      <c r="OE5" s="14" t="str">
        <f>IF(SUM(NU5,NY5)&gt;0,SUM(NU5,NY5),"")</f>
        <v/>
      </c>
      <c r="OF5" s="14" t="str">
        <f>IF(SUM(NT5:NU5,NW5:NY5,OA5)-SUM(NV5,NZ5)&gt;0,SUM(NT5:NU5,NW5:NY5,OA5)-SUM(NV5,NZ5),"")</f>
        <v/>
      </c>
      <c r="OG5" s="14" t="str">
        <f>IF(SUM(OC5,OD5,OF5)&gt;0,SUM(OC5,OD5,OF5),"")</f>
        <v/>
      </c>
      <c r="OH5" s="27">
        <f t="shared" si="0"/>
        <v>9.1999999999999993</v>
      </c>
      <c r="OI5" s="27">
        <f t="shared" si="0"/>
        <v>2.2000000000000002</v>
      </c>
      <c r="OJ5" s="27">
        <f t="shared" si="0"/>
        <v>0</v>
      </c>
      <c r="OK5" s="27">
        <f t="shared" si="0"/>
        <v>0</v>
      </c>
      <c r="OL5" s="27">
        <f t="shared" si="0"/>
        <v>9.15</v>
      </c>
      <c r="OM5" s="27">
        <f t="shared" si="0"/>
        <v>1.8</v>
      </c>
      <c r="ON5" s="27">
        <f t="shared" si="0"/>
        <v>0.1</v>
      </c>
      <c r="OO5" s="27">
        <f t="shared" si="0"/>
        <v>0</v>
      </c>
      <c r="OP5" s="27">
        <f t="shared" si="0"/>
        <v>9.1</v>
      </c>
      <c r="OQ5" s="27">
        <f t="shared" si="0"/>
        <v>2.2000000000000002</v>
      </c>
      <c r="OR5" s="27">
        <f t="shared" si="0"/>
        <v>0.4</v>
      </c>
      <c r="OS5" s="27">
        <f t="shared" si="0"/>
        <v>0</v>
      </c>
      <c r="OT5" s="27">
        <f t="shared" si="0"/>
        <v>0</v>
      </c>
      <c r="OU5" s="27">
        <f t="shared" si="0"/>
        <v>0</v>
      </c>
      <c r="OV5" s="27">
        <f t="shared" si="0"/>
        <v>0</v>
      </c>
      <c r="OW5" s="27">
        <f t="shared" si="0"/>
        <v>0</v>
      </c>
      <c r="OX5" s="32" t="s">
        <v>44</v>
      </c>
      <c r="OY5" s="55">
        <f>IF(SUM(OI5,OM5)&gt;0,SUM(OI5,OM5),"")</f>
        <v>4</v>
      </c>
      <c r="OZ5" s="55">
        <f>IF(SUM(OH5:OI5,OK5:OM5,OO5)-OJ5-ON5&gt;0,SUM(OH5:OI5,OK5:OM5,OO5)-OJ5-ON5,"")</f>
        <v>22.249999999999996</v>
      </c>
      <c r="PA5" s="55">
        <f>IF(SUM(OQ5,OU5)&gt;0,SUM(OQ5,OU5),"")</f>
        <v>2.2000000000000002</v>
      </c>
      <c r="PB5" s="55">
        <f>IF(SUM(OP5:OQ5,OS5:OU5,OW5)-SUM(OR5,OV5)&gt;0,SUM(OP5:OQ5,OS5:OU5,OW5)-SUM(OR5,OV5),"")</f>
        <v>10.9</v>
      </c>
      <c r="PC5" s="55">
        <f>IF(SUM(OZ5,PB5)&gt;0,SUM(OZ5,PB5),"")</f>
        <v>33.15</v>
      </c>
    </row>
    <row r="6" spans="1:419" x14ac:dyDescent="0.2">
      <c r="A6" s="4" t="str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/>
      </c>
      <c r="B6" s="5" t="s">
        <v>79</v>
      </c>
      <c r="C6" s="4" t="s">
        <v>78</v>
      </c>
      <c r="D6" s="4">
        <v>2010</v>
      </c>
      <c r="E6" s="10">
        <f>SUM(I6:O6)+SUM(I6:M6)*0.0000001+SUM(I6)*0.0000000000001</f>
        <v>122.30001223000438</v>
      </c>
      <c r="F6" s="3" t="str">
        <f>IF(OR(AND(AI6&gt;=AM$10,AJ6&gt;=AM$14,AI6&lt;&gt;"",AH6=""),AND(AK6&gt;=AM$10,AL6&gt;=AM$14,AK6&lt;&gt;"",AH6=""),AND(BE6&gt;=BI$10,BF6&gt;=BI$14,BE6&lt;&gt;"",BD6=""),AND(BG6&gt;=BI$10,BH6&gt;=BI$14,BG6&lt;&gt;"",BD6=""),AND(CA6&gt;=CE$10,CB6&gt;=CE$14,CA6&lt;&gt;"",BZ6=""),AND(CC6&gt;=CE$10,CD6&gt;=CE$14,CC6&lt;&gt;""),AND(DB6&gt;=DG$10,DC6&gt;=DG$14,DB6&lt;&gt;""),AND(DE6&gt;=DG$10,DF6&gt;=DG$14,DE6&lt;&gt;""),AND(EB6&gt;=EG$10,EC6&gt;=EG$14,EB6&lt;&gt;""),AND(EE6&gt;=EG$10,EF6&gt;=EG$14,EE6&lt;&gt;""),AND(FB6&gt;=FG$10,FC6&gt;=FG$14,FB6&lt;&gt;""),AND(FE6&gt;=FG$10,FF6&gt;=FG$14,FE6&lt;&gt;""),AND(GB6&gt;=GG$10,GC6&gt;=GG$14,GB6&lt;&gt;""),AND(GE6&gt;=GG$10,GF6&gt;=GG$14,GE6&lt;&gt;""),AND(HB6&gt;=HG$10,HC6&gt;=HG$14,HB6&lt;&gt;""),AND(HE6&gt;=HG$10,HF6&gt;=HG$14,HE6&lt;&gt;""),AND(IB6&gt;=IG$10,IC6&gt;=IG$14,IB6&lt;&gt;""),AND(IE6&gt;=IG$10,IF6&gt;=IG$14,IE6&lt;&gt;""),AND(JB6&gt;=JG$10,JC6&gt;=JG$14,JB6&lt;&gt;""),AND(JE6&gt;=JG$10,JF6&gt;=JG$14,JE6&lt;&gt;""),AND(KB6&gt;=KG$10,KC6&gt;=KG$14,KB6&lt;&gt;""),AND(KE6&gt;=KG$10,KF6&gt;=KG$14,KE6&lt;&gt;""),AND(LB6&gt;=LG$10,LC6&gt;=LG$14,LB6&lt;&gt;""),AND(LE6&gt;=LG$10,LF6&gt;=LG$14,LE6&lt;&gt;""),AND(MB6&gt;=MG$10,MC6&gt;=MG$14,MB6&lt;&gt;""),AND(ME6&gt;=MG$10,MF6&gt;=MG$14,ME6&lt;&gt;""),AND(NB6&gt;=NG$10,NC6&gt;=NG$14,NB6&lt;&gt;""),AND(NE6&gt;=NG$10,NF6&gt;=NG$14,NE6&lt;&gt;""),AND(OB6&gt;=OG$10,OC6&gt;=OG$14,OB6&lt;&gt;""),AND(OE6&gt;=OG$10,OF6&gt;=OG$14,OE6&lt;&gt;"")),"P","")</f>
        <v/>
      </c>
      <c r="G6" s="3" t="str">
        <f>IF(OR(AND(AJ6&gt;=AM$14,AJ6&lt;&gt;"",AH6=""),AND(AL6&gt;=AM$14,AL6&lt;&gt;"",AH6=""),AND(BF6&gt;=BI$14,BF6&lt;&gt;"",BD6=""),AND(BH6&gt;=BI$14,BH6&lt;&gt;"",BD6=""),AND(CB6&gt;=CE$14,CB6&lt;&gt;"",BZ6=""),AND(CD6&gt;=CE$14,CD6&lt;&gt;"",BZ6=""),AND(DC6&gt;=DG$14,DC6&lt;&gt;""),AND(DF6&gt;=DG$14,DF6&lt;&gt;""),AND(EC6&gt;=EG$14,EC6&lt;&gt;""),AND(EF6&gt;=EG$14,EF6&lt;&gt;""),AND(FC6&gt;=FG$14,FC6&lt;&gt;""),AND(FF6&gt;=FG$14,FF6&lt;&gt;""),AND(GC6&gt;=GG$14,GC6&lt;&gt;""),AND(GF6&gt;=GG$14,GF6&lt;&gt;""),AND(HC6&gt;=HG$14,HC6&lt;&gt;""),AND(HF6&gt;=HG$14,HF6&lt;&gt;""),AND(IC6&gt;=IG$14,IC6&lt;&gt;""),AND(IF6&gt;=IG$14,IF6&lt;&gt;""),AND(JC6&gt;=JG$14,JC6&lt;&gt;""),AND(JF6&gt;=JG$14,JF6&lt;&gt;""),AND(KC6&gt;=KG$14,KC6&lt;&gt;""),AND(KF6&gt;=KG$14,KF6&lt;&gt;""),AND(LC6&gt;=LG$14,LC6&lt;&gt;""),AND(LF6&gt;=LG$14,LF6&lt;&gt;""),AND(MC6&gt;=MG$14,MC6&lt;&gt;""),AND(MF6&gt;=MG$14,MF6&lt;&gt;""),AND(NC6&gt;=NG$14,NC6&lt;&gt;""),AND(NF6&gt;=NG$14,NF6&lt;&gt;""),AND(OC6&gt;=OG$14,OC6&lt;&gt;""),AND(OF6&gt;=OG$14,OF6&lt;&gt;"")),"P","")</f>
        <v/>
      </c>
      <c r="H6" s="47" t="str">
        <f>IF(AND(G6="P",F6=""),"No DD",IF(OR(AND(AI6&gt;=AM$13,AJ6&gt;=AM$17,AI6&lt;&gt;"",AH6=""),AND(AK6&gt;=AM$13,AL6&gt;=AM$17,AK6&lt;&gt;"",AH6=""),AND(BE6&gt;=BI$13,BF6&gt;=BI$17,BE6&lt;&gt;"",BD6=""),AND(BG6&gt;=BI$13,BH6&gt;=BI$17,BG6&lt;&gt;"",BD6=""),AND(CA6&gt;=CE$13,CB6&gt;=CE$17,CA6&lt;&gt;"",BZ6=""),AND(CC6&gt;=CE$13,CD6&gt;=CE$17,CC6&lt;&gt;""),AND(DB6&gt;=DG$13,DC6&gt;=DG$17,DB6&lt;&gt;""),AND(DE6&gt;=DG$13,DF6&gt;=DG$17,DE6&lt;&gt;""),AND(EB6&gt;=EG$13,EC6&gt;=EG$17,EB6&lt;&gt;""),AND(EE6&gt;=EG$13,EF6&gt;=EG$17,EE6&lt;&gt;""),AND(FB6&gt;=FG$13,FC6&gt;=FG$17,FB6&lt;&gt;""),AND(FE6&gt;=FG$13,FF6&gt;=FG$17,FE6&lt;&gt;""),AND(GB6&gt;=GG$13,GC6&gt;=GG$17,GB6&lt;&gt;""),AND(GE6&gt;=GG$13,GF6&gt;=GG$17,GE6&lt;&gt;""),AND(HB6&gt;=HG$13,HC6&gt;=HG$17,HB6&lt;&gt;""),AND(HE6&gt;=HG$13,HF6&gt;=HG$17,HE6&lt;&gt;""),AND(IB6&gt;=IG$13,IC6&gt;=IG$17,IB6&lt;&gt;""),AND(IE6&gt;=IG$13,IF6&gt;=IG$17,IE6&lt;&gt;""),AND(JB6&gt;=JG$13,JC6&gt;=JG$17,JB6&lt;&gt;""),AND(JE6&gt;=JG$13,JF6&gt;=JG$17,JE6&lt;&gt;""),AND(KB6&gt;=KG$13,KC6&gt;=KG$17,KB6&lt;&gt;""),AND(KE6&gt;=KG$13,KF6&gt;=KG$17,KE6&lt;&gt;""),AND(LB6&gt;=LG$13,LC6&gt;=LG$17,LB6&lt;&gt;""),AND(LE6&gt;=LG$13,LF6&gt;=LG$17,LE6&lt;&gt;""),AND(MB6&gt;=MG$13,MC6&gt;=MG$17,MB6&lt;&gt;""),AND(ME6&gt;=MG$13,MF6&gt;=MG$17,ME6&lt;&gt;""),AND(NB6&gt;=NG$13,NC6&gt;=NG$17,NB6&lt;&gt;""),AND(NE6&gt;=NG$13,NF6&gt;=NG$17,NE6&lt;&gt;""),AND(OB6&gt;=OG$13,OC6&gt;=OG$17,OB6&lt;&gt;""),AND(OE6&gt;=OG$13,OF6&gt;=OG$17,OE6&lt;&gt;"")),"Merit",IF(OR(AND(AI6&gt;=AM$12,AJ6&gt;=AM$16,AI6&lt;&gt;"",AH6=""),AND(AK6&gt;=AM$12,AL6&gt;=AM$16,AK6&lt;&gt;"",AH6=""),AND(BE6&gt;=BI$12,BF6&gt;=BI$16,BE6&lt;&gt;"",BD6=""),AND(BG6&gt;=BI$12,BH6&gt;=BI$16,BG6&lt;&gt;"",BD6=""),AND(CA6&gt;=CE$12,CB6&gt;=CE$16,CA6&lt;&gt;"",BZ6=""),AND(CC6&gt;=CE$12,CD6&gt;=CE$16,CC6&lt;&gt;""),AND(DB6&gt;=DG$12,DC6&gt;=DG$16,DB6&lt;&gt;""),AND(DE6&gt;=DG$12,DF6&gt;=DG$16,DE6&lt;&gt;""),AND(EB6&gt;=EG$12,EC6&gt;=EG$16,EB6&lt;&gt;""),AND(EE6&gt;=EG$12,EF6&gt;=EG$16,EE6&lt;&gt;""),AND(FB6&gt;=FG$12,FC6&gt;=FG$16,FB6&lt;&gt;""),AND(FE6&gt;=FG$12,FF6&gt;=FG$16,FE6&lt;&gt;""),AND(GB6&gt;=GG$12,GC6&gt;=GG$16,GB6&lt;&gt;""),AND(GE6&gt;=GG$12,GF6&gt;=GG$16,GE6&lt;&gt;""),AND(HB6&gt;=HG$12,HC6&gt;=HG$16,HB6&lt;&gt;""),AND(HE6&gt;=HG$12,HF6&gt;=HG$16,HE6&lt;&gt;""),AND(IB6&gt;=IG$12,IC6&gt;=IG$16,IB6&lt;&gt;""),AND(IE6&gt;=IG$12,IF6&gt;=IG$16,IE6&lt;&gt;""),AND(JB6&gt;=JG$12,JC6&gt;=JG$16,JB6&lt;&gt;""),AND(JE6&gt;=JG$12,JF6&gt;=JG$16,JE6&lt;&gt;""),AND(KB6&gt;=KG$12,KC6&gt;=KG$16,KB6&lt;&gt;""),AND(KE6&gt;=KG$12,KF6&gt;=KG$16,KE6&lt;&gt;""),AND(LB6&gt;=LG$12,LC6&gt;=LG$16,LB6&lt;&gt;""),AND(LE6&gt;=LG$12,LF6&gt;=LG$16,LE6&lt;&gt;""),AND(MB6&gt;=MG$12,MC6&gt;=MG$16,MB6&lt;&gt;""),AND(ME6&gt;=MG$12,MF6&gt;=MG$16,ME6&lt;&gt;""),AND(NB6&gt;=NG$12,NC6&gt;=NG$16,NB6&lt;&gt;""),AND(NE6&gt;=NG$12,NF6&gt;=NG$16,NE6&lt;&gt;""),AND(OB6&gt;=OG$12,OC6&gt;=OG$16,OB6&lt;&gt;""),AND(OE6&gt;=OG$12,OF6&gt;=OG$16,OE6&lt;&gt;"")),"Excellence",IF(F6="P","National Team",""))))</f>
        <v/>
      </c>
      <c r="I6" s="9">
        <f>IF(COUNT(AJ6,BF6,CB6)&gt;0,LARGE((AJ6,BF6,CB6),1),0)</f>
        <v>43.7</v>
      </c>
      <c r="J6" s="9" t="str">
        <f>IF(I6=0,"",IF(I6=CB6,$BJ$1,IF(I6=BF6,$AN$1,IF(I6=AJ6,$R$1,""))))</f>
        <v>2025 Elite Canada</v>
      </c>
      <c r="K6" s="9">
        <f>IF(COUNT(AJ6,BF6,CB6)&gt;1,LARGE((AJ6,BF6,CB6),2),0)</f>
        <v>34.1</v>
      </c>
      <c r="L6" s="9" t="str">
        <f>IF(K6=0,"",IF(AND(K6=I6,K6=AJ6,K6=BF6),$R$1,IF(AND(K6=I6,K6=AJ6,K6=CB6),$R$1,IF(AND(K6=I6,K6=CB6,K6=BF6),$AN$1,IF(K6=CB6,$BJ$1,IF(K6=BF6,$AN$1,IF(K6=AJ6,$R$1,"")))))))</f>
        <v>2025 Nationals</v>
      </c>
      <c r="M6" s="9">
        <f>IF(MAX(AL6,BH6,CD6)&gt;0,MAX(AL6,BH6,CD6),0)</f>
        <v>44.499999999999993</v>
      </c>
      <c r="N6" s="9" t="str">
        <f>IF(M6=0,"",IF(M6=CD6,$BJ$1,IF(M6=BH6,$AN$1,IF(M6=AL6,$R$1,""))))</f>
        <v>2025 Elite Canada</v>
      </c>
      <c r="O6" s="9" t="str">
        <f>IF(MAX(CF6:CG6)&gt;0,MAX(CF6:CG6),"")</f>
        <v/>
      </c>
      <c r="P6" s="14" t="str">
        <f>IF(O6="","",IF(O6=CF6,"("&amp;CF$2&amp;")",IF(O6=CG6,"("&amp;CG$2&amp;")")))</f>
        <v/>
      </c>
      <c r="Q6" s="9" t="str">
        <f>IF(O6="","",IF(O6=CF6,IF(O6+IF(K6="",0,K6)=OC6,$NH$1,IF(O6+IF(K6="",0,K6)=NC6,$MH$1,IF(O6+IF(K6="",0,K6)=MC6,$LH$1,IF(O6+IF(K6="",0,K6)=LC6,$KH$1,IF(O6+IF(K6="",0,K6)=KC6,$JH$1,IF(O6+IF(K6="",0,K6)=JC6,$IH$1,IF(O6+IF(K6="",0,K6)=IC6,$HH$1,IF(O6+IF(K6="",0,K6)=HC6,$GH$1,IF(O6+IF(K6="",0,K6)=GC6,$FH$1,IF(O6+IF(K6="",0,K6)=FC6,$EH$1,IF(O6+IF(K6="",0,K6)=EC6,$DH$1,IF(O6+IF(K6="",0,K6)=DC6,$CH$1)))))))))))),IF(O6=CG6,IF(O6+IF(M6="",0,M6)=OF6,$NH$1,IF(O6+IF(M6="",0,M6)=NF6,$MH$1,IF(O6+IF(M6="",0,M6)=MF6,$LH$1,IF(O6+IF(M6="",0,M6)=LF6,$KH$1,IF(O6+IF(M6="",0,M6)=KF6,$JH$1,IF(O6+IF(M6="",0,M6)=JF6,$IH$1,IF(O6+IF(M6="",0,M6)=IF6,$HH$1,IF(O6+IF(M6="",0,M6)=HF6,$GH$1,IF(O6+IF(M6="",0,M6)=GF6,$FH$1,IF(O6+IF(M6="",0,M6)=FF6,$EH$1,IF(O6+IF(M6="",0,M6)=EF6,$DH$1,IF(O6+IF(M6="",0,M6)=DF6,$CH$1)))))))))))))))</f>
        <v/>
      </c>
      <c r="R6" s="20">
        <v>18.600000000000001</v>
      </c>
      <c r="S6" s="20">
        <v>3.5</v>
      </c>
      <c r="T6" s="20">
        <v>0</v>
      </c>
      <c r="U6" s="20">
        <v>0</v>
      </c>
      <c r="V6" s="20">
        <v>17.8</v>
      </c>
      <c r="W6" s="20">
        <v>4.4000000000000004</v>
      </c>
      <c r="X6" s="20">
        <v>0.6</v>
      </c>
      <c r="Y6" s="20">
        <v>0</v>
      </c>
      <c r="Z6" s="20">
        <v>18.399999999999999</v>
      </c>
      <c r="AA6" s="20">
        <v>3.5</v>
      </c>
      <c r="AB6" s="20">
        <v>0</v>
      </c>
      <c r="AC6" s="20">
        <v>0</v>
      </c>
      <c r="AD6" s="20">
        <v>18.2</v>
      </c>
      <c r="AE6" s="20">
        <v>4.4000000000000004</v>
      </c>
      <c r="AF6" s="20">
        <v>0</v>
      </c>
      <c r="AG6" s="20">
        <v>0</v>
      </c>
      <c r="AH6" s="32"/>
      <c r="AI6" s="55">
        <f>IF(SUM(S6,W6)&gt;0,SUM(S6,W6),"")</f>
        <v>7.9</v>
      </c>
      <c r="AJ6" s="55">
        <f>IF(SUM(R6:S6,U6:W6,Y6)-T6-X6&gt;0,SUM(R6:S6,U6:W6,Y6)-T6-X6,"")</f>
        <v>43.7</v>
      </c>
      <c r="AK6" s="55">
        <f>IF(SUM(AA6,AE6)&gt;0,SUM(AA6,AE6),"")</f>
        <v>7.9</v>
      </c>
      <c r="AL6" s="55">
        <f>IF(SUM(Z6:AA6,AC6:AE6,AG6)-SUM(AB6,AF6)&gt;0,SUM(Z6:AA6,AC6:AE6,AG6)-SUM(AB6,AF6),"")</f>
        <v>44.499999999999993</v>
      </c>
      <c r="AM6" s="55">
        <f>IF(SUM(AJ6,AL6)&gt;0,SUM(AJ6,AL6),"")</f>
        <v>88.199999999999989</v>
      </c>
      <c r="AN6" s="19">
        <v>15.8</v>
      </c>
      <c r="AO6" s="19">
        <v>0.7</v>
      </c>
      <c r="AP6" s="19">
        <v>0</v>
      </c>
      <c r="AQ6" s="19">
        <v>0</v>
      </c>
      <c r="AR6" s="19">
        <v>15.2</v>
      </c>
      <c r="AS6" s="19">
        <v>2.4</v>
      </c>
      <c r="AT6" s="19">
        <v>0</v>
      </c>
      <c r="AU6" s="19">
        <v>0</v>
      </c>
      <c r="AV6" s="19"/>
      <c r="AW6" s="19"/>
      <c r="AX6" s="19"/>
      <c r="AY6" s="19"/>
      <c r="AZ6" s="19"/>
      <c r="BA6" s="19"/>
      <c r="BB6" s="19"/>
      <c r="BC6" s="19"/>
      <c r="BD6" s="33"/>
      <c r="BE6" s="14">
        <f>IF(SUM(AO6,AS6)&gt;0,SUM(AO6,AS6),"")</f>
        <v>3.0999999999999996</v>
      </c>
      <c r="BF6" s="14">
        <f>IF(SUM(AN6:AO6,AQ6:AS6,AU6)-AP6-AT6&gt;0,SUM(AN6:AO6,AQ6:AS6,AU6)-AP6-AT6,"")</f>
        <v>34.1</v>
      </c>
      <c r="BG6" s="14" t="str">
        <f>IF(SUM(AW6,BA6)&gt;0,SUM(AW6,BA6),"")</f>
        <v/>
      </c>
      <c r="BH6" s="14" t="str">
        <f>IF(SUM(AV6:AW6,AY6:BA6,BC6)-SUM(AX6,BB6)&gt;0,SUM(AV6:AW6,AY6:BA6,BC6)-SUM(AX6,BB6),"")</f>
        <v/>
      </c>
      <c r="BI6" s="14">
        <f>IF(SUM(BF6,BH6)&gt;0,SUM(BF6,BH6),"")</f>
        <v>34.1</v>
      </c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32"/>
      <c r="CA6" s="55" t="str">
        <f>IF(SUM(BK6,BO6)&gt;0,SUM(BK6,BO6),"")</f>
        <v/>
      </c>
      <c r="CB6" s="55" t="str">
        <f>IF(SUM(BJ6:BK6,BM6:BO6,BQ6)-BL6-BP6&gt;0,SUM(BJ6:BK6,BM6:BO6,BQ6)-BL6-BP6,"")</f>
        <v/>
      </c>
      <c r="CC6" s="55" t="str">
        <f>IF(SUM(BS6,BW6)&gt;0,SUM(BS6,BW6),"")</f>
        <v/>
      </c>
      <c r="CD6" s="55" t="str">
        <f>IF(SUM(BR6:BS6,BU6:BW6,BY6)-SUM(BT6,BX6)&gt;0,SUM(BR6:BS6,BU6:BW6,BY6)-SUM(BT6,BX6),"")</f>
        <v/>
      </c>
      <c r="CE6" s="55" t="str">
        <f>IF(SUM(CB6,CD6)&gt;0,SUM(CB6,CD6),"")</f>
        <v/>
      </c>
      <c r="CF6" s="56" t="str">
        <f>IF(MAX(DC6,EC6,FC6,GC6,HC6,IC6,JC6,KC6,LC6,MC6,NC6,OC6)-IF(K6="",0,K6)&gt;0.001,MAX(DC6,EC6,FC6,GC6,HC6,IC6,JC6,KC6,LC6,MC6,NC6,OC6)-IF(K6="",0,K6),"")</f>
        <v/>
      </c>
      <c r="CG6" s="56" t="str">
        <f>IF(MAX(DF6,EF6,FF6,GF6,HF6,IF6,JF6,KF6,LF6,MF6,NF6,OF6)-IF(M6="",0,M6)&gt;0.001,MAX(DF6,EF6,FF6,GF6,HF6,IF6,JF6,KF6,LF6,MF6,NF6,OF6)-IF(M6="",0,M6),"")</f>
        <v/>
      </c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55" t="str">
        <f>IF(SUM(CI6,CM6)&gt;0,SUM(CI6,CM6),"")</f>
        <v/>
      </c>
      <c r="DC6" s="55" t="str">
        <f>IF(SUM(CH6:CI6,CK6:CM6,CO6)-CJ6-CN6&gt;0,SUM(CH6:CI6,CK6:CM6,CO6)-CJ6-CN6,"")</f>
        <v/>
      </c>
      <c r="DD6" s="55" t="str">
        <f>IF(SUM(CP6:CQ6,CS6)-CR6&gt;0,SUM(CP6:CQ6,CS6)-CR6,"")</f>
        <v/>
      </c>
      <c r="DE6" s="55" t="str">
        <f>IF(SUM(CU6,CY6)&gt;0,SUM(CU6,CY6),"")</f>
        <v/>
      </c>
      <c r="DF6" s="55" t="str">
        <f>IF(SUM(CT6:CU6,CW6:CY6,DA6)-SUM(CV6,CZ6)&gt;0,SUM(CT6:CU6,CW6:CY6,DA6)-SUM(CV6,CZ6),"")</f>
        <v/>
      </c>
      <c r="DG6" s="55" t="str">
        <f>IF(SUM(DC6,DD6,DF6)&gt;0,SUM(DC6,DD6,DF6),"")</f>
        <v/>
      </c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4" t="str">
        <f>IF(SUM(DI6,DM6)&gt;0,SUM(DI6,DM6),"")</f>
        <v/>
      </c>
      <c r="EC6" s="14" t="str">
        <f>IF(SUM(DH6:DI6,DK6:DM6,DO6)-DJ6-DN6&gt;0,SUM(DH6:DI6,DK6:DM6,DO6)-DJ6-DN6,"")</f>
        <v/>
      </c>
      <c r="ED6" s="14" t="str">
        <f>IF(SUM(DP6:DQ6,DS6)-DR6&gt;0,SUM(DP6:DQ6,DS6)-DR6,"")</f>
        <v/>
      </c>
      <c r="EE6" s="14" t="str">
        <f>IF(SUM(DU6,DY6)&gt;0,SUM(DU6,DY6),"")</f>
        <v/>
      </c>
      <c r="EF6" s="14" t="str">
        <f>IF(SUM(DT6:DU6,DW6:DY6,EA6)-SUM(DV6,DZ6)&gt;0,SUM(DT6:DU6,DW6:DY6,EA6)-SUM(DV6,DZ6),"")</f>
        <v/>
      </c>
      <c r="EG6" s="14" t="str">
        <f>IF(SUM(EC6,ED6,EF6)&gt;0,SUM(EC6,ED6,EF6),"")</f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55" t="str">
        <f>IF(SUM(EI6,EM6)&gt;0,SUM(EI6,EM6),"")</f>
        <v/>
      </c>
      <c r="FC6" s="55" t="str">
        <f>IF(SUM(EH6:EI6,EK6:EM6,EO6)-EJ6-EN6&gt;0,SUM(EH6:EI6,EK6:EM6,EO6)-EJ6-EN6,"")</f>
        <v/>
      </c>
      <c r="FD6" s="55" t="str">
        <f>IF(SUM(EP6:EQ6,ES6)-ER6&gt;0,SUM(EP6:EQ6,ES6)-ER6,"")</f>
        <v/>
      </c>
      <c r="FE6" s="55" t="str">
        <f>IF(SUM(EU6,EY6)&gt;0,SUM(EU6,EY6),"")</f>
        <v/>
      </c>
      <c r="FF6" s="55" t="str">
        <f>IF(SUM(ET6:EU6,EW6:EY6,FA6)-SUM(EV6,EZ6)&gt;0,SUM(ET6:EU6,EW6:EY6,FA6)-SUM(EV6,EZ6),"")</f>
        <v/>
      </c>
      <c r="FG6" s="55" t="str">
        <f>IF(SUM(FC6,FD6,FF6)&gt;0,SUM(FC6,FD6,FF6),"")</f>
        <v/>
      </c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4" t="str">
        <f>IF(SUM(FI6,FM6)&gt;0,SUM(FI6,FM6),"")</f>
        <v/>
      </c>
      <c r="GC6" s="14" t="str">
        <f>IF(SUM(FH6:FI6,FK6:FM6,FO6)-FJ6-FN6&gt;0,SUM(FH6:FI6,FK6:FM6,FO6)-FJ6-FN6,"")</f>
        <v/>
      </c>
      <c r="GD6" s="14" t="str">
        <f>IF(SUM(FP6:FQ6,FS6)-FR6&gt;0,SUM(FP6:FQ6,FS6)-FR6,"")</f>
        <v/>
      </c>
      <c r="GE6" s="14" t="str">
        <f>IF(SUM(FU6,FY6)&gt;0,SUM(FU6,FY6),"")</f>
        <v/>
      </c>
      <c r="GF6" s="14" t="str">
        <f>IF(SUM(FT6:FU6,FW6:FY6,GA6)-SUM(FV6,FZ6)&gt;0,SUM(FT6:FU6,FW6:FY6,GA6)-SUM(FV6,FZ6),"")</f>
        <v/>
      </c>
      <c r="GG6" s="14" t="str">
        <f>IF(SUM(GC6,GD6,GF6)&gt;0,SUM(GC6,GD6,GF6),"")</f>
        <v/>
      </c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55" t="str">
        <f>IF(SUM(GI6,GM6)&gt;0,SUM(GI6,GM6),"")</f>
        <v/>
      </c>
      <c r="HC6" s="55" t="str">
        <f>IF(SUM(GH6:GI6,GK6:GM6,GO6)-GJ6-GN6&gt;0,SUM(GH6:GI6,GK6:GM6,GO6)-GJ6-GN6,"")</f>
        <v/>
      </c>
      <c r="HD6" s="55" t="str">
        <f>IF(SUM(GP6:GQ6,GS6)-GR6&gt;0,SUM(GP6:GQ6,GS6)-GR6,"")</f>
        <v/>
      </c>
      <c r="HE6" s="55" t="str">
        <f>IF(SUM(GU6,GY6)&gt;0,SUM(GU6,GY6),"")</f>
        <v/>
      </c>
      <c r="HF6" s="55" t="str">
        <f>IF(SUM(GT6:GU6,GW6:GY6,HA6)-SUM(GV6,GZ6)&gt;0,SUM(GT6:GU6,GW6:GY6,HA6)-SUM(GV6,GZ6),"")</f>
        <v/>
      </c>
      <c r="HG6" s="55" t="str">
        <f>IF(SUM(HC6,HD6,HF6)&gt;0,SUM(HC6,HD6,HF6),"")</f>
        <v/>
      </c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4" t="str">
        <f>IF(SUM(HI6,HM6)&gt;0,SUM(HI6,HM6),"")</f>
        <v/>
      </c>
      <c r="IC6" s="14" t="str">
        <f>IF(SUM(HH6:HI6,HK6:HM6,HO6)-HJ6-HN6&gt;0,SUM(HH6:HI6,HK6:HM6,HO6)-HJ6-HN6,"")</f>
        <v/>
      </c>
      <c r="ID6" s="14" t="str">
        <f>IF(SUM(HP6:HQ6,HS6)-HR6&gt;0,SUM(HP6:HQ6,HS6)-HR6,"")</f>
        <v/>
      </c>
      <c r="IE6" s="14" t="str">
        <f>IF(SUM(HU6,HY6)&gt;0,SUM(HU6,HY6),"")</f>
        <v/>
      </c>
      <c r="IF6" s="14" t="str">
        <f>IF(SUM(HT6:HU6,HW6:HY6,IA6)-SUM(HV6,HZ6)&gt;0,SUM(HT6:HU6,HW6:HY6,IA6)-SUM(HV6,HZ6),"")</f>
        <v/>
      </c>
      <c r="IG6" s="14" t="str">
        <f>IF(SUM(IC6,ID6,IF6)&gt;0,SUM(IC6,ID6,IF6),"")</f>
        <v/>
      </c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55" t="str">
        <f>IF(SUM(II6,IM6)&gt;0,SUM(II6,IM6),"")</f>
        <v/>
      </c>
      <c r="JC6" s="55" t="str">
        <f>IF(SUM(IH6:II6,IK6:IM6,IO6)-IJ6-IN6&gt;0,SUM(IH6:II6,IK6:IM6,IO6)-IJ6-IN6,"")</f>
        <v/>
      </c>
      <c r="JD6" s="55" t="str">
        <f>IF(SUM(IP6:IQ6,IS6)-IR6&gt;0,SUM(IP6:IQ6,IS6)-IR6,"")</f>
        <v/>
      </c>
      <c r="JE6" s="55" t="str">
        <f>IF(SUM(IU6,IY6)&gt;0,SUM(IU6,IY6),"")</f>
        <v/>
      </c>
      <c r="JF6" s="55" t="str">
        <f>IF(SUM(IT6:IU6,IW6:IY6,JA6)-SUM(IV6,IZ6)&gt;0,SUM(IT6:IU6,IW6:IY6,JA6)-SUM(IV6,IZ6),"")</f>
        <v/>
      </c>
      <c r="JG6" s="55" t="str">
        <f>IF(SUM(JC6,JD6,JF6)&gt;0,SUM(JC6,JD6,JF6),"")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4" t="str">
        <f>IF(SUM(JI6,JM6)&gt;0,SUM(JI6,JM6),"")</f>
        <v/>
      </c>
      <c r="KC6" s="14" t="str">
        <f>IF(SUM(JH6:JI6,JK6:JM6,JO6)-JJ6-JN6&gt;0,SUM(JH6:JI6,JK6:JM6,JO6)-JJ6-JN6,"")</f>
        <v/>
      </c>
      <c r="KD6" s="14" t="str">
        <f>IF(SUM(JP6:JQ6,JS6)-JR6&gt;0,SUM(JP6:JQ6,JS6)-JR6,"")</f>
        <v/>
      </c>
      <c r="KE6" s="14" t="str">
        <f>IF(SUM(JU6,JY6)&gt;0,SUM(JU6,JY6),"")</f>
        <v/>
      </c>
      <c r="KF6" s="14" t="str">
        <f>IF(SUM(JT6:JU6,JW6:JY6,KA6)-SUM(JV6,JZ6)&gt;0,SUM(JT6:JU6,JW6:JY6,KA6)-SUM(JV6,JZ6),"")</f>
        <v/>
      </c>
      <c r="KG6" s="14" t="str">
        <f>IF(SUM(KC6,KD6,KF6)&gt;0,SUM(KC6,KD6,KF6),"")</f>
        <v/>
      </c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55" t="str">
        <f>IF(SUM(KI6,KM6)&gt;0,SUM(KI6,KM6),"")</f>
        <v/>
      </c>
      <c r="LC6" s="55" t="str">
        <f>IF(SUM(KH6:KI6,KK6:KM6,KO6)-KJ6-KN6&gt;0,SUM(KH6:KI6,KK6:KM6,KO6)-KJ6-KN6,"")</f>
        <v/>
      </c>
      <c r="LD6" s="55" t="str">
        <f>IF(SUM(KP6:KQ6,KS6)-KR6&gt;0,SUM(KP6:KQ6,KS6)-KR6,"")</f>
        <v/>
      </c>
      <c r="LE6" s="55" t="str">
        <f>IF(SUM(KU6,KY6)&gt;0,SUM(KU6,KY6),"")</f>
        <v/>
      </c>
      <c r="LF6" s="55" t="str">
        <f>IF(SUM(KT6:KU6,KW6:KY6,LA6)-SUM(KV6,KZ6)&gt;0,SUM(KT6:KU6,KW6:KY6,LA6)-SUM(KV6,KZ6),"")</f>
        <v/>
      </c>
      <c r="LG6" s="55" t="str">
        <f>IF(SUM(LC6,LD6,LF6)&gt;0,SUM(LC6,LD6,LF6),"")</f>
        <v/>
      </c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4" t="str">
        <f>IF(SUM(LI6,LM6)&gt;0,SUM(LI6,LM6),"")</f>
        <v/>
      </c>
      <c r="MC6" s="14" t="str">
        <f>IF(SUM(LH6:LI6,LK6:LM6,LO6)-LJ6-LN6&gt;0,SUM(LH6:LI6,LK6:LM6,LO6)-LJ6-LN6,"")</f>
        <v/>
      </c>
      <c r="MD6" s="14" t="str">
        <f>IF(SUM(LP6:LQ6,LS6)-LR6&gt;0,SUM(LP6:LQ6,LS6)-LR6,"")</f>
        <v/>
      </c>
      <c r="ME6" s="14" t="str">
        <f>IF(SUM(LU6,LY6)&gt;0,SUM(LU6,LY6),"")</f>
        <v/>
      </c>
      <c r="MF6" s="14" t="str">
        <f>IF(SUM(LT6:LU6,LW6:LY6,MA6)-SUM(LV6,LZ6)&gt;0,SUM(LT6:LU6,LW6:LY6,MA6)-SUM(LV6,LZ6),"")</f>
        <v/>
      </c>
      <c r="MG6" s="14" t="str">
        <f>IF(SUM(MC6,MD6,MF6)&gt;0,SUM(MC6,MD6,MF6),"")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55" t="str">
        <f>IF(SUM(MI6,MM6)&gt;0,SUM(MI6,MM6),"")</f>
        <v/>
      </c>
      <c r="NC6" s="55" t="str">
        <f>IF(SUM(MH6:MI6,MK6:MM6,MO6)-MJ6-MN6&gt;0,SUM(MH6:MI6,MK6:MM6,MO6)-MJ6-MN6,"")</f>
        <v/>
      </c>
      <c r="ND6" s="55" t="str">
        <f>IF(SUM(MP6:MQ6,MS6)-MR6&gt;0,SUM(MP6:MQ6,MS6)-MR6,"")</f>
        <v/>
      </c>
      <c r="NE6" s="55" t="str">
        <f>IF(SUM(MU6,MY6)&gt;0,SUM(MU6,MY6),"")</f>
        <v/>
      </c>
      <c r="NF6" s="55" t="str">
        <f>IF(SUM(MT6:MU6,MW6:MY6,NA6)-SUM(MV6,MZ6)&gt;0,SUM(MT6:MU6,MW6:MY6,NA6)-SUM(MV6,MZ6),"")</f>
        <v/>
      </c>
      <c r="NG6" s="55" t="str">
        <f>IF(SUM(NC6,ND6,NF6)&gt;0,SUM(NC6,ND6,NF6),"")</f>
        <v/>
      </c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4" t="str">
        <f>IF(SUM(NI6,NM6)&gt;0,SUM(NI6,NM6),"")</f>
        <v/>
      </c>
      <c r="OC6" s="14" t="str">
        <f>IF(SUM(NH6:NI6,NK6:NM6,NO6)-NJ6-NN6&gt;0,SUM(NH6:NI6,NK6:NM6,NO6)-NJ6-NN6,"")</f>
        <v/>
      </c>
      <c r="OD6" s="14" t="str">
        <f>IF(SUM(NP6:NQ6,NS6)-NR6&gt;0,SUM(NP6:NQ6,NS6)-NR6,"")</f>
        <v/>
      </c>
      <c r="OE6" s="14" t="str">
        <f>IF(SUM(NU6,NY6)&gt;0,SUM(NU6,NY6),"")</f>
        <v/>
      </c>
      <c r="OF6" s="14" t="str">
        <f>IF(SUM(NT6:NU6,NW6:NY6,OA6)-SUM(NV6,NZ6)&gt;0,SUM(NT6:NU6,NW6:NY6,OA6)-SUM(NV6,NZ6),"")</f>
        <v/>
      </c>
      <c r="OG6" s="14" t="str">
        <f>IF(SUM(OC6,OD6,OF6)&gt;0,SUM(OC6,OD6,OF6),"")</f>
        <v/>
      </c>
      <c r="OH6" s="27">
        <f t="shared" si="0"/>
        <v>7.9</v>
      </c>
      <c r="OI6" s="27">
        <f t="shared" si="0"/>
        <v>0.35</v>
      </c>
      <c r="OJ6" s="27">
        <f t="shared" si="0"/>
        <v>0</v>
      </c>
      <c r="OK6" s="27">
        <f t="shared" si="0"/>
        <v>0</v>
      </c>
      <c r="OL6" s="27">
        <f t="shared" si="0"/>
        <v>7.6</v>
      </c>
      <c r="OM6" s="27">
        <f t="shared" si="0"/>
        <v>1.2</v>
      </c>
      <c r="ON6" s="27">
        <f t="shared" si="0"/>
        <v>0</v>
      </c>
      <c r="OO6" s="27">
        <f t="shared" si="0"/>
        <v>0</v>
      </c>
      <c r="OP6" s="27">
        <f t="shared" si="0"/>
        <v>0</v>
      </c>
      <c r="OQ6" s="27">
        <f t="shared" si="0"/>
        <v>0</v>
      </c>
      <c r="OR6" s="27">
        <f t="shared" si="0"/>
        <v>0</v>
      </c>
      <c r="OS6" s="27">
        <f t="shared" si="0"/>
        <v>0</v>
      </c>
      <c r="OT6" s="27">
        <f t="shared" si="0"/>
        <v>0</v>
      </c>
      <c r="OU6" s="27">
        <f t="shared" si="0"/>
        <v>0</v>
      </c>
      <c r="OV6" s="27">
        <f t="shared" si="0"/>
        <v>0</v>
      </c>
      <c r="OW6" s="27">
        <f t="shared" si="0"/>
        <v>0</v>
      </c>
      <c r="OX6" s="32" t="s">
        <v>44</v>
      </c>
      <c r="OY6" s="55">
        <f>IF(SUM(OI6,OM6)&gt;0,SUM(OI6,OM6),"")</f>
        <v>1.5499999999999998</v>
      </c>
      <c r="OZ6" s="55">
        <f>IF(SUM(OH6:OI6,OK6:OM6,OO6)-OJ6-ON6&gt;0,SUM(OH6:OI6,OK6:OM6,OO6)-OJ6-ON6,"")</f>
        <v>17.05</v>
      </c>
      <c r="PA6" s="55" t="str">
        <f>IF(SUM(OQ6,OU6)&gt;0,SUM(OQ6,OU6),"")</f>
        <v/>
      </c>
      <c r="PB6" s="55" t="str">
        <f>IF(SUM(OP6:OQ6,OS6:OU6,OW6)-SUM(OR6,OV6)&gt;0,SUM(OP6:OQ6,OS6:OU6,OW6)-SUM(OR6,OV6),"")</f>
        <v/>
      </c>
      <c r="PC6" s="55">
        <f>IF(SUM(OZ6,PB6)&gt;0,SUM(OZ6,PB6),"")</f>
        <v>17.05</v>
      </c>
    </row>
    <row r="7" spans="1:419" x14ac:dyDescent="0.2">
      <c r="A7" s="4" t="str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/>
      </c>
      <c r="B7" s="5" t="s">
        <v>94</v>
      </c>
      <c r="C7" s="4" t="s">
        <v>78</v>
      </c>
      <c r="D7" s="4">
        <v>2011</v>
      </c>
      <c r="E7" s="10">
        <f>SUM(I7:O7)+SUM(I7:M7)*0.0000001+SUM(I7)*0.0000000000001</f>
        <v>39.900003990003995</v>
      </c>
      <c r="F7" s="3" t="str">
        <f>IF(OR(AND(AI7&gt;=AM$10,AJ7&gt;=AM$14,AI7&lt;&gt;"",AH7=""),AND(AK7&gt;=AM$10,AL7&gt;=AM$14,AK7&lt;&gt;"",AH7=""),AND(BE7&gt;=BI$10,BF7&gt;=BI$14,BE7&lt;&gt;"",BD7=""),AND(BG7&gt;=BI$10,BH7&gt;=BI$14,BG7&lt;&gt;"",BD7=""),AND(CA7&gt;=CE$10,CB7&gt;=CE$14,CA7&lt;&gt;"",BZ7=""),AND(CC7&gt;=CE$10,CD7&gt;=CE$14,CC7&lt;&gt;""),AND(DB7&gt;=DG$10,DC7&gt;=DG$14,DB7&lt;&gt;""),AND(DE7&gt;=DG$10,DF7&gt;=DG$14,DE7&lt;&gt;""),AND(EB7&gt;=EG$10,EC7&gt;=EG$14,EB7&lt;&gt;""),AND(EE7&gt;=EG$10,EF7&gt;=EG$14,EE7&lt;&gt;""),AND(FB7&gt;=FG$10,FC7&gt;=FG$14,FB7&lt;&gt;""),AND(FE7&gt;=FG$10,FF7&gt;=FG$14,FE7&lt;&gt;""),AND(GB7&gt;=GG$10,GC7&gt;=GG$14,GB7&lt;&gt;""),AND(GE7&gt;=GG$10,GF7&gt;=GG$14,GE7&lt;&gt;""),AND(HB7&gt;=HG$10,HC7&gt;=HG$14,HB7&lt;&gt;""),AND(HE7&gt;=HG$10,HF7&gt;=HG$14,HE7&lt;&gt;""),AND(IB7&gt;=IG$10,IC7&gt;=IG$14,IB7&lt;&gt;""),AND(IE7&gt;=IG$10,IF7&gt;=IG$14,IE7&lt;&gt;""),AND(JB7&gt;=JG$10,JC7&gt;=JG$14,JB7&lt;&gt;""),AND(JE7&gt;=JG$10,JF7&gt;=JG$14,JE7&lt;&gt;""),AND(KB7&gt;=KG$10,KC7&gt;=KG$14,KB7&lt;&gt;""),AND(KE7&gt;=KG$10,KF7&gt;=KG$14,KE7&lt;&gt;""),AND(LB7&gt;=LG$10,LC7&gt;=LG$14,LB7&lt;&gt;""),AND(LE7&gt;=LG$10,LF7&gt;=LG$14,LE7&lt;&gt;""),AND(MB7&gt;=MG$10,MC7&gt;=MG$14,MB7&lt;&gt;""),AND(ME7&gt;=MG$10,MF7&gt;=MG$14,ME7&lt;&gt;""),AND(NB7&gt;=NG$10,NC7&gt;=NG$14,NB7&lt;&gt;""),AND(NE7&gt;=NG$10,NF7&gt;=NG$14,NE7&lt;&gt;""),AND(OB7&gt;=OG$10,OC7&gt;=OG$14,OB7&lt;&gt;""),AND(OE7&gt;=OG$10,OF7&gt;=OG$14,OE7&lt;&gt;"")),"P","")</f>
        <v/>
      </c>
      <c r="G7" s="3" t="str">
        <f>IF(OR(AND(AJ7&gt;=AM$14,AJ7&lt;&gt;"",AH7=""),AND(AL7&gt;=AM$14,AL7&lt;&gt;"",AH7=""),AND(BF7&gt;=BI$14,BF7&lt;&gt;"",BD7=""),AND(BH7&gt;=BI$14,BH7&lt;&gt;"",BD7=""),AND(CB7&gt;=CE$14,CB7&lt;&gt;"",BZ7=""),AND(CD7&gt;=CE$14,CD7&lt;&gt;"",BZ7=""),AND(DC7&gt;=DG$14,DC7&lt;&gt;""),AND(DF7&gt;=DG$14,DF7&lt;&gt;""),AND(EC7&gt;=EG$14,EC7&lt;&gt;""),AND(EF7&gt;=EG$14,EF7&lt;&gt;""),AND(FC7&gt;=FG$14,FC7&lt;&gt;""),AND(FF7&gt;=FG$14,FF7&lt;&gt;""),AND(GC7&gt;=GG$14,GC7&lt;&gt;""),AND(GF7&gt;=GG$14,GF7&lt;&gt;""),AND(HC7&gt;=HG$14,HC7&lt;&gt;""),AND(HF7&gt;=HG$14,HF7&lt;&gt;""),AND(IC7&gt;=IG$14,IC7&lt;&gt;""),AND(IF7&gt;=IG$14,IF7&lt;&gt;""),AND(JC7&gt;=JG$14,JC7&lt;&gt;""),AND(JF7&gt;=JG$14,JF7&lt;&gt;""),AND(KC7&gt;=KG$14,KC7&lt;&gt;""),AND(KF7&gt;=KG$14,KF7&lt;&gt;""),AND(LC7&gt;=LG$14,LC7&lt;&gt;""),AND(LF7&gt;=LG$14,LF7&lt;&gt;""),AND(MC7&gt;=MG$14,MC7&lt;&gt;""),AND(MF7&gt;=MG$14,MF7&lt;&gt;""),AND(NC7&gt;=NG$14,NC7&lt;&gt;""),AND(NF7&gt;=NG$14,NF7&lt;&gt;""),AND(OC7&gt;=OG$14,OC7&lt;&gt;""),AND(OF7&gt;=OG$14,OF7&lt;&gt;"")),"P","")</f>
        <v/>
      </c>
      <c r="H7" s="47" t="str">
        <f>IF(AND(G7="P",F7=""),"No DD",IF(OR(AND(AI7&gt;=AM$13,AJ7&gt;=AM$17,AI7&lt;&gt;"",AH7=""),AND(AK7&gt;=AM$13,AL7&gt;=AM$17,AK7&lt;&gt;"",AH7=""),AND(BE7&gt;=BI$13,BF7&gt;=BI$17,BE7&lt;&gt;"",BD7=""),AND(BG7&gt;=BI$13,BH7&gt;=BI$17,BG7&lt;&gt;"",BD7=""),AND(CA7&gt;=CE$13,CB7&gt;=CE$17,CA7&lt;&gt;"",BZ7=""),AND(CC7&gt;=CE$13,CD7&gt;=CE$17,CC7&lt;&gt;""),AND(DB7&gt;=DG$13,DC7&gt;=DG$17,DB7&lt;&gt;""),AND(DE7&gt;=DG$13,DF7&gt;=DG$17,DE7&lt;&gt;""),AND(EB7&gt;=EG$13,EC7&gt;=EG$17,EB7&lt;&gt;""),AND(EE7&gt;=EG$13,EF7&gt;=EG$17,EE7&lt;&gt;""),AND(FB7&gt;=FG$13,FC7&gt;=FG$17,FB7&lt;&gt;""),AND(FE7&gt;=FG$13,FF7&gt;=FG$17,FE7&lt;&gt;""),AND(GB7&gt;=GG$13,GC7&gt;=GG$17,GB7&lt;&gt;""),AND(GE7&gt;=GG$13,GF7&gt;=GG$17,GE7&lt;&gt;""),AND(HB7&gt;=HG$13,HC7&gt;=HG$17,HB7&lt;&gt;""),AND(HE7&gt;=HG$13,HF7&gt;=HG$17,HE7&lt;&gt;""),AND(IB7&gt;=IG$13,IC7&gt;=IG$17,IB7&lt;&gt;""),AND(IE7&gt;=IG$13,IF7&gt;=IG$17,IE7&lt;&gt;""),AND(JB7&gt;=JG$13,JC7&gt;=JG$17,JB7&lt;&gt;""),AND(JE7&gt;=JG$13,JF7&gt;=JG$17,JE7&lt;&gt;""),AND(KB7&gt;=KG$13,KC7&gt;=KG$17,KB7&lt;&gt;""),AND(KE7&gt;=KG$13,KF7&gt;=KG$17,KE7&lt;&gt;""),AND(LB7&gt;=LG$13,LC7&gt;=LG$17,LB7&lt;&gt;""),AND(LE7&gt;=LG$13,LF7&gt;=LG$17,LE7&lt;&gt;""),AND(MB7&gt;=MG$13,MC7&gt;=MG$17,MB7&lt;&gt;""),AND(ME7&gt;=MG$13,MF7&gt;=MG$17,ME7&lt;&gt;""),AND(NB7&gt;=NG$13,NC7&gt;=NG$17,NB7&lt;&gt;""),AND(NE7&gt;=NG$13,NF7&gt;=NG$17,NE7&lt;&gt;""),AND(OB7&gt;=OG$13,OC7&gt;=OG$17,OB7&lt;&gt;""),AND(OE7&gt;=OG$13,OF7&gt;=OG$17,OE7&lt;&gt;"")),"Merit",IF(OR(AND(AI7&gt;=AM$12,AJ7&gt;=AM$16,AI7&lt;&gt;"",AH7=""),AND(AK7&gt;=AM$12,AL7&gt;=AM$16,AK7&lt;&gt;"",AH7=""),AND(BE7&gt;=BI$12,BF7&gt;=BI$16,BE7&lt;&gt;"",BD7=""),AND(BG7&gt;=BI$12,BH7&gt;=BI$16,BG7&lt;&gt;"",BD7=""),AND(CA7&gt;=CE$12,CB7&gt;=CE$16,CA7&lt;&gt;"",BZ7=""),AND(CC7&gt;=CE$12,CD7&gt;=CE$16,CC7&lt;&gt;""),AND(DB7&gt;=DG$12,DC7&gt;=DG$16,DB7&lt;&gt;""),AND(DE7&gt;=DG$12,DF7&gt;=DG$16,DE7&lt;&gt;""),AND(EB7&gt;=EG$12,EC7&gt;=EG$16,EB7&lt;&gt;""),AND(EE7&gt;=EG$12,EF7&gt;=EG$16,EE7&lt;&gt;""),AND(FB7&gt;=FG$12,FC7&gt;=FG$16,FB7&lt;&gt;""),AND(FE7&gt;=FG$12,FF7&gt;=FG$16,FE7&lt;&gt;""),AND(GB7&gt;=GG$12,GC7&gt;=GG$16,GB7&lt;&gt;""),AND(GE7&gt;=GG$12,GF7&gt;=GG$16,GE7&lt;&gt;""),AND(HB7&gt;=HG$12,HC7&gt;=HG$16,HB7&lt;&gt;""),AND(HE7&gt;=HG$12,HF7&gt;=HG$16,HE7&lt;&gt;""),AND(IB7&gt;=IG$12,IC7&gt;=IG$16,IB7&lt;&gt;""),AND(IE7&gt;=IG$12,IF7&gt;=IG$16,IE7&lt;&gt;""),AND(JB7&gt;=JG$12,JC7&gt;=JG$16,JB7&lt;&gt;""),AND(JE7&gt;=JG$12,JF7&gt;=JG$16,JE7&lt;&gt;""),AND(KB7&gt;=KG$12,KC7&gt;=KG$16,KB7&lt;&gt;""),AND(KE7&gt;=KG$12,KF7&gt;=KG$16,KE7&lt;&gt;""),AND(LB7&gt;=LG$12,LC7&gt;=LG$16,LB7&lt;&gt;""),AND(LE7&gt;=LG$12,LF7&gt;=LG$16,LE7&lt;&gt;""),AND(MB7&gt;=MG$12,MC7&gt;=MG$16,MB7&lt;&gt;""),AND(ME7&gt;=MG$12,MF7&gt;=MG$16,ME7&lt;&gt;""),AND(NB7&gt;=NG$12,NC7&gt;=NG$16,NB7&lt;&gt;""),AND(NE7&gt;=NG$12,NF7&gt;=NG$16,NE7&lt;&gt;""),AND(OB7&gt;=OG$12,OC7&gt;=OG$16,OB7&lt;&gt;""),AND(OE7&gt;=OG$12,OF7&gt;=OG$16,OE7&lt;&gt;"")),"Excellence",IF(F7="P","National Team",""))))</f>
        <v/>
      </c>
      <c r="I7" s="9">
        <f>IF(COUNT(AJ7,BF7,CB7)&gt;0,LARGE((AJ7,BF7,CB7),1),0)</f>
        <v>39.9</v>
      </c>
      <c r="J7" s="9" t="str">
        <f>IF(I7=0,"",IF(I7=CB7,$BJ$1,IF(I7=BF7,$AN$1,IF(I7=AJ7,$R$1,""))))</f>
        <v>2025 Nationals</v>
      </c>
      <c r="K7" s="9">
        <f>IF(COUNT(AJ7,BF7,CB7)&gt;1,LARGE((AJ7,BF7,CB7),2),0)</f>
        <v>0</v>
      </c>
      <c r="L7" s="9" t="str">
        <f>IF(K7=0,"",IF(AND(K7=I7,K7=AJ7,K7=BF7),$R$1,IF(AND(K7=I7,K7=AJ7,K7=CB7),$R$1,IF(AND(K7=I7,K7=CB7,K7=BF7),$AN$1,IF(K7=CB7,$BJ$1,IF(K7=BF7,$AN$1,IF(K7=AJ7,$R$1,"")))))))</f>
        <v/>
      </c>
      <c r="M7" s="9">
        <f>IF(MAX(AL7,BH7,CD7)&gt;0,MAX(AL7,BH7,CD7),0)</f>
        <v>0</v>
      </c>
      <c r="N7" s="9" t="str">
        <f>IF(M7=0,"",IF(M7=CD7,$BJ$1,IF(M7=BH7,$AN$1,IF(M7=AL7,$R$1,""))))</f>
        <v/>
      </c>
      <c r="O7" s="9" t="str">
        <f>IF(MAX(CF7:CG7)&gt;0,MAX(CF7:CG7),"")</f>
        <v/>
      </c>
      <c r="P7" s="14" t="str">
        <f>IF(O7="","",IF(O7=CF7,"("&amp;CF$2&amp;")",IF(O7=CG7,"("&amp;CG$2&amp;")")))</f>
        <v/>
      </c>
      <c r="Q7" s="9" t="str">
        <f>IF(O7="","",IF(O7=CF7,IF(O7+IF(K7="",0,K7)=OC7,$NH$1,IF(O7+IF(K7="",0,K7)=NC7,$MH$1,IF(O7+IF(K7="",0,K7)=MC7,$LH$1,IF(O7+IF(K7="",0,K7)=LC7,$KH$1,IF(O7+IF(K7="",0,K7)=KC7,$JH$1,IF(O7+IF(K7="",0,K7)=JC7,$IH$1,IF(O7+IF(K7="",0,K7)=IC7,$HH$1,IF(O7+IF(K7="",0,K7)=HC7,$GH$1,IF(O7+IF(K7="",0,K7)=GC7,$FH$1,IF(O7+IF(K7="",0,K7)=FC7,$EH$1,IF(O7+IF(K7="",0,K7)=EC7,$DH$1,IF(O7+IF(K7="",0,K7)=DC7,$CH$1)))))))))))),IF(O7=CG7,IF(O7+IF(M7="",0,M7)=OF7,$NH$1,IF(O7+IF(M7="",0,M7)=NF7,$MH$1,IF(O7+IF(M7="",0,M7)=MF7,$LH$1,IF(O7+IF(M7="",0,M7)=LF7,$KH$1,IF(O7+IF(M7="",0,M7)=KF7,$JH$1,IF(O7+IF(M7="",0,M7)=JF7,$IH$1,IF(O7+IF(M7="",0,M7)=IF7,$HH$1,IF(O7+IF(M7="",0,M7)=HF7,$GH$1,IF(O7+IF(M7="",0,M7)=GF7,$FH$1,IF(O7+IF(M7="",0,M7)=FF7,$EH$1,IF(O7+IF(M7="",0,M7)=EF7,$DH$1,IF(O7+IF(M7="",0,M7)=DF7,$CH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32"/>
      <c r="AI7" s="55" t="str">
        <f>IF(SUM(S7,W7)&gt;0,SUM(S7,W7),"")</f>
        <v/>
      </c>
      <c r="AJ7" s="55" t="str">
        <f>IF(SUM(R7:S7,U7:W7,Y7)-T7-X7&gt;0,SUM(R7:S7,U7:W7,Y7)-T7-X7,"")</f>
        <v/>
      </c>
      <c r="AK7" s="55" t="str">
        <f>IF(SUM(AA7,AE7)&gt;0,SUM(AA7,AE7),"")</f>
        <v/>
      </c>
      <c r="AL7" s="55" t="str">
        <f>IF(SUM(Z7:AA7,AC7:AE7,AG7)-SUM(AB7,AF7)&gt;0,SUM(Z7:AA7,AC7:AE7,AG7)-SUM(AB7,AF7),"")</f>
        <v/>
      </c>
      <c r="AM7" s="55" t="str">
        <f>IF(SUM(AJ7,AL7)&gt;0,SUM(AJ7,AL7),"")</f>
        <v/>
      </c>
      <c r="AN7" s="19">
        <v>18.8</v>
      </c>
      <c r="AO7" s="19">
        <v>3.5</v>
      </c>
      <c r="AP7" s="19">
        <v>0</v>
      </c>
      <c r="AQ7" s="19">
        <v>0</v>
      </c>
      <c r="AR7" s="19">
        <v>15.2</v>
      </c>
      <c r="AS7" s="19">
        <v>2.4</v>
      </c>
      <c r="AT7" s="19">
        <v>0</v>
      </c>
      <c r="AU7" s="19">
        <v>0</v>
      </c>
      <c r="AV7" s="19"/>
      <c r="AW7" s="19"/>
      <c r="AX7" s="19"/>
      <c r="AY7" s="19"/>
      <c r="AZ7" s="19"/>
      <c r="BA7" s="19"/>
      <c r="BB7" s="19"/>
      <c r="BC7" s="19"/>
      <c r="BD7" s="33"/>
      <c r="BE7" s="14">
        <f>IF(SUM(AO7,AS7)&gt;0,SUM(AO7,AS7),"")</f>
        <v>5.9</v>
      </c>
      <c r="BF7" s="14">
        <f>IF(SUM(AN7:AO7,AQ7:AS7,AU7)-AP7-AT7&gt;0,SUM(AN7:AO7,AQ7:AS7,AU7)-AP7-AT7,"")</f>
        <v>39.9</v>
      </c>
      <c r="BG7" s="14" t="str">
        <f>IF(SUM(AW7,BA7)&gt;0,SUM(AW7,BA7),"")</f>
        <v/>
      </c>
      <c r="BH7" s="14" t="str">
        <f>IF(SUM(AV7:AW7,AY7:BA7,BC7)-SUM(AX7,BB7)&gt;0,SUM(AV7:AW7,AY7:BA7,BC7)-SUM(AX7,BB7),"")</f>
        <v/>
      </c>
      <c r="BI7" s="14">
        <f>IF(SUM(BF7,BH7)&gt;0,SUM(BF7,BH7),"")</f>
        <v>39.9</v>
      </c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32"/>
      <c r="CA7" s="55" t="str">
        <f>IF(SUM(BK7,BO7)&gt;0,SUM(BK7,BO7),"")</f>
        <v/>
      </c>
      <c r="CB7" s="55" t="str">
        <f>IF(SUM(BJ7:BK7,BM7:BO7,BQ7)-BL7-BP7&gt;0,SUM(BJ7:BK7,BM7:BO7,BQ7)-BL7-BP7,"")</f>
        <v/>
      </c>
      <c r="CC7" s="55" t="str">
        <f>IF(SUM(BS7,BW7)&gt;0,SUM(BS7,BW7),"")</f>
        <v/>
      </c>
      <c r="CD7" s="55" t="str">
        <f>IF(SUM(BR7:BS7,BU7:BW7,BY7)-SUM(BT7,BX7)&gt;0,SUM(BR7:BS7,BU7:BW7,BY7)-SUM(BT7,BX7),"")</f>
        <v/>
      </c>
      <c r="CE7" s="55" t="str">
        <f>IF(SUM(CB7,CD7)&gt;0,SUM(CB7,CD7),"")</f>
        <v/>
      </c>
      <c r="CF7" s="56" t="str">
        <f>IF(MAX(DC7,EC7,FC7,GC7,HC7,IC7,JC7,KC7,LC7,MC7,NC7,OC7)-IF(K7="",0,K7)&gt;0.001,MAX(DC7,EC7,FC7,GC7,HC7,IC7,JC7,KC7,LC7,MC7,NC7,OC7)-IF(K7="",0,K7),"")</f>
        <v/>
      </c>
      <c r="CG7" s="56" t="str">
        <f>IF(MAX(DF7,EF7,FF7,GF7,HF7,IF7,JF7,KF7,LF7,MF7,NF7,OF7)-IF(M7="",0,M7)&gt;0.001,MAX(DF7,EF7,FF7,GF7,HF7,IF7,JF7,KF7,LF7,MF7,NF7,OF7)-IF(M7="",0,M7),"")</f>
        <v/>
      </c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55" t="str">
        <f>IF(SUM(CI7,CM7)&gt;0,SUM(CI7,CM7),"")</f>
        <v/>
      </c>
      <c r="DC7" s="55" t="str">
        <f>IF(SUM(CH7:CI7,CK7:CM7,CO7)-CJ7-CN7&gt;0,SUM(CH7:CI7,CK7:CM7,CO7)-CJ7-CN7,"")</f>
        <v/>
      </c>
      <c r="DD7" s="55" t="str">
        <f>IF(SUM(CP7:CQ7,CS7)-CR7&gt;0,SUM(CP7:CQ7,CS7)-CR7,"")</f>
        <v/>
      </c>
      <c r="DE7" s="55" t="str">
        <f>IF(SUM(CU7,CY7)&gt;0,SUM(CU7,CY7),"")</f>
        <v/>
      </c>
      <c r="DF7" s="55" t="str">
        <f>IF(SUM(CT7:CU7,CW7:CY7,DA7)-SUM(CV7,CZ7)&gt;0,SUM(CT7:CU7,CW7:CY7,DA7)-SUM(CV7,CZ7),"")</f>
        <v/>
      </c>
      <c r="DG7" s="55" t="str">
        <f>IF(SUM(DC7,DD7,DF7)&gt;0,SUM(DC7,DD7,DF7),"")</f>
        <v/>
      </c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4" t="str">
        <f>IF(SUM(DI7,DM7)&gt;0,SUM(DI7,DM7),"")</f>
        <v/>
      </c>
      <c r="EC7" s="14" t="str">
        <f>IF(SUM(DH7:DI7,DK7:DM7,DO7)-DJ7-DN7&gt;0,SUM(DH7:DI7,DK7:DM7,DO7)-DJ7-DN7,"")</f>
        <v/>
      </c>
      <c r="ED7" s="14" t="str">
        <f>IF(SUM(DP7:DQ7,DS7)-DR7&gt;0,SUM(DP7:DQ7,DS7)-DR7,"")</f>
        <v/>
      </c>
      <c r="EE7" s="14" t="str">
        <f>IF(SUM(DU7,DY7)&gt;0,SUM(DU7,DY7),"")</f>
        <v/>
      </c>
      <c r="EF7" s="14" t="str">
        <f>IF(SUM(DT7:DU7,DW7:DY7,EA7)-SUM(DV7,DZ7)&gt;0,SUM(DT7:DU7,DW7:DY7,EA7)-SUM(DV7,DZ7),"")</f>
        <v/>
      </c>
      <c r="EG7" s="14" t="str">
        <f>IF(SUM(EC7,ED7,EF7)&gt;0,SUM(EC7,ED7,EF7),"")</f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55" t="str">
        <f>IF(SUM(EI7,EM7)&gt;0,SUM(EI7,EM7),"")</f>
        <v/>
      </c>
      <c r="FC7" s="55" t="str">
        <f>IF(SUM(EH7:EI7,EK7:EM7,EO7)-EJ7-EN7&gt;0,SUM(EH7:EI7,EK7:EM7,EO7)-EJ7-EN7,"")</f>
        <v/>
      </c>
      <c r="FD7" s="55" t="str">
        <f>IF(SUM(EP7:EQ7,ES7)-ER7&gt;0,SUM(EP7:EQ7,ES7)-ER7,"")</f>
        <v/>
      </c>
      <c r="FE7" s="55" t="str">
        <f>IF(SUM(EU7,EY7)&gt;0,SUM(EU7,EY7),"")</f>
        <v/>
      </c>
      <c r="FF7" s="55" t="str">
        <f>IF(SUM(ET7:EU7,EW7:EY7,FA7)-SUM(EV7,EZ7)&gt;0,SUM(ET7:EU7,EW7:EY7,FA7)-SUM(EV7,EZ7),"")</f>
        <v/>
      </c>
      <c r="FG7" s="55" t="str">
        <f>IF(SUM(FC7,FD7,FF7)&gt;0,SUM(FC7,FD7,FF7),"")</f>
        <v/>
      </c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4" t="str">
        <f>IF(SUM(FI7,FM7)&gt;0,SUM(FI7,FM7),"")</f>
        <v/>
      </c>
      <c r="GC7" s="14" t="str">
        <f>IF(SUM(FH7:FI7,FK7:FM7,FO7)-FJ7-FN7&gt;0,SUM(FH7:FI7,FK7:FM7,FO7)-FJ7-FN7,"")</f>
        <v/>
      </c>
      <c r="GD7" s="14" t="str">
        <f>IF(SUM(FP7:FQ7,FS7)-FR7&gt;0,SUM(FP7:FQ7,FS7)-FR7,"")</f>
        <v/>
      </c>
      <c r="GE7" s="14" t="str">
        <f>IF(SUM(FU7,FY7)&gt;0,SUM(FU7,FY7),"")</f>
        <v/>
      </c>
      <c r="GF7" s="14" t="str">
        <f>IF(SUM(FT7:FU7,FW7:FY7,GA7)-SUM(FV7,FZ7)&gt;0,SUM(FT7:FU7,FW7:FY7,GA7)-SUM(FV7,FZ7),"")</f>
        <v/>
      </c>
      <c r="GG7" s="14" t="str">
        <f>IF(SUM(GC7,GD7,GF7)&gt;0,SUM(GC7,GD7,GF7),"")</f>
        <v/>
      </c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55" t="str">
        <f>IF(SUM(GI7,GM7)&gt;0,SUM(GI7,GM7),"")</f>
        <v/>
      </c>
      <c r="HC7" s="55" t="str">
        <f>IF(SUM(GH7:GI7,GK7:GM7,GO7)-GJ7-GN7&gt;0,SUM(GH7:GI7,GK7:GM7,GO7)-GJ7-GN7,"")</f>
        <v/>
      </c>
      <c r="HD7" s="55" t="str">
        <f>IF(SUM(GP7:GQ7,GS7)-GR7&gt;0,SUM(GP7:GQ7,GS7)-GR7,"")</f>
        <v/>
      </c>
      <c r="HE7" s="55" t="str">
        <f>IF(SUM(GU7,GY7)&gt;0,SUM(GU7,GY7),"")</f>
        <v/>
      </c>
      <c r="HF7" s="55" t="str">
        <f>IF(SUM(GT7:GU7,GW7:GY7,HA7)-SUM(GV7,GZ7)&gt;0,SUM(GT7:GU7,GW7:GY7,HA7)-SUM(GV7,GZ7),"")</f>
        <v/>
      </c>
      <c r="HG7" s="55" t="str">
        <f>IF(SUM(HC7,HD7,HF7)&gt;0,SUM(HC7,HD7,HF7),"")</f>
        <v/>
      </c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4" t="str">
        <f>IF(SUM(HI7,HM7)&gt;0,SUM(HI7,HM7),"")</f>
        <v/>
      </c>
      <c r="IC7" s="14" t="str">
        <f>IF(SUM(HH7:HI7,HK7:HM7,HO7)-HJ7-HN7&gt;0,SUM(HH7:HI7,HK7:HM7,HO7)-HJ7-HN7,"")</f>
        <v/>
      </c>
      <c r="ID7" s="14" t="str">
        <f>IF(SUM(HP7:HQ7,HS7)-HR7&gt;0,SUM(HP7:HQ7,HS7)-HR7,"")</f>
        <v/>
      </c>
      <c r="IE7" s="14" t="str">
        <f>IF(SUM(HU7,HY7)&gt;0,SUM(HU7,HY7),"")</f>
        <v/>
      </c>
      <c r="IF7" s="14" t="str">
        <f>IF(SUM(HT7:HU7,HW7:HY7,IA7)-SUM(HV7,HZ7)&gt;0,SUM(HT7:HU7,HW7:HY7,IA7)-SUM(HV7,HZ7),"")</f>
        <v/>
      </c>
      <c r="IG7" s="14" t="str">
        <f>IF(SUM(IC7,ID7,IF7)&gt;0,SUM(IC7,ID7,IF7),"")</f>
        <v/>
      </c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55" t="str">
        <f>IF(SUM(II7,IM7)&gt;0,SUM(II7,IM7),"")</f>
        <v/>
      </c>
      <c r="JC7" s="55" t="str">
        <f>IF(SUM(IH7:II7,IK7:IM7,IO7)-IJ7-IN7&gt;0,SUM(IH7:II7,IK7:IM7,IO7)-IJ7-IN7,"")</f>
        <v/>
      </c>
      <c r="JD7" s="55" t="str">
        <f>IF(SUM(IP7:IQ7,IS7)-IR7&gt;0,SUM(IP7:IQ7,IS7)-IR7,"")</f>
        <v/>
      </c>
      <c r="JE7" s="55" t="str">
        <f>IF(SUM(IU7,IY7)&gt;0,SUM(IU7,IY7),"")</f>
        <v/>
      </c>
      <c r="JF7" s="55" t="str">
        <f>IF(SUM(IT7:IU7,IW7:IY7,JA7)-SUM(IV7,IZ7)&gt;0,SUM(IT7:IU7,IW7:IY7,JA7)-SUM(IV7,IZ7),"")</f>
        <v/>
      </c>
      <c r="JG7" s="55" t="str">
        <f>IF(SUM(JC7,JD7,JF7)&gt;0,SUM(JC7,JD7,JF7),"")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4" t="str">
        <f>IF(SUM(JI7,JM7)&gt;0,SUM(JI7,JM7),"")</f>
        <v/>
      </c>
      <c r="KC7" s="14" t="str">
        <f>IF(SUM(JH7:JI7,JK7:JM7,JO7)-JJ7-JN7&gt;0,SUM(JH7:JI7,JK7:JM7,JO7)-JJ7-JN7,"")</f>
        <v/>
      </c>
      <c r="KD7" s="14" t="str">
        <f>IF(SUM(JP7:JQ7,JS7)-JR7&gt;0,SUM(JP7:JQ7,JS7)-JR7,"")</f>
        <v/>
      </c>
      <c r="KE7" s="14" t="str">
        <f>IF(SUM(JU7,JY7)&gt;0,SUM(JU7,JY7),"")</f>
        <v/>
      </c>
      <c r="KF7" s="14" t="str">
        <f>IF(SUM(JT7:JU7,JW7:JY7,KA7)-SUM(JV7,JZ7)&gt;0,SUM(JT7:JU7,JW7:JY7,KA7)-SUM(JV7,JZ7),"")</f>
        <v/>
      </c>
      <c r="KG7" s="14" t="str">
        <f>IF(SUM(KC7,KD7,KF7)&gt;0,SUM(KC7,KD7,KF7),"")</f>
        <v/>
      </c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55" t="str">
        <f>IF(SUM(KI7,KM7)&gt;0,SUM(KI7,KM7),"")</f>
        <v/>
      </c>
      <c r="LC7" s="55" t="str">
        <f>IF(SUM(KH7:KI7,KK7:KM7,KO7)-KJ7-KN7&gt;0,SUM(KH7:KI7,KK7:KM7,KO7)-KJ7-KN7,"")</f>
        <v/>
      </c>
      <c r="LD7" s="55" t="str">
        <f>IF(SUM(KP7:KQ7,KS7)-KR7&gt;0,SUM(KP7:KQ7,KS7)-KR7,"")</f>
        <v/>
      </c>
      <c r="LE7" s="55" t="str">
        <f>IF(SUM(KU7,KY7)&gt;0,SUM(KU7,KY7),"")</f>
        <v/>
      </c>
      <c r="LF7" s="55" t="str">
        <f>IF(SUM(KT7:KU7,KW7:KY7,LA7)-SUM(KV7,KZ7)&gt;0,SUM(KT7:KU7,KW7:KY7,LA7)-SUM(KV7,KZ7),"")</f>
        <v/>
      </c>
      <c r="LG7" s="55" t="str">
        <f>IF(SUM(LC7,LD7,LF7)&gt;0,SUM(LC7,LD7,LF7),"")</f>
        <v/>
      </c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4" t="str">
        <f>IF(SUM(LI7,LM7)&gt;0,SUM(LI7,LM7),"")</f>
        <v/>
      </c>
      <c r="MC7" s="14" t="str">
        <f>IF(SUM(LH7:LI7,LK7:LM7,LO7)-LJ7-LN7&gt;0,SUM(LH7:LI7,LK7:LM7,LO7)-LJ7-LN7,"")</f>
        <v/>
      </c>
      <c r="MD7" s="14" t="str">
        <f>IF(SUM(LP7:LQ7,LS7)-LR7&gt;0,SUM(LP7:LQ7,LS7)-LR7,"")</f>
        <v/>
      </c>
      <c r="ME7" s="14" t="str">
        <f>IF(SUM(LU7,LY7)&gt;0,SUM(LU7,LY7),"")</f>
        <v/>
      </c>
      <c r="MF7" s="14" t="str">
        <f>IF(SUM(LT7:LU7,LW7:LY7,MA7)-SUM(LV7,LZ7)&gt;0,SUM(LT7:LU7,LW7:LY7,MA7)-SUM(LV7,LZ7),"")</f>
        <v/>
      </c>
      <c r="MG7" s="14" t="str">
        <f>IF(SUM(MC7,MD7,MF7)&gt;0,SUM(MC7,MD7,MF7),"")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55" t="str">
        <f>IF(SUM(MI7,MM7)&gt;0,SUM(MI7,MM7),"")</f>
        <v/>
      </c>
      <c r="NC7" s="55" t="str">
        <f>IF(SUM(MH7:MI7,MK7:MM7,MO7)-MJ7-MN7&gt;0,SUM(MH7:MI7,MK7:MM7,MO7)-MJ7-MN7,"")</f>
        <v/>
      </c>
      <c r="ND7" s="55" t="str">
        <f>IF(SUM(MP7:MQ7,MS7)-MR7&gt;0,SUM(MP7:MQ7,MS7)-MR7,"")</f>
        <v/>
      </c>
      <c r="NE7" s="55" t="str">
        <f>IF(SUM(MU7,MY7)&gt;0,SUM(MU7,MY7),"")</f>
        <v/>
      </c>
      <c r="NF7" s="55" t="str">
        <f>IF(SUM(MT7:MU7,MW7:MY7,NA7)-SUM(MV7,MZ7)&gt;0,SUM(MT7:MU7,MW7:MY7,NA7)-SUM(MV7,MZ7),"")</f>
        <v/>
      </c>
      <c r="NG7" s="55" t="str">
        <f>IF(SUM(NC7,ND7,NF7)&gt;0,SUM(NC7,ND7,NF7),"")</f>
        <v/>
      </c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4" t="str">
        <f>IF(SUM(NI7,NM7)&gt;0,SUM(NI7,NM7),"")</f>
        <v/>
      </c>
      <c r="OC7" s="14" t="str">
        <f>IF(SUM(NH7:NI7,NK7:NM7,NO7)-NJ7-NN7&gt;0,SUM(NH7:NI7,NK7:NM7,NO7)-NJ7-NN7,"")</f>
        <v/>
      </c>
      <c r="OD7" s="14" t="str">
        <f>IF(SUM(NP7:NQ7,NS7)-NR7&gt;0,SUM(NP7:NQ7,NS7)-NR7,"")</f>
        <v/>
      </c>
      <c r="OE7" s="14" t="str">
        <f>IF(SUM(NU7,NY7)&gt;0,SUM(NU7,NY7),"")</f>
        <v/>
      </c>
      <c r="OF7" s="14" t="str">
        <f>IF(SUM(NT7:NU7,NW7:NY7,OA7)-SUM(NV7,NZ7)&gt;0,SUM(NT7:NU7,NW7:NY7,OA7)-SUM(NV7,NZ7),"")</f>
        <v/>
      </c>
      <c r="OG7" s="14" t="str">
        <f>IF(SUM(OC7,OD7,OF7)&gt;0,SUM(OC7,OD7,OF7),"")</f>
        <v/>
      </c>
      <c r="OH7" s="27">
        <f t="shared" si="0"/>
        <v>9.4</v>
      </c>
      <c r="OI7" s="27">
        <f t="shared" si="0"/>
        <v>1.75</v>
      </c>
      <c r="OJ7" s="27">
        <f t="shared" si="0"/>
        <v>0</v>
      </c>
      <c r="OK7" s="27">
        <f t="shared" si="0"/>
        <v>0</v>
      </c>
      <c r="OL7" s="27">
        <f t="shared" si="0"/>
        <v>7.6</v>
      </c>
      <c r="OM7" s="27">
        <f t="shared" si="0"/>
        <v>1.2</v>
      </c>
      <c r="ON7" s="27">
        <f t="shared" si="0"/>
        <v>0</v>
      </c>
      <c r="OO7" s="27">
        <f t="shared" si="0"/>
        <v>0</v>
      </c>
      <c r="OP7" s="27">
        <f t="shared" si="0"/>
        <v>0</v>
      </c>
      <c r="OQ7" s="27">
        <f t="shared" si="0"/>
        <v>0</v>
      </c>
      <c r="OR7" s="27">
        <f t="shared" si="0"/>
        <v>0</v>
      </c>
      <c r="OS7" s="27">
        <f t="shared" si="0"/>
        <v>0</v>
      </c>
      <c r="OT7" s="27">
        <f t="shared" si="0"/>
        <v>0</v>
      </c>
      <c r="OU7" s="27">
        <f t="shared" si="0"/>
        <v>0</v>
      </c>
      <c r="OV7" s="27">
        <f t="shared" si="0"/>
        <v>0</v>
      </c>
      <c r="OW7" s="27">
        <f t="shared" si="0"/>
        <v>0</v>
      </c>
      <c r="OX7" s="32" t="s">
        <v>44</v>
      </c>
      <c r="OY7" s="55">
        <f>IF(SUM(OI7,OM7)&gt;0,SUM(OI7,OM7),"")</f>
        <v>2.95</v>
      </c>
      <c r="OZ7" s="55">
        <f>IF(SUM(OH7:OI7,OK7:OM7,OO7)-OJ7-ON7&gt;0,SUM(OH7:OI7,OK7:OM7,OO7)-OJ7-ON7,"")</f>
        <v>19.95</v>
      </c>
      <c r="PA7" s="55" t="str">
        <f>IF(SUM(OQ7,OU7)&gt;0,SUM(OQ7,OU7),"")</f>
        <v/>
      </c>
      <c r="PB7" s="55" t="str">
        <f>IF(SUM(OP7:OQ7,OS7:OU7,OW7)-SUM(OR7,OV7)&gt;0,SUM(OP7:OQ7,OS7:OU7,OW7)-SUM(OR7,OV7),"")</f>
        <v/>
      </c>
      <c r="PC7" s="55">
        <f>IF(SUM(OZ7,PB7)&gt;0,SUM(OZ7,PB7),"")</f>
        <v>19.95</v>
      </c>
    </row>
    <row r="8" spans="1:419" ht="17" x14ac:dyDescent="0.2">
      <c r="O8" s="11"/>
      <c r="P8" s="11"/>
      <c r="Q8" s="11"/>
    </row>
    <row r="9" spans="1:419" ht="17" x14ac:dyDescent="0.2">
      <c r="O9" s="11"/>
      <c r="P9" s="11"/>
      <c r="Q9" s="11"/>
    </row>
    <row r="10" spans="1:419" ht="17" x14ac:dyDescent="0.2">
      <c r="B10" s="28" t="s">
        <v>42</v>
      </c>
      <c r="O10" s="11"/>
      <c r="P10" s="11"/>
      <c r="Q10" s="11"/>
      <c r="AI10" s="4"/>
      <c r="AM10" s="57">
        <v>9.6</v>
      </c>
      <c r="BE10" s="4"/>
      <c r="BI10" s="57">
        <v>9.6</v>
      </c>
      <c r="CA10" s="4"/>
      <c r="CE10" s="57">
        <v>9.6</v>
      </c>
      <c r="DB10" s="4"/>
      <c r="DG10" s="57">
        <v>9.6</v>
      </c>
      <c r="EB10" s="4"/>
      <c r="EG10" s="57">
        <v>9.6</v>
      </c>
      <c r="FB10" s="4"/>
      <c r="FG10" s="57">
        <v>9.6</v>
      </c>
      <c r="GB10" s="4"/>
      <c r="GG10" s="57">
        <v>9.6</v>
      </c>
      <c r="HB10" s="4"/>
      <c r="HG10" s="57">
        <v>9.6</v>
      </c>
      <c r="IB10" s="4"/>
      <c r="IG10" s="57">
        <v>9.6</v>
      </c>
      <c r="JB10" s="4"/>
      <c r="JG10" s="57">
        <v>9.6</v>
      </c>
      <c r="KB10" s="4"/>
      <c r="KG10" s="57">
        <v>9.6</v>
      </c>
      <c r="LB10" s="4"/>
      <c r="LG10" s="57">
        <v>9.6</v>
      </c>
      <c r="MB10" s="4"/>
      <c r="MG10" s="57">
        <v>9.6</v>
      </c>
      <c r="NB10" s="4"/>
      <c r="NG10" s="57">
        <v>9.6</v>
      </c>
      <c r="OB10" s="4"/>
      <c r="OG10" s="57">
        <v>9.6</v>
      </c>
    </row>
    <row r="11" spans="1:419" ht="17" hidden="1" x14ac:dyDescent="0.2">
      <c r="B11" s="35" t="s">
        <v>41</v>
      </c>
      <c r="O11" s="11"/>
      <c r="P11" s="11"/>
      <c r="Q11" s="11"/>
      <c r="AI11" s="4"/>
      <c r="AM11" s="58">
        <v>1000</v>
      </c>
      <c r="BE11" s="4"/>
      <c r="BI11" s="58">
        <v>1000</v>
      </c>
      <c r="CA11" s="4"/>
      <c r="CE11" s="58">
        <v>1000</v>
      </c>
      <c r="DB11" s="4"/>
      <c r="DG11" s="58">
        <v>1000</v>
      </c>
      <c r="EB11" s="4"/>
      <c r="EG11" s="58">
        <v>1000</v>
      </c>
      <c r="FB11" s="4"/>
      <c r="FG11" s="58">
        <v>1000</v>
      </c>
      <c r="GB11" s="4"/>
      <c r="GG11" s="58">
        <v>1000</v>
      </c>
      <c r="HB11" s="4"/>
      <c r="HG11" s="58">
        <v>1000</v>
      </c>
      <c r="IB11" s="4"/>
      <c r="IG11" s="58">
        <v>1000</v>
      </c>
      <c r="JB11" s="4"/>
      <c r="JG11" s="58">
        <v>1000</v>
      </c>
      <c r="KB11" s="4"/>
      <c r="KG11" s="58">
        <v>1000</v>
      </c>
      <c r="LB11" s="4"/>
      <c r="LG11" s="58">
        <v>1000</v>
      </c>
      <c r="MB11" s="4"/>
      <c r="MG11" s="58">
        <v>1000</v>
      </c>
      <c r="NB11" s="4"/>
      <c r="NG11" s="58">
        <v>1000</v>
      </c>
      <c r="OB11" s="4"/>
      <c r="OG11" s="58">
        <v>1000</v>
      </c>
    </row>
    <row r="12" spans="1:419" ht="17" hidden="1" x14ac:dyDescent="0.2">
      <c r="A12" s="5"/>
      <c r="B12" s="36" t="s">
        <v>54</v>
      </c>
      <c r="C12" s="22"/>
      <c r="O12" s="11"/>
      <c r="P12" s="11"/>
      <c r="Q12" s="11"/>
      <c r="AI12" s="4"/>
      <c r="AM12" s="59">
        <v>1000</v>
      </c>
      <c r="BE12" s="4"/>
      <c r="BI12" s="59">
        <v>1000</v>
      </c>
      <c r="CA12" s="4"/>
      <c r="CE12" s="59">
        <v>1000</v>
      </c>
      <c r="DB12" s="4"/>
      <c r="DG12" s="59">
        <v>1000</v>
      </c>
      <c r="EB12" s="4"/>
      <c r="EG12" s="59">
        <v>1000</v>
      </c>
      <c r="FB12" s="4"/>
      <c r="FG12" s="59">
        <v>1000</v>
      </c>
      <c r="GB12" s="4"/>
      <c r="GG12" s="59">
        <v>1000</v>
      </c>
      <c r="HB12" s="4"/>
      <c r="HG12" s="59">
        <v>1000</v>
      </c>
      <c r="IB12" s="4"/>
      <c r="IG12" s="59">
        <v>1000</v>
      </c>
      <c r="JB12" s="4"/>
      <c r="JG12" s="59">
        <v>1000</v>
      </c>
      <c r="KB12" s="4"/>
      <c r="KG12" s="59">
        <v>1000</v>
      </c>
      <c r="LB12" s="4"/>
      <c r="LG12" s="59">
        <v>1000</v>
      </c>
      <c r="MB12" s="4"/>
      <c r="MG12" s="59">
        <v>1000</v>
      </c>
      <c r="NB12" s="4"/>
      <c r="NG12" s="59">
        <v>1000</v>
      </c>
      <c r="OB12" s="4"/>
      <c r="OG12" s="59">
        <v>1000</v>
      </c>
    </row>
    <row r="13" spans="1:419" ht="17" hidden="1" x14ac:dyDescent="0.2">
      <c r="A13" s="5"/>
      <c r="B13" s="44" t="s">
        <v>59</v>
      </c>
      <c r="C13" s="22"/>
      <c r="O13" s="11"/>
      <c r="P13" s="11"/>
      <c r="Q13" s="11"/>
      <c r="AI13" s="4"/>
      <c r="AM13" s="65">
        <v>1000</v>
      </c>
      <c r="BE13" s="4"/>
      <c r="BI13" s="65">
        <v>1000</v>
      </c>
      <c r="CA13" s="4"/>
      <c r="CE13" s="65">
        <v>1000</v>
      </c>
      <c r="DB13" s="4"/>
      <c r="DG13" s="65">
        <v>1000</v>
      </c>
      <c r="EB13" s="4"/>
      <c r="EG13" s="65">
        <v>1000</v>
      </c>
      <c r="FB13" s="4"/>
      <c r="FG13" s="65">
        <v>1000</v>
      </c>
      <c r="GB13" s="4"/>
      <c r="GG13" s="65">
        <v>1000</v>
      </c>
      <c r="HB13" s="4"/>
      <c r="HG13" s="65">
        <v>1000</v>
      </c>
      <c r="IB13" s="4"/>
      <c r="IG13" s="65">
        <v>1000</v>
      </c>
      <c r="JB13" s="4"/>
      <c r="JG13" s="65">
        <v>1000</v>
      </c>
      <c r="KB13" s="4"/>
      <c r="KG13" s="65">
        <v>1000</v>
      </c>
      <c r="LB13" s="4"/>
      <c r="LG13" s="65">
        <v>1000</v>
      </c>
      <c r="MB13" s="4"/>
      <c r="MG13" s="65">
        <v>1000</v>
      </c>
      <c r="NB13" s="4"/>
      <c r="NG13" s="65">
        <v>1000</v>
      </c>
      <c r="OB13" s="4"/>
      <c r="OG13" s="65">
        <v>1000</v>
      </c>
    </row>
    <row r="14" spans="1:419" ht="17" x14ac:dyDescent="0.2">
      <c r="A14" s="5"/>
      <c r="B14" s="42" t="s">
        <v>39</v>
      </c>
      <c r="C14" s="22"/>
      <c r="O14" s="11"/>
      <c r="P14" s="11"/>
      <c r="Q14" s="11"/>
      <c r="AI14" s="4"/>
      <c r="AM14" s="66">
        <v>46</v>
      </c>
      <c r="BE14" s="4"/>
      <c r="BI14" s="66">
        <v>46</v>
      </c>
      <c r="CA14" s="4"/>
      <c r="CE14" s="66">
        <v>46</v>
      </c>
      <c r="DB14" s="4"/>
      <c r="DG14" s="66">
        <v>46</v>
      </c>
      <c r="EB14" s="4"/>
      <c r="EG14" s="66">
        <v>46</v>
      </c>
      <c r="FB14" s="4"/>
      <c r="FG14" s="66">
        <v>46</v>
      </c>
      <c r="GB14" s="4"/>
      <c r="GG14" s="66">
        <v>46</v>
      </c>
      <c r="HB14" s="4"/>
      <c r="HG14" s="66">
        <v>46</v>
      </c>
      <c r="IB14" s="4"/>
      <c r="IG14" s="66">
        <v>46</v>
      </c>
      <c r="JB14" s="4"/>
      <c r="JG14" s="66">
        <v>46</v>
      </c>
      <c r="KB14" s="4"/>
      <c r="KG14" s="66">
        <v>46</v>
      </c>
      <c r="LB14" s="4"/>
      <c r="LG14" s="66">
        <v>46</v>
      </c>
      <c r="MB14" s="4"/>
      <c r="MG14" s="66">
        <v>46</v>
      </c>
      <c r="NB14" s="4"/>
      <c r="NG14" s="66">
        <v>46</v>
      </c>
      <c r="OB14" s="4"/>
      <c r="OG14" s="66">
        <v>46</v>
      </c>
    </row>
    <row r="15" spans="1:419" ht="17" hidden="1" x14ac:dyDescent="0.2">
      <c r="A15" s="5"/>
      <c r="B15" s="29" t="s">
        <v>40</v>
      </c>
      <c r="C15" s="22"/>
      <c r="O15" s="11"/>
      <c r="P15" s="11"/>
      <c r="Q15" s="11"/>
      <c r="AI15" s="4"/>
      <c r="AM15" s="62">
        <v>1000</v>
      </c>
      <c r="BE15" s="4"/>
      <c r="BI15" s="62">
        <v>1000</v>
      </c>
      <c r="CA15" s="4"/>
      <c r="CE15" s="62">
        <v>1000</v>
      </c>
      <c r="DB15" s="4"/>
      <c r="DG15" s="62">
        <v>1000</v>
      </c>
      <c r="EB15" s="4"/>
      <c r="EG15" s="62">
        <v>1000</v>
      </c>
      <c r="FB15" s="4"/>
      <c r="FG15" s="62">
        <v>1000</v>
      </c>
      <c r="GB15" s="4"/>
      <c r="GG15" s="62">
        <v>1000</v>
      </c>
      <c r="HB15" s="4"/>
      <c r="HG15" s="62">
        <v>1000</v>
      </c>
      <c r="IB15" s="4"/>
      <c r="IG15" s="62">
        <v>1000</v>
      </c>
      <c r="JB15" s="4"/>
      <c r="JG15" s="62">
        <v>1000</v>
      </c>
      <c r="KB15" s="4"/>
      <c r="KG15" s="62">
        <v>1000</v>
      </c>
      <c r="LB15" s="4"/>
      <c r="LG15" s="62">
        <v>1000</v>
      </c>
      <c r="MB15" s="4"/>
      <c r="MG15" s="62">
        <v>1000</v>
      </c>
      <c r="NB15" s="4"/>
      <c r="NG15" s="62">
        <v>1000</v>
      </c>
      <c r="OB15" s="4"/>
      <c r="OG15" s="62">
        <v>1000</v>
      </c>
    </row>
    <row r="16" spans="1:419" ht="17" hidden="1" x14ac:dyDescent="0.2">
      <c r="A16" s="5"/>
      <c r="B16" s="40" t="s">
        <v>53</v>
      </c>
      <c r="C16" s="22"/>
      <c r="O16" s="11"/>
      <c r="P16" s="11"/>
      <c r="Q16" s="11"/>
      <c r="AI16" s="4"/>
      <c r="AM16" s="63">
        <v>1000</v>
      </c>
      <c r="BE16" s="4"/>
      <c r="BI16" s="63">
        <v>1000</v>
      </c>
      <c r="CA16" s="4"/>
      <c r="CE16" s="63">
        <v>1000</v>
      </c>
      <c r="DB16" s="4"/>
      <c r="DG16" s="63">
        <v>1000</v>
      </c>
      <c r="EB16" s="4"/>
      <c r="EG16" s="63">
        <v>1000</v>
      </c>
      <c r="FB16" s="4"/>
      <c r="FG16" s="63">
        <v>1000</v>
      </c>
      <c r="GB16" s="4"/>
      <c r="GG16" s="63">
        <v>1000</v>
      </c>
      <c r="HB16" s="4"/>
      <c r="HG16" s="63">
        <v>1000</v>
      </c>
      <c r="IB16" s="4"/>
      <c r="IG16" s="63">
        <v>1000</v>
      </c>
      <c r="JB16" s="4"/>
      <c r="JG16" s="63">
        <v>1000</v>
      </c>
      <c r="KB16" s="4"/>
      <c r="KG16" s="63">
        <v>1000</v>
      </c>
      <c r="LB16" s="4"/>
      <c r="LG16" s="63">
        <v>1000</v>
      </c>
      <c r="MB16" s="4"/>
      <c r="MG16" s="63">
        <v>1000</v>
      </c>
      <c r="NB16" s="4"/>
      <c r="NG16" s="63">
        <v>1000</v>
      </c>
      <c r="OB16" s="4"/>
      <c r="OG16" s="63">
        <v>1000</v>
      </c>
    </row>
    <row r="17" spans="1:397" ht="17" hidden="1" x14ac:dyDescent="0.2">
      <c r="A17" s="5"/>
      <c r="B17" s="30" t="s">
        <v>26</v>
      </c>
      <c r="C17" s="22"/>
      <c r="O17" s="11"/>
      <c r="P17" s="11"/>
      <c r="Q17" s="11"/>
      <c r="AI17" s="4"/>
      <c r="AM17" s="64">
        <v>1000</v>
      </c>
      <c r="BE17" s="4"/>
      <c r="BI17" s="64">
        <v>1000</v>
      </c>
      <c r="CA17" s="4"/>
      <c r="CE17" s="64">
        <v>1000</v>
      </c>
      <c r="DB17" s="4"/>
      <c r="DG17" s="64">
        <v>1000</v>
      </c>
      <c r="EB17" s="4"/>
      <c r="EG17" s="64">
        <v>1000</v>
      </c>
      <c r="FB17" s="4"/>
      <c r="FG17" s="64">
        <v>1000</v>
      </c>
      <c r="GB17" s="4"/>
      <c r="GG17" s="64">
        <v>1000</v>
      </c>
      <c r="HB17" s="4"/>
      <c r="HG17" s="64">
        <v>1000</v>
      </c>
      <c r="IB17" s="4"/>
      <c r="IG17" s="64">
        <v>1000</v>
      </c>
      <c r="JB17" s="4"/>
      <c r="JG17" s="64">
        <v>1000</v>
      </c>
      <c r="KB17" s="4"/>
      <c r="KG17" s="64">
        <v>1000</v>
      </c>
      <c r="LB17" s="4"/>
      <c r="LG17" s="64">
        <v>1000</v>
      </c>
      <c r="MB17" s="4"/>
      <c r="MG17" s="64">
        <v>1000</v>
      </c>
      <c r="NB17" s="4"/>
      <c r="NG17" s="64">
        <v>1000</v>
      </c>
      <c r="OB17" s="4"/>
      <c r="OG17" s="64">
        <v>1000</v>
      </c>
    </row>
    <row r="18" spans="1:397" x14ac:dyDescent="0.2">
      <c r="B18" s="34" t="s">
        <v>45</v>
      </c>
      <c r="C18" s="2"/>
    </row>
    <row r="19" spans="1:397" x14ac:dyDescent="0.2">
      <c r="A19" s="5"/>
      <c r="B19" s="5"/>
      <c r="C19" s="22"/>
    </row>
    <row r="20" spans="1:397" x14ac:dyDescent="0.2">
      <c r="A20" s="5"/>
      <c r="B20" s="5"/>
      <c r="C20" s="22"/>
    </row>
    <row r="21" spans="1:397" x14ac:dyDescent="0.2">
      <c r="A21" s="5"/>
      <c r="B21" s="5"/>
      <c r="C21" s="22"/>
    </row>
    <row r="22" spans="1:397" x14ac:dyDescent="0.2">
      <c r="A22" s="5"/>
      <c r="B22" s="5"/>
      <c r="C22" s="5"/>
    </row>
  </sheetData>
  <sheetProtection sheet="1" formatCells="0" formatColumns="0" formatRows="0"/>
  <autoFilter ref="A1:PC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7">
      <sortCondition descending="1" ref="F1:F8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36" priority="1">
      <formula>AND(G4&lt;&gt;"",F4="")</formula>
    </cfRule>
    <cfRule type="expression" dxfId="35" priority="13" stopIfTrue="1">
      <formula>IF(A4&gt;4,1,0)</formula>
    </cfRule>
  </conditionalFormatting>
  <conditionalFormatting sqref="H1:H1048576">
    <cfRule type="containsText" dxfId="34" priority="5" operator="containsText" text="No DD">
      <formula>NOT(ISERROR(SEARCH("No DD",H1)))</formula>
    </cfRule>
    <cfRule type="containsText" dxfId="33" priority="6" operator="containsText" text="Merit">
      <formula>NOT(ISERROR(SEARCH("Merit",H1)))</formula>
    </cfRule>
    <cfRule type="containsText" dxfId="32" priority="7" operator="containsText" text="Excellence">
      <formula>NOT(ISERROR(SEARCH("Excellence",H1)))</formula>
    </cfRule>
    <cfRule type="containsText" dxfId="31" priority="8" operator="containsText" text="Worlds Team">
      <formula>NOT(ISERROR(SEARCH("Worlds Team",H1)))</formula>
    </cfRule>
    <cfRule type="containsText" dxfId="30" priority="9" operator="containsText" text="National Team">
      <formula>NOT(ISERROR(SEARCH("National Team",H1)))</formula>
    </cfRule>
  </conditionalFormatting>
  <conditionalFormatting sqref="R4:AM7">
    <cfRule type="expression" dxfId="29" priority="70470" stopIfTrue="1">
      <formula>IF($AH4&lt;&gt;"",1,0)</formula>
    </cfRule>
  </conditionalFormatting>
  <conditionalFormatting sqref="AN4:BI7">
    <cfRule type="expression" dxfId="28" priority="70488" stopIfTrue="1">
      <formula>IF($BD4&lt;&gt;"",1,0)</formula>
    </cfRule>
  </conditionalFormatting>
  <conditionalFormatting sqref="J1:J1048576 N1:N1048576 L1:L1048576">
    <cfRule type="expression" dxfId="27" priority="70503">
      <formula>IF(J1=$BJ$1,1,0)</formula>
    </cfRule>
    <cfRule type="expression" dxfId="26" priority="70504">
      <formula>IF(J1=$AN$1,1,0)</formula>
    </cfRule>
    <cfRule type="expression" dxfId="25" priority="70505">
      <formula>IF(J1=$R$1,1,0)</formula>
    </cfRule>
  </conditionalFormatting>
  <conditionalFormatting sqref="BJ4:CE7">
    <cfRule type="expression" dxfId="24" priority="70506" stopIfTrue="1">
      <formula>IF($BZ4&lt;&gt;"",1,0)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23" priority="89212" operator="between">
      <formula>DG$13</formula>
      <formula>1000</formula>
    </cfRule>
    <cfRule type="cellIs" dxfId="22" priority="89213" operator="between">
      <formula>DG$12</formula>
      <formula>DG$13</formula>
    </cfRule>
    <cfRule type="cellIs" dxfId="21" priority="89214" operator="between">
      <formula>DG$11</formula>
      <formula>DG$12</formula>
    </cfRule>
    <cfRule type="cellIs" dxfId="20" priority="89215" operator="between">
      <formula>DG$10</formula>
      <formula>DG$11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19" priority="89356" operator="between">
      <formula>DG$17</formula>
      <formula>1000</formula>
    </cfRule>
    <cfRule type="cellIs" dxfId="18" priority="89357" operator="between">
      <formula>DG$16</formula>
      <formula>DG$17</formula>
    </cfRule>
    <cfRule type="cellIs" dxfId="17" priority="89358" operator="between">
      <formula>DG$15</formula>
      <formula>DG$16</formula>
    </cfRule>
    <cfRule type="cellIs" dxfId="16" priority="89359" operator="between">
      <formula>DG$14</formula>
      <formula>DG$15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15" priority="89500" operator="between">
      <formula>AM$10</formula>
      <formula>AM$11</formula>
    </cfRule>
    <cfRule type="cellIs" dxfId="14" priority="89501" operator="between">
      <formula>AM$11</formula>
      <formula>AM$12</formula>
    </cfRule>
    <cfRule type="cellIs" dxfId="13" priority="89502" operator="between">
      <formula>AM$12</formula>
      <formula>AM$13</formula>
    </cfRule>
    <cfRule type="cellIs" dxfId="12" priority="89503" operator="between">
      <formula>AM$13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11" priority="89680" operator="between">
      <formula>AM$14</formula>
      <formula>AM$15</formula>
    </cfRule>
    <cfRule type="cellIs" dxfId="10" priority="89681" operator="between">
      <formula>AM$15</formula>
      <formula>AM$16</formula>
    </cfRule>
    <cfRule type="cellIs" dxfId="9" priority="89682" operator="between">
      <formula>AM$16</formula>
      <formula>AM$17</formula>
    </cfRule>
    <cfRule type="cellIs" dxfId="8" priority="89683" operator="between">
      <formula>AM$17</formula>
      <formula>1000</formula>
    </cfRule>
  </conditionalFormatting>
  <conditionalFormatting sqref="AI1:AI1048576 BE1:BE1048576 CA1:CA1048576">
    <cfRule type="cellIs" dxfId="7" priority="89860" operator="between">
      <formula>AM$13</formula>
      <formula>1000</formula>
    </cfRule>
    <cfRule type="cellIs" dxfId="6" priority="89861" operator="between">
      <formula>AM$12</formula>
      <formula>AM$13</formula>
    </cfRule>
    <cfRule type="cellIs" dxfId="5" priority="89862" operator="between">
      <formula>AM$11</formula>
      <formula>AM$12</formula>
    </cfRule>
    <cfRule type="cellIs" dxfId="4" priority="89863" operator="between">
      <formula>AM$10</formula>
      <formula>AM$11</formula>
    </cfRule>
  </conditionalFormatting>
  <conditionalFormatting sqref="AJ1:AJ1048576 BF1:BF1048576 CB1:CB1048576">
    <cfRule type="cellIs" dxfId="3" priority="89896" operator="between">
      <formula>AM$17</formula>
      <formula>1000</formula>
    </cfRule>
    <cfRule type="cellIs" dxfId="2" priority="89897" operator="between">
      <formula>AM$16</formula>
      <formula>AM$17</formula>
    </cfRule>
    <cfRule type="cellIs" dxfId="1" priority="89898" operator="between">
      <formula>AM$15</formula>
      <formula>AM$16</formula>
    </cfRule>
    <cfRule type="cellIs" dxfId="0" priority="89899" operator="between">
      <formula>AM$14</formula>
      <formula>AM$15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2026-02-16T01:35:26Z</dcterms:modified>
</cp:coreProperties>
</file>