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A6678C6-A7FB-FB4B-AFC1-A26835B32FE0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V13" i="14" l="1"/>
  <c r="OV9" i="14"/>
  <c r="NV13" i="14"/>
  <c r="NV9" i="14"/>
  <c r="MV13" i="14"/>
  <c r="MV9" i="14"/>
  <c r="LV13" i="14"/>
  <c r="LV9" i="14"/>
  <c r="KV13" i="14"/>
  <c r="KV9" i="14"/>
  <c r="JV13" i="14"/>
  <c r="JV9" i="14"/>
  <c r="IV13" i="14"/>
  <c r="IV9" i="14"/>
  <c r="HV13" i="14"/>
  <c r="HV9" i="14"/>
  <c r="GV13" i="14"/>
  <c r="GV9" i="14"/>
  <c r="FV13" i="14"/>
  <c r="FV9" i="14"/>
  <c r="EV13" i="14"/>
  <c r="EV9" i="14"/>
  <c r="DV13" i="14"/>
  <c r="DV9" i="14"/>
  <c r="OV14" i="17"/>
  <c r="OV10" i="17"/>
  <c r="NV14" i="17"/>
  <c r="NV10" i="17"/>
  <c r="MV14" i="17"/>
  <c r="MV10" i="17"/>
  <c r="LV14" i="17"/>
  <c r="LV10" i="17"/>
  <c r="KV14" i="17"/>
  <c r="KV10" i="17"/>
  <c r="JV14" i="17"/>
  <c r="JV10" i="17"/>
  <c r="IV14" i="17"/>
  <c r="IV10" i="17"/>
  <c r="HV14" i="17"/>
  <c r="HV10" i="17"/>
  <c r="GV14" i="17"/>
  <c r="GV10" i="17"/>
  <c r="FV14" i="17"/>
  <c r="FV10" i="17"/>
  <c r="OV15" i="16"/>
  <c r="OV11" i="16"/>
  <c r="NV15" i="16"/>
  <c r="NV11" i="16"/>
  <c r="MV15" i="16"/>
  <c r="MV11" i="16"/>
  <c r="LV15" i="16"/>
  <c r="LV11" i="16"/>
  <c r="KV15" i="16"/>
  <c r="KV11" i="16"/>
  <c r="JV15" i="16"/>
  <c r="JV11" i="16"/>
  <c r="IV15" i="16"/>
  <c r="IV11" i="16"/>
  <c r="HV15" i="16"/>
  <c r="HV11" i="16"/>
  <c r="GV15" i="16"/>
  <c r="GV11" i="16"/>
  <c r="FV15" i="16"/>
  <c r="FV11" i="16"/>
  <c r="AM5" i="14"/>
  <c r="AN5" i="14"/>
  <c r="AO5" i="14"/>
  <c r="AP5" i="14"/>
  <c r="AQ5" i="14"/>
  <c r="BN5" i="14"/>
  <c r="BO5" i="14"/>
  <c r="BP5" i="14"/>
  <c r="BQ5" i="14"/>
  <c r="BR5" i="14"/>
  <c r="CO5" i="14"/>
  <c r="CP5" i="14"/>
  <c r="CQ5" i="14"/>
  <c r="CR5" i="14"/>
  <c r="CS5" i="14"/>
  <c r="DQ5" i="14"/>
  <c r="DR5" i="14"/>
  <c r="DS5" i="14"/>
  <c r="DT5" i="14"/>
  <c r="DU5" i="14"/>
  <c r="EQ5" i="14"/>
  <c r="ER5" i="14"/>
  <c r="ES5" i="14"/>
  <c r="ET5" i="14"/>
  <c r="EU5" i="14"/>
  <c r="FQ5" i="14"/>
  <c r="FR5" i="14"/>
  <c r="FS5" i="14"/>
  <c r="FT5" i="14"/>
  <c r="FU5" i="14"/>
  <c r="GQ5" i="14"/>
  <c r="GR5" i="14"/>
  <c r="GS5" i="14"/>
  <c r="GT5" i="14"/>
  <c r="GU5" i="14"/>
  <c r="HQ5" i="14"/>
  <c r="HR5" i="14"/>
  <c r="HS5" i="14"/>
  <c r="HT5" i="14"/>
  <c r="HU5" i="14"/>
  <c r="IQ5" i="14"/>
  <c r="IR5" i="14"/>
  <c r="IS5" i="14"/>
  <c r="IT5" i="14"/>
  <c r="IU5" i="14"/>
  <c r="JQ5" i="14"/>
  <c r="JR5" i="14"/>
  <c r="JS5" i="14"/>
  <c r="JT5" i="14"/>
  <c r="JU5" i="14"/>
  <c r="KQ5" i="14"/>
  <c r="KR5" i="14"/>
  <c r="KS5" i="14"/>
  <c r="KT5" i="14"/>
  <c r="KU5" i="14"/>
  <c r="LQ5" i="14"/>
  <c r="LR5" i="14"/>
  <c r="LS5" i="14"/>
  <c r="LT5" i="14"/>
  <c r="LU5" i="14"/>
  <c r="MQ5" i="14"/>
  <c r="MR5" i="14"/>
  <c r="MS5" i="14"/>
  <c r="MT5" i="14"/>
  <c r="MU5" i="14"/>
  <c r="NQ5" i="14"/>
  <c r="NR5" i="14"/>
  <c r="NS5" i="14"/>
  <c r="NT5" i="14"/>
  <c r="NU5" i="14"/>
  <c r="OQ5" i="14"/>
  <c r="OR5" i="14"/>
  <c r="OS5" i="14"/>
  <c r="OT5" i="14"/>
  <c r="OU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BS14" i="17"/>
  <c r="BS10" i="17"/>
  <c r="BR5" i="17"/>
  <c r="BQ5" i="17"/>
  <c r="BP5" i="17"/>
  <c r="BO5" i="17"/>
  <c r="BN5" i="17"/>
  <c r="BR4" i="17"/>
  <c r="BQ4" i="17"/>
  <c r="BP4" i="17"/>
  <c r="BO4" i="17"/>
  <c r="BN4" i="17"/>
  <c r="BR6" i="17"/>
  <c r="BQ6" i="17"/>
  <c r="BP6" i="17"/>
  <c r="BO6" i="17"/>
  <c r="BN6" i="17"/>
  <c r="AR14" i="17"/>
  <c r="AR10" i="17"/>
  <c r="AQ5" i="17"/>
  <c r="AP5" i="17"/>
  <c r="AO5" i="17"/>
  <c r="AN5" i="17"/>
  <c r="AM5" i="17"/>
  <c r="AQ4" i="17"/>
  <c r="AP4" i="17"/>
  <c r="AO4" i="17"/>
  <c r="AN4" i="17"/>
  <c r="AR4" i="17" s="1"/>
  <c r="AM4" i="17"/>
  <c r="AQ6" i="17"/>
  <c r="AP6" i="17"/>
  <c r="AO6" i="17"/>
  <c r="AN6" i="17"/>
  <c r="AM6" i="17"/>
  <c r="BS15" i="16"/>
  <c r="BS11" i="16"/>
  <c r="BR5" i="16"/>
  <c r="BQ5" i="16"/>
  <c r="BP5" i="16"/>
  <c r="BO5" i="16"/>
  <c r="BS5" i="16" s="1"/>
  <c r="BN5" i="16"/>
  <c r="BR7" i="16"/>
  <c r="BQ7" i="16"/>
  <c r="BP7" i="16"/>
  <c r="BO7" i="16"/>
  <c r="BN7" i="16"/>
  <c r="BR6" i="16"/>
  <c r="BQ6" i="16"/>
  <c r="BP6" i="16"/>
  <c r="BO6" i="16"/>
  <c r="BN6" i="16"/>
  <c r="BR4" i="16"/>
  <c r="BQ4" i="16"/>
  <c r="BP4" i="16"/>
  <c r="BO4" i="16"/>
  <c r="BN4" i="16"/>
  <c r="AR15" i="16"/>
  <c r="AR11" i="16"/>
  <c r="AQ5" i="16"/>
  <c r="AP5" i="16"/>
  <c r="AO5" i="16"/>
  <c r="AN5" i="16"/>
  <c r="AM5" i="16"/>
  <c r="AQ7" i="16"/>
  <c r="AP7" i="16"/>
  <c r="AO7" i="16"/>
  <c r="AN7" i="16"/>
  <c r="AM7" i="16"/>
  <c r="AQ6" i="16"/>
  <c r="AP6" i="16"/>
  <c r="AO6" i="16"/>
  <c r="AN6" i="16"/>
  <c r="AM6" i="16"/>
  <c r="AQ4" i="16"/>
  <c r="AP4" i="16"/>
  <c r="AO4" i="16"/>
  <c r="AN4" i="16"/>
  <c r="AM4" i="16"/>
  <c r="BR4" i="15"/>
  <c r="BQ4" i="15"/>
  <c r="BP4" i="15"/>
  <c r="BO4" i="15"/>
  <c r="BS4" i="15" s="1"/>
  <c r="BN4" i="15"/>
  <c r="AQ4" i="15"/>
  <c r="AP4" i="15"/>
  <c r="AO4" i="15"/>
  <c r="AN4" i="15"/>
  <c r="AR4" i="15" s="1"/>
  <c r="AM4" i="15"/>
  <c r="BS13" i="14"/>
  <c r="BS9" i="14"/>
  <c r="BR4" i="14"/>
  <c r="BQ4" i="14"/>
  <c r="BP4" i="14"/>
  <c r="BO4" i="14"/>
  <c r="BN4" i="14"/>
  <c r="AR13" i="14"/>
  <c r="AR9" i="14"/>
  <c r="AQ4" i="14"/>
  <c r="AP4" i="14"/>
  <c r="AO4" i="14"/>
  <c r="AN4" i="14"/>
  <c r="AM4" i="14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4" i="4"/>
  <c r="BY4" i="4"/>
  <c r="BX4" i="4"/>
  <c r="CA4" i="4" s="1"/>
  <c r="BW4" i="4"/>
  <c r="BV4" i="4"/>
  <c r="BU4" i="4"/>
  <c r="BT4" i="4"/>
  <c r="BS4" i="4"/>
  <c r="AV4" i="4"/>
  <c r="AU4" i="4"/>
  <c r="AS4" i="4"/>
  <c r="AR4" i="4"/>
  <c r="AQ4" i="4"/>
  <c r="AP4" i="4"/>
  <c r="AO4" i="4"/>
  <c r="AT4" i="4" s="1"/>
  <c r="AW4" i="4" s="1"/>
  <c r="CO5" i="17"/>
  <c r="CP5" i="17"/>
  <c r="CQ5" i="17"/>
  <c r="CR5" i="17"/>
  <c r="CS5" i="17"/>
  <c r="DQ5" i="17"/>
  <c r="DR5" i="17"/>
  <c r="DS5" i="17"/>
  <c r="DT5" i="17"/>
  <c r="DU5" i="17"/>
  <c r="EQ5" i="17"/>
  <c r="ER5" i="17"/>
  <c r="ES5" i="17"/>
  <c r="ET5" i="17"/>
  <c r="EU5" i="17"/>
  <c r="FQ5" i="17"/>
  <c r="FR5" i="17"/>
  <c r="FS5" i="17"/>
  <c r="FT5" i="17"/>
  <c r="FU5" i="17"/>
  <c r="GQ5" i="17"/>
  <c r="GR5" i="17"/>
  <c r="GS5" i="17"/>
  <c r="GT5" i="17"/>
  <c r="GU5" i="17"/>
  <c r="HQ5" i="17"/>
  <c r="HR5" i="17"/>
  <c r="HS5" i="17"/>
  <c r="HT5" i="17"/>
  <c r="HU5" i="17"/>
  <c r="IQ5" i="17"/>
  <c r="IR5" i="17"/>
  <c r="IS5" i="17"/>
  <c r="IT5" i="17"/>
  <c r="IU5" i="17"/>
  <c r="JQ5" i="17"/>
  <c r="JR5" i="17"/>
  <c r="JS5" i="17"/>
  <c r="JT5" i="17"/>
  <c r="JU5" i="17"/>
  <c r="KQ5" i="17"/>
  <c r="KR5" i="17"/>
  <c r="KS5" i="17"/>
  <c r="KT5" i="17"/>
  <c r="KU5" i="17"/>
  <c r="LQ5" i="17"/>
  <c r="LR5" i="17"/>
  <c r="LS5" i="17"/>
  <c r="LT5" i="17"/>
  <c r="LU5" i="17"/>
  <c r="MQ5" i="17"/>
  <c r="MR5" i="17"/>
  <c r="MS5" i="17"/>
  <c r="MT5" i="17"/>
  <c r="MU5" i="17"/>
  <c r="NQ5" i="17"/>
  <c r="NR5" i="17"/>
  <c r="NS5" i="17"/>
  <c r="NT5" i="17"/>
  <c r="NU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7" i="16"/>
  <c r="CP7" i="16"/>
  <c r="CQ7" i="16"/>
  <c r="CR7" i="16"/>
  <c r="CS7" i="16"/>
  <c r="DQ7" i="16"/>
  <c r="DR7" i="16"/>
  <c r="DS7" i="16"/>
  <c r="DT7" i="16"/>
  <c r="DU7" i="16"/>
  <c r="EQ7" i="16"/>
  <c r="ER7" i="16"/>
  <c r="ES7" i="16"/>
  <c r="ET7" i="16"/>
  <c r="EU7" i="16"/>
  <c r="FQ7" i="16"/>
  <c r="FR7" i="16"/>
  <c r="FS7" i="16"/>
  <c r="FT7" i="16"/>
  <c r="FU7" i="16"/>
  <c r="GQ7" i="16"/>
  <c r="GR7" i="16"/>
  <c r="GS7" i="16"/>
  <c r="GT7" i="16"/>
  <c r="GU7" i="16"/>
  <c r="HQ7" i="16"/>
  <c r="HR7" i="16"/>
  <c r="HS7" i="16"/>
  <c r="HT7" i="16"/>
  <c r="HU7" i="16"/>
  <c r="IQ7" i="16"/>
  <c r="IR7" i="16"/>
  <c r="IS7" i="16"/>
  <c r="IT7" i="16"/>
  <c r="IU7" i="16"/>
  <c r="JQ7" i="16"/>
  <c r="JR7" i="16"/>
  <c r="JS7" i="16"/>
  <c r="JT7" i="16"/>
  <c r="JU7" i="16"/>
  <c r="KQ7" i="16"/>
  <c r="KR7" i="16"/>
  <c r="KS7" i="16"/>
  <c r="KT7" i="16"/>
  <c r="KU7" i="16"/>
  <c r="LQ7" i="16"/>
  <c r="LR7" i="16"/>
  <c r="LS7" i="16"/>
  <c r="LT7" i="16"/>
  <c r="LU7" i="16"/>
  <c r="MQ7" i="16"/>
  <c r="MR7" i="16"/>
  <c r="MS7" i="16"/>
  <c r="MT7" i="16"/>
  <c r="MU7" i="16"/>
  <c r="NQ7" i="16"/>
  <c r="NR7" i="16"/>
  <c r="NS7" i="16"/>
  <c r="NT7" i="16"/>
  <c r="NU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AR6" i="17" l="1"/>
  <c r="BS5" i="17"/>
  <c r="BS6" i="16"/>
  <c r="LV7" i="16"/>
  <c r="BS7" i="16"/>
  <c r="CT5" i="14"/>
  <c r="EV5" i="14"/>
  <c r="BS4" i="14"/>
  <c r="HV5" i="14"/>
  <c r="AR4" i="14"/>
  <c r="DV5" i="14"/>
  <c r="IV5" i="17"/>
  <c r="AR5" i="17"/>
  <c r="GV5" i="17"/>
  <c r="LV5" i="16"/>
  <c r="MV7" i="16"/>
  <c r="KV5" i="16"/>
  <c r="DV5" i="16"/>
  <c r="AR5" i="16"/>
  <c r="EV7" i="16"/>
  <c r="NV5" i="16"/>
  <c r="HV7" i="16"/>
  <c r="M5" i="14"/>
  <c r="N5" i="14" s="1"/>
  <c r="LV5" i="14"/>
  <c r="OV5" i="14"/>
  <c r="BS5" i="14"/>
  <c r="NV5" i="14"/>
  <c r="KV5" i="14"/>
  <c r="GV5" i="14"/>
  <c r="BX5" i="13"/>
  <c r="CA5" i="13" s="1"/>
  <c r="BX4" i="13"/>
  <c r="CA4" i="13" s="1"/>
  <c r="CT5" i="17"/>
  <c r="PS5" i="14"/>
  <c r="MV5" i="14"/>
  <c r="JV5" i="14"/>
  <c r="IV5" i="14"/>
  <c r="FV5" i="14"/>
  <c r="PV5" i="14"/>
  <c r="PT5" i="14"/>
  <c r="PU5" i="14"/>
  <c r="PR5" i="14"/>
  <c r="G5" i="14"/>
  <c r="F5" i="14"/>
  <c r="I5" i="14"/>
  <c r="K5" i="14"/>
  <c r="AR5" i="14"/>
  <c r="JV5" i="17"/>
  <c r="MV5" i="17"/>
  <c r="BS6" i="17"/>
  <c r="EV5" i="17"/>
  <c r="LV5" i="17"/>
  <c r="KV5" i="17"/>
  <c r="HV5" i="17"/>
  <c r="BS4" i="17"/>
  <c r="DV5" i="17"/>
  <c r="IV5" i="16"/>
  <c r="MV5" i="16"/>
  <c r="OV5" i="16"/>
  <c r="AR6" i="16"/>
  <c r="BS4" i="16"/>
  <c r="AR7" i="16"/>
  <c r="JV7" i="16"/>
  <c r="EV5" i="16"/>
  <c r="AR4" i="16"/>
  <c r="HV5" i="16"/>
  <c r="AT4" i="13"/>
  <c r="AW4" i="13" s="1"/>
  <c r="AT6" i="13"/>
  <c r="AW6" i="13" s="1"/>
  <c r="BX6" i="13"/>
  <c r="CA6" i="13" s="1"/>
  <c r="AT5" i="13"/>
  <c r="AW5" i="13" s="1"/>
  <c r="PR5" i="17"/>
  <c r="PU5" i="17"/>
  <c r="CT7" i="16"/>
  <c r="CT5" i="16"/>
  <c r="OV5" i="17"/>
  <c r="NV5" i="17"/>
  <c r="FV5" i="17"/>
  <c r="M5" i="17"/>
  <c r="N5" i="17" s="1"/>
  <c r="PS5" i="17"/>
  <c r="PV5" i="17"/>
  <c r="PT5" i="17"/>
  <c r="F5" i="17"/>
  <c r="G5" i="17"/>
  <c r="I5" i="17"/>
  <c r="K5" i="17"/>
  <c r="PU5" i="16"/>
  <c r="PR5" i="16"/>
  <c r="JV5" i="16"/>
  <c r="GV5" i="16"/>
  <c r="FV5" i="16"/>
  <c r="M5" i="16"/>
  <c r="N5" i="16" s="1"/>
  <c r="PT5" i="16"/>
  <c r="PS5" i="16"/>
  <c r="I5" i="16"/>
  <c r="J5" i="16" s="1"/>
  <c r="PV5" i="16"/>
  <c r="F5" i="16"/>
  <c r="G5" i="16"/>
  <c r="K5" i="16"/>
  <c r="IV7" i="16"/>
  <c r="PU7" i="16"/>
  <c r="PR7" i="16"/>
  <c r="DV7" i="16"/>
  <c r="OV7" i="16"/>
  <c r="NV7" i="16"/>
  <c r="KV7" i="16"/>
  <c r="GV7" i="16"/>
  <c r="FV7" i="16"/>
  <c r="M7" i="16"/>
  <c r="N7" i="16" s="1"/>
  <c r="PS7" i="16"/>
  <c r="PT7" i="16"/>
  <c r="G7" i="16"/>
  <c r="PV7" i="16"/>
  <c r="F7" i="16"/>
  <c r="I7" i="16"/>
  <c r="K7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L4" i="4" s="1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6" i="16"/>
  <c r="CP6" i="16"/>
  <c r="CQ6" i="16"/>
  <c r="CR6" i="16"/>
  <c r="CS6" i="16"/>
  <c r="DQ6" i="16"/>
  <c r="DR6" i="16"/>
  <c r="DS6" i="16"/>
  <c r="DT6" i="16"/>
  <c r="DU6" i="16"/>
  <c r="EQ6" i="16"/>
  <c r="ER6" i="16"/>
  <c r="ES6" i="16"/>
  <c r="ET6" i="16"/>
  <c r="EU6" i="16"/>
  <c r="FQ6" i="16"/>
  <c r="FR6" i="16"/>
  <c r="FS6" i="16"/>
  <c r="FT6" i="16"/>
  <c r="FU6" i="16"/>
  <c r="GQ6" i="16"/>
  <c r="GR6" i="16"/>
  <c r="GS6" i="16"/>
  <c r="GT6" i="16"/>
  <c r="GU6" i="16"/>
  <c r="HQ6" i="16"/>
  <c r="HR6" i="16"/>
  <c r="HS6" i="16"/>
  <c r="HT6" i="16"/>
  <c r="HU6" i="16"/>
  <c r="IQ6" i="16"/>
  <c r="IR6" i="16"/>
  <c r="IS6" i="16"/>
  <c r="IT6" i="16"/>
  <c r="IU6" i="16"/>
  <c r="JQ6" i="16"/>
  <c r="JR6" i="16"/>
  <c r="JS6" i="16"/>
  <c r="JT6" i="16"/>
  <c r="JU6" i="16"/>
  <c r="KQ6" i="16"/>
  <c r="KR6" i="16"/>
  <c r="KS6" i="16"/>
  <c r="KT6" i="16"/>
  <c r="KU6" i="16"/>
  <c r="LQ6" i="16"/>
  <c r="LR6" i="16"/>
  <c r="LS6" i="16"/>
  <c r="LT6" i="16"/>
  <c r="LU6" i="16"/>
  <c r="MQ6" i="16"/>
  <c r="MR6" i="16"/>
  <c r="MS6" i="16"/>
  <c r="MT6" i="16"/>
  <c r="MU6" i="16"/>
  <c r="NQ6" i="16"/>
  <c r="NR6" i="16"/>
  <c r="NS6" i="16"/>
  <c r="NT6" i="16"/>
  <c r="NU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V5" i="14" l="1"/>
  <c r="EX4" i="4"/>
  <c r="FA4" i="4" s="1"/>
  <c r="PW5" i="14"/>
  <c r="A5" i="14"/>
  <c r="H5" i="14"/>
  <c r="J5" i="14"/>
  <c r="L5" i="14"/>
  <c r="CU5" i="14"/>
  <c r="O5" i="14" s="1"/>
  <c r="CV5" i="17"/>
  <c r="CV7" i="16"/>
  <c r="H5" i="17"/>
  <c r="PW5" i="17"/>
  <c r="L5" i="17"/>
  <c r="CU5" i="17"/>
  <c r="J5" i="17"/>
  <c r="CV5" i="16"/>
  <c r="H5" i="16"/>
  <c r="PW5" i="16"/>
  <c r="L5" i="16"/>
  <c r="CU5" i="16"/>
  <c r="PW7" i="16"/>
  <c r="H7" i="16"/>
  <c r="L7" i="16"/>
  <c r="CU7" i="16"/>
  <c r="J7" i="16"/>
  <c r="GV6" i="16"/>
  <c r="DB4" i="4"/>
  <c r="JD4" i="4"/>
  <c r="JG4" i="4" s="1"/>
  <c r="DE4" i="4"/>
  <c r="OP4" i="4"/>
  <c r="LR4" i="4"/>
  <c r="LU4" i="4" s="1"/>
  <c r="NJ4" i="4"/>
  <c r="NM4" i="4" s="1"/>
  <c r="HO4" i="4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LV6" i="16"/>
  <c r="DV6" i="16"/>
  <c r="CT6" i="16"/>
  <c r="MV6" i="16"/>
  <c r="EV6" i="16"/>
  <c r="IV6" i="16"/>
  <c r="JV6" i="16"/>
  <c r="HV6" i="16"/>
  <c r="FV6" i="16"/>
  <c r="PU6" i="16"/>
  <c r="PR6" i="16"/>
  <c r="OV6" i="16"/>
  <c r="NV6" i="16"/>
  <c r="KV6" i="16"/>
  <c r="PT6" i="16"/>
  <c r="M6" i="16"/>
  <c r="CV6" i="16" s="1"/>
  <c r="PS6" i="16"/>
  <c r="PV6" i="16"/>
  <c r="G6" i="16"/>
  <c r="F6" i="16"/>
  <c r="I6" i="16"/>
  <c r="K6" i="16"/>
  <c r="CU6" i="16" s="1"/>
  <c r="O5" i="17" l="1"/>
  <c r="O7" i="16"/>
  <c r="Q7" i="16" s="1"/>
  <c r="E5" i="14"/>
  <c r="P5" i="14"/>
  <c r="Q5" i="14"/>
  <c r="E5" i="17"/>
  <c r="P5" i="17"/>
  <c r="Q5" i="17"/>
  <c r="O5" i="16"/>
  <c r="E5" i="16" s="1"/>
  <c r="E7" i="16"/>
  <c r="P7" i="16"/>
  <c r="F4" i="4"/>
  <c r="I4" i="4"/>
  <c r="DH4" i="4" s="1"/>
  <c r="G4" i="4"/>
  <c r="H4" i="4" s="1"/>
  <c r="ON4" i="4"/>
  <c r="OQ4" i="4" s="1"/>
  <c r="P4" i="4"/>
  <c r="H6" i="16"/>
  <c r="N6" i="16"/>
  <c r="PW6" i="16"/>
  <c r="L6" i="16"/>
  <c r="O6" i="16"/>
  <c r="J6" i="16"/>
  <c r="Q5" i="16" l="1"/>
  <c r="P5" i="16"/>
  <c r="M4" i="4"/>
  <c r="DG4" i="4" s="1"/>
  <c r="J4" i="4"/>
  <c r="K4" i="4"/>
  <c r="DF4" i="4" s="1"/>
  <c r="A4" i="4" a="1"/>
  <c r="A4" i="4" s="1"/>
  <c r="E6" i="16"/>
  <c r="P6" i="16"/>
  <c r="Q6" i="16"/>
  <c r="L4" i="4" l="1"/>
  <c r="Q4" i="4"/>
  <c r="N4" i="4"/>
  <c r="CW5" i="13"/>
  <c r="CX5" i="13"/>
  <c r="CY5" i="13"/>
  <c r="CZ5" i="13"/>
  <c r="DA5" i="13"/>
  <c r="DC5" i="13"/>
  <c r="DD5" i="13"/>
  <c r="DY5" i="13"/>
  <c r="DZ5" i="13"/>
  <c r="EA5" i="13"/>
  <c r="EC5" i="13"/>
  <c r="ED5" i="13"/>
  <c r="EU5" i="13"/>
  <c r="EV5" i="13"/>
  <c r="EW5" i="13"/>
  <c r="EY5" i="13"/>
  <c r="EZ5" i="13"/>
  <c r="FQ5" i="13"/>
  <c r="FR5" i="13"/>
  <c r="FS5" i="13"/>
  <c r="FU5" i="13"/>
  <c r="FV5" i="13"/>
  <c r="GM5" i="13"/>
  <c r="GN5" i="13"/>
  <c r="GO5" i="13"/>
  <c r="GQ5" i="13"/>
  <c r="GR5" i="13"/>
  <c r="HI5" i="13"/>
  <c r="HJ5" i="13"/>
  <c r="HK5" i="13"/>
  <c r="HM5" i="13"/>
  <c r="HN5" i="13"/>
  <c r="IE5" i="13"/>
  <c r="IF5" i="13"/>
  <c r="IG5" i="13"/>
  <c r="II5" i="13"/>
  <c r="IJ5" i="13"/>
  <c r="JA5" i="13"/>
  <c r="JB5" i="13"/>
  <c r="JC5" i="13"/>
  <c r="JE5" i="13"/>
  <c r="JF5" i="13"/>
  <c r="JW5" i="13"/>
  <c r="JX5" i="13"/>
  <c r="JY5" i="13"/>
  <c r="KA5" i="13"/>
  <c r="KB5" i="13"/>
  <c r="KS5" i="13"/>
  <c r="KT5" i="13"/>
  <c r="KU5" i="13"/>
  <c r="KW5" i="13"/>
  <c r="KX5" i="13"/>
  <c r="LO5" i="13"/>
  <c r="LP5" i="13"/>
  <c r="LQ5" i="13"/>
  <c r="LS5" i="13"/>
  <c r="LT5" i="13"/>
  <c r="MK5" i="13"/>
  <c r="ML5" i="13"/>
  <c r="MM5" i="13"/>
  <c r="MO5" i="13"/>
  <c r="MP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4" i="13"/>
  <c r="CX4" i="13"/>
  <c r="CY4" i="13"/>
  <c r="CZ4" i="13"/>
  <c r="DA4" i="13"/>
  <c r="DC4" i="13"/>
  <c r="DD4" i="13"/>
  <c r="DY4" i="13"/>
  <c r="DZ4" i="13"/>
  <c r="EA4" i="13"/>
  <c r="EC4" i="13"/>
  <c r="ED4" i="13"/>
  <c r="EU4" i="13"/>
  <c r="EV4" i="13"/>
  <c r="EW4" i="13"/>
  <c r="EY4" i="13"/>
  <c r="EZ4" i="13"/>
  <c r="FQ4" i="13"/>
  <c r="FR4" i="13"/>
  <c r="FS4" i="13"/>
  <c r="FU4" i="13"/>
  <c r="FV4" i="13"/>
  <c r="GM4" i="13"/>
  <c r="GN4" i="13"/>
  <c r="GO4" i="13"/>
  <c r="GQ4" i="13"/>
  <c r="GR4" i="13"/>
  <c r="HI4" i="13"/>
  <c r="HJ4" i="13"/>
  <c r="HK4" i="13"/>
  <c r="HM4" i="13"/>
  <c r="HN4" i="13"/>
  <c r="IE4" i="13"/>
  <c r="IF4" i="13"/>
  <c r="IG4" i="13"/>
  <c r="II4" i="13"/>
  <c r="IJ4" i="13"/>
  <c r="JA4" i="13"/>
  <c r="JB4" i="13"/>
  <c r="JC4" i="13"/>
  <c r="JE4" i="13"/>
  <c r="JF4" i="13"/>
  <c r="JW4" i="13"/>
  <c r="JX4" i="13"/>
  <c r="JY4" i="13"/>
  <c r="KA4" i="13"/>
  <c r="KB4" i="13"/>
  <c r="KS4" i="13"/>
  <c r="KT4" i="13"/>
  <c r="KU4" i="13"/>
  <c r="KW4" i="13"/>
  <c r="KX4" i="13"/>
  <c r="LO4" i="13"/>
  <c r="LP4" i="13"/>
  <c r="LQ4" i="13"/>
  <c r="LS4" i="13"/>
  <c r="LT4" i="13"/>
  <c r="MK4" i="13"/>
  <c r="ML4" i="13"/>
  <c r="MM4" i="13"/>
  <c r="MO4" i="13"/>
  <c r="MP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EV14" i="17"/>
  <c r="EV10" i="17"/>
  <c r="DV14" i="17"/>
  <c r="DV10" i="17"/>
  <c r="EV15" i="16"/>
  <c r="EV11" i="16"/>
  <c r="DV15" i="16"/>
  <c r="DV11" i="16"/>
  <c r="E4" i="4" l="1"/>
  <c r="JD5" i="13"/>
  <c r="JG5" i="13" s="1"/>
  <c r="HL5" i="13"/>
  <c r="HO5" i="13" s="1"/>
  <c r="JZ5" i="13"/>
  <c r="KC5" i="13" s="1"/>
  <c r="HL4" i="13"/>
  <c r="HO4" i="13" s="1"/>
  <c r="R4" i="4"/>
  <c r="S4" i="4"/>
  <c r="LR4" i="13"/>
  <c r="LU4" i="13" s="1"/>
  <c r="OM5" i="13"/>
  <c r="IH5" i="13"/>
  <c r="IK5" i="13" s="1"/>
  <c r="LR5" i="13"/>
  <c r="LU5" i="13" s="1"/>
  <c r="EX4" i="13"/>
  <c r="FA4" i="13" s="1"/>
  <c r="FT4" i="13"/>
  <c r="FW4" i="13" s="1"/>
  <c r="KV5" i="13"/>
  <c r="KY5" i="13" s="1"/>
  <c r="NJ5" i="13"/>
  <c r="NM5" i="13" s="1"/>
  <c r="O5" i="13"/>
  <c r="DI5" i="13" s="1"/>
  <c r="MN5" i="13"/>
  <c r="MQ5" i="13" s="1"/>
  <c r="GP5" i="13"/>
  <c r="GS5" i="13" s="1"/>
  <c r="FT5" i="13"/>
  <c r="FW5" i="13" s="1"/>
  <c r="EX5" i="13"/>
  <c r="FA5" i="13" s="1"/>
  <c r="EB5" i="13"/>
  <c r="EE5" i="13" s="1"/>
  <c r="DB5" i="13"/>
  <c r="DE5" i="13" s="1"/>
  <c r="OK5" i="13"/>
  <c r="OI5" i="13"/>
  <c r="DB4" i="13"/>
  <c r="DE4" i="13" s="1"/>
  <c r="O4" i="13"/>
  <c r="OM4" i="13"/>
  <c r="JD4" i="13"/>
  <c r="JG4" i="13" s="1"/>
  <c r="NJ4" i="13"/>
  <c r="NM4" i="13" s="1"/>
  <c r="KV4" i="13"/>
  <c r="KY4" i="13" s="1"/>
  <c r="MN4" i="13"/>
  <c r="MQ4" i="13" s="1"/>
  <c r="JZ4" i="13"/>
  <c r="KC4" i="13" s="1"/>
  <c r="IH4" i="13"/>
  <c r="IK4" i="13" s="1"/>
  <c r="GP4" i="13"/>
  <c r="GS4" i="13" s="1"/>
  <c r="EB4" i="13"/>
  <c r="EE4" i="13" s="1"/>
  <c r="OP5" i="13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NU6" i="17"/>
  <c r="NT6" i="17"/>
  <c r="NS6" i="17"/>
  <c r="NR6" i="17"/>
  <c r="NQ6" i="17"/>
  <c r="MU6" i="17"/>
  <c r="MT6" i="17"/>
  <c r="MS6" i="17"/>
  <c r="MR6" i="17"/>
  <c r="MQ6" i="17"/>
  <c r="LU6" i="17"/>
  <c r="LT6" i="17"/>
  <c r="LS6" i="17"/>
  <c r="LR6" i="17"/>
  <c r="LQ6" i="17"/>
  <c r="KU6" i="17"/>
  <c r="KT6" i="17"/>
  <c r="KS6" i="17"/>
  <c r="KR6" i="17"/>
  <c r="KQ6" i="17"/>
  <c r="JU6" i="17"/>
  <c r="JT6" i="17"/>
  <c r="JS6" i="17"/>
  <c r="JR6" i="17"/>
  <c r="JQ6" i="17"/>
  <c r="IU6" i="17"/>
  <c r="IT6" i="17"/>
  <c r="IS6" i="17"/>
  <c r="IR6" i="17"/>
  <c r="IQ6" i="17"/>
  <c r="HU6" i="17"/>
  <c r="HT6" i="17"/>
  <c r="HS6" i="17"/>
  <c r="HR6" i="17"/>
  <c r="HQ6" i="17"/>
  <c r="GU6" i="17"/>
  <c r="GT6" i="17"/>
  <c r="GS6" i="17"/>
  <c r="GR6" i="17"/>
  <c r="GQ6" i="17"/>
  <c r="FU6" i="17"/>
  <c r="FT6" i="17"/>
  <c r="FS6" i="17"/>
  <c r="FR6" i="17"/>
  <c r="FQ6" i="17"/>
  <c r="EU6" i="17"/>
  <c r="ET6" i="17"/>
  <c r="ES6" i="17"/>
  <c r="ER6" i="17"/>
  <c r="EQ6" i="17"/>
  <c r="DU6" i="17"/>
  <c r="DT6" i="17"/>
  <c r="DS6" i="17"/>
  <c r="DR6" i="17"/>
  <c r="DQ6" i="17"/>
  <c r="CS6" i="17"/>
  <c r="CR6" i="17"/>
  <c r="CQ6" i="17"/>
  <c r="CP6" i="17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NU4" i="17"/>
  <c r="NT4" i="17"/>
  <c r="NS4" i="17"/>
  <c r="NR4" i="17"/>
  <c r="NQ4" i="17"/>
  <c r="MU4" i="17"/>
  <c r="MT4" i="17"/>
  <c r="MS4" i="17"/>
  <c r="MR4" i="17"/>
  <c r="MQ4" i="17"/>
  <c r="LU4" i="17"/>
  <c r="LT4" i="17"/>
  <c r="LS4" i="17"/>
  <c r="LR4" i="17"/>
  <c r="LQ4" i="17"/>
  <c r="KU4" i="17"/>
  <c r="KT4" i="17"/>
  <c r="KS4" i="17"/>
  <c r="KR4" i="17"/>
  <c r="KQ4" i="17"/>
  <c r="JU4" i="17"/>
  <c r="JT4" i="17"/>
  <c r="JS4" i="17"/>
  <c r="JR4" i="17"/>
  <c r="JQ4" i="17"/>
  <c r="IU4" i="17"/>
  <c r="IT4" i="17"/>
  <c r="IS4" i="17"/>
  <c r="IR4" i="17"/>
  <c r="IQ4" i="17"/>
  <c r="HU4" i="17"/>
  <c r="HT4" i="17"/>
  <c r="HS4" i="17"/>
  <c r="HR4" i="17"/>
  <c r="HQ4" i="17"/>
  <c r="GU4" i="17"/>
  <c r="GT4" i="17"/>
  <c r="GS4" i="17"/>
  <c r="GR4" i="17"/>
  <c r="GQ4" i="17"/>
  <c r="FU4" i="17"/>
  <c r="FT4" i="17"/>
  <c r="FS4" i="17"/>
  <c r="FR4" i="17"/>
  <c r="FQ4" i="17"/>
  <c r="EU4" i="17"/>
  <c r="ET4" i="17"/>
  <c r="ES4" i="17"/>
  <c r="ER4" i="17"/>
  <c r="EQ4" i="17"/>
  <c r="DU4" i="17"/>
  <c r="DT4" i="17"/>
  <c r="DS4" i="17"/>
  <c r="DR4" i="17"/>
  <c r="DQ4" i="17"/>
  <c r="CS4" i="17"/>
  <c r="CR4" i="17"/>
  <c r="CQ4" i="17"/>
  <c r="CP4" i="17"/>
  <c r="CO4" i="17"/>
  <c r="CT15" i="16"/>
  <c r="CT11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NU4" i="16"/>
  <c r="NT4" i="16"/>
  <c r="NS4" i="16"/>
  <c r="NR4" i="16"/>
  <c r="NQ4" i="16"/>
  <c r="MU4" i="16"/>
  <c r="MT4" i="16"/>
  <c r="MS4" i="16"/>
  <c r="MR4" i="16"/>
  <c r="MQ4" i="16"/>
  <c r="LU4" i="16"/>
  <c r="LT4" i="16"/>
  <c r="LS4" i="16"/>
  <c r="LR4" i="16"/>
  <c r="LQ4" i="16"/>
  <c r="KU4" i="16"/>
  <c r="KT4" i="16"/>
  <c r="KS4" i="16"/>
  <c r="KR4" i="16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Q4" i="16"/>
  <c r="GU4" i="16"/>
  <c r="GT4" i="16"/>
  <c r="GS4" i="16"/>
  <c r="GR4" i="16"/>
  <c r="GQ4" i="16"/>
  <c r="FU4" i="16"/>
  <c r="FT4" i="16"/>
  <c r="FS4" i="16"/>
  <c r="FR4" i="16"/>
  <c r="FQ4" i="16"/>
  <c r="EU4" i="16"/>
  <c r="ET4" i="16"/>
  <c r="ES4" i="16"/>
  <c r="ER4" i="16"/>
  <c r="EQ4" i="16"/>
  <c r="DU4" i="16"/>
  <c r="DT4" i="16"/>
  <c r="DS4" i="16"/>
  <c r="DR4" i="16"/>
  <c r="DQ4" i="16"/>
  <c r="CS4" i="16"/>
  <c r="CR4" i="16"/>
  <c r="CQ4" i="16"/>
  <c r="CP4" i="16"/>
  <c r="CO4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CT13" i="14"/>
  <c r="CT9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Q4" i="14"/>
  <c r="IU4" i="14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IV4" i="14" l="1"/>
  <c r="JV4" i="14"/>
  <c r="P4" i="13"/>
  <c r="DI4" i="13"/>
  <c r="HV4" i="15"/>
  <c r="EV4" i="16"/>
  <c r="MV4" i="16"/>
  <c r="GV4" i="16"/>
  <c r="DV4" i="16"/>
  <c r="FV4" i="16"/>
  <c r="KV4" i="15"/>
  <c r="OV4" i="16"/>
  <c r="KV4" i="16"/>
  <c r="HV4" i="16"/>
  <c r="P5" i="13"/>
  <c r="I5" i="13"/>
  <c r="ON5" i="13"/>
  <c r="F5" i="13"/>
  <c r="G5" i="13"/>
  <c r="H5" i="13" s="1"/>
  <c r="I4" i="13"/>
  <c r="DH4" i="13" s="1"/>
  <c r="F4" i="13"/>
  <c r="G4" i="13"/>
  <c r="H4" i="13" s="1"/>
  <c r="ON4" i="13"/>
  <c r="NV4" i="17"/>
  <c r="KV6" i="17"/>
  <c r="PU6" i="17"/>
  <c r="DV4" i="17"/>
  <c r="LV4" i="17"/>
  <c r="IV6" i="17"/>
  <c r="GV4" i="17"/>
  <c r="OV4" i="17"/>
  <c r="DV6" i="17"/>
  <c r="LV6" i="17"/>
  <c r="MV4" i="17"/>
  <c r="EV6" i="17"/>
  <c r="FV6" i="17"/>
  <c r="MV6" i="17"/>
  <c r="NV6" i="17"/>
  <c r="G4" i="16"/>
  <c r="NV4" i="16"/>
  <c r="I4" i="16"/>
  <c r="J4" i="16" s="1"/>
  <c r="PS4" i="16"/>
  <c r="PT4" i="16"/>
  <c r="IV4" i="16"/>
  <c r="JV4" i="16"/>
  <c r="LV4" i="16"/>
  <c r="M4" i="16"/>
  <c r="CV4" i="16" s="1"/>
  <c r="K4" i="16"/>
  <c r="CU4" i="16" s="1"/>
  <c r="HV4" i="14"/>
  <c r="KV4" i="14"/>
  <c r="FV4" i="14"/>
  <c r="IV4" i="15"/>
  <c r="EV4" i="17"/>
  <c r="IV4" i="17"/>
  <c r="JV4" i="17"/>
  <c r="JV6" i="17"/>
  <c r="GV6" i="17"/>
  <c r="OV6" i="17"/>
  <c r="HV4" i="17"/>
  <c r="KV4" i="17"/>
  <c r="M4" i="17"/>
  <c r="CV4" i="17" s="1"/>
  <c r="FV4" i="17"/>
  <c r="HV6" i="17"/>
  <c r="JV4" i="15"/>
  <c r="NV4" i="15"/>
  <c r="FV4" i="15"/>
  <c r="GV4" i="15"/>
  <c r="DV4" i="15"/>
  <c r="PT6" i="17"/>
  <c r="CT6" i="17"/>
  <c r="G4" i="17"/>
  <c r="PT4" i="17"/>
  <c r="PR6" i="17"/>
  <c r="PR4" i="17"/>
  <c r="PS6" i="17"/>
  <c r="K6" i="17"/>
  <c r="CU6" i="17" s="1"/>
  <c r="PV4" i="17"/>
  <c r="I6" i="17"/>
  <c r="J6" i="17" s="1"/>
  <c r="PV6" i="17"/>
  <c r="CT4" i="17"/>
  <c r="PU4" i="17"/>
  <c r="PS4" i="17"/>
  <c r="I4" i="17"/>
  <c r="F6" i="17"/>
  <c r="K4" i="17"/>
  <c r="CU4" i="17" s="1"/>
  <c r="G6" i="17"/>
  <c r="M6" i="17"/>
  <c r="CV6" i="17" s="1"/>
  <c r="F4" i="17"/>
  <c r="PV4" i="16"/>
  <c r="PR4" i="16"/>
  <c r="PU4" i="16"/>
  <c r="CT4" i="16"/>
  <c r="F4" i="16"/>
  <c r="PR4" i="15"/>
  <c r="F4" i="15"/>
  <c r="G4" i="15"/>
  <c r="EV4" i="15"/>
  <c r="PS4" i="15"/>
  <c r="PT4" i="15"/>
  <c r="LV4" i="15"/>
  <c r="MV4" i="15"/>
  <c r="OV4" i="15"/>
  <c r="PV4" i="15"/>
  <c r="M4" i="15"/>
  <c r="CV4" i="15" s="1"/>
  <c r="PU4" i="15"/>
  <c r="I4" i="15"/>
  <c r="K4" i="15"/>
  <c r="CU4" i="15" s="1"/>
  <c r="CT4" i="15"/>
  <c r="CT4" i="14"/>
  <c r="M4" i="14"/>
  <c r="CV4" i="14" s="1"/>
  <c r="PT4" i="14"/>
  <c r="PR4" i="14"/>
  <c r="NV4" i="14"/>
  <c r="PS4" i="14"/>
  <c r="K4" i="14"/>
  <c r="CU4" i="14" s="1"/>
  <c r="DV4" i="14"/>
  <c r="EV4" i="14"/>
  <c r="GV4" i="14"/>
  <c r="G4" i="14"/>
  <c r="OV4" i="14"/>
  <c r="PV4" i="14"/>
  <c r="LV4" i="14"/>
  <c r="MV4" i="14"/>
  <c r="PU4" i="14"/>
  <c r="F4" i="14"/>
  <c r="I4" i="14"/>
  <c r="K5" i="13" l="1"/>
  <c r="DF5" i="13" s="1"/>
  <c r="DH5" i="13"/>
  <c r="OQ5" i="13"/>
  <c r="O4" i="16"/>
  <c r="Q4" i="16" s="1"/>
  <c r="N4" i="16"/>
  <c r="J5" i="13"/>
  <c r="L5" i="13" s="1"/>
  <c r="M5" i="13"/>
  <c r="DG5" i="13" s="1"/>
  <c r="J4" i="13"/>
  <c r="M4" i="13"/>
  <c r="DG4" i="13" s="1"/>
  <c r="K4" i="13"/>
  <c r="DF4" i="13" s="1"/>
  <c r="A5" i="13" a="1"/>
  <c r="A5" i="13" s="1"/>
  <c r="L4" i="16"/>
  <c r="N4" i="14"/>
  <c r="L4" i="14"/>
  <c r="H4" i="14"/>
  <c r="N4" i="17"/>
  <c r="H4" i="15"/>
  <c r="H6" i="17"/>
  <c r="H4" i="17"/>
  <c r="PW4" i="16"/>
  <c r="H4" i="16"/>
  <c r="L6" i="17"/>
  <c r="PW4" i="17"/>
  <c r="PW6" i="17"/>
  <c r="J4" i="17"/>
  <c r="N6" i="17"/>
  <c r="O6" i="17"/>
  <c r="L4" i="17"/>
  <c r="N4" i="15"/>
  <c r="PW4" i="15"/>
  <c r="J4" i="15"/>
  <c r="O4" i="15"/>
  <c r="L4" i="15"/>
  <c r="PW4" i="14"/>
  <c r="J4" i="14"/>
  <c r="L4" i="13" l="1"/>
  <c r="P4" i="16"/>
  <c r="E4" i="16"/>
  <c r="N5" i="13"/>
  <c r="N4" i="13"/>
  <c r="Q5" i="13"/>
  <c r="Q4" i="13"/>
  <c r="O4" i="17"/>
  <c r="E4" i="17" s="1"/>
  <c r="A5" i="17" s="1"/>
  <c r="O4" i="14"/>
  <c r="E4" i="14" s="1"/>
  <c r="A4" i="14" s="1"/>
  <c r="Q6" i="17"/>
  <c r="P6" i="17"/>
  <c r="E6" i="17"/>
  <c r="E4" i="15"/>
  <c r="P4" i="15"/>
  <c r="Q4" i="15"/>
  <c r="A5" i="16" l="1"/>
  <c r="A7" i="16"/>
  <c r="A4" i="16"/>
  <c r="A6" i="16"/>
  <c r="A4" i="15"/>
  <c r="E5" i="13"/>
  <c r="E4" i="13"/>
  <c r="R5" i="13"/>
  <c r="S5" i="13"/>
  <c r="R4" i="13"/>
  <c r="S4" i="13"/>
  <c r="A4" i="17"/>
  <c r="Q4" i="17"/>
  <c r="P4" i="17"/>
  <c r="A6" i="17"/>
  <c r="Q4" i="14"/>
  <c r="P4" i="14"/>
  <c r="D12" i="11"/>
  <c r="C10" i="11"/>
  <c r="D13" i="11"/>
  <c r="C11" i="11"/>
  <c r="C13" i="11"/>
  <c r="D10" i="11"/>
  <c r="C12" i="11"/>
  <c r="D11" i="11"/>
  <c r="C14" i="11" l="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6" i="13"/>
  <c r="CX6" i="13"/>
  <c r="CY6" i="13"/>
  <c r="CZ6" i="13"/>
  <c r="DA6" i="13"/>
  <c r="DC6" i="13"/>
  <c r="DD6" i="13"/>
  <c r="DY6" i="13"/>
  <c r="DZ6" i="13"/>
  <c r="EA6" i="13"/>
  <c r="EC6" i="13"/>
  <c r="ED6" i="13"/>
  <c r="EU6" i="13"/>
  <c r="EV6" i="13"/>
  <c r="EW6" i="13"/>
  <c r="EY6" i="13"/>
  <c r="EZ6" i="13"/>
  <c r="FQ6" i="13"/>
  <c r="FR6" i="13"/>
  <c r="FS6" i="13"/>
  <c r="FU6" i="13"/>
  <c r="FV6" i="13"/>
  <c r="GM6" i="13"/>
  <c r="GN6" i="13"/>
  <c r="GO6" i="13"/>
  <c r="GQ6" i="13"/>
  <c r="GR6" i="13"/>
  <c r="HI6" i="13"/>
  <c r="HJ6" i="13"/>
  <c r="HK6" i="13"/>
  <c r="HM6" i="13"/>
  <c r="HN6" i="13"/>
  <c r="IE6" i="13"/>
  <c r="IF6" i="13"/>
  <c r="IG6" i="13"/>
  <c r="II6" i="13"/>
  <c r="IJ6" i="13"/>
  <c r="JA6" i="13"/>
  <c r="JB6" i="13"/>
  <c r="JC6" i="13"/>
  <c r="JE6" i="13"/>
  <c r="JF6" i="13"/>
  <c r="JW6" i="13"/>
  <c r="JX6" i="13"/>
  <c r="JY6" i="13"/>
  <c r="KA6" i="13"/>
  <c r="KB6" i="13"/>
  <c r="KS6" i="13"/>
  <c r="KT6" i="13"/>
  <c r="KU6" i="13"/>
  <c r="KW6" i="13"/>
  <c r="KX6" i="13"/>
  <c r="LO6" i="13"/>
  <c r="LP6" i="13"/>
  <c r="LQ6" i="13"/>
  <c r="LS6" i="13"/>
  <c r="LT6" i="13"/>
  <c r="MK6" i="13"/>
  <c r="ML6" i="13"/>
  <c r="MM6" i="13"/>
  <c r="MO6" i="13"/>
  <c r="MP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OP6" i="13" l="1"/>
  <c r="EX6" i="13"/>
  <c r="FA6" i="13" s="1"/>
  <c r="MN6" i="13"/>
  <c r="MQ6" i="13" s="1"/>
  <c r="KV6" i="13"/>
  <c r="KY6" i="13" s="1"/>
  <c r="OP4" i="13"/>
  <c r="JZ6" i="13"/>
  <c r="KC6" i="13" s="1"/>
  <c r="GP6" i="13"/>
  <c r="GS6" i="13" s="1"/>
  <c r="JD6" i="13"/>
  <c r="JG6" i="13" s="1"/>
  <c r="DB6" i="13"/>
  <c r="DE6" i="13" s="1"/>
  <c r="IH6" i="13"/>
  <c r="IK6" i="13" s="1"/>
  <c r="FT6" i="13"/>
  <c r="FW6" i="13" s="1"/>
  <c r="LR6" i="13"/>
  <c r="LU6" i="13" s="1"/>
  <c r="EB6" i="13"/>
  <c r="EE6" i="13" s="1"/>
  <c r="OM6" i="13"/>
  <c r="NJ6" i="13"/>
  <c r="NM6" i="13" s="1"/>
  <c r="HL6" i="13"/>
  <c r="HO6" i="13" s="1"/>
  <c r="OI6" i="13"/>
  <c r="OK6" i="13"/>
  <c r="O6" i="13"/>
  <c r="DI6" i="13" s="1"/>
  <c r="F6" i="13" l="1"/>
  <c r="G6" i="13"/>
  <c r="H6" i="13"/>
  <c r="I6" i="13"/>
  <c r="DH6" i="13" s="1"/>
  <c r="ON6" i="13"/>
  <c r="OQ6" i="13" s="1"/>
  <c r="P6" i="13"/>
  <c r="J6" i="13" l="1"/>
  <c r="A6" i="13" a="1"/>
  <c r="A6" i="13" s="1"/>
  <c r="OQ4" i="13"/>
  <c r="M6" i="13"/>
  <c r="DG6" i="13" s="1"/>
  <c r="K6" i="13"/>
  <c r="DF6" i="13" s="1"/>
  <c r="L6" i="13" l="1"/>
  <c r="Q6" i="13"/>
  <c r="N6" i="13"/>
  <c r="R6" i="13" l="1"/>
  <c r="S6" i="13"/>
  <c r="E6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<sst xmlns="http://schemas.openxmlformats.org/spreadsheetml/2006/main" count="3160" uniqueCount="99">
  <si>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</si>
  <si>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</si>
  <si>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</si>
  <si>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</si>
  <si>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</si>
  <si>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</si>
  <si>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</si>
  <si>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</si>
  <si>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</si>
  <si>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</si>
  <si>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</si>
  <si>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</si>
  <si>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</si>
  <si>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</si>
  <si>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</si>
  <si>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</si>
  <si>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</si>
  <si>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</si>
  <si>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</si>
  <si>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</si>
  <si>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</si>
  <si>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</si>
  <si>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</si>
  <si>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</si>
  <si>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</si>
  <si>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</si>
  <si>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</si>
  <si>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</si>
  <si>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</si>
  <si>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</si>
  <si>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</si>
  <si>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</si>
  <si>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</si>
  <si>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</si>
  <si>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</si>
  <si>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</si>
  <si>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</si>
  <si>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</si>
  <si>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</si>
  <si>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</si>
  <si>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</si>
  <si>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</si>
  <si>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</si>
  <si>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</si>
  <si>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</si>
  <si>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</si>
  <si>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</si>
  <si>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</si>
  <si>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</si>
  <si>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</si>
  <si>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</si>
  <si>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</si>
  <si>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</si>
  <si>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</si>
  <si>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</si>
  <si>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</si>
  <si>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</si>
  <si>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</si>
  <si>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</si>
  <si>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</si>
  <si>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</si>
  <si>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</si>
  <si>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</si>
  <si>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</si>
  <si>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</si>
  <si>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</si>
  <si>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</si>
  <si>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</si>
  <si>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</si>
  <si>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</si>
  <si>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</si>
  <si>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</si>
  <si>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</si>
  <si>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</si>
  <si>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</si>
  <si>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</si>
  <si>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</si>
  <si>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</si>
  <si>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</si>
  <si>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2022 Coimbra Gym Fest (June 26)</t>
  </si>
  <si>
    <t>2022 Nationals</t>
  </si>
  <si>
    <t>LEE-MCMEEKEN, Brooklyn</t>
  </si>
  <si>
    <t>HARBO, Owen</t>
  </si>
  <si>
    <t>CYMAN, Cody</t>
  </si>
  <si>
    <t>CORRIVEAU, Mélina</t>
  </si>
  <si>
    <t>2022 3rd Domestic Trial</t>
  </si>
  <si>
    <t>2022 WAGC (Nov 24)</t>
  </si>
  <si>
    <t>2022 WAGC (Nov 26)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</si>
  <si>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</si>
  <si>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</si>
  <si>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</si>
  <si>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</si>
  <si>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</si>
  <si>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</si>
  <si>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</si>
  <si>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</si>
  <si>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</si>
  <si>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Pan Am Club Championships</t>
  </si>
  <si>
    <t>2023 Pan Am Championships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</si>
</sst>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6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CORRIVEAU, Mélina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LOISELLE, Hector</v>
      </c>
      <c r="D10" s="16" t="str">
        <f>IF(B2&gt;MAX('TUM-M'!A:A),"",INDEX('TUM-M'!H:H,MATCH(B2,'TUM-M'!A:A,0)))</f>
        <v>National Team</v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LEE-McMEEKEN, Brooklyn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HARBO, Owen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BLOOM, Tristan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CYMAN, Cody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SCOTT, Ethan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45060</v>
      </c>
      <c r="C34" s="68"/>
    </row>
    <row r="35" spans="1:3" x14ac:dyDescent="0.2">
      <c r="B35" t="s">
        <v>97</v>
      </c>
    </row>
    <row r="36" spans="1:3" x14ac:dyDescent="0.2">
      <c r="B36" t="s">
        <v>98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85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93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86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96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95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IF(AND(F4&lt;&gt;"",G4&lt;&gt;""),SUMPRODUCT((F$4:F$5&lt;&gt;"")*(G$4:G$5&lt;&gt;"")*(E$4:E$5&gt;E4))+1,IF(G4&lt;&gt;"",SUMPRODUCT((H$4:H$5="No DD")*(E$4:E$5&gt;E4))+1+SUMPRODUCT((F$4:F$5&lt;&gt;"")*(G$4:G$5&lt;&gt;"")),""))</f>
        <v/>
      </c>
      <c r="B4" s="5" t="s">
        <v>83</v>
      </c>
      <c r="C4" s="4" t="s">
        <v>66</v>
      </c>
      <c r="D4" s="4">
        <v>2007</v>
      </c>
      <c r="E4" s="10">
        <f>SUM(I4:Q4)</f>
        <v>237.45999999999998</v>
      </c>
      <c r="F4" s="3" t="str">
        <f>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P","")</f>
        <v/>
      </c>
      <c r="G4" s="3" t="str">
        <f>IF(OR(AND(AT4&gt;=AW$11,AO4&lt;&gt;"",AN4=""),AND(BX4&gt;=CA$11,BS4&lt;&gt;"",BR4=""),AND(DB4&gt;=DE$11,CW4&lt;&gt;"",CV4=""),AND(EB4&gt;=EE$11,DY4&lt;&gt;""),AND(EX4&gt;=FA$11,EU4&lt;&gt;""),AND(FT4&gt;=FW$11,FQ4&lt;&gt;""),AND(GP4&gt;=GS$11,GM4&lt;&gt;""),AND(HL4&gt;=HO$11,HI4&lt;&gt;""),AND(IH4&gt;=IK$11,IE4&lt;&gt;""),AND(JD4&gt;=JG$11,JA4&lt;&gt;""),AND(JZ4&gt;=KC$11,JW4&lt;&gt;""),AND(KV4&gt;=KY$11,KS4&lt;&gt;""),AND(LR4&gt;=LU$11,LO4&lt;&gt;""),AND(MN4&gt;=MQ$11,MK4&lt;&gt;""),AND(NJ4&gt;=NM$11,NG4&lt;&gt;"")),"P","")</f>
        <v/>
      </c>
      <c r="H4" s="47" t="str">
        <f>IF(OR(AND(AP4&gt;=AW$10,AQ4&gt;=AW$14,AP4&lt;&gt;"",AN4=""),AND(AU4&gt;=AW$10,AV4&gt;=AW$14,AU4&lt;&gt;"",AN4=""),AND(BT4&gt;=CA$10,BU4&gt;=CA$14,BT4&lt;&gt;"",BR4=""),AND(BY4&gt;=CA$10,BZ4&gt;=CA$14,BY4&lt;&gt;"",BR4=""),AND(CX4&gt;=DE$10,CY4&gt;=DE$14,CX4&lt;&gt;"",CV4=""),AND(DC4&gt;=DE$10,DD4&gt;=DE$14,DC4&lt;&gt;"",CV4=""),AND(DY4&gt;=EE$10,EA4&gt;=EE$14,DY4&lt;&gt;""),AND(EC4&gt;=EE$10,ED4&gt;=EE$14,EC4&lt;&gt;""),AND(EU4&gt;=FA$10,EW4&gt;=FA$14,EU4&lt;&gt;""),AND(EY4&gt;=FA$10,EZ4&gt;=FA$14,EY4&lt;&gt;""),AND(FQ4&gt;=FW$10,FS4&gt;=FW$14,FQ4&lt;&gt;""),AND(FU4&gt;=FW$10,FV4&gt;=FW$14,FU4&lt;&gt;""),AND(GM4&gt;=GS$10,GO4&gt;=GS$14,GM4&lt;&gt;""),AND(GQ4&gt;=GS$10,GR4&gt;=GS$14,GQ4&lt;&gt;""),AND(HI4&gt;=HO$10,HK4&gt;=HO$14,HI4&lt;&gt;""),AND(HM4&gt;=HO$10,HN4&gt;=HO$14,HM4&lt;&gt;""),AND(IE4&gt;=IK$10,IG4&gt;=IK$14,IE4&lt;&gt;""),AND(II4&gt;=IK$10,IJ4&gt;=IK$14,II4&lt;&gt;""),AND(JA4&gt;=JG$10,JC4&gt;=JG$14,JA4&lt;&gt;""),AND(JE4&gt;=JG$10,JF4&gt;=JG$14,JE4&lt;&gt;""),AND(JW4&gt;=KC$10,JY4&gt;=KC$14,JW4&lt;&gt;""),AND(KA4&gt;=KC$10,KB4&gt;=KC$14,KA4&lt;&gt;""),AND(KS4&gt;=KY$10,KU4&gt;=KY$14,KS4&lt;&gt;""),AND(KW4&gt;=KY$10,KX4&gt;=KY$14,KW4&lt;&gt;""),AND(LO4&gt;=LU$10,LQ4&gt;=LU$14,LO4&lt;&gt;""),AND(LS4&gt;=LU$10,LT4&gt;=LU$14,LS4&lt;&gt;""),AND(MK4&gt;=MQ$10,MM4&gt;=MQ$14,MK4&lt;&gt;""),AND(MO4&gt;=MQ$10,MP4&gt;=MQ$14,MO4&lt;&gt;""),AND(NG4&gt;=NM$10,NI4&gt;=NM$14,NG4&lt;&gt;""),AND(NK4&gt;=NM$10,NL4&gt;=NM$14,NK4&lt;&gt;"")),"Merit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Excellence",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National Team",IF(G4="P","No DD",""))))</f>
        <v/>
      </c>
      <c r="I4" s="9">
        <f>IF(MAX(AT4,BX4,DB4)&gt;0,MAX(AT4,BX4,DB4),0)</f>
        <v>93.37</v>
      </c>
      <c r="J4" s="9" t="str">
        <f>IF(I4=0,"",IF(I4=DB4,$CB$1,IF(I4=BX4,$AX$1,IF(I4=AT4,$T$1,""))))</f>
        <v>2022 3rd Domestic Trial</v>
      </c>
      <c r="K4" s="9">
        <f>IF($I4=$AT4,MAX(BS4,CW4),IF($I4=$BX4,MAX(AO4,CW4),IF($I4=$DB4,MAX(AO4,BS4),MAX(AO4,BS4,CW4))))</f>
        <v>41.35</v>
      </c>
      <c r="L4" s="9" t="str">
        <f>IF(K4=0,"",IF(AND(K4=CW4,$J4&lt;&gt;$CB$1),$CB$1,IF(AND(K4=BS4,$J4&lt;&gt;$AX$1),$AX$1,IF(AND(K4=AO4,$J4&lt;&gt;$T$1),$T$1,""))))</f>
        <v>2023 Elite Canada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44.290000000000006</v>
      </c>
      <c r="N4" s="9" t="str">
        <f>IF(M4=0,"",IF(AND(OR(M4=DA4,M4=CY4),$J4&lt;&gt;$CB$1),$CB$1,IF(AND(OR(M4=BW4,M4=BU4),$J4&lt;&gt;$AX$1),$AX$1,IF(AND(OR(M4=AS4,M4=AQ4),$J4&lt;&gt;$T$1),$T$1,""))))</f>
        <v>2023 Elite Canada</v>
      </c>
      <c r="O4" s="9">
        <f>MAX(AV4,BZ4,DD4)</f>
        <v>51.57</v>
      </c>
      <c r="P4" s="9" t="str">
        <f>IF(O4=0,"",IF(O4=DD4,$CB$1,IF(O4=BZ4,$AX$1,IF(O4=AV4,$T$1,""))))</f>
        <v>2023 Elite Canada</v>
      </c>
      <c r="Q4" s="9">
        <f>IF(MAX(DF4,DG4,DH4,DI4)&gt;0,MAX(DF4,DG4,DH4,DI4),"")</f>
        <v>6.8799999999999955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Club Championships (May 14)</v>
      </c>
      <c r="T4" s="27">
        <v>16.899999999999999</v>
      </c>
      <c r="U4" s="27">
        <v>0</v>
      </c>
      <c r="V4" s="27">
        <v>0</v>
      </c>
      <c r="W4" s="27">
        <v>0</v>
      </c>
      <c r="X4" s="27">
        <v>0</v>
      </c>
      <c r="Y4" s="27">
        <v>4.4000000000000004</v>
      </c>
      <c r="Z4" s="27">
        <v>2.5</v>
      </c>
      <c r="AA4" s="27">
        <v>4.2</v>
      </c>
      <c r="AB4" s="27">
        <v>4.6900000000000004</v>
      </c>
      <c r="AC4" s="27">
        <v>0</v>
      </c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>
        <f>IF(SUM(T4:W4)-X4&gt;0,SUM(T4:W4)-X4,"")</f>
        <v>16.899999999999999</v>
      </c>
      <c r="AP4" s="7">
        <f>IF(AA4&gt;0,AA4,"")</f>
        <v>4.2</v>
      </c>
      <c r="AQ4" s="7">
        <f>IF(SUM(Y4:AB4)-AC4&gt;0,SUM(Y4:AB4)-AC4,"")</f>
        <v>15.790000000000003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32.69</v>
      </c>
      <c r="AU4" s="7" t="str">
        <f>IF(AK4&gt;0,AK4,"")</f>
        <v/>
      </c>
      <c r="AV4" s="7" t="str">
        <f>IF(SUM(AI4:AL4)-AM4&gt;0,SUM(AI4:AL4)-AM4,"")</f>
        <v/>
      </c>
      <c r="AW4" s="7">
        <f>IF(SUM(AT4,AV4)&gt;0,SUM(AT4,AV4),"")</f>
        <v>32.69</v>
      </c>
      <c r="AX4" s="23">
        <v>16.8</v>
      </c>
      <c r="AY4" s="23">
        <v>9.3000000000000007</v>
      </c>
      <c r="AZ4" s="23">
        <v>0</v>
      </c>
      <c r="BA4" s="23">
        <v>15.73</v>
      </c>
      <c r="BB4" s="23">
        <v>0</v>
      </c>
      <c r="BC4" s="23">
        <v>15</v>
      </c>
      <c r="BD4" s="23">
        <v>9.1999999999999993</v>
      </c>
      <c r="BE4" s="23">
        <v>12.3</v>
      </c>
      <c r="BF4" s="23">
        <v>15.04</v>
      </c>
      <c r="BG4" s="23">
        <v>0</v>
      </c>
      <c r="BH4" s="23"/>
      <c r="BI4" s="23"/>
      <c r="BJ4" s="23"/>
      <c r="BK4" s="23"/>
      <c r="BL4" s="23"/>
      <c r="BM4" s="23">
        <v>14.74</v>
      </c>
      <c r="BN4" s="23">
        <v>8.5</v>
      </c>
      <c r="BO4" s="23">
        <v>11.4</v>
      </c>
      <c r="BP4" s="23">
        <v>15.11</v>
      </c>
      <c r="BQ4" s="23">
        <v>0</v>
      </c>
      <c r="BR4" s="33"/>
      <c r="BS4" s="9">
        <f>IF(SUM(AX4:BA4)-BB4&gt;0,SUM(AX4:BA4)-BB4,"")</f>
        <v>41.83</v>
      </c>
      <c r="BT4" s="9">
        <f>IF(BE4&gt;0,BE4,"")</f>
        <v>12.3</v>
      </c>
      <c r="BU4" s="9">
        <f>IF(SUM(BC4:BF4)-BG4&gt;0,SUM(BC4:BF4)-BG4,"")</f>
        <v>51.54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93.37</v>
      </c>
      <c r="BY4" s="9">
        <f>IF(BO4&gt;0,BO4,"")</f>
        <v>11.4</v>
      </c>
      <c r="BZ4" s="9">
        <f>IF(SUM(BM4:BP4)-BQ4&gt;0,SUM(BM4:BP4)-BQ4,"")</f>
        <v>49.75</v>
      </c>
      <c r="CA4" s="9">
        <f>IF(SUM(BX4,BZ4)&gt;0,SUM(BX4,BZ4),"")</f>
        <v>143.12</v>
      </c>
      <c r="CB4" s="27">
        <v>17</v>
      </c>
      <c r="CC4" s="27">
        <v>9.1</v>
      </c>
      <c r="CD4" s="27">
        <v>0</v>
      </c>
      <c r="CE4" s="27">
        <v>15.25</v>
      </c>
      <c r="CF4" s="27">
        <v>0</v>
      </c>
      <c r="CG4" s="27">
        <v>15.6</v>
      </c>
      <c r="CH4" s="27">
        <v>9.5</v>
      </c>
      <c r="CI4" s="27">
        <v>7.9</v>
      </c>
      <c r="CJ4" s="27">
        <v>14.59</v>
      </c>
      <c r="CK4" s="27">
        <v>3.3</v>
      </c>
      <c r="CL4" s="27"/>
      <c r="CM4" s="27"/>
      <c r="CN4" s="27"/>
      <c r="CO4" s="27"/>
      <c r="CP4" s="27"/>
      <c r="CQ4" s="27">
        <v>16</v>
      </c>
      <c r="CR4" s="27">
        <v>9.3000000000000007</v>
      </c>
      <c r="CS4" s="27">
        <v>11.6</v>
      </c>
      <c r="CT4" s="27">
        <v>14.67</v>
      </c>
      <c r="CU4" s="27">
        <v>0</v>
      </c>
      <c r="CV4" s="32"/>
      <c r="CW4" s="7">
        <f>IF(SUM(CB4:CE4)-CF4&gt;0,SUM(CB4:CE4)-CF4,"")</f>
        <v>41.35</v>
      </c>
      <c r="CX4" s="7">
        <f>IF(CI4&gt;0,CI4,"")</f>
        <v>7.9</v>
      </c>
      <c r="CY4" s="7">
        <f>IF(SUM(CG4:CJ4)-CK4&gt;0,SUM(CG4:CJ4)-CK4,"")</f>
        <v>44.290000000000006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85.640000000000015</v>
      </c>
      <c r="DC4" s="7">
        <f>IF(CS4&gt;0,CS4,"")</f>
        <v>11.6</v>
      </c>
      <c r="DD4" s="7">
        <f>IF(SUM(CQ4:CT4)-CU4&gt;0,SUM(CQ4:CT4)-CU4,"")</f>
        <v>51.57</v>
      </c>
      <c r="DE4" s="7">
        <f>IF(SUM(DB4,DD4)&gt;0,SUM(DB4,DD4),"")</f>
        <v>137.21</v>
      </c>
      <c r="DF4" s="13" t="str">
        <f t="shared" ref="DF4" si="0">IF(MAX(DZ4,EV4,FR4,GN4,HJ4,IF4,JB4,JX4,KT4,LP4,ML4,NH4)-IF(K4="",0,K4)&gt;0.001,MAX(DZ4,EV4,FR4,GN4,HJ4,IF4,JB4,JX4,KT4,LP4,ML4,NH4)-IF(K4="",0,K4),"")</f>
        <v/>
      </c>
      <c r="DG4" s="13">
        <f t="shared" ref="DG4" si="1">IF(MAX(EA4,EW4,FS4,GO4,HK4,IG4,JC4,JY4,KU4,LQ4,MM4,NI4)-IF(M4="",0,M4)&gt;0.001,MAX(EA4,EW4,FS4,GO4,HK4,IG4,JC4,JY4,KU4,LQ4,MM4,NI4)-IF(M4="",0,M4),"")</f>
        <v>6.8799999999999955</v>
      </c>
      <c r="DH4" s="13" t="str">
        <f t="shared" ref="DH4" si="2">IF(MAX(EB4,EX4,FT4,GP4,HL4,IH4,JD4,JZ4,KV4,LR4,MN4,NJ4)-IF(I4="",0,I4)&gt;0.001,MAX(EB4,EX4,FT4,GP4,HL4,IH4,JD4,JZ4,KV4,LR4,MN4,NJ4)-IF(I4="",0,I4),"")</f>
        <v/>
      </c>
      <c r="DI4" s="13" t="str">
        <f t="shared" ref="DI4" si="3"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15.4</v>
      </c>
      <c r="EG4" s="19">
        <v>9.6999999999999993</v>
      </c>
      <c r="EH4" s="19">
        <v>0</v>
      </c>
      <c r="EI4" s="19">
        <v>15.38</v>
      </c>
      <c r="EJ4" s="19">
        <v>0</v>
      </c>
      <c r="EK4" s="19">
        <v>14.5</v>
      </c>
      <c r="EL4" s="19">
        <v>9.1999999999999993</v>
      </c>
      <c r="EM4" s="19">
        <v>12.5</v>
      </c>
      <c r="EN4" s="19">
        <v>14.97</v>
      </c>
      <c r="EO4" s="19">
        <v>0</v>
      </c>
      <c r="EP4" s="19">
        <v>14.4</v>
      </c>
      <c r="EQ4" s="19">
        <v>9.4</v>
      </c>
      <c r="ER4" s="19">
        <v>12.5</v>
      </c>
      <c r="ES4" s="19">
        <v>14.46</v>
      </c>
      <c r="ET4" s="19">
        <v>0</v>
      </c>
      <c r="EU4" s="9">
        <f>IF(EM4&gt;0,EM4,"")</f>
        <v>12.5</v>
      </c>
      <c r="EV4" s="9">
        <f>IF(SUM(EF4:EI4)-EJ4&gt;0,SUM(EF4:EI4)-EJ4,"")</f>
        <v>40.480000000000004</v>
      </c>
      <c r="EW4" s="9">
        <f>IF(SUM(EK4:EN4)-EO4&gt;0,SUM(EK4:EN4)-EO4,"")</f>
        <v>51.17</v>
      </c>
      <c r="EX4" s="9">
        <f>IF(SUM(EV4:EW4)&gt;0,SUM(EV4:EW4),"")</f>
        <v>91.65</v>
      </c>
      <c r="EY4" s="9">
        <f>IF(ER4&gt;0,ER4,"")</f>
        <v>12.5</v>
      </c>
      <c r="EZ4" s="9">
        <f>IF(SUM(EP4:ES4)-ET4&gt;0,SUM(EP4:ES4)-ET4,"")</f>
        <v>50.76</v>
      </c>
      <c r="FA4" s="9">
        <f>IF(SUM(EX4,EZ4)&gt;0,SUM(EX4,EZ4),"")</f>
        <v>142.41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>
        <v>14.8</v>
      </c>
      <c r="FM4" s="18">
        <v>9.1999999999999993</v>
      </c>
      <c r="FN4" s="18">
        <v>11.6</v>
      </c>
      <c r="FO4" s="18">
        <v>14.93</v>
      </c>
      <c r="FP4" s="18">
        <v>0</v>
      </c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>
        <f>IF(FN4&gt;0,FN4,"")</f>
        <v>11.6</v>
      </c>
      <c r="FV4" s="7">
        <f>IF(SUM(FL4:FO4)-FP4&gt;0,SUM(FL4:FO4)-FP4,"")</f>
        <v>50.53</v>
      </c>
      <c r="FW4" s="7">
        <f>IF(SUM(FT4,FV4)&gt;0,SUM(FT4,FV4),"")</f>
        <v>50.53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4" si="4">IF($CV4="P",CB4,(CB4+AX4)/2)</f>
        <v>16.899999999999999</v>
      </c>
      <c r="NO4" s="27">
        <f t="shared" si="4"/>
        <v>9.1999999999999993</v>
      </c>
      <c r="NP4" s="27">
        <f t="shared" si="4"/>
        <v>0</v>
      </c>
      <c r="NQ4" s="27">
        <f t="shared" si="4"/>
        <v>15.49</v>
      </c>
      <c r="NR4" s="27">
        <f t="shared" si="4"/>
        <v>0</v>
      </c>
      <c r="NS4" s="27">
        <f t="shared" si="4"/>
        <v>15.3</v>
      </c>
      <c r="NT4" s="27">
        <f t="shared" si="4"/>
        <v>9.35</v>
      </c>
      <c r="NU4" s="27">
        <f t="shared" si="4"/>
        <v>10.100000000000001</v>
      </c>
      <c r="NV4" s="27">
        <f t="shared" si="4"/>
        <v>14.815</v>
      </c>
      <c r="NW4" s="27">
        <f t="shared" si="4"/>
        <v>1.65</v>
      </c>
      <c r="NX4" s="27">
        <f t="shared" ref="NX4:OG4" si="5">IF($CV4="P",CL4,(CL4+BH4)/2)</f>
        <v>0</v>
      </c>
      <c r="NY4" s="27">
        <f t="shared" si="5"/>
        <v>0</v>
      </c>
      <c r="NZ4" s="27">
        <f t="shared" si="5"/>
        <v>0</v>
      </c>
      <c r="OA4" s="27">
        <f t="shared" si="5"/>
        <v>0</v>
      </c>
      <c r="OB4" s="27">
        <f t="shared" si="5"/>
        <v>0</v>
      </c>
      <c r="OC4" s="27">
        <f t="shared" si="5"/>
        <v>15.370000000000001</v>
      </c>
      <c r="OD4" s="27">
        <f t="shared" si="5"/>
        <v>8.9</v>
      </c>
      <c r="OE4" s="27">
        <f t="shared" si="5"/>
        <v>11.5</v>
      </c>
      <c r="OF4" s="27">
        <f t="shared" si="5"/>
        <v>14.89</v>
      </c>
      <c r="OG4" s="27">
        <f t="shared" si="5"/>
        <v>0</v>
      </c>
      <c r="OH4" s="32" t="s">
        <v>44</v>
      </c>
      <c r="OI4" s="7">
        <f>IF(SUM(NN4:NQ4)-NR4&gt;0,SUM(NN4:NQ4)-NR4,"")</f>
        <v>41.589999999999996</v>
      </c>
      <c r="OJ4" s="7">
        <f>IF(NU4&gt;0,NU4,"")</f>
        <v>10.100000000000001</v>
      </c>
      <c r="OK4" s="7">
        <f>IF(SUM(NS4:NV4)-NW4&gt;0,SUM(NS4:NV4)-NW4,"")</f>
        <v>47.914999999999999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89.504999999999995</v>
      </c>
      <c r="OO4" s="7">
        <f>IF(OE4&gt;0,OE4,"")</f>
        <v>11.5</v>
      </c>
      <c r="OP4" s="7">
        <f t="shared" ref="OP4" si="6">IF(SUM(OC4:OF4)-OG4&gt;0,SUM(OC4:OF4)-OG4,"")</f>
        <v>50.660000000000004</v>
      </c>
      <c r="OQ4" s="7">
        <f t="shared" ref="OQ4" si="7">IF(SUM(ON4,OP4)&gt;0,SUM(ON4,OP4),"")</f>
        <v>140.16499999999999</v>
      </c>
    </row>
    <row r="5" spans="1:407" x14ac:dyDescent="0.2">
      <c r="B5" s="5"/>
      <c r="D5" s="1"/>
    </row>
    <row r="7" spans="1:407" x14ac:dyDescent="0.2">
      <c r="B7" s="28" t="s">
        <v>42</v>
      </c>
      <c r="C7" s="5"/>
      <c r="AP7" s="46"/>
      <c r="AQ7" s="46"/>
      <c r="AR7" s="46"/>
      <c r="AU7" s="2"/>
      <c r="AW7" s="24">
        <v>13.5</v>
      </c>
      <c r="BT7" s="46"/>
      <c r="BU7" s="46"/>
      <c r="BV7" s="46"/>
      <c r="BY7" s="2"/>
      <c r="CA7" s="24">
        <v>13.5</v>
      </c>
      <c r="CX7" s="46"/>
      <c r="CY7" s="46"/>
      <c r="CZ7" s="46"/>
      <c r="DC7" s="2"/>
      <c r="DE7" s="24">
        <v>13.5</v>
      </c>
      <c r="DY7" s="5"/>
      <c r="EC7" s="2"/>
      <c r="EE7" s="24">
        <v>13.5</v>
      </c>
      <c r="EU7" s="5"/>
      <c r="EY7" s="2"/>
      <c r="FA7" s="24">
        <v>13.5</v>
      </c>
      <c r="FQ7" s="5"/>
      <c r="FU7" s="2"/>
      <c r="FW7" s="24">
        <v>13.5</v>
      </c>
      <c r="GM7" s="5"/>
      <c r="GQ7" s="2"/>
      <c r="GS7" s="24">
        <v>13.5</v>
      </c>
      <c r="HI7" s="5"/>
      <c r="HM7" s="2"/>
      <c r="HO7" s="24">
        <v>13.5</v>
      </c>
      <c r="IE7" s="5"/>
      <c r="II7" s="2"/>
      <c r="IK7" s="24">
        <v>13.5</v>
      </c>
      <c r="JA7" s="5"/>
      <c r="JE7" s="2"/>
      <c r="JG7" s="24">
        <v>13.5</v>
      </c>
      <c r="JW7" s="5"/>
      <c r="KA7" s="2"/>
      <c r="KC7" s="24">
        <v>13.5</v>
      </c>
      <c r="KS7" s="5"/>
      <c r="KW7" s="2"/>
      <c r="KY7" s="24">
        <v>13.5</v>
      </c>
      <c r="LO7" s="5"/>
      <c r="LS7" s="2"/>
      <c r="LU7" s="24">
        <v>13.5</v>
      </c>
      <c r="MK7" s="5"/>
      <c r="MO7" s="2"/>
      <c r="MQ7" s="24">
        <v>13.5</v>
      </c>
      <c r="NG7" s="5"/>
      <c r="NK7" s="2"/>
      <c r="NM7" s="24">
        <v>13.5</v>
      </c>
    </row>
    <row r="8" spans="1:407" hidden="1" x14ac:dyDescent="0.2">
      <c r="B8" s="35" t="s">
        <v>41</v>
      </c>
      <c r="C8" s="5"/>
      <c r="AP8" s="46"/>
      <c r="AQ8" s="46"/>
      <c r="AR8" s="46"/>
      <c r="AU8" s="2"/>
      <c r="AW8" s="39">
        <v>13.5</v>
      </c>
      <c r="BT8" s="46"/>
      <c r="BU8" s="46"/>
      <c r="BV8" s="46"/>
      <c r="BY8" s="2"/>
      <c r="CA8" s="39">
        <v>13.5</v>
      </c>
      <c r="CX8" s="46"/>
      <c r="CY8" s="46"/>
      <c r="CZ8" s="46"/>
      <c r="DC8" s="2"/>
      <c r="DE8" s="39">
        <v>13.5</v>
      </c>
      <c r="DY8" s="5"/>
      <c r="EC8" s="2"/>
      <c r="EE8" s="39">
        <v>13.5</v>
      </c>
      <c r="EU8" s="5"/>
      <c r="EY8" s="2"/>
      <c r="FA8" s="39">
        <v>13.5</v>
      </c>
      <c r="FQ8" s="5"/>
      <c r="FU8" s="2"/>
      <c r="FW8" s="39">
        <v>13.5</v>
      </c>
      <c r="GM8" s="5"/>
      <c r="GQ8" s="2"/>
      <c r="GS8" s="39">
        <v>13.5</v>
      </c>
      <c r="HI8" s="5"/>
      <c r="HM8" s="2"/>
      <c r="HO8" s="39">
        <v>13.5</v>
      </c>
      <c r="IE8" s="5"/>
      <c r="II8" s="2"/>
      <c r="IK8" s="39">
        <v>13.5</v>
      </c>
      <c r="JA8" s="5"/>
      <c r="JE8" s="2"/>
      <c r="JG8" s="39">
        <v>13.5</v>
      </c>
      <c r="JW8" s="5"/>
      <c r="KA8" s="2"/>
      <c r="KC8" s="39">
        <v>13.5</v>
      </c>
      <c r="KS8" s="5"/>
      <c r="KW8" s="2"/>
      <c r="KY8" s="39">
        <v>13.5</v>
      </c>
      <c r="LO8" s="5"/>
      <c r="LS8" s="2"/>
      <c r="LU8" s="39">
        <v>13.5</v>
      </c>
      <c r="MK8" s="5"/>
      <c r="MO8" s="2"/>
      <c r="MQ8" s="39">
        <v>13.5</v>
      </c>
      <c r="NG8" s="5"/>
      <c r="NK8" s="2"/>
      <c r="NM8" s="39">
        <v>13.5</v>
      </c>
    </row>
    <row r="9" spans="1:407" x14ac:dyDescent="0.2">
      <c r="A9" s="5"/>
      <c r="B9" s="36" t="s">
        <v>54</v>
      </c>
      <c r="C9" s="5"/>
      <c r="AP9" s="46"/>
      <c r="AQ9" s="46"/>
      <c r="AR9" s="46"/>
      <c r="AT9" s="2"/>
      <c r="AU9" s="2"/>
      <c r="AV9" s="2"/>
      <c r="AW9" s="38">
        <v>13.5</v>
      </c>
      <c r="BT9" s="46"/>
      <c r="BU9" s="46"/>
      <c r="BV9" s="46"/>
      <c r="BY9" s="2"/>
      <c r="CA9" s="38">
        <v>13.5</v>
      </c>
      <c r="CX9" s="46"/>
      <c r="CY9" s="46"/>
      <c r="CZ9" s="46"/>
      <c r="DB9" s="2"/>
      <c r="DC9" s="2"/>
      <c r="DD9" s="2"/>
      <c r="DE9" s="38">
        <v>13.5</v>
      </c>
      <c r="DY9" s="5"/>
      <c r="EC9" s="2"/>
      <c r="EE9" s="38">
        <v>13.5</v>
      </c>
      <c r="EU9" s="5"/>
      <c r="EY9" s="2"/>
      <c r="FA9" s="38">
        <v>13.5</v>
      </c>
      <c r="FQ9" s="5"/>
      <c r="FU9" s="2"/>
      <c r="FW9" s="38">
        <v>13.5</v>
      </c>
      <c r="GM9" s="5"/>
      <c r="GQ9" s="2"/>
      <c r="GS9" s="38">
        <v>13.5</v>
      </c>
      <c r="HI9" s="5"/>
      <c r="HM9" s="2"/>
      <c r="HO9" s="38">
        <v>13.5</v>
      </c>
      <c r="IE9" s="5"/>
      <c r="II9" s="2"/>
      <c r="IK9" s="38">
        <v>13.5</v>
      </c>
      <c r="JA9" s="5"/>
      <c r="JE9" s="2"/>
      <c r="JG9" s="38">
        <v>13.5</v>
      </c>
      <c r="JW9" s="5"/>
      <c r="KA9" s="2"/>
      <c r="KC9" s="38">
        <v>13.5</v>
      </c>
      <c r="KS9" s="5"/>
      <c r="KW9" s="2"/>
      <c r="KY9" s="38">
        <v>13.5</v>
      </c>
      <c r="LO9" s="5"/>
      <c r="LS9" s="2"/>
      <c r="LU9" s="38">
        <v>13.5</v>
      </c>
      <c r="MK9" s="5"/>
      <c r="MO9" s="2"/>
      <c r="MQ9" s="38">
        <v>13.5</v>
      </c>
      <c r="NG9" s="5"/>
      <c r="NK9" s="2"/>
      <c r="NM9" s="38">
        <v>13.5</v>
      </c>
    </row>
    <row r="10" spans="1:407" x14ac:dyDescent="0.2">
      <c r="A10" s="5"/>
      <c r="B10" s="44" t="s">
        <v>59</v>
      </c>
      <c r="C10" s="5"/>
      <c r="AP10" s="46"/>
      <c r="AQ10" s="46"/>
      <c r="AR10" s="46"/>
      <c r="AT10" s="2"/>
      <c r="AU10" s="2"/>
      <c r="AV10" s="2"/>
      <c r="AW10" s="45">
        <v>13.5</v>
      </c>
      <c r="BT10" s="46"/>
      <c r="BU10" s="46"/>
      <c r="BV10" s="46"/>
      <c r="BY10" s="2"/>
      <c r="CA10" s="45">
        <v>13.5</v>
      </c>
      <c r="CX10" s="46"/>
      <c r="CY10" s="46"/>
      <c r="CZ10" s="46"/>
      <c r="DB10" s="2"/>
      <c r="DC10" s="2"/>
      <c r="DD10" s="2"/>
      <c r="DE10" s="45">
        <v>13.5</v>
      </c>
      <c r="DY10" s="5"/>
      <c r="EC10" s="2"/>
      <c r="EE10" s="45">
        <v>13.5</v>
      </c>
      <c r="EU10" s="5"/>
      <c r="EY10" s="2"/>
      <c r="FA10" s="45">
        <v>13.5</v>
      </c>
      <c r="FQ10" s="5"/>
      <c r="FU10" s="2"/>
      <c r="FW10" s="45">
        <v>13.5</v>
      </c>
      <c r="GM10" s="5"/>
      <c r="GQ10" s="2"/>
      <c r="GS10" s="45">
        <v>13.5</v>
      </c>
      <c r="HI10" s="5"/>
      <c r="HM10" s="2"/>
      <c r="HO10" s="45">
        <v>13.5</v>
      </c>
      <c r="IE10" s="5"/>
      <c r="II10" s="2"/>
      <c r="IK10" s="45">
        <v>13.5</v>
      </c>
      <c r="JA10" s="5"/>
      <c r="JE10" s="2"/>
      <c r="JG10" s="45">
        <v>13.5</v>
      </c>
      <c r="JW10" s="5"/>
      <c r="KA10" s="2"/>
      <c r="KC10" s="45">
        <v>13.5</v>
      </c>
      <c r="KS10" s="5"/>
      <c r="KW10" s="2"/>
      <c r="KY10" s="45">
        <v>13.5</v>
      </c>
      <c r="LO10" s="5"/>
      <c r="LS10" s="2"/>
      <c r="LU10" s="45">
        <v>13.5</v>
      </c>
      <c r="MK10" s="5"/>
      <c r="MO10" s="2"/>
      <c r="MQ10" s="45">
        <v>13.5</v>
      </c>
      <c r="NG10" s="5"/>
      <c r="NK10" s="2"/>
      <c r="NM10" s="45">
        <v>13.5</v>
      </c>
    </row>
    <row r="11" spans="1:407" x14ac:dyDescent="0.2">
      <c r="A11" s="5"/>
      <c r="B11" s="42" t="s">
        <v>39</v>
      </c>
      <c r="C11" s="5"/>
      <c r="M11" s="2"/>
      <c r="AP11" s="46"/>
      <c r="AQ11" s="46"/>
      <c r="AR11" s="46"/>
      <c r="AT11" s="2"/>
      <c r="AU11" s="2"/>
      <c r="AV11" s="2"/>
      <c r="AW11" s="43">
        <v>96</v>
      </c>
      <c r="BT11" s="46"/>
      <c r="BU11" s="46"/>
      <c r="BV11" s="46"/>
      <c r="BY11" s="2"/>
      <c r="CA11" s="43">
        <v>96</v>
      </c>
      <c r="CX11" s="46"/>
      <c r="CY11" s="46"/>
      <c r="CZ11" s="46"/>
      <c r="DB11" s="2"/>
      <c r="DC11" s="2"/>
      <c r="DD11" s="2"/>
      <c r="DE11" s="43">
        <v>96</v>
      </c>
      <c r="DY11" s="5"/>
      <c r="EC11" s="2"/>
      <c r="EE11" s="43">
        <v>96</v>
      </c>
      <c r="EU11" s="5"/>
      <c r="EY11" s="2"/>
      <c r="FA11" s="43">
        <v>96</v>
      </c>
      <c r="FQ11" s="5"/>
      <c r="FU11" s="2"/>
      <c r="FW11" s="43">
        <v>96</v>
      </c>
      <c r="GM11" s="5"/>
      <c r="GQ11" s="2"/>
      <c r="GS11" s="43">
        <v>96</v>
      </c>
      <c r="HI11" s="5"/>
      <c r="HM11" s="2"/>
      <c r="HO11" s="43">
        <v>96</v>
      </c>
      <c r="IE11" s="5"/>
      <c r="II11" s="2"/>
      <c r="IK11" s="43">
        <v>96</v>
      </c>
      <c r="JA11" s="5"/>
      <c r="JE11" s="2"/>
      <c r="JG11" s="43">
        <v>96</v>
      </c>
      <c r="JW11" s="5"/>
      <c r="KA11" s="2"/>
      <c r="KC11" s="43">
        <v>96</v>
      </c>
      <c r="KS11" s="5"/>
      <c r="KW11" s="2"/>
      <c r="KY11" s="43">
        <v>96</v>
      </c>
      <c r="LO11" s="5"/>
      <c r="LS11" s="2"/>
      <c r="LU11" s="43">
        <v>96</v>
      </c>
      <c r="MK11" s="5"/>
      <c r="MO11" s="2"/>
      <c r="MQ11" s="43">
        <v>96</v>
      </c>
      <c r="NG11" s="5"/>
      <c r="NK11" s="2"/>
      <c r="NM11" s="43">
        <v>96</v>
      </c>
    </row>
    <row r="12" spans="1:407" hidden="1" x14ac:dyDescent="0.2">
      <c r="A12" s="5"/>
      <c r="B12" s="29" t="s">
        <v>40</v>
      </c>
      <c r="C12" s="5"/>
      <c r="M12" s="2"/>
      <c r="AP12" s="46"/>
      <c r="AQ12" s="46"/>
      <c r="AR12" s="46"/>
      <c r="AT12" s="2"/>
      <c r="AU12" s="2"/>
      <c r="AV12" s="2"/>
      <c r="AW12" s="25">
        <v>99.2</v>
      </c>
      <c r="BT12" s="46"/>
      <c r="BU12" s="46"/>
      <c r="BV12" s="46"/>
      <c r="BY12" s="2"/>
      <c r="CA12" s="25">
        <v>99.2</v>
      </c>
      <c r="CX12" s="46"/>
      <c r="CY12" s="46"/>
      <c r="CZ12" s="46"/>
      <c r="DB12" s="2"/>
      <c r="DC12" s="2"/>
      <c r="DD12" s="2"/>
      <c r="DE12" s="25">
        <v>99.2</v>
      </c>
      <c r="DY12" s="5"/>
      <c r="EC12" s="2"/>
      <c r="EE12" s="25">
        <v>99.2</v>
      </c>
      <c r="EU12" s="5"/>
      <c r="EY12" s="2"/>
      <c r="FA12" s="25">
        <v>99.2</v>
      </c>
      <c r="FQ12" s="5"/>
      <c r="FU12" s="2"/>
      <c r="FW12" s="25">
        <v>99.2</v>
      </c>
      <c r="GM12" s="5"/>
      <c r="GQ12" s="2"/>
      <c r="GS12" s="25">
        <v>99.2</v>
      </c>
      <c r="HI12" s="5"/>
      <c r="HM12" s="2"/>
      <c r="HO12" s="25">
        <v>99.2</v>
      </c>
      <c r="IE12" s="5"/>
      <c r="II12" s="2"/>
      <c r="IK12" s="25">
        <v>99.2</v>
      </c>
      <c r="JA12" s="5"/>
      <c r="JE12" s="2"/>
      <c r="JG12" s="25">
        <v>99.2</v>
      </c>
      <c r="JW12" s="5"/>
      <c r="KA12" s="2"/>
      <c r="KC12" s="25">
        <v>99.2</v>
      </c>
      <c r="KS12" s="5"/>
      <c r="KW12" s="2"/>
      <c r="KY12" s="25">
        <v>99.2</v>
      </c>
      <c r="LO12" s="5"/>
      <c r="LS12" s="2"/>
      <c r="LU12" s="25">
        <v>99.2</v>
      </c>
      <c r="MK12" s="5"/>
      <c r="MO12" s="2"/>
      <c r="MQ12" s="25">
        <v>99.2</v>
      </c>
      <c r="NG12" s="5"/>
      <c r="NK12" s="2"/>
      <c r="NM12" s="25">
        <v>99.2</v>
      </c>
    </row>
    <row r="13" spans="1:407" x14ac:dyDescent="0.2">
      <c r="A13" s="5"/>
      <c r="B13" s="40" t="s">
        <v>53</v>
      </c>
      <c r="C13" s="5"/>
      <c r="AP13" s="46"/>
      <c r="AQ13" s="46"/>
      <c r="AR13" s="46"/>
      <c r="AT13" s="2"/>
      <c r="AU13" s="2"/>
      <c r="AV13" s="2"/>
      <c r="AW13" s="41">
        <v>99.2</v>
      </c>
      <c r="BT13" s="46"/>
      <c r="BU13" s="46"/>
      <c r="BV13" s="46"/>
      <c r="BY13" s="2"/>
      <c r="BZ13" s="48"/>
      <c r="CA13" s="41">
        <v>99.2</v>
      </c>
      <c r="CX13" s="46"/>
      <c r="CY13" s="46"/>
      <c r="CZ13" s="46"/>
      <c r="DB13" s="2"/>
      <c r="DC13" s="2"/>
      <c r="DD13" s="2"/>
      <c r="DE13" s="41">
        <v>99.2</v>
      </c>
      <c r="DY13" s="5"/>
      <c r="EC13" s="2"/>
      <c r="ED13" s="48"/>
      <c r="EE13" s="41">
        <v>99.2</v>
      </c>
      <c r="EU13" s="5"/>
      <c r="EY13" s="2"/>
      <c r="FA13" s="41">
        <v>99.2</v>
      </c>
      <c r="FQ13" s="5"/>
      <c r="FU13" s="2"/>
      <c r="FW13" s="41">
        <v>99.2</v>
      </c>
      <c r="GM13" s="5"/>
      <c r="GQ13" s="2"/>
      <c r="GR13" s="48"/>
      <c r="GS13" s="41">
        <v>99.2</v>
      </c>
      <c r="HI13" s="5"/>
      <c r="HM13" s="2"/>
      <c r="HN13" s="48"/>
      <c r="HO13" s="41">
        <v>99.2</v>
      </c>
      <c r="IE13" s="5"/>
      <c r="II13" s="2"/>
      <c r="IJ13" s="48"/>
      <c r="IK13" s="41">
        <v>99.2</v>
      </c>
      <c r="JA13" s="5"/>
      <c r="JE13" s="2"/>
      <c r="JG13" s="41">
        <v>99.2</v>
      </c>
      <c r="JW13" s="5"/>
      <c r="KA13" s="2"/>
      <c r="KC13" s="41">
        <v>99.2</v>
      </c>
      <c r="KS13" s="5"/>
      <c r="KW13" s="2"/>
      <c r="KY13" s="41">
        <v>99.2</v>
      </c>
      <c r="LO13" s="5"/>
      <c r="LS13" s="2"/>
      <c r="LU13" s="41">
        <v>99.2</v>
      </c>
      <c r="MK13" s="5"/>
      <c r="MO13" s="2"/>
      <c r="MQ13" s="41">
        <v>99.2</v>
      </c>
      <c r="NG13" s="5"/>
      <c r="NK13" s="2"/>
      <c r="NM13" s="41">
        <v>99.2</v>
      </c>
    </row>
    <row r="14" spans="1:407" x14ac:dyDescent="0.2">
      <c r="A14" s="5"/>
      <c r="B14" s="30" t="s">
        <v>26</v>
      </c>
      <c r="C14" s="5"/>
      <c r="M14" s="2"/>
      <c r="AP14" s="46"/>
      <c r="AQ14" s="46"/>
      <c r="AR14" s="46"/>
      <c r="AT14" s="2"/>
      <c r="AU14" s="2"/>
      <c r="AV14" s="2"/>
      <c r="AW14" s="26">
        <v>56</v>
      </c>
      <c r="BT14" s="46"/>
      <c r="BU14" s="46"/>
      <c r="BV14" s="46"/>
      <c r="BY14" s="2"/>
      <c r="CA14" s="26">
        <v>56</v>
      </c>
      <c r="CX14" s="46"/>
      <c r="CY14" s="46"/>
      <c r="CZ14" s="46"/>
      <c r="DB14" s="2"/>
      <c r="DC14" s="2"/>
      <c r="DD14" s="2"/>
      <c r="DE14" s="26">
        <v>56</v>
      </c>
      <c r="DY14" s="5"/>
      <c r="EC14" s="2"/>
      <c r="EE14" s="26">
        <v>56</v>
      </c>
      <c r="EU14" s="5"/>
      <c r="EY14" s="2"/>
      <c r="FA14" s="26">
        <v>56</v>
      </c>
      <c r="FQ14" s="5"/>
      <c r="FU14" s="2"/>
      <c r="FW14" s="26">
        <v>56</v>
      </c>
      <c r="GM14" s="5"/>
      <c r="GQ14" s="2"/>
      <c r="GS14" s="26">
        <v>56</v>
      </c>
      <c r="HI14" s="5"/>
      <c r="HM14" s="2"/>
      <c r="HO14" s="26">
        <v>56</v>
      </c>
      <c r="IE14" s="5"/>
      <c r="II14" s="2"/>
      <c r="IJ14" s="48"/>
      <c r="IK14" s="26">
        <v>56</v>
      </c>
      <c r="JA14" s="5"/>
      <c r="JE14" s="2"/>
      <c r="JG14" s="26">
        <v>56</v>
      </c>
      <c r="JW14" s="5"/>
      <c r="KA14" s="2"/>
      <c r="KC14" s="26">
        <v>56</v>
      </c>
      <c r="KS14" s="5"/>
      <c r="KW14" s="2"/>
      <c r="KY14" s="26">
        <v>56</v>
      </c>
      <c r="LO14" s="5"/>
      <c r="LS14" s="2"/>
      <c r="LU14" s="26">
        <v>56</v>
      </c>
      <c r="MK14" s="5"/>
      <c r="MO14" s="2"/>
      <c r="MQ14" s="26">
        <v>56</v>
      </c>
      <c r="NG14" s="5"/>
      <c r="NK14" s="2"/>
      <c r="NM14" s="26">
        <v>56</v>
      </c>
    </row>
    <row r="15" spans="1:407" x14ac:dyDescent="0.2">
      <c r="B15" s="34" t="s">
        <v>45</v>
      </c>
      <c r="C15" s="2"/>
      <c r="AS15" s="2"/>
      <c r="AT15" s="2"/>
      <c r="AV15" s="2"/>
      <c r="DA15" s="2"/>
      <c r="DB15" s="2"/>
      <c r="DD15" s="2"/>
      <c r="EV15" s="2"/>
    </row>
    <row r="16" spans="1:407" x14ac:dyDescent="0.2">
      <c r="A16" s="5"/>
      <c r="B16" s="5"/>
      <c r="C16" s="22"/>
      <c r="AO16" s="2"/>
      <c r="AP16" s="2"/>
      <c r="AQ16" s="2"/>
      <c r="AR16" s="2"/>
      <c r="AS16" s="2"/>
      <c r="AT16" s="2"/>
      <c r="AV16" s="2"/>
      <c r="CW16" s="2"/>
      <c r="CX16" s="2"/>
      <c r="CY16" s="2"/>
      <c r="CZ16" s="2"/>
      <c r="DA16" s="2"/>
      <c r="DB16" s="2"/>
      <c r="DD16" s="2"/>
    </row>
    <row r="17" spans="1:108" ht="17" x14ac:dyDescent="0.2">
      <c r="A17" s="5"/>
      <c r="B17" s="5"/>
      <c r="C17" s="22"/>
      <c r="Q17" s="11"/>
      <c r="R17" s="11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Q19" s="11"/>
      <c r="R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S22" s="11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4">
      <sortCondition descending="1" ref="F1:F5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4">
    <cfRule type="expression" dxfId="181" priority="1" stopIfTrue="1">
      <formula>IF($AN4&lt;&gt;"",1,0)</formula>
    </cfRule>
  </conditionalFormatting>
  <conditionalFormatting sqref="AX4:CA4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4">
    <cfRule type="expression" dxfId="176" priority="4" stopIfTrue="1">
      <formula>IF($CV4&lt;&gt;"",1,0)</formula>
    </cfRule>
  </conditionalFormatting>
  <conditionalFormatting sqref="A1:A1048576">
    <cfRule type="expression" dxfId="175" priority="48704">
      <formula>AND(#REF!&lt;&gt;"",G1="")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4" priority="48774" operator="between">
      <formula>AW$14</formula>
      <formula>1000</formula>
    </cfRule>
    <cfRule type="cellIs" dxfId="173" priority="48775" operator="between">
      <formula>AW$13</formula>
      <formula>AW$14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2" priority="48864" operator="between">
      <formula>AW$13</formula>
      <formula>1000</formula>
    </cfRule>
    <cfRule type="cellIs" dxfId="171" priority="48865" operator="between">
      <formula>AW$12</formula>
      <formula>AW$13</formula>
    </cfRule>
    <cfRule type="cellIs" dxfId="170" priority="48866" operator="between">
      <formula>AW$11</formula>
      <formula>AW$12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69" priority="48999" operator="between">
      <formula>AW$14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8" priority="49044" operator="between">
      <formula>EE$10</formula>
      <formula>1000</formula>
    </cfRule>
    <cfRule type="cellIs" dxfId="167" priority="49045" operator="between">
      <formula>EE$9</formula>
      <formula>EE$10</formula>
    </cfRule>
    <cfRule type="cellIs" dxfId="166" priority="49046" operator="between">
      <formula>EE$8</formula>
      <formula>EE$9</formula>
    </cfRule>
    <cfRule type="cellIs" dxfId="165" priority="49047" operator="between">
      <formula>EE$7</formula>
      <formula>EE$8</formula>
    </cfRule>
  </conditionalFormatting>
  <conditionalFormatting sqref="AP1:AP1048576 BT1:BT1048576 CX1:CX1048576">
    <cfRule type="cellIs" dxfId="164" priority="49188" operator="between">
      <formula>AW$10</formula>
      <formula>1000</formula>
    </cfRule>
    <cfRule type="cellIs" dxfId="163" priority="49189" operator="between">
      <formula>AW$9</formula>
      <formula>AW$10</formula>
    </cfRule>
    <cfRule type="cellIs" dxfId="162" priority="49190" operator="between">
      <formula>AW$8</formula>
      <formula>AW$9</formula>
    </cfRule>
    <cfRule type="cellIs" dxfId="161" priority="49191" operator="between">
      <formula>AW$7</formula>
      <formula>AW$8</formula>
    </cfRule>
  </conditionalFormatting>
  <conditionalFormatting sqref="AQ1:AQ1048576 BU1:BU1048576 CY1:CY1048576">
    <cfRule type="cellIs" dxfId="160" priority="49224" operator="between">
      <formula>AW$14</formula>
      <formula>1000</formula>
    </cfRule>
  </conditionalFormatting>
  <conditionalFormatting sqref="AR1:AR1048576 BV1:BV1048576 CZ1:CZ1048576">
    <cfRule type="cellIs" dxfId="159" priority="49233" operator="between">
      <formula>AW$10</formula>
      <formula>1000</formula>
    </cfRule>
    <cfRule type="cellIs" dxfId="158" priority="49234" operator="between">
      <formula>AW$9</formula>
      <formula>AW$10</formula>
    </cfRule>
    <cfRule type="cellIs" dxfId="157" priority="49235" operator="between">
      <formula>AW$8</formula>
      <formula>AW$9</formula>
    </cfRule>
    <cfRule type="cellIs" dxfId="156" priority="49236" operator="between">
      <formula>AW$7</formula>
      <formula>AW$8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5" priority="49269" operator="between">
      <formula>AW$10</formula>
      <formula>1000</formula>
    </cfRule>
    <cfRule type="cellIs" dxfId="154" priority="49270" operator="between">
      <formula>AW$9</formula>
      <formula>AW$10</formula>
    </cfRule>
    <cfRule type="cellIs" dxfId="153" priority="49271" operator="between">
      <formula>AW$8</formula>
      <formula>AW$9</formula>
    </cfRule>
    <cfRule type="cellIs" dxfId="152" priority="49272" operator="between">
      <formula>AW$7</formula>
      <formula>AW$8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85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93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79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86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96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 t="s">
        <v>95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IF(AND(F4&lt;&gt;"",G4&lt;&gt;""),SUMPRODUCT((F$4:F$7&lt;&gt;"")*(G$4:G$7&lt;&gt;"")*(E$4:E$7&gt;E4))+1,IF(G4&lt;&gt;"",SUMPRODUCT((H$4:H$7="No DD")*(E$4:E$7&gt;E4))+1+SUMPRODUCT((F$4:F$7&lt;&gt;"")*(G$4:G$7&lt;&gt;"")),""))</f>
        <v>1</v>
      </c>
      <c r="B4" s="5" t="s">
        <v>84</v>
      </c>
      <c r="C4" s="4" t="s">
        <v>3</v>
      </c>
      <c r="D4" s="4">
        <v>2007</v>
      </c>
      <c r="E4" s="10">
        <f>SUM(I4:Q4)</f>
        <v>230.64</v>
      </c>
      <c r="F4" s="3" t="str">
        <f>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P","")</f>
        <v>P</v>
      </c>
      <c r="G4" s="3" t="str">
        <f>IF(OR(AND(AT4&gt;=AW$13,AO4&lt;&gt;"",AN4=""),AND(BX4&gt;=CA$13,BS4&lt;&gt;"",BR4=""),AND(DB4&gt;=DE$13,CW4&lt;&gt;"",CV4=""),AND(EB4&gt;=EE$13,DY4&lt;&gt;""),AND(EX4&gt;=FA$13,EU4&lt;&gt;""),AND(FT4&gt;=FW$13,FQ4&lt;&gt;""),AND(GP4&gt;=GS$13,GM4&lt;&gt;""),AND(HL4&gt;=HO$13,HI4&lt;&gt;""),AND(IH4&gt;=IK$13,IE4&lt;&gt;""),AND(JD4&gt;=JG$13,JA4&lt;&gt;""),AND(JZ4&gt;=KC$13,JW4&lt;&gt;""),AND(KV4&gt;=KY$13,KS4&lt;&gt;""),AND(LR4&gt;=LU$13,LO4&lt;&gt;""),AND(MN4&gt;=MQ$13,MK4&lt;&gt;""),AND(NJ4&gt;=NM$13,NG4&lt;&gt;"")),"P","")</f>
        <v>P</v>
      </c>
      <c r="H4" s="47" t="str">
        <f>IF(OR(AND(AP4&gt;=AW$12,AQ4&gt;=AW$16,AP4&lt;&gt;"",AN4=""),AND(AU4&gt;=AW$12,AV4&gt;=AW$16,AU4&lt;&gt;"",AN4=""),AND(BT4&gt;=CA$12,BU4&gt;=CA$16,BT4&lt;&gt;"",BR4=""),AND(BY4&gt;=CA$12,BZ4&gt;=CA$16,BY4&lt;&gt;"",BR4=""),AND(CX4&gt;=DE$12,CY4&gt;=DE$16,CX4&lt;&gt;"",CV4=""),AND(DC4&gt;=DE$12,DD4&gt;=DE$16,DC4&lt;&gt;"",CV4=""),AND(DY4&gt;=EE$12,EA4&gt;=EE$16,DY4&lt;&gt;""),AND(EC4&gt;=EE$12,ED4&gt;=EE$16,EC4&lt;&gt;""),AND(EU4&gt;=FA$12,EW4&gt;=FA$16,EU4&lt;&gt;""),AND(EY4&gt;=FA$12,EZ4&gt;=FA$16,EY4&lt;&gt;""),AND(FQ4&gt;=FW$12,FS4&gt;=FW$16,FQ4&lt;&gt;""),AND(FU4&gt;=FW$12,FV4&gt;=FW$16,FU4&lt;&gt;""),AND(GM4&gt;=GS$12,GO4&gt;=GS$16,GM4&lt;&gt;""),AND(GQ4&gt;=GS$12,GR4&gt;=GS$16,GQ4&lt;&gt;""),AND(HI4&gt;=HO$12,HK4&gt;=HO$16,HI4&lt;&gt;""),AND(HM4&gt;=HO$12,HN4&gt;=HO$16,HM4&lt;&gt;""),AND(IE4&gt;=IK$12,IG4&gt;=IK$16,IE4&lt;&gt;""),AND(II4&gt;=IK$12,IJ4&gt;=IK$16,II4&lt;&gt;""),AND(JA4&gt;=JG$12,JC4&gt;=JG$16,JA4&lt;&gt;""),AND(JE4&gt;=JG$12,JF4&gt;=JG$16,JE4&lt;&gt;""),AND(JW4&gt;=KC$12,JY4&gt;=KC$16,JW4&lt;&gt;""),AND(KA4&gt;=KC$12,KB4&gt;=KC$16,KA4&lt;&gt;""),AND(KS4&gt;=KY$12,KU4&gt;=KY$16,KS4&lt;&gt;""),AND(KW4&gt;=KY$12,KX4&gt;=KY$16,KW4&lt;&gt;""),AND(LO4&gt;=LU$12,LQ4&gt;=LU$16,LO4&lt;&gt;""),AND(LS4&gt;=LU$12,LT4&gt;=LU$16,LS4&lt;&gt;""),AND(MK4&gt;=MQ$12,MM4&gt;=MQ$16,MK4&lt;&gt;""),AND(MO4&gt;=MQ$12,MP4&gt;=MQ$16,MO4&lt;&gt;""),AND(NG4&gt;=NM$12,NI4&gt;=NM$16,NG4&lt;&gt;""),AND(NK4&gt;=NM$12,NL4&gt;=NM$16,NK4&lt;&gt;"")),"Merit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Excellence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National Team",IF(G4="P","No DD",""))))</f>
        <v>National Team</v>
      </c>
      <c r="I4" s="9">
        <f>IF(MAX(AT4,BX4,DB4)&gt;0,MAX(AT4,BX4,DB4),0)</f>
        <v>89.92</v>
      </c>
      <c r="J4" s="9" t="str">
        <f>IF(I4=0,"",IF(I4=DB4,$CB$1,IF(I4=BX4,$AX$1,IF(I4=AT4,$T$1,""))))</f>
        <v>2023 Elite Canada</v>
      </c>
      <c r="K4" s="9">
        <f>IF($I4=$AT4,MAX(BS4,CW4),IF($I4=$BX4,MAX(AO4,CW4),IF($I4=$DB4,MAX(AO4,BS4),MAX(AO4,BS4,CW4))))</f>
        <v>41.45</v>
      </c>
      <c r="L4" s="9" t="str">
        <f>IF(K4=0,"",IF(AND(K4=CW4,$J4&lt;&gt;$CB$1),$CB$1,IF(AND(K4=BS4,$J4&lt;&gt;$AX$1),$AX$1,IF(AND(K4=AO4,$J4&lt;&gt;$T$1),$T$1,""))))</f>
        <v>2022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46.47</v>
      </c>
      <c r="N4" s="9" t="str">
        <f>IF(M4=0,"",IF(AND(OR(M4=DA4,M4=CY4),$J4&lt;&gt;$CB$1),$CB$1,IF(AND(OR(M4=BW4,M4=BU4),$J4&lt;&gt;$AX$1),$AX$1,IF(AND(OR(M4=AS4,M4=AQ4),$J4&lt;&gt;$T$1),$T$1,""))))</f>
        <v>2022 Nationals</v>
      </c>
      <c r="O4" s="9">
        <f>MAX(AV4,BZ4,DD4)</f>
        <v>49.849999999999994</v>
      </c>
      <c r="P4" s="9" t="str">
        <f>IF(O4=0,"",IF(O4=DD4,$CB$1,IF(O4=BZ4,$AX$1,IF(O4=AV4,$T$1,""))))</f>
        <v>2023 Elite Canada</v>
      </c>
      <c r="Q4" s="9">
        <f>IF(MAX(DF4,DG4,DH4,DI4)&gt;0,MAX(DF4,DG4,DH4,DI4),"")</f>
        <v>2.9499999999999957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Club Championships (May 14)</v>
      </c>
      <c r="T4" s="27">
        <v>17.3</v>
      </c>
      <c r="U4" s="27">
        <v>9.5</v>
      </c>
      <c r="V4" s="27">
        <v>0</v>
      </c>
      <c r="W4" s="27">
        <v>14.65</v>
      </c>
      <c r="X4" s="27">
        <v>0</v>
      </c>
      <c r="Y4" s="27">
        <v>13.8</v>
      </c>
      <c r="Z4" s="27">
        <v>9.4</v>
      </c>
      <c r="AA4" s="27">
        <v>10</v>
      </c>
      <c r="AB4" s="27">
        <v>13.27</v>
      </c>
      <c r="AC4" s="27">
        <v>0</v>
      </c>
      <c r="AD4" s="27"/>
      <c r="AE4" s="27"/>
      <c r="AF4" s="27"/>
      <c r="AG4" s="27"/>
      <c r="AH4" s="27"/>
      <c r="AI4" s="27">
        <v>14.5</v>
      </c>
      <c r="AJ4" s="27">
        <v>9.4</v>
      </c>
      <c r="AK4" s="27">
        <v>10</v>
      </c>
      <c r="AL4" s="27">
        <v>13.53</v>
      </c>
      <c r="AM4" s="27">
        <v>0</v>
      </c>
      <c r="AN4" s="32"/>
      <c r="AO4" s="7">
        <f>IF(SUM(T4:W4)-X4&gt;0,SUM(T4:W4)-X4,"")</f>
        <v>41.45</v>
      </c>
      <c r="AP4" s="7">
        <f>IF(AA4&gt;0,AA4,"")</f>
        <v>10</v>
      </c>
      <c r="AQ4" s="7">
        <f>IF(SUM(Y4:AB4)-AC4&gt;0,SUM(Y4:AB4)-AC4,"")</f>
        <v>46.47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87.92</v>
      </c>
      <c r="AU4" s="7">
        <f>IF(AK4&gt;0,AK4,"")</f>
        <v>10</v>
      </c>
      <c r="AV4" s="7">
        <f>IF(SUM(AI4:AL4)-AM4&gt;0,SUM(AI4:AL4)-AM4,"")</f>
        <v>47.43</v>
      </c>
      <c r="AW4" s="7">
        <f>IF(SUM(AT4,AV4)&gt;0,SUM(AT4,AV4),"")</f>
        <v>135.35</v>
      </c>
      <c r="AX4" s="31">
        <v>15.7</v>
      </c>
      <c r="AY4" s="31">
        <v>9.6</v>
      </c>
      <c r="AZ4" s="31">
        <v>0</v>
      </c>
      <c r="BA4" s="31">
        <v>14.9</v>
      </c>
      <c r="BB4" s="31">
        <v>2</v>
      </c>
      <c r="BC4" s="31">
        <v>11.7</v>
      </c>
      <c r="BD4" s="31">
        <v>9.1999999999999993</v>
      </c>
      <c r="BE4" s="31">
        <v>10</v>
      </c>
      <c r="BF4" s="31">
        <v>14.05</v>
      </c>
      <c r="BG4" s="31">
        <v>0</v>
      </c>
      <c r="BH4" s="31"/>
      <c r="BI4" s="31"/>
      <c r="BJ4" s="31"/>
      <c r="BK4" s="31"/>
      <c r="BL4" s="31"/>
      <c r="BM4" s="31">
        <v>14.3</v>
      </c>
      <c r="BN4" s="31">
        <v>9</v>
      </c>
      <c r="BO4" s="31">
        <v>10</v>
      </c>
      <c r="BP4" s="31">
        <v>14.38</v>
      </c>
      <c r="BQ4" s="31">
        <v>0</v>
      </c>
      <c r="BR4" s="33"/>
      <c r="BS4" s="9">
        <f>IF(SUM(AX4:BA4)-BB4&gt;0,SUM(AX4:BA4)-BB4,"")</f>
        <v>38.199999999999996</v>
      </c>
      <c r="BT4" s="9">
        <f>IF(BE4&gt;0,BE4,"")</f>
        <v>10</v>
      </c>
      <c r="BU4" s="9">
        <f>IF(SUM(BC4:BF4)-BG4&gt;0,SUM(BC4:BF4)-BG4,"")</f>
        <v>44.95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83.15</v>
      </c>
      <c r="BY4" s="9">
        <f>IF(BO4&gt;0,BO4,"")</f>
        <v>10</v>
      </c>
      <c r="BZ4" s="9">
        <f>IF(SUM(BM4:BP4)-BQ4&gt;0,SUM(BM4:BP4)-BQ4,"")</f>
        <v>47.68</v>
      </c>
      <c r="CA4" s="9">
        <f>IF(SUM(BX4,BZ4)&gt;0,SUM(BX4,BZ4),"")</f>
        <v>130.83000000000001</v>
      </c>
      <c r="CB4" s="27">
        <v>16.899999999999999</v>
      </c>
      <c r="CC4" s="27">
        <v>9.6</v>
      </c>
      <c r="CD4" s="27">
        <v>0</v>
      </c>
      <c r="CE4" s="27">
        <v>14.36</v>
      </c>
      <c r="CF4" s="27">
        <v>0</v>
      </c>
      <c r="CG4" s="27">
        <v>15.2</v>
      </c>
      <c r="CH4" s="27">
        <v>8.9</v>
      </c>
      <c r="CI4" s="27">
        <v>11.5</v>
      </c>
      <c r="CJ4" s="27">
        <v>13.46</v>
      </c>
      <c r="CK4" s="27">
        <v>0</v>
      </c>
      <c r="CL4" s="27"/>
      <c r="CM4" s="27"/>
      <c r="CN4" s="27"/>
      <c r="CO4" s="27"/>
      <c r="CP4" s="27"/>
      <c r="CQ4" s="27">
        <v>15.5</v>
      </c>
      <c r="CR4" s="27">
        <v>9.3000000000000007</v>
      </c>
      <c r="CS4" s="27">
        <v>11.5</v>
      </c>
      <c r="CT4" s="27">
        <v>13.55</v>
      </c>
      <c r="CU4" s="27">
        <v>0</v>
      </c>
      <c r="CV4" s="32"/>
      <c r="CW4" s="7">
        <f>IF(SUM(CB4:CE4)-CF4&gt;0,SUM(CB4:CE4)-CF4,"")</f>
        <v>40.86</v>
      </c>
      <c r="CX4" s="7">
        <f>IF(CI4&gt;0,CI4,"")</f>
        <v>11.5</v>
      </c>
      <c r="CY4" s="7">
        <f>IF(SUM(CG4:CJ4)-CK4&gt;0,SUM(CG4:CJ4)-CK4,"")</f>
        <v>49.06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89.92</v>
      </c>
      <c r="DC4" s="7">
        <f>IF(CS4&gt;0,CS4,"")</f>
        <v>11.5</v>
      </c>
      <c r="DD4" s="7">
        <f>IF(SUM(CQ4:CT4)-CU4&gt;0,SUM(CQ4:CT4)-CU4,"")</f>
        <v>49.849999999999994</v>
      </c>
      <c r="DE4" s="7">
        <f>IF(SUM(DB4,DD4)&gt;0,SUM(DB4,DD4),"")</f>
        <v>139.76999999999998</v>
      </c>
      <c r="DF4" s="13" t="str">
        <f>IF(MAX(DZ4,EV4,FR4,GN4,HJ4,IF4,JB4,JX4,KT4,LP4,ML4,NH4)-IF(K4="",0,K4)&gt;0.001,MAX(DZ4,EV4,FR4,GN4,HJ4,IF4,JB4,JX4,KT4,LP4,ML4,NH4)-IF(K4="",0,K4),"")</f>
        <v/>
      </c>
      <c r="DG4" s="13">
        <f>IF(MAX(EA4,EW4,FS4,GO4,HK4,IG4,JC4,JY4,KU4,LQ4,MM4,NI4)-IF(M4="",0,M4)&gt;0.001,MAX(EA4,EW4,FS4,GO4,HK4,IG4,JC4,JY4,KU4,LQ4,MM4,NI4)-IF(M4="",0,M4),"")</f>
        <v>2.9499999999999957</v>
      </c>
      <c r="DH4" s="13">
        <f>IF(MAX(EB4,EX4,FT4,GP4,HL4,IH4,JD4,JZ4,KV4,LR4,MN4,NJ4)-IF(I4="",0,I4)&gt;0.001,MAX(EB4,EX4,FT4,GP4,HL4,IH4,JD4,JZ4,KV4,LR4,MN4,NJ4)-IF(I4="",0,I4),"")</f>
        <v>0.29000000000000625</v>
      </c>
      <c r="DI4" s="13">
        <f>IF(MAX(ED4,EZ4,FV4,GR4,HN4,IJ4,JF4,KB4,KX4,LT4,MP4,NL4)-IF(O4="",0,O4)&gt;0.001,MAX(ED4,EZ4,FV4,GR4,HN4,IJ4,JF4,KB4,KX4,LT4,MP4,NL4)-IF(O4="",0,O4),"")</f>
        <v>0.13000000000000256</v>
      </c>
      <c r="DJ4" s="18">
        <v>16.2</v>
      </c>
      <c r="DK4" s="18">
        <v>9.9</v>
      </c>
      <c r="DL4" s="18">
        <v>0</v>
      </c>
      <c r="DM4" s="18">
        <v>14.48</v>
      </c>
      <c r="DN4" s="18">
        <v>0</v>
      </c>
      <c r="DO4" s="18">
        <v>14.9</v>
      </c>
      <c r="DP4" s="18">
        <v>9.1</v>
      </c>
      <c r="DQ4" s="18">
        <v>10</v>
      </c>
      <c r="DR4" s="18">
        <v>13.5</v>
      </c>
      <c r="DS4" s="18">
        <v>0</v>
      </c>
      <c r="DT4" s="18"/>
      <c r="DU4" s="18"/>
      <c r="DV4" s="18"/>
      <c r="DW4" s="18"/>
      <c r="DX4" s="18"/>
      <c r="DY4" s="7">
        <f>IF(DQ4&gt;0,DQ4,"")</f>
        <v>10</v>
      </c>
      <c r="DZ4" s="7">
        <f>IF(SUM(DJ4:DM4)-DN4&gt;0,SUM(DJ4:DM4)-DN4,"")</f>
        <v>40.58</v>
      </c>
      <c r="EA4" s="7">
        <f>IF(SUM(DO4:DR4)-DS4&gt;0,SUM(DO4:DR4)-DS4,"")</f>
        <v>47.5</v>
      </c>
      <c r="EB4" s="7">
        <f>IF(SUM(DZ4:EA4)&gt;0,SUM(DZ4:EA4),"")</f>
        <v>88.08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88.08</v>
      </c>
      <c r="EF4" s="19">
        <v>16.2</v>
      </c>
      <c r="EG4" s="19">
        <v>9.5</v>
      </c>
      <c r="EH4" s="19">
        <v>0</v>
      </c>
      <c r="EI4" s="19">
        <v>14.4</v>
      </c>
      <c r="EJ4" s="19">
        <v>0</v>
      </c>
      <c r="EK4" s="19">
        <v>6.6</v>
      </c>
      <c r="EL4" s="19">
        <v>4.0999999999999996</v>
      </c>
      <c r="EM4" s="19">
        <v>6.1</v>
      </c>
      <c r="EN4" s="19">
        <v>6.54</v>
      </c>
      <c r="EO4" s="19">
        <v>0</v>
      </c>
      <c r="EP4" s="19"/>
      <c r="EQ4" s="19"/>
      <c r="ER4" s="19"/>
      <c r="ES4" s="19"/>
      <c r="ET4" s="19"/>
      <c r="EU4" s="9">
        <f>IF(EM4&gt;0,EM4,"")</f>
        <v>6.1</v>
      </c>
      <c r="EV4" s="9">
        <f>IF(SUM(EF4:EI4)-EJ4&gt;0,SUM(EF4:EI4)-EJ4,"")</f>
        <v>40.1</v>
      </c>
      <c r="EW4" s="9">
        <f>IF(SUM(EK4:EN4)-EO4&gt;0,SUM(EK4:EN4)-EO4,"")</f>
        <v>23.339999999999996</v>
      </c>
      <c r="EX4" s="9">
        <f>IF(SUM(EV4:EW4)&gt;0,SUM(EV4:EW4),"")</f>
        <v>63.44</v>
      </c>
      <c r="EY4" s="9" t="str">
        <f>IF(ER4&gt;0,ER4,"")</f>
        <v/>
      </c>
      <c r="EZ4" s="9" t="str">
        <f>IF(SUM(EP4:ES4)-ET4&gt;0,SUM(EP4:ES4)-ET4,"")</f>
        <v/>
      </c>
      <c r="FA4" s="9">
        <f>IF(SUM(EX4,EZ4)&gt;0,SUM(EX4,EZ4),"")</f>
        <v>63.44</v>
      </c>
      <c r="FB4" s="18">
        <v>17.100000000000001</v>
      </c>
      <c r="FC4" s="18">
        <v>9.1</v>
      </c>
      <c r="FD4" s="18">
        <v>0</v>
      </c>
      <c r="FE4" s="18">
        <v>14.59</v>
      </c>
      <c r="FF4" s="18">
        <v>0</v>
      </c>
      <c r="FG4" s="18">
        <v>15</v>
      </c>
      <c r="FH4" s="18">
        <v>9.1</v>
      </c>
      <c r="FI4" s="18">
        <v>11.7</v>
      </c>
      <c r="FJ4" s="18">
        <v>13.62</v>
      </c>
      <c r="FK4" s="18">
        <v>0</v>
      </c>
      <c r="FL4" s="18">
        <v>14</v>
      </c>
      <c r="FM4" s="18">
        <v>9.3000000000000007</v>
      </c>
      <c r="FN4" s="18">
        <v>11.7</v>
      </c>
      <c r="FO4" s="18">
        <v>13.41</v>
      </c>
      <c r="FP4" s="18">
        <v>0</v>
      </c>
      <c r="FQ4" s="7">
        <f>IF(FI4&gt;0,FI4,"")</f>
        <v>11.7</v>
      </c>
      <c r="FR4" s="7">
        <f>IF(SUM(FB4:FE4)-FF4&gt;0,SUM(FB4:FE4)-FF4,"")</f>
        <v>40.790000000000006</v>
      </c>
      <c r="FS4" s="7">
        <f>IF(SUM(FG4:FJ4)-FK4&gt;0,SUM(FG4:FJ4)-FK4,"")</f>
        <v>49.419999999999995</v>
      </c>
      <c r="FT4" s="7">
        <f>IF(SUM(FR4:FS4)&gt;0,SUM(FR4:FS4),"")</f>
        <v>90.210000000000008</v>
      </c>
      <c r="FU4" s="7">
        <f>IF(FN4&gt;0,FN4,"")</f>
        <v>11.7</v>
      </c>
      <c r="FV4" s="7">
        <f>IF(SUM(FL4:FO4)-FP4&gt;0,SUM(FL4:FO4)-FP4,"")</f>
        <v>48.41</v>
      </c>
      <c r="FW4" s="7">
        <f>IF(SUM(FT4,FV4)&gt;0,SUM(FT4,FV4),"")</f>
        <v>138.62</v>
      </c>
      <c r="FX4" s="19">
        <v>16.399999999999999</v>
      </c>
      <c r="FY4" s="19">
        <v>9.6999999999999993</v>
      </c>
      <c r="FZ4" s="19">
        <v>0</v>
      </c>
      <c r="GA4" s="19">
        <v>14.8</v>
      </c>
      <c r="GB4" s="19">
        <v>0</v>
      </c>
      <c r="GC4" s="19">
        <v>14.3</v>
      </c>
      <c r="GD4" s="19">
        <v>9.6</v>
      </c>
      <c r="GE4" s="19">
        <v>11.7</v>
      </c>
      <c r="GF4" s="19">
        <v>13.41</v>
      </c>
      <c r="GG4" s="19">
        <v>0</v>
      </c>
      <c r="GH4" s="19">
        <v>15.1</v>
      </c>
      <c r="GI4" s="19">
        <v>9.5</v>
      </c>
      <c r="GJ4" s="19">
        <v>11.7</v>
      </c>
      <c r="GK4" s="19">
        <v>13.68</v>
      </c>
      <c r="GL4" s="19">
        <v>0</v>
      </c>
      <c r="GM4" s="9">
        <f>IF(GE4&gt;0,GE4,"")</f>
        <v>11.7</v>
      </c>
      <c r="GN4" s="9">
        <f>IF(SUM(FX4:GA4)-GB4&gt;0,SUM(FX4:GA4)-GB4,"")</f>
        <v>40.9</v>
      </c>
      <c r="GO4" s="9">
        <f>IF(SUM(GC4:GF4)-GG4&gt;0,SUM(GC4:GF4)-GG4,"")</f>
        <v>49.009999999999991</v>
      </c>
      <c r="GP4" s="9">
        <f>IF(SUM(GN4:GO4)&gt;0,SUM(GN4:GO4),"")</f>
        <v>89.91</v>
      </c>
      <c r="GQ4" s="9">
        <f>IF(GJ4&gt;0,GJ4,"")</f>
        <v>11.7</v>
      </c>
      <c r="GR4" s="9">
        <f>IF(SUM(GH4:GK4)-GL4&gt;0,SUM(GH4:GK4)-GL4,"")</f>
        <v>49.98</v>
      </c>
      <c r="GS4" s="9">
        <f>IF(SUM(GP4,GR4)&gt;0,SUM(GP4,GR4),"")</f>
        <v>139.88999999999999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6" si="0">IF($CV4="P",CB4,(CB4+AX4)/2)</f>
        <v>16.299999999999997</v>
      </c>
      <c r="NO4" s="27">
        <f t="shared" si="0"/>
        <v>9.6</v>
      </c>
      <c r="NP4" s="27">
        <f t="shared" si="0"/>
        <v>0</v>
      </c>
      <c r="NQ4" s="27">
        <f t="shared" si="0"/>
        <v>14.629999999999999</v>
      </c>
      <c r="NR4" s="27">
        <f t="shared" si="0"/>
        <v>1</v>
      </c>
      <c r="NS4" s="27">
        <f t="shared" si="0"/>
        <v>13.45</v>
      </c>
      <c r="NT4" s="27">
        <f t="shared" si="0"/>
        <v>9.0500000000000007</v>
      </c>
      <c r="NU4" s="27">
        <f t="shared" si="0"/>
        <v>10.75</v>
      </c>
      <c r="NV4" s="27">
        <f t="shared" si="0"/>
        <v>13.755000000000001</v>
      </c>
      <c r="NW4" s="27">
        <f t="shared" si="0"/>
        <v>0</v>
      </c>
      <c r="NX4" s="27">
        <f t="shared" ref="NX4:OG6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14.9</v>
      </c>
      <c r="OD4" s="27">
        <f t="shared" si="1"/>
        <v>9.15</v>
      </c>
      <c r="OE4" s="27">
        <f t="shared" si="1"/>
        <v>10.75</v>
      </c>
      <c r="OF4" s="27">
        <f t="shared" si="1"/>
        <v>13.965</v>
      </c>
      <c r="OG4" s="27">
        <f t="shared" si="1"/>
        <v>0</v>
      </c>
      <c r="OH4" s="32" t="s">
        <v>44</v>
      </c>
      <c r="OI4" s="7">
        <f>IF(SUM(NN4:NQ4)-NR4&gt;0,SUM(NN4:NQ4)-NR4,"")</f>
        <v>39.53</v>
      </c>
      <c r="OJ4" s="7">
        <f>IF(NU4&gt;0,NU4,"")</f>
        <v>10.75</v>
      </c>
      <c r="OK4" s="7">
        <f>IF(SUM(NS4:NV4)-NW4&gt;0,SUM(NS4:NV4)-NW4,"")</f>
        <v>47.005000000000003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86.534999999999997</v>
      </c>
      <c r="OO4" s="7">
        <f>IF(OE4&gt;0,OE4,"")</f>
        <v>10.75</v>
      </c>
      <c r="OP4" s="7">
        <f t="shared" ref="OP4" si="2">IF(SUM(OC4:OF4)-OG4&gt;0,SUM(OC4:OF4)-OG4,"")</f>
        <v>48.765000000000001</v>
      </c>
      <c r="OQ4" s="7">
        <f t="shared" ref="OQ4" si="3">IF(SUM(ON4,OP4)&gt;0,SUM(ON4,OP4),"")</f>
        <v>135.30000000000001</v>
      </c>
    </row>
    <row r="5" spans="1:407" x14ac:dyDescent="0.2">
      <c r="A5" s="4" t="str" cm="1">
        <f t="array" ref="A5">IF(AND(F5&lt;&gt;"",G5&lt;&gt;""),SUMPRODUCT((F$4:F$7&lt;&gt;"")*(G$4:G$7&lt;&gt;"")*(E$4:E$7&gt;E5))+1,IF(G5&lt;&gt;"",SUMPRODUCT((H$4:H$7="No DD")*(E$4:E$7&gt;E5))+1+SUMPRODUCT((F$4:F$7&lt;&gt;"")*(G$4:G$7&lt;&gt;"")),""))</f>
        <v/>
      </c>
      <c r="B5" s="5" t="s">
        <v>81</v>
      </c>
      <c r="C5" s="4" t="s">
        <v>68</v>
      </c>
      <c r="D5" s="4">
        <v>2009</v>
      </c>
      <c r="E5" s="10">
        <f>SUM(I5:Q5)</f>
        <v>218.06</v>
      </c>
      <c r="F5" s="3" t="str">
        <f>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P","")</f>
        <v/>
      </c>
      <c r="G5" s="3" t="str">
        <f>IF(OR(AND(AT5&gt;=AW$13,AO5&lt;&gt;"",AN5=""),AND(BX5&gt;=CA$13,BS5&lt;&gt;"",BR5=""),AND(DB5&gt;=DE$13,CW5&lt;&gt;"",CV5=""),AND(EB5&gt;=EE$13,DY5&lt;&gt;""),AND(EX5&gt;=FA$13,EU5&lt;&gt;""),AND(FT5&gt;=FW$13,FQ5&lt;&gt;""),AND(GP5&gt;=GS$13,GM5&lt;&gt;""),AND(HL5&gt;=HO$13,HI5&lt;&gt;""),AND(IH5&gt;=IK$13,IE5&lt;&gt;""),AND(JD5&gt;=JG$13,JA5&lt;&gt;""),AND(JZ5&gt;=KC$13,JW5&lt;&gt;""),AND(KV5&gt;=KY$13,KS5&lt;&gt;""),AND(LR5&gt;=LU$13,LO5&lt;&gt;""),AND(MN5&gt;=MQ$13,MK5&lt;&gt;""),AND(NJ5&gt;=NM$13,NG5&lt;&gt;"")),"P","")</f>
        <v/>
      </c>
      <c r="H5" s="47" t="str">
        <f>IF(OR(AND(AP5&gt;=AW$12,AQ5&gt;=AW$16,AP5&lt;&gt;"",AN5=""),AND(AU5&gt;=AW$12,AV5&gt;=AW$16,AU5&lt;&gt;"",AN5=""),AND(BT5&gt;=CA$12,BU5&gt;=CA$16,BT5&lt;&gt;"",BR5=""),AND(BY5&gt;=CA$12,BZ5&gt;=CA$16,BY5&lt;&gt;"",BR5=""),AND(CX5&gt;=DE$12,CY5&gt;=DE$16,CX5&lt;&gt;"",CV5=""),AND(DC5&gt;=DE$12,DD5&gt;=DE$16,DC5&lt;&gt;"",CV5=""),AND(DY5&gt;=EE$12,EA5&gt;=EE$16,DY5&lt;&gt;""),AND(EC5&gt;=EE$12,ED5&gt;=EE$16,EC5&lt;&gt;""),AND(EU5&gt;=FA$12,EW5&gt;=FA$16,EU5&lt;&gt;""),AND(EY5&gt;=FA$12,EZ5&gt;=FA$16,EY5&lt;&gt;""),AND(FQ5&gt;=FW$12,FS5&gt;=FW$16,FQ5&lt;&gt;""),AND(FU5&gt;=FW$12,FV5&gt;=FW$16,FU5&lt;&gt;""),AND(GM5&gt;=GS$12,GO5&gt;=GS$16,GM5&lt;&gt;""),AND(GQ5&gt;=GS$12,GR5&gt;=GS$16,GQ5&lt;&gt;""),AND(HI5&gt;=HO$12,HK5&gt;=HO$16,HI5&lt;&gt;""),AND(HM5&gt;=HO$12,HN5&gt;=HO$16,HM5&lt;&gt;""),AND(IE5&gt;=IK$12,IG5&gt;=IK$16,IE5&lt;&gt;""),AND(II5&gt;=IK$12,IJ5&gt;=IK$16,II5&lt;&gt;""),AND(JA5&gt;=JG$12,JC5&gt;=JG$16,JA5&lt;&gt;""),AND(JE5&gt;=JG$12,JF5&gt;=JG$16,JE5&lt;&gt;""),AND(JW5&gt;=KC$12,JY5&gt;=KC$16,JW5&lt;&gt;""),AND(KA5&gt;=KC$12,KB5&gt;=KC$16,KA5&lt;&gt;""),AND(KS5&gt;=KY$12,KU5&gt;=KY$16,KS5&lt;&gt;""),AND(KW5&gt;=KY$12,KX5&gt;=KY$16,KW5&lt;&gt;""),AND(LO5&gt;=LU$12,LQ5&gt;=LU$16,LO5&lt;&gt;""),AND(LS5&gt;=LU$12,LT5&gt;=LU$16,LS5&lt;&gt;""),AND(MK5&gt;=MQ$12,MM5&gt;=MQ$16,MK5&lt;&gt;""),AND(MO5&gt;=MQ$12,MP5&gt;=MQ$16,MO5&lt;&gt;""),AND(NG5&gt;=NM$12,NI5&gt;=NM$16,NG5&lt;&gt;""),AND(NK5&gt;=NM$12,NL5&gt;=NM$16,NK5&lt;&gt;"")),"Merit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Excellence",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National Team",IF(G5="P","No DD",""))))</f>
        <v/>
      </c>
      <c r="I5" s="9">
        <f>IF(MAX(AT5,BX5,DB5)&gt;0,MAX(AT5,BX5,DB5),0)</f>
        <v>85.22</v>
      </c>
      <c r="J5" s="9" t="str">
        <f>IF(I5=0,"",IF(I5=DB5,$CB$1,IF(I5=BX5,$AX$1,IF(I5=AT5,$T$1,""))))</f>
        <v>2022 Nationals</v>
      </c>
      <c r="K5" s="9">
        <f>IF($I5=$AT5,MAX(BS5,CW5),IF($I5=$BX5,MAX(AO5,CW5),IF($I5=$DB5,MAX(AO5,BS5),MAX(AO5,BS5,CW5))))</f>
        <v>39.47</v>
      </c>
      <c r="L5" s="9" t="str">
        <f>IF(K5=0,"",IF(AND(K5=CW5,$J5&lt;&gt;$CB$1),$CB$1,IF(AND(K5=BS5,$J5&lt;&gt;$AX$1),$AX$1,IF(AND(K5=AO5,$J5&lt;&gt;$T$1),$T$1,""))))</f>
        <v>2023 Elite Canada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44.34</v>
      </c>
      <c r="N5" s="9" t="str">
        <f>IF(M5=0,"",IF(AND(OR(M5=DA5,M5=CY5),$J5&lt;&gt;$CB$1),$CB$1,IF(AND(OR(M5=BW5,M5=BU5),$J5&lt;&gt;$AX$1),$AX$1,IF(AND(OR(M5=AS5,M5=AQ5),$J5&lt;&gt;$T$1),$T$1,""))))</f>
        <v>2023 Elite Canada</v>
      </c>
      <c r="O5" s="9">
        <f>MAX(AV5,BZ5,DD5)</f>
        <v>24.45</v>
      </c>
      <c r="P5" s="9" t="str">
        <f>IF(O5=0,"",IF(O5=DD5,$CB$1,IF(O5=BZ5,$AX$1,IF(O5=AV5,$T$1,""))))</f>
        <v>2022 Nationals</v>
      </c>
      <c r="Q5" s="9">
        <f>IF(MAX(DF5,DG5,DH5,DI5)&gt;0,MAX(DF5,DG5,DH5,DI5),"")</f>
        <v>24.580000000000002</v>
      </c>
      <c r="R5" s="14" t="str">
        <f>IF(Q5="","",IF(Q5=DF5,"(Vol 1)",IF(Q5=DG5,"(Vol 2)",IF(Q5=DH5,"(Prelim)",IF(Q5=DI5,"(Final)")))))</f>
        <v>(Final)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2023 Pan Am Championships (May 14)</v>
      </c>
      <c r="T5" s="27">
        <v>16.3</v>
      </c>
      <c r="U5" s="27">
        <v>9.5</v>
      </c>
      <c r="V5" s="27">
        <v>0</v>
      </c>
      <c r="W5" s="27">
        <v>13.4</v>
      </c>
      <c r="X5" s="27">
        <v>0</v>
      </c>
      <c r="Y5" s="27">
        <v>13.3</v>
      </c>
      <c r="Z5" s="27">
        <v>9.1</v>
      </c>
      <c r="AA5" s="27">
        <v>10.3</v>
      </c>
      <c r="AB5" s="27">
        <v>13.32</v>
      </c>
      <c r="AC5" s="27">
        <v>0</v>
      </c>
      <c r="AD5" s="27"/>
      <c r="AE5" s="27"/>
      <c r="AF5" s="27"/>
      <c r="AG5" s="27"/>
      <c r="AH5" s="27"/>
      <c r="AI5" s="27">
        <v>7.3</v>
      </c>
      <c r="AJ5" s="27">
        <v>4.5999999999999996</v>
      </c>
      <c r="AK5" s="27">
        <v>5.6</v>
      </c>
      <c r="AL5" s="27">
        <v>6.95</v>
      </c>
      <c r="AM5" s="27">
        <v>0</v>
      </c>
      <c r="AN5" s="32"/>
      <c r="AO5" s="7">
        <f>IF(SUM(T5:W5)-X5&gt;0,SUM(T5:W5)-X5,"")</f>
        <v>39.200000000000003</v>
      </c>
      <c r="AP5" s="7">
        <f>IF(AA5&gt;0,AA5,"")</f>
        <v>10.3</v>
      </c>
      <c r="AQ5" s="7">
        <f>IF(SUM(Y5:AB5)-AC5&gt;0,SUM(Y5:AB5)-AC5,"")</f>
        <v>46.02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85.22</v>
      </c>
      <c r="AU5" s="7">
        <f>IF(AK5&gt;0,AK5,"")</f>
        <v>5.6</v>
      </c>
      <c r="AV5" s="7">
        <f>IF(SUM(AI5:AL5)-AM5&gt;0,SUM(AI5:AL5)-AM5,"")</f>
        <v>24.45</v>
      </c>
      <c r="AW5" s="7">
        <f>IF(SUM(AT5,AV5)&gt;0,SUM(AT5,AV5),"")</f>
        <v>109.67</v>
      </c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3"/>
      <c r="BS5" s="9" t="str">
        <f>IF(SUM(AX5:BA5)-BB5&gt;0,SUM(AX5:BA5)-BB5,"")</f>
        <v/>
      </c>
      <c r="BT5" s="9" t="str">
        <f>IF(BE5&gt;0,BE5,"")</f>
        <v/>
      </c>
      <c r="BU5" s="9" t="str">
        <f>IF(SUM(BC5:BF5)-BG5&gt;0,SUM(BC5:BF5)-BG5,"")</f>
        <v/>
      </c>
      <c r="BV5" s="9" t="str">
        <f>IF(BJ5&gt;0,BJ5,"")</f>
        <v/>
      </c>
      <c r="BW5" s="9" t="str">
        <f>IF(SUM(BH5:BK5)-BL5&gt;0,SUM(BH5:BK5)-BL5,"")</f>
        <v/>
      </c>
      <c r="BX5" s="9" t="str">
        <f>IF(BS5="",IF(MAX(BU5,BW5)&gt;0,MAX(BU5,BW5),""),MAX(BU5,BW5)+BS5)</f>
        <v/>
      </c>
      <c r="BY5" s="9" t="str">
        <f>IF(BO5&gt;0,BO5,"")</f>
        <v/>
      </c>
      <c r="BZ5" s="9" t="str">
        <f>IF(SUM(BM5:BP5)-BQ5&gt;0,SUM(BM5:BP5)-BQ5,"")</f>
        <v/>
      </c>
      <c r="CA5" s="9" t="str">
        <f>IF(SUM(BX5,BZ5)&gt;0,SUM(BX5,BZ5),"")</f>
        <v/>
      </c>
      <c r="CB5" s="27">
        <v>16.3</v>
      </c>
      <c r="CC5" s="27">
        <v>9.6</v>
      </c>
      <c r="CD5" s="27">
        <v>0</v>
      </c>
      <c r="CE5" s="27">
        <v>13.57</v>
      </c>
      <c r="CF5" s="27">
        <v>0</v>
      </c>
      <c r="CG5" s="27">
        <v>11.8</v>
      </c>
      <c r="CH5" s="27">
        <v>9.1999999999999993</v>
      </c>
      <c r="CI5" s="27">
        <v>10</v>
      </c>
      <c r="CJ5" s="27">
        <v>13.34</v>
      </c>
      <c r="CK5" s="27">
        <v>0</v>
      </c>
      <c r="CL5" s="27"/>
      <c r="CM5" s="27"/>
      <c r="CN5" s="27"/>
      <c r="CO5" s="27"/>
      <c r="CP5" s="27"/>
      <c r="CQ5" s="27">
        <v>3.65</v>
      </c>
      <c r="CR5" s="27">
        <v>2.2999999999999998</v>
      </c>
      <c r="CS5" s="27">
        <v>2.8</v>
      </c>
      <c r="CT5" s="27">
        <v>3.4750000000000001</v>
      </c>
      <c r="CU5" s="27">
        <v>0</v>
      </c>
      <c r="CV5" s="32"/>
      <c r="CW5" s="7">
        <f>IF(SUM(CB5:CE5)-CF5&gt;0,SUM(CB5:CE5)-CF5,"")</f>
        <v>39.47</v>
      </c>
      <c r="CX5" s="7">
        <f>IF(CI5&gt;0,CI5,"")</f>
        <v>10</v>
      </c>
      <c r="CY5" s="7">
        <f>IF(SUM(CG5:CJ5)-CK5&gt;0,SUM(CG5:CJ5)-CK5,"")</f>
        <v>44.34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83.81</v>
      </c>
      <c r="DC5" s="7">
        <f>IF(CS5&gt;0,CS5,"")</f>
        <v>2.8</v>
      </c>
      <c r="DD5" s="7">
        <f>IF(SUM(CQ5:CT5)-CU5&gt;0,SUM(CQ5:CT5)-CU5,"")</f>
        <v>12.225</v>
      </c>
      <c r="DE5" s="7">
        <f>IF(SUM(DB5,DD5)&gt;0,SUM(DB5,DD5),"")</f>
        <v>96.034999999999997</v>
      </c>
      <c r="DF5" s="13">
        <f>IF(MAX(DZ5,EV5,FR5,GN5,HJ5,IF5,JB5,JX5,KT5,LP5,ML5,NH5)-IF(K5="",0,K5)&gt;0.001,MAX(DZ5,EV5,FR5,GN5,HJ5,IF5,JB5,JX5,KT5,LP5,ML5,NH5)-IF(K5="",0,K5),"")</f>
        <v>1.0800000000000054</v>
      </c>
      <c r="DG5" s="13">
        <f>IF(MAX(EA5,EW5,FS5,GO5,HK5,IG5,JC5,JY5,KU5,LQ5,MM5,NI5)-IF(M5="",0,M5)&gt;0.001,MAX(EA5,EW5,FS5,GO5,HK5,IG5,JC5,JY5,KU5,LQ5,MM5,NI5)-IF(M5="",0,M5),"")</f>
        <v>3.6199999999999974</v>
      </c>
      <c r="DH5" s="13">
        <f>IF(MAX(EB5,EX5,FT5,GP5,HL5,IH5,JD5,JZ5,KV5,LR5,MN5,NJ5)-IF(I5="",0,I5)&gt;0.001,MAX(EB5,EX5,FT5,GP5,HL5,IH5,JD5,JZ5,KV5,LR5,MN5,NJ5)-IF(I5="",0,I5),"")</f>
        <v>1.6500000000000057</v>
      </c>
      <c r="DI5" s="13">
        <f>IF(MAX(ED5,EZ5,FV5,GR5,HN5,IJ5,JF5,KB5,KX5,LT5,MP5,NL5)-IF(O5="",0,O5)&gt;0.001,MAX(ED5,EZ5,FV5,GR5,HN5,IJ5,JF5,KB5,KX5,LT5,MP5,NL5)-IF(O5="",0,O5),"")</f>
        <v>24.580000000000002</v>
      </c>
      <c r="DJ5" s="18">
        <v>17.100000000000001</v>
      </c>
      <c r="DK5" s="18">
        <v>9.8000000000000007</v>
      </c>
      <c r="DL5" s="18">
        <v>0</v>
      </c>
      <c r="DM5" s="18">
        <v>13.65</v>
      </c>
      <c r="DN5" s="18">
        <v>0</v>
      </c>
      <c r="DO5" s="18">
        <v>7.4</v>
      </c>
      <c r="DP5" s="18">
        <v>4.7</v>
      </c>
      <c r="DQ5" s="18">
        <v>5.6</v>
      </c>
      <c r="DR5" s="18">
        <v>7.13</v>
      </c>
      <c r="DS5" s="18">
        <v>0</v>
      </c>
      <c r="DT5" s="18"/>
      <c r="DU5" s="18"/>
      <c r="DV5" s="18"/>
      <c r="DW5" s="18"/>
      <c r="DX5" s="18"/>
      <c r="DY5" s="7">
        <f>IF(DQ5&gt;0,DQ5,"")</f>
        <v>5.6</v>
      </c>
      <c r="DZ5" s="7">
        <f>IF(SUM(DJ5:DM5)-DN5&gt;0,SUM(DJ5:DM5)-DN5,"")</f>
        <v>40.550000000000004</v>
      </c>
      <c r="EA5" s="7">
        <f>IF(SUM(DO5:DR5)-DS5&gt;0,SUM(DO5:DR5)-DS5,"")</f>
        <v>24.830000000000002</v>
      </c>
      <c r="EB5" s="7">
        <f>IF(SUM(DZ5:EA5)&gt;0,SUM(DZ5:EA5),"")</f>
        <v>65.38000000000001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65.38000000000001</v>
      </c>
      <c r="EF5" s="19">
        <v>16.100000000000001</v>
      </c>
      <c r="EG5" s="19">
        <v>9.4</v>
      </c>
      <c r="EH5" s="19">
        <v>0</v>
      </c>
      <c r="EI5" s="19">
        <v>13.83</v>
      </c>
      <c r="EJ5" s="19">
        <v>0</v>
      </c>
      <c r="EK5" s="19">
        <v>12.5</v>
      </c>
      <c r="EL5" s="19">
        <v>9.4</v>
      </c>
      <c r="EM5" s="19">
        <v>11</v>
      </c>
      <c r="EN5" s="19">
        <v>13.55</v>
      </c>
      <c r="EO5" s="19">
        <v>0</v>
      </c>
      <c r="EP5" s="19"/>
      <c r="EQ5" s="19"/>
      <c r="ER5" s="19"/>
      <c r="ES5" s="19"/>
      <c r="ET5" s="19"/>
      <c r="EU5" s="9">
        <f>IF(EM5&gt;0,EM5,"")</f>
        <v>11</v>
      </c>
      <c r="EV5" s="9">
        <f>IF(SUM(EF5:EI5)-EJ5&gt;0,SUM(EF5:EI5)-EJ5,"")</f>
        <v>39.33</v>
      </c>
      <c r="EW5" s="9">
        <f>IF(SUM(EK5:EN5)-EO5&gt;0,SUM(EK5:EN5)-EO5,"")</f>
        <v>46.45</v>
      </c>
      <c r="EX5" s="9">
        <f>IF(SUM(EV5:EW5)&gt;0,SUM(EV5:EW5),"")</f>
        <v>85.78</v>
      </c>
      <c r="EY5" s="9" t="str">
        <f>IF(ER5&gt;0,ER5,"")</f>
        <v/>
      </c>
      <c r="EZ5" s="9" t="str">
        <f>IF(SUM(EP5:ES5)-ET5&gt;0,SUM(EP5:ES5)-ET5,"")</f>
        <v/>
      </c>
      <c r="FA5" s="9">
        <f>IF(SUM(EX5,EZ5)&gt;0,SUM(EX5,EZ5),"")</f>
        <v>85.78</v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>
        <v>15.9</v>
      </c>
      <c r="FY5" s="19">
        <v>9.4</v>
      </c>
      <c r="FZ5" s="19">
        <v>0</v>
      </c>
      <c r="GA5" s="19">
        <v>13.61</v>
      </c>
      <c r="GB5" s="19">
        <v>0</v>
      </c>
      <c r="GC5" s="19">
        <v>13.5</v>
      </c>
      <c r="GD5" s="19">
        <v>8.8000000000000007</v>
      </c>
      <c r="GE5" s="19">
        <v>12.1</v>
      </c>
      <c r="GF5" s="19">
        <v>13.56</v>
      </c>
      <c r="GG5" s="19">
        <v>0</v>
      </c>
      <c r="GH5" s="19">
        <v>14.1</v>
      </c>
      <c r="GI5" s="19">
        <v>9.1999999999999993</v>
      </c>
      <c r="GJ5" s="19">
        <v>12.1</v>
      </c>
      <c r="GK5" s="19">
        <v>13.63</v>
      </c>
      <c r="GL5" s="19">
        <v>0</v>
      </c>
      <c r="GM5" s="9">
        <f>IF(GE5&gt;0,GE5,"")</f>
        <v>12.1</v>
      </c>
      <c r="GN5" s="9">
        <f>IF(SUM(FX5:GA5)-GB5&gt;0,SUM(FX5:GA5)-GB5,"")</f>
        <v>38.909999999999997</v>
      </c>
      <c r="GO5" s="9">
        <f>IF(SUM(GC5:GF5)-GG5&gt;0,SUM(GC5:GF5)-GG5,"")</f>
        <v>47.96</v>
      </c>
      <c r="GP5" s="9">
        <f>IF(SUM(GN5:GO5)&gt;0,SUM(GN5:GO5),"")</f>
        <v>86.87</v>
      </c>
      <c r="GQ5" s="9">
        <f>IF(GJ5&gt;0,GJ5,"")</f>
        <v>12.1</v>
      </c>
      <c r="GR5" s="9">
        <f>IF(SUM(GH5:GK5)-GL5&gt;0,SUM(GH5:GK5)-GL5,"")</f>
        <v>49.03</v>
      </c>
      <c r="GS5" s="9">
        <f>IF(SUM(GP5,GR5)&gt;0,SUM(GP5,GR5),"")</f>
        <v>135.9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8.15</v>
      </c>
      <c r="NO5" s="27">
        <f t="shared" si="0"/>
        <v>4.8</v>
      </c>
      <c r="NP5" s="27">
        <f t="shared" si="0"/>
        <v>0</v>
      </c>
      <c r="NQ5" s="27">
        <f t="shared" si="0"/>
        <v>6.7850000000000001</v>
      </c>
      <c r="NR5" s="27">
        <f t="shared" si="0"/>
        <v>0</v>
      </c>
      <c r="NS5" s="27">
        <f t="shared" si="0"/>
        <v>5.9</v>
      </c>
      <c r="NT5" s="27">
        <f t="shared" si="0"/>
        <v>4.5999999999999996</v>
      </c>
      <c r="NU5" s="27">
        <f t="shared" si="0"/>
        <v>5</v>
      </c>
      <c r="NV5" s="27">
        <f t="shared" si="0"/>
        <v>6.67</v>
      </c>
      <c r="NW5" s="27">
        <f t="shared" si="0"/>
        <v>0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1.825</v>
      </c>
      <c r="OD5" s="27">
        <f t="shared" si="1"/>
        <v>1.1499999999999999</v>
      </c>
      <c r="OE5" s="27">
        <f t="shared" si="1"/>
        <v>1.4</v>
      </c>
      <c r="OF5" s="27">
        <f t="shared" si="1"/>
        <v>1.7375</v>
      </c>
      <c r="OG5" s="27">
        <f t="shared" si="1"/>
        <v>0</v>
      </c>
      <c r="OH5" s="32" t="s">
        <v>44</v>
      </c>
      <c r="OI5" s="7">
        <f>IF(SUM(NN5:NQ5)-NR5&gt;0,SUM(NN5:NQ5)-NR5,"")</f>
        <v>19.734999999999999</v>
      </c>
      <c r="OJ5" s="7">
        <f>IF(NU5&gt;0,NU5,"")</f>
        <v>5</v>
      </c>
      <c r="OK5" s="7">
        <f>IF(SUM(NS5:NV5)-NW5&gt;0,SUM(NS5:NV5)-NW5,"")</f>
        <v>22.17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41.905000000000001</v>
      </c>
      <c r="OO5" s="7">
        <f>IF(OE5&gt;0,OE5,"")</f>
        <v>1.4</v>
      </c>
      <c r="OP5" s="7">
        <f t="shared" ref="OP5" si="4">IF(SUM(OC5:OF5)-OG5&gt;0,SUM(OC5:OF5)-OG5,"")</f>
        <v>6.1124999999999998</v>
      </c>
      <c r="OQ5" s="7">
        <f t="shared" ref="OQ5" si="5">IF(SUM(ON5,OP5)&gt;0,SUM(ON5,OP5),"")</f>
        <v>48.017499999999998</v>
      </c>
    </row>
    <row r="6" spans="1:407" x14ac:dyDescent="0.2">
      <c r="A6" s="4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5" t="s">
        <v>88</v>
      </c>
      <c r="C6" s="4" t="s">
        <v>68</v>
      </c>
      <c r="D6" s="4">
        <v>2007</v>
      </c>
      <c r="E6" s="10">
        <f>SUM(I6:Q6)</f>
        <v>184.87000000000003</v>
      </c>
      <c r="F6" s="3" t="str">
        <f>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P","")</f>
        <v/>
      </c>
      <c r="G6" s="3" t="str">
        <f>IF(OR(AND(AT6&gt;=AW$13,AO6&lt;&gt;"",AN6=""),AND(BX6&gt;=CA$13,BS6&lt;&gt;"",BR6=""),AND(DB6&gt;=DE$13,CW6&lt;&gt;"",CV6=""),AND(EB6&gt;=EE$13,DY6&lt;&gt;""),AND(EX6&gt;=FA$13,EU6&lt;&gt;""),AND(FT6&gt;=FW$13,FQ6&lt;&gt;""),AND(GP6&gt;=GS$13,GM6&lt;&gt;""),AND(HL6&gt;=HO$13,HI6&lt;&gt;""),AND(IH6&gt;=IK$13,IE6&lt;&gt;""),AND(JD6&gt;=JG$13,JA6&lt;&gt;""),AND(JZ6&gt;=KC$13,JW6&lt;&gt;""),AND(KV6&gt;=KY$13,KS6&lt;&gt;""),AND(LR6&gt;=LU$13,LO6&lt;&gt;""),AND(MN6&gt;=MQ$13,MK6&lt;&gt;""),AND(NJ6&gt;=NM$13,NG6&lt;&gt;"")),"P","")</f>
        <v/>
      </c>
      <c r="H6" s="47" t="str">
        <f>IF(OR(AND(AP6&gt;=AW$12,AQ6&gt;=AW$16,AP6&lt;&gt;"",AN6=""),AND(AU6&gt;=AW$12,AV6&gt;=AW$16,AU6&lt;&gt;"",AN6=""),AND(BT6&gt;=CA$12,BU6&gt;=CA$16,BT6&lt;&gt;"",BR6=""),AND(BY6&gt;=CA$12,BZ6&gt;=CA$16,BY6&lt;&gt;"",BR6=""),AND(CX6&gt;=DE$12,CY6&gt;=DE$16,CX6&lt;&gt;"",CV6=""),AND(DC6&gt;=DE$12,DD6&gt;=DE$16,DC6&lt;&gt;"",CV6=""),AND(DY6&gt;=EE$12,EA6&gt;=EE$16,DY6&lt;&gt;""),AND(EC6&gt;=EE$12,ED6&gt;=EE$16,EC6&lt;&gt;""),AND(EU6&gt;=FA$12,EW6&gt;=FA$16,EU6&lt;&gt;""),AND(EY6&gt;=FA$12,EZ6&gt;=FA$16,EY6&lt;&gt;""),AND(FQ6&gt;=FW$12,FS6&gt;=FW$16,FQ6&lt;&gt;""),AND(FU6&gt;=FW$12,FV6&gt;=FW$16,FU6&lt;&gt;""),AND(GM6&gt;=GS$12,GO6&gt;=GS$16,GM6&lt;&gt;""),AND(GQ6&gt;=GS$12,GR6&gt;=GS$16,GQ6&lt;&gt;""),AND(HI6&gt;=HO$12,HK6&gt;=HO$16,HI6&lt;&gt;""),AND(HM6&gt;=HO$12,HN6&gt;=HO$16,HM6&lt;&gt;""),AND(IE6&gt;=IK$12,IG6&gt;=IK$16,IE6&lt;&gt;""),AND(II6&gt;=IK$12,IJ6&gt;=IK$16,II6&lt;&gt;""),AND(JA6&gt;=JG$12,JC6&gt;=JG$16,JA6&lt;&gt;""),AND(JE6&gt;=JG$12,JF6&gt;=JG$16,JE6&lt;&gt;""),AND(JW6&gt;=KC$12,JY6&gt;=KC$16,JW6&lt;&gt;""),AND(KA6&gt;=KC$12,KB6&gt;=KC$16,KA6&lt;&gt;""),AND(KS6&gt;=KY$12,KU6&gt;=KY$16,KS6&lt;&gt;""),AND(KW6&gt;=KY$12,KX6&gt;=KY$16,KW6&lt;&gt;""),AND(LO6&gt;=LU$12,LQ6&gt;=LU$16,LO6&lt;&gt;""),AND(LS6&gt;=LU$12,LT6&gt;=LU$16,LS6&lt;&gt;""),AND(MK6&gt;=MQ$12,MM6&gt;=MQ$16,MK6&lt;&gt;""),AND(MO6&gt;=MQ$12,MP6&gt;=MQ$16,MO6&lt;&gt;""),AND(NG6&gt;=NM$12,NI6&gt;=NM$16,NG6&lt;&gt;""),AND(NK6&gt;=NM$12,NL6&gt;=NM$16,NK6&lt;&gt;"")),"Merit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Excellence",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National Team",IF(G6="P","No DD",""))))</f>
        <v/>
      </c>
      <c r="I6" s="9">
        <f>IF(MAX(AT6,BX6,DB6)&gt;0,MAX(AT6,BX6,DB6),0)</f>
        <v>88.27000000000001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0</v>
      </c>
      <c r="L6" s="9" t="str">
        <f>IF(K6=0,"",IF(AND(K6=CW6,$J6&lt;&gt;$CB$1),$CB$1,IF(AND(K6=BS6,$J6&lt;&gt;$AX$1),$AX$1,IF(AND(K6=AO6,$J6&lt;&gt;$T$1),$T$1,""))))</f>
        <v/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0</v>
      </c>
      <c r="N6" s="9" t="str">
        <f>IF(M6=0,"",IF(AND(OR(M6=DA6,M6=CY6),$J6&lt;&gt;$CB$1),$CB$1,IF(AND(OR(M6=BW6,M6=BU6),$J6&lt;&gt;$AX$1),$AX$1,IF(AND(OR(M6=AS6,M6=AQ6),$J6&lt;&gt;$T$1),$T$1,""))))</f>
        <v/>
      </c>
      <c r="O6" s="9">
        <f>MAX(AV6,BZ6,DD6)</f>
        <v>49.45</v>
      </c>
      <c r="P6" s="9" t="str">
        <f>IF(O6=0,"",IF(O6=DD6,$CB$1,IF(O6=BZ6,$AX$1,IF(O6=AV6,$T$1,""))))</f>
        <v>2023 Elite Canada</v>
      </c>
      <c r="Q6" s="9">
        <f>IF(MAX(DF6,DG6,DH6,DI6)&gt;0,MAX(DF6,DG6,DH6,DI6),"")</f>
        <v>47.15</v>
      </c>
      <c r="R6" s="14" t="str">
        <f>IF(Q6="","",IF(Q6=DF6,"(Vol 1)",IF(Q6=DG6,"(Vol 2)",IF(Q6=DH6,"(Prelim)",IF(Q6=DI6,"(Final)")))))</f>
        <v>(Vol 2)</v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2022 WAGC (Nov 24)</v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3"/>
      <c r="BS6" s="9" t="str">
        <f>IF(SUM(AX6:BA6)-BB6&gt;0,SUM(AX6:BA6)-BB6,"")</f>
        <v/>
      </c>
      <c r="BT6" s="9" t="str">
        <f>IF(BE6&gt;0,BE6,"")</f>
        <v/>
      </c>
      <c r="BU6" s="9" t="str">
        <f>IF(SUM(BC6:BF6)-BG6&gt;0,SUM(BC6:BF6)-BG6,"")</f>
        <v/>
      </c>
      <c r="BV6" s="9" t="str">
        <f>IF(BJ6&gt;0,BJ6,"")</f>
        <v/>
      </c>
      <c r="BW6" s="9" t="str">
        <f>IF(SUM(BH6:BK6)-BL6&gt;0,SUM(BH6:BK6)-BL6,"")</f>
        <v/>
      </c>
      <c r="BX6" s="9" t="str">
        <f>IF(BS6="",IF(MAX(BU6,BW6)&gt;0,MAX(BU6,BW6),""),MAX(BU6,BW6)+BS6)</f>
        <v/>
      </c>
      <c r="BY6" s="9" t="str">
        <f>IF(BO6&gt;0,BO6,"")</f>
        <v/>
      </c>
      <c r="BZ6" s="9" t="str">
        <f>IF(SUM(BM6:BP6)-BQ6&gt;0,SUM(BM6:BP6)-BQ6,"")</f>
        <v/>
      </c>
      <c r="CA6" s="9" t="str">
        <f>IF(SUM(BX6,BZ6)&gt;0,SUM(BX6,BZ6),"")</f>
        <v/>
      </c>
      <c r="CB6" s="27">
        <v>16.899999999999999</v>
      </c>
      <c r="CC6" s="27">
        <v>9.6</v>
      </c>
      <c r="CD6" s="27">
        <v>0</v>
      </c>
      <c r="CE6" s="27">
        <v>14.23</v>
      </c>
      <c r="CF6" s="27">
        <v>0</v>
      </c>
      <c r="CG6" s="27">
        <v>14.1</v>
      </c>
      <c r="CH6" s="27">
        <v>9</v>
      </c>
      <c r="CI6" s="27">
        <v>10.9</v>
      </c>
      <c r="CJ6" s="27">
        <v>13.54</v>
      </c>
      <c r="CK6" s="27">
        <v>0</v>
      </c>
      <c r="CL6" s="27"/>
      <c r="CM6" s="27"/>
      <c r="CN6" s="27"/>
      <c r="CO6" s="27"/>
      <c r="CP6" s="27"/>
      <c r="CQ6" s="27">
        <v>15.1</v>
      </c>
      <c r="CR6" s="27">
        <v>9.6</v>
      </c>
      <c r="CS6" s="27">
        <v>10.7</v>
      </c>
      <c r="CT6" s="27">
        <v>14.05</v>
      </c>
      <c r="CU6" s="27">
        <v>0</v>
      </c>
      <c r="CV6" s="32"/>
      <c r="CW6" s="7">
        <f>IF(SUM(CB6:CE6)-CF6&gt;0,SUM(CB6:CE6)-CF6,"")</f>
        <v>40.730000000000004</v>
      </c>
      <c r="CX6" s="7">
        <f>IF(CI6&gt;0,CI6,"")</f>
        <v>10.9</v>
      </c>
      <c r="CY6" s="7">
        <f>IF(SUM(CG6:CJ6)-CK6&gt;0,SUM(CG6:CJ6)-CK6,"")</f>
        <v>47.54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88.27000000000001</v>
      </c>
      <c r="DC6" s="7">
        <f>IF(CS6&gt;0,CS6,"")</f>
        <v>10.7</v>
      </c>
      <c r="DD6" s="7">
        <f>IF(SUM(CQ6:CT6)-CU6&gt;0,SUM(CQ6:CT6)-CU6,"")</f>
        <v>49.45</v>
      </c>
      <c r="DE6" s="7">
        <f>IF(SUM(DB6,DD6)&gt;0,SUM(DB6,DD6),"")</f>
        <v>137.72000000000003</v>
      </c>
      <c r="DF6" s="13">
        <f>IF(MAX(DZ6,EV6,FR6,GN6,HJ6,IF6,JB6,JX6,KT6,LP6,ML6,NH6)-IF(K6="",0,K6)&gt;0.001,MAX(DZ6,EV6,FR6,GN6,HJ6,IF6,JB6,JX6,KT6,LP6,ML6,NH6)-IF(K6="",0,K6),"")</f>
        <v>40.71</v>
      </c>
      <c r="DG6" s="13">
        <f>IF(MAX(EA6,EW6,FS6,GO6,HK6,IG6,JC6,JY6,KU6,LQ6,MM6,NI6)-IF(M6="",0,M6)&gt;0.001,MAX(EA6,EW6,FS6,GO6,HK6,IG6,JC6,JY6,KU6,LQ6,MM6,NI6)-IF(M6="",0,M6),"")</f>
        <v>47.15</v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>
        <v>16.5</v>
      </c>
      <c r="EG6" s="19">
        <v>14.41</v>
      </c>
      <c r="EH6" s="19">
        <v>0</v>
      </c>
      <c r="EI6" s="19">
        <v>9.8000000000000007</v>
      </c>
      <c r="EJ6" s="19">
        <v>0</v>
      </c>
      <c r="EK6" s="19">
        <v>13.5</v>
      </c>
      <c r="EL6" s="19">
        <v>9.3000000000000007</v>
      </c>
      <c r="EM6" s="19">
        <v>10.5</v>
      </c>
      <c r="EN6" s="19">
        <v>13.85</v>
      </c>
      <c r="EO6" s="19">
        <v>0</v>
      </c>
      <c r="EP6" s="19"/>
      <c r="EQ6" s="19"/>
      <c r="ER6" s="19"/>
      <c r="ES6" s="19"/>
      <c r="ET6" s="19"/>
      <c r="EU6" s="9">
        <f>IF(EM6&gt;0,EM6,"")</f>
        <v>10.5</v>
      </c>
      <c r="EV6" s="9">
        <f>IF(SUM(EF6:EI6)-EJ6&gt;0,SUM(EF6:EI6)-EJ6,"")</f>
        <v>40.71</v>
      </c>
      <c r="EW6" s="9">
        <f>IF(SUM(EK6:EN6)-EO6&gt;0,SUM(EK6:EN6)-EO6,"")</f>
        <v>47.15</v>
      </c>
      <c r="EX6" s="9">
        <f>IF(SUM(EV6:EW6)&gt;0,SUM(EV6:EW6),"")</f>
        <v>87.86</v>
      </c>
      <c r="EY6" s="9" t="str">
        <f>IF(ER6&gt;0,ER6,"")</f>
        <v/>
      </c>
      <c r="EZ6" s="9" t="str">
        <f>IF(SUM(EP6:ES6)-ET6&gt;0,SUM(EP6:ES6)-ET6,"")</f>
        <v/>
      </c>
      <c r="FA6" s="9">
        <f>IF(SUM(EX6,EZ6)&gt;0,SUM(EX6,EZ6),"")</f>
        <v>87.86</v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 t="shared" si="0"/>
        <v>8.4499999999999993</v>
      </c>
      <c r="NO6" s="27">
        <f t="shared" si="0"/>
        <v>4.8</v>
      </c>
      <c r="NP6" s="27">
        <f t="shared" si="0"/>
        <v>0</v>
      </c>
      <c r="NQ6" s="27">
        <f t="shared" si="0"/>
        <v>7.1150000000000002</v>
      </c>
      <c r="NR6" s="27">
        <f t="shared" si="0"/>
        <v>0</v>
      </c>
      <c r="NS6" s="27">
        <f t="shared" si="0"/>
        <v>7.05</v>
      </c>
      <c r="NT6" s="27">
        <f t="shared" si="0"/>
        <v>4.5</v>
      </c>
      <c r="NU6" s="27">
        <f t="shared" si="0"/>
        <v>5.45</v>
      </c>
      <c r="NV6" s="27">
        <f t="shared" si="0"/>
        <v>6.77</v>
      </c>
      <c r="NW6" s="27">
        <f t="shared" si="0"/>
        <v>0</v>
      </c>
      <c r="NX6" s="27">
        <f t="shared" si="1"/>
        <v>0</v>
      </c>
      <c r="NY6" s="27">
        <f t="shared" si="1"/>
        <v>0</v>
      </c>
      <c r="NZ6" s="27">
        <f t="shared" si="1"/>
        <v>0</v>
      </c>
      <c r="OA6" s="27">
        <f t="shared" si="1"/>
        <v>0</v>
      </c>
      <c r="OB6" s="27">
        <f t="shared" si="1"/>
        <v>0</v>
      </c>
      <c r="OC6" s="27">
        <f t="shared" si="1"/>
        <v>7.55</v>
      </c>
      <c r="OD6" s="27">
        <f t="shared" si="1"/>
        <v>4.8</v>
      </c>
      <c r="OE6" s="27">
        <f t="shared" si="1"/>
        <v>5.35</v>
      </c>
      <c r="OF6" s="27">
        <f t="shared" si="1"/>
        <v>7.0250000000000004</v>
      </c>
      <c r="OG6" s="27">
        <f t="shared" si="1"/>
        <v>0</v>
      </c>
      <c r="OH6" s="32" t="s">
        <v>44</v>
      </c>
      <c r="OI6" s="7">
        <f>IF(SUM(NN6:NQ6)-NR6&gt;0,SUM(NN6:NQ6)-NR6,"")</f>
        <v>20.365000000000002</v>
      </c>
      <c r="OJ6" s="7">
        <f>IF(NU6&gt;0,NU6,"")</f>
        <v>5.45</v>
      </c>
      <c r="OK6" s="7">
        <f>IF(SUM(NS6:NV6)-NW6&gt;0,SUM(NS6:NV6)-NW6,"")</f>
        <v>23.77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44.135000000000005</v>
      </c>
      <c r="OO6" s="7">
        <f>IF(OE6&gt;0,OE6,"")</f>
        <v>5.35</v>
      </c>
      <c r="OP6" s="7">
        <f t="shared" ref="OP6" si="6">IF(SUM(OC6:OF6)-OG6&gt;0,SUM(OC6:OF6)-OG6,"")</f>
        <v>24.725000000000001</v>
      </c>
      <c r="OQ6" s="7">
        <f t="shared" ref="OQ6" si="7">IF(SUM(ON6,OP6)&gt;0,SUM(ON6,OP6),"")</f>
        <v>68.860000000000014</v>
      </c>
    </row>
    <row r="7" spans="1:407" x14ac:dyDescent="0.2">
      <c r="B7" s="5"/>
      <c r="D7" s="1"/>
    </row>
    <row r="9" spans="1:407" x14ac:dyDescent="0.2">
      <c r="B9" s="28" t="s">
        <v>42</v>
      </c>
      <c r="C9" s="5"/>
      <c r="AP9" s="46"/>
      <c r="AQ9" s="46"/>
      <c r="AR9" s="46"/>
      <c r="AU9" s="2"/>
      <c r="AW9" s="24">
        <v>11.2</v>
      </c>
      <c r="BT9" s="46"/>
      <c r="BU9" s="46"/>
      <c r="BV9" s="46"/>
      <c r="BY9" s="2"/>
      <c r="CA9" s="24">
        <v>11.2</v>
      </c>
      <c r="CX9" s="46"/>
      <c r="CY9" s="46"/>
      <c r="CZ9" s="46"/>
      <c r="DC9" s="2"/>
      <c r="DE9" s="24">
        <v>11.2</v>
      </c>
      <c r="DY9" s="5"/>
      <c r="EC9" s="2"/>
      <c r="EE9" s="24">
        <v>11.2</v>
      </c>
      <c r="EU9" s="5"/>
      <c r="EY9" s="2"/>
      <c r="FA9" s="24">
        <v>11.2</v>
      </c>
      <c r="FQ9" s="5"/>
      <c r="FU9" s="2"/>
      <c r="FW9" s="24">
        <v>11.2</v>
      </c>
      <c r="GM9" s="5"/>
      <c r="GQ9" s="2"/>
      <c r="GS9" s="24">
        <v>11.2</v>
      </c>
      <c r="HI9" s="5"/>
      <c r="HM9" s="2"/>
      <c r="HO9" s="24">
        <v>11.2</v>
      </c>
      <c r="IE9" s="5"/>
      <c r="II9" s="2"/>
      <c r="IK9" s="24">
        <v>11.2</v>
      </c>
      <c r="JA9" s="5"/>
      <c r="JE9" s="2"/>
      <c r="JG9" s="24">
        <v>11.2</v>
      </c>
      <c r="JW9" s="5"/>
      <c r="KA9" s="2"/>
      <c r="KC9" s="24">
        <v>11.2</v>
      </c>
      <c r="KS9" s="5"/>
      <c r="KW9" s="2"/>
      <c r="KY9" s="24">
        <v>11.2</v>
      </c>
      <c r="LO9" s="5"/>
      <c r="LS9" s="2"/>
      <c r="LU9" s="24">
        <v>11.2</v>
      </c>
      <c r="MK9" s="5"/>
      <c r="MO9" s="2"/>
      <c r="MQ9" s="24">
        <v>11.2</v>
      </c>
      <c r="NG9" s="5"/>
      <c r="NK9" s="2"/>
      <c r="NM9" s="24">
        <v>11.2</v>
      </c>
    </row>
    <row r="10" spans="1:407" hidden="1" x14ac:dyDescent="0.2">
      <c r="B10" s="35" t="s">
        <v>41</v>
      </c>
      <c r="C10" s="5"/>
      <c r="AP10" s="46"/>
      <c r="AQ10" s="46"/>
      <c r="AR10" s="46"/>
      <c r="AU10" s="2"/>
      <c r="AW10" s="37">
        <v>11.2</v>
      </c>
      <c r="BT10" s="46"/>
      <c r="BU10" s="46"/>
      <c r="BV10" s="46"/>
      <c r="BY10" s="2"/>
      <c r="CA10" s="37">
        <v>11.2</v>
      </c>
      <c r="CX10" s="46"/>
      <c r="CY10" s="46"/>
      <c r="CZ10" s="46"/>
      <c r="DC10" s="2"/>
      <c r="DE10" s="37">
        <v>11.2</v>
      </c>
      <c r="DY10" s="5"/>
      <c r="EC10" s="2"/>
      <c r="EE10" s="37">
        <v>11.2</v>
      </c>
      <c r="EU10" s="5"/>
      <c r="EY10" s="2"/>
      <c r="FA10" s="37">
        <v>11.2</v>
      </c>
      <c r="FQ10" s="5"/>
      <c r="FU10" s="2"/>
      <c r="FW10" s="37">
        <v>11.2</v>
      </c>
      <c r="GM10" s="5"/>
      <c r="GQ10" s="2"/>
      <c r="GS10" s="37">
        <v>11.2</v>
      </c>
      <c r="HI10" s="5"/>
      <c r="HM10" s="2"/>
      <c r="HO10" s="37">
        <v>11.2</v>
      </c>
      <c r="IE10" s="5"/>
      <c r="II10" s="2"/>
      <c r="IK10" s="37">
        <v>11.2</v>
      </c>
      <c r="JA10" s="5"/>
      <c r="JE10" s="2"/>
      <c r="JG10" s="37">
        <v>11.2</v>
      </c>
      <c r="JW10" s="5"/>
      <c r="KA10" s="2"/>
      <c r="KC10" s="37">
        <v>11.2</v>
      </c>
      <c r="KS10" s="5"/>
      <c r="KW10" s="2"/>
      <c r="KY10" s="37">
        <v>11.2</v>
      </c>
      <c r="LO10" s="5"/>
      <c r="LS10" s="2"/>
      <c r="LU10" s="37">
        <v>11.2</v>
      </c>
      <c r="MK10" s="5"/>
      <c r="MO10" s="2"/>
      <c r="MQ10" s="37">
        <v>11.2</v>
      </c>
      <c r="NG10" s="5"/>
      <c r="NK10" s="2"/>
      <c r="NM10" s="37">
        <v>11.2</v>
      </c>
    </row>
    <row r="11" spans="1:407" x14ac:dyDescent="0.2">
      <c r="A11" s="5"/>
      <c r="B11" s="36" t="s">
        <v>54</v>
      </c>
      <c r="C11" s="5"/>
      <c r="AP11" s="46"/>
      <c r="AQ11" s="46"/>
      <c r="AR11" s="46"/>
      <c r="AT11" s="2"/>
      <c r="AU11" s="2"/>
      <c r="AV11" s="2"/>
      <c r="AW11" s="38">
        <v>11.2</v>
      </c>
      <c r="BT11" s="46"/>
      <c r="BU11" s="46"/>
      <c r="BV11" s="46"/>
      <c r="BY11" s="2"/>
      <c r="CA11" s="38">
        <v>11.2</v>
      </c>
      <c r="CX11" s="46"/>
      <c r="CY11" s="46"/>
      <c r="CZ11" s="46"/>
      <c r="DB11" s="2"/>
      <c r="DC11" s="2"/>
      <c r="DD11" s="2"/>
      <c r="DE11" s="38">
        <v>11.2</v>
      </c>
      <c r="DY11" s="5"/>
      <c r="EC11" s="2"/>
      <c r="EE11" s="38">
        <v>11.2</v>
      </c>
      <c r="EU11" s="5"/>
      <c r="EY11" s="2"/>
      <c r="FA11" s="38">
        <v>11.2</v>
      </c>
      <c r="FQ11" s="5"/>
      <c r="FU11" s="2"/>
      <c r="FW11" s="38">
        <v>11.2</v>
      </c>
      <c r="GM11" s="5"/>
      <c r="GQ11" s="2"/>
      <c r="GS11" s="38">
        <v>11.2</v>
      </c>
      <c r="HI11" s="5"/>
      <c r="HM11" s="2"/>
      <c r="HO11" s="38">
        <v>11.2</v>
      </c>
      <c r="IE11" s="5"/>
      <c r="II11" s="2"/>
      <c r="IK11" s="38">
        <v>11.2</v>
      </c>
      <c r="JA11" s="5"/>
      <c r="JE11" s="2"/>
      <c r="JG11" s="38">
        <v>11.2</v>
      </c>
      <c r="JW11" s="5"/>
      <c r="KA11" s="2"/>
      <c r="KC11" s="38">
        <v>11.2</v>
      </c>
      <c r="KS11" s="5"/>
      <c r="KW11" s="2"/>
      <c r="KY11" s="38">
        <v>11.2</v>
      </c>
      <c r="LO11" s="5"/>
      <c r="LS11" s="2"/>
      <c r="LU11" s="38">
        <v>11.2</v>
      </c>
      <c r="MK11" s="5"/>
      <c r="MO11" s="2"/>
      <c r="MQ11" s="38">
        <v>11.2</v>
      </c>
      <c r="NG11" s="5"/>
      <c r="NK11" s="2"/>
      <c r="NM11" s="38">
        <v>11.2</v>
      </c>
    </row>
    <row r="12" spans="1:407" x14ac:dyDescent="0.2">
      <c r="A12" s="5"/>
      <c r="B12" s="44" t="s">
        <v>59</v>
      </c>
      <c r="C12" s="5"/>
      <c r="AP12" s="46"/>
      <c r="AQ12" s="46"/>
      <c r="AR12" s="46"/>
      <c r="AT12" s="2"/>
      <c r="AU12" s="2"/>
      <c r="AV12" s="2"/>
      <c r="AW12" s="45">
        <v>11.2</v>
      </c>
      <c r="BT12" s="46"/>
      <c r="BU12" s="46"/>
      <c r="BV12" s="46"/>
      <c r="BY12" s="2"/>
      <c r="CA12" s="45">
        <v>11.2</v>
      </c>
      <c r="CX12" s="46"/>
      <c r="CY12" s="46"/>
      <c r="CZ12" s="46"/>
      <c r="DB12" s="2"/>
      <c r="DC12" s="2"/>
      <c r="DD12" s="2"/>
      <c r="DE12" s="45">
        <v>11.2</v>
      </c>
      <c r="DY12" s="5"/>
      <c r="EC12" s="2"/>
      <c r="EE12" s="45">
        <v>11.2</v>
      </c>
      <c r="EU12" s="5"/>
      <c r="EY12" s="2"/>
      <c r="FA12" s="45">
        <v>11.2</v>
      </c>
      <c r="FQ12" s="5"/>
      <c r="FU12" s="2"/>
      <c r="FW12" s="45">
        <v>11.2</v>
      </c>
      <c r="GM12" s="5"/>
      <c r="GQ12" s="2"/>
      <c r="GS12" s="45">
        <v>11.2</v>
      </c>
      <c r="HI12" s="5"/>
      <c r="HM12" s="2"/>
      <c r="HO12" s="45">
        <v>11.2</v>
      </c>
      <c r="IE12" s="5"/>
      <c r="II12" s="2"/>
      <c r="IK12" s="45">
        <v>11.2</v>
      </c>
      <c r="JA12" s="5"/>
      <c r="JE12" s="2"/>
      <c r="JG12" s="45">
        <v>11.2</v>
      </c>
      <c r="JW12" s="5"/>
      <c r="KA12" s="2"/>
      <c r="KC12" s="45">
        <v>11.2</v>
      </c>
      <c r="KS12" s="5"/>
      <c r="KW12" s="2"/>
      <c r="KY12" s="45">
        <v>11.2</v>
      </c>
      <c r="LO12" s="5"/>
      <c r="LS12" s="2"/>
      <c r="LU12" s="45">
        <v>11.2</v>
      </c>
      <c r="MK12" s="5"/>
      <c r="MO12" s="2"/>
      <c r="MQ12" s="45">
        <v>11.2</v>
      </c>
      <c r="NG12" s="5"/>
      <c r="NK12" s="2"/>
      <c r="NM12" s="45">
        <v>11.2</v>
      </c>
    </row>
    <row r="13" spans="1:407" x14ac:dyDescent="0.2">
      <c r="A13" s="5"/>
      <c r="B13" s="42" t="s">
        <v>39</v>
      </c>
      <c r="C13" s="5"/>
      <c r="M13" s="2"/>
      <c r="AP13" s="46"/>
      <c r="AQ13" s="46"/>
      <c r="AR13" s="46"/>
      <c r="AT13" s="2"/>
      <c r="AU13" s="2"/>
      <c r="AV13" s="2"/>
      <c r="AW13" s="43">
        <v>90.2</v>
      </c>
      <c r="BT13" s="46"/>
      <c r="BU13" s="46"/>
      <c r="BV13" s="46"/>
      <c r="BY13" s="2"/>
      <c r="CA13" s="43">
        <v>90.2</v>
      </c>
      <c r="CX13" s="46"/>
      <c r="CY13" s="46"/>
      <c r="CZ13" s="46"/>
      <c r="DB13" s="2"/>
      <c r="DC13" s="2"/>
      <c r="DD13" s="2"/>
      <c r="DE13" s="43">
        <v>90.2</v>
      </c>
      <c r="DY13" s="5"/>
      <c r="EC13" s="2"/>
      <c r="EE13" s="43">
        <v>90.2</v>
      </c>
      <c r="EU13" s="5"/>
      <c r="EY13" s="2"/>
      <c r="FA13" s="43">
        <v>90.2</v>
      </c>
      <c r="FQ13" s="5"/>
      <c r="FU13" s="2"/>
      <c r="FW13" s="43">
        <v>90.2</v>
      </c>
      <c r="GM13" s="5"/>
      <c r="GQ13" s="2"/>
      <c r="GS13" s="43">
        <v>90.2</v>
      </c>
      <c r="HI13" s="5"/>
      <c r="HM13" s="2"/>
      <c r="HO13" s="43">
        <v>90.2</v>
      </c>
      <c r="IE13" s="5"/>
      <c r="II13" s="2"/>
      <c r="IK13" s="43">
        <v>90.2</v>
      </c>
      <c r="JA13" s="5"/>
      <c r="JE13" s="2"/>
      <c r="JG13" s="43">
        <v>90.2</v>
      </c>
      <c r="JW13" s="5"/>
      <c r="KA13" s="2"/>
      <c r="KC13" s="43">
        <v>90.2</v>
      </c>
      <c r="KS13" s="5"/>
      <c r="KW13" s="2"/>
      <c r="KY13" s="43">
        <v>90.2</v>
      </c>
      <c r="LO13" s="5"/>
      <c r="LS13" s="2"/>
      <c r="LU13" s="43">
        <v>90.2</v>
      </c>
      <c r="MK13" s="5"/>
      <c r="MO13" s="2"/>
      <c r="MQ13" s="43">
        <v>90.2</v>
      </c>
      <c r="NG13" s="5"/>
      <c r="NK13" s="2"/>
      <c r="NM13" s="43">
        <v>90.2</v>
      </c>
    </row>
    <row r="14" spans="1:407" hidden="1" x14ac:dyDescent="0.2">
      <c r="A14" s="5"/>
      <c r="B14" s="29" t="s">
        <v>40</v>
      </c>
      <c r="C14" s="5"/>
      <c r="M14" s="2"/>
      <c r="AP14" s="46"/>
      <c r="AQ14" s="46"/>
      <c r="AR14" s="46"/>
      <c r="AT14" s="2"/>
      <c r="AU14" s="2"/>
      <c r="AV14" s="2"/>
      <c r="AW14" s="25">
        <v>93.1</v>
      </c>
      <c r="BT14" s="46"/>
      <c r="BU14" s="46"/>
      <c r="BV14" s="46"/>
      <c r="BY14" s="2"/>
      <c r="CA14" s="25">
        <v>93.1</v>
      </c>
      <c r="CX14" s="46"/>
      <c r="CY14" s="46"/>
      <c r="CZ14" s="46"/>
      <c r="DB14" s="2"/>
      <c r="DC14" s="2"/>
      <c r="DD14" s="2"/>
      <c r="DE14" s="25">
        <v>93.1</v>
      </c>
      <c r="DY14" s="5"/>
      <c r="EC14" s="2"/>
      <c r="EE14" s="25">
        <v>93.1</v>
      </c>
      <c r="EU14" s="5"/>
      <c r="EY14" s="2"/>
      <c r="FA14" s="25">
        <v>93.1</v>
      </c>
      <c r="FQ14" s="5"/>
      <c r="FU14" s="2"/>
      <c r="FW14" s="25">
        <v>93.1</v>
      </c>
      <c r="GM14" s="5"/>
      <c r="GQ14" s="2"/>
      <c r="GS14" s="25">
        <v>93.1</v>
      </c>
      <c r="HI14" s="5"/>
      <c r="HM14" s="2"/>
      <c r="HO14" s="25">
        <v>93.1</v>
      </c>
      <c r="IE14" s="5"/>
      <c r="II14" s="2"/>
      <c r="IK14" s="25">
        <v>93.1</v>
      </c>
      <c r="JA14" s="5"/>
      <c r="JE14" s="2"/>
      <c r="JG14" s="25">
        <v>93.1</v>
      </c>
      <c r="JW14" s="5"/>
      <c r="KA14" s="2"/>
      <c r="KC14" s="25">
        <v>93.1</v>
      </c>
      <c r="KS14" s="5"/>
      <c r="KW14" s="2"/>
      <c r="KY14" s="25">
        <v>93.1</v>
      </c>
      <c r="LO14" s="5"/>
      <c r="LS14" s="2"/>
      <c r="LU14" s="25">
        <v>93.1</v>
      </c>
      <c r="MK14" s="5"/>
      <c r="MO14" s="2"/>
      <c r="MQ14" s="25">
        <v>93.1</v>
      </c>
      <c r="NG14" s="5"/>
      <c r="NK14" s="2"/>
      <c r="NM14" s="25">
        <v>93.1</v>
      </c>
    </row>
    <row r="15" spans="1:407" x14ac:dyDescent="0.2">
      <c r="A15" s="5"/>
      <c r="B15" s="40" t="s">
        <v>53</v>
      </c>
      <c r="C15" s="5"/>
      <c r="AP15" s="46"/>
      <c r="AQ15" s="46"/>
      <c r="AR15" s="46"/>
      <c r="AT15" s="2"/>
      <c r="AU15" s="2"/>
      <c r="AV15" s="49"/>
      <c r="AW15" s="41">
        <v>93.1</v>
      </c>
      <c r="BT15" s="46"/>
      <c r="BU15" s="46"/>
      <c r="BV15" s="46"/>
      <c r="BY15" s="2"/>
      <c r="BZ15" s="48"/>
      <c r="CA15" s="41">
        <v>93.1</v>
      </c>
      <c r="CX15" s="46"/>
      <c r="CY15" s="46"/>
      <c r="CZ15" s="46"/>
      <c r="DB15" s="2"/>
      <c r="DC15" s="2"/>
      <c r="DD15" s="2"/>
      <c r="DE15" s="41">
        <v>93.1</v>
      </c>
      <c r="DY15" s="5"/>
      <c r="EC15" s="2"/>
      <c r="EE15" s="41">
        <v>93.1</v>
      </c>
      <c r="EU15" s="5"/>
      <c r="EY15" s="2"/>
      <c r="FA15" s="41">
        <v>93.1</v>
      </c>
      <c r="FQ15" s="5"/>
      <c r="FU15" s="2"/>
      <c r="FW15" s="41">
        <v>93.1</v>
      </c>
      <c r="GM15" s="5"/>
      <c r="GQ15" s="2"/>
      <c r="GR15" s="48"/>
      <c r="GS15" s="41">
        <v>93.1</v>
      </c>
      <c r="HI15" s="5"/>
      <c r="HM15" s="2"/>
      <c r="HN15" s="48"/>
      <c r="HO15" s="41">
        <v>93.1</v>
      </c>
      <c r="IE15" s="5"/>
      <c r="II15" s="2"/>
      <c r="IK15" s="41">
        <v>93.1</v>
      </c>
      <c r="JA15" s="5"/>
      <c r="JE15" s="2"/>
      <c r="JG15" s="41">
        <v>93.1</v>
      </c>
      <c r="JW15" s="5"/>
      <c r="KA15" s="2"/>
      <c r="KB15" s="50"/>
      <c r="KC15" s="41">
        <v>93.1</v>
      </c>
      <c r="KS15" s="5"/>
      <c r="KW15" s="2"/>
      <c r="KY15" s="41">
        <v>93.1</v>
      </c>
      <c r="LO15" s="5"/>
      <c r="LS15" s="2"/>
      <c r="LU15" s="41">
        <v>93.1</v>
      </c>
      <c r="MK15" s="5"/>
      <c r="MO15" s="2"/>
      <c r="MP15" s="50"/>
      <c r="MQ15" s="41">
        <v>93.1</v>
      </c>
      <c r="NG15" s="5"/>
      <c r="NK15" s="2"/>
      <c r="NM15" s="41">
        <v>93.1</v>
      </c>
    </row>
    <row r="16" spans="1:407" x14ac:dyDescent="0.2">
      <c r="A16" s="5"/>
      <c r="B16" s="30" t="s">
        <v>26</v>
      </c>
      <c r="C16" s="5"/>
      <c r="M16" s="2"/>
      <c r="AP16" s="46"/>
      <c r="AQ16" s="46"/>
      <c r="AR16" s="46"/>
      <c r="AT16" s="2"/>
      <c r="AU16" s="2"/>
      <c r="AV16" s="2"/>
      <c r="AW16" s="26">
        <v>51</v>
      </c>
      <c r="BT16" s="46"/>
      <c r="BU16" s="46"/>
      <c r="BV16" s="46"/>
      <c r="BY16" s="2"/>
      <c r="CA16" s="26">
        <v>51</v>
      </c>
      <c r="CX16" s="46"/>
      <c r="CY16" s="46"/>
      <c r="CZ16" s="46"/>
      <c r="DB16" s="2"/>
      <c r="DC16" s="2"/>
      <c r="DD16" s="2"/>
      <c r="DE16" s="26">
        <v>51</v>
      </c>
      <c r="DY16" s="5"/>
      <c r="EC16" s="2"/>
      <c r="EE16" s="26">
        <v>51</v>
      </c>
      <c r="EU16" s="5"/>
      <c r="EY16" s="2"/>
      <c r="FA16" s="26">
        <v>51</v>
      </c>
      <c r="FQ16" s="5"/>
      <c r="FU16" s="2"/>
      <c r="FW16" s="26">
        <v>51</v>
      </c>
      <c r="GM16" s="5"/>
      <c r="GQ16" s="2"/>
      <c r="GR16" s="48"/>
      <c r="GS16" s="26">
        <v>51</v>
      </c>
      <c r="HI16" s="5"/>
      <c r="HM16" s="2"/>
      <c r="HO16" s="26">
        <v>51</v>
      </c>
      <c r="IE16" s="5"/>
      <c r="II16" s="2"/>
      <c r="IK16" s="26">
        <v>51</v>
      </c>
      <c r="JA16" s="5"/>
      <c r="JE16" s="2"/>
      <c r="JG16" s="26">
        <v>51</v>
      </c>
      <c r="JW16" s="5"/>
      <c r="KA16" s="2"/>
      <c r="KC16" s="26">
        <v>51</v>
      </c>
      <c r="KS16" s="5"/>
      <c r="KW16" s="2"/>
      <c r="KY16" s="26">
        <v>51</v>
      </c>
      <c r="LO16" s="5"/>
      <c r="LS16" s="2"/>
      <c r="LU16" s="26">
        <v>51</v>
      </c>
      <c r="MK16" s="5"/>
      <c r="MO16" s="2"/>
      <c r="MQ16" s="26">
        <v>51</v>
      </c>
      <c r="NG16" s="5"/>
      <c r="NK16" s="2"/>
      <c r="NM16" s="26">
        <v>51</v>
      </c>
    </row>
    <row r="17" spans="1:152" x14ac:dyDescent="0.2">
      <c r="B17" s="34" t="s">
        <v>45</v>
      </c>
      <c r="C17" s="2"/>
      <c r="AS17" s="2"/>
      <c r="AT17" s="2"/>
      <c r="AV17" s="2"/>
      <c r="DA17" s="2"/>
      <c r="DB17" s="2"/>
      <c r="DD17" s="2"/>
      <c r="EV17" s="2"/>
    </row>
    <row r="18" spans="1:152" x14ac:dyDescent="0.2">
      <c r="A18" s="5"/>
      <c r="B18" s="5"/>
      <c r="C18" s="22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52" ht="17" x14ac:dyDescent="0.2">
      <c r="A19" s="5"/>
      <c r="B19" s="5"/>
      <c r="C19" s="22"/>
      <c r="Q19" s="11"/>
      <c r="R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52" ht="17" x14ac:dyDescent="0.2">
      <c r="A20" s="5"/>
      <c r="B20" s="5"/>
      <c r="C20" s="22"/>
      <c r="Q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52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52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52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152" ht="17" x14ac:dyDescent="0.2">
      <c r="Q24" s="11"/>
      <c r="R24" s="11"/>
      <c r="S24" s="11"/>
    </row>
    <row r="25" spans="1:152" ht="17" x14ac:dyDescent="0.2">
      <c r="Q25" s="11"/>
      <c r="R25" s="11"/>
      <c r="S25" s="11"/>
    </row>
    <row r="26" spans="1:152" ht="17" x14ac:dyDescent="0.2">
      <c r="Q26" s="11"/>
      <c r="R26" s="11"/>
      <c r="S26" s="11"/>
    </row>
    <row r="27" spans="1:152" ht="17" x14ac:dyDescent="0.2">
      <c r="Q27" s="11"/>
      <c r="R27" s="11"/>
      <c r="S27" s="11"/>
    </row>
    <row r="28" spans="1:152" ht="17" x14ac:dyDescent="0.2">
      <c r="Q28" s="11"/>
      <c r="R28" s="11"/>
      <c r="S28" s="11"/>
    </row>
    <row r="29" spans="1:152" ht="17" x14ac:dyDescent="0.2">
      <c r="Q29" s="11"/>
      <c r="R29" s="11"/>
      <c r="S29" s="11"/>
    </row>
    <row r="30" spans="1:152" ht="17" x14ac:dyDescent="0.2">
      <c r="Q30" s="11"/>
      <c r="R30" s="11"/>
      <c r="S30" s="11"/>
    </row>
    <row r="31" spans="1:152" ht="17" x14ac:dyDescent="0.2">
      <c r="Q31" s="11"/>
      <c r="R31" s="11"/>
      <c r="S31" s="11"/>
    </row>
    <row r="32" spans="1:152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6">
      <sortCondition descending="1" ref="F1:F7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6">
    <cfRule type="expression" dxfId="146" priority="6" stopIfTrue="1">
      <formula>IF($AN4&lt;&gt;"",1,0)</formula>
    </cfRule>
  </conditionalFormatting>
  <conditionalFormatting sqref="AX4:CA6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6">
    <cfRule type="expression" dxfId="141" priority="15" stopIfTrue="1">
      <formula>IF($CV4&lt;&gt;"",1,0)</formula>
    </cfRule>
  </conditionalFormatting>
  <conditionalFormatting sqref="GR17:GR1048576 HN16:HN1048576 KB16:KB1048576 MP16:MP1048576 AV1:AV1048576 BZ1:BZ1048576 DD1:DD1048576 ED1:ED1048576 EZ1:EZ1048576 FV1:FV1048576 GR1:GR14 HN1:HN14 IJ1:IJ1048576 JF1:JF1048576 KB1:KB14 KX1:KX1048576 LT1:LT1048576 MP1:MP14 NL1:NL1048576">
    <cfRule type="cellIs" dxfId="140" priority="37584" operator="between">
      <formula>AW$16</formula>
      <formula>1000</formula>
    </cfRule>
  </conditionalFormatting>
  <conditionalFormatting sqref="A1:A1048576">
    <cfRule type="expression" dxfId="139" priority="48719">
      <formula>AND(#REF!&lt;&gt;"",G1="")</formula>
    </cfRule>
  </conditionalFormatting>
  <conditionalFormatting sqref="H1:H3">
    <cfRule type="containsText" dxfId="138" priority="1" operator="containsText" text="No DD">
      <formula>NOT(ISERROR(SEARCH("No DD",H1)))</formula>
    </cfRule>
    <cfRule type="containsText" dxfId="137" priority="2" operator="containsText" text="Merit">
      <formula>NOT(ISERROR(SEARCH("Merit",H1)))</formula>
    </cfRule>
    <cfRule type="containsText" dxfId="136" priority="3" operator="containsText" text="Excellence">
      <formula>NOT(ISERROR(SEARCH("Excellence",H1)))</formula>
    </cfRule>
    <cfRule type="containsText" dxfId="135" priority="4" operator="containsText" text="Worlds Team">
      <formula>NOT(ISERROR(SEARCH("Worlds Team",H1)))</formula>
    </cfRule>
    <cfRule type="containsText" dxfId="134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3" priority="49924" operator="between">
      <formula>AW$16</formula>
      <formula>1000</formula>
    </cfRule>
    <cfRule type="cellIs" dxfId="132" priority="49925" operator="between">
      <formula>AW$15</formula>
      <formula>AW$16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1" priority="50014" operator="between">
      <formula>AW$15</formula>
      <formula>1000</formula>
    </cfRule>
    <cfRule type="cellIs" dxfId="130" priority="50015" operator="between">
      <formula>AW$14</formula>
      <formula>AW$15</formula>
    </cfRule>
    <cfRule type="cellIs" dxfId="129" priority="50016" operator="between">
      <formula>AW$13</formula>
      <formula>AW$14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8" priority="50149" operator="between">
      <formula>EE$12</formula>
      <formula>1000</formula>
    </cfRule>
    <cfRule type="cellIs" dxfId="127" priority="50150" operator="between">
      <formula>EE$11</formula>
      <formula>EE$12</formula>
    </cfRule>
    <cfRule type="cellIs" dxfId="126" priority="50151" operator="between">
      <formula>EE$10</formula>
      <formula>EE$11</formula>
    </cfRule>
    <cfRule type="cellIs" dxfId="125" priority="50152" operator="between">
      <formula>EE$9</formula>
      <formula>EE$10</formula>
    </cfRule>
  </conditionalFormatting>
  <conditionalFormatting sqref="AP1:AP1048576 BT1:BT1048576 CX1:CX1048576">
    <cfRule type="cellIs" dxfId="124" priority="50293" operator="between">
      <formula>AW$12</formula>
      <formula>1000</formula>
    </cfRule>
    <cfRule type="cellIs" dxfId="123" priority="50294" operator="between">
      <formula>AW$11</formula>
      <formula>AW$12</formula>
    </cfRule>
    <cfRule type="cellIs" dxfId="122" priority="50295" operator="between">
      <formula>AW$10</formula>
      <formula>AW$11</formula>
    </cfRule>
    <cfRule type="cellIs" dxfId="121" priority="50296" operator="between">
      <formula>AW$9</formula>
      <formula>AW$10</formula>
    </cfRule>
  </conditionalFormatting>
  <conditionalFormatting sqref="AQ1:AQ1048576 BU1:BU1048576 CY1:CY1048576">
    <cfRule type="cellIs" dxfId="120" priority="50329" operator="between">
      <formula>AW$16</formula>
      <formula>1000</formula>
    </cfRule>
  </conditionalFormatting>
  <conditionalFormatting sqref="AR1:AR1048576 BV1:BV1048576 CZ1:CZ1048576">
    <cfRule type="cellIs" dxfId="119" priority="50338" operator="between">
      <formula>AW$12</formula>
      <formula>1000</formula>
    </cfRule>
    <cfRule type="cellIs" dxfId="118" priority="50339" operator="between">
      <formula>AW$11</formula>
      <formula>AW$12</formula>
    </cfRule>
    <cfRule type="cellIs" dxfId="117" priority="50340" operator="between">
      <formula>AW$10</formula>
      <formula>AW$11</formula>
    </cfRule>
    <cfRule type="cellIs" dxfId="116" priority="50341" operator="between">
      <formula>AW$9</formula>
      <formula>AW$10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5" priority="50374" operator="between">
      <formula>AW$12</formula>
      <formula>1000</formula>
    </cfRule>
    <cfRule type="cellIs" dxfId="114" priority="50375" operator="between">
      <formula>AW$11</formula>
      <formula>AW$12</formula>
    </cfRule>
    <cfRule type="cellIs" dxfId="113" priority="50376" operator="between">
      <formula>AW$10</formula>
      <formula>AW$11</formula>
    </cfRule>
    <cfRule type="cellIs" dxfId="112" priority="50377" operator="between">
      <formula>AW$9</formula>
      <formula>AW$10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93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IF(AND(F4="P",G4="P"),SUMPRODUCT((F$4:F$6="P")*(G$4:G$6="P")*(E$4:E$6&gt;E4))+1,IF(G4="P",SUMPRODUCT((F$4:F$6="")*(G$4:G$6="P")*(E$4:E$6&gt;E4))+1+SUMPRODUCT((F$4:F$6="P")*(G$4:G$6="P")),""))</f>
        <v>1</v>
      </c>
      <c r="B4" s="5" t="s">
        <v>89</v>
      </c>
      <c r="C4" s="4" t="s">
        <v>65</v>
      </c>
      <c r="D4" s="4">
        <v>2008</v>
      </c>
      <c r="E4" s="10">
        <f>SUM(I4:O4)+SUM(I4:M4)*0.0000001+SUM(I4)*0.0000000000001</f>
        <v>87.600008760004314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National Team</v>
      </c>
      <c r="I4" s="9">
        <f>IF(COUNT(AN4,BO4,CP4)&gt;0,LARGE((AN4,BO4,CP4),1),0)</f>
        <v>43.199999999999996</v>
      </c>
      <c r="J4" s="9" t="str">
        <f>IF(I4=0,"",IF(I4=CP4,$BT$1,IF(I4=BO4,$AS$1,IF(I4=AN4,$R$1,""))))</f>
        <v>2023 Elite Canada</v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44.4</v>
      </c>
      <c r="N4" s="9" t="str">
        <f>IF(M4=0,"",IF(M4=CS4,$BT$1,IF(M4=BR4,$AS$1,IF(M4=AQ4,$R$1,""))))</f>
        <v>2023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>
        <v>16.2</v>
      </c>
      <c r="BU4" s="20">
        <v>5.0999999999999996</v>
      </c>
      <c r="BV4" s="20">
        <v>0</v>
      </c>
      <c r="BW4" s="20">
        <v>0.3</v>
      </c>
      <c r="BX4" s="20">
        <v>16</v>
      </c>
      <c r="BY4" s="20">
        <v>5</v>
      </c>
      <c r="BZ4" s="20">
        <v>0</v>
      </c>
      <c r="CA4" s="20">
        <v>0.6</v>
      </c>
      <c r="CB4" s="20">
        <v>16.3</v>
      </c>
      <c r="CC4" s="20">
        <v>5</v>
      </c>
      <c r="CD4" s="20">
        <v>0</v>
      </c>
      <c r="CE4" s="20">
        <v>0.6</v>
      </c>
      <c r="CF4" s="20">
        <v>16.5</v>
      </c>
      <c r="CG4" s="20">
        <v>5</v>
      </c>
      <c r="CH4" s="20">
        <v>0</v>
      </c>
      <c r="CI4" s="20">
        <v>0.6</v>
      </c>
      <c r="CJ4" s="20">
        <v>16.899999999999999</v>
      </c>
      <c r="CK4" s="20">
        <v>4.8</v>
      </c>
      <c r="CL4" s="20">
        <v>0</v>
      </c>
      <c r="CM4" s="20">
        <v>0.6</v>
      </c>
      <c r="CN4" s="32"/>
      <c r="CO4" s="55">
        <f>IF(SUM(BU4,BY4)&gt;0,SUM(BU4,BY4),"")</f>
        <v>10.1</v>
      </c>
      <c r="CP4" s="55">
        <f>IF(SUM(BT4:BU4,BW4:BY4,CA4)-BV4-BZ4&gt;0,SUM(BT4:BU4,BW4:BY4,CA4)-BV4-BZ4,"")</f>
        <v>43.199999999999996</v>
      </c>
      <c r="CQ4" s="55">
        <f>IF(SUM(CB4:CC4,CE4)-CD4&gt;0,SUM(CB4:CC4,CE4)-CD4,"")</f>
        <v>21.900000000000002</v>
      </c>
      <c r="CR4" s="55">
        <f>IF(SUM(CG4,CK4)&gt;0,SUM(CG4,CK4),"")</f>
        <v>9.8000000000000007</v>
      </c>
      <c r="CS4" s="55">
        <f>IF(SUM(CF4:CG4,CI4:CK4,CM4)-SUM(CH4,CL4)&gt;0,SUM(CF4:CG4,CI4:CK4,CM4)-SUM(CH4,CL4),"")</f>
        <v>44.4</v>
      </c>
      <c r="CT4" s="55">
        <f>IF(SUM(CP4,CS4)&gt;0,SUM(CP4,CS4),"")</f>
        <v>87.6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5" si="0">IF($CN4="P",BT4,(BT4+AS4)/2)</f>
        <v>8.1</v>
      </c>
      <c r="OX4" s="27">
        <f t="shared" si="0"/>
        <v>2.5499999999999998</v>
      </c>
      <c r="OY4" s="27">
        <f t="shared" si="0"/>
        <v>0</v>
      </c>
      <c r="OZ4" s="27">
        <f t="shared" si="0"/>
        <v>0.15</v>
      </c>
      <c r="PA4" s="27">
        <f t="shared" si="0"/>
        <v>8</v>
      </c>
      <c r="PB4" s="27">
        <f t="shared" si="0"/>
        <v>2.5</v>
      </c>
      <c r="PC4" s="27">
        <f t="shared" si="0"/>
        <v>0</v>
      </c>
      <c r="PD4" s="27">
        <f t="shared" si="0"/>
        <v>0.3</v>
      </c>
      <c r="PE4" s="27">
        <f t="shared" si="0"/>
        <v>8.15</v>
      </c>
      <c r="PF4" s="27">
        <f t="shared" si="0"/>
        <v>2.5</v>
      </c>
      <c r="PG4" s="27">
        <f t="shared" ref="PG4:PP5" si="1">IF($CN4="P",CD4,(CD4+BC4)/2)</f>
        <v>0</v>
      </c>
      <c r="PH4" s="27">
        <f t="shared" si="1"/>
        <v>0.3</v>
      </c>
      <c r="PI4" s="27">
        <f t="shared" si="1"/>
        <v>8.25</v>
      </c>
      <c r="PJ4" s="27">
        <f t="shared" si="1"/>
        <v>2.5</v>
      </c>
      <c r="PK4" s="27">
        <f t="shared" si="1"/>
        <v>0</v>
      </c>
      <c r="PL4" s="27">
        <f t="shared" si="1"/>
        <v>0.3</v>
      </c>
      <c r="PM4" s="27">
        <f t="shared" si="1"/>
        <v>8.4499999999999993</v>
      </c>
      <c r="PN4" s="27">
        <f t="shared" si="1"/>
        <v>2.4</v>
      </c>
      <c r="PO4" s="27">
        <f t="shared" si="1"/>
        <v>0</v>
      </c>
      <c r="PP4" s="27">
        <f t="shared" si="1"/>
        <v>0.3</v>
      </c>
      <c r="PQ4" s="32" t="s">
        <v>44</v>
      </c>
      <c r="PR4" s="55">
        <f>IF(SUM(OX4,PB4)&gt;0,SUM(OX4,PB4),"")</f>
        <v>5.05</v>
      </c>
      <c r="PS4" s="55">
        <f>IF(SUM(OW4:OX4,OZ4:PB4,PD4)-OY4-PC4&gt;0,SUM(OW4:OX4,OZ4:PB4,PD4)-OY4-PC4,"")</f>
        <v>21.599999999999998</v>
      </c>
      <c r="PT4" s="55">
        <f>IF(SUM(PE4:PF4,PH4)-PG4&gt;0,SUM(PE4:PF4,PH4)-PG4,"")</f>
        <v>10.950000000000001</v>
      </c>
      <c r="PU4" s="55">
        <f>IF(SUM(PJ4,PN4)&gt;0,SUM(PJ4,PN4),"")</f>
        <v>4.9000000000000004</v>
      </c>
      <c r="PV4" s="55">
        <f>IF(SUM(PI4:PJ4,PL4:PN4,PP4)-SUM(PK4,PO4)&gt;0,SUM(PI4:PJ4,PL4:PN4,PP4)-SUM(PK4,PO4),"")</f>
        <v>22.2</v>
      </c>
      <c r="PW4" s="55">
        <f>IF(SUM(PS4,PV4)&gt;0,SUM(PS4,PV4),"")</f>
        <v>43.8</v>
      </c>
    </row>
    <row r="5" spans="1:439" x14ac:dyDescent="0.2">
      <c r="A5" s="4" t="str">
        <f>IF(AND(F5="P",G5="P"),SUMPRODUCT((F$4:F$6="P")*(G$4:G$6="P")*(E$4:E$6&gt;E5))+1,IF(G5="P",SUMPRODUCT((F$4:F$6="")*(G$4:G$6="P")*(E$4:E$6&gt;E5))+1+SUMPRODUCT((F$4:F$6="P")*(G$4:G$6="P")),""))</f>
        <v/>
      </c>
      <c r="B5" s="5" t="s">
        <v>94</v>
      </c>
      <c r="C5" s="4" t="s">
        <v>66</v>
      </c>
      <c r="D5" s="4">
        <v>2008</v>
      </c>
      <c r="E5" s="10">
        <f>SUM(I5:O5)+SUM(I5:M5)*0.0000001+SUM(I5)*0.0000000000001</f>
        <v>82.000008200004032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40.4</v>
      </c>
      <c r="J5" s="9" t="str">
        <f>IF(I5=0,"",IF(I5=CP5,$BT$1,IF(I5=BO5,$AS$1,IF(I5=AN5,$R$1,""))))</f>
        <v>2023 Elite Canada</v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41.600000000000009</v>
      </c>
      <c r="N5" s="9" t="str">
        <f>IF(M5=0,"",IF(M5=CS5,$BT$1,IF(M5=BR5,$AS$1,IF(M5=AQ5,$R$1,""))))</f>
        <v>2023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15.9</v>
      </c>
      <c r="BU5" s="20">
        <v>4.8</v>
      </c>
      <c r="BV5" s="20">
        <v>0</v>
      </c>
      <c r="BW5" s="20">
        <v>0.6</v>
      </c>
      <c r="BX5" s="20">
        <v>13.4</v>
      </c>
      <c r="BY5" s="20">
        <v>5.3</v>
      </c>
      <c r="BZ5" s="20">
        <v>0.2</v>
      </c>
      <c r="CA5" s="20">
        <v>0.6</v>
      </c>
      <c r="CB5" s="20">
        <v>15.6</v>
      </c>
      <c r="CC5" s="20">
        <v>4.5999999999999996</v>
      </c>
      <c r="CD5" s="20">
        <v>0</v>
      </c>
      <c r="CE5" s="20">
        <v>0.6</v>
      </c>
      <c r="CF5" s="20">
        <v>14.6</v>
      </c>
      <c r="CG5" s="20">
        <v>4.5999999999999996</v>
      </c>
      <c r="CH5" s="20">
        <v>0</v>
      </c>
      <c r="CI5" s="20">
        <v>0.6</v>
      </c>
      <c r="CJ5" s="20">
        <v>16.600000000000001</v>
      </c>
      <c r="CK5" s="20">
        <v>4.5999999999999996</v>
      </c>
      <c r="CL5" s="20">
        <v>0</v>
      </c>
      <c r="CM5" s="20">
        <v>0.6</v>
      </c>
      <c r="CN5" s="32"/>
      <c r="CO5" s="55">
        <f>IF(SUM(BU5,BY5)&gt;0,SUM(BU5,BY5),"")</f>
        <v>10.1</v>
      </c>
      <c r="CP5" s="55">
        <f>IF(SUM(BT5:BU5,BW5:BY5,CA5)-BV5-BZ5&gt;0,SUM(BT5:BU5,BW5:BY5,CA5)-BV5-BZ5,"")</f>
        <v>40.4</v>
      </c>
      <c r="CQ5" s="55">
        <f>IF(SUM(CB5:CC5,CE5)-CD5&gt;0,SUM(CB5:CC5,CE5)-CD5,"")</f>
        <v>20.8</v>
      </c>
      <c r="CR5" s="55">
        <f>IF(SUM(CG5,CK5)&gt;0,SUM(CG5,CK5),"")</f>
        <v>9.1999999999999993</v>
      </c>
      <c r="CS5" s="55">
        <f>IF(SUM(CF5:CG5,CI5:CK5,CM5)-SUM(CH5,CL5)&gt;0,SUM(CF5:CG5,CI5:CK5,CM5)-SUM(CH5,CL5),"")</f>
        <v>41.600000000000009</v>
      </c>
      <c r="CT5" s="55">
        <f>IF(SUM(CP5,CS5)&gt;0,SUM(CP5,CS5),"")</f>
        <v>82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7.95</v>
      </c>
      <c r="OX5" s="27">
        <f t="shared" si="0"/>
        <v>2.4</v>
      </c>
      <c r="OY5" s="27">
        <f t="shared" si="0"/>
        <v>0</v>
      </c>
      <c r="OZ5" s="27">
        <f t="shared" si="0"/>
        <v>0.3</v>
      </c>
      <c r="PA5" s="27">
        <f t="shared" si="0"/>
        <v>6.7</v>
      </c>
      <c r="PB5" s="27">
        <f t="shared" si="0"/>
        <v>2.65</v>
      </c>
      <c r="PC5" s="27">
        <f t="shared" si="0"/>
        <v>0.1</v>
      </c>
      <c r="PD5" s="27">
        <f t="shared" si="0"/>
        <v>0.3</v>
      </c>
      <c r="PE5" s="27">
        <f t="shared" si="0"/>
        <v>7.8</v>
      </c>
      <c r="PF5" s="27">
        <f t="shared" si="0"/>
        <v>2.2999999999999998</v>
      </c>
      <c r="PG5" s="27">
        <f t="shared" si="1"/>
        <v>0</v>
      </c>
      <c r="PH5" s="27">
        <f t="shared" si="1"/>
        <v>0.3</v>
      </c>
      <c r="PI5" s="27">
        <f t="shared" si="1"/>
        <v>7.3</v>
      </c>
      <c r="PJ5" s="27">
        <f t="shared" si="1"/>
        <v>2.2999999999999998</v>
      </c>
      <c r="PK5" s="27">
        <f t="shared" si="1"/>
        <v>0</v>
      </c>
      <c r="PL5" s="27">
        <f t="shared" si="1"/>
        <v>0.3</v>
      </c>
      <c r="PM5" s="27">
        <f t="shared" si="1"/>
        <v>8.3000000000000007</v>
      </c>
      <c r="PN5" s="27">
        <f t="shared" si="1"/>
        <v>2.2999999999999998</v>
      </c>
      <c r="PO5" s="27">
        <f t="shared" si="1"/>
        <v>0</v>
      </c>
      <c r="PP5" s="27">
        <f t="shared" si="1"/>
        <v>0.3</v>
      </c>
      <c r="PQ5" s="32" t="s">
        <v>44</v>
      </c>
      <c r="PR5" s="55">
        <f>IF(SUM(OX5,PB5)&gt;0,SUM(OX5,PB5),"")</f>
        <v>5.05</v>
      </c>
      <c r="PS5" s="55">
        <f>IF(SUM(OW5:OX5,OZ5:PB5,PD5)-OY5-PC5&gt;0,SUM(OW5:OX5,OZ5:PB5,PD5)-OY5-PC5,"")</f>
        <v>20.2</v>
      </c>
      <c r="PT5" s="55">
        <f>IF(SUM(PE5:PF5,PH5)-PG5&gt;0,SUM(PE5:PF5,PH5)-PG5,"")</f>
        <v>10.4</v>
      </c>
      <c r="PU5" s="55">
        <f>IF(SUM(PJ5,PN5)&gt;0,SUM(PJ5,PN5),"")</f>
        <v>4.5999999999999996</v>
      </c>
      <c r="PV5" s="55">
        <f>IF(SUM(PI5:PJ5,PL5:PN5,PP5)-SUM(PK5,PO5)&gt;0,SUM(PI5:PJ5,PL5:PN5,PP5)-SUM(PK5,PO5),"")</f>
        <v>20.800000000000004</v>
      </c>
      <c r="PW5" s="55">
        <f>IF(SUM(PS5,PV5)&gt;0,SUM(PS5,PV5),"")</f>
        <v>41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8.4</v>
      </c>
      <c r="BN8" s="4"/>
      <c r="BS8" s="57">
        <v>8.4</v>
      </c>
      <c r="CO8" s="4"/>
      <c r="CT8" s="57">
        <v>8.6999999999999993</v>
      </c>
      <c r="DQ8" s="4"/>
      <c r="DV8" s="57">
        <v>8.6999999999999993</v>
      </c>
      <c r="EQ8" s="4"/>
      <c r="EV8" s="57">
        <v>8.6999999999999993</v>
      </c>
      <c r="FQ8" s="4"/>
      <c r="FV8" s="57">
        <v>8.6999999999999993</v>
      </c>
      <c r="GQ8" s="4"/>
      <c r="GV8" s="57">
        <v>8.6999999999999993</v>
      </c>
      <c r="HQ8" s="4"/>
      <c r="HV8" s="57">
        <v>8.6999999999999993</v>
      </c>
      <c r="IQ8" s="4"/>
      <c r="IV8" s="57">
        <v>8.6999999999999993</v>
      </c>
      <c r="JQ8" s="4"/>
      <c r="JV8" s="57">
        <v>8.6999999999999993</v>
      </c>
      <c r="KQ8" s="4"/>
      <c r="KV8" s="57">
        <v>8.6999999999999993</v>
      </c>
      <c r="LQ8" s="4"/>
      <c r="LV8" s="57">
        <v>8.6999999999999993</v>
      </c>
      <c r="MQ8" s="4"/>
      <c r="MV8" s="57">
        <v>8.6999999999999993</v>
      </c>
      <c r="NQ8" s="4"/>
      <c r="NV8" s="57">
        <v>8.6999999999999993</v>
      </c>
      <c r="OQ8" s="4"/>
      <c r="OV8" s="57">
        <v>8.6999999999999993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9.4</v>
      </c>
      <c r="BN9" s="4"/>
      <c r="BS9" s="58">
        <f>BS10</f>
        <v>9.4</v>
      </c>
      <c r="CO9" s="4"/>
      <c r="CT9" s="58">
        <f>CT10</f>
        <v>9.5</v>
      </c>
      <c r="DQ9" s="4"/>
      <c r="DV9" s="58">
        <f>DV10</f>
        <v>9.5</v>
      </c>
      <c r="EQ9" s="4"/>
      <c r="EV9" s="58">
        <f>EV10</f>
        <v>9.5</v>
      </c>
      <c r="FQ9" s="4"/>
      <c r="FV9" s="58">
        <f>FV10</f>
        <v>9.5</v>
      </c>
      <c r="GQ9" s="4"/>
      <c r="GV9" s="58">
        <f>GV10</f>
        <v>9.5</v>
      </c>
      <c r="HQ9" s="4"/>
      <c r="HV9" s="58">
        <f>HV10</f>
        <v>9.5</v>
      </c>
      <c r="IQ9" s="4"/>
      <c r="IV9" s="58">
        <f>IV10</f>
        <v>9.5</v>
      </c>
      <c r="JQ9" s="4"/>
      <c r="JV9" s="58">
        <f>JV10</f>
        <v>9.5</v>
      </c>
      <c r="KQ9" s="4"/>
      <c r="KV9" s="58">
        <f>KV10</f>
        <v>9.5</v>
      </c>
      <c r="LQ9" s="4"/>
      <c r="LV9" s="58">
        <f>LV10</f>
        <v>9.5</v>
      </c>
      <c r="MQ9" s="4"/>
      <c r="MV9" s="58">
        <f>MV10</f>
        <v>9.5</v>
      </c>
      <c r="NQ9" s="4"/>
      <c r="NV9" s="58">
        <f>NV10</f>
        <v>9.5</v>
      </c>
      <c r="OQ9" s="4"/>
      <c r="OV9" s="58">
        <f>OV10</f>
        <v>9.5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9.4</v>
      </c>
      <c r="BN10" s="4"/>
      <c r="BS10" s="59">
        <v>9.4</v>
      </c>
      <c r="CO10" s="4"/>
      <c r="CT10" s="59">
        <v>9.5</v>
      </c>
      <c r="DQ10" s="4"/>
      <c r="DV10" s="59">
        <v>9.5</v>
      </c>
      <c r="EQ10" s="4"/>
      <c r="EV10" s="59">
        <v>9.5</v>
      </c>
      <c r="FQ10" s="4"/>
      <c r="FV10" s="59">
        <v>9.5</v>
      </c>
      <c r="GQ10" s="4"/>
      <c r="GV10" s="59">
        <v>9.5</v>
      </c>
      <c r="HQ10" s="4"/>
      <c r="HV10" s="59">
        <v>9.5</v>
      </c>
      <c r="IQ10" s="4"/>
      <c r="IV10" s="59">
        <v>9.5</v>
      </c>
      <c r="JQ10" s="4"/>
      <c r="JV10" s="59">
        <v>9.5</v>
      </c>
      <c r="KQ10" s="4"/>
      <c r="KV10" s="59">
        <v>9.5</v>
      </c>
      <c r="LQ10" s="4"/>
      <c r="LV10" s="59">
        <v>9.5</v>
      </c>
      <c r="MQ10" s="4"/>
      <c r="MV10" s="59">
        <v>9.5</v>
      </c>
      <c r="NQ10" s="4"/>
      <c r="NV10" s="59">
        <v>9.5</v>
      </c>
      <c r="OQ10" s="4"/>
      <c r="OV10" s="59">
        <v>9.5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43.6</v>
      </c>
      <c r="BN12" s="4"/>
      <c r="BS12" s="61">
        <v>43.6</v>
      </c>
      <c r="CO12" s="4"/>
      <c r="CT12" s="61">
        <v>43.1</v>
      </c>
      <c r="DQ12" s="4"/>
      <c r="DV12" s="61">
        <v>43.1</v>
      </c>
      <c r="EQ12" s="4"/>
      <c r="EV12" s="61">
        <v>43.1</v>
      </c>
      <c r="FQ12" s="4"/>
      <c r="FV12" s="61">
        <v>43.1</v>
      </c>
      <c r="GQ12" s="4"/>
      <c r="GV12" s="61">
        <v>43.1</v>
      </c>
      <c r="HQ12" s="4"/>
      <c r="HV12" s="61">
        <v>43.1</v>
      </c>
      <c r="IQ12" s="4"/>
      <c r="IV12" s="61">
        <v>43.1</v>
      </c>
      <c r="JQ12" s="4"/>
      <c r="JV12" s="61">
        <v>43.1</v>
      </c>
      <c r="KQ12" s="4"/>
      <c r="KV12" s="61">
        <v>43.1</v>
      </c>
      <c r="LQ12" s="4"/>
      <c r="LV12" s="61">
        <v>43.1</v>
      </c>
      <c r="MQ12" s="4"/>
      <c r="MV12" s="61">
        <v>43.1</v>
      </c>
      <c r="NQ12" s="4"/>
      <c r="NV12" s="61">
        <v>43.1</v>
      </c>
      <c r="OQ12" s="4"/>
      <c r="OV12" s="61">
        <v>43.1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44.6</v>
      </c>
      <c r="BN13" s="4"/>
      <c r="BS13" s="62">
        <f>BS14</f>
        <v>44.6</v>
      </c>
      <c r="CO13" s="4"/>
      <c r="CT13" s="62">
        <f>CT14</f>
        <v>45.1</v>
      </c>
      <c r="DQ13" s="4"/>
      <c r="DV13" s="62">
        <f>DV14</f>
        <v>45.1</v>
      </c>
      <c r="EQ13" s="4"/>
      <c r="EV13" s="62">
        <f>EV14</f>
        <v>45.1</v>
      </c>
      <c r="FQ13" s="4"/>
      <c r="FV13" s="62">
        <f>FV14</f>
        <v>45.1</v>
      </c>
      <c r="GQ13" s="4"/>
      <c r="GV13" s="62">
        <f>GV14</f>
        <v>45.1</v>
      </c>
      <c r="HQ13" s="4"/>
      <c r="HV13" s="62">
        <f>HV14</f>
        <v>45.1</v>
      </c>
      <c r="IQ13" s="4"/>
      <c r="IV13" s="62">
        <f>IV14</f>
        <v>45.1</v>
      </c>
      <c r="JQ13" s="4"/>
      <c r="JV13" s="62">
        <f>JV14</f>
        <v>45.1</v>
      </c>
      <c r="KQ13" s="4"/>
      <c r="KV13" s="62">
        <f>KV14</f>
        <v>45.1</v>
      </c>
      <c r="LQ13" s="4"/>
      <c r="LV13" s="62">
        <f>LV14</f>
        <v>45.1</v>
      </c>
      <c r="MQ13" s="4"/>
      <c r="MV13" s="62">
        <f>MV14</f>
        <v>45.1</v>
      </c>
      <c r="NQ13" s="4"/>
      <c r="NV13" s="62">
        <f>NV14</f>
        <v>45.1</v>
      </c>
      <c r="OQ13" s="4"/>
      <c r="OV13" s="62">
        <f>OV14</f>
        <v>45.1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44.6</v>
      </c>
      <c r="BN14" s="4"/>
      <c r="BS14" s="63">
        <v>44.6</v>
      </c>
      <c r="CO14" s="4"/>
      <c r="CT14" s="63">
        <v>45.1</v>
      </c>
      <c r="DQ14" s="4"/>
      <c r="DV14" s="63">
        <v>45.1</v>
      </c>
      <c r="EQ14" s="4"/>
      <c r="EV14" s="63">
        <v>45.1</v>
      </c>
      <c r="FQ14" s="4"/>
      <c r="FV14" s="63">
        <v>45.1</v>
      </c>
      <c r="GQ14" s="4"/>
      <c r="GV14" s="63">
        <v>45.1</v>
      </c>
      <c r="HQ14" s="4"/>
      <c r="HV14" s="63">
        <v>45.1</v>
      </c>
      <c r="IQ14" s="4"/>
      <c r="IV14" s="63">
        <v>45.1</v>
      </c>
      <c r="JQ14" s="4"/>
      <c r="JV14" s="63">
        <v>45.1</v>
      </c>
      <c r="KQ14" s="4"/>
      <c r="KV14" s="63">
        <v>45.1</v>
      </c>
      <c r="LQ14" s="4"/>
      <c r="LV14" s="63">
        <v>45.1</v>
      </c>
      <c r="MQ14" s="4"/>
      <c r="MV14" s="63">
        <v>45.1</v>
      </c>
      <c r="NQ14" s="4"/>
      <c r="NV14" s="63">
        <v>45.1</v>
      </c>
      <c r="OQ14" s="4"/>
      <c r="OV14" s="63">
        <v>45.1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111" priority="1" stopIfTrue="1">
      <formula>IF($AL4&lt;&gt;"",1,0)</formula>
    </cfRule>
  </conditionalFormatting>
  <conditionalFormatting sqref="AS4:BS5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5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AR$11</formula>
      <formula>1000</formula>
    </cfRule>
    <cfRule type="cellIs" dxfId="98" priority="47560" operator="between">
      <formula>AR$10</formula>
      <formula>AR$11</formula>
    </cfRule>
    <cfRule type="cellIs" dxfId="97" priority="47561" operator="between">
      <formula>AR$9</formula>
      <formula>AR$10</formula>
    </cfRule>
    <cfRule type="cellIs" dxfId="96" priority="47562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AR$15</formula>
      <formula>1000</formula>
    </cfRule>
    <cfRule type="cellIs" dxfId="94" priority="47740" operator="between">
      <formula>AR$14</formula>
      <formula>AR$15</formula>
    </cfRule>
    <cfRule type="cellIs" dxfId="93" priority="47741" operator="between">
      <formula>AR$13</formula>
      <formula>AR$14</formula>
    </cfRule>
    <cfRule type="cellIs" dxfId="92" priority="47742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AR$8</formula>
      <formula>AR$9</formula>
    </cfRule>
    <cfRule type="cellIs" dxfId="90" priority="47920" operator="between">
      <formula>AR$9</formula>
      <formula>AR$10</formula>
    </cfRule>
    <cfRule type="cellIs" dxfId="89" priority="47921" operator="between">
      <formula>AR$10</formula>
      <formula>AR$11</formula>
    </cfRule>
    <cfRule type="cellIs" dxfId="88" priority="47922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AR$12</formula>
      <formula>AR$13</formula>
    </cfRule>
    <cfRule type="cellIs" dxfId="86" priority="48100" operator="between">
      <formula>AR$13</formula>
      <formula>AR$14</formula>
    </cfRule>
    <cfRule type="cellIs" dxfId="85" priority="48101" operator="between">
      <formula>AR$14</formula>
      <formula>AR$15</formula>
    </cfRule>
    <cfRule type="cellIs" dxfId="84" priority="48102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93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79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IF(AND(F4="P",G4="P"),SUMPRODUCT((F$4:F$5="P")*(G$4:G$5="P")*(E$4:E$5&gt;E4))+1,IF(G4="P",SUMPRODUCT((F$4:F$5="")*(G$4:G$5="P")*(E$4:E$5&gt;E4))+1+SUMPRODUCT((F$4:F$5="P")*(G$4:G$5="P")),""))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126.40000839000416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41.79999999999999</v>
      </c>
      <c r="J4" s="9" t="str">
        <f>IF(I4=0,"",IF(I4=CP4,$BT$1,IF(I4=BO4,$AS$1,IF(I4=AN4,$R$1,""))))</f>
        <v>2022 Nationals</v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42.099999999999994</v>
      </c>
      <c r="N4" s="9" t="str">
        <f>IF(M4=0,"",IF(M4=CS4,$BT$1,IF(M4=BR4,$AS$1,IF(M4=AQ4,$R$1,""))))</f>
        <v>2022 Nationals</v>
      </c>
      <c r="O4" s="9">
        <f>IF(MAX(CU4:CV4)&gt;0,MAX(CU4:CV4),"")</f>
        <v>42.499999999999993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16.2</v>
      </c>
      <c r="S4" s="20">
        <v>4.0999999999999996</v>
      </c>
      <c r="T4" s="20">
        <v>0.2</v>
      </c>
      <c r="U4" s="20">
        <v>0.3</v>
      </c>
      <c r="V4" s="20">
        <v>17.399999999999999</v>
      </c>
      <c r="W4" s="20">
        <v>3.9</v>
      </c>
      <c r="X4" s="20">
        <v>0.2</v>
      </c>
      <c r="Y4" s="20">
        <v>0.3</v>
      </c>
      <c r="Z4" s="20"/>
      <c r="AA4" s="20"/>
      <c r="AB4" s="20"/>
      <c r="AC4" s="20"/>
      <c r="AD4" s="20">
        <v>16.5</v>
      </c>
      <c r="AE4" s="20">
        <v>3.9</v>
      </c>
      <c r="AF4" s="20">
        <v>0</v>
      </c>
      <c r="AG4" s="20">
        <v>0.3</v>
      </c>
      <c r="AH4" s="20">
        <v>16.899999999999999</v>
      </c>
      <c r="AI4" s="20">
        <v>3.9</v>
      </c>
      <c r="AJ4" s="20">
        <v>0</v>
      </c>
      <c r="AK4" s="20">
        <v>0.6</v>
      </c>
      <c r="AL4" s="32"/>
      <c r="AM4" s="55">
        <f>IF(SUM(S4,W4)&gt;0,SUM(S4,W4),"")</f>
        <v>8</v>
      </c>
      <c r="AN4" s="55">
        <f>IF(SUM(R4:S4,U4:W4,Y4)-T4-X4&gt;0,SUM(R4:S4,U4:W4,Y4)-T4-X4,"")</f>
        <v>41.79999999999999</v>
      </c>
      <c r="AO4" s="55" t="str">
        <f>IF(SUM(Z4:AA4,AC4)-AB4&gt;0,SUM(Z4:AA4,AC4)-AB4,"")</f>
        <v/>
      </c>
      <c r="AP4" s="55">
        <f>IF(SUM(AE4,AI4)&gt;0,SUM(AE4,AI4),"")</f>
        <v>7.8</v>
      </c>
      <c r="AQ4" s="55">
        <f>IF(SUM(AD4:AE4,AG4:AI4,AK4)-SUM(AF4,AJ4)&gt;0,SUM(AD4:AE4,AG4:AI4,AK4)-SUM(AF4,AJ4),"")</f>
        <v>42.099999999999994</v>
      </c>
      <c r="AR4" s="55">
        <f>IF(SUM(AN4,AQ4)&gt;0,SUM(AN4,AQ4),"")</f>
        <v>83.899999999999977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IF(SUM(CP4,CS4)&gt;0,SUM(CP4,CS4),"")</f>
        <v/>
      </c>
      <c r="CU4" s="56">
        <f>IF(MAX(DR4,ER4,FR4,GR4,HR4,IR4,JR4,KR4,LR4,MR4,NR4,OR4)-IF(K4="",0,K4)&gt;0.001,MAX(DR4,ER4,FR4,GR4,HR4,IR4,JR4,KR4,LR4,MR4,NR4,OR4)-IF(K4="",0,K4),"")</f>
        <v>42.499999999999993</v>
      </c>
      <c r="CV4" s="56">
        <f>IF(MAX(DU4,EU4,FU4,GU4,HU4,IU4,JU4,KU4,LU4,MU4,NU4,OU4)-IF(M4="",0,M4)&gt;0.001,MAX(DU4,EU4,FU4,GU4,HU4,IU4,JU4,KU4,LU4,MU4,NU4,OU4)-IF(M4="",0,M4),"")</f>
        <v>1.3000000000000043</v>
      </c>
      <c r="CW4" s="18">
        <v>17.3</v>
      </c>
      <c r="CX4" s="18">
        <v>4.0999999999999996</v>
      </c>
      <c r="CY4" s="18">
        <v>0</v>
      </c>
      <c r="CZ4" s="18">
        <v>0</v>
      </c>
      <c r="DA4" s="18">
        <v>17.2</v>
      </c>
      <c r="DB4" s="18">
        <v>3.9</v>
      </c>
      <c r="DC4" s="18">
        <v>0</v>
      </c>
      <c r="DD4" s="18">
        <v>0</v>
      </c>
      <c r="DE4" s="18"/>
      <c r="DF4" s="18"/>
      <c r="DG4" s="18"/>
      <c r="DH4" s="18"/>
      <c r="DI4" s="18">
        <v>17.600000000000001</v>
      </c>
      <c r="DJ4" s="18">
        <v>3.9</v>
      </c>
      <c r="DK4" s="18">
        <v>0</v>
      </c>
      <c r="DL4" s="18">
        <v>0</v>
      </c>
      <c r="DM4" s="18">
        <v>17.8</v>
      </c>
      <c r="DN4" s="18">
        <v>4.0999999999999996</v>
      </c>
      <c r="DO4" s="18">
        <v>0</v>
      </c>
      <c r="DP4" s="18">
        <v>0</v>
      </c>
      <c r="DQ4" s="55">
        <f>IF(SUM(CX4,DB4)&gt;0,SUM(CX4,DB4),"")</f>
        <v>8</v>
      </c>
      <c r="DR4" s="55">
        <f>IF(SUM(CW4:CX4,CZ4:DB4,DD4)-CY4-DC4&gt;0,SUM(CW4:CX4,CZ4:DB4,DD4)-CY4-DC4,"")</f>
        <v>42.499999999999993</v>
      </c>
      <c r="DS4" s="55" t="str">
        <f>IF(SUM(DE4:DF4,DH4)-DG4&gt;0,SUM(DE4:DF4,DH4)-DG4,"")</f>
        <v/>
      </c>
      <c r="DT4" s="55">
        <f>IF(SUM(DJ4,DN4)&gt;0,SUM(DJ4,DN4),"")</f>
        <v>8</v>
      </c>
      <c r="DU4" s="55">
        <f>IF(SUM(DI4:DJ4,DL4:DN4,DP4)-SUM(DK4,DO4)&gt;0,SUM(DI4:DJ4,DL4:DN4,DP4)-SUM(DK4,DO4),"")</f>
        <v>43.4</v>
      </c>
      <c r="DV4" s="55">
        <f>IF(SUM(DR4,DU4)&gt;0,SUM(DR4,DU4),"")</f>
        <v>85.899999999999991</v>
      </c>
      <c r="DW4" s="19">
        <v>16.8</v>
      </c>
      <c r="DX4" s="19">
        <v>3.9</v>
      </c>
      <c r="DY4" s="19">
        <v>0</v>
      </c>
      <c r="DZ4" s="19">
        <v>0</v>
      </c>
      <c r="EA4" s="19">
        <v>17.600000000000001</v>
      </c>
      <c r="EB4" s="19">
        <v>3</v>
      </c>
      <c r="EC4" s="19">
        <v>0</v>
      </c>
      <c r="ED4" s="19">
        <v>0</v>
      </c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>
        <f>IF(SUM(DX4,EB4)&gt;0,SUM(DX4,EB4),"")</f>
        <v>6.9</v>
      </c>
      <c r="ER4" s="14">
        <f>IF(SUM(DW4:DX4,DZ4:EB4,ED4)-DY4-EC4&gt;0,SUM(DW4:DX4,DZ4:EB4,ED4)-DY4-EC4,"")</f>
        <v>41.3</v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IF(SUM(ER4,EU4)&gt;0,SUM(ER4,EU4),"")</f>
        <v>41.3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4" si="0">IF($CN4="P",BT4,(BT4+AS4)/2)</f>
        <v>0</v>
      </c>
      <c r="OX4" s="27">
        <f t="shared" si="0"/>
        <v>0</v>
      </c>
      <c r="OY4" s="27">
        <f t="shared" si="0"/>
        <v>0</v>
      </c>
      <c r="OZ4" s="27">
        <f t="shared" si="0"/>
        <v>0</v>
      </c>
      <c r="PA4" s="27">
        <f t="shared" si="0"/>
        <v>0</v>
      </c>
      <c r="PB4" s="27">
        <f t="shared" si="0"/>
        <v>0</v>
      </c>
      <c r="PC4" s="27">
        <f t="shared" si="0"/>
        <v>0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4" si="1">IF($CN4="P",CD4,(CD4+BC4)/2)</f>
        <v>0</v>
      </c>
      <c r="PH4" s="27">
        <f t="shared" si="1"/>
        <v>0</v>
      </c>
      <c r="PI4" s="27">
        <f t="shared" si="1"/>
        <v>0</v>
      </c>
      <c r="PJ4" s="27">
        <f t="shared" si="1"/>
        <v>0</v>
      </c>
      <c r="PK4" s="27">
        <f t="shared" si="1"/>
        <v>0</v>
      </c>
      <c r="PL4" s="27">
        <f t="shared" si="1"/>
        <v>0</v>
      </c>
      <c r="PM4" s="27">
        <f t="shared" si="1"/>
        <v>0</v>
      </c>
      <c r="PN4" s="27">
        <f t="shared" si="1"/>
        <v>0</v>
      </c>
      <c r="PO4" s="27">
        <f t="shared" si="1"/>
        <v>0</v>
      </c>
      <c r="PP4" s="27">
        <f t="shared" si="1"/>
        <v>0</v>
      </c>
      <c r="PQ4" s="32" t="s">
        <v>44</v>
      </c>
      <c r="PR4" s="55" t="str">
        <f>IF(SUM(OX4,PB4)&gt;0,SUM(OX4,PB4),"")</f>
        <v/>
      </c>
      <c r="PS4" s="55" t="str">
        <f>IF(SUM(OW4:OX4,OZ4:PB4,PD4)-OY4-PC4&gt;0,SUM(OW4:OX4,OZ4:PB4,PD4)-OY4-PC4,"")</f>
        <v/>
      </c>
      <c r="PT4" s="55" t="str">
        <f>IF(SUM(PE4:PF4,PH4)-PG4&gt;0,SUM(PE4:PF4,PH4)-PG4,"")</f>
        <v/>
      </c>
      <c r="PU4" s="55" t="str">
        <f>IF(SUM(PJ4,PN4)&gt;0,SUM(PJ4,PN4),"")</f>
        <v/>
      </c>
      <c r="PV4" s="55" t="str">
        <f>IF(SUM(PI4:PJ4,PL4:PN4,PP4)-SUM(PK4,PO4)&gt;0,SUM(PI4:PJ4,PL4:PN4,PP4)-SUM(PK4,PO4),"")</f>
        <v/>
      </c>
      <c r="PW4" s="55" t="str">
        <f>IF(SUM(PS4,PV4)&gt;0,SUM(PS4,PV4),"")</f>
        <v/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7.2</v>
      </c>
      <c r="BN7" s="4"/>
      <c r="BS7" s="57">
        <v>7.2</v>
      </c>
      <c r="CO7" s="4"/>
      <c r="CT7" s="57">
        <v>7.3</v>
      </c>
      <c r="DQ7" s="4"/>
      <c r="DV7" s="57">
        <v>7.2</v>
      </c>
      <c r="EQ7" s="4"/>
      <c r="EV7" s="57">
        <v>7.2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hidden="1" x14ac:dyDescent="0.2">
      <c r="B8" s="35" t="s">
        <v>41</v>
      </c>
      <c r="O8" s="11"/>
      <c r="P8" s="11"/>
      <c r="Q8" s="11"/>
      <c r="AM8" s="4"/>
      <c r="AR8" s="58">
        <v>7.2</v>
      </c>
      <c r="BN8" s="4"/>
      <c r="BS8" s="58">
        <v>7.2</v>
      </c>
      <c r="CO8" s="4"/>
      <c r="CT8" s="58">
        <v>7.2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7.2</v>
      </c>
      <c r="BN9" s="4"/>
      <c r="BS9" s="59">
        <v>7.2</v>
      </c>
      <c r="CO9" s="4"/>
      <c r="CT9" s="59">
        <v>8</v>
      </c>
      <c r="DQ9" s="4"/>
      <c r="DV9" s="59">
        <v>7.2</v>
      </c>
      <c r="EQ9" s="4"/>
      <c r="EV9" s="59">
        <v>7.2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42</v>
      </c>
      <c r="BN11" s="4"/>
      <c r="BS11" s="61">
        <v>42</v>
      </c>
      <c r="CO11" s="4"/>
      <c r="CT11" s="61">
        <v>41.7</v>
      </c>
      <c r="DQ11" s="4"/>
      <c r="DV11" s="61">
        <v>42</v>
      </c>
      <c r="EQ11" s="4"/>
      <c r="EV11" s="61">
        <v>42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43.4</v>
      </c>
      <c r="BN13" s="4"/>
      <c r="BS13" s="63">
        <v>43.4</v>
      </c>
      <c r="CO13" s="4"/>
      <c r="CT13" s="63">
        <v>42.5</v>
      </c>
      <c r="DQ13" s="4"/>
      <c r="DV13" s="63">
        <v>43.4</v>
      </c>
      <c r="EQ13" s="4"/>
      <c r="EV13" s="63">
        <v>43.4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83" priority="5" stopIfTrue="1">
      <formula>IF($AL4&lt;&gt;"",1,0)</formula>
    </cfRule>
  </conditionalFormatting>
  <conditionalFormatting sqref="AS4:BS4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4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50426" operator="between">
      <formula>AR$10</formula>
      <formula>1000</formula>
    </cfRule>
    <cfRule type="cellIs" dxfId="70" priority="50427" operator="between">
      <formula>AR$9</formula>
      <formula>AR$10</formula>
    </cfRule>
    <cfRule type="cellIs" dxfId="69" priority="50428" operator="between">
      <formula>AR$8</formula>
      <formula>AR$9</formula>
    </cfRule>
    <cfRule type="cellIs" dxfId="68" priority="5042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50606" operator="between">
      <formula>AR$14</formula>
      <formula>1000</formula>
    </cfRule>
    <cfRule type="cellIs" dxfId="66" priority="50607" operator="between">
      <formula>AR$13</formula>
      <formula>AR$14</formula>
    </cfRule>
    <cfRule type="cellIs" dxfId="65" priority="50608" operator="between">
      <formula>AR$12</formula>
      <formula>AR$13</formula>
    </cfRule>
    <cfRule type="cellIs" dxfId="64" priority="5060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0786" operator="between">
      <formula>AR$7</formula>
      <formula>AR$8</formula>
    </cfRule>
    <cfRule type="cellIs" dxfId="62" priority="50787" operator="between">
      <formula>AR$8</formula>
      <formula>AR$9</formula>
    </cfRule>
    <cfRule type="cellIs" dxfId="61" priority="50788" operator="between">
      <formula>AR$9</formula>
      <formula>AR$10</formula>
    </cfRule>
    <cfRule type="cellIs" dxfId="60" priority="5078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0966" operator="between">
      <formula>AR$11</formula>
      <formula>AR$12</formula>
    </cfRule>
    <cfRule type="cellIs" dxfId="58" priority="50967" operator="between">
      <formula>AR$12</formula>
      <formula>AR$13</formula>
    </cfRule>
    <cfRule type="cellIs" dxfId="57" priority="50968" operator="between">
      <formula>AR$13</formula>
      <formula>AR$14</formula>
    </cfRule>
    <cfRule type="cellIs" dxfId="56" priority="5096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93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79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96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 t="s">
        <v>95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IF(AND(F4="P",G4="P"),SUMPRODUCT((F$4:F$8="P")*(G$4:G$8="P")*(E$4:E$8&gt;E4))+1,IF(G4="P",SUMPRODUCT((F$4:F$8="")*(G$4:G$8="P")*(E$4:E$8&gt;E4))+1+SUMPRODUCT((F$4:F$8="P")*(G$4:G$8="P")),""))</f>
        <v>1</v>
      </c>
      <c r="B4" s="5" t="s">
        <v>82</v>
      </c>
      <c r="C4" s="4" t="s">
        <v>68</v>
      </c>
      <c r="D4" s="4">
        <v>2007</v>
      </c>
      <c r="E4" s="10">
        <f>SUM(I4:O4)+SUM(I4:M4)*0.0000001+SUM(I4)*0.0000000000001</f>
        <v>147.10001433000494</v>
      </c>
      <c r="F4" s="3" t="str">
        <f>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P","")</f>
        <v>P</v>
      </c>
      <c r="G4" s="3" t="str">
        <f>IF(OR(AND(AN4&gt;=AR$14,AN4&lt;&gt;"",AL4=""),AND(AQ4&gt;=AR$14,AQ4&lt;&gt;"",AL4=""),AND(BO4&gt;=BS$14,BO4&lt;&gt;"",BM4=""),AND(BR4&gt;=BS$14,BR4&lt;&gt;"",BM4=""),AND(CP4&gt;=CT$14,CP4&lt;&gt;"",CN4=""),AND(CS4&gt;=CT$14,CS4&lt;&gt;"",CN4=""),AND(DR4&gt;=DV$14,DR4&lt;&gt;""),AND(DU4&gt;=DV$14,DU4&lt;&gt;""),AND(ER4&gt;=EV$14,ER4&lt;&gt;""),AND(EU4&gt;=EV$14,EU4&lt;&gt;""),AND(FR4&gt;=FV$14,FR4&lt;&gt;""),AND(FU4&gt;=FV$14,FU4&lt;&gt;""),AND(GR4&gt;=GV$14,GR4&lt;&gt;""),AND(GU4&gt;=GV$14,GU4&lt;&gt;""),AND(HR4&gt;=HV$14,HR4&lt;&gt;""),AND(HU4&gt;=HV$14,HU4&lt;&gt;""),AND(IR4&gt;=IV$14,IR4&lt;&gt;""),AND(IU4&gt;=IV$14,IU4&lt;&gt;""),AND(JR4&gt;=JV$14,JR4&lt;&gt;""),AND(JU4&gt;=JV$14,JU4&lt;&gt;""),AND(KR4&gt;=KV$14,KR4&lt;&gt;""),AND(KU4&gt;=KV$14,KU4&lt;&gt;""),AND(LR4&gt;=LV$14,LR4&lt;&gt;""),AND(LU4&gt;=LV$14,LU4&lt;&gt;""),AND(MR4&gt;=MV$14,MR4&lt;&gt;""),AND(MU4&gt;=MV$14,MU4&lt;&gt;""),AND(NR4&gt;=NV$14,NR4&lt;&gt;""),AND(NU4&gt;=NV$14,NU4&lt;&gt;""),AND(OR4&gt;=OV$14,OR4&lt;&gt;""),AND(OU4&gt;=OV$14,OU4&lt;&gt;"")),"P","")</f>
        <v>P</v>
      </c>
      <c r="H4" s="47" t="str">
        <f>IF(AND(G4="P",F4=""),"No DD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Merit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Excellence",IF(F4="P","National Team",""))))</f>
        <v>Excellence</v>
      </c>
      <c r="I4" s="9">
        <f>IF(COUNT(AN4,BO4,CP4)&gt;0,LARGE((AN4,BO4,CP4),1),0)</f>
        <v>49.5</v>
      </c>
      <c r="J4" s="9" t="str">
        <f>IF(I4=0,"",IF(I4=CP4,$BT$1,IF(I4=BO4,$AS$1,IF(I4=AN4,$R$1,""))))</f>
        <v>2022 3rd Domestic Trial</v>
      </c>
      <c r="K4" s="9">
        <f>IF(COUNT(AN4,BO4,CP4)&gt;1,LARGE((AN4,BO4,CP4),2),0)</f>
        <v>43.79999999999999</v>
      </c>
      <c r="L4" s="9" t="str">
        <f>IF(K4=0,"",IF(K4=CP4,$BT$1,IF(K4=BO4,$AS$1,IF(K4=AN4,$R$1,""))))</f>
        <v>2022 Nationals</v>
      </c>
      <c r="M4" s="9">
        <f>IF(MAX(AQ4,BR4,CS4)&gt;0,MAX(AQ4,BR4,CS4),0)</f>
        <v>49.999999999999993</v>
      </c>
      <c r="N4" s="9" t="str">
        <f>IF(M4=0,"",IF(M4=CS4,$BT$1,IF(M4=BR4,$AS$1,IF(M4=AQ4,$R$1,""))))</f>
        <v>2022 3rd Domestic Trial</v>
      </c>
      <c r="O4" s="9">
        <f>IF(MAX(CU4:CV4)&gt;0,MAX(CU4:CV4),"")</f>
        <v>3.8000000000000114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18.8</v>
      </c>
      <c r="S4" s="20">
        <v>5.6</v>
      </c>
      <c r="T4" s="20">
        <v>0.6</v>
      </c>
      <c r="U4" s="20">
        <v>0</v>
      </c>
      <c r="V4" s="20">
        <v>17.2</v>
      </c>
      <c r="W4" s="20">
        <v>2.8</v>
      </c>
      <c r="X4" s="20">
        <v>0</v>
      </c>
      <c r="Y4" s="20">
        <v>0</v>
      </c>
      <c r="Z4" s="20">
        <v>18.2</v>
      </c>
      <c r="AA4" s="20">
        <v>5.6</v>
      </c>
      <c r="AB4" s="20">
        <v>0.8</v>
      </c>
      <c r="AC4" s="20">
        <v>0</v>
      </c>
      <c r="AD4" s="20">
        <v>18.5</v>
      </c>
      <c r="AE4" s="20">
        <v>5.6</v>
      </c>
      <c r="AF4" s="20">
        <v>0</v>
      </c>
      <c r="AG4" s="20">
        <v>0</v>
      </c>
      <c r="AH4" s="20">
        <v>19.2</v>
      </c>
      <c r="AI4" s="20">
        <v>6.4</v>
      </c>
      <c r="AJ4" s="20">
        <v>0.6</v>
      </c>
      <c r="AK4" s="20">
        <v>0</v>
      </c>
      <c r="AL4" s="32"/>
      <c r="AM4" s="55">
        <f>IF(SUM(S4,W4)&gt;0,SUM(S4,W4),"")</f>
        <v>8.3999999999999986</v>
      </c>
      <c r="AN4" s="55">
        <f>IF(SUM(R4:S4,U4:W4,Y4)-T4-X4&gt;0,SUM(R4:S4,U4:W4,Y4)-T4-X4,"")</f>
        <v>43.79999999999999</v>
      </c>
      <c r="AO4" s="55">
        <f>IF(SUM(Z4:AA4,AC4)-AB4&gt;0,SUM(Z4:AA4,AC4)-AB4,"")</f>
        <v>22.999999999999996</v>
      </c>
      <c r="AP4" s="55">
        <f>IF(SUM(AE4,AI4)&gt;0,SUM(AE4,AI4),"")</f>
        <v>12</v>
      </c>
      <c r="AQ4" s="55">
        <f>IF(SUM(AD4:AE4,AG4:AI4,AK4)-SUM(AF4,AJ4)&gt;0,SUM(AD4:AE4,AG4:AI4,AK4)-SUM(AF4,AJ4),"")</f>
        <v>49.099999999999994</v>
      </c>
      <c r="AR4" s="55">
        <f>IF(SUM(AN4,AQ4)&gt;0,SUM(AN4,AQ4),"")</f>
        <v>92.899999999999977</v>
      </c>
      <c r="AS4" s="19">
        <v>19.100000000000001</v>
      </c>
      <c r="AT4" s="19">
        <v>5.6</v>
      </c>
      <c r="AU4" s="19">
        <v>0</v>
      </c>
      <c r="AV4" s="19">
        <v>0</v>
      </c>
      <c r="AW4" s="19">
        <v>19</v>
      </c>
      <c r="AX4" s="19">
        <v>6.4</v>
      </c>
      <c r="AY4" s="19">
        <v>0.6</v>
      </c>
      <c r="AZ4" s="19">
        <v>0</v>
      </c>
      <c r="BA4" s="19">
        <v>18.899999999999999</v>
      </c>
      <c r="BB4" s="19">
        <v>5.6</v>
      </c>
      <c r="BC4" s="19">
        <v>0.6</v>
      </c>
      <c r="BD4" s="19">
        <v>0</v>
      </c>
      <c r="BE4" s="19">
        <v>19.2</v>
      </c>
      <c r="BF4" s="19">
        <v>5.6</v>
      </c>
      <c r="BG4" s="19">
        <v>0</v>
      </c>
      <c r="BH4" s="19">
        <v>0</v>
      </c>
      <c r="BI4" s="19">
        <v>19.399999999999999</v>
      </c>
      <c r="BJ4" s="19">
        <v>6.4</v>
      </c>
      <c r="BK4" s="19">
        <v>0.6</v>
      </c>
      <c r="BL4" s="19">
        <v>0</v>
      </c>
      <c r="BM4" s="33"/>
      <c r="BN4" s="14">
        <f>IF(SUM(AT4,AX4)&gt;0,SUM(AT4,AX4),"")</f>
        <v>12</v>
      </c>
      <c r="BO4" s="14">
        <f>IF(SUM(AS4:AT4,AV4:AX4,AZ4)-AU4-AY4&gt;0,SUM(AS4:AT4,AV4:AX4,AZ4)-AU4-AY4,"")</f>
        <v>49.5</v>
      </c>
      <c r="BP4" s="14">
        <f>IF(SUM(BA4:BB4,BD4)-BC4&gt;0,SUM(BA4:BB4,BD4)-BC4,"")</f>
        <v>23.9</v>
      </c>
      <c r="BQ4" s="14">
        <f>IF(SUM(BF4,BJ4)&gt;0,SUM(BF4,BJ4),"")</f>
        <v>12</v>
      </c>
      <c r="BR4" s="14">
        <f>IF(SUM(BE4:BF4,BH4:BJ4,BL4)-SUM(BG4,BK4)&gt;0,SUM(BE4:BF4,BH4:BJ4,BL4)-SUM(BG4,BK4),"")</f>
        <v>49.999999999999993</v>
      </c>
      <c r="BS4" s="14">
        <f>IF(SUM(BO4,BR4)&gt;0,SUM(BO4,BR4),"")</f>
        <v>99.5</v>
      </c>
      <c r="BT4" s="20">
        <v>0</v>
      </c>
      <c r="BU4" s="20">
        <v>0</v>
      </c>
      <c r="BV4" s="20">
        <v>0</v>
      </c>
      <c r="BW4" s="20">
        <v>0</v>
      </c>
      <c r="BX4" s="20">
        <v>18.8</v>
      </c>
      <c r="BY4" s="20">
        <v>7.6</v>
      </c>
      <c r="BZ4" s="20">
        <v>0.2</v>
      </c>
      <c r="CA4" s="20">
        <v>0</v>
      </c>
      <c r="CB4" s="20">
        <v>18.5</v>
      </c>
      <c r="CC4" s="20">
        <v>6</v>
      </c>
      <c r="CD4" s="20">
        <v>0</v>
      </c>
      <c r="CE4" s="20">
        <v>0</v>
      </c>
      <c r="CF4" s="20">
        <v>17.399999999999999</v>
      </c>
      <c r="CG4" s="20">
        <v>4</v>
      </c>
      <c r="CH4" s="20">
        <v>0.2</v>
      </c>
      <c r="CI4" s="20">
        <v>0</v>
      </c>
      <c r="CJ4" s="20">
        <v>18.399999999999999</v>
      </c>
      <c r="CK4" s="20">
        <v>6.8</v>
      </c>
      <c r="CL4" s="20">
        <v>0.6</v>
      </c>
      <c r="CM4" s="20">
        <v>0</v>
      </c>
      <c r="CN4" s="32"/>
      <c r="CO4" s="55">
        <f>IF(SUM(BU4,BY4)&gt;0,SUM(BU4,BY4),"")</f>
        <v>7.6</v>
      </c>
      <c r="CP4" s="55">
        <f>IF(SUM(BT4:BU4,BW4:BY4,CA4)-BV4-BZ4&gt;0,SUM(BT4:BU4,BW4:BY4,CA4)-BV4-BZ4,"")</f>
        <v>26.2</v>
      </c>
      <c r="CQ4" s="55">
        <f>IF(SUM(CB4:CC4,CE4)-CD4&gt;0,SUM(CB4:CC4,CE4)-CD4,"")</f>
        <v>24.5</v>
      </c>
      <c r="CR4" s="55">
        <f>IF(SUM(CG4,CK4)&gt;0,SUM(CG4,CK4),"")</f>
        <v>10.8</v>
      </c>
      <c r="CS4" s="55">
        <f>IF(SUM(CF4:CG4,CI4:CK4,CM4)-SUM(CH4,CL4)&gt;0,SUM(CF4:CG4,CI4:CK4,CM4)-SUM(CH4,CL4),"")</f>
        <v>45.8</v>
      </c>
      <c r="CT4" s="55">
        <f>IF(SUM(CP4,CS4)&gt;0,SUM(CP4,CS4),"")</f>
        <v>72</v>
      </c>
      <c r="CU4" s="56">
        <f>IF(MAX(DR4,ER4,FR4,GR4,HR4,IR4,JR4,KR4,LR4,MR4,NR4,OR4)-IF(K4="",0,K4)&gt;0.001,MAX(DR4,ER4,FR4,GR4,HR4,IR4,JR4,KR4,LR4,MR4,NR4,OR4)-IF(K4="",0,K4),"")</f>
        <v>3.8000000000000114</v>
      </c>
      <c r="CV4" s="56" t="str">
        <f>IF(MAX(DU4,EU4,FU4,GU4,HU4,IU4,JU4,KU4,LU4,MU4,NU4,OU4)-IF(M4="",0,M4)&gt;0.001,MAX(DU4,EU4,FU4,GU4,HU4,IU4,JU4,KU4,LU4,MU4,NU4,OU4)-IF(M4="",0,M4),"")</f>
        <v/>
      </c>
      <c r="CW4" s="18">
        <v>18.399999999999999</v>
      </c>
      <c r="CX4" s="18">
        <v>5.2</v>
      </c>
      <c r="CY4" s="18">
        <v>0.6</v>
      </c>
      <c r="CZ4" s="18">
        <v>0</v>
      </c>
      <c r="DA4" s="18">
        <v>18.600000000000001</v>
      </c>
      <c r="DB4" s="18">
        <v>6</v>
      </c>
      <c r="DC4" s="18">
        <v>0</v>
      </c>
      <c r="DD4" s="18">
        <v>0</v>
      </c>
      <c r="DE4" s="18"/>
      <c r="DF4" s="18"/>
      <c r="DG4" s="18"/>
      <c r="DH4" s="18"/>
      <c r="DI4" s="18">
        <v>18.5</v>
      </c>
      <c r="DJ4" s="18">
        <v>6.4</v>
      </c>
      <c r="DK4" s="18">
        <v>0.6</v>
      </c>
      <c r="DL4" s="18">
        <v>0</v>
      </c>
      <c r="DM4" s="18"/>
      <c r="DN4" s="18"/>
      <c r="DO4" s="18"/>
      <c r="DP4" s="18"/>
      <c r="DQ4" s="55">
        <f>IF(SUM(CX4,DB4)&gt;0,SUM(CX4,DB4),"")</f>
        <v>11.2</v>
      </c>
      <c r="DR4" s="55">
        <f>IF(SUM(CW4:CX4,CZ4:DB4,DD4)-CY4-DC4&gt;0,SUM(CW4:CX4,CZ4:DB4,DD4)-CY4-DC4,"")</f>
        <v>47.6</v>
      </c>
      <c r="DS4" s="55" t="str">
        <f>IF(SUM(DE4:DF4,DH4)-DG4&gt;0,SUM(DE4:DF4,DH4)-DG4,"")</f>
        <v/>
      </c>
      <c r="DT4" s="55">
        <f>IF(SUM(DJ4,DN4)&gt;0,SUM(DJ4,DN4),"")</f>
        <v>6.4</v>
      </c>
      <c r="DU4" s="55">
        <f>IF(SUM(DI4:DJ4,DL4:DN4,DP4)-SUM(DK4,DO4)&gt;0,SUM(DI4:DJ4,DL4:DN4,DP4)-SUM(DK4,DO4),"")</f>
        <v>24.299999999999997</v>
      </c>
      <c r="DV4" s="55">
        <f>IF(SUM(DR4,DU4)&gt;0,SUM(DR4,DU4),"")</f>
        <v>71.900000000000006</v>
      </c>
      <c r="DW4" s="19">
        <v>18.8</v>
      </c>
      <c r="DX4" s="19">
        <v>6.4</v>
      </c>
      <c r="DY4" s="19">
        <v>0.6</v>
      </c>
      <c r="DZ4" s="19">
        <v>0</v>
      </c>
      <c r="EA4" s="19">
        <v>17</v>
      </c>
      <c r="EB4" s="19">
        <v>6.4</v>
      </c>
      <c r="EC4" s="19">
        <v>1</v>
      </c>
      <c r="ED4" s="19">
        <v>0</v>
      </c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>
        <f>IF(SUM(DX4,EB4)&gt;0,SUM(DX4,EB4),"")</f>
        <v>12.8</v>
      </c>
      <c r="ER4" s="14">
        <f>IF(SUM(DW4:DX4,DZ4:EB4,ED4)-DY4-EC4&gt;0,SUM(DW4:DX4,DZ4:EB4,ED4)-DY4-EC4,"")</f>
        <v>47</v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IF(SUM(ER4,EU4)&gt;0,SUM(ER4,EU4),"")</f>
        <v>47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7" si="0">IF($CN4="P",BT4,(BT4+AS4)/2)</f>
        <v>9.5500000000000007</v>
      </c>
      <c r="OX4" s="27">
        <f t="shared" si="0"/>
        <v>2.8</v>
      </c>
      <c r="OY4" s="27">
        <f t="shared" si="0"/>
        <v>0</v>
      </c>
      <c r="OZ4" s="27">
        <f t="shared" si="0"/>
        <v>0</v>
      </c>
      <c r="PA4" s="27">
        <f t="shared" si="0"/>
        <v>18.899999999999999</v>
      </c>
      <c r="PB4" s="27">
        <f t="shared" si="0"/>
        <v>7</v>
      </c>
      <c r="PC4" s="27">
        <f t="shared" si="0"/>
        <v>0.4</v>
      </c>
      <c r="PD4" s="27">
        <f t="shared" si="0"/>
        <v>0</v>
      </c>
      <c r="PE4" s="27">
        <f t="shared" si="0"/>
        <v>18.7</v>
      </c>
      <c r="PF4" s="27">
        <f t="shared" si="0"/>
        <v>5.8</v>
      </c>
      <c r="PG4" s="27">
        <f t="shared" ref="PG4:PP7" si="1">IF($CN4="P",CD4,(CD4+BC4)/2)</f>
        <v>0.3</v>
      </c>
      <c r="PH4" s="27">
        <f t="shared" si="1"/>
        <v>0</v>
      </c>
      <c r="PI4" s="27">
        <f t="shared" si="1"/>
        <v>18.299999999999997</v>
      </c>
      <c r="PJ4" s="27">
        <f t="shared" si="1"/>
        <v>4.8</v>
      </c>
      <c r="PK4" s="27">
        <f t="shared" si="1"/>
        <v>0.1</v>
      </c>
      <c r="PL4" s="27">
        <f t="shared" si="1"/>
        <v>0</v>
      </c>
      <c r="PM4" s="27">
        <f t="shared" si="1"/>
        <v>18.899999999999999</v>
      </c>
      <c r="PN4" s="27">
        <f t="shared" si="1"/>
        <v>6.6</v>
      </c>
      <c r="PO4" s="27">
        <f t="shared" si="1"/>
        <v>0.6</v>
      </c>
      <c r="PP4" s="27">
        <f t="shared" si="1"/>
        <v>0</v>
      </c>
      <c r="PQ4" s="32" t="s">
        <v>44</v>
      </c>
      <c r="PR4" s="55">
        <f>IF(SUM(OX4,PB4)&gt;0,SUM(OX4,PB4),"")</f>
        <v>9.8000000000000007</v>
      </c>
      <c r="PS4" s="55">
        <f>IF(SUM(OW4:OX4,OZ4:PB4,PD4)-OY4-PC4&gt;0,SUM(OW4:OX4,OZ4:PB4,PD4)-OY4-PC4,"")</f>
        <v>37.85</v>
      </c>
      <c r="PT4" s="55">
        <f>IF(SUM(PE4:PF4,PH4)-PG4&gt;0,SUM(PE4:PF4,PH4)-PG4,"")</f>
        <v>24.2</v>
      </c>
      <c r="PU4" s="55">
        <f>IF(SUM(PJ4,PN4)&gt;0,SUM(PJ4,PN4),"")</f>
        <v>11.399999999999999</v>
      </c>
      <c r="PV4" s="55">
        <f>IF(SUM(PI4:PJ4,PL4:PN4,PP4)-SUM(PK4,PO4)&gt;0,SUM(PI4:PJ4,PL4:PN4,PP4)-SUM(PK4,PO4),"")</f>
        <v>47.9</v>
      </c>
      <c r="PW4" s="55">
        <f>IF(SUM(PS4,PV4)&gt;0,SUM(PS4,PV4),"")</f>
        <v>85.75</v>
      </c>
    </row>
    <row r="5" spans="1:439" x14ac:dyDescent="0.2">
      <c r="A5" s="4">
        <f>IF(AND(F5="P",G5="P"),SUMPRODUCT((F$4:F$8="P")*(G$4:G$8="P")*(E$4:E$8&gt;E5))+1,IF(G5="P",SUMPRODUCT((F$4:F$8="")*(G$4:G$8="P")*(E$4:E$8&gt;E5))+1+SUMPRODUCT((F$4:F$8="P")*(G$4:G$8="P")),""))</f>
        <v>2</v>
      </c>
      <c r="B5" s="5" t="s">
        <v>91</v>
      </c>
      <c r="C5" s="4" t="s">
        <v>66</v>
      </c>
      <c r="D5" s="4">
        <v>2008</v>
      </c>
      <c r="E5" s="10">
        <f>SUM(I5:O5)+SUM(I5:M5)*0.0000001+SUM(I5)*0.0000000000001</f>
        <v>145.90001446000491</v>
      </c>
      <c r="F5" s="3" t="str">
        <f>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P","")</f>
        <v>P</v>
      </c>
      <c r="G5" s="3" t="str">
        <f>IF(OR(AND(AN5&gt;=AR$14,AN5&lt;&gt;"",AL5=""),AND(AQ5&gt;=AR$14,AQ5&lt;&gt;"",AL5=""),AND(BO5&gt;=BS$14,BO5&lt;&gt;"",BM5=""),AND(BR5&gt;=BS$14,BR5&lt;&gt;"",BM5=""),AND(CP5&gt;=CT$14,CP5&lt;&gt;"",CN5=""),AND(CS5&gt;=CT$14,CS5&lt;&gt;"",CN5=""),AND(DR5&gt;=DV$14,DR5&lt;&gt;""),AND(DU5&gt;=DV$14,DU5&lt;&gt;""),AND(ER5&gt;=EV$14,ER5&lt;&gt;""),AND(EU5&gt;=EV$14,EU5&lt;&gt;""),AND(FR5&gt;=FV$14,FR5&lt;&gt;""),AND(FU5&gt;=FV$14,FU5&lt;&gt;""),AND(GR5&gt;=GV$14,GR5&lt;&gt;""),AND(GU5&gt;=GV$14,GU5&lt;&gt;""),AND(HR5&gt;=HV$14,HR5&lt;&gt;""),AND(HU5&gt;=HV$14,HU5&lt;&gt;""),AND(IR5&gt;=IV$14,IR5&lt;&gt;""),AND(IU5&gt;=IV$14,IU5&lt;&gt;""),AND(JR5&gt;=JV$14,JR5&lt;&gt;""),AND(JU5&gt;=JV$14,JU5&lt;&gt;""),AND(KR5&gt;=KV$14,KR5&lt;&gt;""),AND(KU5&gt;=KV$14,KU5&lt;&gt;""),AND(LR5&gt;=LV$14,LR5&lt;&gt;""),AND(LU5&gt;=LV$14,LU5&lt;&gt;""),AND(MR5&gt;=MV$14,MR5&lt;&gt;""),AND(MU5&gt;=MV$14,MU5&lt;&gt;""),AND(NR5&gt;=NV$14,NR5&lt;&gt;""),AND(NU5&gt;=NV$14,NU5&lt;&gt;""),AND(OR5&gt;=OV$14,OR5&lt;&gt;""),AND(OU5&gt;=OV$14,OU5&lt;&gt;"")),"P","")</f>
        <v>P</v>
      </c>
      <c r="H5" s="47" t="str">
        <f>IF(AND(G5="P",F5=""),"No DD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Merit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Excellence",IF(F5="P","National Team",""))))</f>
        <v>Excellence</v>
      </c>
      <c r="I5" s="9">
        <f>IF(COUNT(AN5,BO5,CP5)&gt;0,LARGE((AN5,BO5,CP5),1),0)</f>
        <v>49.4</v>
      </c>
      <c r="J5" s="9" t="str">
        <f>IF(I5=0,"",IF(I5=CP5,$BT$1,IF(I5=BO5,$AS$1,IF(I5=AN5,$R$1,""))))</f>
        <v>2023 Elite Canada</v>
      </c>
      <c r="K5" s="9">
        <f>IF(COUNT(AN5,BO5,CP5)&gt;1,LARGE((AN5,BO5,CP5),2),0)</f>
        <v>45.9</v>
      </c>
      <c r="L5" s="9" t="str">
        <f>IF(K5=0,"",IF(K5=CP5,$BT$1,IF(K5=BO5,$AS$1,IF(K5=AN5,$R$1,""))))</f>
        <v>2022 Nationals</v>
      </c>
      <c r="M5" s="9">
        <f>IF(MAX(AQ5,BR5,CS5)&gt;0,MAX(AQ5,BR5,CS5),0)</f>
        <v>49.300000000000004</v>
      </c>
      <c r="N5" s="9" t="str">
        <f>IF(M5=0,"",IF(M5=CS5,$BT$1,IF(M5=BR5,$AS$1,IF(M5=AQ5,$R$1,""))))</f>
        <v>2023 Elite Canada</v>
      </c>
      <c r="O5" s="9">
        <f>IF(MAX(CU5:CV5)&gt;0,MAX(CU5:CV5),"")</f>
        <v>1.2999999999999972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>
        <v>18.2</v>
      </c>
      <c r="S5" s="20">
        <v>5.2</v>
      </c>
      <c r="T5" s="20">
        <v>0</v>
      </c>
      <c r="U5" s="20">
        <v>0</v>
      </c>
      <c r="V5" s="20">
        <v>18.3</v>
      </c>
      <c r="W5" s="20">
        <v>4.8</v>
      </c>
      <c r="X5" s="20">
        <v>0.6</v>
      </c>
      <c r="Y5" s="20">
        <v>0</v>
      </c>
      <c r="Z5" s="20"/>
      <c r="AA5" s="20"/>
      <c r="AB5" s="20"/>
      <c r="AC5" s="20"/>
      <c r="AD5" s="20">
        <v>18.600000000000001</v>
      </c>
      <c r="AE5" s="20">
        <v>5.6</v>
      </c>
      <c r="AF5" s="20">
        <v>0.6</v>
      </c>
      <c r="AG5" s="20">
        <v>0</v>
      </c>
      <c r="AH5" s="20">
        <v>18.399999999999999</v>
      </c>
      <c r="AI5" s="20">
        <v>4.8</v>
      </c>
      <c r="AJ5" s="20">
        <v>0</v>
      </c>
      <c r="AK5" s="20">
        <v>0</v>
      </c>
      <c r="AL5" s="32"/>
      <c r="AM5" s="55">
        <f>IF(SUM(S5,W5)&gt;0,SUM(S5,W5),"")</f>
        <v>10</v>
      </c>
      <c r="AN5" s="55">
        <f>IF(SUM(R5:S5,U5:W5,Y5)-T5-X5&gt;0,SUM(R5:S5,U5:W5,Y5)-T5-X5,"")</f>
        <v>45.9</v>
      </c>
      <c r="AO5" s="55" t="str">
        <f>IF(SUM(Z5:AA5,AC5)-AB5&gt;0,SUM(Z5:AA5,AC5)-AB5,"")</f>
        <v/>
      </c>
      <c r="AP5" s="55">
        <f>IF(SUM(AE5,AI5)&gt;0,SUM(AE5,AI5),"")</f>
        <v>10.399999999999999</v>
      </c>
      <c r="AQ5" s="55">
        <f>IF(SUM(AD5:AE5,AG5:AI5,AK5)-SUM(AF5,AJ5)&gt;0,SUM(AD5:AE5,AG5:AI5,AK5)-SUM(AF5,AJ5),"")</f>
        <v>46.8</v>
      </c>
      <c r="AR5" s="55">
        <f>IF(SUM(AN5,AQ5)&gt;0,SUM(AN5,AQ5),"")</f>
        <v>92.699999999999989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18.7</v>
      </c>
      <c r="BU5" s="20">
        <v>6.8</v>
      </c>
      <c r="BV5" s="20">
        <v>0.6</v>
      </c>
      <c r="BW5" s="20">
        <v>0</v>
      </c>
      <c r="BX5" s="20">
        <v>18.7</v>
      </c>
      <c r="BY5" s="20">
        <v>6.4</v>
      </c>
      <c r="BZ5" s="20">
        <v>0.6</v>
      </c>
      <c r="CA5" s="20">
        <v>0</v>
      </c>
      <c r="CB5" s="20">
        <v>18</v>
      </c>
      <c r="CC5" s="20">
        <v>6.8</v>
      </c>
      <c r="CD5" s="20">
        <v>1</v>
      </c>
      <c r="CE5" s="20">
        <v>0</v>
      </c>
      <c r="CF5" s="20">
        <v>18.3</v>
      </c>
      <c r="CG5" s="20">
        <v>6.8</v>
      </c>
      <c r="CH5" s="20">
        <v>1</v>
      </c>
      <c r="CI5" s="20">
        <v>0</v>
      </c>
      <c r="CJ5" s="20">
        <v>18.8</v>
      </c>
      <c r="CK5" s="20">
        <v>6.4</v>
      </c>
      <c r="CL5" s="20">
        <v>0</v>
      </c>
      <c r="CM5" s="20">
        <v>0</v>
      </c>
      <c r="CN5" s="32"/>
      <c r="CO5" s="55">
        <f>IF(SUM(BU5,BY5)&gt;0,SUM(BU5,BY5),"")</f>
        <v>13.2</v>
      </c>
      <c r="CP5" s="55">
        <f>IF(SUM(BT5:BU5,BW5:BY5,CA5)-BV5-BZ5&gt;0,SUM(BT5:BU5,BW5:BY5,CA5)-BV5-BZ5,"")</f>
        <v>49.4</v>
      </c>
      <c r="CQ5" s="55">
        <f>IF(SUM(CB5:CC5,CE5)-CD5&gt;0,SUM(CB5:CC5,CE5)-CD5,"")</f>
        <v>23.8</v>
      </c>
      <c r="CR5" s="55">
        <f>IF(SUM(CG5,CK5)&gt;0,SUM(CG5,CK5),"")</f>
        <v>13.2</v>
      </c>
      <c r="CS5" s="55">
        <f>IF(SUM(CF5:CG5,CI5:CK5,CM5)-SUM(CH5,CL5)&gt;0,SUM(CF5:CG5,CI5:CK5,CM5)-SUM(CH5,CL5),"")</f>
        <v>49.300000000000004</v>
      </c>
      <c r="CT5" s="55">
        <f>IF(SUM(CP5,CS5)&gt;0,SUM(CP5,CS5),"")</f>
        <v>98.7</v>
      </c>
      <c r="CU5" s="56">
        <f>IF(MAX(DR5,ER5,FR5,GR5,HR5,IR5,JR5,KR5,LR5,MR5,NR5,OR5)-IF(K5="",0,K5)&gt;0.001,MAX(DR5,ER5,FR5,GR5,HR5,IR5,JR5,KR5,LR5,MR5,NR5,OR5)-IF(K5="",0,K5),"")</f>
        <v>1.2999999999999972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>
        <v>16.600000000000001</v>
      </c>
      <c r="DX5" s="19">
        <v>6.8</v>
      </c>
      <c r="DY5" s="19">
        <v>1</v>
      </c>
      <c r="DZ5" s="19">
        <v>0</v>
      </c>
      <c r="EA5" s="19">
        <v>18.600000000000001</v>
      </c>
      <c r="EB5" s="19">
        <v>6.4</v>
      </c>
      <c r="EC5" s="19">
        <v>0.2</v>
      </c>
      <c r="ED5" s="19">
        <v>0</v>
      </c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>
        <f>IF(SUM(DX5,EB5)&gt;0,SUM(DX5,EB5),"")</f>
        <v>13.2</v>
      </c>
      <c r="ER5" s="14">
        <f>IF(SUM(DW5:DX5,DZ5:EB5,ED5)-DY5-EC5&gt;0,SUM(DW5:DX5,DZ5:EB5,ED5)-DY5-EC5,"")</f>
        <v>47.199999999999996</v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>
        <f>IF(SUM(ER5,EU5)&gt;0,SUM(ER5,EU5),"")</f>
        <v>47.199999999999996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9.35</v>
      </c>
      <c r="OX5" s="27">
        <f t="shared" si="0"/>
        <v>3.4</v>
      </c>
      <c r="OY5" s="27">
        <f t="shared" si="0"/>
        <v>0.3</v>
      </c>
      <c r="OZ5" s="27">
        <f t="shared" si="0"/>
        <v>0</v>
      </c>
      <c r="PA5" s="27">
        <f t="shared" si="0"/>
        <v>9.35</v>
      </c>
      <c r="PB5" s="27">
        <f t="shared" si="0"/>
        <v>3.2</v>
      </c>
      <c r="PC5" s="27">
        <f t="shared" si="0"/>
        <v>0.3</v>
      </c>
      <c r="PD5" s="27">
        <f t="shared" si="0"/>
        <v>0</v>
      </c>
      <c r="PE5" s="27">
        <f t="shared" si="0"/>
        <v>9</v>
      </c>
      <c r="PF5" s="27">
        <f t="shared" si="0"/>
        <v>3.4</v>
      </c>
      <c r="PG5" s="27">
        <f t="shared" si="1"/>
        <v>0.5</v>
      </c>
      <c r="PH5" s="27">
        <f t="shared" si="1"/>
        <v>0</v>
      </c>
      <c r="PI5" s="27">
        <f t="shared" si="1"/>
        <v>9.15</v>
      </c>
      <c r="PJ5" s="27">
        <f t="shared" si="1"/>
        <v>3.4</v>
      </c>
      <c r="PK5" s="27">
        <f t="shared" si="1"/>
        <v>0.5</v>
      </c>
      <c r="PL5" s="27">
        <f t="shared" si="1"/>
        <v>0</v>
      </c>
      <c r="PM5" s="27">
        <f t="shared" si="1"/>
        <v>9.4</v>
      </c>
      <c r="PN5" s="27">
        <f t="shared" si="1"/>
        <v>3.2</v>
      </c>
      <c r="PO5" s="27">
        <f t="shared" si="1"/>
        <v>0</v>
      </c>
      <c r="PP5" s="27">
        <f t="shared" si="1"/>
        <v>0</v>
      </c>
      <c r="PQ5" s="32" t="s">
        <v>44</v>
      </c>
      <c r="PR5" s="55">
        <f>IF(SUM(OX5,PB5)&gt;0,SUM(OX5,PB5),"")</f>
        <v>6.6</v>
      </c>
      <c r="PS5" s="55">
        <f>IF(SUM(OW5:OX5,OZ5:PB5,PD5)-OY5-PC5&gt;0,SUM(OW5:OX5,OZ5:PB5,PD5)-OY5-PC5,"")</f>
        <v>24.7</v>
      </c>
      <c r="PT5" s="55">
        <f>IF(SUM(PE5:PF5,PH5)-PG5&gt;0,SUM(PE5:PF5,PH5)-PG5,"")</f>
        <v>11.9</v>
      </c>
      <c r="PU5" s="55">
        <f>IF(SUM(PJ5,PN5)&gt;0,SUM(PJ5,PN5),"")</f>
        <v>6.6</v>
      </c>
      <c r="PV5" s="55">
        <f>IF(SUM(PI5:PJ5,PL5:PN5,PP5)-SUM(PK5,PO5)&gt;0,SUM(PI5:PJ5,PL5:PN5,PP5)-SUM(PK5,PO5),"")</f>
        <v>24.650000000000002</v>
      </c>
      <c r="PW5" s="55">
        <f>IF(SUM(PS5,PV5)&gt;0,SUM(PS5,PV5),"")</f>
        <v>49.35</v>
      </c>
    </row>
    <row r="6" spans="1:439" x14ac:dyDescent="0.2">
      <c r="A6" s="4">
        <f>IF(AND(F6="P",G6="P"),SUMPRODUCT((F$4:F$8="P")*(G$4:G$8="P")*(E$4:E$8&gt;E6))+1,IF(G6="P",SUMPRODUCT((F$4:F$8="")*(G$4:G$8="P")*(E$4:E$8&gt;E6))+1+SUMPRODUCT((F$4:F$8="P")*(G$4:G$8="P")),""))</f>
        <v>3</v>
      </c>
      <c r="B6" s="5" t="s">
        <v>83</v>
      </c>
      <c r="C6" s="4" t="s">
        <v>66</v>
      </c>
      <c r="D6" s="4">
        <v>2007</v>
      </c>
      <c r="E6" s="10">
        <f>SUM(I6:O6)+SUM(I6:M6)*0.0000001+SUM(I6)*0.0000000000001</f>
        <v>144.30001443000495</v>
      </c>
      <c r="F6" s="3" t="str">
        <f>IF(OR(AND(AM6&gt;=AR$10,AN6&gt;=AR$14,AM6&lt;&gt;"",AL6=""),AND(AP6&gt;=AR$10,AQ6&gt;=AR$14,AP6&lt;&gt;"",AL6=""),AND(BN6&gt;=BS$10,BO6&gt;=BS$14,BN6&lt;&gt;"",BM6=""),AND(BQ6&gt;=BS$10,BR6&gt;=BS$14,BQ6&lt;&gt;"",BM6=""),AND(CO6&gt;=CT$10,CP6&gt;=CT$14,CO6&lt;&gt;"",CN6=""),AND(CR6&gt;=CT$10,CS6&gt;=CT$14,CR6&lt;&gt;""),AND(DQ6&gt;=DV$10,DR6&gt;=DV$14,DQ6&lt;&gt;""),AND(DT6&gt;=DV$10,DU6&gt;=DV$14,DT6&lt;&gt;""),AND(EQ6&gt;=EV$10,ER6&gt;=EV$14,EQ6&lt;&gt;""),AND(ET6&gt;=EV$10,EU6&gt;=EV$14,ET6&lt;&gt;""),AND(FQ6&gt;=FV$10,FR6&gt;=FV$14,FQ6&lt;&gt;""),AND(FT6&gt;=FV$10,FU6&gt;=FV$14,FT6&lt;&gt;""),AND(GQ6&gt;=GV$10,GR6&gt;=GV$14,GQ6&lt;&gt;""),AND(GT6&gt;=GV$10,GU6&gt;=GV$14,GT6&lt;&gt;""),AND(HQ6&gt;=HV$10,HR6&gt;=HV$14,HQ6&lt;&gt;""),AND(HT6&gt;=HV$10,HU6&gt;=HV$14,HT6&lt;&gt;""),AND(IQ6&gt;=IV$10,IR6&gt;=IV$14,IQ6&lt;&gt;""),AND(IT6&gt;=IV$10,IU6&gt;=IV$14,IT6&lt;&gt;""),AND(JQ6&gt;=JV$10,JR6&gt;=JV$14,JQ6&lt;&gt;""),AND(JT6&gt;=JV$10,JU6&gt;=JV$14,JT6&lt;&gt;""),AND(KQ6&gt;=KV$10,KR6&gt;=KV$14,KQ6&lt;&gt;""),AND(KT6&gt;=KV$10,KU6&gt;=KV$14,KT6&lt;&gt;""),AND(LQ6&gt;=LV$10,LR6&gt;=LV$14,LQ6&lt;&gt;""),AND(LT6&gt;=LV$10,LU6&gt;=LV$14,LT6&lt;&gt;""),AND(MQ6&gt;=MV$10,MR6&gt;=MV$14,MQ6&lt;&gt;""),AND(MT6&gt;=MV$10,MU6&gt;=MV$14,MT6&lt;&gt;""),AND(NQ6&gt;=NV$10,NR6&gt;=NV$14,NQ6&lt;&gt;""),AND(NT6&gt;=NV$10,NU6&gt;=NV$14,NT6&lt;&gt;""),AND(OQ6&gt;=OV$10,OR6&gt;=OV$14,OQ6&lt;&gt;""),AND(OT6&gt;=OV$10,OU6&gt;=OV$14,OT6&lt;&gt;"")),"P","")</f>
        <v>P</v>
      </c>
      <c r="G6" s="3" t="str">
        <f>IF(OR(AND(AN6&gt;=AR$14,AN6&lt;&gt;"",AL6=""),AND(AQ6&gt;=AR$14,AQ6&lt;&gt;"",AL6=""),AND(BO6&gt;=BS$14,BO6&lt;&gt;"",BM6=""),AND(BR6&gt;=BS$14,BR6&lt;&gt;"",BM6=""),AND(CP6&gt;=CT$14,CP6&lt;&gt;"",CN6=""),AND(CS6&gt;=CT$14,CS6&lt;&gt;"",CN6=""),AND(DR6&gt;=DV$14,DR6&lt;&gt;""),AND(DU6&gt;=DV$14,DU6&lt;&gt;""),AND(ER6&gt;=EV$14,ER6&lt;&gt;""),AND(EU6&gt;=EV$14,EU6&lt;&gt;""),AND(FR6&gt;=FV$14,FR6&lt;&gt;""),AND(FU6&gt;=FV$14,FU6&lt;&gt;""),AND(GR6&gt;=GV$14,GR6&lt;&gt;""),AND(GU6&gt;=GV$14,GU6&lt;&gt;""),AND(HR6&gt;=HV$14,HR6&lt;&gt;""),AND(HU6&gt;=HV$14,HU6&lt;&gt;""),AND(IR6&gt;=IV$14,IR6&lt;&gt;""),AND(IU6&gt;=IV$14,IU6&lt;&gt;""),AND(JR6&gt;=JV$14,JR6&lt;&gt;""),AND(JU6&gt;=JV$14,JU6&lt;&gt;""),AND(KR6&gt;=KV$14,KR6&lt;&gt;""),AND(KU6&gt;=KV$14,KU6&lt;&gt;""),AND(LR6&gt;=LV$14,LR6&lt;&gt;""),AND(LU6&gt;=LV$14,LU6&lt;&gt;""),AND(MR6&gt;=MV$14,MR6&lt;&gt;""),AND(MU6&gt;=MV$14,MU6&lt;&gt;""),AND(NR6&gt;=NV$14,NR6&lt;&gt;""),AND(NU6&gt;=NV$14,NU6&lt;&gt;""),AND(OR6&gt;=OV$14,OR6&lt;&gt;""),AND(OU6&gt;=OV$14,OU6&lt;&gt;"")),"P","")</f>
        <v>P</v>
      </c>
      <c r="H6" s="47" t="str">
        <f>IF(AND(G6="P",F6=""),"No DD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Merit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Excellence",IF(F6="P","National Team",""))))</f>
        <v>Excellence</v>
      </c>
      <c r="I6" s="9">
        <f>IF(COUNT(AN6,BO6,CP6)&gt;0,LARGE((AN6,BO6,CP6),1),0)</f>
        <v>49.5</v>
      </c>
      <c r="J6" s="9" t="str">
        <f>IF(I6=0,"",IF(I6=CP6,$BT$1,IF(I6=BO6,$AS$1,IF(I6=AN6,$R$1,""))))</f>
        <v>2023 Elite Canada</v>
      </c>
      <c r="K6" s="9">
        <f>IF(COUNT(AN6,BO6,CP6)&gt;1,LARGE((AN6,BO6,CP6),2),0)</f>
        <v>46.099999999999994</v>
      </c>
      <c r="L6" s="9" t="str">
        <f>IF(K6=0,"",IF(K6=CP6,$BT$1,IF(K6=BO6,$AS$1,IF(K6=AN6,$R$1,""))))</f>
        <v>2022 Nationals</v>
      </c>
      <c r="M6" s="9">
        <f>IF(MAX(AQ6,BR6,CS6)&gt;0,MAX(AQ6,BR6,CS6),0)</f>
        <v>48.7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18.3</v>
      </c>
      <c r="S6" s="20">
        <v>5.6</v>
      </c>
      <c r="T6" s="20">
        <v>1</v>
      </c>
      <c r="U6" s="20">
        <v>0</v>
      </c>
      <c r="V6" s="20">
        <v>18.399999999999999</v>
      </c>
      <c r="W6" s="20">
        <v>4.8</v>
      </c>
      <c r="X6" s="20">
        <v>0</v>
      </c>
      <c r="Y6" s="20">
        <v>0</v>
      </c>
      <c r="Z6" s="20">
        <v>18.2</v>
      </c>
      <c r="AA6" s="20">
        <v>4.4000000000000004</v>
      </c>
      <c r="AB6" s="20">
        <v>0.2</v>
      </c>
      <c r="AC6" s="20">
        <v>0</v>
      </c>
      <c r="AD6" s="20">
        <v>18.8</v>
      </c>
      <c r="AE6" s="20">
        <v>5.2</v>
      </c>
      <c r="AF6" s="20">
        <v>0.2</v>
      </c>
      <c r="AG6" s="20">
        <v>0</v>
      </c>
      <c r="AH6" s="20">
        <v>16.600000000000001</v>
      </c>
      <c r="AI6" s="20">
        <v>5.2</v>
      </c>
      <c r="AJ6" s="20">
        <v>1</v>
      </c>
      <c r="AK6" s="20">
        <v>0</v>
      </c>
      <c r="AL6" s="32"/>
      <c r="AM6" s="55">
        <f>IF(SUM(S6,W6)&gt;0,SUM(S6,W6),"")</f>
        <v>10.399999999999999</v>
      </c>
      <c r="AN6" s="55">
        <f>IF(SUM(R6:S6,U6:W6,Y6)-T6-X6&gt;0,SUM(R6:S6,U6:W6,Y6)-T6-X6,"")</f>
        <v>46.099999999999994</v>
      </c>
      <c r="AO6" s="55">
        <f>IF(SUM(Z6:AA6,AC6)-AB6&gt;0,SUM(Z6:AA6,AC6)-AB6,"")</f>
        <v>22.400000000000002</v>
      </c>
      <c r="AP6" s="55">
        <f>IF(SUM(AE6,AI6)&gt;0,SUM(AE6,AI6),"")</f>
        <v>10.4</v>
      </c>
      <c r="AQ6" s="55">
        <f>IF(SUM(AD6:AE6,AG6:AI6,AK6)-SUM(AF6,AJ6)&gt;0,SUM(AD6:AE6,AG6:AI6,AK6)-SUM(AF6,AJ6),"")</f>
        <v>44.6</v>
      </c>
      <c r="AR6" s="55">
        <f>IF(SUM(AN6,AQ6)&gt;0,SUM(AN6,AQ6),"")</f>
        <v>90.699999999999989</v>
      </c>
      <c r="AS6" s="19">
        <v>19.2</v>
      </c>
      <c r="AT6" s="19">
        <v>5.2</v>
      </c>
      <c r="AU6" s="19">
        <v>0</v>
      </c>
      <c r="AV6" s="19">
        <v>0</v>
      </c>
      <c r="AW6" s="19">
        <v>18.7</v>
      </c>
      <c r="AX6" s="19">
        <v>3.3</v>
      </c>
      <c r="AY6" s="19">
        <v>1.2</v>
      </c>
      <c r="AZ6" s="19">
        <v>0</v>
      </c>
      <c r="BA6" s="19">
        <v>18.5</v>
      </c>
      <c r="BB6" s="19">
        <v>4.4000000000000004</v>
      </c>
      <c r="BC6" s="19">
        <v>0</v>
      </c>
      <c r="BD6" s="19">
        <v>0</v>
      </c>
      <c r="BE6" s="19">
        <v>18.7</v>
      </c>
      <c r="BF6" s="19">
        <v>5.2</v>
      </c>
      <c r="BG6" s="19">
        <v>0</v>
      </c>
      <c r="BH6" s="19">
        <v>0</v>
      </c>
      <c r="BI6" s="19">
        <v>18.600000000000001</v>
      </c>
      <c r="BJ6" s="19">
        <v>6</v>
      </c>
      <c r="BK6" s="19">
        <v>0</v>
      </c>
      <c r="BL6" s="19">
        <v>0</v>
      </c>
      <c r="BM6" s="33"/>
      <c r="BN6" s="14">
        <f>IF(SUM(AT6,AX6)&gt;0,SUM(AT6,AX6),"")</f>
        <v>8.5</v>
      </c>
      <c r="BO6" s="14">
        <f>IF(SUM(AS6:AT6,AV6:AX6,AZ6)-AU6-AY6&gt;0,SUM(AS6:AT6,AV6:AX6,AZ6)-AU6-AY6,"")</f>
        <v>45.199999999999989</v>
      </c>
      <c r="BP6" s="14">
        <f>IF(SUM(BA6:BB6,BD6)-BC6&gt;0,SUM(BA6:BB6,BD6)-BC6,"")</f>
        <v>22.9</v>
      </c>
      <c r="BQ6" s="14">
        <f>IF(SUM(BF6,BJ6)&gt;0,SUM(BF6,BJ6),"")</f>
        <v>11.2</v>
      </c>
      <c r="BR6" s="14">
        <f>IF(SUM(BE6:BF6,BH6:BJ6,BL6)-SUM(BG6,BK6)&gt;0,SUM(BE6:BF6,BH6:BJ6,BL6)-SUM(BG6,BK6),"")</f>
        <v>48.5</v>
      </c>
      <c r="BS6" s="14">
        <f>IF(SUM(BO6,BR6)&gt;0,SUM(BO6,BR6),"")</f>
        <v>93.699999999999989</v>
      </c>
      <c r="BT6" s="20">
        <v>18.7</v>
      </c>
      <c r="BU6" s="20">
        <v>6</v>
      </c>
      <c r="BV6" s="20">
        <v>0</v>
      </c>
      <c r="BW6" s="20">
        <v>0</v>
      </c>
      <c r="BX6" s="20">
        <v>18.8</v>
      </c>
      <c r="BY6" s="20">
        <v>6</v>
      </c>
      <c r="BZ6" s="20">
        <v>0</v>
      </c>
      <c r="CA6" s="20">
        <v>0</v>
      </c>
      <c r="CB6" s="20">
        <v>0</v>
      </c>
      <c r="CC6" s="20">
        <v>0</v>
      </c>
      <c r="CD6" s="20">
        <v>0</v>
      </c>
      <c r="CE6" s="20">
        <v>0</v>
      </c>
      <c r="CF6" s="20">
        <v>18.899999999999999</v>
      </c>
      <c r="CG6" s="20">
        <v>6</v>
      </c>
      <c r="CH6" s="20">
        <v>0.6</v>
      </c>
      <c r="CI6" s="20">
        <v>0</v>
      </c>
      <c r="CJ6" s="20">
        <v>18.600000000000001</v>
      </c>
      <c r="CK6" s="20">
        <v>6</v>
      </c>
      <c r="CL6" s="20">
        <v>0.2</v>
      </c>
      <c r="CM6" s="20">
        <v>0</v>
      </c>
      <c r="CN6" s="32"/>
      <c r="CO6" s="55">
        <f>IF(SUM(BU6,BY6)&gt;0,SUM(BU6,BY6),"")</f>
        <v>12</v>
      </c>
      <c r="CP6" s="55">
        <f>IF(SUM(BT6:BU6,BW6:BY6,CA6)-BV6-BZ6&gt;0,SUM(BT6:BU6,BW6:BY6,CA6)-BV6-BZ6,"")</f>
        <v>49.5</v>
      </c>
      <c r="CQ6" s="55" t="str">
        <f>IF(SUM(CB6:CC6,CE6)-CD6&gt;0,SUM(CB6:CC6,CE6)-CD6,"")</f>
        <v/>
      </c>
      <c r="CR6" s="55">
        <f>IF(SUM(CG6,CK6)&gt;0,SUM(CG6,CK6),"")</f>
        <v>12</v>
      </c>
      <c r="CS6" s="55">
        <f>IF(SUM(CF6:CG6,CI6:CK6,CM6)-SUM(CH6,CL6)&gt;0,SUM(CF6:CG6,CI6:CK6,CM6)-SUM(CH6,CL6),"")</f>
        <v>48.7</v>
      </c>
      <c r="CT6" s="55">
        <f>IF(SUM(CP6,CS6)&gt;0,SUM(CP6,CS6),"")</f>
        <v>98.2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>
        <v>18.5</v>
      </c>
      <c r="FJ6" s="18">
        <v>6</v>
      </c>
      <c r="FK6" s="18">
        <v>1</v>
      </c>
      <c r="FL6" s="18">
        <v>0</v>
      </c>
      <c r="FM6" s="18">
        <v>18.7</v>
      </c>
      <c r="FN6" s="18">
        <v>6</v>
      </c>
      <c r="FO6" s="18">
        <v>0.2</v>
      </c>
      <c r="FP6" s="18">
        <v>0</v>
      </c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>
        <f>IF(SUM(FJ6,FN6)&gt;0,SUM(FJ6,FN6),"")</f>
        <v>12</v>
      </c>
      <c r="FU6" s="55">
        <f>IF(SUM(FI6:FJ6,FL6:FN6,FP6)-SUM(FK6,FO6)&gt;0,SUM(FI6:FJ6,FL6:FN6,FP6)-SUM(FK6,FO6),"")</f>
        <v>48</v>
      </c>
      <c r="FV6" s="55">
        <f>IF(SUM(FR6,FU6)&gt;0,SUM(FR6,FU6),"")</f>
        <v>48</v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>
        <v>18.5</v>
      </c>
      <c r="GJ6" s="19">
        <v>6</v>
      </c>
      <c r="GK6" s="19">
        <v>1</v>
      </c>
      <c r="GL6" s="19">
        <v>0</v>
      </c>
      <c r="GM6" s="19">
        <v>18.7</v>
      </c>
      <c r="GN6" s="19">
        <v>6</v>
      </c>
      <c r="GO6" s="19">
        <v>0.2</v>
      </c>
      <c r="GP6" s="19">
        <v>0</v>
      </c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>
        <f>IF(SUM(GJ6,GN6)&gt;0,SUM(GJ6,GN6),"")</f>
        <v>12</v>
      </c>
      <c r="GU6" s="14">
        <f>IF(SUM(GI6:GJ6,GL6:GN6,GP6)-SUM(GK6,GO6)&gt;0,SUM(GI6:GJ6,GL6:GN6,GP6)-SUM(GK6,GO6),"")</f>
        <v>48</v>
      </c>
      <c r="GV6" s="14">
        <f>IF(SUM(GR6,GU6)&gt;0,SUM(GR6,GU6),"")</f>
        <v>48</v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 t="shared" si="0"/>
        <v>18.95</v>
      </c>
      <c r="OX6" s="27">
        <f t="shared" si="0"/>
        <v>5.6</v>
      </c>
      <c r="OY6" s="27">
        <f t="shared" si="0"/>
        <v>0</v>
      </c>
      <c r="OZ6" s="27">
        <f t="shared" si="0"/>
        <v>0</v>
      </c>
      <c r="PA6" s="27">
        <f t="shared" si="0"/>
        <v>18.75</v>
      </c>
      <c r="PB6" s="27">
        <f t="shared" si="0"/>
        <v>4.6500000000000004</v>
      </c>
      <c r="PC6" s="27">
        <f t="shared" si="0"/>
        <v>0.6</v>
      </c>
      <c r="PD6" s="27">
        <f t="shared" si="0"/>
        <v>0</v>
      </c>
      <c r="PE6" s="27">
        <f t="shared" si="0"/>
        <v>9.25</v>
      </c>
      <c r="PF6" s="27">
        <f t="shared" si="0"/>
        <v>2.2000000000000002</v>
      </c>
      <c r="PG6" s="27">
        <f t="shared" si="1"/>
        <v>0</v>
      </c>
      <c r="PH6" s="27">
        <f t="shared" si="1"/>
        <v>0</v>
      </c>
      <c r="PI6" s="27">
        <f t="shared" si="1"/>
        <v>18.799999999999997</v>
      </c>
      <c r="PJ6" s="27">
        <f t="shared" si="1"/>
        <v>5.6</v>
      </c>
      <c r="PK6" s="27">
        <f t="shared" si="1"/>
        <v>0.3</v>
      </c>
      <c r="PL6" s="27">
        <f t="shared" si="1"/>
        <v>0</v>
      </c>
      <c r="PM6" s="27">
        <f t="shared" si="1"/>
        <v>18.600000000000001</v>
      </c>
      <c r="PN6" s="27">
        <f t="shared" si="1"/>
        <v>6</v>
      </c>
      <c r="PO6" s="27">
        <f t="shared" si="1"/>
        <v>0.1</v>
      </c>
      <c r="PP6" s="27">
        <f t="shared" si="1"/>
        <v>0</v>
      </c>
      <c r="PQ6" s="32" t="s">
        <v>44</v>
      </c>
      <c r="PR6" s="55">
        <f>IF(SUM(OX6,PB6)&gt;0,SUM(OX6,PB6),"")</f>
        <v>10.25</v>
      </c>
      <c r="PS6" s="55">
        <f>IF(SUM(OW6:OX6,OZ6:PB6,PD6)-OY6-PC6&gt;0,SUM(OW6:OX6,OZ6:PB6,PD6)-OY6-PC6,"")</f>
        <v>47.349999999999994</v>
      </c>
      <c r="PT6" s="55">
        <f>IF(SUM(PE6:PF6,PH6)-PG6&gt;0,SUM(PE6:PF6,PH6)-PG6,"")</f>
        <v>11.45</v>
      </c>
      <c r="PU6" s="55">
        <f>IF(SUM(PJ6,PN6)&gt;0,SUM(PJ6,PN6),"")</f>
        <v>11.6</v>
      </c>
      <c r="PV6" s="55">
        <f>IF(SUM(PI6:PJ6,PL6:PN6,PP6)-SUM(PK6,PO6)&gt;0,SUM(PI6:PJ6,PL6:PN6,PP6)-SUM(PK6,PO6),"")</f>
        <v>48.6</v>
      </c>
      <c r="PW6" s="55">
        <f>IF(SUM(PS6,PV6)&gt;0,SUM(PS6,PV6),"")</f>
        <v>95.949999999999989</v>
      </c>
    </row>
    <row r="7" spans="1:439" x14ac:dyDescent="0.2">
      <c r="A7" s="4">
        <f>IF(AND(F7="P",G7="P"),SUMPRODUCT((F$4:F$8="P")*(G$4:G$8="P")*(E$4:E$8&gt;E7))+1,IF(G7="P",SUMPRODUCT((F$4:F$8="")*(G$4:G$8="P")*(E$4:E$8&gt;E7))+1+SUMPRODUCT((F$4:F$8="P")*(G$4:G$8="P")),""))</f>
        <v>4</v>
      </c>
      <c r="B7" s="5" t="s">
        <v>90</v>
      </c>
      <c r="C7" s="4" t="s">
        <v>68</v>
      </c>
      <c r="D7" s="4">
        <v>2007</v>
      </c>
      <c r="E7" s="10">
        <f>SUM(I7:O7)+SUM(I7:M7)*0.0000001+SUM(I7)*0.0000000000001</f>
        <v>140.00001400000482</v>
      </c>
      <c r="F7" s="3" t="str">
        <f>IF(OR(AND(AM7&gt;=AR$10,AN7&gt;=AR$14,AM7&lt;&gt;"",AL7=""),AND(AP7&gt;=AR$10,AQ7&gt;=AR$14,AP7&lt;&gt;"",AL7=""),AND(BN7&gt;=BS$10,BO7&gt;=BS$14,BN7&lt;&gt;"",BM7=""),AND(BQ7&gt;=BS$10,BR7&gt;=BS$14,BQ7&lt;&gt;"",BM7=""),AND(CO7&gt;=CT$10,CP7&gt;=CT$14,CO7&lt;&gt;"",CN7=""),AND(CR7&gt;=CT$10,CS7&gt;=CT$14,CR7&lt;&gt;""),AND(DQ7&gt;=DV$10,DR7&gt;=DV$14,DQ7&lt;&gt;""),AND(DT7&gt;=DV$10,DU7&gt;=DV$14,DT7&lt;&gt;""),AND(EQ7&gt;=EV$10,ER7&gt;=EV$14,EQ7&lt;&gt;""),AND(ET7&gt;=EV$10,EU7&gt;=EV$14,ET7&lt;&gt;""),AND(FQ7&gt;=FV$10,FR7&gt;=FV$14,FQ7&lt;&gt;""),AND(FT7&gt;=FV$10,FU7&gt;=FV$14,FT7&lt;&gt;""),AND(GQ7&gt;=GV$10,GR7&gt;=GV$14,GQ7&lt;&gt;""),AND(GT7&gt;=GV$10,GU7&gt;=GV$14,GT7&lt;&gt;""),AND(HQ7&gt;=HV$10,HR7&gt;=HV$14,HQ7&lt;&gt;""),AND(HT7&gt;=HV$10,HU7&gt;=HV$14,HT7&lt;&gt;""),AND(IQ7&gt;=IV$10,IR7&gt;=IV$14,IQ7&lt;&gt;""),AND(IT7&gt;=IV$10,IU7&gt;=IV$14,IT7&lt;&gt;""),AND(JQ7&gt;=JV$10,JR7&gt;=JV$14,JQ7&lt;&gt;""),AND(JT7&gt;=JV$10,JU7&gt;=JV$14,JT7&lt;&gt;""),AND(KQ7&gt;=KV$10,KR7&gt;=KV$14,KQ7&lt;&gt;""),AND(KT7&gt;=KV$10,KU7&gt;=KV$14,KT7&lt;&gt;""),AND(LQ7&gt;=LV$10,LR7&gt;=LV$14,LQ7&lt;&gt;""),AND(LT7&gt;=LV$10,LU7&gt;=LV$14,LT7&lt;&gt;""),AND(MQ7&gt;=MV$10,MR7&gt;=MV$14,MQ7&lt;&gt;""),AND(MT7&gt;=MV$10,MU7&gt;=MV$14,MT7&lt;&gt;""),AND(NQ7&gt;=NV$10,NR7&gt;=NV$14,NQ7&lt;&gt;""),AND(NT7&gt;=NV$10,NU7&gt;=NV$14,NT7&lt;&gt;""),AND(OQ7&gt;=OV$10,OR7&gt;=OV$14,OQ7&lt;&gt;""),AND(OT7&gt;=OV$10,OU7&gt;=OV$14,OT7&lt;&gt;"")),"P","")</f>
        <v>P</v>
      </c>
      <c r="G7" s="3" t="str">
        <f>IF(OR(AND(AN7&gt;=AR$14,AN7&lt;&gt;"",AL7=""),AND(AQ7&gt;=AR$14,AQ7&lt;&gt;"",AL7=""),AND(BO7&gt;=BS$14,BO7&lt;&gt;"",BM7=""),AND(BR7&gt;=BS$14,BR7&lt;&gt;"",BM7=""),AND(CP7&gt;=CT$14,CP7&lt;&gt;"",CN7=""),AND(CS7&gt;=CT$14,CS7&lt;&gt;"",CN7=""),AND(DR7&gt;=DV$14,DR7&lt;&gt;""),AND(DU7&gt;=DV$14,DU7&lt;&gt;""),AND(ER7&gt;=EV$14,ER7&lt;&gt;""),AND(EU7&gt;=EV$14,EU7&lt;&gt;""),AND(FR7&gt;=FV$14,FR7&lt;&gt;""),AND(FU7&gt;=FV$14,FU7&lt;&gt;""),AND(GR7&gt;=GV$14,GR7&lt;&gt;""),AND(GU7&gt;=GV$14,GU7&lt;&gt;""),AND(HR7&gt;=HV$14,HR7&lt;&gt;""),AND(HU7&gt;=HV$14,HU7&lt;&gt;""),AND(IR7&gt;=IV$14,IR7&lt;&gt;""),AND(IU7&gt;=IV$14,IU7&lt;&gt;""),AND(JR7&gt;=JV$14,JR7&lt;&gt;""),AND(JU7&gt;=JV$14,JU7&lt;&gt;""),AND(KR7&gt;=KV$14,KR7&lt;&gt;""),AND(KU7&gt;=KV$14,KU7&lt;&gt;""),AND(LR7&gt;=LV$14,LR7&lt;&gt;""),AND(LU7&gt;=LV$14,LU7&lt;&gt;""),AND(MR7&gt;=MV$14,MR7&lt;&gt;""),AND(MU7&gt;=MV$14,MU7&lt;&gt;""),AND(NR7&gt;=NV$14,NR7&lt;&gt;""),AND(NU7&gt;=NV$14,NU7&lt;&gt;""),AND(OR7&gt;=OV$14,OR7&lt;&gt;""),AND(OU7&gt;=OV$14,OU7&lt;&gt;"")),"P","")</f>
        <v>P</v>
      </c>
      <c r="H7" s="47" t="str">
        <f>IF(AND(G7="P",F7=""),"No DD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Merit",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Excellence",IF(F7="P","National Team",""))))</f>
        <v>Excellence</v>
      </c>
      <c r="I7" s="9">
        <f>IF(COUNT(AN7,BO7,CP7)&gt;0,LARGE((AN7,BO7,CP7),1),0)</f>
        <v>48.199999999999996</v>
      </c>
      <c r="J7" s="9" t="str">
        <f>IF(I7=0,"",IF(I7=CP7,$BT$1,IF(I7=BO7,$AS$1,IF(I7=AN7,$R$1,""))))</f>
        <v>2023 Elite Canada</v>
      </c>
      <c r="K7" s="9">
        <f>IF(COUNT(AN7,BO7,CP7)&gt;1,LARGE((AN7,BO7,CP7),2),0)</f>
        <v>44.7</v>
      </c>
      <c r="L7" s="9" t="str">
        <f>IF(K7=0,"",IF(K7=CP7,$BT$1,IF(K7=BO7,$AS$1,IF(K7=AN7,$R$1,""))))</f>
        <v>2022 Nationals</v>
      </c>
      <c r="M7" s="9">
        <f>IF(MAX(AQ7,BR7,CS7)&gt;0,MAX(AQ7,BR7,CS7),0)</f>
        <v>47.1</v>
      </c>
      <c r="N7" s="9" t="str">
        <f>IF(M7=0,"",IF(M7=CS7,$BT$1,IF(M7=BR7,$AS$1,IF(M7=AQ7,$R$1,""))))</f>
        <v>2023 Elite Canada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17.600000000000001</v>
      </c>
      <c r="S7" s="20">
        <v>5.2</v>
      </c>
      <c r="T7" s="20">
        <v>0.8</v>
      </c>
      <c r="U7" s="20">
        <v>0</v>
      </c>
      <c r="V7" s="20">
        <v>18.600000000000001</v>
      </c>
      <c r="W7" s="20">
        <v>4.3</v>
      </c>
      <c r="X7" s="20">
        <v>0.2</v>
      </c>
      <c r="Y7" s="20">
        <v>0</v>
      </c>
      <c r="Z7" s="20"/>
      <c r="AA7" s="20"/>
      <c r="AB7" s="20"/>
      <c r="AC7" s="20"/>
      <c r="AD7" s="20">
        <v>18.2</v>
      </c>
      <c r="AE7" s="20">
        <v>4.8</v>
      </c>
      <c r="AF7" s="20">
        <v>0.8</v>
      </c>
      <c r="AG7" s="20">
        <v>0</v>
      </c>
      <c r="AH7" s="20">
        <v>18.899999999999999</v>
      </c>
      <c r="AI7" s="20">
        <v>5.0999999999999996</v>
      </c>
      <c r="AJ7" s="20">
        <v>0.6</v>
      </c>
      <c r="AK7" s="20">
        <v>0</v>
      </c>
      <c r="AL7" s="32"/>
      <c r="AM7" s="55">
        <f>IF(SUM(S7,W7)&gt;0,SUM(S7,W7),"")</f>
        <v>9.5</v>
      </c>
      <c r="AN7" s="55">
        <f>IF(SUM(R7:S7,U7:W7,Y7)-T7-X7&gt;0,SUM(R7:S7,U7:W7,Y7)-T7-X7,"")</f>
        <v>44.7</v>
      </c>
      <c r="AO7" s="55" t="str">
        <f>IF(SUM(Z7:AA7,AC7)-AB7&gt;0,SUM(Z7:AA7,AC7)-AB7,"")</f>
        <v/>
      </c>
      <c r="AP7" s="55">
        <f>IF(SUM(AE7,AI7)&gt;0,SUM(AE7,AI7),"")</f>
        <v>9.8999999999999986</v>
      </c>
      <c r="AQ7" s="55">
        <f>IF(SUM(AD7:AE7,AG7:AI7,AK7)-SUM(AF7,AJ7)&gt;0,SUM(AD7:AE7,AG7:AI7,AK7)-SUM(AF7,AJ7),"")</f>
        <v>45.6</v>
      </c>
      <c r="AR7" s="55">
        <f>IF(SUM(AN7,AQ7)&gt;0,SUM(AN7,AQ7),"")</f>
        <v>90.300000000000011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IF(SUM(BO7,BR7)&gt;0,SUM(BO7,BR7),"")</f>
        <v/>
      </c>
      <c r="BT7" s="20">
        <v>18.600000000000001</v>
      </c>
      <c r="BU7" s="20">
        <v>6</v>
      </c>
      <c r="BV7" s="20">
        <v>0.2</v>
      </c>
      <c r="BW7" s="20">
        <v>0</v>
      </c>
      <c r="BX7" s="20">
        <v>18.2</v>
      </c>
      <c r="BY7" s="20">
        <v>5.6</v>
      </c>
      <c r="BZ7" s="20">
        <v>0</v>
      </c>
      <c r="CA7" s="20">
        <v>0</v>
      </c>
      <c r="CB7" s="20">
        <v>18.5</v>
      </c>
      <c r="CC7" s="20">
        <v>5.0999999999999996</v>
      </c>
      <c r="CD7" s="20">
        <v>0.8</v>
      </c>
      <c r="CE7" s="20">
        <v>0</v>
      </c>
      <c r="CF7" s="20">
        <v>18.600000000000001</v>
      </c>
      <c r="CG7" s="20">
        <v>6</v>
      </c>
      <c r="CH7" s="20">
        <v>0.2</v>
      </c>
      <c r="CI7" s="20">
        <v>0</v>
      </c>
      <c r="CJ7" s="20">
        <v>17.899999999999999</v>
      </c>
      <c r="CK7" s="20">
        <v>5.6</v>
      </c>
      <c r="CL7" s="20">
        <v>0.8</v>
      </c>
      <c r="CM7" s="20">
        <v>0</v>
      </c>
      <c r="CN7" s="32"/>
      <c r="CO7" s="55">
        <f>IF(SUM(BU7,BY7)&gt;0,SUM(BU7,BY7),"")</f>
        <v>11.6</v>
      </c>
      <c r="CP7" s="55">
        <f>IF(SUM(BT7:BU7,BW7:BY7,CA7)-BV7-BZ7&gt;0,SUM(BT7:BU7,BW7:BY7,CA7)-BV7-BZ7,"")</f>
        <v>48.199999999999996</v>
      </c>
      <c r="CQ7" s="55">
        <f>IF(SUM(CB7:CC7,CE7)-CD7&gt;0,SUM(CB7:CC7,CE7)-CD7,"")</f>
        <v>22.8</v>
      </c>
      <c r="CR7" s="55">
        <f>IF(SUM(CG7,CK7)&gt;0,SUM(CG7,CK7),"")</f>
        <v>11.6</v>
      </c>
      <c r="CS7" s="55">
        <f>IF(SUM(CF7:CG7,CI7:CK7,CM7)-SUM(CH7,CL7)&gt;0,SUM(CF7:CG7,CI7:CK7,CM7)-SUM(CH7,CL7),"")</f>
        <v>47.1</v>
      </c>
      <c r="CT7" s="55">
        <f>IF(SUM(CP7,CS7)&gt;0,SUM(CP7,CS7),"")</f>
        <v>95.3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IF(SUM(DR7,DU7)&gt;0,SUM(DR7,DU7),"")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IF(SUM(ER7,EU7)&gt;0,SUM(ER7,EU7),"")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IF(SUM(FR7,FU7)&gt;0,SUM(FR7,FU7),"")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IF(SUM(GR7,GU7)&gt;0,SUM(GR7,GU7),"")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IF(SUM(HR7,HU7)&gt;0,SUM(HR7,HU7),"")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IF(SUM(IR7,IU7)&gt;0,SUM(IR7,IU7),"")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IF(SUM(JR7,JU7)&gt;0,SUM(JR7,JU7),"")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IF(SUM(KR7,KU7)&gt;0,SUM(KR7,KU7),"")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IF(SUM(LR7,LU7)&gt;0,SUM(LR7,LU7),"")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IF(SUM(MR7,MU7)&gt;0,SUM(MR7,MU7),"")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IF(SUM(NR7,NU7)&gt;0,SUM(NR7,NU7),"")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IF(SUM(OR7,OU7)&gt;0,SUM(OR7,OU7),"")</f>
        <v/>
      </c>
      <c r="OW7" s="27">
        <f t="shared" si="0"/>
        <v>9.3000000000000007</v>
      </c>
      <c r="OX7" s="27">
        <f t="shared" si="0"/>
        <v>3</v>
      </c>
      <c r="OY7" s="27">
        <f t="shared" si="0"/>
        <v>0.1</v>
      </c>
      <c r="OZ7" s="27">
        <f t="shared" si="0"/>
        <v>0</v>
      </c>
      <c r="PA7" s="27">
        <f t="shared" si="0"/>
        <v>9.1</v>
      </c>
      <c r="PB7" s="27">
        <f t="shared" si="0"/>
        <v>2.8</v>
      </c>
      <c r="PC7" s="27">
        <f t="shared" si="0"/>
        <v>0</v>
      </c>
      <c r="PD7" s="27">
        <f t="shared" si="0"/>
        <v>0</v>
      </c>
      <c r="PE7" s="27">
        <f t="shared" si="0"/>
        <v>9.25</v>
      </c>
      <c r="PF7" s="27">
        <f t="shared" si="0"/>
        <v>2.5499999999999998</v>
      </c>
      <c r="PG7" s="27">
        <f t="shared" si="1"/>
        <v>0.4</v>
      </c>
      <c r="PH7" s="27">
        <f t="shared" si="1"/>
        <v>0</v>
      </c>
      <c r="PI7" s="27">
        <f t="shared" si="1"/>
        <v>9.3000000000000007</v>
      </c>
      <c r="PJ7" s="27">
        <f t="shared" si="1"/>
        <v>3</v>
      </c>
      <c r="PK7" s="27">
        <f t="shared" si="1"/>
        <v>0.1</v>
      </c>
      <c r="PL7" s="27">
        <f t="shared" si="1"/>
        <v>0</v>
      </c>
      <c r="PM7" s="27">
        <f t="shared" si="1"/>
        <v>8.9499999999999993</v>
      </c>
      <c r="PN7" s="27">
        <f t="shared" si="1"/>
        <v>2.8</v>
      </c>
      <c r="PO7" s="27">
        <f t="shared" si="1"/>
        <v>0.4</v>
      </c>
      <c r="PP7" s="27">
        <f t="shared" si="1"/>
        <v>0</v>
      </c>
      <c r="PQ7" s="32" t="s">
        <v>44</v>
      </c>
      <c r="PR7" s="55">
        <f>IF(SUM(OX7,PB7)&gt;0,SUM(OX7,PB7),"")</f>
        <v>5.8</v>
      </c>
      <c r="PS7" s="55">
        <f>IF(SUM(OW7:OX7,OZ7:PB7,PD7)-OY7-PC7&gt;0,SUM(OW7:OX7,OZ7:PB7,PD7)-OY7-PC7,"")</f>
        <v>24.099999999999998</v>
      </c>
      <c r="PT7" s="55">
        <f>IF(SUM(PE7:PF7,PH7)-PG7&gt;0,SUM(PE7:PF7,PH7)-PG7,"")</f>
        <v>11.4</v>
      </c>
      <c r="PU7" s="55">
        <f>IF(SUM(PJ7,PN7)&gt;0,SUM(PJ7,PN7),"")</f>
        <v>5.8</v>
      </c>
      <c r="PV7" s="55">
        <f>IF(SUM(PI7:PJ7,PL7:PN7,PP7)-SUM(PK7,PO7)&gt;0,SUM(PI7:PJ7,PL7:PN7,PP7)-SUM(PK7,PO7),"")</f>
        <v>23.55</v>
      </c>
      <c r="PW7" s="55">
        <f>IF(SUM(PS7,PV7)&gt;0,SUM(PS7,PV7),"")</f>
        <v>47.65</v>
      </c>
    </row>
    <row r="8" spans="1:439" ht="17" x14ac:dyDescent="0.2">
      <c r="O8" s="11"/>
      <c r="P8" s="11"/>
      <c r="Q8" s="11"/>
    </row>
    <row r="9" spans="1:439" ht="17" x14ac:dyDescent="0.2">
      <c r="O9" s="11"/>
      <c r="P9" s="11"/>
      <c r="Q9" s="11"/>
    </row>
    <row r="10" spans="1:439" ht="17" x14ac:dyDescent="0.2">
      <c r="B10" s="28" t="s">
        <v>42</v>
      </c>
      <c r="O10" s="11"/>
      <c r="P10" s="11"/>
      <c r="Q10" s="11"/>
      <c r="AM10" s="4"/>
      <c r="AR10" s="57">
        <v>11.6</v>
      </c>
      <c r="BN10" s="4"/>
      <c r="BS10" s="57">
        <v>11.6</v>
      </c>
      <c r="CO10" s="4"/>
      <c r="CT10" s="57">
        <v>10.4</v>
      </c>
      <c r="DQ10" s="4"/>
      <c r="DV10" s="57">
        <v>11.6</v>
      </c>
      <c r="EQ10" s="4"/>
      <c r="EV10" s="57">
        <v>11.6</v>
      </c>
      <c r="FQ10" s="4"/>
      <c r="FV10" s="57">
        <v>10.4</v>
      </c>
      <c r="GQ10" s="4"/>
      <c r="GV10" s="57">
        <v>10.4</v>
      </c>
      <c r="HQ10" s="4"/>
      <c r="HV10" s="57">
        <v>10.4</v>
      </c>
      <c r="IQ10" s="4"/>
      <c r="IV10" s="57">
        <v>10.4</v>
      </c>
      <c r="JQ10" s="4"/>
      <c r="JV10" s="57">
        <v>10.4</v>
      </c>
      <c r="KQ10" s="4"/>
      <c r="KV10" s="57">
        <v>10.4</v>
      </c>
      <c r="LQ10" s="4"/>
      <c r="LV10" s="57">
        <v>10.4</v>
      </c>
      <c r="MQ10" s="4"/>
      <c r="MV10" s="57">
        <v>10.4</v>
      </c>
      <c r="NQ10" s="4"/>
      <c r="NV10" s="57">
        <v>10.4</v>
      </c>
      <c r="OQ10" s="4"/>
      <c r="OV10" s="57">
        <v>10.4</v>
      </c>
    </row>
    <row r="11" spans="1:439" ht="17" hidden="1" x14ac:dyDescent="0.2">
      <c r="B11" s="35" t="s">
        <v>41</v>
      </c>
      <c r="O11" s="11"/>
      <c r="P11" s="11"/>
      <c r="Q11" s="11"/>
      <c r="AM11" s="4"/>
      <c r="AR11" s="58">
        <f>AR12</f>
        <v>12</v>
      </c>
      <c r="BN11" s="4"/>
      <c r="BS11" s="58">
        <f>BS12</f>
        <v>12</v>
      </c>
      <c r="CO11" s="4"/>
      <c r="CT11" s="58">
        <f>CT12</f>
        <v>11.2</v>
      </c>
      <c r="DQ11" s="4"/>
      <c r="DV11" s="58">
        <f>DV12</f>
        <v>12</v>
      </c>
      <c r="EQ11" s="4"/>
      <c r="EV11" s="58">
        <f>EV12</f>
        <v>12</v>
      </c>
      <c r="FQ11" s="4"/>
      <c r="FV11" s="58">
        <f>FV12</f>
        <v>11.2</v>
      </c>
      <c r="GQ11" s="4"/>
      <c r="GV11" s="58">
        <f>GV12</f>
        <v>11.2</v>
      </c>
      <c r="HQ11" s="4"/>
      <c r="HV11" s="58">
        <f>HV12</f>
        <v>11.2</v>
      </c>
      <c r="IQ11" s="4"/>
      <c r="IV11" s="58">
        <f>IV12</f>
        <v>11.2</v>
      </c>
      <c r="JQ11" s="4"/>
      <c r="JV11" s="58">
        <f>JV12</f>
        <v>11.2</v>
      </c>
      <c r="KQ11" s="4"/>
      <c r="KV11" s="58">
        <f>KV12</f>
        <v>11.2</v>
      </c>
      <c r="LQ11" s="4"/>
      <c r="LV11" s="58">
        <f>LV12</f>
        <v>11.2</v>
      </c>
      <c r="MQ11" s="4"/>
      <c r="MV11" s="58">
        <f>MV12</f>
        <v>11.2</v>
      </c>
      <c r="NQ11" s="4"/>
      <c r="NV11" s="58">
        <f>NV12</f>
        <v>11.2</v>
      </c>
      <c r="OQ11" s="4"/>
      <c r="OV11" s="58">
        <f>OV12</f>
        <v>11.2</v>
      </c>
    </row>
    <row r="12" spans="1:439" ht="17" x14ac:dyDescent="0.2">
      <c r="A12" s="5"/>
      <c r="B12" s="36" t="s">
        <v>54</v>
      </c>
      <c r="C12" s="22"/>
      <c r="O12" s="11"/>
      <c r="P12" s="11"/>
      <c r="Q12" s="11"/>
      <c r="AM12" s="4"/>
      <c r="AR12" s="59">
        <v>12</v>
      </c>
      <c r="BN12" s="4"/>
      <c r="BS12" s="59">
        <v>12</v>
      </c>
      <c r="CO12" s="4"/>
      <c r="CT12" s="59">
        <v>11.2</v>
      </c>
      <c r="DQ12" s="4"/>
      <c r="DV12" s="59">
        <v>12</v>
      </c>
      <c r="EQ12" s="4"/>
      <c r="EV12" s="59">
        <v>12</v>
      </c>
      <c r="FQ12" s="4"/>
      <c r="FV12" s="59">
        <v>11.2</v>
      </c>
      <c r="GQ12" s="4"/>
      <c r="GV12" s="59">
        <v>11.2</v>
      </c>
      <c r="HQ12" s="4"/>
      <c r="HV12" s="59">
        <v>11.2</v>
      </c>
      <c r="IQ12" s="4"/>
      <c r="IV12" s="59">
        <v>11.2</v>
      </c>
      <c r="JQ12" s="4"/>
      <c r="JV12" s="59">
        <v>11.2</v>
      </c>
      <c r="KQ12" s="4"/>
      <c r="KV12" s="59">
        <v>11.2</v>
      </c>
      <c r="LQ12" s="4"/>
      <c r="LV12" s="59">
        <v>11.2</v>
      </c>
      <c r="MQ12" s="4"/>
      <c r="MV12" s="59">
        <v>11.2</v>
      </c>
      <c r="NQ12" s="4"/>
      <c r="NV12" s="59">
        <v>11.2</v>
      </c>
      <c r="OQ12" s="4"/>
      <c r="OV12" s="59">
        <v>11.2</v>
      </c>
    </row>
    <row r="13" spans="1:439" ht="17" hidden="1" x14ac:dyDescent="0.2">
      <c r="A13" s="5"/>
      <c r="B13" s="44" t="s">
        <v>59</v>
      </c>
      <c r="C13" s="22"/>
      <c r="O13" s="11"/>
      <c r="P13" s="11"/>
      <c r="Q13" s="11"/>
      <c r="AM13" s="4"/>
      <c r="AR13" s="65">
        <v>1000</v>
      </c>
      <c r="BN13" s="4"/>
      <c r="BS13" s="65">
        <v>1000</v>
      </c>
      <c r="CO13" s="4"/>
      <c r="CT13" s="65">
        <v>1000</v>
      </c>
      <c r="DQ13" s="4"/>
      <c r="DV13" s="65">
        <v>1000</v>
      </c>
      <c r="EQ13" s="4"/>
      <c r="EV13" s="65">
        <v>1000</v>
      </c>
      <c r="FQ13" s="4"/>
      <c r="FV13" s="65">
        <v>1000</v>
      </c>
      <c r="GQ13" s="4"/>
      <c r="GV13" s="65">
        <v>1000</v>
      </c>
      <c r="HQ13" s="4"/>
      <c r="HV13" s="65">
        <v>1000</v>
      </c>
      <c r="IQ13" s="4"/>
      <c r="IV13" s="65">
        <v>1000</v>
      </c>
      <c r="JQ13" s="4"/>
      <c r="JV13" s="65">
        <v>1000</v>
      </c>
      <c r="KQ13" s="4"/>
      <c r="KV13" s="65">
        <v>1000</v>
      </c>
      <c r="LQ13" s="4"/>
      <c r="LV13" s="65">
        <v>1000</v>
      </c>
      <c r="MQ13" s="4"/>
      <c r="MV13" s="65">
        <v>1000</v>
      </c>
      <c r="NQ13" s="4"/>
      <c r="NV13" s="65">
        <v>1000</v>
      </c>
      <c r="OQ13" s="4"/>
      <c r="OV13" s="65">
        <v>1000</v>
      </c>
    </row>
    <row r="14" spans="1:439" ht="17" x14ac:dyDescent="0.2">
      <c r="A14" s="5"/>
      <c r="B14" s="42" t="s">
        <v>39</v>
      </c>
      <c r="C14" s="22"/>
      <c r="O14" s="11"/>
      <c r="P14" s="11"/>
      <c r="Q14" s="11"/>
      <c r="AM14" s="4"/>
      <c r="AR14" s="66">
        <v>48.4</v>
      </c>
      <c r="BN14" s="4"/>
      <c r="BS14" s="66">
        <v>48.4</v>
      </c>
      <c r="CO14" s="4"/>
      <c r="CT14" s="66">
        <v>47.2</v>
      </c>
      <c r="DQ14" s="4"/>
      <c r="DV14" s="66">
        <v>48.4</v>
      </c>
      <c r="EQ14" s="4"/>
      <c r="EV14" s="66">
        <v>48.4</v>
      </c>
      <c r="FQ14" s="4"/>
      <c r="FV14" s="66">
        <v>47.2</v>
      </c>
      <c r="GQ14" s="4"/>
      <c r="GV14" s="66">
        <v>47.2</v>
      </c>
      <c r="HQ14" s="4"/>
      <c r="HV14" s="66">
        <v>47.2</v>
      </c>
      <c r="IQ14" s="4"/>
      <c r="IV14" s="66">
        <v>47.2</v>
      </c>
      <c r="JQ14" s="4"/>
      <c r="JV14" s="66">
        <v>47.2</v>
      </c>
      <c r="KQ14" s="4"/>
      <c r="KV14" s="66">
        <v>47.2</v>
      </c>
      <c r="LQ14" s="4"/>
      <c r="LV14" s="66">
        <v>47.2</v>
      </c>
      <c r="MQ14" s="4"/>
      <c r="MV14" s="66">
        <v>47.2</v>
      </c>
      <c r="NQ14" s="4"/>
      <c r="NV14" s="66">
        <v>47.2</v>
      </c>
      <c r="OQ14" s="4"/>
      <c r="OV14" s="66">
        <v>47.2</v>
      </c>
    </row>
    <row r="15" spans="1:439" ht="17" hidden="1" x14ac:dyDescent="0.2">
      <c r="A15" s="5"/>
      <c r="B15" s="29" t="s">
        <v>40</v>
      </c>
      <c r="C15" s="22"/>
      <c r="O15" s="11"/>
      <c r="P15" s="11"/>
      <c r="Q15" s="11"/>
      <c r="AM15" s="4"/>
      <c r="AR15" s="62">
        <f>AR16</f>
        <v>49.8</v>
      </c>
      <c r="BN15" s="4"/>
      <c r="BS15" s="62">
        <f>BS16</f>
        <v>49.8</v>
      </c>
      <c r="CO15" s="4"/>
      <c r="CT15" s="62">
        <f>CT16</f>
        <v>47.6</v>
      </c>
      <c r="DQ15" s="4"/>
      <c r="DV15" s="62">
        <f>DV16</f>
        <v>49.8</v>
      </c>
      <c r="EQ15" s="4"/>
      <c r="EV15" s="62">
        <f>EV16</f>
        <v>49.8</v>
      </c>
      <c r="FQ15" s="4"/>
      <c r="FV15" s="62">
        <f>FV16</f>
        <v>47.6</v>
      </c>
      <c r="GQ15" s="4"/>
      <c r="GV15" s="62">
        <f>GV16</f>
        <v>47.6</v>
      </c>
      <c r="HQ15" s="4"/>
      <c r="HV15" s="62">
        <f>HV16</f>
        <v>47.6</v>
      </c>
      <c r="IQ15" s="4"/>
      <c r="IV15" s="62">
        <f>IV16</f>
        <v>47.6</v>
      </c>
      <c r="JQ15" s="4"/>
      <c r="JV15" s="62">
        <f>JV16</f>
        <v>47.6</v>
      </c>
      <c r="KQ15" s="4"/>
      <c r="KV15" s="62">
        <f>KV16</f>
        <v>47.6</v>
      </c>
      <c r="LQ15" s="4"/>
      <c r="LV15" s="62">
        <f>LV16</f>
        <v>47.6</v>
      </c>
      <c r="MQ15" s="4"/>
      <c r="MV15" s="62">
        <f>MV16</f>
        <v>47.6</v>
      </c>
      <c r="NQ15" s="4"/>
      <c r="NV15" s="62">
        <f>NV16</f>
        <v>47.6</v>
      </c>
      <c r="OQ15" s="4"/>
      <c r="OV15" s="62">
        <f>OV16</f>
        <v>47.6</v>
      </c>
    </row>
    <row r="16" spans="1:439" ht="17" x14ac:dyDescent="0.2">
      <c r="A16" s="5"/>
      <c r="B16" s="40" t="s">
        <v>53</v>
      </c>
      <c r="C16" s="22"/>
      <c r="O16" s="11"/>
      <c r="P16" s="11"/>
      <c r="Q16" s="11"/>
      <c r="AM16" s="4"/>
      <c r="AR16" s="63">
        <v>49.8</v>
      </c>
      <c r="BN16" s="4"/>
      <c r="BS16" s="63">
        <v>49.8</v>
      </c>
      <c r="CO16" s="4"/>
      <c r="CT16" s="63">
        <v>47.6</v>
      </c>
      <c r="DQ16" s="4"/>
      <c r="DV16" s="63">
        <v>49.8</v>
      </c>
      <c r="EQ16" s="4"/>
      <c r="EV16" s="63">
        <v>49.8</v>
      </c>
      <c r="FQ16" s="4"/>
      <c r="FV16" s="63">
        <v>47.6</v>
      </c>
      <c r="GQ16" s="4"/>
      <c r="GV16" s="63">
        <v>47.6</v>
      </c>
      <c r="HQ16" s="4"/>
      <c r="HV16" s="63">
        <v>47.6</v>
      </c>
      <c r="IQ16" s="4"/>
      <c r="IV16" s="63">
        <v>47.6</v>
      </c>
      <c r="JQ16" s="4"/>
      <c r="JV16" s="63">
        <v>47.6</v>
      </c>
      <c r="KQ16" s="4"/>
      <c r="KV16" s="63">
        <v>47.6</v>
      </c>
      <c r="LQ16" s="4"/>
      <c r="LV16" s="63">
        <v>47.6</v>
      </c>
      <c r="MQ16" s="4"/>
      <c r="MV16" s="63">
        <v>47.6</v>
      </c>
      <c r="NQ16" s="4"/>
      <c r="NV16" s="63">
        <v>47.6</v>
      </c>
      <c r="OQ16" s="4"/>
      <c r="OV16" s="63">
        <v>47.6</v>
      </c>
    </row>
    <row r="17" spans="1:412" ht="17" hidden="1" x14ac:dyDescent="0.2">
      <c r="A17" s="5"/>
      <c r="B17" s="30" t="s">
        <v>26</v>
      </c>
      <c r="C17" s="22"/>
      <c r="O17" s="11"/>
      <c r="P17" s="11"/>
      <c r="Q17" s="11"/>
      <c r="AM17" s="4"/>
      <c r="AR17" s="64">
        <v>1000</v>
      </c>
      <c r="BN17" s="4"/>
      <c r="BS17" s="64">
        <v>1000</v>
      </c>
      <c r="CO17" s="4"/>
      <c r="CT17" s="64">
        <v>1000</v>
      </c>
      <c r="DQ17" s="4"/>
      <c r="DV17" s="64">
        <v>1000</v>
      </c>
      <c r="EQ17" s="4"/>
      <c r="EV17" s="64">
        <v>1000</v>
      </c>
      <c r="FQ17" s="4"/>
      <c r="FV17" s="64">
        <v>1000</v>
      </c>
      <c r="GQ17" s="4"/>
      <c r="GV17" s="64">
        <v>1000</v>
      </c>
      <c r="HQ17" s="4"/>
      <c r="HV17" s="64">
        <v>1000</v>
      </c>
      <c r="IQ17" s="4"/>
      <c r="IV17" s="64">
        <v>1000</v>
      </c>
      <c r="JQ17" s="4"/>
      <c r="JV17" s="64">
        <v>1000</v>
      </c>
      <c r="KQ17" s="4"/>
      <c r="KV17" s="64">
        <v>1000</v>
      </c>
      <c r="LQ17" s="4"/>
      <c r="LV17" s="64">
        <v>1000</v>
      </c>
      <c r="MQ17" s="4"/>
      <c r="MV17" s="64">
        <v>1000</v>
      </c>
      <c r="NQ17" s="4"/>
      <c r="NV17" s="64">
        <v>1000</v>
      </c>
      <c r="OQ17" s="4"/>
      <c r="OV17" s="64">
        <v>1000</v>
      </c>
    </row>
    <row r="18" spans="1:412" x14ac:dyDescent="0.2">
      <c r="B18" s="34" t="s">
        <v>45</v>
      </c>
      <c r="C18" s="2"/>
    </row>
    <row r="19" spans="1:412" x14ac:dyDescent="0.2">
      <c r="A19" s="5"/>
      <c r="B19" s="5"/>
      <c r="C19" s="2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7">
      <sortCondition descending="1" ref="F1:F8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7">
    <cfRule type="expression" dxfId="55" priority="1" stopIfTrue="1">
      <formula>IF($AL4&lt;&gt;"",1,0)</formula>
    </cfRule>
  </conditionalFormatting>
  <conditionalFormatting sqref="AS4:BS7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7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AR$13</formula>
      <formula>1000</formula>
    </cfRule>
    <cfRule type="cellIs" dxfId="42" priority="14" operator="between">
      <formula>AR$12</formula>
      <formula>AR$13</formula>
    </cfRule>
    <cfRule type="cellIs" dxfId="41" priority="15" operator="between">
      <formula>AR$11</formula>
      <formula>AR$12</formula>
    </cfRule>
    <cfRule type="cellIs" dxfId="40" priority="16" operator="between">
      <formula>AR$10</formula>
      <formula>AR$11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AR$17</formula>
      <formula>1000</formula>
    </cfRule>
    <cfRule type="cellIs" dxfId="38" priority="18" operator="between">
      <formula>AR$16</formula>
      <formula>AR$17</formula>
    </cfRule>
    <cfRule type="cellIs" dxfId="37" priority="19" operator="between">
      <formula>AR$15</formula>
      <formula>AR$16</formula>
    </cfRule>
    <cfRule type="cellIs" dxfId="36" priority="20" operator="between">
      <formula>AR$14</formula>
      <formula>AR$15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AR$13</formula>
      <formula>1000</formula>
    </cfRule>
    <cfRule type="cellIs" dxfId="34" priority="22" operator="between">
      <formula>AR$12</formula>
      <formula>AR$13</formula>
    </cfRule>
    <cfRule type="cellIs" dxfId="33" priority="23" operator="between">
      <formula>AR$11</formula>
      <formula>AR$12</formula>
    </cfRule>
    <cfRule type="cellIs" dxfId="32" priority="24" operator="between">
      <formula>AR$10</formula>
      <formula>AR$11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AR$14</formula>
      <formula>AR$15</formula>
    </cfRule>
    <cfRule type="cellIs" dxfId="30" priority="26" operator="between">
      <formula>AR$15</formula>
      <formula>AR$16</formula>
    </cfRule>
    <cfRule type="cellIs" dxfId="29" priority="27" operator="between">
      <formula>AR$16</formula>
      <formula>AR$17</formula>
    </cfRule>
    <cfRule type="cellIs" dxfId="28" priority="28" operator="between">
      <formula>AR$17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93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79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96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 t="s">
        <v>95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IF(AND(F4="P",G4="P"),SUMPRODUCT((F$4:F$7="P")*(G$4:G$7="P")*(E$4:E$7&gt;E4))+1,IF(G4="P",SUMPRODUCT((F$4:F$7="")*(G$4:G$7="P")*(E$4:E$7&gt;E4))+1+SUMPRODUCT((F$4:F$7="P")*(G$4:G$7="P")),""))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145.30001441000491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48.900000000000006</v>
      </c>
      <c r="J4" s="9" t="str">
        <f>IF(I4=0,"",IF(I4=CP4,$BT$1,IF(I4=BO4,$AS$1,IF(I4=AN4,$R$1,""))))</f>
        <v>2023 Elite Canada</v>
      </c>
      <c r="K4" s="9">
        <f>IF(COUNT(AN4,BO4,CP4)&gt;1,LARGE((AN4,BO4,CP4),2),0)</f>
        <v>47</v>
      </c>
      <c r="L4" s="9" t="str">
        <f>IF(K4=0,"",IF(K4=CP4,$BT$1,IF(K4=BO4,$AS$1,IF(K4=AN4,$R$1,""))))</f>
        <v>2022 Nationals</v>
      </c>
      <c r="M4" s="9">
        <f>IF(MAX(AQ4,BR4,CS4)&gt;0,MAX(AQ4,BR4,CS4),0)</f>
        <v>48.2</v>
      </c>
      <c r="N4" s="9" t="str">
        <f>IF(M4=0,"",IF(M4=CS4,$BT$1,IF(M4=BR4,$AS$1,IF(M4=AQ4,$R$1,""))))</f>
        <v>2022 Nationals</v>
      </c>
      <c r="O4" s="9">
        <f>IF(MAX(CU4:CV4)&gt;0,MAX(CU4:CV4),"")</f>
        <v>1.1999999999999957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18.600000000000001</v>
      </c>
      <c r="S4" s="20">
        <v>5.6</v>
      </c>
      <c r="T4" s="20">
        <v>0</v>
      </c>
      <c r="U4" s="20">
        <v>0</v>
      </c>
      <c r="V4" s="20">
        <v>18.600000000000001</v>
      </c>
      <c r="W4" s="20">
        <v>4.8</v>
      </c>
      <c r="X4" s="20">
        <v>0.6</v>
      </c>
      <c r="Y4" s="20">
        <v>0</v>
      </c>
      <c r="Z4" s="20">
        <v>18.399999999999999</v>
      </c>
      <c r="AA4" s="20">
        <v>5.2</v>
      </c>
      <c r="AB4" s="20">
        <v>0</v>
      </c>
      <c r="AC4" s="20">
        <v>0</v>
      </c>
      <c r="AD4" s="20">
        <v>18.399999999999999</v>
      </c>
      <c r="AE4" s="20">
        <v>5.6</v>
      </c>
      <c r="AF4" s="20">
        <v>0</v>
      </c>
      <c r="AG4" s="20">
        <v>0</v>
      </c>
      <c r="AH4" s="20">
        <v>18.600000000000001</v>
      </c>
      <c r="AI4" s="20">
        <v>5.6</v>
      </c>
      <c r="AJ4" s="20">
        <v>0</v>
      </c>
      <c r="AK4" s="20">
        <v>0</v>
      </c>
      <c r="AL4" s="32"/>
      <c r="AM4" s="55">
        <f>IF(SUM(S4,W4)&gt;0,SUM(S4,W4),"")</f>
        <v>10.399999999999999</v>
      </c>
      <c r="AN4" s="55">
        <f>IF(SUM(R4:S4,U4:W4,Y4)-T4-X4&gt;0,SUM(R4:S4,U4:W4,Y4)-T4-X4,"")</f>
        <v>47</v>
      </c>
      <c r="AO4" s="55">
        <f>IF(SUM(Z4:AA4,AC4)-AB4&gt;0,SUM(Z4:AA4,AC4)-AB4,"")</f>
        <v>23.599999999999998</v>
      </c>
      <c r="AP4" s="55">
        <f>IF(SUM(AE4,AI4)&gt;0,SUM(AE4,AI4),"")</f>
        <v>11.2</v>
      </c>
      <c r="AQ4" s="55">
        <f>IF(SUM(AD4:AE4,AG4:AI4,AK4)-SUM(AF4,AJ4)&gt;0,SUM(AD4:AE4,AG4:AI4,AK4)-SUM(AF4,AJ4),"")</f>
        <v>48.2</v>
      </c>
      <c r="AR4" s="55">
        <f>IF(SUM(AN4,AQ4)&gt;0,SUM(AN4,AQ4),"")</f>
        <v>95.2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>
        <v>18.600000000000001</v>
      </c>
      <c r="BU4" s="20">
        <v>5.6</v>
      </c>
      <c r="BV4" s="20">
        <v>0</v>
      </c>
      <c r="BW4" s="20">
        <v>0</v>
      </c>
      <c r="BX4" s="20">
        <v>18.7</v>
      </c>
      <c r="BY4" s="20">
        <v>6</v>
      </c>
      <c r="BZ4" s="20">
        <v>0</v>
      </c>
      <c r="CA4" s="20">
        <v>0</v>
      </c>
      <c r="CB4" s="20">
        <v>9.1999999999999993</v>
      </c>
      <c r="CC4" s="20">
        <v>2.6</v>
      </c>
      <c r="CD4" s="20">
        <v>0</v>
      </c>
      <c r="CE4" s="20">
        <v>0</v>
      </c>
      <c r="CF4" s="20">
        <v>9.1999999999999993</v>
      </c>
      <c r="CG4" s="20">
        <v>2.8</v>
      </c>
      <c r="CH4" s="20">
        <v>0</v>
      </c>
      <c r="CI4" s="20">
        <v>0</v>
      </c>
      <c r="CJ4" s="20">
        <v>9.3000000000000007</v>
      </c>
      <c r="CK4" s="20">
        <v>2.8</v>
      </c>
      <c r="CL4" s="20">
        <v>0</v>
      </c>
      <c r="CM4" s="20">
        <v>0</v>
      </c>
      <c r="CN4" s="32"/>
      <c r="CO4" s="55">
        <f>IF(SUM(BU4,BY4)&gt;0,SUM(BU4,BY4),"")</f>
        <v>11.6</v>
      </c>
      <c r="CP4" s="55">
        <f>IF(SUM(BT4:BU4,BW4:BY4,CA4)-BV4-BZ4&gt;0,SUM(BT4:BU4,BW4:BY4,CA4)-BV4-BZ4,"")</f>
        <v>48.900000000000006</v>
      </c>
      <c r="CQ4" s="55">
        <f>IF(SUM(CB4:CC4,CE4)-CD4&gt;0,SUM(CB4:CC4,CE4)-CD4,"")</f>
        <v>11.799999999999999</v>
      </c>
      <c r="CR4" s="55">
        <f>IF(SUM(CG4,CK4)&gt;0,SUM(CG4,CK4),"")</f>
        <v>5.6</v>
      </c>
      <c r="CS4" s="55">
        <f>IF(SUM(CF4:CG4,CI4:CK4,CM4)-SUM(CH4,CL4)&gt;0,SUM(CF4:CG4,CI4:CK4,CM4)-SUM(CH4,CL4),"")</f>
        <v>24.1</v>
      </c>
      <c r="CT4" s="55">
        <f>IF(SUM(CP4,CS4)&gt;0,SUM(CP4,CS4),"")</f>
        <v>73</v>
      </c>
      <c r="CU4" s="56">
        <f>IF(MAX(DR4,ER4,FR4,GR4,HR4,IR4,JR4,KR4,LR4,MR4,NR4,OR4)-IF(K4="",0,K4)&gt;0.001,MAX(DR4,ER4,FR4,GR4,HR4,IR4,JR4,KR4,LR4,MR4,NR4,OR4)-IF(K4="",0,K4),"")</f>
        <v>1.1999999999999957</v>
      </c>
      <c r="CV4" s="56">
        <f>IF(MAX(DU4,EU4,FU4,GU4,HU4,IU4,JU4,KU4,LU4,MU4,NU4,OU4)-IF(M4="",0,M4)&gt;0.001,MAX(DU4,EU4,FU4,GU4,HU4,IU4,JU4,KU4,LU4,MU4,NU4,OU4)-IF(M4="",0,M4),"")</f>
        <v>0.69999999999999574</v>
      </c>
      <c r="CW4" s="18">
        <v>18.7</v>
      </c>
      <c r="CX4" s="18">
        <v>5.6</v>
      </c>
      <c r="CY4" s="18">
        <v>0</v>
      </c>
      <c r="CZ4" s="18">
        <v>0</v>
      </c>
      <c r="DA4" s="18">
        <v>18.899999999999999</v>
      </c>
      <c r="DB4" s="18">
        <v>5.6</v>
      </c>
      <c r="DC4" s="18">
        <v>0.6</v>
      </c>
      <c r="DD4" s="18">
        <v>0</v>
      </c>
      <c r="DE4" s="18"/>
      <c r="DF4" s="18"/>
      <c r="DG4" s="18"/>
      <c r="DH4" s="18"/>
      <c r="DI4" s="18">
        <v>18.5</v>
      </c>
      <c r="DJ4" s="18">
        <v>5.6</v>
      </c>
      <c r="DK4" s="18">
        <v>0</v>
      </c>
      <c r="DL4" s="18">
        <v>0</v>
      </c>
      <c r="DM4" s="18">
        <v>19</v>
      </c>
      <c r="DN4" s="18">
        <v>5.6</v>
      </c>
      <c r="DO4" s="18">
        <v>0</v>
      </c>
      <c r="DP4" s="18">
        <v>0</v>
      </c>
      <c r="DQ4" s="55">
        <f>IF(SUM(CX4,DB4)&gt;0,SUM(CX4,DB4),"")</f>
        <v>11.2</v>
      </c>
      <c r="DR4" s="55">
        <f>IF(SUM(CW4:CX4,CZ4:DB4,DD4)-CY4-DC4&gt;0,SUM(CW4:CX4,CZ4:DB4,DD4)-CY4-DC4,"")</f>
        <v>48.199999999999996</v>
      </c>
      <c r="DS4" s="55" t="str">
        <f>IF(SUM(DE4:DF4,DH4)-DG4&gt;0,SUM(DE4:DF4,DH4)-DG4,"")</f>
        <v/>
      </c>
      <c r="DT4" s="55">
        <f>IF(SUM(DJ4,DN4)&gt;0,SUM(DJ4,DN4),"")</f>
        <v>11.2</v>
      </c>
      <c r="DU4" s="55">
        <f>IF(SUM(DI4:DJ4,DL4:DN4,DP4)-SUM(DK4,DO4)&gt;0,SUM(DI4:DJ4,DL4:DN4,DP4)-SUM(DK4,DO4),"")</f>
        <v>48.7</v>
      </c>
      <c r="DV4" s="55">
        <f>IF(SUM(DR4,DU4)&gt;0,SUM(DR4,DU4),"")</f>
        <v>96.9</v>
      </c>
      <c r="DW4" s="19">
        <v>18.3</v>
      </c>
      <c r="DX4" s="19">
        <v>5.2</v>
      </c>
      <c r="DY4" s="19">
        <v>0.6</v>
      </c>
      <c r="DZ4" s="19">
        <v>0</v>
      </c>
      <c r="EA4" s="19">
        <v>18.3</v>
      </c>
      <c r="EB4" s="19">
        <v>4.8</v>
      </c>
      <c r="EC4" s="19">
        <v>0</v>
      </c>
      <c r="ED4" s="19">
        <v>0</v>
      </c>
      <c r="EE4" s="19"/>
      <c r="EF4" s="19"/>
      <c r="EG4" s="19"/>
      <c r="EH4" s="19"/>
      <c r="EI4" s="19">
        <v>18.7</v>
      </c>
      <c r="EJ4" s="19">
        <v>5.6</v>
      </c>
      <c r="EK4" s="19">
        <v>0.6</v>
      </c>
      <c r="EL4" s="19">
        <v>0</v>
      </c>
      <c r="EM4" s="19">
        <v>18.600000000000001</v>
      </c>
      <c r="EN4" s="19">
        <v>6</v>
      </c>
      <c r="EO4" s="19">
        <v>0.6</v>
      </c>
      <c r="EP4" s="19">
        <v>0</v>
      </c>
      <c r="EQ4" s="14">
        <f>IF(SUM(DX4,EB4)&gt;0,SUM(DX4,EB4),"")</f>
        <v>10</v>
      </c>
      <c r="ER4" s="14">
        <f>IF(SUM(DW4:DX4,DZ4:EB4,ED4)-DY4-EC4&gt;0,SUM(DW4:DX4,DZ4:EB4,ED4)-DY4-EC4,"")</f>
        <v>45.999999999999993</v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47.699999999999996</v>
      </c>
      <c r="EV4" s="14">
        <f>IF(SUM(ER4,EU4)&gt;0,SUM(ER4,EU4),"")</f>
        <v>93.699999999999989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18.600000000000001</v>
      </c>
      <c r="FJ4" s="18">
        <v>6</v>
      </c>
      <c r="FK4" s="18">
        <v>0</v>
      </c>
      <c r="FL4" s="18">
        <v>0</v>
      </c>
      <c r="FM4" s="18">
        <v>18.7</v>
      </c>
      <c r="FN4" s="18">
        <v>5.6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11.6</v>
      </c>
      <c r="FU4" s="55">
        <f>IF(SUM(FI4:FJ4,FL4:FN4,FP4)-SUM(FK4,FO4)&gt;0,SUM(FI4:FJ4,FL4:FN4,FP4)-SUM(FK4,FO4),"")</f>
        <v>48.9</v>
      </c>
      <c r="FV4" s="55">
        <f>IF(SUM(FR4,FU4)&gt;0,SUM(FR4,FU4),"")</f>
        <v>48.9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>
        <v>18.600000000000001</v>
      </c>
      <c r="GJ4" s="19">
        <v>6</v>
      </c>
      <c r="GK4" s="19">
        <v>0</v>
      </c>
      <c r="GL4" s="19">
        <v>0</v>
      </c>
      <c r="GM4" s="19">
        <v>18.7</v>
      </c>
      <c r="GN4" s="19">
        <v>5.6</v>
      </c>
      <c r="GO4" s="19">
        <v>0</v>
      </c>
      <c r="GP4" s="19">
        <v>0</v>
      </c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>
        <f>IF(SUM(GJ4,GN4)&gt;0,SUM(GJ4,GN4),"")</f>
        <v>11.6</v>
      </c>
      <c r="GU4" s="14">
        <f>IF(SUM(GI4:GJ4,GL4:GN4,GP4)-SUM(GK4,GO4)&gt;0,SUM(GI4:GJ4,GL4:GN4,GP4)-SUM(GK4,GO4),"")</f>
        <v>48.9</v>
      </c>
      <c r="GV4" s="14">
        <f>IF(SUM(GR4,GU4)&gt;0,SUM(GR4,GU4),"")</f>
        <v>48.9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6" si="0">IF($CN4="P",BT4,(BT4+AS4)/2)</f>
        <v>9.3000000000000007</v>
      </c>
      <c r="OX4" s="27">
        <f t="shared" si="0"/>
        <v>2.8</v>
      </c>
      <c r="OY4" s="27">
        <f t="shared" si="0"/>
        <v>0</v>
      </c>
      <c r="OZ4" s="27">
        <f t="shared" si="0"/>
        <v>0</v>
      </c>
      <c r="PA4" s="27">
        <f t="shared" si="0"/>
        <v>9.35</v>
      </c>
      <c r="PB4" s="27">
        <f t="shared" si="0"/>
        <v>3</v>
      </c>
      <c r="PC4" s="27">
        <f t="shared" si="0"/>
        <v>0</v>
      </c>
      <c r="PD4" s="27">
        <f t="shared" si="0"/>
        <v>0</v>
      </c>
      <c r="PE4" s="27">
        <f t="shared" si="0"/>
        <v>4.5999999999999996</v>
      </c>
      <c r="PF4" s="27">
        <f t="shared" si="0"/>
        <v>1.3</v>
      </c>
      <c r="PG4" s="27">
        <f t="shared" ref="PG4:PP6" si="1">IF($CN4="P",CD4,(CD4+BC4)/2)</f>
        <v>0</v>
      </c>
      <c r="PH4" s="27">
        <f t="shared" si="1"/>
        <v>0</v>
      </c>
      <c r="PI4" s="27">
        <f t="shared" si="1"/>
        <v>4.5999999999999996</v>
      </c>
      <c r="PJ4" s="27">
        <f t="shared" si="1"/>
        <v>1.4</v>
      </c>
      <c r="PK4" s="27">
        <f t="shared" si="1"/>
        <v>0</v>
      </c>
      <c r="PL4" s="27">
        <f t="shared" si="1"/>
        <v>0</v>
      </c>
      <c r="PM4" s="27">
        <f t="shared" si="1"/>
        <v>4.6500000000000004</v>
      </c>
      <c r="PN4" s="27">
        <f t="shared" si="1"/>
        <v>1.4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5.8</v>
      </c>
      <c r="PS4" s="55">
        <f>IF(SUM(OW4:OX4,OZ4:PB4,PD4)-OY4-PC4&gt;0,SUM(OW4:OX4,OZ4:PB4,PD4)-OY4-PC4,"")</f>
        <v>24.450000000000003</v>
      </c>
      <c r="PT4" s="55">
        <f>IF(SUM(PE4:PF4,PH4)-PG4&gt;0,SUM(PE4:PF4,PH4)-PG4,"")</f>
        <v>5.8999999999999995</v>
      </c>
      <c r="PU4" s="55">
        <f>IF(SUM(PJ4,PN4)&gt;0,SUM(PJ4,PN4),"")</f>
        <v>2.8</v>
      </c>
      <c r="PV4" s="55">
        <f>IF(SUM(PI4:PJ4,PL4:PN4,PP4)-SUM(PK4,PO4)&gt;0,SUM(PI4:PJ4,PL4:PN4,PP4)-SUM(PK4,PO4),"")</f>
        <v>12.05</v>
      </c>
      <c r="PW4" s="55">
        <f>IF(SUM(PS4,PV4)&gt;0,SUM(PS4,PV4),"")</f>
        <v>36.5</v>
      </c>
    </row>
    <row r="5" spans="1:439" x14ac:dyDescent="0.2">
      <c r="A5" s="4">
        <f>IF(AND(F5="P",G5="P"),SUMPRODUCT((F$4:F$7="P")*(G$4:G$7="P")*(E$4:E$7&gt;E5))+1,IF(G5="P",SUMPRODUCT((F$4:F$7="")*(G$4:G$7="P")*(E$4:E$7&gt;E5))+1+SUMPRODUCT((F$4:F$7="P")*(G$4:G$7="P")),""))</f>
        <v>2</v>
      </c>
      <c r="B5" s="5" t="s">
        <v>88</v>
      </c>
      <c r="C5" s="4" t="s">
        <v>68</v>
      </c>
      <c r="D5" s="4">
        <v>2007</v>
      </c>
      <c r="E5" s="10">
        <f>SUM(I5:O5)+SUM(I5:M5)*0.0000001+SUM(I5)*0.0000000000001</f>
        <v>139.00000960000483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48.2</v>
      </c>
      <c r="J5" s="9" t="str">
        <f>IF(I5=0,"",IF(I5=CP5,$BT$1,IF(I5=BO5,$AS$1,IF(I5=AN5,$R$1,""))))</f>
        <v>2023 Elite Canada</v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47.800000000000004</v>
      </c>
      <c r="N5" s="9" t="str">
        <f>IF(M5=0,"",IF(M5=CS5,$BT$1,IF(M5=BR5,$AS$1,IF(M5=AQ5,$R$1,""))))</f>
        <v>2023 Elite Canada</v>
      </c>
      <c r="O5" s="9">
        <f>IF(MAX(CU5:CV5)&gt;0,MAX(CU5:CV5),"")</f>
        <v>43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19</v>
      </c>
      <c r="BU5" s="20">
        <v>5.2</v>
      </c>
      <c r="BV5" s="20">
        <v>0</v>
      </c>
      <c r="BW5" s="20">
        <v>0</v>
      </c>
      <c r="BX5" s="20">
        <v>18.8</v>
      </c>
      <c r="BY5" s="20">
        <v>5.2</v>
      </c>
      <c r="BZ5" s="20">
        <v>0</v>
      </c>
      <c r="CA5" s="20">
        <v>0</v>
      </c>
      <c r="CB5" s="20">
        <v>17.5</v>
      </c>
      <c r="CC5" s="20">
        <v>1.2</v>
      </c>
      <c r="CD5" s="20">
        <v>0</v>
      </c>
      <c r="CE5" s="20">
        <v>0</v>
      </c>
      <c r="CF5" s="20">
        <v>18.8</v>
      </c>
      <c r="CG5" s="20">
        <v>6</v>
      </c>
      <c r="CH5" s="20">
        <v>0.6</v>
      </c>
      <c r="CI5" s="20">
        <v>0</v>
      </c>
      <c r="CJ5" s="20">
        <v>18.600000000000001</v>
      </c>
      <c r="CK5" s="20">
        <v>5.6</v>
      </c>
      <c r="CL5" s="20">
        <v>0.6</v>
      </c>
      <c r="CM5" s="20">
        <v>0</v>
      </c>
      <c r="CN5" s="32"/>
      <c r="CO5" s="55">
        <f>IF(SUM(BU5,BY5)&gt;0,SUM(BU5,BY5),"")</f>
        <v>10.4</v>
      </c>
      <c r="CP5" s="55">
        <f>IF(SUM(BT5:BU5,BW5:BY5,CA5)-BV5-BZ5&gt;0,SUM(BT5:BU5,BW5:BY5,CA5)-BV5-BZ5,"")</f>
        <v>48.2</v>
      </c>
      <c r="CQ5" s="55">
        <f>IF(SUM(CB5:CC5,CE5)-CD5&gt;0,SUM(CB5:CC5,CE5)-CD5,"")</f>
        <v>18.7</v>
      </c>
      <c r="CR5" s="55">
        <f>IF(SUM(CG5,CK5)&gt;0,SUM(CG5,CK5),"")</f>
        <v>11.6</v>
      </c>
      <c r="CS5" s="55">
        <f>IF(SUM(CF5:CG5,CI5:CK5,CM5)-SUM(CH5,CL5)&gt;0,SUM(CF5:CG5,CI5:CK5,CM5)-SUM(CH5,CL5),"")</f>
        <v>47.800000000000004</v>
      </c>
      <c r="CT5" s="55">
        <f>IF(SUM(CP5,CS5)&gt;0,SUM(CP5,CS5),"")</f>
        <v>96</v>
      </c>
      <c r="CU5" s="56">
        <f>IF(MAX(DR5,ER5,FR5,GR5,HR5,IR5,JR5,KR5,LR5,MR5,NR5,OR5)-IF(K5="",0,K5)&gt;0.001,MAX(DR5,ER5,FR5,GR5,HR5,IR5,JR5,KR5,LR5,MR5,NR5,OR5)-IF(K5="",0,K5),"")</f>
        <v>43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>
        <v>17.3</v>
      </c>
      <c r="DX5" s="19">
        <v>2.4</v>
      </c>
      <c r="DY5" s="19">
        <v>0</v>
      </c>
      <c r="DZ5" s="19">
        <v>0</v>
      </c>
      <c r="EA5" s="19">
        <v>18.3</v>
      </c>
      <c r="EB5" s="19">
        <v>5.2</v>
      </c>
      <c r="EC5" s="19">
        <v>0.2</v>
      </c>
      <c r="ED5" s="19">
        <v>0</v>
      </c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>
        <f>IF(SUM(DX5,EB5)&gt;0,SUM(DX5,EB5),"")</f>
        <v>7.6</v>
      </c>
      <c r="ER5" s="14">
        <f>IF(SUM(DW5:DX5,DZ5:EB5,ED5)-DY5-EC5&gt;0,SUM(DW5:DX5,DZ5:EB5,ED5)-DY5-EC5,"")</f>
        <v>43</v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>
        <f>IF(SUM(ER5,EU5)&gt;0,SUM(ER5,EU5),"")</f>
        <v>43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9.5</v>
      </c>
      <c r="OX5" s="27">
        <f t="shared" si="0"/>
        <v>2.6</v>
      </c>
      <c r="OY5" s="27">
        <f t="shared" si="0"/>
        <v>0</v>
      </c>
      <c r="OZ5" s="27">
        <f t="shared" si="0"/>
        <v>0</v>
      </c>
      <c r="PA5" s="27">
        <f t="shared" si="0"/>
        <v>9.4</v>
      </c>
      <c r="PB5" s="27">
        <f t="shared" si="0"/>
        <v>2.6</v>
      </c>
      <c r="PC5" s="27">
        <f t="shared" si="0"/>
        <v>0</v>
      </c>
      <c r="PD5" s="27">
        <f t="shared" si="0"/>
        <v>0</v>
      </c>
      <c r="PE5" s="27">
        <f t="shared" si="0"/>
        <v>8.75</v>
      </c>
      <c r="PF5" s="27">
        <f t="shared" si="0"/>
        <v>0.6</v>
      </c>
      <c r="PG5" s="27">
        <f t="shared" si="1"/>
        <v>0</v>
      </c>
      <c r="PH5" s="27">
        <f t="shared" si="1"/>
        <v>0</v>
      </c>
      <c r="PI5" s="27">
        <f t="shared" si="1"/>
        <v>9.4</v>
      </c>
      <c r="PJ5" s="27">
        <f t="shared" si="1"/>
        <v>3</v>
      </c>
      <c r="PK5" s="27">
        <f t="shared" si="1"/>
        <v>0.3</v>
      </c>
      <c r="PL5" s="27">
        <f t="shared" si="1"/>
        <v>0</v>
      </c>
      <c r="PM5" s="27">
        <f t="shared" si="1"/>
        <v>9.3000000000000007</v>
      </c>
      <c r="PN5" s="27">
        <f t="shared" si="1"/>
        <v>2.8</v>
      </c>
      <c r="PO5" s="27">
        <f t="shared" si="1"/>
        <v>0.3</v>
      </c>
      <c r="PP5" s="27">
        <f t="shared" si="1"/>
        <v>0</v>
      </c>
      <c r="PQ5" s="32" t="s">
        <v>44</v>
      </c>
      <c r="PR5" s="55">
        <f>IF(SUM(OX5,PB5)&gt;0,SUM(OX5,PB5),"")</f>
        <v>5.2</v>
      </c>
      <c r="PS5" s="55">
        <f>IF(SUM(OW5:OX5,OZ5:PB5,PD5)-OY5-PC5&gt;0,SUM(OW5:OX5,OZ5:PB5,PD5)-OY5-PC5,"")</f>
        <v>24.1</v>
      </c>
      <c r="PT5" s="55">
        <f>IF(SUM(PE5:PF5,PH5)-PG5&gt;0,SUM(PE5:PF5,PH5)-PG5,"")</f>
        <v>9.35</v>
      </c>
      <c r="PU5" s="55">
        <f>IF(SUM(PJ5,PN5)&gt;0,SUM(PJ5,PN5),"")</f>
        <v>5.8</v>
      </c>
      <c r="PV5" s="55">
        <f>IF(SUM(PI5:PJ5,PL5:PN5,PP5)-SUM(PK5,PO5)&gt;0,SUM(PI5:PJ5,PL5:PN5,PP5)-SUM(PK5,PO5),"")</f>
        <v>23.900000000000002</v>
      </c>
      <c r="PW5" s="55">
        <f>IF(SUM(PS5,PV5)&gt;0,SUM(PS5,PV5),"")</f>
        <v>48</v>
      </c>
    </row>
    <row r="6" spans="1:439" x14ac:dyDescent="0.2">
      <c r="A6" s="4">
        <f>IF(AND(F6="P",G6="P"),SUMPRODUCT((F$4:F$7="P")*(G$4:G$7="P")*(E$4:E$7&gt;E6))+1,IF(G6="P",SUMPRODUCT((F$4:F$7="")*(G$4:G$7="P")*(E$4:E$7&gt;E6))+1+SUMPRODUCT((F$4:F$7="P")*(G$4:G$7="P")),""))</f>
        <v>3</v>
      </c>
      <c r="B6" s="5" t="s">
        <v>92</v>
      </c>
      <c r="C6" s="4" t="s">
        <v>68</v>
      </c>
      <c r="D6" s="4">
        <v>2008</v>
      </c>
      <c r="E6" s="10">
        <f>SUM(I6:O6)+SUM(I6:M6)*0.0000001+SUM(I6)*0.0000000000001</f>
        <v>137.00001370000473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43.599999999999994</v>
      </c>
      <c r="L6" s="9" t="str">
        <f>IF(K6=0,"",IF(K6=CP6,$BT$1,IF(K6=BO6,$AS$1,IF(K6=AN6,$R$1,""))))</f>
        <v>2022 Nationals</v>
      </c>
      <c r="M6" s="9">
        <f>IF(MAX(AQ6,BR6,CS6)&gt;0,MAX(AQ6,BR6,CS6),0)</f>
        <v>46.300000000000004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17.899999999999999</v>
      </c>
      <c r="S6" s="20">
        <v>3.6</v>
      </c>
      <c r="T6" s="20">
        <v>0.2</v>
      </c>
      <c r="U6" s="20">
        <v>0</v>
      </c>
      <c r="V6" s="20">
        <v>18.600000000000001</v>
      </c>
      <c r="W6" s="20">
        <v>3.9</v>
      </c>
      <c r="X6" s="20">
        <v>0.2</v>
      </c>
      <c r="Y6" s="20">
        <v>0</v>
      </c>
      <c r="Z6" s="20"/>
      <c r="AA6" s="20"/>
      <c r="AB6" s="20"/>
      <c r="AC6" s="20"/>
      <c r="AD6" s="20">
        <v>18</v>
      </c>
      <c r="AE6" s="20">
        <v>4.4000000000000004</v>
      </c>
      <c r="AF6" s="20">
        <v>0.2</v>
      </c>
      <c r="AG6" s="20">
        <v>0</v>
      </c>
      <c r="AH6" s="20">
        <v>19.100000000000001</v>
      </c>
      <c r="AI6" s="20">
        <v>3.5</v>
      </c>
      <c r="AJ6" s="20">
        <v>0.6</v>
      </c>
      <c r="AK6" s="20">
        <v>0</v>
      </c>
      <c r="AL6" s="32"/>
      <c r="AM6" s="55">
        <f>IF(SUM(S6,W6)&gt;0,SUM(S6,W6),"")</f>
        <v>7.5</v>
      </c>
      <c r="AN6" s="55">
        <f>IF(SUM(R6:S6,U6:W6,Y6)-T6-X6&gt;0,SUM(R6:S6,U6:W6,Y6)-T6-X6,"")</f>
        <v>43.599999999999994</v>
      </c>
      <c r="AO6" s="55" t="str">
        <f>IF(SUM(Z6:AA6,AC6)-AB6&gt;0,SUM(Z6:AA6,AC6)-AB6,"")</f>
        <v/>
      </c>
      <c r="AP6" s="55">
        <f>IF(SUM(AE6,AI6)&gt;0,SUM(AE6,AI6),"")</f>
        <v>7.9</v>
      </c>
      <c r="AQ6" s="55">
        <f>IF(SUM(AD6:AE6,AG6:AI6,AK6)-SUM(AF6,AJ6)&gt;0,SUM(AD6:AE6,AG6:AI6,AK6)-SUM(AF6,AJ6),"")</f>
        <v>44.2</v>
      </c>
      <c r="AR6" s="55">
        <f>IF(SUM(AN6,AQ6)&gt;0,SUM(AN6,AQ6),"")</f>
        <v>87.8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IF(SUM(BO6,BR6)&gt;0,SUM(BO6,BR6),"")</f>
        <v/>
      </c>
      <c r="BT6" s="20">
        <v>18.600000000000001</v>
      </c>
      <c r="BU6" s="20">
        <v>5.2</v>
      </c>
      <c r="BV6" s="20">
        <v>0.2</v>
      </c>
      <c r="BW6" s="20">
        <v>0</v>
      </c>
      <c r="BX6" s="20">
        <v>18.5</v>
      </c>
      <c r="BY6" s="20">
        <v>5.2</v>
      </c>
      <c r="BZ6" s="20">
        <v>0.2</v>
      </c>
      <c r="CA6" s="20">
        <v>0</v>
      </c>
      <c r="CB6" s="20">
        <v>18.600000000000001</v>
      </c>
      <c r="CC6" s="20">
        <v>5.0999999999999996</v>
      </c>
      <c r="CD6" s="20">
        <v>0</v>
      </c>
      <c r="CE6" s="20">
        <v>0</v>
      </c>
      <c r="CF6" s="20">
        <v>17.8</v>
      </c>
      <c r="CG6" s="20">
        <v>5.6</v>
      </c>
      <c r="CH6" s="20">
        <v>0.2</v>
      </c>
      <c r="CI6" s="20">
        <v>0</v>
      </c>
      <c r="CJ6" s="20">
        <v>18.3</v>
      </c>
      <c r="CK6" s="20">
        <v>5.6</v>
      </c>
      <c r="CL6" s="20">
        <v>0.8</v>
      </c>
      <c r="CM6" s="20">
        <v>0</v>
      </c>
      <c r="CN6" s="32"/>
      <c r="CO6" s="55">
        <f>IF(SUM(BU6,BY6)&gt;0,SUM(BU6,BY6),"")</f>
        <v>10.4</v>
      </c>
      <c r="CP6" s="55">
        <f>IF(SUM(BT6:BU6,BW6:BY6,CA6)-BV6-BZ6&gt;0,SUM(BT6:BU6,BW6:BY6,CA6)-BV6-BZ6,"")</f>
        <v>47.099999999999994</v>
      </c>
      <c r="CQ6" s="55">
        <f>IF(SUM(CB6:CC6,CE6)-CD6&gt;0,SUM(CB6:CC6,CE6)-CD6,"")</f>
        <v>23.700000000000003</v>
      </c>
      <c r="CR6" s="55">
        <f>IF(SUM(CG6,CK6)&gt;0,SUM(CG6,CK6),"")</f>
        <v>11.2</v>
      </c>
      <c r="CS6" s="55">
        <f>IF(SUM(CF6:CG6,CI6:CK6,CM6)-SUM(CH6,CL6)&gt;0,SUM(CF6:CG6,CI6:CK6,CM6)-SUM(CH6,CL6),"")</f>
        <v>46.300000000000004</v>
      </c>
      <c r="CT6" s="55">
        <f>IF(SUM(CP6,CS6)&gt;0,SUM(CP6,CS6),"")</f>
        <v>93.4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>
        <v>17.8</v>
      </c>
      <c r="DX6" s="19">
        <v>4.4000000000000004</v>
      </c>
      <c r="DY6" s="19">
        <v>0.2</v>
      </c>
      <c r="DZ6" s="19">
        <v>0</v>
      </c>
      <c r="EA6" s="19">
        <v>17.2</v>
      </c>
      <c r="EB6" s="19">
        <v>2.8</v>
      </c>
      <c r="EC6" s="19">
        <v>0</v>
      </c>
      <c r="ED6" s="19">
        <v>0</v>
      </c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>
        <f>IF(SUM(DX6,EB6)&gt;0,SUM(DX6,EB6),"")</f>
        <v>7.2</v>
      </c>
      <c r="ER6" s="14">
        <f>IF(SUM(DW6:DX6,DZ6:EB6,ED6)-DY6-EC6&gt;0,SUM(DW6:DX6,DZ6:EB6,ED6)-DY6-EC6,"")</f>
        <v>42</v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>
        <f>IF(SUM(ER6,EU6)&gt;0,SUM(ER6,EU6),"")</f>
        <v>42</v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 t="shared" si="0"/>
        <v>9.3000000000000007</v>
      </c>
      <c r="OX6" s="27">
        <f t="shared" si="0"/>
        <v>2.6</v>
      </c>
      <c r="OY6" s="27">
        <f t="shared" si="0"/>
        <v>0.1</v>
      </c>
      <c r="OZ6" s="27">
        <f t="shared" si="0"/>
        <v>0</v>
      </c>
      <c r="PA6" s="27">
        <f t="shared" si="0"/>
        <v>9.25</v>
      </c>
      <c r="PB6" s="27">
        <f t="shared" si="0"/>
        <v>2.6</v>
      </c>
      <c r="PC6" s="27">
        <f t="shared" si="0"/>
        <v>0.1</v>
      </c>
      <c r="PD6" s="27">
        <f t="shared" si="0"/>
        <v>0</v>
      </c>
      <c r="PE6" s="27">
        <f t="shared" si="0"/>
        <v>9.3000000000000007</v>
      </c>
      <c r="PF6" s="27">
        <f t="shared" si="0"/>
        <v>2.5499999999999998</v>
      </c>
      <c r="PG6" s="27">
        <f t="shared" si="1"/>
        <v>0</v>
      </c>
      <c r="PH6" s="27">
        <f t="shared" si="1"/>
        <v>0</v>
      </c>
      <c r="PI6" s="27">
        <f t="shared" si="1"/>
        <v>8.9</v>
      </c>
      <c r="PJ6" s="27">
        <f t="shared" si="1"/>
        <v>2.8</v>
      </c>
      <c r="PK6" s="27">
        <f t="shared" si="1"/>
        <v>0.1</v>
      </c>
      <c r="PL6" s="27">
        <f t="shared" si="1"/>
        <v>0</v>
      </c>
      <c r="PM6" s="27">
        <f t="shared" si="1"/>
        <v>9.15</v>
      </c>
      <c r="PN6" s="27">
        <f t="shared" si="1"/>
        <v>2.8</v>
      </c>
      <c r="PO6" s="27">
        <f t="shared" si="1"/>
        <v>0.4</v>
      </c>
      <c r="PP6" s="27">
        <f t="shared" si="1"/>
        <v>0</v>
      </c>
      <c r="PQ6" s="32" t="s">
        <v>44</v>
      </c>
      <c r="PR6" s="55">
        <f>IF(SUM(OX6,PB6)&gt;0,SUM(OX6,PB6),"")</f>
        <v>5.2</v>
      </c>
      <c r="PS6" s="55">
        <f>IF(SUM(OW6:OX6,OZ6:PB6,PD6)-OY6-PC6&gt;0,SUM(OW6:OX6,OZ6:PB6,PD6)-OY6-PC6,"")</f>
        <v>23.549999999999997</v>
      </c>
      <c r="PT6" s="55">
        <f>IF(SUM(PE6:PF6,PH6)-PG6&gt;0,SUM(PE6:PF6,PH6)-PG6,"")</f>
        <v>11.850000000000001</v>
      </c>
      <c r="PU6" s="55">
        <f>IF(SUM(PJ6,PN6)&gt;0,SUM(PJ6,PN6),"")</f>
        <v>5.6</v>
      </c>
      <c r="PV6" s="55">
        <f>IF(SUM(PI6:PJ6,PL6:PN6,PP6)-SUM(PK6,PO6)&gt;0,SUM(PI6:PJ6,PL6:PN6,PP6)-SUM(PK6,PO6),"")</f>
        <v>23.150000000000002</v>
      </c>
      <c r="PW6" s="55">
        <f>IF(SUM(PS6,PV6)&gt;0,SUM(PS6,PV6),"")</f>
        <v>46.7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9.6</v>
      </c>
      <c r="BN9" s="4"/>
      <c r="BS9" s="57">
        <v>9.6</v>
      </c>
      <c r="CO9" s="4"/>
      <c r="CT9" s="57">
        <v>7.9</v>
      </c>
      <c r="DQ9" s="4"/>
      <c r="DV9" s="57">
        <v>9.6</v>
      </c>
      <c r="EQ9" s="4"/>
      <c r="EV9" s="57">
        <v>9.6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10.4</v>
      </c>
      <c r="BN10" s="4"/>
      <c r="BS10" s="58">
        <f>BS11</f>
        <v>10.4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10.4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10.4</v>
      </c>
      <c r="BN11" s="4"/>
      <c r="BS11" s="59">
        <v>10.4</v>
      </c>
      <c r="CO11" s="4"/>
      <c r="CT11" s="59">
        <v>9.6</v>
      </c>
      <c r="DQ11" s="4"/>
      <c r="DV11" s="59">
        <v>10.4</v>
      </c>
      <c r="EQ11" s="4"/>
      <c r="EV11" s="59">
        <v>10.4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46.4</v>
      </c>
      <c r="BN13" s="4"/>
      <c r="BS13" s="66">
        <v>46.4</v>
      </c>
      <c r="CO13" s="4"/>
      <c r="CT13" s="66">
        <v>45.5</v>
      </c>
      <c r="DQ13" s="4"/>
      <c r="DV13" s="66">
        <v>46.4</v>
      </c>
      <c r="EQ13" s="4"/>
      <c r="EV13" s="66">
        <v>46.4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48</v>
      </c>
      <c r="BN14" s="4"/>
      <c r="BS14" s="62">
        <f>BS15</f>
        <v>48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48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48</v>
      </c>
      <c r="BN15" s="4"/>
      <c r="BS15" s="63">
        <v>48</v>
      </c>
      <c r="CO15" s="4"/>
      <c r="CT15" s="63">
        <v>47.1</v>
      </c>
      <c r="DQ15" s="4"/>
      <c r="DV15" s="63">
        <v>48</v>
      </c>
      <c r="EQ15" s="4"/>
      <c r="EV15" s="63">
        <v>48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AR$12</formula>
      <formula>1000</formula>
    </cfRule>
    <cfRule type="cellIs" dxfId="14" priority="14" operator="between">
      <formula>AR$11</formula>
      <formula>AR$12</formula>
    </cfRule>
    <cfRule type="cellIs" dxfId="13" priority="15" operator="between">
      <formula>AR$10</formula>
      <formula>AR$11</formula>
    </cfRule>
    <cfRule type="cellIs" dxfId="12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AR$16</formula>
      <formula>1000</formula>
    </cfRule>
    <cfRule type="cellIs" dxfId="10" priority="18" operator="between">
      <formula>AR$15</formula>
      <formula>AR$16</formula>
    </cfRule>
    <cfRule type="cellIs" dxfId="9" priority="19" operator="between">
      <formula>AR$14</formula>
      <formula>AR$15</formula>
    </cfRule>
    <cfRule type="cellIs" dxfId="8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AR$9</formula>
      <formula>AR$10</formula>
    </cfRule>
    <cfRule type="cellIs" dxfId="6" priority="22" operator="between">
      <formula>AR$10</formula>
      <formula>AR$11</formula>
    </cfRule>
    <cfRule type="cellIs" dxfId="5" priority="23" operator="between">
      <formula>AR$11</formula>
      <formula>AR$12</formula>
    </cfRule>
    <cfRule type="cellIs" dxfId="4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AR$13</formula>
      <formula>AR$14</formula>
    </cfRule>
    <cfRule type="cellIs" dxfId="2" priority="26" operator="between">
      <formula>AR$14</formula>
      <formula>AR$15</formula>
    </cfRule>
    <cfRule type="cellIs" dxfId="1" priority="27" operator="between">
      <formula>AR$15</formula>
      <formula>AR$16</formula>
    </cfRule>
    <cfRule type="cellIs" dxfId="0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2023-05-19T16:53:11Z</dcterms:modified>
</cp:coreProperties>
</file>