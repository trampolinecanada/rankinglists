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D9DCB3A7-BEF8-3742-936F-8FC58EF71BB3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V13" i="17" l="1"/>
  <c r="OV9" i="17"/>
  <c r="NV13" i="17"/>
  <c r="NV9" i="17"/>
  <c r="MV13" i="17"/>
  <c r="MV9" i="17"/>
  <c r="LV13" i="17"/>
  <c r="LV9" i="17"/>
  <c r="KV13" i="17"/>
  <c r="KV9" i="17"/>
  <c r="JV13" i="17"/>
  <c r="JV9" i="17"/>
  <c r="IV13" i="17"/>
  <c r="IV9" i="17"/>
  <c r="HV13" i="17"/>
  <c r="HV9" i="17"/>
  <c r="GV13" i="17"/>
  <c r="GV9" i="17"/>
  <c r="FV13" i="17"/>
  <c r="FV9" i="17"/>
  <c r="EV13" i="17"/>
  <c r="EV9" i="17"/>
  <c r="DV13" i="17"/>
  <c r="DV9" i="17"/>
  <c r="OV12" i="16"/>
  <c r="OV8" i="16"/>
  <c r="NV12" i="16"/>
  <c r="NV8" i="16"/>
  <c r="MV12" i="16"/>
  <c r="MV8" i="16"/>
  <c r="LV12" i="16"/>
  <c r="LV8" i="16"/>
  <c r="KV12" i="16"/>
  <c r="KV8" i="16"/>
  <c r="JV12" i="16"/>
  <c r="JV8" i="16"/>
  <c r="IV12" i="16"/>
  <c r="IV8" i="16"/>
  <c r="HV12" i="16"/>
  <c r="HV8" i="16"/>
  <c r="GV12" i="16"/>
  <c r="GV8" i="16"/>
  <c r="FV12" i="16"/>
  <c r="FV8" i="16"/>
  <c r="EV12" i="16"/>
  <c r="EV8" i="16"/>
  <c r="DV12" i="16"/>
  <c r="DV8" i="16"/>
  <c r="OV12" i="14"/>
  <c r="OV8" i="14"/>
  <c r="NV12" i="14"/>
  <c r="NV8" i="14"/>
  <c r="MV12" i="14"/>
  <c r="MV8" i="14"/>
  <c r="LV12" i="14"/>
  <c r="LV8" i="14"/>
  <c r="KV12" i="14"/>
  <c r="KV8" i="14"/>
  <c r="JV12" i="14"/>
  <c r="JV8" i="14"/>
  <c r="IV12" i="14"/>
  <c r="IV8" i="14"/>
  <c r="HV12" i="14"/>
  <c r="HV8" i="14"/>
  <c r="GV12" i="14"/>
  <c r="GV8" i="14"/>
  <c r="FV12" i="14"/>
  <c r="FV8" i="14"/>
  <c r="EV12" i="14"/>
  <c r="EV8" i="14"/>
  <c r="DV12" i="14"/>
  <c r="DV8" i="14"/>
  <c r="CV4" i="16"/>
  <c r="CU4" i="16"/>
  <c r="CV4" i="14"/>
  <c r="CU4" i="14"/>
  <c r="DI4" i="4"/>
  <c r="DH4" i="4"/>
  <c r="DG4" i="4"/>
  <c r="DF4" i="4"/>
  <c r="CT13" i="17" l="1"/>
  <c r="CT9" i="17"/>
  <c r="BS13" i="17"/>
  <c r="BS9" i="17"/>
  <c r="AR13" i="17"/>
  <c r="AR9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NU5" i="17"/>
  <c r="NT5" i="17"/>
  <c r="NS5" i="17"/>
  <c r="NR5" i="17"/>
  <c r="NQ5" i="17"/>
  <c r="MU5" i="17"/>
  <c r="MT5" i="17"/>
  <c r="MS5" i="17"/>
  <c r="MR5" i="17"/>
  <c r="MQ5" i="17"/>
  <c r="LU5" i="17"/>
  <c r="LT5" i="17"/>
  <c r="LS5" i="17"/>
  <c r="LR5" i="17"/>
  <c r="LQ5" i="17"/>
  <c r="KU5" i="17"/>
  <c r="KT5" i="17"/>
  <c r="KS5" i="17"/>
  <c r="KR5" i="17"/>
  <c r="KQ5" i="17"/>
  <c r="JU5" i="17"/>
  <c r="JT5" i="17"/>
  <c r="JS5" i="17"/>
  <c r="JR5" i="17"/>
  <c r="JQ5" i="17"/>
  <c r="IU5" i="17"/>
  <c r="IT5" i="17"/>
  <c r="IS5" i="17"/>
  <c r="IR5" i="17"/>
  <c r="IQ5" i="17"/>
  <c r="HU5" i="17"/>
  <c r="HT5" i="17"/>
  <c r="HS5" i="17"/>
  <c r="HR5" i="17"/>
  <c r="HQ5" i="17"/>
  <c r="GU5" i="17"/>
  <c r="GT5" i="17"/>
  <c r="GS5" i="17"/>
  <c r="GR5" i="17"/>
  <c r="GQ5" i="17"/>
  <c r="FU5" i="17"/>
  <c r="FT5" i="17"/>
  <c r="FS5" i="17"/>
  <c r="FR5" i="17"/>
  <c r="FQ5" i="17"/>
  <c r="EU5" i="17"/>
  <c r="ET5" i="17"/>
  <c r="ES5" i="17"/>
  <c r="ER5" i="17"/>
  <c r="EQ5" i="17"/>
  <c r="DU5" i="17"/>
  <c r="DT5" i="17"/>
  <c r="DS5" i="17"/>
  <c r="DR5" i="17"/>
  <c r="DQ5" i="17"/>
  <c r="CS5" i="17"/>
  <c r="CR5" i="17"/>
  <c r="CQ5" i="17"/>
  <c r="CP5" i="17"/>
  <c r="CO5" i="17"/>
  <c r="BR5" i="17"/>
  <c r="BQ5" i="17"/>
  <c r="BP5" i="17"/>
  <c r="BO5" i="17"/>
  <c r="BN5" i="17"/>
  <c r="AQ5" i="17"/>
  <c r="AP5" i="17"/>
  <c r="AO5" i="17"/>
  <c r="AN5" i="17"/>
  <c r="AM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BR4" i="17"/>
  <c r="BQ4" i="17"/>
  <c r="BP4" i="17"/>
  <c r="BO4" i="17"/>
  <c r="BN4" i="17"/>
  <c r="AQ4" i="17"/>
  <c r="AP4" i="17"/>
  <c r="AO4" i="17"/>
  <c r="AN4" i="17"/>
  <c r="AM4" i="17"/>
  <c r="BS12" i="16"/>
  <c r="BS8" i="16"/>
  <c r="CT12" i="16"/>
  <c r="CT8" i="16"/>
  <c r="AR12" i="16"/>
  <c r="AR8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V4" i="16" s="1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V4" i="16" s="1"/>
  <c r="MQ4" i="16"/>
  <c r="LU4" i="16"/>
  <c r="LT4" i="16"/>
  <c r="LS4" i="16"/>
  <c r="LR4" i="16"/>
  <c r="LQ4" i="16"/>
  <c r="KU4" i="16"/>
  <c r="KT4" i="16"/>
  <c r="KS4" i="16"/>
  <c r="KR4" i="16"/>
  <c r="KV4" i="16" s="1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V4" i="16" s="1"/>
  <c r="HQ4" i="16"/>
  <c r="GU4" i="16"/>
  <c r="GT4" i="16"/>
  <c r="GS4" i="16"/>
  <c r="GR4" i="16"/>
  <c r="GV4" i="16" s="1"/>
  <c r="GQ4" i="16"/>
  <c r="FU4" i="16"/>
  <c r="FV4" i="16" s="1"/>
  <c r="FT4" i="16"/>
  <c r="FS4" i="16"/>
  <c r="FR4" i="16"/>
  <c r="FQ4" i="16"/>
  <c r="EU4" i="16"/>
  <c r="ET4" i="16"/>
  <c r="ES4" i="16"/>
  <c r="ER4" i="16"/>
  <c r="EV4" i="16" s="1"/>
  <c r="EQ4" i="16"/>
  <c r="DU4" i="16"/>
  <c r="DT4" i="16"/>
  <c r="DS4" i="16"/>
  <c r="DR4" i="16"/>
  <c r="DV4" i="16" s="1"/>
  <c r="DQ4" i="16"/>
  <c r="CS4" i="16"/>
  <c r="CR4" i="16"/>
  <c r="CQ4" i="16"/>
  <c r="CP4" i="16"/>
  <c r="CO4" i="16"/>
  <c r="BR4" i="16"/>
  <c r="BQ4" i="16"/>
  <c r="BP4" i="16"/>
  <c r="BO4" i="16"/>
  <c r="BS4" i="16" s="1"/>
  <c r="BN4" i="16"/>
  <c r="AQ4" i="16"/>
  <c r="AP4" i="16"/>
  <c r="AO4" i="16"/>
  <c r="AN4" i="16"/>
  <c r="AM4" i="16"/>
  <c r="BS13" i="15"/>
  <c r="BS9" i="15"/>
  <c r="AR13" i="15"/>
  <c r="AR9" i="15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NU5" i="15"/>
  <c r="NT5" i="15"/>
  <c r="NS5" i="15"/>
  <c r="NR5" i="15"/>
  <c r="NQ5" i="15"/>
  <c r="MU5" i="15"/>
  <c r="MT5" i="15"/>
  <c r="MS5" i="15"/>
  <c r="MR5" i="15"/>
  <c r="MV5" i="15" s="1"/>
  <c r="MQ5" i="15"/>
  <c r="LU5" i="15"/>
  <c r="LT5" i="15"/>
  <c r="LS5" i="15"/>
  <c r="LR5" i="15"/>
  <c r="LQ5" i="15"/>
  <c r="KU5" i="15"/>
  <c r="KT5" i="15"/>
  <c r="KS5" i="15"/>
  <c r="KR5" i="15"/>
  <c r="KQ5" i="15"/>
  <c r="JU5" i="15"/>
  <c r="JT5" i="15"/>
  <c r="JS5" i="15"/>
  <c r="JR5" i="15"/>
  <c r="JQ5" i="15"/>
  <c r="IU5" i="15"/>
  <c r="IT5" i="15"/>
  <c r="IS5" i="15"/>
  <c r="IR5" i="15"/>
  <c r="IQ5" i="15"/>
  <c r="HU5" i="15"/>
  <c r="HT5" i="15"/>
  <c r="HS5" i="15"/>
  <c r="HR5" i="15"/>
  <c r="HQ5" i="15"/>
  <c r="GU5" i="15"/>
  <c r="GT5" i="15"/>
  <c r="GS5" i="15"/>
  <c r="GR5" i="15"/>
  <c r="GQ5" i="15"/>
  <c r="FU5" i="15"/>
  <c r="FT5" i="15"/>
  <c r="FS5" i="15"/>
  <c r="FR5" i="15"/>
  <c r="FQ5" i="15"/>
  <c r="EU5" i="15"/>
  <c r="ET5" i="15"/>
  <c r="ES5" i="15"/>
  <c r="ER5" i="15"/>
  <c r="EV5" i="15" s="1"/>
  <c r="EQ5" i="15"/>
  <c r="DU5" i="15"/>
  <c r="DT5" i="15"/>
  <c r="DS5" i="15"/>
  <c r="DR5" i="15"/>
  <c r="DQ5" i="15"/>
  <c r="CS5" i="15"/>
  <c r="CR5" i="15"/>
  <c r="CQ5" i="15"/>
  <c r="CP5" i="15"/>
  <c r="CO5" i="15"/>
  <c r="BR5" i="15"/>
  <c r="BQ5" i="15"/>
  <c r="BP5" i="15"/>
  <c r="BO5" i="15"/>
  <c r="BN5" i="15"/>
  <c r="AQ5" i="15"/>
  <c r="AP5" i="15"/>
  <c r="AO5" i="15"/>
  <c r="AN5" i="15"/>
  <c r="AM5" i="15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V4" i="15" s="1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V4" i="15" s="1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BR4" i="15"/>
  <c r="BQ4" i="15"/>
  <c r="BP4" i="15"/>
  <c r="BO4" i="15"/>
  <c r="BN4" i="15"/>
  <c r="AQ4" i="15"/>
  <c r="AP4" i="15"/>
  <c r="AO4" i="15"/>
  <c r="AN4" i="15"/>
  <c r="AM4" i="15"/>
  <c r="AR12" i="14"/>
  <c r="AR8" i="14"/>
  <c r="BS8" i="14"/>
  <c r="BS12" i="14"/>
  <c r="CT12" i="14"/>
  <c r="CT8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V4" i="14" s="1"/>
  <c r="JQ4" i="14"/>
  <c r="IU4" i="14"/>
  <c r="IV4" i="14" s="1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BR4" i="14"/>
  <c r="BQ4" i="14"/>
  <c r="BP4" i="14"/>
  <c r="BO4" i="14"/>
  <c r="BN4" i="14"/>
  <c r="AQ4" i="14"/>
  <c r="AP4" i="14"/>
  <c r="AO4" i="14"/>
  <c r="AN4" i="14"/>
  <c r="AM4" i="14"/>
  <c r="NV4" i="17" l="1"/>
  <c r="KV5" i="17"/>
  <c r="PU5" i="17"/>
  <c r="DV4" i="17"/>
  <c r="LV4" i="17"/>
  <c r="IV5" i="17"/>
  <c r="GV4" i="17"/>
  <c r="OV4" i="17"/>
  <c r="DV5" i="17"/>
  <c r="LV5" i="17"/>
  <c r="MV4" i="17"/>
  <c r="EV5" i="17"/>
  <c r="FV5" i="17"/>
  <c r="MV5" i="17"/>
  <c r="NV5" i="17"/>
  <c r="G4" i="16"/>
  <c r="NV4" i="16"/>
  <c r="I4" i="16"/>
  <c r="PS4" i="16"/>
  <c r="PT4" i="16"/>
  <c r="IV4" i="16"/>
  <c r="JV4" i="16"/>
  <c r="LV4" i="16"/>
  <c r="M4" i="16"/>
  <c r="K4" i="16"/>
  <c r="HV4" i="14"/>
  <c r="KV4" i="14"/>
  <c r="FV4" i="14"/>
  <c r="DV5" i="15"/>
  <c r="IV4" i="15"/>
  <c r="EV4" i="17"/>
  <c r="IV4" i="17"/>
  <c r="JV4" i="17"/>
  <c r="BS5" i="17"/>
  <c r="JV5" i="17"/>
  <c r="GV5" i="17"/>
  <c r="OV5" i="17"/>
  <c r="HV4" i="17"/>
  <c r="KV4" i="17"/>
  <c r="M4" i="17"/>
  <c r="FV4" i="17"/>
  <c r="AR5" i="17"/>
  <c r="HV5" i="17"/>
  <c r="BS4" i="15"/>
  <c r="JV4" i="15"/>
  <c r="NV4" i="15"/>
  <c r="LV5" i="15"/>
  <c r="FV4" i="15"/>
  <c r="GV4" i="15"/>
  <c r="DV4" i="15"/>
  <c r="IV5" i="15"/>
  <c r="AR4" i="15"/>
  <c r="FV5" i="15"/>
  <c r="GV5" i="15"/>
  <c r="NV5" i="15"/>
  <c r="OV5" i="15"/>
  <c r="AR4" i="17"/>
  <c r="PT5" i="17"/>
  <c r="CT5" i="17"/>
  <c r="G4" i="17"/>
  <c r="PT4" i="17"/>
  <c r="PR5" i="17"/>
  <c r="PR4" i="17"/>
  <c r="PS5" i="17"/>
  <c r="K5" i="17"/>
  <c r="CU5" i="17" s="1"/>
  <c r="PV4" i="17"/>
  <c r="I5" i="17"/>
  <c r="J5" i="17" s="1"/>
  <c r="PV5" i="17"/>
  <c r="CT4" i="17"/>
  <c r="PU4" i="17"/>
  <c r="PS4" i="17"/>
  <c r="I4" i="17"/>
  <c r="F5" i="17"/>
  <c r="K4" i="17"/>
  <c r="CU4" i="17" s="1"/>
  <c r="G5" i="17"/>
  <c r="M5" i="17"/>
  <c r="CV5" i="17" s="1"/>
  <c r="F4" i="17"/>
  <c r="BS4" i="17"/>
  <c r="PV4" i="16"/>
  <c r="PR4" i="16"/>
  <c r="PU4" i="16"/>
  <c r="J4" i="16"/>
  <c r="N4" i="16"/>
  <c r="O4" i="16"/>
  <c r="L4" i="16"/>
  <c r="AR4" i="16"/>
  <c r="CT4" i="16"/>
  <c r="F4" i="16"/>
  <c r="PT5" i="15"/>
  <c r="I5" i="15"/>
  <c r="J5" i="15" s="1"/>
  <c r="BS5" i="15"/>
  <c r="PR5" i="15"/>
  <c r="PR4" i="15"/>
  <c r="F4" i="15"/>
  <c r="G4" i="15"/>
  <c r="EV4" i="15"/>
  <c r="PS4" i="15"/>
  <c r="PT4" i="15"/>
  <c r="CT5" i="15"/>
  <c r="JV5" i="15"/>
  <c r="KV5" i="15"/>
  <c r="LV4" i="15"/>
  <c r="MV4" i="15"/>
  <c r="OV4" i="15"/>
  <c r="PV4" i="15"/>
  <c r="K5" i="15"/>
  <c r="CU5" i="15" s="1"/>
  <c r="HV5" i="15"/>
  <c r="PS5" i="15"/>
  <c r="PV5" i="15"/>
  <c r="M4" i="15"/>
  <c r="CV4" i="15" s="1"/>
  <c r="PU4" i="15"/>
  <c r="PU5" i="15"/>
  <c r="I4" i="15"/>
  <c r="F5" i="15"/>
  <c r="M5" i="15"/>
  <c r="CV5" i="15" s="1"/>
  <c r="K4" i="15"/>
  <c r="CU4" i="15" s="1"/>
  <c r="CT4" i="15"/>
  <c r="G5" i="15"/>
  <c r="AR5" i="15"/>
  <c r="CT4" i="14"/>
  <c r="M4" i="14"/>
  <c r="N4" i="14" s="1"/>
  <c r="PT4" i="14"/>
  <c r="PR4" i="14"/>
  <c r="NV4" i="14"/>
  <c r="PS4" i="14"/>
  <c r="AR4" i="14"/>
  <c r="K4" i="14"/>
  <c r="L4" i="14" s="1"/>
  <c r="DV4" i="14"/>
  <c r="EV4" i="14"/>
  <c r="GV4" i="14"/>
  <c r="G4" i="14"/>
  <c r="OV4" i="14"/>
  <c r="PV4" i="14"/>
  <c r="LV4" i="14"/>
  <c r="MV4" i="14"/>
  <c r="PU4" i="14"/>
  <c r="F4" i="14"/>
  <c r="BS4" i="14"/>
  <c r="I4" i="14"/>
  <c r="H4" i="14" l="1"/>
  <c r="N4" i="17"/>
  <c r="CV4" i="17"/>
  <c r="H4" i="15"/>
  <c r="H5" i="17"/>
  <c r="H5" i="15"/>
  <c r="H4" i="17"/>
  <c r="PW4" i="16"/>
  <c r="H4" i="16"/>
  <c r="L5" i="17"/>
  <c r="PW4" i="17"/>
  <c r="PW5" i="17"/>
  <c r="J4" i="17"/>
  <c r="N5" i="17"/>
  <c r="O5" i="17"/>
  <c r="L4" i="17"/>
  <c r="E4" i="16"/>
  <c r="A4" i="16"/>
  <c r="Q4" i="16"/>
  <c r="P4" i="16"/>
  <c r="N4" i="15"/>
  <c r="PW4" i="15"/>
  <c r="PW5" i="15"/>
  <c r="L5" i="15"/>
  <c r="N5" i="15"/>
  <c r="O5" i="15"/>
  <c r="J4" i="15"/>
  <c r="O4" i="15"/>
  <c r="L4" i="15"/>
  <c r="PW4" i="14"/>
  <c r="J4" i="14"/>
  <c r="O4" i="17" l="1"/>
  <c r="E4" i="17" s="1"/>
  <c r="C19" i="11"/>
  <c r="D19" i="11"/>
  <c r="C20" i="11"/>
  <c r="D20" i="11"/>
  <c r="C21" i="11"/>
  <c r="D21" i="11"/>
  <c r="D18" i="11"/>
  <c r="C18" i="11"/>
  <c r="O4" i="14"/>
  <c r="E4" i="14" s="1"/>
  <c r="A4" i="14" s="1"/>
  <c r="Q5" i="17"/>
  <c r="P5" i="17"/>
  <c r="E5" i="17"/>
  <c r="E5" i="15"/>
  <c r="A5" i="15" s="1"/>
  <c r="E4" i="15"/>
  <c r="A4" i="15" s="1"/>
  <c r="Q5" i="15"/>
  <c r="P5" i="15"/>
  <c r="P4" i="15"/>
  <c r="Q4" i="15"/>
  <c r="A4" i="17" l="1"/>
  <c r="Q4" i="17"/>
  <c r="P4" i="17"/>
  <c r="A5" i="17"/>
  <c r="Q4" i="14"/>
  <c r="P4" i="14"/>
  <c r="C15" i="11"/>
  <c r="C16" i="11"/>
  <c r="C17" i="11"/>
  <c r="C14" i="11"/>
  <c r="D15" i="11"/>
  <c r="D16" i="11"/>
  <c r="D17" i="11"/>
  <c r="D14" i="11"/>
  <c r="D12" i="11"/>
  <c r="C10" i="11"/>
  <c r="D13" i="11"/>
  <c r="C11" i="11"/>
  <c r="C13" i="11"/>
  <c r="D10" i="11"/>
  <c r="C12" i="11"/>
  <c r="D11" i="11"/>
  <c r="BZ4" i="13"/>
  <c r="BY4" i="13"/>
  <c r="BW4" i="13"/>
  <c r="BV4" i="13"/>
  <c r="BU4" i="13"/>
  <c r="BT4" i="13"/>
  <c r="BS4" i="13"/>
  <c r="BZ5" i="13"/>
  <c r="BY5" i="13"/>
  <c r="BW5" i="13"/>
  <c r="BV5" i="13"/>
  <c r="BU5" i="13"/>
  <c r="BT5" i="13"/>
  <c r="BS5" i="13"/>
  <c r="BZ6" i="13"/>
  <c r="BY6" i="13"/>
  <c r="BW6" i="13"/>
  <c r="BV6" i="13"/>
  <c r="BU6" i="13"/>
  <c r="BT6" i="13"/>
  <c r="BS6" i="13"/>
  <c r="AV4" i="13"/>
  <c r="AU4" i="13"/>
  <c r="AS4" i="13"/>
  <c r="AR4" i="13"/>
  <c r="AQ4" i="13"/>
  <c r="AP4" i="13"/>
  <c r="AO4" i="13"/>
  <c r="AV5" i="13"/>
  <c r="AU5" i="13"/>
  <c r="AS5" i="13"/>
  <c r="AR5" i="13"/>
  <c r="AQ5" i="13"/>
  <c r="AP5" i="13"/>
  <c r="AO5" i="13"/>
  <c r="AV6" i="13"/>
  <c r="AU6" i="13"/>
  <c r="AS6" i="13"/>
  <c r="AR6" i="13"/>
  <c r="AQ6" i="13"/>
  <c r="AP6" i="13"/>
  <c r="AO6" i="13"/>
  <c r="BZ4" i="4"/>
  <c r="BY4" i="4"/>
  <c r="BW4" i="4"/>
  <c r="BV4" i="4"/>
  <c r="BU4" i="4"/>
  <c r="BT4" i="4"/>
  <c r="BS4" i="4"/>
  <c r="AV4" i="4"/>
  <c r="AU4" i="4"/>
  <c r="AS4" i="4"/>
  <c r="AR4" i="4"/>
  <c r="AQ4" i="4"/>
  <c r="AP4" i="4"/>
  <c r="AO4" i="4"/>
  <c r="AT4" i="4" s="1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D25" i="11" l="1"/>
  <c r="C23" i="11"/>
  <c r="C25" i="11"/>
  <c r="D24" i="11"/>
  <c r="C24" i="11"/>
  <c r="C22" i="11"/>
  <c r="D23" i="11"/>
  <c r="D22" i="11"/>
  <c r="H4" i="13"/>
  <c r="FT4" i="13"/>
  <c r="FW4" i="13" s="1"/>
  <c r="AW4" i="4"/>
  <c r="NJ4" i="13"/>
  <c r="NM4" i="13" s="1"/>
  <c r="GP4" i="13"/>
  <c r="GS4" i="13" s="1"/>
  <c r="LR4" i="13"/>
  <c r="LU4" i="13" s="1"/>
  <c r="LR5" i="13"/>
  <c r="LU5" i="13" s="1"/>
  <c r="EX5" i="13"/>
  <c r="FA5" i="13" s="1"/>
  <c r="AT6" i="13"/>
  <c r="JZ4" i="13"/>
  <c r="KC4" i="13" s="1"/>
  <c r="JZ5" i="13"/>
  <c r="KC5" i="13" s="1"/>
  <c r="HL4" i="13"/>
  <c r="HO4" i="13" s="1"/>
  <c r="NJ5" i="13"/>
  <c r="NM5" i="13" s="1"/>
  <c r="JD4" i="13"/>
  <c r="JG4" i="13" s="1"/>
  <c r="AT4" i="13"/>
  <c r="BX6" i="13"/>
  <c r="CA6" i="13" s="1"/>
  <c r="HL5" i="13"/>
  <c r="HO5" i="13" s="1"/>
  <c r="IH4" i="13"/>
  <c r="IK4" i="13" s="1"/>
  <c r="MN4" i="13"/>
  <c r="MQ4" i="13" s="1"/>
  <c r="AT5" i="13"/>
  <c r="BX5" i="13"/>
  <c r="CA5" i="13" s="1"/>
  <c r="BX4" i="13"/>
  <c r="CA4" i="13" s="1"/>
  <c r="BX4" i="4"/>
  <c r="CA4" i="4" s="1"/>
  <c r="OM4" i="13"/>
  <c r="OK4" i="13"/>
  <c r="KV4" i="13"/>
  <c r="KY4" i="13" s="1"/>
  <c r="EX4" i="13"/>
  <c r="FA4" i="13" s="1"/>
  <c r="EB4" i="13"/>
  <c r="EE4" i="13" s="1"/>
  <c r="DB4" i="13"/>
  <c r="DE4" i="13" s="1"/>
  <c r="OI4" i="13"/>
  <c r="O4" i="13"/>
  <c r="DI4" i="13" s="1"/>
  <c r="MN5" i="13"/>
  <c r="MQ5" i="13" s="1"/>
  <c r="KV5" i="13"/>
  <c r="KY5" i="13" s="1"/>
  <c r="JD5" i="13"/>
  <c r="JG5" i="13" s="1"/>
  <c r="FT5" i="13"/>
  <c r="FW5" i="13" s="1"/>
  <c r="EB5" i="13"/>
  <c r="EE5" i="13" s="1"/>
  <c r="OM5" i="13"/>
  <c r="O5" i="13"/>
  <c r="DI5" i="13" s="1"/>
  <c r="DB5" i="13"/>
  <c r="DE5" i="13" s="1"/>
  <c r="IH5" i="13"/>
  <c r="IK5" i="13" s="1"/>
  <c r="GP5" i="13"/>
  <c r="GS5" i="13" s="1"/>
  <c r="OI5" i="13"/>
  <c r="OP5" i="13"/>
  <c r="OK5" i="13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AW6" i="13" l="1"/>
  <c r="AW4" i="13"/>
  <c r="G4" i="13"/>
  <c r="F5" i="13"/>
  <c r="H5" i="13"/>
  <c r="AW5" i="13"/>
  <c r="G5" i="13"/>
  <c r="F4" i="13"/>
  <c r="FT4" i="4"/>
  <c r="EX6" i="13"/>
  <c r="FA6" i="13" s="1"/>
  <c r="MN6" i="13"/>
  <c r="MQ6" i="13" s="1"/>
  <c r="KV6" i="13"/>
  <c r="KY6" i="13" s="1"/>
  <c r="OP6" i="13"/>
  <c r="ON4" i="13"/>
  <c r="P4" i="13"/>
  <c r="I4" i="13"/>
  <c r="JZ6" i="13"/>
  <c r="KC6" i="13" s="1"/>
  <c r="GP6" i="13"/>
  <c r="GS6" i="13" s="1"/>
  <c r="JD6" i="13"/>
  <c r="JG6" i="13" s="1"/>
  <c r="NJ4" i="4"/>
  <c r="EB4" i="4"/>
  <c r="EE4" i="4" s="1"/>
  <c r="P5" i="13"/>
  <c r="I5" i="13"/>
  <c r="DH5" i="13" s="1"/>
  <c r="DB6" i="13"/>
  <c r="DE6" i="13" s="1"/>
  <c r="ON5" i="13"/>
  <c r="OQ5" i="13" s="1"/>
  <c r="IH6" i="13"/>
  <c r="IK6" i="13" s="1"/>
  <c r="FT6" i="13"/>
  <c r="FW6" i="13" s="1"/>
  <c r="LR4" i="4"/>
  <c r="LU4" i="4" s="1"/>
  <c r="FW4" i="4"/>
  <c r="JZ4" i="4"/>
  <c r="KC4" i="4" s="1"/>
  <c r="EX4" i="4"/>
  <c r="FA4" i="4" s="1"/>
  <c r="OM4" i="4"/>
  <c r="KV4" i="4"/>
  <c r="KY4" i="4" s="1"/>
  <c r="MN4" i="4"/>
  <c r="MQ4" i="4" s="1"/>
  <c r="GP4" i="4"/>
  <c r="GS4" i="4" s="1"/>
  <c r="NM4" i="4"/>
  <c r="LR6" i="13"/>
  <c r="LU6" i="13" s="1"/>
  <c r="EB6" i="13"/>
  <c r="EE6" i="13" s="1"/>
  <c r="OM6" i="13"/>
  <c r="OP4" i="13"/>
  <c r="NJ6" i="13"/>
  <c r="NM6" i="13" s="1"/>
  <c r="HL6" i="13"/>
  <c r="HO6" i="13" s="1"/>
  <c r="OI6" i="13"/>
  <c r="OK6" i="13"/>
  <c r="O6" i="13"/>
  <c r="DI6" i="13" s="1"/>
  <c r="DB4" i="4"/>
  <c r="DE4" i="4" s="1"/>
  <c r="JD4" i="4"/>
  <c r="JG4" i="4" s="1"/>
  <c r="IH4" i="4"/>
  <c r="IK4" i="4" s="1"/>
  <c r="HL4" i="4"/>
  <c r="HO4" i="4" s="1"/>
  <c r="OI4" i="4"/>
  <c r="OK4" i="4"/>
  <c r="OP4" i="4"/>
  <c r="O4" i="4"/>
  <c r="M4" i="13" l="1"/>
  <c r="DG4" i="13" s="1"/>
  <c r="DH4" i="13"/>
  <c r="F6" i="13"/>
  <c r="G6" i="13"/>
  <c r="H6" i="13"/>
  <c r="F4" i="4"/>
  <c r="G4" i="4"/>
  <c r="H4" i="4" s="1"/>
  <c r="J4" i="13"/>
  <c r="K4" i="13"/>
  <c r="DF4" i="13" s="1"/>
  <c r="K5" i="13"/>
  <c r="DF5" i="13" s="1"/>
  <c r="I6" i="13"/>
  <c r="M5" i="13"/>
  <c r="DG5" i="13" s="1"/>
  <c r="J5" i="13"/>
  <c r="ON6" i="13"/>
  <c r="OQ4" i="13" s="1"/>
  <c r="P6" i="13"/>
  <c r="P4" i="4"/>
  <c r="I4" i="4"/>
  <c r="ON4" i="4"/>
  <c r="OQ4" i="4" s="1"/>
  <c r="A4" i="4" l="1" a="1"/>
  <c r="A4" i="4" s="1"/>
  <c r="N4" i="13"/>
  <c r="J6" i="13"/>
  <c r="DH6" i="13"/>
  <c r="A6" i="13" a="1"/>
  <c r="A6" i="13" s="1"/>
  <c r="OQ6" i="13"/>
  <c r="L4" i="13"/>
  <c r="Q4" i="13"/>
  <c r="R4" i="13" s="1"/>
  <c r="N5" i="13"/>
  <c r="L5" i="13"/>
  <c r="M6" i="13"/>
  <c r="DG6" i="13" s="1"/>
  <c r="K6" i="13"/>
  <c r="Q5" i="13"/>
  <c r="M4" i="4"/>
  <c r="K4" i="4"/>
  <c r="J4" i="4"/>
  <c r="L6" i="13" l="1"/>
  <c r="DF6" i="13"/>
  <c r="Q6" i="13" s="1"/>
  <c r="E4" i="13"/>
  <c r="S4" i="13"/>
  <c r="E5" i="13"/>
  <c r="N6" i="13"/>
  <c r="S5" i="13"/>
  <c r="R5" i="13"/>
  <c r="N4" i="4"/>
  <c r="L4" i="4"/>
  <c r="Q4" i="4"/>
  <c r="E4" i="4" l="1"/>
  <c r="R6" i="13"/>
  <c r="S6" i="13"/>
  <c r="E6" i="13"/>
  <c r="A5" i="13" s="1" a="1"/>
  <c r="A5" i="13" s="1"/>
  <c r="S4" i="4"/>
  <c r="R4" i="4"/>
  <c r="A4" i="13" l="1" a="1"/>
  <c r="A4" i="13" s="1"/>
  <c r="C7" i="11" s="1"/>
  <c r="D9" i="11" l="1"/>
  <c r="C6" i="11"/>
  <c r="C9" i="11"/>
  <c r="D7" i="11"/>
  <c r="D8" i="11"/>
  <c r="C8" i="11"/>
  <c r="D6" i="11"/>
  <c r="D3" i="11" l="1"/>
  <c r="D4" i="11"/>
  <c r="C4" i="11"/>
  <c r="D5" i="11"/>
  <c r="C5" i="11"/>
  <c r="C3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<sst xmlns="http://schemas.openxmlformats.org/spreadsheetml/2006/main" count="3136" uniqueCount="92">
  <si>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</si>
  <si>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</si>
  <si>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</si>
  <si>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</si>
  <si>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</si>
  <si>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</si>
  <si>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</si>
  <si>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</si>
  <si>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</si>
  <si>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</si>
  <si>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</si>
  <si>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</si>
  <si>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</si>
  <si>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</si>
  <si>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</si>
  <si>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</si>
  <si>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</si>
  <si>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</si>
  <si>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</si>
  <si>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</si>
  <si>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</si>
  <si>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</si>
  <si>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</si>
  <si>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</si>
  <si>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</si>
  <si>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</si>
  <si>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</si>
  <si>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</si>
  <si>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</si>
  <si>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</si>
  <si>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</si>
  <si>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</si>
  <si>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</si>
  <si>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</si>
  <si>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</si>
  <si>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</si>
  <si>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</si>
  <si>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</si>
  <si>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</si>
  <si>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</si>
  <si>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</si>
  <si>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</si>
  <si>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</si>
  <si>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</si>
  <si>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</si>
  <si>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</si>
  <si>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</si>
  <si>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</si>
  <si>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</si>
  <si>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</si>
  <si>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</si>
  <si>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</si>
  <si>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</si>
  <si>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</si>
  <si>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</si>
  <si>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</si>
  <si>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</si>
  <si>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</si>
  <si>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</si>
  <si>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</si>
  <si>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</si>
  <si>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</si>
  <si>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</si>
  <si>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</si>
  <si>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</si>
  <si>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Level Empty</t>
  </si>
  <si>
    <t>ON</t>
  </si>
  <si>
    <t>AB</t>
  </si>
  <si>
    <t>ULMER, Lily-Ann</t>
  </si>
  <si>
    <t>MATTHEWS, Jared</t>
  </si>
  <si>
    <t>2021 Elite Canada</t>
  </si>
  <si>
    <t>2021 Canadian Championships</t>
  </si>
  <si>
    <t>HIGHSTEAD, Declan</t>
  </si>
  <si>
    <t>JAMES, Roshni</t>
  </si>
  <si>
    <t>ROY, Anne-Jolie</t>
  </si>
  <si>
    <t>2022 Elite Canada</t>
  </si>
  <si>
    <t>LEE-McMEEKEN, Brooklyn</t>
  </si>
  <si>
    <t>JACKSON, Claire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</si>
  <si>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</si>
  <si>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</si>
  <si>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</si>
  <si>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</si>
  <si>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</si>
  <si>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</si>
  <si>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</si>
  <si>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</si>
  <si>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</si>
  <si>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</si>
  <si>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</si>
  <si>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*Scores removed but hit standards remain for 2022 rules</t>
  </si>
  <si>
    <t>Coimbra Gym Fest</t>
  </si>
  <si>
    <t>2022 Coimbra Gym Fest (June 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</si>
</sst>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 applyAlignme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 applyAlignment="1"/>
    <xf numFmtId="0" fontId="10" fillId="7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 applyAlignment="1"/>
    <xf numFmtId="0" fontId="2" fillId="14" borderId="0" xfId="0" applyFont="1" applyFill="1" applyAlignment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164" fontId="20" fillId="15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1" fillId="16" borderId="0" xfId="0" applyFont="1" applyFill="1" applyAlignment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 applyAlignment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1" fillId="8" borderId="0" xfId="0" applyFont="1" applyFill="1"/>
    <xf numFmtId="0" fontId="2" fillId="14" borderId="0" xfId="0" applyFont="1" applyFill="1"/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17" fillId="6" borderId="0" xfId="0" applyFont="1" applyFill="1"/>
    <xf numFmtId="164" fontId="17" fillId="6" borderId="0" xfId="0" applyNumberFormat="1" applyFont="1" applyFill="1" applyAlignment="1" applyProtection="1">
      <alignment horizontal="center"/>
      <protection locked="0"/>
    </xf>
    <xf numFmtId="0" fontId="20" fillId="13" borderId="0" xfId="0" applyFont="1" applyFill="1"/>
    <xf numFmtId="164" fontId="20" fillId="13" borderId="0" xfId="0" applyNumberFormat="1" applyFont="1" applyFill="1" applyAlignment="1" applyProtection="1">
      <alignment horizontal="center"/>
      <protection locked="0"/>
    </xf>
    <xf numFmtId="164" fontId="6" fillId="0" borderId="0" xfId="0" applyNumberFormat="1" applyFont="1"/>
    <xf numFmtId="164" fontId="2" fillId="14" borderId="0" xfId="0" applyNumberFormat="1" applyFont="1" applyFill="1" applyAlignment="1" applyProtection="1">
      <alignment horizontal="center"/>
      <protection locked="0"/>
    </xf>
    <xf numFmtId="0" fontId="22" fillId="17" borderId="0" xfId="0" applyFont="1" applyFill="1"/>
    <xf numFmtId="164" fontId="22" fillId="17" borderId="0" xfId="0" applyNumberFormat="1" applyFont="1" applyFill="1" applyAlignment="1" applyProtection="1">
      <alignment horizontal="center"/>
      <protection locked="0"/>
    </xf>
    <xf numFmtId="0" fontId="23" fillId="5" borderId="0" xfId="0" applyFont="1" applyFill="1"/>
    <xf numFmtId="164" fontId="23" fillId="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0" fontId="21" fillId="16" borderId="0" xfId="0" applyFont="1" applyFill="1"/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30</v>
      </c>
      <c r="B1" t="s">
        <v>1</v>
      </c>
      <c r="C1" t="s">
        <v>32</v>
      </c>
      <c r="D1" s="67" t="s">
        <v>6</v>
      </c>
      <c r="E1" s="30"/>
      <c r="F1" s="30"/>
      <c r="J1" s="30"/>
      <c r="K1" s="30"/>
      <c r="L1" s="30"/>
    </row>
    <row r="2" spans="1:12" hidden="1" x14ac:dyDescent="0.2">
      <c r="A2" s="10" t="s">
        <v>31</v>
      </c>
      <c r="B2" s="10">
        <v>1</v>
      </c>
      <c r="C2" s="10" t="str">
        <f>IF(B2&gt;MAX('TRA-M'!A:A),"",INDEX('TRA-M'!B:B,MATCH(B2,'TRA-M'!A:A,0)))</f>
        <v/>
      </c>
      <c r="D2" s="64" t="str">
        <f>IF(B2&gt;MAX('TRA-M'!A:A),"",INDEX('TRA-M'!H:H,MATCH(B2,'TRA-M'!A:A,0)))</f>
        <v/>
      </c>
      <c r="E2" s="21"/>
      <c r="F2" s="21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64" t="str">
        <f>IF(B3&gt;MAX('TRA-M'!A:A),"",INDEX('TRA-M'!H:H,MATCH(B3,'TRA-M'!A:A,0)))</f>
        <v/>
      </c>
      <c r="E3" s="21"/>
      <c r="F3" s="21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64" t="str">
        <f>IF(B4&gt;MAX('TRA-M'!A:A),"",INDEX('TRA-M'!H:H,MATCH(B4,'TRA-M'!A:A,0)))</f>
        <v/>
      </c>
      <c r="E4" s="21"/>
      <c r="F4" s="21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64" t="str">
        <f>IF(B5&gt;MAX('TRA-M'!A:A),"",INDEX('TRA-M'!H:H,MATCH(B5,'TRA-M'!A:A,0)))</f>
        <v/>
      </c>
    </row>
    <row r="6" spans="1:12" x14ac:dyDescent="0.2">
      <c r="A6" s="13" t="s">
        <v>34</v>
      </c>
      <c r="B6" s="13">
        <v>1</v>
      </c>
      <c r="C6" s="13" t="str">
        <f>IF(B2&gt;MAX('TRA-W'!A:A),"",INDEX('TRA-W'!B:B,MATCH(B2,'TRA-W'!A:A,0)))</f>
        <v>JAMES, Roshni</v>
      </c>
      <c r="D6" s="65" t="str">
        <f>IF(B2&gt;MAX('TRA-W'!A:A),"",INDEX('TRA-W'!H:H,MATCH(B2,'TRA-W'!A:A,0)))</f>
        <v>Merit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ROY, Anne-Jolie</v>
      </c>
      <c r="D7" s="69" t="str">
        <f>IF(B3&gt;MAX('TRA-W'!A:A),"",INDEX('TRA-W'!H:H,MATCH(B3,'TRA-W'!A:A,0)))</f>
        <v>No DD</v>
      </c>
    </row>
    <row r="8" spans="1:12" hidden="1" x14ac:dyDescent="0.2">
      <c r="A8" s="13"/>
      <c r="B8" s="13">
        <v>3</v>
      </c>
      <c r="C8" s="13" t="str">
        <f>IF(B4&gt;MAX('TRA-W'!A:A),"",INDEX('TRA-W'!B:B,MATCH(B4,'TRA-W'!A:A,0)))</f>
        <v/>
      </c>
      <c r="D8" s="69" t="str">
        <f>IF(B4&gt;MAX('TRA-W'!A:A),"",INDEX('TRA-W'!H:H,MATCH(B4,'TRA-W'!A:A,0)))</f>
        <v/>
      </c>
    </row>
    <row r="9" spans="1:12" hidden="1" x14ac:dyDescent="0.2">
      <c r="A9" s="13"/>
      <c r="B9" s="13">
        <v>4</v>
      </c>
      <c r="C9" s="13" t="str">
        <f>IF(B5&gt;MAX('TRA-W'!A:A),"",INDEX('TRA-W'!B:B,MATCH(B5,'TRA-W'!A:A,0)))</f>
        <v/>
      </c>
      <c r="D9" s="69" t="str">
        <f>IF(B5&gt;MAX('TRA-W'!A:A),"",INDEX('TRA-W'!H:H,MATCH(B5,'TRA-W'!A:A,0)))</f>
        <v/>
      </c>
    </row>
    <row r="10" spans="1:12" x14ac:dyDescent="0.2">
      <c r="A10" s="10" t="s">
        <v>35</v>
      </c>
      <c r="B10" s="10">
        <v>1</v>
      </c>
      <c r="C10" s="10" t="str">
        <f>IF(B2&gt;MAX('TUM-M'!A:A),"",INDEX('TUM-M'!B:B,MATCH(B2,'TUM-M'!A:A,0)))</f>
        <v>MATTHEWS, Jared</v>
      </c>
      <c r="D10" s="64" t="str">
        <f>IF(B2&gt;MAX('TUM-M'!A:A),"",INDEX('TUM-M'!H:H,MATCH(B2,'TUM-M'!A:A,0)))</f>
        <v>Excellence</v>
      </c>
    </row>
    <row r="11" spans="1:12" hidden="1" x14ac:dyDescent="0.2">
      <c r="A11" s="10"/>
      <c r="B11" s="10">
        <v>2</v>
      </c>
      <c r="C11" s="10" t="str">
        <f>IF(B3&gt;MAX('TUM-M'!A:A),"",INDEX('TUM-M'!B:B,MATCH(B3,'TUM-M'!A:A,0)))</f>
        <v/>
      </c>
      <c r="D11" s="74" t="str">
        <f>IF(B3&gt;MAX('TUM-M'!A:A),"",INDEX('TUM-M'!H:H,MATCH(B3,'TUM-M'!A:A,0)))</f>
        <v/>
      </c>
    </row>
    <row r="12" spans="1:12" hidden="1" x14ac:dyDescent="0.2">
      <c r="A12" s="10"/>
      <c r="B12" s="10">
        <v>3</v>
      </c>
      <c r="C12" s="10" t="str">
        <f>IF(B4&gt;MAX('TUM-M'!A:A),"",INDEX('TUM-M'!B:B,MATCH(B4,'TUM-M'!A:A,0)))</f>
        <v/>
      </c>
      <c r="D12" s="74" t="str">
        <f>IF(B4&gt;MAX('TUM-M'!A:A),"",INDEX('TUM-M'!H:H,MATCH(B4,'TUM-M'!A:A,0)))</f>
        <v/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4" t="str">
        <f>IF(B5&gt;MAX('TUM-M'!A:A),"",INDEX('TUM-M'!H:H,MATCH(B5,'TUM-M'!A:A,0)))</f>
        <v/>
      </c>
    </row>
    <row r="14" spans="1:12" x14ac:dyDescent="0.2">
      <c r="A14" s="13" t="s">
        <v>36</v>
      </c>
      <c r="B14" s="13">
        <v>1</v>
      </c>
      <c r="C14" s="13" t="str">
        <f>IF(B2&gt;MAX('TUM-W'!A:A),"",INDEX('TUM-W'!B:B,MATCH(B2,'TUM-W'!A:A,0)))</f>
        <v>LEE-McMEEKEN, Brooklyn</v>
      </c>
      <c r="D14" s="65" t="str">
        <f>IF(B2&gt;MAX('TUM-W'!A:A),"",INDEX('TUM-W'!H:H,MATCH(B2,'TUM-W'!A:A,0)))</f>
        <v>Excellence</v>
      </c>
    </row>
    <row r="15" spans="1:12" hidden="1" x14ac:dyDescent="0.2">
      <c r="A15" s="13"/>
      <c r="B15" s="13">
        <v>2</v>
      </c>
      <c r="C15" s="13" t="str">
        <f>IF(B3&gt;MAX('TUM-W'!A:A),"",INDEX('TUM-W'!B:B,MATCH(B3,'TUM-W'!A:A,0)))</f>
        <v/>
      </c>
      <c r="D15" s="73" t="str">
        <f>IF(B3&gt;MAX('TUM-W'!A:A),"",INDEX('TUM-W'!H:H,MATCH(B3,'TUM-W'!A:A,0)))</f>
        <v/>
      </c>
    </row>
    <row r="16" spans="1:12" hidden="1" x14ac:dyDescent="0.2">
      <c r="A16" s="13"/>
      <c r="B16" s="13">
        <v>3</v>
      </c>
      <c r="C16" s="13" t="str">
        <f>IF(B4&gt;MAX('TUM-W'!A:A),"",INDEX('TUM-W'!B:B,MATCH(B4,'TUM-W'!A:A,0)))</f>
        <v/>
      </c>
      <c r="D16" s="73" t="str">
        <f>IF(B4&gt;MAX('TUM-W'!A:A),"",INDEX('TUM-W'!H:H,MATCH(B4,'TUM-W'!A:A,0)))</f>
        <v/>
      </c>
    </row>
    <row r="17" spans="1:5" hidden="1" x14ac:dyDescent="0.2">
      <c r="A17" s="13"/>
      <c r="B17" s="13">
        <v>4</v>
      </c>
      <c r="C17" s="13" t="str">
        <f>IF(B5&gt;MAX('TUM-W'!A:A),"",INDEX('TUM-W'!B:B,MATCH(B5,'TUM-W'!A:A,0)))</f>
        <v/>
      </c>
      <c r="D17" s="73" t="str">
        <f>IF(B5&gt;MAX('TUM-W'!A:A),"",INDEX('TUM-W'!H:H,MATCH(B5,'TUM-W'!A:A,0)))</f>
        <v/>
      </c>
    </row>
    <row r="18" spans="1:5" hidden="1" x14ac:dyDescent="0.2">
      <c r="A18" s="10" t="s">
        <v>37</v>
      </c>
      <c r="B18" s="10">
        <v>1</v>
      </c>
      <c r="C18" s="10" t="str">
        <f>IF(B2&gt;MAX('DMT-M'!A:A),"",INDEX('DMT-M'!B:B,MATCH(B2,'DMT-M'!A:A,0)))</f>
        <v/>
      </c>
      <c r="D18" s="64" t="str">
        <f>IF(B2&gt;MAX('DMT-M'!A:A),"",INDEX('DMT-M'!H:H,MATCH(B2,'DMT-M'!A:A,0)))</f>
        <v/>
      </c>
    </row>
    <row r="19" spans="1:5" hidden="1" x14ac:dyDescent="0.2">
      <c r="A19" s="10"/>
      <c r="B19" s="10">
        <v>2</v>
      </c>
      <c r="C19" s="10" t="str">
        <f>IF(B3&gt;MAX('DMT-M'!A:A),"",INDEX('DMT-M'!B:B,MATCH(B3,'DMT-M'!A:A,0)))</f>
        <v/>
      </c>
      <c r="D19" s="74" t="str">
        <f>IF(B3&gt;MAX('DMT-M'!A:A),"",INDEX('DMT-M'!H:H,MATCH(B3,'DMT-M'!A:A,0)))</f>
        <v/>
      </c>
    </row>
    <row r="20" spans="1:5" hidden="1" x14ac:dyDescent="0.2">
      <c r="A20" s="10"/>
      <c r="B20" s="10">
        <v>3</v>
      </c>
      <c r="C20" s="10" t="str">
        <f>IF(B4&gt;MAX('DMT-M'!A:A),"",INDEX('DMT-M'!B:B,MATCH(B4,'DMT-M'!A:A,0)))</f>
        <v/>
      </c>
      <c r="D20" s="74" t="str">
        <f>IF(B4&gt;MAX('DMT-M'!A:A),"",INDEX('DMT-M'!H:H,MATCH(B4,'DMT-M'!A:A,0)))</f>
        <v/>
      </c>
    </row>
    <row r="21" spans="1:5" hidden="1" x14ac:dyDescent="0.2">
      <c r="A21" s="10"/>
      <c r="B21" s="10">
        <v>4</v>
      </c>
      <c r="C21" s="10" t="str">
        <f>IF(B5&gt;MAX('DMT-M'!A:A),"",INDEX('DMT-M'!B:B,MATCH(B5,'DMT-M'!A:A,0)))</f>
        <v/>
      </c>
      <c r="D21" s="74" t="str">
        <f>IF(B5&gt;MAX('DMT-M'!A:A),"",INDEX('DMT-M'!H:H,MATCH(B5,'DMT-M'!A:A,0)))</f>
        <v/>
      </c>
    </row>
    <row r="22" spans="1:5" x14ac:dyDescent="0.2">
      <c r="A22" s="13" t="s">
        <v>38</v>
      </c>
      <c r="B22" s="13">
        <v>1</v>
      </c>
      <c r="C22" s="13" t="str">
        <f>IF(B2&gt;MAX('DMT-W'!A:A),"",INDEX('DMT-W'!B:B,MATCH(B2,'DMT-W'!A:A,0)))</f>
        <v>LEE-McMEEKEN, Brooklyn</v>
      </c>
      <c r="D22" s="65" t="str">
        <f>IF(B2&gt;MAX('DMT-W'!A:A),"",INDEX('DMT-W'!H:H,MATCH(B2,'DMT-W'!A:A,0)))</f>
        <v>Excellence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JACKSON, Claire</v>
      </c>
      <c r="D23" s="73" t="str">
        <f>IF(B3&gt;MAX('DMT-W'!A:A),"",INDEX('DMT-W'!H:H,MATCH(B3,'DMT-W'!A:A,0)))</f>
        <v>National Team</v>
      </c>
    </row>
    <row r="24" spans="1:5" hidden="1" x14ac:dyDescent="0.2">
      <c r="A24" s="13"/>
      <c r="B24" s="13">
        <v>3</v>
      </c>
      <c r="C24" s="13" t="str">
        <f>IF(B4&gt;MAX('DMT-W'!A:A),"",INDEX('DMT-W'!B:B,MATCH(B4,'DMT-W'!A:A,0)))</f>
        <v/>
      </c>
      <c r="D24" s="73" t="str">
        <f>IF(B4&gt;MAX('DMT-W'!A:A),"",INDEX('DMT-W'!H:H,MATCH(B4,'DMT-W'!A:A,0)))</f>
        <v/>
      </c>
    </row>
    <row r="25" spans="1:5" hidden="1" x14ac:dyDescent="0.2">
      <c r="A25" s="13"/>
      <c r="B25" s="13">
        <v>4</v>
      </c>
      <c r="C25" s="13" t="str">
        <f>IF(B5&gt;MAX('DMT-W'!A:A),"",INDEX('DMT-W'!B:B,MATCH(B5,'DMT-W'!A:A,0)))</f>
        <v/>
      </c>
      <c r="D25" s="73" t="str">
        <f>IF(B5&gt;MAX('DMT-W'!A:A),"",INDEX('DMT-W'!H:H,MATCH(B5,'DMT-W'!A:A,0)))</f>
        <v/>
      </c>
    </row>
    <row r="26" spans="1:5" x14ac:dyDescent="0.2">
      <c r="D26" s="67"/>
    </row>
    <row r="27" spans="1:5" x14ac:dyDescent="0.2">
      <c r="B27" s="30" t="s">
        <v>29</v>
      </c>
    </row>
    <row r="28" spans="1:5" x14ac:dyDescent="0.2">
      <c r="B28" s="30" t="s">
        <v>27</v>
      </c>
    </row>
    <row r="29" spans="1:5" x14ac:dyDescent="0.2">
      <c r="B29" s="30" t="s">
        <v>28</v>
      </c>
    </row>
    <row r="30" spans="1:5" x14ac:dyDescent="0.2">
      <c r="B30" s="21" t="s">
        <v>49</v>
      </c>
      <c r="D30" s="30" t="s">
        <v>47</v>
      </c>
    </row>
    <row r="31" spans="1:5" x14ac:dyDescent="0.2">
      <c r="B31" s="21" t="s">
        <v>57</v>
      </c>
      <c r="D31" s="30" t="s">
        <v>47</v>
      </c>
      <c r="E31" t="s">
        <v>47</v>
      </c>
    </row>
    <row r="32" spans="1:5" x14ac:dyDescent="0.2">
      <c r="B32" s="30" t="s">
        <v>48</v>
      </c>
      <c r="D32" s="30"/>
    </row>
    <row r="33" spans="1:4" x14ac:dyDescent="0.2">
      <c r="B33" s="30" t="s">
        <v>58</v>
      </c>
      <c r="D33" s="30"/>
    </row>
    <row r="34" spans="1:4" x14ac:dyDescent="0.2">
      <c r="A34" t="s">
        <v>33</v>
      </c>
      <c r="B34" s="101">
        <v>44738</v>
      </c>
      <c r="C34" s="101"/>
    </row>
    <row r="35" spans="1:4" x14ac:dyDescent="0.2">
      <c r="B35" s="54" t="s">
        <v>90</v>
      </c>
    </row>
    <row r="36" spans="1:4" x14ac:dyDescent="0.2">
      <c r="B36" s="54"/>
    </row>
    <row r="37" spans="1:4" x14ac:dyDescent="0.2">
      <c r="B37" s="30"/>
    </row>
    <row r="38" spans="1:4" x14ac:dyDescent="0.2">
      <c r="B38" s="30"/>
    </row>
    <row r="39" spans="1:4" x14ac:dyDescent="0.2">
      <c r="B39" s="30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6" t="s">
        <v>5</v>
      </c>
      <c r="H1" s="106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3" t="s">
        <v>70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5" t="s">
        <v>71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3" t="s">
        <v>75</v>
      </c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03"/>
      <c r="CV1" s="103"/>
      <c r="CW1" s="103"/>
      <c r="CX1" s="103"/>
      <c r="CY1" s="103"/>
      <c r="CZ1" s="103"/>
      <c r="DA1" s="103"/>
      <c r="DB1" s="103"/>
      <c r="DC1" s="103"/>
      <c r="DD1" s="103"/>
      <c r="DE1" s="103"/>
      <c r="DF1" s="110" t="s">
        <v>10</v>
      </c>
      <c r="DG1" s="110"/>
      <c r="DH1" s="110"/>
      <c r="DI1" s="110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103"/>
      <c r="KX1" s="103"/>
      <c r="KY1" s="103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3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3" t="s">
        <v>55</v>
      </c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</row>
    <row r="2" spans="1:407" x14ac:dyDescent="0.2">
      <c r="A2" s="106"/>
      <c r="B2" s="106"/>
      <c r="C2" s="106"/>
      <c r="D2" s="106"/>
      <c r="E2" s="106"/>
      <c r="F2" s="107"/>
      <c r="G2" s="106"/>
      <c r="H2" s="106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44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4" t="s">
        <v>15</v>
      </c>
      <c r="AY2" s="104"/>
      <c r="AZ2" s="104"/>
      <c r="BA2" s="104"/>
      <c r="BB2" s="104"/>
      <c r="BC2" s="104" t="s">
        <v>16</v>
      </c>
      <c r="BD2" s="104"/>
      <c r="BE2" s="104"/>
      <c r="BF2" s="104"/>
      <c r="BG2" s="104"/>
      <c r="BH2" s="104" t="s">
        <v>60</v>
      </c>
      <c r="BI2" s="104"/>
      <c r="BJ2" s="104"/>
      <c r="BK2" s="104"/>
      <c r="BL2" s="104"/>
      <c r="BM2" s="104" t="s">
        <v>19</v>
      </c>
      <c r="BN2" s="104"/>
      <c r="BO2" s="104"/>
      <c r="BP2" s="104"/>
      <c r="BQ2" s="104"/>
      <c r="BR2" s="43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5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22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4" t="s">
        <v>15</v>
      </c>
      <c r="EG2" s="104"/>
      <c r="EH2" s="104"/>
      <c r="EI2" s="104"/>
      <c r="EJ2" s="104"/>
      <c r="EK2" s="104" t="s">
        <v>16</v>
      </c>
      <c r="EL2" s="104"/>
      <c r="EM2" s="104"/>
      <c r="EN2" s="104"/>
      <c r="EO2" s="104"/>
      <c r="EP2" s="104" t="s">
        <v>19</v>
      </c>
      <c r="EQ2" s="104"/>
      <c r="ER2" s="104"/>
      <c r="ES2" s="104"/>
      <c r="ET2" s="104"/>
      <c r="EU2" s="23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22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4" t="s">
        <v>15</v>
      </c>
      <c r="FY2" s="104"/>
      <c r="FZ2" s="104"/>
      <c r="GA2" s="104"/>
      <c r="GB2" s="104"/>
      <c r="GC2" s="104" t="s">
        <v>16</v>
      </c>
      <c r="GD2" s="104"/>
      <c r="GE2" s="104"/>
      <c r="GF2" s="104"/>
      <c r="GG2" s="104"/>
      <c r="GH2" s="104" t="s">
        <v>19</v>
      </c>
      <c r="GI2" s="104"/>
      <c r="GJ2" s="104"/>
      <c r="GK2" s="104"/>
      <c r="GL2" s="104"/>
      <c r="GM2" s="23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22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4" t="s">
        <v>15</v>
      </c>
      <c r="HQ2" s="104"/>
      <c r="HR2" s="104"/>
      <c r="HS2" s="104"/>
      <c r="HT2" s="104"/>
      <c r="HU2" s="104" t="s">
        <v>16</v>
      </c>
      <c r="HV2" s="104"/>
      <c r="HW2" s="104"/>
      <c r="HX2" s="104"/>
      <c r="HY2" s="104"/>
      <c r="HZ2" s="104" t="s">
        <v>19</v>
      </c>
      <c r="IA2" s="104"/>
      <c r="IB2" s="104"/>
      <c r="IC2" s="104"/>
      <c r="ID2" s="104"/>
      <c r="IE2" s="23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22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4" t="s">
        <v>15</v>
      </c>
      <c r="JI2" s="104"/>
      <c r="JJ2" s="104"/>
      <c r="JK2" s="104"/>
      <c r="JL2" s="104"/>
      <c r="JM2" s="104" t="s">
        <v>16</v>
      </c>
      <c r="JN2" s="104"/>
      <c r="JO2" s="104"/>
      <c r="JP2" s="104"/>
      <c r="JQ2" s="104"/>
      <c r="JR2" s="104" t="s">
        <v>19</v>
      </c>
      <c r="JS2" s="104"/>
      <c r="JT2" s="104"/>
      <c r="JU2" s="104"/>
      <c r="JV2" s="104"/>
      <c r="JW2" s="23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22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4" t="s">
        <v>15</v>
      </c>
      <c r="LA2" s="104"/>
      <c r="LB2" s="104"/>
      <c r="LC2" s="104"/>
      <c r="LD2" s="104"/>
      <c r="LE2" s="104" t="s">
        <v>16</v>
      </c>
      <c r="LF2" s="104"/>
      <c r="LG2" s="104"/>
      <c r="LH2" s="104"/>
      <c r="LI2" s="104"/>
      <c r="LJ2" s="104" t="s">
        <v>19</v>
      </c>
      <c r="LK2" s="104"/>
      <c r="LL2" s="104"/>
      <c r="LM2" s="104"/>
      <c r="LN2" s="104"/>
      <c r="LO2" s="23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22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4" t="s">
        <v>15</v>
      </c>
      <c r="MS2" s="104"/>
      <c r="MT2" s="104"/>
      <c r="MU2" s="104"/>
      <c r="MV2" s="104"/>
      <c r="MW2" s="104" t="s">
        <v>16</v>
      </c>
      <c r="MX2" s="104"/>
      <c r="MY2" s="104"/>
      <c r="MZ2" s="104"/>
      <c r="NA2" s="104"/>
      <c r="NB2" s="104" t="s">
        <v>19</v>
      </c>
      <c r="NC2" s="104"/>
      <c r="ND2" s="104"/>
      <c r="NE2" s="104"/>
      <c r="NF2" s="104"/>
      <c r="NG2" s="23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2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6"/>
      <c r="B3" s="106"/>
      <c r="C3" s="106"/>
      <c r="D3" s="106"/>
      <c r="E3" s="106"/>
      <c r="F3" s="107"/>
      <c r="G3" s="106"/>
      <c r="H3" s="106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22" t="s">
        <v>11</v>
      </c>
      <c r="U3" s="22" t="s">
        <v>12</v>
      </c>
      <c r="V3" s="22" t="s">
        <v>4</v>
      </c>
      <c r="W3" s="22" t="s">
        <v>13</v>
      </c>
      <c r="X3" s="27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22" t="s">
        <v>11</v>
      </c>
      <c r="AE3" s="22" t="s">
        <v>12</v>
      </c>
      <c r="AF3" s="22" t="s">
        <v>4</v>
      </c>
      <c r="AG3" s="22" t="s">
        <v>13</v>
      </c>
      <c r="AH3" s="27" t="s">
        <v>22</v>
      </c>
      <c r="AI3" s="22" t="s">
        <v>11</v>
      </c>
      <c r="AJ3" s="22" t="s">
        <v>12</v>
      </c>
      <c r="AK3" s="22" t="s">
        <v>4</v>
      </c>
      <c r="AL3" s="22" t="s">
        <v>13</v>
      </c>
      <c r="AM3" s="27" t="s">
        <v>22</v>
      </c>
      <c r="AN3" s="44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23" t="s">
        <v>11</v>
      </c>
      <c r="AY3" s="23" t="s">
        <v>12</v>
      </c>
      <c r="AZ3" s="23" t="s">
        <v>4</v>
      </c>
      <c r="BA3" s="23" t="s">
        <v>13</v>
      </c>
      <c r="BB3" s="28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23" t="s">
        <v>11</v>
      </c>
      <c r="BI3" s="23" t="s">
        <v>12</v>
      </c>
      <c r="BJ3" s="23" t="s">
        <v>4</v>
      </c>
      <c r="BK3" s="23" t="s">
        <v>13</v>
      </c>
      <c r="BL3" s="28" t="s">
        <v>22</v>
      </c>
      <c r="BM3" s="23" t="s">
        <v>11</v>
      </c>
      <c r="BN3" s="23" t="s">
        <v>12</v>
      </c>
      <c r="BO3" s="23" t="s">
        <v>4</v>
      </c>
      <c r="BP3" s="28" t="s">
        <v>13</v>
      </c>
      <c r="BQ3" s="23" t="s">
        <v>22</v>
      </c>
      <c r="BR3" s="43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5" t="s">
        <v>11</v>
      </c>
      <c r="CC3" s="55" t="s">
        <v>12</v>
      </c>
      <c r="CD3" s="55" t="s">
        <v>4</v>
      </c>
      <c r="CE3" s="55" t="s">
        <v>13</v>
      </c>
      <c r="CF3" s="55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5" t="s">
        <v>11</v>
      </c>
      <c r="CM3" s="55" t="s">
        <v>12</v>
      </c>
      <c r="CN3" s="55" t="s">
        <v>4</v>
      </c>
      <c r="CO3" s="55" t="s">
        <v>13</v>
      </c>
      <c r="CP3" s="55" t="s">
        <v>22</v>
      </c>
      <c r="CQ3" s="55" t="s">
        <v>11</v>
      </c>
      <c r="CR3" s="55" t="s">
        <v>12</v>
      </c>
      <c r="CS3" s="55" t="s">
        <v>4</v>
      </c>
      <c r="CT3" s="55" t="s">
        <v>13</v>
      </c>
      <c r="CU3" s="55" t="s">
        <v>22</v>
      </c>
      <c r="CV3" s="55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22" t="s">
        <v>11</v>
      </c>
      <c r="DK3" s="22" t="s">
        <v>12</v>
      </c>
      <c r="DL3" s="22" t="s">
        <v>4</v>
      </c>
      <c r="DM3" s="22" t="s">
        <v>13</v>
      </c>
      <c r="DN3" s="27" t="s">
        <v>22</v>
      </c>
      <c r="DO3" s="22" t="s">
        <v>11</v>
      </c>
      <c r="DP3" s="22" t="s">
        <v>12</v>
      </c>
      <c r="DQ3" s="22" t="s">
        <v>4</v>
      </c>
      <c r="DR3" s="22" t="s">
        <v>13</v>
      </c>
      <c r="DS3" s="27" t="s">
        <v>22</v>
      </c>
      <c r="DT3" s="22" t="s">
        <v>11</v>
      </c>
      <c r="DU3" s="22" t="s">
        <v>12</v>
      </c>
      <c r="DV3" s="22" t="s">
        <v>4</v>
      </c>
      <c r="DW3" s="22" t="s">
        <v>13</v>
      </c>
      <c r="DX3" s="27" t="s">
        <v>22</v>
      </c>
      <c r="DY3" s="10"/>
      <c r="DZ3" s="9"/>
      <c r="EA3" s="9"/>
      <c r="EB3" s="9"/>
      <c r="EC3" s="9"/>
      <c r="ED3" s="10"/>
      <c r="EE3" s="10"/>
      <c r="EF3" s="23" t="s">
        <v>11</v>
      </c>
      <c r="EG3" s="23" t="s">
        <v>12</v>
      </c>
      <c r="EH3" s="23" t="s">
        <v>4</v>
      </c>
      <c r="EI3" s="23" t="s">
        <v>13</v>
      </c>
      <c r="EJ3" s="28" t="s">
        <v>22</v>
      </c>
      <c r="EK3" s="23" t="s">
        <v>11</v>
      </c>
      <c r="EL3" s="23" t="s">
        <v>12</v>
      </c>
      <c r="EM3" s="23" t="s">
        <v>4</v>
      </c>
      <c r="EN3" s="23" t="s">
        <v>13</v>
      </c>
      <c r="EO3" s="28" t="s">
        <v>22</v>
      </c>
      <c r="EP3" s="23" t="s">
        <v>11</v>
      </c>
      <c r="EQ3" s="23" t="s">
        <v>12</v>
      </c>
      <c r="ER3" s="23" t="s">
        <v>4</v>
      </c>
      <c r="ES3" s="23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22" t="s">
        <v>11</v>
      </c>
      <c r="FC3" s="22" t="s">
        <v>12</v>
      </c>
      <c r="FD3" s="22" t="s">
        <v>4</v>
      </c>
      <c r="FE3" s="22" t="s">
        <v>13</v>
      </c>
      <c r="FF3" s="27" t="s">
        <v>22</v>
      </c>
      <c r="FG3" s="22" t="s">
        <v>11</v>
      </c>
      <c r="FH3" s="22" t="s">
        <v>12</v>
      </c>
      <c r="FI3" s="22" t="s">
        <v>4</v>
      </c>
      <c r="FJ3" s="22" t="s">
        <v>13</v>
      </c>
      <c r="FK3" s="27" t="s">
        <v>22</v>
      </c>
      <c r="FL3" s="22" t="s">
        <v>11</v>
      </c>
      <c r="FM3" s="22" t="s">
        <v>12</v>
      </c>
      <c r="FN3" s="22" t="s">
        <v>4</v>
      </c>
      <c r="FO3" s="22" t="s">
        <v>13</v>
      </c>
      <c r="FP3" s="27" t="s">
        <v>22</v>
      </c>
      <c r="FQ3" s="10"/>
      <c r="FR3" s="9"/>
      <c r="FS3" s="9"/>
      <c r="FT3" s="9"/>
      <c r="FU3" s="9"/>
      <c r="FV3" s="10"/>
      <c r="FW3" s="10"/>
      <c r="FX3" s="23" t="s">
        <v>11</v>
      </c>
      <c r="FY3" s="23" t="s">
        <v>12</v>
      </c>
      <c r="FZ3" s="23" t="s">
        <v>4</v>
      </c>
      <c r="GA3" s="23" t="s">
        <v>13</v>
      </c>
      <c r="GB3" s="28" t="s">
        <v>22</v>
      </c>
      <c r="GC3" s="23" t="s">
        <v>11</v>
      </c>
      <c r="GD3" s="23" t="s">
        <v>12</v>
      </c>
      <c r="GE3" s="23" t="s">
        <v>4</v>
      </c>
      <c r="GF3" s="23" t="s">
        <v>13</v>
      </c>
      <c r="GG3" s="28" t="s">
        <v>22</v>
      </c>
      <c r="GH3" s="23" t="s">
        <v>11</v>
      </c>
      <c r="GI3" s="23" t="s">
        <v>12</v>
      </c>
      <c r="GJ3" s="23" t="s">
        <v>4</v>
      </c>
      <c r="GK3" s="23" t="s">
        <v>13</v>
      </c>
      <c r="GL3" s="28" t="s">
        <v>22</v>
      </c>
      <c r="GM3" s="13"/>
      <c r="GN3" s="12"/>
      <c r="GO3" s="12"/>
      <c r="GP3" s="12"/>
      <c r="GQ3" s="12"/>
      <c r="GR3" s="13"/>
      <c r="GS3" s="13"/>
      <c r="GT3" s="22" t="s">
        <v>11</v>
      </c>
      <c r="GU3" s="22" t="s">
        <v>12</v>
      </c>
      <c r="GV3" s="22" t="s">
        <v>4</v>
      </c>
      <c r="GW3" s="22" t="s">
        <v>13</v>
      </c>
      <c r="GX3" s="27" t="s">
        <v>22</v>
      </c>
      <c r="GY3" s="22" t="s">
        <v>11</v>
      </c>
      <c r="GZ3" s="22" t="s">
        <v>12</v>
      </c>
      <c r="HA3" s="22" t="s">
        <v>4</v>
      </c>
      <c r="HB3" s="22" t="s">
        <v>13</v>
      </c>
      <c r="HC3" s="27" t="s">
        <v>22</v>
      </c>
      <c r="HD3" s="22" t="s">
        <v>11</v>
      </c>
      <c r="HE3" s="22" t="s">
        <v>12</v>
      </c>
      <c r="HF3" s="22" t="s">
        <v>4</v>
      </c>
      <c r="HG3" s="22" t="s">
        <v>13</v>
      </c>
      <c r="HH3" s="27" t="s">
        <v>22</v>
      </c>
      <c r="HI3" s="10"/>
      <c r="HJ3" s="9"/>
      <c r="HK3" s="9"/>
      <c r="HL3" s="9"/>
      <c r="HM3" s="9"/>
      <c r="HN3" s="10"/>
      <c r="HO3" s="10"/>
      <c r="HP3" s="23" t="s">
        <v>11</v>
      </c>
      <c r="HQ3" s="23" t="s">
        <v>12</v>
      </c>
      <c r="HR3" s="23" t="s">
        <v>4</v>
      </c>
      <c r="HS3" s="23" t="s">
        <v>13</v>
      </c>
      <c r="HT3" s="28" t="s">
        <v>22</v>
      </c>
      <c r="HU3" s="23" t="s">
        <v>11</v>
      </c>
      <c r="HV3" s="23" t="s">
        <v>12</v>
      </c>
      <c r="HW3" s="23" t="s">
        <v>4</v>
      </c>
      <c r="HX3" s="23" t="s">
        <v>13</v>
      </c>
      <c r="HY3" s="28" t="s">
        <v>22</v>
      </c>
      <c r="HZ3" s="23" t="s">
        <v>11</v>
      </c>
      <c r="IA3" s="23" t="s">
        <v>12</v>
      </c>
      <c r="IB3" s="23" t="s">
        <v>4</v>
      </c>
      <c r="IC3" s="23" t="s">
        <v>13</v>
      </c>
      <c r="ID3" s="28" t="s">
        <v>22</v>
      </c>
      <c r="IE3" s="13"/>
      <c r="IF3" s="12"/>
      <c r="IG3" s="12"/>
      <c r="IH3" s="12"/>
      <c r="II3" s="12"/>
      <c r="IJ3" s="13"/>
      <c r="IK3" s="13"/>
      <c r="IL3" s="22" t="s">
        <v>11</v>
      </c>
      <c r="IM3" s="22" t="s">
        <v>12</v>
      </c>
      <c r="IN3" s="22" t="s">
        <v>4</v>
      </c>
      <c r="IO3" s="22" t="s">
        <v>13</v>
      </c>
      <c r="IP3" s="27" t="s">
        <v>22</v>
      </c>
      <c r="IQ3" s="22" t="s">
        <v>11</v>
      </c>
      <c r="IR3" s="22" t="s">
        <v>12</v>
      </c>
      <c r="IS3" s="22" t="s">
        <v>4</v>
      </c>
      <c r="IT3" s="22" t="s">
        <v>13</v>
      </c>
      <c r="IU3" s="27" t="s">
        <v>22</v>
      </c>
      <c r="IV3" s="22" t="s">
        <v>11</v>
      </c>
      <c r="IW3" s="22" t="s">
        <v>12</v>
      </c>
      <c r="IX3" s="22" t="s">
        <v>4</v>
      </c>
      <c r="IY3" s="22" t="s">
        <v>13</v>
      </c>
      <c r="IZ3" s="27" t="s">
        <v>22</v>
      </c>
      <c r="JA3" s="10"/>
      <c r="JB3" s="9"/>
      <c r="JC3" s="9"/>
      <c r="JD3" s="9"/>
      <c r="JE3" s="9"/>
      <c r="JF3" s="10"/>
      <c r="JG3" s="10"/>
      <c r="JH3" s="23" t="s">
        <v>11</v>
      </c>
      <c r="JI3" s="23" t="s">
        <v>12</v>
      </c>
      <c r="JJ3" s="23" t="s">
        <v>4</v>
      </c>
      <c r="JK3" s="23" t="s">
        <v>13</v>
      </c>
      <c r="JL3" s="28" t="s">
        <v>22</v>
      </c>
      <c r="JM3" s="23" t="s">
        <v>11</v>
      </c>
      <c r="JN3" s="23" t="s">
        <v>12</v>
      </c>
      <c r="JO3" s="23" t="s">
        <v>4</v>
      </c>
      <c r="JP3" s="23" t="s">
        <v>13</v>
      </c>
      <c r="JQ3" s="28" t="s">
        <v>22</v>
      </c>
      <c r="JR3" s="23" t="s">
        <v>11</v>
      </c>
      <c r="JS3" s="23" t="s">
        <v>12</v>
      </c>
      <c r="JT3" s="23" t="s">
        <v>4</v>
      </c>
      <c r="JU3" s="23" t="s">
        <v>13</v>
      </c>
      <c r="JV3" s="28" t="s">
        <v>22</v>
      </c>
      <c r="JW3" s="13"/>
      <c r="JX3" s="12"/>
      <c r="JY3" s="12"/>
      <c r="JZ3" s="12"/>
      <c r="KA3" s="12"/>
      <c r="KB3" s="13"/>
      <c r="KC3" s="13"/>
      <c r="KD3" s="22" t="s">
        <v>11</v>
      </c>
      <c r="KE3" s="22" t="s">
        <v>12</v>
      </c>
      <c r="KF3" s="22" t="s">
        <v>4</v>
      </c>
      <c r="KG3" s="22" t="s">
        <v>13</v>
      </c>
      <c r="KH3" s="27" t="s">
        <v>22</v>
      </c>
      <c r="KI3" s="22" t="s">
        <v>11</v>
      </c>
      <c r="KJ3" s="22" t="s">
        <v>12</v>
      </c>
      <c r="KK3" s="22" t="s">
        <v>4</v>
      </c>
      <c r="KL3" s="22" t="s">
        <v>13</v>
      </c>
      <c r="KM3" s="27" t="s">
        <v>22</v>
      </c>
      <c r="KN3" s="22" t="s">
        <v>11</v>
      </c>
      <c r="KO3" s="22" t="s">
        <v>12</v>
      </c>
      <c r="KP3" s="22" t="s">
        <v>4</v>
      </c>
      <c r="KQ3" s="22" t="s">
        <v>13</v>
      </c>
      <c r="KR3" s="27" t="s">
        <v>22</v>
      </c>
      <c r="KS3" s="10"/>
      <c r="KT3" s="9"/>
      <c r="KU3" s="9"/>
      <c r="KV3" s="9"/>
      <c r="KW3" s="9"/>
      <c r="KX3" s="10"/>
      <c r="KY3" s="10"/>
      <c r="KZ3" s="23" t="s">
        <v>11</v>
      </c>
      <c r="LA3" s="23" t="s">
        <v>12</v>
      </c>
      <c r="LB3" s="23" t="s">
        <v>4</v>
      </c>
      <c r="LC3" s="23" t="s">
        <v>13</v>
      </c>
      <c r="LD3" s="28" t="s">
        <v>22</v>
      </c>
      <c r="LE3" s="23" t="s">
        <v>11</v>
      </c>
      <c r="LF3" s="23" t="s">
        <v>12</v>
      </c>
      <c r="LG3" s="23" t="s">
        <v>4</v>
      </c>
      <c r="LH3" s="23" t="s">
        <v>13</v>
      </c>
      <c r="LI3" s="28" t="s">
        <v>22</v>
      </c>
      <c r="LJ3" s="23" t="s">
        <v>11</v>
      </c>
      <c r="LK3" s="23" t="s">
        <v>12</v>
      </c>
      <c r="LL3" s="23" t="s">
        <v>4</v>
      </c>
      <c r="LM3" s="23" t="s">
        <v>13</v>
      </c>
      <c r="LN3" s="28" t="s">
        <v>22</v>
      </c>
      <c r="LO3" s="13"/>
      <c r="LP3" s="12"/>
      <c r="LQ3" s="12"/>
      <c r="LR3" s="12"/>
      <c r="LS3" s="12"/>
      <c r="LT3" s="13"/>
      <c r="LU3" s="13"/>
      <c r="LV3" s="22" t="s">
        <v>11</v>
      </c>
      <c r="LW3" s="22" t="s">
        <v>12</v>
      </c>
      <c r="LX3" s="22" t="s">
        <v>4</v>
      </c>
      <c r="LY3" s="22" t="s">
        <v>13</v>
      </c>
      <c r="LZ3" s="27" t="s">
        <v>22</v>
      </c>
      <c r="MA3" s="22" t="s">
        <v>11</v>
      </c>
      <c r="MB3" s="22" t="s">
        <v>12</v>
      </c>
      <c r="MC3" s="22" t="s">
        <v>4</v>
      </c>
      <c r="MD3" s="22" t="s">
        <v>13</v>
      </c>
      <c r="ME3" s="27" t="s">
        <v>22</v>
      </c>
      <c r="MF3" s="22" t="s">
        <v>11</v>
      </c>
      <c r="MG3" s="22" t="s">
        <v>12</v>
      </c>
      <c r="MH3" s="22" t="s">
        <v>4</v>
      </c>
      <c r="MI3" s="22" t="s">
        <v>13</v>
      </c>
      <c r="MJ3" s="27" t="s">
        <v>22</v>
      </c>
      <c r="MK3" s="10"/>
      <c r="ML3" s="9"/>
      <c r="MM3" s="9"/>
      <c r="MN3" s="9"/>
      <c r="MO3" s="9"/>
      <c r="MP3" s="10"/>
      <c r="MQ3" s="10"/>
      <c r="MR3" s="23" t="s">
        <v>11</v>
      </c>
      <c r="MS3" s="23" t="s">
        <v>12</v>
      </c>
      <c r="MT3" s="23" t="s">
        <v>4</v>
      </c>
      <c r="MU3" s="23" t="s">
        <v>13</v>
      </c>
      <c r="MV3" s="28" t="s">
        <v>22</v>
      </c>
      <c r="MW3" s="23" t="s">
        <v>11</v>
      </c>
      <c r="MX3" s="23" t="s">
        <v>12</v>
      </c>
      <c r="MY3" s="23" t="s">
        <v>4</v>
      </c>
      <c r="MZ3" s="23" t="s">
        <v>13</v>
      </c>
      <c r="NA3" s="28" t="s">
        <v>22</v>
      </c>
      <c r="NB3" s="23" t="s">
        <v>11</v>
      </c>
      <c r="NC3" s="23" t="s">
        <v>12</v>
      </c>
      <c r="ND3" s="23" t="s">
        <v>4</v>
      </c>
      <c r="NE3" s="23" t="s">
        <v>13</v>
      </c>
      <c r="NF3" s="28" t="s">
        <v>22</v>
      </c>
      <c r="NG3" s="13"/>
      <c r="NH3" s="12"/>
      <c r="NI3" s="12"/>
      <c r="NJ3" s="12"/>
      <c r="NK3" s="12"/>
      <c r="NL3" s="13"/>
      <c r="NM3" s="13"/>
      <c r="NN3" s="52" t="s">
        <v>11</v>
      </c>
      <c r="NO3" s="52" t="s">
        <v>12</v>
      </c>
      <c r="NP3" s="52" t="s">
        <v>4</v>
      </c>
      <c r="NQ3" s="52" t="s">
        <v>13</v>
      </c>
      <c r="NR3" s="52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2" t="s">
        <v>11</v>
      </c>
      <c r="NY3" s="52" t="s">
        <v>12</v>
      </c>
      <c r="NZ3" s="52" t="s">
        <v>4</v>
      </c>
      <c r="OA3" s="52" t="s">
        <v>13</v>
      </c>
      <c r="OB3" s="52" t="s">
        <v>22</v>
      </c>
      <c r="OC3" s="52" t="s">
        <v>11</v>
      </c>
      <c r="OD3" s="52" t="s">
        <v>12</v>
      </c>
      <c r="OE3" s="52" t="s">
        <v>4</v>
      </c>
      <c r="OF3" s="52" t="s">
        <v>13</v>
      </c>
      <c r="OG3" s="52" t="s">
        <v>22</v>
      </c>
      <c r="OH3" s="52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t="str" cm="1">
        <f t="array" ref="A4">IF(AND(F4&lt;&gt;"",G4&lt;&gt;""),SUMPRODUCT((F$4:F$5&lt;&gt;"")*(G$4:G$5&lt;&gt;"")*(E$4:E$5&gt;E4))+1,IF(G4&lt;&gt;"",SUMPRODUCT((H$4:H$5="No DD")*(E$4:E$5&gt;E4))+1+SUMPRODUCT((F$4:F$5&lt;&gt;"")*(G$4:G$5&lt;&gt;"")),""))</f>
        <v/>
      </c>
      <c r="B4" s="8" t="s">
        <v>72</v>
      </c>
      <c r="C4" s="4" t="s">
        <v>66</v>
      </c>
      <c r="D4" s="7">
        <v>2006</v>
      </c>
      <c r="E4" s="15">
        <f>SUM(I4:Q4)</f>
        <v>227.90500000000003</v>
      </c>
      <c r="F4" s="3" t="str">
        <f>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P","")</f>
        <v/>
      </c>
      <c r="G4" s="3" t="str">
        <f>IF(OR(AND(AT4&gt;=AW$11,AO4&lt;&gt;"",AN4=""),AND(BX4&gt;=CA$11,BS4&lt;&gt;"",BR4=""),AND(DB4&gt;=DE$11,CW4&lt;&gt;"",CV4=""),AND(EB4&gt;=EE$11,DY4&lt;&gt;""),AND(EX4&gt;=FA$11,EU4&lt;&gt;""),AND(FT4&gt;=FW$11,FQ4&lt;&gt;""),AND(GP4&gt;=GS$11,GM4&lt;&gt;""),AND(HL4&gt;=HO$11,HI4&lt;&gt;""),AND(IH4&gt;=IK$11,IE4&lt;&gt;""),AND(JD4&gt;=JG$11,JA4&lt;&gt;""),AND(JZ4&gt;=KC$11,JW4&lt;&gt;""),AND(KV4&gt;=KY$11,KS4&lt;&gt;""),AND(LR4&gt;=LU$11,LO4&lt;&gt;""),AND(MN4&gt;=MQ$11,MK4&lt;&gt;""),AND(NJ4&gt;=NM$11,NG4&lt;&gt;"")),"P","")</f>
        <v/>
      </c>
      <c r="H4" s="67" t="str">
        <f>IF(OR(AND(AP4&gt;=AW$10,AQ4&gt;=AW$14,AP4&lt;&gt;"",AN4=""),AND(AU4&gt;=AW$10,AV4&gt;=AW$14,AU4&lt;&gt;"",AN4=""),AND(BT4&gt;=CA$10,BU4&gt;=CA$14,BT4&lt;&gt;"",BR4=""),AND(BY4&gt;=CA$10,BZ4&gt;=CA$14,BY4&lt;&gt;"",BR4=""),AND(CX4&gt;=DE$10,CY4&gt;=DE$14,CX4&lt;&gt;"",CV4=""),AND(DC4&gt;=DE$10,DD4&gt;=DE$14,DC4&lt;&gt;"",CV4=""),AND(DY4&gt;=EE$10,EA4&gt;=EE$14,DY4&lt;&gt;""),AND(EC4&gt;=EE$10,ED4&gt;=EE$14,EC4&lt;&gt;""),AND(EU4&gt;=FA$10,EW4&gt;=FA$14,EU4&lt;&gt;""),AND(EY4&gt;=FA$10,EZ4&gt;=FA$14,EY4&lt;&gt;""),AND(FQ4&gt;=FW$10,FS4&gt;=FW$14,FQ4&lt;&gt;""),AND(FU4&gt;=FW$10,FV4&gt;=FW$14,FU4&lt;&gt;""),AND(GM4&gt;=GS$10,GO4&gt;=GS$14,GM4&lt;&gt;""),AND(GQ4&gt;=GS$10,GR4&gt;=GS$14,GQ4&lt;&gt;""),AND(HI4&gt;=HO$10,HK4&gt;=HO$14,HI4&lt;&gt;""),AND(HM4&gt;=HO$10,HN4&gt;=HO$14,HM4&lt;&gt;""),AND(IE4&gt;=IK$10,IG4&gt;=IK$14,IE4&lt;&gt;""),AND(II4&gt;=IK$10,IJ4&gt;=IK$14,II4&lt;&gt;""),AND(JA4&gt;=JG$10,JC4&gt;=JG$14,JA4&lt;&gt;""),AND(JE4&gt;=JG$10,JF4&gt;=JG$14,JE4&lt;&gt;""),AND(JW4&gt;=KC$10,JY4&gt;=KC$14,JW4&lt;&gt;""),AND(KA4&gt;=KC$10,KB4&gt;=KC$14,KA4&lt;&gt;""),AND(KS4&gt;=KY$10,KU4&gt;=KY$14,KS4&lt;&gt;""),AND(KW4&gt;=KY$10,KX4&gt;=KY$14,KW4&lt;&gt;""),AND(LO4&gt;=LU$10,LQ4&gt;=LU$14,LO4&lt;&gt;""),AND(LS4&gt;=LU$10,LT4&gt;=LU$14,LS4&lt;&gt;""),AND(MK4&gt;=MQ$10,MM4&gt;=MQ$14,MK4&lt;&gt;""),AND(MO4&gt;=MQ$10,MP4&gt;=MQ$14,MO4&lt;&gt;""),AND(NG4&gt;=NM$10,NI4&gt;=NM$14,NG4&lt;&gt;""),AND(NK4&gt;=NM$10,NL4&gt;=NM$14,NK4&lt;&gt;"")),"Merit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Excellence",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National Team",IF(G4="P","No DD",""))))</f>
        <v/>
      </c>
      <c r="I4" s="14">
        <f>IF(MAX(AT4,BX4,DB4)&gt;0,MAX(AT4,BX4,DB4),0)</f>
        <v>91.65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36.094999999999999</v>
      </c>
      <c r="L4" s="14" t="str">
        <f>IF(K4=0,"",IF(AND(K4=CW4,$J4&lt;&gt;$CB$1),$CB$1,IF(AND(K4=BS4,$J4&lt;&gt;$AX$1),$AX$1,IF(AND(K4=AO4,$J4&lt;&gt;$T$1),$T$1,""))))</f>
        <v>2021 Canadian Championships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50.335000000000001</v>
      </c>
      <c r="N4" s="14" t="str">
        <f>IF(M4=0,"",IF(AND(OR(M4=DA4,M4=CY4),$J4&lt;&gt;$CB$1),$CB$1,IF(AND(OR(M4=BW4,M4=BU4),$J4&lt;&gt;$AX$1),$AX$1,IF(AND(OR(M4=AS4,M4=AQ4),$J4&lt;&gt;$T$1),$T$1,""))))</f>
        <v>2021 Canadian Championships</v>
      </c>
      <c r="O4" s="14">
        <f>MAX(AV4,BZ4,DD4)</f>
        <v>49.825000000000003</v>
      </c>
      <c r="P4" s="14" t="str">
        <f>IF(O4=0,"",IF(O4=DD4,$CB$1,IF(O4=BZ4,$AX$1,IF(O4=AV4,$T$1,""))))</f>
        <v>2021 Canadian Championships</v>
      </c>
      <c r="Q4" s="14" t="str">
        <f>IF(MAX(DF4,DG4,DH4,DI4)&gt;0,MAX(DF4,DG4,DH4,DI4),"")</f>
        <v/>
      </c>
      <c r="R4" s="20" t="str">
        <f>IF(Q4="","",IF(Q4=DF4,"(Vol 1)",IF(Q4=DG4,"(Vol 2)",IF(Q4=DH4,"(Prelim)",IF(Q4=DI4,"(Final)")))))</f>
        <v/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45"/>
      <c r="AO4" s="11" t="str">
        <f>IF(SUM(T4:W4)-X4&gt;0,SUM(T4:W4)-X4,"")</f>
        <v/>
      </c>
      <c r="AP4" s="11" t="str">
        <f>IF(AA4&gt;0,AA4,"")</f>
        <v/>
      </c>
      <c r="AQ4" s="11" t="str">
        <f>IF(SUM(Y4:AB4)-AC4&gt;0,SUM(Y4:AB4)-AC4,"")</f>
        <v/>
      </c>
      <c r="AR4" s="11" t="str">
        <f>IF(AF4&gt;0,AF4,"")</f>
        <v/>
      </c>
      <c r="AS4" s="11" t="str">
        <f>IF(SUM(AD4:AG4)-AH4&gt;0,SUM(AD4:AG4)-AH4,"")</f>
        <v/>
      </c>
      <c r="AT4" s="11" t="str">
        <f>IF(AO4="",IF(MAX(AQ4,AS4)&gt;0,MAX(AQ4,AS4),""),MAX(AQ4,AS4)+AO4)</f>
        <v/>
      </c>
      <c r="AU4" s="11" t="str">
        <f>IF(AK4&gt;0,AK4,"")</f>
        <v/>
      </c>
      <c r="AV4" s="11" t="str">
        <f>IF(SUM(AI4:AL4)-AM4&gt;0,SUM(AI4:AL4)-AM4,"")</f>
        <v/>
      </c>
      <c r="AW4" s="11" t="str">
        <f>IF(SUM(AT4,AV4)&gt;0,SUM(AT4,AV4),"")</f>
        <v/>
      </c>
      <c r="AX4" s="34">
        <v>13.9</v>
      </c>
      <c r="AY4" s="34">
        <v>8.6999999999999993</v>
      </c>
      <c r="AZ4" s="34">
        <v>0</v>
      </c>
      <c r="BA4" s="34">
        <v>13.494999999999999</v>
      </c>
      <c r="BB4" s="34">
        <v>0</v>
      </c>
      <c r="BC4" s="34">
        <v>15.6</v>
      </c>
      <c r="BD4" s="34">
        <v>9.6</v>
      </c>
      <c r="BE4" s="34">
        <v>9.6999999999999993</v>
      </c>
      <c r="BF4" s="34">
        <v>15.435</v>
      </c>
      <c r="BG4" s="34">
        <v>0</v>
      </c>
      <c r="BH4" s="34"/>
      <c r="BI4" s="34"/>
      <c r="BJ4" s="34"/>
      <c r="BK4" s="34"/>
      <c r="BL4" s="34"/>
      <c r="BM4" s="34">
        <v>15.4</v>
      </c>
      <c r="BN4" s="34">
        <v>9.8000000000000007</v>
      </c>
      <c r="BO4" s="34">
        <v>9.6999999999999993</v>
      </c>
      <c r="BP4" s="34">
        <v>14.925000000000001</v>
      </c>
      <c r="BQ4" s="34">
        <v>0</v>
      </c>
      <c r="BR4" s="46"/>
      <c r="BS4" s="14">
        <f>IF(SUM(AX4:BA4)-BB4&gt;0,SUM(AX4:BA4)-BB4,"")</f>
        <v>36.094999999999999</v>
      </c>
      <c r="BT4" s="14">
        <f>IF(BE4&gt;0,BE4,"")</f>
        <v>9.6999999999999993</v>
      </c>
      <c r="BU4" s="14">
        <f>IF(SUM(BC4:BF4)-BG4&gt;0,SUM(BC4:BF4)-BG4,"")</f>
        <v>50.335000000000001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86.43</v>
      </c>
      <c r="BY4" s="14">
        <f>IF(BO4&gt;0,BO4,"")</f>
        <v>9.6999999999999993</v>
      </c>
      <c r="BZ4" s="14">
        <f>IF(SUM(BM4:BP4)-BQ4&gt;0,SUM(BM4:BP4)-BQ4,"")</f>
        <v>49.825000000000003</v>
      </c>
      <c r="CA4" s="14">
        <f>IF(SUM(BX4,BZ4)&gt;0,SUM(BX4,BZ4),"")</f>
        <v>136.255</v>
      </c>
      <c r="CB4" s="38">
        <v>16.899999999999999</v>
      </c>
      <c r="CC4" s="38">
        <v>9.3000000000000007</v>
      </c>
      <c r="CD4" s="38">
        <v>0</v>
      </c>
      <c r="CE4" s="38">
        <v>15.17</v>
      </c>
      <c r="CF4" s="38">
        <v>0</v>
      </c>
      <c r="CG4" s="38">
        <v>14.7</v>
      </c>
      <c r="CH4" s="38">
        <v>9.4</v>
      </c>
      <c r="CI4" s="38">
        <v>11.2</v>
      </c>
      <c r="CJ4" s="38">
        <v>14.98</v>
      </c>
      <c r="CK4" s="38">
        <v>0</v>
      </c>
      <c r="CL4" s="38"/>
      <c r="CM4" s="38"/>
      <c r="CN4" s="38"/>
      <c r="CO4" s="38"/>
      <c r="CP4" s="38"/>
      <c r="CQ4" s="38">
        <v>14.7</v>
      </c>
      <c r="CR4" s="38">
        <v>8.8000000000000007</v>
      </c>
      <c r="CS4" s="38">
        <v>11.2</v>
      </c>
      <c r="CT4" s="38">
        <v>15.1</v>
      </c>
      <c r="CU4" s="38">
        <v>0</v>
      </c>
      <c r="CV4" s="45"/>
      <c r="CW4" s="11">
        <f>IF(SUM(CB4:CE4)-CF4&gt;0,SUM(CB4:CE4)-CF4,"")</f>
        <v>41.37</v>
      </c>
      <c r="CX4" s="11">
        <f>IF(CI4&gt;0,CI4,"")</f>
        <v>11.2</v>
      </c>
      <c r="CY4" s="11">
        <f>IF(SUM(CG4:CJ4)-CK4&gt;0,SUM(CG4:CJ4)-CK4,"")</f>
        <v>50.28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91.65</v>
      </c>
      <c r="DC4" s="11">
        <f>IF(CS4&gt;0,CS4,"")</f>
        <v>11.2</v>
      </c>
      <c r="DD4" s="11">
        <f>IF(SUM(CQ4:CT4)-CU4&gt;0,SUM(CQ4:CT4)-CU4,"")</f>
        <v>49.800000000000004</v>
      </c>
      <c r="DE4" s="11">
        <f>IF(SUM(DB4,DD4)&gt;0,SUM(DB4,DD4),"")</f>
        <v>141.45000000000002</v>
      </c>
      <c r="DF4" s="19" t="str">
        <f>IF(K4&gt;=0.001,IF(MAX(DZ4,EV4,FR4,GN4,HJ4,IF4,JB4,JX4,KT4,LP4,ML4,NH4)-IF(K4="",0,K4)&gt;0.001,MAX(DZ4,EV4,FR4,GN4,HJ4,IF4,JB4,JX4,KT4,LP4,ML4,NH4)-IF(K4="",0,K4),""),"")</f>
        <v/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11" t="str">
        <f>IF(DQ4&gt;0,DQ4,"")</f>
        <v/>
      </c>
      <c r="DZ4" s="11" t="str">
        <f>IF(SUM(DJ4:DM4)-DN4&gt;0,SUM(DJ4:DM4)-DN4,"")</f>
        <v/>
      </c>
      <c r="EA4" s="11" t="str">
        <f>IF(SUM(DO4:DR4)-DS4&gt;0,SUM(DO4:DR4)-DS4,"")</f>
        <v/>
      </c>
      <c r="EB4" s="11" t="str">
        <f>IF(SUM(DZ4:EA4)&gt;0,SUM(DZ4:EA4),"")</f>
        <v/>
      </c>
      <c r="EC4" s="11" t="str">
        <f>IF(DV4&gt;0,DV4,"")</f>
        <v/>
      </c>
      <c r="ED4" s="11" t="str">
        <f>IF(SUM(DT4:DW4)-DX4&gt;0,SUM(DT4:DW4)-DX4,"")</f>
        <v/>
      </c>
      <c r="EE4" s="11" t="str">
        <f>IF(SUM(EB4,ED4)&gt;0,SUM(EB4,ED4),"")</f>
        <v/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 t="shared" ref="NN4:NW4" si="0">IF($CV4="P",CB4,(CB4+AX4)/2)</f>
        <v>15.399999999999999</v>
      </c>
      <c r="NO4" s="38">
        <f t="shared" si="0"/>
        <v>9</v>
      </c>
      <c r="NP4" s="38">
        <f t="shared" si="0"/>
        <v>0</v>
      </c>
      <c r="NQ4" s="38">
        <f t="shared" si="0"/>
        <v>14.3325</v>
      </c>
      <c r="NR4" s="38">
        <f t="shared" si="0"/>
        <v>0</v>
      </c>
      <c r="NS4" s="38">
        <f t="shared" si="0"/>
        <v>15.149999999999999</v>
      </c>
      <c r="NT4" s="38">
        <f t="shared" si="0"/>
        <v>9.5</v>
      </c>
      <c r="NU4" s="38">
        <f t="shared" si="0"/>
        <v>10.45</v>
      </c>
      <c r="NV4" s="38">
        <f t="shared" si="0"/>
        <v>15.2075</v>
      </c>
      <c r="NW4" s="38">
        <f t="shared" si="0"/>
        <v>0</v>
      </c>
      <c r="NX4" s="38">
        <f t="shared" ref="NX4:OG4" si="1">IF($CV4="P",CL4,(CL4+BH4)/2)</f>
        <v>0</v>
      </c>
      <c r="NY4" s="38">
        <f t="shared" si="1"/>
        <v>0</v>
      </c>
      <c r="NZ4" s="38">
        <f t="shared" si="1"/>
        <v>0</v>
      </c>
      <c r="OA4" s="38">
        <f t="shared" si="1"/>
        <v>0</v>
      </c>
      <c r="OB4" s="38">
        <f t="shared" si="1"/>
        <v>0</v>
      </c>
      <c r="OC4" s="38">
        <f t="shared" si="1"/>
        <v>15.05</v>
      </c>
      <c r="OD4" s="38">
        <f t="shared" si="1"/>
        <v>9.3000000000000007</v>
      </c>
      <c r="OE4" s="38">
        <f t="shared" si="1"/>
        <v>10.45</v>
      </c>
      <c r="OF4" s="38">
        <f t="shared" si="1"/>
        <v>15.012499999999999</v>
      </c>
      <c r="OG4" s="38">
        <f t="shared" si="1"/>
        <v>0</v>
      </c>
      <c r="OH4" s="45" t="s">
        <v>44</v>
      </c>
      <c r="OI4" s="11">
        <f>IF(SUM(NN4:NQ4)-NR4&gt;0,SUM(NN4:NQ4)-NR4,"")</f>
        <v>38.732500000000002</v>
      </c>
      <c r="OJ4" s="11">
        <f>IF(NU4&gt;0,NU4,"")</f>
        <v>10.45</v>
      </c>
      <c r="OK4" s="11">
        <f>IF(SUM(NS4:NV4)-NW4&gt;0,SUM(NS4:NV4)-NW4,"")</f>
        <v>50.30749999999999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89.039999999999992</v>
      </c>
      <c r="OO4" s="11">
        <f>IF(OE4&gt;0,OE4,"")</f>
        <v>10.45</v>
      </c>
      <c r="OP4" s="11">
        <f t="shared" ref="OP4" si="2">IF(SUM(OC4:OF4)-OG4&gt;0,SUM(OC4:OF4)-OG4,"")</f>
        <v>49.8125</v>
      </c>
      <c r="OQ4" s="11">
        <f t="shared" ref="OQ4" si="3">IF(SUM(ON4,OP4)&gt;0,SUM(ON4,OP4),"")</f>
        <v>138.85249999999999</v>
      </c>
    </row>
    <row r="5" spans="1:407" x14ac:dyDescent="0.2">
      <c r="B5" s="6"/>
      <c r="D5" s="1"/>
    </row>
    <row r="7" spans="1:407" x14ac:dyDescent="0.2">
      <c r="B7" s="39" t="s">
        <v>42</v>
      </c>
      <c r="C7" s="33"/>
      <c r="AP7" s="66"/>
      <c r="AQ7" s="66"/>
      <c r="AR7" s="66"/>
      <c r="AU7" s="31"/>
      <c r="AW7" s="35">
        <v>13.5</v>
      </c>
      <c r="BT7" s="66"/>
      <c r="BU7" s="66"/>
      <c r="BV7" s="66"/>
      <c r="BY7" s="31"/>
      <c r="CA7" s="35">
        <v>13.5</v>
      </c>
      <c r="CX7" s="66"/>
      <c r="CY7" s="66"/>
      <c r="CZ7" s="66"/>
      <c r="DC7" s="31"/>
      <c r="DE7" s="35">
        <v>13.5</v>
      </c>
      <c r="DY7" s="33"/>
      <c r="EC7" s="31"/>
      <c r="EE7" s="35">
        <v>13.5</v>
      </c>
      <c r="EU7" s="33"/>
      <c r="EY7" s="31"/>
      <c r="FA7" s="35">
        <v>13.5</v>
      </c>
      <c r="FQ7" s="33"/>
      <c r="FU7" s="31"/>
      <c r="FW7" s="35">
        <v>13.5</v>
      </c>
      <c r="GM7" s="33"/>
      <c r="GQ7" s="31"/>
      <c r="GS7" s="35">
        <v>13.5</v>
      </c>
      <c r="HI7" s="33"/>
      <c r="HM7" s="31"/>
      <c r="HO7" s="35">
        <v>13.5</v>
      </c>
      <c r="IE7" s="33"/>
      <c r="II7" s="31"/>
      <c r="IK7" s="35">
        <v>13.5</v>
      </c>
      <c r="JA7" s="33"/>
      <c r="JE7" s="31"/>
      <c r="JG7" s="35">
        <v>13.5</v>
      </c>
      <c r="JW7" s="33"/>
      <c r="KA7" s="31"/>
      <c r="KC7" s="35">
        <v>13.5</v>
      </c>
      <c r="KS7" s="33"/>
      <c r="KW7" s="31"/>
      <c r="KY7" s="35">
        <v>13.5</v>
      </c>
      <c r="LO7" s="33"/>
      <c r="LS7" s="31"/>
      <c r="LU7" s="35">
        <v>13.5</v>
      </c>
      <c r="MK7" s="33"/>
      <c r="MO7" s="31"/>
      <c r="MQ7" s="35">
        <v>13.5</v>
      </c>
      <c r="NG7" s="33"/>
      <c r="NK7" s="31"/>
      <c r="NM7" s="35">
        <v>13.5</v>
      </c>
    </row>
    <row r="8" spans="1:407" hidden="1" x14ac:dyDescent="0.2">
      <c r="B8" s="48" t="s">
        <v>41</v>
      </c>
      <c r="C8" s="33"/>
      <c r="AP8" s="66"/>
      <c r="AQ8" s="66"/>
      <c r="AR8" s="66"/>
      <c r="AU8" s="31"/>
      <c r="AW8" s="53">
        <v>13.5</v>
      </c>
      <c r="BT8" s="66"/>
      <c r="BU8" s="66"/>
      <c r="BV8" s="66"/>
      <c r="BY8" s="31"/>
      <c r="CA8" s="53">
        <v>13.5</v>
      </c>
      <c r="CX8" s="66"/>
      <c r="CY8" s="66"/>
      <c r="CZ8" s="66"/>
      <c r="DC8" s="31"/>
      <c r="DE8" s="53">
        <v>13.5</v>
      </c>
      <c r="DY8" s="33"/>
      <c r="EC8" s="31"/>
      <c r="EE8" s="53">
        <v>13.5</v>
      </c>
      <c r="EU8" s="33"/>
      <c r="EY8" s="31"/>
      <c r="FA8" s="53">
        <v>13.5</v>
      </c>
      <c r="FQ8" s="33"/>
      <c r="FU8" s="31"/>
      <c r="FW8" s="53">
        <v>13.5</v>
      </c>
      <c r="GM8" s="33"/>
      <c r="GQ8" s="31"/>
      <c r="GS8" s="53">
        <v>13.5</v>
      </c>
      <c r="HI8" s="33"/>
      <c r="HM8" s="31"/>
      <c r="HO8" s="53">
        <v>13.5</v>
      </c>
      <c r="IE8" s="33"/>
      <c r="II8" s="31"/>
      <c r="IK8" s="53">
        <v>13.5</v>
      </c>
      <c r="JA8" s="33"/>
      <c r="JE8" s="31"/>
      <c r="JG8" s="53">
        <v>13.5</v>
      </c>
      <c r="JW8" s="33"/>
      <c r="KA8" s="31"/>
      <c r="KC8" s="53">
        <v>13.5</v>
      </c>
      <c r="KS8" s="33"/>
      <c r="KW8" s="31"/>
      <c r="KY8" s="53">
        <v>13.5</v>
      </c>
      <c r="LO8" s="33"/>
      <c r="LS8" s="31"/>
      <c r="LU8" s="53">
        <v>13.5</v>
      </c>
      <c r="MK8" s="33"/>
      <c r="MO8" s="31"/>
      <c r="MQ8" s="53">
        <v>13.5</v>
      </c>
      <c r="NG8" s="33"/>
      <c r="NK8" s="31"/>
      <c r="NM8" s="53">
        <v>13.5</v>
      </c>
    </row>
    <row r="9" spans="1:407" x14ac:dyDescent="0.2">
      <c r="A9" s="33"/>
      <c r="B9" s="49" t="s">
        <v>54</v>
      </c>
      <c r="C9" s="33"/>
      <c r="AP9" s="66"/>
      <c r="AQ9" s="66"/>
      <c r="AR9" s="66"/>
      <c r="AT9" s="31"/>
      <c r="AU9" s="31"/>
      <c r="AV9" s="31"/>
      <c r="AW9" s="51">
        <v>13.5</v>
      </c>
      <c r="BT9" s="66"/>
      <c r="BU9" s="66"/>
      <c r="BV9" s="66"/>
      <c r="BY9" s="31"/>
      <c r="CA9" s="51">
        <v>13.5</v>
      </c>
      <c r="CX9" s="66"/>
      <c r="CY9" s="66"/>
      <c r="CZ9" s="66"/>
      <c r="DB9" s="31"/>
      <c r="DC9" s="31"/>
      <c r="DD9" s="31"/>
      <c r="DE9" s="51">
        <v>13.5</v>
      </c>
      <c r="DY9" s="33"/>
      <c r="EC9" s="31"/>
      <c r="EE9" s="51">
        <v>13.5</v>
      </c>
      <c r="EU9" s="33"/>
      <c r="EY9" s="31"/>
      <c r="FA9" s="51">
        <v>13.5</v>
      </c>
      <c r="FQ9" s="33"/>
      <c r="FU9" s="31"/>
      <c r="FW9" s="51">
        <v>13.5</v>
      </c>
      <c r="GM9" s="33"/>
      <c r="GQ9" s="31"/>
      <c r="GS9" s="51">
        <v>13.5</v>
      </c>
      <c r="HI9" s="33"/>
      <c r="HM9" s="31"/>
      <c r="HO9" s="51">
        <v>13.5</v>
      </c>
      <c r="IE9" s="33"/>
      <c r="II9" s="31"/>
      <c r="IK9" s="51">
        <v>13.5</v>
      </c>
      <c r="JA9" s="33"/>
      <c r="JE9" s="31"/>
      <c r="JG9" s="51">
        <v>13.5</v>
      </c>
      <c r="JW9" s="33"/>
      <c r="KA9" s="31"/>
      <c r="KC9" s="51">
        <v>13.5</v>
      </c>
      <c r="KS9" s="33"/>
      <c r="KW9" s="31"/>
      <c r="KY9" s="51">
        <v>13.5</v>
      </c>
      <c r="LO9" s="33"/>
      <c r="LS9" s="31"/>
      <c r="LU9" s="51">
        <v>13.5</v>
      </c>
      <c r="MK9" s="33"/>
      <c r="MO9" s="31"/>
      <c r="MQ9" s="51">
        <v>13.5</v>
      </c>
      <c r="NG9" s="33"/>
      <c r="NK9" s="31"/>
      <c r="NM9" s="51">
        <v>13.5</v>
      </c>
    </row>
    <row r="10" spans="1:407" x14ac:dyDescent="0.2">
      <c r="A10" s="33"/>
      <c r="B10" s="62" t="s">
        <v>59</v>
      </c>
      <c r="C10" s="33"/>
      <c r="AP10" s="66"/>
      <c r="AQ10" s="66"/>
      <c r="AR10" s="66"/>
      <c r="AT10" s="31"/>
      <c r="AU10" s="31"/>
      <c r="AV10" s="31"/>
      <c r="AW10" s="63">
        <v>13.5</v>
      </c>
      <c r="BT10" s="66"/>
      <c r="BU10" s="66"/>
      <c r="BV10" s="66"/>
      <c r="BY10" s="31"/>
      <c r="CA10" s="63">
        <v>13.5</v>
      </c>
      <c r="CX10" s="66"/>
      <c r="CY10" s="66"/>
      <c r="CZ10" s="66"/>
      <c r="DB10" s="31"/>
      <c r="DC10" s="31"/>
      <c r="DD10" s="31"/>
      <c r="DE10" s="63">
        <v>13.5</v>
      </c>
      <c r="DY10" s="33"/>
      <c r="EC10" s="31"/>
      <c r="EE10" s="63">
        <v>13.5</v>
      </c>
      <c r="EU10" s="33"/>
      <c r="EY10" s="31"/>
      <c r="FA10" s="63">
        <v>13.5</v>
      </c>
      <c r="FQ10" s="33"/>
      <c r="FU10" s="31"/>
      <c r="FW10" s="63">
        <v>13.5</v>
      </c>
      <c r="GM10" s="33"/>
      <c r="GQ10" s="31"/>
      <c r="GS10" s="63">
        <v>13.5</v>
      </c>
      <c r="HI10" s="33"/>
      <c r="HM10" s="31"/>
      <c r="HO10" s="63">
        <v>13.5</v>
      </c>
      <c r="IE10" s="33"/>
      <c r="II10" s="31"/>
      <c r="IK10" s="63">
        <v>13.5</v>
      </c>
      <c r="JA10" s="33"/>
      <c r="JE10" s="31"/>
      <c r="JG10" s="63">
        <v>13.5</v>
      </c>
      <c r="JW10" s="33"/>
      <c r="KA10" s="31"/>
      <c r="KC10" s="63">
        <v>13.5</v>
      </c>
      <c r="KS10" s="33"/>
      <c r="KW10" s="31"/>
      <c r="KY10" s="63">
        <v>13.5</v>
      </c>
      <c r="LO10" s="33"/>
      <c r="LS10" s="31"/>
      <c r="LU10" s="63">
        <v>13.5</v>
      </c>
      <c r="MK10" s="33"/>
      <c r="MO10" s="31"/>
      <c r="MQ10" s="63">
        <v>13.5</v>
      </c>
      <c r="NG10" s="33"/>
      <c r="NK10" s="31"/>
      <c r="NM10" s="63">
        <v>13.5</v>
      </c>
    </row>
    <row r="11" spans="1:407" x14ac:dyDescent="0.2">
      <c r="A11" s="33"/>
      <c r="B11" s="60" t="s">
        <v>39</v>
      </c>
      <c r="C11" s="33"/>
      <c r="M11" s="2"/>
      <c r="AP11" s="66"/>
      <c r="AQ11" s="66"/>
      <c r="AR11" s="66"/>
      <c r="AT11" s="31"/>
      <c r="AU11" s="31"/>
      <c r="AV11" s="31"/>
      <c r="AW11" s="61">
        <v>96</v>
      </c>
      <c r="BT11" s="66"/>
      <c r="BU11" s="66"/>
      <c r="BV11" s="66"/>
      <c r="BY11" s="31"/>
      <c r="CA11" s="61">
        <v>96</v>
      </c>
      <c r="CX11" s="66"/>
      <c r="CY11" s="66"/>
      <c r="CZ11" s="66"/>
      <c r="DB11" s="31"/>
      <c r="DC11" s="31"/>
      <c r="DD11" s="31"/>
      <c r="DE11" s="61">
        <v>96</v>
      </c>
      <c r="DY11" s="33"/>
      <c r="EC11" s="31"/>
      <c r="EE11" s="61">
        <v>96</v>
      </c>
      <c r="EU11" s="33"/>
      <c r="EY11" s="31"/>
      <c r="FA11" s="61">
        <v>96</v>
      </c>
      <c r="FQ11" s="33"/>
      <c r="FU11" s="31"/>
      <c r="FW11" s="61">
        <v>96</v>
      </c>
      <c r="GM11" s="33"/>
      <c r="GQ11" s="31"/>
      <c r="GS11" s="61">
        <v>96</v>
      </c>
      <c r="HI11" s="33"/>
      <c r="HM11" s="31"/>
      <c r="HO11" s="61">
        <v>96</v>
      </c>
      <c r="IE11" s="33"/>
      <c r="II11" s="31"/>
      <c r="IK11" s="61">
        <v>96</v>
      </c>
      <c r="JA11" s="33"/>
      <c r="JE11" s="31"/>
      <c r="JG11" s="61">
        <v>96</v>
      </c>
      <c r="JW11" s="33"/>
      <c r="KA11" s="31"/>
      <c r="KC11" s="61">
        <v>96</v>
      </c>
      <c r="KS11" s="33"/>
      <c r="KW11" s="31"/>
      <c r="KY11" s="61">
        <v>96</v>
      </c>
      <c r="LO11" s="33"/>
      <c r="LS11" s="31"/>
      <c r="LU11" s="61">
        <v>96</v>
      </c>
      <c r="MK11" s="33"/>
      <c r="MO11" s="31"/>
      <c r="MQ11" s="61">
        <v>96</v>
      </c>
      <c r="NG11" s="33"/>
      <c r="NK11" s="31"/>
      <c r="NM11" s="61">
        <v>96</v>
      </c>
    </row>
    <row r="12" spans="1:407" hidden="1" x14ac:dyDescent="0.2">
      <c r="A12" s="33"/>
      <c r="B12" s="40" t="s">
        <v>40</v>
      </c>
      <c r="C12" s="33"/>
      <c r="M12" s="2"/>
      <c r="AP12" s="66"/>
      <c r="AQ12" s="66"/>
      <c r="AR12" s="66"/>
      <c r="AT12" s="31"/>
      <c r="AU12" s="31"/>
      <c r="AV12" s="31"/>
      <c r="AW12" s="36">
        <v>99.2</v>
      </c>
      <c r="BT12" s="66"/>
      <c r="BU12" s="66"/>
      <c r="BV12" s="66"/>
      <c r="BY12" s="31"/>
      <c r="CA12" s="36">
        <v>99.2</v>
      </c>
      <c r="CX12" s="66"/>
      <c r="CY12" s="66"/>
      <c r="CZ12" s="66"/>
      <c r="DB12" s="31"/>
      <c r="DC12" s="31"/>
      <c r="DD12" s="31"/>
      <c r="DE12" s="36">
        <v>99.2</v>
      </c>
      <c r="DY12" s="33"/>
      <c r="EC12" s="31"/>
      <c r="EE12" s="36">
        <v>99.2</v>
      </c>
      <c r="EU12" s="33"/>
      <c r="EY12" s="31"/>
      <c r="FA12" s="36">
        <v>99.2</v>
      </c>
      <c r="FQ12" s="33"/>
      <c r="FU12" s="31"/>
      <c r="FW12" s="36">
        <v>99.2</v>
      </c>
      <c r="GM12" s="33"/>
      <c r="GQ12" s="31"/>
      <c r="GS12" s="36">
        <v>99.2</v>
      </c>
      <c r="HI12" s="33"/>
      <c r="HM12" s="31"/>
      <c r="HO12" s="36">
        <v>99.2</v>
      </c>
      <c r="IE12" s="33"/>
      <c r="II12" s="31"/>
      <c r="IK12" s="36">
        <v>99.2</v>
      </c>
      <c r="JA12" s="33"/>
      <c r="JE12" s="31"/>
      <c r="JG12" s="36">
        <v>99.2</v>
      </c>
      <c r="JW12" s="33"/>
      <c r="KA12" s="31"/>
      <c r="KC12" s="36">
        <v>99.2</v>
      </c>
      <c r="KS12" s="33"/>
      <c r="KW12" s="31"/>
      <c r="KY12" s="36">
        <v>99.2</v>
      </c>
      <c r="LO12" s="33"/>
      <c r="LS12" s="31"/>
      <c r="LU12" s="36">
        <v>99.2</v>
      </c>
      <c r="MK12" s="33"/>
      <c r="MO12" s="31"/>
      <c r="MQ12" s="36">
        <v>99.2</v>
      </c>
      <c r="NG12" s="33"/>
      <c r="NK12" s="31"/>
      <c r="NM12" s="36">
        <v>99.2</v>
      </c>
    </row>
    <row r="13" spans="1:407" x14ac:dyDescent="0.2">
      <c r="A13" s="33"/>
      <c r="B13" s="58" t="s">
        <v>53</v>
      </c>
      <c r="C13" s="33"/>
      <c r="AP13" s="66"/>
      <c r="AQ13" s="66"/>
      <c r="AR13" s="66"/>
      <c r="AT13" s="31"/>
      <c r="AU13" s="31"/>
      <c r="AV13" s="31"/>
      <c r="AW13" s="59">
        <v>99.2</v>
      </c>
      <c r="BT13" s="66"/>
      <c r="BU13" s="66"/>
      <c r="BV13" s="66"/>
      <c r="BY13" s="31"/>
      <c r="BZ13" s="70"/>
      <c r="CA13" s="59">
        <v>99.2</v>
      </c>
      <c r="CX13" s="66"/>
      <c r="CY13" s="66"/>
      <c r="CZ13" s="66"/>
      <c r="DB13" s="31"/>
      <c r="DC13" s="31"/>
      <c r="DD13" s="31"/>
      <c r="DE13" s="59">
        <v>99.2</v>
      </c>
      <c r="DY13" s="33"/>
      <c r="EC13" s="31"/>
      <c r="ED13" s="70"/>
      <c r="EE13" s="59">
        <v>99.2</v>
      </c>
      <c r="EU13" s="33"/>
      <c r="EY13" s="31"/>
      <c r="FA13" s="59">
        <v>99.2</v>
      </c>
      <c r="FQ13" s="33"/>
      <c r="FU13" s="31"/>
      <c r="FW13" s="59">
        <v>99.2</v>
      </c>
      <c r="GM13" s="33"/>
      <c r="GQ13" s="31"/>
      <c r="GR13" s="70"/>
      <c r="GS13" s="59">
        <v>99.2</v>
      </c>
      <c r="HI13" s="33"/>
      <c r="HM13" s="31"/>
      <c r="HN13" s="70"/>
      <c r="HO13" s="59">
        <v>99.2</v>
      </c>
      <c r="IE13" s="33"/>
      <c r="II13" s="31"/>
      <c r="IJ13" s="70"/>
      <c r="IK13" s="59">
        <v>99.2</v>
      </c>
      <c r="JA13" s="33"/>
      <c r="JE13" s="31"/>
      <c r="JG13" s="59">
        <v>99.2</v>
      </c>
      <c r="JW13" s="33"/>
      <c r="KA13" s="31"/>
      <c r="KC13" s="59">
        <v>99.2</v>
      </c>
      <c r="KS13" s="33"/>
      <c r="KW13" s="31"/>
      <c r="KY13" s="59">
        <v>99.2</v>
      </c>
      <c r="LO13" s="33"/>
      <c r="LS13" s="31"/>
      <c r="LU13" s="59">
        <v>99.2</v>
      </c>
      <c r="MK13" s="33"/>
      <c r="MO13" s="31"/>
      <c r="MQ13" s="59">
        <v>99.2</v>
      </c>
      <c r="NG13" s="33"/>
      <c r="NK13" s="31"/>
      <c r="NM13" s="59">
        <v>99.2</v>
      </c>
    </row>
    <row r="14" spans="1:407" x14ac:dyDescent="0.2">
      <c r="A14" s="33"/>
      <c r="B14" s="41" t="s">
        <v>26</v>
      </c>
      <c r="C14" s="33"/>
      <c r="M14" s="2"/>
      <c r="AP14" s="66"/>
      <c r="AQ14" s="66"/>
      <c r="AR14" s="66"/>
      <c r="AT14" s="31"/>
      <c r="AU14" s="31"/>
      <c r="AV14" s="31"/>
      <c r="AW14" s="37">
        <v>56.7</v>
      </c>
      <c r="BT14" s="66"/>
      <c r="BU14" s="66"/>
      <c r="BV14" s="66"/>
      <c r="BY14" s="31"/>
      <c r="CA14" s="37">
        <v>56.7</v>
      </c>
      <c r="CX14" s="66"/>
      <c r="CY14" s="66"/>
      <c r="CZ14" s="66"/>
      <c r="DB14" s="31"/>
      <c r="DC14" s="31"/>
      <c r="DD14" s="31"/>
      <c r="DE14" s="37">
        <v>56</v>
      </c>
      <c r="DY14" s="33"/>
      <c r="EC14" s="31"/>
      <c r="EE14" s="37">
        <v>56</v>
      </c>
      <c r="EU14" s="33"/>
      <c r="EY14" s="31"/>
      <c r="FA14" s="37">
        <v>56</v>
      </c>
      <c r="FQ14" s="33"/>
      <c r="FU14" s="31"/>
      <c r="FW14" s="37">
        <v>56</v>
      </c>
      <c r="GM14" s="33"/>
      <c r="GQ14" s="31"/>
      <c r="GS14" s="37">
        <v>56</v>
      </c>
      <c r="HI14" s="33"/>
      <c r="HM14" s="31"/>
      <c r="HO14" s="37">
        <v>56</v>
      </c>
      <c r="IE14" s="33"/>
      <c r="II14" s="31"/>
      <c r="IJ14" s="70"/>
      <c r="IK14" s="37">
        <v>56</v>
      </c>
      <c r="JA14" s="33"/>
      <c r="JE14" s="31"/>
      <c r="JG14" s="37">
        <v>56</v>
      </c>
      <c r="JW14" s="33"/>
      <c r="KA14" s="31"/>
      <c r="KC14" s="37">
        <v>56</v>
      </c>
      <c r="KS14" s="33"/>
      <c r="KW14" s="31"/>
      <c r="KY14" s="37">
        <v>56</v>
      </c>
      <c r="LO14" s="33"/>
      <c r="LS14" s="31"/>
      <c r="LU14" s="37">
        <v>56</v>
      </c>
      <c r="MK14" s="33"/>
      <c r="MO14" s="31"/>
      <c r="MQ14" s="37">
        <v>56</v>
      </c>
      <c r="NG14" s="33"/>
      <c r="NK14" s="31"/>
      <c r="NM14" s="37">
        <v>56</v>
      </c>
    </row>
    <row r="15" spans="1:407" x14ac:dyDescent="0.2">
      <c r="B15" s="47" t="s">
        <v>45</v>
      </c>
      <c r="C15" s="2"/>
      <c r="AS15" s="31"/>
      <c r="AT15" s="31"/>
      <c r="AV15" s="31"/>
      <c r="DA15" s="31"/>
      <c r="DB15" s="31"/>
      <c r="DD15" s="31"/>
      <c r="EV15" s="31"/>
    </row>
    <row r="16" spans="1:407" x14ac:dyDescent="0.2">
      <c r="A16" s="33"/>
      <c r="B16" s="33"/>
      <c r="C16" s="32"/>
      <c r="AO16" s="31"/>
      <c r="AP16" s="31"/>
      <c r="AQ16" s="31"/>
      <c r="AR16" s="31"/>
      <c r="AS16" s="31"/>
      <c r="AT16" s="31"/>
      <c r="AV16" s="31"/>
      <c r="CW16" s="31"/>
      <c r="CX16" s="31"/>
      <c r="CY16" s="31"/>
      <c r="CZ16" s="31"/>
      <c r="DA16" s="31"/>
      <c r="DB16" s="31"/>
      <c r="DD16" s="31"/>
    </row>
    <row r="17" spans="1:108" ht="17" x14ac:dyDescent="0.2">
      <c r="A17" s="33"/>
      <c r="B17" s="33"/>
      <c r="C17" s="32"/>
      <c r="Q17" s="16"/>
      <c r="R17" s="16"/>
      <c r="AO17" s="31"/>
      <c r="AP17" s="31"/>
      <c r="AQ17" s="31"/>
      <c r="AR17" s="31"/>
      <c r="AS17" s="31"/>
      <c r="AT17" s="31"/>
      <c r="AV17" s="31"/>
      <c r="CW17" s="31"/>
      <c r="CX17" s="31"/>
      <c r="CY17" s="31"/>
      <c r="CZ17" s="31"/>
      <c r="DA17" s="31"/>
      <c r="DB17" s="31"/>
      <c r="DD17" s="31"/>
    </row>
    <row r="18" spans="1:108" ht="17" x14ac:dyDescent="0.2">
      <c r="A18" s="33"/>
      <c r="B18" s="33"/>
      <c r="C18" s="32"/>
      <c r="Q18" s="16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08" ht="17" x14ac:dyDescent="0.2">
      <c r="Q19" s="16"/>
      <c r="R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08" ht="17" x14ac:dyDescent="0.2">
      <c r="Q20" s="16"/>
      <c r="R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08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08" ht="17" x14ac:dyDescent="0.2">
      <c r="Q22" s="16"/>
      <c r="R22" s="16"/>
      <c r="S22" s="16"/>
    </row>
    <row r="23" spans="1:108" ht="17" x14ac:dyDescent="0.2">
      <c r="Q23" s="16"/>
      <c r="R23" s="16"/>
      <c r="S23" s="16"/>
    </row>
    <row r="24" spans="1:108" ht="17" x14ac:dyDescent="0.2">
      <c r="Q24" s="16"/>
      <c r="R24" s="16"/>
      <c r="S24" s="16"/>
    </row>
    <row r="25" spans="1:108" ht="17" x14ac:dyDescent="0.2">
      <c r="Q25" s="16"/>
      <c r="R25" s="16"/>
      <c r="S25" s="16"/>
    </row>
    <row r="26" spans="1:108" ht="17" x14ac:dyDescent="0.2">
      <c r="Q26" s="16"/>
      <c r="R26" s="16"/>
      <c r="S26" s="16"/>
    </row>
    <row r="27" spans="1:108" ht="17" x14ac:dyDescent="0.2">
      <c r="Q27" s="16"/>
      <c r="R27" s="16"/>
      <c r="S27" s="16"/>
    </row>
    <row r="28" spans="1:108" ht="17" x14ac:dyDescent="0.2">
      <c r="Q28" s="16"/>
      <c r="R28" s="16"/>
      <c r="S28" s="16"/>
    </row>
    <row r="29" spans="1:108" ht="17" x14ac:dyDescent="0.2">
      <c r="Q29" s="16"/>
      <c r="R29" s="16"/>
      <c r="S29" s="16"/>
    </row>
    <row r="30" spans="1:108" ht="17" x14ac:dyDescent="0.2">
      <c r="Q30" s="16"/>
      <c r="R30" s="16"/>
      <c r="S30" s="16"/>
    </row>
    <row r="31" spans="1:108" ht="17" x14ac:dyDescent="0.2">
      <c r="Q31" s="16"/>
      <c r="R31" s="16"/>
      <c r="S31" s="16"/>
    </row>
    <row r="32" spans="1:108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5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4">
    <cfRule type="expression" dxfId="181" priority="1" stopIfTrue="1">
      <formula>IF($AN4&lt;&gt;"",1,0)</formula>
    </cfRule>
  </conditionalFormatting>
  <conditionalFormatting sqref="AX4:CA4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4">
    <cfRule type="expression" dxfId="176" priority="4" stopIfTrue="1">
      <formula>IF($CV4&lt;&gt;"",1,0)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5" priority="47012" operator="between">
      <formula>AW$14</formula>
      <formula>1000</formula>
    </cfRule>
    <cfRule type="cellIs" dxfId="174" priority="47013" operator="between">
      <formula>AW$13</formula>
      <formula>AW$14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3" priority="47102" operator="between">
      <formula>AW$13</formula>
      <formula>1000</formula>
    </cfRule>
    <cfRule type="cellIs" dxfId="172" priority="47103" operator="between">
      <formula>AW$12</formula>
      <formula>AW$13</formula>
    </cfRule>
    <cfRule type="cellIs" dxfId="171" priority="47104" operator="between">
      <formula>AW$11</formula>
      <formula>AW$12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0" priority="47237" operator="between">
      <formula>AW$14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9" priority="47282" operator="between">
      <formula>EE$10</formula>
      <formula>1000</formula>
    </cfRule>
    <cfRule type="cellIs" dxfId="168" priority="47283" operator="between">
      <formula>EE$9</formula>
      <formula>EE$10</formula>
    </cfRule>
    <cfRule type="cellIs" dxfId="167" priority="47284" operator="between">
      <formula>EE$8</formula>
      <formula>EE$9</formula>
    </cfRule>
    <cfRule type="cellIs" dxfId="166" priority="47285" operator="between">
      <formula>EE$7</formula>
      <formula>EE$8</formula>
    </cfRule>
  </conditionalFormatting>
  <conditionalFormatting sqref="AP1:AP1048576 BT1:BT1048576 CX1:CX1048576">
    <cfRule type="cellIs" dxfId="165" priority="47426" operator="between">
      <formula>AW$10</formula>
      <formula>1000</formula>
    </cfRule>
    <cfRule type="cellIs" dxfId="164" priority="47427" operator="between">
      <formula>AW$9</formula>
      <formula>AW$10</formula>
    </cfRule>
    <cfRule type="cellIs" dxfId="163" priority="47428" operator="between">
      <formula>AW$8</formula>
      <formula>AW$9</formula>
    </cfRule>
    <cfRule type="cellIs" dxfId="162" priority="47429" operator="between">
      <formula>AW$7</formula>
      <formula>AW$8</formula>
    </cfRule>
  </conditionalFormatting>
  <conditionalFormatting sqref="AQ1:AQ1048576 BU1:BU1048576 CY1:CY1048576">
    <cfRule type="cellIs" dxfId="161" priority="47462" operator="between">
      <formula>AW$14</formula>
      <formula>1000</formula>
    </cfRule>
  </conditionalFormatting>
  <conditionalFormatting sqref="AR1:AR1048576 BV1:BV1048576 CZ1:CZ1048576">
    <cfRule type="cellIs" dxfId="160" priority="47471" operator="between">
      <formula>AW$10</formula>
      <formula>1000</formula>
    </cfRule>
    <cfRule type="cellIs" dxfId="159" priority="47472" operator="between">
      <formula>AW$9</formula>
      <formula>AW$10</formula>
    </cfRule>
    <cfRule type="cellIs" dxfId="158" priority="47473" operator="between">
      <formula>AW$8</formula>
      <formula>AW$9</formula>
    </cfRule>
    <cfRule type="cellIs" dxfId="157" priority="47474" operator="between">
      <formula>AW$7</formula>
      <formula>AW$8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6" priority="47507" operator="between">
      <formula>AW$10</formula>
      <formula>1000</formula>
    </cfRule>
    <cfRule type="cellIs" dxfId="155" priority="47508" operator="between">
      <formula>AW$9</formula>
      <formula>AW$10</formula>
    </cfRule>
    <cfRule type="cellIs" dxfId="154" priority="47509" operator="between">
      <formula>AW$8</formula>
      <formula>AW$9</formula>
    </cfRule>
    <cfRule type="cellIs" dxfId="153" priority="47510" operator="between">
      <formula>AW$7</formula>
      <formula>AW$8</formula>
    </cfRule>
  </conditionalFormatting>
  <conditionalFormatting sqref="A1:A1048576">
    <cfRule type="expression" dxfId="152" priority="48704">
      <formula>AND(#REF!&lt;&gt;"",G1="")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style="100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6" t="s">
        <v>5</v>
      </c>
      <c r="H1" s="106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3" t="s">
        <v>70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5" t="s">
        <v>71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3" t="s">
        <v>75</v>
      </c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03"/>
      <c r="CV1" s="103"/>
      <c r="CW1" s="103"/>
      <c r="CX1" s="103"/>
      <c r="CY1" s="103"/>
      <c r="CZ1" s="103"/>
      <c r="DA1" s="103"/>
      <c r="DB1" s="103"/>
      <c r="DC1" s="103"/>
      <c r="DD1" s="103"/>
      <c r="DE1" s="103"/>
      <c r="DF1" s="110" t="s">
        <v>10</v>
      </c>
      <c r="DG1" s="110"/>
      <c r="DH1" s="110"/>
      <c r="DI1" s="110"/>
      <c r="DJ1" s="103" t="s">
        <v>91</v>
      </c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103"/>
      <c r="KX1" s="103"/>
      <c r="KY1" s="103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3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3" t="s">
        <v>55</v>
      </c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</row>
    <row r="2" spans="1:407" x14ac:dyDescent="0.2">
      <c r="A2" s="106"/>
      <c r="B2" s="106"/>
      <c r="C2" s="106"/>
      <c r="D2" s="106"/>
      <c r="E2" s="106"/>
      <c r="F2" s="107"/>
      <c r="G2" s="106"/>
      <c r="H2" s="106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56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4" t="s">
        <v>15</v>
      </c>
      <c r="AY2" s="104"/>
      <c r="AZ2" s="104"/>
      <c r="BA2" s="104"/>
      <c r="BB2" s="104"/>
      <c r="BC2" s="104" t="s">
        <v>16</v>
      </c>
      <c r="BD2" s="104"/>
      <c r="BE2" s="104"/>
      <c r="BF2" s="104"/>
      <c r="BG2" s="104"/>
      <c r="BH2" s="104" t="s">
        <v>60</v>
      </c>
      <c r="BI2" s="104"/>
      <c r="BJ2" s="104"/>
      <c r="BK2" s="104"/>
      <c r="BL2" s="104"/>
      <c r="BM2" s="104" t="s">
        <v>19</v>
      </c>
      <c r="BN2" s="104"/>
      <c r="BO2" s="104"/>
      <c r="BP2" s="104"/>
      <c r="BQ2" s="104"/>
      <c r="BR2" s="57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6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56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4" t="s">
        <v>15</v>
      </c>
      <c r="EG2" s="104"/>
      <c r="EH2" s="104"/>
      <c r="EI2" s="104"/>
      <c r="EJ2" s="104"/>
      <c r="EK2" s="104" t="s">
        <v>16</v>
      </c>
      <c r="EL2" s="104"/>
      <c r="EM2" s="104"/>
      <c r="EN2" s="104"/>
      <c r="EO2" s="104"/>
      <c r="EP2" s="104" t="s">
        <v>19</v>
      </c>
      <c r="EQ2" s="104"/>
      <c r="ER2" s="104"/>
      <c r="ES2" s="104"/>
      <c r="ET2" s="104"/>
      <c r="EU2" s="57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56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4" t="s">
        <v>15</v>
      </c>
      <c r="FY2" s="104"/>
      <c r="FZ2" s="104"/>
      <c r="GA2" s="104"/>
      <c r="GB2" s="104"/>
      <c r="GC2" s="104" t="s">
        <v>16</v>
      </c>
      <c r="GD2" s="104"/>
      <c r="GE2" s="104"/>
      <c r="GF2" s="104"/>
      <c r="GG2" s="104"/>
      <c r="GH2" s="104" t="s">
        <v>19</v>
      </c>
      <c r="GI2" s="104"/>
      <c r="GJ2" s="104"/>
      <c r="GK2" s="104"/>
      <c r="GL2" s="104"/>
      <c r="GM2" s="57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56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4" t="s">
        <v>15</v>
      </c>
      <c r="HQ2" s="104"/>
      <c r="HR2" s="104"/>
      <c r="HS2" s="104"/>
      <c r="HT2" s="104"/>
      <c r="HU2" s="104" t="s">
        <v>16</v>
      </c>
      <c r="HV2" s="104"/>
      <c r="HW2" s="104"/>
      <c r="HX2" s="104"/>
      <c r="HY2" s="104"/>
      <c r="HZ2" s="104" t="s">
        <v>19</v>
      </c>
      <c r="IA2" s="104"/>
      <c r="IB2" s="104"/>
      <c r="IC2" s="104"/>
      <c r="ID2" s="104"/>
      <c r="IE2" s="57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56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4" t="s">
        <v>15</v>
      </c>
      <c r="JI2" s="104"/>
      <c r="JJ2" s="104"/>
      <c r="JK2" s="104"/>
      <c r="JL2" s="104"/>
      <c r="JM2" s="104" t="s">
        <v>16</v>
      </c>
      <c r="JN2" s="104"/>
      <c r="JO2" s="104"/>
      <c r="JP2" s="104"/>
      <c r="JQ2" s="104"/>
      <c r="JR2" s="104" t="s">
        <v>19</v>
      </c>
      <c r="JS2" s="104"/>
      <c r="JT2" s="104"/>
      <c r="JU2" s="104"/>
      <c r="JV2" s="104"/>
      <c r="JW2" s="57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56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4" t="s">
        <v>15</v>
      </c>
      <c r="LA2" s="104"/>
      <c r="LB2" s="104"/>
      <c r="LC2" s="104"/>
      <c r="LD2" s="104"/>
      <c r="LE2" s="104" t="s">
        <v>16</v>
      </c>
      <c r="LF2" s="104"/>
      <c r="LG2" s="104"/>
      <c r="LH2" s="104"/>
      <c r="LI2" s="104"/>
      <c r="LJ2" s="104" t="s">
        <v>19</v>
      </c>
      <c r="LK2" s="104"/>
      <c r="LL2" s="104"/>
      <c r="LM2" s="104"/>
      <c r="LN2" s="104"/>
      <c r="LO2" s="57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56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4" t="s">
        <v>15</v>
      </c>
      <c r="MS2" s="104"/>
      <c r="MT2" s="104"/>
      <c r="MU2" s="104"/>
      <c r="MV2" s="104"/>
      <c r="MW2" s="104" t="s">
        <v>16</v>
      </c>
      <c r="MX2" s="104"/>
      <c r="MY2" s="104"/>
      <c r="MZ2" s="104"/>
      <c r="NA2" s="104"/>
      <c r="NB2" s="104" t="s">
        <v>19</v>
      </c>
      <c r="NC2" s="104"/>
      <c r="ND2" s="104"/>
      <c r="NE2" s="104"/>
      <c r="NF2" s="104"/>
      <c r="NG2" s="57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6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6"/>
      <c r="B3" s="106"/>
      <c r="C3" s="106"/>
      <c r="D3" s="106"/>
      <c r="E3" s="106"/>
      <c r="F3" s="107"/>
      <c r="G3" s="106"/>
      <c r="H3" s="106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56" t="s">
        <v>11</v>
      </c>
      <c r="U3" s="56" t="s">
        <v>12</v>
      </c>
      <c r="V3" s="56" t="s">
        <v>4</v>
      </c>
      <c r="W3" s="56" t="s">
        <v>13</v>
      </c>
      <c r="X3" s="56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56" t="s">
        <v>11</v>
      </c>
      <c r="AE3" s="56" t="s">
        <v>12</v>
      </c>
      <c r="AF3" s="56" t="s">
        <v>4</v>
      </c>
      <c r="AG3" s="56" t="s">
        <v>13</v>
      </c>
      <c r="AH3" s="56" t="s">
        <v>22</v>
      </c>
      <c r="AI3" s="56" t="s">
        <v>11</v>
      </c>
      <c r="AJ3" s="56" t="s">
        <v>12</v>
      </c>
      <c r="AK3" s="56" t="s">
        <v>4</v>
      </c>
      <c r="AL3" s="56" t="s">
        <v>13</v>
      </c>
      <c r="AM3" s="56" t="s">
        <v>22</v>
      </c>
      <c r="AN3" s="56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57" t="s">
        <v>11</v>
      </c>
      <c r="AY3" s="57" t="s">
        <v>12</v>
      </c>
      <c r="AZ3" s="57" t="s">
        <v>4</v>
      </c>
      <c r="BA3" s="57" t="s">
        <v>13</v>
      </c>
      <c r="BB3" s="57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57" t="s">
        <v>11</v>
      </c>
      <c r="BI3" s="57" t="s">
        <v>12</v>
      </c>
      <c r="BJ3" s="57" t="s">
        <v>4</v>
      </c>
      <c r="BK3" s="57" t="s">
        <v>13</v>
      </c>
      <c r="BL3" s="57" t="s">
        <v>22</v>
      </c>
      <c r="BM3" s="57" t="s">
        <v>11</v>
      </c>
      <c r="BN3" s="57" t="s">
        <v>12</v>
      </c>
      <c r="BO3" s="57" t="s">
        <v>4</v>
      </c>
      <c r="BP3" s="57" t="s">
        <v>13</v>
      </c>
      <c r="BQ3" s="57" t="s">
        <v>22</v>
      </c>
      <c r="BR3" s="57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6" t="s">
        <v>11</v>
      </c>
      <c r="CC3" s="56" t="s">
        <v>12</v>
      </c>
      <c r="CD3" s="56" t="s">
        <v>4</v>
      </c>
      <c r="CE3" s="56" t="s">
        <v>13</v>
      </c>
      <c r="CF3" s="56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6" t="s">
        <v>11</v>
      </c>
      <c r="CM3" s="56" t="s">
        <v>12</v>
      </c>
      <c r="CN3" s="56" t="s">
        <v>4</v>
      </c>
      <c r="CO3" s="56" t="s">
        <v>13</v>
      </c>
      <c r="CP3" s="56" t="s">
        <v>22</v>
      </c>
      <c r="CQ3" s="56" t="s">
        <v>11</v>
      </c>
      <c r="CR3" s="56" t="s">
        <v>12</v>
      </c>
      <c r="CS3" s="56" t="s">
        <v>4</v>
      </c>
      <c r="CT3" s="56" t="s">
        <v>13</v>
      </c>
      <c r="CU3" s="56" t="s">
        <v>22</v>
      </c>
      <c r="CV3" s="56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56" t="s">
        <v>11</v>
      </c>
      <c r="DK3" s="56" t="s">
        <v>12</v>
      </c>
      <c r="DL3" s="56" t="s">
        <v>4</v>
      </c>
      <c r="DM3" s="56" t="s">
        <v>13</v>
      </c>
      <c r="DN3" s="56" t="s">
        <v>22</v>
      </c>
      <c r="DO3" s="56" t="s">
        <v>11</v>
      </c>
      <c r="DP3" s="56" t="s">
        <v>12</v>
      </c>
      <c r="DQ3" s="56" t="s">
        <v>4</v>
      </c>
      <c r="DR3" s="56" t="s">
        <v>13</v>
      </c>
      <c r="DS3" s="56" t="s">
        <v>22</v>
      </c>
      <c r="DT3" s="56" t="s">
        <v>11</v>
      </c>
      <c r="DU3" s="56" t="s">
        <v>12</v>
      </c>
      <c r="DV3" s="56" t="s">
        <v>4</v>
      </c>
      <c r="DW3" s="56" t="s">
        <v>13</v>
      </c>
      <c r="DX3" s="56" t="s">
        <v>22</v>
      </c>
      <c r="DY3" s="10"/>
      <c r="DZ3" s="9"/>
      <c r="EA3" s="9"/>
      <c r="EB3" s="9"/>
      <c r="EC3" s="9"/>
      <c r="ED3" s="10"/>
      <c r="EE3" s="10"/>
      <c r="EF3" s="57" t="s">
        <v>11</v>
      </c>
      <c r="EG3" s="57" t="s">
        <v>12</v>
      </c>
      <c r="EH3" s="57" t="s">
        <v>4</v>
      </c>
      <c r="EI3" s="57" t="s">
        <v>13</v>
      </c>
      <c r="EJ3" s="57" t="s">
        <v>22</v>
      </c>
      <c r="EK3" s="57" t="s">
        <v>11</v>
      </c>
      <c r="EL3" s="57" t="s">
        <v>12</v>
      </c>
      <c r="EM3" s="57" t="s">
        <v>4</v>
      </c>
      <c r="EN3" s="57" t="s">
        <v>13</v>
      </c>
      <c r="EO3" s="57" t="s">
        <v>22</v>
      </c>
      <c r="EP3" s="57" t="s">
        <v>11</v>
      </c>
      <c r="EQ3" s="57" t="s">
        <v>12</v>
      </c>
      <c r="ER3" s="57" t="s">
        <v>4</v>
      </c>
      <c r="ES3" s="57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56" t="s">
        <v>11</v>
      </c>
      <c r="FC3" s="56" t="s">
        <v>12</v>
      </c>
      <c r="FD3" s="56" t="s">
        <v>4</v>
      </c>
      <c r="FE3" s="56" t="s">
        <v>13</v>
      </c>
      <c r="FF3" s="56" t="s">
        <v>22</v>
      </c>
      <c r="FG3" s="56" t="s">
        <v>11</v>
      </c>
      <c r="FH3" s="56" t="s">
        <v>12</v>
      </c>
      <c r="FI3" s="56" t="s">
        <v>4</v>
      </c>
      <c r="FJ3" s="56" t="s">
        <v>13</v>
      </c>
      <c r="FK3" s="56" t="s">
        <v>22</v>
      </c>
      <c r="FL3" s="56" t="s">
        <v>11</v>
      </c>
      <c r="FM3" s="56" t="s">
        <v>12</v>
      </c>
      <c r="FN3" s="56" t="s">
        <v>4</v>
      </c>
      <c r="FO3" s="56" t="s">
        <v>13</v>
      </c>
      <c r="FP3" s="56" t="s">
        <v>22</v>
      </c>
      <c r="FQ3" s="10"/>
      <c r="FR3" s="9"/>
      <c r="FS3" s="9"/>
      <c r="FT3" s="9"/>
      <c r="FU3" s="9"/>
      <c r="FV3" s="10"/>
      <c r="FW3" s="10"/>
      <c r="FX3" s="57" t="s">
        <v>11</v>
      </c>
      <c r="FY3" s="57" t="s">
        <v>12</v>
      </c>
      <c r="FZ3" s="57" t="s">
        <v>4</v>
      </c>
      <c r="GA3" s="57" t="s">
        <v>13</v>
      </c>
      <c r="GB3" s="57" t="s">
        <v>22</v>
      </c>
      <c r="GC3" s="57" t="s">
        <v>11</v>
      </c>
      <c r="GD3" s="57" t="s">
        <v>12</v>
      </c>
      <c r="GE3" s="57" t="s">
        <v>4</v>
      </c>
      <c r="GF3" s="57" t="s">
        <v>13</v>
      </c>
      <c r="GG3" s="57" t="s">
        <v>22</v>
      </c>
      <c r="GH3" s="57" t="s">
        <v>11</v>
      </c>
      <c r="GI3" s="57" t="s">
        <v>12</v>
      </c>
      <c r="GJ3" s="57" t="s">
        <v>4</v>
      </c>
      <c r="GK3" s="57" t="s">
        <v>13</v>
      </c>
      <c r="GL3" s="57" t="s">
        <v>22</v>
      </c>
      <c r="GM3" s="13"/>
      <c r="GN3" s="12"/>
      <c r="GO3" s="12"/>
      <c r="GP3" s="12"/>
      <c r="GQ3" s="12"/>
      <c r="GR3" s="13"/>
      <c r="GS3" s="13"/>
      <c r="GT3" s="56" t="s">
        <v>11</v>
      </c>
      <c r="GU3" s="56" t="s">
        <v>12</v>
      </c>
      <c r="GV3" s="56" t="s">
        <v>4</v>
      </c>
      <c r="GW3" s="56" t="s">
        <v>13</v>
      </c>
      <c r="GX3" s="56" t="s">
        <v>22</v>
      </c>
      <c r="GY3" s="56" t="s">
        <v>11</v>
      </c>
      <c r="GZ3" s="56" t="s">
        <v>12</v>
      </c>
      <c r="HA3" s="56" t="s">
        <v>4</v>
      </c>
      <c r="HB3" s="56" t="s">
        <v>13</v>
      </c>
      <c r="HC3" s="56" t="s">
        <v>22</v>
      </c>
      <c r="HD3" s="56" t="s">
        <v>11</v>
      </c>
      <c r="HE3" s="56" t="s">
        <v>12</v>
      </c>
      <c r="HF3" s="56" t="s">
        <v>4</v>
      </c>
      <c r="HG3" s="56" t="s">
        <v>13</v>
      </c>
      <c r="HH3" s="56" t="s">
        <v>22</v>
      </c>
      <c r="HI3" s="10"/>
      <c r="HJ3" s="9"/>
      <c r="HK3" s="9"/>
      <c r="HL3" s="9"/>
      <c r="HM3" s="9"/>
      <c r="HN3" s="10"/>
      <c r="HO3" s="10"/>
      <c r="HP3" s="57" t="s">
        <v>11</v>
      </c>
      <c r="HQ3" s="57" t="s">
        <v>12</v>
      </c>
      <c r="HR3" s="57" t="s">
        <v>4</v>
      </c>
      <c r="HS3" s="57" t="s">
        <v>13</v>
      </c>
      <c r="HT3" s="57" t="s">
        <v>22</v>
      </c>
      <c r="HU3" s="57" t="s">
        <v>11</v>
      </c>
      <c r="HV3" s="57" t="s">
        <v>12</v>
      </c>
      <c r="HW3" s="57" t="s">
        <v>4</v>
      </c>
      <c r="HX3" s="57" t="s">
        <v>13</v>
      </c>
      <c r="HY3" s="57" t="s">
        <v>22</v>
      </c>
      <c r="HZ3" s="57" t="s">
        <v>11</v>
      </c>
      <c r="IA3" s="57" t="s">
        <v>12</v>
      </c>
      <c r="IB3" s="57" t="s">
        <v>4</v>
      </c>
      <c r="IC3" s="57" t="s">
        <v>13</v>
      </c>
      <c r="ID3" s="57" t="s">
        <v>22</v>
      </c>
      <c r="IE3" s="13"/>
      <c r="IF3" s="12"/>
      <c r="IG3" s="12"/>
      <c r="IH3" s="12"/>
      <c r="II3" s="12"/>
      <c r="IJ3" s="13"/>
      <c r="IK3" s="13"/>
      <c r="IL3" s="56" t="s">
        <v>11</v>
      </c>
      <c r="IM3" s="56" t="s">
        <v>12</v>
      </c>
      <c r="IN3" s="56" t="s">
        <v>4</v>
      </c>
      <c r="IO3" s="56" t="s">
        <v>13</v>
      </c>
      <c r="IP3" s="56" t="s">
        <v>22</v>
      </c>
      <c r="IQ3" s="56" t="s">
        <v>11</v>
      </c>
      <c r="IR3" s="56" t="s">
        <v>12</v>
      </c>
      <c r="IS3" s="56" t="s">
        <v>4</v>
      </c>
      <c r="IT3" s="56" t="s">
        <v>13</v>
      </c>
      <c r="IU3" s="56" t="s">
        <v>22</v>
      </c>
      <c r="IV3" s="56" t="s">
        <v>11</v>
      </c>
      <c r="IW3" s="56" t="s">
        <v>12</v>
      </c>
      <c r="IX3" s="56" t="s">
        <v>4</v>
      </c>
      <c r="IY3" s="56" t="s">
        <v>13</v>
      </c>
      <c r="IZ3" s="56" t="s">
        <v>22</v>
      </c>
      <c r="JA3" s="10"/>
      <c r="JB3" s="9"/>
      <c r="JC3" s="9"/>
      <c r="JD3" s="9"/>
      <c r="JE3" s="9"/>
      <c r="JF3" s="10"/>
      <c r="JG3" s="10"/>
      <c r="JH3" s="57" t="s">
        <v>11</v>
      </c>
      <c r="JI3" s="57" t="s">
        <v>12</v>
      </c>
      <c r="JJ3" s="57" t="s">
        <v>4</v>
      </c>
      <c r="JK3" s="57" t="s">
        <v>13</v>
      </c>
      <c r="JL3" s="57" t="s">
        <v>22</v>
      </c>
      <c r="JM3" s="57" t="s">
        <v>11</v>
      </c>
      <c r="JN3" s="57" t="s">
        <v>12</v>
      </c>
      <c r="JO3" s="57" t="s">
        <v>4</v>
      </c>
      <c r="JP3" s="57" t="s">
        <v>13</v>
      </c>
      <c r="JQ3" s="57" t="s">
        <v>22</v>
      </c>
      <c r="JR3" s="57" t="s">
        <v>11</v>
      </c>
      <c r="JS3" s="57" t="s">
        <v>12</v>
      </c>
      <c r="JT3" s="57" t="s">
        <v>4</v>
      </c>
      <c r="JU3" s="57" t="s">
        <v>13</v>
      </c>
      <c r="JV3" s="57" t="s">
        <v>22</v>
      </c>
      <c r="JW3" s="13"/>
      <c r="JX3" s="12"/>
      <c r="JY3" s="12"/>
      <c r="JZ3" s="12"/>
      <c r="KA3" s="12"/>
      <c r="KB3" s="13"/>
      <c r="KC3" s="13"/>
      <c r="KD3" s="56" t="s">
        <v>11</v>
      </c>
      <c r="KE3" s="56" t="s">
        <v>12</v>
      </c>
      <c r="KF3" s="56" t="s">
        <v>4</v>
      </c>
      <c r="KG3" s="56" t="s">
        <v>13</v>
      </c>
      <c r="KH3" s="56" t="s">
        <v>22</v>
      </c>
      <c r="KI3" s="56" t="s">
        <v>11</v>
      </c>
      <c r="KJ3" s="56" t="s">
        <v>12</v>
      </c>
      <c r="KK3" s="56" t="s">
        <v>4</v>
      </c>
      <c r="KL3" s="56" t="s">
        <v>13</v>
      </c>
      <c r="KM3" s="56" t="s">
        <v>22</v>
      </c>
      <c r="KN3" s="56" t="s">
        <v>11</v>
      </c>
      <c r="KO3" s="56" t="s">
        <v>12</v>
      </c>
      <c r="KP3" s="56" t="s">
        <v>4</v>
      </c>
      <c r="KQ3" s="56" t="s">
        <v>13</v>
      </c>
      <c r="KR3" s="56" t="s">
        <v>22</v>
      </c>
      <c r="KS3" s="10"/>
      <c r="KT3" s="9"/>
      <c r="KU3" s="9"/>
      <c r="KV3" s="9"/>
      <c r="KW3" s="9"/>
      <c r="KX3" s="10"/>
      <c r="KY3" s="10"/>
      <c r="KZ3" s="57" t="s">
        <v>11</v>
      </c>
      <c r="LA3" s="57" t="s">
        <v>12</v>
      </c>
      <c r="LB3" s="57" t="s">
        <v>4</v>
      </c>
      <c r="LC3" s="57" t="s">
        <v>13</v>
      </c>
      <c r="LD3" s="57" t="s">
        <v>22</v>
      </c>
      <c r="LE3" s="57" t="s">
        <v>11</v>
      </c>
      <c r="LF3" s="57" t="s">
        <v>12</v>
      </c>
      <c r="LG3" s="57" t="s">
        <v>4</v>
      </c>
      <c r="LH3" s="57" t="s">
        <v>13</v>
      </c>
      <c r="LI3" s="57" t="s">
        <v>22</v>
      </c>
      <c r="LJ3" s="57" t="s">
        <v>11</v>
      </c>
      <c r="LK3" s="57" t="s">
        <v>12</v>
      </c>
      <c r="LL3" s="57" t="s">
        <v>4</v>
      </c>
      <c r="LM3" s="57" t="s">
        <v>13</v>
      </c>
      <c r="LN3" s="57" t="s">
        <v>22</v>
      </c>
      <c r="LO3" s="13"/>
      <c r="LP3" s="12"/>
      <c r="LQ3" s="12"/>
      <c r="LR3" s="12"/>
      <c r="LS3" s="12"/>
      <c r="LT3" s="13"/>
      <c r="LU3" s="13"/>
      <c r="LV3" s="56" t="s">
        <v>11</v>
      </c>
      <c r="LW3" s="56" t="s">
        <v>12</v>
      </c>
      <c r="LX3" s="56" t="s">
        <v>4</v>
      </c>
      <c r="LY3" s="56" t="s">
        <v>13</v>
      </c>
      <c r="LZ3" s="56" t="s">
        <v>22</v>
      </c>
      <c r="MA3" s="56" t="s">
        <v>11</v>
      </c>
      <c r="MB3" s="56" t="s">
        <v>12</v>
      </c>
      <c r="MC3" s="56" t="s">
        <v>4</v>
      </c>
      <c r="MD3" s="56" t="s">
        <v>13</v>
      </c>
      <c r="ME3" s="56" t="s">
        <v>22</v>
      </c>
      <c r="MF3" s="56" t="s">
        <v>11</v>
      </c>
      <c r="MG3" s="56" t="s">
        <v>12</v>
      </c>
      <c r="MH3" s="56" t="s">
        <v>4</v>
      </c>
      <c r="MI3" s="56" t="s">
        <v>13</v>
      </c>
      <c r="MJ3" s="56" t="s">
        <v>22</v>
      </c>
      <c r="MK3" s="10"/>
      <c r="ML3" s="9"/>
      <c r="MM3" s="9"/>
      <c r="MN3" s="9"/>
      <c r="MO3" s="9"/>
      <c r="MP3" s="10"/>
      <c r="MQ3" s="10"/>
      <c r="MR3" s="57" t="s">
        <v>11</v>
      </c>
      <c r="MS3" s="57" t="s">
        <v>12</v>
      </c>
      <c r="MT3" s="57" t="s">
        <v>4</v>
      </c>
      <c r="MU3" s="57" t="s">
        <v>13</v>
      </c>
      <c r="MV3" s="57" t="s">
        <v>22</v>
      </c>
      <c r="MW3" s="57" t="s">
        <v>11</v>
      </c>
      <c r="MX3" s="57" t="s">
        <v>12</v>
      </c>
      <c r="MY3" s="57" t="s">
        <v>4</v>
      </c>
      <c r="MZ3" s="57" t="s">
        <v>13</v>
      </c>
      <c r="NA3" s="57" t="s">
        <v>22</v>
      </c>
      <c r="NB3" s="57" t="s">
        <v>11</v>
      </c>
      <c r="NC3" s="57" t="s">
        <v>12</v>
      </c>
      <c r="ND3" s="57" t="s">
        <v>4</v>
      </c>
      <c r="NE3" s="57" t="s">
        <v>13</v>
      </c>
      <c r="NF3" s="57" t="s">
        <v>22</v>
      </c>
      <c r="NG3" s="13"/>
      <c r="NH3" s="12"/>
      <c r="NI3" s="12"/>
      <c r="NJ3" s="12"/>
      <c r="NK3" s="12"/>
      <c r="NL3" s="13"/>
      <c r="NM3" s="13"/>
      <c r="NN3" s="56" t="s">
        <v>11</v>
      </c>
      <c r="NO3" s="56" t="s">
        <v>12</v>
      </c>
      <c r="NP3" s="56" t="s">
        <v>4</v>
      </c>
      <c r="NQ3" s="56" t="s">
        <v>13</v>
      </c>
      <c r="NR3" s="56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6" t="s">
        <v>11</v>
      </c>
      <c r="NY3" s="56" t="s">
        <v>12</v>
      </c>
      <c r="NZ3" s="56" t="s">
        <v>4</v>
      </c>
      <c r="OA3" s="56" t="s">
        <v>13</v>
      </c>
      <c r="OB3" s="56" t="s">
        <v>22</v>
      </c>
      <c r="OC3" s="56" t="s">
        <v>11</v>
      </c>
      <c r="OD3" s="56" t="s">
        <v>12</v>
      </c>
      <c r="OE3" s="56" t="s">
        <v>4</v>
      </c>
      <c r="OF3" s="56" t="s">
        <v>13</v>
      </c>
      <c r="OG3" s="56" t="s">
        <v>22</v>
      </c>
      <c r="OH3" s="56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cm="1">
        <f t="array" ref="A4">IF(AND(F4&lt;&gt;"",G4&lt;&gt;""),SUMPRODUCT((F$4:F$7&lt;&gt;"")*(G$4:G$7&lt;&gt;"")*(E$4:E$7&gt;E4))+1,IF(G4&lt;&gt;"",SUMPRODUCT((H$4:H$7="No DD")*(E$4:E$7&gt;E4))+1+SUMPRODUCT((F$4:F$7&lt;&gt;"")*(G$4:G$7&lt;&gt;"")),""))</f>
        <v>1</v>
      </c>
      <c r="B4" s="68" t="s">
        <v>73</v>
      </c>
      <c r="C4" s="5" t="s">
        <v>66</v>
      </c>
      <c r="D4" s="5">
        <v>2006</v>
      </c>
      <c r="E4" s="15">
        <f>SUM(I4:Q4)</f>
        <v>235.24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>P</v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>P</v>
      </c>
      <c r="H4" s="6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>Merit</v>
      </c>
      <c r="I4" s="14">
        <f>IF(MAX(AT4,BX4,DB4)&gt;0,MAX(AT4,BX4,DB4),0)</f>
        <v>93.169999999999987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39.230000000000004</v>
      </c>
      <c r="L4" s="14" t="str">
        <f>IF(K4=0,"",IF(AND(K4=CW4,$J4&lt;&gt;$CB$1),$CB$1,IF(AND(K4=BS4,$J4&lt;&gt;$AX$1),$AX$1,IF(AND(K4=AO4,$J4&lt;&gt;$T$1),$T$1,""))))</f>
        <v>2021 Canadian Championships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49.17</v>
      </c>
      <c r="N4" s="14" t="str">
        <f>IF(M4=0,"",IF(AND(OR(M4=DA4,M4=CY4),$J4&lt;&gt;$CB$1),$CB$1,IF(AND(OR(M4=BW4,M4=BU4),$J4&lt;&gt;$AX$1),$AX$1,IF(AND(OR(M4=AS4,M4=AQ4),$J4&lt;&gt;$T$1),$T$1,""))))</f>
        <v>2021 Canadian Championships</v>
      </c>
      <c r="O4" s="14">
        <f>MAX(AV4,BZ4,DD4)</f>
        <v>50.65</v>
      </c>
      <c r="P4" s="14" t="str">
        <f>IF(O4=0,"",IF(O4=DD4,$CB$1,IF(O4=BZ4,$AX$1,IF(O4=AV4,$T$1,""))))</f>
        <v>2022 Elite Canada</v>
      </c>
      <c r="Q4" s="14">
        <f>IF(MAX(DF4,DG4,DH4,DI4)&gt;0,MAX(DF4,DG4,DH4,DI4),"")</f>
        <v>3.019999999999996</v>
      </c>
      <c r="R4" s="20" t="str">
        <f>IF(Q4="","",IF(Q4=DF4,"(Vol 1)",IF(Q4=DG4,"(Vol 2)",IF(Q4=DH4,"(Prelim)",IF(Q4=DI4,"(Final)")))))</f>
        <v>(Vol 1)</v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2022 Coimbra Gym Fest (June 26)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45"/>
      <c r="AO4" s="11" t="str">
        <f>IF(SUM(T4:W4)-X4&gt;0,SUM(T4:W4)-X4,"")</f>
        <v/>
      </c>
      <c r="AP4" s="11" t="str">
        <f>IF(AA4&gt;0,AA4,"")</f>
        <v/>
      </c>
      <c r="AQ4" s="11" t="str">
        <f>IF(SUM(Y4:AB4)-AC4&gt;0,SUM(Y4:AB4)-AC4,"")</f>
        <v/>
      </c>
      <c r="AR4" s="11" t="str">
        <f>IF(AF4&gt;0,AF4,"")</f>
        <v/>
      </c>
      <c r="AS4" s="11" t="str">
        <f>IF(SUM(AD4:AG4)-AH4&gt;0,SUM(AD4:AG4)-AH4,"")</f>
        <v/>
      </c>
      <c r="AT4" s="11" t="str">
        <f>IF(AO4="",IF(MAX(AQ4,AS4)&gt;0,MAX(AQ4,AS4),""),MAX(AQ4,AS4)+AO4)</f>
        <v/>
      </c>
      <c r="AU4" s="11" t="str">
        <f>IF(AK4&gt;0,AK4,"")</f>
        <v/>
      </c>
      <c r="AV4" s="11" t="str">
        <f>IF(SUM(AI4:AL4)-AM4&gt;0,SUM(AI4:AL4)-AM4,"")</f>
        <v/>
      </c>
      <c r="AW4" s="11" t="str">
        <f>IF(SUM(AT4,AV4)&gt;0,SUM(AT4,AV4),"")</f>
        <v/>
      </c>
      <c r="AX4" s="42">
        <v>17.100000000000001</v>
      </c>
      <c r="AY4" s="42">
        <v>9</v>
      </c>
      <c r="AZ4" s="42">
        <v>0</v>
      </c>
      <c r="BA4" s="42">
        <v>15.13</v>
      </c>
      <c r="BB4" s="42">
        <v>2</v>
      </c>
      <c r="BC4" s="42">
        <v>16.100000000000001</v>
      </c>
      <c r="BD4" s="42">
        <v>9.1999999999999993</v>
      </c>
      <c r="BE4" s="42">
        <v>9.6</v>
      </c>
      <c r="BF4" s="42">
        <v>14.27</v>
      </c>
      <c r="BG4" s="42">
        <v>0</v>
      </c>
      <c r="BH4" s="42"/>
      <c r="BI4" s="42"/>
      <c r="BJ4" s="42"/>
      <c r="BK4" s="42"/>
      <c r="BL4" s="42"/>
      <c r="BM4" s="42">
        <v>15.9</v>
      </c>
      <c r="BN4" s="42">
        <v>9.5</v>
      </c>
      <c r="BO4" s="42">
        <v>9.6</v>
      </c>
      <c r="BP4" s="42">
        <v>14.17</v>
      </c>
      <c r="BQ4" s="42">
        <v>0</v>
      </c>
      <c r="BR4" s="46"/>
      <c r="BS4" s="14">
        <f>IF(SUM(AX4:BA4)-BB4&gt;0,SUM(AX4:BA4)-BB4,"")</f>
        <v>39.230000000000004</v>
      </c>
      <c r="BT4" s="14">
        <f>IF(BE4&gt;0,BE4,"")</f>
        <v>9.6</v>
      </c>
      <c r="BU4" s="14">
        <f>IF(SUM(BC4:BF4)-BG4&gt;0,SUM(BC4:BF4)-BG4,"")</f>
        <v>49.17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88.4</v>
      </c>
      <c r="BY4" s="14">
        <f>IF(BO4&gt;0,BO4,"")</f>
        <v>9.6</v>
      </c>
      <c r="BZ4" s="14">
        <f>IF(SUM(BM4:BP4)-BQ4&gt;0,SUM(BM4:BP4)-BQ4,"")</f>
        <v>49.17</v>
      </c>
      <c r="CA4" s="14">
        <f>IF(SUM(BX4,BZ4)&gt;0,SUM(BX4,BZ4),"")</f>
        <v>137.57</v>
      </c>
      <c r="CB4" s="38">
        <v>17.399999999999999</v>
      </c>
      <c r="CC4" s="38">
        <v>9.3000000000000007</v>
      </c>
      <c r="CD4" s="38">
        <v>0</v>
      </c>
      <c r="CE4" s="38">
        <v>15.45</v>
      </c>
      <c r="CF4" s="38">
        <v>0</v>
      </c>
      <c r="CG4" s="38">
        <v>15.2</v>
      </c>
      <c r="CH4" s="38">
        <v>9.8000000000000007</v>
      </c>
      <c r="CI4" s="38">
        <v>11.4</v>
      </c>
      <c r="CJ4" s="38">
        <v>14.62</v>
      </c>
      <c r="CK4" s="38">
        <v>0</v>
      </c>
      <c r="CL4" s="38"/>
      <c r="CM4" s="38"/>
      <c r="CN4" s="38"/>
      <c r="CO4" s="38"/>
      <c r="CP4" s="38"/>
      <c r="CQ4" s="38">
        <v>15.5</v>
      </c>
      <c r="CR4" s="38">
        <v>9.1</v>
      </c>
      <c r="CS4" s="38">
        <v>11.4</v>
      </c>
      <c r="CT4" s="38">
        <v>14.65</v>
      </c>
      <c r="CU4" s="38">
        <v>0</v>
      </c>
      <c r="CV4" s="45"/>
      <c r="CW4" s="11">
        <f>IF(SUM(CB4:CE4)-CF4&gt;0,SUM(CB4:CE4)-CF4,"")</f>
        <v>42.15</v>
      </c>
      <c r="CX4" s="11">
        <f>IF(CI4&gt;0,CI4,"")</f>
        <v>11.4</v>
      </c>
      <c r="CY4" s="11">
        <f>IF(SUM(CG4:CJ4)-CK4&gt;0,SUM(CG4:CJ4)-CK4,"")</f>
        <v>51.019999999999996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93.169999999999987</v>
      </c>
      <c r="DC4" s="11">
        <f>IF(CS4&gt;0,CS4,"")</f>
        <v>11.4</v>
      </c>
      <c r="DD4" s="11">
        <f>IF(SUM(CQ4:CT4)-CU4&gt;0,SUM(CQ4:CT4)-CU4,"")</f>
        <v>50.65</v>
      </c>
      <c r="DE4" s="11">
        <f>IF(SUM(DB4,DD4)&gt;0,SUM(DB4,DD4),"")</f>
        <v>143.82</v>
      </c>
      <c r="DF4" s="19">
        <f>IF(K4&gt;=0.001,IF(MAX(DZ4,EV4,FR4,GN4,HJ4,IF4,JB4,JX4,KT4,LP4,ML4,NH4)-IF(K4="",0,K4)&gt;0.001,MAX(DZ4,EV4,FR4,GN4,HJ4,IF4,JB4,JX4,KT4,LP4,ML4,NH4)-IF(K4="",0,K4),""),"")</f>
        <v>3.019999999999996</v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>
        <v>17.600000000000001</v>
      </c>
      <c r="DK4" s="24">
        <v>9.9</v>
      </c>
      <c r="DL4" s="24">
        <v>0</v>
      </c>
      <c r="DM4" s="24">
        <v>14.75</v>
      </c>
      <c r="DN4" s="24">
        <v>0</v>
      </c>
      <c r="DO4" s="24">
        <v>14</v>
      </c>
      <c r="DP4" s="24">
        <v>9.3000000000000007</v>
      </c>
      <c r="DQ4" s="24">
        <v>11.3</v>
      </c>
      <c r="DR4" s="24">
        <v>14.06</v>
      </c>
      <c r="DS4" s="24">
        <v>0</v>
      </c>
      <c r="DT4" s="24">
        <v>7.1</v>
      </c>
      <c r="DU4" s="24">
        <v>4.4000000000000004</v>
      </c>
      <c r="DV4" s="24">
        <v>6</v>
      </c>
      <c r="DW4" s="24">
        <v>7.0449999999999999</v>
      </c>
      <c r="DX4" s="24">
        <v>0</v>
      </c>
      <c r="DY4" s="11">
        <f>IF(DQ4&gt;0,DQ4,"")</f>
        <v>11.3</v>
      </c>
      <c r="DZ4" s="11">
        <f>IF(SUM(DJ4:DM4)-DN4&gt;0,SUM(DJ4:DM4)-DN4,"")</f>
        <v>42.25</v>
      </c>
      <c r="EA4" s="11">
        <f>IF(SUM(DO4:DR4)-DS4&gt;0,SUM(DO4:DR4)-DS4,"")</f>
        <v>48.660000000000004</v>
      </c>
      <c r="EB4" s="11">
        <f>IF(SUM(DZ4:EA4)&gt;0,SUM(DZ4:EA4),"")</f>
        <v>90.91</v>
      </c>
      <c r="EC4" s="11">
        <f>IF(DV4&gt;0,DV4,"")</f>
        <v>6</v>
      </c>
      <c r="ED4" s="11">
        <f>IF(SUM(DT4:DW4)-DX4&gt;0,SUM(DT4:DW4)-DX4,"")</f>
        <v>24.545000000000002</v>
      </c>
      <c r="EE4" s="11">
        <f>IF(SUM(EB4,ED4)&gt;0,SUM(EB4,ED4),"")</f>
        <v>115.455</v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 t="shared" ref="NN4:NW6" si="0">IF($CV4="P",CB4,(CB4+AX4)/2)</f>
        <v>17.25</v>
      </c>
      <c r="NO4" s="38">
        <f t="shared" si="0"/>
        <v>9.15</v>
      </c>
      <c r="NP4" s="38">
        <f t="shared" si="0"/>
        <v>0</v>
      </c>
      <c r="NQ4" s="38">
        <f t="shared" si="0"/>
        <v>15.29</v>
      </c>
      <c r="NR4" s="38">
        <f t="shared" si="0"/>
        <v>1</v>
      </c>
      <c r="NS4" s="38">
        <f t="shared" si="0"/>
        <v>15.65</v>
      </c>
      <c r="NT4" s="38">
        <f t="shared" si="0"/>
        <v>9.5</v>
      </c>
      <c r="NU4" s="38">
        <f t="shared" si="0"/>
        <v>10.5</v>
      </c>
      <c r="NV4" s="38">
        <f t="shared" si="0"/>
        <v>14.445</v>
      </c>
      <c r="NW4" s="38">
        <f t="shared" si="0"/>
        <v>0</v>
      </c>
      <c r="NX4" s="38">
        <f t="shared" ref="NX4:OG6" si="1">IF($CV4="P",CL4,(CL4+BH4)/2)</f>
        <v>0</v>
      </c>
      <c r="NY4" s="38">
        <f t="shared" si="1"/>
        <v>0</v>
      </c>
      <c r="NZ4" s="38">
        <f t="shared" si="1"/>
        <v>0</v>
      </c>
      <c r="OA4" s="38">
        <f t="shared" si="1"/>
        <v>0</v>
      </c>
      <c r="OB4" s="38">
        <f t="shared" si="1"/>
        <v>0</v>
      </c>
      <c r="OC4" s="38">
        <f t="shared" si="1"/>
        <v>15.7</v>
      </c>
      <c r="OD4" s="38">
        <f t="shared" si="1"/>
        <v>9.3000000000000007</v>
      </c>
      <c r="OE4" s="38">
        <f t="shared" si="1"/>
        <v>10.5</v>
      </c>
      <c r="OF4" s="38">
        <f t="shared" si="1"/>
        <v>14.41</v>
      </c>
      <c r="OG4" s="38">
        <f t="shared" si="1"/>
        <v>0</v>
      </c>
      <c r="OH4" s="45" t="s">
        <v>44</v>
      </c>
      <c r="OI4" s="11">
        <f>IF(SUM(NN4:NQ4)-NR4&gt;0,SUM(NN4:NQ4)-NR4,"")</f>
        <v>40.69</v>
      </c>
      <c r="OJ4" s="11">
        <f>IF(NU4&gt;0,NU4,"")</f>
        <v>10.5</v>
      </c>
      <c r="OK4" s="11">
        <f>IF(SUM(NS4:NV4)-NW4&gt;0,SUM(NS4:NV4)-NW4,"")</f>
        <v>50.094999999999999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90.784999999999997</v>
      </c>
      <c r="OO4" s="11">
        <f>IF(OE4&gt;0,OE4,"")</f>
        <v>10.5</v>
      </c>
      <c r="OP4" s="11">
        <f t="shared" ref="OP4" si="2">IF(SUM(OC4:OF4)-OG4&gt;0,SUM(OC4:OF4)-OG4,"")</f>
        <v>49.91</v>
      </c>
      <c r="OQ4" s="11">
        <f t="shared" ref="OQ4" si="3">IF(SUM(ON4,OP4)&gt;0,SUM(ON4,OP4),"")</f>
        <v>140.69499999999999</v>
      </c>
    </row>
    <row r="5" spans="1:407" x14ac:dyDescent="0.2">
      <c r="A5" s="5" cm="1">
        <f t="array" ref="A5">IF(AND(F5&lt;&gt;"",G5&lt;&gt;""),SUMPRODUCT((F$4:F$7&lt;&gt;"")*(G$4:G$7&lt;&gt;"")*(E$4:E$7&gt;E5))+1,IF(G5&lt;&gt;"",SUMPRODUCT((H$4:H$7="No DD")*(E$4:E$7&gt;E5))+1+SUMPRODUCT((F$4:F$7&lt;&gt;"")*(G$4:G$7&lt;&gt;"")),""))</f>
        <v>2</v>
      </c>
      <c r="B5" s="68" t="s">
        <v>74</v>
      </c>
      <c r="C5" s="5" t="s">
        <v>3</v>
      </c>
      <c r="D5" s="5">
        <v>2006</v>
      </c>
      <c r="E5" s="15">
        <f>SUM(I5:Q5)</f>
        <v>230.60499999999996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>P</v>
      </c>
      <c r="H5" s="6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>No DD</v>
      </c>
      <c r="I5" s="14">
        <f>IF(MAX(AT5,BX5,DB5)&gt;0,MAX(AT5,BX5,DB5),0)</f>
        <v>91.09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41.61</v>
      </c>
      <c r="L5" s="14" t="str">
        <f>IF(K5=0,"",IF(AND(K5=CW5,$J5&lt;&gt;$CB$1),$CB$1,IF(AND(K5=BS5,$J5&lt;&gt;$AX$1),$AX$1,IF(AND(K5=AO5,$J5&lt;&gt;$T$1),$T$1,""))))</f>
        <v>2021 Canadian Championships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47.635000000000005</v>
      </c>
      <c r="N5" s="14" t="str">
        <f>IF(M5=0,"",IF(AND(OR(M5=DA5,M5=CY5),$J5&lt;&gt;$CB$1),$CB$1,IF(AND(OR(M5=BW5,M5=BU5),$J5&lt;&gt;$AX$1),$AX$1,IF(AND(OR(M5=AS5,M5=AQ5),$J5&lt;&gt;$T$1),$T$1,""))))</f>
        <v>2021 Elite Canada</v>
      </c>
      <c r="O5" s="14">
        <f>MAX(AV5,BZ5,DD5)</f>
        <v>50.269999999999996</v>
      </c>
      <c r="P5" s="14" t="str">
        <f>IF(O5=0,"",IF(O5=DD5,$CB$1,IF(O5=BZ5,$AX$1,IF(O5=AV5,$T$1,""))))</f>
        <v>2021 Canadian Championships</v>
      </c>
      <c r="Q5" s="14" t="str">
        <f>IF(MAX(DF5,DG5,DH5,DI5)&gt;0,MAX(DF5,DG5,DH5,DI5),"")</f>
        <v/>
      </c>
      <c r="R5" s="20" t="str">
        <f>IF(Q5="","",IF(Q5=DF5,"(Vol 1)",IF(Q5=DG5,"(Vol 2)",IF(Q5=DH5,"(Prelim)",IF(Q5=DI5,"(Final)")))))</f>
        <v/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38">
        <v>16.3</v>
      </c>
      <c r="U5" s="38">
        <v>9.1999999999999993</v>
      </c>
      <c r="V5" s="38">
        <v>0</v>
      </c>
      <c r="W5" s="38">
        <v>14.994999999999999</v>
      </c>
      <c r="X5" s="38">
        <v>0</v>
      </c>
      <c r="Y5" s="38">
        <v>14.8</v>
      </c>
      <c r="Z5" s="38">
        <v>9</v>
      </c>
      <c r="AA5" s="38">
        <v>9.4</v>
      </c>
      <c r="AB5" s="38">
        <v>14.435</v>
      </c>
      <c r="AC5" s="38">
        <v>0</v>
      </c>
      <c r="AD5" s="38"/>
      <c r="AE5" s="38"/>
      <c r="AF5" s="38"/>
      <c r="AG5" s="38"/>
      <c r="AH5" s="38"/>
      <c r="AI5" s="38">
        <v>14.2</v>
      </c>
      <c r="AJ5" s="38">
        <v>9</v>
      </c>
      <c r="AK5" s="38">
        <v>8.4</v>
      </c>
      <c r="AL5" s="38">
        <v>14.62</v>
      </c>
      <c r="AM5" s="38">
        <v>0.4</v>
      </c>
      <c r="AN5" s="45"/>
      <c r="AO5" s="11">
        <f>IF(SUM(T5:W5)-X5&gt;0,SUM(T5:W5)-X5,"")</f>
        <v>40.494999999999997</v>
      </c>
      <c r="AP5" s="11">
        <f>IF(AA5&gt;0,AA5,"")</f>
        <v>9.4</v>
      </c>
      <c r="AQ5" s="11">
        <f>IF(SUM(Y5:AB5)-AC5&gt;0,SUM(Y5:AB5)-AC5,"")</f>
        <v>47.635000000000005</v>
      </c>
      <c r="AR5" s="11" t="str">
        <f>IF(AF5&gt;0,AF5,"")</f>
        <v/>
      </c>
      <c r="AS5" s="11" t="str">
        <f>IF(SUM(AD5:AG5)-AH5&gt;0,SUM(AD5:AG5)-AH5,"")</f>
        <v/>
      </c>
      <c r="AT5" s="11">
        <f>IF(AO5="",IF(MAX(AQ5,AS5)&gt;0,MAX(AQ5,AS5),""),MAX(AQ5,AS5)+AO5)</f>
        <v>88.13</v>
      </c>
      <c r="AU5" s="11">
        <f>IF(AK5&gt;0,AK5,"")</f>
        <v>8.4</v>
      </c>
      <c r="AV5" s="11">
        <f>IF(SUM(AI5:AL5)-AM5&gt;0,SUM(AI5:AL5)-AM5,"")</f>
        <v>45.82</v>
      </c>
      <c r="AW5" s="11">
        <f>IF(SUM(AT5,AV5)&gt;0,SUM(AT5,AV5),"")</f>
        <v>133.94999999999999</v>
      </c>
      <c r="AX5" s="42">
        <v>17.2</v>
      </c>
      <c r="AY5" s="42">
        <v>9.5</v>
      </c>
      <c r="AZ5" s="42">
        <v>0</v>
      </c>
      <c r="BA5" s="42">
        <v>14.91</v>
      </c>
      <c r="BB5" s="42">
        <v>0</v>
      </c>
      <c r="BC5" s="42">
        <v>15.4</v>
      </c>
      <c r="BD5" s="42">
        <v>9.4</v>
      </c>
      <c r="BE5" s="42">
        <v>8.4</v>
      </c>
      <c r="BF5" s="42">
        <v>14.734999999999999</v>
      </c>
      <c r="BG5" s="42">
        <v>0.4</v>
      </c>
      <c r="BH5" s="42"/>
      <c r="BI5" s="42"/>
      <c r="BJ5" s="42"/>
      <c r="BK5" s="42"/>
      <c r="BL5" s="42"/>
      <c r="BM5" s="42">
        <v>16.2</v>
      </c>
      <c r="BN5" s="42">
        <v>9.6</v>
      </c>
      <c r="BO5" s="42">
        <v>9.8000000000000007</v>
      </c>
      <c r="BP5" s="42">
        <v>14.67</v>
      </c>
      <c r="BQ5" s="42">
        <v>0</v>
      </c>
      <c r="BR5" s="46"/>
      <c r="BS5" s="14">
        <f>IF(SUM(AX5:BA5)-BB5&gt;0,SUM(AX5:BA5)-BB5,"")</f>
        <v>41.61</v>
      </c>
      <c r="BT5" s="14">
        <f>IF(BE5&gt;0,BE5,"")</f>
        <v>8.4</v>
      </c>
      <c r="BU5" s="14">
        <f>IF(SUM(BC5:BF5)-BG5&gt;0,SUM(BC5:BF5)-BG5,"")</f>
        <v>47.535000000000004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89.14500000000001</v>
      </c>
      <c r="BY5" s="14">
        <f>IF(BO5&gt;0,BO5,"")</f>
        <v>9.8000000000000007</v>
      </c>
      <c r="BZ5" s="14">
        <f>IF(SUM(BM5:BP5)-BQ5&gt;0,SUM(BM5:BP5)-BQ5,"")</f>
        <v>50.269999999999996</v>
      </c>
      <c r="CA5" s="14">
        <f>IF(SUM(BX5,BZ5)&gt;0,SUM(BX5,BZ5),"")</f>
        <v>139.41500000000002</v>
      </c>
      <c r="CB5" s="38">
        <v>17.100000000000001</v>
      </c>
      <c r="CC5" s="38">
        <v>9.6</v>
      </c>
      <c r="CD5" s="38">
        <v>0</v>
      </c>
      <c r="CE5" s="38">
        <v>15.38</v>
      </c>
      <c r="CF5" s="38">
        <v>0</v>
      </c>
      <c r="CG5" s="38">
        <v>14.8</v>
      </c>
      <c r="CH5" s="38">
        <v>8.9</v>
      </c>
      <c r="CI5" s="38">
        <v>10.5</v>
      </c>
      <c r="CJ5" s="38">
        <v>14.81</v>
      </c>
      <c r="CK5" s="38">
        <v>0</v>
      </c>
      <c r="CL5" s="38"/>
      <c r="CM5" s="38"/>
      <c r="CN5" s="38"/>
      <c r="CO5" s="38"/>
      <c r="CP5" s="38"/>
      <c r="CQ5" s="38">
        <v>15</v>
      </c>
      <c r="CR5" s="38">
        <v>9</v>
      </c>
      <c r="CS5" s="38">
        <v>10.4</v>
      </c>
      <c r="CT5" s="38">
        <v>14.66</v>
      </c>
      <c r="CU5" s="38">
        <v>0</v>
      </c>
      <c r="CV5" s="45"/>
      <c r="CW5" s="11">
        <f>IF(SUM(CB5:CE5)-CF5&gt;0,SUM(CB5:CE5)-CF5,"")</f>
        <v>42.080000000000005</v>
      </c>
      <c r="CX5" s="11">
        <f>IF(CI5&gt;0,CI5,"")</f>
        <v>10.5</v>
      </c>
      <c r="CY5" s="11">
        <f>IF(SUM(CG5:CJ5)-CK5&gt;0,SUM(CG5:CJ5)-CK5,"")</f>
        <v>49.010000000000005</v>
      </c>
      <c r="CZ5" s="11" t="str">
        <f>IF(CN5&gt;0,CN5,"")</f>
        <v/>
      </c>
      <c r="DA5" s="11" t="str">
        <f>IF(SUM(CL5:CO5)-CP5&gt;0,SUM(CL5:CO5)-CP5,"")</f>
        <v/>
      </c>
      <c r="DB5" s="11">
        <f>IF(CW5="",IF(MAX(CY5,DA5)&gt;0,MAX(CY5,DA5),""),MAX(CY5,DA5)+CW5)</f>
        <v>91.09</v>
      </c>
      <c r="DC5" s="11">
        <f>IF(CS5&gt;0,CS5,"")</f>
        <v>10.4</v>
      </c>
      <c r="DD5" s="11">
        <f>IF(SUM(CQ5:CT5)-CU5&gt;0,SUM(CQ5:CT5)-CU5,"")</f>
        <v>49.06</v>
      </c>
      <c r="DE5" s="11">
        <f>IF(SUM(DB5,DD5)&gt;0,SUM(DB5,DD5),"")</f>
        <v>140.15</v>
      </c>
      <c r="DF5" s="19" t="str">
        <f>IF(K5&gt;=0.001,IF(MAX(DZ5,EV5,FR5,GN5,HJ5,IF5,JB5,JX5,KT5,LP5,ML5,NH5)-IF(K5="",0,K5)&gt;0.001,MAX(DZ5,EV5,FR5,GN5,HJ5,IF5,JB5,JX5,KT5,LP5,ML5,NH5)-IF(K5="",0,K5),""),"")</f>
        <v/>
      </c>
      <c r="DG5" s="19" t="str">
        <f>IF(M5&gt;=0.001,IF(MAX(EA5,EW5,FS5,GO5,HK5,IG5,JC5,JY5,KU5,LQ5,MM5,NI5)-IF(M5="",0,M5)&gt;0.001,MAX(EA5,EW5,FS5,GO5,HK5,IG5,JC5,JY5,KU5,LQ5,MM5,NI5)-IF(M5="",0,M5),""),"")</f>
        <v/>
      </c>
      <c r="DH5" s="19" t="str">
        <f>IF(I5&gt;=0.001,IF(MAX(EB5,EX5,FT5,GP5,HL5,IH5,JD5,JZ5,KV5,LR5,MN5,NJ5)-IF(I5="",0,I5)&gt;0.001,MAX(EB5,EX5,FT5,GP5,HL5,IH5,JD5,JZ5,KV5,LR5,MN5,NJ5)-IF(I5="",0,I5),""),"")</f>
        <v/>
      </c>
      <c r="DI5" s="19" t="str">
        <f>IF(O5&gt;=0.001,IF(MAX(ED5,EZ5,FV5,GR5,HN5,IJ5,JF5,KB5,KX5,LT5,MP5,NL5)-IF(O5="",0,O5)&gt;0.001,MAX(ED5,EZ5,FV5,GR5,HN5,IJ5,JF5,KB5,KX5,LT5,MP5,NL5)-IF(O5="",0,O5),""),"")</f>
        <v/>
      </c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11" t="str">
        <f>IF(DQ5&gt;0,DQ5,"")</f>
        <v/>
      </c>
      <c r="DZ5" s="11" t="str">
        <f>IF(SUM(DJ5:DM5)-DN5&gt;0,SUM(DJ5:DM5)-DN5,"")</f>
        <v/>
      </c>
      <c r="EA5" s="11" t="str">
        <f>IF(SUM(DO5:DR5)-DS5&gt;0,SUM(DO5:DR5)-DS5,"")</f>
        <v/>
      </c>
      <c r="EB5" s="11" t="str">
        <f>IF(SUM(DZ5:EA5)&gt;0,SUM(DZ5:EA5),"")</f>
        <v/>
      </c>
      <c r="EC5" s="11" t="str">
        <f>IF(DV5&gt;0,DV5,"")</f>
        <v/>
      </c>
      <c r="ED5" s="11" t="str">
        <f>IF(SUM(DT5:DW5)-DX5&gt;0,SUM(DT5:DW5)-DX5,"")</f>
        <v/>
      </c>
      <c r="EE5" s="11" t="str">
        <f>IF(SUM(EB5,ED5)&gt;0,SUM(EB5,ED5),"")</f>
        <v/>
      </c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14" t="str">
        <f>IF(EM5&gt;0,EM5,"")</f>
        <v/>
      </c>
      <c r="EV5" s="14" t="str">
        <f>IF(SUM(EF5:EI5)-EJ5&gt;0,SUM(EF5:EI5)-EJ5,"")</f>
        <v/>
      </c>
      <c r="EW5" s="14" t="str">
        <f>IF(SUM(EK5:EN5)-EO5&gt;0,SUM(EK5:EN5)-EO5,"")</f>
        <v/>
      </c>
      <c r="EX5" s="14" t="str">
        <f>IF(SUM(EV5:EW5)&gt;0,SUM(EV5:EW5),"")</f>
        <v/>
      </c>
      <c r="EY5" s="14" t="str">
        <f>IF(ER5&gt;0,ER5,"")</f>
        <v/>
      </c>
      <c r="EZ5" s="14" t="str">
        <f>IF(SUM(EP5:ES5)-ET5&gt;0,SUM(EP5:ES5)-ET5,"")</f>
        <v/>
      </c>
      <c r="FA5" s="14" t="str">
        <f>IF(SUM(EX5,EZ5)&gt;0,SUM(EX5,EZ5),"")</f>
        <v/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 t="shared" si="0"/>
        <v>17.149999999999999</v>
      </c>
      <c r="NO5" s="38">
        <f t="shared" si="0"/>
        <v>9.5500000000000007</v>
      </c>
      <c r="NP5" s="38">
        <f t="shared" si="0"/>
        <v>0</v>
      </c>
      <c r="NQ5" s="38">
        <f t="shared" si="0"/>
        <v>15.145</v>
      </c>
      <c r="NR5" s="38">
        <f t="shared" si="0"/>
        <v>0</v>
      </c>
      <c r="NS5" s="38">
        <f t="shared" si="0"/>
        <v>15.100000000000001</v>
      </c>
      <c r="NT5" s="38">
        <f t="shared" si="0"/>
        <v>9.15</v>
      </c>
      <c r="NU5" s="38">
        <f t="shared" si="0"/>
        <v>9.4499999999999993</v>
      </c>
      <c r="NV5" s="38">
        <f t="shared" si="0"/>
        <v>14.772500000000001</v>
      </c>
      <c r="NW5" s="38">
        <f t="shared" si="0"/>
        <v>0.2</v>
      </c>
      <c r="NX5" s="38">
        <f t="shared" si="1"/>
        <v>0</v>
      </c>
      <c r="NY5" s="38">
        <f t="shared" si="1"/>
        <v>0</v>
      </c>
      <c r="NZ5" s="38">
        <f t="shared" si="1"/>
        <v>0</v>
      </c>
      <c r="OA5" s="38">
        <f t="shared" si="1"/>
        <v>0</v>
      </c>
      <c r="OB5" s="38">
        <f t="shared" si="1"/>
        <v>0</v>
      </c>
      <c r="OC5" s="38">
        <f t="shared" si="1"/>
        <v>15.6</v>
      </c>
      <c r="OD5" s="38">
        <f t="shared" si="1"/>
        <v>9.3000000000000007</v>
      </c>
      <c r="OE5" s="38">
        <f t="shared" si="1"/>
        <v>10.100000000000001</v>
      </c>
      <c r="OF5" s="38">
        <f t="shared" si="1"/>
        <v>14.664999999999999</v>
      </c>
      <c r="OG5" s="38">
        <f t="shared" si="1"/>
        <v>0</v>
      </c>
      <c r="OH5" s="45" t="s">
        <v>44</v>
      </c>
      <c r="OI5" s="11">
        <f>IF(SUM(NN5:NQ5)-NR5&gt;0,SUM(NN5:NQ5)-NR5,"")</f>
        <v>41.844999999999999</v>
      </c>
      <c r="OJ5" s="11">
        <f>IF(NU5&gt;0,NU5,"")</f>
        <v>9.4499999999999993</v>
      </c>
      <c r="OK5" s="11">
        <f>IF(SUM(NS5:NV5)-NW5&gt;0,SUM(NS5:NV5)-NW5,"")</f>
        <v>48.272500000000001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90.117500000000007</v>
      </c>
      <c r="OO5" s="11">
        <f>IF(OE5&gt;0,OE5,"")</f>
        <v>10.100000000000001</v>
      </c>
      <c r="OP5" s="11">
        <f t="shared" ref="OP5" si="4">IF(SUM(OC5:OF5)-OG5&gt;0,SUM(OC5:OF5)-OG5,"")</f>
        <v>49.664999999999999</v>
      </c>
      <c r="OQ5" s="11">
        <f t="shared" ref="OQ5" si="5">IF(SUM(ON5,OP5)&gt;0,SUM(ON5,OP5),"")</f>
        <v>139.7825</v>
      </c>
    </row>
    <row r="6" spans="1:407" x14ac:dyDescent="0.2">
      <c r="A6" s="5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68" t="s">
        <v>68</v>
      </c>
      <c r="C6" s="5" t="s">
        <v>67</v>
      </c>
      <c r="D6" s="5">
        <v>2006</v>
      </c>
      <c r="E6" s="15">
        <f>SUM(I6:Q6)</f>
        <v>221.59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6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14">
        <f>IF(MAX(AT6,BX6,DB6)&gt;0,MAX(AT6,BX6,DB6),0)</f>
        <v>87.564999999999998</v>
      </c>
      <c r="J6" s="14" t="str">
        <f>IF(I6=0,"",IF(I6=DB6,$CB$1,IF(I6=BX6,$AX$1,IF(I6=AT6,$T$1,""))))</f>
        <v>2021 Canadian Championships</v>
      </c>
      <c r="K6" s="14">
        <f>IF($I6=$AT6,MAX(BS6,CW6),IF($I6=$BX6,MAX(AO6,CW6),IF($I6=$DB6,MAX(AO6,BS6),MAX(AO6,BS6,CW6))))</f>
        <v>39.625</v>
      </c>
      <c r="L6" s="14" t="str">
        <f>IF(K6=0,"",IF(AND(K6=CW6,$J6&lt;&gt;$CB$1),$CB$1,IF(AND(K6=BS6,$J6&lt;&gt;$AX$1),$AX$1,IF(AND(K6=AO6,$J6&lt;&gt;$T$1),$T$1,""))))</f>
        <v>2021 Elite Canada</v>
      </c>
      <c r="M6" s="14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47.589999999999996</v>
      </c>
      <c r="N6" s="14" t="str">
        <f>IF(M6=0,"",IF(AND(OR(M6=DA6,M6=CY6),$J6&lt;&gt;$CB$1),$CB$1,IF(AND(OR(M6=BW6,M6=BU6),$J6&lt;&gt;$AX$1),$AX$1,IF(AND(OR(M6=AS6,M6=AQ6),$J6&lt;&gt;$T$1),$T$1,""))))</f>
        <v>2021 Elite Canada</v>
      </c>
      <c r="O6" s="14">
        <f>MAX(AV6,BZ6,DD6)</f>
        <v>46.81</v>
      </c>
      <c r="P6" s="14" t="str">
        <f>IF(O6=0,"",IF(O6=DD6,$CB$1,IF(O6=BZ6,$AX$1,IF(O6=AV6,$T$1,""))))</f>
        <v>2021 Elite Canada</v>
      </c>
      <c r="Q6" s="14" t="str">
        <f>IF(MAX(DF6,DG6,DH6,DI6)&gt;0,MAX(DF6,DG6,DH6,DI6),"")</f>
        <v/>
      </c>
      <c r="R6" s="20" t="str">
        <f>IF(Q6="","",IF(Q6=DF6,"(Vol 1)",IF(Q6=DG6,"(Vol 2)",IF(Q6=DH6,"(Prelim)",IF(Q6=DI6,"(Final)")))))</f>
        <v/>
      </c>
      <c r="S6" s="14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38">
        <v>15.4</v>
      </c>
      <c r="U6" s="38">
        <v>9.1</v>
      </c>
      <c r="V6" s="38">
        <v>0</v>
      </c>
      <c r="W6" s="38">
        <v>15.125</v>
      </c>
      <c r="X6" s="38">
        <v>0</v>
      </c>
      <c r="Y6" s="38">
        <v>14.1</v>
      </c>
      <c r="Z6" s="38">
        <v>9.1999999999999993</v>
      </c>
      <c r="AA6" s="38">
        <v>9.8000000000000007</v>
      </c>
      <c r="AB6" s="38">
        <v>14.49</v>
      </c>
      <c r="AC6" s="38">
        <v>0</v>
      </c>
      <c r="AD6" s="38"/>
      <c r="AE6" s="38"/>
      <c r="AF6" s="38"/>
      <c r="AG6" s="38"/>
      <c r="AH6" s="38"/>
      <c r="AI6" s="38">
        <v>13.7</v>
      </c>
      <c r="AJ6" s="38">
        <v>9.1999999999999993</v>
      </c>
      <c r="AK6" s="38">
        <v>9.8000000000000007</v>
      </c>
      <c r="AL6" s="38">
        <v>14.11</v>
      </c>
      <c r="AM6" s="38">
        <v>0</v>
      </c>
      <c r="AN6" s="45"/>
      <c r="AO6" s="11">
        <f>IF(SUM(T6:W6)-X6&gt;0,SUM(T6:W6)-X6,"")</f>
        <v>39.625</v>
      </c>
      <c r="AP6" s="11">
        <f>IF(AA6&gt;0,AA6,"")</f>
        <v>9.8000000000000007</v>
      </c>
      <c r="AQ6" s="11">
        <f>IF(SUM(Y6:AB6)-AC6&gt;0,SUM(Y6:AB6)-AC6,"")</f>
        <v>47.589999999999996</v>
      </c>
      <c r="AR6" s="11" t="str">
        <f>IF(AF6&gt;0,AF6,"")</f>
        <v/>
      </c>
      <c r="AS6" s="11" t="str">
        <f>IF(SUM(AD6:AG6)-AH6&gt;0,SUM(AD6:AG6)-AH6,"")</f>
        <v/>
      </c>
      <c r="AT6" s="11">
        <f>IF(AO6="",IF(MAX(AQ6,AS6)&gt;0,MAX(AQ6,AS6),""),MAX(AQ6,AS6)+AO6)</f>
        <v>87.215000000000003</v>
      </c>
      <c r="AU6" s="11">
        <f>IF(AK6&gt;0,AK6,"")</f>
        <v>9.8000000000000007</v>
      </c>
      <c r="AV6" s="11">
        <f>IF(SUM(AI6:AL6)-AM6&gt;0,SUM(AI6:AL6)-AM6,"")</f>
        <v>46.81</v>
      </c>
      <c r="AW6" s="11">
        <f>IF(SUM(AT6,AV6)&gt;0,SUM(AT6,AV6),"")</f>
        <v>134.02500000000001</v>
      </c>
      <c r="AX6" s="42">
        <v>15.4</v>
      </c>
      <c r="AY6" s="42">
        <v>9.3000000000000007</v>
      </c>
      <c r="AZ6" s="42">
        <v>0</v>
      </c>
      <c r="BA6" s="42">
        <v>15.31</v>
      </c>
      <c r="BB6" s="42">
        <v>0</v>
      </c>
      <c r="BC6" s="42">
        <v>13.4</v>
      </c>
      <c r="BD6" s="42">
        <v>9.4</v>
      </c>
      <c r="BE6" s="42">
        <v>10.5</v>
      </c>
      <c r="BF6" s="42">
        <v>14.255000000000001</v>
      </c>
      <c r="BG6" s="42">
        <v>0</v>
      </c>
      <c r="BH6" s="42"/>
      <c r="BI6" s="42"/>
      <c r="BJ6" s="42"/>
      <c r="BK6" s="42"/>
      <c r="BL6" s="42"/>
      <c r="BM6" s="42">
        <v>13.4</v>
      </c>
      <c r="BN6" s="42">
        <v>9.1</v>
      </c>
      <c r="BO6" s="42">
        <v>8.4</v>
      </c>
      <c r="BP6" s="42">
        <v>14.234999999999999</v>
      </c>
      <c r="BQ6" s="42">
        <v>1.1000000000000001</v>
      </c>
      <c r="BR6" s="46"/>
      <c r="BS6" s="14">
        <f>IF(SUM(AX6:BA6)-BB6&gt;0,SUM(AX6:BA6)-BB6,"")</f>
        <v>40.010000000000005</v>
      </c>
      <c r="BT6" s="14">
        <f>IF(BE6&gt;0,BE6,"")</f>
        <v>10.5</v>
      </c>
      <c r="BU6" s="14">
        <f>IF(SUM(BC6:BF6)-BG6&gt;0,SUM(BC6:BF6)-BG6,"")</f>
        <v>47.555</v>
      </c>
      <c r="BV6" s="14" t="str">
        <f>IF(BJ6&gt;0,BJ6,"")</f>
        <v/>
      </c>
      <c r="BW6" s="14" t="str">
        <f>IF(SUM(BH6:BK6)-BL6&gt;0,SUM(BH6:BK6)-BL6,"")</f>
        <v/>
      </c>
      <c r="BX6" s="14">
        <f>IF(BS6="",IF(MAX(BU6,BW6)&gt;0,MAX(BU6,BW6),""),MAX(BU6,BW6)+BS6)</f>
        <v>87.564999999999998</v>
      </c>
      <c r="BY6" s="14">
        <f>IF(BO6&gt;0,BO6,"")</f>
        <v>8.4</v>
      </c>
      <c r="BZ6" s="14">
        <f>IF(SUM(BM6:BP6)-BQ6&gt;0,SUM(BM6:BP6)-BQ6,"")</f>
        <v>44.034999999999997</v>
      </c>
      <c r="CA6" s="14">
        <f>IF(SUM(BX6,BZ6)&gt;0,SUM(BX6,BZ6),"")</f>
        <v>131.6</v>
      </c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45"/>
      <c r="CW6" s="11" t="str">
        <f>IF(SUM(CB6:CE6)-CF6&gt;0,SUM(CB6:CE6)-CF6,"")</f>
        <v/>
      </c>
      <c r="CX6" s="11" t="str">
        <f>IF(CI6&gt;0,CI6,"")</f>
        <v/>
      </c>
      <c r="CY6" s="11" t="str">
        <f>IF(SUM(CG6:CJ6)-CK6&gt;0,SUM(CG6:CJ6)-CK6,"")</f>
        <v/>
      </c>
      <c r="CZ6" s="11" t="str">
        <f>IF(CN6&gt;0,CN6,"")</f>
        <v/>
      </c>
      <c r="DA6" s="11" t="str">
        <f>IF(SUM(CL6:CO6)-CP6&gt;0,SUM(CL6:CO6)-CP6,"")</f>
        <v/>
      </c>
      <c r="DB6" s="11" t="str">
        <f>IF(CW6="",IF(MAX(CY6,DA6)&gt;0,MAX(CY6,DA6),""),MAX(CY6,DA6)+CW6)</f>
        <v/>
      </c>
      <c r="DC6" s="11" t="str">
        <f>IF(CS6&gt;0,CS6,"")</f>
        <v/>
      </c>
      <c r="DD6" s="11" t="str">
        <f>IF(SUM(CQ6:CT6)-CU6&gt;0,SUM(CQ6:CT6)-CU6,"")</f>
        <v/>
      </c>
      <c r="DE6" s="11" t="str">
        <f>IF(SUM(DB6,DD6)&gt;0,SUM(DB6,DD6),"")</f>
        <v/>
      </c>
      <c r="DF6" s="19" t="str">
        <f>IF(K6&gt;=0.001,IF(MAX(DZ6,EV6,FR6,GN6,HJ6,IF6,JB6,JX6,KT6,LP6,ML6,NH6)-IF(K6="",0,K6)&gt;0.001,MAX(DZ6,EV6,FR6,GN6,HJ6,IF6,JB6,JX6,KT6,LP6,ML6,NH6)-IF(K6="",0,K6),""),"")</f>
        <v/>
      </c>
      <c r="DG6" s="19" t="str">
        <f>IF(M6&gt;=0.001,IF(MAX(EA6,EW6,FS6,GO6,HK6,IG6,JC6,JY6,KU6,LQ6,MM6,NI6)-IF(M6="",0,M6)&gt;0.001,MAX(EA6,EW6,FS6,GO6,HK6,IG6,JC6,JY6,KU6,LQ6,MM6,NI6)-IF(M6="",0,M6),""),"")</f>
        <v/>
      </c>
      <c r="DH6" s="19" t="str">
        <f>IF(I6&gt;=0.001,IF(MAX(EB6,EX6,FT6,GP6,HL6,IH6,JD6,JZ6,KV6,LR6,MN6,NJ6)-IF(I6="",0,I6)&gt;0.001,MAX(EB6,EX6,FT6,GP6,HL6,IH6,JD6,JZ6,KV6,LR6,MN6,NJ6)-IF(I6="",0,I6),""),"")</f>
        <v/>
      </c>
      <c r="DI6" s="19" t="str">
        <f>IF(O6&gt;=0.001,IF(MAX(ED6,EZ6,FV6,GR6,HN6,IJ6,JF6,KB6,KX6,LT6,MP6,NL6)-IF(O6="",0,O6)&gt;0.001,MAX(ED6,EZ6,FV6,GR6,HN6,IJ6,JF6,KB6,KX6,LT6,MP6,NL6)-IF(O6="",0,O6),""),"")</f>
        <v/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11" t="str">
        <f>IF(DQ6&gt;0,DQ6,"")</f>
        <v/>
      </c>
      <c r="DZ6" s="11" t="str">
        <f>IF(SUM(DJ6:DM6)-DN6&gt;0,SUM(DJ6:DM6)-DN6,"")</f>
        <v/>
      </c>
      <c r="EA6" s="11" t="str">
        <f>IF(SUM(DO6:DR6)-DS6&gt;0,SUM(DO6:DR6)-DS6,"")</f>
        <v/>
      </c>
      <c r="EB6" s="11" t="str">
        <f>IF(SUM(DZ6:EA6)&gt;0,SUM(DZ6:EA6),"")</f>
        <v/>
      </c>
      <c r="EC6" s="11" t="str">
        <f>IF(DV6&gt;0,DV6,"")</f>
        <v/>
      </c>
      <c r="ED6" s="11" t="str">
        <f>IF(SUM(DT6:DW6)-DX6&gt;0,SUM(DT6:DW6)-DX6,"")</f>
        <v/>
      </c>
      <c r="EE6" s="11" t="str">
        <f>IF(SUM(EB6,ED6)&gt;0,SUM(EB6,ED6),"")</f>
        <v/>
      </c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14" t="str">
        <f>IF(EM6&gt;0,EM6,"")</f>
        <v/>
      </c>
      <c r="EV6" s="14" t="str">
        <f>IF(SUM(EF6:EI6)-EJ6&gt;0,SUM(EF6:EI6)-EJ6,"")</f>
        <v/>
      </c>
      <c r="EW6" s="14" t="str">
        <f>IF(SUM(EK6:EN6)-EO6&gt;0,SUM(EK6:EN6)-EO6,"")</f>
        <v/>
      </c>
      <c r="EX6" s="14" t="str">
        <f>IF(SUM(EV6:EW6)&gt;0,SUM(EV6:EW6),"")</f>
        <v/>
      </c>
      <c r="EY6" s="14" t="str">
        <f>IF(ER6&gt;0,ER6,"")</f>
        <v/>
      </c>
      <c r="EZ6" s="14" t="str">
        <f>IF(SUM(EP6:ES6)-ET6&gt;0,SUM(EP6:ES6)-ET6,"")</f>
        <v/>
      </c>
      <c r="FA6" s="14" t="str">
        <f>IF(SUM(EX6,EZ6)&gt;0,SUM(EX6,EZ6),"")</f>
        <v/>
      </c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11" t="str">
        <f>IF(FI6&gt;0,FI6,"")</f>
        <v/>
      </c>
      <c r="FR6" s="11" t="str">
        <f>IF(SUM(FB6:FE6)-FF6&gt;0,SUM(FB6:FE6)-FF6,"")</f>
        <v/>
      </c>
      <c r="FS6" s="11" t="str">
        <f>IF(SUM(FG6:FJ6)-FK6&gt;0,SUM(FG6:FJ6)-FK6,"")</f>
        <v/>
      </c>
      <c r="FT6" s="11" t="str">
        <f>IF(SUM(FR6:FS6)&gt;0,SUM(FR6:FS6),"")</f>
        <v/>
      </c>
      <c r="FU6" s="11" t="str">
        <f>IF(FN6&gt;0,FN6,"")</f>
        <v/>
      </c>
      <c r="FV6" s="11" t="str">
        <f>IF(SUM(FL6:FO6)-FP6&gt;0,SUM(FL6:FO6)-FP6,"")</f>
        <v/>
      </c>
      <c r="FW6" s="11" t="str">
        <f>IF(SUM(FT6,FV6)&gt;0,SUM(FT6,FV6),"")</f>
        <v/>
      </c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14" t="str">
        <f>IF(GE6&gt;0,GE6,"")</f>
        <v/>
      </c>
      <c r="GN6" s="14" t="str">
        <f>IF(SUM(FX6:GA6)-GB6&gt;0,SUM(FX6:GA6)-GB6,"")</f>
        <v/>
      </c>
      <c r="GO6" s="14" t="str">
        <f>IF(SUM(GC6:GF6)-GG6&gt;0,SUM(GC6:GF6)-GG6,"")</f>
        <v/>
      </c>
      <c r="GP6" s="14" t="str">
        <f>IF(SUM(GN6:GO6)&gt;0,SUM(GN6:GO6),"")</f>
        <v/>
      </c>
      <c r="GQ6" s="14" t="str">
        <f>IF(GJ6&gt;0,GJ6,"")</f>
        <v/>
      </c>
      <c r="GR6" s="14" t="str">
        <f>IF(SUM(GH6:GK6)-GL6&gt;0,SUM(GH6:GK6)-GL6,"")</f>
        <v/>
      </c>
      <c r="GS6" s="14" t="str">
        <f>IF(SUM(GP6,GR6)&gt;0,SUM(GP6,GR6),"")</f>
        <v/>
      </c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11" t="str">
        <f>IF(HA6&gt;0,HA6,"")</f>
        <v/>
      </c>
      <c r="HJ6" s="11" t="str">
        <f>IF(SUM(GT6:GW6)-GX6&gt;0,SUM(GT6:GW6)-GX6,"")</f>
        <v/>
      </c>
      <c r="HK6" s="11" t="str">
        <f>IF(SUM(GY6:HB6)-HC6&gt;0,SUM(GY6:HB6)-HC6,"")</f>
        <v/>
      </c>
      <c r="HL6" s="11" t="str">
        <f>IF(SUM(HJ6:HK6)&gt;0,SUM(HJ6:HK6),"")</f>
        <v/>
      </c>
      <c r="HM6" s="11" t="str">
        <f>IF(HF6&gt;0,HF6,"")</f>
        <v/>
      </c>
      <c r="HN6" s="11" t="str">
        <f>IF(SUM(HD6:HG6)-HH6&gt;0,SUM(HD6:HG6)-HH6,"")</f>
        <v/>
      </c>
      <c r="HO6" s="11" t="str">
        <f>IF(SUM(HL6,HN6)&gt;0,SUM(HL6,HN6),"")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14" t="str">
        <f>IF(HW6&gt;0,HW6,"")</f>
        <v/>
      </c>
      <c r="IF6" s="14" t="str">
        <f>IF(SUM(HP6:HS6)-HT6&gt;0,SUM(HP6:HS6)-HT6,"")</f>
        <v/>
      </c>
      <c r="IG6" s="14" t="str">
        <f>IF(SUM(HU6:HX6)-HY6&gt;0,SUM(HU6:HX6)-HY6,"")</f>
        <v/>
      </c>
      <c r="IH6" s="14" t="str">
        <f>IF(SUM(IF6:IG6)&gt;0,SUM(IF6:IG6),"")</f>
        <v/>
      </c>
      <c r="II6" s="14" t="str">
        <f>IF(IB6&gt;0,IB6,"")</f>
        <v/>
      </c>
      <c r="IJ6" s="14" t="str">
        <f>IF(SUM(HZ6:IC6)-ID6&gt;0,SUM(HZ6:IC6)-ID6,"")</f>
        <v/>
      </c>
      <c r="IK6" s="14" t="str">
        <f>IF(SUM(IH6,IJ6)&gt;0,SUM(IH6,IJ6),"")</f>
        <v/>
      </c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11" t="str">
        <f>IF(IS6&gt;0,IS6,"")</f>
        <v/>
      </c>
      <c r="JB6" s="11" t="str">
        <f>IF(SUM(IL6:IO6)-IP6&gt;0,SUM(IL6:IO6)-IP6,"")</f>
        <v/>
      </c>
      <c r="JC6" s="11" t="str">
        <f>IF(SUM(IQ6:IT6)-IU6&gt;0,SUM(IQ6:IT6)-IU6,"")</f>
        <v/>
      </c>
      <c r="JD6" s="11" t="str">
        <f>IF(SUM(JB6:JC6)&gt;0,SUM(JB6:JC6),"")</f>
        <v/>
      </c>
      <c r="JE6" s="11" t="str">
        <f>IF(IX6&gt;0,IX6,"")</f>
        <v/>
      </c>
      <c r="JF6" s="11" t="str">
        <f>IF(SUM(IV6:IY6)-IZ6&gt;0,SUM(IV6:IY6)-IZ6,"")</f>
        <v/>
      </c>
      <c r="JG6" s="11" t="str">
        <f>IF(SUM(JD6,JF6)&gt;0,SUM(JD6,JF6),"")</f>
        <v/>
      </c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14" t="str">
        <f>IF(JO6&gt;0,JO6,"")</f>
        <v/>
      </c>
      <c r="JX6" s="14" t="str">
        <f>IF(SUM(JH6:JK6)-JL6&gt;0,SUM(JH6:JK6)-JL6,"")</f>
        <v/>
      </c>
      <c r="JY6" s="14" t="str">
        <f>IF(SUM(JM6:JP6)-JQ6&gt;0,SUM(JM6:JP6)-JQ6,"")</f>
        <v/>
      </c>
      <c r="JZ6" s="14" t="str">
        <f>IF(SUM(JX6:JY6)&gt;0,SUM(JX6:JY6),"")</f>
        <v/>
      </c>
      <c r="KA6" s="14" t="str">
        <f>IF(JT6&gt;0,JT6,"")</f>
        <v/>
      </c>
      <c r="KB6" s="14" t="str">
        <f>IF(SUM(JR6:JU6)-JV6&gt;0,SUM(JR6:JU6)-JV6,"")</f>
        <v/>
      </c>
      <c r="KC6" s="14" t="str">
        <f>IF(SUM(JZ6,KB6)&gt;0,SUM(JZ6,KB6),"")</f>
        <v/>
      </c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11" t="str">
        <f>IF(KK6&gt;0,KK6,"")</f>
        <v/>
      </c>
      <c r="KT6" s="11" t="str">
        <f>IF(SUM(KD6:KG6)-KH6&gt;0,SUM(KD6:KG6)-KH6,"")</f>
        <v/>
      </c>
      <c r="KU6" s="11" t="str">
        <f>IF(SUM(KI6:KL6)-KM6&gt;0,SUM(KI6:KL6)-KM6,"")</f>
        <v/>
      </c>
      <c r="KV6" s="11" t="str">
        <f>IF(SUM(KT6:KU6)&gt;0,SUM(KT6:KU6),"")</f>
        <v/>
      </c>
      <c r="KW6" s="11" t="str">
        <f>IF(KP6&gt;0,KP6,"")</f>
        <v/>
      </c>
      <c r="KX6" s="11" t="str">
        <f>IF(SUM(KN6:KQ6)-KR6&gt;0,SUM(KN6:KQ6)-KR6,"")</f>
        <v/>
      </c>
      <c r="KY6" s="11" t="str">
        <f>IF(SUM(KV6,KX6)&gt;0,SUM(KV6,KX6),"")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14" t="str">
        <f>IF(LG6&gt;0,LG6,"")</f>
        <v/>
      </c>
      <c r="LP6" s="14" t="str">
        <f>IF(SUM(KZ6:LC6)-LD6&gt;0,SUM(KZ6:LC6)-LD6,"")</f>
        <v/>
      </c>
      <c r="LQ6" s="14" t="str">
        <f>IF(SUM(LE6:LH6)-LI6&gt;0,SUM(LE6:LH6)-LI6,"")</f>
        <v/>
      </c>
      <c r="LR6" s="14" t="str">
        <f>IF(SUM(LP6:LQ6)&gt;0,SUM(LP6:LQ6),"")</f>
        <v/>
      </c>
      <c r="LS6" s="14" t="str">
        <f>IF(LL6&gt;0,LL6,"")</f>
        <v/>
      </c>
      <c r="LT6" s="14" t="str">
        <f>IF(SUM(LJ6:LM6)-LN6&gt;0,SUM(LJ6:LM6)-LN6,"")</f>
        <v/>
      </c>
      <c r="LU6" s="14" t="str">
        <f>IF(SUM(LR6,LT6)&gt;0,SUM(LR6,LT6),"")</f>
        <v/>
      </c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11" t="str">
        <f>IF(MC6&gt;0,MC6,"")</f>
        <v/>
      </c>
      <c r="ML6" s="11" t="str">
        <f>IF(SUM(LV6:LY6)-LZ6&gt;0,SUM(LV6:LY6)-LZ6,"")</f>
        <v/>
      </c>
      <c r="MM6" s="11" t="str">
        <f>IF(SUM(MA6:MD6)-ME6&gt;0,SUM(MA6:MD6)-ME6,"")</f>
        <v/>
      </c>
      <c r="MN6" s="11" t="str">
        <f>IF(SUM(ML6:MM6)&gt;0,SUM(ML6:MM6),"")</f>
        <v/>
      </c>
      <c r="MO6" s="11" t="str">
        <f>IF(MH6&gt;0,MH6,"")</f>
        <v/>
      </c>
      <c r="MP6" s="11" t="str">
        <f>IF(SUM(MF6:MI6)-MJ6&gt;0,SUM(MF6:MI6)-MJ6,"")</f>
        <v/>
      </c>
      <c r="MQ6" s="11" t="str">
        <f>IF(SUM(MN6,MP6)&gt;0,SUM(MN6,MP6),"")</f>
        <v/>
      </c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14" t="str">
        <f>IF(MY6&gt;0,MY6,"")</f>
        <v/>
      </c>
      <c r="NH6" s="14" t="str">
        <f>IF(SUM(MR6:MU6)-MV6&gt;0,SUM(MR6:MU6)-MV6,"")</f>
        <v/>
      </c>
      <c r="NI6" s="14" t="str">
        <f>IF(SUM(MW6:MZ6)-NA6&gt;0,SUM(MW6:MZ6)-NA6,"")</f>
        <v/>
      </c>
      <c r="NJ6" s="14" t="str">
        <f>IF(SUM(NH6:NI6)&gt;0,SUM(NH6:NI6),"")</f>
        <v/>
      </c>
      <c r="NK6" s="14" t="str">
        <f>IF(ND6&gt;0,ND6,"")</f>
        <v/>
      </c>
      <c r="NL6" s="14" t="str">
        <f>IF(SUM(NB6:NE6)-NF6&gt;0,SUM(NB6:NE6)-NF6,"")</f>
        <v/>
      </c>
      <c r="NM6" s="14" t="str">
        <f>IF(SUM(NJ6,NL6)&gt;0,SUM(NJ6,NL6),"")</f>
        <v/>
      </c>
      <c r="NN6" s="38">
        <f t="shared" si="0"/>
        <v>7.7</v>
      </c>
      <c r="NO6" s="38">
        <f t="shared" si="0"/>
        <v>4.6500000000000004</v>
      </c>
      <c r="NP6" s="38">
        <f t="shared" si="0"/>
        <v>0</v>
      </c>
      <c r="NQ6" s="38">
        <f t="shared" si="0"/>
        <v>7.6550000000000002</v>
      </c>
      <c r="NR6" s="38">
        <f t="shared" si="0"/>
        <v>0</v>
      </c>
      <c r="NS6" s="38">
        <f t="shared" si="0"/>
        <v>6.7</v>
      </c>
      <c r="NT6" s="38">
        <f t="shared" si="0"/>
        <v>4.7</v>
      </c>
      <c r="NU6" s="38">
        <f t="shared" si="0"/>
        <v>5.25</v>
      </c>
      <c r="NV6" s="38">
        <f t="shared" si="0"/>
        <v>7.1275000000000004</v>
      </c>
      <c r="NW6" s="38">
        <f t="shared" si="0"/>
        <v>0</v>
      </c>
      <c r="NX6" s="38">
        <f t="shared" si="1"/>
        <v>0</v>
      </c>
      <c r="NY6" s="38">
        <f t="shared" si="1"/>
        <v>0</v>
      </c>
      <c r="NZ6" s="38">
        <f t="shared" si="1"/>
        <v>0</v>
      </c>
      <c r="OA6" s="38">
        <f t="shared" si="1"/>
        <v>0</v>
      </c>
      <c r="OB6" s="38">
        <f t="shared" si="1"/>
        <v>0</v>
      </c>
      <c r="OC6" s="38">
        <f t="shared" si="1"/>
        <v>6.7</v>
      </c>
      <c r="OD6" s="38">
        <f t="shared" si="1"/>
        <v>4.55</v>
      </c>
      <c r="OE6" s="38">
        <f t="shared" si="1"/>
        <v>4.2</v>
      </c>
      <c r="OF6" s="38">
        <f t="shared" si="1"/>
        <v>7.1174999999999997</v>
      </c>
      <c r="OG6" s="38">
        <f t="shared" si="1"/>
        <v>0.55000000000000004</v>
      </c>
      <c r="OH6" s="45" t="s">
        <v>44</v>
      </c>
      <c r="OI6" s="11">
        <f>IF(SUM(NN6:NQ6)-NR6&gt;0,SUM(NN6:NQ6)-NR6,"")</f>
        <v>20.005000000000003</v>
      </c>
      <c r="OJ6" s="11">
        <f>IF(NU6&gt;0,NU6,"")</f>
        <v>5.25</v>
      </c>
      <c r="OK6" s="11">
        <f>IF(SUM(NS6:NV6)-NW6&gt;0,SUM(NS6:NV6)-NW6,"")</f>
        <v>23.7775</v>
      </c>
      <c r="OL6" s="11" t="str">
        <f>IF(NZ6&gt;0,NZ6,"")</f>
        <v/>
      </c>
      <c r="OM6" s="11" t="str">
        <f>IF(SUM(NX6:OA6)-OB6&gt;0,SUM(NX6:OA6)-OB6,"")</f>
        <v/>
      </c>
      <c r="ON6" s="11">
        <f>IF(OR(OI6&lt;&gt;"",OK6&lt;&gt;"",OM6&lt;&gt;""),OI6+MAX(OK6,OM6),"")</f>
        <v>43.782499999999999</v>
      </c>
      <c r="OO6" s="11">
        <f>IF(OE6&gt;0,OE6,"")</f>
        <v>4.2</v>
      </c>
      <c r="OP6" s="11">
        <f t="shared" ref="OP6" si="6">IF(SUM(OC6:OF6)-OG6&gt;0,SUM(OC6:OF6)-OG6,"")</f>
        <v>22.017499999999998</v>
      </c>
      <c r="OQ6" s="11">
        <f t="shared" ref="OQ6" si="7">IF(SUM(ON6,OP6)&gt;0,SUM(ON6,OP6),"")</f>
        <v>65.8</v>
      </c>
    </row>
    <row r="7" spans="1:407" x14ac:dyDescent="0.2">
      <c r="B7" s="6"/>
      <c r="D7" s="1"/>
    </row>
    <row r="9" spans="1:407" x14ac:dyDescent="0.2">
      <c r="B9" s="39" t="s">
        <v>42</v>
      </c>
      <c r="C9" s="33"/>
      <c r="AP9" s="66"/>
      <c r="AQ9" s="66"/>
      <c r="AR9" s="66"/>
      <c r="AU9" s="31"/>
      <c r="AW9" s="35">
        <v>11.2</v>
      </c>
      <c r="BT9" s="66"/>
      <c r="BU9" s="66"/>
      <c r="BV9" s="66"/>
      <c r="BY9" s="31"/>
      <c r="CA9" s="35">
        <v>11.2</v>
      </c>
      <c r="CX9" s="66"/>
      <c r="CY9" s="66"/>
      <c r="CZ9" s="66"/>
      <c r="DC9" s="31"/>
      <c r="DE9" s="35">
        <v>11.2</v>
      </c>
      <c r="DY9" s="33"/>
      <c r="EC9" s="31"/>
      <c r="EE9" s="35">
        <v>11.2</v>
      </c>
      <c r="EU9" s="33"/>
      <c r="EY9" s="31"/>
      <c r="FA9" s="35">
        <v>11.2</v>
      </c>
      <c r="FQ9" s="33"/>
      <c r="FU9" s="31"/>
      <c r="FW9" s="35">
        <v>11.2</v>
      </c>
      <c r="GM9" s="33"/>
      <c r="GQ9" s="31"/>
      <c r="GS9" s="35">
        <v>11.2</v>
      </c>
      <c r="HI9" s="33"/>
      <c r="HM9" s="31"/>
      <c r="HO9" s="35">
        <v>11.2</v>
      </c>
      <c r="IE9" s="33"/>
      <c r="II9" s="31"/>
      <c r="IK9" s="35">
        <v>11.2</v>
      </c>
      <c r="JA9" s="33"/>
      <c r="JE9" s="31"/>
      <c r="JG9" s="35">
        <v>11.2</v>
      </c>
      <c r="JW9" s="33"/>
      <c r="KA9" s="31"/>
      <c r="KC9" s="35">
        <v>11.2</v>
      </c>
      <c r="KS9" s="33"/>
      <c r="KW9" s="31"/>
      <c r="KY9" s="35">
        <v>11.2</v>
      </c>
      <c r="LO9" s="33"/>
      <c r="LS9" s="31"/>
      <c r="LU9" s="35">
        <v>11.2</v>
      </c>
      <c r="MK9" s="33"/>
      <c r="MO9" s="31"/>
      <c r="MQ9" s="35">
        <v>11.2</v>
      </c>
      <c r="NG9" s="33"/>
      <c r="NK9" s="31"/>
      <c r="NM9" s="35">
        <v>11.2</v>
      </c>
    </row>
    <row r="10" spans="1:407" hidden="1" x14ac:dyDescent="0.2">
      <c r="B10" s="48" t="s">
        <v>41</v>
      </c>
      <c r="C10" s="33"/>
      <c r="AP10" s="66"/>
      <c r="AQ10" s="66"/>
      <c r="AR10" s="66"/>
      <c r="AU10" s="31"/>
      <c r="AW10" s="50">
        <v>11.2</v>
      </c>
      <c r="BT10" s="66"/>
      <c r="BU10" s="66"/>
      <c r="BV10" s="66"/>
      <c r="BY10" s="31"/>
      <c r="CA10" s="50">
        <v>11.2</v>
      </c>
      <c r="CX10" s="66"/>
      <c r="CY10" s="66"/>
      <c r="CZ10" s="66"/>
      <c r="DC10" s="31"/>
      <c r="DE10" s="50">
        <v>11.2</v>
      </c>
      <c r="DY10" s="33"/>
      <c r="EC10" s="31"/>
      <c r="EE10" s="50">
        <v>11.2</v>
      </c>
      <c r="EU10" s="33"/>
      <c r="EY10" s="31"/>
      <c r="FA10" s="50">
        <v>11.2</v>
      </c>
      <c r="FQ10" s="33"/>
      <c r="FU10" s="31"/>
      <c r="FW10" s="50">
        <v>11.2</v>
      </c>
      <c r="GM10" s="33"/>
      <c r="GQ10" s="31"/>
      <c r="GS10" s="50">
        <v>11.2</v>
      </c>
      <c r="HI10" s="33"/>
      <c r="HM10" s="31"/>
      <c r="HO10" s="50">
        <v>11.2</v>
      </c>
      <c r="IE10" s="33"/>
      <c r="II10" s="31"/>
      <c r="IK10" s="50">
        <v>11.2</v>
      </c>
      <c r="JA10" s="33"/>
      <c r="JE10" s="31"/>
      <c r="JG10" s="50">
        <v>11.2</v>
      </c>
      <c r="JW10" s="33"/>
      <c r="KA10" s="31"/>
      <c r="KC10" s="50">
        <v>11.2</v>
      </c>
      <c r="KS10" s="33"/>
      <c r="KW10" s="31"/>
      <c r="KY10" s="50">
        <v>11.2</v>
      </c>
      <c r="LO10" s="33"/>
      <c r="LS10" s="31"/>
      <c r="LU10" s="50">
        <v>11.2</v>
      </c>
      <c r="MK10" s="33"/>
      <c r="MO10" s="31"/>
      <c r="MQ10" s="50">
        <v>11.2</v>
      </c>
      <c r="NG10" s="33"/>
      <c r="NK10" s="31"/>
      <c r="NM10" s="50">
        <v>11.2</v>
      </c>
    </row>
    <row r="11" spans="1:407" x14ac:dyDescent="0.2">
      <c r="A11" s="33"/>
      <c r="B11" s="49" t="s">
        <v>54</v>
      </c>
      <c r="C11" s="33"/>
      <c r="AP11" s="66"/>
      <c r="AQ11" s="66"/>
      <c r="AR11" s="66"/>
      <c r="AT11" s="31"/>
      <c r="AU11" s="31"/>
      <c r="AV11" s="31"/>
      <c r="AW11" s="51">
        <v>11.2</v>
      </c>
      <c r="BT11" s="66"/>
      <c r="BU11" s="66"/>
      <c r="BV11" s="66"/>
      <c r="BY11" s="31"/>
      <c r="CA11" s="51">
        <v>11.2</v>
      </c>
      <c r="CX11" s="66"/>
      <c r="CY11" s="66"/>
      <c r="CZ11" s="66"/>
      <c r="DB11" s="31"/>
      <c r="DC11" s="31"/>
      <c r="DD11" s="31"/>
      <c r="DE11" s="51">
        <v>11.2</v>
      </c>
      <c r="DY11" s="33"/>
      <c r="EC11" s="31"/>
      <c r="EE11" s="51">
        <v>11.2</v>
      </c>
      <c r="EU11" s="33"/>
      <c r="EY11" s="31"/>
      <c r="FA11" s="51">
        <v>11.2</v>
      </c>
      <c r="FQ11" s="33"/>
      <c r="FU11" s="31"/>
      <c r="FW11" s="51">
        <v>11.2</v>
      </c>
      <c r="GM11" s="33"/>
      <c r="GQ11" s="31"/>
      <c r="GS11" s="51">
        <v>11.2</v>
      </c>
      <c r="HI11" s="33"/>
      <c r="HM11" s="31"/>
      <c r="HO11" s="51">
        <v>11.2</v>
      </c>
      <c r="IE11" s="33"/>
      <c r="II11" s="31"/>
      <c r="IK11" s="51">
        <v>11.2</v>
      </c>
      <c r="JA11" s="33"/>
      <c r="JE11" s="31"/>
      <c r="JG11" s="51">
        <v>11.2</v>
      </c>
      <c r="JW11" s="33"/>
      <c r="KA11" s="31"/>
      <c r="KC11" s="51">
        <v>11.2</v>
      </c>
      <c r="KS11" s="33"/>
      <c r="KW11" s="31"/>
      <c r="KY11" s="51">
        <v>11.2</v>
      </c>
      <c r="LO11" s="33"/>
      <c r="LS11" s="31"/>
      <c r="LU11" s="51">
        <v>11.2</v>
      </c>
      <c r="MK11" s="33"/>
      <c r="MO11" s="31"/>
      <c r="MQ11" s="51">
        <v>11.2</v>
      </c>
      <c r="NG11" s="33"/>
      <c r="NK11" s="31"/>
      <c r="NM11" s="51">
        <v>11.2</v>
      </c>
    </row>
    <row r="12" spans="1:407" x14ac:dyDescent="0.2">
      <c r="A12" s="33"/>
      <c r="B12" s="62" t="s">
        <v>59</v>
      </c>
      <c r="C12" s="33"/>
      <c r="AP12" s="66"/>
      <c r="AQ12" s="66"/>
      <c r="AR12" s="66"/>
      <c r="AT12" s="31"/>
      <c r="AU12" s="31"/>
      <c r="AV12" s="31"/>
      <c r="AW12" s="63">
        <v>11.2</v>
      </c>
      <c r="BT12" s="66"/>
      <c r="BU12" s="66"/>
      <c r="BV12" s="66"/>
      <c r="BY12" s="31"/>
      <c r="CA12" s="63">
        <v>11.2</v>
      </c>
      <c r="CX12" s="66"/>
      <c r="CY12" s="66"/>
      <c r="CZ12" s="66"/>
      <c r="DB12" s="31"/>
      <c r="DC12" s="31"/>
      <c r="DD12" s="31"/>
      <c r="DE12" s="63">
        <v>11.2</v>
      </c>
      <c r="DY12" s="33"/>
      <c r="EC12" s="31"/>
      <c r="EE12" s="63">
        <v>11.2</v>
      </c>
      <c r="EU12" s="33"/>
      <c r="EY12" s="31"/>
      <c r="FA12" s="63">
        <v>11.2</v>
      </c>
      <c r="FQ12" s="33"/>
      <c r="FU12" s="31"/>
      <c r="FW12" s="63">
        <v>11.2</v>
      </c>
      <c r="GM12" s="33"/>
      <c r="GQ12" s="31"/>
      <c r="GS12" s="63">
        <v>11.2</v>
      </c>
      <c r="HI12" s="33"/>
      <c r="HM12" s="31"/>
      <c r="HO12" s="63">
        <v>11.2</v>
      </c>
      <c r="IE12" s="33"/>
      <c r="II12" s="31"/>
      <c r="IK12" s="63">
        <v>11.2</v>
      </c>
      <c r="JA12" s="33"/>
      <c r="JE12" s="31"/>
      <c r="JG12" s="63">
        <v>11.2</v>
      </c>
      <c r="JW12" s="33"/>
      <c r="KA12" s="31"/>
      <c r="KC12" s="63">
        <v>11.2</v>
      </c>
      <c r="KS12" s="33"/>
      <c r="KW12" s="31"/>
      <c r="KY12" s="63">
        <v>11.2</v>
      </c>
      <c r="LO12" s="33"/>
      <c r="LS12" s="31"/>
      <c r="LU12" s="63">
        <v>11.2</v>
      </c>
      <c r="MK12" s="33"/>
      <c r="MO12" s="31"/>
      <c r="MQ12" s="63">
        <v>11.2</v>
      </c>
      <c r="NG12" s="33"/>
      <c r="NK12" s="31"/>
      <c r="NM12" s="63">
        <v>11.2</v>
      </c>
    </row>
    <row r="13" spans="1:407" x14ac:dyDescent="0.2">
      <c r="A13" s="33"/>
      <c r="B13" s="60" t="s">
        <v>39</v>
      </c>
      <c r="C13" s="33"/>
      <c r="M13" s="2"/>
      <c r="AP13" s="66"/>
      <c r="AQ13" s="66"/>
      <c r="AR13" s="66"/>
      <c r="AT13" s="31"/>
      <c r="AU13" s="31"/>
      <c r="AV13" s="31"/>
      <c r="AW13" s="61">
        <v>90.2</v>
      </c>
      <c r="BT13" s="66"/>
      <c r="BU13" s="66"/>
      <c r="BV13" s="66"/>
      <c r="BY13" s="31"/>
      <c r="CA13" s="61">
        <v>90.2</v>
      </c>
      <c r="CX13" s="66"/>
      <c r="CY13" s="66"/>
      <c r="CZ13" s="66"/>
      <c r="DB13" s="31"/>
      <c r="DC13" s="31"/>
      <c r="DD13" s="31"/>
      <c r="DE13" s="61">
        <v>90.2</v>
      </c>
      <c r="DY13" s="33"/>
      <c r="EC13" s="31"/>
      <c r="EE13" s="61">
        <v>90.2</v>
      </c>
      <c r="EU13" s="33"/>
      <c r="EY13" s="31"/>
      <c r="FA13" s="61">
        <v>90.2</v>
      </c>
      <c r="FQ13" s="33"/>
      <c r="FU13" s="31"/>
      <c r="FW13" s="61">
        <v>90.2</v>
      </c>
      <c r="GM13" s="33"/>
      <c r="GQ13" s="31"/>
      <c r="GS13" s="61">
        <v>90.2</v>
      </c>
      <c r="HI13" s="33"/>
      <c r="HM13" s="31"/>
      <c r="HO13" s="61">
        <v>90.2</v>
      </c>
      <c r="IE13" s="33"/>
      <c r="II13" s="31"/>
      <c r="IK13" s="61">
        <v>90.2</v>
      </c>
      <c r="JA13" s="33"/>
      <c r="JE13" s="31"/>
      <c r="JG13" s="61">
        <v>90.2</v>
      </c>
      <c r="JW13" s="33"/>
      <c r="KA13" s="31"/>
      <c r="KC13" s="61">
        <v>90.2</v>
      </c>
      <c r="KS13" s="33"/>
      <c r="KW13" s="31"/>
      <c r="KY13" s="61">
        <v>90.2</v>
      </c>
      <c r="LO13" s="33"/>
      <c r="LS13" s="31"/>
      <c r="LU13" s="61">
        <v>90.2</v>
      </c>
      <c r="MK13" s="33"/>
      <c r="MO13" s="31"/>
      <c r="MQ13" s="61">
        <v>90.2</v>
      </c>
      <c r="NG13" s="33"/>
      <c r="NK13" s="31"/>
      <c r="NM13" s="61">
        <v>90.2</v>
      </c>
    </row>
    <row r="14" spans="1:407" hidden="1" x14ac:dyDescent="0.2">
      <c r="A14" s="33"/>
      <c r="B14" s="40" t="s">
        <v>40</v>
      </c>
      <c r="C14" s="33"/>
      <c r="M14" s="2"/>
      <c r="AP14" s="66"/>
      <c r="AQ14" s="66"/>
      <c r="AR14" s="66"/>
      <c r="AT14" s="31"/>
      <c r="AU14" s="31"/>
      <c r="AV14" s="31"/>
      <c r="AW14" s="36">
        <v>93.1</v>
      </c>
      <c r="BT14" s="66"/>
      <c r="BU14" s="66"/>
      <c r="BV14" s="66"/>
      <c r="BY14" s="31"/>
      <c r="CA14" s="36">
        <v>93.1</v>
      </c>
      <c r="CX14" s="66"/>
      <c r="CY14" s="66"/>
      <c r="CZ14" s="66"/>
      <c r="DB14" s="31"/>
      <c r="DC14" s="31"/>
      <c r="DD14" s="31"/>
      <c r="DE14" s="36">
        <v>93.1</v>
      </c>
      <c r="DY14" s="33"/>
      <c r="EC14" s="31"/>
      <c r="EE14" s="36">
        <v>93.1</v>
      </c>
      <c r="EU14" s="33"/>
      <c r="EY14" s="31"/>
      <c r="FA14" s="36">
        <v>93.1</v>
      </c>
      <c r="FQ14" s="33"/>
      <c r="FU14" s="31"/>
      <c r="FW14" s="36">
        <v>93.1</v>
      </c>
      <c r="GM14" s="33"/>
      <c r="GQ14" s="31"/>
      <c r="GS14" s="36">
        <v>93.1</v>
      </c>
      <c r="HI14" s="33"/>
      <c r="HM14" s="31"/>
      <c r="HO14" s="36">
        <v>93.1</v>
      </c>
      <c r="IE14" s="33"/>
      <c r="II14" s="31"/>
      <c r="IK14" s="36">
        <v>93.1</v>
      </c>
      <c r="JA14" s="33"/>
      <c r="JE14" s="31"/>
      <c r="JG14" s="36">
        <v>93.1</v>
      </c>
      <c r="JW14" s="33"/>
      <c r="KA14" s="31"/>
      <c r="KC14" s="36">
        <v>93.1</v>
      </c>
      <c r="KS14" s="33"/>
      <c r="KW14" s="31"/>
      <c r="KY14" s="36">
        <v>93.1</v>
      </c>
      <c r="LO14" s="33"/>
      <c r="LS14" s="31"/>
      <c r="LU14" s="36">
        <v>93.1</v>
      </c>
      <c r="MK14" s="33"/>
      <c r="MO14" s="31"/>
      <c r="MQ14" s="36">
        <v>93.1</v>
      </c>
      <c r="NG14" s="33"/>
      <c r="NK14" s="31"/>
      <c r="NM14" s="36">
        <v>93.1</v>
      </c>
    </row>
    <row r="15" spans="1:407" x14ac:dyDescent="0.2">
      <c r="A15" s="33"/>
      <c r="B15" s="58" t="s">
        <v>53</v>
      </c>
      <c r="C15" s="33"/>
      <c r="AP15" s="66"/>
      <c r="AQ15" s="66"/>
      <c r="AR15" s="66"/>
      <c r="AT15" s="31"/>
      <c r="AU15" s="31"/>
      <c r="AV15" s="71"/>
      <c r="AW15" s="59">
        <v>93.1</v>
      </c>
      <c r="BT15" s="66"/>
      <c r="BU15" s="66"/>
      <c r="BV15" s="66"/>
      <c r="BY15" s="31"/>
      <c r="BZ15" s="70"/>
      <c r="CA15" s="59">
        <v>93.1</v>
      </c>
      <c r="CX15" s="66"/>
      <c r="CY15" s="66"/>
      <c r="CZ15" s="66"/>
      <c r="DB15" s="31"/>
      <c r="DC15" s="31"/>
      <c r="DD15" s="31"/>
      <c r="DE15" s="59">
        <v>93.1</v>
      </c>
      <c r="DY15" s="33"/>
      <c r="EC15" s="31"/>
      <c r="EE15" s="59">
        <v>93.1</v>
      </c>
      <c r="EU15" s="33"/>
      <c r="EY15" s="31"/>
      <c r="FA15" s="59">
        <v>93.1</v>
      </c>
      <c r="FQ15" s="33"/>
      <c r="FU15" s="31"/>
      <c r="FW15" s="59">
        <v>93.1</v>
      </c>
      <c r="GM15" s="33"/>
      <c r="GQ15" s="31"/>
      <c r="GR15" s="70"/>
      <c r="GS15" s="59">
        <v>93.1</v>
      </c>
      <c r="HI15" s="33"/>
      <c r="HM15" s="31"/>
      <c r="HN15" s="70"/>
      <c r="HO15" s="59">
        <v>93.1</v>
      </c>
      <c r="IE15" s="33"/>
      <c r="II15" s="31"/>
      <c r="IK15" s="59">
        <v>93.1</v>
      </c>
      <c r="JA15" s="33"/>
      <c r="JE15" s="31"/>
      <c r="JG15" s="59">
        <v>93.1</v>
      </c>
      <c r="JW15" s="33"/>
      <c r="KA15" s="31"/>
      <c r="KB15" s="72"/>
      <c r="KC15" s="59">
        <v>93.1</v>
      </c>
      <c r="KS15" s="33"/>
      <c r="KW15" s="31"/>
      <c r="KY15" s="59">
        <v>93.1</v>
      </c>
      <c r="LO15" s="33"/>
      <c r="LS15" s="31"/>
      <c r="LU15" s="59">
        <v>93.1</v>
      </c>
      <c r="MK15" s="33"/>
      <c r="MO15" s="31"/>
      <c r="MP15" s="72"/>
      <c r="MQ15" s="59">
        <v>93.1</v>
      </c>
      <c r="NG15" s="33"/>
      <c r="NK15" s="31"/>
      <c r="NM15" s="59">
        <v>93.1</v>
      </c>
    </row>
    <row r="16" spans="1:407" x14ac:dyDescent="0.2">
      <c r="A16" s="33"/>
      <c r="B16" s="41" t="s">
        <v>26</v>
      </c>
      <c r="C16" s="33"/>
      <c r="M16" s="2"/>
      <c r="AP16" s="66"/>
      <c r="AQ16" s="66"/>
      <c r="AR16" s="66"/>
      <c r="AT16" s="31"/>
      <c r="AU16" s="31"/>
      <c r="AV16" s="31"/>
      <c r="AW16" s="37">
        <v>51.8</v>
      </c>
      <c r="BT16" s="66"/>
      <c r="BU16" s="66"/>
      <c r="BV16" s="66"/>
      <c r="BY16" s="31"/>
      <c r="CA16" s="37">
        <v>51.8</v>
      </c>
      <c r="CX16" s="66"/>
      <c r="CY16" s="66"/>
      <c r="CZ16" s="66"/>
      <c r="DB16" s="31"/>
      <c r="DC16" s="31"/>
      <c r="DD16" s="31"/>
      <c r="DE16" s="37">
        <v>51</v>
      </c>
      <c r="DY16" s="33"/>
      <c r="EC16" s="31"/>
      <c r="EE16" s="37">
        <v>51</v>
      </c>
      <c r="EU16" s="33"/>
      <c r="EY16" s="31"/>
      <c r="FA16" s="37">
        <v>51</v>
      </c>
      <c r="FQ16" s="33"/>
      <c r="FU16" s="31"/>
      <c r="FW16" s="37">
        <v>51</v>
      </c>
      <c r="GM16" s="33"/>
      <c r="GQ16" s="31"/>
      <c r="GR16" s="70"/>
      <c r="GS16" s="37">
        <v>51</v>
      </c>
      <c r="HI16" s="33"/>
      <c r="HM16" s="31"/>
      <c r="HO16" s="37">
        <v>51</v>
      </c>
      <c r="IE16" s="33"/>
      <c r="II16" s="31"/>
      <c r="IK16" s="37">
        <v>51</v>
      </c>
      <c r="JA16" s="33"/>
      <c r="JE16" s="31"/>
      <c r="JG16" s="37">
        <v>51</v>
      </c>
      <c r="JW16" s="33"/>
      <c r="KA16" s="31"/>
      <c r="KC16" s="37">
        <v>51</v>
      </c>
      <c r="KS16" s="33"/>
      <c r="KW16" s="31"/>
      <c r="KY16" s="37">
        <v>51</v>
      </c>
      <c r="LO16" s="33"/>
      <c r="LS16" s="31"/>
      <c r="LU16" s="37">
        <v>51</v>
      </c>
      <c r="MK16" s="33"/>
      <c r="MO16" s="31"/>
      <c r="MQ16" s="37">
        <v>51</v>
      </c>
      <c r="NG16" s="33"/>
      <c r="NK16" s="31"/>
      <c r="NM16" s="37">
        <v>51</v>
      </c>
    </row>
    <row r="17" spans="1:152" x14ac:dyDescent="0.2">
      <c r="B17" s="47" t="s">
        <v>45</v>
      </c>
      <c r="C17" s="2"/>
      <c r="AS17" s="31"/>
      <c r="AT17" s="31"/>
      <c r="AV17" s="31"/>
      <c r="DA17" s="31"/>
      <c r="DB17" s="31"/>
      <c r="DD17" s="31"/>
      <c r="EV17" s="31"/>
    </row>
    <row r="18" spans="1:152" x14ac:dyDescent="0.2">
      <c r="A18" s="33"/>
      <c r="B18" s="33"/>
      <c r="C18" s="32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52" ht="17" x14ac:dyDescent="0.2">
      <c r="A19" s="33"/>
      <c r="B19" s="33"/>
      <c r="C19" s="32"/>
      <c r="Q19" s="16"/>
      <c r="R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52" ht="17" x14ac:dyDescent="0.2">
      <c r="A20" s="33"/>
      <c r="B20" s="33"/>
      <c r="C20" s="32"/>
      <c r="Q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52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52" ht="17" x14ac:dyDescent="0.2"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152" ht="17" x14ac:dyDescent="0.2">
      <c r="Q23" s="16"/>
      <c r="R23" s="16"/>
      <c r="AO23" s="31"/>
      <c r="AP23" s="31"/>
      <c r="AQ23" s="31"/>
      <c r="AR23" s="31"/>
      <c r="AS23" s="31"/>
      <c r="AT23" s="31"/>
      <c r="AV23" s="31"/>
      <c r="CW23" s="31"/>
      <c r="CX23" s="31"/>
      <c r="CY23" s="31"/>
      <c r="CZ23" s="31"/>
      <c r="DA23" s="31"/>
      <c r="DB23" s="31"/>
      <c r="DD23" s="31"/>
    </row>
    <row r="24" spans="1:152" ht="17" x14ac:dyDescent="0.2">
      <c r="Q24" s="16"/>
      <c r="R24" s="16"/>
      <c r="S24" s="16"/>
    </row>
    <row r="25" spans="1:152" ht="17" x14ac:dyDescent="0.2">
      <c r="Q25" s="16"/>
      <c r="R25" s="16"/>
      <c r="S25" s="16"/>
    </row>
    <row r="26" spans="1:152" ht="17" x14ac:dyDescent="0.2">
      <c r="Q26" s="16"/>
      <c r="R26" s="16"/>
      <c r="S26" s="16"/>
    </row>
    <row r="27" spans="1:152" ht="17" x14ac:dyDescent="0.2">
      <c r="Q27" s="16"/>
      <c r="R27" s="16"/>
      <c r="S27" s="16"/>
    </row>
    <row r="28" spans="1:152" ht="17" x14ac:dyDescent="0.2">
      <c r="Q28" s="16"/>
      <c r="R28" s="16"/>
      <c r="S28" s="16"/>
    </row>
    <row r="29" spans="1:152" ht="17" x14ac:dyDescent="0.2">
      <c r="Q29" s="16"/>
      <c r="R29" s="16"/>
      <c r="S29" s="16"/>
    </row>
    <row r="30" spans="1:152" ht="17" x14ac:dyDescent="0.2">
      <c r="Q30" s="16"/>
      <c r="R30" s="16"/>
      <c r="S30" s="16"/>
    </row>
    <row r="31" spans="1:152" ht="17" x14ac:dyDescent="0.2">
      <c r="Q31" s="16"/>
      <c r="R31" s="16"/>
      <c r="S31" s="16"/>
    </row>
    <row r="32" spans="1:152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  <row r="38" spans="17:19" ht="17" x14ac:dyDescent="0.2">
      <c r="Q38" s="16"/>
      <c r="R38" s="16"/>
      <c r="S38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7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6">
    <cfRule type="expression" dxfId="146" priority="6" stopIfTrue="1">
      <formula>IF($AN4&lt;&gt;"",1,0)</formula>
    </cfRule>
  </conditionalFormatting>
  <conditionalFormatting sqref="AX4:CA6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6">
    <cfRule type="expression" dxfId="141" priority="15" stopIfTrue="1">
      <formula>IF($CV4&lt;&gt;"",1,0)</formula>
    </cfRule>
  </conditionalFormatting>
  <conditionalFormatting sqref="GR17:GR1048576 HN16:HN1048576 KB16:KB1048576 MP16:MP1048576 AV1:AV1048576 BZ1:BZ1048576 DD1:DD1048576 ED1:ED1048576 EZ1:EZ1048576 FV1:FV1048576 GR1:GR14 HN1:HN14 IJ1:IJ1048576 JF1:JF1048576 KB1:KB14 KX1:KX1048576 LT1:LT1048576 MP1:MP14 NL1:NL1048576">
    <cfRule type="cellIs" dxfId="140" priority="37584" operator="between">
      <formula>AW$16</formula>
      <formula>1000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9" priority="46506" operator="between">
      <formula>AW$16</formula>
      <formula>1000</formula>
    </cfRule>
    <cfRule type="cellIs" dxfId="138" priority="46507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7" priority="46596" operator="between">
      <formula>AW$15</formula>
      <formula>1000</formula>
    </cfRule>
    <cfRule type="cellIs" dxfId="136" priority="46597" operator="between">
      <formula>AW$14</formula>
      <formula>AW$15</formula>
    </cfRule>
    <cfRule type="cellIs" dxfId="135" priority="46598" operator="between">
      <formula>AW$13</formula>
      <formula>AW$14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4" priority="46731" operator="between">
      <formula>EE$12</formula>
      <formula>1000</formula>
    </cfRule>
    <cfRule type="cellIs" dxfId="133" priority="46732" operator="between">
      <formula>EE$11</formula>
      <formula>EE$12</formula>
    </cfRule>
    <cfRule type="cellIs" dxfId="132" priority="46733" operator="between">
      <formula>EE$10</formula>
      <formula>EE$11</formula>
    </cfRule>
    <cfRule type="cellIs" dxfId="131" priority="46734" operator="between">
      <formula>EE$9</formula>
      <formula>EE$10</formula>
    </cfRule>
  </conditionalFormatting>
  <conditionalFormatting sqref="AP1:AP1048576 BT1:BT1048576 CX1:CX1048576">
    <cfRule type="cellIs" dxfId="130" priority="46875" operator="between">
      <formula>AW$12</formula>
      <formula>1000</formula>
    </cfRule>
    <cfRule type="cellIs" dxfId="129" priority="46876" operator="between">
      <formula>AW$11</formula>
      <formula>AW$12</formula>
    </cfRule>
    <cfRule type="cellIs" dxfId="128" priority="46877" operator="between">
      <formula>AW$10</formula>
      <formula>AW$11</formula>
    </cfRule>
    <cfRule type="cellIs" dxfId="127" priority="46878" operator="between">
      <formula>AW$9</formula>
      <formula>AW$10</formula>
    </cfRule>
  </conditionalFormatting>
  <conditionalFormatting sqref="AQ1:AQ1048576 BU1:BU1048576 CY1:CY1048576">
    <cfRule type="cellIs" dxfId="126" priority="46911" operator="between">
      <formula>AW$16</formula>
      <formula>1000</formula>
    </cfRule>
  </conditionalFormatting>
  <conditionalFormatting sqref="AR1:AR1048576 BV1:BV1048576 CZ1:CZ1048576">
    <cfRule type="cellIs" dxfId="125" priority="46920" operator="between">
      <formula>AW$12</formula>
      <formula>1000</formula>
    </cfRule>
    <cfRule type="cellIs" dxfId="124" priority="46921" operator="between">
      <formula>AW$11</formula>
      <formula>AW$12</formula>
    </cfRule>
    <cfRule type="cellIs" dxfId="123" priority="46922" operator="between">
      <formula>AW$10</formula>
      <formula>AW$11</formula>
    </cfRule>
    <cfRule type="cellIs" dxfId="122" priority="46923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21" priority="46956" operator="between">
      <formula>AW$12</formula>
      <formula>1000</formula>
    </cfRule>
    <cfRule type="cellIs" dxfId="120" priority="46957" operator="between">
      <formula>AW$11</formula>
      <formula>AW$12</formula>
    </cfRule>
    <cfRule type="cellIs" dxfId="119" priority="46958" operator="between">
      <formula>AW$10</formula>
      <formula>AW$11</formula>
    </cfRule>
    <cfRule type="cellIs" dxfId="118" priority="46959" operator="between">
      <formula>AW$9</formula>
      <formula>AW$10</formula>
    </cfRule>
  </conditionalFormatting>
  <conditionalFormatting sqref="A1:A1048576">
    <cfRule type="expression" dxfId="117" priority="48719">
      <formula>AND(#REF!&lt;&gt;"",G1="")</formula>
    </cfRule>
  </conditionalFormatting>
  <conditionalFormatting sqref="H1:H3">
    <cfRule type="containsText" dxfId="116" priority="1" operator="containsText" text="No DD">
      <formula>NOT(ISERROR(SEARCH("No DD",H1)))</formula>
    </cfRule>
    <cfRule type="containsText" dxfId="115" priority="2" operator="containsText" text="Merit">
      <formula>NOT(ISERROR(SEARCH("Merit",H1)))</formula>
    </cfRule>
    <cfRule type="containsText" dxfId="114" priority="3" operator="containsText" text="Excellence">
      <formula>NOT(ISERROR(SEARCH("Excellence",H1)))</formula>
    </cfRule>
    <cfRule type="containsText" dxfId="113" priority="4" operator="containsText" text="Worlds Team">
      <formula>NOT(ISERROR(SEARCH("Worlds Team",H1)))</formula>
    </cfRule>
    <cfRule type="containsText" dxfId="112" priority="5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7" t="s">
        <v>5</v>
      </c>
      <c r="H1" s="106" t="s">
        <v>6</v>
      </c>
      <c r="I1" s="111" t="s">
        <v>79</v>
      </c>
      <c r="J1" s="108" t="s">
        <v>24</v>
      </c>
      <c r="K1" s="111" t="s">
        <v>80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3" t="s">
        <v>70</v>
      </c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3" t="s">
        <v>75</v>
      </c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10" t="s">
        <v>51</v>
      </c>
      <c r="CV1" s="110"/>
      <c r="CW1" s="103"/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3" t="s">
        <v>55</v>
      </c>
      <c r="OX1" s="103"/>
      <c r="OY1" s="103"/>
      <c r="OZ1" s="103"/>
      <c r="PA1" s="103"/>
      <c r="PB1" s="103"/>
      <c r="PC1" s="103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11"/>
      <c r="J2" s="108"/>
      <c r="K2" s="111"/>
      <c r="L2" s="108"/>
      <c r="M2" s="108"/>
      <c r="N2" s="108"/>
      <c r="O2" s="109"/>
      <c r="P2" s="108"/>
      <c r="Q2" s="108"/>
      <c r="R2" s="102" t="s">
        <v>81</v>
      </c>
      <c r="S2" s="102"/>
      <c r="T2" s="102"/>
      <c r="U2" s="102"/>
      <c r="V2" s="102" t="s">
        <v>82</v>
      </c>
      <c r="W2" s="102"/>
      <c r="X2" s="102"/>
      <c r="Y2" s="102"/>
      <c r="Z2" s="102" t="s">
        <v>83</v>
      </c>
      <c r="AA2" s="102"/>
      <c r="AB2" s="102"/>
      <c r="AC2" s="102"/>
      <c r="AD2" s="102" t="s">
        <v>84</v>
      </c>
      <c r="AE2" s="102"/>
      <c r="AF2" s="102"/>
      <c r="AG2" s="102"/>
      <c r="AH2" s="112" t="s">
        <v>85</v>
      </c>
      <c r="AI2" s="112"/>
      <c r="AJ2" s="112"/>
      <c r="AK2" s="112"/>
      <c r="AL2" s="74"/>
      <c r="AM2" s="74" t="s">
        <v>86</v>
      </c>
      <c r="AN2" s="74" t="s">
        <v>87</v>
      </c>
      <c r="AO2" s="74" t="s">
        <v>83</v>
      </c>
      <c r="AP2" s="74" t="s">
        <v>56</v>
      </c>
      <c r="AQ2" s="74" t="s">
        <v>88</v>
      </c>
      <c r="AR2" s="74" t="s">
        <v>14</v>
      </c>
      <c r="AS2" s="104" t="s">
        <v>81</v>
      </c>
      <c r="AT2" s="104"/>
      <c r="AU2" s="104"/>
      <c r="AV2" s="104"/>
      <c r="AW2" s="104" t="s">
        <v>82</v>
      </c>
      <c r="AX2" s="104"/>
      <c r="AY2" s="104"/>
      <c r="AZ2" s="104"/>
      <c r="BA2" s="104" t="s">
        <v>83</v>
      </c>
      <c r="BB2" s="104"/>
      <c r="BC2" s="104"/>
      <c r="BD2" s="104"/>
      <c r="BE2" s="104" t="s">
        <v>84</v>
      </c>
      <c r="BF2" s="104"/>
      <c r="BG2" s="104"/>
      <c r="BH2" s="104"/>
      <c r="BI2" s="113" t="s">
        <v>85</v>
      </c>
      <c r="BJ2" s="113"/>
      <c r="BK2" s="113"/>
      <c r="BL2" s="113"/>
      <c r="BM2" s="73"/>
      <c r="BN2" s="73" t="s">
        <v>86</v>
      </c>
      <c r="BO2" s="73" t="s">
        <v>87</v>
      </c>
      <c r="BP2" s="73" t="s">
        <v>83</v>
      </c>
      <c r="BQ2" s="73" t="s">
        <v>56</v>
      </c>
      <c r="BR2" s="73" t="s">
        <v>88</v>
      </c>
      <c r="BS2" s="73" t="s">
        <v>14</v>
      </c>
      <c r="BT2" s="102" t="s">
        <v>81</v>
      </c>
      <c r="BU2" s="102"/>
      <c r="BV2" s="102"/>
      <c r="BW2" s="102"/>
      <c r="BX2" s="102" t="s">
        <v>82</v>
      </c>
      <c r="BY2" s="102"/>
      <c r="BZ2" s="102"/>
      <c r="CA2" s="102"/>
      <c r="CB2" s="102" t="s">
        <v>83</v>
      </c>
      <c r="CC2" s="102"/>
      <c r="CD2" s="102"/>
      <c r="CE2" s="102"/>
      <c r="CF2" s="102" t="s">
        <v>84</v>
      </c>
      <c r="CG2" s="102"/>
      <c r="CH2" s="102"/>
      <c r="CI2" s="102"/>
      <c r="CJ2" s="112" t="s">
        <v>85</v>
      </c>
      <c r="CK2" s="112"/>
      <c r="CL2" s="112"/>
      <c r="CM2" s="112"/>
      <c r="CN2" s="74"/>
      <c r="CO2" s="74" t="s">
        <v>86</v>
      </c>
      <c r="CP2" s="74" t="s">
        <v>87</v>
      </c>
      <c r="CQ2" s="74" t="s">
        <v>83</v>
      </c>
      <c r="CR2" s="74" t="s">
        <v>56</v>
      </c>
      <c r="CS2" s="74" t="s">
        <v>88</v>
      </c>
      <c r="CT2" s="74" t="s">
        <v>14</v>
      </c>
      <c r="CU2" s="80" t="s">
        <v>87</v>
      </c>
      <c r="CV2" s="80" t="s">
        <v>19</v>
      </c>
      <c r="CW2" s="102" t="s">
        <v>81</v>
      </c>
      <c r="CX2" s="102"/>
      <c r="CY2" s="102"/>
      <c r="CZ2" s="102"/>
      <c r="DA2" s="102" t="s">
        <v>82</v>
      </c>
      <c r="DB2" s="102"/>
      <c r="DC2" s="102"/>
      <c r="DD2" s="102"/>
      <c r="DE2" s="102" t="s">
        <v>83</v>
      </c>
      <c r="DF2" s="102"/>
      <c r="DG2" s="102"/>
      <c r="DH2" s="102"/>
      <c r="DI2" s="102" t="s">
        <v>84</v>
      </c>
      <c r="DJ2" s="102"/>
      <c r="DK2" s="102"/>
      <c r="DL2" s="102"/>
      <c r="DM2" s="114" t="s">
        <v>85</v>
      </c>
      <c r="DN2" s="114"/>
      <c r="DO2" s="114"/>
      <c r="DP2" s="114"/>
      <c r="DQ2" s="74" t="s">
        <v>86</v>
      </c>
      <c r="DR2" s="74" t="s">
        <v>87</v>
      </c>
      <c r="DS2" s="74" t="s">
        <v>83</v>
      </c>
      <c r="DT2" s="74" t="s">
        <v>56</v>
      </c>
      <c r="DU2" s="74" t="s">
        <v>88</v>
      </c>
      <c r="DV2" s="74" t="s">
        <v>14</v>
      </c>
      <c r="DW2" s="104" t="s">
        <v>81</v>
      </c>
      <c r="DX2" s="104"/>
      <c r="DY2" s="104"/>
      <c r="DZ2" s="104"/>
      <c r="EA2" s="104" t="s">
        <v>82</v>
      </c>
      <c r="EB2" s="104"/>
      <c r="EC2" s="104"/>
      <c r="ED2" s="104"/>
      <c r="EE2" s="104" t="s">
        <v>83</v>
      </c>
      <c r="EF2" s="104"/>
      <c r="EG2" s="104"/>
      <c r="EH2" s="104"/>
      <c r="EI2" s="104" t="s">
        <v>84</v>
      </c>
      <c r="EJ2" s="104"/>
      <c r="EK2" s="104"/>
      <c r="EL2" s="104"/>
      <c r="EM2" s="113" t="s">
        <v>85</v>
      </c>
      <c r="EN2" s="113"/>
      <c r="EO2" s="113"/>
      <c r="EP2" s="113"/>
      <c r="EQ2" s="73" t="s">
        <v>86</v>
      </c>
      <c r="ER2" s="73" t="s">
        <v>87</v>
      </c>
      <c r="ES2" s="73" t="s">
        <v>83</v>
      </c>
      <c r="ET2" s="73" t="s">
        <v>56</v>
      </c>
      <c r="EU2" s="73" t="s">
        <v>88</v>
      </c>
      <c r="EV2" s="73" t="s">
        <v>14</v>
      </c>
      <c r="EW2" s="102" t="s">
        <v>81</v>
      </c>
      <c r="EX2" s="102"/>
      <c r="EY2" s="102"/>
      <c r="EZ2" s="102"/>
      <c r="FA2" s="102" t="s">
        <v>82</v>
      </c>
      <c r="FB2" s="102"/>
      <c r="FC2" s="102"/>
      <c r="FD2" s="102"/>
      <c r="FE2" s="102" t="s">
        <v>83</v>
      </c>
      <c r="FF2" s="102"/>
      <c r="FG2" s="102"/>
      <c r="FH2" s="102"/>
      <c r="FI2" s="102" t="s">
        <v>84</v>
      </c>
      <c r="FJ2" s="102"/>
      <c r="FK2" s="102"/>
      <c r="FL2" s="102"/>
      <c r="FM2" s="114" t="s">
        <v>85</v>
      </c>
      <c r="FN2" s="114"/>
      <c r="FO2" s="114"/>
      <c r="FP2" s="114"/>
      <c r="FQ2" s="74" t="s">
        <v>86</v>
      </c>
      <c r="FR2" s="74" t="s">
        <v>87</v>
      </c>
      <c r="FS2" s="74" t="s">
        <v>83</v>
      </c>
      <c r="FT2" s="74" t="s">
        <v>56</v>
      </c>
      <c r="FU2" s="74" t="s">
        <v>88</v>
      </c>
      <c r="FV2" s="74" t="s">
        <v>14</v>
      </c>
      <c r="FW2" s="104" t="s">
        <v>81</v>
      </c>
      <c r="FX2" s="104"/>
      <c r="FY2" s="104"/>
      <c r="FZ2" s="104"/>
      <c r="GA2" s="104" t="s">
        <v>82</v>
      </c>
      <c r="GB2" s="104"/>
      <c r="GC2" s="104"/>
      <c r="GD2" s="104"/>
      <c r="GE2" s="104" t="s">
        <v>83</v>
      </c>
      <c r="GF2" s="104"/>
      <c r="GG2" s="104"/>
      <c r="GH2" s="104"/>
      <c r="GI2" s="104" t="s">
        <v>84</v>
      </c>
      <c r="GJ2" s="104"/>
      <c r="GK2" s="104"/>
      <c r="GL2" s="104"/>
      <c r="GM2" s="113" t="s">
        <v>85</v>
      </c>
      <c r="GN2" s="113"/>
      <c r="GO2" s="113"/>
      <c r="GP2" s="113"/>
      <c r="GQ2" s="73" t="s">
        <v>86</v>
      </c>
      <c r="GR2" s="73" t="s">
        <v>87</v>
      </c>
      <c r="GS2" s="73" t="s">
        <v>83</v>
      </c>
      <c r="GT2" s="73" t="s">
        <v>56</v>
      </c>
      <c r="GU2" s="73" t="s">
        <v>88</v>
      </c>
      <c r="GV2" s="73" t="s">
        <v>14</v>
      </c>
      <c r="GW2" s="102" t="s">
        <v>81</v>
      </c>
      <c r="GX2" s="102"/>
      <c r="GY2" s="102"/>
      <c r="GZ2" s="102"/>
      <c r="HA2" s="102" t="s">
        <v>82</v>
      </c>
      <c r="HB2" s="102"/>
      <c r="HC2" s="102"/>
      <c r="HD2" s="102"/>
      <c r="HE2" s="102" t="s">
        <v>83</v>
      </c>
      <c r="HF2" s="102"/>
      <c r="HG2" s="102"/>
      <c r="HH2" s="102"/>
      <c r="HI2" s="102" t="s">
        <v>84</v>
      </c>
      <c r="HJ2" s="102"/>
      <c r="HK2" s="102"/>
      <c r="HL2" s="102"/>
      <c r="HM2" s="114" t="s">
        <v>85</v>
      </c>
      <c r="HN2" s="114"/>
      <c r="HO2" s="114"/>
      <c r="HP2" s="114"/>
      <c r="HQ2" s="74" t="s">
        <v>86</v>
      </c>
      <c r="HR2" s="74" t="s">
        <v>87</v>
      </c>
      <c r="HS2" s="74" t="s">
        <v>83</v>
      </c>
      <c r="HT2" s="74" t="s">
        <v>56</v>
      </c>
      <c r="HU2" s="74" t="s">
        <v>88</v>
      </c>
      <c r="HV2" s="74" t="s">
        <v>14</v>
      </c>
      <c r="HW2" s="104" t="s">
        <v>81</v>
      </c>
      <c r="HX2" s="104"/>
      <c r="HY2" s="104"/>
      <c r="HZ2" s="104"/>
      <c r="IA2" s="104" t="s">
        <v>82</v>
      </c>
      <c r="IB2" s="104"/>
      <c r="IC2" s="104"/>
      <c r="ID2" s="104"/>
      <c r="IE2" s="104" t="s">
        <v>83</v>
      </c>
      <c r="IF2" s="104"/>
      <c r="IG2" s="104"/>
      <c r="IH2" s="104"/>
      <c r="II2" s="104" t="s">
        <v>84</v>
      </c>
      <c r="IJ2" s="104"/>
      <c r="IK2" s="104"/>
      <c r="IL2" s="104"/>
      <c r="IM2" s="113" t="s">
        <v>85</v>
      </c>
      <c r="IN2" s="113"/>
      <c r="IO2" s="113"/>
      <c r="IP2" s="113"/>
      <c r="IQ2" s="73" t="s">
        <v>86</v>
      </c>
      <c r="IR2" s="73" t="s">
        <v>87</v>
      </c>
      <c r="IS2" s="73" t="s">
        <v>83</v>
      </c>
      <c r="IT2" s="73" t="s">
        <v>56</v>
      </c>
      <c r="IU2" s="73" t="s">
        <v>88</v>
      </c>
      <c r="IV2" s="73" t="s">
        <v>14</v>
      </c>
      <c r="IW2" s="102" t="s">
        <v>81</v>
      </c>
      <c r="IX2" s="102"/>
      <c r="IY2" s="102"/>
      <c r="IZ2" s="102"/>
      <c r="JA2" s="102" t="s">
        <v>82</v>
      </c>
      <c r="JB2" s="102"/>
      <c r="JC2" s="102"/>
      <c r="JD2" s="102"/>
      <c r="JE2" s="102" t="s">
        <v>83</v>
      </c>
      <c r="JF2" s="102"/>
      <c r="JG2" s="102"/>
      <c r="JH2" s="102"/>
      <c r="JI2" s="102" t="s">
        <v>84</v>
      </c>
      <c r="JJ2" s="102"/>
      <c r="JK2" s="102"/>
      <c r="JL2" s="102"/>
      <c r="JM2" s="114" t="s">
        <v>85</v>
      </c>
      <c r="JN2" s="114"/>
      <c r="JO2" s="114"/>
      <c r="JP2" s="114"/>
      <c r="JQ2" s="74" t="s">
        <v>86</v>
      </c>
      <c r="JR2" s="74" t="s">
        <v>87</v>
      </c>
      <c r="JS2" s="74" t="s">
        <v>83</v>
      </c>
      <c r="JT2" s="74" t="s">
        <v>56</v>
      </c>
      <c r="JU2" s="74" t="s">
        <v>88</v>
      </c>
      <c r="JV2" s="74" t="s">
        <v>14</v>
      </c>
      <c r="JW2" s="104" t="s">
        <v>81</v>
      </c>
      <c r="JX2" s="104"/>
      <c r="JY2" s="104"/>
      <c r="JZ2" s="104"/>
      <c r="KA2" s="104" t="s">
        <v>82</v>
      </c>
      <c r="KB2" s="104"/>
      <c r="KC2" s="104"/>
      <c r="KD2" s="104"/>
      <c r="KE2" s="104" t="s">
        <v>83</v>
      </c>
      <c r="KF2" s="104"/>
      <c r="KG2" s="104"/>
      <c r="KH2" s="104"/>
      <c r="KI2" s="104" t="s">
        <v>84</v>
      </c>
      <c r="KJ2" s="104"/>
      <c r="KK2" s="104"/>
      <c r="KL2" s="104"/>
      <c r="KM2" s="113" t="s">
        <v>85</v>
      </c>
      <c r="KN2" s="113"/>
      <c r="KO2" s="113"/>
      <c r="KP2" s="113"/>
      <c r="KQ2" s="73" t="s">
        <v>86</v>
      </c>
      <c r="KR2" s="73" t="s">
        <v>87</v>
      </c>
      <c r="KS2" s="73" t="s">
        <v>83</v>
      </c>
      <c r="KT2" s="73" t="s">
        <v>56</v>
      </c>
      <c r="KU2" s="73" t="s">
        <v>88</v>
      </c>
      <c r="KV2" s="73" t="s">
        <v>14</v>
      </c>
      <c r="KW2" s="102" t="s">
        <v>81</v>
      </c>
      <c r="KX2" s="102"/>
      <c r="KY2" s="102"/>
      <c r="KZ2" s="102"/>
      <c r="LA2" s="102" t="s">
        <v>82</v>
      </c>
      <c r="LB2" s="102"/>
      <c r="LC2" s="102"/>
      <c r="LD2" s="102"/>
      <c r="LE2" s="102" t="s">
        <v>83</v>
      </c>
      <c r="LF2" s="102"/>
      <c r="LG2" s="102"/>
      <c r="LH2" s="102"/>
      <c r="LI2" s="102" t="s">
        <v>84</v>
      </c>
      <c r="LJ2" s="102"/>
      <c r="LK2" s="102"/>
      <c r="LL2" s="102"/>
      <c r="LM2" s="114" t="s">
        <v>85</v>
      </c>
      <c r="LN2" s="114"/>
      <c r="LO2" s="114"/>
      <c r="LP2" s="114"/>
      <c r="LQ2" s="74" t="s">
        <v>86</v>
      </c>
      <c r="LR2" s="74" t="s">
        <v>87</v>
      </c>
      <c r="LS2" s="74" t="s">
        <v>83</v>
      </c>
      <c r="LT2" s="74" t="s">
        <v>56</v>
      </c>
      <c r="LU2" s="74" t="s">
        <v>88</v>
      </c>
      <c r="LV2" s="74" t="s">
        <v>14</v>
      </c>
      <c r="LW2" s="104" t="s">
        <v>81</v>
      </c>
      <c r="LX2" s="104"/>
      <c r="LY2" s="104"/>
      <c r="LZ2" s="104"/>
      <c r="MA2" s="104" t="s">
        <v>82</v>
      </c>
      <c r="MB2" s="104"/>
      <c r="MC2" s="104"/>
      <c r="MD2" s="104"/>
      <c r="ME2" s="104" t="s">
        <v>83</v>
      </c>
      <c r="MF2" s="104"/>
      <c r="MG2" s="104"/>
      <c r="MH2" s="104"/>
      <c r="MI2" s="104" t="s">
        <v>84</v>
      </c>
      <c r="MJ2" s="104"/>
      <c r="MK2" s="104"/>
      <c r="ML2" s="104"/>
      <c r="MM2" s="113" t="s">
        <v>85</v>
      </c>
      <c r="MN2" s="113"/>
      <c r="MO2" s="113"/>
      <c r="MP2" s="113"/>
      <c r="MQ2" s="73" t="s">
        <v>86</v>
      </c>
      <c r="MR2" s="73" t="s">
        <v>87</v>
      </c>
      <c r="MS2" s="73" t="s">
        <v>83</v>
      </c>
      <c r="MT2" s="73" t="s">
        <v>56</v>
      </c>
      <c r="MU2" s="73" t="s">
        <v>88</v>
      </c>
      <c r="MV2" s="73" t="s">
        <v>14</v>
      </c>
      <c r="MW2" s="102" t="s">
        <v>81</v>
      </c>
      <c r="MX2" s="102"/>
      <c r="MY2" s="102"/>
      <c r="MZ2" s="102"/>
      <c r="NA2" s="102" t="s">
        <v>82</v>
      </c>
      <c r="NB2" s="102"/>
      <c r="NC2" s="102"/>
      <c r="ND2" s="102"/>
      <c r="NE2" s="102" t="s">
        <v>83</v>
      </c>
      <c r="NF2" s="102"/>
      <c r="NG2" s="102"/>
      <c r="NH2" s="102"/>
      <c r="NI2" s="102" t="s">
        <v>84</v>
      </c>
      <c r="NJ2" s="102"/>
      <c r="NK2" s="102"/>
      <c r="NL2" s="102"/>
      <c r="NM2" s="114" t="s">
        <v>85</v>
      </c>
      <c r="NN2" s="114"/>
      <c r="NO2" s="114"/>
      <c r="NP2" s="114"/>
      <c r="NQ2" s="74" t="s">
        <v>86</v>
      </c>
      <c r="NR2" s="74" t="s">
        <v>87</v>
      </c>
      <c r="NS2" s="74" t="s">
        <v>83</v>
      </c>
      <c r="NT2" s="74" t="s">
        <v>56</v>
      </c>
      <c r="NU2" s="74" t="s">
        <v>88</v>
      </c>
      <c r="NV2" s="74" t="s">
        <v>14</v>
      </c>
      <c r="NW2" s="104" t="s">
        <v>81</v>
      </c>
      <c r="NX2" s="104"/>
      <c r="NY2" s="104"/>
      <c r="NZ2" s="104"/>
      <c r="OA2" s="104" t="s">
        <v>82</v>
      </c>
      <c r="OB2" s="104"/>
      <c r="OC2" s="104"/>
      <c r="OD2" s="104"/>
      <c r="OE2" s="104" t="s">
        <v>83</v>
      </c>
      <c r="OF2" s="104"/>
      <c r="OG2" s="104"/>
      <c r="OH2" s="104"/>
      <c r="OI2" s="104" t="s">
        <v>84</v>
      </c>
      <c r="OJ2" s="104"/>
      <c r="OK2" s="104"/>
      <c r="OL2" s="104"/>
      <c r="OM2" s="113" t="s">
        <v>85</v>
      </c>
      <c r="ON2" s="113"/>
      <c r="OO2" s="113"/>
      <c r="OP2" s="113"/>
      <c r="OQ2" s="73" t="s">
        <v>86</v>
      </c>
      <c r="OR2" s="73" t="s">
        <v>87</v>
      </c>
      <c r="OS2" s="73" t="s">
        <v>83</v>
      </c>
      <c r="OT2" s="73" t="s">
        <v>56</v>
      </c>
      <c r="OU2" s="73" t="s">
        <v>88</v>
      </c>
      <c r="OV2" s="73" t="s">
        <v>14</v>
      </c>
      <c r="OW2" s="102" t="s">
        <v>81</v>
      </c>
      <c r="OX2" s="102"/>
      <c r="OY2" s="102"/>
      <c r="OZ2" s="102"/>
      <c r="PA2" s="102" t="s">
        <v>82</v>
      </c>
      <c r="PB2" s="102"/>
      <c r="PC2" s="102"/>
      <c r="PD2" s="102"/>
      <c r="PE2" s="102" t="s">
        <v>83</v>
      </c>
      <c r="PF2" s="102"/>
      <c r="PG2" s="102"/>
      <c r="PH2" s="102"/>
      <c r="PI2" s="102" t="s">
        <v>84</v>
      </c>
      <c r="PJ2" s="102"/>
      <c r="PK2" s="102"/>
      <c r="PL2" s="102"/>
      <c r="PM2" s="112" t="s">
        <v>85</v>
      </c>
      <c r="PN2" s="112"/>
      <c r="PO2" s="112"/>
      <c r="PP2" s="112"/>
      <c r="PQ2" s="74"/>
      <c r="PR2" s="74" t="s">
        <v>86</v>
      </c>
      <c r="PS2" s="74" t="s">
        <v>87</v>
      </c>
      <c r="PT2" s="74" t="s">
        <v>83</v>
      </c>
      <c r="PU2" s="74" t="s">
        <v>56</v>
      </c>
      <c r="PV2" s="74" t="s">
        <v>88</v>
      </c>
      <c r="PW2" s="74" t="s">
        <v>14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11"/>
      <c r="J3" s="108"/>
      <c r="K3" s="111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68" t="s">
        <v>69</v>
      </c>
      <c r="C4" s="5" t="s">
        <v>66</v>
      </c>
      <c r="D4" s="5">
        <v>2006</v>
      </c>
      <c r="E4" s="15">
        <f>SUM(I4:O4)+SUM(I4:M4)*0.0000001+SUM(I4)*0.0000000000001</f>
        <v>96.700009670004818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14">
        <f>IF(COUNT(AN4,BO4,CP4)&gt;0,LARGE((AN4,BO4,CP4),1),0)</f>
        <v>48.3</v>
      </c>
      <c r="J4" s="14" t="str">
        <f>IF(I4=0,"",IF(I4=CP4,$BT$1,IF(I4=BO4,$AS$1,IF(I4=AN4,$R$1,""))))</f>
        <v>2022 Elite Canada</v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48.399999999999991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6">
        <v>17.7</v>
      </c>
      <c r="BU4" s="26">
        <v>6.9</v>
      </c>
      <c r="BV4" s="26">
        <v>0.2</v>
      </c>
      <c r="BW4" s="26">
        <v>0.3</v>
      </c>
      <c r="BX4" s="26">
        <v>17</v>
      </c>
      <c r="BY4" s="26">
        <v>6.3</v>
      </c>
      <c r="BZ4" s="26">
        <v>0</v>
      </c>
      <c r="CA4" s="26">
        <v>0.3</v>
      </c>
      <c r="CB4" s="26"/>
      <c r="CC4" s="26"/>
      <c r="CD4" s="26"/>
      <c r="CE4" s="26"/>
      <c r="CF4" s="26">
        <v>17.7</v>
      </c>
      <c r="CG4" s="26">
        <v>6.5</v>
      </c>
      <c r="CH4" s="26">
        <v>0</v>
      </c>
      <c r="CI4" s="26">
        <v>0.3</v>
      </c>
      <c r="CJ4" s="26">
        <v>17.3</v>
      </c>
      <c r="CK4" s="26">
        <v>6.3</v>
      </c>
      <c r="CL4" s="26">
        <v>0</v>
      </c>
      <c r="CM4" s="26">
        <v>0.3</v>
      </c>
      <c r="CN4" s="45"/>
      <c r="CO4" s="81">
        <f>IF(SUM(BU4,BY4)&gt;0,SUM(BU4,BY4),"")</f>
        <v>13.2</v>
      </c>
      <c r="CP4" s="81">
        <f>IF(SUM(BT4:BU4,BW4:BY4,CA4)-BV4-BZ4&gt;0,SUM(BT4:BU4,BW4:BY4,CA4)-BV4-BZ4,"")</f>
        <v>48.3</v>
      </c>
      <c r="CQ4" s="81" t="str">
        <f>IF(SUM(CB4:CC4,CE4)-CD4&gt;0,SUM(CB4:CC4,CE4)-CD4,"")</f>
        <v/>
      </c>
      <c r="CR4" s="81">
        <f>IF(SUM(CG4,CK4)&gt;0,SUM(CG4,CK4),"")</f>
        <v>12.8</v>
      </c>
      <c r="CS4" s="81">
        <f>IF(SUM(CF4:CG4,CI4:CK4,CM4)-SUM(CH4,CL4)&gt;0,SUM(CF4:CG4,CI4:CK4,CM4)-SUM(CH4,CL4),"")</f>
        <v>48.399999999999991</v>
      </c>
      <c r="CT4" s="81">
        <f>IF(SUM(CP4,CS4)&gt;0,SUM(CP4,CS4),"")</f>
        <v>96.699999999999989</v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L4" si="0">IF($CN4="P",BT4,(BT4+AS4)/2)</f>
        <v>8.85</v>
      </c>
      <c r="OX4" s="38">
        <f t="shared" si="0"/>
        <v>3.45</v>
      </c>
      <c r="OY4" s="38">
        <f t="shared" si="0"/>
        <v>0.1</v>
      </c>
      <c r="OZ4" s="38">
        <f t="shared" si="0"/>
        <v>0.15</v>
      </c>
      <c r="PA4" s="38">
        <f t="shared" si="0"/>
        <v>8.5</v>
      </c>
      <c r="PB4" s="38">
        <f t="shared" si="0"/>
        <v>3.15</v>
      </c>
      <c r="PC4" s="38">
        <f t="shared" si="0"/>
        <v>0</v>
      </c>
      <c r="PD4" s="38">
        <f t="shared" si="0"/>
        <v>0.15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8.85</v>
      </c>
      <c r="PJ4" s="38">
        <f t="shared" si="0"/>
        <v>3.25</v>
      </c>
      <c r="PK4" s="38">
        <f t="shared" si="0"/>
        <v>0</v>
      </c>
      <c r="PL4" s="38">
        <f t="shared" si="0"/>
        <v>0.15</v>
      </c>
      <c r="PM4" s="38">
        <f t="shared" ref="PM4:PP4" si="1">IF($CN4="P",CJ4,(CJ4+BI4)/2)</f>
        <v>8.65</v>
      </c>
      <c r="PN4" s="38">
        <f t="shared" si="1"/>
        <v>3.15</v>
      </c>
      <c r="PO4" s="38">
        <f t="shared" si="1"/>
        <v>0</v>
      </c>
      <c r="PP4" s="38">
        <f t="shared" si="1"/>
        <v>0.15</v>
      </c>
      <c r="PQ4" s="45" t="s">
        <v>44</v>
      </c>
      <c r="PR4" s="81">
        <f>IF(SUM(OX4,PB4)&gt;0,SUM(OX4,PB4),"")</f>
        <v>6.6</v>
      </c>
      <c r="PS4" s="81">
        <f>IF(SUM(OW4:OX4,OZ4:PB4,PD4)-OY4-PC4&gt;0,SUM(OW4:OX4,OZ4:PB4,PD4)-OY4-PC4,"")</f>
        <v>24.15</v>
      </c>
      <c r="PT4" s="81" t="str">
        <f>IF(SUM(PE4:PF4,PH4)-PG4&gt;0,SUM(PE4:PF4,PH4)-PG4,"")</f>
        <v/>
      </c>
      <c r="PU4" s="81">
        <f>IF(SUM(PJ4,PN4)&gt;0,SUM(PJ4,PN4),"")</f>
        <v>6.4</v>
      </c>
      <c r="PV4" s="81">
        <f>IF(SUM(PI4:PJ4,PL4:PN4,PP4)-SUM(PK4,PO4)&gt;0,SUM(PI4:PJ4,PL4:PN4,PP4)-SUM(PK4,PO4),"")</f>
        <v>24.199999999999996</v>
      </c>
      <c r="PW4" s="81">
        <f>IF(SUM(PS4,PV4)&gt;0,SUM(PS4,PV4),"")</f>
        <v>48.349999999999994</v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7.6</v>
      </c>
      <c r="BN7" s="5"/>
      <c r="BS7" s="84">
        <v>7.6</v>
      </c>
      <c r="CO7" s="5"/>
      <c r="CT7" s="84">
        <v>8.4</v>
      </c>
      <c r="DQ7" s="5"/>
      <c r="DV7" s="84">
        <v>8.4</v>
      </c>
      <c r="EQ7" s="5"/>
      <c r="EV7" s="84">
        <v>8.4</v>
      </c>
      <c r="FQ7" s="5"/>
      <c r="FV7" s="84">
        <v>8.4</v>
      </c>
      <c r="GQ7" s="5"/>
      <c r="GV7" s="84">
        <v>8.4</v>
      </c>
      <c r="HQ7" s="5"/>
      <c r="HV7" s="84">
        <v>8.4</v>
      </c>
      <c r="IQ7" s="5"/>
      <c r="IV7" s="84">
        <v>8.4</v>
      </c>
      <c r="JQ7" s="5"/>
      <c r="JV7" s="84">
        <v>8.4</v>
      </c>
      <c r="KQ7" s="5"/>
      <c r="KV7" s="84">
        <v>8.4</v>
      </c>
      <c r="LQ7" s="5"/>
      <c r="LV7" s="84">
        <v>8.4</v>
      </c>
      <c r="MQ7" s="5"/>
      <c r="MV7" s="84">
        <v>8.4</v>
      </c>
      <c r="NQ7" s="5"/>
      <c r="NV7" s="84">
        <v>8.4</v>
      </c>
      <c r="OQ7" s="5"/>
      <c r="OV7" s="84">
        <v>8.4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9.1</v>
      </c>
      <c r="BN8" s="5"/>
      <c r="BS8" s="86">
        <f>BS9</f>
        <v>9.1</v>
      </c>
      <c r="CO8" s="5"/>
      <c r="CT8" s="86">
        <f>CT9</f>
        <v>9.4</v>
      </c>
      <c r="DQ8" s="5"/>
      <c r="DV8" s="86">
        <f>DV9</f>
        <v>9.4</v>
      </c>
      <c r="EQ8" s="5"/>
      <c r="EV8" s="86">
        <f>EV9</f>
        <v>9.4</v>
      </c>
      <c r="FQ8" s="5"/>
      <c r="FV8" s="86">
        <f>FV9</f>
        <v>9.4</v>
      </c>
      <c r="GQ8" s="5"/>
      <c r="GV8" s="86">
        <f>GV9</f>
        <v>9.4</v>
      </c>
      <c r="HQ8" s="5"/>
      <c r="HV8" s="86">
        <f>HV9</f>
        <v>9.4</v>
      </c>
      <c r="IQ8" s="5"/>
      <c r="IV8" s="86">
        <f>IV9</f>
        <v>9.4</v>
      </c>
      <c r="JQ8" s="5"/>
      <c r="JV8" s="86">
        <f>JV9</f>
        <v>9.4</v>
      </c>
      <c r="KQ8" s="5"/>
      <c r="KV8" s="86">
        <f>KV9</f>
        <v>9.4</v>
      </c>
      <c r="LQ8" s="5"/>
      <c r="LV8" s="86">
        <f>LV9</f>
        <v>9.4</v>
      </c>
      <c r="MQ8" s="5"/>
      <c r="MV8" s="86">
        <f>MV9</f>
        <v>9.4</v>
      </c>
      <c r="NQ8" s="5"/>
      <c r="NV8" s="86">
        <f>NV9</f>
        <v>9.4</v>
      </c>
      <c r="OQ8" s="5"/>
      <c r="OV8" s="86">
        <f>OV9</f>
        <v>9.4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9.1</v>
      </c>
      <c r="BN9" s="5"/>
      <c r="BS9" s="88">
        <v>9.1</v>
      </c>
      <c r="CO9" s="5"/>
      <c r="CT9" s="88">
        <v>9.4</v>
      </c>
      <c r="DQ9" s="5"/>
      <c r="DV9" s="88">
        <v>9.4</v>
      </c>
      <c r="EQ9" s="5"/>
      <c r="EV9" s="88">
        <v>9.4</v>
      </c>
      <c r="FQ9" s="5"/>
      <c r="FV9" s="88">
        <v>9.4</v>
      </c>
      <c r="GQ9" s="5"/>
      <c r="GV9" s="88">
        <v>9.4</v>
      </c>
      <c r="HQ9" s="5"/>
      <c r="HV9" s="88">
        <v>9.4</v>
      </c>
      <c r="IQ9" s="5"/>
      <c r="IV9" s="88">
        <v>9.4</v>
      </c>
      <c r="JQ9" s="5"/>
      <c r="JV9" s="88">
        <v>9.4</v>
      </c>
      <c r="KQ9" s="5"/>
      <c r="KV9" s="88">
        <v>9.4</v>
      </c>
      <c r="LQ9" s="5"/>
      <c r="LV9" s="88">
        <v>9.4</v>
      </c>
      <c r="MQ9" s="5"/>
      <c r="MV9" s="88">
        <v>9.4</v>
      </c>
      <c r="NQ9" s="5"/>
      <c r="NV9" s="88">
        <v>9.4</v>
      </c>
      <c r="OQ9" s="5"/>
      <c r="OV9" s="88">
        <v>9.4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0">
        <v>1000</v>
      </c>
      <c r="BN10" s="5"/>
      <c r="BS10" s="90">
        <v>1000</v>
      </c>
      <c r="CO10" s="5"/>
      <c r="CT10" s="90">
        <v>1000</v>
      </c>
      <c r="DQ10" s="5"/>
      <c r="DV10" s="90">
        <v>1000</v>
      </c>
      <c r="EQ10" s="5"/>
      <c r="EV10" s="90">
        <v>1000</v>
      </c>
      <c r="FQ10" s="5"/>
      <c r="FV10" s="90">
        <v>1000</v>
      </c>
      <c r="GQ10" s="5"/>
      <c r="GV10" s="90">
        <v>1000</v>
      </c>
      <c r="HQ10" s="5"/>
      <c r="HV10" s="90">
        <v>1000</v>
      </c>
      <c r="IQ10" s="5"/>
      <c r="IV10" s="90">
        <v>1000</v>
      </c>
      <c r="JQ10" s="5"/>
      <c r="JV10" s="90">
        <v>1000</v>
      </c>
      <c r="KQ10" s="5"/>
      <c r="KV10" s="90">
        <v>1000</v>
      </c>
      <c r="LQ10" s="5"/>
      <c r="LV10" s="90">
        <v>1000</v>
      </c>
      <c r="MQ10" s="5"/>
      <c r="MV10" s="90">
        <v>1000</v>
      </c>
      <c r="NQ10" s="5"/>
      <c r="NV10" s="90">
        <v>1000</v>
      </c>
      <c r="OQ10" s="5"/>
      <c r="OV10" s="90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2">
        <v>61</v>
      </c>
      <c r="BN11" s="5"/>
      <c r="BS11" s="92">
        <v>61</v>
      </c>
      <c r="CO11" s="5"/>
      <c r="CT11" s="92">
        <v>43.6</v>
      </c>
      <c r="DQ11" s="5"/>
      <c r="DV11" s="92">
        <v>43.6</v>
      </c>
      <c r="EQ11" s="5"/>
      <c r="EV11" s="92">
        <v>43.6</v>
      </c>
      <c r="FQ11" s="5"/>
      <c r="FV11" s="92">
        <v>43.6</v>
      </c>
      <c r="GQ11" s="5"/>
      <c r="GV11" s="92">
        <v>43.6</v>
      </c>
      <c r="HQ11" s="5"/>
      <c r="HV11" s="92">
        <v>43.6</v>
      </c>
      <c r="IQ11" s="5"/>
      <c r="IV11" s="92">
        <v>43.6</v>
      </c>
      <c r="JQ11" s="5"/>
      <c r="JV11" s="92">
        <v>43.6</v>
      </c>
      <c r="KQ11" s="5"/>
      <c r="KV11" s="92">
        <v>43.6</v>
      </c>
      <c r="LQ11" s="5"/>
      <c r="LV11" s="92">
        <v>43.6</v>
      </c>
      <c r="MQ11" s="5"/>
      <c r="MV11" s="92">
        <v>43.6</v>
      </c>
      <c r="NQ11" s="5"/>
      <c r="NV11" s="92">
        <v>43.6</v>
      </c>
      <c r="OQ11" s="5"/>
      <c r="OV11" s="92">
        <v>43.6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62.5</v>
      </c>
      <c r="BN12" s="5"/>
      <c r="BS12" s="94">
        <f>BS13</f>
        <v>62.5</v>
      </c>
      <c r="CO12" s="5"/>
      <c r="CT12" s="94">
        <f>CT13</f>
        <v>44.6</v>
      </c>
      <c r="DQ12" s="5"/>
      <c r="DV12" s="94">
        <f>DV13</f>
        <v>44.6</v>
      </c>
      <c r="EQ12" s="5"/>
      <c r="EV12" s="94">
        <f>EV13</f>
        <v>44.6</v>
      </c>
      <c r="FQ12" s="5"/>
      <c r="FV12" s="94">
        <f>FV13</f>
        <v>44.6</v>
      </c>
      <c r="GQ12" s="5"/>
      <c r="GV12" s="94">
        <f>GV13</f>
        <v>44.6</v>
      </c>
      <c r="HQ12" s="5"/>
      <c r="HV12" s="94">
        <f>HV13</f>
        <v>44.6</v>
      </c>
      <c r="IQ12" s="5"/>
      <c r="IV12" s="94">
        <f>IV13</f>
        <v>44.6</v>
      </c>
      <c r="JQ12" s="5"/>
      <c r="JV12" s="94">
        <f>JV13</f>
        <v>44.6</v>
      </c>
      <c r="KQ12" s="5"/>
      <c r="KV12" s="94">
        <f>KV13</f>
        <v>44.6</v>
      </c>
      <c r="LQ12" s="5"/>
      <c r="LV12" s="94">
        <f>LV13</f>
        <v>44.6</v>
      </c>
      <c r="MQ12" s="5"/>
      <c r="MV12" s="94">
        <f>MV13</f>
        <v>44.6</v>
      </c>
      <c r="NQ12" s="5"/>
      <c r="NV12" s="94">
        <f>NV13</f>
        <v>44.6</v>
      </c>
      <c r="OQ12" s="5"/>
      <c r="OV12" s="94">
        <f>OV13</f>
        <v>44.6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62.5</v>
      </c>
      <c r="BN13" s="5"/>
      <c r="BS13" s="96">
        <v>62.5</v>
      </c>
      <c r="CO13" s="5"/>
      <c r="CT13" s="96">
        <v>44.6</v>
      </c>
      <c r="DQ13" s="5"/>
      <c r="DV13" s="96">
        <v>44.6</v>
      </c>
      <c r="EQ13" s="5"/>
      <c r="EV13" s="96">
        <v>44.6</v>
      </c>
      <c r="FQ13" s="5"/>
      <c r="FV13" s="96">
        <v>44.6</v>
      </c>
      <c r="GQ13" s="5"/>
      <c r="GV13" s="96">
        <v>44.6</v>
      </c>
      <c r="HQ13" s="5"/>
      <c r="HV13" s="96">
        <v>44.6</v>
      </c>
      <c r="IQ13" s="5"/>
      <c r="IV13" s="96">
        <v>44.6</v>
      </c>
      <c r="JQ13" s="5"/>
      <c r="JV13" s="96">
        <v>44.6</v>
      </c>
      <c r="KQ13" s="5"/>
      <c r="KV13" s="96">
        <v>44.6</v>
      </c>
      <c r="LQ13" s="5"/>
      <c r="LV13" s="96">
        <v>44.6</v>
      </c>
      <c r="MQ13" s="5"/>
      <c r="MV13" s="96">
        <v>44.6</v>
      </c>
      <c r="NQ13" s="5"/>
      <c r="NV13" s="96">
        <v>44.6</v>
      </c>
      <c r="OQ13" s="5"/>
      <c r="OV13" s="96">
        <v>44.6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4">
    <cfRule type="expression" dxfId="111" priority="1" stopIfTrue="1">
      <formula>IF($AL4&lt;&gt;"",1,0)</formula>
    </cfRule>
  </conditionalFormatting>
  <conditionalFormatting sqref="AS4:BS4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4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AR$10</formula>
      <formula>1000</formula>
    </cfRule>
    <cfRule type="cellIs" dxfId="98" priority="47560" operator="between">
      <formula>AR$9</formula>
      <formula>AR$10</formula>
    </cfRule>
    <cfRule type="cellIs" dxfId="97" priority="47561" operator="between">
      <formula>AR$8</formula>
      <formula>AR$9</formula>
    </cfRule>
    <cfRule type="cellIs" dxfId="96" priority="47562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AR$14</formula>
      <formula>1000</formula>
    </cfRule>
    <cfRule type="cellIs" dxfId="94" priority="47740" operator="between">
      <formula>AR$13</formula>
      <formula>AR$14</formula>
    </cfRule>
    <cfRule type="cellIs" dxfId="93" priority="47741" operator="between">
      <formula>AR$12</formula>
      <formula>AR$13</formula>
    </cfRule>
    <cfRule type="cellIs" dxfId="92" priority="47742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AR$7</formula>
      <formula>AR$8</formula>
    </cfRule>
    <cfRule type="cellIs" dxfId="90" priority="47920" operator="between">
      <formula>AR$8</formula>
      <formula>AR$9</formula>
    </cfRule>
    <cfRule type="cellIs" dxfId="89" priority="47921" operator="between">
      <formula>AR$9</formula>
      <formula>AR$10</formula>
    </cfRule>
    <cfRule type="cellIs" dxfId="88" priority="47922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AR$11</formula>
      <formula>AR$12</formula>
    </cfRule>
    <cfRule type="cellIs" dxfId="86" priority="48100" operator="between">
      <formula>AR$12</formula>
      <formula>AR$13</formula>
    </cfRule>
    <cfRule type="cellIs" dxfId="85" priority="48101" operator="between">
      <formula>AR$13</formula>
      <formula>AR$14</formula>
    </cfRule>
    <cfRule type="cellIs" dxfId="84" priority="48102" operator="between">
      <formula>AR$14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7" t="s">
        <v>5</v>
      </c>
      <c r="H1" s="106" t="s">
        <v>6</v>
      </c>
      <c r="I1" s="111" t="s">
        <v>79</v>
      </c>
      <c r="J1" s="108" t="s">
        <v>24</v>
      </c>
      <c r="K1" s="111" t="s">
        <v>80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3" t="s">
        <v>70</v>
      </c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3" t="s">
        <v>75</v>
      </c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10" t="s">
        <v>51</v>
      </c>
      <c r="CV1" s="110"/>
      <c r="CW1" s="103" t="s">
        <v>91</v>
      </c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3" t="s">
        <v>55</v>
      </c>
      <c r="OX1" s="103"/>
      <c r="OY1" s="103"/>
      <c r="OZ1" s="103"/>
      <c r="PA1" s="103"/>
      <c r="PB1" s="103"/>
      <c r="PC1" s="103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11"/>
      <c r="J2" s="108"/>
      <c r="K2" s="111"/>
      <c r="L2" s="108"/>
      <c r="M2" s="108"/>
      <c r="N2" s="108"/>
      <c r="O2" s="109"/>
      <c r="P2" s="108"/>
      <c r="Q2" s="108"/>
      <c r="R2" s="102" t="s">
        <v>81</v>
      </c>
      <c r="S2" s="102"/>
      <c r="T2" s="102"/>
      <c r="U2" s="102"/>
      <c r="V2" s="102" t="s">
        <v>82</v>
      </c>
      <c r="W2" s="102"/>
      <c r="X2" s="102"/>
      <c r="Y2" s="102"/>
      <c r="Z2" s="102" t="s">
        <v>83</v>
      </c>
      <c r="AA2" s="102"/>
      <c r="AB2" s="102"/>
      <c r="AC2" s="102"/>
      <c r="AD2" s="102" t="s">
        <v>84</v>
      </c>
      <c r="AE2" s="102"/>
      <c r="AF2" s="102"/>
      <c r="AG2" s="102"/>
      <c r="AH2" s="112" t="s">
        <v>85</v>
      </c>
      <c r="AI2" s="112"/>
      <c r="AJ2" s="112"/>
      <c r="AK2" s="112"/>
      <c r="AL2" s="74"/>
      <c r="AM2" s="74" t="s">
        <v>86</v>
      </c>
      <c r="AN2" s="74" t="s">
        <v>87</v>
      </c>
      <c r="AO2" s="74" t="s">
        <v>83</v>
      </c>
      <c r="AP2" s="74" t="s">
        <v>56</v>
      </c>
      <c r="AQ2" s="74" t="s">
        <v>88</v>
      </c>
      <c r="AR2" s="74" t="s">
        <v>14</v>
      </c>
      <c r="AS2" s="104" t="s">
        <v>81</v>
      </c>
      <c r="AT2" s="104"/>
      <c r="AU2" s="104"/>
      <c r="AV2" s="104"/>
      <c r="AW2" s="104" t="s">
        <v>82</v>
      </c>
      <c r="AX2" s="104"/>
      <c r="AY2" s="104"/>
      <c r="AZ2" s="104"/>
      <c r="BA2" s="104" t="s">
        <v>83</v>
      </c>
      <c r="BB2" s="104"/>
      <c r="BC2" s="104"/>
      <c r="BD2" s="104"/>
      <c r="BE2" s="104" t="s">
        <v>84</v>
      </c>
      <c r="BF2" s="104"/>
      <c r="BG2" s="104"/>
      <c r="BH2" s="104"/>
      <c r="BI2" s="113" t="s">
        <v>85</v>
      </c>
      <c r="BJ2" s="113"/>
      <c r="BK2" s="113"/>
      <c r="BL2" s="113"/>
      <c r="BM2" s="73"/>
      <c r="BN2" s="73" t="s">
        <v>86</v>
      </c>
      <c r="BO2" s="73" t="s">
        <v>87</v>
      </c>
      <c r="BP2" s="73" t="s">
        <v>83</v>
      </c>
      <c r="BQ2" s="73" t="s">
        <v>56</v>
      </c>
      <c r="BR2" s="73" t="s">
        <v>88</v>
      </c>
      <c r="BS2" s="73" t="s">
        <v>14</v>
      </c>
      <c r="BT2" s="102" t="s">
        <v>81</v>
      </c>
      <c r="BU2" s="102"/>
      <c r="BV2" s="102"/>
      <c r="BW2" s="102"/>
      <c r="BX2" s="102" t="s">
        <v>82</v>
      </c>
      <c r="BY2" s="102"/>
      <c r="BZ2" s="102"/>
      <c r="CA2" s="102"/>
      <c r="CB2" s="102" t="s">
        <v>83</v>
      </c>
      <c r="CC2" s="102"/>
      <c r="CD2" s="102"/>
      <c r="CE2" s="102"/>
      <c r="CF2" s="102" t="s">
        <v>84</v>
      </c>
      <c r="CG2" s="102"/>
      <c r="CH2" s="102"/>
      <c r="CI2" s="102"/>
      <c r="CJ2" s="112" t="s">
        <v>85</v>
      </c>
      <c r="CK2" s="112"/>
      <c r="CL2" s="112"/>
      <c r="CM2" s="112"/>
      <c r="CN2" s="74"/>
      <c r="CO2" s="74" t="s">
        <v>86</v>
      </c>
      <c r="CP2" s="74" t="s">
        <v>87</v>
      </c>
      <c r="CQ2" s="74" t="s">
        <v>83</v>
      </c>
      <c r="CR2" s="74" t="s">
        <v>56</v>
      </c>
      <c r="CS2" s="74" t="s">
        <v>88</v>
      </c>
      <c r="CT2" s="74" t="s">
        <v>14</v>
      </c>
      <c r="CU2" s="80" t="s">
        <v>87</v>
      </c>
      <c r="CV2" s="80" t="s">
        <v>19</v>
      </c>
      <c r="CW2" s="102" t="s">
        <v>81</v>
      </c>
      <c r="CX2" s="102"/>
      <c r="CY2" s="102"/>
      <c r="CZ2" s="102"/>
      <c r="DA2" s="102" t="s">
        <v>82</v>
      </c>
      <c r="DB2" s="102"/>
      <c r="DC2" s="102"/>
      <c r="DD2" s="102"/>
      <c r="DE2" s="102" t="s">
        <v>83</v>
      </c>
      <c r="DF2" s="102"/>
      <c r="DG2" s="102"/>
      <c r="DH2" s="102"/>
      <c r="DI2" s="102" t="s">
        <v>84</v>
      </c>
      <c r="DJ2" s="102"/>
      <c r="DK2" s="102"/>
      <c r="DL2" s="102"/>
      <c r="DM2" s="114" t="s">
        <v>85</v>
      </c>
      <c r="DN2" s="114"/>
      <c r="DO2" s="114"/>
      <c r="DP2" s="114"/>
      <c r="DQ2" s="74" t="s">
        <v>86</v>
      </c>
      <c r="DR2" s="74" t="s">
        <v>87</v>
      </c>
      <c r="DS2" s="74" t="s">
        <v>83</v>
      </c>
      <c r="DT2" s="74" t="s">
        <v>56</v>
      </c>
      <c r="DU2" s="74" t="s">
        <v>88</v>
      </c>
      <c r="DV2" s="74" t="s">
        <v>14</v>
      </c>
      <c r="DW2" s="104" t="s">
        <v>81</v>
      </c>
      <c r="DX2" s="104"/>
      <c r="DY2" s="104"/>
      <c r="DZ2" s="104"/>
      <c r="EA2" s="104" t="s">
        <v>82</v>
      </c>
      <c r="EB2" s="104"/>
      <c r="EC2" s="104"/>
      <c r="ED2" s="104"/>
      <c r="EE2" s="104" t="s">
        <v>83</v>
      </c>
      <c r="EF2" s="104"/>
      <c r="EG2" s="104"/>
      <c r="EH2" s="104"/>
      <c r="EI2" s="104" t="s">
        <v>84</v>
      </c>
      <c r="EJ2" s="104"/>
      <c r="EK2" s="104"/>
      <c r="EL2" s="104"/>
      <c r="EM2" s="113" t="s">
        <v>85</v>
      </c>
      <c r="EN2" s="113"/>
      <c r="EO2" s="113"/>
      <c r="EP2" s="113"/>
      <c r="EQ2" s="73" t="s">
        <v>86</v>
      </c>
      <c r="ER2" s="73" t="s">
        <v>87</v>
      </c>
      <c r="ES2" s="73" t="s">
        <v>83</v>
      </c>
      <c r="ET2" s="73" t="s">
        <v>56</v>
      </c>
      <c r="EU2" s="73" t="s">
        <v>88</v>
      </c>
      <c r="EV2" s="73" t="s">
        <v>14</v>
      </c>
      <c r="EW2" s="102" t="s">
        <v>81</v>
      </c>
      <c r="EX2" s="102"/>
      <c r="EY2" s="102"/>
      <c r="EZ2" s="102"/>
      <c r="FA2" s="102" t="s">
        <v>82</v>
      </c>
      <c r="FB2" s="102"/>
      <c r="FC2" s="102"/>
      <c r="FD2" s="102"/>
      <c r="FE2" s="102" t="s">
        <v>83</v>
      </c>
      <c r="FF2" s="102"/>
      <c r="FG2" s="102"/>
      <c r="FH2" s="102"/>
      <c r="FI2" s="102" t="s">
        <v>84</v>
      </c>
      <c r="FJ2" s="102"/>
      <c r="FK2" s="102"/>
      <c r="FL2" s="102"/>
      <c r="FM2" s="114" t="s">
        <v>85</v>
      </c>
      <c r="FN2" s="114"/>
      <c r="FO2" s="114"/>
      <c r="FP2" s="114"/>
      <c r="FQ2" s="74" t="s">
        <v>86</v>
      </c>
      <c r="FR2" s="74" t="s">
        <v>87</v>
      </c>
      <c r="FS2" s="74" t="s">
        <v>83</v>
      </c>
      <c r="FT2" s="74" t="s">
        <v>56</v>
      </c>
      <c r="FU2" s="74" t="s">
        <v>88</v>
      </c>
      <c r="FV2" s="74" t="s">
        <v>14</v>
      </c>
      <c r="FW2" s="104" t="s">
        <v>81</v>
      </c>
      <c r="FX2" s="104"/>
      <c r="FY2" s="104"/>
      <c r="FZ2" s="104"/>
      <c r="GA2" s="104" t="s">
        <v>82</v>
      </c>
      <c r="GB2" s="104"/>
      <c r="GC2" s="104"/>
      <c r="GD2" s="104"/>
      <c r="GE2" s="104" t="s">
        <v>83</v>
      </c>
      <c r="GF2" s="104"/>
      <c r="GG2" s="104"/>
      <c r="GH2" s="104"/>
      <c r="GI2" s="104" t="s">
        <v>84</v>
      </c>
      <c r="GJ2" s="104"/>
      <c r="GK2" s="104"/>
      <c r="GL2" s="104"/>
      <c r="GM2" s="113" t="s">
        <v>85</v>
      </c>
      <c r="GN2" s="113"/>
      <c r="GO2" s="113"/>
      <c r="GP2" s="113"/>
      <c r="GQ2" s="73" t="s">
        <v>86</v>
      </c>
      <c r="GR2" s="73" t="s">
        <v>87</v>
      </c>
      <c r="GS2" s="73" t="s">
        <v>83</v>
      </c>
      <c r="GT2" s="73" t="s">
        <v>56</v>
      </c>
      <c r="GU2" s="73" t="s">
        <v>88</v>
      </c>
      <c r="GV2" s="73" t="s">
        <v>14</v>
      </c>
      <c r="GW2" s="102" t="s">
        <v>81</v>
      </c>
      <c r="GX2" s="102"/>
      <c r="GY2" s="102"/>
      <c r="GZ2" s="102"/>
      <c r="HA2" s="102" t="s">
        <v>82</v>
      </c>
      <c r="HB2" s="102"/>
      <c r="HC2" s="102"/>
      <c r="HD2" s="102"/>
      <c r="HE2" s="102" t="s">
        <v>83</v>
      </c>
      <c r="HF2" s="102"/>
      <c r="HG2" s="102"/>
      <c r="HH2" s="102"/>
      <c r="HI2" s="102" t="s">
        <v>84</v>
      </c>
      <c r="HJ2" s="102"/>
      <c r="HK2" s="102"/>
      <c r="HL2" s="102"/>
      <c r="HM2" s="114" t="s">
        <v>85</v>
      </c>
      <c r="HN2" s="114"/>
      <c r="HO2" s="114"/>
      <c r="HP2" s="114"/>
      <c r="HQ2" s="74" t="s">
        <v>86</v>
      </c>
      <c r="HR2" s="74" t="s">
        <v>87</v>
      </c>
      <c r="HS2" s="74" t="s">
        <v>83</v>
      </c>
      <c r="HT2" s="74" t="s">
        <v>56</v>
      </c>
      <c r="HU2" s="74" t="s">
        <v>88</v>
      </c>
      <c r="HV2" s="74" t="s">
        <v>14</v>
      </c>
      <c r="HW2" s="104" t="s">
        <v>81</v>
      </c>
      <c r="HX2" s="104"/>
      <c r="HY2" s="104"/>
      <c r="HZ2" s="104"/>
      <c r="IA2" s="104" t="s">
        <v>82</v>
      </c>
      <c r="IB2" s="104"/>
      <c r="IC2" s="104"/>
      <c r="ID2" s="104"/>
      <c r="IE2" s="104" t="s">
        <v>83</v>
      </c>
      <c r="IF2" s="104"/>
      <c r="IG2" s="104"/>
      <c r="IH2" s="104"/>
      <c r="II2" s="104" t="s">
        <v>84</v>
      </c>
      <c r="IJ2" s="104"/>
      <c r="IK2" s="104"/>
      <c r="IL2" s="104"/>
      <c r="IM2" s="113" t="s">
        <v>85</v>
      </c>
      <c r="IN2" s="113"/>
      <c r="IO2" s="113"/>
      <c r="IP2" s="113"/>
      <c r="IQ2" s="73" t="s">
        <v>86</v>
      </c>
      <c r="IR2" s="73" t="s">
        <v>87</v>
      </c>
      <c r="IS2" s="73" t="s">
        <v>83</v>
      </c>
      <c r="IT2" s="73" t="s">
        <v>56</v>
      </c>
      <c r="IU2" s="73" t="s">
        <v>88</v>
      </c>
      <c r="IV2" s="73" t="s">
        <v>14</v>
      </c>
      <c r="IW2" s="102" t="s">
        <v>81</v>
      </c>
      <c r="IX2" s="102"/>
      <c r="IY2" s="102"/>
      <c r="IZ2" s="102"/>
      <c r="JA2" s="102" t="s">
        <v>82</v>
      </c>
      <c r="JB2" s="102"/>
      <c r="JC2" s="102"/>
      <c r="JD2" s="102"/>
      <c r="JE2" s="102" t="s">
        <v>83</v>
      </c>
      <c r="JF2" s="102"/>
      <c r="JG2" s="102"/>
      <c r="JH2" s="102"/>
      <c r="JI2" s="102" t="s">
        <v>84</v>
      </c>
      <c r="JJ2" s="102"/>
      <c r="JK2" s="102"/>
      <c r="JL2" s="102"/>
      <c r="JM2" s="114" t="s">
        <v>85</v>
      </c>
      <c r="JN2" s="114"/>
      <c r="JO2" s="114"/>
      <c r="JP2" s="114"/>
      <c r="JQ2" s="74" t="s">
        <v>86</v>
      </c>
      <c r="JR2" s="74" t="s">
        <v>87</v>
      </c>
      <c r="JS2" s="74" t="s">
        <v>83</v>
      </c>
      <c r="JT2" s="74" t="s">
        <v>56</v>
      </c>
      <c r="JU2" s="74" t="s">
        <v>88</v>
      </c>
      <c r="JV2" s="74" t="s">
        <v>14</v>
      </c>
      <c r="JW2" s="104" t="s">
        <v>81</v>
      </c>
      <c r="JX2" s="104"/>
      <c r="JY2" s="104"/>
      <c r="JZ2" s="104"/>
      <c r="KA2" s="104" t="s">
        <v>82</v>
      </c>
      <c r="KB2" s="104"/>
      <c r="KC2" s="104"/>
      <c r="KD2" s="104"/>
      <c r="KE2" s="104" t="s">
        <v>83</v>
      </c>
      <c r="KF2" s="104"/>
      <c r="KG2" s="104"/>
      <c r="KH2" s="104"/>
      <c r="KI2" s="104" t="s">
        <v>84</v>
      </c>
      <c r="KJ2" s="104"/>
      <c r="KK2" s="104"/>
      <c r="KL2" s="104"/>
      <c r="KM2" s="113" t="s">
        <v>85</v>
      </c>
      <c r="KN2" s="113"/>
      <c r="KO2" s="113"/>
      <c r="KP2" s="113"/>
      <c r="KQ2" s="73" t="s">
        <v>86</v>
      </c>
      <c r="KR2" s="73" t="s">
        <v>87</v>
      </c>
      <c r="KS2" s="73" t="s">
        <v>83</v>
      </c>
      <c r="KT2" s="73" t="s">
        <v>56</v>
      </c>
      <c r="KU2" s="73" t="s">
        <v>88</v>
      </c>
      <c r="KV2" s="73" t="s">
        <v>14</v>
      </c>
      <c r="KW2" s="102" t="s">
        <v>81</v>
      </c>
      <c r="KX2" s="102"/>
      <c r="KY2" s="102"/>
      <c r="KZ2" s="102"/>
      <c r="LA2" s="102" t="s">
        <v>82</v>
      </c>
      <c r="LB2" s="102"/>
      <c r="LC2" s="102"/>
      <c r="LD2" s="102"/>
      <c r="LE2" s="102" t="s">
        <v>83</v>
      </c>
      <c r="LF2" s="102"/>
      <c r="LG2" s="102"/>
      <c r="LH2" s="102"/>
      <c r="LI2" s="102" t="s">
        <v>84</v>
      </c>
      <c r="LJ2" s="102"/>
      <c r="LK2" s="102"/>
      <c r="LL2" s="102"/>
      <c r="LM2" s="114" t="s">
        <v>85</v>
      </c>
      <c r="LN2" s="114"/>
      <c r="LO2" s="114"/>
      <c r="LP2" s="114"/>
      <c r="LQ2" s="74" t="s">
        <v>86</v>
      </c>
      <c r="LR2" s="74" t="s">
        <v>87</v>
      </c>
      <c r="LS2" s="74" t="s">
        <v>83</v>
      </c>
      <c r="LT2" s="74" t="s">
        <v>56</v>
      </c>
      <c r="LU2" s="74" t="s">
        <v>88</v>
      </c>
      <c r="LV2" s="74" t="s">
        <v>14</v>
      </c>
      <c r="LW2" s="104" t="s">
        <v>81</v>
      </c>
      <c r="LX2" s="104"/>
      <c r="LY2" s="104"/>
      <c r="LZ2" s="104"/>
      <c r="MA2" s="104" t="s">
        <v>82</v>
      </c>
      <c r="MB2" s="104"/>
      <c r="MC2" s="104"/>
      <c r="MD2" s="104"/>
      <c r="ME2" s="104" t="s">
        <v>83</v>
      </c>
      <c r="MF2" s="104"/>
      <c r="MG2" s="104"/>
      <c r="MH2" s="104"/>
      <c r="MI2" s="104" t="s">
        <v>84</v>
      </c>
      <c r="MJ2" s="104"/>
      <c r="MK2" s="104"/>
      <c r="ML2" s="104"/>
      <c r="MM2" s="113" t="s">
        <v>85</v>
      </c>
      <c r="MN2" s="113"/>
      <c r="MO2" s="113"/>
      <c r="MP2" s="113"/>
      <c r="MQ2" s="73" t="s">
        <v>86</v>
      </c>
      <c r="MR2" s="73" t="s">
        <v>87</v>
      </c>
      <c r="MS2" s="73" t="s">
        <v>83</v>
      </c>
      <c r="MT2" s="73" t="s">
        <v>56</v>
      </c>
      <c r="MU2" s="73" t="s">
        <v>88</v>
      </c>
      <c r="MV2" s="73" t="s">
        <v>14</v>
      </c>
      <c r="MW2" s="102" t="s">
        <v>81</v>
      </c>
      <c r="MX2" s="102"/>
      <c r="MY2" s="102"/>
      <c r="MZ2" s="102"/>
      <c r="NA2" s="102" t="s">
        <v>82</v>
      </c>
      <c r="NB2" s="102"/>
      <c r="NC2" s="102"/>
      <c r="ND2" s="102"/>
      <c r="NE2" s="102" t="s">
        <v>83</v>
      </c>
      <c r="NF2" s="102"/>
      <c r="NG2" s="102"/>
      <c r="NH2" s="102"/>
      <c r="NI2" s="102" t="s">
        <v>84</v>
      </c>
      <c r="NJ2" s="102"/>
      <c r="NK2" s="102"/>
      <c r="NL2" s="102"/>
      <c r="NM2" s="114" t="s">
        <v>85</v>
      </c>
      <c r="NN2" s="114"/>
      <c r="NO2" s="114"/>
      <c r="NP2" s="114"/>
      <c r="NQ2" s="74" t="s">
        <v>86</v>
      </c>
      <c r="NR2" s="74" t="s">
        <v>87</v>
      </c>
      <c r="NS2" s="74" t="s">
        <v>83</v>
      </c>
      <c r="NT2" s="74" t="s">
        <v>56</v>
      </c>
      <c r="NU2" s="74" t="s">
        <v>88</v>
      </c>
      <c r="NV2" s="74" t="s">
        <v>14</v>
      </c>
      <c r="NW2" s="104" t="s">
        <v>81</v>
      </c>
      <c r="NX2" s="104"/>
      <c r="NY2" s="104"/>
      <c r="NZ2" s="104"/>
      <c r="OA2" s="104" t="s">
        <v>82</v>
      </c>
      <c r="OB2" s="104"/>
      <c r="OC2" s="104"/>
      <c r="OD2" s="104"/>
      <c r="OE2" s="104" t="s">
        <v>83</v>
      </c>
      <c r="OF2" s="104"/>
      <c r="OG2" s="104"/>
      <c r="OH2" s="104"/>
      <c r="OI2" s="104" t="s">
        <v>84</v>
      </c>
      <c r="OJ2" s="104"/>
      <c r="OK2" s="104"/>
      <c r="OL2" s="104"/>
      <c r="OM2" s="113" t="s">
        <v>85</v>
      </c>
      <c r="ON2" s="113"/>
      <c r="OO2" s="113"/>
      <c r="OP2" s="113"/>
      <c r="OQ2" s="73" t="s">
        <v>86</v>
      </c>
      <c r="OR2" s="73" t="s">
        <v>87</v>
      </c>
      <c r="OS2" s="73" t="s">
        <v>83</v>
      </c>
      <c r="OT2" s="73" t="s">
        <v>56</v>
      </c>
      <c r="OU2" s="73" t="s">
        <v>88</v>
      </c>
      <c r="OV2" s="73" t="s">
        <v>14</v>
      </c>
      <c r="OW2" s="102" t="s">
        <v>81</v>
      </c>
      <c r="OX2" s="102"/>
      <c r="OY2" s="102"/>
      <c r="OZ2" s="102"/>
      <c r="PA2" s="102" t="s">
        <v>82</v>
      </c>
      <c r="PB2" s="102"/>
      <c r="PC2" s="102"/>
      <c r="PD2" s="102"/>
      <c r="PE2" s="102" t="s">
        <v>83</v>
      </c>
      <c r="PF2" s="102"/>
      <c r="PG2" s="102"/>
      <c r="PH2" s="102"/>
      <c r="PI2" s="102" t="s">
        <v>84</v>
      </c>
      <c r="PJ2" s="102"/>
      <c r="PK2" s="102"/>
      <c r="PL2" s="102"/>
      <c r="PM2" s="112" t="s">
        <v>85</v>
      </c>
      <c r="PN2" s="112"/>
      <c r="PO2" s="112"/>
      <c r="PP2" s="112"/>
      <c r="PQ2" s="74"/>
      <c r="PR2" s="74" t="s">
        <v>86</v>
      </c>
      <c r="PS2" s="74" t="s">
        <v>87</v>
      </c>
      <c r="PT2" s="74" t="s">
        <v>83</v>
      </c>
      <c r="PU2" s="74" t="s">
        <v>56</v>
      </c>
      <c r="PV2" s="74" t="s">
        <v>88</v>
      </c>
      <c r="PW2" s="74" t="s">
        <v>14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11"/>
      <c r="J3" s="108"/>
      <c r="K3" s="111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76</v>
      </c>
      <c r="C4" s="5" t="s">
        <v>78</v>
      </c>
      <c r="D4" s="5">
        <v>2009</v>
      </c>
      <c r="E4" s="15">
        <f>SUM(I4:O4)+SUM(I4:M4)*0.0000001+SUM(I4)*0.0000000000001</f>
        <v>86.300308490034311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42.900000000000006</v>
      </c>
      <c r="J4" s="14" t="str">
        <f>IF(I4=0,"",IF(I4=CP4,$BT$1,IF(I4=BO4,$AS$1,IF(I4=AN4,$R$1,""))))</f>
        <v>2022 Elite Canada</v>
      </c>
      <c r="K4" s="14">
        <f>IF(COUNT(AN4,BO4,CP4)&gt;1,LARGE((AN4,BO4,CP4),2),0)</f>
        <v>3.0000000000000003E-4</v>
      </c>
      <c r="L4" s="14" t="str">
        <f>IF(K4=0,"",IF(K4=CP4,$BT$1,IF(K4=BO4,$AS$1,IF(K4=AN4,$R$1,""))))</f>
        <v>2021 Canadian Championships</v>
      </c>
      <c r="M4" s="14">
        <f>IF(MAX(AQ4,BR4,CS4)&gt;0,MAX(AQ4,BR4,CS4),0)</f>
        <v>42</v>
      </c>
      <c r="N4" s="14" t="str">
        <f>IF(M4=0,"",IF(M4=CS4,$BT$1,IF(M4=BR4,$AS$1,IF(M4=AQ4,$R$1,""))))</f>
        <v>2022 Elite Canada</v>
      </c>
      <c r="O4" s="14">
        <f>IF(MAX(CU4:CV4)&gt;0,MAX(CU4:CV4),"")</f>
        <v>1.3999999999999986</v>
      </c>
      <c r="P4" s="20" t="str">
        <f>IF(O4="","",IF(O4=CU4,"("&amp;CU$2&amp;")",IF(O4=CV4,"("&amp;CV$2&amp;")")))</f>
        <v>(Final)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1E-4</v>
      </c>
      <c r="S4" s="26">
        <v>2.0000000000000001E-4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>
        <f>IF(SUM(S4,W4)&gt;0,SUM(S4,W4),"")</f>
        <v>2.0000000000000001E-4</v>
      </c>
      <c r="AN4" s="81">
        <f>IF(SUM(R4:S4,U4:W4,Y4)-T4-X4&gt;0,SUM(R4:S4,U4:W4,Y4)-T4-X4,"")</f>
        <v>3.0000000000000003E-4</v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>
        <f>IF(SUM(AN4,AQ4)&gt;0,SUM(AN4,AQ4),"")</f>
        <v>3.0000000000000003E-4</v>
      </c>
      <c r="AS4" s="25">
        <v>1E-4</v>
      </c>
      <c r="AT4" s="25">
        <v>2.0000000000000001E-4</v>
      </c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>
        <f>IF(SUM(AT4,AX4)&gt;0,SUM(AT4,AX4),"")</f>
        <v>2.0000000000000001E-4</v>
      </c>
      <c r="BO4" s="20">
        <f>IF(SUM(AS4:AT4,AV4:AX4,AZ4)-AU4-AY4&gt;0,SUM(AS4:AT4,AV4:AX4,AZ4)-AU4-AY4,"")</f>
        <v>3.0000000000000003E-4</v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>
        <f>IF(SUM(BO4,BR4)&gt;0,SUM(BO4,BR4),"")</f>
        <v>3.0000000000000003E-4</v>
      </c>
      <c r="BT4" s="26">
        <v>17.600000000000001</v>
      </c>
      <c r="BU4" s="26">
        <v>3.4</v>
      </c>
      <c r="BV4" s="26">
        <v>0</v>
      </c>
      <c r="BW4" s="26">
        <v>0</v>
      </c>
      <c r="BX4" s="26">
        <v>16.7</v>
      </c>
      <c r="BY4" s="26">
        <v>4.5999999999999996</v>
      </c>
      <c r="BZ4" s="26">
        <v>0</v>
      </c>
      <c r="CA4" s="26">
        <v>0.6</v>
      </c>
      <c r="CB4" s="26"/>
      <c r="CC4" s="26"/>
      <c r="CD4" s="26"/>
      <c r="CE4" s="26"/>
      <c r="CF4" s="26">
        <v>17.399999999999999</v>
      </c>
      <c r="CG4" s="26">
        <v>3.2</v>
      </c>
      <c r="CH4" s="26">
        <v>0.2</v>
      </c>
      <c r="CI4" s="26">
        <v>0</v>
      </c>
      <c r="CJ4" s="26">
        <v>16.399999999999999</v>
      </c>
      <c r="CK4" s="26">
        <v>4.8</v>
      </c>
      <c r="CL4" s="26">
        <v>0.2</v>
      </c>
      <c r="CM4" s="26">
        <v>0.6</v>
      </c>
      <c r="CN4" s="45"/>
      <c r="CO4" s="81">
        <f>IF(SUM(BU4,BY4)&gt;0,SUM(BU4,BY4),"")</f>
        <v>8</v>
      </c>
      <c r="CP4" s="81">
        <f>IF(SUM(BT4:BU4,BW4:BY4,CA4)-BV4-BZ4&gt;0,SUM(BT4:BU4,BW4:BY4,CA4)-BV4-BZ4,"")</f>
        <v>42.900000000000006</v>
      </c>
      <c r="CQ4" s="81" t="str">
        <f>IF(SUM(CB4:CC4,CE4)-CD4&gt;0,SUM(CB4:CC4,CE4)-CD4,"")</f>
        <v/>
      </c>
      <c r="CR4" s="81">
        <f>IF(SUM(CG4,CK4)&gt;0,SUM(CG4,CK4),"")</f>
        <v>8</v>
      </c>
      <c r="CS4" s="81">
        <f>IF(SUM(CF4:CG4,CI4:CK4,CM4)-SUM(CH4,CL4)&gt;0,SUM(CF4:CG4,CI4:CK4,CM4)-SUM(CH4,CL4),"")</f>
        <v>42</v>
      </c>
      <c r="CT4" s="81">
        <f>IF(SUM(CP4,CS4)&gt;0,SUM(CP4,CS4),"")</f>
        <v>84.9</v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>
        <f>IF(M4&gt;=0.001,IF(MAX(DU4,EU4,FU4,GU4,HU4,IU4,JU4,KU4,LU4,MU4,NU4,OU4)-IF(M4="",0,M4)&gt;0.001,MAX(DU4,EU4,FU4,GU4,HU4,IU4,JU4,KU4,LU4,MU4,NU4,OU4)-IF(M4="",0,M4),""),"")</f>
        <v>1.3999999999999986</v>
      </c>
      <c r="CW4" s="24">
        <v>17.3</v>
      </c>
      <c r="CX4" s="24">
        <v>4.0999999999999996</v>
      </c>
      <c r="CY4" s="24">
        <v>0</v>
      </c>
      <c r="CZ4" s="24">
        <v>0</v>
      </c>
      <c r="DA4" s="24">
        <v>17.2</v>
      </c>
      <c r="DB4" s="24">
        <v>3.9</v>
      </c>
      <c r="DC4" s="24">
        <v>0</v>
      </c>
      <c r="DD4" s="24">
        <v>0</v>
      </c>
      <c r="DE4" s="24"/>
      <c r="DF4" s="24"/>
      <c r="DG4" s="24"/>
      <c r="DH4" s="24"/>
      <c r="DI4" s="24">
        <v>17.600000000000001</v>
      </c>
      <c r="DJ4" s="24">
        <v>3.9</v>
      </c>
      <c r="DK4" s="24">
        <v>0</v>
      </c>
      <c r="DL4" s="24">
        <v>0</v>
      </c>
      <c r="DM4" s="24">
        <v>17.8</v>
      </c>
      <c r="DN4" s="24">
        <v>4.0999999999999996</v>
      </c>
      <c r="DO4" s="24">
        <v>0</v>
      </c>
      <c r="DP4" s="24">
        <v>0</v>
      </c>
      <c r="DQ4" s="81">
        <f>IF(SUM(CX4,DB4)&gt;0,SUM(CX4,DB4),"")</f>
        <v>8</v>
      </c>
      <c r="DR4" s="81">
        <f>IF(SUM(CW4:CX4,CZ4:DB4,DD4)-CY4-DC4&gt;0,SUM(CW4:CX4,CZ4:DB4,DD4)-CY4-DC4,"")</f>
        <v>42.499999999999993</v>
      </c>
      <c r="DS4" s="81" t="str">
        <f>IF(SUM(DE4:DF4,DH4)-DG4&gt;0,SUM(DE4:DF4,DH4)-DG4,"")</f>
        <v/>
      </c>
      <c r="DT4" s="81">
        <f>IF(SUM(DJ4,DN4)&gt;0,SUM(DJ4,DN4),"")</f>
        <v>8</v>
      </c>
      <c r="DU4" s="81">
        <f>IF(SUM(DI4:DJ4,DL4:DN4,DP4)-SUM(DK4,DO4)&gt;0,SUM(DI4:DJ4,DL4:DN4,DP4)-SUM(DK4,DO4),"")</f>
        <v>43.4</v>
      </c>
      <c r="DV4" s="81">
        <f>IF(SUM(DR4,DU4)&gt;0,SUM(DR4,DU4),"")</f>
        <v>85.899999999999991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F5" si="0">IF($CN4="P",BT4,(BT4+AS4)/2)</f>
        <v>8.8000500000000006</v>
      </c>
      <c r="OX4" s="38">
        <f t="shared" si="0"/>
        <v>1.7000999999999999</v>
      </c>
      <c r="OY4" s="38">
        <f t="shared" si="0"/>
        <v>0</v>
      </c>
      <c r="OZ4" s="38">
        <f t="shared" si="0"/>
        <v>0</v>
      </c>
      <c r="PA4" s="38">
        <f t="shared" si="0"/>
        <v>8.35</v>
      </c>
      <c r="PB4" s="38">
        <f t="shared" si="0"/>
        <v>2.2999999999999998</v>
      </c>
      <c r="PC4" s="38">
        <f t="shared" si="0"/>
        <v>0</v>
      </c>
      <c r="PD4" s="38">
        <f t="shared" si="0"/>
        <v>0.3</v>
      </c>
      <c r="PE4" s="38">
        <f t="shared" si="0"/>
        <v>0</v>
      </c>
      <c r="PF4" s="38">
        <f t="shared" si="0"/>
        <v>0</v>
      </c>
      <c r="PG4" s="38">
        <f t="shared" ref="PG4:PP5" si="1">IF($CN4="P",CD4,(CD4+BC4)/2)</f>
        <v>0</v>
      </c>
      <c r="PH4" s="38">
        <f t="shared" si="1"/>
        <v>0</v>
      </c>
      <c r="PI4" s="38">
        <f t="shared" si="1"/>
        <v>8.6999999999999993</v>
      </c>
      <c r="PJ4" s="38">
        <f t="shared" si="1"/>
        <v>1.6</v>
      </c>
      <c r="PK4" s="38">
        <f t="shared" si="1"/>
        <v>0.1</v>
      </c>
      <c r="PL4" s="38">
        <f t="shared" si="1"/>
        <v>0</v>
      </c>
      <c r="PM4" s="38">
        <f t="shared" si="1"/>
        <v>8.1999999999999993</v>
      </c>
      <c r="PN4" s="38">
        <f t="shared" si="1"/>
        <v>2.4</v>
      </c>
      <c r="PO4" s="38">
        <f t="shared" si="1"/>
        <v>0.1</v>
      </c>
      <c r="PP4" s="38">
        <f t="shared" si="1"/>
        <v>0.3</v>
      </c>
      <c r="PQ4" s="45" t="s">
        <v>44</v>
      </c>
      <c r="PR4" s="81">
        <f>IF(SUM(OX4,PB4)&gt;0,SUM(OX4,PB4),"")</f>
        <v>4.0000999999999998</v>
      </c>
      <c r="PS4" s="81">
        <f>IF(SUM(OW4:OX4,OZ4:PB4,PD4)-OY4-PC4&gt;0,SUM(OW4:OX4,OZ4:PB4,PD4)-OY4-PC4,"")</f>
        <v>21.450150000000001</v>
      </c>
      <c r="PT4" s="81" t="str">
        <f>IF(SUM(PE4:PF4,PH4)-PG4&gt;0,SUM(PE4:PF4,PH4)-PG4,"")</f>
        <v/>
      </c>
      <c r="PU4" s="81">
        <f>IF(SUM(PJ4,PN4)&gt;0,SUM(PJ4,PN4),"")</f>
        <v>4</v>
      </c>
      <c r="PV4" s="81">
        <f>IF(SUM(PI4:PJ4,PL4:PN4,PP4)-SUM(PK4,PO4)&gt;0,SUM(PI4:PJ4,PL4:PN4,PP4)-SUM(PK4,PO4),"")</f>
        <v>21</v>
      </c>
      <c r="PW4" s="81">
        <f>IF(SUM(PS4,PV4)&gt;0,SUM(PS4,PV4),"")</f>
        <v>42.450150000000001</v>
      </c>
    </row>
    <row r="5" spans="1:439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8" t="s">
        <v>77</v>
      </c>
      <c r="C5" s="5" t="s">
        <v>67</v>
      </c>
      <c r="D5" s="5">
        <v>2006</v>
      </c>
      <c r="E5" s="15">
        <f>SUM(I5:O5)+SUM(I5:M5)*0.0000001+SUM(I5)*0.0000000000001</f>
        <v>80.200008010003828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14">
        <f>IF(COUNT(AN5,BO5,CP5)&gt;0,LARGE((AN5,BO5,CP5),1),0)</f>
        <v>38.399999999999991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41.699999999999996</v>
      </c>
      <c r="N5" s="14" t="str">
        <f>IF(M5=0,"",IF(M5=CS5,$BT$1,IF(M5=BR5,$AS$1,IF(M5=AQ5,$R$1,""))))</f>
        <v>2022 Elite Canada</v>
      </c>
      <c r="O5" s="14">
        <f>IF(MAX(CU5:CV5)&gt;0,MAX(CU5:CV5),"")</f>
        <v>0.10000000000000142</v>
      </c>
      <c r="P5" s="20" t="str">
        <f>IF(O5="","",IF(O5=CU5,"("&amp;CU$2&amp;")",IF(O5=CV5,"("&amp;CV$2&amp;")")))</f>
        <v>(Final)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Coimbra Gym Fest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6">
        <v>15.5</v>
      </c>
      <c r="BU5" s="26">
        <v>3.4</v>
      </c>
      <c r="BV5" s="26">
        <v>0.2</v>
      </c>
      <c r="BW5" s="26">
        <v>0</v>
      </c>
      <c r="BX5" s="26">
        <v>15.9</v>
      </c>
      <c r="BY5" s="26">
        <v>3.9</v>
      </c>
      <c r="BZ5" s="26">
        <v>0.4</v>
      </c>
      <c r="CA5" s="26">
        <v>0.3</v>
      </c>
      <c r="CB5" s="26"/>
      <c r="CC5" s="26"/>
      <c r="CD5" s="26"/>
      <c r="CE5" s="26"/>
      <c r="CF5" s="26">
        <v>17</v>
      </c>
      <c r="CG5" s="26">
        <v>3.4</v>
      </c>
      <c r="CH5" s="26">
        <v>0</v>
      </c>
      <c r="CI5" s="26">
        <v>0</v>
      </c>
      <c r="CJ5" s="26">
        <v>17.100000000000001</v>
      </c>
      <c r="CK5" s="26">
        <v>3.9</v>
      </c>
      <c r="CL5" s="26">
        <v>0</v>
      </c>
      <c r="CM5" s="26">
        <v>0.3</v>
      </c>
      <c r="CN5" s="45"/>
      <c r="CO5" s="81">
        <f>IF(SUM(BU5,BY5)&gt;0,SUM(BU5,BY5),"")</f>
        <v>7.3</v>
      </c>
      <c r="CP5" s="81">
        <f>IF(SUM(BT5:BU5,BW5:BY5,CA5)-BV5-BZ5&gt;0,SUM(BT5:BU5,BW5:BY5,CA5)-BV5-BZ5,"")</f>
        <v>38.399999999999991</v>
      </c>
      <c r="CQ5" s="81" t="str">
        <f>IF(SUM(CB5:CC5,CE5)-CD5&gt;0,SUM(CB5:CC5,CE5)-CD5,"")</f>
        <v/>
      </c>
      <c r="CR5" s="81">
        <f>IF(SUM(CG5,CK5)&gt;0,SUM(CG5,CK5),"")</f>
        <v>7.3</v>
      </c>
      <c r="CS5" s="81">
        <f>IF(SUM(CF5:CG5,CI5:CK5,CM5)-SUM(CH5,CL5)&gt;0,SUM(CF5:CG5,CI5:CK5,CM5)-SUM(CH5,CL5),"")</f>
        <v>41.699999999999996</v>
      </c>
      <c r="CT5" s="81">
        <f>IF(SUM(CP5,CS5)&gt;0,SUM(CP5,CS5),"")</f>
        <v>80.099999999999994</v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>
        <f>IF(M5&gt;=0.001,IF(MAX(DU5,EU5,FU5,GU5,HU5,IU5,JU5,KU5,LU5,MU5,NU5,OU5)-IF(M5="",0,M5)&gt;0.001,MAX(DU5,EU5,FU5,GU5,HU5,IU5,JU5,KU5,LU5,MU5,NU5,OU5)-IF(M5="",0,M5),""),"")</f>
        <v>0.10000000000000142</v>
      </c>
      <c r="CW5" s="24">
        <v>15.5</v>
      </c>
      <c r="CX5" s="24">
        <v>1.2</v>
      </c>
      <c r="CY5" s="24">
        <v>0</v>
      </c>
      <c r="CZ5" s="24">
        <v>0</v>
      </c>
      <c r="DA5" s="24">
        <v>15.9</v>
      </c>
      <c r="DB5" s="24">
        <v>4.8</v>
      </c>
      <c r="DC5" s="24">
        <v>0</v>
      </c>
      <c r="DD5" s="24">
        <v>0</v>
      </c>
      <c r="DE5" s="24"/>
      <c r="DF5" s="24"/>
      <c r="DG5" s="24"/>
      <c r="DH5" s="24"/>
      <c r="DI5" s="24">
        <v>17.5</v>
      </c>
      <c r="DJ5" s="24">
        <v>3.6</v>
      </c>
      <c r="DK5" s="24">
        <v>0.2</v>
      </c>
      <c r="DL5" s="24">
        <v>0</v>
      </c>
      <c r="DM5" s="24">
        <v>16.100000000000001</v>
      </c>
      <c r="DN5" s="24">
        <v>4.8</v>
      </c>
      <c r="DO5" s="24">
        <v>0</v>
      </c>
      <c r="DP5" s="24">
        <v>0</v>
      </c>
      <c r="DQ5" s="81">
        <f>IF(SUM(CX5,DB5)&gt;0,SUM(CX5,DB5),"")</f>
        <v>6</v>
      </c>
      <c r="DR5" s="81">
        <f>IF(SUM(CW5:CX5,CZ5:DB5,DD5)-CY5-DC5&gt;0,SUM(CW5:CX5,CZ5:DB5,DD5)-CY5-DC5,"")</f>
        <v>37.4</v>
      </c>
      <c r="DS5" s="81" t="str">
        <f>IF(SUM(DE5:DF5,DH5)-DG5&gt;0,SUM(DE5:DF5,DH5)-DG5,"")</f>
        <v/>
      </c>
      <c r="DT5" s="81">
        <f>IF(SUM(DJ5,DN5)&gt;0,SUM(DJ5,DN5),"")</f>
        <v>8.4</v>
      </c>
      <c r="DU5" s="81">
        <f>IF(SUM(DI5:DJ5,DL5:DN5,DP5)-SUM(DK5,DO5)&gt;0,SUM(DI5:DJ5,DL5:DN5,DP5)-SUM(DK5,DO5),"")</f>
        <v>41.8</v>
      </c>
      <c r="DV5" s="81">
        <f>IF(SUM(DR5,DU5)&gt;0,SUM(DR5,DU5),"")</f>
        <v>79.199999999999989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 t="shared" si="0"/>
        <v>7.75</v>
      </c>
      <c r="OX5" s="38">
        <f t="shared" si="0"/>
        <v>1.7</v>
      </c>
      <c r="OY5" s="38">
        <f t="shared" si="0"/>
        <v>0.1</v>
      </c>
      <c r="OZ5" s="38">
        <f t="shared" si="0"/>
        <v>0</v>
      </c>
      <c r="PA5" s="38">
        <f t="shared" si="0"/>
        <v>7.95</v>
      </c>
      <c r="PB5" s="38">
        <f t="shared" si="0"/>
        <v>1.95</v>
      </c>
      <c r="PC5" s="38">
        <f t="shared" si="0"/>
        <v>0.2</v>
      </c>
      <c r="PD5" s="38">
        <f t="shared" si="0"/>
        <v>0.15</v>
      </c>
      <c r="PE5" s="38">
        <f t="shared" si="0"/>
        <v>0</v>
      </c>
      <c r="PF5" s="38">
        <f t="shared" si="0"/>
        <v>0</v>
      </c>
      <c r="PG5" s="38">
        <f t="shared" si="1"/>
        <v>0</v>
      </c>
      <c r="PH5" s="38">
        <f t="shared" si="1"/>
        <v>0</v>
      </c>
      <c r="PI5" s="38">
        <f t="shared" si="1"/>
        <v>8.5</v>
      </c>
      <c r="PJ5" s="38">
        <f t="shared" si="1"/>
        <v>1.7</v>
      </c>
      <c r="PK5" s="38">
        <f t="shared" si="1"/>
        <v>0</v>
      </c>
      <c r="PL5" s="38">
        <f t="shared" si="1"/>
        <v>0</v>
      </c>
      <c r="PM5" s="38">
        <f t="shared" si="1"/>
        <v>8.5500000000000007</v>
      </c>
      <c r="PN5" s="38">
        <f t="shared" si="1"/>
        <v>1.95</v>
      </c>
      <c r="PO5" s="38">
        <f t="shared" si="1"/>
        <v>0</v>
      </c>
      <c r="PP5" s="38">
        <f t="shared" si="1"/>
        <v>0.15</v>
      </c>
      <c r="PQ5" s="45" t="s">
        <v>44</v>
      </c>
      <c r="PR5" s="81">
        <f>IF(SUM(OX5,PB5)&gt;0,SUM(OX5,PB5),"")</f>
        <v>3.65</v>
      </c>
      <c r="PS5" s="81">
        <f>IF(SUM(OW5:OX5,OZ5:PB5,PD5)-OY5-PC5&gt;0,SUM(OW5:OX5,OZ5:PB5,PD5)-OY5-PC5,"")</f>
        <v>19.199999999999996</v>
      </c>
      <c r="PT5" s="81" t="str">
        <f>IF(SUM(PE5:PF5,PH5)-PG5&gt;0,SUM(PE5:PF5,PH5)-PG5,"")</f>
        <v/>
      </c>
      <c r="PU5" s="81">
        <f>IF(SUM(PJ5,PN5)&gt;0,SUM(PJ5,PN5),"")</f>
        <v>3.65</v>
      </c>
      <c r="PV5" s="81">
        <f>IF(SUM(PI5:PJ5,PL5:PN5,PP5)-SUM(PK5,PO5)&gt;0,SUM(PI5:PJ5,PL5:PN5,PP5)-SUM(PK5,PO5),"")</f>
        <v>20.849999999999998</v>
      </c>
      <c r="PW5" s="81">
        <f>IF(SUM(PS5,PV5)&gt;0,SUM(PS5,PV5),"")</f>
        <v>40.049999999999997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1E-4</v>
      </c>
      <c r="BN8" s="5"/>
      <c r="BS8" s="84">
        <v>1E-4</v>
      </c>
      <c r="CO8" s="5"/>
      <c r="CT8" s="84">
        <v>7.2</v>
      </c>
      <c r="DQ8" s="5"/>
      <c r="DV8" s="84">
        <v>7.2</v>
      </c>
      <c r="EQ8" s="5"/>
      <c r="EV8" s="84">
        <v>7.2</v>
      </c>
      <c r="FQ8" s="5"/>
      <c r="FV8" s="84">
        <v>7.2</v>
      </c>
      <c r="GQ8" s="5"/>
      <c r="GV8" s="84">
        <v>7.2</v>
      </c>
      <c r="HQ8" s="5"/>
      <c r="HV8" s="84">
        <v>7.2</v>
      </c>
      <c r="IQ8" s="5"/>
      <c r="IV8" s="84">
        <v>7.2</v>
      </c>
      <c r="JQ8" s="5"/>
      <c r="JV8" s="84">
        <v>7.2</v>
      </c>
      <c r="KQ8" s="5"/>
      <c r="KV8" s="84">
        <v>7.2</v>
      </c>
      <c r="LQ8" s="5"/>
      <c r="LV8" s="84">
        <v>7.2</v>
      </c>
      <c r="MQ8" s="5"/>
      <c r="MV8" s="84">
        <v>7.2</v>
      </c>
      <c r="NQ8" s="5"/>
      <c r="NV8" s="84">
        <v>7.2</v>
      </c>
      <c r="OQ8" s="5"/>
      <c r="OV8" s="84">
        <v>7.2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2.0000000000000001E-4</v>
      </c>
      <c r="BN9" s="5"/>
      <c r="BS9" s="86">
        <f>BS10</f>
        <v>2.0000000000000001E-4</v>
      </c>
      <c r="CO9" s="5"/>
      <c r="CT9" s="86">
        <v>7.2</v>
      </c>
      <c r="DQ9" s="5"/>
      <c r="DV9" s="86">
        <v>7.2</v>
      </c>
      <c r="EQ9" s="5"/>
      <c r="EV9" s="86">
        <v>7.2</v>
      </c>
      <c r="FQ9" s="5"/>
      <c r="FV9" s="86">
        <v>7.2</v>
      </c>
      <c r="GQ9" s="5"/>
      <c r="GV9" s="86">
        <v>7.2</v>
      </c>
      <c r="HQ9" s="5"/>
      <c r="HV9" s="86">
        <v>7.2</v>
      </c>
      <c r="IQ9" s="5"/>
      <c r="IV9" s="86">
        <v>7.2</v>
      </c>
      <c r="JQ9" s="5"/>
      <c r="JV9" s="86">
        <v>7.2</v>
      </c>
      <c r="KQ9" s="5"/>
      <c r="KV9" s="86">
        <v>7.2</v>
      </c>
      <c r="LQ9" s="5"/>
      <c r="LV9" s="86">
        <v>7.2</v>
      </c>
      <c r="MQ9" s="5"/>
      <c r="MV9" s="86">
        <v>7.2</v>
      </c>
      <c r="NQ9" s="5"/>
      <c r="NV9" s="86">
        <v>7.2</v>
      </c>
      <c r="OQ9" s="5"/>
      <c r="OV9" s="86">
        <v>7.2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2.0000000000000001E-4</v>
      </c>
      <c r="BN10" s="5"/>
      <c r="BS10" s="88">
        <v>2.0000000000000001E-4</v>
      </c>
      <c r="CO10" s="5"/>
      <c r="CT10" s="88">
        <v>7.2</v>
      </c>
      <c r="DQ10" s="5"/>
      <c r="DV10" s="88">
        <v>7.2</v>
      </c>
      <c r="EQ10" s="5"/>
      <c r="EV10" s="88">
        <v>7.2</v>
      </c>
      <c r="FQ10" s="5"/>
      <c r="FV10" s="88">
        <v>7.2</v>
      </c>
      <c r="GQ10" s="5"/>
      <c r="GV10" s="88">
        <v>7.2</v>
      </c>
      <c r="HQ10" s="5"/>
      <c r="HV10" s="88">
        <v>7.2</v>
      </c>
      <c r="IQ10" s="5"/>
      <c r="IV10" s="88">
        <v>7.2</v>
      </c>
      <c r="JQ10" s="5"/>
      <c r="JV10" s="88">
        <v>7.2</v>
      </c>
      <c r="KQ10" s="5"/>
      <c r="KV10" s="88">
        <v>7.2</v>
      </c>
      <c r="LQ10" s="5"/>
      <c r="LV10" s="88">
        <v>7.2</v>
      </c>
      <c r="MQ10" s="5"/>
      <c r="MV10" s="88">
        <v>7.2</v>
      </c>
      <c r="NQ10" s="5"/>
      <c r="NV10" s="88">
        <v>7.2</v>
      </c>
      <c r="OQ10" s="5"/>
      <c r="OV10" s="88">
        <v>7.2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0">
        <v>1000</v>
      </c>
      <c r="BN11" s="5"/>
      <c r="BS11" s="90">
        <v>1000</v>
      </c>
      <c r="CO11" s="5"/>
      <c r="CT11" s="90">
        <v>1000</v>
      </c>
      <c r="DQ11" s="5"/>
      <c r="DV11" s="90">
        <v>1000</v>
      </c>
      <c r="EQ11" s="5"/>
      <c r="EV11" s="90">
        <v>1000</v>
      </c>
      <c r="FQ11" s="5"/>
      <c r="FV11" s="90">
        <v>1000</v>
      </c>
      <c r="GQ11" s="5"/>
      <c r="GV11" s="90">
        <v>1000</v>
      </c>
      <c r="HQ11" s="5"/>
      <c r="HV11" s="90">
        <v>1000</v>
      </c>
      <c r="IQ11" s="5"/>
      <c r="IV11" s="90">
        <v>1000</v>
      </c>
      <c r="JQ11" s="5"/>
      <c r="JV11" s="90">
        <v>1000</v>
      </c>
      <c r="KQ11" s="5"/>
      <c r="KV11" s="90">
        <v>1000</v>
      </c>
      <c r="LQ11" s="5"/>
      <c r="LV11" s="90">
        <v>1000</v>
      </c>
      <c r="MQ11" s="5"/>
      <c r="MV11" s="90">
        <v>1000</v>
      </c>
      <c r="NQ11" s="5"/>
      <c r="NV11" s="90">
        <v>1000</v>
      </c>
      <c r="OQ11" s="5"/>
      <c r="OV11" s="90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2">
        <v>2.9999999999999997E-4</v>
      </c>
      <c r="BN12" s="5"/>
      <c r="BS12" s="92">
        <v>2.9999999999999997E-4</v>
      </c>
      <c r="CO12" s="5"/>
      <c r="CT12" s="92">
        <v>42</v>
      </c>
      <c r="DQ12" s="5"/>
      <c r="DV12" s="92">
        <v>42</v>
      </c>
      <c r="EQ12" s="5"/>
      <c r="EV12" s="92">
        <v>42</v>
      </c>
      <c r="FQ12" s="5"/>
      <c r="FV12" s="92">
        <v>42</v>
      </c>
      <c r="GQ12" s="5"/>
      <c r="GV12" s="92">
        <v>42</v>
      </c>
      <c r="HQ12" s="5"/>
      <c r="HV12" s="92">
        <v>42</v>
      </c>
      <c r="IQ12" s="5"/>
      <c r="IV12" s="92">
        <v>42</v>
      </c>
      <c r="JQ12" s="5"/>
      <c r="JV12" s="92">
        <v>42</v>
      </c>
      <c r="KQ12" s="5"/>
      <c r="KV12" s="92">
        <v>42</v>
      </c>
      <c r="LQ12" s="5"/>
      <c r="LV12" s="92">
        <v>42</v>
      </c>
      <c r="MQ12" s="5"/>
      <c r="MV12" s="92">
        <v>42</v>
      </c>
      <c r="NQ12" s="5"/>
      <c r="NV12" s="92">
        <v>42</v>
      </c>
      <c r="OQ12" s="5"/>
      <c r="OV12" s="92">
        <v>42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4.0000000000000002E-4</v>
      </c>
      <c r="BN13" s="5"/>
      <c r="BS13" s="94">
        <f>BS14</f>
        <v>4.0000000000000002E-4</v>
      </c>
      <c r="CO13" s="5"/>
      <c r="CT13" s="94">
        <v>43.4</v>
      </c>
      <c r="DQ13" s="5"/>
      <c r="DV13" s="94">
        <v>43.4</v>
      </c>
      <c r="EQ13" s="5"/>
      <c r="EV13" s="94">
        <v>43.4</v>
      </c>
      <c r="FQ13" s="5"/>
      <c r="FV13" s="94">
        <v>43.4</v>
      </c>
      <c r="GQ13" s="5"/>
      <c r="GV13" s="94">
        <v>43.4</v>
      </c>
      <c r="HQ13" s="5"/>
      <c r="HV13" s="94">
        <v>43.4</v>
      </c>
      <c r="IQ13" s="5"/>
      <c r="IV13" s="94">
        <v>43.4</v>
      </c>
      <c r="JQ13" s="5"/>
      <c r="JV13" s="94">
        <v>43.4</v>
      </c>
      <c r="KQ13" s="5"/>
      <c r="KV13" s="94">
        <v>43.4</v>
      </c>
      <c r="LQ13" s="5"/>
      <c r="LV13" s="94">
        <v>43.4</v>
      </c>
      <c r="MQ13" s="5"/>
      <c r="MV13" s="94">
        <v>43.4</v>
      </c>
      <c r="NQ13" s="5"/>
      <c r="NV13" s="94">
        <v>43.4</v>
      </c>
      <c r="OQ13" s="5"/>
      <c r="OV13" s="94">
        <v>43.4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O14" s="67" t="s">
        <v>89</v>
      </c>
      <c r="AR14" s="96">
        <v>4.0000000000000002E-4</v>
      </c>
      <c r="BN14" s="5"/>
      <c r="BP14" s="67" t="s">
        <v>89</v>
      </c>
      <c r="BS14" s="96">
        <v>4.0000000000000002E-4</v>
      </c>
      <c r="CO14" s="5"/>
      <c r="CT14" s="96">
        <v>43.4</v>
      </c>
      <c r="DQ14" s="5"/>
      <c r="DV14" s="96">
        <v>43.4</v>
      </c>
      <c r="EQ14" s="5"/>
      <c r="EV14" s="96">
        <v>43.4</v>
      </c>
      <c r="FQ14" s="5"/>
      <c r="FV14" s="96">
        <v>43.4</v>
      </c>
      <c r="GQ14" s="5"/>
      <c r="GV14" s="96">
        <v>43.4</v>
      </c>
      <c r="HQ14" s="5"/>
      <c r="HV14" s="96">
        <v>43.4</v>
      </c>
      <c r="IQ14" s="5"/>
      <c r="IV14" s="96">
        <v>43.4</v>
      </c>
      <c r="JQ14" s="5"/>
      <c r="JV14" s="96">
        <v>43.4</v>
      </c>
      <c r="KQ14" s="5"/>
      <c r="KV14" s="96">
        <v>43.4</v>
      </c>
      <c r="LQ14" s="5"/>
      <c r="LV14" s="96">
        <v>43.4</v>
      </c>
      <c r="MQ14" s="5"/>
      <c r="MV14" s="96">
        <v>43.4</v>
      </c>
      <c r="NQ14" s="5"/>
      <c r="NV14" s="96">
        <v>43.4</v>
      </c>
      <c r="OQ14" s="5"/>
      <c r="OV14" s="96">
        <v>43.4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48151" operator="between">
      <formula>AR$11</formula>
      <formula>1000</formula>
    </cfRule>
    <cfRule type="cellIs" dxfId="70" priority="48152" operator="between">
      <formula>AR$10</formula>
      <formula>AR$11</formula>
    </cfRule>
    <cfRule type="cellIs" dxfId="69" priority="48153" operator="between">
      <formula>AR$9</formula>
      <formula>AR$10</formula>
    </cfRule>
    <cfRule type="cellIs" dxfId="68" priority="48154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48331" operator="between">
      <formula>AR$15</formula>
      <formula>1000</formula>
    </cfRule>
    <cfRule type="cellIs" dxfId="66" priority="48332" operator="between">
      <formula>AR$14</formula>
      <formula>AR$15</formula>
    </cfRule>
    <cfRule type="cellIs" dxfId="65" priority="48333" operator="between">
      <formula>AR$13</formula>
      <formula>AR$14</formula>
    </cfRule>
    <cfRule type="cellIs" dxfId="64" priority="48334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48511" operator="between">
      <formula>AR$8</formula>
      <formula>AR$9</formula>
    </cfRule>
    <cfRule type="cellIs" dxfId="62" priority="48512" operator="between">
      <formula>AR$9</formula>
      <formula>AR$10</formula>
    </cfRule>
    <cfRule type="cellIs" dxfId="61" priority="48513" operator="between">
      <formula>AR$10</formula>
      <formula>AR$11</formula>
    </cfRule>
    <cfRule type="cellIs" dxfId="60" priority="4851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48691" operator="between">
      <formula>AR$12</formula>
      <formula>AR$13</formula>
    </cfRule>
    <cfRule type="cellIs" dxfId="58" priority="48692" operator="between">
      <formula>AR$13</formula>
      <formula>AR$14</formula>
    </cfRule>
    <cfRule type="cellIs" dxfId="57" priority="48693" operator="between">
      <formula>AR$14</formula>
      <formula>AR$15</formula>
    </cfRule>
    <cfRule type="cellIs" dxfId="56" priority="48694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7" t="s">
        <v>5</v>
      </c>
      <c r="H1" s="106" t="s">
        <v>6</v>
      </c>
      <c r="I1" s="111" t="s">
        <v>79</v>
      </c>
      <c r="J1" s="108" t="s">
        <v>24</v>
      </c>
      <c r="K1" s="111" t="s">
        <v>80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3" t="s">
        <v>70</v>
      </c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3" t="s">
        <v>75</v>
      </c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10" t="s">
        <v>51</v>
      </c>
      <c r="CV1" s="110"/>
      <c r="CW1" s="103"/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3" t="s">
        <v>55</v>
      </c>
      <c r="OX1" s="103"/>
      <c r="OY1" s="103"/>
      <c r="OZ1" s="103"/>
      <c r="PA1" s="103"/>
      <c r="PB1" s="103"/>
      <c r="PC1" s="103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11"/>
      <c r="J2" s="108"/>
      <c r="K2" s="111"/>
      <c r="L2" s="108"/>
      <c r="M2" s="108"/>
      <c r="N2" s="108"/>
      <c r="O2" s="109"/>
      <c r="P2" s="108"/>
      <c r="Q2" s="108"/>
      <c r="R2" s="102" t="s">
        <v>81</v>
      </c>
      <c r="S2" s="102"/>
      <c r="T2" s="102"/>
      <c r="U2" s="102"/>
      <c r="V2" s="102" t="s">
        <v>82</v>
      </c>
      <c r="W2" s="102"/>
      <c r="X2" s="102"/>
      <c r="Y2" s="102"/>
      <c r="Z2" s="102" t="s">
        <v>83</v>
      </c>
      <c r="AA2" s="102"/>
      <c r="AB2" s="102"/>
      <c r="AC2" s="102"/>
      <c r="AD2" s="102" t="s">
        <v>84</v>
      </c>
      <c r="AE2" s="102"/>
      <c r="AF2" s="102"/>
      <c r="AG2" s="102"/>
      <c r="AH2" s="112" t="s">
        <v>85</v>
      </c>
      <c r="AI2" s="112"/>
      <c r="AJ2" s="112"/>
      <c r="AK2" s="112"/>
      <c r="AL2" s="74"/>
      <c r="AM2" s="74" t="s">
        <v>86</v>
      </c>
      <c r="AN2" s="74" t="s">
        <v>87</v>
      </c>
      <c r="AO2" s="74" t="s">
        <v>83</v>
      </c>
      <c r="AP2" s="74" t="s">
        <v>56</v>
      </c>
      <c r="AQ2" s="74" t="s">
        <v>88</v>
      </c>
      <c r="AR2" s="74" t="s">
        <v>14</v>
      </c>
      <c r="AS2" s="104" t="s">
        <v>81</v>
      </c>
      <c r="AT2" s="104"/>
      <c r="AU2" s="104"/>
      <c r="AV2" s="104"/>
      <c r="AW2" s="104" t="s">
        <v>82</v>
      </c>
      <c r="AX2" s="104"/>
      <c r="AY2" s="104"/>
      <c r="AZ2" s="104"/>
      <c r="BA2" s="104" t="s">
        <v>83</v>
      </c>
      <c r="BB2" s="104"/>
      <c r="BC2" s="104"/>
      <c r="BD2" s="104"/>
      <c r="BE2" s="104" t="s">
        <v>84</v>
      </c>
      <c r="BF2" s="104"/>
      <c r="BG2" s="104"/>
      <c r="BH2" s="104"/>
      <c r="BI2" s="113" t="s">
        <v>85</v>
      </c>
      <c r="BJ2" s="113"/>
      <c r="BK2" s="113"/>
      <c r="BL2" s="113"/>
      <c r="BM2" s="73"/>
      <c r="BN2" s="73" t="s">
        <v>86</v>
      </c>
      <c r="BO2" s="73" t="s">
        <v>87</v>
      </c>
      <c r="BP2" s="73" t="s">
        <v>83</v>
      </c>
      <c r="BQ2" s="73" t="s">
        <v>56</v>
      </c>
      <c r="BR2" s="73" t="s">
        <v>88</v>
      </c>
      <c r="BS2" s="73" t="s">
        <v>14</v>
      </c>
      <c r="BT2" s="102" t="s">
        <v>81</v>
      </c>
      <c r="BU2" s="102"/>
      <c r="BV2" s="102"/>
      <c r="BW2" s="102"/>
      <c r="BX2" s="102" t="s">
        <v>82</v>
      </c>
      <c r="BY2" s="102"/>
      <c r="BZ2" s="102"/>
      <c r="CA2" s="102"/>
      <c r="CB2" s="102" t="s">
        <v>83</v>
      </c>
      <c r="CC2" s="102"/>
      <c r="CD2" s="102"/>
      <c r="CE2" s="102"/>
      <c r="CF2" s="102" t="s">
        <v>84</v>
      </c>
      <c r="CG2" s="102"/>
      <c r="CH2" s="102"/>
      <c r="CI2" s="102"/>
      <c r="CJ2" s="112" t="s">
        <v>85</v>
      </c>
      <c r="CK2" s="112"/>
      <c r="CL2" s="112"/>
      <c r="CM2" s="112"/>
      <c r="CN2" s="74"/>
      <c r="CO2" s="74" t="s">
        <v>86</v>
      </c>
      <c r="CP2" s="74" t="s">
        <v>87</v>
      </c>
      <c r="CQ2" s="74" t="s">
        <v>83</v>
      </c>
      <c r="CR2" s="74" t="s">
        <v>56</v>
      </c>
      <c r="CS2" s="74" t="s">
        <v>88</v>
      </c>
      <c r="CT2" s="74" t="s">
        <v>14</v>
      </c>
      <c r="CU2" s="80" t="s">
        <v>87</v>
      </c>
      <c r="CV2" s="80" t="s">
        <v>19</v>
      </c>
      <c r="CW2" s="102" t="s">
        <v>81</v>
      </c>
      <c r="CX2" s="102"/>
      <c r="CY2" s="102"/>
      <c r="CZ2" s="102"/>
      <c r="DA2" s="102" t="s">
        <v>82</v>
      </c>
      <c r="DB2" s="102"/>
      <c r="DC2" s="102"/>
      <c r="DD2" s="102"/>
      <c r="DE2" s="102" t="s">
        <v>83</v>
      </c>
      <c r="DF2" s="102"/>
      <c r="DG2" s="102"/>
      <c r="DH2" s="102"/>
      <c r="DI2" s="102" t="s">
        <v>84</v>
      </c>
      <c r="DJ2" s="102"/>
      <c r="DK2" s="102"/>
      <c r="DL2" s="102"/>
      <c r="DM2" s="114" t="s">
        <v>85</v>
      </c>
      <c r="DN2" s="114"/>
      <c r="DO2" s="114"/>
      <c r="DP2" s="114"/>
      <c r="DQ2" s="74" t="s">
        <v>86</v>
      </c>
      <c r="DR2" s="74" t="s">
        <v>87</v>
      </c>
      <c r="DS2" s="74" t="s">
        <v>83</v>
      </c>
      <c r="DT2" s="74" t="s">
        <v>56</v>
      </c>
      <c r="DU2" s="74" t="s">
        <v>88</v>
      </c>
      <c r="DV2" s="74" t="s">
        <v>14</v>
      </c>
      <c r="DW2" s="104" t="s">
        <v>81</v>
      </c>
      <c r="DX2" s="104"/>
      <c r="DY2" s="104"/>
      <c r="DZ2" s="104"/>
      <c r="EA2" s="104" t="s">
        <v>82</v>
      </c>
      <c r="EB2" s="104"/>
      <c r="EC2" s="104"/>
      <c r="ED2" s="104"/>
      <c r="EE2" s="104" t="s">
        <v>83</v>
      </c>
      <c r="EF2" s="104"/>
      <c r="EG2" s="104"/>
      <c r="EH2" s="104"/>
      <c r="EI2" s="104" t="s">
        <v>84</v>
      </c>
      <c r="EJ2" s="104"/>
      <c r="EK2" s="104"/>
      <c r="EL2" s="104"/>
      <c r="EM2" s="113" t="s">
        <v>85</v>
      </c>
      <c r="EN2" s="113"/>
      <c r="EO2" s="113"/>
      <c r="EP2" s="113"/>
      <c r="EQ2" s="73" t="s">
        <v>86</v>
      </c>
      <c r="ER2" s="73" t="s">
        <v>87</v>
      </c>
      <c r="ES2" s="73" t="s">
        <v>83</v>
      </c>
      <c r="ET2" s="73" t="s">
        <v>56</v>
      </c>
      <c r="EU2" s="73" t="s">
        <v>88</v>
      </c>
      <c r="EV2" s="73" t="s">
        <v>14</v>
      </c>
      <c r="EW2" s="102" t="s">
        <v>81</v>
      </c>
      <c r="EX2" s="102"/>
      <c r="EY2" s="102"/>
      <c r="EZ2" s="102"/>
      <c r="FA2" s="102" t="s">
        <v>82</v>
      </c>
      <c r="FB2" s="102"/>
      <c r="FC2" s="102"/>
      <c r="FD2" s="102"/>
      <c r="FE2" s="102" t="s">
        <v>83</v>
      </c>
      <c r="FF2" s="102"/>
      <c r="FG2" s="102"/>
      <c r="FH2" s="102"/>
      <c r="FI2" s="102" t="s">
        <v>84</v>
      </c>
      <c r="FJ2" s="102"/>
      <c r="FK2" s="102"/>
      <c r="FL2" s="102"/>
      <c r="FM2" s="114" t="s">
        <v>85</v>
      </c>
      <c r="FN2" s="114"/>
      <c r="FO2" s="114"/>
      <c r="FP2" s="114"/>
      <c r="FQ2" s="74" t="s">
        <v>86</v>
      </c>
      <c r="FR2" s="74" t="s">
        <v>87</v>
      </c>
      <c r="FS2" s="74" t="s">
        <v>83</v>
      </c>
      <c r="FT2" s="74" t="s">
        <v>56</v>
      </c>
      <c r="FU2" s="74" t="s">
        <v>88</v>
      </c>
      <c r="FV2" s="74" t="s">
        <v>14</v>
      </c>
      <c r="FW2" s="104" t="s">
        <v>81</v>
      </c>
      <c r="FX2" s="104"/>
      <c r="FY2" s="104"/>
      <c r="FZ2" s="104"/>
      <c r="GA2" s="104" t="s">
        <v>82</v>
      </c>
      <c r="GB2" s="104"/>
      <c r="GC2" s="104"/>
      <c r="GD2" s="104"/>
      <c r="GE2" s="104" t="s">
        <v>83</v>
      </c>
      <c r="GF2" s="104"/>
      <c r="GG2" s="104"/>
      <c r="GH2" s="104"/>
      <c r="GI2" s="104" t="s">
        <v>84</v>
      </c>
      <c r="GJ2" s="104"/>
      <c r="GK2" s="104"/>
      <c r="GL2" s="104"/>
      <c r="GM2" s="113" t="s">
        <v>85</v>
      </c>
      <c r="GN2" s="113"/>
      <c r="GO2" s="113"/>
      <c r="GP2" s="113"/>
      <c r="GQ2" s="73" t="s">
        <v>86</v>
      </c>
      <c r="GR2" s="73" t="s">
        <v>87</v>
      </c>
      <c r="GS2" s="73" t="s">
        <v>83</v>
      </c>
      <c r="GT2" s="73" t="s">
        <v>56</v>
      </c>
      <c r="GU2" s="73" t="s">
        <v>88</v>
      </c>
      <c r="GV2" s="73" t="s">
        <v>14</v>
      </c>
      <c r="GW2" s="102" t="s">
        <v>81</v>
      </c>
      <c r="GX2" s="102"/>
      <c r="GY2" s="102"/>
      <c r="GZ2" s="102"/>
      <c r="HA2" s="102" t="s">
        <v>82</v>
      </c>
      <c r="HB2" s="102"/>
      <c r="HC2" s="102"/>
      <c r="HD2" s="102"/>
      <c r="HE2" s="102" t="s">
        <v>83</v>
      </c>
      <c r="HF2" s="102"/>
      <c r="HG2" s="102"/>
      <c r="HH2" s="102"/>
      <c r="HI2" s="102" t="s">
        <v>84</v>
      </c>
      <c r="HJ2" s="102"/>
      <c r="HK2" s="102"/>
      <c r="HL2" s="102"/>
      <c r="HM2" s="114" t="s">
        <v>85</v>
      </c>
      <c r="HN2" s="114"/>
      <c r="HO2" s="114"/>
      <c r="HP2" s="114"/>
      <c r="HQ2" s="74" t="s">
        <v>86</v>
      </c>
      <c r="HR2" s="74" t="s">
        <v>87</v>
      </c>
      <c r="HS2" s="74" t="s">
        <v>83</v>
      </c>
      <c r="HT2" s="74" t="s">
        <v>56</v>
      </c>
      <c r="HU2" s="74" t="s">
        <v>88</v>
      </c>
      <c r="HV2" s="74" t="s">
        <v>14</v>
      </c>
      <c r="HW2" s="104" t="s">
        <v>81</v>
      </c>
      <c r="HX2" s="104"/>
      <c r="HY2" s="104"/>
      <c r="HZ2" s="104"/>
      <c r="IA2" s="104" t="s">
        <v>82</v>
      </c>
      <c r="IB2" s="104"/>
      <c r="IC2" s="104"/>
      <c r="ID2" s="104"/>
      <c r="IE2" s="104" t="s">
        <v>83</v>
      </c>
      <c r="IF2" s="104"/>
      <c r="IG2" s="104"/>
      <c r="IH2" s="104"/>
      <c r="II2" s="104" t="s">
        <v>84</v>
      </c>
      <c r="IJ2" s="104"/>
      <c r="IK2" s="104"/>
      <c r="IL2" s="104"/>
      <c r="IM2" s="113" t="s">
        <v>85</v>
      </c>
      <c r="IN2" s="113"/>
      <c r="IO2" s="113"/>
      <c r="IP2" s="113"/>
      <c r="IQ2" s="73" t="s">
        <v>86</v>
      </c>
      <c r="IR2" s="73" t="s">
        <v>87</v>
      </c>
      <c r="IS2" s="73" t="s">
        <v>83</v>
      </c>
      <c r="IT2" s="73" t="s">
        <v>56</v>
      </c>
      <c r="IU2" s="73" t="s">
        <v>88</v>
      </c>
      <c r="IV2" s="73" t="s">
        <v>14</v>
      </c>
      <c r="IW2" s="102" t="s">
        <v>81</v>
      </c>
      <c r="IX2" s="102"/>
      <c r="IY2" s="102"/>
      <c r="IZ2" s="102"/>
      <c r="JA2" s="102" t="s">
        <v>82</v>
      </c>
      <c r="JB2" s="102"/>
      <c r="JC2" s="102"/>
      <c r="JD2" s="102"/>
      <c r="JE2" s="102" t="s">
        <v>83</v>
      </c>
      <c r="JF2" s="102"/>
      <c r="JG2" s="102"/>
      <c r="JH2" s="102"/>
      <c r="JI2" s="102" t="s">
        <v>84</v>
      </c>
      <c r="JJ2" s="102"/>
      <c r="JK2" s="102"/>
      <c r="JL2" s="102"/>
      <c r="JM2" s="114" t="s">
        <v>85</v>
      </c>
      <c r="JN2" s="114"/>
      <c r="JO2" s="114"/>
      <c r="JP2" s="114"/>
      <c r="JQ2" s="74" t="s">
        <v>86</v>
      </c>
      <c r="JR2" s="74" t="s">
        <v>87</v>
      </c>
      <c r="JS2" s="74" t="s">
        <v>83</v>
      </c>
      <c r="JT2" s="74" t="s">
        <v>56</v>
      </c>
      <c r="JU2" s="74" t="s">
        <v>88</v>
      </c>
      <c r="JV2" s="74" t="s">
        <v>14</v>
      </c>
      <c r="JW2" s="104" t="s">
        <v>81</v>
      </c>
      <c r="JX2" s="104"/>
      <c r="JY2" s="104"/>
      <c r="JZ2" s="104"/>
      <c r="KA2" s="104" t="s">
        <v>82</v>
      </c>
      <c r="KB2" s="104"/>
      <c r="KC2" s="104"/>
      <c r="KD2" s="104"/>
      <c r="KE2" s="104" t="s">
        <v>83</v>
      </c>
      <c r="KF2" s="104"/>
      <c r="KG2" s="104"/>
      <c r="KH2" s="104"/>
      <c r="KI2" s="104" t="s">
        <v>84</v>
      </c>
      <c r="KJ2" s="104"/>
      <c r="KK2" s="104"/>
      <c r="KL2" s="104"/>
      <c r="KM2" s="113" t="s">
        <v>85</v>
      </c>
      <c r="KN2" s="113"/>
      <c r="KO2" s="113"/>
      <c r="KP2" s="113"/>
      <c r="KQ2" s="73" t="s">
        <v>86</v>
      </c>
      <c r="KR2" s="73" t="s">
        <v>87</v>
      </c>
      <c r="KS2" s="73" t="s">
        <v>83</v>
      </c>
      <c r="KT2" s="73" t="s">
        <v>56</v>
      </c>
      <c r="KU2" s="73" t="s">
        <v>88</v>
      </c>
      <c r="KV2" s="73" t="s">
        <v>14</v>
      </c>
      <c r="KW2" s="102" t="s">
        <v>81</v>
      </c>
      <c r="KX2" s="102"/>
      <c r="KY2" s="102"/>
      <c r="KZ2" s="102"/>
      <c r="LA2" s="102" t="s">
        <v>82</v>
      </c>
      <c r="LB2" s="102"/>
      <c r="LC2" s="102"/>
      <c r="LD2" s="102"/>
      <c r="LE2" s="102" t="s">
        <v>83</v>
      </c>
      <c r="LF2" s="102"/>
      <c r="LG2" s="102"/>
      <c r="LH2" s="102"/>
      <c r="LI2" s="102" t="s">
        <v>84</v>
      </c>
      <c r="LJ2" s="102"/>
      <c r="LK2" s="102"/>
      <c r="LL2" s="102"/>
      <c r="LM2" s="114" t="s">
        <v>85</v>
      </c>
      <c r="LN2" s="114"/>
      <c r="LO2" s="114"/>
      <c r="LP2" s="114"/>
      <c r="LQ2" s="74" t="s">
        <v>86</v>
      </c>
      <c r="LR2" s="74" t="s">
        <v>87</v>
      </c>
      <c r="LS2" s="74" t="s">
        <v>83</v>
      </c>
      <c r="LT2" s="74" t="s">
        <v>56</v>
      </c>
      <c r="LU2" s="74" t="s">
        <v>88</v>
      </c>
      <c r="LV2" s="74" t="s">
        <v>14</v>
      </c>
      <c r="LW2" s="104" t="s">
        <v>81</v>
      </c>
      <c r="LX2" s="104"/>
      <c r="LY2" s="104"/>
      <c r="LZ2" s="104"/>
      <c r="MA2" s="104" t="s">
        <v>82</v>
      </c>
      <c r="MB2" s="104"/>
      <c r="MC2" s="104"/>
      <c r="MD2" s="104"/>
      <c r="ME2" s="104" t="s">
        <v>83</v>
      </c>
      <c r="MF2" s="104"/>
      <c r="MG2" s="104"/>
      <c r="MH2" s="104"/>
      <c r="MI2" s="104" t="s">
        <v>84</v>
      </c>
      <c r="MJ2" s="104"/>
      <c r="MK2" s="104"/>
      <c r="ML2" s="104"/>
      <c r="MM2" s="113" t="s">
        <v>85</v>
      </c>
      <c r="MN2" s="113"/>
      <c r="MO2" s="113"/>
      <c r="MP2" s="113"/>
      <c r="MQ2" s="73" t="s">
        <v>86</v>
      </c>
      <c r="MR2" s="73" t="s">
        <v>87</v>
      </c>
      <c r="MS2" s="73" t="s">
        <v>83</v>
      </c>
      <c r="MT2" s="73" t="s">
        <v>56</v>
      </c>
      <c r="MU2" s="73" t="s">
        <v>88</v>
      </c>
      <c r="MV2" s="73" t="s">
        <v>14</v>
      </c>
      <c r="MW2" s="102" t="s">
        <v>81</v>
      </c>
      <c r="MX2" s="102"/>
      <c r="MY2" s="102"/>
      <c r="MZ2" s="102"/>
      <c r="NA2" s="102" t="s">
        <v>82</v>
      </c>
      <c r="NB2" s="102"/>
      <c r="NC2" s="102"/>
      <c r="ND2" s="102"/>
      <c r="NE2" s="102" t="s">
        <v>83</v>
      </c>
      <c r="NF2" s="102"/>
      <c r="NG2" s="102"/>
      <c r="NH2" s="102"/>
      <c r="NI2" s="102" t="s">
        <v>84</v>
      </c>
      <c r="NJ2" s="102"/>
      <c r="NK2" s="102"/>
      <c r="NL2" s="102"/>
      <c r="NM2" s="114" t="s">
        <v>85</v>
      </c>
      <c r="NN2" s="114"/>
      <c r="NO2" s="114"/>
      <c r="NP2" s="114"/>
      <c r="NQ2" s="74" t="s">
        <v>86</v>
      </c>
      <c r="NR2" s="74" t="s">
        <v>87</v>
      </c>
      <c r="NS2" s="74" t="s">
        <v>83</v>
      </c>
      <c r="NT2" s="74" t="s">
        <v>56</v>
      </c>
      <c r="NU2" s="74" t="s">
        <v>88</v>
      </c>
      <c r="NV2" s="74" t="s">
        <v>14</v>
      </c>
      <c r="NW2" s="104" t="s">
        <v>81</v>
      </c>
      <c r="NX2" s="104"/>
      <c r="NY2" s="104"/>
      <c r="NZ2" s="104"/>
      <c r="OA2" s="104" t="s">
        <v>82</v>
      </c>
      <c r="OB2" s="104"/>
      <c r="OC2" s="104"/>
      <c r="OD2" s="104"/>
      <c r="OE2" s="104" t="s">
        <v>83</v>
      </c>
      <c r="OF2" s="104"/>
      <c r="OG2" s="104"/>
      <c r="OH2" s="104"/>
      <c r="OI2" s="104" t="s">
        <v>84</v>
      </c>
      <c r="OJ2" s="104"/>
      <c r="OK2" s="104"/>
      <c r="OL2" s="104"/>
      <c r="OM2" s="113" t="s">
        <v>85</v>
      </c>
      <c r="ON2" s="113"/>
      <c r="OO2" s="113"/>
      <c r="OP2" s="113"/>
      <c r="OQ2" s="73" t="s">
        <v>86</v>
      </c>
      <c r="OR2" s="73" t="s">
        <v>87</v>
      </c>
      <c r="OS2" s="73" t="s">
        <v>83</v>
      </c>
      <c r="OT2" s="73" t="s">
        <v>56</v>
      </c>
      <c r="OU2" s="73" t="s">
        <v>88</v>
      </c>
      <c r="OV2" s="73" t="s">
        <v>14</v>
      </c>
      <c r="OW2" s="102" t="s">
        <v>81</v>
      </c>
      <c r="OX2" s="102"/>
      <c r="OY2" s="102"/>
      <c r="OZ2" s="102"/>
      <c r="PA2" s="102" t="s">
        <v>82</v>
      </c>
      <c r="PB2" s="102"/>
      <c r="PC2" s="102"/>
      <c r="PD2" s="102"/>
      <c r="PE2" s="102" t="s">
        <v>83</v>
      </c>
      <c r="PF2" s="102"/>
      <c r="PG2" s="102"/>
      <c r="PH2" s="102"/>
      <c r="PI2" s="102" t="s">
        <v>84</v>
      </c>
      <c r="PJ2" s="102"/>
      <c r="PK2" s="102"/>
      <c r="PL2" s="102"/>
      <c r="PM2" s="112" t="s">
        <v>85</v>
      </c>
      <c r="PN2" s="112"/>
      <c r="PO2" s="112"/>
      <c r="PP2" s="112"/>
      <c r="PQ2" s="74"/>
      <c r="PR2" s="74" t="s">
        <v>86</v>
      </c>
      <c r="PS2" s="74" t="s">
        <v>87</v>
      </c>
      <c r="PT2" s="74" t="s">
        <v>83</v>
      </c>
      <c r="PU2" s="74" t="s">
        <v>56</v>
      </c>
      <c r="PV2" s="74" t="s">
        <v>88</v>
      </c>
      <c r="PW2" s="74" t="s">
        <v>14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11"/>
      <c r="J3" s="108"/>
      <c r="K3" s="111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8" t="s">
        <v>65</v>
      </c>
      <c r="C4" s="5"/>
      <c r="D4" s="5"/>
      <c r="E4" s="15">
        <f>SUM(I4:O4)+SUM(I4:M4)*0.0000001+SUM(I4)*0.0000000000001</f>
        <v>0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/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/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/>
      </c>
      <c r="I4" s="14">
        <f>IF(COUNT(AN4,BO4,CP4)&gt;0,LARGE((AN4,BO4,CP4),1),0)</f>
        <v>0</v>
      </c>
      <c r="J4" s="14" t="str">
        <f>IF(I4=0,"",IF(I4=CP4,$BT$1,IF(I4=BO4,$AS$1,IF(I4=AN4,$R$1,""))))</f>
        <v/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0</v>
      </c>
      <c r="N4" s="14" t="str">
        <f>IF(M4=0,"",IF(M4=CS4,$BT$1,IF(M4=BR4,$AS$1,IF(M4=AQ4,$R$1,""))))</f>
        <v/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5"/>
      <c r="CO4" s="81" t="str">
        <f>IF(SUM(BU4,BY4)&gt;0,SUM(BU4,BY4),"")</f>
        <v/>
      </c>
      <c r="CP4" s="81" t="str">
        <f>IF(SUM(BT4:BU4,BW4:BY4,CA4)-BV4-BZ4&gt;0,SUM(BT4:BU4,BW4:BY4,CA4)-BV4-BZ4,"")</f>
        <v/>
      </c>
      <c r="CQ4" s="81" t="str">
        <f>IF(SUM(CB4:CC4,CE4)-CD4&gt;0,SUM(CB4:CC4,CE4)-CD4,"")</f>
        <v/>
      </c>
      <c r="CR4" s="81" t="str">
        <f>IF(SUM(CG4,CK4)&gt;0,SUM(CG4,CK4),"")</f>
        <v/>
      </c>
      <c r="CS4" s="81" t="str">
        <f>IF(SUM(CF4:CG4,CI4:CK4,CM4)-SUM(CH4,CL4)&gt;0,SUM(CF4:CG4,CI4:CK4,CM4)-SUM(CH4,CL4),"")</f>
        <v/>
      </c>
      <c r="CT4" s="81" t="str">
        <f>IF(SUM(CP4,CS4)&gt;0,SUM(CP4,CS4),"")</f>
        <v/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P4" si="0">IF($CN4="P",BT4,(BT4+AS4)/2)</f>
        <v>0</v>
      </c>
      <c r="OX4" s="38">
        <f t="shared" si="0"/>
        <v>0</v>
      </c>
      <c r="OY4" s="38">
        <f t="shared" si="0"/>
        <v>0</v>
      </c>
      <c r="OZ4" s="38">
        <f t="shared" si="0"/>
        <v>0</v>
      </c>
      <c r="PA4" s="38">
        <f t="shared" si="0"/>
        <v>0</v>
      </c>
      <c r="PB4" s="38">
        <f t="shared" si="0"/>
        <v>0</v>
      </c>
      <c r="PC4" s="38">
        <f t="shared" si="0"/>
        <v>0</v>
      </c>
      <c r="PD4" s="38">
        <f t="shared" si="0"/>
        <v>0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0</v>
      </c>
      <c r="PJ4" s="38">
        <f t="shared" si="0"/>
        <v>0</v>
      </c>
      <c r="PK4" s="38">
        <f t="shared" si="0"/>
        <v>0</v>
      </c>
      <c r="PL4" s="38">
        <f t="shared" si="0"/>
        <v>0</v>
      </c>
      <c r="PM4" s="38">
        <f t="shared" si="0"/>
        <v>0</v>
      </c>
      <c r="PN4" s="38">
        <f t="shared" si="0"/>
        <v>0</v>
      </c>
      <c r="PO4" s="38">
        <f t="shared" si="0"/>
        <v>0</v>
      </c>
      <c r="PP4" s="38">
        <f t="shared" si="0"/>
        <v>0</v>
      </c>
      <c r="PQ4" s="45" t="s">
        <v>44</v>
      </c>
      <c r="PR4" s="81" t="str">
        <f>IF(SUM(OX4,PB4)&gt;0,SUM(OX4,PB4),"")</f>
        <v/>
      </c>
      <c r="PS4" s="81" t="str">
        <f>IF(SUM(OW4:OX4,OZ4:PB4,PD4)-OY4-PC4&gt;0,SUM(OW4:OX4,OZ4:PB4,PD4)-OY4-PC4,"")</f>
        <v/>
      </c>
      <c r="PT4" s="81" t="str">
        <f>IF(SUM(PE4:PF4,PH4)-PG4&gt;0,SUM(PE4:PF4,PH4)-PG4,"")</f>
        <v/>
      </c>
      <c r="PU4" s="81" t="str">
        <f>IF(SUM(PJ4,PN4)&gt;0,SUM(PJ4,PN4),"")</f>
        <v/>
      </c>
      <c r="PV4" s="81" t="str">
        <f>IF(SUM(PI4:PJ4,PL4:PN4,PP4)-SUM(PK4,PO4)&gt;0,SUM(PI4:PJ4,PL4:PN4,PP4)-SUM(PK4,PO4),"")</f>
        <v/>
      </c>
      <c r="PW4" s="81" t="str">
        <f>IF(SUM(PS4,PV4)&gt;0,SUM(PS4,PV4),"")</f>
        <v/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12</v>
      </c>
      <c r="BN7" s="5"/>
      <c r="BS7" s="84">
        <v>12</v>
      </c>
      <c r="CO7" s="5"/>
      <c r="CT7" s="84">
        <v>11.6</v>
      </c>
      <c r="DQ7" s="5"/>
      <c r="DV7" s="84">
        <v>11.6</v>
      </c>
      <c r="EQ7" s="5"/>
      <c r="EV7" s="84">
        <v>11.6</v>
      </c>
      <c r="FQ7" s="5"/>
      <c r="FV7" s="84">
        <v>11.6</v>
      </c>
      <c r="GQ7" s="5"/>
      <c r="GV7" s="84">
        <v>11.6</v>
      </c>
      <c r="HQ7" s="5"/>
      <c r="HV7" s="84">
        <v>11.6</v>
      </c>
      <c r="IQ7" s="5"/>
      <c r="IV7" s="84">
        <v>11.6</v>
      </c>
      <c r="JQ7" s="5"/>
      <c r="JV7" s="84">
        <v>11.6</v>
      </c>
      <c r="KQ7" s="5"/>
      <c r="KV7" s="84">
        <v>11.6</v>
      </c>
      <c r="LQ7" s="5"/>
      <c r="LV7" s="84">
        <v>11.6</v>
      </c>
      <c r="MQ7" s="5"/>
      <c r="MV7" s="84">
        <v>11.6</v>
      </c>
      <c r="NQ7" s="5"/>
      <c r="NV7" s="84">
        <v>11.6</v>
      </c>
      <c r="OQ7" s="5"/>
      <c r="OV7" s="84">
        <v>11.6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12</v>
      </c>
      <c r="BN8" s="5"/>
      <c r="BS8" s="86">
        <f>BS9</f>
        <v>12</v>
      </c>
      <c r="CO8" s="5"/>
      <c r="CT8" s="86">
        <f>CT9</f>
        <v>12</v>
      </c>
      <c r="DQ8" s="5"/>
      <c r="DV8" s="86">
        <f>DV9</f>
        <v>12</v>
      </c>
      <c r="EQ8" s="5"/>
      <c r="EV8" s="86">
        <f>EV9</f>
        <v>12</v>
      </c>
      <c r="FQ8" s="5"/>
      <c r="FV8" s="86">
        <f>FV9</f>
        <v>12</v>
      </c>
      <c r="GQ8" s="5"/>
      <c r="GV8" s="86">
        <f>GV9</f>
        <v>12</v>
      </c>
      <c r="HQ8" s="5"/>
      <c r="HV8" s="86">
        <f>HV9</f>
        <v>12</v>
      </c>
      <c r="IQ8" s="5"/>
      <c r="IV8" s="86">
        <f>IV9</f>
        <v>12</v>
      </c>
      <c r="JQ8" s="5"/>
      <c r="JV8" s="86">
        <f>JV9</f>
        <v>12</v>
      </c>
      <c r="KQ8" s="5"/>
      <c r="KV8" s="86">
        <f>KV9</f>
        <v>12</v>
      </c>
      <c r="LQ8" s="5"/>
      <c r="LV8" s="86">
        <f>LV9</f>
        <v>12</v>
      </c>
      <c r="MQ8" s="5"/>
      <c r="MV8" s="86">
        <f>MV9</f>
        <v>12</v>
      </c>
      <c r="NQ8" s="5"/>
      <c r="NV8" s="86">
        <f>NV9</f>
        <v>12</v>
      </c>
      <c r="OQ8" s="5"/>
      <c r="OV8" s="86">
        <f>OV9</f>
        <v>12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12</v>
      </c>
      <c r="BN9" s="5"/>
      <c r="BS9" s="88">
        <v>12</v>
      </c>
      <c r="CO9" s="5"/>
      <c r="CT9" s="88">
        <v>12</v>
      </c>
      <c r="DQ9" s="5"/>
      <c r="DV9" s="88">
        <v>12</v>
      </c>
      <c r="EQ9" s="5"/>
      <c r="EV9" s="88">
        <v>12</v>
      </c>
      <c r="FQ9" s="5"/>
      <c r="FV9" s="88">
        <v>12</v>
      </c>
      <c r="GQ9" s="5"/>
      <c r="GV9" s="88">
        <v>12</v>
      </c>
      <c r="HQ9" s="5"/>
      <c r="HV9" s="88">
        <v>12</v>
      </c>
      <c r="IQ9" s="5"/>
      <c r="IV9" s="88">
        <v>12</v>
      </c>
      <c r="JQ9" s="5"/>
      <c r="JV9" s="88">
        <v>12</v>
      </c>
      <c r="KQ9" s="5"/>
      <c r="KV9" s="88">
        <v>12</v>
      </c>
      <c r="LQ9" s="5"/>
      <c r="LV9" s="88">
        <v>12</v>
      </c>
      <c r="MQ9" s="5"/>
      <c r="MV9" s="88">
        <v>12</v>
      </c>
      <c r="NQ9" s="5"/>
      <c r="NV9" s="88">
        <v>12</v>
      </c>
      <c r="OQ9" s="5"/>
      <c r="OV9" s="88">
        <v>12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8">
        <v>1000</v>
      </c>
      <c r="BN10" s="5"/>
      <c r="BS10" s="98">
        <v>1000</v>
      </c>
      <c r="CO10" s="5"/>
      <c r="CT10" s="98">
        <v>1000</v>
      </c>
      <c r="DQ10" s="5"/>
      <c r="DV10" s="98">
        <v>1000</v>
      </c>
      <c r="EQ10" s="5"/>
      <c r="EV10" s="98">
        <v>1000</v>
      </c>
      <c r="FQ10" s="5"/>
      <c r="FV10" s="98">
        <v>1000</v>
      </c>
      <c r="GQ10" s="5"/>
      <c r="GV10" s="98">
        <v>1000</v>
      </c>
      <c r="HQ10" s="5"/>
      <c r="HV10" s="98">
        <v>1000</v>
      </c>
      <c r="IQ10" s="5"/>
      <c r="IV10" s="98">
        <v>1000</v>
      </c>
      <c r="JQ10" s="5"/>
      <c r="JV10" s="98">
        <v>1000</v>
      </c>
      <c r="KQ10" s="5"/>
      <c r="KV10" s="98">
        <v>1000</v>
      </c>
      <c r="LQ10" s="5"/>
      <c r="LV10" s="98">
        <v>1000</v>
      </c>
      <c r="MQ10" s="5"/>
      <c r="MV10" s="98">
        <v>1000</v>
      </c>
      <c r="NQ10" s="5"/>
      <c r="NV10" s="98">
        <v>1000</v>
      </c>
      <c r="OQ10" s="5"/>
      <c r="OV10" s="98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9">
        <v>67.2</v>
      </c>
      <c r="BN11" s="5"/>
      <c r="BS11" s="99">
        <v>67.2</v>
      </c>
      <c r="CO11" s="5"/>
      <c r="CT11" s="99">
        <v>48.4</v>
      </c>
      <c r="DQ11" s="5"/>
      <c r="DV11" s="99">
        <v>48.4</v>
      </c>
      <c r="EQ11" s="5"/>
      <c r="EV11" s="99">
        <v>48.4</v>
      </c>
      <c r="FQ11" s="5"/>
      <c r="FV11" s="99">
        <v>48.4</v>
      </c>
      <c r="GQ11" s="5"/>
      <c r="GV11" s="99">
        <v>48.4</v>
      </c>
      <c r="HQ11" s="5"/>
      <c r="HV11" s="99">
        <v>48.4</v>
      </c>
      <c r="IQ11" s="5"/>
      <c r="IV11" s="99">
        <v>48.4</v>
      </c>
      <c r="JQ11" s="5"/>
      <c r="JV11" s="99">
        <v>48.4</v>
      </c>
      <c r="KQ11" s="5"/>
      <c r="KV11" s="99">
        <v>48.4</v>
      </c>
      <c r="LQ11" s="5"/>
      <c r="LV11" s="99">
        <v>48.4</v>
      </c>
      <c r="MQ11" s="5"/>
      <c r="MV11" s="99">
        <v>48.4</v>
      </c>
      <c r="NQ11" s="5"/>
      <c r="NV11" s="99">
        <v>48.4</v>
      </c>
      <c r="OQ11" s="5"/>
      <c r="OV11" s="99">
        <v>48.4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69.599999999999994</v>
      </c>
      <c r="BN12" s="5"/>
      <c r="BS12" s="94">
        <f>BS13</f>
        <v>69.599999999999994</v>
      </c>
      <c r="CO12" s="5"/>
      <c r="CT12" s="94">
        <f>CT13</f>
        <v>49.8</v>
      </c>
      <c r="DQ12" s="5"/>
      <c r="DV12" s="94">
        <f>DV13</f>
        <v>49.8</v>
      </c>
      <c r="EQ12" s="5"/>
      <c r="EV12" s="94">
        <f>EV13</f>
        <v>49.8</v>
      </c>
      <c r="FQ12" s="5"/>
      <c r="FV12" s="94">
        <f>FV13</f>
        <v>49.8</v>
      </c>
      <c r="GQ12" s="5"/>
      <c r="GV12" s="94">
        <f>GV13</f>
        <v>49.8</v>
      </c>
      <c r="HQ12" s="5"/>
      <c r="HV12" s="94">
        <f>HV13</f>
        <v>49.8</v>
      </c>
      <c r="IQ12" s="5"/>
      <c r="IV12" s="94">
        <f>IV13</f>
        <v>49.8</v>
      </c>
      <c r="JQ12" s="5"/>
      <c r="JV12" s="94">
        <f>JV13</f>
        <v>49.8</v>
      </c>
      <c r="KQ12" s="5"/>
      <c r="KV12" s="94">
        <f>KV13</f>
        <v>49.8</v>
      </c>
      <c r="LQ12" s="5"/>
      <c r="LV12" s="94">
        <f>LV13</f>
        <v>49.8</v>
      </c>
      <c r="MQ12" s="5"/>
      <c r="MV12" s="94">
        <f>MV13</f>
        <v>49.8</v>
      </c>
      <c r="NQ12" s="5"/>
      <c r="NV12" s="94">
        <f>NV13</f>
        <v>49.8</v>
      </c>
      <c r="OQ12" s="5"/>
      <c r="OV12" s="94">
        <f>OV13</f>
        <v>49.8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69.599999999999994</v>
      </c>
      <c r="BN13" s="5"/>
      <c r="BS13" s="96">
        <v>69.599999999999994</v>
      </c>
      <c r="CO13" s="5"/>
      <c r="CT13" s="96">
        <v>49.8</v>
      </c>
      <c r="DQ13" s="5"/>
      <c r="DV13" s="96">
        <v>49.8</v>
      </c>
      <c r="EQ13" s="5"/>
      <c r="EV13" s="96">
        <v>49.8</v>
      </c>
      <c r="FQ13" s="5"/>
      <c r="FV13" s="96">
        <v>49.8</v>
      </c>
      <c r="GQ13" s="5"/>
      <c r="GV13" s="96">
        <v>49.8</v>
      </c>
      <c r="HQ13" s="5"/>
      <c r="HV13" s="96">
        <v>49.8</v>
      </c>
      <c r="IQ13" s="5"/>
      <c r="IV13" s="96">
        <v>49.8</v>
      </c>
      <c r="JQ13" s="5"/>
      <c r="JV13" s="96">
        <v>49.8</v>
      </c>
      <c r="KQ13" s="5"/>
      <c r="KV13" s="96">
        <v>49.8</v>
      </c>
      <c r="LQ13" s="5"/>
      <c r="LV13" s="96">
        <v>49.8</v>
      </c>
      <c r="MQ13" s="5"/>
      <c r="MV13" s="96">
        <v>49.8</v>
      </c>
      <c r="NQ13" s="5"/>
      <c r="NV13" s="96">
        <v>49.8</v>
      </c>
      <c r="OQ13" s="5"/>
      <c r="OV13" s="96">
        <v>49.8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4">
    <cfRule type="expression" dxfId="55" priority="1" stopIfTrue="1">
      <formula>IF($AL4&lt;&gt;"",1,0)</formula>
    </cfRule>
  </conditionalFormatting>
  <conditionalFormatting sqref="AS4:BS4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4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AR$10</formula>
      <formula>1000</formula>
    </cfRule>
    <cfRule type="cellIs" dxfId="42" priority="14" operator="between">
      <formula>AR$9</formula>
      <formula>AR$10</formula>
    </cfRule>
    <cfRule type="cellIs" dxfId="41" priority="15" operator="between">
      <formula>AR$8</formula>
      <formula>AR$9</formula>
    </cfRule>
    <cfRule type="cellIs" dxfId="40" priority="16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AR$14</formula>
      <formula>1000</formula>
    </cfRule>
    <cfRule type="cellIs" dxfId="38" priority="18" operator="between">
      <formula>AR$13</formula>
      <formula>AR$14</formula>
    </cfRule>
    <cfRule type="cellIs" dxfId="37" priority="19" operator="between">
      <formula>AR$12</formula>
      <formula>AR$13</formula>
    </cfRule>
    <cfRule type="cellIs" dxfId="36" priority="20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AR$7</formula>
      <formula>AR$8</formula>
    </cfRule>
    <cfRule type="cellIs" dxfId="34" priority="22" operator="between">
      <formula>AR$8</formula>
      <formula>AR$9</formula>
    </cfRule>
    <cfRule type="cellIs" dxfId="33" priority="23" operator="between">
      <formula>AR$9</formula>
      <formula>AR$10</formula>
    </cfRule>
    <cfRule type="cellIs" dxfId="32" priority="24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AR$11</formula>
      <formula>AR$12</formula>
    </cfRule>
    <cfRule type="cellIs" dxfId="30" priority="26" operator="between">
      <formula>AR$12</formula>
      <formula>AR$13</formula>
    </cfRule>
    <cfRule type="cellIs" dxfId="29" priority="27" operator="between">
      <formula>AR$13</formula>
      <formula>AR$14</formula>
    </cfRule>
    <cfRule type="cellIs" dxfId="28" priority="28" operator="between">
      <formula>AR$14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7" t="s">
        <v>5</v>
      </c>
      <c r="H1" s="106" t="s">
        <v>6</v>
      </c>
      <c r="I1" s="111" t="s">
        <v>79</v>
      </c>
      <c r="J1" s="108" t="s">
        <v>24</v>
      </c>
      <c r="K1" s="111" t="s">
        <v>80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3" t="s">
        <v>70</v>
      </c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3" t="s">
        <v>75</v>
      </c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10" t="s">
        <v>51</v>
      </c>
      <c r="CV1" s="110"/>
      <c r="CW1" s="103" t="s">
        <v>91</v>
      </c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3" t="s">
        <v>55</v>
      </c>
      <c r="OX1" s="103"/>
      <c r="OY1" s="103"/>
      <c r="OZ1" s="103"/>
      <c r="PA1" s="103"/>
      <c r="PB1" s="103"/>
      <c r="PC1" s="103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11"/>
      <c r="J2" s="108"/>
      <c r="K2" s="111"/>
      <c r="L2" s="108"/>
      <c r="M2" s="108"/>
      <c r="N2" s="108"/>
      <c r="O2" s="109"/>
      <c r="P2" s="108"/>
      <c r="Q2" s="108"/>
      <c r="R2" s="102" t="s">
        <v>81</v>
      </c>
      <c r="S2" s="102"/>
      <c r="T2" s="102"/>
      <c r="U2" s="102"/>
      <c r="V2" s="102" t="s">
        <v>82</v>
      </c>
      <c r="W2" s="102"/>
      <c r="X2" s="102"/>
      <c r="Y2" s="102"/>
      <c r="Z2" s="102" t="s">
        <v>83</v>
      </c>
      <c r="AA2" s="102"/>
      <c r="AB2" s="102"/>
      <c r="AC2" s="102"/>
      <c r="AD2" s="102" t="s">
        <v>84</v>
      </c>
      <c r="AE2" s="102"/>
      <c r="AF2" s="102"/>
      <c r="AG2" s="102"/>
      <c r="AH2" s="112" t="s">
        <v>85</v>
      </c>
      <c r="AI2" s="112"/>
      <c r="AJ2" s="112"/>
      <c r="AK2" s="112"/>
      <c r="AL2" s="74"/>
      <c r="AM2" s="74" t="s">
        <v>86</v>
      </c>
      <c r="AN2" s="74" t="s">
        <v>87</v>
      </c>
      <c r="AO2" s="74" t="s">
        <v>83</v>
      </c>
      <c r="AP2" s="74" t="s">
        <v>56</v>
      </c>
      <c r="AQ2" s="74" t="s">
        <v>88</v>
      </c>
      <c r="AR2" s="74" t="s">
        <v>14</v>
      </c>
      <c r="AS2" s="104" t="s">
        <v>81</v>
      </c>
      <c r="AT2" s="104"/>
      <c r="AU2" s="104"/>
      <c r="AV2" s="104"/>
      <c r="AW2" s="104" t="s">
        <v>82</v>
      </c>
      <c r="AX2" s="104"/>
      <c r="AY2" s="104"/>
      <c r="AZ2" s="104"/>
      <c r="BA2" s="104" t="s">
        <v>83</v>
      </c>
      <c r="BB2" s="104"/>
      <c r="BC2" s="104"/>
      <c r="BD2" s="104"/>
      <c r="BE2" s="104" t="s">
        <v>84</v>
      </c>
      <c r="BF2" s="104"/>
      <c r="BG2" s="104"/>
      <c r="BH2" s="104"/>
      <c r="BI2" s="113" t="s">
        <v>85</v>
      </c>
      <c r="BJ2" s="113"/>
      <c r="BK2" s="113"/>
      <c r="BL2" s="113"/>
      <c r="BM2" s="73"/>
      <c r="BN2" s="73" t="s">
        <v>86</v>
      </c>
      <c r="BO2" s="73" t="s">
        <v>87</v>
      </c>
      <c r="BP2" s="73" t="s">
        <v>83</v>
      </c>
      <c r="BQ2" s="73" t="s">
        <v>56</v>
      </c>
      <c r="BR2" s="73" t="s">
        <v>88</v>
      </c>
      <c r="BS2" s="73" t="s">
        <v>14</v>
      </c>
      <c r="BT2" s="102" t="s">
        <v>81</v>
      </c>
      <c r="BU2" s="102"/>
      <c r="BV2" s="102"/>
      <c r="BW2" s="102"/>
      <c r="BX2" s="102" t="s">
        <v>82</v>
      </c>
      <c r="BY2" s="102"/>
      <c r="BZ2" s="102"/>
      <c r="CA2" s="102"/>
      <c r="CB2" s="102" t="s">
        <v>83</v>
      </c>
      <c r="CC2" s="102"/>
      <c r="CD2" s="102"/>
      <c r="CE2" s="102"/>
      <c r="CF2" s="102" t="s">
        <v>84</v>
      </c>
      <c r="CG2" s="102"/>
      <c r="CH2" s="102"/>
      <c r="CI2" s="102"/>
      <c r="CJ2" s="112" t="s">
        <v>85</v>
      </c>
      <c r="CK2" s="112"/>
      <c r="CL2" s="112"/>
      <c r="CM2" s="112"/>
      <c r="CN2" s="74"/>
      <c r="CO2" s="74" t="s">
        <v>86</v>
      </c>
      <c r="CP2" s="74" t="s">
        <v>87</v>
      </c>
      <c r="CQ2" s="74" t="s">
        <v>83</v>
      </c>
      <c r="CR2" s="74" t="s">
        <v>56</v>
      </c>
      <c r="CS2" s="74" t="s">
        <v>88</v>
      </c>
      <c r="CT2" s="74" t="s">
        <v>14</v>
      </c>
      <c r="CU2" s="80" t="s">
        <v>87</v>
      </c>
      <c r="CV2" s="80" t="s">
        <v>19</v>
      </c>
      <c r="CW2" s="102" t="s">
        <v>81</v>
      </c>
      <c r="CX2" s="102"/>
      <c r="CY2" s="102"/>
      <c r="CZ2" s="102"/>
      <c r="DA2" s="102" t="s">
        <v>82</v>
      </c>
      <c r="DB2" s="102"/>
      <c r="DC2" s="102"/>
      <c r="DD2" s="102"/>
      <c r="DE2" s="102" t="s">
        <v>83</v>
      </c>
      <c r="DF2" s="102"/>
      <c r="DG2" s="102"/>
      <c r="DH2" s="102"/>
      <c r="DI2" s="102" t="s">
        <v>84</v>
      </c>
      <c r="DJ2" s="102"/>
      <c r="DK2" s="102"/>
      <c r="DL2" s="102"/>
      <c r="DM2" s="114" t="s">
        <v>85</v>
      </c>
      <c r="DN2" s="114"/>
      <c r="DO2" s="114"/>
      <c r="DP2" s="114"/>
      <c r="DQ2" s="74" t="s">
        <v>86</v>
      </c>
      <c r="DR2" s="74" t="s">
        <v>87</v>
      </c>
      <c r="DS2" s="74" t="s">
        <v>83</v>
      </c>
      <c r="DT2" s="74" t="s">
        <v>56</v>
      </c>
      <c r="DU2" s="74" t="s">
        <v>88</v>
      </c>
      <c r="DV2" s="74" t="s">
        <v>14</v>
      </c>
      <c r="DW2" s="104" t="s">
        <v>81</v>
      </c>
      <c r="DX2" s="104"/>
      <c r="DY2" s="104"/>
      <c r="DZ2" s="104"/>
      <c r="EA2" s="104" t="s">
        <v>82</v>
      </c>
      <c r="EB2" s="104"/>
      <c r="EC2" s="104"/>
      <c r="ED2" s="104"/>
      <c r="EE2" s="104" t="s">
        <v>83</v>
      </c>
      <c r="EF2" s="104"/>
      <c r="EG2" s="104"/>
      <c r="EH2" s="104"/>
      <c r="EI2" s="104" t="s">
        <v>84</v>
      </c>
      <c r="EJ2" s="104"/>
      <c r="EK2" s="104"/>
      <c r="EL2" s="104"/>
      <c r="EM2" s="113" t="s">
        <v>85</v>
      </c>
      <c r="EN2" s="113"/>
      <c r="EO2" s="113"/>
      <c r="EP2" s="113"/>
      <c r="EQ2" s="73" t="s">
        <v>86</v>
      </c>
      <c r="ER2" s="73" t="s">
        <v>87</v>
      </c>
      <c r="ES2" s="73" t="s">
        <v>83</v>
      </c>
      <c r="ET2" s="73" t="s">
        <v>56</v>
      </c>
      <c r="EU2" s="73" t="s">
        <v>88</v>
      </c>
      <c r="EV2" s="73" t="s">
        <v>14</v>
      </c>
      <c r="EW2" s="102" t="s">
        <v>81</v>
      </c>
      <c r="EX2" s="102"/>
      <c r="EY2" s="102"/>
      <c r="EZ2" s="102"/>
      <c r="FA2" s="102" t="s">
        <v>82</v>
      </c>
      <c r="FB2" s="102"/>
      <c r="FC2" s="102"/>
      <c r="FD2" s="102"/>
      <c r="FE2" s="102" t="s">
        <v>83</v>
      </c>
      <c r="FF2" s="102"/>
      <c r="FG2" s="102"/>
      <c r="FH2" s="102"/>
      <c r="FI2" s="102" t="s">
        <v>84</v>
      </c>
      <c r="FJ2" s="102"/>
      <c r="FK2" s="102"/>
      <c r="FL2" s="102"/>
      <c r="FM2" s="114" t="s">
        <v>85</v>
      </c>
      <c r="FN2" s="114"/>
      <c r="FO2" s="114"/>
      <c r="FP2" s="114"/>
      <c r="FQ2" s="74" t="s">
        <v>86</v>
      </c>
      <c r="FR2" s="74" t="s">
        <v>87</v>
      </c>
      <c r="FS2" s="74" t="s">
        <v>83</v>
      </c>
      <c r="FT2" s="74" t="s">
        <v>56</v>
      </c>
      <c r="FU2" s="74" t="s">
        <v>88</v>
      </c>
      <c r="FV2" s="74" t="s">
        <v>14</v>
      </c>
      <c r="FW2" s="104" t="s">
        <v>81</v>
      </c>
      <c r="FX2" s="104"/>
      <c r="FY2" s="104"/>
      <c r="FZ2" s="104"/>
      <c r="GA2" s="104" t="s">
        <v>82</v>
      </c>
      <c r="GB2" s="104"/>
      <c r="GC2" s="104"/>
      <c r="GD2" s="104"/>
      <c r="GE2" s="104" t="s">
        <v>83</v>
      </c>
      <c r="GF2" s="104"/>
      <c r="GG2" s="104"/>
      <c r="GH2" s="104"/>
      <c r="GI2" s="104" t="s">
        <v>84</v>
      </c>
      <c r="GJ2" s="104"/>
      <c r="GK2" s="104"/>
      <c r="GL2" s="104"/>
      <c r="GM2" s="113" t="s">
        <v>85</v>
      </c>
      <c r="GN2" s="113"/>
      <c r="GO2" s="113"/>
      <c r="GP2" s="113"/>
      <c r="GQ2" s="73" t="s">
        <v>86</v>
      </c>
      <c r="GR2" s="73" t="s">
        <v>87</v>
      </c>
      <c r="GS2" s="73" t="s">
        <v>83</v>
      </c>
      <c r="GT2" s="73" t="s">
        <v>56</v>
      </c>
      <c r="GU2" s="73" t="s">
        <v>88</v>
      </c>
      <c r="GV2" s="73" t="s">
        <v>14</v>
      </c>
      <c r="GW2" s="102" t="s">
        <v>81</v>
      </c>
      <c r="GX2" s="102"/>
      <c r="GY2" s="102"/>
      <c r="GZ2" s="102"/>
      <c r="HA2" s="102" t="s">
        <v>82</v>
      </c>
      <c r="HB2" s="102"/>
      <c r="HC2" s="102"/>
      <c r="HD2" s="102"/>
      <c r="HE2" s="102" t="s">
        <v>83</v>
      </c>
      <c r="HF2" s="102"/>
      <c r="HG2" s="102"/>
      <c r="HH2" s="102"/>
      <c r="HI2" s="102" t="s">
        <v>84</v>
      </c>
      <c r="HJ2" s="102"/>
      <c r="HK2" s="102"/>
      <c r="HL2" s="102"/>
      <c r="HM2" s="114" t="s">
        <v>85</v>
      </c>
      <c r="HN2" s="114"/>
      <c r="HO2" s="114"/>
      <c r="HP2" s="114"/>
      <c r="HQ2" s="74" t="s">
        <v>86</v>
      </c>
      <c r="HR2" s="74" t="s">
        <v>87</v>
      </c>
      <c r="HS2" s="74" t="s">
        <v>83</v>
      </c>
      <c r="HT2" s="74" t="s">
        <v>56</v>
      </c>
      <c r="HU2" s="74" t="s">
        <v>88</v>
      </c>
      <c r="HV2" s="74" t="s">
        <v>14</v>
      </c>
      <c r="HW2" s="104" t="s">
        <v>81</v>
      </c>
      <c r="HX2" s="104"/>
      <c r="HY2" s="104"/>
      <c r="HZ2" s="104"/>
      <c r="IA2" s="104" t="s">
        <v>82</v>
      </c>
      <c r="IB2" s="104"/>
      <c r="IC2" s="104"/>
      <c r="ID2" s="104"/>
      <c r="IE2" s="104" t="s">
        <v>83</v>
      </c>
      <c r="IF2" s="104"/>
      <c r="IG2" s="104"/>
      <c r="IH2" s="104"/>
      <c r="II2" s="104" t="s">
        <v>84</v>
      </c>
      <c r="IJ2" s="104"/>
      <c r="IK2" s="104"/>
      <c r="IL2" s="104"/>
      <c r="IM2" s="113" t="s">
        <v>85</v>
      </c>
      <c r="IN2" s="113"/>
      <c r="IO2" s="113"/>
      <c r="IP2" s="113"/>
      <c r="IQ2" s="73" t="s">
        <v>86</v>
      </c>
      <c r="IR2" s="73" t="s">
        <v>87</v>
      </c>
      <c r="IS2" s="73" t="s">
        <v>83</v>
      </c>
      <c r="IT2" s="73" t="s">
        <v>56</v>
      </c>
      <c r="IU2" s="73" t="s">
        <v>88</v>
      </c>
      <c r="IV2" s="73" t="s">
        <v>14</v>
      </c>
      <c r="IW2" s="102" t="s">
        <v>81</v>
      </c>
      <c r="IX2" s="102"/>
      <c r="IY2" s="102"/>
      <c r="IZ2" s="102"/>
      <c r="JA2" s="102" t="s">
        <v>82</v>
      </c>
      <c r="JB2" s="102"/>
      <c r="JC2" s="102"/>
      <c r="JD2" s="102"/>
      <c r="JE2" s="102" t="s">
        <v>83</v>
      </c>
      <c r="JF2" s="102"/>
      <c r="JG2" s="102"/>
      <c r="JH2" s="102"/>
      <c r="JI2" s="102" t="s">
        <v>84</v>
      </c>
      <c r="JJ2" s="102"/>
      <c r="JK2" s="102"/>
      <c r="JL2" s="102"/>
      <c r="JM2" s="114" t="s">
        <v>85</v>
      </c>
      <c r="JN2" s="114"/>
      <c r="JO2" s="114"/>
      <c r="JP2" s="114"/>
      <c r="JQ2" s="74" t="s">
        <v>86</v>
      </c>
      <c r="JR2" s="74" t="s">
        <v>87</v>
      </c>
      <c r="JS2" s="74" t="s">
        <v>83</v>
      </c>
      <c r="JT2" s="74" t="s">
        <v>56</v>
      </c>
      <c r="JU2" s="74" t="s">
        <v>88</v>
      </c>
      <c r="JV2" s="74" t="s">
        <v>14</v>
      </c>
      <c r="JW2" s="104" t="s">
        <v>81</v>
      </c>
      <c r="JX2" s="104"/>
      <c r="JY2" s="104"/>
      <c r="JZ2" s="104"/>
      <c r="KA2" s="104" t="s">
        <v>82</v>
      </c>
      <c r="KB2" s="104"/>
      <c r="KC2" s="104"/>
      <c r="KD2" s="104"/>
      <c r="KE2" s="104" t="s">
        <v>83</v>
      </c>
      <c r="KF2" s="104"/>
      <c r="KG2" s="104"/>
      <c r="KH2" s="104"/>
      <c r="KI2" s="104" t="s">
        <v>84</v>
      </c>
      <c r="KJ2" s="104"/>
      <c r="KK2" s="104"/>
      <c r="KL2" s="104"/>
      <c r="KM2" s="113" t="s">
        <v>85</v>
      </c>
      <c r="KN2" s="113"/>
      <c r="KO2" s="113"/>
      <c r="KP2" s="113"/>
      <c r="KQ2" s="73" t="s">
        <v>86</v>
      </c>
      <c r="KR2" s="73" t="s">
        <v>87</v>
      </c>
      <c r="KS2" s="73" t="s">
        <v>83</v>
      </c>
      <c r="KT2" s="73" t="s">
        <v>56</v>
      </c>
      <c r="KU2" s="73" t="s">
        <v>88</v>
      </c>
      <c r="KV2" s="73" t="s">
        <v>14</v>
      </c>
      <c r="KW2" s="102" t="s">
        <v>81</v>
      </c>
      <c r="KX2" s="102"/>
      <c r="KY2" s="102"/>
      <c r="KZ2" s="102"/>
      <c r="LA2" s="102" t="s">
        <v>82</v>
      </c>
      <c r="LB2" s="102"/>
      <c r="LC2" s="102"/>
      <c r="LD2" s="102"/>
      <c r="LE2" s="102" t="s">
        <v>83</v>
      </c>
      <c r="LF2" s="102"/>
      <c r="LG2" s="102"/>
      <c r="LH2" s="102"/>
      <c r="LI2" s="102" t="s">
        <v>84</v>
      </c>
      <c r="LJ2" s="102"/>
      <c r="LK2" s="102"/>
      <c r="LL2" s="102"/>
      <c r="LM2" s="114" t="s">
        <v>85</v>
      </c>
      <c r="LN2" s="114"/>
      <c r="LO2" s="114"/>
      <c r="LP2" s="114"/>
      <c r="LQ2" s="74" t="s">
        <v>86</v>
      </c>
      <c r="LR2" s="74" t="s">
        <v>87</v>
      </c>
      <c r="LS2" s="74" t="s">
        <v>83</v>
      </c>
      <c r="LT2" s="74" t="s">
        <v>56</v>
      </c>
      <c r="LU2" s="74" t="s">
        <v>88</v>
      </c>
      <c r="LV2" s="74" t="s">
        <v>14</v>
      </c>
      <c r="LW2" s="104" t="s">
        <v>81</v>
      </c>
      <c r="LX2" s="104"/>
      <c r="LY2" s="104"/>
      <c r="LZ2" s="104"/>
      <c r="MA2" s="104" t="s">
        <v>82</v>
      </c>
      <c r="MB2" s="104"/>
      <c r="MC2" s="104"/>
      <c r="MD2" s="104"/>
      <c r="ME2" s="104" t="s">
        <v>83</v>
      </c>
      <c r="MF2" s="104"/>
      <c r="MG2" s="104"/>
      <c r="MH2" s="104"/>
      <c r="MI2" s="104" t="s">
        <v>84</v>
      </c>
      <c r="MJ2" s="104"/>
      <c r="MK2" s="104"/>
      <c r="ML2" s="104"/>
      <c r="MM2" s="113" t="s">
        <v>85</v>
      </c>
      <c r="MN2" s="113"/>
      <c r="MO2" s="113"/>
      <c r="MP2" s="113"/>
      <c r="MQ2" s="73" t="s">
        <v>86</v>
      </c>
      <c r="MR2" s="73" t="s">
        <v>87</v>
      </c>
      <c r="MS2" s="73" t="s">
        <v>83</v>
      </c>
      <c r="MT2" s="73" t="s">
        <v>56</v>
      </c>
      <c r="MU2" s="73" t="s">
        <v>88</v>
      </c>
      <c r="MV2" s="73" t="s">
        <v>14</v>
      </c>
      <c r="MW2" s="102" t="s">
        <v>81</v>
      </c>
      <c r="MX2" s="102"/>
      <c r="MY2" s="102"/>
      <c r="MZ2" s="102"/>
      <c r="NA2" s="102" t="s">
        <v>82</v>
      </c>
      <c r="NB2" s="102"/>
      <c r="NC2" s="102"/>
      <c r="ND2" s="102"/>
      <c r="NE2" s="102" t="s">
        <v>83</v>
      </c>
      <c r="NF2" s="102"/>
      <c r="NG2" s="102"/>
      <c r="NH2" s="102"/>
      <c r="NI2" s="102" t="s">
        <v>84</v>
      </c>
      <c r="NJ2" s="102"/>
      <c r="NK2" s="102"/>
      <c r="NL2" s="102"/>
      <c r="NM2" s="114" t="s">
        <v>85</v>
      </c>
      <c r="NN2" s="114"/>
      <c r="NO2" s="114"/>
      <c r="NP2" s="114"/>
      <c r="NQ2" s="74" t="s">
        <v>86</v>
      </c>
      <c r="NR2" s="74" t="s">
        <v>87</v>
      </c>
      <c r="NS2" s="74" t="s">
        <v>83</v>
      </c>
      <c r="NT2" s="74" t="s">
        <v>56</v>
      </c>
      <c r="NU2" s="74" t="s">
        <v>88</v>
      </c>
      <c r="NV2" s="74" t="s">
        <v>14</v>
      </c>
      <c r="NW2" s="104" t="s">
        <v>81</v>
      </c>
      <c r="NX2" s="104"/>
      <c r="NY2" s="104"/>
      <c r="NZ2" s="104"/>
      <c r="OA2" s="104" t="s">
        <v>82</v>
      </c>
      <c r="OB2" s="104"/>
      <c r="OC2" s="104"/>
      <c r="OD2" s="104"/>
      <c r="OE2" s="104" t="s">
        <v>83</v>
      </c>
      <c r="OF2" s="104"/>
      <c r="OG2" s="104"/>
      <c r="OH2" s="104"/>
      <c r="OI2" s="104" t="s">
        <v>84</v>
      </c>
      <c r="OJ2" s="104"/>
      <c r="OK2" s="104"/>
      <c r="OL2" s="104"/>
      <c r="OM2" s="113" t="s">
        <v>85</v>
      </c>
      <c r="ON2" s="113"/>
      <c r="OO2" s="113"/>
      <c r="OP2" s="113"/>
      <c r="OQ2" s="73" t="s">
        <v>86</v>
      </c>
      <c r="OR2" s="73" t="s">
        <v>87</v>
      </c>
      <c r="OS2" s="73" t="s">
        <v>83</v>
      </c>
      <c r="OT2" s="73" t="s">
        <v>56</v>
      </c>
      <c r="OU2" s="73" t="s">
        <v>88</v>
      </c>
      <c r="OV2" s="73" t="s">
        <v>14</v>
      </c>
      <c r="OW2" s="102" t="s">
        <v>81</v>
      </c>
      <c r="OX2" s="102"/>
      <c r="OY2" s="102"/>
      <c r="OZ2" s="102"/>
      <c r="PA2" s="102" t="s">
        <v>82</v>
      </c>
      <c r="PB2" s="102"/>
      <c r="PC2" s="102"/>
      <c r="PD2" s="102"/>
      <c r="PE2" s="102" t="s">
        <v>83</v>
      </c>
      <c r="PF2" s="102"/>
      <c r="PG2" s="102"/>
      <c r="PH2" s="102"/>
      <c r="PI2" s="102" t="s">
        <v>84</v>
      </c>
      <c r="PJ2" s="102"/>
      <c r="PK2" s="102"/>
      <c r="PL2" s="102"/>
      <c r="PM2" s="112" t="s">
        <v>85</v>
      </c>
      <c r="PN2" s="112"/>
      <c r="PO2" s="112"/>
      <c r="PP2" s="112"/>
      <c r="PQ2" s="74"/>
      <c r="PR2" s="74" t="s">
        <v>86</v>
      </c>
      <c r="PS2" s="74" t="s">
        <v>87</v>
      </c>
      <c r="PT2" s="74" t="s">
        <v>83</v>
      </c>
      <c r="PU2" s="74" t="s">
        <v>56</v>
      </c>
      <c r="PV2" s="74" t="s">
        <v>88</v>
      </c>
      <c r="PW2" s="74" t="s">
        <v>14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11"/>
      <c r="J3" s="108"/>
      <c r="K3" s="111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76</v>
      </c>
      <c r="C4" s="5" t="s">
        <v>78</v>
      </c>
      <c r="D4" s="5">
        <v>2009</v>
      </c>
      <c r="E4" s="15">
        <f>SUM(I4:O4)+SUM(I4:M4)*0.0000001+SUM(I4)*0.0000000000001</f>
        <v>95.500309410034689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46.8</v>
      </c>
      <c r="J4" s="14" t="str">
        <f>IF(I4=0,"",IF(I4=CP4,$BT$1,IF(I4=BO4,$AS$1,IF(I4=AN4,$R$1,""))))</f>
        <v>2022 Elite Canada</v>
      </c>
      <c r="K4" s="14">
        <f>IF(COUNT(AN4,BO4,CP4)&gt;1,LARGE((AN4,BO4,CP4),2),0)</f>
        <v>3.0000000000000003E-4</v>
      </c>
      <c r="L4" s="14" t="str">
        <f>IF(K4=0,"",IF(K4=CP4,$BT$1,IF(K4=BO4,$AS$1,IF(K4=AN4,$R$1,""))))</f>
        <v>2021 Canadian Championships</v>
      </c>
      <c r="M4" s="14">
        <f>IF(MAX(AQ4,BR4,CS4)&gt;0,MAX(AQ4,BR4,CS4),0)</f>
        <v>47.3</v>
      </c>
      <c r="N4" s="14" t="str">
        <f>IF(M4=0,"",IF(M4=CS4,$BT$1,IF(M4=BR4,$AS$1,IF(M4=AQ4,$R$1,""))))</f>
        <v>2022 Elite Canada</v>
      </c>
      <c r="O4" s="14">
        <f>IF(MAX(CU4:CV4)&gt;0,MAX(CU4:CV4),"")</f>
        <v>1.4000000000000057</v>
      </c>
      <c r="P4" s="20" t="str">
        <f>IF(O4="","",IF(O4=CU4,"("&amp;CU$2&amp;")",IF(O4=CV4,"("&amp;CV$2&amp;")")))</f>
        <v>(Final)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1E-4</v>
      </c>
      <c r="S4" s="26">
        <v>2.0000000000000001E-4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>
        <f>IF(SUM(S4,W4)&gt;0,SUM(S4,W4),"")</f>
        <v>2.0000000000000001E-4</v>
      </c>
      <c r="AN4" s="81">
        <f>IF(SUM(R4:S4,U4:W4,Y4)-T4-X4&gt;0,SUM(R4:S4,U4:W4,Y4)-T4-X4,"")</f>
        <v>3.0000000000000003E-4</v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>
        <f>IF(SUM(AN4,AQ4)&gt;0,SUM(AN4,AQ4),"")</f>
        <v>3.0000000000000003E-4</v>
      </c>
      <c r="AS4" s="25">
        <v>1E-4</v>
      </c>
      <c r="AT4" s="25">
        <v>2.0000000000000001E-4</v>
      </c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>
        <f>IF(SUM(AT4,AX4)&gt;0,SUM(AT4,AX4),"")</f>
        <v>2.0000000000000001E-4</v>
      </c>
      <c r="BO4" s="20">
        <f>IF(SUM(AS4:AT4,AV4:AX4,AZ4)-AU4-AY4&gt;0,SUM(AS4:AT4,AV4:AX4,AZ4)-AU4-AY4,"")</f>
        <v>3.0000000000000003E-4</v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>
        <f>IF(SUM(BO4,BR4)&gt;0,SUM(BO4,BR4),"")</f>
        <v>3.0000000000000003E-4</v>
      </c>
      <c r="BT4" s="26">
        <v>18.8</v>
      </c>
      <c r="BU4" s="26">
        <v>5.2</v>
      </c>
      <c r="BV4" s="26">
        <v>0.6</v>
      </c>
      <c r="BW4" s="26">
        <v>0</v>
      </c>
      <c r="BX4" s="26">
        <v>18.8</v>
      </c>
      <c r="BY4" s="26">
        <v>5.2</v>
      </c>
      <c r="BZ4" s="26">
        <v>0.6</v>
      </c>
      <c r="CA4" s="26">
        <v>0</v>
      </c>
      <c r="CB4" s="26">
        <v>17</v>
      </c>
      <c r="CC4" s="26">
        <v>3</v>
      </c>
      <c r="CD4" s="26">
        <v>1.7</v>
      </c>
      <c r="CE4" s="26">
        <v>0</v>
      </c>
      <c r="CF4" s="26">
        <v>19</v>
      </c>
      <c r="CG4" s="26">
        <v>5.2</v>
      </c>
      <c r="CH4" s="26">
        <v>0</v>
      </c>
      <c r="CI4" s="26">
        <v>0</v>
      </c>
      <c r="CJ4" s="26">
        <v>18.3</v>
      </c>
      <c r="CK4" s="26">
        <v>4.8</v>
      </c>
      <c r="CL4" s="26">
        <v>0</v>
      </c>
      <c r="CM4" s="26">
        <v>0</v>
      </c>
      <c r="CN4" s="45"/>
      <c r="CO4" s="81">
        <f>IF(SUM(BU4,BY4)&gt;0,SUM(BU4,BY4),"")</f>
        <v>10.4</v>
      </c>
      <c r="CP4" s="81">
        <f>IF(SUM(BT4:BU4,BW4:BY4,CA4)-BV4-BZ4&gt;0,SUM(BT4:BU4,BW4:BY4,CA4)-BV4-BZ4,"")</f>
        <v>46.8</v>
      </c>
      <c r="CQ4" s="81">
        <f>IF(SUM(CB4:CC4,CE4)-CD4&gt;0,SUM(CB4:CC4,CE4)-CD4,"")</f>
        <v>18.3</v>
      </c>
      <c r="CR4" s="81">
        <f>IF(SUM(CG4,CK4)&gt;0,SUM(CG4,CK4),"")</f>
        <v>10</v>
      </c>
      <c r="CS4" s="81">
        <f>IF(SUM(CF4:CG4,CI4:CK4,CM4)-SUM(CH4,CL4)&gt;0,SUM(CF4:CG4,CI4:CK4,CM4)-SUM(CH4,CL4),"")</f>
        <v>47.3</v>
      </c>
      <c r="CT4" s="81">
        <f>IF(SUM(CP4,CS4)&gt;0,SUM(CP4,CS4),"")</f>
        <v>94.1</v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>
        <f>IF(M4&gt;=0.001,IF(MAX(DU4,EU4,FU4,GU4,HU4,IU4,JU4,KU4,LU4,MU4,NU4,OU4)-IF(M4="",0,M4)&gt;0.001,MAX(DU4,EU4,FU4,GU4,HU4,IU4,JU4,KU4,LU4,MU4,NU4,OU4)-IF(M4="",0,M4),""),"")</f>
        <v>1.4000000000000057</v>
      </c>
      <c r="CW4" s="24">
        <v>18.7</v>
      </c>
      <c r="CX4" s="24">
        <v>5.6</v>
      </c>
      <c r="CY4" s="24">
        <v>0</v>
      </c>
      <c r="CZ4" s="24">
        <v>0</v>
      </c>
      <c r="DA4" s="24">
        <v>18.899999999999999</v>
      </c>
      <c r="DB4" s="24">
        <v>5.6</v>
      </c>
      <c r="DC4" s="24">
        <v>0.6</v>
      </c>
      <c r="DD4" s="24">
        <v>0</v>
      </c>
      <c r="DE4" s="24"/>
      <c r="DF4" s="24"/>
      <c r="DG4" s="24"/>
      <c r="DH4" s="24"/>
      <c r="DI4" s="24">
        <v>18.5</v>
      </c>
      <c r="DJ4" s="24">
        <v>5.6</v>
      </c>
      <c r="DK4" s="24">
        <v>0</v>
      </c>
      <c r="DL4" s="24">
        <v>0</v>
      </c>
      <c r="DM4" s="24">
        <v>19</v>
      </c>
      <c r="DN4" s="24">
        <v>5.6</v>
      </c>
      <c r="DO4" s="24">
        <v>0</v>
      </c>
      <c r="DP4" s="24">
        <v>0</v>
      </c>
      <c r="DQ4" s="81">
        <f>IF(SUM(CX4,DB4)&gt;0,SUM(CX4,DB4),"")</f>
        <v>11.2</v>
      </c>
      <c r="DR4" s="81">
        <f>IF(SUM(CW4:CX4,CZ4:DB4,DD4)-CY4-DC4&gt;0,SUM(CW4:CX4,CZ4:DB4,DD4)-CY4-DC4,"")</f>
        <v>48.199999999999996</v>
      </c>
      <c r="DS4" s="81" t="str">
        <f>IF(SUM(DE4:DF4,DH4)-DG4&gt;0,SUM(DE4:DF4,DH4)-DG4,"")</f>
        <v/>
      </c>
      <c r="DT4" s="81">
        <f>IF(SUM(DJ4,DN4)&gt;0,SUM(DJ4,DN4),"")</f>
        <v>11.2</v>
      </c>
      <c r="DU4" s="81">
        <f>IF(SUM(DI4:DJ4,DL4:DN4,DP4)-SUM(DK4,DO4)&gt;0,SUM(DI4:DJ4,DL4:DN4,DP4)-SUM(DK4,DO4),"")</f>
        <v>48.7</v>
      </c>
      <c r="DV4" s="81">
        <f>IF(SUM(DR4,DU4)&gt;0,SUM(DR4,DU4),"")</f>
        <v>96.9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F5" si="0">IF($CN4="P",BT4,(BT4+AS4)/2)</f>
        <v>9.4000500000000002</v>
      </c>
      <c r="OX4" s="38">
        <f t="shared" si="0"/>
        <v>2.6001000000000003</v>
      </c>
      <c r="OY4" s="38">
        <f t="shared" si="0"/>
        <v>0.3</v>
      </c>
      <c r="OZ4" s="38">
        <f t="shared" si="0"/>
        <v>0</v>
      </c>
      <c r="PA4" s="38">
        <f t="shared" si="0"/>
        <v>9.4</v>
      </c>
      <c r="PB4" s="38">
        <f t="shared" si="0"/>
        <v>2.6</v>
      </c>
      <c r="PC4" s="38">
        <f t="shared" si="0"/>
        <v>0.3</v>
      </c>
      <c r="PD4" s="38">
        <f t="shared" si="0"/>
        <v>0</v>
      </c>
      <c r="PE4" s="38">
        <f t="shared" si="0"/>
        <v>8.5</v>
      </c>
      <c r="PF4" s="38">
        <f t="shared" si="0"/>
        <v>1.5</v>
      </c>
      <c r="PG4" s="38">
        <f t="shared" ref="PG4:PP5" si="1">IF($CN4="P",CD4,(CD4+BC4)/2)</f>
        <v>0.85</v>
      </c>
      <c r="PH4" s="38">
        <f t="shared" si="1"/>
        <v>0</v>
      </c>
      <c r="PI4" s="38">
        <f t="shared" si="1"/>
        <v>9.5</v>
      </c>
      <c r="PJ4" s="38">
        <f t="shared" si="1"/>
        <v>2.6</v>
      </c>
      <c r="PK4" s="38">
        <f t="shared" si="1"/>
        <v>0</v>
      </c>
      <c r="PL4" s="38">
        <f t="shared" si="1"/>
        <v>0</v>
      </c>
      <c r="PM4" s="38">
        <f t="shared" si="1"/>
        <v>9.15</v>
      </c>
      <c r="PN4" s="38">
        <f t="shared" si="1"/>
        <v>2.4</v>
      </c>
      <c r="PO4" s="38">
        <f t="shared" si="1"/>
        <v>0</v>
      </c>
      <c r="PP4" s="38">
        <f t="shared" si="1"/>
        <v>0</v>
      </c>
      <c r="PQ4" s="45" t="s">
        <v>44</v>
      </c>
      <c r="PR4" s="81">
        <f>IF(SUM(OX4,PB4)&gt;0,SUM(OX4,PB4),"")</f>
        <v>5.2001000000000008</v>
      </c>
      <c r="PS4" s="81">
        <f>IF(SUM(OW4:OX4,OZ4:PB4,PD4)-OY4-PC4&gt;0,SUM(OW4:OX4,OZ4:PB4,PD4)-OY4-PC4,"")</f>
        <v>23.400150000000004</v>
      </c>
      <c r="PT4" s="81">
        <f>IF(SUM(PE4:PF4,PH4)-PG4&gt;0,SUM(PE4:PF4,PH4)-PG4,"")</f>
        <v>9.15</v>
      </c>
      <c r="PU4" s="81">
        <f>IF(SUM(PJ4,PN4)&gt;0,SUM(PJ4,PN4),"")</f>
        <v>5</v>
      </c>
      <c r="PV4" s="81">
        <f>IF(SUM(PI4:PJ4,PL4:PN4,PP4)-SUM(PK4,PO4)&gt;0,SUM(PI4:PJ4,PL4:PN4,PP4)-SUM(PK4,PO4),"")</f>
        <v>23.65</v>
      </c>
      <c r="PW4" s="81">
        <f>IF(SUM(PS4,PV4)&gt;0,SUM(PS4,PV4),"")</f>
        <v>47.050150000000002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77</v>
      </c>
      <c r="C5" s="5" t="s">
        <v>67</v>
      </c>
      <c r="D5" s="5">
        <v>2006</v>
      </c>
      <c r="E5" s="15">
        <f>SUM(I5:O5)+SUM(I5:M5)*0.0000001+SUM(I5)*0.0000000000001</f>
        <v>92.820009282004648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National Team</v>
      </c>
      <c r="I5" s="14">
        <f>IF(COUNT(AN5,BO5,CP5)&gt;0,LARGE((AN5,BO5,CP5),1),0)</f>
        <v>46.599999999999994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46.219999999999992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6">
        <v>18.399999999999999</v>
      </c>
      <c r="BU5" s="26">
        <v>5.2</v>
      </c>
      <c r="BV5" s="26">
        <v>0</v>
      </c>
      <c r="BW5" s="26">
        <v>0</v>
      </c>
      <c r="BX5" s="26">
        <v>18</v>
      </c>
      <c r="BY5" s="26">
        <v>5.2</v>
      </c>
      <c r="BZ5" s="26">
        <v>0.2</v>
      </c>
      <c r="CA5" s="26">
        <v>0</v>
      </c>
      <c r="CB5" s="26">
        <v>18.399999999999999</v>
      </c>
      <c r="CC5" s="26">
        <v>4.4000000000000004</v>
      </c>
      <c r="CD5" s="26">
        <v>0</v>
      </c>
      <c r="CE5" s="26">
        <v>0</v>
      </c>
      <c r="CF5" s="26">
        <v>18.399999999999999</v>
      </c>
      <c r="CG5" s="26">
        <v>5.2</v>
      </c>
      <c r="CH5" s="26">
        <v>0.6</v>
      </c>
      <c r="CI5" s="26">
        <v>0</v>
      </c>
      <c r="CJ5" s="26">
        <v>18.420000000000002</v>
      </c>
      <c r="CK5" s="26">
        <v>4.8</v>
      </c>
      <c r="CL5" s="26">
        <v>0</v>
      </c>
      <c r="CM5" s="26">
        <v>0</v>
      </c>
      <c r="CN5" s="45"/>
      <c r="CO5" s="81">
        <f>IF(SUM(BU5,BY5)&gt;0,SUM(BU5,BY5),"")</f>
        <v>10.4</v>
      </c>
      <c r="CP5" s="81">
        <f>IF(SUM(BT5:BU5,BW5:BY5,CA5)-BV5-BZ5&gt;0,SUM(BT5:BU5,BW5:BY5,CA5)-BV5-BZ5,"")</f>
        <v>46.599999999999994</v>
      </c>
      <c r="CQ5" s="81">
        <f>IF(SUM(CB5:CC5,CE5)-CD5&gt;0,SUM(CB5:CC5,CE5)-CD5,"")</f>
        <v>22.799999999999997</v>
      </c>
      <c r="CR5" s="81">
        <f>IF(SUM(CG5,CK5)&gt;0,SUM(CG5,CK5),"")</f>
        <v>10</v>
      </c>
      <c r="CS5" s="81">
        <f>IF(SUM(CF5:CG5,CI5:CK5,CM5)-SUM(CH5,CL5)&gt;0,SUM(CF5:CG5,CI5:CK5,CM5)-SUM(CH5,CL5),"")</f>
        <v>46.219999999999992</v>
      </c>
      <c r="CT5" s="81">
        <f>IF(SUM(CP5,CS5)&gt;0,SUM(CP5,CS5),"")</f>
        <v>92.82</v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>
        <v>18.600000000000001</v>
      </c>
      <c r="CX5" s="24">
        <v>5.6</v>
      </c>
      <c r="CY5" s="24">
        <v>0.6</v>
      </c>
      <c r="CZ5" s="24">
        <v>0</v>
      </c>
      <c r="DA5" s="24">
        <v>18.2</v>
      </c>
      <c r="DB5" s="24">
        <v>4.8</v>
      </c>
      <c r="DC5" s="24">
        <v>0.6</v>
      </c>
      <c r="DD5" s="24">
        <v>0</v>
      </c>
      <c r="DE5" s="24"/>
      <c r="DF5" s="24"/>
      <c r="DG5" s="24"/>
      <c r="DH5" s="24"/>
      <c r="DI5" s="24">
        <v>16.2</v>
      </c>
      <c r="DJ5" s="24">
        <v>5.6</v>
      </c>
      <c r="DK5" s="24">
        <v>1</v>
      </c>
      <c r="DL5" s="24">
        <v>0</v>
      </c>
      <c r="DM5" s="24">
        <v>18.5</v>
      </c>
      <c r="DN5" s="24">
        <v>6</v>
      </c>
      <c r="DO5" s="24">
        <v>0.2</v>
      </c>
      <c r="DP5" s="24">
        <v>0</v>
      </c>
      <c r="DQ5" s="81">
        <f>IF(SUM(CX5,DB5)&gt;0,SUM(CX5,DB5),"")</f>
        <v>10.399999999999999</v>
      </c>
      <c r="DR5" s="81">
        <f>IF(SUM(CW5:CX5,CZ5:DB5,DD5)-CY5-DC5&gt;0,SUM(CW5:CX5,CZ5:DB5,DD5)-CY5-DC5,"")</f>
        <v>46</v>
      </c>
      <c r="DS5" s="81" t="str">
        <f>IF(SUM(DE5:DF5,DH5)-DG5&gt;0,SUM(DE5:DF5,DH5)-DG5,"")</f>
        <v/>
      </c>
      <c r="DT5" s="81">
        <f>IF(SUM(DJ5,DN5)&gt;0,SUM(DJ5,DN5),"")</f>
        <v>11.6</v>
      </c>
      <c r="DU5" s="81">
        <f>IF(SUM(DI5:DJ5,DL5:DN5,DP5)-SUM(DK5,DO5)&gt;0,SUM(DI5:DJ5,DL5:DN5,DP5)-SUM(DK5,DO5),"")</f>
        <v>45.099999999999994</v>
      </c>
      <c r="DV5" s="81">
        <f>IF(SUM(DR5,DU5)&gt;0,SUM(DR5,DU5),"")</f>
        <v>91.1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 t="shared" si="0"/>
        <v>9.1999999999999993</v>
      </c>
      <c r="OX5" s="38">
        <f t="shared" si="0"/>
        <v>2.6</v>
      </c>
      <c r="OY5" s="38">
        <f t="shared" si="0"/>
        <v>0</v>
      </c>
      <c r="OZ5" s="38">
        <f t="shared" si="0"/>
        <v>0</v>
      </c>
      <c r="PA5" s="38">
        <f t="shared" si="0"/>
        <v>9</v>
      </c>
      <c r="PB5" s="38">
        <f t="shared" si="0"/>
        <v>2.6</v>
      </c>
      <c r="PC5" s="38">
        <f t="shared" si="0"/>
        <v>0.1</v>
      </c>
      <c r="PD5" s="38">
        <f t="shared" si="0"/>
        <v>0</v>
      </c>
      <c r="PE5" s="38">
        <f t="shared" si="0"/>
        <v>9.1999999999999993</v>
      </c>
      <c r="PF5" s="38">
        <f t="shared" si="0"/>
        <v>2.2000000000000002</v>
      </c>
      <c r="PG5" s="38">
        <f t="shared" si="1"/>
        <v>0</v>
      </c>
      <c r="PH5" s="38">
        <f t="shared" si="1"/>
        <v>0</v>
      </c>
      <c r="PI5" s="38">
        <f t="shared" si="1"/>
        <v>9.1999999999999993</v>
      </c>
      <c r="PJ5" s="38">
        <f t="shared" si="1"/>
        <v>2.6</v>
      </c>
      <c r="PK5" s="38">
        <f t="shared" si="1"/>
        <v>0.3</v>
      </c>
      <c r="PL5" s="38">
        <f t="shared" si="1"/>
        <v>0</v>
      </c>
      <c r="PM5" s="38">
        <f t="shared" si="1"/>
        <v>9.2100000000000009</v>
      </c>
      <c r="PN5" s="38">
        <f t="shared" si="1"/>
        <v>2.4</v>
      </c>
      <c r="PO5" s="38">
        <f t="shared" si="1"/>
        <v>0</v>
      </c>
      <c r="PP5" s="38">
        <f t="shared" si="1"/>
        <v>0</v>
      </c>
      <c r="PQ5" s="45" t="s">
        <v>44</v>
      </c>
      <c r="PR5" s="81">
        <f>IF(SUM(OX5,PB5)&gt;0,SUM(OX5,PB5),"")</f>
        <v>5.2</v>
      </c>
      <c r="PS5" s="81">
        <f>IF(SUM(OW5:OX5,OZ5:PB5,PD5)-OY5-PC5&gt;0,SUM(OW5:OX5,OZ5:PB5,PD5)-OY5-PC5,"")</f>
        <v>23.299999999999997</v>
      </c>
      <c r="PT5" s="81">
        <f>IF(SUM(PE5:PF5,PH5)-PG5&gt;0,SUM(PE5:PF5,PH5)-PG5,"")</f>
        <v>11.399999999999999</v>
      </c>
      <c r="PU5" s="81">
        <f>IF(SUM(PJ5,PN5)&gt;0,SUM(PJ5,PN5),"")</f>
        <v>5</v>
      </c>
      <c r="PV5" s="81">
        <f>IF(SUM(PI5:PJ5,PL5:PN5,PP5)-SUM(PK5,PO5)&gt;0,SUM(PI5:PJ5,PL5:PN5,PP5)-SUM(PK5,PO5),"")</f>
        <v>23.109999999999996</v>
      </c>
      <c r="PW5" s="81">
        <f>IF(SUM(PS5,PV5)&gt;0,SUM(PS5,PV5),"")</f>
        <v>46.41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1E-4</v>
      </c>
      <c r="BN8" s="5"/>
      <c r="BS8" s="84">
        <v>1E-4</v>
      </c>
      <c r="CO8" s="5"/>
      <c r="CT8" s="84">
        <v>9.6</v>
      </c>
      <c r="DQ8" s="5"/>
      <c r="DV8" s="84">
        <v>9.6</v>
      </c>
      <c r="EQ8" s="5"/>
      <c r="EV8" s="84">
        <v>9.6</v>
      </c>
      <c r="FQ8" s="5"/>
      <c r="FV8" s="84">
        <v>9.6</v>
      </c>
      <c r="GQ8" s="5"/>
      <c r="GV8" s="84">
        <v>9.6</v>
      </c>
      <c r="HQ8" s="5"/>
      <c r="HV8" s="84">
        <v>9.6</v>
      </c>
      <c r="IQ8" s="5"/>
      <c r="IV8" s="84">
        <v>9.6</v>
      </c>
      <c r="JQ8" s="5"/>
      <c r="JV8" s="84">
        <v>9.6</v>
      </c>
      <c r="KQ8" s="5"/>
      <c r="KV8" s="84">
        <v>9.6</v>
      </c>
      <c r="LQ8" s="5"/>
      <c r="LV8" s="84">
        <v>9.6</v>
      </c>
      <c r="MQ8" s="5"/>
      <c r="MV8" s="84">
        <v>9.6</v>
      </c>
      <c r="NQ8" s="5"/>
      <c r="NV8" s="84">
        <v>9.6</v>
      </c>
      <c r="OQ8" s="5"/>
      <c r="OV8" s="84">
        <v>9.6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2.0000000000000001E-4</v>
      </c>
      <c r="BN9" s="5"/>
      <c r="BS9" s="86">
        <f>BS10</f>
        <v>2.0000000000000001E-4</v>
      </c>
      <c r="CO9" s="5"/>
      <c r="CT9" s="86">
        <f>CT10</f>
        <v>10.4</v>
      </c>
      <c r="DQ9" s="5"/>
      <c r="DV9" s="86">
        <f>DV10</f>
        <v>10.4</v>
      </c>
      <c r="EQ9" s="5"/>
      <c r="EV9" s="86">
        <f>EV10</f>
        <v>10.4</v>
      </c>
      <c r="FQ9" s="5"/>
      <c r="FV9" s="86">
        <f>FV10</f>
        <v>10.4</v>
      </c>
      <c r="GQ9" s="5"/>
      <c r="GV9" s="86">
        <f>GV10</f>
        <v>10.4</v>
      </c>
      <c r="HQ9" s="5"/>
      <c r="HV9" s="86">
        <f>HV10</f>
        <v>10.4</v>
      </c>
      <c r="IQ9" s="5"/>
      <c r="IV9" s="86">
        <f>IV10</f>
        <v>10.4</v>
      </c>
      <c r="JQ9" s="5"/>
      <c r="JV9" s="86">
        <f>JV10</f>
        <v>10.4</v>
      </c>
      <c r="KQ9" s="5"/>
      <c r="KV9" s="86">
        <f>KV10</f>
        <v>10.4</v>
      </c>
      <c r="LQ9" s="5"/>
      <c r="LV9" s="86">
        <f>LV10</f>
        <v>10.4</v>
      </c>
      <c r="MQ9" s="5"/>
      <c r="MV9" s="86">
        <f>MV10</f>
        <v>10.4</v>
      </c>
      <c r="NQ9" s="5"/>
      <c r="NV9" s="86">
        <f>NV10</f>
        <v>10.4</v>
      </c>
      <c r="OQ9" s="5"/>
      <c r="OV9" s="86">
        <f>OV10</f>
        <v>10.4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2.0000000000000001E-4</v>
      </c>
      <c r="BN10" s="5"/>
      <c r="BS10" s="88">
        <v>2.0000000000000001E-4</v>
      </c>
      <c r="CO10" s="5"/>
      <c r="CT10" s="88">
        <v>10.4</v>
      </c>
      <c r="DQ10" s="5"/>
      <c r="DV10" s="88">
        <v>10.4</v>
      </c>
      <c r="EQ10" s="5"/>
      <c r="EV10" s="88">
        <v>10.4</v>
      </c>
      <c r="FQ10" s="5"/>
      <c r="FV10" s="88">
        <v>10.4</v>
      </c>
      <c r="GQ10" s="5"/>
      <c r="GV10" s="88">
        <v>10.4</v>
      </c>
      <c r="HQ10" s="5"/>
      <c r="HV10" s="88">
        <v>10.4</v>
      </c>
      <c r="IQ10" s="5"/>
      <c r="IV10" s="88">
        <v>10.4</v>
      </c>
      <c r="JQ10" s="5"/>
      <c r="JV10" s="88">
        <v>10.4</v>
      </c>
      <c r="KQ10" s="5"/>
      <c r="KV10" s="88">
        <v>10.4</v>
      </c>
      <c r="LQ10" s="5"/>
      <c r="LV10" s="88">
        <v>10.4</v>
      </c>
      <c r="MQ10" s="5"/>
      <c r="MV10" s="88">
        <v>10.4</v>
      </c>
      <c r="NQ10" s="5"/>
      <c r="NV10" s="88">
        <v>10.4</v>
      </c>
      <c r="OQ10" s="5"/>
      <c r="OV10" s="88">
        <v>10.4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2.9999999999999997E-4</v>
      </c>
      <c r="BN12" s="5"/>
      <c r="BS12" s="99">
        <v>2.9999999999999997E-4</v>
      </c>
      <c r="CO12" s="5"/>
      <c r="CT12" s="99">
        <v>46.4</v>
      </c>
      <c r="DQ12" s="5"/>
      <c r="DV12" s="99">
        <v>46.4</v>
      </c>
      <c r="EQ12" s="5"/>
      <c r="EV12" s="99">
        <v>46.4</v>
      </c>
      <c r="FQ12" s="5"/>
      <c r="FV12" s="99">
        <v>46.4</v>
      </c>
      <c r="GQ12" s="5"/>
      <c r="GV12" s="99">
        <v>46.4</v>
      </c>
      <c r="HQ12" s="5"/>
      <c r="HV12" s="99">
        <v>46.4</v>
      </c>
      <c r="IQ12" s="5"/>
      <c r="IV12" s="99">
        <v>46.4</v>
      </c>
      <c r="JQ12" s="5"/>
      <c r="JV12" s="99">
        <v>46.4</v>
      </c>
      <c r="KQ12" s="5"/>
      <c r="KV12" s="99">
        <v>46.4</v>
      </c>
      <c r="LQ12" s="5"/>
      <c r="LV12" s="99">
        <v>46.4</v>
      </c>
      <c r="MQ12" s="5"/>
      <c r="MV12" s="99">
        <v>46.4</v>
      </c>
      <c r="NQ12" s="5"/>
      <c r="NV12" s="99">
        <v>46.4</v>
      </c>
      <c r="OQ12" s="5"/>
      <c r="OV12" s="99">
        <v>46.4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4.0000000000000002E-4</v>
      </c>
      <c r="BN13" s="5"/>
      <c r="BS13" s="94">
        <f>BS14</f>
        <v>4.0000000000000002E-4</v>
      </c>
      <c r="CO13" s="5"/>
      <c r="CT13" s="94">
        <f>CT14</f>
        <v>48</v>
      </c>
      <c r="DQ13" s="5"/>
      <c r="DV13" s="94">
        <f>DV14</f>
        <v>48</v>
      </c>
      <c r="EQ13" s="5"/>
      <c r="EV13" s="94">
        <f>EV14</f>
        <v>48</v>
      </c>
      <c r="FQ13" s="5"/>
      <c r="FV13" s="94">
        <f>FV14</f>
        <v>48</v>
      </c>
      <c r="GQ13" s="5"/>
      <c r="GV13" s="94">
        <f>GV14</f>
        <v>48</v>
      </c>
      <c r="HQ13" s="5"/>
      <c r="HV13" s="94">
        <f>HV14</f>
        <v>48</v>
      </c>
      <c r="IQ13" s="5"/>
      <c r="IV13" s="94">
        <f>IV14</f>
        <v>48</v>
      </c>
      <c r="JQ13" s="5"/>
      <c r="JV13" s="94">
        <f>JV14</f>
        <v>48</v>
      </c>
      <c r="KQ13" s="5"/>
      <c r="KV13" s="94">
        <f>KV14</f>
        <v>48</v>
      </c>
      <c r="LQ13" s="5"/>
      <c r="LV13" s="94">
        <f>LV14</f>
        <v>48</v>
      </c>
      <c r="MQ13" s="5"/>
      <c r="MV13" s="94">
        <f>MV14</f>
        <v>48</v>
      </c>
      <c r="NQ13" s="5"/>
      <c r="NV13" s="94">
        <f>NV14</f>
        <v>48</v>
      </c>
      <c r="OQ13" s="5"/>
      <c r="OV13" s="94">
        <f>OV14</f>
        <v>48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O14" s="67" t="s">
        <v>89</v>
      </c>
      <c r="AR14" s="96">
        <v>4.0000000000000002E-4</v>
      </c>
      <c r="BN14" s="5"/>
      <c r="BP14" s="67" t="s">
        <v>89</v>
      </c>
      <c r="BS14" s="96">
        <v>4.0000000000000002E-4</v>
      </c>
      <c r="CO14" s="5"/>
      <c r="CT14" s="96">
        <v>48</v>
      </c>
      <c r="DQ14" s="5"/>
      <c r="DV14" s="96">
        <v>48</v>
      </c>
      <c r="EQ14" s="5"/>
      <c r="EV14" s="96">
        <v>48</v>
      </c>
      <c r="FQ14" s="5"/>
      <c r="FV14" s="96">
        <v>48</v>
      </c>
      <c r="GQ14" s="5"/>
      <c r="GV14" s="96">
        <v>48</v>
      </c>
      <c r="HQ14" s="5"/>
      <c r="HV14" s="96">
        <v>48</v>
      </c>
      <c r="IQ14" s="5"/>
      <c r="IV14" s="96">
        <v>48</v>
      </c>
      <c r="JQ14" s="5"/>
      <c r="JV14" s="96">
        <v>48</v>
      </c>
      <c r="KQ14" s="5"/>
      <c r="KV14" s="96">
        <v>48</v>
      </c>
      <c r="LQ14" s="5"/>
      <c r="LV14" s="96">
        <v>48</v>
      </c>
      <c r="MQ14" s="5"/>
      <c r="MV14" s="96">
        <v>48</v>
      </c>
      <c r="NQ14" s="5"/>
      <c r="NV14" s="96">
        <v>48</v>
      </c>
      <c r="OQ14" s="5"/>
      <c r="OV14" s="96">
        <v>48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27" priority="1" stopIfTrue="1">
      <formula>IF($AL4&lt;&gt;"",1,0)</formula>
    </cfRule>
  </conditionalFormatting>
  <conditionalFormatting sqref="AS4:BS5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5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AR$11</formula>
      <formula>1000</formula>
    </cfRule>
    <cfRule type="cellIs" dxfId="14" priority="14" operator="between">
      <formula>AR$10</formula>
      <formula>AR$11</formula>
    </cfRule>
    <cfRule type="cellIs" dxfId="13" priority="15" operator="between">
      <formula>AR$9</formula>
      <formula>AR$10</formula>
    </cfRule>
    <cfRule type="cellIs" dxfId="12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AR$15</formula>
      <formula>1000</formula>
    </cfRule>
    <cfRule type="cellIs" dxfId="10" priority="18" operator="between">
      <formula>AR$14</formula>
      <formula>AR$15</formula>
    </cfRule>
    <cfRule type="cellIs" dxfId="9" priority="19" operator="between">
      <formula>AR$13</formula>
      <formula>AR$14</formula>
    </cfRule>
    <cfRule type="cellIs" dxfId="8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AR$8</formula>
      <formula>AR$9</formula>
    </cfRule>
    <cfRule type="cellIs" dxfId="6" priority="22" operator="between">
      <formula>AR$9</formula>
      <formula>AR$10</formula>
    </cfRule>
    <cfRule type="cellIs" dxfId="5" priority="23" operator="between">
      <formula>AR$10</formula>
      <formula>AR$11</formula>
    </cfRule>
    <cfRule type="cellIs" dxfId="4" priority="2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AR$12</formula>
      <formula>AR$13</formula>
    </cfRule>
    <cfRule type="cellIs" dxfId="2" priority="26" operator="between">
      <formula>AR$13</formula>
      <formula>AR$14</formula>
    </cfRule>
    <cfRule type="cellIs" dxfId="1" priority="27" operator="between">
      <formula>AR$14</formula>
      <formula>AR$15</formula>
    </cfRule>
    <cfRule type="cellIs" dxfId="0" priority="28" operator="between">
      <formula>AR$15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2022-07-13T20:46:38Z</dcterms:modified>
</cp:coreProperties>
</file>