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40BFFF9-8556-0040-AA15-287C1835CFF5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7" i="17" l="1"/>
  <c r="AN7" i="17"/>
  <c r="AO7" i="17"/>
  <c r="AP7" i="17"/>
  <c r="AQ7" i="17"/>
  <c r="BN7" i="17"/>
  <c r="BO7" i="17"/>
  <c r="BP7" i="17"/>
  <c r="BQ7" i="17"/>
  <c r="BR7" i="17"/>
  <c r="CO7" i="17"/>
  <c r="CP7" i="17"/>
  <c r="CQ7" i="17"/>
  <c r="CR7" i="17"/>
  <c r="CS7" i="17"/>
  <c r="DQ7" i="17"/>
  <c r="DR7" i="17"/>
  <c r="DS7" i="17"/>
  <c r="DT7" i="17"/>
  <c r="DU7" i="17"/>
  <c r="EQ7" i="17"/>
  <c r="ER7" i="17"/>
  <c r="ES7" i="17"/>
  <c r="ET7" i="17"/>
  <c r="EU7" i="17"/>
  <c r="FQ7" i="17"/>
  <c r="FR7" i="17"/>
  <c r="FS7" i="17"/>
  <c r="FT7" i="17"/>
  <c r="FU7" i="17"/>
  <c r="GQ7" i="17"/>
  <c r="GR7" i="17"/>
  <c r="GS7" i="17"/>
  <c r="GT7" i="17"/>
  <c r="GU7" i="17"/>
  <c r="HQ7" i="17"/>
  <c r="HR7" i="17"/>
  <c r="HS7" i="17"/>
  <c r="HT7" i="17"/>
  <c r="HU7" i="17"/>
  <c r="IQ7" i="17"/>
  <c r="IR7" i="17"/>
  <c r="IS7" i="17"/>
  <c r="IT7" i="17"/>
  <c r="IU7" i="17"/>
  <c r="JQ7" i="17"/>
  <c r="JR7" i="17"/>
  <c r="JS7" i="17"/>
  <c r="JT7" i="17"/>
  <c r="JU7" i="17"/>
  <c r="KQ7" i="17"/>
  <c r="KR7" i="17"/>
  <c r="KS7" i="17"/>
  <c r="KT7" i="17"/>
  <c r="KU7" i="17"/>
  <c r="LQ7" i="17"/>
  <c r="LR7" i="17"/>
  <c r="LS7" i="17"/>
  <c r="LT7" i="17"/>
  <c r="LU7" i="17"/>
  <c r="MQ7" i="17"/>
  <c r="MR7" i="17"/>
  <c r="MS7" i="17"/>
  <c r="MT7" i="17"/>
  <c r="MU7" i="17"/>
  <c r="NQ7" i="17"/>
  <c r="NR7" i="17"/>
  <c r="NS7" i="17"/>
  <c r="NT7" i="17"/>
  <c r="NU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U7" i="17" s="1"/>
  <c r="PO7" i="17"/>
  <c r="PP7" i="17"/>
  <c r="AM4" i="17"/>
  <c r="AN4" i="17"/>
  <c r="AO4" i="17"/>
  <c r="AP4" i="17"/>
  <c r="AQ4" i="17"/>
  <c r="BN4" i="17"/>
  <c r="BO4" i="17"/>
  <c r="BP4" i="17"/>
  <c r="BQ4" i="17"/>
  <c r="BR4" i="17"/>
  <c r="CO4" i="17"/>
  <c r="CP4" i="17"/>
  <c r="CQ4" i="17"/>
  <c r="CR4" i="17"/>
  <c r="CS4" i="17"/>
  <c r="DQ4" i="17"/>
  <c r="DR4" i="17"/>
  <c r="DS4" i="17"/>
  <c r="DT4" i="17"/>
  <c r="DU4" i="17"/>
  <c r="EQ4" i="17"/>
  <c r="ER4" i="17"/>
  <c r="ES4" i="17"/>
  <c r="ET4" i="17"/>
  <c r="EU4" i="17"/>
  <c r="FQ4" i="17"/>
  <c r="FR4" i="17"/>
  <c r="FS4" i="17"/>
  <c r="FT4" i="17"/>
  <c r="FU4" i="17"/>
  <c r="GQ4" i="17"/>
  <c r="GR4" i="17"/>
  <c r="GS4" i="17"/>
  <c r="GT4" i="17"/>
  <c r="GU4" i="17"/>
  <c r="HQ4" i="17"/>
  <c r="HR4" i="17"/>
  <c r="HS4" i="17"/>
  <c r="HT4" i="17"/>
  <c r="HU4" i="17"/>
  <c r="IQ4" i="17"/>
  <c r="IR4" i="17"/>
  <c r="IS4" i="17"/>
  <c r="IT4" i="17"/>
  <c r="IU4" i="17"/>
  <c r="JQ4" i="17"/>
  <c r="JR4" i="17"/>
  <c r="JS4" i="17"/>
  <c r="JT4" i="17"/>
  <c r="JU4" i="17"/>
  <c r="KQ4" i="17"/>
  <c r="KR4" i="17"/>
  <c r="KS4" i="17"/>
  <c r="KT4" i="17"/>
  <c r="KU4" i="17"/>
  <c r="LQ4" i="17"/>
  <c r="LR4" i="17"/>
  <c r="LS4" i="17"/>
  <c r="LT4" i="17"/>
  <c r="LU4" i="17"/>
  <c r="MQ4" i="17"/>
  <c r="MR4" i="17"/>
  <c r="MS4" i="17"/>
  <c r="MT4" i="17"/>
  <c r="MU4" i="17"/>
  <c r="NQ4" i="17"/>
  <c r="NR4" i="17"/>
  <c r="NS4" i="17"/>
  <c r="NT4" i="17"/>
  <c r="NU4" i="17"/>
  <c r="OQ4" i="17"/>
  <c r="OR4" i="17"/>
  <c r="OS4" i="17"/>
  <c r="OT4" i="17"/>
  <c r="OU4" i="17"/>
  <c r="OW4" i="17"/>
  <c r="OX4" i="17"/>
  <c r="OY4" i="17"/>
  <c r="OZ4" i="17"/>
  <c r="PA4" i="17"/>
  <c r="PB4" i="17"/>
  <c r="PC4" i="17"/>
  <c r="PD4" i="17"/>
  <c r="PE4" i="17"/>
  <c r="PF4" i="17"/>
  <c r="PG4" i="17"/>
  <c r="PH4" i="17"/>
  <c r="PI4" i="17"/>
  <c r="PJ4" i="17"/>
  <c r="PK4" i="17"/>
  <c r="PL4" i="17"/>
  <c r="PM4" i="17"/>
  <c r="PN4" i="17"/>
  <c r="PO4" i="17"/>
  <c r="PP4" i="17"/>
  <c r="AM7" i="16"/>
  <c r="AN7" i="16"/>
  <c r="AO7" i="16"/>
  <c r="AP7" i="16"/>
  <c r="AQ7" i="16"/>
  <c r="BN7" i="16"/>
  <c r="BO7" i="16"/>
  <c r="BP7" i="16"/>
  <c r="BQ7" i="16"/>
  <c r="BR7" i="16"/>
  <c r="CO7" i="16"/>
  <c r="CP7" i="16"/>
  <c r="CQ7" i="16"/>
  <c r="CR7" i="16"/>
  <c r="CS7" i="16"/>
  <c r="DQ7" i="16"/>
  <c r="DR7" i="16"/>
  <c r="DS7" i="16"/>
  <c r="DT7" i="16"/>
  <c r="DU7" i="16"/>
  <c r="EQ7" i="16"/>
  <c r="ER7" i="16"/>
  <c r="ES7" i="16"/>
  <c r="ET7" i="16"/>
  <c r="EU7" i="16"/>
  <c r="FQ7" i="16"/>
  <c r="FR7" i="16"/>
  <c r="FS7" i="16"/>
  <c r="FT7" i="16"/>
  <c r="FU7" i="16"/>
  <c r="GQ7" i="16"/>
  <c r="GR7" i="16"/>
  <c r="GS7" i="16"/>
  <c r="GT7" i="16"/>
  <c r="GU7" i="16"/>
  <c r="HQ7" i="16"/>
  <c r="HR7" i="16"/>
  <c r="HS7" i="16"/>
  <c r="HT7" i="16"/>
  <c r="HU7" i="16"/>
  <c r="IQ7" i="16"/>
  <c r="IR7" i="16"/>
  <c r="IS7" i="16"/>
  <c r="IT7" i="16"/>
  <c r="IU7" i="16"/>
  <c r="JQ7" i="16"/>
  <c r="JR7" i="16"/>
  <c r="JS7" i="16"/>
  <c r="JT7" i="16"/>
  <c r="JU7" i="16"/>
  <c r="KQ7" i="16"/>
  <c r="KR7" i="16"/>
  <c r="KS7" i="16"/>
  <c r="KT7" i="16"/>
  <c r="KU7" i="16"/>
  <c r="LQ7" i="16"/>
  <c r="LR7" i="16"/>
  <c r="LS7" i="16"/>
  <c r="LT7" i="16"/>
  <c r="LU7" i="16"/>
  <c r="MQ7" i="16"/>
  <c r="MR7" i="16"/>
  <c r="MS7" i="16"/>
  <c r="MT7" i="16"/>
  <c r="MU7" i="16"/>
  <c r="NQ7" i="16"/>
  <c r="NR7" i="16"/>
  <c r="NS7" i="16"/>
  <c r="NT7" i="16"/>
  <c r="NU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AM8" i="16"/>
  <c r="AN8" i="16"/>
  <c r="AO8" i="16"/>
  <c r="AP8" i="16"/>
  <c r="AQ8" i="16"/>
  <c r="BN8" i="16"/>
  <c r="BO8" i="16"/>
  <c r="BP8" i="16"/>
  <c r="BQ8" i="16"/>
  <c r="BR8" i="16"/>
  <c r="CO8" i="16"/>
  <c r="CP8" i="16"/>
  <c r="CQ8" i="16"/>
  <c r="CR8" i="16"/>
  <c r="CS8" i="16"/>
  <c r="DQ8" i="16"/>
  <c r="DR8" i="16"/>
  <c r="DS8" i="16"/>
  <c r="DT8" i="16"/>
  <c r="DU8" i="16"/>
  <c r="EQ8" i="16"/>
  <c r="ER8" i="16"/>
  <c r="ES8" i="16"/>
  <c r="ET8" i="16"/>
  <c r="EU8" i="16"/>
  <c r="FQ8" i="16"/>
  <c r="FR8" i="16"/>
  <c r="FS8" i="16"/>
  <c r="FT8" i="16"/>
  <c r="FU8" i="16"/>
  <c r="GQ8" i="16"/>
  <c r="GR8" i="16"/>
  <c r="GS8" i="16"/>
  <c r="GT8" i="16"/>
  <c r="GU8" i="16"/>
  <c r="HQ8" i="16"/>
  <c r="HR8" i="16"/>
  <c r="HS8" i="16"/>
  <c r="HT8" i="16"/>
  <c r="HU8" i="16"/>
  <c r="IQ8" i="16"/>
  <c r="IR8" i="16"/>
  <c r="IS8" i="16"/>
  <c r="IT8" i="16"/>
  <c r="IU8" i="16"/>
  <c r="JQ8" i="16"/>
  <c r="JR8" i="16"/>
  <c r="JS8" i="16"/>
  <c r="JT8" i="16"/>
  <c r="JU8" i="16"/>
  <c r="KQ8" i="16"/>
  <c r="KR8" i="16"/>
  <c r="KS8" i="16"/>
  <c r="KT8" i="16"/>
  <c r="KU8" i="16"/>
  <c r="LQ8" i="16"/>
  <c r="LR8" i="16"/>
  <c r="LS8" i="16"/>
  <c r="LT8" i="16"/>
  <c r="LU8" i="16"/>
  <c r="MQ8" i="16"/>
  <c r="MR8" i="16"/>
  <c r="MS8" i="16"/>
  <c r="MT8" i="16"/>
  <c r="MU8" i="16"/>
  <c r="NQ8" i="16"/>
  <c r="NR8" i="16"/>
  <c r="NS8" i="16"/>
  <c r="NT8" i="16"/>
  <c r="NU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AM5" i="16"/>
  <c r="AN5" i="16"/>
  <c r="AO5" i="16"/>
  <c r="AP5" i="16"/>
  <c r="AQ5" i="16"/>
  <c r="BN5" i="16"/>
  <c r="BO5" i="16"/>
  <c r="BP5" i="16"/>
  <c r="BQ5" i="16"/>
  <c r="BR5" i="16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AM6" i="14"/>
  <c r="AN6" i="14"/>
  <c r="AO6" i="14"/>
  <c r="AP6" i="14"/>
  <c r="AQ6" i="14"/>
  <c r="BN6" i="14"/>
  <c r="BO6" i="14"/>
  <c r="BP6" i="14"/>
  <c r="BQ6" i="14"/>
  <c r="BR6" i="14"/>
  <c r="CO6" i="14"/>
  <c r="CP6" i="14"/>
  <c r="CQ6" i="14"/>
  <c r="CR6" i="14"/>
  <c r="CS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IV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D6" i="14"/>
  <c r="PE6" i="14"/>
  <c r="PF6" i="14"/>
  <c r="PG6" i="14"/>
  <c r="PH6" i="14"/>
  <c r="PI6" i="14"/>
  <c r="PJ6" i="14"/>
  <c r="PK6" i="14"/>
  <c r="PL6" i="14"/>
  <c r="PM6" i="14"/>
  <c r="PN6" i="14"/>
  <c r="PO6" i="14"/>
  <c r="PP6" i="14"/>
  <c r="BS15" i="17"/>
  <c r="BS11" i="17"/>
  <c r="BR6" i="17"/>
  <c r="BQ6" i="17"/>
  <c r="BP6" i="17"/>
  <c r="BO6" i="17"/>
  <c r="BN6" i="17"/>
  <c r="BR5" i="17"/>
  <c r="BQ5" i="17"/>
  <c r="BP5" i="17"/>
  <c r="BO5" i="17"/>
  <c r="BN5" i="17"/>
  <c r="AR15" i="17"/>
  <c r="AR11" i="17"/>
  <c r="AQ6" i="17"/>
  <c r="AP6" i="17"/>
  <c r="AO6" i="17"/>
  <c r="AN6" i="17"/>
  <c r="AM6" i="17"/>
  <c r="AQ5" i="17"/>
  <c r="AP5" i="17"/>
  <c r="AO5" i="17"/>
  <c r="AN5" i="17"/>
  <c r="AM5" i="17"/>
  <c r="BS16" i="16"/>
  <c r="BS12" i="16"/>
  <c r="BR6" i="16"/>
  <c r="BQ6" i="16"/>
  <c r="BP6" i="16"/>
  <c r="BO6" i="16"/>
  <c r="BN6" i="16"/>
  <c r="BR4" i="16"/>
  <c r="BQ4" i="16"/>
  <c r="BP4" i="16"/>
  <c r="BO4" i="16"/>
  <c r="BN4" i="16"/>
  <c r="AR16" i="16"/>
  <c r="AR12" i="16"/>
  <c r="AQ6" i="16"/>
  <c r="AP6" i="16"/>
  <c r="AO6" i="16"/>
  <c r="AN6" i="16"/>
  <c r="AM6" i="16"/>
  <c r="AQ4" i="16"/>
  <c r="AP4" i="16"/>
  <c r="AO4" i="16"/>
  <c r="AN4" i="16"/>
  <c r="AM4" i="16"/>
  <c r="BR4" i="15"/>
  <c r="BQ4" i="15"/>
  <c r="BP4" i="15"/>
  <c r="BO4" i="15"/>
  <c r="BS4" i="15" s="1"/>
  <c r="BN4" i="15"/>
  <c r="AQ4" i="15"/>
  <c r="AP4" i="15"/>
  <c r="AO4" i="15"/>
  <c r="AN4" i="15"/>
  <c r="AM4" i="15"/>
  <c r="BS14" i="14"/>
  <c r="BS10" i="14"/>
  <c r="BR5" i="14"/>
  <c r="BQ5" i="14"/>
  <c r="BP5" i="14"/>
  <c r="BO5" i="14"/>
  <c r="BN5" i="14"/>
  <c r="BR4" i="14"/>
  <c r="BQ4" i="14"/>
  <c r="BP4" i="14"/>
  <c r="BO4" i="14"/>
  <c r="BN4" i="14"/>
  <c r="AR14" i="14"/>
  <c r="AR10" i="14"/>
  <c r="AQ5" i="14"/>
  <c r="AP5" i="14"/>
  <c r="AO5" i="14"/>
  <c r="AN5" i="14"/>
  <c r="AM5" i="14"/>
  <c r="AQ4" i="14"/>
  <c r="AP4" i="14"/>
  <c r="AO4" i="14"/>
  <c r="AN4" i="14"/>
  <c r="AM4" i="14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6" i="13"/>
  <c r="BY6" i="13"/>
  <c r="BW6" i="13"/>
  <c r="BV6" i="13"/>
  <c r="BU6" i="13"/>
  <c r="BT6" i="13"/>
  <c r="BS6" i="13"/>
  <c r="BZ4" i="13"/>
  <c r="BY4" i="13"/>
  <c r="BW4" i="13"/>
  <c r="BV4" i="13"/>
  <c r="BU4" i="13"/>
  <c r="BT4" i="13"/>
  <c r="BS4" i="13"/>
  <c r="BZ7" i="13"/>
  <c r="BY7" i="13"/>
  <c r="BW7" i="13"/>
  <c r="BV7" i="13"/>
  <c r="BU7" i="13"/>
  <c r="BT7" i="13"/>
  <c r="BS7" i="13"/>
  <c r="BZ5" i="13"/>
  <c r="BY5" i="13"/>
  <c r="BW5" i="13"/>
  <c r="BV5" i="13"/>
  <c r="BU5" i="13"/>
  <c r="BT5" i="13"/>
  <c r="BS5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6" i="13"/>
  <c r="AU6" i="13"/>
  <c r="AS6" i="13"/>
  <c r="AR6" i="13"/>
  <c r="AQ6" i="13"/>
  <c r="AP6" i="13"/>
  <c r="AO6" i="13"/>
  <c r="AV4" i="13"/>
  <c r="AU4" i="13"/>
  <c r="AS4" i="13"/>
  <c r="AR4" i="13"/>
  <c r="AQ4" i="13"/>
  <c r="AP4" i="13"/>
  <c r="AO4" i="13"/>
  <c r="AV7" i="13"/>
  <c r="AU7" i="13"/>
  <c r="AS7" i="13"/>
  <c r="AR7" i="13"/>
  <c r="AQ7" i="13"/>
  <c r="AP7" i="13"/>
  <c r="AO7" i="13"/>
  <c r="AV5" i="13"/>
  <c r="AU5" i="13"/>
  <c r="AS5" i="13"/>
  <c r="AR5" i="13"/>
  <c r="AQ5" i="13"/>
  <c r="AP5" i="13"/>
  <c r="AO5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NV15" i="17"/>
  <c r="NV11" i="17"/>
  <c r="NU6" i="17"/>
  <c r="NT6" i="17"/>
  <c r="NS6" i="17"/>
  <c r="NR6" i="17"/>
  <c r="NQ6" i="17"/>
  <c r="NU5" i="17"/>
  <c r="NT5" i="17"/>
  <c r="NS5" i="17"/>
  <c r="NR5" i="17"/>
  <c r="NQ5" i="17"/>
  <c r="MV15" i="17"/>
  <c r="MV11" i="17"/>
  <c r="MU6" i="17"/>
  <c r="MT6" i="17"/>
  <c r="MS6" i="17"/>
  <c r="MR6" i="17"/>
  <c r="MQ6" i="17"/>
  <c r="MU5" i="17"/>
  <c r="MT5" i="17"/>
  <c r="MS5" i="17"/>
  <c r="MR5" i="17"/>
  <c r="MQ5" i="17"/>
  <c r="LV15" i="17"/>
  <c r="LV11" i="17"/>
  <c r="LU6" i="17"/>
  <c r="LT6" i="17"/>
  <c r="LS6" i="17"/>
  <c r="LR6" i="17"/>
  <c r="LQ6" i="17"/>
  <c r="LU5" i="17"/>
  <c r="LT5" i="17"/>
  <c r="LS5" i="17"/>
  <c r="LR5" i="17"/>
  <c r="LQ5" i="17"/>
  <c r="KV15" i="17"/>
  <c r="KV11" i="17"/>
  <c r="KU6" i="17"/>
  <c r="KT6" i="17"/>
  <c r="KS6" i="17"/>
  <c r="KR6" i="17"/>
  <c r="KQ6" i="17"/>
  <c r="KU5" i="17"/>
  <c r="KT5" i="17"/>
  <c r="KS5" i="17"/>
  <c r="KR5" i="17"/>
  <c r="KQ5" i="17"/>
  <c r="JV15" i="17"/>
  <c r="JV11" i="17"/>
  <c r="JU6" i="17"/>
  <c r="JT6" i="17"/>
  <c r="JS6" i="17"/>
  <c r="JR6" i="17"/>
  <c r="JQ6" i="17"/>
  <c r="JU5" i="17"/>
  <c r="JT5" i="17"/>
  <c r="JS5" i="17"/>
  <c r="JR5" i="17"/>
  <c r="JQ5" i="17"/>
  <c r="IV15" i="17"/>
  <c r="IV11" i="17"/>
  <c r="IU6" i="17"/>
  <c r="IT6" i="17"/>
  <c r="IS6" i="17"/>
  <c r="IR6" i="17"/>
  <c r="IQ6" i="17"/>
  <c r="IU5" i="17"/>
  <c r="IT5" i="17"/>
  <c r="IS5" i="17"/>
  <c r="IR5" i="17"/>
  <c r="IQ5" i="17"/>
  <c r="HV15" i="17"/>
  <c r="HV11" i="17"/>
  <c r="HU6" i="17"/>
  <c r="HT6" i="17"/>
  <c r="HS6" i="17"/>
  <c r="HR6" i="17"/>
  <c r="HQ6" i="17"/>
  <c r="HU5" i="17"/>
  <c r="HT5" i="17"/>
  <c r="HS5" i="17"/>
  <c r="HR5" i="17"/>
  <c r="HQ5" i="17"/>
  <c r="GV15" i="17"/>
  <c r="GV11" i="17"/>
  <c r="GU6" i="17"/>
  <c r="GT6" i="17"/>
  <c r="GS6" i="17"/>
  <c r="GR6" i="17"/>
  <c r="GQ6" i="17"/>
  <c r="GU5" i="17"/>
  <c r="GT5" i="17"/>
  <c r="GS5" i="17"/>
  <c r="GR5" i="17"/>
  <c r="GQ5" i="17"/>
  <c r="FV15" i="17"/>
  <c r="FV11" i="17"/>
  <c r="FU6" i="17"/>
  <c r="FT6" i="17"/>
  <c r="FS6" i="17"/>
  <c r="FR6" i="17"/>
  <c r="FQ6" i="17"/>
  <c r="FU5" i="17"/>
  <c r="FT5" i="17"/>
  <c r="FS5" i="17"/>
  <c r="FR5" i="17"/>
  <c r="FQ5" i="17"/>
  <c r="EV15" i="17"/>
  <c r="EV11" i="17"/>
  <c r="EU6" i="17"/>
  <c r="ET6" i="17"/>
  <c r="ES6" i="17"/>
  <c r="ER6" i="17"/>
  <c r="EQ6" i="17"/>
  <c r="EU5" i="17"/>
  <c r="ET5" i="17"/>
  <c r="ES5" i="17"/>
  <c r="ER5" i="17"/>
  <c r="EQ5" i="17"/>
  <c r="DV15" i="17"/>
  <c r="DV11" i="17"/>
  <c r="DU6" i="17"/>
  <c r="DT6" i="17"/>
  <c r="DS6" i="17"/>
  <c r="DR6" i="17"/>
  <c r="DQ6" i="17"/>
  <c r="DU5" i="17"/>
  <c r="DT5" i="17"/>
  <c r="DS5" i="17"/>
  <c r="DR5" i="17"/>
  <c r="DQ5" i="17"/>
  <c r="NV16" i="16"/>
  <c r="NV12" i="16"/>
  <c r="NU6" i="16"/>
  <c r="NT6" i="16"/>
  <c r="NS6" i="16"/>
  <c r="NR6" i="16"/>
  <c r="NQ6" i="16"/>
  <c r="NU4" i="16"/>
  <c r="NT4" i="16"/>
  <c r="NS4" i="16"/>
  <c r="NR4" i="16"/>
  <c r="NQ4" i="16"/>
  <c r="MV16" i="16"/>
  <c r="MV12" i="16"/>
  <c r="MU6" i="16"/>
  <c r="MT6" i="16"/>
  <c r="MS6" i="16"/>
  <c r="MR6" i="16"/>
  <c r="MQ6" i="16"/>
  <c r="MU4" i="16"/>
  <c r="MT4" i="16"/>
  <c r="MS4" i="16"/>
  <c r="MR4" i="16"/>
  <c r="MQ4" i="16"/>
  <c r="LV16" i="16"/>
  <c r="LV12" i="16"/>
  <c r="LU6" i="16"/>
  <c r="LT6" i="16"/>
  <c r="LS6" i="16"/>
  <c r="LR6" i="16"/>
  <c r="LQ6" i="16"/>
  <c r="LU4" i="16"/>
  <c r="LT4" i="16"/>
  <c r="LS4" i="16"/>
  <c r="LR4" i="16"/>
  <c r="LQ4" i="16"/>
  <c r="KV16" i="16"/>
  <c r="KV12" i="16"/>
  <c r="KU6" i="16"/>
  <c r="KT6" i="16"/>
  <c r="KS6" i="16"/>
  <c r="KR6" i="16"/>
  <c r="KQ6" i="16"/>
  <c r="KU4" i="16"/>
  <c r="KT4" i="16"/>
  <c r="KS4" i="16"/>
  <c r="KR4" i="16"/>
  <c r="KQ4" i="16"/>
  <c r="JV16" i="16"/>
  <c r="JV12" i="16"/>
  <c r="JU6" i="16"/>
  <c r="JT6" i="16"/>
  <c r="JS6" i="16"/>
  <c r="JR6" i="16"/>
  <c r="JQ6" i="16"/>
  <c r="JU4" i="16"/>
  <c r="JT4" i="16"/>
  <c r="JS4" i="16"/>
  <c r="JR4" i="16"/>
  <c r="JQ4" i="16"/>
  <c r="IV16" i="16"/>
  <c r="IV12" i="16"/>
  <c r="IU6" i="16"/>
  <c r="IT6" i="16"/>
  <c r="IS6" i="16"/>
  <c r="IR6" i="16"/>
  <c r="IQ6" i="16"/>
  <c r="IU4" i="16"/>
  <c r="IT4" i="16"/>
  <c r="IS4" i="16"/>
  <c r="IR4" i="16"/>
  <c r="IQ4" i="16"/>
  <c r="HV16" i="16"/>
  <c r="HV12" i="16"/>
  <c r="HU6" i="16"/>
  <c r="HT6" i="16"/>
  <c r="HS6" i="16"/>
  <c r="HR6" i="16"/>
  <c r="HQ6" i="16"/>
  <c r="HU4" i="16"/>
  <c r="HT4" i="16"/>
  <c r="HS4" i="16"/>
  <c r="HR4" i="16"/>
  <c r="HQ4" i="16"/>
  <c r="GV16" i="16"/>
  <c r="GV12" i="16"/>
  <c r="GU6" i="16"/>
  <c r="GT6" i="16"/>
  <c r="GS6" i="16"/>
  <c r="GR6" i="16"/>
  <c r="GQ6" i="16"/>
  <c r="GU4" i="16"/>
  <c r="GT4" i="16"/>
  <c r="GS4" i="16"/>
  <c r="GR4" i="16"/>
  <c r="GQ4" i="16"/>
  <c r="FV16" i="16"/>
  <c r="FV12" i="16"/>
  <c r="FU6" i="16"/>
  <c r="FT6" i="16"/>
  <c r="FS6" i="16"/>
  <c r="FR6" i="16"/>
  <c r="FQ6" i="16"/>
  <c r="FU4" i="16"/>
  <c r="FT4" i="16"/>
  <c r="FS4" i="16"/>
  <c r="FR4" i="16"/>
  <c r="FQ4" i="16"/>
  <c r="EV16" i="16"/>
  <c r="EV12" i="16"/>
  <c r="EU6" i="16"/>
  <c r="ET6" i="16"/>
  <c r="ES6" i="16"/>
  <c r="ER6" i="16"/>
  <c r="EQ6" i="16"/>
  <c r="EU4" i="16"/>
  <c r="ET4" i="16"/>
  <c r="ES4" i="16"/>
  <c r="ER4" i="16"/>
  <c r="EQ4" i="16"/>
  <c r="DV16" i="16"/>
  <c r="DV12" i="16"/>
  <c r="DU6" i="16"/>
  <c r="DT6" i="16"/>
  <c r="DS6" i="16"/>
  <c r="DR6" i="16"/>
  <c r="DQ6" i="16"/>
  <c r="DU4" i="16"/>
  <c r="DT4" i="16"/>
  <c r="DS4" i="16"/>
  <c r="DR4" i="16"/>
  <c r="DQ4" i="16"/>
  <c r="NU4" i="15"/>
  <c r="NT4" i="15"/>
  <c r="NS4" i="15"/>
  <c r="NR4" i="15"/>
  <c r="NV4" i="15" s="1"/>
  <c r="NQ4" i="15"/>
  <c r="MU4" i="15"/>
  <c r="MT4" i="15"/>
  <c r="MS4" i="15"/>
  <c r="MR4" i="15"/>
  <c r="MV4" i="15" s="1"/>
  <c r="MQ4" i="15"/>
  <c r="LU4" i="15"/>
  <c r="LT4" i="15"/>
  <c r="LS4" i="15"/>
  <c r="LR4" i="15"/>
  <c r="LV4" i="15" s="1"/>
  <c r="LQ4" i="15"/>
  <c r="KU4" i="15"/>
  <c r="KT4" i="15"/>
  <c r="KS4" i="15"/>
  <c r="KR4" i="15"/>
  <c r="KV4" i="15" s="1"/>
  <c r="KQ4" i="15"/>
  <c r="JU4" i="15"/>
  <c r="JT4" i="15"/>
  <c r="JS4" i="15"/>
  <c r="JR4" i="15"/>
  <c r="JV4" i="15" s="1"/>
  <c r="JQ4" i="15"/>
  <c r="IU4" i="15"/>
  <c r="IT4" i="15"/>
  <c r="IS4" i="15"/>
  <c r="IR4" i="15"/>
  <c r="IV4" i="15" s="1"/>
  <c r="IQ4" i="15"/>
  <c r="HU4" i="15"/>
  <c r="HT4" i="15"/>
  <c r="HS4" i="15"/>
  <c r="HR4" i="15"/>
  <c r="HV4" i="15" s="1"/>
  <c r="HQ4" i="15"/>
  <c r="GU4" i="15"/>
  <c r="GT4" i="15"/>
  <c r="GS4" i="15"/>
  <c r="GR4" i="15"/>
  <c r="GV4" i="15" s="1"/>
  <c r="GQ4" i="15"/>
  <c r="FU4" i="15"/>
  <c r="FT4" i="15"/>
  <c r="FS4" i="15"/>
  <c r="FR4" i="15"/>
  <c r="FV4" i="15" s="1"/>
  <c r="FQ4" i="15"/>
  <c r="EU4" i="15"/>
  <c r="ET4" i="15"/>
  <c r="ES4" i="15"/>
  <c r="ER4" i="15"/>
  <c r="EV4" i="15" s="1"/>
  <c r="EQ4" i="15"/>
  <c r="DU4" i="15"/>
  <c r="DT4" i="15"/>
  <c r="DS4" i="15"/>
  <c r="DR4" i="15"/>
  <c r="DV4" i="15" s="1"/>
  <c r="DQ4" i="15"/>
  <c r="MP8" i="13"/>
  <c r="MO8" i="13"/>
  <c r="MM8" i="13"/>
  <c r="ML8" i="13"/>
  <c r="MK8" i="13"/>
  <c r="MP9" i="13"/>
  <c r="MO9" i="13"/>
  <c r="MM9" i="13"/>
  <c r="ML9" i="13"/>
  <c r="MK9" i="13"/>
  <c r="MP6" i="13"/>
  <c r="MO6" i="13"/>
  <c r="MM6" i="13"/>
  <c r="ML6" i="13"/>
  <c r="MK6" i="13"/>
  <c r="MP4" i="13"/>
  <c r="MO4" i="13"/>
  <c r="MM4" i="13"/>
  <c r="ML4" i="13"/>
  <c r="MK4" i="13"/>
  <c r="MP7" i="13"/>
  <c r="MO7" i="13"/>
  <c r="MM7" i="13"/>
  <c r="ML7" i="13"/>
  <c r="MK7" i="13"/>
  <c r="MP5" i="13"/>
  <c r="MO5" i="13"/>
  <c r="MM5" i="13"/>
  <c r="ML5" i="13"/>
  <c r="MK5" i="13"/>
  <c r="LT8" i="13"/>
  <c r="LS8" i="13"/>
  <c r="LQ8" i="13"/>
  <c r="LP8" i="13"/>
  <c r="LO8" i="13"/>
  <c r="LT9" i="13"/>
  <c r="LS9" i="13"/>
  <c r="LQ9" i="13"/>
  <c r="LP9" i="13"/>
  <c r="LO9" i="13"/>
  <c r="LT6" i="13"/>
  <c r="LS6" i="13"/>
  <c r="LQ6" i="13"/>
  <c r="LP6" i="13"/>
  <c r="LO6" i="13"/>
  <c r="LT4" i="13"/>
  <c r="LS4" i="13"/>
  <c r="LQ4" i="13"/>
  <c r="LP4" i="13"/>
  <c r="LO4" i="13"/>
  <c r="LT7" i="13"/>
  <c r="LS7" i="13"/>
  <c r="LQ7" i="13"/>
  <c r="LP7" i="13"/>
  <c r="LO7" i="13"/>
  <c r="LT5" i="13"/>
  <c r="LS5" i="13"/>
  <c r="LQ5" i="13"/>
  <c r="LP5" i="13"/>
  <c r="LO5" i="13"/>
  <c r="KX8" i="13"/>
  <c r="KW8" i="13"/>
  <c r="KU8" i="13"/>
  <c r="KT8" i="13"/>
  <c r="KS8" i="13"/>
  <c r="KX9" i="13"/>
  <c r="KW9" i="13"/>
  <c r="KU9" i="13"/>
  <c r="KT9" i="13"/>
  <c r="KS9" i="13"/>
  <c r="KX6" i="13"/>
  <c r="KW6" i="13"/>
  <c r="KU6" i="13"/>
  <c r="KT6" i="13"/>
  <c r="KS6" i="13"/>
  <c r="KX4" i="13"/>
  <c r="KW4" i="13"/>
  <c r="KU4" i="13"/>
  <c r="KT4" i="13"/>
  <c r="KS4" i="13"/>
  <c r="KX7" i="13"/>
  <c r="KW7" i="13"/>
  <c r="KU7" i="13"/>
  <c r="KT7" i="13"/>
  <c r="KS7" i="13"/>
  <c r="KX5" i="13"/>
  <c r="KW5" i="13"/>
  <c r="KU5" i="13"/>
  <c r="KT5" i="13"/>
  <c r="KS5" i="13"/>
  <c r="KB8" i="13"/>
  <c r="KA8" i="13"/>
  <c r="JY8" i="13"/>
  <c r="JX8" i="13"/>
  <c r="JW8" i="13"/>
  <c r="KB9" i="13"/>
  <c r="KA9" i="13"/>
  <c r="JY9" i="13"/>
  <c r="JX9" i="13"/>
  <c r="JW9" i="13"/>
  <c r="KB6" i="13"/>
  <c r="KA6" i="13"/>
  <c r="JY6" i="13"/>
  <c r="JX6" i="13"/>
  <c r="JW6" i="13"/>
  <c r="KB4" i="13"/>
  <c r="KA4" i="13"/>
  <c r="JY4" i="13"/>
  <c r="JX4" i="13"/>
  <c r="JW4" i="13"/>
  <c r="KB7" i="13"/>
  <c r="KA7" i="13"/>
  <c r="JY7" i="13"/>
  <c r="JX7" i="13"/>
  <c r="JW7" i="13"/>
  <c r="KB5" i="13"/>
  <c r="KA5" i="13"/>
  <c r="JY5" i="13"/>
  <c r="JX5" i="13"/>
  <c r="JW5" i="13"/>
  <c r="JF8" i="13"/>
  <c r="JE8" i="13"/>
  <c r="JC8" i="13"/>
  <c r="JB8" i="13"/>
  <c r="JA8" i="13"/>
  <c r="JF9" i="13"/>
  <c r="JE9" i="13"/>
  <c r="JC9" i="13"/>
  <c r="JB9" i="13"/>
  <c r="JA9" i="13"/>
  <c r="JF6" i="13"/>
  <c r="JE6" i="13"/>
  <c r="JC6" i="13"/>
  <c r="JB6" i="13"/>
  <c r="JA6" i="13"/>
  <c r="JF4" i="13"/>
  <c r="JE4" i="13"/>
  <c r="JC4" i="13"/>
  <c r="JB4" i="13"/>
  <c r="JA4" i="13"/>
  <c r="JF7" i="13"/>
  <c r="JE7" i="13"/>
  <c r="JC7" i="13"/>
  <c r="JB7" i="13"/>
  <c r="JA7" i="13"/>
  <c r="JF5" i="13"/>
  <c r="JE5" i="13"/>
  <c r="JC5" i="13"/>
  <c r="JB5" i="13"/>
  <c r="JA5" i="13"/>
  <c r="IJ8" i="13"/>
  <c r="II8" i="13"/>
  <c r="IG8" i="13"/>
  <c r="IF8" i="13"/>
  <c r="IE8" i="13"/>
  <c r="IJ9" i="13"/>
  <c r="II9" i="13"/>
  <c r="IG9" i="13"/>
  <c r="IF9" i="13"/>
  <c r="IE9" i="13"/>
  <c r="IJ6" i="13"/>
  <c r="II6" i="13"/>
  <c r="IG6" i="13"/>
  <c r="IF6" i="13"/>
  <c r="IE6" i="13"/>
  <c r="IJ4" i="13"/>
  <c r="II4" i="13"/>
  <c r="IG4" i="13"/>
  <c r="IF4" i="13"/>
  <c r="IE4" i="13"/>
  <c r="IJ7" i="13"/>
  <c r="II7" i="13"/>
  <c r="IG7" i="13"/>
  <c r="IF7" i="13"/>
  <c r="IE7" i="13"/>
  <c r="IJ5" i="13"/>
  <c r="II5" i="13"/>
  <c r="IG5" i="13"/>
  <c r="IF5" i="13"/>
  <c r="IE5" i="13"/>
  <c r="HN8" i="13"/>
  <c r="HM8" i="13"/>
  <c r="HK8" i="13"/>
  <c r="HJ8" i="13"/>
  <c r="HI8" i="13"/>
  <c r="HN9" i="13"/>
  <c r="HM9" i="13"/>
  <c r="HK9" i="13"/>
  <c r="HJ9" i="13"/>
  <c r="HI9" i="13"/>
  <c r="HN6" i="13"/>
  <c r="HM6" i="13"/>
  <c r="HK6" i="13"/>
  <c r="HJ6" i="13"/>
  <c r="HI6" i="13"/>
  <c r="HN4" i="13"/>
  <c r="HM4" i="13"/>
  <c r="HK4" i="13"/>
  <c r="HJ4" i="13"/>
  <c r="HI4" i="13"/>
  <c r="HN7" i="13"/>
  <c r="HM7" i="13"/>
  <c r="HK7" i="13"/>
  <c r="HJ7" i="13"/>
  <c r="HI7" i="13"/>
  <c r="HN5" i="13"/>
  <c r="HM5" i="13"/>
  <c r="HK5" i="13"/>
  <c r="HJ5" i="13"/>
  <c r="HI5" i="13"/>
  <c r="GR8" i="13"/>
  <c r="GQ8" i="13"/>
  <c r="GO8" i="13"/>
  <c r="GN8" i="13"/>
  <c r="GM8" i="13"/>
  <c r="GR9" i="13"/>
  <c r="GQ9" i="13"/>
  <c r="GO9" i="13"/>
  <c r="GN9" i="13"/>
  <c r="GM9" i="13"/>
  <c r="GR6" i="13"/>
  <c r="GQ6" i="13"/>
  <c r="GO6" i="13"/>
  <c r="GN6" i="13"/>
  <c r="GM6" i="13"/>
  <c r="GR4" i="13"/>
  <c r="GQ4" i="13"/>
  <c r="GO4" i="13"/>
  <c r="GN4" i="13"/>
  <c r="GM4" i="13"/>
  <c r="GR7" i="13"/>
  <c r="GQ7" i="13"/>
  <c r="GO7" i="13"/>
  <c r="GN7" i="13"/>
  <c r="GM7" i="13"/>
  <c r="GR5" i="13"/>
  <c r="GQ5" i="13"/>
  <c r="GO5" i="13"/>
  <c r="GN5" i="13"/>
  <c r="GM5" i="13"/>
  <c r="FV8" i="13"/>
  <c r="FU8" i="13"/>
  <c r="FS8" i="13"/>
  <c r="FR8" i="13"/>
  <c r="FQ8" i="13"/>
  <c r="FV9" i="13"/>
  <c r="FU9" i="13"/>
  <c r="FS9" i="13"/>
  <c r="FR9" i="13"/>
  <c r="FQ9" i="13"/>
  <c r="FV6" i="13"/>
  <c r="FU6" i="13"/>
  <c r="FS6" i="13"/>
  <c r="FR6" i="13"/>
  <c r="FQ6" i="13"/>
  <c r="FV4" i="13"/>
  <c r="FU4" i="13"/>
  <c r="FS4" i="13"/>
  <c r="FR4" i="13"/>
  <c r="FQ4" i="13"/>
  <c r="FV7" i="13"/>
  <c r="FU7" i="13"/>
  <c r="FS7" i="13"/>
  <c r="FR7" i="13"/>
  <c r="FQ7" i="13"/>
  <c r="FV5" i="13"/>
  <c r="FU5" i="13"/>
  <c r="FS5" i="13"/>
  <c r="FR5" i="13"/>
  <c r="FQ5" i="13"/>
  <c r="EZ8" i="13"/>
  <c r="EY8" i="13"/>
  <c r="EW8" i="13"/>
  <c r="EV8" i="13"/>
  <c r="EU8" i="13"/>
  <c r="EZ9" i="13"/>
  <c r="EY9" i="13"/>
  <c r="EW9" i="13"/>
  <c r="EV9" i="13"/>
  <c r="EU9" i="13"/>
  <c r="EZ6" i="13"/>
  <c r="EY6" i="13"/>
  <c r="EW6" i="13"/>
  <c r="EV6" i="13"/>
  <c r="EU6" i="13"/>
  <c r="EZ4" i="13"/>
  <c r="EY4" i="13"/>
  <c r="EW4" i="13"/>
  <c r="EV4" i="13"/>
  <c r="EU4" i="13"/>
  <c r="EZ7" i="13"/>
  <c r="EY7" i="13"/>
  <c r="EW7" i="13"/>
  <c r="EV7" i="13"/>
  <c r="EU7" i="13"/>
  <c r="EZ5" i="13"/>
  <c r="EY5" i="13"/>
  <c r="EW5" i="13"/>
  <c r="EV5" i="13"/>
  <c r="EU5" i="13"/>
  <c r="ED8" i="13"/>
  <c r="EC8" i="13"/>
  <c r="EA8" i="13"/>
  <c r="DZ8" i="13"/>
  <c r="DY8" i="13"/>
  <c r="ED9" i="13"/>
  <c r="EC9" i="13"/>
  <c r="EA9" i="13"/>
  <c r="DZ9" i="13"/>
  <c r="DY9" i="13"/>
  <c r="ED6" i="13"/>
  <c r="EC6" i="13"/>
  <c r="EA6" i="13"/>
  <c r="DZ6" i="13"/>
  <c r="DY6" i="13"/>
  <c r="ED4" i="13"/>
  <c r="EC4" i="13"/>
  <c r="EA4" i="13"/>
  <c r="DZ4" i="13"/>
  <c r="DY4" i="13"/>
  <c r="ED7" i="13"/>
  <c r="EC7" i="13"/>
  <c r="EA7" i="13"/>
  <c r="DZ7" i="13"/>
  <c r="DY7" i="13"/>
  <c r="ED5" i="13"/>
  <c r="EC5" i="13"/>
  <c r="EA5" i="13"/>
  <c r="DZ5" i="13"/>
  <c r="DY5" i="13"/>
  <c r="MP5" i="4"/>
  <c r="MO5" i="4"/>
  <c r="MM5" i="4"/>
  <c r="ML5" i="4"/>
  <c r="MK5" i="4"/>
  <c r="MP4" i="4"/>
  <c r="MO4" i="4"/>
  <c r="MM4" i="4"/>
  <c r="ML4" i="4"/>
  <c r="MK4" i="4"/>
  <c r="LT5" i="4"/>
  <c r="LS5" i="4"/>
  <c r="LQ5" i="4"/>
  <c r="LP5" i="4"/>
  <c r="LO5" i="4"/>
  <c r="LT4" i="4"/>
  <c r="LS4" i="4"/>
  <c r="LQ4" i="4"/>
  <c r="LP4" i="4"/>
  <c r="LR4" i="4" s="1"/>
  <c r="LO4" i="4"/>
  <c r="KX5" i="4"/>
  <c r="KW5" i="4"/>
  <c r="KU5" i="4"/>
  <c r="KT5" i="4"/>
  <c r="KS5" i="4"/>
  <c r="KX4" i="4"/>
  <c r="KW4" i="4"/>
  <c r="KU4" i="4"/>
  <c r="KT4" i="4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A5" i="4"/>
  <c r="JF4" i="4"/>
  <c r="JE4" i="4"/>
  <c r="JC4" i="4"/>
  <c r="JB4" i="4"/>
  <c r="JA4" i="4"/>
  <c r="IJ5" i="4"/>
  <c r="II5" i="4"/>
  <c r="IG5" i="4"/>
  <c r="IF5" i="4"/>
  <c r="IE5" i="4"/>
  <c r="IJ4" i="4"/>
  <c r="II4" i="4"/>
  <c r="IG4" i="4"/>
  <c r="IF4" i="4"/>
  <c r="IE4" i="4"/>
  <c r="HN5" i="4"/>
  <c r="HM5" i="4"/>
  <c r="HK5" i="4"/>
  <c r="HJ5" i="4"/>
  <c r="HI5" i="4"/>
  <c r="HN4" i="4"/>
  <c r="HM4" i="4"/>
  <c r="HK4" i="4"/>
  <c r="HJ4" i="4"/>
  <c r="HI4" i="4"/>
  <c r="GR5" i="4"/>
  <c r="GQ5" i="4"/>
  <c r="GO5" i="4"/>
  <c r="GN5" i="4"/>
  <c r="GM5" i="4"/>
  <c r="GR4" i="4"/>
  <c r="GQ4" i="4"/>
  <c r="GO4" i="4"/>
  <c r="GN4" i="4"/>
  <c r="GM4" i="4"/>
  <c r="FV5" i="4"/>
  <c r="FU5" i="4"/>
  <c r="FS5" i="4"/>
  <c r="FR5" i="4"/>
  <c r="FQ5" i="4"/>
  <c r="FV4" i="4"/>
  <c r="FU4" i="4"/>
  <c r="FS4" i="4"/>
  <c r="FR4" i="4"/>
  <c r="FQ4" i="4"/>
  <c r="EZ5" i="4"/>
  <c r="EY5" i="4"/>
  <c r="EW5" i="4"/>
  <c r="EV5" i="4"/>
  <c r="EU5" i="4"/>
  <c r="EZ4" i="4"/>
  <c r="EY4" i="4"/>
  <c r="EW4" i="4"/>
  <c r="EV4" i="4"/>
  <c r="EX4" i="4" s="1"/>
  <c r="EU4" i="4"/>
  <c r="ED5" i="4"/>
  <c r="EC5" i="4"/>
  <c r="EA5" i="4"/>
  <c r="DZ5" i="4"/>
  <c r="DY5" i="4"/>
  <c r="ED4" i="4"/>
  <c r="EC4" i="4"/>
  <c r="EA4" i="4"/>
  <c r="DZ4" i="4"/>
  <c r="DY4" i="4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5" i="17"/>
  <c r="OV11" i="17"/>
  <c r="OV16" i="16"/>
  <c r="OV12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IV7" i="16" l="1"/>
  <c r="FV7" i="16"/>
  <c r="NV8" i="16"/>
  <c r="FV8" i="16"/>
  <c r="PU8" i="16"/>
  <c r="PR8" i="16"/>
  <c r="JV7" i="16"/>
  <c r="CT6" i="14"/>
  <c r="EX7" i="13"/>
  <c r="EB5" i="13"/>
  <c r="EX4" i="13"/>
  <c r="MN9" i="13"/>
  <c r="FV4" i="17"/>
  <c r="PR7" i="17"/>
  <c r="PR5" i="16"/>
  <c r="MV5" i="16"/>
  <c r="EV5" i="16"/>
  <c r="BS4" i="16"/>
  <c r="MV6" i="14"/>
  <c r="AT4" i="13"/>
  <c r="AW4" i="13" s="1"/>
  <c r="BX5" i="13"/>
  <c r="CA5" i="13" s="1"/>
  <c r="BX4" i="13"/>
  <c r="CA4" i="13" s="1"/>
  <c r="AT8" i="13"/>
  <c r="AW8" i="13" s="1"/>
  <c r="JZ6" i="13"/>
  <c r="KC6" i="13" s="1"/>
  <c r="KV8" i="13"/>
  <c r="KY8" i="13" s="1"/>
  <c r="BS4" i="17"/>
  <c r="BS5" i="17"/>
  <c r="EV4" i="17"/>
  <c r="PV7" i="17"/>
  <c r="JV7" i="17"/>
  <c r="BS7" i="17"/>
  <c r="MV7" i="17"/>
  <c r="NV7" i="17"/>
  <c r="FV7" i="17"/>
  <c r="AR6" i="17"/>
  <c r="GV5" i="17"/>
  <c r="KV5" i="17"/>
  <c r="MV5" i="17"/>
  <c r="DV6" i="17"/>
  <c r="FV6" i="17"/>
  <c r="HV6" i="17"/>
  <c r="JV6" i="17"/>
  <c r="LV6" i="17"/>
  <c r="NV6" i="17"/>
  <c r="LV7" i="16"/>
  <c r="AR6" i="16"/>
  <c r="KV7" i="16"/>
  <c r="BS7" i="16"/>
  <c r="JV4" i="16"/>
  <c r="LV4" i="16"/>
  <c r="NV4" i="16"/>
  <c r="OV8" i="16"/>
  <c r="GV8" i="16"/>
  <c r="NV7" i="16"/>
  <c r="EV7" i="16"/>
  <c r="EV6" i="16"/>
  <c r="GV6" i="16"/>
  <c r="IV6" i="16"/>
  <c r="KV6" i="16"/>
  <c r="OV5" i="16"/>
  <c r="HV5" i="16"/>
  <c r="GV5" i="16"/>
  <c r="MV8" i="16"/>
  <c r="EV8" i="16"/>
  <c r="MV7" i="16"/>
  <c r="BS4" i="14"/>
  <c r="DV6" i="14"/>
  <c r="HV6" i="14"/>
  <c r="EV6" i="14"/>
  <c r="NV6" i="14"/>
  <c r="LV6" i="14"/>
  <c r="BS6" i="14"/>
  <c r="AR4" i="14"/>
  <c r="BS5" i="14"/>
  <c r="HL7" i="13"/>
  <c r="HO7" i="13" s="1"/>
  <c r="AT7" i="13"/>
  <c r="AW7" i="13" s="1"/>
  <c r="FA7" i="13"/>
  <c r="BX7" i="13"/>
  <c r="CA7" i="13" s="1"/>
  <c r="GP4" i="13"/>
  <c r="GS4" i="13" s="1"/>
  <c r="JZ4" i="13"/>
  <c r="KC4" i="13" s="1"/>
  <c r="AT9" i="13"/>
  <c r="AW9" i="13" s="1"/>
  <c r="AT5" i="13"/>
  <c r="AW5" i="13" s="1"/>
  <c r="BX9" i="13"/>
  <c r="CA9" i="13" s="1"/>
  <c r="BX8" i="13"/>
  <c r="CA8" i="13" s="1"/>
  <c r="BX6" i="13"/>
  <c r="CA6" i="13" s="1"/>
  <c r="FT4" i="13"/>
  <c r="FW4" i="13" s="1"/>
  <c r="GP9" i="13"/>
  <c r="GS9" i="13" s="1"/>
  <c r="IH5" i="13"/>
  <c r="IK5" i="13" s="1"/>
  <c r="JD4" i="13"/>
  <c r="JG4" i="13" s="1"/>
  <c r="JZ9" i="13"/>
  <c r="KC9" i="13" s="1"/>
  <c r="KV7" i="13"/>
  <c r="KY7" i="13" s="1"/>
  <c r="AT6" i="13"/>
  <c r="AW6" i="13" s="1"/>
  <c r="BX5" i="4"/>
  <c r="CA5" i="4" s="1"/>
  <c r="BX4" i="4"/>
  <c r="CA4" i="4" s="1"/>
  <c r="EX5" i="4"/>
  <c r="FA5" i="4" s="1"/>
  <c r="IH5" i="4"/>
  <c r="IK5" i="4" s="1"/>
  <c r="LR5" i="4"/>
  <c r="LU5" i="4" s="1"/>
  <c r="MN5" i="4"/>
  <c r="MQ5" i="4" s="1"/>
  <c r="AT5" i="4"/>
  <c r="AW5" i="4" s="1"/>
  <c r="HL4" i="4"/>
  <c r="KV4" i="4"/>
  <c r="KY4" i="4" s="1"/>
  <c r="AT4" i="4"/>
  <c r="AW4" i="4" s="1"/>
  <c r="FT5" i="4"/>
  <c r="FW5" i="4" s="1"/>
  <c r="JD5" i="4"/>
  <c r="JG5" i="4" s="1"/>
  <c r="FA4" i="4"/>
  <c r="LU4" i="4"/>
  <c r="FT4" i="4"/>
  <c r="JD4" i="4"/>
  <c r="MN4" i="4"/>
  <c r="MQ4" i="4" s="1"/>
  <c r="AR7" i="17"/>
  <c r="AR4" i="17"/>
  <c r="OV7" i="17"/>
  <c r="LV7" i="17"/>
  <c r="KV7" i="17"/>
  <c r="IV7" i="17"/>
  <c r="HV7" i="17"/>
  <c r="GV7" i="17"/>
  <c r="EV7" i="17"/>
  <c r="DV7" i="17"/>
  <c r="M7" i="17"/>
  <c r="CV7" i="17" s="1"/>
  <c r="PT7" i="17"/>
  <c r="CT7" i="17"/>
  <c r="PS7" i="17"/>
  <c r="K7" i="17"/>
  <c r="L7" i="17" s="1"/>
  <c r="F7" i="17"/>
  <c r="I7" i="17"/>
  <c r="G7" i="17"/>
  <c r="NV4" i="17"/>
  <c r="IV4" i="17"/>
  <c r="CT4" i="17"/>
  <c r="PR4" i="17"/>
  <c r="GV4" i="17"/>
  <c r="JV4" i="17"/>
  <c r="OV4" i="17"/>
  <c r="MV4" i="17"/>
  <c r="LV4" i="17"/>
  <c r="KV4" i="17"/>
  <c r="HV4" i="17"/>
  <c r="DV4" i="17"/>
  <c r="PU4" i="17"/>
  <c r="M4" i="17"/>
  <c r="N4" i="17" s="1"/>
  <c r="PV4" i="17"/>
  <c r="PT4" i="17"/>
  <c r="PS4" i="17"/>
  <c r="K4" i="17"/>
  <c r="L4" i="17" s="1"/>
  <c r="F4" i="17"/>
  <c r="I4" i="17"/>
  <c r="G4" i="17"/>
  <c r="EV5" i="17"/>
  <c r="IV5" i="17"/>
  <c r="AR5" i="17"/>
  <c r="BS6" i="17"/>
  <c r="PR7" i="16"/>
  <c r="PV5" i="16"/>
  <c r="PS5" i="16"/>
  <c r="PV8" i="16"/>
  <c r="AR7" i="16"/>
  <c r="OV7" i="16"/>
  <c r="HV7" i="16"/>
  <c r="GV7" i="16"/>
  <c r="DV7" i="16"/>
  <c r="CT7" i="16"/>
  <c r="M7" i="16"/>
  <c r="N7" i="16" s="1"/>
  <c r="PU7" i="16"/>
  <c r="K7" i="16"/>
  <c r="L7" i="16" s="1"/>
  <c r="PV7" i="16"/>
  <c r="PT7" i="16"/>
  <c r="PS7" i="16"/>
  <c r="F7" i="16"/>
  <c r="G7" i="16"/>
  <c r="I7" i="16"/>
  <c r="HV8" i="16"/>
  <c r="LV5" i="16"/>
  <c r="DV5" i="16"/>
  <c r="IV8" i="16"/>
  <c r="DV8" i="16"/>
  <c r="LV8" i="16"/>
  <c r="KV8" i="16"/>
  <c r="JV8" i="16"/>
  <c r="M8" i="16"/>
  <c r="N8" i="16" s="1"/>
  <c r="CT8" i="16"/>
  <c r="PT8" i="16"/>
  <c r="PS8" i="16"/>
  <c r="K8" i="16"/>
  <c r="L8" i="16" s="1"/>
  <c r="BS8" i="16"/>
  <c r="F8" i="16"/>
  <c r="I8" i="16"/>
  <c r="AR8" i="16"/>
  <c r="G8" i="16"/>
  <c r="IV5" i="16"/>
  <c r="FV5" i="16"/>
  <c r="NV5" i="16"/>
  <c r="KV5" i="16"/>
  <c r="JV5" i="16"/>
  <c r="CT5" i="16"/>
  <c r="M5" i="16"/>
  <c r="CV5" i="16" s="1"/>
  <c r="BS5" i="16"/>
  <c r="PT5" i="16"/>
  <c r="K5" i="16"/>
  <c r="L5" i="16" s="1"/>
  <c r="PU5" i="16"/>
  <c r="F5" i="16"/>
  <c r="I5" i="16"/>
  <c r="AR5" i="16"/>
  <c r="G5" i="16"/>
  <c r="AR4" i="16"/>
  <c r="BS6" i="16"/>
  <c r="AR4" i="15"/>
  <c r="OV6" i="14"/>
  <c r="KV6" i="14"/>
  <c r="JV6" i="14"/>
  <c r="GV6" i="14"/>
  <c r="FV6" i="14"/>
  <c r="PS6" i="14"/>
  <c r="PU6" i="14"/>
  <c r="PR6" i="14"/>
  <c r="PV6" i="14"/>
  <c r="PT6" i="14"/>
  <c r="K6" i="14"/>
  <c r="L6" i="14" s="1"/>
  <c r="M6" i="14"/>
  <c r="CV6" i="14" s="1"/>
  <c r="F6" i="14"/>
  <c r="AR6" i="14"/>
  <c r="G6" i="14"/>
  <c r="I6" i="14"/>
  <c r="AR5" i="14"/>
  <c r="FT7" i="13"/>
  <c r="FW7" i="13" s="1"/>
  <c r="EE5" i="13"/>
  <c r="FA4" i="13"/>
  <c r="EB8" i="13"/>
  <c r="EE8" i="13" s="1"/>
  <c r="EB4" i="13"/>
  <c r="EE4" i="13" s="1"/>
  <c r="EX9" i="13"/>
  <c r="FA9" i="13" s="1"/>
  <c r="GP5" i="13"/>
  <c r="GS5" i="13" s="1"/>
  <c r="GP6" i="13"/>
  <c r="GS6" i="13" s="1"/>
  <c r="HL4" i="13"/>
  <c r="HO4" i="13" s="1"/>
  <c r="IH9" i="13"/>
  <c r="IK9" i="13" s="1"/>
  <c r="FT6" i="13"/>
  <c r="FW6" i="13" s="1"/>
  <c r="IH7" i="13"/>
  <c r="IK7" i="13" s="1"/>
  <c r="LR7" i="13"/>
  <c r="LU7" i="13" s="1"/>
  <c r="LR6" i="13"/>
  <c r="LU6" i="13" s="1"/>
  <c r="MN4" i="13"/>
  <c r="MQ4" i="13" s="1"/>
  <c r="EX8" i="13"/>
  <c r="FA8" i="13" s="1"/>
  <c r="GP7" i="13"/>
  <c r="GS7" i="13" s="1"/>
  <c r="IH8" i="13"/>
  <c r="IK8" i="13" s="1"/>
  <c r="JZ7" i="13"/>
  <c r="KC7" i="13" s="1"/>
  <c r="JZ4" i="4"/>
  <c r="KC4" i="4" s="1"/>
  <c r="DV5" i="17"/>
  <c r="HV5" i="17"/>
  <c r="LV5" i="17"/>
  <c r="NV5" i="17"/>
  <c r="FV5" i="17"/>
  <c r="EV6" i="17"/>
  <c r="GV6" i="17"/>
  <c r="IV6" i="17"/>
  <c r="KV6" i="17"/>
  <c r="MV6" i="17"/>
  <c r="JV5" i="17"/>
  <c r="MV6" i="16"/>
  <c r="EV4" i="16"/>
  <c r="GV4" i="16"/>
  <c r="IV4" i="16"/>
  <c r="DV6" i="16"/>
  <c r="FV6" i="16"/>
  <c r="HV6" i="16"/>
  <c r="KV4" i="16"/>
  <c r="MV4" i="16"/>
  <c r="DV4" i="16"/>
  <c r="JV6" i="16"/>
  <c r="LV6" i="16"/>
  <c r="NV6" i="16"/>
  <c r="FV4" i="16"/>
  <c r="HV4" i="16"/>
  <c r="EB6" i="13"/>
  <c r="EE6" i="13" s="1"/>
  <c r="FT5" i="13"/>
  <c r="FW5" i="13" s="1"/>
  <c r="FT8" i="13"/>
  <c r="FW8" i="13" s="1"/>
  <c r="IH6" i="13"/>
  <c r="IK6" i="13" s="1"/>
  <c r="JD5" i="13"/>
  <c r="JG5" i="13" s="1"/>
  <c r="HL6" i="13"/>
  <c r="HO6" i="13" s="1"/>
  <c r="FT9" i="13"/>
  <c r="FW9" i="13" s="1"/>
  <c r="HL5" i="13"/>
  <c r="HO5" i="13" s="1"/>
  <c r="HL8" i="13"/>
  <c r="HO8" i="13" s="1"/>
  <c r="JD9" i="13"/>
  <c r="JG9" i="13" s="1"/>
  <c r="KV5" i="13"/>
  <c r="KY5" i="13" s="1"/>
  <c r="LR4" i="13"/>
  <c r="LU4" i="13" s="1"/>
  <c r="JD7" i="13"/>
  <c r="JG7" i="13" s="1"/>
  <c r="KV4" i="13"/>
  <c r="KY4" i="13" s="1"/>
  <c r="MN7" i="13"/>
  <c r="MQ7" i="13" s="1"/>
  <c r="EB7" i="13"/>
  <c r="EE7" i="13" s="1"/>
  <c r="GP8" i="13"/>
  <c r="GS8" i="13" s="1"/>
  <c r="JZ8" i="13"/>
  <c r="KC8" i="13" s="1"/>
  <c r="LR9" i="13"/>
  <c r="LU9" i="13" s="1"/>
  <c r="MN5" i="13"/>
  <c r="MQ5" i="13" s="1"/>
  <c r="MN6" i="13"/>
  <c r="MQ6" i="13" s="1"/>
  <c r="EX5" i="13"/>
  <c r="FA5" i="13" s="1"/>
  <c r="EX6" i="13"/>
  <c r="FA6" i="13" s="1"/>
  <c r="JD6" i="13"/>
  <c r="JG6" i="13" s="1"/>
  <c r="KV6" i="13"/>
  <c r="KY6" i="13" s="1"/>
  <c r="LR5" i="13"/>
  <c r="LU5" i="13" s="1"/>
  <c r="MN8" i="13"/>
  <c r="MQ8" i="13" s="1"/>
  <c r="JZ5" i="13"/>
  <c r="KC5" i="13" s="1"/>
  <c r="LR8" i="13"/>
  <c r="LU8" i="13" s="1"/>
  <c r="MQ9" i="13"/>
  <c r="EB9" i="13"/>
  <c r="EE9" i="13" s="1"/>
  <c r="HL9" i="13"/>
  <c r="HO9" i="13" s="1"/>
  <c r="IH4" i="13"/>
  <c r="IK4" i="13" s="1"/>
  <c r="JD8" i="13"/>
  <c r="JG8" i="13" s="1"/>
  <c r="KV9" i="13"/>
  <c r="KY9" i="13" s="1"/>
  <c r="GP5" i="4"/>
  <c r="GS5" i="4" s="1"/>
  <c r="JZ5" i="4"/>
  <c r="KC5" i="4" s="1"/>
  <c r="EB5" i="4"/>
  <c r="EE5" i="4" s="1"/>
  <c r="IH4" i="4"/>
  <c r="IK4" i="4" s="1"/>
  <c r="HO4" i="4"/>
  <c r="EB4" i="4"/>
  <c r="EE4" i="4" s="1"/>
  <c r="FW4" i="4"/>
  <c r="JG4" i="4"/>
  <c r="GP4" i="4"/>
  <c r="GS4" i="4" s="1"/>
  <c r="HL5" i="4"/>
  <c r="HO5" i="4" s="1"/>
  <c r="KV5" i="4"/>
  <c r="KY5" i="4" s="1"/>
  <c r="HV4" i="14"/>
  <c r="JV4" i="14"/>
  <c r="OV6" i="16"/>
  <c r="OV4" i="16"/>
  <c r="CT6" i="16"/>
  <c r="CT4" i="16"/>
  <c r="CT4" i="14"/>
  <c r="NV4" i="14"/>
  <c r="FV4" i="14"/>
  <c r="IV4" i="14"/>
  <c r="KV4" i="14"/>
  <c r="LV4" i="14"/>
  <c r="DV4" i="14"/>
  <c r="OV4" i="14"/>
  <c r="GV4" i="14"/>
  <c r="MV4" i="14"/>
  <c r="EV4" i="14"/>
  <c r="O8" i="13"/>
  <c r="P8" i="13" s="1"/>
  <c r="NJ8" i="13"/>
  <c r="NM8" i="13" s="1"/>
  <c r="DB8" i="13"/>
  <c r="DE8" i="13" s="1"/>
  <c r="OP9" i="13"/>
  <c r="OM8" i="13"/>
  <c r="OK8" i="13"/>
  <c r="OI8" i="13"/>
  <c r="DB7" i="13"/>
  <c r="DE7" i="13" s="1"/>
  <c r="O7" i="13"/>
  <c r="P7" i="13" s="1"/>
  <c r="PS6" i="16"/>
  <c r="M6" i="16"/>
  <c r="CV6" i="16" s="1"/>
  <c r="PT6" i="16"/>
  <c r="G6" i="16"/>
  <c r="PU6" i="16"/>
  <c r="PR6" i="16"/>
  <c r="F6" i="16"/>
  <c r="K6" i="16"/>
  <c r="I6" i="16"/>
  <c r="PV6" i="16"/>
  <c r="OP8" i="13"/>
  <c r="DB9" i="13"/>
  <c r="DE9" i="13" s="1"/>
  <c r="NJ7" i="13"/>
  <c r="NM7" i="13" s="1"/>
  <c r="OM7" i="13"/>
  <c r="OK7" i="13"/>
  <c r="OI7" i="13"/>
  <c r="DB5" i="13"/>
  <c r="DE5" i="13" s="1"/>
  <c r="NJ9" i="13"/>
  <c r="NM9" i="13" s="1"/>
  <c r="OP7" i="13"/>
  <c r="OM9" i="13"/>
  <c r="OK9" i="13"/>
  <c r="OI9" i="13"/>
  <c r="O9" i="13"/>
  <c r="P9" i="13" s="1"/>
  <c r="DB6" i="13"/>
  <c r="DE6" i="13" s="1"/>
  <c r="OK5" i="13"/>
  <c r="NJ6" i="13"/>
  <c r="NM6" i="13" s="1"/>
  <c r="O5" i="13"/>
  <c r="DI5" i="13" s="1"/>
  <c r="NJ5" i="13"/>
  <c r="NM5" i="13" s="1"/>
  <c r="OM5" i="13"/>
  <c r="OI5" i="13"/>
  <c r="OM6" i="13"/>
  <c r="OK6" i="13"/>
  <c r="OI6" i="13"/>
  <c r="O6" i="13"/>
  <c r="P6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PW8" i="16" l="1"/>
  <c r="PW7" i="16"/>
  <c r="PW7" i="17"/>
  <c r="PW5" i="16"/>
  <c r="N7" i="17"/>
  <c r="CU7" i="17"/>
  <c r="O7" i="17" s="1"/>
  <c r="Q7" i="17" s="1"/>
  <c r="H7" i="17"/>
  <c r="J7" i="17"/>
  <c r="CV4" i="17"/>
  <c r="PW4" i="17"/>
  <c r="CU4" i="17"/>
  <c r="H4" i="17"/>
  <c r="J4" i="17"/>
  <c r="CU8" i="16"/>
  <c r="CV7" i="16"/>
  <c r="CU7" i="16"/>
  <c r="H7" i="16"/>
  <c r="J7" i="16"/>
  <c r="H8" i="16"/>
  <c r="CV8" i="16"/>
  <c r="J8" i="16"/>
  <c r="N5" i="16"/>
  <c r="CU5" i="16"/>
  <c r="O5" i="16" s="1"/>
  <c r="Q5" i="16" s="1"/>
  <c r="H5" i="16"/>
  <c r="J5" i="16"/>
  <c r="PW6" i="14"/>
  <c r="N6" i="14"/>
  <c r="CU6" i="14"/>
  <c r="O6" i="14" s="1"/>
  <c r="Q6" i="14" s="1"/>
  <c r="H6" i="14"/>
  <c r="J6" i="14"/>
  <c r="PW4" i="16"/>
  <c r="PW6" i="16"/>
  <c r="PW4" i="14"/>
  <c r="DI8" i="13"/>
  <c r="I4" i="4"/>
  <c r="J4" i="4" s="1"/>
  <c r="G8" i="13"/>
  <c r="H8" i="13" s="1"/>
  <c r="I8" i="13"/>
  <c r="DH8" i="13" s="1"/>
  <c r="F8" i="13"/>
  <c r="ON8" i="13"/>
  <c r="I7" i="13"/>
  <c r="J7" i="13" s="1"/>
  <c r="I9" i="13"/>
  <c r="K9" i="13" s="1"/>
  <c r="DI7" i="13"/>
  <c r="G7" i="13"/>
  <c r="H7" i="13" s="1"/>
  <c r="A7" i="13" s="1" a="1"/>
  <c r="A7" i="13" s="1"/>
  <c r="F7" i="13"/>
  <c r="G9" i="13"/>
  <c r="H9" i="13" s="1"/>
  <c r="A9" i="13" s="1" a="1"/>
  <c r="A9" i="13" s="1"/>
  <c r="ON9" i="13"/>
  <c r="DI5" i="4"/>
  <c r="H6" i="16"/>
  <c r="N6" i="16"/>
  <c r="J6" i="16"/>
  <c r="L6" i="16"/>
  <c r="CU6" i="16"/>
  <c r="O6" i="16" s="1"/>
  <c r="ON7" i="13"/>
  <c r="DI9" i="13"/>
  <c r="ON6" i="13"/>
  <c r="I5" i="13"/>
  <c r="DH5" i="13" s="1"/>
  <c r="F5" i="13"/>
  <c r="I6" i="13"/>
  <c r="M6" i="13" s="1"/>
  <c r="F9" i="13"/>
  <c r="G6" i="13"/>
  <c r="H6" i="13" s="1"/>
  <c r="A6" i="13" s="1" a="1"/>
  <c r="A6" i="13" s="1"/>
  <c r="G5" i="13"/>
  <c r="H5" i="13" s="1"/>
  <c r="A5" i="13" s="1" a="1"/>
  <c r="A5" i="13" s="1"/>
  <c r="P5" i="13"/>
  <c r="ON5" i="13"/>
  <c r="F6" i="13"/>
  <c r="DI6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L4" i="14"/>
  <c r="CU4" i="14"/>
  <c r="CV4" i="16"/>
  <c r="H4" i="16"/>
  <c r="L4" i="16"/>
  <c r="CU4" i="16"/>
  <c r="O8" i="16" l="1"/>
  <c r="E8" i="16" s="1"/>
  <c r="P7" i="17"/>
  <c r="O4" i="17"/>
  <c r="P4" i="17" s="1"/>
  <c r="E7" i="17"/>
  <c r="O7" i="16"/>
  <c r="Q7" i="16" s="1"/>
  <c r="P8" i="16"/>
  <c r="P5" i="16"/>
  <c r="E5" i="16"/>
  <c r="E6" i="14"/>
  <c r="P6" i="14"/>
  <c r="K7" i="13"/>
  <c r="L7" i="13" s="1"/>
  <c r="K4" i="4"/>
  <c r="DF4" i="4" s="1"/>
  <c r="M7" i="13"/>
  <c r="DG7" i="13" s="1"/>
  <c r="DH7" i="13"/>
  <c r="DH4" i="4"/>
  <c r="M4" i="4"/>
  <c r="N4" i="4" s="1"/>
  <c r="OQ7" i="13"/>
  <c r="OQ9" i="13"/>
  <c r="J9" i="13"/>
  <c r="L9" i="13" s="1"/>
  <c r="OQ8" i="13"/>
  <c r="DH9" i="13"/>
  <c r="M9" i="13"/>
  <c r="M8" i="13"/>
  <c r="DG8" i="13" s="1"/>
  <c r="J8" i="13"/>
  <c r="K8" i="13"/>
  <c r="DF8" i="13" s="1"/>
  <c r="DH5" i="4"/>
  <c r="J5" i="4"/>
  <c r="L5" i="4" s="1"/>
  <c r="K6" i="13"/>
  <c r="DF6" i="13" s="1"/>
  <c r="M5" i="4"/>
  <c r="E6" i="16"/>
  <c r="P6" i="16"/>
  <c r="Q6" i="16"/>
  <c r="K5" i="13"/>
  <c r="DF5" i="13" s="1"/>
  <c r="M5" i="13"/>
  <c r="DG5" i="13" s="1"/>
  <c r="J5" i="13"/>
  <c r="DH6" i="13"/>
  <c r="J6" i="13"/>
  <c r="N6" i="13" s="1"/>
  <c r="DF9" i="13"/>
  <c r="DG6" i="13"/>
  <c r="O4" i="14"/>
  <c r="E4" i="14" s="1"/>
  <c r="DF5" i="4"/>
  <c r="O4" i="16"/>
  <c r="E4" i="16" s="1"/>
  <c r="Q8" i="16" l="1"/>
  <c r="Q4" i="17"/>
  <c r="E4" i="17"/>
  <c r="E7" i="16"/>
  <c r="P7" i="16"/>
  <c r="L4" i="4"/>
  <c r="N7" i="13"/>
  <c r="N9" i="13"/>
  <c r="DF7" i="13"/>
  <c r="Q7" i="13" s="1"/>
  <c r="S7" i="13" s="1"/>
  <c r="DG4" i="4"/>
  <c r="Q4" i="4" s="1"/>
  <c r="N8" i="13"/>
  <c r="DG9" i="13"/>
  <c r="Q9" i="13" s="1"/>
  <c r="L8" i="13"/>
  <c r="Q8" i="13"/>
  <c r="S8" i="13" s="1"/>
  <c r="L5" i="13"/>
  <c r="N5" i="4"/>
  <c r="DG5" i="4"/>
  <c r="Q5" i="4" s="1"/>
  <c r="R5" i="4" s="1"/>
  <c r="L6" i="13"/>
  <c r="Q4" i="14"/>
  <c r="P4" i="14"/>
  <c r="N5" i="13"/>
  <c r="Q5" i="13"/>
  <c r="S5" i="13" s="1"/>
  <c r="Q6" i="13"/>
  <c r="Q4" i="16"/>
  <c r="P4" i="16"/>
  <c r="E4" i="4" l="1"/>
  <c r="A7" i="16" a="1"/>
  <c r="A7" i="16" s="1"/>
  <c r="A5" i="16" a="1"/>
  <c r="A5" i="16" s="1"/>
  <c r="A8" i="16" a="1"/>
  <c r="A8" i="16" s="1"/>
  <c r="E9" i="13"/>
  <c r="E8" i="13"/>
  <c r="R8" i="13"/>
  <c r="E6" i="13"/>
  <c r="E7" i="13"/>
  <c r="R7" i="13"/>
  <c r="R9" i="13"/>
  <c r="S9" i="13"/>
  <c r="R5" i="13"/>
  <c r="E5" i="13"/>
  <c r="S6" i="13"/>
  <c r="R6" i="13"/>
  <c r="E5" i="4"/>
  <c r="S5" i="4"/>
  <c r="S4" i="4"/>
  <c r="R4" i="4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6" i="13" l="1"/>
  <c r="OP5" i="13"/>
  <c r="OM4" i="13"/>
  <c r="NJ4" i="13"/>
  <c r="NM4" i="13" s="1"/>
  <c r="O4" i="13"/>
  <c r="DI4" i="13" s="1"/>
  <c r="DB4" i="13"/>
  <c r="DE4" i="13" s="1"/>
  <c r="OK4" i="13"/>
  <c r="OI4" i="13"/>
  <c r="CT15" i="17"/>
  <c r="CT11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O6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CT16" i="16"/>
  <c r="CT12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CT5" i="17" l="1"/>
  <c r="JV5" i="14"/>
  <c r="CT6" i="17"/>
  <c r="EV5" i="14"/>
  <c r="MV5" i="14"/>
  <c r="OV5" i="14"/>
  <c r="GV5" i="14"/>
  <c r="OV5" i="17"/>
  <c r="OV6" i="17"/>
  <c r="OV4" i="15"/>
  <c r="CT4" i="15"/>
  <c r="HV5" i="14"/>
  <c r="LV5" i="14"/>
  <c r="DV5" i="14"/>
  <c r="IV5" i="14"/>
  <c r="FV5" i="14"/>
  <c r="NV5" i="14"/>
  <c r="CT5" i="14"/>
  <c r="KV5" i="14"/>
  <c r="A4" i="4" a="1"/>
  <c r="A4" i="4" s="1"/>
  <c r="P4" i="13"/>
  <c r="I4" i="13"/>
  <c r="ON4" i="13"/>
  <c r="F4" i="13"/>
  <c r="G4" i="13"/>
  <c r="H4" i="13" s="1"/>
  <c r="PU6" i="17"/>
  <c r="M5" i="17"/>
  <c r="CV5" i="17" s="1"/>
  <c r="PT6" i="17"/>
  <c r="G5" i="17"/>
  <c r="PT5" i="17"/>
  <c r="PR6" i="17"/>
  <c r="PR5" i="17"/>
  <c r="PS6" i="17"/>
  <c r="K6" i="17"/>
  <c r="CU6" i="17" s="1"/>
  <c r="PV5" i="17"/>
  <c r="I6" i="17"/>
  <c r="J6" i="17" s="1"/>
  <c r="PV6" i="17"/>
  <c r="PU5" i="17"/>
  <c r="PS5" i="17"/>
  <c r="I5" i="17"/>
  <c r="F6" i="17"/>
  <c r="K5" i="17"/>
  <c r="CU5" i="17" s="1"/>
  <c r="G6" i="17"/>
  <c r="M6" i="17"/>
  <c r="CV6" i="17" s="1"/>
  <c r="F5" i="17"/>
  <c r="PR4" i="15"/>
  <c r="F4" i="15"/>
  <c r="G4" i="15"/>
  <c r="PS4" i="15"/>
  <c r="PT4" i="15"/>
  <c r="PV4" i="15"/>
  <c r="M4" i="15"/>
  <c r="CV4" i="15" s="1"/>
  <c r="PU4" i="15"/>
  <c r="I4" i="15"/>
  <c r="K4" i="15"/>
  <c r="CU4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OQ5" i="13" l="1"/>
  <c r="OQ6" i="13"/>
  <c r="PW6" i="17"/>
  <c r="PW5" i="17"/>
  <c r="PW4" i="15"/>
  <c r="PW5" i="14"/>
  <c r="K4" i="13"/>
  <c r="DF4" i="13" s="1"/>
  <c r="DH4" i="13"/>
  <c r="J4" i="13"/>
  <c r="M4" i="13"/>
  <c r="DG4" i="13" s="1"/>
  <c r="N5" i="14"/>
  <c r="L5" i="14"/>
  <c r="H5" i="14"/>
  <c r="N5" i="17"/>
  <c r="H4" i="15"/>
  <c r="H6" i="17"/>
  <c r="H5" i="17"/>
  <c r="L6" i="17"/>
  <c r="J5" i="17"/>
  <c r="N6" i="17"/>
  <c r="O6" i="17"/>
  <c r="L5" i="17"/>
  <c r="N4" i="15"/>
  <c r="J4" i="15"/>
  <c r="O4" i="15"/>
  <c r="L4" i="15"/>
  <c r="J5" i="14"/>
  <c r="L4" i="13" l="1"/>
  <c r="N4" i="13"/>
  <c r="Q4" i="13"/>
  <c r="O5" i="17"/>
  <c r="E5" i="17" s="1"/>
  <c r="O5" i="14"/>
  <c r="E5" i="14" s="1"/>
  <c r="A5" i="14" s="1" a="1"/>
  <c r="A5" i="14" s="1"/>
  <c r="Q6" i="17"/>
  <c r="P6" i="17"/>
  <c r="E6" i="17"/>
  <c r="E4" i="15"/>
  <c r="A4" i="15" s="1" a="1"/>
  <c r="A4" i="15" s="1"/>
  <c r="P4" i="15"/>
  <c r="Q4" i="15"/>
  <c r="A4" i="17" l="1" a="1"/>
  <c r="A4" i="17" s="1"/>
  <c r="A7" i="17" a="1"/>
  <c r="A7" i="17" s="1"/>
  <c r="A6" i="14" a="1"/>
  <c r="A6" i="14" s="1"/>
  <c r="A6" i="17" a="1"/>
  <c r="A6" i="17" s="1"/>
  <c r="A5" i="17" a="1"/>
  <c r="A5" i="17" s="1"/>
  <c r="A6" i="16" a="1"/>
  <c r="A6" i="16" s="1"/>
  <c r="A4" i="16" a="1"/>
  <c r="A4" i="16" s="1"/>
  <c r="A4" i="14" a="1"/>
  <c r="A4" i="14" s="1"/>
  <c r="E4" i="13"/>
  <c r="R4" i="13"/>
  <c r="S4" i="13"/>
  <c r="Q5" i="17"/>
  <c r="P5" i="17"/>
  <c r="Q5" i="14"/>
  <c r="P5" i="14"/>
  <c r="A8" i="13" l="1" a="1"/>
  <c r="A8" i="13" s="1"/>
  <c r="A4" i="13" a="1"/>
  <c r="A4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<sst xmlns="http://schemas.openxmlformats.org/spreadsheetml/2006/main" count="3177" uniqueCount="102">
  <si>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</si>
  <si>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</si>
  <si>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</si>
  <si>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</si>
  <si>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</si>
  <si>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</si>
  <si>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</si>
  <si>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</si>
  <si>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</si>
  <si>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</si>
  <si>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</si>
  <si>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</si>
  <si>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</si>
  <si>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</si>
  <si>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</si>
  <si>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</si>
  <si>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</si>
  <si>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</si>
  <si>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</si>
  <si>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</si>
  <si>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</si>
  <si>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</si>
  <si>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</si>
  <si>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</si>
  <si>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</si>
  <si>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</si>
  <si>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</si>
  <si>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</si>
  <si>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</si>
  <si>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</si>
  <si>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</si>
  <si>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</si>
  <si>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</si>
  <si>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</si>
  <si>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</si>
  <si>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</si>
  <si>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</si>
  <si>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</si>
  <si>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</si>
  <si>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</si>
  <si>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</si>
  <si>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</si>
  <si>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</si>
  <si>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</si>
  <si>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</si>
  <si>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</si>
  <si>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</si>
  <si>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</si>
  <si>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</si>
  <si>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</si>
  <si>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</si>
  <si>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</si>
  <si>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</si>
  <si>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</si>
  <si>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</si>
  <si>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</si>
  <si>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</si>
  <si>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</si>
  <si>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</si>
  <si>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</si>
  <si>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</si>
  <si>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</si>
  <si>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</si>
  <si>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</si>
  <si>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</si>
  <si>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</si>
  <si>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</si>
  <si>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</si>
  <si>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</si>
  <si>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</si>
  <si>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</si>
  <si>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</si>
  <si>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</si>
  <si>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</si>
  <si>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</si>
  <si>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</si>
  <si>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</si>
  <si>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</si>
  <si>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</si>
  <si>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</si>
  <si>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</si>
  <si>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</si>
  <si>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</si>
  <si>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GIBBS, Gavin</t>
  </si>
  <si>
    <t>2023 Pan Am Championships (May 14)</t>
  </si>
  <si>
    <t>2023 Pan Am Club Championships (May 14)</t>
  </si>
  <si>
    <t>2023 Nationals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</si>
  <si>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</si>
  <si>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</si>
  <si>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</si>
  <si>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</si>
  <si>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</si>
  <si>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</si>
  <si>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</si>
  <si>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2023 3rd Domestic Trial</t>
  </si>
  <si>
    <t>2023 WAGC (Nov 16)</t>
  </si>
  <si>
    <t>2023 WAGC (Nov 18)</t>
  </si>
  <si>
    <t>2023 Junior Worlds (Nov 19)</t>
  </si>
  <si>
    <t>2024 Elite Canada</t>
  </si>
  <si>
    <t>NEWMAN, Olivia</t>
  </si>
  <si>
    <t>BING-L'HEUREUX, Noah</t>
  </si>
  <si>
    <t>KOCAK, Jonas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</si>
</sst>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BEAULIEU, Alex</v>
      </c>
      <c r="D2" s="16" t="str">
        <f>IF(B2&gt;MAX('TRA-M'!A:A),"",INDEX('TRA-M'!H:H,MATCH(B2,'TRA-M'!A:A,0)))</f>
        <v>No DD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LEE-MCMEEKEN, Brooklyn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Excellence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BLOOM, Tristan</v>
      </c>
      <c r="D12" s="16" t="str">
        <f>IF(B4&gt;MAX('TUM-M'!A:A),"",INDEX('TUM-M'!H:H,MATCH(B4,'TUM-M'!A:A,0)))</f>
        <v>Excellence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NEWMAN, Olivia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GIBBS, Gavin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REIMCHE, Wilson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KOCAK, Jonas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GOOD, Hayden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LEE-McMEEKEN, Brooklyn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SCHMIDT, Makena</v>
      </c>
      <c r="D25" s="17" t="str">
        <f>IF(B5&gt;MAX('DMT-W'!A:A),"",INDEX('DMT-W'!H:H,MATCH(B5,'DMT-W'!A:A,0)))</f>
        <v>Excellence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45391</v>
      </c>
      <c r="C34" s="68"/>
    </row>
    <row r="35" spans="1:3" x14ac:dyDescent="0.2">
      <c r="B35" t="s">
        <v>98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86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98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85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84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95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87</v>
      </c>
      <c r="C4" s="4" t="s">
        <v>3</v>
      </c>
      <c r="D4" s="4">
        <v>2008</v>
      </c>
      <c r="E4" s="10">
        <f>SUM(I4:Q4)</f>
        <v>243.23000000000002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>P</v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>No DD</v>
      </c>
      <c r="I4" s="9">
        <f>IF(MAX(AT4,BX4,DB4)&gt;0,MAX(AT4,BX4,DB4),0)</f>
        <v>96.04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43.57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51.54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52.08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18.5</v>
      </c>
      <c r="U4" s="27">
        <v>9.6999999999999993</v>
      </c>
      <c r="V4" s="27">
        <v>0</v>
      </c>
      <c r="W4" s="27">
        <v>15.37</v>
      </c>
      <c r="X4" s="27">
        <v>0</v>
      </c>
      <c r="Y4" s="27">
        <v>16</v>
      </c>
      <c r="Z4" s="27">
        <v>9.1999999999999993</v>
      </c>
      <c r="AA4" s="27">
        <v>12.1</v>
      </c>
      <c r="AB4" s="27">
        <v>14.24</v>
      </c>
      <c r="AC4" s="27">
        <v>0</v>
      </c>
      <c r="AD4" s="27"/>
      <c r="AE4" s="27"/>
      <c r="AF4" s="27"/>
      <c r="AG4" s="27"/>
      <c r="AH4" s="27"/>
      <c r="AI4" s="27">
        <v>13.6</v>
      </c>
      <c r="AJ4" s="27">
        <v>7.5</v>
      </c>
      <c r="AK4" s="27">
        <v>9.6</v>
      </c>
      <c r="AL4" s="27">
        <v>11.46</v>
      </c>
      <c r="AM4" s="27">
        <v>0</v>
      </c>
      <c r="AN4" s="32"/>
      <c r="AO4" s="7">
        <f>IF(SUM(T4:W4)-X4&gt;0,SUM(T4:W4)-X4,"")</f>
        <v>43.57</v>
      </c>
      <c r="AP4" s="7">
        <f>IF(AA4&gt;0,AA4,"")</f>
        <v>12.1</v>
      </c>
      <c r="AQ4" s="7">
        <f>IF(SUM(Y4:AB4)-AC4&gt;0,SUM(Y4:AB4)-AC4,"")</f>
        <v>51.54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95.11</v>
      </c>
      <c r="AU4" s="7">
        <f>IF(AK4&gt;0,AK4,"")</f>
        <v>9.6</v>
      </c>
      <c r="AV4" s="7">
        <f>IF(SUM(AI4:AL4)-AM4&gt;0,SUM(AI4:AL4)-AM4,"")</f>
        <v>42.160000000000004</v>
      </c>
      <c r="AW4" s="7">
        <f>IF(SUM(AT4,AV4)&gt;0,SUM(AT4,AV4),"")</f>
        <v>137.27000000000001</v>
      </c>
      <c r="AX4" s="23">
        <v>18.399999999999999</v>
      </c>
      <c r="AY4" s="23">
        <v>9.6</v>
      </c>
      <c r="AZ4" s="23">
        <v>0</v>
      </c>
      <c r="BA4" s="23">
        <v>16.12</v>
      </c>
      <c r="BB4" s="23">
        <v>0</v>
      </c>
      <c r="BC4" s="23">
        <v>14.9</v>
      </c>
      <c r="BD4" s="23">
        <v>9.5</v>
      </c>
      <c r="BE4" s="23">
        <v>12.3</v>
      </c>
      <c r="BF4" s="23">
        <v>15.22</v>
      </c>
      <c r="BG4" s="23">
        <v>0</v>
      </c>
      <c r="BH4" s="23"/>
      <c r="BI4" s="23"/>
      <c r="BJ4" s="23"/>
      <c r="BK4" s="23"/>
      <c r="BL4" s="23"/>
      <c r="BM4" s="23">
        <v>15.6</v>
      </c>
      <c r="BN4" s="23">
        <v>9.4</v>
      </c>
      <c r="BO4" s="23">
        <v>11.9</v>
      </c>
      <c r="BP4" s="23">
        <v>15.18</v>
      </c>
      <c r="BQ4" s="23">
        <v>0</v>
      </c>
      <c r="BR4" s="33"/>
      <c r="BS4" s="9">
        <f>IF(SUM(AX4:BA4)-BB4&gt;0,SUM(AX4:BA4)-BB4,"")</f>
        <v>44.120000000000005</v>
      </c>
      <c r="BT4" s="9">
        <f>IF(BE4&gt;0,BE4,"")</f>
        <v>12.3</v>
      </c>
      <c r="BU4" s="9">
        <f>IF(SUM(BC4:BF4)-BG4&gt;0,SUM(BC4:BF4)-BG4,"")</f>
        <v>51.92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96.04</v>
      </c>
      <c r="BY4" s="9">
        <f>IF(BO4&gt;0,BO4,"")</f>
        <v>11.9</v>
      </c>
      <c r="BZ4" s="9">
        <f>IF(SUM(BM4:BP4)-BQ4&gt;0,SUM(BM4:BP4)-BQ4,"")</f>
        <v>52.08</v>
      </c>
      <c r="CA4" s="9">
        <f>IF(SUM(BX4,BZ4)&gt;0,SUM(BX4,BZ4),"")</f>
        <v>148.12</v>
      </c>
      <c r="CB4" s="27">
        <v>1.9</v>
      </c>
      <c r="CC4" s="27">
        <v>1</v>
      </c>
      <c r="CD4" s="27">
        <v>0</v>
      </c>
      <c r="CE4" s="27">
        <v>1.78</v>
      </c>
      <c r="CF4" s="27">
        <v>0</v>
      </c>
      <c r="CG4" s="27">
        <v>13.6</v>
      </c>
      <c r="CH4" s="27">
        <v>9.4</v>
      </c>
      <c r="CI4" s="27">
        <v>13.3</v>
      </c>
      <c r="CJ4" s="27">
        <v>14.55</v>
      </c>
      <c r="CK4" s="27">
        <v>0</v>
      </c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32"/>
      <c r="CW4" s="7">
        <f>IF(SUM(CB4:CE4)-CF4&gt;0,SUM(CB4:CE4)-CF4,"")</f>
        <v>4.68</v>
      </c>
      <c r="CX4" s="7">
        <f>IF(CI4&gt;0,CI4,"")</f>
        <v>13.3</v>
      </c>
      <c r="CY4" s="7">
        <f>IF(SUM(CG4:CJ4)-CK4&gt;0,SUM(CG4:CJ4)-CK4,"")</f>
        <v>50.849999999999994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55.529999999999994</v>
      </c>
      <c r="DC4" s="7" t="str">
        <f>IF(CS4&gt;0,CS4,"")</f>
        <v/>
      </c>
      <c r="DD4" s="7" t="str">
        <f>IF(SUM(CQ4:CT4)-CU4&gt;0,SUM(CQ4:CT4)-CU4,"")</f>
        <v/>
      </c>
      <c r="DE4" s="7">
        <f>IF(SUM(DB4,DD4)&gt;0,SUM(DB4,DD4),"")</f>
        <v>55.529999999999994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>
        <v>17.600000000000001</v>
      </c>
      <c r="FC4" s="18">
        <v>9.8000000000000007</v>
      </c>
      <c r="FD4" s="18">
        <v>0</v>
      </c>
      <c r="FE4" s="18">
        <v>15.87</v>
      </c>
      <c r="FF4" s="18">
        <v>0</v>
      </c>
      <c r="FG4" s="18">
        <v>13.9</v>
      </c>
      <c r="FH4" s="18">
        <v>9.5</v>
      </c>
      <c r="FI4" s="18">
        <v>13.1</v>
      </c>
      <c r="FJ4" s="18">
        <v>14.66</v>
      </c>
      <c r="FK4" s="18">
        <v>0</v>
      </c>
      <c r="FL4" s="18"/>
      <c r="FM4" s="18"/>
      <c r="FN4" s="18"/>
      <c r="FO4" s="18"/>
      <c r="FP4" s="18"/>
      <c r="FQ4" s="7">
        <f>IF(FI4&gt;0,FI4,"")</f>
        <v>13.1</v>
      </c>
      <c r="FR4" s="7">
        <f>IF(SUM(FB4:FE4)-FF4&gt;0,SUM(FB4:FE4)-FF4,"")</f>
        <v>43.27</v>
      </c>
      <c r="FS4" s="7">
        <f>IF(SUM(FG4:FJ4)-FK4&gt;0,SUM(FG4:FJ4)-FK4,"")</f>
        <v>51.16</v>
      </c>
      <c r="FT4" s="7">
        <f>IF(SUM(FR4:FS4)&gt;0,SUM(FR4:FS4),"")</f>
        <v>94.43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94.43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10.149999999999999</v>
      </c>
      <c r="NO4" s="27">
        <f>IF($CV4="P",CC4,(CC4+AY4)/2)</f>
        <v>5.3</v>
      </c>
      <c r="NP4" s="27">
        <f>IF($CV4="P",CD4,(CD4+AZ4)/2)</f>
        <v>0</v>
      </c>
      <c r="NQ4" s="27">
        <f>IF($CV4="P",CE4,(CE4+BA4)/2)</f>
        <v>8.9500000000000011</v>
      </c>
      <c r="NR4" s="27">
        <f>IF($CV4="P",CF4,(CF4+BB4)/2)</f>
        <v>0</v>
      </c>
      <c r="NS4" s="27">
        <f>IF($CV4="P",CG4,(CG4+BC4)/2)</f>
        <v>14.25</v>
      </c>
      <c r="NT4" s="27">
        <f>IF($CV4="P",CH4,(CH4+BD4)/2)</f>
        <v>9.4499999999999993</v>
      </c>
      <c r="NU4" s="27">
        <f>IF($CV4="P",CI4,(CI4+BE4)/2)</f>
        <v>12.8</v>
      </c>
      <c r="NV4" s="27">
        <f>IF($CV4="P",CJ4,(CJ4+BF4)/2)</f>
        <v>14.885000000000002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7.8</v>
      </c>
      <c r="OD4" s="27">
        <f>IF($CV4="P",CR4,(CR4+BN4)/2)</f>
        <v>4.7</v>
      </c>
      <c r="OE4" s="27">
        <f>IF($CV4="P",CS4,(CS4+BO4)/2)</f>
        <v>5.95</v>
      </c>
      <c r="OF4" s="27">
        <f>IF($CV4="P",CT4,(CT4+BP4)/2)</f>
        <v>7.59</v>
      </c>
      <c r="OG4" s="27">
        <f>IF($CV4="P",CU4,(CU4+BQ4)/2)</f>
        <v>0</v>
      </c>
      <c r="OH4" s="32" t="s">
        <v>44</v>
      </c>
      <c r="OI4" s="7">
        <f>IF(SUM(NN4:NQ4)-NR4&gt;0,SUM(NN4:NQ4)-NR4,"")</f>
        <v>24.4</v>
      </c>
      <c r="OJ4" s="7">
        <f>IF(NU4&gt;0,NU4,"")</f>
        <v>12.8</v>
      </c>
      <c r="OK4" s="7">
        <f>IF(SUM(NS4:NV4)-NW4&gt;0,SUM(NS4:NV4)-NW4,"")</f>
        <v>51.385000000000005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75.784999999999997</v>
      </c>
      <c r="OO4" s="7">
        <f>IF(OE4&gt;0,OE4,"")</f>
        <v>5.95</v>
      </c>
      <c r="OP4" s="7">
        <f t="shared" ref="OP4" si="0">IF(SUM(OC4:OF4)-OG4&gt;0,SUM(OC4:OF4)-OG4,"")</f>
        <v>26.04</v>
      </c>
      <c r="OQ4" s="7">
        <f t="shared" ref="OQ4" si="1">IF(SUM(ON4,OP4)&gt;0,SUM(ON4,OP4),"")</f>
        <v>101.82499999999999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231.38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89.34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41.28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45.449999999999996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50.6</v>
      </c>
      <c r="P5" s="9" t="str">
        <f>IF(O5=0,"",IF(O5=DD5,$CB$1,IF(O5=BZ5,$AX$1,IF(O5=AV5,$T$1,""))))</f>
        <v>2024 Elite Canada</v>
      </c>
      <c r="Q5" s="9">
        <f>IF(MAX(DF5,DG5,DH5,DI5)&gt;0,MAX(DF5,DG5,DH5,DI5),"")</f>
        <v>4.7100000000000009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2023 WAGC (Nov 16)</v>
      </c>
      <c r="T5" s="27">
        <v>15.5</v>
      </c>
      <c r="U5" s="27">
        <v>9.3000000000000007</v>
      </c>
      <c r="V5" s="27">
        <v>0</v>
      </c>
      <c r="W5" s="27">
        <v>14.32</v>
      </c>
      <c r="X5" s="27">
        <v>0</v>
      </c>
      <c r="Y5" s="27">
        <v>11.2</v>
      </c>
      <c r="Z5" s="27">
        <v>8.6</v>
      </c>
      <c r="AA5" s="27">
        <v>11.8</v>
      </c>
      <c r="AB5" s="27">
        <v>13.85</v>
      </c>
      <c r="AC5" s="27">
        <v>0</v>
      </c>
      <c r="AD5" s="27"/>
      <c r="AE5" s="27"/>
      <c r="AF5" s="27"/>
      <c r="AG5" s="27"/>
      <c r="AH5" s="27"/>
      <c r="AI5" s="27">
        <v>13.8</v>
      </c>
      <c r="AJ5" s="27">
        <v>8.9</v>
      </c>
      <c r="AK5" s="27">
        <v>13.3</v>
      </c>
      <c r="AL5" s="27">
        <v>14.25</v>
      </c>
      <c r="AM5" s="27">
        <v>0</v>
      </c>
      <c r="AN5" s="32"/>
      <c r="AO5" s="7">
        <f>IF(SUM(T5:W5)-X5&gt;0,SUM(T5:W5)-X5,"")</f>
        <v>39.120000000000005</v>
      </c>
      <c r="AP5" s="7">
        <f>IF(AA5&gt;0,AA5,"")</f>
        <v>11.8</v>
      </c>
      <c r="AQ5" s="7">
        <f>IF(SUM(Y5:AB5)-AC5&gt;0,SUM(Y5:AB5)-AC5,"")</f>
        <v>45.449999999999996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84.57</v>
      </c>
      <c r="AU5" s="7">
        <f>IF(AK5&gt;0,AK5,"")</f>
        <v>13.3</v>
      </c>
      <c r="AV5" s="7">
        <f>IF(SUM(AI5:AL5)-AM5&gt;0,SUM(AI5:AL5)-AM5,"")</f>
        <v>50.25</v>
      </c>
      <c r="AW5" s="7">
        <f>IF(SUM(AT5,AV5)&gt;0,SUM(AT5,AV5),"")</f>
        <v>134.82</v>
      </c>
      <c r="AX5" s="23">
        <v>16.8</v>
      </c>
      <c r="AY5" s="23">
        <v>9.5</v>
      </c>
      <c r="AZ5" s="23">
        <v>0</v>
      </c>
      <c r="BA5" s="23">
        <v>14.98</v>
      </c>
      <c r="BB5" s="23">
        <v>0</v>
      </c>
      <c r="BC5" s="23">
        <v>2.7</v>
      </c>
      <c r="BD5" s="23">
        <v>1.7</v>
      </c>
      <c r="BE5" s="23">
        <v>3.2</v>
      </c>
      <c r="BF5" s="23">
        <v>3.26</v>
      </c>
      <c r="BG5" s="23">
        <v>0</v>
      </c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33"/>
      <c r="BS5" s="9">
        <f>IF(SUM(AX5:BA5)-BB5&gt;0,SUM(AX5:BA5)-BB5,"")</f>
        <v>41.28</v>
      </c>
      <c r="BT5" s="9">
        <f>IF(BE5&gt;0,BE5,"")</f>
        <v>3.2</v>
      </c>
      <c r="BU5" s="9">
        <f>IF(SUM(BC5:BF5)-BG5&gt;0,SUM(BC5:BF5)-BG5,"")</f>
        <v>10.86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52.14</v>
      </c>
      <c r="BY5" s="9" t="str">
        <f>IF(BO5&gt;0,BO5,"")</f>
        <v/>
      </c>
      <c r="BZ5" s="9" t="str">
        <f>IF(SUM(BM5:BP5)-BQ5&gt;0,SUM(BM5:BP5)-BQ5,"")</f>
        <v/>
      </c>
      <c r="CA5" s="9">
        <f>IF(SUM(BX5,BZ5)&gt;0,SUM(BX5,BZ5),"")</f>
        <v>52.14</v>
      </c>
      <c r="CB5" s="27">
        <v>15.8</v>
      </c>
      <c r="CC5" s="27">
        <v>8.9</v>
      </c>
      <c r="CD5" s="27">
        <v>0</v>
      </c>
      <c r="CE5" s="27">
        <v>14.68</v>
      </c>
      <c r="CF5" s="27">
        <v>0</v>
      </c>
      <c r="CG5" s="27">
        <v>13.1</v>
      </c>
      <c r="CH5" s="27">
        <v>9</v>
      </c>
      <c r="CI5" s="27">
        <v>13.6</v>
      </c>
      <c r="CJ5" s="27">
        <v>14.26</v>
      </c>
      <c r="CK5" s="27">
        <v>0</v>
      </c>
      <c r="CL5" s="27"/>
      <c r="CM5" s="27"/>
      <c r="CN5" s="27"/>
      <c r="CO5" s="27"/>
      <c r="CP5" s="27"/>
      <c r="CQ5" s="27">
        <v>13.3</v>
      </c>
      <c r="CR5" s="27">
        <v>9.3000000000000007</v>
      </c>
      <c r="CS5" s="27">
        <v>13.6</v>
      </c>
      <c r="CT5" s="27">
        <v>14.4</v>
      </c>
      <c r="CU5" s="27">
        <v>0</v>
      </c>
      <c r="CV5" s="32"/>
      <c r="CW5" s="7">
        <f>IF(SUM(CB5:CE5)-CF5&gt;0,SUM(CB5:CE5)-CF5,"")</f>
        <v>39.380000000000003</v>
      </c>
      <c r="CX5" s="7">
        <f>IF(CI5&gt;0,CI5,"")</f>
        <v>13.6</v>
      </c>
      <c r="CY5" s="7">
        <f>IF(SUM(CG5:CJ5)-CK5&gt;0,SUM(CG5:CJ5)-CK5,"")</f>
        <v>49.96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89.34</v>
      </c>
      <c r="DC5" s="7">
        <f>IF(CS5&gt;0,CS5,"")</f>
        <v>13.6</v>
      </c>
      <c r="DD5" s="7">
        <f>IF(SUM(CQ5:CT5)-CU5&gt;0,SUM(CQ5:CT5)-CU5,"")</f>
        <v>50.6</v>
      </c>
      <c r="DE5" s="7">
        <f>IF(SUM(DB5,DD5)&gt;0,SUM(DB5,DD5),"")</f>
        <v>139.94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4.7100000000000009</v>
      </c>
      <c r="DH5" s="13">
        <f>IF(MAX(EB5,EX5,FT5,GP5,HL5,IH5,JD5,JZ5,KV5,LR5,MN5,NJ5)-IF(I5="",0,I5)&gt;0.001,MAX(EB5,EX5,FT5,GP5,HL5,IH5,JD5,JZ5,KV5,LR5,MN5,NJ5)-IF(I5="",0,I5),"")</f>
        <v>0.62999999999999545</v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15.8</v>
      </c>
      <c r="FC5" s="18">
        <v>9.1999999999999993</v>
      </c>
      <c r="FD5" s="18">
        <v>0</v>
      </c>
      <c r="FE5" s="18">
        <v>14.81</v>
      </c>
      <c r="FF5" s="18">
        <v>0</v>
      </c>
      <c r="FG5" s="18">
        <v>13.2</v>
      </c>
      <c r="FH5" s="18">
        <v>9</v>
      </c>
      <c r="FI5" s="18">
        <v>13.3</v>
      </c>
      <c r="FJ5" s="18">
        <v>14.66</v>
      </c>
      <c r="FK5" s="18">
        <v>0</v>
      </c>
      <c r="FL5" s="18"/>
      <c r="FM5" s="18"/>
      <c r="FN5" s="18"/>
      <c r="FO5" s="18"/>
      <c r="FP5" s="18"/>
      <c r="FQ5" s="7">
        <f>IF(FI5&gt;0,FI5,"")</f>
        <v>13.3</v>
      </c>
      <c r="FR5" s="7">
        <f>IF(SUM(FB5:FE5)-FF5&gt;0,SUM(FB5:FE5)-FF5,"")</f>
        <v>39.81</v>
      </c>
      <c r="FS5" s="7">
        <f>IF(SUM(FG5:FJ5)-FK5&gt;0,SUM(FG5:FJ5)-FK5,"")</f>
        <v>50.16</v>
      </c>
      <c r="FT5" s="7">
        <f>IF(SUM(FR5:FS5)&gt;0,SUM(FR5:FS5),"")</f>
        <v>89.97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89.97</v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16.3</v>
      </c>
      <c r="NO5" s="27">
        <f>IF($CV5="P",CC5,(CC5+AY5)/2)</f>
        <v>9.1999999999999993</v>
      </c>
      <c r="NP5" s="27">
        <f>IF($CV5="P",CD5,(CD5+AZ5)/2)</f>
        <v>0</v>
      </c>
      <c r="NQ5" s="27">
        <f>IF($CV5="P",CE5,(CE5+BA5)/2)</f>
        <v>14.83</v>
      </c>
      <c r="NR5" s="27">
        <f>IF($CV5="P",CF5,(CF5+BB5)/2)</f>
        <v>0</v>
      </c>
      <c r="NS5" s="27">
        <f>IF($CV5="P",CG5,(CG5+BC5)/2)</f>
        <v>7.9</v>
      </c>
      <c r="NT5" s="27">
        <f>IF($CV5="P",CH5,(CH5+BD5)/2)</f>
        <v>5.35</v>
      </c>
      <c r="NU5" s="27">
        <f>IF($CV5="P",CI5,(CI5+BE5)/2)</f>
        <v>8.4</v>
      </c>
      <c r="NV5" s="27">
        <f>IF($CV5="P",CJ5,(CJ5+BF5)/2)</f>
        <v>8.76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6.65</v>
      </c>
      <c r="OD5" s="27">
        <f>IF($CV5="P",CR5,(CR5+BN5)/2)</f>
        <v>4.6500000000000004</v>
      </c>
      <c r="OE5" s="27">
        <f>IF($CV5="P",CS5,(CS5+BO5)/2)</f>
        <v>6.8</v>
      </c>
      <c r="OF5" s="27">
        <f>IF($CV5="P",CT5,(CT5+BP5)/2)</f>
        <v>7.2</v>
      </c>
      <c r="OG5" s="27">
        <f>IF($CV5="P",CU5,(CU5+BQ5)/2)</f>
        <v>0</v>
      </c>
      <c r="OH5" s="32" t="s">
        <v>44</v>
      </c>
      <c r="OI5" s="7">
        <f>IF(SUM(NN5:NQ5)-NR5&gt;0,SUM(NN5:NQ5)-NR5,"")</f>
        <v>40.33</v>
      </c>
      <c r="OJ5" s="7">
        <f>IF(NU5&gt;0,NU5,"")</f>
        <v>8.4</v>
      </c>
      <c r="OK5" s="7">
        <f>IF(SUM(NS5:NV5)-NW5&gt;0,SUM(NS5:NV5)-NW5,"")</f>
        <v>30.409999999999997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70.739999999999995</v>
      </c>
      <c r="OO5" s="7">
        <f>IF(OE5&gt;0,OE5,"")</f>
        <v>6.8</v>
      </c>
      <c r="OP5" s="7">
        <f t="shared" ref="OP5" si="2">IF(SUM(OC5:OF5)-OG5&gt;0,SUM(OC5:OF5)-OG5,"")</f>
        <v>25.3</v>
      </c>
      <c r="OQ5" s="7">
        <f t="shared" ref="OQ5" si="3">IF(SUM(ON5,OP5)&gt;0,SUM(ON5,OP5),"")</f>
        <v>96.039999999999992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5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86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98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85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84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95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79</v>
      </c>
      <c r="C4" s="4" t="s">
        <v>68</v>
      </c>
      <c r="D4" s="4">
        <v>2009</v>
      </c>
      <c r="E4" s="10">
        <f>SUM(I4:Q4)</f>
        <v>229.70999999999998</v>
      </c>
      <c r="F4" s="3" t="str">
        <f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47" t="str">
        <f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National Team</v>
      </c>
      <c r="I4" s="9">
        <f>IF(MAX(AT4,BX4,DB4)&gt;0,MAX(AT4,BX4,DB4),0)</f>
        <v>90.53</v>
      </c>
      <c r="J4" s="9" t="str">
        <f>IF(I4=0,"",IF(I4=DB4,$CB$1,IF(I4=BX4,$AX$1,IF(I4=AT4,$T$1,""))))</f>
        <v>2024 Elite Canada</v>
      </c>
      <c r="K4" s="9">
        <f>IF($I4=$AT4,MAX(BS4,CW4),IF($I4=$BX4,MAX(AO4,CW4),IF($I4=$DB4,MAX(AO4,BS4),MAX(AO4,BS4,CW4))))</f>
        <v>40.54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39.64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50.68</v>
      </c>
      <c r="P4" s="9" t="str">
        <f>IF(O4=0,"",IF(O4=DD4,$CB$1,IF(O4=BZ4,$AX$1,IF(O4=AV4,$T$1,""))))</f>
        <v>2024 Elite Canada</v>
      </c>
      <c r="Q4" s="9">
        <f>IF(MAX(DF4,DG4,DH4,DI4)&gt;0,MAX(DF4,DG4,DH4,DI4),"")</f>
        <v>8.32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Championships (May 14)</v>
      </c>
      <c r="T4" s="27">
        <v>17.3</v>
      </c>
      <c r="U4" s="27">
        <v>9.3000000000000007</v>
      </c>
      <c r="V4" s="27">
        <v>0</v>
      </c>
      <c r="W4" s="27">
        <v>13.94</v>
      </c>
      <c r="X4" s="27">
        <v>0</v>
      </c>
      <c r="Y4" s="27">
        <v>11.3</v>
      </c>
      <c r="Z4" s="27">
        <v>7.3</v>
      </c>
      <c r="AA4" s="27">
        <v>9.6</v>
      </c>
      <c r="AB4" s="27">
        <v>11.44</v>
      </c>
      <c r="AC4" s="27">
        <v>0</v>
      </c>
      <c r="AD4" s="27"/>
      <c r="AE4" s="27"/>
      <c r="AF4" s="27"/>
      <c r="AG4" s="27"/>
      <c r="AH4" s="27"/>
      <c r="AI4" s="27">
        <v>14.9</v>
      </c>
      <c r="AJ4" s="27">
        <v>9</v>
      </c>
      <c r="AK4" s="27">
        <v>10.9</v>
      </c>
      <c r="AL4" s="27">
        <v>13.97</v>
      </c>
      <c r="AM4" s="27">
        <v>2</v>
      </c>
      <c r="AN4" s="32"/>
      <c r="AO4" s="7">
        <f>IF(SUM(T4:W4)-X4&gt;0,SUM(T4:W4)-X4,"")</f>
        <v>40.54</v>
      </c>
      <c r="AP4" s="7">
        <f>IF(AA4&gt;0,AA4,"")</f>
        <v>9.6</v>
      </c>
      <c r="AQ4" s="7">
        <f>IF(SUM(Y4:AB4)-AC4&gt;0,SUM(Y4:AB4)-AC4,"")</f>
        <v>39.64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80.180000000000007</v>
      </c>
      <c r="AU4" s="7">
        <f>IF(AK4&gt;0,AK4,"")</f>
        <v>10.9</v>
      </c>
      <c r="AV4" s="7">
        <f>IF(SUM(AI4:AL4)-AM4&gt;0,SUM(AI4:AL4)-AM4,"")</f>
        <v>46.769999999999996</v>
      </c>
      <c r="AW4" s="7">
        <f>IF(SUM(AT4,AV4)&gt;0,SUM(AT4,AV4),"")</f>
        <v>126.95</v>
      </c>
      <c r="AX4" s="31">
        <v>16.5</v>
      </c>
      <c r="AY4" s="31">
        <v>9.5</v>
      </c>
      <c r="AZ4" s="31">
        <v>0</v>
      </c>
      <c r="BA4" s="31">
        <v>14.28</v>
      </c>
      <c r="BB4" s="31">
        <v>0</v>
      </c>
      <c r="BC4" s="31">
        <v>10.7</v>
      </c>
      <c r="BD4" s="31">
        <v>6.9</v>
      </c>
      <c r="BE4" s="31">
        <v>9.3999999999999986</v>
      </c>
      <c r="BF4" s="31">
        <v>11.12</v>
      </c>
      <c r="BG4" s="31">
        <v>0</v>
      </c>
      <c r="BH4" s="31"/>
      <c r="BI4" s="31"/>
      <c r="BJ4" s="31"/>
      <c r="BK4" s="31"/>
      <c r="BL4" s="31"/>
      <c r="BM4" s="31">
        <v>14.1</v>
      </c>
      <c r="BN4" s="31">
        <v>8.6999999999999993</v>
      </c>
      <c r="BO4" s="31">
        <v>12.299999999999999</v>
      </c>
      <c r="BP4" s="31">
        <v>14.13</v>
      </c>
      <c r="BQ4" s="31">
        <v>0</v>
      </c>
      <c r="BR4" s="33"/>
      <c r="BS4" s="9">
        <f>IF(SUM(AX4:BA4)-BB4&gt;0,SUM(AX4:BA4)-BB4,"")</f>
        <v>40.28</v>
      </c>
      <c r="BT4" s="9">
        <f>IF(BE4&gt;0,BE4,"")</f>
        <v>9.3999999999999986</v>
      </c>
      <c r="BU4" s="9">
        <f>IF(SUM(BC4:BF4)-BG4&gt;0,SUM(BC4:BF4)-BG4,"")</f>
        <v>38.119999999999997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78.400000000000006</v>
      </c>
      <c r="BY4" s="9">
        <f>IF(BO4&gt;0,BO4,"")</f>
        <v>12.299999999999999</v>
      </c>
      <c r="BZ4" s="9">
        <f>IF(SUM(BM4:BP4)-BQ4&gt;0,SUM(BM4:BP4)-BQ4,"")</f>
        <v>49.23</v>
      </c>
      <c r="CA4" s="9">
        <f>IF(SUM(BX4,BZ4)&gt;0,SUM(BX4,BZ4),"")</f>
        <v>127.63</v>
      </c>
      <c r="CB4" s="27">
        <v>16.8</v>
      </c>
      <c r="CC4" s="27">
        <v>9.6999999999999993</v>
      </c>
      <c r="CD4" s="27">
        <v>0</v>
      </c>
      <c r="CE4" s="27">
        <v>14.38</v>
      </c>
      <c r="CF4" s="27">
        <v>0</v>
      </c>
      <c r="CG4" s="27">
        <v>14.2</v>
      </c>
      <c r="CH4" s="27">
        <v>9.3000000000000007</v>
      </c>
      <c r="CI4" s="27">
        <v>12.3</v>
      </c>
      <c r="CJ4" s="27">
        <v>13.85</v>
      </c>
      <c r="CK4" s="27">
        <v>0</v>
      </c>
      <c r="CL4" s="27"/>
      <c r="CM4" s="27"/>
      <c r="CN4" s="27"/>
      <c r="CO4" s="27"/>
      <c r="CP4" s="27"/>
      <c r="CQ4" s="27">
        <v>14.7</v>
      </c>
      <c r="CR4" s="27">
        <v>9.8000000000000007</v>
      </c>
      <c r="CS4" s="27">
        <v>12.3</v>
      </c>
      <c r="CT4" s="27">
        <v>13.88</v>
      </c>
      <c r="CU4" s="27">
        <v>0</v>
      </c>
      <c r="CV4" s="32"/>
      <c r="CW4" s="7">
        <f>IF(SUM(CB4:CE4)-CF4&gt;0,SUM(CB4:CE4)-CF4,"")</f>
        <v>40.880000000000003</v>
      </c>
      <c r="CX4" s="7">
        <f>IF(CI4&gt;0,CI4,"")</f>
        <v>12.3</v>
      </c>
      <c r="CY4" s="7">
        <f>IF(SUM(CG4:CJ4)-CK4&gt;0,SUM(CG4:CJ4)-CK4,"")</f>
        <v>49.65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90.53</v>
      </c>
      <c r="DC4" s="7">
        <f>IF(CS4&gt;0,CS4,"")</f>
        <v>12.3</v>
      </c>
      <c r="DD4" s="7">
        <f>IF(SUM(CQ4:CT4)-CU4&gt;0,SUM(CQ4:CT4)-CU4,"")</f>
        <v>50.68</v>
      </c>
      <c r="DE4" s="7">
        <f>IF(SUM(DB4,DD4)&gt;0,SUM(DB4,DD4),"")</f>
        <v>141.21</v>
      </c>
      <c r="DF4" s="13" t="str">
        <f>IF(MAX(DZ4,EV4,FR4,GN4,HJ4,IF4,JB4,JX4,KT4,LP4,ML4,NH4)-IF(K4="",0,K4)&gt;0.001,MAX(DZ4,EV4,FR4,GN4,HJ4,IF4,JB4,JX4,KT4,LP4,ML4,NH4)-IF(K4="",0,K4),"")</f>
        <v/>
      </c>
      <c r="DG4" s="13">
        <f>IF(MAX(EA4,EW4,FS4,GO4,HK4,IG4,JC4,JY4,KU4,LQ4,MM4,NI4)-IF(M4="",0,M4)&gt;0.001,MAX(EA4,EW4,FS4,GO4,HK4,IG4,JC4,JY4,KU4,LQ4,MM4,NI4)-IF(M4="",0,M4),"")</f>
        <v>8.32</v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15.9</v>
      </c>
      <c r="EG4" s="19">
        <v>9.4</v>
      </c>
      <c r="EH4" s="19">
        <v>0</v>
      </c>
      <c r="EI4" s="19">
        <v>13.61</v>
      </c>
      <c r="EJ4" s="19">
        <v>0</v>
      </c>
      <c r="EK4" s="19">
        <v>13.5</v>
      </c>
      <c r="EL4" s="19">
        <v>8.8000000000000007</v>
      </c>
      <c r="EM4" s="19">
        <v>12.1</v>
      </c>
      <c r="EN4" s="19">
        <v>13.56</v>
      </c>
      <c r="EO4" s="19">
        <v>0</v>
      </c>
      <c r="EP4" s="19">
        <v>14.1</v>
      </c>
      <c r="EQ4" s="19">
        <v>9.1999999999999993</v>
      </c>
      <c r="ER4" s="19">
        <v>12.1</v>
      </c>
      <c r="ES4" s="19">
        <v>13.63</v>
      </c>
      <c r="ET4" s="19">
        <v>0</v>
      </c>
      <c r="EU4" s="9">
        <f>IF(EM4&gt;0,EM4,"")</f>
        <v>12.1</v>
      </c>
      <c r="EV4" s="9">
        <f>IF(SUM(EF4:EI4)-EJ4&gt;0,SUM(EF4:EI4)-EJ4,"")</f>
        <v>38.909999999999997</v>
      </c>
      <c r="EW4" s="9">
        <f>IF(SUM(EK4:EN4)-EO4&gt;0,SUM(EK4:EN4)-EO4,"")</f>
        <v>47.96</v>
      </c>
      <c r="EX4" s="9">
        <f>IF(SUM(EV4:EW4)&gt;0,SUM(EV4:EW4),"")</f>
        <v>86.87</v>
      </c>
      <c r="EY4" s="9">
        <f>IF(ER4&gt;0,ER4,"")</f>
        <v>12.1</v>
      </c>
      <c r="EZ4" s="9">
        <f>IF(SUM(EP4:ES4)-ET4&gt;0,SUM(EP4:ES4)-ET4,"")</f>
        <v>49.03</v>
      </c>
      <c r="FA4" s="9">
        <f>IF(SUM(EX4,EZ4)&gt;0,SUM(EX4,EZ4),"")</f>
        <v>135.9</v>
      </c>
      <c r="FB4" s="18">
        <v>15.5</v>
      </c>
      <c r="FC4" s="18">
        <v>9.1999999999999993</v>
      </c>
      <c r="FD4" s="18">
        <v>0</v>
      </c>
      <c r="FE4" s="18">
        <v>14.38</v>
      </c>
      <c r="FF4" s="18">
        <v>0</v>
      </c>
      <c r="FG4" s="18">
        <v>12.6</v>
      </c>
      <c r="FH4" s="18">
        <v>8.8000000000000007</v>
      </c>
      <c r="FI4" s="18">
        <v>11.4</v>
      </c>
      <c r="FJ4" s="18">
        <v>13.72</v>
      </c>
      <c r="FK4" s="18">
        <v>0</v>
      </c>
      <c r="FL4" s="18"/>
      <c r="FM4" s="18"/>
      <c r="FN4" s="18"/>
      <c r="FO4" s="18"/>
      <c r="FP4" s="18"/>
      <c r="FQ4" s="7">
        <f>IF(FI4&gt;0,FI4,"")</f>
        <v>11.4</v>
      </c>
      <c r="FR4" s="7">
        <f>IF(SUM(FB4:FE4)-FF4&gt;0,SUM(FB4:FE4)-FF4,"")</f>
        <v>39.08</v>
      </c>
      <c r="FS4" s="7">
        <f>IF(SUM(FG4:FJ4)-FK4&gt;0,SUM(FG4:FJ4)-FK4,"")</f>
        <v>46.519999999999996</v>
      </c>
      <c r="FT4" s="7">
        <f>IF(SUM(FR4:FS4)&gt;0,SUM(FR4:FS4),"")</f>
        <v>85.6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85.6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16.649999999999999</v>
      </c>
      <c r="NO4" s="27">
        <f>IF($CV4="P",CC4,(CC4+AY4)/2)</f>
        <v>9.6</v>
      </c>
      <c r="NP4" s="27">
        <f>IF($CV4="P",CD4,(CD4+AZ4)/2)</f>
        <v>0</v>
      </c>
      <c r="NQ4" s="27">
        <f>IF($CV4="P",CE4,(CE4+BA4)/2)</f>
        <v>14.33</v>
      </c>
      <c r="NR4" s="27">
        <f>IF($CV4="P",CF4,(CF4+BB4)/2)</f>
        <v>0</v>
      </c>
      <c r="NS4" s="27">
        <f>IF($CV4="P",CG4,(CG4+BC4)/2)</f>
        <v>12.45</v>
      </c>
      <c r="NT4" s="27">
        <f>IF($CV4="P",CH4,(CH4+BD4)/2)</f>
        <v>8.1000000000000014</v>
      </c>
      <c r="NU4" s="27">
        <f>IF($CV4="P",CI4,(CI4+BE4)/2)</f>
        <v>10.85</v>
      </c>
      <c r="NV4" s="27">
        <f>IF($CV4="P",CJ4,(CJ4+BF4)/2)</f>
        <v>12.484999999999999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14.399999999999999</v>
      </c>
      <c r="OD4" s="27">
        <f>IF($CV4="P",CR4,(CR4+BN4)/2)</f>
        <v>9.25</v>
      </c>
      <c r="OE4" s="27">
        <f>IF($CV4="P",CS4,(CS4+BO4)/2)</f>
        <v>12.3</v>
      </c>
      <c r="OF4" s="27">
        <f>IF($CV4="P",CT4,(CT4+BP4)/2)</f>
        <v>14.005000000000001</v>
      </c>
      <c r="OG4" s="27">
        <f>IF($CV4="P",CU4,(CU4+BQ4)/2)</f>
        <v>0</v>
      </c>
      <c r="OH4" s="32" t="s">
        <v>44</v>
      </c>
      <c r="OI4" s="7">
        <f>IF(SUM(NN4:NQ4)-NR4&gt;0,SUM(NN4:NQ4)-NR4,"")</f>
        <v>40.58</v>
      </c>
      <c r="OJ4" s="7">
        <f>IF(NU4&gt;0,NU4,"")</f>
        <v>10.85</v>
      </c>
      <c r="OK4" s="7">
        <f>IF(SUM(NS4:NV4)-NW4&gt;0,SUM(NS4:NV4)-NW4,"")</f>
        <v>43.884999999999998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84.465000000000003</v>
      </c>
      <c r="OO4" s="7">
        <f>IF(OE4&gt;0,OE4,"")</f>
        <v>12.3</v>
      </c>
      <c r="OP4" s="7">
        <f t="shared" ref="OP4" si="0">IF(SUM(OC4:OF4)-OG4&gt;0,SUM(OC4:OF4)-OG4,"")</f>
        <v>49.955000000000005</v>
      </c>
      <c r="OQ4" s="7">
        <f t="shared" ref="OQ4" si="1">IF(SUM(ON4,OP4)&gt;0,SUM(ON4,OP4),"")</f>
        <v>134.42000000000002</v>
      </c>
    </row>
    <row r="5" spans="1:407" x14ac:dyDescent="0.2">
      <c r="A5" s="4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5" t="s">
        <v>90</v>
      </c>
      <c r="C5" s="4" t="s">
        <v>3</v>
      </c>
      <c r="D5" s="4">
        <v>2009</v>
      </c>
      <c r="E5" s="10">
        <f>SUM(I5:Q5)</f>
        <v>227.11</v>
      </c>
      <c r="F5" s="3" t="str">
        <f>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P","")</f>
        <v/>
      </c>
      <c r="G5" s="3" t="str">
        <f>IF(OR(AND(AT5&gt;=AW$16,AO5&lt;&gt;"",AN5=""),AND(BX5&gt;=CA$16,BS5&lt;&gt;"",BR5=""),AND(DB5&gt;=DE$16,CW5&lt;&gt;"",CV5=""),AND(EB5&gt;=EE$16,DY5&lt;&gt;""),AND(EX5&gt;=FA$16,EU5&lt;&gt;""),AND(FT5&gt;=FW$16,FQ5&lt;&gt;""),AND(GP5&gt;=GS$16,GM5&lt;&gt;""),AND(HL5&gt;=HO$16,HI5&lt;&gt;""),AND(IH5&gt;=IK$16,IE5&lt;&gt;""),AND(JD5&gt;=JG$16,JA5&lt;&gt;""),AND(JZ5&gt;=KC$16,JW5&lt;&gt;""),AND(KV5&gt;=KY$16,KS5&lt;&gt;""),AND(LR5&gt;=LU$16,LO5&lt;&gt;""),AND(MN5&gt;=MQ$16,MK5&lt;&gt;""),AND(NJ5&gt;=NM$16,NG5&lt;&gt;"")),"P","")</f>
        <v/>
      </c>
      <c r="H5" s="47" t="str">
        <f>IF(OR(AND(AP5&gt;=AW$15,AQ5&gt;=AW$19,AP5&lt;&gt;"",AN5=""),AND(AU5&gt;=AW$15,AV5&gt;=AW$19,AU5&lt;&gt;"",AN5=""),AND(BT5&gt;=CA$15,BU5&gt;=CA$19,BT5&lt;&gt;"",BR5=""),AND(BY5&gt;=CA$15,BZ5&gt;=CA$19,BY5&lt;&gt;"",BR5=""),AND(CX5&gt;=DE$15,CY5&gt;=DE$19,CX5&lt;&gt;"",CV5=""),AND(DC5&gt;=DE$15,DD5&gt;=DE$19,DC5&lt;&gt;"",CV5=""),AND(DY5&gt;=EE$15,EA5&gt;=EE$19,DY5&lt;&gt;""),AND(EC5&gt;=EE$15,ED5&gt;=EE$19,EC5&lt;&gt;""),AND(EU5&gt;=FA$15,EW5&gt;=FA$19,EU5&lt;&gt;""),AND(EY5&gt;=FA$15,EZ5&gt;=FA$19,EY5&lt;&gt;""),AND(FQ5&gt;=FW$15,FS5&gt;=FW$19,FQ5&lt;&gt;""),AND(FU5&gt;=FW$15,FV5&gt;=FW$19,FU5&lt;&gt;""),AND(GM5&gt;=GS$15,GO5&gt;=GS$19,GM5&lt;&gt;""),AND(GQ5&gt;=GS$15,GR5&gt;=GS$19,GQ5&lt;&gt;""),AND(HI5&gt;=HO$15,HK5&gt;=HO$19,HI5&lt;&gt;""),AND(HM5&gt;=HO$15,HN5&gt;=HO$19,HM5&lt;&gt;""),AND(IE5&gt;=IK$15,IG5&gt;=IK$19,IE5&lt;&gt;""),AND(II5&gt;=IK$15,IJ5&gt;=IK$19,II5&lt;&gt;""),AND(JA5&gt;=JG$15,JC5&gt;=JG$19,JA5&lt;&gt;""),AND(JE5&gt;=JG$15,JF5&gt;=JG$19,JE5&lt;&gt;""),AND(JW5&gt;=KC$15,JY5&gt;=KC$19,JW5&lt;&gt;""),AND(KA5&gt;=KC$15,KB5&gt;=KC$19,KA5&lt;&gt;""),AND(KS5&gt;=KY$15,KU5&gt;=KY$19,KS5&lt;&gt;""),AND(KW5&gt;=KY$15,KX5&gt;=KY$19,KW5&lt;&gt;""),AND(LO5&gt;=LU$15,LQ5&gt;=LU$19,LO5&lt;&gt;""),AND(LS5&gt;=LU$15,LT5&gt;=LU$19,LS5&lt;&gt;""),AND(MK5&gt;=MQ$15,MM5&gt;=MQ$19,MK5&lt;&gt;""),AND(MO5&gt;=MQ$15,MP5&gt;=MQ$19,MO5&lt;&gt;""),AND(NG5&gt;=NM$15,NI5&gt;=NM$19,NG5&lt;&gt;""),AND(NK5&gt;=NM$15,NL5&gt;=NM$19,NK5&lt;&gt;"")),"Merit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Excellence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National Team",IF(G5="P","No DD",""))))</f>
        <v/>
      </c>
      <c r="I5" s="9">
        <f>IF(MAX(AT5,BX5,DB5)&gt;0,MAX(AT5,BX5,DB5),0)</f>
        <v>88.990000000000009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41.68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43.31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48.510000000000005</v>
      </c>
      <c r="P5" s="9" t="str">
        <f>IF(O5=0,"",IF(O5=DD5,$CB$1,IF(O5=BZ5,$AX$1,IF(O5=AV5,$T$1,""))))</f>
        <v>2023 Nationals</v>
      </c>
      <c r="Q5" s="9">
        <f>IF(MAX(DF5,DG5,DH5,DI5)&gt;0,MAX(DF5,DG5,DH5,DI5),"")</f>
        <v>4.6199999999999974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2023 WAGC (Nov 16)</v>
      </c>
      <c r="T5" s="27">
        <v>16.399999999999999</v>
      </c>
      <c r="U5" s="27">
        <v>9</v>
      </c>
      <c r="V5" s="27">
        <v>0</v>
      </c>
      <c r="W5" s="27">
        <v>14.69</v>
      </c>
      <c r="X5" s="27">
        <v>0</v>
      </c>
      <c r="Y5" s="27">
        <v>13.7</v>
      </c>
      <c r="Z5" s="27">
        <v>8.1</v>
      </c>
      <c r="AA5" s="27">
        <v>8.3000000000000007</v>
      </c>
      <c r="AB5" s="27">
        <v>13.21</v>
      </c>
      <c r="AC5" s="27">
        <v>0</v>
      </c>
      <c r="AD5" s="27"/>
      <c r="AE5" s="27"/>
      <c r="AF5" s="27"/>
      <c r="AG5" s="27"/>
      <c r="AH5" s="27"/>
      <c r="AI5" s="27">
        <v>15.4</v>
      </c>
      <c r="AJ5" s="27">
        <v>9.1</v>
      </c>
      <c r="AK5" s="27">
        <v>9.6999999999999993</v>
      </c>
      <c r="AL5" s="27">
        <v>14.31</v>
      </c>
      <c r="AM5" s="27">
        <v>0</v>
      </c>
      <c r="AN5" s="32"/>
      <c r="AO5" s="7">
        <f>IF(SUM(T5:W5)-X5&gt;0,SUM(T5:W5)-X5,"")</f>
        <v>40.089999999999996</v>
      </c>
      <c r="AP5" s="7">
        <f>IF(AA5&gt;0,AA5,"")</f>
        <v>8.3000000000000007</v>
      </c>
      <c r="AQ5" s="7">
        <f>IF(SUM(Y5:AB5)-AC5&gt;0,SUM(Y5:AB5)-AC5,"")</f>
        <v>43.31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83.4</v>
      </c>
      <c r="AU5" s="7">
        <f>IF(AK5&gt;0,AK5,"")</f>
        <v>9.6999999999999993</v>
      </c>
      <c r="AV5" s="7">
        <f>IF(SUM(AI5:AL5)-AM5&gt;0,SUM(AI5:AL5)-AM5,"")</f>
        <v>48.510000000000005</v>
      </c>
      <c r="AW5" s="7">
        <f>IF(SUM(AT5,AV5)&gt;0,SUM(AT5,AV5),"")</f>
        <v>131.91000000000003</v>
      </c>
      <c r="AX5" s="31">
        <v>17.399999999999999</v>
      </c>
      <c r="AY5" s="31">
        <v>9.4</v>
      </c>
      <c r="AZ5" s="31">
        <v>0</v>
      </c>
      <c r="BA5" s="31">
        <v>14.88</v>
      </c>
      <c r="BB5" s="31">
        <v>0</v>
      </c>
      <c r="BC5" s="31">
        <v>12.2</v>
      </c>
      <c r="BD5" s="31">
        <v>8.3000000000000007</v>
      </c>
      <c r="BE5" s="31">
        <v>7.1999999999999993</v>
      </c>
      <c r="BF5" s="31">
        <v>13.13</v>
      </c>
      <c r="BG5" s="31">
        <v>0</v>
      </c>
      <c r="BH5" s="31"/>
      <c r="BI5" s="31"/>
      <c r="BJ5" s="31"/>
      <c r="BK5" s="31"/>
      <c r="BL5" s="31"/>
      <c r="BM5" s="31">
        <v>14.3</v>
      </c>
      <c r="BN5" s="31">
        <v>9.1</v>
      </c>
      <c r="BO5" s="31">
        <v>10.299999999999999</v>
      </c>
      <c r="BP5" s="31">
        <v>14.3</v>
      </c>
      <c r="BQ5" s="31">
        <v>0</v>
      </c>
      <c r="BR5" s="33"/>
      <c r="BS5" s="9">
        <f>IF(SUM(AX5:BA5)-BB5&gt;0,SUM(AX5:BA5)-BB5,"")</f>
        <v>41.68</v>
      </c>
      <c r="BT5" s="9">
        <f>IF(BE5&gt;0,BE5,"")</f>
        <v>7.1999999999999993</v>
      </c>
      <c r="BU5" s="9">
        <f>IF(SUM(BC5:BF5)-BG5&gt;0,SUM(BC5:BF5)-BG5,"")</f>
        <v>40.83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82.509999999999991</v>
      </c>
      <c r="BY5" s="9">
        <f>IF(BO5&gt;0,BO5,"")</f>
        <v>10.299999999999999</v>
      </c>
      <c r="BZ5" s="9">
        <f>IF(SUM(BM5:BP5)-BQ5&gt;0,SUM(BM5:BP5)-BQ5,"")</f>
        <v>48</v>
      </c>
      <c r="CA5" s="9">
        <f>IF(SUM(BX5,BZ5)&gt;0,SUM(BX5,BZ5),"")</f>
        <v>130.51</v>
      </c>
      <c r="CB5" s="27">
        <v>16.100000000000001</v>
      </c>
      <c r="CC5" s="27">
        <v>9.5</v>
      </c>
      <c r="CD5" s="27">
        <v>0</v>
      </c>
      <c r="CE5" s="27">
        <v>14.72</v>
      </c>
      <c r="CF5" s="27">
        <v>0</v>
      </c>
      <c r="CG5" s="27">
        <v>14.4</v>
      </c>
      <c r="CH5" s="27">
        <v>8.9</v>
      </c>
      <c r="CI5" s="27">
        <v>11.2</v>
      </c>
      <c r="CJ5" s="27">
        <v>14.17</v>
      </c>
      <c r="CK5" s="27">
        <v>0</v>
      </c>
      <c r="CL5" s="27"/>
      <c r="CM5" s="27"/>
      <c r="CN5" s="27"/>
      <c r="CO5" s="27"/>
      <c r="CP5" s="27"/>
      <c r="CQ5" s="27">
        <v>14.4</v>
      </c>
      <c r="CR5" s="27">
        <v>9.1999999999999993</v>
      </c>
      <c r="CS5" s="27">
        <v>10.5</v>
      </c>
      <c r="CT5" s="27">
        <v>14.37</v>
      </c>
      <c r="CU5" s="27">
        <v>0</v>
      </c>
      <c r="CV5" s="32"/>
      <c r="CW5" s="7">
        <f>IF(SUM(CB5:CE5)-CF5&gt;0,SUM(CB5:CE5)-CF5,"")</f>
        <v>40.32</v>
      </c>
      <c r="CX5" s="7">
        <f>IF(CI5&gt;0,CI5,"")</f>
        <v>11.2</v>
      </c>
      <c r="CY5" s="7">
        <f>IF(SUM(CG5:CJ5)-CK5&gt;0,SUM(CG5:CJ5)-CK5,"")</f>
        <v>48.67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88.990000000000009</v>
      </c>
      <c r="DC5" s="7">
        <f>IF(CS5&gt;0,CS5,"")</f>
        <v>10.5</v>
      </c>
      <c r="DD5" s="7">
        <f>IF(SUM(CQ5:CT5)-CU5&gt;0,SUM(CQ5:CT5)-CU5,"")</f>
        <v>48.47</v>
      </c>
      <c r="DE5" s="7">
        <f>IF(SUM(DB5,DD5)&gt;0,SUM(DB5,DD5),"")</f>
        <v>137.46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4.6199999999999974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14.8</v>
      </c>
      <c r="FC5" s="18">
        <v>9.5</v>
      </c>
      <c r="FD5" s="18">
        <v>0</v>
      </c>
      <c r="FE5" s="18">
        <v>14.73</v>
      </c>
      <c r="FF5" s="18">
        <v>0</v>
      </c>
      <c r="FG5" s="18">
        <v>14</v>
      </c>
      <c r="FH5" s="18">
        <v>9.3000000000000007</v>
      </c>
      <c r="FI5" s="18">
        <v>10.5</v>
      </c>
      <c r="FJ5" s="18">
        <v>14.13</v>
      </c>
      <c r="FK5" s="18">
        <v>0</v>
      </c>
      <c r="FL5" s="18"/>
      <c r="FM5" s="18"/>
      <c r="FN5" s="18"/>
      <c r="FO5" s="18"/>
      <c r="FP5" s="18"/>
      <c r="FQ5" s="7">
        <f>IF(FI5&gt;0,FI5,"")</f>
        <v>10.5</v>
      </c>
      <c r="FR5" s="7">
        <f>IF(SUM(FB5:FE5)-FF5&gt;0,SUM(FB5:FE5)-FF5,"")</f>
        <v>39.03</v>
      </c>
      <c r="FS5" s="7">
        <f>IF(SUM(FG5:FJ5)-FK5&gt;0,SUM(FG5:FJ5)-FK5,"")</f>
        <v>47.93</v>
      </c>
      <c r="FT5" s="7">
        <f>IF(SUM(FR5:FS5)&gt;0,SUM(FR5:FS5),"")</f>
        <v>86.960000000000008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86.960000000000008</v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16.75</v>
      </c>
      <c r="NO5" s="27">
        <f>IF($CV5="P",CC5,(CC5+AY5)/2)</f>
        <v>9.4499999999999993</v>
      </c>
      <c r="NP5" s="27">
        <f>IF($CV5="P",CD5,(CD5+AZ5)/2)</f>
        <v>0</v>
      </c>
      <c r="NQ5" s="27">
        <f>IF($CV5="P",CE5,(CE5+BA5)/2)</f>
        <v>14.8</v>
      </c>
      <c r="NR5" s="27">
        <f>IF($CV5="P",CF5,(CF5+BB5)/2)</f>
        <v>0</v>
      </c>
      <c r="NS5" s="27">
        <f>IF($CV5="P",CG5,(CG5+BC5)/2)</f>
        <v>13.3</v>
      </c>
      <c r="NT5" s="27">
        <f>IF($CV5="P",CH5,(CH5+BD5)/2)</f>
        <v>8.6000000000000014</v>
      </c>
      <c r="NU5" s="27">
        <f>IF($CV5="P",CI5,(CI5+BE5)/2)</f>
        <v>9.1999999999999993</v>
      </c>
      <c r="NV5" s="27">
        <f>IF($CV5="P",CJ5,(CJ5+BF5)/2)</f>
        <v>13.65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14.350000000000001</v>
      </c>
      <c r="OD5" s="27">
        <f>IF($CV5="P",CR5,(CR5+BN5)/2)</f>
        <v>9.1499999999999986</v>
      </c>
      <c r="OE5" s="27">
        <f>IF($CV5="P",CS5,(CS5+BO5)/2)</f>
        <v>10.399999999999999</v>
      </c>
      <c r="OF5" s="27">
        <f>IF($CV5="P",CT5,(CT5+BP5)/2)</f>
        <v>14.335000000000001</v>
      </c>
      <c r="OG5" s="27">
        <f>IF($CV5="P",CU5,(CU5+BQ5)/2)</f>
        <v>0</v>
      </c>
      <c r="OH5" s="32" t="s">
        <v>44</v>
      </c>
      <c r="OI5" s="7">
        <f>IF(SUM(NN5:NQ5)-NR5&gt;0,SUM(NN5:NQ5)-NR5,"")</f>
        <v>41</v>
      </c>
      <c r="OJ5" s="7">
        <f>IF(NU5&gt;0,NU5,"")</f>
        <v>9.1999999999999993</v>
      </c>
      <c r="OK5" s="7">
        <f>IF(SUM(NS5:NV5)-NW5&gt;0,SUM(NS5:NV5)-NW5,"")</f>
        <v>44.75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85.75</v>
      </c>
      <c r="OO5" s="7">
        <f>IF(OE5&gt;0,OE5,"")</f>
        <v>10.399999999999999</v>
      </c>
      <c r="OP5" s="7">
        <f t="shared" ref="OP5" si="2">IF(SUM(OC5:OF5)-OG5&gt;0,SUM(OC5:OF5)-OG5,"")</f>
        <v>48.234999999999999</v>
      </c>
      <c r="OQ5" s="7">
        <f t="shared" ref="OQ5" si="3">IF(SUM(ON5,OP5)&gt;0,SUM(ON5,OP5),"")</f>
        <v>133.98500000000001</v>
      </c>
    </row>
    <row r="6" spans="1:407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88</v>
      </c>
      <c r="C6" s="4" t="s">
        <v>68</v>
      </c>
      <c r="D6" s="4">
        <v>2009</v>
      </c>
      <c r="E6" s="10">
        <f>SUM(I6:Q6)</f>
        <v>223.71</v>
      </c>
      <c r="F6" s="3" t="str">
        <f>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P","")</f>
        <v/>
      </c>
      <c r="G6" s="3" t="str">
        <f>IF(OR(AND(AT6&gt;=AW$16,AO6&lt;&gt;"",AN6=""),AND(BX6&gt;=CA$16,BS6&lt;&gt;"",BR6=""),AND(DB6&gt;=DE$16,CW6&lt;&gt;"",CV6=""),AND(EB6&gt;=EE$16,DY6&lt;&gt;""),AND(EX6&gt;=FA$16,EU6&lt;&gt;""),AND(FT6&gt;=FW$16,FQ6&lt;&gt;""),AND(GP6&gt;=GS$16,GM6&lt;&gt;""),AND(HL6&gt;=HO$16,HI6&lt;&gt;""),AND(IH6&gt;=IK$16,IE6&lt;&gt;""),AND(JD6&gt;=JG$16,JA6&lt;&gt;""),AND(JZ6&gt;=KC$16,JW6&lt;&gt;""),AND(KV6&gt;=KY$16,KS6&lt;&gt;""),AND(LR6&gt;=LU$16,LO6&lt;&gt;""),AND(MN6&gt;=MQ$16,MK6&lt;&gt;""),AND(NJ6&gt;=NM$16,NG6&lt;&gt;"")),"P","")</f>
        <v/>
      </c>
      <c r="H6" s="47" t="str">
        <f>IF(OR(AND(AP6&gt;=AW$15,AQ6&gt;=AW$19,AP6&lt;&gt;"",AN6=""),AND(AU6&gt;=AW$15,AV6&gt;=AW$19,AU6&lt;&gt;"",AN6=""),AND(BT6&gt;=CA$15,BU6&gt;=CA$19,BT6&lt;&gt;"",BR6=""),AND(BY6&gt;=CA$15,BZ6&gt;=CA$19,BY6&lt;&gt;"",BR6=""),AND(CX6&gt;=DE$15,CY6&gt;=DE$19,CX6&lt;&gt;"",CV6=""),AND(DC6&gt;=DE$15,DD6&gt;=DE$19,DC6&lt;&gt;"",CV6=""),AND(DY6&gt;=EE$15,EA6&gt;=EE$19,DY6&lt;&gt;""),AND(EC6&gt;=EE$15,ED6&gt;=EE$19,EC6&lt;&gt;""),AND(EU6&gt;=FA$15,EW6&gt;=FA$19,EU6&lt;&gt;""),AND(EY6&gt;=FA$15,EZ6&gt;=FA$19,EY6&lt;&gt;""),AND(FQ6&gt;=FW$15,FS6&gt;=FW$19,FQ6&lt;&gt;""),AND(FU6&gt;=FW$15,FV6&gt;=FW$19,FU6&lt;&gt;""),AND(GM6&gt;=GS$15,GO6&gt;=GS$19,GM6&lt;&gt;""),AND(GQ6&gt;=GS$15,GR6&gt;=GS$19,GQ6&lt;&gt;""),AND(HI6&gt;=HO$15,HK6&gt;=HO$19,HI6&lt;&gt;""),AND(HM6&gt;=HO$15,HN6&gt;=HO$19,HM6&lt;&gt;""),AND(IE6&gt;=IK$15,IG6&gt;=IK$19,IE6&lt;&gt;""),AND(II6&gt;=IK$15,IJ6&gt;=IK$19,II6&lt;&gt;""),AND(JA6&gt;=JG$15,JC6&gt;=JG$19,JA6&lt;&gt;""),AND(JE6&gt;=JG$15,JF6&gt;=JG$19,JE6&lt;&gt;""),AND(JW6&gt;=KC$15,JY6&gt;=KC$19,JW6&lt;&gt;""),AND(KA6&gt;=KC$15,KB6&gt;=KC$19,KA6&lt;&gt;""),AND(KS6&gt;=KY$15,KU6&gt;=KY$19,KS6&lt;&gt;""),AND(KW6&gt;=KY$15,KX6&gt;=KY$19,KW6&lt;&gt;""),AND(LO6&gt;=LU$15,LQ6&gt;=LU$19,LO6&lt;&gt;""),AND(LS6&gt;=LU$15,LT6&gt;=LU$19,LS6&lt;&gt;""),AND(MK6&gt;=MQ$15,MM6&gt;=MQ$19,MK6&lt;&gt;""),AND(MO6&gt;=MQ$15,MP6&gt;=MQ$19,MO6&lt;&gt;""),AND(NG6&gt;=NM$15,NI6&gt;=NM$19,NG6&lt;&gt;""),AND(NK6&gt;=NM$15,NL6&gt;=NM$19,NK6&lt;&gt;"")),"Merit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Excellence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National Team",IF(G6="P","No DD",""))))</f>
        <v/>
      </c>
      <c r="I6" s="9">
        <f>IF(MAX(AT6,BX6,DB6)&gt;0,MAX(AT6,BX6,DB6),0)</f>
        <v>87.740000000000009</v>
      </c>
      <c r="J6" s="9" t="str">
        <f>IF(I6=0,"",IF(I6=DB6,$CB$1,IF(I6=BX6,$AX$1,IF(I6=AT6,$T$1,""))))</f>
        <v>2024 Elite Canada</v>
      </c>
      <c r="K6" s="9">
        <f>IF($I6=$AT6,MAX(BS6,CW6),IF($I6=$BX6,MAX(AO6,CW6),IF($I6=$DB6,MAX(AO6,BS6),MAX(AO6,BS6,CW6))))</f>
        <v>40.1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47.46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48.41</v>
      </c>
      <c r="P6" s="9" t="str">
        <f>IF(O6=0,"",IF(O6=DD6,$CB$1,IF(O6=BZ6,$AX$1,IF(O6=AV6,$T$1,""))))</f>
        <v>2024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15.9</v>
      </c>
      <c r="U6" s="27">
        <v>9.4</v>
      </c>
      <c r="V6" s="27">
        <v>0</v>
      </c>
      <c r="W6" s="27">
        <v>14.28</v>
      </c>
      <c r="X6" s="27">
        <v>0</v>
      </c>
      <c r="Y6" s="27">
        <v>13.6</v>
      </c>
      <c r="Z6" s="27">
        <v>9.3000000000000007</v>
      </c>
      <c r="AA6" s="27">
        <v>11</v>
      </c>
      <c r="AB6" s="27">
        <v>13.56</v>
      </c>
      <c r="AC6" s="27">
        <v>0</v>
      </c>
      <c r="AD6" s="27"/>
      <c r="AE6" s="27"/>
      <c r="AF6" s="27"/>
      <c r="AG6" s="27"/>
      <c r="AH6" s="27"/>
      <c r="AI6" s="27">
        <v>13.1</v>
      </c>
      <c r="AJ6" s="27">
        <v>9.3000000000000007</v>
      </c>
      <c r="AK6" s="27">
        <v>10.9</v>
      </c>
      <c r="AL6" s="27">
        <v>12.93</v>
      </c>
      <c r="AM6" s="27">
        <v>0</v>
      </c>
      <c r="AN6" s="32"/>
      <c r="AO6" s="7">
        <f>IF(SUM(T6:W6)-X6&gt;0,SUM(T6:W6)-X6,"")</f>
        <v>39.58</v>
      </c>
      <c r="AP6" s="7">
        <f>IF(AA6&gt;0,AA6,"")</f>
        <v>11</v>
      </c>
      <c r="AQ6" s="7">
        <f>IF(SUM(Y6:AB6)-AC6&gt;0,SUM(Y6:AB6)-AC6,"")</f>
        <v>47.46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87.039999999999992</v>
      </c>
      <c r="AU6" s="7">
        <f>IF(AK6&gt;0,AK6,"")</f>
        <v>10.9</v>
      </c>
      <c r="AV6" s="7">
        <f>IF(SUM(AI6:AL6)-AM6&gt;0,SUM(AI6:AL6)-AM6,"")</f>
        <v>46.23</v>
      </c>
      <c r="AW6" s="7">
        <f>IF(SUM(AT6,AV6)&gt;0,SUM(AT6,AV6),"")</f>
        <v>133.26999999999998</v>
      </c>
      <c r="AX6" s="31">
        <v>16.5</v>
      </c>
      <c r="AY6" s="31">
        <v>9.5</v>
      </c>
      <c r="AZ6" s="31">
        <v>0</v>
      </c>
      <c r="BA6" s="31">
        <v>14.1</v>
      </c>
      <c r="BB6" s="31">
        <v>0</v>
      </c>
      <c r="BC6" s="31">
        <v>13.5</v>
      </c>
      <c r="BD6" s="31">
        <v>9.1</v>
      </c>
      <c r="BE6" s="31">
        <v>10.999999999999998</v>
      </c>
      <c r="BF6" s="31">
        <v>13.7</v>
      </c>
      <c r="BG6" s="31">
        <v>0</v>
      </c>
      <c r="BH6" s="31"/>
      <c r="BI6" s="31"/>
      <c r="BJ6" s="31"/>
      <c r="BK6" s="31"/>
      <c r="BL6" s="31"/>
      <c r="BM6" s="31">
        <v>12.8</v>
      </c>
      <c r="BN6" s="31">
        <v>9.3000000000000007</v>
      </c>
      <c r="BO6" s="31">
        <v>10.999999999999998</v>
      </c>
      <c r="BP6" s="31">
        <v>13.25</v>
      </c>
      <c r="BQ6" s="31">
        <v>0</v>
      </c>
      <c r="BR6" s="33"/>
      <c r="BS6" s="9">
        <f>IF(SUM(AX6:BA6)-BB6&gt;0,SUM(AX6:BA6)-BB6,"")</f>
        <v>40.1</v>
      </c>
      <c r="BT6" s="9">
        <f>IF(BE6&gt;0,BE6,"")</f>
        <v>10.999999999999998</v>
      </c>
      <c r="BU6" s="9">
        <f>IF(SUM(BC6:BF6)-BG6&gt;0,SUM(BC6:BF6)-BG6,"")</f>
        <v>47.3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87.4</v>
      </c>
      <c r="BY6" s="9">
        <f>IF(BO6&gt;0,BO6,"")</f>
        <v>10.999999999999998</v>
      </c>
      <c r="BZ6" s="9">
        <f>IF(SUM(BM6:BP6)-BQ6&gt;0,SUM(BM6:BP6)-BQ6,"")</f>
        <v>46.35</v>
      </c>
      <c r="CA6" s="9">
        <f>IF(SUM(BX6,BZ6)&gt;0,SUM(BX6,BZ6),"")</f>
        <v>133.75</v>
      </c>
      <c r="CB6" s="27">
        <v>15.5</v>
      </c>
      <c r="CC6" s="27">
        <v>9.6</v>
      </c>
      <c r="CD6" s="27">
        <v>0</v>
      </c>
      <c r="CE6" s="27">
        <v>14.42</v>
      </c>
      <c r="CF6" s="27">
        <v>0</v>
      </c>
      <c r="CG6" s="27">
        <v>14.9</v>
      </c>
      <c r="CH6" s="27">
        <v>9.3000000000000007</v>
      </c>
      <c r="CI6" s="27">
        <v>10.3</v>
      </c>
      <c r="CJ6" s="27">
        <v>13.72</v>
      </c>
      <c r="CK6" s="27">
        <v>0</v>
      </c>
      <c r="CL6" s="27"/>
      <c r="CM6" s="27"/>
      <c r="CN6" s="27"/>
      <c r="CO6" s="27"/>
      <c r="CP6" s="27"/>
      <c r="CQ6" s="27">
        <v>14.8</v>
      </c>
      <c r="CR6" s="27">
        <v>9.4</v>
      </c>
      <c r="CS6" s="27">
        <v>10.3</v>
      </c>
      <c r="CT6" s="27">
        <v>13.91</v>
      </c>
      <c r="CU6" s="27">
        <v>0</v>
      </c>
      <c r="CV6" s="32"/>
      <c r="CW6" s="7">
        <f>IF(SUM(CB6:CE6)-CF6&gt;0,SUM(CB6:CE6)-CF6,"")</f>
        <v>39.520000000000003</v>
      </c>
      <c r="CX6" s="7">
        <f>IF(CI6&gt;0,CI6,"")</f>
        <v>10.3</v>
      </c>
      <c r="CY6" s="7">
        <f>IF(SUM(CG6:CJ6)-CK6&gt;0,SUM(CG6:CJ6)-CK6,"")</f>
        <v>48.22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87.740000000000009</v>
      </c>
      <c r="DC6" s="7">
        <f>IF(CS6&gt;0,CS6,"")</f>
        <v>10.3</v>
      </c>
      <c r="DD6" s="7">
        <f>IF(SUM(CQ6:CT6)-CU6&gt;0,SUM(CQ6:CT6)-CU6,"")</f>
        <v>48.41</v>
      </c>
      <c r="DE6" s="7">
        <f>IF(SUM(DB6,DD6)&gt;0,SUM(DB6,DD6),"")</f>
        <v>136.15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>
        <v>14.7</v>
      </c>
      <c r="FC6" s="18">
        <v>9.5</v>
      </c>
      <c r="FD6" s="18">
        <v>0</v>
      </c>
      <c r="FE6" s="18">
        <v>14.59</v>
      </c>
      <c r="FF6" s="18">
        <v>0</v>
      </c>
      <c r="FG6" s="18">
        <v>12.8</v>
      </c>
      <c r="FH6" s="18">
        <v>9.3000000000000007</v>
      </c>
      <c r="FI6" s="18">
        <v>9.6999999999999993</v>
      </c>
      <c r="FJ6" s="18">
        <v>13.72</v>
      </c>
      <c r="FK6" s="18">
        <v>0</v>
      </c>
      <c r="FL6" s="18"/>
      <c r="FM6" s="18"/>
      <c r="FN6" s="18"/>
      <c r="FO6" s="18"/>
      <c r="FP6" s="18"/>
      <c r="FQ6" s="7">
        <f>IF(FI6&gt;0,FI6,"")</f>
        <v>9.6999999999999993</v>
      </c>
      <c r="FR6" s="7">
        <f>IF(SUM(FB6:FE6)-FF6&gt;0,SUM(FB6:FE6)-FF6,"")</f>
        <v>38.79</v>
      </c>
      <c r="FS6" s="7">
        <f>IF(SUM(FG6:FJ6)-FK6&gt;0,SUM(FG6:FJ6)-FK6,"")</f>
        <v>45.52</v>
      </c>
      <c r="FT6" s="7">
        <f>IF(SUM(FR6:FS6)&gt;0,SUM(FR6:FS6),"")</f>
        <v>84.31</v>
      </c>
      <c r="FU6" s="7" t="str">
        <f>IF(FN6&gt;0,FN6,"")</f>
        <v/>
      </c>
      <c r="FV6" s="7" t="str">
        <f>IF(SUM(FL6:FO6)-FP6&gt;0,SUM(FL6:FO6)-FP6,"")</f>
        <v/>
      </c>
      <c r="FW6" s="7">
        <f>IF(SUM(FT6,FV6)&gt;0,SUM(FT6,FV6),"")</f>
        <v>84.31</v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</v>
      </c>
      <c r="NO6" s="27">
        <f>IF($CV6="P",CC6,(CC6+AY6)/2)</f>
        <v>9.5500000000000007</v>
      </c>
      <c r="NP6" s="27">
        <f>IF($CV6="P",CD6,(CD6+AZ6)/2)</f>
        <v>0</v>
      </c>
      <c r="NQ6" s="27">
        <f>IF($CV6="P",CE6,(CE6+BA6)/2)</f>
        <v>14.26</v>
      </c>
      <c r="NR6" s="27">
        <f>IF($CV6="P",CF6,(CF6+BB6)/2)</f>
        <v>0</v>
      </c>
      <c r="NS6" s="27">
        <f>IF($CV6="P",CG6,(CG6+BC6)/2)</f>
        <v>14.2</v>
      </c>
      <c r="NT6" s="27">
        <f>IF($CV6="P",CH6,(CH6+BD6)/2)</f>
        <v>9.1999999999999993</v>
      </c>
      <c r="NU6" s="27">
        <f>IF($CV6="P",CI6,(CI6+BE6)/2)</f>
        <v>10.649999999999999</v>
      </c>
      <c r="NV6" s="27">
        <f>IF($CV6="P",CJ6,(CJ6+BF6)/2)</f>
        <v>13.71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13.8</v>
      </c>
      <c r="OD6" s="27">
        <f>IF($CV6="P",CR6,(CR6+BN6)/2)</f>
        <v>9.3500000000000014</v>
      </c>
      <c r="OE6" s="27">
        <f>IF($CV6="P",CS6,(CS6+BO6)/2)</f>
        <v>10.649999999999999</v>
      </c>
      <c r="OF6" s="27">
        <f>IF($CV6="P",CT6,(CT6+BP6)/2)</f>
        <v>13.58</v>
      </c>
      <c r="OG6" s="27">
        <f>IF($CV6="P",CU6,(CU6+BQ6)/2)</f>
        <v>0</v>
      </c>
      <c r="OH6" s="32" t="s">
        <v>44</v>
      </c>
      <c r="OI6" s="7">
        <f>IF(SUM(NN6:NQ6)-NR6&gt;0,SUM(NN6:NQ6)-NR6,"")</f>
        <v>39.81</v>
      </c>
      <c r="OJ6" s="7">
        <f>IF(NU6&gt;0,NU6,"")</f>
        <v>10.649999999999999</v>
      </c>
      <c r="OK6" s="7">
        <f>IF(SUM(NS6:NV6)-NW6&gt;0,SUM(NS6:NV6)-NW6,"")</f>
        <v>47.76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87.57</v>
      </c>
      <c r="OO6" s="7">
        <f>IF(OE6&gt;0,OE6,"")</f>
        <v>10.649999999999999</v>
      </c>
      <c r="OP6" s="7">
        <f t="shared" ref="OP6" si="4">IF(SUM(OC6:OF6)-OG6&gt;0,SUM(OC6:OF6)-OG6,"")</f>
        <v>47.379999999999995</v>
      </c>
      <c r="OQ6" s="7">
        <f t="shared" ref="OQ6" si="5">IF(SUM(ON6,OP6)&gt;0,SUM(ON6,OP6),"")</f>
        <v>134.94999999999999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82</v>
      </c>
      <c r="C7" s="4" t="s">
        <v>68</v>
      </c>
      <c r="D7" s="4">
        <v>2008</v>
      </c>
      <c r="E7" s="10">
        <f>SUM(I7:Q7)</f>
        <v>222.44000000000005</v>
      </c>
      <c r="F7" s="3" t="str">
        <f>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P","")</f>
        <v/>
      </c>
      <c r="G7" s="3" t="str">
        <f>IF(OR(AND(AT7&gt;=AW$16,AO7&lt;&gt;"",AN7=""),AND(BX7&gt;=CA$16,BS7&lt;&gt;"",BR7=""),AND(DB7&gt;=DE$16,CW7&lt;&gt;"",CV7=""),AND(EB7&gt;=EE$16,DY7&lt;&gt;""),AND(EX7&gt;=FA$16,EU7&lt;&gt;""),AND(FT7&gt;=FW$16,FQ7&lt;&gt;""),AND(GP7&gt;=GS$16,GM7&lt;&gt;""),AND(HL7&gt;=HO$16,HI7&lt;&gt;""),AND(IH7&gt;=IK$16,IE7&lt;&gt;""),AND(JD7&gt;=JG$16,JA7&lt;&gt;""),AND(JZ7&gt;=KC$16,JW7&lt;&gt;""),AND(KV7&gt;=KY$16,KS7&lt;&gt;""),AND(LR7&gt;=LU$16,LO7&lt;&gt;""),AND(MN7&gt;=MQ$16,MK7&lt;&gt;""),AND(NJ7&gt;=NM$16,NG7&lt;&gt;"")),"P","")</f>
        <v/>
      </c>
      <c r="H7" s="47" t="str">
        <f>IF(OR(AND(AP7&gt;=AW$15,AQ7&gt;=AW$19,AP7&lt;&gt;"",AN7=""),AND(AU7&gt;=AW$15,AV7&gt;=AW$19,AU7&lt;&gt;"",AN7=""),AND(BT7&gt;=CA$15,BU7&gt;=CA$19,BT7&lt;&gt;"",BR7=""),AND(BY7&gt;=CA$15,BZ7&gt;=CA$19,BY7&lt;&gt;"",BR7=""),AND(CX7&gt;=DE$15,CY7&gt;=DE$19,CX7&lt;&gt;"",CV7=""),AND(DC7&gt;=DE$15,DD7&gt;=DE$19,DC7&lt;&gt;"",CV7=""),AND(DY7&gt;=EE$15,EA7&gt;=EE$19,DY7&lt;&gt;""),AND(EC7&gt;=EE$15,ED7&gt;=EE$19,EC7&lt;&gt;""),AND(EU7&gt;=FA$15,EW7&gt;=FA$19,EU7&lt;&gt;""),AND(EY7&gt;=FA$15,EZ7&gt;=FA$19,EY7&lt;&gt;""),AND(FQ7&gt;=FW$15,FS7&gt;=FW$19,FQ7&lt;&gt;""),AND(FU7&gt;=FW$15,FV7&gt;=FW$19,FU7&lt;&gt;""),AND(GM7&gt;=GS$15,GO7&gt;=GS$19,GM7&lt;&gt;""),AND(GQ7&gt;=GS$15,GR7&gt;=GS$19,GQ7&lt;&gt;""),AND(HI7&gt;=HO$15,HK7&gt;=HO$19,HI7&lt;&gt;""),AND(HM7&gt;=HO$15,HN7&gt;=HO$19,HM7&lt;&gt;""),AND(IE7&gt;=IK$15,IG7&gt;=IK$19,IE7&lt;&gt;""),AND(II7&gt;=IK$15,IJ7&gt;=IK$19,II7&lt;&gt;""),AND(JA7&gt;=JG$15,JC7&gt;=JG$19,JA7&lt;&gt;""),AND(JE7&gt;=JG$15,JF7&gt;=JG$19,JE7&lt;&gt;""),AND(JW7&gt;=KC$15,JY7&gt;=KC$19,JW7&lt;&gt;""),AND(KA7&gt;=KC$15,KB7&gt;=KC$19,KA7&lt;&gt;""),AND(KS7&gt;=KY$15,KU7&gt;=KY$19,KS7&lt;&gt;""),AND(KW7&gt;=KY$15,KX7&gt;=KY$19,KW7&lt;&gt;""),AND(LO7&gt;=LU$15,LQ7&gt;=LU$19,LO7&lt;&gt;""),AND(LS7&gt;=LU$15,LT7&gt;=LU$19,LS7&lt;&gt;""),AND(MK7&gt;=MQ$15,MM7&gt;=MQ$19,MK7&lt;&gt;""),AND(MO7&gt;=MQ$15,MP7&gt;=MQ$19,MO7&lt;&gt;""),AND(NG7&gt;=NM$15,NI7&gt;=NM$19,NG7&lt;&gt;""),AND(NK7&gt;=NM$15,NL7&gt;=NM$19,NK7&lt;&gt;"")),"Merit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Excellence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National Team",IF(G7="P","No DD",""))))</f>
        <v/>
      </c>
      <c r="I7" s="9">
        <f>IF(MAX(AT7,BX7,DB7)&gt;0,MAX(AT7,BX7,DB7),0)</f>
        <v>87.200000000000017</v>
      </c>
      <c r="J7" s="9" t="str">
        <f>IF(I7=0,"",IF(I7=DB7,$CB$1,IF(I7=BX7,$AX$1,IF(I7=AT7,$T$1,""))))</f>
        <v>2024 Elite Canada</v>
      </c>
      <c r="K7" s="9">
        <f>IF($I7=$AT7,MAX(BS7,CW7),IF($I7=$BX7,MAX(AO7,CW7),IF($I7=$DB7,MAX(AO7,BS7),MAX(AO7,BS7,CW7))))</f>
        <v>40.68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46.64</v>
      </c>
      <c r="N7" s="9" t="str">
        <f>IF(M7=0,"",IF(AND(OR(M7=DA7,M7=CY7),$J7&lt;&gt;$CB$1),$CB$1,IF(AND(OR(M7=BW7,M7=BU7),$J7&lt;&gt;$AX$1),$AX$1,IF(AND(OR(M7=AS7,M7=AQ7),$J7&lt;&gt;$T$1),$T$1,""))))</f>
        <v>2023 Nationals</v>
      </c>
      <c r="O7" s="9">
        <f>MAX(AV7,BZ7,DD7)</f>
        <v>47.92</v>
      </c>
      <c r="P7" s="9" t="str">
        <f>IF(O7=0,"",IF(O7=DD7,$CB$1,IF(O7=BZ7,$AX$1,IF(O7=AV7,$T$1,""))))</f>
        <v>2024 Elite Canada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16.3</v>
      </c>
      <c r="U7" s="27">
        <v>9.5</v>
      </c>
      <c r="V7" s="27">
        <v>0</v>
      </c>
      <c r="W7" s="27">
        <v>13.98</v>
      </c>
      <c r="X7" s="27">
        <v>0</v>
      </c>
      <c r="Y7" s="27">
        <v>13.1</v>
      </c>
      <c r="Z7" s="27">
        <v>9.3000000000000007</v>
      </c>
      <c r="AA7" s="27">
        <v>11</v>
      </c>
      <c r="AB7" s="27">
        <v>13.24</v>
      </c>
      <c r="AC7" s="27">
        <v>0</v>
      </c>
      <c r="AD7" s="27"/>
      <c r="AE7" s="27"/>
      <c r="AF7" s="27"/>
      <c r="AG7" s="27"/>
      <c r="AH7" s="27"/>
      <c r="AI7" s="27">
        <v>1.5</v>
      </c>
      <c r="AJ7" s="27">
        <v>1</v>
      </c>
      <c r="AK7" s="27">
        <v>1.5</v>
      </c>
      <c r="AL7" s="27">
        <v>1.37</v>
      </c>
      <c r="AM7" s="27">
        <v>0</v>
      </c>
      <c r="AN7" s="32"/>
      <c r="AO7" s="7">
        <f>IF(SUM(T7:W7)-X7&gt;0,SUM(T7:W7)-X7,"")</f>
        <v>39.78</v>
      </c>
      <c r="AP7" s="7">
        <f>IF(AA7&gt;0,AA7,"")</f>
        <v>11</v>
      </c>
      <c r="AQ7" s="7">
        <f>IF(SUM(Y7:AB7)-AC7&gt;0,SUM(Y7:AB7)-AC7,"")</f>
        <v>46.64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86.42</v>
      </c>
      <c r="AU7" s="7">
        <f>IF(AK7&gt;0,AK7,"")</f>
        <v>1.5</v>
      </c>
      <c r="AV7" s="7">
        <f>IF(SUM(AI7:AL7)-AM7&gt;0,SUM(AI7:AL7)-AM7,"")</f>
        <v>5.37</v>
      </c>
      <c r="AW7" s="7">
        <f>IF(SUM(AT7,AV7)&gt;0,SUM(AT7,AV7),"")</f>
        <v>91.79</v>
      </c>
      <c r="AX7" s="31">
        <v>17</v>
      </c>
      <c r="AY7" s="31">
        <v>9.3000000000000007</v>
      </c>
      <c r="AZ7" s="31">
        <v>0</v>
      </c>
      <c r="BA7" s="31">
        <v>14.38</v>
      </c>
      <c r="BB7" s="31">
        <v>0</v>
      </c>
      <c r="BC7" s="31">
        <v>2.7</v>
      </c>
      <c r="BD7" s="31">
        <v>1.7</v>
      </c>
      <c r="BE7" s="31">
        <v>2.5</v>
      </c>
      <c r="BF7" s="31">
        <v>2.88</v>
      </c>
      <c r="BG7" s="31">
        <v>0</v>
      </c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3"/>
      <c r="BS7" s="9">
        <f>IF(SUM(AX7:BA7)-BB7&gt;0,SUM(AX7:BA7)-BB7,"")</f>
        <v>40.68</v>
      </c>
      <c r="BT7" s="9">
        <f>IF(BE7&gt;0,BE7,"")</f>
        <v>2.5</v>
      </c>
      <c r="BU7" s="9">
        <f>IF(SUM(BC7:BF7)-BG7&gt;0,SUM(BC7:BF7)-BG7,"")</f>
        <v>9.7800000000000011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50.46</v>
      </c>
      <c r="BY7" s="9" t="str">
        <f>IF(BO7&gt;0,BO7,"")</f>
        <v/>
      </c>
      <c r="BZ7" s="9" t="str">
        <f>IF(SUM(BM7:BP7)-BQ7&gt;0,SUM(BM7:BP7)-BQ7,"")</f>
        <v/>
      </c>
      <c r="CA7" s="9">
        <f>IF(SUM(BX7,BZ7)&gt;0,SUM(BX7,BZ7),"")</f>
        <v>50.46</v>
      </c>
      <c r="CB7" s="27">
        <v>16.3</v>
      </c>
      <c r="CC7" s="27">
        <v>9.3000000000000007</v>
      </c>
      <c r="CD7" s="27">
        <v>0</v>
      </c>
      <c r="CE7" s="27">
        <v>14</v>
      </c>
      <c r="CF7" s="27">
        <v>0</v>
      </c>
      <c r="CG7" s="27">
        <v>14.3</v>
      </c>
      <c r="CH7" s="27">
        <v>9.4</v>
      </c>
      <c r="CI7" s="27">
        <v>10.199999999999999</v>
      </c>
      <c r="CJ7" s="27">
        <v>13.7</v>
      </c>
      <c r="CK7" s="27">
        <v>0</v>
      </c>
      <c r="CL7" s="27"/>
      <c r="CM7" s="27"/>
      <c r="CN7" s="27"/>
      <c r="CO7" s="27"/>
      <c r="CP7" s="27"/>
      <c r="CQ7" s="27">
        <v>14.7</v>
      </c>
      <c r="CR7" s="27">
        <v>9.3000000000000007</v>
      </c>
      <c r="CS7" s="27">
        <v>10.199999999999999</v>
      </c>
      <c r="CT7" s="27">
        <v>13.72</v>
      </c>
      <c r="CU7" s="27">
        <v>0</v>
      </c>
      <c r="CV7" s="32"/>
      <c r="CW7" s="7">
        <f>IF(SUM(CB7:CE7)-CF7&gt;0,SUM(CB7:CE7)-CF7,"")</f>
        <v>39.6</v>
      </c>
      <c r="CX7" s="7">
        <f>IF(CI7&gt;0,CI7,"")</f>
        <v>10.199999999999999</v>
      </c>
      <c r="CY7" s="7">
        <f>IF(SUM(CG7:CJ7)-CK7&gt;0,SUM(CG7:CJ7)-CK7,"")</f>
        <v>47.600000000000009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87.200000000000017</v>
      </c>
      <c r="DC7" s="7">
        <f>IF(CS7&gt;0,CS7,"")</f>
        <v>10.199999999999999</v>
      </c>
      <c r="DD7" s="7">
        <f>IF(SUM(CQ7:CT7)-CU7&gt;0,SUM(CQ7:CT7)-CU7,"")</f>
        <v>47.92</v>
      </c>
      <c r="DE7" s="7">
        <f>IF(SUM(DB7,DD7)&gt;0,SUM(DB7,DD7),"")</f>
        <v>135.12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>
        <v>16</v>
      </c>
      <c r="FC7" s="18">
        <v>9.4</v>
      </c>
      <c r="FD7" s="18">
        <v>0</v>
      </c>
      <c r="FE7" s="18">
        <v>14.44</v>
      </c>
      <c r="FF7" s="18">
        <v>0</v>
      </c>
      <c r="FG7" s="18">
        <v>12.3</v>
      </c>
      <c r="FH7" s="18">
        <v>9.3000000000000007</v>
      </c>
      <c r="FI7" s="18">
        <v>10.199999999999999</v>
      </c>
      <c r="FJ7" s="18">
        <v>14.11</v>
      </c>
      <c r="FK7" s="18">
        <v>0</v>
      </c>
      <c r="FL7" s="18"/>
      <c r="FM7" s="18"/>
      <c r="FN7" s="18"/>
      <c r="FO7" s="18"/>
      <c r="FP7" s="18"/>
      <c r="FQ7" s="7">
        <f>IF(FI7&gt;0,FI7,"")</f>
        <v>10.199999999999999</v>
      </c>
      <c r="FR7" s="7">
        <f>IF(SUM(FB7:FE7)-FF7&gt;0,SUM(FB7:FE7)-FF7,"")</f>
        <v>39.839999999999996</v>
      </c>
      <c r="FS7" s="7">
        <f>IF(SUM(FG7:FJ7)-FK7&gt;0,SUM(FG7:FJ7)-FK7,"")</f>
        <v>45.91</v>
      </c>
      <c r="FT7" s="7">
        <f>IF(SUM(FR7:FS7)&gt;0,SUM(FR7:FS7),"")</f>
        <v>85.75</v>
      </c>
      <c r="FU7" s="7" t="str">
        <f>IF(FN7&gt;0,FN7,"")</f>
        <v/>
      </c>
      <c r="FV7" s="7" t="str">
        <f>IF(SUM(FL7:FO7)-FP7&gt;0,SUM(FL7:FO7)-FP7,"")</f>
        <v/>
      </c>
      <c r="FW7" s="7">
        <f>IF(SUM(FT7,FV7)&gt;0,SUM(FT7,FV7),"")</f>
        <v>85.75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16.649999999999999</v>
      </c>
      <c r="NO7" s="27">
        <f>IF($CV7="P",CC7,(CC7+AY7)/2)</f>
        <v>9.3000000000000007</v>
      </c>
      <c r="NP7" s="27">
        <f>IF($CV7="P",CD7,(CD7+AZ7)/2)</f>
        <v>0</v>
      </c>
      <c r="NQ7" s="27">
        <f>IF($CV7="P",CE7,(CE7+BA7)/2)</f>
        <v>14.190000000000001</v>
      </c>
      <c r="NR7" s="27">
        <f>IF($CV7="P",CF7,(CF7+BB7)/2)</f>
        <v>0</v>
      </c>
      <c r="NS7" s="27">
        <f>IF($CV7="P",CG7,(CG7+BC7)/2)</f>
        <v>8.5</v>
      </c>
      <c r="NT7" s="27">
        <f>IF($CV7="P",CH7,(CH7+BD7)/2)</f>
        <v>5.55</v>
      </c>
      <c r="NU7" s="27">
        <f>IF($CV7="P",CI7,(CI7+BE7)/2)</f>
        <v>6.35</v>
      </c>
      <c r="NV7" s="27">
        <f>IF($CV7="P",CJ7,(CJ7+BF7)/2)</f>
        <v>8.2899999999999991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7.35</v>
      </c>
      <c r="OD7" s="27">
        <f>IF($CV7="P",CR7,(CR7+BN7)/2)</f>
        <v>4.6500000000000004</v>
      </c>
      <c r="OE7" s="27">
        <f>IF($CV7="P",CS7,(CS7+BO7)/2)</f>
        <v>5.0999999999999996</v>
      </c>
      <c r="OF7" s="27">
        <f>IF($CV7="P",CT7,(CT7+BP7)/2)</f>
        <v>6.86</v>
      </c>
      <c r="OG7" s="27">
        <f>IF($CV7="P",CU7,(CU7+BQ7)/2)</f>
        <v>0</v>
      </c>
      <c r="OH7" s="32" t="s">
        <v>44</v>
      </c>
      <c r="OI7" s="7">
        <f>IF(SUM(NN7:NQ7)-NR7&gt;0,SUM(NN7:NQ7)-NR7,"")</f>
        <v>40.14</v>
      </c>
      <c r="OJ7" s="7">
        <f>IF(NU7&gt;0,NU7,"")</f>
        <v>6.35</v>
      </c>
      <c r="OK7" s="7">
        <f>IF(SUM(NS7:NV7)-NW7&gt;0,SUM(NS7:NV7)-NW7,"")</f>
        <v>28.689999999999998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68.83</v>
      </c>
      <c r="OO7" s="7">
        <f>IF(OE7&gt;0,OE7,"")</f>
        <v>5.0999999999999996</v>
      </c>
      <c r="OP7" s="7">
        <f t="shared" ref="OP7" si="6">IF(SUM(OC7:OF7)-OG7&gt;0,SUM(OC7:OF7)-OG7,"")</f>
        <v>23.96</v>
      </c>
      <c r="OQ7" s="7">
        <f t="shared" ref="OQ7" si="7">IF(SUM(ON7,OP7)&gt;0,SUM(ON7,OP7),"")</f>
        <v>92.789999999999992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93</v>
      </c>
      <c r="C8" s="4" t="s">
        <v>66</v>
      </c>
      <c r="D8" s="4">
        <v>2008</v>
      </c>
      <c r="E8" s="10">
        <f>SUM(I8:Q8)</f>
        <v>211.11</v>
      </c>
      <c r="F8" s="3" t="str">
        <f>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P","")</f>
        <v/>
      </c>
      <c r="G8" s="3" t="str">
        <f>IF(OR(AND(AT8&gt;=AW$16,AO8&lt;&gt;"",AN8=""),AND(BX8&gt;=CA$16,BS8&lt;&gt;"",BR8=""),AND(DB8&gt;=DE$16,CW8&lt;&gt;"",CV8=""),AND(EB8&gt;=EE$16,DY8&lt;&gt;""),AND(EX8&gt;=FA$16,EU8&lt;&gt;""),AND(FT8&gt;=FW$16,FQ8&lt;&gt;""),AND(GP8&gt;=GS$16,GM8&lt;&gt;""),AND(HL8&gt;=HO$16,HI8&lt;&gt;""),AND(IH8&gt;=IK$16,IE8&lt;&gt;""),AND(JD8&gt;=JG$16,JA8&lt;&gt;""),AND(JZ8&gt;=KC$16,JW8&lt;&gt;""),AND(KV8&gt;=KY$16,KS8&lt;&gt;""),AND(LR8&gt;=LU$16,LO8&lt;&gt;""),AND(MN8&gt;=MQ$16,MK8&lt;&gt;""),AND(NJ8&gt;=NM$16,NG8&lt;&gt;"")),"P","")</f>
        <v/>
      </c>
      <c r="H8" s="47" t="str">
        <f>IF(OR(AND(AP8&gt;=AW$15,AQ8&gt;=AW$19,AP8&lt;&gt;"",AN8=""),AND(AU8&gt;=AW$15,AV8&gt;=AW$19,AU8&lt;&gt;"",AN8=""),AND(BT8&gt;=CA$15,BU8&gt;=CA$19,BT8&lt;&gt;"",BR8=""),AND(BY8&gt;=CA$15,BZ8&gt;=CA$19,BY8&lt;&gt;"",BR8=""),AND(CX8&gt;=DE$15,CY8&gt;=DE$19,CX8&lt;&gt;"",CV8=""),AND(DC8&gt;=DE$15,DD8&gt;=DE$19,DC8&lt;&gt;"",CV8=""),AND(DY8&gt;=EE$15,EA8&gt;=EE$19,DY8&lt;&gt;""),AND(EC8&gt;=EE$15,ED8&gt;=EE$19,EC8&lt;&gt;""),AND(EU8&gt;=FA$15,EW8&gt;=FA$19,EU8&lt;&gt;""),AND(EY8&gt;=FA$15,EZ8&gt;=FA$19,EY8&lt;&gt;""),AND(FQ8&gt;=FW$15,FS8&gt;=FW$19,FQ8&lt;&gt;""),AND(FU8&gt;=FW$15,FV8&gt;=FW$19,FU8&lt;&gt;""),AND(GM8&gt;=GS$15,GO8&gt;=GS$19,GM8&lt;&gt;""),AND(GQ8&gt;=GS$15,GR8&gt;=GS$19,GQ8&lt;&gt;""),AND(HI8&gt;=HO$15,HK8&gt;=HO$19,HI8&lt;&gt;""),AND(HM8&gt;=HO$15,HN8&gt;=HO$19,HM8&lt;&gt;""),AND(IE8&gt;=IK$15,IG8&gt;=IK$19,IE8&lt;&gt;""),AND(II8&gt;=IK$15,IJ8&gt;=IK$19,II8&lt;&gt;""),AND(JA8&gt;=JG$15,JC8&gt;=JG$19,JA8&lt;&gt;""),AND(JE8&gt;=JG$15,JF8&gt;=JG$19,JE8&lt;&gt;""),AND(JW8&gt;=KC$15,JY8&gt;=KC$19,JW8&lt;&gt;""),AND(KA8&gt;=KC$15,KB8&gt;=KC$19,KA8&lt;&gt;""),AND(KS8&gt;=KY$15,KU8&gt;=KY$19,KS8&lt;&gt;""),AND(KW8&gt;=KY$15,KX8&gt;=KY$19,KW8&lt;&gt;""),AND(LO8&gt;=LU$15,LQ8&gt;=LU$19,LO8&lt;&gt;""),AND(LS8&gt;=LU$15,LT8&gt;=LU$19,LS8&lt;&gt;""),AND(MK8&gt;=MQ$15,MM8&gt;=MQ$19,MK8&lt;&gt;""),AND(MO8&gt;=MQ$15,MP8&gt;=MQ$19,MO8&lt;&gt;""),AND(NG8&gt;=NM$15,NI8&gt;=NM$19,NG8&lt;&gt;""),AND(NK8&gt;=NM$15,NL8&gt;=NM$19,NK8&lt;&gt;"")),"Merit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Excellence",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National Team",IF(G8="P","No DD",""))))</f>
        <v/>
      </c>
      <c r="I8" s="9">
        <f>IF(MAX(AT8,BX8,DB8)&gt;0,MAX(AT8,BX8,DB8),0)</f>
        <v>83.289999999999992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39.71</v>
      </c>
      <c r="L8" s="9" t="str">
        <f>IF(K8=0,"",IF(AND(K8=CW8,$J8&lt;&gt;$CB$1),$CB$1,IF(AND(K8=BS8,$J8&lt;&gt;$AX$1),$AX$1,IF(AND(K8=AO8,$J8&lt;&gt;$T$1),$T$1,""))))</f>
        <v>2024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41.53</v>
      </c>
      <c r="N8" s="9" t="str">
        <f>IF(M8=0,"",IF(AND(OR(M8=DA8,M8=CY8),$J8&lt;&gt;$CB$1),$CB$1,IF(AND(OR(M8=BW8,M8=BU8),$J8&lt;&gt;$AX$1),$AX$1,IF(AND(OR(M8=AS8,M8=AQ8),$J8&lt;&gt;$T$1),$T$1,""))))</f>
        <v>2023 3rd Domestic Trial</v>
      </c>
      <c r="O8" s="9">
        <f>MAX(AV8,BZ8,DD8)</f>
        <v>46.58</v>
      </c>
      <c r="P8" s="9" t="str">
        <f>IF(O8=0,"",IF(O8=DD8,$CB$1,IF(O8=BZ8,$AX$1,IF(O8=AV8,$T$1,""))))</f>
        <v>2023 Nationals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>
        <v>15.5</v>
      </c>
      <c r="U8" s="27">
        <v>9.4</v>
      </c>
      <c r="V8" s="27">
        <v>0</v>
      </c>
      <c r="W8" s="27">
        <v>14.14</v>
      </c>
      <c r="X8" s="27">
        <v>0</v>
      </c>
      <c r="Y8" s="27">
        <v>12.6</v>
      </c>
      <c r="Z8" s="27">
        <v>8.9</v>
      </c>
      <c r="AA8" s="27">
        <v>9.6</v>
      </c>
      <c r="AB8" s="27">
        <v>13.15</v>
      </c>
      <c r="AC8" s="27">
        <v>0</v>
      </c>
      <c r="AD8" s="27"/>
      <c r="AE8" s="27"/>
      <c r="AF8" s="27"/>
      <c r="AG8" s="27"/>
      <c r="AH8" s="27"/>
      <c r="AI8" s="27">
        <v>14.3</v>
      </c>
      <c r="AJ8" s="27">
        <v>9.1</v>
      </c>
      <c r="AK8" s="27">
        <v>9.6</v>
      </c>
      <c r="AL8" s="27">
        <v>13.58</v>
      </c>
      <c r="AM8" s="27">
        <v>0</v>
      </c>
      <c r="AN8" s="32"/>
      <c r="AO8" s="7">
        <f>IF(SUM(T8:W8)-X8&gt;0,SUM(T8:W8)-X8,"")</f>
        <v>39.04</v>
      </c>
      <c r="AP8" s="7">
        <f>IF(AA8&gt;0,AA8,"")</f>
        <v>9.6</v>
      </c>
      <c r="AQ8" s="7">
        <f>IF(SUM(Y8:AB8)-AC8&gt;0,SUM(Y8:AB8)-AC8,"")</f>
        <v>44.25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83.289999999999992</v>
      </c>
      <c r="AU8" s="7">
        <f>IF(AK8&gt;0,AK8,"")</f>
        <v>9.6</v>
      </c>
      <c r="AV8" s="7">
        <f>IF(SUM(AI8:AL8)-AM8&gt;0,SUM(AI8:AL8)-AM8,"")</f>
        <v>46.58</v>
      </c>
      <c r="AW8" s="7">
        <f>IF(SUM(AT8,AV8)&gt;0,SUM(AT8,AV8),"")</f>
        <v>129.87</v>
      </c>
      <c r="AX8" s="31">
        <v>3.2</v>
      </c>
      <c r="AY8" s="31">
        <v>1.8</v>
      </c>
      <c r="AZ8" s="31">
        <v>0</v>
      </c>
      <c r="BA8" s="31">
        <v>2.9</v>
      </c>
      <c r="BB8" s="31">
        <v>0</v>
      </c>
      <c r="BC8" s="31">
        <v>12.1</v>
      </c>
      <c r="BD8" s="31">
        <v>7.9</v>
      </c>
      <c r="BE8" s="31">
        <v>8.8999999999999986</v>
      </c>
      <c r="BF8" s="31">
        <v>12.63</v>
      </c>
      <c r="BG8" s="31">
        <v>0</v>
      </c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3"/>
      <c r="BS8" s="9">
        <f>IF(SUM(AX8:BA8)-BB8&gt;0,SUM(AX8:BA8)-BB8,"")</f>
        <v>7.9</v>
      </c>
      <c r="BT8" s="9">
        <f>IF(BE8&gt;0,BE8,"")</f>
        <v>8.8999999999999986</v>
      </c>
      <c r="BU8" s="9">
        <f>IF(SUM(BC8:BF8)-BG8&gt;0,SUM(BC8:BF8)-BG8,"")</f>
        <v>41.53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49.43</v>
      </c>
      <c r="BY8" s="9" t="str">
        <f>IF(BO8&gt;0,BO8,"")</f>
        <v/>
      </c>
      <c r="BZ8" s="9" t="str">
        <f>IF(SUM(BM8:BP8)-BQ8&gt;0,SUM(BM8:BP8)-BQ8,"")</f>
        <v/>
      </c>
      <c r="CA8" s="9">
        <f>IF(SUM(BX8,BZ8)&gt;0,SUM(BX8,BZ8),"")</f>
        <v>49.43</v>
      </c>
      <c r="CB8" s="27">
        <v>15.6</v>
      </c>
      <c r="CC8" s="27">
        <v>9.6</v>
      </c>
      <c r="CD8" s="27">
        <v>0</v>
      </c>
      <c r="CE8" s="27">
        <v>14.51</v>
      </c>
      <c r="CF8" s="27">
        <v>0</v>
      </c>
      <c r="CG8" s="27">
        <v>1.4</v>
      </c>
      <c r="CH8" s="27">
        <v>0.9</v>
      </c>
      <c r="CI8" s="27">
        <v>1.5</v>
      </c>
      <c r="CJ8" s="27">
        <v>1.54</v>
      </c>
      <c r="CK8" s="27">
        <v>0</v>
      </c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32"/>
      <c r="CW8" s="7">
        <f>IF(SUM(CB8:CE8)-CF8&gt;0,SUM(CB8:CE8)-CF8,"")</f>
        <v>39.71</v>
      </c>
      <c r="CX8" s="7">
        <f>IF(CI8&gt;0,CI8,"")</f>
        <v>1.5</v>
      </c>
      <c r="CY8" s="7">
        <f>IF(SUM(CG8:CJ8)-CK8&gt;0,SUM(CG8:CJ8)-CK8,"")</f>
        <v>5.34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45.05</v>
      </c>
      <c r="DC8" s="7" t="str">
        <f>IF(CS8&gt;0,CS8,"")</f>
        <v/>
      </c>
      <c r="DD8" s="7" t="str">
        <f>IF(SUM(CQ8:CT8)-CU8&gt;0,SUM(CQ8:CT8)-CU8,"")</f>
        <v/>
      </c>
      <c r="DE8" s="7">
        <f>IF(SUM(DB8,DD8)&gt;0,SUM(DB8,DD8),"")</f>
        <v>45.05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9.4</v>
      </c>
      <c r="NO8" s="27">
        <f>IF($CV8="P",CC8,(CC8+AY8)/2)</f>
        <v>5.7</v>
      </c>
      <c r="NP8" s="27">
        <f>IF($CV8="P",CD8,(CD8+AZ8)/2)</f>
        <v>0</v>
      </c>
      <c r="NQ8" s="27">
        <f>IF($CV8="P",CE8,(CE8+BA8)/2)</f>
        <v>8.7050000000000001</v>
      </c>
      <c r="NR8" s="27">
        <f>IF($CV8="P",CF8,(CF8+BB8)/2)</f>
        <v>0</v>
      </c>
      <c r="NS8" s="27">
        <f>IF($CV8="P",CG8,(CG8+BC8)/2)</f>
        <v>6.75</v>
      </c>
      <c r="NT8" s="27">
        <f>IF($CV8="P",CH8,(CH8+BD8)/2)</f>
        <v>4.4000000000000004</v>
      </c>
      <c r="NU8" s="27">
        <f>IF($CV8="P",CI8,(CI8+BE8)/2)</f>
        <v>5.1999999999999993</v>
      </c>
      <c r="NV8" s="27">
        <f>IF($CV8="P",CJ8,(CJ8+BF8)/2)</f>
        <v>7.0850000000000009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0</v>
      </c>
      <c r="OD8" s="27">
        <f>IF($CV8="P",CR8,(CR8+BN8)/2)</f>
        <v>0</v>
      </c>
      <c r="OE8" s="27">
        <f>IF($CV8="P",CS8,(CS8+BO8)/2)</f>
        <v>0</v>
      </c>
      <c r="OF8" s="27">
        <f>IF($CV8="P",CT8,(CT8+BP8)/2)</f>
        <v>0</v>
      </c>
      <c r="OG8" s="27">
        <f>IF($CV8="P",CU8,(CU8+BQ8)/2)</f>
        <v>0</v>
      </c>
      <c r="OH8" s="32" t="s">
        <v>44</v>
      </c>
      <c r="OI8" s="7">
        <f>IF(SUM(NN8:NQ8)-NR8&gt;0,SUM(NN8:NQ8)-NR8,"")</f>
        <v>23.805</v>
      </c>
      <c r="OJ8" s="7">
        <f>IF(NU8&gt;0,NU8,"")</f>
        <v>5.1999999999999993</v>
      </c>
      <c r="OK8" s="7">
        <f>IF(SUM(NS8:NV8)-NW8&gt;0,SUM(NS8:NV8)-NW8,"")</f>
        <v>23.435000000000002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47.24</v>
      </c>
      <c r="OO8" s="7" t="str">
        <f>IF(OE8&gt;0,OE8,"")</f>
        <v/>
      </c>
      <c r="OP8" s="7" t="str">
        <f t="shared" ref="OP8" si="8">IF(SUM(OC8:OF8)-OG8&gt;0,SUM(OC8:OF8)-OG8,"")</f>
        <v/>
      </c>
      <c r="OQ8" s="7">
        <f t="shared" ref="OQ8" si="9">IF(SUM(ON8,OP8)&gt;0,SUM(ON8,OP8),"")</f>
        <v>47.24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89</v>
      </c>
      <c r="C9" s="4" t="s">
        <v>66</v>
      </c>
      <c r="D9" s="4">
        <v>2008</v>
      </c>
      <c r="E9" s="10">
        <f>SUM(I9:Q9)</f>
        <v>206.73000000000002</v>
      </c>
      <c r="F9" s="3" t="str">
        <f>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P","")</f>
        <v/>
      </c>
      <c r="G9" s="3" t="str">
        <f>IF(OR(AND(AT9&gt;=AW$16,AO9&lt;&gt;"",AN9=""),AND(BX9&gt;=CA$16,BS9&lt;&gt;"",BR9=""),AND(DB9&gt;=DE$16,CW9&lt;&gt;"",CV9=""),AND(EB9&gt;=EE$16,DY9&lt;&gt;""),AND(EX9&gt;=FA$16,EU9&lt;&gt;""),AND(FT9&gt;=FW$16,FQ9&lt;&gt;""),AND(GP9&gt;=GS$16,GM9&lt;&gt;""),AND(HL9&gt;=HO$16,HI9&lt;&gt;""),AND(IH9&gt;=IK$16,IE9&lt;&gt;""),AND(JD9&gt;=JG$16,JA9&lt;&gt;""),AND(JZ9&gt;=KC$16,JW9&lt;&gt;""),AND(KV9&gt;=KY$16,KS9&lt;&gt;""),AND(LR9&gt;=LU$16,LO9&lt;&gt;""),AND(MN9&gt;=MQ$16,MK9&lt;&gt;""),AND(NJ9&gt;=NM$16,NG9&lt;&gt;"")),"P","")</f>
        <v/>
      </c>
      <c r="H9" s="47" t="str">
        <f>IF(OR(AND(AP9&gt;=AW$15,AQ9&gt;=AW$19,AP9&lt;&gt;"",AN9=""),AND(AU9&gt;=AW$15,AV9&gt;=AW$19,AU9&lt;&gt;"",AN9=""),AND(BT9&gt;=CA$15,BU9&gt;=CA$19,BT9&lt;&gt;"",BR9=""),AND(BY9&gt;=CA$15,BZ9&gt;=CA$19,BY9&lt;&gt;"",BR9=""),AND(CX9&gt;=DE$15,CY9&gt;=DE$19,CX9&lt;&gt;"",CV9=""),AND(DC9&gt;=DE$15,DD9&gt;=DE$19,DC9&lt;&gt;"",CV9=""),AND(DY9&gt;=EE$15,EA9&gt;=EE$19,DY9&lt;&gt;""),AND(EC9&gt;=EE$15,ED9&gt;=EE$19,EC9&lt;&gt;""),AND(EU9&gt;=FA$15,EW9&gt;=FA$19,EU9&lt;&gt;""),AND(EY9&gt;=FA$15,EZ9&gt;=FA$19,EY9&lt;&gt;""),AND(FQ9&gt;=FW$15,FS9&gt;=FW$19,FQ9&lt;&gt;""),AND(FU9&gt;=FW$15,FV9&gt;=FW$19,FU9&lt;&gt;""),AND(GM9&gt;=GS$15,GO9&gt;=GS$19,GM9&lt;&gt;""),AND(GQ9&gt;=GS$15,GR9&gt;=GS$19,GQ9&lt;&gt;""),AND(HI9&gt;=HO$15,HK9&gt;=HO$19,HI9&lt;&gt;""),AND(HM9&gt;=HO$15,HN9&gt;=HO$19,HM9&lt;&gt;""),AND(IE9&gt;=IK$15,IG9&gt;=IK$19,IE9&lt;&gt;""),AND(II9&gt;=IK$15,IJ9&gt;=IK$19,II9&lt;&gt;""),AND(JA9&gt;=JG$15,JC9&gt;=JG$19,JA9&lt;&gt;""),AND(JE9&gt;=JG$15,JF9&gt;=JG$19,JE9&lt;&gt;""),AND(JW9&gt;=KC$15,JY9&gt;=KC$19,JW9&lt;&gt;""),AND(KA9&gt;=KC$15,KB9&gt;=KC$19,KA9&lt;&gt;""),AND(KS9&gt;=KY$15,KU9&gt;=KY$19,KS9&lt;&gt;""),AND(KW9&gt;=KY$15,KX9&gt;=KY$19,KW9&lt;&gt;""),AND(LO9&gt;=LU$15,LQ9&gt;=LU$19,LO9&lt;&gt;""),AND(LS9&gt;=LU$15,LT9&gt;=LU$19,LS9&lt;&gt;""),AND(MK9&gt;=MQ$15,MM9&gt;=MQ$19,MK9&lt;&gt;""),AND(MO9&gt;=MQ$15,MP9&gt;=MQ$19,MO9&lt;&gt;""),AND(NG9&gt;=NM$15,NI9&gt;=NM$19,NG9&lt;&gt;""),AND(NK9&gt;=NM$15,NL9&gt;=NM$19,NK9&lt;&gt;"")),"Merit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Excellence",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National Team",IF(G9="P","No DD",""))))</f>
        <v/>
      </c>
      <c r="I9" s="9">
        <f>IF(MAX(AT9,BX9,DB9)&gt;0,MAX(AT9,BX9,DB9),0)</f>
        <v>80.010000000000005</v>
      </c>
      <c r="J9" s="9" t="str">
        <f>IF(I9=0,"",IF(I9=DB9,$CB$1,IF(I9=BX9,$AX$1,IF(I9=AT9,$T$1,""))))</f>
        <v>2023 Nationals</v>
      </c>
      <c r="K9" s="9">
        <f>IF($I9=$AT9,MAX(BS9,CW9),IF($I9=$BX9,MAX(AO9,CW9),IF($I9=$DB9,MAX(AO9,BS9),MAX(AO9,BS9,CW9))))</f>
        <v>39.549999999999997</v>
      </c>
      <c r="L9" s="9" t="str">
        <f>IF(K9=0,"",IF(AND(K9=CW9,$J9&lt;&gt;$CB$1),$CB$1,IF(AND(K9=BS9,$J9&lt;&gt;$AX$1),$AX$1,IF(AND(K9=AO9,$J9&lt;&gt;$T$1),$T$1,""))))</f>
        <v>2024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22.689999999999998</v>
      </c>
      <c r="N9" s="9" t="str">
        <f>IF(M9=0,"",IF(AND(OR(M9=DA9,M9=CY9),$J9&lt;&gt;$CB$1),$CB$1,IF(AND(OR(M9=BW9,M9=BU9),$J9&lt;&gt;$AX$1),$AX$1,IF(AND(OR(M9=AS9,M9=AQ9),$J9&lt;&gt;$T$1),$T$1,""))))</f>
        <v>2024 Elite Canada</v>
      </c>
      <c r="O9" s="9">
        <f>MAX(AV9,BZ9,DD9)</f>
        <v>46.11</v>
      </c>
      <c r="P9" s="9" t="str">
        <f>IF(O9=0,"",IF(O9=DD9,$CB$1,IF(O9=BZ9,$AX$1,IF(O9=AV9,$T$1,""))))</f>
        <v>2024 Elite Canada</v>
      </c>
      <c r="Q9" s="9">
        <f>IF(MAX(DF9,DG9,DH9,DI9)&gt;0,MAX(DF9,DG9,DH9,DI9),"")</f>
        <v>18.370000000000005</v>
      </c>
      <c r="R9" s="14" t="str">
        <f>IF(Q9="","",IF(Q9=DF9,"(Vol 1)",IF(Q9=DG9,"(Vol 2)",IF(Q9=DH9,"(Prelim)",IF(Q9=DI9,"(Final)")))))</f>
        <v>(Vol 2)</v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>2023 WAGC (Nov 16)</v>
      </c>
      <c r="T9" s="27">
        <v>15.1</v>
      </c>
      <c r="U9" s="27">
        <v>9.5</v>
      </c>
      <c r="V9" s="27">
        <v>0</v>
      </c>
      <c r="W9" s="27">
        <v>12.85</v>
      </c>
      <c r="X9" s="27">
        <v>0</v>
      </c>
      <c r="Y9" s="27">
        <v>11</v>
      </c>
      <c r="Z9" s="27">
        <v>9.1</v>
      </c>
      <c r="AA9" s="27">
        <v>9.8000000000000007</v>
      </c>
      <c r="AB9" s="27">
        <v>12.66</v>
      </c>
      <c r="AC9" s="27">
        <v>0</v>
      </c>
      <c r="AD9" s="27"/>
      <c r="AE9" s="27"/>
      <c r="AF9" s="27"/>
      <c r="AG9" s="27"/>
      <c r="AH9" s="27"/>
      <c r="AI9" s="27">
        <v>6.9</v>
      </c>
      <c r="AJ9" s="27">
        <v>4.5999999999999996</v>
      </c>
      <c r="AK9" s="27">
        <v>5.4</v>
      </c>
      <c r="AL9" s="27">
        <v>6.48</v>
      </c>
      <c r="AM9" s="27">
        <v>0</v>
      </c>
      <c r="AN9" s="32"/>
      <c r="AO9" s="7">
        <f>IF(SUM(T9:W9)-X9&gt;0,SUM(T9:W9)-X9,"")</f>
        <v>37.450000000000003</v>
      </c>
      <c r="AP9" s="7">
        <f>IF(AA9&gt;0,AA9,"")</f>
        <v>9.8000000000000007</v>
      </c>
      <c r="AQ9" s="7">
        <f>IF(SUM(Y9:AB9)-AC9&gt;0,SUM(Y9:AB9)-AC9,"")</f>
        <v>42.56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80.010000000000005</v>
      </c>
      <c r="AU9" s="7">
        <f>IF(AK9&gt;0,AK9,"")</f>
        <v>5.4</v>
      </c>
      <c r="AV9" s="7">
        <f>IF(SUM(AI9:AL9)-AM9&gt;0,SUM(AI9:AL9)-AM9,"")</f>
        <v>23.38</v>
      </c>
      <c r="AW9" s="7">
        <f>IF(SUM(AT9,AV9)&gt;0,SUM(AT9,AV9),"")</f>
        <v>103.39</v>
      </c>
      <c r="AX9" s="31">
        <v>15.5</v>
      </c>
      <c r="AY9" s="31">
        <v>9.3000000000000007</v>
      </c>
      <c r="AZ9" s="31">
        <v>0</v>
      </c>
      <c r="BA9" s="31">
        <v>13.67</v>
      </c>
      <c r="BB9" s="31">
        <v>0</v>
      </c>
      <c r="BC9" s="31">
        <v>5.4</v>
      </c>
      <c r="BD9" s="31">
        <v>3.5</v>
      </c>
      <c r="BE9" s="31">
        <v>4.3</v>
      </c>
      <c r="BF9" s="31">
        <v>5.51</v>
      </c>
      <c r="BG9" s="31">
        <v>0</v>
      </c>
      <c r="BH9" s="31"/>
      <c r="BI9" s="31"/>
      <c r="BJ9" s="31"/>
      <c r="BK9" s="31"/>
      <c r="BL9" s="31"/>
      <c r="BM9" s="31">
        <v>14.1</v>
      </c>
      <c r="BN9" s="31">
        <v>8.6999999999999993</v>
      </c>
      <c r="BO9" s="31">
        <v>9.8000000000000007</v>
      </c>
      <c r="BP9" s="31">
        <v>13.28</v>
      </c>
      <c r="BQ9" s="31">
        <v>0</v>
      </c>
      <c r="BR9" s="33"/>
      <c r="BS9" s="9">
        <f>IF(SUM(AX9:BA9)-BB9&gt;0,SUM(AX9:BA9)-BB9,"")</f>
        <v>38.47</v>
      </c>
      <c r="BT9" s="9">
        <f>IF(BE9&gt;0,BE9,"")</f>
        <v>4.3</v>
      </c>
      <c r="BU9" s="9">
        <f>IF(SUM(BC9:BF9)-BG9&gt;0,SUM(BC9:BF9)-BG9,"")</f>
        <v>18.71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57.18</v>
      </c>
      <c r="BY9" s="9">
        <f>IF(BO9&gt;0,BO9,"")</f>
        <v>9.8000000000000007</v>
      </c>
      <c r="BZ9" s="9">
        <f>IF(SUM(BM9:BP9)-BQ9&gt;0,SUM(BM9:BP9)-BQ9,"")</f>
        <v>45.879999999999995</v>
      </c>
      <c r="CA9" s="9">
        <f>IF(SUM(BX9,BZ9)&gt;0,SUM(BX9,BZ9),"")</f>
        <v>103.06</v>
      </c>
      <c r="CB9" s="27">
        <v>16.399999999999999</v>
      </c>
      <c r="CC9" s="27">
        <v>10</v>
      </c>
      <c r="CD9" s="27">
        <v>0</v>
      </c>
      <c r="CE9" s="27">
        <v>13.15</v>
      </c>
      <c r="CF9" s="27">
        <v>0</v>
      </c>
      <c r="CG9" s="27">
        <v>6.6</v>
      </c>
      <c r="CH9" s="27">
        <v>4.4000000000000004</v>
      </c>
      <c r="CI9" s="27">
        <v>5.2</v>
      </c>
      <c r="CJ9" s="27">
        <v>6.49</v>
      </c>
      <c r="CK9" s="27">
        <v>0</v>
      </c>
      <c r="CL9" s="27"/>
      <c r="CM9" s="27"/>
      <c r="CN9" s="27"/>
      <c r="CO9" s="27"/>
      <c r="CP9" s="27"/>
      <c r="CQ9" s="27">
        <v>12.9</v>
      </c>
      <c r="CR9" s="27">
        <v>9.6999999999999993</v>
      </c>
      <c r="CS9" s="27">
        <v>10.5</v>
      </c>
      <c r="CT9" s="27">
        <v>13.01</v>
      </c>
      <c r="CU9" s="27">
        <v>0</v>
      </c>
      <c r="CV9" s="32"/>
      <c r="CW9" s="7">
        <f>IF(SUM(CB9:CE9)-CF9&gt;0,SUM(CB9:CE9)-CF9,"")</f>
        <v>39.549999999999997</v>
      </c>
      <c r="CX9" s="7">
        <f>IF(CI9&gt;0,CI9,"")</f>
        <v>5.2</v>
      </c>
      <c r="CY9" s="7">
        <f>IF(SUM(CG9:CJ9)-CK9&gt;0,SUM(CG9:CJ9)-CK9,"")</f>
        <v>22.689999999999998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62.239999999999995</v>
      </c>
      <c r="DC9" s="7">
        <f>IF(CS9&gt;0,CS9,"")</f>
        <v>10.5</v>
      </c>
      <c r="DD9" s="7">
        <f>IF(SUM(CQ9:CT9)-CU9&gt;0,SUM(CQ9:CT9)-CU9,"")</f>
        <v>46.11</v>
      </c>
      <c r="DE9" s="7">
        <f>IF(SUM(DB9,DD9)&gt;0,SUM(DB9,DD9),"")</f>
        <v>108.35</v>
      </c>
      <c r="DF9" s="13" t="str">
        <f>IF(MAX(DZ9,EV9,FR9,GN9,HJ9,IF9,JB9,JX9,KT9,LP9,ML9,NH9)-IF(K9="",0,K9)&gt;0.001,MAX(DZ9,EV9,FR9,GN9,HJ9,IF9,JB9,JX9,KT9,LP9,ML9,NH9)-IF(K9="",0,K9),"")</f>
        <v/>
      </c>
      <c r="DG9" s="13">
        <f>IF(MAX(EA9,EW9,FS9,GO9,HK9,IG9,JC9,JY9,KU9,LQ9,MM9,NI9)-IF(M9="",0,M9)&gt;0.001,MAX(EA9,EW9,FS9,GO9,HK9,IG9,JC9,JY9,KU9,LQ9,MM9,NI9)-IF(M9="",0,M9),"")</f>
        <v>18.370000000000005</v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>
        <v>15</v>
      </c>
      <c r="FC9" s="18">
        <v>9.6</v>
      </c>
      <c r="FD9" s="18">
        <v>0</v>
      </c>
      <c r="FE9" s="18">
        <v>13.61</v>
      </c>
      <c r="FF9" s="18">
        <v>0</v>
      </c>
      <c r="FG9" s="18">
        <v>12.3</v>
      </c>
      <c r="FH9" s="18">
        <v>8.4</v>
      </c>
      <c r="FI9" s="18">
        <v>8.4</v>
      </c>
      <c r="FJ9" s="18">
        <v>11.96</v>
      </c>
      <c r="FK9" s="18">
        <v>0</v>
      </c>
      <c r="FL9" s="18"/>
      <c r="FM9" s="18"/>
      <c r="FN9" s="18"/>
      <c r="FO9" s="18"/>
      <c r="FP9" s="18"/>
      <c r="FQ9" s="7">
        <f>IF(FI9&gt;0,FI9,"")</f>
        <v>8.4</v>
      </c>
      <c r="FR9" s="7">
        <f>IF(SUM(FB9:FE9)-FF9&gt;0,SUM(FB9:FE9)-FF9,"")</f>
        <v>38.21</v>
      </c>
      <c r="FS9" s="7">
        <f>IF(SUM(FG9:FJ9)-FK9&gt;0,SUM(FG9:FJ9)-FK9,"")</f>
        <v>41.06</v>
      </c>
      <c r="FT9" s="7">
        <f>IF(SUM(FR9:FS9)&gt;0,SUM(FR9:FS9),"")</f>
        <v>79.27000000000001</v>
      </c>
      <c r="FU9" s="7" t="str">
        <f>IF(FN9&gt;0,FN9,"")</f>
        <v/>
      </c>
      <c r="FV9" s="7" t="str">
        <f>IF(SUM(FL9:FO9)-FP9&gt;0,SUM(FL9:FO9)-FP9,"")</f>
        <v/>
      </c>
      <c r="FW9" s="7">
        <f>IF(SUM(FT9,FV9)&gt;0,SUM(FT9,FV9),"")</f>
        <v>79.27000000000001</v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15.95</v>
      </c>
      <c r="NO9" s="27">
        <f>IF($CV9="P",CC9,(CC9+AY9)/2)</f>
        <v>9.65</v>
      </c>
      <c r="NP9" s="27">
        <f>IF($CV9="P",CD9,(CD9+AZ9)/2)</f>
        <v>0</v>
      </c>
      <c r="NQ9" s="27">
        <f>IF($CV9="P",CE9,(CE9+BA9)/2)</f>
        <v>13.41</v>
      </c>
      <c r="NR9" s="27">
        <f>IF($CV9="P",CF9,(CF9+BB9)/2)</f>
        <v>0</v>
      </c>
      <c r="NS9" s="27">
        <f>IF($CV9="P",CG9,(CG9+BC9)/2)</f>
        <v>6</v>
      </c>
      <c r="NT9" s="27">
        <f>IF($CV9="P",CH9,(CH9+BD9)/2)</f>
        <v>3.95</v>
      </c>
      <c r="NU9" s="27">
        <f>IF($CV9="P",CI9,(CI9+BE9)/2)</f>
        <v>4.75</v>
      </c>
      <c r="NV9" s="27">
        <f>IF($CV9="P",CJ9,(CJ9+BF9)/2)</f>
        <v>6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13.5</v>
      </c>
      <c r="OD9" s="27">
        <f>IF($CV9="P",CR9,(CR9+BN9)/2)</f>
        <v>9.1999999999999993</v>
      </c>
      <c r="OE9" s="27">
        <f>IF($CV9="P",CS9,(CS9+BO9)/2)</f>
        <v>10.15</v>
      </c>
      <c r="OF9" s="27">
        <f>IF($CV9="P",CT9,(CT9+BP9)/2)</f>
        <v>13.145</v>
      </c>
      <c r="OG9" s="27">
        <f>IF($CV9="P",CU9,(CU9+BQ9)/2)</f>
        <v>0</v>
      </c>
      <c r="OH9" s="32" t="s">
        <v>44</v>
      </c>
      <c r="OI9" s="7">
        <f>IF(SUM(NN9:NQ9)-NR9&gt;0,SUM(NN9:NQ9)-NR9,"")</f>
        <v>39.010000000000005</v>
      </c>
      <c r="OJ9" s="7">
        <f>IF(NU9&gt;0,NU9,"")</f>
        <v>4.75</v>
      </c>
      <c r="OK9" s="7">
        <f>IF(SUM(NS9:NV9)-NW9&gt;0,SUM(NS9:NV9)-NW9,"")</f>
        <v>20.7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59.710000000000008</v>
      </c>
      <c r="OO9" s="7">
        <f>IF(OE9&gt;0,OE9,"")</f>
        <v>10.15</v>
      </c>
      <c r="OP9" s="7">
        <f t="shared" ref="OP9" si="10">IF(SUM(OC9:OF9)-OG9&gt;0,SUM(OC9:OF9)-OG9,"")</f>
        <v>45.995000000000005</v>
      </c>
      <c r="OQ9" s="7">
        <f t="shared" ref="OQ9" si="11">IF(SUM(ON9,OP9)&gt;0,SUM(ON9,OP9),"")</f>
        <v>105.70500000000001</v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9">
      <sortCondition descending="1" ref="F1:F10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86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98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96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83</v>
      </c>
      <c r="C4" s="4" t="s">
        <v>66</v>
      </c>
      <c r="D4" s="4">
        <v>2008</v>
      </c>
      <c r="E4" s="10">
        <f>SUM(I4:O4)+SUM(I4:M4)*0.0000001+SUM(I4)*0.0000000000001</f>
        <v>137.40001374000474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47.1</v>
      </c>
      <c r="J4" s="9" t="str">
        <f>IF(I4=0,"",IF(I4=CP4,$BT$1,IF(I4=BO4,$AS$1,IF(I4=AN4,$R$1,""))))</f>
        <v>2024 Elite Canada</v>
      </c>
      <c r="K4" s="9">
        <f>IF(COUNT(AN4,BO4,CP4)&gt;1,LARGE((AN4,BO4,CP4),2),0)</f>
        <v>46.7</v>
      </c>
      <c r="L4" s="9" t="str">
        <f>IF(K4=0,"",IF(K4=CP4,$BT$1,IF(K4=BO4,$AS$1,IF(K4=AN4,$R$1,""))))</f>
        <v>2023 3rd Domestic Trial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14.8</v>
      </c>
      <c r="S4" s="20">
        <v>4.8</v>
      </c>
      <c r="T4" s="20">
        <v>0.2</v>
      </c>
      <c r="U4" s="20">
        <v>0.6</v>
      </c>
      <c r="V4" s="20">
        <v>15.9</v>
      </c>
      <c r="W4" s="20">
        <v>4.3</v>
      </c>
      <c r="X4" s="20">
        <v>0</v>
      </c>
      <c r="Y4" s="20">
        <v>0.3</v>
      </c>
      <c r="Z4" s="20">
        <v>15.6</v>
      </c>
      <c r="AA4" s="20">
        <v>4.8</v>
      </c>
      <c r="AB4" s="20">
        <v>0</v>
      </c>
      <c r="AC4" s="20">
        <v>0.6</v>
      </c>
      <c r="AD4" s="20">
        <v>16.5</v>
      </c>
      <c r="AE4" s="20">
        <v>4.8</v>
      </c>
      <c r="AF4" s="20">
        <v>0.2</v>
      </c>
      <c r="AG4" s="20">
        <v>0.6</v>
      </c>
      <c r="AH4" s="20">
        <v>16</v>
      </c>
      <c r="AI4" s="20">
        <v>5.3</v>
      </c>
      <c r="AJ4" s="20">
        <v>0</v>
      </c>
      <c r="AK4" s="20">
        <v>0.6</v>
      </c>
      <c r="AL4" s="32"/>
      <c r="AM4" s="55">
        <f>IF(SUM(S4,W4)&gt;0,SUM(S4,W4),"")</f>
        <v>9.1</v>
      </c>
      <c r="AN4" s="55">
        <f>IF(SUM(R4:S4,U4:W4,Y4)-T4-X4&gt;0,SUM(R4:S4,U4:W4,Y4)-T4-X4,"")</f>
        <v>40.499999999999993</v>
      </c>
      <c r="AO4" s="55">
        <f>IF(SUM(Z4:AA4,AC4)-AB4&gt;0,SUM(Z4:AA4,AC4)-AB4,"")</f>
        <v>21</v>
      </c>
      <c r="AP4" s="55">
        <f>IF(SUM(AE4,AI4)&gt;0,SUM(AE4,AI4),"")</f>
        <v>10.1</v>
      </c>
      <c r="AQ4" s="55">
        <f>IF(SUM(AD4:AE4,AG4:AI4,AK4)-SUM(AF4,AJ4)&gt;0,SUM(AD4:AE4,AG4:AI4,AK4)-SUM(AF4,AJ4),"")</f>
        <v>43.6</v>
      </c>
      <c r="AR4" s="55">
        <f>IF(SUM(AN4,AO4,AQ4)&gt;0,SUM(AN4,AO4,AQ4),"")</f>
        <v>105.1</v>
      </c>
      <c r="AS4" s="19">
        <v>17.399999999999999</v>
      </c>
      <c r="AT4" s="19">
        <v>5.3</v>
      </c>
      <c r="AU4" s="19">
        <v>0</v>
      </c>
      <c r="AV4" s="19">
        <v>0.6</v>
      </c>
      <c r="AW4" s="19">
        <v>17.3</v>
      </c>
      <c r="AX4" s="19">
        <v>5.5</v>
      </c>
      <c r="AY4" s="19">
        <v>0</v>
      </c>
      <c r="AZ4" s="19">
        <v>0.6</v>
      </c>
      <c r="BA4" s="19">
        <v>17</v>
      </c>
      <c r="BB4" s="19">
        <v>5.5</v>
      </c>
      <c r="BC4" s="19">
        <v>0</v>
      </c>
      <c r="BD4" s="19">
        <v>0.6</v>
      </c>
      <c r="BE4" s="19">
        <v>17</v>
      </c>
      <c r="BF4" s="19">
        <v>5.3</v>
      </c>
      <c r="BG4" s="19">
        <v>0</v>
      </c>
      <c r="BH4" s="19">
        <v>0.6</v>
      </c>
      <c r="BI4" s="19">
        <v>15.8</v>
      </c>
      <c r="BJ4" s="19">
        <v>3.3</v>
      </c>
      <c r="BK4" s="19">
        <v>0</v>
      </c>
      <c r="BL4" s="19">
        <v>0.6</v>
      </c>
      <c r="BM4" s="33"/>
      <c r="BN4" s="14">
        <f>IF(SUM(AT4,AX4)&gt;0,SUM(AT4,AX4),"")</f>
        <v>10.8</v>
      </c>
      <c r="BO4" s="14">
        <f>IF(SUM(AS4:AT4,AV4:AX4,AZ4)-AU4-AY4&gt;0,SUM(AS4:AT4,AV4:AX4,AZ4)-AU4-AY4,"")</f>
        <v>46.7</v>
      </c>
      <c r="BP4" s="14">
        <f>IF(SUM(BA4:BB4,BD4)-BC4&gt;0,SUM(BA4:BB4,BD4)-BC4,"")</f>
        <v>23.1</v>
      </c>
      <c r="BQ4" s="14">
        <f>IF(SUM(BF4,BJ4)&gt;0,SUM(BF4,BJ4),"")</f>
        <v>8.6</v>
      </c>
      <c r="BR4" s="14">
        <f>IF(SUM(BE4:BF4,BH4:BJ4,BL4)-SUM(BG4,BK4)&gt;0,SUM(BE4:BF4,BH4:BJ4,BL4)-SUM(BG4,BK4),"")</f>
        <v>42.6</v>
      </c>
      <c r="BS4" s="14">
        <f>IF(SUM(BO4,BP4,BR4)&gt;0,SUM(BO4,BP4,BR4),"")</f>
        <v>112.4</v>
      </c>
      <c r="BT4" s="20">
        <v>16</v>
      </c>
      <c r="BU4" s="20">
        <v>6.8</v>
      </c>
      <c r="BV4" s="20">
        <v>0.2</v>
      </c>
      <c r="BW4" s="20">
        <v>0.6</v>
      </c>
      <c r="BX4" s="20">
        <v>16.5</v>
      </c>
      <c r="BY4" s="20">
        <v>6.8</v>
      </c>
      <c r="BZ4" s="20">
        <v>0</v>
      </c>
      <c r="CA4" s="20">
        <v>0.6</v>
      </c>
      <c r="CB4" s="20">
        <v>16.2</v>
      </c>
      <c r="CC4" s="20">
        <v>7.5</v>
      </c>
      <c r="CD4" s="20">
        <v>0</v>
      </c>
      <c r="CE4" s="20">
        <v>0.6</v>
      </c>
      <c r="CF4" s="20">
        <v>15</v>
      </c>
      <c r="CG4" s="20">
        <v>4.3</v>
      </c>
      <c r="CH4" s="20">
        <v>0.4</v>
      </c>
      <c r="CI4" s="20">
        <v>0.3</v>
      </c>
      <c r="CJ4" s="20">
        <v>15.1</v>
      </c>
      <c r="CK4" s="20">
        <v>7.3</v>
      </c>
      <c r="CL4" s="20">
        <v>0</v>
      </c>
      <c r="CM4" s="20">
        <v>0.6</v>
      </c>
      <c r="CN4" s="32"/>
      <c r="CO4" s="55">
        <f>IF(SUM(BU4,BY4)&gt;0,SUM(BU4,BY4),"")</f>
        <v>13.6</v>
      </c>
      <c r="CP4" s="55">
        <f>IF(SUM(BT4:BU4,BW4:BY4,CA4)-BV4-BZ4&gt;0,SUM(BT4:BU4,BW4:BY4,CA4)-BV4-BZ4,"")</f>
        <v>47.1</v>
      </c>
      <c r="CQ4" s="55">
        <f>IF(SUM(CB4:CC4,CE4)-CD4&gt;0,SUM(CB4:CC4,CE4)-CD4,"")</f>
        <v>24.3</v>
      </c>
      <c r="CR4" s="55">
        <f>IF(SUM(CG4,CK4)&gt;0,SUM(CG4,CK4),"")</f>
        <v>11.6</v>
      </c>
      <c r="CS4" s="55">
        <f>IF(SUM(CF4:CG4,CI4:CK4,CM4)-SUM(CH4,CL4)&gt;0,SUM(CF4:CG4,CI4:CK4,CM4)-SUM(CH4,CL4),"")</f>
        <v>42.2</v>
      </c>
      <c r="CT4" s="55">
        <f>IF(SUM(CP4,CQ4,CS4)&gt;0,SUM(CP4,CQ4,CS4),"")</f>
        <v>113.60000000000001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16.7</v>
      </c>
      <c r="OX4" s="27">
        <f>IF($CN4="P",BU4,(BU4+AT4)/2)</f>
        <v>6.05</v>
      </c>
      <c r="OY4" s="27">
        <f>IF($CN4="P",BV4,(BV4+AU4)/2)</f>
        <v>0.1</v>
      </c>
      <c r="OZ4" s="27">
        <f>IF($CN4="P",BW4,(BW4+AV4)/2)</f>
        <v>0.6</v>
      </c>
      <c r="PA4" s="27">
        <f>IF($CN4="P",BX4,(BX4+AW4)/2)</f>
        <v>16.899999999999999</v>
      </c>
      <c r="PB4" s="27">
        <f>IF($CN4="P",BY4,(BY4+AX4)/2)</f>
        <v>6.15</v>
      </c>
      <c r="PC4" s="27">
        <f>IF($CN4="P",BZ4,(BZ4+AY4)/2)</f>
        <v>0</v>
      </c>
      <c r="PD4" s="27">
        <f>IF($CN4="P",CA4,(CA4+AZ4)/2)</f>
        <v>0.6</v>
      </c>
      <c r="PE4" s="27">
        <f>IF($CN4="P",CB4,(CB4+BA4)/2)</f>
        <v>16.600000000000001</v>
      </c>
      <c r="PF4" s="27">
        <f>IF($CN4="P",CC4,(CC4+BB4)/2)</f>
        <v>6.5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16</v>
      </c>
      <c r="PJ4" s="27">
        <f>IF($CN4="P",CG4,(CG4+BF4)/2)</f>
        <v>4.8</v>
      </c>
      <c r="PK4" s="27">
        <f>IF($CN4="P",CH4,(CH4+BG4)/2)</f>
        <v>0.2</v>
      </c>
      <c r="PL4" s="27">
        <f>IF($CN4="P",CI4,(CI4+BH4)/2)</f>
        <v>0.44999999999999996</v>
      </c>
      <c r="PM4" s="27">
        <f>IF($CN4="P",CJ4,(CJ4+BI4)/2)</f>
        <v>15.45</v>
      </c>
      <c r="PN4" s="27">
        <f>IF($CN4="P",CK4,(CK4+BJ4)/2)</f>
        <v>5.3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12.2</v>
      </c>
      <c r="PS4" s="55">
        <f>IF(SUM(OW4:OX4,OZ4:PB4,PD4)-OY4-PC4&gt;0,SUM(OW4:OX4,OZ4:PB4,PD4)-OY4-PC4,"")</f>
        <v>46.9</v>
      </c>
      <c r="PT4" s="55">
        <f>IF(SUM(PE4:PF4,PH4)-PG4&gt;0,SUM(PE4:PF4,PH4)-PG4,"")</f>
        <v>23.700000000000003</v>
      </c>
      <c r="PU4" s="55">
        <f>IF(SUM(PJ4,PN4)&gt;0,SUM(PJ4,PN4),"")</f>
        <v>10.1</v>
      </c>
      <c r="PV4" s="55">
        <f>IF(SUM(PI4:PJ4,PL4:PN4,PP4)-SUM(PK4,PO4)&gt;0,SUM(PI4:PJ4,PL4:PN4,PP4)-SUM(PK4,PO4),"")</f>
        <v>42.4</v>
      </c>
      <c r="PW4" s="55">
        <f>IF(SUM(PS4,PT4,PV4)&gt;0,SUM(PS4,PT4,PV4),"")</f>
        <v>113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80</v>
      </c>
      <c r="C5" s="4" t="s">
        <v>65</v>
      </c>
      <c r="D5" s="4">
        <v>2008</v>
      </c>
      <c r="E5" s="10">
        <f>SUM(I5:O5)+SUM(I5:M5)*0.0000001+SUM(I5)*0.0000000000001</f>
        <v>132.80001314000458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45.699999999999996</v>
      </c>
      <c r="J5" s="9" t="str">
        <f>IF(I5=0,"",IF(I5=CP5,$BT$1,IF(I5=BO5,$AS$1,IF(I5=AN5,$R$1,""))))</f>
        <v>2024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43.800000000000004</v>
      </c>
      <c r="N5" s="9" t="str">
        <f>IF(M5=0,"",IF(M5=CS5,$BT$1,IF(M5=BR5,$AS$1,IF(M5=AQ5,$R$1,""))))</f>
        <v>2023 Nationals</v>
      </c>
      <c r="O5" s="9">
        <f>IF(MAX(CU5:CV5)&gt;0,MAX(CU5:CV5),"")</f>
        <v>1.3999999999999915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15.5</v>
      </c>
      <c r="S5" s="20">
        <v>5.0999999999999996</v>
      </c>
      <c r="T5" s="20">
        <v>0</v>
      </c>
      <c r="U5" s="20">
        <v>0.3</v>
      </c>
      <c r="V5" s="20">
        <v>14.7</v>
      </c>
      <c r="W5" s="20">
        <v>5.7</v>
      </c>
      <c r="X5" s="20">
        <v>0</v>
      </c>
      <c r="Y5" s="20">
        <v>0.6</v>
      </c>
      <c r="Z5" s="20">
        <v>15.9</v>
      </c>
      <c r="AA5" s="20">
        <v>5.0999999999999996</v>
      </c>
      <c r="AB5" s="20">
        <v>0</v>
      </c>
      <c r="AC5" s="20">
        <v>0.3</v>
      </c>
      <c r="AD5" s="20">
        <v>16.7</v>
      </c>
      <c r="AE5" s="20">
        <v>5.3</v>
      </c>
      <c r="AF5" s="20">
        <v>0</v>
      </c>
      <c r="AG5" s="20">
        <v>0.3</v>
      </c>
      <c r="AH5" s="20">
        <v>15.4</v>
      </c>
      <c r="AI5" s="20">
        <v>5.5</v>
      </c>
      <c r="AJ5" s="20">
        <v>0</v>
      </c>
      <c r="AK5" s="20">
        <v>0.6</v>
      </c>
      <c r="AL5" s="32"/>
      <c r="AM5" s="55">
        <f>IF(SUM(S5,W5)&gt;0,SUM(S5,W5),"")</f>
        <v>10.8</v>
      </c>
      <c r="AN5" s="55">
        <f>IF(SUM(R5:S5,U5:W5,Y5)-T5-X5&gt;0,SUM(R5:S5,U5:W5,Y5)-T5-X5,"")</f>
        <v>41.900000000000006</v>
      </c>
      <c r="AO5" s="55">
        <f>IF(SUM(Z5:AA5,AC5)-AB5&gt;0,SUM(Z5:AA5,AC5)-AB5,"")</f>
        <v>21.3</v>
      </c>
      <c r="AP5" s="55">
        <f>IF(SUM(AE5,AI5)&gt;0,SUM(AE5,AI5),"")</f>
        <v>10.8</v>
      </c>
      <c r="AQ5" s="55">
        <f>IF(SUM(AD5:AE5,AG5:AI5,AK5)-SUM(AF5,AJ5)&gt;0,SUM(AD5:AE5,AG5:AI5,AK5)-SUM(AF5,AJ5),"")</f>
        <v>43.800000000000004</v>
      </c>
      <c r="AR5" s="55">
        <f>IF(SUM(AN5,AO5,AQ5)&gt;0,SUM(AN5,AO5,AQ5),"")</f>
        <v>107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16.3</v>
      </c>
      <c r="BU5" s="20">
        <v>5.9</v>
      </c>
      <c r="BV5" s="20">
        <v>0.2</v>
      </c>
      <c r="BW5" s="20">
        <v>0.6</v>
      </c>
      <c r="BX5" s="20">
        <v>16.7</v>
      </c>
      <c r="BY5" s="20">
        <v>5.8</v>
      </c>
      <c r="BZ5" s="20">
        <v>0</v>
      </c>
      <c r="CA5" s="20">
        <v>0.6</v>
      </c>
      <c r="CB5" s="20">
        <v>16.5</v>
      </c>
      <c r="CC5" s="20">
        <v>5.8</v>
      </c>
      <c r="CD5" s="20">
        <v>0</v>
      </c>
      <c r="CE5" s="20">
        <v>0.6</v>
      </c>
      <c r="CF5" s="20">
        <v>13.8</v>
      </c>
      <c r="CG5" s="20">
        <v>4.5999999999999996</v>
      </c>
      <c r="CH5" s="20">
        <v>0</v>
      </c>
      <c r="CI5" s="20">
        <v>0.3</v>
      </c>
      <c r="CJ5" s="20">
        <v>16.8</v>
      </c>
      <c r="CK5" s="20">
        <v>5.8</v>
      </c>
      <c r="CL5" s="20">
        <v>0</v>
      </c>
      <c r="CM5" s="20">
        <v>0.6</v>
      </c>
      <c r="CN5" s="32"/>
      <c r="CO5" s="55">
        <f>IF(SUM(BU5,BY5)&gt;0,SUM(BU5,BY5),"")</f>
        <v>11.7</v>
      </c>
      <c r="CP5" s="55">
        <f>IF(SUM(BT5:BU5,BW5:BY5,CA5)-BV5-BZ5&gt;0,SUM(BT5:BU5,BW5:BY5,CA5)-BV5-BZ5,"")</f>
        <v>45.699999999999996</v>
      </c>
      <c r="CQ5" s="55">
        <f>IF(SUM(CB5:CC5,CE5)-CD5&gt;0,SUM(CB5:CC5,CE5)-CD5,"")</f>
        <v>22.900000000000002</v>
      </c>
      <c r="CR5" s="55">
        <f>IF(SUM(CG5,CK5)&gt;0,SUM(CG5,CK5),"")</f>
        <v>10.399999999999999</v>
      </c>
      <c r="CS5" s="55">
        <f>IF(SUM(CF5:CG5,CI5:CK5,CM5)-SUM(CH5,CL5)&gt;0,SUM(CF5:CG5,CI5:CK5,CM5)-SUM(CH5,CL5),"")</f>
        <v>41.9</v>
      </c>
      <c r="CT5" s="55">
        <f>IF(SUM(CP5,CQ5,CS5)&gt;0,SUM(CP5,CQ5,CS5),"")</f>
        <v>110.5</v>
      </c>
      <c r="CU5" s="56">
        <f>IF(MAX(DR5,ER5,FR5,GR5,HR5,IR5,JR5,KR5,LR5,MR5,NR5,OR5)-IF(K5="",0,K5)&gt;0.001,MAX(DR5,ER5,FR5,GR5,HR5,IR5,JR5,KR5,LR5,MR5,NR5,OR5)-IF(K5="",0,K5),"")</f>
        <v>1.3999999999999915</v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8.15</v>
      </c>
      <c r="OX5" s="27">
        <f>IF($CN5="P",BU5,(BU5+AT5)/2)</f>
        <v>2.95</v>
      </c>
      <c r="OY5" s="27">
        <f>IF($CN5="P",BV5,(BV5+AU5)/2)</f>
        <v>0.1</v>
      </c>
      <c r="OZ5" s="27">
        <f>IF($CN5="P",BW5,(BW5+AV5)/2)</f>
        <v>0.3</v>
      </c>
      <c r="PA5" s="27">
        <f>IF($CN5="P",BX5,(BX5+AW5)/2)</f>
        <v>8.35</v>
      </c>
      <c r="PB5" s="27">
        <f>IF($CN5="P",BY5,(BY5+AX5)/2)</f>
        <v>2.9</v>
      </c>
      <c r="PC5" s="27">
        <f>IF($CN5="P",BZ5,(BZ5+AY5)/2)</f>
        <v>0</v>
      </c>
      <c r="PD5" s="27">
        <f>IF($CN5="P",CA5,(CA5+AZ5)/2)</f>
        <v>0.3</v>
      </c>
      <c r="PE5" s="27">
        <f>IF($CN5="P",CB5,(CB5+BA5)/2)</f>
        <v>8.25</v>
      </c>
      <c r="PF5" s="27">
        <f>IF($CN5="P",CC5,(CC5+BB5)/2)</f>
        <v>2.9</v>
      </c>
      <c r="PG5" s="27">
        <f>IF($CN5="P",CD5,(CD5+BC5)/2)</f>
        <v>0</v>
      </c>
      <c r="PH5" s="27">
        <f>IF($CN5="P",CE5,(CE5+BD5)/2)</f>
        <v>0.3</v>
      </c>
      <c r="PI5" s="27">
        <f>IF($CN5="P",CF5,(CF5+BE5)/2)</f>
        <v>6.9</v>
      </c>
      <c r="PJ5" s="27">
        <f>IF($CN5="P",CG5,(CG5+BF5)/2)</f>
        <v>2.2999999999999998</v>
      </c>
      <c r="PK5" s="27">
        <f>IF($CN5="P",CH5,(CH5+BG5)/2)</f>
        <v>0</v>
      </c>
      <c r="PL5" s="27">
        <f>IF($CN5="P",CI5,(CI5+BH5)/2)</f>
        <v>0.15</v>
      </c>
      <c r="PM5" s="27">
        <f>IF($CN5="P",CJ5,(CJ5+BI5)/2)</f>
        <v>8.4</v>
      </c>
      <c r="PN5" s="27">
        <f>IF($CN5="P",CK5,(CK5+BJ5)/2)</f>
        <v>2.9</v>
      </c>
      <c r="PO5" s="27">
        <f>IF($CN5="P",CL5,(CL5+BK5)/2)</f>
        <v>0</v>
      </c>
      <c r="PP5" s="27">
        <f>IF($CN5="P",CM5,(CM5+BL5)/2)</f>
        <v>0.3</v>
      </c>
      <c r="PQ5" s="32" t="s">
        <v>44</v>
      </c>
      <c r="PR5" s="55">
        <f>IF(SUM(OX5,PB5)&gt;0,SUM(OX5,PB5),"")</f>
        <v>5.85</v>
      </c>
      <c r="PS5" s="55">
        <f>IF(SUM(OW5:OX5,OZ5:PB5,PD5)-OY5-PC5&gt;0,SUM(OW5:OX5,OZ5:PB5,PD5)-OY5-PC5,"")</f>
        <v>22.849999999999998</v>
      </c>
      <c r="PT5" s="55">
        <f>IF(SUM(PE5:PF5,PH5)-PG5&gt;0,SUM(PE5:PF5,PH5)-PG5,"")</f>
        <v>11.450000000000001</v>
      </c>
      <c r="PU5" s="55">
        <f>IF(SUM(PJ5,PN5)&gt;0,SUM(PJ5,PN5),"")</f>
        <v>5.1999999999999993</v>
      </c>
      <c r="PV5" s="55">
        <f>IF(SUM(PI5:PJ5,PL5:PN5,PP5)-SUM(PK5,PO5)&gt;0,SUM(PI5:PJ5,PL5:PN5,PP5)-SUM(PK5,PO5),"")</f>
        <v>20.95</v>
      </c>
      <c r="PW5" s="55">
        <f>IF(SUM(PS5,PT5,PV5)&gt;0,SUM(PS5,PT5,PV5),"")</f>
        <v>55.25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81</v>
      </c>
      <c r="C6" s="4" t="s">
        <v>66</v>
      </c>
      <c r="D6" s="4">
        <v>2008</v>
      </c>
      <c r="E6" s="10">
        <f>SUM(I6:O6)+SUM(I6:M6)*0.0000001+SUM(I6)*0.0000000000001</f>
        <v>131.40001314000438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43.600000000000009</v>
      </c>
      <c r="J6" s="9" t="str">
        <f>IF(I6=0,"",IF(I6=CP6,$BT$1,IF(I6=BO6,$AS$1,IF(I6=AN6,$R$1,""))))</f>
        <v>2024 Elite Canada</v>
      </c>
      <c r="K6" s="9">
        <f>IF(COUNT(AN6,BO6,CP6)&gt;1,LARGE((AN6,BO6,CP6),2),0)</f>
        <v>41.500000000000007</v>
      </c>
      <c r="L6" s="9" t="str">
        <f>IF(K6=0,"",IF(K6=CP6,$BT$1,IF(K6=BO6,$AS$1,IF(K6=AN6,$R$1,""))))</f>
        <v>2023 Nationals</v>
      </c>
      <c r="M6" s="9">
        <f>IF(MAX(AQ6,BR6,CS6)&gt;0,MAX(AQ6,BR6,CS6),0)</f>
        <v>46.300000000000004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16.2</v>
      </c>
      <c r="S6" s="20">
        <v>4</v>
      </c>
      <c r="T6" s="20">
        <v>0</v>
      </c>
      <c r="U6" s="20">
        <v>0.3</v>
      </c>
      <c r="V6" s="20">
        <v>15.7</v>
      </c>
      <c r="W6" s="20">
        <v>4.7</v>
      </c>
      <c r="X6" s="20">
        <v>0</v>
      </c>
      <c r="Y6" s="20">
        <v>0.6</v>
      </c>
      <c r="Z6" s="20"/>
      <c r="AA6" s="20"/>
      <c r="AB6" s="20"/>
      <c r="AC6" s="20"/>
      <c r="AD6" s="20">
        <v>16.2</v>
      </c>
      <c r="AE6" s="20">
        <v>3.2</v>
      </c>
      <c r="AF6" s="20">
        <v>0</v>
      </c>
      <c r="AG6" s="20">
        <v>0.6</v>
      </c>
      <c r="AH6" s="20">
        <v>14.8</v>
      </c>
      <c r="AI6" s="20">
        <v>4.0999999999999996</v>
      </c>
      <c r="AJ6" s="20">
        <v>0</v>
      </c>
      <c r="AK6" s="20">
        <v>0.6</v>
      </c>
      <c r="AL6" s="32"/>
      <c r="AM6" s="55">
        <f>IF(SUM(S6,W6)&gt;0,SUM(S6,W6),"")</f>
        <v>8.6999999999999993</v>
      </c>
      <c r="AN6" s="55">
        <f>IF(SUM(R6:S6,U6:W6,Y6)-T6-X6&gt;0,SUM(R6:S6,U6:W6,Y6)-T6-X6,"")</f>
        <v>41.500000000000007</v>
      </c>
      <c r="AO6" s="55" t="str">
        <f>IF(SUM(Z6:AA6,AC6)-AB6&gt;0,SUM(Z6:AA6,AC6)-AB6,"")</f>
        <v/>
      </c>
      <c r="AP6" s="55">
        <f>IF(SUM(AE6,AI6)&gt;0,SUM(AE6,AI6),"")</f>
        <v>7.3</v>
      </c>
      <c r="AQ6" s="55">
        <f>IF(SUM(AD6:AE6,AG6:AI6,AK6)-SUM(AF6,AJ6)&gt;0,SUM(AD6:AE6,AG6:AI6,AK6)-SUM(AF6,AJ6),"")</f>
        <v>39.5</v>
      </c>
      <c r="AR6" s="55">
        <f>IF(SUM(AN6,AO6,AQ6)&gt;0,SUM(AN6,AO6,AQ6),"")</f>
        <v>81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IF(SUM(BO6,BP6,BR6)&gt;0,SUM(BO6,BP6,BR6),"")</f>
        <v/>
      </c>
      <c r="BT6" s="20">
        <v>16.399999999999999</v>
      </c>
      <c r="BU6" s="20">
        <v>6.1</v>
      </c>
      <c r="BV6" s="20">
        <v>0</v>
      </c>
      <c r="BW6" s="20">
        <v>0.6</v>
      </c>
      <c r="BX6" s="20">
        <v>14.6</v>
      </c>
      <c r="BY6" s="20">
        <v>5.7</v>
      </c>
      <c r="BZ6" s="20">
        <v>0.4</v>
      </c>
      <c r="CA6" s="20">
        <v>0.6</v>
      </c>
      <c r="CB6" s="20">
        <v>15.9</v>
      </c>
      <c r="CC6" s="20">
        <v>7.5</v>
      </c>
      <c r="CD6" s="20">
        <v>0</v>
      </c>
      <c r="CE6" s="20">
        <v>0.6</v>
      </c>
      <c r="CF6" s="20">
        <v>16.3</v>
      </c>
      <c r="CG6" s="20">
        <v>7.5</v>
      </c>
      <c r="CH6" s="20">
        <v>0</v>
      </c>
      <c r="CI6" s="20">
        <v>0.6</v>
      </c>
      <c r="CJ6" s="20">
        <v>15.5</v>
      </c>
      <c r="CK6" s="20">
        <v>5.8</v>
      </c>
      <c r="CL6" s="20">
        <v>0</v>
      </c>
      <c r="CM6" s="20">
        <v>0.6</v>
      </c>
      <c r="CN6" s="32"/>
      <c r="CO6" s="55">
        <f>IF(SUM(BU6,BY6)&gt;0,SUM(BU6,BY6),"")</f>
        <v>11.8</v>
      </c>
      <c r="CP6" s="55">
        <f>IF(SUM(BT6:BU6,BW6:BY6,CA6)-BV6-BZ6&gt;0,SUM(BT6:BU6,BW6:BY6,CA6)-BV6-BZ6,"")</f>
        <v>43.600000000000009</v>
      </c>
      <c r="CQ6" s="55">
        <f>IF(SUM(CB6:CC6,CE6)-CD6&gt;0,SUM(CB6:CC6,CE6)-CD6,"")</f>
        <v>24</v>
      </c>
      <c r="CR6" s="55">
        <f>IF(SUM(CG6,CK6)&gt;0,SUM(CG6,CK6),"")</f>
        <v>13.3</v>
      </c>
      <c r="CS6" s="55">
        <f>IF(SUM(CF6:CG6,CI6:CK6,CM6)-SUM(CH6,CL6)&gt;0,SUM(CF6:CG6,CI6:CK6,CM6)-SUM(CH6,CL6),"")</f>
        <v>46.300000000000004</v>
      </c>
      <c r="CT6" s="55">
        <f>IF(SUM(CP6,CQ6,CS6)&gt;0,SUM(CP6,CQ6,CS6),"")</f>
        <v>113.9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8.1999999999999993</v>
      </c>
      <c r="OX6" s="27">
        <f>IF($CN6="P",BU6,(BU6+AT6)/2)</f>
        <v>3.05</v>
      </c>
      <c r="OY6" s="27">
        <f>IF($CN6="P",BV6,(BV6+AU6)/2)</f>
        <v>0</v>
      </c>
      <c r="OZ6" s="27">
        <f>IF($CN6="P",BW6,(BW6+AV6)/2)</f>
        <v>0.3</v>
      </c>
      <c r="PA6" s="27">
        <f>IF($CN6="P",BX6,(BX6+AW6)/2)</f>
        <v>7.3</v>
      </c>
      <c r="PB6" s="27">
        <f>IF($CN6="P",BY6,(BY6+AX6)/2)</f>
        <v>2.85</v>
      </c>
      <c r="PC6" s="27">
        <f>IF($CN6="P",BZ6,(BZ6+AY6)/2)</f>
        <v>0.2</v>
      </c>
      <c r="PD6" s="27">
        <f>IF($CN6="P",CA6,(CA6+AZ6)/2)</f>
        <v>0.3</v>
      </c>
      <c r="PE6" s="27">
        <f>IF($CN6="P",CB6,(CB6+BA6)/2)</f>
        <v>7.95</v>
      </c>
      <c r="PF6" s="27">
        <f>IF($CN6="P",CC6,(CC6+BB6)/2)</f>
        <v>3.75</v>
      </c>
      <c r="PG6" s="27">
        <f>IF($CN6="P",CD6,(CD6+BC6)/2)</f>
        <v>0</v>
      </c>
      <c r="PH6" s="27">
        <f>IF($CN6="P",CE6,(CE6+BD6)/2)</f>
        <v>0.3</v>
      </c>
      <c r="PI6" s="27">
        <f>IF($CN6="P",CF6,(CF6+BE6)/2)</f>
        <v>8.15</v>
      </c>
      <c r="PJ6" s="27">
        <f>IF($CN6="P",CG6,(CG6+BF6)/2)</f>
        <v>3.75</v>
      </c>
      <c r="PK6" s="27">
        <f>IF($CN6="P",CH6,(CH6+BG6)/2)</f>
        <v>0</v>
      </c>
      <c r="PL6" s="27">
        <f>IF($CN6="P",CI6,(CI6+BH6)/2)</f>
        <v>0.3</v>
      </c>
      <c r="PM6" s="27">
        <f>IF($CN6="P",CJ6,(CJ6+BI6)/2)</f>
        <v>7.75</v>
      </c>
      <c r="PN6" s="27">
        <f>IF($CN6="P",CK6,(CK6+BJ6)/2)</f>
        <v>2.9</v>
      </c>
      <c r="PO6" s="27">
        <f>IF($CN6="P",CL6,(CL6+BK6)/2)</f>
        <v>0</v>
      </c>
      <c r="PP6" s="27">
        <f>IF($CN6="P",CM6,(CM6+BL6)/2)</f>
        <v>0.3</v>
      </c>
      <c r="PQ6" s="32" t="s">
        <v>44</v>
      </c>
      <c r="PR6" s="55">
        <f>IF(SUM(OX6,PB6)&gt;0,SUM(OX6,PB6),"")</f>
        <v>5.9</v>
      </c>
      <c r="PS6" s="55">
        <f>IF(SUM(OW6:OX6,OZ6:PB6,PD6)-OY6-PC6&gt;0,SUM(OW6:OX6,OZ6:PB6,PD6)-OY6-PC6,"")</f>
        <v>21.800000000000004</v>
      </c>
      <c r="PT6" s="55">
        <f>IF(SUM(PE6:PF6,PH6)-PG6&gt;0,SUM(PE6:PF6,PH6)-PG6,"")</f>
        <v>12</v>
      </c>
      <c r="PU6" s="55">
        <f>IF(SUM(PJ6,PN6)&gt;0,SUM(PJ6,PN6),"")</f>
        <v>6.65</v>
      </c>
      <c r="PV6" s="55">
        <f>IF(SUM(PI6:PJ6,PL6:PN6,PP6)-SUM(PK6,PO6)&gt;0,SUM(PI6:PJ6,PL6:PN6,PP6)-SUM(PK6,PO6),"")</f>
        <v>23.150000000000002</v>
      </c>
      <c r="PW6" s="55">
        <f>IF(SUM(PS6,PT6,PV6)&gt;0,SUM(PS6,PT6,PV6),"")</f>
        <v>56.95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5" priority="2" stopIfTrue="1">
      <formula>IF($AL4&lt;&gt;"",1,0)</formula>
    </cfRule>
  </conditionalFormatting>
  <conditionalFormatting sqref="AS4:BS6">
    <cfRule type="expression" dxfId="114" priority="3" stopIfTrue="1">
      <formula>IF($BM4&lt;&gt;"",1,0)</formula>
    </cfRule>
  </conditionalFormatting>
  <conditionalFormatting sqref="J1:J1048576 L1:L1048576 N1:N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6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AR$12</formula>
      <formula>1000</formula>
    </cfRule>
    <cfRule type="cellIs" dxfId="101" priority="53804" operator="between">
      <formula>AR$11</formula>
      <formula>AR$12</formula>
    </cfRule>
    <cfRule type="cellIs" dxfId="100" priority="53805" operator="between">
      <formula>AR$10</formula>
      <formula>AR$11</formula>
    </cfRule>
    <cfRule type="cellIs" dxfId="99" priority="5380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AR$16</formula>
      <formula>1000</formula>
    </cfRule>
    <cfRule type="cellIs" dxfId="97" priority="53984" operator="between">
      <formula>AR$15</formula>
      <formula>AR$16</formula>
    </cfRule>
    <cfRule type="cellIs" dxfId="96" priority="53985" operator="between">
      <formula>AR$14</formula>
      <formula>AR$15</formula>
    </cfRule>
    <cfRule type="cellIs" dxfId="95" priority="53986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AR$9</formula>
      <formula>AR$10</formula>
    </cfRule>
    <cfRule type="cellIs" dxfId="93" priority="54164" operator="between">
      <formula>AR$10</formula>
      <formula>AR$11</formula>
    </cfRule>
    <cfRule type="cellIs" dxfId="92" priority="54165" operator="between">
      <formula>AR$11</formula>
      <formula>AR$12</formula>
    </cfRule>
    <cfRule type="cellIs" dxfId="91" priority="54166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AR$13</formula>
      <formula>AR$14</formula>
    </cfRule>
    <cfRule type="cellIs" dxfId="89" priority="54344" operator="between">
      <formula>AR$14</formula>
      <formula>AR$15</formula>
    </cfRule>
    <cfRule type="cellIs" dxfId="88" priority="54345" operator="between">
      <formula>AR$15</formula>
      <formula>AR$16</formula>
    </cfRule>
    <cfRule type="cellIs" dxfId="87" priority="54346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86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98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>1</v>
      </c>
      <c r="B4" s="5" t="s">
        <v>99</v>
      </c>
      <c r="C4" s="4" t="s">
        <v>66</v>
      </c>
      <c r="D4" s="4">
        <v>2008</v>
      </c>
      <c r="E4" s="10">
        <f>SUM(I4:O4)+SUM(I4:M4)*0.0000001+SUM(I4)*0.0000000000001</f>
        <v>124.40001244000415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41.4</v>
      </c>
      <c r="J4" s="9" t="str">
        <f>IF(I4=0,"",IF(I4=CP4,$BT$1,IF(I4=BO4,$AS$1,IF(I4=AN4,$R$1,""))))</f>
        <v>2023 Nationals</v>
      </c>
      <c r="K4" s="9">
        <f>IF(COUNT(AN4,BO4,CP4)&gt;1,LARGE((AN4,BO4,CP4),2),0)</f>
        <v>39.1</v>
      </c>
      <c r="L4" s="9" t="str">
        <f>IF(K4=0,"",IF(K4=CP4,$BT$1,IF(K4=BO4,$AS$1,IF(K4=AN4,$R$1,""))))</f>
        <v>2024 Elite Canada</v>
      </c>
      <c r="M4" s="9">
        <f>IF(MAX(AQ4,BR4,CS4)&gt;0,MAX(AQ4,BR4,CS4),0)</f>
        <v>43.900000000000006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16.600000000000001</v>
      </c>
      <c r="S4" s="20">
        <v>3.9</v>
      </c>
      <c r="T4" s="20">
        <v>0</v>
      </c>
      <c r="U4" s="20">
        <v>0.3</v>
      </c>
      <c r="V4" s="20">
        <v>16.2</v>
      </c>
      <c r="W4" s="20">
        <v>4.0999999999999996</v>
      </c>
      <c r="X4" s="20">
        <v>0</v>
      </c>
      <c r="Y4" s="20">
        <v>0.3</v>
      </c>
      <c r="Z4" s="20"/>
      <c r="AA4" s="20"/>
      <c r="AB4" s="20"/>
      <c r="AC4" s="20"/>
      <c r="AD4" s="20">
        <v>16.399999999999999</v>
      </c>
      <c r="AE4" s="20">
        <v>4.0999999999999996</v>
      </c>
      <c r="AF4" s="20">
        <v>0</v>
      </c>
      <c r="AG4" s="20">
        <v>0.3</v>
      </c>
      <c r="AH4" s="20">
        <v>16.2</v>
      </c>
      <c r="AI4" s="20">
        <v>3.9</v>
      </c>
      <c r="AJ4" s="20">
        <v>0</v>
      </c>
      <c r="AK4" s="20">
        <v>0.3</v>
      </c>
      <c r="AL4" s="32"/>
      <c r="AM4" s="55">
        <f>IF(SUM(S4,W4)&gt;0,SUM(S4,W4),"")</f>
        <v>8</v>
      </c>
      <c r="AN4" s="55">
        <f>IF(SUM(R4:S4,U4:W4,Y4)-T4-X4&gt;0,SUM(R4:S4,U4:W4,Y4)-T4-X4,"")</f>
        <v>41.4</v>
      </c>
      <c r="AO4" s="55" t="str">
        <f>IF(SUM(Z4:AA4,AC4)-AB4&gt;0,SUM(Z4:AA4,AC4)-AB4,"")</f>
        <v/>
      </c>
      <c r="AP4" s="55">
        <f>IF(SUM(AE4,AI4)&gt;0,SUM(AE4,AI4),"")</f>
        <v>8</v>
      </c>
      <c r="AQ4" s="55">
        <f>IF(SUM(AD4:AE4,AG4:AI4,AK4)-SUM(AF4,AJ4)&gt;0,SUM(AD4:AE4,AG4:AI4,AK4)-SUM(AF4,AJ4),"")</f>
        <v>41.199999999999996</v>
      </c>
      <c r="AR4" s="55">
        <f>IF(SUM(AN4,AO4,AQ4)&gt;0,SUM(AN4,AO4,AQ4),"")</f>
        <v>82.6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15.9</v>
      </c>
      <c r="BU4" s="20">
        <v>6.1</v>
      </c>
      <c r="BV4" s="20">
        <v>0</v>
      </c>
      <c r="BW4" s="20">
        <v>0.3</v>
      </c>
      <c r="BX4" s="20">
        <v>15.3</v>
      </c>
      <c r="BY4" s="20">
        <v>2.5</v>
      </c>
      <c r="BZ4" s="20">
        <v>1.3</v>
      </c>
      <c r="CA4" s="20">
        <v>0.3</v>
      </c>
      <c r="CB4" s="20">
        <v>15.7</v>
      </c>
      <c r="CC4" s="20">
        <v>3.4</v>
      </c>
      <c r="CD4" s="20">
        <v>0.4</v>
      </c>
      <c r="CE4" s="20">
        <v>0.3</v>
      </c>
      <c r="CF4" s="20">
        <v>16.100000000000001</v>
      </c>
      <c r="CG4" s="20">
        <v>6.1</v>
      </c>
      <c r="CH4" s="20">
        <v>0</v>
      </c>
      <c r="CI4" s="20">
        <v>0.3</v>
      </c>
      <c r="CJ4" s="20">
        <v>17.8</v>
      </c>
      <c r="CK4" s="20">
        <v>3.6</v>
      </c>
      <c r="CL4" s="20">
        <v>0</v>
      </c>
      <c r="CM4" s="20">
        <v>0</v>
      </c>
      <c r="CN4" s="32"/>
      <c r="CO4" s="55">
        <f>IF(SUM(BU4,BY4)&gt;0,SUM(BU4,BY4),"")</f>
        <v>8.6</v>
      </c>
      <c r="CP4" s="55">
        <f>IF(SUM(BT4:BU4,BW4:BY4,CA4)-BV4-BZ4&gt;0,SUM(BT4:BU4,BW4:BY4,CA4)-BV4-BZ4,"")</f>
        <v>39.1</v>
      </c>
      <c r="CQ4" s="55">
        <f>IF(SUM(CB4:CC4,CE4)-CD4&gt;0,SUM(CB4:CC4,CE4)-CD4,"")</f>
        <v>19</v>
      </c>
      <c r="CR4" s="55">
        <f>IF(SUM(CG4,CK4)&gt;0,SUM(CG4,CK4),"")</f>
        <v>9.6999999999999993</v>
      </c>
      <c r="CS4" s="55">
        <f>IF(SUM(CF4:CG4,CI4:CK4,CM4)-SUM(CH4,CL4)&gt;0,SUM(CF4:CG4,CI4:CK4,CM4)-SUM(CH4,CL4),"")</f>
        <v>43.900000000000006</v>
      </c>
      <c r="CT4" s="55">
        <f>IF(SUM(CP4,CQ4,CS4)&gt;0,SUM(CP4,CQ4,CS4),"")</f>
        <v>102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4" si="0">IF($CN4="P",BT4,(BT4+AS4)/2)</f>
        <v>7.95</v>
      </c>
      <c r="OX4" s="27">
        <f t="shared" si="0"/>
        <v>3.05</v>
      </c>
      <c r="OY4" s="27">
        <f t="shared" si="0"/>
        <v>0</v>
      </c>
      <c r="OZ4" s="27">
        <f t="shared" si="0"/>
        <v>0.15</v>
      </c>
      <c r="PA4" s="27">
        <f t="shared" si="0"/>
        <v>7.65</v>
      </c>
      <c r="PB4" s="27">
        <f t="shared" si="0"/>
        <v>1.25</v>
      </c>
      <c r="PC4" s="27">
        <f t="shared" si="0"/>
        <v>0.65</v>
      </c>
      <c r="PD4" s="27">
        <f t="shared" si="0"/>
        <v>0.15</v>
      </c>
      <c r="PE4" s="27">
        <f t="shared" si="0"/>
        <v>7.85</v>
      </c>
      <c r="PF4" s="27">
        <f t="shared" si="0"/>
        <v>1.7</v>
      </c>
      <c r="PG4" s="27">
        <f t="shared" ref="PG4:PP4" si="1">IF($CN4="P",CD4,(CD4+BC4)/2)</f>
        <v>0.2</v>
      </c>
      <c r="PH4" s="27">
        <f t="shared" si="1"/>
        <v>0.15</v>
      </c>
      <c r="PI4" s="27">
        <f t="shared" si="1"/>
        <v>8.0500000000000007</v>
      </c>
      <c r="PJ4" s="27">
        <f t="shared" si="1"/>
        <v>3.05</v>
      </c>
      <c r="PK4" s="27">
        <f t="shared" si="1"/>
        <v>0</v>
      </c>
      <c r="PL4" s="27">
        <f t="shared" si="1"/>
        <v>0.15</v>
      </c>
      <c r="PM4" s="27">
        <f t="shared" si="1"/>
        <v>8.9</v>
      </c>
      <c r="PN4" s="27">
        <f t="shared" si="1"/>
        <v>1.8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4.3</v>
      </c>
      <c r="PS4" s="55">
        <f>IF(SUM(OW4:OX4,OZ4:PB4,PD4)-OY4-PC4&gt;0,SUM(OW4:OX4,OZ4:PB4,PD4)-OY4-PC4,"")</f>
        <v>19.55</v>
      </c>
      <c r="PT4" s="55">
        <f>IF(SUM(PE4:PF4,PH4)-PG4&gt;0,SUM(PE4:PF4,PH4)-PG4,"")</f>
        <v>9.5</v>
      </c>
      <c r="PU4" s="55">
        <f>IF(SUM(PJ4,PN4)&gt;0,SUM(PJ4,PN4),"")</f>
        <v>4.8499999999999996</v>
      </c>
      <c r="PV4" s="55">
        <f>IF(SUM(PI4:PJ4,PL4:PN4,PP4)-SUM(PK4,PO4)&gt;0,SUM(PI4:PJ4,PL4:PN4,PP4)-SUM(PK4,PO4),"")</f>
        <v>21.950000000000003</v>
      </c>
      <c r="PW4" s="55">
        <f>IF(SUM(PS4,PT4,PV4)&gt;0,SUM(PS4,PT4,PV4),"")</f>
        <v>51</v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7.3</v>
      </c>
      <c r="BN7" s="4"/>
      <c r="BS7" s="57">
        <v>7.3</v>
      </c>
      <c r="CO7" s="4"/>
      <c r="CT7" s="57">
        <v>7.3</v>
      </c>
      <c r="DQ7" s="4"/>
      <c r="DV7" s="57">
        <v>7.3</v>
      </c>
      <c r="EQ7" s="4"/>
      <c r="EV7" s="57">
        <v>7.3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x14ac:dyDescent="0.2">
      <c r="B8" s="35" t="s">
        <v>41</v>
      </c>
      <c r="O8" s="11"/>
      <c r="P8" s="11"/>
      <c r="Q8" s="11"/>
      <c r="AM8" s="4"/>
      <c r="AR8" s="58">
        <v>8</v>
      </c>
      <c r="BN8" s="4"/>
      <c r="BS8" s="58">
        <v>8</v>
      </c>
      <c r="CO8" s="4"/>
      <c r="CT8" s="58">
        <v>8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8</v>
      </c>
      <c r="BN9" s="4"/>
      <c r="BS9" s="59">
        <v>8</v>
      </c>
      <c r="CO9" s="4"/>
      <c r="CT9" s="59">
        <v>8</v>
      </c>
      <c r="DQ9" s="4"/>
      <c r="DV9" s="59">
        <v>8</v>
      </c>
      <c r="EQ9" s="4"/>
      <c r="EV9" s="59">
        <v>8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41.7</v>
      </c>
      <c r="BN11" s="4"/>
      <c r="BS11" s="61">
        <v>41.7</v>
      </c>
      <c r="CO11" s="4"/>
      <c r="CT11" s="61">
        <v>41.7</v>
      </c>
      <c r="DQ11" s="4"/>
      <c r="DV11" s="61">
        <v>41.7</v>
      </c>
      <c r="EQ11" s="4"/>
      <c r="EV11" s="61">
        <v>41.7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42.5</v>
      </c>
      <c r="BN13" s="4"/>
      <c r="BS13" s="63">
        <v>42.5</v>
      </c>
      <c r="CO13" s="4"/>
      <c r="CT13" s="63">
        <v>42.5</v>
      </c>
      <c r="DQ13" s="4"/>
      <c r="DV13" s="63">
        <v>42.5</v>
      </c>
      <c r="EQ13" s="4"/>
      <c r="EV13" s="63">
        <v>42.5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86" priority="6" stopIfTrue="1">
      <formula>IF($AL4&lt;&gt;"",1,0)</formula>
    </cfRule>
  </conditionalFormatting>
  <conditionalFormatting sqref="AS4:BS4">
    <cfRule type="expression" dxfId="85" priority="11" stopIfTrue="1">
      <formula>IF($BM4&lt;&gt;"",1,0)</formula>
    </cfRule>
  </conditionalFormatting>
  <conditionalFormatting sqref="J1:J1048576 L1:L1048576 N1:N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4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AR$10</formula>
      <formula>1000</formula>
    </cfRule>
    <cfRule type="cellIs" dxfId="72" priority="54397" operator="between">
      <formula>AR$9</formula>
      <formula>AR$10</formula>
    </cfRule>
    <cfRule type="cellIs" dxfId="71" priority="54398" operator="between">
      <formula>AR$8</formula>
      <formula>AR$9</formula>
    </cfRule>
    <cfRule type="cellIs" dxfId="70" priority="5439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AR$14</formula>
      <formula>1000</formula>
    </cfRule>
    <cfRule type="cellIs" dxfId="68" priority="54577" operator="between">
      <formula>AR$13</formula>
      <formula>AR$14</formula>
    </cfRule>
    <cfRule type="cellIs" dxfId="67" priority="54578" operator="between">
      <formula>AR$12</formula>
      <formula>AR$13</formula>
    </cfRule>
    <cfRule type="cellIs" dxfId="66" priority="5457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AR$7</formula>
      <formula>AR$8</formula>
    </cfRule>
    <cfRule type="cellIs" dxfId="64" priority="54757" operator="between">
      <formula>AR$8</formula>
      <formula>AR$9</formula>
    </cfRule>
    <cfRule type="cellIs" dxfId="63" priority="54758" operator="between">
      <formula>AR$9</formula>
      <formula>AR$10</formula>
    </cfRule>
    <cfRule type="cellIs" dxfId="62" priority="5475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AR$11</formula>
      <formula>AR$12</formula>
    </cfRule>
    <cfRule type="cellIs" dxfId="60" priority="54937" operator="between">
      <formula>AR$12</formula>
      <formula>AR$13</formula>
    </cfRule>
    <cfRule type="cellIs" dxfId="59" priority="54938" operator="between">
      <formula>AR$13</formula>
      <formula>AR$14</formula>
    </cfRule>
    <cfRule type="cellIs" dxfId="58" priority="5493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86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98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96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157.70001515000519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Excellence</v>
      </c>
      <c r="I4" s="9">
        <f>IF(COUNT(AN4,BO4,CP4)&gt;0,LARGE((AN4,BO4,CP4),1),0)</f>
        <v>51.7</v>
      </c>
      <c r="J4" s="9" t="str">
        <f>IF(I4=0,"",IF(I4=CP4,$BT$1,IF(I4=BO4,$AS$1,IF(I4=AN4,$R$1,""))))</f>
        <v>2024 Elite Canada</v>
      </c>
      <c r="K4" s="9">
        <f>IF(COUNT(AN4,BO4,CP4)&gt;1,LARGE((AN4,BO4,CP4),2),0)</f>
        <v>46.599999999999994</v>
      </c>
      <c r="L4" s="9" t="str">
        <f>IF(K4=0,"",IF(K4=CP4,$BT$1,IF(K4=BO4,$AS$1,IF(K4=AN4,$R$1,""))))</f>
        <v>2023 3rd Domestic Trial</v>
      </c>
      <c r="M4" s="9">
        <f>IF(MAX(AQ4,BR4,CS4)&gt;0,MAX(AQ4,BR4,CS4),0)</f>
        <v>53.199999999999996</v>
      </c>
      <c r="N4" s="9" t="str">
        <f>IF(M4=0,"",IF(M4=CS4,$BT$1,IF(M4=BR4,$AS$1,IF(M4=AQ4,$R$1,""))))</f>
        <v>2024 Elite Canada</v>
      </c>
      <c r="O4" s="9">
        <f>IF(MAX(CU4:CV4)&gt;0,MAX(CU4:CV4),"")</f>
        <v>6.2000000000000099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17.399999999999999</v>
      </c>
      <c r="S4" s="20">
        <v>2.8</v>
      </c>
      <c r="T4" s="20">
        <v>0</v>
      </c>
      <c r="U4" s="20">
        <v>0</v>
      </c>
      <c r="V4" s="20">
        <v>17.600000000000001</v>
      </c>
      <c r="W4" s="20">
        <v>4</v>
      </c>
      <c r="X4" s="20">
        <v>0</v>
      </c>
      <c r="Y4" s="20">
        <v>0</v>
      </c>
      <c r="Z4" s="20">
        <v>18.5</v>
      </c>
      <c r="AA4" s="20">
        <v>7.6</v>
      </c>
      <c r="AB4" s="20">
        <v>0</v>
      </c>
      <c r="AC4" s="20">
        <v>0</v>
      </c>
      <c r="AD4" s="20">
        <v>18.8</v>
      </c>
      <c r="AE4" s="20">
        <v>7.2</v>
      </c>
      <c r="AF4" s="20">
        <v>0.6</v>
      </c>
      <c r="AG4" s="20">
        <v>0</v>
      </c>
      <c r="AH4" s="20">
        <v>18.3</v>
      </c>
      <c r="AI4" s="20">
        <v>6.8</v>
      </c>
      <c r="AJ4" s="20">
        <v>0.2</v>
      </c>
      <c r="AK4" s="20">
        <v>0</v>
      </c>
      <c r="AL4" s="32"/>
      <c r="AM4" s="55">
        <f>IF(SUM(S4,W4)&gt;0,SUM(S4,W4),"")</f>
        <v>6.8</v>
      </c>
      <c r="AN4" s="55">
        <f>IF(SUM(R4:S4,U4:W4,Y4)-T4-X4&gt;0,SUM(R4:S4,U4:W4,Y4)-T4-X4,"")</f>
        <v>41.8</v>
      </c>
      <c r="AO4" s="55">
        <f>IF(SUM(Z4:AA4,AC4)-AB4&gt;0,SUM(Z4:AA4,AC4)-AB4,"")</f>
        <v>26.1</v>
      </c>
      <c r="AP4" s="55">
        <f>IF(SUM(AE4,AI4)&gt;0,SUM(AE4,AI4),"")</f>
        <v>14</v>
      </c>
      <c r="AQ4" s="55">
        <f>IF(SUM(AD4:AE4,AG4:AI4,AK4)-SUM(AF4,AJ4)&gt;0,SUM(AD4:AE4,AG4:AI4,AK4)-SUM(AF4,AJ4),"")</f>
        <v>50.3</v>
      </c>
      <c r="AR4" s="55">
        <f>IF(SUM(AN4,AO4,AQ4)&gt;0,SUM(AN4,AO4,AQ4),"")</f>
        <v>118.2</v>
      </c>
      <c r="AS4" s="19">
        <v>17.399999999999999</v>
      </c>
      <c r="AT4" s="19">
        <v>4</v>
      </c>
      <c r="AU4" s="19">
        <v>0</v>
      </c>
      <c r="AV4" s="19">
        <v>0</v>
      </c>
      <c r="AW4" s="19">
        <v>18.2</v>
      </c>
      <c r="AX4" s="19">
        <v>7.6000000000000005</v>
      </c>
      <c r="AY4" s="19">
        <v>0.6</v>
      </c>
      <c r="AZ4" s="19">
        <v>0</v>
      </c>
      <c r="BA4" s="19">
        <v>17.3</v>
      </c>
      <c r="BB4" s="19">
        <v>2.8</v>
      </c>
      <c r="BC4" s="19">
        <v>0</v>
      </c>
      <c r="BD4" s="19">
        <v>0</v>
      </c>
      <c r="BE4" s="19">
        <v>18.2</v>
      </c>
      <c r="BF4" s="19">
        <v>7.6</v>
      </c>
      <c r="BG4" s="19">
        <v>0</v>
      </c>
      <c r="BH4" s="19">
        <v>0</v>
      </c>
      <c r="BI4" s="19">
        <v>18.399999999999999</v>
      </c>
      <c r="BJ4" s="19">
        <v>7.6000000000000005</v>
      </c>
      <c r="BK4" s="19">
        <v>0</v>
      </c>
      <c r="BL4" s="19">
        <v>0</v>
      </c>
      <c r="BM4" s="33"/>
      <c r="BN4" s="14">
        <f>IF(SUM(AT4,AX4)&gt;0,SUM(AT4,AX4),"")</f>
        <v>11.600000000000001</v>
      </c>
      <c r="BO4" s="14">
        <f>IF(SUM(AS4:AT4,AV4:AX4,AZ4)-AU4-AY4&gt;0,SUM(AS4:AT4,AV4:AX4,AZ4)-AU4-AY4,"")</f>
        <v>46.599999999999994</v>
      </c>
      <c r="BP4" s="14">
        <f>IF(SUM(BA4:BB4,BD4)-BC4&gt;0,SUM(BA4:BB4,BD4)-BC4,"")</f>
        <v>20.100000000000001</v>
      </c>
      <c r="BQ4" s="14">
        <f>IF(SUM(BF4,BJ4)&gt;0,SUM(BF4,BJ4),"")</f>
        <v>15.2</v>
      </c>
      <c r="BR4" s="14">
        <f>IF(SUM(BE4:BF4,BH4:BJ4,BL4)-SUM(BG4,BK4)&gt;0,SUM(BE4:BF4,BH4:BJ4,BL4)-SUM(BG4,BK4),"")</f>
        <v>51.8</v>
      </c>
      <c r="BS4" s="14">
        <f>IF(SUM(BO4,BP4,BR4)&gt;0,SUM(BO4,BP4,BR4),"")</f>
        <v>118.49999999999999</v>
      </c>
      <c r="BT4" s="20">
        <v>18.600000000000001</v>
      </c>
      <c r="BU4" s="20">
        <v>8.4</v>
      </c>
      <c r="BV4" s="20">
        <v>0.6</v>
      </c>
      <c r="BW4" s="20">
        <v>0</v>
      </c>
      <c r="BX4" s="20">
        <v>18</v>
      </c>
      <c r="BY4" s="20">
        <v>8.1</v>
      </c>
      <c r="BZ4" s="20">
        <v>0.8</v>
      </c>
      <c r="CA4" s="20">
        <v>0</v>
      </c>
      <c r="CB4" s="20">
        <v>18.3</v>
      </c>
      <c r="CC4" s="20">
        <v>7.6</v>
      </c>
      <c r="CD4" s="20">
        <v>0.2</v>
      </c>
      <c r="CE4" s="20">
        <v>0</v>
      </c>
      <c r="CF4" s="20">
        <v>18.600000000000001</v>
      </c>
      <c r="CG4" s="20">
        <v>8.4</v>
      </c>
      <c r="CH4" s="20">
        <v>0.2</v>
      </c>
      <c r="CI4" s="20">
        <v>0</v>
      </c>
      <c r="CJ4" s="20">
        <v>18.3</v>
      </c>
      <c r="CK4" s="20">
        <v>8.1</v>
      </c>
      <c r="CL4" s="20">
        <v>0</v>
      </c>
      <c r="CM4" s="20">
        <v>0</v>
      </c>
      <c r="CN4" s="32"/>
      <c r="CO4" s="55">
        <f>IF(SUM(BU4,BY4)&gt;0,SUM(BU4,BY4),"")</f>
        <v>16.5</v>
      </c>
      <c r="CP4" s="55">
        <f>IF(SUM(BT4:BU4,BW4:BY4,CA4)-BV4-BZ4&gt;0,SUM(BT4:BU4,BW4:BY4,CA4)-BV4-BZ4,"")</f>
        <v>51.7</v>
      </c>
      <c r="CQ4" s="55">
        <f>IF(SUM(CB4:CC4,CE4)-CD4&gt;0,SUM(CB4:CC4,CE4)-CD4,"")</f>
        <v>25.7</v>
      </c>
      <c r="CR4" s="55">
        <f>IF(SUM(CG4,CK4)&gt;0,SUM(CG4,CK4),"")</f>
        <v>16.5</v>
      </c>
      <c r="CS4" s="55">
        <f>IF(SUM(CF4:CG4,CI4:CK4,CM4)-SUM(CH4,CL4)&gt;0,SUM(CF4:CG4,CI4:CK4,CM4)-SUM(CH4,CL4),"")</f>
        <v>53.199999999999996</v>
      </c>
      <c r="CT4" s="55">
        <f>IF(SUM(CP4,CQ4,CS4)&gt;0,SUM(CP4,CQ4,CS4),"")</f>
        <v>130.6</v>
      </c>
      <c r="CU4" s="56">
        <f>IF(MAX(DR4,ER4,FR4,GR4,HR4,IR4,JR4,KR4,LR4,MR4,NR4,OR4)-IF(K4="",0,K4)&gt;0.001,MAX(DR4,ER4,FR4,GR4,HR4,IR4,JR4,KR4,LR4,MR4,NR4,OR4)-IF(K4="",0,K4),"")</f>
        <v>6.2000000000000099</v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>
        <v>19</v>
      </c>
      <c r="EX4" s="18">
        <v>7.6</v>
      </c>
      <c r="EY4" s="18">
        <v>0.6</v>
      </c>
      <c r="EZ4" s="18">
        <v>0</v>
      </c>
      <c r="FA4" s="18">
        <v>18.8</v>
      </c>
      <c r="FB4" s="18">
        <v>8</v>
      </c>
      <c r="FC4" s="18">
        <v>0</v>
      </c>
      <c r="FD4" s="18">
        <v>0</v>
      </c>
      <c r="FE4" s="18"/>
      <c r="FF4" s="18"/>
      <c r="FG4" s="18"/>
      <c r="FH4" s="18"/>
      <c r="FI4" s="18">
        <v>18.8</v>
      </c>
      <c r="FJ4" s="18">
        <v>8.4</v>
      </c>
      <c r="FK4" s="18">
        <v>0</v>
      </c>
      <c r="FL4" s="18">
        <v>0</v>
      </c>
      <c r="FM4" s="18">
        <v>0</v>
      </c>
      <c r="FN4" s="18">
        <v>0</v>
      </c>
      <c r="FO4" s="18">
        <v>0</v>
      </c>
      <c r="FP4" s="18">
        <v>0</v>
      </c>
      <c r="FQ4" s="55">
        <f>IF(SUM(EX4,FB4)&gt;0,SUM(EX4,FB4),"")</f>
        <v>15.6</v>
      </c>
      <c r="FR4" s="55">
        <f>IF(SUM(EW4:EX4,EZ4:FB4,FD4)-EY4-FC4&gt;0,SUM(EW4:EX4,EZ4:FB4,FD4)-EY4-FC4,"")</f>
        <v>52.800000000000004</v>
      </c>
      <c r="FS4" s="55" t="str">
        <f>IF(SUM(FE4:FF4,FH4)-FG4&gt;0,SUM(FE4:FF4,FH4)-FG4,"")</f>
        <v/>
      </c>
      <c r="FT4" s="55">
        <f>IF(SUM(FJ4,FN4)&gt;0,SUM(FJ4,FN4),"")</f>
        <v>8.4</v>
      </c>
      <c r="FU4" s="55">
        <f>IF(SUM(FI4:FJ4,FL4:FN4,FP4)-SUM(FK4,FO4)&gt;0,SUM(FI4:FJ4,FL4:FN4,FP4)-SUM(FK4,FO4),"")</f>
        <v>27.200000000000003</v>
      </c>
      <c r="FV4" s="55">
        <f>IF(SUM(FR4,FS4,FU4)&gt;0,SUM(FR4,FS4,FU4),"")</f>
        <v>80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18</v>
      </c>
      <c r="OX4" s="27">
        <f>IF($CN4="P",BU4,(BU4+AT4)/2)</f>
        <v>6.2</v>
      </c>
      <c r="OY4" s="27">
        <f>IF($CN4="P",BV4,(BV4+AU4)/2)</f>
        <v>0.3</v>
      </c>
      <c r="OZ4" s="27">
        <f>IF($CN4="P",BW4,(BW4+AV4)/2)</f>
        <v>0</v>
      </c>
      <c r="PA4" s="27">
        <f>IF($CN4="P",BX4,(BX4+AW4)/2)</f>
        <v>18.100000000000001</v>
      </c>
      <c r="PB4" s="27">
        <f>IF($CN4="P",BY4,(BY4+AX4)/2)</f>
        <v>7.85</v>
      </c>
      <c r="PC4" s="27">
        <f>IF($CN4="P",BZ4,(BZ4+AY4)/2)</f>
        <v>0.7</v>
      </c>
      <c r="PD4" s="27">
        <f>IF($CN4="P",CA4,(CA4+AZ4)/2)</f>
        <v>0</v>
      </c>
      <c r="PE4" s="27">
        <f>IF($CN4="P",CB4,(CB4+BA4)/2)</f>
        <v>17.8</v>
      </c>
      <c r="PF4" s="27">
        <f>IF($CN4="P",CC4,(CC4+BB4)/2)</f>
        <v>5.1999999999999993</v>
      </c>
      <c r="PG4" s="27">
        <f>IF($CN4="P",CD4,(CD4+BC4)/2)</f>
        <v>0.1</v>
      </c>
      <c r="PH4" s="27">
        <f>IF($CN4="P",CE4,(CE4+BD4)/2)</f>
        <v>0</v>
      </c>
      <c r="PI4" s="27">
        <f>IF($CN4="P",CF4,(CF4+BE4)/2)</f>
        <v>18.399999999999999</v>
      </c>
      <c r="PJ4" s="27">
        <f>IF($CN4="P",CG4,(CG4+BF4)/2)</f>
        <v>8</v>
      </c>
      <c r="PK4" s="27">
        <f>IF($CN4="P",CH4,(CH4+BG4)/2)</f>
        <v>0.1</v>
      </c>
      <c r="PL4" s="27">
        <f>IF($CN4="P",CI4,(CI4+BH4)/2)</f>
        <v>0</v>
      </c>
      <c r="PM4" s="27">
        <f>IF($CN4="P",CJ4,(CJ4+BI4)/2)</f>
        <v>18.350000000000001</v>
      </c>
      <c r="PN4" s="27">
        <f>IF($CN4="P",CK4,(CK4+BJ4)/2)</f>
        <v>7.85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14.05</v>
      </c>
      <c r="PS4" s="55">
        <f>IF(SUM(OW4:OX4,OZ4:PB4,PD4)-OY4-PC4&gt;0,SUM(OW4:OX4,OZ4:PB4,PD4)-OY4-PC4,"")</f>
        <v>49.15</v>
      </c>
      <c r="PT4" s="55">
        <f>IF(SUM(PE4:PF4,PH4)-PG4&gt;0,SUM(PE4:PF4,PH4)-PG4,"")</f>
        <v>22.9</v>
      </c>
      <c r="PU4" s="55">
        <f>IF(SUM(PJ4,PN4)&gt;0,SUM(PJ4,PN4),"")</f>
        <v>15.85</v>
      </c>
      <c r="PV4" s="55">
        <f>IF(SUM(PI4:PJ4,PL4:PN4,PP4)-SUM(PK4,PO4)&gt;0,SUM(PI4:PJ4,PL4:PN4,PP4)-SUM(PK4,PO4),"")</f>
        <v>52.5</v>
      </c>
      <c r="PW4" s="55">
        <f>IF(SUM(PS4,PT4,PV4)&gt;0,SUM(PS4,PT4,PV4),"")</f>
        <v>124.55</v>
      </c>
    </row>
    <row r="5" spans="1:439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83</v>
      </c>
      <c r="C5" s="4" t="s">
        <v>66</v>
      </c>
      <c r="D5" s="4">
        <v>2008</v>
      </c>
      <c r="E5" s="10">
        <f>SUM(I5:O5)+SUM(I5:M5)*0.0000001+SUM(I5)*0.0000000000001</f>
        <v>150.3000150300052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>P</v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>P</v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>Excellence</v>
      </c>
      <c r="I5" s="9">
        <f>IF(COUNT(AN5,BO5,CP5)&gt;0,LARGE((AN5,BO5,CP5),1),0)</f>
        <v>52</v>
      </c>
      <c r="J5" s="9" t="str">
        <f>IF(I5=0,"",IF(I5=CP5,$BT$1,IF(I5=BO5,$AS$1,IF(I5=AN5,$R$1,""))))</f>
        <v>2024 Elite Canada</v>
      </c>
      <c r="K5" s="9">
        <f>IF(COUNT(AN5,BO5,CP5)&gt;1,LARGE((AN5,BO5,CP5),2),0)</f>
        <v>46.3</v>
      </c>
      <c r="L5" s="9" t="str">
        <f>IF(K5=0,"",IF(K5=CP5,$BT$1,IF(K5=BO5,$AS$1,IF(K5=AN5,$R$1,""))))</f>
        <v>2023 Nationals</v>
      </c>
      <c r="M5" s="9">
        <f>IF(MAX(AQ5,BR5,CS5)&gt;0,MAX(AQ5,BR5,CS5),0)</f>
        <v>52</v>
      </c>
      <c r="N5" s="9" t="str">
        <f>IF(M5=0,"",IF(M5=CS5,$BT$1,IF(M5=BR5,$AS$1,IF(M5=AQ5,$R$1,""))))</f>
        <v>2024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</v>
      </c>
      <c r="S5" s="20">
        <v>4</v>
      </c>
      <c r="T5" s="20">
        <v>0</v>
      </c>
      <c r="U5" s="20">
        <v>0</v>
      </c>
      <c r="V5" s="20">
        <v>19</v>
      </c>
      <c r="W5" s="20">
        <v>4.3</v>
      </c>
      <c r="X5" s="20">
        <v>0</v>
      </c>
      <c r="Y5" s="20">
        <v>0</v>
      </c>
      <c r="Z5" s="20"/>
      <c r="AA5" s="20"/>
      <c r="AB5" s="20"/>
      <c r="AC5" s="20"/>
      <c r="AD5" s="20">
        <v>18.600000000000001</v>
      </c>
      <c r="AE5" s="20">
        <v>3.9</v>
      </c>
      <c r="AF5" s="20">
        <v>0</v>
      </c>
      <c r="AG5" s="20">
        <v>0</v>
      </c>
      <c r="AH5" s="20">
        <v>18.399999999999999</v>
      </c>
      <c r="AI5" s="20">
        <v>3.5</v>
      </c>
      <c r="AJ5" s="20">
        <v>0.2</v>
      </c>
      <c r="AK5" s="20">
        <v>0</v>
      </c>
      <c r="AL5" s="32"/>
      <c r="AM5" s="55">
        <f>IF(SUM(S5,W5)&gt;0,SUM(S5,W5),"")</f>
        <v>8.3000000000000007</v>
      </c>
      <c r="AN5" s="55">
        <f>IF(SUM(R5:S5,U5:W5,Y5)-T5-X5&gt;0,SUM(R5:S5,U5:W5,Y5)-T5-X5,"")</f>
        <v>46.3</v>
      </c>
      <c r="AO5" s="55" t="str">
        <f>IF(SUM(Z5:AA5,AC5)-AB5&gt;0,SUM(Z5:AA5,AC5)-AB5,"")</f>
        <v/>
      </c>
      <c r="AP5" s="55">
        <f>IF(SUM(AE5,AI5)&gt;0,SUM(AE5,AI5),"")</f>
        <v>7.4</v>
      </c>
      <c r="AQ5" s="55">
        <f>IF(SUM(AD5:AE5,AG5:AI5,AK5)-SUM(AF5,AJ5)&gt;0,SUM(AD5:AE5,AG5:AI5,AK5)-SUM(AF5,AJ5),"")</f>
        <v>44.199999999999996</v>
      </c>
      <c r="AR5" s="55">
        <f>IF(SUM(AN5,AO5,AQ5)&gt;0,SUM(AN5,AO5,AQ5),"")</f>
        <v>90.5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19</v>
      </c>
      <c r="BU5" s="20">
        <v>7.6</v>
      </c>
      <c r="BV5" s="20">
        <v>0</v>
      </c>
      <c r="BW5" s="20">
        <v>0</v>
      </c>
      <c r="BX5" s="20">
        <v>18.399999999999999</v>
      </c>
      <c r="BY5" s="20">
        <v>7.6</v>
      </c>
      <c r="BZ5" s="20">
        <v>0.6</v>
      </c>
      <c r="CA5" s="20">
        <v>0</v>
      </c>
      <c r="CB5" s="20">
        <v>18.7</v>
      </c>
      <c r="CC5" s="20">
        <v>6.4</v>
      </c>
      <c r="CD5" s="20">
        <v>0.6</v>
      </c>
      <c r="CE5" s="20">
        <v>0</v>
      </c>
      <c r="CF5" s="20">
        <v>18.7</v>
      </c>
      <c r="CG5" s="20">
        <v>8.4</v>
      </c>
      <c r="CH5" s="20">
        <v>0</v>
      </c>
      <c r="CI5" s="20">
        <v>0</v>
      </c>
      <c r="CJ5" s="20">
        <v>18.3</v>
      </c>
      <c r="CK5" s="20">
        <v>6.8</v>
      </c>
      <c r="CL5" s="20">
        <v>0.2</v>
      </c>
      <c r="CM5" s="20">
        <v>0</v>
      </c>
      <c r="CN5" s="32"/>
      <c r="CO5" s="55">
        <f>IF(SUM(BU5,BY5)&gt;0,SUM(BU5,BY5),"")</f>
        <v>15.2</v>
      </c>
      <c r="CP5" s="55">
        <f>IF(SUM(BT5:BU5,BW5:BY5,CA5)-BV5-BZ5&gt;0,SUM(BT5:BU5,BW5:BY5,CA5)-BV5-BZ5,"")</f>
        <v>52</v>
      </c>
      <c r="CQ5" s="55">
        <f>IF(SUM(CB5:CC5,CE5)-CD5&gt;0,SUM(CB5:CC5,CE5)-CD5,"")</f>
        <v>24.5</v>
      </c>
      <c r="CR5" s="55">
        <f>IF(SUM(CG5,CK5)&gt;0,SUM(CG5,CK5),"")</f>
        <v>15.2</v>
      </c>
      <c r="CS5" s="55">
        <f>IF(SUM(CF5:CG5,CI5:CK5,CM5)-SUM(CH5,CL5)&gt;0,SUM(CF5:CG5,CI5:CK5,CM5)-SUM(CH5,CL5),"")</f>
        <v>52</v>
      </c>
      <c r="CT5" s="55">
        <f>IF(SUM(CP5,CQ5,CS5)&gt;0,SUM(CP5,CQ5,CS5),"")</f>
        <v>128.5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9.5</v>
      </c>
      <c r="OX5" s="27">
        <f>IF($CN5="P",BU5,(BU5+AT5)/2)</f>
        <v>3.8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9.1999999999999993</v>
      </c>
      <c r="PB5" s="27">
        <f>IF($CN5="P",BY5,(BY5+AX5)/2)</f>
        <v>3.8</v>
      </c>
      <c r="PC5" s="27">
        <f>IF($CN5="P",BZ5,(BZ5+AY5)/2)</f>
        <v>0.3</v>
      </c>
      <c r="PD5" s="27">
        <f>IF($CN5="P",CA5,(CA5+AZ5)/2)</f>
        <v>0</v>
      </c>
      <c r="PE5" s="27">
        <f>IF($CN5="P",CB5,(CB5+BA5)/2)</f>
        <v>9.35</v>
      </c>
      <c r="PF5" s="27">
        <f>IF($CN5="P",CC5,(CC5+BB5)/2)</f>
        <v>3.2</v>
      </c>
      <c r="PG5" s="27">
        <f>IF($CN5="P",CD5,(CD5+BC5)/2)</f>
        <v>0.3</v>
      </c>
      <c r="PH5" s="27">
        <f>IF($CN5="P",CE5,(CE5+BD5)/2)</f>
        <v>0</v>
      </c>
      <c r="PI5" s="27">
        <f>IF($CN5="P",CF5,(CF5+BE5)/2)</f>
        <v>9.35</v>
      </c>
      <c r="PJ5" s="27">
        <f>IF($CN5="P",CG5,(CG5+BF5)/2)</f>
        <v>4.2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9.15</v>
      </c>
      <c r="PN5" s="27">
        <f>IF($CN5="P",CK5,(CK5+BJ5)/2)</f>
        <v>3.4</v>
      </c>
      <c r="PO5" s="27">
        <f>IF($CN5="P",CL5,(CL5+BK5)/2)</f>
        <v>0.1</v>
      </c>
      <c r="PP5" s="27">
        <f>IF($CN5="P",CM5,(CM5+BL5)/2)</f>
        <v>0</v>
      </c>
      <c r="PQ5" s="32" t="s">
        <v>44</v>
      </c>
      <c r="PR5" s="55">
        <f>IF(SUM(OX5,PB5)&gt;0,SUM(OX5,PB5),"")</f>
        <v>7.6</v>
      </c>
      <c r="PS5" s="55">
        <f>IF(SUM(OW5:OX5,OZ5:PB5,PD5)-OY5-PC5&gt;0,SUM(OW5:OX5,OZ5:PB5,PD5)-OY5-PC5,"")</f>
        <v>26</v>
      </c>
      <c r="PT5" s="55">
        <f>IF(SUM(PE5:PF5,PH5)-PG5&gt;0,SUM(PE5:PF5,PH5)-PG5,"")</f>
        <v>12.25</v>
      </c>
      <c r="PU5" s="55">
        <f>IF(SUM(PJ5,PN5)&gt;0,SUM(PJ5,PN5),"")</f>
        <v>7.6</v>
      </c>
      <c r="PV5" s="55">
        <f>IF(SUM(PI5:PJ5,PL5:PN5,PP5)-SUM(PK5,PO5)&gt;0,SUM(PI5:PJ5,PL5:PN5,PP5)-SUM(PK5,PO5),"")</f>
        <v>26</v>
      </c>
      <c r="PW5" s="55">
        <f>IF(SUM(PS5,PT5,PV5)&gt;0,SUM(PS5,PT5,PV5),"")</f>
        <v>64.25</v>
      </c>
    </row>
    <row r="6" spans="1:439" x14ac:dyDescent="0.2">
      <c r="A6" s="4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>3</v>
      </c>
      <c r="B6" s="5" t="s">
        <v>92</v>
      </c>
      <c r="C6" s="4" t="s">
        <v>91</v>
      </c>
      <c r="D6" s="4">
        <v>2009</v>
      </c>
      <c r="E6" s="10">
        <f>SUM(I6:O6)+SUM(I6:M6)*0.0000001+SUM(I6)*0.0000000000001</f>
        <v>148.50001485000496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>P</v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>P</v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>Excellence</v>
      </c>
      <c r="I6" s="9">
        <f>IF(COUNT(AN6,BO6,CP6)&gt;0,LARGE((AN6,BO6,CP6),1),0)</f>
        <v>49.400000000000006</v>
      </c>
      <c r="J6" s="9" t="str">
        <f>IF(I6=0,"",IF(I6=CP6,$BT$1,IF(I6=BO6,$AS$1,IF(I6=AN6,$R$1,""))))</f>
        <v>2024 Elite Canada</v>
      </c>
      <c r="K6" s="9">
        <f>IF(COUNT(AN6,BO6,CP6)&gt;1,LARGE((AN6,BO6,CP6),2),0)</f>
        <v>49.4</v>
      </c>
      <c r="L6" s="9" t="str">
        <f>IF(K6=0,"",IF(K6=CP6,$BT$1,IF(K6=BO6,$AS$1,IF(K6=AN6,$R$1,""))))</f>
        <v>2024 Elite Canada</v>
      </c>
      <c r="M6" s="9">
        <f>IF(MAX(AQ6,BR6,CS6)&gt;0,MAX(AQ6,BR6,CS6),0)</f>
        <v>49.7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19.100000000000001</v>
      </c>
      <c r="S6" s="20">
        <v>5.6</v>
      </c>
      <c r="T6" s="20">
        <v>0</v>
      </c>
      <c r="U6" s="20">
        <v>0</v>
      </c>
      <c r="V6" s="20">
        <v>18.899999999999999</v>
      </c>
      <c r="W6" s="20">
        <v>6</v>
      </c>
      <c r="X6" s="20">
        <v>0.2</v>
      </c>
      <c r="Y6" s="20">
        <v>0</v>
      </c>
      <c r="Z6" s="20">
        <v>18.600000000000001</v>
      </c>
      <c r="AA6" s="20">
        <v>4</v>
      </c>
      <c r="AB6" s="20">
        <v>0.3</v>
      </c>
      <c r="AC6" s="20">
        <v>0</v>
      </c>
      <c r="AD6" s="20">
        <v>19</v>
      </c>
      <c r="AE6" s="20">
        <v>5.6</v>
      </c>
      <c r="AF6" s="20">
        <v>0</v>
      </c>
      <c r="AG6" s="20">
        <v>0</v>
      </c>
      <c r="AH6" s="20">
        <v>18.600000000000001</v>
      </c>
      <c r="AI6" s="20">
        <v>6</v>
      </c>
      <c r="AJ6" s="20">
        <v>0</v>
      </c>
      <c r="AK6" s="20">
        <v>0</v>
      </c>
      <c r="AL6" s="32"/>
      <c r="AM6" s="55">
        <f>IF(SUM(S6,W6)&gt;0,SUM(S6,W6),"")</f>
        <v>11.6</v>
      </c>
      <c r="AN6" s="55">
        <f>IF(SUM(R6:S6,U6:W6,Y6)-T6-X6&gt;0,SUM(R6:S6,U6:W6,Y6)-T6-X6,"")</f>
        <v>49.4</v>
      </c>
      <c r="AO6" s="55">
        <f>IF(SUM(Z6:AA6,AC6)-AB6&gt;0,SUM(Z6:AA6,AC6)-AB6,"")</f>
        <v>22.3</v>
      </c>
      <c r="AP6" s="55">
        <f>IF(SUM(AE6,AI6)&gt;0,SUM(AE6,AI6),"")</f>
        <v>11.6</v>
      </c>
      <c r="AQ6" s="55">
        <f>IF(SUM(AD6:AE6,AG6:AI6,AK6)-SUM(AF6,AJ6)&gt;0,SUM(AD6:AE6,AG6:AI6,AK6)-SUM(AF6,AJ6),"")</f>
        <v>49.2</v>
      </c>
      <c r="AR6" s="55">
        <f>IF(SUM(AN6,AO6,AQ6)&gt;0,SUM(AN6,AO6,AQ6),"")</f>
        <v>120.9</v>
      </c>
      <c r="AS6" s="19">
        <v>18.8</v>
      </c>
      <c r="AT6" s="19">
        <v>5.6</v>
      </c>
      <c r="AU6" s="19">
        <v>0</v>
      </c>
      <c r="AV6" s="19">
        <v>0</v>
      </c>
      <c r="AW6" s="19">
        <v>19</v>
      </c>
      <c r="AX6" s="19">
        <v>6</v>
      </c>
      <c r="AY6" s="19">
        <v>0</v>
      </c>
      <c r="AZ6" s="19">
        <v>0</v>
      </c>
      <c r="BA6" s="19">
        <v>18.399999999999999</v>
      </c>
      <c r="BB6" s="19">
        <v>5.6</v>
      </c>
      <c r="BC6" s="19">
        <v>0.8</v>
      </c>
      <c r="BD6" s="19">
        <v>0</v>
      </c>
      <c r="BE6" s="19">
        <v>19</v>
      </c>
      <c r="BF6" s="19">
        <v>6.4</v>
      </c>
      <c r="BG6" s="19">
        <v>0.6</v>
      </c>
      <c r="BH6" s="19">
        <v>0</v>
      </c>
      <c r="BI6" s="19">
        <v>17.600000000000001</v>
      </c>
      <c r="BJ6" s="19">
        <v>5.2</v>
      </c>
      <c r="BK6" s="19">
        <v>1</v>
      </c>
      <c r="BL6" s="19">
        <v>0</v>
      </c>
      <c r="BM6" s="33"/>
      <c r="BN6" s="14">
        <f>IF(SUM(AT6,AX6)&gt;0,SUM(AT6,AX6),"")</f>
        <v>11.6</v>
      </c>
      <c r="BO6" s="14">
        <f>IF(SUM(AS6:AT6,AV6:AX6,AZ6)-AU6-AY6&gt;0,SUM(AS6:AT6,AV6:AX6,AZ6)-AU6-AY6,"")</f>
        <v>49.4</v>
      </c>
      <c r="BP6" s="14">
        <f>IF(SUM(BA6:BB6,BD6)-BC6&gt;0,SUM(BA6:BB6,BD6)-BC6,"")</f>
        <v>23.2</v>
      </c>
      <c r="BQ6" s="14">
        <f>IF(SUM(BF6,BJ6)&gt;0,SUM(BF6,BJ6),"")</f>
        <v>11.600000000000001</v>
      </c>
      <c r="BR6" s="14">
        <f>IF(SUM(BE6:BF6,BH6:BJ6,BL6)-SUM(BG6,BK6)&gt;0,SUM(BE6:BF6,BH6:BJ6,BL6)-SUM(BG6,BK6),"")</f>
        <v>46.6</v>
      </c>
      <c r="BS6" s="14">
        <f>IF(SUM(BO6,BP6,BR6)&gt;0,SUM(BO6,BP6,BR6),"")</f>
        <v>119.19999999999999</v>
      </c>
      <c r="BT6" s="20">
        <v>18.5</v>
      </c>
      <c r="BU6" s="20">
        <v>6</v>
      </c>
      <c r="BV6" s="20">
        <v>0.8</v>
      </c>
      <c r="BW6" s="20">
        <v>0</v>
      </c>
      <c r="BX6" s="20">
        <v>18.5</v>
      </c>
      <c r="BY6" s="20">
        <v>7.2</v>
      </c>
      <c r="BZ6" s="20">
        <v>0</v>
      </c>
      <c r="CA6" s="20">
        <v>0</v>
      </c>
      <c r="CB6" s="20">
        <v>18.3</v>
      </c>
      <c r="CC6" s="20">
        <v>6</v>
      </c>
      <c r="CD6" s="20">
        <v>0</v>
      </c>
      <c r="CE6" s="20">
        <v>0</v>
      </c>
      <c r="CF6" s="20">
        <v>18</v>
      </c>
      <c r="CG6" s="20">
        <v>6</v>
      </c>
      <c r="CH6" s="20">
        <v>0</v>
      </c>
      <c r="CI6" s="20">
        <v>0</v>
      </c>
      <c r="CJ6" s="20">
        <v>18.5</v>
      </c>
      <c r="CK6" s="20">
        <v>7.2</v>
      </c>
      <c r="CL6" s="20">
        <v>0</v>
      </c>
      <c r="CM6" s="20">
        <v>0</v>
      </c>
      <c r="CN6" s="32"/>
      <c r="CO6" s="55">
        <f>IF(SUM(BU6,BY6)&gt;0,SUM(BU6,BY6),"")</f>
        <v>13.2</v>
      </c>
      <c r="CP6" s="55">
        <f>IF(SUM(BT6:BU6,BW6:BY6,CA6)-BV6-BZ6&gt;0,SUM(BT6:BU6,BW6:BY6,CA6)-BV6-BZ6,"")</f>
        <v>49.400000000000006</v>
      </c>
      <c r="CQ6" s="55">
        <f>IF(SUM(CB6:CC6,CE6)-CD6&gt;0,SUM(CB6:CC6,CE6)-CD6,"")</f>
        <v>24.3</v>
      </c>
      <c r="CR6" s="55">
        <f>IF(SUM(CG6,CK6)&gt;0,SUM(CG6,CK6),"")</f>
        <v>13.2</v>
      </c>
      <c r="CS6" s="55">
        <f>IF(SUM(CF6:CG6,CI6:CK6,CM6)-SUM(CH6,CL6)&gt;0,SUM(CF6:CG6,CI6:CK6,CM6)-SUM(CH6,CL6),"")</f>
        <v>49.7</v>
      </c>
      <c r="CT6" s="55">
        <f>IF(SUM(CP6,CQ6,CS6)&gt;0,SUM(CP6,CQ6,CS6),"")</f>
        <v>123.4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>
        <v>18.600000000000001</v>
      </c>
      <c r="EX6" s="18">
        <v>6</v>
      </c>
      <c r="EY6" s="18">
        <v>0.6</v>
      </c>
      <c r="EZ6" s="18">
        <v>0</v>
      </c>
      <c r="FA6" s="18">
        <v>18.2</v>
      </c>
      <c r="FB6" s="18">
        <v>6.4</v>
      </c>
      <c r="FC6" s="18">
        <v>0.8</v>
      </c>
      <c r="FD6" s="18">
        <v>0</v>
      </c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>
        <f>IF(SUM(EX6,FB6)&gt;0,SUM(EX6,FB6),"")</f>
        <v>12.4</v>
      </c>
      <c r="FR6" s="55">
        <f>IF(SUM(EW6:EX6,EZ6:FB6,FD6)-EY6-FC6&gt;0,SUM(EW6:EX6,EZ6:FB6,FD6)-EY6-FC6,"")</f>
        <v>47.8</v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>
        <f>IF(SUM(FR6,FS6,FU6)&gt;0,SUM(FR6,FS6,FU6),"")</f>
        <v>47.8</v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18.649999999999999</v>
      </c>
      <c r="OX6" s="27">
        <f>IF($CN6="P",BU6,(BU6+AT6)/2)</f>
        <v>5.8</v>
      </c>
      <c r="OY6" s="27">
        <f>IF($CN6="P",BV6,(BV6+AU6)/2)</f>
        <v>0.4</v>
      </c>
      <c r="OZ6" s="27">
        <f>IF($CN6="P",BW6,(BW6+AV6)/2)</f>
        <v>0</v>
      </c>
      <c r="PA6" s="27">
        <f>IF($CN6="P",BX6,(BX6+AW6)/2)</f>
        <v>18.75</v>
      </c>
      <c r="PB6" s="27">
        <f>IF($CN6="P",BY6,(BY6+AX6)/2)</f>
        <v>6.6</v>
      </c>
      <c r="PC6" s="27">
        <f>IF($CN6="P",BZ6,(BZ6+AY6)/2)</f>
        <v>0</v>
      </c>
      <c r="PD6" s="27">
        <f>IF($CN6="P",CA6,(CA6+AZ6)/2)</f>
        <v>0</v>
      </c>
      <c r="PE6" s="27">
        <f>IF($CN6="P",CB6,(CB6+BA6)/2)</f>
        <v>18.350000000000001</v>
      </c>
      <c r="PF6" s="27">
        <f>IF($CN6="P",CC6,(CC6+BB6)/2)</f>
        <v>5.8</v>
      </c>
      <c r="PG6" s="27">
        <f>IF($CN6="P",CD6,(CD6+BC6)/2)</f>
        <v>0.4</v>
      </c>
      <c r="PH6" s="27">
        <f>IF($CN6="P",CE6,(CE6+BD6)/2)</f>
        <v>0</v>
      </c>
      <c r="PI6" s="27">
        <f>IF($CN6="P",CF6,(CF6+BE6)/2)</f>
        <v>18.5</v>
      </c>
      <c r="PJ6" s="27">
        <f>IF($CN6="P",CG6,(CG6+BF6)/2)</f>
        <v>6.2</v>
      </c>
      <c r="PK6" s="27">
        <f>IF($CN6="P",CH6,(CH6+BG6)/2)</f>
        <v>0.3</v>
      </c>
      <c r="PL6" s="27">
        <f>IF($CN6="P",CI6,(CI6+BH6)/2)</f>
        <v>0</v>
      </c>
      <c r="PM6" s="27">
        <f>IF($CN6="P",CJ6,(CJ6+BI6)/2)</f>
        <v>18.05</v>
      </c>
      <c r="PN6" s="27">
        <f>IF($CN6="P",CK6,(CK6+BJ6)/2)</f>
        <v>6.2</v>
      </c>
      <c r="PO6" s="27">
        <f>IF($CN6="P",CL6,(CL6+BK6)/2)</f>
        <v>0.5</v>
      </c>
      <c r="PP6" s="27">
        <f>IF($CN6="P",CM6,(CM6+BL6)/2)</f>
        <v>0</v>
      </c>
      <c r="PQ6" s="32" t="s">
        <v>44</v>
      </c>
      <c r="PR6" s="55">
        <f>IF(SUM(OX6,PB6)&gt;0,SUM(OX6,PB6),"")</f>
        <v>12.399999999999999</v>
      </c>
      <c r="PS6" s="55">
        <f>IF(SUM(OW6:OX6,OZ6:PB6,PD6)-OY6-PC6&gt;0,SUM(OW6:OX6,OZ6:PB6,PD6)-OY6-PC6,"")</f>
        <v>49.400000000000006</v>
      </c>
      <c r="PT6" s="55">
        <f>IF(SUM(PE6:PF6,PH6)-PG6&gt;0,SUM(PE6:PF6,PH6)-PG6,"")</f>
        <v>23.750000000000004</v>
      </c>
      <c r="PU6" s="55">
        <f>IF(SUM(PJ6,PN6)&gt;0,SUM(PJ6,PN6),"")</f>
        <v>12.4</v>
      </c>
      <c r="PV6" s="55">
        <f>IF(SUM(PI6:PJ6,PL6:PN6,PP6)-SUM(PK6,PO6)&gt;0,SUM(PI6:PJ6,PL6:PN6,PP6)-SUM(PK6,PO6),"")</f>
        <v>48.150000000000006</v>
      </c>
      <c r="PW6" s="55">
        <f>IF(SUM(PS6,PT6,PV6)&gt;0,SUM(PS6,PT6,PV6),"")</f>
        <v>121.30000000000001</v>
      </c>
    </row>
    <row r="7" spans="1:439" x14ac:dyDescent="0.2">
      <c r="A7" s="4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>4</v>
      </c>
      <c r="B7" s="5" t="s">
        <v>101</v>
      </c>
      <c r="C7" s="4" t="s">
        <v>68</v>
      </c>
      <c r="D7" s="4">
        <v>2008</v>
      </c>
      <c r="E7" s="10">
        <f>SUM(I7:O7)+SUM(I7:M7)*0.0000001+SUM(I7)*0.0000000000001</f>
        <v>139.20001392000481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>P</v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>P</v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>Excellence</v>
      </c>
      <c r="I7" s="9">
        <f>IF(COUNT(AN7,BO7,CP7)&gt;0,LARGE((AN7,BO7,CP7),1),0)</f>
        <v>48.2</v>
      </c>
      <c r="J7" s="9" t="str">
        <f>IF(I7=0,"",IF(I7=CP7,$BT$1,IF(I7=BO7,$AS$1,IF(I7=AN7,$R$1,""))))</f>
        <v>2024 Elite Canada</v>
      </c>
      <c r="K7" s="9">
        <f>IF(COUNT(AN7,BO7,CP7)&gt;1,LARGE((AN7,BO7,CP7),2),0)</f>
        <v>47.5</v>
      </c>
      <c r="L7" s="9" t="str">
        <f>IF(K7=0,"",IF(K7=CP7,$BT$1,IF(K7=BO7,$AS$1,IF(K7=AN7,$R$1,""))))</f>
        <v>2023 Nationals</v>
      </c>
      <c r="M7" s="9">
        <f>IF(MAX(AQ7,BR7,CS7)&gt;0,MAX(AQ7,BR7,CS7),0)</f>
        <v>43.5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18.899999999999999</v>
      </c>
      <c r="S7" s="20">
        <v>6</v>
      </c>
      <c r="T7" s="20">
        <v>0.8</v>
      </c>
      <c r="U7" s="20">
        <v>0</v>
      </c>
      <c r="V7" s="20">
        <v>18.399999999999999</v>
      </c>
      <c r="W7" s="20">
        <v>5.6</v>
      </c>
      <c r="X7" s="20">
        <v>0.6</v>
      </c>
      <c r="Y7" s="20">
        <v>0</v>
      </c>
      <c r="Z7" s="20"/>
      <c r="AA7" s="20"/>
      <c r="AB7" s="20"/>
      <c r="AC7" s="20"/>
      <c r="AD7" s="20">
        <v>18</v>
      </c>
      <c r="AE7" s="20">
        <v>5.2</v>
      </c>
      <c r="AF7" s="20">
        <v>1</v>
      </c>
      <c r="AG7" s="20">
        <v>0</v>
      </c>
      <c r="AH7" s="20">
        <v>18.2</v>
      </c>
      <c r="AI7" s="20">
        <v>3.7</v>
      </c>
      <c r="AJ7" s="20">
        <v>0.6</v>
      </c>
      <c r="AK7" s="20">
        <v>0</v>
      </c>
      <c r="AL7" s="32"/>
      <c r="AM7" s="55">
        <f>IF(SUM(S7,W7)&gt;0,SUM(S7,W7),"")</f>
        <v>11.6</v>
      </c>
      <c r="AN7" s="55">
        <f>IF(SUM(R7:S7,U7:W7,Y7)-T7-X7&gt;0,SUM(R7:S7,U7:W7,Y7)-T7-X7,"")</f>
        <v>47.5</v>
      </c>
      <c r="AO7" s="55" t="str">
        <f>IF(SUM(Z7:AA7,AC7)-AB7&gt;0,SUM(Z7:AA7,AC7)-AB7,"")</f>
        <v/>
      </c>
      <c r="AP7" s="55">
        <f>IF(SUM(AE7,AI7)&gt;0,SUM(AE7,AI7),"")</f>
        <v>8.9</v>
      </c>
      <c r="AQ7" s="55">
        <f>IF(SUM(AD7:AE7,AG7:AI7,AK7)-SUM(AF7,AJ7)&gt;0,SUM(AD7:AE7,AG7:AI7,AK7)-SUM(AF7,AJ7),"")</f>
        <v>43.5</v>
      </c>
      <c r="AR7" s="55">
        <f>IF(SUM(AN7,AO7,AQ7)&gt;0,SUM(AN7,AO7,AQ7),"")</f>
        <v>91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17.899999999999999</v>
      </c>
      <c r="BU7" s="20">
        <v>6.8</v>
      </c>
      <c r="BV7" s="20">
        <v>0.8</v>
      </c>
      <c r="BW7" s="20">
        <v>0</v>
      </c>
      <c r="BX7" s="20">
        <v>18.5</v>
      </c>
      <c r="BY7" s="20">
        <v>6.4</v>
      </c>
      <c r="BZ7" s="20">
        <v>0.6</v>
      </c>
      <c r="CA7" s="20">
        <v>0</v>
      </c>
      <c r="CB7" s="20">
        <v>16.2</v>
      </c>
      <c r="CC7" s="20">
        <v>5.2</v>
      </c>
      <c r="CD7" s="20">
        <v>0.8</v>
      </c>
      <c r="CE7" s="20">
        <v>0</v>
      </c>
      <c r="CF7" s="20">
        <v>0</v>
      </c>
      <c r="CG7" s="20">
        <v>0</v>
      </c>
      <c r="CH7" s="20">
        <v>0</v>
      </c>
      <c r="CI7" s="20">
        <v>0</v>
      </c>
      <c r="CJ7" s="20">
        <v>18</v>
      </c>
      <c r="CK7" s="20">
        <v>7.2</v>
      </c>
      <c r="CL7" s="20">
        <v>0.8</v>
      </c>
      <c r="CM7" s="20">
        <v>0</v>
      </c>
      <c r="CN7" s="32"/>
      <c r="CO7" s="55">
        <f>IF(SUM(BU7,BY7)&gt;0,SUM(BU7,BY7),"")</f>
        <v>13.2</v>
      </c>
      <c r="CP7" s="55">
        <f>IF(SUM(BT7:BU7,BW7:BY7,CA7)-BV7-BZ7&gt;0,SUM(BT7:BU7,BW7:BY7,CA7)-BV7-BZ7,"")</f>
        <v>48.2</v>
      </c>
      <c r="CQ7" s="55">
        <f>IF(SUM(CB7:CC7,CE7)-CD7&gt;0,SUM(CB7:CC7,CE7)-CD7,"")</f>
        <v>20.599999999999998</v>
      </c>
      <c r="CR7" s="55">
        <f>IF(SUM(CG7,CK7)&gt;0,SUM(CG7,CK7),"")</f>
        <v>7.2</v>
      </c>
      <c r="CS7" s="55">
        <f>IF(SUM(CF7:CG7,CI7:CK7,CM7)-SUM(CH7,CL7)&gt;0,SUM(CF7:CG7,CI7:CK7,CM7)-SUM(CH7,CL7),"")</f>
        <v>24.4</v>
      </c>
      <c r="CT7" s="55">
        <f>IF(SUM(CP7,CQ7,CS7)&gt;0,SUM(CP7,CQ7,CS7),"")</f>
        <v>93.199999999999989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8.9499999999999993</v>
      </c>
      <c r="OX7" s="27">
        <f>IF($CN7="P",BU7,(BU7+AT7)/2)</f>
        <v>3.4</v>
      </c>
      <c r="OY7" s="27">
        <f>IF($CN7="P",BV7,(BV7+AU7)/2)</f>
        <v>0.4</v>
      </c>
      <c r="OZ7" s="27">
        <f>IF($CN7="P",BW7,(BW7+AV7)/2)</f>
        <v>0</v>
      </c>
      <c r="PA7" s="27">
        <f>IF($CN7="P",BX7,(BX7+AW7)/2)</f>
        <v>9.25</v>
      </c>
      <c r="PB7" s="27">
        <f>IF($CN7="P",BY7,(BY7+AX7)/2)</f>
        <v>3.2</v>
      </c>
      <c r="PC7" s="27">
        <f>IF($CN7="P",BZ7,(BZ7+AY7)/2)</f>
        <v>0.3</v>
      </c>
      <c r="PD7" s="27">
        <f>IF($CN7="P",CA7,(CA7+AZ7)/2)</f>
        <v>0</v>
      </c>
      <c r="PE7" s="27">
        <f>IF($CN7="P",CB7,(CB7+BA7)/2)</f>
        <v>8.1</v>
      </c>
      <c r="PF7" s="27">
        <f>IF($CN7="P",CC7,(CC7+BB7)/2)</f>
        <v>2.6</v>
      </c>
      <c r="PG7" s="27">
        <f>IF($CN7="P",CD7,(CD7+BC7)/2)</f>
        <v>0.4</v>
      </c>
      <c r="PH7" s="27">
        <f>IF($CN7="P",CE7,(CE7+BD7)/2)</f>
        <v>0</v>
      </c>
      <c r="PI7" s="27">
        <f>IF($CN7="P",CF7,(CF7+BE7)/2)</f>
        <v>0</v>
      </c>
      <c r="PJ7" s="27">
        <f>IF($CN7="P",CG7,(CG7+BF7)/2)</f>
        <v>0</v>
      </c>
      <c r="PK7" s="27">
        <f>IF($CN7="P",CH7,(CH7+BG7)/2)</f>
        <v>0</v>
      </c>
      <c r="PL7" s="27">
        <f>IF($CN7="P",CI7,(CI7+BH7)/2)</f>
        <v>0</v>
      </c>
      <c r="PM7" s="27">
        <f>IF($CN7="P",CJ7,(CJ7+BI7)/2)</f>
        <v>9</v>
      </c>
      <c r="PN7" s="27">
        <f>IF($CN7="P",CK7,(CK7+BJ7)/2)</f>
        <v>3.6</v>
      </c>
      <c r="PO7" s="27">
        <f>IF($CN7="P",CL7,(CL7+BK7)/2)</f>
        <v>0.4</v>
      </c>
      <c r="PP7" s="27">
        <f>IF($CN7="P",CM7,(CM7+BL7)/2)</f>
        <v>0</v>
      </c>
      <c r="PQ7" s="32" t="s">
        <v>44</v>
      </c>
      <c r="PR7" s="55">
        <f>IF(SUM(OX7,PB7)&gt;0,SUM(OX7,PB7),"")</f>
        <v>6.6</v>
      </c>
      <c r="PS7" s="55">
        <f>IF(SUM(OW7:OX7,OZ7:PB7,PD7)-OY7-PC7&gt;0,SUM(OW7:OX7,OZ7:PB7,PD7)-OY7-PC7,"")</f>
        <v>24.1</v>
      </c>
      <c r="PT7" s="55">
        <f>IF(SUM(PE7:PF7,PH7)-PG7&gt;0,SUM(PE7:PF7,PH7)-PG7,"")</f>
        <v>10.299999999999999</v>
      </c>
      <c r="PU7" s="55">
        <f>IF(SUM(PJ7,PN7)&gt;0,SUM(PJ7,PN7),"")</f>
        <v>3.6</v>
      </c>
      <c r="PV7" s="55">
        <f>IF(SUM(PI7:PJ7,PL7:PN7,PP7)-SUM(PK7,PO7)&gt;0,SUM(PI7:PJ7,PL7:PN7,PP7)-SUM(PK7,PO7),"")</f>
        <v>12.2</v>
      </c>
      <c r="PW7" s="55">
        <f>IF(SUM(PS7,PT7,PV7)&gt;0,SUM(PS7,PT7,PV7),"")</f>
        <v>46.599999999999994</v>
      </c>
    </row>
    <row r="8" spans="1:439" x14ac:dyDescent="0.2">
      <c r="A8" s="4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>5</v>
      </c>
      <c r="B8" s="5" t="s">
        <v>100</v>
      </c>
      <c r="C8" s="4" t="s">
        <v>66</v>
      </c>
      <c r="D8" s="4">
        <v>2008</v>
      </c>
      <c r="E8" s="10">
        <f>SUM(I8:O8)+SUM(I8:M8)*0.0000001+SUM(I8)*0.0000000000001</f>
        <v>95.000009500004708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>P</v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>P</v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>Excellence</v>
      </c>
      <c r="I8" s="9">
        <f>IF(COUNT(AN8,BO8,CP8)&gt;0,LARGE((AN8,BO8,CP8),1),0)</f>
        <v>47.1</v>
      </c>
      <c r="J8" s="9" t="str">
        <f>IF(I8=0,"",IF(I8=CP8,$BT$1,IF(I8=BO8,$AS$1,IF(I8=AN8,$R$1,""))))</f>
        <v>2024 Elite Canada</v>
      </c>
      <c r="K8" s="9">
        <f>IF(COUNT(AN8,BO8,CP8)&gt;1,LARGE((AN8,BO8,CP8),2),0)</f>
        <v>0</v>
      </c>
      <c r="L8" s="9" t="str">
        <f>IF(K8=0,"",IF(K8=CP8,$BT$1,IF(K8=BO8,$AS$1,IF(K8=AN8,$R$1,""))))</f>
        <v/>
      </c>
      <c r="M8" s="9">
        <f>IF(MAX(AQ8,BR8,CS8)&gt;0,MAX(AQ8,BR8,CS8),0)</f>
        <v>47.9</v>
      </c>
      <c r="N8" s="9" t="str">
        <f>IF(M8=0,"",IF(M8=CS8,$BT$1,IF(M8=BR8,$AS$1,IF(M8=AQ8,$R$1,""))))</f>
        <v>2024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>IF(SUM(AT8,AX8)&gt;0,SUM(AT8,AX8),"")</f>
        <v/>
      </c>
      <c r="BO8" s="14" t="str">
        <f>IF(SUM(AS8:AT8,AV8:AX8,AZ8)-AU8-AY8&gt;0,SUM(AS8:AT8,AV8:AX8,AZ8)-AU8-AY8,"")</f>
        <v/>
      </c>
      <c r="BP8" s="14" t="str">
        <f>IF(SUM(BA8:BB8,BD8)-BC8&gt;0,SUM(BA8:BB8,BD8)-BC8,"")</f>
        <v/>
      </c>
      <c r="BQ8" s="14" t="str">
        <f>IF(SUM(BF8,BJ8)&gt;0,SUM(BF8,BJ8),"")</f>
        <v/>
      </c>
      <c r="BR8" s="14" t="str">
        <f>IF(SUM(BE8:BF8,BH8:BJ8,BL8)-SUM(BG8,BK8)&gt;0,SUM(BE8:BF8,BH8:BJ8,BL8)-SUM(BG8,BK8),"")</f>
        <v/>
      </c>
      <c r="BS8" s="14" t="str">
        <f>IF(SUM(BO8,BP8,BR8)&gt;0,SUM(BO8,BP8,BR8),"")</f>
        <v/>
      </c>
      <c r="BT8" s="20">
        <v>17.600000000000001</v>
      </c>
      <c r="BU8" s="20">
        <v>6.8</v>
      </c>
      <c r="BV8" s="20">
        <v>0.8</v>
      </c>
      <c r="BW8" s="20">
        <v>0</v>
      </c>
      <c r="BX8" s="20">
        <v>18.100000000000001</v>
      </c>
      <c r="BY8" s="20">
        <v>6</v>
      </c>
      <c r="BZ8" s="20">
        <v>0.6</v>
      </c>
      <c r="CA8" s="20">
        <v>0</v>
      </c>
      <c r="CB8" s="20">
        <v>18.399999999999999</v>
      </c>
      <c r="CC8" s="20">
        <v>7.3</v>
      </c>
      <c r="CD8" s="20">
        <v>0</v>
      </c>
      <c r="CE8" s="20">
        <v>0</v>
      </c>
      <c r="CF8" s="20">
        <v>18.5</v>
      </c>
      <c r="CG8" s="20">
        <v>5.2</v>
      </c>
      <c r="CH8" s="20">
        <v>0.8</v>
      </c>
      <c r="CI8" s="20">
        <v>0</v>
      </c>
      <c r="CJ8" s="20">
        <v>17.899999999999999</v>
      </c>
      <c r="CK8" s="20">
        <v>7.7</v>
      </c>
      <c r="CL8" s="20">
        <v>0.6</v>
      </c>
      <c r="CM8" s="20">
        <v>0</v>
      </c>
      <c r="CN8" s="32"/>
      <c r="CO8" s="55">
        <f>IF(SUM(BU8,BY8)&gt;0,SUM(BU8,BY8),"")</f>
        <v>12.8</v>
      </c>
      <c r="CP8" s="55">
        <f>IF(SUM(BT8:BU8,BW8:BY8,CA8)-BV8-BZ8&gt;0,SUM(BT8:BU8,BW8:BY8,CA8)-BV8-BZ8,"")</f>
        <v>47.1</v>
      </c>
      <c r="CQ8" s="55">
        <f>IF(SUM(CB8:CC8,CE8)-CD8&gt;0,SUM(CB8:CC8,CE8)-CD8,"")</f>
        <v>25.7</v>
      </c>
      <c r="CR8" s="55">
        <f>IF(SUM(CG8,CK8)&gt;0,SUM(CG8,CK8),"")</f>
        <v>12.9</v>
      </c>
      <c r="CS8" s="55">
        <f>IF(SUM(CF8:CG8,CI8:CK8,CM8)-SUM(CH8,CL8)&gt;0,SUM(CF8:CG8,CI8:CK8,CM8)-SUM(CH8,CL8),"")</f>
        <v>47.9</v>
      </c>
      <c r="CT8" s="55">
        <f>IF(SUM(CP8,CQ8,CS8)&gt;0,SUM(CP8,CQ8,CS8),"")</f>
        <v>120.69999999999999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8.8000000000000007</v>
      </c>
      <c r="OX8" s="27">
        <f>IF($CN8="P",BU8,(BU8+AT8)/2)</f>
        <v>3.4</v>
      </c>
      <c r="OY8" s="27">
        <f>IF($CN8="P",BV8,(BV8+AU8)/2)</f>
        <v>0.4</v>
      </c>
      <c r="OZ8" s="27">
        <f>IF($CN8="P",BW8,(BW8+AV8)/2)</f>
        <v>0</v>
      </c>
      <c r="PA8" s="27">
        <f>IF($CN8="P",BX8,(BX8+AW8)/2)</f>
        <v>9.0500000000000007</v>
      </c>
      <c r="PB8" s="27">
        <f>IF($CN8="P",BY8,(BY8+AX8)/2)</f>
        <v>3</v>
      </c>
      <c r="PC8" s="27">
        <f>IF($CN8="P",BZ8,(BZ8+AY8)/2)</f>
        <v>0.3</v>
      </c>
      <c r="PD8" s="27">
        <f>IF($CN8="P",CA8,(CA8+AZ8)/2)</f>
        <v>0</v>
      </c>
      <c r="PE8" s="27">
        <f>IF($CN8="P",CB8,(CB8+BA8)/2)</f>
        <v>9.1999999999999993</v>
      </c>
      <c r="PF8" s="27">
        <f>IF($CN8="P",CC8,(CC8+BB8)/2)</f>
        <v>3.65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9.25</v>
      </c>
      <c r="PJ8" s="27">
        <f>IF($CN8="P",CG8,(CG8+BF8)/2)</f>
        <v>2.6</v>
      </c>
      <c r="PK8" s="27">
        <f>IF($CN8="P",CH8,(CH8+BG8)/2)</f>
        <v>0.4</v>
      </c>
      <c r="PL8" s="27">
        <f>IF($CN8="P",CI8,(CI8+BH8)/2)</f>
        <v>0</v>
      </c>
      <c r="PM8" s="27">
        <f>IF($CN8="P",CJ8,(CJ8+BI8)/2)</f>
        <v>8.9499999999999993</v>
      </c>
      <c r="PN8" s="27">
        <f>IF($CN8="P",CK8,(CK8+BJ8)/2)</f>
        <v>3.85</v>
      </c>
      <c r="PO8" s="27">
        <f>IF($CN8="P",CL8,(CL8+BK8)/2)</f>
        <v>0.3</v>
      </c>
      <c r="PP8" s="27">
        <f>IF($CN8="P",CM8,(CM8+BL8)/2)</f>
        <v>0</v>
      </c>
      <c r="PQ8" s="32" t="s">
        <v>44</v>
      </c>
      <c r="PR8" s="55">
        <f>IF(SUM(OX8,PB8)&gt;0,SUM(OX8,PB8),"")</f>
        <v>6.4</v>
      </c>
      <c r="PS8" s="55">
        <f>IF(SUM(OW8:OX8,OZ8:PB8,PD8)-OY8-PC8&gt;0,SUM(OW8:OX8,OZ8:PB8,PD8)-OY8-PC8,"")</f>
        <v>23.55</v>
      </c>
      <c r="PT8" s="55">
        <f>IF(SUM(PE8:PF8,PH8)-PG8&gt;0,SUM(PE8:PF8,PH8)-PG8,"")</f>
        <v>12.85</v>
      </c>
      <c r="PU8" s="55">
        <f>IF(SUM(PJ8,PN8)&gt;0,SUM(PJ8,PN8),"")</f>
        <v>6.45</v>
      </c>
      <c r="PV8" s="55">
        <f>IF(SUM(PI8:PJ8,PL8:PN8,PP8)-SUM(PK8,PO8)&gt;0,SUM(PI8:PJ8,PL8:PN8,PP8)-SUM(PK8,PO8),"")</f>
        <v>23.95</v>
      </c>
      <c r="PW8" s="55">
        <f>IF(SUM(PS8,PT8,PV8)&gt;0,SUM(PS8,PT8,PV8),"")</f>
        <v>60.349999999999994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10.4</v>
      </c>
      <c r="BN11" s="4"/>
      <c r="BS11" s="57">
        <v>10.4</v>
      </c>
      <c r="CO11" s="4"/>
      <c r="CT11" s="57">
        <v>10.4</v>
      </c>
      <c r="DQ11" s="4"/>
      <c r="DV11" s="57">
        <v>10.4</v>
      </c>
      <c r="EQ11" s="4"/>
      <c r="EV11" s="57">
        <v>10.4</v>
      </c>
      <c r="FQ11" s="4"/>
      <c r="FV11" s="57">
        <v>10.4</v>
      </c>
      <c r="GQ11" s="4"/>
      <c r="GV11" s="57">
        <v>10.4</v>
      </c>
      <c r="HQ11" s="4"/>
      <c r="HV11" s="57">
        <v>10.4</v>
      </c>
      <c r="IQ11" s="4"/>
      <c r="IV11" s="57">
        <v>10.4</v>
      </c>
      <c r="JQ11" s="4"/>
      <c r="JV11" s="57">
        <v>10.4</v>
      </c>
      <c r="KQ11" s="4"/>
      <c r="KV11" s="57">
        <v>10.4</v>
      </c>
      <c r="LQ11" s="4"/>
      <c r="LV11" s="57">
        <v>10.4</v>
      </c>
      <c r="MQ11" s="4"/>
      <c r="MV11" s="57">
        <v>10.4</v>
      </c>
      <c r="NQ11" s="4"/>
      <c r="NV11" s="57">
        <v>10.4</v>
      </c>
      <c r="OQ11" s="4"/>
      <c r="OV11" s="57">
        <v>10.4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f>AR13</f>
        <v>11.2</v>
      </c>
      <c r="BN12" s="4"/>
      <c r="BS12" s="58">
        <f>BS13</f>
        <v>11.2</v>
      </c>
      <c r="CO12" s="4"/>
      <c r="CT12" s="58">
        <f>CT13</f>
        <v>11.2</v>
      </c>
      <c r="DQ12" s="4"/>
      <c r="DV12" s="58">
        <f>DV13</f>
        <v>11.2</v>
      </c>
      <c r="EQ12" s="4"/>
      <c r="EV12" s="58">
        <f>EV13</f>
        <v>11.2</v>
      </c>
      <c r="FQ12" s="4"/>
      <c r="FV12" s="58">
        <f>FV13</f>
        <v>11.2</v>
      </c>
      <c r="GQ12" s="4"/>
      <c r="GV12" s="58">
        <f>GV13</f>
        <v>11.2</v>
      </c>
      <c r="HQ12" s="4"/>
      <c r="HV12" s="58">
        <f>HV13</f>
        <v>11.2</v>
      </c>
      <c r="IQ12" s="4"/>
      <c r="IV12" s="58">
        <f>IV13</f>
        <v>11.2</v>
      </c>
      <c r="JQ12" s="4"/>
      <c r="JV12" s="58">
        <f>JV13</f>
        <v>11.2</v>
      </c>
      <c r="KQ12" s="4"/>
      <c r="KV12" s="58">
        <f>KV13</f>
        <v>11.2</v>
      </c>
      <c r="LQ12" s="4"/>
      <c r="LV12" s="58">
        <f>LV13</f>
        <v>11.2</v>
      </c>
      <c r="MQ12" s="4"/>
      <c r="MV12" s="58">
        <f>MV13</f>
        <v>11.2</v>
      </c>
      <c r="NQ12" s="4"/>
      <c r="NV12" s="58">
        <f>NV13</f>
        <v>11.2</v>
      </c>
      <c r="OQ12" s="4"/>
      <c r="OV12" s="58">
        <f>OV13</f>
        <v>11.2</v>
      </c>
    </row>
    <row r="13" spans="1:439" ht="17" x14ac:dyDescent="0.2">
      <c r="A13" s="5"/>
      <c r="B13" s="36" t="s">
        <v>54</v>
      </c>
      <c r="C13" s="22"/>
      <c r="O13" s="11"/>
      <c r="P13" s="11"/>
      <c r="Q13" s="11"/>
      <c r="AM13" s="4"/>
      <c r="AR13" s="59">
        <v>11.2</v>
      </c>
      <c r="BN13" s="4"/>
      <c r="BS13" s="59">
        <v>11.2</v>
      </c>
      <c r="CO13" s="4"/>
      <c r="CT13" s="59">
        <v>11.2</v>
      </c>
      <c r="DQ13" s="4"/>
      <c r="DV13" s="59">
        <v>11.2</v>
      </c>
      <c r="EQ13" s="4"/>
      <c r="EV13" s="59">
        <v>11.2</v>
      </c>
      <c r="FQ13" s="4"/>
      <c r="FV13" s="59">
        <v>11.2</v>
      </c>
      <c r="GQ13" s="4"/>
      <c r="GV13" s="59">
        <v>11.2</v>
      </c>
      <c r="HQ13" s="4"/>
      <c r="HV13" s="59">
        <v>11.2</v>
      </c>
      <c r="IQ13" s="4"/>
      <c r="IV13" s="59">
        <v>11.2</v>
      </c>
      <c r="JQ13" s="4"/>
      <c r="JV13" s="59">
        <v>11.2</v>
      </c>
      <c r="KQ13" s="4"/>
      <c r="KV13" s="59">
        <v>11.2</v>
      </c>
      <c r="LQ13" s="4"/>
      <c r="LV13" s="59">
        <v>11.2</v>
      </c>
      <c r="MQ13" s="4"/>
      <c r="MV13" s="59">
        <v>11.2</v>
      </c>
      <c r="NQ13" s="4"/>
      <c r="NV13" s="59">
        <v>11.2</v>
      </c>
      <c r="OQ13" s="4"/>
      <c r="OV13" s="59">
        <v>11.2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5">
        <v>1000</v>
      </c>
      <c r="BN14" s="4"/>
      <c r="BS14" s="65">
        <v>1000</v>
      </c>
      <c r="CO14" s="4"/>
      <c r="CT14" s="65">
        <v>1000</v>
      </c>
      <c r="DQ14" s="4"/>
      <c r="DV14" s="65">
        <v>1000</v>
      </c>
      <c r="EQ14" s="4"/>
      <c r="EV14" s="65">
        <v>1000</v>
      </c>
      <c r="FQ14" s="4"/>
      <c r="FV14" s="65">
        <v>1000</v>
      </c>
      <c r="GQ14" s="4"/>
      <c r="GV14" s="65">
        <v>1000</v>
      </c>
      <c r="HQ14" s="4"/>
      <c r="HV14" s="65">
        <v>1000</v>
      </c>
      <c r="IQ14" s="4"/>
      <c r="IV14" s="65">
        <v>1000</v>
      </c>
      <c r="JQ14" s="4"/>
      <c r="JV14" s="65">
        <v>1000</v>
      </c>
      <c r="KQ14" s="4"/>
      <c r="KV14" s="65">
        <v>1000</v>
      </c>
      <c r="LQ14" s="4"/>
      <c r="LV14" s="65">
        <v>1000</v>
      </c>
      <c r="MQ14" s="4"/>
      <c r="MV14" s="65">
        <v>1000</v>
      </c>
      <c r="NQ14" s="4"/>
      <c r="NV14" s="65">
        <v>1000</v>
      </c>
      <c r="OQ14" s="4"/>
      <c r="OV14" s="65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6">
        <v>47.2</v>
      </c>
      <c r="BN15" s="4"/>
      <c r="BS15" s="66">
        <v>47.2</v>
      </c>
      <c r="CO15" s="4"/>
      <c r="CT15" s="66">
        <v>47.2</v>
      </c>
      <c r="DQ15" s="4"/>
      <c r="DV15" s="66">
        <v>47.2</v>
      </c>
      <c r="EQ15" s="4"/>
      <c r="EV15" s="66">
        <v>47.2</v>
      </c>
      <c r="FQ15" s="4"/>
      <c r="FV15" s="66">
        <v>47.2</v>
      </c>
      <c r="GQ15" s="4"/>
      <c r="GV15" s="66">
        <v>47.2</v>
      </c>
      <c r="HQ15" s="4"/>
      <c r="HV15" s="66">
        <v>47.2</v>
      </c>
      <c r="IQ15" s="4"/>
      <c r="IV15" s="66">
        <v>47.2</v>
      </c>
      <c r="JQ15" s="4"/>
      <c r="JV15" s="66">
        <v>47.2</v>
      </c>
      <c r="KQ15" s="4"/>
      <c r="KV15" s="66">
        <v>47.2</v>
      </c>
      <c r="LQ15" s="4"/>
      <c r="LV15" s="66">
        <v>47.2</v>
      </c>
      <c r="MQ15" s="4"/>
      <c r="MV15" s="66">
        <v>47.2</v>
      </c>
      <c r="NQ15" s="4"/>
      <c r="NV15" s="66">
        <v>47.2</v>
      </c>
      <c r="OQ15" s="4"/>
      <c r="OV15" s="66">
        <v>47.2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f>AR17</f>
        <v>47.6</v>
      </c>
      <c r="BN16" s="4"/>
      <c r="BS16" s="62">
        <f>BS17</f>
        <v>47.6</v>
      </c>
      <c r="CO16" s="4"/>
      <c r="CT16" s="62">
        <f>CT17</f>
        <v>47.6</v>
      </c>
      <c r="DQ16" s="4"/>
      <c r="DV16" s="62">
        <f>DV17</f>
        <v>47.6</v>
      </c>
      <c r="EQ16" s="4"/>
      <c r="EV16" s="62">
        <f>EV17</f>
        <v>47.6</v>
      </c>
      <c r="FQ16" s="4"/>
      <c r="FV16" s="62">
        <f>FV17</f>
        <v>47.6</v>
      </c>
      <c r="GQ16" s="4"/>
      <c r="GV16" s="62">
        <f>GV17</f>
        <v>47.6</v>
      </c>
      <c r="HQ16" s="4"/>
      <c r="HV16" s="62">
        <f>HV17</f>
        <v>47.6</v>
      </c>
      <c r="IQ16" s="4"/>
      <c r="IV16" s="62">
        <f>IV17</f>
        <v>47.6</v>
      </c>
      <c r="JQ16" s="4"/>
      <c r="JV16" s="62">
        <f>JV17</f>
        <v>47.6</v>
      </c>
      <c r="KQ16" s="4"/>
      <c r="KV16" s="62">
        <f>KV17</f>
        <v>47.6</v>
      </c>
      <c r="LQ16" s="4"/>
      <c r="LV16" s="62">
        <f>LV17</f>
        <v>47.6</v>
      </c>
      <c r="MQ16" s="4"/>
      <c r="MV16" s="62">
        <f>MV17</f>
        <v>47.6</v>
      </c>
      <c r="NQ16" s="4"/>
      <c r="NV16" s="62">
        <f>NV17</f>
        <v>47.6</v>
      </c>
      <c r="OQ16" s="4"/>
      <c r="OV16" s="62">
        <f>OV17</f>
        <v>47.6</v>
      </c>
    </row>
    <row r="17" spans="1:412" ht="17" x14ac:dyDescent="0.2">
      <c r="A17" s="5"/>
      <c r="B17" s="40" t="s">
        <v>53</v>
      </c>
      <c r="C17" s="22"/>
      <c r="O17" s="11"/>
      <c r="P17" s="11"/>
      <c r="Q17" s="11"/>
      <c r="AM17" s="4"/>
      <c r="AR17" s="63">
        <v>47.6</v>
      </c>
      <c r="BN17" s="4"/>
      <c r="BS17" s="63">
        <v>47.6</v>
      </c>
      <c r="CO17" s="4"/>
      <c r="CT17" s="63">
        <v>47.6</v>
      </c>
      <c r="DQ17" s="4"/>
      <c r="DV17" s="63">
        <v>47.6</v>
      </c>
      <c r="EQ17" s="4"/>
      <c r="EV17" s="63">
        <v>47.6</v>
      </c>
      <c r="FQ17" s="4"/>
      <c r="FV17" s="63">
        <v>47.6</v>
      </c>
      <c r="GQ17" s="4"/>
      <c r="GV17" s="63">
        <v>47.6</v>
      </c>
      <c r="HQ17" s="4"/>
      <c r="HV17" s="63">
        <v>47.6</v>
      </c>
      <c r="IQ17" s="4"/>
      <c r="IV17" s="63">
        <v>47.6</v>
      </c>
      <c r="JQ17" s="4"/>
      <c r="JV17" s="63">
        <v>47.6</v>
      </c>
      <c r="KQ17" s="4"/>
      <c r="KV17" s="63">
        <v>47.6</v>
      </c>
      <c r="LQ17" s="4"/>
      <c r="LV17" s="63">
        <v>47.6</v>
      </c>
      <c r="MQ17" s="4"/>
      <c r="MV17" s="63">
        <v>47.6</v>
      </c>
      <c r="NQ17" s="4"/>
      <c r="NV17" s="63">
        <v>47.6</v>
      </c>
      <c r="OQ17" s="4"/>
      <c r="OV17" s="63">
        <v>47.6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8">
      <sortCondition descending="1" ref="F1:F9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8">
    <cfRule type="expression" dxfId="57" priority="2" stopIfTrue="1">
      <formula>IF($AL4&lt;&gt;"",1,0)</formula>
    </cfRule>
  </conditionalFormatting>
  <conditionalFormatting sqref="AS4:BS8">
    <cfRule type="expression" dxfId="56" priority="3" stopIfTrue="1">
      <formula>IF($BM4&lt;&gt;"",1,0)</formula>
    </cfRule>
  </conditionalFormatting>
  <conditionalFormatting sqref="J1:J1048576 L1:L1048576 N1:N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8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AR$14</formula>
      <formula>1000</formula>
    </cfRule>
    <cfRule type="cellIs" dxfId="43" priority="57973" operator="between">
      <formula>AR$13</formula>
      <formula>AR$14</formula>
    </cfRule>
    <cfRule type="cellIs" dxfId="42" priority="57974" operator="between">
      <formula>AR$12</formula>
      <formula>AR$13</formula>
    </cfRule>
    <cfRule type="cellIs" dxfId="41" priority="57975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AR$18</formula>
      <formula>1000</formula>
    </cfRule>
    <cfRule type="cellIs" dxfId="39" priority="58153" operator="between">
      <formula>AR$17</formula>
      <formula>AR$18</formula>
    </cfRule>
    <cfRule type="cellIs" dxfId="38" priority="58154" operator="between">
      <formula>AR$16</formula>
      <formula>AR$17</formula>
    </cfRule>
    <cfRule type="cellIs" dxfId="37" priority="58155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AR$14</formula>
      <formula>1000</formula>
    </cfRule>
    <cfRule type="cellIs" dxfId="35" priority="58333" operator="between">
      <formula>AR$13</formula>
      <formula>AR$14</formula>
    </cfRule>
    <cfRule type="cellIs" dxfId="34" priority="58334" operator="between">
      <formula>AR$12</formula>
      <formula>AR$13</formula>
    </cfRule>
    <cfRule type="cellIs" dxfId="33" priority="58335" operator="between">
      <formula>AR$11</formula>
      <formula>AR$12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AR$15</formula>
      <formula>AR$16</formula>
    </cfRule>
    <cfRule type="cellIs" dxfId="31" priority="58513" operator="between">
      <formula>AR$16</formula>
      <formula>AR$17</formula>
    </cfRule>
    <cfRule type="cellIs" dxfId="30" priority="58514" operator="between">
      <formula>AR$17</formula>
      <formula>AR$18</formula>
    </cfRule>
    <cfRule type="cellIs" dxfId="29" priority="58515" operator="between">
      <formula>AR$18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86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98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96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 t="s">
        <v>97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DD"),SUMPRODUCT((H$4:H$8&lt;&gt;"")*(H$4:H$8&lt;&gt;"No DD")*(E$4:E$8&gt;E4))+1,IF(H4="No DD",SUMPRODUCT((H$4:H$8="No DD")*(E$4:E$8&gt;E4))+1+SUMPRODUCT((H$4:H$8&lt;&gt;"")*(H$4:H$8&lt;&gt;"No DD")),""))</f>
        <v>1</v>
      </c>
      <c r="B4" s="5" t="s">
        <v>88</v>
      </c>
      <c r="C4" s="4" t="s">
        <v>68</v>
      </c>
      <c r="D4" s="4">
        <v>2009</v>
      </c>
      <c r="E4" s="10">
        <f>SUM(I4:O4)+SUM(I4:M4)*0.0000001+SUM(I4)*0.0000000000001</f>
        <v>188.9000188900097</v>
      </c>
      <c r="F4" s="3" t="str">
        <f>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P","")</f>
        <v>P</v>
      </c>
      <c r="G4" s="3" t="str">
        <f>IF(OR(AND(AN4&gt;=AR$14,AN4&lt;&gt;"",AL4=""),AND(AQ4&gt;=AR$14,AQ4&lt;&gt;"",AL4=""),AND(BO4&gt;=BS$14,BO4&lt;&gt;"",BM4=""),AND(BR4&gt;=BS$14,BR4&lt;&gt;"",BM4=""),AND(CP4&gt;=CT$14,CP4&lt;&gt;"",CN4=""),AND(CS4&gt;=CT$14,CS4&lt;&gt;"",CN4=""),AND(DR4&gt;=DV$14,DR4&lt;&gt;""),AND(DU4&gt;=DV$14,DU4&lt;&gt;""),AND(ER4&gt;=EV$14,ER4&lt;&gt;""),AND(EU4&gt;=EV$14,EU4&lt;&gt;""),AND(FR4&gt;=FV$14,FR4&lt;&gt;""),AND(FU4&gt;=FV$14,FU4&lt;&gt;""),AND(GR4&gt;=GV$14,GR4&lt;&gt;""),AND(GU4&gt;=GV$14,GU4&lt;&gt;""),AND(HR4&gt;=HV$14,HR4&lt;&gt;""),AND(HU4&gt;=HV$14,HU4&lt;&gt;""),AND(IR4&gt;=IV$14,IR4&lt;&gt;""),AND(IU4&gt;=IV$14,IU4&lt;&gt;""),AND(JR4&gt;=JV$14,JR4&lt;&gt;""),AND(JU4&gt;=JV$14,JU4&lt;&gt;""),AND(KR4&gt;=KV$14,KR4&lt;&gt;""),AND(KU4&gt;=KV$14,KU4&lt;&gt;""),AND(LR4&gt;=LV$14,LR4&lt;&gt;""),AND(LU4&gt;=LV$14,LU4&lt;&gt;""),AND(MR4&gt;=MV$14,MR4&lt;&gt;""),AND(MU4&gt;=MV$14,MU4&lt;&gt;""),AND(NR4&gt;=NV$14,NR4&lt;&gt;""),AND(NU4&gt;=NV$14,NU4&lt;&gt;""),AND(OR4&gt;=OV$14,OR4&lt;&gt;""),AND(OU4&gt;=OV$14,OU4&lt;&gt;"")),"P","")</f>
        <v>P</v>
      </c>
      <c r="H4" s="47" t="str">
        <f>IF(AND(G4="P",F4=""),"No DD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Merit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Excellence",IF(F4="P","National Team",""))))</f>
        <v>Excellence</v>
      </c>
      <c r="I4" s="9">
        <f>IF(COUNT(AN4,BO4,CP4)&gt;0,LARGE((AN4,BO4,CP4),1),0)</f>
        <v>96.600000000000009</v>
      </c>
      <c r="J4" s="9" t="str">
        <f>IF(I4=0,"",IF(I4=CP4,$BT$1,IF(I4=BO4,$AS$1,IF(I4=AN4,$R$1,""))))</f>
        <v>2023 Nationals</v>
      </c>
      <c r="K4" s="9">
        <f>IF(COUNT(AN4,BO4,CP4)&gt;1,LARGE((AN4,BO4,CP4),2),0)</f>
        <v>45.1</v>
      </c>
      <c r="L4" s="9" t="str">
        <f>IF(K4=0,"",IF(K4=CP4,$BT$1,IF(K4=BO4,$AS$1,IF(K4=AN4,$R$1,""))))</f>
        <v>2024 Elite Canada</v>
      </c>
      <c r="M4" s="9">
        <f>IF(MAX(AQ4,BR4,CS4)&gt;0,MAX(AQ4,BR4,CS4),0)</f>
        <v>47.2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18.7</v>
      </c>
      <c r="S4" s="20">
        <v>55.2</v>
      </c>
      <c r="T4" s="20">
        <v>0.2</v>
      </c>
      <c r="U4" s="20">
        <v>0</v>
      </c>
      <c r="V4" s="20">
        <v>18.2</v>
      </c>
      <c r="W4" s="20">
        <v>5.2</v>
      </c>
      <c r="X4" s="20">
        <v>0.8</v>
      </c>
      <c r="Y4" s="20">
        <v>0.3</v>
      </c>
      <c r="Z4" s="20"/>
      <c r="AA4" s="20"/>
      <c r="AB4" s="20"/>
      <c r="AC4" s="20"/>
      <c r="AD4" s="20">
        <v>18.600000000000001</v>
      </c>
      <c r="AE4" s="20">
        <v>3.4</v>
      </c>
      <c r="AF4" s="20">
        <v>0</v>
      </c>
      <c r="AG4" s="20">
        <v>0</v>
      </c>
      <c r="AH4" s="20">
        <v>18.5</v>
      </c>
      <c r="AI4" s="20">
        <v>3.5</v>
      </c>
      <c r="AJ4" s="20">
        <v>0</v>
      </c>
      <c r="AK4" s="20">
        <v>0</v>
      </c>
      <c r="AL4" s="32"/>
      <c r="AM4" s="55">
        <f>IF(SUM(S4,W4)&gt;0,SUM(S4,W4),"")</f>
        <v>60.400000000000006</v>
      </c>
      <c r="AN4" s="55">
        <f>IF(SUM(R4:S4,U4:W4,Y4)-T4-X4&gt;0,SUM(R4:S4,U4:W4,Y4)-T4-X4,"")</f>
        <v>96.600000000000009</v>
      </c>
      <c r="AO4" s="55" t="str">
        <f>IF(SUM(Z4:AA4,AC4)-AB4&gt;0,SUM(Z4:AA4,AC4)-AB4,"")</f>
        <v/>
      </c>
      <c r="AP4" s="55">
        <f>IF(SUM(AE4,AI4)&gt;0,SUM(AE4,AI4),"")</f>
        <v>6.9</v>
      </c>
      <c r="AQ4" s="55">
        <f>IF(SUM(AD4:AE4,AG4:AI4,AK4)-SUM(AF4,AJ4)&gt;0,SUM(AD4:AE4,AG4:AI4,AK4)-SUM(AF4,AJ4),"")</f>
        <v>44</v>
      </c>
      <c r="AR4" s="55">
        <f>IF(SUM(AN4,AO4,AQ4)&gt;0,SUM(AN4,AO4,AQ4),"")</f>
        <v>140.60000000000002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18.100000000000001</v>
      </c>
      <c r="BU4" s="20">
        <v>5.2</v>
      </c>
      <c r="BV4" s="20">
        <v>0.6</v>
      </c>
      <c r="BW4" s="20">
        <v>0</v>
      </c>
      <c r="BX4" s="20">
        <v>17.8</v>
      </c>
      <c r="BY4" s="20">
        <v>5.2</v>
      </c>
      <c r="BZ4" s="20">
        <v>0.6</v>
      </c>
      <c r="CA4" s="20">
        <v>0</v>
      </c>
      <c r="CB4" s="20">
        <v>18.2</v>
      </c>
      <c r="CC4" s="20">
        <v>4.4000000000000004</v>
      </c>
      <c r="CD4" s="20">
        <v>0</v>
      </c>
      <c r="CE4" s="20">
        <v>0</v>
      </c>
      <c r="CF4" s="20">
        <v>18.3</v>
      </c>
      <c r="CG4" s="20">
        <v>5.2</v>
      </c>
      <c r="CH4" s="20">
        <v>0.6</v>
      </c>
      <c r="CI4" s="20">
        <v>0</v>
      </c>
      <c r="CJ4" s="20">
        <v>18.5</v>
      </c>
      <c r="CK4" s="20">
        <v>6</v>
      </c>
      <c r="CL4" s="20">
        <v>0.2</v>
      </c>
      <c r="CM4" s="20">
        <v>0</v>
      </c>
      <c r="CN4" s="32"/>
      <c r="CO4" s="55">
        <f>IF(SUM(BU4,BY4)&gt;0,SUM(BU4,BY4),"")</f>
        <v>10.4</v>
      </c>
      <c r="CP4" s="55">
        <f>IF(SUM(BT4:BU4,BW4:BY4,CA4)-BV4-BZ4&gt;0,SUM(BT4:BU4,BW4:BY4,CA4)-BV4-BZ4,"")</f>
        <v>45.1</v>
      </c>
      <c r="CQ4" s="55">
        <f>IF(SUM(CB4:CC4,CE4)-CD4&gt;0,SUM(CB4:CC4,CE4)-CD4,"")</f>
        <v>22.6</v>
      </c>
      <c r="CR4" s="55">
        <f>IF(SUM(CG4,CK4)&gt;0,SUM(CG4,CK4),"")</f>
        <v>11.2</v>
      </c>
      <c r="CS4" s="55">
        <f>IF(SUM(CF4:CG4,CI4:CK4,CM4)-SUM(CH4,CL4)&gt;0,SUM(CF4:CG4,CI4:CK4,CM4)-SUM(CH4,CL4),"")</f>
        <v>47.2</v>
      </c>
      <c r="CT4" s="55">
        <f>IF(SUM(CP4,CQ4,CS4)&gt;0,SUM(CP4,CQ4,CS4),"")</f>
        <v>114.9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9.0500000000000007</v>
      </c>
      <c r="OX4" s="27">
        <f>IF($CN4="P",BU4,(BU4+AT4)/2)</f>
        <v>2.6</v>
      </c>
      <c r="OY4" s="27">
        <f>IF($CN4="P",BV4,(BV4+AU4)/2)</f>
        <v>0.3</v>
      </c>
      <c r="OZ4" s="27">
        <f>IF($CN4="P",BW4,(BW4+AV4)/2)</f>
        <v>0</v>
      </c>
      <c r="PA4" s="27">
        <f>IF($CN4="P",BX4,(BX4+AW4)/2)</f>
        <v>8.9</v>
      </c>
      <c r="PB4" s="27">
        <f>IF($CN4="P",BY4,(BY4+AX4)/2)</f>
        <v>2.6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9.1</v>
      </c>
      <c r="PF4" s="27">
        <f>IF($CN4="P",CC4,(CC4+BB4)/2)</f>
        <v>2.2000000000000002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9.15</v>
      </c>
      <c r="PJ4" s="27">
        <f>IF($CN4="P",CG4,(CG4+BF4)/2)</f>
        <v>2.6</v>
      </c>
      <c r="PK4" s="27">
        <f>IF($CN4="P",CH4,(CH4+BG4)/2)</f>
        <v>0.3</v>
      </c>
      <c r="PL4" s="27">
        <f>IF($CN4="P",CI4,(CI4+BH4)/2)</f>
        <v>0</v>
      </c>
      <c r="PM4" s="27">
        <f>IF($CN4="P",CJ4,(CJ4+BI4)/2)</f>
        <v>9.25</v>
      </c>
      <c r="PN4" s="27">
        <f>IF($CN4="P",CK4,(CK4+BJ4)/2)</f>
        <v>3</v>
      </c>
      <c r="PO4" s="27">
        <f>IF($CN4="P",CL4,(CL4+BK4)/2)</f>
        <v>0.1</v>
      </c>
      <c r="PP4" s="27">
        <f>IF($CN4="P",CM4,(CM4+BL4)/2)</f>
        <v>0</v>
      </c>
      <c r="PQ4" s="32" t="s">
        <v>44</v>
      </c>
      <c r="PR4" s="55">
        <f>IF(SUM(OX4,PB4)&gt;0,SUM(OX4,PB4),"")</f>
        <v>5.2</v>
      </c>
      <c r="PS4" s="55">
        <f>IF(SUM(OW4:OX4,OZ4:PB4,PD4)-OY4-PC4&gt;0,SUM(OW4:OX4,OZ4:PB4,PD4)-OY4-PC4,"")</f>
        <v>22.55</v>
      </c>
      <c r="PT4" s="55">
        <f>IF(SUM(PE4:PF4,PH4)-PG4&gt;0,SUM(PE4:PF4,PH4)-PG4,"")</f>
        <v>11.3</v>
      </c>
      <c r="PU4" s="55">
        <f>IF(SUM(PJ4,PN4)&gt;0,SUM(PJ4,PN4),"")</f>
        <v>5.6</v>
      </c>
      <c r="PV4" s="55">
        <f>IF(SUM(PI4:PJ4,PL4:PN4,PP4)-SUM(PK4,PO4)&gt;0,SUM(PI4:PJ4,PL4:PN4,PP4)-SUM(PK4,PO4),"")</f>
        <v>23.6</v>
      </c>
      <c r="PW4" s="55">
        <f>IF(SUM(PS4,PT4,PV4)&gt;0,SUM(PS4,PT4,PV4),"")</f>
        <v>57.45</v>
      </c>
    </row>
    <row r="5" spans="1:439" x14ac:dyDescent="0.2">
      <c r="A5" s="4" cm="1">
        <f t="array" ref="A5">IF(AND(H5&lt;&gt;"",H5&lt;&gt;"No DD"),SUMPRODUCT((H$4:H$8&lt;&gt;"")*(H$4:H$8&lt;&gt;"No DD")*(E$4:E$8&gt;E5))+1,IF(H5="No DD",SUMPRODUCT((H$4:H$8="No DD")*(E$4:E$8&gt;E5))+1+SUMPRODUCT((H$4:H$8&lt;&gt;"")*(H$4:H$8&lt;&gt;"No DD")),""))</f>
        <v>2</v>
      </c>
      <c r="B5" s="5" t="s">
        <v>67</v>
      </c>
      <c r="C5" s="4" t="s">
        <v>68</v>
      </c>
      <c r="D5" s="4">
        <v>2009</v>
      </c>
      <c r="E5" s="10">
        <f>SUM(I5:O5)+SUM(I5:M5)*0.0000001+SUM(I5)*0.0000000000001</f>
        <v>153.20001532000509</v>
      </c>
      <c r="F5" s="3" t="str">
        <f>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P","")</f>
        <v>P</v>
      </c>
      <c r="G5" s="3" t="str">
        <f>IF(OR(AND(AN5&gt;=AR$14,AN5&lt;&gt;"",AL5=""),AND(AQ5&gt;=AR$14,AQ5&lt;&gt;"",AL5=""),AND(BO5&gt;=BS$14,BO5&lt;&gt;"",BM5=""),AND(BR5&gt;=BS$14,BR5&lt;&gt;"",BM5=""),AND(CP5&gt;=CT$14,CP5&lt;&gt;"",CN5=""),AND(CS5&gt;=CT$14,CS5&lt;&gt;"",CN5=""),AND(DR5&gt;=DV$14,DR5&lt;&gt;""),AND(DU5&gt;=DV$14,DU5&lt;&gt;""),AND(ER5&gt;=EV$14,ER5&lt;&gt;""),AND(EU5&gt;=EV$14,EU5&lt;&gt;""),AND(FR5&gt;=FV$14,FR5&lt;&gt;""),AND(FU5&gt;=FV$14,FU5&lt;&gt;""),AND(GR5&gt;=GV$14,GR5&lt;&gt;""),AND(GU5&gt;=GV$14,GU5&lt;&gt;""),AND(HR5&gt;=HV$14,HR5&lt;&gt;""),AND(HU5&gt;=HV$14,HU5&lt;&gt;""),AND(IR5&gt;=IV$14,IR5&lt;&gt;""),AND(IU5&gt;=IV$14,IU5&lt;&gt;""),AND(JR5&gt;=JV$14,JR5&lt;&gt;""),AND(JU5&gt;=JV$14,JU5&lt;&gt;""),AND(KR5&gt;=KV$14,KR5&lt;&gt;""),AND(KU5&gt;=KV$14,KU5&lt;&gt;""),AND(LR5&gt;=LV$14,LR5&lt;&gt;""),AND(LU5&gt;=LV$14,LU5&lt;&gt;""),AND(MR5&gt;=MV$14,MR5&lt;&gt;""),AND(MU5&gt;=MV$14,MU5&lt;&gt;""),AND(NR5&gt;=NV$14,NR5&lt;&gt;""),AND(NU5&gt;=NV$14,NU5&lt;&gt;""),AND(OR5&gt;=OV$14,OR5&lt;&gt;""),AND(OU5&gt;=OV$14,OU5&lt;&gt;"")),"P","")</f>
        <v>P</v>
      </c>
      <c r="H5" s="47" t="str">
        <f>IF(AND(G5="P",F5=""),"No DD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Merit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Excellence",IF(F5="P","National Team",""))))</f>
        <v>Excellence</v>
      </c>
      <c r="I5" s="9">
        <f>IF(COUNT(AN5,BO5,CP5)&gt;0,LARGE((AN5,BO5,CP5),1),0)</f>
        <v>51.1</v>
      </c>
      <c r="J5" s="9" t="str">
        <f>IF(I5=0,"",IF(I5=CP5,$BT$1,IF(I5=BO5,$AS$1,IF(I5=AN5,$R$1,""))))</f>
        <v>2023 Nationals</v>
      </c>
      <c r="K5" s="9">
        <f>IF(COUNT(AN5,BO5,CP5)&gt;1,LARGE((AN5,BO5,CP5),2),0)</f>
        <v>50.800000000000004</v>
      </c>
      <c r="L5" s="9" t="str">
        <f>IF(K5=0,"",IF(K5=CP5,$BT$1,IF(K5=BO5,$AS$1,IF(K5=AN5,$R$1,""))))</f>
        <v>2024 Elite Canada</v>
      </c>
      <c r="M5" s="9">
        <f>IF(MAX(AQ5,BR5,CS5)&gt;0,MAX(AQ5,BR5,CS5),0)</f>
        <v>51.3</v>
      </c>
      <c r="N5" s="9" t="str">
        <f>IF(M5=0,"",IF(M5=CS5,$BT$1,IF(M5=BR5,$AS$1,IF(M5=AQ5,$R$1,""))))</f>
        <v>2024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18.8</v>
      </c>
      <c r="S5" s="20">
        <v>6.4</v>
      </c>
      <c r="T5" s="20">
        <v>0</v>
      </c>
      <c r="U5" s="20">
        <v>0</v>
      </c>
      <c r="V5" s="20">
        <v>19.100000000000001</v>
      </c>
      <c r="W5" s="20">
        <v>6.8</v>
      </c>
      <c r="X5" s="20">
        <v>0</v>
      </c>
      <c r="Y5" s="20">
        <v>0</v>
      </c>
      <c r="Z5" s="20">
        <v>18.7</v>
      </c>
      <c r="AA5" s="20">
        <v>6</v>
      </c>
      <c r="AB5" s="20">
        <v>0</v>
      </c>
      <c r="AC5" s="20">
        <v>0</v>
      </c>
      <c r="AD5" s="20">
        <v>18.399999999999999</v>
      </c>
      <c r="AE5" s="20">
        <v>6.4</v>
      </c>
      <c r="AF5" s="20">
        <v>0</v>
      </c>
      <c r="AG5" s="20">
        <v>0</v>
      </c>
      <c r="AH5" s="20">
        <v>18.7</v>
      </c>
      <c r="AI5" s="20">
        <v>6.8</v>
      </c>
      <c r="AJ5" s="20">
        <v>0</v>
      </c>
      <c r="AK5" s="20">
        <v>0</v>
      </c>
      <c r="AL5" s="32"/>
      <c r="AM5" s="55">
        <f>IF(SUM(S5,W5)&gt;0,SUM(S5,W5),"")</f>
        <v>13.2</v>
      </c>
      <c r="AN5" s="55">
        <f>IF(SUM(R5:S5,U5:W5,Y5)-T5-X5&gt;0,SUM(R5:S5,U5:W5,Y5)-T5-X5,"")</f>
        <v>51.1</v>
      </c>
      <c r="AO5" s="55">
        <f>IF(SUM(Z5:AA5,AC5)-AB5&gt;0,SUM(Z5:AA5,AC5)-AB5,"")</f>
        <v>24.7</v>
      </c>
      <c r="AP5" s="55">
        <f>IF(SUM(AE5,AI5)&gt;0,SUM(AE5,AI5),"")</f>
        <v>13.2</v>
      </c>
      <c r="AQ5" s="55">
        <f>IF(SUM(AD5:AE5,AG5:AI5,AK5)-SUM(AF5,AJ5)&gt;0,SUM(AD5:AE5,AG5:AI5,AK5)-SUM(AF5,AJ5),"")</f>
        <v>50.3</v>
      </c>
      <c r="AR5" s="55">
        <f>IF(SUM(AN5,AO5,AQ5)&gt;0,SUM(AN5,AO5,AQ5),"")</f>
        <v>126.1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18.8</v>
      </c>
      <c r="BU5" s="20">
        <v>6.8</v>
      </c>
      <c r="BV5" s="20">
        <v>0</v>
      </c>
      <c r="BW5" s="20">
        <v>0</v>
      </c>
      <c r="BX5" s="20">
        <v>18.8</v>
      </c>
      <c r="BY5" s="20">
        <v>6.4</v>
      </c>
      <c r="BZ5" s="20">
        <v>0</v>
      </c>
      <c r="CA5" s="20">
        <v>0</v>
      </c>
      <c r="CB5" s="20">
        <v>18.600000000000001</v>
      </c>
      <c r="CC5" s="20">
        <v>6</v>
      </c>
      <c r="CD5" s="20">
        <v>0</v>
      </c>
      <c r="CE5" s="20">
        <v>0</v>
      </c>
      <c r="CF5" s="20">
        <v>18.399999999999999</v>
      </c>
      <c r="CG5" s="20">
        <v>7.6</v>
      </c>
      <c r="CH5" s="20">
        <v>0</v>
      </c>
      <c r="CI5" s="20">
        <v>0</v>
      </c>
      <c r="CJ5" s="20">
        <v>18.899999999999999</v>
      </c>
      <c r="CK5" s="20">
        <v>6.4</v>
      </c>
      <c r="CL5" s="20">
        <v>0</v>
      </c>
      <c r="CM5" s="20">
        <v>0</v>
      </c>
      <c r="CN5" s="32"/>
      <c r="CO5" s="55">
        <f>IF(SUM(BU5,BY5)&gt;0,SUM(BU5,BY5),"")</f>
        <v>13.2</v>
      </c>
      <c r="CP5" s="55">
        <f>IF(SUM(BT5:BU5,BW5:BY5,CA5)-BV5-BZ5&gt;0,SUM(BT5:BU5,BW5:BY5,CA5)-BV5-BZ5,"")</f>
        <v>50.800000000000004</v>
      </c>
      <c r="CQ5" s="55">
        <f>IF(SUM(CB5:CC5,CE5)-CD5&gt;0,SUM(CB5:CC5,CE5)-CD5,"")</f>
        <v>24.6</v>
      </c>
      <c r="CR5" s="55">
        <f>IF(SUM(CG5,CK5)&gt;0,SUM(CG5,CK5),"")</f>
        <v>14</v>
      </c>
      <c r="CS5" s="55">
        <f>IF(SUM(CF5:CG5,CI5:CK5,CM5)-SUM(CH5,CL5)&gt;0,SUM(CF5:CG5,CI5:CK5,CM5)-SUM(CH5,CL5),"")</f>
        <v>51.3</v>
      </c>
      <c r="CT5" s="55">
        <f>IF(SUM(CP5,CQ5,CS5)&gt;0,SUM(CP5,CQ5,CS5),"")</f>
        <v>126.7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>
        <v>18.600000000000001</v>
      </c>
      <c r="DJ5" s="18">
        <v>6</v>
      </c>
      <c r="DK5" s="18">
        <v>0</v>
      </c>
      <c r="DL5" s="18">
        <v>0</v>
      </c>
      <c r="DM5" s="18">
        <v>18.7</v>
      </c>
      <c r="DN5" s="18">
        <v>5.6</v>
      </c>
      <c r="DO5" s="18">
        <v>0</v>
      </c>
      <c r="DP5" s="18">
        <v>0</v>
      </c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>
        <f>IF(SUM(DJ5,DN5)&gt;0,SUM(DJ5,DN5),"")</f>
        <v>11.6</v>
      </c>
      <c r="DU5" s="55">
        <f>IF(SUM(DI5:DJ5,DL5:DN5,DP5)-SUM(DK5,DO5)&gt;0,SUM(DI5:DJ5,DL5:DN5,DP5)-SUM(DK5,DO5),"")</f>
        <v>48.9</v>
      </c>
      <c r="DV5" s="55">
        <f>IF(SUM(DR5,DS5,DU5)&gt;0,SUM(DR5,DS5,DU5),"")</f>
        <v>48.9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>
        <v>18.600000000000001</v>
      </c>
      <c r="EJ5" s="19">
        <v>6</v>
      </c>
      <c r="EK5" s="19">
        <v>0</v>
      </c>
      <c r="EL5" s="19">
        <v>0</v>
      </c>
      <c r="EM5" s="19">
        <v>18.7</v>
      </c>
      <c r="EN5" s="19">
        <v>5.6</v>
      </c>
      <c r="EO5" s="19">
        <v>0</v>
      </c>
      <c r="EP5" s="19">
        <v>0</v>
      </c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>
        <f>IF(SUM(EJ5,EN5)&gt;0,SUM(EJ5,EN5),"")</f>
        <v>11.6</v>
      </c>
      <c r="EU5" s="14">
        <f>IF(SUM(EI5:EJ5,EL5:EN5,EP5)-SUM(EK5,EO5)&gt;0,SUM(EI5:EJ5,EL5:EN5,EP5)-SUM(EK5,EO5),"")</f>
        <v>48.9</v>
      </c>
      <c r="EV5" s="14">
        <f>IF(SUM(ER5,ES5,EU5)&gt;0,SUM(ER5,ES5,EU5),"")</f>
        <v>48.9</v>
      </c>
      <c r="EW5" s="18">
        <v>18.8</v>
      </c>
      <c r="EX5" s="18">
        <v>6.8</v>
      </c>
      <c r="EY5" s="18">
        <v>0.2</v>
      </c>
      <c r="EZ5" s="18">
        <v>0</v>
      </c>
      <c r="FA5" s="18">
        <v>18.600000000000001</v>
      </c>
      <c r="FB5" s="18">
        <v>6.4</v>
      </c>
      <c r="FC5" s="18">
        <v>0</v>
      </c>
      <c r="FD5" s="18">
        <v>0</v>
      </c>
      <c r="FE5" s="18"/>
      <c r="FF5" s="18"/>
      <c r="FG5" s="18"/>
      <c r="FH5" s="18"/>
      <c r="FI5" s="18">
        <v>18.600000000000001</v>
      </c>
      <c r="FJ5" s="18">
        <v>6.4</v>
      </c>
      <c r="FK5" s="18">
        <v>0</v>
      </c>
      <c r="FL5" s="18">
        <v>0</v>
      </c>
      <c r="FM5" s="18">
        <v>18.8</v>
      </c>
      <c r="FN5" s="18">
        <v>6.8</v>
      </c>
      <c r="FO5" s="18">
        <v>0</v>
      </c>
      <c r="FP5" s="18">
        <v>0</v>
      </c>
      <c r="FQ5" s="55">
        <f>IF(SUM(EX5,FB5)&gt;0,SUM(EX5,FB5),"")</f>
        <v>13.2</v>
      </c>
      <c r="FR5" s="55">
        <f>IF(SUM(EW5:EX5,EZ5:FB5,FD5)-EY5-FC5&gt;0,SUM(EW5:EX5,EZ5:FB5,FD5)-EY5-FC5,"")</f>
        <v>50.4</v>
      </c>
      <c r="FS5" s="55" t="str">
        <f>IF(SUM(FE5:FF5,FH5)-FG5&gt;0,SUM(FE5:FF5,FH5)-FG5,"")</f>
        <v/>
      </c>
      <c r="FT5" s="55">
        <f>IF(SUM(FJ5,FN5)&gt;0,SUM(FJ5,FN5),"")</f>
        <v>13.2</v>
      </c>
      <c r="FU5" s="55">
        <f>IF(SUM(FI5:FJ5,FL5:FN5,FP5)-SUM(FK5,FO5)&gt;0,SUM(FI5:FJ5,FL5:FN5,FP5)-SUM(FK5,FO5),"")</f>
        <v>50.599999999999994</v>
      </c>
      <c r="FV5" s="55">
        <f>IF(SUM(FR5,FS5,FU5)&gt;0,SUM(FR5,FS5,FU5),"")</f>
        <v>101</v>
      </c>
      <c r="FW5" s="19"/>
      <c r="FX5" s="19"/>
      <c r="FY5" s="19"/>
      <c r="FZ5" s="19"/>
      <c r="GA5" s="19"/>
      <c r="GB5" s="19"/>
      <c r="GC5" s="19"/>
      <c r="GD5" s="19"/>
      <c r="GE5" s="19">
        <v>17.2</v>
      </c>
      <c r="GF5" s="19">
        <v>2.8</v>
      </c>
      <c r="GG5" s="19">
        <v>0</v>
      </c>
      <c r="GH5" s="19">
        <v>0</v>
      </c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>
        <f>IF(SUM(GE5:GF5,GH5)-GG5&gt;0,SUM(GE5:GF5,GH5)-GG5,"")</f>
        <v>20</v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>
        <f>IF(SUM(GR5,GS5,GU5)&gt;0,SUM(GR5,GS5,GU5),"")</f>
        <v>20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9.4</v>
      </c>
      <c r="OX5" s="27">
        <f>IF($CN5="P",BU5,(BU5+AT5)/2)</f>
        <v>3.4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9.4</v>
      </c>
      <c r="PB5" s="27">
        <f>IF($CN5="P",BY5,(BY5+AX5)/2)</f>
        <v>3.2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9.3000000000000007</v>
      </c>
      <c r="PF5" s="27">
        <f>IF($CN5="P",CC5,(CC5+BB5)/2)</f>
        <v>3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9.1999999999999993</v>
      </c>
      <c r="PJ5" s="27">
        <f>IF($CN5="P",CG5,(CG5+BF5)/2)</f>
        <v>3.8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9.4499999999999993</v>
      </c>
      <c r="PN5" s="27">
        <f>IF($CN5="P",CK5,(CK5+BJ5)/2)</f>
        <v>3.2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6.6</v>
      </c>
      <c r="PS5" s="55">
        <f>IF(SUM(OW5:OX5,OZ5:PB5,PD5)-OY5-PC5&gt;0,SUM(OW5:OX5,OZ5:PB5,PD5)-OY5-PC5,"")</f>
        <v>25.400000000000002</v>
      </c>
      <c r="PT5" s="55">
        <f>IF(SUM(PE5:PF5,PH5)-PG5&gt;0,SUM(PE5:PF5,PH5)-PG5,"")</f>
        <v>12.3</v>
      </c>
      <c r="PU5" s="55">
        <f>IF(SUM(PJ5,PN5)&gt;0,SUM(PJ5,PN5),"")</f>
        <v>7</v>
      </c>
      <c r="PV5" s="55">
        <f>IF(SUM(PI5:PJ5,PL5:PN5,PP5)-SUM(PK5,PO5)&gt;0,SUM(PI5:PJ5,PL5:PN5,PP5)-SUM(PK5,PO5),"")</f>
        <v>25.65</v>
      </c>
      <c r="PW5" s="55">
        <f>IF(SUM(PS5,PT5,PV5)&gt;0,SUM(PS5,PT5,PV5),"")</f>
        <v>63.35</v>
      </c>
    </row>
    <row r="6" spans="1:439" x14ac:dyDescent="0.2">
      <c r="A6" s="4" cm="1">
        <f t="array" ref="A6">IF(AND(H6&lt;&gt;"",H6&lt;&gt;"No DD"),SUMPRODUCT((H$4:H$8&lt;&gt;"")*(H$4:H$8&lt;&gt;"No DD")*(E$4:E$8&gt;E6))+1,IF(H6="No DD",SUMPRODUCT((H$4:H$8="No DD")*(E$4:E$8&gt;E6))+1+SUMPRODUCT((H$4:H$8&lt;&gt;"")*(H$4:H$8&lt;&gt;"No DD")),""))</f>
        <v>3</v>
      </c>
      <c r="B6" s="5" t="s">
        <v>82</v>
      </c>
      <c r="C6" s="4" t="s">
        <v>68</v>
      </c>
      <c r="D6" s="4">
        <v>2008</v>
      </c>
      <c r="E6" s="10">
        <f>SUM(I6:O6)+SUM(I6:M6)*0.0000001+SUM(I6)*0.0000000000001</f>
        <v>145.20001423000483</v>
      </c>
      <c r="F6" s="3" t="str">
        <f>IF(OR(AND(AM6&gt;=AR$10,AN6&gt;=AR$14,AM6&lt;&gt;"",AL6=""),AND(AP6&gt;=AR$10,AQ6&gt;=AR$14,AP6&lt;&gt;"",AL6=""),AND(BN6&gt;=BS$10,BO6&gt;=BS$14,BN6&lt;&gt;"",BM6=""),AND(BQ6&gt;=BS$10,BR6&gt;=BS$14,BQ6&lt;&gt;"",BM6=""),AND(CO6&gt;=CT$10,CP6&gt;=CT$14,CO6&lt;&gt;"",CN6=""),AND(CR6&gt;=CT$10,CS6&gt;=CT$14,CR6&lt;&gt;""),AND(DQ6&gt;=DV$10,DR6&gt;=DV$14,DQ6&lt;&gt;""),AND(DT6&gt;=DV$10,DU6&gt;=DV$14,DT6&lt;&gt;""),AND(EQ6&gt;=EV$10,ER6&gt;=EV$14,EQ6&lt;&gt;""),AND(ET6&gt;=EV$10,EU6&gt;=EV$14,ET6&lt;&gt;""),AND(FQ6&gt;=FV$10,FR6&gt;=FV$14,FQ6&lt;&gt;""),AND(FT6&gt;=FV$10,FU6&gt;=FV$14,FT6&lt;&gt;""),AND(GQ6&gt;=GV$10,GR6&gt;=GV$14,GQ6&lt;&gt;""),AND(GT6&gt;=GV$10,GU6&gt;=GV$14,GT6&lt;&gt;""),AND(HQ6&gt;=HV$10,HR6&gt;=HV$14,HQ6&lt;&gt;""),AND(HT6&gt;=HV$10,HU6&gt;=HV$14,HT6&lt;&gt;""),AND(IQ6&gt;=IV$10,IR6&gt;=IV$14,IQ6&lt;&gt;""),AND(IT6&gt;=IV$10,IU6&gt;=IV$14,IT6&lt;&gt;""),AND(JQ6&gt;=JV$10,JR6&gt;=JV$14,JQ6&lt;&gt;""),AND(JT6&gt;=JV$10,JU6&gt;=JV$14,JT6&lt;&gt;""),AND(KQ6&gt;=KV$10,KR6&gt;=KV$14,KQ6&lt;&gt;""),AND(KT6&gt;=KV$10,KU6&gt;=KV$14,KT6&lt;&gt;""),AND(LQ6&gt;=LV$10,LR6&gt;=LV$14,LQ6&lt;&gt;""),AND(LT6&gt;=LV$10,LU6&gt;=LV$14,LT6&lt;&gt;""),AND(MQ6&gt;=MV$10,MR6&gt;=MV$14,MQ6&lt;&gt;""),AND(MT6&gt;=MV$10,MU6&gt;=MV$14,MT6&lt;&gt;""),AND(NQ6&gt;=NV$10,NR6&gt;=NV$14,NQ6&lt;&gt;""),AND(NT6&gt;=NV$10,NU6&gt;=NV$14,NT6&lt;&gt;""),AND(OQ6&gt;=OV$10,OR6&gt;=OV$14,OQ6&lt;&gt;""),AND(OT6&gt;=OV$10,OU6&gt;=OV$14,OT6&lt;&gt;"")),"P","")</f>
        <v>P</v>
      </c>
      <c r="G6" s="3" t="str">
        <f>IF(OR(AND(AN6&gt;=AR$14,AN6&lt;&gt;"",AL6=""),AND(AQ6&gt;=AR$14,AQ6&lt;&gt;"",AL6=""),AND(BO6&gt;=BS$14,BO6&lt;&gt;"",BM6=""),AND(BR6&gt;=BS$14,BR6&lt;&gt;"",BM6=""),AND(CP6&gt;=CT$14,CP6&lt;&gt;"",CN6=""),AND(CS6&gt;=CT$14,CS6&lt;&gt;"",CN6=""),AND(DR6&gt;=DV$14,DR6&lt;&gt;""),AND(DU6&gt;=DV$14,DU6&lt;&gt;""),AND(ER6&gt;=EV$14,ER6&lt;&gt;""),AND(EU6&gt;=EV$14,EU6&lt;&gt;""),AND(FR6&gt;=FV$14,FR6&lt;&gt;""),AND(FU6&gt;=FV$14,FU6&lt;&gt;""),AND(GR6&gt;=GV$14,GR6&lt;&gt;""),AND(GU6&gt;=GV$14,GU6&lt;&gt;""),AND(HR6&gt;=HV$14,HR6&lt;&gt;""),AND(HU6&gt;=HV$14,HU6&lt;&gt;""),AND(IR6&gt;=IV$14,IR6&lt;&gt;""),AND(IU6&gt;=IV$14,IU6&lt;&gt;""),AND(JR6&gt;=JV$14,JR6&lt;&gt;""),AND(JU6&gt;=JV$14,JU6&lt;&gt;""),AND(KR6&gt;=KV$14,KR6&lt;&gt;""),AND(KU6&gt;=KV$14,KU6&lt;&gt;""),AND(LR6&gt;=LV$14,LR6&lt;&gt;""),AND(LU6&gt;=LV$14,LU6&lt;&gt;""),AND(MR6&gt;=MV$14,MR6&lt;&gt;""),AND(MU6&gt;=MV$14,MU6&lt;&gt;""),AND(NR6&gt;=NV$14,NR6&lt;&gt;""),AND(NU6&gt;=NV$14,NU6&lt;&gt;""),AND(OR6&gt;=OV$14,OR6&lt;&gt;""),AND(OU6&gt;=OV$14,OU6&lt;&gt;"")),"P","")</f>
        <v>P</v>
      </c>
      <c r="H6" s="47" t="str">
        <f>IF(AND(G6="P",F6=""),"No DD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Merit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Excellence",IF(F6="P","National Team",""))))</f>
        <v>Excellence</v>
      </c>
      <c r="I6" s="9">
        <f>IF(COUNT(AN6,BO6,CP6)&gt;0,LARGE((AN6,BO6,CP6),1),0)</f>
        <v>47.9</v>
      </c>
      <c r="J6" s="9" t="str">
        <f>IF(I6=0,"",IF(I6=CP6,$BT$1,IF(I6=BO6,$AS$1,IF(I6=AN6,$R$1,""))))</f>
        <v>2024 Elite Canada</v>
      </c>
      <c r="K6" s="9">
        <f>IF(COUNT(AN6,BO6,CP6)&gt;1,LARGE((AN6,BO6,CP6),2),0)</f>
        <v>46.800000000000004</v>
      </c>
      <c r="L6" s="9" t="str">
        <f>IF(K6=0,"",IF(K6=CP6,$BT$1,IF(K6=BO6,$AS$1,IF(K6=AN6,$R$1,""))))</f>
        <v>2023 3rd Domestic Trial</v>
      </c>
      <c r="M6" s="9">
        <f>IF(MAX(AQ6,BR6,CS6)&gt;0,MAX(AQ6,BR6,CS6),0)</f>
        <v>47.6</v>
      </c>
      <c r="N6" s="9" t="str">
        <f>IF(M6=0,"",IF(M6=CS6,$BT$1,IF(M6=BR6,$AS$1,IF(M6=AQ6,$R$1,""))))</f>
        <v>2024 Elite Canada</v>
      </c>
      <c r="O6" s="9">
        <f>IF(MAX(CU6:CV6)&gt;0,MAX(CU6:CV6),"")</f>
        <v>2.8999999999999986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2023 WAGC (Nov 18)</v>
      </c>
      <c r="R6" s="20">
        <v>0</v>
      </c>
      <c r="S6" s="20">
        <v>0</v>
      </c>
      <c r="T6" s="20">
        <v>0</v>
      </c>
      <c r="U6" s="20">
        <v>0</v>
      </c>
      <c r="V6" s="20">
        <v>18</v>
      </c>
      <c r="W6" s="20">
        <v>6</v>
      </c>
      <c r="X6" s="20">
        <v>0.2</v>
      </c>
      <c r="Y6" s="20">
        <v>0</v>
      </c>
      <c r="Z6" s="20">
        <v>18.2</v>
      </c>
      <c r="AA6" s="20">
        <v>5.2</v>
      </c>
      <c r="AB6" s="20">
        <v>1</v>
      </c>
      <c r="AC6" s="20">
        <v>0</v>
      </c>
      <c r="AD6" s="20">
        <v>18.8</v>
      </c>
      <c r="AE6" s="20">
        <v>5.6</v>
      </c>
      <c r="AF6" s="20">
        <v>0.6</v>
      </c>
      <c r="AG6" s="20">
        <v>0</v>
      </c>
      <c r="AH6" s="20">
        <v>18.2</v>
      </c>
      <c r="AI6" s="20">
        <v>5.6</v>
      </c>
      <c r="AJ6" s="20">
        <v>0</v>
      </c>
      <c r="AK6" s="20">
        <v>0</v>
      </c>
      <c r="AL6" s="32"/>
      <c r="AM6" s="55">
        <f>IF(SUM(S6,W6)&gt;0,SUM(S6,W6),"")</f>
        <v>6</v>
      </c>
      <c r="AN6" s="55">
        <f>IF(SUM(R6:S6,U6:W6,Y6)-T6-X6&gt;0,SUM(R6:S6,U6:W6,Y6)-T6-X6,"")</f>
        <v>23.8</v>
      </c>
      <c r="AO6" s="55">
        <f>IF(SUM(Z6:AA6,AC6)-AB6&gt;0,SUM(Z6:AA6,AC6)-AB6,"")</f>
        <v>22.4</v>
      </c>
      <c r="AP6" s="55">
        <f>IF(SUM(AE6,AI6)&gt;0,SUM(AE6,AI6),"")</f>
        <v>11.2</v>
      </c>
      <c r="AQ6" s="55">
        <f>IF(SUM(AD6:AE6,AG6:AI6,AK6)-SUM(AF6,AJ6)&gt;0,SUM(AD6:AE6,AG6:AI6,AK6)-SUM(AF6,AJ6),"")</f>
        <v>47.599999999999994</v>
      </c>
      <c r="AR6" s="55">
        <f>IF(SUM(AN6,AO6,AQ6)&gt;0,SUM(AN6,AO6,AQ6),"")</f>
        <v>93.8</v>
      </c>
      <c r="AS6" s="19">
        <v>18.600000000000001</v>
      </c>
      <c r="AT6" s="19">
        <v>5.1999999999999993</v>
      </c>
      <c r="AU6" s="19">
        <v>0.6</v>
      </c>
      <c r="AV6" s="19">
        <v>0</v>
      </c>
      <c r="AW6" s="19">
        <v>18.399999999999999</v>
      </c>
      <c r="AX6" s="19">
        <v>5.1999999999999993</v>
      </c>
      <c r="AY6" s="19">
        <v>0</v>
      </c>
      <c r="AZ6" s="19">
        <v>0</v>
      </c>
      <c r="BA6" s="19">
        <v>18.8</v>
      </c>
      <c r="BB6" s="19">
        <v>3.9000000000000004</v>
      </c>
      <c r="BC6" s="19">
        <v>0</v>
      </c>
      <c r="BD6" s="19">
        <v>0</v>
      </c>
      <c r="BE6" s="19">
        <v>18.100000000000001</v>
      </c>
      <c r="BF6" s="19">
        <v>5.6</v>
      </c>
      <c r="BG6" s="19">
        <v>0.2</v>
      </c>
      <c r="BH6" s="19">
        <v>0</v>
      </c>
      <c r="BI6" s="19">
        <v>18.399999999999999</v>
      </c>
      <c r="BJ6" s="19">
        <v>5.6</v>
      </c>
      <c r="BK6" s="19">
        <v>0.6</v>
      </c>
      <c r="BL6" s="19">
        <v>0</v>
      </c>
      <c r="BM6" s="33"/>
      <c r="BN6" s="14">
        <f>IF(SUM(AT6,AX6)&gt;0,SUM(AT6,AX6),"")</f>
        <v>10.399999999999999</v>
      </c>
      <c r="BO6" s="14">
        <f>IF(SUM(AS6:AT6,AV6:AX6,AZ6)-AU6-AY6&gt;0,SUM(AS6:AT6,AV6:AX6,AZ6)-AU6-AY6,"")</f>
        <v>46.800000000000004</v>
      </c>
      <c r="BP6" s="14">
        <f>IF(SUM(BA6:BB6,BD6)-BC6&gt;0,SUM(BA6:BB6,BD6)-BC6,"")</f>
        <v>22.700000000000003</v>
      </c>
      <c r="BQ6" s="14">
        <f>IF(SUM(BF6,BJ6)&gt;0,SUM(BF6,BJ6),"")</f>
        <v>11.2</v>
      </c>
      <c r="BR6" s="14">
        <f>IF(SUM(BE6:BF6,BH6:BJ6,BL6)-SUM(BG6,BK6)&gt;0,SUM(BE6:BF6,BH6:BJ6,BL6)-SUM(BG6,BK6),"")</f>
        <v>46.900000000000006</v>
      </c>
      <c r="BS6" s="14">
        <f>IF(SUM(BO6,BP6,BR6)&gt;0,SUM(BO6,BP6,BR6),"")</f>
        <v>116.4</v>
      </c>
      <c r="BT6" s="20">
        <v>18.5</v>
      </c>
      <c r="BU6" s="20">
        <v>5.2</v>
      </c>
      <c r="BV6" s="20">
        <v>0</v>
      </c>
      <c r="BW6" s="20">
        <v>0</v>
      </c>
      <c r="BX6" s="20">
        <v>18.2</v>
      </c>
      <c r="BY6" s="20">
        <v>6</v>
      </c>
      <c r="BZ6" s="20">
        <v>0</v>
      </c>
      <c r="CA6" s="20">
        <v>0</v>
      </c>
      <c r="CB6" s="20">
        <v>17.399999999999999</v>
      </c>
      <c r="CC6" s="20">
        <v>2.4</v>
      </c>
      <c r="CD6" s="20">
        <v>0</v>
      </c>
      <c r="CE6" s="20">
        <v>0</v>
      </c>
      <c r="CF6" s="20">
        <v>17.8</v>
      </c>
      <c r="CG6" s="20">
        <v>6</v>
      </c>
      <c r="CH6" s="20">
        <v>0.8</v>
      </c>
      <c r="CI6" s="20">
        <v>0</v>
      </c>
      <c r="CJ6" s="20">
        <v>18</v>
      </c>
      <c r="CK6" s="20">
        <v>7.2</v>
      </c>
      <c r="CL6" s="20">
        <v>0.6</v>
      </c>
      <c r="CM6" s="20">
        <v>0</v>
      </c>
      <c r="CN6" s="32"/>
      <c r="CO6" s="55">
        <f>IF(SUM(BU6,BY6)&gt;0,SUM(BU6,BY6),"")</f>
        <v>11.2</v>
      </c>
      <c r="CP6" s="55">
        <f>IF(SUM(BT6:BU6,BW6:BY6,CA6)-BV6-BZ6&gt;0,SUM(BT6:BU6,BW6:BY6,CA6)-BV6-BZ6,"")</f>
        <v>47.9</v>
      </c>
      <c r="CQ6" s="55">
        <f>IF(SUM(CB6:CC6,CE6)-CD6&gt;0,SUM(CB6:CC6,CE6)-CD6,"")</f>
        <v>19.799999999999997</v>
      </c>
      <c r="CR6" s="55">
        <f>IF(SUM(CG6,CK6)&gt;0,SUM(CG6,CK6),"")</f>
        <v>13.2</v>
      </c>
      <c r="CS6" s="55">
        <f>IF(SUM(CF6:CG6,CI6:CK6,CM6)-SUM(CH6,CL6)&gt;0,SUM(CF6:CG6,CI6:CK6,CM6)-SUM(CH6,CL6),"")</f>
        <v>47.6</v>
      </c>
      <c r="CT6" s="55">
        <f>IF(SUM(CP6,CQ6,CS6)&gt;0,SUM(CP6,CQ6,CS6),"")</f>
        <v>115.29999999999998</v>
      </c>
      <c r="CU6" s="56">
        <f>IF(MAX(DR6,ER6,FR6,GR6,HR6,IR6,JR6,KR6,LR6,MR6,NR6,OR6)-IF(K6="",0,K6)&gt;0.001,MAX(DR6,ER6,FR6,GR6,HR6,IR6,JR6,KR6,LR6,MR6,NR6,OR6)-IF(K6="",0,K6),"")</f>
        <v>2.8999999999999986</v>
      </c>
      <c r="CV6" s="56">
        <f>IF(MAX(DU6,EU6,FU6,GU6,HU6,IU6,JU6,KU6,LU6,MU6,NU6,OU6)-IF(M6="",0,M6)&gt;0.001,MAX(DU6,EU6,FU6,GU6,HU6,IU6,JU6,KU6,LU6,MU6,NU6,OU6)-IF(M6="",0,M6),"")</f>
        <v>0.99999999999999289</v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>
        <v>18.2</v>
      </c>
      <c r="EX6" s="18">
        <v>6.4</v>
      </c>
      <c r="EY6" s="18">
        <v>0</v>
      </c>
      <c r="EZ6" s="18">
        <v>0</v>
      </c>
      <c r="FA6" s="18">
        <v>18.3</v>
      </c>
      <c r="FB6" s="18">
        <v>6.8</v>
      </c>
      <c r="FC6" s="18">
        <v>0</v>
      </c>
      <c r="FD6" s="18">
        <v>0</v>
      </c>
      <c r="FE6" s="18"/>
      <c r="FF6" s="18"/>
      <c r="FG6" s="18"/>
      <c r="FH6" s="18"/>
      <c r="FI6" s="18">
        <v>18.2</v>
      </c>
      <c r="FJ6" s="18">
        <v>6.8</v>
      </c>
      <c r="FK6" s="18">
        <v>0.6</v>
      </c>
      <c r="FL6" s="18">
        <v>0</v>
      </c>
      <c r="FM6" s="18">
        <v>18.399999999999999</v>
      </c>
      <c r="FN6" s="18">
        <v>6.4</v>
      </c>
      <c r="FO6" s="18">
        <v>0.6</v>
      </c>
      <c r="FP6" s="18">
        <v>0</v>
      </c>
      <c r="FQ6" s="55">
        <f>IF(SUM(EX6,FB6)&gt;0,SUM(EX6,FB6),"")</f>
        <v>13.2</v>
      </c>
      <c r="FR6" s="55">
        <f>IF(SUM(EW6:EX6,EZ6:FB6,FD6)-EY6-FC6&gt;0,SUM(EW6:EX6,EZ6:FB6,FD6)-EY6-FC6,"")</f>
        <v>49.7</v>
      </c>
      <c r="FS6" s="55" t="str">
        <f>IF(SUM(FE6:FF6,FH6)-FG6&gt;0,SUM(FE6:FF6,FH6)-FG6,"")</f>
        <v/>
      </c>
      <c r="FT6" s="55">
        <f>IF(SUM(FJ6,FN6)&gt;0,SUM(FJ6,FN6),"")</f>
        <v>13.2</v>
      </c>
      <c r="FU6" s="55">
        <f>IF(SUM(FI6:FJ6,FL6:FN6,FP6)-SUM(FK6,FO6)&gt;0,SUM(FI6:FJ6,FL6:FN6,FP6)-SUM(FK6,FO6),"")</f>
        <v>48.599999999999994</v>
      </c>
      <c r="FV6" s="55">
        <f>IF(SUM(FR6,FS6,FU6)&gt;0,SUM(FR6,FS6,FU6),"")</f>
        <v>98.3</v>
      </c>
      <c r="FW6" s="19"/>
      <c r="FX6" s="19"/>
      <c r="FY6" s="19"/>
      <c r="FZ6" s="19"/>
      <c r="GA6" s="19"/>
      <c r="GB6" s="19"/>
      <c r="GC6" s="19"/>
      <c r="GD6" s="19"/>
      <c r="GE6" s="19">
        <v>18</v>
      </c>
      <c r="GF6" s="19">
        <v>6.4</v>
      </c>
      <c r="GG6" s="19">
        <v>0.2</v>
      </c>
      <c r="GH6" s="19">
        <v>0</v>
      </c>
      <c r="GI6" s="19">
        <v>17.8</v>
      </c>
      <c r="GJ6" s="19">
        <v>6</v>
      </c>
      <c r="GK6" s="19">
        <v>0.2</v>
      </c>
      <c r="GL6" s="19">
        <v>0</v>
      </c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>
        <f>IF(SUM(GE6:GF6,GH6)-GG6&gt;0,SUM(GE6:GF6,GH6)-GG6,"")</f>
        <v>24.2</v>
      </c>
      <c r="GT6" s="14">
        <f>IF(SUM(GJ6,GN6)&gt;0,SUM(GJ6,GN6),"")</f>
        <v>6</v>
      </c>
      <c r="GU6" s="14">
        <f>IF(SUM(GI6:GJ6,GL6:GN6,GP6)-SUM(GK6,GO6)&gt;0,SUM(GI6:GJ6,GL6:GN6,GP6)-SUM(GK6,GO6),"")</f>
        <v>23.6</v>
      </c>
      <c r="GV6" s="14">
        <f>IF(SUM(GR6,GS6,GU6)&gt;0,SUM(GR6,GS6,GU6),"")</f>
        <v>47.8</v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18.55</v>
      </c>
      <c r="OX6" s="27">
        <f>IF($CN6="P",BU6,(BU6+AT6)/2)</f>
        <v>5.1999999999999993</v>
      </c>
      <c r="OY6" s="27">
        <f>IF($CN6="P",BV6,(BV6+AU6)/2)</f>
        <v>0.3</v>
      </c>
      <c r="OZ6" s="27">
        <f>IF($CN6="P",BW6,(BW6+AV6)/2)</f>
        <v>0</v>
      </c>
      <c r="PA6" s="27">
        <f>IF($CN6="P",BX6,(BX6+AW6)/2)</f>
        <v>18.299999999999997</v>
      </c>
      <c r="PB6" s="27">
        <f>IF($CN6="P",BY6,(BY6+AX6)/2)</f>
        <v>5.6</v>
      </c>
      <c r="PC6" s="27">
        <f>IF($CN6="P",BZ6,(BZ6+AY6)/2)</f>
        <v>0</v>
      </c>
      <c r="PD6" s="27">
        <f>IF($CN6="P",CA6,(CA6+AZ6)/2)</f>
        <v>0</v>
      </c>
      <c r="PE6" s="27">
        <f>IF($CN6="P",CB6,(CB6+BA6)/2)</f>
        <v>18.100000000000001</v>
      </c>
      <c r="PF6" s="27">
        <f>IF($CN6="P",CC6,(CC6+BB6)/2)</f>
        <v>3.1500000000000004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17.950000000000003</v>
      </c>
      <c r="PJ6" s="27">
        <f>IF($CN6="P",CG6,(CG6+BF6)/2)</f>
        <v>5.8</v>
      </c>
      <c r="PK6" s="27">
        <f>IF($CN6="P",CH6,(CH6+BG6)/2)</f>
        <v>0.5</v>
      </c>
      <c r="PL6" s="27">
        <f>IF($CN6="P",CI6,(CI6+BH6)/2)</f>
        <v>0</v>
      </c>
      <c r="PM6" s="27">
        <f>IF($CN6="P",CJ6,(CJ6+BI6)/2)</f>
        <v>18.2</v>
      </c>
      <c r="PN6" s="27">
        <f>IF($CN6="P",CK6,(CK6+BJ6)/2)</f>
        <v>6.4</v>
      </c>
      <c r="PO6" s="27">
        <f>IF($CN6="P",CL6,(CL6+BK6)/2)</f>
        <v>0.6</v>
      </c>
      <c r="PP6" s="27">
        <f>IF($CN6="P",CM6,(CM6+BL6)/2)</f>
        <v>0</v>
      </c>
      <c r="PQ6" s="32" t="s">
        <v>44</v>
      </c>
      <c r="PR6" s="55">
        <f>IF(SUM(OX6,PB6)&gt;0,SUM(OX6,PB6),"")</f>
        <v>10.799999999999999</v>
      </c>
      <c r="PS6" s="55">
        <f>IF(SUM(OW6:OX6,OZ6:PB6,PD6)-OY6-PC6&gt;0,SUM(OW6:OX6,OZ6:PB6,PD6)-OY6-PC6,"")</f>
        <v>47.35</v>
      </c>
      <c r="PT6" s="55">
        <f>IF(SUM(PE6:PF6,PH6)-PG6&gt;0,SUM(PE6:PF6,PH6)-PG6,"")</f>
        <v>21.25</v>
      </c>
      <c r="PU6" s="55">
        <f>IF(SUM(PJ6,PN6)&gt;0,SUM(PJ6,PN6),"")</f>
        <v>12.2</v>
      </c>
      <c r="PV6" s="55">
        <f>IF(SUM(PI6:PJ6,PL6:PN6,PP6)-SUM(PK6,PO6)&gt;0,SUM(PI6:PJ6,PL6:PN6,PP6)-SUM(PK6,PO6),"")</f>
        <v>47.25</v>
      </c>
      <c r="PW6" s="55">
        <f>IF(SUM(PS6,PT6,PV6)&gt;0,SUM(PS6,PT6,PV6),"")</f>
        <v>115.85</v>
      </c>
    </row>
    <row r="7" spans="1:439" x14ac:dyDescent="0.2">
      <c r="A7" s="4" cm="1">
        <f t="array" ref="A7">IF(AND(H7&lt;&gt;"",H7&lt;&gt;"No DD"),SUMPRODUCT((H$4:H$8&lt;&gt;"")*(H$4:H$8&lt;&gt;"No DD")*(E$4:E$8&gt;E7))+1,IF(H7="No DD",SUMPRODUCT((H$4:H$8="No DD")*(E$4:E$8&gt;E7))+1+SUMPRODUCT((H$4:H$8&lt;&gt;"")*(H$4:H$8&lt;&gt;"No DD")),""))</f>
        <v>4</v>
      </c>
      <c r="B7" s="5" t="s">
        <v>89</v>
      </c>
      <c r="C7" s="4" t="s">
        <v>66</v>
      </c>
      <c r="D7" s="4">
        <v>2008</v>
      </c>
      <c r="E7" s="10">
        <f>SUM(I7:O7)+SUM(I7:M7)*0.0000001+SUM(I7)*0.0000000000001</f>
        <v>137.00001370000473</v>
      </c>
      <c r="F7" s="3" t="str">
        <f>IF(OR(AND(AM7&gt;=AR$10,AN7&gt;=AR$14,AM7&lt;&gt;"",AL7=""),AND(AP7&gt;=AR$10,AQ7&gt;=AR$14,AP7&lt;&gt;"",AL7=""),AND(BN7&gt;=BS$10,BO7&gt;=BS$14,BN7&lt;&gt;"",BM7=""),AND(BQ7&gt;=BS$10,BR7&gt;=BS$14,BQ7&lt;&gt;"",BM7=""),AND(CO7&gt;=CT$10,CP7&gt;=CT$14,CO7&lt;&gt;"",CN7=""),AND(CR7&gt;=CT$10,CS7&gt;=CT$14,CR7&lt;&gt;""),AND(DQ7&gt;=DV$10,DR7&gt;=DV$14,DQ7&lt;&gt;""),AND(DT7&gt;=DV$10,DU7&gt;=DV$14,DT7&lt;&gt;""),AND(EQ7&gt;=EV$10,ER7&gt;=EV$14,EQ7&lt;&gt;""),AND(ET7&gt;=EV$10,EU7&gt;=EV$14,ET7&lt;&gt;""),AND(FQ7&gt;=FV$10,FR7&gt;=FV$14,FQ7&lt;&gt;""),AND(FT7&gt;=FV$10,FU7&gt;=FV$14,FT7&lt;&gt;""),AND(GQ7&gt;=GV$10,GR7&gt;=GV$14,GQ7&lt;&gt;""),AND(GT7&gt;=GV$10,GU7&gt;=GV$14,GT7&lt;&gt;""),AND(HQ7&gt;=HV$10,HR7&gt;=HV$14,HQ7&lt;&gt;""),AND(HT7&gt;=HV$10,HU7&gt;=HV$14,HT7&lt;&gt;""),AND(IQ7&gt;=IV$10,IR7&gt;=IV$14,IQ7&lt;&gt;""),AND(IT7&gt;=IV$10,IU7&gt;=IV$14,IT7&lt;&gt;""),AND(JQ7&gt;=JV$10,JR7&gt;=JV$14,JQ7&lt;&gt;""),AND(JT7&gt;=JV$10,JU7&gt;=JV$14,JT7&lt;&gt;""),AND(KQ7&gt;=KV$10,KR7&gt;=KV$14,KQ7&lt;&gt;""),AND(KT7&gt;=KV$10,KU7&gt;=KV$14,KT7&lt;&gt;""),AND(LQ7&gt;=LV$10,LR7&gt;=LV$14,LQ7&lt;&gt;""),AND(LT7&gt;=LV$10,LU7&gt;=LV$14,LT7&lt;&gt;""),AND(MQ7&gt;=MV$10,MR7&gt;=MV$14,MQ7&lt;&gt;""),AND(MT7&gt;=MV$10,MU7&gt;=MV$14,MT7&lt;&gt;""),AND(NQ7&gt;=NV$10,NR7&gt;=NV$14,NQ7&lt;&gt;""),AND(NT7&gt;=NV$10,NU7&gt;=NV$14,NT7&lt;&gt;""),AND(OQ7&gt;=OV$10,OR7&gt;=OV$14,OQ7&lt;&gt;""),AND(OT7&gt;=OV$10,OU7&gt;=OV$14,OT7&lt;&gt;"")),"P","")</f>
        <v>P</v>
      </c>
      <c r="G7" s="3" t="str">
        <f>IF(OR(AND(AN7&gt;=AR$14,AN7&lt;&gt;"",AL7=""),AND(AQ7&gt;=AR$14,AQ7&lt;&gt;"",AL7=""),AND(BO7&gt;=BS$14,BO7&lt;&gt;"",BM7=""),AND(BR7&gt;=BS$14,BR7&lt;&gt;"",BM7=""),AND(CP7&gt;=CT$14,CP7&lt;&gt;"",CN7=""),AND(CS7&gt;=CT$14,CS7&lt;&gt;"",CN7=""),AND(DR7&gt;=DV$14,DR7&lt;&gt;""),AND(DU7&gt;=DV$14,DU7&lt;&gt;""),AND(ER7&gt;=EV$14,ER7&lt;&gt;""),AND(EU7&gt;=EV$14,EU7&lt;&gt;""),AND(FR7&gt;=FV$14,FR7&lt;&gt;""),AND(FU7&gt;=FV$14,FU7&lt;&gt;""),AND(GR7&gt;=GV$14,GR7&lt;&gt;""),AND(GU7&gt;=GV$14,GU7&lt;&gt;""),AND(HR7&gt;=HV$14,HR7&lt;&gt;""),AND(HU7&gt;=HV$14,HU7&lt;&gt;""),AND(IR7&gt;=IV$14,IR7&lt;&gt;""),AND(IU7&gt;=IV$14,IU7&lt;&gt;""),AND(JR7&gt;=JV$14,JR7&lt;&gt;""),AND(JU7&gt;=JV$14,JU7&lt;&gt;""),AND(KR7&gt;=KV$14,KR7&lt;&gt;""),AND(KU7&gt;=KV$14,KU7&lt;&gt;""),AND(LR7&gt;=LV$14,LR7&lt;&gt;""),AND(LU7&gt;=LV$14,LU7&lt;&gt;""),AND(MR7&gt;=MV$14,MR7&lt;&gt;""),AND(MU7&gt;=MV$14,MU7&lt;&gt;""),AND(NR7&gt;=NV$14,NR7&lt;&gt;""),AND(NU7&gt;=NV$14,NU7&lt;&gt;""),AND(OR7&gt;=OV$14,OR7&lt;&gt;""),AND(OU7&gt;=OV$14,OU7&lt;&gt;"")),"P","")</f>
        <v>P</v>
      </c>
      <c r="H7" s="47" t="str">
        <f>IF(AND(G7="P",F7=""),"No DD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Merit",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Excellence",IF(F7="P","National Team",""))))</f>
        <v>Excellence</v>
      </c>
      <c r="I7" s="9">
        <f>IF(COUNT(AN7,BO7,CP7)&gt;0,LARGE((AN7,BO7,CP7),1),0)</f>
        <v>47.3</v>
      </c>
      <c r="J7" s="9" t="str">
        <f>IF(I7=0,"",IF(I7=CP7,$BT$1,IF(I7=BO7,$AS$1,IF(I7=AN7,$R$1,""))))</f>
        <v>2024 Elite Canada</v>
      </c>
      <c r="K7" s="9">
        <f>IF(COUNT(AN7,BO7,CP7)&gt;1,LARGE((AN7,BO7,CP7),2),0)</f>
        <v>44.699999999999996</v>
      </c>
      <c r="L7" s="9" t="str">
        <f>IF(K7=0,"",IF(K7=CP7,$BT$1,IF(K7=BO7,$AS$1,IF(K7=AN7,$R$1,""))))</f>
        <v>2023 Nationals</v>
      </c>
      <c r="M7" s="9">
        <f>IF(MAX(AQ7,BR7,CS7)&gt;0,MAX(AQ7,BR7,CS7),0)</f>
        <v>45.000000000000007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18.600000000000001</v>
      </c>
      <c r="S7" s="20">
        <v>3.4</v>
      </c>
      <c r="T7" s="20">
        <v>0</v>
      </c>
      <c r="U7" s="20">
        <v>0</v>
      </c>
      <c r="V7" s="20">
        <v>18.5</v>
      </c>
      <c r="W7" s="20">
        <v>4.4000000000000004</v>
      </c>
      <c r="X7" s="20">
        <v>0.2</v>
      </c>
      <c r="Y7" s="20">
        <v>0</v>
      </c>
      <c r="Z7" s="20"/>
      <c r="AA7" s="20"/>
      <c r="AB7" s="20"/>
      <c r="AC7" s="20"/>
      <c r="AD7" s="20">
        <v>19.3</v>
      </c>
      <c r="AE7" s="20">
        <v>3.5</v>
      </c>
      <c r="AF7" s="20">
        <v>0</v>
      </c>
      <c r="AG7" s="20">
        <v>0</v>
      </c>
      <c r="AH7" s="20">
        <v>18.600000000000001</v>
      </c>
      <c r="AI7" s="20">
        <v>3.6</v>
      </c>
      <c r="AJ7" s="20">
        <v>0</v>
      </c>
      <c r="AK7" s="20">
        <v>0</v>
      </c>
      <c r="AL7" s="32"/>
      <c r="AM7" s="55">
        <f>IF(SUM(S7,W7)&gt;0,SUM(S7,W7),"")</f>
        <v>7.8000000000000007</v>
      </c>
      <c r="AN7" s="55">
        <f>IF(SUM(R7:S7,U7:W7,Y7)-T7-X7&gt;0,SUM(R7:S7,U7:W7,Y7)-T7-X7,"")</f>
        <v>44.699999999999996</v>
      </c>
      <c r="AO7" s="55" t="str">
        <f>IF(SUM(Z7:AA7,AC7)-AB7&gt;0,SUM(Z7:AA7,AC7)-AB7,"")</f>
        <v/>
      </c>
      <c r="AP7" s="55">
        <f>IF(SUM(AE7,AI7)&gt;0,SUM(AE7,AI7),"")</f>
        <v>7.1</v>
      </c>
      <c r="AQ7" s="55">
        <f>IF(SUM(AD7:AE7,AG7:AI7,AK7)-SUM(AF7,AJ7)&gt;0,SUM(AD7:AE7,AG7:AI7,AK7)-SUM(AF7,AJ7),"")</f>
        <v>45.000000000000007</v>
      </c>
      <c r="AR7" s="55">
        <f>IF(SUM(AN7,AO7,AQ7)&gt;0,SUM(AN7,AO7,AQ7),"")</f>
        <v>89.7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18</v>
      </c>
      <c r="BU7" s="20">
        <v>5.2</v>
      </c>
      <c r="BV7" s="20">
        <v>0.2</v>
      </c>
      <c r="BW7" s="20">
        <v>0</v>
      </c>
      <c r="BX7" s="20">
        <v>18.3</v>
      </c>
      <c r="BY7" s="20">
        <v>6</v>
      </c>
      <c r="BZ7" s="20">
        <v>0</v>
      </c>
      <c r="CA7" s="20">
        <v>0</v>
      </c>
      <c r="CB7" s="20">
        <v>19</v>
      </c>
      <c r="CC7" s="20">
        <v>4</v>
      </c>
      <c r="CD7" s="20">
        <v>0</v>
      </c>
      <c r="CE7" s="20">
        <v>0</v>
      </c>
      <c r="CF7" s="20">
        <v>18.2</v>
      </c>
      <c r="CG7" s="20">
        <v>4.8</v>
      </c>
      <c r="CH7" s="20">
        <v>0.2</v>
      </c>
      <c r="CI7" s="20">
        <v>0</v>
      </c>
      <c r="CJ7" s="20">
        <v>16.399999999999999</v>
      </c>
      <c r="CK7" s="20">
        <v>5.2</v>
      </c>
      <c r="CL7" s="20">
        <v>0.2</v>
      </c>
      <c r="CM7" s="20">
        <v>0</v>
      </c>
      <c r="CN7" s="32"/>
      <c r="CO7" s="55">
        <f>IF(SUM(BU7,BY7)&gt;0,SUM(BU7,BY7),"")</f>
        <v>11.2</v>
      </c>
      <c r="CP7" s="55">
        <f>IF(SUM(BT7:BU7,BW7:BY7,CA7)-BV7-BZ7&gt;0,SUM(BT7:BU7,BW7:BY7,CA7)-BV7-BZ7,"")</f>
        <v>47.3</v>
      </c>
      <c r="CQ7" s="55">
        <f>IF(SUM(CB7:CC7,CE7)-CD7&gt;0,SUM(CB7:CC7,CE7)-CD7,"")</f>
        <v>23</v>
      </c>
      <c r="CR7" s="55">
        <f>IF(SUM(CG7,CK7)&gt;0,SUM(CG7,CK7),"")</f>
        <v>10</v>
      </c>
      <c r="CS7" s="55">
        <f>IF(SUM(CF7:CG7,CI7:CK7,CM7)-SUM(CH7,CL7)&gt;0,SUM(CF7:CG7,CI7:CK7,CM7)-SUM(CH7,CL7),"")</f>
        <v>44.2</v>
      </c>
      <c r="CT7" s="55">
        <f>IF(SUM(CP7,CQ7,CS7)&gt;0,SUM(CP7,CQ7,CS7),"")</f>
        <v>114.5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9</v>
      </c>
      <c r="OX7" s="27">
        <f>IF($CN7="P",BU7,(BU7+AT7)/2)</f>
        <v>2.6</v>
      </c>
      <c r="OY7" s="27">
        <f>IF($CN7="P",BV7,(BV7+AU7)/2)</f>
        <v>0.1</v>
      </c>
      <c r="OZ7" s="27">
        <f>IF($CN7="P",BW7,(BW7+AV7)/2)</f>
        <v>0</v>
      </c>
      <c r="PA7" s="27">
        <f>IF($CN7="P",BX7,(BX7+AW7)/2)</f>
        <v>9.15</v>
      </c>
      <c r="PB7" s="27">
        <f>IF($CN7="P",BY7,(BY7+AX7)/2)</f>
        <v>3</v>
      </c>
      <c r="PC7" s="27">
        <f>IF($CN7="P",BZ7,(BZ7+AY7)/2)</f>
        <v>0</v>
      </c>
      <c r="PD7" s="27">
        <f>IF($CN7="P",CA7,(CA7+AZ7)/2)</f>
        <v>0</v>
      </c>
      <c r="PE7" s="27">
        <f>IF($CN7="P",CB7,(CB7+BA7)/2)</f>
        <v>9.5</v>
      </c>
      <c r="PF7" s="27">
        <f>IF($CN7="P",CC7,(CC7+BB7)/2)</f>
        <v>2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9.1</v>
      </c>
      <c r="PJ7" s="27">
        <f>IF($CN7="P",CG7,(CG7+BF7)/2)</f>
        <v>2.4</v>
      </c>
      <c r="PK7" s="27">
        <f>IF($CN7="P",CH7,(CH7+BG7)/2)</f>
        <v>0.1</v>
      </c>
      <c r="PL7" s="27">
        <f>IF($CN7="P",CI7,(CI7+BH7)/2)</f>
        <v>0</v>
      </c>
      <c r="PM7" s="27">
        <f>IF($CN7="P",CJ7,(CJ7+BI7)/2)</f>
        <v>8.1999999999999993</v>
      </c>
      <c r="PN7" s="27">
        <f>IF($CN7="P",CK7,(CK7+BJ7)/2)</f>
        <v>2.6</v>
      </c>
      <c r="PO7" s="27">
        <f>IF($CN7="P",CL7,(CL7+BK7)/2)</f>
        <v>0.1</v>
      </c>
      <c r="PP7" s="27">
        <f>IF($CN7="P",CM7,(CM7+BL7)/2)</f>
        <v>0</v>
      </c>
      <c r="PQ7" s="32" t="s">
        <v>44</v>
      </c>
      <c r="PR7" s="55">
        <f>IF(SUM(OX7,PB7)&gt;0,SUM(OX7,PB7),"")</f>
        <v>5.6</v>
      </c>
      <c r="PS7" s="55">
        <f>IF(SUM(OW7:OX7,OZ7:PB7,PD7)-OY7-PC7&gt;0,SUM(OW7:OX7,OZ7:PB7,PD7)-OY7-PC7,"")</f>
        <v>23.65</v>
      </c>
      <c r="PT7" s="55">
        <f>IF(SUM(PE7:PF7,PH7)-PG7&gt;0,SUM(PE7:PF7,PH7)-PG7,"")</f>
        <v>11.5</v>
      </c>
      <c r="PU7" s="55">
        <f>IF(SUM(PJ7,PN7)&gt;0,SUM(PJ7,PN7),"")</f>
        <v>5</v>
      </c>
      <c r="PV7" s="55">
        <f>IF(SUM(PI7:PJ7,PL7:PN7,PP7)-SUM(PK7,PO7)&gt;0,SUM(PI7:PJ7,PL7:PN7,PP7)-SUM(PK7,PO7),"")</f>
        <v>22.1</v>
      </c>
      <c r="PW7" s="55">
        <f>IF(SUM(PS7,PT7,PV7)&gt;0,SUM(PS7,PT7,PV7),"")</f>
        <v>57.25</v>
      </c>
    </row>
    <row r="8" spans="1:439" ht="17" x14ac:dyDescent="0.2">
      <c r="O8" s="11"/>
      <c r="P8" s="11"/>
      <c r="Q8" s="11"/>
    </row>
    <row r="9" spans="1:439" ht="17" x14ac:dyDescent="0.2">
      <c r="O9" s="11"/>
      <c r="P9" s="11"/>
      <c r="Q9" s="11"/>
    </row>
    <row r="10" spans="1:439" ht="17" x14ac:dyDescent="0.2">
      <c r="B10" s="28" t="s">
        <v>42</v>
      </c>
      <c r="O10" s="11"/>
      <c r="P10" s="11"/>
      <c r="Q10" s="11"/>
      <c r="AM10" s="4"/>
      <c r="AR10" s="57">
        <v>7.9</v>
      </c>
      <c r="BN10" s="4"/>
      <c r="BS10" s="57">
        <v>7.9</v>
      </c>
      <c r="CO10" s="4"/>
      <c r="CT10" s="57">
        <v>7.9</v>
      </c>
      <c r="DQ10" s="4"/>
      <c r="DV10" s="57">
        <v>7.9</v>
      </c>
      <c r="EQ10" s="4"/>
      <c r="EV10" s="57">
        <v>7.9</v>
      </c>
      <c r="FQ10" s="4"/>
      <c r="FV10" s="57">
        <v>7.9</v>
      </c>
      <c r="GQ10" s="4"/>
      <c r="GV10" s="57">
        <v>7.9</v>
      </c>
      <c r="HQ10" s="4"/>
      <c r="HV10" s="57">
        <v>7.9</v>
      </c>
      <c r="IQ10" s="4"/>
      <c r="IV10" s="57">
        <v>7.9</v>
      </c>
      <c r="JQ10" s="4"/>
      <c r="JV10" s="57">
        <v>7.9</v>
      </c>
      <c r="KQ10" s="4"/>
      <c r="KV10" s="57">
        <v>7.9</v>
      </c>
      <c r="LQ10" s="4"/>
      <c r="LV10" s="57">
        <v>7.9</v>
      </c>
      <c r="MQ10" s="4"/>
      <c r="MV10" s="57">
        <v>7.9</v>
      </c>
      <c r="NQ10" s="4"/>
      <c r="NV10" s="57">
        <v>7.9</v>
      </c>
      <c r="OQ10" s="4"/>
      <c r="OV10" s="57">
        <v>7.9</v>
      </c>
    </row>
    <row r="11" spans="1:439" ht="17" hidden="1" x14ac:dyDescent="0.2">
      <c r="B11" s="35" t="s">
        <v>41</v>
      </c>
      <c r="O11" s="11"/>
      <c r="P11" s="11"/>
      <c r="Q11" s="11"/>
      <c r="AM11" s="4"/>
      <c r="AR11" s="58">
        <f>AR12</f>
        <v>9.6</v>
      </c>
      <c r="BN11" s="4"/>
      <c r="BS11" s="58">
        <f>BS12</f>
        <v>9.6</v>
      </c>
      <c r="CO11" s="4"/>
      <c r="CT11" s="58">
        <f>CT12</f>
        <v>9.6</v>
      </c>
      <c r="DQ11" s="4"/>
      <c r="DV11" s="58">
        <f>DV12</f>
        <v>9.6</v>
      </c>
      <c r="EQ11" s="4"/>
      <c r="EV11" s="58">
        <f>EV12</f>
        <v>9.6</v>
      </c>
      <c r="FQ11" s="4"/>
      <c r="FV11" s="58">
        <f>FV12</f>
        <v>9.6</v>
      </c>
      <c r="GQ11" s="4"/>
      <c r="GV11" s="58">
        <f>GV12</f>
        <v>9.6</v>
      </c>
      <c r="HQ11" s="4"/>
      <c r="HV11" s="58">
        <f>HV12</f>
        <v>9.6</v>
      </c>
      <c r="IQ11" s="4"/>
      <c r="IV11" s="58">
        <f>IV12</f>
        <v>9.6</v>
      </c>
      <c r="JQ11" s="4"/>
      <c r="JV11" s="58">
        <f>JV12</f>
        <v>9.6</v>
      </c>
      <c r="KQ11" s="4"/>
      <c r="KV11" s="58">
        <f>KV12</f>
        <v>9.6</v>
      </c>
      <c r="LQ11" s="4"/>
      <c r="LV11" s="58">
        <f>LV12</f>
        <v>9.6</v>
      </c>
      <c r="MQ11" s="4"/>
      <c r="MV11" s="58">
        <f>MV12</f>
        <v>9.6</v>
      </c>
      <c r="NQ11" s="4"/>
      <c r="NV11" s="58">
        <f>NV12</f>
        <v>9.6</v>
      </c>
      <c r="OQ11" s="4"/>
      <c r="OV11" s="58">
        <f>OV12</f>
        <v>9.6</v>
      </c>
    </row>
    <row r="12" spans="1:439" ht="17" x14ac:dyDescent="0.2">
      <c r="A12" s="5"/>
      <c r="B12" s="36" t="s">
        <v>54</v>
      </c>
      <c r="C12" s="22"/>
      <c r="O12" s="11"/>
      <c r="P12" s="11"/>
      <c r="Q12" s="11"/>
      <c r="AM12" s="4"/>
      <c r="AR12" s="59">
        <v>9.6</v>
      </c>
      <c r="BN12" s="4"/>
      <c r="BS12" s="59">
        <v>9.6</v>
      </c>
      <c r="CO12" s="4"/>
      <c r="CT12" s="59">
        <v>9.6</v>
      </c>
      <c r="DQ12" s="4"/>
      <c r="DV12" s="59">
        <v>9.6</v>
      </c>
      <c r="EQ12" s="4"/>
      <c r="EV12" s="59">
        <v>9.6</v>
      </c>
      <c r="FQ12" s="4"/>
      <c r="FV12" s="59">
        <v>9.6</v>
      </c>
      <c r="GQ12" s="4"/>
      <c r="GV12" s="59">
        <v>9.6</v>
      </c>
      <c r="HQ12" s="4"/>
      <c r="HV12" s="59">
        <v>9.6</v>
      </c>
      <c r="IQ12" s="4"/>
      <c r="IV12" s="59">
        <v>9.6</v>
      </c>
      <c r="JQ12" s="4"/>
      <c r="JV12" s="59">
        <v>9.6</v>
      </c>
      <c r="KQ12" s="4"/>
      <c r="KV12" s="59">
        <v>9.6</v>
      </c>
      <c r="LQ12" s="4"/>
      <c r="LV12" s="59">
        <v>9.6</v>
      </c>
      <c r="MQ12" s="4"/>
      <c r="MV12" s="59">
        <v>9.6</v>
      </c>
      <c r="NQ12" s="4"/>
      <c r="NV12" s="59">
        <v>9.6</v>
      </c>
      <c r="OQ12" s="4"/>
      <c r="OV12" s="59">
        <v>9.6</v>
      </c>
    </row>
    <row r="13" spans="1:439" ht="17" hidden="1" x14ac:dyDescent="0.2">
      <c r="A13" s="5"/>
      <c r="B13" s="44" t="s">
        <v>59</v>
      </c>
      <c r="C13" s="22"/>
      <c r="O13" s="11"/>
      <c r="P13" s="11"/>
      <c r="Q13" s="11"/>
      <c r="AM13" s="4"/>
      <c r="AR13" s="65">
        <v>1000</v>
      </c>
      <c r="BN13" s="4"/>
      <c r="BS13" s="65">
        <v>1000</v>
      </c>
      <c r="CO13" s="4"/>
      <c r="CT13" s="65">
        <v>1000</v>
      </c>
      <c r="DQ13" s="4"/>
      <c r="DV13" s="65">
        <v>1000</v>
      </c>
      <c r="EQ13" s="4"/>
      <c r="EV13" s="65">
        <v>1000</v>
      </c>
      <c r="FQ13" s="4"/>
      <c r="FV13" s="65">
        <v>1000</v>
      </c>
      <c r="GQ13" s="4"/>
      <c r="GV13" s="65">
        <v>1000</v>
      </c>
      <c r="HQ13" s="4"/>
      <c r="HV13" s="65">
        <v>1000</v>
      </c>
      <c r="IQ13" s="4"/>
      <c r="IV13" s="65">
        <v>1000</v>
      </c>
      <c r="JQ13" s="4"/>
      <c r="JV13" s="65">
        <v>1000</v>
      </c>
      <c r="KQ13" s="4"/>
      <c r="KV13" s="65">
        <v>1000</v>
      </c>
      <c r="LQ13" s="4"/>
      <c r="LV13" s="65">
        <v>1000</v>
      </c>
      <c r="MQ13" s="4"/>
      <c r="MV13" s="65">
        <v>1000</v>
      </c>
      <c r="NQ13" s="4"/>
      <c r="NV13" s="65">
        <v>1000</v>
      </c>
      <c r="OQ13" s="4"/>
      <c r="OV13" s="65">
        <v>1000</v>
      </c>
    </row>
    <row r="14" spans="1:439" ht="17" x14ac:dyDescent="0.2">
      <c r="A14" s="5"/>
      <c r="B14" s="42" t="s">
        <v>39</v>
      </c>
      <c r="C14" s="22"/>
      <c r="O14" s="11"/>
      <c r="P14" s="11"/>
      <c r="Q14" s="11"/>
      <c r="AM14" s="4"/>
      <c r="AR14" s="66">
        <v>45.5</v>
      </c>
      <c r="BN14" s="4"/>
      <c r="BS14" s="66">
        <v>45.5</v>
      </c>
      <c r="CO14" s="4"/>
      <c r="CT14" s="66">
        <v>45.5</v>
      </c>
      <c r="DQ14" s="4"/>
      <c r="DV14" s="66">
        <v>45.5</v>
      </c>
      <c r="EQ14" s="4"/>
      <c r="EV14" s="66">
        <v>45.5</v>
      </c>
      <c r="FQ14" s="4"/>
      <c r="FV14" s="66">
        <v>45.5</v>
      </c>
      <c r="GQ14" s="4"/>
      <c r="GV14" s="66">
        <v>45.5</v>
      </c>
      <c r="HQ14" s="4"/>
      <c r="HV14" s="66">
        <v>45.5</v>
      </c>
      <c r="IQ14" s="4"/>
      <c r="IV14" s="66">
        <v>45.5</v>
      </c>
      <c r="JQ14" s="4"/>
      <c r="JV14" s="66">
        <v>45.5</v>
      </c>
      <c r="KQ14" s="4"/>
      <c r="KV14" s="66">
        <v>45.5</v>
      </c>
      <c r="LQ14" s="4"/>
      <c r="LV14" s="66">
        <v>45.5</v>
      </c>
      <c r="MQ14" s="4"/>
      <c r="MV14" s="66">
        <v>45.5</v>
      </c>
      <c r="NQ14" s="4"/>
      <c r="NV14" s="66">
        <v>45.5</v>
      </c>
      <c r="OQ14" s="4"/>
      <c r="OV14" s="66">
        <v>45.5</v>
      </c>
    </row>
    <row r="15" spans="1:439" ht="17" hidden="1" x14ac:dyDescent="0.2">
      <c r="A15" s="5"/>
      <c r="B15" s="29" t="s">
        <v>40</v>
      </c>
      <c r="C15" s="22"/>
      <c r="O15" s="11"/>
      <c r="P15" s="11"/>
      <c r="Q15" s="11"/>
      <c r="AM15" s="4"/>
      <c r="AR15" s="62">
        <f>AR16</f>
        <v>47.1</v>
      </c>
      <c r="BN15" s="4"/>
      <c r="BS15" s="62">
        <f>BS16</f>
        <v>47.1</v>
      </c>
      <c r="CO15" s="4"/>
      <c r="CT15" s="62">
        <f>CT16</f>
        <v>47.1</v>
      </c>
      <c r="DQ15" s="4"/>
      <c r="DV15" s="62">
        <f>DV16</f>
        <v>47.1</v>
      </c>
      <c r="EQ15" s="4"/>
      <c r="EV15" s="62">
        <f>EV16</f>
        <v>47.1</v>
      </c>
      <c r="FQ15" s="4"/>
      <c r="FV15" s="62">
        <f>FV16</f>
        <v>47.1</v>
      </c>
      <c r="GQ15" s="4"/>
      <c r="GV15" s="62">
        <f>GV16</f>
        <v>47.1</v>
      </c>
      <c r="HQ15" s="4"/>
      <c r="HV15" s="62">
        <f>HV16</f>
        <v>47.1</v>
      </c>
      <c r="IQ15" s="4"/>
      <c r="IV15" s="62">
        <f>IV16</f>
        <v>47.1</v>
      </c>
      <c r="JQ15" s="4"/>
      <c r="JV15" s="62">
        <f>JV16</f>
        <v>47.1</v>
      </c>
      <c r="KQ15" s="4"/>
      <c r="KV15" s="62">
        <f>KV16</f>
        <v>47.1</v>
      </c>
      <c r="LQ15" s="4"/>
      <c r="LV15" s="62">
        <f>LV16</f>
        <v>47.1</v>
      </c>
      <c r="MQ15" s="4"/>
      <c r="MV15" s="62">
        <f>MV16</f>
        <v>47.1</v>
      </c>
      <c r="NQ15" s="4"/>
      <c r="NV15" s="62">
        <f>NV16</f>
        <v>47.1</v>
      </c>
      <c r="OQ15" s="4"/>
      <c r="OV15" s="62">
        <f>OV16</f>
        <v>47.1</v>
      </c>
    </row>
    <row r="16" spans="1:439" ht="17" x14ac:dyDescent="0.2">
      <c r="A16" s="5"/>
      <c r="B16" s="40" t="s">
        <v>53</v>
      </c>
      <c r="C16" s="22"/>
      <c r="O16" s="11"/>
      <c r="P16" s="11"/>
      <c r="Q16" s="11"/>
      <c r="AM16" s="4"/>
      <c r="AR16" s="63">
        <v>47.1</v>
      </c>
      <c r="BN16" s="4"/>
      <c r="BS16" s="63">
        <v>47.1</v>
      </c>
      <c r="CO16" s="4"/>
      <c r="CT16" s="63">
        <v>47.1</v>
      </c>
      <c r="DQ16" s="4"/>
      <c r="DV16" s="63">
        <v>47.1</v>
      </c>
      <c r="EQ16" s="4"/>
      <c r="EV16" s="63">
        <v>47.1</v>
      </c>
      <c r="FQ16" s="4"/>
      <c r="FV16" s="63">
        <v>47.1</v>
      </c>
      <c r="GQ16" s="4"/>
      <c r="GV16" s="63">
        <v>47.1</v>
      </c>
      <c r="HQ16" s="4"/>
      <c r="HV16" s="63">
        <v>47.1</v>
      </c>
      <c r="IQ16" s="4"/>
      <c r="IV16" s="63">
        <v>47.1</v>
      </c>
      <c r="JQ16" s="4"/>
      <c r="JV16" s="63">
        <v>47.1</v>
      </c>
      <c r="KQ16" s="4"/>
      <c r="KV16" s="63">
        <v>47.1</v>
      </c>
      <c r="LQ16" s="4"/>
      <c r="LV16" s="63">
        <v>47.1</v>
      </c>
      <c r="MQ16" s="4"/>
      <c r="MV16" s="63">
        <v>47.1</v>
      </c>
      <c r="NQ16" s="4"/>
      <c r="NV16" s="63">
        <v>47.1</v>
      </c>
      <c r="OQ16" s="4"/>
      <c r="OV16" s="63">
        <v>47.1</v>
      </c>
    </row>
    <row r="17" spans="1:412" ht="17" hidden="1" x14ac:dyDescent="0.2">
      <c r="A17" s="5"/>
      <c r="B17" s="30" t="s">
        <v>26</v>
      </c>
      <c r="C17" s="22"/>
      <c r="O17" s="11"/>
      <c r="P17" s="11"/>
      <c r="Q17" s="11"/>
      <c r="AM17" s="4"/>
      <c r="AR17" s="64">
        <v>1000</v>
      </c>
      <c r="BN17" s="4"/>
      <c r="BS17" s="64">
        <v>1000</v>
      </c>
      <c r="CO17" s="4"/>
      <c r="CT17" s="64">
        <v>1000</v>
      </c>
      <c r="DQ17" s="4"/>
      <c r="DV17" s="64">
        <v>1000</v>
      </c>
      <c r="EQ17" s="4"/>
      <c r="EV17" s="64">
        <v>1000</v>
      </c>
      <c r="FQ17" s="4"/>
      <c r="FV17" s="64">
        <v>1000</v>
      </c>
      <c r="GQ17" s="4"/>
      <c r="GV17" s="64">
        <v>1000</v>
      </c>
      <c r="HQ17" s="4"/>
      <c r="HV17" s="64">
        <v>1000</v>
      </c>
      <c r="IQ17" s="4"/>
      <c r="IV17" s="64">
        <v>1000</v>
      </c>
      <c r="JQ17" s="4"/>
      <c r="JV17" s="64">
        <v>1000</v>
      </c>
      <c r="KQ17" s="4"/>
      <c r="KV17" s="64">
        <v>1000</v>
      </c>
      <c r="LQ17" s="4"/>
      <c r="LV17" s="64">
        <v>1000</v>
      </c>
      <c r="MQ17" s="4"/>
      <c r="MV17" s="64">
        <v>1000</v>
      </c>
      <c r="NQ17" s="4"/>
      <c r="NV17" s="64">
        <v>1000</v>
      </c>
      <c r="OQ17" s="4"/>
      <c r="OV17" s="64">
        <v>1000</v>
      </c>
    </row>
    <row r="18" spans="1:412" x14ac:dyDescent="0.2">
      <c r="B18" s="34" t="s">
        <v>45</v>
      </c>
      <c r="C18" s="2"/>
    </row>
    <row r="19" spans="1:412" x14ac:dyDescent="0.2">
      <c r="A19" s="5"/>
      <c r="B19" s="5"/>
      <c r="C19" s="2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7">
      <sortCondition descending="1" ref="F1:F8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7">
    <cfRule type="expression" dxfId="28" priority="2" stopIfTrue="1">
      <formula>IF($AL4&lt;&gt;"",1,0)</formula>
    </cfRule>
  </conditionalFormatting>
  <conditionalFormatting sqref="AS4:BS7">
    <cfRule type="expression" dxfId="27" priority="3" stopIfTrue="1">
      <formula>IF($BM4&lt;&gt;"",1,0)</formula>
    </cfRule>
  </conditionalFormatting>
  <conditionalFormatting sqref="J1:J1048576 L1:L1048576 N1:N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7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AR$13</formula>
      <formula>1000</formula>
    </cfRule>
    <cfRule type="cellIs" dxfId="14" priority="58571" operator="between">
      <formula>AR$12</formula>
      <formula>AR$13</formula>
    </cfRule>
    <cfRule type="cellIs" dxfId="13" priority="58572" operator="between">
      <formula>AR$11</formula>
      <formula>AR$12</formula>
    </cfRule>
    <cfRule type="cellIs" dxfId="12" priority="58573" operator="between">
      <formula>AR$10</formula>
      <formula>AR$11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AR$17</formula>
      <formula>1000</formula>
    </cfRule>
    <cfRule type="cellIs" dxfId="10" priority="58751" operator="between">
      <formula>AR$16</formula>
      <formula>AR$17</formula>
    </cfRule>
    <cfRule type="cellIs" dxfId="9" priority="58752" operator="between">
      <formula>AR$15</formula>
      <formula>AR$16</formula>
    </cfRule>
    <cfRule type="cellIs" dxfId="8" priority="58753" operator="between">
      <formula>AR$14</formula>
      <formula>AR$15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AR$10</formula>
      <formula>AR$11</formula>
    </cfRule>
    <cfRule type="cellIs" dxfId="6" priority="58931" operator="between">
      <formula>AR$11</formula>
      <formula>AR$12</formula>
    </cfRule>
    <cfRule type="cellIs" dxfId="5" priority="58932" operator="between">
      <formula>AR$12</formula>
      <formula>AR$13</formula>
    </cfRule>
    <cfRule type="cellIs" dxfId="4" priority="58933" operator="between">
      <formula>AR$13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AR$14</formula>
      <formula>AR$15</formula>
    </cfRule>
    <cfRule type="cellIs" dxfId="2" priority="59111" operator="between">
      <formula>AR$15</formula>
      <formula>AR$16</formula>
    </cfRule>
    <cfRule type="cellIs" dxfId="1" priority="59112" operator="between">
      <formula>AR$16</formula>
      <formula>AR$17</formula>
    </cfRule>
    <cfRule type="cellIs" dxfId="0" priority="59113" operator="between">
      <formula>AR$17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2024-04-09T11:25:04Z</dcterms:modified>
</cp:coreProperties>
</file>