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2208C8B-12EC-304A-BB67-4A9371F3C4A4}" xr6:coauthVersionLast="47" xr6:coauthVersionMax="47" xr10:uidLastSave="{00000000-0000-0000-0000-000000000000}"/>
  <bookViews>
    <workbookView xWindow="35660" yWindow="-72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9" i="17" l="1"/>
  <c r="AN9" i="17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DQ9" i="17"/>
  <c r="DR9" i="17"/>
  <c r="DS9" i="17"/>
  <c r="DT9" i="17"/>
  <c r="DU9" i="17"/>
  <c r="EQ9" i="17"/>
  <c r="ER9" i="17"/>
  <c r="ES9" i="17"/>
  <c r="ET9" i="17"/>
  <c r="EU9" i="17"/>
  <c r="FQ9" i="17"/>
  <c r="FR9" i="17"/>
  <c r="FS9" i="17"/>
  <c r="FT9" i="17"/>
  <c r="FU9" i="17"/>
  <c r="GQ9" i="17"/>
  <c r="GR9" i="17"/>
  <c r="GS9" i="17"/>
  <c r="GT9" i="17"/>
  <c r="GU9" i="17"/>
  <c r="HQ9" i="17"/>
  <c r="HR9" i="17"/>
  <c r="HS9" i="17"/>
  <c r="HT9" i="17"/>
  <c r="HU9" i="17"/>
  <c r="IQ9" i="17"/>
  <c r="IR9" i="17"/>
  <c r="IS9" i="17"/>
  <c r="IT9" i="17"/>
  <c r="IU9" i="17"/>
  <c r="IV9" i="17" s="1"/>
  <c r="JQ9" i="17"/>
  <c r="JR9" i="17"/>
  <c r="JS9" i="17"/>
  <c r="JT9" i="17"/>
  <c r="JU9" i="17"/>
  <c r="KQ9" i="17"/>
  <c r="KR9" i="17"/>
  <c r="KS9" i="17"/>
  <c r="KT9" i="17"/>
  <c r="KU9" i="17"/>
  <c r="LQ9" i="17"/>
  <c r="LR9" i="17"/>
  <c r="LS9" i="17"/>
  <c r="LT9" i="17"/>
  <c r="LU9" i="17"/>
  <c r="MQ9" i="17"/>
  <c r="MR9" i="17"/>
  <c r="MS9" i="17"/>
  <c r="MT9" i="17"/>
  <c r="MU9" i="17"/>
  <c r="NQ9" i="17"/>
  <c r="NR9" i="17"/>
  <c r="NS9" i="17"/>
  <c r="NT9" i="17"/>
  <c r="NU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8" i="17"/>
  <c r="AN8" i="17"/>
  <c r="AO8" i="17"/>
  <c r="AP8" i="17"/>
  <c r="AQ8" i="17"/>
  <c r="BN8" i="17"/>
  <c r="BO8" i="17"/>
  <c r="I8" i="17" s="1"/>
  <c r="BP8" i="17"/>
  <c r="BQ8" i="17"/>
  <c r="BR8" i="17"/>
  <c r="CO8" i="17"/>
  <c r="CP8" i="17"/>
  <c r="CQ8" i="17"/>
  <c r="CR8" i="17"/>
  <c r="CS8" i="17"/>
  <c r="DQ8" i="17"/>
  <c r="DR8" i="17"/>
  <c r="DS8" i="17"/>
  <c r="DT8" i="17"/>
  <c r="DU8" i="17"/>
  <c r="EQ8" i="17"/>
  <c r="ER8" i="17"/>
  <c r="ES8" i="17"/>
  <c r="ET8" i="17"/>
  <c r="EU8" i="17"/>
  <c r="FQ8" i="17"/>
  <c r="FR8" i="17"/>
  <c r="FS8" i="17"/>
  <c r="FT8" i="17"/>
  <c r="FU8" i="17"/>
  <c r="GQ8" i="17"/>
  <c r="GR8" i="17"/>
  <c r="GS8" i="17"/>
  <c r="GT8" i="17"/>
  <c r="GU8" i="17"/>
  <c r="HQ8" i="17"/>
  <c r="HR8" i="17"/>
  <c r="HS8" i="17"/>
  <c r="HT8" i="17"/>
  <c r="HU8" i="17"/>
  <c r="IQ8" i="17"/>
  <c r="IR8" i="17"/>
  <c r="IS8" i="17"/>
  <c r="IT8" i="17"/>
  <c r="IU8" i="17"/>
  <c r="JQ8" i="17"/>
  <c r="JR8" i="17"/>
  <c r="JS8" i="17"/>
  <c r="JT8" i="17"/>
  <c r="JU8" i="17"/>
  <c r="KQ8" i="17"/>
  <c r="KR8" i="17"/>
  <c r="KS8" i="17"/>
  <c r="KT8" i="17"/>
  <c r="KU8" i="17"/>
  <c r="LQ8" i="17"/>
  <c r="LR8" i="17"/>
  <c r="LS8" i="17"/>
  <c r="LT8" i="17"/>
  <c r="LU8" i="17"/>
  <c r="MQ8" i="17"/>
  <c r="MR8" i="17"/>
  <c r="MS8" i="17"/>
  <c r="MT8" i="17"/>
  <c r="MU8" i="17"/>
  <c r="NQ8" i="17"/>
  <c r="NR8" i="17"/>
  <c r="NS8" i="17"/>
  <c r="NT8" i="17"/>
  <c r="NU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IV5" i="15" s="1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JV9" i="17" l="1"/>
  <c r="IV8" i="17"/>
  <c r="GV8" i="17"/>
  <c r="JV8" i="17"/>
  <c r="EV5" i="15"/>
  <c r="FV8" i="17"/>
  <c r="MV8" i="17"/>
  <c r="MV9" i="17"/>
  <c r="BS9" i="17"/>
  <c r="EV9" i="17"/>
  <c r="NV9" i="17"/>
  <c r="FV9" i="17"/>
  <c r="MV5" i="15"/>
  <c r="JV5" i="15"/>
  <c r="M5" i="15"/>
  <c r="N5" i="15" s="1"/>
  <c r="LV5" i="15"/>
  <c r="GV5" i="15"/>
  <c r="M9" i="17"/>
  <c r="N9" i="17" s="1"/>
  <c r="CT9" i="17"/>
  <c r="OV9" i="17"/>
  <c r="LV9" i="17"/>
  <c r="KV9" i="17"/>
  <c r="HV9" i="17"/>
  <c r="GV9" i="17"/>
  <c r="DV9" i="17"/>
  <c r="PU9" i="17"/>
  <c r="PR9" i="17"/>
  <c r="PT9" i="17"/>
  <c r="K9" i="17"/>
  <c r="L9" i="17" s="1"/>
  <c r="PV9" i="17"/>
  <c r="PS9" i="17"/>
  <c r="AR9" i="17"/>
  <c r="F9" i="17"/>
  <c r="CV9" i="17"/>
  <c r="I9" i="17"/>
  <c r="G9" i="17"/>
  <c r="NV8" i="17"/>
  <c r="EV8" i="17"/>
  <c r="AR8" i="17"/>
  <c r="OV8" i="17"/>
  <c r="KV8" i="17"/>
  <c r="HV8" i="17"/>
  <c r="LV8" i="17"/>
  <c r="DV8" i="17"/>
  <c r="M8" i="17"/>
  <c r="N8" i="17" s="1"/>
  <c r="CT8" i="17"/>
  <c r="PS8" i="17"/>
  <c r="K8" i="17"/>
  <c r="PT8" i="17"/>
  <c r="PU8" i="17"/>
  <c r="PR8" i="17"/>
  <c r="F8" i="17"/>
  <c r="J8" i="17"/>
  <c r="G8" i="17"/>
  <c r="BS8" i="17"/>
  <c r="PV8" i="17"/>
  <c r="PW8" i="17" s="1"/>
  <c r="CT5" i="15"/>
  <c r="OV5" i="15"/>
  <c r="NV5" i="15"/>
  <c r="KV5" i="15"/>
  <c r="HV5" i="15"/>
  <c r="FV5" i="15"/>
  <c r="DV5" i="15"/>
  <c r="PV5" i="15"/>
  <c r="PU5" i="15"/>
  <c r="PR5" i="15"/>
  <c r="PT5" i="15"/>
  <c r="PS5" i="15"/>
  <c r="CV5" i="15"/>
  <c r="F5" i="15"/>
  <c r="I5" i="15"/>
  <c r="J5" i="15" s="1"/>
  <c r="G5" i="15"/>
  <c r="BS5" i="15"/>
  <c r="K5" i="15"/>
  <c r="L5" i="15" s="1"/>
  <c r="AR5" i="15"/>
  <c r="BS17" i="17"/>
  <c r="BS13" i="17"/>
  <c r="BR7" i="17"/>
  <c r="BQ7" i="17"/>
  <c r="BP7" i="17"/>
  <c r="BO7" i="17"/>
  <c r="BN7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7" i="17"/>
  <c r="AR13" i="17"/>
  <c r="AQ7" i="17"/>
  <c r="AP7" i="17"/>
  <c r="AO7" i="17"/>
  <c r="AN7" i="17"/>
  <c r="AM7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8" i="16"/>
  <c r="BQ8" i="16"/>
  <c r="BP8" i="16"/>
  <c r="BO8" i="16"/>
  <c r="BN8" i="16"/>
  <c r="BR7" i="16"/>
  <c r="BQ7" i="16"/>
  <c r="BP7" i="16"/>
  <c r="BO7" i="16"/>
  <c r="BN7" i="16"/>
  <c r="BR6" i="16"/>
  <c r="BQ6" i="16"/>
  <c r="BP6" i="16"/>
  <c r="BO6" i="16"/>
  <c r="BN6" i="16"/>
  <c r="BR5" i="16"/>
  <c r="BQ5" i="16"/>
  <c r="BP5" i="16"/>
  <c r="BO5" i="16"/>
  <c r="BN5" i="16"/>
  <c r="BR4" i="16"/>
  <c r="BQ4" i="16"/>
  <c r="BP4" i="16"/>
  <c r="BO4" i="16"/>
  <c r="BN4" i="16"/>
  <c r="AR16" i="16"/>
  <c r="AR12" i="16"/>
  <c r="AQ8" i="16"/>
  <c r="AP8" i="16"/>
  <c r="AO8" i="16"/>
  <c r="AN8" i="16"/>
  <c r="AM8" i="16"/>
  <c r="AQ7" i="16"/>
  <c r="AP7" i="16"/>
  <c r="AO7" i="16"/>
  <c r="AN7" i="16"/>
  <c r="AM7" i="16"/>
  <c r="AQ6" i="16"/>
  <c r="AP6" i="16"/>
  <c r="AO6" i="16"/>
  <c r="AN6" i="16"/>
  <c r="AM6" i="16"/>
  <c r="AQ5" i="16"/>
  <c r="AP5" i="16"/>
  <c r="AO5" i="16"/>
  <c r="AN5" i="16"/>
  <c r="AM5" i="16"/>
  <c r="AQ4" i="16"/>
  <c r="AP4" i="16"/>
  <c r="AO4" i="16"/>
  <c r="AN4" i="16"/>
  <c r="AM4" i="16"/>
  <c r="BR4" i="15"/>
  <c r="BQ4" i="15"/>
  <c r="BP4" i="15"/>
  <c r="BO4" i="15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6" i="14"/>
  <c r="BQ6" i="14"/>
  <c r="BP6" i="14"/>
  <c r="BO6" i="14"/>
  <c r="BS6" i="14" s="1"/>
  <c r="BN6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6" i="14"/>
  <c r="AP6" i="14"/>
  <c r="AO6" i="14"/>
  <c r="AN6" i="14"/>
  <c r="AM6" i="14"/>
  <c r="AQ4" i="14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V17" i="17"/>
  <c r="NV13" i="17"/>
  <c r="NU7" i="17"/>
  <c r="NT7" i="17"/>
  <c r="NS7" i="17"/>
  <c r="NR7" i="17"/>
  <c r="NQ7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7" i="17"/>
  <c r="MV13" i="17"/>
  <c r="MU7" i="17"/>
  <c r="MT7" i="17"/>
  <c r="MS7" i="17"/>
  <c r="MR7" i="17"/>
  <c r="MQ7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7" i="17"/>
  <c r="LV13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7" i="17"/>
  <c r="KV13" i="17"/>
  <c r="KU7" i="17"/>
  <c r="KT7" i="17"/>
  <c r="KS7" i="17"/>
  <c r="KR7" i="17"/>
  <c r="KQ7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7" i="17"/>
  <c r="JV13" i="17"/>
  <c r="JU7" i="17"/>
  <c r="JT7" i="17"/>
  <c r="JS7" i="17"/>
  <c r="JR7" i="17"/>
  <c r="JQ7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7" i="17"/>
  <c r="IV13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7" i="17"/>
  <c r="HV13" i="17"/>
  <c r="HU7" i="17"/>
  <c r="HT7" i="17"/>
  <c r="HS7" i="17"/>
  <c r="HR7" i="17"/>
  <c r="HQ7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7" i="17"/>
  <c r="GV13" i="17"/>
  <c r="GU7" i="17"/>
  <c r="GT7" i="17"/>
  <c r="GS7" i="17"/>
  <c r="GR7" i="17"/>
  <c r="GQ7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V17" i="17"/>
  <c r="FV13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7" i="17"/>
  <c r="EV13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7" i="17"/>
  <c r="DV13" i="17"/>
  <c r="DU7" i="17"/>
  <c r="DT7" i="17"/>
  <c r="DS7" i="17"/>
  <c r="DR7" i="17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8" i="16"/>
  <c r="NT8" i="16"/>
  <c r="NS8" i="16"/>
  <c r="NR8" i="16"/>
  <c r="NQ8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V16" i="16"/>
  <c r="MV12" i="16"/>
  <c r="MU8" i="16"/>
  <c r="MT8" i="16"/>
  <c r="MS8" i="16"/>
  <c r="MR8" i="16"/>
  <c r="MQ8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4" i="16"/>
  <c r="MT4" i="16"/>
  <c r="MS4" i="16"/>
  <c r="MR4" i="16"/>
  <c r="MQ4" i="16"/>
  <c r="LV16" i="16"/>
  <c r="LV12" i="16"/>
  <c r="LU8" i="16"/>
  <c r="LT8" i="16"/>
  <c r="LS8" i="16"/>
  <c r="LR8" i="16"/>
  <c r="LQ8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V16" i="16"/>
  <c r="KV12" i="16"/>
  <c r="KU8" i="16"/>
  <c r="KT8" i="16"/>
  <c r="KS8" i="16"/>
  <c r="KR8" i="16"/>
  <c r="KQ8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4" i="16"/>
  <c r="KT4" i="16"/>
  <c r="KS4" i="16"/>
  <c r="KR4" i="16"/>
  <c r="KQ4" i="16"/>
  <c r="JV16" i="16"/>
  <c r="JV12" i="16"/>
  <c r="JU8" i="16"/>
  <c r="JT8" i="16"/>
  <c r="JS8" i="16"/>
  <c r="JR8" i="16"/>
  <c r="JQ8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4" i="16"/>
  <c r="JT4" i="16"/>
  <c r="JS4" i="16"/>
  <c r="JR4" i="16"/>
  <c r="JQ4" i="16"/>
  <c r="IV16" i="16"/>
  <c r="IV12" i="16"/>
  <c r="IU8" i="16"/>
  <c r="IT8" i="16"/>
  <c r="IS8" i="16"/>
  <c r="IR8" i="16"/>
  <c r="IQ8" i="16"/>
  <c r="IU7" i="16"/>
  <c r="IT7" i="16"/>
  <c r="IS7" i="16"/>
  <c r="IR7" i="16"/>
  <c r="IQ7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V16" i="16"/>
  <c r="HV12" i="16"/>
  <c r="HU8" i="16"/>
  <c r="HT8" i="16"/>
  <c r="HS8" i="16"/>
  <c r="HR8" i="16"/>
  <c r="HQ8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4" i="16"/>
  <c r="HT4" i="16"/>
  <c r="HS4" i="16"/>
  <c r="HR4" i="16"/>
  <c r="HQ4" i="16"/>
  <c r="GV16" i="16"/>
  <c r="GV12" i="16"/>
  <c r="GU8" i="16"/>
  <c r="GT8" i="16"/>
  <c r="GS8" i="16"/>
  <c r="GR8" i="16"/>
  <c r="GQ8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4" i="16"/>
  <c r="GT4" i="16"/>
  <c r="GS4" i="16"/>
  <c r="GR4" i="16"/>
  <c r="GQ4" i="16"/>
  <c r="FV16" i="16"/>
  <c r="FV12" i="16"/>
  <c r="FU8" i="16"/>
  <c r="FT8" i="16"/>
  <c r="FS8" i="16"/>
  <c r="FR8" i="16"/>
  <c r="FQ8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4" i="16"/>
  <c r="FT4" i="16"/>
  <c r="FS4" i="16"/>
  <c r="FR4" i="16"/>
  <c r="FQ4" i="16"/>
  <c r="EV16" i="16"/>
  <c r="EV12" i="16"/>
  <c r="EU8" i="16"/>
  <c r="ET8" i="16"/>
  <c r="ES8" i="16"/>
  <c r="ER8" i="16"/>
  <c r="EQ8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4" i="16"/>
  <c r="ET4" i="16"/>
  <c r="ES4" i="16"/>
  <c r="ER4" i="16"/>
  <c r="EQ4" i="16"/>
  <c r="DV16" i="16"/>
  <c r="DV12" i="16"/>
  <c r="DU8" i="16"/>
  <c r="DT8" i="16"/>
  <c r="DS8" i="16"/>
  <c r="DR8" i="16"/>
  <c r="DQ8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4" i="16"/>
  <c r="DT4" i="16"/>
  <c r="DS4" i="16"/>
  <c r="DR4" i="16"/>
  <c r="DQ4" i="16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N7" i="13" s="1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R5" i="13" s="1"/>
  <c r="LU5" i="13" s="1"/>
  <c r="LO5" i="13"/>
  <c r="LT4" i="13"/>
  <c r="LS4" i="13"/>
  <c r="LQ4" i="13"/>
  <c r="LP4" i="13"/>
  <c r="LO4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F7" i="13"/>
  <c r="IE7" i="13"/>
  <c r="IJ6" i="13"/>
  <c r="II6" i="13"/>
  <c r="IG6" i="13"/>
  <c r="IF6" i="13"/>
  <c r="IE6" i="13"/>
  <c r="IJ5" i="13"/>
  <c r="II5" i="13"/>
  <c r="IG5" i="13"/>
  <c r="IF5" i="13"/>
  <c r="IH5" i="13" s="1"/>
  <c r="IE5" i="13"/>
  <c r="IJ4" i="13"/>
  <c r="II4" i="13"/>
  <c r="IG4" i="13"/>
  <c r="IF4" i="13"/>
  <c r="IE4" i="13"/>
  <c r="HN8" i="13"/>
  <c r="HM8" i="13"/>
  <c r="HK8" i="13"/>
  <c r="HJ8" i="13"/>
  <c r="HI8" i="13"/>
  <c r="HN9" i="13"/>
  <c r="HM9" i="13"/>
  <c r="HK9" i="13"/>
  <c r="HJ9" i="13"/>
  <c r="HL9" i="13" s="1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J4" i="13"/>
  <c r="HI4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T7" i="13" s="1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8" i="13"/>
  <c r="EC8" i="13"/>
  <c r="EA8" i="13"/>
  <c r="DZ8" i="13"/>
  <c r="DY8" i="13"/>
  <c r="ED9" i="13"/>
  <c r="EC9" i="13"/>
  <c r="EA9" i="13"/>
  <c r="DZ9" i="13"/>
  <c r="EB9" i="13" s="1"/>
  <c r="EE9" i="13" s="1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DY5" i="13"/>
  <c r="ED4" i="13"/>
  <c r="EC4" i="13"/>
  <c r="EA4" i="13"/>
  <c r="DZ4" i="13"/>
  <c r="DY4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U4" i="4"/>
  <c r="ED5" i="4"/>
  <c r="EC5" i="4"/>
  <c r="EA5" i="4"/>
  <c r="DZ5" i="4"/>
  <c r="DY5" i="4"/>
  <c r="ED4" i="4"/>
  <c r="EC4" i="4"/>
  <c r="EA4" i="4"/>
  <c r="DZ4" i="4"/>
  <c r="EB4" i="4" s="1"/>
  <c r="DY4" i="4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5" i="14"/>
  <c r="CP5" i="14"/>
  <c r="CQ5" i="14"/>
  <c r="CR5" i="14"/>
  <c r="CS5" i="14"/>
  <c r="DQ5" i="14"/>
  <c r="DR5" i="14"/>
  <c r="DS5" i="14"/>
  <c r="DT5" i="14"/>
  <c r="DU5" i="14"/>
  <c r="EQ5" i="14"/>
  <c r="ER5" i="14"/>
  <c r="ES5" i="14"/>
  <c r="ET5" i="14"/>
  <c r="EU5" i="14"/>
  <c r="FQ5" i="14"/>
  <c r="FR5" i="14"/>
  <c r="FS5" i="14"/>
  <c r="FT5" i="14"/>
  <c r="FU5" i="14"/>
  <c r="GQ5" i="14"/>
  <c r="GR5" i="14"/>
  <c r="GS5" i="14"/>
  <c r="GT5" i="14"/>
  <c r="GU5" i="14"/>
  <c r="HQ5" i="14"/>
  <c r="HR5" i="14"/>
  <c r="HS5" i="14"/>
  <c r="HT5" i="14"/>
  <c r="HU5" i="14"/>
  <c r="IQ5" i="14"/>
  <c r="IR5" i="14"/>
  <c r="IS5" i="14"/>
  <c r="IT5" i="14"/>
  <c r="IU5" i="14"/>
  <c r="JQ5" i="14"/>
  <c r="JR5" i="14"/>
  <c r="JS5" i="14"/>
  <c r="JT5" i="14"/>
  <c r="JU5" i="14"/>
  <c r="KQ5" i="14"/>
  <c r="KR5" i="14"/>
  <c r="KS5" i="14"/>
  <c r="KT5" i="14"/>
  <c r="KU5" i="14"/>
  <c r="LQ5" i="14"/>
  <c r="LR5" i="14"/>
  <c r="LS5" i="14"/>
  <c r="LT5" i="14"/>
  <c r="LU5" i="14"/>
  <c r="MQ5" i="14"/>
  <c r="MR5" i="14"/>
  <c r="MS5" i="14"/>
  <c r="MT5" i="14"/>
  <c r="MU5" i="14"/>
  <c r="NQ5" i="14"/>
  <c r="NR5" i="14"/>
  <c r="NS5" i="14"/>
  <c r="NT5" i="14"/>
  <c r="NU5" i="14"/>
  <c r="OQ5" i="14"/>
  <c r="OR5" i="14"/>
  <c r="OS5" i="14"/>
  <c r="OT5" i="14"/>
  <c r="OU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NU4" i="15"/>
  <c r="NT4" i="15"/>
  <c r="NS4" i="15"/>
  <c r="NR4" i="15"/>
  <c r="NQ4" i="15"/>
  <c r="MU4" i="15"/>
  <c r="MT4" i="15"/>
  <c r="MS4" i="15"/>
  <c r="MR4" i="15"/>
  <c r="MV4" i="15" s="1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V4" i="15" s="1"/>
  <c r="EQ4" i="15"/>
  <c r="DU4" i="15"/>
  <c r="DT4" i="15"/>
  <c r="DS4" i="15"/>
  <c r="DR4" i="15"/>
  <c r="DQ4" i="15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7" i="17"/>
  <c r="OV13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U8" i="17" l="1"/>
  <c r="L8" i="17"/>
  <c r="AR7" i="17"/>
  <c r="AR6" i="16"/>
  <c r="LV7" i="16"/>
  <c r="MV8" i="16"/>
  <c r="AR4" i="16"/>
  <c r="GV4" i="15"/>
  <c r="AR4" i="15"/>
  <c r="AR6" i="14"/>
  <c r="AR4" i="14"/>
  <c r="BS4" i="14"/>
  <c r="IH7" i="13"/>
  <c r="EB5" i="13"/>
  <c r="EE5" i="13" s="1"/>
  <c r="BX5" i="13"/>
  <c r="CA5" i="13" s="1"/>
  <c r="AT4" i="4"/>
  <c r="AW4" i="4" s="1"/>
  <c r="HL4" i="13"/>
  <c r="HO4" i="13" s="1"/>
  <c r="MV6" i="17"/>
  <c r="JV4" i="17"/>
  <c r="BS4" i="17"/>
  <c r="IV7" i="17"/>
  <c r="MV7" i="17"/>
  <c r="EV7" i="17"/>
  <c r="EV5" i="17"/>
  <c r="IV5" i="17"/>
  <c r="AR6" i="17"/>
  <c r="DV7" i="17"/>
  <c r="HV7" i="17"/>
  <c r="CV8" i="17"/>
  <c r="O8" i="17" s="1"/>
  <c r="E8" i="17" s="1"/>
  <c r="AR8" i="16"/>
  <c r="DV5" i="16"/>
  <c r="EV6" i="16"/>
  <c r="IV7" i="16"/>
  <c r="JV8" i="16"/>
  <c r="AR7" i="16"/>
  <c r="BS8" i="16"/>
  <c r="AR5" i="16"/>
  <c r="GV6" i="16"/>
  <c r="JV6" i="16"/>
  <c r="BS6" i="16"/>
  <c r="BS5" i="16"/>
  <c r="MV5" i="16"/>
  <c r="BS7" i="16"/>
  <c r="EV7" i="16"/>
  <c r="FV8" i="16"/>
  <c r="JV4" i="16"/>
  <c r="KV5" i="16"/>
  <c r="NV8" i="16"/>
  <c r="BS4" i="16"/>
  <c r="JV4" i="15"/>
  <c r="KV4" i="15"/>
  <c r="AR5" i="14"/>
  <c r="BS5" i="14"/>
  <c r="HL8" i="13"/>
  <c r="HO8" i="13" s="1"/>
  <c r="JD5" i="13"/>
  <c r="JG5" i="13" s="1"/>
  <c r="KV8" i="13"/>
  <c r="KY8" i="13" s="1"/>
  <c r="MN5" i="13"/>
  <c r="MQ5" i="13" s="1"/>
  <c r="JZ4" i="13"/>
  <c r="KC4" i="13" s="1"/>
  <c r="AT8" i="13"/>
  <c r="AW8" i="13" s="1"/>
  <c r="BX6" i="13"/>
  <c r="CA6" i="13" s="1"/>
  <c r="AT9" i="13"/>
  <c r="AW9" i="13" s="1"/>
  <c r="AT5" i="13"/>
  <c r="AW5" i="13" s="1"/>
  <c r="AT4" i="13"/>
  <c r="AW4" i="13" s="1"/>
  <c r="EB6" i="13"/>
  <c r="EE6" i="13" s="1"/>
  <c r="EX9" i="13"/>
  <c r="FA9" i="13" s="1"/>
  <c r="AT7" i="13"/>
  <c r="AW7" i="13" s="1"/>
  <c r="BX9" i="13"/>
  <c r="CA9" i="13" s="1"/>
  <c r="BX4" i="13"/>
  <c r="CA4" i="13" s="1"/>
  <c r="AT6" i="13"/>
  <c r="AW6" i="13" s="1"/>
  <c r="HO9" i="13"/>
  <c r="KY9" i="13"/>
  <c r="HL5" i="13"/>
  <c r="HO5" i="13" s="1"/>
  <c r="BX7" i="13"/>
  <c r="CA7" i="13" s="1"/>
  <c r="FT6" i="13"/>
  <c r="FW6" i="13" s="1"/>
  <c r="GP9" i="13"/>
  <c r="GS9" i="13" s="1"/>
  <c r="IH4" i="13"/>
  <c r="IK4" i="13" s="1"/>
  <c r="EX6" i="13"/>
  <c r="FA6" i="13" s="1"/>
  <c r="JD9" i="13"/>
  <c r="JG9" i="13" s="1"/>
  <c r="BX8" i="13"/>
  <c r="CA8" i="13" s="1"/>
  <c r="EX4" i="4"/>
  <c r="FA4" i="4" s="1"/>
  <c r="BX5" i="4"/>
  <c r="CA5" i="4" s="1"/>
  <c r="MN4" i="4"/>
  <c r="MQ4" i="4" s="1"/>
  <c r="BX4" i="4"/>
  <c r="CA4" i="4" s="1"/>
  <c r="HL5" i="4"/>
  <c r="HO5" i="4" s="1"/>
  <c r="KV5" i="4"/>
  <c r="KY5" i="4" s="1"/>
  <c r="AT5" i="4"/>
  <c r="AW5" i="4" s="1"/>
  <c r="PW9" i="17"/>
  <c r="CU9" i="17"/>
  <c r="O9" i="17" s="1"/>
  <c r="P9" i="17" s="1"/>
  <c r="H9" i="17"/>
  <c r="A9" i="17" s="1" a="1"/>
  <c r="A9" i="17" s="1"/>
  <c r="J9" i="17"/>
  <c r="NV6" i="17"/>
  <c r="BS6" i="17"/>
  <c r="H8" i="17"/>
  <c r="LV7" i="17"/>
  <c r="AR4" i="17"/>
  <c r="GV7" i="17"/>
  <c r="NV7" i="17"/>
  <c r="AR5" i="17"/>
  <c r="BS7" i="17"/>
  <c r="NV5" i="17"/>
  <c r="BS5" i="17"/>
  <c r="PW5" i="15"/>
  <c r="H5" i="15"/>
  <c r="CU5" i="15"/>
  <c r="O5" i="15" s="1"/>
  <c r="DV4" i="15"/>
  <c r="LV4" i="15"/>
  <c r="BS4" i="15"/>
  <c r="IV4" i="15"/>
  <c r="FV4" i="15"/>
  <c r="NV4" i="15"/>
  <c r="HV4" i="15"/>
  <c r="KV7" i="17"/>
  <c r="NV4" i="17"/>
  <c r="MV5" i="17"/>
  <c r="EV4" i="17"/>
  <c r="EV6" i="17"/>
  <c r="IV6" i="17"/>
  <c r="FV7" i="17"/>
  <c r="JV7" i="17"/>
  <c r="KV4" i="17"/>
  <c r="FV5" i="17"/>
  <c r="GV6" i="17"/>
  <c r="JV5" i="17"/>
  <c r="KV6" i="17"/>
  <c r="PU7" i="17"/>
  <c r="FV6" i="17"/>
  <c r="JV6" i="17"/>
  <c r="IV4" i="17"/>
  <c r="MV4" i="17"/>
  <c r="DV5" i="17"/>
  <c r="HV5" i="17"/>
  <c r="LV5" i="17"/>
  <c r="DV4" i="17"/>
  <c r="HV4" i="17"/>
  <c r="LV4" i="17"/>
  <c r="DV6" i="17"/>
  <c r="GV5" i="17"/>
  <c r="HV6" i="17"/>
  <c r="KV5" i="17"/>
  <c r="LV6" i="17"/>
  <c r="NV7" i="16"/>
  <c r="DV4" i="16"/>
  <c r="GV7" i="16"/>
  <c r="HV8" i="16"/>
  <c r="LV4" i="16"/>
  <c r="HV5" i="16"/>
  <c r="MV7" i="16"/>
  <c r="DV6" i="16"/>
  <c r="FV7" i="16"/>
  <c r="GV8" i="16"/>
  <c r="IV5" i="16"/>
  <c r="KV4" i="16"/>
  <c r="LV8" i="16"/>
  <c r="NV5" i="16"/>
  <c r="DV7" i="16"/>
  <c r="EV8" i="16"/>
  <c r="GV5" i="16"/>
  <c r="IV4" i="16"/>
  <c r="LV5" i="16"/>
  <c r="NV4" i="16"/>
  <c r="JV5" i="16"/>
  <c r="EV5" i="16"/>
  <c r="GV4" i="16"/>
  <c r="HV6" i="16"/>
  <c r="JV7" i="16"/>
  <c r="KV8" i="16"/>
  <c r="MV6" i="16"/>
  <c r="KV6" i="16"/>
  <c r="FV5" i="16"/>
  <c r="FV6" i="16"/>
  <c r="HV7" i="16"/>
  <c r="IV8" i="16"/>
  <c r="LV6" i="16"/>
  <c r="DV8" i="16"/>
  <c r="HV4" i="16"/>
  <c r="IV6" i="16"/>
  <c r="KV7" i="16"/>
  <c r="MV4" i="16"/>
  <c r="NV6" i="16"/>
  <c r="EB8" i="13"/>
  <c r="EE8" i="13" s="1"/>
  <c r="JZ5" i="13"/>
  <c r="KC5" i="13" s="1"/>
  <c r="KV7" i="13"/>
  <c r="KY7" i="13" s="1"/>
  <c r="MN9" i="13"/>
  <c r="MQ9" i="13" s="1"/>
  <c r="FW7" i="13"/>
  <c r="EX5" i="13"/>
  <c r="FA5" i="13" s="1"/>
  <c r="GP6" i="13"/>
  <c r="GS6" i="13" s="1"/>
  <c r="IH9" i="13"/>
  <c r="IK9" i="13" s="1"/>
  <c r="LR9" i="13"/>
  <c r="LU9" i="13" s="1"/>
  <c r="JD7" i="13"/>
  <c r="JG7" i="13" s="1"/>
  <c r="EB4" i="13"/>
  <c r="EE4" i="13" s="1"/>
  <c r="EX8" i="13"/>
  <c r="FA8" i="13" s="1"/>
  <c r="KV5" i="13"/>
  <c r="KY5" i="13" s="1"/>
  <c r="LR7" i="13"/>
  <c r="LU7" i="13" s="1"/>
  <c r="MN4" i="13"/>
  <c r="MQ4" i="13" s="1"/>
  <c r="IK7" i="13"/>
  <c r="FT8" i="13"/>
  <c r="FW8" i="13" s="1"/>
  <c r="GP8" i="13"/>
  <c r="GS8" i="13" s="1"/>
  <c r="HL6" i="13"/>
  <c r="HO6" i="13" s="1"/>
  <c r="JZ9" i="13"/>
  <c r="KC9" i="13" s="1"/>
  <c r="IK5" i="13"/>
  <c r="LR4" i="13"/>
  <c r="LU4" i="13" s="1"/>
  <c r="FT9" i="13"/>
  <c r="FW9" i="13" s="1"/>
  <c r="JD4" i="13"/>
  <c r="JG4" i="13" s="1"/>
  <c r="JZ7" i="13"/>
  <c r="KC7" i="13" s="1"/>
  <c r="KV4" i="13"/>
  <c r="KY4" i="13" s="1"/>
  <c r="EB7" i="13"/>
  <c r="EE7" i="13" s="1"/>
  <c r="GP7" i="13"/>
  <c r="GS7" i="13" s="1"/>
  <c r="HL7" i="13"/>
  <c r="HO7" i="13" s="1"/>
  <c r="JZ8" i="13"/>
  <c r="KC8" i="13" s="1"/>
  <c r="KV6" i="13"/>
  <c r="KY6" i="13" s="1"/>
  <c r="LR6" i="13"/>
  <c r="LU6" i="13" s="1"/>
  <c r="IH6" i="13"/>
  <c r="IK6" i="13" s="1"/>
  <c r="IH8" i="13"/>
  <c r="IK8" i="13" s="1"/>
  <c r="JD6" i="13"/>
  <c r="JG6" i="13" s="1"/>
  <c r="JD8" i="13"/>
  <c r="JG8" i="13" s="1"/>
  <c r="JZ6" i="13"/>
  <c r="KC6" i="13" s="1"/>
  <c r="LR8" i="13"/>
  <c r="LU8" i="13" s="1"/>
  <c r="MN6" i="13"/>
  <c r="MQ6" i="13" s="1"/>
  <c r="MN8" i="13"/>
  <c r="MQ8" i="13" s="1"/>
  <c r="EX4" i="13"/>
  <c r="FA4" i="13" s="1"/>
  <c r="EX7" i="13"/>
  <c r="FA7" i="13" s="1"/>
  <c r="MQ7" i="13"/>
  <c r="JZ5" i="4"/>
  <c r="KC5" i="4" s="1"/>
  <c r="EX5" i="4"/>
  <c r="FA5" i="4" s="1"/>
  <c r="IH5" i="4"/>
  <c r="IK5" i="4" s="1"/>
  <c r="LR5" i="4"/>
  <c r="LU5" i="4" s="1"/>
  <c r="IH4" i="4"/>
  <c r="IK4" i="4" s="1"/>
  <c r="LR4" i="4"/>
  <c r="LU4" i="4" s="1"/>
  <c r="MN5" i="4"/>
  <c r="MQ5" i="4" s="1"/>
  <c r="EB5" i="4"/>
  <c r="EE5" i="4" s="1"/>
  <c r="FT4" i="4"/>
  <c r="FW4" i="4" s="1"/>
  <c r="JD4" i="4"/>
  <c r="JG4" i="4" s="1"/>
  <c r="GP4" i="4"/>
  <c r="GS4" i="4" s="1"/>
  <c r="JZ4" i="4"/>
  <c r="KC4" i="4" s="1"/>
  <c r="EE4" i="4"/>
  <c r="HL4" i="4"/>
  <c r="HO4" i="4" s="1"/>
  <c r="KV4" i="4"/>
  <c r="KY4" i="4" s="1"/>
  <c r="JD5" i="4"/>
  <c r="JG5" i="4" s="1"/>
  <c r="GV4" i="17"/>
  <c r="FV4" i="16"/>
  <c r="EV4" i="16"/>
  <c r="FV4" i="17"/>
  <c r="GP5" i="13"/>
  <c r="GS5" i="13" s="1"/>
  <c r="GP4" i="13"/>
  <c r="GS4" i="13" s="1"/>
  <c r="GP5" i="4"/>
  <c r="GS5" i="4" s="1"/>
  <c r="FT4" i="13"/>
  <c r="FW4" i="13" s="1"/>
  <c r="FT5" i="13"/>
  <c r="FW5" i="13" s="1"/>
  <c r="FT5" i="4"/>
  <c r="FW5" i="4" s="1"/>
  <c r="IV5" i="14"/>
  <c r="PU8" i="16"/>
  <c r="PR8" i="16"/>
  <c r="CT5" i="14"/>
  <c r="PR7" i="17"/>
  <c r="PR5" i="16"/>
  <c r="MV5" i="14"/>
  <c r="PV7" i="17"/>
  <c r="OV8" i="16"/>
  <c r="OV5" i="16"/>
  <c r="DV5" i="14"/>
  <c r="HV5" i="14"/>
  <c r="EV5" i="14"/>
  <c r="NV5" i="14"/>
  <c r="LV5" i="14"/>
  <c r="OV7" i="17"/>
  <c r="M7" i="17"/>
  <c r="CV7" i="17" s="1"/>
  <c r="PT7" i="17"/>
  <c r="CT7" i="17"/>
  <c r="PS7" i="17"/>
  <c r="K7" i="17"/>
  <c r="F7" i="17"/>
  <c r="I7" i="17"/>
  <c r="G7" i="17"/>
  <c r="CT6" i="17"/>
  <c r="PR6" i="17"/>
  <c r="OV6" i="17"/>
  <c r="PU6" i="17"/>
  <c r="M6" i="17"/>
  <c r="N6" i="17" s="1"/>
  <c r="PV6" i="17"/>
  <c r="PT6" i="17"/>
  <c r="PS6" i="17"/>
  <c r="K6" i="17"/>
  <c r="L6" i="17" s="1"/>
  <c r="F6" i="17"/>
  <c r="I6" i="17"/>
  <c r="G6" i="17"/>
  <c r="PR7" i="16"/>
  <c r="PV5" i="16"/>
  <c r="PS5" i="16"/>
  <c r="PV8" i="16"/>
  <c r="OV7" i="16"/>
  <c r="CT7" i="16"/>
  <c r="M7" i="16"/>
  <c r="N7" i="16" s="1"/>
  <c r="PU7" i="16"/>
  <c r="K7" i="16"/>
  <c r="PV7" i="16"/>
  <c r="PT7" i="16"/>
  <c r="PS7" i="16"/>
  <c r="F7" i="16"/>
  <c r="G7" i="16"/>
  <c r="I7" i="16"/>
  <c r="M8" i="16"/>
  <c r="N8" i="16" s="1"/>
  <c r="CT8" i="16"/>
  <c r="PT8" i="16"/>
  <c r="PS8" i="16"/>
  <c r="K8" i="16"/>
  <c r="F8" i="16"/>
  <c r="I8" i="16"/>
  <c r="G8" i="16"/>
  <c r="CT5" i="16"/>
  <c r="M5" i="16"/>
  <c r="CV5" i="16" s="1"/>
  <c r="PT5" i="16"/>
  <c r="K5" i="16"/>
  <c r="PU5" i="16"/>
  <c r="F5" i="16"/>
  <c r="I5" i="16"/>
  <c r="G5" i="16"/>
  <c r="OV5" i="14"/>
  <c r="KV5" i="14"/>
  <c r="JV5" i="14"/>
  <c r="GV5" i="14"/>
  <c r="FV5" i="14"/>
  <c r="PS5" i="14"/>
  <c r="PU5" i="14"/>
  <c r="PR5" i="14"/>
  <c r="PV5" i="14"/>
  <c r="PT5" i="14"/>
  <c r="K5" i="14"/>
  <c r="L5" i="14" s="1"/>
  <c r="M5" i="14"/>
  <c r="CV5" i="14" s="1"/>
  <c r="F5" i="14"/>
  <c r="G5" i="14"/>
  <c r="I5" i="14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9" i="13"/>
  <c r="P9" i="13" s="1"/>
  <c r="NJ9" i="13"/>
  <c r="NM9" i="13" s="1"/>
  <c r="DB9" i="13"/>
  <c r="DE9" i="13" s="1"/>
  <c r="OP9" i="13"/>
  <c r="OM9" i="13"/>
  <c r="OK9" i="13"/>
  <c r="OI9" i="13"/>
  <c r="DB7" i="13"/>
  <c r="DE7" i="13" s="1"/>
  <c r="O7" i="13"/>
  <c r="P7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8" i="13"/>
  <c r="DE8" i="13" s="1"/>
  <c r="NJ7" i="13"/>
  <c r="NM7" i="13" s="1"/>
  <c r="OM7" i="13"/>
  <c r="OK7" i="13"/>
  <c r="OI7" i="13"/>
  <c r="DB5" i="13"/>
  <c r="DE5" i="13" s="1"/>
  <c r="NJ8" i="13"/>
  <c r="NM8" i="13" s="1"/>
  <c r="OP7" i="13"/>
  <c r="OM8" i="13"/>
  <c r="OK8" i="13"/>
  <c r="OI8" i="13"/>
  <c r="O8" i="13"/>
  <c r="P8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L4" i="16" s="1"/>
  <c r="L7" i="17" l="1"/>
  <c r="L8" i="16"/>
  <c r="L5" i="16"/>
  <c r="L7" i="16"/>
  <c r="L6" i="16"/>
  <c r="L4" i="14"/>
  <c r="E9" i="17"/>
  <c r="Q9" i="17"/>
  <c r="Q8" i="17"/>
  <c r="P8" i="17"/>
  <c r="E5" i="15"/>
  <c r="Q5" i="15"/>
  <c r="P5" i="15"/>
  <c r="PW8" i="16"/>
  <c r="PW7" i="16"/>
  <c r="PW7" i="17"/>
  <c r="PW5" i="16"/>
  <c r="N7" i="17"/>
  <c r="CU7" i="17"/>
  <c r="O7" i="17" s="1"/>
  <c r="Q7" i="17" s="1"/>
  <c r="H7" i="17"/>
  <c r="J7" i="17"/>
  <c r="CV6" i="17"/>
  <c r="PW6" i="17"/>
  <c r="CU6" i="17"/>
  <c r="H6" i="17"/>
  <c r="J6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5" i="14"/>
  <c r="N5" i="14"/>
  <c r="CU5" i="14"/>
  <c r="O5" i="14" s="1"/>
  <c r="Q5" i="14" s="1"/>
  <c r="H5" i="14"/>
  <c r="J5" i="14"/>
  <c r="PW4" i="16"/>
  <c r="PW6" i="16"/>
  <c r="PW4" i="14"/>
  <c r="DI9" i="13"/>
  <c r="I4" i="4"/>
  <c r="J4" i="4" s="1"/>
  <c r="G9" i="13"/>
  <c r="H9" i="13" s="1"/>
  <c r="I9" i="13"/>
  <c r="DH9" i="13" s="1"/>
  <c r="F9" i="13"/>
  <c r="ON9" i="13"/>
  <c r="I7" i="13"/>
  <c r="J7" i="13" s="1"/>
  <c r="I8" i="13"/>
  <c r="K8" i="13" s="1"/>
  <c r="DI7" i="13"/>
  <c r="G7" i="13"/>
  <c r="H7" i="13" s="1"/>
  <c r="A7" i="13" s="1" a="1"/>
  <c r="A7" i="13" s="1"/>
  <c r="F7" i="13"/>
  <c r="G8" i="13"/>
  <c r="H8" i="13" s="1"/>
  <c r="A8" i="13" s="1" a="1"/>
  <c r="A8" i="13" s="1"/>
  <c r="ON8" i="13"/>
  <c r="DI5" i="4"/>
  <c r="H6" i="16"/>
  <c r="N6" i="16"/>
  <c r="J6" i="16"/>
  <c r="CU6" i="16"/>
  <c r="O6" i="16" s="1"/>
  <c r="ON7" i="13"/>
  <c r="DI8" i="13"/>
  <c r="ON6" i="13"/>
  <c r="I5" i="13"/>
  <c r="DH5" i="13" s="1"/>
  <c r="F5" i="13"/>
  <c r="I6" i="13"/>
  <c r="M6" i="13" s="1"/>
  <c r="F8" i="13"/>
  <c r="G6" i="13"/>
  <c r="H6" i="13" s="1"/>
  <c r="A6" i="13" s="1" a="1"/>
  <c r="A6" i="13" s="1"/>
  <c r="G5" i="13"/>
  <c r="H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CU4" i="14"/>
  <c r="CV4" i="16"/>
  <c r="H4" i="16"/>
  <c r="CU4" i="16"/>
  <c r="O8" i="16" l="1"/>
  <c r="E8" i="16" s="1"/>
  <c r="P7" i="17"/>
  <c r="O6" i="17"/>
  <c r="P6" i="17" s="1"/>
  <c r="E7" i="17"/>
  <c r="O7" i="16"/>
  <c r="Q7" i="16" s="1"/>
  <c r="P5" i="16"/>
  <c r="E5" i="16"/>
  <c r="E5" i="14"/>
  <c r="P5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6" i="13"/>
  <c r="DF6" i="13" s="1"/>
  <c r="M5" i="4"/>
  <c r="E6" i="16"/>
  <c r="P6" i="16"/>
  <c r="Q6" i="16"/>
  <c r="K5" i="13"/>
  <c r="DF5" i="13" s="1"/>
  <c r="M5" i="13"/>
  <c r="DG5" i="13" s="1"/>
  <c r="J5" i="13"/>
  <c r="DH6" i="13"/>
  <c r="J6" i="13"/>
  <c r="N6" i="13" s="1"/>
  <c r="DF8" i="13"/>
  <c r="DG6" i="13"/>
  <c r="O4" i="14"/>
  <c r="E4" i="14" s="1"/>
  <c r="DF5" i="4"/>
  <c r="O4" i="16"/>
  <c r="E4" i="16" s="1"/>
  <c r="P8" i="16" l="1"/>
  <c r="Q8" i="16"/>
  <c r="Q6" i="17"/>
  <c r="E6" i="17"/>
  <c r="E7" i="16"/>
  <c r="P7" i="16"/>
  <c r="L4" i="4"/>
  <c r="N7" i="13"/>
  <c r="N8" i="13"/>
  <c r="DF7" i="13"/>
  <c r="Q7" i="13" s="1"/>
  <c r="S7" i="13" s="1"/>
  <c r="DG4" i="4"/>
  <c r="Q4" i="4" s="1"/>
  <c r="N9" i="13"/>
  <c r="DG8" i="13"/>
  <c r="Q8" i="13" s="1"/>
  <c r="L9" i="13"/>
  <c r="Q9" i="13"/>
  <c r="S9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5" i="16" a="1"/>
  <c r="A5" i="16" s="1"/>
  <c r="A8" i="16" a="1"/>
  <c r="A8" i="16" s="1"/>
  <c r="E8" i="13"/>
  <c r="E9" i="13"/>
  <c r="R9" i="13"/>
  <c r="E6" i="13"/>
  <c r="E7" i="13"/>
  <c r="R7" i="13"/>
  <c r="R8" i="13"/>
  <c r="S8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7" i="17"/>
  <c r="CT13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6" i="14"/>
  <c r="PO6" i="14"/>
  <c r="PN6" i="14"/>
  <c r="PM6" i="14"/>
  <c r="PL6" i="14"/>
  <c r="PK6" i="14"/>
  <c r="PJ6" i="14"/>
  <c r="PI6" i="14"/>
  <c r="PH6" i="14"/>
  <c r="PG6" i="14"/>
  <c r="PF6" i="14"/>
  <c r="PE6" i="14"/>
  <c r="PD6" i="14"/>
  <c r="PC6" i="14"/>
  <c r="PB6" i="14"/>
  <c r="PA6" i="14"/>
  <c r="OZ6" i="14"/>
  <c r="OY6" i="14"/>
  <c r="OX6" i="14"/>
  <c r="OW6" i="14"/>
  <c r="OU6" i="14"/>
  <c r="OT6" i="14"/>
  <c r="OS6" i="14"/>
  <c r="OR6" i="14"/>
  <c r="OQ6" i="14"/>
  <c r="NU6" i="14"/>
  <c r="NT6" i="14"/>
  <c r="NS6" i="14"/>
  <c r="NR6" i="14"/>
  <c r="NQ6" i="14"/>
  <c r="MU6" i="14"/>
  <c r="MT6" i="14"/>
  <c r="MS6" i="14"/>
  <c r="MR6" i="14"/>
  <c r="MQ6" i="14"/>
  <c r="LU6" i="14"/>
  <c r="LT6" i="14"/>
  <c r="LS6" i="14"/>
  <c r="LR6" i="14"/>
  <c r="LQ6" i="14"/>
  <c r="KU6" i="14"/>
  <c r="KT6" i="14"/>
  <c r="KS6" i="14"/>
  <c r="KR6" i="14"/>
  <c r="KQ6" i="14"/>
  <c r="JU6" i="14"/>
  <c r="JT6" i="14"/>
  <c r="JS6" i="14"/>
  <c r="JR6" i="14"/>
  <c r="JQ6" i="14"/>
  <c r="IU6" i="14"/>
  <c r="IT6" i="14"/>
  <c r="IS6" i="14"/>
  <c r="IR6" i="14"/>
  <c r="IQ6" i="14"/>
  <c r="HU6" i="14"/>
  <c r="HT6" i="14"/>
  <c r="HS6" i="14"/>
  <c r="HR6" i="14"/>
  <c r="HQ6" i="14"/>
  <c r="GU6" i="14"/>
  <c r="GT6" i="14"/>
  <c r="GS6" i="14"/>
  <c r="GR6" i="14"/>
  <c r="GQ6" i="14"/>
  <c r="FU6" i="14"/>
  <c r="FT6" i="14"/>
  <c r="FS6" i="14"/>
  <c r="FR6" i="14"/>
  <c r="FQ6" i="14"/>
  <c r="EU6" i="14"/>
  <c r="ET6" i="14"/>
  <c r="ES6" i="14"/>
  <c r="ER6" i="14"/>
  <c r="EQ6" i="14"/>
  <c r="DU6" i="14"/>
  <c r="DT6" i="14"/>
  <c r="DS6" i="14"/>
  <c r="DR6" i="14"/>
  <c r="DQ6" i="14"/>
  <c r="CS6" i="14"/>
  <c r="CR6" i="14"/>
  <c r="CQ6" i="14"/>
  <c r="CP6" i="14"/>
  <c r="CO6" i="14"/>
  <c r="CT4" i="17" l="1"/>
  <c r="JV6" i="14"/>
  <c r="CT5" i="17"/>
  <c r="EV6" i="14"/>
  <c r="MV6" i="14"/>
  <c r="OV6" i="14"/>
  <c r="GV6" i="14"/>
  <c r="OV4" i="17"/>
  <c r="OV5" i="17"/>
  <c r="OV4" i="15"/>
  <c r="CT4" i="15"/>
  <c r="HV6" i="14"/>
  <c r="LV6" i="14"/>
  <c r="DV6" i="14"/>
  <c r="IV6" i="14"/>
  <c r="FV6" i="14"/>
  <c r="NV6" i="14"/>
  <c r="CT6" i="14"/>
  <c r="KV6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PV4" i="17"/>
  <c r="I5" i="17"/>
  <c r="J5" i="17" s="1"/>
  <c r="PV5" i="17"/>
  <c r="PU4" i="17"/>
  <c r="PS4" i="17"/>
  <c r="I4" i="17"/>
  <c r="F5" i="17"/>
  <c r="K4" i="17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M6" i="14"/>
  <c r="CV6" i="14" s="1"/>
  <c r="PT6" i="14"/>
  <c r="PR6" i="14"/>
  <c r="PS6" i="14"/>
  <c r="K6" i="14"/>
  <c r="G6" i="14"/>
  <c r="PV6" i="14"/>
  <c r="PU6" i="14"/>
  <c r="F6" i="14"/>
  <c r="I6" i="14"/>
  <c r="CU4" i="17" l="1"/>
  <c r="L4" i="17"/>
  <c r="CU5" i="17"/>
  <c r="O5" i="17" s="1"/>
  <c r="L5" i="17"/>
  <c r="CU4" i="15"/>
  <c r="O4" i="15" s="1"/>
  <c r="L4" i="15"/>
  <c r="CU6" i="14"/>
  <c r="L6" i="14"/>
  <c r="OQ5" i="13"/>
  <c r="OQ6" i="13"/>
  <c r="PW5" i="17"/>
  <c r="PW4" i="17"/>
  <c r="PW4" i="15"/>
  <c r="PW6" i="14"/>
  <c r="K4" i="13"/>
  <c r="DF4" i="13" s="1"/>
  <c r="DH4" i="13"/>
  <c r="J4" i="13"/>
  <c r="M4" i="13"/>
  <c r="DG4" i="13" s="1"/>
  <c r="N6" i="14"/>
  <c r="H6" i="14"/>
  <c r="N4" i="17"/>
  <c r="H4" i="15"/>
  <c r="H5" i="17"/>
  <c r="H4" i="17"/>
  <c r="J4" i="17"/>
  <c r="N5" i="17"/>
  <c r="N4" i="15"/>
  <c r="J4" i="15"/>
  <c r="J6" i="14"/>
  <c r="L4" i="13" l="1"/>
  <c r="N4" i="13"/>
  <c r="Q4" i="13"/>
  <c r="O4" i="17"/>
  <c r="E4" i="17" s="1"/>
  <c r="O6" i="14"/>
  <c r="E6" i="14" s="1"/>
  <c r="A6" i="14" s="1" a="1"/>
  <c r="A6" i="14" s="1"/>
  <c r="Q5" i="17"/>
  <c r="P5" i="17"/>
  <c r="E5" i="17"/>
  <c r="E4" i="15"/>
  <c r="A4" i="15" s="1" a="1"/>
  <c r="A4" i="15" s="1"/>
  <c r="P4" i="15"/>
  <c r="Q4" i="15"/>
  <c r="A5" i="15" l="1" a="1"/>
  <c r="A5" i="15" s="1"/>
  <c r="A8" i="17" a="1"/>
  <c r="A8" i="17" s="1"/>
  <c r="A6" i="17" a="1"/>
  <c r="A6" i="17" s="1"/>
  <c r="A7" i="17" a="1"/>
  <c r="A7" i="17" s="1"/>
  <c r="A5" i="14" a="1"/>
  <c r="A5" i="14" s="1"/>
  <c r="A5" i="17" a="1"/>
  <c r="A5" i="17" s="1"/>
  <c r="A4" i="17" a="1"/>
  <c r="A4" i="17" s="1"/>
  <c r="A6" i="16" a="1"/>
  <c r="A6" i="16" s="1"/>
  <c r="A4" i="16" a="1"/>
  <c r="A4" i="16" s="1"/>
  <c r="A4" i="14" a="1"/>
  <c r="A4" i="14" s="1"/>
  <c r="E4" i="13"/>
  <c r="A5" i="13" s="1" a="1"/>
  <c r="A5" i="13" s="1"/>
  <c r="R4" i="13"/>
  <c r="S4" i="13"/>
  <c r="Q4" i="17"/>
  <c r="P4" i="17"/>
  <c r="Q6" i="14"/>
  <c r="P6" i="14"/>
  <c r="A9" i="13" l="1" a="1"/>
  <c r="A9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<sst xmlns="http://schemas.openxmlformats.org/spreadsheetml/2006/main" count="3194" uniqueCount="108">
  <si>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</si>
  <si>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</si>
  <si>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</si>
  <si>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</si>
  <si>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</si>
  <si>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</si>
  <si>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</si>
  <si>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</si>
  <si>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</si>
  <si>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</si>
  <si>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</si>
  <si>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</si>
  <si>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</si>
  <si>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</si>
  <si>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</si>
  <si>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</si>
  <si>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</si>
  <si>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</si>
  <si>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</si>
  <si>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</si>
  <si>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</si>
  <si>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</si>
  <si>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</si>
  <si>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</si>
  <si>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</si>
  <si>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</si>
  <si>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</si>
  <si>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</si>
  <si>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</si>
  <si>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</si>
  <si>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</si>
  <si>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</si>
  <si>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</si>
  <si>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</si>
  <si>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</si>
  <si>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</si>
  <si>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</si>
  <si>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</si>
  <si>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</si>
  <si>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</si>
  <si>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</si>
  <si>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</si>
  <si>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</si>
  <si>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</si>
  <si>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</si>
  <si>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</si>
  <si>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</si>
  <si>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</si>
  <si>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</si>
  <si>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</si>
  <si>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</si>
  <si>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</si>
  <si>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</si>
  <si>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</si>
  <si>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</si>
  <si>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</si>
  <si>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</si>
  <si>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</si>
  <si>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</si>
  <si>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</si>
  <si>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</si>
  <si>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</si>
  <si>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</si>
  <si>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</si>
  <si>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</si>
  <si>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</si>
  <si>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</si>
  <si>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</si>
  <si>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</si>
  <si>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</si>
  <si>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</si>
  <si>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</si>
  <si>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</si>
  <si>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</si>
  <si>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</si>
  <si>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</si>
  <si>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</si>
  <si>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</si>
  <si>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</si>
  <si>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</si>
  <si>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</si>
  <si>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</si>
  <si>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</si>
  <si>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</si>
  <si>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</si>
  <si>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</si>
  <si>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</si>
  <si>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</si>
  <si>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</si>
  <si>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</si>
  <si>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</si>
  <si>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</si>
  <si>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</si>
  <si>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</si>
  <si>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</si>
  <si>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</si>
  <si>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</si>
  <si>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</si>
  <si>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</si>
  <si>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</si>
  <si>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</si>
  <si>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</si>
  <si>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</si>
  <si>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</si>
  <si>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</si>
  <si>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BESSADI, Kella</t>
  </si>
  <si>
    <t>2024 Coimbra Gym Fest</t>
  </si>
  <si>
    <t>2024 Coimbra Gym Fest (July 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</si>
</sst>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LEPORÉ, Amylia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BLOOM, Tristan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LOISELLE, Hector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x14ac:dyDescent="0.2">
      <c r="A15" s="8"/>
      <c r="B15" s="8">
        <v>2</v>
      </c>
      <c r="C15" s="8" t="str">
        <f>IF(B3&gt;MAX('TUM-W'!A:A),"",INDEX('TUM-W'!B:B,MATCH(B3,'TUM-W'!A:A,0)))</f>
        <v>HUGHES, Arya</v>
      </c>
      <c r="D15" s="17" t="str">
        <f>IF(B3&gt;MAX('TUM-W'!A:A),"",INDEX('TUM-W'!H:H,MATCH(B3,'TUM-W'!A:A,0)))</f>
        <v>Excellence</v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45480</v>
      </c>
      <c r="C34" s="68"/>
    </row>
    <row r="35" spans="1:3" x14ac:dyDescent="0.2">
      <c r="B35" t="s">
        <v>106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216" width="10.83203125" hidden="1" customWidth="1"/>
    <col min="217" max="223" width="10.83203125" customWidth="1"/>
    <col min="22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102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92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100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 t="s">
        <v>107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84</v>
      </c>
      <c r="C4" s="4" t="s">
        <v>3</v>
      </c>
      <c r="D4" s="4">
        <v>2008</v>
      </c>
      <c r="E4" s="10">
        <f>SUM(I4:Q4)</f>
        <v>244.12999999999997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43.12</v>
      </c>
      <c r="L4" s="9" t="str">
        <f>IF(K4=0,"",IF(AND(K4=CW4,$J4&lt;&gt;$CB$1),$CB$1,IF(AND(K4=BS4,$J4&lt;&gt;$AX$1),$AX$1,IF(AND(K4=AO4,$J4&lt;&gt;$T$1),$T$1,""))))</f>
        <v>2024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52.480000000000004</v>
      </c>
      <c r="N4" s="9" t="str">
        <f>IF(M4=0,"",IF(AND(OR(M4=DA4,M4=CY4),$J4&lt;&gt;$CB$1),$CB$1,IF(AND(OR(M4=BW4,M4=BU4),$J4&lt;&gt;$AX$1),$AX$1,IF(AND(OR(M4=AS4,M4=AQ4),$J4&lt;&gt;$T$1),$T$1,""))))</f>
        <v>2024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>
        <f>IF(MAX(DF4,DG4,DH4,DI4)&gt;0,MAX(DF4,DG4,DH4,DI4),"")</f>
        <v>0.41000000000000369</v>
      </c>
      <c r="R4" s="14" t="str">
        <f>IF(Q4="","",IF(Q4=DF4,"(Vol 1)",IF(Q4=DG4,"(Vol 2)",IF(Q4=DH4,"(Prelim)",IF(Q4=DI4,"(Final)")))))</f>
        <v>(Final)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Coimbra Gym Fest (July 7)</v>
      </c>
      <c r="T4" s="27">
        <v>18.399999999999999</v>
      </c>
      <c r="U4" s="27">
        <v>9.6</v>
      </c>
      <c r="V4" s="27">
        <v>0</v>
      </c>
      <c r="W4" s="27">
        <v>16.12</v>
      </c>
      <c r="X4" s="27">
        <v>0</v>
      </c>
      <c r="Y4" s="27">
        <v>14.9</v>
      </c>
      <c r="Z4" s="27">
        <v>9.5</v>
      </c>
      <c r="AA4" s="27">
        <v>12.3</v>
      </c>
      <c r="AB4" s="27">
        <v>15.22</v>
      </c>
      <c r="AC4" s="27">
        <v>0</v>
      </c>
      <c r="AD4" s="27"/>
      <c r="AE4" s="27"/>
      <c r="AF4" s="27"/>
      <c r="AG4" s="27"/>
      <c r="AH4" s="27"/>
      <c r="AI4" s="27">
        <v>15.6</v>
      </c>
      <c r="AJ4" s="27">
        <v>9.4</v>
      </c>
      <c r="AK4" s="27">
        <v>11.9</v>
      </c>
      <c r="AL4" s="27">
        <v>15.18</v>
      </c>
      <c r="AM4" s="27">
        <v>0</v>
      </c>
      <c r="AN4" s="32"/>
      <c r="AO4" s="7">
        <f>IF(SUM(T4:W4)-X4&gt;0,SUM(T4:W4)-X4,"")</f>
        <v>44.120000000000005</v>
      </c>
      <c r="AP4" s="7">
        <f>IF(AA4&gt;0,AA4,"")</f>
        <v>12.3</v>
      </c>
      <c r="AQ4" s="7">
        <f>IF(SUM(Y4:AB4)-AC4&gt;0,SUM(Y4:AB4)-AC4,"")</f>
        <v>51.92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96.04</v>
      </c>
      <c r="AU4" s="7">
        <f>IF(AK4&gt;0,AK4,"")</f>
        <v>11.9</v>
      </c>
      <c r="AV4" s="7">
        <f>IF(SUM(AI4:AL4)-AM4&gt;0,SUM(AI4:AL4)-AM4,"")</f>
        <v>52.08</v>
      </c>
      <c r="AW4" s="7">
        <f>IF(SUM(AT4,AV4)&gt;0,SUM(AT4,AV4),"")</f>
        <v>148.12</v>
      </c>
      <c r="AX4" s="23">
        <v>1.9</v>
      </c>
      <c r="AY4" s="23">
        <v>1</v>
      </c>
      <c r="AZ4" s="23">
        <v>0</v>
      </c>
      <c r="BA4" s="23">
        <v>1.78</v>
      </c>
      <c r="BB4" s="23">
        <v>0</v>
      </c>
      <c r="BC4" s="23">
        <v>13.6</v>
      </c>
      <c r="BD4" s="23">
        <v>9.4</v>
      </c>
      <c r="BE4" s="23">
        <v>13.3</v>
      </c>
      <c r="BF4" s="23">
        <v>14.55</v>
      </c>
      <c r="BG4" s="23">
        <v>0</v>
      </c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33"/>
      <c r="BS4" s="9">
        <f>IF(SUM(AX4:BA4)-BB4&gt;0,SUM(AX4:BA4)-BB4,"")</f>
        <v>4.68</v>
      </c>
      <c r="BT4" s="9">
        <f>IF(BE4&gt;0,BE4,"")</f>
        <v>13.3</v>
      </c>
      <c r="BU4" s="9">
        <f>IF(SUM(BC4:BF4)-BG4&gt;0,SUM(BC4:BF4)-BG4,"")</f>
        <v>50.849999999999994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55.529999999999994</v>
      </c>
      <c r="BY4" s="9" t="str">
        <f>IF(BO4&gt;0,BO4,"")</f>
        <v/>
      </c>
      <c r="BZ4" s="9" t="str">
        <f>IF(SUM(BM4:BP4)-BQ4&gt;0,SUM(BM4:BP4)-BQ4,"")</f>
        <v/>
      </c>
      <c r="CA4" s="9">
        <f>IF(SUM(BX4,BZ4)&gt;0,SUM(BX4,BZ4),"")</f>
        <v>55.529999999999994</v>
      </c>
      <c r="CB4" s="27">
        <v>17.899999999999999</v>
      </c>
      <c r="CC4" s="27">
        <v>9.4</v>
      </c>
      <c r="CD4" s="27">
        <v>0</v>
      </c>
      <c r="CE4" s="27">
        <v>15.82</v>
      </c>
      <c r="CF4" s="27">
        <v>0</v>
      </c>
      <c r="CG4" s="27">
        <v>15</v>
      </c>
      <c r="CH4" s="27">
        <v>9.1</v>
      </c>
      <c r="CI4" s="27">
        <v>13.5</v>
      </c>
      <c r="CJ4" s="27">
        <v>14.88</v>
      </c>
      <c r="CK4" s="27">
        <v>0</v>
      </c>
      <c r="CL4" s="27"/>
      <c r="CM4" s="27"/>
      <c r="CN4" s="27"/>
      <c r="CO4" s="27"/>
      <c r="CP4" s="27"/>
      <c r="CQ4" s="27">
        <v>14.9</v>
      </c>
      <c r="CR4" s="27">
        <v>9</v>
      </c>
      <c r="CS4" s="27">
        <v>12.6</v>
      </c>
      <c r="CT4" s="27">
        <v>14.84</v>
      </c>
      <c r="CU4" s="27">
        <v>0</v>
      </c>
      <c r="CV4" s="32"/>
      <c r="CW4" s="7">
        <f>IF(SUM(CB4:CE4)-CF4&gt;0,SUM(CB4:CE4)-CF4,"")</f>
        <v>43.12</v>
      </c>
      <c r="CX4" s="7">
        <f>IF(CI4&gt;0,CI4,"")</f>
        <v>13.5</v>
      </c>
      <c r="CY4" s="7">
        <f>IF(SUM(CG4:CJ4)-CK4&gt;0,SUM(CG4:CJ4)-CK4,"")</f>
        <v>52.480000000000004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95.6</v>
      </c>
      <c r="DC4" s="7">
        <f>IF(CS4&gt;0,CS4,"")</f>
        <v>12.6</v>
      </c>
      <c r="DD4" s="7">
        <f>IF(SUM(CQ4:CT4)-CU4&gt;0,SUM(CQ4:CT4)-CU4,"")</f>
        <v>51.34</v>
      </c>
      <c r="DE4" s="7">
        <f>IF(SUM(DB4,DD4)&gt;0,SUM(DB4,DD4),"")</f>
        <v>146.94</v>
      </c>
      <c r="DF4" s="13">
        <f>IF(MAX(DZ4,EV4,FR4,GN4,HJ4,IF4,JB4,JX4,KT4,LP4,ML4,NH4)-IF(K4="",0,K4)&gt;0.001,MAX(DZ4,EV4,FR4,GN4,HJ4,IF4,JB4,JX4,KT4,LP4,ML4,NH4)-IF(K4="",0,K4),"")</f>
        <v>0.15000000000000568</v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0.41000000000000369</v>
      </c>
      <c r="DJ4" s="18">
        <v>17.600000000000001</v>
      </c>
      <c r="DK4" s="18">
        <v>9.8000000000000007</v>
      </c>
      <c r="DL4" s="18">
        <v>0</v>
      </c>
      <c r="DM4" s="18">
        <v>15.87</v>
      </c>
      <c r="DN4" s="18">
        <v>0</v>
      </c>
      <c r="DO4" s="18">
        <v>13.9</v>
      </c>
      <c r="DP4" s="18">
        <v>9.5</v>
      </c>
      <c r="DQ4" s="18">
        <v>13.1</v>
      </c>
      <c r="DR4" s="18">
        <v>14.66</v>
      </c>
      <c r="DS4" s="18">
        <v>0</v>
      </c>
      <c r="DT4" s="18"/>
      <c r="DU4" s="18"/>
      <c r="DV4" s="18"/>
      <c r="DW4" s="18"/>
      <c r="DX4" s="18"/>
      <c r="DY4" s="7">
        <f>IF(DQ4&gt;0,DQ4,"")</f>
        <v>13.1</v>
      </c>
      <c r="DZ4" s="7">
        <f>IF(SUM(DJ4:DM4)-DN4&gt;0,SUM(DJ4:DM4)-DN4,"")</f>
        <v>43.27</v>
      </c>
      <c r="EA4" s="7">
        <f>IF(SUM(DO4:DR4)-DS4&gt;0,SUM(DO4:DR4)-DS4,"")</f>
        <v>51.16</v>
      </c>
      <c r="EB4" s="7">
        <f>IF(SUM(DZ4:EA4)&gt;0,SUM(DZ4:EA4),"")</f>
        <v>94.43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94.43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>
        <v>16.5</v>
      </c>
      <c r="GU4" s="18">
        <v>9.4</v>
      </c>
      <c r="GV4" s="18">
        <v>0</v>
      </c>
      <c r="GW4" s="18">
        <v>16.34</v>
      </c>
      <c r="GX4" s="18">
        <v>0</v>
      </c>
      <c r="GY4" s="18">
        <v>12</v>
      </c>
      <c r="GZ4" s="18">
        <v>8.5</v>
      </c>
      <c r="HA4" s="18">
        <v>13.5</v>
      </c>
      <c r="HB4" s="18">
        <v>15.15</v>
      </c>
      <c r="HC4" s="18">
        <v>0</v>
      </c>
      <c r="HD4" s="18">
        <v>14.3</v>
      </c>
      <c r="HE4" s="18">
        <v>9.1999999999999993</v>
      </c>
      <c r="HF4" s="18">
        <v>13.5</v>
      </c>
      <c r="HG4" s="18">
        <v>15.49</v>
      </c>
      <c r="HH4" s="18">
        <v>0</v>
      </c>
      <c r="HI4" s="7">
        <f>IF(HA4&gt;0,HA4,"")</f>
        <v>13.5</v>
      </c>
      <c r="HJ4" s="7">
        <f>IF(SUM(GT4:GW4)-GX4&gt;0,SUM(GT4:GW4)-GX4,"")</f>
        <v>42.239999999999995</v>
      </c>
      <c r="HK4" s="7">
        <f>IF(SUM(GY4:HB4)-HC4&gt;0,SUM(GY4:HB4)-HC4,"")</f>
        <v>49.15</v>
      </c>
      <c r="HL4" s="7">
        <f>IF(SUM(HJ4:HK4)&gt;0,SUM(HJ4:HK4),"")</f>
        <v>91.389999999999986</v>
      </c>
      <c r="HM4" s="7">
        <f>IF(HF4&gt;0,HF4,"")</f>
        <v>13.5</v>
      </c>
      <c r="HN4" s="7">
        <f>IF(SUM(HD4:HG4)-HH4&gt;0,SUM(HD4:HG4)-HH4,"")</f>
        <v>52.49</v>
      </c>
      <c r="HO4" s="7">
        <f>IF(SUM(HL4,HN4)&gt;0,SUM(HL4,HN4),"")</f>
        <v>143.88</v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9.8999999999999986</v>
      </c>
      <c r="NO4" s="27">
        <f>IF($CV4="P",CC4,(CC4+AY4)/2)</f>
        <v>5.2</v>
      </c>
      <c r="NP4" s="27">
        <f>IF($CV4="P",CD4,(CD4+AZ4)/2)</f>
        <v>0</v>
      </c>
      <c r="NQ4" s="27">
        <f>IF($CV4="P",CE4,(CE4+BA4)/2)</f>
        <v>8.8000000000000007</v>
      </c>
      <c r="NR4" s="27">
        <f>IF($CV4="P",CF4,(CF4+BB4)/2)</f>
        <v>0</v>
      </c>
      <c r="NS4" s="27">
        <f>IF($CV4="P",CG4,(CG4+BC4)/2)</f>
        <v>14.3</v>
      </c>
      <c r="NT4" s="27">
        <f>IF($CV4="P",CH4,(CH4+BD4)/2)</f>
        <v>9.25</v>
      </c>
      <c r="NU4" s="27">
        <f>IF($CV4="P",CI4,(CI4+BE4)/2)</f>
        <v>13.4</v>
      </c>
      <c r="NV4" s="27">
        <f>IF($CV4="P",CJ4,(CJ4+BF4)/2)</f>
        <v>14.715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7.45</v>
      </c>
      <c r="OD4" s="27">
        <f>IF($CV4="P",CR4,(CR4+BN4)/2)</f>
        <v>4.5</v>
      </c>
      <c r="OE4" s="27">
        <f>IF($CV4="P",CS4,(CS4+BO4)/2)</f>
        <v>6.3</v>
      </c>
      <c r="OF4" s="27">
        <f>IF($CV4="P",CT4,(CT4+BP4)/2)</f>
        <v>7.42</v>
      </c>
      <c r="OG4" s="27">
        <f>IF($CV4="P",CU4,(CU4+BQ4)/2)</f>
        <v>0</v>
      </c>
      <c r="OH4" s="32" t="s">
        <v>44</v>
      </c>
      <c r="OI4" s="7">
        <f>IF(SUM(NN4:NQ4)-NR4&gt;0,SUM(NN4:NQ4)-NR4,"")</f>
        <v>23.9</v>
      </c>
      <c r="OJ4" s="7">
        <f>IF(NU4&gt;0,NU4,"")</f>
        <v>13.4</v>
      </c>
      <c r="OK4" s="7">
        <f>IF(SUM(NS4:NV4)-NW4&gt;0,SUM(NS4:NV4)-NW4,"")</f>
        <v>51.665000000000006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75.564999999999998</v>
      </c>
      <c r="OO4" s="7">
        <f>IF(OE4&gt;0,OE4,"")</f>
        <v>6.3</v>
      </c>
      <c r="OP4" s="7">
        <f t="shared" ref="OP4" si="0">IF(SUM(OC4:OF4)-OG4&gt;0,SUM(OC4:OF4)-OG4,"")</f>
        <v>25.67</v>
      </c>
      <c r="OQ4" s="7">
        <f t="shared" ref="OQ4" si="1">IF(SUM(ON4,OP4)&gt;0,SUM(ON4,OP4),"")</f>
        <v>101.235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233.45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41.67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45.25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51.91</v>
      </c>
      <c r="P5" s="9" t="str">
        <f>IF(O5=0,"",IF(O5=DD5,$CB$1,IF(O5=BZ5,$AX$1,IF(O5=AV5,$T$1,""))))</f>
        <v>2024 Nationals</v>
      </c>
      <c r="Q5" s="9">
        <f>IF(MAX(DF5,DG5,DH5,DI5)&gt;0,MAX(DF5,DG5,DH5,DI5),"")</f>
        <v>5.2800000000000011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Pan Am Club Championships (May 19)</v>
      </c>
      <c r="T5" s="27">
        <v>16.8</v>
      </c>
      <c r="U5" s="27">
        <v>9.5</v>
      </c>
      <c r="V5" s="27">
        <v>0</v>
      </c>
      <c r="W5" s="27">
        <v>14.98</v>
      </c>
      <c r="X5" s="27">
        <v>0</v>
      </c>
      <c r="Y5" s="27">
        <v>2.7</v>
      </c>
      <c r="Z5" s="27">
        <v>1.7</v>
      </c>
      <c r="AA5" s="27">
        <v>3.2</v>
      </c>
      <c r="AB5" s="27">
        <v>3.26</v>
      </c>
      <c r="AC5" s="27">
        <v>0</v>
      </c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>
        <f>IF(SUM(T5:W5)-X5&gt;0,SUM(T5:W5)-X5,"")</f>
        <v>41.28</v>
      </c>
      <c r="AP5" s="7">
        <f>IF(AA5&gt;0,AA5,"")</f>
        <v>3.2</v>
      </c>
      <c r="AQ5" s="7">
        <f>IF(SUM(Y5:AB5)-AC5&gt;0,SUM(Y5:AB5)-AC5,"")</f>
        <v>10.86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52.14</v>
      </c>
      <c r="AU5" s="7" t="str">
        <f>IF(AK5&gt;0,AK5,"")</f>
        <v/>
      </c>
      <c r="AV5" s="7" t="str">
        <f>IF(SUM(AI5:AL5)-AM5&gt;0,SUM(AI5:AL5)-AM5,"")</f>
        <v/>
      </c>
      <c r="AW5" s="7">
        <f>IF(SUM(AT5,AV5)&gt;0,SUM(AT5,AV5),"")</f>
        <v>52.14</v>
      </c>
      <c r="AX5" s="23">
        <v>15.8</v>
      </c>
      <c r="AY5" s="23">
        <v>8.9</v>
      </c>
      <c r="AZ5" s="23">
        <v>0</v>
      </c>
      <c r="BA5" s="23">
        <v>14.68</v>
      </c>
      <c r="BB5" s="23">
        <v>0</v>
      </c>
      <c r="BC5" s="23">
        <v>13.1</v>
      </c>
      <c r="BD5" s="23">
        <v>9</v>
      </c>
      <c r="BE5" s="23">
        <v>13.6</v>
      </c>
      <c r="BF5" s="23">
        <v>14.26</v>
      </c>
      <c r="BG5" s="23">
        <v>0</v>
      </c>
      <c r="BH5" s="23"/>
      <c r="BI5" s="23"/>
      <c r="BJ5" s="23"/>
      <c r="BK5" s="23"/>
      <c r="BL5" s="23"/>
      <c r="BM5" s="23">
        <v>13.3</v>
      </c>
      <c r="BN5" s="23">
        <v>9.3000000000000007</v>
      </c>
      <c r="BO5" s="23">
        <v>13.6</v>
      </c>
      <c r="BP5" s="23">
        <v>14.4</v>
      </c>
      <c r="BQ5" s="23">
        <v>0</v>
      </c>
      <c r="BR5" s="33"/>
      <c r="BS5" s="9">
        <f>IF(SUM(AX5:BA5)-BB5&gt;0,SUM(AX5:BA5)-BB5,"")</f>
        <v>39.380000000000003</v>
      </c>
      <c r="BT5" s="9">
        <f>IF(BE5&gt;0,BE5,"")</f>
        <v>13.6</v>
      </c>
      <c r="BU5" s="9">
        <f>IF(SUM(BC5:BF5)-BG5&gt;0,SUM(BC5:BF5)-BG5,"")</f>
        <v>49.96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89.34</v>
      </c>
      <c r="BY5" s="9">
        <f>IF(BO5&gt;0,BO5,"")</f>
        <v>13.6</v>
      </c>
      <c r="BZ5" s="9">
        <f>IF(SUM(BM5:BP5)-BQ5&gt;0,SUM(BM5:BP5)-BQ5,"")</f>
        <v>50.6</v>
      </c>
      <c r="CA5" s="9">
        <f>IF(SUM(BX5,BZ5)&gt;0,SUM(BX5,BZ5),"")</f>
        <v>139.94</v>
      </c>
      <c r="CB5" s="27">
        <v>16.8</v>
      </c>
      <c r="CC5" s="27">
        <v>9.5</v>
      </c>
      <c r="CD5" s="27">
        <v>0</v>
      </c>
      <c r="CE5" s="27">
        <v>15.37</v>
      </c>
      <c r="CF5" s="27">
        <v>0</v>
      </c>
      <c r="CG5" s="27">
        <v>11.9</v>
      </c>
      <c r="CH5" s="27">
        <v>9.4</v>
      </c>
      <c r="CI5" s="27">
        <v>10.7</v>
      </c>
      <c r="CJ5" s="27">
        <v>13.75</v>
      </c>
      <c r="CK5" s="27">
        <v>0.5</v>
      </c>
      <c r="CL5" s="27"/>
      <c r="CM5" s="27"/>
      <c r="CN5" s="27"/>
      <c r="CO5" s="27"/>
      <c r="CP5" s="27"/>
      <c r="CQ5" s="27">
        <v>13.7</v>
      </c>
      <c r="CR5" s="27">
        <v>9.3000000000000007</v>
      </c>
      <c r="CS5" s="27">
        <v>14</v>
      </c>
      <c r="CT5" s="27">
        <v>14.91</v>
      </c>
      <c r="CU5" s="27">
        <v>0</v>
      </c>
      <c r="CV5" s="32"/>
      <c r="CW5" s="7">
        <f>IF(SUM(CB5:CE5)-CF5&gt;0,SUM(CB5:CE5)-CF5,"")</f>
        <v>41.67</v>
      </c>
      <c r="CX5" s="7">
        <f>IF(CI5&gt;0,CI5,"")</f>
        <v>10.7</v>
      </c>
      <c r="CY5" s="7">
        <f>IF(SUM(CG5:CJ5)-CK5&gt;0,SUM(CG5:CJ5)-CK5,"")</f>
        <v>45.25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86.92</v>
      </c>
      <c r="DC5" s="7">
        <f>IF(CS5&gt;0,CS5,"")</f>
        <v>14</v>
      </c>
      <c r="DD5" s="7">
        <f>IF(SUM(CQ5:CT5)-CU5&gt;0,SUM(CQ5:CT5)-CU5,"")</f>
        <v>51.91</v>
      </c>
      <c r="DE5" s="7">
        <f>IF(SUM(DB5,DD5)&gt;0,SUM(DB5,DD5),"")</f>
        <v>138.82999999999998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5.2800000000000011</v>
      </c>
      <c r="DH5" s="13">
        <f>IF(MAX(EB5,EX5,FT5,GP5,HL5,IH5,JD5,JZ5,KV5,LR5,MN5,NJ5)-IF(I5="",0,I5)&gt;0.001,MAX(EB5,EX5,FT5,GP5,HL5,IH5,JD5,JZ5,KV5,LR5,MN5,NJ5)-IF(I5="",0,I5),"")</f>
        <v>1.5600000000000023</v>
      </c>
      <c r="DI5" s="13" t="str">
        <f>IF(MAX(ED5,EZ5,FV5,GR5,HN5,IJ5,JF5,KB5,KX5,LT5,MP5,NL5)-IF(O5="",0,O5)&gt;0.001,MAX(ED5,EZ5,FV5,GR5,HN5,IJ5,JF5,KB5,KX5,LT5,MP5,NL5)-IF(O5="",0,O5),"")</f>
        <v/>
      </c>
      <c r="DJ5" s="18">
        <v>15.8</v>
      </c>
      <c r="DK5" s="18">
        <v>9.1999999999999993</v>
      </c>
      <c r="DL5" s="18">
        <v>0</v>
      </c>
      <c r="DM5" s="18">
        <v>14.81</v>
      </c>
      <c r="DN5" s="18">
        <v>0</v>
      </c>
      <c r="DO5" s="18">
        <v>13.2</v>
      </c>
      <c r="DP5" s="18">
        <v>9</v>
      </c>
      <c r="DQ5" s="18">
        <v>13.3</v>
      </c>
      <c r="DR5" s="18">
        <v>14.66</v>
      </c>
      <c r="DS5" s="18">
        <v>0</v>
      </c>
      <c r="DT5" s="18"/>
      <c r="DU5" s="18"/>
      <c r="DV5" s="18"/>
      <c r="DW5" s="18"/>
      <c r="DX5" s="18"/>
      <c r="DY5" s="7">
        <f>IF(DQ5&gt;0,DQ5,"")</f>
        <v>13.3</v>
      </c>
      <c r="DZ5" s="7">
        <f>IF(SUM(DJ5:DM5)-DN5&gt;0,SUM(DJ5:DM5)-DN5,"")</f>
        <v>39.81</v>
      </c>
      <c r="EA5" s="7">
        <f>IF(SUM(DO5:DR5)-DS5&gt;0,SUM(DO5:DR5)-DS5,"")</f>
        <v>50.16</v>
      </c>
      <c r="EB5" s="7">
        <f>IF(SUM(DZ5:EA5)&gt;0,SUM(DZ5:EA5),"")</f>
        <v>89.97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89.97</v>
      </c>
      <c r="EF5" s="19">
        <v>16.2</v>
      </c>
      <c r="EG5" s="19">
        <v>9.4</v>
      </c>
      <c r="EH5" s="19">
        <v>0</v>
      </c>
      <c r="EI5" s="19">
        <v>15.42</v>
      </c>
      <c r="EJ5" s="19">
        <v>0</v>
      </c>
      <c r="EK5" s="19">
        <v>2.7</v>
      </c>
      <c r="EL5" s="19">
        <v>1.8</v>
      </c>
      <c r="EM5" s="19">
        <v>3</v>
      </c>
      <c r="EN5" s="19">
        <v>3.23</v>
      </c>
      <c r="EO5" s="19">
        <v>0</v>
      </c>
      <c r="EP5" s="19">
        <v>14</v>
      </c>
      <c r="EQ5" s="19">
        <v>9.1999999999999993</v>
      </c>
      <c r="ER5" s="19">
        <v>11.4</v>
      </c>
      <c r="ES5" s="19">
        <v>14.65</v>
      </c>
      <c r="ET5" s="19">
        <v>0</v>
      </c>
      <c r="EU5" s="9">
        <f>IF(EM5&gt;0,EM5,"")</f>
        <v>3</v>
      </c>
      <c r="EV5" s="9">
        <f>IF(SUM(EF5:EI5)-EJ5&gt;0,SUM(EF5:EI5)-EJ5,"")</f>
        <v>41.02</v>
      </c>
      <c r="EW5" s="9">
        <f>IF(SUM(EK5:EN5)-EO5&gt;0,SUM(EK5:EN5)-EO5,"")</f>
        <v>10.73</v>
      </c>
      <c r="EX5" s="9">
        <f>IF(SUM(EV5:EW5)&gt;0,SUM(EV5:EW5),"")</f>
        <v>51.75</v>
      </c>
      <c r="EY5" s="9">
        <f>IF(ER5&gt;0,ER5,"")</f>
        <v>11.4</v>
      </c>
      <c r="EZ5" s="9">
        <f>IF(SUM(EP5:ES5)-ET5&gt;0,SUM(EP5:ES5)-ET5,"")</f>
        <v>49.25</v>
      </c>
      <c r="FA5" s="9">
        <f>IF(SUM(EX5,EZ5)&gt;0,SUM(EX5,EZ5),"")</f>
        <v>101</v>
      </c>
      <c r="FB5" s="18">
        <v>16.100000000000001</v>
      </c>
      <c r="FC5" s="18">
        <v>9.6999999999999993</v>
      </c>
      <c r="FD5" s="18">
        <v>0</v>
      </c>
      <c r="FE5" s="18">
        <v>15.42</v>
      </c>
      <c r="FF5" s="18">
        <v>0</v>
      </c>
      <c r="FG5" s="18">
        <v>12.3</v>
      </c>
      <c r="FH5" s="18">
        <v>9.1</v>
      </c>
      <c r="FI5" s="18">
        <v>12.2</v>
      </c>
      <c r="FJ5" s="18">
        <v>14.43</v>
      </c>
      <c r="FK5" s="18">
        <v>0</v>
      </c>
      <c r="FL5" s="18">
        <v>13.7</v>
      </c>
      <c r="FM5" s="18">
        <v>9.1</v>
      </c>
      <c r="FN5" s="18">
        <v>13.8</v>
      </c>
      <c r="FO5" s="18">
        <v>15.04</v>
      </c>
      <c r="FP5" s="18">
        <v>0</v>
      </c>
      <c r="FQ5" s="7">
        <f>IF(FI5&gt;0,FI5,"")</f>
        <v>12.2</v>
      </c>
      <c r="FR5" s="7">
        <f>IF(SUM(FB5:FE5)-FF5&gt;0,SUM(FB5:FE5)-FF5,"")</f>
        <v>41.22</v>
      </c>
      <c r="FS5" s="7">
        <f>IF(SUM(FG5:FJ5)-FK5&gt;0,SUM(FG5:FJ5)-FK5,"")</f>
        <v>48.029999999999994</v>
      </c>
      <c r="FT5" s="7">
        <f>IF(SUM(FR5:FS5)&gt;0,SUM(FR5:FS5),"")</f>
        <v>89.25</v>
      </c>
      <c r="FU5" s="7">
        <f>IF(FN5&gt;0,FN5,"")</f>
        <v>13.8</v>
      </c>
      <c r="FV5" s="7">
        <f>IF(SUM(FL5:FO5)-FP5&gt;0,SUM(FL5:FO5)-FP5,"")</f>
        <v>51.639999999999993</v>
      </c>
      <c r="FW5" s="7">
        <f>IF(SUM(FT5,FV5)&gt;0,SUM(FT5,FV5),"")</f>
        <v>140.88999999999999</v>
      </c>
      <c r="FX5" s="19">
        <v>15.2</v>
      </c>
      <c r="FY5" s="19">
        <v>9.6</v>
      </c>
      <c r="FZ5" s="19">
        <v>0</v>
      </c>
      <c r="GA5" s="19">
        <v>15.57</v>
      </c>
      <c r="GB5" s="19">
        <v>0</v>
      </c>
      <c r="GC5" s="19">
        <v>13.1</v>
      </c>
      <c r="GD5" s="19">
        <v>9.1999999999999993</v>
      </c>
      <c r="GE5" s="19">
        <v>13.6</v>
      </c>
      <c r="GF5" s="19">
        <v>14.63</v>
      </c>
      <c r="GG5" s="19">
        <v>0</v>
      </c>
      <c r="GH5" s="19">
        <v>10.199999999999999</v>
      </c>
      <c r="GI5" s="19">
        <v>8.1</v>
      </c>
      <c r="GJ5" s="19">
        <v>12.7</v>
      </c>
      <c r="GK5" s="19">
        <v>14.84</v>
      </c>
      <c r="GL5" s="19">
        <v>0</v>
      </c>
      <c r="GM5" s="9">
        <f>IF(GE5&gt;0,GE5,"")</f>
        <v>13.6</v>
      </c>
      <c r="GN5" s="9">
        <f>IF(SUM(FX5:GA5)-GB5&gt;0,SUM(FX5:GA5)-GB5,"")</f>
        <v>40.369999999999997</v>
      </c>
      <c r="GO5" s="9">
        <f>IF(SUM(GC5:GF5)-GG5&gt;0,SUM(GC5:GF5)-GG5,"")</f>
        <v>50.53</v>
      </c>
      <c r="GP5" s="9">
        <f>IF(SUM(GN5:GO5)&gt;0,SUM(GN5:GO5),"")</f>
        <v>90.9</v>
      </c>
      <c r="GQ5" s="9">
        <f>IF(GJ5&gt;0,GJ5,"")</f>
        <v>12.7</v>
      </c>
      <c r="GR5" s="9">
        <f>IF(SUM(GH5:GK5)-GL5&gt;0,SUM(GH5:GK5)-GL5,"")</f>
        <v>45.839999999999996</v>
      </c>
      <c r="GS5" s="9">
        <f>IF(SUM(GP5,GR5)&gt;0,SUM(GP5,GR5),"")</f>
        <v>136.74</v>
      </c>
      <c r="GT5" s="18">
        <v>14.5</v>
      </c>
      <c r="GU5" s="18">
        <v>9.3000000000000007</v>
      </c>
      <c r="GV5" s="18">
        <v>0</v>
      </c>
      <c r="GW5" s="18">
        <v>15.19</v>
      </c>
      <c r="GX5" s="18">
        <v>0</v>
      </c>
      <c r="GY5" s="18">
        <v>12.2</v>
      </c>
      <c r="GZ5" s="18">
        <v>9.1</v>
      </c>
      <c r="HA5" s="18">
        <v>13.4</v>
      </c>
      <c r="HB5" s="18">
        <v>14.23</v>
      </c>
      <c r="HC5" s="18">
        <v>0</v>
      </c>
      <c r="HD5" s="18">
        <v>2.6</v>
      </c>
      <c r="HE5" s="18">
        <v>1.7</v>
      </c>
      <c r="HF5" s="18">
        <v>3.2</v>
      </c>
      <c r="HG5" s="18">
        <v>3.16</v>
      </c>
      <c r="HH5" s="18">
        <v>0</v>
      </c>
      <c r="HI5" s="7">
        <f>IF(HA5&gt;0,HA5,"")</f>
        <v>13.4</v>
      </c>
      <c r="HJ5" s="7">
        <f>IF(SUM(GT5:GW5)-GX5&gt;0,SUM(GT5:GW5)-GX5,"")</f>
        <v>38.99</v>
      </c>
      <c r="HK5" s="7">
        <f>IF(SUM(GY5:HB5)-HC5&gt;0,SUM(GY5:HB5)-HC5,"")</f>
        <v>48.929999999999993</v>
      </c>
      <c r="HL5" s="7">
        <f>IF(SUM(HJ5:HK5)&gt;0,SUM(HJ5:HK5),"")</f>
        <v>87.919999999999987</v>
      </c>
      <c r="HM5" s="7">
        <f>IF(HF5&gt;0,HF5,"")</f>
        <v>3.2</v>
      </c>
      <c r="HN5" s="7">
        <f>IF(SUM(HD5:HG5)-HH5&gt;0,SUM(HD5:HG5)-HH5,"")</f>
        <v>10.66</v>
      </c>
      <c r="HO5" s="7">
        <f>IF(SUM(HL5,HN5)&gt;0,SUM(HL5,HN5),"")</f>
        <v>98.579999999999984</v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16.3</v>
      </c>
      <c r="NO5" s="27">
        <f>IF($CV5="P",CC5,(CC5+AY5)/2)</f>
        <v>9.1999999999999993</v>
      </c>
      <c r="NP5" s="27">
        <f>IF($CV5="P",CD5,(CD5+AZ5)/2)</f>
        <v>0</v>
      </c>
      <c r="NQ5" s="27">
        <f>IF($CV5="P",CE5,(CE5+BA5)/2)</f>
        <v>15.024999999999999</v>
      </c>
      <c r="NR5" s="27">
        <f>IF($CV5="P",CF5,(CF5+BB5)/2)</f>
        <v>0</v>
      </c>
      <c r="NS5" s="27">
        <f>IF($CV5="P",CG5,(CG5+BC5)/2)</f>
        <v>12.5</v>
      </c>
      <c r="NT5" s="27">
        <f>IF($CV5="P",CH5,(CH5+BD5)/2)</f>
        <v>9.1999999999999993</v>
      </c>
      <c r="NU5" s="27">
        <f>IF($CV5="P",CI5,(CI5+BE5)/2)</f>
        <v>12.149999999999999</v>
      </c>
      <c r="NV5" s="27">
        <f>IF($CV5="P",CJ5,(CJ5+BF5)/2)</f>
        <v>14.004999999999999</v>
      </c>
      <c r="NW5" s="27">
        <f>IF($CV5="P",CK5,(CK5+BG5)/2)</f>
        <v>0.25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13.5</v>
      </c>
      <c r="OD5" s="27">
        <f>IF($CV5="P",CR5,(CR5+BN5)/2)</f>
        <v>9.3000000000000007</v>
      </c>
      <c r="OE5" s="27">
        <f>IF($CV5="P",CS5,(CS5+BO5)/2)</f>
        <v>13.8</v>
      </c>
      <c r="OF5" s="27">
        <f>IF($CV5="P",CT5,(CT5+BP5)/2)</f>
        <v>14.655000000000001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40.524999999999999</v>
      </c>
      <c r="OJ5" s="7">
        <f>IF(NU5&gt;0,NU5,"")</f>
        <v>12.149999999999999</v>
      </c>
      <c r="OK5" s="7">
        <f>IF(SUM(NS5:NV5)-NW5&gt;0,SUM(NS5:NV5)-NW5,"")</f>
        <v>47.60499999999999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88.13</v>
      </c>
      <c r="OO5" s="7">
        <f>IF(OE5&gt;0,OE5,"")</f>
        <v>13.8</v>
      </c>
      <c r="OP5" s="7">
        <f t="shared" ref="OP5" si="2">IF(SUM(OC5:OF5)-OG5&gt;0,SUM(OC5:OF5)-OG5,"")</f>
        <v>51.255000000000003</v>
      </c>
      <c r="OQ5" s="7">
        <f t="shared" ref="OQ5" si="3">IF(SUM(ON5,OP5)&gt;0,SUM(ON5,OP5),"")</f>
        <v>139.38499999999999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216" width="10.83203125" hidden="1" customWidth="1"/>
    <col min="217" max="223" width="10.83203125" customWidth="1"/>
    <col min="224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102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92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100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 t="s">
        <v>107</v>
      </c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>SUM(I4:Q4)</f>
        <v>231.33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>IF(MAX(AT4,BX4,DB4)&gt;0,MAX(AT4,BX4,DB4),0)</f>
        <v>90.53</v>
      </c>
      <c r="J4" s="9" t="str">
        <f>IF(I4=0,"",IF(I4=DB4,$CB$1,IF(I4=BX4,$AX$1,IF(I4=AT4,$T$1,""))))</f>
        <v>2024 Elite Canada</v>
      </c>
      <c r="K4" s="9">
        <f>IF($I4=$AT4,MAX(BS4,CW4),IF($I4=$BX4,MAX(AO4,CW4),IF($I4=$DB4,MAX(AO4,BS4),MAX(AO4,BS4,CW4))))</f>
        <v>40.28</v>
      </c>
      <c r="L4" s="9" t="str">
        <f>IF(K4=0,"",IF(AND(K4=CW4,$J4&lt;&gt;$CB$1),$CB$1,IF(AND(K4=BS4,$J4&lt;&gt;$AX$1),$AX$1,IF(AND(K4=AO4,$J4&lt;&gt;$T$1),$T$1,""))))</f>
        <v>2023 3rd Domestic Trial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44.93</v>
      </c>
      <c r="N4" s="9" t="str">
        <f>IF(M4=0,"",IF(AND(OR(M4=DA4,M4=CY4),$J4&lt;&gt;$CB$1),$CB$1,IF(AND(OR(M4=BW4,M4=BU4),$J4&lt;&gt;$AX$1),$AX$1,IF(AND(OR(M4=AS4,M4=AQ4),$J4&lt;&gt;$T$1),$T$1,""))))</f>
        <v>2024 Nationals</v>
      </c>
      <c r="O4" s="9">
        <f>MAX(AV4,BZ4,DD4)</f>
        <v>50.68</v>
      </c>
      <c r="P4" s="9" t="str">
        <f>IF(O4=0,"",IF(O4=DD4,$CB$1,IF(O4=BZ4,$AX$1,IF(O4=AV4,$T$1,""))))</f>
        <v>2024 Elite Canada</v>
      </c>
      <c r="Q4" s="9">
        <f>IF(MAX(DF4,DG4,DH4,DI4)&gt;0,MAX(DF4,DG4,DH4,DI4),"")</f>
        <v>4.9100000000000037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16.5</v>
      </c>
      <c r="U4" s="27">
        <v>9.5</v>
      </c>
      <c r="V4" s="27">
        <v>0</v>
      </c>
      <c r="W4" s="27">
        <v>14.28</v>
      </c>
      <c r="X4" s="27">
        <v>0</v>
      </c>
      <c r="Y4" s="27">
        <v>10.7</v>
      </c>
      <c r="Z4" s="27">
        <v>6.9</v>
      </c>
      <c r="AA4" s="27">
        <v>9.3999999999999986</v>
      </c>
      <c r="AB4" s="27">
        <v>11.12</v>
      </c>
      <c r="AC4" s="27">
        <v>0</v>
      </c>
      <c r="AD4" s="27"/>
      <c r="AE4" s="27"/>
      <c r="AF4" s="27"/>
      <c r="AG4" s="27"/>
      <c r="AH4" s="27"/>
      <c r="AI4" s="27">
        <v>14.1</v>
      </c>
      <c r="AJ4" s="27">
        <v>8.6999999999999993</v>
      </c>
      <c r="AK4" s="27">
        <v>12.299999999999999</v>
      </c>
      <c r="AL4" s="27">
        <v>14.13</v>
      </c>
      <c r="AM4" s="27">
        <v>0</v>
      </c>
      <c r="AN4" s="32"/>
      <c r="AO4" s="7">
        <f>IF(SUM(T4:W4)-X4&gt;0,SUM(T4:W4)-X4,"")</f>
        <v>40.28</v>
      </c>
      <c r="AP4" s="7">
        <f>IF(AA4&gt;0,AA4,"")</f>
        <v>9.3999999999999986</v>
      </c>
      <c r="AQ4" s="7">
        <f>IF(SUM(Y4:AB4)-AC4&gt;0,SUM(Y4:AB4)-AC4,"")</f>
        <v>38.119999999999997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78.400000000000006</v>
      </c>
      <c r="AU4" s="7">
        <f>IF(AK4&gt;0,AK4,"")</f>
        <v>12.299999999999999</v>
      </c>
      <c r="AV4" s="7">
        <f>IF(SUM(AI4:AL4)-AM4&gt;0,SUM(AI4:AL4)-AM4,"")</f>
        <v>49.23</v>
      </c>
      <c r="AW4" s="7">
        <f>IF(SUM(AT4,AV4)&gt;0,SUM(AT4,AV4),"")</f>
        <v>127.63</v>
      </c>
      <c r="AX4" s="31">
        <v>16.8</v>
      </c>
      <c r="AY4" s="31">
        <v>9.6999999999999993</v>
      </c>
      <c r="AZ4" s="31">
        <v>0</v>
      </c>
      <c r="BA4" s="31">
        <v>14.38</v>
      </c>
      <c r="BB4" s="31">
        <v>0</v>
      </c>
      <c r="BC4" s="31">
        <v>14.2</v>
      </c>
      <c r="BD4" s="31">
        <v>9.3000000000000007</v>
      </c>
      <c r="BE4" s="31">
        <v>12.3</v>
      </c>
      <c r="BF4" s="31">
        <v>13.85</v>
      </c>
      <c r="BG4" s="31">
        <v>0</v>
      </c>
      <c r="BH4" s="31"/>
      <c r="BI4" s="31"/>
      <c r="BJ4" s="31"/>
      <c r="BK4" s="31"/>
      <c r="BL4" s="31"/>
      <c r="BM4" s="31">
        <v>14.7</v>
      </c>
      <c r="BN4" s="31">
        <v>9.8000000000000007</v>
      </c>
      <c r="BO4" s="31">
        <v>12.3</v>
      </c>
      <c r="BP4" s="31">
        <v>13.88</v>
      </c>
      <c r="BQ4" s="31">
        <v>0</v>
      </c>
      <c r="BR4" s="33"/>
      <c r="BS4" s="9">
        <f>IF(SUM(AX4:BA4)-BB4&gt;0,SUM(AX4:BA4)-BB4,"")</f>
        <v>40.880000000000003</v>
      </c>
      <c r="BT4" s="9">
        <f>IF(BE4&gt;0,BE4,"")</f>
        <v>12.3</v>
      </c>
      <c r="BU4" s="9">
        <f>IF(SUM(BC4:BF4)-BG4&gt;0,SUM(BC4:BF4)-BG4,"")</f>
        <v>49.65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90.53</v>
      </c>
      <c r="BY4" s="9">
        <f>IF(BO4&gt;0,BO4,"")</f>
        <v>12.3</v>
      </c>
      <c r="BZ4" s="9">
        <f>IF(SUM(BM4:BP4)-BQ4&gt;0,SUM(BM4:BP4)-BQ4,"")</f>
        <v>50.68</v>
      </c>
      <c r="CA4" s="9">
        <f>IF(SUM(BX4,BZ4)&gt;0,SUM(BX4,BZ4),"")</f>
        <v>141.21</v>
      </c>
      <c r="CB4" s="27">
        <v>13.1</v>
      </c>
      <c r="CC4" s="27">
        <v>7.2</v>
      </c>
      <c r="CD4" s="27">
        <v>0</v>
      </c>
      <c r="CE4" s="27">
        <v>11.49</v>
      </c>
      <c r="CF4" s="27">
        <v>2</v>
      </c>
      <c r="CG4" s="27">
        <v>14</v>
      </c>
      <c r="CH4" s="27">
        <v>8.9</v>
      </c>
      <c r="CI4" s="27">
        <v>9</v>
      </c>
      <c r="CJ4" s="27">
        <v>13.53</v>
      </c>
      <c r="CK4" s="27">
        <v>0.5</v>
      </c>
      <c r="CL4" s="27"/>
      <c r="CM4" s="27"/>
      <c r="CN4" s="27"/>
      <c r="CO4" s="27"/>
      <c r="CP4" s="27"/>
      <c r="CQ4" s="27">
        <v>15.5</v>
      </c>
      <c r="CR4" s="27">
        <v>9.1</v>
      </c>
      <c r="CS4" s="27">
        <v>11.4</v>
      </c>
      <c r="CT4" s="27">
        <v>13.67</v>
      </c>
      <c r="CU4" s="27">
        <v>0</v>
      </c>
      <c r="CV4" s="32"/>
      <c r="CW4" s="7">
        <f>IF(SUM(CB4:CE4)-CF4&gt;0,SUM(CB4:CE4)-CF4,"")</f>
        <v>29.79</v>
      </c>
      <c r="CX4" s="7">
        <f>IF(CI4&gt;0,CI4,"")</f>
        <v>9</v>
      </c>
      <c r="CY4" s="7">
        <f>IF(SUM(CG4:CJ4)-CK4&gt;0,SUM(CG4:CJ4)-CK4,"")</f>
        <v>44.93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74.72</v>
      </c>
      <c r="DC4" s="7">
        <f>IF(CS4&gt;0,CS4,"")</f>
        <v>11.4</v>
      </c>
      <c r="DD4" s="7">
        <f>IF(SUM(CQ4:CT4)-CU4&gt;0,SUM(CQ4:CT4)-CU4,"")</f>
        <v>49.67</v>
      </c>
      <c r="DE4" s="7">
        <f>IF(SUM(DB4,DD4)&gt;0,SUM(DB4,DD4),"")</f>
        <v>124.39</v>
      </c>
      <c r="DF4" s="13">
        <f>IF(MAX(DZ4,EV4,FR4,GN4,HJ4,IF4,JB4,JX4,KT4,LP4,ML4,NH4)-IF(K4="",0,K4)&gt;0.001,MAX(DZ4,EV4,FR4,GN4,HJ4,IF4,JB4,JX4,KT4,LP4,ML4,NH4)-IF(K4="",0,K4),"")</f>
        <v>0.34000000000000341</v>
      </c>
      <c r="DG4" s="13">
        <f>IF(MAX(EA4,EW4,FS4,GO4,HK4,IG4,JC4,JY4,KU4,LQ4,MM4,NI4)-IF(M4="",0,M4)&gt;0.001,MAX(EA4,EW4,FS4,GO4,HK4,IG4,JC4,JY4,KU4,LQ4,MM4,NI4)-IF(M4="",0,M4),"")</f>
        <v>4.9100000000000037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15.5</v>
      </c>
      <c r="DK4" s="18">
        <v>9.1999999999999993</v>
      </c>
      <c r="DL4" s="18">
        <v>0</v>
      </c>
      <c r="DM4" s="18">
        <v>14.38</v>
      </c>
      <c r="DN4" s="18">
        <v>0</v>
      </c>
      <c r="DO4" s="18">
        <v>12.6</v>
      </c>
      <c r="DP4" s="18">
        <v>8.8000000000000007</v>
      </c>
      <c r="DQ4" s="18">
        <v>11.4</v>
      </c>
      <c r="DR4" s="18">
        <v>13.72</v>
      </c>
      <c r="DS4" s="18">
        <v>0</v>
      </c>
      <c r="DT4" s="18"/>
      <c r="DU4" s="18"/>
      <c r="DV4" s="18"/>
      <c r="DW4" s="18"/>
      <c r="DX4" s="18"/>
      <c r="DY4" s="7">
        <f>IF(DQ4&gt;0,DQ4,"")</f>
        <v>11.4</v>
      </c>
      <c r="DZ4" s="7">
        <f>IF(SUM(DJ4:DM4)-DN4&gt;0,SUM(DJ4:DM4)-DN4,"")</f>
        <v>39.08</v>
      </c>
      <c r="EA4" s="7">
        <f>IF(SUM(DO4:DR4)-DS4&gt;0,SUM(DO4:DR4)-DS4,"")</f>
        <v>46.519999999999996</v>
      </c>
      <c r="EB4" s="7">
        <f>IF(SUM(DZ4:EA4)&gt;0,SUM(DZ4:EA4),"")</f>
        <v>85.6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85.6</v>
      </c>
      <c r="EF4" s="19">
        <v>16.600000000000001</v>
      </c>
      <c r="EG4" s="19">
        <v>9.6999999999999993</v>
      </c>
      <c r="EH4" s="19">
        <v>0</v>
      </c>
      <c r="EI4" s="19">
        <v>14.32</v>
      </c>
      <c r="EJ4" s="19">
        <v>0</v>
      </c>
      <c r="EK4" s="19">
        <v>14.3</v>
      </c>
      <c r="EL4" s="19">
        <v>9.3000000000000007</v>
      </c>
      <c r="EM4" s="19">
        <v>12.3</v>
      </c>
      <c r="EN4" s="19">
        <v>13.94</v>
      </c>
      <c r="EO4" s="19">
        <v>0</v>
      </c>
      <c r="EP4" s="19">
        <v>10.1</v>
      </c>
      <c r="EQ4" s="19">
        <v>6.4</v>
      </c>
      <c r="ER4" s="19">
        <v>8.4</v>
      </c>
      <c r="ES4" s="19">
        <v>9.75</v>
      </c>
      <c r="ET4" s="19">
        <v>0</v>
      </c>
      <c r="EU4" s="9">
        <f>IF(EM4&gt;0,EM4,"")</f>
        <v>12.3</v>
      </c>
      <c r="EV4" s="9">
        <f>IF(SUM(EF4:EI4)-EJ4&gt;0,SUM(EF4:EI4)-EJ4,"")</f>
        <v>40.620000000000005</v>
      </c>
      <c r="EW4" s="9">
        <f>IF(SUM(EK4:EN4)-EO4&gt;0,SUM(EK4:EN4)-EO4,"")</f>
        <v>49.84</v>
      </c>
      <c r="EX4" s="9">
        <f>IF(SUM(EV4:EW4)&gt;0,SUM(EV4:EW4),"")</f>
        <v>90.460000000000008</v>
      </c>
      <c r="EY4" s="9">
        <f>IF(ER4&gt;0,ER4,"")</f>
        <v>8.4</v>
      </c>
      <c r="EZ4" s="9">
        <f>IF(SUM(EP4:ES4)-ET4&gt;0,SUM(EP4:ES4)-ET4,"")</f>
        <v>34.65</v>
      </c>
      <c r="FA4" s="9">
        <f>IF(SUM(EX4,EZ4)&gt;0,SUM(EX4,EZ4),"")</f>
        <v>125.11000000000001</v>
      </c>
      <c r="FB4" s="18">
        <v>16.3</v>
      </c>
      <c r="FC4" s="18">
        <v>9.5</v>
      </c>
      <c r="FD4" s="18">
        <v>0</v>
      </c>
      <c r="FE4" s="18">
        <v>14.43</v>
      </c>
      <c r="FF4" s="18">
        <v>0</v>
      </c>
      <c r="FG4" s="18">
        <v>14.1</v>
      </c>
      <c r="FH4" s="18">
        <v>9.4</v>
      </c>
      <c r="FI4" s="18">
        <v>10.7</v>
      </c>
      <c r="FJ4" s="18">
        <v>14.18</v>
      </c>
      <c r="FK4" s="18">
        <v>0</v>
      </c>
      <c r="FL4" s="18">
        <v>14.7</v>
      </c>
      <c r="FM4" s="18">
        <v>9.3000000000000007</v>
      </c>
      <c r="FN4" s="18">
        <v>11.6</v>
      </c>
      <c r="FO4" s="18">
        <v>14.18</v>
      </c>
      <c r="FP4" s="18">
        <v>0</v>
      </c>
      <c r="FQ4" s="7">
        <f>IF(FI4&gt;0,FI4,"")</f>
        <v>10.7</v>
      </c>
      <c r="FR4" s="7">
        <f>IF(SUM(FB4:FE4)-FF4&gt;0,SUM(FB4:FE4)-FF4,"")</f>
        <v>40.230000000000004</v>
      </c>
      <c r="FS4" s="7">
        <f>IF(SUM(FG4:FJ4)-FK4&gt;0,SUM(FG4:FJ4)-FK4,"")</f>
        <v>48.38</v>
      </c>
      <c r="FT4" s="7">
        <f>IF(SUM(FR4:FS4)&gt;0,SUM(FR4:FS4),"")</f>
        <v>88.610000000000014</v>
      </c>
      <c r="FU4" s="7">
        <f>IF(FN4&gt;0,FN4,"")</f>
        <v>11.6</v>
      </c>
      <c r="FV4" s="7">
        <f>IF(SUM(FL4:FO4)-FP4&gt;0,SUM(FL4:FO4)-FP4,"")</f>
        <v>49.78</v>
      </c>
      <c r="FW4" s="7">
        <f>IF(SUM(FT4,FV4)&gt;0,SUM(FT4,FV4),"")</f>
        <v>138.39000000000001</v>
      </c>
      <c r="FX4" s="19">
        <v>16.100000000000001</v>
      </c>
      <c r="FY4" s="19">
        <v>9.8000000000000007</v>
      </c>
      <c r="FZ4" s="19">
        <v>0</v>
      </c>
      <c r="GA4" s="19">
        <v>14.11</v>
      </c>
      <c r="GB4" s="19">
        <v>0</v>
      </c>
      <c r="GC4" s="19">
        <v>1.4</v>
      </c>
      <c r="GD4" s="19">
        <v>0.7</v>
      </c>
      <c r="GE4" s="19">
        <v>1.5</v>
      </c>
      <c r="GF4" s="19">
        <v>1.46</v>
      </c>
      <c r="GG4" s="19">
        <v>0</v>
      </c>
      <c r="GH4" s="19"/>
      <c r="GI4" s="19"/>
      <c r="GJ4" s="19"/>
      <c r="GK4" s="19"/>
      <c r="GL4" s="19"/>
      <c r="GM4" s="9">
        <f>IF(GE4&gt;0,GE4,"")</f>
        <v>1.5</v>
      </c>
      <c r="GN4" s="9">
        <f>IF(SUM(FX4:GA4)-GB4&gt;0,SUM(FX4:GA4)-GB4,"")</f>
        <v>40.010000000000005</v>
      </c>
      <c r="GO4" s="9">
        <f>IF(SUM(GC4:GF4)-GG4&gt;0,SUM(GC4:GF4)-GG4,"")</f>
        <v>5.0599999999999996</v>
      </c>
      <c r="GP4" s="9">
        <f>IF(SUM(GN4:GO4)&gt;0,SUM(GN4:GO4),"")</f>
        <v>45.070000000000007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45.070000000000007</v>
      </c>
      <c r="GT4" s="18">
        <v>15.4</v>
      </c>
      <c r="GU4" s="18">
        <v>8.8000000000000007</v>
      </c>
      <c r="GV4" s="18">
        <v>0</v>
      </c>
      <c r="GW4" s="18">
        <v>14.17</v>
      </c>
      <c r="GX4" s="18">
        <v>0</v>
      </c>
      <c r="GY4" s="18">
        <v>12.6</v>
      </c>
      <c r="GZ4" s="18">
        <v>9</v>
      </c>
      <c r="HA4" s="18">
        <v>9.1999999999999993</v>
      </c>
      <c r="HB4" s="18">
        <v>13.66</v>
      </c>
      <c r="HC4" s="18">
        <v>0</v>
      </c>
      <c r="HD4" s="18"/>
      <c r="HE4" s="18"/>
      <c r="HF4" s="18"/>
      <c r="HG4" s="18"/>
      <c r="HH4" s="18"/>
      <c r="HI4" s="7">
        <f>IF(HA4&gt;0,HA4,"")</f>
        <v>9.1999999999999993</v>
      </c>
      <c r="HJ4" s="7">
        <f>IF(SUM(GT4:GW4)-GX4&gt;0,SUM(GT4:GW4)-GX4,"")</f>
        <v>38.370000000000005</v>
      </c>
      <c r="HK4" s="7">
        <f>IF(SUM(GY4:HB4)-HC4&gt;0,SUM(GY4:HB4)-HC4,"")</f>
        <v>44.46</v>
      </c>
      <c r="HL4" s="7">
        <f>IF(SUM(HJ4:HK4)&gt;0,SUM(HJ4:HK4),"")</f>
        <v>82.830000000000013</v>
      </c>
      <c r="HM4" s="7" t="str">
        <f>IF(HF4&gt;0,HF4,"")</f>
        <v/>
      </c>
      <c r="HN4" s="7" t="str">
        <f>IF(SUM(HD4:HG4)-HH4&gt;0,SUM(HD4:HG4)-HH4,"")</f>
        <v/>
      </c>
      <c r="HO4" s="7">
        <f>IF(SUM(HL4,HN4)&gt;0,SUM(HL4,HN4),"")</f>
        <v>82.830000000000013</v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14.95</v>
      </c>
      <c r="NO4" s="27">
        <f>IF($CV4="P",CC4,(CC4+AY4)/2)</f>
        <v>8.4499999999999993</v>
      </c>
      <c r="NP4" s="27">
        <f>IF($CV4="P",CD4,(CD4+AZ4)/2)</f>
        <v>0</v>
      </c>
      <c r="NQ4" s="27">
        <f>IF($CV4="P",CE4,(CE4+BA4)/2)</f>
        <v>12.935</v>
      </c>
      <c r="NR4" s="27">
        <f>IF($CV4="P",CF4,(CF4+BB4)/2)</f>
        <v>1</v>
      </c>
      <c r="NS4" s="27">
        <f>IF($CV4="P",CG4,(CG4+BC4)/2)</f>
        <v>14.1</v>
      </c>
      <c r="NT4" s="27">
        <f>IF($CV4="P",CH4,(CH4+BD4)/2)</f>
        <v>9.1000000000000014</v>
      </c>
      <c r="NU4" s="27">
        <f>IF($CV4="P",CI4,(CI4+BE4)/2)</f>
        <v>10.65</v>
      </c>
      <c r="NV4" s="27">
        <f>IF($CV4="P",CJ4,(CJ4+BF4)/2)</f>
        <v>13.69</v>
      </c>
      <c r="NW4" s="27">
        <f>IF($CV4="P",CK4,(CK4+BG4)/2)</f>
        <v>0.25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15.1</v>
      </c>
      <c r="OD4" s="27">
        <f>IF($CV4="P",CR4,(CR4+BN4)/2)</f>
        <v>9.4499999999999993</v>
      </c>
      <c r="OE4" s="27">
        <f>IF($CV4="P",CS4,(CS4+BO4)/2)</f>
        <v>11.850000000000001</v>
      </c>
      <c r="OF4" s="27">
        <f>IF($CV4="P",CT4,(CT4+BP4)/2)</f>
        <v>13.775</v>
      </c>
      <c r="OG4" s="27">
        <f>IF($CV4="P",CU4,(CU4+BQ4)/2)</f>
        <v>0</v>
      </c>
      <c r="OH4" s="32" t="s">
        <v>44</v>
      </c>
      <c r="OI4" s="7">
        <f>IF(SUM(NN4:NQ4)-NR4&gt;0,SUM(NN4:NQ4)-NR4,"")</f>
        <v>35.335000000000001</v>
      </c>
      <c r="OJ4" s="7">
        <f>IF(NU4&gt;0,NU4,"")</f>
        <v>10.65</v>
      </c>
      <c r="OK4" s="7">
        <f>IF(SUM(NS4:NV4)-NW4&gt;0,SUM(NS4:NV4)-NW4,"")</f>
        <v>47.29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82.625</v>
      </c>
      <c r="OO4" s="7">
        <f>IF(OE4&gt;0,OE4,"")</f>
        <v>11.850000000000001</v>
      </c>
      <c r="OP4" s="7">
        <f t="shared" ref="OP4" si="0">IF(SUM(OC4:OF4)-OG4&gt;0,SUM(OC4:OF4)-OG4,"")</f>
        <v>50.174999999999997</v>
      </c>
      <c r="OQ4" s="7">
        <f t="shared" ref="OQ4" si="1">IF(SUM(ON4,OP4)&gt;0,SUM(ON4,OP4),"")</f>
        <v>132.80000000000001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87</v>
      </c>
      <c r="C5" s="4" t="s">
        <v>3</v>
      </c>
      <c r="D5" s="4">
        <v>2009</v>
      </c>
      <c r="E5" s="10">
        <f>SUM(I5:Q5)</f>
        <v>229.29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>P</v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National Team</v>
      </c>
      <c r="I5" s="9">
        <f>IF(MAX(AT5,BX5,DB5)&gt;0,MAX(AT5,BX5,DB5),0)</f>
        <v>88.990000000000009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40.83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48.47</v>
      </c>
      <c r="P5" s="9" t="str">
        <f>IF(O5=0,"",IF(O5=DD5,$CB$1,IF(O5=BZ5,$AX$1,IF(O5=AV5,$T$1,""))))</f>
        <v>2024 Elite Canada</v>
      </c>
      <c r="Q5" s="9">
        <f>IF(MAX(DF5,DG5,DH5,DI5)&gt;0,MAX(DF5,DG5,DH5,DI5),"")</f>
        <v>9.3199999999999932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Pacific Rim (April 23)</v>
      </c>
      <c r="T5" s="27">
        <v>17.399999999999999</v>
      </c>
      <c r="U5" s="27">
        <v>9.4</v>
      </c>
      <c r="V5" s="27">
        <v>0</v>
      </c>
      <c r="W5" s="27">
        <v>14.88</v>
      </c>
      <c r="X5" s="27">
        <v>0</v>
      </c>
      <c r="Y5" s="27">
        <v>12.2</v>
      </c>
      <c r="Z5" s="27">
        <v>8.3000000000000007</v>
      </c>
      <c r="AA5" s="27">
        <v>7.1999999999999993</v>
      </c>
      <c r="AB5" s="27">
        <v>13.13</v>
      </c>
      <c r="AC5" s="27">
        <v>0</v>
      </c>
      <c r="AD5" s="27"/>
      <c r="AE5" s="27"/>
      <c r="AF5" s="27"/>
      <c r="AG5" s="27"/>
      <c r="AH5" s="27"/>
      <c r="AI5" s="27">
        <v>14.3</v>
      </c>
      <c r="AJ5" s="27">
        <v>9.1</v>
      </c>
      <c r="AK5" s="27">
        <v>10.299999999999999</v>
      </c>
      <c r="AL5" s="27">
        <v>14.3</v>
      </c>
      <c r="AM5" s="27">
        <v>0</v>
      </c>
      <c r="AN5" s="32"/>
      <c r="AO5" s="7">
        <f>IF(SUM(T5:W5)-X5&gt;0,SUM(T5:W5)-X5,"")</f>
        <v>41.68</v>
      </c>
      <c r="AP5" s="7">
        <f>IF(AA5&gt;0,AA5,"")</f>
        <v>7.1999999999999993</v>
      </c>
      <c r="AQ5" s="7">
        <f>IF(SUM(Y5:AB5)-AC5&gt;0,SUM(Y5:AB5)-AC5,"")</f>
        <v>40.83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82.509999999999991</v>
      </c>
      <c r="AU5" s="7">
        <f>IF(AK5&gt;0,AK5,"")</f>
        <v>10.299999999999999</v>
      </c>
      <c r="AV5" s="7">
        <f>IF(SUM(AI5:AL5)-AM5&gt;0,SUM(AI5:AL5)-AM5,"")</f>
        <v>48</v>
      </c>
      <c r="AW5" s="7">
        <f>IF(SUM(AT5,AV5)&gt;0,SUM(AT5,AV5),"")</f>
        <v>130.51</v>
      </c>
      <c r="AX5" s="31">
        <v>16.100000000000001</v>
      </c>
      <c r="AY5" s="31">
        <v>9.5</v>
      </c>
      <c r="AZ5" s="31">
        <v>0</v>
      </c>
      <c r="BA5" s="31">
        <v>14.72</v>
      </c>
      <c r="BB5" s="31">
        <v>0</v>
      </c>
      <c r="BC5" s="31">
        <v>14.4</v>
      </c>
      <c r="BD5" s="31">
        <v>8.9</v>
      </c>
      <c r="BE5" s="31">
        <v>11.2</v>
      </c>
      <c r="BF5" s="31">
        <v>14.17</v>
      </c>
      <c r="BG5" s="31">
        <v>0</v>
      </c>
      <c r="BH5" s="31"/>
      <c r="BI5" s="31"/>
      <c r="BJ5" s="31"/>
      <c r="BK5" s="31"/>
      <c r="BL5" s="31"/>
      <c r="BM5" s="31">
        <v>14.4</v>
      </c>
      <c r="BN5" s="31">
        <v>9.1999999999999993</v>
      </c>
      <c r="BO5" s="31">
        <v>10.5</v>
      </c>
      <c r="BP5" s="31">
        <v>14.37</v>
      </c>
      <c r="BQ5" s="31">
        <v>0</v>
      </c>
      <c r="BR5" s="33"/>
      <c r="BS5" s="9">
        <f>IF(SUM(AX5:BA5)-BB5&gt;0,SUM(AX5:BA5)-BB5,"")</f>
        <v>40.32</v>
      </c>
      <c r="BT5" s="9">
        <f>IF(BE5&gt;0,BE5,"")</f>
        <v>11.2</v>
      </c>
      <c r="BU5" s="9">
        <f>IF(SUM(BC5:BF5)-BG5&gt;0,SUM(BC5:BF5)-BG5,"")</f>
        <v>48.67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88.990000000000009</v>
      </c>
      <c r="BY5" s="9">
        <f>IF(BO5&gt;0,BO5,"")</f>
        <v>10.5</v>
      </c>
      <c r="BZ5" s="9">
        <f>IF(SUM(BM5:BP5)-BQ5&gt;0,SUM(BM5:BP5)-BQ5,"")</f>
        <v>48.47</v>
      </c>
      <c r="CA5" s="9">
        <f>IF(SUM(BX5,BZ5)&gt;0,SUM(BX5,BZ5),"")</f>
        <v>137.46</v>
      </c>
      <c r="CB5" s="27">
        <v>16.8</v>
      </c>
      <c r="CC5" s="27">
        <v>9.1</v>
      </c>
      <c r="CD5" s="27">
        <v>0</v>
      </c>
      <c r="CE5" s="27">
        <v>14.92</v>
      </c>
      <c r="CF5" s="27">
        <v>0</v>
      </c>
      <c r="CG5" s="27">
        <v>4.5</v>
      </c>
      <c r="CH5" s="27">
        <v>2.8</v>
      </c>
      <c r="CI5" s="27">
        <v>4.2</v>
      </c>
      <c r="CJ5" s="27">
        <v>4.49</v>
      </c>
      <c r="CK5" s="27">
        <v>0</v>
      </c>
      <c r="CL5" s="27"/>
      <c r="CM5" s="27"/>
      <c r="CN5" s="27"/>
      <c r="CO5" s="27"/>
      <c r="CP5" s="27"/>
      <c r="CQ5" s="27">
        <v>14.8</v>
      </c>
      <c r="CR5" s="27">
        <v>9.1</v>
      </c>
      <c r="CS5" s="27">
        <v>10.4</v>
      </c>
      <c r="CT5" s="27">
        <v>13.82</v>
      </c>
      <c r="CU5" s="27">
        <v>0</v>
      </c>
      <c r="CV5" s="32"/>
      <c r="CW5" s="7">
        <f>IF(SUM(CB5:CE5)-CF5&gt;0,SUM(CB5:CE5)-CF5,"")</f>
        <v>40.82</v>
      </c>
      <c r="CX5" s="7">
        <f>IF(CI5&gt;0,CI5,"")</f>
        <v>4.2</v>
      </c>
      <c r="CY5" s="7">
        <f>IF(SUM(CG5:CJ5)-CK5&gt;0,SUM(CG5:CJ5)-CK5,"")</f>
        <v>15.99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56.81</v>
      </c>
      <c r="DC5" s="7">
        <f>IF(CS5&gt;0,CS5,"")</f>
        <v>10.4</v>
      </c>
      <c r="DD5" s="7">
        <f>IF(SUM(CQ5:CT5)-CU5&gt;0,SUM(CQ5:CT5)-CU5,"")</f>
        <v>48.12</v>
      </c>
      <c r="DE5" s="7">
        <f>IF(SUM(DB5,DD5)&gt;0,SUM(DB5,DD5),"")</f>
        <v>104.93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9.3199999999999932</v>
      </c>
      <c r="DH5" s="13">
        <f>IF(MAX(EB5,EX5,FT5,GP5,HL5,IH5,JD5,JZ5,KV5,LR5,MN5,NJ5)-IF(I5="",0,I5)&gt;0.001,MAX(EB5,EX5,FT5,GP5,HL5,IH5,JD5,JZ5,KV5,LR5,MN5,NJ5)-IF(I5="",0,I5),"")</f>
        <v>1.6299999999999812</v>
      </c>
      <c r="DI5" s="13">
        <f>IF(MAX(ED5,EZ5,FV5,GR5,HN5,IJ5,JF5,KB5,KX5,LT5,MP5,NL5)-IF(O5="",0,O5)&gt;0.001,MAX(ED5,EZ5,FV5,GR5,HN5,IJ5,JF5,KB5,KX5,LT5,MP5,NL5)-IF(O5="",0,O5),"")</f>
        <v>0.82999999999999829</v>
      </c>
      <c r="DJ5" s="18">
        <v>14.8</v>
      </c>
      <c r="DK5" s="18">
        <v>9.5</v>
      </c>
      <c r="DL5" s="18">
        <v>0</v>
      </c>
      <c r="DM5" s="18">
        <v>14.73</v>
      </c>
      <c r="DN5" s="18">
        <v>0</v>
      </c>
      <c r="DO5" s="18">
        <v>14</v>
      </c>
      <c r="DP5" s="18">
        <v>9.3000000000000007</v>
      </c>
      <c r="DQ5" s="18">
        <v>10.5</v>
      </c>
      <c r="DR5" s="18">
        <v>14.13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39.03</v>
      </c>
      <c r="EA5" s="7">
        <f>IF(SUM(DO5:DR5)-DS5&gt;0,SUM(DO5:DR5)-DS5,"")</f>
        <v>47.93</v>
      </c>
      <c r="EB5" s="7">
        <f>IF(SUM(DZ5:EA5)&gt;0,SUM(DZ5:EA5),"")</f>
        <v>86.960000000000008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86.960000000000008</v>
      </c>
      <c r="EF5" s="19">
        <v>16.3</v>
      </c>
      <c r="EG5" s="19">
        <v>9.3000000000000007</v>
      </c>
      <c r="EH5" s="19">
        <v>0</v>
      </c>
      <c r="EI5" s="19">
        <v>14.87</v>
      </c>
      <c r="EJ5" s="19">
        <v>0</v>
      </c>
      <c r="EK5" s="19">
        <v>14.9</v>
      </c>
      <c r="EL5" s="19">
        <v>9.5</v>
      </c>
      <c r="EM5" s="19">
        <v>11.2</v>
      </c>
      <c r="EN5" s="19">
        <v>14.55</v>
      </c>
      <c r="EO5" s="19">
        <v>0</v>
      </c>
      <c r="EP5" s="19">
        <v>14.9</v>
      </c>
      <c r="EQ5" s="19">
        <v>8.9</v>
      </c>
      <c r="ER5" s="19">
        <v>11.2</v>
      </c>
      <c r="ES5" s="19">
        <v>14.3</v>
      </c>
      <c r="ET5" s="19">
        <v>0</v>
      </c>
      <c r="EU5" s="9">
        <f>IF(EM5&gt;0,EM5,"")</f>
        <v>11.2</v>
      </c>
      <c r="EV5" s="9">
        <f>IF(SUM(EF5:EI5)-EJ5&gt;0,SUM(EF5:EI5)-EJ5,"")</f>
        <v>40.47</v>
      </c>
      <c r="EW5" s="9">
        <f>IF(SUM(EK5:EN5)-EO5&gt;0,SUM(EK5:EN5)-EO5,"")</f>
        <v>50.149999999999991</v>
      </c>
      <c r="EX5" s="9">
        <f>IF(SUM(EV5:EW5)&gt;0,SUM(EV5:EW5),"")</f>
        <v>90.61999999999999</v>
      </c>
      <c r="EY5" s="9">
        <f>IF(ER5&gt;0,ER5,"")</f>
        <v>11.2</v>
      </c>
      <c r="EZ5" s="9">
        <f>IF(SUM(EP5:ES5)-ET5&gt;0,SUM(EP5:ES5)-ET5,"")</f>
        <v>49.3</v>
      </c>
      <c r="FA5" s="9">
        <f>IF(SUM(EX5,EZ5)&gt;0,SUM(EX5,EZ5),"")</f>
        <v>139.91999999999999</v>
      </c>
      <c r="FB5" s="18">
        <v>15.4</v>
      </c>
      <c r="FC5" s="18">
        <v>9.5</v>
      </c>
      <c r="FD5" s="18">
        <v>0</v>
      </c>
      <c r="FE5" s="18">
        <v>15.38</v>
      </c>
      <c r="FF5" s="18">
        <v>0</v>
      </c>
      <c r="FG5" s="18">
        <v>13.8</v>
      </c>
      <c r="FH5" s="18">
        <v>9.6</v>
      </c>
      <c r="FI5" s="18">
        <v>10.7</v>
      </c>
      <c r="FJ5" s="18">
        <v>14.51</v>
      </c>
      <c r="FK5" s="18">
        <v>0</v>
      </c>
      <c r="FL5" s="18">
        <v>4.5999999999999996</v>
      </c>
      <c r="FM5" s="18">
        <v>2.7</v>
      </c>
      <c r="FN5" s="18">
        <v>3.6</v>
      </c>
      <c r="FO5" s="18">
        <v>4.51</v>
      </c>
      <c r="FP5" s="18">
        <v>0</v>
      </c>
      <c r="FQ5" s="7">
        <f>IF(FI5&gt;0,FI5,"")</f>
        <v>10.7</v>
      </c>
      <c r="FR5" s="7">
        <f>IF(SUM(FB5:FE5)-FF5&gt;0,SUM(FB5:FE5)-FF5,"")</f>
        <v>40.28</v>
      </c>
      <c r="FS5" s="7">
        <f>IF(SUM(FG5:FJ5)-FK5&gt;0,SUM(FG5:FJ5)-FK5,"")</f>
        <v>48.609999999999992</v>
      </c>
      <c r="FT5" s="7">
        <f>IF(SUM(FR5:FS5)&gt;0,SUM(FR5:FS5),"")</f>
        <v>88.889999999999986</v>
      </c>
      <c r="FU5" s="7">
        <f>IF(FN5&gt;0,FN5,"")</f>
        <v>3.6</v>
      </c>
      <c r="FV5" s="7">
        <f>IF(SUM(FL5:FO5)-FP5&gt;0,SUM(FL5:FO5)-FP5,"")</f>
        <v>15.41</v>
      </c>
      <c r="FW5" s="7">
        <f>IF(SUM(FT5,FV5)&gt;0,SUM(FT5,FV5),"")</f>
        <v>104.29999999999998</v>
      </c>
      <c r="FX5" s="19">
        <v>16.399999999999999</v>
      </c>
      <c r="FY5" s="19">
        <v>9.5</v>
      </c>
      <c r="FZ5" s="19">
        <v>0</v>
      </c>
      <c r="GA5" s="19">
        <v>15.16</v>
      </c>
      <c r="GB5" s="19">
        <v>0</v>
      </c>
      <c r="GC5" s="19">
        <v>1.4</v>
      </c>
      <c r="GD5" s="19">
        <v>0.8</v>
      </c>
      <c r="GE5" s="19">
        <v>1.5</v>
      </c>
      <c r="GF5" s="19">
        <v>1.56</v>
      </c>
      <c r="GG5" s="19">
        <v>0</v>
      </c>
      <c r="GH5" s="19"/>
      <c r="GI5" s="19"/>
      <c r="GJ5" s="19"/>
      <c r="GK5" s="19"/>
      <c r="GL5" s="19"/>
      <c r="GM5" s="9">
        <f>IF(GE5&gt;0,GE5,"")</f>
        <v>1.5</v>
      </c>
      <c r="GN5" s="9">
        <f>IF(SUM(FX5:GA5)-GB5&gt;0,SUM(FX5:GA5)-GB5,"")</f>
        <v>41.06</v>
      </c>
      <c r="GO5" s="9">
        <f>IF(SUM(GC5:GF5)-GG5&gt;0,SUM(GC5:GF5)-GG5,"")</f>
        <v>5.26</v>
      </c>
      <c r="GP5" s="9">
        <f>IF(SUM(GN5:GO5)&gt;0,SUM(GN5:GO5),"")</f>
        <v>46.32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46.32</v>
      </c>
      <c r="GT5" s="18">
        <v>15.1</v>
      </c>
      <c r="GU5" s="18">
        <v>9.4</v>
      </c>
      <c r="GV5" s="18">
        <v>0</v>
      </c>
      <c r="GW5" s="18">
        <v>14.9</v>
      </c>
      <c r="GX5" s="18">
        <v>0</v>
      </c>
      <c r="GY5" s="18">
        <v>7.7</v>
      </c>
      <c r="GZ5" s="18">
        <v>4.7</v>
      </c>
      <c r="HA5" s="18">
        <v>5.2</v>
      </c>
      <c r="HB5" s="18">
        <v>7.51</v>
      </c>
      <c r="HC5" s="18">
        <v>0.2</v>
      </c>
      <c r="HD5" s="18"/>
      <c r="HE5" s="18"/>
      <c r="HF5" s="18"/>
      <c r="HG5" s="18"/>
      <c r="HH5" s="18"/>
      <c r="HI5" s="7">
        <f>IF(HA5&gt;0,HA5,"")</f>
        <v>5.2</v>
      </c>
      <c r="HJ5" s="7">
        <f>IF(SUM(GT5:GW5)-GX5&gt;0,SUM(GT5:GW5)-GX5,"")</f>
        <v>39.4</v>
      </c>
      <c r="HK5" s="7">
        <f>IF(SUM(GY5:HB5)-HC5&gt;0,SUM(GY5:HB5)-HC5,"")</f>
        <v>24.91</v>
      </c>
      <c r="HL5" s="7">
        <f>IF(SUM(HJ5:HK5)&gt;0,SUM(HJ5:HK5),"")</f>
        <v>64.31</v>
      </c>
      <c r="HM5" s="7" t="str">
        <f>IF(HF5&gt;0,HF5,"")</f>
        <v/>
      </c>
      <c r="HN5" s="7" t="str">
        <f>IF(SUM(HD5:HG5)-HH5&gt;0,SUM(HD5:HG5)-HH5,"")</f>
        <v/>
      </c>
      <c r="HO5" s="7">
        <f>IF(SUM(HL5,HN5)&gt;0,SUM(HL5,HN5),"")</f>
        <v>64.31</v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16.450000000000003</v>
      </c>
      <c r="NO5" s="27">
        <f>IF($CV5="P",CC5,(CC5+AY5)/2)</f>
        <v>9.3000000000000007</v>
      </c>
      <c r="NP5" s="27">
        <f>IF($CV5="P",CD5,(CD5+AZ5)/2)</f>
        <v>0</v>
      </c>
      <c r="NQ5" s="27">
        <f>IF($CV5="P",CE5,(CE5+BA5)/2)</f>
        <v>14.82</v>
      </c>
      <c r="NR5" s="27">
        <f>IF($CV5="P",CF5,(CF5+BB5)/2)</f>
        <v>0</v>
      </c>
      <c r="NS5" s="27">
        <f>IF($CV5="P",CG5,(CG5+BC5)/2)</f>
        <v>9.4499999999999993</v>
      </c>
      <c r="NT5" s="27">
        <f>IF($CV5="P",CH5,(CH5+BD5)/2)</f>
        <v>5.85</v>
      </c>
      <c r="NU5" s="27">
        <f>IF($CV5="P",CI5,(CI5+BE5)/2)</f>
        <v>7.6999999999999993</v>
      </c>
      <c r="NV5" s="27">
        <f>IF($CV5="P",CJ5,(CJ5+BF5)/2)</f>
        <v>9.33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14.600000000000001</v>
      </c>
      <c r="OD5" s="27">
        <f>IF($CV5="P",CR5,(CR5+BN5)/2)</f>
        <v>9.1499999999999986</v>
      </c>
      <c r="OE5" s="27">
        <f>IF($CV5="P",CS5,(CS5+BO5)/2)</f>
        <v>10.45</v>
      </c>
      <c r="OF5" s="27">
        <f>IF($CV5="P",CT5,(CT5+BP5)/2)</f>
        <v>14.094999999999999</v>
      </c>
      <c r="OG5" s="27">
        <f>IF($CV5="P",CU5,(CU5+BQ5)/2)</f>
        <v>0</v>
      </c>
      <c r="OH5" s="32" t="s">
        <v>44</v>
      </c>
      <c r="OI5" s="7">
        <f>IF(SUM(NN5:NQ5)-NR5&gt;0,SUM(NN5:NQ5)-NR5,"")</f>
        <v>40.570000000000007</v>
      </c>
      <c r="OJ5" s="7">
        <f>IF(NU5&gt;0,NU5,"")</f>
        <v>7.6999999999999993</v>
      </c>
      <c r="OK5" s="7">
        <f>IF(SUM(NS5:NV5)-NW5&gt;0,SUM(NS5:NV5)-NW5,"")</f>
        <v>32.33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72.900000000000006</v>
      </c>
      <c r="OO5" s="7">
        <f>IF(OE5&gt;0,OE5,"")</f>
        <v>10.45</v>
      </c>
      <c r="OP5" s="7">
        <f t="shared" ref="OP5" si="2">IF(SUM(OC5:OF5)-OG5&gt;0,SUM(OC5:OF5)-OG5,"")</f>
        <v>48.295000000000002</v>
      </c>
      <c r="OQ5" s="7">
        <f t="shared" ref="OQ5" si="3">IF(SUM(ON5,OP5)&gt;0,SUM(ON5,OP5),"")</f>
        <v>121.19500000000001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85</v>
      </c>
      <c r="C6" s="4" t="s">
        <v>68</v>
      </c>
      <c r="D6" s="4">
        <v>2009</v>
      </c>
      <c r="E6" s="10">
        <f>SUM(I6:Q6)</f>
        <v>224.17999999999998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87.740000000000009</v>
      </c>
      <c r="J6" s="9" t="str">
        <f>IF(I6=0,"",IF(I6=DB6,$CB$1,IF(I6=BX6,$AX$1,IF(I6=AT6,$T$1,""))))</f>
        <v>2024 Elite Canada</v>
      </c>
      <c r="K6" s="9">
        <f>IF($I6=$AT6,MAX(BS6,CW6),IF($I6=$BX6,MAX(AO6,CW6),IF($I6=$DB6,MAX(AO6,BS6),MAX(AO6,BS6,CW6))))</f>
        <v>40.1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47.3</v>
      </c>
      <c r="N6" s="9" t="str">
        <f>IF(M6=0,"",IF(AND(OR(M6=DA6,M6=CY6),$J6&lt;&gt;$CB$1),$CB$1,IF(AND(OR(M6=BW6,M6=BU6),$J6&lt;&gt;$AX$1),$AX$1,IF(AND(OR(M6=AS6,M6=AQ6),$J6&lt;&gt;$T$1),$T$1,""))))</f>
        <v>2023 3rd Domestic Trial</v>
      </c>
      <c r="O6" s="9">
        <f>MAX(AV6,BZ6,DD6)</f>
        <v>48.41</v>
      </c>
      <c r="P6" s="9" t="str">
        <f>IF(O6=0,"",IF(O6=DD6,$CB$1,IF(O6=BZ6,$AX$1,IF(O6=AV6,$T$1,""))))</f>
        <v>2024 Elite Canada</v>
      </c>
      <c r="Q6" s="9">
        <f>IF(MAX(DF6,DG6,DH6,DI6)&gt;0,MAX(DF6,DG6,DH6,DI6),"")</f>
        <v>0.63000000000000256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2024 Coimbra Gym Fest (July 7)</v>
      </c>
      <c r="T6" s="27">
        <v>16.5</v>
      </c>
      <c r="U6" s="27">
        <v>9.5</v>
      </c>
      <c r="V6" s="27">
        <v>0</v>
      </c>
      <c r="W6" s="27">
        <v>14.1</v>
      </c>
      <c r="X6" s="27">
        <v>0</v>
      </c>
      <c r="Y6" s="27">
        <v>13.5</v>
      </c>
      <c r="Z6" s="27">
        <v>9.1</v>
      </c>
      <c r="AA6" s="27">
        <v>10.999999999999998</v>
      </c>
      <c r="AB6" s="27">
        <v>13.7</v>
      </c>
      <c r="AC6" s="27">
        <v>0</v>
      </c>
      <c r="AD6" s="27"/>
      <c r="AE6" s="27"/>
      <c r="AF6" s="27"/>
      <c r="AG6" s="27"/>
      <c r="AH6" s="27"/>
      <c r="AI6" s="27">
        <v>12.8</v>
      </c>
      <c r="AJ6" s="27">
        <v>9.3000000000000007</v>
      </c>
      <c r="AK6" s="27">
        <v>10.999999999999998</v>
      </c>
      <c r="AL6" s="27">
        <v>13.25</v>
      </c>
      <c r="AM6" s="27">
        <v>0</v>
      </c>
      <c r="AN6" s="32"/>
      <c r="AO6" s="7">
        <f>IF(SUM(T6:W6)-X6&gt;0,SUM(T6:W6)-X6,"")</f>
        <v>40.1</v>
      </c>
      <c r="AP6" s="7">
        <f>IF(AA6&gt;0,AA6,"")</f>
        <v>10.999999999999998</v>
      </c>
      <c r="AQ6" s="7">
        <f>IF(SUM(Y6:AB6)-AC6&gt;0,SUM(Y6:AB6)-AC6,"")</f>
        <v>47.3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87.4</v>
      </c>
      <c r="AU6" s="7">
        <f>IF(AK6&gt;0,AK6,"")</f>
        <v>10.999999999999998</v>
      </c>
      <c r="AV6" s="7">
        <f>IF(SUM(AI6:AL6)-AM6&gt;0,SUM(AI6:AL6)-AM6,"")</f>
        <v>46.35</v>
      </c>
      <c r="AW6" s="7">
        <f>IF(SUM(AT6,AV6)&gt;0,SUM(AT6,AV6),"")</f>
        <v>133.75</v>
      </c>
      <c r="AX6" s="31">
        <v>15.5</v>
      </c>
      <c r="AY6" s="31">
        <v>9.6</v>
      </c>
      <c r="AZ6" s="31">
        <v>0</v>
      </c>
      <c r="BA6" s="31">
        <v>14.42</v>
      </c>
      <c r="BB6" s="31">
        <v>0</v>
      </c>
      <c r="BC6" s="31">
        <v>14.9</v>
      </c>
      <c r="BD6" s="31">
        <v>9.3000000000000007</v>
      </c>
      <c r="BE6" s="31">
        <v>10.3</v>
      </c>
      <c r="BF6" s="31">
        <v>13.72</v>
      </c>
      <c r="BG6" s="31">
        <v>0</v>
      </c>
      <c r="BH6" s="31"/>
      <c r="BI6" s="31"/>
      <c r="BJ6" s="31"/>
      <c r="BK6" s="31"/>
      <c r="BL6" s="31"/>
      <c r="BM6" s="31">
        <v>14.8</v>
      </c>
      <c r="BN6" s="31">
        <v>9.4</v>
      </c>
      <c r="BO6" s="31">
        <v>10.3</v>
      </c>
      <c r="BP6" s="31">
        <v>13.91</v>
      </c>
      <c r="BQ6" s="31">
        <v>0</v>
      </c>
      <c r="BR6" s="33"/>
      <c r="BS6" s="9">
        <f>IF(SUM(AX6:BA6)-BB6&gt;0,SUM(AX6:BA6)-BB6,"")</f>
        <v>39.520000000000003</v>
      </c>
      <c r="BT6" s="9">
        <f>IF(BE6&gt;0,BE6,"")</f>
        <v>10.3</v>
      </c>
      <c r="BU6" s="9">
        <f>IF(SUM(BC6:BF6)-BG6&gt;0,SUM(BC6:BF6)-BG6,"")</f>
        <v>48.22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87.740000000000009</v>
      </c>
      <c r="BY6" s="9">
        <f>IF(BO6&gt;0,BO6,"")</f>
        <v>10.3</v>
      </c>
      <c r="BZ6" s="9">
        <f>IF(SUM(BM6:BP6)-BQ6&gt;0,SUM(BM6:BP6)-BQ6,"")</f>
        <v>48.41</v>
      </c>
      <c r="CA6" s="9">
        <f>IF(SUM(BX6,BZ6)&gt;0,SUM(BX6,BZ6),"")</f>
        <v>136.15</v>
      </c>
      <c r="CB6" s="27">
        <v>15.8</v>
      </c>
      <c r="CC6" s="27">
        <v>9.6</v>
      </c>
      <c r="CD6" s="27">
        <v>0</v>
      </c>
      <c r="CE6" s="27">
        <v>14.54</v>
      </c>
      <c r="CF6" s="27">
        <v>0</v>
      </c>
      <c r="CG6" s="27">
        <v>8.3000000000000007</v>
      </c>
      <c r="CH6" s="27">
        <v>5.3</v>
      </c>
      <c r="CI6" s="27">
        <v>7.5</v>
      </c>
      <c r="CJ6" s="27">
        <v>8.4600000000000009</v>
      </c>
      <c r="CK6" s="27">
        <v>0</v>
      </c>
      <c r="CL6" s="27"/>
      <c r="CM6" s="27"/>
      <c r="CN6" s="27"/>
      <c r="CO6" s="27"/>
      <c r="CP6" s="27"/>
      <c r="CQ6" s="27">
        <v>12.1</v>
      </c>
      <c r="CR6" s="27">
        <v>9.1</v>
      </c>
      <c r="CS6" s="27">
        <v>10.7</v>
      </c>
      <c r="CT6" s="27">
        <v>13.6</v>
      </c>
      <c r="CU6" s="27">
        <v>0</v>
      </c>
      <c r="CV6" s="32"/>
      <c r="CW6" s="7">
        <f>IF(SUM(CB6:CE6)-CF6&gt;0,SUM(CB6:CE6)-CF6,"")</f>
        <v>39.94</v>
      </c>
      <c r="CX6" s="7">
        <f>IF(CI6&gt;0,CI6,"")</f>
        <v>7.5</v>
      </c>
      <c r="CY6" s="7">
        <f>IF(SUM(CG6:CJ6)-CK6&gt;0,SUM(CG6:CJ6)-CK6,"")</f>
        <v>29.560000000000002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69.5</v>
      </c>
      <c r="DC6" s="7">
        <f>IF(CS6&gt;0,CS6,"")</f>
        <v>10.7</v>
      </c>
      <c r="DD6" s="7">
        <f>IF(SUM(CQ6:CT6)-CU6&gt;0,SUM(CQ6:CT6)-CU6,"")</f>
        <v>45.5</v>
      </c>
      <c r="DE6" s="7">
        <f>IF(SUM(DB6,DD6)&gt;0,SUM(DB6,DD6),"")</f>
        <v>115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0.63000000000000256</v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>
        <v>14.7</v>
      </c>
      <c r="DK6" s="18">
        <v>9.5</v>
      </c>
      <c r="DL6" s="18">
        <v>0</v>
      </c>
      <c r="DM6" s="18">
        <v>14.59</v>
      </c>
      <c r="DN6" s="18">
        <v>0</v>
      </c>
      <c r="DO6" s="18">
        <v>12.8</v>
      </c>
      <c r="DP6" s="18">
        <v>9.3000000000000007</v>
      </c>
      <c r="DQ6" s="18">
        <v>9.6999999999999993</v>
      </c>
      <c r="DR6" s="18">
        <v>13.72</v>
      </c>
      <c r="DS6" s="18">
        <v>0</v>
      </c>
      <c r="DT6" s="18"/>
      <c r="DU6" s="18"/>
      <c r="DV6" s="18"/>
      <c r="DW6" s="18"/>
      <c r="DX6" s="18"/>
      <c r="DY6" s="7">
        <f>IF(DQ6&gt;0,DQ6,"")</f>
        <v>9.6999999999999993</v>
      </c>
      <c r="DZ6" s="7">
        <f>IF(SUM(DJ6:DM6)-DN6&gt;0,SUM(DJ6:DM6)-DN6,"")</f>
        <v>38.79</v>
      </c>
      <c r="EA6" s="7">
        <f>IF(SUM(DO6:DR6)-DS6&gt;0,SUM(DO6:DR6)-DS6,"")</f>
        <v>45.52</v>
      </c>
      <c r="EB6" s="7">
        <f>IF(SUM(DZ6:EA6)&gt;0,SUM(DZ6:EA6),"")</f>
        <v>84.31</v>
      </c>
      <c r="EC6" s="7" t="str">
        <f>IF(DV6&gt;0,DV6,"")</f>
        <v/>
      </c>
      <c r="ED6" s="7" t="str">
        <f>IF(SUM(DT6:DW6)-DX6&gt;0,SUM(DT6:DW6)-DX6,"")</f>
        <v/>
      </c>
      <c r="EE6" s="7">
        <f>IF(SUM(EB6,ED6)&gt;0,SUM(EB6,ED6),"")</f>
        <v>84.31</v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>
        <v>14.7</v>
      </c>
      <c r="GU6" s="18">
        <v>9.8000000000000007</v>
      </c>
      <c r="GV6" s="18">
        <v>0</v>
      </c>
      <c r="GW6" s="18">
        <v>14.93</v>
      </c>
      <c r="GX6" s="18">
        <v>0</v>
      </c>
      <c r="GY6" s="18">
        <v>13.6</v>
      </c>
      <c r="GZ6" s="18">
        <v>9.5</v>
      </c>
      <c r="HA6" s="18">
        <v>10.7</v>
      </c>
      <c r="HB6" s="18">
        <v>14.13</v>
      </c>
      <c r="HC6" s="18">
        <v>0</v>
      </c>
      <c r="HD6" s="18">
        <v>13.8</v>
      </c>
      <c r="HE6" s="18">
        <v>8.6999999999999993</v>
      </c>
      <c r="HF6" s="18">
        <v>10</v>
      </c>
      <c r="HG6" s="18">
        <v>13.89</v>
      </c>
      <c r="HH6" s="18">
        <v>0</v>
      </c>
      <c r="HI6" s="7">
        <f>IF(HA6&gt;0,HA6,"")</f>
        <v>10.7</v>
      </c>
      <c r="HJ6" s="7">
        <f>IF(SUM(GT6:GW6)-GX6&gt;0,SUM(GT6:GW6)-GX6,"")</f>
        <v>39.43</v>
      </c>
      <c r="HK6" s="7">
        <f>IF(SUM(GY6:HB6)-HC6&gt;0,SUM(GY6:HB6)-HC6,"")</f>
        <v>47.93</v>
      </c>
      <c r="HL6" s="7">
        <f>IF(SUM(HJ6:HK6)&gt;0,SUM(HJ6:HK6),"")</f>
        <v>87.36</v>
      </c>
      <c r="HM6" s="7">
        <f>IF(HF6&gt;0,HF6,"")</f>
        <v>10</v>
      </c>
      <c r="HN6" s="7">
        <f>IF(SUM(HD6:HG6)-HH6&gt;0,SUM(HD6:HG6)-HH6,"")</f>
        <v>46.39</v>
      </c>
      <c r="HO6" s="7">
        <f>IF(SUM(HL6,HN6)&gt;0,SUM(HL6,HN6),"")</f>
        <v>133.75</v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15.65</v>
      </c>
      <c r="NO6" s="27">
        <f>IF($CV6="P",CC6,(CC6+AY6)/2)</f>
        <v>9.6</v>
      </c>
      <c r="NP6" s="27">
        <f>IF($CV6="P",CD6,(CD6+AZ6)/2)</f>
        <v>0</v>
      </c>
      <c r="NQ6" s="27">
        <f>IF($CV6="P",CE6,(CE6+BA6)/2)</f>
        <v>14.48</v>
      </c>
      <c r="NR6" s="27">
        <f>IF($CV6="P",CF6,(CF6+BB6)/2)</f>
        <v>0</v>
      </c>
      <c r="NS6" s="27">
        <f>IF($CV6="P",CG6,(CG6+BC6)/2)</f>
        <v>11.600000000000001</v>
      </c>
      <c r="NT6" s="27">
        <f>IF($CV6="P",CH6,(CH6+BD6)/2)</f>
        <v>7.3000000000000007</v>
      </c>
      <c r="NU6" s="27">
        <f>IF($CV6="P",CI6,(CI6+BE6)/2)</f>
        <v>8.9</v>
      </c>
      <c r="NV6" s="27">
        <f>IF($CV6="P",CJ6,(CJ6+BF6)/2)</f>
        <v>11.09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13.45</v>
      </c>
      <c r="OD6" s="27">
        <f>IF($CV6="P",CR6,(CR6+BN6)/2)</f>
        <v>9.25</v>
      </c>
      <c r="OE6" s="27">
        <f>IF($CV6="P",CS6,(CS6+BO6)/2)</f>
        <v>10.5</v>
      </c>
      <c r="OF6" s="27">
        <f>IF($CV6="P",CT6,(CT6+BP6)/2)</f>
        <v>13.754999999999999</v>
      </c>
      <c r="OG6" s="27">
        <f>IF($CV6="P",CU6,(CU6+BQ6)/2)</f>
        <v>0</v>
      </c>
      <c r="OH6" s="32" t="s">
        <v>44</v>
      </c>
      <c r="OI6" s="7">
        <f>IF(SUM(NN6:NQ6)-NR6&gt;0,SUM(NN6:NQ6)-NR6,"")</f>
        <v>39.730000000000004</v>
      </c>
      <c r="OJ6" s="7">
        <f>IF(NU6&gt;0,NU6,"")</f>
        <v>8.9</v>
      </c>
      <c r="OK6" s="7">
        <f>IF(SUM(NS6:NV6)-NW6&gt;0,SUM(NS6:NV6)-NW6,"")</f>
        <v>38.89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78.62</v>
      </c>
      <c r="OO6" s="7">
        <f>IF(OE6&gt;0,OE6,"")</f>
        <v>10.5</v>
      </c>
      <c r="OP6" s="7">
        <f t="shared" ref="OP6" si="4">IF(SUM(OC6:OF6)-OG6&gt;0,SUM(OC6:OF6)-OG6,"")</f>
        <v>46.954999999999998</v>
      </c>
      <c r="OQ6" s="7">
        <f t="shared" ref="OQ6" si="5">IF(SUM(ON6,OP6)&gt;0,SUM(ON6,OP6),"")</f>
        <v>125.575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>SUM(I7:Q7)</f>
        <v>223.07000000000005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87.200000000000017</v>
      </c>
      <c r="J7" s="9" t="str">
        <f>IF(I7=0,"",IF(I7=DB7,$CB$1,IF(I7=BX7,$AX$1,IF(I7=AT7,$T$1,""))))</f>
        <v>2024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42.64</v>
      </c>
      <c r="N7" s="9" t="str">
        <f>IF(M7=0,"",IF(AND(OR(M7=DA7,M7=CY7),$J7&lt;&gt;$CB$1),$CB$1,IF(AND(OR(M7=BW7,M7=BU7),$J7&lt;&gt;$AX$1),$AX$1,IF(AND(OR(M7=AS7,M7=AQ7),$J7&lt;&gt;$T$1),$T$1,""))))</f>
        <v>2024 Nationals</v>
      </c>
      <c r="O7" s="9">
        <f>MAX(AV7,BZ7,DD7)</f>
        <v>47.92</v>
      </c>
      <c r="P7" s="9" t="str">
        <f>IF(O7=0,"",IF(O7=DD7,$CB$1,IF(O7=BZ7,$AX$1,IF(O7=AV7,$T$1,""))))</f>
        <v>2024 Elite Canada</v>
      </c>
      <c r="Q7" s="9">
        <f>IF(MAX(DF7,DG7,DH7,DI7)&gt;0,MAX(DF7,DG7,DH7,DI7),"")</f>
        <v>4.6300000000000026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2024 Coimbra Gym Fest (July 7)</v>
      </c>
      <c r="T7" s="27">
        <v>17</v>
      </c>
      <c r="U7" s="27">
        <v>9.3000000000000007</v>
      </c>
      <c r="V7" s="27">
        <v>0</v>
      </c>
      <c r="W7" s="27">
        <v>14.38</v>
      </c>
      <c r="X7" s="27">
        <v>0</v>
      </c>
      <c r="Y7" s="27">
        <v>2.7</v>
      </c>
      <c r="Z7" s="27">
        <v>1.7</v>
      </c>
      <c r="AA7" s="27">
        <v>2.5</v>
      </c>
      <c r="AB7" s="27">
        <v>2.88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>IF(SUM(T7:W7)-X7&gt;0,SUM(T7:W7)-X7,"")</f>
        <v>40.68</v>
      </c>
      <c r="AP7" s="7">
        <f>IF(AA7&gt;0,AA7,"")</f>
        <v>2.5</v>
      </c>
      <c r="AQ7" s="7">
        <f>IF(SUM(Y7:AB7)-AC7&gt;0,SUM(Y7:AB7)-AC7,"")</f>
        <v>9.7800000000000011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50.46</v>
      </c>
      <c r="AU7" s="7" t="str">
        <f>IF(AK7&gt;0,AK7,"")</f>
        <v/>
      </c>
      <c r="AV7" s="7" t="str">
        <f>IF(SUM(AI7:AL7)-AM7&gt;0,SUM(AI7:AL7)-AM7,"")</f>
        <v/>
      </c>
      <c r="AW7" s="7">
        <f>IF(SUM(AT7,AV7)&gt;0,SUM(AT7,AV7),"")</f>
        <v>50.46</v>
      </c>
      <c r="AX7" s="31">
        <v>16.3</v>
      </c>
      <c r="AY7" s="31">
        <v>9.3000000000000007</v>
      </c>
      <c r="AZ7" s="31">
        <v>0</v>
      </c>
      <c r="BA7" s="31">
        <v>14</v>
      </c>
      <c r="BB7" s="31">
        <v>0</v>
      </c>
      <c r="BC7" s="31">
        <v>14.3</v>
      </c>
      <c r="BD7" s="31">
        <v>9.4</v>
      </c>
      <c r="BE7" s="31">
        <v>10.199999999999999</v>
      </c>
      <c r="BF7" s="31">
        <v>13.7</v>
      </c>
      <c r="BG7" s="31">
        <v>0</v>
      </c>
      <c r="BH7" s="31"/>
      <c r="BI7" s="31"/>
      <c r="BJ7" s="31"/>
      <c r="BK7" s="31"/>
      <c r="BL7" s="31"/>
      <c r="BM7" s="31">
        <v>14.7</v>
      </c>
      <c r="BN7" s="31">
        <v>9.3000000000000007</v>
      </c>
      <c r="BO7" s="31">
        <v>10.199999999999999</v>
      </c>
      <c r="BP7" s="31">
        <v>13.72</v>
      </c>
      <c r="BQ7" s="31">
        <v>0</v>
      </c>
      <c r="BR7" s="33"/>
      <c r="BS7" s="9">
        <f>IF(SUM(AX7:BA7)-BB7&gt;0,SUM(AX7:BA7)-BB7,"")</f>
        <v>39.6</v>
      </c>
      <c r="BT7" s="9">
        <f>IF(BE7&gt;0,BE7,"")</f>
        <v>10.199999999999999</v>
      </c>
      <c r="BU7" s="9">
        <f>IF(SUM(BC7:BF7)-BG7&gt;0,SUM(BC7:BF7)-BG7,"")</f>
        <v>47.600000000000009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87.200000000000017</v>
      </c>
      <c r="BY7" s="9">
        <f>IF(BO7&gt;0,BO7,"")</f>
        <v>10.199999999999999</v>
      </c>
      <c r="BZ7" s="9">
        <f>IF(SUM(BM7:BP7)-BQ7&gt;0,SUM(BM7:BP7)-BQ7,"")</f>
        <v>47.92</v>
      </c>
      <c r="CA7" s="9">
        <f>IF(SUM(BX7,BZ7)&gt;0,SUM(BX7,BZ7),"")</f>
        <v>135.12</v>
      </c>
      <c r="CB7" s="27">
        <v>17.100000000000001</v>
      </c>
      <c r="CC7" s="27">
        <v>9.1</v>
      </c>
      <c r="CD7" s="27">
        <v>0</v>
      </c>
      <c r="CE7" s="27">
        <v>13.95</v>
      </c>
      <c r="CF7" s="27">
        <v>0</v>
      </c>
      <c r="CG7" s="27">
        <v>12.9</v>
      </c>
      <c r="CH7" s="27">
        <v>8.1999999999999993</v>
      </c>
      <c r="CI7" s="27">
        <v>9.1999999999999993</v>
      </c>
      <c r="CJ7" s="27">
        <v>12.34</v>
      </c>
      <c r="CK7" s="27">
        <v>0</v>
      </c>
      <c r="CL7" s="27"/>
      <c r="CM7" s="27"/>
      <c r="CN7" s="27"/>
      <c r="CO7" s="27"/>
      <c r="CP7" s="27"/>
      <c r="CQ7" s="27">
        <v>15.9</v>
      </c>
      <c r="CR7" s="27">
        <v>8.8000000000000007</v>
      </c>
      <c r="CS7" s="27">
        <v>9.1</v>
      </c>
      <c r="CT7" s="27">
        <v>13.52</v>
      </c>
      <c r="CU7" s="27">
        <v>0</v>
      </c>
      <c r="CV7" s="32"/>
      <c r="CW7" s="7">
        <f>IF(SUM(CB7:CE7)-CF7&gt;0,SUM(CB7:CE7)-CF7,"")</f>
        <v>40.150000000000006</v>
      </c>
      <c r="CX7" s="7">
        <f>IF(CI7&gt;0,CI7,"")</f>
        <v>9.1999999999999993</v>
      </c>
      <c r="CY7" s="7">
        <f>IF(SUM(CG7:CJ7)-CK7&gt;0,SUM(CG7:CJ7)-CK7,"")</f>
        <v>42.64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82.79</v>
      </c>
      <c r="DC7" s="7">
        <f>IF(CS7&gt;0,CS7,"")</f>
        <v>9.1</v>
      </c>
      <c r="DD7" s="7">
        <f>IF(SUM(CQ7:CT7)-CU7&gt;0,SUM(CQ7:CT7)-CU7,"")</f>
        <v>47.320000000000007</v>
      </c>
      <c r="DE7" s="7">
        <f>IF(SUM(DB7,DD7)&gt;0,SUM(DB7,DD7),"")</f>
        <v>130.11000000000001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4.6300000000000026</v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>
        <v>16</v>
      </c>
      <c r="DK7" s="18">
        <v>9.4</v>
      </c>
      <c r="DL7" s="18">
        <v>0</v>
      </c>
      <c r="DM7" s="18">
        <v>14.44</v>
      </c>
      <c r="DN7" s="18">
        <v>0</v>
      </c>
      <c r="DO7" s="18">
        <v>12.3</v>
      </c>
      <c r="DP7" s="18">
        <v>9.3000000000000007</v>
      </c>
      <c r="DQ7" s="18">
        <v>10.199999999999999</v>
      </c>
      <c r="DR7" s="18">
        <v>14.11</v>
      </c>
      <c r="DS7" s="18">
        <v>0</v>
      </c>
      <c r="DT7" s="18"/>
      <c r="DU7" s="18"/>
      <c r="DV7" s="18"/>
      <c r="DW7" s="18"/>
      <c r="DX7" s="18"/>
      <c r="DY7" s="7">
        <f>IF(DQ7&gt;0,DQ7,"")</f>
        <v>10.199999999999999</v>
      </c>
      <c r="DZ7" s="7">
        <f>IF(SUM(DJ7:DM7)-DN7&gt;0,SUM(DJ7:DM7)-DN7,"")</f>
        <v>39.839999999999996</v>
      </c>
      <c r="EA7" s="7">
        <f>IF(SUM(DO7:DR7)-DS7&gt;0,SUM(DO7:DR7)-DS7,"")</f>
        <v>45.91</v>
      </c>
      <c r="EB7" s="7">
        <f>IF(SUM(DZ7:EA7)&gt;0,SUM(DZ7:EA7),"")</f>
        <v>85.75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85.75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>
        <v>15</v>
      </c>
      <c r="GU7" s="18">
        <v>0</v>
      </c>
      <c r="GV7" s="18">
        <v>9.6</v>
      </c>
      <c r="GW7" s="18">
        <v>13.77</v>
      </c>
      <c r="GX7" s="18">
        <v>0</v>
      </c>
      <c r="GY7" s="18">
        <v>13.7</v>
      </c>
      <c r="GZ7" s="18">
        <v>9.1999999999999993</v>
      </c>
      <c r="HA7" s="18">
        <v>10.8</v>
      </c>
      <c r="HB7" s="18">
        <v>13.57</v>
      </c>
      <c r="HC7" s="18">
        <v>0</v>
      </c>
      <c r="HD7" s="18"/>
      <c r="HE7" s="18"/>
      <c r="HF7" s="18"/>
      <c r="HG7" s="18"/>
      <c r="HH7" s="18"/>
      <c r="HI7" s="7">
        <f>IF(HA7&gt;0,HA7,"")</f>
        <v>10.8</v>
      </c>
      <c r="HJ7" s="7">
        <f>IF(SUM(GT7:GW7)-GX7&gt;0,SUM(GT7:GW7)-GX7,"")</f>
        <v>38.370000000000005</v>
      </c>
      <c r="HK7" s="7">
        <f>IF(SUM(GY7:HB7)-HC7&gt;0,SUM(GY7:HB7)-HC7,"")</f>
        <v>47.27</v>
      </c>
      <c r="HL7" s="7">
        <f>IF(SUM(HJ7:HK7)&gt;0,SUM(HJ7:HK7),"")</f>
        <v>85.640000000000015</v>
      </c>
      <c r="HM7" s="7" t="str">
        <f>IF(HF7&gt;0,HF7,"")</f>
        <v/>
      </c>
      <c r="HN7" s="7" t="str">
        <f>IF(SUM(HD7:HG7)-HH7&gt;0,SUM(HD7:HG7)-HH7,"")</f>
        <v/>
      </c>
      <c r="HO7" s="7">
        <f>IF(SUM(HL7,HN7)&gt;0,SUM(HL7,HN7),"")</f>
        <v>85.640000000000015</v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16.700000000000003</v>
      </c>
      <c r="NO7" s="27">
        <f>IF($CV7="P",CC7,(CC7+AY7)/2)</f>
        <v>9.1999999999999993</v>
      </c>
      <c r="NP7" s="27">
        <f>IF($CV7="P",CD7,(CD7+AZ7)/2)</f>
        <v>0</v>
      </c>
      <c r="NQ7" s="27">
        <f>IF($CV7="P",CE7,(CE7+BA7)/2)</f>
        <v>13.975</v>
      </c>
      <c r="NR7" s="27">
        <f>IF($CV7="P",CF7,(CF7+BB7)/2)</f>
        <v>0</v>
      </c>
      <c r="NS7" s="27">
        <f>IF($CV7="P",CG7,(CG7+BC7)/2)</f>
        <v>13.600000000000001</v>
      </c>
      <c r="NT7" s="27">
        <f>IF($CV7="P",CH7,(CH7+BD7)/2)</f>
        <v>8.8000000000000007</v>
      </c>
      <c r="NU7" s="27">
        <f>IF($CV7="P",CI7,(CI7+BE7)/2)</f>
        <v>9.6999999999999993</v>
      </c>
      <c r="NV7" s="27">
        <f>IF($CV7="P",CJ7,(CJ7+BF7)/2)</f>
        <v>13.02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15.3</v>
      </c>
      <c r="OD7" s="27">
        <f>IF($CV7="P",CR7,(CR7+BN7)/2)</f>
        <v>9.0500000000000007</v>
      </c>
      <c r="OE7" s="27">
        <f>IF($CV7="P",CS7,(CS7+BO7)/2)</f>
        <v>9.6499999999999986</v>
      </c>
      <c r="OF7" s="27">
        <f>IF($CV7="P",CT7,(CT7+BP7)/2)</f>
        <v>13.620000000000001</v>
      </c>
      <c r="OG7" s="27">
        <f>IF($CV7="P",CU7,(CU7+BQ7)/2)</f>
        <v>0</v>
      </c>
      <c r="OH7" s="32" t="s">
        <v>44</v>
      </c>
      <c r="OI7" s="7">
        <f>IF(SUM(NN7:NQ7)-NR7&gt;0,SUM(NN7:NQ7)-NR7,"")</f>
        <v>39.875</v>
      </c>
      <c r="OJ7" s="7">
        <f>IF(NU7&gt;0,NU7,"")</f>
        <v>9.6999999999999993</v>
      </c>
      <c r="OK7" s="7">
        <f>IF(SUM(NS7:NV7)-NW7&gt;0,SUM(NS7:NV7)-NW7,"")</f>
        <v>45.120000000000005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84.995000000000005</v>
      </c>
      <c r="OO7" s="7">
        <f>IF(OE7&gt;0,OE7,"")</f>
        <v>9.6499999999999986</v>
      </c>
      <c r="OP7" s="7">
        <f t="shared" ref="OP7" si="6">IF(SUM(OC7:OF7)-OG7&gt;0,SUM(OC7:OF7)-OG7,"")</f>
        <v>47.620000000000005</v>
      </c>
      <c r="OQ7" s="7">
        <f t="shared" ref="OQ7" si="7">IF(SUM(ON7,OP7)&gt;0,SUM(ON7,OP7),"")</f>
        <v>132.61500000000001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86</v>
      </c>
      <c r="C8" s="4" t="s">
        <v>66</v>
      </c>
      <c r="D8" s="4">
        <v>2008</v>
      </c>
      <c r="E8" s="10">
        <f>SUM(I8:Q8)</f>
        <v>196.56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65.7</v>
      </c>
      <c r="J8" s="9" t="str">
        <f>IF(I8=0,"",IF(I8=DB8,$CB$1,IF(I8=BX8,$AX$1,IF(I8=AT8,$T$1,""))))</f>
        <v>2024 Nationals</v>
      </c>
      <c r="K8" s="9">
        <f>IF($I8=$AT8,MAX(BS8,CW8),IF($I8=$BX8,MAX(AO8,CW8),IF($I8=$DB8,MAX(AO8,BS8),MAX(AO8,BS8,CW8))))</f>
        <v>39.549999999999997</v>
      </c>
      <c r="L8" s="9" t="str">
        <f>IF(K8=0,"",IF(AND(K8=CW8,$J8&lt;&gt;$CB$1),$CB$1,IF(AND(K8=BS8,$J8&lt;&gt;$AX$1),$AX$1,IF(AND(K8=AO8,$J8&lt;&gt;$T$1),$T$1,""))))</f>
        <v>2024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22.689999999999998</v>
      </c>
      <c r="N8" s="9" t="str">
        <f>IF(M8=0,"",IF(AND(OR(M8=DA8,M8=CY8),$J8&lt;&gt;$CB$1),$CB$1,IF(AND(OR(M8=BW8,M8=BU8),$J8&lt;&gt;$AX$1),$AX$1,IF(AND(OR(M8=AS8,M8=AQ8),$J8&lt;&gt;$T$1),$T$1,""))))</f>
        <v>2024 Elite Canada</v>
      </c>
      <c r="O8" s="9">
        <f>MAX(AV8,BZ8,DD8)</f>
        <v>46.11</v>
      </c>
      <c r="P8" s="9" t="str">
        <f>IF(O8=0,"",IF(O8=DD8,$CB$1,IF(O8=BZ8,$AX$1,IF(O8=AV8,$T$1,""))))</f>
        <v>2024 Elite Canada</v>
      </c>
      <c r="Q8" s="9">
        <f>IF(MAX(DF8,DG8,DH8,DI8)&gt;0,MAX(DF8,DG8,DH8,DI8),"")</f>
        <v>22.509999999999998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2024 Coimbra Gym Fest (July 7)</v>
      </c>
      <c r="T8" s="27">
        <v>15.5</v>
      </c>
      <c r="U8" s="27">
        <v>9.3000000000000007</v>
      </c>
      <c r="V8" s="27">
        <v>0</v>
      </c>
      <c r="W8" s="27">
        <v>13.67</v>
      </c>
      <c r="X8" s="27">
        <v>0</v>
      </c>
      <c r="Y8" s="27">
        <v>5.4</v>
      </c>
      <c r="Z8" s="27">
        <v>3.5</v>
      </c>
      <c r="AA8" s="27">
        <v>4.3</v>
      </c>
      <c r="AB8" s="27">
        <v>5.51</v>
      </c>
      <c r="AC8" s="27">
        <v>0</v>
      </c>
      <c r="AD8" s="27"/>
      <c r="AE8" s="27"/>
      <c r="AF8" s="27"/>
      <c r="AG8" s="27"/>
      <c r="AH8" s="27"/>
      <c r="AI8" s="27">
        <v>14.1</v>
      </c>
      <c r="AJ8" s="27">
        <v>8.6999999999999993</v>
      </c>
      <c r="AK8" s="27">
        <v>9.8000000000000007</v>
      </c>
      <c r="AL8" s="27">
        <v>13.28</v>
      </c>
      <c r="AM8" s="27">
        <v>0</v>
      </c>
      <c r="AN8" s="32"/>
      <c r="AO8" s="7">
        <f>IF(SUM(T8:W8)-X8&gt;0,SUM(T8:W8)-X8,"")</f>
        <v>38.47</v>
      </c>
      <c r="AP8" s="7">
        <f>IF(AA8&gt;0,AA8,"")</f>
        <v>4.3</v>
      </c>
      <c r="AQ8" s="7">
        <f>IF(SUM(Y8:AB8)-AC8&gt;0,SUM(Y8:AB8)-AC8,"")</f>
        <v>18.71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57.18</v>
      </c>
      <c r="AU8" s="7">
        <f>IF(AK8&gt;0,AK8,"")</f>
        <v>9.8000000000000007</v>
      </c>
      <c r="AV8" s="7">
        <f>IF(SUM(AI8:AL8)-AM8&gt;0,SUM(AI8:AL8)-AM8,"")</f>
        <v>45.879999999999995</v>
      </c>
      <c r="AW8" s="7">
        <f>IF(SUM(AT8,AV8)&gt;0,SUM(AT8,AV8),"")</f>
        <v>103.06</v>
      </c>
      <c r="AX8" s="31">
        <v>16.399999999999999</v>
      </c>
      <c r="AY8" s="31">
        <v>10</v>
      </c>
      <c r="AZ8" s="31">
        <v>0</v>
      </c>
      <c r="BA8" s="31">
        <v>13.15</v>
      </c>
      <c r="BB8" s="31">
        <v>0</v>
      </c>
      <c r="BC8" s="31">
        <v>6.6</v>
      </c>
      <c r="BD8" s="31">
        <v>4.4000000000000004</v>
      </c>
      <c r="BE8" s="31">
        <v>5.2</v>
      </c>
      <c r="BF8" s="31">
        <v>6.49</v>
      </c>
      <c r="BG8" s="31">
        <v>0</v>
      </c>
      <c r="BH8" s="31"/>
      <c r="BI8" s="31"/>
      <c r="BJ8" s="31"/>
      <c r="BK8" s="31"/>
      <c r="BL8" s="31"/>
      <c r="BM8" s="31">
        <v>12.9</v>
      </c>
      <c r="BN8" s="31">
        <v>9.6999999999999993</v>
      </c>
      <c r="BO8" s="31">
        <v>10.5</v>
      </c>
      <c r="BP8" s="31">
        <v>13.01</v>
      </c>
      <c r="BQ8" s="31">
        <v>0</v>
      </c>
      <c r="BR8" s="33"/>
      <c r="BS8" s="9">
        <f>IF(SUM(AX8:BA8)-BB8&gt;0,SUM(AX8:BA8)-BB8,"")</f>
        <v>39.549999999999997</v>
      </c>
      <c r="BT8" s="9">
        <f>IF(BE8&gt;0,BE8,"")</f>
        <v>5.2</v>
      </c>
      <c r="BU8" s="9">
        <f>IF(SUM(BC8:BF8)-BG8&gt;0,SUM(BC8:BF8)-BG8,"")</f>
        <v>22.689999999999998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62.239999999999995</v>
      </c>
      <c r="BY8" s="9">
        <f>IF(BO8&gt;0,BO8,"")</f>
        <v>10.5</v>
      </c>
      <c r="BZ8" s="9">
        <f>IF(SUM(BM8:BP8)-BQ8&gt;0,SUM(BM8:BP8)-BQ8,"")</f>
        <v>46.11</v>
      </c>
      <c r="CA8" s="9">
        <f>IF(SUM(BX8,BZ8)&gt;0,SUM(BX8,BZ8),"")</f>
        <v>108.35</v>
      </c>
      <c r="CB8" s="27">
        <v>16.399999999999999</v>
      </c>
      <c r="CC8" s="27">
        <v>9.5</v>
      </c>
      <c r="CD8" s="27">
        <v>0</v>
      </c>
      <c r="CE8" s="27">
        <v>13.61</v>
      </c>
      <c r="CF8" s="27">
        <v>2</v>
      </c>
      <c r="CG8" s="27">
        <v>8.4</v>
      </c>
      <c r="CH8" s="27">
        <v>5.4</v>
      </c>
      <c r="CI8" s="27">
        <v>6.4</v>
      </c>
      <c r="CJ8" s="27">
        <v>7.99</v>
      </c>
      <c r="CK8" s="27">
        <v>0</v>
      </c>
      <c r="CL8" s="27"/>
      <c r="CM8" s="27"/>
      <c r="CN8" s="27"/>
      <c r="CO8" s="27"/>
      <c r="CP8" s="27"/>
      <c r="CQ8" s="27">
        <v>13.9</v>
      </c>
      <c r="CR8" s="27">
        <v>9.1999999999999993</v>
      </c>
      <c r="CS8" s="27">
        <v>8.6</v>
      </c>
      <c r="CT8" s="27">
        <v>12.74</v>
      </c>
      <c r="CU8" s="27">
        <v>0.9</v>
      </c>
      <c r="CV8" s="32"/>
      <c r="CW8" s="7">
        <f>IF(SUM(CB8:CE8)-CF8&gt;0,SUM(CB8:CE8)-CF8,"")</f>
        <v>37.51</v>
      </c>
      <c r="CX8" s="7">
        <f>IF(CI8&gt;0,CI8,"")</f>
        <v>6.4</v>
      </c>
      <c r="CY8" s="7">
        <f>IF(SUM(CG8:CJ8)-CK8&gt;0,SUM(CG8:CJ8)-CK8,"")</f>
        <v>28.190000000000005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65.7</v>
      </c>
      <c r="DC8" s="7">
        <f>IF(CS8&gt;0,CS8,"")</f>
        <v>8.6</v>
      </c>
      <c r="DD8" s="7">
        <f>IF(SUM(CQ8:CT8)-CU8&gt;0,SUM(CQ8:CT8)-CU8,"")</f>
        <v>43.540000000000006</v>
      </c>
      <c r="DE8" s="7">
        <f>IF(SUM(DB8,DD8)&gt;0,SUM(DB8,DD8),"")</f>
        <v>109.24000000000001</v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22.509999999999998</v>
      </c>
      <c r="DH8" s="13">
        <f>IF(MAX(EB8,EX8,FT8,GP8,HL8,IH8,JD8,JZ8,KV8,LR8,MN8,NJ8)-IF(I8="",0,I8)&gt;0.001,MAX(EB8,EX8,FT8,GP8,HL8,IH8,JD8,JZ8,KV8,LR8,MN8,NJ8)-IF(I8="",0,I8),"")</f>
        <v>17.89</v>
      </c>
      <c r="DI8" s="13" t="str">
        <f>IF(MAX(ED8,EZ8,FV8,GR8,HN8,IJ8,JF8,KB8,KX8,LT8,MP8,NL8)-IF(O8="",0,O8)&gt;0.001,MAX(ED8,EZ8,FV8,GR8,HN8,IJ8,JF8,KB8,KX8,LT8,MP8,NL8)-IF(O8="",0,O8),"")</f>
        <v/>
      </c>
      <c r="DJ8" s="18">
        <v>15</v>
      </c>
      <c r="DK8" s="18">
        <v>9.6</v>
      </c>
      <c r="DL8" s="18">
        <v>0</v>
      </c>
      <c r="DM8" s="18">
        <v>13.61</v>
      </c>
      <c r="DN8" s="18">
        <v>0</v>
      </c>
      <c r="DO8" s="18">
        <v>12.3</v>
      </c>
      <c r="DP8" s="18">
        <v>8.4</v>
      </c>
      <c r="DQ8" s="18">
        <v>8.4</v>
      </c>
      <c r="DR8" s="18">
        <v>11.96</v>
      </c>
      <c r="DS8" s="18">
        <v>0</v>
      </c>
      <c r="DT8" s="18"/>
      <c r="DU8" s="18"/>
      <c r="DV8" s="18"/>
      <c r="DW8" s="18"/>
      <c r="DX8" s="18"/>
      <c r="DY8" s="7">
        <f>IF(DQ8&gt;0,DQ8,"")</f>
        <v>8.4</v>
      </c>
      <c r="DZ8" s="7">
        <f>IF(SUM(DJ8:DM8)-DN8&gt;0,SUM(DJ8:DM8)-DN8,"")</f>
        <v>38.21</v>
      </c>
      <c r="EA8" s="7">
        <f>IF(SUM(DO8:DR8)-DS8&gt;0,SUM(DO8:DR8)-DS8,"")</f>
        <v>41.06</v>
      </c>
      <c r="EB8" s="7">
        <f>IF(SUM(DZ8:EA8)&gt;0,SUM(DZ8:EA8),"")</f>
        <v>79.27000000000001</v>
      </c>
      <c r="EC8" s="7" t="str">
        <f>IF(DV8&gt;0,DV8,"")</f>
        <v/>
      </c>
      <c r="ED8" s="7" t="str">
        <f>IF(SUM(DT8:DW8)-DX8&gt;0,SUM(DT8:DW8)-DX8,"")</f>
        <v/>
      </c>
      <c r="EE8" s="7">
        <f>IF(SUM(EB8,ED8)&gt;0,SUM(EB8,ED8),"")</f>
        <v>79.27000000000001</v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>
        <v>15.3</v>
      </c>
      <c r="GU8" s="18">
        <v>9.4</v>
      </c>
      <c r="GV8" s="18">
        <v>0</v>
      </c>
      <c r="GW8" s="18">
        <v>13.69</v>
      </c>
      <c r="GX8" s="18">
        <v>0</v>
      </c>
      <c r="GY8" s="18">
        <v>13</v>
      </c>
      <c r="GZ8" s="18">
        <v>9</v>
      </c>
      <c r="HA8" s="18">
        <v>10.3</v>
      </c>
      <c r="HB8" s="18">
        <v>12.9</v>
      </c>
      <c r="HC8" s="18">
        <v>0</v>
      </c>
      <c r="HD8" s="18"/>
      <c r="HE8" s="18"/>
      <c r="HF8" s="18"/>
      <c r="HG8" s="18"/>
      <c r="HH8" s="18"/>
      <c r="HI8" s="7">
        <f>IF(HA8&gt;0,HA8,"")</f>
        <v>10.3</v>
      </c>
      <c r="HJ8" s="7">
        <f>IF(SUM(GT8:GW8)-GX8&gt;0,SUM(GT8:GW8)-GX8,"")</f>
        <v>38.39</v>
      </c>
      <c r="HK8" s="7">
        <f>IF(SUM(GY8:HB8)-HC8&gt;0,SUM(GY8:HB8)-HC8,"")</f>
        <v>45.199999999999996</v>
      </c>
      <c r="HL8" s="7">
        <f>IF(SUM(HJ8:HK8)&gt;0,SUM(HJ8:HK8),"")</f>
        <v>83.59</v>
      </c>
      <c r="HM8" s="7" t="str">
        <f>IF(HF8&gt;0,HF8,"")</f>
        <v/>
      </c>
      <c r="HN8" s="7" t="str">
        <f>IF(SUM(HD8:HG8)-HH8&gt;0,SUM(HD8:HG8)-HH8,"")</f>
        <v/>
      </c>
      <c r="HO8" s="7">
        <f>IF(SUM(HL8,HN8)&gt;0,SUM(HL8,HN8),"")</f>
        <v>83.59</v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16.399999999999999</v>
      </c>
      <c r="NO8" s="27">
        <f>IF($CV8="P",CC8,(CC8+AY8)/2)</f>
        <v>9.75</v>
      </c>
      <c r="NP8" s="27">
        <f>IF($CV8="P",CD8,(CD8+AZ8)/2)</f>
        <v>0</v>
      </c>
      <c r="NQ8" s="27">
        <f>IF($CV8="P",CE8,(CE8+BA8)/2)</f>
        <v>13.379999999999999</v>
      </c>
      <c r="NR8" s="27">
        <f>IF($CV8="P",CF8,(CF8+BB8)/2)</f>
        <v>1</v>
      </c>
      <c r="NS8" s="27">
        <f>IF($CV8="P",CG8,(CG8+BC8)/2)</f>
        <v>7.5</v>
      </c>
      <c r="NT8" s="27">
        <f>IF($CV8="P",CH8,(CH8+BD8)/2)</f>
        <v>4.9000000000000004</v>
      </c>
      <c r="NU8" s="27">
        <f>IF($CV8="P",CI8,(CI8+BE8)/2)</f>
        <v>5.8000000000000007</v>
      </c>
      <c r="NV8" s="27">
        <f>IF($CV8="P",CJ8,(CJ8+BF8)/2)</f>
        <v>7.24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13.4</v>
      </c>
      <c r="OD8" s="27">
        <f>IF($CV8="P",CR8,(CR8+BN8)/2)</f>
        <v>9.4499999999999993</v>
      </c>
      <c r="OE8" s="27">
        <f>IF($CV8="P",CS8,(CS8+BO8)/2)</f>
        <v>9.5500000000000007</v>
      </c>
      <c r="OF8" s="27">
        <f>IF($CV8="P",CT8,(CT8+BP8)/2)</f>
        <v>12.875</v>
      </c>
      <c r="OG8" s="27">
        <f>IF($CV8="P",CU8,(CU8+BQ8)/2)</f>
        <v>0.45</v>
      </c>
      <c r="OH8" s="32" t="s">
        <v>44</v>
      </c>
      <c r="OI8" s="7">
        <f>IF(SUM(NN8:NQ8)-NR8&gt;0,SUM(NN8:NQ8)-NR8,"")</f>
        <v>38.53</v>
      </c>
      <c r="OJ8" s="7">
        <f>IF(NU8&gt;0,NU8,"")</f>
        <v>5.8000000000000007</v>
      </c>
      <c r="OK8" s="7">
        <f>IF(SUM(NS8:NV8)-NW8&gt;0,SUM(NS8:NV8)-NW8,"")</f>
        <v>25.440000000000005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63.970000000000006</v>
      </c>
      <c r="OO8" s="7">
        <f>IF(OE8&gt;0,OE8,"")</f>
        <v>9.5500000000000007</v>
      </c>
      <c r="OP8" s="7">
        <f t="shared" ref="OP8" si="8">IF(SUM(OC8:OF8)-OG8&gt;0,SUM(OC8:OF8)-OG8,"")</f>
        <v>44.825000000000003</v>
      </c>
      <c r="OQ8" s="7">
        <f t="shared" ref="OQ8" si="9">IF(SUM(ON8,OP8)&gt;0,SUM(ON8,OP8),"")</f>
        <v>108.79500000000002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90</v>
      </c>
      <c r="C9" s="4" t="s">
        <v>66</v>
      </c>
      <c r="D9" s="4">
        <v>2008</v>
      </c>
      <c r="E9" s="10">
        <f>SUM(I9:Q9)</f>
        <v>94.48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49.43</v>
      </c>
      <c r="J9" s="9" t="str">
        <f>IF(I9=0,"",IF(I9=DB9,$CB$1,IF(I9=BX9,$AX$1,IF(I9=AT9,$T$1,""))))</f>
        <v>2023 3rd Domestic Trial</v>
      </c>
      <c r="K9" s="9">
        <f>IF($I9=$AT9,MAX(BS9,CW9),IF($I9=$BX9,MAX(AO9,CW9),IF($I9=$DB9,MAX(AO9,BS9),MAX(AO9,BS9,CW9))))</f>
        <v>39.71</v>
      </c>
      <c r="L9" s="9" t="str">
        <f>IF(K9=0,"",IF(AND(K9=CW9,$J9&lt;&gt;$CB$1),$CB$1,IF(AND(K9=BS9,$J9&lt;&gt;$AX$1),$AX$1,IF(AND(K9=AO9,$J9&lt;&gt;$T$1),$T$1,""))))</f>
        <v>2024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5.34</v>
      </c>
      <c r="N9" s="9" t="str">
        <f>IF(M9=0,"",IF(AND(OR(M9=DA9,M9=CY9),$J9&lt;&gt;$CB$1),$CB$1,IF(AND(OR(M9=BW9,M9=BU9),$J9&lt;&gt;$AX$1),$AX$1,IF(AND(OR(M9=AS9,M9=AQ9),$J9&lt;&gt;$T$1),$T$1,""))))</f>
        <v>2024 Elite Canada</v>
      </c>
      <c r="O9" s="9">
        <f>MAX(AV9,BZ9,DD9)</f>
        <v>0</v>
      </c>
      <c r="P9" s="9" t="str">
        <f>IF(O9=0,"",IF(O9=DD9,$CB$1,IF(O9=BZ9,$AX$1,IF(O9=AV9,$T$1,""))))</f>
        <v/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3.2</v>
      </c>
      <c r="U9" s="27">
        <v>1.8</v>
      </c>
      <c r="V9" s="27">
        <v>0</v>
      </c>
      <c r="W9" s="27">
        <v>2.9</v>
      </c>
      <c r="X9" s="27">
        <v>0</v>
      </c>
      <c r="Y9" s="27">
        <v>12.1</v>
      </c>
      <c r="Z9" s="27">
        <v>7.9</v>
      </c>
      <c r="AA9" s="27">
        <v>8.8999999999999986</v>
      </c>
      <c r="AB9" s="27">
        <v>12.63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>IF(SUM(T9:W9)-X9&gt;0,SUM(T9:W9)-X9,"")</f>
        <v>7.9</v>
      </c>
      <c r="AP9" s="7">
        <f>IF(AA9&gt;0,AA9,"")</f>
        <v>8.8999999999999986</v>
      </c>
      <c r="AQ9" s="7">
        <f>IF(SUM(Y9:AB9)-AC9&gt;0,SUM(Y9:AB9)-AC9,"")</f>
        <v>41.53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49.43</v>
      </c>
      <c r="AU9" s="7" t="str">
        <f>IF(AK9&gt;0,AK9,"")</f>
        <v/>
      </c>
      <c r="AV9" s="7" t="str">
        <f>IF(SUM(AI9:AL9)-AM9&gt;0,SUM(AI9:AL9)-AM9,"")</f>
        <v/>
      </c>
      <c r="AW9" s="7">
        <f>IF(SUM(AT9,AV9)&gt;0,SUM(AT9,AV9),"")</f>
        <v>49.43</v>
      </c>
      <c r="AX9" s="31">
        <v>15.6</v>
      </c>
      <c r="AY9" s="31">
        <v>9.6</v>
      </c>
      <c r="AZ9" s="31">
        <v>0</v>
      </c>
      <c r="BA9" s="31">
        <v>14.51</v>
      </c>
      <c r="BB9" s="31">
        <v>0</v>
      </c>
      <c r="BC9" s="31">
        <v>1.4</v>
      </c>
      <c r="BD9" s="31">
        <v>0.9</v>
      </c>
      <c r="BE9" s="31">
        <v>1.5</v>
      </c>
      <c r="BF9" s="31">
        <v>1.54</v>
      </c>
      <c r="BG9" s="31">
        <v>0</v>
      </c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>
        <f>IF(SUM(AX9:BA9)-BB9&gt;0,SUM(AX9:BA9)-BB9,"")</f>
        <v>39.71</v>
      </c>
      <c r="BT9" s="9">
        <f>IF(BE9&gt;0,BE9,"")</f>
        <v>1.5</v>
      </c>
      <c r="BU9" s="9">
        <f>IF(SUM(BC9:BF9)-BG9&gt;0,SUM(BC9:BF9)-BG9,"")</f>
        <v>5.34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45.05</v>
      </c>
      <c r="BY9" s="9" t="str">
        <f>IF(BO9&gt;0,BO9,"")</f>
        <v/>
      </c>
      <c r="BZ9" s="9" t="str">
        <f>IF(SUM(BM9:BP9)-BQ9&gt;0,SUM(BM9:BP9)-BQ9,"")</f>
        <v/>
      </c>
      <c r="CA9" s="9">
        <f>IF(SUM(BX9,BZ9)&gt;0,SUM(BX9,BZ9),"")</f>
        <v>45.05</v>
      </c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 t="str">
        <f>IF(SUM(CB9:CE9)-CF9&gt;0,SUM(CB9:CE9)-CF9,"")</f>
        <v/>
      </c>
      <c r="CX9" s="7" t="str">
        <f>IF(CI9&gt;0,CI9,"")</f>
        <v/>
      </c>
      <c r="CY9" s="7" t="str">
        <f>IF(SUM(CG9:CJ9)-CK9&gt;0,SUM(CG9:CJ9)-CK9,"")</f>
        <v/>
      </c>
      <c r="CZ9" s="7" t="str">
        <f>IF(CN9&gt;0,CN9,"")</f>
        <v/>
      </c>
      <c r="DA9" s="7" t="str">
        <f>IF(SUM(CL9:CO9)-CP9&gt;0,SUM(CL9:CO9)-CP9,"")</f>
        <v/>
      </c>
      <c r="DB9" s="7" t="str">
        <f>IF(CW9="",IF(MAX(CY9,DA9)&gt;0,MAX(CY9,DA9),""),MAX(CY9,DA9)+CW9)</f>
        <v/>
      </c>
      <c r="DC9" s="7" t="str">
        <f>IF(CS9&gt;0,CS9,"")</f>
        <v/>
      </c>
      <c r="DD9" s="7" t="str">
        <f>IF(SUM(CQ9:CT9)-CU9&gt;0,SUM(CQ9:CT9)-CU9,"")</f>
        <v/>
      </c>
      <c r="DE9" s="7" t="str">
        <f>IF(SUM(DB9,DD9)&gt;0,SUM(DB9,DD9),"")</f>
        <v/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7.8</v>
      </c>
      <c r="NO9" s="27">
        <f>IF($CV9="P",CC9,(CC9+AY9)/2)</f>
        <v>4.8</v>
      </c>
      <c r="NP9" s="27">
        <f>IF($CV9="P",CD9,(CD9+AZ9)/2)</f>
        <v>0</v>
      </c>
      <c r="NQ9" s="27">
        <f>IF($CV9="P",CE9,(CE9+BA9)/2)</f>
        <v>7.2549999999999999</v>
      </c>
      <c r="NR9" s="27">
        <f>IF($CV9="P",CF9,(CF9+BB9)/2)</f>
        <v>0</v>
      </c>
      <c r="NS9" s="27">
        <f>IF($CV9="P",CG9,(CG9+BC9)/2)</f>
        <v>0.7</v>
      </c>
      <c r="NT9" s="27">
        <f>IF($CV9="P",CH9,(CH9+BD9)/2)</f>
        <v>0.45</v>
      </c>
      <c r="NU9" s="27">
        <f>IF($CV9="P",CI9,(CI9+BE9)/2)</f>
        <v>0.75</v>
      </c>
      <c r="NV9" s="27">
        <f>IF($CV9="P",CJ9,(CJ9+BF9)/2)</f>
        <v>0.77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0</v>
      </c>
      <c r="OD9" s="27">
        <f>IF($CV9="P",CR9,(CR9+BN9)/2)</f>
        <v>0</v>
      </c>
      <c r="OE9" s="27">
        <f>IF($CV9="P",CS9,(CS9+BO9)/2)</f>
        <v>0</v>
      </c>
      <c r="OF9" s="27">
        <f>IF($CV9="P",CT9,(CT9+BP9)/2)</f>
        <v>0</v>
      </c>
      <c r="OG9" s="27">
        <f>IF($CV9="P",CU9,(CU9+BQ9)/2)</f>
        <v>0</v>
      </c>
      <c r="OH9" s="32" t="s">
        <v>44</v>
      </c>
      <c r="OI9" s="7">
        <f>IF(SUM(NN9:NQ9)-NR9&gt;0,SUM(NN9:NQ9)-NR9,"")</f>
        <v>19.855</v>
      </c>
      <c r="OJ9" s="7">
        <f>IF(NU9&gt;0,NU9,"")</f>
        <v>0.75</v>
      </c>
      <c r="OK9" s="7">
        <f>IF(SUM(NS9:NV9)-NW9&gt;0,SUM(NS9:NV9)-NW9,"")</f>
        <v>2.67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22.524999999999999</v>
      </c>
      <c r="OO9" s="7" t="str">
        <f>IF(OE9&gt;0,OE9,"")</f>
        <v/>
      </c>
      <c r="OP9" s="7" t="str">
        <f t="shared" ref="OP9" si="10">IF(SUM(OC9:OF9)-OG9&gt;0,SUM(OC9:OF9)-OG9,"")</f>
        <v/>
      </c>
      <c r="OQ9" s="7">
        <f t="shared" ref="OQ9" si="11">IF(SUM(ON9,OP9)&gt;0,SUM(ON9,OP9),"")</f>
        <v>22.524999999999999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107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141.10001411000474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IF(K4=0,"",IF(AND(K4=I4,K4=AN4,K4=BO4),$R$1,IF(AND(K4=I4,K4=AN4,K4=CP4),$R$1,IF(AND(K4=I4,K4=CP4,K4=BO4),$AS$1,IF(K4=CP4,$BT$1,IF(K4=BO4,$AS$1,IF(K4=AN4,$R$1,"")))))))</f>
        <v>2023 3rd Domestic Trial</v>
      </c>
      <c r="M4" s="9">
        <f>IF(MAX(AQ4,BR4,CS4)&gt;0,MAX(AQ4,BR4,CS4),0)</f>
        <v>47.300000000000004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17.399999999999999</v>
      </c>
      <c r="S4" s="20">
        <v>5.3</v>
      </c>
      <c r="T4" s="20">
        <v>0</v>
      </c>
      <c r="U4" s="20">
        <v>0.6</v>
      </c>
      <c r="V4" s="20">
        <v>17.3</v>
      </c>
      <c r="W4" s="20">
        <v>5.5</v>
      </c>
      <c r="X4" s="20">
        <v>0</v>
      </c>
      <c r="Y4" s="20">
        <v>0.6</v>
      </c>
      <c r="Z4" s="20">
        <v>17</v>
      </c>
      <c r="AA4" s="20">
        <v>5.5</v>
      </c>
      <c r="AB4" s="20">
        <v>0</v>
      </c>
      <c r="AC4" s="20">
        <v>0.6</v>
      </c>
      <c r="AD4" s="20">
        <v>17</v>
      </c>
      <c r="AE4" s="20">
        <v>5.3</v>
      </c>
      <c r="AF4" s="20">
        <v>0</v>
      </c>
      <c r="AG4" s="20">
        <v>0.6</v>
      </c>
      <c r="AH4" s="20">
        <v>15.8</v>
      </c>
      <c r="AI4" s="20">
        <v>3.3</v>
      </c>
      <c r="AJ4" s="20">
        <v>0</v>
      </c>
      <c r="AK4" s="20">
        <v>0.6</v>
      </c>
      <c r="AL4" s="32"/>
      <c r="AM4" s="55">
        <f>IF(SUM(S4,W4)&gt;0,SUM(S4,W4),"")</f>
        <v>10.8</v>
      </c>
      <c r="AN4" s="55">
        <f>IF(SUM(R4:S4,U4:W4,Y4)-T4-X4&gt;0,SUM(R4:S4,U4:W4,Y4)-T4-X4,"")</f>
        <v>46.7</v>
      </c>
      <c r="AO4" s="55">
        <f>IF(SUM(Z4:AA4,AC4)-AB4&gt;0,SUM(Z4:AA4,AC4)-AB4,"")</f>
        <v>23.1</v>
      </c>
      <c r="AP4" s="55">
        <f>IF(SUM(AE4,AI4)&gt;0,SUM(AE4,AI4),"")</f>
        <v>8.6</v>
      </c>
      <c r="AQ4" s="55">
        <f>IF(SUM(AD4:AE4,AG4:AI4,AK4)-SUM(AF4,AJ4)&gt;0,SUM(AD4:AE4,AG4:AI4,AK4)-SUM(AF4,AJ4),"")</f>
        <v>42.6</v>
      </c>
      <c r="AR4" s="55">
        <f>IF(SUM(AN4,AO4,AQ4)&gt;0,SUM(AN4,AO4,AQ4),"")</f>
        <v>112.4</v>
      </c>
      <c r="AS4" s="19">
        <v>16</v>
      </c>
      <c r="AT4" s="19">
        <v>6.8</v>
      </c>
      <c r="AU4" s="19">
        <v>0.2</v>
      </c>
      <c r="AV4" s="19">
        <v>0.6</v>
      </c>
      <c r="AW4" s="19">
        <v>16.5</v>
      </c>
      <c r="AX4" s="19">
        <v>6.8</v>
      </c>
      <c r="AY4" s="19">
        <v>0</v>
      </c>
      <c r="AZ4" s="19">
        <v>0.6</v>
      </c>
      <c r="BA4" s="19">
        <v>16.2</v>
      </c>
      <c r="BB4" s="19">
        <v>7.5</v>
      </c>
      <c r="BC4" s="19">
        <v>0</v>
      </c>
      <c r="BD4" s="19">
        <v>0.6</v>
      </c>
      <c r="BE4" s="19">
        <v>15</v>
      </c>
      <c r="BF4" s="19">
        <v>4.3</v>
      </c>
      <c r="BG4" s="19">
        <v>0.4</v>
      </c>
      <c r="BH4" s="19">
        <v>0.3</v>
      </c>
      <c r="BI4" s="19">
        <v>15.1</v>
      </c>
      <c r="BJ4" s="19">
        <v>7.3</v>
      </c>
      <c r="BK4" s="19">
        <v>0</v>
      </c>
      <c r="BL4" s="19">
        <v>0.6</v>
      </c>
      <c r="BM4" s="33"/>
      <c r="BN4" s="14">
        <f>IF(SUM(AT4,AX4)&gt;0,SUM(AT4,AX4),"")</f>
        <v>13.6</v>
      </c>
      <c r="BO4" s="14">
        <f>IF(SUM(AS4:AT4,AV4:AX4,AZ4)-AU4-AY4&gt;0,SUM(AS4:AT4,AV4:AX4,AZ4)-AU4-AY4,"")</f>
        <v>47.1</v>
      </c>
      <c r="BP4" s="14">
        <f>IF(SUM(BA4:BB4,BD4)-BC4&gt;0,SUM(BA4:BB4,BD4)-BC4,"")</f>
        <v>24.3</v>
      </c>
      <c r="BQ4" s="14">
        <f>IF(SUM(BF4,BJ4)&gt;0,SUM(BF4,BJ4),"")</f>
        <v>11.6</v>
      </c>
      <c r="BR4" s="14">
        <f>IF(SUM(BE4:BF4,BH4:BJ4,BL4)-SUM(BG4,BK4)&gt;0,SUM(BE4:BF4,BH4:BJ4,BL4)-SUM(BG4,BK4),"")</f>
        <v>42.2</v>
      </c>
      <c r="BS4" s="14">
        <f>IF(SUM(BO4,BP4,BR4)&gt;0,SUM(BO4,BP4,BR4),"")</f>
        <v>113.60000000000001</v>
      </c>
      <c r="BT4" s="20">
        <v>14.7</v>
      </c>
      <c r="BU4" s="20">
        <v>5.5</v>
      </c>
      <c r="BV4" s="20">
        <v>0</v>
      </c>
      <c r="BW4" s="20">
        <v>0.6</v>
      </c>
      <c r="BX4" s="20">
        <v>15.5</v>
      </c>
      <c r="BY4" s="20">
        <v>6.1</v>
      </c>
      <c r="BZ4" s="20">
        <v>0</v>
      </c>
      <c r="CA4" s="20">
        <v>0.6</v>
      </c>
      <c r="CB4" s="20">
        <v>16</v>
      </c>
      <c r="CC4" s="20">
        <v>7.5</v>
      </c>
      <c r="CD4" s="20">
        <v>0</v>
      </c>
      <c r="CE4" s="20">
        <v>0.6</v>
      </c>
      <c r="CF4" s="20">
        <v>15.7</v>
      </c>
      <c r="CG4" s="20">
        <v>6.8</v>
      </c>
      <c r="CH4" s="20">
        <v>0</v>
      </c>
      <c r="CI4" s="20">
        <v>0.6</v>
      </c>
      <c r="CJ4" s="20">
        <v>16.100000000000001</v>
      </c>
      <c r="CK4" s="20">
        <v>7.5</v>
      </c>
      <c r="CL4" s="20">
        <v>0</v>
      </c>
      <c r="CM4" s="20">
        <v>0.6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43</v>
      </c>
      <c r="CQ4" s="55">
        <f>IF(SUM(CB4:CC4,CE4)-CD4&gt;0,SUM(CB4:CC4,CE4)-CD4,"")</f>
        <v>24.1</v>
      </c>
      <c r="CR4" s="55">
        <f>IF(SUM(CG4,CK4)&gt;0,SUM(CG4,CK4),"")</f>
        <v>14.3</v>
      </c>
      <c r="CS4" s="55">
        <f>IF(SUM(CF4:CG4,CI4:CK4,CM4)-SUM(CH4,CL4)&gt;0,SUM(CF4:CG4,CI4:CK4,CM4)-SUM(CH4,CL4),"")</f>
        <v>47.300000000000004</v>
      </c>
      <c r="CT4" s="55">
        <f>IF(SUM(CP4,CQ4,CS4)&gt;0,SUM(CP4,CQ4,CS4),"")</f>
        <v>114.4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>
        <v>15.1</v>
      </c>
      <c r="DX4" s="19">
        <v>7.5</v>
      </c>
      <c r="DY4" s="19">
        <v>0</v>
      </c>
      <c r="DZ4" s="19">
        <v>0</v>
      </c>
      <c r="EA4" s="19">
        <v>15.3</v>
      </c>
      <c r="EB4" s="19">
        <v>6.8</v>
      </c>
      <c r="EC4" s="19">
        <v>0</v>
      </c>
      <c r="ED4" s="19">
        <v>0</v>
      </c>
      <c r="EE4" s="19"/>
      <c r="EF4" s="19"/>
      <c r="EG4" s="19"/>
      <c r="EH4" s="19"/>
      <c r="EI4" s="19">
        <v>15.4</v>
      </c>
      <c r="EJ4" s="19">
        <v>6.8</v>
      </c>
      <c r="EK4" s="19">
        <v>0</v>
      </c>
      <c r="EL4" s="19">
        <v>0</v>
      </c>
      <c r="EM4" s="19">
        <v>15.5</v>
      </c>
      <c r="EN4" s="19">
        <v>7.5</v>
      </c>
      <c r="EO4" s="19">
        <v>0</v>
      </c>
      <c r="EP4" s="19">
        <v>0</v>
      </c>
      <c r="EQ4" s="14">
        <f>IF(SUM(DX4,EB4)&gt;0,SUM(DX4,EB4),"")</f>
        <v>14.3</v>
      </c>
      <c r="ER4" s="14">
        <f>IF(SUM(DW4:DX4,DZ4:EB4,ED4)-DY4-EC4&gt;0,SUM(DW4:DX4,DZ4:EB4,ED4)-DY4-EC4,"")</f>
        <v>44.7</v>
      </c>
      <c r="ES4" s="14" t="str">
        <f>IF(SUM(EE4:EF4,EH4)-EG4&gt;0,SUM(EE4:EF4,EH4)-EG4,"")</f>
        <v/>
      </c>
      <c r="ET4" s="14">
        <f>IF(SUM(EJ4,EN4)&gt;0,SUM(EJ4,EN4),"")</f>
        <v>14.3</v>
      </c>
      <c r="EU4" s="14">
        <f>IF(SUM(EI4:EJ4,EL4:EN4,EP4)-SUM(EK4,EO4)&gt;0,SUM(EI4:EJ4,EL4:EN4,EP4)-SUM(EK4,EO4),"")</f>
        <v>45.2</v>
      </c>
      <c r="EV4" s="14">
        <f>IF(SUM(ER4,ES4,EU4)&gt;0,SUM(ER4,ES4,EU4),"")</f>
        <v>89.9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15.35</v>
      </c>
      <c r="OX4" s="27">
        <f>IF($CN4="P",BU4,(BU4+AT4)/2)</f>
        <v>6.15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</v>
      </c>
      <c r="PB4" s="27">
        <f>IF($CN4="P",BY4,(BY4+AX4)/2)</f>
        <v>6.4499999999999993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16.100000000000001</v>
      </c>
      <c r="PF4" s="27">
        <f>IF($CN4="P",CC4,(CC4+BB4)/2)</f>
        <v>7.5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15.35</v>
      </c>
      <c r="PJ4" s="27">
        <f>IF($CN4="P",CG4,(CG4+BF4)/2)</f>
        <v>5.55</v>
      </c>
      <c r="PK4" s="27">
        <f>IF($CN4="P",CH4,(CH4+BG4)/2)</f>
        <v>0.2</v>
      </c>
      <c r="PL4" s="27">
        <f>IF($CN4="P",CI4,(CI4+BH4)/2)</f>
        <v>0.44999999999999996</v>
      </c>
      <c r="PM4" s="27">
        <f>IF($CN4="P",CJ4,(CJ4+BI4)/2)</f>
        <v>15.600000000000001</v>
      </c>
      <c r="PN4" s="27">
        <f>IF($CN4="P",CK4,(CK4+BJ4)/2)</f>
        <v>7.4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12.6</v>
      </c>
      <c r="PS4" s="55">
        <f>IF(SUM(OW4:OX4,OZ4:PB4,PD4)-OY4-PC4&gt;0,SUM(OW4:OX4,OZ4:PB4,PD4)-OY4-PC4,"")</f>
        <v>45.05</v>
      </c>
      <c r="PT4" s="55">
        <f>IF(SUM(PE4:PF4,PH4)-PG4&gt;0,SUM(PE4:PF4,PH4)-PG4,"")</f>
        <v>24.200000000000003</v>
      </c>
      <c r="PU4" s="55">
        <f>IF(SUM(PJ4,PN4)&gt;0,SUM(PJ4,PN4),"")</f>
        <v>12.95</v>
      </c>
      <c r="PV4" s="55">
        <f>IF(SUM(PI4:PJ4,PL4:PN4,PP4)-SUM(PK4,PO4)&gt;0,SUM(PI4:PJ4,PL4:PN4,PP4)-SUM(PK4,PO4),"")</f>
        <v>44.75</v>
      </c>
      <c r="PW4" s="55">
        <f>IF(SUM(PS4,PT4,PV4)&gt;0,SUM(PS4,PT4,PV4),"")</f>
        <v>114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81</v>
      </c>
      <c r="C5" s="4" t="s">
        <v>66</v>
      </c>
      <c r="D5" s="4">
        <v>2008</v>
      </c>
      <c r="E5" s="10">
        <f>SUM(I5:O5)+SUM(I5:M5)*0.0000001+SUM(I5)*0.0000000000001</f>
        <v>136.30001319000436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43.600000000000009</v>
      </c>
      <c r="J5" s="9" t="str">
        <f>IF(I5=0,"",IF(I5=CP5,$BT$1,IF(I5=BO5,$AS$1,IF(I5=AN5,$R$1,""))))</f>
        <v>2024 Elite Canada</v>
      </c>
      <c r="K5" s="9">
        <f>IF(COUNT(AN5,BO5,CP5)&gt;1,LARGE((AN5,BO5,CP5),2),0)</f>
        <v>41.300000000000004</v>
      </c>
      <c r="L5" s="9" t="str">
        <f>IF(K5=0,"",IF(AND(K5=I5,K5=AN5,K5=BO5),$R$1,IF(AND(K5=I5,K5=AN5,K5=CP5),$R$1,IF(AND(K5=I5,K5=CP5,K5=BO5),$AS$1,IF(K5=CP5,$BT$1,IF(K5=BO5,$AS$1,IF(K5=AN5,$R$1,"")))))))</f>
        <v>2024 Nationals</v>
      </c>
      <c r="M5" s="9">
        <f>IF(MAX(AQ5,BR5,CS5)&gt;0,MAX(AQ5,BR5,CS5),0)</f>
        <v>47</v>
      </c>
      <c r="N5" s="9" t="str">
        <f>IF(M5=0,"",IF(M5=CS5,$BT$1,IF(M5=BR5,$AS$1,IF(M5=AQ5,$R$1,""))))</f>
        <v>2024 Nationals</v>
      </c>
      <c r="O5" s="9">
        <f>IF(MAX(CU5:CV5)&gt;0,MAX(CU5:CV5),"")</f>
        <v>4.3999999999999986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16.399999999999999</v>
      </c>
      <c r="AT5" s="19">
        <v>6.1</v>
      </c>
      <c r="AU5" s="19">
        <v>0</v>
      </c>
      <c r="AV5" s="19">
        <v>0.6</v>
      </c>
      <c r="AW5" s="19">
        <v>14.6</v>
      </c>
      <c r="AX5" s="19">
        <v>5.7</v>
      </c>
      <c r="AY5" s="19">
        <v>0.4</v>
      </c>
      <c r="AZ5" s="19">
        <v>0.6</v>
      </c>
      <c r="BA5" s="19">
        <v>15.9</v>
      </c>
      <c r="BB5" s="19">
        <v>7.5</v>
      </c>
      <c r="BC5" s="19">
        <v>0</v>
      </c>
      <c r="BD5" s="19">
        <v>0.6</v>
      </c>
      <c r="BE5" s="19">
        <v>16.3</v>
      </c>
      <c r="BF5" s="19">
        <v>7.5</v>
      </c>
      <c r="BG5" s="19">
        <v>0</v>
      </c>
      <c r="BH5" s="19">
        <v>0.6</v>
      </c>
      <c r="BI5" s="19">
        <v>15.5</v>
      </c>
      <c r="BJ5" s="19">
        <v>5.8</v>
      </c>
      <c r="BK5" s="19">
        <v>0</v>
      </c>
      <c r="BL5" s="19">
        <v>0.6</v>
      </c>
      <c r="BM5" s="33"/>
      <c r="BN5" s="14">
        <f>IF(SUM(AT5,AX5)&gt;0,SUM(AT5,AX5),"")</f>
        <v>11.8</v>
      </c>
      <c r="BO5" s="14">
        <f>IF(SUM(AS5:AT5,AV5:AX5,AZ5)-AU5-AY5&gt;0,SUM(AS5:AT5,AV5:AX5,AZ5)-AU5-AY5,"")</f>
        <v>43.600000000000009</v>
      </c>
      <c r="BP5" s="14">
        <f>IF(SUM(BA5:BB5,BD5)-BC5&gt;0,SUM(BA5:BB5,BD5)-BC5,"")</f>
        <v>24</v>
      </c>
      <c r="BQ5" s="14">
        <f>IF(SUM(BF5,BJ5)&gt;0,SUM(BF5,BJ5),"")</f>
        <v>13.3</v>
      </c>
      <c r="BR5" s="14">
        <f>IF(SUM(BE5:BF5,BH5:BJ5,BL5)-SUM(BG5,BK5)&gt;0,SUM(BE5:BF5,BH5:BJ5,BL5)-SUM(BG5,BK5),"")</f>
        <v>46.300000000000004</v>
      </c>
      <c r="BS5" s="14">
        <f>IF(SUM(BO5,BP5,BR5)&gt;0,SUM(BO5,BP5,BR5),"")</f>
        <v>113.9</v>
      </c>
      <c r="BT5" s="20">
        <v>15</v>
      </c>
      <c r="BU5" s="20">
        <v>6.5</v>
      </c>
      <c r="BV5" s="20">
        <v>1</v>
      </c>
      <c r="BW5" s="20">
        <v>0</v>
      </c>
      <c r="BX5" s="20">
        <v>14</v>
      </c>
      <c r="BY5" s="20">
        <v>6.2</v>
      </c>
      <c r="BZ5" s="20">
        <v>0</v>
      </c>
      <c r="CA5" s="20">
        <v>0.6</v>
      </c>
      <c r="CB5" s="20">
        <v>15.2</v>
      </c>
      <c r="CC5" s="20">
        <v>7.5</v>
      </c>
      <c r="CD5" s="20">
        <v>0</v>
      </c>
      <c r="CE5" s="20">
        <v>0.6</v>
      </c>
      <c r="CF5" s="20">
        <v>15.6</v>
      </c>
      <c r="CG5" s="20">
        <v>7.9</v>
      </c>
      <c r="CH5" s="20">
        <v>0</v>
      </c>
      <c r="CI5" s="20">
        <v>0.6</v>
      </c>
      <c r="CJ5" s="20">
        <v>15.5</v>
      </c>
      <c r="CK5" s="20">
        <v>6.8</v>
      </c>
      <c r="CL5" s="20">
        <v>0</v>
      </c>
      <c r="CM5" s="20">
        <v>0.6</v>
      </c>
      <c r="CN5" s="32"/>
      <c r="CO5" s="55">
        <f>IF(SUM(BU5,BY5)&gt;0,SUM(BU5,BY5),"")</f>
        <v>12.7</v>
      </c>
      <c r="CP5" s="55">
        <f>IF(SUM(BT5:BU5,BW5:BY5,CA5)-BV5-BZ5&gt;0,SUM(BT5:BU5,BW5:BY5,CA5)-BV5-BZ5,"")</f>
        <v>41.300000000000004</v>
      </c>
      <c r="CQ5" s="55">
        <f>IF(SUM(CB5:CC5,CE5)-CD5&gt;0,SUM(CB5:CC5,CE5)-CD5,"")</f>
        <v>23.3</v>
      </c>
      <c r="CR5" s="55">
        <f>IF(SUM(CG5,CK5)&gt;0,SUM(CG5,CK5),"")</f>
        <v>14.7</v>
      </c>
      <c r="CS5" s="55">
        <f>IF(SUM(CF5:CG5,CI5:CK5,CM5)-SUM(CH5,CL5)&gt;0,SUM(CF5:CG5,CI5:CK5,CM5)-SUM(CH5,CL5),"")</f>
        <v>47</v>
      </c>
      <c r="CT5" s="55">
        <f>IF(SUM(CP5,CQ5,CS5)&gt;0,SUM(CP5,CQ5,CS5),"")</f>
        <v>111.60000000000001</v>
      </c>
      <c r="CU5" s="56">
        <f>IF(MAX(DR5,ER5,FR5,GR5,HR5,IR5,JR5,KR5,LR5,MR5,NR5,OR5)-IF(K5="",0,K5)&gt;0.001,MAX(DR5,ER5,FR5,GR5,HR5,IR5,JR5,KR5,LR5,MR5,NR5,OR5)-IF(K5="",0,K5),"")</f>
        <v>4.3999999999999986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>
        <v>15.7</v>
      </c>
      <c r="DX5" s="19">
        <v>7.5</v>
      </c>
      <c r="DY5" s="19">
        <v>0</v>
      </c>
      <c r="DZ5" s="19">
        <v>0</v>
      </c>
      <c r="EA5" s="19">
        <v>15.3</v>
      </c>
      <c r="EB5" s="19">
        <v>7.2</v>
      </c>
      <c r="EC5" s="19">
        <v>0</v>
      </c>
      <c r="ED5" s="19">
        <v>0</v>
      </c>
      <c r="EE5" s="19"/>
      <c r="EF5" s="19"/>
      <c r="EG5" s="19"/>
      <c r="EH5" s="19"/>
      <c r="EI5" s="19">
        <v>15.4</v>
      </c>
      <c r="EJ5" s="19">
        <v>6.8</v>
      </c>
      <c r="EK5" s="19">
        <v>0</v>
      </c>
      <c r="EL5" s="19">
        <v>0</v>
      </c>
      <c r="EM5" s="19">
        <v>16.100000000000001</v>
      </c>
      <c r="EN5" s="19">
        <v>6.5</v>
      </c>
      <c r="EO5" s="19">
        <v>0</v>
      </c>
      <c r="EP5" s="19">
        <v>0</v>
      </c>
      <c r="EQ5" s="14">
        <f>IF(SUM(DX5,EB5)&gt;0,SUM(DX5,EB5),"")</f>
        <v>14.7</v>
      </c>
      <c r="ER5" s="14">
        <f>IF(SUM(DW5:DX5,DZ5:EB5,ED5)-DY5-EC5&gt;0,SUM(DW5:DX5,DZ5:EB5,ED5)-DY5-EC5,"")</f>
        <v>45.7</v>
      </c>
      <c r="ES5" s="14" t="str">
        <f>IF(SUM(EE5:EF5,EH5)-EG5&gt;0,SUM(EE5:EF5,EH5)-EG5,"")</f>
        <v/>
      </c>
      <c r="ET5" s="14">
        <f>IF(SUM(EJ5,EN5)&gt;0,SUM(EJ5,EN5),"")</f>
        <v>13.3</v>
      </c>
      <c r="EU5" s="14">
        <f>IF(SUM(EI5:EJ5,EL5:EN5,EP5)-SUM(EK5,EO5)&gt;0,SUM(EI5:EJ5,EL5:EN5,EP5)-SUM(EK5,EO5),"")</f>
        <v>44.8</v>
      </c>
      <c r="EV5" s="14">
        <f>IF(SUM(ER5,ES5,EU5)&gt;0,SUM(ER5,ES5,EU5),"")</f>
        <v>90.5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15.7</v>
      </c>
      <c r="OX5" s="27">
        <f>IF($CN5="P",BU5,(BU5+AT5)/2)</f>
        <v>6.3</v>
      </c>
      <c r="OY5" s="27">
        <f>IF($CN5="P",BV5,(BV5+AU5)/2)</f>
        <v>0.5</v>
      </c>
      <c r="OZ5" s="27">
        <f>IF($CN5="P",BW5,(BW5+AV5)/2)</f>
        <v>0.3</v>
      </c>
      <c r="PA5" s="27">
        <f>IF($CN5="P",BX5,(BX5+AW5)/2)</f>
        <v>14.3</v>
      </c>
      <c r="PB5" s="27">
        <f>IF($CN5="P",BY5,(BY5+AX5)/2)</f>
        <v>5.95</v>
      </c>
      <c r="PC5" s="27">
        <f>IF($CN5="P",BZ5,(BZ5+AY5)/2)</f>
        <v>0.2</v>
      </c>
      <c r="PD5" s="27">
        <f>IF($CN5="P",CA5,(CA5+AZ5)/2)</f>
        <v>0.6</v>
      </c>
      <c r="PE5" s="27">
        <f>IF($CN5="P",CB5,(CB5+BA5)/2)</f>
        <v>15.55</v>
      </c>
      <c r="PF5" s="27">
        <f>IF($CN5="P",CC5,(CC5+BB5)/2)</f>
        <v>7.5</v>
      </c>
      <c r="PG5" s="27">
        <f>IF($CN5="P",CD5,(CD5+BC5)/2)</f>
        <v>0</v>
      </c>
      <c r="PH5" s="27">
        <f>IF($CN5="P",CE5,(CE5+BD5)/2)</f>
        <v>0.6</v>
      </c>
      <c r="PI5" s="27">
        <f>IF($CN5="P",CF5,(CF5+BE5)/2)</f>
        <v>15.95</v>
      </c>
      <c r="PJ5" s="27">
        <f>IF($CN5="P",CG5,(CG5+BF5)/2)</f>
        <v>7.7</v>
      </c>
      <c r="PK5" s="27">
        <f>IF($CN5="P",CH5,(CH5+BG5)/2)</f>
        <v>0</v>
      </c>
      <c r="PL5" s="27">
        <f>IF($CN5="P",CI5,(CI5+BH5)/2)</f>
        <v>0.6</v>
      </c>
      <c r="PM5" s="27">
        <f>IF($CN5="P",CJ5,(CJ5+BI5)/2)</f>
        <v>15.5</v>
      </c>
      <c r="PN5" s="27">
        <f>IF($CN5="P",CK5,(CK5+BJ5)/2)</f>
        <v>6.3</v>
      </c>
      <c r="PO5" s="27">
        <f>IF($CN5="P",CL5,(CL5+BK5)/2)</f>
        <v>0</v>
      </c>
      <c r="PP5" s="27">
        <f>IF($CN5="P",CM5,(CM5+BL5)/2)</f>
        <v>0.6</v>
      </c>
      <c r="PQ5" s="32" t="s">
        <v>44</v>
      </c>
      <c r="PR5" s="55">
        <f>IF(SUM(OX5,PB5)&gt;0,SUM(OX5,PB5),"")</f>
        <v>12.25</v>
      </c>
      <c r="PS5" s="55">
        <f>IF(SUM(OW5:OX5,OZ5:PB5,PD5)-OY5-PC5&gt;0,SUM(OW5:OX5,OZ5:PB5,PD5)-OY5-PC5,"")</f>
        <v>42.45</v>
      </c>
      <c r="PT5" s="55">
        <f>IF(SUM(PE5:PF5,PH5)-PG5&gt;0,SUM(PE5:PF5,PH5)-PG5,"")</f>
        <v>23.650000000000002</v>
      </c>
      <c r="PU5" s="55">
        <f>IF(SUM(PJ5,PN5)&gt;0,SUM(PJ5,PN5),"")</f>
        <v>14</v>
      </c>
      <c r="PV5" s="55">
        <f>IF(SUM(PI5:PJ5,PL5:PN5,PP5)-SUM(PK5,PO5)&gt;0,SUM(PI5:PJ5,PL5:PN5,PP5)-SUM(PK5,PO5),"")</f>
        <v>46.65</v>
      </c>
      <c r="PW5" s="55">
        <f>IF(SUM(PS5,PT5,PV5)&gt;0,SUM(PS5,PT5,PV5),"")</f>
        <v>112.75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80</v>
      </c>
      <c r="C6" s="4" t="s">
        <v>65</v>
      </c>
      <c r="D6" s="4">
        <v>2008</v>
      </c>
      <c r="E6" s="10">
        <f>SUM(I6:O6)+SUM(I6:M6)*0.0000001+SUM(I6)*0.0000000000001</f>
        <v>134.80001348000459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45.699999999999996</v>
      </c>
      <c r="J6" s="9" t="str">
        <f>IF(I6=0,"",IF(I6=CP6,$BT$1,IF(I6=BO6,$AS$1,IF(I6=AN6,$R$1,""))))</f>
        <v>2024 Elite Canada</v>
      </c>
      <c r="K6" s="9">
        <f>IF(COUNT(AN6,BO6,CP6)&gt;1,LARGE((AN6,BO6,CP6),2),0)</f>
        <v>45.6</v>
      </c>
      <c r="L6" s="9" t="str">
        <f>IF(K6=0,"",IF(AND(K6=I6,K6=AN6,K6=BO6),$R$1,IF(AND(K6=I6,K6=AN6,K6=CP6),$R$1,IF(AND(K6=I6,K6=CP6,K6=BO6),$AS$1,IF(K6=CP6,$BT$1,IF(K6=BO6,$AS$1,IF(K6=AN6,$R$1,"")))))))</f>
        <v>2024 Nationals</v>
      </c>
      <c r="M6" s="9">
        <f>IF(MAX(AQ6,BR6,CS6)&gt;0,MAX(AQ6,BR6,CS6),0)</f>
        <v>43.500000000000007</v>
      </c>
      <c r="N6" s="9" t="str">
        <f>IF(M6=0,"",IF(M6=CS6,$BT$1,IF(M6=BR6,$AS$1,IF(M6=AQ6,$R$1,""))))</f>
        <v>2024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16.3</v>
      </c>
      <c r="AT6" s="19">
        <v>5.9</v>
      </c>
      <c r="AU6" s="19">
        <v>0.2</v>
      </c>
      <c r="AV6" s="19">
        <v>0.6</v>
      </c>
      <c r="AW6" s="19">
        <v>16.7</v>
      </c>
      <c r="AX6" s="19">
        <v>5.8</v>
      </c>
      <c r="AY6" s="19">
        <v>0</v>
      </c>
      <c r="AZ6" s="19">
        <v>0.6</v>
      </c>
      <c r="BA6" s="19">
        <v>16.5</v>
      </c>
      <c r="BB6" s="19">
        <v>5.8</v>
      </c>
      <c r="BC6" s="19">
        <v>0</v>
      </c>
      <c r="BD6" s="19">
        <v>0.6</v>
      </c>
      <c r="BE6" s="19">
        <v>13.8</v>
      </c>
      <c r="BF6" s="19">
        <v>4.5999999999999996</v>
      </c>
      <c r="BG6" s="19">
        <v>0</v>
      </c>
      <c r="BH6" s="19">
        <v>0.3</v>
      </c>
      <c r="BI6" s="19">
        <v>16.8</v>
      </c>
      <c r="BJ6" s="19">
        <v>5.8</v>
      </c>
      <c r="BK6" s="19">
        <v>0</v>
      </c>
      <c r="BL6" s="19">
        <v>0.6</v>
      </c>
      <c r="BM6" s="33"/>
      <c r="BN6" s="14">
        <f>IF(SUM(AT6,AX6)&gt;0,SUM(AT6,AX6),"")</f>
        <v>11.7</v>
      </c>
      <c r="BO6" s="14">
        <f>IF(SUM(AS6:AT6,AV6:AX6,AZ6)-AU6-AY6&gt;0,SUM(AS6:AT6,AV6:AX6,AZ6)-AU6-AY6,"")</f>
        <v>45.699999999999996</v>
      </c>
      <c r="BP6" s="14">
        <f>IF(SUM(BA6:BB6,BD6)-BC6&gt;0,SUM(BA6:BB6,BD6)-BC6,"")</f>
        <v>22.900000000000002</v>
      </c>
      <c r="BQ6" s="14">
        <f>IF(SUM(BF6,BJ6)&gt;0,SUM(BF6,BJ6),"")</f>
        <v>10.399999999999999</v>
      </c>
      <c r="BR6" s="14">
        <f>IF(SUM(BE6:BF6,BH6:BJ6,BL6)-SUM(BG6,BK6)&gt;0,SUM(BE6:BF6,BH6:BJ6,BL6)-SUM(BG6,BK6),"")</f>
        <v>41.9</v>
      </c>
      <c r="BS6" s="14">
        <f>IF(SUM(BO6,BP6,BR6)&gt;0,SUM(BO6,BP6,BR6),"")</f>
        <v>110.5</v>
      </c>
      <c r="BT6" s="20">
        <v>16.600000000000001</v>
      </c>
      <c r="BU6" s="20">
        <v>5.7</v>
      </c>
      <c r="BV6" s="20">
        <v>0</v>
      </c>
      <c r="BW6" s="20">
        <v>0.3</v>
      </c>
      <c r="BX6" s="20">
        <v>16.600000000000001</v>
      </c>
      <c r="BY6" s="20">
        <v>5.8</v>
      </c>
      <c r="BZ6" s="20">
        <v>0</v>
      </c>
      <c r="CA6" s="20">
        <v>0.6</v>
      </c>
      <c r="CB6" s="20">
        <v>16.600000000000001</v>
      </c>
      <c r="CC6" s="20">
        <v>6</v>
      </c>
      <c r="CD6" s="20">
        <v>0</v>
      </c>
      <c r="CE6" s="20">
        <v>0.6</v>
      </c>
      <c r="CF6" s="20">
        <v>16.600000000000001</v>
      </c>
      <c r="CG6" s="20">
        <v>5.8</v>
      </c>
      <c r="CH6" s="20">
        <v>0</v>
      </c>
      <c r="CI6" s="20">
        <v>0.6</v>
      </c>
      <c r="CJ6" s="20">
        <v>17.600000000000001</v>
      </c>
      <c r="CK6" s="20">
        <v>3.5</v>
      </c>
      <c r="CL6" s="20">
        <v>0.6</v>
      </c>
      <c r="CM6" s="20">
        <v>0</v>
      </c>
      <c r="CN6" s="32"/>
      <c r="CO6" s="55">
        <f>IF(SUM(BU6,BY6)&gt;0,SUM(BU6,BY6),"")</f>
        <v>11.5</v>
      </c>
      <c r="CP6" s="55">
        <f>IF(SUM(BT6:BU6,BW6:BY6,CA6)-BV6-BZ6&gt;0,SUM(BT6:BU6,BW6:BY6,CA6)-BV6-BZ6,"")</f>
        <v>45.6</v>
      </c>
      <c r="CQ6" s="55">
        <f>IF(SUM(CB6:CC6,CE6)-CD6&gt;0,SUM(CB6:CC6,CE6)-CD6,"")</f>
        <v>23.200000000000003</v>
      </c>
      <c r="CR6" s="55">
        <f>IF(SUM(CG6,CK6)&gt;0,SUM(CG6,CK6),"")</f>
        <v>9.3000000000000007</v>
      </c>
      <c r="CS6" s="55">
        <f>IF(SUM(CF6:CG6,CI6:CK6,CM6)-SUM(CH6,CL6)&gt;0,SUM(CF6:CG6,CI6:CK6,CM6)-SUM(CH6,CL6),"")</f>
        <v>43.500000000000007</v>
      </c>
      <c r="CT6" s="55">
        <f>IF(SUM(CP6,CQ6,CS6)&gt;0,SUM(CP6,CQ6,CS6),"")</f>
        <v>112.30000000000001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16.2</v>
      </c>
      <c r="CX6" s="18">
        <v>5.8</v>
      </c>
      <c r="CY6" s="18">
        <v>0</v>
      </c>
      <c r="CZ6" s="18">
        <v>0</v>
      </c>
      <c r="DA6" s="18">
        <v>16.3</v>
      </c>
      <c r="DB6" s="18">
        <v>5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10.8</v>
      </c>
      <c r="DR6" s="55">
        <f>IF(SUM(CW6:CX6,CZ6:DB6,DD6)-CY6-DC6&gt;0,SUM(CW6:CX6,CZ6:DB6,DD6)-CY6-DC6,"")</f>
        <v>43.3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43.3</v>
      </c>
      <c r="DW6" s="19">
        <v>15.9</v>
      </c>
      <c r="DX6" s="19">
        <v>5.5</v>
      </c>
      <c r="DY6" s="19">
        <v>0</v>
      </c>
      <c r="DZ6" s="19">
        <v>0</v>
      </c>
      <c r="EA6" s="19">
        <v>16.2</v>
      </c>
      <c r="EB6" s="19">
        <v>6</v>
      </c>
      <c r="EC6" s="19">
        <v>0</v>
      </c>
      <c r="ED6" s="19">
        <v>0</v>
      </c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>
        <f>IF(SUM(DX6,EB6)&gt;0,SUM(DX6,EB6),"")</f>
        <v>11.5</v>
      </c>
      <c r="ER6" s="14">
        <f>IF(SUM(DW6:DX6,DZ6:EB6,ED6)-DY6-EC6&gt;0,SUM(DW6:DX6,DZ6:EB6,ED6)-DY6-EC6,"")</f>
        <v>43.599999999999994</v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>
        <f>IF(SUM(ER6,ES6,EU6)&gt;0,SUM(ER6,ES6,EU6),"")</f>
        <v>43.599999999999994</v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16.450000000000003</v>
      </c>
      <c r="OX6" s="27">
        <f>IF($CN6="P",BU6,(BU6+AT6)/2)</f>
        <v>5.8000000000000007</v>
      </c>
      <c r="OY6" s="27">
        <f>IF($CN6="P",BV6,(BV6+AU6)/2)</f>
        <v>0.1</v>
      </c>
      <c r="OZ6" s="27">
        <f>IF($CN6="P",BW6,(BW6+AV6)/2)</f>
        <v>0.44999999999999996</v>
      </c>
      <c r="PA6" s="27">
        <f>IF($CN6="P",BX6,(BX6+AW6)/2)</f>
        <v>16.649999999999999</v>
      </c>
      <c r="PB6" s="27">
        <f>IF($CN6="P",BY6,(BY6+AX6)/2)</f>
        <v>5.8</v>
      </c>
      <c r="PC6" s="27">
        <f>IF($CN6="P",BZ6,(BZ6+AY6)/2)</f>
        <v>0</v>
      </c>
      <c r="PD6" s="27">
        <f>IF($CN6="P",CA6,(CA6+AZ6)/2)</f>
        <v>0.6</v>
      </c>
      <c r="PE6" s="27">
        <f>IF($CN6="P",CB6,(CB6+BA6)/2)</f>
        <v>16.55</v>
      </c>
      <c r="PF6" s="27">
        <f>IF($CN6="P",CC6,(CC6+BB6)/2)</f>
        <v>5.9</v>
      </c>
      <c r="PG6" s="27">
        <f>IF($CN6="P",CD6,(CD6+BC6)/2)</f>
        <v>0</v>
      </c>
      <c r="PH6" s="27">
        <f>IF($CN6="P",CE6,(CE6+BD6)/2)</f>
        <v>0.6</v>
      </c>
      <c r="PI6" s="27">
        <f>IF($CN6="P",CF6,(CF6+BE6)/2)</f>
        <v>15.200000000000001</v>
      </c>
      <c r="PJ6" s="27">
        <f>IF($CN6="P",CG6,(CG6+BF6)/2)</f>
        <v>5.1999999999999993</v>
      </c>
      <c r="PK6" s="27">
        <f>IF($CN6="P",CH6,(CH6+BG6)/2)</f>
        <v>0</v>
      </c>
      <c r="PL6" s="27">
        <f>IF($CN6="P",CI6,(CI6+BH6)/2)</f>
        <v>0.44999999999999996</v>
      </c>
      <c r="PM6" s="27">
        <f>IF($CN6="P",CJ6,(CJ6+BI6)/2)</f>
        <v>17.200000000000003</v>
      </c>
      <c r="PN6" s="27">
        <f>IF($CN6="P",CK6,(CK6+BJ6)/2)</f>
        <v>4.6500000000000004</v>
      </c>
      <c r="PO6" s="27">
        <f>IF($CN6="P",CL6,(CL6+BK6)/2)</f>
        <v>0.3</v>
      </c>
      <c r="PP6" s="27">
        <f>IF($CN6="P",CM6,(CM6+BL6)/2)</f>
        <v>0.3</v>
      </c>
      <c r="PQ6" s="32" t="s">
        <v>44</v>
      </c>
      <c r="PR6" s="55">
        <f>IF(SUM(OX6,PB6)&gt;0,SUM(OX6,PB6),"")</f>
        <v>11.600000000000001</v>
      </c>
      <c r="PS6" s="55">
        <f>IF(SUM(OW6:OX6,OZ6:PB6,PD6)-OY6-PC6&gt;0,SUM(OW6:OX6,OZ6:PB6,PD6)-OY6-PC6,"")</f>
        <v>45.65</v>
      </c>
      <c r="PT6" s="55">
        <f>IF(SUM(PE6:PF6,PH6)-PG6&gt;0,SUM(PE6:PF6,PH6)-PG6,"")</f>
        <v>23.050000000000004</v>
      </c>
      <c r="PU6" s="55">
        <f>IF(SUM(PJ6,PN6)&gt;0,SUM(PJ6,PN6),"")</f>
        <v>9.85</v>
      </c>
      <c r="PV6" s="55">
        <f>IF(SUM(PI6:PJ6,PL6:PN6,PP6)-SUM(PK6,PO6)&gt;0,SUM(PI6:PJ6,PL6:PN6,PP6)-SUM(PK6,PO6),"")</f>
        <v>42.699999999999996</v>
      </c>
      <c r="PW6" s="55">
        <f>IF(SUM(PS6,PT6,PV6)&gt;0,SUM(PS6,PT6,PV6),"")</f>
        <v>111.4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107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96</v>
      </c>
      <c r="C4" s="4" t="s">
        <v>66</v>
      </c>
      <c r="D4" s="4">
        <v>2008</v>
      </c>
      <c r="E4" s="10">
        <f>SUM(I4:O4)+SUM(I4:M4)*0.0000001+SUM(I4)*0.0000000000001</f>
        <v>123.50001204000392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39.1</v>
      </c>
      <c r="J4" s="9" t="str">
        <f>IF(I4=0,"",IF(I4=CP4,$BT$1,IF(I4=BO4,$AS$1,IF(I4=AN4,$R$1,""))))</f>
        <v>2024 Elite Canada</v>
      </c>
      <c r="K4" s="9">
        <f>IF(COUNT(AN4,BO4,CP4)&gt;1,LARGE((AN4,BO4,CP4),2),0)</f>
        <v>37.4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>
        <f>IF(MAX(CU4:CV4)&gt;0,MAX(CU4:CV4),"")</f>
        <v>3.1000000000000085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15.9</v>
      </c>
      <c r="AT4" s="19">
        <v>6.1</v>
      </c>
      <c r="AU4" s="19">
        <v>0</v>
      </c>
      <c r="AV4" s="19">
        <v>0.3</v>
      </c>
      <c r="AW4" s="19">
        <v>15.3</v>
      </c>
      <c r="AX4" s="19">
        <v>2.5</v>
      </c>
      <c r="AY4" s="19">
        <v>1.3</v>
      </c>
      <c r="AZ4" s="19">
        <v>0.3</v>
      </c>
      <c r="BA4" s="19">
        <v>15.7</v>
      </c>
      <c r="BB4" s="19">
        <v>3.4</v>
      </c>
      <c r="BC4" s="19">
        <v>0.4</v>
      </c>
      <c r="BD4" s="19">
        <v>0.3</v>
      </c>
      <c r="BE4" s="19">
        <v>16.100000000000001</v>
      </c>
      <c r="BF4" s="19">
        <v>6.1</v>
      </c>
      <c r="BG4" s="19">
        <v>0</v>
      </c>
      <c r="BH4" s="19">
        <v>0.3</v>
      </c>
      <c r="BI4" s="19">
        <v>17.8</v>
      </c>
      <c r="BJ4" s="19">
        <v>3.6</v>
      </c>
      <c r="BK4" s="19">
        <v>0</v>
      </c>
      <c r="BL4" s="19">
        <v>0</v>
      </c>
      <c r="BM4" s="33"/>
      <c r="BN4" s="14">
        <f>IF(SUM(AT4,AX4)&gt;0,SUM(AT4,AX4),"")</f>
        <v>8.6</v>
      </c>
      <c r="BO4" s="14">
        <f>IF(SUM(AS4:AT4,AV4:AX4,AZ4)-AU4-AY4&gt;0,SUM(AS4:AT4,AV4:AX4,AZ4)-AU4-AY4,"")</f>
        <v>39.1</v>
      </c>
      <c r="BP4" s="14">
        <f>IF(SUM(BA4:BB4,BD4)-BC4&gt;0,SUM(BA4:BB4,BD4)-BC4,"")</f>
        <v>19</v>
      </c>
      <c r="BQ4" s="14">
        <f>IF(SUM(BF4,BJ4)&gt;0,SUM(BF4,BJ4),"")</f>
        <v>9.6999999999999993</v>
      </c>
      <c r="BR4" s="14">
        <f>IF(SUM(BE4:BF4,BH4:BJ4,BL4)-SUM(BG4,BK4)&gt;0,SUM(BE4:BF4,BH4:BJ4,BL4)-SUM(BG4,BK4),"")</f>
        <v>43.900000000000006</v>
      </c>
      <c r="BS4" s="14">
        <f>IF(SUM(BO4,BP4,BR4)&gt;0,SUM(BO4,BP4,BR4),"")</f>
        <v>102</v>
      </c>
      <c r="BT4" s="20">
        <v>15.9</v>
      </c>
      <c r="BU4" s="20">
        <v>3.8</v>
      </c>
      <c r="BV4" s="20">
        <v>0.4</v>
      </c>
      <c r="BW4" s="20">
        <v>0.3</v>
      </c>
      <c r="BX4" s="20">
        <v>16.5</v>
      </c>
      <c r="BY4" s="20">
        <v>1.3</v>
      </c>
      <c r="BZ4" s="20">
        <v>0</v>
      </c>
      <c r="CA4" s="20">
        <v>0</v>
      </c>
      <c r="CB4" s="20">
        <v>13.8</v>
      </c>
      <c r="CC4" s="20">
        <v>6.1</v>
      </c>
      <c r="CD4" s="20">
        <v>0</v>
      </c>
      <c r="CE4" s="20">
        <v>0.3</v>
      </c>
      <c r="CF4" s="20">
        <v>15.8</v>
      </c>
      <c r="CG4" s="20">
        <v>6.1</v>
      </c>
      <c r="CH4" s="20">
        <v>0</v>
      </c>
      <c r="CI4" s="20">
        <v>0.3</v>
      </c>
      <c r="CJ4" s="20">
        <v>17.399999999999999</v>
      </c>
      <c r="CK4" s="20">
        <v>2.1</v>
      </c>
      <c r="CL4" s="20">
        <v>1</v>
      </c>
      <c r="CM4" s="20">
        <v>0</v>
      </c>
      <c r="CN4" s="32"/>
      <c r="CO4" s="55">
        <f>IF(SUM(BU4,BY4)&gt;0,SUM(BU4,BY4),"")</f>
        <v>5.0999999999999996</v>
      </c>
      <c r="CP4" s="55">
        <f>IF(SUM(BT4:BU4,BW4:BY4,CA4)-BV4-BZ4&gt;0,SUM(BT4:BU4,BW4:BY4,CA4)-BV4-BZ4,"")</f>
        <v>37.4</v>
      </c>
      <c r="CQ4" s="55">
        <f>IF(SUM(CB4:CC4,CE4)-CD4&gt;0,SUM(CB4:CC4,CE4)-CD4,"")</f>
        <v>20.2</v>
      </c>
      <c r="CR4" s="55">
        <f>IF(SUM(CG4,CK4)&gt;0,SUM(CG4,CK4),"")</f>
        <v>8.1999999999999993</v>
      </c>
      <c r="CS4" s="55">
        <f>IF(SUM(CF4:CG4,CI4:CK4,CM4)-SUM(CH4,CL4)&gt;0,SUM(CF4:CG4,CI4:CK4,CM4)-SUM(CH4,CL4),"")</f>
        <v>40.699999999999996</v>
      </c>
      <c r="CT4" s="55">
        <f>IF(SUM(CP4,CQ4,CS4)&gt;0,SUM(CP4,CQ4,CS4),"")</f>
        <v>98.299999999999983</v>
      </c>
      <c r="CU4" s="56">
        <f>IF(MAX(DR4,ER4,FR4,GR4,HR4,IR4,JR4,KR4,LR4,MR4,NR4,OR4)-IF(K4="",0,K4)&gt;0.001,MAX(DR4,ER4,FR4,GR4,HR4,IR4,JR4,KR4,LR4,MR4,NR4,OR4)-IF(K4="",0,K4),"")</f>
        <v>3.1000000000000085</v>
      </c>
      <c r="CV4" s="56" t="str">
        <f>IF(MAX(DU4,EU4,FU4,GU4,HU4,IU4,JU4,KU4,LU4,MU4,NU4,OU4)-IF(M4="",0,M4)&gt;0.001,MAX(DU4,EU4,FU4,GU4,HU4,IU4,JU4,KU4,LU4,MU4,NU4,OU4)-IF(M4="",0,M4),"")</f>
        <v/>
      </c>
      <c r="CW4" s="18">
        <v>16.100000000000001</v>
      </c>
      <c r="CX4" s="18">
        <v>6.1</v>
      </c>
      <c r="CY4" s="18">
        <v>0.4</v>
      </c>
      <c r="CZ4" s="18">
        <v>0</v>
      </c>
      <c r="DA4" s="18">
        <v>15.1</v>
      </c>
      <c r="DB4" s="18">
        <v>3.6</v>
      </c>
      <c r="DC4" s="18">
        <v>0</v>
      </c>
      <c r="DD4" s="18">
        <v>0</v>
      </c>
      <c r="DE4" s="18"/>
      <c r="DF4" s="18"/>
      <c r="DG4" s="18"/>
      <c r="DH4" s="18"/>
      <c r="DI4" s="18">
        <v>16.3</v>
      </c>
      <c r="DJ4" s="18">
        <v>1.2</v>
      </c>
      <c r="DK4" s="18">
        <v>0</v>
      </c>
      <c r="DL4" s="18">
        <v>0</v>
      </c>
      <c r="DM4" s="18"/>
      <c r="DN4" s="18"/>
      <c r="DO4" s="18"/>
      <c r="DP4" s="18"/>
      <c r="DQ4" s="55">
        <f>IF(SUM(CX4,DB4)&gt;0,SUM(CX4,DB4),"")</f>
        <v>9.6999999999999993</v>
      </c>
      <c r="DR4" s="55">
        <f>IF(SUM(CW4:CX4,CZ4:DB4,DD4)-CY4-DC4&gt;0,SUM(CW4:CX4,CZ4:DB4,DD4)-CY4-DC4,"")</f>
        <v>40.500000000000007</v>
      </c>
      <c r="DS4" s="55" t="str">
        <f>IF(SUM(DE4:DF4,DH4)-DG4&gt;0,SUM(DE4:DF4,DH4)-DG4,"")</f>
        <v/>
      </c>
      <c r="DT4" s="55">
        <f>IF(SUM(DJ4,DN4)&gt;0,SUM(DJ4,DN4),"")</f>
        <v>1.2</v>
      </c>
      <c r="DU4" s="55">
        <f>IF(SUM(DI4:DJ4,DL4:DN4,DP4)-SUM(DK4,DO4)&gt;0,SUM(DI4:DJ4,DL4:DN4,DP4)-SUM(DK4,DO4),"")</f>
        <v>17.5</v>
      </c>
      <c r="DV4" s="55">
        <f>IF(SUM(DR4,DS4,DU4)&gt;0,SUM(DR4,DS4,DU4),"")</f>
        <v>58.000000000000007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15.9</v>
      </c>
      <c r="OX4" s="27">
        <f>IF($CN4="P",BU4,(BU4+AT4)/2)</f>
        <v>4.9499999999999993</v>
      </c>
      <c r="OY4" s="27">
        <f>IF($CN4="P",BV4,(BV4+AU4)/2)</f>
        <v>0.2</v>
      </c>
      <c r="OZ4" s="27">
        <f>IF($CN4="P",BW4,(BW4+AV4)/2)</f>
        <v>0.3</v>
      </c>
      <c r="PA4" s="27">
        <f>IF($CN4="P",BX4,(BX4+AW4)/2)</f>
        <v>15.9</v>
      </c>
      <c r="PB4" s="27">
        <f>IF($CN4="P",BY4,(BY4+AX4)/2)</f>
        <v>1.9</v>
      </c>
      <c r="PC4" s="27">
        <f>IF($CN4="P",BZ4,(BZ4+AY4)/2)</f>
        <v>0.65</v>
      </c>
      <c r="PD4" s="27">
        <f>IF($CN4="P",CA4,(CA4+AZ4)/2)</f>
        <v>0.15</v>
      </c>
      <c r="PE4" s="27">
        <f>IF($CN4="P",CB4,(CB4+BA4)/2)</f>
        <v>14.75</v>
      </c>
      <c r="PF4" s="27">
        <f>IF($CN4="P",CC4,(CC4+BB4)/2)</f>
        <v>4.75</v>
      </c>
      <c r="PG4" s="27">
        <f>IF($CN4="P",CD4,(CD4+BC4)/2)</f>
        <v>0.2</v>
      </c>
      <c r="PH4" s="27">
        <f>IF($CN4="P",CE4,(CE4+BD4)/2)</f>
        <v>0.3</v>
      </c>
      <c r="PI4" s="27">
        <f>IF($CN4="P",CF4,(CF4+BE4)/2)</f>
        <v>15.950000000000001</v>
      </c>
      <c r="PJ4" s="27">
        <f>IF($CN4="P",CG4,(CG4+BF4)/2)</f>
        <v>6.1</v>
      </c>
      <c r="PK4" s="27">
        <f>IF($CN4="P",CH4,(CH4+BG4)/2)</f>
        <v>0</v>
      </c>
      <c r="PL4" s="27">
        <f>IF($CN4="P",CI4,(CI4+BH4)/2)</f>
        <v>0.3</v>
      </c>
      <c r="PM4" s="27">
        <f>IF($CN4="P",CJ4,(CJ4+BI4)/2)</f>
        <v>17.600000000000001</v>
      </c>
      <c r="PN4" s="27">
        <f>IF($CN4="P",CK4,(CK4+BJ4)/2)</f>
        <v>2.85</v>
      </c>
      <c r="PO4" s="27">
        <f>IF($CN4="P",CL4,(CL4+BK4)/2)</f>
        <v>0.5</v>
      </c>
      <c r="PP4" s="27">
        <f>IF($CN4="P",CM4,(CM4+BL4)/2)</f>
        <v>0</v>
      </c>
      <c r="PQ4" s="32" t="s">
        <v>44</v>
      </c>
      <c r="PR4" s="55">
        <f>IF(SUM(OX4,PB4)&gt;0,SUM(OX4,PB4),"")</f>
        <v>6.85</v>
      </c>
      <c r="PS4" s="55">
        <f>IF(SUM(OW4:OX4,OZ4:PB4,PD4)-OY4-PC4&gt;0,SUM(OW4:OX4,OZ4:PB4,PD4)-OY4-PC4,"")</f>
        <v>38.25</v>
      </c>
      <c r="PT4" s="55">
        <f>IF(SUM(PE4:PF4,PH4)-PG4&gt;0,SUM(PE4:PF4,PH4)-PG4,"")</f>
        <v>19.600000000000001</v>
      </c>
      <c r="PU4" s="55">
        <f>IF(SUM(PJ4,PN4)&gt;0,SUM(PJ4,PN4),"")</f>
        <v>8.9499999999999993</v>
      </c>
      <c r="PV4" s="55">
        <f>IF(SUM(PI4:PJ4,PL4:PN4,PP4)-SUM(PK4,PO4)&gt;0,SUM(PI4:PJ4,PL4:PN4,PP4)-SUM(PK4,PO4),"")</f>
        <v>42.300000000000004</v>
      </c>
      <c r="PW4" s="55">
        <f>IF(SUM(PS4,PT4,PV4)&gt;0,SUM(PS4,PT4,PV4),"")</f>
        <v>100.15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103</v>
      </c>
      <c r="C5" s="4" t="s">
        <v>65</v>
      </c>
      <c r="D5" s="4">
        <v>2010</v>
      </c>
      <c r="E5" s="10">
        <f>SUM(I5:O5)+SUM(I5:M5)*0.0000001+SUM(I5)*0.0000000000001</f>
        <v>85.700008570004258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42.699999999999996</v>
      </c>
      <c r="J5" s="9" t="str">
        <f>IF(I5=0,"",IF(I5=CP5,$BT$1,IF(I5=BO5,$AS$1,IF(I5=AN5,$R$1,""))))</f>
        <v>2024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42.999999999999993</v>
      </c>
      <c r="N5" s="9" t="str">
        <f>IF(M5=0,"",IF(M5=CS5,$BT$1,IF(M5=BR5,$AS$1,IF(M5=AQ5,$R$1,""))))</f>
        <v>2024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3.9</v>
      </c>
      <c r="BV5" s="20">
        <v>0</v>
      </c>
      <c r="BW5" s="20">
        <v>0.3</v>
      </c>
      <c r="BX5" s="20">
        <v>16.899999999999999</v>
      </c>
      <c r="BY5" s="20">
        <v>4.0999999999999996</v>
      </c>
      <c r="BZ5" s="20">
        <v>0</v>
      </c>
      <c r="CA5" s="20">
        <v>0.3</v>
      </c>
      <c r="CB5" s="20">
        <v>17.2</v>
      </c>
      <c r="CC5" s="20">
        <v>3.9</v>
      </c>
      <c r="CD5" s="20">
        <v>0</v>
      </c>
      <c r="CE5" s="20">
        <v>0.3</v>
      </c>
      <c r="CF5" s="20">
        <v>17.2</v>
      </c>
      <c r="CG5" s="20">
        <v>3.9</v>
      </c>
      <c r="CH5" s="20">
        <v>0</v>
      </c>
      <c r="CI5" s="20">
        <v>0.3</v>
      </c>
      <c r="CJ5" s="20">
        <v>17.2</v>
      </c>
      <c r="CK5" s="20">
        <v>4.0999999999999996</v>
      </c>
      <c r="CL5" s="20">
        <v>0</v>
      </c>
      <c r="CM5" s="20">
        <v>0.3</v>
      </c>
      <c r="CN5" s="32"/>
      <c r="CO5" s="55">
        <f>IF(SUM(BU5,BY5)&gt;0,SUM(BU5,BY5),"")</f>
        <v>8</v>
      </c>
      <c r="CP5" s="55">
        <f>IF(SUM(BT5:BU5,BW5:BY5,CA5)-BV5-BZ5&gt;0,SUM(BT5:BU5,BW5:BY5,CA5)-BV5-BZ5,"")</f>
        <v>42.699999999999996</v>
      </c>
      <c r="CQ5" s="55">
        <f>IF(SUM(CB5:CC5,CE5)-CD5&gt;0,SUM(CB5:CC5,CE5)-CD5,"")</f>
        <v>21.4</v>
      </c>
      <c r="CR5" s="55">
        <f>IF(SUM(CG5,CK5)&gt;0,SUM(CG5,CK5),"")</f>
        <v>8</v>
      </c>
      <c r="CS5" s="55">
        <f>IF(SUM(CF5:CG5,CI5:CK5,CM5)-SUM(CH5,CL5)&gt;0,SUM(CF5:CG5,CI5:CK5,CM5)-SUM(CH5,CL5),"")</f>
        <v>42.999999999999993</v>
      </c>
      <c r="CT5" s="55">
        <f>IF(SUM(CP5,CQ5,CS5)&gt;0,SUM(CP5,CQ5,CS5),"")</f>
        <v>107.1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8.6</v>
      </c>
      <c r="OX5" s="27">
        <f>IF($CN5="P",BU5,(BU5+AT5)/2)</f>
        <v>1.95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8.4499999999999993</v>
      </c>
      <c r="PB5" s="27">
        <f>IF($CN5="P",BY5,(BY5+AX5)/2)</f>
        <v>2.0499999999999998</v>
      </c>
      <c r="PC5" s="27">
        <f>IF($CN5="P",BZ5,(BZ5+AY5)/2)</f>
        <v>0</v>
      </c>
      <c r="PD5" s="27">
        <f>IF($CN5="P",CA5,(CA5+AZ5)/2)</f>
        <v>0.15</v>
      </c>
      <c r="PE5" s="27">
        <f>IF($CN5="P",CB5,(CB5+BA5)/2)</f>
        <v>8.6</v>
      </c>
      <c r="PF5" s="27">
        <f>IF($CN5="P",CC5,(CC5+BB5)/2)</f>
        <v>1.95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8.6</v>
      </c>
      <c r="PJ5" s="27">
        <f>IF($CN5="P",CG5,(CG5+BF5)/2)</f>
        <v>1.95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8.6</v>
      </c>
      <c r="PN5" s="27">
        <f>IF($CN5="P",CK5,(CK5+BJ5)/2)</f>
        <v>2.0499999999999998</v>
      </c>
      <c r="PO5" s="27">
        <f>IF($CN5="P",CL5,(CL5+BK5)/2)</f>
        <v>0</v>
      </c>
      <c r="PP5" s="27">
        <f>IF($CN5="P",CM5,(CM5+BL5)/2)</f>
        <v>0.15</v>
      </c>
      <c r="PQ5" s="32" t="s">
        <v>44</v>
      </c>
      <c r="PR5" s="55">
        <f>IF(SUM(OX5,PB5)&gt;0,SUM(OX5,PB5),"")</f>
        <v>4</v>
      </c>
      <c r="PS5" s="55">
        <f>IF(SUM(OW5:OX5,OZ5:PB5,PD5)-OY5-PC5&gt;0,SUM(OW5:OX5,OZ5:PB5,PD5)-OY5-PC5,"")</f>
        <v>21.349999999999998</v>
      </c>
      <c r="PT5" s="55">
        <f>IF(SUM(PE5:PF5,PH5)-PG5&gt;0,SUM(PE5:PF5,PH5)-PG5,"")</f>
        <v>10.7</v>
      </c>
      <c r="PU5" s="55">
        <f>IF(SUM(PJ5,PN5)&gt;0,SUM(PJ5,PN5),"")</f>
        <v>4</v>
      </c>
      <c r="PV5" s="55">
        <f>IF(SUM(PI5:PJ5,PL5:PN5,PP5)-SUM(PK5,PO5)&gt;0,SUM(PI5:PJ5,PL5:PN5,PP5)-SUM(PK5,PO5),"")</f>
        <v>21.499999999999996</v>
      </c>
      <c r="PW5" s="55">
        <f>IF(SUM(PS5,PT5,PV5)&gt;0,SUM(PS5,PT5,PV5),"")</f>
        <v>53.55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7.3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8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8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41.7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42.5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86" priority="6" stopIfTrue="1">
      <formula>IF($AL4&lt;&gt;"",1,0)</formula>
    </cfRule>
  </conditionalFormatting>
  <conditionalFormatting sqref="AS4:BS5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5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AR$11</formula>
      <formula>1000</formula>
    </cfRule>
    <cfRule type="cellIs" dxfId="72" priority="54397" operator="between">
      <formula>AR$10</formula>
      <formula>AR$11</formula>
    </cfRule>
    <cfRule type="cellIs" dxfId="71" priority="54398" operator="between">
      <formula>AR$9</formula>
      <formula>AR$10</formula>
    </cfRule>
    <cfRule type="cellIs" dxfId="70" priority="5439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AR$15</formula>
      <formula>1000</formula>
    </cfRule>
    <cfRule type="cellIs" dxfId="68" priority="54577" operator="between">
      <formula>AR$14</formula>
      <formula>AR$15</formula>
    </cfRule>
    <cfRule type="cellIs" dxfId="67" priority="54578" operator="between">
      <formula>AR$13</formula>
      <formula>AR$14</formula>
    </cfRule>
    <cfRule type="cellIs" dxfId="66" priority="5457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AR$8</formula>
      <formula>AR$9</formula>
    </cfRule>
    <cfRule type="cellIs" dxfId="64" priority="54757" operator="between">
      <formula>AR$9</formula>
      <formula>AR$10</formula>
    </cfRule>
    <cfRule type="cellIs" dxfId="63" priority="54758" operator="between">
      <formula>AR$10</formula>
      <formula>AR$11</formula>
    </cfRule>
    <cfRule type="cellIs" dxfId="62" priority="5475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AR$12</formula>
      <formula>AR$13</formula>
    </cfRule>
    <cfRule type="cellIs" dxfId="60" priority="54937" operator="between">
      <formula>AR$13</formula>
      <formula>AR$14</formula>
    </cfRule>
    <cfRule type="cellIs" dxfId="59" priority="54938" operator="between">
      <formula>AR$14</formula>
      <formula>AR$15</formula>
    </cfRule>
    <cfRule type="cellIs" dxfId="58" priority="5493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100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101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107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160.00001588000538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53.9</v>
      </c>
      <c r="J4" s="9" t="str">
        <f>IF(I4=0,"",IF(I4=CP4,$BT$1,IF(I4=BO4,$AS$1,IF(I4=AN4,$R$1,""))))</f>
        <v>2024 Nationals</v>
      </c>
      <c r="K4" s="9">
        <f>IF(COUNT(AN4,BO4,CP4)&gt;1,LARGE((AN4,BO4,CP4),2),0)</f>
        <v>51.7</v>
      </c>
      <c r="L4" s="9" t="str">
        <f>IF(K4=0,"",IF(AND(K4=I4,K4=AN4,K4=BO4),$R$1,IF(AND(K4=I4,K4=AN4,K4=CP4),$R$1,IF(AND(K4=I4,K4=CP4,K4=BO4),$AS$1,IF(K4=CP4,$BT$1,IF(K4=BO4,$AS$1,IF(K4=AN4,$R$1,"")))))))</f>
        <v>2024 Elite Canada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17.399999999999999</v>
      </c>
      <c r="S4" s="20">
        <v>4</v>
      </c>
      <c r="T4" s="20">
        <v>0</v>
      </c>
      <c r="U4" s="20">
        <v>0</v>
      </c>
      <c r="V4" s="20">
        <v>18.2</v>
      </c>
      <c r="W4" s="20">
        <v>7.6000000000000005</v>
      </c>
      <c r="X4" s="20">
        <v>0.6</v>
      </c>
      <c r="Y4" s="20">
        <v>0</v>
      </c>
      <c r="Z4" s="20">
        <v>17.3</v>
      </c>
      <c r="AA4" s="20">
        <v>2.8</v>
      </c>
      <c r="AB4" s="20">
        <v>0</v>
      </c>
      <c r="AC4" s="20">
        <v>0</v>
      </c>
      <c r="AD4" s="20">
        <v>18.2</v>
      </c>
      <c r="AE4" s="20">
        <v>7.6</v>
      </c>
      <c r="AF4" s="20">
        <v>0</v>
      </c>
      <c r="AG4" s="20">
        <v>0</v>
      </c>
      <c r="AH4" s="20">
        <v>18.399999999999999</v>
      </c>
      <c r="AI4" s="20">
        <v>7.6000000000000005</v>
      </c>
      <c r="AJ4" s="20">
        <v>0</v>
      </c>
      <c r="AK4" s="20">
        <v>0</v>
      </c>
      <c r="AL4" s="32"/>
      <c r="AM4" s="55">
        <f>IF(SUM(S4,W4)&gt;0,SUM(S4,W4),"")</f>
        <v>11.600000000000001</v>
      </c>
      <c r="AN4" s="55">
        <f>IF(SUM(R4:S4,U4:W4,Y4)-T4-X4&gt;0,SUM(R4:S4,U4:W4,Y4)-T4-X4,"")</f>
        <v>46.599999999999994</v>
      </c>
      <c r="AO4" s="55">
        <f>IF(SUM(Z4:AA4,AC4)-AB4&gt;0,SUM(Z4:AA4,AC4)-AB4,"")</f>
        <v>20.100000000000001</v>
      </c>
      <c r="AP4" s="55">
        <f>IF(SUM(AE4,AI4)&gt;0,SUM(AE4,AI4),"")</f>
        <v>15.2</v>
      </c>
      <c r="AQ4" s="55">
        <f>IF(SUM(AD4:AE4,AG4:AI4,AK4)-SUM(AF4,AJ4)&gt;0,SUM(AD4:AE4,AG4:AI4,AK4)-SUM(AF4,AJ4),"")</f>
        <v>51.8</v>
      </c>
      <c r="AR4" s="55">
        <f>IF(SUM(AN4,AO4,AQ4)&gt;0,SUM(AN4,AO4,AQ4),"")</f>
        <v>118.49999999999999</v>
      </c>
      <c r="AS4" s="19">
        <v>18.600000000000001</v>
      </c>
      <c r="AT4" s="19">
        <v>8.4</v>
      </c>
      <c r="AU4" s="19">
        <v>0.6</v>
      </c>
      <c r="AV4" s="19">
        <v>0</v>
      </c>
      <c r="AW4" s="19">
        <v>18</v>
      </c>
      <c r="AX4" s="19">
        <v>8.1</v>
      </c>
      <c r="AY4" s="19">
        <v>0.8</v>
      </c>
      <c r="AZ4" s="19">
        <v>0</v>
      </c>
      <c r="BA4" s="19">
        <v>18.3</v>
      </c>
      <c r="BB4" s="19">
        <v>7.6</v>
      </c>
      <c r="BC4" s="19">
        <v>0.2</v>
      </c>
      <c r="BD4" s="19">
        <v>0</v>
      </c>
      <c r="BE4" s="19">
        <v>18.600000000000001</v>
      </c>
      <c r="BF4" s="19">
        <v>8.4</v>
      </c>
      <c r="BG4" s="19">
        <v>0.2</v>
      </c>
      <c r="BH4" s="19">
        <v>0</v>
      </c>
      <c r="BI4" s="19">
        <v>18.3</v>
      </c>
      <c r="BJ4" s="19">
        <v>8.1</v>
      </c>
      <c r="BK4" s="19">
        <v>0</v>
      </c>
      <c r="BL4" s="19">
        <v>0</v>
      </c>
      <c r="BM4" s="33"/>
      <c r="BN4" s="14">
        <f>IF(SUM(AT4,AX4)&gt;0,SUM(AT4,AX4),"")</f>
        <v>16.5</v>
      </c>
      <c r="BO4" s="14">
        <f>IF(SUM(AS4:AT4,AV4:AX4,AZ4)-AU4-AY4&gt;0,SUM(AS4:AT4,AV4:AX4,AZ4)-AU4-AY4,"")</f>
        <v>51.7</v>
      </c>
      <c r="BP4" s="14">
        <f>IF(SUM(BA4:BB4,BD4)-BC4&gt;0,SUM(BA4:BB4,BD4)-BC4,"")</f>
        <v>25.7</v>
      </c>
      <c r="BQ4" s="14">
        <f>IF(SUM(BF4,BJ4)&gt;0,SUM(BF4,BJ4),"")</f>
        <v>16.5</v>
      </c>
      <c r="BR4" s="14">
        <f>IF(SUM(BE4:BF4,BH4:BJ4,BL4)-SUM(BG4,BK4)&gt;0,SUM(BE4:BF4,BH4:BJ4,BL4)-SUM(BG4,BK4),"")</f>
        <v>53.199999999999996</v>
      </c>
      <c r="BS4" s="14">
        <f>IF(SUM(BO4,BP4,BR4)&gt;0,SUM(BO4,BP4,BR4),"")</f>
        <v>130.6</v>
      </c>
      <c r="BT4" s="20">
        <v>18.8</v>
      </c>
      <c r="BU4" s="20">
        <v>8</v>
      </c>
      <c r="BV4" s="20">
        <v>0</v>
      </c>
      <c r="BW4" s="20">
        <v>0</v>
      </c>
      <c r="BX4" s="20">
        <v>18.899999999999999</v>
      </c>
      <c r="BY4" s="20">
        <v>8.4</v>
      </c>
      <c r="BZ4" s="20">
        <v>0.2</v>
      </c>
      <c r="CA4" s="20">
        <v>0</v>
      </c>
      <c r="CB4" s="20">
        <v>18</v>
      </c>
      <c r="CC4" s="20">
        <v>8.1</v>
      </c>
      <c r="CD4" s="20">
        <v>0.8</v>
      </c>
      <c r="CE4" s="20">
        <v>0</v>
      </c>
      <c r="CF4" s="20">
        <v>18.2</v>
      </c>
      <c r="CG4" s="20">
        <v>7.3</v>
      </c>
      <c r="CH4" s="20">
        <v>0.2</v>
      </c>
      <c r="CI4" s="20">
        <v>0</v>
      </c>
      <c r="CJ4" s="20">
        <v>18.8</v>
      </c>
      <c r="CK4" s="20">
        <v>8.4</v>
      </c>
      <c r="CL4" s="20">
        <v>0</v>
      </c>
      <c r="CM4" s="20">
        <v>0</v>
      </c>
      <c r="CN4" s="32"/>
      <c r="CO4" s="55">
        <f>IF(SUM(BU4,BY4)&gt;0,SUM(BU4,BY4),"")</f>
        <v>16.399999999999999</v>
      </c>
      <c r="CP4" s="55">
        <f>IF(SUM(BT4:BU4,BW4:BY4,CA4)-BV4-BZ4&gt;0,SUM(BT4:BU4,BW4:BY4,CA4)-BV4-BZ4,"")</f>
        <v>53.9</v>
      </c>
      <c r="CQ4" s="55">
        <f>IF(SUM(CB4:CC4,CE4)-CD4&gt;0,SUM(CB4:CC4,CE4)-CD4,"")</f>
        <v>25.3</v>
      </c>
      <c r="CR4" s="55">
        <f>IF(SUM(CG4,CK4)&gt;0,SUM(CG4,CK4),"")</f>
        <v>15.7</v>
      </c>
      <c r="CS4" s="55">
        <f>IF(SUM(CF4:CG4,CI4:CK4,CM4)-SUM(CH4,CL4)&gt;0,SUM(CF4:CG4,CI4:CK4,CM4)-SUM(CH4,CL4),"")</f>
        <v>52.499999999999993</v>
      </c>
      <c r="CT4" s="55">
        <f>IF(SUM(CP4,CQ4,CS4)&gt;0,SUM(CP4,CQ4,CS4),"")</f>
        <v>131.69999999999999</v>
      </c>
      <c r="CU4" s="56">
        <f>IF(MAX(DR4,ER4,FR4,GR4,HR4,IR4,JR4,KR4,LR4,MR4,NR4,OR4)-IF(K4="",0,K4)&gt;0.001,MAX(DR4,ER4,FR4,GR4,HR4,IR4,JR4,KR4,LR4,MR4,NR4,OR4)-IF(K4="",0,K4),"")</f>
        <v>1.1999999999999957</v>
      </c>
      <c r="CV4" s="56" t="str">
        <f>IF(MAX(DU4,EU4,FU4,GU4,HU4,IU4,JU4,KU4,LU4,MU4,NU4,OU4)-IF(M4="",0,M4)&gt;0.001,MAX(DU4,EU4,FU4,GU4,HU4,IU4,JU4,KU4,LU4,MU4,NU4,OU4)-IF(M4="",0,M4),"")</f>
        <v/>
      </c>
      <c r="CW4" s="18">
        <v>19</v>
      </c>
      <c r="CX4" s="18">
        <v>7.6</v>
      </c>
      <c r="CY4" s="18">
        <v>0.6</v>
      </c>
      <c r="CZ4" s="18">
        <v>0</v>
      </c>
      <c r="DA4" s="18">
        <v>18.8</v>
      </c>
      <c r="DB4" s="18">
        <v>8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8.4</v>
      </c>
      <c r="DK4" s="18">
        <v>0</v>
      </c>
      <c r="DL4" s="18">
        <v>0</v>
      </c>
      <c r="DM4" s="18">
        <v>0</v>
      </c>
      <c r="DN4" s="18">
        <v>0</v>
      </c>
      <c r="DO4" s="18">
        <v>0</v>
      </c>
      <c r="DP4" s="18">
        <v>0</v>
      </c>
      <c r="DQ4" s="55">
        <f>IF(SUM(CX4,DB4)&gt;0,SUM(CX4,DB4),"")</f>
        <v>15.6</v>
      </c>
      <c r="DR4" s="55">
        <f>IF(SUM(CW4:CX4,CZ4:DB4,DD4)-CY4-DC4&gt;0,SUM(CW4:CX4,CZ4:DB4,DD4)-CY4-DC4,"")</f>
        <v>52.800000000000004</v>
      </c>
      <c r="DS4" s="55" t="str">
        <f>IF(SUM(DE4:DF4,DH4)-DG4&gt;0,SUM(DE4:DF4,DH4)-DG4,"")</f>
        <v/>
      </c>
      <c r="DT4" s="55">
        <f>IF(SUM(DJ4,DN4)&gt;0,SUM(DJ4,DN4),"")</f>
        <v>8.4</v>
      </c>
      <c r="DU4" s="55">
        <f>IF(SUM(DI4:DJ4,DL4:DN4,DP4)-SUM(DK4,DO4)&gt;0,SUM(DI4:DJ4,DL4:DN4,DP4)-SUM(DK4,DO4),"")</f>
        <v>27.200000000000003</v>
      </c>
      <c r="DV4" s="55">
        <f>IF(SUM(DR4,DS4,DU4)&gt;0,SUM(DR4,DS4,DU4),"")</f>
        <v>80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18.7</v>
      </c>
      <c r="EJ4" s="19">
        <v>7.2</v>
      </c>
      <c r="EK4" s="19">
        <v>0</v>
      </c>
      <c r="EL4" s="19">
        <v>0</v>
      </c>
      <c r="EM4" s="19">
        <v>18.899999999999999</v>
      </c>
      <c r="EN4" s="19">
        <v>7.6</v>
      </c>
      <c r="EO4" s="19">
        <v>0.8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14.8</v>
      </c>
      <c r="EU4" s="14">
        <f>IF(SUM(EI4:EJ4,EL4:EN4,EP4)-SUM(EK4,EO4)&gt;0,SUM(EI4:EJ4,EL4:EN4,EP4)-SUM(EK4,EO4),"")</f>
        <v>51.6</v>
      </c>
      <c r="EV4" s="14">
        <f>IF(SUM(ER4,ES4,EU4)&gt;0,SUM(ER4,ES4,EU4),"")</f>
        <v>51.6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18.5</v>
      </c>
      <c r="FJ4" s="18">
        <v>8.4</v>
      </c>
      <c r="FK4" s="18">
        <v>1</v>
      </c>
      <c r="FL4" s="18">
        <v>0</v>
      </c>
      <c r="FM4" s="18">
        <v>17.399999999999999</v>
      </c>
      <c r="FN4" s="18">
        <v>2.8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11.2</v>
      </c>
      <c r="FU4" s="55">
        <f>IF(SUM(FI4:FJ4,FL4:FN4,FP4)-SUM(FK4,FO4)&gt;0,SUM(FI4:FJ4,FL4:FN4,FP4)-SUM(FK4,FO4),"")</f>
        <v>46.099999999999994</v>
      </c>
      <c r="FV4" s="55">
        <f>IF(SUM(FR4,FS4,FU4)&gt;0,SUM(FR4,FS4,FU4),"")</f>
        <v>46.099999999999994</v>
      </c>
      <c r="FW4" s="19">
        <v>19</v>
      </c>
      <c r="FX4" s="19">
        <v>8.4</v>
      </c>
      <c r="FY4" s="19">
        <v>0.2</v>
      </c>
      <c r="FZ4" s="19">
        <v>0</v>
      </c>
      <c r="GA4" s="19">
        <v>18.399999999999999</v>
      </c>
      <c r="GB4" s="19">
        <v>8.1</v>
      </c>
      <c r="GC4" s="19">
        <v>0.8</v>
      </c>
      <c r="GD4" s="19">
        <v>0</v>
      </c>
      <c r="GE4" s="19"/>
      <c r="GF4" s="19"/>
      <c r="GG4" s="19"/>
      <c r="GH4" s="19"/>
      <c r="GI4" s="19">
        <v>18.600000000000001</v>
      </c>
      <c r="GJ4" s="19">
        <v>8.4</v>
      </c>
      <c r="GK4" s="19">
        <v>0.2</v>
      </c>
      <c r="GL4" s="19">
        <v>0</v>
      </c>
      <c r="GM4" s="19">
        <v>17.899999999999999</v>
      </c>
      <c r="GN4" s="19">
        <v>8.1</v>
      </c>
      <c r="GO4" s="19">
        <v>0.2</v>
      </c>
      <c r="GP4" s="19">
        <v>0</v>
      </c>
      <c r="GQ4" s="14">
        <f>IF(SUM(FX4,GB4)&gt;0,SUM(FX4,GB4),"")</f>
        <v>16.5</v>
      </c>
      <c r="GR4" s="14">
        <f>IF(SUM(FW4:FX4,FZ4:GB4,GD4)-FY4-GC4&gt;0,SUM(FW4:FX4,FZ4:GB4,GD4)-FY4-GC4,"")</f>
        <v>52.9</v>
      </c>
      <c r="GS4" s="14" t="str">
        <f>IF(SUM(GE4:GF4,GH4)-GG4&gt;0,SUM(GE4:GF4,GH4)-GG4,"")</f>
        <v/>
      </c>
      <c r="GT4" s="14">
        <f>IF(SUM(GJ4,GN4)&gt;0,SUM(GJ4,GN4),"")</f>
        <v>16.5</v>
      </c>
      <c r="GU4" s="14">
        <f>IF(SUM(GI4:GJ4,GL4:GN4,GP4)-SUM(GK4,GO4)&gt;0,SUM(GI4:GJ4,GL4:GN4,GP4)-SUM(GK4,GO4),"")</f>
        <v>52.6</v>
      </c>
      <c r="GV4" s="14">
        <f>IF(SUM(GR4,GS4,GU4)&gt;0,SUM(GR4,GS4,GU4),"")</f>
        <v>105.5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18.700000000000003</v>
      </c>
      <c r="OX4" s="27">
        <f>IF($CN4="P",BU4,(BU4+AT4)/2)</f>
        <v>8.1999999999999993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18.45</v>
      </c>
      <c r="PB4" s="27">
        <f>IF($CN4="P",BY4,(BY4+AX4)/2)</f>
        <v>8.25</v>
      </c>
      <c r="PC4" s="27">
        <f>IF($CN4="P",BZ4,(BZ4+AY4)/2)</f>
        <v>0.5</v>
      </c>
      <c r="PD4" s="27">
        <f>IF($CN4="P",CA4,(CA4+AZ4)/2)</f>
        <v>0</v>
      </c>
      <c r="PE4" s="27">
        <f>IF($CN4="P",CB4,(CB4+BA4)/2)</f>
        <v>18.149999999999999</v>
      </c>
      <c r="PF4" s="27">
        <f>IF($CN4="P",CC4,(CC4+BB4)/2)</f>
        <v>7.85</v>
      </c>
      <c r="PG4" s="27">
        <f>IF($CN4="P",CD4,(CD4+BC4)/2)</f>
        <v>0.5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7.85</v>
      </c>
      <c r="PK4" s="27">
        <f>IF($CN4="P",CH4,(CH4+BG4)/2)</f>
        <v>0.2</v>
      </c>
      <c r="PL4" s="27">
        <f>IF($CN4="P",CI4,(CI4+BH4)/2)</f>
        <v>0</v>
      </c>
      <c r="PM4" s="27">
        <f>IF($CN4="P",CJ4,(CJ4+BI4)/2)</f>
        <v>18.55</v>
      </c>
      <c r="PN4" s="27">
        <f>IF($CN4="P",CK4,(CK4+BJ4)/2)</f>
        <v>8.25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16.45</v>
      </c>
      <c r="PS4" s="55">
        <f>IF(SUM(OW4:OX4,OZ4:PB4,PD4)-OY4-PC4&gt;0,SUM(OW4:OX4,OZ4:PB4,PD4)-OY4-PC4,"")</f>
        <v>52.800000000000004</v>
      </c>
      <c r="PT4" s="55">
        <f>IF(SUM(PE4:PF4,PH4)-PG4&gt;0,SUM(PE4:PF4,PH4)-PG4,"")</f>
        <v>25.5</v>
      </c>
      <c r="PU4" s="55">
        <f>IF(SUM(PJ4,PN4)&gt;0,SUM(PJ4,PN4),"")</f>
        <v>16.100000000000001</v>
      </c>
      <c r="PV4" s="55">
        <f>IF(SUM(PI4:PJ4,PL4:PN4,PP4)-SUM(PK4,PO4)&gt;0,SUM(PI4:PJ4,PL4:PN4,PP4)-SUM(PK4,PO4),"")</f>
        <v>52.849999999999994</v>
      </c>
      <c r="PW4" s="55">
        <f>IF(SUM(PS4,PT4,PV4)&gt;0,SUM(PS4,PT4,PV4),"")</f>
        <v>131.15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157.10001304000519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26.4</v>
      </c>
      <c r="L5" s="9" t="str">
        <f>IF(K5=0,"",IF(AND(K5=I5,K5=AN5,K5=BO5),$R$1,IF(AND(K5=I5,K5=AN5,K5=CP5),$R$1,IF(AND(K5=I5,K5=CP5,K5=BO5),$AS$1,IF(K5=CP5,$BT$1,IF(K5=BO5,$AS$1,IF(K5=AN5,$R$1,"")))))))</f>
        <v>2024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>
        <f>IF(MAX(CU5:CV5)&gt;0,MAX(CU5:CV5),"")</f>
        <v>26.699999999999996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19</v>
      </c>
      <c r="AT5" s="19">
        <v>7.6</v>
      </c>
      <c r="AU5" s="19">
        <v>0</v>
      </c>
      <c r="AV5" s="19">
        <v>0</v>
      </c>
      <c r="AW5" s="19">
        <v>18.399999999999999</v>
      </c>
      <c r="AX5" s="19">
        <v>7.6</v>
      </c>
      <c r="AY5" s="19">
        <v>0.6</v>
      </c>
      <c r="AZ5" s="19">
        <v>0</v>
      </c>
      <c r="BA5" s="19">
        <v>18.7</v>
      </c>
      <c r="BB5" s="19">
        <v>6.4</v>
      </c>
      <c r="BC5" s="19">
        <v>0.6</v>
      </c>
      <c r="BD5" s="19">
        <v>0</v>
      </c>
      <c r="BE5" s="19">
        <v>18.7</v>
      </c>
      <c r="BF5" s="19">
        <v>8.4</v>
      </c>
      <c r="BG5" s="19">
        <v>0</v>
      </c>
      <c r="BH5" s="19">
        <v>0</v>
      </c>
      <c r="BI5" s="19">
        <v>18.3</v>
      </c>
      <c r="BJ5" s="19">
        <v>6.8</v>
      </c>
      <c r="BK5" s="19">
        <v>0.2</v>
      </c>
      <c r="BL5" s="19">
        <v>0</v>
      </c>
      <c r="BM5" s="33"/>
      <c r="BN5" s="14">
        <f>IF(SUM(AT5,AX5)&gt;0,SUM(AT5,AX5),"")</f>
        <v>15.2</v>
      </c>
      <c r="BO5" s="14">
        <f>IF(SUM(AS5:AT5,AV5:AX5,AZ5)-AU5-AY5&gt;0,SUM(AS5:AT5,AV5:AX5,AZ5)-AU5-AY5,"")</f>
        <v>52</v>
      </c>
      <c r="BP5" s="14">
        <f>IF(SUM(BA5:BB5,BD5)-BC5&gt;0,SUM(BA5:BB5,BD5)-BC5,"")</f>
        <v>24.5</v>
      </c>
      <c r="BQ5" s="14">
        <f>IF(SUM(BF5,BJ5)&gt;0,SUM(BF5,BJ5),"")</f>
        <v>15.2</v>
      </c>
      <c r="BR5" s="14">
        <f>IF(SUM(BE5:BF5,BH5:BJ5,BL5)-SUM(BG5,BK5)&gt;0,SUM(BE5:BF5,BH5:BJ5,BL5)-SUM(BG5,BK5),"")</f>
        <v>52</v>
      </c>
      <c r="BS5" s="14">
        <f>IF(SUM(BO5,BP5,BR5)&gt;0,SUM(BO5,BP5,BR5),"")</f>
        <v>128.5</v>
      </c>
      <c r="BT5" s="20">
        <v>0</v>
      </c>
      <c r="BU5" s="20">
        <v>0</v>
      </c>
      <c r="BV5" s="20">
        <v>0</v>
      </c>
      <c r="BW5" s="20">
        <v>0</v>
      </c>
      <c r="BX5" s="20">
        <v>18.8</v>
      </c>
      <c r="BY5" s="20">
        <v>7.6</v>
      </c>
      <c r="BZ5" s="20">
        <v>0</v>
      </c>
      <c r="CA5" s="20">
        <v>0</v>
      </c>
      <c r="CB5" s="20">
        <v>19.399999999999999</v>
      </c>
      <c r="CC5" s="20">
        <v>7.6</v>
      </c>
      <c r="CD5" s="20">
        <v>0</v>
      </c>
      <c r="CE5" s="20">
        <v>0</v>
      </c>
      <c r="CF5" s="20"/>
      <c r="CG5" s="20"/>
      <c r="CH5" s="20"/>
      <c r="CI5" s="20"/>
      <c r="CJ5" s="20"/>
      <c r="CK5" s="20"/>
      <c r="CL5" s="20"/>
      <c r="CM5" s="20"/>
      <c r="CN5" s="32"/>
      <c r="CO5" s="55">
        <f>IF(SUM(BU5,BY5)&gt;0,SUM(BU5,BY5),"")</f>
        <v>7.6</v>
      </c>
      <c r="CP5" s="55">
        <f>IF(SUM(BT5:BU5,BW5:BY5,CA5)-BV5-BZ5&gt;0,SUM(BT5:BU5,BW5:BY5,CA5)-BV5-BZ5,"")</f>
        <v>26.4</v>
      </c>
      <c r="CQ5" s="55">
        <f>IF(SUM(CB5:CC5,CE5)-CD5&gt;0,SUM(CB5:CC5,CE5)-CD5,"")</f>
        <v>27</v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>
        <f>IF(SUM(CP5,CQ5,CS5)&gt;0,SUM(CP5,CQ5,CS5),"")</f>
        <v>53.4</v>
      </c>
      <c r="CU5" s="56">
        <f>IF(MAX(DR5,ER5,FR5,GR5,HR5,IR5,JR5,KR5,LR5,MR5,NR5,OR5)-IF(K5="",0,K5)&gt;0.001,MAX(DR5,ER5,FR5,GR5,HR5,IR5,JR5,KR5,LR5,MR5,NR5,OR5)-IF(K5="",0,K5),"")</f>
        <v>26.699999999999996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>
        <v>18.899999999999999</v>
      </c>
      <c r="FX5" s="19">
        <v>8.4</v>
      </c>
      <c r="FY5" s="19">
        <v>0.2</v>
      </c>
      <c r="FZ5" s="19">
        <v>0</v>
      </c>
      <c r="GA5" s="19">
        <v>18.3</v>
      </c>
      <c r="GB5" s="19">
        <v>7.7</v>
      </c>
      <c r="GC5" s="19">
        <v>0</v>
      </c>
      <c r="GD5" s="19">
        <v>0</v>
      </c>
      <c r="GE5" s="19"/>
      <c r="GF5" s="19"/>
      <c r="GG5" s="19"/>
      <c r="GH5" s="19"/>
      <c r="GI5" s="19">
        <v>18.600000000000001</v>
      </c>
      <c r="GJ5" s="19">
        <v>8.4</v>
      </c>
      <c r="GK5" s="19">
        <v>0.8</v>
      </c>
      <c r="GL5" s="19">
        <v>0</v>
      </c>
      <c r="GM5" s="19">
        <v>17.2</v>
      </c>
      <c r="GN5" s="19">
        <v>3.2</v>
      </c>
      <c r="GO5" s="19">
        <v>0</v>
      </c>
      <c r="GP5" s="19">
        <v>0</v>
      </c>
      <c r="GQ5" s="14">
        <f>IF(SUM(FX5,GB5)&gt;0,SUM(FX5,GB5),"")</f>
        <v>16.100000000000001</v>
      </c>
      <c r="GR5" s="14">
        <f>IF(SUM(FW5:FX5,FZ5:GB5,GD5)-FY5-GC5&gt;0,SUM(FW5:FX5,FZ5:GB5,GD5)-FY5-GC5,"")</f>
        <v>53.099999999999994</v>
      </c>
      <c r="GS5" s="14" t="str">
        <f>IF(SUM(GE5:GF5,GH5)-GG5&gt;0,SUM(GE5:GF5,GH5)-GG5,"")</f>
        <v/>
      </c>
      <c r="GT5" s="14">
        <f>IF(SUM(GJ5,GN5)&gt;0,SUM(GJ5,GN5),"")</f>
        <v>11.600000000000001</v>
      </c>
      <c r="GU5" s="14">
        <f>IF(SUM(GI5:GJ5,GL5:GN5,GP5)-SUM(GK5,GO5)&gt;0,SUM(GI5:GJ5,GL5:GN5,GP5)-SUM(GK5,GO5),"")</f>
        <v>46.600000000000009</v>
      </c>
      <c r="GV5" s="14">
        <f>IF(SUM(GR5,GS5,GU5)&gt;0,SUM(GR5,GS5,GU5),"")</f>
        <v>99.7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9.5</v>
      </c>
      <c r="OX5" s="27">
        <f>IF($CN5="P",BU5,(BU5+AT5)/2)</f>
        <v>3.8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18.600000000000001</v>
      </c>
      <c r="PB5" s="27">
        <f>IF($CN5="P",BY5,(BY5+AX5)/2)</f>
        <v>7.6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19.049999999999997</v>
      </c>
      <c r="PF5" s="27">
        <f>IF($CN5="P",CC5,(CC5+BB5)/2)</f>
        <v>7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9.35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9.15</v>
      </c>
      <c r="PN5" s="27">
        <f>IF($CN5="P",CK5,(CK5+BJ5)/2)</f>
        <v>3.4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39.200000000000003</v>
      </c>
      <c r="PT5" s="55">
        <f>IF(SUM(PE5:PF5,PH5)-PG5&gt;0,SUM(PE5:PF5,PH5)-PG5,"")</f>
        <v>25.749999999999996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90.95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89</v>
      </c>
      <c r="C6" s="4" t="s">
        <v>88</v>
      </c>
      <c r="D6" s="4">
        <v>2009</v>
      </c>
      <c r="E6" s="10">
        <f>SUM(I6:O6)+SUM(I6:M6)*0.0000001+SUM(I6)*0.0000000000001</f>
        <v>150.00001500000508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50.9</v>
      </c>
      <c r="J6" s="9" t="str">
        <f>IF(I6=0,"",IF(I6=CP6,$BT$1,IF(I6=BO6,$AS$1,IF(I6=AN6,$R$1,""))))</f>
        <v>2024 Nationals</v>
      </c>
      <c r="K6" s="9">
        <f>IF(COUNT(AN6,BO6,CP6)&gt;1,LARGE((AN6,BO6,CP6),2),0)</f>
        <v>49.400000000000006</v>
      </c>
      <c r="L6" s="9" t="str">
        <f>IF(K6=0,"",IF(AND(K6=I6,K6=AN6,K6=BO6),$R$1,IF(AND(K6=I6,K6=AN6,K6=CP6),$R$1,IF(AND(K6=I6,K6=CP6,K6=BO6),$AS$1,IF(K6=CP6,$BT$1,IF(K6=BO6,$AS$1,IF(K6=AN6,$R$1,"")))))))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18.8</v>
      </c>
      <c r="S6" s="20">
        <v>5.6</v>
      </c>
      <c r="T6" s="20">
        <v>0</v>
      </c>
      <c r="U6" s="20">
        <v>0</v>
      </c>
      <c r="V6" s="20">
        <v>19</v>
      </c>
      <c r="W6" s="20">
        <v>6</v>
      </c>
      <c r="X6" s="20">
        <v>0</v>
      </c>
      <c r="Y6" s="20">
        <v>0</v>
      </c>
      <c r="Z6" s="20">
        <v>18.399999999999999</v>
      </c>
      <c r="AA6" s="20">
        <v>5.6</v>
      </c>
      <c r="AB6" s="20">
        <v>0.8</v>
      </c>
      <c r="AC6" s="20">
        <v>0</v>
      </c>
      <c r="AD6" s="20">
        <v>19</v>
      </c>
      <c r="AE6" s="20">
        <v>6.4</v>
      </c>
      <c r="AF6" s="20">
        <v>0.6</v>
      </c>
      <c r="AG6" s="20">
        <v>0</v>
      </c>
      <c r="AH6" s="20">
        <v>17.600000000000001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23.2</v>
      </c>
      <c r="AP6" s="55">
        <f>IF(SUM(AE6,AI6)&gt;0,SUM(AE6,AI6),"")</f>
        <v>11.600000000000001</v>
      </c>
      <c r="AQ6" s="55">
        <f>IF(SUM(AD6:AE6,AG6:AI6,AK6)-SUM(AF6,AJ6)&gt;0,SUM(AD6:AE6,AG6:AI6,AK6)-SUM(AF6,AJ6),"")</f>
        <v>46.6</v>
      </c>
      <c r="AR6" s="55">
        <f>IF(SUM(AN6,AO6,AQ6)&gt;0,SUM(AN6,AO6,AQ6),"")</f>
        <v>119.19999999999999</v>
      </c>
      <c r="AS6" s="19">
        <v>18.5</v>
      </c>
      <c r="AT6" s="19">
        <v>6</v>
      </c>
      <c r="AU6" s="19">
        <v>0.8</v>
      </c>
      <c r="AV6" s="19">
        <v>0</v>
      </c>
      <c r="AW6" s="19">
        <v>18.5</v>
      </c>
      <c r="AX6" s="19">
        <v>7.2</v>
      </c>
      <c r="AY6" s="19">
        <v>0</v>
      </c>
      <c r="AZ6" s="19">
        <v>0</v>
      </c>
      <c r="BA6" s="19">
        <v>18.3</v>
      </c>
      <c r="BB6" s="19">
        <v>6</v>
      </c>
      <c r="BC6" s="19">
        <v>0</v>
      </c>
      <c r="BD6" s="19">
        <v>0</v>
      </c>
      <c r="BE6" s="19">
        <v>18</v>
      </c>
      <c r="BF6" s="19">
        <v>6</v>
      </c>
      <c r="BG6" s="19">
        <v>0</v>
      </c>
      <c r="BH6" s="19">
        <v>0</v>
      </c>
      <c r="BI6" s="19">
        <v>18.5</v>
      </c>
      <c r="BJ6" s="19">
        <v>7.2</v>
      </c>
      <c r="BK6" s="19">
        <v>0</v>
      </c>
      <c r="BL6" s="19">
        <v>0</v>
      </c>
      <c r="BM6" s="33"/>
      <c r="BN6" s="14">
        <f>IF(SUM(AT6,AX6)&gt;0,SUM(AT6,AX6),"")</f>
        <v>13.2</v>
      </c>
      <c r="BO6" s="14">
        <f>IF(SUM(AS6:AT6,AV6:AX6,AZ6)-AU6-AY6&gt;0,SUM(AS6:AT6,AV6:AX6,AZ6)-AU6-AY6,"")</f>
        <v>49.400000000000006</v>
      </c>
      <c r="BP6" s="14">
        <f>IF(SUM(BA6:BB6,BD6)-BC6&gt;0,SUM(BA6:BB6,BD6)-BC6,"")</f>
        <v>24.3</v>
      </c>
      <c r="BQ6" s="14">
        <f>IF(SUM(BF6,BJ6)&gt;0,SUM(BF6,BJ6),"")</f>
        <v>13.2</v>
      </c>
      <c r="BR6" s="14">
        <f>IF(SUM(BE6:BF6,BH6:BJ6,BL6)-SUM(BG6,BK6)&gt;0,SUM(BE6:BF6,BH6:BJ6,BL6)-SUM(BG6,BK6),"")</f>
        <v>49.7</v>
      </c>
      <c r="BS6" s="14">
        <f>IF(SUM(BO6,BP6,BR6)&gt;0,SUM(BO6,BP6,BR6),"")</f>
        <v>123.4</v>
      </c>
      <c r="BT6" s="20">
        <v>18.399999999999999</v>
      </c>
      <c r="BU6" s="20">
        <v>6.8</v>
      </c>
      <c r="BV6" s="20">
        <v>0</v>
      </c>
      <c r="BW6" s="20">
        <v>0</v>
      </c>
      <c r="BX6" s="20">
        <v>18.7</v>
      </c>
      <c r="BY6" s="20">
        <v>7.2</v>
      </c>
      <c r="BZ6" s="20">
        <v>0.2</v>
      </c>
      <c r="CA6" s="20">
        <v>0</v>
      </c>
      <c r="CB6" s="20">
        <v>18.5</v>
      </c>
      <c r="CC6" s="20">
        <v>6</v>
      </c>
      <c r="CD6" s="20">
        <v>0</v>
      </c>
      <c r="CE6" s="20">
        <v>0</v>
      </c>
      <c r="CF6" s="20">
        <v>18.399999999999999</v>
      </c>
      <c r="CG6" s="20">
        <v>7.6</v>
      </c>
      <c r="CH6" s="20">
        <v>0.8</v>
      </c>
      <c r="CI6" s="20">
        <v>0</v>
      </c>
      <c r="CJ6" s="20">
        <v>18.5</v>
      </c>
      <c r="CK6" s="20">
        <v>6.4</v>
      </c>
      <c r="CL6" s="20">
        <v>0.6</v>
      </c>
      <c r="CM6" s="20">
        <v>0</v>
      </c>
      <c r="CN6" s="32"/>
      <c r="CO6" s="55">
        <f>IF(SUM(BU6,BY6)&gt;0,SUM(BU6,BY6),"")</f>
        <v>14</v>
      </c>
      <c r="CP6" s="55">
        <f>IF(SUM(BT6:BU6,BW6:BY6,CA6)-BV6-BZ6&gt;0,SUM(BT6:BU6,BW6:BY6,CA6)-BV6-BZ6,"")</f>
        <v>50.9</v>
      </c>
      <c r="CQ6" s="55">
        <f>IF(SUM(CB6:CC6,CE6)-CD6&gt;0,SUM(CB6:CC6,CE6)-CD6,"")</f>
        <v>24.5</v>
      </c>
      <c r="CR6" s="55">
        <f>IF(SUM(CG6,CK6)&gt;0,SUM(CG6,CK6),"")</f>
        <v>14</v>
      </c>
      <c r="CS6" s="55">
        <f>IF(SUM(CF6:CG6,CI6:CK6,CM6)-SUM(CH6,CL6)&gt;0,SUM(CF6:CG6,CI6:CK6,CM6)-SUM(CH6,CL6),"")</f>
        <v>49.5</v>
      </c>
      <c r="CT6" s="55">
        <f>IF(SUM(CP6,CQ6,CS6)&gt;0,SUM(CP6,CQ6,CS6),"")</f>
        <v>124.9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18.600000000000001</v>
      </c>
      <c r="CX6" s="18">
        <v>6</v>
      </c>
      <c r="CY6" s="18">
        <v>0.6</v>
      </c>
      <c r="CZ6" s="18">
        <v>0</v>
      </c>
      <c r="DA6" s="18">
        <v>18.2</v>
      </c>
      <c r="DB6" s="18">
        <v>6.4</v>
      </c>
      <c r="DC6" s="18">
        <v>0.8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12.4</v>
      </c>
      <c r="DR6" s="55">
        <f>IF(SUM(CW6:CX6,CZ6:DB6,DD6)-CY6-DC6&gt;0,SUM(CW6:CX6,CZ6:DB6,DD6)-CY6-DC6,"")</f>
        <v>47.8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47.8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>
        <v>18.8</v>
      </c>
      <c r="FX6" s="19">
        <v>6</v>
      </c>
      <c r="FY6" s="19">
        <v>0.8</v>
      </c>
      <c r="FZ6" s="19">
        <v>0</v>
      </c>
      <c r="GA6" s="19">
        <v>18.3</v>
      </c>
      <c r="GB6" s="19">
        <v>7.2</v>
      </c>
      <c r="GC6" s="19">
        <v>0.8</v>
      </c>
      <c r="GD6" s="19">
        <v>0</v>
      </c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>
        <f>IF(SUM(FX6,GB6)&gt;0,SUM(FX6,GB6),"")</f>
        <v>13.2</v>
      </c>
      <c r="GR6" s="14">
        <f>IF(SUM(FW6:FX6,FZ6:GB6,GD6)-FY6-GC6&gt;0,SUM(FW6:FX6,FZ6:GB6,GD6)-FY6-GC6,"")</f>
        <v>48.70000000000001</v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>
        <f>IF(SUM(GR6,GS6,GU6)&gt;0,SUM(GR6,GS6,GU6),"")</f>
        <v>48.70000000000001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18.45</v>
      </c>
      <c r="OX6" s="27">
        <f>IF($CN6="P",BU6,(BU6+AT6)/2)</f>
        <v>6.4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18.600000000000001</v>
      </c>
      <c r="PB6" s="27">
        <f>IF($CN6="P",BY6,(BY6+AX6)/2)</f>
        <v>7.2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18.399999999999999</v>
      </c>
      <c r="PF6" s="27">
        <f>IF($CN6="P",CC6,(CC6+BB6)/2)</f>
        <v>6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18.2</v>
      </c>
      <c r="PJ6" s="27">
        <f>IF($CN6="P",CG6,(CG6+BF6)/2)</f>
        <v>6.8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18.5</v>
      </c>
      <c r="PN6" s="27">
        <f>IF($CN6="P",CK6,(CK6+BJ6)/2)</f>
        <v>6.8000000000000007</v>
      </c>
      <c r="PO6" s="27">
        <f>IF($CN6="P",CL6,(CL6+BK6)/2)</f>
        <v>0.3</v>
      </c>
      <c r="PP6" s="27">
        <f>IF($CN6="P",CM6,(CM6+BL6)/2)</f>
        <v>0</v>
      </c>
      <c r="PQ6" s="32" t="s">
        <v>44</v>
      </c>
      <c r="PR6" s="55">
        <f>IF(SUM(OX6,PB6)&gt;0,SUM(OX6,PB6),"")</f>
        <v>13.600000000000001</v>
      </c>
      <c r="PS6" s="55">
        <f>IF(SUM(OW6:OX6,OZ6:PB6,PD6)-OY6-PC6&gt;0,SUM(OW6:OX6,OZ6:PB6,PD6)-OY6-PC6,"")</f>
        <v>50.150000000000006</v>
      </c>
      <c r="PT6" s="55">
        <f>IF(SUM(PE6:PF6,PH6)-PG6&gt;0,SUM(PE6:PF6,PH6)-PG6,"")</f>
        <v>24.4</v>
      </c>
      <c r="PU6" s="55">
        <f>IF(SUM(PJ6,PN6)&gt;0,SUM(PJ6,PN6),"")</f>
        <v>13.600000000000001</v>
      </c>
      <c r="PV6" s="55">
        <f>IF(SUM(PI6:PJ6,PL6:PN6,PP6)-SUM(PK6,PO6)&gt;0,SUM(PI6:PJ6,PL6:PN6,PP6)-SUM(PK6,PO6),"")</f>
        <v>49.599999999999994</v>
      </c>
      <c r="PW6" s="55">
        <f>IF(SUM(PS6,PT6,PV6)&gt;0,SUM(PS6,PT6,PV6),"")</f>
        <v>124.15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98</v>
      </c>
      <c r="C7" s="4" t="s">
        <v>68</v>
      </c>
      <c r="D7" s="4">
        <v>2008</v>
      </c>
      <c r="E7" s="10">
        <f>SUM(I7:O7)+SUM(I7:M7)*0.0000001+SUM(I7)*0.0000000000001</f>
        <v>144.70001398000483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45.2</v>
      </c>
      <c r="L7" s="9" t="str">
        <f>IF(K7=0,"",IF(AND(K7=I7,K7=AN7,K7=BO7),$R$1,IF(AND(K7=I7,K7=AN7,K7=CP7),$R$1,IF(AND(K7=I7,K7=CP7,K7=BO7),$AS$1,IF(K7=CP7,$BT$1,IF(K7=BO7,$AS$1,IF(K7=AN7,$R$1,"")))))))</f>
        <v>2024 Nationals</v>
      </c>
      <c r="M7" s="9">
        <f>IF(MAX(AQ7,BR7,CS7)&gt;0,MAX(AQ7,BR7,CS7),0)</f>
        <v>46.400000000000006</v>
      </c>
      <c r="N7" s="9" t="str">
        <f>IF(M7=0,"",IF(M7=CS7,$BT$1,IF(M7=BR7,$AS$1,IF(M7=AQ7,$R$1,""))))</f>
        <v>2024 Nationals</v>
      </c>
      <c r="O7" s="9">
        <f>IF(MAX(CU7:CV7)&gt;0,MAX(CU7:CV7),"")</f>
        <v>4.8999999999999915</v>
      </c>
      <c r="P7" s="14" t="str">
        <f>IF(O7="","",IF(O7=CU7,"("&amp;CU$2&amp;")",IF(O7=CV7,"("&amp;CV$2&amp;")")))</f>
        <v>(Q1)</v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2024 Coimbra Gym Fest (July 7)</v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17.899999999999999</v>
      </c>
      <c r="AT7" s="19">
        <v>6.8</v>
      </c>
      <c r="AU7" s="19">
        <v>0.8</v>
      </c>
      <c r="AV7" s="19">
        <v>0</v>
      </c>
      <c r="AW7" s="19">
        <v>18.5</v>
      </c>
      <c r="AX7" s="19">
        <v>6.4</v>
      </c>
      <c r="AY7" s="19">
        <v>0.6</v>
      </c>
      <c r="AZ7" s="19">
        <v>0</v>
      </c>
      <c r="BA7" s="19">
        <v>16.2</v>
      </c>
      <c r="BB7" s="19">
        <v>5.2</v>
      </c>
      <c r="BC7" s="19">
        <v>0.8</v>
      </c>
      <c r="BD7" s="19">
        <v>0</v>
      </c>
      <c r="BE7" s="19">
        <v>0</v>
      </c>
      <c r="BF7" s="19">
        <v>0</v>
      </c>
      <c r="BG7" s="19">
        <v>0</v>
      </c>
      <c r="BH7" s="19">
        <v>0</v>
      </c>
      <c r="BI7" s="19">
        <v>18</v>
      </c>
      <c r="BJ7" s="19">
        <v>7.2</v>
      </c>
      <c r="BK7" s="19">
        <v>0.8</v>
      </c>
      <c r="BL7" s="19">
        <v>0</v>
      </c>
      <c r="BM7" s="33"/>
      <c r="BN7" s="14">
        <f>IF(SUM(AT7,AX7)&gt;0,SUM(AT7,AX7),"")</f>
        <v>13.2</v>
      </c>
      <c r="BO7" s="14">
        <f>IF(SUM(AS7:AT7,AV7:AX7,AZ7)-AU7-AY7&gt;0,SUM(AS7:AT7,AV7:AX7,AZ7)-AU7-AY7,"")</f>
        <v>48.2</v>
      </c>
      <c r="BP7" s="14">
        <f>IF(SUM(BA7:BB7,BD7)-BC7&gt;0,SUM(BA7:BB7,BD7)-BC7,"")</f>
        <v>20.599999999999998</v>
      </c>
      <c r="BQ7" s="14">
        <f>IF(SUM(BF7,BJ7)&gt;0,SUM(BF7,BJ7),"")</f>
        <v>7.2</v>
      </c>
      <c r="BR7" s="14">
        <f>IF(SUM(BE7:BF7,BH7:BJ7,BL7)-SUM(BG7,BK7)&gt;0,SUM(BE7:BF7,BH7:BJ7,BL7)-SUM(BG7,BK7),"")</f>
        <v>24.4</v>
      </c>
      <c r="BS7" s="14">
        <f>IF(SUM(BO7,BP7,BR7)&gt;0,SUM(BO7,BP7,BR7),"")</f>
        <v>93.199999999999989</v>
      </c>
      <c r="BT7" s="20">
        <v>18.2</v>
      </c>
      <c r="BU7" s="20">
        <v>6.8</v>
      </c>
      <c r="BV7" s="20">
        <v>1</v>
      </c>
      <c r="BW7" s="20">
        <v>0</v>
      </c>
      <c r="BX7" s="20">
        <v>18.5</v>
      </c>
      <c r="BY7" s="20">
        <v>3.6</v>
      </c>
      <c r="BZ7" s="20">
        <v>0.9</v>
      </c>
      <c r="CA7" s="20">
        <v>0</v>
      </c>
      <c r="CB7" s="20">
        <v>18.399999999999999</v>
      </c>
      <c r="CC7" s="20">
        <v>6</v>
      </c>
      <c r="CD7" s="20">
        <v>0.8</v>
      </c>
      <c r="CE7" s="20">
        <v>0</v>
      </c>
      <c r="CF7" s="20">
        <v>18.8</v>
      </c>
      <c r="CG7" s="20">
        <v>7.2</v>
      </c>
      <c r="CH7" s="20">
        <v>1</v>
      </c>
      <c r="CI7" s="20">
        <v>0</v>
      </c>
      <c r="CJ7" s="20">
        <v>16.2</v>
      </c>
      <c r="CK7" s="20">
        <v>6</v>
      </c>
      <c r="CL7" s="20">
        <v>0.8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45.2</v>
      </c>
      <c r="CQ7" s="55">
        <f>IF(SUM(CB7:CC7,CE7)-CD7&gt;0,SUM(CB7:CC7,CE7)-CD7,"")</f>
        <v>23.599999999999998</v>
      </c>
      <c r="CR7" s="55">
        <f>IF(SUM(CG7,CK7)&gt;0,SUM(CG7,CK7),"")</f>
        <v>13.2</v>
      </c>
      <c r="CS7" s="55">
        <f>IF(SUM(CF7:CG7,CI7:CK7,CM7)-SUM(CH7,CL7)&gt;0,SUM(CF7:CG7,CI7:CK7,CM7)-SUM(CH7,CL7),"")</f>
        <v>46.400000000000006</v>
      </c>
      <c r="CT7" s="55">
        <f>IF(SUM(CP7,CQ7,CS7)&gt;0,SUM(CP7,CQ7,CS7),"")</f>
        <v>115.2</v>
      </c>
      <c r="CU7" s="56">
        <f>IF(MAX(DR7,ER7,FR7,GR7,HR7,IR7,JR7,KR7,LR7,MR7,NR7,OR7)-IF(K7="",0,K7)&gt;0.001,MAX(DR7,ER7,FR7,GR7,HR7,IR7,JR7,KR7,LR7,MR7,NR7,OR7)-IF(K7="",0,K7),"")</f>
        <v>4.8999999999999915</v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>
        <v>18.600000000000001</v>
      </c>
      <c r="FX7" s="19">
        <v>7.2</v>
      </c>
      <c r="FY7" s="19">
        <v>0.6</v>
      </c>
      <c r="FZ7" s="19">
        <v>0</v>
      </c>
      <c r="GA7" s="19">
        <v>18.3</v>
      </c>
      <c r="GB7" s="19">
        <v>6.8</v>
      </c>
      <c r="GC7" s="19">
        <v>0.2</v>
      </c>
      <c r="GD7" s="19">
        <v>0</v>
      </c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>
        <f>IF(SUM(FX7,GB7)&gt;0,SUM(FX7,GB7),"")</f>
        <v>14</v>
      </c>
      <c r="GR7" s="14">
        <f>IF(SUM(FW7:FX7,FZ7:GB7,GD7)-FY7-GC7&gt;0,SUM(FW7:FX7,FZ7:GB7,GD7)-FY7-GC7,"")</f>
        <v>50.099999999999994</v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>
        <f>IF(SUM(GR7,GS7,GU7)&gt;0,SUM(GR7,GS7,GU7),"")</f>
        <v>50.099999999999994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18.049999999999997</v>
      </c>
      <c r="OX7" s="27">
        <f>IF($CN7="P",BU7,(BU7+AT7)/2)</f>
        <v>6.8</v>
      </c>
      <c r="OY7" s="27">
        <f>IF($CN7="P",BV7,(BV7+AU7)/2)</f>
        <v>0.9</v>
      </c>
      <c r="OZ7" s="27">
        <f>IF($CN7="P",BW7,(BW7+AV7)/2)</f>
        <v>0</v>
      </c>
      <c r="PA7" s="27">
        <f>IF($CN7="P",BX7,(BX7+AW7)/2)</f>
        <v>18.5</v>
      </c>
      <c r="PB7" s="27">
        <f>IF($CN7="P",BY7,(BY7+AX7)/2)</f>
        <v>5</v>
      </c>
      <c r="PC7" s="27">
        <f>IF($CN7="P",BZ7,(BZ7+AY7)/2)</f>
        <v>0.75</v>
      </c>
      <c r="PD7" s="27">
        <f>IF($CN7="P",CA7,(CA7+AZ7)/2)</f>
        <v>0</v>
      </c>
      <c r="PE7" s="27">
        <f>IF($CN7="P",CB7,(CB7+BA7)/2)</f>
        <v>17.299999999999997</v>
      </c>
      <c r="PF7" s="27">
        <f>IF($CN7="P",CC7,(CC7+BB7)/2)</f>
        <v>5.6</v>
      </c>
      <c r="PG7" s="27">
        <f>IF($CN7="P",CD7,(CD7+BC7)/2)</f>
        <v>0.8</v>
      </c>
      <c r="PH7" s="27">
        <f>IF($CN7="P",CE7,(CE7+BD7)/2)</f>
        <v>0</v>
      </c>
      <c r="PI7" s="27">
        <f>IF($CN7="P",CF7,(CF7+BE7)/2)</f>
        <v>9.4</v>
      </c>
      <c r="PJ7" s="27">
        <f>IF($CN7="P",CG7,(CG7+BF7)/2)</f>
        <v>3.6</v>
      </c>
      <c r="PK7" s="27">
        <f>IF($CN7="P",CH7,(CH7+BG7)/2)</f>
        <v>0.5</v>
      </c>
      <c r="PL7" s="27">
        <f>IF($CN7="P",CI7,(CI7+BH7)/2)</f>
        <v>0</v>
      </c>
      <c r="PM7" s="27">
        <f>IF($CN7="P",CJ7,(CJ7+BI7)/2)</f>
        <v>17.100000000000001</v>
      </c>
      <c r="PN7" s="27">
        <f>IF($CN7="P",CK7,(CK7+BJ7)/2)</f>
        <v>6.6</v>
      </c>
      <c r="PO7" s="27">
        <f>IF($CN7="P",CL7,(CL7+BK7)/2)</f>
        <v>0.8</v>
      </c>
      <c r="PP7" s="27">
        <f>IF($CN7="P",CM7,(CM7+BL7)/2)</f>
        <v>0</v>
      </c>
      <c r="PQ7" s="32" t="s">
        <v>44</v>
      </c>
      <c r="PR7" s="55">
        <f>IF(SUM(OX7,PB7)&gt;0,SUM(OX7,PB7),"")</f>
        <v>11.8</v>
      </c>
      <c r="PS7" s="55">
        <f>IF(SUM(OW7:OX7,OZ7:PB7,PD7)-OY7-PC7&gt;0,SUM(OW7:OX7,OZ7:PB7,PD7)-OY7-PC7,"")</f>
        <v>46.699999999999996</v>
      </c>
      <c r="PT7" s="55">
        <f>IF(SUM(PE7:PF7,PH7)-PG7&gt;0,SUM(PE7:PF7,PH7)-PG7,"")</f>
        <v>22.099999999999998</v>
      </c>
      <c r="PU7" s="55">
        <f>IF(SUM(PJ7,PN7)&gt;0,SUM(PJ7,PN7),"")</f>
        <v>10.199999999999999</v>
      </c>
      <c r="PV7" s="55">
        <f>IF(SUM(PI7:PJ7,PL7:PN7,PP7)-SUM(PK7,PO7)&gt;0,SUM(PI7:PJ7,PL7:PN7,PP7)-SUM(PK7,PO7),"")</f>
        <v>35.400000000000006</v>
      </c>
      <c r="PW7" s="55">
        <f>IF(SUM(PS7,PT7,PV7)&gt;0,SUM(PS7,PT7,PV7),"")</f>
        <v>104.2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97</v>
      </c>
      <c r="C8" s="4" t="s">
        <v>66</v>
      </c>
      <c r="D8" s="4">
        <v>2008</v>
      </c>
      <c r="E8" s="10">
        <f>SUM(I8:O8)+SUM(I8:M8)*0.0000001+SUM(I8)*0.0000000000001</f>
        <v>144.40001444000495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49.399999999999991</v>
      </c>
      <c r="J8" s="9" t="str">
        <f>IF(I8=0,"",IF(I8=CP8,$BT$1,IF(I8=BO8,$AS$1,IF(I8=AN8,$R$1,""))))</f>
        <v>2024 Nationals</v>
      </c>
      <c r="K8" s="9">
        <f>IF(COUNT(AN8,BO8,CP8)&gt;1,LARGE((AN8,BO8,CP8),2),0)</f>
        <v>47.1</v>
      </c>
      <c r="L8" s="9" t="str">
        <f>IF(K8=0,"",IF(AND(K8=I8,K8=AN8,K8=BO8),$R$1,IF(AND(K8=I8,K8=AN8,K8=CP8),$R$1,IF(AND(K8=I8,K8=CP8,K8=BO8),$AS$1,IF(K8=CP8,$BT$1,IF(K8=BO8,$AS$1,IF(K8=AN8,$R$1,"")))))))</f>
        <v>2024 Elite Canada</v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17.600000000000001</v>
      </c>
      <c r="AT8" s="19">
        <v>6.8</v>
      </c>
      <c r="AU8" s="19">
        <v>0.8</v>
      </c>
      <c r="AV8" s="19">
        <v>0</v>
      </c>
      <c r="AW8" s="19">
        <v>18.100000000000001</v>
      </c>
      <c r="AX8" s="19">
        <v>6</v>
      </c>
      <c r="AY8" s="19">
        <v>0.6</v>
      </c>
      <c r="AZ8" s="19">
        <v>0</v>
      </c>
      <c r="BA8" s="19">
        <v>18.399999999999999</v>
      </c>
      <c r="BB8" s="19">
        <v>7.3</v>
      </c>
      <c r="BC8" s="19">
        <v>0</v>
      </c>
      <c r="BD8" s="19">
        <v>0</v>
      </c>
      <c r="BE8" s="19">
        <v>18.5</v>
      </c>
      <c r="BF8" s="19">
        <v>5.2</v>
      </c>
      <c r="BG8" s="19">
        <v>0.8</v>
      </c>
      <c r="BH8" s="19">
        <v>0</v>
      </c>
      <c r="BI8" s="19">
        <v>17.899999999999999</v>
      </c>
      <c r="BJ8" s="19">
        <v>7.7</v>
      </c>
      <c r="BK8" s="19">
        <v>0.6</v>
      </c>
      <c r="BL8" s="19">
        <v>0</v>
      </c>
      <c r="BM8" s="33"/>
      <c r="BN8" s="14">
        <f>IF(SUM(AT8,AX8)&gt;0,SUM(AT8,AX8),"")</f>
        <v>12.8</v>
      </c>
      <c r="BO8" s="14">
        <f>IF(SUM(AS8:AT8,AV8:AX8,AZ8)-AU8-AY8&gt;0,SUM(AS8:AT8,AV8:AX8,AZ8)-AU8-AY8,"")</f>
        <v>47.1</v>
      </c>
      <c r="BP8" s="14">
        <f>IF(SUM(BA8:BB8,BD8)-BC8&gt;0,SUM(BA8:BB8,BD8)-BC8,"")</f>
        <v>25.7</v>
      </c>
      <c r="BQ8" s="14">
        <f>IF(SUM(BF8,BJ8)&gt;0,SUM(BF8,BJ8),"")</f>
        <v>12.9</v>
      </c>
      <c r="BR8" s="14">
        <f>IF(SUM(BE8:BF8,BH8:BJ8,BL8)-SUM(BG8,BK8)&gt;0,SUM(BE8:BF8,BH8:BJ8,BL8)-SUM(BG8,BK8),"")</f>
        <v>47.9</v>
      </c>
      <c r="BS8" s="14">
        <f>IF(SUM(BO8,BP8,BR8)&gt;0,SUM(BO8,BP8,BR8),"")</f>
        <v>120.69999999999999</v>
      </c>
      <c r="BT8" s="20">
        <v>17.7</v>
      </c>
      <c r="BU8" s="20">
        <v>6.8</v>
      </c>
      <c r="BV8" s="20">
        <v>0</v>
      </c>
      <c r="BW8" s="20">
        <v>0</v>
      </c>
      <c r="BX8" s="20">
        <v>18.3</v>
      </c>
      <c r="BY8" s="20">
        <v>6.8</v>
      </c>
      <c r="BZ8" s="20">
        <v>0.2</v>
      </c>
      <c r="CA8" s="20">
        <v>0</v>
      </c>
      <c r="CB8" s="20">
        <v>18.5</v>
      </c>
      <c r="CC8" s="20">
        <v>4.8</v>
      </c>
      <c r="CD8" s="20">
        <v>0.6</v>
      </c>
      <c r="CE8" s="20">
        <v>0</v>
      </c>
      <c r="CF8" s="20">
        <v>17.8</v>
      </c>
      <c r="CG8" s="20">
        <v>7.6</v>
      </c>
      <c r="CH8" s="20">
        <v>0.2</v>
      </c>
      <c r="CI8" s="20">
        <v>0</v>
      </c>
      <c r="CJ8" s="20">
        <v>17.3</v>
      </c>
      <c r="CK8" s="20">
        <v>3.2</v>
      </c>
      <c r="CL8" s="20">
        <v>0</v>
      </c>
      <c r="CM8" s="20">
        <v>0</v>
      </c>
      <c r="CN8" s="32"/>
      <c r="CO8" s="55">
        <f>IF(SUM(BU8,BY8)&gt;0,SUM(BU8,BY8),"")</f>
        <v>13.6</v>
      </c>
      <c r="CP8" s="55">
        <f>IF(SUM(BT8:BU8,BW8:BY8,CA8)-BV8-BZ8&gt;0,SUM(BT8:BU8,BW8:BY8,CA8)-BV8-BZ8,"")</f>
        <v>49.399999999999991</v>
      </c>
      <c r="CQ8" s="55">
        <f>IF(SUM(CB8:CC8,CE8)-CD8&gt;0,SUM(CB8:CC8,CE8)-CD8,"")</f>
        <v>22.7</v>
      </c>
      <c r="CR8" s="55">
        <f>IF(SUM(CG8,CK8)&gt;0,SUM(CG8,CK8),"")</f>
        <v>10.8</v>
      </c>
      <c r="CS8" s="55">
        <f>IF(SUM(CF8:CG8,CI8:CK8,CM8)-SUM(CH8,CL8)&gt;0,SUM(CF8:CG8,CI8:CK8,CM8)-SUM(CH8,CL8),"")</f>
        <v>45.7</v>
      </c>
      <c r="CT8" s="55">
        <f>IF(SUM(CP8,CQ8,CS8)&gt;0,SUM(CP8,CQ8,CS8),"")</f>
        <v>117.8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17.649999999999999</v>
      </c>
      <c r="OX8" s="27">
        <f>IF($CN8="P",BU8,(BU8+AT8)/2)</f>
        <v>6.8</v>
      </c>
      <c r="OY8" s="27">
        <f>IF($CN8="P",BV8,(BV8+AU8)/2)</f>
        <v>0.4</v>
      </c>
      <c r="OZ8" s="27">
        <f>IF($CN8="P",BW8,(BW8+AV8)/2)</f>
        <v>0</v>
      </c>
      <c r="PA8" s="27">
        <f>IF($CN8="P",BX8,(BX8+AW8)/2)</f>
        <v>18.200000000000003</v>
      </c>
      <c r="PB8" s="27">
        <f>IF($CN8="P",BY8,(BY8+AX8)/2)</f>
        <v>6.4</v>
      </c>
      <c r="PC8" s="27">
        <f>IF($CN8="P",BZ8,(BZ8+AY8)/2)</f>
        <v>0.4</v>
      </c>
      <c r="PD8" s="27">
        <f>IF($CN8="P",CA8,(CA8+AZ8)/2)</f>
        <v>0</v>
      </c>
      <c r="PE8" s="27">
        <f>IF($CN8="P",CB8,(CB8+BA8)/2)</f>
        <v>18.45</v>
      </c>
      <c r="PF8" s="27">
        <f>IF($CN8="P",CC8,(CC8+BB8)/2)</f>
        <v>6.05</v>
      </c>
      <c r="PG8" s="27">
        <f>IF($CN8="P",CD8,(CD8+BC8)/2)</f>
        <v>0.3</v>
      </c>
      <c r="PH8" s="27">
        <f>IF($CN8="P",CE8,(CE8+BD8)/2)</f>
        <v>0</v>
      </c>
      <c r="PI8" s="27">
        <f>IF($CN8="P",CF8,(CF8+BE8)/2)</f>
        <v>18.149999999999999</v>
      </c>
      <c r="PJ8" s="27">
        <f>IF($CN8="P",CG8,(CG8+BF8)/2)</f>
        <v>6.4</v>
      </c>
      <c r="PK8" s="27">
        <f>IF($CN8="P",CH8,(CH8+BG8)/2)</f>
        <v>0.5</v>
      </c>
      <c r="PL8" s="27">
        <f>IF($CN8="P",CI8,(CI8+BH8)/2)</f>
        <v>0</v>
      </c>
      <c r="PM8" s="27">
        <f>IF($CN8="P",CJ8,(CJ8+BI8)/2)</f>
        <v>17.600000000000001</v>
      </c>
      <c r="PN8" s="27">
        <f>IF($CN8="P",CK8,(CK8+BJ8)/2)</f>
        <v>5.45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13.2</v>
      </c>
      <c r="PS8" s="55">
        <f>IF(SUM(OW8:OX8,OZ8:PB8,PD8)-OY8-PC8&gt;0,SUM(OW8:OX8,OZ8:PB8,PD8)-OY8-PC8,"")</f>
        <v>48.250000000000007</v>
      </c>
      <c r="PT8" s="55">
        <f>IF(SUM(PE8:PF8,PH8)-PG8&gt;0,SUM(PE8:PF8,PH8)-PG8,"")</f>
        <v>24.2</v>
      </c>
      <c r="PU8" s="55">
        <f>IF(SUM(PJ8,PN8)&gt;0,SUM(PJ8,PN8),"")</f>
        <v>11.850000000000001</v>
      </c>
      <c r="PV8" s="55">
        <f>IF(SUM(PI8:PJ8,PL8:PN8,PP8)-SUM(PK8,PO8)&gt;0,SUM(PI8:PJ8,PL8:PN8,PP8)-SUM(PK8,PO8),"")</f>
        <v>46.800000000000004</v>
      </c>
      <c r="PW8" s="55">
        <f>IF(SUM(PS8,PT8,PV8)&gt;0,SUM(PS8,PT8,PV8),"")</f>
        <v>119.25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102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93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100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101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 t="s">
        <v>107</v>
      </c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153.10001528000512</v>
      </c>
      <c r="F4" s="3" t="str">
        <f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Excellence</v>
      </c>
      <c r="I4" s="9">
        <f>IF(COUNT(AN4,BO4,CP4)&gt;0,LARGE((AN4,BO4,CP4),1),0)</f>
        <v>50.800000000000004</v>
      </c>
      <c r="J4" s="9" t="str">
        <f>IF(I4=0,"",IF(I4=CP4,$BT$1,IF(I4=BO4,$AS$1,IF(I4=AN4,$R$1,""))))</f>
        <v>2024 Elite Canada</v>
      </c>
      <c r="K4" s="9">
        <f>IF(COUNT(AN4,BO4,CP4)&gt;1,LARGE((AN4,BO4,CP4),2),0)</f>
        <v>50.699999999999996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>
        <f>IF(MAX(CU4:CV4)&gt;0,MAX(CU4:CV4),"")</f>
        <v>0.30000000000000426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18.8</v>
      </c>
      <c r="AT4" s="19">
        <v>6.8</v>
      </c>
      <c r="AU4" s="19">
        <v>0</v>
      </c>
      <c r="AV4" s="19">
        <v>0</v>
      </c>
      <c r="AW4" s="19">
        <v>18.8</v>
      </c>
      <c r="AX4" s="19">
        <v>6.4</v>
      </c>
      <c r="AY4" s="19">
        <v>0</v>
      </c>
      <c r="AZ4" s="19">
        <v>0</v>
      </c>
      <c r="BA4" s="19">
        <v>18.600000000000001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7.6</v>
      </c>
      <c r="BG4" s="19">
        <v>0</v>
      </c>
      <c r="BH4" s="19">
        <v>0</v>
      </c>
      <c r="BI4" s="19">
        <v>18.899999999999999</v>
      </c>
      <c r="BJ4" s="19">
        <v>6.4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50.800000000000004</v>
      </c>
      <c r="BP4" s="14">
        <f>IF(SUM(BA4:BB4,BD4)-BC4&gt;0,SUM(BA4:BB4,BD4)-BC4,"")</f>
        <v>24.6</v>
      </c>
      <c r="BQ4" s="14">
        <f>IF(SUM(BF4,BJ4)&gt;0,SUM(BF4,BJ4),"")</f>
        <v>14</v>
      </c>
      <c r="BR4" s="14">
        <f>IF(SUM(BE4:BF4,BH4:BJ4,BL4)-SUM(BG4,BK4)&gt;0,SUM(BE4:BF4,BH4:BJ4,BL4)-SUM(BG4,BK4),"")</f>
        <v>51.3</v>
      </c>
      <c r="BS4" s="14">
        <f>IF(SUM(BO4,BP4,BR4)&gt;0,SUM(BO4,BP4,BR4),"")</f>
        <v>126.7</v>
      </c>
      <c r="BT4" s="20">
        <v>19.2</v>
      </c>
      <c r="BU4" s="20">
        <v>6.8</v>
      </c>
      <c r="BV4" s="20">
        <v>0.2</v>
      </c>
      <c r="BW4" s="20">
        <v>0</v>
      </c>
      <c r="BX4" s="20">
        <v>18.5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5.2</v>
      </c>
      <c r="CD4" s="20">
        <v>0.6</v>
      </c>
      <c r="CE4" s="20">
        <v>0</v>
      </c>
      <c r="CF4" s="20">
        <v>18.5</v>
      </c>
      <c r="CG4" s="20">
        <v>7.6</v>
      </c>
      <c r="CH4" s="20">
        <v>0.2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50.699999999999996</v>
      </c>
      <c r="CQ4" s="55">
        <f>IF(SUM(CB4:CC4,CE4)-CD4&gt;0,SUM(CB4:CC4,CE4)-CD4,"")</f>
        <v>23.2</v>
      </c>
      <c r="CR4" s="55">
        <f>IF(SUM(CG4,CK4)&gt;0,SUM(CG4,CK4),"")</f>
        <v>14</v>
      </c>
      <c r="CS4" s="55">
        <f>IF(SUM(CF4:CG4,CI4:CK4,CM4)-SUM(CH4,CL4)&gt;0,SUM(CF4:CG4,CI4:CK4,CM4)-SUM(CH4,CL4),"")</f>
        <v>51.199999999999996</v>
      </c>
      <c r="CT4" s="55">
        <f>IF(SUM(CP4,CQ4,CS4)&gt;0,SUM(CP4,CQ4,CS4),"")</f>
        <v>125.1</v>
      </c>
      <c r="CU4" s="56">
        <f>IF(MAX(DR4,ER4,FR4,GR4,HR4,IR4,JR4,KR4,LR4,MR4,NR4,OR4)-IF(K4="",0,K4)&gt;0.001,MAX(DR4,ER4,FR4,GR4,HR4,IR4,JR4,KR4,LR4,MR4,NR4,OR4)-IF(K4="",0,K4),"")</f>
        <v>0.30000000000000426</v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0.2</v>
      </c>
      <c r="CZ4" s="18">
        <v>0</v>
      </c>
      <c r="DA4" s="18">
        <v>18.600000000000001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18.600000000000001</v>
      </c>
      <c r="DJ4" s="18">
        <v>6.4</v>
      </c>
      <c r="DK4" s="18">
        <v>0</v>
      </c>
      <c r="DL4" s="18">
        <v>0</v>
      </c>
      <c r="DM4" s="18">
        <v>18.8</v>
      </c>
      <c r="DN4" s="18">
        <v>6.8</v>
      </c>
      <c r="DO4" s="18">
        <v>0</v>
      </c>
      <c r="DP4" s="18">
        <v>0</v>
      </c>
      <c r="DQ4" s="55">
        <f>IF(SUM(CX4,DB4)&gt;0,SUM(CX4,DB4),"")</f>
        <v>13.2</v>
      </c>
      <c r="DR4" s="55">
        <f>IF(SUM(CW4:CX4,CZ4:DB4,DD4)-CY4-DC4&gt;0,SUM(CW4:CX4,CZ4:DB4,DD4)-CY4-DC4,"")</f>
        <v>50.4</v>
      </c>
      <c r="DS4" s="55" t="str">
        <f>IF(SUM(DE4:DF4,DH4)-DG4&gt;0,SUM(DE4:DF4,DH4)-DG4,"")</f>
        <v/>
      </c>
      <c r="DT4" s="55">
        <f>IF(SUM(DJ4,DN4)&gt;0,SUM(DJ4,DN4),"")</f>
        <v>13.2</v>
      </c>
      <c r="DU4" s="55">
        <f>IF(SUM(DI4:DJ4,DL4:DN4,DP4)-SUM(DK4,DO4)&gt;0,SUM(DI4:DJ4,DL4:DN4,DP4)-SUM(DK4,DO4),"")</f>
        <v>50.599999999999994</v>
      </c>
      <c r="DV4" s="55">
        <f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>
        <v>17.2</v>
      </c>
      <c r="EF4" s="19">
        <v>2.8</v>
      </c>
      <c r="EG4" s="19">
        <v>0</v>
      </c>
      <c r="EH4" s="19">
        <v>0</v>
      </c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>
        <f>IF(SUM(EE4:EF4,EH4)-EG4&gt;0,SUM(EE4:EF4,EH4)-EG4,"")</f>
        <v>20</v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IF(SUM(ER4,ES4,EU4)&gt;0,SUM(ER4,ES4,EU4),"")</f>
        <v>20</v>
      </c>
      <c r="EW4" s="18">
        <v>18.100000000000001</v>
      </c>
      <c r="EX4" s="18">
        <v>6.4</v>
      </c>
      <c r="EY4" s="18">
        <v>0</v>
      </c>
      <c r="EZ4" s="18">
        <v>0</v>
      </c>
      <c r="FA4" s="18">
        <v>18.600000000000001</v>
      </c>
      <c r="FB4" s="18">
        <v>6.8</v>
      </c>
      <c r="FC4" s="18">
        <v>0</v>
      </c>
      <c r="FD4" s="18">
        <v>0</v>
      </c>
      <c r="FE4" s="18"/>
      <c r="FF4" s="18"/>
      <c r="FG4" s="18"/>
      <c r="FH4" s="18"/>
      <c r="FI4" s="18">
        <v>18.3</v>
      </c>
      <c r="FJ4" s="18">
        <v>6.4</v>
      </c>
      <c r="FK4" s="18">
        <v>0.2</v>
      </c>
      <c r="FL4" s="18">
        <v>0</v>
      </c>
      <c r="FM4" s="18">
        <v>18</v>
      </c>
      <c r="FN4" s="18">
        <v>4.4000000000000004</v>
      </c>
      <c r="FO4" s="18">
        <v>0.6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49.9</v>
      </c>
      <c r="FS4" s="55" t="str">
        <f>IF(SUM(FE4:FF4,FH4)-FG4&gt;0,SUM(FE4:FF4,FH4)-FG4,"")</f>
        <v/>
      </c>
      <c r="FT4" s="55">
        <f>IF(SUM(FJ4,FN4)&gt;0,SUM(FJ4,FN4),"")</f>
        <v>10.8</v>
      </c>
      <c r="FU4" s="55">
        <f>IF(SUM(FI4:FJ4,FL4:FN4,FP4)-SUM(FK4,FO4)&gt;0,SUM(FI4:FJ4,FL4:FN4,FP4)-SUM(FK4,FO4),"")</f>
        <v>46.300000000000004</v>
      </c>
      <c r="FV4" s="55">
        <f>IF(SUM(FR4,FS4,FU4)&gt;0,SUM(FR4,FS4,FU4),"")</f>
        <v>96.2</v>
      </c>
      <c r="FW4" s="19">
        <v>18.5</v>
      </c>
      <c r="FX4" s="19">
        <v>6.4</v>
      </c>
      <c r="FY4" s="19">
        <v>0</v>
      </c>
      <c r="FZ4" s="19">
        <v>0</v>
      </c>
      <c r="GA4" s="19">
        <v>18.600000000000001</v>
      </c>
      <c r="GB4" s="19">
        <v>6.8</v>
      </c>
      <c r="GC4" s="19">
        <v>0</v>
      </c>
      <c r="GD4" s="19">
        <v>0</v>
      </c>
      <c r="GE4" s="19"/>
      <c r="GF4" s="19"/>
      <c r="GG4" s="19"/>
      <c r="GH4" s="19"/>
      <c r="GI4" s="19">
        <v>18.399999999999999</v>
      </c>
      <c r="GJ4" s="19">
        <v>6.4</v>
      </c>
      <c r="GK4" s="19">
        <v>0</v>
      </c>
      <c r="GL4" s="19">
        <v>0</v>
      </c>
      <c r="GM4" s="19">
        <v>18.600000000000001</v>
      </c>
      <c r="GN4" s="19">
        <v>6.8</v>
      </c>
      <c r="GO4" s="19">
        <v>0</v>
      </c>
      <c r="GP4" s="19">
        <v>0</v>
      </c>
      <c r="GQ4" s="14">
        <f>IF(SUM(FX4,GB4)&gt;0,SUM(FX4,GB4),"")</f>
        <v>13.2</v>
      </c>
      <c r="GR4" s="14">
        <f>IF(SUM(FW4:FX4,FZ4:GB4,GD4)-FY4-GC4&gt;0,SUM(FW4:FX4,FZ4:GB4,GD4)-FY4-GC4,"")</f>
        <v>50.3</v>
      </c>
      <c r="GS4" s="14" t="str">
        <f>IF(SUM(GE4:GF4,GH4)-GG4&gt;0,SUM(GE4:GF4,GH4)-GG4,"")</f>
        <v/>
      </c>
      <c r="GT4" s="14">
        <f>IF(SUM(GJ4,GN4)&gt;0,SUM(GJ4,GN4),"")</f>
        <v>13.2</v>
      </c>
      <c r="GU4" s="14">
        <f>IF(SUM(GI4:GJ4,GL4:GN4,GP4)-SUM(GK4,GO4)&gt;0,SUM(GI4:GJ4,GL4:GN4,GP4)-SUM(GK4,GO4),"")</f>
        <v>50.199999999999996</v>
      </c>
      <c r="GV4" s="14">
        <f>IF(SUM(GR4,GS4,GU4)&gt;0,SUM(GR4,GS4,GU4),"")</f>
        <v>100.5</v>
      </c>
      <c r="GW4" s="18">
        <v>18.8</v>
      </c>
      <c r="GX4" s="18">
        <v>6.8</v>
      </c>
      <c r="GY4" s="18">
        <v>0</v>
      </c>
      <c r="GZ4" s="18">
        <v>0</v>
      </c>
      <c r="HA4" s="18">
        <v>19</v>
      </c>
      <c r="HB4" s="18">
        <v>6.4</v>
      </c>
      <c r="HC4" s="18">
        <v>0</v>
      </c>
      <c r="HD4" s="18">
        <v>0</v>
      </c>
      <c r="HE4" s="18"/>
      <c r="HF4" s="18"/>
      <c r="HG4" s="18"/>
      <c r="HH4" s="18"/>
      <c r="HI4" s="18">
        <v>18.8</v>
      </c>
      <c r="HJ4" s="18">
        <v>6.4</v>
      </c>
      <c r="HK4" s="18">
        <v>0</v>
      </c>
      <c r="HL4" s="18">
        <v>0</v>
      </c>
      <c r="HM4" s="18">
        <v>18.2</v>
      </c>
      <c r="HN4" s="18">
        <v>6.8</v>
      </c>
      <c r="HO4" s="18">
        <v>0.2</v>
      </c>
      <c r="HP4" s="18">
        <v>0</v>
      </c>
      <c r="HQ4" s="55">
        <f>IF(SUM(GX4,HB4)&gt;0,SUM(GX4,HB4),"")</f>
        <v>13.2</v>
      </c>
      <c r="HR4" s="55">
        <f>IF(SUM(GW4:GX4,GZ4:HB4,HD4)-GY4-HC4&gt;0,SUM(GW4:GX4,GZ4:HB4,HD4)-GY4-HC4,"")</f>
        <v>51</v>
      </c>
      <c r="HS4" s="55" t="str">
        <f>IF(SUM(HE4:HF4,HH4)-HG4&gt;0,SUM(HE4:HF4,HH4)-HG4,"")</f>
        <v/>
      </c>
      <c r="HT4" s="55">
        <f>IF(SUM(HJ4,HN4)&gt;0,SUM(HJ4,HN4),"")</f>
        <v>13.2</v>
      </c>
      <c r="HU4" s="55">
        <f>IF(SUM(HI4:HJ4,HL4:HN4,HP4)-SUM(HK4,HO4)&gt;0,SUM(HI4:HJ4,HL4:HN4,HP4)-SUM(HK4,HO4),"")</f>
        <v>50</v>
      </c>
      <c r="HV4" s="55">
        <f>IF(SUM(HR4,HS4,HU4)&gt;0,SUM(HR4,HS4,HU4),"")</f>
        <v>101</v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</v>
      </c>
      <c r="OX4" s="27">
        <f>IF($CN4="P",BU4,(BU4+AT4)/2)</f>
        <v>6.8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18.649999999999999</v>
      </c>
      <c r="PB4" s="27">
        <f>IF($CN4="P",BY4,(BY4+AX4)/2)</f>
        <v>6.4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18.600000000000001</v>
      </c>
      <c r="PF4" s="27">
        <f>IF($CN4="P",CC4,(CC4+BB4)/2)</f>
        <v>5.6</v>
      </c>
      <c r="PG4" s="27">
        <f>IF($CN4="P",CD4,(CD4+BC4)/2)</f>
        <v>0.3</v>
      </c>
      <c r="PH4" s="27">
        <f>IF($CN4="P",CE4,(CE4+BD4)/2)</f>
        <v>0</v>
      </c>
      <c r="PI4" s="27">
        <f>IF($CN4="P",CF4,(CF4+BE4)/2)</f>
        <v>18.45</v>
      </c>
      <c r="PJ4" s="27">
        <f>IF($CN4="P",CG4,(CG4+BF4)/2)</f>
        <v>7.6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18.899999999999999</v>
      </c>
      <c r="PN4" s="27">
        <f>IF($CN4="P",CK4,(CK4+BJ4)/2)</f>
        <v>6.4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13.2</v>
      </c>
      <c r="PS4" s="55">
        <f>IF(SUM(OW4:OX4,OZ4:PB4,PD4)-OY4-PC4&gt;0,SUM(OW4:OX4,OZ4:PB4,PD4)-OY4-PC4,"")</f>
        <v>50.75</v>
      </c>
      <c r="PT4" s="55">
        <f>IF(SUM(PE4:PF4,PH4)-PG4&gt;0,SUM(PE4:PF4,PH4)-PG4,"")</f>
        <v>23.900000000000002</v>
      </c>
      <c r="PU4" s="55">
        <f>IF(SUM(PJ4,PN4)&gt;0,SUM(PJ4,PN4),"")</f>
        <v>14</v>
      </c>
      <c r="PV4" s="55">
        <f>IF(SUM(PI4:PJ4,PL4:PN4,PP4)-SUM(PK4,PO4)&gt;0,SUM(PI4:PJ4,PL4:PN4,PP4)-SUM(PK4,PO4),"")</f>
        <v>51.249999999999993</v>
      </c>
      <c r="PW4" s="55">
        <f>IF(SUM(PS4,PT4,PV4)&gt;0,SUM(PS4,PT4,PV4),"")</f>
        <v>125.9</v>
      </c>
    </row>
    <row r="5" spans="1:439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147.400014540005</v>
      </c>
      <c r="F5" s="3" t="str">
        <f>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P","")</f>
        <v>P</v>
      </c>
      <c r="G5" s="3" t="str">
        <f>IF(OR(AND(AN5&gt;=AR$16,AN5&lt;&gt;"",AL5=""),AND(AQ5&gt;=AR$16,AQ5&lt;&gt;"",AL5=""),AND(BO5&gt;=BS$16,BO5&lt;&gt;"",BM5=""),AND(BR5&gt;=BS$16,BR5&lt;&gt;"",BM5=""),AND(CP5&gt;=CT$16,CP5&lt;&gt;"",CN5=""),AND(CS5&gt;=CT$16,CS5&lt;&gt;"",CN5=""),AND(DR5&gt;=DV$16,DR5&lt;&gt;""),AND(DU5&gt;=DV$16,DU5&lt;&gt;""),AND(ER5&gt;=EV$16,ER5&lt;&gt;""),AND(EU5&gt;=EV$16,EU5&lt;&gt;""),AND(FR5&gt;=FV$16,FR5&lt;&gt;""),AND(FU5&gt;=FV$16,FU5&lt;&gt;""),AND(GR5&gt;=GV$16,GR5&lt;&gt;""),AND(GU5&gt;=GV$16,GU5&lt;&gt;""),AND(HR5&gt;=HV$16,HR5&lt;&gt;""),AND(HU5&gt;=HV$16,HU5&lt;&gt;""),AND(IR5&gt;=IV$16,IR5&lt;&gt;""),AND(IU5&gt;=IV$16,IU5&lt;&gt;""),AND(JR5&gt;=JV$16,JR5&lt;&gt;""),AND(JU5&gt;=JV$16,JU5&lt;&gt;""),AND(KR5&gt;=KV$16,KR5&lt;&gt;""),AND(KU5&gt;=KV$16,KU5&lt;&gt;""),AND(LR5&gt;=LV$16,LR5&lt;&gt;""),AND(LU5&gt;=LV$16,LU5&lt;&gt;""),AND(MR5&gt;=MV$16,MR5&lt;&gt;""),AND(MU5&gt;=MV$16,MU5&lt;&gt;""),AND(NR5&gt;=NV$16,NR5&lt;&gt;""),AND(NU5&gt;=NV$16,NU5&lt;&gt;""),AND(OR5&gt;=OV$16,OR5&lt;&gt;""),AND(OU5&gt;=OV$16,OU5&lt;&gt;"")),"P","")</f>
        <v>P</v>
      </c>
      <c r="H5" s="47" t="str">
        <f>IF(AND(G5="P",F5=""),"No DD",IF(OR(AND(AM5&gt;=AR$15,AN5&gt;=AR$19,AM5&lt;&gt;"",AL5=""),AND(AP5&gt;=AR$15,AQ5&gt;=AR$19,AP5&lt;&gt;"",AL5=""),AND(BN5&gt;=BS$15,BO5&gt;=BS$19,BN5&lt;&gt;"",BM5=""),AND(BQ5&gt;=BS$15,BR5&gt;=BS$19,BQ5&lt;&gt;"",BM5=""),AND(CO5&gt;=CT$15,CP5&gt;=CT$19,CO5&lt;&gt;"",CN5=""),AND(CR5&gt;=CT$15,CS5&gt;=CT$19,CR5&lt;&gt;""),AND(DQ5&gt;=DV$15,DR5&gt;=DV$19,DQ5&lt;&gt;""),AND(DT5&gt;=DV$15,DU5&gt;=DV$19,DT5&lt;&gt;""),AND(EQ5&gt;=EV$15,ER5&gt;=EV$19,EQ5&lt;&gt;""),AND(ET5&gt;=EV$15,EU5&gt;=EV$19,ET5&lt;&gt;""),AND(FQ5&gt;=FV$15,FR5&gt;=FV$19,FQ5&lt;&gt;""),AND(FT5&gt;=FV$15,FU5&gt;=FV$19,FT5&lt;&gt;""),AND(GQ5&gt;=GV$15,GR5&gt;=GV$19,GQ5&lt;&gt;""),AND(GT5&gt;=GV$15,GU5&gt;=GV$19,GT5&lt;&gt;""),AND(HQ5&gt;=HV$15,HR5&gt;=HV$19,HQ5&lt;&gt;""),AND(HT5&gt;=HV$15,HU5&gt;=HV$19,HT5&lt;&gt;""),AND(IQ5&gt;=IV$15,IR5&gt;=IV$19,IQ5&lt;&gt;""),AND(IT5&gt;=IV$15,IU5&gt;=IV$19,IT5&lt;&gt;""),AND(JQ5&gt;=JV$15,JR5&gt;=JV$19,JQ5&lt;&gt;""),AND(JT5&gt;=JV$15,JU5&gt;=JV$19,JT5&lt;&gt;""),AND(KQ5&gt;=KV$15,KR5&gt;=KV$19,KQ5&lt;&gt;""),AND(KT5&gt;=KV$15,KU5&gt;=KV$19,KT5&lt;&gt;""),AND(LQ5&gt;=LV$15,LR5&gt;=LV$19,LQ5&lt;&gt;""),AND(LT5&gt;=LV$15,LU5&gt;=LV$19,LT5&lt;&gt;""),AND(MQ5&gt;=MV$15,MR5&gt;=MV$19,MQ5&lt;&gt;""),AND(MT5&gt;=MV$15,MU5&gt;=MV$19,MT5&lt;&gt;""),AND(NQ5&gt;=NV$15,NR5&gt;=NV$19,NQ5&lt;&gt;""),AND(NT5&gt;=NV$15,NU5&gt;=NV$19,NT5&lt;&gt;""),AND(OQ5&gt;=OV$15,OR5&gt;=OV$19,OQ5&lt;&gt;""),AND(OT5&gt;=OV$15,OU5&gt;=OV$19,OT5&lt;&gt;"")),"Merit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Excellence",IF(F5="P","National Team",""))))</f>
        <v>Excellence</v>
      </c>
      <c r="I5" s="9">
        <f>IF(COUNT(AN5,BO5,CP5)&gt;0,LARGE((AN5,BO5,CP5),1),0)</f>
        <v>49.900000000000006</v>
      </c>
      <c r="J5" s="9" t="str">
        <f>IF(I5=0,"",IF(I5=CP5,$BT$1,IF(I5=BO5,$AS$1,IF(I5=AN5,$R$1,""))))</f>
        <v>2024 Nationals</v>
      </c>
      <c r="K5" s="9">
        <f>IF(COUNT(AN5,BO5,CP5)&gt;1,LARGE((AN5,BO5,CP5),2),0)</f>
        <v>47.9</v>
      </c>
      <c r="L5" s="9" t="str">
        <f>IF(K5=0,"",IF(AND(K5=I5,K5=AN5,K5=BO5),$R$1,IF(AND(K5=I5,K5=AN5,K5=CP5),$R$1,IF(AND(K5=I5,K5=CP5,K5=BO5),$AS$1,IF(K5=CP5,$BT$1,IF(K5=BO5,$AS$1,IF(K5=AN5,$R$1,"")))))))</f>
        <v>2024 Elite Canada</v>
      </c>
      <c r="M5" s="9">
        <f>IF(MAX(AQ5,BR5,CS5)&gt;0,MAX(AQ5,BR5,CS5),0)</f>
        <v>47.6</v>
      </c>
      <c r="N5" s="9" t="str">
        <f>IF(M5=0,"",IF(M5=CS5,$BT$1,IF(M5=BR5,$AS$1,IF(M5=AQ5,$R$1,""))))</f>
        <v>2024 Elite Canada</v>
      </c>
      <c r="O5" s="9">
        <f>IF(MAX(CU5:CV5)&gt;0,MAX(CU5:CV5),"")</f>
        <v>2</v>
      </c>
      <c r="P5" s="14" t="str">
        <f>IF(O5="","",IF(O5=CU5,"("&amp;CU$2&amp;")",IF(O5=CV5,"("&amp;CV$2&amp;")")))</f>
        <v>(Final)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18.600000000000001</v>
      </c>
      <c r="S5" s="20">
        <v>5.1999999999999993</v>
      </c>
      <c r="T5" s="20">
        <v>0.6</v>
      </c>
      <c r="U5" s="20">
        <v>0</v>
      </c>
      <c r="V5" s="20">
        <v>18.399999999999999</v>
      </c>
      <c r="W5" s="20">
        <v>5.1999999999999993</v>
      </c>
      <c r="X5" s="20">
        <v>0</v>
      </c>
      <c r="Y5" s="20">
        <v>0</v>
      </c>
      <c r="Z5" s="20">
        <v>18.8</v>
      </c>
      <c r="AA5" s="20">
        <v>3.9000000000000004</v>
      </c>
      <c r="AB5" s="20">
        <v>0</v>
      </c>
      <c r="AC5" s="20">
        <v>0</v>
      </c>
      <c r="AD5" s="20">
        <v>18.100000000000001</v>
      </c>
      <c r="AE5" s="20">
        <v>5.6</v>
      </c>
      <c r="AF5" s="20">
        <v>0.2</v>
      </c>
      <c r="AG5" s="20">
        <v>0</v>
      </c>
      <c r="AH5" s="20">
        <v>18.399999999999999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10.399999999999999</v>
      </c>
      <c r="AN5" s="55">
        <f>IF(SUM(R5:S5,U5:W5,Y5)-T5-X5&gt;0,SUM(R5:S5,U5:W5,Y5)-T5-X5,"")</f>
        <v>46.800000000000004</v>
      </c>
      <c r="AO5" s="55">
        <f>IF(SUM(Z5:AA5,AC5)-AB5&gt;0,SUM(Z5:AA5,AC5)-AB5,"")</f>
        <v>22.700000000000003</v>
      </c>
      <c r="AP5" s="55">
        <f>IF(SUM(AE5,AI5)&gt;0,SUM(AE5,AI5),"")</f>
        <v>11.2</v>
      </c>
      <c r="AQ5" s="55">
        <f>IF(SUM(AD5:AE5,AG5:AI5,AK5)-SUM(AF5,AJ5)&gt;0,SUM(AD5:AE5,AG5:AI5,AK5)-SUM(AF5,AJ5),"")</f>
        <v>46.900000000000006</v>
      </c>
      <c r="AR5" s="55">
        <f>IF(SUM(AN5,AO5,AQ5)&gt;0,SUM(AN5,AO5,AQ5),"")</f>
        <v>116.4</v>
      </c>
      <c r="AS5" s="19">
        <v>18.5</v>
      </c>
      <c r="AT5" s="19">
        <v>5.2</v>
      </c>
      <c r="AU5" s="19">
        <v>0</v>
      </c>
      <c r="AV5" s="19">
        <v>0</v>
      </c>
      <c r="AW5" s="19">
        <v>18.2</v>
      </c>
      <c r="AX5" s="19">
        <v>6</v>
      </c>
      <c r="AY5" s="19">
        <v>0</v>
      </c>
      <c r="AZ5" s="19">
        <v>0</v>
      </c>
      <c r="BA5" s="19">
        <v>17.399999999999999</v>
      </c>
      <c r="BB5" s="19">
        <v>2.4</v>
      </c>
      <c r="BC5" s="19">
        <v>0</v>
      </c>
      <c r="BD5" s="19">
        <v>0</v>
      </c>
      <c r="BE5" s="19">
        <v>17.8</v>
      </c>
      <c r="BF5" s="19">
        <v>6</v>
      </c>
      <c r="BG5" s="19">
        <v>0.8</v>
      </c>
      <c r="BH5" s="19">
        <v>0</v>
      </c>
      <c r="BI5" s="19">
        <v>18</v>
      </c>
      <c r="BJ5" s="19">
        <v>7.2</v>
      </c>
      <c r="BK5" s="19">
        <v>0.6</v>
      </c>
      <c r="BL5" s="19">
        <v>0</v>
      </c>
      <c r="BM5" s="33"/>
      <c r="BN5" s="14">
        <f>IF(SUM(AT5,AX5)&gt;0,SUM(AT5,AX5),"")</f>
        <v>11.2</v>
      </c>
      <c r="BO5" s="14">
        <f>IF(SUM(AS5:AT5,AV5:AX5,AZ5)-AU5-AY5&gt;0,SUM(AS5:AT5,AV5:AX5,AZ5)-AU5-AY5,"")</f>
        <v>47.9</v>
      </c>
      <c r="BP5" s="14">
        <f>IF(SUM(BA5:BB5,BD5)-BC5&gt;0,SUM(BA5:BB5,BD5)-BC5,"")</f>
        <v>19.799999999999997</v>
      </c>
      <c r="BQ5" s="14">
        <f>IF(SUM(BF5,BJ5)&gt;0,SUM(BF5,BJ5),"")</f>
        <v>13.2</v>
      </c>
      <c r="BR5" s="14">
        <f>IF(SUM(BE5:BF5,BH5:BJ5,BL5)-SUM(BG5,BK5)&gt;0,SUM(BE5:BF5,BH5:BJ5,BL5)-SUM(BG5,BK5),"")</f>
        <v>47.6</v>
      </c>
      <c r="BS5" s="14">
        <f>IF(SUM(BO5,BP5,BR5)&gt;0,SUM(BO5,BP5,BR5),"")</f>
        <v>115.29999999999998</v>
      </c>
      <c r="BT5" s="20">
        <v>18.600000000000001</v>
      </c>
      <c r="BU5" s="20">
        <v>6</v>
      </c>
      <c r="BV5" s="20">
        <v>0</v>
      </c>
      <c r="BW5" s="20">
        <v>0</v>
      </c>
      <c r="BX5" s="20">
        <v>18.3</v>
      </c>
      <c r="BY5" s="20">
        <v>7.2</v>
      </c>
      <c r="BZ5" s="20">
        <v>0.2</v>
      </c>
      <c r="CA5" s="20">
        <v>0</v>
      </c>
      <c r="CB5" s="20">
        <v>18.3</v>
      </c>
      <c r="CC5" s="20">
        <v>4.4000000000000004</v>
      </c>
      <c r="CD5" s="20">
        <v>1</v>
      </c>
      <c r="CE5" s="20">
        <v>0</v>
      </c>
      <c r="CF5" s="20">
        <v>17.399999999999999</v>
      </c>
      <c r="CG5" s="20">
        <v>2.4</v>
      </c>
      <c r="CH5" s="20">
        <v>0</v>
      </c>
      <c r="CI5" s="20">
        <v>0</v>
      </c>
      <c r="CJ5" s="20">
        <v>18.600000000000001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49.900000000000006</v>
      </c>
      <c r="CQ5" s="55">
        <f>IF(SUM(CB5:CC5,CE5)-CD5&gt;0,SUM(CB5:CC5,CE5)-CD5,"")</f>
        <v>21.700000000000003</v>
      </c>
      <c r="CR5" s="55">
        <f>IF(SUM(CG5,CK5)&gt;0,SUM(CG5,CK5),"")</f>
        <v>8.8000000000000007</v>
      </c>
      <c r="CS5" s="55">
        <f>IF(SUM(CF5:CG5,CI5:CK5,CM5)-SUM(CH5,CL5)&gt;0,SUM(CF5:CG5,CI5:CK5,CM5)-SUM(CH5,CL5),"")</f>
        <v>44.8</v>
      </c>
      <c r="CT5" s="55">
        <f>IF(SUM(CP5,CQ5,CS5)&gt;0,SUM(CP5,CQ5,CS5),"")</f>
        <v>116.4</v>
      </c>
      <c r="CU5" s="56">
        <f>IF(MAX(DR5,ER5,FR5,GR5,HR5,IR5,JR5,KR5,LR5,MR5,NR5,OR5)-IF(K5="",0,K5)&gt;0.001,MAX(DR5,ER5,FR5,GR5,HR5,IR5,JR5,KR5,LR5,MR5,NR5,OR5)-IF(K5="",0,K5),"")</f>
        <v>1.8000000000000043</v>
      </c>
      <c r="CV5" s="56">
        <f>IF(MAX(DU5,EU5,FU5,GU5,HU5,IU5,JU5,KU5,LU5,MU5,NU5,OU5)-IF(M5="",0,M5)&gt;0.001,MAX(DU5,EU5,FU5,GU5,HU5,IU5,JU5,KU5,LU5,MU5,NU5,OU5)-IF(M5="",0,M5),"")</f>
        <v>2</v>
      </c>
      <c r="CW5" s="18">
        <v>18.2</v>
      </c>
      <c r="CX5" s="18">
        <v>6.4</v>
      </c>
      <c r="CY5" s="18">
        <v>0</v>
      </c>
      <c r="CZ5" s="18">
        <v>0</v>
      </c>
      <c r="DA5" s="18">
        <v>18.3</v>
      </c>
      <c r="DB5" s="18">
        <v>6.8</v>
      </c>
      <c r="DC5" s="18">
        <v>0</v>
      </c>
      <c r="DD5" s="18">
        <v>0</v>
      </c>
      <c r="DE5" s="18"/>
      <c r="DF5" s="18"/>
      <c r="DG5" s="18"/>
      <c r="DH5" s="18"/>
      <c r="DI5" s="18">
        <v>18.2</v>
      </c>
      <c r="DJ5" s="18">
        <v>6.8</v>
      </c>
      <c r="DK5" s="18">
        <v>0.6</v>
      </c>
      <c r="DL5" s="18">
        <v>0</v>
      </c>
      <c r="DM5" s="18">
        <v>18.399999999999999</v>
      </c>
      <c r="DN5" s="18">
        <v>6.4</v>
      </c>
      <c r="DO5" s="18">
        <v>0.6</v>
      </c>
      <c r="DP5" s="18">
        <v>0</v>
      </c>
      <c r="DQ5" s="55">
        <f>IF(SUM(CX5,DB5)&gt;0,SUM(CX5,DB5),"")</f>
        <v>13.2</v>
      </c>
      <c r="DR5" s="55">
        <f>IF(SUM(CW5:CX5,CZ5:DB5,DD5)-CY5-DC5&gt;0,SUM(CW5:CX5,CZ5:DB5,DD5)-CY5-DC5,"")</f>
        <v>49.7</v>
      </c>
      <c r="DS5" s="55" t="str">
        <f>IF(SUM(DE5:DF5,DH5)-DG5&gt;0,SUM(DE5:DF5,DH5)-DG5,"")</f>
        <v/>
      </c>
      <c r="DT5" s="55">
        <f>IF(SUM(DJ5,DN5)&gt;0,SUM(DJ5,DN5),"")</f>
        <v>13.2</v>
      </c>
      <c r="DU5" s="55">
        <f>IF(SUM(DI5:DJ5,DL5:DN5,DP5)-SUM(DK5,DO5)&gt;0,SUM(DI5:DJ5,DL5:DN5,DP5)-SUM(DK5,DO5),"")</f>
        <v>48.599999999999994</v>
      </c>
      <c r="DV5" s="55">
        <f>IF(SUM(DR5,DS5,DU5)&gt;0,SUM(DR5,DS5,DU5),"")</f>
        <v>98.3</v>
      </c>
      <c r="DW5" s="19"/>
      <c r="DX5" s="19"/>
      <c r="DY5" s="19"/>
      <c r="DZ5" s="19"/>
      <c r="EA5" s="19"/>
      <c r="EB5" s="19"/>
      <c r="EC5" s="19"/>
      <c r="ED5" s="19"/>
      <c r="EE5" s="19">
        <v>18</v>
      </c>
      <c r="EF5" s="19">
        <v>6.4</v>
      </c>
      <c r="EG5" s="19">
        <v>0.2</v>
      </c>
      <c r="EH5" s="19">
        <v>0</v>
      </c>
      <c r="EI5" s="19">
        <v>17.8</v>
      </c>
      <c r="EJ5" s="19">
        <v>6</v>
      </c>
      <c r="EK5" s="19">
        <v>0.2</v>
      </c>
      <c r="EL5" s="19">
        <v>0</v>
      </c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>
        <f>IF(SUM(EE5:EF5,EH5)-EG5&gt;0,SUM(EE5:EF5,EH5)-EG5,"")</f>
        <v>24.2</v>
      </c>
      <c r="ET5" s="14">
        <f>IF(SUM(EJ5,EN5)&gt;0,SUM(EJ5,EN5),"")</f>
        <v>6</v>
      </c>
      <c r="EU5" s="14">
        <f>IF(SUM(EI5:EJ5,EL5:EN5,EP5)-SUM(EK5,EO5)&gt;0,SUM(EI5:EJ5,EL5:EN5,EP5)-SUM(EK5,EO5),"")</f>
        <v>23.6</v>
      </c>
      <c r="EV5" s="14">
        <f>IF(SUM(ER5,ES5,EU5)&gt;0,SUM(ER5,ES5,EU5),"")</f>
        <v>47.8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>
        <v>18.2</v>
      </c>
      <c r="GX5" s="18">
        <v>6</v>
      </c>
      <c r="GY5" s="18">
        <v>0.6</v>
      </c>
      <c r="GZ5" s="18">
        <v>0</v>
      </c>
      <c r="HA5" s="18">
        <v>18.600000000000001</v>
      </c>
      <c r="HB5" s="18">
        <v>7.2</v>
      </c>
      <c r="HC5" s="18">
        <v>0</v>
      </c>
      <c r="HD5" s="18">
        <v>0</v>
      </c>
      <c r="HE5" s="18"/>
      <c r="HF5" s="18"/>
      <c r="HG5" s="18"/>
      <c r="HH5" s="18"/>
      <c r="HI5" s="18">
        <v>18.600000000000001</v>
      </c>
      <c r="HJ5" s="18">
        <v>6</v>
      </c>
      <c r="HK5" s="18">
        <v>0</v>
      </c>
      <c r="HL5" s="18">
        <v>0</v>
      </c>
      <c r="HM5" s="18">
        <v>18</v>
      </c>
      <c r="HN5" s="18">
        <v>7.2</v>
      </c>
      <c r="HO5" s="18">
        <v>0.2</v>
      </c>
      <c r="HP5" s="18">
        <v>0</v>
      </c>
      <c r="HQ5" s="55">
        <f>IF(SUM(GX5,HB5)&gt;0,SUM(GX5,HB5),"")</f>
        <v>13.2</v>
      </c>
      <c r="HR5" s="55">
        <f>IF(SUM(GW5:GX5,GZ5:HB5,HD5)-GY5-HC5&gt;0,SUM(GW5:GX5,GZ5:HB5,HD5)-GY5-HC5,"")</f>
        <v>49.4</v>
      </c>
      <c r="HS5" s="55" t="str">
        <f>IF(SUM(HE5:HF5,HH5)-HG5&gt;0,SUM(HE5:HF5,HH5)-HG5,"")</f>
        <v/>
      </c>
      <c r="HT5" s="55">
        <f>IF(SUM(HJ5,HN5)&gt;0,SUM(HJ5,HN5),"")</f>
        <v>13.2</v>
      </c>
      <c r="HU5" s="55">
        <f>IF(SUM(HI5:HJ5,HL5:HN5,HP5)-SUM(HK5,HO5)&gt;0,SUM(HI5:HJ5,HL5:HN5,HP5)-SUM(HK5,HO5),"")</f>
        <v>49.6</v>
      </c>
      <c r="HV5" s="55">
        <f>IF(SUM(HR5,HS5,HU5)&gt;0,SUM(HR5,HS5,HU5),"")</f>
        <v>99</v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18.55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18.25</v>
      </c>
      <c r="PB5" s="27">
        <f>IF($CN5="P",BY5,(BY5+AX5)/2)</f>
        <v>6.6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17.850000000000001</v>
      </c>
      <c r="PF5" s="27">
        <f>IF($CN5="P",CC5,(CC5+BB5)/2)</f>
        <v>3.4000000000000004</v>
      </c>
      <c r="PG5" s="27">
        <f>IF($CN5="P",CD5,(CD5+BC5)/2)</f>
        <v>0.5</v>
      </c>
      <c r="PH5" s="27">
        <f>IF($CN5="P",CE5,(CE5+BD5)/2)</f>
        <v>0</v>
      </c>
      <c r="PI5" s="27">
        <f>IF($CN5="P",CF5,(CF5+BE5)/2)</f>
        <v>17.600000000000001</v>
      </c>
      <c r="PJ5" s="27">
        <f>IF($CN5="P",CG5,(CG5+BF5)/2)</f>
        <v>4.2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18.3</v>
      </c>
      <c r="PN5" s="27">
        <f>IF($CN5="P",CK5,(CK5+BJ5)/2)</f>
        <v>6.8000000000000007</v>
      </c>
      <c r="PO5" s="27">
        <f>IF($CN5="P",CL5,(CL5+BK5)/2)</f>
        <v>0.3</v>
      </c>
      <c r="PP5" s="27">
        <f>IF($CN5="P",CM5,(CM5+BL5)/2)</f>
        <v>0</v>
      </c>
      <c r="PQ5" s="32" t="s">
        <v>44</v>
      </c>
      <c r="PR5" s="55">
        <f>IF(SUM(OX5,PB5)&gt;0,SUM(OX5,PB5),"")</f>
        <v>12.2</v>
      </c>
      <c r="PS5" s="55">
        <f>IF(SUM(OW5:OX5,OZ5:PB5,PD5)-OY5-PC5&gt;0,SUM(OW5:OX5,OZ5:PB5,PD5)-OY5-PC5,"")</f>
        <v>48.9</v>
      </c>
      <c r="PT5" s="55">
        <f>IF(SUM(PE5:PF5,PH5)-PG5&gt;0,SUM(PE5:PF5,PH5)-PG5,"")</f>
        <v>20.75</v>
      </c>
      <c r="PU5" s="55">
        <f>IF(SUM(PJ5,PN5)&gt;0,SUM(PJ5,PN5),"")</f>
        <v>11</v>
      </c>
      <c r="PV5" s="55">
        <f>IF(SUM(PI5:PJ5,PL5:PN5,PP5)-SUM(PK5,PO5)&gt;0,SUM(PI5:PJ5,PL5:PN5,PP5)-SUM(PK5,PO5),"")</f>
        <v>46.2</v>
      </c>
      <c r="PW5" s="55">
        <f>IF(SUM(PS5,PT5,PV5)&gt;0,SUM(PS5,PT5,PV5),"")</f>
        <v>115.85000000000001</v>
      </c>
    </row>
    <row r="6" spans="1:439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85</v>
      </c>
      <c r="C6" s="4" t="s">
        <v>68</v>
      </c>
      <c r="D6" s="4">
        <v>2009</v>
      </c>
      <c r="E6" s="10">
        <f>SUM(I6:O6)+SUM(I6:M6)*0.0000001+SUM(I6)*0.0000000000001</f>
        <v>143.7000140400047</v>
      </c>
      <c r="F6" s="3" t="str">
        <f>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P","")</f>
        <v>P</v>
      </c>
      <c r="G6" s="3" t="str">
        <f>IF(OR(AND(AN6&gt;=AR$16,AN6&lt;&gt;"",AL6=""),AND(AQ6&gt;=AR$16,AQ6&lt;&gt;"",AL6=""),AND(BO6&gt;=BS$16,BO6&lt;&gt;"",BM6=""),AND(BR6&gt;=BS$16,BR6&lt;&gt;"",BM6=""),AND(CP6&gt;=CT$16,CP6&lt;&gt;"",CN6=""),AND(CS6&gt;=CT$16,CS6&lt;&gt;"",CN6=""),AND(DR6&gt;=DV$16,DR6&lt;&gt;""),AND(DU6&gt;=DV$16,DU6&lt;&gt;""),AND(ER6&gt;=EV$16,ER6&lt;&gt;""),AND(EU6&gt;=EV$16,EU6&lt;&gt;""),AND(FR6&gt;=FV$16,FR6&lt;&gt;""),AND(FU6&gt;=FV$16,FU6&lt;&gt;""),AND(GR6&gt;=GV$16,GR6&lt;&gt;""),AND(GU6&gt;=GV$16,GU6&lt;&gt;""),AND(HR6&gt;=HV$16,HR6&lt;&gt;""),AND(HU6&gt;=HV$16,HU6&lt;&gt;""),AND(IR6&gt;=IV$16,IR6&lt;&gt;""),AND(IU6&gt;=IV$16,IU6&lt;&gt;""),AND(JR6&gt;=JV$16,JR6&lt;&gt;""),AND(JU6&gt;=JV$16,JU6&lt;&gt;""),AND(KR6&gt;=KV$16,KR6&lt;&gt;""),AND(KU6&gt;=KV$16,KU6&lt;&gt;""),AND(LR6&gt;=LV$16,LR6&lt;&gt;""),AND(LU6&gt;=LV$16,LU6&lt;&gt;""),AND(MR6&gt;=MV$16,MR6&lt;&gt;""),AND(MU6&gt;=MV$16,MU6&lt;&gt;""),AND(NR6&gt;=NV$16,NR6&lt;&gt;""),AND(NU6&gt;=NV$16,NU6&lt;&gt;""),AND(OR6&gt;=OV$16,OR6&lt;&gt;""),AND(OU6&gt;=OV$16,OU6&lt;&gt;"")),"P","")</f>
        <v>P</v>
      </c>
      <c r="H6" s="47" t="str">
        <f>IF(AND(G6="P",F6=""),"No DD",IF(OR(AND(AM6&gt;=AR$15,AN6&gt;=AR$19,AM6&lt;&gt;"",AL6=""),AND(AP6&gt;=AR$15,AQ6&gt;=AR$19,AP6&lt;&gt;"",AL6=""),AND(BN6&gt;=BS$15,BO6&gt;=BS$19,BN6&lt;&gt;"",BM6=""),AND(BQ6&gt;=BS$15,BR6&gt;=BS$19,BQ6&lt;&gt;"",BM6=""),AND(CO6&gt;=CT$15,CP6&gt;=CT$19,CO6&lt;&gt;"",CN6=""),AND(CR6&gt;=CT$15,CS6&gt;=CT$19,CR6&lt;&gt;""),AND(DQ6&gt;=DV$15,DR6&gt;=DV$19,DQ6&lt;&gt;""),AND(DT6&gt;=DV$15,DU6&gt;=DV$19,DT6&lt;&gt;""),AND(EQ6&gt;=EV$15,ER6&gt;=EV$19,EQ6&lt;&gt;""),AND(ET6&gt;=EV$15,EU6&gt;=EV$19,ET6&lt;&gt;""),AND(FQ6&gt;=FV$15,FR6&gt;=FV$19,FQ6&lt;&gt;""),AND(FT6&gt;=FV$15,FU6&gt;=FV$19,FT6&lt;&gt;""),AND(GQ6&gt;=GV$15,GR6&gt;=GV$19,GQ6&lt;&gt;""),AND(GT6&gt;=GV$15,GU6&gt;=GV$19,GT6&lt;&gt;""),AND(HQ6&gt;=HV$15,HR6&gt;=HV$19,HQ6&lt;&gt;""),AND(HT6&gt;=HV$15,HU6&gt;=HV$19,HT6&lt;&gt;""),AND(IQ6&gt;=IV$15,IR6&gt;=IV$19,IQ6&lt;&gt;""),AND(IT6&gt;=IV$15,IU6&gt;=IV$19,IT6&lt;&gt;""),AND(JQ6&gt;=JV$15,JR6&gt;=JV$19,JQ6&lt;&gt;""),AND(JT6&gt;=JV$15,JU6&gt;=JV$19,JT6&lt;&gt;""),AND(KQ6&gt;=KV$15,KR6&gt;=KV$19,KQ6&lt;&gt;""),AND(KT6&gt;=KV$15,KU6&gt;=KV$19,KT6&lt;&gt;""),AND(LQ6&gt;=LV$15,LR6&gt;=LV$19,LQ6&lt;&gt;""),AND(LT6&gt;=LV$15,LU6&gt;=LV$19,LT6&lt;&gt;""),AND(MQ6&gt;=MV$15,MR6&gt;=MV$19,MQ6&lt;&gt;""),AND(MT6&gt;=MV$15,MU6&gt;=MV$19,MT6&lt;&gt;""),AND(NQ6&gt;=NV$15,NR6&gt;=NV$19,NQ6&lt;&gt;""),AND(NT6&gt;=NV$15,NU6&gt;=NV$19,NT6&lt;&gt;""),AND(OQ6&gt;=OV$15,OR6&gt;=OV$19,OQ6&lt;&gt;""),AND(OT6&gt;=OV$15,OU6&gt;=OV$19,OT6&lt;&gt;"")),"Merit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Excellence",IF(F6="P","National Team",""))))</f>
        <v>Excellence</v>
      </c>
      <c r="I6" s="9">
        <f>IF(COUNT(AN6,BO6,CP6)&gt;0,LARGE((AN6,BO6,CP6),1),0)</f>
        <v>47.599999999999994</v>
      </c>
      <c r="J6" s="9" t="str">
        <f>IF(I6=0,"",IF(I6=CP6,$BT$1,IF(I6=BO6,$AS$1,IF(I6=AN6,$R$1,""))))</f>
        <v>2024 Nationals</v>
      </c>
      <c r="K6" s="9">
        <f>IF(COUNT(AN6,BO6,CP6)&gt;1,LARGE((AN6,BO6,CP6),2),0)</f>
        <v>45.1</v>
      </c>
      <c r="L6" s="9" t="str">
        <f>IF(K6=0,"",IF(AND(K6=I6,K6=AN6,K6=BO6),$R$1,IF(AND(K6=I6,K6=AN6,K6=CP6),$R$1,IF(AND(K6=I6,K6=CP6,K6=BO6),$AS$1,IF(K6=CP6,$BT$1,IF(K6=BO6,$AS$1,IF(K6=AN6,$R$1,"")))))))</f>
        <v>2024 Elite Canada</v>
      </c>
      <c r="M6" s="9">
        <f>IF(MAX(AQ6,BR6,CS6)&gt;0,MAX(AQ6,BR6,CS6),0)</f>
        <v>47.699999999999996</v>
      </c>
      <c r="N6" s="9" t="str">
        <f>IF(M6=0,"",IF(M6=CS6,$BT$1,IF(M6=BR6,$AS$1,IF(M6=AQ6,$R$1,""))))</f>
        <v>2024 Nationals</v>
      </c>
      <c r="O6" s="9">
        <f>IF(MAX(CU6:CV6)&gt;0,MAX(CU6:CV6),"")</f>
        <v>3.2999999999999901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2024 Coimbra Gym Fest (July 7)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18.100000000000001</v>
      </c>
      <c r="AT6" s="19">
        <v>5.2</v>
      </c>
      <c r="AU6" s="19">
        <v>0.6</v>
      </c>
      <c r="AV6" s="19">
        <v>0</v>
      </c>
      <c r="AW6" s="19">
        <v>17.8</v>
      </c>
      <c r="AX6" s="19">
        <v>5.2</v>
      </c>
      <c r="AY6" s="19">
        <v>0.6</v>
      </c>
      <c r="AZ6" s="19">
        <v>0</v>
      </c>
      <c r="BA6" s="19">
        <v>18.2</v>
      </c>
      <c r="BB6" s="19">
        <v>4.4000000000000004</v>
      </c>
      <c r="BC6" s="19">
        <v>0</v>
      </c>
      <c r="BD6" s="19">
        <v>0</v>
      </c>
      <c r="BE6" s="19">
        <v>18.3</v>
      </c>
      <c r="BF6" s="19">
        <v>5.2</v>
      </c>
      <c r="BG6" s="19">
        <v>0.6</v>
      </c>
      <c r="BH6" s="19">
        <v>0</v>
      </c>
      <c r="BI6" s="19">
        <v>18.5</v>
      </c>
      <c r="BJ6" s="19">
        <v>6</v>
      </c>
      <c r="BK6" s="19">
        <v>0.2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45.1</v>
      </c>
      <c r="BP6" s="14">
        <f>IF(SUM(BA6:BB6,BD6)-BC6&gt;0,SUM(BA6:BB6,BD6)-BC6,"")</f>
        <v>22.6</v>
      </c>
      <c r="BQ6" s="14">
        <f>IF(SUM(BF6,BJ6)&gt;0,SUM(BF6,BJ6),"")</f>
        <v>11.2</v>
      </c>
      <c r="BR6" s="14">
        <f>IF(SUM(BE6:BF6,BH6:BJ6,BL6)-SUM(BG6,BK6)&gt;0,SUM(BE6:BF6,BH6:BJ6,BL6)-SUM(BG6,BK6),"")</f>
        <v>47.2</v>
      </c>
      <c r="BS6" s="14">
        <f>IF(SUM(BO6,BP6,BR6)&gt;0,SUM(BO6,BP6,BR6),"")</f>
        <v>114.9</v>
      </c>
      <c r="BT6" s="20">
        <v>18.2</v>
      </c>
      <c r="BU6" s="20">
        <v>5.6</v>
      </c>
      <c r="BV6" s="20">
        <v>0.6</v>
      </c>
      <c r="BW6" s="20">
        <v>0</v>
      </c>
      <c r="BX6" s="20">
        <v>18.399999999999999</v>
      </c>
      <c r="BY6" s="20">
        <v>6</v>
      </c>
      <c r="BZ6" s="20">
        <v>0</v>
      </c>
      <c r="CA6" s="20">
        <v>0</v>
      </c>
      <c r="CB6" s="20">
        <v>18.3</v>
      </c>
      <c r="CC6" s="20">
        <v>4.8</v>
      </c>
      <c r="CD6" s="20">
        <v>0.6</v>
      </c>
      <c r="CE6" s="20">
        <v>0</v>
      </c>
      <c r="CF6" s="20">
        <v>18.3</v>
      </c>
      <c r="CG6" s="20">
        <v>5.6</v>
      </c>
      <c r="CH6" s="20">
        <v>0.6</v>
      </c>
      <c r="CI6" s="20">
        <v>0</v>
      </c>
      <c r="CJ6" s="20">
        <v>18.399999999999999</v>
      </c>
      <c r="CK6" s="20">
        <v>6</v>
      </c>
      <c r="CL6" s="20">
        <v>0</v>
      </c>
      <c r="CM6" s="20">
        <v>0</v>
      </c>
      <c r="CN6" s="32"/>
      <c r="CO6" s="55">
        <f>IF(SUM(BU6,BY6)&gt;0,SUM(BU6,BY6),"")</f>
        <v>11.6</v>
      </c>
      <c r="CP6" s="55">
        <f>IF(SUM(BT6:BU6,BW6:BY6,CA6)-BV6-BZ6&gt;0,SUM(BT6:BU6,BW6:BY6,CA6)-BV6-BZ6,"")</f>
        <v>47.599999999999994</v>
      </c>
      <c r="CQ6" s="55">
        <f>IF(SUM(CB6:CC6,CE6)-CD6&gt;0,SUM(CB6:CC6,CE6)-CD6,"")</f>
        <v>22.5</v>
      </c>
      <c r="CR6" s="55">
        <f>IF(SUM(CG6,CK6)&gt;0,SUM(CG6,CK6),"")</f>
        <v>11.6</v>
      </c>
      <c r="CS6" s="55">
        <f>IF(SUM(CF6:CG6,CI6:CK6,CM6)-SUM(CH6,CL6)&gt;0,SUM(CF6:CG6,CI6:CK6,CM6)-SUM(CH6,CL6),"")</f>
        <v>47.699999999999996</v>
      </c>
      <c r="CT6" s="55">
        <f>IF(SUM(CP6,CQ6,CS6)&gt;0,SUM(CP6,CQ6,CS6),"")</f>
        <v>117.79999999999998</v>
      </c>
      <c r="CU6" s="56">
        <f>IF(MAX(DR6,ER6,FR6,GR6,HR6,IR6,JR6,KR6,LR6,MR6,NR6,OR6)-IF(K6="",0,K6)&gt;0.001,MAX(DR6,ER6,FR6,GR6,HR6,IR6,JR6,KR6,LR6,MR6,NR6,OR6)-IF(K6="",0,K6),"")</f>
        <v>3.2999999999999901</v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>
        <v>18.3</v>
      </c>
      <c r="GX6" s="18">
        <v>5.6</v>
      </c>
      <c r="GY6" s="18">
        <v>0</v>
      </c>
      <c r="GZ6" s="18">
        <v>0</v>
      </c>
      <c r="HA6" s="18">
        <v>18.7</v>
      </c>
      <c r="HB6" s="18">
        <v>6</v>
      </c>
      <c r="HC6" s="18">
        <v>0.2</v>
      </c>
      <c r="HD6" s="18">
        <v>0</v>
      </c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>
        <f>IF(SUM(GX6,HB6)&gt;0,SUM(GX6,HB6),"")</f>
        <v>11.6</v>
      </c>
      <c r="HR6" s="55">
        <f>IF(SUM(GW6:GX6,GZ6:HB6,HD6)-GY6-HC6&gt;0,SUM(GW6:GX6,GZ6:HB6,HD6)-GY6-HC6,"")</f>
        <v>48.399999999999991</v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>
        <f>IF(SUM(HR6,HS6,HU6)&gt;0,SUM(HR6,HS6,HU6),"")</f>
        <v>48.399999999999991</v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18.149999999999999</v>
      </c>
      <c r="OX6" s="27">
        <f>IF($CN6="P",BU6,(BU6+AT6)/2)</f>
        <v>5.4</v>
      </c>
      <c r="OY6" s="27">
        <f>IF($CN6="P",BV6,(BV6+AU6)/2)</f>
        <v>0.6</v>
      </c>
      <c r="OZ6" s="27">
        <f>IF($CN6="P",BW6,(BW6+AV6)/2)</f>
        <v>0</v>
      </c>
      <c r="PA6" s="27">
        <f>IF($CN6="P",BX6,(BX6+AW6)/2)</f>
        <v>18.100000000000001</v>
      </c>
      <c r="PB6" s="27">
        <f>IF($CN6="P",BY6,(BY6+AX6)/2)</f>
        <v>5.6</v>
      </c>
      <c r="PC6" s="27">
        <f>IF($CN6="P",BZ6,(BZ6+AY6)/2)</f>
        <v>0.3</v>
      </c>
      <c r="PD6" s="27">
        <f>IF($CN6="P",CA6,(CA6+AZ6)/2)</f>
        <v>0</v>
      </c>
      <c r="PE6" s="27">
        <f>IF($CN6="P",CB6,(CB6+BA6)/2)</f>
        <v>18.25</v>
      </c>
      <c r="PF6" s="27">
        <f>IF($CN6="P",CC6,(CC6+BB6)/2)</f>
        <v>4.5999999999999996</v>
      </c>
      <c r="PG6" s="27">
        <f>IF($CN6="P",CD6,(CD6+BC6)/2)</f>
        <v>0.3</v>
      </c>
      <c r="PH6" s="27">
        <f>IF($CN6="P",CE6,(CE6+BD6)/2)</f>
        <v>0</v>
      </c>
      <c r="PI6" s="27">
        <f>IF($CN6="P",CF6,(CF6+BE6)/2)</f>
        <v>18.3</v>
      </c>
      <c r="PJ6" s="27">
        <f>IF($CN6="P",CG6,(CG6+BF6)/2)</f>
        <v>5.4</v>
      </c>
      <c r="PK6" s="27">
        <f>IF($CN6="P",CH6,(CH6+BG6)/2)</f>
        <v>0.6</v>
      </c>
      <c r="PL6" s="27">
        <f>IF($CN6="P",CI6,(CI6+BH6)/2)</f>
        <v>0</v>
      </c>
      <c r="PM6" s="27">
        <f>IF($CN6="P",CJ6,(CJ6+BI6)/2)</f>
        <v>18.45</v>
      </c>
      <c r="PN6" s="27">
        <f>IF($CN6="P",CK6,(CK6+BJ6)/2)</f>
        <v>6</v>
      </c>
      <c r="PO6" s="27">
        <f>IF($CN6="P",CL6,(CL6+BK6)/2)</f>
        <v>0.1</v>
      </c>
      <c r="PP6" s="27">
        <f>IF($CN6="P",CM6,(CM6+BL6)/2)</f>
        <v>0</v>
      </c>
      <c r="PQ6" s="32" t="s">
        <v>44</v>
      </c>
      <c r="PR6" s="55">
        <f>IF(SUM(OX6,PB6)&gt;0,SUM(OX6,PB6),"")</f>
        <v>11</v>
      </c>
      <c r="PS6" s="55">
        <f>IF(SUM(OW6:OX6,OZ6:PB6,PD6)-OY6-PC6&gt;0,SUM(OW6:OX6,OZ6:PB6,PD6)-OY6-PC6,"")</f>
        <v>46.35</v>
      </c>
      <c r="PT6" s="55">
        <f>IF(SUM(PE6:PF6,PH6)-PG6&gt;0,SUM(PE6:PF6,PH6)-PG6,"")</f>
        <v>22.55</v>
      </c>
      <c r="PU6" s="55">
        <f>IF(SUM(PJ6,PN6)&gt;0,SUM(PJ6,PN6),"")</f>
        <v>11.4</v>
      </c>
      <c r="PV6" s="55">
        <f>IF(SUM(PI6:PJ6,PL6:PN6,PP6)-SUM(PK6,PO6)&gt;0,SUM(PI6:PJ6,PL6:PN6,PP6)-SUM(PK6,PO6),"")</f>
        <v>47.45</v>
      </c>
      <c r="PW6" s="55">
        <f>IF(SUM(PS6,PT6,PV6)&gt;0,SUM(PS6,PT6,PV6),"")</f>
        <v>116.35000000000001</v>
      </c>
    </row>
    <row r="7" spans="1:439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86</v>
      </c>
      <c r="C7" s="4" t="s">
        <v>66</v>
      </c>
      <c r="D7" s="4">
        <v>2008</v>
      </c>
      <c r="E7" s="10">
        <f>SUM(I7:O7)+SUM(I7:M7)*0.0000001+SUM(I7)*0.0000000000001</f>
        <v>138.90001388000474</v>
      </c>
      <c r="F7" s="3" t="str">
        <f>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P","")</f>
        <v>P</v>
      </c>
      <c r="G7" s="3" t="str">
        <f>IF(OR(AND(AN7&gt;=AR$16,AN7&lt;&gt;"",AL7=""),AND(AQ7&gt;=AR$16,AQ7&lt;&gt;"",AL7=""),AND(BO7&gt;=BS$16,BO7&lt;&gt;"",BM7=""),AND(BR7&gt;=BS$16,BR7&lt;&gt;"",BM7=""),AND(CP7&gt;=CT$16,CP7&lt;&gt;"",CN7=""),AND(CS7&gt;=CT$16,CS7&lt;&gt;"",CN7=""),AND(DR7&gt;=DV$16,DR7&lt;&gt;""),AND(DU7&gt;=DV$16,DU7&lt;&gt;""),AND(ER7&gt;=EV$16,ER7&lt;&gt;""),AND(EU7&gt;=EV$16,EU7&lt;&gt;""),AND(FR7&gt;=FV$16,FR7&lt;&gt;""),AND(FU7&gt;=FV$16,FU7&lt;&gt;""),AND(GR7&gt;=GV$16,GR7&lt;&gt;""),AND(GU7&gt;=GV$16,GU7&lt;&gt;""),AND(HR7&gt;=HV$16,HR7&lt;&gt;""),AND(HU7&gt;=HV$16,HU7&lt;&gt;""),AND(IR7&gt;=IV$16,IR7&lt;&gt;""),AND(IU7&gt;=IV$16,IU7&lt;&gt;""),AND(JR7&gt;=JV$16,JR7&lt;&gt;""),AND(JU7&gt;=JV$16,JU7&lt;&gt;""),AND(KR7&gt;=KV$16,KR7&lt;&gt;""),AND(KU7&gt;=KV$16,KU7&lt;&gt;""),AND(LR7&gt;=LV$16,LR7&lt;&gt;""),AND(LU7&gt;=LV$16,LU7&lt;&gt;""),AND(MR7&gt;=MV$16,MR7&lt;&gt;""),AND(MU7&gt;=MV$16,MU7&lt;&gt;""),AND(NR7&gt;=NV$16,NR7&lt;&gt;""),AND(NU7&gt;=NV$16,NU7&lt;&gt;""),AND(OR7&gt;=OV$16,OR7&lt;&gt;""),AND(OU7&gt;=OV$16,OU7&lt;&gt;"")),"P","")</f>
        <v>P</v>
      </c>
      <c r="H7" s="47" t="str">
        <f>IF(AND(G7="P",F7=""),"No DD",IF(OR(AND(AM7&gt;=AR$15,AN7&gt;=AR$19,AM7&lt;&gt;"",AL7=""),AND(AP7&gt;=AR$15,AQ7&gt;=AR$19,AP7&lt;&gt;"",AL7=""),AND(BN7&gt;=BS$15,BO7&gt;=BS$19,BN7&lt;&gt;"",BM7=""),AND(BQ7&gt;=BS$15,BR7&gt;=BS$19,BQ7&lt;&gt;"",BM7=""),AND(CO7&gt;=CT$15,CP7&gt;=CT$19,CO7&lt;&gt;"",CN7=""),AND(CR7&gt;=CT$15,CS7&gt;=CT$19,CR7&lt;&gt;""),AND(DQ7&gt;=DV$15,DR7&gt;=DV$19,DQ7&lt;&gt;""),AND(DT7&gt;=DV$15,DU7&gt;=DV$19,DT7&lt;&gt;""),AND(EQ7&gt;=EV$15,ER7&gt;=EV$19,EQ7&lt;&gt;""),AND(ET7&gt;=EV$15,EU7&gt;=EV$19,ET7&lt;&gt;""),AND(FQ7&gt;=FV$15,FR7&gt;=FV$19,FQ7&lt;&gt;""),AND(FT7&gt;=FV$15,FU7&gt;=FV$19,FT7&lt;&gt;""),AND(GQ7&gt;=GV$15,GR7&gt;=GV$19,GQ7&lt;&gt;""),AND(GT7&gt;=GV$15,GU7&gt;=GV$19,GT7&lt;&gt;""),AND(HQ7&gt;=HV$15,HR7&gt;=HV$19,HQ7&lt;&gt;""),AND(HT7&gt;=HV$15,HU7&gt;=HV$19,HT7&lt;&gt;""),AND(IQ7&gt;=IV$15,IR7&gt;=IV$19,IQ7&lt;&gt;""),AND(IT7&gt;=IV$15,IU7&gt;=IV$19,IT7&lt;&gt;""),AND(JQ7&gt;=JV$15,JR7&gt;=JV$19,JQ7&lt;&gt;""),AND(JT7&gt;=JV$15,JU7&gt;=JV$19,JT7&lt;&gt;""),AND(KQ7&gt;=KV$15,KR7&gt;=KV$19,KQ7&lt;&gt;""),AND(KT7&gt;=KV$15,KU7&gt;=KV$19,KT7&lt;&gt;""),AND(LQ7&gt;=LV$15,LR7&gt;=LV$19,LQ7&lt;&gt;""),AND(LT7&gt;=LV$15,LU7&gt;=LV$19,LT7&lt;&gt;""),AND(MQ7&gt;=MV$15,MR7&gt;=MV$19,MQ7&lt;&gt;""),AND(MT7&gt;=MV$15,MU7&gt;=MV$19,MT7&lt;&gt;""),AND(NQ7&gt;=NV$15,NR7&gt;=NV$19,NQ7&lt;&gt;""),AND(NT7&gt;=NV$15,NU7&gt;=NV$19,NT7&lt;&gt;""),AND(OQ7&gt;=OV$15,OR7&gt;=OV$19,OQ7&lt;&gt;""),AND(OT7&gt;=OV$15,OU7&gt;=OV$19,OT7&lt;&gt;"")),"Merit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45.699999999999996</v>
      </c>
      <c r="L7" s="9" t="str">
        <f>IF(K7=0,"",IF(AND(K7=I7,K7=AN7,K7=BO7),$R$1,IF(AND(K7=I7,K7=AN7,K7=CP7),$R$1,IF(AND(K7=I7,K7=CP7,K7=BO7),$AS$1,IF(K7=CP7,$BT$1,IF(K7=BO7,$AS$1,IF(K7=AN7,$R$1,"")))))))</f>
        <v>2024 Nationals</v>
      </c>
      <c r="M7" s="9">
        <f>IF(MAX(AQ7,BR7,CS7)&gt;0,MAX(AQ7,BR7,CS7),0)</f>
        <v>45.8</v>
      </c>
      <c r="N7" s="9" t="str">
        <f>IF(M7=0,"",IF(M7=CS7,$BT$1,IF(M7=BR7,$AS$1,IF(M7=AQ7,$R$1,""))))</f>
        <v>2024 Nationals</v>
      </c>
      <c r="O7" s="9">
        <f>IF(MAX(CU7:CV7)&gt;0,MAX(CU7:CV7),"")</f>
        <v>0.10000000000000142</v>
      </c>
      <c r="P7" s="14" t="str">
        <f>IF(O7="","",IF(O7=CU7,"("&amp;CU$2&amp;")",IF(O7=CV7,"("&amp;CV$2&amp;")")))</f>
        <v>(Q1)</v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2024 Coimbra Gym Fest (July 7)</v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18</v>
      </c>
      <c r="AT7" s="19">
        <v>5.2</v>
      </c>
      <c r="AU7" s="19">
        <v>0.2</v>
      </c>
      <c r="AV7" s="19">
        <v>0</v>
      </c>
      <c r="AW7" s="19">
        <v>18.3</v>
      </c>
      <c r="AX7" s="19">
        <v>6</v>
      </c>
      <c r="AY7" s="19">
        <v>0</v>
      </c>
      <c r="AZ7" s="19">
        <v>0</v>
      </c>
      <c r="BA7" s="19">
        <v>19</v>
      </c>
      <c r="BB7" s="19">
        <v>4</v>
      </c>
      <c r="BC7" s="19">
        <v>0</v>
      </c>
      <c r="BD7" s="19">
        <v>0</v>
      </c>
      <c r="BE7" s="19">
        <v>18.2</v>
      </c>
      <c r="BF7" s="19">
        <v>4.8</v>
      </c>
      <c r="BG7" s="19">
        <v>0.2</v>
      </c>
      <c r="BH7" s="19">
        <v>0</v>
      </c>
      <c r="BI7" s="19">
        <v>16.399999999999999</v>
      </c>
      <c r="BJ7" s="19">
        <v>5.2</v>
      </c>
      <c r="BK7" s="19">
        <v>0.2</v>
      </c>
      <c r="BL7" s="19">
        <v>0</v>
      </c>
      <c r="BM7" s="33"/>
      <c r="BN7" s="14">
        <f>IF(SUM(AT7,AX7)&gt;0,SUM(AT7,AX7),"")</f>
        <v>11.2</v>
      </c>
      <c r="BO7" s="14">
        <f>IF(SUM(AS7:AT7,AV7:AX7,AZ7)-AU7-AY7&gt;0,SUM(AS7:AT7,AV7:AX7,AZ7)-AU7-AY7,"")</f>
        <v>47.3</v>
      </c>
      <c r="BP7" s="14">
        <f>IF(SUM(BA7:BB7,BD7)-BC7&gt;0,SUM(BA7:BB7,BD7)-BC7,"")</f>
        <v>23</v>
      </c>
      <c r="BQ7" s="14">
        <f>IF(SUM(BF7,BJ7)&gt;0,SUM(BF7,BJ7),"")</f>
        <v>10</v>
      </c>
      <c r="BR7" s="14">
        <f>IF(SUM(BE7:BF7,BH7:BJ7,BL7)-SUM(BG7,BK7)&gt;0,SUM(BE7:BF7,BH7:BJ7,BL7)-SUM(BG7,BK7),"")</f>
        <v>44.2</v>
      </c>
      <c r="BS7" s="14">
        <f>IF(SUM(BO7,BP7,BR7)&gt;0,SUM(BO7,BP7,BR7),"")</f>
        <v>114.5</v>
      </c>
      <c r="BT7" s="20">
        <v>18.3</v>
      </c>
      <c r="BU7" s="20">
        <v>5.2</v>
      </c>
      <c r="BV7" s="20">
        <v>0.6</v>
      </c>
      <c r="BW7" s="20">
        <v>0</v>
      </c>
      <c r="BX7" s="20">
        <v>17.8</v>
      </c>
      <c r="BY7" s="20">
        <v>5.2</v>
      </c>
      <c r="BZ7" s="20">
        <v>0.2</v>
      </c>
      <c r="CA7" s="20">
        <v>0</v>
      </c>
      <c r="CB7" s="20">
        <v>17.600000000000001</v>
      </c>
      <c r="CC7" s="20">
        <v>1.2</v>
      </c>
      <c r="CD7" s="20">
        <v>0</v>
      </c>
      <c r="CE7" s="20">
        <v>0</v>
      </c>
      <c r="CF7" s="20">
        <v>18.899999999999999</v>
      </c>
      <c r="CG7" s="20">
        <v>3.4</v>
      </c>
      <c r="CH7" s="20">
        <v>0.5</v>
      </c>
      <c r="CI7" s="20">
        <v>0</v>
      </c>
      <c r="CJ7" s="20">
        <v>18</v>
      </c>
      <c r="CK7" s="20">
        <v>6</v>
      </c>
      <c r="CL7" s="20">
        <v>0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45.699999999999996</v>
      </c>
      <c r="CQ7" s="55">
        <f>IF(SUM(CB7:CC7,CE7)-CD7&gt;0,SUM(CB7:CC7,CE7)-CD7,"")</f>
        <v>18.8</v>
      </c>
      <c r="CR7" s="55">
        <f>IF(SUM(CG7,CK7)&gt;0,SUM(CG7,CK7),"")</f>
        <v>9.4</v>
      </c>
      <c r="CS7" s="55">
        <f>IF(SUM(CF7:CG7,CI7:CK7,CM7)-SUM(CH7,CL7)&gt;0,SUM(CF7:CG7,CI7:CK7,CM7)-SUM(CH7,CL7),"")</f>
        <v>45.8</v>
      </c>
      <c r="CT7" s="55">
        <f>IF(SUM(CP7,CQ7,CS7)&gt;0,SUM(CP7,CQ7,CS7),"")</f>
        <v>110.3</v>
      </c>
      <c r="CU7" s="56">
        <f>IF(MAX(DR7,ER7,FR7,GR7,HR7,IR7,JR7,KR7,LR7,MR7,NR7,OR7)-IF(K7="",0,K7)&gt;0.001,MAX(DR7,ER7,FR7,GR7,HR7,IR7,JR7,KR7,LR7,MR7,NR7,OR7)-IF(K7="",0,K7),"")</f>
        <v>0.10000000000000142</v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>
        <v>18.399999999999999</v>
      </c>
      <c r="GX7" s="18">
        <v>5.2</v>
      </c>
      <c r="GY7" s="18">
        <v>0.2</v>
      </c>
      <c r="GZ7" s="18">
        <v>0</v>
      </c>
      <c r="HA7" s="18">
        <v>16.600000000000001</v>
      </c>
      <c r="HB7" s="18">
        <v>6</v>
      </c>
      <c r="HC7" s="18">
        <v>0.2</v>
      </c>
      <c r="HD7" s="18">
        <v>0</v>
      </c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>
        <f>IF(SUM(GX7,HB7)&gt;0,SUM(GX7,HB7),"")</f>
        <v>11.2</v>
      </c>
      <c r="HR7" s="55">
        <f>IF(SUM(GW7:GX7,GZ7:HB7,HD7)-GY7-HC7&gt;0,SUM(GW7:GX7,GZ7:HB7,HD7)-GY7-HC7,"")</f>
        <v>45.8</v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>
        <f>IF(SUM(HR7,HS7,HU7)&gt;0,SUM(HR7,HS7,HU7),"")</f>
        <v>45.8</v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18.149999999999999</v>
      </c>
      <c r="OX7" s="27">
        <f>IF($CN7="P",BU7,(BU7+AT7)/2)</f>
        <v>5.2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18.05</v>
      </c>
      <c r="PB7" s="27">
        <f>IF($CN7="P",BY7,(BY7+AX7)/2)</f>
        <v>5.6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18.3</v>
      </c>
      <c r="PF7" s="27">
        <f>IF($CN7="P",CC7,(CC7+BB7)/2)</f>
        <v>2.6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18.549999999999997</v>
      </c>
      <c r="PJ7" s="27">
        <f>IF($CN7="P",CG7,(CG7+BF7)/2)</f>
        <v>4.0999999999999996</v>
      </c>
      <c r="PK7" s="27">
        <f>IF($CN7="P",CH7,(CH7+BG7)/2)</f>
        <v>0.35</v>
      </c>
      <c r="PL7" s="27">
        <f>IF($CN7="P",CI7,(CI7+BH7)/2)</f>
        <v>0</v>
      </c>
      <c r="PM7" s="27">
        <f>IF($CN7="P",CJ7,(CJ7+BI7)/2)</f>
        <v>17.2</v>
      </c>
      <c r="PN7" s="27">
        <f>IF($CN7="P",CK7,(CK7+BJ7)/2)</f>
        <v>5.6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10.8</v>
      </c>
      <c r="PS7" s="55">
        <f>IF(SUM(OW7:OX7,OZ7:PB7,PD7)-OY7-PC7&gt;0,SUM(OW7:OX7,OZ7:PB7,PD7)-OY7-PC7,"")</f>
        <v>46.5</v>
      </c>
      <c r="PT7" s="55">
        <f>IF(SUM(PE7:PF7,PH7)-PG7&gt;0,SUM(PE7:PF7,PH7)-PG7,"")</f>
        <v>20.900000000000002</v>
      </c>
      <c r="PU7" s="55">
        <f>IF(SUM(PJ7,PN7)&gt;0,SUM(PJ7,PN7),"")</f>
        <v>9.6999999999999993</v>
      </c>
      <c r="PV7" s="55">
        <f>IF(SUM(PI7:PJ7,PL7:PN7,PP7)-SUM(PK7,PO7)&gt;0,SUM(PI7:PJ7,PL7:PN7,PP7)-SUM(PK7,PO7),"")</f>
        <v>44.999999999999993</v>
      </c>
      <c r="PW7" s="55">
        <f>IF(SUM(PS7,PT7,PV7)&gt;0,SUM(PS7,PT7,PV7),"")</f>
        <v>112.4</v>
      </c>
    </row>
    <row r="8" spans="1:439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104</v>
      </c>
      <c r="C8" s="4" t="s">
        <v>68</v>
      </c>
      <c r="D8" s="4">
        <v>2009</v>
      </c>
      <c r="E8" s="10">
        <f>SUM(I8:O8)+SUM(I8:M8)*0.0000001+SUM(I8)*0.0000000000001</f>
        <v>95.900009590004743</v>
      </c>
      <c r="F8" s="3" t="str">
        <f>IF(OR(AND(AM8&gt;=AR$12,AN8&gt;=AR$16,AM8&lt;&gt;"",AL8=""),AND(AP8&gt;=AR$12,AQ8&gt;=AR$16,AP8&lt;&gt;"",AL8=""),AND(BN8&gt;=BS$12,BO8&gt;=BS$16,BN8&lt;&gt;"",BM8=""),AND(BQ8&gt;=BS$12,BR8&gt;=BS$16,BQ8&lt;&gt;"",BM8=""),AND(CO8&gt;=CT$12,CP8&gt;=CT$16,CO8&lt;&gt;"",CN8=""),AND(CR8&gt;=CT$12,CS8&gt;=CT$16,CR8&lt;&gt;""),AND(DQ8&gt;=DV$12,DR8&gt;=DV$16,DQ8&lt;&gt;""),AND(DT8&gt;=DV$12,DU8&gt;=DV$16,DT8&lt;&gt;""),AND(EQ8&gt;=EV$12,ER8&gt;=EV$16,EQ8&lt;&gt;""),AND(ET8&gt;=EV$12,EU8&gt;=EV$16,ET8&lt;&gt;""),AND(FQ8&gt;=FV$12,FR8&gt;=FV$16,FQ8&lt;&gt;""),AND(FT8&gt;=FV$12,FU8&gt;=FV$16,FT8&lt;&gt;""),AND(GQ8&gt;=GV$12,GR8&gt;=GV$16,GQ8&lt;&gt;""),AND(GT8&gt;=GV$12,GU8&gt;=GV$16,GT8&lt;&gt;""),AND(HQ8&gt;=HV$12,HR8&gt;=HV$16,HQ8&lt;&gt;""),AND(HT8&gt;=HV$12,HU8&gt;=HV$16,HT8&lt;&gt;""),AND(IQ8&gt;=IV$12,IR8&gt;=IV$16,IQ8&lt;&gt;""),AND(IT8&gt;=IV$12,IU8&gt;=IV$16,IT8&lt;&gt;""),AND(JQ8&gt;=JV$12,JR8&gt;=JV$16,JQ8&lt;&gt;""),AND(JT8&gt;=JV$12,JU8&gt;=JV$16,JT8&lt;&gt;""),AND(KQ8&gt;=KV$12,KR8&gt;=KV$16,KQ8&lt;&gt;""),AND(KT8&gt;=KV$12,KU8&gt;=KV$16,KT8&lt;&gt;""),AND(LQ8&gt;=LV$12,LR8&gt;=LV$16,LQ8&lt;&gt;""),AND(LT8&gt;=LV$12,LU8&gt;=LV$16,LT8&lt;&gt;""),AND(MQ8&gt;=MV$12,MR8&gt;=MV$16,MQ8&lt;&gt;""),AND(MT8&gt;=MV$12,MU8&gt;=MV$16,MT8&lt;&gt;""),AND(NQ8&gt;=NV$12,NR8&gt;=NV$16,NQ8&lt;&gt;""),AND(NT8&gt;=NV$12,NU8&gt;=NV$16,NT8&lt;&gt;""),AND(OQ8&gt;=OV$12,OR8&gt;=OV$16,OQ8&lt;&gt;""),AND(OT8&gt;=OV$12,OU8&gt;=OV$16,OT8&lt;&gt;"")),"P","")</f>
        <v>P</v>
      </c>
      <c r="G8" s="3" t="str">
        <f>IF(OR(AND(AN8&gt;=AR$16,AN8&lt;&gt;"",AL8=""),AND(AQ8&gt;=AR$16,AQ8&lt;&gt;"",AL8=""),AND(BO8&gt;=BS$16,BO8&lt;&gt;"",BM8=""),AND(BR8&gt;=BS$16,BR8&lt;&gt;"",BM8=""),AND(CP8&gt;=CT$16,CP8&lt;&gt;"",CN8=""),AND(CS8&gt;=CT$16,CS8&lt;&gt;"",CN8=""),AND(DR8&gt;=DV$16,DR8&lt;&gt;""),AND(DU8&gt;=DV$16,DU8&lt;&gt;""),AND(ER8&gt;=EV$16,ER8&lt;&gt;""),AND(EU8&gt;=EV$16,EU8&lt;&gt;""),AND(FR8&gt;=FV$16,FR8&lt;&gt;""),AND(FU8&gt;=FV$16,FU8&lt;&gt;""),AND(GR8&gt;=GV$16,GR8&lt;&gt;""),AND(GU8&gt;=GV$16,GU8&lt;&gt;""),AND(HR8&gt;=HV$16,HR8&lt;&gt;""),AND(HU8&gt;=HV$16,HU8&lt;&gt;""),AND(IR8&gt;=IV$16,IR8&lt;&gt;""),AND(IU8&gt;=IV$16,IU8&lt;&gt;""),AND(JR8&gt;=JV$16,JR8&lt;&gt;""),AND(JU8&gt;=JV$16,JU8&lt;&gt;""),AND(KR8&gt;=KV$16,KR8&lt;&gt;""),AND(KU8&gt;=KV$16,KU8&lt;&gt;""),AND(LR8&gt;=LV$16,LR8&lt;&gt;""),AND(LU8&gt;=LV$16,LU8&lt;&gt;""),AND(MR8&gt;=MV$16,MR8&lt;&gt;""),AND(MU8&gt;=MV$16,MU8&lt;&gt;""),AND(NR8&gt;=NV$16,NR8&lt;&gt;""),AND(NU8&gt;=NV$16,NU8&lt;&gt;""),AND(OR8&gt;=OV$16,OR8&lt;&gt;""),AND(OU8&gt;=OV$16,OU8&lt;&gt;"")),"P","")</f>
        <v>P</v>
      </c>
      <c r="H8" s="47" t="str">
        <f>IF(AND(G8="P",F8=""),"No DD",IF(OR(AND(AM8&gt;=AR$15,AN8&gt;=AR$19,AM8&lt;&gt;"",AL8=""),AND(AP8&gt;=AR$15,AQ8&gt;=AR$19,AP8&lt;&gt;"",AL8=""),AND(BN8&gt;=BS$15,BO8&gt;=BS$19,BN8&lt;&gt;"",BM8=""),AND(BQ8&gt;=BS$15,BR8&gt;=BS$19,BQ8&lt;&gt;"",BM8=""),AND(CO8&gt;=CT$15,CP8&gt;=CT$19,CO8&lt;&gt;"",CN8=""),AND(CR8&gt;=CT$15,CS8&gt;=CT$19,CR8&lt;&gt;""),AND(DQ8&gt;=DV$15,DR8&gt;=DV$19,DQ8&lt;&gt;""),AND(DT8&gt;=DV$15,DU8&gt;=DV$19,DT8&lt;&gt;""),AND(EQ8&gt;=EV$15,ER8&gt;=EV$19,EQ8&lt;&gt;""),AND(ET8&gt;=EV$15,EU8&gt;=EV$19,ET8&lt;&gt;""),AND(FQ8&gt;=FV$15,FR8&gt;=FV$19,FQ8&lt;&gt;""),AND(FT8&gt;=FV$15,FU8&gt;=FV$19,FT8&lt;&gt;""),AND(GQ8&gt;=GV$15,GR8&gt;=GV$19,GQ8&lt;&gt;""),AND(GT8&gt;=GV$15,GU8&gt;=GV$19,GT8&lt;&gt;""),AND(HQ8&gt;=HV$15,HR8&gt;=HV$19,HQ8&lt;&gt;""),AND(HT8&gt;=HV$15,HU8&gt;=HV$19,HT8&lt;&gt;""),AND(IQ8&gt;=IV$15,IR8&gt;=IV$19,IQ8&lt;&gt;""),AND(IT8&gt;=IV$15,IU8&gt;=IV$19,IT8&lt;&gt;""),AND(JQ8&gt;=JV$15,JR8&gt;=JV$19,JQ8&lt;&gt;""),AND(JT8&gt;=JV$15,JU8&gt;=JV$19,JT8&lt;&gt;""),AND(KQ8&gt;=KV$15,KR8&gt;=KV$19,KQ8&lt;&gt;""),AND(KT8&gt;=KV$15,KU8&gt;=KV$19,KT8&lt;&gt;""),AND(LQ8&gt;=LV$15,LR8&gt;=LV$19,LQ8&lt;&gt;""),AND(LT8&gt;=LV$15,LU8&gt;=LV$19,LT8&lt;&gt;""),AND(MQ8&gt;=MV$15,MR8&gt;=MV$19,MQ8&lt;&gt;""),AND(MT8&gt;=MV$15,MU8&gt;=MV$19,MT8&lt;&gt;""),AND(NQ8&gt;=NV$15,NR8&gt;=NV$19,NQ8&lt;&gt;""),AND(NT8&gt;=NV$15,NU8&gt;=NV$19,NT8&lt;&gt;""),AND(OQ8&gt;=OV$15,OR8&gt;=OV$19,OQ8&lt;&gt;""),AND(OT8&gt;=OV$15,OU8&gt;=OV$19,OT8&lt;&gt;"")),"Merit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Excellence",IF(F8="P","National Team",""))))</f>
        <v>Excellence</v>
      </c>
      <c r="I8" s="9">
        <f>IF(COUNT(AN8,BO8,CP8)&gt;0,LARGE((AN8,BO8,CP8),1),0)</f>
        <v>47.300000000000004</v>
      </c>
      <c r="J8" s="9" t="str">
        <f>IF(I8=0,"",IF(I8=CP8,$BT$1,IF(I8=BO8,$AS$1,IF(I8=AN8,$R$1,""))))</f>
        <v>2024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48.6</v>
      </c>
      <c r="N8" s="9" t="str">
        <f>IF(M8=0,"",IF(M8=CS8,$BT$1,IF(M8=BR8,$AS$1,IF(M8=AQ8,$R$1,""))))</f>
        <v>2024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18.5</v>
      </c>
      <c r="BU8" s="20">
        <v>6</v>
      </c>
      <c r="BV8" s="20">
        <v>0.6</v>
      </c>
      <c r="BW8" s="20">
        <v>0</v>
      </c>
      <c r="BX8" s="20">
        <v>18.600000000000001</v>
      </c>
      <c r="BY8" s="20">
        <v>5.6</v>
      </c>
      <c r="BZ8" s="20">
        <v>0.8</v>
      </c>
      <c r="CA8" s="20">
        <v>0</v>
      </c>
      <c r="CB8" s="20">
        <v>18.399999999999999</v>
      </c>
      <c r="CC8" s="20">
        <v>4.8</v>
      </c>
      <c r="CD8" s="20">
        <v>0.2</v>
      </c>
      <c r="CE8" s="20">
        <v>0</v>
      </c>
      <c r="CF8" s="20">
        <v>18.7</v>
      </c>
      <c r="CG8" s="20">
        <v>6</v>
      </c>
      <c r="CH8" s="20">
        <v>0</v>
      </c>
      <c r="CI8" s="20">
        <v>0</v>
      </c>
      <c r="CJ8" s="20">
        <v>18.5</v>
      </c>
      <c r="CK8" s="20">
        <v>5.6</v>
      </c>
      <c r="CL8" s="20">
        <v>0.2</v>
      </c>
      <c r="CM8" s="20">
        <v>0</v>
      </c>
      <c r="CN8" s="32"/>
      <c r="CO8" s="55">
        <f>IF(SUM(BU8,BY8)&gt;0,SUM(BU8,BY8),"")</f>
        <v>11.6</v>
      </c>
      <c r="CP8" s="55">
        <f>IF(SUM(BT8:BU8,BW8:BY8,CA8)-BV8-BZ8&gt;0,SUM(BT8:BU8,BW8:BY8,CA8)-BV8-BZ8,"")</f>
        <v>47.300000000000004</v>
      </c>
      <c r="CQ8" s="55">
        <f>IF(SUM(CB8:CC8,CE8)-CD8&gt;0,SUM(CB8:CC8,CE8)-CD8,"")</f>
        <v>23</v>
      </c>
      <c r="CR8" s="55">
        <f>IF(SUM(CG8,CK8)&gt;0,SUM(CG8,CK8),"")</f>
        <v>11.6</v>
      </c>
      <c r="CS8" s="55">
        <f>IF(SUM(CF8:CG8,CI8:CK8,CM8)-SUM(CH8,CL8)&gt;0,SUM(CF8:CG8,CI8:CK8,CM8)-SUM(CH8,CL8),"")</f>
        <v>48.6</v>
      </c>
      <c r="CT8" s="55">
        <f>IF(SUM(CP8,CQ8,CS8)&gt;0,SUM(CP8,CQ8,CS8),"")</f>
        <v>118.9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9.25</v>
      </c>
      <c r="OX8" s="27">
        <f>IF($CN8="P",BU8,(BU8+AT8)/2)</f>
        <v>3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9.3000000000000007</v>
      </c>
      <c r="PB8" s="27">
        <f>IF($CN8="P",BY8,(BY8+AX8)/2)</f>
        <v>2.8</v>
      </c>
      <c r="PC8" s="27">
        <f>IF($CN8="P",BZ8,(BZ8+AY8)/2)</f>
        <v>0.4</v>
      </c>
      <c r="PD8" s="27">
        <f>IF($CN8="P",CA8,(CA8+AZ8)/2)</f>
        <v>0</v>
      </c>
      <c r="PE8" s="27">
        <f>IF($CN8="P",CB8,(CB8+BA8)/2)</f>
        <v>9.1999999999999993</v>
      </c>
      <c r="PF8" s="27">
        <f>IF($CN8="P",CC8,(CC8+BB8)/2)</f>
        <v>2.4</v>
      </c>
      <c r="PG8" s="27">
        <f>IF($CN8="P",CD8,(CD8+BC8)/2)</f>
        <v>0.1</v>
      </c>
      <c r="PH8" s="27">
        <f>IF($CN8="P",CE8,(CE8+BD8)/2)</f>
        <v>0</v>
      </c>
      <c r="PI8" s="27">
        <f>IF($CN8="P",CF8,(CF8+BE8)/2)</f>
        <v>9.35</v>
      </c>
      <c r="PJ8" s="27">
        <f>IF($CN8="P",CG8,(CG8+BF8)/2)</f>
        <v>3</v>
      </c>
      <c r="PK8" s="27">
        <f>IF($CN8="P",CH8,(CH8+BG8)/2)</f>
        <v>0</v>
      </c>
      <c r="PL8" s="27">
        <f>IF($CN8="P",CI8,(CI8+BH8)/2)</f>
        <v>0</v>
      </c>
      <c r="PM8" s="27">
        <f>IF($CN8="P",CJ8,(CJ8+BI8)/2)</f>
        <v>9.25</v>
      </c>
      <c r="PN8" s="27">
        <f>IF($CN8="P",CK8,(CK8+BJ8)/2)</f>
        <v>2.8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5.8</v>
      </c>
      <c r="PS8" s="55">
        <f>IF(SUM(OW8:OX8,OZ8:PB8,PD8)-OY8-PC8&gt;0,SUM(OW8:OX8,OZ8:PB8,PD8)-OY8-PC8,"")</f>
        <v>23.650000000000002</v>
      </c>
      <c r="PT8" s="55">
        <f>IF(SUM(PE8:PF8,PH8)-PG8&gt;0,SUM(PE8:PF8,PH8)-PG8,"")</f>
        <v>11.5</v>
      </c>
      <c r="PU8" s="55">
        <f>IF(SUM(PJ8,PN8)&gt;0,SUM(PJ8,PN8),"")</f>
        <v>5.8</v>
      </c>
      <c r="PV8" s="55">
        <f>IF(SUM(PI8:PJ8,PL8:PN8,PP8)-SUM(PK8,PO8)&gt;0,SUM(PI8:PJ8,PL8:PN8,PP8)-SUM(PK8,PO8),"")</f>
        <v>24.3</v>
      </c>
      <c r="PW8" s="55">
        <f>IF(SUM(PS8,PT8,PV8)&gt;0,SUM(PS8,PT8,PV8),"")</f>
        <v>59.45</v>
      </c>
    </row>
    <row r="9" spans="1:43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105</v>
      </c>
      <c r="C9" s="4" t="s">
        <v>68</v>
      </c>
      <c r="D9" s="4">
        <v>2008</v>
      </c>
      <c r="E9" s="10">
        <f>SUM(I9:O9)+SUM(I9:M9)*0.0000001+SUM(I9)*0.0000000000001</f>
        <v>40.100004010004007</v>
      </c>
      <c r="F9" s="3" t="str">
        <f>IF(OR(AND(AM9&gt;=AR$12,AN9&gt;=AR$16,AM9&lt;&gt;"",AL9=""),AND(AP9&gt;=AR$12,AQ9&gt;=AR$16,AP9&lt;&gt;"",AL9=""),AND(BN9&gt;=BS$12,BO9&gt;=BS$16,BN9&lt;&gt;"",BM9=""),AND(BQ9&gt;=BS$12,BR9&gt;=BS$16,BQ9&lt;&gt;"",BM9=""),AND(CO9&gt;=CT$12,CP9&gt;=CT$16,CO9&lt;&gt;"",CN9=""),AND(CR9&gt;=CT$12,CS9&gt;=CT$16,CR9&lt;&gt;""),AND(DQ9&gt;=DV$12,DR9&gt;=DV$16,DQ9&lt;&gt;""),AND(DT9&gt;=DV$12,DU9&gt;=DV$16,DT9&lt;&gt;""),AND(EQ9&gt;=EV$12,ER9&gt;=EV$16,EQ9&lt;&gt;""),AND(ET9&gt;=EV$12,EU9&gt;=EV$16,ET9&lt;&gt;""),AND(FQ9&gt;=FV$12,FR9&gt;=FV$16,FQ9&lt;&gt;""),AND(FT9&gt;=FV$12,FU9&gt;=FV$16,FT9&lt;&gt;""),AND(GQ9&gt;=GV$12,GR9&gt;=GV$16,GQ9&lt;&gt;""),AND(GT9&gt;=GV$12,GU9&gt;=GV$16,GT9&lt;&gt;""),AND(HQ9&gt;=HV$12,HR9&gt;=HV$16,HQ9&lt;&gt;""),AND(HT9&gt;=HV$12,HU9&gt;=HV$16,HT9&lt;&gt;""),AND(IQ9&gt;=IV$12,IR9&gt;=IV$16,IQ9&lt;&gt;""),AND(IT9&gt;=IV$12,IU9&gt;=IV$16,IT9&lt;&gt;""),AND(JQ9&gt;=JV$12,JR9&gt;=JV$16,JQ9&lt;&gt;""),AND(JT9&gt;=JV$12,JU9&gt;=JV$16,JT9&lt;&gt;""),AND(KQ9&gt;=KV$12,KR9&gt;=KV$16,KQ9&lt;&gt;""),AND(KT9&gt;=KV$12,KU9&gt;=KV$16,KT9&lt;&gt;""),AND(LQ9&gt;=LV$12,LR9&gt;=LV$16,LQ9&lt;&gt;""),AND(LT9&gt;=LV$12,LU9&gt;=LV$16,LT9&lt;&gt;""),AND(MQ9&gt;=MV$12,MR9&gt;=MV$16,MQ9&lt;&gt;""),AND(MT9&gt;=MV$12,MU9&gt;=MV$16,MT9&lt;&gt;""),AND(NQ9&gt;=NV$12,NR9&gt;=NV$16,NQ9&lt;&gt;""),AND(NT9&gt;=NV$12,NU9&gt;=NV$16,NT9&lt;&gt;""),AND(OQ9&gt;=OV$12,OR9&gt;=OV$16,OQ9&lt;&gt;""),AND(OT9&gt;=OV$12,OU9&gt;=OV$16,OT9&lt;&gt;"")),"P","")</f>
        <v/>
      </c>
      <c r="G9" s="3" t="str">
        <f>IF(OR(AND(AN9&gt;=AR$16,AN9&lt;&gt;"",AL9=""),AND(AQ9&gt;=AR$16,AQ9&lt;&gt;"",AL9=""),AND(BO9&gt;=BS$16,BO9&lt;&gt;"",BM9=""),AND(BR9&gt;=BS$16,BR9&lt;&gt;"",BM9=""),AND(CP9&gt;=CT$16,CP9&lt;&gt;"",CN9=""),AND(CS9&gt;=CT$16,CS9&lt;&gt;"",CN9=""),AND(DR9&gt;=DV$16,DR9&lt;&gt;""),AND(DU9&gt;=DV$16,DU9&lt;&gt;""),AND(ER9&gt;=EV$16,ER9&lt;&gt;""),AND(EU9&gt;=EV$16,EU9&lt;&gt;""),AND(FR9&gt;=FV$16,FR9&lt;&gt;""),AND(FU9&gt;=FV$16,FU9&lt;&gt;""),AND(GR9&gt;=GV$16,GR9&lt;&gt;""),AND(GU9&gt;=GV$16,GU9&lt;&gt;""),AND(HR9&gt;=HV$16,HR9&lt;&gt;""),AND(HU9&gt;=HV$16,HU9&lt;&gt;""),AND(IR9&gt;=IV$16,IR9&lt;&gt;""),AND(IU9&gt;=IV$16,IU9&lt;&gt;""),AND(JR9&gt;=JV$16,JR9&lt;&gt;""),AND(JU9&gt;=JV$16,JU9&lt;&gt;""),AND(KR9&gt;=KV$16,KR9&lt;&gt;""),AND(KU9&gt;=KV$16,KU9&lt;&gt;""),AND(LR9&gt;=LV$16,LR9&lt;&gt;""),AND(LU9&gt;=LV$16,LU9&lt;&gt;""),AND(MR9&gt;=MV$16,MR9&lt;&gt;""),AND(MU9&gt;=MV$16,MU9&lt;&gt;""),AND(NR9&gt;=NV$16,NR9&lt;&gt;""),AND(NU9&gt;=NV$16,NU9&lt;&gt;""),AND(OR9&gt;=OV$16,OR9&lt;&gt;""),AND(OU9&gt;=OV$16,OU9&lt;&gt;"")),"P","")</f>
        <v/>
      </c>
      <c r="H9" s="47" t="str">
        <f>IF(AND(G9="P",F9=""),"No DD",IF(OR(AND(AM9&gt;=AR$15,AN9&gt;=AR$19,AM9&lt;&gt;"",AL9=""),AND(AP9&gt;=AR$15,AQ9&gt;=AR$19,AP9&lt;&gt;"",AL9=""),AND(BN9&gt;=BS$15,BO9&gt;=BS$19,BN9&lt;&gt;"",BM9=""),AND(BQ9&gt;=BS$15,BR9&gt;=BS$19,BQ9&lt;&gt;"",BM9=""),AND(CO9&gt;=CT$15,CP9&gt;=CT$19,CO9&lt;&gt;"",CN9=""),AND(CR9&gt;=CT$15,CS9&gt;=CT$19,CR9&lt;&gt;""),AND(DQ9&gt;=DV$15,DR9&gt;=DV$19,DQ9&lt;&gt;""),AND(DT9&gt;=DV$15,DU9&gt;=DV$19,DT9&lt;&gt;""),AND(EQ9&gt;=EV$15,ER9&gt;=EV$19,EQ9&lt;&gt;""),AND(ET9&gt;=EV$15,EU9&gt;=EV$19,ET9&lt;&gt;""),AND(FQ9&gt;=FV$15,FR9&gt;=FV$19,FQ9&lt;&gt;""),AND(FT9&gt;=FV$15,FU9&gt;=FV$19,FT9&lt;&gt;""),AND(GQ9&gt;=GV$15,GR9&gt;=GV$19,GQ9&lt;&gt;""),AND(GT9&gt;=GV$15,GU9&gt;=GV$19,GT9&lt;&gt;""),AND(HQ9&gt;=HV$15,HR9&gt;=HV$19,HQ9&lt;&gt;""),AND(HT9&gt;=HV$15,HU9&gt;=HV$19,HT9&lt;&gt;""),AND(IQ9&gt;=IV$15,IR9&gt;=IV$19,IQ9&lt;&gt;""),AND(IT9&gt;=IV$15,IU9&gt;=IV$19,IT9&lt;&gt;""),AND(JQ9&gt;=JV$15,JR9&gt;=JV$19,JQ9&lt;&gt;""),AND(JT9&gt;=JV$15,JU9&gt;=JV$19,JT9&lt;&gt;""),AND(KQ9&gt;=KV$15,KR9&gt;=KV$19,KQ9&lt;&gt;""),AND(KT9&gt;=KV$15,KU9&gt;=KV$19,KT9&lt;&gt;""),AND(LQ9&gt;=LV$15,LR9&gt;=LV$19,LQ9&lt;&gt;""),AND(LT9&gt;=LV$15,LU9&gt;=LV$19,LT9&lt;&gt;""),AND(MQ9&gt;=MV$15,MR9&gt;=MV$19,MQ9&lt;&gt;""),AND(MT9&gt;=MV$15,MU9&gt;=MV$19,MT9&lt;&gt;""),AND(NQ9&gt;=NV$15,NR9&gt;=NV$19,NQ9&lt;&gt;""),AND(NT9&gt;=NV$15,NU9&gt;=NV$19,NT9&lt;&gt;""),AND(OQ9&gt;=OV$15,OR9&gt;=OV$19,OQ9&lt;&gt;""),AND(OT9&gt;=OV$15,OU9&gt;=OV$19,OT9&lt;&gt;"")),"Merit",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Excellence",IF(F9="P","National Team",""))))</f>
        <v/>
      </c>
      <c r="I9" s="9">
        <f>IF(COUNT(AN9,BO9,CP9)&gt;0,LARGE((AN9,BO9,CP9),1),0)</f>
        <v>40.1</v>
      </c>
      <c r="J9" s="9" t="str">
        <f>IF(I9=0,"",IF(I9=CP9,$BT$1,IF(I9=BO9,$AS$1,IF(I9=AN9,$R$1,""))))</f>
        <v>2024 Nationals</v>
      </c>
      <c r="K9" s="9">
        <f>IF(COUNT(AN9,BO9,CP9)&gt;1,LARGE((AN9,BO9,CP9),2),0)</f>
        <v>0</v>
      </c>
      <c r="L9" s="9" t="str">
        <f>IF(K9=0,"",IF(AND(K9=I9,K9=AN9,K9=BO9),$R$1,IF(AND(K9=I9,K9=AN9,K9=CP9),$R$1,IF(AND(K9=I9,K9=CP9,K9=BO9),$AS$1,IF(K9=CP9,$BT$1,IF(K9=BO9,$AS$1,IF(K9=AN9,$R$1,"")))))))</f>
        <v/>
      </c>
      <c r="M9" s="9">
        <f>IF(MAX(AQ9,BR9,CS9)&gt;0,MAX(AQ9,BR9,CS9),0)</f>
        <v>0</v>
      </c>
      <c r="N9" s="9" t="str">
        <f>IF(M9=0,"",IF(M9=CS9,$BT$1,IF(M9=BR9,$AS$1,IF(M9=AQ9,$R$1,""))))</f>
        <v/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>IF(SUM(AT9,AX9)&gt;0,SUM(AT9,AX9),"")</f>
        <v/>
      </c>
      <c r="BO9" s="14" t="str">
        <f>IF(SUM(AS9:AT9,AV9:AX9,AZ9)-AU9-AY9&gt;0,SUM(AS9:AT9,AV9:AX9,AZ9)-AU9-AY9,"")</f>
        <v/>
      </c>
      <c r="BP9" s="14" t="str">
        <f>IF(SUM(BA9:BB9,BD9)-BC9&gt;0,SUM(BA9:BB9,BD9)-BC9,"")</f>
        <v/>
      </c>
      <c r="BQ9" s="14" t="str">
        <f>IF(SUM(BF9,BJ9)&gt;0,SUM(BF9,BJ9),"")</f>
        <v/>
      </c>
      <c r="BR9" s="14" t="str">
        <f>IF(SUM(BE9:BF9,BH9:BJ9,BL9)-SUM(BG9,BK9)&gt;0,SUM(BE9:BF9,BH9:BJ9,BL9)-SUM(BG9,BK9),"")</f>
        <v/>
      </c>
      <c r="BS9" s="14" t="str">
        <f>IF(SUM(BO9,BP9,BR9)&gt;0,SUM(BO9,BP9,BR9),"")</f>
        <v/>
      </c>
      <c r="BT9" s="20">
        <v>17.3</v>
      </c>
      <c r="BU9" s="20">
        <v>2.4</v>
      </c>
      <c r="BV9" s="20">
        <v>0</v>
      </c>
      <c r="BW9" s="20">
        <v>0</v>
      </c>
      <c r="BX9" s="20">
        <v>16.2</v>
      </c>
      <c r="BY9" s="20">
        <v>5.2</v>
      </c>
      <c r="BZ9" s="20">
        <v>1</v>
      </c>
      <c r="CA9" s="20">
        <v>0</v>
      </c>
      <c r="CB9" s="20">
        <v>19.2</v>
      </c>
      <c r="CC9" s="20">
        <v>3.5</v>
      </c>
      <c r="CD9" s="20">
        <v>0.4</v>
      </c>
      <c r="CE9" s="20">
        <v>0</v>
      </c>
      <c r="CF9" s="20"/>
      <c r="CG9" s="20"/>
      <c r="CH9" s="20"/>
      <c r="CI9" s="20"/>
      <c r="CJ9" s="20"/>
      <c r="CK9" s="20"/>
      <c r="CL9" s="20"/>
      <c r="CM9" s="20"/>
      <c r="CN9" s="32"/>
      <c r="CO9" s="55">
        <f>IF(SUM(BU9,BY9)&gt;0,SUM(BU9,BY9),"")</f>
        <v>7.6</v>
      </c>
      <c r="CP9" s="55">
        <f>IF(SUM(BT9:BU9,BW9:BY9,CA9)-BV9-BZ9&gt;0,SUM(BT9:BU9,BW9:BY9,CA9)-BV9-BZ9,"")</f>
        <v>40.1</v>
      </c>
      <c r="CQ9" s="55">
        <f>IF(SUM(CB9:CC9,CE9)-CD9&gt;0,SUM(CB9:CC9,CE9)-CD9,"")</f>
        <v>22.3</v>
      </c>
      <c r="CR9" s="55" t="str">
        <f>IF(SUM(CG9,CK9)&gt;0,SUM(CG9,CK9),"")</f>
        <v/>
      </c>
      <c r="CS9" s="55" t="str">
        <f>IF(SUM(CF9:CG9,CI9:CK9,CM9)-SUM(CH9,CL9)&gt;0,SUM(CF9:CG9,CI9:CK9,CM9)-SUM(CH9,CL9),"")</f>
        <v/>
      </c>
      <c r="CT9" s="55">
        <f>IF(SUM(CP9,CQ9,CS9)&gt;0,SUM(CP9,CQ9,CS9),"")</f>
        <v>62.400000000000006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8.65</v>
      </c>
      <c r="OX9" s="27">
        <f>IF($CN9="P",BU9,(BU9+AT9)/2)</f>
        <v>1.2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8.1</v>
      </c>
      <c r="PB9" s="27">
        <f>IF($CN9="P",BY9,(BY9+AX9)/2)</f>
        <v>2.6</v>
      </c>
      <c r="PC9" s="27">
        <f>IF($CN9="P",BZ9,(BZ9+AY9)/2)</f>
        <v>0.5</v>
      </c>
      <c r="PD9" s="27">
        <f>IF($CN9="P",CA9,(CA9+AZ9)/2)</f>
        <v>0</v>
      </c>
      <c r="PE9" s="27">
        <f>IF($CN9="P",CB9,(CB9+BA9)/2)</f>
        <v>9.6</v>
      </c>
      <c r="PF9" s="27">
        <f>IF($CN9="P",CC9,(CC9+BB9)/2)</f>
        <v>1.75</v>
      </c>
      <c r="PG9" s="27">
        <f>IF($CN9="P",CD9,(CD9+BC9)/2)</f>
        <v>0.2</v>
      </c>
      <c r="PH9" s="27">
        <f>IF($CN9="P",CE9,(CE9+BD9)/2)</f>
        <v>0</v>
      </c>
      <c r="PI9" s="27">
        <f>IF($CN9="P",CF9,(CF9+BE9)/2)</f>
        <v>0</v>
      </c>
      <c r="PJ9" s="27">
        <f>IF($CN9="P",CG9,(CG9+BF9)/2)</f>
        <v>0</v>
      </c>
      <c r="PK9" s="27">
        <f>IF($CN9="P",CH9,(CH9+BG9)/2)</f>
        <v>0</v>
      </c>
      <c r="PL9" s="27">
        <f>IF($CN9="P",CI9,(CI9+BH9)/2)</f>
        <v>0</v>
      </c>
      <c r="PM9" s="27">
        <f>IF($CN9="P",CJ9,(CJ9+BI9)/2)</f>
        <v>0</v>
      </c>
      <c r="PN9" s="27">
        <f>IF($CN9="P",CK9,(CK9+BJ9)/2)</f>
        <v>0</v>
      </c>
      <c r="PO9" s="27">
        <f>IF($CN9="P",CL9,(CL9+BK9)/2)</f>
        <v>0</v>
      </c>
      <c r="PP9" s="27">
        <f>IF($CN9="P",CM9,(CM9+BL9)/2)</f>
        <v>0</v>
      </c>
      <c r="PQ9" s="32" t="s">
        <v>44</v>
      </c>
      <c r="PR9" s="55">
        <f>IF(SUM(OX9,PB9)&gt;0,SUM(OX9,PB9),"")</f>
        <v>3.8</v>
      </c>
      <c r="PS9" s="55">
        <f>IF(SUM(OW9:OX9,OZ9:PB9,PD9)-OY9-PC9&gt;0,SUM(OW9:OX9,OZ9:PB9,PD9)-OY9-PC9,"")</f>
        <v>20.05</v>
      </c>
      <c r="PT9" s="55">
        <f>IF(SUM(PE9:PF9,PH9)-PG9&gt;0,SUM(PE9:PF9,PH9)-PG9,"")</f>
        <v>11.15</v>
      </c>
      <c r="PU9" s="55" t="str">
        <f>IF(SUM(PJ9,PN9)&gt;0,SUM(PJ9,PN9),"")</f>
        <v/>
      </c>
      <c r="PV9" s="55" t="str">
        <f>IF(SUM(PI9:PJ9,PL9:PN9,PP9)-SUM(PK9,PO9)&gt;0,SUM(PI9:PJ9,PL9:PN9,PP9)-SUM(PK9,PO9),"")</f>
        <v/>
      </c>
      <c r="PW9" s="55">
        <f>IF(SUM(PS9,PT9,PV9)&gt;0,SUM(PS9,PT9,PV9),"")</f>
        <v>31.200000000000003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7.9</v>
      </c>
      <c r="BN12" s="4"/>
      <c r="BS12" s="57">
        <v>7.9</v>
      </c>
      <c r="CO12" s="4"/>
      <c r="CT12" s="57">
        <v>7.9</v>
      </c>
      <c r="DQ12" s="4"/>
      <c r="DV12" s="57">
        <v>7.9</v>
      </c>
      <c r="EQ12" s="4"/>
      <c r="EV12" s="57">
        <v>7.9</v>
      </c>
      <c r="FQ12" s="4"/>
      <c r="FV12" s="57">
        <v>7.9</v>
      </c>
      <c r="GQ12" s="4"/>
      <c r="GV12" s="57">
        <v>7.9</v>
      </c>
      <c r="HQ12" s="4"/>
      <c r="HV12" s="57">
        <v>7.9</v>
      </c>
      <c r="IQ12" s="4"/>
      <c r="IV12" s="57">
        <v>7.9</v>
      </c>
      <c r="JQ12" s="4"/>
      <c r="JV12" s="57">
        <v>7.9</v>
      </c>
      <c r="KQ12" s="4"/>
      <c r="KV12" s="57">
        <v>7.9</v>
      </c>
      <c r="LQ12" s="4"/>
      <c r="LV12" s="57">
        <v>7.9</v>
      </c>
      <c r="MQ12" s="4"/>
      <c r="MV12" s="57">
        <v>7.9</v>
      </c>
      <c r="NQ12" s="4"/>
      <c r="NV12" s="57">
        <v>7.9</v>
      </c>
      <c r="OQ12" s="4"/>
      <c r="OV12" s="57">
        <v>7.9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f>AR14</f>
        <v>9.6</v>
      </c>
      <c r="BN13" s="4"/>
      <c r="BS13" s="58">
        <f>BS14</f>
        <v>9.6</v>
      </c>
      <c r="CO13" s="4"/>
      <c r="CT13" s="58">
        <f>CT14</f>
        <v>9.6</v>
      </c>
      <c r="DQ13" s="4"/>
      <c r="DV13" s="58">
        <f>DV14</f>
        <v>9.6</v>
      </c>
      <c r="EQ13" s="4"/>
      <c r="EV13" s="58">
        <f>EV14</f>
        <v>9.6</v>
      </c>
      <c r="FQ13" s="4"/>
      <c r="FV13" s="58">
        <f>FV14</f>
        <v>9.6</v>
      </c>
      <c r="GQ13" s="4"/>
      <c r="GV13" s="58">
        <f>GV14</f>
        <v>9.6</v>
      </c>
      <c r="HQ13" s="4"/>
      <c r="HV13" s="58">
        <f>HV14</f>
        <v>9.6</v>
      </c>
      <c r="IQ13" s="4"/>
      <c r="IV13" s="58">
        <f>IV14</f>
        <v>9.6</v>
      </c>
      <c r="JQ13" s="4"/>
      <c r="JV13" s="58">
        <f>JV14</f>
        <v>9.6</v>
      </c>
      <c r="KQ13" s="4"/>
      <c r="KV13" s="58">
        <f>KV14</f>
        <v>9.6</v>
      </c>
      <c r="LQ13" s="4"/>
      <c r="LV13" s="58">
        <f>LV14</f>
        <v>9.6</v>
      </c>
      <c r="MQ13" s="4"/>
      <c r="MV13" s="58">
        <f>MV14</f>
        <v>9.6</v>
      </c>
      <c r="NQ13" s="4"/>
      <c r="NV13" s="58">
        <f>NV14</f>
        <v>9.6</v>
      </c>
      <c r="OQ13" s="4"/>
      <c r="OV13" s="58">
        <f>OV14</f>
        <v>9.6</v>
      </c>
    </row>
    <row r="14" spans="1:439" ht="17" x14ac:dyDescent="0.2">
      <c r="A14" s="5"/>
      <c r="B14" s="36" t="s">
        <v>54</v>
      </c>
      <c r="C14" s="22"/>
      <c r="O14" s="11"/>
      <c r="P14" s="11"/>
      <c r="Q14" s="11"/>
      <c r="AM14" s="4"/>
      <c r="AR14" s="59">
        <v>9.6</v>
      </c>
      <c r="BN14" s="4"/>
      <c r="BS14" s="59">
        <v>9.6</v>
      </c>
      <c r="CO14" s="4"/>
      <c r="CT14" s="59">
        <v>9.6</v>
      </c>
      <c r="DQ14" s="4"/>
      <c r="DV14" s="59">
        <v>9.6</v>
      </c>
      <c r="EQ14" s="4"/>
      <c r="EV14" s="59">
        <v>9.6</v>
      </c>
      <c r="FQ14" s="4"/>
      <c r="FV14" s="59">
        <v>9.6</v>
      </c>
      <c r="GQ14" s="4"/>
      <c r="GV14" s="59">
        <v>9.6</v>
      </c>
      <c r="HQ14" s="4"/>
      <c r="HV14" s="59">
        <v>9.6</v>
      </c>
      <c r="IQ14" s="4"/>
      <c r="IV14" s="59">
        <v>9.6</v>
      </c>
      <c r="JQ14" s="4"/>
      <c r="JV14" s="59">
        <v>9.6</v>
      </c>
      <c r="KQ14" s="4"/>
      <c r="KV14" s="59">
        <v>9.6</v>
      </c>
      <c r="LQ14" s="4"/>
      <c r="LV14" s="59">
        <v>9.6</v>
      </c>
      <c r="MQ14" s="4"/>
      <c r="MV14" s="59">
        <v>9.6</v>
      </c>
      <c r="NQ14" s="4"/>
      <c r="NV14" s="59">
        <v>9.6</v>
      </c>
      <c r="OQ14" s="4"/>
      <c r="OV14" s="59">
        <v>9.6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5">
        <v>1000</v>
      </c>
      <c r="BN15" s="4"/>
      <c r="BS15" s="65">
        <v>1000</v>
      </c>
      <c r="CO15" s="4"/>
      <c r="CT15" s="65">
        <v>1000</v>
      </c>
      <c r="DQ15" s="4"/>
      <c r="DV15" s="65">
        <v>1000</v>
      </c>
      <c r="EQ15" s="4"/>
      <c r="EV15" s="65">
        <v>1000</v>
      </c>
      <c r="FQ15" s="4"/>
      <c r="FV15" s="65">
        <v>1000</v>
      </c>
      <c r="GQ15" s="4"/>
      <c r="GV15" s="65">
        <v>1000</v>
      </c>
      <c r="HQ15" s="4"/>
      <c r="HV15" s="65">
        <v>1000</v>
      </c>
      <c r="IQ15" s="4"/>
      <c r="IV15" s="65">
        <v>1000</v>
      </c>
      <c r="JQ15" s="4"/>
      <c r="JV15" s="65">
        <v>1000</v>
      </c>
      <c r="KQ15" s="4"/>
      <c r="KV15" s="65">
        <v>1000</v>
      </c>
      <c r="LQ15" s="4"/>
      <c r="LV15" s="65">
        <v>1000</v>
      </c>
      <c r="MQ15" s="4"/>
      <c r="MV15" s="65">
        <v>1000</v>
      </c>
      <c r="NQ15" s="4"/>
      <c r="NV15" s="65">
        <v>1000</v>
      </c>
      <c r="OQ15" s="4"/>
      <c r="OV15" s="65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6">
        <v>45.5</v>
      </c>
      <c r="BN16" s="4"/>
      <c r="BS16" s="66">
        <v>45.5</v>
      </c>
      <c r="CO16" s="4"/>
      <c r="CT16" s="66">
        <v>45.5</v>
      </c>
      <c r="DQ16" s="4"/>
      <c r="DV16" s="66">
        <v>45.5</v>
      </c>
      <c r="EQ16" s="4"/>
      <c r="EV16" s="66">
        <v>45.5</v>
      </c>
      <c r="FQ16" s="4"/>
      <c r="FV16" s="66">
        <v>45.5</v>
      </c>
      <c r="GQ16" s="4"/>
      <c r="GV16" s="66">
        <v>45.5</v>
      </c>
      <c r="HQ16" s="4"/>
      <c r="HV16" s="66">
        <v>45.5</v>
      </c>
      <c r="IQ16" s="4"/>
      <c r="IV16" s="66">
        <v>45.5</v>
      </c>
      <c r="JQ16" s="4"/>
      <c r="JV16" s="66">
        <v>45.5</v>
      </c>
      <c r="KQ16" s="4"/>
      <c r="KV16" s="66">
        <v>45.5</v>
      </c>
      <c r="LQ16" s="4"/>
      <c r="LV16" s="66">
        <v>45.5</v>
      </c>
      <c r="MQ16" s="4"/>
      <c r="MV16" s="66">
        <v>45.5</v>
      </c>
      <c r="NQ16" s="4"/>
      <c r="NV16" s="66">
        <v>45.5</v>
      </c>
      <c r="OQ16" s="4"/>
      <c r="OV16" s="66">
        <v>45.5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f>AR18</f>
        <v>47.1</v>
      </c>
      <c r="BN17" s="4"/>
      <c r="BS17" s="62">
        <f>BS18</f>
        <v>47.1</v>
      </c>
      <c r="CO17" s="4"/>
      <c r="CT17" s="62">
        <f>CT18</f>
        <v>47.1</v>
      </c>
      <c r="DQ17" s="4"/>
      <c r="DV17" s="62">
        <f>DV18</f>
        <v>47.1</v>
      </c>
      <c r="EQ17" s="4"/>
      <c r="EV17" s="62">
        <f>EV18</f>
        <v>47.1</v>
      </c>
      <c r="FQ17" s="4"/>
      <c r="FV17" s="62">
        <f>FV18</f>
        <v>47.1</v>
      </c>
      <c r="GQ17" s="4"/>
      <c r="GV17" s="62">
        <f>GV18</f>
        <v>47.1</v>
      </c>
      <c r="HQ17" s="4"/>
      <c r="HV17" s="62">
        <f>HV18</f>
        <v>47.1</v>
      </c>
      <c r="IQ17" s="4"/>
      <c r="IV17" s="62">
        <f>IV18</f>
        <v>47.1</v>
      </c>
      <c r="JQ17" s="4"/>
      <c r="JV17" s="62">
        <f>JV18</f>
        <v>47.1</v>
      </c>
      <c r="KQ17" s="4"/>
      <c r="KV17" s="62">
        <f>KV18</f>
        <v>47.1</v>
      </c>
      <c r="LQ17" s="4"/>
      <c r="LV17" s="62">
        <f>LV18</f>
        <v>47.1</v>
      </c>
      <c r="MQ17" s="4"/>
      <c r="MV17" s="62">
        <f>MV18</f>
        <v>47.1</v>
      </c>
      <c r="NQ17" s="4"/>
      <c r="NV17" s="62">
        <f>NV18</f>
        <v>47.1</v>
      </c>
      <c r="OQ17" s="4"/>
      <c r="OV17" s="62">
        <f>OV18</f>
        <v>47.1</v>
      </c>
    </row>
    <row r="18" spans="1:412" ht="17" x14ac:dyDescent="0.2">
      <c r="A18" s="5"/>
      <c r="B18" s="40" t="s">
        <v>53</v>
      </c>
      <c r="C18" s="22"/>
      <c r="O18" s="11"/>
      <c r="P18" s="11"/>
      <c r="Q18" s="11"/>
      <c r="AM18" s="4"/>
      <c r="AR18" s="63">
        <v>47.1</v>
      </c>
      <c r="BN18" s="4"/>
      <c r="BS18" s="63">
        <v>47.1</v>
      </c>
      <c r="CO18" s="4"/>
      <c r="CT18" s="63">
        <v>47.1</v>
      </c>
      <c r="DQ18" s="4"/>
      <c r="DV18" s="63">
        <v>47.1</v>
      </c>
      <c r="EQ18" s="4"/>
      <c r="EV18" s="63">
        <v>47.1</v>
      </c>
      <c r="FQ18" s="4"/>
      <c r="FV18" s="63">
        <v>47.1</v>
      </c>
      <c r="GQ18" s="4"/>
      <c r="GV18" s="63">
        <v>47.1</v>
      </c>
      <c r="HQ18" s="4"/>
      <c r="HV18" s="63">
        <v>47.1</v>
      </c>
      <c r="IQ18" s="4"/>
      <c r="IV18" s="63">
        <v>47.1</v>
      </c>
      <c r="JQ18" s="4"/>
      <c r="JV18" s="63">
        <v>47.1</v>
      </c>
      <c r="KQ18" s="4"/>
      <c r="KV18" s="63">
        <v>47.1</v>
      </c>
      <c r="LQ18" s="4"/>
      <c r="LV18" s="63">
        <v>47.1</v>
      </c>
      <c r="MQ18" s="4"/>
      <c r="MV18" s="63">
        <v>47.1</v>
      </c>
      <c r="NQ18" s="4"/>
      <c r="NV18" s="63">
        <v>47.1</v>
      </c>
      <c r="OQ18" s="4"/>
      <c r="OV18" s="63">
        <v>47.1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9">
      <sortCondition descending="1" ref="F1:F10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9">
    <cfRule type="expression" dxfId="28" priority="2" stopIfTrue="1">
      <formula>IF($AL4&lt;&gt;"",1,0)</formula>
    </cfRule>
  </conditionalFormatting>
  <conditionalFormatting sqref="AS4:BS9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9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AR$15</formula>
      <formula>1000</formula>
    </cfRule>
    <cfRule type="cellIs" dxfId="14" priority="58571" operator="between">
      <formula>AR$14</formula>
      <formula>AR$15</formula>
    </cfRule>
    <cfRule type="cellIs" dxfId="13" priority="58572" operator="between">
      <formula>AR$13</formula>
      <formula>AR$14</formula>
    </cfRule>
    <cfRule type="cellIs" dxfId="12" priority="58573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AR$19</formula>
      <formula>1000</formula>
    </cfRule>
    <cfRule type="cellIs" dxfId="10" priority="58751" operator="between">
      <formula>AR$18</formula>
      <formula>AR$19</formula>
    </cfRule>
    <cfRule type="cellIs" dxfId="9" priority="58752" operator="between">
      <formula>AR$17</formula>
      <formula>AR$18</formula>
    </cfRule>
    <cfRule type="cellIs" dxfId="8" priority="58753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AR$12</formula>
      <formula>AR$13</formula>
    </cfRule>
    <cfRule type="cellIs" dxfId="6" priority="58931" operator="between">
      <formula>AR$13</formula>
      <formula>AR$14</formula>
    </cfRule>
    <cfRule type="cellIs" dxfId="5" priority="58932" operator="between">
      <formula>AR$14</formula>
      <formula>AR$15</formula>
    </cfRule>
    <cfRule type="cellIs" dxfId="4" priority="58933" operator="between">
      <formula>AR$15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AR$16</formula>
      <formula>AR$17</formula>
    </cfRule>
    <cfRule type="cellIs" dxfId="2" priority="59111" operator="between">
      <formula>AR$17</formula>
      <formula>AR$18</formula>
    </cfRule>
    <cfRule type="cellIs" dxfId="1" priority="59112" operator="between">
      <formula>AR$18</formula>
      <formula>AR$19</formula>
    </cfRule>
    <cfRule type="cellIs" dxfId="0" priority="59113" operator="between">
      <formula>AR$19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2024-07-07T15:15:38Z</dcterms:modified>
</cp:coreProperties>
</file>