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408F89A5-2C6E-AC49-83F3-772B046B29C7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'DMT-W'!$A$1:$PW$5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S14" i="17" l="1"/>
  <c r="BS10" i="17"/>
  <c r="BR6" i="17"/>
  <c r="BQ6" i="17"/>
  <c r="BP6" i="17"/>
  <c r="BO6" i="17"/>
  <c r="BN6" i="17"/>
  <c r="BR5" i="17"/>
  <c r="BQ5" i="17"/>
  <c r="BP5" i="17"/>
  <c r="BO5" i="17"/>
  <c r="BN5" i="17"/>
  <c r="BR4" i="17"/>
  <c r="BQ4" i="17"/>
  <c r="BP4" i="17"/>
  <c r="BO4" i="17"/>
  <c r="BS4" i="17" s="1"/>
  <c r="BN4" i="17"/>
  <c r="AR14" i="17"/>
  <c r="AR10" i="17"/>
  <c r="AQ6" i="17"/>
  <c r="AP6" i="17"/>
  <c r="AO6" i="17"/>
  <c r="AN6" i="17"/>
  <c r="AM6" i="17"/>
  <c r="AQ5" i="17"/>
  <c r="AP5" i="17"/>
  <c r="AO5" i="17"/>
  <c r="AN5" i="17"/>
  <c r="AM5" i="17"/>
  <c r="AQ4" i="17"/>
  <c r="AP4" i="17"/>
  <c r="AO4" i="17"/>
  <c r="AN4" i="17"/>
  <c r="AM4" i="17"/>
  <c r="BS19" i="16"/>
  <c r="BS15" i="16"/>
  <c r="BR11" i="16"/>
  <c r="BQ11" i="16"/>
  <c r="BP11" i="16"/>
  <c r="BO11" i="16"/>
  <c r="BN11" i="16"/>
  <c r="BR10" i="16"/>
  <c r="BQ10" i="16"/>
  <c r="BP10" i="16"/>
  <c r="BO10" i="16"/>
  <c r="BS10" i="16" s="1"/>
  <c r="BN10" i="16"/>
  <c r="BR9" i="16"/>
  <c r="BQ9" i="16"/>
  <c r="BP9" i="16"/>
  <c r="BO9" i="16"/>
  <c r="BN9" i="16"/>
  <c r="BR7" i="16"/>
  <c r="BQ7" i="16"/>
  <c r="BP7" i="16"/>
  <c r="BO7" i="16"/>
  <c r="BN7" i="16"/>
  <c r="BR4" i="16"/>
  <c r="BQ4" i="16"/>
  <c r="BP4" i="16"/>
  <c r="BO4" i="16"/>
  <c r="BN4" i="16"/>
  <c r="BR6" i="16"/>
  <c r="BQ6" i="16"/>
  <c r="BP6" i="16"/>
  <c r="BO6" i="16"/>
  <c r="BN6" i="16"/>
  <c r="BR8" i="16"/>
  <c r="BQ8" i="16"/>
  <c r="BP8" i="16"/>
  <c r="BO8" i="16"/>
  <c r="BN8" i="16"/>
  <c r="BR5" i="16"/>
  <c r="BQ5" i="16"/>
  <c r="BP5" i="16"/>
  <c r="BO5" i="16"/>
  <c r="BN5" i="16"/>
  <c r="AR19" i="16"/>
  <c r="AR15" i="16"/>
  <c r="AQ11" i="16"/>
  <c r="AP11" i="16"/>
  <c r="AO11" i="16"/>
  <c r="AN11" i="16"/>
  <c r="AM11" i="16"/>
  <c r="AQ10" i="16"/>
  <c r="AP10" i="16"/>
  <c r="AO10" i="16"/>
  <c r="AN10" i="16"/>
  <c r="AM10" i="16"/>
  <c r="AQ9" i="16"/>
  <c r="AP9" i="16"/>
  <c r="AO9" i="16"/>
  <c r="AN9" i="16"/>
  <c r="AM9" i="16"/>
  <c r="AQ7" i="16"/>
  <c r="AP7" i="16"/>
  <c r="AO7" i="16"/>
  <c r="AN7" i="16"/>
  <c r="AM7" i="16"/>
  <c r="AQ4" i="16"/>
  <c r="AP4" i="16"/>
  <c r="AO4" i="16"/>
  <c r="AN4" i="16"/>
  <c r="AM4" i="16"/>
  <c r="AQ6" i="16"/>
  <c r="AP6" i="16"/>
  <c r="AO6" i="16"/>
  <c r="AN6" i="16"/>
  <c r="AM6" i="16"/>
  <c r="AQ8" i="16"/>
  <c r="AP8" i="16"/>
  <c r="AO8" i="16"/>
  <c r="AN8" i="16"/>
  <c r="AM8" i="16"/>
  <c r="AQ5" i="16"/>
  <c r="AP5" i="16"/>
  <c r="AO5" i="16"/>
  <c r="AN5" i="16"/>
  <c r="AM5" i="16"/>
  <c r="BR5" i="15"/>
  <c r="BQ5" i="15"/>
  <c r="BP5" i="15"/>
  <c r="BO5" i="15"/>
  <c r="BN5" i="15"/>
  <c r="BR4" i="15"/>
  <c r="BQ4" i="15"/>
  <c r="BP4" i="15"/>
  <c r="BO4" i="15"/>
  <c r="BS4" i="15" s="1"/>
  <c r="BN4" i="15"/>
  <c r="AQ5" i="15"/>
  <c r="AP5" i="15"/>
  <c r="AO5" i="15"/>
  <c r="AN5" i="15"/>
  <c r="AM5" i="15"/>
  <c r="AQ4" i="15"/>
  <c r="AP4" i="15"/>
  <c r="AO4" i="15"/>
  <c r="AN4" i="15"/>
  <c r="AM4" i="15"/>
  <c r="BS14" i="14"/>
  <c r="BS10" i="14"/>
  <c r="BR6" i="14"/>
  <c r="BQ6" i="14"/>
  <c r="BP6" i="14"/>
  <c r="BO6" i="14"/>
  <c r="BS6" i="14" s="1"/>
  <c r="BN6" i="14"/>
  <c r="BR4" i="14"/>
  <c r="BQ4" i="14"/>
  <c r="BP4" i="14"/>
  <c r="BO4" i="14"/>
  <c r="BN4" i="14"/>
  <c r="BR5" i="14"/>
  <c r="BQ5" i="14"/>
  <c r="BP5" i="14"/>
  <c r="BO5" i="14"/>
  <c r="BN5" i="14"/>
  <c r="AR14" i="14"/>
  <c r="AR10" i="14"/>
  <c r="AQ6" i="14"/>
  <c r="AP6" i="14"/>
  <c r="AO6" i="14"/>
  <c r="AN6" i="14"/>
  <c r="AM6" i="14"/>
  <c r="AQ4" i="14"/>
  <c r="AP4" i="14"/>
  <c r="AO4" i="14"/>
  <c r="AN4" i="14"/>
  <c r="AM4" i="14"/>
  <c r="AQ5" i="14"/>
  <c r="AP5" i="14"/>
  <c r="AO5" i="14"/>
  <c r="AN5" i="14"/>
  <c r="AM5" i="14"/>
  <c r="BZ11" i="13"/>
  <c r="BY11" i="13"/>
  <c r="BW11" i="13"/>
  <c r="BV11" i="13"/>
  <c r="BU11" i="13"/>
  <c r="BT11" i="13"/>
  <c r="BS11" i="13"/>
  <c r="BZ10" i="13"/>
  <c r="BY10" i="13"/>
  <c r="BW10" i="13"/>
  <c r="BV10" i="13"/>
  <c r="BU10" i="13"/>
  <c r="BT10" i="13"/>
  <c r="BS10" i="13"/>
  <c r="BZ9" i="13"/>
  <c r="BY9" i="13"/>
  <c r="BW9" i="13"/>
  <c r="BV9" i="13"/>
  <c r="BU9" i="13"/>
  <c r="BT9" i="13"/>
  <c r="BS9" i="13"/>
  <c r="BZ6" i="13"/>
  <c r="BY6" i="13"/>
  <c r="BW6" i="13"/>
  <c r="BV6" i="13"/>
  <c r="BU6" i="13"/>
  <c r="BT6" i="13"/>
  <c r="BS6" i="13"/>
  <c r="BZ8" i="13"/>
  <c r="BY8" i="13"/>
  <c r="BW8" i="13"/>
  <c r="BV8" i="13"/>
  <c r="BU8" i="13"/>
  <c r="BT8" i="13"/>
  <c r="BS8" i="13"/>
  <c r="BZ7" i="13"/>
  <c r="BY7" i="13"/>
  <c r="BW7" i="13"/>
  <c r="BV7" i="13"/>
  <c r="BU7" i="13"/>
  <c r="BT7" i="13"/>
  <c r="BS7" i="13"/>
  <c r="BZ5" i="13"/>
  <c r="BY5" i="13"/>
  <c r="BW5" i="13"/>
  <c r="BV5" i="13"/>
  <c r="BU5" i="13"/>
  <c r="BT5" i="13"/>
  <c r="BS5" i="13"/>
  <c r="BZ4" i="13"/>
  <c r="BY4" i="13"/>
  <c r="BW4" i="13"/>
  <c r="BV4" i="13"/>
  <c r="BU4" i="13"/>
  <c r="BT4" i="13"/>
  <c r="BS4" i="13"/>
  <c r="AV11" i="13"/>
  <c r="AU11" i="13"/>
  <c r="AS11" i="13"/>
  <c r="AR11" i="13"/>
  <c r="AQ11" i="13"/>
  <c r="AP11" i="13"/>
  <c r="AO11" i="13"/>
  <c r="AV10" i="13"/>
  <c r="AU10" i="13"/>
  <c r="AS10" i="13"/>
  <c r="AR10" i="13"/>
  <c r="AQ10" i="13"/>
  <c r="AP10" i="13"/>
  <c r="AO10" i="13"/>
  <c r="AV9" i="13"/>
  <c r="AU9" i="13"/>
  <c r="AS9" i="13"/>
  <c r="AR9" i="13"/>
  <c r="AQ9" i="13"/>
  <c r="AP9" i="13"/>
  <c r="AO9" i="13"/>
  <c r="AV6" i="13"/>
  <c r="AU6" i="13"/>
  <c r="AS6" i="13"/>
  <c r="AR6" i="13"/>
  <c r="AQ6" i="13"/>
  <c r="AP6" i="13"/>
  <c r="AO6" i="13"/>
  <c r="AV8" i="13"/>
  <c r="AU8" i="13"/>
  <c r="AS8" i="13"/>
  <c r="AR8" i="13"/>
  <c r="AQ8" i="13"/>
  <c r="AP8" i="13"/>
  <c r="AO8" i="13"/>
  <c r="AV7" i="13"/>
  <c r="AU7" i="13"/>
  <c r="AS7" i="13"/>
  <c r="AR7" i="13"/>
  <c r="AQ7" i="13"/>
  <c r="AP7" i="13"/>
  <c r="AO7" i="13"/>
  <c r="AV5" i="13"/>
  <c r="AU5" i="13"/>
  <c r="AS5" i="13"/>
  <c r="AR5" i="13"/>
  <c r="AQ5" i="13"/>
  <c r="AP5" i="13"/>
  <c r="AO5" i="13"/>
  <c r="AV4" i="13"/>
  <c r="AU4" i="13"/>
  <c r="AS4" i="13"/>
  <c r="AR4" i="13"/>
  <c r="AQ4" i="13"/>
  <c r="AP4" i="13"/>
  <c r="AO4" i="13"/>
  <c r="BZ8" i="4"/>
  <c r="BY8" i="4"/>
  <c r="BW8" i="4"/>
  <c r="BV8" i="4"/>
  <c r="BU8" i="4"/>
  <c r="BT8" i="4"/>
  <c r="BS8" i="4"/>
  <c r="BZ7" i="4"/>
  <c r="BY7" i="4"/>
  <c r="BW7" i="4"/>
  <c r="BV7" i="4"/>
  <c r="BU7" i="4"/>
  <c r="BT7" i="4"/>
  <c r="BS7" i="4"/>
  <c r="BZ6" i="4"/>
  <c r="BY6" i="4"/>
  <c r="BW6" i="4"/>
  <c r="BV6" i="4"/>
  <c r="BU6" i="4"/>
  <c r="BT6" i="4"/>
  <c r="BS6" i="4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8" i="4"/>
  <c r="AU8" i="4"/>
  <c r="AS8" i="4"/>
  <c r="AR8" i="4"/>
  <c r="AQ8" i="4"/>
  <c r="AP8" i="4"/>
  <c r="AO8" i="4"/>
  <c r="AV7" i="4"/>
  <c r="AU7" i="4"/>
  <c r="AS7" i="4"/>
  <c r="AR7" i="4"/>
  <c r="AQ7" i="4"/>
  <c r="AP7" i="4"/>
  <c r="AO7" i="4"/>
  <c r="AV6" i="4"/>
  <c r="AU6" i="4"/>
  <c r="AS6" i="4"/>
  <c r="AR6" i="4"/>
  <c r="AQ6" i="4"/>
  <c r="AP6" i="4"/>
  <c r="AO6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CW11" i="13"/>
  <c r="CX11" i="13"/>
  <c r="CY11" i="13"/>
  <c r="CZ11" i="13"/>
  <c r="DA11" i="13"/>
  <c r="DC11" i="13"/>
  <c r="DD11" i="13"/>
  <c r="DY11" i="13"/>
  <c r="DZ11" i="13"/>
  <c r="EA11" i="13"/>
  <c r="EC11" i="13"/>
  <c r="ED11" i="13"/>
  <c r="EU11" i="13"/>
  <c r="EV11" i="13"/>
  <c r="EW11" i="13"/>
  <c r="EY11" i="13"/>
  <c r="EZ11" i="13"/>
  <c r="FQ11" i="13"/>
  <c r="FR11" i="13"/>
  <c r="FS11" i="13"/>
  <c r="FU11" i="13"/>
  <c r="FV11" i="13"/>
  <c r="GM11" i="13"/>
  <c r="GN11" i="13"/>
  <c r="GO11" i="13"/>
  <c r="GQ11" i="13"/>
  <c r="GR11" i="13"/>
  <c r="HI11" i="13"/>
  <c r="HJ11" i="13"/>
  <c r="HK11" i="13"/>
  <c r="HM11" i="13"/>
  <c r="HN11" i="13"/>
  <c r="IE11" i="13"/>
  <c r="IF11" i="13"/>
  <c r="IG11" i="13"/>
  <c r="II11" i="13"/>
  <c r="IJ11" i="13"/>
  <c r="JA11" i="13"/>
  <c r="JB11" i="13"/>
  <c r="JC11" i="13"/>
  <c r="JE11" i="13"/>
  <c r="JF11" i="13"/>
  <c r="JW11" i="13"/>
  <c r="JX11" i="13"/>
  <c r="JY11" i="13"/>
  <c r="KA11" i="13"/>
  <c r="KB11" i="13"/>
  <c r="KS11" i="13"/>
  <c r="KT11" i="13"/>
  <c r="KU11" i="13"/>
  <c r="KW11" i="13"/>
  <c r="KX11" i="13"/>
  <c r="LO11" i="13"/>
  <c r="LP11" i="13"/>
  <c r="LQ11" i="13"/>
  <c r="LS11" i="13"/>
  <c r="LT11" i="13"/>
  <c r="MK11" i="13"/>
  <c r="ML11" i="13"/>
  <c r="MM11" i="13"/>
  <c r="MO11" i="13"/>
  <c r="MP11" i="13"/>
  <c r="NG11" i="13"/>
  <c r="NH11" i="13"/>
  <c r="NI11" i="13"/>
  <c r="NK11" i="13"/>
  <c r="NL11" i="13"/>
  <c r="NN11" i="13"/>
  <c r="NO11" i="13"/>
  <c r="NP11" i="13"/>
  <c r="NQ11" i="13"/>
  <c r="NR11" i="13"/>
  <c r="NS11" i="13"/>
  <c r="NT11" i="13"/>
  <c r="NU11" i="13"/>
  <c r="OJ11" i="13" s="1"/>
  <c r="NV11" i="13"/>
  <c r="NW11" i="13"/>
  <c r="NX11" i="13"/>
  <c r="NY11" i="13"/>
  <c r="NZ11" i="13"/>
  <c r="OL11" i="13" s="1"/>
  <c r="OA11" i="13"/>
  <c r="OB11" i="13"/>
  <c r="OC11" i="13"/>
  <c r="OD11" i="13"/>
  <c r="OE11" i="13"/>
  <c r="OO11" i="13" s="1"/>
  <c r="OF11" i="13"/>
  <c r="OG11" i="13"/>
  <c r="CW8" i="4"/>
  <c r="CX8" i="4"/>
  <c r="CY8" i="4"/>
  <c r="CZ8" i="4"/>
  <c r="DA8" i="4"/>
  <c r="DC8" i="4"/>
  <c r="DD8" i="4"/>
  <c r="DY8" i="4"/>
  <c r="DZ8" i="4"/>
  <c r="EA8" i="4"/>
  <c r="EC8" i="4"/>
  <c r="ED8" i="4"/>
  <c r="EU8" i="4"/>
  <c r="EV8" i="4"/>
  <c r="EW8" i="4"/>
  <c r="EY8" i="4"/>
  <c r="EZ8" i="4"/>
  <c r="FQ8" i="4"/>
  <c r="FR8" i="4"/>
  <c r="FS8" i="4"/>
  <c r="FU8" i="4"/>
  <c r="FV8" i="4"/>
  <c r="GM8" i="4"/>
  <c r="GN8" i="4"/>
  <c r="GO8" i="4"/>
  <c r="GQ8" i="4"/>
  <c r="GR8" i="4"/>
  <c r="HI8" i="4"/>
  <c r="HJ8" i="4"/>
  <c r="HK8" i="4"/>
  <c r="HM8" i="4"/>
  <c r="HN8" i="4"/>
  <c r="IE8" i="4"/>
  <c r="IF8" i="4"/>
  <c r="IG8" i="4"/>
  <c r="II8" i="4"/>
  <c r="IJ8" i="4"/>
  <c r="JA8" i="4"/>
  <c r="JB8" i="4"/>
  <c r="JC8" i="4"/>
  <c r="JE8" i="4"/>
  <c r="JF8" i="4"/>
  <c r="JW8" i="4"/>
  <c r="JX8" i="4"/>
  <c r="JY8" i="4"/>
  <c r="KA8" i="4"/>
  <c r="KB8" i="4"/>
  <c r="KS8" i="4"/>
  <c r="KT8" i="4"/>
  <c r="KU8" i="4"/>
  <c r="KW8" i="4"/>
  <c r="KX8" i="4"/>
  <c r="LO8" i="4"/>
  <c r="LP8" i="4"/>
  <c r="LQ8" i="4"/>
  <c r="LS8" i="4"/>
  <c r="LT8" i="4"/>
  <c r="MK8" i="4"/>
  <c r="ML8" i="4"/>
  <c r="MM8" i="4"/>
  <c r="MO8" i="4"/>
  <c r="MP8" i="4"/>
  <c r="NG8" i="4"/>
  <c r="NH8" i="4"/>
  <c r="NI8" i="4"/>
  <c r="NK8" i="4"/>
  <c r="NL8" i="4"/>
  <c r="NN8" i="4"/>
  <c r="NO8" i="4"/>
  <c r="NP8" i="4"/>
  <c r="NQ8" i="4"/>
  <c r="NR8" i="4"/>
  <c r="NS8" i="4"/>
  <c r="NT8" i="4"/>
  <c r="NU8" i="4"/>
  <c r="OJ8" i="4" s="1"/>
  <c r="NV8" i="4"/>
  <c r="NW8" i="4"/>
  <c r="NX8" i="4"/>
  <c r="NY8" i="4"/>
  <c r="NZ8" i="4"/>
  <c r="OA8" i="4"/>
  <c r="OB8" i="4"/>
  <c r="OC8" i="4"/>
  <c r="OD8" i="4"/>
  <c r="OE8" i="4"/>
  <c r="OO8" i="4" s="1"/>
  <c r="OF8" i="4"/>
  <c r="OG8" i="4"/>
  <c r="OL8" i="4"/>
  <c r="NV14" i="17"/>
  <c r="NV10" i="17"/>
  <c r="NU6" i="17"/>
  <c r="NT6" i="17"/>
  <c r="NS6" i="17"/>
  <c r="NR6" i="17"/>
  <c r="NQ6" i="17"/>
  <c r="NU5" i="17"/>
  <c r="NT5" i="17"/>
  <c r="NS5" i="17"/>
  <c r="NR5" i="17"/>
  <c r="NQ5" i="17"/>
  <c r="NU4" i="17"/>
  <c r="NT4" i="17"/>
  <c r="NS4" i="17"/>
  <c r="NR4" i="17"/>
  <c r="NQ4" i="17"/>
  <c r="MV14" i="17"/>
  <c r="MV10" i="17"/>
  <c r="MU6" i="17"/>
  <c r="MT6" i="17"/>
  <c r="MS6" i="17"/>
  <c r="MR6" i="17"/>
  <c r="MV6" i="17" s="1"/>
  <c r="MQ6" i="17"/>
  <c r="MU5" i="17"/>
  <c r="MT5" i="17"/>
  <c r="MS5" i="17"/>
  <c r="MR5" i="17"/>
  <c r="MQ5" i="17"/>
  <c r="MU4" i="17"/>
  <c r="MT4" i="17"/>
  <c r="MS4" i="17"/>
  <c r="MR4" i="17"/>
  <c r="MQ4" i="17"/>
  <c r="LV14" i="17"/>
  <c r="LV10" i="17"/>
  <c r="LU6" i="17"/>
  <c r="LT6" i="17"/>
  <c r="LS6" i="17"/>
  <c r="LR6" i="17"/>
  <c r="LQ6" i="17"/>
  <c r="LU5" i="17"/>
  <c r="LT5" i="17"/>
  <c r="LS5" i="17"/>
  <c r="LR5" i="17"/>
  <c r="LQ5" i="17"/>
  <c r="LU4" i="17"/>
  <c r="LT4" i="17"/>
  <c r="LS4" i="17"/>
  <c r="LR4" i="17"/>
  <c r="LQ4" i="17"/>
  <c r="KV14" i="17"/>
  <c r="KV10" i="17"/>
  <c r="KU6" i="17"/>
  <c r="KT6" i="17"/>
  <c r="KS6" i="17"/>
  <c r="KR6" i="17"/>
  <c r="KQ6" i="17"/>
  <c r="KU5" i="17"/>
  <c r="KT5" i="17"/>
  <c r="KS5" i="17"/>
  <c r="KR5" i="17"/>
  <c r="KV5" i="17" s="1"/>
  <c r="KQ5" i="17"/>
  <c r="KU4" i="17"/>
  <c r="KT4" i="17"/>
  <c r="KS4" i="17"/>
  <c r="KR4" i="17"/>
  <c r="KQ4" i="17"/>
  <c r="JV14" i="17"/>
  <c r="JV10" i="17"/>
  <c r="JU6" i="17"/>
  <c r="JT6" i="17"/>
  <c r="JS6" i="17"/>
  <c r="JR6" i="17"/>
  <c r="JQ6" i="17"/>
  <c r="JU5" i="17"/>
  <c r="JT5" i="17"/>
  <c r="JS5" i="17"/>
  <c r="JR5" i="17"/>
  <c r="JV5" i="17" s="1"/>
  <c r="JQ5" i="17"/>
  <c r="JU4" i="17"/>
  <c r="JT4" i="17"/>
  <c r="JS4" i="17"/>
  <c r="JR4" i="17"/>
  <c r="JQ4" i="17"/>
  <c r="IV14" i="17"/>
  <c r="IV10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Q4" i="17"/>
  <c r="HV14" i="17"/>
  <c r="HV10" i="17"/>
  <c r="HU6" i="17"/>
  <c r="HT6" i="17"/>
  <c r="HS6" i="17"/>
  <c r="HR6" i="17"/>
  <c r="HQ6" i="17"/>
  <c r="HU5" i="17"/>
  <c r="HT5" i="17"/>
  <c r="HS5" i="17"/>
  <c r="HR5" i="17"/>
  <c r="HQ5" i="17"/>
  <c r="HU4" i="17"/>
  <c r="HT4" i="17"/>
  <c r="HS4" i="17"/>
  <c r="HR4" i="17"/>
  <c r="HQ4" i="17"/>
  <c r="GV14" i="17"/>
  <c r="GV10" i="17"/>
  <c r="GU6" i="17"/>
  <c r="GT6" i="17"/>
  <c r="GS6" i="17"/>
  <c r="GR6" i="17"/>
  <c r="GQ6" i="17"/>
  <c r="GU5" i="17"/>
  <c r="GT5" i="17"/>
  <c r="GS5" i="17"/>
  <c r="GR5" i="17"/>
  <c r="GQ5" i="17"/>
  <c r="GU4" i="17"/>
  <c r="GT4" i="17"/>
  <c r="GS4" i="17"/>
  <c r="GR4" i="17"/>
  <c r="GV4" i="17" s="1"/>
  <c r="GQ4" i="17"/>
  <c r="FV14" i="17"/>
  <c r="FV10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Q4" i="17"/>
  <c r="EV14" i="17"/>
  <c r="EV10" i="17"/>
  <c r="EU6" i="17"/>
  <c r="ET6" i="17"/>
  <c r="ES6" i="17"/>
  <c r="ER6" i="17"/>
  <c r="EV6" i="17" s="1"/>
  <c r="EQ6" i="17"/>
  <c r="EU5" i="17"/>
  <c r="ET5" i="17"/>
  <c r="ES5" i="17"/>
  <c r="ER5" i="17"/>
  <c r="EQ5" i="17"/>
  <c r="EU4" i="17"/>
  <c r="ET4" i="17"/>
  <c r="ES4" i="17"/>
  <c r="ER4" i="17"/>
  <c r="EQ4" i="17"/>
  <c r="DV14" i="17"/>
  <c r="DV10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V19" i="16"/>
  <c r="NV15" i="16"/>
  <c r="NU11" i="16"/>
  <c r="NT11" i="16"/>
  <c r="NS11" i="16"/>
  <c r="NR11" i="16"/>
  <c r="NQ11" i="16"/>
  <c r="NU10" i="16"/>
  <c r="NT10" i="16"/>
  <c r="NS10" i="16"/>
  <c r="NR10" i="16"/>
  <c r="NQ10" i="16"/>
  <c r="NU9" i="16"/>
  <c r="NT9" i="16"/>
  <c r="NS9" i="16"/>
  <c r="NR9" i="16"/>
  <c r="NQ9" i="16"/>
  <c r="NU7" i="16"/>
  <c r="NT7" i="16"/>
  <c r="NS7" i="16"/>
  <c r="NR7" i="16"/>
  <c r="NQ7" i="16"/>
  <c r="NU4" i="16"/>
  <c r="NT4" i="16"/>
  <c r="NS4" i="16"/>
  <c r="NR4" i="16"/>
  <c r="NQ4" i="16"/>
  <c r="NU6" i="16"/>
  <c r="NT6" i="16"/>
  <c r="NS6" i="16"/>
  <c r="NR6" i="16"/>
  <c r="NQ6" i="16"/>
  <c r="NU8" i="16"/>
  <c r="NT8" i="16"/>
  <c r="NS8" i="16"/>
  <c r="NR8" i="16"/>
  <c r="NQ8" i="16"/>
  <c r="NU5" i="16"/>
  <c r="NT5" i="16"/>
  <c r="NS5" i="16"/>
  <c r="NR5" i="16"/>
  <c r="NQ5" i="16"/>
  <c r="MV19" i="16"/>
  <c r="MV15" i="16"/>
  <c r="MU11" i="16"/>
  <c r="MT11" i="16"/>
  <c r="MS11" i="16"/>
  <c r="MR11" i="16"/>
  <c r="MQ11" i="16"/>
  <c r="MU10" i="16"/>
  <c r="MT10" i="16"/>
  <c r="MS10" i="16"/>
  <c r="MR10" i="16"/>
  <c r="MQ10" i="16"/>
  <c r="MU9" i="16"/>
  <c r="MT9" i="16"/>
  <c r="MS9" i="16"/>
  <c r="MR9" i="16"/>
  <c r="MQ9" i="16"/>
  <c r="MU7" i="16"/>
  <c r="MT7" i="16"/>
  <c r="MS7" i="16"/>
  <c r="MR7" i="16"/>
  <c r="MQ7" i="16"/>
  <c r="MU4" i="16"/>
  <c r="MT4" i="16"/>
  <c r="MS4" i="16"/>
  <c r="MR4" i="16"/>
  <c r="MQ4" i="16"/>
  <c r="MU6" i="16"/>
  <c r="MT6" i="16"/>
  <c r="MS6" i="16"/>
  <c r="MR6" i="16"/>
  <c r="MQ6" i="16"/>
  <c r="MU8" i="16"/>
  <c r="MT8" i="16"/>
  <c r="MS8" i="16"/>
  <c r="MR8" i="16"/>
  <c r="MQ8" i="16"/>
  <c r="MU5" i="16"/>
  <c r="MT5" i="16"/>
  <c r="MS5" i="16"/>
  <c r="MR5" i="16"/>
  <c r="MQ5" i="16"/>
  <c r="LV19" i="16"/>
  <c r="LV15" i="16"/>
  <c r="LU11" i="16"/>
  <c r="LT11" i="16"/>
  <c r="LS11" i="16"/>
  <c r="LR11" i="16"/>
  <c r="LQ11" i="16"/>
  <c r="LU10" i="16"/>
  <c r="LT10" i="16"/>
  <c r="LS10" i="16"/>
  <c r="LR10" i="16"/>
  <c r="LQ10" i="16"/>
  <c r="LU9" i="16"/>
  <c r="LT9" i="16"/>
  <c r="LS9" i="16"/>
  <c r="LR9" i="16"/>
  <c r="LQ9" i="16"/>
  <c r="LU7" i="16"/>
  <c r="LT7" i="16"/>
  <c r="LS7" i="16"/>
  <c r="LR7" i="16"/>
  <c r="LQ7" i="16"/>
  <c r="LU4" i="16"/>
  <c r="LT4" i="16"/>
  <c r="LS4" i="16"/>
  <c r="LR4" i="16"/>
  <c r="LQ4" i="16"/>
  <c r="LU6" i="16"/>
  <c r="LT6" i="16"/>
  <c r="LS6" i="16"/>
  <c r="LR6" i="16"/>
  <c r="LQ6" i="16"/>
  <c r="LU8" i="16"/>
  <c r="LT8" i="16"/>
  <c r="LS8" i="16"/>
  <c r="LR8" i="16"/>
  <c r="LQ8" i="16"/>
  <c r="LU5" i="16"/>
  <c r="LT5" i="16"/>
  <c r="LS5" i="16"/>
  <c r="LR5" i="16"/>
  <c r="LQ5" i="16"/>
  <c r="KV19" i="16"/>
  <c r="KV15" i="16"/>
  <c r="KU11" i="16"/>
  <c r="KT11" i="16"/>
  <c r="KS11" i="16"/>
  <c r="KR11" i="16"/>
  <c r="KQ11" i="16"/>
  <c r="KU10" i="16"/>
  <c r="KT10" i="16"/>
  <c r="KS10" i="16"/>
  <c r="KR10" i="16"/>
  <c r="KQ10" i="16"/>
  <c r="KU9" i="16"/>
  <c r="KT9" i="16"/>
  <c r="KS9" i="16"/>
  <c r="KR9" i="16"/>
  <c r="KQ9" i="16"/>
  <c r="KU7" i="16"/>
  <c r="KT7" i="16"/>
  <c r="KS7" i="16"/>
  <c r="KR7" i="16"/>
  <c r="KQ7" i="16"/>
  <c r="KU4" i="16"/>
  <c r="KT4" i="16"/>
  <c r="KS4" i="16"/>
  <c r="KR4" i="16"/>
  <c r="KQ4" i="16"/>
  <c r="KU6" i="16"/>
  <c r="KT6" i="16"/>
  <c r="KS6" i="16"/>
  <c r="KR6" i="16"/>
  <c r="KQ6" i="16"/>
  <c r="KU8" i="16"/>
  <c r="KT8" i="16"/>
  <c r="KS8" i="16"/>
  <c r="KR8" i="16"/>
  <c r="KQ8" i="16"/>
  <c r="KU5" i="16"/>
  <c r="KT5" i="16"/>
  <c r="KS5" i="16"/>
  <c r="KR5" i="16"/>
  <c r="KQ5" i="16"/>
  <c r="JV19" i="16"/>
  <c r="JV15" i="16"/>
  <c r="JU11" i="16"/>
  <c r="JT11" i="16"/>
  <c r="JS11" i="16"/>
  <c r="JR11" i="16"/>
  <c r="JQ11" i="16"/>
  <c r="JU10" i="16"/>
  <c r="JT10" i="16"/>
  <c r="JS10" i="16"/>
  <c r="JR10" i="16"/>
  <c r="JQ10" i="16"/>
  <c r="JU9" i="16"/>
  <c r="JT9" i="16"/>
  <c r="JS9" i="16"/>
  <c r="JR9" i="16"/>
  <c r="JQ9" i="16"/>
  <c r="JU7" i="16"/>
  <c r="JT7" i="16"/>
  <c r="JS7" i="16"/>
  <c r="JR7" i="16"/>
  <c r="JQ7" i="16"/>
  <c r="JU4" i="16"/>
  <c r="JT4" i="16"/>
  <c r="JS4" i="16"/>
  <c r="JR4" i="16"/>
  <c r="JQ4" i="16"/>
  <c r="JU6" i="16"/>
  <c r="JT6" i="16"/>
  <c r="JS6" i="16"/>
  <c r="JR6" i="16"/>
  <c r="JQ6" i="16"/>
  <c r="JU8" i="16"/>
  <c r="JT8" i="16"/>
  <c r="JS8" i="16"/>
  <c r="JR8" i="16"/>
  <c r="JQ8" i="16"/>
  <c r="JU5" i="16"/>
  <c r="JT5" i="16"/>
  <c r="JS5" i="16"/>
  <c r="JR5" i="16"/>
  <c r="JQ5" i="16"/>
  <c r="IV19" i="16"/>
  <c r="IV15" i="16"/>
  <c r="IU11" i="16"/>
  <c r="IT11" i="16"/>
  <c r="IS11" i="16"/>
  <c r="IR11" i="16"/>
  <c r="IQ11" i="16"/>
  <c r="IU10" i="16"/>
  <c r="IT10" i="16"/>
  <c r="IS10" i="16"/>
  <c r="IR10" i="16"/>
  <c r="IQ10" i="16"/>
  <c r="IU9" i="16"/>
  <c r="IT9" i="16"/>
  <c r="IS9" i="16"/>
  <c r="IR9" i="16"/>
  <c r="IQ9" i="16"/>
  <c r="IU7" i="16"/>
  <c r="IT7" i="16"/>
  <c r="IS7" i="16"/>
  <c r="IR7" i="16"/>
  <c r="IQ7" i="16"/>
  <c r="IU4" i="16"/>
  <c r="IT4" i="16"/>
  <c r="IS4" i="16"/>
  <c r="IR4" i="16"/>
  <c r="IQ4" i="16"/>
  <c r="IU6" i="16"/>
  <c r="IT6" i="16"/>
  <c r="IS6" i="16"/>
  <c r="IR6" i="16"/>
  <c r="IQ6" i="16"/>
  <c r="IU8" i="16"/>
  <c r="IT8" i="16"/>
  <c r="IS8" i="16"/>
  <c r="IR8" i="16"/>
  <c r="IQ8" i="16"/>
  <c r="IU5" i="16"/>
  <c r="IT5" i="16"/>
  <c r="IS5" i="16"/>
  <c r="IR5" i="16"/>
  <c r="IQ5" i="16"/>
  <c r="HV19" i="16"/>
  <c r="HV15" i="16"/>
  <c r="HU11" i="16"/>
  <c r="HT11" i="16"/>
  <c r="HS11" i="16"/>
  <c r="HR11" i="16"/>
  <c r="HQ11" i="16"/>
  <c r="HU10" i="16"/>
  <c r="HT10" i="16"/>
  <c r="HS10" i="16"/>
  <c r="HR10" i="16"/>
  <c r="HQ10" i="16"/>
  <c r="HU9" i="16"/>
  <c r="HT9" i="16"/>
  <c r="HS9" i="16"/>
  <c r="HR9" i="16"/>
  <c r="HQ9" i="16"/>
  <c r="HU7" i="16"/>
  <c r="HT7" i="16"/>
  <c r="HS7" i="16"/>
  <c r="HR7" i="16"/>
  <c r="HQ7" i="16"/>
  <c r="HU4" i="16"/>
  <c r="HT4" i="16"/>
  <c r="HS4" i="16"/>
  <c r="HR4" i="16"/>
  <c r="HQ4" i="16"/>
  <c r="HU6" i="16"/>
  <c r="HT6" i="16"/>
  <c r="HS6" i="16"/>
  <c r="HR6" i="16"/>
  <c r="HQ6" i="16"/>
  <c r="HU8" i="16"/>
  <c r="HT8" i="16"/>
  <c r="HS8" i="16"/>
  <c r="HR8" i="16"/>
  <c r="HQ8" i="16"/>
  <c r="HU5" i="16"/>
  <c r="HT5" i="16"/>
  <c r="HS5" i="16"/>
  <c r="HR5" i="16"/>
  <c r="HQ5" i="16"/>
  <c r="GV19" i="16"/>
  <c r="GV15" i="16"/>
  <c r="GU11" i="16"/>
  <c r="GT11" i="16"/>
  <c r="GS11" i="16"/>
  <c r="GR11" i="16"/>
  <c r="GQ11" i="16"/>
  <c r="GU10" i="16"/>
  <c r="GT10" i="16"/>
  <c r="GS10" i="16"/>
  <c r="GR10" i="16"/>
  <c r="GQ10" i="16"/>
  <c r="GU9" i="16"/>
  <c r="GT9" i="16"/>
  <c r="GS9" i="16"/>
  <c r="GR9" i="16"/>
  <c r="GQ9" i="16"/>
  <c r="GU7" i="16"/>
  <c r="GT7" i="16"/>
  <c r="GS7" i="16"/>
  <c r="GR7" i="16"/>
  <c r="GQ7" i="16"/>
  <c r="GU4" i="16"/>
  <c r="GT4" i="16"/>
  <c r="GS4" i="16"/>
  <c r="GR4" i="16"/>
  <c r="GQ4" i="16"/>
  <c r="GU6" i="16"/>
  <c r="GT6" i="16"/>
  <c r="GS6" i="16"/>
  <c r="GR6" i="16"/>
  <c r="GQ6" i="16"/>
  <c r="GU8" i="16"/>
  <c r="GT8" i="16"/>
  <c r="GS8" i="16"/>
  <c r="GR8" i="16"/>
  <c r="GQ8" i="16"/>
  <c r="GU5" i="16"/>
  <c r="GT5" i="16"/>
  <c r="GS5" i="16"/>
  <c r="GR5" i="16"/>
  <c r="GQ5" i="16"/>
  <c r="FV19" i="16"/>
  <c r="FV15" i="16"/>
  <c r="FU11" i="16"/>
  <c r="FT11" i="16"/>
  <c r="FS11" i="16"/>
  <c r="FR11" i="16"/>
  <c r="FQ11" i="16"/>
  <c r="FU10" i="16"/>
  <c r="FT10" i="16"/>
  <c r="FS10" i="16"/>
  <c r="FR10" i="16"/>
  <c r="FQ10" i="16"/>
  <c r="FU9" i="16"/>
  <c r="FT9" i="16"/>
  <c r="FS9" i="16"/>
  <c r="FR9" i="16"/>
  <c r="FQ9" i="16"/>
  <c r="FU7" i="16"/>
  <c r="FT7" i="16"/>
  <c r="FS7" i="16"/>
  <c r="FR7" i="16"/>
  <c r="FQ7" i="16"/>
  <c r="FU4" i="16"/>
  <c r="FT4" i="16"/>
  <c r="FS4" i="16"/>
  <c r="FR4" i="16"/>
  <c r="FQ4" i="16"/>
  <c r="FU6" i="16"/>
  <c r="FT6" i="16"/>
  <c r="FS6" i="16"/>
  <c r="FR6" i="16"/>
  <c r="FQ6" i="16"/>
  <c r="FU8" i="16"/>
  <c r="FT8" i="16"/>
  <c r="FS8" i="16"/>
  <c r="FR8" i="16"/>
  <c r="FQ8" i="16"/>
  <c r="FU5" i="16"/>
  <c r="FT5" i="16"/>
  <c r="FS5" i="16"/>
  <c r="FR5" i="16"/>
  <c r="FQ5" i="16"/>
  <c r="EV19" i="16"/>
  <c r="EV15" i="16"/>
  <c r="EU11" i="16"/>
  <c r="ET11" i="16"/>
  <c r="ES11" i="16"/>
  <c r="ER11" i="16"/>
  <c r="EQ11" i="16"/>
  <c r="EU10" i="16"/>
  <c r="ET10" i="16"/>
  <c r="ES10" i="16"/>
  <c r="ER10" i="16"/>
  <c r="EQ10" i="16"/>
  <c r="EU9" i="16"/>
  <c r="ET9" i="16"/>
  <c r="ES9" i="16"/>
  <c r="ER9" i="16"/>
  <c r="EQ9" i="16"/>
  <c r="EU7" i="16"/>
  <c r="ET7" i="16"/>
  <c r="ES7" i="16"/>
  <c r="ER7" i="16"/>
  <c r="EQ7" i="16"/>
  <c r="EU4" i="16"/>
  <c r="ET4" i="16"/>
  <c r="ES4" i="16"/>
  <c r="ER4" i="16"/>
  <c r="EQ4" i="16"/>
  <c r="EU6" i="16"/>
  <c r="ET6" i="16"/>
  <c r="ES6" i="16"/>
  <c r="ER6" i="16"/>
  <c r="EQ6" i="16"/>
  <c r="EU8" i="16"/>
  <c r="ET8" i="16"/>
  <c r="ES8" i="16"/>
  <c r="ER8" i="16"/>
  <c r="EQ8" i="16"/>
  <c r="EU5" i="16"/>
  <c r="ET5" i="16"/>
  <c r="ES5" i="16"/>
  <c r="ER5" i="16"/>
  <c r="EQ5" i="16"/>
  <c r="DV19" i="16"/>
  <c r="DV15" i="16"/>
  <c r="DU11" i="16"/>
  <c r="DT11" i="16"/>
  <c r="DS11" i="16"/>
  <c r="DR11" i="16"/>
  <c r="DQ11" i="16"/>
  <c r="DU10" i="16"/>
  <c r="DT10" i="16"/>
  <c r="DS10" i="16"/>
  <c r="DR10" i="16"/>
  <c r="DQ10" i="16"/>
  <c r="DU9" i="16"/>
  <c r="DT9" i="16"/>
  <c r="DS9" i="16"/>
  <c r="DR9" i="16"/>
  <c r="DQ9" i="16"/>
  <c r="DU7" i="16"/>
  <c r="DT7" i="16"/>
  <c r="DS7" i="16"/>
  <c r="DR7" i="16"/>
  <c r="DQ7" i="16"/>
  <c r="DU4" i="16"/>
  <c r="DT4" i="16"/>
  <c r="DS4" i="16"/>
  <c r="DR4" i="16"/>
  <c r="DQ4" i="16"/>
  <c r="DU6" i="16"/>
  <c r="DT6" i="16"/>
  <c r="DS6" i="16"/>
  <c r="DR6" i="16"/>
  <c r="DQ6" i="16"/>
  <c r="DU8" i="16"/>
  <c r="DT8" i="16"/>
  <c r="DS8" i="16"/>
  <c r="DR8" i="16"/>
  <c r="DQ8" i="16"/>
  <c r="DU5" i="16"/>
  <c r="DT5" i="16"/>
  <c r="DS5" i="16"/>
  <c r="DR5" i="16"/>
  <c r="DQ5" i="16"/>
  <c r="NU5" i="15"/>
  <c r="NT5" i="15"/>
  <c r="NS5" i="15"/>
  <c r="NR5" i="15"/>
  <c r="NQ5" i="15"/>
  <c r="NU4" i="15"/>
  <c r="NT4" i="15"/>
  <c r="NS4" i="15"/>
  <c r="NR4" i="15"/>
  <c r="NQ4" i="15"/>
  <c r="MU5" i="15"/>
  <c r="MT5" i="15"/>
  <c r="MS5" i="15"/>
  <c r="MR5" i="15"/>
  <c r="MV5" i="15" s="1"/>
  <c r="MQ5" i="15"/>
  <c r="MU4" i="15"/>
  <c r="MT4" i="15"/>
  <c r="MS4" i="15"/>
  <c r="MR4" i="15"/>
  <c r="MQ4" i="15"/>
  <c r="LU5" i="15"/>
  <c r="LT5" i="15"/>
  <c r="LS5" i="15"/>
  <c r="LR5" i="15"/>
  <c r="LQ5" i="15"/>
  <c r="LU4" i="15"/>
  <c r="LT4" i="15"/>
  <c r="LS4" i="15"/>
  <c r="LR4" i="15"/>
  <c r="LV4" i="15" s="1"/>
  <c r="LQ4" i="15"/>
  <c r="KU5" i="15"/>
  <c r="KT5" i="15"/>
  <c r="KS5" i="15"/>
  <c r="KR5" i="15"/>
  <c r="KQ5" i="15"/>
  <c r="KU4" i="15"/>
  <c r="KT4" i="15"/>
  <c r="KS4" i="15"/>
  <c r="KR4" i="15"/>
  <c r="KQ4" i="15"/>
  <c r="JU5" i="15"/>
  <c r="JT5" i="15"/>
  <c r="JS5" i="15"/>
  <c r="JR5" i="15"/>
  <c r="JQ5" i="15"/>
  <c r="JU4" i="15"/>
  <c r="JT4" i="15"/>
  <c r="JS4" i="15"/>
  <c r="JR4" i="15"/>
  <c r="JQ4" i="15"/>
  <c r="IU5" i="15"/>
  <c r="IT5" i="15"/>
  <c r="IS5" i="15"/>
  <c r="IR5" i="15"/>
  <c r="IV5" i="15" s="1"/>
  <c r="IQ5" i="15"/>
  <c r="IU4" i="15"/>
  <c r="IT4" i="15"/>
  <c r="IS4" i="15"/>
  <c r="IR4" i="15"/>
  <c r="IQ4" i="15"/>
  <c r="HU5" i="15"/>
  <c r="HT5" i="15"/>
  <c r="HS5" i="15"/>
  <c r="HR5" i="15"/>
  <c r="HQ5" i="15"/>
  <c r="HU4" i="15"/>
  <c r="HT4" i="15"/>
  <c r="HS4" i="15"/>
  <c r="HR4" i="15"/>
  <c r="HV4" i="15" s="1"/>
  <c r="HQ4" i="15"/>
  <c r="GU5" i="15"/>
  <c r="GT5" i="15"/>
  <c r="GS5" i="15"/>
  <c r="GR5" i="15"/>
  <c r="GQ5" i="15"/>
  <c r="GU4" i="15"/>
  <c r="GT4" i="15"/>
  <c r="GS4" i="15"/>
  <c r="GR4" i="15"/>
  <c r="GQ4" i="15"/>
  <c r="FU5" i="15"/>
  <c r="FT5" i="15"/>
  <c r="FS5" i="15"/>
  <c r="FR5" i="15"/>
  <c r="FQ5" i="15"/>
  <c r="FU4" i="15"/>
  <c r="FT4" i="15"/>
  <c r="FS4" i="15"/>
  <c r="FR4" i="15"/>
  <c r="FQ4" i="15"/>
  <c r="EU5" i="15"/>
  <c r="ET5" i="15"/>
  <c r="ES5" i="15"/>
  <c r="ER5" i="15"/>
  <c r="EV5" i="15" s="1"/>
  <c r="EQ5" i="15"/>
  <c r="EU4" i="15"/>
  <c r="ET4" i="15"/>
  <c r="ES4" i="15"/>
  <c r="ER4" i="15"/>
  <c r="EQ4" i="15"/>
  <c r="DU5" i="15"/>
  <c r="DT5" i="15"/>
  <c r="DS5" i="15"/>
  <c r="DR5" i="15"/>
  <c r="DQ5" i="15"/>
  <c r="DU4" i="15"/>
  <c r="DT4" i="15"/>
  <c r="DS4" i="15"/>
  <c r="DR4" i="15"/>
  <c r="DV4" i="15" s="1"/>
  <c r="DQ4" i="15"/>
  <c r="MP10" i="13"/>
  <c r="MO10" i="13"/>
  <c r="MM10" i="13"/>
  <c r="ML10" i="13"/>
  <c r="MK10" i="13"/>
  <c r="MP9" i="13"/>
  <c r="MO9" i="13"/>
  <c r="MM9" i="13"/>
  <c r="ML9" i="13"/>
  <c r="MK9" i="13"/>
  <c r="MP6" i="13"/>
  <c r="MO6" i="13"/>
  <c r="MM6" i="13"/>
  <c r="ML6" i="13"/>
  <c r="MK6" i="13"/>
  <c r="MP8" i="13"/>
  <c r="MO8" i="13"/>
  <c r="MM8" i="13"/>
  <c r="ML8" i="13"/>
  <c r="MK8" i="13"/>
  <c r="MP7" i="13"/>
  <c r="MO7" i="13"/>
  <c r="MM7" i="13"/>
  <c r="ML7" i="13"/>
  <c r="MK7" i="13"/>
  <c r="MP5" i="13"/>
  <c r="MO5" i="13"/>
  <c r="MM5" i="13"/>
  <c r="ML5" i="13"/>
  <c r="MK5" i="13"/>
  <c r="MP4" i="13"/>
  <c r="MO4" i="13"/>
  <c r="MM4" i="13"/>
  <c r="ML4" i="13"/>
  <c r="MK4" i="13"/>
  <c r="LT10" i="13"/>
  <c r="LS10" i="13"/>
  <c r="LQ10" i="13"/>
  <c r="LP10" i="13"/>
  <c r="LO10" i="13"/>
  <c r="LT9" i="13"/>
  <c r="LS9" i="13"/>
  <c r="LQ9" i="13"/>
  <c r="LP9" i="13"/>
  <c r="LO9" i="13"/>
  <c r="LT6" i="13"/>
  <c r="LS6" i="13"/>
  <c r="LQ6" i="13"/>
  <c r="LP6" i="13"/>
  <c r="LO6" i="13"/>
  <c r="LT8" i="13"/>
  <c r="LS8" i="13"/>
  <c r="LQ8" i="13"/>
  <c r="LP8" i="13"/>
  <c r="LO8" i="13"/>
  <c r="LT7" i="13"/>
  <c r="LS7" i="13"/>
  <c r="LQ7" i="13"/>
  <c r="LP7" i="13"/>
  <c r="LO7" i="13"/>
  <c r="LT5" i="13"/>
  <c r="LS5" i="13"/>
  <c r="LQ5" i="13"/>
  <c r="LP5" i="13"/>
  <c r="LO5" i="13"/>
  <c r="LT4" i="13"/>
  <c r="LS4" i="13"/>
  <c r="LQ4" i="13"/>
  <c r="LP4" i="13"/>
  <c r="LO4" i="13"/>
  <c r="KX10" i="13"/>
  <c r="KW10" i="13"/>
  <c r="KU10" i="13"/>
  <c r="KT10" i="13"/>
  <c r="KS10" i="13"/>
  <c r="KX9" i="13"/>
  <c r="KW9" i="13"/>
  <c r="KU9" i="13"/>
  <c r="KT9" i="13"/>
  <c r="KS9" i="13"/>
  <c r="KX6" i="13"/>
  <c r="KW6" i="13"/>
  <c r="KU6" i="13"/>
  <c r="KT6" i="13"/>
  <c r="KS6" i="13"/>
  <c r="KX8" i="13"/>
  <c r="KW8" i="13"/>
  <c r="KU8" i="13"/>
  <c r="KT8" i="13"/>
  <c r="KS8" i="13"/>
  <c r="KX7" i="13"/>
  <c r="KW7" i="13"/>
  <c r="KU7" i="13"/>
  <c r="KT7" i="13"/>
  <c r="KS7" i="13"/>
  <c r="KX5" i="13"/>
  <c r="KW5" i="13"/>
  <c r="KU5" i="13"/>
  <c r="KT5" i="13"/>
  <c r="KS5" i="13"/>
  <c r="KX4" i="13"/>
  <c r="KW4" i="13"/>
  <c r="KU4" i="13"/>
  <c r="KT4" i="13"/>
  <c r="KS4" i="13"/>
  <c r="KB10" i="13"/>
  <c r="KA10" i="13"/>
  <c r="JY10" i="13"/>
  <c r="JX10" i="13"/>
  <c r="JW10" i="13"/>
  <c r="KB9" i="13"/>
  <c r="KA9" i="13"/>
  <c r="JY9" i="13"/>
  <c r="JX9" i="13"/>
  <c r="JW9" i="13"/>
  <c r="KB6" i="13"/>
  <c r="KA6" i="13"/>
  <c r="JY6" i="13"/>
  <c r="JX6" i="13"/>
  <c r="JW6" i="13"/>
  <c r="KB8" i="13"/>
  <c r="KA8" i="13"/>
  <c r="JY8" i="13"/>
  <c r="JX8" i="13"/>
  <c r="JW8" i="13"/>
  <c r="KB7" i="13"/>
  <c r="KA7" i="13"/>
  <c r="JY7" i="13"/>
  <c r="JX7" i="13"/>
  <c r="JW7" i="13"/>
  <c r="KB5" i="13"/>
  <c r="KA5" i="13"/>
  <c r="JY5" i="13"/>
  <c r="JX5" i="13"/>
  <c r="JW5" i="13"/>
  <c r="KB4" i="13"/>
  <c r="KA4" i="13"/>
  <c r="JY4" i="13"/>
  <c r="JX4" i="13"/>
  <c r="JW4" i="13"/>
  <c r="JF10" i="13"/>
  <c r="JE10" i="13"/>
  <c r="JC10" i="13"/>
  <c r="JB10" i="13"/>
  <c r="JA10" i="13"/>
  <c r="JF9" i="13"/>
  <c r="JE9" i="13"/>
  <c r="JC9" i="13"/>
  <c r="JB9" i="13"/>
  <c r="JA9" i="13"/>
  <c r="JF6" i="13"/>
  <c r="JE6" i="13"/>
  <c r="JC6" i="13"/>
  <c r="JB6" i="13"/>
  <c r="JA6" i="13"/>
  <c r="JF8" i="13"/>
  <c r="JE8" i="13"/>
  <c r="JC8" i="13"/>
  <c r="JB8" i="13"/>
  <c r="JA8" i="13"/>
  <c r="JF7" i="13"/>
  <c r="JE7" i="13"/>
  <c r="JC7" i="13"/>
  <c r="JB7" i="13"/>
  <c r="JA7" i="13"/>
  <c r="JF5" i="13"/>
  <c r="JE5" i="13"/>
  <c r="JC5" i="13"/>
  <c r="JB5" i="13"/>
  <c r="JA5" i="13"/>
  <c r="JF4" i="13"/>
  <c r="JE4" i="13"/>
  <c r="JC4" i="13"/>
  <c r="JB4" i="13"/>
  <c r="JA4" i="13"/>
  <c r="IJ10" i="13"/>
  <c r="II10" i="13"/>
  <c r="IG10" i="13"/>
  <c r="IF10" i="13"/>
  <c r="IE10" i="13"/>
  <c r="IJ9" i="13"/>
  <c r="II9" i="13"/>
  <c r="IG9" i="13"/>
  <c r="IF9" i="13"/>
  <c r="IE9" i="13"/>
  <c r="IJ6" i="13"/>
  <c r="II6" i="13"/>
  <c r="IG6" i="13"/>
  <c r="IF6" i="13"/>
  <c r="IE6" i="13"/>
  <c r="IJ8" i="13"/>
  <c r="II8" i="13"/>
  <c r="IG8" i="13"/>
  <c r="IF8" i="13"/>
  <c r="IE8" i="13"/>
  <c r="IJ7" i="13"/>
  <c r="II7" i="13"/>
  <c r="IG7" i="13"/>
  <c r="IF7" i="13"/>
  <c r="IE7" i="13"/>
  <c r="IJ5" i="13"/>
  <c r="II5" i="13"/>
  <c r="IG5" i="13"/>
  <c r="IF5" i="13"/>
  <c r="IE5" i="13"/>
  <c r="IJ4" i="13"/>
  <c r="II4" i="13"/>
  <c r="IG4" i="13"/>
  <c r="IF4" i="13"/>
  <c r="IE4" i="13"/>
  <c r="HN10" i="13"/>
  <c r="HM10" i="13"/>
  <c r="HK10" i="13"/>
  <c r="HJ10" i="13"/>
  <c r="HI10" i="13"/>
  <c r="HN9" i="13"/>
  <c r="HM9" i="13"/>
  <c r="HK9" i="13"/>
  <c r="HJ9" i="13"/>
  <c r="HI9" i="13"/>
  <c r="HN6" i="13"/>
  <c r="HM6" i="13"/>
  <c r="HK6" i="13"/>
  <c r="HJ6" i="13"/>
  <c r="HI6" i="13"/>
  <c r="HN8" i="13"/>
  <c r="HM8" i="13"/>
  <c r="HK8" i="13"/>
  <c r="HJ8" i="13"/>
  <c r="HI8" i="13"/>
  <c r="HN7" i="13"/>
  <c r="HM7" i="13"/>
  <c r="HK7" i="13"/>
  <c r="HJ7" i="13"/>
  <c r="HI7" i="13"/>
  <c r="HN5" i="13"/>
  <c r="HM5" i="13"/>
  <c r="HK5" i="13"/>
  <c r="HJ5" i="13"/>
  <c r="HI5" i="13"/>
  <c r="HN4" i="13"/>
  <c r="HM4" i="13"/>
  <c r="HK4" i="13"/>
  <c r="HJ4" i="13"/>
  <c r="HI4" i="13"/>
  <c r="GR10" i="13"/>
  <c r="GQ10" i="13"/>
  <c r="GO10" i="13"/>
  <c r="GN10" i="13"/>
  <c r="GM10" i="13"/>
  <c r="GR9" i="13"/>
  <c r="GQ9" i="13"/>
  <c r="GO9" i="13"/>
  <c r="GN9" i="13"/>
  <c r="GM9" i="13"/>
  <c r="GR6" i="13"/>
  <c r="GQ6" i="13"/>
  <c r="GO6" i="13"/>
  <c r="GN6" i="13"/>
  <c r="GM6" i="13"/>
  <c r="GR8" i="13"/>
  <c r="GQ8" i="13"/>
  <c r="GO8" i="13"/>
  <c r="GN8" i="13"/>
  <c r="GM8" i="13"/>
  <c r="GR7" i="13"/>
  <c r="GQ7" i="13"/>
  <c r="GO7" i="13"/>
  <c r="GN7" i="13"/>
  <c r="GM7" i="13"/>
  <c r="GR5" i="13"/>
  <c r="GQ5" i="13"/>
  <c r="GO5" i="13"/>
  <c r="GN5" i="13"/>
  <c r="GM5" i="13"/>
  <c r="GR4" i="13"/>
  <c r="GQ4" i="13"/>
  <c r="GO4" i="13"/>
  <c r="GN4" i="13"/>
  <c r="GM4" i="13"/>
  <c r="FV10" i="13"/>
  <c r="FU10" i="13"/>
  <c r="FS10" i="13"/>
  <c r="FR10" i="13"/>
  <c r="FQ10" i="13"/>
  <c r="FV9" i="13"/>
  <c r="FU9" i="13"/>
  <c r="FS9" i="13"/>
  <c r="FR9" i="13"/>
  <c r="FQ9" i="13"/>
  <c r="FV6" i="13"/>
  <c r="FU6" i="13"/>
  <c r="FS6" i="13"/>
  <c r="FR6" i="13"/>
  <c r="FQ6" i="13"/>
  <c r="FV8" i="13"/>
  <c r="FU8" i="13"/>
  <c r="FS8" i="13"/>
  <c r="FR8" i="13"/>
  <c r="FQ8" i="13"/>
  <c r="FV7" i="13"/>
  <c r="FU7" i="13"/>
  <c r="FS7" i="13"/>
  <c r="FR7" i="13"/>
  <c r="FQ7" i="13"/>
  <c r="FV5" i="13"/>
  <c r="FU5" i="13"/>
  <c r="FS5" i="13"/>
  <c r="FR5" i="13"/>
  <c r="FQ5" i="13"/>
  <c r="FV4" i="13"/>
  <c r="FU4" i="13"/>
  <c r="FS4" i="13"/>
  <c r="FR4" i="13"/>
  <c r="FQ4" i="13"/>
  <c r="EZ10" i="13"/>
  <c r="EY10" i="13"/>
  <c r="EW10" i="13"/>
  <c r="EV10" i="13"/>
  <c r="EU10" i="13"/>
  <c r="EZ9" i="13"/>
  <c r="EY9" i="13"/>
  <c r="EW9" i="13"/>
  <c r="EV9" i="13"/>
  <c r="EU9" i="13"/>
  <c r="EZ6" i="13"/>
  <c r="EY6" i="13"/>
  <c r="EW6" i="13"/>
  <c r="EV6" i="13"/>
  <c r="EU6" i="13"/>
  <c r="EZ8" i="13"/>
  <c r="EY8" i="13"/>
  <c r="EW8" i="13"/>
  <c r="EV8" i="13"/>
  <c r="EU8" i="13"/>
  <c r="EZ7" i="13"/>
  <c r="EY7" i="13"/>
  <c r="EW7" i="13"/>
  <c r="EV7" i="13"/>
  <c r="EU7" i="13"/>
  <c r="EZ5" i="13"/>
  <c r="EY5" i="13"/>
  <c r="EW5" i="13"/>
  <c r="EV5" i="13"/>
  <c r="EU5" i="13"/>
  <c r="EZ4" i="13"/>
  <c r="EY4" i="13"/>
  <c r="EW4" i="13"/>
  <c r="EV4" i="13"/>
  <c r="EU4" i="13"/>
  <c r="ED10" i="13"/>
  <c r="EC10" i="13"/>
  <c r="EA10" i="13"/>
  <c r="DZ10" i="13"/>
  <c r="DY10" i="13"/>
  <c r="ED9" i="13"/>
  <c r="EC9" i="13"/>
  <c r="EA9" i="13"/>
  <c r="DZ9" i="13"/>
  <c r="DY9" i="13"/>
  <c r="ED6" i="13"/>
  <c r="EC6" i="13"/>
  <c r="EA6" i="13"/>
  <c r="DZ6" i="13"/>
  <c r="DY6" i="13"/>
  <c r="ED8" i="13"/>
  <c r="EC8" i="13"/>
  <c r="EA8" i="13"/>
  <c r="DZ8" i="13"/>
  <c r="DY8" i="13"/>
  <c r="ED7" i="13"/>
  <c r="EC7" i="13"/>
  <c r="EA7" i="13"/>
  <c r="DZ7" i="13"/>
  <c r="DY7" i="13"/>
  <c r="ED5" i="13"/>
  <c r="EC5" i="13"/>
  <c r="EA5" i="13"/>
  <c r="DZ5" i="13"/>
  <c r="DY5" i="13"/>
  <c r="ED4" i="13"/>
  <c r="EC4" i="13"/>
  <c r="EA4" i="13"/>
  <c r="DZ4" i="13"/>
  <c r="DY4" i="13"/>
  <c r="CO11" i="16"/>
  <c r="CP11" i="16"/>
  <c r="CQ11" i="16"/>
  <c r="CR11" i="16"/>
  <c r="CS11" i="16"/>
  <c r="OQ11" i="16"/>
  <c r="OR11" i="16"/>
  <c r="OV11" i="16" s="1"/>
  <c r="OS11" i="16"/>
  <c r="OT11" i="16"/>
  <c r="OU11" i="16"/>
  <c r="OW11" i="16"/>
  <c r="OX11" i="16"/>
  <c r="OY11" i="16"/>
  <c r="OZ11" i="16"/>
  <c r="PA11" i="16"/>
  <c r="PB11" i="16"/>
  <c r="PC11" i="16"/>
  <c r="PD11" i="16"/>
  <c r="PE11" i="16"/>
  <c r="PF11" i="16"/>
  <c r="PG11" i="16"/>
  <c r="PH11" i="16"/>
  <c r="PI11" i="16"/>
  <c r="PJ11" i="16"/>
  <c r="PK11" i="16"/>
  <c r="PL11" i="16"/>
  <c r="PM11" i="16"/>
  <c r="PN11" i="16"/>
  <c r="PO11" i="16"/>
  <c r="PP11" i="16"/>
  <c r="CO9" i="16"/>
  <c r="CP9" i="16"/>
  <c r="CQ9" i="16"/>
  <c r="CR9" i="16"/>
  <c r="CS9" i="16"/>
  <c r="OQ9" i="16"/>
  <c r="OR9" i="16"/>
  <c r="OS9" i="16"/>
  <c r="OT9" i="16"/>
  <c r="OU9" i="16"/>
  <c r="OW9" i="16"/>
  <c r="OX9" i="16"/>
  <c r="OY9" i="16"/>
  <c r="OZ9" i="16"/>
  <c r="PA9" i="16"/>
  <c r="PB9" i="16"/>
  <c r="PC9" i="16"/>
  <c r="PD9" i="16"/>
  <c r="PE9" i="16"/>
  <c r="PF9" i="16"/>
  <c r="PG9" i="16"/>
  <c r="PH9" i="16"/>
  <c r="PI9" i="16"/>
  <c r="PJ9" i="16"/>
  <c r="PK9" i="16"/>
  <c r="PL9" i="16"/>
  <c r="PM9" i="16"/>
  <c r="PN9" i="16"/>
  <c r="PO9" i="16"/>
  <c r="PP9" i="16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O4" i="15"/>
  <c r="CP4" i="15"/>
  <c r="CQ4" i="15"/>
  <c r="CR4" i="15"/>
  <c r="CS4" i="15"/>
  <c r="OQ4" i="15"/>
  <c r="OR4" i="15"/>
  <c r="OV4" i="15" s="1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PL6" i="14"/>
  <c r="CR6" i="14"/>
  <c r="CS6" i="14"/>
  <c r="PD6" i="14"/>
  <c r="CO6" i="14"/>
  <c r="CP6" i="14"/>
  <c r="CQ6" i="14"/>
  <c r="DQ6" i="14"/>
  <c r="DR6" i="14"/>
  <c r="DV6" i="14" s="1"/>
  <c r="DS6" i="14"/>
  <c r="DT6" i="14"/>
  <c r="DU6" i="14"/>
  <c r="EQ6" i="14"/>
  <c r="ER6" i="14"/>
  <c r="ES6" i="14"/>
  <c r="ET6" i="14"/>
  <c r="EU6" i="14"/>
  <c r="FQ6" i="14"/>
  <c r="FR6" i="14"/>
  <c r="FS6" i="14"/>
  <c r="FT6" i="14"/>
  <c r="FU6" i="14"/>
  <c r="GQ6" i="14"/>
  <c r="GR6" i="14"/>
  <c r="GS6" i="14"/>
  <c r="GT6" i="14"/>
  <c r="GU6" i="14"/>
  <c r="HQ6" i="14"/>
  <c r="HR6" i="14"/>
  <c r="HS6" i="14"/>
  <c r="HT6" i="14"/>
  <c r="HU6" i="14"/>
  <c r="IQ6" i="14"/>
  <c r="IR6" i="14"/>
  <c r="IS6" i="14"/>
  <c r="IT6" i="14"/>
  <c r="IU6" i="14"/>
  <c r="JQ6" i="14"/>
  <c r="JR6" i="14"/>
  <c r="JS6" i="14"/>
  <c r="JT6" i="14"/>
  <c r="JU6" i="14"/>
  <c r="KQ6" i="14"/>
  <c r="KR6" i="14"/>
  <c r="KS6" i="14"/>
  <c r="KT6" i="14"/>
  <c r="KU6" i="14"/>
  <c r="LQ6" i="14"/>
  <c r="LR6" i="14"/>
  <c r="LV6" i="14" s="1"/>
  <c r="LS6" i="14"/>
  <c r="LT6" i="14"/>
  <c r="LU6" i="14"/>
  <c r="MQ6" i="14"/>
  <c r="MR6" i="14"/>
  <c r="MS6" i="14"/>
  <c r="MT6" i="14"/>
  <c r="MU6" i="14"/>
  <c r="NQ6" i="14"/>
  <c r="NR6" i="14"/>
  <c r="NS6" i="14"/>
  <c r="NT6" i="14"/>
  <c r="NU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E6" i="14"/>
  <c r="PF6" i="14"/>
  <c r="PG6" i="14"/>
  <c r="PH6" i="14"/>
  <c r="PI6" i="14"/>
  <c r="PJ6" i="14"/>
  <c r="PK6" i="14"/>
  <c r="PM6" i="14"/>
  <c r="PN6" i="14"/>
  <c r="PO6" i="14"/>
  <c r="PP6" i="14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10" i="13"/>
  <c r="CX10" i="13"/>
  <c r="CY10" i="13"/>
  <c r="CZ10" i="13"/>
  <c r="DA10" i="13"/>
  <c r="DC10" i="13"/>
  <c r="DD10" i="13"/>
  <c r="NG10" i="13"/>
  <c r="NH10" i="13"/>
  <c r="NI10" i="13"/>
  <c r="NK10" i="13"/>
  <c r="NL10" i="13"/>
  <c r="NN10" i="13"/>
  <c r="NO10" i="13"/>
  <c r="NP10" i="13"/>
  <c r="NQ10" i="13"/>
  <c r="NR10" i="13"/>
  <c r="NS10" i="13"/>
  <c r="NT10" i="13"/>
  <c r="NU10" i="13"/>
  <c r="OJ10" i="13" s="1"/>
  <c r="NV10" i="13"/>
  <c r="NW10" i="13"/>
  <c r="NX10" i="13"/>
  <c r="NY10" i="13"/>
  <c r="NZ10" i="13"/>
  <c r="OL10" i="13" s="1"/>
  <c r="OA10" i="13"/>
  <c r="OB10" i="13"/>
  <c r="OC10" i="13"/>
  <c r="OD10" i="13"/>
  <c r="OE10" i="13"/>
  <c r="OO10" i="13" s="1"/>
  <c r="OF10" i="13"/>
  <c r="OG10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7" i="4"/>
  <c r="CX7" i="4"/>
  <c r="CY7" i="4"/>
  <c r="CZ7" i="4"/>
  <c r="DA7" i="4"/>
  <c r="DC7" i="4"/>
  <c r="DD7" i="4"/>
  <c r="DY7" i="4"/>
  <c r="DZ7" i="4"/>
  <c r="EA7" i="4"/>
  <c r="EC7" i="4"/>
  <c r="ED7" i="4"/>
  <c r="EU7" i="4"/>
  <c r="EV7" i="4"/>
  <c r="EW7" i="4"/>
  <c r="EY7" i="4"/>
  <c r="EZ7" i="4"/>
  <c r="FQ7" i="4"/>
  <c r="FR7" i="4"/>
  <c r="FS7" i="4"/>
  <c r="FU7" i="4"/>
  <c r="FV7" i="4"/>
  <c r="GM7" i="4"/>
  <c r="GN7" i="4"/>
  <c r="GO7" i="4"/>
  <c r="GQ7" i="4"/>
  <c r="GR7" i="4"/>
  <c r="HI7" i="4"/>
  <c r="HJ7" i="4"/>
  <c r="HK7" i="4"/>
  <c r="HM7" i="4"/>
  <c r="HN7" i="4"/>
  <c r="IE7" i="4"/>
  <c r="IF7" i="4"/>
  <c r="IG7" i="4"/>
  <c r="II7" i="4"/>
  <c r="IJ7" i="4"/>
  <c r="JA7" i="4"/>
  <c r="JB7" i="4"/>
  <c r="JC7" i="4"/>
  <c r="JE7" i="4"/>
  <c r="JF7" i="4"/>
  <c r="JW7" i="4"/>
  <c r="JX7" i="4"/>
  <c r="JY7" i="4"/>
  <c r="KA7" i="4"/>
  <c r="KB7" i="4"/>
  <c r="KS7" i="4"/>
  <c r="KT7" i="4"/>
  <c r="KU7" i="4"/>
  <c r="KW7" i="4"/>
  <c r="KX7" i="4"/>
  <c r="LO7" i="4"/>
  <c r="LP7" i="4"/>
  <c r="LQ7" i="4"/>
  <c r="LS7" i="4"/>
  <c r="LT7" i="4"/>
  <c r="MK7" i="4"/>
  <c r="ML7" i="4"/>
  <c r="MM7" i="4"/>
  <c r="MO7" i="4"/>
  <c r="MP7" i="4"/>
  <c r="NG7" i="4"/>
  <c r="NH7" i="4"/>
  <c r="NI7" i="4"/>
  <c r="NK7" i="4"/>
  <c r="NL7" i="4"/>
  <c r="NN7" i="4"/>
  <c r="NO7" i="4"/>
  <c r="NP7" i="4"/>
  <c r="NQ7" i="4"/>
  <c r="NR7" i="4"/>
  <c r="NS7" i="4"/>
  <c r="NT7" i="4"/>
  <c r="NU7" i="4"/>
  <c r="OJ7" i="4" s="1"/>
  <c r="NV7" i="4"/>
  <c r="NW7" i="4"/>
  <c r="NX7" i="4"/>
  <c r="NY7" i="4"/>
  <c r="NZ7" i="4"/>
  <c r="OL7" i="4" s="1"/>
  <c r="OA7" i="4"/>
  <c r="OB7" i="4"/>
  <c r="OC7" i="4"/>
  <c r="OD7" i="4"/>
  <c r="OE7" i="4"/>
  <c r="OO7" i="4" s="1"/>
  <c r="OF7" i="4"/>
  <c r="OG7" i="4"/>
  <c r="CW6" i="4"/>
  <c r="CX6" i="4"/>
  <c r="CY6" i="4"/>
  <c r="CZ6" i="4"/>
  <c r="DA6" i="4"/>
  <c r="DC6" i="4"/>
  <c r="DD6" i="4"/>
  <c r="DY6" i="4"/>
  <c r="DZ6" i="4"/>
  <c r="EA6" i="4"/>
  <c r="EC6" i="4"/>
  <c r="ED6" i="4"/>
  <c r="EU6" i="4"/>
  <c r="EV6" i="4"/>
  <c r="EW6" i="4"/>
  <c r="EY6" i="4"/>
  <c r="EZ6" i="4"/>
  <c r="FQ6" i="4"/>
  <c r="FR6" i="4"/>
  <c r="FS6" i="4"/>
  <c r="FU6" i="4"/>
  <c r="FV6" i="4"/>
  <c r="GM6" i="4"/>
  <c r="GN6" i="4"/>
  <c r="GO6" i="4"/>
  <c r="GQ6" i="4"/>
  <c r="GR6" i="4"/>
  <c r="HI6" i="4"/>
  <c r="HJ6" i="4"/>
  <c r="HK6" i="4"/>
  <c r="HM6" i="4"/>
  <c r="HN6" i="4"/>
  <c r="IE6" i="4"/>
  <c r="IF6" i="4"/>
  <c r="IG6" i="4"/>
  <c r="II6" i="4"/>
  <c r="IJ6" i="4"/>
  <c r="JA6" i="4"/>
  <c r="JB6" i="4"/>
  <c r="JC6" i="4"/>
  <c r="JE6" i="4"/>
  <c r="JF6" i="4"/>
  <c r="JW6" i="4"/>
  <c r="JX6" i="4"/>
  <c r="JY6" i="4"/>
  <c r="KA6" i="4"/>
  <c r="KB6" i="4"/>
  <c r="KS6" i="4"/>
  <c r="KT6" i="4"/>
  <c r="KU6" i="4"/>
  <c r="KW6" i="4"/>
  <c r="KX6" i="4"/>
  <c r="LO6" i="4"/>
  <c r="LP6" i="4"/>
  <c r="LQ6" i="4"/>
  <c r="LS6" i="4"/>
  <c r="LT6" i="4"/>
  <c r="MK6" i="4"/>
  <c r="ML6" i="4"/>
  <c r="MM6" i="4"/>
  <c r="MO6" i="4"/>
  <c r="MP6" i="4"/>
  <c r="NG6" i="4"/>
  <c r="NH6" i="4"/>
  <c r="NI6" i="4"/>
  <c r="NK6" i="4"/>
  <c r="NL6" i="4"/>
  <c r="NN6" i="4"/>
  <c r="NO6" i="4"/>
  <c r="NP6" i="4"/>
  <c r="NQ6" i="4"/>
  <c r="NR6" i="4"/>
  <c r="NS6" i="4"/>
  <c r="NT6" i="4"/>
  <c r="NU6" i="4"/>
  <c r="OJ6" i="4" s="1"/>
  <c r="NV6" i="4"/>
  <c r="NW6" i="4"/>
  <c r="NX6" i="4"/>
  <c r="NY6" i="4"/>
  <c r="NZ6" i="4"/>
  <c r="OL6" i="4" s="1"/>
  <c r="OA6" i="4"/>
  <c r="OB6" i="4"/>
  <c r="OC6" i="4"/>
  <c r="OD6" i="4"/>
  <c r="OE6" i="4"/>
  <c r="OO6" i="4" s="1"/>
  <c r="OF6" i="4"/>
  <c r="OG6" i="4"/>
  <c r="CW5" i="4"/>
  <c r="CX5" i="4"/>
  <c r="CY5" i="4"/>
  <c r="CZ5" i="4"/>
  <c r="DA5" i="4"/>
  <c r="DC5" i="4"/>
  <c r="DD5" i="4"/>
  <c r="DY5" i="4"/>
  <c r="DZ5" i="4"/>
  <c r="EA5" i="4"/>
  <c r="EC5" i="4"/>
  <c r="ED5" i="4"/>
  <c r="EU5" i="4"/>
  <c r="EV5" i="4"/>
  <c r="EW5" i="4"/>
  <c r="EY5" i="4"/>
  <c r="EZ5" i="4"/>
  <c r="FQ5" i="4"/>
  <c r="FR5" i="4"/>
  <c r="FS5" i="4"/>
  <c r="FU5" i="4"/>
  <c r="FV5" i="4"/>
  <c r="GM5" i="4"/>
  <c r="GN5" i="4"/>
  <c r="GO5" i="4"/>
  <c r="GQ5" i="4"/>
  <c r="GR5" i="4"/>
  <c r="HI5" i="4"/>
  <c r="HJ5" i="4"/>
  <c r="HK5" i="4"/>
  <c r="HM5" i="4"/>
  <c r="HN5" i="4"/>
  <c r="IE5" i="4"/>
  <c r="IF5" i="4"/>
  <c r="IG5" i="4"/>
  <c r="II5" i="4"/>
  <c r="IJ5" i="4"/>
  <c r="JA5" i="4"/>
  <c r="JB5" i="4"/>
  <c r="JC5" i="4"/>
  <c r="JE5" i="4"/>
  <c r="JF5" i="4"/>
  <c r="JW5" i="4"/>
  <c r="JX5" i="4"/>
  <c r="JY5" i="4"/>
  <c r="KA5" i="4"/>
  <c r="KB5" i="4"/>
  <c r="KS5" i="4"/>
  <c r="KT5" i="4"/>
  <c r="KU5" i="4"/>
  <c r="KW5" i="4"/>
  <c r="KX5" i="4"/>
  <c r="LO5" i="4"/>
  <c r="LP5" i="4"/>
  <c r="LQ5" i="4"/>
  <c r="LS5" i="4"/>
  <c r="LT5" i="4"/>
  <c r="MK5" i="4"/>
  <c r="ML5" i="4"/>
  <c r="MM5" i="4"/>
  <c r="MO5" i="4"/>
  <c r="MP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4" i="17"/>
  <c r="OV10" i="17"/>
  <c r="OV19" i="16"/>
  <c r="OV15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V4" i="14" s="1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5" i="17"/>
  <c r="CP5" i="17"/>
  <c r="CQ5" i="17"/>
  <c r="CR5" i="17"/>
  <c r="CS5" i="17"/>
  <c r="OQ5" i="17"/>
  <c r="OR5" i="17"/>
  <c r="OS5" i="17"/>
  <c r="OT5" i="17"/>
  <c r="OU5" i="17"/>
  <c r="OW5" i="17"/>
  <c r="OX5" i="17"/>
  <c r="OY5" i="17"/>
  <c r="OZ5" i="17"/>
  <c r="PA5" i="17"/>
  <c r="PB5" i="17"/>
  <c r="PC5" i="17"/>
  <c r="PD5" i="17"/>
  <c r="PE5" i="17"/>
  <c r="PF5" i="17"/>
  <c r="PG5" i="17"/>
  <c r="PH5" i="17"/>
  <c r="PI5" i="17"/>
  <c r="PJ5" i="17"/>
  <c r="PK5" i="17"/>
  <c r="PL5" i="17"/>
  <c r="PM5" i="17"/>
  <c r="PN5" i="17"/>
  <c r="PO5" i="17"/>
  <c r="PP5" i="17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CO10" i="16"/>
  <c r="CP10" i="16"/>
  <c r="CQ10" i="16"/>
  <c r="CR10" i="16"/>
  <c r="CS10" i="16"/>
  <c r="OQ10" i="16"/>
  <c r="OR10" i="16"/>
  <c r="OS10" i="16"/>
  <c r="OT10" i="16"/>
  <c r="OU10" i="16"/>
  <c r="OW10" i="16"/>
  <c r="OX10" i="16"/>
  <c r="OY10" i="16"/>
  <c r="OZ10" i="16"/>
  <c r="PA10" i="16"/>
  <c r="PB10" i="16"/>
  <c r="PC10" i="16"/>
  <c r="PD10" i="16"/>
  <c r="PE10" i="16"/>
  <c r="PF10" i="16"/>
  <c r="PG10" i="16"/>
  <c r="PH10" i="16"/>
  <c r="PI10" i="16"/>
  <c r="PJ10" i="16"/>
  <c r="PK10" i="16"/>
  <c r="PL10" i="16"/>
  <c r="PM10" i="16"/>
  <c r="PN10" i="16"/>
  <c r="PO10" i="16"/>
  <c r="PP10" i="16"/>
  <c r="DV9" i="16" l="1"/>
  <c r="EV4" i="16"/>
  <c r="FV8" i="16"/>
  <c r="GV11" i="16"/>
  <c r="HV9" i="16"/>
  <c r="IV4" i="16"/>
  <c r="JV8" i="16"/>
  <c r="KV11" i="16"/>
  <c r="LV9" i="16"/>
  <c r="MV4" i="16"/>
  <c r="BS11" i="16"/>
  <c r="NV10" i="16"/>
  <c r="JV4" i="14"/>
  <c r="BX5" i="13"/>
  <c r="CA5" i="13" s="1"/>
  <c r="AR6" i="17"/>
  <c r="IV6" i="17"/>
  <c r="KV4" i="17"/>
  <c r="NV5" i="17"/>
  <c r="FV5" i="17"/>
  <c r="DV8" i="16"/>
  <c r="EV11" i="16"/>
  <c r="FV9" i="16"/>
  <c r="GV4" i="16"/>
  <c r="HV8" i="16"/>
  <c r="AR9" i="16"/>
  <c r="BS4" i="16"/>
  <c r="IV11" i="16"/>
  <c r="JV9" i="16"/>
  <c r="KV4" i="16"/>
  <c r="LV8" i="16"/>
  <c r="MV11" i="16"/>
  <c r="NV9" i="16"/>
  <c r="OV7" i="16"/>
  <c r="EV4" i="15"/>
  <c r="IV4" i="15"/>
  <c r="MV4" i="15"/>
  <c r="NV6" i="17"/>
  <c r="CT5" i="17"/>
  <c r="FV6" i="17"/>
  <c r="HV4" i="17"/>
  <c r="DV5" i="17"/>
  <c r="GV6" i="17"/>
  <c r="IV4" i="17"/>
  <c r="LV5" i="17"/>
  <c r="BS6" i="17"/>
  <c r="EV5" i="17"/>
  <c r="HV6" i="17"/>
  <c r="JV4" i="17"/>
  <c r="MV5" i="17"/>
  <c r="AR5" i="17"/>
  <c r="DV4" i="17"/>
  <c r="GV5" i="17"/>
  <c r="JV6" i="17"/>
  <c r="LV4" i="17"/>
  <c r="BS5" i="17"/>
  <c r="EV4" i="17"/>
  <c r="HV5" i="17"/>
  <c r="KV6" i="17"/>
  <c r="MV4" i="17"/>
  <c r="OV5" i="17"/>
  <c r="DV6" i="17"/>
  <c r="FV4" i="17"/>
  <c r="IV5" i="17"/>
  <c r="LV6" i="17"/>
  <c r="NV4" i="17"/>
  <c r="AR4" i="17"/>
  <c r="DV6" i="16"/>
  <c r="EV5" i="16"/>
  <c r="FV10" i="16"/>
  <c r="GV7" i="16"/>
  <c r="HV6" i="16"/>
  <c r="JV10" i="16"/>
  <c r="KV7" i="16"/>
  <c r="LV6" i="16"/>
  <c r="AR10" i="16"/>
  <c r="BS7" i="16"/>
  <c r="CT10" i="16"/>
  <c r="NV8" i="16"/>
  <c r="AR8" i="16"/>
  <c r="OV4" i="16"/>
  <c r="CT6" i="16"/>
  <c r="IV5" i="16"/>
  <c r="MV5" i="16"/>
  <c r="OV9" i="16"/>
  <c r="DV11" i="16"/>
  <c r="EV9" i="16"/>
  <c r="FV4" i="16"/>
  <c r="GV8" i="16"/>
  <c r="HV11" i="16"/>
  <c r="IV9" i="16"/>
  <c r="JV4" i="16"/>
  <c r="KV8" i="16"/>
  <c r="LV11" i="16"/>
  <c r="MV9" i="16"/>
  <c r="NV4" i="16"/>
  <c r="AR4" i="16"/>
  <c r="BS8" i="16"/>
  <c r="OV10" i="16"/>
  <c r="CT7" i="16"/>
  <c r="DV7" i="16"/>
  <c r="EV6" i="16"/>
  <c r="FV5" i="16"/>
  <c r="GV10" i="16"/>
  <c r="HV7" i="16"/>
  <c r="IV6" i="16"/>
  <c r="JV5" i="16"/>
  <c r="KV10" i="16"/>
  <c r="LV7" i="16"/>
  <c r="MV6" i="16"/>
  <c r="NV5" i="16"/>
  <c r="AR5" i="16"/>
  <c r="OV6" i="16"/>
  <c r="CT11" i="16"/>
  <c r="DV10" i="16"/>
  <c r="EV7" i="16"/>
  <c r="FV6" i="16"/>
  <c r="GV5" i="16"/>
  <c r="HV10" i="16"/>
  <c r="IV7" i="16"/>
  <c r="JV6" i="16"/>
  <c r="KV5" i="16"/>
  <c r="LV10" i="16"/>
  <c r="MV7" i="16"/>
  <c r="NV6" i="16"/>
  <c r="AR6" i="16"/>
  <c r="BS5" i="16"/>
  <c r="CT4" i="16"/>
  <c r="DV4" i="16"/>
  <c r="EV8" i="16"/>
  <c r="FV11" i="16"/>
  <c r="GV9" i="16"/>
  <c r="HV4" i="16"/>
  <c r="IV8" i="16"/>
  <c r="JV11" i="16"/>
  <c r="KV9" i="16"/>
  <c r="LV4" i="16"/>
  <c r="MV8" i="16"/>
  <c r="NV11" i="16"/>
  <c r="AR11" i="16"/>
  <c r="BS9" i="16"/>
  <c r="CT9" i="16"/>
  <c r="DV5" i="16"/>
  <c r="EV10" i="16"/>
  <c r="FV7" i="16"/>
  <c r="GV6" i="16"/>
  <c r="HV5" i="16"/>
  <c r="IV10" i="16"/>
  <c r="JV7" i="16"/>
  <c r="KV6" i="16"/>
  <c r="LV5" i="16"/>
  <c r="MV10" i="16"/>
  <c r="NV7" i="16"/>
  <c r="AR7" i="16"/>
  <c r="BS6" i="16"/>
  <c r="GV5" i="15"/>
  <c r="KV5" i="15"/>
  <c r="AR5" i="15"/>
  <c r="FV5" i="15"/>
  <c r="JV5" i="15"/>
  <c r="NV5" i="15"/>
  <c r="CT4" i="15"/>
  <c r="FV4" i="15"/>
  <c r="JV4" i="15"/>
  <c r="NV4" i="15"/>
  <c r="DV5" i="15"/>
  <c r="HV5" i="15"/>
  <c r="LV5" i="15"/>
  <c r="BS5" i="15"/>
  <c r="GV4" i="15"/>
  <c r="KV4" i="15"/>
  <c r="AR4" i="15"/>
  <c r="NV6" i="14"/>
  <c r="FV6" i="14"/>
  <c r="BS5" i="14"/>
  <c r="CT4" i="14"/>
  <c r="OV6" i="14"/>
  <c r="GV6" i="14"/>
  <c r="NV4" i="14"/>
  <c r="FV4" i="14"/>
  <c r="JV6" i="14"/>
  <c r="AR4" i="14"/>
  <c r="IV4" i="14"/>
  <c r="MV6" i="14"/>
  <c r="EV6" i="14"/>
  <c r="CT6" i="14"/>
  <c r="BS4" i="14"/>
  <c r="KV4" i="14"/>
  <c r="LV4" i="14"/>
  <c r="DV4" i="14"/>
  <c r="HV6" i="14"/>
  <c r="OV4" i="14"/>
  <c r="GV4" i="14"/>
  <c r="KV6" i="14"/>
  <c r="AR5" i="14"/>
  <c r="MV4" i="14"/>
  <c r="EV4" i="14"/>
  <c r="IV6" i="14"/>
  <c r="AR6" i="14"/>
  <c r="KV6" i="13"/>
  <c r="MN10" i="13"/>
  <c r="MQ10" i="13" s="1"/>
  <c r="LR8" i="4"/>
  <c r="IH11" i="13"/>
  <c r="IK11" i="13" s="1"/>
  <c r="AT9" i="13"/>
  <c r="AW9" i="13" s="1"/>
  <c r="BX11" i="13"/>
  <c r="CA11" i="13" s="1"/>
  <c r="AT10" i="13"/>
  <c r="AW10" i="13" s="1"/>
  <c r="BX4" i="4"/>
  <c r="CA4" i="4" s="1"/>
  <c r="BX8" i="4"/>
  <c r="CA8" i="4" s="1"/>
  <c r="KV11" i="13"/>
  <c r="KY11" i="13" s="1"/>
  <c r="EB11" i="13"/>
  <c r="EE11" i="13" s="1"/>
  <c r="AT4" i="13"/>
  <c r="AW4" i="13" s="1"/>
  <c r="GP11" i="13"/>
  <c r="GS11" i="13" s="1"/>
  <c r="IH7" i="13"/>
  <c r="IK7" i="13" s="1"/>
  <c r="JD8" i="13"/>
  <c r="JG8" i="13" s="1"/>
  <c r="AT8" i="13"/>
  <c r="AW8" i="13" s="1"/>
  <c r="BX8" i="13"/>
  <c r="CA8" i="13" s="1"/>
  <c r="AT6" i="13"/>
  <c r="AW6" i="13" s="1"/>
  <c r="BX4" i="13"/>
  <c r="CA4" i="13" s="1"/>
  <c r="BX9" i="13"/>
  <c r="CA9" i="13" s="1"/>
  <c r="JZ11" i="13"/>
  <c r="KC11" i="13" s="1"/>
  <c r="HL11" i="13"/>
  <c r="HO11" i="13" s="1"/>
  <c r="O11" i="13"/>
  <c r="P11" i="13" s="1"/>
  <c r="BX6" i="13"/>
  <c r="CA6" i="13" s="1"/>
  <c r="EX9" i="13"/>
  <c r="FA9" i="13" s="1"/>
  <c r="AT11" i="13"/>
  <c r="AW11" i="13" s="1"/>
  <c r="JD11" i="13"/>
  <c r="AT7" i="13"/>
  <c r="AW7" i="13" s="1"/>
  <c r="BX10" i="13"/>
  <c r="CA10" i="13" s="1"/>
  <c r="AT5" i="13"/>
  <c r="AW5" i="13" s="1"/>
  <c r="BX7" i="13"/>
  <c r="CA7" i="13" s="1"/>
  <c r="AT4" i="4"/>
  <c r="AW4" i="4" s="1"/>
  <c r="AT6" i="4"/>
  <c r="AW6" i="4" s="1"/>
  <c r="HL8" i="4"/>
  <c r="HO8" i="4" s="1"/>
  <c r="BX7" i="4"/>
  <c r="CA7" i="4" s="1"/>
  <c r="EX8" i="4"/>
  <c r="FA8" i="4" s="1"/>
  <c r="KV5" i="4"/>
  <c r="KY5" i="4" s="1"/>
  <c r="AT5" i="4"/>
  <c r="AW5" i="4" s="1"/>
  <c r="AT8" i="4"/>
  <c r="AW8" i="4" s="1"/>
  <c r="BX6" i="4"/>
  <c r="CA6" i="4" s="1"/>
  <c r="IH8" i="4"/>
  <c r="IK8" i="4" s="1"/>
  <c r="MN8" i="4"/>
  <c r="MQ8" i="4" s="1"/>
  <c r="JZ8" i="4"/>
  <c r="KC8" i="4" s="1"/>
  <c r="FT8" i="4"/>
  <c r="FW8" i="4" s="1"/>
  <c r="AT7" i="4"/>
  <c r="AW7" i="4" s="1"/>
  <c r="BX5" i="4"/>
  <c r="CA5" i="4" s="1"/>
  <c r="OM8" i="4"/>
  <c r="NJ11" i="13"/>
  <c r="NM11" i="13" s="1"/>
  <c r="MN11" i="13"/>
  <c r="MQ11" i="13" s="1"/>
  <c r="LR11" i="13"/>
  <c r="LU11" i="13" s="1"/>
  <c r="JG11" i="13"/>
  <c r="FT11" i="13"/>
  <c r="FW11" i="13" s="1"/>
  <c r="EX11" i="13"/>
  <c r="FA11" i="13" s="1"/>
  <c r="DB11" i="13"/>
  <c r="DE11" i="13" s="1"/>
  <c r="OP11" i="13"/>
  <c r="OM11" i="13"/>
  <c r="OK11" i="13"/>
  <c r="OI11" i="13"/>
  <c r="JZ10" i="13"/>
  <c r="KC10" i="13" s="1"/>
  <c r="HL7" i="13"/>
  <c r="HO7" i="13" s="1"/>
  <c r="IH8" i="13"/>
  <c r="IK8" i="13" s="1"/>
  <c r="JD6" i="13"/>
  <c r="JG6" i="13" s="1"/>
  <c r="MN4" i="13"/>
  <c r="MQ4" i="13" s="1"/>
  <c r="DB8" i="4"/>
  <c r="DE8" i="4" s="1"/>
  <c r="OK8" i="4"/>
  <c r="NJ8" i="4"/>
  <c r="NM8" i="4" s="1"/>
  <c r="LU8" i="4"/>
  <c r="KV8" i="4"/>
  <c r="KY8" i="4" s="1"/>
  <c r="JD8" i="4"/>
  <c r="JG8" i="4" s="1"/>
  <c r="GP8" i="4"/>
  <c r="GS8" i="4" s="1"/>
  <c r="EB8" i="4"/>
  <c r="EE8" i="4" s="1"/>
  <c r="O8" i="4"/>
  <c r="P8" i="4" s="1"/>
  <c r="OP8" i="4"/>
  <c r="OI8" i="4"/>
  <c r="EB7" i="13"/>
  <c r="EE7" i="13" s="1"/>
  <c r="EX8" i="13"/>
  <c r="FA8" i="13" s="1"/>
  <c r="FT6" i="13"/>
  <c r="FW6" i="13" s="1"/>
  <c r="GP9" i="13"/>
  <c r="GS9" i="13" s="1"/>
  <c r="JD4" i="13"/>
  <c r="JG4" i="13" s="1"/>
  <c r="FT8" i="13"/>
  <c r="FW8" i="13" s="1"/>
  <c r="LR7" i="13"/>
  <c r="LU7" i="13" s="1"/>
  <c r="IH4" i="13"/>
  <c r="IK4" i="13" s="1"/>
  <c r="JZ7" i="13"/>
  <c r="KC7" i="13" s="1"/>
  <c r="KV8" i="13"/>
  <c r="KY8" i="13" s="1"/>
  <c r="JZ5" i="13"/>
  <c r="KC5" i="13" s="1"/>
  <c r="EX7" i="13"/>
  <c r="FA7" i="13" s="1"/>
  <c r="GP6" i="13"/>
  <c r="GS6" i="13" s="1"/>
  <c r="EB4" i="13"/>
  <c r="EE4" i="13" s="1"/>
  <c r="FT7" i="13"/>
  <c r="FW7" i="13" s="1"/>
  <c r="GP8" i="13"/>
  <c r="GS8" i="13" s="1"/>
  <c r="MN7" i="13"/>
  <c r="MQ7" i="13" s="1"/>
  <c r="JZ7" i="4"/>
  <c r="KC7" i="4" s="1"/>
  <c r="KV5" i="13"/>
  <c r="KY5" i="13" s="1"/>
  <c r="MN5" i="13"/>
  <c r="MQ5" i="13" s="1"/>
  <c r="GP4" i="13"/>
  <c r="GS4" i="13" s="1"/>
  <c r="HL6" i="13"/>
  <c r="HO6" i="13" s="1"/>
  <c r="MN8" i="13"/>
  <c r="MQ8" i="13" s="1"/>
  <c r="EB5" i="13"/>
  <c r="EE5" i="13" s="1"/>
  <c r="EB10" i="13"/>
  <c r="EE10" i="13" s="1"/>
  <c r="GP7" i="13"/>
  <c r="GS7" i="13" s="1"/>
  <c r="LR6" i="13"/>
  <c r="LU6" i="13" s="1"/>
  <c r="EB8" i="13"/>
  <c r="EE8" i="13" s="1"/>
  <c r="FT4" i="13"/>
  <c r="FW4" i="13" s="1"/>
  <c r="KV7" i="13"/>
  <c r="KY7" i="13" s="1"/>
  <c r="KV9" i="13"/>
  <c r="KY9" i="13" s="1"/>
  <c r="MN9" i="13"/>
  <c r="MQ9" i="13" s="1"/>
  <c r="EX5" i="13"/>
  <c r="FA5" i="13" s="1"/>
  <c r="IH10" i="13"/>
  <c r="IK10" i="13" s="1"/>
  <c r="JD7" i="13"/>
  <c r="JG7" i="13" s="1"/>
  <c r="JZ4" i="13"/>
  <c r="KC4" i="13" s="1"/>
  <c r="JZ8" i="13"/>
  <c r="KC8" i="13" s="1"/>
  <c r="LR8" i="13"/>
  <c r="LU8" i="13" s="1"/>
  <c r="HL5" i="13"/>
  <c r="HO5" i="13" s="1"/>
  <c r="LR5" i="13"/>
  <c r="LU5" i="13" s="1"/>
  <c r="FT10" i="13"/>
  <c r="FW10" i="13" s="1"/>
  <c r="HL10" i="13"/>
  <c r="HO10" i="13" s="1"/>
  <c r="IH9" i="13"/>
  <c r="IK9" i="13" s="1"/>
  <c r="JD5" i="13"/>
  <c r="JG5" i="13" s="1"/>
  <c r="EB9" i="13"/>
  <c r="EE9" i="13" s="1"/>
  <c r="EX6" i="13"/>
  <c r="FA6" i="13" s="1"/>
  <c r="HL4" i="13"/>
  <c r="HO4" i="13" s="1"/>
  <c r="HL8" i="13"/>
  <c r="HO8" i="13" s="1"/>
  <c r="JD10" i="13"/>
  <c r="JG10" i="13" s="1"/>
  <c r="JZ9" i="13"/>
  <c r="KC9" i="13" s="1"/>
  <c r="LR4" i="13"/>
  <c r="LU4" i="13" s="1"/>
  <c r="LR10" i="13"/>
  <c r="LU10" i="13" s="1"/>
  <c r="FT5" i="13"/>
  <c r="FW5" i="13" s="1"/>
  <c r="KY6" i="13"/>
  <c r="EX4" i="13"/>
  <c r="FA4" i="13" s="1"/>
  <c r="EX10" i="13"/>
  <c r="FA10" i="13" s="1"/>
  <c r="FT9" i="13"/>
  <c r="FW9" i="13" s="1"/>
  <c r="GP5" i="13"/>
  <c r="GS5" i="13" s="1"/>
  <c r="HL9" i="13"/>
  <c r="HO9" i="13" s="1"/>
  <c r="IH5" i="13"/>
  <c r="IK5" i="13" s="1"/>
  <c r="IH6" i="13"/>
  <c r="IK6" i="13" s="1"/>
  <c r="KV4" i="13"/>
  <c r="KY4" i="13" s="1"/>
  <c r="EB6" i="13"/>
  <c r="EE6" i="13" s="1"/>
  <c r="GP10" i="13"/>
  <c r="GS10" i="13" s="1"/>
  <c r="JD9" i="13"/>
  <c r="JG9" i="13" s="1"/>
  <c r="JZ6" i="13"/>
  <c r="KC6" i="13" s="1"/>
  <c r="KV10" i="13"/>
  <c r="KY10" i="13" s="1"/>
  <c r="LR9" i="13"/>
  <c r="LU9" i="13" s="1"/>
  <c r="MN6" i="13"/>
  <c r="MQ6" i="13" s="1"/>
  <c r="JZ6" i="4"/>
  <c r="KC6" i="4" s="1"/>
  <c r="IH6" i="4"/>
  <c r="IK6" i="4" s="1"/>
  <c r="DB7" i="13"/>
  <c r="DE7" i="13" s="1"/>
  <c r="O7" i="13"/>
  <c r="P7" i="13" s="1"/>
  <c r="LR5" i="4"/>
  <c r="LU5" i="4" s="1"/>
  <c r="JD7" i="4"/>
  <c r="JG7" i="4" s="1"/>
  <c r="LR7" i="4"/>
  <c r="LU7" i="4" s="1"/>
  <c r="EX7" i="4"/>
  <c r="FA7" i="4" s="1"/>
  <c r="EB6" i="4"/>
  <c r="EE6" i="4" s="1"/>
  <c r="FT7" i="4"/>
  <c r="FW7" i="4" s="1"/>
  <c r="GP6" i="4"/>
  <c r="GS6" i="4" s="1"/>
  <c r="GP5" i="4"/>
  <c r="GS5" i="4" s="1"/>
  <c r="JD6" i="4"/>
  <c r="JG6" i="4" s="1"/>
  <c r="HL6" i="4"/>
  <c r="HO6" i="4" s="1"/>
  <c r="HL7" i="4"/>
  <c r="HO7" i="4" s="1"/>
  <c r="PS11" i="16"/>
  <c r="PW11" i="16" s="1"/>
  <c r="PU9" i="16"/>
  <c r="PR9" i="16"/>
  <c r="PU11" i="16"/>
  <c r="PR11" i="16"/>
  <c r="M11" i="16"/>
  <c r="N11" i="16" s="1"/>
  <c r="PV11" i="16"/>
  <c r="PT11" i="16"/>
  <c r="G11" i="16"/>
  <c r="F11" i="16"/>
  <c r="K11" i="16"/>
  <c r="I11" i="16"/>
  <c r="M9" i="16"/>
  <c r="CV9" i="16" s="1"/>
  <c r="PT9" i="16"/>
  <c r="PS9" i="16"/>
  <c r="PV9" i="16"/>
  <c r="G9" i="16"/>
  <c r="F9" i="16"/>
  <c r="K9" i="16"/>
  <c r="I9" i="16"/>
  <c r="PU6" i="16"/>
  <c r="PR6" i="16"/>
  <c r="M6" i="16"/>
  <c r="CV6" i="16" s="1"/>
  <c r="PS6" i="16"/>
  <c r="PV6" i="16"/>
  <c r="PT6" i="16"/>
  <c r="G6" i="16"/>
  <c r="F6" i="16"/>
  <c r="K6" i="16"/>
  <c r="I6" i="16"/>
  <c r="PS7" i="16"/>
  <c r="M7" i="16"/>
  <c r="CV7" i="16" s="1"/>
  <c r="PT7" i="16"/>
  <c r="G7" i="16"/>
  <c r="PU7" i="16"/>
  <c r="PR7" i="16"/>
  <c r="F7" i="16"/>
  <c r="K7" i="16"/>
  <c r="I7" i="16"/>
  <c r="PV7" i="16"/>
  <c r="PU4" i="15"/>
  <c r="PR4" i="15"/>
  <c r="PS4" i="15"/>
  <c r="PV4" i="15"/>
  <c r="PT4" i="15"/>
  <c r="M4" i="15"/>
  <c r="N4" i="15" s="1"/>
  <c r="G4" i="15"/>
  <c r="F4" i="15"/>
  <c r="K4" i="15"/>
  <c r="I4" i="15"/>
  <c r="PU6" i="14"/>
  <c r="PR6" i="14"/>
  <c r="PS6" i="14"/>
  <c r="M6" i="14"/>
  <c r="CV6" i="14" s="1"/>
  <c r="PV6" i="14"/>
  <c r="PT6" i="14"/>
  <c r="K6" i="14"/>
  <c r="CU6" i="14" s="1"/>
  <c r="F6" i="14"/>
  <c r="I6" i="14"/>
  <c r="G6" i="14"/>
  <c r="OP10" i="13"/>
  <c r="DB10" i="13"/>
  <c r="DE10" i="13" s="1"/>
  <c r="NJ7" i="13"/>
  <c r="NM7" i="13" s="1"/>
  <c r="OM7" i="13"/>
  <c r="OK7" i="13"/>
  <c r="OI7" i="13"/>
  <c r="DB6" i="13"/>
  <c r="DE6" i="13" s="1"/>
  <c r="NJ10" i="13"/>
  <c r="NM10" i="13" s="1"/>
  <c r="OP9" i="13"/>
  <c r="OM10" i="13"/>
  <c r="OK10" i="13"/>
  <c r="OI10" i="13"/>
  <c r="O10" i="13"/>
  <c r="P10" i="13" s="1"/>
  <c r="DB9" i="13"/>
  <c r="DE9" i="13" s="1"/>
  <c r="OK6" i="13"/>
  <c r="NJ9" i="13"/>
  <c r="NM9" i="13" s="1"/>
  <c r="O6" i="13"/>
  <c r="DI6" i="13" s="1"/>
  <c r="NJ6" i="13"/>
  <c r="NM6" i="13" s="1"/>
  <c r="OM6" i="13"/>
  <c r="OI6" i="13"/>
  <c r="OM9" i="13"/>
  <c r="OK9" i="13"/>
  <c r="OI9" i="13"/>
  <c r="O9" i="13"/>
  <c r="P9" i="13" s="1"/>
  <c r="OP7" i="4"/>
  <c r="DB7" i="4"/>
  <c r="DE7" i="4" s="1"/>
  <c r="NJ7" i="4"/>
  <c r="NM7" i="4" s="1"/>
  <c r="MN7" i="4"/>
  <c r="MQ7" i="4" s="1"/>
  <c r="KV7" i="4"/>
  <c r="KY7" i="4" s="1"/>
  <c r="IH7" i="4"/>
  <c r="IK7" i="4" s="1"/>
  <c r="GP7" i="4"/>
  <c r="GS7" i="4" s="1"/>
  <c r="EB7" i="4"/>
  <c r="EE7" i="4" s="1"/>
  <c r="O7" i="4"/>
  <c r="P7" i="4" s="1"/>
  <c r="OK7" i="4"/>
  <c r="OI7" i="4"/>
  <c r="OM7" i="4"/>
  <c r="EX6" i="4"/>
  <c r="FA6" i="4" s="1"/>
  <c r="OI6" i="4"/>
  <c r="O5" i="4"/>
  <c r="P5" i="4" s="1"/>
  <c r="OP5" i="4"/>
  <c r="NJ6" i="4"/>
  <c r="NM6" i="4" s="1"/>
  <c r="MN6" i="4"/>
  <c r="MQ6" i="4" s="1"/>
  <c r="LR6" i="4"/>
  <c r="LU6" i="4" s="1"/>
  <c r="KV6" i="4"/>
  <c r="KY6" i="4" s="1"/>
  <c r="FT6" i="4"/>
  <c r="FW6" i="4" s="1"/>
  <c r="DB6" i="4"/>
  <c r="DE6" i="4" s="1"/>
  <c r="OP6" i="4"/>
  <c r="OM6" i="4"/>
  <c r="OK6" i="4"/>
  <c r="O6" i="4"/>
  <c r="P6" i="4" s="1"/>
  <c r="HL5" i="4"/>
  <c r="HO5" i="4" s="1"/>
  <c r="JD5" i="4"/>
  <c r="JG5" i="4" s="1"/>
  <c r="JZ5" i="4"/>
  <c r="KC5" i="4" s="1"/>
  <c r="FT5" i="4"/>
  <c r="FW5" i="4" s="1"/>
  <c r="IH5" i="4"/>
  <c r="IK5" i="4" s="1"/>
  <c r="EB5" i="4"/>
  <c r="EE5" i="4" s="1"/>
  <c r="DB5" i="4"/>
  <c r="NJ5" i="4"/>
  <c r="NM5" i="4" s="1"/>
  <c r="MN5" i="4"/>
  <c r="MQ5" i="4" s="1"/>
  <c r="EX5" i="4"/>
  <c r="FA5" i="4" s="1"/>
  <c r="OK5" i="4"/>
  <c r="OI5" i="4"/>
  <c r="OM5" i="4"/>
  <c r="M4" i="14"/>
  <c r="N4" i="14" s="1"/>
  <c r="PS4" i="14"/>
  <c r="PV4" i="14"/>
  <c r="PT4" i="14"/>
  <c r="PU4" i="14"/>
  <c r="PR4" i="14"/>
  <c r="G4" i="14"/>
  <c r="F4" i="14"/>
  <c r="I4" i="14"/>
  <c r="K4" i="14"/>
  <c r="PR5" i="17"/>
  <c r="PU5" i="17"/>
  <c r="M5" i="17"/>
  <c r="N5" i="17" s="1"/>
  <c r="PS5" i="17"/>
  <c r="PV5" i="17"/>
  <c r="PT5" i="17"/>
  <c r="F5" i="17"/>
  <c r="G5" i="17"/>
  <c r="I5" i="17"/>
  <c r="K5" i="17"/>
  <c r="PU4" i="16"/>
  <c r="PR4" i="16"/>
  <c r="M4" i="16"/>
  <c r="N4" i="16" s="1"/>
  <c r="PT4" i="16"/>
  <c r="PS4" i="16"/>
  <c r="I4" i="16"/>
  <c r="J4" i="16" s="1"/>
  <c r="PV4" i="16"/>
  <c r="F4" i="16"/>
  <c r="G4" i="16"/>
  <c r="K4" i="16"/>
  <c r="PU10" i="16"/>
  <c r="PR10" i="16"/>
  <c r="M10" i="16"/>
  <c r="N10" i="16" s="1"/>
  <c r="PS10" i="16"/>
  <c r="PT10" i="16"/>
  <c r="G10" i="16"/>
  <c r="PV10" i="16"/>
  <c r="F10" i="16"/>
  <c r="I10" i="16"/>
  <c r="K10" i="16"/>
  <c r="CW4" i="4"/>
  <c r="CX4" i="4"/>
  <c r="CY4" i="4"/>
  <c r="CZ4" i="4"/>
  <c r="DA4" i="4"/>
  <c r="DC4" i="4"/>
  <c r="DD4" i="4"/>
  <c r="DY4" i="4"/>
  <c r="DZ4" i="4"/>
  <c r="EA4" i="4"/>
  <c r="EC4" i="4"/>
  <c r="ED4" i="4"/>
  <c r="EU4" i="4"/>
  <c r="EV4" i="4"/>
  <c r="EW4" i="4"/>
  <c r="EY4" i="4"/>
  <c r="EZ4" i="4"/>
  <c r="FQ4" i="4"/>
  <c r="FR4" i="4"/>
  <c r="FS4" i="4"/>
  <c r="FU4" i="4"/>
  <c r="FV4" i="4"/>
  <c r="GM4" i="4"/>
  <c r="GN4" i="4"/>
  <c r="GO4" i="4"/>
  <c r="GQ4" i="4"/>
  <c r="GR4" i="4"/>
  <c r="HI4" i="4"/>
  <c r="HJ4" i="4"/>
  <c r="HK4" i="4"/>
  <c r="HM4" i="4"/>
  <c r="HN4" i="4"/>
  <c r="IE4" i="4"/>
  <c r="IF4" i="4"/>
  <c r="IG4" i="4"/>
  <c r="II4" i="4"/>
  <c r="IJ4" i="4"/>
  <c r="JA4" i="4"/>
  <c r="JB4" i="4"/>
  <c r="JC4" i="4"/>
  <c r="JE4" i="4"/>
  <c r="JF4" i="4"/>
  <c r="JW4" i="4"/>
  <c r="JX4" i="4"/>
  <c r="JY4" i="4"/>
  <c r="KA4" i="4"/>
  <c r="KB4" i="4"/>
  <c r="KS4" i="4"/>
  <c r="KT4" i="4"/>
  <c r="KU4" i="4"/>
  <c r="KW4" i="4"/>
  <c r="KX4" i="4"/>
  <c r="LO4" i="4"/>
  <c r="LP4" i="4"/>
  <c r="LQ4" i="4"/>
  <c r="LS4" i="4"/>
  <c r="LT4" i="4"/>
  <c r="MK4" i="4"/>
  <c r="ML4" i="4"/>
  <c r="MM4" i="4"/>
  <c r="MO4" i="4"/>
  <c r="MP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PW5" i="17" l="1"/>
  <c r="PW9" i="16"/>
  <c r="PW10" i="16"/>
  <c r="PW4" i="16"/>
  <c r="CT8" i="16"/>
  <c r="PW6" i="16"/>
  <c r="PW7" i="16"/>
  <c r="OV8" i="16"/>
  <c r="PW4" i="15"/>
  <c r="PW6" i="14"/>
  <c r="PW4" i="14"/>
  <c r="DI11" i="13"/>
  <c r="I5" i="4"/>
  <c r="J5" i="4" s="1"/>
  <c r="F8" i="4"/>
  <c r="ON8" i="4"/>
  <c r="DI8" i="4"/>
  <c r="G11" i="13"/>
  <c r="H11" i="13" s="1"/>
  <c r="A11" i="13" s="1" a="1"/>
  <c r="A11" i="13" s="1"/>
  <c r="I11" i="13"/>
  <c r="DH11" i="13" s="1"/>
  <c r="F11" i="13"/>
  <c r="ON11" i="13"/>
  <c r="G8" i="4"/>
  <c r="H8" i="4" s="1"/>
  <c r="A8" i="4" s="1" a="1"/>
  <c r="A8" i="4" s="1"/>
  <c r="I8" i="4"/>
  <c r="K8" i="4" s="1"/>
  <c r="CV4" i="15"/>
  <c r="I7" i="13"/>
  <c r="J7" i="13" s="1"/>
  <c r="I10" i="13"/>
  <c r="K10" i="13" s="1"/>
  <c r="DI7" i="13"/>
  <c r="ON7" i="4"/>
  <c r="G7" i="13"/>
  <c r="H7" i="13" s="1"/>
  <c r="A7" i="13" s="1" a="1"/>
  <c r="A7" i="13" s="1"/>
  <c r="F7" i="13"/>
  <c r="G10" i="13"/>
  <c r="H10" i="13" s="1"/>
  <c r="A10" i="13" s="1" a="1"/>
  <c r="A10" i="13" s="1"/>
  <c r="ON10" i="13"/>
  <c r="I7" i="4"/>
  <c r="M7" i="4" s="1"/>
  <c r="DI7" i="4"/>
  <c r="DI6" i="4"/>
  <c r="CV11" i="16"/>
  <c r="N9" i="16"/>
  <c r="H11" i="16"/>
  <c r="L11" i="16"/>
  <c r="CU11" i="16"/>
  <c r="J11" i="16"/>
  <c r="H7" i="16"/>
  <c r="N6" i="16"/>
  <c r="H9" i="16"/>
  <c r="J9" i="16"/>
  <c r="L9" i="16"/>
  <c r="CU9" i="16"/>
  <c r="O9" i="16" s="1"/>
  <c r="H6" i="16"/>
  <c r="J6" i="16"/>
  <c r="L6" i="16"/>
  <c r="CU6" i="16"/>
  <c r="O6" i="16" s="1"/>
  <c r="N7" i="16"/>
  <c r="J7" i="16"/>
  <c r="L7" i="16"/>
  <c r="CU7" i="16"/>
  <c r="O7" i="16" s="1"/>
  <c r="H4" i="15"/>
  <c r="J4" i="15"/>
  <c r="L4" i="15"/>
  <c r="CU4" i="15"/>
  <c r="N6" i="14"/>
  <c r="O6" i="14"/>
  <c r="P6" i="14" s="1"/>
  <c r="L6" i="14"/>
  <c r="H6" i="14"/>
  <c r="J6" i="14"/>
  <c r="ON7" i="13"/>
  <c r="DI10" i="13"/>
  <c r="ON9" i="13"/>
  <c r="I6" i="13"/>
  <c r="DH6" i="13" s="1"/>
  <c r="F6" i="13"/>
  <c r="I9" i="13"/>
  <c r="M9" i="13" s="1"/>
  <c r="F10" i="13"/>
  <c r="G9" i="13"/>
  <c r="H9" i="13" s="1"/>
  <c r="A9" i="13" s="1" a="1"/>
  <c r="A9" i="13" s="1"/>
  <c r="G6" i="13"/>
  <c r="H6" i="13" s="1"/>
  <c r="A6" i="13" s="1" a="1"/>
  <c r="A6" i="13" s="1"/>
  <c r="P6" i="13"/>
  <c r="ON6" i="13"/>
  <c r="F9" i="13"/>
  <c r="DI9" i="13"/>
  <c r="F7" i="4"/>
  <c r="F6" i="4"/>
  <c r="ON6" i="4"/>
  <c r="OQ6" i="4" s="1"/>
  <c r="I6" i="4"/>
  <c r="K6" i="4" s="1"/>
  <c r="ON5" i="4"/>
  <c r="OQ5" i="4" s="1"/>
  <c r="G7" i="4"/>
  <c r="H7" i="4" s="1"/>
  <c r="A7" i="4" s="1" a="1"/>
  <c r="A7" i="4" s="1"/>
  <c r="DI5" i="4"/>
  <c r="G6" i="4"/>
  <c r="H6" i="4" s="1"/>
  <c r="A6" i="4" s="1" a="1"/>
  <c r="A6" i="4" s="1"/>
  <c r="F5" i="4"/>
  <c r="DE5" i="4"/>
  <c r="G5" i="4"/>
  <c r="H5" i="4" s="1"/>
  <c r="HL4" i="4"/>
  <c r="HO4" i="4" s="1"/>
  <c r="CV4" i="14"/>
  <c r="EX4" i="4"/>
  <c r="FA4" i="4" s="1"/>
  <c r="H4" i="14"/>
  <c r="J4" i="14"/>
  <c r="L4" i="14"/>
  <c r="CU4" i="14"/>
  <c r="CV5" i="17"/>
  <c r="CV10" i="16"/>
  <c r="H5" i="17"/>
  <c r="L5" i="17"/>
  <c r="CU5" i="17"/>
  <c r="J5" i="17"/>
  <c r="CV4" i="16"/>
  <c r="H4" i="16"/>
  <c r="L4" i="16"/>
  <c r="CU4" i="16"/>
  <c r="H10" i="16"/>
  <c r="L10" i="16"/>
  <c r="CU10" i="16"/>
  <c r="J10" i="16"/>
  <c r="DB4" i="4"/>
  <c r="DE4" i="4" s="1"/>
  <c r="JD4" i="4"/>
  <c r="JG4" i="4" s="1"/>
  <c r="OP4" i="4"/>
  <c r="LR4" i="4"/>
  <c r="LU4" i="4" s="1"/>
  <c r="NJ4" i="4"/>
  <c r="NM4" i="4" s="1"/>
  <c r="JZ4" i="4"/>
  <c r="KC4" i="4" s="1"/>
  <c r="FT4" i="4"/>
  <c r="FW4" i="4" s="1"/>
  <c r="IH4" i="4"/>
  <c r="IK4" i="4" s="1"/>
  <c r="MN4" i="4"/>
  <c r="MQ4" i="4" s="1"/>
  <c r="KV4" i="4"/>
  <c r="KY4" i="4" s="1"/>
  <c r="GP4" i="4"/>
  <c r="GS4" i="4" s="1"/>
  <c r="EB4" i="4"/>
  <c r="EE4" i="4" s="1"/>
  <c r="OM4" i="4"/>
  <c r="OK4" i="4"/>
  <c r="OI4" i="4"/>
  <c r="O4" i="4"/>
  <c r="DI4" i="4" s="1"/>
  <c r="PU8" i="16"/>
  <c r="PR8" i="16"/>
  <c r="PT8" i="16"/>
  <c r="M8" i="16"/>
  <c r="CV8" i="16" s="1"/>
  <c r="PS8" i="16"/>
  <c r="PV8" i="16"/>
  <c r="G8" i="16"/>
  <c r="F8" i="16"/>
  <c r="I8" i="16"/>
  <c r="K8" i="16"/>
  <c r="CU8" i="16" s="1"/>
  <c r="K7" i="13" l="1"/>
  <c r="L7" i="13" s="1"/>
  <c r="OQ7" i="4"/>
  <c r="K5" i="4"/>
  <c r="PW8" i="16"/>
  <c r="M7" i="13"/>
  <c r="DG7" i="13" s="1"/>
  <c r="DH7" i="13"/>
  <c r="DH5" i="4"/>
  <c r="M5" i="4"/>
  <c r="N5" i="4" s="1"/>
  <c r="O4" i="15"/>
  <c r="P4" i="15" s="1"/>
  <c r="OQ9" i="13"/>
  <c r="OQ11" i="13"/>
  <c r="OQ8" i="4"/>
  <c r="J10" i="13"/>
  <c r="L10" i="13" s="1"/>
  <c r="OQ10" i="13"/>
  <c r="DH10" i="13"/>
  <c r="M10" i="13"/>
  <c r="M11" i="13"/>
  <c r="DG11" i="13" s="1"/>
  <c r="J11" i="13"/>
  <c r="K11" i="13"/>
  <c r="DF11" i="13" s="1"/>
  <c r="M8" i="4"/>
  <c r="J8" i="4"/>
  <c r="L8" i="4" s="1"/>
  <c r="DH8" i="4"/>
  <c r="DF8" i="4"/>
  <c r="F4" i="4"/>
  <c r="G4" i="4"/>
  <c r="H4" i="4" s="1"/>
  <c r="O11" i="16"/>
  <c r="Q11" i="16" s="1"/>
  <c r="DH6" i="4"/>
  <c r="J6" i="4"/>
  <c r="L6" i="4" s="1"/>
  <c r="DH7" i="4"/>
  <c r="J7" i="4"/>
  <c r="N7" i="4" s="1"/>
  <c r="K7" i="4"/>
  <c r="DF7" i="4" s="1"/>
  <c r="K9" i="13"/>
  <c r="DF9" i="13" s="1"/>
  <c r="M6" i="4"/>
  <c r="E9" i="16"/>
  <c r="P9" i="16"/>
  <c r="Q9" i="16"/>
  <c r="E6" i="16"/>
  <c r="P6" i="16"/>
  <c r="Q6" i="16"/>
  <c r="E7" i="16"/>
  <c r="P7" i="16"/>
  <c r="Q7" i="16"/>
  <c r="E6" i="14"/>
  <c r="Q6" i="14"/>
  <c r="K6" i="13"/>
  <c r="DF6" i="13" s="1"/>
  <c r="M6" i="13"/>
  <c r="DG6" i="13" s="1"/>
  <c r="J6" i="13"/>
  <c r="N7" i="13"/>
  <c r="DH9" i="13"/>
  <c r="J9" i="13"/>
  <c r="N9" i="13" s="1"/>
  <c r="DF10" i="13"/>
  <c r="DG9" i="13"/>
  <c r="O4" i="14"/>
  <c r="E4" i="14" s="1"/>
  <c r="DG7" i="4"/>
  <c r="DF6" i="4"/>
  <c r="L5" i="4"/>
  <c r="DF5" i="4"/>
  <c r="O5" i="17"/>
  <c r="E5" i="17" s="1"/>
  <c r="O10" i="16"/>
  <c r="Q10" i="16" s="1"/>
  <c r="O4" i="16"/>
  <c r="E4" i="16" s="1"/>
  <c r="I4" i="4"/>
  <c r="DH4" i="4" s="1"/>
  <c r="ON4" i="4"/>
  <c r="OQ4" i="4" s="1"/>
  <c r="P4" i="4"/>
  <c r="H8" i="16"/>
  <c r="N8" i="16"/>
  <c r="L8" i="16"/>
  <c r="O8" i="16"/>
  <c r="J8" i="16"/>
  <c r="N10" i="13" l="1"/>
  <c r="DF7" i="13"/>
  <c r="Q7" i="13" s="1"/>
  <c r="S7" i="13" s="1"/>
  <c r="E4" i="15"/>
  <c r="Q4" i="15"/>
  <c r="DG5" i="4"/>
  <c r="Q5" i="4" s="1"/>
  <c r="E5" i="4" s="1"/>
  <c r="N11" i="13"/>
  <c r="P11" i="16"/>
  <c r="E11" i="16"/>
  <c r="DG10" i="13"/>
  <c r="Q10" i="13" s="1"/>
  <c r="E10" i="13" s="1"/>
  <c r="L11" i="13"/>
  <c r="Q11" i="13"/>
  <c r="S11" i="13" s="1"/>
  <c r="L6" i="13"/>
  <c r="N8" i="4"/>
  <c r="DG8" i="4"/>
  <c r="Q8" i="4" s="1"/>
  <c r="Q7" i="4"/>
  <c r="S7" i="4" s="1"/>
  <c r="L7" i="4"/>
  <c r="N6" i="4"/>
  <c r="DG6" i="4"/>
  <c r="Q6" i="4" s="1"/>
  <c r="R6" i="4" s="1"/>
  <c r="L9" i="13"/>
  <c r="Q4" i="14"/>
  <c r="P4" i="14"/>
  <c r="N6" i="13"/>
  <c r="Q6" i="13"/>
  <c r="S6" i="13" s="1"/>
  <c r="Q9" i="13"/>
  <c r="Q5" i="17"/>
  <c r="P5" i="17"/>
  <c r="P10" i="16"/>
  <c r="E10" i="16"/>
  <c r="Q4" i="16"/>
  <c r="P4" i="16"/>
  <c r="M4" i="4"/>
  <c r="DG4" i="4" s="1"/>
  <c r="J4" i="4"/>
  <c r="K4" i="4"/>
  <c r="DF4" i="4" s="1"/>
  <c r="E8" i="16"/>
  <c r="P8" i="16"/>
  <c r="Q8" i="16"/>
  <c r="E11" i="13" l="1"/>
  <c r="R11" i="13"/>
  <c r="E8" i="4"/>
  <c r="R8" i="4"/>
  <c r="S8" i="4"/>
  <c r="R7" i="4"/>
  <c r="E7" i="4"/>
  <c r="E9" i="13"/>
  <c r="E7" i="13"/>
  <c r="R7" i="13"/>
  <c r="R10" i="13"/>
  <c r="S10" i="13"/>
  <c r="R6" i="13"/>
  <c r="E6" i="13"/>
  <c r="S9" i="13"/>
  <c r="R9" i="13"/>
  <c r="E6" i="4"/>
  <c r="S6" i="4"/>
  <c r="S5" i="4"/>
  <c r="R5" i="4"/>
  <c r="L4" i="4"/>
  <c r="Q4" i="4"/>
  <c r="N4" i="4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OP8" i="13" s="1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7" i="13" l="1"/>
  <c r="E4" i="4"/>
  <c r="R4" i="4"/>
  <c r="S4" i="4"/>
  <c r="OM8" i="13"/>
  <c r="NJ8" i="13"/>
  <c r="NM8" i="13" s="1"/>
  <c r="O8" i="13"/>
  <c r="DI8" i="13" s="1"/>
  <c r="DB8" i="13"/>
  <c r="DE8" i="13" s="1"/>
  <c r="OK8" i="13"/>
  <c r="OI8" i="13"/>
  <c r="DB4" i="13"/>
  <c r="DE4" i="13" s="1"/>
  <c r="O4" i="13"/>
  <c r="OM4" i="13"/>
  <c r="NJ4" i="13"/>
  <c r="NM4" i="13" s="1"/>
  <c r="OK4" i="13"/>
  <c r="OI4" i="13"/>
  <c r="CT14" i="17"/>
  <c r="CT10" i="17"/>
  <c r="PP6" i="17"/>
  <c r="PO6" i="17"/>
  <c r="PN6" i="17"/>
  <c r="PM6" i="17"/>
  <c r="PL6" i="17"/>
  <c r="PK6" i="17"/>
  <c r="PJ6" i="17"/>
  <c r="PI6" i="17"/>
  <c r="PH6" i="17"/>
  <c r="PG6" i="17"/>
  <c r="PF6" i="17"/>
  <c r="PE6" i="17"/>
  <c r="PD6" i="17"/>
  <c r="PC6" i="17"/>
  <c r="PB6" i="17"/>
  <c r="PA6" i="17"/>
  <c r="OZ6" i="17"/>
  <c r="OY6" i="17"/>
  <c r="OX6" i="17"/>
  <c r="OW6" i="17"/>
  <c r="OU6" i="17"/>
  <c r="OT6" i="17"/>
  <c r="OS6" i="17"/>
  <c r="OR6" i="17"/>
  <c r="OQ6" i="17"/>
  <c r="CS6" i="17"/>
  <c r="CR6" i="17"/>
  <c r="CQ6" i="17"/>
  <c r="CP6" i="17"/>
  <c r="CT6" i="17" s="1"/>
  <c r="CO6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T4" i="17" s="1"/>
  <c r="CO4" i="17"/>
  <c r="CT19" i="16"/>
  <c r="CT15" i="16"/>
  <c r="PP5" i="16"/>
  <c r="PO5" i="16"/>
  <c r="PN5" i="16"/>
  <c r="PM5" i="16"/>
  <c r="PL5" i="16"/>
  <c r="PK5" i="16"/>
  <c r="PJ5" i="16"/>
  <c r="PI5" i="16"/>
  <c r="PH5" i="16"/>
  <c r="PG5" i="16"/>
  <c r="PF5" i="16"/>
  <c r="PE5" i="16"/>
  <c r="PD5" i="16"/>
  <c r="PC5" i="16"/>
  <c r="PB5" i="16"/>
  <c r="PA5" i="16"/>
  <c r="OZ5" i="16"/>
  <c r="OY5" i="16"/>
  <c r="OX5" i="16"/>
  <c r="OW5" i="16"/>
  <c r="OU5" i="16"/>
  <c r="OT5" i="16"/>
  <c r="OS5" i="16"/>
  <c r="OR5" i="16"/>
  <c r="OQ5" i="16"/>
  <c r="CS5" i="16"/>
  <c r="CR5" i="16"/>
  <c r="CQ5" i="16"/>
  <c r="CP5" i="16"/>
  <c r="CT5" i="16" s="1"/>
  <c r="CO5" i="16"/>
  <c r="PP5" i="15"/>
  <c r="PO5" i="15"/>
  <c r="PN5" i="15"/>
  <c r="PM5" i="15"/>
  <c r="PL5" i="15"/>
  <c r="PK5" i="15"/>
  <c r="PJ5" i="15"/>
  <c r="PI5" i="15"/>
  <c r="PH5" i="15"/>
  <c r="PG5" i="15"/>
  <c r="PF5" i="15"/>
  <c r="PE5" i="15"/>
  <c r="PD5" i="15"/>
  <c r="PC5" i="15"/>
  <c r="PB5" i="15"/>
  <c r="PA5" i="15"/>
  <c r="OZ5" i="15"/>
  <c r="OY5" i="15"/>
  <c r="OX5" i="15"/>
  <c r="OW5" i="15"/>
  <c r="OU5" i="15"/>
  <c r="OT5" i="15"/>
  <c r="OS5" i="15"/>
  <c r="OR5" i="15"/>
  <c r="OQ5" i="15"/>
  <c r="CS5" i="15"/>
  <c r="CR5" i="15"/>
  <c r="CQ5" i="15"/>
  <c r="CP5" i="15"/>
  <c r="CO5" i="15"/>
  <c r="CT14" i="14"/>
  <c r="CT10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Q5" i="14"/>
  <c r="NU5" i="14"/>
  <c r="NT5" i="14"/>
  <c r="NS5" i="14"/>
  <c r="NR5" i="14"/>
  <c r="NQ5" i="14"/>
  <c r="MU5" i="14"/>
  <c r="MT5" i="14"/>
  <c r="MS5" i="14"/>
  <c r="MR5" i="14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V5" i="14" s="1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Q5" i="14"/>
  <c r="FU5" i="14"/>
  <c r="FT5" i="14"/>
  <c r="FS5" i="14"/>
  <c r="FR5" i="14"/>
  <c r="FQ5" i="14"/>
  <c r="EU5" i="14"/>
  <c r="ET5" i="14"/>
  <c r="ES5" i="14"/>
  <c r="ER5" i="14"/>
  <c r="EV5" i="14" s="1"/>
  <c r="EQ5" i="14"/>
  <c r="DU5" i="14"/>
  <c r="DT5" i="14"/>
  <c r="DS5" i="14"/>
  <c r="DR5" i="14"/>
  <c r="DQ5" i="14"/>
  <c r="CS5" i="14"/>
  <c r="CR5" i="14"/>
  <c r="CQ5" i="14"/>
  <c r="CP5" i="14"/>
  <c r="CO5" i="14"/>
  <c r="OV5" i="16" l="1"/>
  <c r="MV5" i="14"/>
  <c r="OV5" i="14"/>
  <c r="GV5" i="14"/>
  <c r="OV4" i="17"/>
  <c r="OV6" i="17"/>
  <c r="OV5" i="15"/>
  <c r="CT5" i="15"/>
  <c r="HV5" i="14"/>
  <c r="LV5" i="14"/>
  <c r="DV5" i="14"/>
  <c r="IV5" i="14"/>
  <c r="FV5" i="14"/>
  <c r="NV5" i="14"/>
  <c r="CT5" i="14"/>
  <c r="KV5" i="14"/>
  <c r="A4" i="4" a="1"/>
  <c r="A4" i="4" s="1"/>
  <c r="A5" i="4" a="1"/>
  <c r="A5" i="4" s="1"/>
  <c r="P4" i="13"/>
  <c r="DI4" i="13"/>
  <c r="P8" i="13"/>
  <c r="I8" i="13"/>
  <c r="ON8" i="13"/>
  <c r="F8" i="13"/>
  <c r="G8" i="13"/>
  <c r="H8" i="13" s="1"/>
  <c r="A8" i="13" s="1" a="1"/>
  <c r="A8" i="13" s="1"/>
  <c r="I4" i="13"/>
  <c r="DH4" i="13" s="1"/>
  <c r="F4" i="13"/>
  <c r="G4" i="13"/>
  <c r="H4" i="13" s="1"/>
  <c r="ON4" i="13"/>
  <c r="PU6" i="17"/>
  <c r="G5" i="16"/>
  <c r="I5" i="16"/>
  <c r="J5" i="16" s="1"/>
  <c r="PS5" i="16"/>
  <c r="PT5" i="16"/>
  <c r="M5" i="16"/>
  <c r="CV5" i="16" s="1"/>
  <c r="K5" i="16"/>
  <c r="CU5" i="16" s="1"/>
  <c r="M4" i="17"/>
  <c r="CV4" i="17" s="1"/>
  <c r="PT6" i="17"/>
  <c r="G4" i="17"/>
  <c r="PT4" i="17"/>
  <c r="PR6" i="17"/>
  <c r="PR4" i="17"/>
  <c r="PS6" i="17"/>
  <c r="K6" i="17"/>
  <c r="CU6" i="17" s="1"/>
  <c r="PV4" i="17"/>
  <c r="I6" i="17"/>
  <c r="J6" i="17" s="1"/>
  <c r="PV6" i="17"/>
  <c r="PU4" i="17"/>
  <c r="PS4" i="17"/>
  <c r="I4" i="17"/>
  <c r="F6" i="17"/>
  <c r="K4" i="17"/>
  <c r="CU4" i="17" s="1"/>
  <c r="G6" i="17"/>
  <c r="M6" i="17"/>
  <c r="CV6" i="17" s="1"/>
  <c r="F4" i="17"/>
  <c r="PV5" i="16"/>
  <c r="PR5" i="16"/>
  <c r="PU5" i="16"/>
  <c r="F5" i="16"/>
  <c r="PR5" i="15"/>
  <c r="F5" i="15"/>
  <c r="G5" i="15"/>
  <c r="PS5" i="15"/>
  <c r="PT5" i="15"/>
  <c r="PV5" i="15"/>
  <c r="M5" i="15"/>
  <c r="CV5" i="15" s="1"/>
  <c r="PU5" i="15"/>
  <c r="I5" i="15"/>
  <c r="K5" i="15"/>
  <c r="CU5" i="15" s="1"/>
  <c r="M5" i="14"/>
  <c r="CV5" i="14" s="1"/>
  <c r="PT5" i="14"/>
  <c r="PR5" i="14"/>
  <c r="PS5" i="14"/>
  <c r="K5" i="14"/>
  <c r="CU5" i="14" s="1"/>
  <c r="G5" i="14"/>
  <c r="PV5" i="14"/>
  <c r="PU5" i="14"/>
  <c r="F5" i="14"/>
  <c r="I5" i="14"/>
  <c r="OQ7" i="13" l="1"/>
  <c r="OQ8" i="13"/>
  <c r="PW6" i="17"/>
  <c r="PW4" i="17"/>
  <c r="PW5" i="16"/>
  <c r="PW5" i="15"/>
  <c r="PW5" i="14"/>
  <c r="K8" i="13"/>
  <c r="DF8" i="13" s="1"/>
  <c r="DH8" i="13"/>
  <c r="O5" i="16"/>
  <c r="Q5" i="16" s="1"/>
  <c r="N5" i="16"/>
  <c r="J8" i="13"/>
  <c r="M8" i="13"/>
  <c r="DG8" i="13" s="1"/>
  <c r="J4" i="13"/>
  <c r="M4" i="13"/>
  <c r="DG4" i="13" s="1"/>
  <c r="K4" i="13"/>
  <c r="DF4" i="13" s="1"/>
  <c r="L5" i="16"/>
  <c r="N5" i="14"/>
  <c r="L5" i="14"/>
  <c r="H5" i="14"/>
  <c r="N4" i="17"/>
  <c r="H5" i="15"/>
  <c r="H6" i="17"/>
  <c r="H4" i="17"/>
  <c r="H5" i="16"/>
  <c r="L6" i="17"/>
  <c r="J4" i="17"/>
  <c r="N6" i="17"/>
  <c r="O6" i="17"/>
  <c r="L4" i="17"/>
  <c r="N5" i="15"/>
  <c r="J5" i="15"/>
  <c r="O5" i="15"/>
  <c r="L5" i="15"/>
  <c r="J5" i="14"/>
  <c r="A5" i="15" l="1" a="1"/>
  <c r="A5" i="15" s="1"/>
  <c r="L8" i="13"/>
  <c r="L4" i="13"/>
  <c r="P5" i="16"/>
  <c r="E5" i="16"/>
  <c r="A5" i="16" s="1" a="1"/>
  <c r="A5" i="16" s="1"/>
  <c r="N8" i="13"/>
  <c r="N4" i="13"/>
  <c r="Q8" i="13"/>
  <c r="Q4" i="13"/>
  <c r="O4" i="17"/>
  <c r="E4" i="17" s="1"/>
  <c r="O5" i="14"/>
  <c r="E5" i="14" s="1"/>
  <c r="A5" i="14" s="1" a="1"/>
  <c r="A5" i="14" s="1"/>
  <c r="Q6" i="17"/>
  <c r="P6" i="17"/>
  <c r="E6" i="17"/>
  <c r="E5" i="15"/>
  <c r="A4" i="15" s="1" a="1"/>
  <c r="A4" i="15" s="1"/>
  <c r="P5" i="15"/>
  <c r="Q5" i="15"/>
  <c r="A6" i="17" l="1" a="1"/>
  <c r="A6" i="17" s="1"/>
  <c r="A6" i="14" a="1"/>
  <c r="A6" i="14" s="1"/>
  <c r="A5" i="17" a="1"/>
  <c r="A5" i="17" s="1"/>
  <c r="A4" i="17" a="1"/>
  <c r="A4" i="17" s="1"/>
  <c r="A10" i="16" a="1"/>
  <c r="A10" i="16" s="1"/>
  <c r="A8" i="16" a="1"/>
  <c r="A8" i="16" s="1"/>
  <c r="A6" i="16" a="1"/>
  <c r="A6" i="16" s="1"/>
  <c r="A7" i="16" a="1"/>
  <c r="A7" i="16" s="1"/>
  <c r="A4" i="16" a="1"/>
  <c r="A4" i="16" s="1"/>
  <c r="A11" i="16" a="1"/>
  <c r="A11" i="16" s="1"/>
  <c r="A9" i="16" a="1"/>
  <c r="A9" i="16" s="1"/>
  <c r="A4" i="14" a="1"/>
  <c r="A4" i="14" s="1"/>
  <c r="E8" i="13"/>
  <c r="E4" i="13"/>
  <c r="R8" i="13"/>
  <c r="S8" i="13"/>
  <c r="R4" i="13"/>
  <c r="S4" i="13"/>
  <c r="Q4" i="17"/>
  <c r="P4" i="17"/>
  <c r="Q5" i="14"/>
  <c r="P5" i="14"/>
  <c r="D12" i="11" l="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OP5" i="13" l="1"/>
  <c r="OP6" i="13"/>
  <c r="OP4" i="13"/>
  <c r="DB5" i="13"/>
  <c r="DE5" i="13" s="1"/>
  <c r="OM5" i="13"/>
  <c r="NJ5" i="13"/>
  <c r="NM5" i="13" s="1"/>
  <c r="OI5" i="13"/>
  <c r="OK5" i="13"/>
  <c r="O5" i="13"/>
  <c r="DI5" i="13" s="1"/>
  <c r="F5" i="13" l="1"/>
  <c r="G5" i="13"/>
  <c r="H5" i="13"/>
  <c r="I5" i="13"/>
  <c r="DH5" i="13" s="1"/>
  <c r="ON5" i="13"/>
  <c r="P5" i="13"/>
  <c r="A5" i="13" l="1" a="1"/>
  <c r="A5" i="13" s="1"/>
  <c r="OQ6" i="13"/>
  <c r="OQ5" i="13"/>
  <c r="J5" i="13"/>
  <c r="OQ4" i="13"/>
  <c r="M5" i="13"/>
  <c r="DG5" i="13" s="1"/>
  <c r="K5" i="13"/>
  <c r="DF5" i="13" s="1"/>
  <c r="L5" i="13" l="1"/>
  <c r="Q5" i="13"/>
  <c r="N5" i="13"/>
  <c r="R5" i="13" l="1"/>
  <c r="S5" i="13"/>
  <c r="E5" i="13"/>
  <c r="A4" i="13" s="1" a="1"/>
  <c r="A4" i="13" s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<sst xmlns="http://schemas.openxmlformats.org/spreadsheetml/2006/main" count="3208" uniqueCount="113">
  <si>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</si>
  <si>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</si>
  <si>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</si>
  <si>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</si>
  <si>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</si>
  <si>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</si>
  <si>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</si>
  <si>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</si>
  <si>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</si>
  <si>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</si>
  <si>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</si>
  <si>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</si>
  <si>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</si>
  <si>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</si>
  <si>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</si>
  <si>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</si>
  <si>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</si>
  <si>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</si>
  <si>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</si>
  <si>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</si>
  <si>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</si>
  <si>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</si>
  <si>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</si>
  <si>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</si>
  <si>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</si>
  <si>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</si>
  <si>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</si>
  <si>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</si>
  <si>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</si>
  <si>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</si>
  <si>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</si>
  <si>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</si>
  <si>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</si>
  <si>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</si>
  <si>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</si>
  <si>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</si>
  <si>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</si>
  <si>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</si>
  <si>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</si>
  <si>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</si>
  <si>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</si>
  <si>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</si>
  <si>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</si>
  <si>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</si>
  <si>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</si>
  <si>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</si>
  <si>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</si>
  <si>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</si>
  <si>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</si>
  <si>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</si>
  <si>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</si>
  <si>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</si>
  <si>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</si>
  <si>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</si>
  <si>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</si>
  <si>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</si>
  <si>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</si>
  <si>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</si>
  <si>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</si>
  <si>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</si>
  <si>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</si>
  <si>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</si>
  <si>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</si>
  <si>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</si>
  <si>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</si>
  <si>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</si>
  <si>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</si>
  <si>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</si>
  <si>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</si>
  <si>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</si>
  <si>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</si>
  <si>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</si>
  <si>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</si>
  <si>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</si>
  <si>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</si>
  <si>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</si>
  <si>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</si>
  <si>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</si>
  <si>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</si>
  <si>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</si>
  <si>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HARBO, Owen</t>
  </si>
  <si>
    <t>CYMAN, Cody</t>
  </si>
  <si>
    <t>CORRIVEAU, Mélina</t>
  </si>
  <si>
    <t>2022 WAGC (Nov 24)</t>
  </si>
  <si>
    <t>2022 WAGC (Nov 26)</t>
  </si>
  <si>
    <t>KUZNAK, Sienna</t>
  </si>
  <si>
    <t>LOISELLE, Hector</t>
  </si>
  <si>
    <t>SCOTT, Ethan</t>
  </si>
  <si>
    <t>BLOOM, Tristan</t>
  </si>
  <si>
    <t>SCHMIDT, Jordyn</t>
  </si>
  <si>
    <t>2023 Elite Canada</t>
  </si>
  <si>
    <t>GIBBS, Gavin</t>
  </si>
  <si>
    <t>2023 Pan Am Championships (May 14)</t>
  </si>
  <si>
    <t>2023 Pan Am Club Championships (May 14)</t>
  </si>
  <si>
    <t>2023 Nationals</t>
  </si>
  <si>
    <t>BEAULIEU, Alex</t>
  </si>
  <si>
    <t>D'HONDT, Luke</t>
  </si>
  <si>
    <t>GOOD, Hayden</t>
  </si>
  <si>
    <t>SCHMIDT, Makena</t>
  </si>
  <si>
    <t>LEPORÉ, Amylia</t>
  </si>
  <si>
    <t>PECK, Rachel</t>
  </si>
  <si>
    <t>SK</t>
  </si>
  <si>
    <t>REIMCHE, Wilson</t>
  </si>
  <si>
    <t>ROBERTSON, Griffyn</t>
  </si>
  <si>
    <t>ANDERSEN, Travis</t>
  </si>
  <si>
    <t>LEUNG, Theo</t>
  </si>
  <si>
    <t>PROULX, Sarah-Kim</t>
  </si>
  <si>
    <t>2023 3rd Domestic Trial</t>
  </si>
  <si>
    <t>2023 WAGC (Nov 16)</t>
  </si>
  <si>
    <t>2023 WAGC (Nov 18)</t>
  </si>
  <si>
    <t>2023 WAGC</t>
  </si>
  <si>
    <t>2023 Junior Worlds (Nov 19)</t>
  </si>
  <si>
    <t>Formatting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</si>
</sst>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6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CYMAN, Cody</v>
      </c>
      <c r="D2" s="16" t="str">
        <f>IF(B2&gt;MAX('TRA-M'!A:A),"",INDEX('TRA-M'!H:H,MATCH(B2,'TRA-M'!A:A,0)))</f>
        <v>National Team</v>
      </c>
      <c r="E2" s="15"/>
      <c r="F2" s="15"/>
    </row>
    <row r="3" spans="1:6" x14ac:dyDescent="0.2">
      <c r="A3" s="6"/>
      <c r="B3" s="6">
        <v>2</v>
      </c>
      <c r="C3" s="6" t="str">
        <f>IF(B3&gt;MAX('TRA-M'!A:A),"",INDEX('TRA-M'!B:B,MATCH(B3,'TRA-M'!A:A,0)))</f>
        <v>BEAULIEU, Alex</v>
      </c>
      <c r="D3" s="16" t="str">
        <f>IF(B3&gt;MAX('TRA-M'!A:A),"",INDEX('TRA-M'!H:H,MATCH(B3,'TRA-M'!A:A,0)))</f>
        <v>No DD</v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CORRIVEAU, Mélina</v>
      </c>
      <c r="D6" s="17" t="str">
        <f>IF(B2&gt;MAX('TRA-W'!A:A),"",INDEX('TRA-W'!H:H,MATCH(B2,'TRA-W'!A:A,0)))</f>
        <v>National Team</v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National Team</v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PECK, Rachel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BLOOM, Tristan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HARBO, Owen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ROBERTSON, Griffyn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REIMCHE, Wilson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KUZNAK, Sienna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SCHMIDT, Jordyn</v>
      </c>
      <c r="D24" s="17" t="str">
        <f>IF(B4&gt;MAX('DMT-W'!A:A),"",INDEX('DMT-W'!H:H,MATCH(B4,'DMT-W'!A:A,0)))</f>
        <v>Excellence</v>
      </c>
    </row>
    <row r="25" spans="1:5" hidden="1" x14ac:dyDescent="0.2">
      <c r="A25" s="8"/>
      <c r="B25" s="8">
        <v>4</v>
      </c>
      <c r="C25" s="8" t="str">
        <f>IF(B5&gt;MAX('DMT-W'!A:A),"",INDEX('DMT-W'!B:B,MATCH(B5,'DMT-W'!A:A,0)))</f>
        <v/>
      </c>
      <c r="D25" s="17" t="str">
        <f>IF(B5&gt;MAX('DMT-W'!A:A),"",INDEX('DMT-W'!H:H,MATCH(B5,'DMT-W'!A:A,0)))</f>
        <v/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45253</v>
      </c>
      <c r="C34" s="68"/>
    </row>
    <row r="35" spans="1:3" x14ac:dyDescent="0.2">
      <c r="B35" t="s">
        <v>110</v>
      </c>
    </row>
    <row r="36" spans="1:3" x14ac:dyDescent="0.2">
      <c r="B36" t="s">
        <v>112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4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90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107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83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93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92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 t="s">
        <v>108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66</v>
      </c>
      <c r="D4" s="4">
        <v>2007</v>
      </c>
      <c r="E4" s="10">
        <f>SUM(I4:Q4)</f>
        <v>246.34</v>
      </c>
      <c r="F4" s="3" t="str">
        <f>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P","")</f>
        <v>P</v>
      </c>
      <c r="G4" s="3" t="str">
        <f>IF(OR(AND(AT4&gt;=AW$15,AO4&lt;&gt;"",AN4=""),AND(BX4&gt;=CA$15,BS4&lt;&gt;"",BR4=""),AND(DB4&gt;=DE$15,CW4&lt;&gt;"",CV4=""),AND(EB4&gt;=EE$15,DY4&lt;&gt;""),AND(EX4&gt;=FA$15,EU4&lt;&gt;""),AND(FT4&gt;=FW$15,FQ4&lt;&gt;""),AND(GP4&gt;=GS$15,GM4&lt;&gt;""),AND(HL4&gt;=HO$15,HI4&lt;&gt;""),AND(IH4&gt;=IK$15,IE4&lt;&gt;""),AND(JD4&gt;=JG$15,JA4&lt;&gt;""),AND(JZ4&gt;=KC$15,JW4&lt;&gt;""),AND(KV4&gt;=KY$15,KS4&lt;&gt;""),AND(LR4&gt;=LU$15,LO4&lt;&gt;""),AND(MN4&gt;=MQ$15,MK4&lt;&gt;""),AND(NJ4&gt;=NM$15,NG4&lt;&gt;"")),"P","")</f>
        <v>P</v>
      </c>
      <c r="H4" s="47" t="str">
        <f>IF(OR(AND(AP4&gt;=AW$14,AQ4&gt;=AW$18,AP4&lt;&gt;"",AN4=""),AND(AU4&gt;=AW$14,AV4&gt;=AW$18,AU4&lt;&gt;"",AN4=""),AND(BT4&gt;=CA$14,BU4&gt;=CA$18,BT4&lt;&gt;"",BR4=""),AND(BY4&gt;=CA$14,BZ4&gt;=CA$18,BY4&lt;&gt;"",BR4=""),AND(CX4&gt;=DE$14,CY4&gt;=DE$18,CX4&lt;&gt;"",CV4=""),AND(DC4&gt;=DE$14,DD4&gt;=DE$18,DC4&lt;&gt;"",CV4=""),AND(DY4&gt;=EE$14,EA4&gt;=EE$18,DY4&lt;&gt;""),AND(EC4&gt;=EE$14,ED4&gt;=EE$18,EC4&lt;&gt;""),AND(EU4&gt;=FA$14,EW4&gt;=FA$18,EU4&lt;&gt;""),AND(EY4&gt;=FA$14,EZ4&gt;=FA$18,EY4&lt;&gt;""),AND(FQ4&gt;=FW$14,FS4&gt;=FW$18,FQ4&lt;&gt;""),AND(FU4&gt;=FW$14,FV4&gt;=FW$18,FU4&lt;&gt;""),AND(GM4&gt;=GS$14,GO4&gt;=GS$18,GM4&lt;&gt;""),AND(GQ4&gt;=GS$14,GR4&gt;=GS$18,GQ4&lt;&gt;""),AND(HI4&gt;=HO$14,HK4&gt;=HO$18,HI4&lt;&gt;""),AND(HM4&gt;=HO$14,HN4&gt;=HO$18,HM4&lt;&gt;""),AND(IE4&gt;=IK$14,IG4&gt;=IK$18,IE4&lt;&gt;""),AND(II4&gt;=IK$14,IJ4&gt;=IK$18,II4&lt;&gt;""),AND(JA4&gt;=JG$14,JC4&gt;=JG$18,JA4&lt;&gt;""),AND(JE4&gt;=JG$14,JF4&gt;=JG$18,JE4&lt;&gt;""),AND(JW4&gt;=KC$14,JY4&gt;=KC$18,JW4&lt;&gt;""),AND(KA4&gt;=KC$14,KB4&gt;=KC$18,KA4&lt;&gt;""),AND(KS4&gt;=KY$14,KU4&gt;=KY$18,KS4&lt;&gt;""),AND(KW4&gt;=KY$14,KX4&gt;=KY$18,KW4&lt;&gt;""),AND(LO4&gt;=LU$14,LQ4&gt;=LU$18,LO4&lt;&gt;""),AND(LS4&gt;=LU$14,LT4&gt;=LU$18,LS4&lt;&gt;""),AND(MK4&gt;=MQ$14,MM4&gt;=MQ$18,MK4&lt;&gt;""),AND(MO4&gt;=MQ$14,MP4&gt;=MQ$18,MO4&lt;&gt;""),AND(NG4&gt;=NM$14,NI4&gt;=NM$18,NG4&lt;&gt;""),AND(NK4&gt;=NM$14,NL4&gt;=NM$18,NK4&lt;&gt;"")),"Merit",IF(OR(AND(AP4&gt;=AW$13,AT4&gt;=AW$17,AO4&lt;&gt;"",AN4=""),AND(BT4&gt;=CA$13,BX4&gt;=CA$17,BS4&lt;&gt;"",BR4=""),AND(CX4&gt;=DE$13,DB4&gt;=DE$17,CW4&lt;&gt;"",CV4=""),AND(DY4&gt;=EE$13,EB4&gt;=EE$17,DY4&lt;&gt;""),AND(EU4&gt;=FA$13,EX4&gt;=FA$17,EU4&lt;&gt;""),AND(FQ4&gt;=FW$13,FT4&gt;=FW$17,FQ4&lt;&gt;""),AND(GM4&gt;=GS$13,GP4&gt;=GS$17,GM4&lt;&gt;""),AND(HI4&gt;=HO$13,HL4&gt;=HO$17,HI4&lt;&gt;""),AND(IE4&gt;=IK$13,IH4&gt;=IK$17,IE4&lt;&gt;""),AND(JA4&gt;=JG$13,JD4&gt;=JG$17,JA4&lt;&gt;""),AND(JW4&gt;=KC$13,JZ4&gt;=KC$17,JW4&lt;&gt;""),AND(KS4&gt;=KY$13,KV4&gt;=KY$17,KS4&lt;&gt;""),AND(LO4&gt;=LU$13,LR4&gt;=LU$17,LO4&lt;&gt;""),AND(MK4&gt;=MQ$13,MN4&gt;=MQ$17,MK4&lt;&gt;""),AND(NG4&gt;=NM$13,NJ4&gt;=NM$17,NG4&lt;&gt;"")),"Excellence",IF(OR(AND(AP4&gt;=AW$11,AT4&gt;=AW$15,AO4&lt;&gt;"",AN4=""),AND(BT4&gt;=CA$11,BX4&gt;=CA$15,BS4&lt;&gt;"",BR4=""),AND(CX4&gt;=DE$11,DB4&gt;=DE$15,CW4&lt;&gt;"",CV4=""),AND(DY4&gt;=EE$11,EB4&gt;=EE$15,DY4&lt;&gt;""),AND(EU4&gt;=FA$11,EX4&gt;=FA$15,EU4&lt;&gt;""),AND(FQ4&gt;=FW$11,FT4&gt;=FW$15,FQ4&lt;&gt;""),AND(GM4&gt;=GS$11,GP4&gt;=GS$15,GM4&lt;&gt;""),AND(HI4&gt;=HO$11,HL4&gt;=HO$15,HI4&lt;&gt;""),AND(IE4&gt;=IK$11,IH4&gt;=IK$15,IE4&lt;&gt;""),AND(JA4&gt;=JG$11,JD4&gt;=JG$15,JA4&lt;&gt;""),AND(JW4&gt;=KC$11,JZ4&gt;=KC$15,JW4&lt;&gt;""),AND(KS4&gt;=KY$11,KV4&gt;=KY$15,KS4&lt;&gt;""),AND(LO4&gt;=LU$11,LR4&gt;=LU$15,LO4&lt;&gt;""),AND(MK4&gt;=MQ$11,MN4&gt;=MQ$15,MK4&lt;&gt;""),AND(NG4&gt;=NM$11,NJ4&gt;=NM$15,NG4&lt;&gt;"")),"National Team",IF(G4="P","No DD",""))))</f>
        <v>National Team</v>
      </c>
      <c r="I4" s="9">
        <f>IF(MAX(AT4,BX4,DB4)&gt;0,MAX(AT4,BX4,DB4),0)</f>
        <v>97.089999999999989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42.54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52.78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53.93</v>
      </c>
      <c r="P4" s="9" t="str">
        <f>IF(O4=0,"",IF(O4=DD4,$CB$1,IF(O4=BZ4,$AX$1,IF(O4=AV4,$T$1,""))))</f>
        <v>2023 3rd Domestic Trial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17</v>
      </c>
      <c r="U4" s="27">
        <v>9.1</v>
      </c>
      <c r="V4" s="27">
        <v>0</v>
      </c>
      <c r="W4" s="27">
        <v>15.25</v>
      </c>
      <c r="X4" s="27">
        <v>0</v>
      </c>
      <c r="Y4" s="27">
        <v>15.6</v>
      </c>
      <c r="Z4" s="27">
        <v>9.5</v>
      </c>
      <c r="AA4" s="27">
        <v>7.9</v>
      </c>
      <c r="AB4" s="27">
        <v>14.59</v>
      </c>
      <c r="AC4" s="27">
        <v>3.3</v>
      </c>
      <c r="AD4" s="27"/>
      <c r="AE4" s="27"/>
      <c r="AF4" s="27"/>
      <c r="AG4" s="27"/>
      <c r="AH4" s="27"/>
      <c r="AI4" s="27">
        <v>16</v>
      </c>
      <c r="AJ4" s="27">
        <v>9.3000000000000007</v>
      </c>
      <c r="AK4" s="27">
        <v>11.6</v>
      </c>
      <c r="AL4" s="27">
        <v>14.67</v>
      </c>
      <c r="AM4" s="27">
        <v>0</v>
      </c>
      <c r="AN4" s="32"/>
      <c r="AO4" s="7">
        <f>IF(SUM(T4:W4)-X4&gt;0,SUM(T4:W4)-X4,"")</f>
        <v>41.35</v>
      </c>
      <c r="AP4" s="7">
        <f>IF(AA4&gt;0,AA4,"")</f>
        <v>7.9</v>
      </c>
      <c r="AQ4" s="7">
        <f>IF(SUM(Y4:AB4)-AC4&gt;0,SUM(Y4:AB4)-AC4,"")</f>
        <v>44.290000000000006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85.640000000000015</v>
      </c>
      <c r="AU4" s="7">
        <f>IF(AK4&gt;0,AK4,"")</f>
        <v>11.6</v>
      </c>
      <c r="AV4" s="7">
        <f>IF(SUM(AI4:AL4)-AM4&gt;0,SUM(AI4:AL4)-AM4,"")</f>
        <v>51.57</v>
      </c>
      <c r="AW4" s="7">
        <f>IF(SUM(AT4,AV4)&gt;0,SUM(AT4,AV4),"")</f>
        <v>137.21</v>
      </c>
      <c r="AX4" s="23">
        <v>17.100000000000001</v>
      </c>
      <c r="AY4" s="23">
        <v>9.6999999999999993</v>
      </c>
      <c r="AZ4" s="23">
        <v>0</v>
      </c>
      <c r="BA4" s="23">
        <v>15.74</v>
      </c>
      <c r="BB4" s="23">
        <v>0</v>
      </c>
      <c r="BC4" s="23">
        <v>15.9</v>
      </c>
      <c r="BD4" s="23">
        <v>9.1999999999999993</v>
      </c>
      <c r="BE4" s="23">
        <v>12.7</v>
      </c>
      <c r="BF4" s="23">
        <v>14.98</v>
      </c>
      <c r="BG4" s="23">
        <v>0</v>
      </c>
      <c r="BH4" s="23"/>
      <c r="BI4" s="23"/>
      <c r="BJ4" s="23"/>
      <c r="BK4" s="23"/>
      <c r="BL4" s="23"/>
      <c r="BM4" s="23">
        <v>14</v>
      </c>
      <c r="BN4" s="23">
        <v>8.9</v>
      </c>
      <c r="BO4" s="23">
        <v>12.6</v>
      </c>
      <c r="BP4" s="23">
        <v>14.63</v>
      </c>
      <c r="BQ4" s="23">
        <v>0</v>
      </c>
      <c r="BR4" s="33"/>
      <c r="BS4" s="9">
        <f>IF(SUM(AX4:BA4)-BB4&gt;0,SUM(AX4:BA4)-BB4,"")</f>
        <v>42.54</v>
      </c>
      <c r="BT4" s="9">
        <f>IF(BE4&gt;0,BE4,"")</f>
        <v>12.7</v>
      </c>
      <c r="BU4" s="9">
        <f>IF(SUM(BC4:BF4)-BG4&gt;0,SUM(BC4:BF4)-BG4,"")</f>
        <v>52.78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95.32</v>
      </c>
      <c r="BY4" s="9">
        <f>IF(BO4&gt;0,BO4,"")</f>
        <v>12.6</v>
      </c>
      <c r="BZ4" s="9">
        <f>IF(SUM(BM4:BP4)-BQ4&gt;0,SUM(BM4:BP4)-BQ4,"")</f>
        <v>50.13</v>
      </c>
      <c r="CA4" s="9">
        <f>IF(SUM(BX4,BZ4)&gt;0,SUM(BX4,BZ4),"")</f>
        <v>145.44999999999999</v>
      </c>
      <c r="CB4" s="27">
        <v>17.7</v>
      </c>
      <c r="CC4" s="27">
        <v>9.5</v>
      </c>
      <c r="CD4" s="27">
        <v>0</v>
      </c>
      <c r="CE4" s="27">
        <v>16.13</v>
      </c>
      <c r="CF4" s="27">
        <v>0</v>
      </c>
      <c r="CG4" s="27">
        <v>15.4</v>
      </c>
      <c r="CH4" s="27">
        <v>9</v>
      </c>
      <c r="CI4" s="27">
        <v>13.7</v>
      </c>
      <c r="CJ4" s="27">
        <v>15.66</v>
      </c>
      <c r="CK4" s="27">
        <v>0</v>
      </c>
      <c r="CL4" s="27"/>
      <c r="CM4" s="27"/>
      <c r="CN4" s="27"/>
      <c r="CO4" s="27"/>
      <c r="CP4" s="27"/>
      <c r="CQ4" s="27">
        <v>14.4</v>
      </c>
      <c r="CR4" s="27">
        <v>9.1</v>
      </c>
      <c r="CS4" s="27">
        <v>15.000000000000002</v>
      </c>
      <c r="CT4" s="27">
        <v>15.43</v>
      </c>
      <c r="CU4" s="27">
        <v>0</v>
      </c>
      <c r="CV4" s="32"/>
      <c r="CW4" s="7">
        <f>IF(SUM(CB4:CE4)-CF4&gt;0,SUM(CB4:CE4)-CF4,"")</f>
        <v>43.33</v>
      </c>
      <c r="CX4" s="7">
        <f>IF(CI4&gt;0,CI4,"")</f>
        <v>13.7</v>
      </c>
      <c r="CY4" s="7">
        <f>IF(SUM(CG4:CJ4)-CK4&gt;0,SUM(CG4:CJ4)-CK4,"")</f>
        <v>53.759999999999991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97.089999999999989</v>
      </c>
      <c r="DC4" s="7">
        <f>IF(CS4&gt;0,CS4,"")</f>
        <v>15.000000000000002</v>
      </c>
      <c r="DD4" s="7">
        <f>IF(SUM(CQ4:CT4)-CU4&gt;0,SUM(CQ4:CT4)-CU4,"")</f>
        <v>53.93</v>
      </c>
      <c r="DE4" s="7">
        <f>IF(SUM(DB4,DD4)&gt;0,SUM(DB4,DD4),"")</f>
        <v>151.01999999999998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>
        <v>15.4</v>
      </c>
      <c r="EG4" s="19">
        <v>9.6999999999999993</v>
      </c>
      <c r="EH4" s="19">
        <v>0</v>
      </c>
      <c r="EI4" s="19">
        <v>15.38</v>
      </c>
      <c r="EJ4" s="19">
        <v>0</v>
      </c>
      <c r="EK4" s="19">
        <v>14.5</v>
      </c>
      <c r="EL4" s="19">
        <v>9.1999999999999993</v>
      </c>
      <c r="EM4" s="19">
        <v>12.5</v>
      </c>
      <c r="EN4" s="19">
        <v>14.97</v>
      </c>
      <c r="EO4" s="19">
        <v>0</v>
      </c>
      <c r="EP4" s="19">
        <v>14.4</v>
      </c>
      <c r="EQ4" s="19">
        <v>9.4</v>
      </c>
      <c r="ER4" s="19">
        <v>12.5</v>
      </c>
      <c r="ES4" s="19">
        <v>14.46</v>
      </c>
      <c r="ET4" s="19">
        <v>0</v>
      </c>
      <c r="EU4" s="9">
        <f>IF(EM4&gt;0,EM4,"")</f>
        <v>12.5</v>
      </c>
      <c r="EV4" s="9">
        <f>IF(SUM(EF4:EI4)-EJ4&gt;0,SUM(EF4:EI4)-EJ4,"")</f>
        <v>40.480000000000004</v>
      </c>
      <c r="EW4" s="9">
        <f>IF(SUM(EK4:EN4)-EO4&gt;0,SUM(EK4:EN4)-EO4,"")</f>
        <v>51.17</v>
      </c>
      <c r="EX4" s="9">
        <f>IF(SUM(EV4:EW4)&gt;0,SUM(EV4:EW4),"")</f>
        <v>91.65</v>
      </c>
      <c r="EY4" s="9">
        <f>IF(ER4&gt;0,ER4,"")</f>
        <v>12.5</v>
      </c>
      <c r="EZ4" s="9">
        <f>IF(SUM(EP4:ES4)-ET4&gt;0,SUM(EP4:ES4)-ET4,"")</f>
        <v>50.76</v>
      </c>
      <c r="FA4" s="9">
        <f>IF(SUM(EX4,EZ4)&gt;0,SUM(EX4,EZ4),"")</f>
        <v>142.41</v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>
        <v>14.8</v>
      </c>
      <c r="FM4" s="18">
        <v>9.1999999999999993</v>
      </c>
      <c r="FN4" s="18">
        <v>11.6</v>
      </c>
      <c r="FO4" s="18">
        <v>14.93</v>
      </c>
      <c r="FP4" s="18">
        <v>0</v>
      </c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>
        <f>IF(FN4&gt;0,FN4,"")</f>
        <v>11.6</v>
      </c>
      <c r="FV4" s="7">
        <f>IF(SUM(FL4:FO4)-FP4&gt;0,SUM(FL4:FO4)-FP4,"")</f>
        <v>50.53</v>
      </c>
      <c r="FW4" s="7">
        <f>IF(SUM(FT4,FV4)&gt;0,SUM(FT4,FV4),"")</f>
        <v>50.53</v>
      </c>
      <c r="FX4" s="19">
        <v>16.899999999999999</v>
      </c>
      <c r="FY4" s="19">
        <v>9.4</v>
      </c>
      <c r="FZ4" s="19">
        <v>0</v>
      </c>
      <c r="GA4" s="19">
        <v>16.170000000000002</v>
      </c>
      <c r="GB4" s="19">
        <v>0</v>
      </c>
      <c r="GC4" s="19">
        <v>6</v>
      </c>
      <c r="GD4" s="19">
        <v>3.8</v>
      </c>
      <c r="GE4" s="19">
        <v>5.2</v>
      </c>
      <c r="GF4" s="19">
        <v>6.4</v>
      </c>
      <c r="GG4" s="19">
        <v>0</v>
      </c>
      <c r="GH4" s="19"/>
      <c r="GI4" s="19"/>
      <c r="GJ4" s="19"/>
      <c r="GK4" s="19"/>
      <c r="GL4" s="19"/>
      <c r="GM4" s="9">
        <f>IF(GE4&gt;0,GE4,"")</f>
        <v>5.2</v>
      </c>
      <c r="GN4" s="9">
        <f>IF(SUM(FX4:GA4)-GB4&gt;0,SUM(FX4:GA4)-GB4,"")</f>
        <v>42.47</v>
      </c>
      <c r="GO4" s="9">
        <f>IF(SUM(GC4:GF4)-GG4&gt;0,SUM(GC4:GF4)-GG4,"")</f>
        <v>21.4</v>
      </c>
      <c r="GP4" s="9">
        <f>IF(SUM(GN4:GO4)&gt;0,SUM(GN4:GO4),"")</f>
        <v>63.87</v>
      </c>
      <c r="GQ4" s="9" t="str">
        <f>IF(GJ4&gt;0,GJ4,"")</f>
        <v/>
      </c>
      <c r="GR4" s="9" t="str">
        <f>IF(SUM(GH4:GK4)-GL4&gt;0,SUM(GH4:GK4)-GL4,"")</f>
        <v/>
      </c>
      <c r="GS4" s="9">
        <f>IF(SUM(GP4,GR4)&gt;0,SUM(GP4,GR4),"")</f>
        <v>63.87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17.399999999999999</v>
      </c>
      <c r="NO4" s="27">
        <f>IF($CV4="P",CC4,(CC4+AY4)/2)</f>
        <v>9.6</v>
      </c>
      <c r="NP4" s="27">
        <f>IF($CV4="P",CD4,(CD4+AZ4)/2)</f>
        <v>0</v>
      </c>
      <c r="NQ4" s="27">
        <f>IF($CV4="P",CE4,(CE4+BA4)/2)</f>
        <v>15.934999999999999</v>
      </c>
      <c r="NR4" s="27">
        <f>IF($CV4="P",CF4,(CF4+BB4)/2)</f>
        <v>0</v>
      </c>
      <c r="NS4" s="27">
        <f>IF($CV4="P",CG4,(CG4+BC4)/2)</f>
        <v>15.65</v>
      </c>
      <c r="NT4" s="27">
        <f>IF($CV4="P",CH4,(CH4+BD4)/2)</f>
        <v>9.1</v>
      </c>
      <c r="NU4" s="27">
        <f>IF($CV4="P",CI4,(CI4+BE4)/2)</f>
        <v>13.2</v>
      </c>
      <c r="NV4" s="27">
        <f>IF($CV4="P",CJ4,(CJ4+BF4)/2)</f>
        <v>15.32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14.2</v>
      </c>
      <c r="OD4" s="27">
        <f>IF($CV4="P",CR4,(CR4+BN4)/2)</f>
        <v>9</v>
      </c>
      <c r="OE4" s="27">
        <f>IF($CV4="P",CS4,(CS4+BO4)/2)</f>
        <v>13.8</v>
      </c>
      <c r="OF4" s="27">
        <f>IF($CV4="P",CT4,(CT4+BP4)/2)</f>
        <v>15.030000000000001</v>
      </c>
      <c r="OG4" s="27">
        <f>IF($CV4="P",CU4,(CU4+BQ4)/2)</f>
        <v>0</v>
      </c>
      <c r="OH4" s="32" t="s">
        <v>44</v>
      </c>
      <c r="OI4" s="7">
        <f>IF(SUM(NN4:NQ4)-NR4&gt;0,SUM(NN4:NQ4)-NR4,"")</f>
        <v>42.935000000000002</v>
      </c>
      <c r="OJ4" s="7">
        <f>IF(NU4&gt;0,NU4,"")</f>
        <v>13.2</v>
      </c>
      <c r="OK4" s="7">
        <f>IF(SUM(NS4:NV4)-NW4&gt;0,SUM(NS4:NV4)-NW4,"")</f>
        <v>53.27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96.205000000000013</v>
      </c>
      <c r="OO4" s="7">
        <f>IF(OE4&gt;0,OE4,"")</f>
        <v>13.8</v>
      </c>
      <c r="OP4" s="7">
        <f t="shared" ref="OP4" si="0">IF(SUM(OC4:OF4)-OG4&gt;0,SUM(OC4:OF4)-OG4,"")</f>
        <v>52.03</v>
      </c>
      <c r="OQ4" s="7">
        <f t="shared" ref="OQ4" si="1">IF(SUM(ON4,OP4)&gt;0,SUM(ON4,OP4),"")</f>
        <v>148.23500000000001</v>
      </c>
    </row>
    <row r="5" spans="1:407" x14ac:dyDescent="0.2">
      <c r="A5" s="4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>2</v>
      </c>
      <c r="B5" s="5" t="s">
        <v>95</v>
      </c>
      <c r="C5" s="4" t="s">
        <v>3</v>
      </c>
      <c r="D5" s="4">
        <v>2008</v>
      </c>
      <c r="E5" s="10">
        <f>SUM(I5:Q5)</f>
        <v>243.23000000000002</v>
      </c>
      <c r="F5" s="3" t="str">
        <f>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P","")</f>
        <v/>
      </c>
      <c r="G5" s="3" t="str">
        <f>IF(OR(AND(AT5&gt;=AW$15,AO5&lt;&gt;"",AN5=""),AND(BX5&gt;=CA$15,BS5&lt;&gt;"",BR5=""),AND(DB5&gt;=DE$15,CW5&lt;&gt;"",CV5=""),AND(EB5&gt;=EE$15,DY5&lt;&gt;""),AND(EX5&gt;=FA$15,EU5&lt;&gt;""),AND(FT5&gt;=FW$15,FQ5&lt;&gt;""),AND(GP5&gt;=GS$15,GM5&lt;&gt;""),AND(HL5&gt;=HO$15,HI5&lt;&gt;""),AND(IH5&gt;=IK$15,IE5&lt;&gt;""),AND(JD5&gt;=JG$15,JA5&lt;&gt;""),AND(JZ5&gt;=KC$15,JW5&lt;&gt;""),AND(KV5&gt;=KY$15,KS5&lt;&gt;""),AND(LR5&gt;=LU$15,LO5&lt;&gt;""),AND(MN5&gt;=MQ$15,MK5&lt;&gt;""),AND(NJ5&gt;=NM$15,NG5&lt;&gt;"")),"P","")</f>
        <v>P</v>
      </c>
      <c r="H5" s="47" t="str">
        <f>IF(OR(AND(AP5&gt;=AW$14,AQ5&gt;=AW$18,AP5&lt;&gt;"",AN5=""),AND(AU5&gt;=AW$14,AV5&gt;=AW$18,AU5&lt;&gt;"",AN5=""),AND(BT5&gt;=CA$14,BU5&gt;=CA$18,BT5&lt;&gt;"",BR5=""),AND(BY5&gt;=CA$14,BZ5&gt;=CA$18,BY5&lt;&gt;"",BR5=""),AND(CX5&gt;=DE$14,CY5&gt;=DE$18,CX5&lt;&gt;"",CV5=""),AND(DC5&gt;=DE$14,DD5&gt;=DE$18,DC5&lt;&gt;"",CV5=""),AND(DY5&gt;=EE$14,EA5&gt;=EE$18,DY5&lt;&gt;""),AND(EC5&gt;=EE$14,ED5&gt;=EE$18,EC5&lt;&gt;""),AND(EU5&gt;=FA$14,EW5&gt;=FA$18,EU5&lt;&gt;""),AND(EY5&gt;=FA$14,EZ5&gt;=FA$18,EY5&lt;&gt;""),AND(FQ5&gt;=FW$14,FS5&gt;=FW$18,FQ5&lt;&gt;""),AND(FU5&gt;=FW$14,FV5&gt;=FW$18,FU5&lt;&gt;""),AND(GM5&gt;=GS$14,GO5&gt;=GS$18,GM5&lt;&gt;""),AND(GQ5&gt;=GS$14,GR5&gt;=GS$18,GQ5&lt;&gt;""),AND(HI5&gt;=HO$14,HK5&gt;=HO$18,HI5&lt;&gt;""),AND(HM5&gt;=HO$14,HN5&gt;=HO$18,HM5&lt;&gt;""),AND(IE5&gt;=IK$14,IG5&gt;=IK$18,IE5&lt;&gt;""),AND(II5&gt;=IK$14,IJ5&gt;=IK$18,II5&lt;&gt;""),AND(JA5&gt;=JG$14,JC5&gt;=JG$18,JA5&lt;&gt;""),AND(JE5&gt;=JG$14,JF5&gt;=JG$18,JE5&lt;&gt;""),AND(JW5&gt;=KC$14,JY5&gt;=KC$18,JW5&lt;&gt;""),AND(KA5&gt;=KC$14,KB5&gt;=KC$18,KA5&lt;&gt;""),AND(KS5&gt;=KY$14,KU5&gt;=KY$18,KS5&lt;&gt;""),AND(KW5&gt;=KY$14,KX5&gt;=KY$18,KW5&lt;&gt;""),AND(LO5&gt;=LU$14,LQ5&gt;=LU$18,LO5&lt;&gt;""),AND(LS5&gt;=LU$14,LT5&gt;=LU$18,LS5&lt;&gt;""),AND(MK5&gt;=MQ$14,MM5&gt;=MQ$18,MK5&lt;&gt;""),AND(MO5&gt;=MQ$14,MP5&gt;=MQ$18,MO5&lt;&gt;""),AND(NG5&gt;=NM$14,NI5&gt;=NM$18,NG5&lt;&gt;""),AND(NK5&gt;=NM$14,NL5&gt;=NM$18,NK5&lt;&gt;"")),"Merit",IF(OR(AND(AP5&gt;=AW$13,AT5&gt;=AW$17,AO5&lt;&gt;"",AN5=""),AND(BT5&gt;=CA$13,BX5&gt;=CA$17,BS5&lt;&gt;"",BR5=""),AND(CX5&gt;=DE$13,DB5&gt;=DE$17,CW5&lt;&gt;"",CV5=""),AND(DY5&gt;=EE$13,EB5&gt;=EE$17,DY5&lt;&gt;""),AND(EU5&gt;=FA$13,EX5&gt;=FA$17,EU5&lt;&gt;""),AND(FQ5&gt;=FW$13,FT5&gt;=FW$17,FQ5&lt;&gt;""),AND(GM5&gt;=GS$13,GP5&gt;=GS$17,GM5&lt;&gt;""),AND(HI5&gt;=HO$13,HL5&gt;=HO$17,HI5&lt;&gt;""),AND(IE5&gt;=IK$13,IH5&gt;=IK$17,IE5&lt;&gt;""),AND(JA5&gt;=JG$13,JD5&gt;=JG$17,JA5&lt;&gt;""),AND(JW5&gt;=KC$13,JZ5&gt;=KC$17,JW5&lt;&gt;""),AND(KS5&gt;=KY$13,KV5&gt;=KY$17,KS5&lt;&gt;""),AND(LO5&gt;=LU$13,LR5&gt;=LU$17,LO5&lt;&gt;""),AND(MK5&gt;=MQ$13,MN5&gt;=MQ$17,MK5&lt;&gt;""),AND(NG5&gt;=NM$13,NJ5&gt;=NM$17,NG5&lt;&gt;"")),"Excellence",IF(OR(AND(AP5&gt;=AW$11,AT5&gt;=AW$15,AO5&lt;&gt;"",AN5=""),AND(BT5&gt;=CA$11,BX5&gt;=CA$15,BS5&lt;&gt;"",BR5=""),AND(CX5&gt;=DE$11,DB5&gt;=DE$15,CW5&lt;&gt;"",CV5=""),AND(DY5&gt;=EE$11,EB5&gt;=EE$15,DY5&lt;&gt;""),AND(EU5&gt;=FA$11,EX5&gt;=FA$15,EU5&lt;&gt;""),AND(FQ5&gt;=FW$11,FT5&gt;=FW$15,FQ5&lt;&gt;""),AND(GM5&gt;=GS$11,GP5&gt;=GS$15,GM5&lt;&gt;""),AND(HI5&gt;=HO$11,HL5&gt;=HO$15,HI5&lt;&gt;""),AND(IE5&gt;=IK$11,IH5&gt;=IK$15,IE5&lt;&gt;""),AND(JA5&gt;=JG$11,JD5&gt;=JG$15,JA5&lt;&gt;""),AND(JW5&gt;=KC$11,JZ5&gt;=KC$15,JW5&lt;&gt;""),AND(KS5&gt;=KY$11,KV5&gt;=KY$15,KS5&lt;&gt;""),AND(LO5&gt;=LU$11,LR5&gt;=LU$15,LO5&lt;&gt;""),AND(MK5&gt;=MQ$11,MN5&gt;=MQ$15,MK5&lt;&gt;""),AND(NG5&gt;=NM$11,NJ5&gt;=NM$15,NG5&lt;&gt;"")),"National Team",IF(G5="P","No DD",""))))</f>
        <v>No DD</v>
      </c>
      <c r="I5" s="9">
        <f>IF(MAX(AT5,BX5,DB5)&gt;0,MAX(AT5,BX5,DB5),0)</f>
        <v>96.04</v>
      </c>
      <c r="J5" s="9" t="str">
        <f>IF(I5=0,"",IF(I5=DB5,$CB$1,IF(I5=BX5,$AX$1,IF(I5=AT5,$T$1,""))))</f>
        <v>2023 3rd Domestic Trial</v>
      </c>
      <c r="K5" s="9">
        <f>IF($I5=$AT5,MAX(BS5,CW5),IF($I5=$BX5,MAX(AO5,CW5),IF($I5=$DB5,MAX(AO5,BS5),MAX(AO5,BS5,CW5))))</f>
        <v>43.57</v>
      </c>
      <c r="L5" s="9" t="str">
        <f>IF(K5=0,"",IF(AND(K5=CW5,$J5&lt;&gt;$CB$1),$CB$1,IF(AND(K5=BS5,$J5&lt;&gt;$AX$1),$AX$1,IF(AND(K5=AO5,$J5&lt;&gt;$T$1),$T$1,""))))</f>
        <v>2023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51.54</v>
      </c>
      <c r="N5" s="9" t="str">
        <f>IF(M5=0,"",IF(AND(OR(M5=DA5,M5=CY5),$J5&lt;&gt;$CB$1),$CB$1,IF(AND(OR(M5=BW5,M5=BU5),$J5&lt;&gt;$AX$1),$AX$1,IF(AND(OR(M5=AS5,M5=AQ5),$J5&lt;&gt;$T$1),$T$1,""))))</f>
        <v>2023 Nationals</v>
      </c>
      <c r="O5" s="9">
        <f>MAX(AV5,BZ5,DD5)</f>
        <v>52.08</v>
      </c>
      <c r="P5" s="9" t="str">
        <f>IF(O5=0,"",IF(O5=DD5,$CB$1,IF(O5=BZ5,$AX$1,IF(O5=AV5,$T$1,""))))</f>
        <v>2023 3rd Domestic Trial</v>
      </c>
      <c r="Q5" s="9" t="str">
        <f>IF(MAX(DF5,DG5,DH5,DI5)&gt;0,MAX(DF5,DG5,DH5,DI5),"")</f>
        <v/>
      </c>
      <c r="R5" s="14" t="str">
        <f>IF(Q5="","",IF(Q5=DF5,"(Vol 1)",IF(Q5=DG5,"(Vol 2)",IF(Q5=DH5,"(Prelim)",IF(Q5=DI5,"(Final)")))))</f>
        <v/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/>
      </c>
      <c r="T5" s="27">
        <v>17.8</v>
      </c>
      <c r="U5" s="27">
        <v>9.6999999999999993</v>
      </c>
      <c r="V5" s="27">
        <v>0</v>
      </c>
      <c r="W5" s="27">
        <v>14.94</v>
      </c>
      <c r="X5" s="27">
        <v>0</v>
      </c>
      <c r="Y5" s="27">
        <v>15.7</v>
      </c>
      <c r="Z5" s="27">
        <v>9.1</v>
      </c>
      <c r="AA5" s="27">
        <v>10.3</v>
      </c>
      <c r="AB5" s="27">
        <v>14.07</v>
      </c>
      <c r="AC5" s="27">
        <v>0</v>
      </c>
      <c r="AD5" s="27"/>
      <c r="AE5" s="27"/>
      <c r="AF5" s="27"/>
      <c r="AG5" s="27"/>
      <c r="AH5" s="27"/>
      <c r="AI5" s="27">
        <v>17.5</v>
      </c>
      <c r="AJ5" s="27">
        <v>7.7</v>
      </c>
      <c r="AK5" s="27">
        <v>8.1</v>
      </c>
      <c r="AL5" s="27">
        <v>11.67</v>
      </c>
      <c r="AM5" s="27">
        <v>0</v>
      </c>
      <c r="AN5" s="32"/>
      <c r="AO5" s="7">
        <f>IF(SUM(T5:W5)-X5&gt;0,SUM(T5:W5)-X5,"")</f>
        <v>42.44</v>
      </c>
      <c r="AP5" s="7">
        <f>IF(AA5&gt;0,AA5,"")</f>
        <v>10.3</v>
      </c>
      <c r="AQ5" s="7">
        <f>IF(SUM(Y5:AB5)-AC5&gt;0,SUM(Y5:AB5)-AC5,"")</f>
        <v>49.169999999999995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91.609999999999985</v>
      </c>
      <c r="AU5" s="7">
        <f>IF(AK5&gt;0,AK5,"")</f>
        <v>8.1</v>
      </c>
      <c r="AV5" s="7">
        <f>IF(SUM(AI5:AL5)-AM5&gt;0,SUM(AI5:AL5)-AM5,"")</f>
        <v>44.97</v>
      </c>
      <c r="AW5" s="7">
        <f>IF(SUM(AT5,AV5)&gt;0,SUM(AT5,AV5),"")</f>
        <v>136.57999999999998</v>
      </c>
      <c r="AX5" s="23">
        <v>18.5</v>
      </c>
      <c r="AY5" s="23">
        <v>9.6999999999999993</v>
      </c>
      <c r="AZ5" s="23">
        <v>0</v>
      </c>
      <c r="BA5" s="23">
        <v>15.37</v>
      </c>
      <c r="BB5" s="23">
        <v>0</v>
      </c>
      <c r="BC5" s="23">
        <v>16</v>
      </c>
      <c r="BD5" s="23">
        <v>9.1999999999999993</v>
      </c>
      <c r="BE5" s="23">
        <v>12.1</v>
      </c>
      <c r="BF5" s="23">
        <v>14.24</v>
      </c>
      <c r="BG5" s="23">
        <v>0</v>
      </c>
      <c r="BH5" s="23"/>
      <c r="BI5" s="23"/>
      <c r="BJ5" s="23"/>
      <c r="BK5" s="23"/>
      <c r="BL5" s="23"/>
      <c r="BM5" s="23">
        <v>13.6</v>
      </c>
      <c r="BN5" s="23">
        <v>7.5</v>
      </c>
      <c r="BO5" s="23">
        <v>9.6</v>
      </c>
      <c r="BP5" s="23">
        <v>11.46</v>
      </c>
      <c r="BQ5" s="23">
        <v>0</v>
      </c>
      <c r="BR5" s="33"/>
      <c r="BS5" s="9">
        <f>IF(SUM(AX5:BA5)-BB5&gt;0,SUM(AX5:BA5)-BB5,"")</f>
        <v>43.57</v>
      </c>
      <c r="BT5" s="9">
        <f>IF(BE5&gt;0,BE5,"")</f>
        <v>12.1</v>
      </c>
      <c r="BU5" s="9">
        <f>IF(SUM(BC5:BF5)-BG5&gt;0,SUM(BC5:BF5)-BG5,"")</f>
        <v>51.54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95.11</v>
      </c>
      <c r="BY5" s="9">
        <f>IF(BO5&gt;0,BO5,"")</f>
        <v>9.6</v>
      </c>
      <c r="BZ5" s="9">
        <f>IF(SUM(BM5:BP5)-BQ5&gt;0,SUM(BM5:BP5)-BQ5,"")</f>
        <v>42.160000000000004</v>
      </c>
      <c r="CA5" s="9">
        <f>IF(SUM(BX5,BZ5)&gt;0,SUM(BX5,BZ5),"")</f>
        <v>137.27000000000001</v>
      </c>
      <c r="CB5" s="27">
        <v>18.399999999999999</v>
      </c>
      <c r="CC5" s="27">
        <v>9.6</v>
      </c>
      <c r="CD5" s="27">
        <v>0</v>
      </c>
      <c r="CE5" s="27">
        <v>16.12</v>
      </c>
      <c r="CF5" s="27">
        <v>0</v>
      </c>
      <c r="CG5" s="27">
        <v>14.9</v>
      </c>
      <c r="CH5" s="27">
        <v>9.5</v>
      </c>
      <c r="CI5" s="27">
        <v>12.3</v>
      </c>
      <c r="CJ5" s="27">
        <v>15.22</v>
      </c>
      <c r="CK5" s="27">
        <v>0</v>
      </c>
      <c r="CL5" s="27"/>
      <c r="CM5" s="27"/>
      <c r="CN5" s="27"/>
      <c r="CO5" s="27"/>
      <c r="CP5" s="27"/>
      <c r="CQ5" s="27">
        <v>15.6</v>
      </c>
      <c r="CR5" s="27">
        <v>9.4</v>
      </c>
      <c r="CS5" s="27">
        <v>11.9</v>
      </c>
      <c r="CT5" s="27">
        <v>15.18</v>
      </c>
      <c r="CU5" s="27">
        <v>0</v>
      </c>
      <c r="CV5" s="32"/>
      <c r="CW5" s="7">
        <f>IF(SUM(CB5:CE5)-CF5&gt;0,SUM(CB5:CE5)-CF5,"")</f>
        <v>44.120000000000005</v>
      </c>
      <c r="CX5" s="7">
        <f>IF(CI5&gt;0,CI5,"")</f>
        <v>12.3</v>
      </c>
      <c r="CY5" s="7">
        <f>IF(SUM(CG5:CJ5)-CK5&gt;0,SUM(CG5:CJ5)-CK5,"")</f>
        <v>51.92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96.04</v>
      </c>
      <c r="DC5" s="7">
        <f>IF(CS5&gt;0,CS5,"")</f>
        <v>11.9</v>
      </c>
      <c r="DD5" s="7">
        <f>IF(SUM(CQ5:CT5)-CU5&gt;0,SUM(CQ5:CT5)-CU5,"")</f>
        <v>52.08</v>
      </c>
      <c r="DE5" s="7">
        <f>IF(SUM(DB5,DD5)&gt;0,SUM(DB5,DD5),"")</f>
        <v>148.12</v>
      </c>
      <c r="DF5" s="13" t="str">
        <f>IF(MAX(DZ5,EV5,FR5,GN5,HJ5,IF5,JB5,JX5,KT5,LP5,ML5,NH5)-IF(K5="",0,K5)&gt;0.001,MAX(DZ5,EV5,FR5,GN5,HJ5,IF5,JB5,JX5,KT5,LP5,ML5,NH5)-IF(K5="",0,K5),"")</f>
        <v/>
      </c>
      <c r="DG5" s="13" t="str">
        <f>IF(MAX(EA5,EW5,FS5,GO5,HK5,IG5,JC5,JY5,KU5,LQ5,MM5,NI5)-IF(M5="",0,M5)&gt;0.001,MAX(EA5,EW5,FS5,GO5,HK5,IG5,JC5,JY5,KU5,LQ5,MM5,NI5)-IF(M5="",0,M5),"")</f>
        <v/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7" t="str">
        <f>IF(DQ5&gt;0,DQ5,"")</f>
        <v/>
      </c>
      <c r="DZ5" s="7" t="str">
        <f>IF(SUM(DJ5:DM5)-DN5&gt;0,SUM(DJ5:DM5)-DN5,"")</f>
        <v/>
      </c>
      <c r="EA5" s="7" t="str">
        <f>IF(SUM(DO5:DR5)-DS5&gt;0,SUM(DO5:DR5)-DS5,"")</f>
        <v/>
      </c>
      <c r="EB5" s="7" t="str">
        <f>IF(SUM(DZ5:EA5)&gt;0,SUM(DZ5:EA5),"")</f>
        <v/>
      </c>
      <c r="EC5" s="7" t="str">
        <f>IF(DV5&gt;0,DV5,"")</f>
        <v/>
      </c>
      <c r="ED5" s="7" t="str">
        <f>IF(SUM(DT5:DW5)-DX5&gt;0,SUM(DT5:DW5)-DX5,"")</f>
        <v/>
      </c>
      <c r="EE5" s="7" t="str">
        <f>IF(SUM(EB5,ED5)&gt;0,SUM(EB5,ED5),"")</f>
        <v/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>
        <v>17.600000000000001</v>
      </c>
      <c r="FY5" s="19">
        <v>9.8000000000000007</v>
      </c>
      <c r="FZ5" s="19">
        <v>0</v>
      </c>
      <c r="GA5" s="19">
        <v>15.87</v>
      </c>
      <c r="GB5" s="19">
        <v>0</v>
      </c>
      <c r="GC5" s="19">
        <v>13.9</v>
      </c>
      <c r="GD5" s="19">
        <v>9.5</v>
      </c>
      <c r="GE5" s="19">
        <v>13.1</v>
      </c>
      <c r="GF5" s="19">
        <v>14.66</v>
      </c>
      <c r="GG5" s="19">
        <v>0</v>
      </c>
      <c r="GH5" s="19"/>
      <c r="GI5" s="19"/>
      <c r="GJ5" s="19"/>
      <c r="GK5" s="19"/>
      <c r="GL5" s="19"/>
      <c r="GM5" s="9">
        <f>IF(GE5&gt;0,GE5,"")</f>
        <v>13.1</v>
      </c>
      <c r="GN5" s="9">
        <f>IF(SUM(FX5:GA5)-GB5&gt;0,SUM(FX5:GA5)-GB5,"")</f>
        <v>43.27</v>
      </c>
      <c r="GO5" s="9">
        <f>IF(SUM(GC5:GF5)-GG5&gt;0,SUM(GC5:GF5)-GG5,"")</f>
        <v>51.16</v>
      </c>
      <c r="GP5" s="9">
        <f>IF(SUM(GN5:GO5)&gt;0,SUM(GN5:GO5),"")</f>
        <v>94.43</v>
      </c>
      <c r="GQ5" s="9" t="str">
        <f>IF(GJ5&gt;0,GJ5,"")</f>
        <v/>
      </c>
      <c r="GR5" s="9" t="str">
        <f>IF(SUM(GH5:GK5)-GL5&gt;0,SUM(GH5:GK5)-GL5,"")</f>
        <v/>
      </c>
      <c r="GS5" s="9">
        <f>IF(SUM(GP5,GR5)&gt;0,SUM(GP5,GR5),"")</f>
        <v>94.43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18.45</v>
      </c>
      <c r="NO5" s="27">
        <f>IF($CV5="P",CC5,(CC5+AY5)/2)</f>
        <v>9.6499999999999986</v>
      </c>
      <c r="NP5" s="27">
        <f>IF($CV5="P",CD5,(CD5+AZ5)/2)</f>
        <v>0</v>
      </c>
      <c r="NQ5" s="27">
        <f>IF($CV5="P",CE5,(CE5+BA5)/2)</f>
        <v>15.745000000000001</v>
      </c>
      <c r="NR5" s="27">
        <f>IF($CV5="P",CF5,(CF5+BB5)/2)</f>
        <v>0</v>
      </c>
      <c r="NS5" s="27">
        <f>IF($CV5="P",CG5,(CG5+BC5)/2)</f>
        <v>15.45</v>
      </c>
      <c r="NT5" s="27">
        <f>IF($CV5="P",CH5,(CH5+BD5)/2)</f>
        <v>9.35</v>
      </c>
      <c r="NU5" s="27">
        <f>IF($CV5="P",CI5,(CI5+BE5)/2)</f>
        <v>12.2</v>
      </c>
      <c r="NV5" s="27">
        <f>IF($CV5="P",CJ5,(CJ5+BF5)/2)</f>
        <v>14.73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14.6</v>
      </c>
      <c r="OD5" s="27">
        <f>IF($CV5="P",CR5,(CR5+BN5)/2)</f>
        <v>8.4499999999999993</v>
      </c>
      <c r="OE5" s="27">
        <f>IF($CV5="P",CS5,(CS5+BO5)/2)</f>
        <v>10.75</v>
      </c>
      <c r="OF5" s="27">
        <f>IF($CV5="P",CT5,(CT5+BP5)/2)</f>
        <v>13.32</v>
      </c>
      <c r="OG5" s="27">
        <f>IF($CV5="P",CU5,(CU5+BQ5)/2)</f>
        <v>0</v>
      </c>
      <c r="OH5" s="32" t="s">
        <v>44</v>
      </c>
      <c r="OI5" s="7">
        <f>IF(SUM(NN5:NQ5)-NR5&gt;0,SUM(NN5:NQ5)-NR5,"")</f>
        <v>43.844999999999999</v>
      </c>
      <c r="OJ5" s="7">
        <f>IF(NU5&gt;0,NU5,"")</f>
        <v>12.2</v>
      </c>
      <c r="OK5" s="7">
        <f>IF(SUM(NS5:NV5)-NW5&gt;0,SUM(NS5:NV5)-NW5,"")</f>
        <v>51.730000000000004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95.575000000000003</v>
      </c>
      <c r="OO5" s="7">
        <f>IF(OE5&gt;0,OE5,"")</f>
        <v>10.75</v>
      </c>
      <c r="OP5" s="7">
        <f t="shared" ref="OP5" si="2">IF(SUM(OC5:OF5)-OG5&gt;0,SUM(OC5:OF5)-OG5,"")</f>
        <v>47.12</v>
      </c>
      <c r="OQ5" s="7">
        <f t="shared" ref="OQ5" si="3">IF(SUM(ON5,OP5)&gt;0,SUM(ON5,OP5),"")</f>
        <v>142.69499999999999</v>
      </c>
    </row>
    <row r="6" spans="1:407" x14ac:dyDescent="0.2">
      <c r="A6" s="4" t="str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/>
      </c>
      <c r="B6" s="5" t="s">
        <v>88</v>
      </c>
      <c r="C6" s="4" t="s">
        <v>66</v>
      </c>
      <c r="D6" s="4">
        <v>2008</v>
      </c>
      <c r="E6" s="10">
        <f>SUM(I6:Q6)</f>
        <v>226.26</v>
      </c>
      <c r="F6" s="3" t="str">
        <f>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P","")</f>
        <v/>
      </c>
      <c r="G6" s="3" t="str">
        <f>IF(OR(AND(AT6&gt;=AW$15,AO6&lt;&gt;"",AN6=""),AND(BX6&gt;=CA$15,BS6&lt;&gt;"",BR6=""),AND(DB6&gt;=DE$15,CW6&lt;&gt;"",CV6=""),AND(EB6&gt;=EE$15,DY6&lt;&gt;""),AND(EX6&gt;=FA$15,EU6&lt;&gt;""),AND(FT6&gt;=FW$15,FQ6&lt;&gt;""),AND(GP6&gt;=GS$15,GM6&lt;&gt;""),AND(HL6&gt;=HO$15,HI6&lt;&gt;""),AND(IH6&gt;=IK$15,IE6&lt;&gt;""),AND(JD6&gt;=JG$15,JA6&lt;&gt;""),AND(JZ6&gt;=KC$15,JW6&lt;&gt;""),AND(KV6&gt;=KY$15,KS6&lt;&gt;""),AND(LR6&gt;=LU$15,LO6&lt;&gt;""),AND(MN6&gt;=MQ$15,MK6&lt;&gt;""),AND(NJ6&gt;=NM$15,NG6&lt;&gt;"")),"P","")</f>
        <v/>
      </c>
      <c r="H6" s="47" t="str">
        <f>IF(OR(AND(AP6&gt;=AW$14,AQ6&gt;=AW$18,AP6&lt;&gt;"",AN6=""),AND(AU6&gt;=AW$14,AV6&gt;=AW$18,AU6&lt;&gt;"",AN6=""),AND(BT6&gt;=CA$14,BU6&gt;=CA$18,BT6&lt;&gt;"",BR6=""),AND(BY6&gt;=CA$14,BZ6&gt;=CA$18,BY6&lt;&gt;"",BR6=""),AND(CX6&gt;=DE$14,CY6&gt;=DE$18,CX6&lt;&gt;"",CV6=""),AND(DC6&gt;=DE$14,DD6&gt;=DE$18,DC6&lt;&gt;"",CV6=""),AND(DY6&gt;=EE$14,EA6&gt;=EE$18,DY6&lt;&gt;""),AND(EC6&gt;=EE$14,ED6&gt;=EE$18,EC6&lt;&gt;""),AND(EU6&gt;=FA$14,EW6&gt;=FA$18,EU6&lt;&gt;""),AND(EY6&gt;=FA$14,EZ6&gt;=FA$18,EY6&lt;&gt;""),AND(FQ6&gt;=FW$14,FS6&gt;=FW$18,FQ6&lt;&gt;""),AND(FU6&gt;=FW$14,FV6&gt;=FW$18,FU6&lt;&gt;""),AND(GM6&gt;=GS$14,GO6&gt;=GS$18,GM6&lt;&gt;""),AND(GQ6&gt;=GS$14,GR6&gt;=GS$18,GQ6&lt;&gt;""),AND(HI6&gt;=HO$14,HK6&gt;=HO$18,HI6&lt;&gt;""),AND(HM6&gt;=HO$14,HN6&gt;=HO$18,HM6&lt;&gt;""),AND(IE6&gt;=IK$14,IG6&gt;=IK$18,IE6&lt;&gt;""),AND(II6&gt;=IK$14,IJ6&gt;=IK$18,II6&lt;&gt;""),AND(JA6&gt;=JG$14,JC6&gt;=JG$18,JA6&lt;&gt;""),AND(JE6&gt;=JG$14,JF6&gt;=JG$18,JE6&lt;&gt;""),AND(JW6&gt;=KC$14,JY6&gt;=KC$18,JW6&lt;&gt;""),AND(KA6&gt;=KC$14,KB6&gt;=KC$18,KA6&lt;&gt;""),AND(KS6&gt;=KY$14,KU6&gt;=KY$18,KS6&lt;&gt;""),AND(KW6&gt;=KY$14,KX6&gt;=KY$18,KW6&lt;&gt;""),AND(LO6&gt;=LU$14,LQ6&gt;=LU$18,LO6&lt;&gt;""),AND(LS6&gt;=LU$14,LT6&gt;=LU$18,LS6&lt;&gt;""),AND(MK6&gt;=MQ$14,MM6&gt;=MQ$18,MK6&lt;&gt;""),AND(MO6&gt;=MQ$14,MP6&gt;=MQ$18,MO6&lt;&gt;""),AND(NG6&gt;=NM$14,NI6&gt;=NM$18,NG6&lt;&gt;""),AND(NK6&gt;=NM$14,NL6&gt;=NM$18,NK6&lt;&gt;"")),"Merit",IF(OR(AND(AP6&gt;=AW$13,AT6&gt;=AW$17,AO6&lt;&gt;"",AN6=""),AND(BT6&gt;=CA$13,BX6&gt;=CA$17,BS6&lt;&gt;"",BR6=""),AND(CX6&gt;=DE$13,DB6&gt;=DE$17,CW6&lt;&gt;"",CV6=""),AND(DY6&gt;=EE$13,EB6&gt;=EE$17,DY6&lt;&gt;""),AND(EU6&gt;=FA$13,EX6&gt;=FA$17,EU6&lt;&gt;""),AND(FQ6&gt;=FW$13,FT6&gt;=FW$17,FQ6&lt;&gt;""),AND(GM6&gt;=GS$13,GP6&gt;=GS$17,GM6&lt;&gt;""),AND(HI6&gt;=HO$13,HL6&gt;=HO$17,HI6&lt;&gt;""),AND(IE6&gt;=IK$13,IH6&gt;=IK$17,IE6&lt;&gt;""),AND(JA6&gt;=JG$13,JD6&gt;=JG$17,JA6&lt;&gt;""),AND(JW6&gt;=KC$13,JZ6&gt;=KC$17,JW6&lt;&gt;""),AND(KS6&gt;=KY$13,KV6&gt;=KY$17,KS6&lt;&gt;""),AND(LO6&gt;=LU$13,LR6&gt;=LU$17,LO6&lt;&gt;""),AND(MK6&gt;=MQ$13,MN6&gt;=MQ$17,MK6&lt;&gt;""),AND(NG6&gt;=NM$13,NJ6&gt;=NM$17,NG6&lt;&gt;"")),"Excellence",IF(OR(AND(AP6&gt;=AW$11,AT6&gt;=AW$15,AO6&lt;&gt;"",AN6=""),AND(BT6&gt;=CA$11,BX6&gt;=CA$15,BS6&lt;&gt;"",BR6=""),AND(CX6&gt;=DE$11,DB6&gt;=DE$15,CW6&lt;&gt;"",CV6=""),AND(DY6&gt;=EE$11,EB6&gt;=EE$15,DY6&lt;&gt;""),AND(EU6&gt;=FA$11,EX6&gt;=FA$15,EU6&lt;&gt;""),AND(FQ6&gt;=FW$11,FT6&gt;=FW$15,FQ6&lt;&gt;""),AND(GM6&gt;=GS$11,GP6&gt;=GS$15,GM6&lt;&gt;""),AND(HI6&gt;=HO$11,HL6&gt;=HO$15,HI6&lt;&gt;""),AND(IE6&gt;=IK$11,IH6&gt;=IK$15,IE6&lt;&gt;""),AND(JA6&gt;=JG$11,JD6&gt;=JG$15,JA6&lt;&gt;""),AND(JW6&gt;=KC$11,JZ6&gt;=KC$15,JW6&lt;&gt;""),AND(KS6&gt;=KY$11,KV6&gt;=KY$15,KS6&lt;&gt;""),AND(LO6&gt;=LU$11,LR6&gt;=LU$15,LO6&lt;&gt;""),AND(MK6&gt;=MQ$11,MN6&gt;=MQ$15,MK6&lt;&gt;""),AND(NG6&gt;=NM$11,NJ6&gt;=NM$15,NG6&lt;&gt;"")),"National Team",IF(G6="P","No DD",""))))</f>
        <v/>
      </c>
      <c r="I6" s="9">
        <f>IF(MAX(AT6,BX6,DB6)&gt;0,MAX(AT6,BX6,DB6),0)</f>
        <v>84.57</v>
      </c>
      <c r="J6" s="9" t="str">
        <f>IF(I6=0,"",IF(I6=DB6,$CB$1,IF(I6=BX6,$AX$1,IF(I6=AT6,$T$1,""))))</f>
        <v>2023 Nationals</v>
      </c>
      <c r="K6" s="9">
        <f>IF($I6=$AT6,MAX(BS6,CW6),IF($I6=$BX6,MAX(AO6,CW6),IF($I6=$DB6,MAX(AO6,BS6),MAX(AO6,BS6,CW6))))</f>
        <v>41.28</v>
      </c>
      <c r="L6" s="9" t="str">
        <f>IF(K6=0,"",IF(AND(K6=CW6,$J6&lt;&gt;$CB$1),$CB$1,IF(AND(K6=BS6,$J6&lt;&gt;$AX$1),$AX$1,IF(AND(K6=AO6,$J6&lt;&gt;$T$1),$T$1,""))))</f>
        <v>2023 3rd Domestic Trial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38.090000000000003</v>
      </c>
      <c r="N6" s="9" t="str">
        <f>IF(M6=0,"",IF(AND(OR(M6=DA6,M6=CY6),$J6&lt;&gt;$CB$1),$CB$1,IF(AND(OR(M6=BW6,M6=BU6),$J6&lt;&gt;$AX$1),$AX$1,IF(AND(OR(M6=AS6,M6=AQ6),$J6&lt;&gt;$T$1),$T$1,""))))</f>
        <v>2023 Elite Canada</v>
      </c>
      <c r="O6" s="9">
        <f>MAX(AV6,BZ6,DD6)</f>
        <v>50.25</v>
      </c>
      <c r="P6" s="9" t="str">
        <f>IF(O6=0,"",IF(O6=DD6,$CB$1,IF(O6=BZ6,$AX$1,IF(O6=AV6,$T$1,""))))</f>
        <v>2023 Nationals</v>
      </c>
      <c r="Q6" s="9">
        <f>IF(MAX(DF6,DG6,DH6,DI6)&gt;0,MAX(DF6,DG6,DH6,DI6),"")</f>
        <v>12.069999999999993</v>
      </c>
      <c r="R6" s="14" t="str">
        <f>IF(Q6="","",IF(Q6=DF6,"(Vol 1)",IF(Q6=DG6,"(Vol 2)",IF(Q6=DH6,"(Prelim)",IF(Q6=DI6,"(Final)")))))</f>
        <v>(Vol 2)</v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>2023 WAGC (Nov 16)</v>
      </c>
      <c r="T6" s="27">
        <v>16.2</v>
      </c>
      <c r="U6" s="27">
        <v>9.4</v>
      </c>
      <c r="V6" s="27">
        <v>0</v>
      </c>
      <c r="W6" s="27">
        <v>13.45</v>
      </c>
      <c r="X6" s="27">
        <v>0</v>
      </c>
      <c r="Y6" s="27">
        <v>10.5</v>
      </c>
      <c r="Z6" s="27">
        <v>6.5</v>
      </c>
      <c r="AA6" s="27">
        <v>10.199999999999999</v>
      </c>
      <c r="AB6" s="27">
        <v>10.89</v>
      </c>
      <c r="AC6" s="27">
        <v>0</v>
      </c>
      <c r="AD6" s="27"/>
      <c r="AE6" s="27"/>
      <c r="AF6" s="27"/>
      <c r="AG6" s="27"/>
      <c r="AH6" s="27"/>
      <c r="AI6" s="27">
        <v>11.6</v>
      </c>
      <c r="AJ6" s="27">
        <v>9</v>
      </c>
      <c r="AK6" s="27">
        <v>12.9</v>
      </c>
      <c r="AL6" s="27">
        <v>13.75</v>
      </c>
      <c r="AM6" s="27">
        <v>0</v>
      </c>
      <c r="AN6" s="32"/>
      <c r="AO6" s="7">
        <f>IF(SUM(T6:W6)-X6&gt;0,SUM(T6:W6)-X6,"")</f>
        <v>39.049999999999997</v>
      </c>
      <c r="AP6" s="7">
        <f>IF(AA6&gt;0,AA6,"")</f>
        <v>10.199999999999999</v>
      </c>
      <c r="AQ6" s="7">
        <f>IF(SUM(Y6:AB6)-AC6&gt;0,SUM(Y6:AB6)-AC6,"")</f>
        <v>38.090000000000003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77.14</v>
      </c>
      <c r="AU6" s="7">
        <f>IF(AK6&gt;0,AK6,"")</f>
        <v>12.9</v>
      </c>
      <c r="AV6" s="7">
        <f>IF(SUM(AI6:AL6)-AM6&gt;0,SUM(AI6:AL6)-AM6,"")</f>
        <v>47.25</v>
      </c>
      <c r="AW6" s="7">
        <f>IF(SUM(AT6,AV6)&gt;0,SUM(AT6,AV6),"")</f>
        <v>124.39</v>
      </c>
      <c r="AX6" s="23">
        <v>15.5</v>
      </c>
      <c r="AY6" s="23">
        <v>9.3000000000000007</v>
      </c>
      <c r="AZ6" s="23">
        <v>0</v>
      </c>
      <c r="BA6" s="23">
        <v>14.32</v>
      </c>
      <c r="BB6" s="23">
        <v>0</v>
      </c>
      <c r="BC6" s="23">
        <v>11.2</v>
      </c>
      <c r="BD6" s="23">
        <v>8.6</v>
      </c>
      <c r="BE6" s="23">
        <v>11.8</v>
      </c>
      <c r="BF6" s="23">
        <v>13.85</v>
      </c>
      <c r="BG6" s="23">
        <v>0</v>
      </c>
      <c r="BH6" s="23"/>
      <c r="BI6" s="23"/>
      <c r="BJ6" s="23"/>
      <c r="BK6" s="23"/>
      <c r="BL6" s="23"/>
      <c r="BM6" s="23">
        <v>13.8</v>
      </c>
      <c r="BN6" s="23">
        <v>8.9</v>
      </c>
      <c r="BO6" s="23">
        <v>13.3</v>
      </c>
      <c r="BP6" s="23">
        <v>14.25</v>
      </c>
      <c r="BQ6" s="23">
        <v>0</v>
      </c>
      <c r="BR6" s="33"/>
      <c r="BS6" s="9">
        <f>IF(SUM(AX6:BA6)-BB6&gt;0,SUM(AX6:BA6)-BB6,"")</f>
        <v>39.120000000000005</v>
      </c>
      <c r="BT6" s="9">
        <f>IF(BE6&gt;0,BE6,"")</f>
        <v>11.8</v>
      </c>
      <c r="BU6" s="9">
        <f>IF(SUM(BC6:BF6)-BG6&gt;0,SUM(BC6:BF6)-BG6,"")</f>
        <v>45.449999999999996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84.57</v>
      </c>
      <c r="BY6" s="9">
        <f>IF(BO6&gt;0,BO6,"")</f>
        <v>13.3</v>
      </c>
      <c r="BZ6" s="9">
        <f>IF(SUM(BM6:BP6)-BQ6&gt;0,SUM(BM6:BP6)-BQ6,"")</f>
        <v>50.25</v>
      </c>
      <c r="CA6" s="9">
        <f>IF(SUM(BX6,BZ6)&gt;0,SUM(BX6,BZ6),"")</f>
        <v>134.82</v>
      </c>
      <c r="CB6" s="27">
        <v>16.8</v>
      </c>
      <c r="CC6" s="27">
        <v>9.5</v>
      </c>
      <c r="CD6" s="27">
        <v>0</v>
      </c>
      <c r="CE6" s="27">
        <v>14.98</v>
      </c>
      <c r="CF6" s="27">
        <v>0</v>
      </c>
      <c r="CG6" s="27">
        <v>2.7</v>
      </c>
      <c r="CH6" s="27">
        <v>1.7</v>
      </c>
      <c r="CI6" s="27">
        <v>3.2</v>
      </c>
      <c r="CJ6" s="27">
        <v>3.26</v>
      </c>
      <c r="CK6" s="27">
        <v>0</v>
      </c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32"/>
      <c r="CW6" s="7">
        <f>IF(SUM(CB6:CE6)-CF6&gt;0,SUM(CB6:CE6)-CF6,"")</f>
        <v>41.28</v>
      </c>
      <c r="CX6" s="7">
        <f>IF(CI6&gt;0,CI6,"")</f>
        <v>3.2</v>
      </c>
      <c r="CY6" s="7">
        <f>IF(SUM(CG6:CJ6)-CK6&gt;0,SUM(CG6:CJ6)-CK6,"")</f>
        <v>10.86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52.14</v>
      </c>
      <c r="DC6" s="7" t="str">
        <f>IF(CS6&gt;0,CS6,"")</f>
        <v/>
      </c>
      <c r="DD6" s="7" t="str">
        <f>IF(SUM(CQ6:CT6)-CU6&gt;0,SUM(CQ6:CT6)-CU6,"")</f>
        <v/>
      </c>
      <c r="DE6" s="7">
        <f>IF(SUM(DB6,DD6)&gt;0,SUM(DB6,DD6),"")</f>
        <v>52.14</v>
      </c>
      <c r="DF6" s="13" t="str">
        <f>IF(MAX(DZ6,EV6,FR6,GN6,HJ6,IF6,JB6,JX6,KT6,LP6,ML6,NH6)-IF(K6="",0,K6)&gt;0.001,MAX(DZ6,EV6,FR6,GN6,HJ6,IF6,JB6,JX6,KT6,LP6,ML6,NH6)-IF(K6="",0,K6),"")</f>
        <v/>
      </c>
      <c r="DG6" s="13">
        <f>IF(MAX(EA6,EW6,FS6,GO6,HK6,IG6,JC6,JY6,KU6,LQ6,MM6,NI6)-IF(M6="",0,M6)&gt;0.001,MAX(EA6,EW6,FS6,GO6,HK6,IG6,JC6,JY6,KU6,LQ6,MM6,NI6)-IF(M6="",0,M6),"")</f>
        <v>12.069999999999993</v>
      </c>
      <c r="DH6" s="13">
        <f>IF(MAX(EB6,EX6,FT6,GP6,HL6,IH6,JD6,JZ6,KV6,LR6,MN6,NJ6)-IF(I6="",0,I6)&gt;0.001,MAX(EB6,EX6,FT6,GP6,HL6,IH6,JD6,JZ6,KV6,LR6,MN6,NJ6)-IF(I6="",0,I6),"")</f>
        <v>5.4000000000000057</v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>
        <v>15.8</v>
      </c>
      <c r="FY6" s="19">
        <v>9.1999999999999993</v>
      </c>
      <c r="FZ6" s="19">
        <v>0</v>
      </c>
      <c r="GA6" s="19">
        <v>14.81</v>
      </c>
      <c r="GB6" s="19">
        <v>0</v>
      </c>
      <c r="GC6" s="19">
        <v>13.2</v>
      </c>
      <c r="GD6" s="19">
        <v>9</v>
      </c>
      <c r="GE6" s="19">
        <v>13.3</v>
      </c>
      <c r="GF6" s="19">
        <v>14.66</v>
      </c>
      <c r="GG6" s="19">
        <v>0</v>
      </c>
      <c r="GH6" s="19"/>
      <c r="GI6" s="19"/>
      <c r="GJ6" s="19"/>
      <c r="GK6" s="19"/>
      <c r="GL6" s="19"/>
      <c r="GM6" s="9">
        <f>IF(GE6&gt;0,GE6,"")</f>
        <v>13.3</v>
      </c>
      <c r="GN6" s="9">
        <f>IF(SUM(FX6:GA6)-GB6&gt;0,SUM(FX6:GA6)-GB6,"")</f>
        <v>39.81</v>
      </c>
      <c r="GO6" s="9">
        <f>IF(SUM(GC6:GF6)-GG6&gt;0,SUM(GC6:GF6)-GG6,"")</f>
        <v>50.16</v>
      </c>
      <c r="GP6" s="9">
        <f>IF(SUM(GN6:GO6)&gt;0,SUM(GN6:GO6),"")</f>
        <v>89.97</v>
      </c>
      <c r="GQ6" s="9" t="str">
        <f>IF(GJ6&gt;0,GJ6,"")</f>
        <v/>
      </c>
      <c r="GR6" s="9" t="str">
        <f>IF(SUM(GH6:GK6)-GL6&gt;0,SUM(GH6:GK6)-GL6,"")</f>
        <v/>
      </c>
      <c r="GS6" s="9">
        <f>IF(SUM(GP6,GR6)&gt;0,SUM(GP6,GR6),"")</f>
        <v>89.97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16.149999999999999</v>
      </c>
      <c r="NO6" s="27">
        <f>IF($CV6="P",CC6,(CC6+AY6)/2)</f>
        <v>9.4</v>
      </c>
      <c r="NP6" s="27">
        <f>IF($CV6="P",CD6,(CD6+AZ6)/2)</f>
        <v>0</v>
      </c>
      <c r="NQ6" s="27">
        <f>IF($CV6="P",CE6,(CE6+BA6)/2)</f>
        <v>14.65</v>
      </c>
      <c r="NR6" s="27">
        <f>IF($CV6="P",CF6,(CF6+BB6)/2)</f>
        <v>0</v>
      </c>
      <c r="NS6" s="27">
        <f>IF($CV6="P",CG6,(CG6+BC6)/2)</f>
        <v>6.9499999999999993</v>
      </c>
      <c r="NT6" s="27">
        <f>IF($CV6="P",CH6,(CH6+BD6)/2)</f>
        <v>5.1499999999999995</v>
      </c>
      <c r="NU6" s="27">
        <f>IF($CV6="P",CI6,(CI6+BE6)/2)</f>
        <v>7.5</v>
      </c>
      <c r="NV6" s="27">
        <f>IF($CV6="P",CJ6,(CJ6+BF6)/2)</f>
        <v>8.5549999999999997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6.9</v>
      </c>
      <c r="OD6" s="27">
        <f>IF($CV6="P",CR6,(CR6+BN6)/2)</f>
        <v>4.45</v>
      </c>
      <c r="OE6" s="27">
        <f>IF($CV6="P",CS6,(CS6+BO6)/2)</f>
        <v>6.65</v>
      </c>
      <c r="OF6" s="27">
        <f>IF($CV6="P",CT6,(CT6+BP6)/2)</f>
        <v>7.125</v>
      </c>
      <c r="OG6" s="27">
        <f>IF($CV6="P",CU6,(CU6+BQ6)/2)</f>
        <v>0</v>
      </c>
      <c r="OH6" s="32" t="s">
        <v>44</v>
      </c>
      <c r="OI6" s="7">
        <f>IF(SUM(NN6:NQ6)-NR6&gt;0,SUM(NN6:NQ6)-NR6,"")</f>
        <v>40.199999999999996</v>
      </c>
      <c r="OJ6" s="7">
        <f>IF(NU6&gt;0,NU6,"")</f>
        <v>7.5</v>
      </c>
      <c r="OK6" s="7">
        <f>IF(SUM(NS6:NV6)-NW6&gt;0,SUM(NS6:NV6)-NW6,"")</f>
        <v>28.154999999999998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68.35499999999999</v>
      </c>
      <c r="OO6" s="7">
        <f>IF(OE6&gt;0,OE6,"")</f>
        <v>6.65</v>
      </c>
      <c r="OP6" s="7">
        <f t="shared" ref="OP6" si="4">IF(SUM(OC6:OF6)-OG6&gt;0,SUM(OC6:OF6)-OG6,"")</f>
        <v>25.125</v>
      </c>
      <c r="OQ6" s="7">
        <f t="shared" ref="OQ6" si="5">IF(SUM(ON6,OP6)&gt;0,SUM(ON6,OP6),"")</f>
        <v>93.47999999999999</v>
      </c>
    </row>
    <row r="7" spans="1:407" x14ac:dyDescent="0.2">
      <c r="A7" s="4" t="str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/>
      </c>
      <c r="B7" s="5" t="s">
        <v>96</v>
      </c>
      <c r="C7" s="4" t="s">
        <v>66</v>
      </c>
      <c r="D7" s="4">
        <v>2007</v>
      </c>
      <c r="E7" s="10">
        <f>SUM(I7:Q7)</f>
        <v>204.95</v>
      </c>
      <c r="F7" s="3" t="str">
        <f>IF(OR(AND(AP7&gt;=AW$11,AT7&gt;=AW$15,AO7&lt;&gt;"",AN7=""),AND(BT7&gt;=CA$11,BX7&gt;=CA$15,BS7&lt;&gt;"",BR7=""),AND(CX7&gt;=DE$11,DB7&gt;=DE$15,CW7&lt;&gt;"",CV7=""),AND(DY7&gt;=EE$11,EB7&gt;=EE$15,DY7&lt;&gt;""),AND(EU7&gt;=FA$11,EX7&gt;=FA$15,EU7&lt;&gt;""),AND(FQ7&gt;=FW$11,FT7&gt;=FW$15,FQ7&lt;&gt;""),AND(GM7&gt;=GS$11,GP7&gt;=GS$15,GM7&lt;&gt;""),AND(HI7&gt;=HO$11,HL7&gt;=HO$15,HI7&lt;&gt;""),AND(IE7&gt;=IK$11,IH7&gt;=IK$15,IE7&lt;&gt;""),AND(JA7&gt;=JG$11,JD7&gt;=JG$15,JA7&lt;&gt;""),AND(JW7&gt;=KC$11,JZ7&gt;=KC$15,JW7&lt;&gt;""),AND(KS7&gt;=KY$11,KV7&gt;=KY$15,KS7&lt;&gt;""),AND(LO7&gt;=LU$11,LR7&gt;=LU$15,LO7&lt;&gt;""),AND(MK7&gt;=MQ$11,MN7&gt;=MQ$15,MK7&lt;&gt;""),AND(NG7&gt;=NM$11,NJ7&gt;=NM$15,NG7&lt;&gt;"")),"P","")</f>
        <v/>
      </c>
      <c r="G7" s="3" t="str">
        <f>IF(OR(AND(AT7&gt;=AW$15,AO7&lt;&gt;"",AN7=""),AND(BX7&gt;=CA$15,BS7&lt;&gt;"",BR7=""),AND(DB7&gt;=DE$15,CW7&lt;&gt;"",CV7=""),AND(EB7&gt;=EE$15,DY7&lt;&gt;""),AND(EX7&gt;=FA$15,EU7&lt;&gt;""),AND(FT7&gt;=FW$15,FQ7&lt;&gt;""),AND(GP7&gt;=GS$15,GM7&lt;&gt;""),AND(HL7&gt;=HO$15,HI7&lt;&gt;""),AND(IH7&gt;=IK$15,IE7&lt;&gt;""),AND(JD7&gt;=JG$15,JA7&lt;&gt;""),AND(JZ7&gt;=KC$15,JW7&lt;&gt;""),AND(KV7&gt;=KY$15,KS7&lt;&gt;""),AND(LR7&gt;=LU$15,LO7&lt;&gt;""),AND(MN7&gt;=MQ$15,MK7&lt;&gt;""),AND(NJ7&gt;=NM$15,NG7&lt;&gt;"")),"P","")</f>
        <v/>
      </c>
      <c r="H7" s="47" t="str">
        <f>IF(OR(AND(AP7&gt;=AW$14,AQ7&gt;=AW$18,AP7&lt;&gt;"",AN7=""),AND(AU7&gt;=AW$14,AV7&gt;=AW$18,AU7&lt;&gt;"",AN7=""),AND(BT7&gt;=CA$14,BU7&gt;=CA$18,BT7&lt;&gt;"",BR7=""),AND(BY7&gt;=CA$14,BZ7&gt;=CA$18,BY7&lt;&gt;"",BR7=""),AND(CX7&gt;=DE$14,CY7&gt;=DE$18,CX7&lt;&gt;"",CV7=""),AND(DC7&gt;=DE$14,DD7&gt;=DE$18,DC7&lt;&gt;"",CV7=""),AND(DY7&gt;=EE$14,EA7&gt;=EE$18,DY7&lt;&gt;""),AND(EC7&gt;=EE$14,ED7&gt;=EE$18,EC7&lt;&gt;""),AND(EU7&gt;=FA$14,EW7&gt;=FA$18,EU7&lt;&gt;""),AND(EY7&gt;=FA$14,EZ7&gt;=FA$18,EY7&lt;&gt;""),AND(FQ7&gt;=FW$14,FS7&gt;=FW$18,FQ7&lt;&gt;""),AND(FU7&gt;=FW$14,FV7&gt;=FW$18,FU7&lt;&gt;""),AND(GM7&gt;=GS$14,GO7&gt;=GS$18,GM7&lt;&gt;""),AND(GQ7&gt;=GS$14,GR7&gt;=GS$18,GQ7&lt;&gt;""),AND(HI7&gt;=HO$14,HK7&gt;=HO$18,HI7&lt;&gt;""),AND(HM7&gt;=HO$14,HN7&gt;=HO$18,HM7&lt;&gt;""),AND(IE7&gt;=IK$14,IG7&gt;=IK$18,IE7&lt;&gt;""),AND(II7&gt;=IK$14,IJ7&gt;=IK$18,II7&lt;&gt;""),AND(JA7&gt;=JG$14,JC7&gt;=JG$18,JA7&lt;&gt;""),AND(JE7&gt;=JG$14,JF7&gt;=JG$18,JE7&lt;&gt;""),AND(JW7&gt;=KC$14,JY7&gt;=KC$18,JW7&lt;&gt;""),AND(KA7&gt;=KC$14,KB7&gt;=KC$18,KA7&lt;&gt;""),AND(KS7&gt;=KY$14,KU7&gt;=KY$18,KS7&lt;&gt;""),AND(KW7&gt;=KY$14,KX7&gt;=KY$18,KW7&lt;&gt;""),AND(LO7&gt;=LU$14,LQ7&gt;=LU$18,LO7&lt;&gt;""),AND(LS7&gt;=LU$14,LT7&gt;=LU$18,LS7&lt;&gt;""),AND(MK7&gt;=MQ$14,MM7&gt;=MQ$18,MK7&lt;&gt;""),AND(MO7&gt;=MQ$14,MP7&gt;=MQ$18,MO7&lt;&gt;""),AND(NG7&gt;=NM$14,NI7&gt;=NM$18,NG7&lt;&gt;""),AND(NK7&gt;=NM$14,NL7&gt;=NM$18,NK7&lt;&gt;"")),"Merit",IF(OR(AND(AP7&gt;=AW$13,AT7&gt;=AW$17,AO7&lt;&gt;"",AN7=""),AND(BT7&gt;=CA$13,BX7&gt;=CA$17,BS7&lt;&gt;"",BR7=""),AND(CX7&gt;=DE$13,DB7&gt;=DE$17,CW7&lt;&gt;"",CV7=""),AND(DY7&gt;=EE$13,EB7&gt;=EE$17,DY7&lt;&gt;""),AND(EU7&gt;=FA$13,EX7&gt;=FA$17,EU7&lt;&gt;""),AND(FQ7&gt;=FW$13,FT7&gt;=FW$17,FQ7&lt;&gt;""),AND(GM7&gt;=GS$13,GP7&gt;=GS$17,GM7&lt;&gt;""),AND(HI7&gt;=HO$13,HL7&gt;=HO$17,HI7&lt;&gt;""),AND(IE7&gt;=IK$13,IH7&gt;=IK$17,IE7&lt;&gt;""),AND(JA7&gt;=JG$13,JD7&gt;=JG$17,JA7&lt;&gt;""),AND(JW7&gt;=KC$13,JZ7&gt;=KC$17,JW7&lt;&gt;""),AND(KS7&gt;=KY$13,KV7&gt;=KY$17,KS7&lt;&gt;""),AND(LO7&gt;=LU$13,LR7&gt;=LU$17,LO7&lt;&gt;""),AND(MK7&gt;=MQ$13,MN7&gt;=MQ$17,MK7&lt;&gt;""),AND(NG7&gt;=NM$13,NJ7&gt;=NM$17,NG7&lt;&gt;"")),"Excellence",IF(OR(AND(AP7&gt;=AW$11,AT7&gt;=AW$15,AO7&lt;&gt;"",AN7=""),AND(BT7&gt;=CA$11,BX7&gt;=CA$15,BS7&lt;&gt;"",BR7=""),AND(CX7&gt;=DE$11,DB7&gt;=DE$15,CW7&lt;&gt;"",CV7=""),AND(DY7&gt;=EE$11,EB7&gt;=EE$15,DY7&lt;&gt;""),AND(EU7&gt;=FA$11,EX7&gt;=FA$15,EU7&lt;&gt;""),AND(FQ7&gt;=FW$11,FT7&gt;=FW$15,FQ7&lt;&gt;""),AND(GM7&gt;=GS$11,GP7&gt;=GS$15,GM7&lt;&gt;""),AND(HI7&gt;=HO$11,HL7&gt;=HO$15,HI7&lt;&gt;""),AND(IE7&gt;=IK$11,IH7&gt;=IK$15,IE7&lt;&gt;""),AND(JA7&gt;=JG$11,JD7&gt;=JG$15,JA7&lt;&gt;""),AND(JW7&gt;=KC$11,JZ7&gt;=KC$15,JW7&lt;&gt;""),AND(KS7&gt;=KY$11,KV7&gt;=KY$15,KS7&lt;&gt;""),AND(LO7&gt;=LU$11,LR7&gt;=LU$15,LO7&lt;&gt;""),AND(MK7&gt;=MQ$11,MN7&gt;=MQ$15,MK7&lt;&gt;""),AND(NG7&gt;=NM$11,NJ7&gt;=NM$15,NG7&lt;&gt;"")),"National Team",IF(G7="P","No DD",""))))</f>
        <v/>
      </c>
      <c r="I7" s="9">
        <f>IF(MAX(AT7,BX7,DB7)&gt;0,MAX(AT7,BX7,DB7),0)</f>
        <v>88.93</v>
      </c>
      <c r="J7" s="9" t="str">
        <f>IF(I7=0,"",IF(I7=DB7,$CB$1,IF(I7=BX7,$AX$1,IF(I7=AT7,$T$1,""))))</f>
        <v>2023 Nationals</v>
      </c>
      <c r="K7" s="9">
        <f>IF($I7=$AT7,MAX(BS7,CW7),IF($I7=$BX7,MAX(AO7,CW7),IF($I7=$DB7,MAX(AO7,BS7),MAX(AO7,BS7,CW7))))</f>
        <v>33.370000000000005</v>
      </c>
      <c r="L7" s="9" t="str">
        <f>IF(K7=0,"",IF(AND(K7=CW7,$J7&lt;&gt;$CB$1),$CB$1,IF(AND(K7=BS7,$J7&lt;&gt;$AX$1),$AX$1,IF(AND(K7=AO7,$J7&lt;&gt;$T$1),$T$1,""))))</f>
        <v>2023 3rd Domestic Trial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25.279999999999998</v>
      </c>
      <c r="N7" s="9" t="str">
        <f>IF(M7=0,"",IF(AND(OR(M7=DA7,M7=CY7),$J7&lt;&gt;$CB$1),$CB$1,IF(AND(OR(M7=BW7,M7=BU7),$J7&lt;&gt;$AX$1),$AX$1,IF(AND(OR(M7=AS7,M7=AQ7),$J7&lt;&gt;$T$1),$T$1,""))))</f>
        <v>2023 3rd Domestic Trial</v>
      </c>
      <c r="O7" s="9">
        <f>MAX(AV7,BZ7,DD7)</f>
        <v>50</v>
      </c>
      <c r="P7" s="9" t="str">
        <f>IF(O7=0,"",IF(O7=DD7,$CB$1,IF(O7=BZ7,$AX$1,IF(O7=AV7,$T$1,""))))</f>
        <v>2023 3rd Domestic Trial</v>
      </c>
      <c r="Q7" s="9">
        <f>IF(MAX(DF7,DG7,DH7,DI7)&gt;0,MAX(DF7,DG7,DH7,DI7),"")</f>
        <v>7.3699999999999903</v>
      </c>
      <c r="R7" s="14" t="str">
        <f>IF(Q7="","",IF(Q7=DF7,"(Vol 1)",IF(Q7=DG7,"(Vol 2)",IF(Q7=DH7,"(Prelim)",IF(Q7=DI7,"(Final)")))))</f>
        <v>(Vol 1)</v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>2023 WAGC (Nov 16)</v>
      </c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32"/>
      <c r="AO7" s="7" t="str">
        <f>IF(SUM(T7:W7)-X7&gt;0,SUM(T7:W7)-X7,"")</f>
        <v/>
      </c>
      <c r="AP7" s="7" t="str">
        <f>IF(AA7&gt;0,AA7,"")</f>
        <v/>
      </c>
      <c r="AQ7" s="7" t="str">
        <f>IF(SUM(Y7:AB7)-AC7&gt;0,SUM(Y7:AB7)-AC7,"")</f>
        <v/>
      </c>
      <c r="AR7" s="7" t="str">
        <f>IF(AF7&gt;0,AF7,"")</f>
        <v/>
      </c>
      <c r="AS7" s="7" t="str">
        <f>IF(SUM(AD7:AG7)-AH7&gt;0,SUM(AD7:AG7)-AH7,"")</f>
        <v/>
      </c>
      <c r="AT7" s="7" t="str">
        <f>IF(AO7="",IF(MAX(AQ7,AS7)&gt;0,MAX(AQ7,AS7),""),MAX(AQ7,AS7)+AO7)</f>
        <v/>
      </c>
      <c r="AU7" s="7" t="str">
        <f>IF(AK7&gt;0,AK7,"")</f>
        <v/>
      </c>
      <c r="AV7" s="7" t="str">
        <f>IF(SUM(AI7:AL7)-AM7&gt;0,SUM(AI7:AL7)-AM7,"")</f>
        <v/>
      </c>
      <c r="AW7" s="7" t="str">
        <f>IF(SUM(AT7,AV7)&gt;0,SUM(AT7,AV7),"")</f>
        <v/>
      </c>
      <c r="AX7" s="23">
        <v>17.3</v>
      </c>
      <c r="AY7" s="23">
        <v>9.6999999999999993</v>
      </c>
      <c r="AZ7" s="23">
        <v>0</v>
      </c>
      <c r="BA7" s="23">
        <v>14.99</v>
      </c>
      <c r="BB7" s="23">
        <v>0</v>
      </c>
      <c r="BC7" s="23">
        <v>11.1</v>
      </c>
      <c r="BD7" s="23">
        <v>9.1</v>
      </c>
      <c r="BE7" s="23">
        <v>12.7</v>
      </c>
      <c r="BF7" s="23">
        <v>14.04</v>
      </c>
      <c r="BG7" s="23">
        <v>0</v>
      </c>
      <c r="BH7" s="23"/>
      <c r="BI7" s="23"/>
      <c r="BJ7" s="23"/>
      <c r="BK7" s="23"/>
      <c r="BL7" s="23"/>
      <c r="BM7" s="23">
        <v>4.2</v>
      </c>
      <c r="BN7" s="23">
        <v>2.8</v>
      </c>
      <c r="BO7" s="23">
        <v>4.9000000000000004</v>
      </c>
      <c r="BP7" s="23">
        <v>5</v>
      </c>
      <c r="BQ7" s="23">
        <v>0</v>
      </c>
      <c r="BR7" s="33"/>
      <c r="BS7" s="9">
        <f>IF(SUM(AX7:BA7)-BB7&gt;0,SUM(AX7:BA7)-BB7,"")</f>
        <v>41.99</v>
      </c>
      <c r="BT7" s="9">
        <f>IF(BE7&gt;0,BE7,"")</f>
        <v>12.7</v>
      </c>
      <c r="BU7" s="9">
        <f>IF(SUM(BC7:BF7)-BG7&gt;0,SUM(BC7:BF7)-BG7,"")</f>
        <v>46.94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88.93</v>
      </c>
      <c r="BY7" s="9">
        <f>IF(BO7&gt;0,BO7,"")</f>
        <v>4.9000000000000004</v>
      </c>
      <c r="BZ7" s="9">
        <f>IF(SUM(BM7:BP7)-BQ7&gt;0,SUM(BM7:BP7)-BQ7,"")</f>
        <v>16.899999999999999</v>
      </c>
      <c r="CA7" s="9">
        <f>IF(SUM(BX7,BZ7)&gt;0,SUM(BX7,BZ7),"")</f>
        <v>105.83000000000001</v>
      </c>
      <c r="CB7" s="27">
        <v>13.3</v>
      </c>
      <c r="CC7" s="27">
        <v>7.5</v>
      </c>
      <c r="CD7" s="27">
        <v>0</v>
      </c>
      <c r="CE7" s="27">
        <v>12.57</v>
      </c>
      <c r="CF7" s="27">
        <v>0</v>
      </c>
      <c r="CG7" s="27">
        <v>6.6</v>
      </c>
      <c r="CH7" s="27">
        <v>4.3</v>
      </c>
      <c r="CI7" s="27">
        <v>6.7</v>
      </c>
      <c r="CJ7" s="27">
        <v>7.68</v>
      </c>
      <c r="CK7" s="27">
        <v>0</v>
      </c>
      <c r="CL7" s="27"/>
      <c r="CM7" s="27"/>
      <c r="CN7" s="27"/>
      <c r="CO7" s="27"/>
      <c r="CP7" s="27"/>
      <c r="CQ7" s="27">
        <v>12.9</v>
      </c>
      <c r="CR7" s="27">
        <v>9</v>
      </c>
      <c r="CS7" s="27">
        <v>13.5</v>
      </c>
      <c r="CT7" s="27">
        <v>14.6</v>
      </c>
      <c r="CU7" s="27">
        <v>0</v>
      </c>
      <c r="CV7" s="32"/>
      <c r="CW7" s="7">
        <f>IF(SUM(CB7:CE7)-CF7&gt;0,SUM(CB7:CE7)-CF7,"")</f>
        <v>33.370000000000005</v>
      </c>
      <c r="CX7" s="7">
        <f>IF(CI7&gt;0,CI7,"")</f>
        <v>6.7</v>
      </c>
      <c r="CY7" s="7">
        <f>IF(SUM(CG7:CJ7)-CK7&gt;0,SUM(CG7:CJ7)-CK7,"")</f>
        <v>25.279999999999998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58.650000000000006</v>
      </c>
      <c r="DC7" s="7">
        <f>IF(CS7&gt;0,CS7,"")</f>
        <v>13.5</v>
      </c>
      <c r="DD7" s="7">
        <f>IF(SUM(CQ7:CT7)-CU7&gt;0,SUM(CQ7:CT7)-CU7,"")</f>
        <v>50</v>
      </c>
      <c r="DE7" s="7">
        <f>IF(SUM(DB7,DD7)&gt;0,SUM(DB7,DD7),"")</f>
        <v>108.65</v>
      </c>
      <c r="DF7" s="13">
        <f>IF(MAX(DZ7,EV7,FR7,GN7,HJ7,IF7,JB7,JX7,KT7,LP7,ML7,NH7)-IF(K7="",0,K7)&gt;0.001,MAX(DZ7,EV7,FR7,GN7,HJ7,IF7,JB7,JX7,KT7,LP7,ML7,NH7)-IF(K7="",0,K7),"")</f>
        <v>7.3699999999999903</v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>
        <v>10.4</v>
      </c>
      <c r="FM7" s="18">
        <v>7.4</v>
      </c>
      <c r="FN7" s="18">
        <v>10.6</v>
      </c>
      <c r="FO7" s="18">
        <v>11.99</v>
      </c>
      <c r="FP7" s="18">
        <v>0</v>
      </c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>
        <f>IF(FN7&gt;0,FN7,"")</f>
        <v>10.6</v>
      </c>
      <c r="FV7" s="7">
        <f>IF(SUM(FL7:FO7)-FP7&gt;0,SUM(FL7:FO7)-FP7,"")</f>
        <v>40.39</v>
      </c>
      <c r="FW7" s="7">
        <f>IF(SUM(FT7,FV7)&gt;0,SUM(FT7,FV7),"")</f>
        <v>40.39</v>
      </c>
      <c r="FX7" s="19">
        <v>16.2</v>
      </c>
      <c r="FY7" s="19">
        <v>9.1</v>
      </c>
      <c r="FZ7" s="19">
        <v>0</v>
      </c>
      <c r="GA7" s="19">
        <v>15.44</v>
      </c>
      <c r="GB7" s="19">
        <v>0</v>
      </c>
      <c r="GC7" s="19">
        <v>1.6</v>
      </c>
      <c r="GD7" s="19">
        <v>1</v>
      </c>
      <c r="GE7" s="19">
        <v>1.8</v>
      </c>
      <c r="GF7" s="19">
        <v>1.64</v>
      </c>
      <c r="GG7" s="19">
        <v>0</v>
      </c>
      <c r="GH7" s="19"/>
      <c r="GI7" s="19"/>
      <c r="GJ7" s="19"/>
      <c r="GK7" s="19"/>
      <c r="GL7" s="19"/>
      <c r="GM7" s="9">
        <f>IF(GE7&gt;0,GE7,"")</f>
        <v>1.8</v>
      </c>
      <c r="GN7" s="9">
        <f>IF(SUM(FX7:GA7)-GB7&gt;0,SUM(FX7:GA7)-GB7,"")</f>
        <v>40.739999999999995</v>
      </c>
      <c r="GO7" s="9">
        <f>IF(SUM(GC7:GF7)-GG7&gt;0,SUM(GC7:GF7)-GG7,"")</f>
        <v>6.04</v>
      </c>
      <c r="GP7" s="9">
        <f>IF(SUM(GN7:GO7)&gt;0,SUM(GN7:GO7),"")</f>
        <v>46.779999999999994</v>
      </c>
      <c r="GQ7" s="9" t="str">
        <f>IF(GJ7&gt;0,GJ7,"")</f>
        <v/>
      </c>
      <c r="GR7" s="9" t="str">
        <f>IF(SUM(GH7:GK7)-GL7&gt;0,SUM(GH7:GK7)-GL7,"")</f>
        <v/>
      </c>
      <c r="GS7" s="9">
        <f>IF(SUM(GP7,GR7)&gt;0,SUM(GP7,GR7),"")</f>
        <v>46.779999999999994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15.3</v>
      </c>
      <c r="NO7" s="27">
        <f>IF($CV7="P",CC7,(CC7+AY7)/2)</f>
        <v>8.6</v>
      </c>
      <c r="NP7" s="27">
        <f>IF($CV7="P",CD7,(CD7+AZ7)/2)</f>
        <v>0</v>
      </c>
      <c r="NQ7" s="27">
        <f>IF($CV7="P",CE7,(CE7+BA7)/2)</f>
        <v>13.780000000000001</v>
      </c>
      <c r="NR7" s="27">
        <f>IF($CV7="P",CF7,(CF7+BB7)/2)</f>
        <v>0</v>
      </c>
      <c r="NS7" s="27">
        <f>IF($CV7="P",CG7,(CG7+BC7)/2)</f>
        <v>8.85</v>
      </c>
      <c r="NT7" s="27">
        <f>IF($CV7="P",CH7,(CH7+BD7)/2)</f>
        <v>6.6999999999999993</v>
      </c>
      <c r="NU7" s="27">
        <f>IF($CV7="P",CI7,(CI7+BE7)/2)</f>
        <v>9.6999999999999993</v>
      </c>
      <c r="NV7" s="27">
        <f>IF($CV7="P",CJ7,(CJ7+BF7)/2)</f>
        <v>10.86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8.5500000000000007</v>
      </c>
      <c r="OD7" s="27">
        <f>IF($CV7="P",CR7,(CR7+BN7)/2)</f>
        <v>5.9</v>
      </c>
      <c r="OE7" s="27">
        <f>IF($CV7="P",CS7,(CS7+BO7)/2)</f>
        <v>9.1999999999999993</v>
      </c>
      <c r="OF7" s="27">
        <f>IF($CV7="P",CT7,(CT7+BP7)/2)</f>
        <v>9.8000000000000007</v>
      </c>
      <c r="OG7" s="27">
        <f>IF($CV7="P",CU7,(CU7+BQ7)/2)</f>
        <v>0</v>
      </c>
      <c r="OH7" s="32" t="s">
        <v>44</v>
      </c>
      <c r="OI7" s="7">
        <f>IF(SUM(NN7:NQ7)-NR7&gt;0,SUM(NN7:NQ7)-NR7,"")</f>
        <v>37.68</v>
      </c>
      <c r="OJ7" s="7">
        <f>IF(NU7&gt;0,NU7,"")</f>
        <v>9.6999999999999993</v>
      </c>
      <c r="OK7" s="7">
        <f>IF(SUM(NS7:NV7)-NW7&gt;0,SUM(NS7:NV7)-NW7,"")</f>
        <v>36.11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73.789999999999992</v>
      </c>
      <c r="OO7" s="7">
        <f>IF(OE7&gt;0,OE7,"")</f>
        <v>9.1999999999999993</v>
      </c>
      <c r="OP7" s="7">
        <f t="shared" ref="OP7" si="6">IF(SUM(OC7:OF7)-OG7&gt;0,SUM(OC7:OF7)-OG7,"")</f>
        <v>33.450000000000003</v>
      </c>
      <c r="OQ7" s="7">
        <f t="shared" ref="OQ7" si="7">IF(SUM(ON7,OP7)&gt;0,SUM(ON7,OP7),"")</f>
        <v>107.24</v>
      </c>
    </row>
    <row r="8" spans="1:407" x14ac:dyDescent="0.2">
      <c r="A8" s="4" t="str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/>
      </c>
      <c r="B8" s="5" t="s">
        <v>105</v>
      </c>
      <c r="C8" s="4" t="s">
        <v>65</v>
      </c>
      <c r="D8" s="4">
        <v>2007</v>
      </c>
      <c r="E8" s="10">
        <f>SUM(I8:Q8)</f>
        <v>199.74</v>
      </c>
      <c r="F8" s="3" t="str">
        <f>IF(OR(AND(AP8&gt;=AW$11,AT8&gt;=AW$15,AO8&lt;&gt;"",AN8=""),AND(BT8&gt;=CA$11,BX8&gt;=CA$15,BS8&lt;&gt;"",BR8=""),AND(CX8&gt;=DE$11,DB8&gt;=DE$15,CW8&lt;&gt;"",CV8=""),AND(DY8&gt;=EE$11,EB8&gt;=EE$15,DY8&lt;&gt;""),AND(EU8&gt;=FA$11,EX8&gt;=FA$15,EU8&lt;&gt;""),AND(FQ8&gt;=FW$11,FT8&gt;=FW$15,FQ8&lt;&gt;""),AND(GM8&gt;=GS$11,GP8&gt;=GS$15,GM8&lt;&gt;""),AND(HI8&gt;=HO$11,HL8&gt;=HO$15,HI8&lt;&gt;""),AND(IE8&gt;=IK$11,IH8&gt;=IK$15,IE8&lt;&gt;""),AND(JA8&gt;=JG$11,JD8&gt;=JG$15,JA8&lt;&gt;""),AND(JW8&gt;=KC$11,JZ8&gt;=KC$15,JW8&lt;&gt;""),AND(KS8&gt;=KY$11,KV8&gt;=KY$15,KS8&lt;&gt;""),AND(LO8&gt;=LU$11,LR8&gt;=LU$15,LO8&lt;&gt;""),AND(MK8&gt;=MQ$11,MN8&gt;=MQ$15,MK8&lt;&gt;""),AND(NG8&gt;=NM$11,NJ8&gt;=NM$15,NG8&lt;&gt;"")),"P","")</f>
        <v/>
      </c>
      <c r="G8" s="3" t="str">
        <f>IF(OR(AND(AT8&gt;=AW$15,AO8&lt;&gt;"",AN8=""),AND(BX8&gt;=CA$15,BS8&lt;&gt;"",BR8=""),AND(DB8&gt;=DE$15,CW8&lt;&gt;"",CV8=""),AND(EB8&gt;=EE$15,DY8&lt;&gt;""),AND(EX8&gt;=FA$15,EU8&lt;&gt;""),AND(FT8&gt;=FW$15,FQ8&lt;&gt;""),AND(GP8&gt;=GS$15,GM8&lt;&gt;""),AND(HL8&gt;=HO$15,HI8&lt;&gt;""),AND(IH8&gt;=IK$15,IE8&lt;&gt;""),AND(JD8&gt;=JG$15,JA8&lt;&gt;""),AND(JZ8&gt;=KC$15,JW8&lt;&gt;""),AND(KV8&gt;=KY$15,KS8&lt;&gt;""),AND(LR8&gt;=LU$15,LO8&lt;&gt;""),AND(MN8&gt;=MQ$15,MK8&lt;&gt;""),AND(NJ8&gt;=NM$15,NG8&lt;&gt;"")),"P","")</f>
        <v/>
      </c>
      <c r="H8" s="47" t="str">
        <f>IF(OR(AND(AP8&gt;=AW$14,AQ8&gt;=AW$18,AP8&lt;&gt;"",AN8=""),AND(AU8&gt;=AW$14,AV8&gt;=AW$18,AU8&lt;&gt;"",AN8=""),AND(BT8&gt;=CA$14,BU8&gt;=CA$18,BT8&lt;&gt;"",BR8=""),AND(BY8&gt;=CA$14,BZ8&gt;=CA$18,BY8&lt;&gt;"",BR8=""),AND(CX8&gt;=DE$14,CY8&gt;=DE$18,CX8&lt;&gt;"",CV8=""),AND(DC8&gt;=DE$14,DD8&gt;=DE$18,DC8&lt;&gt;"",CV8=""),AND(DY8&gt;=EE$14,EA8&gt;=EE$18,DY8&lt;&gt;""),AND(EC8&gt;=EE$14,ED8&gt;=EE$18,EC8&lt;&gt;""),AND(EU8&gt;=FA$14,EW8&gt;=FA$18,EU8&lt;&gt;""),AND(EY8&gt;=FA$14,EZ8&gt;=FA$18,EY8&lt;&gt;""),AND(FQ8&gt;=FW$14,FS8&gt;=FW$18,FQ8&lt;&gt;""),AND(FU8&gt;=FW$14,FV8&gt;=FW$18,FU8&lt;&gt;""),AND(GM8&gt;=GS$14,GO8&gt;=GS$18,GM8&lt;&gt;""),AND(GQ8&gt;=GS$14,GR8&gt;=GS$18,GQ8&lt;&gt;""),AND(HI8&gt;=HO$14,HK8&gt;=HO$18,HI8&lt;&gt;""),AND(HM8&gt;=HO$14,HN8&gt;=HO$18,HM8&lt;&gt;""),AND(IE8&gt;=IK$14,IG8&gt;=IK$18,IE8&lt;&gt;""),AND(II8&gt;=IK$14,IJ8&gt;=IK$18,II8&lt;&gt;""),AND(JA8&gt;=JG$14,JC8&gt;=JG$18,JA8&lt;&gt;""),AND(JE8&gt;=JG$14,JF8&gt;=JG$18,JE8&lt;&gt;""),AND(JW8&gt;=KC$14,JY8&gt;=KC$18,JW8&lt;&gt;""),AND(KA8&gt;=KC$14,KB8&gt;=KC$18,KA8&lt;&gt;""),AND(KS8&gt;=KY$14,KU8&gt;=KY$18,KS8&lt;&gt;""),AND(KW8&gt;=KY$14,KX8&gt;=KY$18,KW8&lt;&gt;""),AND(LO8&gt;=LU$14,LQ8&gt;=LU$18,LO8&lt;&gt;""),AND(LS8&gt;=LU$14,LT8&gt;=LU$18,LS8&lt;&gt;""),AND(MK8&gt;=MQ$14,MM8&gt;=MQ$18,MK8&lt;&gt;""),AND(MO8&gt;=MQ$14,MP8&gt;=MQ$18,MO8&lt;&gt;""),AND(NG8&gt;=NM$14,NI8&gt;=NM$18,NG8&lt;&gt;""),AND(NK8&gt;=NM$14,NL8&gt;=NM$18,NK8&lt;&gt;"")),"Merit",IF(OR(AND(AP8&gt;=AW$13,AT8&gt;=AW$17,AO8&lt;&gt;"",AN8=""),AND(BT8&gt;=CA$13,BX8&gt;=CA$17,BS8&lt;&gt;"",BR8=""),AND(CX8&gt;=DE$13,DB8&gt;=DE$17,CW8&lt;&gt;"",CV8=""),AND(DY8&gt;=EE$13,EB8&gt;=EE$17,DY8&lt;&gt;""),AND(EU8&gt;=FA$13,EX8&gt;=FA$17,EU8&lt;&gt;""),AND(FQ8&gt;=FW$13,FT8&gt;=FW$17,FQ8&lt;&gt;""),AND(GM8&gt;=GS$13,GP8&gt;=GS$17,GM8&lt;&gt;""),AND(HI8&gt;=HO$13,HL8&gt;=HO$17,HI8&lt;&gt;""),AND(IE8&gt;=IK$13,IH8&gt;=IK$17,IE8&lt;&gt;""),AND(JA8&gt;=JG$13,JD8&gt;=JG$17,JA8&lt;&gt;""),AND(JW8&gt;=KC$13,JZ8&gt;=KC$17,JW8&lt;&gt;""),AND(KS8&gt;=KY$13,KV8&gt;=KY$17,KS8&lt;&gt;""),AND(LO8&gt;=LU$13,LR8&gt;=LU$17,LO8&lt;&gt;""),AND(MK8&gt;=MQ$13,MN8&gt;=MQ$17,MK8&lt;&gt;""),AND(NG8&gt;=NM$13,NJ8&gt;=NM$17,NG8&lt;&gt;"")),"Excellence",IF(OR(AND(AP8&gt;=AW$11,AT8&gt;=AW$15,AO8&lt;&gt;"",AN8=""),AND(BT8&gt;=CA$11,BX8&gt;=CA$15,BS8&lt;&gt;"",BR8=""),AND(CX8&gt;=DE$11,DB8&gt;=DE$15,CW8&lt;&gt;"",CV8=""),AND(DY8&gt;=EE$11,EB8&gt;=EE$15,DY8&lt;&gt;""),AND(EU8&gt;=FA$11,EX8&gt;=FA$15,EU8&lt;&gt;""),AND(FQ8&gt;=FW$11,FT8&gt;=FW$15,FQ8&lt;&gt;""),AND(GM8&gt;=GS$11,GP8&gt;=GS$15,GM8&lt;&gt;""),AND(HI8&gt;=HO$11,HL8&gt;=HO$15,HI8&lt;&gt;""),AND(IE8&gt;=IK$11,IH8&gt;=IK$15,IE8&lt;&gt;""),AND(JA8&gt;=JG$11,JD8&gt;=JG$15,JA8&lt;&gt;""),AND(JW8&gt;=KC$11,JZ8&gt;=KC$15,JW8&lt;&gt;""),AND(KS8&gt;=KY$11,KV8&gt;=KY$15,KS8&lt;&gt;""),AND(LO8&gt;=LU$11,LR8&gt;=LU$15,LO8&lt;&gt;""),AND(MK8&gt;=MQ$11,MN8&gt;=MQ$15,MK8&lt;&gt;""),AND(NG8&gt;=NM$11,NJ8&gt;=NM$15,NG8&lt;&gt;"")),"National Team",IF(G8="P","No DD",""))))</f>
        <v/>
      </c>
      <c r="I8" s="9">
        <f>IF(MAX(AT8,BX8,DB8)&gt;0,MAX(AT8,BX8,DB8),0)</f>
        <v>92.800000000000011</v>
      </c>
      <c r="J8" s="9" t="str">
        <f>IF(I8=0,"",IF(I8=DB8,$CB$1,IF(I8=BX8,$AX$1,IF(I8=AT8,$T$1,""))))</f>
        <v>2023 Nationals</v>
      </c>
      <c r="K8" s="9">
        <f>IF($I8=$AT8,MAX(BS8,CW8),IF($I8=$BX8,MAX(AO8,CW8),IF($I8=$DB8,MAX(AO8,BS8),MAX(AO8,BS8,CW8))))</f>
        <v>43.19</v>
      </c>
      <c r="L8" s="9" t="str">
        <f>IF(K8=0,"",IF(AND(K8=CW8,$J8&lt;&gt;$CB$1),$CB$1,IF(AND(K8=BS8,$J8&lt;&gt;$AX$1),$AX$1,IF(AND(K8=AO8,$J8&lt;&gt;$T$1),$T$1,""))))</f>
        <v>2023 3rd Domestic Trial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11.030000000000001</v>
      </c>
      <c r="N8" s="9" t="str">
        <f>IF(M8=0,"",IF(AND(OR(M8=DA8,M8=CY8),$J8&lt;&gt;$CB$1),$CB$1,IF(AND(OR(M8=BW8,M8=BU8),$J8&lt;&gt;$AX$1),$AX$1,IF(AND(OR(M8=AS8,M8=AQ8),$J8&lt;&gt;$T$1),$T$1,""))))</f>
        <v>2023 Elite Canada</v>
      </c>
      <c r="O8" s="9">
        <f>MAX(AV8,BZ8,DD8)</f>
        <v>52.72</v>
      </c>
      <c r="P8" s="9" t="str">
        <f>IF(O8=0,"",IF(O8=DD8,$CB$1,IF(O8=BZ8,$AX$1,IF(O8=AV8,$T$1,""))))</f>
        <v>2023 Nationals</v>
      </c>
      <c r="Q8" s="9" t="str">
        <f>IF(MAX(DF8,DG8,DH8,DI8)&gt;0,MAX(DF8,DG8,DH8,DI8),"")</f>
        <v/>
      </c>
      <c r="R8" s="14" t="str">
        <f>IF(Q8="","",IF(Q8=DF8,"(Vol 1)",IF(Q8=DG8,"(Vol 2)",IF(Q8=DH8,"(Prelim)",IF(Q8=DI8,"(Final)")))))</f>
        <v/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/>
      </c>
      <c r="T8" s="27">
        <v>15.7</v>
      </c>
      <c r="U8" s="27">
        <v>8.3000000000000007</v>
      </c>
      <c r="V8" s="27">
        <v>0</v>
      </c>
      <c r="W8" s="27">
        <v>13.66</v>
      </c>
      <c r="X8" s="27">
        <v>0</v>
      </c>
      <c r="Y8" s="27">
        <v>3.2</v>
      </c>
      <c r="Z8" s="27">
        <v>1.8</v>
      </c>
      <c r="AA8" s="27">
        <v>2.9</v>
      </c>
      <c r="AB8" s="27">
        <v>3.13</v>
      </c>
      <c r="AC8" s="27">
        <v>0</v>
      </c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32"/>
      <c r="AO8" s="7">
        <f>IF(SUM(T8:W8)-X8&gt;0,SUM(T8:W8)-X8,"")</f>
        <v>37.659999999999997</v>
      </c>
      <c r="AP8" s="7">
        <f>IF(AA8&gt;0,AA8,"")</f>
        <v>2.9</v>
      </c>
      <c r="AQ8" s="7">
        <f>IF(SUM(Y8:AB8)-AC8&gt;0,SUM(Y8:AB8)-AC8,"")</f>
        <v>11.030000000000001</v>
      </c>
      <c r="AR8" s="7" t="str">
        <f>IF(AF8&gt;0,AF8,"")</f>
        <v/>
      </c>
      <c r="AS8" s="7" t="str">
        <f>IF(SUM(AD8:AG8)-AH8&gt;0,SUM(AD8:AG8)-AH8,"")</f>
        <v/>
      </c>
      <c r="AT8" s="7">
        <f>IF(AO8="",IF(MAX(AQ8,AS8)&gt;0,MAX(AQ8,AS8),""),MAX(AQ8,AS8)+AO8)</f>
        <v>48.69</v>
      </c>
      <c r="AU8" s="7" t="str">
        <f>IF(AK8&gt;0,AK8,"")</f>
        <v/>
      </c>
      <c r="AV8" s="7" t="str">
        <f>IF(SUM(AI8:AL8)-AM8&gt;0,SUM(AI8:AL8)-AM8,"")</f>
        <v/>
      </c>
      <c r="AW8" s="7">
        <f>IF(SUM(AT8,AV8)&gt;0,SUM(AT8,AV8),"")</f>
        <v>48.69</v>
      </c>
      <c r="AX8" s="23">
        <v>17.100000000000001</v>
      </c>
      <c r="AY8" s="23">
        <v>9.3000000000000007</v>
      </c>
      <c r="AZ8" s="23">
        <v>0</v>
      </c>
      <c r="BA8" s="23">
        <v>15.5</v>
      </c>
      <c r="BB8" s="23">
        <v>0</v>
      </c>
      <c r="BC8" s="23">
        <v>15.7</v>
      </c>
      <c r="BD8" s="23">
        <v>9.1</v>
      </c>
      <c r="BE8" s="23">
        <v>11.5</v>
      </c>
      <c r="BF8" s="23">
        <v>14.6</v>
      </c>
      <c r="BG8" s="23">
        <v>0</v>
      </c>
      <c r="BH8" s="23"/>
      <c r="BI8" s="23"/>
      <c r="BJ8" s="23"/>
      <c r="BK8" s="23"/>
      <c r="BL8" s="23"/>
      <c r="BM8" s="23">
        <v>16.899999999999999</v>
      </c>
      <c r="BN8" s="23">
        <v>9.8000000000000007</v>
      </c>
      <c r="BO8" s="23">
        <v>11.5</v>
      </c>
      <c r="BP8" s="23">
        <v>14.52</v>
      </c>
      <c r="BQ8" s="23">
        <v>0</v>
      </c>
      <c r="BR8" s="33"/>
      <c r="BS8" s="9">
        <f>IF(SUM(AX8:BA8)-BB8&gt;0,SUM(AX8:BA8)-BB8,"")</f>
        <v>41.900000000000006</v>
      </c>
      <c r="BT8" s="9">
        <f>IF(BE8&gt;0,BE8,"")</f>
        <v>11.5</v>
      </c>
      <c r="BU8" s="9">
        <f>IF(SUM(BC8:BF8)-BG8&gt;0,SUM(BC8:BF8)-BG8,"")</f>
        <v>50.9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92.800000000000011</v>
      </c>
      <c r="BY8" s="9">
        <f>IF(BO8&gt;0,BO8,"")</f>
        <v>11.5</v>
      </c>
      <c r="BZ8" s="9">
        <f>IF(SUM(BM8:BP8)-BQ8&gt;0,SUM(BM8:BP8)-BQ8,"")</f>
        <v>52.72</v>
      </c>
      <c r="CA8" s="9">
        <f>IF(SUM(BX8,BZ8)&gt;0,SUM(BX8,BZ8),"")</f>
        <v>145.52000000000001</v>
      </c>
      <c r="CB8" s="27">
        <v>17.399999999999999</v>
      </c>
      <c r="CC8" s="27">
        <v>9.4</v>
      </c>
      <c r="CD8" s="27">
        <v>0</v>
      </c>
      <c r="CE8" s="27">
        <v>16.39</v>
      </c>
      <c r="CF8" s="27">
        <v>0</v>
      </c>
      <c r="CG8" s="27">
        <v>1.6</v>
      </c>
      <c r="CH8" s="27">
        <v>0.8</v>
      </c>
      <c r="CI8" s="27">
        <v>2</v>
      </c>
      <c r="CJ8" s="27">
        <v>1.75</v>
      </c>
      <c r="CK8" s="27">
        <v>0</v>
      </c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32"/>
      <c r="CW8" s="7">
        <f>IF(SUM(CB8:CE8)-CF8&gt;0,SUM(CB8:CE8)-CF8,"")</f>
        <v>43.19</v>
      </c>
      <c r="CX8" s="7">
        <f>IF(CI8&gt;0,CI8,"")</f>
        <v>2</v>
      </c>
      <c r="CY8" s="7">
        <f>IF(SUM(CG8:CJ8)-CK8&gt;0,SUM(CG8:CJ8)-CK8,"")</f>
        <v>6.15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49.339999999999996</v>
      </c>
      <c r="DC8" s="7" t="str">
        <f>IF(CS8&gt;0,CS8,"")</f>
        <v/>
      </c>
      <c r="DD8" s="7" t="str">
        <f>IF(SUM(CQ8:CT8)-CU8&gt;0,SUM(CQ8:CT8)-CU8,"")</f>
        <v/>
      </c>
      <c r="DE8" s="7">
        <f>IF(SUM(DB8,DD8)&gt;0,SUM(DB8,DD8),"")</f>
        <v>49.339999999999996</v>
      </c>
      <c r="DF8" s="13" t="str">
        <f>IF(MAX(DZ8,EV8,FR8,GN8,HJ8,IF8,JB8,JX8,KT8,LP8,ML8,NH8)-IF(K8="",0,K8)&gt;0.001,MAX(DZ8,EV8,FR8,GN8,HJ8,IF8,JB8,JX8,KT8,LP8,ML8,NH8)-IF(K8="",0,K8),"")</f>
        <v/>
      </c>
      <c r="DG8" s="13" t="str">
        <f>IF(MAX(EA8,EW8,FS8,GO8,HK8,IG8,JC8,JY8,KU8,LQ8,MM8,NI8)-IF(M8="",0,M8)&gt;0.001,MAX(EA8,EW8,FS8,GO8,HK8,IG8,JC8,JY8,KU8,LQ8,MM8,NI8)-IF(M8="",0,M8),"")</f>
        <v/>
      </c>
      <c r="DH8" s="13" t="str">
        <f>IF(MAX(EB8,EX8,FT8,GP8,HL8,IH8,JD8,JZ8,KV8,LR8,MN8,NJ8)-IF(I8="",0,I8)&gt;0.001,MAX(EB8,EX8,FT8,GP8,HL8,IH8,JD8,JZ8,KV8,LR8,MN8,NJ8)-IF(I8="",0,I8),"")</f>
        <v/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>IF(GE8&gt;0,GE8,"")</f>
        <v/>
      </c>
      <c r="GN8" s="9" t="str">
        <f>IF(SUM(FX8:GA8)-GB8&gt;0,SUM(FX8:GA8)-GB8,"")</f>
        <v/>
      </c>
      <c r="GO8" s="9" t="str">
        <f>IF(SUM(GC8:GF8)-GG8&gt;0,SUM(GC8:GF8)-GG8,"")</f>
        <v/>
      </c>
      <c r="GP8" s="9" t="str">
        <f>IF(SUM(GN8:GO8)&gt;0,SUM(GN8:GO8),"")</f>
        <v/>
      </c>
      <c r="GQ8" s="9" t="str">
        <f>IF(GJ8&gt;0,GJ8,"")</f>
        <v/>
      </c>
      <c r="GR8" s="9" t="str">
        <f>IF(SUM(GH8:GK8)-GL8&gt;0,SUM(GH8:GK8)-GL8,"")</f>
        <v/>
      </c>
      <c r="GS8" s="9" t="str">
        <f>IF(SUM(GP8,GR8)&gt;0,SUM(GP8,GR8),"")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17.25</v>
      </c>
      <c r="NO8" s="27">
        <f>IF($CV8="P",CC8,(CC8+AY8)/2)</f>
        <v>9.3500000000000014</v>
      </c>
      <c r="NP8" s="27">
        <f>IF($CV8="P",CD8,(CD8+AZ8)/2)</f>
        <v>0</v>
      </c>
      <c r="NQ8" s="27">
        <f>IF($CV8="P",CE8,(CE8+BA8)/2)</f>
        <v>15.945</v>
      </c>
      <c r="NR8" s="27">
        <f>IF($CV8="P",CF8,(CF8+BB8)/2)</f>
        <v>0</v>
      </c>
      <c r="NS8" s="27">
        <f>IF($CV8="P",CG8,(CG8+BC8)/2)</f>
        <v>8.65</v>
      </c>
      <c r="NT8" s="27">
        <f>IF($CV8="P",CH8,(CH8+BD8)/2)</f>
        <v>4.95</v>
      </c>
      <c r="NU8" s="27">
        <f>IF($CV8="P",CI8,(CI8+BE8)/2)</f>
        <v>6.75</v>
      </c>
      <c r="NV8" s="27">
        <f>IF($CV8="P",CJ8,(CJ8+BF8)/2)</f>
        <v>8.1750000000000007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8.4499999999999993</v>
      </c>
      <c r="OD8" s="27">
        <f>IF($CV8="P",CR8,(CR8+BN8)/2)</f>
        <v>4.9000000000000004</v>
      </c>
      <c r="OE8" s="27">
        <f>IF($CV8="P",CS8,(CS8+BO8)/2)</f>
        <v>5.75</v>
      </c>
      <c r="OF8" s="27">
        <f>IF($CV8="P",CT8,(CT8+BP8)/2)</f>
        <v>7.26</v>
      </c>
      <c r="OG8" s="27">
        <f>IF($CV8="P",CU8,(CU8+BQ8)/2)</f>
        <v>0</v>
      </c>
      <c r="OH8" s="32" t="s">
        <v>44</v>
      </c>
      <c r="OI8" s="7">
        <f>IF(SUM(NN8:NQ8)-NR8&gt;0,SUM(NN8:NQ8)-NR8,"")</f>
        <v>42.545000000000002</v>
      </c>
      <c r="OJ8" s="7">
        <f>IF(NU8&gt;0,NU8,"")</f>
        <v>6.75</v>
      </c>
      <c r="OK8" s="7">
        <f>IF(SUM(NS8:NV8)-NW8&gt;0,SUM(NS8:NV8)-NW8,"")</f>
        <v>28.525000000000002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71.070000000000007</v>
      </c>
      <c r="OO8" s="7">
        <f>IF(OE8&gt;0,OE8,"")</f>
        <v>5.75</v>
      </c>
      <c r="OP8" s="7">
        <f t="shared" ref="OP8" si="8">IF(SUM(OC8:OF8)-OG8&gt;0,SUM(OC8:OF8)-OG8,"")</f>
        <v>26.36</v>
      </c>
      <c r="OQ8" s="7">
        <f t="shared" ref="OQ8" si="9">IF(SUM(ON8,OP8)&gt;0,SUM(ON8,OP8),"")</f>
        <v>97.43</v>
      </c>
    </row>
    <row r="9" spans="1:407" x14ac:dyDescent="0.2">
      <c r="B9" s="5"/>
      <c r="D9" s="1"/>
    </row>
    <row r="11" spans="1:407" x14ac:dyDescent="0.2">
      <c r="B11" s="28" t="s">
        <v>42</v>
      </c>
      <c r="C11" s="5"/>
      <c r="AP11" s="46"/>
      <c r="AQ11" s="46"/>
      <c r="AR11" s="46"/>
      <c r="AU11" s="2"/>
      <c r="AW11" s="24">
        <v>13.5</v>
      </c>
      <c r="BT11" s="46"/>
      <c r="BU11" s="46"/>
      <c r="BV11" s="46"/>
      <c r="BY11" s="2"/>
      <c r="CA11" s="24">
        <v>13.5</v>
      </c>
      <c r="CX11" s="46"/>
      <c r="CY11" s="46"/>
      <c r="CZ11" s="46"/>
      <c r="DC11" s="2"/>
      <c r="DE11" s="24">
        <v>13.5</v>
      </c>
      <c r="DY11" s="5"/>
      <c r="EC11" s="2"/>
      <c r="EE11" s="24">
        <v>13.5</v>
      </c>
      <c r="EU11" s="5"/>
      <c r="EY11" s="2"/>
      <c r="FA11" s="24">
        <v>13.5</v>
      </c>
      <c r="FQ11" s="5"/>
      <c r="FU11" s="2"/>
      <c r="FW11" s="24">
        <v>13.5</v>
      </c>
      <c r="GM11" s="5"/>
      <c r="GQ11" s="2"/>
      <c r="GS11" s="24">
        <v>13.5</v>
      </c>
      <c r="HI11" s="5"/>
      <c r="HM11" s="2"/>
      <c r="HO11" s="24">
        <v>13.5</v>
      </c>
      <c r="IE11" s="5"/>
      <c r="II11" s="2"/>
      <c r="IK11" s="24">
        <v>13.5</v>
      </c>
      <c r="JA11" s="5"/>
      <c r="JE11" s="2"/>
      <c r="JG11" s="24">
        <v>13.5</v>
      </c>
      <c r="JW11" s="5"/>
      <c r="KA11" s="2"/>
      <c r="KC11" s="24">
        <v>13.5</v>
      </c>
      <c r="KS11" s="5"/>
      <c r="KW11" s="2"/>
      <c r="KY11" s="24">
        <v>13.5</v>
      </c>
      <c r="LO11" s="5"/>
      <c r="LS11" s="2"/>
      <c r="LU11" s="24">
        <v>13.5</v>
      </c>
      <c r="MK11" s="5"/>
      <c r="MO11" s="2"/>
      <c r="MQ11" s="24">
        <v>13.5</v>
      </c>
      <c r="NG11" s="5"/>
      <c r="NK11" s="2"/>
      <c r="NM11" s="24">
        <v>13.5</v>
      </c>
    </row>
    <row r="12" spans="1:407" hidden="1" x14ac:dyDescent="0.2">
      <c r="B12" s="35" t="s">
        <v>41</v>
      </c>
      <c r="C12" s="5"/>
      <c r="AP12" s="46"/>
      <c r="AQ12" s="46"/>
      <c r="AR12" s="46"/>
      <c r="AU12" s="2"/>
      <c r="AW12" s="39">
        <v>13.5</v>
      </c>
      <c r="BT12" s="46"/>
      <c r="BU12" s="46"/>
      <c r="BV12" s="46"/>
      <c r="BY12" s="2"/>
      <c r="CA12" s="39">
        <v>13.5</v>
      </c>
      <c r="CX12" s="46"/>
      <c r="CY12" s="46"/>
      <c r="CZ12" s="46"/>
      <c r="DC12" s="2"/>
      <c r="DE12" s="39">
        <v>13.5</v>
      </c>
      <c r="DY12" s="5"/>
      <c r="EC12" s="2"/>
      <c r="EE12" s="39">
        <v>13.5</v>
      </c>
      <c r="EU12" s="5"/>
      <c r="EY12" s="2"/>
      <c r="FA12" s="39">
        <v>13.5</v>
      </c>
      <c r="FQ12" s="5"/>
      <c r="FU12" s="2"/>
      <c r="FW12" s="39">
        <v>13.5</v>
      </c>
      <c r="GM12" s="5"/>
      <c r="GQ12" s="2"/>
      <c r="GS12" s="39">
        <v>13.5</v>
      </c>
      <c r="HI12" s="5"/>
      <c r="HM12" s="2"/>
      <c r="HO12" s="39">
        <v>13.5</v>
      </c>
      <c r="IE12" s="5"/>
      <c r="II12" s="2"/>
      <c r="IK12" s="39">
        <v>13.5</v>
      </c>
      <c r="JA12" s="5"/>
      <c r="JE12" s="2"/>
      <c r="JG12" s="39">
        <v>13.5</v>
      </c>
      <c r="JW12" s="5"/>
      <c r="KA12" s="2"/>
      <c r="KC12" s="39">
        <v>13.5</v>
      </c>
      <c r="KS12" s="5"/>
      <c r="KW12" s="2"/>
      <c r="KY12" s="39">
        <v>13.5</v>
      </c>
      <c r="LO12" s="5"/>
      <c r="LS12" s="2"/>
      <c r="LU12" s="39">
        <v>13.5</v>
      </c>
      <c r="MK12" s="5"/>
      <c r="MO12" s="2"/>
      <c r="MQ12" s="39">
        <v>13.5</v>
      </c>
      <c r="NG12" s="5"/>
      <c r="NK12" s="2"/>
      <c r="NM12" s="39">
        <v>13.5</v>
      </c>
    </row>
    <row r="13" spans="1:407" x14ac:dyDescent="0.2">
      <c r="A13" s="5"/>
      <c r="B13" s="36" t="s">
        <v>54</v>
      </c>
      <c r="C13" s="5"/>
      <c r="AP13" s="46"/>
      <c r="AQ13" s="46"/>
      <c r="AR13" s="46"/>
      <c r="AT13" s="2"/>
      <c r="AU13" s="2"/>
      <c r="AV13" s="2"/>
      <c r="AW13" s="38">
        <v>13.5</v>
      </c>
      <c r="BT13" s="46"/>
      <c r="BU13" s="46"/>
      <c r="BV13" s="46"/>
      <c r="BY13" s="2"/>
      <c r="CA13" s="38">
        <v>13.5</v>
      </c>
      <c r="CX13" s="46"/>
      <c r="CY13" s="46"/>
      <c r="CZ13" s="46"/>
      <c r="DB13" s="2"/>
      <c r="DC13" s="2"/>
      <c r="DD13" s="2"/>
      <c r="DE13" s="38">
        <v>13.5</v>
      </c>
      <c r="DY13" s="5"/>
      <c r="EC13" s="2"/>
      <c r="EE13" s="38">
        <v>13.5</v>
      </c>
      <c r="EU13" s="5"/>
      <c r="EY13" s="2"/>
      <c r="FA13" s="38">
        <v>13.5</v>
      </c>
      <c r="FQ13" s="5"/>
      <c r="FU13" s="2"/>
      <c r="FW13" s="38">
        <v>13.5</v>
      </c>
      <c r="GM13" s="5"/>
      <c r="GQ13" s="2"/>
      <c r="GS13" s="38">
        <v>13.5</v>
      </c>
      <c r="HI13" s="5"/>
      <c r="HM13" s="2"/>
      <c r="HO13" s="38">
        <v>13.5</v>
      </c>
      <c r="IE13" s="5"/>
      <c r="II13" s="2"/>
      <c r="IK13" s="38">
        <v>13.5</v>
      </c>
      <c r="JA13" s="5"/>
      <c r="JE13" s="2"/>
      <c r="JG13" s="38">
        <v>13.5</v>
      </c>
      <c r="JW13" s="5"/>
      <c r="KA13" s="2"/>
      <c r="KC13" s="38">
        <v>13.5</v>
      </c>
      <c r="KS13" s="5"/>
      <c r="KW13" s="2"/>
      <c r="KY13" s="38">
        <v>13.5</v>
      </c>
      <c r="LO13" s="5"/>
      <c r="LS13" s="2"/>
      <c r="LU13" s="38">
        <v>13.5</v>
      </c>
      <c r="MK13" s="5"/>
      <c r="MO13" s="2"/>
      <c r="MQ13" s="38">
        <v>13.5</v>
      </c>
      <c r="NG13" s="5"/>
      <c r="NK13" s="2"/>
      <c r="NM13" s="38">
        <v>13.5</v>
      </c>
    </row>
    <row r="14" spans="1:407" x14ac:dyDescent="0.2">
      <c r="A14" s="5"/>
      <c r="B14" s="44" t="s">
        <v>59</v>
      </c>
      <c r="C14" s="5"/>
      <c r="AP14" s="46"/>
      <c r="AQ14" s="46"/>
      <c r="AR14" s="46"/>
      <c r="AT14" s="2"/>
      <c r="AU14" s="2"/>
      <c r="AV14" s="2"/>
      <c r="AW14" s="45">
        <v>13.5</v>
      </c>
      <c r="BT14" s="46"/>
      <c r="BU14" s="46"/>
      <c r="BV14" s="46"/>
      <c r="BY14" s="2"/>
      <c r="CA14" s="45">
        <v>13.5</v>
      </c>
      <c r="CX14" s="46"/>
      <c r="CY14" s="46"/>
      <c r="CZ14" s="46"/>
      <c r="DB14" s="2"/>
      <c r="DC14" s="2"/>
      <c r="DD14" s="2"/>
      <c r="DE14" s="45">
        <v>13.5</v>
      </c>
      <c r="DY14" s="5"/>
      <c r="EC14" s="2"/>
      <c r="EE14" s="45">
        <v>13.5</v>
      </c>
      <c r="EU14" s="5"/>
      <c r="EY14" s="2"/>
      <c r="FA14" s="45">
        <v>13.5</v>
      </c>
      <c r="FQ14" s="5"/>
      <c r="FU14" s="2"/>
      <c r="FW14" s="45">
        <v>13.5</v>
      </c>
      <c r="GM14" s="5"/>
      <c r="GQ14" s="2"/>
      <c r="GS14" s="45">
        <v>13.5</v>
      </c>
      <c r="HI14" s="5"/>
      <c r="HM14" s="2"/>
      <c r="HO14" s="45">
        <v>13.5</v>
      </c>
      <c r="IE14" s="5"/>
      <c r="II14" s="2"/>
      <c r="IK14" s="45">
        <v>13.5</v>
      </c>
      <c r="JA14" s="5"/>
      <c r="JE14" s="2"/>
      <c r="JG14" s="45">
        <v>13.5</v>
      </c>
      <c r="JW14" s="5"/>
      <c r="KA14" s="2"/>
      <c r="KC14" s="45">
        <v>13.5</v>
      </c>
      <c r="KS14" s="5"/>
      <c r="KW14" s="2"/>
      <c r="KY14" s="45">
        <v>13.5</v>
      </c>
      <c r="LO14" s="5"/>
      <c r="LS14" s="2"/>
      <c r="LU14" s="45">
        <v>13.5</v>
      </c>
      <c r="MK14" s="5"/>
      <c r="MO14" s="2"/>
      <c r="MQ14" s="45">
        <v>13.5</v>
      </c>
      <c r="NG14" s="5"/>
      <c r="NK14" s="2"/>
      <c r="NM14" s="45">
        <v>13.5</v>
      </c>
    </row>
    <row r="15" spans="1:407" x14ac:dyDescent="0.2">
      <c r="A15" s="5"/>
      <c r="B15" s="42" t="s">
        <v>39</v>
      </c>
      <c r="C15" s="5"/>
      <c r="M15" s="2"/>
      <c r="AP15" s="46"/>
      <c r="AQ15" s="46"/>
      <c r="AR15" s="46"/>
      <c r="AT15" s="2"/>
      <c r="AU15" s="2"/>
      <c r="AV15" s="2"/>
      <c r="AW15" s="43">
        <v>96</v>
      </c>
      <c r="BT15" s="46"/>
      <c r="BU15" s="46"/>
      <c r="BV15" s="46"/>
      <c r="BY15" s="2"/>
      <c r="CA15" s="43">
        <v>96</v>
      </c>
      <c r="CX15" s="46"/>
      <c r="CY15" s="46"/>
      <c r="CZ15" s="46"/>
      <c r="DB15" s="2"/>
      <c r="DC15" s="2"/>
      <c r="DD15" s="2"/>
      <c r="DE15" s="43">
        <v>96</v>
      </c>
      <c r="DY15" s="5"/>
      <c r="EC15" s="2"/>
      <c r="EE15" s="43">
        <v>96</v>
      </c>
      <c r="EU15" s="5"/>
      <c r="EY15" s="2"/>
      <c r="FA15" s="43">
        <v>96</v>
      </c>
      <c r="FQ15" s="5"/>
      <c r="FU15" s="2"/>
      <c r="FW15" s="43">
        <v>96</v>
      </c>
      <c r="GM15" s="5"/>
      <c r="GQ15" s="2"/>
      <c r="GS15" s="43">
        <v>96</v>
      </c>
      <c r="HI15" s="5"/>
      <c r="HM15" s="2"/>
      <c r="HO15" s="43">
        <v>96</v>
      </c>
      <c r="IE15" s="5"/>
      <c r="II15" s="2"/>
      <c r="IK15" s="43">
        <v>96</v>
      </c>
      <c r="JA15" s="5"/>
      <c r="JE15" s="2"/>
      <c r="JG15" s="43">
        <v>96</v>
      </c>
      <c r="JW15" s="5"/>
      <c r="KA15" s="2"/>
      <c r="KC15" s="43">
        <v>96</v>
      </c>
      <c r="KS15" s="5"/>
      <c r="KW15" s="2"/>
      <c r="KY15" s="43">
        <v>96</v>
      </c>
      <c r="LO15" s="5"/>
      <c r="LS15" s="2"/>
      <c r="LU15" s="43">
        <v>96</v>
      </c>
      <c r="MK15" s="5"/>
      <c r="MO15" s="2"/>
      <c r="MQ15" s="43">
        <v>96</v>
      </c>
      <c r="NG15" s="5"/>
      <c r="NK15" s="2"/>
      <c r="NM15" s="43">
        <v>96</v>
      </c>
    </row>
    <row r="16" spans="1:407" hidden="1" x14ac:dyDescent="0.2">
      <c r="A16" s="5"/>
      <c r="B16" s="29" t="s">
        <v>40</v>
      </c>
      <c r="C16" s="5"/>
      <c r="M16" s="2"/>
      <c r="AP16" s="46"/>
      <c r="AQ16" s="46"/>
      <c r="AR16" s="46"/>
      <c r="AT16" s="2"/>
      <c r="AU16" s="2"/>
      <c r="AV16" s="2"/>
      <c r="AW16" s="25">
        <v>99.2</v>
      </c>
      <c r="BT16" s="46"/>
      <c r="BU16" s="46"/>
      <c r="BV16" s="46"/>
      <c r="BY16" s="2"/>
      <c r="CA16" s="25">
        <v>99.2</v>
      </c>
      <c r="CX16" s="46"/>
      <c r="CY16" s="46"/>
      <c r="CZ16" s="46"/>
      <c r="DB16" s="2"/>
      <c r="DC16" s="2"/>
      <c r="DD16" s="2"/>
      <c r="DE16" s="25">
        <v>99.2</v>
      </c>
      <c r="DY16" s="5"/>
      <c r="EC16" s="2"/>
      <c r="EE16" s="25">
        <v>99.2</v>
      </c>
      <c r="EU16" s="5"/>
      <c r="EY16" s="2"/>
      <c r="FA16" s="25">
        <v>99.2</v>
      </c>
      <c r="FQ16" s="5"/>
      <c r="FU16" s="2"/>
      <c r="FW16" s="25">
        <v>99.2</v>
      </c>
      <c r="GM16" s="5"/>
      <c r="GQ16" s="2"/>
      <c r="GS16" s="25">
        <v>99.2</v>
      </c>
      <c r="HI16" s="5"/>
      <c r="HM16" s="2"/>
      <c r="HO16" s="25">
        <v>99.2</v>
      </c>
      <c r="IE16" s="5"/>
      <c r="II16" s="2"/>
      <c r="IK16" s="25">
        <v>99.2</v>
      </c>
      <c r="JA16" s="5"/>
      <c r="JE16" s="2"/>
      <c r="JG16" s="25">
        <v>99.2</v>
      </c>
      <c r="JW16" s="5"/>
      <c r="KA16" s="2"/>
      <c r="KC16" s="25">
        <v>99.2</v>
      </c>
      <c r="KS16" s="5"/>
      <c r="KW16" s="2"/>
      <c r="KY16" s="25">
        <v>99.2</v>
      </c>
      <c r="LO16" s="5"/>
      <c r="LS16" s="2"/>
      <c r="LU16" s="25">
        <v>99.2</v>
      </c>
      <c r="MK16" s="5"/>
      <c r="MO16" s="2"/>
      <c r="MQ16" s="25">
        <v>99.2</v>
      </c>
      <c r="NG16" s="5"/>
      <c r="NK16" s="2"/>
      <c r="NM16" s="25">
        <v>99.2</v>
      </c>
    </row>
    <row r="17" spans="1:377" x14ac:dyDescent="0.2">
      <c r="A17" s="5"/>
      <c r="B17" s="40" t="s">
        <v>53</v>
      </c>
      <c r="C17" s="5"/>
      <c r="AP17" s="46"/>
      <c r="AQ17" s="46"/>
      <c r="AR17" s="46"/>
      <c r="AT17" s="2"/>
      <c r="AU17" s="2"/>
      <c r="AV17" s="2"/>
      <c r="AW17" s="41">
        <v>99.2</v>
      </c>
      <c r="BT17" s="46"/>
      <c r="BU17" s="46"/>
      <c r="BV17" s="46"/>
      <c r="BY17" s="2"/>
      <c r="BZ17" s="48"/>
      <c r="CA17" s="41">
        <v>99.2</v>
      </c>
      <c r="CX17" s="46"/>
      <c r="CY17" s="46"/>
      <c r="CZ17" s="46"/>
      <c r="DB17" s="2"/>
      <c r="DC17" s="2"/>
      <c r="DD17" s="2"/>
      <c r="DE17" s="41">
        <v>99.2</v>
      </c>
      <c r="DY17" s="5"/>
      <c r="EC17" s="2"/>
      <c r="ED17" s="48"/>
      <c r="EE17" s="41">
        <v>99.2</v>
      </c>
      <c r="EU17" s="5"/>
      <c r="EY17" s="2"/>
      <c r="FA17" s="41">
        <v>99.2</v>
      </c>
      <c r="FQ17" s="5"/>
      <c r="FU17" s="2"/>
      <c r="FW17" s="41">
        <v>99.2</v>
      </c>
      <c r="GM17" s="5"/>
      <c r="GQ17" s="2"/>
      <c r="GR17" s="48"/>
      <c r="GS17" s="41">
        <v>99.2</v>
      </c>
      <c r="HI17" s="5"/>
      <c r="HM17" s="2"/>
      <c r="HN17" s="48"/>
      <c r="HO17" s="41">
        <v>99.2</v>
      </c>
      <c r="IE17" s="5"/>
      <c r="II17" s="2"/>
      <c r="IJ17" s="48"/>
      <c r="IK17" s="41">
        <v>99.2</v>
      </c>
      <c r="JA17" s="5"/>
      <c r="JE17" s="2"/>
      <c r="JG17" s="41">
        <v>99.2</v>
      </c>
      <c r="JW17" s="5"/>
      <c r="KA17" s="2"/>
      <c r="KC17" s="41">
        <v>99.2</v>
      </c>
      <c r="KS17" s="5"/>
      <c r="KW17" s="2"/>
      <c r="KY17" s="41">
        <v>99.2</v>
      </c>
      <c r="LO17" s="5"/>
      <c r="LS17" s="2"/>
      <c r="LU17" s="41">
        <v>99.2</v>
      </c>
      <c r="MK17" s="5"/>
      <c r="MO17" s="2"/>
      <c r="MQ17" s="41">
        <v>99.2</v>
      </c>
      <c r="NG17" s="5"/>
      <c r="NK17" s="2"/>
      <c r="NM17" s="41">
        <v>99.2</v>
      </c>
    </row>
    <row r="18" spans="1:377" x14ac:dyDescent="0.2">
      <c r="A18" s="5"/>
      <c r="B18" s="30" t="s">
        <v>26</v>
      </c>
      <c r="C18" s="5"/>
      <c r="M18" s="2"/>
      <c r="AP18" s="46"/>
      <c r="AQ18" s="46"/>
      <c r="AR18" s="46"/>
      <c r="AT18" s="2"/>
      <c r="AU18" s="2"/>
      <c r="AV18" s="2"/>
      <c r="AW18" s="26">
        <v>56</v>
      </c>
      <c r="BT18" s="46"/>
      <c r="BU18" s="46"/>
      <c r="BV18" s="46"/>
      <c r="BY18" s="2"/>
      <c r="CA18" s="26">
        <v>56</v>
      </c>
      <c r="CX18" s="46"/>
      <c r="CY18" s="46"/>
      <c r="CZ18" s="46"/>
      <c r="DB18" s="2"/>
      <c r="DC18" s="2"/>
      <c r="DD18" s="2"/>
      <c r="DE18" s="26">
        <v>56</v>
      </c>
      <c r="DY18" s="5"/>
      <c r="EC18" s="2"/>
      <c r="EE18" s="26">
        <v>56</v>
      </c>
      <c r="EU18" s="5"/>
      <c r="EY18" s="2"/>
      <c r="FA18" s="26">
        <v>56</v>
      </c>
      <c r="FQ18" s="5"/>
      <c r="FU18" s="2"/>
      <c r="FW18" s="26">
        <v>56</v>
      </c>
      <c r="GM18" s="5"/>
      <c r="GQ18" s="2"/>
      <c r="GS18" s="26">
        <v>56</v>
      </c>
      <c r="HI18" s="5"/>
      <c r="HM18" s="2"/>
      <c r="HO18" s="26">
        <v>56</v>
      </c>
      <c r="IE18" s="5"/>
      <c r="II18" s="2"/>
      <c r="IJ18" s="48"/>
      <c r="IK18" s="26">
        <v>56</v>
      </c>
      <c r="JA18" s="5"/>
      <c r="JE18" s="2"/>
      <c r="JG18" s="26">
        <v>56</v>
      </c>
      <c r="JW18" s="5"/>
      <c r="KA18" s="2"/>
      <c r="KC18" s="26">
        <v>56</v>
      </c>
      <c r="KS18" s="5"/>
      <c r="KW18" s="2"/>
      <c r="KY18" s="26">
        <v>56</v>
      </c>
      <c r="LO18" s="5"/>
      <c r="LS18" s="2"/>
      <c r="LU18" s="26">
        <v>56</v>
      </c>
      <c r="MK18" s="5"/>
      <c r="MO18" s="2"/>
      <c r="MQ18" s="26">
        <v>56</v>
      </c>
      <c r="NG18" s="5"/>
      <c r="NK18" s="2"/>
      <c r="NM18" s="26">
        <v>56</v>
      </c>
    </row>
    <row r="19" spans="1:377" x14ac:dyDescent="0.2">
      <c r="B19" s="34" t="s">
        <v>45</v>
      </c>
      <c r="C19" s="2"/>
      <c r="AS19" s="2"/>
      <c r="AT19" s="2"/>
      <c r="AV19" s="2"/>
      <c r="DA19" s="2"/>
      <c r="DB19" s="2"/>
      <c r="DD19" s="2"/>
      <c r="EV19" s="2"/>
    </row>
    <row r="20" spans="1:377" x14ac:dyDescent="0.2">
      <c r="A20" s="5"/>
      <c r="B20" s="5"/>
      <c r="C20" s="22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377" ht="17" x14ac:dyDescent="0.2">
      <c r="A21" s="5"/>
      <c r="B21" s="5"/>
      <c r="C21" s="22"/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Q23" s="11"/>
      <c r="R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S26" s="11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8">
      <sortCondition descending="1" ref="F1:F9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8">
    <cfRule type="expression" dxfId="187" priority="2" stopIfTrue="1">
      <formula>IF($AN4&lt;&gt;"",1,0)</formula>
    </cfRule>
  </conditionalFormatting>
  <conditionalFormatting sqref="AX4:CA8">
    <cfRule type="expression" dxfId="186" priority="4" stopIfTrue="1">
      <formula>IF($BR4&lt;&gt;"",1,0)</formula>
    </cfRule>
  </conditionalFormatting>
  <conditionalFormatting sqref="L1:L1048576 P1:P1048576 J1:J1048576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8">
    <cfRule type="expression" dxfId="182" priority="5" stopIfTrue="1">
      <formula>IF($CV4&lt;&gt;"",1,0)</formula>
    </cfRule>
  </conditionalFormatting>
  <conditionalFormatting sqref="A4:A1048576">
    <cfRule type="expression" dxfId="157" priority="48705">
      <formula>IF(A4&gt;4,1,0)</formula>
    </cfRule>
    <cfRule type="expression" dxfId="181" priority="1">
      <formula>AND(G4&lt;&gt;"",F4="")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80" priority="48775" operator="between">
      <formula>AW$18</formula>
      <formula>1000</formula>
    </cfRule>
    <cfRule type="cellIs" dxfId="179" priority="48776" operator="between">
      <formula>AW$17</formula>
      <formula>AW$18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8" priority="48865" operator="between">
      <formula>AW$17</formula>
      <formula>1000</formula>
    </cfRule>
    <cfRule type="cellIs" dxfId="177" priority="48866" operator="between">
      <formula>AW$16</formula>
      <formula>AW$17</formula>
    </cfRule>
    <cfRule type="cellIs" dxfId="176" priority="48867" operator="between">
      <formula>AW$15</formula>
      <formula>AW$16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5" priority="49000" operator="between">
      <formula>AW$18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4" priority="49045" operator="between">
      <formula>EE$14</formula>
      <formula>1000</formula>
    </cfRule>
    <cfRule type="cellIs" dxfId="173" priority="49046" operator="between">
      <formula>EE$13</formula>
      <formula>EE$14</formula>
    </cfRule>
    <cfRule type="cellIs" dxfId="172" priority="49047" operator="between">
      <formula>EE$12</formula>
      <formula>EE$13</formula>
    </cfRule>
    <cfRule type="cellIs" dxfId="171" priority="49048" operator="between">
      <formula>EE$11</formula>
      <formula>EE$12</formula>
    </cfRule>
  </conditionalFormatting>
  <conditionalFormatting sqref="AP1:AP1048576 BT1:BT1048576 CX1:CX1048576">
    <cfRule type="cellIs" dxfId="170" priority="49189" operator="between">
      <formula>AW$14</formula>
      <formula>1000</formula>
    </cfRule>
    <cfRule type="cellIs" dxfId="169" priority="49190" operator="between">
      <formula>AW$13</formula>
      <formula>AW$14</formula>
    </cfRule>
    <cfRule type="cellIs" dxfId="168" priority="49191" operator="between">
      <formula>AW$12</formula>
      <formula>AW$13</formula>
    </cfRule>
    <cfRule type="cellIs" dxfId="167" priority="49192" operator="between">
      <formula>AW$11</formula>
      <formula>AW$12</formula>
    </cfRule>
  </conditionalFormatting>
  <conditionalFormatting sqref="AQ1:AQ1048576 BU1:BU1048576 CY1:CY1048576">
    <cfRule type="cellIs" dxfId="166" priority="49225" operator="between">
      <formula>AW$18</formula>
      <formula>1000</formula>
    </cfRule>
  </conditionalFormatting>
  <conditionalFormatting sqref="AR1:AR1048576 BV1:BV1048576 CZ1:CZ1048576">
    <cfRule type="cellIs" dxfId="165" priority="49234" operator="between">
      <formula>AW$14</formula>
      <formula>1000</formula>
    </cfRule>
    <cfRule type="cellIs" dxfId="164" priority="49235" operator="between">
      <formula>AW$13</formula>
      <formula>AW$14</formula>
    </cfRule>
    <cfRule type="cellIs" dxfId="163" priority="49236" operator="between">
      <formula>AW$12</formula>
      <formula>AW$13</formula>
    </cfRule>
    <cfRule type="cellIs" dxfId="162" priority="49237" operator="between">
      <formula>AW$11</formula>
      <formula>AW$12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1" priority="49270" operator="between">
      <formula>AW$14</formula>
      <formula>1000</formula>
    </cfRule>
    <cfRule type="cellIs" dxfId="160" priority="49271" operator="between">
      <formula>AW$13</formula>
      <formula>AW$14</formula>
    </cfRule>
    <cfRule type="cellIs" dxfId="159" priority="49272" operator="between">
      <formula>AW$12</formula>
      <formula>AW$13</formula>
    </cfRule>
    <cfRule type="cellIs" dxfId="158" priority="49273" operator="between">
      <formula>AW$11</formula>
      <formula>AW$12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90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94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107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83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93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92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 t="s">
        <v>108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82</v>
      </c>
      <c r="C4" s="4" t="s">
        <v>3</v>
      </c>
      <c r="D4" s="4">
        <v>2007</v>
      </c>
      <c r="E4" s="10">
        <f>SUM(I4:Q4)</f>
        <v>233.9</v>
      </c>
      <c r="F4" s="3" t="str">
        <f>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P","")</f>
        <v>P</v>
      </c>
      <c r="G4" s="3" t="str">
        <f>IF(OR(AND(AT4&gt;=AW$18,AO4&lt;&gt;"",AN4=""),AND(BX4&gt;=CA$18,BS4&lt;&gt;"",BR4=""),AND(DB4&gt;=DE$18,CW4&lt;&gt;"",CV4=""),AND(EB4&gt;=EE$18,DY4&lt;&gt;""),AND(EX4&gt;=FA$18,EU4&lt;&gt;""),AND(FT4&gt;=FW$18,FQ4&lt;&gt;""),AND(GP4&gt;=GS$18,GM4&lt;&gt;""),AND(HL4&gt;=HO$18,HI4&lt;&gt;""),AND(IH4&gt;=IK$18,IE4&lt;&gt;""),AND(JD4&gt;=JG$18,JA4&lt;&gt;""),AND(JZ4&gt;=KC$18,JW4&lt;&gt;""),AND(KV4&gt;=KY$18,KS4&lt;&gt;""),AND(LR4&gt;=LU$18,LO4&lt;&gt;""),AND(MN4&gt;=MQ$18,MK4&lt;&gt;""),AND(NJ4&gt;=NM$18,NG4&lt;&gt;"")),"P","")</f>
        <v>P</v>
      </c>
      <c r="H4" s="47" t="str">
        <f>IF(OR(AND(AP4&gt;=AW$17,AQ4&gt;=AW$21,AP4&lt;&gt;"",AN4=""),AND(AU4&gt;=AW$17,AV4&gt;=AW$21,AU4&lt;&gt;"",AN4=""),AND(BT4&gt;=CA$17,BU4&gt;=CA$21,BT4&lt;&gt;"",BR4=""),AND(BY4&gt;=CA$17,BZ4&gt;=CA$21,BY4&lt;&gt;"",BR4=""),AND(CX4&gt;=DE$17,CY4&gt;=DE$21,CX4&lt;&gt;"",CV4=""),AND(DC4&gt;=DE$17,DD4&gt;=DE$21,DC4&lt;&gt;"",CV4=""),AND(DY4&gt;=EE$17,EA4&gt;=EE$21,DY4&lt;&gt;""),AND(EC4&gt;=EE$17,ED4&gt;=EE$21,EC4&lt;&gt;""),AND(EU4&gt;=FA$17,EW4&gt;=FA$21,EU4&lt;&gt;""),AND(EY4&gt;=FA$17,EZ4&gt;=FA$21,EY4&lt;&gt;""),AND(FQ4&gt;=FW$17,FS4&gt;=FW$21,FQ4&lt;&gt;""),AND(FU4&gt;=FW$17,FV4&gt;=FW$21,FU4&lt;&gt;""),AND(GM4&gt;=GS$17,GO4&gt;=GS$21,GM4&lt;&gt;""),AND(GQ4&gt;=GS$17,GR4&gt;=GS$21,GQ4&lt;&gt;""),AND(HI4&gt;=HO$17,HK4&gt;=HO$21,HI4&lt;&gt;""),AND(HM4&gt;=HO$17,HN4&gt;=HO$21,HM4&lt;&gt;""),AND(IE4&gt;=IK$17,IG4&gt;=IK$21,IE4&lt;&gt;""),AND(II4&gt;=IK$17,IJ4&gt;=IK$21,II4&lt;&gt;""),AND(JA4&gt;=JG$17,JC4&gt;=JG$21,JA4&lt;&gt;""),AND(JE4&gt;=JG$17,JF4&gt;=JG$21,JE4&lt;&gt;""),AND(JW4&gt;=KC$17,JY4&gt;=KC$21,JW4&lt;&gt;""),AND(KA4&gt;=KC$17,KB4&gt;=KC$21,KA4&lt;&gt;""),AND(KS4&gt;=KY$17,KU4&gt;=KY$21,KS4&lt;&gt;""),AND(KW4&gt;=KY$17,KX4&gt;=KY$21,KW4&lt;&gt;""),AND(LO4&gt;=LU$17,LQ4&gt;=LU$21,LO4&lt;&gt;""),AND(LS4&gt;=LU$17,LT4&gt;=LU$21,LS4&lt;&gt;""),AND(MK4&gt;=MQ$17,MM4&gt;=MQ$21,MK4&lt;&gt;""),AND(MO4&gt;=MQ$17,MP4&gt;=MQ$21,MO4&lt;&gt;""),AND(NG4&gt;=NM$17,NI4&gt;=NM$21,NG4&lt;&gt;""),AND(NK4&gt;=NM$17,NL4&gt;=NM$21,NK4&lt;&gt;"")),"Merit",IF(OR(AND(AP4&gt;=AW$16,AT4&gt;=AW$20,AO4&lt;&gt;"",AN4=""),AND(BT4&gt;=CA$16,BX4&gt;=CA$20,BS4&lt;&gt;"",BR4=""),AND(CX4&gt;=DE$16,DB4&gt;=DE$20,CW4&lt;&gt;"",CV4=""),AND(DY4&gt;=EE$16,EB4&gt;=EE$20,DY4&lt;&gt;""),AND(EU4&gt;=FA$16,EX4&gt;=FA$20,EU4&lt;&gt;""),AND(FQ4&gt;=FW$16,FT4&gt;=FW$20,FQ4&lt;&gt;""),AND(GM4&gt;=GS$16,GP4&gt;=GS$20,GM4&lt;&gt;""),AND(HI4&gt;=HO$16,HL4&gt;=HO$20,HI4&lt;&gt;""),AND(IE4&gt;=IK$16,IH4&gt;=IK$20,IE4&lt;&gt;""),AND(JA4&gt;=JG$16,JD4&gt;=JG$20,JA4&lt;&gt;""),AND(JW4&gt;=KC$16,JZ4&gt;=KC$20,JW4&lt;&gt;""),AND(KS4&gt;=KY$16,KV4&gt;=KY$20,KS4&lt;&gt;""),AND(LO4&gt;=LU$16,LR4&gt;=LU$20,LO4&lt;&gt;""),AND(MK4&gt;=MQ$16,MN4&gt;=MQ$20,MK4&lt;&gt;""),AND(NG4&gt;=NM$16,NJ4&gt;=NM$20,NG4&lt;&gt;"")),"Excellence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National Team",IF(G4="P","No DD",""))))</f>
        <v>National Team</v>
      </c>
      <c r="I4" s="9">
        <f>IF(MAX(AT4,BX4,DB4)&gt;0,MAX(AT4,BX4,DB4),0)</f>
        <v>92.2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41.82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49.19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49.849999999999994</v>
      </c>
      <c r="P4" s="9" t="str">
        <f>IF(O4=0,"",IF(O4=DD4,$CB$1,IF(O4=BZ4,$AX$1,IF(O4=AV4,$T$1,""))))</f>
        <v>2023 Elite Canada</v>
      </c>
      <c r="Q4" s="9">
        <f>IF(MAX(DF4,DG4,DH4,DI4)&gt;0,MAX(DF4,DG4,DH4,DI4),"")</f>
        <v>0.84000000000000341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2023 WAGC (Nov 16)</v>
      </c>
      <c r="T4" s="27">
        <v>16.899999999999999</v>
      </c>
      <c r="U4" s="27">
        <v>9.6</v>
      </c>
      <c r="V4" s="27">
        <v>0</v>
      </c>
      <c r="W4" s="27">
        <v>14.36</v>
      </c>
      <c r="X4" s="27">
        <v>0</v>
      </c>
      <c r="Y4" s="27">
        <v>15.2</v>
      </c>
      <c r="Z4" s="27">
        <v>8.9</v>
      </c>
      <c r="AA4" s="27">
        <v>11.5</v>
      </c>
      <c r="AB4" s="27">
        <v>13.46</v>
      </c>
      <c r="AC4" s="27">
        <v>0</v>
      </c>
      <c r="AD4" s="27"/>
      <c r="AE4" s="27"/>
      <c r="AF4" s="27"/>
      <c r="AG4" s="27"/>
      <c r="AH4" s="27"/>
      <c r="AI4" s="27">
        <v>15.5</v>
      </c>
      <c r="AJ4" s="27">
        <v>9.3000000000000007</v>
      </c>
      <c r="AK4" s="27">
        <v>11.5</v>
      </c>
      <c r="AL4" s="27">
        <v>13.55</v>
      </c>
      <c r="AM4" s="27">
        <v>0</v>
      </c>
      <c r="AN4" s="32"/>
      <c r="AO4" s="7">
        <f>IF(SUM(T4:W4)-X4&gt;0,SUM(T4:W4)-X4,"")</f>
        <v>40.86</v>
      </c>
      <c r="AP4" s="7">
        <f>IF(AA4&gt;0,AA4,"")</f>
        <v>11.5</v>
      </c>
      <c r="AQ4" s="7">
        <f>IF(SUM(Y4:AB4)-AC4&gt;0,SUM(Y4:AB4)-AC4,"")</f>
        <v>49.06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89.92</v>
      </c>
      <c r="AU4" s="7">
        <f>IF(AK4&gt;0,AK4,"")</f>
        <v>11.5</v>
      </c>
      <c r="AV4" s="7">
        <f>IF(SUM(AI4:AL4)-AM4&gt;0,SUM(AI4:AL4)-AM4,"")</f>
        <v>49.849999999999994</v>
      </c>
      <c r="AW4" s="7">
        <f>IF(SUM(AT4,AV4)&gt;0,SUM(AT4,AV4),"")</f>
        <v>139.76999999999998</v>
      </c>
      <c r="AX4" s="31">
        <v>17.399999999999999</v>
      </c>
      <c r="AY4" s="31">
        <v>9.5</v>
      </c>
      <c r="AZ4" s="31">
        <v>0</v>
      </c>
      <c r="BA4" s="31">
        <v>14.92</v>
      </c>
      <c r="BB4" s="31">
        <v>0</v>
      </c>
      <c r="BC4" s="31">
        <v>14.6</v>
      </c>
      <c r="BD4" s="31">
        <v>9.1999999999999993</v>
      </c>
      <c r="BE4" s="31">
        <v>11.7</v>
      </c>
      <c r="BF4" s="31">
        <v>13.69</v>
      </c>
      <c r="BG4" s="31">
        <v>0</v>
      </c>
      <c r="BH4" s="31"/>
      <c r="BI4" s="31"/>
      <c r="BJ4" s="31"/>
      <c r="BK4" s="31"/>
      <c r="BL4" s="31"/>
      <c r="BM4" s="31">
        <v>15</v>
      </c>
      <c r="BN4" s="31">
        <v>9.3000000000000007</v>
      </c>
      <c r="BO4" s="31">
        <v>11.7</v>
      </c>
      <c r="BP4" s="31">
        <v>13.47</v>
      </c>
      <c r="BQ4" s="31">
        <v>0</v>
      </c>
      <c r="BR4" s="33"/>
      <c r="BS4" s="9">
        <f>IF(SUM(AX4:BA4)-BB4&gt;0,SUM(AX4:BA4)-BB4,"")</f>
        <v>41.82</v>
      </c>
      <c r="BT4" s="9">
        <f>IF(BE4&gt;0,BE4,"")</f>
        <v>11.7</v>
      </c>
      <c r="BU4" s="9">
        <f>IF(SUM(BC4:BF4)-BG4&gt;0,SUM(BC4:BF4)-BG4,"")</f>
        <v>49.19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91.009999999999991</v>
      </c>
      <c r="BY4" s="9">
        <f>IF(BO4&gt;0,BO4,"")</f>
        <v>11.7</v>
      </c>
      <c r="BZ4" s="9">
        <f>IF(SUM(BM4:BP4)-BQ4&gt;0,SUM(BM4:BP4)-BQ4,"")</f>
        <v>49.47</v>
      </c>
      <c r="CA4" s="9">
        <f>IF(SUM(BX4,BZ4)&gt;0,SUM(BX4,BZ4),"")</f>
        <v>140.47999999999999</v>
      </c>
      <c r="CB4" s="27">
        <v>17.600000000000001</v>
      </c>
      <c r="CC4" s="27">
        <v>9.6</v>
      </c>
      <c r="CD4" s="27">
        <v>0</v>
      </c>
      <c r="CE4" s="27">
        <v>15.07</v>
      </c>
      <c r="CF4" s="27">
        <v>0</v>
      </c>
      <c r="CG4" s="27">
        <v>15.2</v>
      </c>
      <c r="CH4" s="27">
        <v>9</v>
      </c>
      <c r="CI4" s="27">
        <v>11.700000000000001</v>
      </c>
      <c r="CJ4" s="27">
        <v>14.03</v>
      </c>
      <c r="CK4" s="27">
        <v>0</v>
      </c>
      <c r="CL4" s="27"/>
      <c r="CM4" s="27"/>
      <c r="CN4" s="27"/>
      <c r="CO4" s="27"/>
      <c r="CP4" s="27"/>
      <c r="CQ4" s="27">
        <v>6.9</v>
      </c>
      <c r="CR4" s="27">
        <v>4.5</v>
      </c>
      <c r="CS4" s="27">
        <v>6.2</v>
      </c>
      <c r="CT4" s="27">
        <v>7.25</v>
      </c>
      <c r="CU4" s="27">
        <v>0</v>
      </c>
      <c r="CV4" s="32"/>
      <c r="CW4" s="7">
        <f>IF(SUM(CB4:CE4)-CF4&gt;0,SUM(CB4:CE4)-CF4,"")</f>
        <v>42.27</v>
      </c>
      <c r="CX4" s="7">
        <f>IF(CI4&gt;0,CI4,"")</f>
        <v>11.700000000000001</v>
      </c>
      <c r="CY4" s="7">
        <f>IF(SUM(CG4:CJ4)-CK4&gt;0,SUM(CG4:CJ4)-CK4,"")</f>
        <v>49.93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92.2</v>
      </c>
      <c r="DC4" s="7">
        <f>IF(CS4&gt;0,CS4,"")</f>
        <v>6.2</v>
      </c>
      <c r="DD4" s="7">
        <f>IF(SUM(CQ4:CT4)-CU4&gt;0,SUM(CQ4:CT4)-CU4,"")</f>
        <v>24.85</v>
      </c>
      <c r="DE4" s="7">
        <f>IF(SUM(DB4,DD4)&gt;0,SUM(DB4,DD4),"")</f>
        <v>117.05000000000001</v>
      </c>
      <c r="DF4" s="13">
        <f>IF(MAX(DZ4,EV4,FR4,GN4,HJ4,IF4,JB4,JX4,KT4,LP4,ML4,NH4)-IF(K4="",0,K4)&gt;0.001,MAX(DZ4,EV4,FR4,GN4,HJ4,IF4,JB4,JX4,KT4,LP4,ML4,NH4)-IF(K4="",0,K4),"")</f>
        <v>0.42999999999999972</v>
      </c>
      <c r="DG4" s="13">
        <f>IF(MAX(EA4,EW4,FS4,GO4,HK4,IG4,JC4,JY4,KU4,LQ4,MM4,NI4)-IF(M4="",0,M4)&gt;0.001,MAX(EA4,EW4,FS4,GO4,HK4,IG4,JC4,JY4,KU4,LQ4,MM4,NI4)-IF(M4="",0,M4),"")</f>
        <v>0.84000000000000341</v>
      </c>
      <c r="DH4" s="13">
        <f>IF(MAX(EB4,EX4,FT4,GP4,HL4,IH4,JD4,JZ4,KV4,LR4,MN4,NJ4)-IF(I4="",0,I4)&gt;0.001,MAX(EB4,EX4,FT4,GP4,HL4,IH4,JD4,JZ4,KV4,LR4,MN4,NJ4)-IF(I4="",0,I4),"")</f>
        <v>7.9999999999998295E-2</v>
      </c>
      <c r="DI4" s="13">
        <f>IF(MAX(ED4,EZ4,FV4,GR4,HN4,IJ4,JF4,KB4,KX4,LT4,MP4,NL4)-IF(O4="",0,O4)&gt;0.001,MAX(ED4,EZ4,FV4,GR4,HN4,IJ4,JF4,KB4,KX4,LT4,MP4,NL4)-IF(O4="",0,O4),"")</f>
        <v>0.13000000000000256</v>
      </c>
      <c r="DJ4" s="18">
        <v>16.2</v>
      </c>
      <c r="DK4" s="18">
        <v>9.5</v>
      </c>
      <c r="DL4" s="18">
        <v>0</v>
      </c>
      <c r="DM4" s="18">
        <v>14.4</v>
      </c>
      <c r="DN4" s="18">
        <v>0</v>
      </c>
      <c r="DO4" s="18">
        <v>6.6</v>
      </c>
      <c r="DP4" s="18">
        <v>4.0999999999999996</v>
      </c>
      <c r="DQ4" s="18">
        <v>6.1</v>
      </c>
      <c r="DR4" s="18">
        <v>6.54</v>
      </c>
      <c r="DS4" s="18">
        <v>0</v>
      </c>
      <c r="DT4" s="18"/>
      <c r="DU4" s="18"/>
      <c r="DV4" s="18"/>
      <c r="DW4" s="18"/>
      <c r="DX4" s="18"/>
      <c r="DY4" s="7">
        <f>IF(DQ4&gt;0,DQ4,"")</f>
        <v>6.1</v>
      </c>
      <c r="DZ4" s="7">
        <f>IF(SUM(DJ4:DM4)-DN4&gt;0,SUM(DJ4:DM4)-DN4,"")</f>
        <v>40.1</v>
      </c>
      <c r="EA4" s="7">
        <f>IF(SUM(DO4:DR4)-DS4&gt;0,SUM(DO4:DR4)-DS4,"")</f>
        <v>23.339999999999996</v>
      </c>
      <c r="EB4" s="7">
        <f>IF(SUM(DZ4:EA4)&gt;0,SUM(DZ4:EA4),"")</f>
        <v>63.44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63.44</v>
      </c>
      <c r="EF4" s="19">
        <v>17.100000000000001</v>
      </c>
      <c r="EG4" s="19">
        <v>9.1</v>
      </c>
      <c r="EH4" s="19">
        <v>0</v>
      </c>
      <c r="EI4" s="19">
        <v>14.59</v>
      </c>
      <c r="EJ4" s="19">
        <v>0</v>
      </c>
      <c r="EK4" s="19">
        <v>15</v>
      </c>
      <c r="EL4" s="19">
        <v>9.1</v>
      </c>
      <c r="EM4" s="19">
        <v>11.7</v>
      </c>
      <c r="EN4" s="19">
        <v>13.62</v>
      </c>
      <c r="EO4" s="19">
        <v>0</v>
      </c>
      <c r="EP4" s="19">
        <v>14</v>
      </c>
      <c r="EQ4" s="19">
        <v>9.3000000000000007</v>
      </c>
      <c r="ER4" s="19">
        <v>11.7</v>
      </c>
      <c r="ES4" s="19">
        <v>13.41</v>
      </c>
      <c r="ET4" s="19">
        <v>0</v>
      </c>
      <c r="EU4" s="9">
        <f>IF(EM4&gt;0,EM4,"")</f>
        <v>11.7</v>
      </c>
      <c r="EV4" s="9">
        <f>IF(SUM(EF4:EI4)-EJ4&gt;0,SUM(EF4:EI4)-EJ4,"")</f>
        <v>40.790000000000006</v>
      </c>
      <c r="EW4" s="9">
        <f>IF(SUM(EK4:EN4)-EO4&gt;0,SUM(EK4:EN4)-EO4,"")</f>
        <v>49.419999999999995</v>
      </c>
      <c r="EX4" s="9">
        <f>IF(SUM(EV4:EW4)&gt;0,SUM(EV4:EW4),"")</f>
        <v>90.210000000000008</v>
      </c>
      <c r="EY4" s="9">
        <f>IF(ER4&gt;0,ER4,"")</f>
        <v>11.7</v>
      </c>
      <c r="EZ4" s="9">
        <f>IF(SUM(EP4:ES4)-ET4&gt;0,SUM(EP4:ES4)-ET4,"")</f>
        <v>48.41</v>
      </c>
      <c r="FA4" s="9">
        <f>IF(SUM(EX4,EZ4)&gt;0,SUM(EX4,EZ4),"")</f>
        <v>138.62</v>
      </c>
      <c r="FB4" s="18">
        <v>16.399999999999999</v>
      </c>
      <c r="FC4" s="18">
        <v>9.6999999999999993</v>
      </c>
      <c r="FD4" s="18">
        <v>0</v>
      </c>
      <c r="FE4" s="18">
        <v>14.8</v>
      </c>
      <c r="FF4" s="18">
        <v>0</v>
      </c>
      <c r="FG4" s="18">
        <v>14.3</v>
      </c>
      <c r="FH4" s="18">
        <v>9.6</v>
      </c>
      <c r="FI4" s="18">
        <v>11.7</v>
      </c>
      <c r="FJ4" s="18">
        <v>13.41</v>
      </c>
      <c r="FK4" s="18">
        <v>0</v>
      </c>
      <c r="FL4" s="18">
        <v>15.1</v>
      </c>
      <c r="FM4" s="18">
        <v>9.5</v>
      </c>
      <c r="FN4" s="18">
        <v>11.7</v>
      </c>
      <c r="FO4" s="18">
        <v>13.68</v>
      </c>
      <c r="FP4" s="18">
        <v>0</v>
      </c>
      <c r="FQ4" s="7">
        <f>IF(FI4&gt;0,FI4,"")</f>
        <v>11.7</v>
      </c>
      <c r="FR4" s="7">
        <f>IF(SUM(FB4:FE4)-FF4&gt;0,SUM(FB4:FE4)-FF4,"")</f>
        <v>40.9</v>
      </c>
      <c r="FS4" s="7">
        <f>IF(SUM(FG4:FJ4)-FK4&gt;0,SUM(FG4:FJ4)-FK4,"")</f>
        <v>49.009999999999991</v>
      </c>
      <c r="FT4" s="7">
        <f>IF(SUM(FR4:FS4)&gt;0,SUM(FR4:FS4),"")</f>
        <v>89.91</v>
      </c>
      <c r="FU4" s="7">
        <f>IF(FN4&gt;0,FN4,"")</f>
        <v>11.7</v>
      </c>
      <c r="FV4" s="7">
        <f>IF(SUM(FL4:FO4)-FP4&gt;0,SUM(FL4:FO4)-FP4,"")</f>
        <v>49.98</v>
      </c>
      <c r="FW4" s="7">
        <f>IF(SUM(FT4,FV4)&gt;0,SUM(FT4,FV4),"")</f>
        <v>139.88999999999999</v>
      </c>
      <c r="FX4" s="19">
        <v>17.399999999999999</v>
      </c>
      <c r="FY4" s="19">
        <v>9.8000000000000007</v>
      </c>
      <c r="FZ4" s="19">
        <v>0</v>
      </c>
      <c r="GA4" s="19">
        <v>15.05</v>
      </c>
      <c r="GB4" s="19">
        <v>0</v>
      </c>
      <c r="GC4" s="19">
        <v>14.9</v>
      </c>
      <c r="GD4" s="19">
        <v>9.1</v>
      </c>
      <c r="GE4" s="19">
        <v>11.9</v>
      </c>
      <c r="GF4" s="19">
        <v>14.13</v>
      </c>
      <c r="GG4" s="19">
        <v>0</v>
      </c>
      <c r="GH4" s="19"/>
      <c r="GI4" s="19"/>
      <c r="GJ4" s="19"/>
      <c r="GK4" s="19"/>
      <c r="GL4" s="19"/>
      <c r="GM4" s="9">
        <f>IF(GE4&gt;0,GE4,"")</f>
        <v>11.9</v>
      </c>
      <c r="GN4" s="9">
        <f>IF(SUM(FX4:GA4)-GB4&gt;0,SUM(FX4:GA4)-GB4,"")</f>
        <v>42.25</v>
      </c>
      <c r="GO4" s="9">
        <f>IF(SUM(GC4:GF4)-GG4&gt;0,SUM(GC4:GF4)-GG4,"")</f>
        <v>50.03</v>
      </c>
      <c r="GP4" s="9">
        <f>IF(SUM(GN4:GO4)&gt;0,SUM(GN4:GO4),"")</f>
        <v>92.28</v>
      </c>
      <c r="GQ4" s="9" t="str">
        <f>IF(GJ4&gt;0,GJ4,"")</f>
        <v/>
      </c>
      <c r="GR4" s="9" t="str">
        <f>IF(SUM(GH4:GK4)-GL4&gt;0,SUM(GH4:GK4)-GL4,"")</f>
        <v/>
      </c>
      <c r="GS4" s="9">
        <f>IF(SUM(GP4,GR4)&gt;0,SUM(GP4,GR4),"")</f>
        <v>92.28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17.5</v>
      </c>
      <c r="NO4" s="27">
        <f>IF($CV4="P",CC4,(CC4+AY4)/2)</f>
        <v>9.5500000000000007</v>
      </c>
      <c r="NP4" s="27">
        <f>IF($CV4="P",CD4,(CD4+AZ4)/2)</f>
        <v>0</v>
      </c>
      <c r="NQ4" s="27">
        <f>IF($CV4="P",CE4,(CE4+BA4)/2)</f>
        <v>14.995000000000001</v>
      </c>
      <c r="NR4" s="27">
        <f>IF($CV4="P",CF4,(CF4+BB4)/2)</f>
        <v>0</v>
      </c>
      <c r="NS4" s="27">
        <f>IF($CV4="P",CG4,(CG4+BC4)/2)</f>
        <v>14.899999999999999</v>
      </c>
      <c r="NT4" s="27">
        <f>IF($CV4="P",CH4,(CH4+BD4)/2)</f>
        <v>9.1</v>
      </c>
      <c r="NU4" s="27">
        <f>IF($CV4="P",CI4,(CI4+BE4)/2)</f>
        <v>11.7</v>
      </c>
      <c r="NV4" s="27">
        <f>IF($CV4="P",CJ4,(CJ4+BF4)/2)</f>
        <v>13.86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10.95</v>
      </c>
      <c r="OD4" s="27">
        <f>IF($CV4="P",CR4,(CR4+BN4)/2)</f>
        <v>6.9</v>
      </c>
      <c r="OE4" s="27">
        <f>IF($CV4="P",CS4,(CS4+BO4)/2)</f>
        <v>8.9499999999999993</v>
      </c>
      <c r="OF4" s="27">
        <f>IF($CV4="P",CT4,(CT4+BP4)/2)</f>
        <v>10.36</v>
      </c>
      <c r="OG4" s="27">
        <f>IF($CV4="P",CU4,(CU4+BQ4)/2)</f>
        <v>0</v>
      </c>
      <c r="OH4" s="32" t="s">
        <v>44</v>
      </c>
      <c r="OI4" s="7">
        <f>IF(SUM(NN4:NQ4)-NR4&gt;0,SUM(NN4:NQ4)-NR4,"")</f>
        <v>42.045000000000002</v>
      </c>
      <c r="OJ4" s="7">
        <f>IF(NU4&gt;0,NU4,"")</f>
        <v>11.7</v>
      </c>
      <c r="OK4" s="7">
        <f>IF(SUM(NS4:NV4)-NW4&gt;0,SUM(NS4:NV4)-NW4,"")</f>
        <v>49.56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91.605000000000004</v>
      </c>
      <c r="OO4" s="7">
        <f>IF(OE4&gt;0,OE4,"")</f>
        <v>8.9499999999999993</v>
      </c>
      <c r="OP4" s="7">
        <f t="shared" ref="OP4" si="0">IF(SUM(OC4:OF4)-OG4&gt;0,SUM(OC4:OF4)-OG4,"")</f>
        <v>37.159999999999997</v>
      </c>
      <c r="OQ4" s="7">
        <f t="shared" ref="OQ4" si="1">IF(SUM(ON4,OP4)&gt;0,SUM(ON4,OP4),"")</f>
        <v>128.76499999999999</v>
      </c>
    </row>
    <row r="5" spans="1:407" x14ac:dyDescent="0.2">
      <c r="A5" s="4" t="str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/>
      </c>
      <c r="B5" s="5" t="s">
        <v>85</v>
      </c>
      <c r="C5" s="4" t="s">
        <v>68</v>
      </c>
      <c r="D5" s="4">
        <v>2007</v>
      </c>
      <c r="E5" s="10">
        <f>SUM(I5:Q5)</f>
        <v>226.22000000000003</v>
      </c>
      <c r="F5" s="3" t="str">
        <f>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P","")</f>
        <v/>
      </c>
      <c r="G5" s="3" t="str">
        <f>IF(OR(AND(AT5&gt;=AW$18,AO5&lt;&gt;"",AN5=""),AND(BX5&gt;=CA$18,BS5&lt;&gt;"",BR5=""),AND(DB5&gt;=DE$18,CW5&lt;&gt;"",CV5=""),AND(EB5&gt;=EE$18,DY5&lt;&gt;""),AND(EX5&gt;=FA$18,EU5&lt;&gt;""),AND(FT5&gt;=FW$18,FQ5&lt;&gt;""),AND(GP5&gt;=GS$18,GM5&lt;&gt;""),AND(HL5&gt;=HO$18,HI5&lt;&gt;""),AND(IH5&gt;=IK$18,IE5&lt;&gt;""),AND(JD5&gt;=JG$18,JA5&lt;&gt;""),AND(JZ5&gt;=KC$18,JW5&lt;&gt;""),AND(KV5&gt;=KY$18,KS5&lt;&gt;""),AND(LR5&gt;=LU$18,LO5&lt;&gt;""),AND(MN5&gt;=MQ$18,MK5&lt;&gt;""),AND(NJ5&gt;=NM$18,NG5&lt;&gt;"")),"P","")</f>
        <v/>
      </c>
      <c r="H5" s="47" t="str">
        <f>IF(OR(AND(AP5&gt;=AW$17,AQ5&gt;=AW$21,AP5&lt;&gt;"",AN5=""),AND(AU5&gt;=AW$17,AV5&gt;=AW$21,AU5&lt;&gt;"",AN5=""),AND(BT5&gt;=CA$17,BU5&gt;=CA$21,BT5&lt;&gt;"",BR5=""),AND(BY5&gt;=CA$17,BZ5&gt;=CA$21,BY5&lt;&gt;"",BR5=""),AND(CX5&gt;=DE$17,CY5&gt;=DE$21,CX5&lt;&gt;"",CV5=""),AND(DC5&gt;=DE$17,DD5&gt;=DE$21,DC5&lt;&gt;"",CV5=""),AND(DY5&gt;=EE$17,EA5&gt;=EE$21,DY5&lt;&gt;""),AND(EC5&gt;=EE$17,ED5&gt;=EE$21,EC5&lt;&gt;""),AND(EU5&gt;=FA$17,EW5&gt;=FA$21,EU5&lt;&gt;""),AND(EY5&gt;=FA$17,EZ5&gt;=FA$21,EY5&lt;&gt;""),AND(FQ5&gt;=FW$17,FS5&gt;=FW$21,FQ5&lt;&gt;""),AND(FU5&gt;=FW$17,FV5&gt;=FW$21,FU5&lt;&gt;""),AND(GM5&gt;=GS$17,GO5&gt;=GS$21,GM5&lt;&gt;""),AND(GQ5&gt;=GS$17,GR5&gt;=GS$21,GQ5&lt;&gt;""),AND(HI5&gt;=HO$17,HK5&gt;=HO$21,HI5&lt;&gt;""),AND(HM5&gt;=HO$17,HN5&gt;=HO$21,HM5&lt;&gt;""),AND(IE5&gt;=IK$17,IG5&gt;=IK$21,IE5&lt;&gt;""),AND(II5&gt;=IK$17,IJ5&gt;=IK$21,II5&lt;&gt;""),AND(JA5&gt;=JG$17,JC5&gt;=JG$21,JA5&lt;&gt;""),AND(JE5&gt;=JG$17,JF5&gt;=JG$21,JE5&lt;&gt;""),AND(JW5&gt;=KC$17,JY5&gt;=KC$21,JW5&lt;&gt;""),AND(KA5&gt;=KC$17,KB5&gt;=KC$21,KA5&lt;&gt;""),AND(KS5&gt;=KY$17,KU5&gt;=KY$21,KS5&lt;&gt;""),AND(KW5&gt;=KY$17,KX5&gt;=KY$21,KW5&lt;&gt;""),AND(LO5&gt;=LU$17,LQ5&gt;=LU$21,LO5&lt;&gt;""),AND(LS5&gt;=LU$17,LT5&gt;=LU$21,LS5&lt;&gt;""),AND(MK5&gt;=MQ$17,MM5&gt;=MQ$21,MK5&lt;&gt;""),AND(MO5&gt;=MQ$17,MP5&gt;=MQ$21,MO5&lt;&gt;""),AND(NG5&gt;=NM$17,NI5&gt;=NM$21,NG5&lt;&gt;""),AND(NK5&gt;=NM$17,NL5&gt;=NM$21,NK5&lt;&gt;"")),"Merit",IF(OR(AND(AP5&gt;=AW$16,AT5&gt;=AW$20,AO5&lt;&gt;"",AN5=""),AND(BT5&gt;=CA$16,BX5&gt;=CA$20,BS5&lt;&gt;"",BR5=""),AND(CX5&gt;=DE$16,DB5&gt;=DE$20,CW5&lt;&gt;"",CV5=""),AND(DY5&gt;=EE$16,EB5&gt;=EE$20,DY5&lt;&gt;""),AND(EU5&gt;=FA$16,EX5&gt;=FA$20,EU5&lt;&gt;""),AND(FQ5&gt;=FW$16,FT5&gt;=FW$20,FQ5&lt;&gt;""),AND(GM5&gt;=GS$16,GP5&gt;=GS$20,GM5&lt;&gt;""),AND(HI5&gt;=HO$16,HL5&gt;=HO$20,HI5&lt;&gt;""),AND(IE5&gt;=IK$16,IH5&gt;=IK$20,IE5&lt;&gt;""),AND(JA5&gt;=JG$16,JD5&gt;=JG$20,JA5&lt;&gt;""),AND(JW5&gt;=KC$16,JZ5&gt;=KC$20,JW5&lt;&gt;""),AND(KS5&gt;=KY$16,KV5&gt;=KY$20,KS5&lt;&gt;""),AND(LO5&gt;=LU$16,LR5&gt;=LU$20,LO5&lt;&gt;""),AND(MK5&gt;=MQ$16,MN5&gt;=MQ$20,MK5&lt;&gt;""),AND(NG5&gt;=NM$16,NJ5&gt;=NM$20,NG5&lt;&gt;"")),"Excellence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National Team",IF(G5="P","No DD",""))))</f>
        <v/>
      </c>
      <c r="I5" s="9">
        <f>IF(MAX(AT5,BX5,DB5)&gt;0,MAX(AT5,BX5,DB5),0)</f>
        <v>88.27000000000001</v>
      </c>
      <c r="J5" s="9" t="str">
        <f>IF(I5=0,"",IF(I5=DB5,$CB$1,IF(I5=BX5,$AX$1,IF(I5=AT5,$T$1,""))))</f>
        <v>2023 Elite Canada</v>
      </c>
      <c r="K5" s="9">
        <f>IF($I5=$AT5,MAX(BS5,CW5),IF($I5=$BX5,MAX(AO5,CW5),IF($I5=$DB5,MAX(AO5,BS5),MAX(AO5,BS5,CW5))))</f>
        <v>41.35</v>
      </c>
      <c r="L5" s="9" t="str">
        <f>IF(K5=0,"",IF(AND(K5=CW5,$J5&lt;&gt;$CB$1),$CB$1,IF(AND(K5=BS5,$J5&lt;&gt;$AX$1),$AX$1,IF(AND(K5=AO5,$J5&lt;&gt;$T$1),$T$1,""))))</f>
        <v>2023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25.03</v>
      </c>
      <c r="N5" s="9" t="str">
        <f>IF(M5=0,"",IF(AND(OR(M5=DA5,M5=CY5),$J5&lt;&gt;$CB$1),$CB$1,IF(AND(OR(M5=BW5,M5=BU5),$J5&lt;&gt;$AX$1),$AX$1,IF(AND(OR(M5=AS5,M5=AQ5),$J5&lt;&gt;$T$1),$T$1,""))))</f>
        <v>2023 3rd Domestic Trial</v>
      </c>
      <c r="O5" s="9">
        <f>MAX(AV5,BZ5,DD5)</f>
        <v>49.45</v>
      </c>
      <c r="P5" s="9" t="str">
        <f>IF(O5=0,"",IF(O5=DD5,$CB$1,IF(O5=BZ5,$AX$1,IF(O5=AV5,$T$1,""))))</f>
        <v>2023 Elite Canada</v>
      </c>
      <c r="Q5" s="9">
        <f>IF(MAX(DF5,DG5,DH5,DI5)&gt;0,MAX(DF5,DG5,DH5,DI5),"")</f>
        <v>22.119999999999997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2022 WAGC (Nov 24)</v>
      </c>
      <c r="T5" s="27">
        <v>16.899999999999999</v>
      </c>
      <c r="U5" s="27">
        <v>9.6</v>
      </c>
      <c r="V5" s="27">
        <v>0</v>
      </c>
      <c r="W5" s="27">
        <v>14.23</v>
      </c>
      <c r="X5" s="27">
        <v>0</v>
      </c>
      <c r="Y5" s="27">
        <v>14.1</v>
      </c>
      <c r="Z5" s="27">
        <v>9</v>
      </c>
      <c r="AA5" s="27">
        <v>10.9</v>
      </c>
      <c r="AB5" s="27">
        <v>13.54</v>
      </c>
      <c r="AC5" s="27">
        <v>0</v>
      </c>
      <c r="AD5" s="27"/>
      <c r="AE5" s="27"/>
      <c r="AF5" s="27"/>
      <c r="AG5" s="27"/>
      <c r="AH5" s="27"/>
      <c r="AI5" s="27">
        <v>15.1</v>
      </c>
      <c r="AJ5" s="27">
        <v>9.6</v>
      </c>
      <c r="AK5" s="27">
        <v>10.7</v>
      </c>
      <c r="AL5" s="27">
        <v>14.05</v>
      </c>
      <c r="AM5" s="27">
        <v>0</v>
      </c>
      <c r="AN5" s="32"/>
      <c r="AO5" s="7">
        <f>IF(SUM(T5:W5)-X5&gt;0,SUM(T5:W5)-X5,"")</f>
        <v>40.730000000000004</v>
      </c>
      <c r="AP5" s="7">
        <f>IF(AA5&gt;0,AA5,"")</f>
        <v>10.9</v>
      </c>
      <c r="AQ5" s="7">
        <f>IF(SUM(Y5:AB5)-AC5&gt;0,SUM(Y5:AB5)-AC5,"")</f>
        <v>47.54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88.27000000000001</v>
      </c>
      <c r="AU5" s="7">
        <f>IF(AK5&gt;0,AK5,"")</f>
        <v>10.7</v>
      </c>
      <c r="AV5" s="7">
        <f>IF(SUM(AI5:AL5)-AM5&gt;0,SUM(AI5:AL5)-AM5,"")</f>
        <v>49.45</v>
      </c>
      <c r="AW5" s="7">
        <f>IF(SUM(AT5,AV5)&gt;0,SUM(AT5,AV5),"")</f>
        <v>137.72000000000003</v>
      </c>
      <c r="AX5" s="31">
        <v>17.3</v>
      </c>
      <c r="AY5" s="31">
        <v>9.9</v>
      </c>
      <c r="AZ5" s="31">
        <v>0</v>
      </c>
      <c r="BA5" s="31">
        <v>14.15</v>
      </c>
      <c r="BB5" s="31">
        <v>0</v>
      </c>
      <c r="BC5" s="31">
        <v>1.5</v>
      </c>
      <c r="BD5" s="31">
        <v>0.8</v>
      </c>
      <c r="BE5" s="31">
        <v>1.5</v>
      </c>
      <c r="BF5" s="31">
        <v>1.42</v>
      </c>
      <c r="BG5" s="31">
        <v>0</v>
      </c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3"/>
      <c r="BS5" s="9">
        <f>IF(SUM(AX5:BA5)-BB5&gt;0,SUM(AX5:BA5)-BB5,"")</f>
        <v>41.35</v>
      </c>
      <c r="BT5" s="9">
        <f>IF(BE5&gt;0,BE5,"")</f>
        <v>1.5</v>
      </c>
      <c r="BU5" s="9">
        <f>IF(SUM(BC5:BF5)-BG5&gt;0,SUM(BC5:BF5)-BG5,"")</f>
        <v>5.22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46.57</v>
      </c>
      <c r="BY5" s="9" t="str">
        <f>IF(BO5&gt;0,BO5,"")</f>
        <v/>
      </c>
      <c r="BZ5" s="9" t="str">
        <f>IF(SUM(BM5:BP5)-BQ5&gt;0,SUM(BM5:BP5)-BQ5,"")</f>
        <v/>
      </c>
      <c r="CA5" s="9">
        <f>IF(SUM(BX5,BZ5)&gt;0,SUM(BX5,BZ5),"")</f>
        <v>46.57</v>
      </c>
      <c r="CB5" s="27">
        <v>17.2</v>
      </c>
      <c r="CC5" s="27">
        <v>9.6</v>
      </c>
      <c r="CD5" s="27">
        <v>0</v>
      </c>
      <c r="CE5" s="27">
        <v>14.26</v>
      </c>
      <c r="CF5" s="27">
        <v>0</v>
      </c>
      <c r="CG5" s="27">
        <v>7.1</v>
      </c>
      <c r="CH5" s="27">
        <v>4.5999999999999996</v>
      </c>
      <c r="CI5" s="27">
        <v>6.5</v>
      </c>
      <c r="CJ5" s="27">
        <v>6.83</v>
      </c>
      <c r="CK5" s="27">
        <v>0</v>
      </c>
      <c r="CL5" s="27"/>
      <c r="CM5" s="27"/>
      <c r="CN5" s="27"/>
      <c r="CO5" s="27"/>
      <c r="CP5" s="27"/>
      <c r="CQ5" s="27">
        <v>13.1</v>
      </c>
      <c r="CR5" s="27">
        <v>8.1</v>
      </c>
      <c r="CS5" s="27">
        <v>8.5</v>
      </c>
      <c r="CT5" s="27">
        <v>12.27</v>
      </c>
      <c r="CU5" s="27">
        <v>0</v>
      </c>
      <c r="CV5" s="32"/>
      <c r="CW5" s="7">
        <f>IF(SUM(CB5:CE5)-CF5&gt;0,SUM(CB5:CE5)-CF5,"")</f>
        <v>41.059999999999995</v>
      </c>
      <c r="CX5" s="7">
        <f>IF(CI5&gt;0,CI5,"")</f>
        <v>6.5</v>
      </c>
      <c r="CY5" s="7">
        <f>IF(SUM(CG5:CJ5)-CK5&gt;0,SUM(CG5:CJ5)-CK5,"")</f>
        <v>25.03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66.09</v>
      </c>
      <c r="DC5" s="7">
        <f>IF(CS5&gt;0,CS5,"")</f>
        <v>8.5</v>
      </c>
      <c r="DD5" s="7">
        <f>IF(SUM(CQ5:CT5)-CU5&gt;0,SUM(CQ5:CT5)-CU5,"")</f>
        <v>41.97</v>
      </c>
      <c r="DE5" s="7">
        <f>IF(SUM(DB5,DD5)&gt;0,SUM(DB5,DD5),"")</f>
        <v>108.06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22.119999999999997</v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>
        <v>16.5</v>
      </c>
      <c r="DK5" s="18">
        <v>14.41</v>
      </c>
      <c r="DL5" s="18">
        <v>0</v>
      </c>
      <c r="DM5" s="18">
        <v>9.8000000000000007</v>
      </c>
      <c r="DN5" s="18">
        <v>0</v>
      </c>
      <c r="DO5" s="18">
        <v>13.5</v>
      </c>
      <c r="DP5" s="18">
        <v>9.3000000000000007</v>
      </c>
      <c r="DQ5" s="18">
        <v>10.5</v>
      </c>
      <c r="DR5" s="18">
        <v>13.85</v>
      </c>
      <c r="DS5" s="18">
        <v>0</v>
      </c>
      <c r="DT5" s="18"/>
      <c r="DU5" s="18"/>
      <c r="DV5" s="18"/>
      <c r="DW5" s="18"/>
      <c r="DX5" s="18"/>
      <c r="DY5" s="7">
        <f>IF(DQ5&gt;0,DQ5,"")</f>
        <v>10.5</v>
      </c>
      <c r="DZ5" s="7">
        <f>IF(SUM(DJ5:DM5)-DN5&gt;0,SUM(DJ5:DM5)-DN5,"")</f>
        <v>40.71</v>
      </c>
      <c r="EA5" s="7">
        <f>IF(SUM(DO5:DR5)-DS5&gt;0,SUM(DO5:DR5)-DS5,"")</f>
        <v>47.15</v>
      </c>
      <c r="EB5" s="7">
        <f>IF(SUM(DZ5:EA5)&gt;0,SUM(DZ5:EA5),"")</f>
        <v>87.86</v>
      </c>
      <c r="EC5" s="7" t="str">
        <f>IF(DV5&gt;0,DV5,"")</f>
        <v/>
      </c>
      <c r="ED5" s="7" t="str">
        <f>IF(SUM(DT5:DW5)-DX5&gt;0,SUM(DT5:DW5)-DX5,"")</f>
        <v/>
      </c>
      <c r="EE5" s="7">
        <f>IF(SUM(EB5,ED5)&gt;0,SUM(EB5,ED5),"")</f>
        <v>87.86</v>
      </c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9" t="str">
        <f>IF(EM5&gt;0,EM5,"")</f>
        <v/>
      </c>
      <c r="EV5" s="9" t="str">
        <f>IF(SUM(EF5:EI5)-EJ5&gt;0,SUM(EF5:EI5)-EJ5,"")</f>
        <v/>
      </c>
      <c r="EW5" s="9" t="str">
        <f>IF(SUM(EK5:EN5)-EO5&gt;0,SUM(EK5:EN5)-EO5,"")</f>
        <v/>
      </c>
      <c r="EX5" s="9" t="str">
        <f>IF(SUM(EV5:EW5)&gt;0,SUM(EV5:EW5),"")</f>
        <v/>
      </c>
      <c r="EY5" s="9" t="str">
        <f>IF(ER5&gt;0,ER5,"")</f>
        <v/>
      </c>
      <c r="EZ5" s="9" t="str">
        <f>IF(SUM(EP5:ES5)-ET5&gt;0,SUM(EP5:ES5)-ET5,"")</f>
        <v/>
      </c>
      <c r="FA5" s="9" t="str">
        <f>IF(SUM(EX5,EZ5)&gt;0,SUM(EX5,EZ5),"")</f>
        <v/>
      </c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7" t="str">
        <f>IF(FI5&gt;0,FI5,"")</f>
        <v/>
      </c>
      <c r="FR5" s="7" t="str">
        <f>IF(SUM(FB5:FE5)-FF5&gt;0,SUM(FB5:FE5)-FF5,"")</f>
        <v/>
      </c>
      <c r="FS5" s="7" t="str">
        <f>IF(SUM(FG5:FJ5)-FK5&gt;0,SUM(FG5:FJ5)-FK5,"")</f>
        <v/>
      </c>
      <c r="FT5" s="7" t="str">
        <f>IF(SUM(FR5:FS5)&gt;0,SUM(FR5:FS5),"")</f>
        <v/>
      </c>
      <c r="FU5" s="7" t="str">
        <f>IF(FN5&gt;0,FN5,"")</f>
        <v/>
      </c>
      <c r="FV5" s="7" t="str">
        <f>IF(SUM(FL5:FO5)-FP5&gt;0,SUM(FL5:FO5)-FP5,"")</f>
        <v/>
      </c>
      <c r="FW5" s="7" t="str">
        <f>IF(SUM(FT5,FV5)&gt;0,SUM(FT5,FV5),"")</f>
        <v/>
      </c>
      <c r="FX5" s="19">
        <v>15.2</v>
      </c>
      <c r="FY5" s="19">
        <v>9</v>
      </c>
      <c r="FZ5" s="19">
        <v>0</v>
      </c>
      <c r="GA5" s="19">
        <v>14.15</v>
      </c>
      <c r="GB5" s="19">
        <v>0</v>
      </c>
      <c r="GC5" s="19">
        <v>4.7</v>
      </c>
      <c r="GD5" s="19">
        <v>2.9</v>
      </c>
      <c r="GE5" s="19">
        <v>3.6</v>
      </c>
      <c r="GF5" s="19">
        <v>4.37</v>
      </c>
      <c r="GG5" s="19">
        <v>0</v>
      </c>
      <c r="GH5" s="19"/>
      <c r="GI5" s="19"/>
      <c r="GJ5" s="19"/>
      <c r="GK5" s="19"/>
      <c r="GL5" s="19"/>
      <c r="GM5" s="9">
        <f>IF(GE5&gt;0,GE5,"")</f>
        <v>3.6</v>
      </c>
      <c r="GN5" s="9">
        <f>IF(SUM(FX5:GA5)-GB5&gt;0,SUM(FX5:GA5)-GB5,"")</f>
        <v>38.35</v>
      </c>
      <c r="GO5" s="9">
        <f>IF(SUM(GC5:GF5)-GG5&gt;0,SUM(GC5:GF5)-GG5,"")</f>
        <v>15.57</v>
      </c>
      <c r="GP5" s="9">
        <f>IF(SUM(GN5:GO5)&gt;0,SUM(GN5:GO5),"")</f>
        <v>53.92</v>
      </c>
      <c r="GQ5" s="9" t="str">
        <f>IF(GJ5&gt;0,GJ5,"")</f>
        <v/>
      </c>
      <c r="GR5" s="9" t="str">
        <f>IF(SUM(GH5:GK5)-GL5&gt;0,SUM(GH5:GK5)-GL5,"")</f>
        <v/>
      </c>
      <c r="GS5" s="9">
        <f>IF(SUM(GP5,GR5)&gt;0,SUM(GP5,GR5),"")</f>
        <v>53.92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17.25</v>
      </c>
      <c r="NO5" s="27">
        <f>IF($CV5="P",CC5,(CC5+AY5)/2)</f>
        <v>9.75</v>
      </c>
      <c r="NP5" s="27">
        <f>IF($CV5="P",CD5,(CD5+AZ5)/2)</f>
        <v>0</v>
      </c>
      <c r="NQ5" s="27">
        <f>IF($CV5="P",CE5,(CE5+BA5)/2)</f>
        <v>14.205</v>
      </c>
      <c r="NR5" s="27">
        <f>IF($CV5="P",CF5,(CF5+BB5)/2)</f>
        <v>0</v>
      </c>
      <c r="NS5" s="27">
        <f>IF($CV5="P",CG5,(CG5+BC5)/2)</f>
        <v>4.3</v>
      </c>
      <c r="NT5" s="27">
        <f>IF($CV5="P",CH5,(CH5+BD5)/2)</f>
        <v>2.6999999999999997</v>
      </c>
      <c r="NU5" s="27">
        <f>IF($CV5="P",CI5,(CI5+BE5)/2)</f>
        <v>4</v>
      </c>
      <c r="NV5" s="27">
        <f>IF($CV5="P",CJ5,(CJ5+BF5)/2)</f>
        <v>4.125</v>
      </c>
      <c r="NW5" s="27">
        <f>IF($CV5="P",CK5,(CK5+BG5)/2)</f>
        <v>0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6.55</v>
      </c>
      <c r="OD5" s="27">
        <f>IF($CV5="P",CR5,(CR5+BN5)/2)</f>
        <v>4.05</v>
      </c>
      <c r="OE5" s="27">
        <f>IF($CV5="P",CS5,(CS5+BO5)/2)</f>
        <v>4.25</v>
      </c>
      <c r="OF5" s="27">
        <f>IF($CV5="P",CT5,(CT5+BP5)/2)</f>
        <v>6.1349999999999998</v>
      </c>
      <c r="OG5" s="27">
        <f>IF($CV5="P",CU5,(CU5+BQ5)/2)</f>
        <v>0</v>
      </c>
      <c r="OH5" s="32" t="s">
        <v>44</v>
      </c>
      <c r="OI5" s="7">
        <f>IF(SUM(NN5:NQ5)-NR5&gt;0,SUM(NN5:NQ5)-NR5,"")</f>
        <v>41.204999999999998</v>
      </c>
      <c r="OJ5" s="7">
        <f>IF(NU5&gt;0,NU5,"")</f>
        <v>4</v>
      </c>
      <c r="OK5" s="7">
        <f>IF(SUM(NS5:NV5)-NW5&gt;0,SUM(NS5:NV5)-NW5,"")</f>
        <v>15.125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56.33</v>
      </c>
      <c r="OO5" s="7">
        <f>IF(OE5&gt;0,OE5,"")</f>
        <v>4.25</v>
      </c>
      <c r="OP5" s="7">
        <f t="shared" ref="OP5" si="2">IF(SUM(OC5:OF5)-OG5&gt;0,SUM(OC5:OF5)-OG5,"")</f>
        <v>20.984999999999999</v>
      </c>
      <c r="OQ5" s="7">
        <f t="shared" ref="OQ5" si="3">IF(SUM(ON5,OP5)&gt;0,SUM(ON5,OP5),"")</f>
        <v>77.314999999999998</v>
      </c>
    </row>
    <row r="6" spans="1:407" x14ac:dyDescent="0.2">
      <c r="A6" s="4" t="str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/>
      </c>
      <c r="B6" s="5" t="s">
        <v>99</v>
      </c>
      <c r="C6" s="4" t="s">
        <v>3</v>
      </c>
      <c r="D6" s="4">
        <v>2009</v>
      </c>
      <c r="E6" s="10">
        <f>SUM(I6:Q6)</f>
        <v>225.04000000000002</v>
      </c>
      <c r="F6" s="3" t="str">
        <f>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P","")</f>
        <v/>
      </c>
      <c r="G6" s="3" t="str">
        <f>IF(OR(AND(AT6&gt;=AW$18,AO6&lt;&gt;"",AN6=""),AND(BX6&gt;=CA$18,BS6&lt;&gt;"",BR6=""),AND(DB6&gt;=DE$18,CW6&lt;&gt;"",CV6=""),AND(EB6&gt;=EE$18,DY6&lt;&gt;""),AND(EX6&gt;=FA$18,EU6&lt;&gt;""),AND(FT6&gt;=FW$18,FQ6&lt;&gt;""),AND(GP6&gt;=GS$18,GM6&lt;&gt;""),AND(HL6&gt;=HO$18,HI6&lt;&gt;""),AND(IH6&gt;=IK$18,IE6&lt;&gt;""),AND(JD6&gt;=JG$18,JA6&lt;&gt;""),AND(JZ6&gt;=KC$18,JW6&lt;&gt;""),AND(KV6&gt;=KY$18,KS6&lt;&gt;""),AND(LR6&gt;=LU$18,LO6&lt;&gt;""),AND(MN6&gt;=MQ$18,MK6&lt;&gt;""),AND(NJ6&gt;=NM$18,NG6&lt;&gt;"")),"P","")</f>
        <v/>
      </c>
      <c r="H6" s="47" t="str">
        <f>IF(OR(AND(AP6&gt;=AW$17,AQ6&gt;=AW$21,AP6&lt;&gt;"",AN6=""),AND(AU6&gt;=AW$17,AV6&gt;=AW$21,AU6&lt;&gt;"",AN6=""),AND(BT6&gt;=CA$17,BU6&gt;=CA$21,BT6&lt;&gt;"",BR6=""),AND(BY6&gt;=CA$17,BZ6&gt;=CA$21,BY6&lt;&gt;"",BR6=""),AND(CX6&gt;=DE$17,CY6&gt;=DE$21,CX6&lt;&gt;"",CV6=""),AND(DC6&gt;=DE$17,DD6&gt;=DE$21,DC6&lt;&gt;"",CV6=""),AND(DY6&gt;=EE$17,EA6&gt;=EE$21,DY6&lt;&gt;""),AND(EC6&gt;=EE$17,ED6&gt;=EE$21,EC6&lt;&gt;""),AND(EU6&gt;=FA$17,EW6&gt;=FA$21,EU6&lt;&gt;""),AND(EY6&gt;=FA$17,EZ6&gt;=FA$21,EY6&lt;&gt;""),AND(FQ6&gt;=FW$17,FS6&gt;=FW$21,FQ6&lt;&gt;""),AND(FU6&gt;=FW$17,FV6&gt;=FW$21,FU6&lt;&gt;""),AND(GM6&gt;=GS$17,GO6&gt;=GS$21,GM6&lt;&gt;""),AND(GQ6&gt;=GS$17,GR6&gt;=GS$21,GQ6&lt;&gt;""),AND(HI6&gt;=HO$17,HK6&gt;=HO$21,HI6&lt;&gt;""),AND(HM6&gt;=HO$17,HN6&gt;=HO$21,HM6&lt;&gt;""),AND(IE6&gt;=IK$17,IG6&gt;=IK$21,IE6&lt;&gt;""),AND(II6&gt;=IK$17,IJ6&gt;=IK$21,II6&lt;&gt;""),AND(JA6&gt;=JG$17,JC6&gt;=JG$21,JA6&lt;&gt;""),AND(JE6&gt;=JG$17,JF6&gt;=JG$21,JE6&lt;&gt;""),AND(JW6&gt;=KC$17,JY6&gt;=KC$21,JW6&lt;&gt;""),AND(KA6&gt;=KC$17,KB6&gt;=KC$21,KA6&lt;&gt;""),AND(KS6&gt;=KY$17,KU6&gt;=KY$21,KS6&lt;&gt;""),AND(KW6&gt;=KY$17,KX6&gt;=KY$21,KW6&lt;&gt;""),AND(LO6&gt;=LU$17,LQ6&gt;=LU$21,LO6&lt;&gt;""),AND(LS6&gt;=LU$17,LT6&gt;=LU$21,LS6&lt;&gt;""),AND(MK6&gt;=MQ$17,MM6&gt;=MQ$21,MK6&lt;&gt;""),AND(MO6&gt;=MQ$17,MP6&gt;=MQ$21,MO6&lt;&gt;""),AND(NG6&gt;=NM$17,NI6&gt;=NM$21,NG6&lt;&gt;""),AND(NK6&gt;=NM$17,NL6&gt;=NM$21,NK6&lt;&gt;"")),"Merit",IF(OR(AND(AP6&gt;=AW$16,AT6&gt;=AW$20,AO6&lt;&gt;"",AN6=""),AND(BT6&gt;=CA$16,BX6&gt;=CA$20,BS6&lt;&gt;"",BR6=""),AND(CX6&gt;=DE$16,DB6&gt;=DE$20,CW6&lt;&gt;"",CV6=""),AND(DY6&gt;=EE$16,EB6&gt;=EE$20,DY6&lt;&gt;""),AND(EU6&gt;=FA$16,EX6&gt;=FA$20,EU6&lt;&gt;""),AND(FQ6&gt;=FW$16,FT6&gt;=FW$20,FQ6&lt;&gt;""),AND(GM6&gt;=GS$16,GP6&gt;=GS$20,GM6&lt;&gt;""),AND(HI6&gt;=HO$16,HL6&gt;=HO$20,HI6&lt;&gt;""),AND(IE6&gt;=IK$16,IH6&gt;=IK$20,IE6&lt;&gt;""),AND(JA6&gt;=JG$16,JD6&gt;=JG$20,JA6&lt;&gt;""),AND(JW6&gt;=KC$16,JZ6&gt;=KC$20,JW6&lt;&gt;""),AND(KS6&gt;=KY$16,KV6&gt;=KY$20,KS6&lt;&gt;""),AND(LO6&gt;=LU$16,LR6&gt;=LU$20,LO6&lt;&gt;""),AND(MK6&gt;=MQ$16,MN6&gt;=MQ$20,MK6&lt;&gt;""),AND(NG6&gt;=NM$16,NJ6&gt;=NM$20,NG6&lt;&gt;"")),"Excellence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National Team",IF(G6="P","No DD",""))))</f>
        <v/>
      </c>
      <c r="I6" s="9">
        <f>IF(MAX(AT6,BX6,DB6)&gt;0,MAX(AT6,BX6,DB6),0)</f>
        <v>86.92</v>
      </c>
      <c r="J6" s="9" t="str">
        <f>IF(I6=0,"",IF(I6=DB6,$CB$1,IF(I6=BX6,$AX$1,IF(I6=AT6,$T$1,""))))</f>
        <v>2023 Elite Canada</v>
      </c>
      <c r="K6" s="9">
        <f>IF($I6=$AT6,MAX(BS6,CW6),IF($I6=$BX6,MAX(AO6,CW6),IF($I6=$DB6,MAX(AO6,BS6),MAX(AO6,BS6,CW6))))</f>
        <v>41.68</v>
      </c>
      <c r="L6" s="9" t="str">
        <f>IF(K6=0,"",IF(AND(K6=CW6,$J6&lt;&gt;$CB$1),$CB$1,IF(AND(K6=BS6,$J6&lt;&gt;$AX$1),$AX$1,IF(AND(K6=AO6,$J6&lt;&gt;$T$1),$T$1,""))))</f>
        <v>2023 3rd Domestic Trial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43.31</v>
      </c>
      <c r="N6" s="9" t="str">
        <f>IF(M6=0,"",IF(AND(OR(M6=DA6,M6=CY6),$J6&lt;&gt;$CB$1),$CB$1,IF(AND(OR(M6=BW6,M6=BU6),$J6&lt;&gt;$AX$1),$AX$1,IF(AND(OR(M6=AS6,M6=AQ6),$J6&lt;&gt;$T$1),$T$1,""))))</f>
        <v>2023 Nationals</v>
      </c>
      <c r="O6" s="9">
        <f>MAX(AV6,BZ6,DD6)</f>
        <v>48.510000000000005</v>
      </c>
      <c r="P6" s="9" t="str">
        <f>IF(O6=0,"",IF(O6=DD6,$CB$1,IF(O6=BZ6,$AX$1,IF(O6=AV6,$T$1,""))))</f>
        <v>2023 Nationals</v>
      </c>
      <c r="Q6" s="9">
        <f>IF(MAX(DF6,DG6,DH6,DI6)&gt;0,MAX(DF6,DG6,DH6,DI6),"")</f>
        <v>4.6199999999999974</v>
      </c>
      <c r="R6" s="14" t="str">
        <f>IF(Q6="","",IF(Q6=DF6,"(Vol 1)",IF(Q6=DG6,"(Vol 2)",IF(Q6=DH6,"(Prelim)",IF(Q6=DI6,"(Final)")))))</f>
        <v>(Vol 2)</v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>2023 WAGC (Nov 16)</v>
      </c>
      <c r="T6" s="27">
        <v>16</v>
      </c>
      <c r="U6" s="27">
        <v>9.3000000000000007</v>
      </c>
      <c r="V6" s="27">
        <v>0</v>
      </c>
      <c r="W6" s="27">
        <v>14.79</v>
      </c>
      <c r="X6" s="27">
        <v>0</v>
      </c>
      <c r="Y6" s="27">
        <v>14</v>
      </c>
      <c r="Z6" s="27">
        <v>9</v>
      </c>
      <c r="AA6" s="27">
        <v>9.6</v>
      </c>
      <c r="AB6" s="27">
        <v>14.23</v>
      </c>
      <c r="AC6" s="27">
        <v>0</v>
      </c>
      <c r="AD6" s="27"/>
      <c r="AE6" s="27"/>
      <c r="AF6" s="27"/>
      <c r="AG6" s="27"/>
      <c r="AH6" s="27"/>
      <c r="AI6" s="27">
        <v>2.9</v>
      </c>
      <c r="AJ6" s="27">
        <v>1.8</v>
      </c>
      <c r="AK6" s="27">
        <v>2.2999999999999998</v>
      </c>
      <c r="AL6" s="27">
        <v>3.06</v>
      </c>
      <c r="AM6" s="27">
        <v>0</v>
      </c>
      <c r="AN6" s="32"/>
      <c r="AO6" s="7">
        <f>IF(SUM(T6:W6)-X6&gt;0,SUM(T6:W6)-X6,"")</f>
        <v>40.090000000000003</v>
      </c>
      <c r="AP6" s="7">
        <f>IF(AA6&gt;0,AA6,"")</f>
        <v>9.6</v>
      </c>
      <c r="AQ6" s="7">
        <f>IF(SUM(Y6:AB6)-AC6&gt;0,SUM(Y6:AB6)-AC6,"")</f>
        <v>46.83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86.92</v>
      </c>
      <c r="AU6" s="7">
        <f>IF(AK6&gt;0,AK6,"")</f>
        <v>2.2999999999999998</v>
      </c>
      <c r="AV6" s="7">
        <f>IF(SUM(AI6:AL6)-AM6&gt;0,SUM(AI6:AL6)-AM6,"")</f>
        <v>10.06</v>
      </c>
      <c r="AW6" s="7">
        <f>IF(SUM(AT6,AV6)&gt;0,SUM(AT6,AV6),"")</f>
        <v>96.98</v>
      </c>
      <c r="AX6" s="31">
        <v>16.399999999999999</v>
      </c>
      <c r="AY6" s="31">
        <v>9</v>
      </c>
      <c r="AZ6" s="31">
        <v>0</v>
      </c>
      <c r="BA6" s="31">
        <v>14.69</v>
      </c>
      <c r="BB6" s="31">
        <v>0</v>
      </c>
      <c r="BC6" s="31">
        <v>13.7</v>
      </c>
      <c r="BD6" s="31">
        <v>8.1</v>
      </c>
      <c r="BE6" s="31">
        <v>8.3000000000000007</v>
      </c>
      <c r="BF6" s="31">
        <v>13.21</v>
      </c>
      <c r="BG6" s="31">
        <v>0</v>
      </c>
      <c r="BH6" s="31"/>
      <c r="BI6" s="31"/>
      <c r="BJ6" s="31"/>
      <c r="BK6" s="31"/>
      <c r="BL6" s="31"/>
      <c r="BM6" s="31">
        <v>15.4</v>
      </c>
      <c r="BN6" s="31">
        <v>9.1</v>
      </c>
      <c r="BO6" s="31">
        <v>9.6999999999999993</v>
      </c>
      <c r="BP6" s="31">
        <v>14.31</v>
      </c>
      <c r="BQ6" s="31">
        <v>0</v>
      </c>
      <c r="BR6" s="33"/>
      <c r="BS6" s="9">
        <f>IF(SUM(AX6:BA6)-BB6&gt;0,SUM(AX6:BA6)-BB6,"")</f>
        <v>40.089999999999996</v>
      </c>
      <c r="BT6" s="9">
        <f>IF(BE6&gt;0,BE6,"")</f>
        <v>8.3000000000000007</v>
      </c>
      <c r="BU6" s="9">
        <f>IF(SUM(BC6:BF6)-BG6&gt;0,SUM(BC6:BF6)-BG6,"")</f>
        <v>43.31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83.4</v>
      </c>
      <c r="BY6" s="9">
        <f>IF(BO6&gt;0,BO6,"")</f>
        <v>9.6999999999999993</v>
      </c>
      <c r="BZ6" s="9">
        <f>IF(SUM(BM6:BP6)-BQ6&gt;0,SUM(BM6:BP6)-BQ6,"")</f>
        <v>48.510000000000005</v>
      </c>
      <c r="CA6" s="9">
        <f>IF(SUM(BX6,BZ6)&gt;0,SUM(BX6,BZ6),"")</f>
        <v>131.91000000000003</v>
      </c>
      <c r="CB6" s="27">
        <v>17.399999999999999</v>
      </c>
      <c r="CC6" s="27">
        <v>9.4</v>
      </c>
      <c r="CD6" s="27">
        <v>0</v>
      </c>
      <c r="CE6" s="27">
        <v>14.88</v>
      </c>
      <c r="CF6" s="27">
        <v>0</v>
      </c>
      <c r="CG6" s="27">
        <v>12.2</v>
      </c>
      <c r="CH6" s="27">
        <v>8.3000000000000007</v>
      </c>
      <c r="CI6" s="27">
        <v>7.1999999999999993</v>
      </c>
      <c r="CJ6" s="27">
        <v>13.13</v>
      </c>
      <c r="CK6" s="27">
        <v>0</v>
      </c>
      <c r="CL6" s="27"/>
      <c r="CM6" s="27"/>
      <c r="CN6" s="27"/>
      <c r="CO6" s="27"/>
      <c r="CP6" s="27"/>
      <c r="CQ6" s="27">
        <v>14.3</v>
      </c>
      <c r="CR6" s="27">
        <v>9.1</v>
      </c>
      <c r="CS6" s="27">
        <v>10.299999999999999</v>
      </c>
      <c r="CT6" s="27">
        <v>14.3</v>
      </c>
      <c r="CU6" s="27">
        <v>0</v>
      </c>
      <c r="CV6" s="32"/>
      <c r="CW6" s="7">
        <f>IF(SUM(CB6:CE6)-CF6&gt;0,SUM(CB6:CE6)-CF6,"")</f>
        <v>41.68</v>
      </c>
      <c r="CX6" s="7">
        <f>IF(CI6&gt;0,CI6,"")</f>
        <v>7.1999999999999993</v>
      </c>
      <c r="CY6" s="7">
        <f>IF(SUM(CG6:CJ6)-CK6&gt;0,SUM(CG6:CJ6)-CK6,"")</f>
        <v>40.83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82.509999999999991</v>
      </c>
      <c r="DC6" s="7">
        <f>IF(CS6&gt;0,CS6,"")</f>
        <v>10.299999999999999</v>
      </c>
      <c r="DD6" s="7">
        <f>IF(SUM(CQ6:CT6)-CU6&gt;0,SUM(CQ6:CT6)-CU6,"")</f>
        <v>48</v>
      </c>
      <c r="DE6" s="7">
        <f>IF(SUM(DB6,DD6)&gt;0,SUM(DB6,DD6),"")</f>
        <v>130.51</v>
      </c>
      <c r="DF6" s="13" t="str">
        <f>IF(MAX(DZ6,EV6,FR6,GN6,HJ6,IF6,JB6,JX6,KT6,LP6,ML6,NH6)-IF(K6="",0,K6)&gt;0.001,MAX(DZ6,EV6,FR6,GN6,HJ6,IF6,JB6,JX6,KT6,LP6,ML6,NH6)-IF(K6="",0,K6),"")</f>
        <v/>
      </c>
      <c r="DG6" s="13">
        <f>IF(MAX(EA6,EW6,FS6,GO6,HK6,IG6,JC6,JY6,KU6,LQ6,MM6,NI6)-IF(M6="",0,M6)&gt;0.001,MAX(EA6,EW6,FS6,GO6,HK6,IG6,JC6,JY6,KU6,LQ6,MM6,NI6)-IF(M6="",0,M6),"")</f>
        <v>4.6199999999999974</v>
      </c>
      <c r="DH6" s="13">
        <f>IF(MAX(EB6,EX6,FT6,GP6,HL6,IH6,JD6,JZ6,KV6,LR6,MN6,NJ6)-IF(I6="",0,I6)&gt;0.001,MAX(EB6,EX6,FT6,GP6,HL6,IH6,JD6,JZ6,KV6,LR6,MN6,NJ6)-IF(I6="",0,I6),"")</f>
        <v>4.0000000000006253E-2</v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>
        <v>14.8</v>
      </c>
      <c r="FY6" s="19">
        <v>9.5</v>
      </c>
      <c r="FZ6" s="19">
        <v>0</v>
      </c>
      <c r="GA6" s="19">
        <v>14.73</v>
      </c>
      <c r="GB6" s="19">
        <v>0</v>
      </c>
      <c r="GC6" s="19">
        <v>14</v>
      </c>
      <c r="GD6" s="19">
        <v>9.3000000000000007</v>
      </c>
      <c r="GE6" s="19">
        <v>10.5</v>
      </c>
      <c r="GF6" s="19">
        <v>14.13</v>
      </c>
      <c r="GG6" s="19">
        <v>0</v>
      </c>
      <c r="GH6" s="19"/>
      <c r="GI6" s="19"/>
      <c r="GJ6" s="19"/>
      <c r="GK6" s="19"/>
      <c r="GL6" s="19"/>
      <c r="GM6" s="9">
        <f>IF(GE6&gt;0,GE6,"")</f>
        <v>10.5</v>
      </c>
      <c r="GN6" s="9">
        <f>IF(SUM(FX6:GA6)-GB6&gt;0,SUM(FX6:GA6)-GB6,"")</f>
        <v>39.03</v>
      </c>
      <c r="GO6" s="9">
        <f>IF(SUM(GC6:GF6)-GG6&gt;0,SUM(GC6:GF6)-GG6,"")</f>
        <v>47.93</v>
      </c>
      <c r="GP6" s="9">
        <f>IF(SUM(GN6:GO6)&gt;0,SUM(GN6:GO6),"")</f>
        <v>86.960000000000008</v>
      </c>
      <c r="GQ6" s="9" t="str">
        <f>IF(GJ6&gt;0,GJ6,"")</f>
        <v/>
      </c>
      <c r="GR6" s="9" t="str">
        <f>IF(SUM(GH6:GK6)-GL6&gt;0,SUM(GH6:GK6)-GL6,"")</f>
        <v/>
      </c>
      <c r="GS6" s="9">
        <f>IF(SUM(GP6,GR6)&gt;0,SUM(GP6,GR6),"")</f>
        <v>86.960000000000008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16.899999999999999</v>
      </c>
      <c r="NO6" s="27">
        <f>IF($CV6="P",CC6,(CC6+AY6)/2)</f>
        <v>9.1999999999999993</v>
      </c>
      <c r="NP6" s="27">
        <f>IF($CV6="P",CD6,(CD6+AZ6)/2)</f>
        <v>0</v>
      </c>
      <c r="NQ6" s="27">
        <f>IF($CV6="P",CE6,(CE6+BA6)/2)</f>
        <v>14.785</v>
      </c>
      <c r="NR6" s="27">
        <f>IF($CV6="P",CF6,(CF6+BB6)/2)</f>
        <v>0</v>
      </c>
      <c r="NS6" s="27">
        <f>IF($CV6="P",CG6,(CG6+BC6)/2)</f>
        <v>12.95</v>
      </c>
      <c r="NT6" s="27">
        <f>IF($CV6="P",CH6,(CH6+BD6)/2)</f>
        <v>8.1999999999999993</v>
      </c>
      <c r="NU6" s="27">
        <f>IF($CV6="P",CI6,(CI6+BE6)/2)</f>
        <v>7.75</v>
      </c>
      <c r="NV6" s="27">
        <f>IF($CV6="P",CJ6,(CJ6+BF6)/2)</f>
        <v>13.170000000000002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14.850000000000001</v>
      </c>
      <c r="OD6" s="27">
        <f>IF($CV6="P",CR6,(CR6+BN6)/2)</f>
        <v>9.1</v>
      </c>
      <c r="OE6" s="27">
        <f>IF($CV6="P",CS6,(CS6+BO6)/2)</f>
        <v>10</v>
      </c>
      <c r="OF6" s="27">
        <f>IF($CV6="P",CT6,(CT6+BP6)/2)</f>
        <v>14.305</v>
      </c>
      <c r="OG6" s="27">
        <f>IF($CV6="P",CU6,(CU6+BQ6)/2)</f>
        <v>0</v>
      </c>
      <c r="OH6" s="32" t="s">
        <v>44</v>
      </c>
      <c r="OI6" s="7">
        <f>IF(SUM(NN6:NQ6)-NR6&gt;0,SUM(NN6:NQ6)-NR6,"")</f>
        <v>40.884999999999998</v>
      </c>
      <c r="OJ6" s="7">
        <f>IF(NU6&gt;0,NU6,"")</f>
        <v>7.75</v>
      </c>
      <c r="OK6" s="7">
        <f>IF(SUM(NS6:NV6)-NW6&gt;0,SUM(NS6:NV6)-NW6,"")</f>
        <v>42.07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82.954999999999998</v>
      </c>
      <c r="OO6" s="7">
        <f>IF(OE6&gt;0,OE6,"")</f>
        <v>10</v>
      </c>
      <c r="OP6" s="7">
        <f t="shared" ref="OP6" si="4">IF(SUM(OC6:OF6)-OG6&gt;0,SUM(OC6:OF6)-OG6,"")</f>
        <v>48.255000000000003</v>
      </c>
      <c r="OQ6" s="7">
        <f t="shared" ref="OQ6" si="5">IF(SUM(ON6,OP6)&gt;0,SUM(ON6,OP6),"")</f>
        <v>131.21</v>
      </c>
    </row>
    <row r="7" spans="1:407" x14ac:dyDescent="0.2">
      <c r="A7" s="4" t="str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/>
      </c>
      <c r="B7" s="5" t="s">
        <v>89</v>
      </c>
      <c r="C7" s="4" t="s">
        <v>68</v>
      </c>
      <c r="D7" s="4">
        <v>2008</v>
      </c>
      <c r="E7" s="10">
        <f>SUM(I7:Q7)</f>
        <v>222.03</v>
      </c>
      <c r="F7" s="3" t="str">
        <f>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P","")</f>
        <v/>
      </c>
      <c r="G7" s="3" t="str">
        <f>IF(OR(AND(AT7&gt;=AW$18,AO7&lt;&gt;"",AN7=""),AND(BX7&gt;=CA$18,BS7&lt;&gt;"",BR7=""),AND(DB7&gt;=DE$18,CW7&lt;&gt;"",CV7=""),AND(EB7&gt;=EE$18,DY7&lt;&gt;""),AND(EX7&gt;=FA$18,EU7&lt;&gt;""),AND(FT7&gt;=FW$18,FQ7&lt;&gt;""),AND(GP7&gt;=GS$18,GM7&lt;&gt;""),AND(HL7&gt;=HO$18,HI7&lt;&gt;""),AND(IH7&gt;=IK$18,IE7&lt;&gt;""),AND(JD7&gt;=JG$18,JA7&lt;&gt;""),AND(JZ7&gt;=KC$18,JW7&lt;&gt;""),AND(KV7&gt;=KY$18,KS7&lt;&gt;""),AND(LR7&gt;=LU$18,LO7&lt;&gt;""),AND(MN7&gt;=MQ$18,MK7&lt;&gt;""),AND(NJ7&gt;=NM$18,NG7&lt;&gt;"")),"P","")</f>
        <v/>
      </c>
      <c r="H7" s="47" t="str">
        <f>IF(OR(AND(AP7&gt;=AW$17,AQ7&gt;=AW$21,AP7&lt;&gt;"",AN7=""),AND(AU7&gt;=AW$17,AV7&gt;=AW$21,AU7&lt;&gt;"",AN7=""),AND(BT7&gt;=CA$17,BU7&gt;=CA$21,BT7&lt;&gt;"",BR7=""),AND(BY7&gt;=CA$17,BZ7&gt;=CA$21,BY7&lt;&gt;"",BR7=""),AND(CX7&gt;=DE$17,CY7&gt;=DE$21,CX7&lt;&gt;"",CV7=""),AND(DC7&gt;=DE$17,DD7&gt;=DE$21,DC7&lt;&gt;"",CV7=""),AND(DY7&gt;=EE$17,EA7&gt;=EE$21,DY7&lt;&gt;""),AND(EC7&gt;=EE$17,ED7&gt;=EE$21,EC7&lt;&gt;""),AND(EU7&gt;=FA$17,EW7&gt;=FA$21,EU7&lt;&gt;""),AND(EY7&gt;=FA$17,EZ7&gt;=FA$21,EY7&lt;&gt;""),AND(FQ7&gt;=FW$17,FS7&gt;=FW$21,FQ7&lt;&gt;""),AND(FU7&gt;=FW$17,FV7&gt;=FW$21,FU7&lt;&gt;""),AND(GM7&gt;=GS$17,GO7&gt;=GS$21,GM7&lt;&gt;""),AND(GQ7&gt;=GS$17,GR7&gt;=GS$21,GQ7&lt;&gt;""),AND(HI7&gt;=HO$17,HK7&gt;=HO$21,HI7&lt;&gt;""),AND(HM7&gt;=HO$17,HN7&gt;=HO$21,HM7&lt;&gt;""),AND(IE7&gt;=IK$17,IG7&gt;=IK$21,IE7&lt;&gt;""),AND(II7&gt;=IK$17,IJ7&gt;=IK$21,II7&lt;&gt;""),AND(JA7&gt;=JG$17,JC7&gt;=JG$21,JA7&lt;&gt;""),AND(JE7&gt;=JG$17,JF7&gt;=JG$21,JE7&lt;&gt;""),AND(JW7&gt;=KC$17,JY7&gt;=KC$21,JW7&lt;&gt;""),AND(KA7&gt;=KC$17,KB7&gt;=KC$21,KA7&lt;&gt;""),AND(KS7&gt;=KY$17,KU7&gt;=KY$21,KS7&lt;&gt;""),AND(KW7&gt;=KY$17,KX7&gt;=KY$21,KW7&lt;&gt;""),AND(LO7&gt;=LU$17,LQ7&gt;=LU$21,LO7&lt;&gt;""),AND(LS7&gt;=LU$17,LT7&gt;=LU$21,LS7&lt;&gt;""),AND(MK7&gt;=MQ$17,MM7&gt;=MQ$21,MK7&lt;&gt;""),AND(MO7&gt;=MQ$17,MP7&gt;=MQ$21,MO7&lt;&gt;""),AND(NG7&gt;=NM$17,NI7&gt;=NM$21,NG7&lt;&gt;""),AND(NK7&gt;=NM$17,NL7&gt;=NM$21,NK7&lt;&gt;"")),"Merit",IF(OR(AND(AP7&gt;=AW$16,AT7&gt;=AW$20,AO7&lt;&gt;"",AN7=""),AND(BT7&gt;=CA$16,BX7&gt;=CA$20,BS7&lt;&gt;"",BR7=""),AND(CX7&gt;=DE$16,DB7&gt;=DE$20,CW7&lt;&gt;"",CV7=""),AND(DY7&gt;=EE$16,EB7&gt;=EE$20,DY7&lt;&gt;""),AND(EU7&gt;=FA$16,EX7&gt;=FA$20,EU7&lt;&gt;""),AND(FQ7&gt;=FW$16,FT7&gt;=FW$20,FQ7&lt;&gt;""),AND(GM7&gt;=GS$16,GP7&gt;=GS$20,GM7&lt;&gt;""),AND(HI7&gt;=HO$16,HL7&gt;=HO$20,HI7&lt;&gt;""),AND(IE7&gt;=IK$16,IH7&gt;=IK$20,IE7&lt;&gt;""),AND(JA7&gt;=JG$16,JD7&gt;=JG$20,JA7&lt;&gt;""),AND(JW7&gt;=KC$16,JZ7&gt;=KC$20,JW7&lt;&gt;""),AND(KS7&gt;=KY$16,KV7&gt;=KY$20,KS7&lt;&gt;""),AND(LO7&gt;=LU$16,LR7&gt;=LU$20,LO7&lt;&gt;""),AND(MK7&gt;=MQ$16,MN7&gt;=MQ$20,MK7&lt;&gt;""),AND(NG7&gt;=NM$16,NJ7&gt;=NM$20,NG7&lt;&gt;"")),"Excellence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National Team",IF(G7="P","No DD",""))))</f>
        <v/>
      </c>
      <c r="I7" s="9">
        <f>IF(MAX(AT7,BX7,DB7)&gt;0,MAX(AT7,BX7,DB7),0)</f>
        <v>87.240000000000009</v>
      </c>
      <c r="J7" s="9" t="str">
        <f>IF(I7=0,"",IF(I7=DB7,$CB$1,IF(I7=BX7,$AX$1,IF(I7=AT7,$T$1,""))))</f>
        <v>2023 Elite Canada</v>
      </c>
      <c r="K7" s="9">
        <f>IF($I7=$AT7,MAX(BS7,CW7),IF($I7=$BX7,MAX(AO7,CW7),IF($I7=$DB7,MAX(AO7,BS7),MAX(AO7,BS7,CW7))))</f>
        <v>40.68</v>
      </c>
      <c r="L7" s="9" t="str">
        <f>IF(K7=0,"",IF(AND(K7=CW7,$J7&lt;&gt;$CB$1),$CB$1,IF(AND(K7=BS7,$J7&lt;&gt;$AX$1),$AX$1,IF(AND(K7=AO7,$J7&lt;&gt;$T$1),$T$1,""))))</f>
        <v>2023 3rd Domestic Trial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46.64</v>
      </c>
      <c r="N7" s="9" t="str">
        <f>IF(M7=0,"",IF(AND(OR(M7=DA7,M7=CY7),$J7&lt;&gt;$CB$1),$CB$1,IF(AND(OR(M7=BW7,M7=BU7),$J7&lt;&gt;$AX$1),$AX$1,IF(AND(OR(M7=AS7,M7=AQ7),$J7&lt;&gt;$T$1),$T$1,""))))</f>
        <v>2023 Nationals</v>
      </c>
      <c r="O7" s="9">
        <f>MAX(AV7,BZ7,DD7)</f>
        <v>47.47</v>
      </c>
      <c r="P7" s="9" t="str">
        <f>IF(O7=0,"",IF(O7=DD7,$CB$1,IF(O7=BZ7,$AX$1,IF(O7=AV7,$T$1,""))))</f>
        <v>2023 Elite Canada</v>
      </c>
      <c r="Q7" s="9" t="str">
        <f>IF(MAX(DF7,DG7,DH7,DI7)&gt;0,MAX(DF7,DG7,DH7,DI7),"")</f>
        <v/>
      </c>
      <c r="R7" s="14" t="str">
        <f>IF(Q7="","",IF(Q7=DF7,"(Vol 1)",IF(Q7=DG7,"(Vol 2)",IF(Q7=DH7,"(Prelim)",IF(Q7=DI7,"(Final)")))))</f>
        <v/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/>
      </c>
      <c r="T7" s="27">
        <v>16.899999999999999</v>
      </c>
      <c r="U7" s="27">
        <v>9.6</v>
      </c>
      <c r="V7" s="27">
        <v>0</v>
      </c>
      <c r="W7" s="27">
        <v>13.75</v>
      </c>
      <c r="X7" s="27">
        <v>0</v>
      </c>
      <c r="Y7" s="27">
        <v>14.6</v>
      </c>
      <c r="Z7" s="27">
        <v>9</v>
      </c>
      <c r="AA7" s="27">
        <v>10</v>
      </c>
      <c r="AB7" s="27">
        <v>13.39</v>
      </c>
      <c r="AC7" s="27">
        <v>0</v>
      </c>
      <c r="AD7" s="27"/>
      <c r="AE7" s="27"/>
      <c r="AF7" s="27"/>
      <c r="AG7" s="27"/>
      <c r="AH7" s="27"/>
      <c r="AI7" s="27">
        <v>14.8</v>
      </c>
      <c r="AJ7" s="27">
        <v>9.1999999999999993</v>
      </c>
      <c r="AK7" s="27">
        <v>10</v>
      </c>
      <c r="AL7" s="27">
        <v>13.47</v>
      </c>
      <c r="AM7" s="27">
        <v>0</v>
      </c>
      <c r="AN7" s="32"/>
      <c r="AO7" s="7">
        <f>IF(SUM(T7:W7)-X7&gt;0,SUM(T7:W7)-X7,"")</f>
        <v>40.25</v>
      </c>
      <c r="AP7" s="7">
        <f>IF(AA7&gt;0,AA7,"")</f>
        <v>10</v>
      </c>
      <c r="AQ7" s="7">
        <f>IF(SUM(Y7:AB7)-AC7&gt;0,SUM(Y7:AB7)-AC7,"")</f>
        <v>46.99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87.240000000000009</v>
      </c>
      <c r="AU7" s="7">
        <f>IF(AK7&gt;0,AK7,"")</f>
        <v>10</v>
      </c>
      <c r="AV7" s="7">
        <f>IF(SUM(AI7:AL7)-AM7&gt;0,SUM(AI7:AL7)-AM7,"")</f>
        <v>47.47</v>
      </c>
      <c r="AW7" s="7">
        <f>IF(SUM(AT7,AV7)&gt;0,SUM(AT7,AV7),"")</f>
        <v>134.71</v>
      </c>
      <c r="AX7" s="31">
        <v>16.3</v>
      </c>
      <c r="AY7" s="31">
        <v>9.5</v>
      </c>
      <c r="AZ7" s="31">
        <v>0</v>
      </c>
      <c r="BA7" s="31">
        <v>13.98</v>
      </c>
      <c r="BB7" s="31">
        <v>0</v>
      </c>
      <c r="BC7" s="31">
        <v>13.1</v>
      </c>
      <c r="BD7" s="31">
        <v>9.3000000000000007</v>
      </c>
      <c r="BE7" s="31">
        <v>11</v>
      </c>
      <c r="BF7" s="31">
        <v>13.24</v>
      </c>
      <c r="BG7" s="31">
        <v>0</v>
      </c>
      <c r="BH7" s="31"/>
      <c r="BI7" s="31"/>
      <c r="BJ7" s="31"/>
      <c r="BK7" s="31"/>
      <c r="BL7" s="31"/>
      <c r="BM7" s="31">
        <v>1.5</v>
      </c>
      <c r="BN7" s="31">
        <v>1</v>
      </c>
      <c r="BO7" s="31">
        <v>1.5</v>
      </c>
      <c r="BP7" s="31">
        <v>1.37</v>
      </c>
      <c r="BQ7" s="31">
        <v>0</v>
      </c>
      <c r="BR7" s="33"/>
      <c r="BS7" s="9">
        <f>IF(SUM(AX7:BA7)-BB7&gt;0,SUM(AX7:BA7)-BB7,"")</f>
        <v>39.78</v>
      </c>
      <c r="BT7" s="9">
        <f>IF(BE7&gt;0,BE7,"")</f>
        <v>11</v>
      </c>
      <c r="BU7" s="9">
        <f>IF(SUM(BC7:BF7)-BG7&gt;0,SUM(BC7:BF7)-BG7,"")</f>
        <v>46.64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86.42</v>
      </c>
      <c r="BY7" s="9">
        <f>IF(BO7&gt;0,BO7,"")</f>
        <v>1.5</v>
      </c>
      <c r="BZ7" s="9">
        <f>IF(SUM(BM7:BP7)-BQ7&gt;0,SUM(BM7:BP7)-BQ7,"")</f>
        <v>5.37</v>
      </c>
      <c r="CA7" s="9">
        <f>IF(SUM(BX7,BZ7)&gt;0,SUM(BX7,BZ7),"")</f>
        <v>91.79</v>
      </c>
      <c r="CB7" s="27">
        <v>17</v>
      </c>
      <c r="CC7" s="27">
        <v>9.3000000000000007</v>
      </c>
      <c r="CD7" s="27">
        <v>0</v>
      </c>
      <c r="CE7" s="27">
        <v>14.38</v>
      </c>
      <c r="CF7" s="27">
        <v>0</v>
      </c>
      <c r="CG7" s="27">
        <v>2.7</v>
      </c>
      <c r="CH7" s="27">
        <v>1.7</v>
      </c>
      <c r="CI7" s="27">
        <v>2.5</v>
      </c>
      <c r="CJ7" s="27">
        <v>2.88</v>
      </c>
      <c r="CK7" s="27">
        <v>0</v>
      </c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32"/>
      <c r="CW7" s="7">
        <f>IF(SUM(CB7:CE7)-CF7&gt;0,SUM(CB7:CE7)-CF7,"")</f>
        <v>40.68</v>
      </c>
      <c r="CX7" s="7">
        <f>IF(CI7&gt;0,CI7,"")</f>
        <v>2.5</v>
      </c>
      <c r="CY7" s="7">
        <f>IF(SUM(CG7:CJ7)-CK7&gt;0,SUM(CG7:CJ7)-CK7,"")</f>
        <v>9.7800000000000011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50.46</v>
      </c>
      <c r="DC7" s="7" t="str">
        <f>IF(CS7&gt;0,CS7,"")</f>
        <v/>
      </c>
      <c r="DD7" s="7" t="str">
        <f>IF(SUM(CQ7:CT7)-CU7&gt;0,SUM(CQ7:CT7)-CU7,"")</f>
        <v/>
      </c>
      <c r="DE7" s="7">
        <f>IF(SUM(DB7,DD7)&gt;0,SUM(DB7,DD7),"")</f>
        <v>50.46</v>
      </c>
      <c r="DF7" s="13" t="str">
        <f>IF(MAX(DZ7,EV7,FR7,GN7,HJ7,IF7,JB7,JX7,KT7,LP7,ML7,NH7)-IF(K7="",0,K7)&gt;0.001,MAX(DZ7,EV7,FR7,GN7,HJ7,IF7,JB7,JX7,KT7,LP7,ML7,NH7)-IF(K7="",0,K7),"")</f>
        <v/>
      </c>
      <c r="DG7" s="13" t="str">
        <f>IF(MAX(EA7,EW7,FS7,GO7,HK7,IG7,JC7,JY7,KU7,LQ7,MM7,NI7)-IF(M7="",0,M7)&gt;0.001,MAX(EA7,EW7,FS7,GO7,HK7,IG7,JC7,JY7,KU7,LQ7,MM7,NI7)-IF(M7="",0,M7),"")</f>
        <v/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>
        <v>16</v>
      </c>
      <c r="FY7" s="19">
        <v>9.4</v>
      </c>
      <c r="FZ7" s="19">
        <v>0</v>
      </c>
      <c r="GA7" s="19">
        <v>14.44</v>
      </c>
      <c r="GB7" s="19">
        <v>0</v>
      </c>
      <c r="GC7" s="19">
        <v>12.3</v>
      </c>
      <c r="GD7" s="19">
        <v>9.3000000000000007</v>
      </c>
      <c r="GE7" s="19">
        <v>10.199999999999999</v>
      </c>
      <c r="GF7" s="19">
        <v>14.11</v>
      </c>
      <c r="GG7" s="19">
        <v>0</v>
      </c>
      <c r="GH7" s="19"/>
      <c r="GI7" s="19"/>
      <c r="GJ7" s="19"/>
      <c r="GK7" s="19"/>
      <c r="GL7" s="19"/>
      <c r="GM7" s="9">
        <f>IF(GE7&gt;0,GE7,"")</f>
        <v>10.199999999999999</v>
      </c>
      <c r="GN7" s="9">
        <f>IF(SUM(FX7:GA7)-GB7&gt;0,SUM(FX7:GA7)-GB7,"")</f>
        <v>39.839999999999996</v>
      </c>
      <c r="GO7" s="9">
        <f>IF(SUM(GC7:GF7)-GG7&gt;0,SUM(GC7:GF7)-GG7,"")</f>
        <v>45.91</v>
      </c>
      <c r="GP7" s="9">
        <f>IF(SUM(GN7:GO7)&gt;0,SUM(GN7:GO7),"")</f>
        <v>85.75</v>
      </c>
      <c r="GQ7" s="9" t="str">
        <f>IF(GJ7&gt;0,GJ7,"")</f>
        <v/>
      </c>
      <c r="GR7" s="9" t="str">
        <f>IF(SUM(GH7:GK7)-GL7&gt;0,SUM(GH7:GK7)-GL7,"")</f>
        <v/>
      </c>
      <c r="GS7" s="9">
        <f>IF(SUM(GP7,GR7)&gt;0,SUM(GP7,GR7),"")</f>
        <v>85.75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16.649999999999999</v>
      </c>
      <c r="NO7" s="27">
        <f>IF($CV7="P",CC7,(CC7+AY7)/2)</f>
        <v>9.4</v>
      </c>
      <c r="NP7" s="27">
        <f>IF($CV7="P",CD7,(CD7+AZ7)/2)</f>
        <v>0</v>
      </c>
      <c r="NQ7" s="27">
        <f>IF($CV7="P",CE7,(CE7+BA7)/2)</f>
        <v>14.18</v>
      </c>
      <c r="NR7" s="27">
        <f>IF($CV7="P",CF7,(CF7+BB7)/2)</f>
        <v>0</v>
      </c>
      <c r="NS7" s="27">
        <f>IF($CV7="P",CG7,(CG7+BC7)/2)</f>
        <v>7.9</v>
      </c>
      <c r="NT7" s="27">
        <f>IF($CV7="P",CH7,(CH7+BD7)/2)</f>
        <v>5.5</v>
      </c>
      <c r="NU7" s="27">
        <f>IF($CV7="P",CI7,(CI7+BE7)/2)</f>
        <v>6.75</v>
      </c>
      <c r="NV7" s="27">
        <f>IF($CV7="P",CJ7,(CJ7+BF7)/2)</f>
        <v>8.06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0.75</v>
      </c>
      <c r="OD7" s="27">
        <f>IF($CV7="P",CR7,(CR7+BN7)/2)</f>
        <v>0.5</v>
      </c>
      <c r="OE7" s="27">
        <f>IF($CV7="P",CS7,(CS7+BO7)/2)</f>
        <v>0.75</v>
      </c>
      <c r="OF7" s="27">
        <f>IF($CV7="P",CT7,(CT7+BP7)/2)</f>
        <v>0.68500000000000005</v>
      </c>
      <c r="OG7" s="27">
        <f>IF($CV7="P",CU7,(CU7+BQ7)/2)</f>
        <v>0</v>
      </c>
      <c r="OH7" s="32" t="s">
        <v>44</v>
      </c>
      <c r="OI7" s="7">
        <f>IF(SUM(NN7:NQ7)-NR7&gt;0,SUM(NN7:NQ7)-NR7,"")</f>
        <v>40.229999999999997</v>
      </c>
      <c r="OJ7" s="7">
        <f>IF(NU7&gt;0,NU7,"")</f>
        <v>6.75</v>
      </c>
      <c r="OK7" s="7">
        <f>IF(SUM(NS7:NV7)-NW7&gt;0,SUM(NS7:NV7)-NW7,"")</f>
        <v>28.21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68.44</v>
      </c>
      <c r="OO7" s="7">
        <f>IF(OE7&gt;0,OE7,"")</f>
        <v>0.75</v>
      </c>
      <c r="OP7" s="7">
        <f t="shared" ref="OP7" si="6">IF(SUM(OC7:OF7)-OG7&gt;0,SUM(OC7:OF7)-OG7,"")</f>
        <v>2.6850000000000001</v>
      </c>
      <c r="OQ7" s="7">
        <f t="shared" ref="OQ7" si="7">IF(SUM(ON7,OP7)&gt;0,SUM(ON7,OP7),"")</f>
        <v>71.125</v>
      </c>
    </row>
    <row r="8" spans="1:407" x14ac:dyDescent="0.2">
      <c r="A8" s="4" t="str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/>
      </c>
      <c r="B8" s="5" t="s">
        <v>79</v>
      </c>
      <c r="C8" s="4" t="s">
        <v>68</v>
      </c>
      <c r="D8" s="4">
        <v>2009</v>
      </c>
      <c r="E8" s="10">
        <f>SUM(I8:Q8)</f>
        <v>221.54</v>
      </c>
      <c r="F8" s="3" t="str">
        <f>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P","")</f>
        <v/>
      </c>
      <c r="G8" s="3" t="str">
        <f>IF(OR(AND(AT8&gt;=AW$18,AO8&lt;&gt;"",AN8=""),AND(BX8&gt;=CA$18,BS8&lt;&gt;"",BR8=""),AND(DB8&gt;=DE$18,CW8&lt;&gt;"",CV8=""),AND(EB8&gt;=EE$18,DY8&lt;&gt;""),AND(EX8&gt;=FA$18,EU8&lt;&gt;""),AND(FT8&gt;=FW$18,FQ8&lt;&gt;""),AND(GP8&gt;=GS$18,GM8&lt;&gt;""),AND(HL8&gt;=HO$18,HI8&lt;&gt;""),AND(IH8&gt;=IK$18,IE8&lt;&gt;""),AND(JD8&gt;=JG$18,JA8&lt;&gt;""),AND(JZ8&gt;=KC$18,JW8&lt;&gt;""),AND(KV8&gt;=KY$18,KS8&lt;&gt;""),AND(LR8&gt;=LU$18,LO8&lt;&gt;""),AND(MN8&gt;=MQ$18,MK8&lt;&gt;""),AND(NJ8&gt;=NM$18,NG8&lt;&gt;"")),"P","")</f>
        <v/>
      </c>
      <c r="H8" s="47" t="str">
        <f>IF(OR(AND(AP8&gt;=AW$17,AQ8&gt;=AW$21,AP8&lt;&gt;"",AN8=""),AND(AU8&gt;=AW$17,AV8&gt;=AW$21,AU8&lt;&gt;"",AN8=""),AND(BT8&gt;=CA$17,BU8&gt;=CA$21,BT8&lt;&gt;"",BR8=""),AND(BY8&gt;=CA$17,BZ8&gt;=CA$21,BY8&lt;&gt;"",BR8=""),AND(CX8&gt;=DE$17,CY8&gt;=DE$21,CX8&lt;&gt;"",CV8=""),AND(DC8&gt;=DE$17,DD8&gt;=DE$21,DC8&lt;&gt;"",CV8=""),AND(DY8&gt;=EE$17,EA8&gt;=EE$21,DY8&lt;&gt;""),AND(EC8&gt;=EE$17,ED8&gt;=EE$21,EC8&lt;&gt;""),AND(EU8&gt;=FA$17,EW8&gt;=FA$21,EU8&lt;&gt;""),AND(EY8&gt;=FA$17,EZ8&gt;=FA$21,EY8&lt;&gt;""),AND(FQ8&gt;=FW$17,FS8&gt;=FW$21,FQ8&lt;&gt;""),AND(FU8&gt;=FW$17,FV8&gt;=FW$21,FU8&lt;&gt;""),AND(GM8&gt;=GS$17,GO8&gt;=GS$21,GM8&lt;&gt;""),AND(GQ8&gt;=GS$17,GR8&gt;=GS$21,GQ8&lt;&gt;""),AND(HI8&gt;=HO$17,HK8&gt;=HO$21,HI8&lt;&gt;""),AND(HM8&gt;=HO$17,HN8&gt;=HO$21,HM8&lt;&gt;""),AND(IE8&gt;=IK$17,IG8&gt;=IK$21,IE8&lt;&gt;""),AND(II8&gt;=IK$17,IJ8&gt;=IK$21,II8&lt;&gt;""),AND(JA8&gt;=JG$17,JC8&gt;=JG$21,JA8&lt;&gt;""),AND(JE8&gt;=JG$17,JF8&gt;=JG$21,JE8&lt;&gt;""),AND(JW8&gt;=KC$17,JY8&gt;=KC$21,JW8&lt;&gt;""),AND(KA8&gt;=KC$17,KB8&gt;=KC$21,KA8&lt;&gt;""),AND(KS8&gt;=KY$17,KU8&gt;=KY$21,KS8&lt;&gt;""),AND(KW8&gt;=KY$17,KX8&gt;=KY$21,KW8&lt;&gt;""),AND(LO8&gt;=LU$17,LQ8&gt;=LU$21,LO8&lt;&gt;""),AND(LS8&gt;=LU$17,LT8&gt;=LU$21,LS8&lt;&gt;""),AND(MK8&gt;=MQ$17,MM8&gt;=MQ$21,MK8&lt;&gt;""),AND(MO8&gt;=MQ$17,MP8&gt;=MQ$21,MO8&lt;&gt;""),AND(NG8&gt;=NM$17,NI8&gt;=NM$21,NG8&lt;&gt;""),AND(NK8&gt;=NM$17,NL8&gt;=NM$21,NK8&lt;&gt;"")),"Merit",IF(OR(AND(AP8&gt;=AW$16,AT8&gt;=AW$20,AO8&lt;&gt;"",AN8=""),AND(BT8&gt;=CA$16,BX8&gt;=CA$20,BS8&lt;&gt;"",BR8=""),AND(CX8&gt;=DE$16,DB8&gt;=DE$20,CW8&lt;&gt;"",CV8=""),AND(DY8&gt;=EE$16,EB8&gt;=EE$20,DY8&lt;&gt;""),AND(EU8&gt;=FA$16,EX8&gt;=FA$20,EU8&lt;&gt;""),AND(FQ8&gt;=FW$16,FT8&gt;=FW$20,FQ8&lt;&gt;""),AND(GM8&gt;=GS$16,GP8&gt;=GS$20,GM8&lt;&gt;""),AND(HI8&gt;=HO$16,HL8&gt;=HO$20,HI8&lt;&gt;""),AND(IE8&gt;=IK$16,IH8&gt;=IK$20,IE8&lt;&gt;""),AND(JA8&gt;=JG$16,JD8&gt;=JG$20,JA8&lt;&gt;""),AND(JW8&gt;=KC$16,JZ8&gt;=KC$20,JW8&lt;&gt;""),AND(KS8&gt;=KY$16,KV8&gt;=KY$20,KS8&lt;&gt;""),AND(LO8&gt;=LU$16,LR8&gt;=LU$20,LO8&lt;&gt;""),AND(MK8&gt;=MQ$16,MN8&gt;=MQ$20,MK8&lt;&gt;""),AND(NG8&gt;=NM$16,NJ8&gt;=NM$20,NG8&lt;&gt;"")),"Excellence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National Team",IF(G8="P","No DD",""))))</f>
        <v/>
      </c>
      <c r="I8" s="9">
        <f>IF(MAX(AT8,BX8,DB8)&gt;0,MAX(AT8,BX8,DB8),0)</f>
        <v>83.81</v>
      </c>
      <c r="J8" s="9" t="str">
        <f>IF(I8=0,"",IF(I8=DB8,$CB$1,IF(I8=BX8,$AX$1,IF(I8=AT8,$T$1,""))))</f>
        <v>2023 Elite Canada</v>
      </c>
      <c r="K8" s="9">
        <f>IF($I8=$AT8,MAX(BS8,CW8),IF($I8=$BX8,MAX(AO8,CW8),IF($I8=$DB8,MAX(AO8,BS8),MAX(AO8,BS8,CW8))))</f>
        <v>40.54</v>
      </c>
      <c r="L8" s="9" t="str">
        <f>IF(K8=0,"",IF(AND(K8=CW8,$J8&lt;&gt;$CB$1),$CB$1,IF(AND(K8=BS8,$J8&lt;&gt;$AX$1),$AX$1,IF(AND(K8=AO8,$J8&lt;&gt;$T$1),$T$1,""))))</f>
        <v>2023 Nationals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39.64</v>
      </c>
      <c r="N8" s="9" t="str">
        <f>IF(M8=0,"",IF(AND(OR(M8=DA8,M8=CY8),$J8&lt;&gt;$CB$1),$CB$1,IF(AND(OR(M8=BW8,M8=BU8),$J8&lt;&gt;$AX$1),$AX$1,IF(AND(OR(M8=AS8,M8=AQ8),$J8&lt;&gt;$T$1),$T$1,""))))</f>
        <v>2023 Nationals</v>
      </c>
      <c r="O8" s="9">
        <f>MAX(AV8,BZ8,DD8)</f>
        <v>49.23</v>
      </c>
      <c r="P8" s="9" t="str">
        <f>IF(O8=0,"",IF(O8=DD8,$CB$1,IF(O8=BZ8,$AX$1,IF(O8=AV8,$T$1,""))))</f>
        <v>2023 3rd Domestic Trial</v>
      </c>
      <c r="Q8" s="9">
        <f>IF(MAX(DF8,DG8,DH8,DI8)&gt;0,MAX(DF8,DG8,DH8,DI8),"")</f>
        <v>8.32</v>
      </c>
      <c r="R8" s="14" t="str">
        <f>IF(Q8="","",IF(Q8=DF8,"(Vol 1)",IF(Q8=DG8,"(Vol 2)",IF(Q8=DH8,"(Prelim)",IF(Q8=DI8,"(Final)")))))</f>
        <v>(Vol 2)</v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>2023 Pan Am Championships (May 14)</v>
      </c>
      <c r="T8" s="27">
        <v>16.3</v>
      </c>
      <c r="U8" s="27">
        <v>9.6</v>
      </c>
      <c r="V8" s="27">
        <v>0</v>
      </c>
      <c r="W8" s="27">
        <v>13.57</v>
      </c>
      <c r="X8" s="27">
        <v>0</v>
      </c>
      <c r="Y8" s="27">
        <v>11.8</v>
      </c>
      <c r="Z8" s="27">
        <v>9.1999999999999993</v>
      </c>
      <c r="AA8" s="27">
        <v>10</v>
      </c>
      <c r="AB8" s="27">
        <v>13.34</v>
      </c>
      <c r="AC8" s="27">
        <v>0</v>
      </c>
      <c r="AD8" s="27"/>
      <c r="AE8" s="27"/>
      <c r="AF8" s="27"/>
      <c r="AG8" s="27"/>
      <c r="AH8" s="27"/>
      <c r="AI8" s="27">
        <v>3.65</v>
      </c>
      <c r="AJ8" s="27">
        <v>2.2999999999999998</v>
      </c>
      <c r="AK8" s="27">
        <v>2.8</v>
      </c>
      <c r="AL8" s="27">
        <v>3.4750000000000001</v>
      </c>
      <c r="AM8" s="27">
        <v>0</v>
      </c>
      <c r="AN8" s="32"/>
      <c r="AO8" s="7">
        <f>IF(SUM(T8:W8)-X8&gt;0,SUM(T8:W8)-X8,"")</f>
        <v>39.47</v>
      </c>
      <c r="AP8" s="7">
        <f>IF(AA8&gt;0,AA8,"")</f>
        <v>10</v>
      </c>
      <c r="AQ8" s="7">
        <f>IF(SUM(Y8:AB8)-AC8&gt;0,SUM(Y8:AB8)-AC8,"")</f>
        <v>44.34</v>
      </c>
      <c r="AR8" s="7" t="str">
        <f>IF(AF8&gt;0,AF8,"")</f>
        <v/>
      </c>
      <c r="AS8" s="7" t="str">
        <f>IF(SUM(AD8:AG8)-AH8&gt;0,SUM(AD8:AG8)-AH8,"")</f>
        <v/>
      </c>
      <c r="AT8" s="7">
        <f>IF(AO8="",IF(MAX(AQ8,AS8)&gt;0,MAX(AQ8,AS8),""),MAX(AQ8,AS8)+AO8)</f>
        <v>83.81</v>
      </c>
      <c r="AU8" s="7">
        <f>IF(AK8&gt;0,AK8,"")</f>
        <v>2.8</v>
      </c>
      <c r="AV8" s="7">
        <f>IF(SUM(AI8:AL8)-AM8&gt;0,SUM(AI8:AL8)-AM8,"")</f>
        <v>12.225</v>
      </c>
      <c r="AW8" s="7">
        <f>IF(SUM(AT8,AV8)&gt;0,SUM(AT8,AV8),"")</f>
        <v>96.034999999999997</v>
      </c>
      <c r="AX8" s="31">
        <v>17.3</v>
      </c>
      <c r="AY8" s="31">
        <v>9.3000000000000007</v>
      </c>
      <c r="AZ8" s="31">
        <v>0</v>
      </c>
      <c r="BA8" s="31">
        <v>13.94</v>
      </c>
      <c r="BB8" s="31">
        <v>0</v>
      </c>
      <c r="BC8" s="31">
        <v>11.3</v>
      </c>
      <c r="BD8" s="31">
        <v>7.3</v>
      </c>
      <c r="BE8" s="31">
        <v>9.6</v>
      </c>
      <c r="BF8" s="31">
        <v>11.44</v>
      </c>
      <c r="BG8" s="31">
        <v>0</v>
      </c>
      <c r="BH8" s="31"/>
      <c r="BI8" s="31"/>
      <c r="BJ8" s="31"/>
      <c r="BK8" s="31"/>
      <c r="BL8" s="31"/>
      <c r="BM8" s="31">
        <v>14.9</v>
      </c>
      <c r="BN8" s="31">
        <v>9</v>
      </c>
      <c r="BO8" s="31">
        <v>10.9</v>
      </c>
      <c r="BP8" s="31">
        <v>13.97</v>
      </c>
      <c r="BQ8" s="31">
        <v>2</v>
      </c>
      <c r="BR8" s="33"/>
      <c r="BS8" s="9">
        <f>IF(SUM(AX8:BA8)-BB8&gt;0,SUM(AX8:BA8)-BB8,"")</f>
        <v>40.54</v>
      </c>
      <c r="BT8" s="9">
        <f>IF(BE8&gt;0,BE8,"")</f>
        <v>9.6</v>
      </c>
      <c r="BU8" s="9">
        <f>IF(SUM(BC8:BF8)-BG8&gt;0,SUM(BC8:BF8)-BG8,"")</f>
        <v>39.64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80.180000000000007</v>
      </c>
      <c r="BY8" s="9">
        <f>IF(BO8&gt;0,BO8,"")</f>
        <v>10.9</v>
      </c>
      <c r="BZ8" s="9">
        <f>IF(SUM(BM8:BP8)-BQ8&gt;0,SUM(BM8:BP8)-BQ8,"")</f>
        <v>46.769999999999996</v>
      </c>
      <c r="CA8" s="9">
        <f>IF(SUM(BX8,BZ8)&gt;0,SUM(BX8,BZ8),"")</f>
        <v>126.95</v>
      </c>
      <c r="CB8" s="27">
        <v>16.5</v>
      </c>
      <c r="CC8" s="27">
        <v>9.5</v>
      </c>
      <c r="CD8" s="27">
        <v>0</v>
      </c>
      <c r="CE8" s="27">
        <v>14.28</v>
      </c>
      <c r="CF8" s="27">
        <v>0</v>
      </c>
      <c r="CG8" s="27">
        <v>10.7</v>
      </c>
      <c r="CH8" s="27">
        <v>6.9</v>
      </c>
      <c r="CI8" s="27">
        <v>9.3999999999999986</v>
      </c>
      <c r="CJ8" s="27">
        <v>11.12</v>
      </c>
      <c r="CK8" s="27">
        <v>0</v>
      </c>
      <c r="CL8" s="27"/>
      <c r="CM8" s="27"/>
      <c r="CN8" s="27"/>
      <c r="CO8" s="27"/>
      <c r="CP8" s="27"/>
      <c r="CQ8" s="27">
        <v>14.1</v>
      </c>
      <c r="CR8" s="27">
        <v>8.6999999999999993</v>
      </c>
      <c r="CS8" s="27">
        <v>12.299999999999999</v>
      </c>
      <c r="CT8" s="27">
        <v>14.13</v>
      </c>
      <c r="CU8" s="27">
        <v>0</v>
      </c>
      <c r="CV8" s="32"/>
      <c r="CW8" s="7">
        <f>IF(SUM(CB8:CE8)-CF8&gt;0,SUM(CB8:CE8)-CF8,"")</f>
        <v>40.28</v>
      </c>
      <c r="CX8" s="7">
        <f>IF(CI8&gt;0,CI8,"")</f>
        <v>9.3999999999999986</v>
      </c>
      <c r="CY8" s="7">
        <f>IF(SUM(CG8:CJ8)-CK8&gt;0,SUM(CG8:CJ8)-CK8,"")</f>
        <v>38.119999999999997</v>
      </c>
      <c r="CZ8" s="7" t="str">
        <f>IF(CN8&gt;0,CN8,"")</f>
        <v/>
      </c>
      <c r="DA8" s="7" t="str">
        <f>IF(SUM(CL8:CO8)-CP8&gt;0,SUM(CL8:CO8)-CP8,"")</f>
        <v/>
      </c>
      <c r="DB8" s="7">
        <f>IF(CW8="",IF(MAX(CY8,DA8)&gt;0,MAX(CY8,DA8),""),MAX(CY8,DA8)+CW8)</f>
        <v>78.400000000000006</v>
      </c>
      <c r="DC8" s="7">
        <f>IF(CS8&gt;0,CS8,"")</f>
        <v>12.299999999999999</v>
      </c>
      <c r="DD8" s="7">
        <f>IF(SUM(CQ8:CT8)-CU8&gt;0,SUM(CQ8:CT8)-CU8,"")</f>
        <v>49.23</v>
      </c>
      <c r="DE8" s="7">
        <f>IF(SUM(DB8,DD8)&gt;0,SUM(DB8,DD8),"")</f>
        <v>127.63</v>
      </c>
      <c r="DF8" s="13" t="str">
        <f>IF(MAX(DZ8,EV8,FR8,GN8,HJ8,IF8,JB8,JX8,KT8,LP8,ML8,NH8)-IF(K8="",0,K8)&gt;0.001,MAX(DZ8,EV8,FR8,GN8,HJ8,IF8,JB8,JX8,KT8,LP8,ML8,NH8)-IF(K8="",0,K8),"")</f>
        <v/>
      </c>
      <c r="DG8" s="13">
        <f>IF(MAX(EA8,EW8,FS8,GO8,HK8,IG8,JC8,JY8,KU8,LQ8,MM8,NI8)-IF(M8="",0,M8)&gt;0.001,MAX(EA8,EW8,FS8,GO8,HK8,IG8,JC8,JY8,KU8,LQ8,MM8,NI8)-IF(M8="",0,M8),"")</f>
        <v>8.32</v>
      </c>
      <c r="DH8" s="13">
        <f>IF(MAX(EB8,EX8,FT8,GP8,HL8,IH8,JD8,JZ8,KV8,LR8,MN8,NJ8)-IF(I8="",0,I8)&gt;0.001,MAX(EB8,EX8,FT8,GP8,HL8,IH8,JD8,JZ8,KV8,LR8,MN8,NJ8)-IF(I8="",0,I8),"")</f>
        <v>3.0600000000000023</v>
      </c>
      <c r="DI8" s="13" t="str">
        <f>IF(MAX(ED8,EZ8,FV8,GR8,HN8,IJ8,JF8,KB8,KX8,LT8,MP8,NL8)-IF(O8="",0,O8)&gt;0.001,MAX(ED8,EZ8,FV8,GR8,HN8,IJ8,JF8,KB8,KX8,LT8,MP8,NL8)-IF(O8="",0,O8),"")</f>
        <v/>
      </c>
      <c r="DJ8" s="18">
        <v>16.100000000000001</v>
      </c>
      <c r="DK8" s="18">
        <v>9.4</v>
      </c>
      <c r="DL8" s="18">
        <v>0</v>
      </c>
      <c r="DM8" s="18">
        <v>13.83</v>
      </c>
      <c r="DN8" s="18">
        <v>0</v>
      </c>
      <c r="DO8" s="18">
        <v>12.5</v>
      </c>
      <c r="DP8" s="18">
        <v>9.4</v>
      </c>
      <c r="DQ8" s="18">
        <v>11</v>
      </c>
      <c r="DR8" s="18">
        <v>13.55</v>
      </c>
      <c r="DS8" s="18">
        <v>0</v>
      </c>
      <c r="DT8" s="18"/>
      <c r="DU8" s="18"/>
      <c r="DV8" s="18"/>
      <c r="DW8" s="18"/>
      <c r="DX8" s="18"/>
      <c r="DY8" s="7">
        <f>IF(DQ8&gt;0,DQ8,"")</f>
        <v>11</v>
      </c>
      <c r="DZ8" s="7">
        <f>IF(SUM(DJ8:DM8)-DN8&gt;0,SUM(DJ8:DM8)-DN8,"")</f>
        <v>39.33</v>
      </c>
      <c r="EA8" s="7">
        <f>IF(SUM(DO8:DR8)-DS8&gt;0,SUM(DO8:DR8)-DS8,"")</f>
        <v>46.45</v>
      </c>
      <c r="EB8" s="7">
        <f>IF(SUM(DZ8:EA8)&gt;0,SUM(DZ8:EA8),"")</f>
        <v>85.78</v>
      </c>
      <c r="EC8" s="7" t="str">
        <f>IF(DV8&gt;0,DV8,"")</f>
        <v/>
      </c>
      <c r="ED8" s="7" t="str">
        <f>IF(SUM(DT8:DW8)-DX8&gt;0,SUM(DT8:DW8)-DX8,"")</f>
        <v/>
      </c>
      <c r="EE8" s="7">
        <f>IF(SUM(EB8,ED8)&gt;0,SUM(EB8,ED8),"")</f>
        <v>85.78</v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>
        <v>15.9</v>
      </c>
      <c r="FC8" s="18">
        <v>9.4</v>
      </c>
      <c r="FD8" s="18">
        <v>0</v>
      </c>
      <c r="FE8" s="18">
        <v>13.61</v>
      </c>
      <c r="FF8" s="18">
        <v>0</v>
      </c>
      <c r="FG8" s="18">
        <v>13.5</v>
      </c>
      <c r="FH8" s="18">
        <v>8.8000000000000007</v>
      </c>
      <c r="FI8" s="18">
        <v>12.1</v>
      </c>
      <c r="FJ8" s="18">
        <v>13.56</v>
      </c>
      <c r="FK8" s="18">
        <v>0</v>
      </c>
      <c r="FL8" s="18">
        <v>14.1</v>
      </c>
      <c r="FM8" s="18">
        <v>9.1999999999999993</v>
      </c>
      <c r="FN8" s="18">
        <v>12.1</v>
      </c>
      <c r="FO8" s="18">
        <v>13.63</v>
      </c>
      <c r="FP8" s="18">
        <v>0</v>
      </c>
      <c r="FQ8" s="7">
        <f>IF(FI8&gt;0,FI8,"")</f>
        <v>12.1</v>
      </c>
      <c r="FR8" s="7">
        <f>IF(SUM(FB8:FE8)-FF8&gt;0,SUM(FB8:FE8)-FF8,"")</f>
        <v>38.909999999999997</v>
      </c>
      <c r="FS8" s="7">
        <f>IF(SUM(FG8:FJ8)-FK8&gt;0,SUM(FG8:FJ8)-FK8,"")</f>
        <v>47.96</v>
      </c>
      <c r="FT8" s="7">
        <f>IF(SUM(FR8:FS8)&gt;0,SUM(FR8:FS8),"")</f>
        <v>86.87</v>
      </c>
      <c r="FU8" s="7">
        <f>IF(FN8&gt;0,FN8,"")</f>
        <v>12.1</v>
      </c>
      <c r="FV8" s="7">
        <f>IF(SUM(FL8:FO8)-FP8&gt;0,SUM(FL8:FO8)-FP8,"")</f>
        <v>49.03</v>
      </c>
      <c r="FW8" s="7">
        <f>IF(SUM(FT8,FV8)&gt;0,SUM(FT8,FV8),"")</f>
        <v>135.9</v>
      </c>
      <c r="FX8" s="19">
        <v>15.5</v>
      </c>
      <c r="FY8" s="19">
        <v>9.1999999999999993</v>
      </c>
      <c r="FZ8" s="19">
        <v>0</v>
      </c>
      <c r="GA8" s="19">
        <v>14.38</v>
      </c>
      <c r="GB8" s="19">
        <v>0</v>
      </c>
      <c r="GC8" s="19">
        <v>12.6</v>
      </c>
      <c r="GD8" s="19">
        <v>8.8000000000000007</v>
      </c>
      <c r="GE8" s="19">
        <v>11.4</v>
      </c>
      <c r="GF8" s="19">
        <v>13.72</v>
      </c>
      <c r="GG8" s="19">
        <v>0</v>
      </c>
      <c r="GH8" s="19"/>
      <c r="GI8" s="19"/>
      <c r="GJ8" s="19"/>
      <c r="GK8" s="19"/>
      <c r="GL8" s="19"/>
      <c r="GM8" s="9">
        <f>IF(GE8&gt;0,GE8,"")</f>
        <v>11.4</v>
      </c>
      <c r="GN8" s="9">
        <f>IF(SUM(FX8:GA8)-GB8&gt;0,SUM(FX8:GA8)-GB8,"")</f>
        <v>39.08</v>
      </c>
      <c r="GO8" s="9">
        <f>IF(SUM(GC8:GF8)-GG8&gt;0,SUM(GC8:GF8)-GG8,"")</f>
        <v>46.519999999999996</v>
      </c>
      <c r="GP8" s="9">
        <f>IF(SUM(GN8:GO8)&gt;0,SUM(GN8:GO8),"")</f>
        <v>85.6</v>
      </c>
      <c r="GQ8" s="9" t="str">
        <f>IF(GJ8&gt;0,GJ8,"")</f>
        <v/>
      </c>
      <c r="GR8" s="9" t="str">
        <f>IF(SUM(GH8:GK8)-GL8&gt;0,SUM(GH8:GK8)-GL8,"")</f>
        <v/>
      </c>
      <c r="GS8" s="9">
        <f>IF(SUM(GP8,GR8)&gt;0,SUM(GP8,GR8),"")</f>
        <v>85.6</v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16.899999999999999</v>
      </c>
      <c r="NO8" s="27">
        <f>IF($CV8="P",CC8,(CC8+AY8)/2)</f>
        <v>9.4</v>
      </c>
      <c r="NP8" s="27">
        <f>IF($CV8="P",CD8,(CD8+AZ8)/2)</f>
        <v>0</v>
      </c>
      <c r="NQ8" s="27">
        <f>IF($CV8="P",CE8,(CE8+BA8)/2)</f>
        <v>14.11</v>
      </c>
      <c r="NR8" s="27">
        <f>IF($CV8="P",CF8,(CF8+BB8)/2)</f>
        <v>0</v>
      </c>
      <c r="NS8" s="27">
        <f>IF($CV8="P",CG8,(CG8+BC8)/2)</f>
        <v>11</v>
      </c>
      <c r="NT8" s="27">
        <f>IF($CV8="P",CH8,(CH8+BD8)/2)</f>
        <v>7.1</v>
      </c>
      <c r="NU8" s="27">
        <f>IF($CV8="P",CI8,(CI8+BE8)/2)</f>
        <v>9.5</v>
      </c>
      <c r="NV8" s="27">
        <f>IF($CV8="P",CJ8,(CJ8+BF8)/2)</f>
        <v>11.28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14.5</v>
      </c>
      <c r="OD8" s="27">
        <f>IF($CV8="P",CR8,(CR8+BN8)/2)</f>
        <v>8.85</v>
      </c>
      <c r="OE8" s="27">
        <f>IF($CV8="P",CS8,(CS8+BO8)/2)</f>
        <v>11.6</v>
      </c>
      <c r="OF8" s="27">
        <f>IF($CV8="P",CT8,(CT8+BP8)/2)</f>
        <v>14.05</v>
      </c>
      <c r="OG8" s="27">
        <f>IF($CV8="P",CU8,(CU8+BQ8)/2)</f>
        <v>1</v>
      </c>
      <c r="OH8" s="32" t="s">
        <v>44</v>
      </c>
      <c r="OI8" s="7">
        <f>IF(SUM(NN8:NQ8)-NR8&gt;0,SUM(NN8:NQ8)-NR8,"")</f>
        <v>40.409999999999997</v>
      </c>
      <c r="OJ8" s="7">
        <f>IF(NU8&gt;0,NU8,"")</f>
        <v>9.5</v>
      </c>
      <c r="OK8" s="7">
        <f>IF(SUM(NS8:NV8)-NW8&gt;0,SUM(NS8:NV8)-NW8,"")</f>
        <v>38.880000000000003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79.289999999999992</v>
      </c>
      <c r="OO8" s="7">
        <f>IF(OE8&gt;0,OE8,"")</f>
        <v>11.6</v>
      </c>
      <c r="OP8" s="7">
        <f t="shared" ref="OP8" si="8">IF(SUM(OC8:OF8)-OG8&gt;0,SUM(OC8:OF8)-OG8,"")</f>
        <v>48</v>
      </c>
      <c r="OQ8" s="7">
        <f t="shared" ref="OQ8" si="9">IF(SUM(ON8,OP8)&gt;0,SUM(ON8,OP8),"")</f>
        <v>127.28999999999999</v>
      </c>
    </row>
    <row r="9" spans="1:407" x14ac:dyDescent="0.2">
      <c r="A9" s="4" t="str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/>
      </c>
      <c r="B9" s="5" t="s">
        <v>97</v>
      </c>
      <c r="C9" s="4" t="s">
        <v>68</v>
      </c>
      <c r="D9" s="4">
        <v>2009</v>
      </c>
      <c r="E9" s="10">
        <f>SUM(I9:Q9)</f>
        <v>221.38</v>
      </c>
      <c r="F9" s="3" t="str">
        <f>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P","")</f>
        <v/>
      </c>
      <c r="G9" s="3" t="str">
        <f>IF(OR(AND(AT9&gt;=AW$18,AO9&lt;&gt;"",AN9=""),AND(BX9&gt;=CA$18,BS9&lt;&gt;"",BR9=""),AND(DB9&gt;=DE$18,CW9&lt;&gt;"",CV9=""),AND(EB9&gt;=EE$18,DY9&lt;&gt;""),AND(EX9&gt;=FA$18,EU9&lt;&gt;""),AND(FT9&gt;=FW$18,FQ9&lt;&gt;""),AND(GP9&gt;=GS$18,GM9&lt;&gt;""),AND(HL9&gt;=HO$18,HI9&lt;&gt;""),AND(IH9&gt;=IK$18,IE9&lt;&gt;""),AND(JD9&gt;=JG$18,JA9&lt;&gt;""),AND(JZ9&gt;=KC$18,JW9&lt;&gt;""),AND(KV9&gt;=KY$18,KS9&lt;&gt;""),AND(LR9&gt;=LU$18,LO9&lt;&gt;""),AND(MN9&gt;=MQ$18,MK9&lt;&gt;""),AND(NJ9&gt;=NM$18,NG9&lt;&gt;"")),"P","")</f>
        <v/>
      </c>
      <c r="H9" s="47" t="str">
        <f>IF(OR(AND(AP9&gt;=AW$17,AQ9&gt;=AW$21,AP9&lt;&gt;"",AN9=""),AND(AU9&gt;=AW$17,AV9&gt;=AW$21,AU9&lt;&gt;"",AN9=""),AND(BT9&gt;=CA$17,BU9&gt;=CA$21,BT9&lt;&gt;"",BR9=""),AND(BY9&gt;=CA$17,BZ9&gt;=CA$21,BY9&lt;&gt;"",BR9=""),AND(CX9&gt;=DE$17,CY9&gt;=DE$21,CX9&lt;&gt;"",CV9=""),AND(DC9&gt;=DE$17,DD9&gt;=DE$21,DC9&lt;&gt;"",CV9=""),AND(DY9&gt;=EE$17,EA9&gt;=EE$21,DY9&lt;&gt;""),AND(EC9&gt;=EE$17,ED9&gt;=EE$21,EC9&lt;&gt;""),AND(EU9&gt;=FA$17,EW9&gt;=FA$21,EU9&lt;&gt;""),AND(EY9&gt;=FA$17,EZ9&gt;=FA$21,EY9&lt;&gt;""),AND(FQ9&gt;=FW$17,FS9&gt;=FW$21,FQ9&lt;&gt;""),AND(FU9&gt;=FW$17,FV9&gt;=FW$21,FU9&lt;&gt;""),AND(GM9&gt;=GS$17,GO9&gt;=GS$21,GM9&lt;&gt;""),AND(GQ9&gt;=GS$17,GR9&gt;=GS$21,GQ9&lt;&gt;""),AND(HI9&gt;=HO$17,HK9&gt;=HO$21,HI9&lt;&gt;""),AND(HM9&gt;=HO$17,HN9&gt;=HO$21,HM9&lt;&gt;""),AND(IE9&gt;=IK$17,IG9&gt;=IK$21,IE9&lt;&gt;""),AND(II9&gt;=IK$17,IJ9&gt;=IK$21,II9&lt;&gt;""),AND(JA9&gt;=JG$17,JC9&gt;=JG$21,JA9&lt;&gt;""),AND(JE9&gt;=JG$17,JF9&gt;=JG$21,JE9&lt;&gt;""),AND(JW9&gt;=KC$17,JY9&gt;=KC$21,JW9&lt;&gt;""),AND(KA9&gt;=KC$17,KB9&gt;=KC$21,KA9&lt;&gt;""),AND(KS9&gt;=KY$17,KU9&gt;=KY$21,KS9&lt;&gt;""),AND(KW9&gt;=KY$17,KX9&gt;=KY$21,KW9&lt;&gt;""),AND(LO9&gt;=LU$17,LQ9&gt;=LU$21,LO9&lt;&gt;""),AND(LS9&gt;=LU$17,LT9&gt;=LU$21,LS9&lt;&gt;""),AND(MK9&gt;=MQ$17,MM9&gt;=MQ$21,MK9&lt;&gt;""),AND(MO9&gt;=MQ$17,MP9&gt;=MQ$21,MO9&lt;&gt;""),AND(NG9&gt;=NM$17,NI9&gt;=NM$21,NG9&lt;&gt;""),AND(NK9&gt;=NM$17,NL9&gt;=NM$21,NK9&lt;&gt;"")),"Merit",IF(OR(AND(AP9&gt;=AW$16,AT9&gt;=AW$20,AO9&lt;&gt;"",AN9=""),AND(BT9&gt;=CA$16,BX9&gt;=CA$20,BS9&lt;&gt;"",BR9=""),AND(CX9&gt;=DE$16,DB9&gt;=DE$20,CW9&lt;&gt;"",CV9=""),AND(DY9&gt;=EE$16,EB9&gt;=EE$20,DY9&lt;&gt;""),AND(EU9&gt;=FA$16,EX9&gt;=FA$20,EU9&lt;&gt;""),AND(FQ9&gt;=FW$16,FT9&gt;=FW$20,FQ9&lt;&gt;""),AND(GM9&gt;=GS$16,GP9&gt;=GS$20,GM9&lt;&gt;""),AND(HI9&gt;=HO$16,HL9&gt;=HO$20,HI9&lt;&gt;""),AND(IE9&gt;=IK$16,IH9&gt;=IK$20,IE9&lt;&gt;""),AND(JA9&gt;=JG$16,JD9&gt;=JG$20,JA9&lt;&gt;""),AND(JW9&gt;=KC$16,JZ9&gt;=KC$20,JW9&lt;&gt;""),AND(KS9&gt;=KY$16,KV9&gt;=KY$20,KS9&lt;&gt;""),AND(LO9&gt;=LU$16,LR9&gt;=LU$20,LO9&lt;&gt;""),AND(MK9&gt;=MQ$16,MN9&gt;=MQ$20,MK9&lt;&gt;""),AND(NG9&gt;=NM$16,NJ9&gt;=NM$20,NG9&lt;&gt;"")),"Excellence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National Team",IF(G9="P","No DD",""))))</f>
        <v/>
      </c>
      <c r="I9" s="9">
        <f>IF(MAX(AT9,BX9,DB9)&gt;0,MAX(AT9,BX9,DB9),0)</f>
        <v>87.4</v>
      </c>
      <c r="J9" s="9" t="str">
        <f>IF(I9=0,"",IF(I9=DB9,$CB$1,IF(I9=BX9,$AX$1,IF(I9=AT9,$T$1,""))))</f>
        <v>2023 3rd Domestic Trial</v>
      </c>
      <c r="K9" s="9">
        <f>IF($I9=$AT9,MAX(BS9,CW9),IF($I9=$BX9,MAX(AO9,CW9),IF($I9=$DB9,MAX(AO9,BS9),MAX(AO9,BS9,CW9))))</f>
        <v>40.17</v>
      </c>
      <c r="L9" s="9" t="str">
        <f>IF(K9=0,"",IF(AND(K9=CW9,$J9&lt;&gt;$CB$1),$CB$1,IF(AND(K9=BS9,$J9&lt;&gt;$AX$1),$AX$1,IF(AND(K9=AO9,$J9&lt;&gt;$T$1),$T$1,""))))</f>
        <v>2023 Elite Canada</v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47.46</v>
      </c>
      <c r="N9" s="9" t="str">
        <f>IF(M9=0,"",IF(AND(OR(M9=DA9,M9=CY9),$J9&lt;&gt;$CB$1),$CB$1,IF(AND(OR(M9=BW9,M9=BU9),$J9&lt;&gt;$AX$1),$AX$1,IF(AND(OR(M9=AS9,M9=AQ9),$J9&lt;&gt;$T$1),$T$1,""))))</f>
        <v>2023 Nationals</v>
      </c>
      <c r="O9" s="9">
        <f>MAX(AV9,BZ9,DD9)</f>
        <v>46.35</v>
      </c>
      <c r="P9" s="9" t="str">
        <f>IF(O9=0,"",IF(O9=DD9,$CB$1,IF(O9=BZ9,$AX$1,IF(O9=AV9,$T$1,""))))</f>
        <v>2023 3rd Domestic Trial</v>
      </c>
      <c r="Q9" s="9" t="str">
        <f>IF(MAX(DF9,DG9,DH9,DI9)&gt;0,MAX(DF9,DG9,DH9,DI9),"")</f>
        <v/>
      </c>
      <c r="R9" s="14" t="str">
        <f>IF(Q9="","",IF(Q9=DF9,"(Vol 1)",IF(Q9=DG9,"(Vol 2)",IF(Q9=DH9,"(Prelim)",IF(Q9=DI9,"(Final)")))))</f>
        <v/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27">
        <v>16</v>
      </c>
      <c r="U9" s="27">
        <v>9.9</v>
      </c>
      <c r="V9" s="27">
        <v>0</v>
      </c>
      <c r="W9" s="27">
        <v>14.27</v>
      </c>
      <c r="X9" s="27">
        <v>0</v>
      </c>
      <c r="Y9" s="27">
        <v>1.6</v>
      </c>
      <c r="Z9" s="27">
        <v>1</v>
      </c>
      <c r="AA9" s="27">
        <v>1.5</v>
      </c>
      <c r="AB9" s="27">
        <v>1.48</v>
      </c>
      <c r="AC9" s="27">
        <v>0</v>
      </c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>
        <f>IF(SUM(T9:W9)-X9&gt;0,SUM(T9:W9)-X9,"")</f>
        <v>40.17</v>
      </c>
      <c r="AP9" s="7">
        <f>IF(AA9&gt;0,AA9,"")</f>
        <v>1.5</v>
      </c>
      <c r="AQ9" s="7">
        <f>IF(SUM(Y9:AB9)-AC9&gt;0,SUM(Y9:AB9)-AC9,"")</f>
        <v>5.58</v>
      </c>
      <c r="AR9" s="7" t="str">
        <f>IF(AF9&gt;0,AF9,"")</f>
        <v/>
      </c>
      <c r="AS9" s="7" t="str">
        <f>IF(SUM(AD9:AG9)-AH9&gt;0,SUM(AD9:AG9)-AH9,"")</f>
        <v/>
      </c>
      <c r="AT9" s="7">
        <f>IF(AO9="",IF(MAX(AQ9,AS9)&gt;0,MAX(AQ9,AS9),""),MAX(AQ9,AS9)+AO9)</f>
        <v>45.75</v>
      </c>
      <c r="AU9" s="7" t="str">
        <f>IF(AK9&gt;0,AK9,"")</f>
        <v/>
      </c>
      <c r="AV9" s="7" t="str">
        <f>IF(SUM(AI9:AL9)-AM9&gt;0,SUM(AI9:AL9)-AM9,"")</f>
        <v/>
      </c>
      <c r="AW9" s="7">
        <f>IF(SUM(AT9,AV9)&gt;0,SUM(AT9,AV9),"")</f>
        <v>45.75</v>
      </c>
      <c r="AX9" s="31">
        <v>15.9</v>
      </c>
      <c r="AY9" s="31">
        <v>9.4</v>
      </c>
      <c r="AZ9" s="31">
        <v>0</v>
      </c>
      <c r="BA9" s="31">
        <v>14.28</v>
      </c>
      <c r="BB9" s="31">
        <v>0</v>
      </c>
      <c r="BC9" s="31">
        <v>13.6</v>
      </c>
      <c r="BD9" s="31">
        <v>9.3000000000000007</v>
      </c>
      <c r="BE9" s="31">
        <v>11</v>
      </c>
      <c r="BF9" s="31">
        <v>13.56</v>
      </c>
      <c r="BG9" s="31">
        <v>0</v>
      </c>
      <c r="BH9" s="31"/>
      <c r="BI9" s="31"/>
      <c r="BJ9" s="31"/>
      <c r="BK9" s="31"/>
      <c r="BL9" s="31"/>
      <c r="BM9" s="31">
        <v>13.1</v>
      </c>
      <c r="BN9" s="31">
        <v>9.3000000000000007</v>
      </c>
      <c r="BO9" s="31">
        <v>10.9</v>
      </c>
      <c r="BP9" s="31">
        <v>12.93</v>
      </c>
      <c r="BQ9" s="31">
        <v>0</v>
      </c>
      <c r="BR9" s="33"/>
      <c r="BS9" s="9">
        <f>IF(SUM(AX9:BA9)-BB9&gt;0,SUM(AX9:BA9)-BB9,"")</f>
        <v>39.58</v>
      </c>
      <c r="BT9" s="9">
        <f>IF(BE9&gt;0,BE9,"")</f>
        <v>11</v>
      </c>
      <c r="BU9" s="9">
        <f>IF(SUM(BC9:BF9)-BG9&gt;0,SUM(BC9:BF9)-BG9,"")</f>
        <v>47.46</v>
      </c>
      <c r="BV9" s="9" t="str">
        <f>IF(BJ9&gt;0,BJ9,"")</f>
        <v/>
      </c>
      <c r="BW9" s="9" t="str">
        <f>IF(SUM(BH9:BK9)-BL9&gt;0,SUM(BH9:BK9)-BL9,"")</f>
        <v/>
      </c>
      <c r="BX9" s="9">
        <f>IF(BS9="",IF(MAX(BU9,BW9)&gt;0,MAX(BU9,BW9),""),MAX(BU9,BW9)+BS9)</f>
        <v>87.039999999999992</v>
      </c>
      <c r="BY9" s="9">
        <f>IF(BO9&gt;0,BO9,"")</f>
        <v>10.9</v>
      </c>
      <c r="BZ9" s="9">
        <f>IF(SUM(BM9:BP9)-BQ9&gt;0,SUM(BM9:BP9)-BQ9,"")</f>
        <v>46.23</v>
      </c>
      <c r="CA9" s="9">
        <f>IF(SUM(BX9,BZ9)&gt;0,SUM(BX9,BZ9),"")</f>
        <v>133.26999999999998</v>
      </c>
      <c r="CB9" s="27">
        <v>16.5</v>
      </c>
      <c r="CC9" s="27">
        <v>9.5</v>
      </c>
      <c r="CD9" s="27">
        <v>0</v>
      </c>
      <c r="CE9" s="27">
        <v>14.1</v>
      </c>
      <c r="CF9" s="27">
        <v>0</v>
      </c>
      <c r="CG9" s="27">
        <v>13.5</v>
      </c>
      <c r="CH9" s="27">
        <v>9.1</v>
      </c>
      <c r="CI9" s="27">
        <v>10.999999999999998</v>
      </c>
      <c r="CJ9" s="27">
        <v>13.7</v>
      </c>
      <c r="CK9" s="27">
        <v>0</v>
      </c>
      <c r="CL9" s="27"/>
      <c r="CM9" s="27"/>
      <c r="CN9" s="27"/>
      <c r="CO9" s="27"/>
      <c r="CP9" s="27"/>
      <c r="CQ9" s="27">
        <v>12.8</v>
      </c>
      <c r="CR9" s="27">
        <v>9.3000000000000007</v>
      </c>
      <c r="CS9" s="27">
        <v>10.999999999999998</v>
      </c>
      <c r="CT9" s="27">
        <v>13.25</v>
      </c>
      <c r="CU9" s="27">
        <v>0</v>
      </c>
      <c r="CV9" s="32"/>
      <c r="CW9" s="7">
        <f>IF(SUM(CB9:CE9)-CF9&gt;0,SUM(CB9:CE9)-CF9,"")</f>
        <v>40.1</v>
      </c>
      <c r="CX9" s="7">
        <f>IF(CI9&gt;0,CI9,"")</f>
        <v>10.999999999999998</v>
      </c>
      <c r="CY9" s="7">
        <f>IF(SUM(CG9:CJ9)-CK9&gt;0,SUM(CG9:CJ9)-CK9,"")</f>
        <v>47.3</v>
      </c>
      <c r="CZ9" s="7" t="str">
        <f>IF(CN9&gt;0,CN9,"")</f>
        <v/>
      </c>
      <c r="DA9" s="7" t="str">
        <f>IF(SUM(CL9:CO9)-CP9&gt;0,SUM(CL9:CO9)-CP9,"")</f>
        <v/>
      </c>
      <c r="DB9" s="7">
        <f>IF(CW9="",IF(MAX(CY9,DA9)&gt;0,MAX(CY9,DA9),""),MAX(CY9,DA9)+CW9)</f>
        <v>87.4</v>
      </c>
      <c r="DC9" s="7">
        <f>IF(CS9&gt;0,CS9,"")</f>
        <v>10.999999999999998</v>
      </c>
      <c r="DD9" s="7">
        <f>IF(SUM(CQ9:CT9)-CU9&gt;0,SUM(CQ9:CT9)-CU9,"")</f>
        <v>46.35</v>
      </c>
      <c r="DE9" s="7">
        <f>IF(SUM(DB9,DD9)&gt;0,SUM(DB9,DD9),"")</f>
        <v>133.75</v>
      </c>
      <c r="DF9" s="13" t="str">
        <f>IF(MAX(DZ9,EV9,FR9,GN9,HJ9,IF9,JB9,JX9,KT9,LP9,ML9,NH9)-IF(K9="",0,K9)&gt;0.001,MAX(DZ9,EV9,FR9,GN9,HJ9,IF9,JB9,JX9,KT9,LP9,ML9,NH9)-IF(K9="",0,K9),"")</f>
        <v/>
      </c>
      <c r="DG9" s="13" t="str">
        <f>IF(MAX(EA9,EW9,FS9,GO9,HK9,IG9,JC9,JY9,KU9,LQ9,MM9,NI9)-IF(M9="",0,M9)&gt;0.001,MAX(EA9,EW9,FS9,GO9,HK9,IG9,JC9,JY9,KU9,LQ9,MM9,NI9)-IF(M9="",0,M9),"")</f>
        <v/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>IF(FI9&gt;0,FI9,"")</f>
        <v/>
      </c>
      <c r="FR9" s="7" t="str">
        <f>IF(SUM(FB9:FE9)-FF9&gt;0,SUM(FB9:FE9)-FF9,"")</f>
        <v/>
      </c>
      <c r="FS9" s="7" t="str">
        <f>IF(SUM(FG9:FJ9)-FK9&gt;0,SUM(FG9:FJ9)-FK9,"")</f>
        <v/>
      </c>
      <c r="FT9" s="7" t="str">
        <f>IF(SUM(FR9:FS9)&gt;0,SUM(FR9:FS9),"")</f>
        <v/>
      </c>
      <c r="FU9" s="7" t="str">
        <f>IF(FN9&gt;0,FN9,"")</f>
        <v/>
      </c>
      <c r="FV9" s="7" t="str">
        <f>IF(SUM(FL9:FO9)-FP9&gt;0,SUM(FL9:FO9)-FP9,"")</f>
        <v/>
      </c>
      <c r="FW9" s="7" t="str">
        <f>IF(SUM(FT9,FV9)&gt;0,SUM(FT9,FV9),"")</f>
        <v/>
      </c>
      <c r="FX9" s="19">
        <v>14.7</v>
      </c>
      <c r="FY9" s="19">
        <v>9.5</v>
      </c>
      <c r="FZ9" s="19">
        <v>0</v>
      </c>
      <c r="GA9" s="19">
        <v>14.59</v>
      </c>
      <c r="GB9" s="19">
        <v>0</v>
      </c>
      <c r="GC9" s="19">
        <v>12.8</v>
      </c>
      <c r="GD9" s="19">
        <v>9.3000000000000007</v>
      </c>
      <c r="GE9" s="19">
        <v>9.6999999999999993</v>
      </c>
      <c r="GF9" s="19">
        <v>13.72</v>
      </c>
      <c r="GG9" s="19">
        <v>0</v>
      </c>
      <c r="GH9" s="19"/>
      <c r="GI9" s="19"/>
      <c r="GJ9" s="19"/>
      <c r="GK9" s="19"/>
      <c r="GL9" s="19"/>
      <c r="GM9" s="9">
        <f>IF(GE9&gt;0,GE9,"")</f>
        <v>9.6999999999999993</v>
      </c>
      <c r="GN9" s="9">
        <f>IF(SUM(FX9:GA9)-GB9&gt;0,SUM(FX9:GA9)-GB9,"")</f>
        <v>38.79</v>
      </c>
      <c r="GO9" s="9">
        <f>IF(SUM(GC9:GF9)-GG9&gt;0,SUM(GC9:GF9)-GG9,"")</f>
        <v>45.52</v>
      </c>
      <c r="GP9" s="9">
        <f>IF(SUM(GN9:GO9)&gt;0,SUM(GN9:GO9),"")</f>
        <v>84.31</v>
      </c>
      <c r="GQ9" s="9" t="str">
        <f>IF(GJ9&gt;0,GJ9,"")</f>
        <v/>
      </c>
      <c r="GR9" s="9" t="str">
        <f>IF(SUM(GH9:GK9)-GL9&gt;0,SUM(GH9:GK9)-GL9,"")</f>
        <v/>
      </c>
      <c r="GS9" s="9">
        <f>IF(SUM(GP9,GR9)&gt;0,SUM(GP9,GR9),"")</f>
        <v>84.31</v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16.2</v>
      </c>
      <c r="NO9" s="27">
        <f>IF($CV9="P",CC9,(CC9+AY9)/2)</f>
        <v>9.4499999999999993</v>
      </c>
      <c r="NP9" s="27">
        <f>IF($CV9="P",CD9,(CD9+AZ9)/2)</f>
        <v>0</v>
      </c>
      <c r="NQ9" s="27">
        <f>IF($CV9="P",CE9,(CE9+BA9)/2)</f>
        <v>14.19</v>
      </c>
      <c r="NR9" s="27">
        <f>IF($CV9="P",CF9,(CF9+BB9)/2)</f>
        <v>0</v>
      </c>
      <c r="NS9" s="27">
        <f>IF($CV9="P",CG9,(CG9+BC9)/2)</f>
        <v>13.55</v>
      </c>
      <c r="NT9" s="27">
        <f>IF($CV9="P",CH9,(CH9+BD9)/2)</f>
        <v>9.1999999999999993</v>
      </c>
      <c r="NU9" s="27">
        <f>IF($CV9="P",CI9,(CI9+BE9)/2)</f>
        <v>11</v>
      </c>
      <c r="NV9" s="27">
        <f>IF($CV9="P",CJ9,(CJ9+BF9)/2)</f>
        <v>13.629999999999999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12.95</v>
      </c>
      <c r="OD9" s="27">
        <f>IF($CV9="P",CR9,(CR9+BN9)/2)</f>
        <v>9.3000000000000007</v>
      </c>
      <c r="OE9" s="27">
        <f>IF($CV9="P",CS9,(CS9+BO9)/2)</f>
        <v>10.95</v>
      </c>
      <c r="OF9" s="27">
        <f>IF($CV9="P",CT9,(CT9+BP9)/2)</f>
        <v>13.09</v>
      </c>
      <c r="OG9" s="27">
        <f>IF($CV9="P",CU9,(CU9+BQ9)/2)</f>
        <v>0</v>
      </c>
      <c r="OH9" s="32" t="s">
        <v>44</v>
      </c>
      <c r="OI9" s="7">
        <f>IF(SUM(NN9:NQ9)-NR9&gt;0,SUM(NN9:NQ9)-NR9,"")</f>
        <v>39.839999999999996</v>
      </c>
      <c r="OJ9" s="7">
        <f>IF(NU9&gt;0,NU9,"")</f>
        <v>11</v>
      </c>
      <c r="OK9" s="7">
        <f>IF(SUM(NS9:NV9)-NW9&gt;0,SUM(NS9:NV9)-NW9,"")</f>
        <v>47.379999999999995</v>
      </c>
      <c r="OL9" s="7" t="str">
        <f>IF(NZ9&gt;0,NZ9,"")</f>
        <v/>
      </c>
      <c r="OM9" s="7" t="str">
        <f>IF(SUM(NX9:OA9)-OB9&gt;0,SUM(NX9:OA9)-OB9,"")</f>
        <v/>
      </c>
      <c r="ON9" s="7">
        <f>IF(OR(OI9&lt;&gt;"",OK9&lt;&gt;"",OM9&lt;&gt;""),OI9+MAX(OK9,OM9),"")</f>
        <v>87.22</v>
      </c>
      <c r="OO9" s="7">
        <f>IF(OE9&gt;0,OE9,"")</f>
        <v>10.95</v>
      </c>
      <c r="OP9" s="7">
        <f t="shared" ref="OP9" si="10">IF(SUM(OC9:OF9)-OG9&gt;0,SUM(OC9:OF9)-OG9,"")</f>
        <v>46.290000000000006</v>
      </c>
      <c r="OQ9" s="7">
        <f t="shared" ref="OQ9" si="11">IF(SUM(ON9,OP9)&gt;0,SUM(ON9,OP9),"")</f>
        <v>133.51</v>
      </c>
    </row>
    <row r="10" spans="1:407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98</v>
      </c>
      <c r="C10" s="4" t="s">
        <v>66</v>
      </c>
      <c r="D10" s="4">
        <v>2008</v>
      </c>
      <c r="E10" s="10">
        <f>SUM(I10:Q10)</f>
        <v>205.64</v>
      </c>
      <c r="F10" s="3" t="str">
        <f>IF(OR(AND(AP10&gt;=AW$14,AT10&gt;=AW$18,AO10&lt;&gt;"",AN10=""),AND(BT10&gt;=CA$14,BX10&gt;=CA$18,BS10&lt;&gt;"",BR10=""),AND(CX10&gt;=DE$14,DB10&gt;=DE$18,CW10&lt;&gt;"",CV10=""),AND(DY10&gt;=EE$14,EB10&gt;=EE$18,DY10&lt;&gt;""),AND(EU10&gt;=FA$14,EX10&gt;=FA$18,EU10&lt;&gt;""),AND(FQ10&gt;=FW$14,FT10&gt;=FW$18,FQ10&lt;&gt;""),AND(GM10&gt;=GS$14,GP10&gt;=GS$18,GM10&lt;&gt;""),AND(HI10&gt;=HO$14,HL10&gt;=HO$18,HI10&lt;&gt;""),AND(IE10&gt;=IK$14,IH10&gt;=IK$18,IE10&lt;&gt;""),AND(JA10&gt;=JG$14,JD10&gt;=JG$18,JA10&lt;&gt;""),AND(JW10&gt;=KC$14,JZ10&gt;=KC$18,JW10&lt;&gt;""),AND(KS10&gt;=KY$14,KV10&gt;=KY$18,KS10&lt;&gt;""),AND(LO10&gt;=LU$14,LR10&gt;=LU$18,LO10&lt;&gt;""),AND(MK10&gt;=MQ$14,MN10&gt;=MQ$18,MK10&lt;&gt;""),AND(NG10&gt;=NM$14,NJ10&gt;=NM$18,NG10&lt;&gt;"")),"P","")</f>
        <v/>
      </c>
      <c r="G10" s="3" t="str">
        <f>IF(OR(AND(AT10&gt;=AW$18,AO10&lt;&gt;"",AN10=""),AND(BX10&gt;=CA$18,BS10&lt;&gt;"",BR10=""),AND(DB10&gt;=DE$18,CW10&lt;&gt;"",CV10=""),AND(EB10&gt;=EE$18,DY10&lt;&gt;""),AND(EX10&gt;=FA$18,EU10&lt;&gt;""),AND(FT10&gt;=FW$18,FQ10&lt;&gt;""),AND(GP10&gt;=GS$18,GM10&lt;&gt;""),AND(HL10&gt;=HO$18,HI10&lt;&gt;""),AND(IH10&gt;=IK$18,IE10&lt;&gt;""),AND(JD10&gt;=JG$18,JA10&lt;&gt;""),AND(JZ10&gt;=KC$18,JW10&lt;&gt;""),AND(KV10&gt;=KY$18,KS10&lt;&gt;""),AND(LR10&gt;=LU$18,LO10&lt;&gt;""),AND(MN10&gt;=MQ$18,MK10&lt;&gt;""),AND(NJ10&gt;=NM$18,NG10&lt;&gt;"")),"P","")</f>
        <v/>
      </c>
      <c r="H10" s="47" t="str">
        <f>IF(OR(AND(AP10&gt;=AW$17,AQ10&gt;=AW$21,AP10&lt;&gt;"",AN10=""),AND(AU10&gt;=AW$17,AV10&gt;=AW$21,AU10&lt;&gt;"",AN10=""),AND(BT10&gt;=CA$17,BU10&gt;=CA$21,BT10&lt;&gt;"",BR10=""),AND(BY10&gt;=CA$17,BZ10&gt;=CA$21,BY10&lt;&gt;"",BR10=""),AND(CX10&gt;=DE$17,CY10&gt;=DE$21,CX10&lt;&gt;"",CV10=""),AND(DC10&gt;=DE$17,DD10&gt;=DE$21,DC10&lt;&gt;"",CV10=""),AND(DY10&gt;=EE$17,EA10&gt;=EE$21,DY10&lt;&gt;""),AND(EC10&gt;=EE$17,ED10&gt;=EE$21,EC10&lt;&gt;""),AND(EU10&gt;=FA$17,EW10&gt;=FA$21,EU10&lt;&gt;""),AND(EY10&gt;=FA$17,EZ10&gt;=FA$21,EY10&lt;&gt;""),AND(FQ10&gt;=FW$17,FS10&gt;=FW$21,FQ10&lt;&gt;""),AND(FU10&gt;=FW$17,FV10&gt;=FW$21,FU10&lt;&gt;""),AND(GM10&gt;=GS$17,GO10&gt;=GS$21,GM10&lt;&gt;""),AND(GQ10&gt;=GS$17,GR10&gt;=GS$21,GQ10&lt;&gt;""),AND(HI10&gt;=HO$17,HK10&gt;=HO$21,HI10&lt;&gt;""),AND(HM10&gt;=HO$17,HN10&gt;=HO$21,HM10&lt;&gt;""),AND(IE10&gt;=IK$17,IG10&gt;=IK$21,IE10&lt;&gt;""),AND(II10&gt;=IK$17,IJ10&gt;=IK$21,II10&lt;&gt;""),AND(JA10&gt;=JG$17,JC10&gt;=JG$21,JA10&lt;&gt;""),AND(JE10&gt;=JG$17,JF10&gt;=JG$21,JE10&lt;&gt;""),AND(JW10&gt;=KC$17,JY10&gt;=KC$21,JW10&lt;&gt;""),AND(KA10&gt;=KC$17,KB10&gt;=KC$21,KA10&lt;&gt;""),AND(KS10&gt;=KY$17,KU10&gt;=KY$21,KS10&lt;&gt;""),AND(KW10&gt;=KY$17,KX10&gt;=KY$21,KW10&lt;&gt;""),AND(LO10&gt;=LU$17,LQ10&gt;=LU$21,LO10&lt;&gt;""),AND(LS10&gt;=LU$17,LT10&gt;=LU$21,LS10&lt;&gt;""),AND(MK10&gt;=MQ$17,MM10&gt;=MQ$21,MK10&lt;&gt;""),AND(MO10&gt;=MQ$17,MP10&gt;=MQ$21,MO10&lt;&gt;""),AND(NG10&gt;=NM$17,NI10&gt;=NM$21,NG10&lt;&gt;""),AND(NK10&gt;=NM$17,NL10&gt;=NM$21,NK10&lt;&gt;"")),"Merit",IF(OR(AND(AP10&gt;=AW$16,AT10&gt;=AW$20,AO10&lt;&gt;"",AN10=""),AND(BT10&gt;=CA$16,BX10&gt;=CA$20,BS10&lt;&gt;"",BR10=""),AND(CX10&gt;=DE$16,DB10&gt;=DE$20,CW10&lt;&gt;"",CV10=""),AND(DY10&gt;=EE$16,EB10&gt;=EE$20,DY10&lt;&gt;""),AND(EU10&gt;=FA$16,EX10&gt;=FA$20,EU10&lt;&gt;""),AND(FQ10&gt;=FW$16,FT10&gt;=FW$20,FQ10&lt;&gt;""),AND(GM10&gt;=GS$16,GP10&gt;=GS$20,GM10&lt;&gt;""),AND(HI10&gt;=HO$16,HL10&gt;=HO$20,HI10&lt;&gt;""),AND(IE10&gt;=IK$16,IH10&gt;=IK$20,IE10&lt;&gt;""),AND(JA10&gt;=JG$16,JD10&gt;=JG$20,JA10&lt;&gt;""),AND(JW10&gt;=KC$16,JZ10&gt;=KC$20,JW10&lt;&gt;""),AND(KS10&gt;=KY$16,KV10&gt;=KY$20,KS10&lt;&gt;""),AND(LO10&gt;=LU$16,LR10&gt;=LU$20,LO10&lt;&gt;""),AND(MK10&gt;=MQ$16,MN10&gt;=MQ$20,MK10&lt;&gt;""),AND(NG10&gt;=NM$16,NJ10&gt;=NM$20,NG10&lt;&gt;"")),"Excellence",IF(OR(AND(AP10&gt;=AW$14,AT10&gt;=AW$18,AO10&lt;&gt;"",AN10=""),AND(BT10&gt;=CA$14,BX10&gt;=CA$18,BS10&lt;&gt;"",BR10=""),AND(CX10&gt;=DE$14,DB10&gt;=DE$18,CW10&lt;&gt;"",CV10=""),AND(DY10&gt;=EE$14,EB10&gt;=EE$18,DY10&lt;&gt;""),AND(EU10&gt;=FA$14,EX10&gt;=FA$18,EU10&lt;&gt;""),AND(FQ10&gt;=FW$14,FT10&gt;=FW$18,FQ10&lt;&gt;""),AND(GM10&gt;=GS$14,GP10&gt;=GS$18,GM10&lt;&gt;""),AND(HI10&gt;=HO$14,HL10&gt;=HO$18,HI10&lt;&gt;""),AND(IE10&gt;=IK$14,IH10&gt;=IK$18,IE10&lt;&gt;""),AND(JA10&gt;=JG$14,JD10&gt;=JG$18,JA10&lt;&gt;""),AND(JW10&gt;=KC$14,JZ10&gt;=KC$18,JW10&lt;&gt;""),AND(KS10&gt;=KY$14,KV10&gt;=KY$18,KS10&lt;&gt;""),AND(LO10&gt;=LU$14,LR10&gt;=LU$18,LO10&lt;&gt;""),AND(MK10&gt;=MQ$14,MN10&gt;=MQ$18,MK10&lt;&gt;""),AND(NG10&gt;=NM$14,NJ10&gt;=NM$18,NG10&lt;&gt;"")),"National Team",IF(G10="P","No DD",""))))</f>
        <v/>
      </c>
      <c r="I10" s="9">
        <f>IF(MAX(AT10,BX10,DB10)&gt;0,MAX(AT10,BX10,DB10),0)</f>
        <v>80.010000000000005</v>
      </c>
      <c r="J10" s="9" t="str">
        <f>IF(I10=0,"",IF(I10=DB10,$CB$1,IF(I10=BX10,$AX$1,IF(I10=AT10,$T$1,""))))</f>
        <v>2023 Nationals</v>
      </c>
      <c r="K10" s="9">
        <f>IF($I10=$AT10,MAX(BS10,CW10),IF($I10=$BX10,MAX(AO10,CW10),IF($I10=$DB10,MAX(AO10,BS10),MAX(AO10,BS10,CW10))))</f>
        <v>38.69</v>
      </c>
      <c r="L10" s="9" t="str">
        <f>IF(K10=0,"",IF(AND(K10=CW10,$J10&lt;&gt;$CB$1),$CB$1,IF(AND(K10=BS10,$J10&lt;&gt;$AX$1),$AX$1,IF(AND(K10=AO10,$J10&lt;&gt;$T$1),$T$1,""))))</f>
        <v>2023 Elite Canada</v>
      </c>
      <c r="M10" s="9">
        <f>IF(I10-N(AO10)=AQ10,MAX(AS10,BU10,BW10,CY10,DA10),IF(I10-N(AO10)=AS10,MAX(AQ10,BU10,BW10,CY10,DA10),IF(I10-N(BS10)=BU10,MAX(AQ10,AS10,BW10,CY10,DA10),IF(I10-N(BS10)=BW10,MAX(AQ10,AS10,BU10,CY10,DA10),IF(I10-N(CW10)=CY10,MAX(AQ10,AS10,BU10,BW10,DA10),IF(I10-N(CW10)=DA10,MAX(AQ10,AS10,BU10,BW10,CY10),MAX(AQ10,AS10,BU10,BW10,CY10,DA10)))))))</f>
        <v>18.71</v>
      </c>
      <c r="N10" s="9" t="str">
        <f>IF(M10=0,"",IF(AND(OR(M10=DA10,M10=CY10),$J10&lt;&gt;$CB$1),$CB$1,IF(AND(OR(M10=BW10,M10=BU10),$J10&lt;&gt;$AX$1),$AX$1,IF(AND(OR(M10=AS10,M10=AQ10),$J10&lt;&gt;$T$1),$T$1,""))))</f>
        <v>2023 3rd Domestic Trial</v>
      </c>
      <c r="O10" s="9">
        <f>MAX(AV10,BZ10,DD10)</f>
        <v>45.879999999999995</v>
      </c>
      <c r="P10" s="9" t="str">
        <f>IF(O10=0,"",IF(O10=DD10,$CB$1,IF(O10=BZ10,$AX$1,IF(O10=AV10,$T$1,""))))</f>
        <v>2023 3rd Domestic Trial</v>
      </c>
      <c r="Q10" s="9">
        <f>IF(MAX(DF10,DG10,DH10,DI10)&gt;0,MAX(DF10,DG10,DH10,DI10),"")</f>
        <v>22.35</v>
      </c>
      <c r="R10" s="14" t="str">
        <f>IF(Q10="","",IF(Q10=DF10,"(Vol 1)",IF(Q10=DG10,"(Vol 2)",IF(Q10=DH10,"(Prelim)",IF(Q10=DI10,"(Final)")))))</f>
        <v>(Vol 2)</v>
      </c>
      <c r="S10" s="9" t="str">
        <f>IF(Q10="","",IF(Q10=DF10,IF(Q10+IF(K10="",0,K10)=NH10,$MR$1,IF(Q10+IF(K10="",0,K10)=ML10,$LV$1,IF(Q10+IF(K10="",0,K10)=LP10,$KZ$1,IF(Q10+IF(K10="",0,K10)=KT10,$KD$1,IF(Q10+IF(K10="",0,K10)=JX10,$JH$1,IF(Q10+IF(K10="",0,K10)=JB10,$IL$1,IF(Q10+IF(K10="",0,K10)=IF10,$HP$1,IF(Q10+IF(K10="",0,K10)=HJ10,$GT$1,IF(Q10+IF(K10="",0,K10)=GN10,$FX$1,IF(Q10+IF(K10="",0,K10)=FR10,$FB$1,IF(Q10+IF(K10="",0,K10)=EV10,$EF$1,IF(Q10+IF(K10="",0,K10)=DZ10,$DJ$1)))))))))))),IF(Q10=DG10,IF(Q10+IF(M10="",0,M10)=NI10,$MR$1,IF(Q10+IF(M10="",0,M10)=MM10,$LV$1,IF(Q10+IF(M10="",0,M10)=LQ10,$KZ$1,IF(Q10+IF(M10="",0,M10)=KU10,$KD$1,IF(Q10+IF(M10="",0,M10)=JY10,$JH$1,IF(Q10+IF(M10="",0,M10)=JC10,$IL$1,IF(Q10+IF(M10="",0,M10)=IG10,$HP$1,IF(Q10+IF(M10="",0,M10)=HK10,$GT$1,IF(Q10+IF(M10="",0,M10)=GO10,$FX$1,IF(Q10+IF(M10="",0,M10)=FS10,$FB$1,IF(Q10+IF(M10="",0,M10)=EW10,$EF$1,IF(Q10+IF(M10="",0,M10)=EA10,$DJ$1)))))))))))),IF(Q10=DH10,IF(Q10+IF(I10="",0,I10)=NJ10,$MR$1,IF(Q10+IF(I10="",0,I10)=MN10,$LV$1,IF(Q10+IF(I10="",0,I10)=LR10,$KZ$1,IF(Q10+IF(I10="",0,I10)=KV10,$KD$1,IF(Q10+IF(I10="",0,I10)=JZ10,$JH$1,IF(Q10+IF(I10="",0,I10)=JD10,$IL$1,IF(Q10+IF(I10="",0,I10)=IH10,$HP$1,IF(Q10+IF(I10="",0,I10)=HL10,$GT$1,IF(Q10+IF(I10="",0,I10)=GP10,$FX$1,IF(Q10+IF(I10="",0,I10)=FT10,$FB$1,IF(Q10+IF(I10="",0,I10)=EX10,$EF$1,IF(Q10+IF(I10="",0,I10)=EB10,$DJ$1)))))))))))),IF(Q10=DI10,IF(Q10+IF(O10="",0,O10)=NL10,$MR$1,IF(Q10+IF(O10="",0,O10)=MP10,$LV$1,IF(Q10+IF(O10="",0,O10)=LT10,$KZ$1,IF(Q10+IF(O10="",0,O10)=KX10,$KD$1,IF(Q10+IF(O10="",0,O10)=KB10,$JH$1,IF(Q10+IF(O10="",0,O10)=JF10,$IL$1,IF(Q10+IF(O10="",0,O10)=IJ10,$HP$1,IF(Q10+IF(O10="",0,O10)=HN10,$GT$1,IF(Q10+IF(O10="",0,O10)=GR10,$FX$1,IF(Q10+IF(O10="",0,O10)=FV10,$FB$1,IF(Q10+IF(O10="",0,O10)=EZ10,$EF$1,IF(Q10+IF(O10="",0,O10)=ED10,$DJ$1)))))))))))))))))</f>
        <v>2023 WAGC (Nov 16)</v>
      </c>
      <c r="T10" s="27">
        <v>16.2</v>
      </c>
      <c r="U10" s="27">
        <v>9.6</v>
      </c>
      <c r="V10" s="27">
        <v>0</v>
      </c>
      <c r="W10" s="27">
        <v>12.89</v>
      </c>
      <c r="X10" s="27">
        <v>0</v>
      </c>
      <c r="Y10" s="27">
        <v>2.6</v>
      </c>
      <c r="Z10" s="27">
        <v>1.8</v>
      </c>
      <c r="AA10" s="27">
        <v>1.9</v>
      </c>
      <c r="AB10" s="27">
        <v>2.54</v>
      </c>
      <c r="AC10" s="27">
        <v>0</v>
      </c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32"/>
      <c r="AO10" s="7">
        <f>IF(SUM(T10:W10)-X10&gt;0,SUM(T10:W10)-X10,"")</f>
        <v>38.69</v>
      </c>
      <c r="AP10" s="7">
        <f>IF(AA10&gt;0,AA10,"")</f>
        <v>1.9</v>
      </c>
      <c r="AQ10" s="7">
        <f>IF(SUM(Y10:AB10)-AC10&gt;0,SUM(Y10:AB10)-AC10,"")</f>
        <v>8.84</v>
      </c>
      <c r="AR10" s="7" t="str">
        <f>IF(AF10&gt;0,AF10,"")</f>
        <v/>
      </c>
      <c r="AS10" s="7" t="str">
        <f>IF(SUM(AD10:AG10)-AH10&gt;0,SUM(AD10:AG10)-AH10,"")</f>
        <v/>
      </c>
      <c r="AT10" s="7">
        <f>IF(AO10="",IF(MAX(AQ10,AS10)&gt;0,MAX(AQ10,AS10),""),MAX(AQ10,AS10)+AO10)</f>
        <v>47.53</v>
      </c>
      <c r="AU10" s="7" t="str">
        <f>IF(AK10&gt;0,AK10,"")</f>
        <v/>
      </c>
      <c r="AV10" s="7" t="str">
        <f>IF(SUM(AI10:AL10)-AM10&gt;0,SUM(AI10:AL10)-AM10,"")</f>
        <v/>
      </c>
      <c r="AW10" s="7">
        <f>IF(SUM(AT10,AV10)&gt;0,SUM(AT10,AV10),"")</f>
        <v>47.53</v>
      </c>
      <c r="AX10" s="31">
        <v>15.1</v>
      </c>
      <c r="AY10" s="31">
        <v>9.5</v>
      </c>
      <c r="AZ10" s="31">
        <v>0</v>
      </c>
      <c r="BA10" s="31">
        <v>12.85</v>
      </c>
      <c r="BB10" s="31">
        <v>0</v>
      </c>
      <c r="BC10" s="31">
        <v>11</v>
      </c>
      <c r="BD10" s="31">
        <v>9.1</v>
      </c>
      <c r="BE10" s="31">
        <v>9.8000000000000007</v>
      </c>
      <c r="BF10" s="31">
        <v>12.66</v>
      </c>
      <c r="BG10" s="31">
        <v>0</v>
      </c>
      <c r="BH10" s="31"/>
      <c r="BI10" s="31"/>
      <c r="BJ10" s="31"/>
      <c r="BK10" s="31"/>
      <c r="BL10" s="31"/>
      <c r="BM10" s="31">
        <v>6.9</v>
      </c>
      <c r="BN10" s="31">
        <v>4.5999999999999996</v>
      </c>
      <c r="BO10" s="31">
        <v>5.4</v>
      </c>
      <c r="BP10" s="31">
        <v>6.48</v>
      </c>
      <c r="BQ10" s="31">
        <v>0</v>
      </c>
      <c r="BR10" s="33"/>
      <c r="BS10" s="9">
        <f>IF(SUM(AX10:BA10)-BB10&gt;0,SUM(AX10:BA10)-BB10,"")</f>
        <v>37.450000000000003</v>
      </c>
      <c r="BT10" s="9">
        <f>IF(BE10&gt;0,BE10,"")</f>
        <v>9.8000000000000007</v>
      </c>
      <c r="BU10" s="9">
        <f>IF(SUM(BC10:BF10)-BG10&gt;0,SUM(BC10:BF10)-BG10,"")</f>
        <v>42.56</v>
      </c>
      <c r="BV10" s="9" t="str">
        <f>IF(BJ10&gt;0,BJ10,"")</f>
        <v/>
      </c>
      <c r="BW10" s="9" t="str">
        <f>IF(SUM(BH10:BK10)-BL10&gt;0,SUM(BH10:BK10)-BL10,"")</f>
        <v/>
      </c>
      <c r="BX10" s="9">
        <f>IF(BS10="",IF(MAX(BU10,BW10)&gt;0,MAX(BU10,BW10),""),MAX(BU10,BW10)+BS10)</f>
        <v>80.010000000000005</v>
      </c>
      <c r="BY10" s="9">
        <f>IF(BO10&gt;0,BO10,"")</f>
        <v>5.4</v>
      </c>
      <c r="BZ10" s="9">
        <f>IF(SUM(BM10:BP10)-BQ10&gt;0,SUM(BM10:BP10)-BQ10,"")</f>
        <v>23.38</v>
      </c>
      <c r="CA10" s="9">
        <f>IF(SUM(BX10,BZ10)&gt;0,SUM(BX10,BZ10),"")</f>
        <v>103.39</v>
      </c>
      <c r="CB10" s="27">
        <v>15.5</v>
      </c>
      <c r="CC10" s="27">
        <v>9.3000000000000007</v>
      </c>
      <c r="CD10" s="27">
        <v>0</v>
      </c>
      <c r="CE10" s="27">
        <v>13.67</v>
      </c>
      <c r="CF10" s="27">
        <v>0</v>
      </c>
      <c r="CG10" s="27">
        <v>5.4</v>
      </c>
      <c r="CH10" s="27">
        <v>3.5</v>
      </c>
      <c r="CI10" s="27">
        <v>4.3</v>
      </c>
      <c r="CJ10" s="27">
        <v>5.51</v>
      </c>
      <c r="CK10" s="27">
        <v>0</v>
      </c>
      <c r="CL10" s="27"/>
      <c r="CM10" s="27"/>
      <c r="CN10" s="27"/>
      <c r="CO10" s="27"/>
      <c r="CP10" s="27"/>
      <c r="CQ10" s="27">
        <v>14.1</v>
      </c>
      <c r="CR10" s="27">
        <v>8.6999999999999993</v>
      </c>
      <c r="CS10" s="27">
        <v>9.8000000000000007</v>
      </c>
      <c r="CT10" s="27">
        <v>13.28</v>
      </c>
      <c r="CU10" s="27">
        <v>0</v>
      </c>
      <c r="CV10" s="32"/>
      <c r="CW10" s="7">
        <f>IF(SUM(CB10:CE10)-CF10&gt;0,SUM(CB10:CE10)-CF10,"")</f>
        <v>38.47</v>
      </c>
      <c r="CX10" s="7">
        <f>IF(CI10&gt;0,CI10,"")</f>
        <v>4.3</v>
      </c>
      <c r="CY10" s="7">
        <f>IF(SUM(CG10:CJ10)-CK10&gt;0,SUM(CG10:CJ10)-CK10,"")</f>
        <v>18.71</v>
      </c>
      <c r="CZ10" s="7" t="str">
        <f>IF(CN10&gt;0,CN10,"")</f>
        <v/>
      </c>
      <c r="DA10" s="7" t="str">
        <f>IF(SUM(CL10:CO10)-CP10&gt;0,SUM(CL10:CO10)-CP10,"")</f>
        <v/>
      </c>
      <c r="DB10" s="7">
        <f>IF(CW10="",IF(MAX(CY10,DA10)&gt;0,MAX(CY10,DA10),""),MAX(CY10,DA10)+CW10)</f>
        <v>57.18</v>
      </c>
      <c r="DC10" s="7">
        <f>IF(CS10&gt;0,CS10,"")</f>
        <v>9.8000000000000007</v>
      </c>
      <c r="DD10" s="7">
        <f>IF(SUM(CQ10:CT10)-CU10&gt;0,SUM(CQ10:CT10)-CU10,"")</f>
        <v>45.879999999999995</v>
      </c>
      <c r="DE10" s="7">
        <f>IF(SUM(DB10,DD10)&gt;0,SUM(DB10,DD10),"")</f>
        <v>103.06</v>
      </c>
      <c r="DF10" s="13" t="str">
        <f>IF(MAX(DZ10,EV10,FR10,GN10,HJ10,IF10,JB10,JX10,KT10,LP10,ML10,NH10)-IF(K10="",0,K10)&gt;0.001,MAX(DZ10,EV10,FR10,GN10,HJ10,IF10,JB10,JX10,KT10,LP10,ML10,NH10)-IF(K10="",0,K10),"")</f>
        <v/>
      </c>
      <c r="DG10" s="13">
        <f>IF(MAX(EA10,EW10,FS10,GO10,HK10,IG10,JC10,JY10,KU10,LQ10,MM10,NI10)-IF(M10="",0,M10)&gt;0.001,MAX(EA10,EW10,FS10,GO10,HK10,IG10,JC10,JY10,KU10,LQ10,MM10,NI10)-IF(M10="",0,M10),"")</f>
        <v>22.35</v>
      </c>
      <c r="DH10" s="13" t="str">
        <f>IF(MAX(EB10,EX10,FT10,GP10,HL10,IH10,JD10,JZ10,KV10,LR10,MN10,NJ10)-IF(I10="",0,I10)&gt;0.001,MAX(EB10,EX10,FT10,GP10,HL10,IH10,JD10,JZ10,KV10,LR10,MN10,NJ10)-IF(I10="",0,I10),"")</f>
        <v/>
      </c>
      <c r="DI10" s="13" t="str">
        <f>IF(MAX(ED10,EZ10,FV10,GR10,HN10,IJ10,JF10,KB10,KX10,LT10,MP10,NL10)-IF(O10="",0,O10)&gt;0.001,MAX(ED10,EZ10,FV10,GR10,HN10,IJ10,JF10,KB10,KX10,LT10,MP10,NL10)-IF(O10="",0,O10),"")</f>
        <v/>
      </c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7" t="str">
        <f>IF(DQ10&gt;0,DQ10,"")</f>
        <v/>
      </c>
      <c r="DZ10" s="7" t="str">
        <f>IF(SUM(DJ10:DM10)-DN10&gt;0,SUM(DJ10:DM10)-DN10,"")</f>
        <v/>
      </c>
      <c r="EA10" s="7" t="str">
        <f>IF(SUM(DO10:DR10)-DS10&gt;0,SUM(DO10:DR10)-DS10,"")</f>
        <v/>
      </c>
      <c r="EB10" s="7" t="str">
        <f>IF(SUM(DZ10:EA10)&gt;0,SUM(DZ10:EA10),"")</f>
        <v/>
      </c>
      <c r="EC10" s="7" t="str">
        <f>IF(DV10&gt;0,DV10,"")</f>
        <v/>
      </c>
      <c r="ED10" s="7" t="str">
        <f>IF(SUM(DT10:DW10)-DX10&gt;0,SUM(DT10:DW10)-DX10,"")</f>
        <v/>
      </c>
      <c r="EE10" s="7" t="str">
        <f>IF(SUM(EB10,ED10)&gt;0,SUM(EB10,ED10),"")</f>
        <v/>
      </c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9" t="str">
        <f>IF(EM10&gt;0,EM10,"")</f>
        <v/>
      </c>
      <c r="EV10" s="9" t="str">
        <f>IF(SUM(EF10:EI10)-EJ10&gt;0,SUM(EF10:EI10)-EJ10,"")</f>
        <v/>
      </c>
      <c r="EW10" s="9" t="str">
        <f>IF(SUM(EK10:EN10)-EO10&gt;0,SUM(EK10:EN10)-EO10,"")</f>
        <v/>
      </c>
      <c r="EX10" s="9" t="str">
        <f>IF(SUM(EV10:EW10)&gt;0,SUM(EV10:EW10),"")</f>
        <v/>
      </c>
      <c r="EY10" s="9" t="str">
        <f>IF(ER10&gt;0,ER10,"")</f>
        <v/>
      </c>
      <c r="EZ10" s="9" t="str">
        <f>IF(SUM(EP10:ES10)-ET10&gt;0,SUM(EP10:ES10)-ET10,"")</f>
        <v/>
      </c>
      <c r="FA10" s="9" t="str">
        <f>IF(SUM(EX10,EZ10)&gt;0,SUM(EX10,EZ10),"")</f>
        <v/>
      </c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7" t="str">
        <f>IF(FI10&gt;0,FI10,"")</f>
        <v/>
      </c>
      <c r="FR10" s="7" t="str">
        <f>IF(SUM(FB10:FE10)-FF10&gt;0,SUM(FB10:FE10)-FF10,"")</f>
        <v/>
      </c>
      <c r="FS10" s="7" t="str">
        <f>IF(SUM(FG10:FJ10)-FK10&gt;0,SUM(FG10:FJ10)-FK10,"")</f>
        <v/>
      </c>
      <c r="FT10" s="7" t="str">
        <f>IF(SUM(FR10:FS10)&gt;0,SUM(FR10:FS10),"")</f>
        <v/>
      </c>
      <c r="FU10" s="7" t="str">
        <f>IF(FN10&gt;0,FN10,"")</f>
        <v/>
      </c>
      <c r="FV10" s="7" t="str">
        <f>IF(SUM(FL10:FO10)-FP10&gt;0,SUM(FL10:FO10)-FP10,"")</f>
        <v/>
      </c>
      <c r="FW10" s="7" t="str">
        <f>IF(SUM(FT10,FV10)&gt;0,SUM(FT10,FV10),"")</f>
        <v/>
      </c>
      <c r="FX10" s="19">
        <v>15</v>
      </c>
      <c r="FY10" s="19">
        <v>9.6</v>
      </c>
      <c r="FZ10" s="19">
        <v>0</v>
      </c>
      <c r="GA10" s="19">
        <v>13.61</v>
      </c>
      <c r="GB10" s="19">
        <v>0</v>
      </c>
      <c r="GC10" s="19">
        <v>12.3</v>
      </c>
      <c r="GD10" s="19">
        <v>8.4</v>
      </c>
      <c r="GE10" s="19">
        <v>8.4</v>
      </c>
      <c r="GF10" s="19">
        <v>11.96</v>
      </c>
      <c r="GG10" s="19">
        <v>0</v>
      </c>
      <c r="GH10" s="19"/>
      <c r="GI10" s="19"/>
      <c r="GJ10" s="19"/>
      <c r="GK10" s="19"/>
      <c r="GL10" s="19"/>
      <c r="GM10" s="9">
        <f>IF(GE10&gt;0,GE10,"")</f>
        <v>8.4</v>
      </c>
      <c r="GN10" s="9">
        <f>IF(SUM(FX10:GA10)-GB10&gt;0,SUM(FX10:GA10)-GB10,"")</f>
        <v>38.21</v>
      </c>
      <c r="GO10" s="9">
        <f>IF(SUM(GC10:GF10)-GG10&gt;0,SUM(GC10:GF10)-GG10,"")</f>
        <v>41.06</v>
      </c>
      <c r="GP10" s="9">
        <f>IF(SUM(GN10:GO10)&gt;0,SUM(GN10:GO10),"")</f>
        <v>79.27000000000001</v>
      </c>
      <c r="GQ10" s="9" t="str">
        <f>IF(GJ10&gt;0,GJ10,"")</f>
        <v/>
      </c>
      <c r="GR10" s="9" t="str">
        <f>IF(SUM(GH10:GK10)-GL10&gt;0,SUM(GH10:GK10)-GL10,"")</f>
        <v/>
      </c>
      <c r="GS10" s="9">
        <f>IF(SUM(GP10,GR10)&gt;0,SUM(GP10,GR10),"")</f>
        <v>79.27000000000001</v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7" t="str">
        <f>IF(HA10&gt;0,HA10,"")</f>
        <v/>
      </c>
      <c r="HJ10" s="7" t="str">
        <f>IF(SUM(GT10:GW10)-GX10&gt;0,SUM(GT10:GW10)-GX10,"")</f>
        <v/>
      </c>
      <c r="HK10" s="7" t="str">
        <f>IF(SUM(GY10:HB10)-HC10&gt;0,SUM(GY10:HB10)-HC10,"")</f>
        <v/>
      </c>
      <c r="HL10" s="7" t="str">
        <f>IF(SUM(HJ10:HK10)&gt;0,SUM(HJ10:HK10),"")</f>
        <v/>
      </c>
      <c r="HM10" s="7" t="str">
        <f>IF(HF10&gt;0,HF10,"")</f>
        <v/>
      </c>
      <c r="HN10" s="7" t="str">
        <f>IF(SUM(HD10:HG10)-HH10&gt;0,SUM(HD10:HG10)-HH10,"")</f>
        <v/>
      </c>
      <c r="HO10" s="7" t="str">
        <f>IF(SUM(HL10,HN10)&gt;0,SUM(HL10,HN10),"")</f>
        <v/>
      </c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9" t="str">
        <f>IF(HW10&gt;0,HW10,"")</f>
        <v/>
      </c>
      <c r="IF10" s="9" t="str">
        <f>IF(SUM(HP10:HS10)-HT10&gt;0,SUM(HP10:HS10)-HT10,"")</f>
        <v/>
      </c>
      <c r="IG10" s="9" t="str">
        <f>IF(SUM(HU10:HX10)-HY10&gt;0,SUM(HU10:HX10)-HY10,"")</f>
        <v/>
      </c>
      <c r="IH10" s="9" t="str">
        <f>IF(SUM(IF10:IG10)&gt;0,SUM(IF10:IG10),"")</f>
        <v/>
      </c>
      <c r="II10" s="9" t="str">
        <f>IF(IB10&gt;0,IB10,"")</f>
        <v/>
      </c>
      <c r="IJ10" s="9" t="str">
        <f>IF(SUM(HZ10:IC10)-ID10&gt;0,SUM(HZ10:IC10)-ID10,"")</f>
        <v/>
      </c>
      <c r="IK10" s="9" t="str">
        <f>IF(SUM(IH10,IJ10)&gt;0,SUM(IH10,IJ10),"")</f>
        <v/>
      </c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7" t="str">
        <f>IF(IS10&gt;0,IS10,"")</f>
        <v/>
      </c>
      <c r="JB10" s="7" t="str">
        <f>IF(SUM(IL10:IO10)-IP10&gt;0,SUM(IL10:IO10)-IP10,"")</f>
        <v/>
      </c>
      <c r="JC10" s="7" t="str">
        <f>IF(SUM(IQ10:IT10)-IU10&gt;0,SUM(IQ10:IT10)-IU10,"")</f>
        <v/>
      </c>
      <c r="JD10" s="7" t="str">
        <f>IF(SUM(JB10:JC10)&gt;0,SUM(JB10:JC10),"")</f>
        <v/>
      </c>
      <c r="JE10" s="7" t="str">
        <f>IF(IX10&gt;0,IX10,"")</f>
        <v/>
      </c>
      <c r="JF10" s="7" t="str">
        <f>IF(SUM(IV10:IY10)-IZ10&gt;0,SUM(IV10:IY10)-IZ10,"")</f>
        <v/>
      </c>
      <c r="JG10" s="7" t="str">
        <f>IF(SUM(JD10,JF10)&gt;0,SUM(JD10,JF10),"")</f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9" t="str">
        <f>IF(JO10&gt;0,JO10,"")</f>
        <v/>
      </c>
      <c r="JX10" s="9" t="str">
        <f>IF(SUM(JH10:JK10)-JL10&gt;0,SUM(JH10:JK10)-JL10,"")</f>
        <v/>
      </c>
      <c r="JY10" s="9" t="str">
        <f>IF(SUM(JM10:JP10)-JQ10&gt;0,SUM(JM10:JP10)-JQ10,"")</f>
        <v/>
      </c>
      <c r="JZ10" s="9" t="str">
        <f>IF(SUM(JX10:JY10)&gt;0,SUM(JX10:JY10),"")</f>
        <v/>
      </c>
      <c r="KA10" s="9" t="str">
        <f>IF(JT10&gt;0,JT10,"")</f>
        <v/>
      </c>
      <c r="KB10" s="9" t="str">
        <f>IF(SUM(JR10:JU10)-JV10&gt;0,SUM(JR10:JU10)-JV10,"")</f>
        <v/>
      </c>
      <c r="KC10" s="9" t="str">
        <f>IF(SUM(JZ10,KB10)&gt;0,SUM(JZ10,KB10),"")</f>
        <v/>
      </c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7" t="str">
        <f>IF(KK10&gt;0,KK10,"")</f>
        <v/>
      </c>
      <c r="KT10" s="7" t="str">
        <f>IF(SUM(KD10:KG10)-KH10&gt;0,SUM(KD10:KG10)-KH10,"")</f>
        <v/>
      </c>
      <c r="KU10" s="7" t="str">
        <f>IF(SUM(KI10:KL10)-KM10&gt;0,SUM(KI10:KL10)-KM10,"")</f>
        <v/>
      </c>
      <c r="KV10" s="7" t="str">
        <f>IF(SUM(KT10:KU10)&gt;0,SUM(KT10:KU10),"")</f>
        <v/>
      </c>
      <c r="KW10" s="7" t="str">
        <f>IF(KP10&gt;0,KP10,"")</f>
        <v/>
      </c>
      <c r="KX10" s="7" t="str">
        <f>IF(SUM(KN10:KQ10)-KR10&gt;0,SUM(KN10:KQ10)-KR10,"")</f>
        <v/>
      </c>
      <c r="KY10" s="7" t="str">
        <f>IF(SUM(KV10,KX10)&gt;0,SUM(KV10,KX10),"")</f>
        <v/>
      </c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9" t="str">
        <f>IF(LG10&gt;0,LG10,"")</f>
        <v/>
      </c>
      <c r="LP10" s="9" t="str">
        <f>IF(SUM(KZ10:LC10)-LD10&gt;0,SUM(KZ10:LC10)-LD10,"")</f>
        <v/>
      </c>
      <c r="LQ10" s="9" t="str">
        <f>IF(SUM(LE10:LH10)-LI10&gt;0,SUM(LE10:LH10)-LI10,"")</f>
        <v/>
      </c>
      <c r="LR10" s="9" t="str">
        <f>IF(SUM(LP10:LQ10)&gt;0,SUM(LP10:LQ10),"")</f>
        <v/>
      </c>
      <c r="LS10" s="9" t="str">
        <f>IF(LL10&gt;0,LL10,"")</f>
        <v/>
      </c>
      <c r="LT10" s="9" t="str">
        <f>IF(SUM(LJ10:LM10)-LN10&gt;0,SUM(LJ10:LM10)-LN10,"")</f>
        <v/>
      </c>
      <c r="LU10" s="9" t="str">
        <f>IF(SUM(LR10,LT10)&gt;0,SUM(LR10,LT10),"")</f>
        <v/>
      </c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7" t="str">
        <f>IF(MC10&gt;0,MC10,"")</f>
        <v/>
      </c>
      <c r="ML10" s="7" t="str">
        <f>IF(SUM(LV10:LY10)-LZ10&gt;0,SUM(LV10:LY10)-LZ10,"")</f>
        <v/>
      </c>
      <c r="MM10" s="7" t="str">
        <f>IF(SUM(MA10:MD10)-ME10&gt;0,SUM(MA10:MD10)-ME10,"")</f>
        <v/>
      </c>
      <c r="MN10" s="7" t="str">
        <f>IF(SUM(ML10:MM10)&gt;0,SUM(ML10:MM10),"")</f>
        <v/>
      </c>
      <c r="MO10" s="7" t="str">
        <f>IF(MH10&gt;0,MH10,"")</f>
        <v/>
      </c>
      <c r="MP10" s="7" t="str">
        <f>IF(SUM(MF10:MI10)-MJ10&gt;0,SUM(MF10:MI10)-MJ10,"")</f>
        <v/>
      </c>
      <c r="MQ10" s="7" t="str">
        <f>IF(SUM(MN10,MP10)&gt;0,SUM(MN10,MP10),"")</f>
        <v/>
      </c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  <c r="ND10" s="19"/>
      <c r="NE10" s="19"/>
      <c r="NF10" s="19"/>
      <c r="NG10" s="9" t="str">
        <f>IF(MY10&gt;0,MY10,"")</f>
        <v/>
      </c>
      <c r="NH10" s="9" t="str">
        <f>IF(SUM(MR10:MU10)-MV10&gt;0,SUM(MR10:MU10)-MV10,"")</f>
        <v/>
      </c>
      <c r="NI10" s="9" t="str">
        <f>IF(SUM(MW10:MZ10)-NA10&gt;0,SUM(MW10:MZ10)-NA10,"")</f>
        <v/>
      </c>
      <c r="NJ10" s="9" t="str">
        <f>IF(SUM(NH10:NI10)&gt;0,SUM(NH10:NI10),"")</f>
        <v/>
      </c>
      <c r="NK10" s="9" t="str">
        <f>IF(ND10&gt;0,ND10,"")</f>
        <v/>
      </c>
      <c r="NL10" s="9" t="str">
        <f>IF(SUM(NB10:NE10)-NF10&gt;0,SUM(NB10:NE10)-NF10,"")</f>
        <v/>
      </c>
      <c r="NM10" s="9" t="str">
        <f>IF(SUM(NJ10,NL10)&gt;0,SUM(NJ10,NL10),"")</f>
        <v/>
      </c>
      <c r="NN10" s="27">
        <f>IF($CV10="P",CB10,(CB10+AX10)/2)</f>
        <v>15.3</v>
      </c>
      <c r="NO10" s="27">
        <f>IF($CV10="P",CC10,(CC10+AY10)/2)</f>
        <v>9.4</v>
      </c>
      <c r="NP10" s="27">
        <f>IF($CV10="P",CD10,(CD10+AZ10)/2)</f>
        <v>0</v>
      </c>
      <c r="NQ10" s="27">
        <f>IF($CV10="P",CE10,(CE10+BA10)/2)</f>
        <v>13.26</v>
      </c>
      <c r="NR10" s="27">
        <f>IF($CV10="P",CF10,(CF10+BB10)/2)</f>
        <v>0</v>
      </c>
      <c r="NS10" s="27">
        <f>IF($CV10="P",CG10,(CG10+BC10)/2)</f>
        <v>8.1999999999999993</v>
      </c>
      <c r="NT10" s="27">
        <f>IF($CV10="P",CH10,(CH10+BD10)/2)</f>
        <v>6.3</v>
      </c>
      <c r="NU10" s="27">
        <f>IF($CV10="P",CI10,(CI10+BE10)/2)</f>
        <v>7.0500000000000007</v>
      </c>
      <c r="NV10" s="27">
        <f>IF($CV10="P",CJ10,(CJ10+BF10)/2)</f>
        <v>9.0850000000000009</v>
      </c>
      <c r="NW10" s="27">
        <f>IF($CV10="P",CK10,(CK10+BG10)/2)</f>
        <v>0</v>
      </c>
      <c r="NX10" s="27">
        <f>IF($CV10="P",CL10,(CL10+BH10)/2)</f>
        <v>0</v>
      </c>
      <c r="NY10" s="27">
        <f>IF($CV10="P",CM10,(CM10+BI10)/2)</f>
        <v>0</v>
      </c>
      <c r="NZ10" s="27">
        <f>IF($CV10="P",CN10,(CN10+BJ10)/2)</f>
        <v>0</v>
      </c>
      <c r="OA10" s="27">
        <f>IF($CV10="P",CO10,(CO10+BK10)/2)</f>
        <v>0</v>
      </c>
      <c r="OB10" s="27">
        <f>IF($CV10="P",CP10,(CP10+BL10)/2)</f>
        <v>0</v>
      </c>
      <c r="OC10" s="27">
        <f>IF($CV10="P",CQ10,(CQ10+BM10)/2)</f>
        <v>10.5</v>
      </c>
      <c r="OD10" s="27">
        <f>IF($CV10="P",CR10,(CR10+BN10)/2)</f>
        <v>6.6499999999999995</v>
      </c>
      <c r="OE10" s="27">
        <f>IF($CV10="P",CS10,(CS10+BO10)/2)</f>
        <v>7.6000000000000005</v>
      </c>
      <c r="OF10" s="27">
        <f>IF($CV10="P",CT10,(CT10+BP10)/2)</f>
        <v>9.879999999999999</v>
      </c>
      <c r="OG10" s="27">
        <f>IF($CV10="P",CU10,(CU10+BQ10)/2)</f>
        <v>0</v>
      </c>
      <c r="OH10" s="32" t="s">
        <v>44</v>
      </c>
      <c r="OI10" s="7">
        <f>IF(SUM(NN10:NQ10)-NR10&gt;0,SUM(NN10:NQ10)-NR10,"")</f>
        <v>37.96</v>
      </c>
      <c r="OJ10" s="7">
        <f>IF(NU10&gt;0,NU10,"")</f>
        <v>7.0500000000000007</v>
      </c>
      <c r="OK10" s="7">
        <f>IF(SUM(NS10:NV10)-NW10&gt;0,SUM(NS10:NV10)-NW10,"")</f>
        <v>30.635000000000002</v>
      </c>
      <c r="OL10" s="7" t="str">
        <f>IF(NZ10&gt;0,NZ10,"")</f>
        <v/>
      </c>
      <c r="OM10" s="7" t="str">
        <f>IF(SUM(NX10:OA10)-OB10&gt;0,SUM(NX10:OA10)-OB10,"")</f>
        <v/>
      </c>
      <c r="ON10" s="7">
        <f>IF(OR(OI10&lt;&gt;"",OK10&lt;&gt;"",OM10&lt;&gt;""),OI10+MAX(OK10,OM10),"")</f>
        <v>68.594999999999999</v>
      </c>
      <c r="OO10" s="7">
        <f>IF(OE10&gt;0,OE10,"")</f>
        <v>7.6000000000000005</v>
      </c>
      <c r="OP10" s="7">
        <f t="shared" ref="OP10" si="12">IF(SUM(OC10:OF10)-OG10&gt;0,SUM(OC10:OF10)-OG10,"")</f>
        <v>34.629999999999995</v>
      </c>
      <c r="OQ10" s="7">
        <f t="shared" ref="OQ10" si="13">IF(SUM(ON10,OP10)&gt;0,SUM(ON10,OP10),"")</f>
        <v>103.22499999999999</v>
      </c>
    </row>
    <row r="11" spans="1:407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106</v>
      </c>
      <c r="C11" s="4" t="s">
        <v>66</v>
      </c>
      <c r="D11" s="4">
        <v>2008</v>
      </c>
      <c r="E11" s="10">
        <f>SUM(I11:Q11)</f>
        <v>179.3</v>
      </c>
      <c r="F11" s="3" t="str">
        <f>IF(OR(AND(AP11&gt;=AW$14,AT11&gt;=AW$18,AO11&lt;&gt;"",AN11=""),AND(BT11&gt;=CA$14,BX11&gt;=CA$18,BS11&lt;&gt;"",BR11=""),AND(CX11&gt;=DE$14,DB11&gt;=DE$18,CW11&lt;&gt;"",CV11=""),AND(DY11&gt;=EE$14,EB11&gt;=EE$18,DY11&lt;&gt;""),AND(EU11&gt;=FA$14,EX11&gt;=FA$18,EU11&lt;&gt;""),AND(FQ11&gt;=FW$14,FT11&gt;=FW$18,FQ11&lt;&gt;""),AND(GM11&gt;=GS$14,GP11&gt;=GS$18,GM11&lt;&gt;""),AND(HI11&gt;=HO$14,HL11&gt;=HO$18,HI11&lt;&gt;""),AND(IE11&gt;=IK$14,IH11&gt;=IK$18,IE11&lt;&gt;""),AND(JA11&gt;=JG$14,JD11&gt;=JG$18,JA11&lt;&gt;""),AND(JW11&gt;=KC$14,JZ11&gt;=KC$18,JW11&lt;&gt;""),AND(KS11&gt;=KY$14,KV11&gt;=KY$18,KS11&lt;&gt;""),AND(LO11&gt;=LU$14,LR11&gt;=LU$18,LO11&lt;&gt;""),AND(MK11&gt;=MQ$14,MN11&gt;=MQ$18,MK11&lt;&gt;""),AND(NG11&gt;=NM$14,NJ11&gt;=NM$18,NG11&lt;&gt;"")),"P","")</f>
        <v/>
      </c>
      <c r="G11" s="3" t="str">
        <f>IF(OR(AND(AT11&gt;=AW$18,AO11&lt;&gt;"",AN11=""),AND(BX11&gt;=CA$18,BS11&lt;&gt;"",BR11=""),AND(DB11&gt;=DE$18,CW11&lt;&gt;"",CV11=""),AND(EB11&gt;=EE$18,DY11&lt;&gt;""),AND(EX11&gt;=FA$18,EU11&lt;&gt;""),AND(FT11&gt;=FW$18,FQ11&lt;&gt;""),AND(GP11&gt;=GS$18,GM11&lt;&gt;""),AND(HL11&gt;=HO$18,HI11&lt;&gt;""),AND(IH11&gt;=IK$18,IE11&lt;&gt;""),AND(JD11&gt;=JG$18,JA11&lt;&gt;""),AND(JZ11&gt;=KC$18,JW11&lt;&gt;""),AND(KV11&gt;=KY$18,KS11&lt;&gt;""),AND(LR11&gt;=LU$18,LO11&lt;&gt;""),AND(MN11&gt;=MQ$18,MK11&lt;&gt;""),AND(NJ11&gt;=NM$18,NG11&lt;&gt;"")),"P","")</f>
        <v/>
      </c>
      <c r="H11" s="47" t="str">
        <f>IF(OR(AND(AP11&gt;=AW$17,AQ11&gt;=AW$21,AP11&lt;&gt;"",AN11=""),AND(AU11&gt;=AW$17,AV11&gt;=AW$21,AU11&lt;&gt;"",AN11=""),AND(BT11&gt;=CA$17,BU11&gt;=CA$21,BT11&lt;&gt;"",BR11=""),AND(BY11&gt;=CA$17,BZ11&gt;=CA$21,BY11&lt;&gt;"",BR11=""),AND(CX11&gt;=DE$17,CY11&gt;=DE$21,CX11&lt;&gt;"",CV11=""),AND(DC11&gt;=DE$17,DD11&gt;=DE$21,DC11&lt;&gt;"",CV11=""),AND(DY11&gt;=EE$17,EA11&gt;=EE$21,DY11&lt;&gt;""),AND(EC11&gt;=EE$17,ED11&gt;=EE$21,EC11&lt;&gt;""),AND(EU11&gt;=FA$17,EW11&gt;=FA$21,EU11&lt;&gt;""),AND(EY11&gt;=FA$17,EZ11&gt;=FA$21,EY11&lt;&gt;""),AND(FQ11&gt;=FW$17,FS11&gt;=FW$21,FQ11&lt;&gt;""),AND(FU11&gt;=FW$17,FV11&gt;=FW$21,FU11&lt;&gt;""),AND(GM11&gt;=GS$17,GO11&gt;=GS$21,GM11&lt;&gt;""),AND(GQ11&gt;=GS$17,GR11&gt;=GS$21,GQ11&lt;&gt;""),AND(HI11&gt;=HO$17,HK11&gt;=HO$21,HI11&lt;&gt;""),AND(HM11&gt;=HO$17,HN11&gt;=HO$21,HM11&lt;&gt;""),AND(IE11&gt;=IK$17,IG11&gt;=IK$21,IE11&lt;&gt;""),AND(II11&gt;=IK$17,IJ11&gt;=IK$21,II11&lt;&gt;""),AND(JA11&gt;=JG$17,JC11&gt;=JG$21,JA11&lt;&gt;""),AND(JE11&gt;=JG$17,JF11&gt;=JG$21,JE11&lt;&gt;""),AND(JW11&gt;=KC$17,JY11&gt;=KC$21,JW11&lt;&gt;""),AND(KA11&gt;=KC$17,KB11&gt;=KC$21,KA11&lt;&gt;""),AND(KS11&gt;=KY$17,KU11&gt;=KY$21,KS11&lt;&gt;""),AND(KW11&gt;=KY$17,KX11&gt;=KY$21,KW11&lt;&gt;""),AND(LO11&gt;=LU$17,LQ11&gt;=LU$21,LO11&lt;&gt;""),AND(LS11&gt;=LU$17,LT11&gt;=LU$21,LS11&lt;&gt;""),AND(MK11&gt;=MQ$17,MM11&gt;=MQ$21,MK11&lt;&gt;""),AND(MO11&gt;=MQ$17,MP11&gt;=MQ$21,MO11&lt;&gt;""),AND(NG11&gt;=NM$17,NI11&gt;=NM$21,NG11&lt;&gt;""),AND(NK11&gt;=NM$17,NL11&gt;=NM$21,NK11&lt;&gt;"")),"Merit",IF(OR(AND(AP11&gt;=AW$16,AT11&gt;=AW$20,AO11&lt;&gt;"",AN11=""),AND(BT11&gt;=CA$16,BX11&gt;=CA$20,BS11&lt;&gt;"",BR11=""),AND(CX11&gt;=DE$16,DB11&gt;=DE$20,CW11&lt;&gt;"",CV11=""),AND(DY11&gt;=EE$16,EB11&gt;=EE$20,DY11&lt;&gt;""),AND(EU11&gt;=FA$16,EX11&gt;=FA$20,EU11&lt;&gt;""),AND(FQ11&gt;=FW$16,FT11&gt;=FW$20,FQ11&lt;&gt;""),AND(GM11&gt;=GS$16,GP11&gt;=GS$20,GM11&lt;&gt;""),AND(HI11&gt;=HO$16,HL11&gt;=HO$20,HI11&lt;&gt;""),AND(IE11&gt;=IK$16,IH11&gt;=IK$20,IE11&lt;&gt;""),AND(JA11&gt;=JG$16,JD11&gt;=JG$20,JA11&lt;&gt;""),AND(JW11&gt;=KC$16,JZ11&gt;=KC$20,JW11&lt;&gt;""),AND(KS11&gt;=KY$16,KV11&gt;=KY$20,KS11&lt;&gt;""),AND(LO11&gt;=LU$16,LR11&gt;=LU$20,LO11&lt;&gt;""),AND(MK11&gt;=MQ$16,MN11&gt;=MQ$20,MK11&lt;&gt;""),AND(NG11&gt;=NM$16,NJ11&gt;=NM$20,NG11&lt;&gt;"")),"Excellence",IF(OR(AND(AP11&gt;=AW$14,AT11&gt;=AW$18,AO11&lt;&gt;"",AN11=""),AND(BT11&gt;=CA$14,BX11&gt;=CA$18,BS11&lt;&gt;"",BR11=""),AND(CX11&gt;=DE$14,DB11&gt;=DE$18,CW11&lt;&gt;"",CV11=""),AND(DY11&gt;=EE$14,EB11&gt;=EE$18,DY11&lt;&gt;""),AND(EU11&gt;=FA$14,EX11&gt;=FA$18,EU11&lt;&gt;""),AND(FQ11&gt;=FW$14,FT11&gt;=FW$18,FQ11&lt;&gt;""),AND(GM11&gt;=GS$14,GP11&gt;=GS$18,GM11&lt;&gt;""),AND(HI11&gt;=HO$14,HL11&gt;=HO$18,HI11&lt;&gt;""),AND(IE11&gt;=IK$14,IH11&gt;=IK$18,IE11&lt;&gt;""),AND(JA11&gt;=JG$14,JD11&gt;=JG$18,JA11&lt;&gt;""),AND(JW11&gt;=KC$14,JZ11&gt;=KC$18,JW11&lt;&gt;""),AND(KS11&gt;=KY$14,KV11&gt;=KY$18,KS11&lt;&gt;""),AND(LO11&gt;=LU$14,LR11&gt;=LU$18,LO11&lt;&gt;""),AND(MK11&gt;=MQ$14,MN11&gt;=MQ$18,MK11&lt;&gt;""),AND(NG11&gt;=NM$14,NJ11&gt;=NM$18,NG11&lt;&gt;"")),"National Team",IF(G11="P","No DD",""))))</f>
        <v/>
      </c>
      <c r="I11" s="9">
        <f>IF(MAX(AT11,BX11,DB11)&gt;0,MAX(AT11,BX11,DB11),0)</f>
        <v>83.289999999999992</v>
      </c>
      <c r="J11" s="9" t="str">
        <f>IF(I11=0,"",IF(I11=DB11,$CB$1,IF(I11=BX11,$AX$1,IF(I11=AT11,$T$1,""))))</f>
        <v>2023 Nationals</v>
      </c>
      <c r="K11" s="9">
        <f>IF($I11=$AT11,MAX(BS11,CW11),IF($I11=$BX11,MAX(AO11,CW11),IF($I11=$DB11,MAX(AO11,BS11),MAX(AO11,BS11,CW11))))</f>
        <v>7.9</v>
      </c>
      <c r="L11" s="9" t="str">
        <f>IF(K11=0,"",IF(AND(K11=CW11,$J11&lt;&gt;$CB$1),$CB$1,IF(AND(K11=BS11,$J11&lt;&gt;$AX$1),$AX$1,IF(AND(K11=AO11,$J11&lt;&gt;$T$1),$T$1,""))))</f>
        <v>2023 3rd Domestic Trial</v>
      </c>
      <c r="M11" s="9">
        <f>IF(I11-N(AO11)=AQ11,MAX(AS11,BU11,BW11,CY11,DA11),IF(I11-N(AO11)=AS11,MAX(AQ11,BU11,BW11,CY11,DA11),IF(I11-N(BS11)=BU11,MAX(AQ11,AS11,BW11,CY11,DA11),IF(I11-N(BS11)=BW11,MAX(AQ11,AS11,BU11,CY11,DA11),IF(I11-N(CW11)=CY11,MAX(AQ11,AS11,BU11,BW11,DA11),IF(I11-N(CW11)=DA11,MAX(AQ11,AS11,BU11,BW11,CY11),MAX(AQ11,AS11,BU11,BW11,CY11,DA11)))))))</f>
        <v>41.53</v>
      </c>
      <c r="N11" s="9" t="str">
        <f>IF(M11=0,"",IF(AND(OR(M11=DA11,M11=CY11),$J11&lt;&gt;$CB$1),$CB$1,IF(AND(OR(M11=BW11,M11=BU11),$J11&lt;&gt;$AX$1),$AX$1,IF(AND(OR(M11=AS11,M11=AQ11),$J11&lt;&gt;$T$1),$T$1,""))))</f>
        <v>2023 3rd Domestic Trial</v>
      </c>
      <c r="O11" s="9">
        <f>MAX(AV11,BZ11,DD11)</f>
        <v>46.58</v>
      </c>
      <c r="P11" s="9" t="str">
        <f>IF(O11=0,"",IF(O11=DD11,$CB$1,IF(O11=BZ11,$AX$1,IF(O11=AV11,$T$1,""))))</f>
        <v>2023 Nationals</v>
      </c>
      <c r="Q11" s="9" t="str">
        <f>IF(MAX(DF11,DG11,DH11,DI11)&gt;0,MAX(DF11,DG11,DH11,DI11),"")</f>
        <v/>
      </c>
      <c r="R11" s="14" t="str">
        <f>IF(Q11="","",IF(Q11=DF11,"(Vol 1)",IF(Q11=DG11,"(Vol 2)",IF(Q11=DH11,"(Prelim)",IF(Q11=DI11,"(Final)")))))</f>
        <v/>
      </c>
      <c r="S11" s="9" t="str">
        <f>IF(Q11="","",IF(Q11=DF11,IF(Q11+IF(K11="",0,K11)=NH11,$MR$1,IF(Q11+IF(K11="",0,K11)=ML11,$LV$1,IF(Q11+IF(K11="",0,K11)=LP11,$KZ$1,IF(Q11+IF(K11="",0,K11)=KT11,$KD$1,IF(Q11+IF(K11="",0,K11)=JX11,$JH$1,IF(Q11+IF(K11="",0,K11)=JB11,$IL$1,IF(Q11+IF(K11="",0,K11)=IF11,$HP$1,IF(Q11+IF(K11="",0,K11)=HJ11,$GT$1,IF(Q11+IF(K11="",0,K11)=GN11,$FX$1,IF(Q11+IF(K11="",0,K11)=FR11,$FB$1,IF(Q11+IF(K11="",0,K11)=EV11,$EF$1,IF(Q11+IF(K11="",0,K11)=DZ11,$DJ$1)))))))))))),IF(Q11=DG11,IF(Q11+IF(M11="",0,M11)=NI11,$MR$1,IF(Q11+IF(M11="",0,M11)=MM11,$LV$1,IF(Q11+IF(M11="",0,M11)=LQ11,$KZ$1,IF(Q11+IF(M11="",0,M11)=KU11,$KD$1,IF(Q11+IF(M11="",0,M11)=JY11,$JH$1,IF(Q11+IF(M11="",0,M11)=JC11,$IL$1,IF(Q11+IF(M11="",0,M11)=IG11,$HP$1,IF(Q11+IF(M11="",0,M11)=HK11,$GT$1,IF(Q11+IF(M11="",0,M11)=GO11,$FX$1,IF(Q11+IF(M11="",0,M11)=FS11,$FB$1,IF(Q11+IF(M11="",0,M11)=EW11,$EF$1,IF(Q11+IF(M11="",0,M11)=EA11,$DJ$1)))))))))))),IF(Q11=DH11,IF(Q11+IF(I11="",0,I11)=NJ11,$MR$1,IF(Q11+IF(I11="",0,I11)=MN11,$LV$1,IF(Q11+IF(I11="",0,I11)=LR11,$KZ$1,IF(Q11+IF(I11="",0,I11)=KV11,$KD$1,IF(Q11+IF(I11="",0,I11)=JZ11,$JH$1,IF(Q11+IF(I11="",0,I11)=JD11,$IL$1,IF(Q11+IF(I11="",0,I11)=IH11,$HP$1,IF(Q11+IF(I11="",0,I11)=HL11,$GT$1,IF(Q11+IF(I11="",0,I11)=GP11,$FX$1,IF(Q11+IF(I11="",0,I11)=FT11,$FB$1,IF(Q11+IF(I11="",0,I11)=EX11,$EF$1,IF(Q11+IF(I11="",0,I11)=EB11,$DJ$1)))))))))))),IF(Q11=DI11,IF(Q11+IF(O11="",0,O11)=NL11,$MR$1,IF(Q11+IF(O11="",0,O11)=MP11,$LV$1,IF(Q11+IF(O11="",0,O11)=LT11,$KZ$1,IF(Q11+IF(O11="",0,O11)=KX11,$KD$1,IF(Q11+IF(O11="",0,O11)=KB11,$JH$1,IF(Q11+IF(O11="",0,O11)=JF11,$IL$1,IF(Q11+IF(O11="",0,O11)=IJ11,$HP$1,IF(Q11+IF(O11="",0,O11)=HN11,$GT$1,IF(Q11+IF(O11="",0,O11)=GR11,$FX$1,IF(Q11+IF(O11="",0,O11)=FV11,$FB$1,IF(Q11+IF(O11="",0,O11)=EZ11,$EF$1,IF(Q11+IF(O11="",0,O11)=ED11,$DJ$1)))))))))))))))))</f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32"/>
      <c r="AO11" s="7" t="str">
        <f>IF(SUM(T11:W11)-X11&gt;0,SUM(T11:W11)-X11,"")</f>
        <v/>
      </c>
      <c r="AP11" s="7" t="str">
        <f>IF(AA11&gt;0,AA11,"")</f>
        <v/>
      </c>
      <c r="AQ11" s="7" t="str">
        <f>IF(SUM(Y11:AB11)-AC11&gt;0,SUM(Y11:AB11)-AC11,"")</f>
        <v/>
      </c>
      <c r="AR11" s="7" t="str">
        <f>IF(AF11&gt;0,AF11,"")</f>
        <v/>
      </c>
      <c r="AS11" s="7" t="str">
        <f>IF(SUM(AD11:AG11)-AH11&gt;0,SUM(AD11:AG11)-AH11,"")</f>
        <v/>
      </c>
      <c r="AT11" s="7" t="str">
        <f>IF(AO11="",IF(MAX(AQ11,AS11)&gt;0,MAX(AQ11,AS11),""),MAX(AQ11,AS11)+AO11)</f>
        <v/>
      </c>
      <c r="AU11" s="7" t="str">
        <f>IF(AK11&gt;0,AK11,"")</f>
        <v/>
      </c>
      <c r="AV11" s="7" t="str">
        <f>IF(SUM(AI11:AL11)-AM11&gt;0,SUM(AI11:AL11)-AM11,"")</f>
        <v/>
      </c>
      <c r="AW11" s="7" t="str">
        <f>IF(SUM(AT11,AV11)&gt;0,SUM(AT11,AV11),"")</f>
        <v/>
      </c>
      <c r="AX11" s="31">
        <v>15.5</v>
      </c>
      <c r="AY11" s="31">
        <v>9.4</v>
      </c>
      <c r="AZ11" s="31">
        <v>0</v>
      </c>
      <c r="BA11" s="31">
        <v>14.14</v>
      </c>
      <c r="BB11" s="31">
        <v>0</v>
      </c>
      <c r="BC11" s="31">
        <v>12.6</v>
      </c>
      <c r="BD11" s="31">
        <v>8.9</v>
      </c>
      <c r="BE11" s="31">
        <v>9.6</v>
      </c>
      <c r="BF11" s="31">
        <v>13.15</v>
      </c>
      <c r="BG11" s="31">
        <v>0</v>
      </c>
      <c r="BH11" s="31"/>
      <c r="BI11" s="31"/>
      <c r="BJ11" s="31"/>
      <c r="BK11" s="31"/>
      <c r="BL11" s="31"/>
      <c r="BM11" s="31">
        <v>14.3</v>
      </c>
      <c r="BN11" s="31">
        <v>9.1</v>
      </c>
      <c r="BO11" s="31">
        <v>9.6</v>
      </c>
      <c r="BP11" s="31">
        <v>13.58</v>
      </c>
      <c r="BQ11" s="31">
        <v>0</v>
      </c>
      <c r="BR11" s="33"/>
      <c r="BS11" s="9">
        <f>IF(SUM(AX11:BA11)-BB11&gt;0,SUM(AX11:BA11)-BB11,"")</f>
        <v>39.04</v>
      </c>
      <c r="BT11" s="9">
        <f>IF(BE11&gt;0,BE11,"")</f>
        <v>9.6</v>
      </c>
      <c r="BU11" s="9">
        <f>IF(SUM(BC11:BF11)-BG11&gt;0,SUM(BC11:BF11)-BG11,"")</f>
        <v>44.25</v>
      </c>
      <c r="BV11" s="9" t="str">
        <f>IF(BJ11&gt;0,BJ11,"")</f>
        <v/>
      </c>
      <c r="BW11" s="9" t="str">
        <f>IF(SUM(BH11:BK11)-BL11&gt;0,SUM(BH11:BK11)-BL11,"")</f>
        <v/>
      </c>
      <c r="BX11" s="9">
        <f>IF(BS11="",IF(MAX(BU11,BW11)&gt;0,MAX(BU11,BW11),""),MAX(BU11,BW11)+BS11)</f>
        <v>83.289999999999992</v>
      </c>
      <c r="BY11" s="9">
        <f>IF(BO11&gt;0,BO11,"")</f>
        <v>9.6</v>
      </c>
      <c r="BZ11" s="9">
        <f>IF(SUM(BM11:BP11)-BQ11&gt;0,SUM(BM11:BP11)-BQ11,"")</f>
        <v>46.58</v>
      </c>
      <c r="CA11" s="9">
        <f>IF(SUM(BX11,BZ11)&gt;0,SUM(BX11,BZ11),"")</f>
        <v>129.87</v>
      </c>
      <c r="CB11" s="27">
        <v>3.2</v>
      </c>
      <c r="CC11" s="27">
        <v>1.8</v>
      </c>
      <c r="CD11" s="27">
        <v>0</v>
      </c>
      <c r="CE11" s="27">
        <v>2.9</v>
      </c>
      <c r="CF11" s="27">
        <v>0</v>
      </c>
      <c r="CG11" s="27">
        <v>12.1</v>
      </c>
      <c r="CH11" s="27">
        <v>7.9</v>
      </c>
      <c r="CI11" s="27">
        <v>8.8999999999999986</v>
      </c>
      <c r="CJ11" s="27">
        <v>12.63</v>
      </c>
      <c r="CK11" s="27">
        <v>0</v>
      </c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32"/>
      <c r="CW11" s="7">
        <f>IF(SUM(CB11:CE11)-CF11&gt;0,SUM(CB11:CE11)-CF11,"")</f>
        <v>7.9</v>
      </c>
      <c r="CX11" s="7">
        <f>IF(CI11&gt;0,CI11,"")</f>
        <v>8.8999999999999986</v>
      </c>
      <c r="CY11" s="7">
        <f>IF(SUM(CG11:CJ11)-CK11&gt;0,SUM(CG11:CJ11)-CK11,"")</f>
        <v>41.53</v>
      </c>
      <c r="CZ11" s="7" t="str">
        <f>IF(CN11&gt;0,CN11,"")</f>
        <v/>
      </c>
      <c r="DA11" s="7" t="str">
        <f>IF(SUM(CL11:CO11)-CP11&gt;0,SUM(CL11:CO11)-CP11,"")</f>
        <v/>
      </c>
      <c r="DB11" s="7">
        <f>IF(CW11="",IF(MAX(CY11,DA11)&gt;0,MAX(CY11,DA11),""),MAX(CY11,DA11)+CW11)</f>
        <v>49.43</v>
      </c>
      <c r="DC11" s="7" t="str">
        <f>IF(CS11&gt;0,CS11,"")</f>
        <v/>
      </c>
      <c r="DD11" s="7" t="str">
        <f>IF(SUM(CQ11:CT11)-CU11&gt;0,SUM(CQ11:CT11)-CU11,"")</f>
        <v/>
      </c>
      <c r="DE11" s="7">
        <f>IF(SUM(DB11,DD11)&gt;0,SUM(DB11,DD11),"")</f>
        <v>49.43</v>
      </c>
      <c r="DF11" s="13" t="str">
        <f>IF(MAX(DZ11,EV11,FR11,GN11,HJ11,IF11,JB11,JX11,KT11,LP11,ML11,NH11)-IF(K11="",0,K11)&gt;0.001,MAX(DZ11,EV11,FR11,GN11,HJ11,IF11,JB11,JX11,KT11,LP11,ML11,NH11)-IF(K11="",0,K11),"")</f>
        <v/>
      </c>
      <c r="DG11" s="13" t="str">
        <f>IF(MAX(EA11,EW11,FS11,GO11,HK11,IG11,JC11,JY11,KU11,LQ11,MM11,NI11)-IF(M11="",0,M11)&gt;0.001,MAX(EA11,EW11,FS11,GO11,HK11,IG11,JC11,JY11,KU11,LQ11,MM11,NI11)-IF(M11="",0,M11),"")</f>
        <v/>
      </c>
      <c r="DH11" s="13" t="str">
        <f>IF(MAX(EB11,EX11,FT11,GP11,HL11,IH11,JD11,JZ11,KV11,LR11,MN11,NJ11)-IF(I11="",0,I11)&gt;0.001,MAX(EB11,EX11,FT11,GP11,HL11,IH11,JD11,JZ11,KV11,LR11,MN11,NJ11)-IF(I11="",0,I11),"")</f>
        <v/>
      </c>
      <c r="DI11" s="13" t="str">
        <f>IF(MAX(ED11,EZ11,FV11,GR11,HN11,IJ11,JF11,KB11,KX11,LT11,MP11,NL11)-IF(O11="",0,O11)&gt;0.001,MAX(ED11,EZ11,FV11,GR11,HN11,IJ11,JF11,KB11,KX11,LT11,MP11,NL11)-IF(O11="",0,O11),"")</f>
        <v/>
      </c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7" t="str">
        <f>IF(DQ11&gt;0,DQ11,"")</f>
        <v/>
      </c>
      <c r="DZ11" s="7" t="str">
        <f>IF(SUM(DJ11:DM11)-DN11&gt;0,SUM(DJ11:DM11)-DN11,"")</f>
        <v/>
      </c>
      <c r="EA11" s="7" t="str">
        <f>IF(SUM(DO11:DR11)-DS11&gt;0,SUM(DO11:DR11)-DS11,"")</f>
        <v/>
      </c>
      <c r="EB11" s="7" t="str">
        <f>IF(SUM(DZ11:EA11)&gt;0,SUM(DZ11:EA11),"")</f>
        <v/>
      </c>
      <c r="EC11" s="7" t="str">
        <f>IF(DV11&gt;0,DV11,"")</f>
        <v/>
      </c>
      <c r="ED11" s="7" t="str">
        <f>IF(SUM(DT11:DW11)-DX11&gt;0,SUM(DT11:DW11)-DX11,"")</f>
        <v/>
      </c>
      <c r="EE11" s="7" t="str">
        <f>IF(SUM(EB11,ED11)&gt;0,SUM(EB11,ED11),"")</f>
        <v/>
      </c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9" t="str">
        <f>IF(EM11&gt;0,EM11,"")</f>
        <v/>
      </c>
      <c r="EV11" s="9" t="str">
        <f>IF(SUM(EF11:EI11)-EJ11&gt;0,SUM(EF11:EI11)-EJ11,"")</f>
        <v/>
      </c>
      <c r="EW11" s="9" t="str">
        <f>IF(SUM(EK11:EN11)-EO11&gt;0,SUM(EK11:EN11)-EO11,"")</f>
        <v/>
      </c>
      <c r="EX11" s="9" t="str">
        <f>IF(SUM(EV11:EW11)&gt;0,SUM(EV11:EW11),"")</f>
        <v/>
      </c>
      <c r="EY11" s="9" t="str">
        <f>IF(ER11&gt;0,ER11,"")</f>
        <v/>
      </c>
      <c r="EZ11" s="9" t="str">
        <f>IF(SUM(EP11:ES11)-ET11&gt;0,SUM(EP11:ES11)-ET11,"")</f>
        <v/>
      </c>
      <c r="FA11" s="9" t="str">
        <f>IF(SUM(EX11,EZ11)&gt;0,SUM(EX11,EZ11),"")</f>
        <v/>
      </c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7" t="str">
        <f>IF(FI11&gt;0,FI11,"")</f>
        <v/>
      </c>
      <c r="FR11" s="7" t="str">
        <f>IF(SUM(FB11:FE11)-FF11&gt;0,SUM(FB11:FE11)-FF11,"")</f>
        <v/>
      </c>
      <c r="FS11" s="7" t="str">
        <f>IF(SUM(FG11:FJ11)-FK11&gt;0,SUM(FG11:FJ11)-FK11,"")</f>
        <v/>
      </c>
      <c r="FT11" s="7" t="str">
        <f>IF(SUM(FR11:FS11)&gt;0,SUM(FR11:FS11),"")</f>
        <v/>
      </c>
      <c r="FU11" s="7" t="str">
        <f>IF(FN11&gt;0,FN11,"")</f>
        <v/>
      </c>
      <c r="FV11" s="7" t="str">
        <f>IF(SUM(FL11:FO11)-FP11&gt;0,SUM(FL11:FO11)-FP11,"")</f>
        <v/>
      </c>
      <c r="FW11" s="7" t="str">
        <f>IF(SUM(FT11,FV11)&gt;0,SUM(FT11,FV11),"")</f>
        <v/>
      </c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9" t="str">
        <f>IF(GE11&gt;0,GE11,"")</f>
        <v/>
      </c>
      <c r="GN11" s="9" t="str">
        <f>IF(SUM(FX11:GA11)-GB11&gt;0,SUM(FX11:GA11)-GB11,"")</f>
        <v/>
      </c>
      <c r="GO11" s="9" t="str">
        <f>IF(SUM(GC11:GF11)-GG11&gt;0,SUM(GC11:GF11)-GG11,"")</f>
        <v/>
      </c>
      <c r="GP11" s="9" t="str">
        <f>IF(SUM(GN11:GO11)&gt;0,SUM(GN11:GO11),"")</f>
        <v/>
      </c>
      <c r="GQ11" s="9" t="str">
        <f>IF(GJ11&gt;0,GJ11,"")</f>
        <v/>
      </c>
      <c r="GR11" s="9" t="str">
        <f>IF(SUM(GH11:GK11)-GL11&gt;0,SUM(GH11:GK11)-GL11,"")</f>
        <v/>
      </c>
      <c r="GS11" s="9" t="str">
        <f>IF(SUM(GP11,GR11)&gt;0,SUM(GP11,GR11),"")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7" t="str">
        <f>IF(HA11&gt;0,HA11,"")</f>
        <v/>
      </c>
      <c r="HJ11" s="7" t="str">
        <f>IF(SUM(GT11:GW11)-GX11&gt;0,SUM(GT11:GW11)-GX11,"")</f>
        <v/>
      </c>
      <c r="HK11" s="7" t="str">
        <f>IF(SUM(GY11:HB11)-HC11&gt;0,SUM(GY11:HB11)-HC11,"")</f>
        <v/>
      </c>
      <c r="HL11" s="7" t="str">
        <f>IF(SUM(HJ11:HK11)&gt;0,SUM(HJ11:HK11),"")</f>
        <v/>
      </c>
      <c r="HM11" s="7" t="str">
        <f>IF(HF11&gt;0,HF11,"")</f>
        <v/>
      </c>
      <c r="HN11" s="7" t="str">
        <f>IF(SUM(HD11:HG11)-HH11&gt;0,SUM(HD11:HG11)-HH11,"")</f>
        <v/>
      </c>
      <c r="HO11" s="7" t="str">
        <f>IF(SUM(HL11,HN11)&gt;0,SUM(HL11,HN11),"")</f>
        <v/>
      </c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9" t="str">
        <f>IF(HW11&gt;0,HW11,"")</f>
        <v/>
      </c>
      <c r="IF11" s="9" t="str">
        <f>IF(SUM(HP11:HS11)-HT11&gt;0,SUM(HP11:HS11)-HT11,"")</f>
        <v/>
      </c>
      <c r="IG11" s="9" t="str">
        <f>IF(SUM(HU11:HX11)-HY11&gt;0,SUM(HU11:HX11)-HY11,"")</f>
        <v/>
      </c>
      <c r="IH11" s="9" t="str">
        <f>IF(SUM(IF11:IG11)&gt;0,SUM(IF11:IG11),"")</f>
        <v/>
      </c>
      <c r="II11" s="9" t="str">
        <f>IF(IB11&gt;0,IB11,"")</f>
        <v/>
      </c>
      <c r="IJ11" s="9" t="str">
        <f>IF(SUM(HZ11:IC11)-ID11&gt;0,SUM(HZ11:IC11)-ID11,"")</f>
        <v/>
      </c>
      <c r="IK11" s="9" t="str">
        <f>IF(SUM(IH11,IJ11)&gt;0,SUM(IH11,IJ11),"")</f>
        <v/>
      </c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7" t="str">
        <f>IF(IS11&gt;0,IS11,"")</f>
        <v/>
      </c>
      <c r="JB11" s="7" t="str">
        <f>IF(SUM(IL11:IO11)-IP11&gt;0,SUM(IL11:IO11)-IP11,"")</f>
        <v/>
      </c>
      <c r="JC11" s="7" t="str">
        <f>IF(SUM(IQ11:IT11)-IU11&gt;0,SUM(IQ11:IT11)-IU11,"")</f>
        <v/>
      </c>
      <c r="JD11" s="7" t="str">
        <f>IF(SUM(JB11:JC11)&gt;0,SUM(JB11:JC11),"")</f>
        <v/>
      </c>
      <c r="JE11" s="7" t="str">
        <f>IF(IX11&gt;0,IX11,"")</f>
        <v/>
      </c>
      <c r="JF11" s="7" t="str">
        <f>IF(SUM(IV11:IY11)-IZ11&gt;0,SUM(IV11:IY11)-IZ11,"")</f>
        <v/>
      </c>
      <c r="JG11" s="7" t="str">
        <f>IF(SUM(JD11,JF11)&gt;0,SUM(JD11,JF11),"")</f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9" t="str">
        <f>IF(JO11&gt;0,JO11,"")</f>
        <v/>
      </c>
      <c r="JX11" s="9" t="str">
        <f>IF(SUM(JH11:JK11)-JL11&gt;0,SUM(JH11:JK11)-JL11,"")</f>
        <v/>
      </c>
      <c r="JY11" s="9" t="str">
        <f>IF(SUM(JM11:JP11)-JQ11&gt;0,SUM(JM11:JP11)-JQ11,"")</f>
        <v/>
      </c>
      <c r="JZ11" s="9" t="str">
        <f>IF(SUM(JX11:JY11)&gt;0,SUM(JX11:JY11),"")</f>
        <v/>
      </c>
      <c r="KA11" s="9" t="str">
        <f>IF(JT11&gt;0,JT11,"")</f>
        <v/>
      </c>
      <c r="KB11" s="9" t="str">
        <f>IF(SUM(JR11:JU11)-JV11&gt;0,SUM(JR11:JU11)-JV11,"")</f>
        <v/>
      </c>
      <c r="KC11" s="9" t="str">
        <f>IF(SUM(JZ11,KB11)&gt;0,SUM(JZ11,KB11),"")</f>
        <v/>
      </c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7" t="str">
        <f>IF(KK11&gt;0,KK11,"")</f>
        <v/>
      </c>
      <c r="KT11" s="7" t="str">
        <f>IF(SUM(KD11:KG11)-KH11&gt;0,SUM(KD11:KG11)-KH11,"")</f>
        <v/>
      </c>
      <c r="KU11" s="7" t="str">
        <f>IF(SUM(KI11:KL11)-KM11&gt;0,SUM(KI11:KL11)-KM11,"")</f>
        <v/>
      </c>
      <c r="KV11" s="7" t="str">
        <f>IF(SUM(KT11:KU11)&gt;0,SUM(KT11:KU11),"")</f>
        <v/>
      </c>
      <c r="KW11" s="7" t="str">
        <f>IF(KP11&gt;0,KP11,"")</f>
        <v/>
      </c>
      <c r="KX11" s="7" t="str">
        <f>IF(SUM(KN11:KQ11)-KR11&gt;0,SUM(KN11:KQ11)-KR11,"")</f>
        <v/>
      </c>
      <c r="KY11" s="7" t="str">
        <f>IF(SUM(KV11,KX11)&gt;0,SUM(KV11,KX11),"")</f>
        <v/>
      </c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9" t="str">
        <f>IF(LG11&gt;0,LG11,"")</f>
        <v/>
      </c>
      <c r="LP11" s="9" t="str">
        <f>IF(SUM(KZ11:LC11)-LD11&gt;0,SUM(KZ11:LC11)-LD11,"")</f>
        <v/>
      </c>
      <c r="LQ11" s="9" t="str">
        <f>IF(SUM(LE11:LH11)-LI11&gt;0,SUM(LE11:LH11)-LI11,"")</f>
        <v/>
      </c>
      <c r="LR11" s="9" t="str">
        <f>IF(SUM(LP11:LQ11)&gt;0,SUM(LP11:LQ11),"")</f>
        <v/>
      </c>
      <c r="LS11" s="9" t="str">
        <f>IF(LL11&gt;0,LL11,"")</f>
        <v/>
      </c>
      <c r="LT11" s="9" t="str">
        <f>IF(SUM(LJ11:LM11)-LN11&gt;0,SUM(LJ11:LM11)-LN11,"")</f>
        <v/>
      </c>
      <c r="LU11" s="9" t="str">
        <f>IF(SUM(LR11,LT11)&gt;0,SUM(LR11,LT11),"")</f>
        <v/>
      </c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7" t="str">
        <f>IF(MC11&gt;0,MC11,"")</f>
        <v/>
      </c>
      <c r="ML11" s="7" t="str">
        <f>IF(SUM(LV11:LY11)-LZ11&gt;0,SUM(LV11:LY11)-LZ11,"")</f>
        <v/>
      </c>
      <c r="MM11" s="7" t="str">
        <f>IF(SUM(MA11:MD11)-ME11&gt;0,SUM(MA11:MD11)-ME11,"")</f>
        <v/>
      </c>
      <c r="MN11" s="7" t="str">
        <f>IF(SUM(ML11:MM11)&gt;0,SUM(ML11:MM11),"")</f>
        <v/>
      </c>
      <c r="MO11" s="7" t="str">
        <f>IF(MH11&gt;0,MH11,"")</f>
        <v/>
      </c>
      <c r="MP11" s="7" t="str">
        <f>IF(SUM(MF11:MI11)-MJ11&gt;0,SUM(MF11:MI11)-MJ11,"")</f>
        <v/>
      </c>
      <c r="MQ11" s="7" t="str">
        <f>IF(SUM(MN11,MP11)&gt;0,SUM(MN11,MP11),"")</f>
        <v/>
      </c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9" t="str">
        <f>IF(MY11&gt;0,MY11,"")</f>
        <v/>
      </c>
      <c r="NH11" s="9" t="str">
        <f>IF(SUM(MR11:MU11)-MV11&gt;0,SUM(MR11:MU11)-MV11,"")</f>
        <v/>
      </c>
      <c r="NI11" s="9" t="str">
        <f>IF(SUM(MW11:MZ11)-NA11&gt;0,SUM(MW11:MZ11)-NA11,"")</f>
        <v/>
      </c>
      <c r="NJ11" s="9" t="str">
        <f>IF(SUM(NH11:NI11)&gt;0,SUM(NH11:NI11),"")</f>
        <v/>
      </c>
      <c r="NK11" s="9" t="str">
        <f>IF(ND11&gt;0,ND11,"")</f>
        <v/>
      </c>
      <c r="NL11" s="9" t="str">
        <f>IF(SUM(NB11:NE11)-NF11&gt;0,SUM(NB11:NE11)-NF11,"")</f>
        <v/>
      </c>
      <c r="NM11" s="9" t="str">
        <f>IF(SUM(NJ11,NL11)&gt;0,SUM(NJ11,NL11),"")</f>
        <v/>
      </c>
      <c r="NN11" s="27">
        <f>IF($CV11="P",CB11,(CB11+AX11)/2)</f>
        <v>9.35</v>
      </c>
      <c r="NO11" s="27">
        <f>IF($CV11="P",CC11,(CC11+AY11)/2)</f>
        <v>5.6000000000000005</v>
      </c>
      <c r="NP11" s="27">
        <f>IF($CV11="P",CD11,(CD11+AZ11)/2)</f>
        <v>0</v>
      </c>
      <c r="NQ11" s="27">
        <f>IF($CV11="P",CE11,(CE11+BA11)/2)</f>
        <v>8.52</v>
      </c>
      <c r="NR11" s="27">
        <f>IF($CV11="P",CF11,(CF11+BB11)/2)</f>
        <v>0</v>
      </c>
      <c r="NS11" s="27">
        <f>IF($CV11="P",CG11,(CG11+BC11)/2)</f>
        <v>12.35</v>
      </c>
      <c r="NT11" s="27">
        <f>IF($CV11="P",CH11,(CH11+BD11)/2)</f>
        <v>8.4</v>
      </c>
      <c r="NU11" s="27">
        <f>IF($CV11="P",CI11,(CI11+BE11)/2)</f>
        <v>9.25</v>
      </c>
      <c r="NV11" s="27">
        <f>IF($CV11="P",CJ11,(CJ11+BF11)/2)</f>
        <v>12.89</v>
      </c>
      <c r="NW11" s="27">
        <f>IF($CV11="P",CK11,(CK11+BG11)/2)</f>
        <v>0</v>
      </c>
      <c r="NX11" s="27">
        <f>IF($CV11="P",CL11,(CL11+BH11)/2)</f>
        <v>0</v>
      </c>
      <c r="NY11" s="27">
        <f>IF($CV11="P",CM11,(CM11+BI11)/2)</f>
        <v>0</v>
      </c>
      <c r="NZ11" s="27">
        <f>IF($CV11="P",CN11,(CN11+BJ11)/2)</f>
        <v>0</v>
      </c>
      <c r="OA11" s="27">
        <f>IF($CV11="P",CO11,(CO11+BK11)/2)</f>
        <v>0</v>
      </c>
      <c r="OB11" s="27">
        <f>IF($CV11="P",CP11,(CP11+BL11)/2)</f>
        <v>0</v>
      </c>
      <c r="OC11" s="27">
        <f>IF($CV11="P",CQ11,(CQ11+BM11)/2)</f>
        <v>7.15</v>
      </c>
      <c r="OD11" s="27">
        <f>IF($CV11="P",CR11,(CR11+BN11)/2)</f>
        <v>4.55</v>
      </c>
      <c r="OE11" s="27">
        <f>IF($CV11="P",CS11,(CS11+BO11)/2)</f>
        <v>4.8</v>
      </c>
      <c r="OF11" s="27">
        <f>IF($CV11="P",CT11,(CT11+BP11)/2)</f>
        <v>6.79</v>
      </c>
      <c r="OG11" s="27">
        <f>IF($CV11="P",CU11,(CU11+BQ11)/2)</f>
        <v>0</v>
      </c>
      <c r="OH11" s="32" t="s">
        <v>44</v>
      </c>
      <c r="OI11" s="7">
        <f>IF(SUM(NN11:NQ11)-NR11&gt;0,SUM(NN11:NQ11)-NR11,"")</f>
        <v>23.47</v>
      </c>
      <c r="OJ11" s="7">
        <f>IF(NU11&gt;0,NU11,"")</f>
        <v>9.25</v>
      </c>
      <c r="OK11" s="7">
        <f>IF(SUM(NS11:NV11)-NW11&gt;0,SUM(NS11:NV11)-NW11,"")</f>
        <v>42.89</v>
      </c>
      <c r="OL11" s="7" t="str">
        <f>IF(NZ11&gt;0,NZ11,"")</f>
        <v/>
      </c>
      <c r="OM11" s="7" t="str">
        <f>IF(SUM(NX11:OA11)-OB11&gt;0,SUM(NX11:OA11)-OB11,"")</f>
        <v/>
      </c>
      <c r="ON11" s="7">
        <f>IF(OR(OI11&lt;&gt;"",OK11&lt;&gt;"",OM11&lt;&gt;""),OI11+MAX(OK11,OM11),"")</f>
        <v>66.36</v>
      </c>
      <c r="OO11" s="7">
        <f>IF(OE11&gt;0,OE11,"")</f>
        <v>4.8</v>
      </c>
      <c r="OP11" s="7">
        <f t="shared" ref="OP11" si="14">IF(SUM(OC11:OF11)-OG11&gt;0,SUM(OC11:OF11)-OG11,"")</f>
        <v>23.29</v>
      </c>
      <c r="OQ11" s="7">
        <f t="shared" ref="OQ11" si="15">IF(SUM(ON11,OP11)&gt;0,SUM(ON11,OP11),"")</f>
        <v>89.65</v>
      </c>
    </row>
    <row r="12" spans="1:407" x14ac:dyDescent="0.2">
      <c r="B12" s="5"/>
      <c r="D12" s="1"/>
    </row>
    <row r="14" spans="1:407" x14ac:dyDescent="0.2">
      <c r="B14" s="28" t="s">
        <v>42</v>
      </c>
      <c r="C14" s="5"/>
      <c r="AP14" s="46"/>
      <c r="AQ14" s="46"/>
      <c r="AR14" s="46"/>
      <c r="AU14" s="2"/>
      <c r="AW14" s="24">
        <v>11.2</v>
      </c>
      <c r="BT14" s="46"/>
      <c r="BU14" s="46"/>
      <c r="BV14" s="46"/>
      <c r="BY14" s="2"/>
      <c r="CA14" s="24">
        <v>11.2</v>
      </c>
      <c r="CX14" s="46"/>
      <c r="CY14" s="46"/>
      <c r="CZ14" s="46"/>
      <c r="DC14" s="2"/>
      <c r="DE14" s="24">
        <v>11.2</v>
      </c>
      <c r="DY14" s="5"/>
      <c r="EC14" s="2"/>
      <c r="EE14" s="24">
        <v>11.2</v>
      </c>
      <c r="EU14" s="5"/>
      <c r="EY14" s="2"/>
      <c r="FA14" s="24">
        <v>11.2</v>
      </c>
      <c r="FQ14" s="5"/>
      <c r="FU14" s="2"/>
      <c r="FW14" s="24">
        <v>11.2</v>
      </c>
      <c r="GM14" s="5"/>
      <c r="GQ14" s="2"/>
      <c r="GS14" s="24">
        <v>11.2</v>
      </c>
      <c r="HI14" s="5"/>
      <c r="HM14" s="2"/>
      <c r="HO14" s="24">
        <v>11.2</v>
      </c>
      <c r="IE14" s="5"/>
      <c r="II14" s="2"/>
      <c r="IK14" s="24">
        <v>11.2</v>
      </c>
      <c r="JA14" s="5"/>
      <c r="JE14" s="2"/>
      <c r="JG14" s="24">
        <v>11.2</v>
      </c>
      <c r="JW14" s="5"/>
      <c r="KA14" s="2"/>
      <c r="KC14" s="24">
        <v>11.2</v>
      </c>
      <c r="KS14" s="5"/>
      <c r="KW14" s="2"/>
      <c r="KY14" s="24">
        <v>11.2</v>
      </c>
      <c r="LO14" s="5"/>
      <c r="LS14" s="2"/>
      <c r="LU14" s="24">
        <v>11.2</v>
      </c>
      <c r="MK14" s="5"/>
      <c r="MO14" s="2"/>
      <c r="MQ14" s="24">
        <v>11.2</v>
      </c>
      <c r="NG14" s="5"/>
      <c r="NK14" s="2"/>
      <c r="NM14" s="24">
        <v>11.2</v>
      </c>
    </row>
    <row r="15" spans="1:407" hidden="1" x14ac:dyDescent="0.2">
      <c r="B15" s="35" t="s">
        <v>41</v>
      </c>
      <c r="C15" s="5"/>
      <c r="AP15" s="46"/>
      <c r="AQ15" s="46"/>
      <c r="AR15" s="46"/>
      <c r="AU15" s="2"/>
      <c r="AW15" s="37">
        <v>11.2</v>
      </c>
      <c r="BT15" s="46"/>
      <c r="BU15" s="46"/>
      <c r="BV15" s="46"/>
      <c r="BY15" s="2"/>
      <c r="CA15" s="37">
        <v>11.2</v>
      </c>
      <c r="CX15" s="46"/>
      <c r="CY15" s="46"/>
      <c r="CZ15" s="46"/>
      <c r="DC15" s="2"/>
      <c r="DE15" s="37">
        <v>11.2</v>
      </c>
      <c r="DY15" s="5"/>
      <c r="EC15" s="2"/>
      <c r="EE15" s="37">
        <v>11.2</v>
      </c>
      <c r="EU15" s="5"/>
      <c r="EY15" s="2"/>
      <c r="FA15" s="37">
        <v>11.2</v>
      </c>
      <c r="FQ15" s="5"/>
      <c r="FU15" s="2"/>
      <c r="FW15" s="37">
        <v>11.2</v>
      </c>
      <c r="GM15" s="5"/>
      <c r="GQ15" s="2"/>
      <c r="GS15" s="37">
        <v>11.2</v>
      </c>
      <c r="HI15" s="5"/>
      <c r="HM15" s="2"/>
      <c r="HO15" s="37">
        <v>11.2</v>
      </c>
      <c r="IE15" s="5"/>
      <c r="II15" s="2"/>
      <c r="IK15" s="37">
        <v>11.2</v>
      </c>
      <c r="JA15" s="5"/>
      <c r="JE15" s="2"/>
      <c r="JG15" s="37">
        <v>11.2</v>
      </c>
      <c r="JW15" s="5"/>
      <c r="KA15" s="2"/>
      <c r="KC15" s="37">
        <v>11.2</v>
      </c>
      <c r="KS15" s="5"/>
      <c r="KW15" s="2"/>
      <c r="KY15" s="37">
        <v>11.2</v>
      </c>
      <c r="LO15" s="5"/>
      <c r="LS15" s="2"/>
      <c r="LU15" s="37">
        <v>11.2</v>
      </c>
      <c r="MK15" s="5"/>
      <c r="MO15" s="2"/>
      <c r="MQ15" s="37">
        <v>11.2</v>
      </c>
      <c r="NG15" s="5"/>
      <c r="NK15" s="2"/>
      <c r="NM15" s="37">
        <v>11.2</v>
      </c>
    </row>
    <row r="16" spans="1:407" x14ac:dyDescent="0.2">
      <c r="A16" s="5"/>
      <c r="B16" s="36" t="s">
        <v>54</v>
      </c>
      <c r="C16" s="5"/>
      <c r="AP16" s="46"/>
      <c r="AQ16" s="46"/>
      <c r="AR16" s="46"/>
      <c r="AT16" s="2"/>
      <c r="AU16" s="2"/>
      <c r="AV16" s="2"/>
      <c r="AW16" s="38">
        <v>11.2</v>
      </c>
      <c r="BT16" s="46"/>
      <c r="BU16" s="46"/>
      <c r="BV16" s="46"/>
      <c r="BY16" s="2"/>
      <c r="CA16" s="38">
        <v>11.2</v>
      </c>
      <c r="CX16" s="46"/>
      <c r="CY16" s="46"/>
      <c r="CZ16" s="46"/>
      <c r="DB16" s="2"/>
      <c r="DC16" s="2"/>
      <c r="DD16" s="2"/>
      <c r="DE16" s="38">
        <v>11.2</v>
      </c>
      <c r="DY16" s="5"/>
      <c r="EC16" s="2"/>
      <c r="EE16" s="38">
        <v>11.2</v>
      </c>
      <c r="EU16" s="5"/>
      <c r="EY16" s="2"/>
      <c r="FA16" s="38">
        <v>11.2</v>
      </c>
      <c r="FQ16" s="5"/>
      <c r="FU16" s="2"/>
      <c r="FW16" s="38">
        <v>11.2</v>
      </c>
      <c r="GM16" s="5"/>
      <c r="GQ16" s="2"/>
      <c r="GS16" s="38">
        <v>11.2</v>
      </c>
      <c r="HI16" s="5"/>
      <c r="HM16" s="2"/>
      <c r="HO16" s="38">
        <v>11.2</v>
      </c>
      <c r="IE16" s="5"/>
      <c r="II16" s="2"/>
      <c r="IK16" s="38">
        <v>11.2</v>
      </c>
      <c r="JA16" s="5"/>
      <c r="JE16" s="2"/>
      <c r="JG16" s="38">
        <v>11.2</v>
      </c>
      <c r="JW16" s="5"/>
      <c r="KA16" s="2"/>
      <c r="KC16" s="38">
        <v>11.2</v>
      </c>
      <c r="KS16" s="5"/>
      <c r="KW16" s="2"/>
      <c r="KY16" s="38">
        <v>11.2</v>
      </c>
      <c r="LO16" s="5"/>
      <c r="LS16" s="2"/>
      <c r="LU16" s="38">
        <v>11.2</v>
      </c>
      <c r="MK16" s="5"/>
      <c r="MO16" s="2"/>
      <c r="MQ16" s="38">
        <v>11.2</v>
      </c>
      <c r="NG16" s="5"/>
      <c r="NK16" s="2"/>
      <c r="NM16" s="38">
        <v>11.2</v>
      </c>
    </row>
    <row r="17" spans="1:377" x14ac:dyDescent="0.2">
      <c r="A17" s="5"/>
      <c r="B17" s="44" t="s">
        <v>59</v>
      </c>
      <c r="C17" s="5"/>
      <c r="AP17" s="46"/>
      <c r="AQ17" s="46"/>
      <c r="AR17" s="46"/>
      <c r="AT17" s="2"/>
      <c r="AU17" s="2"/>
      <c r="AV17" s="2"/>
      <c r="AW17" s="45">
        <v>11.2</v>
      </c>
      <c r="BT17" s="46"/>
      <c r="BU17" s="46"/>
      <c r="BV17" s="46"/>
      <c r="BY17" s="2"/>
      <c r="CA17" s="45">
        <v>11.2</v>
      </c>
      <c r="CX17" s="46"/>
      <c r="CY17" s="46"/>
      <c r="CZ17" s="46"/>
      <c r="DB17" s="2"/>
      <c r="DC17" s="2"/>
      <c r="DD17" s="2"/>
      <c r="DE17" s="45">
        <v>11.2</v>
      </c>
      <c r="DY17" s="5"/>
      <c r="EC17" s="2"/>
      <c r="EE17" s="45">
        <v>11.2</v>
      </c>
      <c r="EU17" s="5"/>
      <c r="EY17" s="2"/>
      <c r="FA17" s="45">
        <v>11.2</v>
      </c>
      <c r="FQ17" s="5"/>
      <c r="FU17" s="2"/>
      <c r="FW17" s="45">
        <v>11.2</v>
      </c>
      <c r="GM17" s="5"/>
      <c r="GQ17" s="2"/>
      <c r="GS17" s="45">
        <v>11.2</v>
      </c>
      <c r="HI17" s="5"/>
      <c r="HM17" s="2"/>
      <c r="HO17" s="45">
        <v>11.2</v>
      </c>
      <c r="IE17" s="5"/>
      <c r="II17" s="2"/>
      <c r="IK17" s="45">
        <v>11.2</v>
      </c>
      <c r="JA17" s="5"/>
      <c r="JE17" s="2"/>
      <c r="JG17" s="45">
        <v>11.2</v>
      </c>
      <c r="JW17" s="5"/>
      <c r="KA17" s="2"/>
      <c r="KC17" s="45">
        <v>11.2</v>
      </c>
      <c r="KS17" s="5"/>
      <c r="KW17" s="2"/>
      <c r="KY17" s="45">
        <v>11.2</v>
      </c>
      <c r="LO17" s="5"/>
      <c r="LS17" s="2"/>
      <c r="LU17" s="45">
        <v>11.2</v>
      </c>
      <c r="MK17" s="5"/>
      <c r="MO17" s="2"/>
      <c r="MQ17" s="45">
        <v>11.2</v>
      </c>
      <c r="NG17" s="5"/>
      <c r="NK17" s="2"/>
      <c r="NM17" s="45">
        <v>11.2</v>
      </c>
    </row>
    <row r="18" spans="1:377" x14ac:dyDescent="0.2">
      <c r="A18" s="5"/>
      <c r="B18" s="42" t="s">
        <v>39</v>
      </c>
      <c r="C18" s="5"/>
      <c r="M18" s="2"/>
      <c r="AP18" s="46"/>
      <c r="AQ18" s="46"/>
      <c r="AR18" s="46"/>
      <c r="AT18" s="2"/>
      <c r="AU18" s="2"/>
      <c r="AV18" s="2"/>
      <c r="AW18" s="43">
        <v>90.2</v>
      </c>
      <c r="BT18" s="46"/>
      <c r="BU18" s="46"/>
      <c r="BV18" s="46"/>
      <c r="BY18" s="2"/>
      <c r="CA18" s="43">
        <v>90.2</v>
      </c>
      <c r="CX18" s="46"/>
      <c r="CY18" s="46"/>
      <c r="CZ18" s="46"/>
      <c r="DB18" s="2"/>
      <c r="DC18" s="2"/>
      <c r="DD18" s="2"/>
      <c r="DE18" s="43">
        <v>90.2</v>
      </c>
      <c r="DY18" s="5"/>
      <c r="EC18" s="2"/>
      <c r="EE18" s="43">
        <v>90.2</v>
      </c>
      <c r="EU18" s="5"/>
      <c r="EY18" s="2"/>
      <c r="FA18" s="43">
        <v>90.2</v>
      </c>
      <c r="FQ18" s="5"/>
      <c r="FU18" s="2"/>
      <c r="FW18" s="43">
        <v>90.2</v>
      </c>
      <c r="GM18" s="5"/>
      <c r="GQ18" s="2"/>
      <c r="GS18" s="43">
        <v>90.2</v>
      </c>
      <c r="HI18" s="5"/>
      <c r="HM18" s="2"/>
      <c r="HO18" s="43">
        <v>90.2</v>
      </c>
      <c r="IE18" s="5"/>
      <c r="II18" s="2"/>
      <c r="IK18" s="43">
        <v>90.2</v>
      </c>
      <c r="JA18" s="5"/>
      <c r="JE18" s="2"/>
      <c r="JG18" s="43">
        <v>90.2</v>
      </c>
      <c r="JW18" s="5"/>
      <c r="KA18" s="2"/>
      <c r="KC18" s="43">
        <v>90.2</v>
      </c>
      <c r="KS18" s="5"/>
      <c r="KW18" s="2"/>
      <c r="KY18" s="43">
        <v>90.2</v>
      </c>
      <c r="LO18" s="5"/>
      <c r="LS18" s="2"/>
      <c r="LU18" s="43">
        <v>90.2</v>
      </c>
      <c r="MK18" s="5"/>
      <c r="MO18" s="2"/>
      <c r="MQ18" s="43">
        <v>90.2</v>
      </c>
      <c r="NG18" s="5"/>
      <c r="NK18" s="2"/>
      <c r="NM18" s="43">
        <v>90.2</v>
      </c>
    </row>
    <row r="19" spans="1:377" hidden="1" x14ac:dyDescent="0.2">
      <c r="A19" s="5"/>
      <c r="B19" s="29" t="s">
        <v>40</v>
      </c>
      <c r="C19" s="5"/>
      <c r="M19" s="2"/>
      <c r="AP19" s="46"/>
      <c r="AQ19" s="46"/>
      <c r="AR19" s="46"/>
      <c r="AT19" s="2"/>
      <c r="AU19" s="2"/>
      <c r="AV19" s="2"/>
      <c r="AW19" s="25">
        <v>93.1</v>
      </c>
      <c r="BT19" s="46"/>
      <c r="BU19" s="46"/>
      <c r="BV19" s="46"/>
      <c r="BY19" s="2"/>
      <c r="CA19" s="25">
        <v>93.1</v>
      </c>
      <c r="CX19" s="46"/>
      <c r="CY19" s="46"/>
      <c r="CZ19" s="46"/>
      <c r="DB19" s="2"/>
      <c r="DC19" s="2"/>
      <c r="DD19" s="2"/>
      <c r="DE19" s="25">
        <v>93.1</v>
      </c>
      <c r="DY19" s="5"/>
      <c r="EC19" s="2"/>
      <c r="EE19" s="25">
        <v>93.1</v>
      </c>
      <c r="EU19" s="5"/>
      <c r="EY19" s="2"/>
      <c r="FA19" s="25">
        <v>93.1</v>
      </c>
      <c r="FQ19" s="5"/>
      <c r="FU19" s="2"/>
      <c r="FW19" s="25">
        <v>93.1</v>
      </c>
      <c r="GM19" s="5"/>
      <c r="GQ19" s="2"/>
      <c r="GS19" s="25">
        <v>93.1</v>
      </c>
      <c r="HI19" s="5"/>
      <c r="HM19" s="2"/>
      <c r="HO19" s="25">
        <v>93.1</v>
      </c>
      <c r="IE19" s="5"/>
      <c r="II19" s="2"/>
      <c r="IK19" s="25">
        <v>93.1</v>
      </c>
      <c r="JA19" s="5"/>
      <c r="JE19" s="2"/>
      <c r="JG19" s="25">
        <v>93.1</v>
      </c>
      <c r="JW19" s="5"/>
      <c r="KA19" s="2"/>
      <c r="KC19" s="25">
        <v>93.1</v>
      </c>
      <c r="KS19" s="5"/>
      <c r="KW19" s="2"/>
      <c r="KY19" s="25">
        <v>93.1</v>
      </c>
      <c r="LO19" s="5"/>
      <c r="LS19" s="2"/>
      <c r="LU19" s="25">
        <v>93.1</v>
      </c>
      <c r="MK19" s="5"/>
      <c r="MO19" s="2"/>
      <c r="MQ19" s="25">
        <v>93.1</v>
      </c>
      <c r="NG19" s="5"/>
      <c r="NK19" s="2"/>
      <c r="NM19" s="25">
        <v>93.1</v>
      </c>
    </row>
    <row r="20" spans="1:377" x14ac:dyDescent="0.2">
      <c r="A20" s="5"/>
      <c r="B20" s="40" t="s">
        <v>53</v>
      </c>
      <c r="C20" s="5"/>
      <c r="AP20" s="46"/>
      <c r="AQ20" s="46"/>
      <c r="AR20" s="46"/>
      <c r="AT20" s="2"/>
      <c r="AU20" s="2"/>
      <c r="AV20" s="49"/>
      <c r="AW20" s="41">
        <v>93.1</v>
      </c>
      <c r="BT20" s="46"/>
      <c r="BU20" s="46"/>
      <c r="BV20" s="46"/>
      <c r="BY20" s="2"/>
      <c r="BZ20" s="48"/>
      <c r="CA20" s="41">
        <v>93.1</v>
      </c>
      <c r="CX20" s="46"/>
      <c r="CY20" s="46"/>
      <c r="CZ20" s="46"/>
      <c r="DB20" s="2"/>
      <c r="DC20" s="2"/>
      <c r="DD20" s="2"/>
      <c r="DE20" s="41">
        <v>93.1</v>
      </c>
      <c r="DY20" s="5"/>
      <c r="EC20" s="2"/>
      <c r="EE20" s="41">
        <v>93.1</v>
      </c>
      <c r="EU20" s="5"/>
      <c r="EY20" s="2"/>
      <c r="FA20" s="41">
        <v>93.1</v>
      </c>
      <c r="FQ20" s="5"/>
      <c r="FU20" s="2"/>
      <c r="FW20" s="41">
        <v>93.1</v>
      </c>
      <c r="GM20" s="5"/>
      <c r="GQ20" s="2"/>
      <c r="GR20" s="48"/>
      <c r="GS20" s="41">
        <v>93.1</v>
      </c>
      <c r="HI20" s="5"/>
      <c r="HM20" s="2"/>
      <c r="HN20" s="48"/>
      <c r="HO20" s="41">
        <v>93.1</v>
      </c>
      <c r="IE20" s="5"/>
      <c r="II20" s="2"/>
      <c r="IK20" s="41">
        <v>93.1</v>
      </c>
      <c r="JA20" s="5"/>
      <c r="JE20" s="2"/>
      <c r="JG20" s="41">
        <v>93.1</v>
      </c>
      <c r="JW20" s="5"/>
      <c r="KA20" s="2"/>
      <c r="KB20" s="50"/>
      <c r="KC20" s="41">
        <v>93.1</v>
      </c>
      <c r="KS20" s="5"/>
      <c r="KW20" s="2"/>
      <c r="KY20" s="41">
        <v>93.1</v>
      </c>
      <c r="LO20" s="5"/>
      <c r="LS20" s="2"/>
      <c r="LU20" s="41">
        <v>93.1</v>
      </c>
      <c r="MK20" s="5"/>
      <c r="MO20" s="2"/>
      <c r="MP20" s="50"/>
      <c r="MQ20" s="41">
        <v>93.1</v>
      </c>
      <c r="NG20" s="5"/>
      <c r="NK20" s="2"/>
      <c r="NM20" s="41">
        <v>93.1</v>
      </c>
    </row>
    <row r="21" spans="1:377" x14ac:dyDescent="0.2">
      <c r="A21" s="5"/>
      <c r="B21" s="30" t="s">
        <v>26</v>
      </c>
      <c r="C21" s="5"/>
      <c r="M21" s="2"/>
      <c r="AP21" s="46"/>
      <c r="AQ21" s="46"/>
      <c r="AR21" s="46"/>
      <c r="AT21" s="2"/>
      <c r="AU21" s="2"/>
      <c r="AV21" s="2"/>
      <c r="AW21" s="26">
        <v>51</v>
      </c>
      <c r="BT21" s="46"/>
      <c r="BU21" s="46"/>
      <c r="BV21" s="46"/>
      <c r="BY21" s="2"/>
      <c r="CA21" s="26">
        <v>51</v>
      </c>
      <c r="CX21" s="46"/>
      <c r="CY21" s="46"/>
      <c r="CZ21" s="46"/>
      <c r="DB21" s="2"/>
      <c r="DC21" s="2"/>
      <c r="DD21" s="2"/>
      <c r="DE21" s="26">
        <v>51</v>
      </c>
      <c r="DY21" s="5"/>
      <c r="EC21" s="2"/>
      <c r="EE21" s="26">
        <v>51</v>
      </c>
      <c r="EU21" s="5"/>
      <c r="EY21" s="2"/>
      <c r="FA21" s="26">
        <v>51</v>
      </c>
      <c r="FQ21" s="5"/>
      <c r="FU21" s="2"/>
      <c r="FW21" s="26">
        <v>51</v>
      </c>
      <c r="GM21" s="5"/>
      <c r="GQ21" s="2"/>
      <c r="GR21" s="48"/>
      <c r="GS21" s="26">
        <v>51</v>
      </c>
      <c r="HI21" s="5"/>
      <c r="HM21" s="2"/>
      <c r="HO21" s="26">
        <v>51</v>
      </c>
      <c r="IE21" s="5"/>
      <c r="II21" s="2"/>
      <c r="IK21" s="26">
        <v>51</v>
      </c>
      <c r="JA21" s="5"/>
      <c r="JE21" s="2"/>
      <c r="JG21" s="26">
        <v>51</v>
      </c>
      <c r="JW21" s="5"/>
      <c r="KA21" s="2"/>
      <c r="KC21" s="26">
        <v>51</v>
      </c>
      <c r="KS21" s="5"/>
      <c r="KW21" s="2"/>
      <c r="KY21" s="26">
        <v>51</v>
      </c>
      <c r="LO21" s="5"/>
      <c r="LS21" s="2"/>
      <c r="LU21" s="26">
        <v>51</v>
      </c>
      <c r="MK21" s="5"/>
      <c r="MO21" s="2"/>
      <c r="MQ21" s="26">
        <v>51</v>
      </c>
      <c r="NG21" s="5"/>
      <c r="NK21" s="2"/>
      <c r="NM21" s="26">
        <v>51</v>
      </c>
    </row>
    <row r="22" spans="1:377" x14ac:dyDescent="0.2">
      <c r="B22" s="34" t="s">
        <v>45</v>
      </c>
      <c r="C22" s="2"/>
      <c r="AS22" s="2"/>
      <c r="AT22" s="2"/>
      <c r="AV22" s="2"/>
      <c r="DA22" s="2"/>
      <c r="DB22" s="2"/>
      <c r="DD22" s="2"/>
      <c r="EV22" s="2"/>
    </row>
    <row r="23" spans="1:377" x14ac:dyDescent="0.2">
      <c r="A23" s="5"/>
      <c r="B23" s="5"/>
      <c r="C23" s="22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A24" s="5"/>
      <c r="B24" s="5"/>
      <c r="C24" s="22"/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A25" s="5"/>
      <c r="B25" s="5"/>
      <c r="C25" s="22"/>
      <c r="Q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AO27" s="2"/>
      <c r="AP27" s="2"/>
      <c r="AQ27" s="2"/>
      <c r="AR27" s="2"/>
      <c r="AS27" s="2"/>
      <c r="AT27" s="2"/>
      <c r="AV27" s="2"/>
      <c r="CW27" s="2"/>
      <c r="CX27" s="2"/>
      <c r="CY27" s="2"/>
      <c r="CZ27" s="2"/>
      <c r="DA27" s="2"/>
      <c r="DB27" s="2"/>
      <c r="DD27" s="2"/>
    </row>
    <row r="28" spans="1:377" ht="17" x14ac:dyDescent="0.2">
      <c r="Q28" s="11"/>
      <c r="R28" s="11"/>
      <c r="AO28" s="2"/>
      <c r="AP28" s="2"/>
      <c r="AQ28" s="2"/>
      <c r="AR28" s="2"/>
      <c r="AS28" s="2"/>
      <c r="AT28" s="2"/>
      <c r="AV28" s="2"/>
      <c r="CW28" s="2"/>
      <c r="CX28" s="2"/>
      <c r="CY28" s="2"/>
      <c r="CZ28" s="2"/>
      <c r="DA28" s="2"/>
      <c r="DB28" s="2"/>
      <c r="DD28" s="2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  <row r="42" spans="17:19" ht="17" x14ac:dyDescent="0.2">
      <c r="Q42" s="11"/>
      <c r="R42" s="11"/>
      <c r="S42" s="11"/>
    </row>
    <row r="43" spans="17:19" ht="17" x14ac:dyDescent="0.2">
      <c r="Q43" s="11"/>
      <c r="R43" s="11"/>
      <c r="S43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11">
      <sortCondition descending="1" ref="F1:F12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11">
    <cfRule type="expression" dxfId="151" priority="7" stopIfTrue="1">
      <formula>IF($AN4&lt;&gt;"",1,0)</formula>
    </cfRule>
  </conditionalFormatting>
  <conditionalFormatting sqref="AX4:CA11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11">
    <cfRule type="expression" dxfId="146" priority="16" stopIfTrue="1">
      <formula>IF($CV4&lt;&gt;"",1,0)</formula>
    </cfRule>
  </conditionalFormatting>
  <conditionalFormatting sqref="GR22:GR1048576 HN21:HN1048576 KB21:KB1048576 MP21:MP1048576 AV1:AV1048576 BZ1:BZ1048576 DD1:DD1048576 ED1:ED1048576 EZ1:EZ1048576 FV1:FV1048576 GR1:GR19 HN1:HN19 IJ1:IJ1048576 JF1:JF1048576 KB1:KB19 KX1:KX1048576 LT1:LT1048576 MP1:MP19 NL1:NL1048576">
    <cfRule type="cellIs" dxfId="145" priority="37585" operator="between">
      <formula>AW$21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9" priority="49925" operator="between">
      <formula>AW$21</formula>
      <formula>1000</formula>
    </cfRule>
    <cfRule type="cellIs" dxfId="138" priority="49926" operator="between">
      <formula>AW$20</formula>
      <formula>AW$21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7" priority="50015" operator="between">
      <formula>AW$20</formula>
      <formula>1000</formula>
    </cfRule>
    <cfRule type="cellIs" dxfId="136" priority="50016" operator="between">
      <formula>AW$19</formula>
      <formula>AW$20</formula>
    </cfRule>
    <cfRule type="cellIs" dxfId="135" priority="50017" operator="between">
      <formula>AW$18</formula>
      <formula>AW$19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4" priority="50150" operator="between">
      <formula>EE$17</formula>
      <formula>1000</formula>
    </cfRule>
    <cfRule type="cellIs" dxfId="133" priority="50151" operator="between">
      <formula>EE$16</formula>
      <formula>EE$17</formula>
    </cfRule>
    <cfRule type="cellIs" dxfId="132" priority="50152" operator="between">
      <formula>EE$15</formula>
      <formula>EE$16</formula>
    </cfRule>
    <cfRule type="cellIs" dxfId="131" priority="50153" operator="between">
      <formula>EE$14</formula>
      <formula>EE$15</formula>
    </cfRule>
  </conditionalFormatting>
  <conditionalFormatting sqref="AP1:AP1048576 BT1:BT1048576 CX1:CX1048576">
    <cfRule type="cellIs" dxfId="130" priority="50294" operator="between">
      <formula>AW$17</formula>
      <formula>1000</formula>
    </cfRule>
    <cfRule type="cellIs" dxfId="129" priority="50295" operator="between">
      <formula>AW$16</formula>
      <formula>AW$17</formula>
    </cfRule>
    <cfRule type="cellIs" dxfId="128" priority="50296" operator="between">
      <formula>AW$15</formula>
      <formula>AW$16</formula>
    </cfRule>
    <cfRule type="cellIs" dxfId="127" priority="50297" operator="between">
      <formula>AW$14</formula>
      <formula>AW$15</formula>
    </cfRule>
  </conditionalFormatting>
  <conditionalFormatting sqref="AQ1:AQ1048576 BU1:BU1048576 CY1:CY1048576">
    <cfRule type="cellIs" dxfId="126" priority="50330" operator="between">
      <formula>AW$21</formula>
      <formula>1000</formula>
    </cfRule>
  </conditionalFormatting>
  <conditionalFormatting sqref="AR1:AR1048576 BV1:BV1048576 CZ1:CZ1048576">
    <cfRule type="cellIs" dxfId="125" priority="50339" operator="between">
      <formula>AW$17</formula>
      <formula>1000</formula>
    </cfRule>
    <cfRule type="cellIs" dxfId="124" priority="50340" operator="between">
      <formula>AW$16</formula>
      <formula>AW$17</formula>
    </cfRule>
    <cfRule type="cellIs" dxfId="123" priority="50341" operator="between">
      <formula>AW$15</formula>
      <formula>AW$16</formula>
    </cfRule>
    <cfRule type="cellIs" dxfId="122" priority="50342" operator="between">
      <formula>AW$14</formula>
      <formula>AW$15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21" priority="50375" operator="between">
      <formula>AW$17</formula>
      <formula>1000</formula>
    </cfRule>
    <cfRule type="cellIs" dxfId="120" priority="50376" operator="between">
      <formula>AW$16</formula>
      <formula>AW$17</formula>
    </cfRule>
    <cfRule type="cellIs" dxfId="119" priority="50377" operator="between">
      <formula>AW$15</formula>
      <formula>AW$16</formula>
    </cfRule>
    <cfRule type="cellIs" dxfId="118" priority="50378" operator="between">
      <formula>AW$14</formula>
      <formula>AW$15</formula>
    </cfRule>
  </conditionalFormatting>
  <conditionalFormatting sqref="A4:A1048576">
    <cfRule type="expression" dxfId="117" priority="1">
      <formula>AND(G4&lt;&gt;"",F4="")</formula>
    </cfRule>
    <cfRule type="expression" dxfId="116" priority="48720">
      <formula>IF(A4&gt;4,1,0)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109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91</v>
      </c>
      <c r="C4" s="4" t="s">
        <v>66</v>
      </c>
      <c r="D4" s="4">
        <v>2008</v>
      </c>
      <c r="E4" s="10">
        <f>SUM(I4:O4)+SUM(I4:M4)*0.0000001+SUM(I4)*0.0000000000001</f>
        <v>134.60001308000466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46.7</v>
      </c>
      <c r="J4" s="9" t="str">
        <f>IF(I4=0,"",IF(I4=CP4,$BT$1,IF(I4=BO4,$AS$1,IF(I4=AN4,$R$1,""))))</f>
        <v>2023 3rd Domestic Trial</v>
      </c>
      <c r="K4" s="9">
        <f>IF(COUNT(AN4,BO4,CP4)&gt;1,LARGE((AN4,BO4,CP4),2),0)</f>
        <v>40.499999999999993</v>
      </c>
      <c r="L4" s="9" t="str">
        <f>IF(K4=0,"",IF(K4=CP4,$BT$1,IF(K4=BO4,$AS$1,IF(K4=AN4,$R$1,""))))</f>
        <v>2023 Nationals</v>
      </c>
      <c r="M4" s="9">
        <f>IF(MAX(AQ4,BR4,CS4)&gt;0,MAX(AQ4,BR4,CS4),0)</f>
        <v>43.6</v>
      </c>
      <c r="N4" s="9" t="str">
        <f>IF(M4=0,"",IF(M4=CS4,$BT$1,IF(M4=BR4,$AS$1,IF(M4=AQ4,$R$1,""))))</f>
        <v>2023 Nationals</v>
      </c>
      <c r="O4" s="9">
        <f>IF(MAX(CU4:CV4)&gt;0,MAX(CU4:CV4),"")</f>
        <v>3.8000000000000043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15.9</v>
      </c>
      <c r="S4" s="20">
        <v>4.8</v>
      </c>
      <c r="T4" s="20">
        <v>0</v>
      </c>
      <c r="U4" s="20">
        <v>0.6</v>
      </c>
      <c r="V4" s="20">
        <v>13.4</v>
      </c>
      <c r="W4" s="20">
        <v>5.3</v>
      </c>
      <c r="X4" s="20">
        <v>0.2</v>
      </c>
      <c r="Y4" s="20">
        <v>0.6</v>
      </c>
      <c r="Z4" s="20">
        <v>15.6</v>
      </c>
      <c r="AA4" s="20">
        <v>4.5999999999999996</v>
      </c>
      <c r="AB4" s="20">
        <v>0</v>
      </c>
      <c r="AC4" s="20">
        <v>0.6</v>
      </c>
      <c r="AD4" s="20">
        <v>14.6</v>
      </c>
      <c r="AE4" s="20">
        <v>4.5999999999999996</v>
      </c>
      <c r="AF4" s="20">
        <v>0</v>
      </c>
      <c r="AG4" s="20">
        <v>0.6</v>
      </c>
      <c r="AH4" s="20">
        <v>16.600000000000001</v>
      </c>
      <c r="AI4" s="20">
        <v>4.5999999999999996</v>
      </c>
      <c r="AJ4" s="20">
        <v>0</v>
      </c>
      <c r="AK4" s="20">
        <v>0.6</v>
      </c>
      <c r="AL4" s="32"/>
      <c r="AM4" s="55">
        <f>IF(SUM(S4,W4)&gt;0,SUM(S4,W4),"")</f>
        <v>10.1</v>
      </c>
      <c r="AN4" s="55">
        <f>IF(SUM(R4:S4,U4:W4,Y4)-T4-X4&gt;0,SUM(R4:S4,U4:W4,Y4)-T4-X4,"")</f>
        <v>40.4</v>
      </c>
      <c r="AO4" s="55">
        <f>IF(SUM(Z4:AA4,AC4)-AB4&gt;0,SUM(Z4:AA4,AC4)-AB4,"")</f>
        <v>20.8</v>
      </c>
      <c r="AP4" s="55">
        <f>IF(SUM(AE4,AI4)&gt;0,SUM(AE4,AI4),"")</f>
        <v>9.1999999999999993</v>
      </c>
      <c r="AQ4" s="55">
        <f>IF(SUM(AD4:AE4,AG4:AI4,AK4)-SUM(AF4,AJ4)&gt;0,SUM(AD4:AE4,AG4:AI4,AK4)-SUM(AF4,AJ4),"")</f>
        <v>41.600000000000009</v>
      </c>
      <c r="AR4" s="55">
        <f>IF(SUM(AN4,AO4,AQ4)&gt;0,SUM(AN4,AO4,AQ4),"")</f>
        <v>102.80000000000001</v>
      </c>
      <c r="AS4" s="19">
        <v>14.8</v>
      </c>
      <c r="AT4" s="19">
        <v>4.8</v>
      </c>
      <c r="AU4" s="19">
        <v>0.2</v>
      </c>
      <c r="AV4" s="19">
        <v>0.6</v>
      </c>
      <c r="AW4" s="19">
        <v>15.9</v>
      </c>
      <c r="AX4" s="19">
        <v>4.3</v>
      </c>
      <c r="AY4" s="19">
        <v>0</v>
      </c>
      <c r="AZ4" s="19">
        <v>0.3</v>
      </c>
      <c r="BA4" s="19">
        <v>15.6</v>
      </c>
      <c r="BB4" s="19">
        <v>4.8</v>
      </c>
      <c r="BC4" s="19">
        <v>0</v>
      </c>
      <c r="BD4" s="19">
        <v>0.6</v>
      </c>
      <c r="BE4" s="19">
        <v>16.5</v>
      </c>
      <c r="BF4" s="19">
        <v>4.8</v>
      </c>
      <c r="BG4" s="19">
        <v>0.2</v>
      </c>
      <c r="BH4" s="19">
        <v>0.6</v>
      </c>
      <c r="BI4" s="19">
        <v>16</v>
      </c>
      <c r="BJ4" s="19">
        <v>5.3</v>
      </c>
      <c r="BK4" s="19">
        <v>0</v>
      </c>
      <c r="BL4" s="19">
        <v>0.6</v>
      </c>
      <c r="BM4" s="33"/>
      <c r="BN4" s="14">
        <f>IF(SUM(AT4,AX4)&gt;0,SUM(AT4,AX4),"")</f>
        <v>9.1</v>
      </c>
      <c r="BO4" s="14">
        <f>IF(SUM(AS4:AT4,AV4:AX4,AZ4)-AU4-AY4&gt;0,SUM(AS4:AT4,AV4:AX4,AZ4)-AU4-AY4,"")</f>
        <v>40.499999999999993</v>
      </c>
      <c r="BP4" s="14">
        <f>IF(SUM(BA4:BB4,BD4)-BC4&gt;0,SUM(BA4:BB4,BD4)-BC4,"")</f>
        <v>21</v>
      </c>
      <c r="BQ4" s="14">
        <f>IF(SUM(BF4,BJ4)&gt;0,SUM(BF4,BJ4),"")</f>
        <v>10.1</v>
      </c>
      <c r="BR4" s="14">
        <f>IF(SUM(BE4:BF4,BH4:BJ4,BL4)-SUM(BG4,BK4)&gt;0,SUM(BE4:BF4,BH4:BJ4,BL4)-SUM(BG4,BK4),"")</f>
        <v>43.6</v>
      </c>
      <c r="BS4" s="14">
        <f>IF(SUM(BO4,BP4,BR4)&gt;0,SUM(BO4,BP4,BR4),"")</f>
        <v>105.1</v>
      </c>
      <c r="BT4" s="20">
        <v>17.399999999999999</v>
      </c>
      <c r="BU4" s="20">
        <v>5.3</v>
      </c>
      <c r="BV4" s="20">
        <v>0</v>
      </c>
      <c r="BW4" s="20">
        <v>0.6</v>
      </c>
      <c r="BX4" s="20">
        <v>17.3</v>
      </c>
      <c r="BY4" s="20">
        <v>5.5</v>
      </c>
      <c r="BZ4" s="20">
        <v>0</v>
      </c>
      <c r="CA4" s="20">
        <v>0.6</v>
      </c>
      <c r="CB4" s="20">
        <v>17</v>
      </c>
      <c r="CC4" s="20">
        <v>5.5</v>
      </c>
      <c r="CD4" s="20">
        <v>0</v>
      </c>
      <c r="CE4" s="20">
        <v>0.6</v>
      </c>
      <c r="CF4" s="20">
        <v>17</v>
      </c>
      <c r="CG4" s="20">
        <v>5.3</v>
      </c>
      <c r="CH4" s="20">
        <v>0</v>
      </c>
      <c r="CI4" s="20">
        <v>0.6</v>
      </c>
      <c r="CJ4" s="20">
        <v>15.8</v>
      </c>
      <c r="CK4" s="20">
        <v>3.3</v>
      </c>
      <c r="CL4" s="20">
        <v>0</v>
      </c>
      <c r="CM4" s="20">
        <v>0.6</v>
      </c>
      <c r="CN4" s="32"/>
      <c r="CO4" s="55">
        <f>IF(SUM(BU4,BY4)&gt;0,SUM(BU4,BY4),"")</f>
        <v>10.8</v>
      </c>
      <c r="CP4" s="55">
        <f>IF(SUM(BT4:BU4,BW4:BY4,CA4)-BV4-BZ4&gt;0,SUM(BT4:BU4,BW4:BY4,CA4)-BV4-BZ4,"")</f>
        <v>46.7</v>
      </c>
      <c r="CQ4" s="55">
        <f>IF(SUM(CB4:CC4,CE4)-CD4&gt;0,SUM(CB4:CC4,CE4)-CD4,"")</f>
        <v>23.1</v>
      </c>
      <c r="CR4" s="55">
        <f>IF(SUM(CG4,CK4)&gt;0,SUM(CG4,CK4),"")</f>
        <v>8.6</v>
      </c>
      <c r="CS4" s="55">
        <f>IF(SUM(CF4:CG4,CI4:CK4,CM4)-SUM(CH4,CL4)&gt;0,SUM(CF4:CG4,CI4:CK4,CM4)-SUM(CH4,CL4),"")</f>
        <v>42.6</v>
      </c>
      <c r="CT4" s="55">
        <f>IF(SUM(CP4,CQ4,CS4)&gt;0,SUM(CP4,CQ4,CS4),"")</f>
        <v>112.4</v>
      </c>
      <c r="CU4" s="56">
        <f>IF(MAX(DR4,ER4,FR4,GR4,HR4,IR4,JR4,KR4,LR4,MR4,NR4,OR4)-IF(K4="",0,K4)&gt;0.001,MAX(DR4,ER4,FR4,GR4,HR4,IR4,JR4,KR4,LR4,MR4,NR4,OR4)-IF(K4="",0,K4),"")</f>
        <v>3.8000000000000043</v>
      </c>
      <c r="CV4" s="56" t="str">
        <f>IF(MAX(DU4,EU4,FU4,GU4,HU4,IU4,JU4,KU4,LU4,MU4,NU4,OU4)-IF(M4="",0,M4)&gt;0.001,MAX(DU4,EU4,FU4,GU4,HU4,IU4,JU4,KU4,LU4,MU4,NU4,OU4)-IF(M4="",0,M4),"")</f>
        <v/>
      </c>
      <c r="CW4" s="18">
        <v>16.8</v>
      </c>
      <c r="CX4" s="18">
        <v>6.2</v>
      </c>
      <c r="CY4" s="18">
        <v>0</v>
      </c>
      <c r="CZ4" s="18">
        <v>0</v>
      </c>
      <c r="DA4" s="18">
        <v>15.4</v>
      </c>
      <c r="DB4" s="18">
        <v>6.1</v>
      </c>
      <c r="DC4" s="18">
        <v>0.2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12.3</v>
      </c>
      <c r="DR4" s="55">
        <f>IF(SUM(CW4:CX4,CZ4:DB4,DD4)-CY4-DC4&gt;0,SUM(CW4:CX4,CZ4:DB4,DD4)-CY4-DC4,"")</f>
        <v>44.3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IF(SUM(DR4,DS4,DU4)&gt;0,SUM(DR4,DS4,DU4),"")</f>
        <v>44.3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16.100000000000001</v>
      </c>
      <c r="OX4" s="27">
        <f>IF($CN4="P",BU4,(BU4+AT4)/2)</f>
        <v>5.05</v>
      </c>
      <c r="OY4" s="27">
        <f>IF($CN4="P",BV4,(BV4+AU4)/2)</f>
        <v>0.1</v>
      </c>
      <c r="OZ4" s="27">
        <f>IF($CN4="P",BW4,(BW4+AV4)/2)</f>
        <v>0.6</v>
      </c>
      <c r="PA4" s="27">
        <f>IF($CN4="P",BX4,(BX4+AW4)/2)</f>
        <v>16.600000000000001</v>
      </c>
      <c r="PB4" s="27">
        <f>IF($CN4="P",BY4,(BY4+AX4)/2)</f>
        <v>4.9000000000000004</v>
      </c>
      <c r="PC4" s="27">
        <f>IF($CN4="P",BZ4,(BZ4+AY4)/2)</f>
        <v>0</v>
      </c>
      <c r="PD4" s="27">
        <f>IF($CN4="P",CA4,(CA4+AZ4)/2)</f>
        <v>0.44999999999999996</v>
      </c>
      <c r="PE4" s="27">
        <f>IF($CN4="P",CB4,(CB4+BA4)/2)</f>
        <v>16.3</v>
      </c>
      <c r="PF4" s="27">
        <f>IF($CN4="P",CC4,(CC4+BB4)/2)</f>
        <v>5.15</v>
      </c>
      <c r="PG4" s="27">
        <f>IF($CN4="P",CD4,(CD4+BC4)/2)</f>
        <v>0</v>
      </c>
      <c r="PH4" s="27">
        <f>IF($CN4="P",CE4,(CE4+BD4)/2)</f>
        <v>0.6</v>
      </c>
      <c r="PI4" s="27">
        <f>IF($CN4="P",CF4,(CF4+BE4)/2)</f>
        <v>16.75</v>
      </c>
      <c r="PJ4" s="27">
        <f>IF($CN4="P",CG4,(CG4+BF4)/2)</f>
        <v>5.05</v>
      </c>
      <c r="PK4" s="27">
        <f>IF($CN4="P",CH4,(CH4+BG4)/2)</f>
        <v>0.1</v>
      </c>
      <c r="PL4" s="27">
        <f>IF($CN4="P",CI4,(CI4+BH4)/2)</f>
        <v>0.6</v>
      </c>
      <c r="PM4" s="27">
        <f>IF($CN4="P",CJ4,(CJ4+BI4)/2)</f>
        <v>15.9</v>
      </c>
      <c r="PN4" s="27">
        <f>IF($CN4="P",CK4,(CK4+BJ4)/2)</f>
        <v>4.3</v>
      </c>
      <c r="PO4" s="27">
        <f>IF($CN4="P",CL4,(CL4+BK4)/2)</f>
        <v>0</v>
      </c>
      <c r="PP4" s="27">
        <f>IF($CN4="P",CM4,(CM4+BL4)/2)</f>
        <v>0.6</v>
      </c>
      <c r="PQ4" s="32" t="s">
        <v>44</v>
      </c>
      <c r="PR4" s="55">
        <f>IF(SUM(OX4,PB4)&gt;0,SUM(OX4,PB4),"")</f>
        <v>9.9499999999999993</v>
      </c>
      <c r="PS4" s="55">
        <f>IF(SUM(OW4:OX4,OZ4:PB4,PD4)-OY4-PC4&gt;0,SUM(OW4:OX4,OZ4:PB4,PD4)-OY4-PC4,"")</f>
        <v>43.600000000000009</v>
      </c>
      <c r="PT4" s="55">
        <f>IF(SUM(PE4:PF4,PH4)-PG4&gt;0,SUM(PE4:PF4,PH4)-PG4,"")</f>
        <v>22.050000000000004</v>
      </c>
      <c r="PU4" s="55">
        <f>IF(SUM(PJ4,PN4)&gt;0,SUM(PJ4,PN4),"")</f>
        <v>9.35</v>
      </c>
      <c r="PV4" s="55">
        <f>IF(SUM(PI4:PJ4,PL4:PN4,PP4)-SUM(PK4,PO4)&gt;0,SUM(PI4:PJ4,PL4:PN4,PP4)-SUM(PK4,PO4),"")</f>
        <v>43.1</v>
      </c>
      <c r="PW4" s="55">
        <f>IF(SUM(PS4,PT4,PV4)&gt;0,SUM(PS4,PT4,PV4),"")</f>
        <v>108.75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86</v>
      </c>
      <c r="C5" s="4" t="s">
        <v>65</v>
      </c>
      <c r="D5" s="4">
        <v>2008</v>
      </c>
      <c r="E5" s="10">
        <f>SUM(I5:O5)+SUM(I5:M5)*0.0000001+SUM(I5)*0.0000000000001</f>
        <v>130.90001295000431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National Team</v>
      </c>
      <c r="I5" s="9">
        <f>IF(COUNT(AN5,BO5,CP5)&gt;0,LARGE((AN5,BO5,CP5),1),0)</f>
        <v>43.199999999999996</v>
      </c>
      <c r="J5" s="9" t="str">
        <f>IF(I5=0,"",IF(I5=CP5,$BT$1,IF(I5=BO5,$AS$1,IF(I5=AN5,$R$1,""))))</f>
        <v>2023 Elite Canada</v>
      </c>
      <c r="K5" s="9">
        <f>IF(COUNT(AN5,BO5,CP5)&gt;1,LARGE((AN5,BO5,CP5),2),0)</f>
        <v>41.900000000000006</v>
      </c>
      <c r="L5" s="9" t="str">
        <f>IF(K5=0,"",IF(K5=CP5,$BT$1,IF(K5=BO5,$AS$1,IF(K5=AN5,$R$1,""))))</f>
        <v>2023 Nationals</v>
      </c>
      <c r="M5" s="9">
        <f>IF(MAX(AQ5,BR5,CS5)&gt;0,MAX(AQ5,BR5,CS5),0)</f>
        <v>44.4</v>
      </c>
      <c r="N5" s="9" t="str">
        <f>IF(M5=0,"",IF(M5=CS5,$BT$1,IF(M5=BR5,$AS$1,IF(M5=AQ5,$R$1,""))))</f>
        <v>2023 Elite Canada</v>
      </c>
      <c r="O5" s="9">
        <f>IF(MAX(CU5:CV5)&gt;0,MAX(CU5:CV5),"")</f>
        <v>1.3999999999999915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WAGC (Nov 18)</v>
      </c>
      <c r="R5" s="20">
        <v>16.2</v>
      </c>
      <c r="S5" s="20">
        <v>5.0999999999999996</v>
      </c>
      <c r="T5" s="20">
        <v>0</v>
      </c>
      <c r="U5" s="20">
        <v>0.3</v>
      </c>
      <c r="V5" s="20">
        <v>16</v>
      </c>
      <c r="W5" s="20">
        <v>5</v>
      </c>
      <c r="X5" s="20">
        <v>0</v>
      </c>
      <c r="Y5" s="20">
        <v>0.6</v>
      </c>
      <c r="Z5" s="20">
        <v>16.3</v>
      </c>
      <c r="AA5" s="20">
        <v>5</v>
      </c>
      <c r="AB5" s="20">
        <v>0</v>
      </c>
      <c r="AC5" s="20">
        <v>0.6</v>
      </c>
      <c r="AD5" s="20">
        <v>16.5</v>
      </c>
      <c r="AE5" s="20">
        <v>5</v>
      </c>
      <c r="AF5" s="20">
        <v>0</v>
      </c>
      <c r="AG5" s="20">
        <v>0.6</v>
      </c>
      <c r="AH5" s="20">
        <v>16.899999999999999</v>
      </c>
      <c r="AI5" s="20">
        <v>4.8</v>
      </c>
      <c r="AJ5" s="20">
        <v>0</v>
      </c>
      <c r="AK5" s="20">
        <v>0.6</v>
      </c>
      <c r="AL5" s="32"/>
      <c r="AM5" s="55">
        <f>IF(SUM(S5,W5)&gt;0,SUM(S5,W5),"")</f>
        <v>10.1</v>
      </c>
      <c r="AN5" s="55">
        <f>IF(SUM(R5:S5,U5:W5,Y5)-T5-X5&gt;0,SUM(R5:S5,U5:W5,Y5)-T5-X5,"")</f>
        <v>43.199999999999996</v>
      </c>
      <c r="AO5" s="55">
        <f>IF(SUM(Z5:AA5,AC5)-AB5&gt;0,SUM(Z5:AA5,AC5)-AB5,"")</f>
        <v>21.900000000000002</v>
      </c>
      <c r="AP5" s="55">
        <f>IF(SUM(AE5,AI5)&gt;0,SUM(AE5,AI5),"")</f>
        <v>9.8000000000000007</v>
      </c>
      <c r="AQ5" s="55">
        <f>IF(SUM(AD5:AE5,AG5:AI5,AK5)-SUM(AF5,AJ5)&gt;0,SUM(AD5:AE5,AG5:AI5,AK5)-SUM(AF5,AJ5),"")</f>
        <v>44.4</v>
      </c>
      <c r="AR5" s="55">
        <f>IF(SUM(AN5,AO5,AQ5)&gt;0,SUM(AN5,AO5,AQ5),"")</f>
        <v>109.5</v>
      </c>
      <c r="AS5" s="19">
        <v>15.5</v>
      </c>
      <c r="AT5" s="19">
        <v>5.0999999999999996</v>
      </c>
      <c r="AU5" s="19">
        <v>0</v>
      </c>
      <c r="AV5" s="19">
        <v>0.3</v>
      </c>
      <c r="AW5" s="19">
        <v>14.7</v>
      </c>
      <c r="AX5" s="19">
        <v>5.7</v>
      </c>
      <c r="AY5" s="19">
        <v>0</v>
      </c>
      <c r="AZ5" s="19">
        <v>0.6</v>
      </c>
      <c r="BA5" s="19">
        <v>15.9</v>
      </c>
      <c r="BB5" s="19">
        <v>5.0999999999999996</v>
      </c>
      <c r="BC5" s="19">
        <v>0</v>
      </c>
      <c r="BD5" s="19">
        <v>0.3</v>
      </c>
      <c r="BE5" s="19">
        <v>16.7</v>
      </c>
      <c r="BF5" s="19">
        <v>5.3</v>
      </c>
      <c r="BG5" s="19">
        <v>0</v>
      </c>
      <c r="BH5" s="19">
        <v>0.3</v>
      </c>
      <c r="BI5" s="19">
        <v>15.4</v>
      </c>
      <c r="BJ5" s="19">
        <v>5.5</v>
      </c>
      <c r="BK5" s="19">
        <v>0</v>
      </c>
      <c r="BL5" s="19">
        <v>0.6</v>
      </c>
      <c r="BM5" s="33"/>
      <c r="BN5" s="14">
        <f>IF(SUM(AT5,AX5)&gt;0,SUM(AT5,AX5),"")</f>
        <v>10.8</v>
      </c>
      <c r="BO5" s="14">
        <f>IF(SUM(AS5:AT5,AV5:AX5,AZ5)-AU5-AY5&gt;0,SUM(AS5:AT5,AV5:AX5,AZ5)-AU5-AY5,"")</f>
        <v>41.900000000000006</v>
      </c>
      <c r="BP5" s="14">
        <f>IF(SUM(BA5:BB5,BD5)-BC5&gt;0,SUM(BA5:BB5,BD5)-BC5,"")</f>
        <v>21.3</v>
      </c>
      <c r="BQ5" s="14">
        <f>IF(SUM(BF5,BJ5)&gt;0,SUM(BF5,BJ5),"")</f>
        <v>10.8</v>
      </c>
      <c r="BR5" s="14">
        <f>IF(SUM(BE5:BF5,BH5:BJ5,BL5)-SUM(BG5,BK5)&gt;0,SUM(BE5:BF5,BH5:BJ5,BL5)-SUM(BG5,BK5),"")</f>
        <v>43.800000000000004</v>
      </c>
      <c r="BS5" s="14">
        <f>IF(SUM(BO5,BP5,BR5)&gt;0,SUM(BO5,BP5,BR5),"")</f>
        <v>107</v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IF(SUM(CP5,CQ5,CS5)&gt;0,SUM(CP5,CQ5,CS5),"")</f>
        <v/>
      </c>
      <c r="CU5" s="56">
        <f>IF(MAX(DR5,ER5,FR5,GR5,HR5,IR5,JR5,KR5,LR5,MR5,NR5,OR5)-IF(K5="",0,K5)&gt;0.001,MAX(DR5,ER5,FR5,GR5,HR5,IR5,JR5,KR5,LR5,MR5,NR5,OR5)-IF(K5="",0,K5),"")</f>
        <v>1.3999999999999915</v>
      </c>
      <c r="CV5" s="56" t="str">
        <f>IF(MAX(DU5,EU5,FU5,GU5,HU5,IU5,JU5,KU5,LU5,MU5,NU5,OU5)-IF(M5="",0,M5)&gt;0.001,MAX(DU5,EU5,FU5,GU5,HU5,IU5,JU5,KU5,LU5,MU5,NU5,OU5)-IF(M5="",0,M5),"")</f>
        <v/>
      </c>
      <c r="CW5" s="18">
        <v>16.2</v>
      </c>
      <c r="CX5" s="18">
        <v>5.8</v>
      </c>
      <c r="CY5" s="18">
        <v>0</v>
      </c>
      <c r="CZ5" s="18">
        <v>0</v>
      </c>
      <c r="DA5" s="18">
        <v>16.3</v>
      </c>
      <c r="DB5" s="18">
        <v>5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10.8</v>
      </c>
      <c r="DR5" s="55">
        <f>IF(SUM(CW5:CX5,CZ5:DB5,DD5)-CY5-DC5&gt;0,SUM(CW5:CX5,CZ5:DB5,DD5)-CY5-DC5,"")</f>
        <v>43.3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43.3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7.75</v>
      </c>
      <c r="OX5" s="27">
        <f>IF($CN5="P",BU5,(BU5+AT5)/2)</f>
        <v>2.5499999999999998</v>
      </c>
      <c r="OY5" s="27">
        <f>IF($CN5="P",BV5,(BV5+AU5)/2)</f>
        <v>0</v>
      </c>
      <c r="OZ5" s="27">
        <f>IF($CN5="P",BW5,(BW5+AV5)/2)</f>
        <v>0.15</v>
      </c>
      <c r="PA5" s="27">
        <f>IF($CN5="P",BX5,(BX5+AW5)/2)</f>
        <v>7.35</v>
      </c>
      <c r="PB5" s="27">
        <f>IF($CN5="P",BY5,(BY5+AX5)/2)</f>
        <v>2.85</v>
      </c>
      <c r="PC5" s="27">
        <f>IF($CN5="P",BZ5,(BZ5+AY5)/2)</f>
        <v>0</v>
      </c>
      <c r="PD5" s="27">
        <f>IF($CN5="P",CA5,(CA5+AZ5)/2)</f>
        <v>0.3</v>
      </c>
      <c r="PE5" s="27">
        <f>IF($CN5="P",CB5,(CB5+BA5)/2)</f>
        <v>7.95</v>
      </c>
      <c r="PF5" s="27">
        <f>IF($CN5="P",CC5,(CC5+BB5)/2)</f>
        <v>2.5499999999999998</v>
      </c>
      <c r="PG5" s="27">
        <f>IF($CN5="P",CD5,(CD5+BC5)/2)</f>
        <v>0</v>
      </c>
      <c r="PH5" s="27">
        <f>IF($CN5="P",CE5,(CE5+BD5)/2)</f>
        <v>0.15</v>
      </c>
      <c r="PI5" s="27">
        <f>IF($CN5="P",CF5,(CF5+BE5)/2)</f>
        <v>8.35</v>
      </c>
      <c r="PJ5" s="27">
        <f>IF($CN5="P",CG5,(CG5+BF5)/2)</f>
        <v>2.65</v>
      </c>
      <c r="PK5" s="27">
        <f>IF($CN5="P",CH5,(CH5+BG5)/2)</f>
        <v>0</v>
      </c>
      <c r="PL5" s="27">
        <f>IF($CN5="P",CI5,(CI5+BH5)/2)</f>
        <v>0.15</v>
      </c>
      <c r="PM5" s="27">
        <f>IF($CN5="P",CJ5,(CJ5+BI5)/2)</f>
        <v>7.7</v>
      </c>
      <c r="PN5" s="27">
        <f>IF($CN5="P",CK5,(CK5+BJ5)/2)</f>
        <v>2.75</v>
      </c>
      <c r="PO5" s="27">
        <f>IF($CN5="P",CL5,(CL5+BK5)/2)</f>
        <v>0</v>
      </c>
      <c r="PP5" s="27">
        <f>IF($CN5="P",CM5,(CM5+BL5)/2)</f>
        <v>0.3</v>
      </c>
      <c r="PQ5" s="32" t="s">
        <v>44</v>
      </c>
      <c r="PR5" s="55">
        <f>IF(SUM(OX5,PB5)&gt;0,SUM(OX5,PB5),"")</f>
        <v>5.4</v>
      </c>
      <c r="PS5" s="55">
        <f>IF(SUM(OW5:OX5,OZ5:PB5,PD5)-OY5-PC5&gt;0,SUM(OW5:OX5,OZ5:PB5,PD5)-OY5-PC5,"")</f>
        <v>20.950000000000003</v>
      </c>
      <c r="PT5" s="55">
        <f>IF(SUM(PE5:PF5,PH5)-PG5&gt;0,SUM(PE5:PF5,PH5)-PG5,"")</f>
        <v>10.65</v>
      </c>
      <c r="PU5" s="55">
        <f>IF(SUM(PJ5,PN5)&gt;0,SUM(PJ5,PN5),"")</f>
        <v>5.4</v>
      </c>
      <c r="PV5" s="55">
        <f>IF(SUM(PI5:PJ5,PL5:PN5,PP5)-SUM(PK5,PO5)&gt;0,SUM(PI5:PJ5,PL5:PN5,PP5)-SUM(PK5,PO5),"")</f>
        <v>21.900000000000002</v>
      </c>
      <c r="PW5" s="55">
        <f>IF(SUM(PS5,PT5,PV5)&gt;0,SUM(PS5,PT5,PV5),"")</f>
        <v>53.5</v>
      </c>
    </row>
    <row r="6" spans="1:439" x14ac:dyDescent="0.2">
      <c r="A6" s="4" t="str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/>
      </c>
      <c r="B6" s="5" t="s">
        <v>80</v>
      </c>
      <c r="C6" s="4" t="s">
        <v>68</v>
      </c>
      <c r="D6" s="4">
        <v>2007</v>
      </c>
      <c r="E6" s="10">
        <f>SUM(I6:O6)+SUM(I6:M6)*0.0000001+SUM(I6)*0.0000000000001</f>
        <v>127.30001273000421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/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/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/>
      </c>
      <c r="I6" s="9">
        <f>IF(COUNT(AN6,BO6,CP6)&gt;0,LARGE((AN6,BO6,CP6),1),0)</f>
        <v>42.399999999999991</v>
      </c>
      <c r="J6" s="9" t="str">
        <f>IF(I6=0,"",IF(I6=CP6,$BT$1,IF(I6=BO6,$AS$1,IF(I6=AN6,$R$1,""))))</f>
        <v>2023 3rd Domestic Trial</v>
      </c>
      <c r="K6" s="9">
        <f>IF(COUNT(AN6,BO6,CP6)&gt;1,LARGE((AN6,BO6,CP6),2),0)</f>
        <v>41.9</v>
      </c>
      <c r="L6" s="9" t="str">
        <f>IF(K6=0,"",IF(K6=CP6,$BT$1,IF(K6=BO6,$AS$1,IF(K6=AN6,$R$1,""))))</f>
        <v>2023 Elite Canada</v>
      </c>
      <c r="M6" s="9">
        <f>IF(MAX(AQ6,BR6,CS6)&gt;0,MAX(AQ6,BR6,CS6),0)</f>
        <v>43.000000000000007</v>
      </c>
      <c r="N6" s="9" t="str">
        <f>IF(M6=0,"",IF(M6=CS6,$BT$1,IF(M6=BR6,$AS$1,IF(M6=AQ6,$R$1,""))))</f>
        <v>2023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15.8</v>
      </c>
      <c r="S6" s="20">
        <v>4.5999999999999996</v>
      </c>
      <c r="T6" s="20">
        <v>0.2</v>
      </c>
      <c r="U6" s="20">
        <v>0.6</v>
      </c>
      <c r="V6" s="20">
        <v>16.7</v>
      </c>
      <c r="W6" s="20">
        <v>4.0999999999999996</v>
      </c>
      <c r="X6" s="20">
        <v>0</v>
      </c>
      <c r="Y6" s="20">
        <v>0.3</v>
      </c>
      <c r="Z6" s="20"/>
      <c r="AA6" s="20"/>
      <c r="AB6" s="20"/>
      <c r="AC6" s="20"/>
      <c r="AD6" s="20">
        <v>16.600000000000001</v>
      </c>
      <c r="AE6" s="20">
        <v>4.5999999999999996</v>
      </c>
      <c r="AF6" s="20">
        <v>0</v>
      </c>
      <c r="AG6" s="20">
        <v>0.6</v>
      </c>
      <c r="AH6" s="20">
        <v>16.8</v>
      </c>
      <c r="AI6" s="20">
        <v>4.0999999999999996</v>
      </c>
      <c r="AJ6" s="20">
        <v>0</v>
      </c>
      <c r="AK6" s="20">
        <v>0.3</v>
      </c>
      <c r="AL6" s="32"/>
      <c r="AM6" s="55">
        <f>IF(SUM(S6,W6)&gt;0,SUM(S6,W6),"")</f>
        <v>8.6999999999999993</v>
      </c>
      <c r="AN6" s="55">
        <f>IF(SUM(R6:S6,U6:W6,Y6)-T6-X6&gt;0,SUM(R6:S6,U6:W6,Y6)-T6-X6,"")</f>
        <v>41.9</v>
      </c>
      <c r="AO6" s="55" t="str">
        <f>IF(SUM(Z6:AA6,AC6)-AB6&gt;0,SUM(Z6:AA6,AC6)-AB6,"")</f>
        <v/>
      </c>
      <c r="AP6" s="55">
        <f>IF(SUM(AE6,AI6)&gt;0,SUM(AE6,AI6),"")</f>
        <v>8.6999999999999993</v>
      </c>
      <c r="AQ6" s="55">
        <f>IF(SUM(AD6:AE6,AG6:AI6,AK6)-SUM(AF6,AJ6)&gt;0,SUM(AD6:AE6,AG6:AI6,AK6)-SUM(AF6,AJ6),"")</f>
        <v>43.000000000000007</v>
      </c>
      <c r="AR6" s="55">
        <f>IF(SUM(AN6,AO6,AQ6)&gt;0,SUM(AN6,AO6,AQ6),"")</f>
        <v>84.9</v>
      </c>
      <c r="AS6" s="19">
        <v>16.600000000000001</v>
      </c>
      <c r="AT6" s="19">
        <v>5.0999999999999996</v>
      </c>
      <c r="AU6" s="19">
        <v>0</v>
      </c>
      <c r="AV6" s="19">
        <v>0.3</v>
      </c>
      <c r="AW6" s="19">
        <v>15.1</v>
      </c>
      <c r="AX6" s="19">
        <v>1.9</v>
      </c>
      <c r="AY6" s="19">
        <v>0</v>
      </c>
      <c r="AZ6" s="19">
        <v>0.3</v>
      </c>
      <c r="BA6" s="19">
        <v>14.1</v>
      </c>
      <c r="BB6" s="19">
        <v>2.7</v>
      </c>
      <c r="BC6" s="19">
        <v>0</v>
      </c>
      <c r="BD6" s="19">
        <v>0.3</v>
      </c>
      <c r="BE6" s="19">
        <v>15.8</v>
      </c>
      <c r="BF6" s="19">
        <v>3.6</v>
      </c>
      <c r="BG6" s="19">
        <v>0.9</v>
      </c>
      <c r="BH6" s="19">
        <v>0.3</v>
      </c>
      <c r="BI6" s="19">
        <v>16.100000000000001</v>
      </c>
      <c r="BJ6" s="19">
        <v>3.9</v>
      </c>
      <c r="BK6" s="19">
        <v>0.2</v>
      </c>
      <c r="BL6" s="19">
        <v>0.3</v>
      </c>
      <c r="BM6" s="33"/>
      <c r="BN6" s="14">
        <f>IF(SUM(AT6,AX6)&gt;0,SUM(AT6,AX6),"")</f>
        <v>7</v>
      </c>
      <c r="BO6" s="14">
        <f>IF(SUM(AS6:AT6,AV6:AX6,AZ6)-AU6-AY6&gt;0,SUM(AS6:AT6,AV6:AX6,AZ6)-AU6-AY6,"")</f>
        <v>39.299999999999997</v>
      </c>
      <c r="BP6" s="14">
        <f>IF(SUM(BA6:BB6,BD6)-BC6&gt;0,SUM(BA6:BB6,BD6)-BC6,"")</f>
        <v>17.100000000000001</v>
      </c>
      <c r="BQ6" s="14">
        <f>IF(SUM(BF6,BJ6)&gt;0,SUM(BF6,BJ6),"")</f>
        <v>7.5</v>
      </c>
      <c r="BR6" s="14">
        <f>IF(SUM(BE6:BF6,BH6:BJ6,BL6)-SUM(BG6,BK6)&gt;0,SUM(BE6:BF6,BH6:BJ6,BL6)-SUM(BG6,BK6),"")</f>
        <v>38.9</v>
      </c>
      <c r="BS6" s="14">
        <f>IF(SUM(BO6,BP6,BR6)&gt;0,SUM(BO6,BP6,BR6),"")</f>
        <v>95.3</v>
      </c>
      <c r="BT6" s="20">
        <v>17.2</v>
      </c>
      <c r="BU6" s="20">
        <v>4.0999999999999996</v>
      </c>
      <c r="BV6" s="20">
        <v>0</v>
      </c>
      <c r="BW6" s="20">
        <v>0.3</v>
      </c>
      <c r="BX6" s="20">
        <v>17</v>
      </c>
      <c r="BY6" s="20">
        <v>3.9</v>
      </c>
      <c r="BZ6" s="20">
        <v>0.4</v>
      </c>
      <c r="CA6" s="20">
        <v>0.3</v>
      </c>
      <c r="CB6" s="20">
        <v>17</v>
      </c>
      <c r="CC6" s="20">
        <v>3.6</v>
      </c>
      <c r="CD6" s="20">
        <v>0.5</v>
      </c>
      <c r="CE6" s="20">
        <v>0</v>
      </c>
      <c r="CF6" s="20">
        <v>17</v>
      </c>
      <c r="CG6" s="20">
        <v>4.0999999999999996</v>
      </c>
      <c r="CH6" s="20">
        <v>0</v>
      </c>
      <c r="CI6" s="20">
        <v>0.3</v>
      </c>
      <c r="CJ6" s="20">
        <v>14.6</v>
      </c>
      <c r="CK6" s="20">
        <v>3.9</v>
      </c>
      <c r="CL6" s="20">
        <v>0.6</v>
      </c>
      <c r="CM6" s="20">
        <v>0.3</v>
      </c>
      <c r="CN6" s="32"/>
      <c r="CO6" s="55">
        <f>IF(SUM(BU6,BY6)&gt;0,SUM(BU6,BY6),"")</f>
        <v>8</v>
      </c>
      <c r="CP6" s="55">
        <f>IF(SUM(BT6:BU6,BW6:BY6,CA6)-BV6-BZ6&gt;0,SUM(BT6:BU6,BW6:BY6,CA6)-BV6-BZ6,"")</f>
        <v>42.399999999999991</v>
      </c>
      <c r="CQ6" s="55">
        <f>IF(SUM(CB6:CC6,CE6)-CD6&gt;0,SUM(CB6:CC6,CE6)-CD6,"")</f>
        <v>20.100000000000001</v>
      </c>
      <c r="CR6" s="55">
        <f>IF(SUM(CG6,CK6)&gt;0,SUM(CG6,CK6),"")</f>
        <v>8</v>
      </c>
      <c r="CS6" s="55">
        <f>IF(SUM(CF6:CG6,CI6:CK6,CM6)-SUM(CH6,CL6)&gt;0,SUM(CF6:CG6,CI6:CK6,CM6)-SUM(CH6,CL6),"")</f>
        <v>39.599999999999994</v>
      </c>
      <c r="CT6" s="55">
        <f>IF(SUM(CP6,CQ6,CS6)&gt;0,SUM(CP6,CQ6,CS6),"")</f>
        <v>102.1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16.899999999999999</v>
      </c>
      <c r="OX6" s="27">
        <f>IF($CN6="P",BU6,(BU6+AT6)/2)</f>
        <v>4.5999999999999996</v>
      </c>
      <c r="OY6" s="27">
        <f>IF($CN6="P",BV6,(BV6+AU6)/2)</f>
        <v>0</v>
      </c>
      <c r="OZ6" s="27">
        <f>IF($CN6="P",BW6,(BW6+AV6)/2)</f>
        <v>0.3</v>
      </c>
      <c r="PA6" s="27">
        <f>IF($CN6="P",BX6,(BX6+AW6)/2)</f>
        <v>16.05</v>
      </c>
      <c r="PB6" s="27">
        <f>IF($CN6="P",BY6,(BY6+AX6)/2)</f>
        <v>2.9</v>
      </c>
      <c r="PC6" s="27">
        <f>IF($CN6="P",BZ6,(BZ6+AY6)/2)</f>
        <v>0.2</v>
      </c>
      <c r="PD6" s="27">
        <f>IF($CN6="P",CA6,(CA6+AZ6)/2)</f>
        <v>0.3</v>
      </c>
      <c r="PE6" s="27">
        <f>IF($CN6="P",CB6,(CB6+BA6)/2)</f>
        <v>15.55</v>
      </c>
      <c r="PF6" s="27">
        <f>IF($CN6="P",CC6,(CC6+BB6)/2)</f>
        <v>3.1500000000000004</v>
      </c>
      <c r="PG6" s="27">
        <f>IF($CN6="P",CD6,(CD6+BC6)/2)</f>
        <v>0.25</v>
      </c>
      <c r="PH6" s="27">
        <f>IF($CN6="P",CE6,(CE6+BD6)/2)</f>
        <v>0.15</v>
      </c>
      <c r="PI6" s="27">
        <f>IF($CN6="P",CF6,(CF6+BE6)/2)</f>
        <v>16.399999999999999</v>
      </c>
      <c r="PJ6" s="27">
        <f>IF($CN6="P",CG6,(CG6+BF6)/2)</f>
        <v>3.8499999999999996</v>
      </c>
      <c r="PK6" s="27">
        <f>IF($CN6="P",CH6,(CH6+BG6)/2)</f>
        <v>0.45</v>
      </c>
      <c r="PL6" s="27">
        <f>IF($CN6="P",CI6,(CI6+BH6)/2)</f>
        <v>0.3</v>
      </c>
      <c r="PM6" s="27">
        <f>IF($CN6="P",CJ6,(CJ6+BI6)/2)</f>
        <v>15.350000000000001</v>
      </c>
      <c r="PN6" s="27">
        <f>IF($CN6="P",CK6,(CK6+BJ6)/2)</f>
        <v>3.9</v>
      </c>
      <c r="PO6" s="27">
        <f>IF($CN6="P",CL6,(CL6+BK6)/2)</f>
        <v>0.4</v>
      </c>
      <c r="PP6" s="27">
        <f>IF($CN6="P",CM6,(CM6+BL6)/2)</f>
        <v>0.3</v>
      </c>
      <c r="PQ6" s="32" t="s">
        <v>44</v>
      </c>
      <c r="PR6" s="55">
        <f>IF(SUM(OX6,PB6)&gt;0,SUM(OX6,PB6),"")</f>
        <v>7.5</v>
      </c>
      <c r="PS6" s="55">
        <f>IF(SUM(OW6:OX6,OZ6:PB6,PD6)-OY6-PC6&gt;0,SUM(OW6:OX6,OZ6:PB6,PD6)-OY6-PC6,"")</f>
        <v>40.849999999999994</v>
      </c>
      <c r="PT6" s="55">
        <f>IF(SUM(PE6:PF6,PH6)-PG6&gt;0,SUM(PE6:PF6,PH6)-PG6,"")</f>
        <v>18.600000000000001</v>
      </c>
      <c r="PU6" s="55">
        <f>IF(SUM(PJ6,PN6)&gt;0,SUM(PJ6,PN6),"")</f>
        <v>7.75</v>
      </c>
      <c r="PV6" s="55">
        <f>IF(SUM(PI6:PJ6,PL6:PN6,PP6)-SUM(PK6,PO6)&gt;0,SUM(PI6:PJ6,PL6:PN6,PP6)-SUM(PK6,PO6),"")</f>
        <v>39.25</v>
      </c>
      <c r="PW6" s="55">
        <f>IF(SUM(PS6,PT6,PV6)&gt;0,SUM(PS6,PT6,PV6),"")</f>
        <v>98.699999999999989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8.6999999999999993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9.5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9.5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43.1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45.1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45.1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115" priority="2" stopIfTrue="1">
      <formula>IF($AL4&lt;&gt;"",1,0)</formula>
    </cfRule>
  </conditionalFormatting>
  <conditionalFormatting sqref="AS4:BS6">
    <cfRule type="expression" dxfId="114" priority="3" stopIfTrue="1">
      <formula>IF($BM4&lt;&gt;"",1,0)</formula>
    </cfRule>
  </conditionalFormatting>
  <conditionalFormatting sqref="J1:J1048576 L1:L1048576 N1:N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6">
    <cfRule type="expression" dxfId="110" priority="4" stopIfTrue="1">
      <formula>IF($CN4&lt;&gt;"",1,0)</formula>
    </cfRule>
  </conditionalFormatting>
  <conditionalFormatting sqref="A4:A1048576">
    <cfRule type="expression" dxfId="87" priority="13" stopIfTrue="1">
      <formula>IF(A4&gt;4,1,0)</formula>
    </cfRule>
    <cfRule type="expression" dxfId="109" priority="1">
      <formula>AND(G4&lt;&gt;"",F4="")</formula>
    </cfRule>
  </conditionalFormatting>
  <conditionalFormatting sqref="H1:H1048576">
    <cfRule type="containsText" dxfId="108" priority="5" operator="containsText" text="No DD">
      <formula>NOT(ISERROR(SEARCH("No DD",H1)))</formula>
    </cfRule>
    <cfRule type="containsText" dxfId="107" priority="6" operator="containsText" text="Merit">
      <formula>NOT(ISERROR(SEARCH("Merit",H1)))</formula>
    </cfRule>
    <cfRule type="containsText" dxfId="106" priority="7" operator="containsText" text="Excellence">
      <formula>NOT(ISERROR(SEARCH("Excellence",H1)))</formula>
    </cfRule>
    <cfRule type="containsText" dxfId="105" priority="8" operator="containsText" text="Worlds Team">
      <formula>NOT(ISERROR(SEARCH("Worlds Team",H1)))</formula>
    </cfRule>
    <cfRule type="containsText" dxfId="104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3" priority="47560" operator="between">
      <formula>AR$12</formula>
      <formula>1000</formula>
    </cfRule>
    <cfRule type="cellIs" dxfId="102" priority="47561" operator="between">
      <formula>AR$11</formula>
      <formula>AR$12</formula>
    </cfRule>
    <cfRule type="cellIs" dxfId="101" priority="47562" operator="between">
      <formula>AR$10</formula>
      <formula>AR$11</formula>
    </cfRule>
    <cfRule type="cellIs" dxfId="100" priority="47563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9" priority="47740" operator="between">
      <formula>AR$16</formula>
      <formula>1000</formula>
    </cfRule>
    <cfRule type="cellIs" dxfId="98" priority="47741" operator="between">
      <formula>AR$15</formula>
      <formula>AR$16</formula>
    </cfRule>
    <cfRule type="cellIs" dxfId="97" priority="47742" operator="between">
      <formula>AR$14</formula>
      <formula>AR$15</formula>
    </cfRule>
    <cfRule type="cellIs" dxfId="96" priority="47743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5" priority="47920" operator="between">
      <formula>AR$9</formula>
      <formula>AR$10</formula>
    </cfRule>
    <cfRule type="cellIs" dxfId="94" priority="47921" operator="between">
      <formula>AR$10</formula>
      <formula>AR$11</formula>
    </cfRule>
    <cfRule type="cellIs" dxfId="93" priority="47922" operator="between">
      <formula>AR$11</formula>
      <formula>AR$12</formula>
    </cfRule>
    <cfRule type="cellIs" dxfId="92" priority="47923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1" priority="48100" operator="between">
      <formula>AR$13</formula>
      <formula>AR$14</formula>
    </cfRule>
    <cfRule type="cellIs" dxfId="90" priority="48101" operator="between">
      <formula>AR$14</formula>
      <formula>AR$15</formula>
    </cfRule>
    <cfRule type="cellIs" dxfId="89" priority="48102" operator="between">
      <formula>AR$15</formula>
      <formula>AR$16</formula>
    </cfRule>
    <cfRule type="cellIs" dxfId="88" priority="48103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108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100</v>
      </c>
      <c r="C4" s="4" t="s">
        <v>65</v>
      </c>
      <c r="D4" s="4">
        <v>2007</v>
      </c>
      <c r="E4" s="10">
        <f>SUM(I4:O4)+SUM(I4:M4)*0.0000001+SUM(I4)*0.0000000000001</f>
        <v>125.30001200000414</v>
      </c>
      <c r="F4" s="3" t="str">
        <f>IF(OR(AND(AM4&gt;=AR$8,AN4&gt;=AR$12,AM4&lt;&gt;"",AL4=""),AND(AP4&gt;=AR$8,AQ4&gt;=AR$12,AP4&lt;&gt;"",AL4=""),AND(BN4&gt;=BS$8,BO4&gt;=BS$12,BN4&lt;&gt;"",BM4=""),AND(BQ4&gt;=BS$8,BR4&gt;=BS$12,BQ4&lt;&gt;"",BM4=""),AND(CO4&gt;=CT$8,CP4&gt;=CT$12,CO4&lt;&gt;"",CN4=""),AND(CR4&gt;=CT$8,CS4&gt;=CT$12,CR4&lt;&gt;""),AND(DQ4&gt;=DV$8,DR4&gt;=DV$12,DQ4&lt;&gt;""),AND(DT4&gt;=DV$8,DU4&gt;=DV$12,DT4&lt;&gt;""),AND(EQ4&gt;=EV$8,ER4&gt;=EV$12,EQ4&lt;&gt;""),AND(ET4&gt;=EV$8,EU4&gt;=EV$12,ET4&lt;&gt;""),AND(FQ4&gt;=FV$8,FR4&gt;=FV$12,FQ4&lt;&gt;""),AND(FT4&gt;=FV$8,FU4&gt;=FV$12,FT4&lt;&gt;""),AND(GQ4&gt;=GV$8,GR4&gt;=GV$12,GQ4&lt;&gt;""),AND(GT4&gt;=GV$8,GU4&gt;=GV$12,GT4&lt;&gt;""),AND(HQ4&gt;=HV$8,HR4&gt;=HV$12,HQ4&lt;&gt;""),AND(HT4&gt;=HV$8,HU4&gt;=HV$12,HT4&lt;&gt;""),AND(IQ4&gt;=IV$8,IR4&gt;=IV$12,IQ4&lt;&gt;""),AND(IT4&gt;=IV$8,IU4&gt;=IV$12,IT4&lt;&gt;""),AND(JQ4&gt;=JV$8,JR4&gt;=JV$12,JQ4&lt;&gt;""),AND(JT4&gt;=JV$8,JU4&gt;=JV$12,JT4&lt;&gt;""),AND(KQ4&gt;=KV$8,KR4&gt;=KV$12,KQ4&lt;&gt;""),AND(KT4&gt;=KV$8,KU4&gt;=KV$12,KT4&lt;&gt;""),AND(LQ4&gt;=LV$8,LR4&gt;=LV$12,LQ4&lt;&gt;""),AND(LT4&gt;=LV$8,LU4&gt;=LV$12,LT4&lt;&gt;""),AND(MQ4&gt;=MV$8,MR4&gt;=MV$12,MQ4&lt;&gt;""),AND(MT4&gt;=MV$8,MU4&gt;=MV$12,MT4&lt;&gt;""),AND(NQ4&gt;=NV$8,NR4&gt;=NV$12,NQ4&lt;&gt;""),AND(NT4&gt;=NV$8,NU4&gt;=NV$12,NT4&lt;&gt;""),AND(OQ4&gt;=OV$8,OR4&gt;=OV$12,OQ4&lt;&gt;""),AND(OT4&gt;=OV$8,OU4&gt;=OV$12,OT4&lt;&gt;"")),"P","")</f>
        <v>P</v>
      </c>
      <c r="G4" s="3" t="str">
        <f>IF(OR(AND(AN4&gt;=AR$12,AN4&lt;&gt;"",AL4=""),AND(AQ4&gt;=AR$12,AQ4&lt;&gt;"",AL4=""),AND(BO4&gt;=BS$12,BO4&lt;&gt;"",BM4=""),AND(BR4&gt;=BS$12,BR4&lt;&gt;"",BM4=""),AND(CP4&gt;=CT$12,CP4&lt;&gt;"",CN4=""),AND(CS4&gt;=CT$12,CS4&lt;&gt;"",CN4=""),AND(DR4&gt;=DV$12,DR4&lt;&gt;""),AND(DU4&gt;=DV$12,DU4&lt;&gt;""),AND(ER4&gt;=EV$12,ER4&lt;&gt;""),AND(EU4&gt;=EV$12,EU4&lt;&gt;""),AND(FR4&gt;=FV$12,FR4&lt;&gt;""),AND(FU4&gt;=FV$12,FU4&lt;&gt;""),AND(GR4&gt;=GV$12,GR4&lt;&gt;""),AND(GU4&gt;=GV$12,GU4&lt;&gt;""),AND(HR4&gt;=HV$12,HR4&lt;&gt;""),AND(HU4&gt;=HV$12,HU4&lt;&gt;""),AND(IR4&gt;=IV$12,IR4&lt;&gt;""),AND(IU4&gt;=IV$12,IU4&lt;&gt;""),AND(JR4&gt;=JV$12,JR4&lt;&gt;""),AND(JU4&gt;=JV$12,JU4&lt;&gt;""),AND(KR4&gt;=KV$12,KR4&lt;&gt;""),AND(KU4&gt;=KV$12,KU4&lt;&gt;""),AND(LR4&gt;=LV$12,LR4&lt;&gt;""),AND(LU4&gt;=LV$12,LU4&lt;&gt;""),AND(MR4&gt;=MV$12,MR4&lt;&gt;""),AND(MU4&gt;=MV$12,MU4&lt;&gt;""),AND(NR4&gt;=NV$12,NR4&lt;&gt;""),AND(NU4&gt;=NV$12,NU4&lt;&gt;""),AND(OR4&gt;=OV$12,OR4&lt;&gt;""),AND(OU4&gt;=OV$12,OU4&lt;&gt;"")),"P","")</f>
        <v>P</v>
      </c>
      <c r="H4" s="47" t="str">
        <f>IF(AND(G4="P",F4=""),"No DD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Merit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Excellence",IF(F4="P","National Team",""))))</f>
        <v>Excellence</v>
      </c>
      <c r="I4" s="9">
        <f>IF(COUNT(AN4,BO4,CP4)&gt;0,LARGE((AN4,BO4,CP4),1),0)</f>
        <v>40.699999999999996</v>
      </c>
      <c r="J4" s="9" t="str">
        <f>IF(I4=0,"",IF(I4=CP4,$BT$1,IF(I4=BO4,$AS$1,IF(I4=AN4,$R$1,""))))</f>
        <v>2023 Nationals</v>
      </c>
      <c r="K4" s="9">
        <f>IF(COUNT(AN4,BO4,CP4)&gt;1,LARGE((AN4,BO4,CP4),2),0)</f>
        <v>36.199999999999996</v>
      </c>
      <c r="L4" s="9" t="str">
        <f>IF(K4=0,"",IF(K4=CP4,$BT$1,IF(K4=BO4,$AS$1,IF(K4=AN4,$R$1,""))))</f>
        <v>2023 3rd Domestic Trial</v>
      </c>
      <c r="M4" s="9">
        <f>IF(MAX(AQ4,BR4,CS4)&gt;0,MAX(AQ4,BR4,CS4),0)</f>
        <v>43.100000000000101</v>
      </c>
      <c r="N4" s="9" t="str">
        <f>IF(M4=0,"",IF(M4=CS4,$BT$1,IF(M4=BR4,$AS$1,IF(M4=AQ4,$R$1,""))))</f>
        <v>2023 Nationals</v>
      </c>
      <c r="O4" s="9">
        <f>IF(MAX(CU4:CV4)&gt;0,MAX(CU4:CV4),"")</f>
        <v>5.2999999999999972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16)</v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>
        <v>15.7</v>
      </c>
      <c r="AT4" s="19">
        <v>4.0999999999999996</v>
      </c>
      <c r="AU4" s="19">
        <v>0.2</v>
      </c>
      <c r="AV4" s="19">
        <v>0.3</v>
      </c>
      <c r="AW4" s="19">
        <v>16.600000000000001</v>
      </c>
      <c r="AX4" s="19">
        <v>3.9</v>
      </c>
      <c r="AY4" s="19">
        <v>0</v>
      </c>
      <c r="AZ4" s="19">
        <v>0.3</v>
      </c>
      <c r="BA4" s="19">
        <v>16.899999999999999</v>
      </c>
      <c r="BB4" s="19">
        <v>4.0999999999999996</v>
      </c>
      <c r="BC4" s="19">
        <v>0</v>
      </c>
      <c r="BD4" s="19">
        <v>0.3</v>
      </c>
      <c r="BE4" s="19">
        <v>16.8</v>
      </c>
      <c r="BF4" s="19">
        <v>3.9</v>
      </c>
      <c r="BG4" s="19">
        <v>0</v>
      </c>
      <c r="BH4" s="19">
        <v>0.3</v>
      </c>
      <c r="BI4" s="19">
        <v>17.7</v>
      </c>
      <c r="BJ4" s="19">
        <v>4.1000000000001</v>
      </c>
      <c r="BK4" s="19">
        <v>0</v>
      </c>
      <c r="BL4" s="19">
        <v>0.3</v>
      </c>
      <c r="BM4" s="33"/>
      <c r="BN4" s="14">
        <f>IF(SUM(AT4,AX4)&gt;0,SUM(AT4,AX4),"")</f>
        <v>8</v>
      </c>
      <c r="BO4" s="14">
        <f>IF(SUM(AS4:AT4,AV4:AX4,AZ4)-AU4-AY4&gt;0,SUM(AS4:AT4,AV4:AX4,AZ4)-AU4-AY4,"")</f>
        <v>40.699999999999996</v>
      </c>
      <c r="BP4" s="14">
        <f>IF(SUM(BA4:BB4,BD4)-BC4&gt;0,SUM(BA4:BB4,BD4)-BC4,"")</f>
        <v>21.3</v>
      </c>
      <c r="BQ4" s="14">
        <f>IF(SUM(BF4,BJ4)&gt;0,SUM(BF4,BJ4),"")</f>
        <v>8.0000000000000995</v>
      </c>
      <c r="BR4" s="14">
        <f>IF(SUM(BE4:BF4,BH4:BJ4,BL4)-SUM(BG4,BK4)&gt;0,SUM(BE4:BF4,BH4:BJ4,BL4)-SUM(BG4,BK4),"")</f>
        <v>43.100000000000101</v>
      </c>
      <c r="BS4" s="14">
        <f>IF(SUM(BO4,BP4,BR4)&gt;0,SUM(BO4,BP4,BR4),"")</f>
        <v>105.10000000000011</v>
      </c>
      <c r="BT4" s="20">
        <v>16.100000000000001</v>
      </c>
      <c r="BU4" s="20">
        <v>1.9</v>
      </c>
      <c r="BV4" s="20">
        <v>0</v>
      </c>
      <c r="BW4" s="20">
        <v>0.3</v>
      </c>
      <c r="BX4" s="20">
        <v>15.7</v>
      </c>
      <c r="BY4" s="20">
        <v>1.9</v>
      </c>
      <c r="BZ4" s="20">
        <v>0</v>
      </c>
      <c r="CA4" s="20">
        <v>0.3</v>
      </c>
      <c r="CB4" s="20">
        <v>16.100000000000001</v>
      </c>
      <c r="CC4" s="20">
        <v>1.9</v>
      </c>
      <c r="CD4" s="20">
        <v>0</v>
      </c>
      <c r="CE4" s="20">
        <v>0.3</v>
      </c>
      <c r="CF4" s="20">
        <v>16.5</v>
      </c>
      <c r="CG4" s="20">
        <v>3.9</v>
      </c>
      <c r="CH4" s="20">
        <v>0</v>
      </c>
      <c r="CI4" s="20">
        <v>0.3</v>
      </c>
      <c r="CJ4" s="20">
        <v>16.399999999999999</v>
      </c>
      <c r="CK4" s="20">
        <v>4.0999999999999996</v>
      </c>
      <c r="CL4" s="20">
        <v>0</v>
      </c>
      <c r="CM4" s="20">
        <v>0.3</v>
      </c>
      <c r="CN4" s="32"/>
      <c r="CO4" s="55">
        <f>IF(SUM(BU4,BY4)&gt;0,SUM(BU4,BY4),"")</f>
        <v>3.8</v>
      </c>
      <c r="CP4" s="55">
        <f>IF(SUM(BT4:BU4,BW4:BY4,CA4)-BV4-BZ4&gt;0,SUM(BT4:BU4,BW4:BY4,CA4)-BV4-BZ4,"")</f>
        <v>36.199999999999996</v>
      </c>
      <c r="CQ4" s="55">
        <f>IF(SUM(CB4:CC4,CE4)-CD4&gt;0,SUM(CB4:CC4,CE4)-CD4,"")</f>
        <v>18.3</v>
      </c>
      <c r="CR4" s="55">
        <f>IF(SUM(CG4,CK4)&gt;0,SUM(CG4,CK4),"")</f>
        <v>8</v>
      </c>
      <c r="CS4" s="55">
        <f>IF(SUM(CF4:CG4,CI4:CK4,CM4)-SUM(CH4,CL4)&gt;0,SUM(CF4:CG4,CI4:CK4,CM4)-SUM(CH4,CL4),"")</f>
        <v>41.499999999999993</v>
      </c>
      <c r="CT4" s="55">
        <f>IF(SUM(CP4,CQ4,CS4)&gt;0,SUM(CP4,CQ4,CS4),"")</f>
        <v>96</v>
      </c>
      <c r="CU4" s="56">
        <f>IF(MAX(DR4,ER4,FR4,GR4,HR4,IR4,JR4,KR4,LR4,MR4,NR4,OR4)-IF(K4="",0,K4)&gt;0.001,MAX(DR4,ER4,FR4,GR4,HR4,IR4,JR4,KR4,LR4,MR4,NR4,OR4)-IF(K4="",0,K4),"")</f>
        <v>5.2999999999999972</v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>
        <v>15.7</v>
      </c>
      <c r="DX4" s="19">
        <v>4.0999999999999996</v>
      </c>
      <c r="DY4" s="19">
        <v>0</v>
      </c>
      <c r="DZ4" s="19">
        <v>0</v>
      </c>
      <c r="EA4" s="19">
        <v>17.8</v>
      </c>
      <c r="EB4" s="19">
        <v>3.9</v>
      </c>
      <c r="EC4" s="19">
        <v>0</v>
      </c>
      <c r="ED4" s="19">
        <v>0</v>
      </c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>
        <f>IF(SUM(DX4,EB4)&gt;0,SUM(DX4,EB4),"")</f>
        <v>8</v>
      </c>
      <c r="ER4" s="14">
        <f>IF(SUM(DW4:DX4,DZ4:EB4,ED4)-DY4-EC4&gt;0,SUM(DW4:DX4,DZ4:EB4,ED4)-DY4-EC4,"")</f>
        <v>41.499999999999993</v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>
        <f>IF(SUM(ER4,ES4,EU4)&gt;0,SUM(ER4,ES4,EU4),"")</f>
        <v>41.499999999999993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15.9</v>
      </c>
      <c r="OX4" s="27">
        <f>IF($CN4="P",BU4,(BU4+AT4)/2)</f>
        <v>3</v>
      </c>
      <c r="OY4" s="27">
        <f>IF($CN4="P",BV4,(BV4+AU4)/2)</f>
        <v>0.1</v>
      </c>
      <c r="OZ4" s="27">
        <f>IF($CN4="P",BW4,(BW4+AV4)/2)</f>
        <v>0.3</v>
      </c>
      <c r="PA4" s="27">
        <f>IF($CN4="P",BX4,(BX4+AW4)/2)</f>
        <v>16.149999999999999</v>
      </c>
      <c r="PB4" s="27">
        <f>IF($CN4="P",BY4,(BY4+AX4)/2)</f>
        <v>2.9</v>
      </c>
      <c r="PC4" s="27">
        <f>IF($CN4="P",BZ4,(BZ4+AY4)/2)</f>
        <v>0</v>
      </c>
      <c r="PD4" s="27">
        <f>IF($CN4="P",CA4,(CA4+AZ4)/2)</f>
        <v>0.3</v>
      </c>
      <c r="PE4" s="27">
        <f>IF($CN4="P",CB4,(CB4+BA4)/2)</f>
        <v>16.5</v>
      </c>
      <c r="PF4" s="27">
        <f>IF($CN4="P",CC4,(CC4+BB4)/2)</f>
        <v>3</v>
      </c>
      <c r="PG4" s="27">
        <f>IF($CN4="P",CD4,(CD4+BC4)/2)</f>
        <v>0</v>
      </c>
      <c r="PH4" s="27">
        <f>IF($CN4="P",CE4,(CE4+BD4)/2)</f>
        <v>0.3</v>
      </c>
      <c r="PI4" s="27">
        <f>IF($CN4="P",CF4,(CF4+BE4)/2)</f>
        <v>16.649999999999999</v>
      </c>
      <c r="PJ4" s="27">
        <f>IF($CN4="P",CG4,(CG4+BF4)/2)</f>
        <v>3.9</v>
      </c>
      <c r="PK4" s="27">
        <f>IF($CN4="P",CH4,(CH4+BG4)/2)</f>
        <v>0</v>
      </c>
      <c r="PL4" s="27">
        <f>IF($CN4="P",CI4,(CI4+BH4)/2)</f>
        <v>0.3</v>
      </c>
      <c r="PM4" s="27">
        <f>IF($CN4="P",CJ4,(CJ4+BI4)/2)</f>
        <v>17.049999999999997</v>
      </c>
      <c r="PN4" s="27">
        <f>IF($CN4="P",CK4,(CK4+BJ4)/2)</f>
        <v>4.1000000000000494</v>
      </c>
      <c r="PO4" s="27">
        <f>IF($CN4="P",CL4,(CL4+BK4)/2)</f>
        <v>0</v>
      </c>
      <c r="PP4" s="27">
        <f>IF($CN4="P",CM4,(CM4+BL4)/2)</f>
        <v>0.3</v>
      </c>
      <c r="PQ4" s="32" t="s">
        <v>44</v>
      </c>
      <c r="PR4" s="55">
        <f>IF(SUM(OX4,PB4)&gt;0,SUM(OX4,PB4),"")</f>
        <v>5.9</v>
      </c>
      <c r="PS4" s="55">
        <f>IF(SUM(OW4:OX4,OZ4:PB4,PD4)-OY4-PC4&gt;0,SUM(OW4:OX4,OZ4:PB4,PD4)-OY4-PC4,"")</f>
        <v>38.449999999999989</v>
      </c>
      <c r="PT4" s="55">
        <f>IF(SUM(PE4:PF4,PH4)-PG4&gt;0,SUM(PE4:PF4,PH4)-PG4,"")</f>
        <v>19.8</v>
      </c>
      <c r="PU4" s="55">
        <f>IF(SUM(PJ4,PN4)&gt;0,SUM(PJ4,PN4),"")</f>
        <v>8.0000000000000497</v>
      </c>
      <c r="PV4" s="55">
        <f>IF(SUM(PI4:PJ4,PL4:PN4,PP4)-SUM(PK4,PO4)&gt;0,SUM(PI4:PJ4,PL4:PN4,PP4)-SUM(PK4,PO4),"")</f>
        <v>42.30000000000004</v>
      </c>
      <c r="PW4" s="55">
        <f>IF(SUM(PS4,PT4,PV4)&gt;0,SUM(PS4,PT4,PV4),"")</f>
        <v>100.55000000000003</v>
      </c>
    </row>
    <row r="5" spans="1:43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67</v>
      </c>
      <c r="C5" s="4" t="s">
        <v>68</v>
      </c>
      <c r="D5" s="4">
        <v>2009</v>
      </c>
      <c r="E5" s="10">
        <f>SUM(I5:O5)+SUM(I5:M5)*0.0000001+SUM(I5)*0.0000000000001</f>
        <v>41.3</v>
      </c>
      <c r="F5" s="3" t="str">
        <f>IF(OR(AND(AM5&gt;=AR$8,AN5&gt;=AR$12,AM5&lt;&gt;"",AL5=""),AND(AP5&gt;=AR$8,AQ5&gt;=AR$12,AP5&lt;&gt;"",AL5=""),AND(BN5&gt;=BS$8,BO5&gt;=BS$12,BN5&lt;&gt;"",BM5=""),AND(BQ5&gt;=BS$8,BR5&gt;=BS$12,BQ5&lt;&gt;"",BM5=""),AND(CO5&gt;=CT$8,CP5&gt;=CT$12,CO5&lt;&gt;"",CN5=""),AND(CR5&gt;=CT$8,CS5&gt;=CT$12,CR5&lt;&gt;""),AND(DQ5&gt;=DV$8,DR5&gt;=DV$12,DQ5&lt;&gt;""),AND(DT5&gt;=DV$8,DU5&gt;=DV$12,DT5&lt;&gt;""),AND(EQ5&gt;=EV$8,ER5&gt;=EV$12,EQ5&lt;&gt;""),AND(ET5&gt;=EV$8,EU5&gt;=EV$12,ET5&lt;&gt;""),AND(FQ5&gt;=FV$8,FR5&gt;=FV$12,FQ5&lt;&gt;""),AND(FT5&gt;=FV$8,FU5&gt;=FV$12,FT5&lt;&gt;""),AND(GQ5&gt;=GV$8,GR5&gt;=GV$12,GQ5&lt;&gt;""),AND(GT5&gt;=GV$8,GU5&gt;=GV$12,GT5&lt;&gt;""),AND(HQ5&gt;=HV$8,HR5&gt;=HV$12,HQ5&lt;&gt;""),AND(HT5&gt;=HV$8,HU5&gt;=HV$12,HT5&lt;&gt;""),AND(IQ5&gt;=IV$8,IR5&gt;=IV$12,IQ5&lt;&gt;""),AND(IT5&gt;=IV$8,IU5&gt;=IV$12,IT5&lt;&gt;""),AND(JQ5&gt;=JV$8,JR5&gt;=JV$12,JQ5&lt;&gt;""),AND(JT5&gt;=JV$8,JU5&gt;=JV$12,JT5&lt;&gt;""),AND(KQ5&gt;=KV$8,KR5&gt;=KV$12,KQ5&lt;&gt;""),AND(KT5&gt;=KV$8,KU5&gt;=KV$12,KT5&lt;&gt;""),AND(LQ5&gt;=LV$8,LR5&gt;=LV$12,LQ5&lt;&gt;""),AND(LT5&gt;=LV$8,LU5&gt;=LV$12,LT5&lt;&gt;""),AND(MQ5&gt;=MV$8,MR5&gt;=MV$12,MQ5&lt;&gt;""),AND(MT5&gt;=MV$8,MU5&gt;=MV$12,MT5&lt;&gt;""),AND(NQ5&gt;=NV$8,NR5&gt;=NV$12,NQ5&lt;&gt;""),AND(NT5&gt;=NV$8,NU5&gt;=NV$12,NT5&lt;&gt;""),AND(OQ5&gt;=OV$8,OR5&gt;=OV$12,OQ5&lt;&gt;""),AND(OT5&gt;=OV$8,OU5&gt;=OV$12,OT5&lt;&gt;"")),"P","")</f>
        <v/>
      </c>
      <c r="G5" s="3" t="str">
        <f>IF(OR(AND(AN5&gt;=AR$12,AN5&lt;&gt;"",AL5=""),AND(AQ5&gt;=AR$12,AQ5&lt;&gt;"",AL5=""),AND(BO5&gt;=BS$12,BO5&lt;&gt;"",BM5=""),AND(BR5&gt;=BS$12,BR5&lt;&gt;"",BM5=""),AND(CP5&gt;=CT$12,CP5&lt;&gt;"",CN5=""),AND(CS5&gt;=CT$12,CS5&lt;&gt;"",CN5=""),AND(DR5&gt;=DV$12,DR5&lt;&gt;""),AND(DU5&gt;=DV$12,DU5&lt;&gt;""),AND(ER5&gt;=EV$12,ER5&lt;&gt;""),AND(EU5&gt;=EV$12,EU5&lt;&gt;""),AND(FR5&gt;=FV$12,FR5&lt;&gt;""),AND(FU5&gt;=FV$12,FU5&lt;&gt;""),AND(GR5&gt;=GV$12,GR5&lt;&gt;""),AND(GU5&gt;=GV$12,GU5&lt;&gt;""),AND(HR5&gt;=HV$12,HR5&lt;&gt;""),AND(HU5&gt;=HV$12,HU5&lt;&gt;""),AND(IR5&gt;=IV$12,IR5&lt;&gt;""),AND(IU5&gt;=IV$12,IU5&lt;&gt;""),AND(JR5&gt;=JV$12,JR5&lt;&gt;""),AND(JU5&gt;=JV$12,JU5&lt;&gt;""),AND(KR5&gt;=KV$12,KR5&lt;&gt;""),AND(KU5&gt;=KV$12,KU5&lt;&gt;""),AND(LR5&gt;=LV$12,LR5&lt;&gt;""),AND(LU5&gt;=LV$12,LU5&lt;&gt;""),AND(MR5&gt;=MV$12,MR5&lt;&gt;""),AND(MU5&gt;=MV$12,MU5&lt;&gt;""),AND(NR5&gt;=NV$12,NR5&lt;&gt;""),AND(NU5&gt;=NV$12,NU5&lt;&gt;""),AND(OR5&gt;=OV$12,OR5&lt;&gt;""),AND(OU5&gt;=OV$12,OU5&lt;&gt;"")),"P","")</f>
        <v/>
      </c>
      <c r="H5" s="47" t="str">
        <f>IF(AND(G5="P",F5=""),"No DD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Merit",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Excellence",IF(F5="P","National Team",""))))</f>
        <v/>
      </c>
      <c r="I5" s="9">
        <f>IF(COUNT(AN5,BO5,CP5)&gt;0,LARGE((AN5,BO5,CP5),1),0)</f>
        <v>0</v>
      </c>
      <c r="J5" s="9" t="str">
        <f>IF(I5=0,"",IF(I5=CP5,$BT$1,IF(I5=BO5,$AS$1,IF(I5=AN5,$R$1,""))))</f>
        <v/>
      </c>
      <c r="K5" s="9">
        <f>IF(COUNT(AN5,BO5,CP5)&gt;1,LARGE((AN5,BO5,CP5),2),0)</f>
        <v>0</v>
      </c>
      <c r="L5" s="9" t="str">
        <f>IF(K5=0,"",IF(K5=CP5,$BT$1,IF(K5=BO5,$AS$1,IF(K5=AN5,$R$1,""))))</f>
        <v/>
      </c>
      <c r="M5" s="9">
        <f>IF(MAX(AQ5,BR5,CS5)&gt;0,MAX(AQ5,BR5,CS5),0)</f>
        <v>0</v>
      </c>
      <c r="N5" s="9" t="str">
        <f>IF(M5=0,"",IF(M5=CS5,$BT$1,IF(M5=BR5,$AS$1,IF(M5=AQ5,$R$1,""))))</f>
        <v/>
      </c>
      <c r="O5" s="9">
        <f>IF(MAX(CU5:CV5)&gt;0,MAX(CU5:CV5),"")</f>
        <v>41.3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2022 WAGC (Nov 26)</v>
      </c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32"/>
      <c r="AM5" s="55" t="str">
        <f>IF(SUM(S5,W5)&gt;0,SUM(S5,W5),"")</f>
        <v/>
      </c>
      <c r="AN5" s="55" t="str">
        <f>IF(SUM(R5:S5,U5:W5,Y5)-T5-X5&gt;0,SUM(R5:S5,U5:W5,Y5)-T5-X5,"")</f>
        <v/>
      </c>
      <c r="AO5" s="55" t="str">
        <f>IF(SUM(Z5:AA5,AC5)-AB5&gt;0,SUM(Z5:AA5,AC5)-AB5,"")</f>
        <v/>
      </c>
      <c r="AP5" s="55" t="str">
        <f>IF(SUM(AE5,AI5)&gt;0,SUM(AE5,AI5),"")</f>
        <v/>
      </c>
      <c r="AQ5" s="55" t="str">
        <f>IF(SUM(AD5:AE5,AG5:AI5,AK5)-SUM(AF5,AJ5)&gt;0,SUM(AD5:AE5,AG5:AI5,AK5)-SUM(AF5,AJ5),"")</f>
        <v/>
      </c>
      <c r="AR5" s="55" t="str">
        <f>IF(SUM(AN5,AO5,AQ5)&gt;0,SUM(AN5,AO5,AQ5),"")</f>
        <v/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32"/>
      <c r="CO5" s="55" t="str">
        <f>IF(SUM(BU5,BY5)&gt;0,SUM(BU5,BY5),"")</f>
        <v/>
      </c>
      <c r="CP5" s="55" t="str">
        <f>IF(SUM(BT5:BU5,BW5:BY5,CA5)-BV5-BZ5&gt;0,SUM(BT5:BU5,BW5:BY5,CA5)-BV5-BZ5,"")</f>
        <v/>
      </c>
      <c r="CQ5" s="55" t="str">
        <f>IF(SUM(CB5:CC5,CE5)-CD5&gt;0,SUM(CB5:CC5,CE5)-CD5,"")</f>
        <v/>
      </c>
      <c r="CR5" s="55" t="str">
        <f>IF(SUM(CG5,CK5)&gt;0,SUM(CG5,CK5),"")</f>
        <v/>
      </c>
      <c r="CS5" s="55" t="str">
        <f>IF(SUM(CF5:CG5,CI5:CK5,CM5)-SUM(CH5,CL5)&gt;0,SUM(CF5:CG5,CI5:CK5,CM5)-SUM(CH5,CL5),"")</f>
        <v/>
      </c>
      <c r="CT5" s="55" t="str">
        <f>IF(SUM(CP5,CQ5,CS5)&gt;0,SUM(CP5,CQ5,CS5),"")</f>
        <v/>
      </c>
      <c r="CU5" s="56">
        <f>IF(MAX(DR5,ER5,FR5,GR5,HR5,IR5,JR5,KR5,LR5,MR5,NR5,OR5)-IF(K5="",0,K5)&gt;0.001,MAX(DR5,ER5,FR5,GR5,HR5,IR5,JR5,KR5,LR5,MR5,NR5,OR5)-IF(K5="",0,K5),"")</f>
        <v>41.3</v>
      </c>
      <c r="CV5" s="56" t="str">
        <f>IF(MAX(DU5,EU5,FU5,GU5,HU5,IU5,JU5,KU5,LU5,MU5,NU5,OU5)-IF(M5="",0,M5)&gt;0.001,MAX(DU5,EU5,FU5,GU5,HU5,IU5,JU5,KU5,LU5,MU5,NU5,OU5)-IF(M5="",0,M5),"")</f>
        <v/>
      </c>
      <c r="CW5" s="18">
        <v>16.8</v>
      </c>
      <c r="CX5" s="18">
        <v>3.9</v>
      </c>
      <c r="CY5" s="18">
        <v>0</v>
      </c>
      <c r="CZ5" s="18">
        <v>0</v>
      </c>
      <c r="DA5" s="18">
        <v>17.600000000000001</v>
      </c>
      <c r="DB5" s="18">
        <v>3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6.9</v>
      </c>
      <c r="DR5" s="55">
        <f>IF(SUM(CW5:CX5,CZ5:DB5,DD5)-CY5-DC5&gt;0,SUM(CW5:CX5,CZ5:DB5,DD5)-CY5-DC5,"")</f>
        <v>41.3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41.3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0</v>
      </c>
      <c r="OX5" s="27">
        <f>IF($CN5="P",BU5,(BU5+AT5)/2)</f>
        <v>0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0</v>
      </c>
      <c r="PB5" s="27">
        <f>IF($CN5="P",BY5,(BY5+AX5)/2)</f>
        <v>0</v>
      </c>
      <c r="PC5" s="27">
        <f>IF($CN5="P",BZ5,(BZ5+AY5)/2)</f>
        <v>0</v>
      </c>
      <c r="PD5" s="27">
        <f>IF($CN5="P",CA5,(CA5+AZ5)/2)</f>
        <v>0</v>
      </c>
      <c r="PE5" s="27">
        <f>IF($CN5="P",CB5,(CB5+BA5)/2)</f>
        <v>0</v>
      </c>
      <c r="PF5" s="27">
        <f>IF($CN5="P",CC5,(CC5+BB5)/2)</f>
        <v>0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0</v>
      </c>
      <c r="PJ5" s="27">
        <f>IF($CN5="P",CG5,(CG5+BF5)/2)</f>
        <v>0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0</v>
      </c>
      <c r="PN5" s="27">
        <f>IF($CN5="P",CK5,(CK5+BJ5)/2)</f>
        <v>0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 t="str">
        <f>IF(SUM(OX5,PB5)&gt;0,SUM(OX5,PB5),"")</f>
        <v/>
      </c>
      <c r="PS5" s="55" t="str">
        <f>IF(SUM(OW5:OX5,OZ5:PB5,PD5)-OY5-PC5&gt;0,SUM(OW5:OX5,OZ5:PB5,PD5)-OY5-PC5,"")</f>
        <v/>
      </c>
      <c r="PT5" s="55" t="str">
        <f>IF(SUM(PE5:PF5,PH5)-PG5&gt;0,SUM(PE5:PF5,PH5)-PG5,"")</f>
        <v/>
      </c>
      <c r="PU5" s="55" t="str">
        <f>IF(SUM(PJ5,PN5)&gt;0,SUM(PJ5,PN5),"")</f>
        <v/>
      </c>
      <c r="PV5" s="55" t="str">
        <f>IF(SUM(PI5:PJ5,PL5:PN5,PP5)-SUM(PK5,PO5)&gt;0,SUM(PI5:PJ5,PL5:PN5,PP5)-SUM(PK5,PO5),"")</f>
        <v/>
      </c>
      <c r="PW5" s="55" t="str">
        <f>IF(SUM(PS5,PT5,PV5)&gt;0,SUM(PS5,PT5,PV5),"")</f>
        <v/>
      </c>
    </row>
    <row r="6" spans="1:439" ht="17" x14ac:dyDescent="0.2">
      <c r="O6" s="11"/>
      <c r="P6" s="11"/>
      <c r="Q6" s="11"/>
    </row>
    <row r="7" spans="1:439" ht="17" x14ac:dyDescent="0.2">
      <c r="O7" s="11"/>
      <c r="P7" s="11"/>
      <c r="Q7" s="11"/>
    </row>
    <row r="8" spans="1:439" ht="17" x14ac:dyDescent="0.2">
      <c r="B8" s="28" t="s">
        <v>42</v>
      </c>
      <c r="O8" s="11"/>
      <c r="P8" s="11"/>
      <c r="Q8" s="11"/>
      <c r="AM8" s="4"/>
      <c r="AR8" s="57">
        <v>7.3</v>
      </c>
      <c r="BN8" s="4"/>
      <c r="BS8" s="57">
        <v>7.3</v>
      </c>
      <c r="CO8" s="4"/>
      <c r="CT8" s="57">
        <v>7.3</v>
      </c>
      <c r="DQ8" s="4"/>
      <c r="DV8" s="57">
        <v>7.2</v>
      </c>
      <c r="EQ8" s="4"/>
      <c r="EV8" s="57">
        <v>7.3</v>
      </c>
      <c r="FQ8" s="4"/>
      <c r="FV8" s="57">
        <v>7.3</v>
      </c>
      <c r="GQ8" s="4"/>
      <c r="GV8" s="57">
        <v>7.3</v>
      </c>
      <c r="HQ8" s="4"/>
      <c r="HV8" s="57">
        <v>7.3</v>
      </c>
      <c r="IQ8" s="4"/>
      <c r="IV8" s="57">
        <v>7.3</v>
      </c>
      <c r="JQ8" s="4"/>
      <c r="JV8" s="57">
        <v>7.3</v>
      </c>
      <c r="KQ8" s="4"/>
      <c r="KV8" s="57">
        <v>7.3</v>
      </c>
      <c r="LQ8" s="4"/>
      <c r="LV8" s="57">
        <v>7.3</v>
      </c>
      <c r="MQ8" s="4"/>
      <c r="MV8" s="57">
        <v>7.3</v>
      </c>
      <c r="NQ8" s="4"/>
      <c r="NV8" s="57">
        <v>7.3</v>
      </c>
      <c r="OQ8" s="4"/>
      <c r="OV8" s="57">
        <v>7.3</v>
      </c>
    </row>
    <row r="9" spans="1:439" ht="17" x14ac:dyDescent="0.2">
      <c r="B9" s="35" t="s">
        <v>41</v>
      </c>
      <c r="O9" s="11"/>
      <c r="P9" s="11"/>
      <c r="Q9" s="11"/>
      <c r="AM9" s="4"/>
      <c r="AR9" s="58">
        <v>7.2</v>
      </c>
      <c r="BN9" s="4"/>
      <c r="BS9" s="58">
        <v>8</v>
      </c>
      <c r="CO9" s="4"/>
      <c r="CT9" s="58">
        <v>8</v>
      </c>
      <c r="DQ9" s="4"/>
      <c r="DV9" s="58">
        <v>7.2</v>
      </c>
      <c r="EQ9" s="4"/>
      <c r="EV9" s="58">
        <v>7.2</v>
      </c>
      <c r="FQ9" s="4"/>
      <c r="FV9" s="58">
        <v>7.2</v>
      </c>
      <c r="GQ9" s="4"/>
      <c r="GV9" s="58">
        <v>7.2</v>
      </c>
      <c r="HQ9" s="4"/>
      <c r="HV9" s="58">
        <v>7.2</v>
      </c>
      <c r="IQ9" s="4"/>
      <c r="IV9" s="58">
        <v>7.2</v>
      </c>
      <c r="JQ9" s="4"/>
      <c r="JV9" s="58">
        <v>7.2</v>
      </c>
      <c r="KQ9" s="4"/>
      <c r="KV9" s="58">
        <v>7.2</v>
      </c>
      <c r="LQ9" s="4"/>
      <c r="LV9" s="58">
        <v>7.2</v>
      </c>
      <c r="MQ9" s="4"/>
      <c r="MV9" s="58">
        <v>7.2</v>
      </c>
      <c r="NQ9" s="4"/>
      <c r="NV9" s="58">
        <v>7.2</v>
      </c>
      <c r="OQ9" s="4"/>
      <c r="OV9" s="58">
        <v>7.2</v>
      </c>
    </row>
    <row r="10" spans="1:439" ht="17" x14ac:dyDescent="0.2">
      <c r="A10" s="5"/>
      <c r="B10" s="36" t="s">
        <v>54</v>
      </c>
      <c r="C10" s="22"/>
      <c r="O10" s="11"/>
      <c r="P10" s="11"/>
      <c r="Q10" s="11"/>
      <c r="AM10" s="4"/>
      <c r="AR10" s="59">
        <v>8</v>
      </c>
      <c r="BN10" s="4"/>
      <c r="BS10" s="59">
        <v>8</v>
      </c>
      <c r="CO10" s="4"/>
      <c r="CT10" s="59">
        <v>8</v>
      </c>
      <c r="DQ10" s="4"/>
      <c r="DV10" s="59">
        <v>7.2</v>
      </c>
      <c r="EQ10" s="4"/>
      <c r="EV10" s="59">
        <v>8</v>
      </c>
      <c r="FQ10" s="4"/>
      <c r="FV10" s="59">
        <v>8</v>
      </c>
      <c r="GQ10" s="4"/>
      <c r="GV10" s="59">
        <v>8</v>
      </c>
      <c r="HQ10" s="4"/>
      <c r="HV10" s="59">
        <v>8</v>
      </c>
      <c r="IQ10" s="4"/>
      <c r="IV10" s="59">
        <v>8</v>
      </c>
      <c r="JQ10" s="4"/>
      <c r="JV10" s="59">
        <v>8</v>
      </c>
      <c r="KQ10" s="4"/>
      <c r="KV10" s="59">
        <v>8</v>
      </c>
      <c r="LQ10" s="4"/>
      <c r="LV10" s="59">
        <v>8</v>
      </c>
      <c r="MQ10" s="4"/>
      <c r="MV10" s="59">
        <v>8</v>
      </c>
      <c r="NQ10" s="4"/>
      <c r="NV10" s="59">
        <v>8</v>
      </c>
      <c r="OQ10" s="4"/>
      <c r="OV10" s="59">
        <v>8</v>
      </c>
    </row>
    <row r="11" spans="1:439" ht="17" hidden="1" x14ac:dyDescent="0.2">
      <c r="A11" s="5"/>
      <c r="B11" s="44" t="s">
        <v>59</v>
      </c>
      <c r="C11" s="22"/>
      <c r="O11" s="11"/>
      <c r="P11" s="11"/>
      <c r="Q11" s="11"/>
      <c r="AM11" s="4"/>
      <c r="AR11" s="60">
        <v>1000</v>
      </c>
      <c r="BN11" s="4"/>
      <c r="BS11" s="60">
        <v>1000</v>
      </c>
      <c r="CO11" s="4"/>
      <c r="CT11" s="60">
        <v>1000</v>
      </c>
      <c r="DQ11" s="4"/>
      <c r="DV11" s="60">
        <v>1000</v>
      </c>
      <c r="EQ11" s="4"/>
      <c r="EV11" s="60">
        <v>1000</v>
      </c>
      <c r="FQ11" s="4"/>
      <c r="FV11" s="60">
        <v>1000</v>
      </c>
      <c r="GQ11" s="4"/>
      <c r="GV11" s="60">
        <v>1000</v>
      </c>
      <c r="HQ11" s="4"/>
      <c r="HV11" s="60">
        <v>1000</v>
      </c>
      <c r="IQ11" s="4"/>
      <c r="IV11" s="60">
        <v>1000</v>
      </c>
      <c r="JQ11" s="4"/>
      <c r="JV11" s="60">
        <v>1000</v>
      </c>
      <c r="KQ11" s="4"/>
      <c r="KV11" s="60">
        <v>1000</v>
      </c>
      <c r="LQ11" s="4"/>
      <c r="LV11" s="60">
        <v>1000</v>
      </c>
      <c r="MQ11" s="4"/>
      <c r="MV11" s="60">
        <v>1000</v>
      </c>
      <c r="NQ11" s="4"/>
      <c r="NV11" s="60">
        <v>1000</v>
      </c>
      <c r="OQ11" s="4"/>
      <c r="OV11" s="60">
        <v>1000</v>
      </c>
    </row>
    <row r="12" spans="1:439" ht="17" x14ac:dyDescent="0.2">
      <c r="A12" s="5"/>
      <c r="B12" s="42" t="s">
        <v>39</v>
      </c>
      <c r="C12" s="22"/>
      <c r="O12" s="11"/>
      <c r="P12" s="11"/>
      <c r="Q12" s="11"/>
      <c r="AM12" s="4"/>
      <c r="AR12" s="61">
        <v>41.7</v>
      </c>
      <c r="BN12" s="4"/>
      <c r="BS12" s="61">
        <v>41.7</v>
      </c>
      <c r="CO12" s="4"/>
      <c r="CT12" s="61">
        <v>41.7</v>
      </c>
      <c r="DQ12" s="4"/>
      <c r="DV12" s="61">
        <v>42</v>
      </c>
      <c r="EQ12" s="4"/>
      <c r="EV12" s="61">
        <v>41.7</v>
      </c>
      <c r="FQ12" s="4"/>
      <c r="FV12" s="61">
        <v>41.7</v>
      </c>
      <c r="GQ12" s="4"/>
      <c r="GV12" s="61">
        <v>41.7</v>
      </c>
      <c r="HQ12" s="4"/>
      <c r="HV12" s="61">
        <v>41.7</v>
      </c>
      <c r="IQ12" s="4"/>
      <c r="IV12" s="61">
        <v>41.7</v>
      </c>
      <c r="JQ12" s="4"/>
      <c r="JV12" s="61">
        <v>41.7</v>
      </c>
      <c r="KQ12" s="4"/>
      <c r="KV12" s="61">
        <v>41.7</v>
      </c>
      <c r="LQ12" s="4"/>
      <c r="LV12" s="61">
        <v>41.7</v>
      </c>
      <c r="MQ12" s="4"/>
      <c r="MV12" s="61">
        <v>41.7</v>
      </c>
      <c r="NQ12" s="4"/>
      <c r="NV12" s="61">
        <v>41.7</v>
      </c>
      <c r="OQ12" s="4"/>
      <c r="OV12" s="61">
        <v>41.7</v>
      </c>
    </row>
    <row r="13" spans="1:439" ht="17" hidden="1" x14ac:dyDescent="0.2">
      <c r="A13" s="5"/>
      <c r="B13" s="29" t="s">
        <v>40</v>
      </c>
      <c r="C13" s="22"/>
      <c r="O13" s="11"/>
      <c r="P13" s="11"/>
      <c r="Q13" s="11"/>
      <c r="AM13" s="4"/>
      <c r="AR13" s="62">
        <v>43.4</v>
      </c>
      <c r="BN13" s="4"/>
      <c r="BS13" s="62">
        <v>43.4</v>
      </c>
      <c r="CO13" s="4"/>
      <c r="CT13" s="62">
        <v>43.4</v>
      </c>
      <c r="DQ13" s="4"/>
      <c r="DV13" s="62">
        <v>43.4</v>
      </c>
      <c r="EQ13" s="4"/>
      <c r="EV13" s="62">
        <v>43.4</v>
      </c>
      <c r="FQ13" s="4"/>
      <c r="FV13" s="62">
        <v>43.4</v>
      </c>
      <c r="GQ13" s="4"/>
      <c r="GV13" s="62">
        <v>43.4</v>
      </c>
      <c r="HQ13" s="4"/>
      <c r="HV13" s="62">
        <v>43.4</v>
      </c>
      <c r="IQ13" s="4"/>
      <c r="IV13" s="62">
        <v>43.4</v>
      </c>
      <c r="JQ13" s="4"/>
      <c r="JV13" s="62">
        <v>43.4</v>
      </c>
      <c r="KQ13" s="4"/>
      <c r="KV13" s="62">
        <v>43.4</v>
      </c>
      <c r="LQ13" s="4"/>
      <c r="LV13" s="62">
        <v>43.4</v>
      </c>
      <c r="MQ13" s="4"/>
      <c r="MV13" s="62">
        <v>43.4</v>
      </c>
      <c r="NQ13" s="4"/>
      <c r="NV13" s="62">
        <v>43.4</v>
      </c>
      <c r="OQ13" s="4"/>
      <c r="OV13" s="62">
        <v>43.4</v>
      </c>
    </row>
    <row r="14" spans="1:439" ht="17" x14ac:dyDescent="0.2">
      <c r="A14" s="5"/>
      <c r="B14" s="40" t="s">
        <v>53</v>
      </c>
      <c r="C14" s="22"/>
      <c r="O14" s="11"/>
      <c r="P14" s="11"/>
      <c r="Q14" s="11"/>
      <c r="AM14" s="4"/>
      <c r="AR14" s="63">
        <v>42.5</v>
      </c>
      <c r="BN14" s="4"/>
      <c r="BS14" s="63">
        <v>42.5</v>
      </c>
      <c r="CO14" s="4"/>
      <c r="CT14" s="63">
        <v>42.5</v>
      </c>
      <c r="DQ14" s="4"/>
      <c r="DV14" s="63">
        <v>43.4</v>
      </c>
      <c r="EQ14" s="4"/>
      <c r="EV14" s="63">
        <v>42.5</v>
      </c>
      <c r="FQ14" s="4"/>
      <c r="FV14" s="63">
        <v>42.5</v>
      </c>
      <c r="GQ14" s="4"/>
      <c r="GV14" s="63">
        <v>42.5</v>
      </c>
      <c r="HQ14" s="4"/>
      <c r="HV14" s="63">
        <v>42.5</v>
      </c>
      <c r="IQ14" s="4"/>
      <c r="IV14" s="63">
        <v>42.5</v>
      </c>
      <c r="JQ14" s="4"/>
      <c r="JV14" s="63">
        <v>42.5</v>
      </c>
      <c r="KQ14" s="4"/>
      <c r="KV14" s="63">
        <v>42.5</v>
      </c>
      <c r="LQ14" s="4"/>
      <c r="LV14" s="63">
        <v>42.5</v>
      </c>
      <c r="MQ14" s="4"/>
      <c r="MV14" s="63">
        <v>42.5</v>
      </c>
      <c r="NQ14" s="4"/>
      <c r="NV14" s="63">
        <v>42.5</v>
      </c>
      <c r="OQ14" s="4"/>
      <c r="OV14" s="63">
        <v>42.5</v>
      </c>
    </row>
    <row r="15" spans="1:439" ht="17" hidden="1" x14ac:dyDescent="0.2">
      <c r="A15" s="5"/>
      <c r="B15" s="30" t="s">
        <v>26</v>
      </c>
      <c r="C15" s="22"/>
      <c r="O15" s="11"/>
      <c r="P15" s="11"/>
      <c r="Q15" s="11"/>
      <c r="AM15" s="4"/>
      <c r="AR15" s="64">
        <v>1000</v>
      </c>
      <c r="BN15" s="4"/>
      <c r="BS15" s="64">
        <v>1000</v>
      </c>
      <c r="CO15" s="4"/>
      <c r="CT15" s="64">
        <v>1000</v>
      </c>
      <c r="DQ15" s="4"/>
      <c r="DV15" s="64">
        <v>1000</v>
      </c>
      <c r="EQ15" s="4"/>
      <c r="EV15" s="64">
        <v>1000</v>
      </c>
      <c r="FQ15" s="4"/>
      <c r="FV15" s="64">
        <v>1000</v>
      </c>
      <c r="GQ15" s="4"/>
      <c r="GV15" s="64">
        <v>1000</v>
      </c>
      <c r="HQ15" s="4"/>
      <c r="HV15" s="64">
        <v>1000</v>
      </c>
      <c r="IQ15" s="4"/>
      <c r="IV15" s="64">
        <v>1000</v>
      </c>
      <c r="JQ15" s="4"/>
      <c r="JV15" s="64">
        <v>1000</v>
      </c>
      <c r="KQ15" s="4"/>
      <c r="KV15" s="64">
        <v>1000</v>
      </c>
      <c r="LQ15" s="4"/>
      <c r="LV15" s="64">
        <v>1000</v>
      </c>
      <c r="MQ15" s="4"/>
      <c r="MV15" s="64">
        <v>1000</v>
      </c>
      <c r="NQ15" s="4"/>
      <c r="NV15" s="64">
        <v>1000</v>
      </c>
      <c r="OQ15" s="4"/>
      <c r="OV15" s="64">
        <v>1000</v>
      </c>
    </row>
    <row r="16" spans="1:43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5">
      <sortCondition descending="1" ref="F1:F6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5">
    <cfRule type="expression" dxfId="86" priority="6" stopIfTrue="1">
      <formula>IF($AL4&lt;&gt;"",1,0)</formula>
    </cfRule>
  </conditionalFormatting>
  <conditionalFormatting sqref="AS4:BS5">
    <cfRule type="expression" dxfId="85" priority="11" stopIfTrue="1">
      <formula>IF($BM4&lt;&gt;"",1,0)</formula>
    </cfRule>
  </conditionalFormatting>
  <conditionalFormatting sqref="J1:J1048576 L1:L1048576 N1:N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5">
    <cfRule type="expression" dxfId="81" priority="12" stopIfTrue="1">
      <formula>IF($CN4&lt;&gt;"",1,0)</formula>
    </cfRule>
  </conditionalFormatting>
  <conditionalFormatting sqref="A4:A1048576">
    <cfRule type="expression" dxfId="58" priority="21">
      <formula>IF(A4&gt;4,1,0)</formula>
    </cfRule>
    <cfRule type="expression" dxfId="80" priority="1">
      <formula>AND(G4&lt;&gt;"",F4="")</formula>
    </cfRule>
  </conditionalFormatting>
  <conditionalFormatting sqref="H1:H1048576">
    <cfRule type="containsText" dxfId="79" priority="13" operator="containsText" text="No DD">
      <formula>NOT(ISERROR(SEARCH("No DD",H1)))</formula>
    </cfRule>
    <cfRule type="containsText" dxfId="78" priority="14" operator="containsText" text="Merit">
      <formula>NOT(ISERROR(SEARCH("Merit",H1)))</formula>
    </cfRule>
    <cfRule type="containsText" dxfId="77" priority="15" operator="containsText" text="Excellence">
      <formula>NOT(ISERROR(SEARCH("Excellence",H1)))</formula>
    </cfRule>
    <cfRule type="containsText" dxfId="76" priority="16" operator="containsText" text="Worlds Team">
      <formula>NOT(ISERROR(SEARCH("Worlds Team",H1)))</formula>
    </cfRule>
    <cfRule type="containsText" dxfId="75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4" priority="50427" operator="between">
      <formula>AR$11</formula>
      <formula>1000</formula>
    </cfRule>
    <cfRule type="cellIs" dxfId="73" priority="50428" operator="between">
      <formula>AR$10</formula>
      <formula>AR$11</formula>
    </cfRule>
    <cfRule type="cellIs" dxfId="72" priority="50429" operator="between">
      <formula>AR$9</formula>
      <formula>AR$10</formula>
    </cfRule>
    <cfRule type="cellIs" dxfId="71" priority="50430" operator="between">
      <formula>AR$8</formula>
      <formula>AR$9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70" priority="50607" operator="between">
      <formula>AR$15</formula>
      <formula>1000</formula>
    </cfRule>
    <cfRule type="cellIs" dxfId="69" priority="50608" operator="between">
      <formula>AR$14</formula>
      <formula>AR$15</formula>
    </cfRule>
    <cfRule type="cellIs" dxfId="68" priority="50609" operator="between">
      <formula>AR$13</formula>
      <formula>AR$14</formula>
    </cfRule>
    <cfRule type="cellIs" dxfId="67" priority="50610" operator="between">
      <formula>AR$12</formula>
      <formula>AR$13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6" priority="50787" operator="between">
      <formula>AR$8</formula>
      <formula>AR$9</formula>
    </cfRule>
    <cfRule type="cellIs" dxfId="65" priority="50788" operator="between">
      <formula>AR$9</formula>
      <formula>AR$10</formula>
    </cfRule>
    <cfRule type="cellIs" dxfId="64" priority="50789" operator="between">
      <formula>AR$10</formula>
      <formula>AR$11</formula>
    </cfRule>
    <cfRule type="cellIs" dxfId="63" priority="50790" operator="between">
      <formula>AR$11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2" priority="50967" operator="between">
      <formula>AR$12</formula>
      <formula>AR$13</formula>
    </cfRule>
    <cfRule type="cellIs" dxfId="61" priority="50968" operator="between">
      <formula>AR$13</formula>
      <formula>AR$14</formula>
    </cfRule>
    <cfRule type="cellIs" dxfId="60" priority="50969" operator="between">
      <formula>AR$14</formula>
      <formula>AR$15</formula>
    </cfRule>
    <cfRule type="cellIs" dxfId="59" priority="50970" operator="between">
      <formula>AR$15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93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92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 t="s">
        <v>109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88</v>
      </c>
      <c r="C4" s="4" t="s">
        <v>66</v>
      </c>
      <c r="D4" s="4">
        <v>2008</v>
      </c>
      <c r="E4" s="10">
        <f>SUM(I4:O4)+SUM(I4:M4)*0.0000001+SUM(I4)*0.0000000000001</f>
        <v>154.00001478000496</v>
      </c>
      <c r="F4" s="3" t="str">
        <f>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P","")</f>
        <v>P</v>
      </c>
      <c r="G4" s="3" t="str">
        <f>IF(OR(AND(AN4&gt;=AR$18,AN4&lt;&gt;"",AL4=""),AND(AQ4&gt;=AR$18,AQ4&lt;&gt;"",AL4=""),AND(BO4&gt;=BS$18,BO4&lt;&gt;"",BM4=""),AND(BR4&gt;=BS$18,BR4&lt;&gt;"",BM4=""),AND(CP4&gt;=CT$18,CP4&lt;&gt;"",CN4=""),AND(CS4&gt;=CT$18,CS4&lt;&gt;"",CN4=""),AND(DR4&gt;=DV$18,DR4&lt;&gt;""),AND(DU4&gt;=DV$18,DU4&lt;&gt;""),AND(ER4&gt;=EV$18,ER4&lt;&gt;""),AND(EU4&gt;=EV$18,EU4&lt;&gt;""),AND(FR4&gt;=FV$18,FR4&lt;&gt;""),AND(FU4&gt;=FV$18,FU4&lt;&gt;""),AND(GR4&gt;=GV$18,GR4&lt;&gt;""),AND(GU4&gt;=GV$18,GU4&lt;&gt;""),AND(HR4&gt;=HV$18,HR4&lt;&gt;""),AND(HU4&gt;=HV$18,HU4&lt;&gt;""),AND(IR4&gt;=IV$18,IR4&lt;&gt;""),AND(IU4&gt;=IV$18,IU4&lt;&gt;""),AND(JR4&gt;=JV$18,JR4&lt;&gt;""),AND(JU4&gt;=JV$18,JU4&lt;&gt;""),AND(KR4&gt;=KV$18,KR4&lt;&gt;""),AND(KU4&gt;=KV$18,KU4&lt;&gt;""),AND(LR4&gt;=LV$18,LR4&lt;&gt;""),AND(LU4&gt;=LV$18,LU4&lt;&gt;""),AND(MR4&gt;=MV$18,MR4&lt;&gt;""),AND(MU4&gt;=MV$18,MU4&lt;&gt;""),AND(NR4&gt;=NV$18,NR4&lt;&gt;""),AND(NU4&gt;=NV$18,NU4&lt;&gt;""),AND(OR4&gt;=OV$18,OR4&lt;&gt;""),AND(OU4&gt;=OV$18,OU4&lt;&gt;"")),"P","")</f>
        <v>P</v>
      </c>
      <c r="H4" s="47" t="str">
        <f>IF(AND(G4="P",F4=""),"No DD",IF(OR(AND(AM4&gt;=AR$17,AN4&gt;=AR$21,AM4&lt;&gt;"",AL4=""),AND(AP4&gt;=AR$17,AQ4&gt;=AR$21,AP4&lt;&gt;"",AL4=""),AND(BN4&gt;=BS$17,BO4&gt;=BS$21,BN4&lt;&gt;"",BM4=""),AND(BQ4&gt;=BS$17,BR4&gt;=BS$21,BQ4&lt;&gt;"",BM4=""),AND(CO4&gt;=CT$17,CP4&gt;=CT$21,CO4&lt;&gt;"",CN4=""),AND(CR4&gt;=CT$17,CS4&gt;=CT$21,CR4&lt;&gt;""),AND(DQ4&gt;=DV$17,DR4&gt;=DV$21,DQ4&lt;&gt;""),AND(DT4&gt;=DV$17,DU4&gt;=DV$21,DT4&lt;&gt;""),AND(EQ4&gt;=EV$17,ER4&gt;=EV$21,EQ4&lt;&gt;""),AND(ET4&gt;=EV$17,EU4&gt;=EV$21,ET4&lt;&gt;""),AND(FQ4&gt;=FV$17,FR4&gt;=FV$21,FQ4&lt;&gt;""),AND(FT4&gt;=FV$17,FU4&gt;=FV$21,FT4&lt;&gt;""),AND(GQ4&gt;=GV$17,GR4&gt;=GV$21,GQ4&lt;&gt;""),AND(GT4&gt;=GV$17,GU4&gt;=GV$21,GT4&lt;&gt;""),AND(HQ4&gt;=HV$17,HR4&gt;=HV$21,HQ4&lt;&gt;""),AND(HT4&gt;=HV$17,HU4&gt;=HV$21,HT4&lt;&gt;""),AND(IQ4&gt;=IV$17,IR4&gt;=IV$21,IQ4&lt;&gt;""),AND(IT4&gt;=IV$17,IU4&gt;=IV$21,IT4&lt;&gt;""),AND(JQ4&gt;=JV$17,JR4&gt;=JV$21,JQ4&lt;&gt;""),AND(JT4&gt;=JV$17,JU4&gt;=JV$21,JT4&lt;&gt;""),AND(KQ4&gt;=KV$17,KR4&gt;=KV$21,KQ4&lt;&gt;""),AND(KT4&gt;=KV$17,KU4&gt;=KV$21,KT4&lt;&gt;""),AND(LQ4&gt;=LV$17,LR4&gt;=LV$21,LQ4&lt;&gt;""),AND(LT4&gt;=LV$17,LU4&gt;=LV$21,LT4&lt;&gt;""),AND(MQ4&gt;=MV$17,MR4&gt;=MV$21,MQ4&lt;&gt;""),AND(MT4&gt;=MV$17,MU4&gt;=MV$21,MT4&lt;&gt;""),AND(NQ4&gt;=NV$17,NR4&gt;=NV$21,NQ4&lt;&gt;""),AND(NT4&gt;=NV$17,NU4&gt;=NV$21,NT4&lt;&gt;""),AND(OQ4&gt;=OV$17,OR4&gt;=OV$21,OQ4&lt;&gt;""),AND(OT4&gt;=OV$17,OU4&gt;=OV$21,OT4&lt;&gt;"")),"Merit",IF(OR(AND(AM4&gt;=AR$16,AN4&gt;=AR$20,AM4&lt;&gt;"",AL4=""),AND(AP4&gt;=AR$16,AQ4&gt;=AR$20,AP4&lt;&gt;"",AL4=""),AND(BN4&gt;=BS$16,BO4&gt;=BS$20,BN4&lt;&gt;"",BM4=""),AND(BQ4&gt;=BS$16,BR4&gt;=BS$20,BQ4&lt;&gt;"",BM4=""),AND(CO4&gt;=CT$16,CP4&gt;=CT$20,CO4&lt;&gt;"",CN4=""),AND(CR4&gt;=CT$16,CS4&gt;=CT$20,CR4&lt;&gt;""),AND(DQ4&gt;=DV$16,DR4&gt;=DV$20,DQ4&lt;&gt;""),AND(DT4&gt;=DV$16,DU4&gt;=DV$20,DT4&lt;&gt;""),AND(EQ4&gt;=EV$16,ER4&gt;=EV$20,EQ4&lt;&gt;""),AND(ET4&gt;=EV$16,EU4&gt;=EV$20,ET4&lt;&gt;""),AND(FQ4&gt;=FV$16,FR4&gt;=FV$20,FQ4&lt;&gt;""),AND(FT4&gt;=FV$16,FU4&gt;=FV$20,FT4&lt;&gt;""),AND(GQ4&gt;=GV$16,GR4&gt;=GV$20,GQ4&lt;&gt;""),AND(GT4&gt;=GV$16,GU4&gt;=GV$20,GT4&lt;&gt;""),AND(HQ4&gt;=HV$16,HR4&gt;=HV$20,HQ4&lt;&gt;""),AND(HT4&gt;=HV$16,HU4&gt;=HV$20,HT4&lt;&gt;""),AND(IQ4&gt;=IV$16,IR4&gt;=IV$20,IQ4&lt;&gt;""),AND(IT4&gt;=IV$16,IU4&gt;=IV$20,IT4&lt;&gt;""),AND(JQ4&gt;=JV$16,JR4&gt;=JV$20,JQ4&lt;&gt;""),AND(JT4&gt;=JV$16,JU4&gt;=JV$20,JT4&lt;&gt;""),AND(KQ4&gt;=KV$16,KR4&gt;=KV$20,KQ4&lt;&gt;""),AND(KT4&gt;=KV$16,KU4&gt;=KV$20,KT4&lt;&gt;""),AND(LQ4&gt;=LV$16,LR4&gt;=LV$20,LQ4&lt;&gt;""),AND(LT4&gt;=LV$16,LU4&gt;=LV$20,LT4&lt;&gt;""),AND(MQ4&gt;=MV$16,MR4&gt;=MV$20,MQ4&lt;&gt;""),AND(MT4&gt;=MV$16,MU4&gt;=MV$20,MT4&lt;&gt;""),AND(NQ4&gt;=NV$16,NR4&gt;=NV$20,NQ4&lt;&gt;""),AND(NT4&gt;=NV$16,NU4&gt;=NV$20,NT4&lt;&gt;""),AND(OQ4&gt;=OV$16,OR4&gt;=OV$20,OQ4&lt;&gt;""),AND(OT4&gt;=OV$16,OU4&gt;=OV$20,OT4&lt;&gt;"")),"Excellence",IF(F4="P","National Team",""))))</f>
        <v>Excellence</v>
      </c>
      <c r="I4" s="9">
        <f>IF(COUNT(AN4,BO4,CP4)&gt;0,LARGE((AN4,BO4,CP4),1),0)</f>
        <v>49.4</v>
      </c>
      <c r="J4" s="9" t="str">
        <f>IF(I4=0,"",IF(I4=CP4,$BT$1,IF(I4=BO4,$AS$1,IF(I4=AN4,$R$1,""))))</f>
        <v>2023 Elite Canada</v>
      </c>
      <c r="K4" s="9">
        <f>IF(COUNT(AN4,BO4,CP4)&gt;1,LARGE((AN4,BO4,CP4),2),0)</f>
        <v>46.599999999999994</v>
      </c>
      <c r="L4" s="9" t="str">
        <f>IF(K4=0,"",IF(K4=CP4,$BT$1,IF(K4=BO4,$AS$1,IF(K4=AN4,$R$1,""))))</f>
        <v>2023 3rd Domestic Trial</v>
      </c>
      <c r="M4" s="9">
        <f>IF(MAX(AQ4,BR4,CS4)&gt;0,MAX(AQ4,BR4,CS4),0)</f>
        <v>51.8</v>
      </c>
      <c r="N4" s="9" t="str">
        <f>IF(M4=0,"",IF(M4=CS4,$BT$1,IF(M4=BR4,$AS$1,IF(M4=AQ4,$R$1,""))))</f>
        <v>2023 3rd Domestic Trial</v>
      </c>
      <c r="O4" s="9">
        <f>IF(MAX(CU4:CV4)&gt;0,MAX(CU4:CV4),"")</f>
        <v>6.2000000000000099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18.7</v>
      </c>
      <c r="S4" s="20">
        <v>6.8</v>
      </c>
      <c r="T4" s="20">
        <v>0.6</v>
      </c>
      <c r="U4" s="20">
        <v>0</v>
      </c>
      <c r="V4" s="20">
        <v>18.7</v>
      </c>
      <c r="W4" s="20">
        <v>6.4</v>
      </c>
      <c r="X4" s="20">
        <v>0.6</v>
      </c>
      <c r="Y4" s="20">
        <v>0</v>
      </c>
      <c r="Z4" s="20">
        <v>18</v>
      </c>
      <c r="AA4" s="20">
        <v>6.8</v>
      </c>
      <c r="AB4" s="20">
        <v>1</v>
      </c>
      <c r="AC4" s="20">
        <v>0</v>
      </c>
      <c r="AD4" s="20">
        <v>18.3</v>
      </c>
      <c r="AE4" s="20">
        <v>6.8</v>
      </c>
      <c r="AF4" s="20">
        <v>1</v>
      </c>
      <c r="AG4" s="20">
        <v>0</v>
      </c>
      <c r="AH4" s="20">
        <v>18.8</v>
      </c>
      <c r="AI4" s="20">
        <v>6.4</v>
      </c>
      <c r="AJ4" s="20">
        <v>0</v>
      </c>
      <c r="AK4" s="20">
        <v>0</v>
      </c>
      <c r="AL4" s="32"/>
      <c r="AM4" s="55">
        <f>IF(SUM(S4,W4)&gt;0,SUM(S4,W4),"")</f>
        <v>13.2</v>
      </c>
      <c r="AN4" s="55">
        <f>IF(SUM(R4:S4,U4:W4,Y4)-T4-X4&gt;0,SUM(R4:S4,U4:W4,Y4)-T4-X4,"")</f>
        <v>49.4</v>
      </c>
      <c r="AO4" s="55">
        <f>IF(SUM(Z4:AA4,AC4)-AB4&gt;0,SUM(Z4:AA4,AC4)-AB4,"")</f>
        <v>23.8</v>
      </c>
      <c r="AP4" s="55">
        <f>IF(SUM(AE4,AI4)&gt;0,SUM(AE4,AI4),"")</f>
        <v>13.2</v>
      </c>
      <c r="AQ4" s="55">
        <f>IF(SUM(AD4:AE4,AG4:AI4,AK4)-SUM(AF4,AJ4)&gt;0,SUM(AD4:AE4,AG4:AI4,AK4)-SUM(AF4,AJ4),"")</f>
        <v>49.300000000000004</v>
      </c>
      <c r="AR4" s="55">
        <f>IF(SUM(AN4,AO4,AQ4)&gt;0,SUM(AN4,AO4,AQ4),"")</f>
        <v>122.5</v>
      </c>
      <c r="AS4" s="19">
        <v>17.399999999999999</v>
      </c>
      <c r="AT4" s="19">
        <v>2.8</v>
      </c>
      <c r="AU4" s="19">
        <v>0</v>
      </c>
      <c r="AV4" s="19">
        <v>0</v>
      </c>
      <c r="AW4" s="19">
        <v>17.600000000000001</v>
      </c>
      <c r="AX4" s="19">
        <v>4</v>
      </c>
      <c r="AY4" s="19">
        <v>0</v>
      </c>
      <c r="AZ4" s="19">
        <v>0</v>
      </c>
      <c r="BA4" s="19">
        <v>18.5</v>
      </c>
      <c r="BB4" s="19">
        <v>7.6</v>
      </c>
      <c r="BC4" s="19">
        <v>0</v>
      </c>
      <c r="BD4" s="19">
        <v>0</v>
      </c>
      <c r="BE4" s="19">
        <v>18.8</v>
      </c>
      <c r="BF4" s="19">
        <v>7.2</v>
      </c>
      <c r="BG4" s="19">
        <v>0.6</v>
      </c>
      <c r="BH4" s="19">
        <v>0</v>
      </c>
      <c r="BI4" s="19">
        <v>18.3</v>
      </c>
      <c r="BJ4" s="19">
        <v>6.8</v>
      </c>
      <c r="BK4" s="19">
        <v>0.2</v>
      </c>
      <c r="BL4" s="19">
        <v>0</v>
      </c>
      <c r="BM4" s="33"/>
      <c r="BN4" s="14">
        <f>IF(SUM(AT4,AX4)&gt;0,SUM(AT4,AX4),"")</f>
        <v>6.8</v>
      </c>
      <c r="BO4" s="14">
        <f>IF(SUM(AS4:AT4,AV4:AX4,AZ4)-AU4-AY4&gt;0,SUM(AS4:AT4,AV4:AX4,AZ4)-AU4-AY4,"")</f>
        <v>41.8</v>
      </c>
      <c r="BP4" s="14">
        <f>IF(SUM(BA4:BB4,BD4)-BC4&gt;0,SUM(BA4:BB4,BD4)-BC4,"")</f>
        <v>26.1</v>
      </c>
      <c r="BQ4" s="14">
        <f>IF(SUM(BF4,BJ4)&gt;0,SUM(BF4,BJ4),"")</f>
        <v>14</v>
      </c>
      <c r="BR4" s="14">
        <f>IF(SUM(BE4:BF4,BH4:BJ4,BL4)-SUM(BG4,BK4)&gt;0,SUM(BE4:BF4,BH4:BJ4,BL4)-SUM(BG4,BK4),"")</f>
        <v>50.3</v>
      </c>
      <c r="BS4" s="14">
        <f>IF(SUM(BO4,BP4,BR4)&gt;0,SUM(BO4,BP4,BR4),"")</f>
        <v>118.2</v>
      </c>
      <c r="BT4" s="20">
        <v>17.399999999999999</v>
      </c>
      <c r="BU4" s="20">
        <v>4</v>
      </c>
      <c r="BV4" s="20">
        <v>0</v>
      </c>
      <c r="BW4" s="20">
        <v>0</v>
      </c>
      <c r="BX4" s="20">
        <v>18.2</v>
      </c>
      <c r="BY4" s="20">
        <v>7.6000000000000005</v>
      </c>
      <c r="BZ4" s="20">
        <v>0.6</v>
      </c>
      <c r="CA4" s="20">
        <v>0</v>
      </c>
      <c r="CB4" s="20">
        <v>17.3</v>
      </c>
      <c r="CC4" s="20">
        <v>2.8</v>
      </c>
      <c r="CD4" s="20">
        <v>0</v>
      </c>
      <c r="CE4" s="20">
        <v>0</v>
      </c>
      <c r="CF4" s="20">
        <v>18.2</v>
      </c>
      <c r="CG4" s="20">
        <v>7.6</v>
      </c>
      <c r="CH4" s="20">
        <v>0</v>
      </c>
      <c r="CI4" s="20">
        <v>0</v>
      </c>
      <c r="CJ4" s="20">
        <v>18.399999999999999</v>
      </c>
      <c r="CK4" s="20">
        <v>7.6000000000000005</v>
      </c>
      <c r="CL4" s="20">
        <v>0</v>
      </c>
      <c r="CM4" s="20">
        <v>0</v>
      </c>
      <c r="CN4" s="32"/>
      <c r="CO4" s="55">
        <f>IF(SUM(BU4,BY4)&gt;0,SUM(BU4,BY4),"")</f>
        <v>11.600000000000001</v>
      </c>
      <c r="CP4" s="55">
        <f>IF(SUM(BT4:BU4,BW4:BY4,CA4)-BV4-BZ4&gt;0,SUM(BT4:BU4,BW4:BY4,CA4)-BV4-BZ4,"")</f>
        <v>46.599999999999994</v>
      </c>
      <c r="CQ4" s="55">
        <f>IF(SUM(CB4:CC4,CE4)-CD4&gt;0,SUM(CB4:CC4,CE4)-CD4,"")</f>
        <v>20.100000000000001</v>
      </c>
      <c r="CR4" s="55">
        <f>IF(SUM(CG4,CK4)&gt;0,SUM(CG4,CK4),"")</f>
        <v>15.2</v>
      </c>
      <c r="CS4" s="55">
        <f>IF(SUM(CF4:CG4,CI4:CK4,CM4)-SUM(CH4,CL4)&gt;0,SUM(CF4:CG4,CI4:CK4,CM4)-SUM(CH4,CL4),"")</f>
        <v>51.8</v>
      </c>
      <c r="CT4" s="55">
        <f>IF(SUM(CP4,CQ4,CS4)&gt;0,SUM(CP4,CQ4,CS4),"")</f>
        <v>118.49999999999999</v>
      </c>
      <c r="CU4" s="56">
        <f>IF(MAX(DR4,ER4,FR4,GR4,HR4,IR4,JR4,KR4,LR4,MR4,NR4,OR4)-IF(K4="",0,K4)&gt;0.001,MAX(DR4,ER4,FR4,GR4,HR4,IR4,JR4,KR4,LR4,MR4,NR4,OR4)-IF(K4="",0,K4),"")</f>
        <v>6.2000000000000099</v>
      </c>
      <c r="CV4" s="56" t="str">
        <f>IF(MAX(DU4,EU4,FU4,GU4,HU4,IU4,JU4,KU4,LU4,MU4,NU4,OU4)-IF(M4="",0,M4)&gt;0.001,MAX(DU4,EU4,FU4,GU4,HU4,IU4,JU4,KU4,LU4,MU4,NU4,OU4)-IF(M4="",0,M4),"")</f>
        <v/>
      </c>
      <c r="CW4" s="18">
        <v>16.600000000000001</v>
      </c>
      <c r="CX4" s="18">
        <v>6.8</v>
      </c>
      <c r="CY4" s="18">
        <v>1</v>
      </c>
      <c r="CZ4" s="18">
        <v>0</v>
      </c>
      <c r="DA4" s="18">
        <v>18.600000000000001</v>
      </c>
      <c r="DB4" s="18">
        <v>6.4</v>
      </c>
      <c r="DC4" s="18">
        <v>0.2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13.2</v>
      </c>
      <c r="DR4" s="55">
        <f>IF(SUM(CW4:CX4,CZ4:DB4,DD4)-CY4-DC4&gt;0,SUM(CW4:CX4,CZ4:DB4,DD4)-CY4-DC4,"")</f>
        <v>47.199999999999996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IF(SUM(DR4,DS4,DU4)&gt;0,SUM(DR4,DS4,DU4),"")</f>
        <v>47.199999999999996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>
        <v>19</v>
      </c>
      <c r="FX4" s="19">
        <v>7.6</v>
      </c>
      <c r="FY4" s="19">
        <v>0.6</v>
      </c>
      <c r="FZ4" s="19">
        <v>0</v>
      </c>
      <c r="GA4" s="19">
        <v>18.8</v>
      </c>
      <c r="GB4" s="19">
        <v>8</v>
      </c>
      <c r="GC4" s="19">
        <v>0</v>
      </c>
      <c r="GD4" s="19">
        <v>0</v>
      </c>
      <c r="GE4" s="19"/>
      <c r="GF4" s="19"/>
      <c r="GG4" s="19"/>
      <c r="GH4" s="19"/>
      <c r="GI4" s="19">
        <v>18.8</v>
      </c>
      <c r="GJ4" s="19">
        <v>8.4</v>
      </c>
      <c r="GK4" s="19">
        <v>0</v>
      </c>
      <c r="GL4" s="19">
        <v>0</v>
      </c>
      <c r="GM4" s="19">
        <v>0</v>
      </c>
      <c r="GN4" s="19">
        <v>0</v>
      </c>
      <c r="GO4" s="19">
        <v>0</v>
      </c>
      <c r="GP4" s="19">
        <v>0</v>
      </c>
      <c r="GQ4" s="14">
        <f>IF(SUM(FX4,GB4)&gt;0,SUM(FX4,GB4),"")</f>
        <v>15.6</v>
      </c>
      <c r="GR4" s="14">
        <f>IF(SUM(FW4:FX4,FZ4:GB4,GD4)-FY4-GC4&gt;0,SUM(FW4:FX4,FZ4:GB4,GD4)-FY4-GC4,"")</f>
        <v>52.800000000000004</v>
      </c>
      <c r="GS4" s="14" t="str">
        <f>IF(SUM(GE4:GF4,GH4)-GG4&gt;0,SUM(GE4:GF4,GH4)-GG4,"")</f>
        <v/>
      </c>
      <c r="GT4" s="14">
        <f>IF(SUM(GJ4,GN4)&gt;0,SUM(GJ4,GN4),"")</f>
        <v>8.4</v>
      </c>
      <c r="GU4" s="14">
        <f>IF(SUM(GI4:GJ4,GL4:GN4,GP4)-SUM(GK4,GO4)&gt;0,SUM(GI4:GJ4,GL4:GN4,GP4)-SUM(GK4,GO4),"")</f>
        <v>27.200000000000003</v>
      </c>
      <c r="GV4" s="14">
        <f>IF(SUM(GR4,GS4,GU4)&gt;0,SUM(GR4,GS4,GU4),"")</f>
        <v>80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17.399999999999999</v>
      </c>
      <c r="OX4" s="27">
        <f>IF($CN4="P",BU4,(BU4+AT4)/2)</f>
        <v>3.4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17.899999999999999</v>
      </c>
      <c r="PB4" s="27">
        <f>IF($CN4="P",BY4,(BY4+AX4)/2)</f>
        <v>5.8000000000000007</v>
      </c>
      <c r="PC4" s="27">
        <f>IF($CN4="P",BZ4,(BZ4+AY4)/2)</f>
        <v>0.3</v>
      </c>
      <c r="PD4" s="27">
        <f>IF($CN4="P",CA4,(CA4+AZ4)/2)</f>
        <v>0</v>
      </c>
      <c r="PE4" s="27">
        <f>IF($CN4="P",CB4,(CB4+BA4)/2)</f>
        <v>17.899999999999999</v>
      </c>
      <c r="PF4" s="27">
        <f>IF($CN4="P",CC4,(CC4+BB4)/2)</f>
        <v>5.1999999999999993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18.5</v>
      </c>
      <c r="PJ4" s="27">
        <f>IF($CN4="P",CG4,(CG4+BF4)/2)</f>
        <v>7.4</v>
      </c>
      <c r="PK4" s="27">
        <f>IF($CN4="P",CH4,(CH4+BG4)/2)</f>
        <v>0.3</v>
      </c>
      <c r="PL4" s="27">
        <f>IF($CN4="P",CI4,(CI4+BH4)/2)</f>
        <v>0</v>
      </c>
      <c r="PM4" s="27">
        <f>IF($CN4="P",CJ4,(CJ4+BI4)/2)</f>
        <v>18.350000000000001</v>
      </c>
      <c r="PN4" s="27">
        <f>IF($CN4="P",CK4,(CK4+BJ4)/2)</f>
        <v>7.2</v>
      </c>
      <c r="PO4" s="27">
        <f>IF($CN4="P",CL4,(CL4+BK4)/2)</f>
        <v>0.1</v>
      </c>
      <c r="PP4" s="27">
        <f>IF($CN4="P",CM4,(CM4+BL4)/2)</f>
        <v>0</v>
      </c>
      <c r="PQ4" s="32" t="s">
        <v>44</v>
      </c>
      <c r="PR4" s="55">
        <f>IF(SUM(OX4,PB4)&gt;0,SUM(OX4,PB4),"")</f>
        <v>9.2000000000000011</v>
      </c>
      <c r="PS4" s="55">
        <f>IF(SUM(OW4:OX4,OZ4:PB4,PD4)-OY4-PC4&gt;0,SUM(OW4:OX4,OZ4:PB4,PD4)-OY4-PC4,"")</f>
        <v>44.2</v>
      </c>
      <c r="PT4" s="55">
        <f>IF(SUM(PE4:PF4,PH4)-PG4&gt;0,SUM(PE4:PF4,PH4)-PG4,"")</f>
        <v>23.099999999999998</v>
      </c>
      <c r="PU4" s="55">
        <f>IF(SUM(PJ4,PN4)&gt;0,SUM(PJ4,PN4),"")</f>
        <v>14.600000000000001</v>
      </c>
      <c r="PV4" s="55">
        <f>IF(SUM(PI4:PJ4,PL4:PN4,PP4)-SUM(PK4,PO4)&gt;0,SUM(PI4:PJ4,PL4:PN4,PP4)-SUM(PK4,PO4),"")</f>
        <v>51.050000000000004</v>
      </c>
      <c r="PW4" s="55">
        <f>IF(SUM(PS4,PT4,PV4)&gt;0,SUM(PS4,PT4,PV4),"")</f>
        <v>118.35</v>
      </c>
    </row>
    <row r="5" spans="1:43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80</v>
      </c>
      <c r="C5" s="4" t="s">
        <v>68</v>
      </c>
      <c r="D5" s="4">
        <v>2007</v>
      </c>
      <c r="E5" s="10">
        <f>SUM(I5:O5)+SUM(I5:M5)*0.0000001+SUM(I5)*0.0000000000001</f>
        <v>152.10001521000515</v>
      </c>
      <c r="F5" s="3" t="str">
        <f>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P","")</f>
        <v>P</v>
      </c>
      <c r="G5" s="3" t="str">
        <f>IF(OR(AND(AN5&gt;=AR$18,AN5&lt;&gt;"",AL5=""),AND(AQ5&gt;=AR$18,AQ5&lt;&gt;"",AL5=""),AND(BO5&gt;=BS$18,BO5&lt;&gt;"",BM5=""),AND(BR5&gt;=BS$18,BR5&lt;&gt;"",BM5=""),AND(CP5&gt;=CT$18,CP5&lt;&gt;"",CN5=""),AND(CS5&gt;=CT$18,CS5&lt;&gt;"",CN5=""),AND(DR5&gt;=DV$18,DR5&lt;&gt;""),AND(DU5&gt;=DV$18,DU5&lt;&gt;""),AND(ER5&gt;=EV$18,ER5&lt;&gt;""),AND(EU5&gt;=EV$18,EU5&lt;&gt;""),AND(FR5&gt;=FV$18,FR5&lt;&gt;""),AND(FU5&gt;=FV$18,FU5&lt;&gt;""),AND(GR5&gt;=GV$18,GR5&lt;&gt;""),AND(GU5&gt;=GV$18,GU5&lt;&gt;""),AND(HR5&gt;=HV$18,HR5&lt;&gt;""),AND(HU5&gt;=HV$18,HU5&lt;&gt;""),AND(IR5&gt;=IV$18,IR5&lt;&gt;""),AND(IU5&gt;=IV$18,IU5&lt;&gt;""),AND(JR5&gt;=JV$18,JR5&lt;&gt;""),AND(JU5&gt;=JV$18,JU5&lt;&gt;""),AND(KR5&gt;=KV$18,KR5&lt;&gt;""),AND(KU5&gt;=KV$18,KU5&lt;&gt;""),AND(LR5&gt;=LV$18,LR5&lt;&gt;""),AND(LU5&gt;=LV$18,LU5&lt;&gt;""),AND(MR5&gt;=MV$18,MR5&lt;&gt;""),AND(MU5&gt;=MV$18,MU5&lt;&gt;""),AND(NR5&gt;=NV$18,NR5&lt;&gt;""),AND(NU5&gt;=NV$18,NU5&lt;&gt;""),AND(OR5&gt;=OV$18,OR5&lt;&gt;""),AND(OU5&gt;=OV$18,OU5&lt;&gt;"")),"P","")</f>
        <v>P</v>
      </c>
      <c r="H5" s="47" t="str">
        <f>IF(AND(G5="P",F5=""),"No DD",IF(OR(AND(AM5&gt;=AR$17,AN5&gt;=AR$21,AM5&lt;&gt;"",AL5=""),AND(AP5&gt;=AR$17,AQ5&gt;=AR$21,AP5&lt;&gt;"",AL5=""),AND(BN5&gt;=BS$17,BO5&gt;=BS$21,BN5&lt;&gt;"",BM5=""),AND(BQ5&gt;=BS$17,BR5&gt;=BS$21,BQ5&lt;&gt;"",BM5=""),AND(CO5&gt;=CT$17,CP5&gt;=CT$21,CO5&lt;&gt;"",CN5=""),AND(CR5&gt;=CT$17,CS5&gt;=CT$21,CR5&lt;&gt;""),AND(DQ5&gt;=DV$17,DR5&gt;=DV$21,DQ5&lt;&gt;""),AND(DT5&gt;=DV$17,DU5&gt;=DV$21,DT5&lt;&gt;""),AND(EQ5&gt;=EV$17,ER5&gt;=EV$21,EQ5&lt;&gt;""),AND(ET5&gt;=EV$17,EU5&gt;=EV$21,ET5&lt;&gt;""),AND(FQ5&gt;=FV$17,FR5&gt;=FV$21,FQ5&lt;&gt;""),AND(FT5&gt;=FV$17,FU5&gt;=FV$21,FT5&lt;&gt;""),AND(GQ5&gt;=GV$17,GR5&gt;=GV$21,GQ5&lt;&gt;""),AND(GT5&gt;=GV$17,GU5&gt;=GV$21,GT5&lt;&gt;""),AND(HQ5&gt;=HV$17,HR5&gt;=HV$21,HQ5&lt;&gt;""),AND(HT5&gt;=HV$17,HU5&gt;=HV$21,HT5&lt;&gt;""),AND(IQ5&gt;=IV$17,IR5&gt;=IV$21,IQ5&lt;&gt;""),AND(IT5&gt;=IV$17,IU5&gt;=IV$21,IT5&lt;&gt;""),AND(JQ5&gt;=JV$17,JR5&gt;=JV$21,JQ5&lt;&gt;""),AND(JT5&gt;=JV$17,JU5&gt;=JV$21,JT5&lt;&gt;""),AND(KQ5&gt;=KV$17,KR5&gt;=KV$21,KQ5&lt;&gt;""),AND(KT5&gt;=KV$17,KU5&gt;=KV$21,KT5&lt;&gt;""),AND(LQ5&gt;=LV$17,LR5&gt;=LV$21,LQ5&lt;&gt;""),AND(LT5&gt;=LV$17,LU5&gt;=LV$21,LT5&lt;&gt;""),AND(MQ5&gt;=MV$17,MR5&gt;=MV$21,MQ5&lt;&gt;""),AND(MT5&gt;=MV$17,MU5&gt;=MV$21,MT5&lt;&gt;""),AND(NQ5&gt;=NV$17,NR5&gt;=NV$21,NQ5&lt;&gt;""),AND(NT5&gt;=NV$17,NU5&gt;=NV$21,NT5&lt;&gt;""),AND(OQ5&gt;=OV$17,OR5&gt;=OV$21,OQ5&lt;&gt;""),AND(OT5&gt;=OV$17,OU5&gt;=OV$21,OT5&lt;&gt;"")),"Merit",IF(OR(AND(AM5&gt;=AR$16,AN5&gt;=AR$20,AM5&lt;&gt;"",AL5=""),AND(AP5&gt;=AR$16,AQ5&gt;=AR$20,AP5&lt;&gt;"",AL5=""),AND(BN5&gt;=BS$16,BO5&gt;=BS$20,BN5&lt;&gt;"",BM5=""),AND(BQ5&gt;=BS$16,BR5&gt;=BS$20,BQ5&lt;&gt;"",BM5=""),AND(CO5&gt;=CT$16,CP5&gt;=CT$20,CO5&lt;&gt;"",CN5=""),AND(CR5&gt;=CT$16,CS5&gt;=CT$20,CR5&lt;&gt;""),AND(DQ5&gt;=DV$16,DR5&gt;=DV$20,DQ5&lt;&gt;""),AND(DT5&gt;=DV$16,DU5&gt;=DV$20,DT5&lt;&gt;""),AND(EQ5&gt;=EV$16,ER5&gt;=EV$20,EQ5&lt;&gt;""),AND(ET5&gt;=EV$16,EU5&gt;=EV$20,ET5&lt;&gt;""),AND(FQ5&gt;=FV$16,FR5&gt;=FV$20,FQ5&lt;&gt;""),AND(FT5&gt;=FV$16,FU5&gt;=FV$20,FT5&lt;&gt;""),AND(GQ5&gt;=GV$16,GR5&gt;=GV$20,GQ5&lt;&gt;""),AND(GT5&gt;=GV$16,GU5&gt;=GV$20,GT5&lt;&gt;""),AND(HQ5&gt;=HV$16,HR5&gt;=HV$20,HQ5&lt;&gt;""),AND(HT5&gt;=HV$16,HU5&gt;=HV$20,HT5&lt;&gt;""),AND(IQ5&gt;=IV$16,IR5&gt;=IV$20,IQ5&lt;&gt;""),AND(IT5&gt;=IV$16,IU5&gt;=IV$20,IT5&lt;&gt;""),AND(JQ5&gt;=JV$16,JR5&gt;=JV$20,JQ5&lt;&gt;""),AND(JT5&gt;=JV$16,JU5&gt;=JV$20,JT5&lt;&gt;""),AND(KQ5&gt;=KV$16,KR5&gt;=KV$20,KQ5&lt;&gt;""),AND(KT5&gt;=KV$16,KU5&gt;=KV$20,KT5&lt;&gt;""),AND(LQ5&gt;=LV$16,LR5&gt;=LV$20,LQ5&lt;&gt;""),AND(LT5&gt;=LV$16,LU5&gt;=LV$20,LT5&lt;&gt;""),AND(MQ5&gt;=MV$16,MR5&gt;=MV$20,MQ5&lt;&gt;""),AND(MT5&gt;=MV$16,MU5&gt;=MV$20,MT5&lt;&gt;""),AND(NQ5&gt;=NV$16,NR5&gt;=NV$20,NQ5&lt;&gt;""),AND(NT5&gt;=NV$16,NU5&gt;=NV$20,NT5&lt;&gt;""),AND(OQ5&gt;=OV$16,OR5&gt;=OV$20,OQ5&lt;&gt;""),AND(OT5&gt;=OV$16,OU5&gt;=OV$20,OT5&lt;&gt;"")),"Excellence",IF(F5="P","National Team",""))))</f>
        <v>Excellence</v>
      </c>
      <c r="I5" s="9">
        <f>IF(COUNT(AN5,BO5,CP5)&gt;0,LARGE((AN5,BO5,CP5),1),0)</f>
        <v>51.8</v>
      </c>
      <c r="J5" s="9" t="str">
        <f>IF(I5=0,"",IF(I5=CP5,$BT$1,IF(I5=BO5,$AS$1,IF(I5=AN5,$R$1,""))))</f>
        <v>2023 Nationals</v>
      </c>
      <c r="K5" s="9">
        <f>IF(COUNT(AN5,BO5,CP5)&gt;1,LARGE((AN5,BO5,CP5),2),0)</f>
        <v>51.1</v>
      </c>
      <c r="L5" s="9" t="str">
        <f>IF(K5=0,"",IF(K5=CP5,$BT$1,IF(K5=BO5,$AS$1,IF(K5=AN5,$R$1,""))))</f>
        <v>2023 3rd Domestic Trial</v>
      </c>
      <c r="M5" s="9">
        <f>IF(MAX(AQ5,BR5,CS5)&gt;0,MAX(AQ5,BR5,CS5),0)</f>
        <v>49.199999999999996</v>
      </c>
      <c r="N5" s="9" t="str">
        <f>IF(M5=0,"",IF(M5=CS5,$BT$1,IF(M5=BR5,$AS$1,IF(M5=AQ5,$R$1,""))))</f>
        <v>2023 Nationals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0</v>
      </c>
      <c r="S5" s="20">
        <v>0</v>
      </c>
      <c r="T5" s="20">
        <v>0</v>
      </c>
      <c r="U5" s="20">
        <v>0</v>
      </c>
      <c r="V5" s="20">
        <v>18.8</v>
      </c>
      <c r="W5" s="20">
        <v>7.6</v>
      </c>
      <c r="X5" s="20">
        <v>0.2</v>
      </c>
      <c r="Y5" s="20">
        <v>0</v>
      </c>
      <c r="Z5" s="20">
        <v>18.5</v>
      </c>
      <c r="AA5" s="20">
        <v>6</v>
      </c>
      <c r="AB5" s="20">
        <v>0</v>
      </c>
      <c r="AC5" s="20">
        <v>0</v>
      </c>
      <c r="AD5" s="20">
        <v>17.399999999999999</v>
      </c>
      <c r="AE5" s="20">
        <v>4</v>
      </c>
      <c r="AF5" s="20">
        <v>0.2</v>
      </c>
      <c r="AG5" s="20">
        <v>0</v>
      </c>
      <c r="AH5" s="20">
        <v>18.399999999999999</v>
      </c>
      <c r="AI5" s="20">
        <v>6.8</v>
      </c>
      <c r="AJ5" s="20">
        <v>0.6</v>
      </c>
      <c r="AK5" s="20">
        <v>0</v>
      </c>
      <c r="AL5" s="32"/>
      <c r="AM5" s="55">
        <f>IF(SUM(S5,W5)&gt;0,SUM(S5,W5),"")</f>
        <v>7.6</v>
      </c>
      <c r="AN5" s="55">
        <f>IF(SUM(R5:S5,U5:W5,Y5)-T5-X5&gt;0,SUM(R5:S5,U5:W5,Y5)-T5-X5,"")</f>
        <v>26.2</v>
      </c>
      <c r="AO5" s="55">
        <f>IF(SUM(Z5:AA5,AC5)-AB5&gt;0,SUM(Z5:AA5,AC5)-AB5,"")</f>
        <v>24.5</v>
      </c>
      <c r="AP5" s="55">
        <f>IF(SUM(AE5,AI5)&gt;0,SUM(AE5,AI5),"")</f>
        <v>10.8</v>
      </c>
      <c r="AQ5" s="55">
        <f>IF(SUM(AD5:AE5,AG5:AI5,AK5)-SUM(AF5,AJ5)&gt;0,SUM(AD5:AE5,AG5:AI5,AK5)-SUM(AF5,AJ5),"")</f>
        <v>45.8</v>
      </c>
      <c r="AR5" s="55">
        <f>IF(SUM(AN5,AO5,AQ5)&gt;0,SUM(AN5,AO5,AQ5),"")</f>
        <v>96.5</v>
      </c>
      <c r="AS5" s="19">
        <v>19.2</v>
      </c>
      <c r="AT5" s="19">
        <v>7.2</v>
      </c>
      <c r="AU5" s="19">
        <v>0</v>
      </c>
      <c r="AV5" s="19">
        <v>0</v>
      </c>
      <c r="AW5" s="19">
        <v>19</v>
      </c>
      <c r="AX5" s="19">
        <v>6.4</v>
      </c>
      <c r="AY5" s="19">
        <v>0</v>
      </c>
      <c r="AZ5" s="19">
        <v>0</v>
      </c>
      <c r="BA5" s="19">
        <v>18.100000000000001</v>
      </c>
      <c r="BB5" s="19">
        <v>7.7</v>
      </c>
      <c r="BC5" s="19">
        <v>0.2</v>
      </c>
      <c r="BD5" s="19">
        <v>0</v>
      </c>
      <c r="BE5" s="19">
        <v>18.7</v>
      </c>
      <c r="BF5" s="19">
        <v>6</v>
      </c>
      <c r="BG5" s="19">
        <v>1</v>
      </c>
      <c r="BH5" s="19">
        <v>0</v>
      </c>
      <c r="BI5" s="19">
        <v>19.100000000000001</v>
      </c>
      <c r="BJ5" s="19">
        <v>6.4</v>
      </c>
      <c r="BK5" s="19">
        <v>0</v>
      </c>
      <c r="BL5" s="19">
        <v>0</v>
      </c>
      <c r="BM5" s="33"/>
      <c r="BN5" s="14">
        <f>IF(SUM(AT5,AX5)&gt;0,SUM(AT5,AX5),"")</f>
        <v>13.600000000000001</v>
      </c>
      <c r="BO5" s="14">
        <f>IF(SUM(AS5:AT5,AV5:AX5,AZ5)-AU5-AY5&gt;0,SUM(AS5:AT5,AV5:AX5,AZ5)-AU5-AY5,"")</f>
        <v>51.8</v>
      </c>
      <c r="BP5" s="14">
        <f>IF(SUM(BA5:BB5,BD5)-BC5&gt;0,SUM(BA5:BB5,BD5)-BC5,"")</f>
        <v>25.6</v>
      </c>
      <c r="BQ5" s="14">
        <f>IF(SUM(BF5,BJ5)&gt;0,SUM(BF5,BJ5),"")</f>
        <v>12.4</v>
      </c>
      <c r="BR5" s="14">
        <f>IF(SUM(BE5:BF5,BH5:BJ5,BL5)-SUM(BG5,BK5)&gt;0,SUM(BE5:BF5,BH5:BJ5,BL5)-SUM(BG5,BK5),"")</f>
        <v>49.199999999999996</v>
      </c>
      <c r="BS5" s="14">
        <f>IF(SUM(BO5,BP5,BR5)&gt;0,SUM(BO5,BP5,BR5),"")</f>
        <v>126.6</v>
      </c>
      <c r="BT5" s="20">
        <v>19.100000000000001</v>
      </c>
      <c r="BU5" s="20">
        <v>7.2</v>
      </c>
      <c r="BV5" s="20">
        <v>0.6</v>
      </c>
      <c r="BW5" s="20">
        <v>0</v>
      </c>
      <c r="BX5" s="20">
        <v>18.8</v>
      </c>
      <c r="BY5" s="20">
        <v>7.2</v>
      </c>
      <c r="BZ5" s="20">
        <v>0.6</v>
      </c>
      <c r="CA5" s="20">
        <v>0</v>
      </c>
      <c r="CB5" s="20">
        <v>17.899999999999999</v>
      </c>
      <c r="CC5" s="20">
        <v>6</v>
      </c>
      <c r="CD5" s="20">
        <v>1</v>
      </c>
      <c r="CE5" s="20">
        <v>0</v>
      </c>
      <c r="CF5" s="20">
        <v>18.399999999999999</v>
      </c>
      <c r="CG5" s="20">
        <v>7.2</v>
      </c>
      <c r="CH5" s="20">
        <v>0.6</v>
      </c>
      <c r="CI5" s="20">
        <v>0</v>
      </c>
      <c r="CJ5" s="20">
        <v>0</v>
      </c>
      <c r="CK5" s="20">
        <v>0</v>
      </c>
      <c r="CL5" s="20">
        <v>0</v>
      </c>
      <c r="CM5" s="20">
        <v>0</v>
      </c>
      <c r="CN5" s="32"/>
      <c r="CO5" s="55">
        <f>IF(SUM(BU5,BY5)&gt;0,SUM(BU5,BY5),"")</f>
        <v>14.4</v>
      </c>
      <c r="CP5" s="55">
        <f>IF(SUM(BT5:BU5,BW5:BY5,CA5)-BV5-BZ5&gt;0,SUM(BT5:BU5,BW5:BY5,CA5)-BV5-BZ5,"")</f>
        <v>51.1</v>
      </c>
      <c r="CQ5" s="55">
        <f>IF(SUM(CB5:CC5,CE5)-CD5&gt;0,SUM(CB5:CC5,CE5)-CD5,"")</f>
        <v>22.9</v>
      </c>
      <c r="CR5" s="55">
        <f>IF(SUM(CG5,CK5)&gt;0,SUM(CG5,CK5),"")</f>
        <v>7.2</v>
      </c>
      <c r="CS5" s="55">
        <f>IF(SUM(CF5:CG5,CI5:CK5,CM5)-SUM(CH5,CL5)&gt;0,SUM(CF5:CG5,CI5:CK5,CM5)-SUM(CH5,CL5),"")</f>
        <v>24.999999999999996</v>
      </c>
      <c r="CT5" s="55">
        <f>IF(SUM(CP5,CQ5,CS5)&gt;0,SUM(CP5,CQ5,CS5),"")</f>
        <v>99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>
        <v>18.8</v>
      </c>
      <c r="CX5" s="18">
        <v>6.4</v>
      </c>
      <c r="CY5" s="18">
        <v>0.6</v>
      </c>
      <c r="CZ5" s="18">
        <v>0</v>
      </c>
      <c r="DA5" s="18">
        <v>17</v>
      </c>
      <c r="DB5" s="18">
        <v>6.4</v>
      </c>
      <c r="DC5" s="18">
        <v>1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12.8</v>
      </c>
      <c r="DR5" s="55">
        <f>IF(SUM(CW5:CX5,CZ5:DB5,DD5)-CY5-DC5&gt;0,SUM(CW5:CX5,CZ5:DB5,DD5)-CY5-DC5,"")</f>
        <v>47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47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>
        <v>18.8</v>
      </c>
      <c r="FX5" s="19">
        <v>8</v>
      </c>
      <c r="FY5" s="19">
        <v>0</v>
      </c>
      <c r="FZ5" s="19">
        <v>0</v>
      </c>
      <c r="GA5" s="19">
        <v>17.3</v>
      </c>
      <c r="GB5" s="19">
        <v>4</v>
      </c>
      <c r="GC5" s="19">
        <v>0</v>
      </c>
      <c r="GD5" s="19">
        <v>0</v>
      </c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>
        <f>IF(SUM(FX5,GB5)&gt;0,SUM(FX5,GB5),"")</f>
        <v>12</v>
      </c>
      <c r="GR5" s="14">
        <f>IF(SUM(FW5:FX5,FZ5:GB5,GD5)-FY5-GC5&gt;0,SUM(FW5:FX5,FZ5:GB5,GD5)-FY5-GC5,"")</f>
        <v>48.1</v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>
        <f>IF(SUM(GR5,GS5,GU5)&gt;0,SUM(GR5,GS5,GU5),"")</f>
        <v>48.1</v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19.149999999999999</v>
      </c>
      <c r="OX5" s="27">
        <f>IF($CN5="P",BU5,(BU5+AT5)/2)</f>
        <v>7.2</v>
      </c>
      <c r="OY5" s="27">
        <f>IF($CN5="P",BV5,(BV5+AU5)/2)</f>
        <v>0.3</v>
      </c>
      <c r="OZ5" s="27">
        <f>IF($CN5="P",BW5,(BW5+AV5)/2)</f>
        <v>0</v>
      </c>
      <c r="PA5" s="27">
        <f>IF($CN5="P",BX5,(BX5+AW5)/2)</f>
        <v>18.899999999999999</v>
      </c>
      <c r="PB5" s="27">
        <f>IF($CN5="P",BY5,(BY5+AX5)/2)</f>
        <v>6.8000000000000007</v>
      </c>
      <c r="PC5" s="27">
        <f>IF($CN5="P",BZ5,(BZ5+AY5)/2)</f>
        <v>0.3</v>
      </c>
      <c r="PD5" s="27">
        <f>IF($CN5="P",CA5,(CA5+AZ5)/2)</f>
        <v>0</v>
      </c>
      <c r="PE5" s="27">
        <f>IF($CN5="P",CB5,(CB5+BA5)/2)</f>
        <v>18</v>
      </c>
      <c r="PF5" s="27">
        <f>IF($CN5="P",CC5,(CC5+BB5)/2)</f>
        <v>6.85</v>
      </c>
      <c r="PG5" s="27">
        <f>IF($CN5="P",CD5,(CD5+BC5)/2)</f>
        <v>0.6</v>
      </c>
      <c r="PH5" s="27">
        <f>IF($CN5="P",CE5,(CE5+BD5)/2)</f>
        <v>0</v>
      </c>
      <c r="PI5" s="27">
        <f>IF($CN5="P",CF5,(CF5+BE5)/2)</f>
        <v>18.549999999999997</v>
      </c>
      <c r="PJ5" s="27">
        <f>IF($CN5="P",CG5,(CG5+BF5)/2)</f>
        <v>6.6</v>
      </c>
      <c r="PK5" s="27">
        <f>IF($CN5="P",CH5,(CH5+BG5)/2)</f>
        <v>0.8</v>
      </c>
      <c r="PL5" s="27">
        <f>IF($CN5="P",CI5,(CI5+BH5)/2)</f>
        <v>0</v>
      </c>
      <c r="PM5" s="27">
        <f>IF($CN5="P",CJ5,(CJ5+BI5)/2)</f>
        <v>9.5500000000000007</v>
      </c>
      <c r="PN5" s="27">
        <f>IF($CN5="P",CK5,(CK5+BJ5)/2)</f>
        <v>3.2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>
        <f>IF(SUM(OX5,PB5)&gt;0,SUM(OX5,PB5),"")</f>
        <v>14</v>
      </c>
      <c r="PS5" s="55">
        <f>IF(SUM(OW5:OX5,OZ5:PB5,PD5)-OY5-PC5&gt;0,SUM(OW5:OX5,OZ5:PB5,PD5)-OY5-PC5,"")</f>
        <v>51.45</v>
      </c>
      <c r="PT5" s="55">
        <f>IF(SUM(PE5:PF5,PH5)-PG5&gt;0,SUM(PE5:PF5,PH5)-PG5,"")</f>
        <v>24.25</v>
      </c>
      <c r="PU5" s="55">
        <f>IF(SUM(PJ5,PN5)&gt;0,SUM(PJ5,PN5),"")</f>
        <v>9.8000000000000007</v>
      </c>
      <c r="PV5" s="55">
        <f>IF(SUM(PI5:PJ5,PL5:PN5,PP5)-SUM(PK5,PO5)&gt;0,SUM(PI5:PJ5,PL5:PN5,PP5)-SUM(PK5,PO5),"")</f>
        <v>37.100000000000009</v>
      </c>
      <c r="PW5" s="55">
        <f>IF(SUM(PS5,PT5,PV5)&gt;0,SUM(PS5,PT5,PV5),"")</f>
        <v>112.80000000000001</v>
      </c>
    </row>
    <row r="6" spans="1:43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103</v>
      </c>
      <c r="C6" s="4" t="s">
        <v>66</v>
      </c>
      <c r="D6" s="4">
        <v>2007</v>
      </c>
      <c r="E6" s="10">
        <f>SUM(I6:O6)+SUM(I6:M6)*0.0000001+SUM(I6)*0.0000000000001</f>
        <v>151.70001499000503</v>
      </c>
      <c r="F6" s="3" t="str">
        <f>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P","")</f>
        <v>P</v>
      </c>
      <c r="G6" s="3" t="str">
        <f>IF(OR(AND(AN6&gt;=AR$18,AN6&lt;&gt;"",AL6=""),AND(AQ6&gt;=AR$18,AQ6&lt;&gt;"",AL6=""),AND(BO6&gt;=BS$18,BO6&lt;&gt;"",BM6=""),AND(BR6&gt;=BS$18,BR6&lt;&gt;"",BM6=""),AND(CP6&gt;=CT$18,CP6&lt;&gt;"",CN6=""),AND(CS6&gt;=CT$18,CS6&lt;&gt;"",CN6=""),AND(DR6&gt;=DV$18,DR6&lt;&gt;""),AND(DU6&gt;=DV$18,DU6&lt;&gt;""),AND(ER6&gt;=EV$18,ER6&lt;&gt;""),AND(EU6&gt;=EV$18,EU6&lt;&gt;""),AND(FR6&gt;=FV$18,FR6&lt;&gt;""),AND(FU6&gt;=FV$18,FU6&lt;&gt;""),AND(GR6&gt;=GV$18,GR6&lt;&gt;""),AND(GU6&gt;=GV$18,GU6&lt;&gt;""),AND(HR6&gt;=HV$18,HR6&lt;&gt;""),AND(HU6&gt;=HV$18,HU6&lt;&gt;""),AND(IR6&gt;=IV$18,IR6&lt;&gt;""),AND(IU6&gt;=IV$18,IU6&lt;&gt;""),AND(JR6&gt;=JV$18,JR6&lt;&gt;""),AND(JU6&gt;=JV$18,JU6&lt;&gt;""),AND(KR6&gt;=KV$18,KR6&lt;&gt;""),AND(KU6&gt;=KV$18,KU6&lt;&gt;""),AND(LR6&gt;=LV$18,LR6&lt;&gt;""),AND(LU6&gt;=LV$18,LU6&lt;&gt;""),AND(MR6&gt;=MV$18,MR6&lt;&gt;""),AND(MU6&gt;=MV$18,MU6&lt;&gt;""),AND(NR6&gt;=NV$18,NR6&lt;&gt;""),AND(NU6&gt;=NV$18,NU6&lt;&gt;""),AND(OR6&gt;=OV$18,OR6&lt;&gt;""),AND(OU6&gt;=OV$18,OU6&lt;&gt;"")),"P","")</f>
        <v>P</v>
      </c>
      <c r="H6" s="47" t="str">
        <f>IF(AND(G6="P",F6=""),"No DD",IF(OR(AND(AM6&gt;=AR$17,AN6&gt;=AR$21,AM6&lt;&gt;"",AL6=""),AND(AP6&gt;=AR$17,AQ6&gt;=AR$21,AP6&lt;&gt;"",AL6=""),AND(BN6&gt;=BS$17,BO6&gt;=BS$21,BN6&lt;&gt;"",BM6=""),AND(BQ6&gt;=BS$17,BR6&gt;=BS$21,BQ6&lt;&gt;"",BM6=""),AND(CO6&gt;=CT$17,CP6&gt;=CT$21,CO6&lt;&gt;"",CN6=""),AND(CR6&gt;=CT$17,CS6&gt;=CT$21,CR6&lt;&gt;""),AND(DQ6&gt;=DV$17,DR6&gt;=DV$21,DQ6&lt;&gt;""),AND(DT6&gt;=DV$17,DU6&gt;=DV$21,DT6&lt;&gt;""),AND(EQ6&gt;=EV$17,ER6&gt;=EV$21,EQ6&lt;&gt;""),AND(ET6&gt;=EV$17,EU6&gt;=EV$21,ET6&lt;&gt;""),AND(FQ6&gt;=FV$17,FR6&gt;=FV$21,FQ6&lt;&gt;""),AND(FT6&gt;=FV$17,FU6&gt;=FV$21,FT6&lt;&gt;""),AND(GQ6&gt;=GV$17,GR6&gt;=GV$21,GQ6&lt;&gt;""),AND(GT6&gt;=GV$17,GU6&gt;=GV$21,GT6&lt;&gt;""),AND(HQ6&gt;=HV$17,HR6&gt;=HV$21,HQ6&lt;&gt;""),AND(HT6&gt;=HV$17,HU6&gt;=HV$21,HT6&lt;&gt;""),AND(IQ6&gt;=IV$17,IR6&gt;=IV$21,IQ6&lt;&gt;""),AND(IT6&gt;=IV$17,IU6&gt;=IV$21,IT6&lt;&gt;""),AND(JQ6&gt;=JV$17,JR6&gt;=JV$21,JQ6&lt;&gt;""),AND(JT6&gt;=JV$17,JU6&gt;=JV$21,JT6&lt;&gt;""),AND(KQ6&gt;=KV$17,KR6&gt;=KV$21,KQ6&lt;&gt;""),AND(KT6&gt;=KV$17,KU6&gt;=KV$21,KT6&lt;&gt;""),AND(LQ6&gt;=LV$17,LR6&gt;=LV$21,LQ6&lt;&gt;""),AND(LT6&gt;=LV$17,LU6&gt;=LV$21,LT6&lt;&gt;""),AND(MQ6&gt;=MV$17,MR6&gt;=MV$21,MQ6&lt;&gt;""),AND(MT6&gt;=MV$17,MU6&gt;=MV$21,MT6&lt;&gt;""),AND(NQ6&gt;=NV$17,NR6&gt;=NV$21,NQ6&lt;&gt;""),AND(NT6&gt;=NV$17,NU6&gt;=NV$21,NT6&lt;&gt;""),AND(OQ6&gt;=OV$17,OR6&gt;=OV$21,OQ6&lt;&gt;""),AND(OT6&gt;=OV$17,OU6&gt;=OV$21,OT6&lt;&gt;"")),"Merit",IF(OR(AND(AM6&gt;=AR$16,AN6&gt;=AR$20,AM6&lt;&gt;"",AL6=""),AND(AP6&gt;=AR$16,AQ6&gt;=AR$20,AP6&lt;&gt;"",AL6=""),AND(BN6&gt;=BS$16,BO6&gt;=BS$20,BN6&lt;&gt;"",BM6=""),AND(BQ6&gt;=BS$16,BR6&gt;=BS$20,BQ6&lt;&gt;"",BM6=""),AND(CO6&gt;=CT$16,CP6&gt;=CT$20,CO6&lt;&gt;"",CN6=""),AND(CR6&gt;=CT$16,CS6&gt;=CT$20,CR6&lt;&gt;""),AND(DQ6&gt;=DV$16,DR6&gt;=DV$20,DQ6&lt;&gt;""),AND(DT6&gt;=DV$16,DU6&gt;=DV$20,DT6&lt;&gt;""),AND(EQ6&gt;=EV$16,ER6&gt;=EV$20,EQ6&lt;&gt;""),AND(ET6&gt;=EV$16,EU6&gt;=EV$20,ET6&lt;&gt;""),AND(FQ6&gt;=FV$16,FR6&gt;=FV$20,FQ6&lt;&gt;""),AND(FT6&gt;=FV$16,FU6&gt;=FV$20,FT6&lt;&gt;""),AND(GQ6&gt;=GV$16,GR6&gt;=GV$20,GQ6&lt;&gt;""),AND(GT6&gt;=GV$16,GU6&gt;=GV$20,GT6&lt;&gt;""),AND(HQ6&gt;=HV$16,HR6&gt;=HV$20,HQ6&lt;&gt;""),AND(HT6&gt;=HV$16,HU6&gt;=HV$20,HT6&lt;&gt;""),AND(IQ6&gt;=IV$16,IR6&gt;=IV$20,IQ6&lt;&gt;""),AND(IT6&gt;=IV$16,IU6&gt;=IV$20,IT6&lt;&gt;""),AND(JQ6&gt;=JV$16,JR6&gt;=JV$20,JQ6&lt;&gt;""),AND(JT6&gt;=JV$16,JU6&gt;=JV$20,JT6&lt;&gt;""),AND(KQ6&gt;=KV$16,KR6&gt;=KV$20,KQ6&lt;&gt;""),AND(KT6&gt;=KV$16,KU6&gt;=KV$20,KT6&lt;&gt;""),AND(LQ6&gt;=LV$16,LR6&gt;=LV$20,LQ6&lt;&gt;""),AND(LT6&gt;=LV$16,LU6&gt;=LV$20,LT6&lt;&gt;""),AND(MQ6&gt;=MV$16,MR6&gt;=MV$20,MQ6&lt;&gt;""),AND(MT6&gt;=MV$16,MU6&gt;=MV$20,MT6&lt;&gt;""),AND(NQ6&gt;=NV$16,NR6&gt;=NV$20,NQ6&lt;&gt;""),AND(NT6&gt;=NV$16,NU6&gt;=NV$20,NT6&lt;&gt;""),AND(OQ6&gt;=OV$16,OR6&gt;=OV$20,OQ6&lt;&gt;""),AND(OT6&gt;=OV$16,OU6&gt;=OV$20,OT6&lt;&gt;"")),"Excellence",IF(F6="P","National Team",""))))</f>
        <v>Excellence</v>
      </c>
      <c r="I6" s="9">
        <f>IF(COUNT(AN6,BO6,CP6)&gt;0,LARGE((AN6,BO6,CP6),1),0)</f>
        <v>50.199999999999996</v>
      </c>
      <c r="J6" s="9" t="str">
        <f>IF(I6=0,"",IF(I6=CP6,$BT$1,IF(I6=BO6,$AS$1,IF(I6=AN6,$R$1,""))))</f>
        <v>2023 3rd Domestic Trial</v>
      </c>
      <c r="K6" s="9">
        <f>IF(COUNT(AN6,BO6,CP6)&gt;1,LARGE((AN6,BO6,CP6),2),0)</f>
        <v>49.599999999999994</v>
      </c>
      <c r="L6" s="9" t="str">
        <f>IF(K6=0,"",IF(K6=CP6,$BT$1,IF(K6=BO6,$AS$1,IF(K6=AN6,$R$1,""))))</f>
        <v>2023 Nationals</v>
      </c>
      <c r="M6" s="9">
        <f>IF(MAX(AQ6,BR6,CS6)&gt;0,MAX(AQ6,BR6,CS6),0)</f>
        <v>50.099999999999994</v>
      </c>
      <c r="N6" s="9" t="str">
        <f>IF(M6=0,"",IF(M6=CS6,$BT$1,IF(M6=BR6,$AS$1,IF(M6=AQ6,$R$1,""))))</f>
        <v>2023 Nationals</v>
      </c>
      <c r="O6" s="9">
        <f>IF(MAX(CU6:CV6)&gt;0,MAX(CU6:CV6),"")</f>
        <v>1.8000000000000114</v>
      </c>
      <c r="P6" s="14" t="str">
        <f>IF(O6="","",IF(O6=CU6,"("&amp;CU$2&amp;")",IF(O6=CV6,"("&amp;CV$2&amp;")")))</f>
        <v>(Q1)</v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2023 WAGC (Nov 18)</v>
      </c>
      <c r="R6" s="20">
        <v>18.600000000000001</v>
      </c>
      <c r="S6" s="20">
        <v>5.2</v>
      </c>
      <c r="T6" s="20">
        <v>0.2</v>
      </c>
      <c r="U6" s="20">
        <v>0</v>
      </c>
      <c r="V6" s="20">
        <v>18.7</v>
      </c>
      <c r="W6" s="20">
        <v>5.2</v>
      </c>
      <c r="X6" s="20">
        <v>0</v>
      </c>
      <c r="Y6" s="20">
        <v>0</v>
      </c>
      <c r="Z6" s="20"/>
      <c r="AA6" s="20"/>
      <c r="AB6" s="20"/>
      <c r="AC6" s="20"/>
      <c r="AD6" s="20">
        <v>18.5</v>
      </c>
      <c r="AE6" s="20">
        <v>5.2</v>
      </c>
      <c r="AF6" s="20">
        <v>0</v>
      </c>
      <c r="AG6" s="20">
        <v>0</v>
      </c>
      <c r="AH6" s="20">
        <v>18.5</v>
      </c>
      <c r="AI6" s="20">
        <v>4.3</v>
      </c>
      <c r="AJ6" s="20">
        <v>0.6</v>
      </c>
      <c r="AK6" s="20">
        <v>0</v>
      </c>
      <c r="AL6" s="32"/>
      <c r="AM6" s="55">
        <f>IF(SUM(S6,W6)&gt;0,SUM(S6,W6),"")</f>
        <v>10.4</v>
      </c>
      <c r="AN6" s="55">
        <f>IF(SUM(R6:S6,U6:W6,Y6)-T6-X6&gt;0,SUM(R6:S6,U6:W6,Y6)-T6-X6,"")</f>
        <v>47.5</v>
      </c>
      <c r="AO6" s="55" t="str">
        <f>IF(SUM(Z6:AA6,AC6)-AB6&gt;0,SUM(Z6:AA6,AC6)-AB6,"")</f>
        <v/>
      </c>
      <c r="AP6" s="55">
        <f>IF(SUM(AE6,AI6)&gt;0,SUM(AE6,AI6),"")</f>
        <v>9.5</v>
      </c>
      <c r="AQ6" s="55">
        <f>IF(SUM(AD6:AE6,AG6:AI6,AK6)-SUM(AF6,AJ6)&gt;0,SUM(AD6:AE6,AG6:AI6,AK6)-SUM(AF6,AJ6),"")</f>
        <v>45.9</v>
      </c>
      <c r="AR6" s="55">
        <f>IF(SUM(AN6,AO6,AQ6)&gt;0,SUM(AN6,AO6,AQ6),"")</f>
        <v>93.4</v>
      </c>
      <c r="AS6" s="19">
        <v>18.100000000000001</v>
      </c>
      <c r="AT6" s="19">
        <v>7.6</v>
      </c>
      <c r="AU6" s="19">
        <v>0.6</v>
      </c>
      <c r="AV6" s="19">
        <v>0</v>
      </c>
      <c r="AW6" s="19">
        <v>17.899999999999999</v>
      </c>
      <c r="AX6" s="19">
        <v>6.8</v>
      </c>
      <c r="AY6" s="19">
        <v>0.2</v>
      </c>
      <c r="AZ6" s="19">
        <v>0</v>
      </c>
      <c r="BA6" s="19">
        <v>17.2</v>
      </c>
      <c r="BB6" s="19">
        <v>2.8</v>
      </c>
      <c r="BC6" s="19">
        <v>0</v>
      </c>
      <c r="BD6" s="19">
        <v>0</v>
      </c>
      <c r="BE6" s="19">
        <v>18.2</v>
      </c>
      <c r="BF6" s="19">
        <v>7.6</v>
      </c>
      <c r="BG6" s="19">
        <v>0</v>
      </c>
      <c r="BH6" s="19">
        <v>0</v>
      </c>
      <c r="BI6" s="19">
        <v>18.100000000000001</v>
      </c>
      <c r="BJ6" s="19">
        <v>6.8</v>
      </c>
      <c r="BK6" s="19">
        <v>0.6</v>
      </c>
      <c r="BL6" s="19">
        <v>0</v>
      </c>
      <c r="BM6" s="33"/>
      <c r="BN6" s="14">
        <f>IF(SUM(AT6,AX6)&gt;0,SUM(AT6,AX6),"")</f>
        <v>14.399999999999999</v>
      </c>
      <c r="BO6" s="14">
        <f>IF(SUM(AS6:AT6,AV6:AX6,AZ6)-AU6-AY6&gt;0,SUM(AS6:AT6,AV6:AX6,AZ6)-AU6-AY6,"")</f>
        <v>49.599999999999994</v>
      </c>
      <c r="BP6" s="14">
        <f>IF(SUM(BA6:BB6,BD6)-BC6&gt;0,SUM(BA6:BB6,BD6)-BC6,"")</f>
        <v>20</v>
      </c>
      <c r="BQ6" s="14">
        <f>IF(SUM(BF6,BJ6)&gt;0,SUM(BF6,BJ6),"")</f>
        <v>14.399999999999999</v>
      </c>
      <c r="BR6" s="14">
        <f>IF(SUM(BE6:BF6,BH6:BJ6,BL6)-SUM(BG6,BK6)&gt;0,SUM(BE6:BF6,BH6:BJ6,BL6)-SUM(BG6,BK6),"")</f>
        <v>50.099999999999994</v>
      </c>
      <c r="BS6" s="14">
        <f>IF(SUM(BO6,BP6,BR6)&gt;0,SUM(BO6,BP6,BR6),"")</f>
        <v>119.69999999999999</v>
      </c>
      <c r="BT6" s="20">
        <v>18.600000000000001</v>
      </c>
      <c r="BU6" s="20">
        <v>7.2</v>
      </c>
      <c r="BV6" s="20">
        <v>0.6</v>
      </c>
      <c r="BW6" s="20">
        <v>0</v>
      </c>
      <c r="BX6" s="20">
        <v>18.2</v>
      </c>
      <c r="BY6" s="20">
        <v>6.8</v>
      </c>
      <c r="BZ6" s="20">
        <v>0</v>
      </c>
      <c r="CA6" s="20">
        <v>0</v>
      </c>
      <c r="CB6" s="20">
        <v>17.7</v>
      </c>
      <c r="CC6" s="20">
        <v>6</v>
      </c>
      <c r="CD6" s="20">
        <v>0.6</v>
      </c>
      <c r="CE6" s="20">
        <v>0</v>
      </c>
      <c r="CF6" s="20">
        <v>18.2</v>
      </c>
      <c r="CG6" s="20">
        <v>7.2</v>
      </c>
      <c r="CH6" s="20">
        <v>0.8</v>
      </c>
      <c r="CI6" s="20">
        <v>0</v>
      </c>
      <c r="CJ6" s="20">
        <v>18</v>
      </c>
      <c r="CK6" s="20">
        <v>6.8000000000000007</v>
      </c>
      <c r="CL6" s="20">
        <v>0.6</v>
      </c>
      <c r="CM6" s="20">
        <v>0</v>
      </c>
      <c r="CN6" s="32"/>
      <c r="CO6" s="55">
        <f>IF(SUM(BU6,BY6)&gt;0,SUM(BU6,BY6),"")</f>
        <v>14</v>
      </c>
      <c r="CP6" s="55">
        <f>IF(SUM(BT6:BU6,BW6:BY6,CA6)-BV6-BZ6&gt;0,SUM(BT6:BU6,BW6:BY6,CA6)-BV6-BZ6,"")</f>
        <v>50.199999999999996</v>
      </c>
      <c r="CQ6" s="55">
        <f>IF(SUM(CB6:CC6,CE6)-CD6&gt;0,SUM(CB6:CC6,CE6)-CD6,"")</f>
        <v>23.099999999999998</v>
      </c>
      <c r="CR6" s="55">
        <f>IF(SUM(CG6,CK6)&gt;0,SUM(CG6,CK6),"")</f>
        <v>14</v>
      </c>
      <c r="CS6" s="55">
        <f>IF(SUM(CF6:CG6,CI6:CK6,CM6)-SUM(CH6,CL6)&gt;0,SUM(CF6:CG6,CI6:CK6,CM6)-SUM(CH6,CL6),"")</f>
        <v>48.800000000000004</v>
      </c>
      <c r="CT6" s="55">
        <f>IF(SUM(CP6,CQ6,CS6)&gt;0,SUM(CP6,CQ6,CS6),"")</f>
        <v>122.1</v>
      </c>
      <c r="CU6" s="56">
        <f>IF(MAX(DR6,ER6,FR6,GR6,HR6,IR6,JR6,KR6,LR6,MR6,NR6,OR6)-IF(K6="",0,K6)&gt;0.001,MAX(DR6,ER6,FR6,GR6,HR6,IR6,JR6,KR6,LR6,MR6,NR6,OR6)-IF(K6="",0,K6),"")</f>
        <v>1.8000000000000114</v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>
        <v>18.5</v>
      </c>
      <c r="FX6" s="19">
        <v>7.6</v>
      </c>
      <c r="FY6" s="19">
        <v>0.6</v>
      </c>
      <c r="FZ6" s="19">
        <v>0</v>
      </c>
      <c r="GA6" s="19">
        <v>18.3</v>
      </c>
      <c r="GB6" s="19">
        <v>7.6</v>
      </c>
      <c r="GC6" s="19">
        <v>0</v>
      </c>
      <c r="GD6" s="19">
        <v>0</v>
      </c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>
        <f>IF(SUM(FX6,GB6)&gt;0,SUM(FX6,GB6),"")</f>
        <v>15.2</v>
      </c>
      <c r="GR6" s="14">
        <f>IF(SUM(FW6:FX6,FZ6:GB6,GD6)-FY6-GC6&gt;0,SUM(FW6:FX6,FZ6:GB6,GD6)-FY6-GC6,"")</f>
        <v>51.400000000000006</v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>
        <f>IF(SUM(GR6,GS6,GU6)&gt;0,SUM(GR6,GS6,GU6),"")</f>
        <v>51.400000000000006</v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18.350000000000001</v>
      </c>
      <c r="OX6" s="27">
        <f>IF($CN6="P",BU6,(BU6+AT6)/2)</f>
        <v>7.4</v>
      </c>
      <c r="OY6" s="27">
        <f>IF($CN6="P",BV6,(BV6+AU6)/2)</f>
        <v>0.6</v>
      </c>
      <c r="OZ6" s="27">
        <f>IF($CN6="P",BW6,(BW6+AV6)/2)</f>
        <v>0</v>
      </c>
      <c r="PA6" s="27">
        <f>IF($CN6="P",BX6,(BX6+AW6)/2)</f>
        <v>18.049999999999997</v>
      </c>
      <c r="PB6" s="27">
        <f>IF($CN6="P",BY6,(BY6+AX6)/2)</f>
        <v>6.8</v>
      </c>
      <c r="PC6" s="27">
        <f>IF($CN6="P",BZ6,(BZ6+AY6)/2)</f>
        <v>0.1</v>
      </c>
      <c r="PD6" s="27">
        <f>IF($CN6="P",CA6,(CA6+AZ6)/2)</f>
        <v>0</v>
      </c>
      <c r="PE6" s="27">
        <f>IF($CN6="P",CB6,(CB6+BA6)/2)</f>
        <v>17.45</v>
      </c>
      <c r="PF6" s="27">
        <f>IF($CN6="P",CC6,(CC6+BB6)/2)</f>
        <v>4.4000000000000004</v>
      </c>
      <c r="PG6" s="27">
        <f>IF($CN6="P",CD6,(CD6+BC6)/2)</f>
        <v>0.3</v>
      </c>
      <c r="PH6" s="27">
        <f>IF($CN6="P",CE6,(CE6+BD6)/2)</f>
        <v>0</v>
      </c>
      <c r="PI6" s="27">
        <f>IF($CN6="P",CF6,(CF6+BE6)/2)</f>
        <v>18.2</v>
      </c>
      <c r="PJ6" s="27">
        <f>IF($CN6="P",CG6,(CG6+BF6)/2)</f>
        <v>7.4</v>
      </c>
      <c r="PK6" s="27">
        <f>IF($CN6="P",CH6,(CH6+BG6)/2)</f>
        <v>0.4</v>
      </c>
      <c r="PL6" s="27">
        <f>IF($CN6="P",CI6,(CI6+BH6)/2)</f>
        <v>0</v>
      </c>
      <c r="PM6" s="27">
        <f>IF($CN6="P",CJ6,(CJ6+BI6)/2)</f>
        <v>18.05</v>
      </c>
      <c r="PN6" s="27">
        <f>IF($CN6="P",CK6,(CK6+BJ6)/2)</f>
        <v>6.8000000000000007</v>
      </c>
      <c r="PO6" s="27">
        <f>IF($CN6="P",CL6,(CL6+BK6)/2)</f>
        <v>0.6</v>
      </c>
      <c r="PP6" s="27">
        <f>IF($CN6="P",CM6,(CM6+BL6)/2)</f>
        <v>0</v>
      </c>
      <c r="PQ6" s="32" t="s">
        <v>44</v>
      </c>
      <c r="PR6" s="55">
        <f>IF(SUM(OX6,PB6)&gt;0,SUM(OX6,PB6),"")</f>
        <v>14.2</v>
      </c>
      <c r="PS6" s="55">
        <f>IF(SUM(OW6:OX6,OZ6:PB6,PD6)-OY6-PC6&gt;0,SUM(OW6:OX6,OZ6:PB6,PD6)-OY6-PC6,"")</f>
        <v>49.899999999999991</v>
      </c>
      <c r="PT6" s="55">
        <f>IF(SUM(PE6:PF6,PH6)-PG6&gt;0,SUM(PE6:PF6,PH6)-PG6,"")</f>
        <v>21.55</v>
      </c>
      <c r="PU6" s="55">
        <f>IF(SUM(PJ6,PN6)&gt;0,SUM(PJ6,PN6),"")</f>
        <v>14.200000000000001</v>
      </c>
      <c r="PV6" s="55">
        <f>IF(SUM(PI6:PJ6,PL6:PN6,PP6)-SUM(PK6,PO6)&gt;0,SUM(PI6:PJ6,PL6:PN6,PP6)-SUM(PK6,PO6),"")</f>
        <v>49.45</v>
      </c>
      <c r="PW6" s="55">
        <f>IF(SUM(PS6,PT6,PV6)&gt;0,SUM(PS6,PT6,PV6),"")</f>
        <v>120.89999999999999</v>
      </c>
    </row>
    <row r="7" spans="1:43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102</v>
      </c>
      <c r="C7" s="4" t="s">
        <v>101</v>
      </c>
      <c r="D7" s="4">
        <v>2009</v>
      </c>
      <c r="E7" s="10">
        <f>SUM(I7:O7)+SUM(I7:M7)*0.0000001+SUM(I7)*0.0000000000001</f>
        <v>148.00001480000495</v>
      </c>
      <c r="F7" s="3" t="str">
        <f>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P","")</f>
        <v>P</v>
      </c>
      <c r="G7" s="3" t="str">
        <f>IF(OR(AND(AN7&gt;=AR$18,AN7&lt;&gt;"",AL7=""),AND(AQ7&gt;=AR$18,AQ7&lt;&gt;"",AL7=""),AND(BO7&gt;=BS$18,BO7&lt;&gt;"",BM7=""),AND(BR7&gt;=BS$18,BR7&lt;&gt;"",BM7=""),AND(CP7&gt;=CT$18,CP7&lt;&gt;"",CN7=""),AND(CS7&gt;=CT$18,CS7&lt;&gt;"",CN7=""),AND(DR7&gt;=DV$18,DR7&lt;&gt;""),AND(DU7&gt;=DV$18,DU7&lt;&gt;""),AND(ER7&gt;=EV$18,ER7&lt;&gt;""),AND(EU7&gt;=EV$18,EU7&lt;&gt;""),AND(FR7&gt;=FV$18,FR7&lt;&gt;""),AND(FU7&gt;=FV$18,FU7&lt;&gt;""),AND(GR7&gt;=GV$18,GR7&lt;&gt;""),AND(GU7&gt;=GV$18,GU7&lt;&gt;""),AND(HR7&gt;=HV$18,HR7&lt;&gt;""),AND(HU7&gt;=HV$18,HU7&lt;&gt;""),AND(IR7&gt;=IV$18,IR7&lt;&gt;""),AND(IU7&gt;=IV$18,IU7&lt;&gt;""),AND(JR7&gt;=JV$18,JR7&lt;&gt;""),AND(JU7&gt;=JV$18,JU7&lt;&gt;""),AND(KR7&gt;=KV$18,KR7&lt;&gt;""),AND(KU7&gt;=KV$18,KU7&lt;&gt;""),AND(LR7&gt;=LV$18,LR7&lt;&gt;""),AND(LU7&gt;=LV$18,LU7&lt;&gt;""),AND(MR7&gt;=MV$18,MR7&lt;&gt;""),AND(MU7&gt;=MV$18,MU7&lt;&gt;""),AND(NR7&gt;=NV$18,NR7&lt;&gt;""),AND(NU7&gt;=NV$18,NU7&lt;&gt;""),AND(OR7&gt;=OV$18,OR7&lt;&gt;""),AND(OU7&gt;=OV$18,OU7&lt;&gt;"")),"P","")</f>
        <v>P</v>
      </c>
      <c r="H7" s="47" t="str">
        <f>IF(AND(G7="P",F7=""),"No DD",IF(OR(AND(AM7&gt;=AR$17,AN7&gt;=AR$21,AM7&lt;&gt;"",AL7=""),AND(AP7&gt;=AR$17,AQ7&gt;=AR$21,AP7&lt;&gt;"",AL7=""),AND(BN7&gt;=BS$17,BO7&gt;=BS$21,BN7&lt;&gt;"",BM7=""),AND(BQ7&gt;=BS$17,BR7&gt;=BS$21,BQ7&lt;&gt;"",BM7=""),AND(CO7&gt;=CT$17,CP7&gt;=CT$21,CO7&lt;&gt;"",CN7=""),AND(CR7&gt;=CT$17,CS7&gt;=CT$21,CR7&lt;&gt;""),AND(DQ7&gt;=DV$17,DR7&gt;=DV$21,DQ7&lt;&gt;""),AND(DT7&gt;=DV$17,DU7&gt;=DV$21,DT7&lt;&gt;""),AND(EQ7&gt;=EV$17,ER7&gt;=EV$21,EQ7&lt;&gt;""),AND(ET7&gt;=EV$17,EU7&gt;=EV$21,ET7&lt;&gt;""),AND(FQ7&gt;=FV$17,FR7&gt;=FV$21,FQ7&lt;&gt;""),AND(FT7&gt;=FV$17,FU7&gt;=FV$21,FT7&lt;&gt;""),AND(GQ7&gt;=GV$17,GR7&gt;=GV$21,GQ7&lt;&gt;""),AND(GT7&gt;=GV$17,GU7&gt;=GV$21,GT7&lt;&gt;""),AND(HQ7&gt;=HV$17,HR7&gt;=HV$21,HQ7&lt;&gt;""),AND(HT7&gt;=HV$17,HU7&gt;=HV$21,HT7&lt;&gt;""),AND(IQ7&gt;=IV$17,IR7&gt;=IV$21,IQ7&lt;&gt;""),AND(IT7&gt;=IV$17,IU7&gt;=IV$21,IT7&lt;&gt;""),AND(JQ7&gt;=JV$17,JR7&gt;=JV$21,JQ7&lt;&gt;""),AND(JT7&gt;=JV$17,JU7&gt;=JV$21,JT7&lt;&gt;""),AND(KQ7&gt;=KV$17,KR7&gt;=KV$21,KQ7&lt;&gt;""),AND(KT7&gt;=KV$17,KU7&gt;=KV$21,KT7&lt;&gt;""),AND(LQ7&gt;=LV$17,LR7&gt;=LV$21,LQ7&lt;&gt;""),AND(LT7&gt;=LV$17,LU7&gt;=LV$21,LT7&lt;&gt;""),AND(MQ7&gt;=MV$17,MR7&gt;=MV$21,MQ7&lt;&gt;""),AND(MT7&gt;=MV$17,MU7&gt;=MV$21,MT7&lt;&gt;""),AND(NQ7&gt;=NV$17,NR7&gt;=NV$21,NQ7&lt;&gt;""),AND(NT7&gt;=NV$17,NU7&gt;=NV$21,NT7&lt;&gt;""),AND(OQ7&gt;=OV$17,OR7&gt;=OV$21,OQ7&lt;&gt;""),AND(OT7&gt;=OV$17,OU7&gt;=OV$21,OT7&lt;&gt;"")),"Merit",IF(OR(AND(AM7&gt;=AR$16,AN7&gt;=AR$20,AM7&lt;&gt;"",AL7=""),AND(AP7&gt;=AR$16,AQ7&gt;=AR$20,AP7&lt;&gt;"",AL7=""),AND(BN7&gt;=BS$16,BO7&gt;=BS$20,BN7&lt;&gt;"",BM7=""),AND(BQ7&gt;=BS$16,BR7&gt;=BS$20,BQ7&lt;&gt;"",BM7=""),AND(CO7&gt;=CT$16,CP7&gt;=CT$20,CO7&lt;&gt;"",CN7=""),AND(CR7&gt;=CT$16,CS7&gt;=CT$20,CR7&lt;&gt;""),AND(DQ7&gt;=DV$16,DR7&gt;=DV$20,DQ7&lt;&gt;""),AND(DT7&gt;=DV$16,DU7&gt;=DV$20,DT7&lt;&gt;""),AND(EQ7&gt;=EV$16,ER7&gt;=EV$20,EQ7&lt;&gt;""),AND(ET7&gt;=EV$16,EU7&gt;=EV$20,ET7&lt;&gt;""),AND(FQ7&gt;=FV$16,FR7&gt;=FV$20,FQ7&lt;&gt;""),AND(FT7&gt;=FV$16,FU7&gt;=FV$20,FT7&lt;&gt;""),AND(GQ7&gt;=GV$16,GR7&gt;=GV$20,GQ7&lt;&gt;""),AND(GT7&gt;=GV$16,GU7&gt;=GV$20,GT7&lt;&gt;""),AND(HQ7&gt;=HV$16,HR7&gt;=HV$20,HQ7&lt;&gt;""),AND(HT7&gt;=HV$16,HU7&gt;=HV$20,HT7&lt;&gt;""),AND(IQ7&gt;=IV$16,IR7&gt;=IV$20,IQ7&lt;&gt;""),AND(IT7&gt;=IV$16,IU7&gt;=IV$20,IT7&lt;&gt;""),AND(JQ7&gt;=JV$16,JR7&gt;=JV$20,JQ7&lt;&gt;""),AND(JT7&gt;=JV$16,JU7&gt;=JV$20,JT7&lt;&gt;""),AND(KQ7&gt;=KV$16,KR7&gt;=KV$20,KQ7&lt;&gt;""),AND(KT7&gt;=KV$16,KU7&gt;=KV$20,KT7&lt;&gt;""),AND(LQ7&gt;=LV$16,LR7&gt;=LV$20,LQ7&lt;&gt;""),AND(LT7&gt;=LV$16,LU7&gt;=LV$20,LT7&lt;&gt;""),AND(MQ7&gt;=MV$16,MR7&gt;=MV$20,MQ7&lt;&gt;""),AND(MT7&gt;=MV$16,MU7&gt;=MV$20,MT7&lt;&gt;""),AND(NQ7&gt;=NV$16,NR7&gt;=NV$20,NQ7&lt;&gt;""),AND(NT7&gt;=NV$16,NU7&gt;=NV$20,NT7&lt;&gt;""),AND(OQ7&gt;=OV$16,OR7&gt;=OV$20,OQ7&lt;&gt;""),AND(OT7&gt;=OV$16,OU7&gt;=OV$20,OT7&lt;&gt;"")),"Excellence",IF(F7="P","National Team",""))))</f>
        <v>Excellence</v>
      </c>
      <c r="I7" s="9">
        <f>IF(COUNT(AN7,BO7,CP7)&gt;0,LARGE((AN7,BO7,CP7),1),0)</f>
        <v>49.4</v>
      </c>
      <c r="J7" s="9" t="str">
        <f>IF(I7=0,"",IF(I7=CP7,$BT$1,IF(I7=BO7,$AS$1,IF(I7=AN7,$R$1,""))))</f>
        <v>2023 3rd Domestic Trial</v>
      </c>
      <c r="K7" s="9">
        <f>IF(COUNT(AN7,BO7,CP7)&gt;1,LARGE((AN7,BO7,CP7),2),0)</f>
        <v>49.4</v>
      </c>
      <c r="L7" s="9" t="str">
        <f>IF(K7=0,"",IF(K7=CP7,$BT$1,IF(K7=BO7,$AS$1,IF(K7=AN7,$R$1,""))))</f>
        <v>2023 3rd Domestic Trial</v>
      </c>
      <c r="M7" s="9">
        <f>IF(MAX(AQ7,BR7,CS7)&gt;0,MAX(AQ7,BR7,CS7),0)</f>
        <v>49.2</v>
      </c>
      <c r="N7" s="9" t="str">
        <f>IF(M7=0,"",IF(M7=CS7,$BT$1,IF(M7=BR7,$AS$1,IF(M7=AQ7,$R$1,""))))</f>
        <v>2023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18.8</v>
      </c>
      <c r="S7" s="20">
        <v>5.2</v>
      </c>
      <c r="T7" s="20">
        <v>0.6</v>
      </c>
      <c r="U7" s="20">
        <v>0</v>
      </c>
      <c r="V7" s="20">
        <v>18.2</v>
      </c>
      <c r="W7" s="20">
        <v>5.2</v>
      </c>
      <c r="X7" s="20">
        <v>0.2</v>
      </c>
      <c r="Y7" s="20">
        <v>0</v>
      </c>
      <c r="Z7" s="20"/>
      <c r="AA7" s="20"/>
      <c r="AB7" s="20"/>
      <c r="AC7" s="20"/>
      <c r="AD7" s="20">
        <v>18.8</v>
      </c>
      <c r="AE7" s="20">
        <v>4.8</v>
      </c>
      <c r="AF7" s="20">
        <v>0.6</v>
      </c>
      <c r="AG7" s="20">
        <v>0</v>
      </c>
      <c r="AH7" s="20">
        <v>18.2</v>
      </c>
      <c r="AI7" s="20">
        <v>4.4000000000000004</v>
      </c>
      <c r="AJ7" s="20">
        <v>0.2</v>
      </c>
      <c r="AK7" s="20">
        <v>0</v>
      </c>
      <c r="AL7" s="32"/>
      <c r="AM7" s="55">
        <f>IF(SUM(S7,W7)&gt;0,SUM(S7,W7),"")</f>
        <v>10.4</v>
      </c>
      <c r="AN7" s="55">
        <f>IF(SUM(R7:S7,U7:W7,Y7)-T7-X7&gt;0,SUM(R7:S7,U7:W7,Y7)-T7-X7,"")</f>
        <v>46.6</v>
      </c>
      <c r="AO7" s="55" t="str">
        <f>IF(SUM(Z7:AA7,AC7)-AB7&gt;0,SUM(Z7:AA7,AC7)-AB7,"")</f>
        <v/>
      </c>
      <c r="AP7" s="55">
        <f>IF(SUM(AE7,AI7)&gt;0,SUM(AE7,AI7),"")</f>
        <v>9.1999999999999993</v>
      </c>
      <c r="AQ7" s="55">
        <f>IF(SUM(AD7:AE7,AG7:AI7,AK7)-SUM(AF7,AJ7)&gt;0,SUM(AD7:AE7,AG7:AI7,AK7)-SUM(AF7,AJ7),"")</f>
        <v>45.4</v>
      </c>
      <c r="AR7" s="55">
        <f>IF(SUM(AN7,AO7,AQ7)&gt;0,SUM(AN7,AO7,AQ7),"")</f>
        <v>92</v>
      </c>
      <c r="AS7" s="19">
        <v>19.100000000000001</v>
      </c>
      <c r="AT7" s="19">
        <v>5.6</v>
      </c>
      <c r="AU7" s="19">
        <v>0</v>
      </c>
      <c r="AV7" s="19">
        <v>0</v>
      </c>
      <c r="AW7" s="19">
        <v>18.899999999999999</v>
      </c>
      <c r="AX7" s="19">
        <v>6</v>
      </c>
      <c r="AY7" s="19">
        <v>0.2</v>
      </c>
      <c r="AZ7" s="19">
        <v>0</v>
      </c>
      <c r="BA7" s="19">
        <v>18.600000000000001</v>
      </c>
      <c r="BB7" s="19">
        <v>4</v>
      </c>
      <c r="BC7" s="19">
        <v>0.3</v>
      </c>
      <c r="BD7" s="19">
        <v>0</v>
      </c>
      <c r="BE7" s="19">
        <v>19</v>
      </c>
      <c r="BF7" s="19">
        <v>5.6</v>
      </c>
      <c r="BG7" s="19">
        <v>0</v>
      </c>
      <c r="BH7" s="19">
        <v>0</v>
      </c>
      <c r="BI7" s="19">
        <v>18.600000000000001</v>
      </c>
      <c r="BJ7" s="19">
        <v>6</v>
      </c>
      <c r="BK7" s="19">
        <v>0</v>
      </c>
      <c r="BL7" s="19">
        <v>0</v>
      </c>
      <c r="BM7" s="33"/>
      <c r="BN7" s="14">
        <f>IF(SUM(AT7,AX7)&gt;0,SUM(AT7,AX7),"")</f>
        <v>11.6</v>
      </c>
      <c r="BO7" s="14">
        <f>IF(SUM(AS7:AT7,AV7:AX7,AZ7)-AU7-AY7&gt;0,SUM(AS7:AT7,AV7:AX7,AZ7)-AU7-AY7,"")</f>
        <v>49.4</v>
      </c>
      <c r="BP7" s="14">
        <f>IF(SUM(BA7:BB7,BD7)-BC7&gt;0,SUM(BA7:BB7,BD7)-BC7,"")</f>
        <v>22.3</v>
      </c>
      <c r="BQ7" s="14">
        <f>IF(SUM(BF7,BJ7)&gt;0,SUM(BF7,BJ7),"")</f>
        <v>11.6</v>
      </c>
      <c r="BR7" s="14">
        <f>IF(SUM(BE7:BF7,BH7:BJ7,BL7)-SUM(BG7,BK7)&gt;0,SUM(BE7:BF7,BH7:BJ7,BL7)-SUM(BG7,BK7),"")</f>
        <v>49.2</v>
      </c>
      <c r="BS7" s="14">
        <f>IF(SUM(BO7,BP7,BR7)&gt;0,SUM(BO7,BP7,BR7),"")</f>
        <v>120.9</v>
      </c>
      <c r="BT7" s="20">
        <v>18.8</v>
      </c>
      <c r="BU7" s="20">
        <v>5.6</v>
      </c>
      <c r="BV7" s="20">
        <v>0</v>
      </c>
      <c r="BW7" s="20">
        <v>0</v>
      </c>
      <c r="BX7" s="20">
        <v>19</v>
      </c>
      <c r="BY7" s="20">
        <v>6</v>
      </c>
      <c r="BZ7" s="20">
        <v>0</v>
      </c>
      <c r="CA7" s="20">
        <v>0</v>
      </c>
      <c r="CB7" s="20">
        <v>18.399999999999999</v>
      </c>
      <c r="CC7" s="20">
        <v>5.6</v>
      </c>
      <c r="CD7" s="20">
        <v>0.8</v>
      </c>
      <c r="CE7" s="20">
        <v>0</v>
      </c>
      <c r="CF7" s="20">
        <v>19</v>
      </c>
      <c r="CG7" s="20">
        <v>6.4</v>
      </c>
      <c r="CH7" s="20">
        <v>0.6</v>
      </c>
      <c r="CI7" s="20">
        <v>0</v>
      </c>
      <c r="CJ7" s="20">
        <v>17.600000000000001</v>
      </c>
      <c r="CK7" s="20">
        <v>5.2</v>
      </c>
      <c r="CL7" s="20">
        <v>1</v>
      </c>
      <c r="CM7" s="20">
        <v>0</v>
      </c>
      <c r="CN7" s="32"/>
      <c r="CO7" s="55">
        <f>IF(SUM(BU7,BY7)&gt;0,SUM(BU7,BY7),"")</f>
        <v>11.6</v>
      </c>
      <c r="CP7" s="55">
        <f>IF(SUM(BT7:BU7,BW7:BY7,CA7)-BV7-BZ7&gt;0,SUM(BT7:BU7,BW7:BY7,CA7)-BV7-BZ7,"")</f>
        <v>49.4</v>
      </c>
      <c r="CQ7" s="55">
        <f>IF(SUM(CB7:CC7,CE7)-CD7&gt;0,SUM(CB7:CC7,CE7)-CD7,"")</f>
        <v>23.2</v>
      </c>
      <c r="CR7" s="55">
        <f>IF(SUM(CG7,CK7)&gt;0,SUM(CG7,CK7),"")</f>
        <v>11.600000000000001</v>
      </c>
      <c r="CS7" s="55">
        <f>IF(SUM(CF7:CG7,CI7:CK7,CM7)-SUM(CH7,CL7)&gt;0,SUM(CF7:CG7,CI7:CK7,CM7)-SUM(CH7,CL7),"")</f>
        <v>46.6</v>
      </c>
      <c r="CT7" s="55">
        <f>IF(SUM(CP7,CQ7,CS7)&gt;0,SUM(CP7,CQ7,CS7),"")</f>
        <v>119.19999999999999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>
        <v>18.600000000000001</v>
      </c>
      <c r="FX7" s="19">
        <v>6</v>
      </c>
      <c r="FY7" s="19">
        <v>0.6</v>
      </c>
      <c r="FZ7" s="19">
        <v>0</v>
      </c>
      <c r="GA7" s="19">
        <v>18.2</v>
      </c>
      <c r="GB7" s="19">
        <v>6.4</v>
      </c>
      <c r="GC7" s="19">
        <v>0.8</v>
      </c>
      <c r="GD7" s="19">
        <v>0</v>
      </c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>
        <f>IF(SUM(FX7,GB7)&gt;0,SUM(FX7,GB7),"")</f>
        <v>12.4</v>
      </c>
      <c r="GR7" s="14">
        <f>IF(SUM(FW7:FX7,FZ7:GB7,GD7)-FY7-GC7&gt;0,SUM(FW7:FX7,FZ7:GB7,GD7)-FY7-GC7,"")</f>
        <v>47.8</v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>
        <f>IF(SUM(GR7,GS7,GU7)&gt;0,SUM(GR7,GS7,GU7),"")</f>
        <v>47.8</v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18.950000000000003</v>
      </c>
      <c r="OX7" s="27">
        <f>IF($CN7="P",BU7,(BU7+AT7)/2)</f>
        <v>5.6</v>
      </c>
      <c r="OY7" s="27">
        <f>IF($CN7="P",BV7,(BV7+AU7)/2)</f>
        <v>0</v>
      </c>
      <c r="OZ7" s="27">
        <f>IF($CN7="P",BW7,(BW7+AV7)/2)</f>
        <v>0</v>
      </c>
      <c r="PA7" s="27">
        <f>IF($CN7="P",BX7,(BX7+AW7)/2)</f>
        <v>18.95</v>
      </c>
      <c r="PB7" s="27">
        <f>IF($CN7="P",BY7,(BY7+AX7)/2)</f>
        <v>6</v>
      </c>
      <c r="PC7" s="27">
        <f>IF($CN7="P",BZ7,(BZ7+AY7)/2)</f>
        <v>0.1</v>
      </c>
      <c r="PD7" s="27">
        <f>IF($CN7="P",CA7,(CA7+AZ7)/2)</f>
        <v>0</v>
      </c>
      <c r="PE7" s="27">
        <f>IF($CN7="P",CB7,(CB7+BA7)/2)</f>
        <v>18.5</v>
      </c>
      <c r="PF7" s="27">
        <f>IF($CN7="P",CC7,(CC7+BB7)/2)</f>
        <v>4.8</v>
      </c>
      <c r="PG7" s="27">
        <f>IF($CN7="P",CD7,(CD7+BC7)/2)</f>
        <v>0.55000000000000004</v>
      </c>
      <c r="PH7" s="27">
        <f>IF($CN7="P",CE7,(CE7+BD7)/2)</f>
        <v>0</v>
      </c>
      <c r="PI7" s="27">
        <f>IF($CN7="P",CF7,(CF7+BE7)/2)</f>
        <v>19</v>
      </c>
      <c r="PJ7" s="27">
        <f>IF($CN7="P",CG7,(CG7+BF7)/2)</f>
        <v>6</v>
      </c>
      <c r="PK7" s="27">
        <f>IF($CN7="P",CH7,(CH7+BG7)/2)</f>
        <v>0.3</v>
      </c>
      <c r="PL7" s="27">
        <f>IF($CN7="P",CI7,(CI7+BH7)/2)</f>
        <v>0</v>
      </c>
      <c r="PM7" s="27">
        <f>IF($CN7="P",CJ7,(CJ7+BI7)/2)</f>
        <v>18.100000000000001</v>
      </c>
      <c r="PN7" s="27">
        <f>IF($CN7="P",CK7,(CK7+BJ7)/2)</f>
        <v>5.6</v>
      </c>
      <c r="PO7" s="27">
        <f>IF($CN7="P",CL7,(CL7+BK7)/2)</f>
        <v>0.5</v>
      </c>
      <c r="PP7" s="27">
        <f>IF($CN7="P",CM7,(CM7+BL7)/2)</f>
        <v>0</v>
      </c>
      <c r="PQ7" s="32" t="s">
        <v>44</v>
      </c>
      <c r="PR7" s="55">
        <f>IF(SUM(OX7,PB7)&gt;0,SUM(OX7,PB7),"")</f>
        <v>11.6</v>
      </c>
      <c r="PS7" s="55">
        <f>IF(SUM(OW7:OX7,OZ7:PB7,PD7)-OY7-PC7&gt;0,SUM(OW7:OX7,OZ7:PB7,PD7)-OY7-PC7,"")</f>
        <v>49.4</v>
      </c>
      <c r="PT7" s="55">
        <f>IF(SUM(PE7:PF7,PH7)-PG7&gt;0,SUM(PE7:PF7,PH7)-PG7,"")</f>
        <v>22.75</v>
      </c>
      <c r="PU7" s="55">
        <f>IF(SUM(PJ7,PN7)&gt;0,SUM(PJ7,PN7),"")</f>
        <v>11.6</v>
      </c>
      <c r="PV7" s="55">
        <f>IF(SUM(PI7:PJ7,PL7:PN7,PP7)-SUM(PK7,PO7)&gt;0,SUM(PI7:PJ7,PL7:PN7,PP7)-SUM(PK7,PO7),"")</f>
        <v>47.900000000000006</v>
      </c>
      <c r="PW7" s="55">
        <f>IF(SUM(PS7,PT7,PV7)&gt;0,SUM(PS7,PT7,PV7),"")</f>
        <v>120.05000000000001</v>
      </c>
    </row>
    <row r="8" spans="1:43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81</v>
      </c>
      <c r="C8" s="4" t="s">
        <v>66</v>
      </c>
      <c r="D8" s="4">
        <v>2007</v>
      </c>
      <c r="E8" s="10">
        <f>SUM(I8:O8)+SUM(I8:M8)*0.0000001+SUM(I8)*0.0000000000001</f>
        <v>147.60001476000494</v>
      </c>
      <c r="F8" s="3" t="str">
        <f>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P","")</f>
        <v>P</v>
      </c>
      <c r="G8" s="3" t="str">
        <f>IF(OR(AND(AN8&gt;=AR$18,AN8&lt;&gt;"",AL8=""),AND(AQ8&gt;=AR$18,AQ8&lt;&gt;"",AL8=""),AND(BO8&gt;=BS$18,BO8&lt;&gt;"",BM8=""),AND(BR8&gt;=BS$18,BR8&lt;&gt;"",BM8=""),AND(CP8&gt;=CT$18,CP8&lt;&gt;"",CN8=""),AND(CS8&gt;=CT$18,CS8&lt;&gt;"",CN8=""),AND(DR8&gt;=DV$18,DR8&lt;&gt;""),AND(DU8&gt;=DV$18,DU8&lt;&gt;""),AND(ER8&gt;=EV$18,ER8&lt;&gt;""),AND(EU8&gt;=EV$18,EU8&lt;&gt;""),AND(FR8&gt;=FV$18,FR8&lt;&gt;""),AND(FU8&gt;=FV$18,FU8&lt;&gt;""),AND(GR8&gt;=GV$18,GR8&lt;&gt;""),AND(GU8&gt;=GV$18,GU8&lt;&gt;""),AND(HR8&gt;=HV$18,HR8&lt;&gt;""),AND(HU8&gt;=HV$18,HU8&lt;&gt;""),AND(IR8&gt;=IV$18,IR8&lt;&gt;""),AND(IU8&gt;=IV$18,IU8&lt;&gt;""),AND(JR8&gt;=JV$18,JR8&lt;&gt;""),AND(JU8&gt;=JV$18,JU8&lt;&gt;""),AND(KR8&gt;=KV$18,KR8&lt;&gt;""),AND(KU8&gt;=KV$18,KU8&lt;&gt;""),AND(LR8&gt;=LV$18,LR8&lt;&gt;""),AND(LU8&gt;=LV$18,LU8&lt;&gt;""),AND(MR8&gt;=MV$18,MR8&lt;&gt;""),AND(MU8&gt;=MV$18,MU8&lt;&gt;""),AND(NR8&gt;=NV$18,NR8&lt;&gt;""),AND(NU8&gt;=NV$18,NU8&lt;&gt;""),AND(OR8&gt;=OV$18,OR8&lt;&gt;""),AND(OU8&gt;=OV$18,OU8&lt;&gt;"")),"P","")</f>
        <v>P</v>
      </c>
      <c r="H8" s="47" t="str">
        <f>IF(AND(G8="P",F8=""),"No DD",IF(OR(AND(AM8&gt;=AR$17,AN8&gt;=AR$21,AM8&lt;&gt;"",AL8=""),AND(AP8&gt;=AR$17,AQ8&gt;=AR$21,AP8&lt;&gt;"",AL8=""),AND(BN8&gt;=BS$17,BO8&gt;=BS$21,BN8&lt;&gt;"",BM8=""),AND(BQ8&gt;=BS$17,BR8&gt;=BS$21,BQ8&lt;&gt;"",BM8=""),AND(CO8&gt;=CT$17,CP8&gt;=CT$21,CO8&lt;&gt;"",CN8=""),AND(CR8&gt;=CT$17,CS8&gt;=CT$21,CR8&lt;&gt;""),AND(DQ8&gt;=DV$17,DR8&gt;=DV$21,DQ8&lt;&gt;""),AND(DT8&gt;=DV$17,DU8&gt;=DV$21,DT8&lt;&gt;""),AND(EQ8&gt;=EV$17,ER8&gt;=EV$21,EQ8&lt;&gt;""),AND(ET8&gt;=EV$17,EU8&gt;=EV$21,ET8&lt;&gt;""),AND(FQ8&gt;=FV$17,FR8&gt;=FV$21,FQ8&lt;&gt;""),AND(FT8&gt;=FV$17,FU8&gt;=FV$21,FT8&lt;&gt;""),AND(GQ8&gt;=GV$17,GR8&gt;=GV$21,GQ8&lt;&gt;""),AND(GT8&gt;=GV$17,GU8&gt;=GV$21,GT8&lt;&gt;""),AND(HQ8&gt;=HV$17,HR8&gt;=HV$21,HQ8&lt;&gt;""),AND(HT8&gt;=HV$17,HU8&gt;=HV$21,HT8&lt;&gt;""),AND(IQ8&gt;=IV$17,IR8&gt;=IV$21,IQ8&lt;&gt;""),AND(IT8&gt;=IV$17,IU8&gt;=IV$21,IT8&lt;&gt;""),AND(JQ8&gt;=JV$17,JR8&gt;=JV$21,JQ8&lt;&gt;""),AND(JT8&gt;=JV$17,JU8&gt;=JV$21,JT8&lt;&gt;""),AND(KQ8&gt;=KV$17,KR8&gt;=KV$21,KQ8&lt;&gt;""),AND(KT8&gt;=KV$17,KU8&gt;=KV$21,KT8&lt;&gt;""),AND(LQ8&gt;=LV$17,LR8&gt;=LV$21,LQ8&lt;&gt;""),AND(LT8&gt;=LV$17,LU8&gt;=LV$21,LT8&lt;&gt;""),AND(MQ8&gt;=MV$17,MR8&gt;=MV$21,MQ8&lt;&gt;""),AND(MT8&gt;=MV$17,MU8&gt;=MV$21,MT8&lt;&gt;""),AND(NQ8&gt;=NV$17,NR8&gt;=NV$21,NQ8&lt;&gt;""),AND(NT8&gt;=NV$17,NU8&gt;=NV$21,NT8&lt;&gt;""),AND(OQ8&gt;=OV$17,OR8&gt;=OV$21,OQ8&lt;&gt;""),AND(OT8&gt;=OV$17,OU8&gt;=OV$21,OT8&lt;&gt;"")),"Merit",IF(OR(AND(AM8&gt;=AR$16,AN8&gt;=AR$20,AM8&lt;&gt;"",AL8=""),AND(AP8&gt;=AR$16,AQ8&gt;=AR$20,AP8&lt;&gt;"",AL8=""),AND(BN8&gt;=BS$16,BO8&gt;=BS$20,BN8&lt;&gt;"",BM8=""),AND(BQ8&gt;=BS$16,BR8&gt;=BS$20,BQ8&lt;&gt;"",BM8=""),AND(CO8&gt;=CT$16,CP8&gt;=CT$20,CO8&lt;&gt;"",CN8=""),AND(CR8&gt;=CT$16,CS8&gt;=CT$20,CR8&lt;&gt;""),AND(DQ8&gt;=DV$16,DR8&gt;=DV$20,DQ8&lt;&gt;""),AND(DT8&gt;=DV$16,DU8&gt;=DV$20,DT8&lt;&gt;""),AND(EQ8&gt;=EV$16,ER8&gt;=EV$20,EQ8&lt;&gt;""),AND(ET8&gt;=EV$16,EU8&gt;=EV$20,ET8&lt;&gt;""),AND(FQ8&gt;=FV$16,FR8&gt;=FV$20,FQ8&lt;&gt;""),AND(FT8&gt;=FV$16,FU8&gt;=FV$20,FT8&lt;&gt;""),AND(GQ8&gt;=GV$16,GR8&gt;=GV$20,GQ8&lt;&gt;""),AND(GT8&gt;=GV$16,GU8&gt;=GV$20,GT8&lt;&gt;""),AND(HQ8&gt;=HV$16,HR8&gt;=HV$20,HQ8&lt;&gt;""),AND(HT8&gt;=HV$16,HU8&gt;=HV$20,HT8&lt;&gt;""),AND(IQ8&gt;=IV$16,IR8&gt;=IV$20,IQ8&lt;&gt;""),AND(IT8&gt;=IV$16,IU8&gt;=IV$20,IT8&lt;&gt;""),AND(JQ8&gt;=JV$16,JR8&gt;=JV$20,JQ8&lt;&gt;""),AND(JT8&gt;=JV$16,JU8&gt;=JV$20,JT8&lt;&gt;""),AND(KQ8&gt;=KV$16,KR8&gt;=KV$20,KQ8&lt;&gt;""),AND(KT8&gt;=KV$16,KU8&gt;=KV$20,KT8&lt;&gt;""),AND(LQ8&gt;=LV$16,LR8&gt;=LV$20,LQ8&lt;&gt;""),AND(LT8&gt;=LV$16,LU8&gt;=LV$20,LT8&lt;&gt;""),AND(MQ8&gt;=MV$16,MR8&gt;=MV$20,MQ8&lt;&gt;""),AND(MT8&gt;=MV$16,MU8&gt;=MV$20,MT8&lt;&gt;""),AND(NQ8&gt;=NV$16,NR8&gt;=NV$20,NQ8&lt;&gt;""),AND(NT8&gt;=NV$16,NU8&gt;=NV$20,NT8&lt;&gt;""),AND(OQ8&gt;=OV$16,OR8&gt;=OV$20,OQ8&lt;&gt;""),AND(OT8&gt;=OV$16,OU8&gt;=OV$20,OT8&lt;&gt;"")),"Excellence",IF(F8="P","National Team",""))))</f>
        <v>Excellence</v>
      </c>
      <c r="I8" s="9">
        <f>IF(COUNT(AN8,BO8,CP8)&gt;0,LARGE((AN8,BO8,CP8),1),0)</f>
        <v>49.5</v>
      </c>
      <c r="J8" s="9" t="str">
        <f>IF(I8=0,"",IF(I8=CP8,$BT$1,IF(I8=BO8,$AS$1,IF(I8=AN8,$R$1,""))))</f>
        <v>2023 Elite Canada</v>
      </c>
      <c r="K8" s="9">
        <f>IF(COUNT(AN8,BO8,CP8)&gt;1,LARGE((AN8,BO8,CP8),2),0)</f>
        <v>49.399999999999991</v>
      </c>
      <c r="L8" s="9" t="str">
        <f>IF(K8=0,"",IF(K8=CP8,$BT$1,IF(K8=BO8,$AS$1,IF(K8=AN8,$R$1,""))))</f>
        <v>2023 Nationals</v>
      </c>
      <c r="M8" s="9">
        <f>IF(MAX(AQ8,BR8,CS8)&gt;0,MAX(AQ8,BR8,CS8),0)</f>
        <v>48.7</v>
      </c>
      <c r="N8" s="9" t="str">
        <f>IF(M8=0,"",IF(M8=CS8,$BT$1,IF(M8=BR8,$AS$1,IF(M8=AQ8,$R$1,""))))</f>
        <v>2023 Elite Canada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>
        <v>18.7</v>
      </c>
      <c r="S8" s="20">
        <v>6</v>
      </c>
      <c r="T8" s="20">
        <v>0</v>
      </c>
      <c r="U8" s="20">
        <v>0</v>
      </c>
      <c r="V8" s="20">
        <v>18.8</v>
      </c>
      <c r="W8" s="20">
        <v>6</v>
      </c>
      <c r="X8" s="20">
        <v>0</v>
      </c>
      <c r="Y8" s="20">
        <v>0</v>
      </c>
      <c r="Z8" s="20">
        <v>0</v>
      </c>
      <c r="AA8" s="20">
        <v>0</v>
      </c>
      <c r="AB8" s="20">
        <v>0</v>
      </c>
      <c r="AC8" s="20">
        <v>0</v>
      </c>
      <c r="AD8" s="20">
        <v>18.899999999999999</v>
      </c>
      <c r="AE8" s="20">
        <v>6</v>
      </c>
      <c r="AF8" s="20">
        <v>0.6</v>
      </c>
      <c r="AG8" s="20">
        <v>0</v>
      </c>
      <c r="AH8" s="20">
        <v>18.600000000000001</v>
      </c>
      <c r="AI8" s="20">
        <v>6</v>
      </c>
      <c r="AJ8" s="20">
        <v>0.2</v>
      </c>
      <c r="AK8" s="20">
        <v>0</v>
      </c>
      <c r="AL8" s="32"/>
      <c r="AM8" s="55">
        <f>IF(SUM(S8,W8)&gt;0,SUM(S8,W8),"")</f>
        <v>12</v>
      </c>
      <c r="AN8" s="55">
        <f>IF(SUM(R8:S8,U8:W8,Y8)-T8-X8&gt;0,SUM(R8:S8,U8:W8,Y8)-T8-X8,"")</f>
        <v>49.5</v>
      </c>
      <c r="AO8" s="55" t="str">
        <f>IF(SUM(Z8:AA8,AC8)-AB8&gt;0,SUM(Z8:AA8,AC8)-AB8,"")</f>
        <v/>
      </c>
      <c r="AP8" s="55">
        <f>IF(SUM(AE8,AI8)&gt;0,SUM(AE8,AI8),"")</f>
        <v>12</v>
      </c>
      <c r="AQ8" s="55">
        <f>IF(SUM(AD8:AE8,AG8:AI8,AK8)-SUM(AF8,AJ8)&gt;0,SUM(AD8:AE8,AG8:AI8,AK8)-SUM(AF8,AJ8),"")</f>
        <v>48.7</v>
      </c>
      <c r="AR8" s="55">
        <f>IF(SUM(AN8,AO8,AQ8)&gt;0,SUM(AN8,AO8,AQ8),"")</f>
        <v>98.2</v>
      </c>
      <c r="AS8" s="19">
        <v>18.7</v>
      </c>
      <c r="AT8" s="19">
        <v>6.4</v>
      </c>
      <c r="AU8" s="19">
        <v>0.6</v>
      </c>
      <c r="AV8" s="19">
        <v>0</v>
      </c>
      <c r="AW8" s="19">
        <v>18.7</v>
      </c>
      <c r="AX8" s="19">
        <v>6.4</v>
      </c>
      <c r="AY8" s="19">
        <v>0.2</v>
      </c>
      <c r="AZ8" s="19">
        <v>0</v>
      </c>
      <c r="BA8" s="19">
        <v>18.5</v>
      </c>
      <c r="BB8" s="19">
        <v>6.4</v>
      </c>
      <c r="BC8" s="19">
        <v>0</v>
      </c>
      <c r="BD8" s="19">
        <v>0</v>
      </c>
      <c r="BE8" s="19">
        <v>18.600000000000001</v>
      </c>
      <c r="BF8" s="19">
        <v>5.2</v>
      </c>
      <c r="BG8" s="19">
        <v>1</v>
      </c>
      <c r="BH8" s="19">
        <v>0</v>
      </c>
      <c r="BI8" s="19">
        <v>18.399999999999999</v>
      </c>
      <c r="BJ8" s="19">
        <v>6.4</v>
      </c>
      <c r="BK8" s="19">
        <v>0.2</v>
      </c>
      <c r="BL8" s="19">
        <v>0</v>
      </c>
      <c r="BM8" s="33"/>
      <c r="BN8" s="14">
        <f>IF(SUM(AT8,AX8)&gt;0,SUM(AT8,AX8),"")</f>
        <v>12.8</v>
      </c>
      <c r="BO8" s="14">
        <f>IF(SUM(AS8:AT8,AV8:AX8,AZ8)-AU8-AY8&gt;0,SUM(AS8:AT8,AV8:AX8,AZ8)-AU8-AY8,"")</f>
        <v>49.399999999999991</v>
      </c>
      <c r="BP8" s="14">
        <f>IF(SUM(BA8:BB8,BD8)-BC8&gt;0,SUM(BA8:BB8,BD8)-BC8,"")</f>
        <v>24.9</v>
      </c>
      <c r="BQ8" s="14">
        <f>IF(SUM(BF8,BJ8)&gt;0,SUM(BF8,BJ8),"")</f>
        <v>11.600000000000001</v>
      </c>
      <c r="BR8" s="14">
        <f>IF(SUM(BE8:BF8,BH8:BJ8,BL8)-SUM(BG8,BK8)&gt;0,SUM(BE8:BF8,BH8:BJ8,BL8)-SUM(BG8,BK8),"")</f>
        <v>47.4</v>
      </c>
      <c r="BS8" s="14">
        <f>IF(SUM(BO8,BP8,BR8)&gt;0,SUM(BO8,BP8,BR8),"")</f>
        <v>121.69999999999999</v>
      </c>
      <c r="BT8" s="20">
        <v>18.600000000000001</v>
      </c>
      <c r="BU8" s="20">
        <v>6.4</v>
      </c>
      <c r="BV8" s="20">
        <v>0.6</v>
      </c>
      <c r="BW8" s="20">
        <v>0</v>
      </c>
      <c r="BX8" s="20">
        <v>17.2</v>
      </c>
      <c r="BY8" s="20">
        <v>3.6</v>
      </c>
      <c r="BZ8" s="20">
        <v>0</v>
      </c>
      <c r="CA8" s="20">
        <v>0</v>
      </c>
      <c r="CB8" s="20">
        <v>18.8</v>
      </c>
      <c r="CC8" s="20">
        <v>5.6</v>
      </c>
      <c r="CD8" s="20">
        <v>0</v>
      </c>
      <c r="CE8" s="20">
        <v>0</v>
      </c>
      <c r="CF8" s="20">
        <v>18.600000000000001</v>
      </c>
      <c r="CG8" s="20">
        <v>6.8000000000000007</v>
      </c>
      <c r="CH8" s="20">
        <v>0.2</v>
      </c>
      <c r="CI8" s="20">
        <v>0</v>
      </c>
      <c r="CJ8" s="20">
        <v>0</v>
      </c>
      <c r="CK8" s="20">
        <v>0</v>
      </c>
      <c r="CL8" s="20">
        <v>0</v>
      </c>
      <c r="CM8" s="20">
        <v>0</v>
      </c>
      <c r="CN8" s="32"/>
      <c r="CO8" s="55">
        <f>IF(SUM(BU8,BY8)&gt;0,SUM(BU8,BY8),"")</f>
        <v>10</v>
      </c>
      <c r="CP8" s="55">
        <f>IF(SUM(BT8:BU8,BW8:BY8,CA8)-BV8-BZ8&gt;0,SUM(BT8:BU8,BW8:BY8,CA8)-BV8-BZ8,"")</f>
        <v>45.2</v>
      </c>
      <c r="CQ8" s="55">
        <f>IF(SUM(CB8:CC8,CE8)-CD8&gt;0,SUM(CB8:CC8,CE8)-CD8,"")</f>
        <v>24.4</v>
      </c>
      <c r="CR8" s="55">
        <f>IF(SUM(CG8,CK8)&gt;0,SUM(CG8,CK8),"")</f>
        <v>6.8000000000000007</v>
      </c>
      <c r="CS8" s="55">
        <f>IF(SUM(CF8:CG8,CI8:CK8,CM8)-SUM(CH8,CL8)&gt;0,SUM(CF8:CG8,CI8:CK8,CM8)-SUM(CH8,CL8),"")</f>
        <v>25.200000000000003</v>
      </c>
      <c r="CT8" s="55">
        <f>IF(SUM(CP8,CQ8,CS8)&gt;0,SUM(CP8,CQ8,CS8),"")</f>
        <v>94.8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>
        <v>18.5</v>
      </c>
      <c r="EJ8" s="19">
        <v>6</v>
      </c>
      <c r="EK8" s="19">
        <v>1</v>
      </c>
      <c r="EL8" s="19">
        <v>0</v>
      </c>
      <c r="EM8" s="19">
        <v>18.7</v>
      </c>
      <c r="EN8" s="19">
        <v>6</v>
      </c>
      <c r="EO8" s="19">
        <v>0.2</v>
      </c>
      <c r="EP8" s="19">
        <v>0</v>
      </c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>
        <f>IF(SUM(EJ8,EN8)&gt;0,SUM(EJ8,EN8),"")</f>
        <v>12</v>
      </c>
      <c r="EU8" s="14">
        <f>IF(SUM(EI8:EJ8,EL8:EN8,EP8)-SUM(EK8,EO8)&gt;0,SUM(EI8:EJ8,EL8:EN8,EP8)-SUM(EK8,EO8),"")</f>
        <v>48</v>
      </c>
      <c r="EV8" s="14">
        <f>IF(SUM(ER8,ES8,EU8)&gt;0,SUM(ER8,ES8,EU8),"")</f>
        <v>48</v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>
        <v>18.5</v>
      </c>
      <c r="FJ8" s="18">
        <v>6</v>
      </c>
      <c r="FK8" s="18">
        <v>1</v>
      </c>
      <c r="FL8" s="18">
        <v>0</v>
      </c>
      <c r="FM8" s="18">
        <v>18.7</v>
      </c>
      <c r="FN8" s="18">
        <v>6</v>
      </c>
      <c r="FO8" s="18">
        <v>0.2</v>
      </c>
      <c r="FP8" s="18">
        <v>0</v>
      </c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>
        <f>IF(SUM(FJ8,FN8)&gt;0,SUM(FJ8,FN8),"")</f>
        <v>12</v>
      </c>
      <c r="FU8" s="55">
        <f>IF(SUM(FI8:FJ8,FL8:FN8,FP8)-SUM(FK8,FO8)&gt;0,SUM(FI8:FJ8,FL8:FN8,FP8)-SUM(FK8,FO8),"")</f>
        <v>48</v>
      </c>
      <c r="FV8" s="55">
        <f>IF(SUM(FR8,FS8,FU8)&gt;0,SUM(FR8,FS8,FU8),"")</f>
        <v>48</v>
      </c>
      <c r="FW8" s="19">
        <v>18.399999999999999</v>
      </c>
      <c r="FX8" s="19">
        <v>5.2</v>
      </c>
      <c r="FY8" s="19">
        <v>0</v>
      </c>
      <c r="FZ8" s="19">
        <v>0</v>
      </c>
      <c r="GA8" s="19">
        <v>16.5</v>
      </c>
      <c r="GB8" s="19">
        <v>6.4</v>
      </c>
      <c r="GC8" s="19">
        <v>0.2</v>
      </c>
      <c r="GD8" s="19">
        <v>0</v>
      </c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>
        <f>IF(SUM(FX8,GB8)&gt;0,SUM(FX8,GB8),"")</f>
        <v>11.600000000000001</v>
      </c>
      <c r="GR8" s="14">
        <f>IF(SUM(FW8:FX8,FZ8:GB8,GD8)-FY8-GC8&gt;0,SUM(FW8:FX8,FZ8:GB8,GD8)-FY8-GC8,"")</f>
        <v>46.29999999999999</v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>
        <f>IF(SUM(GR8,GS8,GU8)&gt;0,SUM(GR8,GS8,GU8),"")</f>
        <v>46.29999999999999</v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18.649999999999999</v>
      </c>
      <c r="OX8" s="27">
        <f>IF($CN8="P",BU8,(BU8+AT8)/2)</f>
        <v>6.4</v>
      </c>
      <c r="OY8" s="27">
        <f>IF($CN8="P",BV8,(BV8+AU8)/2)</f>
        <v>0.6</v>
      </c>
      <c r="OZ8" s="27">
        <f>IF($CN8="P",BW8,(BW8+AV8)/2)</f>
        <v>0</v>
      </c>
      <c r="PA8" s="27">
        <f>IF($CN8="P",BX8,(BX8+AW8)/2)</f>
        <v>17.95</v>
      </c>
      <c r="PB8" s="27">
        <f>IF($CN8="P",BY8,(BY8+AX8)/2)</f>
        <v>5</v>
      </c>
      <c r="PC8" s="27">
        <f>IF($CN8="P",BZ8,(BZ8+AY8)/2)</f>
        <v>0.1</v>
      </c>
      <c r="PD8" s="27">
        <f>IF($CN8="P",CA8,(CA8+AZ8)/2)</f>
        <v>0</v>
      </c>
      <c r="PE8" s="27">
        <f>IF($CN8="P",CB8,(CB8+BA8)/2)</f>
        <v>18.649999999999999</v>
      </c>
      <c r="PF8" s="27">
        <f>IF($CN8="P",CC8,(CC8+BB8)/2)</f>
        <v>6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18.600000000000001</v>
      </c>
      <c r="PJ8" s="27">
        <f>IF($CN8="P",CG8,(CG8+BF8)/2)</f>
        <v>6</v>
      </c>
      <c r="PK8" s="27">
        <f>IF($CN8="P",CH8,(CH8+BG8)/2)</f>
        <v>0.6</v>
      </c>
      <c r="PL8" s="27">
        <f>IF($CN8="P",CI8,(CI8+BH8)/2)</f>
        <v>0</v>
      </c>
      <c r="PM8" s="27">
        <f>IF($CN8="P",CJ8,(CJ8+BI8)/2)</f>
        <v>9.1999999999999993</v>
      </c>
      <c r="PN8" s="27">
        <f>IF($CN8="P",CK8,(CK8+BJ8)/2)</f>
        <v>3.2</v>
      </c>
      <c r="PO8" s="27">
        <f>IF($CN8="P",CL8,(CL8+BK8)/2)</f>
        <v>0.1</v>
      </c>
      <c r="PP8" s="27">
        <f>IF($CN8="P",CM8,(CM8+BL8)/2)</f>
        <v>0</v>
      </c>
      <c r="PQ8" s="32" t="s">
        <v>44</v>
      </c>
      <c r="PR8" s="55">
        <f>IF(SUM(OX8,PB8)&gt;0,SUM(OX8,PB8),"")</f>
        <v>11.4</v>
      </c>
      <c r="PS8" s="55">
        <f>IF(SUM(OW8:OX8,OZ8:PB8,PD8)-OY8-PC8&gt;0,SUM(OW8:OX8,OZ8:PB8,PD8)-OY8-PC8,"")</f>
        <v>47.3</v>
      </c>
      <c r="PT8" s="55">
        <f>IF(SUM(PE8:PF8,PH8)-PG8&gt;0,SUM(PE8:PF8,PH8)-PG8,"")</f>
        <v>24.65</v>
      </c>
      <c r="PU8" s="55">
        <f>IF(SUM(PJ8,PN8)&gt;0,SUM(PJ8,PN8),"")</f>
        <v>9.1999999999999993</v>
      </c>
      <c r="PV8" s="55">
        <f>IF(SUM(PI8:PJ8,PL8:PN8,PP8)-SUM(PK8,PO8)&gt;0,SUM(PI8:PJ8,PL8:PN8,PP8)-SUM(PK8,PO8),"")</f>
        <v>36.299999999999997</v>
      </c>
      <c r="PW8" s="55">
        <f>IF(SUM(PS8,PT8,PV8)&gt;0,SUM(PS8,PT8,PV8),"")</f>
        <v>108.24999999999999</v>
      </c>
    </row>
    <row r="9" spans="1:43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104</v>
      </c>
      <c r="C9" s="4" t="s">
        <v>68</v>
      </c>
      <c r="D9" s="4">
        <v>2007</v>
      </c>
      <c r="E9" s="10">
        <f>SUM(I9:O9)+SUM(I9:M9)*0.0000001+SUM(I9)*0.0000000000001</f>
        <v>146.80001468000484</v>
      </c>
      <c r="F9" s="3" t="str">
        <f>IF(OR(AND(AM9&gt;=AR$14,AN9&gt;=AR$18,AM9&lt;&gt;"",AL9=""),AND(AP9&gt;=AR$14,AQ9&gt;=AR$18,AP9&lt;&gt;"",AL9=""),AND(BN9&gt;=BS$14,BO9&gt;=BS$18,BN9&lt;&gt;"",BM9=""),AND(BQ9&gt;=BS$14,BR9&gt;=BS$18,BQ9&lt;&gt;"",BM9=""),AND(CO9&gt;=CT$14,CP9&gt;=CT$18,CO9&lt;&gt;"",CN9=""),AND(CR9&gt;=CT$14,CS9&gt;=CT$18,CR9&lt;&gt;""),AND(DQ9&gt;=DV$14,DR9&gt;=DV$18,DQ9&lt;&gt;""),AND(DT9&gt;=DV$14,DU9&gt;=DV$18,DT9&lt;&gt;""),AND(EQ9&gt;=EV$14,ER9&gt;=EV$18,EQ9&lt;&gt;""),AND(ET9&gt;=EV$14,EU9&gt;=EV$18,ET9&lt;&gt;""),AND(FQ9&gt;=FV$14,FR9&gt;=FV$18,FQ9&lt;&gt;""),AND(FT9&gt;=FV$14,FU9&gt;=FV$18,FT9&lt;&gt;""),AND(GQ9&gt;=GV$14,GR9&gt;=GV$18,GQ9&lt;&gt;""),AND(GT9&gt;=GV$14,GU9&gt;=GV$18,GT9&lt;&gt;""),AND(HQ9&gt;=HV$14,HR9&gt;=HV$18,HQ9&lt;&gt;""),AND(HT9&gt;=HV$14,HU9&gt;=HV$18,HT9&lt;&gt;""),AND(IQ9&gt;=IV$14,IR9&gt;=IV$18,IQ9&lt;&gt;""),AND(IT9&gt;=IV$14,IU9&gt;=IV$18,IT9&lt;&gt;""),AND(JQ9&gt;=JV$14,JR9&gt;=JV$18,JQ9&lt;&gt;""),AND(JT9&gt;=JV$14,JU9&gt;=JV$18,JT9&lt;&gt;""),AND(KQ9&gt;=KV$14,KR9&gt;=KV$18,KQ9&lt;&gt;""),AND(KT9&gt;=KV$14,KU9&gt;=KV$18,KT9&lt;&gt;""),AND(LQ9&gt;=LV$14,LR9&gt;=LV$18,LQ9&lt;&gt;""),AND(LT9&gt;=LV$14,LU9&gt;=LV$18,LT9&lt;&gt;""),AND(MQ9&gt;=MV$14,MR9&gt;=MV$18,MQ9&lt;&gt;""),AND(MT9&gt;=MV$14,MU9&gt;=MV$18,MT9&lt;&gt;""),AND(NQ9&gt;=NV$14,NR9&gt;=NV$18,NQ9&lt;&gt;""),AND(NT9&gt;=NV$14,NU9&gt;=NV$18,NT9&lt;&gt;""),AND(OQ9&gt;=OV$14,OR9&gt;=OV$18,OQ9&lt;&gt;""),AND(OT9&gt;=OV$14,OU9&gt;=OV$18,OT9&lt;&gt;"")),"P","")</f>
        <v>P</v>
      </c>
      <c r="G9" s="3" t="str">
        <f>IF(OR(AND(AN9&gt;=AR$18,AN9&lt;&gt;"",AL9=""),AND(AQ9&gt;=AR$18,AQ9&lt;&gt;"",AL9=""),AND(BO9&gt;=BS$18,BO9&lt;&gt;"",BM9=""),AND(BR9&gt;=BS$18,BR9&lt;&gt;"",BM9=""),AND(CP9&gt;=CT$18,CP9&lt;&gt;"",CN9=""),AND(CS9&gt;=CT$18,CS9&lt;&gt;"",CN9=""),AND(DR9&gt;=DV$18,DR9&lt;&gt;""),AND(DU9&gt;=DV$18,DU9&lt;&gt;""),AND(ER9&gt;=EV$18,ER9&lt;&gt;""),AND(EU9&gt;=EV$18,EU9&lt;&gt;""),AND(FR9&gt;=FV$18,FR9&lt;&gt;""),AND(FU9&gt;=FV$18,FU9&lt;&gt;""),AND(GR9&gt;=GV$18,GR9&lt;&gt;""),AND(GU9&gt;=GV$18,GU9&lt;&gt;""),AND(HR9&gt;=HV$18,HR9&lt;&gt;""),AND(HU9&gt;=HV$18,HU9&lt;&gt;""),AND(IR9&gt;=IV$18,IR9&lt;&gt;""),AND(IU9&gt;=IV$18,IU9&lt;&gt;""),AND(JR9&gt;=JV$18,JR9&lt;&gt;""),AND(JU9&gt;=JV$18,JU9&lt;&gt;""),AND(KR9&gt;=KV$18,KR9&lt;&gt;""),AND(KU9&gt;=KV$18,KU9&lt;&gt;""),AND(LR9&gt;=LV$18,LR9&lt;&gt;""),AND(LU9&gt;=LV$18,LU9&lt;&gt;""),AND(MR9&gt;=MV$18,MR9&lt;&gt;""),AND(MU9&gt;=MV$18,MU9&lt;&gt;""),AND(NR9&gt;=NV$18,NR9&lt;&gt;""),AND(NU9&gt;=NV$18,NU9&lt;&gt;""),AND(OR9&gt;=OV$18,OR9&lt;&gt;""),AND(OU9&gt;=OV$18,OU9&lt;&gt;"")),"P","")</f>
        <v>P</v>
      </c>
      <c r="H9" s="47" t="str">
        <f>IF(AND(G9="P",F9=""),"No DD",IF(OR(AND(AM9&gt;=AR$17,AN9&gt;=AR$21,AM9&lt;&gt;"",AL9=""),AND(AP9&gt;=AR$17,AQ9&gt;=AR$21,AP9&lt;&gt;"",AL9=""),AND(BN9&gt;=BS$17,BO9&gt;=BS$21,BN9&lt;&gt;"",BM9=""),AND(BQ9&gt;=BS$17,BR9&gt;=BS$21,BQ9&lt;&gt;"",BM9=""),AND(CO9&gt;=CT$17,CP9&gt;=CT$21,CO9&lt;&gt;"",CN9=""),AND(CR9&gt;=CT$17,CS9&gt;=CT$21,CR9&lt;&gt;""),AND(DQ9&gt;=DV$17,DR9&gt;=DV$21,DQ9&lt;&gt;""),AND(DT9&gt;=DV$17,DU9&gt;=DV$21,DT9&lt;&gt;""),AND(EQ9&gt;=EV$17,ER9&gt;=EV$21,EQ9&lt;&gt;""),AND(ET9&gt;=EV$17,EU9&gt;=EV$21,ET9&lt;&gt;""),AND(FQ9&gt;=FV$17,FR9&gt;=FV$21,FQ9&lt;&gt;""),AND(FT9&gt;=FV$17,FU9&gt;=FV$21,FT9&lt;&gt;""),AND(GQ9&gt;=GV$17,GR9&gt;=GV$21,GQ9&lt;&gt;""),AND(GT9&gt;=GV$17,GU9&gt;=GV$21,GT9&lt;&gt;""),AND(HQ9&gt;=HV$17,HR9&gt;=HV$21,HQ9&lt;&gt;""),AND(HT9&gt;=HV$17,HU9&gt;=HV$21,HT9&lt;&gt;""),AND(IQ9&gt;=IV$17,IR9&gt;=IV$21,IQ9&lt;&gt;""),AND(IT9&gt;=IV$17,IU9&gt;=IV$21,IT9&lt;&gt;""),AND(JQ9&gt;=JV$17,JR9&gt;=JV$21,JQ9&lt;&gt;""),AND(JT9&gt;=JV$17,JU9&gt;=JV$21,JT9&lt;&gt;""),AND(KQ9&gt;=KV$17,KR9&gt;=KV$21,KQ9&lt;&gt;""),AND(KT9&gt;=KV$17,KU9&gt;=KV$21,KT9&lt;&gt;""),AND(LQ9&gt;=LV$17,LR9&gt;=LV$21,LQ9&lt;&gt;""),AND(LT9&gt;=LV$17,LU9&gt;=LV$21,LT9&lt;&gt;""),AND(MQ9&gt;=MV$17,MR9&gt;=MV$21,MQ9&lt;&gt;""),AND(MT9&gt;=MV$17,MU9&gt;=MV$21,MT9&lt;&gt;""),AND(NQ9&gt;=NV$17,NR9&gt;=NV$21,NQ9&lt;&gt;""),AND(NT9&gt;=NV$17,NU9&gt;=NV$21,NT9&lt;&gt;""),AND(OQ9&gt;=OV$17,OR9&gt;=OV$21,OQ9&lt;&gt;""),AND(OT9&gt;=OV$17,OU9&gt;=OV$21,OT9&lt;&gt;"")),"Merit",IF(OR(AND(AM9&gt;=AR$16,AN9&gt;=AR$20,AM9&lt;&gt;"",AL9=""),AND(AP9&gt;=AR$16,AQ9&gt;=AR$20,AP9&lt;&gt;"",AL9=""),AND(BN9&gt;=BS$16,BO9&gt;=BS$20,BN9&lt;&gt;"",BM9=""),AND(BQ9&gt;=BS$16,BR9&gt;=BS$20,BQ9&lt;&gt;"",BM9=""),AND(CO9&gt;=CT$16,CP9&gt;=CT$20,CO9&lt;&gt;"",CN9=""),AND(CR9&gt;=CT$16,CS9&gt;=CT$20,CR9&lt;&gt;""),AND(DQ9&gt;=DV$16,DR9&gt;=DV$20,DQ9&lt;&gt;""),AND(DT9&gt;=DV$16,DU9&gt;=DV$20,DT9&lt;&gt;""),AND(EQ9&gt;=EV$16,ER9&gt;=EV$20,EQ9&lt;&gt;""),AND(ET9&gt;=EV$16,EU9&gt;=EV$20,ET9&lt;&gt;""),AND(FQ9&gt;=FV$16,FR9&gt;=FV$20,FQ9&lt;&gt;""),AND(FT9&gt;=FV$16,FU9&gt;=FV$20,FT9&lt;&gt;""),AND(GQ9&gt;=GV$16,GR9&gt;=GV$20,GQ9&lt;&gt;""),AND(GT9&gt;=GV$16,GU9&gt;=GV$20,GT9&lt;&gt;""),AND(HQ9&gt;=HV$16,HR9&gt;=HV$20,HQ9&lt;&gt;""),AND(HT9&gt;=HV$16,HU9&gt;=HV$20,HT9&lt;&gt;""),AND(IQ9&gt;=IV$16,IR9&gt;=IV$20,IQ9&lt;&gt;""),AND(IT9&gt;=IV$16,IU9&gt;=IV$20,IT9&lt;&gt;""),AND(JQ9&gt;=JV$16,JR9&gt;=JV$20,JQ9&lt;&gt;""),AND(JT9&gt;=JV$16,JU9&gt;=JV$20,JT9&lt;&gt;""),AND(KQ9&gt;=KV$16,KR9&gt;=KV$20,KQ9&lt;&gt;""),AND(KT9&gt;=KV$16,KU9&gt;=KV$20,KT9&lt;&gt;""),AND(LQ9&gt;=LV$16,LR9&gt;=LV$20,LQ9&lt;&gt;""),AND(LT9&gt;=LV$16,LU9&gt;=LV$20,LT9&lt;&gt;""),AND(MQ9&gt;=MV$16,MR9&gt;=MV$20,MQ9&lt;&gt;""),AND(MT9&gt;=MV$16,MU9&gt;=MV$20,MT9&lt;&gt;""),AND(NQ9&gt;=NV$16,NR9&gt;=NV$20,NQ9&lt;&gt;""),AND(NT9&gt;=NV$16,NU9&gt;=NV$20,NT9&lt;&gt;""),AND(OQ9&gt;=OV$16,OR9&gt;=OV$20,OQ9&lt;&gt;""),AND(OT9&gt;=OV$16,OU9&gt;=OV$20,OT9&lt;&gt;"")),"Excellence",IF(F9="P","National Team",""))))</f>
        <v>Excellence</v>
      </c>
      <c r="I9" s="9">
        <f>IF(COUNT(AN9,BO9,CP9)&gt;0,LARGE((AN9,BO9,CP9),1),0)</f>
        <v>48.699999999999996</v>
      </c>
      <c r="J9" s="9" t="str">
        <f>IF(I9=0,"",IF(I9=CP9,$BT$1,IF(I9=BO9,$AS$1,IF(I9=AN9,$R$1,""))))</f>
        <v>2023 Nationals</v>
      </c>
      <c r="K9" s="9">
        <f>IF(COUNT(AN9,BO9,CP9)&gt;1,LARGE((AN9,BO9,CP9),2),0)</f>
        <v>48.499999999999993</v>
      </c>
      <c r="L9" s="9" t="str">
        <f>IF(K9=0,"",IF(K9=CP9,$BT$1,IF(K9=BO9,$AS$1,IF(K9=AN9,$R$1,""))))</f>
        <v>2023 3rd Domestic Trial</v>
      </c>
      <c r="M9" s="9">
        <f>IF(MAX(AQ9,BR9,CS9)&gt;0,MAX(AQ9,BR9,CS9),0)</f>
        <v>49.599999999999994</v>
      </c>
      <c r="N9" s="9" t="str">
        <f>IF(M9=0,"",IF(M9=CS9,$BT$1,IF(M9=BR9,$AS$1,IF(M9=AQ9,$R$1,""))))</f>
        <v>2023 Nationals</v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>
        <v>18.100000000000001</v>
      </c>
      <c r="S9" s="20">
        <v>5.2</v>
      </c>
      <c r="T9" s="20">
        <v>0.6</v>
      </c>
      <c r="U9" s="20">
        <v>0</v>
      </c>
      <c r="V9" s="20">
        <v>18.2</v>
      </c>
      <c r="W9" s="20">
        <v>4.8</v>
      </c>
      <c r="X9" s="20">
        <v>0</v>
      </c>
      <c r="Y9" s="20">
        <v>0</v>
      </c>
      <c r="Z9" s="20"/>
      <c r="AA9" s="20"/>
      <c r="AB9" s="20"/>
      <c r="AC9" s="20"/>
      <c r="AD9" s="20">
        <v>18.2</v>
      </c>
      <c r="AE9" s="20">
        <v>4.8</v>
      </c>
      <c r="AF9" s="20">
        <v>0.2</v>
      </c>
      <c r="AG9" s="20">
        <v>0</v>
      </c>
      <c r="AH9" s="20">
        <v>18.8</v>
      </c>
      <c r="AI9" s="20">
        <v>4.3</v>
      </c>
      <c r="AJ9" s="20">
        <v>0.2</v>
      </c>
      <c r="AK9" s="20">
        <v>0</v>
      </c>
      <c r="AL9" s="32"/>
      <c r="AM9" s="55">
        <f>IF(SUM(S9,W9)&gt;0,SUM(S9,W9),"")</f>
        <v>10</v>
      </c>
      <c r="AN9" s="55">
        <f>IF(SUM(R9:S9,U9:W9,Y9)-T9-X9&gt;0,SUM(R9:S9,U9:W9,Y9)-T9-X9,"")</f>
        <v>45.699999999999996</v>
      </c>
      <c r="AO9" s="55" t="str">
        <f>IF(SUM(Z9:AA9,AC9)-AB9&gt;0,SUM(Z9:AA9,AC9)-AB9,"")</f>
        <v/>
      </c>
      <c r="AP9" s="55">
        <f>IF(SUM(AE9,AI9)&gt;0,SUM(AE9,AI9),"")</f>
        <v>9.1</v>
      </c>
      <c r="AQ9" s="55">
        <f>IF(SUM(AD9:AE9,AG9:AI9,AK9)-SUM(AF9,AJ9)&gt;0,SUM(AD9:AE9,AG9:AI9,AK9)-SUM(AF9,AJ9),"")</f>
        <v>45.699999999999996</v>
      </c>
      <c r="AR9" s="55">
        <f>IF(SUM(AN9,AO9,AQ9)&gt;0,SUM(AN9,AO9,AQ9),"")</f>
        <v>91.399999999999991</v>
      </c>
      <c r="AS9" s="19">
        <v>18.2</v>
      </c>
      <c r="AT9" s="19">
        <v>6</v>
      </c>
      <c r="AU9" s="19">
        <v>0.6</v>
      </c>
      <c r="AV9" s="19">
        <v>0</v>
      </c>
      <c r="AW9" s="19">
        <v>18</v>
      </c>
      <c r="AX9" s="19">
        <v>7.3</v>
      </c>
      <c r="AY9" s="19">
        <v>0.2</v>
      </c>
      <c r="AZ9" s="19">
        <v>0</v>
      </c>
      <c r="BA9" s="19">
        <v>18.600000000000001</v>
      </c>
      <c r="BB9" s="19">
        <v>4.3</v>
      </c>
      <c r="BC9" s="19">
        <v>0.6</v>
      </c>
      <c r="BD9" s="19">
        <v>0</v>
      </c>
      <c r="BE9" s="19">
        <v>18.7</v>
      </c>
      <c r="BF9" s="19">
        <v>5.6</v>
      </c>
      <c r="BG9" s="19">
        <v>0</v>
      </c>
      <c r="BH9" s="19">
        <v>0</v>
      </c>
      <c r="BI9" s="19">
        <v>18.899999999999999</v>
      </c>
      <c r="BJ9" s="19">
        <v>6.4</v>
      </c>
      <c r="BK9" s="19">
        <v>0</v>
      </c>
      <c r="BL9" s="19">
        <v>0</v>
      </c>
      <c r="BM9" s="33"/>
      <c r="BN9" s="14">
        <f>IF(SUM(AT9,AX9)&gt;0,SUM(AT9,AX9),"")</f>
        <v>13.3</v>
      </c>
      <c r="BO9" s="14">
        <f>IF(SUM(AS9:AT9,AV9:AX9,AZ9)-AU9-AY9&gt;0,SUM(AS9:AT9,AV9:AX9,AZ9)-AU9-AY9,"")</f>
        <v>48.699999999999996</v>
      </c>
      <c r="BP9" s="14">
        <f>IF(SUM(BA9:BB9,BD9)-BC9&gt;0,SUM(BA9:BB9,BD9)-BC9,"")</f>
        <v>22.3</v>
      </c>
      <c r="BQ9" s="14">
        <f>IF(SUM(BF9,BJ9)&gt;0,SUM(BF9,BJ9),"")</f>
        <v>12</v>
      </c>
      <c r="BR9" s="14">
        <f>IF(SUM(BE9:BF9,BH9:BJ9,BL9)-SUM(BG9,BK9)&gt;0,SUM(BE9:BF9,BH9:BJ9,BL9)-SUM(BG9,BK9),"")</f>
        <v>49.599999999999994</v>
      </c>
      <c r="BS9" s="14">
        <f>IF(SUM(BO9,BP9,BR9)&gt;0,SUM(BO9,BP9,BR9),"")</f>
        <v>120.6</v>
      </c>
      <c r="BT9" s="20">
        <v>18.8</v>
      </c>
      <c r="BU9" s="20">
        <v>6</v>
      </c>
      <c r="BV9" s="20">
        <v>0.2</v>
      </c>
      <c r="BW9" s="20">
        <v>0</v>
      </c>
      <c r="BX9" s="20">
        <v>18.5</v>
      </c>
      <c r="BY9" s="20">
        <v>6</v>
      </c>
      <c r="BZ9" s="20">
        <v>0.6</v>
      </c>
      <c r="CA9" s="20">
        <v>0</v>
      </c>
      <c r="CB9" s="20">
        <v>18.399999999999999</v>
      </c>
      <c r="CC9" s="20">
        <v>4.3</v>
      </c>
      <c r="CD9" s="20">
        <v>0.2</v>
      </c>
      <c r="CE9" s="20">
        <v>0</v>
      </c>
      <c r="CF9" s="20">
        <v>18.399999999999999</v>
      </c>
      <c r="CG9" s="20">
        <v>5.6</v>
      </c>
      <c r="CH9" s="20">
        <v>0.6</v>
      </c>
      <c r="CI9" s="20">
        <v>0</v>
      </c>
      <c r="CJ9" s="20">
        <v>18.3</v>
      </c>
      <c r="CK9" s="20">
        <v>7.3</v>
      </c>
      <c r="CL9" s="20">
        <v>0.8</v>
      </c>
      <c r="CM9" s="20">
        <v>0</v>
      </c>
      <c r="CN9" s="32"/>
      <c r="CO9" s="55">
        <f>IF(SUM(BU9,BY9)&gt;0,SUM(BU9,BY9),"")</f>
        <v>12</v>
      </c>
      <c r="CP9" s="55">
        <f>IF(SUM(BT9:BU9,BW9:BY9,CA9)-BV9-BZ9&gt;0,SUM(BT9:BU9,BW9:BY9,CA9)-BV9-BZ9,"")</f>
        <v>48.499999999999993</v>
      </c>
      <c r="CQ9" s="55">
        <f>IF(SUM(CB9:CC9,CE9)-CD9&gt;0,SUM(CB9:CC9,CE9)-CD9,"")</f>
        <v>22.5</v>
      </c>
      <c r="CR9" s="55">
        <f>IF(SUM(CG9,CK9)&gt;0,SUM(CG9,CK9),"")</f>
        <v>12.899999999999999</v>
      </c>
      <c r="CS9" s="55">
        <f>IF(SUM(CF9:CG9,CI9:CK9,CM9)-SUM(CH9,CL9)&gt;0,SUM(CF9:CG9,CI9:CK9,CM9)-SUM(CH9,CL9),"")</f>
        <v>48.199999999999996</v>
      </c>
      <c r="CT9" s="55">
        <f>IF(SUM(CP9,CQ9,CS9)&gt;0,SUM(CP9,CQ9,CS9),"")</f>
        <v>119.19999999999999</v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IF(SUM(DR9,DS9,DU9)&gt;0,SUM(DR9,DS9,DU9),"")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IF(SUM(ER9,ES9,EU9)&gt;0,SUM(ER9,ES9,EU9),"")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IF(SUM(FR9,FS9,FU9)&gt;0,SUM(FR9,FS9,FU9),"")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IF(SUM(GR9,GS9,GU9)&gt;0,SUM(GR9,GS9,GU9),"")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IF(SUM(HR9,HS9,HU9)&gt;0,SUM(HR9,HS9,HU9),"")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IF(SUM(IR9,IS9,IU9)&gt;0,SUM(IR9,IS9,IU9),"")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IF(SUM(JR9,JS9,JU9)&gt;0,SUM(JR9,JS9,JU9),"")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IF(SUM(KR9,KS9,KU9)&gt;0,SUM(KR9,KS9,KU9),"")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IF(SUM(LR9,LS9,LU9)&gt;0,SUM(LR9,LS9,LU9),"")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IF(SUM(MR9,MS9,MU9)&gt;0,SUM(MR9,MS9,MU9),"")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IF(SUM(NR9,NS9,NU9)&gt;0,SUM(NR9,NS9,NU9),"")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IF(SUM(OR9,OS9,OU9)&gt;0,SUM(OR9,OS9,OU9),"")</f>
        <v/>
      </c>
      <c r="OW9" s="27">
        <f>IF($CN9="P",BT9,(BT9+AS9)/2)</f>
        <v>18.5</v>
      </c>
      <c r="OX9" s="27">
        <f>IF($CN9="P",BU9,(BU9+AT9)/2)</f>
        <v>6</v>
      </c>
      <c r="OY9" s="27">
        <f>IF($CN9="P",BV9,(BV9+AU9)/2)</f>
        <v>0.4</v>
      </c>
      <c r="OZ9" s="27">
        <f>IF($CN9="P",BW9,(BW9+AV9)/2)</f>
        <v>0</v>
      </c>
      <c r="PA9" s="27">
        <f>IF($CN9="P",BX9,(BX9+AW9)/2)</f>
        <v>18.25</v>
      </c>
      <c r="PB9" s="27">
        <f>IF($CN9="P",BY9,(BY9+AX9)/2)</f>
        <v>6.65</v>
      </c>
      <c r="PC9" s="27">
        <f>IF($CN9="P",BZ9,(BZ9+AY9)/2)</f>
        <v>0.4</v>
      </c>
      <c r="PD9" s="27">
        <f>IF($CN9="P",CA9,(CA9+AZ9)/2)</f>
        <v>0</v>
      </c>
      <c r="PE9" s="27">
        <f>IF($CN9="P",CB9,(CB9+BA9)/2)</f>
        <v>18.5</v>
      </c>
      <c r="PF9" s="27">
        <f>IF($CN9="P",CC9,(CC9+BB9)/2)</f>
        <v>4.3</v>
      </c>
      <c r="PG9" s="27">
        <f>IF($CN9="P",CD9,(CD9+BC9)/2)</f>
        <v>0.4</v>
      </c>
      <c r="PH9" s="27">
        <f>IF($CN9="P",CE9,(CE9+BD9)/2)</f>
        <v>0</v>
      </c>
      <c r="PI9" s="27">
        <f>IF($CN9="P",CF9,(CF9+BE9)/2)</f>
        <v>18.549999999999997</v>
      </c>
      <c r="PJ9" s="27">
        <f>IF($CN9="P",CG9,(CG9+BF9)/2)</f>
        <v>5.6</v>
      </c>
      <c r="PK9" s="27">
        <f>IF($CN9="P",CH9,(CH9+BG9)/2)</f>
        <v>0.3</v>
      </c>
      <c r="PL9" s="27">
        <f>IF($CN9="P",CI9,(CI9+BH9)/2)</f>
        <v>0</v>
      </c>
      <c r="PM9" s="27">
        <f>IF($CN9="P",CJ9,(CJ9+BI9)/2)</f>
        <v>18.600000000000001</v>
      </c>
      <c r="PN9" s="27">
        <f>IF($CN9="P",CK9,(CK9+BJ9)/2)</f>
        <v>6.85</v>
      </c>
      <c r="PO9" s="27">
        <f>IF($CN9="P",CL9,(CL9+BK9)/2)</f>
        <v>0.4</v>
      </c>
      <c r="PP9" s="27">
        <f>IF($CN9="P",CM9,(CM9+BL9)/2)</f>
        <v>0</v>
      </c>
      <c r="PQ9" s="32" t="s">
        <v>44</v>
      </c>
      <c r="PR9" s="55">
        <f>IF(SUM(OX9,PB9)&gt;0,SUM(OX9,PB9),"")</f>
        <v>12.65</v>
      </c>
      <c r="PS9" s="55">
        <f>IF(SUM(OW9:OX9,OZ9:PB9,PD9)-OY9-PC9&gt;0,SUM(OW9:OX9,OZ9:PB9,PD9)-OY9-PC9,"")</f>
        <v>48.6</v>
      </c>
      <c r="PT9" s="55">
        <f>IF(SUM(PE9:PF9,PH9)-PG9&gt;0,SUM(PE9:PF9,PH9)-PG9,"")</f>
        <v>22.400000000000002</v>
      </c>
      <c r="PU9" s="55">
        <f>IF(SUM(PJ9,PN9)&gt;0,SUM(PJ9,PN9),"")</f>
        <v>12.45</v>
      </c>
      <c r="PV9" s="55">
        <f>IF(SUM(PI9:PJ9,PL9:PN9,PP9)-SUM(PK9,PO9)&gt;0,SUM(PI9:PJ9,PL9:PN9,PP9)-SUM(PK9,PO9),"")</f>
        <v>48.9</v>
      </c>
      <c r="PW9" s="55">
        <f>IF(SUM(PS9,PT9,PV9)&gt;0,SUM(PS9,PT9,PV9),"")</f>
        <v>119.9</v>
      </c>
    </row>
    <row r="10" spans="1:439" x14ac:dyDescent="0.2">
      <c r="A10" s="4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87</v>
      </c>
      <c r="C10" s="4" t="s">
        <v>68</v>
      </c>
      <c r="D10" s="4">
        <v>2007</v>
      </c>
      <c r="E10" s="10">
        <f>SUM(I10:O10)+SUM(I10:M10)*0.0000001+SUM(I10)*0.0000000000001</f>
        <v>143.30001433000481</v>
      </c>
      <c r="F10" s="3" t="str">
        <f>IF(OR(AND(AM10&gt;=AR$14,AN10&gt;=AR$18,AM10&lt;&gt;"",AL10=""),AND(AP10&gt;=AR$14,AQ10&gt;=AR$18,AP10&lt;&gt;"",AL10=""),AND(BN10&gt;=BS$14,BO10&gt;=BS$18,BN10&lt;&gt;"",BM10=""),AND(BQ10&gt;=BS$14,BR10&gt;=BS$18,BQ10&lt;&gt;"",BM10=""),AND(CO10&gt;=CT$14,CP10&gt;=CT$18,CO10&lt;&gt;"",CN10=""),AND(CR10&gt;=CT$14,CS10&gt;=CT$18,CR10&lt;&gt;""),AND(DQ10&gt;=DV$14,DR10&gt;=DV$18,DQ10&lt;&gt;""),AND(DT10&gt;=DV$14,DU10&gt;=DV$18,DT10&lt;&gt;""),AND(EQ10&gt;=EV$14,ER10&gt;=EV$18,EQ10&lt;&gt;""),AND(ET10&gt;=EV$14,EU10&gt;=EV$18,ET10&lt;&gt;""),AND(FQ10&gt;=FV$14,FR10&gt;=FV$18,FQ10&lt;&gt;""),AND(FT10&gt;=FV$14,FU10&gt;=FV$18,FT10&lt;&gt;""),AND(GQ10&gt;=GV$14,GR10&gt;=GV$18,GQ10&lt;&gt;""),AND(GT10&gt;=GV$14,GU10&gt;=GV$18,GT10&lt;&gt;""),AND(HQ10&gt;=HV$14,HR10&gt;=HV$18,HQ10&lt;&gt;""),AND(HT10&gt;=HV$14,HU10&gt;=HV$18,HT10&lt;&gt;""),AND(IQ10&gt;=IV$14,IR10&gt;=IV$18,IQ10&lt;&gt;""),AND(IT10&gt;=IV$14,IU10&gt;=IV$18,IT10&lt;&gt;""),AND(JQ10&gt;=JV$14,JR10&gt;=JV$18,JQ10&lt;&gt;""),AND(JT10&gt;=JV$14,JU10&gt;=JV$18,JT10&lt;&gt;""),AND(KQ10&gt;=KV$14,KR10&gt;=KV$18,KQ10&lt;&gt;""),AND(KT10&gt;=KV$14,KU10&gt;=KV$18,KT10&lt;&gt;""),AND(LQ10&gt;=LV$14,LR10&gt;=LV$18,LQ10&lt;&gt;""),AND(LT10&gt;=LV$14,LU10&gt;=LV$18,LT10&lt;&gt;""),AND(MQ10&gt;=MV$14,MR10&gt;=MV$18,MQ10&lt;&gt;""),AND(MT10&gt;=MV$14,MU10&gt;=MV$18,MT10&lt;&gt;""),AND(NQ10&gt;=NV$14,NR10&gt;=NV$18,NQ10&lt;&gt;""),AND(NT10&gt;=NV$14,NU10&gt;=NV$18,NT10&lt;&gt;""),AND(OQ10&gt;=OV$14,OR10&gt;=OV$18,OQ10&lt;&gt;""),AND(OT10&gt;=OV$14,OU10&gt;=OV$18,OT10&lt;&gt;"")),"P","")</f>
        <v>P</v>
      </c>
      <c r="G10" s="3" t="str">
        <f>IF(OR(AND(AN10&gt;=AR$18,AN10&lt;&gt;"",AL10=""),AND(AQ10&gt;=AR$18,AQ10&lt;&gt;"",AL10=""),AND(BO10&gt;=BS$18,BO10&lt;&gt;"",BM10=""),AND(BR10&gt;=BS$18,BR10&lt;&gt;"",BM10=""),AND(CP10&gt;=CT$18,CP10&lt;&gt;"",CN10=""),AND(CS10&gt;=CT$18,CS10&lt;&gt;"",CN10=""),AND(DR10&gt;=DV$18,DR10&lt;&gt;""),AND(DU10&gt;=DV$18,DU10&lt;&gt;""),AND(ER10&gt;=EV$18,ER10&lt;&gt;""),AND(EU10&gt;=EV$18,EU10&lt;&gt;""),AND(FR10&gt;=FV$18,FR10&lt;&gt;""),AND(FU10&gt;=FV$18,FU10&lt;&gt;""),AND(GR10&gt;=GV$18,GR10&lt;&gt;""),AND(GU10&gt;=GV$18,GU10&lt;&gt;""),AND(HR10&gt;=HV$18,HR10&lt;&gt;""),AND(HU10&gt;=HV$18,HU10&lt;&gt;""),AND(IR10&gt;=IV$18,IR10&lt;&gt;""),AND(IU10&gt;=IV$18,IU10&lt;&gt;""),AND(JR10&gt;=JV$18,JR10&lt;&gt;""),AND(JU10&gt;=JV$18,JU10&lt;&gt;""),AND(KR10&gt;=KV$18,KR10&lt;&gt;""),AND(KU10&gt;=KV$18,KU10&lt;&gt;""),AND(LR10&gt;=LV$18,LR10&lt;&gt;""),AND(LU10&gt;=LV$18,LU10&lt;&gt;""),AND(MR10&gt;=MV$18,MR10&lt;&gt;""),AND(MU10&gt;=MV$18,MU10&lt;&gt;""),AND(NR10&gt;=NV$18,NR10&lt;&gt;""),AND(NU10&gt;=NV$18,NU10&lt;&gt;""),AND(OR10&gt;=OV$18,OR10&lt;&gt;""),AND(OU10&gt;=OV$18,OU10&lt;&gt;"")),"P","")</f>
        <v>P</v>
      </c>
      <c r="H10" s="47" t="str">
        <f>IF(AND(G10="P",F10=""),"No DD",IF(OR(AND(AM10&gt;=AR$17,AN10&gt;=AR$21,AM10&lt;&gt;"",AL10=""),AND(AP10&gt;=AR$17,AQ10&gt;=AR$21,AP10&lt;&gt;"",AL10=""),AND(BN10&gt;=BS$17,BO10&gt;=BS$21,BN10&lt;&gt;"",BM10=""),AND(BQ10&gt;=BS$17,BR10&gt;=BS$21,BQ10&lt;&gt;"",BM10=""),AND(CO10&gt;=CT$17,CP10&gt;=CT$21,CO10&lt;&gt;"",CN10=""),AND(CR10&gt;=CT$17,CS10&gt;=CT$21,CR10&lt;&gt;""),AND(DQ10&gt;=DV$17,DR10&gt;=DV$21,DQ10&lt;&gt;""),AND(DT10&gt;=DV$17,DU10&gt;=DV$21,DT10&lt;&gt;""),AND(EQ10&gt;=EV$17,ER10&gt;=EV$21,EQ10&lt;&gt;""),AND(ET10&gt;=EV$17,EU10&gt;=EV$21,ET10&lt;&gt;""),AND(FQ10&gt;=FV$17,FR10&gt;=FV$21,FQ10&lt;&gt;""),AND(FT10&gt;=FV$17,FU10&gt;=FV$21,FT10&lt;&gt;""),AND(GQ10&gt;=GV$17,GR10&gt;=GV$21,GQ10&lt;&gt;""),AND(GT10&gt;=GV$17,GU10&gt;=GV$21,GT10&lt;&gt;""),AND(HQ10&gt;=HV$17,HR10&gt;=HV$21,HQ10&lt;&gt;""),AND(HT10&gt;=HV$17,HU10&gt;=HV$21,HT10&lt;&gt;""),AND(IQ10&gt;=IV$17,IR10&gt;=IV$21,IQ10&lt;&gt;""),AND(IT10&gt;=IV$17,IU10&gt;=IV$21,IT10&lt;&gt;""),AND(JQ10&gt;=JV$17,JR10&gt;=JV$21,JQ10&lt;&gt;""),AND(JT10&gt;=JV$17,JU10&gt;=JV$21,JT10&lt;&gt;""),AND(KQ10&gt;=KV$17,KR10&gt;=KV$21,KQ10&lt;&gt;""),AND(KT10&gt;=KV$17,KU10&gt;=KV$21,KT10&lt;&gt;""),AND(LQ10&gt;=LV$17,LR10&gt;=LV$21,LQ10&lt;&gt;""),AND(LT10&gt;=LV$17,LU10&gt;=LV$21,LT10&lt;&gt;""),AND(MQ10&gt;=MV$17,MR10&gt;=MV$21,MQ10&lt;&gt;""),AND(MT10&gt;=MV$17,MU10&gt;=MV$21,MT10&lt;&gt;""),AND(NQ10&gt;=NV$17,NR10&gt;=NV$21,NQ10&lt;&gt;""),AND(NT10&gt;=NV$17,NU10&gt;=NV$21,NT10&lt;&gt;""),AND(OQ10&gt;=OV$17,OR10&gt;=OV$21,OQ10&lt;&gt;""),AND(OT10&gt;=OV$17,OU10&gt;=OV$21,OT10&lt;&gt;"")),"Merit",IF(OR(AND(AM10&gt;=AR$16,AN10&gt;=AR$20,AM10&lt;&gt;"",AL10=""),AND(AP10&gt;=AR$16,AQ10&gt;=AR$20,AP10&lt;&gt;"",AL10=""),AND(BN10&gt;=BS$16,BO10&gt;=BS$20,BN10&lt;&gt;"",BM10=""),AND(BQ10&gt;=BS$16,BR10&gt;=BS$20,BQ10&lt;&gt;"",BM10=""),AND(CO10&gt;=CT$16,CP10&gt;=CT$20,CO10&lt;&gt;"",CN10=""),AND(CR10&gt;=CT$16,CS10&gt;=CT$20,CR10&lt;&gt;""),AND(DQ10&gt;=DV$16,DR10&gt;=DV$20,DQ10&lt;&gt;""),AND(DT10&gt;=DV$16,DU10&gt;=DV$20,DT10&lt;&gt;""),AND(EQ10&gt;=EV$16,ER10&gt;=EV$20,EQ10&lt;&gt;""),AND(ET10&gt;=EV$16,EU10&gt;=EV$20,ET10&lt;&gt;""),AND(FQ10&gt;=FV$16,FR10&gt;=FV$20,FQ10&lt;&gt;""),AND(FT10&gt;=FV$16,FU10&gt;=FV$20,FT10&lt;&gt;""),AND(GQ10&gt;=GV$16,GR10&gt;=GV$20,GQ10&lt;&gt;""),AND(GT10&gt;=GV$16,GU10&gt;=GV$20,GT10&lt;&gt;""),AND(HQ10&gt;=HV$16,HR10&gt;=HV$20,HQ10&lt;&gt;""),AND(HT10&gt;=HV$16,HU10&gt;=HV$20,HT10&lt;&gt;""),AND(IQ10&gt;=IV$16,IR10&gt;=IV$20,IQ10&lt;&gt;""),AND(IT10&gt;=IV$16,IU10&gt;=IV$20,IT10&lt;&gt;""),AND(JQ10&gt;=JV$16,JR10&gt;=JV$20,JQ10&lt;&gt;""),AND(JT10&gt;=JV$16,JU10&gt;=JV$20,JT10&lt;&gt;""),AND(KQ10&gt;=KV$16,KR10&gt;=KV$20,KQ10&lt;&gt;""),AND(KT10&gt;=KV$16,KU10&gt;=KV$20,KT10&lt;&gt;""),AND(LQ10&gt;=LV$16,LR10&gt;=LV$20,LQ10&lt;&gt;""),AND(LT10&gt;=LV$16,LU10&gt;=LV$20,LT10&lt;&gt;""),AND(MQ10&gt;=MV$16,MR10&gt;=MV$20,MQ10&lt;&gt;""),AND(MT10&gt;=MV$16,MU10&gt;=MV$20,MT10&lt;&gt;""),AND(NQ10&gt;=NV$16,NR10&gt;=NV$20,NQ10&lt;&gt;""),AND(NT10&gt;=NV$16,NU10&gt;=NV$20,NT10&lt;&gt;""),AND(OQ10&gt;=OV$16,OR10&gt;=OV$20,OQ10&lt;&gt;""),AND(OT10&gt;=OV$16,OU10&gt;=OV$20,OT10&lt;&gt;"")),"Excellence",IF(F10="P","National Team",""))))</f>
        <v>Excellence</v>
      </c>
      <c r="I10" s="9">
        <f>IF(COUNT(AN10,BO10,CP10)&gt;0,LARGE((AN10,BO10,CP10),1),0)</f>
        <v>48.199999999999996</v>
      </c>
      <c r="J10" s="9" t="str">
        <f>IF(I10=0,"",IF(I10=CP10,$BT$1,IF(I10=BO10,$AS$1,IF(I10=AN10,$R$1,""))))</f>
        <v>2023 Elite Canada</v>
      </c>
      <c r="K10" s="9">
        <f>IF(COUNT(AN10,BO10,CP10)&gt;1,LARGE((AN10,BO10,CP10),2),0)</f>
        <v>48</v>
      </c>
      <c r="L10" s="9" t="str">
        <f>IF(K10=0,"",IF(K10=CP10,$BT$1,IF(K10=BO10,$AS$1,IF(K10=AN10,$R$1,""))))</f>
        <v>2023 3rd Domestic Trial</v>
      </c>
      <c r="M10" s="9">
        <f>IF(MAX(AQ10,BR10,CS10)&gt;0,MAX(AQ10,BR10,CS10),0)</f>
        <v>47.1</v>
      </c>
      <c r="N10" s="9" t="str">
        <f>IF(M10=0,"",IF(M10=CS10,$BT$1,IF(M10=BR10,$AS$1,IF(M10=AQ10,$R$1,""))))</f>
        <v>2023 Elite Canada</v>
      </c>
      <c r="O10" s="9" t="str">
        <f>IF(MAX(CU10:CV10)&gt;0,MAX(CU10:CV10),"")</f>
        <v/>
      </c>
      <c r="P10" s="14" t="str">
        <f>IF(O10="","",IF(O10=CU10,"("&amp;CU$2&amp;")",IF(O10=CV10,"("&amp;CV$2&amp;")")))</f>
        <v/>
      </c>
      <c r="Q10" s="9" t="str">
        <f>IF(O10="","",IF(O10=CU10,IF(O10+IF(K10="",0,K10)=OR10,$NW$1,IF(O10+IF(K10="",0,K10)=NR10,$MW$1,IF(O10+IF(K10="",0,K10)=MR10,$LW$1,IF(O10+IF(K10="",0,K10)=LR10,$KW$1,IF(O10+IF(K10="",0,K10)=KR10,$JW$1,IF(O10+IF(K10="",0,K10)=JR10,$IW$1,IF(O10+IF(K10="",0,K10)=IR10,$HW$1,IF(O10+IF(K10="",0,K10)=HR10,$GW$1,IF(O10+IF(K10="",0,K10)=GR10,$FW$1,IF(O10+IF(K10="",0,K10)=FR10,$EW$1,IF(O10+IF(K10="",0,K10)=ER10,$DW$1,IF(O10+IF(K10="",0,K10)=DR10,$CW$1)))))))))))),IF(O10=CV10,IF(O10+IF(M10="",0,M10)=OU10,$NW$1,IF(O10+IF(M10="",0,M10)=NU10,$MW$1,IF(O10+IF(M10="",0,M10)=MU10,$LW$1,IF(O10+IF(M10="",0,M10)=LU10,$KW$1,IF(O10+IF(M10="",0,M10)=KU10,$JW$1,IF(O10+IF(M10="",0,M10)=JU10,$IW$1,IF(O10+IF(M10="",0,M10)=IU10,$HW$1,IF(O10+IF(M10="",0,M10)=HU10,$GW$1,IF(O10+IF(M10="",0,M10)=GU10,$FW$1,IF(O10+IF(M10="",0,M10)=FU10,$EW$1,IF(O10+IF(M10="",0,M10)=EU10,$DW$1,IF(O10+IF(M10="",0,M10)=DU10,$CW$1)))))))))))))))</f>
        <v/>
      </c>
      <c r="R10" s="20">
        <v>18.600000000000001</v>
      </c>
      <c r="S10" s="20">
        <v>6</v>
      </c>
      <c r="T10" s="20">
        <v>0.2</v>
      </c>
      <c r="U10" s="20">
        <v>0</v>
      </c>
      <c r="V10" s="20">
        <v>18.2</v>
      </c>
      <c r="W10" s="20">
        <v>5.6</v>
      </c>
      <c r="X10" s="20">
        <v>0</v>
      </c>
      <c r="Y10" s="20">
        <v>0</v>
      </c>
      <c r="Z10" s="20">
        <v>18.5</v>
      </c>
      <c r="AA10" s="20">
        <v>5.0999999999999996</v>
      </c>
      <c r="AB10" s="20">
        <v>0.8</v>
      </c>
      <c r="AC10" s="20">
        <v>0</v>
      </c>
      <c r="AD10" s="20">
        <v>18.600000000000001</v>
      </c>
      <c r="AE10" s="20">
        <v>6</v>
      </c>
      <c r="AF10" s="20">
        <v>0.2</v>
      </c>
      <c r="AG10" s="20">
        <v>0</v>
      </c>
      <c r="AH10" s="20">
        <v>17.899999999999999</v>
      </c>
      <c r="AI10" s="20">
        <v>5.6</v>
      </c>
      <c r="AJ10" s="20">
        <v>0.8</v>
      </c>
      <c r="AK10" s="20">
        <v>0</v>
      </c>
      <c r="AL10" s="32"/>
      <c r="AM10" s="55">
        <f>IF(SUM(S10,W10)&gt;0,SUM(S10,W10),"")</f>
        <v>11.6</v>
      </c>
      <c r="AN10" s="55">
        <f>IF(SUM(R10:S10,U10:W10,Y10)-T10-X10&gt;0,SUM(R10:S10,U10:W10,Y10)-T10-X10,"")</f>
        <v>48.199999999999996</v>
      </c>
      <c r="AO10" s="55">
        <f>IF(SUM(Z10:AA10,AC10)-AB10&gt;0,SUM(Z10:AA10,AC10)-AB10,"")</f>
        <v>22.8</v>
      </c>
      <c r="AP10" s="55">
        <f>IF(SUM(AE10,AI10)&gt;0,SUM(AE10,AI10),"")</f>
        <v>11.6</v>
      </c>
      <c r="AQ10" s="55">
        <f>IF(SUM(AD10:AE10,AG10:AI10,AK10)-SUM(AF10,AJ10)&gt;0,SUM(AD10:AE10,AG10:AI10,AK10)-SUM(AF10,AJ10),"")</f>
        <v>47.1</v>
      </c>
      <c r="AR10" s="55">
        <f>IF(SUM(AN10,AO10,AQ10)&gt;0,SUM(AN10,AO10,AQ10),"")</f>
        <v>118.1</v>
      </c>
      <c r="AS10" s="19">
        <v>17.600000000000001</v>
      </c>
      <c r="AT10" s="19">
        <v>2.4</v>
      </c>
      <c r="AU10" s="19">
        <v>0</v>
      </c>
      <c r="AV10" s="19">
        <v>0</v>
      </c>
      <c r="AW10" s="19">
        <v>18</v>
      </c>
      <c r="AX10" s="19">
        <v>6.4</v>
      </c>
      <c r="AY10" s="19">
        <v>0.8</v>
      </c>
      <c r="AZ10" s="19">
        <v>0</v>
      </c>
      <c r="BA10" s="19">
        <v>18.600000000000001</v>
      </c>
      <c r="BB10" s="19">
        <v>4.3</v>
      </c>
      <c r="BC10" s="19">
        <v>0.2</v>
      </c>
      <c r="BD10" s="19">
        <v>0</v>
      </c>
      <c r="BE10" s="19">
        <v>18</v>
      </c>
      <c r="BF10" s="19">
        <v>5.6</v>
      </c>
      <c r="BG10" s="19">
        <v>0.2</v>
      </c>
      <c r="BH10" s="19">
        <v>0</v>
      </c>
      <c r="BI10" s="19">
        <v>16.600000000000001</v>
      </c>
      <c r="BJ10" s="19">
        <v>6</v>
      </c>
      <c r="BK10" s="19">
        <v>0.8</v>
      </c>
      <c r="BL10" s="19">
        <v>0</v>
      </c>
      <c r="BM10" s="33"/>
      <c r="BN10" s="14">
        <f>IF(SUM(AT10,AX10)&gt;0,SUM(AT10,AX10),"")</f>
        <v>8.8000000000000007</v>
      </c>
      <c r="BO10" s="14">
        <f>IF(SUM(AS10:AT10,AV10:AX10,AZ10)-AU10-AY10&gt;0,SUM(AS10:AT10,AV10:AX10,AZ10)-AU10-AY10,"")</f>
        <v>43.6</v>
      </c>
      <c r="BP10" s="14">
        <f>IF(SUM(BA10:BB10,BD10)-BC10&gt;0,SUM(BA10:BB10,BD10)-BC10,"")</f>
        <v>22.700000000000003</v>
      </c>
      <c r="BQ10" s="14">
        <f>IF(SUM(BF10,BJ10)&gt;0,SUM(BF10,BJ10),"")</f>
        <v>11.6</v>
      </c>
      <c r="BR10" s="14">
        <f>IF(SUM(BE10:BF10,BH10:BJ10,BL10)-SUM(BG10,BK10)&gt;0,SUM(BE10:BF10,BH10:BJ10,BL10)-SUM(BG10,BK10),"")</f>
        <v>45.2</v>
      </c>
      <c r="BS10" s="14">
        <f>IF(SUM(BO10,BP10,BR10)&gt;0,SUM(BO10,BP10,BR10),"")</f>
        <v>111.50000000000001</v>
      </c>
      <c r="BT10" s="20">
        <v>18.8</v>
      </c>
      <c r="BU10" s="20">
        <v>5.1999999999999993</v>
      </c>
      <c r="BV10" s="20">
        <v>0</v>
      </c>
      <c r="BW10" s="20">
        <v>0</v>
      </c>
      <c r="BX10" s="20">
        <v>18</v>
      </c>
      <c r="BY10" s="20">
        <v>6</v>
      </c>
      <c r="BZ10" s="20">
        <v>0</v>
      </c>
      <c r="CA10" s="20">
        <v>0</v>
      </c>
      <c r="CB10" s="20">
        <v>18.600000000000001</v>
      </c>
      <c r="CC10" s="20">
        <v>1.2999999999999998</v>
      </c>
      <c r="CD10" s="20">
        <v>3.6</v>
      </c>
      <c r="CE10" s="20">
        <v>0</v>
      </c>
      <c r="CF10" s="20">
        <v>18.8</v>
      </c>
      <c r="CG10" s="20">
        <v>5.1999999999999993</v>
      </c>
      <c r="CH10" s="20">
        <v>0.8</v>
      </c>
      <c r="CI10" s="20">
        <v>0</v>
      </c>
      <c r="CJ10" s="20">
        <v>17.100000000000001</v>
      </c>
      <c r="CK10" s="20">
        <v>3.2</v>
      </c>
      <c r="CL10" s="20">
        <v>0</v>
      </c>
      <c r="CM10" s="20">
        <v>0</v>
      </c>
      <c r="CN10" s="32"/>
      <c r="CO10" s="55">
        <f>IF(SUM(BU10,BY10)&gt;0,SUM(BU10,BY10),"")</f>
        <v>11.2</v>
      </c>
      <c r="CP10" s="55">
        <f>IF(SUM(BT10:BU10,BW10:BY10,CA10)-BV10-BZ10&gt;0,SUM(BT10:BU10,BW10:BY10,CA10)-BV10-BZ10,"")</f>
        <v>48</v>
      </c>
      <c r="CQ10" s="55">
        <f>IF(SUM(CB10:CC10,CE10)-CD10&gt;0,SUM(CB10:CC10,CE10)-CD10,"")</f>
        <v>16.3</v>
      </c>
      <c r="CR10" s="55">
        <f>IF(SUM(CG10,CK10)&gt;0,SUM(CG10,CK10),"")</f>
        <v>8.3999999999999986</v>
      </c>
      <c r="CS10" s="55">
        <f>IF(SUM(CF10:CG10,CI10:CK10,CM10)-SUM(CH10,CL10)&gt;0,SUM(CF10:CG10,CI10:CK10,CM10)-SUM(CH10,CL10),"")</f>
        <v>43.500000000000007</v>
      </c>
      <c r="CT10" s="55">
        <f>IF(SUM(CP10,CQ10,CS10)&gt;0,SUM(CP10,CQ10,CS10),"")</f>
        <v>107.80000000000001</v>
      </c>
      <c r="CU10" s="56" t="str">
        <f>IF(MAX(DR10,ER10,FR10,GR10,HR10,IR10,JR10,KR10,LR10,MR10,NR10,OR10)-IF(K10="",0,K10)&gt;0.001,MAX(DR10,ER10,FR10,GR10,HR10,IR10,JR10,KR10,LR10,MR10,NR10,OR10)-IF(K10="",0,K10),"")</f>
        <v/>
      </c>
      <c r="CV10" s="56" t="str">
        <f>IF(MAX(DU10,EU10,FU10,GU10,HU10,IU10,JU10,KU10,LU10,MU10,NU10,OU10)-IF(M10="",0,M10)&gt;0.001,MAX(DU10,EU10,FU10,GU10,HU10,IU10,JU10,KU10,LU10,MU10,NU10,OU10)-IF(M10="",0,M10),"")</f>
        <v/>
      </c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55" t="str">
        <f>IF(SUM(CX10,DB10)&gt;0,SUM(CX10,DB10),"")</f>
        <v/>
      </c>
      <c r="DR10" s="55" t="str">
        <f>IF(SUM(CW10:CX10,CZ10:DB10,DD10)-CY10-DC10&gt;0,SUM(CW10:CX10,CZ10:DB10,DD10)-CY10-DC10,"")</f>
        <v/>
      </c>
      <c r="DS10" s="55" t="str">
        <f>IF(SUM(DE10:DF10,DH10)-DG10&gt;0,SUM(DE10:DF10,DH10)-DG10,"")</f>
        <v/>
      </c>
      <c r="DT10" s="55" t="str">
        <f>IF(SUM(DJ10,DN10)&gt;0,SUM(DJ10,DN10),"")</f>
        <v/>
      </c>
      <c r="DU10" s="55" t="str">
        <f>IF(SUM(DI10:DJ10,DL10:DN10,DP10)-SUM(DK10,DO10)&gt;0,SUM(DI10:DJ10,DL10:DN10,DP10)-SUM(DK10,DO10),"")</f>
        <v/>
      </c>
      <c r="DV10" s="55" t="str">
        <f>IF(SUM(DR10,DS10,DU10)&gt;0,SUM(DR10,DS10,DU10),"")</f>
        <v/>
      </c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4" t="str">
        <f>IF(SUM(DX10,EB10)&gt;0,SUM(DX10,EB10),"")</f>
        <v/>
      </c>
      <c r="ER10" s="14" t="str">
        <f>IF(SUM(DW10:DX10,DZ10:EB10,ED10)-DY10-EC10&gt;0,SUM(DW10:DX10,DZ10:EB10,ED10)-DY10-EC10,"")</f>
        <v/>
      </c>
      <c r="ES10" s="14" t="str">
        <f>IF(SUM(EE10:EF10,EH10)-EG10&gt;0,SUM(EE10:EF10,EH10)-EG10,"")</f>
        <v/>
      </c>
      <c r="ET10" s="14" t="str">
        <f>IF(SUM(EJ10,EN10)&gt;0,SUM(EJ10,EN10),"")</f>
        <v/>
      </c>
      <c r="EU10" s="14" t="str">
        <f>IF(SUM(EI10:EJ10,EL10:EN10,EP10)-SUM(EK10,EO10)&gt;0,SUM(EI10:EJ10,EL10:EN10,EP10)-SUM(EK10,EO10),"")</f>
        <v/>
      </c>
      <c r="EV10" s="14" t="str">
        <f>IF(SUM(ER10,ES10,EU10)&gt;0,SUM(ER10,ES10,EU10),"")</f>
        <v/>
      </c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55" t="str">
        <f>IF(SUM(EX10,FB10)&gt;0,SUM(EX10,FB10),"")</f>
        <v/>
      </c>
      <c r="FR10" s="55" t="str">
        <f>IF(SUM(EW10:EX10,EZ10:FB10,FD10)-EY10-FC10&gt;0,SUM(EW10:EX10,EZ10:FB10,FD10)-EY10-FC10,"")</f>
        <v/>
      </c>
      <c r="FS10" s="55" t="str">
        <f>IF(SUM(FE10:FF10,FH10)-FG10&gt;0,SUM(FE10:FF10,FH10)-FG10,"")</f>
        <v/>
      </c>
      <c r="FT10" s="55" t="str">
        <f>IF(SUM(FJ10,FN10)&gt;0,SUM(FJ10,FN10),"")</f>
        <v/>
      </c>
      <c r="FU10" s="55" t="str">
        <f>IF(SUM(FI10:FJ10,FL10:FN10,FP10)-SUM(FK10,FO10)&gt;0,SUM(FI10:FJ10,FL10:FN10,FP10)-SUM(FK10,FO10),"")</f>
        <v/>
      </c>
      <c r="FV10" s="55" t="str">
        <f>IF(SUM(FR10,FS10,FU10)&gt;0,SUM(FR10,FS10,FU10),"")</f>
        <v/>
      </c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4" t="str">
        <f>IF(SUM(FX10,GB10)&gt;0,SUM(FX10,GB10),"")</f>
        <v/>
      </c>
      <c r="GR10" s="14" t="str">
        <f>IF(SUM(FW10:FX10,FZ10:GB10,GD10)-FY10-GC10&gt;0,SUM(FW10:FX10,FZ10:GB10,GD10)-FY10-GC10,"")</f>
        <v/>
      </c>
      <c r="GS10" s="14" t="str">
        <f>IF(SUM(GE10:GF10,GH10)-GG10&gt;0,SUM(GE10:GF10,GH10)-GG10,"")</f>
        <v/>
      </c>
      <c r="GT10" s="14" t="str">
        <f>IF(SUM(GJ10,GN10)&gt;0,SUM(GJ10,GN10),"")</f>
        <v/>
      </c>
      <c r="GU10" s="14" t="str">
        <f>IF(SUM(GI10:GJ10,GL10:GN10,GP10)-SUM(GK10,GO10)&gt;0,SUM(GI10:GJ10,GL10:GN10,GP10)-SUM(GK10,GO10),"")</f>
        <v/>
      </c>
      <c r="GV10" s="14" t="str">
        <f>IF(SUM(GR10,GS10,GU10)&gt;0,SUM(GR10,GS10,GU10),"")</f>
        <v/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55" t="str">
        <f>IF(SUM(GX10,HB10)&gt;0,SUM(GX10,HB10),"")</f>
        <v/>
      </c>
      <c r="HR10" s="55" t="str">
        <f>IF(SUM(GW10:GX10,GZ10:HB10,HD10)-GY10-HC10&gt;0,SUM(GW10:GX10,GZ10:HB10,HD10)-GY10-HC10,"")</f>
        <v/>
      </c>
      <c r="HS10" s="55" t="str">
        <f>IF(SUM(HE10:HF10,HH10)-HG10&gt;0,SUM(HE10:HF10,HH10)-HG10,"")</f>
        <v/>
      </c>
      <c r="HT10" s="55" t="str">
        <f>IF(SUM(HJ10,HN10)&gt;0,SUM(HJ10,HN10),"")</f>
        <v/>
      </c>
      <c r="HU10" s="55" t="str">
        <f>IF(SUM(HI10:HJ10,HL10:HN10,HP10)-SUM(HK10,HO10)&gt;0,SUM(HI10:HJ10,HL10:HN10,HP10)-SUM(HK10,HO10),"")</f>
        <v/>
      </c>
      <c r="HV10" s="55" t="str">
        <f>IF(SUM(HR10,HS10,HU10)&gt;0,SUM(HR10,HS10,HU10),"")</f>
        <v/>
      </c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4" t="str">
        <f>IF(SUM(HX10,IB10)&gt;0,SUM(HX10,IB10),"")</f>
        <v/>
      </c>
      <c r="IR10" s="14" t="str">
        <f>IF(SUM(HW10:HX10,HZ10:IB10,ID10)-HY10-IC10&gt;0,SUM(HW10:HX10,HZ10:IB10,ID10)-HY10-IC10,"")</f>
        <v/>
      </c>
      <c r="IS10" s="14" t="str">
        <f>IF(SUM(IE10:IF10,IH10)-IG10&gt;0,SUM(IE10:IF10,IH10)-IG10,"")</f>
        <v/>
      </c>
      <c r="IT10" s="14" t="str">
        <f>IF(SUM(IJ10,IN10)&gt;0,SUM(IJ10,IN10),"")</f>
        <v/>
      </c>
      <c r="IU10" s="14" t="str">
        <f>IF(SUM(II10:IJ10,IL10:IN10,IP10)-SUM(IK10,IO10)&gt;0,SUM(II10:IJ10,IL10:IN10,IP10)-SUM(IK10,IO10),"")</f>
        <v/>
      </c>
      <c r="IV10" s="14" t="str">
        <f>IF(SUM(IR10,IS10,IU10)&gt;0,SUM(IR10,IS10,IU10),"")</f>
        <v/>
      </c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55" t="str">
        <f>IF(SUM(IX10,JB10)&gt;0,SUM(IX10,JB10),"")</f>
        <v/>
      </c>
      <c r="JR10" s="55" t="str">
        <f>IF(SUM(IW10:IX10,IZ10:JB10,JD10)-IY10-JC10&gt;0,SUM(IW10:IX10,IZ10:JB10,JD10)-IY10-JC10,"")</f>
        <v/>
      </c>
      <c r="JS10" s="55" t="str">
        <f>IF(SUM(JE10:JF10,JH10)-JG10&gt;0,SUM(JE10:JF10,JH10)-JG10,"")</f>
        <v/>
      </c>
      <c r="JT10" s="55" t="str">
        <f>IF(SUM(JJ10,JN10)&gt;0,SUM(JJ10,JN10),"")</f>
        <v/>
      </c>
      <c r="JU10" s="55" t="str">
        <f>IF(SUM(JI10:JJ10,JL10:JN10,JP10)-SUM(JK10,JO10)&gt;0,SUM(JI10:JJ10,JL10:JN10,JP10)-SUM(JK10,JO10),"")</f>
        <v/>
      </c>
      <c r="JV10" s="55" t="str">
        <f>IF(SUM(JR10,JS10,JU10)&gt;0,SUM(JR10,JS10,JU10),"")</f>
        <v/>
      </c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4" t="str">
        <f>IF(SUM(JX10,KB10)&gt;0,SUM(JX10,KB10),"")</f>
        <v/>
      </c>
      <c r="KR10" s="14" t="str">
        <f>IF(SUM(JW10:JX10,JZ10:KB10,KD10)-JY10-KC10&gt;0,SUM(JW10:JX10,JZ10:KB10,KD10)-JY10-KC10,"")</f>
        <v/>
      </c>
      <c r="KS10" s="14" t="str">
        <f>IF(SUM(KE10:KF10,KH10)-KG10&gt;0,SUM(KE10:KF10,KH10)-KG10,"")</f>
        <v/>
      </c>
      <c r="KT10" s="14" t="str">
        <f>IF(SUM(KJ10,KN10)&gt;0,SUM(KJ10,KN10),"")</f>
        <v/>
      </c>
      <c r="KU10" s="14" t="str">
        <f>IF(SUM(KI10:KJ10,KL10:KN10,KP10)-SUM(KK10,KO10)&gt;0,SUM(KI10:KJ10,KL10:KN10,KP10)-SUM(KK10,KO10),"")</f>
        <v/>
      </c>
      <c r="KV10" s="14" t="str">
        <f>IF(SUM(KR10,KS10,KU10)&gt;0,SUM(KR10,KS10,KU10),"")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55" t="str">
        <f>IF(SUM(KX10,LB10)&gt;0,SUM(KX10,LB10),"")</f>
        <v/>
      </c>
      <c r="LR10" s="55" t="str">
        <f>IF(SUM(KW10:KX10,KZ10:LB10,LD10)-KY10-LC10&gt;0,SUM(KW10:KX10,KZ10:LB10,LD10)-KY10-LC10,"")</f>
        <v/>
      </c>
      <c r="LS10" s="55" t="str">
        <f>IF(SUM(LE10:LF10,LH10)-LG10&gt;0,SUM(LE10:LF10,LH10)-LG10,"")</f>
        <v/>
      </c>
      <c r="LT10" s="55" t="str">
        <f>IF(SUM(LJ10,LN10)&gt;0,SUM(LJ10,LN10),"")</f>
        <v/>
      </c>
      <c r="LU10" s="55" t="str">
        <f>IF(SUM(LI10:LJ10,LL10:LN10,LP10)-SUM(LK10,LO10)&gt;0,SUM(LI10:LJ10,LL10:LN10,LP10)-SUM(LK10,LO10),"")</f>
        <v/>
      </c>
      <c r="LV10" s="55" t="str">
        <f>IF(SUM(LR10,LS10,LU10)&gt;0,SUM(LR10,LS10,LU10),"")</f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4" t="str">
        <f>IF(SUM(LX10,MB10)&gt;0,SUM(LX10,MB10),"")</f>
        <v/>
      </c>
      <c r="MR10" s="14" t="str">
        <f>IF(SUM(LW10:LX10,LZ10:MB10,MD10)-LY10-MC10&gt;0,SUM(LW10:LX10,LZ10:MB10,MD10)-LY10-MC10,"")</f>
        <v/>
      </c>
      <c r="MS10" s="14" t="str">
        <f>IF(SUM(ME10:MF10,MH10)-MG10&gt;0,SUM(ME10:MF10,MH10)-MG10,"")</f>
        <v/>
      </c>
      <c r="MT10" s="14" t="str">
        <f>IF(SUM(MJ10,MN10)&gt;0,SUM(MJ10,MN10),"")</f>
        <v/>
      </c>
      <c r="MU10" s="14" t="str">
        <f>IF(SUM(MI10:MJ10,ML10:MN10,MP10)-SUM(MK10,MO10)&gt;0,SUM(MI10:MJ10,ML10:MN10,MP10)-SUM(MK10,MO10),"")</f>
        <v/>
      </c>
      <c r="MV10" s="14" t="str">
        <f>IF(SUM(MR10,MS10,MU10)&gt;0,SUM(MR10,MS10,MU10),"")</f>
        <v/>
      </c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55" t="str">
        <f>IF(SUM(MX10,NB10)&gt;0,SUM(MX10,NB10),"")</f>
        <v/>
      </c>
      <c r="NR10" s="55" t="str">
        <f>IF(SUM(MW10:MX10,MZ10:NB10,ND10)-MY10-NC10&gt;0,SUM(MW10:MX10,MZ10:NB10,ND10)-MY10-NC10,"")</f>
        <v/>
      </c>
      <c r="NS10" s="55" t="str">
        <f>IF(SUM(NE10:NF10,NH10)-NG10&gt;0,SUM(NE10:NF10,NH10)-NG10,"")</f>
        <v/>
      </c>
      <c r="NT10" s="55" t="str">
        <f>IF(SUM(NJ10,NN10)&gt;0,SUM(NJ10,NN10),"")</f>
        <v/>
      </c>
      <c r="NU10" s="55" t="str">
        <f>IF(SUM(NI10:NJ10,NL10:NN10,NP10)-SUM(NK10,NO10)&gt;0,SUM(NI10:NJ10,NL10:NN10,NP10)-SUM(NK10,NO10),"")</f>
        <v/>
      </c>
      <c r="NV10" s="55" t="str">
        <f>IF(SUM(NR10,NS10,NU10)&gt;0,SUM(NR10,NS10,NU10),"")</f>
        <v/>
      </c>
      <c r="NW10" s="19"/>
      <c r="NX10" s="19"/>
      <c r="NY10" s="19"/>
      <c r="NZ10" s="19"/>
      <c r="OA10" s="19"/>
      <c r="OB10" s="19"/>
      <c r="OC10" s="19"/>
      <c r="OD10" s="19"/>
      <c r="OE10" s="19"/>
      <c r="OF10" s="19"/>
      <c r="OG10" s="19"/>
      <c r="OH10" s="19"/>
      <c r="OI10" s="19"/>
      <c r="OJ10" s="19"/>
      <c r="OK10" s="19"/>
      <c r="OL10" s="19"/>
      <c r="OM10" s="19"/>
      <c r="ON10" s="19"/>
      <c r="OO10" s="19"/>
      <c r="OP10" s="19"/>
      <c r="OQ10" s="14" t="str">
        <f>IF(SUM(NX10,OB10)&gt;0,SUM(NX10,OB10),"")</f>
        <v/>
      </c>
      <c r="OR10" s="14" t="str">
        <f>IF(SUM(NW10:NX10,NZ10:OB10,OD10)-NY10-OC10&gt;0,SUM(NW10:NX10,NZ10:OB10,OD10)-NY10-OC10,"")</f>
        <v/>
      </c>
      <c r="OS10" s="14" t="str">
        <f>IF(SUM(OE10:OF10,OH10)-OG10&gt;0,SUM(OE10:OF10,OH10)-OG10,"")</f>
        <v/>
      </c>
      <c r="OT10" s="14" t="str">
        <f>IF(SUM(OJ10,ON10)&gt;0,SUM(OJ10,ON10),"")</f>
        <v/>
      </c>
      <c r="OU10" s="14" t="str">
        <f>IF(SUM(OI10:OJ10,OL10:ON10,OP10)-SUM(OK10,OO10)&gt;0,SUM(OI10:OJ10,OL10:ON10,OP10)-SUM(OK10,OO10),"")</f>
        <v/>
      </c>
      <c r="OV10" s="14" t="str">
        <f>IF(SUM(OR10,OS10,OU10)&gt;0,SUM(OR10,OS10,OU10),"")</f>
        <v/>
      </c>
      <c r="OW10" s="27">
        <f>IF($CN10="P",BT10,(BT10+AS10)/2)</f>
        <v>18.200000000000003</v>
      </c>
      <c r="OX10" s="27">
        <f>IF($CN10="P",BU10,(BU10+AT10)/2)</f>
        <v>3.8</v>
      </c>
      <c r="OY10" s="27">
        <f>IF($CN10="P",BV10,(BV10+AU10)/2)</f>
        <v>0</v>
      </c>
      <c r="OZ10" s="27">
        <f>IF($CN10="P",BW10,(BW10+AV10)/2)</f>
        <v>0</v>
      </c>
      <c r="PA10" s="27">
        <f>IF($CN10="P",BX10,(BX10+AW10)/2)</f>
        <v>18</v>
      </c>
      <c r="PB10" s="27">
        <f>IF($CN10="P",BY10,(BY10+AX10)/2)</f>
        <v>6.2</v>
      </c>
      <c r="PC10" s="27">
        <f>IF($CN10="P",BZ10,(BZ10+AY10)/2)</f>
        <v>0.4</v>
      </c>
      <c r="PD10" s="27">
        <f>IF($CN10="P",CA10,(CA10+AZ10)/2)</f>
        <v>0</v>
      </c>
      <c r="PE10" s="27">
        <f>IF($CN10="P",CB10,(CB10+BA10)/2)</f>
        <v>18.600000000000001</v>
      </c>
      <c r="PF10" s="27">
        <f>IF($CN10="P",CC10,(CC10+BB10)/2)</f>
        <v>2.8</v>
      </c>
      <c r="PG10" s="27">
        <f>IF($CN10="P",CD10,(CD10+BC10)/2)</f>
        <v>1.9000000000000001</v>
      </c>
      <c r="PH10" s="27">
        <f>IF($CN10="P",CE10,(CE10+BD10)/2)</f>
        <v>0</v>
      </c>
      <c r="PI10" s="27">
        <f>IF($CN10="P",CF10,(CF10+BE10)/2)</f>
        <v>18.399999999999999</v>
      </c>
      <c r="PJ10" s="27">
        <f>IF($CN10="P",CG10,(CG10+BF10)/2)</f>
        <v>5.3999999999999995</v>
      </c>
      <c r="PK10" s="27">
        <f>IF($CN10="P",CH10,(CH10+BG10)/2)</f>
        <v>0.5</v>
      </c>
      <c r="PL10" s="27">
        <f>IF($CN10="P",CI10,(CI10+BH10)/2)</f>
        <v>0</v>
      </c>
      <c r="PM10" s="27">
        <f>IF($CN10="P",CJ10,(CJ10+BI10)/2)</f>
        <v>16.850000000000001</v>
      </c>
      <c r="PN10" s="27">
        <f>IF($CN10="P",CK10,(CK10+BJ10)/2)</f>
        <v>4.5999999999999996</v>
      </c>
      <c r="PO10" s="27">
        <f>IF($CN10="P",CL10,(CL10+BK10)/2)</f>
        <v>0.4</v>
      </c>
      <c r="PP10" s="27">
        <f>IF($CN10="P",CM10,(CM10+BL10)/2)</f>
        <v>0</v>
      </c>
      <c r="PQ10" s="32" t="s">
        <v>44</v>
      </c>
      <c r="PR10" s="55">
        <f>IF(SUM(OX10,PB10)&gt;0,SUM(OX10,PB10),"")</f>
        <v>10</v>
      </c>
      <c r="PS10" s="55">
        <f>IF(SUM(OW10:OX10,OZ10:PB10,PD10)-OY10-PC10&gt;0,SUM(OW10:OX10,OZ10:PB10,PD10)-OY10-PC10,"")</f>
        <v>45.800000000000004</v>
      </c>
      <c r="PT10" s="55">
        <f>IF(SUM(PE10:PF10,PH10)-PG10&gt;0,SUM(PE10:PF10,PH10)-PG10,"")</f>
        <v>19.500000000000004</v>
      </c>
      <c r="PU10" s="55">
        <f>IF(SUM(PJ10,PN10)&gt;0,SUM(PJ10,PN10),"")</f>
        <v>10</v>
      </c>
      <c r="PV10" s="55">
        <f>IF(SUM(PI10:PJ10,PL10:PN10,PP10)-SUM(PK10,PO10)&gt;0,SUM(PI10:PJ10,PL10:PN10,PP10)-SUM(PK10,PO10),"")</f>
        <v>44.35</v>
      </c>
      <c r="PW10" s="55">
        <f>IF(SUM(PS10,PT10,PV10)&gt;0,SUM(PS10,PT10,PV10),"")</f>
        <v>109.65</v>
      </c>
    </row>
    <row r="11" spans="1:439" x14ac:dyDescent="0.2">
      <c r="A11" s="4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>8</v>
      </c>
      <c r="B11" s="5" t="s">
        <v>96</v>
      </c>
      <c r="C11" s="4" t="s">
        <v>66</v>
      </c>
      <c r="D11" s="4">
        <v>2007</v>
      </c>
      <c r="E11" s="10">
        <f>SUM(I11:O11)+SUM(I11:M11)*0.0000001+SUM(I11)*0.0000000000001</f>
        <v>139.20001392000452</v>
      </c>
      <c r="F11" s="3" t="str">
        <f>IF(OR(AND(AM11&gt;=AR$14,AN11&gt;=AR$18,AM11&lt;&gt;"",AL11=""),AND(AP11&gt;=AR$14,AQ11&gt;=AR$18,AP11&lt;&gt;"",AL11=""),AND(BN11&gt;=BS$14,BO11&gt;=BS$18,BN11&lt;&gt;"",BM11=""),AND(BQ11&gt;=BS$14,BR11&gt;=BS$18,BQ11&lt;&gt;"",BM11=""),AND(CO11&gt;=CT$14,CP11&gt;=CT$18,CO11&lt;&gt;"",CN11=""),AND(CR11&gt;=CT$14,CS11&gt;=CT$18,CR11&lt;&gt;""),AND(DQ11&gt;=DV$14,DR11&gt;=DV$18,DQ11&lt;&gt;""),AND(DT11&gt;=DV$14,DU11&gt;=DV$18,DT11&lt;&gt;""),AND(EQ11&gt;=EV$14,ER11&gt;=EV$18,EQ11&lt;&gt;""),AND(ET11&gt;=EV$14,EU11&gt;=EV$18,ET11&lt;&gt;""),AND(FQ11&gt;=FV$14,FR11&gt;=FV$18,FQ11&lt;&gt;""),AND(FT11&gt;=FV$14,FU11&gt;=FV$18,FT11&lt;&gt;""),AND(GQ11&gt;=GV$14,GR11&gt;=GV$18,GQ11&lt;&gt;""),AND(GT11&gt;=GV$14,GU11&gt;=GV$18,GT11&lt;&gt;""),AND(HQ11&gt;=HV$14,HR11&gt;=HV$18,HQ11&lt;&gt;""),AND(HT11&gt;=HV$14,HU11&gt;=HV$18,HT11&lt;&gt;""),AND(IQ11&gt;=IV$14,IR11&gt;=IV$18,IQ11&lt;&gt;""),AND(IT11&gt;=IV$14,IU11&gt;=IV$18,IT11&lt;&gt;""),AND(JQ11&gt;=JV$14,JR11&gt;=JV$18,JQ11&lt;&gt;""),AND(JT11&gt;=JV$14,JU11&gt;=JV$18,JT11&lt;&gt;""),AND(KQ11&gt;=KV$14,KR11&gt;=KV$18,KQ11&lt;&gt;""),AND(KT11&gt;=KV$14,KU11&gt;=KV$18,KT11&lt;&gt;""),AND(LQ11&gt;=LV$14,LR11&gt;=LV$18,LQ11&lt;&gt;""),AND(LT11&gt;=LV$14,LU11&gt;=LV$18,LT11&lt;&gt;""),AND(MQ11&gt;=MV$14,MR11&gt;=MV$18,MQ11&lt;&gt;""),AND(MT11&gt;=MV$14,MU11&gt;=MV$18,MT11&lt;&gt;""),AND(NQ11&gt;=NV$14,NR11&gt;=NV$18,NQ11&lt;&gt;""),AND(NT11&gt;=NV$14,NU11&gt;=NV$18,NT11&lt;&gt;""),AND(OQ11&gt;=OV$14,OR11&gt;=OV$18,OQ11&lt;&gt;""),AND(OT11&gt;=OV$14,OU11&gt;=OV$18,OT11&lt;&gt;"")),"P","")</f>
        <v>P</v>
      </c>
      <c r="G11" s="3" t="str">
        <f>IF(OR(AND(AN11&gt;=AR$18,AN11&lt;&gt;"",AL11=""),AND(AQ11&gt;=AR$18,AQ11&lt;&gt;"",AL11=""),AND(BO11&gt;=BS$18,BO11&lt;&gt;"",BM11=""),AND(BR11&gt;=BS$18,BR11&lt;&gt;"",BM11=""),AND(CP11&gt;=CT$18,CP11&lt;&gt;"",CN11=""),AND(CS11&gt;=CT$18,CS11&lt;&gt;"",CN11=""),AND(DR11&gt;=DV$18,DR11&lt;&gt;""),AND(DU11&gt;=DV$18,DU11&lt;&gt;""),AND(ER11&gt;=EV$18,ER11&lt;&gt;""),AND(EU11&gt;=EV$18,EU11&lt;&gt;""),AND(FR11&gt;=FV$18,FR11&lt;&gt;""),AND(FU11&gt;=FV$18,FU11&lt;&gt;""),AND(GR11&gt;=GV$18,GR11&lt;&gt;""),AND(GU11&gt;=GV$18,GU11&lt;&gt;""),AND(HR11&gt;=HV$18,HR11&lt;&gt;""),AND(HU11&gt;=HV$18,HU11&lt;&gt;""),AND(IR11&gt;=IV$18,IR11&lt;&gt;""),AND(IU11&gt;=IV$18,IU11&lt;&gt;""),AND(JR11&gt;=JV$18,JR11&lt;&gt;""),AND(JU11&gt;=JV$18,JU11&lt;&gt;""),AND(KR11&gt;=KV$18,KR11&lt;&gt;""),AND(KU11&gt;=KV$18,KU11&lt;&gt;""),AND(LR11&gt;=LV$18,LR11&lt;&gt;""),AND(LU11&gt;=LV$18,LU11&lt;&gt;""),AND(MR11&gt;=MV$18,MR11&lt;&gt;""),AND(MU11&gt;=MV$18,MU11&lt;&gt;""),AND(NR11&gt;=NV$18,NR11&lt;&gt;""),AND(NU11&gt;=NV$18,NU11&lt;&gt;""),AND(OR11&gt;=OV$18,OR11&lt;&gt;""),AND(OU11&gt;=OV$18,OU11&lt;&gt;"")),"P","")</f>
        <v>P</v>
      </c>
      <c r="H11" s="47" t="str">
        <f>IF(AND(G11="P",F11=""),"No DD",IF(OR(AND(AM11&gt;=AR$17,AN11&gt;=AR$21,AM11&lt;&gt;"",AL11=""),AND(AP11&gt;=AR$17,AQ11&gt;=AR$21,AP11&lt;&gt;"",AL11=""),AND(BN11&gt;=BS$17,BO11&gt;=BS$21,BN11&lt;&gt;"",BM11=""),AND(BQ11&gt;=BS$17,BR11&gt;=BS$21,BQ11&lt;&gt;"",BM11=""),AND(CO11&gt;=CT$17,CP11&gt;=CT$21,CO11&lt;&gt;"",CN11=""),AND(CR11&gt;=CT$17,CS11&gt;=CT$21,CR11&lt;&gt;""),AND(DQ11&gt;=DV$17,DR11&gt;=DV$21,DQ11&lt;&gt;""),AND(DT11&gt;=DV$17,DU11&gt;=DV$21,DT11&lt;&gt;""),AND(EQ11&gt;=EV$17,ER11&gt;=EV$21,EQ11&lt;&gt;""),AND(ET11&gt;=EV$17,EU11&gt;=EV$21,ET11&lt;&gt;""),AND(FQ11&gt;=FV$17,FR11&gt;=FV$21,FQ11&lt;&gt;""),AND(FT11&gt;=FV$17,FU11&gt;=FV$21,FT11&lt;&gt;""),AND(GQ11&gt;=GV$17,GR11&gt;=GV$21,GQ11&lt;&gt;""),AND(GT11&gt;=GV$17,GU11&gt;=GV$21,GT11&lt;&gt;""),AND(HQ11&gt;=HV$17,HR11&gt;=HV$21,HQ11&lt;&gt;""),AND(HT11&gt;=HV$17,HU11&gt;=HV$21,HT11&lt;&gt;""),AND(IQ11&gt;=IV$17,IR11&gt;=IV$21,IQ11&lt;&gt;""),AND(IT11&gt;=IV$17,IU11&gt;=IV$21,IT11&lt;&gt;""),AND(JQ11&gt;=JV$17,JR11&gt;=JV$21,JQ11&lt;&gt;""),AND(JT11&gt;=JV$17,JU11&gt;=JV$21,JT11&lt;&gt;""),AND(KQ11&gt;=KV$17,KR11&gt;=KV$21,KQ11&lt;&gt;""),AND(KT11&gt;=KV$17,KU11&gt;=KV$21,KT11&lt;&gt;""),AND(LQ11&gt;=LV$17,LR11&gt;=LV$21,LQ11&lt;&gt;""),AND(LT11&gt;=LV$17,LU11&gt;=LV$21,LT11&lt;&gt;""),AND(MQ11&gt;=MV$17,MR11&gt;=MV$21,MQ11&lt;&gt;""),AND(MT11&gt;=MV$17,MU11&gt;=MV$21,MT11&lt;&gt;""),AND(NQ11&gt;=NV$17,NR11&gt;=NV$21,NQ11&lt;&gt;""),AND(NT11&gt;=NV$17,NU11&gt;=NV$21,NT11&lt;&gt;""),AND(OQ11&gt;=OV$17,OR11&gt;=OV$21,OQ11&lt;&gt;""),AND(OT11&gt;=OV$17,OU11&gt;=OV$21,OT11&lt;&gt;"")),"Merit",IF(OR(AND(AM11&gt;=AR$16,AN11&gt;=AR$20,AM11&lt;&gt;"",AL11=""),AND(AP11&gt;=AR$16,AQ11&gt;=AR$20,AP11&lt;&gt;"",AL11=""),AND(BN11&gt;=BS$16,BO11&gt;=BS$20,BN11&lt;&gt;"",BM11=""),AND(BQ11&gt;=BS$16,BR11&gt;=BS$20,BQ11&lt;&gt;"",BM11=""),AND(CO11&gt;=CT$16,CP11&gt;=CT$20,CO11&lt;&gt;"",CN11=""),AND(CR11&gt;=CT$16,CS11&gt;=CT$20,CR11&lt;&gt;""),AND(DQ11&gt;=DV$16,DR11&gt;=DV$20,DQ11&lt;&gt;""),AND(DT11&gt;=DV$16,DU11&gt;=DV$20,DT11&lt;&gt;""),AND(EQ11&gt;=EV$16,ER11&gt;=EV$20,EQ11&lt;&gt;""),AND(ET11&gt;=EV$16,EU11&gt;=EV$20,ET11&lt;&gt;""),AND(FQ11&gt;=FV$16,FR11&gt;=FV$20,FQ11&lt;&gt;""),AND(FT11&gt;=FV$16,FU11&gt;=FV$20,FT11&lt;&gt;""),AND(GQ11&gt;=GV$16,GR11&gt;=GV$20,GQ11&lt;&gt;""),AND(GT11&gt;=GV$16,GU11&gt;=GV$20,GT11&lt;&gt;""),AND(HQ11&gt;=HV$16,HR11&gt;=HV$20,HQ11&lt;&gt;""),AND(HT11&gt;=HV$16,HU11&gt;=HV$20,HT11&lt;&gt;""),AND(IQ11&gt;=IV$16,IR11&gt;=IV$20,IQ11&lt;&gt;""),AND(IT11&gt;=IV$16,IU11&gt;=IV$20,IT11&lt;&gt;""),AND(JQ11&gt;=JV$16,JR11&gt;=JV$20,JQ11&lt;&gt;""),AND(JT11&gt;=JV$16,JU11&gt;=JV$20,JT11&lt;&gt;""),AND(KQ11&gt;=KV$16,KR11&gt;=KV$20,KQ11&lt;&gt;""),AND(KT11&gt;=KV$16,KU11&gt;=KV$20,KT11&lt;&gt;""),AND(LQ11&gt;=LV$16,LR11&gt;=LV$20,LQ11&lt;&gt;""),AND(LT11&gt;=LV$16,LU11&gt;=LV$20,LT11&lt;&gt;""),AND(MQ11&gt;=MV$16,MR11&gt;=MV$20,MQ11&lt;&gt;""),AND(MT11&gt;=MV$16,MU11&gt;=MV$20,MT11&lt;&gt;""),AND(NQ11&gt;=NV$16,NR11&gt;=NV$20,NQ11&lt;&gt;""),AND(NT11&gt;=NV$16,NU11&gt;=NV$20,NT11&lt;&gt;""),AND(OQ11&gt;=OV$16,OR11&gt;=OV$20,OQ11&lt;&gt;""),AND(OT11&gt;=OV$16,OU11&gt;=OV$20,OT11&lt;&gt;"")),"Excellence",IF(F11="P","National Team",""))))</f>
        <v>Excellence</v>
      </c>
      <c r="I11" s="9">
        <f>IF(COUNT(AN11,BO11,CP11)&gt;0,LARGE((AN11,BO11,CP11),1),0)</f>
        <v>45.5</v>
      </c>
      <c r="J11" s="9" t="str">
        <f>IF(I11=0,"",IF(I11=CP11,$BT$1,IF(I11=BO11,$AS$1,IF(I11=AN11,$R$1,""))))</f>
        <v>2023 Nationals</v>
      </c>
      <c r="K11" s="9">
        <f>IF(COUNT(AN11,BO11,CP11)&gt;1,LARGE((AN11,BO11,CP11),2),0)</f>
        <v>43.4</v>
      </c>
      <c r="L11" s="9" t="str">
        <f>IF(K11=0,"",IF(K11=CP11,$BT$1,IF(K11=BO11,$AS$1,IF(K11=AN11,$R$1,""))))</f>
        <v>2023 3rd Domestic Trial</v>
      </c>
      <c r="M11" s="9">
        <f>IF(MAX(AQ11,BR11,CS11)&gt;0,MAX(AQ11,BR11,CS11),0)</f>
        <v>50.29999999999999</v>
      </c>
      <c r="N11" s="9" t="str">
        <f>IF(M11=0,"",IF(M11=CS11,$BT$1,IF(M11=BR11,$AS$1,IF(M11=AQ11,$R$1,""))))</f>
        <v>2023 3rd Domestic Trial</v>
      </c>
      <c r="O11" s="9" t="str">
        <f>IF(MAX(CU11:CV11)&gt;0,MAX(CU11:CV11),"")</f>
        <v/>
      </c>
      <c r="P11" s="14" t="str">
        <f>IF(O11="","",IF(O11=CU11,"("&amp;CU$2&amp;")",IF(O11=CV11,"("&amp;CV$2&amp;")")))</f>
        <v/>
      </c>
      <c r="Q11" s="9" t="str">
        <f>IF(O11="","",IF(O11=CU11,IF(O11+IF(K11="",0,K11)=OR11,$NW$1,IF(O11+IF(K11="",0,K11)=NR11,$MW$1,IF(O11+IF(K11="",0,K11)=MR11,$LW$1,IF(O11+IF(K11="",0,K11)=LR11,$KW$1,IF(O11+IF(K11="",0,K11)=KR11,$JW$1,IF(O11+IF(K11="",0,K11)=JR11,$IW$1,IF(O11+IF(K11="",0,K11)=IR11,$HW$1,IF(O11+IF(K11="",0,K11)=HR11,$GW$1,IF(O11+IF(K11="",0,K11)=GR11,$FW$1,IF(O11+IF(K11="",0,K11)=FR11,$EW$1,IF(O11+IF(K11="",0,K11)=ER11,$DW$1,IF(O11+IF(K11="",0,K11)=DR11,$CW$1)))))))))))),IF(O11=CV11,IF(O11+IF(M11="",0,M11)=OU11,$NW$1,IF(O11+IF(M11="",0,M11)=NU11,$MW$1,IF(O11+IF(M11="",0,M11)=MU11,$LW$1,IF(O11+IF(M11="",0,M11)=LU11,$KW$1,IF(O11+IF(M11="",0,M11)=KU11,$JW$1,IF(O11+IF(M11="",0,M11)=JU11,$IW$1,IF(O11+IF(M11="",0,M11)=IU11,$HW$1,IF(O11+IF(M11="",0,M11)=HU11,$GW$1,IF(O11+IF(M11="",0,M11)=GU11,$FW$1,IF(O11+IF(M11="",0,M11)=FU11,$EW$1,IF(O11+IF(M11="",0,M11)=EU11,$DW$1,IF(O11+IF(M11="",0,M11)=DU11,$CW$1)))))))))))))))</f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32"/>
      <c r="AM11" s="55" t="str">
        <f>IF(SUM(S11,W11)&gt;0,SUM(S11,W11),"")</f>
        <v/>
      </c>
      <c r="AN11" s="55" t="str">
        <f>IF(SUM(R11:S11,U11:W11,Y11)-T11-X11&gt;0,SUM(R11:S11,U11:W11,Y11)-T11-X11,"")</f>
        <v/>
      </c>
      <c r="AO11" s="55" t="str">
        <f>IF(SUM(Z11:AA11,AC11)-AB11&gt;0,SUM(Z11:AA11,AC11)-AB11,"")</f>
        <v/>
      </c>
      <c r="AP11" s="55" t="str">
        <f>IF(SUM(AE11,AI11)&gt;0,SUM(AE11,AI11),"")</f>
        <v/>
      </c>
      <c r="AQ11" s="55" t="str">
        <f>IF(SUM(AD11:AE11,AG11:AI11,AK11)-SUM(AF11,AJ11)&gt;0,SUM(AD11:AE11,AG11:AI11,AK11)-SUM(AF11,AJ11),"")</f>
        <v/>
      </c>
      <c r="AR11" s="55" t="str">
        <f>IF(SUM(AN11,AO11,AQ11)&gt;0,SUM(AN11,AO11,AQ11),"")</f>
        <v/>
      </c>
      <c r="AS11" s="19">
        <v>16.399999999999999</v>
      </c>
      <c r="AT11" s="19">
        <v>6.4</v>
      </c>
      <c r="AU11" s="19">
        <v>1</v>
      </c>
      <c r="AV11" s="19">
        <v>0</v>
      </c>
      <c r="AW11" s="19">
        <v>18.5</v>
      </c>
      <c r="AX11" s="19">
        <v>6</v>
      </c>
      <c r="AY11" s="19">
        <v>0.8</v>
      </c>
      <c r="AZ11" s="19">
        <v>0</v>
      </c>
      <c r="BA11" s="19">
        <v>18.399999999999999</v>
      </c>
      <c r="BB11" s="19">
        <v>6</v>
      </c>
      <c r="BC11" s="19">
        <v>0.8</v>
      </c>
      <c r="BD11" s="19">
        <v>0</v>
      </c>
      <c r="BE11" s="19">
        <v>16.600000000000001</v>
      </c>
      <c r="BF11" s="19">
        <v>7.2</v>
      </c>
      <c r="BG11" s="19">
        <v>0.8</v>
      </c>
      <c r="BH11" s="19">
        <v>0</v>
      </c>
      <c r="BI11" s="19">
        <v>19.100000000000001</v>
      </c>
      <c r="BJ11" s="19">
        <v>6</v>
      </c>
      <c r="BK11" s="19">
        <v>0</v>
      </c>
      <c r="BL11" s="19">
        <v>0</v>
      </c>
      <c r="BM11" s="33"/>
      <c r="BN11" s="14">
        <f>IF(SUM(AT11,AX11)&gt;0,SUM(AT11,AX11),"")</f>
        <v>12.4</v>
      </c>
      <c r="BO11" s="14">
        <f>IF(SUM(AS11:AT11,AV11:AX11,AZ11)-AU11-AY11&gt;0,SUM(AS11:AT11,AV11:AX11,AZ11)-AU11-AY11,"")</f>
        <v>45.5</v>
      </c>
      <c r="BP11" s="14">
        <f>IF(SUM(BA11:BB11,BD11)-BC11&gt;0,SUM(BA11:BB11,BD11)-BC11,"")</f>
        <v>23.599999999999998</v>
      </c>
      <c r="BQ11" s="14">
        <f>IF(SUM(BF11,BJ11)&gt;0,SUM(BF11,BJ11),"")</f>
        <v>13.2</v>
      </c>
      <c r="BR11" s="14">
        <f>IF(SUM(BE11:BF11,BH11:BJ11,BL11)-SUM(BG11,BK11)&gt;0,SUM(BE11:BF11,BH11:BJ11,BL11)-SUM(BG11,BK11),"")</f>
        <v>48.100000000000009</v>
      </c>
      <c r="BS11" s="14">
        <f>IF(SUM(BO11,BP11,BR11)&gt;0,SUM(BO11,BP11,BR11),"")</f>
        <v>117.2</v>
      </c>
      <c r="BT11" s="20">
        <v>16.7</v>
      </c>
      <c r="BU11" s="20">
        <v>3.4</v>
      </c>
      <c r="BV11" s="20">
        <v>1.7000000000000002</v>
      </c>
      <c r="BW11" s="20">
        <v>0</v>
      </c>
      <c r="BX11" s="20">
        <v>18.8</v>
      </c>
      <c r="BY11" s="20">
        <v>6.8000000000000007</v>
      </c>
      <c r="BZ11" s="20">
        <v>0.6</v>
      </c>
      <c r="CA11" s="20">
        <v>0</v>
      </c>
      <c r="CB11" s="20">
        <v>18.600000000000001</v>
      </c>
      <c r="CC11" s="20">
        <v>6</v>
      </c>
      <c r="CD11" s="20">
        <v>0</v>
      </c>
      <c r="CE11" s="20">
        <v>0</v>
      </c>
      <c r="CF11" s="20">
        <v>18.399999999999999</v>
      </c>
      <c r="CG11" s="20">
        <v>7.2</v>
      </c>
      <c r="CH11" s="20">
        <v>0</v>
      </c>
      <c r="CI11" s="20">
        <v>0</v>
      </c>
      <c r="CJ11" s="20">
        <v>18.5</v>
      </c>
      <c r="CK11" s="20">
        <v>6.8000000000000007</v>
      </c>
      <c r="CL11" s="20">
        <v>0.6</v>
      </c>
      <c r="CM11" s="20">
        <v>0</v>
      </c>
      <c r="CN11" s="32"/>
      <c r="CO11" s="55">
        <f>IF(SUM(BU11,BY11)&gt;0,SUM(BU11,BY11),"")</f>
        <v>10.200000000000001</v>
      </c>
      <c r="CP11" s="55">
        <f>IF(SUM(BT11:BU11,BW11:BY11,CA11)-BV11-BZ11&gt;0,SUM(BT11:BU11,BW11:BY11,CA11)-BV11-BZ11,"")</f>
        <v>43.4</v>
      </c>
      <c r="CQ11" s="55">
        <f>IF(SUM(CB11:CC11,CE11)-CD11&gt;0,SUM(CB11:CC11,CE11)-CD11,"")</f>
        <v>24.6</v>
      </c>
      <c r="CR11" s="55">
        <f>IF(SUM(CG11,CK11)&gt;0,SUM(CG11,CK11),"")</f>
        <v>14</v>
      </c>
      <c r="CS11" s="55">
        <f>IF(SUM(CF11:CG11,CI11:CK11,CM11)-SUM(CH11,CL11)&gt;0,SUM(CF11:CG11,CI11:CK11,CM11)-SUM(CH11,CL11),"")</f>
        <v>50.29999999999999</v>
      </c>
      <c r="CT11" s="55">
        <f>IF(SUM(CP11,CQ11,CS11)&gt;0,SUM(CP11,CQ11,CS11),"")</f>
        <v>118.29999999999998</v>
      </c>
      <c r="CU11" s="56" t="str">
        <f>IF(MAX(DR11,ER11,FR11,GR11,HR11,IR11,JR11,KR11,LR11,MR11,NR11,OR11)-IF(K11="",0,K11)&gt;0.001,MAX(DR11,ER11,FR11,GR11,HR11,IR11,JR11,KR11,LR11,MR11,NR11,OR11)-IF(K11="",0,K11),"")</f>
        <v/>
      </c>
      <c r="CV11" s="56" t="str">
        <f>IF(MAX(DU11,EU11,FU11,GU11,HU11,IU11,JU11,KU11,LU11,MU11,NU11,OU11)-IF(M11="",0,M11)&gt;0.001,MAX(DU11,EU11,FU11,GU11,HU11,IU11,JU11,KU11,LU11,MU11,NU11,OU11)-IF(M11="",0,M11),"")</f>
        <v/>
      </c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55" t="str">
        <f>IF(SUM(CX11,DB11)&gt;0,SUM(CX11,DB11),"")</f>
        <v/>
      </c>
      <c r="DR11" s="55" t="str">
        <f>IF(SUM(CW11:CX11,CZ11:DB11,DD11)-CY11-DC11&gt;0,SUM(CW11:CX11,CZ11:DB11,DD11)-CY11-DC11,"")</f>
        <v/>
      </c>
      <c r="DS11" s="55" t="str">
        <f>IF(SUM(DE11:DF11,DH11)-DG11&gt;0,SUM(DE11:DF11,DH11)-DG11,"")</f>
        <v/>
      </c>
      <c r="DT11" s="55" t="str">
        <f>IF(SUM(DJ11,DN11)&gt;0,SUM(DJ11,DN11),"")</f>
        <v/>
      </c>
      <c r="DU11" s="55" t="str">
        <f>IF(SUM(DI11:DJ11,DL11:DN11,DP11)-SUM(DK11,DO11)&gt;0,SUM(DI11:DJ11,DL11:DN11,DP11)-SUM(DK11,DO11),"")</f>
        <v/>
      </c>
      <c r="DV11" s="55" t="str">
        <f>IF(SUM(DR11,DS11,DU11)&gt;0,SUM(DR11,DS11,DU11),"")</f>
        <v/>
      </c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4" t="str">
        <f>IF(SUM(DX11,EB11)&gt;0,SUM(DX11,EB11),"")</f>
        <v/>
      </c>
      <c r="ER11" s="14" t="str">
        <f>IF(SUM(DW11:DX11,DZ11:EB11,ED11)-DY11-EC11&gt;0,SUM(DW11:DX11,DZ11:EB11,ED11)-DY11-EC11,"")</f>
        <v/>
      </c>
      <c r="ES11" s="14" t="str">
        <f>IF(SUM(EE11:EF11,EH11)-EG11&gt;0,SUM(EE11:EF11,EH11)-EG11,"")</f>
        <v/>
      </c>
      <c r="ET11" s="14" t="str">
        <f>IF(SUM(EJ11,EN11)&gt;0,SUM(EJ11,EN11),"")</f>
        <v/>
      </c>
      <c r="EU11" s="14" t="str">
        <f>IF(SUM(EI11:EJ11,EL11:EN11,EP11)-SUM(EK11,EO11)&gt;0,SUM(EI11:EJ11,EL11:EN11,EP11)-SUM(EK11,EO11),"")</f>
        <v/>
      </c>
      <c r="EV11" s="14" t="str">
        <f>IF(SUM(ER11,ES11,EU11)&gt;0,SUM(ER11,ES11,EU11),"")</f>
        <v/>
      </c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>
        <v>18.8</v>
      </c>
      <c r="FJ11" s="18">
        <v>6</v>
      </c>
      <c r="FK11" s="18">
        <v>0.2</v>
      </c>
      <c r="FL11" s="18">
        <v>0</v>
      </c>
      <c r="FM11" s="18">
        <v>18.2</v>
      </c>
      <c r="FN11" s="18">
        <v>7.2</v>
      </c>
      <c r="FO11" s="18">
        <v>0.2</v>
      </c>
      <c r="FP11" s="18">
        <v>0</v>
      </c>
      <c r="FQ11" s="55" t="str">
        <f>IF(SUM(EX11,FB11)&gt;0,SUM(EX11,FB11),"")</f>
        <v/>
      </c>
      <c r="FR11" s="55" t="str">
        <f>IF(SUM(EW11:EX11,EZ11:FB11,FD11)-EY11-FC11&gt;0,SUM(EW11:EX11,EZ11:FB11,FD11)-EY11-FC11,"")</f>
        <v/>
      </c>
      <c r="FS11" s="55" t="str">
        <f>IF(SUM(FE11:FF11,FH11)-FG11&gt;0,SUM(FE11:FF11,FH11)-FG11,"")</f>
        <v/>
      </c>
      <c r="FT11" s="55">
        <f>IF(SUM(FJ11,FN11)&gt;0,SUM(FJ11,FN11),"")</f>
        <v>13.2</v>
      </c>
      <c r="FU11" s="55">
        <f>IF(SUM(FI11:FJ11,FL11:FN11,FP11)-SUM(FK11,FO11)&gt;0,SUM(FI11:FJ11,FL11:FN11,FP11)-SUM(FK11,FO11),"")</f>
        <v>49.800000000000004</v>
      </c>
      <c r="FV11" s="55">
        <f>IF(SUM(FR11,FS11,FU11)&gt;0,SUM(FR11,FS11,FU11),"")</f>
        <v>49.800000000000004</v>
      </c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4" t="str">
        <f>IF(SUM(FX11,GB11)&gt;0,SUM(FX11,GB11),"")</f>
        <v/>
      </c>
      <c r="GR11" s="14" t="str">
        <f>IF(SUM(FW11:FX11,FZ11:GB11,GD11)-FY11-GC11&gt;0,SUM(FW11:FX11,FZ11:GB11,GD11)-FY11-GC11,"")</f>
        <v/>
      </c>
      <c r="GS11" s="14" t="str">
        <f>IF(SUM(GE11:GF11,GH11)-GG11&gt;0,SUM(GE11:GF11,GH11)-GG11,"")</f>
        <v/>
      </c>
      <c r="GT11" s="14" t="str">
        <f>IF(SUM(GJ11,GN11)&gt;0,SUM(GJ11,GN11),"")</f>
        <v/>
      </c>
      <c r="GU11" s="14" t="str">
        <f>IF(SUM(GI11:GJ11,GL11:GN11,GP11)-SUM(GK11,GO11)&gt;0,SUM(GI11:GJ11,GL11:GN11,GP11)-SUM(GK11,GO11),"")</f>
        <v/>
      </c>
      <c r="GV11" s="14" t="str">
        <f>IF(SUM(GR11,GS11,GU11)&gt;0,SUM(GR11,GS11,GU11),"")</f>
        <v/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55" t="str">
        <f>IF(SUM(GX11,HB11)&gt;0,SUM(GX11,HB11),"")</f>
        <v/>
      </c>
      <c r="HR11" s="55" t="str">
        <f>IF(SUM(GW11:GX11,GZ11:HB11,HD11)-GY11-HC11&gt;0,SUM(GW11:GX11,GZ11:HB11,HD11)-GY11-HC11,"")</f>
        <v/>
      </c>
      <c r="HS11" s="55" t="str">
        <f>IF(SUM(HE11:HF11,HH11)-HG11&gt;0,SUM(HE11:HF11,HH11)-HG11,"")</f>
        <v/>
      </c>
      <c r="HT11" s="55" t="str">
        <f>IF(SUM(HJ11,HN11)&gt;0,SUM(HJ11,HN11),"")</f>
        <v/>
      </c>
      <c r="HU11" s="55" t="str">
        <f>IF(SUM(HI11:HJ11,HL11:HN11,HP11)-SUM(HK11,HO11)&gt;0,SUM(HI11:HJ11,HL11:HN11,HP11)-SUM(HK11,HO11),"")</f>
        <v/>
      </c>
      <c r="HV11" s="55" t="str">
        <f>IF(SUM(HR11,HS11,HU11)&gt;0,SUM(HR11,HS11,HU11),"")</f>
        <v/>
      </c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4" t="str">
        <f>IF(SUM(HX11,IB11)&gt;0,SUM(HX11,IB11),"")</f>
        <v/>
      </c>
      <c r="IR11" s="14" t="str">
        <f>IF(SUM(HW11:HX11,HZ11:IB11,ID11)-HY11-IC11&gt;0,SUM(HW11:HX11,HZ11:IB11,ID11)-HY11-IC11,"")</f>
        <v/>
      </c>
      <c r="IS11" s="14" t="str">
        <f>IF(SUM(IE11:IF11,IH11)-IG11&gt;0,SUM(IE11:IF11,IH11)-IG11,"")</f>
        <v/>
      </c>
      <c r="IT11" s="14" t="str">
        <f>IF(SUM(IJ11,IN11)&gt;0,SUM(IJ11,IN11),"")</f>
        <v/>
      </c>
      <c r="IU11" s="14" t="str">
        <f>IF(SUM(II11:IJ11,IL11:IN11,IP11)-SUM(IK11,IO11)&gt;0,SUM(II11:IJ11,IL11:IN11,IP11)-SUM(IK11,IO11),"")</f>
        <v/>
      </c>
      <c r="IV11" s="14" t="str">
        <f>IF(SUM(IR11,IS11,IU11)&gt;0,SUM(IR11,IS11,IU11),"")</f>
        <v/>
      </c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55" t="str">
        <f>IF(SUM(IX11,JB11)&gt;0,SUM(IX11,JB11),"")</f>
        <v/>
      </c>
      <c r="JR11" s="55" t="str">
        <f>IF(SUM(IW11:IX11,IZ11:JB11,JD11)-IY11-JC11&gt;0,SUM(IW11:IX11,IZ11:JB11,JD11)-IY11-JC11,"")</f>
        <v/>
      </c>
      <c r="JS11" s="55" t="str">
        <f>IF(SUM(JE11:JF11,JH11)-JG11&gt;0,SUM(JE11:JF11,JH11)-JG11,"")</f>
        <v/>
      </c>
      <c r="JT11" s="55" t="str">
        <f>IF(SUM(JJ11,JN11)&gt;0,SUM(JJ11,JN11),"")</f>
        <v/>
      </c>
      <c r="JU11" s="55" t="str">
        <f>IF(SUM(JI11:JJ11,JL11:JN11,JP11)-SUM(JK11,JO11)&gt;0,SUM(JI11:JJ11,JL11:JN11,JP11)-SUM(JK11,JO11),"")</f>
        <v/>
      </c>
      <c r="JV11" s="55" t="str">
        <f>IF(SUM(JR11,JS11,JU11)&gt;0,SUM(JR11,JS11,JU11),"")</f>
        <v/>
      </c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4" t="str">
        <f>IF(SUM(JX11,KB11)&gt;0,SUM(JX11,KB11),"")</f>
        <v/>
      </c>
      <c r="KR11" s="14" t="str">
        <f>IF(SUM(JW11:JX11,JZ11:KB11,KD11)-JY11-KC11&gt;0,SUM(JW11:JX11,JZ11:KB11,KD11)-JY11-KC11,"")</f>
        <v/>
      </c>
      <c r="KS11" s="14" t="str">
        <f>IF(SUM(KE11:KF11,KH11)-KG11&gt;0,SUM(KE11:KF11,KH11)-KG11,"")</f>
        <v/>
      </c>
      <c r="KT11" s="14" t="str">
        <f>IF(SUM(KJ11,KN11)&gt;0,SUM(KJ11,KN11),"")</f>
        <v/>
      </c>
      <c r="KU11" s="14" t="str">
        <f>IF(SUM(KI11:KJ11,KL11:KN11,KP11)-SUM(KK11,KO11)&gt;0,SUM(KI11:KJ11,KL11:KN11,KP11)-SUM(KK11,KO11),"")</f>
        <v/>
      </c>
      <c r="KV11" s="14" t="str">
        <f>IF(SUM(KR11,KS11,KU11)&gt;0,SUM(KR11,KS11,KU11),"")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55" t="str">
        <f>IF(SUM(KX11,LB11)&gt;0,SUM(KX11,LB11),"")</f>
        <v/>
      </c>
      <c r="LR11" s="55" t="str">
        <f>IF(SUM(KW11:KX11,KZ11:LB11,LD11)-KY11-LC11&gt;0,SUM(KW11:KX11,KZ11:LB11,LD11)-KY11-LC11,"")</f>
        <v/>
      </c>
      <c r="LS11" s="55" t="str">
        <f>IF(SUM(LE11:LF11,LH11)-LG11&gt;0,SUM(LE11:LF11,LH11)-LG11,"")</f>
        <v/>
      </c>
      <c r="LT11" s="55" t="str">
        <f>IF(SUM(LJ11,LN11)&gt;0,SUM(LJ11,LN11),"")</f>
        <v/>
      </c>
      <c r="LU11" s="55" t="str">
        <f>IF(SUM(LI11:LJ11,LL11:LN11,LP11)-SUM(LK11,LO11)&gt;0,SUM(LI11:LJ11,LL11:LN11,LP11)-SUM(LK11,LO11),"")</f>
        <v/>
      </c>
      <c r="LV11" s="55" t="str">
        <f>IF(SUM(LR11,LS11,LU11)&gt;0,SUM(LR11,LS11,LU11),"")</f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4" t="str">
        <f>IF(SUM(LX11,MB11)&gt;0,SUM(LX11,MB11),"")</f>
        <v/>
      </c>
      <c r="MR11" s="14" t="str">
        <f>IF(SUM(LW11:LX11,LZ11:MB11,MD11)-LY11-MC11&gt;0,SUM(LW11:LX11,LZ11:MB11,MD11)-LY11-MC11,"")</f>
        <v/>
      </c>
      <c r="MS11" s="14" t="str">
        <f>IF(SUM(ME11:MF11,MH11)-MG11&gt;0,SUM(ME11:MF11,MH11)-MG11,"")</f>
        <v/>
      </c>
      <c r="MT11" s="14" t="str">
        <f>IF(SUM(MJ11,MN11)&gt;0,SUM(MJ11,MN11),"")</f>
        <v/>
      </c>
      <c r="MU11" s="14" t="str">
        <f>IF(SUM(MI11:MJ11,ML11:MN11,MP11)-SUM(MK11,MO11)&gt;0,SUM(MI11:MJ11,ML11:MN11,MP11)-SUM(MK11,MO11),"")</f>
        <v/>
      </c>
      <c r="MV11" s="14" t="str">
        <f>IF(SUM(MR11,MS11,MU11)&gt;0,SUM(MR11,MS11,MU11),"")</f>
        <v/>
      </c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55" t="str">
        <f>IF(SUM(MX11,NB11)&gt;0,SUM(MX11,NB11),"")</f>
        <v/>
      </c>
      <c r="NR11" s="55" t="str">
        <f>IF(SUM(MW11:MX11,MZ11:NB11,ND11)-MY11-NC11&gt;0,SUM(MW11:MX11,MZ11:NB11,ND11)-MY11-NC11,"")</f>
        <v/>
      </c>
      <c r="NS11" s="55" t="str">
        <f>IF(SUM(NE11:NF11,NH11)-NG11&gt;0,SUM(NE11:NF11,NH11)-NG11,"")</f>
        <v/>
      </c>
      <c r="NT11" s="55" t="str">
        <f>IF(SUM(NJ11,NN11)&gt;0,SUM(NJ11,NN11),"")</f>
        <v/>
      </c>
      <c r="NU11" s="55" t="str">
        <f>IF(SUM(NI11:NJ11,NL11:NN11,NP11)-SUM(NK11,NO11)&gt;0,SUM(NI11:NJ11,NL11:NN11,NP11)-SUM(NK11,NO11),"")</f>
        <v/>
      </c>
      <c r="NV11" s="55" t="str">
        <f>IF(SUM(NR11,NS11,NU11)&gt;0,SUM(NR11,NS11,NU11),"")</f>
        <v/>
      </c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4" t="str">
        <f>IF(SUM(NX11,OB11)&gt;0,SUM(NX11,OB11),"")</f>
        <v/>
      </c>
      <c r="OR11" s="14" t="str">
        <f>IF(SUM(NW11:NX11,NZ11:OB11,OD11)-NY11-OC11&gt;0,SUM(NW11:NX11,NZ11:OB11,OD11)-NY11-OC11,"")</f>
        <v/>
      </c>
      <c r="OS11" s="14" t="str">
        <f>IF(SUM(OE11:OF11,OH11)-OG11&gt;0,SUM(OE11:OF11,OH11)-OG11,"")</f>
        <v/>
      </c>
      <c r="OT11" s="14" t="str">
        <f>IF(SUM(OJ11,ON11)&gt;0,SUM(OJ11,ON11),"")</f>
        <v/>
      </c>
      <c r="OU11" s="14" t="str">
        <f>IF(SUM(OI11:OJ11,OL11:ON11,OP11)-SUM(OK11,OO11)&gt;0,SUM(OI11:OJ11,OL11:ON11,OP11)-SUM(OK11,OO11),"")</f>
        <v/>
      </c>
      <c r="OV11" s="14" t="str">
        <f>IF(SUM(OR11,OS11,OU11)&gt;0,SUM(OR11,OS11,OU11),"")</f>
        <v/>
      </c>
      <c r="OW11" s="27">
        <f>IF($CN11="P",BT11,(BT11+AS11)/2)</f>
        <v>16.549999999999997</v>
      </c>
      <c r="OX11" s="27">
        <f>IF($CN11="P",BU11,(BU11+AT11)/2)</f>
        <v>4.9000000000000004</v>
      </c>
      <c r="OY11" s="27">
        <f>IF($CN11="P",BV11,(BV11+AU11)/2)</f>
        <v>1.35</v>
      </c>
      <c r="OZ11" s="27">
        <f>IF($CN11="P",BW11,(BW11+AV11)/2)</f>
        <v>0</v>
      </c>
      <c r="PA11" s="27">
        <f>IF($CN11="P",BX11,(BX11+AW11)/2)</f>
        <v>18.649999999999999</v>
      </c>
      <c r="PB11" s="27">
        <f>IF($CN11="P",BY11,(BY11+AX11)/2)</f>
        <v>6.4</v>
      </c>
      <c r="PC11" s="27">
        <f>IF($CN11="P",BZ11,(BZ11+AY11)/2)</f>
        <v>0.7</v>
      </c>
      <c r="PD11" s="27">
        <f>IF($CN11="P",CA11,(CA11+AZ11)/2)</f>
        <v>0</v>
      </c>
      <c r="PE11" s="27">
        <f>IF($CN11="P",CB11,(CB11+BA11)/2)</f>
        <v>18.5</v>
      </c>
      <c r="PF11" s="27">
        <f>IF($CN11="P",CC11,(CC11+BB11)/2)</f>
        <v>6</v>
      </c>
      <c r="PG11" s="27">
        <f>IF($CN11="P",CD11,(CD11+BC11)/2)</f>
        <v>0.4</v>
      </c>
      <c r="PH11" s="27">
        <f>IF($CN11="P",CE11,(CE11+BD11)/2)</f>
        <v>0</v>
      </c>
      <c r="PI11" s="27">
        <f>IF($CN11="P",CF11,(CF11+BE11)/2)</f>
        <v>17.5</v>
      </c>
      <c r="PJ11" s="27">
        <f>IF($CN11="P",CG11,(CG11+BF11)/2)</f>
        <v>7.2</v>
      </c>
      <c r="PK11" s="27">
        <f>IF($CN11="P",CH11,(CH11+BG11)/2)</f>
        <v>0.4</v>
      </c>
      <c r="PL11" s="27">
        <f>IF($CN11="P",CI11,(CI11+BH11)/2)</f>
        <v>0</v>
      </c>
      <c r="PM11" s="27">
        <f>IF($CN11="P",CJ11,(CJ11+BI11)/2)</f>
        <v>18.8</v>
      </c>
      <c r="PN11" s="27">
        <f>IF($CN11="P",CK11,(CK11+BJ11)/2)</f>
        <v>6.4</v>
      </c>
      <c r="PO11" s="27">
        <f>IF($CN11="P",CL11,(CL11+BK11)/2)</f>
        <v>0.3</v>
      </c>
      <c r="PP11" s="27">
        <f>IF($CN11="P",CM11,(CM11+BL11)/2)</f>
        <v>0</v>
      </c>
      <c r="PQ11" s="32" t="s">
        <v>44</v>
      </c>
      <c r="PR11" s="55">
        <f>IF(SUM(OX11,PB11)&gt;0,SUM(OX11,PB11),"")</f>
        <v>11.3</v>
      </c>
      <c r="PS11" s="55">
        <f>IF(SUM(OW11:OX11,OZ11:PB11,PD11)-OY11-PC11&gt;0,SUM(OW11:OX11,OZ11:PB11,PD11)-OY11-PC11,"")</f>
        <v>44.449999999999989</v>
      </c>
      <c r="PT11" s="55">
        <f>IF(SUM(PE11:PF11,PH11)-PG11&gt;0,SUM(PE11:PF11,PH11)-PG11,"")</f>
        <v>24.1</v>
      </c>
      <c r="PU11" s="55">
        <f>IF(SUM(PJ11,PN11)&gt;0,SUM(PJ11,PN11),"")</f>
        <v>13.600000000000001</v>
      </c>
      <c r="PV11" s="55">
        <f>IF(SUM(PI11:PJ11,PL11:PN11,PP11)-SUM(PK11,PO11)&gt;0,SUM(PI11:PJ11,PL11:PN11,PP11)-SUM(PK11,PO11),"")</f>
        <v>49.199999999999996</v>
      </c>
      <c r="PW11" s="55">
        <f>IF(SUM(PS11,PT11,PV11)&gt;0,SUM(PS11,PT11,PV11),"")</f>
        <v>117.74999999999997</v>
      </c>
    </row>
    <row r="12" spans="1:439" ht="17" x14ac:dyDescent="0.2">
      <c r="O12" s="11"/>
      <c r="P12" s="11"/>
      <c r="Q12" s="11"/>
    </row>
    <row r="13" spans="1:439" ht="17" x14ac:dyDescent="0.2">
      <c r="O13" s="11"/>
      <c r="P13" s="11"/>
      <c r="Q13" s="11"/>
    </row>
    <row r="14" spans="1:439" ht="17" x14ac:dyDescent="0.2">
      <c r="B14" s="28" t="s">
        <v>42</v>
      </c>
      <c r="O14" s="11"/>
      <c r="P14" s="11"/>
      <c r="Q14" s="11"/>
      <c r="AM14" s="4"/>
      <c r="AR14" s="57">
        <v>10.4</v>
      </c>
      <c r="BN14" s="4"/>
      <c r="BS14" s="57">
        <v>10.4</v>
      </c>
      <c r="CO14" s="4"/>
      <c r="CT14" s="57">
        <v>10.4</v>
      </c>
      <c r="DQ14" s="4"/>
      <c r="DV14" s="57">
        <v>11.6</v>
      </c>
      <c r="EQ14" s="4"/>
      <c r="EV14" s="57">
        <v>10.4</v>
      </c>
      <c r="FQ14" s="4"/>
      <c r="FV14" s="57">
        <v>10.4</v>
      </c>
      <c r="GQ14" s="4"/>
      <c r="GV14" s="57">
        <v>10.4</v>
      </c>
      <c r="HQ14" s="4"/>
      <c r="HV14" s="57">
        <v>10.4</v>
      </c>
      <c r="IQ14" s="4"/>
      <c r="IV14" s="57">
        <v>10.4</v>
      </c>
      <c r="JQ14" s="4"/>
      <c r="JV14" s="57">
        <v>10.4</v>
      </c>
      <c r="KQ14" s="4"/>
      <c r="KV14" s="57">
        <v>10.4</v>
      </c>
      <c r="LQ14" s="4"/>
      <c r="LV14" s="57">
        <v>10.4</v>
      </c>
      <c r="MQ14" s="4"/>
      <c r="MV14" s="57">
        <v>10.4</v>
      </c>
      <c r="NQ14" s="4"/>
      <c r="NV14" s="57">
        <v>10.4</v>
      </c>
      <c r="OQ14" s="4"/>
      <c r="OV14" s="57">
        <v>10.4</v>
      </c>
    </row>
    <row r="15" spans="1:439" ht="17" hidden="1" x14ac:dyDescent="0.2">
      <c r="B15" s="35" t="s">
        <v>41</v>
      </c>
      <c r="O15" s="11"/>
      <c r="P15" s="11"/>
      <c r="Q15" s="11"/>
      <c r="AM15" s="4"/>
      <c r="AR15" s="58">
        <f>AR16</f>
        <v>11.2</v>
      </c>
      <c r="BN15" s="4"/>
      <c r="BS15" s="58">
        <f>BS16</f>
        <v>11.2</v>
      </c>
      <c r="CO15" s="4"/>
      <c r="CT15" s="58">
        <f>CT16</f>
        <v>11.2</v>
      </c>
      <c r="DQ15" s="4"/>
      <c r="DV15" s="58">
        <f>DV16</f>
        <v>12</v>
      </c>
      <c r="EQ15" s="4"/>
      <c r="EV15" s="58">
        <f>EV16</f>
        <v>11.2</v>
      </c>
      <c r="FQ15" s="4"/>
      <c r="FV15" s="58">
        <f>FV16</f>
        <v>11.2</v>
      </c>
      <c r="GQ15" s="4"/>
      <c r="GV15" s="58">
        <f>GV16</f>
        <v>11.2</v>
      </c>
      <c r="HQ15" s="4"/>
      <c r="HV15" s="58">
        <f>HV16</f>
        <v>11.2</v>
      </c>
      <c r="IQ15" s="4"/>
      <c r="IV15" s="58">
        <f>IV16</f>
        <v>11.2</v>
      </c>
      <c r="JQ15" s="4"/>
      <c r="JV15" s="58">
        <f>JV16</f>
        <v>11.2</v>
      </c>
      <c r="KQ15" s="4"/>
      <c r="KV15" s="58">
        <f>KV16</f>
        <v>11.2</v>
      </c>
      <c r="LQ15" s="4"/>
      <c r="LV15" s="58">
        <f>LV16</f>
        <v>11.2</v>
      </c>
      <c r="MQ15" s="4"/>
      <c r="MV15" s="58">
        <f>MV16</f>
        <v>11.2</v>
      </c>
      <c r="NQ15" s="4"/>
      <c r="NV15" s="58">
        <f>NV16</f>
        <v>11.2</v>
      </c>
      <c r="OQ15" s="4"/>
      <c r="OV15" s="58">
        <f>OV16</f>
        <v>11.2</v>
      </c>
    </row>
    <row r="16" spans="1:439" ht="17" x14ac:dyDescent="0.2">
      <c r="A16" s="5"/>
      <c r="B16" s="36" t="s">
        <v>54</v>
      </c>
      <c r="C16" s="22"/>
      <c r="O16" s="11"/>
      <c r="P16" s="11"/>
      <c r="Q16" s="11"/>
      <c r="AM16" s="4"/>
      <c r="AR16" s="59">
        <v>11.2</v>
      </c>
      <c r="BN16" s="4"/>
      <c r="BS16" s="59">
        <v>11.2</v>
      </c>
      <c r="CO16" s="4"/>
      <c r="CT16" s="59">
        <v>11.2</v>
      </c>
      <c r="DQ16" s="4"/>
      <c r="DV16" s="59">
        <v>12</v>
      </c>
      <c r="EQ16" s="4"/>
      <c r="EV16" s="59">
        <v>11.2</v>
      </c>
      <c r="FQ16" s="4"/>
      <c r="FV16" s="59">
        <v>11.2</v>
      </c>
      <c r="GQ16" s="4"/>
      <c r="GV16" s="59">
        <v>11.2</v>
      </c>
      <c r="HQ16" s="4"/>
      <c r="HV16" s="59">
        <v>11.2</v>
      </c>
      <c r="IQ16" s="4"/>
      <c r="IV16" s="59">
        <v>11.2</v>
      </c>
      <c r="JQ16" s="4"/>
      <c r="JV16" s="59">
        <v>11.2</v>
      </c>
      <c r="KQ16" s="4"/>
      <c r="KV16" s="59">
        <v>11.2</v>
      </c>
      <c r="LQ16" s="4"/>
      <c r="LV16" s="59">
        <v>11.2</v>
      </c>
      <c r="MQ16" s="4"/>
      <c r="MV16" s="59">
        <v>11.2</v>
      </c>
      <c r="NQ16" s="4"/>
      <c r="NV16" s="59">
        <v>11.2</v>
      </c>
      <c r="OQ16" s="4"/>
      <c r="OV16" s="59">
        <v>11.2</v>
      </c>
    </row>
    <row r="17" spans="1:412" ht="17" hidden="1" x14ac:dyDescent="0.2">
      <c r="A17" s="5"/>
      <c r="B17" s="44" t="s">
        <v>59</v>
      </c>
      <c r="C17" s="22"/>
      <c r="O17" s="11"/>
      <c r="P17" s="11"/>
      <c r="Q17" s="11"/>
      <c r="AM17" s="4"/>
      <c r="AR17" s="65">
        <v>1000</v>
      </c>
      <c r="BN17" s="4"/>
      <c r="BS17" s="65">
        <v>1000</v>
      </c>
      <c r="CO17" s="4"/>
      <c r="CT17" s="65">
        <v>1000</v>
      </c>
      <c r="DQ17" s="4"/>
      <c r="DV17" s="65">
        <v>1000</v>
      </c>
      <c r="EQ17" s="4"/>
      <c r="EV17" s="65">
        <v>1000</v>
      </c>
      <c r="FQ17" s="4"/>
      <c r="FV17" s="65">
        <v>1000</v>
      </c>
      <c r="GQ17" s="4"/>
      <c r="GV17" s="65">
        <v>1000</v>
      </c>
      <c r="HQ17" s="4"/>
      <c r="HV17" s="65">
        <v>1000</v>
      </c>
      <c r="IQ17" s="4"/>
      <c r="IV17" s="65">
        <v>1000</v>
      </c>
      <c r="JQ17" s="4"/>
      <c r="JV17" s="65">
        <v>1000</v>
      </c>
      <c r="KQ17" s="4"/>
      <c r="KV17" s="65">
        <v>1000</v>
      </c>
      <c r="LQ17" s="4"/>
      <c r="LV17" s="65">
        <v>1000</v>
      </c>
      <c r="MQ17" s="4"/>
      <c r="MV17" s="65">
        <v>1000</v>
      </c>
      <c r="NQ17" s="4"/>
      <c r="NV17" s="65">
        <v>1000</v>
      </c>
      <c r="OQ17" s="4"/>
      <c r="OV17" s="65">
        <v>1000</v>
      </c>
    </row>
    <row r="18" spans="1:412" ht="17" x14ac:dyDescent="0.2">
      <c r="A18" s="5"/>
      <c r="B18" s="42" t="s">
        <v>39</v>
      </c>
      <c r="C18" s="22"/>
      <c r="O18" s="11"/>
      <c r="P18" s="11"/>
      <c r="Q18" s="11"/>
      <c r="AM18" s="4"/>
      <c r="AR18" s="66">
        <v>47.2</v>
      </c>
      <c r="BN18" s="4"/>
      <c r="BS18" s="66">
        <v>47.2</v>
      </c>
      <c r="CO18" s="4"/>
      <c r="CT18" s="66">
        <v>47.2</v>
      </c>
      <c r="DQ18" s="4"/>
      <c r="DV18" s="66">
        <v>48.4</v>
      </c>
      <c r="EQ18" s="4"/>
      <c r="EV18" s="66">
        <v>47.2</v>
      </c>
      <c r="FQ18" s="4"/>
      <c r="FV18" s="66">
        <v>47.2</v>
      </c>
      <c r="GQ18" s="4"/>
      <c r="GV18" s="66">
        <v>47.2</v>
      </c>
      <c r="HQ18" s="4"/>
      <c r="HV18" s="66">
        <v>47.2</v>
      </c>
      <c r="IQ18" s="4"/>
      <c r="IV18" s="66">
        <v>47.2</v>
      </c>
      <c r="JQ18" s="4"/>
      <c r="JV18" s="66">
        <v>47.2</v>
      </c>
      <c r="KQ18" s="4"/>
      <c r="KV18" s="66">
        <v>47.2</v>
      </c>
      <c r="LQ18" s="4"/>
      <c r="LV18" s="66">
        <v>47.2</v>
      </c>
      <c r="MQ18" s="4"/>
      <c r="MV18" s="66">
        <v>47.2</v>
      </c>
      <c r="NQ18" s="4"/>
      <c r="NV18" s="66">
        <v>47.2</v>
      </c>
      <c r="OQ18" s="4"/>
      <c r="OV18" s="66">
        <v>47.2</v>
      </c>
    </row>
    <row r="19" spans="1:412" ht="17" hidden="1" x14ac:dyDescent="0.2">
      <c r="A19" s="5"/>
      <c r="B19" s="29" t="s">
        <v>40</v>
      </c>
      <c r="C19" s="22"/>
      <c r="O19" s="11"/>
      <c r="P19" s="11"/>
      <c r="Q19" s="11"/>
      <c r="AM19" s="4"/>
      <c r="AR19" s="62">
        <f>AR20</f>
        <v>47.6</v>
      </c>
      <c r="BN19" s="4"/>
      <c r="BS19" s="62">
        <f>BS20</f>
        <v>47.6</v>
      </c>
      <c r="CO19" s="4"/>
      <c r="CT19" s="62">
        <f>CT20</f>
        <v>47.6</v>
      </c>
      <c r="DQ19" s="4"/>
      <c r="DV19" s="62">
        <f>DV20</f>
        <v>49.8</v>
      </c>
      <c r="EQ19" s="4"/>
      <c r="EV19" s="62">
        <f>EV20</f>
        <v>47.6</v>
      </c>
      <c r="FQ19" s="4"/>
      <c r="FV19" s="62">
        <f>FV20</f>
        <v>47.6</v>
      </c>
      <c r="GQ19" s="4"/>
      <c r="GV19" s="62">
        <f>GV20</f>
        <v>47.6</v>
      </c>
      <c r="HQ19" s="4"/>
      <c r="HV19" s="62">
        <f>HV20</f>
        <v>47.6</v>
      </c>
      <c r="IQ19" s="4"/>
      <c r="IV19" s="62">
        <f>IV20</f>
        <v>47.6</v>
      </c>
      <c r="JQ19" s="4"/>
      <c r="JV19" s="62">
        <f>JV20</f>
        <v>47.6</v>
      </c>
      <c r="KQ19" s="4"/>
      <c r="KV19" s="62">
        <f>KV20</f>
        <v>47.6</v>
      </c>
      <c r="LQ19" s="4"/>
      <c r="LV19" s="62">
        <f>LV20</f>
        <v>47.6</v>
      </c>
      <c r="MQ19" s="4"/>
      <c r="MV19" s="62">
        <f>MV20</f>
        <v>47.6</v>
      </c>
      <c r="NQ19" s="4"/>
      <c r="NV19" s="62">
        <f>NV20</f>
        <v>47.6</v>
      </c>
      <c r="OQ19" s="4"/>
      <c r="OV19" s="62">
        <f>OV20</f>
        <v>47.6</v>
      </c>
    </row>
    <row r="20" spans="1:412" ht="17" x14ac:dyDescent="0.2">
      <c r="A20" s="5"/>
      <c r="B20" s="40" t="s">
        <v>53</v>
      </c>
      <c r="C20" s="22"/>
      <c r="O20" s="11"/>
      <c r="P20" s="11"/>
      <c r="Q20" s="11"/>
      <c r="AM20" s="4"/>
      <c r="AR20" s="63">
        <v>47.6</v>
      </c>
      <c r="BN20" s="4"/>
      <c r="BS20" s="63">
        <v>47.6</v>
      </c>
      <c r="CO20" s="4"/>
      <c r="CT20" s="63">
        <v>47.6</v>
      </c>
      <c r="DQ20" s="4"/>
      <c r="DV20" s="63">
        <v>49.8</v>
      </c>
      <c r="EQ20" s="4"/>
      <c r="EV20" s="63">
        <v>47.6</v>
      </c>
      <c r="FQ20" s="4"/>
      <c r="FV20" s="63">
        <v>47.6</v>
      </c>
      <c r="GQ20" s="4"/>
      <c r="GV20" s="63">
        <v>47.6</v>
      </c>
      <c r="HQ20" s="4"/>
      <c r="HV20" s="63">
        <v>47.6</v>
      </c>
      <c r="IQ20" s="4"/>
      <c r="IV20" s="63">
        <v>47.6</v>
      </c>
      <c r="JQ20" s="4"/>
      <c r="JV20" s="63">
        <v>47.6</v>
      </c>
      <c r="KQ20" s="4"/>
      <c r="KV20" s="63">
        <v>47.6</v>
      </c>
      <c r="LQ20" s="4"/>
      <c r="LV20" s="63">
        <v>47.6</v>
      </c>
      <c r="MQ20" s="4"/>
      <c r="MV20" s="63">
        <v>47.6</v>
      </c>
      <c r="NQ20" s="4"/>
      <c r="NV20" s="63">
        <v>47.6</v>
      </c>
      <c r="OQ20" s="4"/>
      <c r="OV20" s="63">
        <v>47.6</v>
      </c>
    </row>
    <row r="21" spans="1:412" ht="17" hidden="1" x14ac:dyDescent="0.2">
      <c r="A21" s="5"/>
      <c r="B21" s="30" t="s">
        <v>26</v>
      </c>
      <c r="C21" s="22"/>
      <c r="O21" s="11"/>
      <c r="P21" s="11"/>
      <c r="Q21" s="11"/>
      <c r="AM21" s="4"/>
      <c r="AR21" s="64">
        <v>1000</v>
      </c>
      <c r="BN21" s="4"/>
      <c r="BS21" s="64">
        <v>1000</v>
      </c>
      <c r="CO21" s="4"/>
      <c r="CT21" s="64">
        <v>1000</v>
      </c>
      <c r="DQ21" s="4"/>
      <c r="DV21" s="64">
        <v>1000</v>
      </c>
      <c r="EQ21" s="4"/>
      <c r="EV21" s="64">
        <v>1000</v>
      </c>
      <c r="FQ21" s="4"/>
      <c r="FV21" s="64">
        <v>1000</v>
      </c>
      <c r="GQ21" s="4"/>
      <c r="GV21" s="64">
        <v>1000</v>
      </c>
      <c r="HQ21" s="4"/>
      <c r="HV21" s="64">
        <v>1000</v>
      </c>
      <c r="IQ21" s="4"/>
      <c r="IV21" s="64">
        <v>1000</v>
      </c>
      <c r="JQ21" s="4"/>
      <c r="JV21" s="64">
        <v>1000</v>
      </c>
      <c r="KQ21" s="4"/>
      <c r="KV21" s="64">
        <v>1000</v>
      </c>
      <c r="LQ21" s="4"/>
      <c r="LV21" s="64">
        <v>1000</v>
      </c>
      <c r="MQ21" s="4"/>
      <c r="MV21" s="64">
        <v>1000</v>
      </c>
      <c r="NQ21" s="4"/>
      <c r="NV21" s="64">
        <v>1000</v>
      </c>
      <c r="OQ21" s="4"/>
      <c r="OV21" s="64">
        <v>1000</v>
      </c>
    </row>
    <row r="22" spans="1:412" x14ac:dyDescent="0.2">
      <c r="B22" s="34" t="s">
        <v>45</v>
      </c>
      <c r="C22" s="2"/>
    </row>
    <row r="23" spans="1:412" x14ac:dyDescent="0.2">
      <c r="A23" s="5"/>
      <c r="B23" s="5"/>
      <c r="C23" s="22"/>
    </row>
    <row r="24" spans="1:412" x14ac:dyDescent="0.2">
      <c r="A24" s="5"/>
      <c r="B24" s="5"/>
      <c r="C24" s="22"/>
    </row>
    <row r="25" spans="1:412" x14ac:dyDescent="0.2">
      <c r="A25" s="5"/>
      <c r="B25" s="5"/>
      <c r="C25" s="22"/>
    </row>
    <row r="26" spans="1:412" x14ac:dyDescent="0.2">
      <c r="A26" s="5"/>
      <c r="B26" s="5"/>
      <c r="C26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11">
      <sortCondition descending="1" ref="F1:F12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11">
    <cfRule type="expression" dxfId="57" priority="2" stopIfTrue="1">
      <formula>IF($AL4&lt;&gt;"",1,0)</formula>
    </cfRule>
  </conditionalFormatting>
  <conditionalFormatting sqref="AS4:BS11">
    <cfRule type="expression" dxfId="56" priority="3" stopIfTrue="1">
      <formula>IF($BM4&lt;&gt;"",1,0)</formula>
    </cfRule>
  </conditionalFormatting>
  <conditionalFormatting sqref="J1:J1048576 L1:L1048576 N1:N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11">
    <cfRule type="expression" dxfId="52" priority="4" stopIfTrue="1">
      <formula>IF($CN4&lt;&gt;"",1,0)</formula>
    </cfRule>
  </conditionalFormatting>
  <conditionalFormatting sqref="A4:A1048576">
    <cfRule type="expression" dxfId="29" priority="13" stopIfTrue="1">
      <formula>IF(A4&gt;4,1,0)</formula>
    </cfRule>
    <cfRule type="expression" dxfId="51" priority="1">
      <formula>AND(G4&lt;&gt;"",F4="")</formula>
    </cfRule>
  </conditionalFormatting>
  <conditionalFormatting sqref="H1:H1048576">
    <cfRule type="containsText" dxfId="50" priority="5" operator="containsText" text="No DD">
      <formula>NOT(ISERROR(SEARCH("No DD",H1)))</formula>
    </cfRule>
    <cfRule type="containsText" dxfId="49" priority="6" operator="containsText" text="Merit">
      <formula>NOT(ISERROR(SEARCH("Merit",H1)))</formula>
    </cfRule>
    <cfRule type="containsText" dxfId="48" priority="7" operator="containsText" text="Excellence">
      <formula>NOT(ISERROR(SEARCH("Excellence",H1)))</formula>
    </cfRule>
    <cfRule type="containsText" dxfId="47" priority="8" operator="containsText" text="Worlds Team">
      <formula>NOT(ISERROR(SEARCH("Worlds Team",H1)))</formula>
    </cfRule>
    <cfRule type="containsText" dxfId="4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5" priority="14" operator="between">
      <formula>AR$17</formula>
      <formula>1000</formula>
    </cfRule>
    <cfRule type="cellIs" dxfId="44" priority="15" operator="between">
      <formula>AR$16</formula>
      <formula>AR$17</formula>
    </cfRule>
    <cfRule type="cellIs" dxfId="43" priority="16" operator="between">
      <formula>AR$15</formula>
      <formula>AR$16</formula>
    </cfRule>
    <cfRule type="cellIs" dxfId="42" priority="17" operator="between">
      <formula>AR$14</formula>
      <formula>AR$15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1" priority="18" operator="between">
      <formula>AR$21</formula>
      <formula>1000</formula>
    </cfRule>
    <cfRule type="cellIs" dxfId="40" priority="19" operator="between">
      <formula>AR$20</formula>
      <formula>AR$21</formula>
    </cfRule>
    <cfRule type="cellIs" dxfId="39" priority="20" operator="between">
      <formula>AR$19</formula>
      <formula>AR$20</formula>
    </cfRule>
    <cfRule type="cellIs" dxfId="38" priority="21" operator="between">
      <formula>AR$18</formula>
      <formula>AR$19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7" priority="22" operator="between">
      <formula>AR$17</formula>
      <formula>1000</formula>
    </cfRule>
    <cfRule type="cellIs" dxfId="36" priority="23" operator="between">
      <formula>AR$16</formula>
      <formula>AR$17</formula>
    </cfRule>
    <cfRule type="cellIs" dxfId="35" priority="24" operator="between">
      <formula>AR$15</formula>
      <formula>AR$16</formula>
    </cfRule>
    <cfRule type="cellIs" dxfId="34" priority="25" operator="between">
      <formula>AR$14</formula>
      <formula>AR$15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3" priority="26" operator="between">
      <formula>AR$18</formula>
      <formula>AR$19</formula>
    </cfRule>
    <cfRule type="cellIs" dxfId="32" priority="27" operator="between">
      <formula>AR$19</formula>
      <formula>AR$20</formula>
    </cfRule>
    <cfRule type="cellIs" dxfId="31" priority="28" operator="between">
      <formula>AR$20</formula>
      <formula>AR$21</formula>
    </cfRule>
    <cfRule type="cellIs" dxfId="30" priority="29" operator="between">
      <formula>AR$21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90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94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107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84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93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92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 t="s">
        <v>109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 t="s">
        <v>111</v>
      </c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151.80001503000511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51.1</v>
      </c>
      <c r="J4" s="9" t="str">
        <f>IF(I4=0,"",IF(I4=CP4,$BT$1,IF(I4=BO4,$AS$1,IF(I4=AN4,$R$1,""))))</f>
        <v>2023 Nationals</v>
      </c>
      <c r="K4" s="9">
        <f>IF(COUNT(AN4,BO4,CP4)&gt;1,LARGE((AN4,BO4,CP4),2),0)</f>
        <v>48.900000000000006</v>
      </c>
      <c r="L4" s="9" t="str">
        <f>IF(K4=0,"",IF(K4=CP4,$BT$1,IF(K4=BO4,$AS$1,IF(K4=AN4,$R$1,""))))</f>
        <v>2023 Elite Canada</v>
      </c>
      <c r="M4" s="9">
        <f>IF(MAX(AQ4,BR4,CS4)&gt;0,MAX(AQ4,BR4,CS4),0)</f>
        <v>50.3</v>
      </c>
      <c r="N4" s="9" t="str">
        <f>IF(M4=0,"",IF(M4=CS4,$BT$1,IF(M4=BR4,$AS$1,IF(M4=AQ4,$R$1,""))))</f>
        <v>2023 Nationals</v>
      </c>
      <c r="O4" s="9">
        <f>IF(MAX(CU4:CV4)&gt;0,MAX(CU4:CV4),"")</f>
        <v>1.4999999999999929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18.600000000000001</v>
      </c>
      <c r="S4" s="20">
        <v>5.6</v>
      </c>
      <c r="T4" s="20">
        <v>0</v>
      </c>
      <c r="U4" s="20">
        <v>0</v>
      </c>
      <c r="V4" s="20">
        <v>18.7</v>
      </c>
      <c r="W4" s="20">
        <v>6</v>
      </c>
      <c r="X4" s="20">
        <v>0</v>
      </c>
      <c r="Y4" s="20">
        <v>0</v>
      </c>
      <c r="Z4" s="20">
        <v>9.1999999999999993</v>
      </c>
      <c r="AA4" s="20">
        <v>2.6</v>
      </c>
      <c r="AB4" s="20">
        <v>0</v>
      </c>
      <c r="AC4" s="20">
        <v>0</v>
      </c>
      <c r="AD4" s="20">
        <v>9.1999999999999993</v>
      </c>
      <c r="AE4" s="20">
        <v>2.8</v>
      </c>
      <c r="AF4" s="20">
        <v>0</v>
      </c>
      <c r="AG4" s="20">
        <v>0</v>
      </c>
      <c r="AH4" s="20">
        <v>9.3000000000000007</v>
      </c>
      <c r="AI4" s="20">
        <v>2.8</v>
      </c>
      <c r="AJ4" s="20">
        <v>0</v>
      </c>
      <c r="AK4" s="20">
        <v>0</v>
      </c>
      <c r="AL4" s="32"/>
      <c r="AM4" s="55">
        <f>IF(SUM(S4,W4)&gt;0,SUM(S4,W4),"")</f>
        <v>11.6</v>
      </c>
      <c r="AN4" s="55">
        <f>IF(SUM(R4:S4,U4:W4,Y4)-T4-X4&gt;0,SUM(R4:S4,U4:W4,Y4)-T4-X4,"")</f>
        <v>48.900000000000006</v>
      </c>
      <c r="AO4" s="55">
        <f>IF(SUM(Z4:AA4,AC4)-AB4&gt;0,SUM(Z4:AA4,AC4)-AB4,"")</f>
        <v>11.799999999999999</v>
      </c>
      <c r="AP4" s="55">
        <f>IF(SUM(AE4,AI4)&gt;0,SUM(AE4,AI4),"")</f>
        <v>5.6</v>
      </c>
      <c r="AQ4" s="55">
        <f>IF(SUM(AD4:AE4,AG4:AI4,AK4)-SUM(AF4,AJ4)&gt;0,SUM(AD4:AE4,AG4:AI4,AK4)-SUM(AF4,AJ4),"")</f>
        <v>24.1</v>
      </c>
      <c r="AR4" s="55">
        <f>IF(SUM(AN4,AO4,AQ4)&gt;0,SUM(AN4,AO4,AQ4),"")</f>
        <v>84.800000000000011</v>
      </c>
      <c r="AS4" s="19">
        <v>18.8</v>
      </c>
      <c r="AT4" s="19">
        <v>6.4</v>
      </c>
      <c r="AU4" s="19">
        <v>0</v>
      </c>
      <c r="AV4" s="19">
        <v>0</v>
      </c>
      <c r="AW4" s="19">
        <v>19.100000000000001</v>
      </c>
      <c r="AX4" s="19">
        <v>6.8</v>
      </c>
      <c r="AY4" s="19">
        <v>0</v>
      </c>
      <c r="AZ4" s="19">
        <v>0</v>
      </c>
      <c r="BA4" s="19">
        <v>18.7</v>
      </c>
      <c r="BB4" s="19">
        <v>6</v>
      </c>
      <c r="BC4" s="19">
        <v>0</v>
      </c>
      <c r="BD4" s="19">
        <v>0</v>
      </c>
      <c r="BE4" s="19">
        <v>18.399999999999999</v>
      </c>
      <c r="BF4" s="19">
        <v>6.4</v>
      </c>
      <c r="BG4" s="19">
        <v>0</v>
      </c>
      <c r="BH4" s="19">
        <v>0</v>
      </c>
      <c r="BI4" s="19">
        <v>18.7</v>
      </c>
      <c r="BJ4" s="19">
        <v>6.8</v>
      </c>
      <c r="BK4" s="19">
        <v>0</v>
      </c>
      <c r="BL4" s="19">
        <v>0</v>
      </c>
      <c r="BM4" s="33"/>
      <c r="BN4" s="14">
        <f>IF(SUM(AT4,AX4)&gt;0,SUM(AT4,AX4),"")</f>
        <v>13.2</v>
      </c>
      <c r="BO4" s="14">
        <f>IF(SUM(AS4:AT4,AV4:AX4,AZ4)-AU4-AY4&gt;0,SUM(AS4:AT4,AV4:AX4,AZ4)-AU4-AY4,"")</f>
        <v>51.1</v>
      </c>
      <c r="BP4" s="14">
        <f>IF(SUM(BA4:BB4,BD4)-BC4&gt;0,SUM(BA4:BB4,BD4)-BC4,"")</f>
        <v>24.7</v>
      </c>
      <c r="BQ4" s="14">
        <f>IF(SUM(BF4,BJ4)&gt;0,SUM(BF4,BJ4),"")</f>
        <v>13.2</v>
      </c>
      <c r="BR4" s="14">
        <f>IF(SUM(BE4:BF4,BH4:BJ4,BL4)-SUM(BG4,BK4)&gt;0,SUM(BE4:BF4,BH4:BJ4,BL4)-SUM(BG4,BK4),"")</f>
        <v>50.3</v>
      </c>
      <c r="BS4" s="14">
        <f>IF(SUM(BO4,BP4,BR4)&gt;0,SUM(BO4,BP4,BR4),"")</f>
        <v>126.1</v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IF(SUM(CP4,CQ4,CS4)&gt;0,SUM(CP4,CQ4,CS4),"")</f>
        <v/>
      </c>
      <c r="CU4" s="56">
        <f>IF(MAX(DR4,ER4,FR4,GR4,HR4,IR4,JR4,KR4,LR4,MR4,NR4,OR4)-IF(K4="",0,K4)&gt;0.001,MAX(DR4,ER4,FR4,GR4,HR4,IR4,JR4,KR4,LR4,MR4,NR4,OR4)-IF(K4="",0,K4),"")</f>
        <v>1.4999999999999929</v>
      </c>
      <c r="CV4" s="56">
        <f>IF(MAX(DU4,EU4,FU4,GU4,HU4,IU4,JU4,KU4,LU4,MU4,NU4,OU4)-IF(M4="",0,M4)&gt;0.001,MAX(DU4,EU4,FU4,GU4,HU4,IU4,JU4,KU4,LU4,MU4,NU4,OU4)-IF(M4="",0,M4),"")</f>
        <v>0.29999999999999716</v>
      </c>
      <c r="CW4" s="18">
        <v>18.3</v>
      </c>
      <c r="CX4" s="18">
        <v>5.2</v>
      </c>
      <c r="CY4" s="18">
        <v>0.6</v>
      </c>
      <c r="CZ4" s="18">
        <v>0</v>
      </c>
      <c r="DA4" s="18">
        <v>18.3</v>
      </c>
      <c r="DB4" s="18">
        <v>4.8</v>
      </c>
      <c r="DC4" s="18">
        <v>0</v>
      </c>
      <c r="DD4" s="18">
        <v>0</v>
      </c>
      <c r="DE4" s="18"/>
      <c r="DF4" s="18"/>
      <c r="DG4" s="18"/>
      <c r="DH4" s="18"/>
      <c r="DI4" s="18">
        <v>18.7</v>
      </c>
      <c r="DJ4" s="18">
        <v>5.6</v>
      </c>
      <c r="DK4" s="18">
        <v>0.6</v>
      </c>
      <c r="DL4" s="18">
        <v>0</v>
      </c>
      <c r="DM4" s="18">
        <v>18.600000000000001</v>
      </c>
      <c r="DN4" s="18">
        <v>6</v>
      </c>
      <c r="DO4" s="18">
        <v>0.6</v>
      </c>
      <c r="DP4" s="18">
        <v>0</v>
      </c>
      <c r="DQ4" s="55">
        <f>IF(SUM(CX4,DB4)&gt;0,SUM(CX4,DB4),"")</f>
        <v>10</v>
      </c>
      <c r="DR4" s="55">
        <f>IF(SUM(CW4:CX4,CZ4:DB4,DD4)-CY4-DC4&gt;0,SUM(CW4:CX4,CZ4:DB4,DD4)-CY4-DC4,"")</f>
        <v>45.999999999999993</v>
      </c>
      <c r="DS4" s="55" t="str">
        <f>IF(SUM(DE4:DF4,DH4)-DG4&gt;0,SUM(DE4:DF4,DH4)-DG4,"")</f>
        <v/>
      </c>
      <c r="DT4" s="55">
        <f>IF(SUM(DJ4,DN4)&gt;0,SUM(DJ4,DN4),"")</f>
        <v>11.6</v>
      </c>
      <c r="DU4" s="55">
        <f>IF(SUM(DI4:DJ4,DL4:DN4,DP4)-SUM(DK4,DO4)&gt;0,SUM(DI4:DJ4,DL4:DN4,DP4)-SUM(DK4,DO4),"")</f>
        <v>47.699999999999996</v>
      </c>
      <c r="DV4" s="55">
        <f>IF(SUM(DR4,DS4,DU4)&gt;0,SUM(DR4,DS4,DU4),"")</f>
        <v>93.699999999999989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18.600000000000001</v>
      </c>
      <c r="EJ4" s="19">
        <v>6</v>
      </c>
      <c r="EK4" s="19">
        <v>0</v>
      </c>
      <c r="EL4" s="19">
        <v>0</v>
      </c>
      <c r="EM4" s="19">
        <v>18.7</v>
      </c>
      <c r="EN4" s="19">
        <v>5.6</v>
      </c>
      <c r="EO4" s="19">
        <v>0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11.6</v>
      </c>
      <c r="EU4" s="14">
        <f>IF(SUM(EI4:EJ4,EL4:EN4,EP4)-SUM(EK4,EO4)&gt;0,SUM(EI4:EJ4,EL4:EN4,EP4)-SUM(EK4,EO4),"")</f>
        <v>48.9</v>
      </c>
      <c r="EV4" s="14">
        <f>IF(SUM(ER4,ES4,EU4)&gt;0,SUM(ER4,ES4,EU4),"")</f>
        <v>48.9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>
        <v>18.600000000000001</v>
      </c>
      <c r="FJ4" s="18">
        <v>6</v>
      </c>
      <c r="FK4" s="18">
        <v>0</v>
      </c>
      <c r="FL4" s="18">
        <v>0</v>
      </c>
      <c r="FM4" s="18">
        <v>18.7</v>
      </c>
      <c r="FN4" s="18">
        <v>5.6</v>
      </c>
      <c r="FO4" s="18">
        <v>0</v>
      </c>
      <c r="FP4" s="18">
        <v>0</v>
      </c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>
        <f>IF(SUM(FJ4,FN4)&gt;0,SUM(FJ4,FN4),"")</f>
        <v>11.6</v>
      </c>
      <c r="FU4" s="55">
        <f>IF(SUM(FI4:FJ4,FL4:FN4,FP4)-SUM(FK4,FO4)&gt;0,SUM(FI4:FJ4,FL4:FN4,FP4)-SUM(FK4,FO4),"")</f>
        <v>48.9</v>
      </c>
      <c r="FV4" s="55">
        <f>IF(SUM(FR4,FS4,FU4)&gt;0,SUM(FR4,FS4,FU4),"")</f>
        <v>48.9</v>
      </c>
      <c r="FW4" s="19">
        <v>18.8</v>
      </c>
      <c r="FX4" s="19">
        <v>6.8</v>
      </c>
      <c r="FY4" s="19">
        <v>0.2</v>
      </c>
      <c r="FZ4" s="19">
        <v>0</v>
      </c>
      <c r="GA4" s="19">
        <v>18.600000000000001</v>
      </c>
      <c r="GB4" s="19">
        <v>6.4</v>
      </c>
      <c r="GC4" s="19">
        <v>0</v>
      </c>
      <c r="GD4" s="19">
        <v>0</v>
      </c>
      <c r="GE4" s="19"/>
      <c r="GF4" s="19"/>
      <c r="GG4" s="19"/>
      <c r="GH4" s="19"/>
      <c r="GI4" s="19">
        <v>18.600000000000001</v>
      </c>
      <c r="GJ4" s="19">
        <v>6.4</v>
      </c>
      <c r="GK4" s="19">
        <v>0</v>
      </c>
      <c r="GL4" s="19">
        <v>0</v>
      </c>
      <c r="GM4" s="19">
        <v>18.8</v>
      </c>
      <c r="GN4" s="19">
        <v>6.8</v>
      </c>
      <c r="GO4" s="19">
        <v>0</v>
      </c>
      <c r="GP4" s="19">
        <v>0</v>
      </c>
      <c r="GQ4" s="14">
        <f>IF(SUM(FX4,GB4)&gt;0,SUM(FX4,GB4),"")</f>
        <v>13.2</v>
      </c>
      <c r="GR4" s="14">
        <f>IF(SUM(FW4:FX4,FZ4:GB4,GD4)-FY4-GC4&gt;0,SUM(FW4:FX4,FZ4:GB4,GD4)-FY4-GC4,"")</f>
        <v>50.4</v>
      </c>
      <c r="GS4" s="14" t="str">
        <f>IF(SUM(GE4:GF4,GH4)-GG4&gt;0,SUM(GE4:GF4,GH4)-GG4,"")</f>
        <v/>
      </c>
      <c r="GT4" s="14">
        <f>IF(SUM(GJ4,GN4)&gt;0,SUM(GJ4,GN4),"")</f>
        <v>13.2</v>
      </c>
      <c r="GU4" s="14">
        <f>IF(SUM(GI4:GJ4,GL4:GN4,GP4)-SUM(GK4,GO4)&gt;0,SUM(GI4:GJ4,GL4:GN4,GP4)-SUM(GK4,GO4),"")</f>
        <v>50.599999999999994</v>
      </c>
      <c r="GV4" s="14">
        <f>IF(SUM(GR4,GS4,GU4)&gt;0,SUM(GR4,GS4,GU4),"")</f>
        <v>101</v>
      </c>
      <c r="GW4" s="18"/>
      <c r="GX4" s="18"/>
      <c r="GY4" s="18"/>
      <c r="GZ4" s="18"/>
      <c r="HA4" s="18"/>
      <c r="HB4" s="18"/>
      <c r="HC4" s="18"/>
      <c r="HD4" s="18"/>
      <c r="HE4" s="18">
        <v>17.2</v>
      </c>
      <c r="HF4" s="18">
        <v>2.8</v>
      </c>
      <c r="HG4" s="18">
        <v>0</v>
      </c>
      <c r="HH4" s="18">
        <v>0</v>
      </c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>
        <f>IF(SUM(HE4:HF4,HH4)-HG4&gt;0,SUM(HE4:HF4,HH4)-HG4,"")</f>
        <v>20</v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>
        <f>IF(SUM(HR4,HS4,HU4)&gt;0,SUM(HR4,HS4,HU4),"")</f>
        <v>20</v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9.4</v>
      </c>
      <c r="OX4" s="27">
        <f>IF($CN4="P",BU4,(BU4+AT4)/2)</f>
        <v>3.2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9.5500000000000007</v>
      </c>
      <c r="PB4" s="27">
        <f>IF($CN4="P",BY4,(BY4+AX4)/2)</f>
        <v>3.4</v>
      </c>
      <c r="PC4" s="27">
        <f>IF($CN4="P",BZ4,(BZ4+AY4)/2)</f>
        <v>0</v>
      </c>
      <c r="PD4" s="27">
        <f>IF($CN4="P",CA4,(CA4+AZ4)/2)</f>
        <v>0</v>
      </c>
      <c r="PE4" s="27">
        <f>IF($CN4="P",CB4,(CB4+BA4)/2)</f>
        <v>9.35</v>
      </c>
      <c r="PF4" s="27">
        <f>IF($CN4="P",CC4,(CC4+BB4)/2)</f>
        <v>3</v>
      </c>
      <c r="PG4" s="27">
        <f>IF($CN4="P",CD4,(CD4+BC4)/2)</f>
        <v>0</v>
      </c>
      <c r="PH4" s="27">
        <f>IF($CN4="P",CE4,(CE4+BD4)/2)</f>
        <v>0</v>
      </c>
      <c r="PI4" s="27">
        <f>IF($CN4="P",CF4,(CF4+BE4)/2)</f>
        <v>9.1999999999999993</v>
      </c>
      <c r="PJ4" s="27">
        <f>IF($CN4="P",CG4,(CG4+BF4)/2)</f>
        <v>3.2</v>
      </c>
      <c r="PK4" s="27">
        <f>IF($CN4="P",CH4,(CH4+BG4)/2)</f>
        <v>0</v>
      </c>
      <c r="PL4" s="27">
        <f>IF($CN4="P",CI4,(CI4+BH4)/2)</f>
        <v>0</v>
      </c>
      <c r="PM4" s="27">
        <f>IF($CN4="P",CJ4,(CJ4+BI4)/2)</f>
        <v>9.35</v>
      </c>
      <c r="PN4" s="27">
        <f>IF($CN4="P",CK4,(CK4+BJ4)/2)</f>
        <v>3.4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6.6</v>
      </c>
      <c r="PS4" s="55">
        <f>IF(SUM(OW4:OX4,OZ4:PB4,PD4)-OY4-PC4&gt;0,SUM(OW4:OX4,OZ4:PB4,PD4)-OY4-PC4,"")</f>
        <v>25.55</v>
      </c>
      <c r="PT4" s="55">
        <f>IF(SUM(PE4:PF4,PH4)-PG4&gt;0,SUM(PE4:PF4,PH4)-PG4,"")</f>
        <v>12.35</v>
      </c>
      <c r="PU4" s="55">
        <f>IF(SUM(PJ4,PN4)&gt;0,SUM(PJ4,PN4),"")</f>
        <v>6.6</v>
      </c>
      <c r="PV4" s="55">
        <f>IF(SUM(PI4:PJ4,PL4:PN4,PP4)-SUM(PK4,PO4)&gt;0,SUM(PI4:PJ4,PL4:PN4,PP4)-SUM(PK4,PO4),"")</f>
        <v>25.15</v>
      </c>
      <c r="PW4" s="55">
        <f>IF(SUM(PS4,PT4,PV4)&gt;0,SUM(PS4,PT4,PV4),"")</f>
        <v>63.05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85</v>
      </c>
      <c r="C5" s="4" t="s">
        <v>68</v>
      </c>
      <c r="D5" s="4">
        <v>2007</v>
      </c>
      <c r="E5" s="10">
        <f>SUM(I5:O5)+SUM(I5:M5)*0.0000001+SUM(I5)*0.0000000000001</f>
        <v>146.3000146200049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49.300000000000004</v>
      </c>
      <c r="J5" s="9" t="str">
        <f>IF(I5=0,"",IF(I5=CP5,$BT$1,IF(I5=BO5,$AS$1,IF(I5=AN5,$R$1,""))))</f>
        <v>2023 Nationals</v>
      </c>
      <c r="K5" s="9">
        <f>IF(COUNT(AN5,BO5,CP5)&gt;1,LARGE((AN5,BO5,CP5),2),0)</f>
        <v>48.2</v>
      </c>
      <c r="L5" s="9" t="str">
        <f>IF(K5=0,"",IF(K5=CP5,$BT$1,IF(K5=BO5,$AS$1,IF(K5=AN5,$R$1,""))))</f>
        <v>2023 Elite Canada</v>
      </c>
      <c r="M5" s="9">
        <f>IF(MAX(AQ5,BR5,CS5)&gt;0,MAX(AQ5,BR5,CS5),0)</f>
        <v>48.699999999999996</v>
      </c>
      <c r="N5" s="9" t="str">
        <f>IF(M5=0,"",IF(M5=CS5,$BT$1,IF(M5=BR5,$AS$1,IF(M5=AQ5,$R$1,""))))</f>
        <v>2023 3rd Domestic Trial</v>
      </c>
      <c r="O5" s="9">
        <f>IF(MAX(CU5:CV5)&gt;0,MAX(CU5:CV5),"")</f>
        <v>0.10000000000000142</v>
      </c>
      <c r="P5" s="14" t="str">
        <f>IF(O5="","",IF(O5=CU5,"("&amp;CU$2&amp;")",IF(O5=CV5,"("&amp;CV$2&amp;")")))</f>
        <v>(Final)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Junior Worlds (Nov 19)</v>
      </c>
      <c r="R5" s="20">
        <v>19</v>
      </c>
      <c r="S5" s="20">
        <v>5.2</v>
      </c>
      <c r="T5" s="20">
        <v>0</v>
      </c>
      <c r="U5" s="20">
        <v>0</v>
      </c>
      <c r="V5" s="20">
        <v>18.8</v>
      </c>
      <c r="W5" s="20">
        <v>5.2</v>
      </c>
      <c r="X5" s="20">
        <v>0</v>
      </c>
      <c r="Y5" s="20">
        <v>0</v>
      </c>
      <c r="Z5" s="20">
        <v>17.5</v>
      </c>
      <c r="AA5" s="20">
        <v>1.2</v>
      </c>
      <c r="AB5" s="20">
        <v>0</v>
      </c>
      <c r="AC5" s="20">
        <v>0</v>
      </c>
      <c r="AD5" s="20">
        <v>18.8</v>
      </c>
      <c r="AE5" s="20">
        <v>6</v>
      </c>
      <c r="AF5" s="20">
        <v>0.6</v>
      </c>
      <c r="AG5" s="20">
        <v>0</v>
      </c>
      <c r="AH5" s="20">
        <v>18.600000000000001</v>
      </c>
      <c r="AI5" s="20">
        <v>5.6</v>
      </c>
      <c r="AJ5" s="20">
        <v>0.6</v>
      </c>
      <c r="AK5" s="20">
        <v>0</v>
      </c>
      <c r="AL5" s="32"/>
      <c r="AM5" s="55">
        <f>IF(SUM(S5,W5)&gt;0,SUM(S5,W5),"")</f>
        <v>10.4</v>
      </c>
      <c r="AN5" s="55">
        <f>IF(SUM(R5:S5,U5:W5,Y5)-T5-X5&gt;0,SUM(R5:S5,U5:W5,Y5)-T5-X5,"")</f>
        <v>48.2</v>
      </c>
      <c r="AO5" s="55">
        <f>IF(SUM(Z5:AA5,AC5)-AB5&gt;0,SUM(Z5:AA5,AC5)-AB5,"")</f>
        <v>18.7</v>
      </c>
      <c r="AP5" s="55">
        <f>IF(SUM(AE5,AI5)&gt;0,SUM(AE5,AI5),"")</f>
        <v>11.6</v>
      </c>
      <c r="AQ5" s="55">
        <f>IF(SUM(AD5:AE5,AG5:AI5,AK5)-SUM(AF5,AJ5)&gt;0,SUM(AD5:AE5,AG5:AI5,AK5)-SUM(AF5,AJ5),"")</f>
        <v>47.800000000000004</v>
      </c>
      <c r="AR5" s="55">
        <f>IF(SUM(AN5,AO5,AQ5)&gt;0,SUM(AN5,AO5,AQ5),"")</f>
        <v>114.70000000000002</v>
      </c>
      <c r="AS5" s="19">
        <v>18.3</v>
      </c>
      <c r="AT5" s="19">
        <v>6</v>
      </c>
      <c r="AU5" s="19">
        <v>0</v>
      </c>
      <c r="AV5" s="19">
        <v>0</v>
      </c>
      <c r="AW5" s="19">
        <v>18.600000000000001</v>
      </c>
      <c r="AX5" s="19">
        <v>6.4</v>
      </c>
      <c r="AY5" s="19">
        <v>0</v>
      </c>
      <c r="AZ5" s="19">
        <v>0</v>
      </c>
      <c r="BA5" s="19">
        <v>17.899999999999999</v>
      </c>
      <c r="BB5" s="19">
        <v>5.2</v>
      </c>
      <c r="BC5" s="19">
        <v>0.2</v>
      </c>
      <c r="BD5" s="19">
        <v>0</v>
      </c>
      <c r="BE5" s="19">
        <v>18.5</v>
      </c>
      <c r="BF5" s="19">
        <v>6</v>
      </c>
      <c r="BG5" s="19">
        <v>0.6</v>
      </c>
      <c r="BH5" s="19">
        <v>0</v>
      </c>
      <c r="BI5" s="19">
        <v>19</v>
      </c>
      <c r="BJ5" s="19">
        <v>5.6</v>
      </c>
      <c r="BK5" s="19">
        <v>0</v>
      </c>
      <c r="BL5" s="19">
        <v>0</v>
      </c>
      <c r="BM5" s="33"/>
      <c r="BN5" s="14">
        <f>IF(SUM(AT5,AX5)&gt;0,SUM(AT5,AX5),"")</f>
        <v>12.4</v>
      </c>
      <c r="BO5" s="14">
        <f>IF(SUM(AS5:AT5,AV5:AX5,AZ5)-AU5-AY5&gt;0,SUM(AS5:AT5,AV5:AX5,AZ5)-AU5-AY5,"")</f>
        <v>49.300000000000004</v>
      </c>
      <c r="BP5" s="14">
        <f>IF(SUM(BA5:BB5,BD5)-BC5&gt;0,SUM(BA5:BB5,BD5)-BC5,"")</f>
        <v>22.9</v>
      </c>
      <c r="BQ5" s="14">
        <f>IF(SUM(BF5,BJ5)&gt;0,SUM(BF5,BJ5),"")</f>
        <v>11.6</v>
      </c>
      <c r="BR5" s="14">
        <f>IF(SUM(BE5:BF5,BH5:BJ5,BL5)-SUM(BG5,BK5)&gt;0,SUM(BE5:BF5,BH5:BJ5,BL5)-SUM(BG5,BK5),"")</f>
        <v>48.5</v>
      </c>
      <c r="BS5" s="14">
        <f>IF(SUM(BO5,BP5,BR5)&gt;0,SUM(BO5,BP5,BR5),"")</f>
        <v>120.7</v>
      </c>
      <c r="BT5" s="20">
        <v>18.2</v>
      </c>
      <c r="BU5" s="20">
        <v>5.1999999999999993</v>
      </c>
      <c r="BV5" s="20">
        <v>0</v>
      </c>
      <c r="BW5" s="20">
        <v>0</v>
      </c>
      <c r="BX5" s="20">
        <v>18.2</v>
      </c>
      <c r="BY5" s="20">
        <v>5.1999999999999993</v>
      </c>
      <c r="BZ5" s="20">
        <v>0.2</v>
      </c>
      <c r="CA5" s="20">
        <v>0</v>
      </c>
      <c r="CB5" s="20">
        <v>17</v>
      </c>
      <c r="CC5" s="20">
        <v>3.2</v>
      </c>
      <c r="CD5" s="20">
        <v>0</v>
      </c>
      <c r="CE5" s="20">
        <v>0</v>
      </c>
      <c r="CF5" s="20">
        <v>18.7</v>
      </c>
      <c r="CG5" s="20">
        <v>6</v>
      </c>
      <c r="CH5" s="20">
        <v>0.2</v>
      </c>
      <c r="CI5" s="20">
        <v>0</v>
      </c>
      <c r="CJ5" s="20">
        <v>18.600000000000001</v>
      </c>
      <c r="CK5" s="20">
        <v>5.6</v>
      </c>
      <c r="CL5" s="20">
        <v>0</v>
      </c>
      <c r="CM5" s="20">
        <v>0</v>
      </c>
      <c r="CN5" s="32"/>
      <c r="CO5" s="55">
        <f>IF(SUM(BU5,BY5)&gt;0,SUM(BU5,BY5),"")</f>
        <v>10.399999999999999</v>
      </c>
      <c r="CP5" s="55">
        <f>IF(SUM(BT5:BU5,BW5:BY5,CA5)-BV5-BZ5&gt;0,SUM(BT5:BU5,BW5:BY5,CA5)-BV5-BZ5,"")</f>
        <v>46.599999999999994</v>
      </c>
      <c r="CQ5" s="55">
        <f>IF(SUM(CB5:CC5,CE5)-CD5&gt;0,SUM(CB5:CC5,CE5)-CD5,"")</f>
        <v>20.2</v>
      </c>
      <c r="CR5" s="55">
        <f>IF(SUM(CG5,CK5)&gt;0,SUM(CG5,CK5),"")</f>
        <v>11.6</v>
      </c>
      <c r="CS5" s="55">
        <f>IF(SUM(CF5:CG5,CI5:CK5,CM5)-SUM(CH5,CL5)&gt;0,SUM(CF5:CG5,CI5:CK5,CM5)-SUM(CH5,CL5),"")</f>
        <v>48.699999999999996</v>
      </c>
      <c r="CT5" s="55">
        <f>IF(SUM(CP5,CQ5,CS5)&gt;0,SUM(CP5,CQ5,CS5),"")</f>
        <v>115.5</v>
      </c>
      <c r="CU5" s="56" t="str">
        <f>IF(MAX(DR5,ER5,FR5,GR5,HR5,IR5,JR5,KR5,LR5,MR5,NR5,OR5)-IF(K5="",0,K5)&gt;0.001,MAX(DR5,ER5,FR5,GR5,HR5,IR5,JR5,KR5,LR5,MR5,NR5,OR5)-IF(K5="",0,K5),"")</f>
        <v/>
      </c>
      <c r="CV5" s="56">
        <f>IF(MAX(DU5,EU5,FU5,GU5,HU5,IU5,JU5,KU5,LU5,MU5,NU5,OU5)-IF(M5="",0,M5)&gt;0.001,MAX(DU5,EU5,FU5,GU5,HU5,IU5,JU5,KU5,LU5,MU5,NU5,OU5)-IF(M5="",0,M5),"")</f>
        <v>0.10000000000000142</v>
      </c>
      <c r="CW5" s="18">
        <v>17.3</v>
      </c>
      <c r="CX5" s="18">
        <v>2.4</v>
      </c>
      <c r="CY5" s="18">
        <v>0</v>
      </c>
      <c r="CZ5" s="18">
        <v>0</v>
      </c>
      <c r="DA5" s="18">
        <v>18.3</v>
      </c>
      <c r="DB5" s="18">
        <v>5.2</v>
      </c>
      <c r="DC5" s="18">
        <v>0.2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7.6</v>
      </c>
      <c r="DR5" s="55">
        <f>IF(SUM(CW5:CX5,CZ5:DB5,DD5)-CY5-DC5&gt;0,SUM(CW5:CX5,CZ5:DB5,DD5)-CY5-DC5,"")</f>
        <v>43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>
        <v>16.7</v>
      </c>
      <c r="FX5" s="19">
        <v>6.8</v>
      </c>
      <c r="FY5" s="19">
        <v>0.8</v>
      </c>
      <c r="FZ5" s="19">
        <v>0</v>
      </c>
      <c r="GA5" s="19">
        <v>18.600000000000001</v>
      </c>
      <c r="GB5" s="19">
        <v>6.4</v>
      </c>
      <c r="GC5" s="19">
        <v>0</v>
      </c>
      <c r="GD5" s="19">
        <v>0</v>
      </c>
      <c r="GE5" s="19"/>
      <c r="GF5" s="19"/>
      <c r="GG5" s="19"/>
      <c r="GH5" s="19"/>
      <c r="GI5" s="19">
        <v>18.399999999999999</v>
      </c>
      <c r="GJ5" s="19">
        <v>6.4</v>
      </c>
      <c r="GK5" s="19">
        <v>0.6</v>
      </c>
      <c r="GL5" s="19">
        <v>0</v>
      </c>
      <c r="GM5" s="19"/>
      <c r="GN5" s="19"/>
      <c r="GO5" s="19"/>
      <c r="GP5" s="19"/>
      <c r="GQ5" s="14">
        <f>IF(SUM(FX5,GB5)&gt;0,SUM(FX5,GB5),"")</f>
        <v>13.2</v>
      </c>
      <c r="GR5" s="14">
        <f>IF(SUM(FW5:FX5,FZ5:GB5,GD5)-FY5-GC5&gt;0,SUM(FW5:FX5,FZ5:GB5,GD5)-FY5-GC5,"")</f>
        <v>47.7</v>
      </c>
      <c r="GS5" s="14" t="str">
        <f>IF(SUM(GE5:GF5,GH5)-GG5&gt;0,SUM(GE5:GF5,GH5)-GG5,"")</f>
        <v/>
      </c>
      <c r="GT5" s="14">
        <f>IF(SUM(GJ5,GN5)&gt;0,SUM(GJ5,GN5),"")</f>
        <v>6.4</v>
      </c>
      <c r="GU5" s="14">
        <f>IF(SUM(GI5:GJ5,GL5:GN5,GP5)-SUM(GK5,GO5)&gt;0,SUM(GI5:GJ5,GL5:GN5,GP5)-SUM(GK5,GO5),"")</f>
        <v>24.199999999999996</v>
      </c>
      <c r="GV5" s="14">
        <f>IF(SUM(GR5,GS5,GU5)&gt;0,SUM(GR5,GS5,GU5),"")</f>
        <v>71.900000000000006</v>
      </c>
      <c r="GW5" s="18"/>
      <c r="GX5" s="18"/>
      <c r="GY5" s="18"/>
      <c r="GZ5" s="18"/>
      <c r="HA5" s="18"/>
      <c r="HB5" s="18"/>
      <c r="HC5" s="18"/>
      <c r="HD5" s="18"/>
      <c r="HE5" s="18">
        <v>18.600000000000001</v>
      </c>
      <c r="HF5" s="18">
        <v>6.4</v>
      </c>
      <c r="HG5" s="18">
        <v>0</v>
      </c>
      <c r="HH5" s="18">
        <v>0</v>
      </c>
      <c r="HI5" s="18">
        <v>18.8</v>
      </c>
      <c r="HJ5" s="18">
        <v>5.6</v>
      </c>
      <c r="HK5" s="18">
        <v>0</v>
      </c>
      <c r="HL5" s="18">
        <v>0</v>
      </c>
      <c r="HM5" s="18">
        <v>18.399999999999999</v>
      </c>
      <c r="HN5" s="18">
        <v>6</v>
      </c>
      <c r="HO5" s="18">
        <v>0</v>
      </c>
      <c r="HP5" s="18">
        <v>0</v>
      </c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>
        <f>IF(SUM(HE5:HF5,HH5)-HG5&gt;0,SUM(HE5:HF5,HH5)-HG5,"")</f>
        <v>25</v>
      </c>
      <c r="HT5" s="55">
        <f>IF(SUM(HJ5,HN5)&gt;0,SUM(HJ5,HN5),"")</f>
        <v>11.6</v>
      </c>
      <c r="HU5" s="55">
        <f>IF(SUM(HI5:HJ5,HL5:HN5,HP5)-SUM(HK5,HO5)&gt;0,SUM(HI5:HJ5,HL5:HN5,HP5)-SUM(HK5,HO5),"")</f>
        <v>48.8</v>
      </c>
      <c r="HV5" s="55">
        <f>IF(SUM(HR5,HS5,HU5)&gt;0,SUM(HR5,HS5,HU5),"")</f>
        <v>73.8</v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18.25</v>
      </c>
      <c r="OX5" s="27">
        <f>IF($CN5="P",BU5,(BU5+AT5)/2)</f>
        <v>5.6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18.399999999999999</v>
      </c>
      <c r="PB5" s="27">
        <f>IF($CN5="P",BY5,(BY5+AX5)/2)</f>
        <v>5.8</v>
      </c>
      <c r="PC5" s="27">
        <f>IF($CN5="P",BZ5,(BZ5+AY5)/2)</f>
        <v>0.1</v>
      </c>
      <c r="PD5" s="27">
        <f>IF($CN5="P",CA5,(CA5+AZ5)/2)</f>
        <v>0</v>
      </c>
      <c r="PE5" s="27">
        <f>IF($CN5="P",CB5,(CB5+BA5)/2)</f>
        <v>17.45</v>
      </c>
      <c r="PF5" s="27">
        <f>IF($CN5="P",CC5,(CC5+BB5)/2)</f>
        <v>4.2</v>
      </c>
      <c r="PG5" s="27">
        <f>IF($CN5="P",CD5,(CD5+BC5)/2)</f>
        <v>0.1</v>
      </c>
      <c r="PH5" s="27">
        <f>IF($CN5="P",CE5,(CE5+BD5)/2)</f>
        <v>0</v>
      </c>
      <c r="PI5" s="27">
        <f>IF($CN5="P",CF5,(CF5+BE5)/2)</f>
        <v>18.600000000000001</v>
      </c>
      <c r="PJ5" s="27">
        <f>IF($CN5="P",CG5,(CG5+BF5)/2)</f>
        <v>6</v>
      </c>
      <c r="PK5" s="27">
        <f>IF($CN5="P",CH5,(CH5+BG5)/2)</f>
        <v>0.4</v>
      </c>
      <c r="PL5" s="27">
        <f>IF($CN5="P",CI5,(CI5+BH5)/2)</f>
        <v>0</v>
      </c>
      <c r="PM5" s="27">
        <f>IF($CN5="P",CJ5,(CJ5+BI5)/2)</f>
        <v>18.8</v>
      </c>
      <c r="PN5" s="27">
        <f>IF($CN5="P",CK5,(CK5+BJ5)/2)</f>
        <v>5.6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>
        <f>IF(SUM(OX5,PB5)&gt;0,SUM(OX5,PB5),"")</f>
        <v>11.399999999999999</v>
      </c>
      <c r="PS5" s="55">
        <f>IF(SUM(OW5:OX5,OZ5:PB5,PD5)-OY5-PC5&gt;0,SUM(OW5:OX5,OZ5:PB5,PD5)-OY5-PC5,"")</f>
        <v>47.949999999999996</v>
      </c>
      <c r="PT5" s="55">
        <f>IF(SUM(PE5:PF5,PH5)-PG5&gt;0,SUM(PE5:PF5,PH5)-PG5,"")</f>
        <v>21.549999999999997</v>
      </c>
      <c r="PU5" s="55">
        <f>IF(SUM(PJ5,PN5)&gt;0,SUM(PJ5,PN5),"")</f>
        <v>11.6</v>
      </c>
      <c r="PV5" s="55">
        <f>IF(SUM(PI5:PJ5,PL5:PN5,PP5)-SUM(PK5,PO5)&gt;0,SUM(PI5:PJ5,PL5:PN5,PP5)-SUM(PK5,PO5),"")</f>
        <v>48.600000000000009</v>
      </c>
      <c r="PW5" s="55">
        <f>IF(SUM(PS5,PT5,PV5)&gt;0,SUM(PS5,PT5,PV5),"")</f>
        <v>118.10000000000001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89</v>
      </c>
      <c r="C6" s="4" t="s">
        <v>68</v>
      </c>
      <c r="D6" s="4">
        <v>2008</v>
      </c>
      <c r="E6" s="10">
        <f>SUM(I6:O6)+SUM(I6:M6)*0.0000001+SUM(I6)*0.0000000000001</f>
        <v>144.40001415000472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47.099999999999994</v>
      </c>
      <c r="J6" s="9" t="str">
        <f>IF(I6=0,"",IF(I6=CP6,$BT$1,IF(I6=BO6,$AS$1,IF(I6=AN6,$R$1,""))))</f>
        <v>2023 Elite Canada</v>
      </c>
      <c r="K6" s="9">
        <f>IF(COUNT(AN6,BO6,CP6)&gt;1,LARGE((AN6,BO6,CP6),2),0)</f>
        <v>46.800000000000004</v>
      </c>
      <c r="L6" s="9" t="str">
        <f>IF(K6=0,"",IF(K6=CP6,$BT$1,IF(K6=BO6,$AS$1,IF(K6=AN6,$R$1,""))))</f>
        <v>2023 3rd Domestic Trial</v>
      </c>
      <c r="M6" s="9">
        <f>IF(MAX(AQ6,BR6,CS6)&gt;0,MAX(AQ6,BR6,CS6),0)</f>
        <v>47.599999999999994</v>
      </c>
      <c r="N6" s="9" t="str">
        <f>IF(M6=0,"",IF(M6=CS6,$BT$1,IF(M6=BR6,$AS$1,IF(M6=AQ6,$R$1,""))))</f>
        <v>2023 Nationals</v>
      </c>
      <c r="O6" s="9">
        <f>IF(MAX(CU6:CV6)&gt;0,MAX(CU6:CV6),"")</f>
        <v>2.8999999999999986</v>
      </c>
      <c r="P6" s="14" t="str">
        <f>IF(O6="","",IF(O6=CU6,"("&amp;CU$2&amp;")",IF(O6=CV6,"("&amp;CV$2&amp;")")))</f>
        <v>(Q1)</v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2023 WAGC (Nov 18)</v>
      </c>
      <c r="R6" s="20">
        <v>18.600000000000001</v>
      </c>
      <c r="S6" s="20">
        <v>5.2</v>
      </c>
      <c r="T6" s="20">
        <v>0.2</v>
      </c>
      <c r="U6" s="20">
        <v>0</v>
      </c>
      <c r="V6" s="20">
        <v>18.5</v>
      </c>
      <c r="W6" s="20">
        <v>5.2</v>
      </c>
      <c r="X6" s="20">
        <v>0.2</v>
      </c>
      <c r="Y6" s="20">
        <v>0</v>
      </c>
      <c r="Z6" s="20">
        <v>18.600000000000001</v>
      </c>
      <c r="AA6" s="20">
        <v>5.0999999999999996</v>
      </c>
      <c r="AB6" s="20">
        <v>0</v>
      </c>
      <c r="AC6" s="20">
        <v>0</v>
      </c>
      <c r="AD6" s="20">
        <v>17.8</v>
      </c>
      <c r="AE6" s="20">
        <v>5.6</v>
      </c>
      <c r="AF6" s="20">
        <v>0.2</v>
      </c>
      <c r="AG6" s="20">
        <v>0</v>
      </c>
      <c r="AH6" s="20">
        <v>18.3</v>
      </c>
      <c r="AI6" s="20">
        <v>5.6</v>
      </c>
      <c r="AJ6" s="20">
        <v>0.8</v>
      </c>
      <c r="AK6" s="20">
        <v>0</v>
      </c>
      <c r="AL6" s="32"/>
      <c r="AM6" s="55">
        <f>IF(SUM(S6,W6)&gt;0,SUM(S6,W6),"")</f>
        <v>10.4</v>
      </c>
      <c r="AN6" s="55">
        <f>IF(SUM(R6:S6,U6:W6,Y6)-T6-X6&gt;0,SUM(R6:S6,U6:W6,Y6)-T6-X6,"")</f>
        <v>47.099999999999994</v>
      </c>
      <c r="AO6" s="55">
        <f>IF(SUM(Z6:AA6,AC6)-AB6&gt;0,SUM(Z6:AA6,AC6)-AB6,"")</f>
        <v>23.700000000000003</v>
      </c>
      <c r="AP6" s="55">
        <f>IF(SUM(AE6,AI6)&gt;0,SUM(AE6,AI6),"")</f>
        <v>11.2</v>
      </c>
      <c r="AQ6" s="55">
        <f>IF(SUM(AD6:AE6,AG6:AI6,AK6)-SUM(AF6,AJ6)&gt;0,SUM(AD6:AE6,AG6:AI6,AK6)-SUM(AF6,AJ6),"")</f>
        <v>46.300000000000004</v>
      </c>
      <c r="AR6" s="55">
        <f>IF(SUM(AN6,AO6,AQ6)&gt;0,SUM(AN6,AO6,AQ6),"")</f>
        <v>117.1</v>
      </c>
      <c r="AS6" s="19">
        <v>0</v>
      </c>
      <c r="AT6" s="19">
        <v>0</v>
      </c>
      <c r="AU6" s="19">
        <v>0</v>
      </c>
      <c r="AV6" s="19">
        <v>0</v>
      </c>
      <c r="AW6" s="19">
        <v>18</v>
      </c>
      <c r="AX6" s="19">
        <v>6</v>
      </c>
      <c r="AY6" s="19">
        <v>0.2</v>
      </c>
      <c r="AZ6" s="19">
        <v>0</v>
      </c>
      <c r="BA6" s="19">
        <v>18.2</v>
      </c>
      <c r="BB6" s="19">
        <v>5.2</v>
      </c>
      <c r="BC6" s="19">
        <v>1</v>
      </c>
      <c r="BD6" s="19">
        <v>0</v>
      </c>
      <c r="BE6" s="19">
        <v>18.8</v>
      </c>
      <c r="BF6" s="19">
        <v>5.6</v>
      </c>
      <c r="BG6" s="19">
        <v>0.6</v>
      </c>
      <c r="BH6" s="19">
        <v>0</v>
      </c>
      <c r="BI6" s="19">
        <v>18.2</v>
      </c>
      <c r="BJ6" s="19">
        <v>5.6</v>
      </c>
      <c r="BK6" s="19">
        <v>0</v>
      </c>
      <c r="BL6" s="19">
        <v>0</v>
      </c>
      <c r="BM6" s="33"/>
      <c r="BN6" s="14">
        <f>IF(SUM(AT6,AX6)&gt;0,SUM(AT6,AX6),"")</f>
        <v>6</v>
      </c>
      <c r="BO6" s="14">
        <f>IF(SUM(AS6:AT6,AV6:AX6,AZ6)-AU6-AY6&gt;0,SUM(AS6:AT6,AV6:AX6,AZ6)-AU6-AY6,"")</f>
        <v>23.8</v>
      </c>
      <c r="BP6" s="14">
        <f>IF(SUM(BA6:BB6,BD6)-BC6&gt;0,SUM(BA6:BB6,BD6)-BC6,"")</f>
        <v>22.4</v>
      </c>
      <c r="BQ6" s="14">
        <f>IF(SUM(BF6,BJ6)&gt;0,SUM(BF6,BJ6),"")</f>
        <v>11.2</v>
      </c>
      <c r="BR6" s="14">
        <f>IF(SUM(BE6:BF6,BH6:BJ6,BL6)-SUM(BG6,BK6)&gt;0,SUM(BE6:BF6,BH6:BJ6,BL6)-SUM(BG6,BK6),"")</f>
        <v>47.599999999999994</v>
      </c>
      <c r="BS6" s="14">
        <f>IF(SUM(BO6,BP6,BR6)&gt;0,SUM(BO6,BP6,BR6),"")</f>
        <v>93.8</v>
      </c>
      <c r="BT6" s="20">
        <v>18.600000000000001</v>
      </c>
      <c r="BU6" s="20">
        <v>5.1999999999999993</v>
      </c>
      <c r="BV6" s="20">
        <v>0.6</v>
      </c>
      <c r="BW6" s="20">
        <v>0</v>
      </c>
      <c r="BX6" s="20">
        <v>18.399999999999999</v>
      </c>
      <c r="BY6" s="20">
        <v>5.1999999999999993</v>
      </c>
      <c r="BZ6" s="20">
        <v>0</v>
      </c>
      <c r="CA6" s="20">
        <v>0</v>
      </c>
      <c r="CB6" s="20">
        <v>18.8</v>
      </c>
      <c r="CC6" s="20">
        <v>3.9000000000000004</v>
      </c>
      <c r="CD6" s="20">
        <v>0</v>
      </c>
      <c r="CE6" s="20">
        <v>0</v>
      </c>
      <c r="CF6" s="20">
        <v>18.100000000000001</v>
      </c>
      <c r="CG6" s="20">
        <v>5.6</v>
      </c>
      <c r="CH6" s="20">
        <v>0.2</v>
      </c>
      <c r="CI6" s="20">
        <v>0</v>
      </c>
      <c r="CJ6" s="20">
        <v>18.399999999999999</v>
      </c>
      <c r="CK6" s="20">
        <v>5.6</v>
      </c>
      <c r="CL6" s="20">
        <v>0.6</v>
      </c>
      <c r="CM6" s="20">
        <v>0</v>
      </c>
      <c r="CN6" s="32"/>
      <c r="CO6" s="55">
        <f>IF(SUM(BU6,BY6)&gt;0,SUM(BU6,BY6),"")</f>
        <v>10.399999999999999</v>
      </c>
      <c r="CP6" s="55">
        <f>IF(SUM(BT6:BU6,BW6:BY6,CA6)-BV6-BZ6&gt;0,SUM(BT6:BU6,BW6:BY6,CA6)-BV6-BZ6,"")</f>
        <v>46.800000000000004</v>
      </c>
      <c r="CQ6" s="55">
        <f>IF(SUM(CB6:CC6,CE6)-CD6&gt;0,SUM(CB6:CC6,CE6)-CD6,"")</f>
        <v>22.700000000000003</v>
      </c>
      <c r="CR6" s="55">
        <f>IF(SUM(CG6,CK6)&gt;0,SUM(CG6,CK6),"")</f>
        <v>11.2</v>
      </c>
      <c r="CS6" s="55">
        <f>IF(SUM(CF6:CG6,CI6:CK6,CM6)-SUM(CH6,CL6)&gt;0,SUM(CF6:CG6,CI6:CK6,CM6)-SUM(CH6,CL6),"")</f>
        <v>46.900000000000006</v>
      </c>
      <c r="CT6" s="55">
        <f>IF(SUM(CP6,CQ6,CS6)&gt;0,SUM(CP6,CQ6,CS6),"")</f>
        <v>116.4</v>
      </c>
      <c r="CU6" s="56">
        <f>IF(MAX(DR6,ER6,FR6,GR6,HR6,IR6,JR6,KR6,LR6,MR6,NR6,OR6)-IF(K6="",0,K6)&gt;0.001,MAX(DR6,ER6,FR6,GR6,HR6,IR6,JR6,KR6,LR6,MR6,NR6,OR6)-IF(K6="",0,K6),"")</f>
        <v>2.8999999999999986</v>
      </c>
      <c r="CV6" s="56">
        <f>IF(MAX(DU6,EU6,FU6,GU6,HU6,IU6,JU6,KU6,LU6,MU6,NU6,OU6)-IF(M6="",0,M6)&gt;0.001,MAX(DU6,EU6,FU6,GU6,HU6,IU6,JU6,KU6,LU6,MU6,NU6,OU6)-IF(M6="",0,M6),"")</f>
        <v>1</v>
      </c>
      <c r="CW6" s="18">
        <v>17.8</v>
      </c>
      <c r="CX6" s="18">
        <v>4.4000000000000004</v>
      </c>
      <c r="CY6" s="18">
        <v>0.2</v>
      </c>
      <c r="CZ6" s="18">
        <v>0</v>
      </c>
      <c r="DA6" s="18">
        <v>17.2</v>
      </c>
      <c r="DB6" s="18">
        <v>2.8</v>
      </c>
      <c r="DC6" s="18">
        <v>0</v>
      </c>
      <c r="DD6" s="18">
        <v>0</v>
      </c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>
        <f>IF(SUM(CX6,DB6)&gt;0,SUM(CX6,DB6),"")</f>
        <v>7.2</v>
      </c>
      <c r="DR6" s="55">
        <f>IF(SUM(CW6:CX6,CZ6:DB6,DD6)-CY6-DC6&gt;0,SUM(CW6:CX6,CZ6:DB6,DD6)-CY6-DC6,"")</f>
        <v>42</v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>
        <f>IF(SUM(DR6,DS6,DU6)&gt;0,SUM(DR6,DS6,DU6),"")</f>
        <v>42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>
        <v>18.2</v>
      </c>
      <c r="FX6" s="19">
        <v>6.4</v>
      </c>
      <c r="FY6" s="19">
        <v>0</v>
      </c>
      <c r="FZ6" s="19">
        <v>0</v>
      </c>
      <c r="GA6" s="19">
        <v>18.3</v>
      </c>
      <c r="GB6" s="19">
        <v>6.8</v>
      </c>
      <c r="GC6" s="19">
        <v>0</v>
      </c>
      <c r="GD6" s="19">
        <v>0</v>
      </c>
      <c r="GE6" s="19"/>
      <c r="GF6" s="19"/>
      <c r="GG6" s="19"/>
      <c r="GH6" s="19"/>
      <c r="GI6" s="19">
        <v>18.2</v>
      </c>
      <c r="GJ6" s="19">
        <v>6.8</v>
      </c>
      <c r="GK6" s="19">
        <v>0.6</v>
      </c>
      <c r="GL6" s="19">
        <v>0</v>
      </c>
      <c r="GM6" s="19">
        <v>18.399999999999999</v>
      </c>
      <c r="GN6" s="19">
        <v>6.4</v>
      </c>
      <c r="GO6" s="19">
        <v>0.6</v>
      </c>
      <c r="GP6" s="19">
        <v>0</v>
      </c>
      <c r="GQ6" s="14">
        <f>IF(SUM(FX6,GB6)&gt;0,SUM(FX6,GB6),"")</f>
        <v>13.2</v>
      </c>
      <c r="GR6" s="14">
        <f>IF(SUM(FW6:FX6,FZ6:GB6,GD6)-FY6-GC6&gt;0,SUM(FW6:FX6,FZ6:GB6,GD6)-FY6-GC6,"")</f>
        <v>49.7</v>
      </c>
      <c r="GS6" s="14" t="str">
        <f>IF(SUM(GE6:GF6,GH6)-GG6&gt;0,SUM(GE6:GF6,GH6)-GG6,"")</f>
        <v/>
      </c>
      <c r="GT6" s="14">
        <f>IF(SUM(GJ6,GN6)&gt;0,SUM(GJ6,GN6),"")</f>
        <v>13.2</v>
      </c>
      <c r="GU6" s="14">
        <f>IF(SUM(GI6:GJ6,GL6:GN6,GP6)-SUM(GK6,GO6)&gt;0,SUM(GI6:GJ6,GL6:GN6,GP6)-SUM(GK6,GO6),"")</f>
        <v>48.599999999999994</v>
      </c>
      <c r="GV6" s="14">
        <f>IF(SUM(GR6,GS6,GU6)&gt;0,SUM(GR6,GS6,GU6),"")</f>
        <v>98.3</v>
      </c>
      <c r="GW6" s="18"/>
      <c r="GX6" s="18"/>
      <c r="GY6" s="18"/>
      <c r="GZ6" s="18"/>
      <c r="HA6" s="18"/>
      <c r="HB6" s="18"/>
      <c r="HC6" s="18"/>
      <c r="HD6" s="18"/>
      <c r="HE6" s="18">
        <v>18</v>
      </c>
      <c r="HF6" s="18">
        <v>6.4</v>
      </c>
      <c r="HG6" s="18">
        <v>0.2</v>
      </c>
      <c r="HH6" s="18">
        <v>0</v>
      </c>
      <c r="HI6" s="18">
        <v>17.8</v>
      </c>
      <c r="HJ6" s="18">
        <v>6</v>
      </c>
      <c r="HK6" s="18">
        <v>0.2</v>
      </c>
      <c r="HL6" s="18">
        <v>0</v>
      </c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>
        <f>IF(SUM(HE6:HF6,HH6)-HG6&gt;0,SUM(HE6:HF6,HH6)-HG6,"")</f>
        <v>24.2</v>
      </c>
      <c r="HT6" s="55">
        <f>IF(SUM(HJ6,HN6)&gt;0,SUM(HJ6,HN6),"")</f>
        <v>6</v>
      </c>
      <c r="HU6" s="55">
        <f>IF(SUM(HI6:HJ6,HL6:HN6,HP6)-SUM(HK6,HO6)&gt;0,SUM(HI6:HJ6,HL6:HN6,HP6)-SUM(HK6,HO6),"")</f>
        <v>23.6</v>
      </c>
      <c r="HV6" s="55">
        <f>IF(SUM(HR6,HS6,HU6)&gt;0,SUM(HR6,HS6,HU6),"")</f>
        <v>47.8</v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9.3000000000000007</v>
      </c>
      <c r="OX6" s="27">
        <f>IF($CN6="P",BU6,(BU6+AT6)/2)</f>
        <v>2.5999999999999996</v>
      </c>
      <c r="OY6" s="27">
        <f>IF($CN6="P",BV6,(BV6+AU6)/2)</f>
        <v>0.3</v>
      </c>
      <c r="OZ6" s="27">
        <f>IF($CN6="P",BW6,(BW6+AV6)/2)</f>
        <v>0</v>
      </c>
      <c r="PA6" s="27">
        <f>IF($CN6="P",BX6,(BX6+AW6)/2)</f>
        <v>18.2</v>
      </c>
      <c r="PB6" s="27">
        <f>IF($CN6="P",BY6,(BY6+AX6)/2)</f>
        <v>5.6</v>
      </c>
      <c r="PC6" s="27">
        <f>IF($CN6="P",BZ6,(BZ6+AY6)/2)</f>
        <v>0.1</v>
      </c>
      <c r="PD6" s="27">
        <f>IF($CN6="P",CA6,(CA6+AZ6)/2)</f>
        <v>0</v>
      </c>
      <c r="PE6" s="27">
        <f>IF($CN6="P",CB6,(CB6+BA6)/2)</f>
        <v>18.5</v>
      </c>
      <c r="PF6" s="27">
        <f>IF($CN6="P",CC6,(CC6+BB6)/2)</f>
        <v>4.5500000000000007</v>
      </c>
      <c r="PG6" s="27">
        <f>IF($CN6="P",CD6,(CD6+BC6)/2)</f>
        <v>0.5</v>
      </c>
      <c r="PH6" s="27">
        <f>IF($CN6="P",CE6,(CE6+BD6)/2)</f>
        <v>0</v>
      </c>
      <c r="PI6" s="27">
        <f>IF($CN6="P",CF6,(CF6+BE6)/2)</f>
        <v>18.450000000000003</v>
      </c>
      <c r="PJ6" s="27">
        <f>IF($CN6="P",CG6,(CG6+BF6)/2)</f>
        <v>5.6</v>
      </c>
      <c r="PK6" s="27">
        <f>IF($CN6="P",CH6,(CH6+BG6)/2)</f>
        <v>0.4</v>
      </c>
      <c r="PL6" s="27">
        <f>IF($CN6="P",CI6,(CI6+BH6)/2)</f>
        <v>0</v>
      </c>
      <c r="PM6" s="27">
        <f>IF($CN6="P",CJ6,(CJ6+BI6)/2)</f>
        <v>18.299999999999997</v>
      </c>
      <c r="PN6" s="27">
        <f>IF($CN6="P",CK6,(CK6+BJ6)/2)</f>
        <v>5.6</v>
      </c>
      <c r="PO6" s="27">
        <f>IF($CN6="P",CL6,(CL6+BK6)/2)</f>
        <v>0.3</v>
      </c>
      <c r="PP6" s="27">
        <f>IF($CN6="P",CM6,(CM6+BL6)/2)</f>
        <v>0</v>
      </c>
      <c r="PQ6" s="32" t="s">
        <v>44</v>
      </c>
      <c r="PR6" s="55">
        <f>IF(SUM(OX6,PB6)&gt;0,SUM(OX6,PB6),"")</f>
        <v>8.1999999999999993</v>
      </c>
      <c r="PS6" s="55">
        <f>IF(SUM(OW6:OX6,OZ6:PB6,PD6)-OY6-PC6&gt;0,SUM(OW6:OX6,OZ6:PB6,PD6)-OY6-PC6,"")</f>
        <v>35.300000000000004</v>
      </c>
      <c r="PT6" s="55">
        <f>IF(SUM(PE6:PF6,PH6)-PG6&gt;0,SUM(PE6:PF6,PH6)-PG6,"")</f>
        <v>22.55</v>
      </c>
      <c r="PU6" s="55">
        <f>IF(SUM(PJ6,PN6)&gt;0,SUM(PJ6,PN6),"")</f>
        <v>11.2</v>
      </c>
      <c r="PV6" s="55">
        <f>IF(SUM(PI6:PJ6,PL6:PN6,PP6)-SUM(PK6,PO6)&gt;0,SUM(PI6:PJ6,PL6:PN6,PP6)-SUM(PK6,PO6),"")</f>
        <v>47.25</v>
      </c>
      <c r="PW6" s="55">
        <f>IF(SUM(PS6,PT6,PV6)&gt;0,SUM(PS6,PT6,PV6),"")</f>
        <v>105.10000000000001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7.9</v>
      </c>
      <c r="BN9" s="4"/>
      <c r="BS9" s="57">
        <v>7.9</v>
      </c>
      <c r="CO9" s="4"/>
      <c r="CT9" s="57">
        <v>7.9</v>
      </c>
      <c r="DQ9" s="4"/>
      <c r="DV9" s="57">
        <v>9.6</v>
      </c>
      <c r="EQ9" s="4"/>
      <c r="EV9" s="57">
        <v>7.9</v>
      </c>
      <c r="FQ9" s="4"/>
      <c r="FV9" s="57">
        <v>7.9</v>
      </c>
      <c r="GQ9" s="4"/>
      <c r="GV9" s="57">
        <v>7.9</v>
      </c>
      <c r="HQ9" s="4"/>
      <c r="HV9" s="57">
        <v>7.9</v>
      </c>
      <c r="IQ9" s="4"/>
      <c r="IV9" s="57">
        <v>7.9</v>
      </c>
      <c r="JQ9" s="4"/>
      <c r="JV9" s="57">
        <v>7.9</v>
      </c>
      <c r="KQ9" s="4"/>
      <c r="KV9" s="57">
        <v>7.9</v>
      </c>
      <c r="LQ9" s="4"/>
      <c r="LV9" s="57">
        <v>7.9</v>
      </c>
      <c r="MQ9" s="4"/>
      <c r="MV9" s="57">
        <v>7.9</v>
      </c>
      <c r="NQ9" s="4"/>
      <c r="NV9" s="57">
        <v>7.9</v>
      </c>
      <c r="OQ9" s="4"/>
      <c r="OV9" s="57">
        <v>7.9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9.6</v>
      </c>
      <c r="BN10" s="4"/>
      <c r="BS10" s="58">
        <f>BS11</f>
        <v>9.6</v>
      </c>
      <c r="CO10" s="4"/>
      <c r="CT10" s="58">
        <f>CT11</f>
        <v>9.6</v>
      </c>
      <c r="DQ10" s="4"/>
      <c r="DV10" s="58">
        <f>DV11</f>
        <v>10.4</v>
      </c>
      <c r="EQ10" s="4"/>
      <c r="EV10" s="58">
        <f>EV11</f>
        <v>9.6</v>
      </c>
      <c r="FQ10" s="4"/>
      <c r="FV10" s="58">
        <f>FV11</f>
        <v>9.6</v>
      </c>
      <c r="GQ10" s="4"/>
      <c r="GV10" s="58">
        <f>GV11</f>
        <v>9.6</v>
      </c>
      <c r="HQ10" s="4"/>
      <c r="HV10" s="58">
        <f>HV11</f>
        <v>9.6</v>
      </c>
      <c r="IQ10" s="4"/>
      <c r="IV10" s="58">
        <f>IV11</f>
        <v>9.6</v>
      </c>
      <c r="JQ10" s="4"/>
      <c r="JV10" s="58">
        <f>JV11</f>
        <v>9.6</v>
      </c>
      <c r="KQ10" s="4"/>
      <c r="KV10" s="58">
        <f>KV11</f>
        <v>9.6</v>
      </c>
      <c r="LQ10" s="4"/>
      <c r="LV10" s="58">
        <f>LV11</f>
        <v>9.6</v>
      </c>
      <c r="MQ10" s="4"/>
      <c r="MV10" s="58">
        <f>MV11</f>
        <v>9.6</v>
      </c>
      <c r="NQ10" s="4"/>
      <c r="NV10" s="58">
        <f>NV11</f>
        <v>9.6</v>
      </c>
      <c r="OQ10" s="4"/>
      <c r="OV10" s="58">
        <f>OV11</f>
        <v>9.6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9.6</v>
      </c>
      <c r="BN11" s="4"/>
      <c r="BS11" s="59">
        <v>9.6</v>
      </c>
      <c r="CO11" s="4"/>
      <c r="CT11" s="59">
        <v>9.6</v>
      </c>
      <c r="DQ11" s="4"/>
      <c r="DV11" s="59">
        <v>10.4</v>
      </c>
      <c r="EQ11" s="4"/>
      <c r="EV11" s="59">
        <v>9.6</v>
      </c>
      <c r="FQ11" s="4"/>
      <c r="FV11" s="59">
        <v>9.6</v>
      </c>
      <c r="GQ11" s="4"/>
      <c r="GV11" s="59">
        <v>9.6</v>
      </c>
      <c r="HQ11" s="4"/>
      <c r="HV11" s="59">
        <v>9.6</v>
      </c>
      <c r="IQ11" s="4"/>
      <c r="IV11" s="59">
        <v>9.6</v>
      </c>
      <c r="JQ11" s="4"/>
      <c r="JV11" s="59">
        <v>9.6</v>
      </c>
      <c r="KQ11" s="4"/>
      <c r="KV11" s="59">
        <v>9.6</v>
      </c>
      <c r="LQ11" s="4"/>
      <c r="LV11" s="59">
        <v>9.6</v>
      </c>
      <c r="MQ11" s="4"/>
      <c r="MV11" s="59">
        <v>9.6</v>
      </c>
      <c r="NQ11" s="4"/>
      <c r="NV11" s="59">
        <v>9.6</v>
      </c>
      <c r="OQ11" s="4"/>
      <c r="OV11" s="59">
        <v>9.6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5">
        <v>1000</v>
      </c>
      <c r="BN12" s="4"/>
      <c r="BS12" s="65">
        <v>1000</v>
      </c>
      <c r="CO12" s="4"/>
      <c r="CT12" s="65">
        <v>1000</v>
      </c>
      <c r="DQ12" s="4"/>
      <c r="DV12" s="65">
        <v>1000</v>
      </c>
      <c r="EQ12" s="4"/>
      <c r="EV12" s="65">
        <v>1000</v>
      </c>
      <c r="FQ12" s="4"/>
      <c r="FV12" s="65">
        <v>1000</v>
      </c>
      <c r="GQ12" s="4"/>
      <c r="GV12" s="65">
        <v>1000</v>
      </c>
      <c r="HQ12" s="4"/>
      <c r="HV12" s="65">
        <v>1000</v>
      </c>
      <c r="IQ12" s="4"/>
      <c r="IV12" s="65">
        <v>1000</v>
      </c>
      <c r="JQ12" s="4"/>
      <c r="JV12" s="65">
        <v>1000</v>
      </c>
      <c r="KQ12" s="4"/>
      <c r="KV12" s="65">
        <v>1000</v>
      </c>
      <c r="LQ12" s="4"/>
      <c r="LV12" s="65">
        <v>1000</v>
      </c>
      <c r="MQ12" s="4"/>
      <c r="MV12" s="65">
        <v>1000</v>
      </c>
      <c r="NQ12" s="4"/>
      <c r="NV12" s="65">
        <v>1000</v>
      </c>
      <c r="OQ12" s="4"/>
      <c r="OV12" s="65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6">
        <v>45.5</v>
      </c>
      <c r="BN13" s="4"/>
      <c r="BS13" s="66">
        <v>45.5</v>
      </c>
      <c r="CO13" s="4"/>
      <c r="CT13" s="66">
        <v>45.5</v>
      </c>
      <c r="DQ13" s="4"/>
      <c r="DV13" s="66">
        <v>46.4</v>
      </c>
      <c r="EQ13" s="4"/>
      <c r="EV13" s="66">
        <v>45.5</v>
      </c>
      <c r="FQ13" s="4"/>
      <c r="FV13" s="66">
        <v>45.5</v>
      </c>
      <c r="GQ13" s="4"/>
      <c r="GV13" s="66">
        <v>45.5</v>
      </c>
      <c r="HQ13" s="4"/>
      <c r="HV13" s="66">
        <v>45.5</v>
      </c>
      <c r="IQ13" s="4"/>
      <c r="IV13" s="66">
        <v>45.5</v>
      </c>
      <c r="JQ13" s="4"/>
      <c r="JV13" s="66">
        <v>45.5</v>
      </c>
      <c r="KQ13" s="4"/>
      <c r="KV13" s="66">
        <v>45.5</v>
      </c>
      <c r="LQ13" s="4"/>
      <c r="LV13" s="66">
        <v>45.5</v>
      </c>
      <c r="MQ13" s="4"/>
      <c r="MV13" s="66">
        <v>45.5</v>
      </c>
      <c r="NQ13" s="4"/>
      <c r="NV13" s="66">
        <v>45.5</v>
      </c>
      <c r="OQ13" s="4"/>
      <c r="OV13" s="66">
        <v>45.5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47.1</v>
      </c>
      <c r="BN14" s="4"/>
      <c r="BS14" s="62">
        <f>BS15</f>
        <v>47.1</v>
      </c>
      <c r="CO14" s="4"/>
      <c r="CT14" s="62">
        <f>CT15</f>
        <v>47.1</v>
      </c>
      <c r="DQ14" s="4"/>
      <c r="DV14" s="62">
        <f>DV15</f>
        <v>48</v>
      </c>
      <c r="EQ14" s="4"/>
      <c r="EV14" s="62">
        <f>EV15</f>
        <v>47.1</v>
      </c>
      <c r="FQ14" s="4"/>
      <c r="FV14" s="62">
        <f>FV15</f>
        <v>47.1</v>
      </c>
      <c r="GQ14" s="4"/>
      <c r="GV14" s="62">
        <f>GV15</f>
        <v>47.1</v>
      </c>
      <c r="HQ14" s="4"/>
      <c r="HV14" s="62">
        <f>HV15</f>
        <v>47.1</v>
      </c>
      <c r="IQ14" s="4"/>
      <c r="IV14" s="62">
        <f>IV15</f>
        <v>47.1</v>
      </c>
      <c r="JQ14" s="4"/>
      <c r="JV14" s="62">
        <f>JV15</f>
        <v>47.1</v>
      </c>
      <c r="KQ14" s="4"/>
      <c r="KV14" s="62">
        <f>KV15</f>
        <v>47.1</v>
      </c>
      <c r="LQ14" s="4"/>
      <c r="LV14" s="62">
        <f>LV15</f>
        <v>47.1</v>
      </c>
      <c r="MQ14" s="4"/>
      <c r="MV14" s="62">
        <f>MV15</f>
        <v>47.1</v>
      </c>
      <c r="NQ14" s="4"/>
      <c r="NV14" s="62">
        <f>NV15</f>
        <v>47.1</v>
      </c>
      <c r="OQ14" s="4"/>
      <c r="OV14" s="62">
        <f>OV15</f>
        <v>47.1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47.1</v>
      </c>
      <c r="BN15" s="4"/>
      <c r="BS15" s="63">
        <v>47.1</v>
      </c>
      <c r="CO15" s="4"/>
      <c r="CT15" s="63">
        <v>47.1</v>
      </c>
      <c r="DQ15" s="4"/>
      <c r="DV15" s="63">
        <v>48</v>
      </c>
      <c r="EQ15" s="4"/>
      <c r="EV15" s="63">
        <v>47.1</v>
      </c>
      <c r="FQ15" s="4"/>
      <c r="FV15" s="63">
        <v>47.1</v>
      </c>
      <c r="GQ15" s="4"/>
      <c r="GV15" s="63">
        <v>47.1</v>
      </c>
      <c r="HQ15" s="4"/>
      <c r="HV15" s="63">
        <v>47.1</v>
      </c>
      <c r="IQ15" s="4"/>
      <c r="IV15" s="63">
        <v>47.1</v>
      </c>
      <c r="JQ15" s="4"/>
      <c r="JV15" s="63">
        <v>47.1</v>
      </c>
      <c r="KQ15" s="4"/>
      <c r="KV15" s="63">
        <v>47.1</v>
      </c>
      <c r="LQ15" s="4"/>
      <c r="LV15" s="63">
        <v>47.1</v>
      </c>
      <c r="MQ15" s="4"/>
      <c r="MV15" s="63">
        <v>47.1</v>
      </c>
      <c r="NQ15" s="4"/>
      <c r="NV15" s="63">
        <v>47.1</v>
      </c>
      <c r="OQ15" s="4"/>
      <c r="OV15" s="63">
        <v>47.1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5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28" priority="2" stopIfTrue="1">
      <formula>IF($AL4&lt;&gt;"",1,0)</formula>
    </cfRule>
  </conditionalFormatting>
  <conditionalFormatting sqref="AS4:BS6">
    <cfRule type="expression" dxfId="27" priority="3" stopIfTrue="1">
      <formula>IF($BM4&lt;&gt;"",1,0)</formula>
    </cfRule>
  </conditionalFormatting>
  <conditionalFormatting sqref="J1:J1048576 L1:L1048576 N1:N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6">
    <cfRule type="expression" dxfId="23" priority="4" stopIfTrue="1">
      <formula>IF($CN4&lt;&gt;"",1,0)</formula>
    </cfRule>
  </conditionalFormatting>
  <conditionalFormatting sqref="A4:A1048576">
    <cfRule type="expression" dxfId="0" priority="13" stopIfTrue="1">
      <formula>IF(A4&gt;4,1,0)</formula>
    </cfRule>
    <cfRule type="expression" dxfId="1" priority="1">
      <formula>AND(G4&lt;&gt;"",F4="")</formula>
    </cfRule>
  </conditionalFormatting>
  <conditionalFormatting sqref="H1:H1048576">
    <cfRule type="containsText" dxfId="22" priority="5" operator="containsText" text="No DD">
      <formula>NOT(ISERROR(SEARCH("No DD",H1)))</formula>
    </cfRule>
    <cfRule type="containsText" dxfId="21" priority="6" operator="containsText" text="Merit">
      <formula>NOT(ISERROR(SEARCH("Merit",H1)))</formula>
    </cfRule>
    <cfRule type="containsText" dxfId="20" priority="7" operator="containsText" text="Excellence">
      <formula>NOT(ISERROR(SEARCH("Excellence",H1)))</formula>
    </cfRule>
    <cfRule type="containsText" dxfId="19" priority="8" operator="containsText" text="Worlds Team">
      <formula>NOT(ISERROR(SEARCH("Worlds Team",H1)))</formula>
    </cfRule>
    <cfRule type="containsText" dxfId="18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7" priority="14" operator="between">
      <formula>AR$12</formula>
      <formula>1000</formula>
    </cfRule>
    <cfRule type="cellIs" dxfId="16" priority="15" operator="between">
      <formula>AR$11</formula>
      <formula>AR$12</formula>
    </cfRule>
    <cfRule type="cellIs" dxfId="15" priority="16" operator="between">
      <formula>AR$10</formula>
      <formula>AR$11</formula>
    </cfRule>
    <cfRule type="cellIs" dxfId="14" priority="17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3" priority="18" operator="between">
      <formula>AR$16</formula>
      <formula>1000</formula>
    </cfRule>
    <cfRule type="cellIs" dxfId="12" priority="19" operator="between">
      <formula>AR$15</formula>
      <formula>AR$16</formula>
    </cfRule>
    <cfRule type="cellIs" dxfId="11" priority="20" operator="between">
      <formula>AR$14</formula>
      <formula>AR$15</formula>
    </cfRule>
    <cfRule type="cellIs" dxfId="10" priority="21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" priority="22" operator="between">
      <formula>AR$9</formula>
      <formula>AR$10</formula>
    </cfRule>
    <cfRule type="cellIs" dxfId="8" priority="23" operator="between">
      <formula>AR$10</formula>
      <formula>AR$11</formula>
    </cfRule>
    <cfRule type="cellIs" dxfId="7" priority="24" operator="between">
      <formula>AR$11</formula>
      <formula>AR$12</formula>
    </cfRule>
    <cfRule type="cellIs" dxfId="6" priority="25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5" priority="26" operator="between">
      <formula>AR$13</formula>
      <formula>AR$14</formula>
    </cfRule>
    <cfRule type="cellIs" dxfId="4" priority="27" operator="between">
      <formula>AR$14</formula>
      <formula>AR$15</formula>
    </cfRule>
    <cfRule type="cellIs" dxfId="3" priority="28" operator="between">
      <formula>AR$15</formula>
      <formula>AR$16</formula>
    </cfRule>
    <cfRule type="cellIs" dxfId="2" priority="29" operator="between">
      <formula>AR$16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2023-11-23T21:26:39Z</dcterms:modified>
</cp:coreProperties>
</file>