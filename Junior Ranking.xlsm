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94097012-5013-DD46-8EA2-508A291A9029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V13" i="17" l="1"/>
  <c r="NV9" i="17"/>
  <c r="NU5" i="17"/>
  <c r="NT5" i="17"/>
  <c r="NS5" i="17"/>
  <c r="NR5" i="17"/>
  <c r="NV5" i="17" s="1"/>
  <c r="NQ5" i="17"/>
  <c r="NU4" i="17"/>
  <c r="NT4" i="17"/>
  <c r="NS4" i="17"/>
  <c r="NR4" i="17"/>
  <c r="NQ4" i="17"/>
  <c r="MV13" i="17"/>
  <c r="MV9" i="17"/>
  <c r="MU5" i="17"/>
  <c r="MT5" i="17"/>
  <c r="MS5" i="17"/>
  <c r="MR5" i="17"/>
  <c r="MQ5" i="17"/>
  <c r="MU4" i="17"/>
  <c r="MT4" i="17"/>
  <c r="MS4" i="17"/>
  <c r="MR4" i="17"/>
  <c r="MV4" i="17" s="1"/>
  <c r="MQ4" i="17"/>
  <c r="LV13" i="17"/>
  <c r="LV9" i="17"/>
  <c r="LU5" i="17"/>
  <c r="LT5" i="17"/>
  <c r="LS5" i="17"/>
  <c r="LR5" i="17"/>
  <c r="LV5" i="17" s="1"/>
  <c r="LQ5" i="17"/>
  <c r="LU4" i="17"/>
  <c r="LT4" i="17"/>
  <c r="LS4" i="17"/>
  <c r="LR4" i="17"/>
  <c r="LQ4" i="17"/>
  <c r="KV13" i="17"/>
  <c r="KV9" i="17"/>
  <c r="KU5" i="17"/>
  <c r="KT5" i="17"/>
  <c r="KS5" i="17"/>
  <c r="KR5" i="17"/>
  <c r="KQ5" i="17"/>
  <c r="KU4" i="17"/>
  <c r="KT4" i="17"/>
  <c r="KS4" i="17"/>
  <c r="KR4" i="17"/>
  <c r="KV4" i="17" s="1"/>
  <c r="KQ4" i="17"/>
  <c r="JV13" i="17"/>
  <c r="JV9" i="17"/>
  <c r="JU5" i="17"/>
  <c r="JT5" i="17"/>
  <c r="JS5" i="17"/>
  <c r="JR5" i="17"/>
  <c r="JV5" i="17" s="1"/>
  <c r="JQ5" i="17"/>
  <c r="JU4" i="17"/>
  <c r="JT4" i="17"/>
  <c r="JS4" i="17"/>
  <c r="JR4" i="17"/>
  <c r="JQ4" i="17"/>
  <c r="IV13" i="17"/>
  <c r="IV9" i="17"/>
  <c r="IU5" i="17"/>
  <c r="IT5" i="17"/>
  <c r="IS5" i="17"/>
  <c r="IR5" i="17"/>
  <c r="IQ5" i="17"/>
  <c r="IU4" i="17"/>
  <c r="IT4" i="17"/>
  <c r="IS4" i="17"/>
  <c r="IR4" i="17"/>
  <c r="IV4" i="17" s="1"/>
  <c r="IQ4" i="17"/>
  <c r="HV13" i="17"/>
  <c r="HV9" i="17"/>
  <c r="HU5" i="17"/>
  <c r="HT5" i="17"/>
  <c r="HS5" i="17"/>
  <c r="HR5" i="17"/>
  <c r="HV5" i="17" s="1"/>
  <c r="HQ5" i="17"/>
  <c r="HU4" i="17"/>
  <c r="HT4" i="17"/>
  <c r="HS4" i="17"/>
  <c r="HR4" i="17"/>
  <c r="HQ4" i="17"/>
  <c r="GV13" i="17"/>
  <c r="GV9" i="17"/>
  <c r="GU5" i="17"/>
  <c r="GT5" i="17"/>
  <c r="GS5" i="17"/>
  <c r="GR5" i="17"/>
  <c r="GQ5" i="17"/>
  <c r="GU4" i="17"/>
  <c r="GT4" i="17"/>
  <c r="GS4" i="17"/>
  <c r="GR4" i="17"/>
  <c r="GV4" i="17" s="1"/>
  <c r="GQ4" i="17"/>
  <c r="FV13" i="17"/>
  <c r="FV9" i="17"/>
  <c r="FU5" i="17"/>
  <c r="FT5" i="17"/>
  <c r="FS5" i="17"/>
  <c r="FR5" i="17"/>
  <c r="FV5" i="17" s="1"/>
  <c r="FQ5" i="17"/>
  <c r="FU4" i="17"/>
  <c r="FT4" i="17"/>
  <c r="FS4" i="17"/>
  <c r="FR4" i="17"/>
  <c r="FQ4" i="17"/>
  <c r="EV13" i="17"/>
  <c r="EV9" i="17"/>
  <c r="EU5" i="17"/>
  <c r="ET5" i="17"/>
  <c r="ES5" i="17"/>
  <c r="ER5" i="17"/>
  <c r="EQ5" i="17"/>
  <c r="EU4" i="17"/>
  <c r="ET4" i="17"/>
  <c r="ES4" i="17"/>
  <c r="ER4" i="17"/>
  <c r="EV4" i="17" s="1"/>
  <c r="EQ4" i="17"/>
  <c r="DV13" i="17"/>
  <c r="DV9" i="17"/>
  <c r="DU5" i="17"/>
  <c r="DT5" i="17"/>
  <c r="DS5" i="17"/>
  <c r="DR5" i="17"/>
  <c r="DV5" i="17" s="1"/>
  <c r="DQ5" i="17"/>
  <c r="DU4" i="17"/>
  <c r="DT4" i="17"/>
  <c r="DS4" i="17"/>
  <c r="DR4" i="17"/>
  <c r="DQ4" i="17"/>
  <c r="NV13" i="16"/>
  <c r="NV9" i="16"/>
  <c r="NU5" i="16"/>
  <c r="NT5" i="16"/>
  <c r="NS5" i="16"/>
  <c r="NR5" i="16"/>
  <c r="NQ5" i="16"/>
  <c r="NU4" i="16"/>
  <c r="NT4" i="16"/>
  <c r="NS4" i="16"/>
  <c r="NR4" i="16"/>
  <c r="NV4" i="16" s="1"/>
  <c r="NQ4" i="16"/>
  <c r="MV13" i="16"/>
  <c r="MV9" i="16"/>
  <c r="MU5" i="16"/>
  <c r="MT5" i="16"/>
  <c r="MS5" i="16"/>
  <c r="MR5" i="16"/>
  <c r="MQ5" i="16"/>
  <c r="MU4" i="16"/>
  <c r="MT4" i="16"/>
  <c r="MS4" i="16"/>
  <c r="MR4" i="16"/>
  <c r="MQ4" i="16"/>
  <c r="LV13" i="16"/>
  <c r="LV9" i="16"/>
  <c r="LU5" i="16"/>
  <c r="LT5" i="16"/>
  <c r="LS5" i="16"/>
  <c r="LR5" i="16"/>
  <c r="LQ5" i="16"/>
  <c r="LU4" i="16"/>
  <c r="LT4" i="16"/>
  <c r="LS4" i="16"/>
  <c r="LR4" i="16"/>
  <c r="LV4" i="16" s="1"/>
  <c r="LQ4" i="16"/>
  <c r="KV13" i="16"/>
  <c r="KV9" i="16"/>
  <c r="KU5" i="16"/>
  <c r="KT5" i="16"/>
  <c r="KS5" i="16"/>
  <c r="KR5" i="16"/>
  <c r="KV5" i="16" s="1"/>
  <c r="KQ5" i="16"/>
  <c r="KU4" i="16"/>
  <c r="KT4" i="16"/>
  <c r="KS4" i="16"/>
  <c r="KR4" i="16"/>
  <c r="KQ4" i="16"/>
  <c r="JV13" i="16"/>
  <c r="JV9" i="16"/>
  <c r="JU5" i="16"/>
  <c r="JT5" i="16"/>
  <c r="JS5" i="16"/>
  <c r="JR5" i="16"/>
  <c r="JQ5" i="16"/>
  <c r="JU4" i="16"/>
  <c r="JT4" i="16"/>
  <c r="JS4" i="16"/>
  <c r="JR4" i="16"/>
  <c r="JV4" i="16" s="1"/>
  <c r="JQ4" i="16"/>
  <c r="IV13" i="16"/>
  <c r="IV9" i="16"/>
  <c r="IU5" i="16"/>
  <c r="IT5" i="16"/>
  <c r="IS5" i="16"/>
  <c r="IR5" i="16"/>
  <c r="IV5" i="16" s="1"/>
  <c r="IQ5" i="16"/>
  <c r="IU4" i="16"/>
  <c r="IT4" i="16"/>
  <c r="IS4" i="16"/>
  <c r="IR4" i="16"/>
  <c r="IQ4" i="16"/>
  <c r="HV13" i="16"/>
  <c r="HV9" i="16"/>
  <c r="HU5" i="16"/>
  <c r="HT5" i="16"/>
  <c r="HS5" i="16"/>
  <c r="HR5" i="16"/>
  <c r="HQ5" i="16"/>
  <c r="HU4" i="16"/>
  <c r="HT4" i="16"/>
  <c r="HS4" i="16"/>
  <c r="HR4" i="16"/>
  <c r="HQ4" i="16"/>
  <c r="GV13" i="16"/>
  <c r="GV9" i="16"/>
  <c r="GU5" i="16"/>
  <c r="GT5" i="16"/>
  <c r="GS5" i="16"/>
  <c r="GR5" i="16"/>
  <c r="GV5" i="16" s="1"/>
  <c r="GQ5" i="16"/>
  <c r="GU4" i="16"/>
  <c r="GT4" i="16"/>
  <c r="GS4" i="16"/>
  <c r="GR4" i="16"/>
  <c r="GQ4" i="16"/>
  <c r="FV13" i="16"/>
  <c r="FV9" i="16"/>
  <c r="FU5" i="16"/>
  <c r="FT5" i="16"/>
  <c r="FS5" i="16"/>
  <c r="FR5" i="16"/>
  <c r="FQ5" i="16"/>
  <c r="FU4" i="16"/>
  <c r="FT4" i="16"/>
  <c r="FS4" i="16"/>
  <c r="FR4" i="16"/>
  <c r="FQ4" i="16"/>
  <c r="EV13" i="16"/>
  <c r="EV9" i="16"/>
  <c r="EU5" i="16"/>
  <c r="ET5" i="16"/>
  <c r="ES5" i="16"/>
  <c r="ER5" i="16"/>
  <c r="EV5" i="16" s="1"/>
  <c r="EQ5" i="16"/>
  <c r="EU4" i="16"/>
  <c r="ET4" i="16"/>
  <c r="ES4" i="16"/>
  <c r="ER4" i="16"/>
  <c r="EQ4" i="16"/>
  <c r="DV13" i="16"/>
  <c r="DV9" i="16"/>
  <c r="DU5" i="16"/>
  <c r="DT5" i="16"/>
  <c r="DS5" i="16"/>
  <c r="DR5" i="16"/>
  <c r="DQ5" i="16"/>
  <c r="DU4" i="16"/>
  <c r="DT4" i="16"/>
  <c r="DS4" i="16"/>
  <c r="DR4" i="16"/>
  <c r="DQ4" i="16"/>
  <c r="NU4" i="15"/>
  <c r="NT4" i="15"/>
  <c r="NS4" i="15"/>
  <c r="NR4" i="15"/>
  <c r="NV4" i="15" s="1"/>
  <c r="NQ4" i="15"/>
  <c r="MU4" i="15"/>
  <c r="MT4" i="15"/>
  <c r="MS4" i="15"/>
  <c r="MR4" i="15"/>
  <c r="MV4" i="15" s="1"/>
  <c r="MQ4" i="15"/>
  <c r="LU4" i="15"/>
  <c r="LT4" i="15"/>
  <c r="LS4" i="15"/>
  <c r="LR4" i="15"/>
  <c r="LV4" i="15" s="1"/>
  <c r="LQ4" i="15"/>
  <c r="KU4" i="15"/>
  <c r="KT4" i="15"/>
  <c r="KS4" i="15"/>
  <c r="KR4" i="15"/>
  <c r="KV4" i="15" s="1"/>
  <c r="KQ4" i="15"/>
  <c r="JU4" i="15"/>
  <c r="JT4" i="15"/>
  <c r="JS4" i="15"/>
  <c r="JR4" i="15"/>
  <c r="JV4" i="15" s="1"/>
  <c r="JQ4" i="15"/>
  <c r="IU4" i="15"/>
  <c r="IT4" i="15"/>
  <c r="IS4" i="15"/>
  <c r="IR4" i="15"/>
  <c r="IV4" i="15" s="1"/>
  <c r="IQ4" i="15"/>
  <c r="HU4" i="15"/>
  <c r="HT4" i="15"/>
  <c r="HS4" i="15"/>
  <c r="HR4" i="15"/>
  <c r="HV4" i="15" s="1"/>
  <c r="HQ4" i="15"/>
  <c r="GU4" i="15"/>
  <c r="GT4" i="15"/>
  <c r="GS4" i="15"/>
  <c r="GR4" i="15"/>
  <c r="GV4" i="15" s="1"/>
  <c r="GQ4" i="15"/>
  <c r="FU4" i="15"/>
  <c r="FT4" i="15"/>
  <c r="FS4" i="15"/>
  <c r="FR4" i="15"/>
  <c r="FV4" i="15" s="1"/>
  <c r="FQ4" i="15"/>
  <c r="EU4" i="15"/>
  <c r="ET4" i="15"/>
  <c r="ES4" i="15"/>
  <c r="ER4" i="15"/>
  <c r="EV4" i="15" s="1"/>
  <c r="EQ4" i="15"/>
  <c r="DU4" i="15"/>
  <c r="DT4" i="15"/>
  <c r="DS4" i="15"/>
  <c r="DR4" i="15"/>
  <c r="DV4" i="15" s="1"/>
  <c r="DQ4" i="15"/>
  <c r="MP9" i="13"/>
  <c r="MO9" i="13"/>
  <c r="MM9" i="13"/>
  <c r="ML9" i="13"/>
  <c r="MK9" i="13"/>
  <c r="MP8" i="13"/>
  <c r="MO8" i="13"/>
  <c r="MM8" i="13"/>
  <c r="ML8" i="13"/>
  <c r="MN8" i="13" s="1"/>
  <c r="MK8" i="13"/>
  <c r="MP7" i="13"/>
  <c r="MO7" i="13"/>
  <c r="MM7" i="13"/>
  <c r="ML7" i="13"/>
  <c r="MK7" i="13"/>
  <c r="MP6" i="13"/>
  <c r="MO6" i="13"/>
  <c r="MM6" i="13"/>
  <c r="ML6" i="13"/>
  <c r="MK6" i="13"/>
  <c r="MP5" i="13"/>
  <c r="MO5" i="13"/>
  <c r="MM5" i="13"/>
  <c r="ML5" i="13"/>
  <c r="MK5" i="13"/>
  <c r="MP4" i="13"/>
  <c r="MO4" i="13"/>
  <c r="MM4" i="13"/>
  <c r="ML4" i="13"/>
  <c r="MK4" i="13"/>
  <c r="LT9" i="13"/>
  <c r="LS9" i="13"/>
  <c r="LQ9" i="13"/>
  <c r="LP9" i="13"/>
  <c r="LO9" i="13"/>
  <c r="LT8" i="13"/>
  <c r="LS8" i="13"/>
  <c r="LQ8" i="13"/>
  <c r="LP8" i="13"/>
  <c r="LO8" i="13"/>
  <c r="LT7" i="13"/>
  <c r="LS7" i="13"/>
  <c r="LQ7" i="13"/>
  <c r="LP7" i="13"/>
  <c r="LO7" i="13"/>
  <c r="LT6" i="13"/>
  <c r="LS6" i="13"/>
  <c r="LQ6" i="13"/>
  <c r="LP6" i="13"/>
  <c r="LO6" i="13"/>
  <c r="LT5" i="13"/>
  <c r="LS5" i="13"/>
  <c r="LQ5" i="13"/>
  <c r="LP5" i="13"/>
  <c r="LO5" i="13"/>
  <c r="LT4" i="13"/>
  <c r="LS4" i="13"/>
  <c r="LQ4" i="13"/>
  <c r="LP4" i="13"/>
  <c r="LO4" i="13"/>
  <c r="KX9" i="13"/>
  <c r="KW9" i="13"/>
  <c r="KU9" i="13"/>
  <c r="KT9" i="13"/>
  <c r="KV9" i="13" s="1"/>
  <c r="KS9" i="13"/>
  <c r="KX8" i="13"/>
  <c r="KW8" i="13"/>
  <c r="KU8" i="13"/>
  <c r="KT8" i="13"/>
  <c r="KS8" i="13"/>
  <c r="KX7" i="13"/>
  <c r="KW7" i="13"/>
  <c r="KU7" i="13"/>
  <c r="KT7" i="13"/>
  <c r="KS7" i="13"/>
  <c r="KX6" i="13"/>
  <c r="KW6" i="13"/>
  <c r="KU6" i="13"/>
  <c r="KT6" i="13"/>
  <c r="KS6" i="13"/>
  <c r="KX5" i="13"/>
  <c r="KW5" i="13"/>
  <c r="KU5" i="13"/>
  <c r="KV5" i="13" s="1"/>
  <c r="KT5" i="13"/>
  <c r="KS5" i="13"/>
  <c r="KX4" i="13"/>
  <c r="KW4" i="13"/>
  <c r="KU4" i="13"/>
  <c r="KT4" i="13"/>
  <c r="KS4" i="13"/>
  <c r="KB9" i="13"/>
  <c r="KA9" i="13"/>
  <c r="JY9" i="13"/>
  <c r="JX9" i="13"/>
  <c r="JW9" i="13"/>
  <c r="KB8" i="13"/>
  <c r="KA8" i="13"/>
  <c r="JY8" i="13"/>
  <c r="JX8" i="13"/>
  <c r="JZ8" i="13" s="1"/>
  <c r="KC8" i="13" s="1"/>
  <c r="JW8" i="13"/>
  <c r="KB7" i="13"/>
  <c r="KA7" i="13"/>
  <c r="JY7" i="13"/>
  <c r="JX7" i="13"/>
  <c r="JZ7" i="13" s="1"/>
  <c r="JW7" i="13"/>
  <c r="KB6" i="13"/>
  <c r="KA6" i="13"/>
  <c r="JY6" i="13"/>
  <c r="JX6" i="13"/>
  <c r="JZ6" i="13" s="1"/>
  <c r="JW6" i="13"/>
  <c r="KB5" i="13"/>
  <c r="KA5" i="13"/>
  <c r="JY5" i="13"/>
  <c r="JX5" i="13"/>
  <c r="JW5" i="13"/>
  <c r="KB4" i="13"/>
  <c r="KA4" i="13"/>
  <c r="JY4" i="13"/>
  <c r="JX4" i="13"/>
  <c r="JW4" i="13"/>
  <c r="JF9" i="13"/>
  <c r="JE9" i="13"/>
  <c r="JC9" i="13"/>
  <c r="JB9" i="13"/>
  <c r="JA9" i="13"/>
  <c r="JF8" i="13"/>
  <c r="JE8" i="13"/>
  <c r="JC8" i="13"/>
  <c r="JB8" i="13"/>
  <c r="JA8" i="13"/>
  <c r="JF7" i="13"/>
  <c r="JE7" i="13"/>
  <c r="JC7" i="13"/>
  <c r="JB7" i="13"/>
  <c r="JA7" i="13"/>
  <c r="JF6" i="13"/>
  <c r="JE6" i="13"/>
  <c r="JC6" i="13"/>
  <c r="JB6" i="13"/>
  <c r="JD6" i="13" s="1"/>
  <c r="JA6" i="13"/>
  <c r="JF5" i="13"/>
  <c r="JE5" i="13"/>
  <c r="JC5" i="13"/>
  <c r="JB5" i="13"/>
  <c r="JA5" i="13"/>
  <c r="JF4" i="13"/>
  <c r="JE4" i="13"/>
  <c r="JC4" i="13"/>
  <c r="JB4" i="13"/>
  <c r="JA4" i="13"/>
  <c r="IJ9" i="13"/>
  <c r="II9" i="13"/>
  <c r="IG9" i="13"/>
  <c r="IF9" i="13"/>
  <c r="IE9" i="13"/>
  <c r="IJ8" i="13"/>
  <c r="II8" i="13"/>
  <c r="IG8" i="13"/>
  <c r="IF8" i="13"/>
  <c r="IE8" i="13"/>
  <c r="IJ7" i="13"/>
  <c r="II7" i="13"/>
  <c r="IG7" i="13"/>
  <c r="IF7" i="13"/>
  <c r="IE7" i="13"/>
  <c r="IJ6" i="13"/>
  <c r="II6" i="13"/>
  <c r="IG6" i="13"/>
  <c r="IF6" i="13"/>
  <c r="IE6" i="13"/>
  <c r="IJ5" i="13"/>
  <c r="II5" i="13"/>
  <c r="IG5" i="13"/>
  <c r="IF5" i="13"/>
  <c r="IE5" i="13"/>
  <c r="IJ4" i="13"/>
  <c r="II4" i="13"/>
  <c r="IG4" i="13"/>
  <c r="IF4" i="13"/>
  <c r="IH4" i="13" s="1"/>
  <c r="IK4" i="13" s="1"/>
  <c r="IE4" i="13"/>
  <c r="HN9" i="13"/>
  <c r="HM9" i="13"/>
  <c r="HK9" i="13"/>
  <c r="HJ9" i="13"/>
  <c r="HI9" i="13"/>
  <c r="HN8" i="13"/>
  <c r="HM8" i="13"/>
  <c r="HK8" i="13"/>
  <c r="HJ8" i="13"/>
  <c r="HI8" i="13"/>
  <c r="HN7" i="13"/>
  <c r="HM7" i="13"/>
  <c r="HK7" i="13"/>
  <c r="HJ7" i="13"/>
  <c r="HI7" i="13"/>
  <c r="HN6" i="13"/>
  <c r="HM6" i="13"/>
  <c r="HK6" i="13"/>
  <c r="HJ6" i="13"/>
  <c r="HI6" i="13"/>
  <c r="HN5" i="13"/>
  <c r="HM5" i="13"/>
  <c r="HK5" i="13"/>
  <c r="HL5" i="13" s="1"/>
  <c r="HJ5" i="13"/>
  <c r="HI5" i="13"/>
  <c r="HN4" i="13"/>
  <c r="HM4" i="13"/>
  <c r="HK4" i="13"/>
  <c r="HJ4" i="13"/>
  <c r="HI4" i="13"/>
  <c r="GR9" i="13"/>
  <c r="GQ9" i="13"/>
  <c r="GO9" i="13"/>
  <c r="GN9" i="13"/>
  <c r="GM9" i="13"/>
  <c r="GR8" i="13"/>
  <c r="GQ8" i="13"/>
  <c r="GO8" i="13"/>
  <c r="GN8" i="13"/>
  <c r="GP8" i="13" s="1"/>
  <c r="GS8" i="13" s="1"/>
  <c r="GM8" i="13"/>
  <c r="GR7" i="13"/>
  <c r="GQ7" i="13"/>
  <c r="GO7" i="13"/>
  <c r="GN7" i="13"/>
  <c r="GM7" i="13"/>
  <c r="GR6" i="13"/>
  <c r="GQ6" i="13"/>
  <c r="GO6" i="13"/>
  <c r="GN6" i="13"/>
  <c r="GP6" i="13" s="1"/>
  <c r="GM6" i="13"/>
  <c r="GR5" i="13"/>
  <c r="GQ5" i="13"/>
  <c r="GO5" i="13"/>
  <c r="GN5" i="13"/>
  <c r="GM5" i="13"/>
  <c r="GR4" i="13"/>
  <c r="GQ4" i="13"/>
  <c r="GO4" i="13"/>
  <c r="GN4" i="13"/>
  <c r="GM4" i="13"/>
  <c r="FV9" i="13"/>
  <c r="FU9" i="13"/>
  <c r="FS9" i="13"/>
  <c r="FR9" i="13"/>
  <c r="FQ9" i="13"/>
  <c r="FV8" i="13"/>
  <c r="FU8" i="13"/>
  <c r="FS8" i="13"/>
  <c r="FR8" i="13"/>
  <c r="FQ8" i="13"/>
  <c r="FV7" i="13"/>
  <c r="FU7" i="13"/>
  <c r="FS7" i="13"/>
  <c r="FR7" i="13"/>
  <c r="FQ7" i="13"/>
  <c r="FV6" i="13"/>
  <c r="FU6" i="13"/>
  <c r="FS6" i="13"/>
  <c r="FR6" i="13"/>
  <c r="FT6" i="13" s="1"/>
  <c r="FQ6" i="13"/>
  <c r="FV5" i="13"/>
  <c r="FU5" i="13"/>
  <c r="FS5" i="13"/>
  <c r="FR5" i="13"/>
  <c r="FQ5" i="13"/>
  <c r="FV4" i="13"/>
  <c r="FU4" i="13"/>
  <c r="FS4" i="13"/>
  <c r="FR4" i="13"/>
  <c r="FQ4" i="13"/>
  <c r="EZ9" i="13"/>
  <c r="EY9" i="13"/>
  <c r="EW9" i="13"/>
  <c r="EV9" i="13"/>
  <c r="EU9" i="13"/>
  <c r="EZ8" i="13"/>
  <c r="EY8" i="13"/>
  <c r="EW8" i="13"/>
  <c r="EV8" i="13"/>
  <c r="EU8" i="13"/>
  <c r="EZ7" i="13"/>
  <c r="EY7" i="13"/>
  <c r="EW7" i="13"/>
  <c r="EV7" i="13"/>
  <c r="EU7" i="13"/>
  <c r="EZ6" i="13"/>
  <c r="EY6" i="13"/>
  <c r="EW6" i="13"/>
  <c r="EV6" i="13"/>
  <c r="EX6" i="13" s="1"/>
  <c r="EU6" i="13"/>
  <c r="EZ5" i="13"/>
  <c r="EY5" i="13"/>
  <c r="EW5" i="13"/>
  <c r="EV5" i="13"/>
  <c r="EX5" i="13" s="1"/>
  <c r="FA5" i="13" s="1"/>
  <c r="EU5" i="13"/>
  <c r="EZ4" i="13"/>
  <c r="EY4" i="13"/>
  <c r="EW4" i="13"/>
  <c r="EV4" i="13"/>
  <c r="EU4" i="13"/>
  <c r="ED9" i="13"/>
  <c r="EC9" i="13"/>
  <c r="EA9" i="13"/>
  <c r="DZ9" i="13"/>
  <c r="DY9" i="13"/>
  <c r="ED8" i="13"/>
  <c r="EC8" i="13"/>
  <c r="EA8" i="13"/>
  <c r="DZ8" i="13"/>
  <c r="DY8" i="13"/>
  <c r="ED7" i="13"/>
  <c r="EC7" i="13"/>
  <c r="EA7" i="13"/>
  <c r="DZ7" i="13"/>
  <c r="DY7" i="13"/>
  <c r="ED6" i="13"/>
  <c r="EC6" i="13"/>
  <c r="EA6" i="13"/>
  <c r="DZ6" i="13"/>
  <c r="DY6" i="13"/>
  <c r="ED5" i="13"/>
  <c r="EC5" i="13"/>
  <c r="EA5" i="13"/>
  <c r="DZ5" i="13"/>
  <c r="DY5" i="13"/>
  <c r="ED4" i="13"/>
  <c r="EC4" i="13"/>
  <c r="EA4" i="13"/>
  <c r="DZ4" i="13"/>
  <c r="EB4" i="13" s="1"/>
  <c r="DY4" i="13"/>
  <c r="MP5" i="4"/>
  <c r="MO5" i="4"/>
  <c r="MM5" i="4"/>
  <c r="ML5" i="4"/>
  <c r="MN5" i="4" s="1"/>
  <c r="MK5" i="4"/>
  <c r="MP4" i="4"/>
  <c r="MO4" i="4"/>
  <c r="MM4" i="4"/>
  <c r="ML4" i="4"/>
  <c r="MN4" i="4" s="1"/>
  <c r="MK4" i="4"/>
  <c r="LT5" i="4"/>
  <c r="LS5" i="4"/>
  <c r="LQ5" i="4"/>
  <c r="LP5" i="4"/>
  <c r="LR5" i="4" s="1"/>
  <c r="LU5" i="4" s="1"/>
  <c r="LO5" i="4"/>
  <c r="LT4" i="4"/>
  <c r="LS4" i="4"/>
  <c r="LQ4" i="4"/>
  <c r="LP4" i="4"/>
  <c r="LR4" i="4" s="1"/>
  <c r="LU4" i="4" s="1"/>
  <c r="LO4" i="4"/>
  <c r="KX5" i="4"/>
  <c r="KW5" i="4"/>
  <c r="KU5" i="4"/>
  <c r="KT5" i="4"/>
  <c r="KS5" i="4"/>
  <c r="KX4" i="4"/>
  <c r="KW4" i="4"/>
  <c r="KU4" i="4"/>
  <c r="KT4" i="4"/>
  <c r="KV4" i="4" s="1"/>
  <c r="KY4" i="4" s="1"/>
  <c r="KS4" i="4"/>
  <c r="KB5" i="4"/>
  <c r="KA5" i="4"/>
  <c r="JY5" i="4"/>
  <c r="JX5" i="4"/>
  <c r="JW5" i="4"/>
  <c r="KB4" i="4"/>
  <c r="KA4" i="4"/>
  <c r="JY4" i="4"/>
  <c r="JX4" i="4"/>
  <c r="JW4" i="4"/>
  <c r="JF5" i="4"/>
  <c r="JE5" i="4"/>
  <c r="JC5" i="4"/>
  <c r="JB5" i="4"/>
  <c r="JD5" i="4" s="1"/>
  <c r="JA5" i="4"/>
  <c r="JF4" i="4"/>
  <c r="JE4" i="4"/>
  <c r="JC4" i="4"/>
  <c r="JB4" i="4"/>
  <c r="JD4" i="4" s="1"/>
  <c r="JA4" i="4"/>
  <c r="IJ5" i="4"/>
  <c r="II5" i="4"/>
  <c r="IG5" i="4"/>
  <c r="IF5" i="4"/>
  <c r="IH5" i="4" s="1"/>
  <c r="IK5" i="4" s="1"/>
  <c r="IE5" i="4"/>
  <c r="IJ4" i="4"/>
  <c r="II4" i="4"/>
  <c r="IG4" i="4"/>
  <c r="IF4" i="4"/>
  <c r="IE4" i="4"/>
  <c r="HN5" i="4"/>
  <c r="HM5" i="4"/>
  <c r="HK5" i="4"/>
  <c r="HJ5" i="4"/>
  <c r="HI5" i="4"/>
  <c r="HN4" i="4"/>
  <c r="HM4" i="4"/>
  <c r="HK4" i="4"/>
  <c r="HJ4" i="4"/>
  <c r="HL4" i="4" s="1"/>
  <c r="HI4" i="4"/>
  <c r="GR5" i="4"/>
  <c r="GQ5" i="4"/>
  <c r="GO5" i="4"/>
  <c r="GN5" i="4"/>
  <c r="GM5" i="4"/>
  <c r="GR4" i="4"/>
  <c r="GQ4" i="4"/>
  <c r="GO4" i="4"/>
  <c r="GN4" i="4"/>
  <c r="GM4" i="4"/>
  <c r="FV5" i="4"/>
  <c r="FU5" i="4"/>
  <c r="FS5" i="4"/>
  <c r="FR5" i="4"/>
  <c r="FT5" i="4" s="1"/>
  <c r="FQ5" i="4"/>
  <c r="FV4" i="4"/>
  <c r="FU4" i="4"/>
  <c r="FS4" i="4"/>
  <c r="FR4" i="4"/>
  <c r="FT4" i="4" s="1"/>
  <c r="FQ4" i="4"/>
  <c r="EZ5" i="4"/>
  <c r="EY5" i="4"/>
  <c r="EW5" i="4"/>
  <c r="EV5" i="4"/>
  <c r="EX5" i="4" s="1"/>
  <c r="FA5" i="4" s="1"/>
  <c r="EU5" i="4"/>
  <c r="EZ4" i="4"/>
  <c r="EY4" i="4"/>
  <c r="EW4" i="4"/>
  <c r="EV4" i="4"/>
  <c r="EX4" i="4" s="1"/>
  <c r="FA4" i="4" s="1"/>
  <c r="EU4" i="4"/>
  <c r="ED5" i="4"/>
  <c r="EC5" i="4"/>
  <c r="EA5" i="4"/>
  <c r="DZ5" i="4"/>
  <c r="DY5" i="4"/>
  <c r="ED4" i="4"/>
  <c r="EC4" i="4"/>
  <c r="EA4" i="4"/>
  <c r="DZ4" i="4"/>
  <c r="DY4" i="4"/>
  <c r="BS13" i="17"/>
  <c r="BS9" i="17"/>
  <c r="BR5" i="17"/>
  <c r="BQ5" i="17"/>
  <c r="BP5" i="17"/>
  <c r="BO5" i="17"/>
  <c r="BN5" i="17"/>
  <c r="BR4" i="17"/>
  <c r="BQ4" i="17"/>
  <c r="BP4" i="17"/>
  <c r="BO4" i="17"/>
  <c r="BN4" i="17"/>
  <c r="AR13" i="17"/>
  <c r="AR9" i="17"/>
  <c r="AQ5" i="17"/>
  <c r="AP5" i="17"/>
  <c r="AO5" i="17"/>
  <c r="AN5" i="17"/>
  <c r="AM5" i="17"/>
  <c r="AQ4" i="17"/>
  <c r="AP4" i="17"/>
  <c r="AO4" i="17"/>
  <c r="AN4" i="17"/>
  <c r="AM4" i="17"/>
  <c r="BS13" i="16"/>
  <c r="BS9" i="16"/>
  <c r="BR5" i="16"/>
  <c r="BQ5" i="16"/>
  <c r="BP5" i="16"/>
  <c r="BO5" i="16"/>
  <c r="BN5" i="16"/>
  <c r="BR4" i="16"/>
  <c r="BQ4" i="16"/>
  <c r="BP4" i="16"/>
  <c r="BO4" i="16"/>
  <c r="BN4" i="16"/>
  <c r="AR13" i="16"/>
  <c r="AR9" i="16"/>
  <c r="AQ5" i="16"/>
  <c r="AP5" i="16"/>
  <c r="AO5" i="16"/>
  <c r="AN5" i="16"/>
  <c r="AM5" i="16"/>
  <c r="AQ4" i="16"/>
  <c r="AP4" i="16"/>
  <c r="AO4" i="16"/>
  <c r="AN4" i="16"/>
  <c r="AM4" i="16"/>
  <c r="BR4" i="15"/>
  <c r="BQ4" i="15"/>
  <c r="BP4" i="15"/>
  <c r="BO4" i="15"/>
  <c r="BN4" i="15"/>
  <c r="AQ4" i="15"/>
  <c r="AP4" i="15"/>
  <c r="AO4" i="15"/>
  <c r="AN4" i="15"/>
  <c r="AM4" i="15"/>
  <c r="BS13" i="14"/>
  <c r="BS9" i="14"/>
  <c r="BR4" i="14"/>
  <c r="BQ4" i="14"/>
  <c r="BP4" i="14"/>
  <c r="BO4" i="14"/>
  <c r="BN4" i="14"/>
  <c r="BR5" i="14"/>
  <c r="BQ5" i="14"/>
  <c r="BP5" i="14"/>
  <c r="BO5" i="14"/>
  <c r="BN5" i="14"/>
  <c r="AR13" i="14"/>
  <c r="AR9" i="14"/>
  <c r="AQ4" i="14"/>
  <c r="AP4" i="14"/>
  <c r="AO4" i="14"/>
  <c r="AN4" i="14"/>
  <c r="AM4" i="14"/>
  <c r="AQ5" i="14"/>
  <c r="AP5" i="14"/>
  <c r="AO5" i="14"/>
  <c r="AN5" i="14"/>
  <c r="AM5" i="14"/>
  <c r="BZ9" i="13"/>
  <c r="BY9" i="13"/>
  <c r="BW9" i="13"/>
  <c r="BV9" i="13"/>
  <c r="BU9" i="13"/>
  <c r="BT9" i="13"/>
  <c r="BS9" i="13"/>
  <c r="BZ8" i="13"/>
  <c r="BY8" i="13"/>
  <c r="BW8" i="13"/>
  <c r="BV8" i="13"/>
  <c r="BU8" i="13"/>
  <c r="BT8" i="13"/>
  <c r="BS8" i="13"/>
  <c r="BZ7" i="13"/>
  <c r="BY7" i="13"/>
  <c r="BW7" i="13"/>
  <c r="BV7" i="13"/>
  <c r="BU7" i="13"/>
  <c r="BT7" i="13"/>
  <c r="BS7" i="13"/>
  <c r="BZ4" i="13"/>
  <c r="BY4" i="13"/>
  <c r="BW4" i="13"/>
  <c r="BV4" i="13"/>
  <c r="BU4" i="13"/>
  <c r="BT4" i="13"/>
  <c r="BS4" i="13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AV9" i="13"/>
  <c r="AU9" i="13"/>
  <c r="AS9" i="13"/>
  <c r="AR9" i="13"/>
  <c r="AQ9" i="13"/>
  <c r="AP9" i="13"/>
  <c r="AO9" i="13"/>
  <c r="AV8" i="13"/>
  <c r="AU8" i="13"/>
  <c r="AS8" i="13"/>
  <c r="AR8" i="13"/>
  <c r="AQ8" i="13"/>
  <c r="AP8" i="13"/>
  <c r="AO8" i="13"/>
  <c r="AV7" i="13"/>
  <c r="AU7" i="13"/>
  <c r="AS7" i="13"/>
  <c r="AR7" i="13"/>
  <c r="AQ7" i="13"/>
  <c r="AP7" i="13"/>
  <c r="AO7" i="13"/>
  <c r="AV4" i="13"/>
  <c r="AU4" i="13"/>
  <c r="AS4" i="13"/>
  <c r="AR4" i="13"/>
  <c r="AQ4" i="13"/>
  <c r="AP4" i="13"/>
  <c r="AO4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3" i="14"/>
  <c r="OV9" i="14"/>
  <c r="NV13" i="14"/>
  <c r="NV9" i="14"/>
  <c r="MV13" i="14"/>
  <c r="MV9" i="14"/>
  <c r="LV13" i="14"/>
  <c r="LV9" i="14"/>
  <c r="KV13" i="14"/>
  <c r="KV9" i="14"/>
  <c r="JV13" i="14"/>
  <c r="JV9" i="14"/>
  <c r="IV13" i="14"/>
  <c r="IV9" i="14"/>
  <c r="HV13" i="14"/>
  <c r="HV9" i="14"/>
  <c r="GV13" i="14"/>
  <c r="GV9" i="14"/>
  <c r="FV13" i="14"/>
  <c r="FV9" i="14"/>
  <c r="EV13" i="14"/>
  <c r="EV9" i="14"/>
  <c r="DV13" i="14"/>
  <c r="DV9" i="14"/>
  <c r="OV13" i="17"/>
  <c r="OV9" i="17"/>
  <c r="OV13" i="16"/>
  <c r="OV9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FT5" i="13" l="1"/>
  <c r="HO5" i="13"/>
  <c r="KY5" i="13"/>
  <c r="EE4" i="13"/>
  <c r="FA6" i="13"/>
  <c r="EB9" i="13"/>
  <c r="EE9" i="13" s="1"/>
  <c r="EB6" i="13"/>
  <c r="EE6" i="13" s="1"/>
  <c r="EX8" i="13"/>
  <c r="FA8" i="13" s="1"/>
  <c r="GP4" i="13"/>
  <c r="GP7" i="13"/>
  <c r="GS7" i="13" s="1"/>
  <c r="HL6" i="13"/>
  <c r="HO6" i="13" s="1"/>
  <c r="IH8" i="13"/>
  <c r="IK8" i="13" s="1"/>
  <c r="FT7" i="13"/>
  <c r="FW7" i="13" s="1"/>
  <c r="IH5" i="13"/>
  <c r="IK5" i="13" s="1"/>
  <c r="LR5" i="13"/>
  <c r="LU5" i="13" s="1"/>
  <c r="LR7" i="13"/>
  <c r="LU7" i="13" s="1"/>
  <c r="MN6" i="13"/>
  <c r="MQ6" i="13" s="1"/>
  <c r="EX9" i="13"/>
  <c r="FA9" i="13" s="1"/>
  <c r="GP5" i="13"/>
  <c r="GS5" i="13" s="1"/>
  <c r="IH9" i="13"/>
  <c r="IK9" i="13" s="1"/>
  <c r="JZ5" i="13"/>
  <c r="KC5" i="13" s="1"/>
  <c r="JZ4" i="4"/>
  <c r="KC4" i="4" s="1"/>
  <c r="DV4" i="17"/>
  <c r="HV4" i="17"/>
  <c r="LV4" i="17"/>
  <c r="NV4" i="17"/>
  <c r="FV4" i="17"/>
  <c r="EV5" i="17"/>
  <c r="GV5" i="17"/>
  <c r="IV5" i="17"/>
  <c r="KV5" i="17"/>
  <c r="MV5" i="17"/>
  <c r="JV4" i="17"/>
  <c r="MV5" i="16"/>
  <c r="EV4" i="16"/>
  <c r="GV4" i="16"/>
  <c r="IV4" i="16"/>
  <c r="DV5" i="16"/>
  <c r="FV5" i="16"/>
  <c r="HV5" i="16"/>
  <c r="KV4" i="16"/>
  <c r="MV4" i="16"/>
  <c r="DV4" i="16"/>
  <c r="JV5" i="16"/>
  <c r="LV5" i="16"/>
  <c r="NV5" i="16"/>
  <c r="FV4" i="16"/>
  <c r="HV4" i="16"/>
  <c r="EB7" i="13"/>
  <c r="EE7" i="13" s="1"/>
  <c r="FT4" i="13"/>
  <c r="FW4" i="13" s="1"/>
  <c r="FT9" i="13"/>
  <c r="FW9" i="13" s="1"/>
  <c r="IH7" i="13"/>
  <c r="IK7" i="13" s="1"/>
  <c r="JD4" i="13"/>
  <c r="JG4" i="13" s="1"/>
  <c r="HL7" i="13"/>
  <c r="HO7" i="13" s="1"/>
  <c r="FT8" i="13"/>
  <c r="FW8" i="13" s="1"/>
  <c r="HL4" i="13"/>
  <c r="HO4" i="13" s="1"/>
  <c r="HL9" i="13"/>
  <c r="HO9" i="13" s="1"/>
  <c r="JD8" i="13"/>
  <c r="JG8" i="13" s="1"/>
  <c r="KC7" i="13"/>
  <c r="KV4" i="13"/>
  <c r="KY4" i="13" s="1"/>
  <c r="KY9" i="13"/>
  <c r="LR6" i="13"/>
  <c r="LU6" i="13" s="1"/>
  <c r="FW5" i="13"/>
  <c r="GS4" i="13"/>
  <c r="JD5" i="13"/>
  <c r="JG5" i="13" s="1"/>
  <c r="KV6" i="13"/>
  <c r="MN5" i="13"/>
  <c r="MQ5" i="13" s="1"/>
  <c r="EB5" i="13"/>
  <c r="EE5" i="13" s="1"/>
  <c r="GP9" i="13"/>
  <c r="GS9" i="13" s="1"/>
  <c r="JZ9" i="13"/>
  <c r="KC9" i="13" s="1"/>
  <c r="LR8" i="13"/>
  <c r="LU8" i="13" s="1"/>
  <c r="MN4" i="13"/>
  <c r="MQ4" i="13" s="1"/>
  <c r="MN7" i="13"/>
  <c r="MQ7" i="13" s="1"/>
  <c r="EX4" i="13"/>
  <c r="FA4" i="13" s="1"/>
  <c r="EX7" i="13"/>
  <c r="FA7" i="13" s="1"/>
  <c r="JD7" i="13"/>
  <c r="JG7" i="13" s="1"/>
  <c r="KV7" i="13"/>
  <c r="KY7" i="13" s="1"/>
  <c r="LR4" i="13"/>
  <c r="LU4" i="13" s="1"/>
  <c r="MN9" i="13"/>
  <c r="MQ9" i="13" s="1"/>
  <c r="JZ4" i="13"/>
  <c r="KC4" i="13" s="1"/>
  <c r="LR9" i="13"/>
  <c r="LU9" i="13" s="1"/>
  <c r="FW6" i="13"/>
  <c r="GS6" i="13"/>
  <c r="JG6" i="13"/>
  <c r="KY6" i="13"/>
  <c r="MQ8" i="13"/>
  <c r="KC6" i="13"/>
  <c r="EB8" i="13"/>
  <c r="EE8" i="13" s="1"/>
  <c r="HL8" i="13"/>
  <c r="HO8" i="13" s="1"/>
  <c r="IH6" i="13"/>
  <c r="IK6" i="13" s="1"/>
  <c r="JD9" i="13"/>
  <c r="JG9" i="13" s="1"/>
  <c r="KV8" i="13"/>
  <c r="KY8" i="13" s="1"/>
  <c r="FW5" i="4"/>
  <c r="JG5" i="4"/>
  <c r="MQ5" i="4"/>
  <c r="GP5" i="4"/>
  <c r="GS5" i="4" s="1"/>
  <c r="JZ5" i="4"/>
  <c r="KC5" i="4" s="1"/>
  <c r="EB5" i="4"/>
  <c r="EE5" i="4" s="1"/>
  <c r="IH4" i="4"/>
  <c r="IK4" i="4" s="1"/>
  <c r="HO4" i="4"/>
  <c r="EB4" i="4"/>
  <c r="EE4" i="4" s="1"/>
  <c r="FW4" i="4"/>
  <c r="JG4" i="4"/>
  <c r="MQ4" i="4"/>
  <c r="GP4" i="4"/>
  <c r="GS4" i="4" s="1"/>
  <c r="HL5" i="4"/>
  <c r="HO5" i="4" s="1"/>
  <c r="KV5" i="4"/>
  <c r="KY5" i="4" s="1"/>
  <c r="BS4" i="17"/>
  <c r="HV4" i="14"/>
  <c r="JV4" i="14"/>
  <c r="AR5" i="17"/>
  <c r="BS4" i="16"/>
  <c r="OV5" i="16"/>
  <c r="BS5" i="17"/>
  <c r="AR4" i="17"/>
  <c r="BS5" i="16"/>
  <c r="OV4" i="16"/>
  <c r="AR4" i="16"/>
  <c r="CT5" i="16"/>
  <c r="CT4" i="16"/>
  <c r="AR5" i="16"/>
  <c r="AR4" i="15"/>
  <c r="BS4" i="15"/>
  <c r="BS5" i="14"/>
  <c r="CT4" i="14"/>
  <c r="NV4" i="14"/>
  <c r="FV4" i="14"/>
  <c r="AR4" i="14"/>
  <c r="IV4" i="14"/>
  <c r="BS4" i="14"/>
  <c r="KV4" i="14"/>
  <c r="LV4" i="14"/>
  <c r="DV4" i="14"/>
  <c r="OV4" i="14"/>
  <c r="GV4" i="14"/>
  <c r="AR5" i="14"/>
  <c r="MV4" i="14"/>
  <c r="EV4" i="14"/>
  <c r="AT7" i="13"/>
  <c r="AW7" i="13" s="1"/>
  <c r="BX9" i="13"/>
  <c r="CA9" i="13" s="1"/>
  <c r="AT8" i="13"/>
  <c r="AW8" i="13" s="1"/>
  <c r="AT6" i="13"/>
  <c r="AW6" i="13" s="1"/>
  <c r="BX6" i="13"/>
  <c r="CA6" i="13" s="1"/>
  <c r="AT4" i="13"/>
  <c r="AW4" i="13" s="1"/>
  <c r="BX7" i="13"/>
  <c r="CA7" i="13" s="1"/>
  <c r="O9" i="13"/>
  <c r="P9" i="13" s="1"/>
  <c r="BX4" i="13"/>
  <c r="CA4" i="13" s="1"/>
  <c r="AT9" i="13"/>
  <c r="AW9" i="13" s="1"/>
  <c r="AT5" i="13"/>
  <c r="AW5" i="13" s="1"/>
  <c r="BX8" i="13"/>
  <c r="CA8" i="13" s="1"/>
  <c r="BX5" i="13"/>
  <c r="CA5" i="13" s="1"/>
  <c r="AT5" i="4"/>
  <c r="AW5" i="4" s="1"/>
  <c r="AT4" i="4"/>
  <c r="AW4" i="4" s="1"/>
  <c r="BX5" i="4"/>
  <c r="CA5" i="4" s="1"/>
  <c r="BX4" i="4"/>
  <c r="CA4" i="4" s="1"/>
  <c r="NJ9" i="13"/>
  <c r="NM9" i="13" s="1"/>
  <c r="DB9" i="13"/>
  <c r="DE9" i="13" s="1"/>
  <c r="OP9" i="13"/>
  <c r="OM9" i="13"/>
  <c r="OK9" i="13"/>
  <c r="OI9" i="13"/>
  <c r="DB5" i="13"/>
  <c r="DE5" i="13" s="1"/>
  <c r="O5" i="13"/>
  <c r="P5" i="13" s="1"/>
  <c r="PS5" i="16"/>
  <c r="M5" i="16"/>
  <c r="CV5" i="16" s="1"/>
  <c r="PT5" i="16"/>
  <c r="G5" i="16"/>
  <c r="PU5" i="16"/>
  <c r="PR5" i="16"/>
  <c r="F5" i="16"/>
  <c r="K5" i="16"/>
  <c r="I5" i="16"/>
  <c r="PV5" i="16"/>
  <c r="OP8" i="13"/>
  <c r="DB8" i="13"/>
  <c r="DE8" i="13" s="1"/>
  <c r="NJ5" i="13"/>
  <c r="NM5" i="13" s="1"/>
  <c r="OM5" i="13"/>
  <c r="OK5" i="13"/>
  <c r="OI5" i="13"/>
  <c r="DB4" i="13"/>
  <c r="DE4" i="13" s="1"/>
  <c r="NJ8" i="13"/>
  <c r="NM8" i="13" s="1"/>
  <c r="OP7" i="13"/>
  <c r="OM8" i="13"/>
  <c r="OK8" i="13"/>
  <c r="OI8" i="13"/>
  <c r="O8" i="13"/>
  <c r="P8" i="13" s="1"/>
  <c r="DB7" i="13"/>
  <c r="DE7" i="13" s="1"/>
  <c r="OK4" i="13"/>
  <c r="NJ7" i="13"/>
  <c r="NM7" i="13" s="1"/>
  <c r="O4" i="13"/>
  <c r="DI4" i="13" s="1"/>
  <c r="NJ4" i="13"/>
  <c r="NM4" i="13" s="1"/>
  <c r="OM4" i="13"/>
  <c r="OI4" i="13"/>
  <c r="OM7" i="13"/>
  <c r="OK7" i="13"/>
  <c r="OI7" i="13"/>
  <c r="O7" i="13"/>
  <c r="P7" i="13" s="1"/>
  <c r="OI5" i="4"/>
  <c r="O4" i="4"/>
  <c r="P4" i="4" s="1"/>
  <c r="OP4" i="4"/>
  <c r="NJ5" i="4"/>
  <c r="NM5" i="4" s="1"/>
  <c r="DB5" i="4"/>
  <c r="DE5" i="4" s="1"/>
  <c r="OP5" i="4"/>
  <c r="OM5" i="4"/>
  <c r="OK5" i="4"/>
  <c r="O5" i="4"/>
  <c r="P5" i="4" s="1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PW4" i="16" l="1"/>
  <c r="PW5" i="16"/>
  <c r="PW4" i="14"/>
  <c r="DI9" i="13"/>
  <c r="I4" i="4"/>
  <c r="J4" i="4" s="1"/>
  <c r="G9" i="13"/>
  <c r="H9" i="13" s="1"/>
  <c r="A9" i="13" s="1" a="1"/>
  <c r="A9" i="13" s="1"/>
  <c r="I9" i="13"/>
  <c r="DH9" i="13" s="1"/>
  <c r="F9" i="13"/>
  <c r="ON9" i="13"/>
  <c r="I5" i="13"/>
  <c r="J5" i="13" s="1"/>
  <c r="I8" i="13"/>
  <c r="K8" i="13" s="1"/>
  <c r="DI5" i="13"/>
  <c r="G5" i="13"/>
  <c r="H5" i="13" s="1"/>
  <c r="A5" i="13" s="1" a="1"/>
  <c r="A5" i="13" s="1"/>
  <c r="F5" i="13"/>
  <c r="G8" i="13"/>
  <c r="H8" i="13" s="1"/>
  <c r="A8" i="13" s="1" a="1"/>
  <c r="A8" i="13" s="1"/>
  <c r="ON8" i="13"/>
  <c r="DI5" i="4"/>
  <c r="H5" i="16"/>
  <c r="N5" i="16"/>
  <c r="J5" i="16"/>
  <c r="L5" i="16"/>
  <c r="CU5" i="16"/>
  <c r="O5" i="16" s="1"/>
  <c r="ON5" i="13"/>
  <c r="DI8" i="13"/>
  <c r="ON7" i="13"/>
  <c r="I4" i="13"/>
  <c r="DH4" i="13" s="1"/>
  <c r="F4" i="13"/>
  <c r="I7" i="13"/>
  <c r="M7" i="13" s="1"/>
  <c r="F8" i="13"/>
  <c r="G7" i="13"/>
  <c r="H7" i="13" s="1"/>
  <c r="A7" i="13" s="1" a="1"/>
  <c r="A7" i="13" s="1"/>
  <c r="G4" i="13"/>
  <c r="H4" i="13" s="1"/>
  <c r="A4" i="13" s="1" a="1"/>
  <c r="A4" i="13" s="1"/>
  <c r="P4" i="13"/>
  <c r="ON4" i="13"/>
  <c r="F7" i="13"/>
  <c r="DI7" i="13"/>
  <c r="F5" i="4"/>
  <c r="ON5" i="4"/>
  <c r="OQ5" i="4" s="1"/>
  <c r="I5" i="4"/>
  <c r="K5" i="4" s="1"/>
  <c r="ON4" i="4"/>
  <c r="OQ4" i="4" s="1"/>
  <c r="DI4" i="4"/>
  <c r="G5" i="4"/>
  <c r="H5" i="4" s="1"/>
  <c r="A5" i="4" s="1" a="1"/>
  <c r="A5" i="4" s="1"/>
  <c r="F4" i="4"/>
  <c r="DE4" i="4"/>
  <c r="G4" i="4"/>
  <c r="H4" i="4" s="1"/>
  <c r="CV4" i="14"/>
  <c r="H4" i="14"/>
  <c r="J4" i="14"/>
  <c r="L4" i="14"/>
  <c r="CU4" i="14"/>
  <c r="CV4" i="16"/>
  <c r="H4" i="16"/>
  <c r="L4" i="16"/>
  <c r="CU4" i="16"/>
  <c r="K5" i="13" l="1"/>
  <c r="L5" i="13" s="1"/>
  <c r="K4" i="4"/>
  <c r="DF4" i="4" s="1"/>
  <c r="M5" i="13"/>
  <c r="DG5" i="13" s="1"/>
  <c r="DH5" i="13"/>
  <c r="DH4" i="4"/>
  <c r="M4" i="4"/>
  <c r="N4" i="4" s="1"/>
  <c r="OQ7" i="13"/>
  <c r="OQ9" i="13"/>
  <c r="J8" i="13"/>
  <c r="L8" i="13" s="1"/>
  <c r="OQ8" i="13"/>
  <c r="DH8" i="13"/>
  <c r="M8" i="13"/>
  <c r="M9" i="13"/>
  <c r="DG9" i="13" s="1"/>
  <c r="J9" i="13"/>
  <c r="K9" i="13"/>
  <c r="DF9" i="13" s="1"/>
  <c r="DH5" i="4"/>
  <c r="J5" i="4"/>
  <c r="L5" i="4" s="1"/>
  <c r="K7" i="13"/>
  <c r="DF7" i="13" s="1"/>
  <c r="M5" i="4"/>
  <c r="E5" i="16"/>
  <c r="P5" i="16"/>
  <c r="Q5" i="16"/>
  <c r="K4" i="13"/>
  <c r="DF4" i="13" s="1"/>
  <c r="M4" i="13"/>
  <c r="DG4" i="13" s="1"/>
  <c r="J4" i="13"/>
  <c r="DH7" i="13"/>
  <c r="J7" i="13"/>
  <c r="N7" i="13" s="1"/>
  <c r="DF8" i="13"/>
  <c r="DG7" i="13"/>
  <c r="O4" i="14"/>
  <c r="E4" i="14" s="1"/>
  <c r="DF5" i="4"/>
  <c r="L4" i="4"/>
  <c r="O4" i="16"/>
  <c r="E4" i="16" s="1"/>
  <c r="N5" i="13" l="1"/>
  <c r="N8" i="13"/>
  <c r="DF5" i="13"/>
  <c r="Q5" i="13" s="1"/>
  <c r="S5" i="13" s="1"/>
  <c r="DG4" i="4"/>
  <c r="Q4" i="4" s="1"/>
  <c r="E4" i="4" s="1"/>
  <c r="N9" i="13"/>
  <c r="DG8" i="13"/>
  <c r="Q8" i="13" s="1"/>
  <c r="L9" i="13"/>
  <c r="Q9" i="13"/>
  <c r="S9" i="13" s="1"/>
  <c r="L4" i="13"/>
  <c r="N5" i="4"/>
  <c r="DG5" i="4"/>
  <c r="Q5" i="4" s="1"/>
  <c r="R5" i="4" s="1"/>
  <c r="L7" i="13"/>
  <c r="Q4" i="14"/>
  <c r="P4" i="14"/>
  <c r="N4" i="13"/>
  <c r="Q4" i="13"/>
  <c r="S4" i="13" s="1"/>
  <c r="Q7" i="13"/>
  <c r="Q4" i="16"/>
  <c r="P4" i="16"/>
  <c r="E8" i="13" l="1"/>
  <c r="E9" i="13"/>
  <c r="R9" i="13"/>
  <c r="E7" i="13"/>
  <c r="E5" i="13"/>
  <c r="R5" i="13"/>
  <c r="R8" i="13"/>
  <c r="S8" i="13"/>
  <c r="R4" i="13"/>
  <c r="E4" i="13"/>
  <c r="S7" i="13"/>
  <c r="R7" i="13"/>
  <c r="E5" i="4"/>
  <c r="S5" i="4"/>
  <c r="S4" i="4"/>
  <c r="R4" i="4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OP6" i="13" s="1"/>
  <c r="OP5" i="13" l="1"/>
  <c r="OM6" i="13"/>
  <c r="NJ6" i="13"/>
  <c r="NM6" i="13" s="1"/>
  <c r="O6" i="13"/>
  <c r="DI6" i="13" s="1"/>
  <c r="DB6" i="13"/>
  <c r="DE6" i="13" s="1"/>
  <c r="OK6" i="13"/>
  <c r="OI6" i="13"/>
  <c r="CT13" i="17"/>
  <c r="CT9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T4" i="17" s="1"/>
  <c r="CO4" i="17"/>
  <c r="CT13" i="16"/>
  <c r="CT9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CS4" i="15"/>
  <c r="CR4" i="15"/>
  <c r="CQ4" i="15"/>
  <c r="CP4" i="15"/>
  <c r="CO4" i="15"/>
  <c r="CT13" i="14"/>
  <c r="CT9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V5" i="14" s="1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CT5" i="17" l="1"/>
  <c r="EV5" i="14"/>
  <c r="MV5" i="14"/>
  <c r="OV5" i="14"/>
  <c r="GV5" i="14"/>
  <c r="OV4" i="17"/>
  <c r="OV5" i="17"/>
  <c r="OV4" i="15"/>
  <c r="CT4" i="15"/>
  <c r="HV5" i="14"/>
  <c r="LV5" i="14"/>
  <c r="DV5" i="14"/>
  <c r="IV5" i="14"/>
  <c r="FV5" i="14"/>
  <c r="NV5" i="14"/>
  <c r="CT5" i="14"/>
  <c r="KV5" i="14"/>
  <c r="A4" i="4" a="1"/>
  <c r="A4" i="4" s="1"/>
  <c r="P6" i="13"/>
  <c r="I6" i="13"/>
  <c r="ON6" i="13"/>
  <c r="F6" i="13"/>
  <c r="G6" i="13"/>
  <c r="H6" i="13" s="1"/>
  <c r="A6" i="13" s="1" a="1"/>
  <c r="A6" i="13" s="1"/>
  <c r="PU5" i="17"/>
  <c r="M4" i="17"/>
  <c r="CV4" i="17" s="1"/>
  <c r="PT5" i="17"/>
  <c r="G4" i="17"/>
  <c r="PT4" i="17"/>
  <c r="PR5" i="17"/>
  <c r="PR4" i="17"/>
  <c r="PS5" i="17"/>
  <c r="K5" i="17"/>
  <c r="CU5" i="17" s="1"/>
  <c r="PV4" i="17"/>
  <c r="I5" i="17"/>
  <c r="J5" i="17" s="1"/>
  <c r="PV5" i="17"/>
  <c r="PU4" i="17"/>
  <c r="PS4" i="17"/>
  <c r="I4" i="17"/>
  <c r="F5" i="17"/>
  <c r="K4" i="17"/>
  <c r="CU4" i="17" s="1"/>
  <c r="G5" i="17"/>
  <c r="M5" i="17"/>
  <c r="CV5" i="17" s="1"/>
  <c r="F4" i="17"/>
  <c r="PR4" i="15"/>
  <c r="F4" i="15"/>
  <c r="G4" i="15"/>
  <c r="PS4" i="15"/>
  <c r="PT4" i="15"/>
  <c r="PV4" i="15"/>
  <c r="M4" i="15"/>
  <c r="CV4" i="15" s="1"/>
  <c r="PU4" i="15"/>
  <c r="I4" i="15"/>
  <c r="K4" i="15"/>
  <c r="CU4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OQ5" i="13" l="1"/>
  <c r="OQ6" i="13"/>
  <c r="PW5" i="17"/>
  <c r="PW4" i="17"/>
  <c r="PW4" i="15"/>
  <c r="PW5" i="14"/>
  <c r="K6" i="13"/>
  <c r="DF6" i="13" s="1"/>
  <c r="DH6" i="13"/>
  <c r="J6" i="13"/>
  <c r="M6" i="13"/>
  <c r="DG6" i="13" s="1"/>
  <c r="N5" i="14"/>
  <c r="L5" i="14"/>
  <c r="H5" i="14"/>
  <c r="N4" i="17"/>
  <c r="H4" i="15"/>
  <c r="H5" i="17"/>
  <c r="H4" i="17"/>
  <c r="L5" i="17"/>
  <c r="J4" i="17"/>
  <c r="N5" i="17"/>
  <c r="O5" i="17"/>
  <c r="L4" i="17"/>
  <c r="N4" i="15"/>
  <c r="J4" i="15"/>
  <c r="O4" i="15"/>
  <c r="L4" i="15"/>
  <c r="J5" i="14"/>
  <c r="A4" i="15" l="1" a="1"/>
  <c r="A4" i="15" s="1"/>
  <c r="L6" i="13"/>
  <c r="N6" i="13"/>
  <c r="Q6" i="13"/>
  <c r="O4" i="17"/>
  <c r="E4" i="17" s="1"/>
  <c r="O5" i="14"/>
  <c r="E5" i="14" s="1"/>
  <c r="A5" i="14" s="1" a="1"/>
  <c r="A5" i="14" s="1"/>
  <c r="Q5" i="17"/>
  <c r="P5" i="17"/>
  <c r="E5" i="17"/>
  <c r="E4" i="15"/>
  <c r="P4" i="15"/>
  <c r="Q4" i="15"/>
  <c r="A5" i="17" l="1" a="1"/>
  <c r="A5" i="17" s="1"/>
  <c r="A4" i="17" a="1"/>
  <c r="A4" i="17" s="1"/>
  <c r="A5" i="16" a="1"/>
  <c r="A5" i="16" s="1"/>
  <c r="A4" i="16" a="1"/>
  <c r="A4" i="16" s="1"/>
  <c r="A4" i="14" a="1"/>
  <c r="A4" i="14" s="1"/>
  <c r="E6" i="13"/>
  <c r="R6" i="13"/>
  <c r="S6" i="13"/>
  <c r="Q4" i="17"/>
  <c r="P4" i="17"/>
  <c r="Q5" i="14"/>
  <c r="P5" i="14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<sst xmlns="http://schemas.openxmlformats.org/spreadsheetml/2006/main" count="3158" uniqueCount="101">
  <si>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</si>
  <si>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</si>
  <si>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</si>
  <si>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</si>
  <si>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</si>
  <si>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</si>
  <si>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</si>
  <si>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</si>
  <si>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</si>
  <si>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</si>
  <si>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</si>
  <si>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</si>
  <si>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</si>
  <si>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</si>
  <si>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</si>
  <si>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</si>
  <si>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</si>
  <si>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</si>
  <si>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</si>
  <si>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</si>
  <si>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</si>
  <si>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</si>
  <si>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</si>
  <si>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</si>
  <si>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</si>
  <si>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</si>
  <si>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</si>
  <si>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</si>
  <si>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</si>
  <si>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</si>
  <si>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</si>
  <si>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</si>
  <si>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</si>
  <si>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</si>
  <si>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</si>
  <si>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</si>
  <si>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</si>
  <si>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</si>
  <si>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</si>
  <si>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</si>
  <si>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</si>
  <si>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</si>
  <si>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</si>
  <si>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</si>
  <si>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</si>
  <si>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</si>
  <si>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</si>
  <si>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</si>
  <si>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</si>
  <si>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</si>
  <si>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</si>
  <si>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</si>
  <si>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</si>
  <si>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</si>
  <si>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</si>
  <si>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</si>
  <si>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</si>
  <si>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</si>
  <si>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</si>
  <si>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</si>
  <si>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</si>
  <si>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</si>
  <si>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</si>
  <si>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</si>
  <si>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</si>
  <si>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</si>
  <si>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</si>
  <si>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</si>
  <si>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</si>
  <si>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</si>
  <si>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</si>
  <si>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</si>
  <si>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</si>
  <si>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</si>
  <si>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</si>
  <si>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</si>
  <si>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</si>
  <si>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</si>
  <si>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</si>
  <si>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</si>
  <si>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LOISELLE, Hector</t>
  </si>
  <si>
    <t>BLOOM, Tristan</t>
  </si>
  <si>
    <t>SCHMIDT, Jordyn</t>
  </si>
  <si>
    <t>2023 Elite Canada</t>
  </si>
  <si>
    <t>GIBBS, Gavin</t>
  </si>
  <si>
    <t>2023 Pan Am Championships (May 14)</t>
  </si>
  <si>
    <t>2023 Pan Am Club Championships (May 14)</t>
  </si>
  <si>
    <t>2023 Nationals</t>
  </si>
  <si>
    <t>BEAULIEU, Alex</t>
  </si>
  <si>
    <t>GOOD, Hayden</t>
  </si>
  <si>
    <t>SCHMIDT, Makena</t>
  </si>
  <si>
    <t>LEPORÉ, Amylia</t>
  </si>
  <si>
    <t>SK</t>
  </si>
  <si>
    <t>REIMCHE, Wilson</t>
  </si>
  <si>
    <t>PROULX, Sarah-Kim</t>
  </si>
  <si>
    <t>2023 3rd Domestic Trial</t>
  </si>
  <si>
    <t>2023 WAGC (Nov 16)</t>
  </si>
  <si>
    <t>2023 WAGC (Nov 18)</t>
  </si>
  <si>
    <t>2023 Junior Worlds (Nov 19)</t>
  </si>
  <si>
    <t>2024 Age Update</t>
  </si>
  <si>
    <t>Level 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</si>
</sst>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BEAULIEU, Alex</v>
      </c>
      <c r="D2" s="16" t="str">
        <f>IF(B2&gt;MAX('TRA-M'!A:A),"",INDEX('TRA-M'!H:H,MATCH(B2,'TRA-M'!A:A,0)))</f>
        <v>No DD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hidden="1" x14ac:dyDescent="0.2">
      <c r="A6" s="8" t="s">
        <v>34</v>
      </c>
      <c r="B6" s="8">
        <v>1</v>
      </c>
      <c r="C6" s="8" t="str">
        <f>IF(B2&gt;MAX('TRA-W'!A:A),"",INDEX('TRA-W'!B:B,MATCH(B2,'TRA-W'!A:A,0)))</f>
        <v/>
      </c>
      <c r="D6" s="17" t="str">
        <f>IF(B2&gt;MAX('TRA-W'!A:A),"",INDEX('TRA-W'!H:H,MATCH(B2,'TRA-W'!A:A,0)))</f>
        <v/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National Team</v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hidden="1" x14ac:dyDescent="0.2">
      <c r="A14" s="8" t="s">
        <v>36</v>
      </c>
      <c r="B14" s="8">
        <v>1</v>
      </c>
      <c r="C14" s="8" t="str">
        <f>IF(B2&gt;MAX('TUM-W'!A:A),"",INDEX('TUM-W'!B:B,MATCH(B2,'TUM-W'!A:A,0)))</f>
        <v/>
      </c>
      <c r="D14" s="17" t="str">
        <f>IF(B2&gt;MAX('TUM-W'!A:A),"",INDEX('TUM-W'!H:H,MATCH(B2,'TUM-W'!A:A,0)))</f>
        <v/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REIMCHE, Wilson</v>
      </c>
      <c r="D19" s="16" t="str">
        <f>IF(B3&gt;MAX('DMT-M'!A:A),"",INDEX('DMT-M'!H:H,MATCH(B3,'DMT-M'!A:A,0)))</f>
        <v>Excellence</v>
      </c>
    </row>
    <row r="20" spans="1:5" hidden="1" x14ac:dyDescent="0.2">
      <c r="A20" s="6"/>
      <c r="B20" s="6">
        <v>3</v>
      </c>
      <c r="C20" s="6" t="str">
        <f>IF(B4&gt;MAX('DMT-M'!A:A),"",INDEX('DMT-M'!B:B,MATCH(B4,'DMT-M'!A:A,0)))</f>
        <v/>
      </c>
      <c r="D20" s="16" t="str">
        <f>IF(B4&gt;MAX('DMT-M'!A:A),"",INDEX('DMT-M'!H:H,MATCH(B4,'DMT-M'!A:A,0)))</f>
        <v/>
      </c>
    </row>
    <row r="21" spans="1:5" hidden="1" x14ac:dyDescent="0.2">
      <c r="A21" s="6"/>
      <c r="B21" s="6">
        <v>4</v>
      </c>
      <c r="C21" s="6" t="str">
        <f>IF(B5&gt;MAX('DMT-M'!A:A),"",INDEX('DMT-M'!B:B,MATCH(B5,'DMT-M'!A:A,0)))</f>
        <v/>
      </c>
      <c r="D21" s="16" t="str">
        <f>IF(B5&gt;MAX('DMT-M'!A:A),"",INDEX('DMT-M'!H:H,MATCH(B5,'DMT-M'!A:A,0)))</f>
        <v/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SCHMIDT, Jordyn</v>
      </c>
      <c r="D23" s="17" t="str">
        <f>IF(B3&gt;MAX('DMT-W'!A:A),"",INDEX('DMT-W'!H:H,MATCH(B3,'DMT-W'!A:A,0)))</f>
        <v>Excellence</v>
      </c>
    </row>
    <row r="24" spans="1:5" hidden="1" x14ac:dyDescent="0.2">
      <c r="A24" s="8"/>
      <c r="B24" s="8">
        <v>3</v>
      </c>
      <c r="C24" s="8" t="str">
        <f>IF(B4&gt;MAX('DMT-W'!A:A),"",INDEX('DMT-W'!B:B,MATCH(B4,'DMT-W'!A:A,0)))</f>
        <v/>
      </c>
      <c r="D24" s="17" t="str">
        <f>IF(B4&gt;MAX('DMT-W'!A:A),"",INDEX('DMT-W'!H:H,MATCH(B4,'DMT-W'!A:A,0)))</f>
        <v/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45302</v>
      </c>
      <c r="C34" s="68"/>
    </row>
    <row r="35" spans="1:3" x14ac:dyDescent="0.2">
      <c r="B35" t="s">
        <v>99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83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87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95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86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85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96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88</v>
      </c>
      <c r="C4" s="4" t="s">
        <v>3</v>
      </c>
      <c r="D4" s="4">
        <v>2008</v>
      </c>
      <c r="E4" s="10">
        <f>SUM(I4:Q4)</f>
        <v>243.23000000000002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>P</v>
      </c>
      <c r="H4" s="4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>No DD</v>
      </c>
      <c r="I4" s="9">
        <f>IF(MAX(AT4,BX4,DB4)&gt;0,MAX(AT4,BX4,DB4),0)</f>
        <v>96.04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43.57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51.54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52.08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17.8</v>
      </c>
      <c r="U4" s="27">
        <v>9.6999999999999993</v>
      </c>
      <c r="V4" s="27">
        <v>0</v>
      </c>
      <c r="W4" s="27">
        <v>14.94</v>
      </c>
      <c r="X4" s="27">
        <v>0</v>
      </c>
      <c r="Y4" s="27">
        <v>15.7</v>
      </c>
      <c r="Z4" s="27">
        <v>9.1</v>
      </c>
      <c r="AA4" s="27">
        <v>10.3</v>
      </c>
      <c r="AB4" s="27">
        <v>14.07</v>
      </c>
      <c r="AC4" s="27">
        <v>0</v>
      </c>
      <c r="AD4" s="27"/>
      <c r="AE4" s="27"/>
      <c r="AF4" s="27"/>
      <c r="AG4" s="27"/>
      <c r="AH4" s="27"/>
      <c r="AI4" s="27">
        <v>17.5</v>
      </c>
      <c r="AJ4" s="27">
        <v>7.7</v>
      </c>
      <c r="AK4" s="27">
        <v>8.1</v>
      </c>
      <c r="AL4" s="27">
        <v>11.67</v>
      </c>
      <c r="AM4" s="27">
        <v>0</v>
      </c>
      <c r="AN4" s="32"/>
      <c r="AO4" s="7">
        <f>IF(SUM(T4:W4)-X4&gt;0,SUM(T4:W4)-X4,"")</f>
        <v>42.44</v>
      </c>
      <c r="AP4" s="7">
        <f>IF(AA4&gt;0,AA4,"")</f>
        <v>10.3</v>
      </c>
      <c r="AQ4" s="7">
        <f>IF(SUM(Y4:AB4)-AC4&gt;0,SUM(Y4:AB4)-AC4,"")</f>
        <v>49.169999999999995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91.609999999999985</v>
      </c>
      <c r="AU4" s="7">
        <f>IF(AK4&gt;0,AK4,"")</f>
        <v>8.1</v>
      </c>
      <c r="AV4" s="7">
        <f>IF(SUM(AI4:AL4)-AM4&gt;0,SUM(AI4:AL4)-AM4,"")</f>
        <v>44.97</v>
      </c>
      <c r="AW4" s="7">
        <f>IF(SUM(AT4,AV4)&gt;0,SUM(AT4,AV4),"")</f>
        <v>136.57999999999998</v>
      </c>
      <c r="AX4" s="23">
        <v>18.5</v>
      </c>
      <c r="AY4" s="23">
        <v>9.6999999999999993</v>
      </c>
      <c r="AZ4" s="23">
        <v>0</v>
      </c>
      <c r="BA4" s="23">
        <v>15.37</v>
      </c>
      <c r="BB4" s="23">
        <v>0</v>
      </c>
      <c r="BC4" s="23">
        <v>16</v>
      </c>
      <c r="BD4" s="23">
        <v>9.1999999999999993</v>
      </c>
      <c r="BE4" s="23">
        <v>12.1</v>
      </c>
      <c r="BF4" s="23">
        <v>14.24</v>
      </c>
      <c r="BG4" s="23">
        <v>0</v>
      </c>
      <c r="BH4" s="23"/>
      <c r="BI4" s="23"/>
      <c r="BJ4" s="23"/>
      <c r="BK4" s="23"/>
      <c r="BL4" s="23"/>
      <c r="BM4" s="23">
        <v>13.6</v>
      </c>
      <c r="BN4" s="23">
        <v>7.5</v>
      </c>
      <c r="BO4" s="23">
        <v>9.6</v>
      </c>
      <c r="BP4" s="23">
        <v>11.46</v>
      </c>
      <c r="BQ4" s="23">
        <v>0</v>
      </c>
      <c r="BR4" s="33"/>
      <c r="BS4" s="9">
        <f>IF(SUM(AX4:BA4)-BB4&gt;0,SUM(AX4:BA4)-BB4,"")</f>
        <v>43.57</v>
      </c>
      <c r="BT4" s="9">
        <f>IF(BE4&gt;0,BE4,"")</f>
        <v>12.1</v>
      </c>
      <c r="BU4" s="9">
        <f>IF(SUM(BC4:BF4)-BG4&gt;0,SUM(BC4:BF4)-BG4,"")</f>
        <v>51.54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95.11</v>
      </c>
      <c r="BY4" s="9">
        <f>IF(BO4&gt;0,BO4,"")</f>
        <v>9.6</v>
      </c>
      <c r="BZ4" s="9">
        <f>IF(SUM(BM4:BP4)-BQ4&gt;0,SUM(BM4:BP4)-BQ4,"")</f>
        <v>42.160000000000004</v>
      </c>
      <c r="CA4" s="9">
        <f>IF(SUM(BX4,BZ4)&gt;0,SUM(BX4,BZ4),"")</f>
        <v>137.27000000000001</v>
      </c>
      <c r="CB4" s="27">
        <v>18.399999999999999</v>
      </c>
      <c r="CC4" s="27">
        <v>9.6</v>
      </c>
      <c r="CD4" s="27">
        <v>0</v>
      </c>
      <c r="CE4" s="27">
        <v>16.12</v>
      </c>
      <c r="CF4" s="27">
        <v>0</v>
      </c>
      <c r="CG4" s="27">
        <v>14.9</v>
      </c>
      <c r="CH4" s="27">
        <v>9.5</v>
      </c>
      <c r="CI4" s="27">
        <v>12.3</v>
      </c>
      <c r="CJ4" s="27">
        <v>15.22</v>
      </c>
      <c r="CK4" s="27">
        <v>0</v>
      </c>
      <c r="CL4" s="27"/>
      <c r="CM4" s="27"/>
      <c r="CN4" s="27"/>
      <c r="CO4" s="27"/>
      <c r="CP4" s="27"/>
      <c r="CQ4" s="27">
        <v>15.6</v>
      </c>
      <c r="CR4" s="27">
        <v>9.4</v>
      </c>
      <c r="CS4" s="27">
        <v>11.9</v>
      </c>
      <c r="CT4" s="27">
        <v>15.18</v>
      </c>
      <c r="CU4" s="27">
        <v>0</v>
      </c>
      <c r="CV4" s="32"/>
      <c r="CW4" s="7">
        <f>IF(SUM(CB4:CE4)-CF4&gt;0,SUM(CB4:CE4)-CF4,"")</f>
        <v>44.120000000000005</v>
      </c>
      <c r="CX4" s="7">
        <f>IF(CI4&gt;0,CI4,"")</f>
        <v>12.3</v>
      </c>
      <c r="CY4" s="7">
        <f>IF(SUM(CG4:CJ4)-CK4&gt;0,SUM(CG4:CJ4)-CK4,"")</f>
        <v>51.92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96.04</v>
      </c>
      <c r="DC4" s="7">
        <f>IF(CS4&gt;0,CS4,"")</f>
        <v>11.9</v>
      </c>
      <c r="DD4" s="7">
        <f>IF(SUM(CQ4:CT4)-CU4&gt;0,SUM(CQ4:CT4)-CU4,"")</f>
        <v>52.08</v>
      </c>
      <c r="DE4" s="7">
        <f>IF(SUM(DB4,DD4)&gt;0,SUM(DB4,DD4),"")</f>
        <v>148.12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>
        <v>17.600000000000001</v>
      </c>
      <c r="FC4" s="18">
        <v>9.8000000000000007</v>
      </c>
      <c r="FD4" s="18">
        <v>0</v>
      </c>
      <c r="FE4" s="18">
        <v>15.87</v>
      </c>
      <c r="FF4" s="18">
        <v>0</v>
      </c>
      <c r="FG4" s="18">
        <v>13.9</v>
      </c>
      <c r="FH4" s="18">
        <v>9.5</v>
      </c>
      <c r="FI4" s="18">
        <v>13.1</v>
      </c>
      <c r="FJ4" s="18">
        <v>14.66</v>
      </c>
      <c r="FK4" s="18">
        <v>0</v>
      </c>
      <c r="FL4" s="18"/>
      <c r="FM4" s="18"/>
      <c r="FN4" s="18"/>
      <c r="FO4" s="18"/>
      <c r="FP4" s="18"/>
      <c r="FQ4" s="7">
        <f>IF(FI4&gt;0,FI4,"")</f>
        <v>13.1</v>
      </c>
      <c r="FR4" s="7">
        <f>IF(SUM(FB4:FE4)-FF4&gt;0,SUM(FB4:FE4)-FF4,"")</f>
        <v>43.27</v>
      </c>
      <c r="FS4" s="7">
        <f>IF(SUM(FG4:FJ4)-FK4&gt;0,SUM(FG4:FJ4)-FK4,"")</f>
        <v>51.16</v>
      </c>
      <c r="FT4" s="7">
        <f>IF(SUM(FR4:FS4)&gt;0,SUM(FR4:FS4),"")</f>
        <v>94.43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94.43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5" si="0">IF($CV4="P",CB4,(CB4+AX4)/2)</f>
        <v>18.45</v>
      </c>
      <c r="NO4" s="27">
        <f t="shared" si="0"/>
        <v>9.6499999999999986</v>
      </c>
      <c r="NP4" s="27">
        <f t="shared" si="0"/>
        <v>0</v>
      </c>
      <c r="NQ4" s="27">
        <f t="shared" si="0"/>
        <v>15.745000000000001</v>
      </c>
      <c r="NR4" s="27">
        <f t="shared" si="0"/>
        <v>0</v>
      </c>
      <c r="NS4" s="27">
        <f t="shared" si="0"/>
        <v>15.45</v>
      </c>
      <c r="NT4" s="27">
        <f t="shared" si="0"/>
        <v>9.35</v>
      </c>
      <c r="NU4" s="27">
        <f t="shared" si="0"/>
        <v>12.2</v>
      </c>
      <c r="NV4" s="27">
        <f t="shared" si="0"/>
        <v>14.73</v>
      </c>
      <c r="NW4" s="27">
        <f t="shared" si="0"/>
        <v>0</v>
      </c>
      <c r="NX4" s="27">
        <f t="shared" ref="NX4:OG5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14.6</v>
      </c>
      <c r="OD4" s="27">
        <f t="shared" si="1"/>
        <v>8.4499999999999993</v>
      </c>
      <c r="OE4" s="27">
        <f t="shared" si="1"/>
        <v>10.75</v>
      </c>
      <c r="OF4" s="27">
        <f t="shared" si="1"/>
        <v>13.32</v>
      </c>
      <c r="OG4" s="27">
        <f t="shared" si="1"/>
        <v>0</v>
      </c>
      <c r="OH4" s="32" t="s">
        <v>44</v>
      </c>
      <c r="OI4" s="7">
        <f>IF(SUM(NN4:NQ4)-NR4&gt;0,SUM(NN4:NQ4)-NR4,"")</f>
        <v>43.844999999999999</v>
      </c>
      <c r="OJ4" s="7">
        <f>IF(NU4&gt;0,NU4,"")</f>
        <v>12.2</v>
      </c>
      <c r="OK4" s="7">
        <f>IF(SUM(NS4:NV4)-NW4&gt;0,SUM(NS4:NV4)-NW4,"")</f>
        <v>51.730000000000004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95.575000000000003</v>
      </c>
      <c r="OO4" s="7">
        <f>IF(OE4&gt;0,OE4,"")</f>
        <v>10.75</v>
      </c>
      <c r="OP4" s="7">
        <f t="shared" ref="OP4" si="2">IF(SUM(OC4:OF4)-OG4&gt;0,SUM(OC4:OF4)-OG4,"")</f>
        <v>47.12</v>
      </c>
      <c r="OQ4" s="7">
        <f t="shared" ref="OQ4" si="3">IF(SUM(ON4,OP4)&gt;0,SUM(ON4,OP4),"")</f>
        <v>142.69499999999999</v>
      </c>
    </row>
    <row r="5" spans="1:407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66</v>
      </c>
      <c r="D5" s="4">
        <v>2008</v>
      </c>
      <c r="E5" s="10">
        <f>SUM(I5:Q5)</f>
        <v>226.26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4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9">
        <f>IF(MAX(AT5,BX5,DB5)&gt;0,MAX(AT5,BX5,DB5),0)</f>
        <v>84.57</v>
      </c>
      <c r="J5" s="9" t="str">
        <f>IF(I5=0,"",IF(I5=DB5,$CB$1,IF(I5=BX5,$AX$1,IF(I5=AT5,$T$1,""))))</f>
        <v>2023 Nationals</v>
      </c>
      <c r="K5" s="9">
        <f>IF($I5=$AT5,MAX(BS5,CW5),IF($I5=$BX5,MAX(AO5,CW5),IF($I5=$DB5,MAX(AO5,BS5),MAX(AO5,BS5,CW5))))</f>
        <v>41.28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38.090000000000003</v>
      </c>
      <c r="N5" s="9" t="str">
        <f>IF(M5=0,"",IF(AND(OR(M5=DA5,M5=CY5),$J5&lt;&gt;$CB$1),$CB$1,IF(AND(OR(M5=BW5,M5=BU5),$J5&lt;&gt;$AX$1),$AX$1,IF(AND(OR(M5=AS5,M5=AQ5),$J5&lt;&gt;$T$1),$T$1,""))))</f>
        <v>2023 Elite Canada</v>
      </c>
      <c r="O5" s="9">
        <f>MAX(AV5,BZ5,DD5)</f>
        <v>50.25</v>
      </c>
      <c r="P5" s="9" t="str">
        <f>IF(O5=0,"",IF(O5=DD5,$CB$1,IF(O5=BZ5,$AX$1,IF(O5=AV5,$T$1,""))))</f>
        <v>2023 Nationals</v>
      </c>
      <c r="Q5" s="9">
        <f>IF(MAX(DF5,DG5,DH5,DI5)&gt;0,MAX(DF5,DG5,DH5,DI5),"")</f>
        <v>12.069999999999993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2023 WAGC (Nov 16)</v>
      </c>
      <c r="T5" s="27">
        <v>16.2</v>
      </c>
      <c r="U5" s="27">
        <v>9.4</v>
      </c>
      <c r="V5" s="27">
        <v>0</v>
      </c>
      <c r="W5" s="27">
        <v>13.45</v>
      </c>
      <c r="X5" s="27">
        <v>0</v>
      </c>
      <c r="Y5" s="27">
        <v>10.5</v>
      </c>
      <c r="Z5" s="27">
        <v>6.5</v>
      </c>
      <c r="AA5" s="27">
        <v>10.199999999999999</v>
      </c>
      <c r="AB5" s="27">
        <v>10.89</v>
      </c>
      <c r="AC5" s="27">
        <v>0</v>
      </c>
      <c r="AD5" s="27"/>
      <c r="AE5" s="27"/>
      <c r="AF5" s="27"/>
      <c r="AG5" s="27"/>
      <c r="AH5" s="27"/>
      <c r="AI5" s="27">
        <v>11.6</v>
      </c>
      <c r="AJ5" s="27">
        <v>9</v>
      </c>
      <c r="AK5" s="27">
        <v>12.9</v>
      </c>
      <c r="AL5" s="27">
        <v>13.75</v>
      </c>
      <c r="AM5" s="27">
        <v>0</v>
      </c>
      <c r="AN5" s="32"/>
      <c r="AO5" s="7">
        <f>IF(SUM(T5:W5)-X5&gt;0,SUM(T5:W5)-X5,"")</f>
        <v>39.049999999999997</v>
      </c>
      <c r="AP5" s="7">
        <f>IF(AA5&gt;0,AA5,"")</f>
        <v>10.199999999999999</v>
      </c>
      <c r="AQ5" s="7">
        <f>IF(SUM(Y5:AB5)-AC5&gt;0,SUM(Y5:AB5)-AC5,"")</f>
        <v>38.090000000000003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77.14</v>
      </c>
      <c r="AU5" s="7">
        <f>IF(AK5&gt;0,AK5,"")</f>
        <v>12.9</v>
      </c>
      <c r="AV5" s="7">
        <f>IF(SUM(AI5:AL5)-AM5&gt;0,SUM(AI5:AL5)-AM5,"")</f>
        <v>47.25</v>
      </c>
      <c r="AW5" s="7">
        <f>IF(SUM(AT5,AV5)&gt;0,SUM(AT5,AV5),"")</f>
        <v>124.39</v>
      </c>
      <c r="AX5" s="23">
        <v>15.5</v>
      </c>
      <c r="AY5" s="23">
        <v>9.3000000000000007</v>
      </c>
      <c r="AZ5" s="23">
        <v>0</v>
      </c>
      <c r="BA5" s="23">
        <v>14.32</v>
      </c>
      <c r="BB5" s="23">
        <v>0</v>
      </c>
      <c r="BC5" s="23">
        <v>11.2</v>
      </c>
      <c r="BD5" s="23">
        <v>8.6</v>
      </c>
      <c r="BE5" s="23">
        <v>11.8</v>
      </c>
      <c r="BF5" s="23">
        <v>13.85</v>
      </c>
      <c r="BG5" s="23">
        <v>0</v>
      </c>
      <c r="BH5" s="23"/>
      <c r="BI5" s="23"/>
      <c r="BJ5" s="23"/>
      <c r="BK5" s="23"/>
      <c r="BL5" s="23"/>
      <c r="BM5" s="23">
        <v>13.8</v>
      </c>
      <c r="BN5" s="23">
        <v>8.9</v>
      </c>
      <c r="BO5" s="23">
        <v>13.3</v>
      </c>
      <c r="BP5" s="23">
        <v>14.25</v>
      </c>
      <c r="BQ5" s="23">
        <v>0</v>
      </c>
      <c r="BR5" s="33"/>
      <c r="BS5" s="9">
        <f>IF(SUM(AX5:BA5)-BB5&gt;0,SUM(AX5:BA5)-BB5,"")</f>
        <v>39.120000000000005</v>
      </c>
      <c r="BT5" s="9">
        <f>IF(BE5&gt;0,BE5,"")</f>
        <v>11.8</v>
      </c>
      <c r="BU5" s="9">
        <f>IF(SUM(BC5:BF5)-BG5&gt;0,SUM(BC5:BF5)-BG5,"")</f>
        <v>45.449999999999996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84.57</v>
      </c>
      <c r="BY5" s="9">
        <f>IF(BO5&gt;0,BO5,"")</f>
        <v>13.3</v>
      </c>
      <c r="BZ5" s="9">
        <f>IF(SUM(BM5:BP5)-BQ5&gt;0,SUM(BM5:BP5)-BQ5,"")</f>
        <v>50.25</v>
      </c>
      <c r="CA5" s="9">
        <f>IF(SUM(BX5,BZ5)&gt;0,SUM(BX5,BZ5),"")</f>
        <v>134.82</v>
      </c>
      <c r="CB5" s="27">
        <v>16.8</v>
      </c>
      <c r="CC5" s="27">
        <v>9.5</v>
      </c>
      <c r="CD5" s="27">
        <v>0</v>
      </c>
      <c r="CE5" s="27">
        <v>14.98</v>
      </c>
      <c r="CF5" s="27">
        <v>0</v>
      </c>
      <c r="CG5" s="27">
        <v>2.7</v>
      </c>
      <c r="CH5" s="27">
        <v>1.7</v>
      </c>
      <c r="CI5" s="27">
        <v>3.2</v>
      </c>
      <c r="CJ5" s="27">
        <v>3.26</v>
      </c>
      <c r="CK5" s="27">
        <v>0</v>
      </c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32"/>
      <c r="CW5" s="7">
        <f>IF(SUM(CB5:CE5)-CF5&gt;0,SUM(CB5:CE5)-CF5,"")</f>
        <v>41.28</v>
      </c>
      <c r="CX5" s="7">
        <f>IF(CI5&gt;0,CI5,"")</f>
        <v>3.2</v>
      </c>
      <c r="CY5" s="7">
        <f>IF(SUM(CG5:CJ5)-CK5&gt;0,SUM(CG5:CJ5)-CK5,"")</f>
        <v>10.86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52.14</v>
      </c>
      <c r="DC5" s="7" t="str">
        <f>IF(CS5&gt;0,CS5,"")</f>
        <v/>
      </c>
      <c r="DD5" s="7" t="str">
        <f>IF(SUM(CQ5:CT5)-CU5&gt;0,SUM(CQ5:CT5)-CU5,"")</f>
        <v/>
      </c>
      <c r="DE5" s="7">
        <f>IF(SUM(DB5,DD5)&gt;0,SUM(DB5,DD5),"")</f>
        <v>52.14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12.069999999999993</v>
      </c>
      <c r="DH5" s="13">
        <f>IF(MAX(EB5,EX5,FT5,GP5,HL5,IH5,JD5,JZ5,KV5,LR5,MN5,NJ5)-IF(I5="",0,I5)&gt;0.001,MAX(EB5,EX5,FT5,GP5,HL5,IH5,JD5,JZ5,KV5,LR5,MN5,NJ5)-IF(I5="",0,I5),"")</f>
        <v>5.4000000000000057</v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>
        <v>15.8</v>
      </c>
      <c r="FC5" s="18">
        <v>9.1999999999999993</v>
      </c>
      <c r="FD5" s="18">
        <v>0</v>
      </c>
      <c r="FE5" s="18">
        <v>14.81</v>
      </c>
      <c r="FF5" s="18">
        <v>0</v>
      </c>
      <c r="FG5" s="18">
        <v>13.2</v>
      </c>
      <c r="FH5" s="18">
        <v>9</v>
      </c>
      <c r="FI5" s="18">
        <v>13.3</v>
      </c>
      <c r="FJ5" s="18">
        <v>14.66</v>
      </c>
      <c r="FK5" s="18">
        <v>0</v>
      </c>
      <c r="FL5" s="18"/>
      <c r="FM5" s="18"/>
      <c r="FN5" s="18"/>
      <c r="FO5" s="18"/>
      <c r="FP5" s="18"/>
      <c r="FQ5" s="7">
        <f>IF(FI5&gt;0,FI5,"")</f>
        <v>13.3</v>
      </c>
      <c r="FR5" s="7">
        <f>IF(SUM(FB5:FE5)-FF5&gt;0,SUM(FB5:FE5)-FF5,"")</f>
        <v>39.81</v>
      </c>
      <c r="FS5" s="7">
        <f>IF(SUM(FG5:FJ5)-FK5&gt;0,SUM(FG5:FJ5)-FK5,"")</f>
        <v>50.16</v>
      </c>
      <c r="FT5" s="7">
        <f>IF(SUM(FR5:FS5)&gt;0,SUM(FR5:FS5),"")</f>
        <v>89.97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89.97</v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 t="shared" si="0"/>
        <v>16.149999999999999</v>
      </c>
      <c r="NO5" s="27">
        <f t="shared" si="0"/>
        <v>9.4</v>
      </c>
      <c r="NP5" s="27">
        <f t="shared" si="0"/>
        <v>0</v>
      </c>
      <c r="NQ5" s="27">
        <f t="shared" si="0"/>
        <v>14.65</v>
      </c>
      <c r="NR5" s="27">
        <f t="shared" si="0"/>
        <v>0</v>
      </c>
      <c r="NS5" s="27">
        <f t="shared" si="0"/>
        <v>6.9499999999999993</v>
      </c>
      <c r="NT5" s="27">
        <f t="shared" si="0"/>
        <v>5.1499999999999995</v>
      </c>
      <c r="NU5" s="27">
        <f t="shared" si="0"/>
        <v>7.5</v>
      </c>
      <c r="NV5" s="27">
        <f t="shared" si="0"/>
        <v>8.5549999999999997</v>
      </c>
      <c r="NW5" s="27">
        <f t="shared" si="0"/>
        <v>0</v>
      </c>
      <c r="NX5" s="27">
        <f t="shared" si="1"/>
        <v>0</v>
      </c>
      <c r="NY5" s="27">
        <f t="shared" si="1"/>
        <v>0</v>
      </c>
      <c r="NZ5" s="27">
        <f t="shared" si="1"/>
        <v>0</v>
      </c>
      <c r="OA5" s="27">
        <f t="shared" si="1"/>
        <v>0</v>
      </c>
      <c r="OB5" s="27">
        <f t="shared" si="1"/>
        <v>0</v>
      </c>
      <c r="OC5" s="27">
        <f t="shared" si="1"/>
        <v>6.9</v>
      </c>
      <c r="OD5" s="27">
        <f t="shared" si="1"/>
        <v>4.45</v>
      </c>
      <c r="OE5" s="27">
        <f t="shared" si="1"/>
        <v>6.65</v>
      </c>
      <c r="OF5" s="27">
        <f t="shared" si="1"/>
        <v>7.125</v>
      </c>
      <c r="OG5" s="27">
        <f t="shared" si="1"/>
        <v>0</v>
      </c>
      <c r="OH5" s="32" t="s">
        <v>44</v>
      </c>
      <c r="OI5" s="7">
        <f>IF(SUM(NN5:NQ5)-NR5&gt;0,SUM(NN5:NQ5)-NR5,"")</f>
        <v>40.199999999999996</v>
      </c>
      <c r="OJ5" s="7">
        <f>IF(NU5&gt;0,NU5,"")</f>
        <v>7.5</v>
      </c>
      <c r="OK5" s="7">
        <f>IF(SUM(NS5:NV5)-NW5&gt;0,SUM(NS5:NV5)-NW5,"")</f>
        <v>28.154999999999998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68.35499999999999</v>
      </c>
      <c r="OO5" s="7">
        <f>IF(OE5&gt;0,OE5,"")</f>
        <v>6.65</v>
      </c>
      <c r="OP5" s="7">
        <f t="shared" ref="OP5" si="4">IF(SUM(OC5:OF5)-OG5&gt;0,SUM(OC5:OF5)-OG5,"")</f>
        <v>25.125</v>
      </c>
      <c r="OQ5" s="7">
        <f t="shared" ref="OQ5" si="5">IF(SUM(ON5,OP5)&gt;0,SUM(ON5,OP5),"")</f>
        <v>93.47999999999999</v>
      </c>
    </row>
    <row r="6" spans="1:407" x14ac:dyDescent="0.2">
      <c r="B6" s="5"/>
      <c r="D6" s="1"/>
    </row>
    <row r="8" spans="1:407" x14ac:dyDescent="0.2">
      <c r="B8" s="28" t="s">
        <v>42</v>
      </c>
      <c r="C8" s="5"/>
      <c r="AP8" s="46"/>
      <c r="AQ8" s="46"/>
      <c r="AR8" s="46"/>
      <c r="AU8" s="2"/>
      <c r="AW8" s="24">
        <v>13.5</v>
      </c>
      <c r="BT8" s="46"/>
      <c r="BU8" s="46"/>
      <c r="BV8" s="46"/>
      <c r="BY8" s="2"/>
      <c r="CA8" s="24">
        <v>13.5</v>
      </c>
      <c r="CX8" s="46"/>
      <c r="CY8" s="46"/>
      <c r="CZ8" s="46"/>
      <c r="DC8" s="2"/>
      <c r="DE8" s="24">
        <v>13.5</v>
      </c>
      <c r="DY8" s="5"/>
      <c r="EC8" s="2"/>
      <c r="EE8" s="24">
        <v>13.5</v>
      </c>
      <c r="EU8" s="5"/>
      <c r="EY8" s="2"/>
      <c r="FA8" s="24">
        <v>13.5</v>
      </c>
      <c r="FQ8" s="5"/>
      <c r="FU8" s="2"/>
      <c r="FW8" s="24">
        <v>13.5</v>
      </c>
      <c r="GM8" s="5"/>
      <c r="GQ8" s="2"/>
      <c r="GS8" s="24">
        <v>13.5</v>
      </c>
      <c r="HI8" s="5"/>
      <c r="HM8" s="2"/>
      <c r="HO8" s="24">
        <v>13.5</v>
      </c>
      <c r="IE8" s="5"/>
      <c r="II8" s="2"/>
      <c r="IK8" s="24">
        <v>13.5</v>
      </c>
      <c r="JA8" s="5"/>
      <c r="JE8" s="2"/>
      <c r="JG8" s="24">
        <v>13.5</v>
      </c>
      <c r="JW8" s="5"/>
      <c r="KA8" s="2"/>
      <c r="KC8" s="24">
        <v>13.5</v>
      </c>
      <c r="KS8" s="5"/>
      <c r="KW8" s="2"/>
      <c r="KY8" s="24">
        <v>13.5</v>
      </c>
      <c r="LO8" s="5"/>
      <c r="LS8" s="2"/>
      <c r="LU8" s="24">
        <v>13.5</v>
      </c>
      <c r="MK8" s="5"/>
      <c r="MO8" s="2"/>
      <c r="MQ8" s="24">
        <v>13.5</v>
      </c>
      <c r="NG8" s="5"/>
      <c r="NK8" s="2"/>
      <c r="NM8" s="24">
        <v>13.5</v>
      </c>
    </row>
    <row r="9" spans="1:407" hidden="1" x14ac:dyDescent="0.2">
      <c r="B9" s="35" t="s">
        <v>41</v>
      </c>
      <c r="C9" s="5"/>
      <c r="AP9" s="46"/>
      <c r="AQ9" s="46"/>
      <c r="AR9" s="46"/>
      <c r="AU9" s="2"/>
      <c r="AW9" s="39">
        <v>13.5</v>
      </c>
      <c r="BT9" s="46"/>
      <c r="BU9" s="46"/>
      <c r="BV9" s="46"/>
      <c r="BY9" s="2"/>
      <c r="CA9" s="39">
        <v>13.5</v>
      </c>
      <c r="CX9" s="46"/>
      <c r="CY9" s="46"/>
      <c r="CZ9" s="46"/>
      <c r="DC9" s="2"/>
      <c r="DE9" s="39">
        <v>13.5</v>
      </c>
      <c r="DY9" s="5"/>
      <c r="EC9" s="2"/>
      <c r="EE9" s="39">
        <v>13.5</v>
      </c>
      <c r="EU9" s="5"/>
      <c r="EY9" s="2"/>
      <c r="FA9" s="39">
        <v>13.5</v>
      </c>
      <c r="FQ9" s="5"/>
      <c r="FU9" s="2"/>
      <c r="FW9" s="39">
        <v>13.5</v>
      </c>
      <c r="GM9" s="5"/>
      <c r="GQ9" s="2"/>
      <c r="GS9" s="39">
        <v>13.5</v>
      </c>
      <c r="HI9" s="5"/>
      <c r="HM9" s="2"/>
      <c r="HO9" s="39">
        <v>13.5</v>
      </c>
      <c r="IE9" s="5"/>
      <c r="II9" s="2"/>
      <c r="IK9" s="39">
        <v>13.5</v>
      </c>
      <c r="JA9" s="5"/>
      <c r="JE9" s="2"/>
      <c r="JG9" s="39">
        <v>13.5</v>
      </c>
      <c r="JW9" s="5"/>
      <c r="KA9" s="2"/>
      <c r="KC9" s="39">
        <v>13.5</v>
      </c>
      <c r="KS9" s="5"/>
      <c r="KW9" s="2"/>
      <c r="KY9" s="39">
        <v>13.5</v>
      </c>
      <c r="LO9" s="5"/>
      <c r="LS9" s="2"/>
      <c r="LU9" s="39">
        <v>13.5</v>
      </c>
      <c r="MK9" s="5"/>
      <c r="MO9" s="2"/>
      <c r="MQ9" s="39">
        <v>13.5</v>
      </c>
      <c r="NG9" s="5"/>
      <c r="NK9" s="2"/>
      <c r="NM9" s="39">
        <v>13.5</v>
      </c>
    </row>
    <row r="10" spans="1:407" x14ac:dyDescent="0.2">
      <c r="A10" s="5"/>
      <c r="B10" s="36" t="s">
        <v>54</v>
      </c>
      <c r="C10" s="5"/>
      <c r="AP10" s="46"/>
      <c r="AQ10" s="46"/>
      <c r="AR10" s="46"/>
      <c r="AT10" s="2"/>
      <c r="AU10" s="2"/>
      <c r="AV10" s="2"/>
      <c r="AW10" s="38">
        <v>13.5</v>
      </c>
      <c r="BT10" s="46"/>
      <c r="BU10" s="46"/>
      <c r="BV10" s="46"/>
      <c r="BY10" s="2"/>
      <c r="CA10" s="38">
        <v>13.5</v>
      </c>
      <c r="CX10" s="46"/>
      <c r="CY10" s="46"/>
      <c r="CZ10" s="46"/>
      <c r="DB10" s="2"/>
      <c r="DC10" s="2"/>
      <c r="DD10" s="2"/>
      <c r="DE10" s="38">
        <v>13.5</v>
      </c>
      <c r="DY10" s="5"/>
      <c r="EC10" s="2"/>
      <c r="EE10" s="38">
        <v>13.5</v>
      </c>
      <c r="EU10" s="5"/>
      <c r="EY10" s="2"/>
      <c r="FA10" s="38">
        <v>13.5</v>
      </c>
      <c r="FQ10" s="5"/>
      <c r="FU10" s="2"/>
      <c r="FW10" s="38">
        <v>13.5</v>
      </c>
      <c r="GM10" s="5"/>
      <c r="GQ10" s="2"/>
      <c r="GS10" s="38">
        <v>13.5</v>
      </c>
      <c r="HI10" s="5"/>
      <c r="HM10" s="2"/>
      <c r="HO10" s="38">
        <v>13.5</v>
      </c>
      <c r="IE10" s="5"/>
      <c r="II10" s="2"/>
      <c r="IK10" s="38">
        <v>13.5</v>
      </c>
      <c r="JA10" s="5"/>
      <c r="JE10" s="2"/>
      <c r="JG10" s="38">
        <v>13.5</v>
      </c>
      <c r="JW10" s="5"/>
      <c r="KA10" s="2"/>
      <c r="KC10" s="38">
        <v>13.5</v>
      </c>
      <c r="KS10" s="5"/>
      <c r="KW10" s="2"/>
      <c r="KY10" s="38">
        <v>13.5</v>
      </c>
      <c r="LO10" s="5"/>
      <c r="LS10" s="2"/>
      <c r="LU10" s="38">
        <v>13.5</v>
      </c>
      <c r="MK10" s="5"/>
      <c r="MO10" s="2"/>
      <c r="MQ10" s="38">
        <v>13.5</v>
      </c>
      <c r="NG10" s="5"/>
      <c r="NK10" s="2"/>
      <c r="NM10" s="38">
        <v>13.5</v>
      </c>
    </row>
    <row r="11" spans="1:407" x14ac:dyDescent="0.2">
      <c r="A11" s="5"/>
      <c r="B11" s="44" t="s">
        <v>59</v>
      </c>
      <c r="C11" s="5"/>
      <c r="AP11" s="46"/>
      <c r="AQ11" s="46"/>
      <c r="AR11" s="46"/>
      <c r="AT11" s="2"/>
      <c r="AU11" s="2"/>
      <c r="AV11" s="2"/>
      <c r="AW11" s="45">
        <v>13.5</v>
      </c>
      <c r="BT11" s="46"/>
      <c r="BU11" s="46"/>
      <c r="BV11" s="46"/>
      <c r="BY11" s="2"/>
      <c r="CA11" s="45">
        <v>13.5</v>
      </c>
      <c r="CX11" s="46"/>
      <c r="CY11" s="46"/>
      <c r="CZ11" s="46"/>
      <c r="DB11" s="2"/>
      <c r="DC11" s="2"/>
      <c r="DD11" s="2"/>
      <c r="DE11" s="45">
        <v>13.5</v>
      </c>
      <c r="DY11" s="5"/>
      <c r="EC11" s="2"/>
      <c r="EE11" s="45">
        <v>13.5</v>
      </c>
      <c r="EU11" s="5"/>
      <c r="EY11" s="2"/>
      <c r="FA11" s="45">
        <v>13.5</v>
      </c>
      <c r="FQ11" s="5"/>
      <c r="FU11" s="2"/>
      <c r="FW11" s="45">
        <v>13.5</v>
      </c>
      <c r="GM11" s="5"/>
      <c r="GQ11" s="2"/>
      <c r="GS11" s="45">
        <v>13.5</v>
      </c>
      <c r="HI11" s="5"/>
      <c r="HM11" s="2"/>
      <c r="HO11" s="45">
        <v>13.5</v>
      </c>
      <c r="IE11" s="5"/>
      <c r="II11" s="2"/>
      <c r="IK11" s="45">
        <v>13.5</v>
      </c>
      <c r="JA11" s="5"/>
      <c r="JE11" s="2"/>
      <c r="JG11" s="45">
        <v>13.5</v>
      </c>
      <c r="JW11" s="5"/>
      <c r="KA11" s="2"/>
      <c r="KC11" s="45">
        <v>13.5</v>
      </c>
      <c r="KS11" s="5"/>
      <c r="KW11" s="2"/>
      <c r="KY11" s="45">
        <v>13.5</v>
      </c>
      <c r="LO11" s="5"/>
      <c r="LS11" s="2"/>
      <c r="LU11" s="45">
        <v>13.5</v>
      </c>
      <c r="MK11" s="5"/>
      <c r="MO11" s="2"/>
      <c r="MQ11" s="45">
        <v>13.5</v>
      </c>
      <c r="NG11" s="5"/>
      <c r="NK11" s="2"/>
      <c r="NM11" s="45">
        <v>13.5</v>
      </c>
    </row>
    <row r="12" spans="1:407" x14ac:dyDescent="0.2">
      <c r="A12" s="5"/>
      <c r="B12" s="42" t="s">
        <v>39</v>
      </c>
      <c r="C12" s="5"/>
      <c r="M12" s="2"/>
      <c r="AP12" s="46"/>
      <c r="AQ12" s="46"/>
      <c r="AR12" s="46"/>
      <c r="AT12" s="2"/>
      <c r="AU12" s="2"/>
      <c r="AV12" s="2"/>
      <c r="AW12" s="43">
        <v>96</v>
      </c>
      <c r="BT12" s="46"/>
      <c r="BU12" s="46"/>
      <c r="BV12" s="46"/>
      <c r="BY12" s="2"/>
      <c r="CA12" s="43">
        <v>96</v>
      </c>
      <c r="CX12" s="46"/>
      <c r="CY12" s="46"/>
      <c r="CZ12" s="46"/>
      <c r="DB12" s="2"/>
      <c r="DC12" s="2"/>
      <c r="DD12" s="2"/>
      <c r="DE12" s="43">
        <v>96</v>
      </c>
      <c r="DY12" s="5"/>
      <c r="EC12" s="2"/>
      <c r="EE12" s="43">
        <v>96</v>
      </c>
      <c r="EU12" s="5"/>
      <c r="EY12" s="2"/>
      <c r="FA12" s="43">
        <v>96</v>
      </c>
      <c r="FQ12" s="5"/>
      <c r="FU12" s="2"/>
      <c r="FW12" s="43">
        <v>96</v>
      </c>
      <c r="GM12" s="5"/>
      <c r="GQ12" s="2"/>
      <c r="GS12" s="43">
        <v>96</v>
      </c>
      <c r="HI12" s="5"/>
      <c r="HM12" s="2"/>
      <c r="HO12" s="43">
        <v>96</v>
      </c>
      <c r="IE12" s="5"/>
      <c r="II12" s="2"/>
      <c r="IK12" s="43">
        <v>96</v>
      </c>
      <c r="JA12" s="5"/>
      <c r="JE12" s="2"/>
      <c r="JG12" s="43">
        <v>96</v>
      </c>
      <c r="JW12" s="5"/>
      <c r="KA12" s="2"/>
      <c r="KC12" s="43">
        <v>96</v>
      </c>
      <c r="KS12" s="5"/>
      <c r="KW12" s="2"/>
      <c r="KY12" s="43">
        <v>96</v>
      </c>
      <c r="LO12" s="5"/>
      <c r="LS12" s="2"/>
      <c r="LU12" s="43">
        <v>96</v>
      </c>
      <c r="MK12" s="5"/>
      <c r="MO12" s="2"/>
      <c r="MQ12" s="43">
        <v>96</v>
      </c>
      <c r="NG12" s="5"/>
      <c r="NK12" s="2"/>
      <c r="NM12" s="43">
        <v>96</v>
      </c>
    </row>
    <row r="13" spans="1:407" hidden="1" x14ac:dyDescent="0.2">
      <c r="A13" s="5"/>
      <c r="B13" s="29" t="s">
        <v>40</v>
      </c>
      <c r="C13" s="5"/>
      <c r="M13" s="2"/>
      <c r="AP13" s="46"/>
      <c r="AQ13" s="46"/>
      <c r="AR13" s="46"/>
      <c r="AT13" s="2"/>
      <c r="AU13" s="2"/>
      <c r="AV13" s="2"/>
      <c r="AW13" s="25">
        <v>99.2</v>
      </c>
      <c r="BT13" s="46"/>
      <c r="BU13" s="46"/>
      <c r="BV13" s="46"/>
      <c r="BY13" s="2"/>
      <c r="CA13" s="25">
        <v>99.2</v>
      </c>
      <c r="CX13" s="46"/>
      <c r="CY13" s="46"/>
      <c r="CZ13" s="46"/>
      <c r="DB13" s="2"/>
      <c r="DC13" s="2"/>
      <c r="DD13" s="2"/>
      <c r="DE13" s="25">
        <v>99.2</v>
      </c>
      <c r="DY13" s="5"/>
      <c r="EC13" s="2"/>
      <c r="EE13" s="25">
        <v>99.2</v>
      </c>
      <c r="EU13" s="5"/>
      <c r="EY13" s="2"/>
      <c r="FA13" s="25">
        <v>99.2</v>
      </c>
      <c r="FQ13" s="5"/>
      <c r="FU13" s="2"/>
      <c r="FW13" s="25">
        <v>99.2</v>
      </c>
      <c r="GM13" s="5"/>
      <c r="GQ13" s="2"/>
      <c r="GS13" s="25">
        <v>99.2</v>
      </c>
      <c r="HI13" s="5"/>
      <c r="HM13" s="2"/>
      <c r="HO13" s="25">
        <v>99.2</v>
      </c>
      <c r="IE13" s="5"/>
      <c r="II13" s="2"/>
      <c r="IK13" s="25">
        <v>99.2</v>
      </c>
      <c r="JA13" s="5"/>
      <c r="JE13" s="2"/>
      <c r="JG13" s="25">
        <v>99.2</v>
      </c>
      <c r="JW13" s="5"/>
      <c r="KA13" s="2"/>
      <c r="KC13" s="25">
        <v>99.2</v>
      </c>
      <c r="KS13" s="5"/>
      <c r="KW13" s="2"/>
      <c r="KY13" s="25">
        <v>99.2</v>
      </c>
      <c r="LO13" s="5"/>
      <c r="LS13" s="2"/>
      <c r="LU13" s="25">
        <v>99.2</v>
      </c>
      <c r="MK13" s="5"/>
      <c r="MO13" s="2"/>
      <c r="MQ13" s="25">
        <v>99.2</v>
      </c>
      <c r="NG13" s="5"/>
      <c r="NK13" s="2"/>
      <c r="NM13" s="25">
        <v>99.2</v>
      </c>
    </row>
    <row r="14" spans="1:407" x14ac:dyDescent="0.2">
      <c r="A14" s="5"/>
      <c r="B14" s="40" t="s">
        <v>53</v>
      </c>
      <c r="C14" s="5"/>
      <c r="AP14" s="46"/>
      <c r="AQ14" s="46"/>
      <c r="AR14" s="46"/>
      <c r="AT14" s="2"/>
      <c r="AU14" s="2"/>
      <c r="AV14" s="2"/>
      <c r="AW14" s="41">
        <v>99.2</v>
      </c>
      <c r="BT14" s="46"/>
      <c r="BU14" s="46"/>
      <c r="BV14" s="46"/>
      <c r="BY14" s="2"/>
      <c r="BZ14" s="48"/>
      <c r="CA14" s="41">
        <v>99.2</v>
      </c>
      <c r="CX14" s="46"/>
      <c r="CY14" s="46"/>
      <c r="CZ14" s="46"/>
      <c r="DB14" s="2"/>
      <c r="DC14" s="2"/>
      <c r="DD14" s="2"/>
      <c r="DE14" s="41">
        <v>99.2</v>
      </c>
      <c r="DY14" s="5"/>
      <c r="EC14" s="2"/>
      <c r="ED14" s="48"/>
      <c r="EE14" s="41">
        <v>99.2</v>
      </c>
      <c r="EU14" s="5"/>
      <c r="EY14" s="2"/>
      <c r="FA14" s="41">
        <v>99.2</v>
      </c>
      <c r="FQ14" s="5"/>
      <c r="FU14" s="2"/>
      <c r="FW14" s="41">
        <v>99.2</v>
      </c>
      <c r="GM14" s="5"/>
      <c r="GQ14" s="2"/>
      <c r="GR14" s="48"/>
      <c r="GS14" s="41">
        <v>99.2</v>
      </c>
      <c r="HI14" s="5"/>
      <c r="HM14" s="2"/>
      <c r="HN14" s="48"/>
      <c r="HO14" s="41">
        <v>99.2</v>
      </c>
      <c r="IE14" s="5"/>
      <c r="II14" s="2"/>
      <c r="IJ14" s="48"/>
      <c r="IK14" s="41">
        <v>99.2</v>
      </c>
      <c r="JA14" s="5"/>
      <c r="JE14" s="2"/>
      <c r="JG14" s="41">
        <v>99.2</v>
      </c>
      <c r="JW14" s="5"/>
      <c r="KA14" s="2"/>
      <c r="KC14" s="41">
        <v>99.2</v>
      </c>
      <c r="KS14" s="5"/>
      <c r="KW14" s="2"/>
      <c r="KY14" s="41">
        <v>99.2</v>
      </c>
      <c r="LO14" s="5"/>
      <c r="LS14" s="2"/>
      <c r="LU14" s="41">
        <v>99.2</v>
      </c>
      <c r="MK14" s="5"/>
      <c r="MO14" s="2"/>
      <c r="MQ14" s="41">
        <v>99.2</v>
      </c>
      <c r="NG14" s="5"/>
      <c r="NK14" s="2"/>
      <c r="NM14" s="41">
        <v>99.2</v>
      </c>
    </row>
    <row r="15" spans="1:407" x14ac:dyDescent="0.2">
      <c r="A15" s="5"/>
      <c r="B15" s="30" t="s">
        <v>26</v>
      </c>
      <c r="C15" s="5"/>
      <c r="M15" s="2"/>
      <c r="AP15" s="46"/>
      <c r="AQ15" s="46"/>
      <c r="AR15" s="46"/>
      <c r="AT15" s="2"/>
      <c r="AU15" s="2"/>
      <c r="AV15" s="2"/>
      <c r="AW15" s="26">
        <v>56</v>
      </c>
      <c r="BT15" s="46"/>
      <c r="BU15" s="46"/>
      <c r="BV15" s="46"/>
      <c r="BY15" s="2"/>
      <c r="CA15" s="26">
        <v>56</v>
      </c>
      <c r="CX15" s="46"/>
      <c r="CY15" s="46"/>
      <c r="CZ15" s="46"/>
      <c r="DB15" s="2"/>
      <c r="DC15" s="2"/>
      <c r="DD15" s="2"/>
      <c r="DE15" s="26">
        <v>56</v>
      </c>
      <c r="DY15" s="5"/>
      <c r="EC15" s="2"/>
      <c r="EE15" s="26">
        <v>56</v>
      </c>
      <c r="EU15" s="5"/>
      <c r="EY15" s="2"/>
      <c r="FA15" s="26">
        <v>56</v>
      </c>
      <c r="FQ15" s="5"/>
      <c r="FU15" s="2"/>
      <c r="FW15" s="26">
        <v>56</v>
      </c>
      <c r="GM15" s="5"/>
      <c r="GQ15" s="2"/>
      <c r="GS15" s="26">
        <v>56</v>
      </c>
      <c r="HI15" s="5"/>
      <c r="HM15" s="2"/>
      <c r="HO15" s="26">
        <v>56</v>
      </c>
      <c r="IE15" s="5"/>
      <c r="II15" s="2"/>
      <c r="IJ15" s="48"/>
      <c r="IK15" s="26">
        <v>56</v>
      </c>
      <c r="JA15" s="5"/>
      <c r="JE15" s="2"/>
      <c r="JG15" s="26">
        <v>56</v>
      </c>
      <c r="JW15" s="5"/>
      <c r="KA15" s="2"/>
      <c r="KC15" s="26">
        <v>56</v>
      </c>
      <c r="KS15" s="5"/>
      <c r="KW15" s="2"/>
      <c r="KY15" s="26">
        <v>56</v>
      </c>
      <c r="LO15" s="5"/>
      <c r="LS15" s="2"/>
      <c r="LU15" s="26">
        <v>56</v>
      </c>
      <c r="MK15" s="5"/>
      <c r="MO15" s="2"/>
      <c r="MQ15" s="26">
        <v>56</v>
      </c>
      <c r="NG15" s="5"/>
      <c r="NK15" s="2"/>
      <c r="NM15" s="26">
        <v>56</v>
      </c>
    </row>
    <row r="16" spans="1:407" x14ac:dyDescent="0.2">
      <c r="B16" s="34" t="s">
        <v>45</v>
      </c>
      <c r="C16" s="2"/>
      <c r="AS16" s="2"/>
      <c r="AT16" s="2"/>
      <c r="AV16" s="2"/>
      <c r="DA16" s="2"/>
      <c r="DB16" s="2"/>
      <c r="DD16" s="2"/>
      <c r="EV16" s="2"/>
    </row>
    <row r="17" spans="1:108" x14ac:dyDescent="0.2">
      <c r="A17" s="5"/>
      <c r="B17" s="5"/>
      <c r="C17" s="22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R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A19" s="5"/>
      <c r="B19" s="5"/>
      <c r="C19" s="22"/>
      <c r="Q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5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5">
    <cfRule type="expression" dxfId="187" priority="2" stopIfTrue="1">
      <formula>IF($AN4&lt;&gt;"",1,0)</formula>
    </cfRule>
  </conditionalFormatting>
  <conditionalFormatting sqref="AX4:CA5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5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2147" operator="between">
      <formula>AW$15</formula>
      <formula>1000</formula>
    </cfRule>
    <cfRule type="cellIs" dxfId="178" priority="52148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2237" operator="between">
      <formula>AW$14</formula>
      <formula>1000</formula>
    </cfRule>
    <cfRule type="cellIs" dxfId="176" priority="52238" operator="between">
      <formula>AW$13</formula>
      <formula>AW$14</formula>
    </cfRule>
    <cfRule type="cellIs" dxfId="175" priority="52239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2372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2417" operator="between">
      <formula>EE$11</formula>
      <formula>1000</formula>
    </cfRule>
    <cfRule type="cellIs" dxfId="172" priority="52418" operator="between">
      <formula>EE$10</formula>
      <formula>EE$11</formula>
    </cfRule>
    <cfRule type="cellIs" dxfId="171" priority="52419" operator="between">
      <formula>EE$9</formula>
      <formula>EE$10</formula>
    </cfRule>
    <cfRule type="cellIs" dxfId="170" priority="52420" operator="between">
      <formula>EE$8</formula>
      <formula>EE$9</formula>
    </cfRule>
  </conditionalFormatting>
  <conditionalFormatting sqref="AP1:AP1048576 BT1:BT1048576 CX1:CX1048576">
    <cfRule type="cellIs" dxfId="169" priority="52561" operator="between">
      <formula>AW$11</formula>
      <formula>1000</formula>
    </cfRule>
    <cfRule type="cellIs" dxfId="168" priority="52562" operator="between">
      <formula>AW$10</formula>
      <formula>AW$11</formula>
    </cfRule>
    <cfRule type="cellIs" dxfId="167" priority="52563" operator="between">
      <formula>AW$9</formula>
      <formula>AW$10</formula>
    </cfRule>
    <cfRule type="cellIs" dxfId="166" priority="52564" operator="between">
      <formula>AW$8</formula>
      <formula>AW$9</formula>
    </cfRule>
  </conditionalFormatting>
  <conditionalFormatting sqref="AQ1:AQ1048576 BU1:BU1048576 CY1:CY1048576">
    <cfRule type="cellIs" dxfId="165" priority="52597" operator="between">
      <formula>AW$15</formula>
      <formula>1000</formula>
    </cfRule>
  </conditionalFormatting>
  <conditionalFormatting sqref="AR1:AR1048576 BV1:BV1048576 CZ1:CZ1048576">
    <cfRule type="cellIs" dxfId="164" priority="52606" operator="between">
      <formula>AW$11</formula>
      <formula>1000</formula>
    </cfRule>
    <cfRule type="cellIs" dxfId="163" priority="52607" operator="between">
      <formula>AW$10</formula>
      <formula>AW$11</formula>
    </cfRule>
    <cfRule type="cellIs" dxfId="162" priority="52608" operator="between">
      <formula>AW$9</formula>
      <formula>AW$10</formula>
    </cfRule>
    <cfRule type="cellIs" dxfId="161" priority="52609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2642" operator="between">
      <formula>AW$11</formula>
      <formula>1000</formula>
    </cfRule>
    <cfRule type="cellIs" dxfId="159" priority="52643" operator="between">
      <formula>AW$10</formula>
      <formula>AW$11</formula>
    </cfRule>
    <cfRule type="cellIs" dxfId="158" priority="52644" operator="between">
      <formula>AW$9</formula>
      <formula>AW$10</formula>
    </cfRule>
    <cfRule type="cellIs" dxfId="157" priority="52645" operator="between">
      <formula>AW$8</formula>
      <formula>AW$9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83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87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95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86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85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96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/>
      </c>
      <c r="B4" s="5" t="s">
        <v>91</v>
      </c>
      <c r="C4" s="4" t="s">
        <v>3</v>
      </c>
      <c r="D4" s="4">
        <v>2009</v>
      </c>
      <c r="E4" s="10">
        <f t="shared" ref="E4:E9" si="0">SUM(I4:Q4)</f>
        <v>225.04000000000002</v>
      </c>
      <c r="F4" s="3" t="str">
        <f t="shared" ref="F4:F9" si="1"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/>
      </c>
      <c r="G4" s="3" t="str">
        <f t="shared" ref="G4:G9" si="2"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/>
      </c>
      <c r="H4" s="47" t="str">
        <f t="shared" ref="H4:H9" si="3"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/>
      </c>
      <c r="I4" s="9">
        <f t="shared" ref="I4:I9" si="4">IF(MAX(AT4,BX4,DB4)&gt;0,MAX(AT4,BX4,DB4),0)</f>
        <v>86.92</v>
      </c>
      <c r="J4" s="9" t="str">
        <f t="shared" ref="J4:J9" si="5">IF(I4=0,"",IF(I4=DB4,$CB$1,IF(I4=BX4,$AX$1,IF(I4=AT4,$T$1,""))))</f>
        <v>2023 Elite Canada</v>
      </c>
      <c r="K4" s="9">
        <f t="shared" ref="K4:K9" si="6">IF($I4=$AT4,MAX(BS4,CW4),IF($I4=$BX4,MAX(AO4,CW4),IF($I4=$DB4,MAX(AO4,BS4),MAX(AO4,BS4,CW4))))</f>
        <v>41.68</v>
      </c>
      <c r="L4" s="9" t="str">
        <f t="shared" ref="L4:L9" si="7">IF(K4=0,"",IF(AND(K4=CW4,$J4&lt;&gt;$CB$1),$CB$1,IF(AND(K4=BS4,$J4&lt;&gt;$AX$1),$AX$1,IF(AND(K4=AO4,$J4&lt;&gt;$T$1),$T$1,""))))</f>
        <v>2023 3rd Domestic Trial</v>
      </c>
      <c r="M4" s="9">
        <f t="shared" ref="M4:M9" si="8"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43.31</v>
      </c>
      <c r="N4" s="9" t="str">
        <f t="shared" ref="N4:N9" si="9">IF(M4=0,"",IF(AND(OR(M4=DA4,M4=CY4),$J4&lt;&gt;$CB$1),$CB$1,IF(AND(OR(M4=BW4,M4=BU4),$J4&lt;&gt;$AX$1),$AX$1,IF(AND(OR(M4=AS4,M4=AQ4),$J4&lt;&gt;$T$1),$T$1,""))))</f>
        <v>2023 Nationals</v>
      </c>
      <c r="O4" s="9">
        <f t="shared" ref="O4:O9" si="10">MAX(AV4,BZ4,DD4)</f>
        <v>48.510000000000005</v>
      </c>
      <c r="P4" s="9" t="str">
        <f t="shared" ref="P4:P9" si="11">IF(O4=0,"",IF(O4=DD4,$CB$1,IF(O4=BZ4,$AX$1,IF(O4=AV4,$T$1,""))))</f>
        <v>2023 Nationals</v>
      </c>
      <c r="Q4" s="9">
        <f t="shared" ref="Q4:Q9" si="12">IF(MAX(DF4,DG4,DH4,DI4)&gt;0,MAX(DF4,DG4,DH4,DI4),"")</f>
        <v>4.6199999999999974</v>
      </c>
      <c r="R4" s="14" t="str">
        <f t="shared" ref="R4:R9" si="13">IF(Q4="","",IF(Q4=DF4,"(Vol 1)",IF(Q4=DG4,"(Vol 2)",IF(Q4=DH4,"(Prelim)",IF(Q4=DI4,"(Final)")))))</f>
        <v>(Vol 2)</v>
      </c>
      <c r="S4" s="9" t="str">
        <f t="shared" ref="S4:S9" si="14"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WAGC (Nov 16)</v>
      </c>
      <c r="T4" s="27">
        <v>16</v>
      </c>
      <c r="U4" s="27">
        <v>9.3000000000000007</v>
      </c>
      <c r="V4" s="27">
        <v>0</v>
      </c>
      <c r="W4" s="27">
        <v>14.79</v>
      </c>
      <c r="X4" s="27">
        <v>0</v>
      </c>
      <c r="Y4" s="27">
        <v>14</v>
      </c>
      <c r="Z4" s="27">
        <v>9</v>
      </c>
      <c r="AA4" s="27">
        <v>9.6</v>
      </c>
      <c r="AB4" s="27">
        <v>14.23</v>
      </c>
      <c r="AC4" s="27">
        <v>0</v>
      </c>
      <c r="AD4" s="27"/>
      <c r="AE4" s="27"/>
      <c r="AF4" s="27"/>
      <c r="AG4" s="27"/>
      <c r="AH4" s="27"/>
      <c r="AI4" s="27">
        <v>2.9</v>
      </c>
      <c r="AJ4" s="27">
        <v>1.8</v>
      </c>
      <c r="AK4" s="27">
        <v>2.2999999999999998</v>
      </c>
      <c r="AL4" s="27">
        <v>3.06</v>
      </c>
      <c r="AM4" s="27">
        <v>0</v>
      </c>
      <c r="AN4" s="32"/>
      <c r="AO4" s="7">
        <f t="shared" ref="AO4:AO9" si="15">IF(SUM(T4:W4)-X4&gt;0,SUM(T4:W4)-X4,"")</f>
        <v>40.090000000000003</v>
      </c>
      <c r="AP4" s="7">
        <f t="shared" ref="AP4:AP9" si="16">IF(AA4&gt;0,AA4,"")</f>
        <v>9.6</v>
      </c>
      <c r="AQ4" s="7">
        <f t="shared" ref="AQ4:AQ9" si="17">IF(SUM(Y4:AB4)-AC4&gt;0,SUM(Y4:AB4)-AC4,"")</f>
        <v>46.83</v>
      </c>
      <c r="AR4" s="7" t="str">
        <f t="shared" ref="AR4:AR9" si="18">IF(AF4&gt;0,AF4,"")</f>
        <v/>
      </c>
      <c r="AS4" s="7" t="str">
        <f t="shared" ref="AS4:AS9" si="19">IF(SUM(AD4:AG4)-AH4&gt;0,SUM(AD4:AG4)-AH4,"")</f>
        <v/>
      </c>
      <c r="AT4" s="7">
        <f t="shared" ref="AT4:AT9" si="20">IF(AO4="",IF(MAX(AQ4,AS4)&gt;0,MAX(AQ4,AS4),""),MAX(AQ4,AS4)+AO4)</f>
        <v>86.92</v>
      </c>
      <c r="AU4" s="7">
        <f t="shared" ref="AU4:AU9" si="21">IF(AK4&gt;0,AK4,"")</f>
        <v>2.2999999999999998</v>
      </c>
      <c r="AV4" s="7">
        <f t="shared" ref="AV4:AV9" si="22">IF(SUM(AI4:AL4)-AM4&gt;0,SUM(AI4:AL4)-AM4,"")</f>
        <v>10.06</v>
      </c>
      <c r="AW4" s="7">
        <f t="shared" ref="AW4:AW9" si="23">IF(SUM(AT4,AV4)&gt;0,SUM(AT4,AV4),"")</f>
        <v>96.98</v>
      </c>
      <c r="AX4" s="31">
        <v>16.399999999999999</v>
      </c>
      <c r="AY4" s="31">
        <v>9</v>
      </c>
      <c r="AZ4" s="31">
        <v>0</v>
      </c>
      <c r="BA4" s="31">
        <v>14.69</v>
      </c>
      <c r="BB4" s="31">
        <v>0</v>
      </c>
      <c r="BC4" s="31">
        <v>13.7</v>
      </c>
      <c r="BD4" s="31">
        <v>8.1</v>
      </c>
      <c r="BE4" s="31">
        <v>8.3000000000000007</v>
      </c>
      <c r="BF4" s="31">
        <v>13.21</v>
      </c>
      <c r="BG4" s="31">
        <v>0</v>
      </c>
      <c r="BH4" s="31"/>
      <c r="BI4" s="31"/>
      <c r="BJ4" s="31"/>
      <c r="BK4" s="31"/>
      <c r="BL4" s="31"/>
      <c r="BM4" s="31">
        <v>15.4</v>
      </c>
      <c r="BN4" s="31">
        <v>9.1</v>
      </c>
      <c r="BO4" s="31">
        <v>9.6999999999999993</v>
      </c>
      <c r="BP4" s="31">
        <v>14.31</v>
      </c>
      <c r="BQ4" s="31">
        <v>0</v>
      </c>
      <c r="BR4" s="33"/>
      <c r="BS4" s="9">
        <f t="shared" ref="BS4:BS9" si="24">IF(SUM(AX4:BA4)-BB4&gt;0,SUM(AX4:BA4)-BB4,"")</f>
        <v>40.089999999999996</v>
      </c>
      <c r="BT4" s="9">
        <f t="shared" ref="BT4:BT9" si="25">IF(BE4&gt;0,BE4,"")</f>
        <v>8.3000000000000007</v>
      </c>
      <c r="BU4" s="9">
        <f t="shared" ref="BU4:BU9" si="26">IF(SUM(BC4:BF4)-BG4&gt;0,SUM(BC4:BF4)-BG4,"")</f>
        <v>43.31</v>
      </c>
      <c r="BV4" s="9" t="str">
        <f t="shared" ref="BV4:BV9" si="27">IF(BJ4&gt;0,BJ4,"")</f>
        <v/>
      </c>
      <c r="BW4" s="9" t="str">
        <f t="shared" ref="BW4:BW9" si="28">IF(SUM(BH4:BK4)-BL4&gt;0,SUM(BH4:BK4)-BL4,"")</f>
        <v/>
      </c>
      <c r="BX4" s="9">
        <f t="shared" ref="BX4:BX9" si="29">IF(BS4="",IF(MAX(BU4,BW4)&gt;0,MAX(BU4,BW4),""),MAX(BU4,BW4)+BS4)</f>
        <v>83.4</v>
      </c>
      <c r="BY4" s="9">
        <f t="shared" ref="BY4:BY9" si="30">IF(BO4&gt;0,BO4,"")</f>
        <v>9.6999999999999993</v>
      </c>
      <c r="BZ4" s="9">
        <f t="shared" ref="BZ4:BZ9" si="31">IF(SUM(BM4:BP4)-BQ4&gt;0,SUM(BM4:BP4)-BQ4,"")</f>
        <v>48.510000000000005</v>
      </c>
      <c r="CA4" s="9">
        <f t="shared" ref="CA4:CA9" si="32">IF(SUM(BX4,BZ4)&gt;0,SUM(BX4,BZ4),"")</f>
        <v>131.91000000000003</v>
      </c>
      <c r="CB4" s="27">
        <v>17.399999999999999</v>
      </c>
      <c r="CC4" s="27">
        <v>9.4</v>
      </c>
      <c r="CD4" s="27">
        <v>0</v>
      </c>
      <c r="CE4" s="27">
        <v>14.88</v>
      </c>
      <c r="CF4" s="27">
        <v>0</v>
      </c>
      <c r="CG4" s="27">
        <v>12.2</v>
      </c>
      <c r="CH4" s="27">
        <v>8.3000000000000007</v>
      </c>
      <c r="CI4" s="27">
        <v>7.1999999999999993</v>
      </c>
      <c r="CJ4" s="27">
        <v>13.13</v>
      </c>
      <c r="CK4" s="27">
        <v>0</v>
      </c>
      <c r="CL4" s="27"/>
      <c r="CM4" s="27"/>
      <c r="CN4" s="27"/>
      <c r="CO4" s="27"/>
      <c r="CP4" s="27"/>
      <c r="CQ4" s="27">
        <v>14.3</v>
      </c>
      <c r="CR4" s="27">
        <v>9.1</v>
      </c>
      <c r="CS4" s="27">
        <v>10.299999999999999</v>
      </c>
      <c r="CT4" s="27">
        <v>14.3</v>
      </c>
      <c r="CU4" s="27">
        <v>0</v>
      </c>
      <c r="CV4" s="32"/>
      <c r="CW4" s="7">
        <f t="shared" ref="CW4:CW9" si="33">IF(SUM(CB4:CE4)-CF4&gt;0,SUM(CB4:CE4)-CF4,"")</f>
        <v>41.68</v>
      </c>
      <c r="CX4" s="7">
        <f t="shared" ref="CX4:CX9" si="34">IF(CI4&gt;0,CI4,"")</f>
        <v>7.1999999999999993</v>
      </c>
      <c r="CY4" s="7">
        <f t="shared" ref="CY4:CY9" si="35">IF(SUM(CG4:CJ4)-CK4&gt;0,SUM(CG4:CJ4)-CK4,"")</f>
        <v>40.83</v>
      </c>
      <c r="CZ4" s="7" t="str">
        <f t="shared" ref="CZ4:CZ9" si="36">IF(CN4&gt;0,CN4,"")</f>
        <v/>
      </c>
      <c r="DA4" s="7" t="str">
        <f t="shared" ref="DA4:DA9" si="37">IF(SUM(CL4:CO4)-CP4&gt;0,SUM(CL4:CO4)-CP4,"")</f>
        <v/>
      </c>
      <c r="DB4" s="7">
        <f t="shared" ref="DB4:DB9" si="38">IF(CW4="",IF(MAX(CY4,DA4)&gt;0,MAX(CY4,DA4),""),MAX(CY4,DA4)+CW4)</f>
        <v>82.509999999999991</v>
      </c>
      <c r="DC4" s="7">
        <f t="shared" ref="DC4:DC9" si="39">IF(CS4&gt;0,CS4,"")</f>
        <v>10.299999999999999</v>
      </c>
      <c r="DD4" s="7">
        <f t="shared" ref="DD4:DD9" si="40">IF(SUM(CQ4:CT4)-CU4&gt;0,SUM(CQ4:CT4)-CU4,"")</f>
        <v>48</v>
      </c>
      <c r="DE4" s="7">
        <f t="shared" ref="DE4:DE9" si="41">IF(SUM(DB4,DD4)&gt;0,SUM(DB4,DD4),"")</f>
        <v>130.51</v>
      </c>
      <c r="DF4" s="13" t="str">
        <f t="shared" ref="DF4:DF9" si="42">IF(MAX(DZ4,EV4,FR4,GN4,HJ4,IF4,JB4,JX4,KT4,LP4,ML4,NH4)-IF(K4="",0,K4)&gt;0.001,MAX(DZ4,EV4,FR4,GN4,HJ4,IF4,JB4,JX4,KT4,LP4,ML4,NH4)-IF(K4="",0,K4),"")</f>
        <v/>
      </c>
      <c r="DG4" s="13">
        <f t="shared" ref="DG4:DG9" si="43">IF(MAX(EA4,EW4,FS4,GO4,HK4,IG4,JC4,JY4,KU4,LQ4,MM4,NI4)-IF(M4="",0,M4)&gt;0.001,MAX(EA4,EW4,FS4,GO4,HK4,IG4,JC4,JY4,KU4,LQ4,MM4,NI4)-IF(M4="",0,M4),"")</f>
        <v>4.6199999999999974</v>
      </c>
      <c r="DH4" s="13">
        <f t="shared" ref="DH4:DH9" si="44">IF(MAX(EB4,EX4,FT4,GP4,HL4,IH4,JD4,JZ4,KV4,LR4,MN4,NJ4)-IF(I4="",0,I4)&gt;0.001,MAX(EB4,EX4,FT4,GP4,HL4,IH4,JD4,JZ4,KV4,LR4,MN4,NJ4)-IF(I4="",0,I4),"")</f>
        <v>4.0000000000006253E-2</v>
      </c>
      <c r="DI4" s="13" t="str">
        <f t="shared" ref="DI4:DI9" si="45"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 t="shared" ref="DY4:DY9" si="46">IF(DQ4&gt;0,DQ4,"")</f>
        <v/>
      </c>
      <c r="DZ4" s="7" t="str">
        <f t="shared" ref="DZ4:DZ9" si="47">IF(SUM(DJ4:DM4)-DN4&gt;0,SUM(DJ4:DM4)-DN4,"")</f>
        <v/>
      </c>
      <c r="EA4" s="7" t="str">
        <f t="shared" ref="EA4:EA9" si="48">IF(SUM(DO4:DR4)-DS4&gt;0,SUM(DO4:DR4)-DS4,"")</f>
        <v/>
      </c>
      <c r="EB4" s="7" t="str">
        <f t="shared" ref="EB4:EB9" si="49">IF(SUM(DZ4:EA4)&gt;0,SUM(DZ4:EA4),"")</f>
        <v/>
      </c>
      <c r="EC4" s="7" t="str">
        <f t="shared" ref="EC4:EC9" si="50">IF(DV4&gt;0,DV4,"")</f>
        <v/>
      </c>
      <c r="ED4" s="7" t="str">
        <f t="shared" ref="ED4:ED9" si="51">IF(SUM(DT4:DW4)-DX4&gt;0,SUM(DT4:DW4)-DX4,"")</f>
        <v/>
      </c>
      <c r="EE4" s="7" t="str">
        <f t="shared" ref="EE4:EE9" si="52"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 t="shared" ref="EU4:EU9" si="53">IF(EM4&gt;0,EM4,"")</f>
        <v/>
      </c>
      <c r="EV4" s="9" t="str">
        <f t="shared" ref="EV4:EV9" si="54">IF(SUM(EF4:EI4)-EJ4&gt;0,SUM(EF4:EI4)-EJ4,"")</f>
        <v/>
      </c>
      <c r="EW4" s="9" t="str">
        <f t="shared" ref="EW4:EW9" si="55">IF(SUM(EK4:EN4)-EO4&gt;0,SUM(EK4:EN4)-EO4,"")</f>
        <v/>
      </c>
      <c r="EX4" s="9" t="str">
        <f t="shared" ref="EX4:EX9" si="56">IF(SUM(EV4:EW4)&gt;0,SUM(EV4:EW4),"")</f>
        <v/>
      </c>
      <c r="EY4" s="9" t="str">
        <f t="shared" ref="EY4:EY9" si="57">IF(ER4&gt;0,ER4,"")</f>
        <v/>
      </c>
      <c r="EZ4" s="9" t="str">
        <f t="shared" ref="EZ4:EZ9" si="58">IF(SUM(EP4:ES4)-ET4&gt;0,SUM(EP4:ES4)-ET4,"")</f>
        <v/>
      </c>
      <c r="FA4" s="9" t="str">
        <f t="shared" ref="FA4:FA9" si="59">IF(SUM(EX4,EZ4)&gt;0,SUM(EX4,EZ4),"")</f>
        <v/>
      </c>
      <c r="FB4" s="18">
        <v>14.8</v>
      </c>
      <c r="FC4" s="18">
        <v>9.5</v>
      </c>
      <c r="FD4" s="18">
        <v>0</v>
      </c>
      <c r="FE4" s="18">
        <v>14.73</v>
      </c>
      <c r="FF4" s="18">
        <v>0</v>
      </c>
      <c r="FG4" s="18">
        <v>14</v>
      </c>
      <c r="FH4" s="18">
        <v>9.3000000000000007</v>
      </c>
      <c r="FI4" s="18">
        <v>10.5</v>
      </c>
      <c r="FJ4" s="18">
        <v>14.13</v>
      </c>
      <c r="FK4" s="18">
        <v>0</v>
      </c>
      <c r="FL4" s="18"/>
      <c r="FM4" s="18"/>
      <c r="FN4" s="18"/>
      <c r="FO4" s="18"/>
      <c r="FP4" s="18"/>
      <c r="FQ4" s="7">
        <f t="shared" ref="FQ4:FQ9" si="60">IF(FI4&gt;0,FI4,"")</f>
        <v>10.5</v>
      </c>
      <c r="FR4" s="7">
        <f t="shared" ref="FR4:FR9" si="61">IF(SUM(FB4:FE4)-FF4&gt;0,SUM(FB4:FE4)-FF4,"")</f>
        <v>39.03</v>
      </c>
      <c r="FS4" s="7">
        <f t="shared" ref="FS4:FS9" si="62">IF(SUM(FG4:FJ4)-FK4&gt;0,SUM(FG4:FJ4)-FK4,"")</f>
        <v>47.93</v>
      </c>
      <c r="FT4" s="7">
        <f t="shared" ref="FT4:FT9" si="63">IF(SUM(FR4:FS4)&gt;0,SUM(FR4:FS4),"")</f>
        <v>86.960000000000008</v>
      </c>
      <c r="FU4" s="7" t="str">
        <f t="shared" ref="FU4:FU9" si="64">IF(FN4&gt;0,FN4,"")</f>
        <v/>
      </c>
      <c r="FV4" s="7" t="str">
        <f t="shared" ref="FV4:FV9" si="65">IF(SUM(FL4:FO4)-FP4&gt;0,SUM(FL4:FO4)-FP4,"")</f>
        <v/>
      </c>
      <c r="FW4" s="7">
        <f t="shared" ref="FW4:FW9" si="66">IF(SUM(FT4,FV4)&gt;0,SUM(FT4,FV4),"")</f>
        <v>86.960000000000008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 t="shared" ref="GM4:GM9" si="67">IF(GE4&gt;0,GE4,"")</f>
        <v/>
      </c>
      <c r="GN4" s="9" t="str">
        <f t="shared" ref="GN4:GN9" si="68">IF(SUM(FX4:GA4)-GB4&gt;0,SUM(FX4:GA4)-GB4,"")</f>
        <v/>
      </c>
      <c r="GO4" s="9" t="str">
        <f t="shared" ref="GO4:GO9" si="69">IF(SUM(GC4:GF4)-GG4&gt;0,SUM(GC4:GF4)-GG4,"")</f>
        <v/>
      </c>
      <c r="GP4" s="9" t="str">
        <f t="shared" ref="GP4:GP9" si="70">IF(SUM(GN4:GO4)&gt;0,SUM(GN4:GO4),"")</f>
        <v/>
      </c>
      <c r="GQ4" s="9" t="str">
        <f t="shared" ref="GQ4:GQ9" si="71">IF(GJ4&gt;0,GJ4,"")</f>
        <v/>
      </c>
      <c r="GR4" s="9" t="str">
        <f t="shared" ref="GR4:GR9" si="72">IF(SUM(GH4:GK4)-GL4&gt;0,SUM(GH4:GK4)-GL4,"")</f>
        <v/>
      </c>
      <c r="GS4" s="9" t="str">
        <f t="shared" ref="GS4:GS9" si="73"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 t="shared" ref="HI4:HI9" si="74">IF(HA4&gt;0,HA4,"")</f>
        <v/>
      </c>
      <c r="HJ4" s="7" t="str">
        <f t="shared" ref="HJ4:HJ9" si="75">IF(SUM(GT4:GW4)-GX4&gt;0,SUM(GT4:GW4)-GX4,"")</f>
        <v/>
      </c>
      <c r="HK4" s="7" t="str">
        <f t="shared" ref="HK4:HK9" si="76">IF(SUM(GY4:HB4)-HC4&gt;0,SUM(GY4:HB4)-HC4,"")</f>
        <v/>
      </c>
      <c r="HL4" s="7" t="str">
        <f t="shared" ref="HL4:HL9" si="77">IF(SUM(HJ4:HK4)&gt;0,SUM(HJ4:HK4),"")</f>
        <v/>
      </c>
      <c r="HM4" s="7" t="str">
        <f t="shared" ref="HM4:HM9" si="78">IF(HF4&gt;0,HF4,"")</f>
        <v/>
      </c>
      <c r="HN4" s="7" t="str">
        <f t="shared" ref="HN4:HN9" si="79">IF(SUM(HD4:HG4)-HH4&gt;0,SUM(HD4:HG4)-HH4,"")</f>
        <v/>
      </c>
      <c r="HO4" s="7" t="str">
        <f t="shared" ref="HO4:HO9" si="80"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 t="shared" ref="IE4:IE9" si="81">IF(HW4&gt;0,HW4,"")</f>
        <v/>
      </c>
      <c r="IF4" s="9" t="str">
        <f t="shared" ref="IF4:IF9" si="82">IF(SUM(HP4:HS4)-HT4&gt;0,SUM(HP4:HS4)-HT4,"")</f>
        <v/>
      </c>
      <c r="IG4" s="9" t="str">
        <f t="shared" ref="IG4:IG9" si="83">IF(SUM(HU4:HX4)-HY4&gt;0,SUM(HU4:HX4)-HY4,"")</f>
        <v/>
      </c>
      <c r="IH4" s="9" t="str">
        <f t="shared" ref="IH4:IH9" si="84">IF(SUM(IF4:IG4)&gt;0,SUM(IF4:IG4),"")</f>
        <v/>
      </c>
      <c r="II4" s="9" t="str">
        <f t="shared" ref="II4:II9" si="85">IF(IB4&gt;0,IB4,"")</f>
        <v/>
      </c>
      <c r="IJ4" s="9" t="str">
        <f t="shared" ref="IJ4:IJ9" si="86">IF(SUM(HZ4:IC4)-ID4&gt;0,SUM(HZ4:IC4)-ID4,"")</f>
        <v/>
      </c>
      <c r="IK4" s="9" t="str">
        <f t="shared" ref="IK4:IK9" si="87"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 t="shared" ref="JA4:JA9" si="88">IF(IS4&gt;0,IS4,"")</f>
        <v/>
      </c>
      <c r="JB4" s="7" t="str">
        <f t="shared" ref="JB4:JB9" si="89">IF(SUM(IL4:IO4)-IP4&gt;0,SUM(IL4:IO4)-IP4,"")</f>
        <v/>
      </c>
      <c r="JC4" s="7" t="str">
        <f t="shared" ref="JC4:JC9" si="90">IF(SUM(IQ4:IT4)-IU4&gt;0,SUM(IQ4:IT4)-IU4,"")</f>
        <v/>
      </c>
      <c r="JD4" s="7" t="str">
        <f t="shared" ref="JD4:JD9" si="91">IF(SUM(JB4:JC4)&gt;0,SUM(JB4:JC4),"")</f>
        <v/>
      </c>
      <c r="JE4" s="7" t="str">
        <f t="shared" ref="JE4:JE9" si="92">IF(IX4&gt;0,IX4,"")</f>
        <v/>
      </c>
      <c r="JF4" s="7" t="str">
        <f t="shared" ref="JF4:JF9" si="93">IF(SUM(IV4:IY4)-IZ4&gt;0,SUM(IV4:IY4)-IZ4,"")</f>
        <v/>
      </c>
      <c r="JG4" s="7" t="str">
        <f t="shared" ref="JG4:JG9" si="94"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 t="shared" ref="JW4:JW9" si="95">IF(JO4&gt;0,JO4,"")</f>
        <v/>
      </c>
      <c r="JX4" s="9" t="str">
        <f t="shared" ref="JX4:JX9" si="96">IF(SUM(JH4:JK4)-JL4&gt;0,SUM(JH4:JK4)-JL4,"")</f>
        <v/>
      </c>
      <c r="JY4" s="9" t="str">
        <f t="shared" ref="JY4:JY9" si="97">IF(SUM(JM4:JP4)-JQ4&gt;0,SUM(JM4:JP4)-JQ4,"")</f>
        <v/>
      </c>
      <c r="JZ4" s="9" t="str">
        <f t="shared" ref="JZ4:JZ9" si="98">IF(SUM(JX4:JY4)&gt;0,SUM(JX4:JY4),"")</f>
        <v/>
      </c>
      <c r="KA4" s="9" t="str">
        <f t="shared" ref="KA4:KA9" si="99">IF(JT4&gt;0,JT4,"")</f>
        <v/>
      </c>
      <c r="KB4" s="9" t="str">
        <f t="shared" ref="KB4:KB9" si="100">IF(SUM(JR4:JU4)-JV4&gt;0,SUM(JR4:JU4)-JV4,"")</f>
        <v/>
      </c>
      <c r="KC4" s="9" t="str">
        <f t="shared" ref="KC4:KC9" si="101"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 t="shared" ref="KS4:KS9" si="102">IF(KK4&gt;0,KK4,"")</f>
        <v/>
      </c>
      <c r="KT4" s="7" t="str">
        <f t="shared" ref="KT4:KT9" si="103">IF(SUM(KD4:KG4)-KH4&gt;0,SUM(KD4:KG4)-KH4,"")</f>
        <v/>
      </c>
      <c r="KU4" s="7" t="str">
        <f t="shared" ref="KU4:KU9" si="104">IF(SUM(KI4:KL4)-KM4&gt;0,SUM(KI4:KL4)-KM4,"")</f>
        <v/>
      </c>
      <c r="KV4" s="7" t="str">
        <f t="shared" ref="KV4:KV9" si="105">IF(SUM(KT4:KU4)&gt;0,SUM(KT4:KU4),"")</f>
        <v/>
      </c>
      <c r="KW4" s="7" t="str">
        <f t="shared" ref="KW4:KW9" si="106">IF(KP4&gt;0,KP4,"")</f>
        <v/>
      </c>
      <c r="KX4" s="7" t="str">
        <f t="shared" ref="KX4:KX9" si="107">IF(SUM(KN4:KQ4)-KR4&gt;0,SUM(KN4:KQ4)-KR4,"")</f>
        <v/>
      </c>
      <c r="KY4" s="7" t="str">
        <f t="shared" ref="KY4:KY9" si="108"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 t="shared" ref="LO4:LO9" si="109">IF(LG4&gt;0,LG4,"")</f>
        <v/>
      </c>
      <c r="LP4" s="9" t="str">
        <f t="shared" ref="LP4:LP9" si="110">IF(SUM(KZ4:LC4)-LD4&gt;0,SUM(KZ4:LC4)-LD4,"")</f>
        <v/>
      </c>
      <c r="LQ4" s="9" t="str">
        <f t="shared" ref="LQ4:LQ9" si="111">IF(SUM(LE4:LH4)-LI4&gt;0,SUM(LE4:LH4)-LI4,"")</f>
        <v/>
      </c>
      <c r="LR4" s="9" t="str">
        <f t="shared" ref="LR4:LR9" si="112">IF(SUM(LP4:LQ4)&gt;0,SUM(LP4:LQ4),"")</f>
        <v/>
      </c>
      <c r="LS4" s="9" t="str">
        <f t="shared" ref="LS4:LS9" si="113">IF(LL4&gt;0,LL4,"")</f>
        <v/>
      </c>
      <c r="LT4" s="9" t="str">
        <f t="shared" ref="LT4:LT9" si="114">IF(SUM(LJ4:LM4)-LN4&gt;0,SUM(LJ4:LM4)-LN4,"")</f>
        <v/>
      </c>
      <c r="LU4" s="9" t="str">
        <f t="shared" ref="LU4:LU9" si="115"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 t="shared" ref="MK4:MK9" si="116">IF(MC4&gt;0,MC4,"")</f>
        <v/>
      </c>
      <c r="ML4" s="7" t="str">
        <f t="shared" ref="ML4:ML9" si="117">IF(SUM(LV4:LY4)-LZ4&gt;0,SUM(LV4:LY4)-LZ4,"")</f>
        <v/>
      </c>
      <c r="MM4" s="7" t="str">
        <f t="shared" ref="MM4:MM9" si="118">IF(SUM(MA4:MD4)-ME4&gt;0,SUM(MA4:MD4)-ME4,"")</f>
        <v/>
      </c>
      <c r="MN4" s="7" t="str">
        <f t="shared" ref="MN4:MN9" si="119">IF(SUM(ML4:MM4)&gt;0,SUM(ML4:MM4),"")</f>
        <v/>
      </c>
      <c r="MO4" s="7" t="str">
        <f t="shared" ref="MO4:MO9" si="120">IF(MH4&gt;0,MH4,"")</f>
        <v/>
      </c>
      <c r="MP4" s="7" t="str">
        <f t="shared" ref="MP4:MP9" si="121">IF(SUM(MF4:MI4)-MJ4&gt;0,SUM(MF4:MI4)-MJ4,"")</f>
        <v/>
      </c>
      <c r="MQ4" s="7" t="str">
        <f t="shared" ref="MQ4:MQ9" si="122"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 t="shared" ref="NG4:NG9" si="123">IF(MY4&gt;0,MY4,"")</f>
        <v/>
      </c>
      <c r="NH4" s="9" t="str">
        <f t="shared" ref="NH4:NH9" si="124">IF(SUM(MR4:MU4)-MV4&gt;0,SUM(MR4:MU4)-MV4,"")</f>
        <v/>
      </c>
      <c r="NI4" s="9" t="str">
        <f t="shared" ref="NI4:NI9" si="125">IF(SUM(MW4:MZ4)-NA4&gt;0,SUM(MW4:MZ4)-NA4,"")</f>
        <v/>
      </c>
      <c r="NJ4" s="9" t="str">
        <f t="shared" ref="NJ4:NJ9" si="126">IF(SUM(NH4:NI4)&gt;0,SUM(NH4:NI4),"")</f>
        <v/>
      </c>
      <c r="NK4" s="9" t="str">
        <f t="shared" ref="NK4:NK9" si="127">IF(ND4&gt;0,ND4,"")</f>
        <v/>
      </c>
      <c r="NL4" s="9" t="str">
        <f t="shared" ref="NL4:NL9" si="128">IF(SUM(NB4:NE4)-NF4&gt;0,SUM(NB4:NE4)-NF4,"")</f>
        <v/>
      </c>
      <c r="NM4" s="9" t="str">
        <f t="shared" ref="NM4:NM9" si="129">IF(SUM(NJ4,NL4)&gt;0,SUM(NJ4,NL4),"")</f>
        <v/>
      </c>
      <c r="NN4" s="27">
        <f t="shared" ref="NN4:NW9" si="130">IF($CV4="P",CB4,(CB4+AX4)/2)</f>
        <v>16.899999999999999</v>
      </c>
      <c r="NO4" s="27">
        <f t="shared" si="130"/>
        <v>9.1999999999999993</v>
      </c>
      <c r="NP4" s="27">
        <f t="shared" si="130"/>
        <v>0</v>
      </c>
      <c r="NQ4" s="27">
        <f t="shared" si="130"/>
        <v>14.785</v>
      </c>
      <c r="NR4" s="27">
        <f t="shared" si="130"/>
        <v>0</v>
      </c>
      <c r="NS4" s="27">
        <f t="shared" si="130"/>
        <v>12.95</v>
      </c>
      <c r="NT4" s="27">
        <f t="shared" si="130"/>
        <v>8.1999999999999993</v>
      </c>
      <c r="NU4" s="27">
        <f t="shared" si="130"/>
        <v>7.75</v>
      </c>
      <c r="NV4" s="27">
        <f t="shared" si="130"/>
        <v>13.170000000000002</v>
      </c>
      <c r="NW4" s="27">
        <f t="shared" si="130"/>
        <v>0</v>
      </c>
      <c r="NX4" s="27">
        <f t="shared" ref="NX4:OG9" si="131">IF($CV4="P",CL4,(CL4+BH4)/2)</f>
        <v>0</v>
      </c>
      <c r="NY4" s="27">
        <f t="shared" si="131"/>
        <v>0</v>
      </c>
      <c r="NZ4" s="27">
        <f t="shared" si="131"/>
        <v>0</v>
      </c>
      <c r="OA4" s="27">
        <f t="shared" si="131"/>
        <v>0</v>
      </c>
      <c r="OB4" s="27">
        <f t="shared" si="131"/>
        <v>0</v>
      </c>
      <c r="OC4" s="27">
        <f t="shared" si="131"/>
        <v>14.850000000000001</v>
      </c>
      <c r="OD4" s="27">
        <f t="shared" si="131"/>
        <v>9.1</v>
      </c>
      <c r="OE4" s="27">
        <f t="shared" si="131"/>
        <v>10</v>
      </c>
      <c r="OF4" s="27">
        <f t="shared" si="131"/>
        <v>14.305</v>
      </c>
      <c r="OG4" s="27">
        <f t="shared" si="131"/>
        <v>0</v>
      </c>
      <c r="OH4" s="32" t="s">
        <v>44</v>
      </c>
      <c r="OI4" s="7">
        <f t="shared" ref="OI4:OI9" si="132">IF(SUM(NN4:NQ4)-NR4&gt;0,SUM(NN4:NQ4)-NR4,"")</f>
        <v>40.884999999999998</v>
      </c>
      <c r="OJ4" s="7">
        <f t="shared" ref="OJ4:OJ9" si="133">IF(NU4&gt;0,NU4,"")</f>
        <v>7.75</v>
      </c>
      <c r="OK4" s="7">
        <f t="shared" ref="OK4:OK9" si="134">IF(SUM(NS4:NV4)-NW4&gt;0,SUM(NS4:NV4)-NW4,"")</f>
        <v>42.07</v>
      </c>
      <c r="OL4" s="7" t="str">
        <f t="shared" ref="OL4:OL9" si="135">IF(NZ4&gt;0,NZ4,"")</f>
        <v/>
      </c>
      <c r="OM4" s="7" t="str">
        <f t="shared" ref="OM4:OM9" si="136">IF(SUM(NX4:OA4)-OB4&gt;0,SUM(NX4:OA4)-OB4,"")</f>
        <v/>
      </c>
      <c r="ON4" s="7">
        <f t="shared" ref="ON4:ON9" si="137">IF(OR(OI4&lt;&gt;"",OK4&lt;&gt;"",OM4&lt;&gt;""),OI4+MAX(OK4,OM4),"")</f>
        <v>82.954999999999998</v>
      </c>
      <c r="OO4" s="7">
        <f t="shared" ref="OO4:OO9" si="138">IF(OE4&gt;0,OE4,"")</f>
        <v>10</v>
      </c>
      <c r="OP4" s="7">
        <f t="shared" ref="OP4" si="139">IF(SUM(OC4:OF4)-OG4&gt;0,SUM(OC4:OF4)-OG4,"")</f>
        <v>48.255000000000003</v>
      </c>
      <c r="OQ4" s="7">
        <f t="shared" ref="OQ4" si="140">IF(SUM(ON4,OP4)&gt;0,SUM(ON4,OP4),"")</f>
        <v>131.21</v>
      </c>
    </row>
    <row r="5" spans="1:407" x14ac:dyDescent="0.2">
      <c r="A5" s="4" t="str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/>
      </c>
      <c r="B5" s="5" t="s">
        <v>82</v>
      </c>
      <c r="C5" s="4" t="s">
        <v>68</v>
      </c>
      <c r="D5" s="4">
        <v>2008</v>
      </c>
      <c r="E5" s="10">
        <f t="shared" si="0"/>
        <v>222.03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 t="shared" si="4"/>
        <v>87.240000000000009</v>
      </c>
      <c r="J5" s="9" t="str">
        <f t="shared" si="5"/>
        <v>2023 Elite Canada</v>
      </c>
      <c r="K5" s="9">
        <f t="shared" si="6"/>
        <v>40.68</v>
      </c>
      <c r="L5" s="9" t="str">
        <f t="shared" si="7"/>
        <v>2023 3rd Domestic Trial</v>
      </c>
      <c r="M5" s="9">
        <f t="shared" si="8"/>
        <v>46.64</v>
      </c>
      <c r="N5" s="9" t="str">
        <f t="shared" si="9"/>
        <v>2023 Nationals</v>
      </c>
      <c r="O5" s="9">
        <f t="shared" si="10"/>
        <v>47.47</v>
      </c>
      <c r="P5" s="9" t="str">
        <f t="shared" si="11"/>
        <v>2023 Elite Canada</v>
      </c>
      <c r="Q5" s="9" t="str">
        <f t="shared" si="12"/>
        <v/>
      </c>
      <c r="R5" s="14" t="str">
        <f t="shared" si="13"/>
        <v/>
      </c>
      <c r="S5" s="9" t="str">
        <f t="shared" si="14"/>
        <v/>
      </c>
      <c r="T5" s="27">
        <v>16.899999999999999</v>
      </c>
      <c r="U5" s="27">
        <v>9.6</v>
      </c>
      <c r="V5" s="27">
        <v>0</v>
      </c>
      <c r="W5" s="27">
        <v>13.75</v>
      </c>
      <c r="X5" s="27">
        <v>0</v>
      </c>
      <c r="Y5" s="27">
        <v>14.6</v>
      </c>
      <c r="Z5" s="27">
        <v>9</v>
      </c>
      <c r="AA5" s="27">
        <v>10</v>
      </c>
      <c r="AB5" s="27">
        <v>13.39</v>
      </c>
      <c r="AC5" s="27">
        <v>0</v>
      </c>
      <c r="AD5" s="27"/>
      <c r="AE5" s="27"/>
      <c r="AF5" s="27"/>
      <c r="AG5" s="27"/>
      <c r="AH5" s="27"/>
      <c r="AI5" s="27">
        <v>14.8</v>
      </c>
      <c r="AJ5" s="27">
        <v>9.1999999999999993</v>
      </c>
      <c r="AK5" s="27">
        <v>10</v>
      </c>
      <c r="AL5" s="27">
        <v>13.47</v>
      </c>
      <c r="AM5" s="27">
        <v>0</v>
      </c>
      <c r="AN5" s="32"/>
      <c r="AO5" s="7">
        <f t="shared" si="15"/>
        <v>40.25</v>
      </c>
      <c r="AP5" s="7">
        <f t="shared" si="16"/>
        <v>10</v>
      </c>
      <c r="AQ5" s="7">
        <f t="shared" si="17"/>
        <v>46.99</v>
      </c>
      <c r="AR5" s="7" t="str">
        <f t="shared" si="18"/>
        <v/>
      </c>
      <c r="AS5" s="7" t="str">
        <f t="shared" si="19"/>
        <v/>
      </c>
      <c r="AT5" s="7">
        <f t="shared" si="20"/>
        <v>87.240000000000009</v>
      </c>
      <c r="AU5" s="7">
        <f t="shared" si="21"/>
        <v>10</v>
      </c>
      <c r="AV5" s="7">
        <f t="shared" si="22"/>
        <v>47.47</v>
      </c>
      <c r="AW5" s="7">
        <f t="shared" si="23"/>
        <v>134.71</v>
      </c>
      <c r="AX5" s="31">
        <v>16.3</v>
      </c>
      <c r="AY5" s="31">
        <v>9.5</v>
      </c>
      <c r="AZ5" s="31">
        <v>0</v>
      </c>
      <c r="BA5" s="31">
        <v>13.98</v>
      </c>
      <c r="BB5" s="31">
        <v>0</v>
      </c>
      <c r="BC5" s="31">
        <v>13.1</v>
      </c>
      <c r="BD5" s="31">
        <v>9.3000000000000007</v>
      </c>
      <c r="BE5" s="31">
        <v>11</v>
      </c>
      <c r="BF5" s="31">
        <v>13.24</v>
      </c>
      <c r="BG5" s="31">
        <v>0</v>
      </c>
      <c r="BH5" s="31"/>
      <c r="BI5" s="31"/>
      <c r="BJ5" s="31"/>
      <c r="BK5" s="31"/>
      <c r="BL5" s="31"/>
      <c r="BM5" s="31">
        <v>1.5</v>
      </c>
      <c r="BN5" s="31">
        <v>1</v>
      </c>
      <c r="BO5" s="31">
        <v>1.5</v>
      </c>
      <c r="BP5" s="31">
        <v>1.37</v>
      </c>
      <c r="BQ5" s="31">
        <v>0</v>
      </c>
      <c r="BR5" s="33"/>
      <c r="BS5" s="9">
        <f t="shared" si="24"/>
        <v>39.78</v>
      </c>
      <c r="BT5" s="9">
        <f t="shared" si="25"/>
        <v>11</v>
      </c>
      <c r="BU5" s="9">
        <f t="shared" si="26"/>
        <v>46.64</v>
      </c>
      <c r="BV5" s="9" t="str">
        <f t="shared" si="27"/>
        <v/>
      </c>
      <c r="BW5" s="9" t="str">
        <f t="shared" si="28"/>
        <v/>
      </c>
      <c r="BX5" s="9">
        <f t="shared" si="29"/>
        <v>86.42</v>
      </c>
      <c r="BY5" s="9">
        <f t="shared" si="30"/>
        <v>1.5</v>
      </c>
      <c r="BZ5" s="9">
        <f t="shared" si="31"/>
        <v>5.37</v>
      </c>
      <c r="CA5" s="9">
        <f t="shared" si="32"/>
        <v>91.79</v>
      </c>
      <c r="CB5" s="27">
        <v>17</v>
      </c>
      <c r="CC5" s="27">
        <v>9.3000000000000007</v>
      </c>
      <c r="CD5" s="27">
        <v>0</v>
      </c>
      <c r="CE5" s="27">
        <v>14.38</v>
      </c>
      <c r="CF5" s="27">
        <v>0</v>
      </c>
      <c r="CG5" s="27">
        <v>2.7</v>
      </c>
      <c r="CH5" s="27">
        <v>1.7</v>
      </c>
      <c r="CI5" s="27">
        <v>2.5</v>
      </c>
      <c r="CJ5" s="27">
        <v>2.88</v>
      </c>
      <c r="CK5" s="27">
        <v>0</v>
      </c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32"/>
      <c r="CW5" s="7">
        <f t="shared" si="33"/>
        <v>40.68</v>
      </c>
      <c r="CX5" s="7">
        <f t="shared" si="34"/>
        <v>2.5</v>
      </c>
      <c r="CY5" s="7">
        <f t="shared" si="35"/>
        <v>9.7800000000000011</v>
      </c>
      <c r="CZ5" s="7" t="str">
        <f t="shared" si="36"/>
        <v/>
      </c>
      <c r="DA5" s="7" t="str">
        <f t="shared" si="37"/>
        <v/>
      </c>
      <c r="DB5" s="7">
        <f t="shared" si="38"/>
        <v>50.46</v>
      </c>
      <c r="DC5" s="7" t="str">
        <f t="shared" si="39"/>
        <v/>
      </c>
      <c r="DD5" s="7" t="str">
        <f t="shared" si="40"/>
        <v/>
      </c>
      <c r="DE5" s="7">
        <f t="shared" si="41"/>
        <v>50.46</v>
      </c>
      <c r="DF5" s="13" t="str">
        <f t="shared" si="42"/>
        <v/>
      </c>
      <c r="DG5" s="13" t="str">
        <f t="shared" si="43"/>
        <v/>
      </c>
      <c r="DH5" s="13" t="str">
        <f t="shared" si="44"/>
        <v/>
      </c>
      <c r="DI5" s="13" t="str">
        <f t="shared" si="45"/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 t="shared" si="46"/>
        <v/>
      </c>
      <c r="DZ5" s="7" t="str">
        <f t="shared" si="47"/>
        <v/>
      </c>
      <c r="EA5" s="7" t="str">
        <f t="shared" si="48"/>
        <v/>
      </c>
      <c r="EB5" s="7" t="str">
        <f t="shared" si="49"/>
        <v/>
      </c>
      <c r="EC5" s="7" t="str">
        <f t="shared" si="50"/>
        <v/>
      </c>
      <c r="ED5" s="7" t="str">
        <f t="shared" si="51"/>
        <v/>
      </c>
      <c r="EE5" s="7" t="str">
        <f t="shared" si="52"/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 t="shared" si="53"/>
        <v/>
      </c>
      <c r="EV5" s="9" t="str">
        <f t="shared" si="54"/>
        <v/>
      </c>
      <c r="EW5" s="9" t="str">
        <f t="shared" si="55"/>
        <v/>
      </c>
      <c r="EX5" s="9" t="str">
        <f t="shared" si="56"/>
        <v/>
      </c>
      <c r="EY5" s="9" t="str">
        <f t="shared" si="57"/>
        <v/>
      </c>
      <c r="EZ5" s="9" t="str">
        <f t="shared" si="58"/>
        <v/>
      </c>
      <c r="FA5" s="9" t="str">
        <f t="shared" si="59"/>
        <v/>
      </c>
      <c r="FB5" s="18">
        <v>16</v>
      </c>
      <c r="FC5" s="18">
        <v>9.4</v>
      </c>
      <c r="FD5" s="18">
        <v>0</v>
      </c>
      <c r="FE5" s="18">
        <v>14.44</v>
      </c>
      <c r="FF5" s="18">
        <v>0</v>
      </c>
      <c r="FG5" s="18">
        <v>12.3</v>
      </c>
      <c r="FH5" s="18">
        <v>9.3000000000000007</v>
      </c>
      <c r="FI5" s="18">
        <v>10.199999999999999</v>
      </c>
      <c r="FJ5" s="18">
        <v>14.11</v>
      </c>
      <c r="FK5" s="18">
        <v>0</v>
      </c>
      <c r="FL5" s="18"/>
      <c r="FM5" s="18"/>
      <c r="FN5" s="18"/>
      <c r="FO5" s="18"/>
      <c r="FP5" s="18"/>
      <c r="FQ5" s="7">
        <f t="shared" si="60"/>
        <v>10.199999999999999</v>
      </c>
      <c r="FR5" s="7">
        <f t="shared" si="61"/>
        <v>39.839999999999996</v>
      </c>
      <c r="FS5" s="7">
        <f t="shared" si="62"/>
        <v>45.91</v>
      </c>
      <c r="FT5" s="7">
        <f t="shared" si="63"/>
        <v>85.75</v>
      </c>
      <c r="FU5" s="7" t="str">
        <f t="shared" si="64"/>
        <v/>
      </c>
      <c r="FV5" s="7" t="str">
        <f t="shared" si="65"/>
        <v/>
      </c>
      <c r="FW5" s="7">
        <f t="shared" si="66"/>
        <v>85.75</v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 t="shared" si="67"/>
        <v/>
      </c>
      <c r="GN5" s="9" t="str">
        <f t="shared" si="68"/>
        <v/>
      </c>
      <c r="GO5" s="9" t="str">
        <f t="shared" si="69"/>
        <v/>
      </c>
      <c r="GP5" s="9" t="str">
        <f t="shared" si="70"/>
        <v/>
      </c>
      <c r="GQ5" s="9" t="str">
        <f t="shared" si="71"/>
        <v/>
      </c>
      <c r="GR5" s="9" t="str">
        <f t="shared" si="72"/>
        <v/>
      </c>
      <c r="GS5" s="9" t="str">
        <f t="shared" si="73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 t="shared" si="74"/>
        <v/>
      </c>
      <c r="HJ5" s="7" t="str">
        <f t="shared" si="75"/>
        <v/>
      </c>
      <c r="HK5" s="7" t="str">
        <f t="shared" si="76"/>
        <v/>
      </c>
      <c r="HL5" s="7" t="str">
        <f t="shared" si="77"/>
        <v/>
      </c>
      <c r="HM5" s="7" t="str">
        <f t="shared" si="78"/>
        <v/>
      </c>
      <c r="HN5" s="7" t="str">
        <f t="shared" si="79"/>
        <v/>
      </c>
      <c r="HO5" s="7" t="str">
        <f t="shared" si="80"/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 t="shared" si="81"/>
        <v/>
      </c>
      <c r="IF5" s="9" t="str">
        <f t="shared" si="82"/>
        <v/>
      </c>
      <c r="IG5" s="9" t="str">
        <f t="shared" si="83"/>
        <v/>
      </c>
      <c r="IH5" s="9" t="str">
        <f t="shared" si="84"/>
        <v/>
      </c>
      <c r="II5" s="9" t="str">
        <f t="shared" si="85"/>
        <v/>
      </c>
      <c r="IJ5" s="9" t="str">
        <f t="shared" si="86"/>
        <v/>
      </c>
      <c r="IK5" s="9" t="str">
        <f t="shared" si="87"/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 t="shared" si="88"/>
        <v/>
      </c>
      <c r="JB5" s="7" t="str">
        <f t="shared" si="89"/>
        <v/>
      </c>
      <c r="JC5" s="7" t="str">
        <f t="shared" si="90"/>
        <v/>
      </c>
      <c r="JD5" s="7" t="str">
        <f t="shared" si="91"/>
        <v/>
      </c>
      <c r="JE5" s="7" t="str">
        <f t="shared" si="92"/>
        <v/>
      </c>
      <c r="JF5" s="7" t="str">
        <f t="shared" si="93"/>
        <v/>
      </c>
      <c r="JG5" s="7" t="str">
        <f t="shared" si="94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 t="shared" si="95"/>
        <v/>
      </c>
      <c r="JX5" s="9" t="str">
        <f t="shared" si="96"/>
        <v/>
      </c>
      <c r="JY5" s="9" t="str">
        <f t="shared" si="97"/>
        <v/>
      </c>
      <c r="JZ5" s="9" t="str">
        <f t="shared" si="98"/>
        <v/>
      </c>
      <c r="KA5" s="9" t="str">
        <f t="shared" si="99"/>
        <v/>
      </c>
      <c r="KB5" s="9" t="str">
        <f t="shared" si="100"/>
        <v/>
      </c>
      <c r="KC5" s="9" t="str">
        <f t="shared" si="101"/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 t="shared" si="102"/>
        <v/>
      </c>
      <c r="KT5" s="7" t="str">
        <f t="shared" si="103"/>
        <v/>
      </c>
      <c r="KU5" s="7" t="str">
        <f t="shared" si="104"/>
        <v/>
      </c>
      <c r="KV5" s="7" t="str">
        <f t="shared" si="105"/>
        <v/>
      </c>
      <c r="KW5" s="7" t="str">
        <f t="shared" si="106"/>
        <v/>
      </c>
      <c r="KX5" s="7" t="str">
        <f t="shared" si="107"/>
        <v/>
      </c>
      <c r="KY5" s="7" t="str">
        <f t="shared" si="108"/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 t="shared" si="109"/>
        <v/>
      </c>
      <c r="LP5" s="9" t="str">
        <f t="shared" si="110"/>
        <v/>
      </c>
      <c r="LQ5" s="9" t="str">
        <f t="shared" si="111"/>
        <v/>
      </c>
      <c r="LR5" s="9" t="str">
        <f t="shared" si="112"/>
        <v/>
      </c>
      <c r="LS5" s="9" t="str">
        <f t="shared" si="113"/>
        <v/>
      </c>
      <c r="LT5" s="9" t="str">
        <f t="shared" si="114"/>
        <v/>
      </c>
      <c r="LU5" s="9" t="str">
        <f t="shared" si="115"/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 t="shared" si="116"/>
        <v/>
      </c>
      <c r="ML5" s="7" t="str">
        <f t="shared" si="117"/>
        <v/>
      </c>
      <c r="MM5" s="7" t="str">
        <f t="shared" si="118"/>
        <v/>
      </c>
      <c r="MN5" s="7" t="str">
        <f t="shared" si="119"/>
        <v/>
      </c>
      <c r="MO5" s="7" t="str">
        <f t="shared" si="120"/>
        <v/>
      </c>
      <c r="MP5" s="7" t="str">
        <f t="shared" si="121"/>
        <v/>
      </c>
      <c r="MQ5" s="7" t="str">
        <f t="shared" si="122"/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 t="shared" si="123"/>
        <v/>
      </c>
      <c r="NH5" s="9" t="str">
        <f t="shared" si="124"/>
        <v/>
      </c>
      <c r="NI5" s="9" t="str">
        <f t="shared" si="125"/>
        <v/>
      </c>
      <c r="NJ5" s="9" t="str">
        <f t="shared" si="126"/>
        <v/>
      </c>
      <c r="NK5" s="9" t="str">
        <f t="shared" si="127"/>
        <v/>
      </c>
      <c r="NL5" s="9" t="str">
        <f t="shared" si="128"/>
        <v/>
      </c>
      <c r="NM5" s="9" t="str">
        <f t="shared" si="129"/>
        <v/>
      </c>
      <c r="NN5" s="27">
        <f t="shared" si="130"/>
        <v>16.649999999999999</v>
      </c>
      <c r="NO5" s="27">
        <f t="shared" si="130"/>
        <v>9.4</v>
      </c>
      <c r="NP5" s="27">
        <f t="shared" si="130"/>
        <v>0</v>
      </c>
      <c r="NQ5" s="27">
        <f t="shared" si="130"/>
        <v>14.18</v>
      </c>
      <c r="NR5" s="27">
        <f t="shared" si="130"/>
        <v>0</v>
      </c>
      <c r="NS5" s="27">
        <f t="shared" si="130"/>
        <v>7.9</v>
      </c>
      <c r="NT5" s="27">
        <f t="shared" si="130"/>
        <v>5.5</v>
      </c>
      <c r="NU5" s="27">
        <f t="shared" si="130"/>
        <v>6.75</v>
      </c>
      <c r="NV5" s="27">
        <f t="shared" si="130"/>
        <v>8.06</v>
      </c>
      <c r="NW5" s="27">
        <f t="shared" si="130"/>
        <v>0</v>
      </c>
      <c r="NX5" s="27">
        <f t="shared" si="131"/>
        <v>0</v>
      </c>
      <c r="NY5" s="27">
        <f t="shared" si="131"/>
        <v>0</v>
      </c>
      <c r="NZ5" s="27">
        <f t="shared" si="131"/>
        <v>0</v>
      </c>
      <c r="OA5" s="27">
        <f t="shared" si="131"/>
        <v>0</v>
      </c>
      <c r="OB5" s="27">
        <f t="shared" si="131"/>
        <v>0</v>
      </c>
      <c r="OC5" s="27">
        <f t="shared" si="131"/>
        <v>0.75</v>
      </c>
      <c r="OD5" s="27">
        <f t="shared" si="131"/>
        <v>0.5</v>
      </c>
      <c r="OE5" s="27">
        <f t="shared" si="131"/>
        <v>0.75</v>
      </c>
      <c r="OF5" s="27">
        <f t="shared" si="131"/>
        <v>0.68500000000000005</v>
      </c>
      <c r="OG5" s="27">
        <f t="shared" si="131"/>
        <v>0</v>
      </c>
      <c r="OH5" s="32" t="s">
        <v>44</v>
      </c>
      <c r="OI5" s="7">
        <f t="shared" si="132"/>
        <v>40.229999999999997</v>
      </c>
      <c r="OJ5" s="7">
        <f t="shared" si="133"/>
        <v>6.75</v>
      </c>
      <c r="OK5" s="7">
        <f t="shared" si="134"/>
        <v>28.21</v>
      </c>
      <c r="OL5" s="7" t="str">
        <f t="shared" si="135"/>
        <v/>
      </c>
      <c r="OM5" s="7" t="str">
        <f t="shared" si="136"/>
        <v/>
      </c>
      <c r="ON5" s="7">
        <f t="shared" si="137"/>
        <v>68.44</v>
      </c>
      <c r="OO5" s="7">
        <f t="shared" si="138"/>
        <v>0.75</v>
      </c>
      <c r="OP5" s="7">
        <f t="shared" ref="OP5" si="141">IF(SUM(OC5:OF5)-OG5&gt;0,SUM(OC5:OF5)-OG5,"")</f>
        <v>2.6850000000000001</v>
      </c>
      <c r="OQ5" s="7">
        <f t="shared" ref="OQ5" si="142">IF(SUM(ON5,OP5)&gt;0,SUM(ON5,OP5),"")</f>
        <v>71.125</v>
      </c>
    </row>
    <row r="6" spans="1:407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79</v>
      </c>
      <c r="C6" s="4" t="s">
        <v>68</v>
      </c>
      <c r="D6" s="4">
        <v>2009</v>
      </c>
      <c r="E6" s="10">
        <f t="shared" si="0"/>
        <v>221.54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83.81</v>
      </c>
      <c r="J6" s="9" t="str">
        <f t="shared" si="5"/>
        <v>2023 Elite Canada</v>
      </c>
      <c r="K6" s="9">
        <f t="shared" si="6"/>
        <v>40.54</v>
      </c>
      <c r="L6" s="9" t="str">
        <f t="shared" si="7"/>
        <v>2023 Nationals</v>
      </c>
      <c r="M6" s="9">
        <f t="shared" si="8"/>
        <v>39.64</v>
      </c>
      <c r="N6" s="9" t="str">
        <f t="shared" si="9"/>
        <v>2023 Nationals</v>
      </c>
      <c r="O6" s="9">
        <f t="shared" si="10"/>
        <v>49.23</v>
      </c>
      <c r="P6" s="9" t="str">
        <f t="shared" si="11"/>
        <v>2023 3rd Domestic Trial</v>
      </c>
      <c r="Q6" s="9">
        <f t="shared" si="12"/>
        <v>8.32</v>
      </c>
      <c r="R6" s="14" t="str">
        <f t="shared" si="13"/>
        <v>(Vol 2)</v>
      </c>
      <c r="S6" s="9" t="str">
        <f t="shared" si="14"/>
        <v>2023 Pan Am Championships (May 14)</v>
      </c>
      <c r="T6" s="27">
        <v>16.3</v>
      </c>
      <c r="U6" s="27">
        <v>9.6</v>
      </c>
      <c r="V6" s="27">
        <v>0</v>
      </c>
      <c r="W6" s="27">
        <v>13.57</v>
      </c>
      <c r="X6" s="27">
        <v>0</v>
      </c>
      <c r="Y6" s="27">
        <v>11.8</v>
      </c>
      <c r="Z6" s="27">
        <v>9.1999999999999993</v>
      </c>
      <c r="AA6" s="27">
        <v>10</v>
      </c>
      <c r="AB6" s="27">
        <v>13.34</v>
      </c>
      <c r="AC6" s="27">
        <v>0</v>
      </c>
      <c r="AD6" s="27"/>
      <c r="AE6" s="27"/>
      <c r="AF6" s="27"/>
      <c r="AG6" s="27"/>
      <c r="AH6" s="27"/>
      <c r="AI6" s="27">
        <v>3.65</v>
      </c>
      <c r="AJ6" s="27">
        <v>2.2999999999999998</v>
      </c>
      <c r="AK6" s="27">
        <v>2.8</v>
      </c>
      <c r="AL6" s="27">
        <v>3.4750000000000001</v>
      </c>
      <c r="AM6" s="27">
        <v>0</v>
      </c>
      <c r="AN6" s="32"/>
      <c r="AO6" s="7">
        <f t="shared" si="15"/>
        <v>39.47</v>
      </c>
      <c r="AP6" s="7">
        <f t="shared" si="16"/>
        <v>10</v>
      </c>
      <c r="AQ6" s="7">
        <f t="shared" si="17"/>
        <v>44.34</v>
      </c>
      <c r="AR6" s="7" t="str">
        <f t="shared" si="18"/>
        <v/>
      </c>
      <c r="AS6" s="7" t="str">
        <f t="shared" si="19"/>
        <v/>
      </c>
      <c r="AT6" s="7">
        <f t="shared" si="20"/>
        <v>83.81</v>
      </c>
      <c r="AU6" s="7">
        <f t="shared" si="21"/>
        <v>2.8</v>
      </c>
      <c r="AV6" s="7">
        <f t="shared" si="22"/>
        <v>12.225</v>
      </c>
      <c r="AW6" s="7">
        <f t="shared" si="23"/>
        <v>96.034999999999997</v>
      </c>
      <c r="AX6" s="31">
        <v>17.3</v>
      </c>
      <c r="AY6" s="31">
        <v>9.3000000000000007</v>
      </c>
      <c r="AZ6" s="31">
        <v>0</v>
      </c>
      <c r="BA6" s="31">
        <v>13.94</v>
      </c>
      <c r="BB6" s="31">
        <v>0</v>
      </c>
      <c r="BC6" s="31">
        <v>11.3</v>
      </c>
      <c r="BD6" s="31">
        <v>7.3</v>
      </c>
      <c r="BE6" s="31">
        <v>9.6</v>
      </c>
      <c r="BF6" s="31">
        <v>11.44</v>
      </c>
      <c r="BG6" s="31">
        <v>0</v>
      </c>
      <c r="BH6" s="31"/>
      <c r="BI6" s="31"/>
      <c r="BJ6" s="31"/>
      <c r="BK6" s="31"/>
      <c r="BL6" s="31"/>
      <c r="BM6" s="31">
        <v>14.9</v>
      </c>
      <c r="BN6" s="31">
        <v>9</v>
      </c>
      <c r="BO6" s="31">
        <v>10.9</v>
      </c>
      <c r="BP6" s="31">
        <v>13.97</v>
      </c>
      <c r="BQ6" s="31">
        <v>2</v>
      </c>
      <c r="BR6" s="33"/>
      <c r="BS6" s="9">
        <f t="shared" si="24"/>
        <v>40.54</v>
      </c>
      <c r="BT6" s="9">
        <f t="shared" si="25"/>
        <v>9.6</v>
      </c>
      <c r="BU6" s="9">
        <f t="shared" si="26"/>
        <v>39.64</v>
      </c>
      <c r="BV6" s="9" t="str">
        <f t="shared" si="27"/>
        <v/>
      </c>
      <c r="BW6" s="9" t="str">
        <f t="shared" si="28"/>
        <v/>
      </c>
      <c r="BX6" s="9">
        <f t="shared" si="29"/>
        <v>80.180000000000007</v>
      </c>
      <c r="BY6" s="9">
        <f t="shared" si="30"/>
        <v>10.9</v>
      </c>
      <c r="BZ6" s="9">
        <f t="shared" si="31"/>
        <v>46.769999999999996</v>
      </c>
      <c r="CA6" s="9">
        <f t="shared" si="32"/>
        <v>126.95</v>
      </c>
      <c r="CB6" s="27">
        <v>16.5</v>
      </c>
      <c r="CC6" s="27">
        <v>9.5</v>
      </c>
      <c r="CD6" s="27">
        <v>0</v>
      </c>
      <c r="CE6" s="27">
        <v>14.28</v>
      </c>
      <c r="CF6" s="27">
        <v>0</v>
      </c>
      <c r="CG6" s="27">
        <v>10.7</v>
      </c>
      <c r="CH6" s="27">
        <v>6.9</v>
      </c>
      <c r="CI6" s="27">
        <v>9.3999999999999986</v>
      </c>
      <c r="CJ6" s="27">
        <v>11.12</v>
      </c>
      <c r="CK6" s="27">
        <v>0</v>
      </c>
      <c r="CL6" s="27"/>
      <c r="CM6" s="27"/>
      <c r="CN6" s="27"/>
      <c r="CO6" s="27"/>
      <c r="CP6" s="27"/>
      <c r="CQ6" s="27">
        <v>14.1</v>
      </c>
      <c r="CR6" s="27">
        <v>8.6999999999999993</v>
      </c>
      <c r="CS6" s="27">
        <v>12.299999999999999</v>
      </c>
      <c r="CT6" s="27">
        <v>14.13</v>
      </c>
      <c r="CU6" s="27">
        <v>0</v>
      </c>
      <c r="CV6" s="32"/>
      <c r="CW6" s="7">
        <f t="shared" si="33"/>
        <v>40.28</v>
      </c>
      <c r="CX6" s="7">
        <f t="shared" si="34"/>
        <v>9.3999999999999986</v>
      </c>
      <c r="CY6" s="7">
        <f t="shared" si="35"/>
        <v>38.119999999999997</v>
      </c>
      <c r="CZ6" s="7" t="str">
        <f t="shared" si="36"/>
        <v/>
      </c>
      <c r="DA6" s="7" t="str">
        <f t="shared" si="37"/>
        <v/>
      </c>
      <c r="DB6" s="7">
        <f t="shared" si="38"/>
        <v>78.400000000000006</v>
      </c>
      <c r="DC6" s="7">
        <f t="shared" si="39"/>
        <v>12.299999999999999</v>
      </c>
      <c r="DD6" s="7">
        <f t="shared" si="40"/>
        <v>49.23</v>
      </c>
      <c r="DE6" s="7">
        <f t="shared" si="41"/>
        <v>127.63</v>
      </c>
      <c r="DF6" s="13" t="str">
        <f t="shared" si="42"/>
        <v/>
      </c>
      <c r="DG6" s="13">
        <f t="shared" si="43"/>
        <v>8.32</v>
      </c>
      <c r="DH6" s="13">
        <f t="shared" si="44"/>
        <v>3.0600000000000023</v>
      </c>
      <c r="DI6" s="13" t="str">
        <f t="shared" si="45"/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 t="shared" si="46"/>
        <v/>
      </c>
      <c r="DZ6" s="7" t="str">
        <f t="shared" si="47"/>
        <v/>
      </c>
      <c r="EA6" s="7" t="str">
        <f t="shared" si="48"/>
        <v/>
      </c>
      <c r="EB6" s="7" t="str">
        <f t="shared" si="49"/>
        <v/>
      </c>
      <c r="EC6" s="7" t="str">
        <f t="shared" si="50"/>
        <v/>
      </c>
      <c r="ED6" s="7" t="str">
        <f t="shared" si="51"/>
        <v/>
      </c>
      <c r="EE6" s="7" t="str">
        <f t="shared" si="52"/>
        <v/>
      </c>
      <c r="EF6" s="19">
        <v>15.9</v>
      </c>
      <c r="EG6" s="19">
        <v>9.4</v>
      </c>
      <c r="EH6" s="19">
        <v>0</v>
      </c>
      <c r="EI6" s="19">
        <v>13.61</v>
      </c>
      <c r="EJ6" s="19">
        <v>0</v>
      </c>
      <c r="EK6" s="19">
        <v>13.5</v>
      </c>
      <c r="EL6" s="19">
        <v>8.8000000000000007</v>
      </c>
      <c r="EM6" s="19">
        <v>12.1</v>
      </c>
      <c r="EN6" s="19">
        <v>13.56</v>
      </c>
      <c r="EO6" s="19">
        <v>0</v>
      </c>
      <c r="EP6" s="19">
        <v>14.1</v>
      </c>
      <c r="EQ6" s="19">
        <v>9.1999999999999993</v>
      </c>
      <c r="ER6" s="19">
        <v>12.1</v>
      </c>
      <c r="ES6" s="19">
        <v>13.63</v>
      </c>
      <c r="ET6" s="19">
        <v>0</v>
      </c>
      <c r="EU6" s="9">
        <f t="shared" si="53"/>
        <v>12.1</v>
      </c>
      <c r="EV6" s="9">
        <f t="shared" si="54"/>
        <v>38.909999999999997</v>
      </c>
      <c r="EW6" s="9">
        <f t="shared" si="55"/>
        <v>47.96</v>
      </c>
      <c r="EX6" s="9">
        <f t="shared" si="56"/>
        <v>86.87</v>
      </c>
      <c r="EY6" s="9">
        <f t="shared" si="57"/>
        <v>12.1</v>
      </c>
      <c r="EZ6" s="9">
        <f t="shared" si="58"/>
        <v>49.03</v>
      </c>
      <c r="FA6" s="9">
        <f t="shared" si="59"/>
        <v>135.9</v>
      </c>
      <c r="FB6" s="18">
        <v>15.5</v>
      </c>
      <c r="FC6" s="18">
        <v>9.1999999999999993</v>
      </c>
      <c r="FD6" s="18">
        <v>0</v>
      </c>
      <c r="FE6" s="18">
        <v>14.38</v>
      </c>
      <c r="FF6" s="18">
        <v>0</v>
      </c>
      <c r="FG6" s="18">
        <v>12.6</v>
      </c>
      <c r="FH6" s="18">
        <v>8.8000000000000007</v>
      </c>
      <c r="FI6" s="18">
        <v>11.4</v>
      </c>
      <c r="FJ6" s="18">
        <v>13.72</v>
      </c>
      <c r="FK6" s="18">
        <v>0</v>
      </c>
      <c r="FL6" s="18"/>
      <c r="FM6" s="18"/>
      <c r="FN6" s="18"/>
      <c r="FO6" s="18"/>
      <c r="FP6" s="18"/>
      <c r="FQ6" s="7">
        <f t="shared" si="60"/>
        <v>11.4</v>
      </c>
      <c r="FR6" s="7">
        <f t="shared" si="61"/>
        <v>39.08</v>
      </c>
      <c r="FS6" s="7">
        <f t="shared" si="62"/>
        <v>46.519999999999996</v>
      </c>
      <c r="FT6" s="7">
        <f t="shared" si="63"/>
        <v>85.6</v>
      </c>
      <c r="FU6" s="7" t="str">
        <f t="shared" si="64"/>
        <v/>
      </c>
      <c r="FV6" s="7" t="str">
        <f t="shared" si="65"/>
        <v/>
      </c>
      <c r="FW6" s="7">
        <f t="shared" si="66"/>
        <v>85.6</v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 t="shared" si="67"/>
        <v/>
      </c>
      <c r="GN6" s="9" t="str">
        <f t="shared" si="68"/>
        <v/>
      </c>
      <c r="GO6" s="9" t="str">
        <f t="shared" si="69"/>
        <v/>
      </c>
      <c r="GP6" s="9" t="str">
        <f t="shared" si="70"/>
        <v/>
      </c>
      <c r="GQ6" s="9" t="str">
        <f t="shared" si="71"/>
        <v/>
      </c>
      <c r="GR6" s="9" t="str">
        <f t="shared" si="72"/>
        <v/>
      </c>
      <c r="GS6" s="9" t="str">
        <f t="shared" si="73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 t="shared" si="74"/>
        <v/>
      </c>
      <c r="HJ6" s="7" t="str">
        <f t="shared" si="75"/>
        <v/>
      </c>
      <c r="HK6" s="7" t="str">
        <f t="shared" si="76"/>
        <v/>
      </c>
      <c r="HL6" s="7" t="str">
        <f t="shared" si="77"/>
        <v/>
      </c>
      <c r="HM6" s="7" t="str">
        <f t="shared" si="78"/>
        <v/>
      </c>
      <c r="HN6" s="7" t="str">
        <f t="shared" si="79"/>
        <v/>
      </c>
      <c r="HO6" s="7" t="str">
        <f t="shared" si="80"/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 t="shared" si="81"/>
        <v/>
      </c>
      <c r="IF6" s="9" t="str">
        <f t="shared" si="82"/>
        <v/>
      </c>
      <c r="IG6" s="9" t="str">
        <f t="shared" si="83"/>
        <v/>
      </c>
      <c r="IH6" s="9" t="str">
        <f t="shared" si="84"/>
        <v/>
      </c>
      <c r="II6" s="9" t="str">
        <f t="shared" si="85"/>
        <v/>
      </c>
      <c r="IJ6" s="9" t="str">
        <f t="shared" si="86"/>
        <v/>
      </c>
      <c r="IK6" s="9" t="str">
        <f t="shared" si="87"/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 t="shared" si="88"/>
        <v/>
      </c>
      <c r="JB6" s="7" t="str">
        <f t="shared" si="89"/>
        <v/>
      </c>
      <c r="JC6" s="7" t="str">
        <f t="shared" si="90"/>
        <v/>
      </c>
      <c r="JD6" s="7" t="str">
        <f t="shared" si="91"/>
        <v/>
      </c>
      <c r="JE6" s="7" t="str">
        <f t="shared" si="92"/>
        <v/>
      </c>
      <c r="JF6" s="7" t="str">
        <f t="shared" si="93"/>
        <v/>
      </c>
      <c r="JG6" s="7" t="str">
        <f t="shared" si="94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 t="shared" si="95"/>
        <v/>
      </c>
      <c r="JX6" s="9" t="str">
        <f t="shared" si="96"/>
        <v/>
      </c>
      <c r="JY6" s="9" t="str">
        <f t="shared" si="97"/>
        <v/>
      </c>
      <c r="JZ6" s="9" t="str">
        <f t="shared" si="98"/>
        <v/>
      </c>
      <c r="KA6" s="9" t="str">
        <f t="shared" si="99"/>
        <v/>
      </c>
      <c r="KB6" s="9" t="str">
        <f t="shared" si="100"/>
        <v/>
      </c>
      <c r="KC6" s="9" t="str">
        <f t="shared" si="101"/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 t="shared" si="102"/>
        <v/>
      </c>
      <c r="KT6" s="7" t="str">
        <f t="shared" si="103"/>
        <v/>
      </c>
      <c r="KU6" s="7" t="str">
        <f t="shared" si="104"/>
        <v/>
      </c>
      <c r="KV6" s="7" t="str">
        <f t="shared" si="105"/>
        <v/>
      </c>
      <c r="KW6" s="7" t="str">
        <f t="shared" si="106"/>
        <v/>
      </c>
      <c r="KX6" s="7" t="str">
        <f t="shared" si="107"/>
        <v/>
      </c>
      <c r="KY6" s="7" t="str">
        <f t="shared" si="108"/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 t="shared" si="109"/>
        <v/>
      </c>
      <c r="LP6" s="9" t="str">
        <f t="shared" si="110"/>
        <v/>
      </c>
      <c r="LQ6" s="9" t="str">
        <f t="shared" si="111"/>
        <v/>
      </c>
      <c r="LR6" s="9" t="str">
        <f t="shared" si="112"/>
        <v/>
      </c>
      <c r="LS6" s="9" t="str">
        <f t="shared" si="113"/>
        <v/>
      </c>
      <c r="LT6" s="9" t="str">
        <f t="shared" si="114"/>
        <v/>
      </c>
      <c r="LU6" s="9" t="str">
        <f t="shared" si="115"/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 t="shared" si="116"/>
        <v/>
      </c>
      <c r="ML6" s="7" t="str">
        <f t="shared" si="117"/>
        <v/>
      </c>
      <c r="MM6" s="7" t="str">
        <f t="shared" si="118"/>
        <v/>
      </c>
      <c r="MN6" s="7" t="str">
        <f t="shared" si="119"/>
        <v/>
      </c>
      <c r="MO6" s="7" t="str">
        <f t="shared" si="120"/>
        <v/>
      </c>
      <c r="MP6" s="7" t="str">
        <f t="shared" si="121"/>
        <v/>
      </c>
      <c r="MQ6" s="7" t="str">
        <f t="shared" si="122"/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 t="shared" si="123"/>
        <v/>
      </c>
      <c r="NH6" s="9" t="str">
        <f t="shared" si="124"/>
        <v/>
      </c>
      <c r="NI6" s="9" t="str">
        <f t="shared" si="125"/>
        <v/>
      </c>
      <c r="NJ6" s="9" t="str">
        <f t="shared" si="126"/>
        <v/>
      </c>
      <c r="NK6" s="9" t="str">
        <f t="shared" si="127"/>
        <v/>
      </c>
      <c r="NL6" s="9" t="str">
        <f t="shared" si="128"/>
        <v/>
      </c>
      <c r="NM6" s="9" t="str">
        <f t="shared" si="129"/>
        <v/>
      </c>
      <c r="NN6" s="27">
        <f t="shared" si="130"/>
        <v>16.899999999999999</v>
      </c>
      <c r="NO6" s="27">
        <f t="shared" si="130"/>
        <v>9.4</v>
      </c>
      <c r="NP6" s="27">
        <f t="shared" si="130"/>
        <v>0</v>
      </c>
      <c r="NQ6" s="27">
        <f t="shared" si="130"/>
        <v>14.11</v>
      </c>
      <c r="NR6" s="27">
        <f t="shared" si="130"/>
        <v>0</v>
      </c>
      <c r="NS6" s="27">
        <f t="shared" si="130"/>
        <v>11</v>
      </c>
      <c r="NT6" s="27">
        <f t="shared" si="130"/>
        <v>7.1</v>
      </c>
      <c r="NU6" s="27">
        <f t="shared" si="130"/>
        <v>9.5</v>
      </c>
      <c r="NV6" s="27">
        <f t="shared" si="130"/>
        <v>11.28</v>
      </c>
      <c r="NW6" s="27">
        <f t="shared" si="130"/>
        <v>0</v>
      </c>
      <c r="NX6" s="27">
        <f t="shared" si="131"/>
        <v>0</v>
      </c>
      <c r="NY6" s="27">
        <f t="shared" si="131"/>
        <v>0</v>
      </c>
      <c r="NZ6" s="27">
        <f t="shared" si="131"/>
        <v>0</v>
      </c>
      <c r="OA6" s="27">
        <f t="shared" si="131"/>
        <v>0</v>
      </c>
      <c r="OB6" s="27">
        <f t="shared" si="131"/>
        <v>0</v>
      </c>
      <c r="OC6" s="27">
        <f t="shared" si="131"/>
        <v>14.5</v>
      </c>
      <c r="OD6" s="27">
        <f t="shared" si="131"/>
        <v>8.85</v>
      </c>
      <c r="OE6" s="27">
        <f t="shared" si="131"/>
        <v>11.6</v>
      </c>
      <c r="OF6" s="27">
        <f t="shared" si="131"/>
        <v>14.05</v>
      </c>
      <c r="OG6" s="27">
        <f t="shared" si="131"/>
        <v>1</v>
      </c>
      <c r="OH6" s="32" t="s">
        <v>44</v>
      </c>
      <c r="OI6" s="7">
        <f t="shared" si="132"/>
        <v>40.409999999999997</v>
      </c>
      <c r="OJ6" s="7">
        <f t="shared" si="133"/>
        <v>9.5</v>
      </c>
      <c r="OK6" s="7">
        <f t="shared" si="134"/>
        <v>38.880000000000003</v>
      </c>
      <c r="OL6" s="7" t="str">
        <f t="shared" si="135"/>
        <v/>
      </c>
      <c r="OM6" s="7" t="str">
        <f t="shared" si="136"/>
        <v/>
      </c>
      <c r="ON6" s="7">
        <f t="shared" si="137"/>
        <v>79.289999999999992</v>
      </c>
      <c r="OO6" s="7">
        <f t="shared" si="138"/>
        <v>11.6</v>
      </c>
      <c r="OP6" s="7">
        <f t="shared" ref="OP6" si="143">IF(SUM(OC6:OF6)-OG6&gt;0,SUM(OC6:OF6)-OG6,"")</f>
        <v>48</v>
      </c>
      <c r="OQ6" s="7">
        <f t="shared" ref="OQ6" si="144">IF(SUM(ON6,OP6)&gt;0,SUM(ON6,OP6),"")</f>
        <v>127.28999999999999</v>
      </c>
    </row>
    <row r="7" spans="1:407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89</v>
      </c>
      <c r="C7" s="4" t="s">
        <v>68</v>
      </c>
      <c r="D7" s="4">
        <v>2009</v>
      </c>
      <c r="E7" s="10">
        <f t="shared" si="0"/>
        <v>221.38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87.4</v>
      </c>
      <c r="J7" s="9" t="str">
        <f t="shared" si="5"/>
        <v>2023 3rd Domestic Trial</v>
      </c>
      <c r="K7" s="9">
        <f t="shared" si="6"/>
        <v>40.17</v>
      </c>
      <c r="L7" s="9" t="str">
        <f t="shared" si="7"/>
        <v>2023 Elite Canada</v>
      </c>
      <c r="M7" s="9">
        <f t="shared" si="8"/>
        <v>47.46</v>
      </c>
      <c r="N7" s="9" t="str">
        <f t="shared" si="9"/>
        <v>2023 Nationals</v>
      </c>
      <c r="O7" s="9">
        <f t="shared" si="10"/>
        <v>46.35</v>
      </c>
      <c r="P7" s="9" t="str">
        <f t="shared" si="11"/>
        <v>2023 3rd Domestic Trial</v>
      </c>
      <c r="Q7" s="9" t="str">
        <f t="shared" si="12"/>
        <v/>
      </c>
      <c r="R7" s="14" t="str">
        <f t="shared" si="13"/>
        <v/>
      </c>
      <c r="S7" s="9" t="str">
        <f t="shared" si="14"/>
        <v/>
      </c>
      <c r="T7" s="27">
        <v>16</v>
      </c>
      <c r="U7" s="27">
        <v>9.9</v>
      </c>
      <c r="V7" s="27">
        <v>0</v>
      </c>
      <c r="W7" s="27">
        <v>14.27</v>
      </c>
      <c r="X7" s="27">
        <v>0</v>
      </c>
      <c r="Y7" s="27">
        <v>1.6</v>
      </c>
      <c r="Z7" s="27">
        <v>1</v>
      </c>
      <c r="AA7" s="27">
        <v>1.5</v>
      </c>
      <c r="AB7" s="27">
        <v>1.48</v>
      </c>
      <c r="AC7" s="27">
        <v>0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>
        <f t="shared" si="15"/>
        <v>40.17</v>
      </c>
      <c r="AP7" s="7">
        <f t="shared" si="16"/>
        <v>1.5</v>
      </c>
      <c r="AQ7" s="7">
        <f t="shared" si="17"/>
        <v>5.58</v>
      </c>
      <c r="AR7" s="7" t="str">
        <f t="shared" si="18"/>
        <v/>
      </c>
      <c r="AS7" s="7" t="str">
        <f t="shared" si="19"/>
        <v/>
      </c>
      <c r="AT7" s="7">
        <f t="shared" si="20"/>
        <v>45.75</v>
      </c>
      <c r="AU7" s="7" t="str">
        <f t="shared" si="21"/>
        <v/>
      </c>
      <c r="AV7" s="7" t="str">
        <f t="shared" si="22"/>
        <v/>
      </c>
      <c r="AW7" s="7">
        <f t="shared" si="23"/>
        <v>45.75</v>
      </c>
      <c r="AX7" s="31">
        <v>15.9</v>
      </c>
      <c r="AY7" s="31">
        <v>9.4</v>
      </c>
      <c r="AZ7" s="31">
        <v>0</v>
      </c>
      <c r="BA7" s="31">
        <v>14.28</v>
      </c>
      <c r="BB7" s="31">
        <v>0</v>
      </c>
      <c r="BC7" s="31">
        <v>13.6</v>
      </c>
      <c r="BD7" s="31">
        <v>9.3000000000000007</v>
      </c>
      <c r="BE7" s="31">
        <v>11</v>
      </c>
      <c r="BF7" s="31">
        <v>13.56</v>
      </c>
      <c r="BG7" s="31">
        <v>0</v>
      </c>
      <c r="BH7" s="31"/>
      <c r="BI7" s="31"/>
      <c r="BJ7" s="31"/>
      <c r="BK7" s="31"/>
      <c r="BL7" s="31"/>
      <c r="BM7" s="31">
        <v>13.1</v>
      </c>
      <c r="BN7" s="31">
        <v>9.3000000000000007</v>
      </c>
      <c r="BO7" s="31">
        <v>10.9</v>
      </c>
      <c r="BP7" s="31">
        <v>12.93</v>
      </c>
      <c r="BQ7" s="31">
        <v>0</v>
      </c>
      <c r="BR7" s="33"/>
      <c r="BS7" s="9">
        <f t="shared" si="24"/>
        <v>39.58</v>
      </c>
      <c r="BT7" s="9">
        <f t="shared" si="25"/>
        <v>11</v>
      </c>
      <c r="BU7" s="9">
        <f t="shared" si="26"/>
        <v>47.46</v>
      </c>
      <c r="BV7" s="9" t="str">
        <f t="shared" si="27"/>
        <v/>
      </c>
      <c r="BW7" s="9" t="str">
        <f t="shared" si="28"/>
        <v/>
      </c>
      <c r="BX7" s="9">
        <f t="shared" si="29"/>
        <v>87.039999999999992</v>
      </c>
      <c r="BY7" s="9">
        <f t="shared" si="30"/>
        <v>10.9</v>
      </c>
      <c r="BZ7" s="9">
        <f t="shared" si="31"/>
        <v>46.23</v>
      </c>
      <c r="CA7" s="9">
        <f t="shared" si="32"/>
        <v>133.26999999999998</v>
      </c>
      <c r="CB7" s="27">
        <v>16.5</v>
      </c>
      <c r="CC7" s="27">
        <v>9.5</v>
      </c>
      <c r="CD7" s="27">
        <v>0</v>
      </c>
      <c r="CE7" s="27">
        <v>14.1</v>
      </c>
      <c r="CF7" s="27">
        <v>0</v>
      </c>
      <c r="CG7" s="27">
        <v>13.5</v>
      </c>
      <c r="CH7" s="27">
        <v>9.1</v>
      </c>
      <c r="CI7" s="27">
        <v>10.999999999999998</v>
      </c>
      <c r="CJ7" s="27">
        <v>13.7</v>
      </c>
      <c r="CK7" s="27">
        <v>0</v>
      </c>
      <c r="CL7" s="27"/>
      <c r="CM7" s="27"/>
      <c r="CN7" s="27"/>
      <c r="CO7" s="27"/>
      <c r="CP7" s="27"/>
      <c r="CQ7" s="27">
        <v>12.8</v>
      </c>
      <c r="CR7" s="27">
        <v>9.3000000000000007</v>
      </c>
      <c r="CS7" s="27">
        <v>10.999999999999998</v>
      </c>
      <c r="CT7" s="27">
        <v>13.25</v>
      </c>
      <c r="CU7" s="27">
        <v>0</v>
      </c>
      <c r="CV7" s="32"/>
      <c r="CW7" s="7">
        <f t="shared" si="33"/>
        <v>40.1</v>
      </c>
      <c r="CX7" s="7">
        <f t="shared" si="34"/>
        <v>10.999999999999998</v>
      </c>
      <c r="CY7" s="7">
        <f t="shared" si="35"/>
        <v>47.3</v>
      </c>
      <c r="CZ7" s="7" t="str">
        <f t="shared" si="36"/>
        <v/>
      </c>
      <c r="DA7" s="7" t="str">
        <f t="shared" si="37"/>
        <v/>
      </c>
      <c r="DB7" s="7">
        <f t="shared" si="38"/>
        <v>87.4</v>
      </c>
      <c r="DC7" s="7">
        <f t="shared" si="39"/>
        <v>10.999999999999998</v>
      </c>
      <c r="DD7" s="7">
        <f t="shared" si="40"/>
        <v>46.35</v>
      </c>
      <c r="DE7" s="7">
        <f t="shared" si="41"/>
        <v>133.75</v>
      </c>
      <c r="DF7" s="13" t="str">
        <f t="shared" si="42"/>
        <v/>
      </c>
      <c r="DG7" s="13" t="str">
        <f t="shared" si="43"/>
        <v/>
      </c>
      <c r="DH7" s="13" t="str">
        <f t="shared" si="44"/>
        <v/>
      </c>
      <c r="DI7" s="13" t="str">
        <f t="shared" si="45"/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 t="shared" si="46"/>
        <v/>
      </c>
      <c r="DZ7" s="7" t="str">
        <f t="shared" si="47"/>
        <v/>
      </c>
      <c r="EA7" s="7" t="str">
        <f t="shared" si="48"/>
        <v/>
      </c>
      <c r="EB7" s="7" t="str">
        <f t="shared" si="49"/>
        <v/>
      </c>
      <c r="EC7" s="7" t="str">
        <f t="shared" si="50"/>
        <v/>
      </c>
      <c r="ED7" s="7" t="str">
        <f t="shared" si="51"/>
        <v/>
      </c>
      <c r="EE7" s="7" t="str">
        <f t="shared" si="52"/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 t="shared" si="53"/>
        <v/>
      </c>
      <c r="EV7" s="9" t="str">
        <f t="shared" si="54"/>
        <v/>
      </c>
      <c r="EW7" s="9" t="str">
        <f t="shared" si="55"/>
        <v/>
      </c>
      <c r="EX7" s="9" t="str">
        <f t="shared" si="56"/>
        <v/>
      </c>
      <c r="EY7" s="9" t="str">
        <f t="shared" si="57"/>
        <v/>
      </c>
      <c r="EZ7" s="9" t="str">
        <f t="shared" si="58"/>
        <v/>
      </c>
      <c r="FA7" s="9" t="str">
        <f t="shared" si="59"/>
        <v/>
      </c>
      <c r="FB7" s="18">
        <v>14.7</v>
      </c>
      <c r="FC7" s="18">
        <v>9.5</v>
      </c>
      <c r="FD7" s="18">
        <v>0</v>
      </c>
      <c r="FE7" s="18">
        <v>14.59</v>
      </c>
      <c r="FF7" s="18">
        <v>0</v>
      </c>
      <c r="FG7" s="18">
        <v>12.8</v>
      </c>
      <c r="FH7" s="18">
        <v>9.3000000000000007</v>
      </c>
      <c r="FI7" s="18">
        <v>9.6999999999999993</v>
      </c>
      <c r="FJ7" s="18">
        <v>13.72</v>
      </c>
      <c r="FK7" s="18">
        <v>0</v>
      </c>
      <c r="FL7" s="18"/>
      <c r="FM7" s="18"/>
      <c r="FN7" s="18"/>
      <c r="FO7" s="18"/>
      <c r="FP7" s="18"/>
      <c r="FQ7" s="7">
        <f t="shared" si="60"/>
        <v>9.6999999999999993</v>
      </c>
      <c r="FR7" s="7">
        <f t="shared" si="61"/>
        <v>38.79</v>
      </c>
      <c r="FS7" s="7">
        <f t="shared" si="62"/>
        <v>45.52</v>
      </c>
      <c r="FT7" s="7">
        <f t="shared" si="63"/>
        <v>84.31</v>
      </c>
      <c r="FU7" s="7" t="str">
        <f t="shared" si="64"/>
        <v/>
      </c>
      <c r="FV7" s="7" t="str">
        <f t="shared" si="65"/>
        <v/>
      </c>
      <c r="FW7" s="7">
        <f t="shared" si="66"/>
        <v>84.31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 t="shared" si="67"/>
        <v/>
      </c>
      <c r="GN7" s="9" t="str">
        <f t="shared" si="68"/>
        <v/>
      </c>
      <c r="GO7" s="9" t="str">
        <f t="shared" si="69"/>
        <v/>
      </c>
      <c r="GP7" s="9" t="str">
        <f t="shared" si="70"/>
        <v/>
      </c>
      <c r="GQ7" s="9" t="str">
        <f t="shared" si="71"/>
        <v/>
      </c>
      <c r="GR7" s="9" t="str">
        <f t="shared" si="72"/>
        <v/>
      </c>
      <c r="GS7" s="9" t="str">
        <f t="shared" si="73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 t="shared" si="74"/>
        <v/>
      </c>
      <c r="HJ7" s="7" t="str">
        <f t="shared" si="75"/>
        <v/>
      </c>
      <c r="HK7" s="7" t="str">
        <f t="shared" si="76"/>
        <v/>
      </c>
      <c r="HL7" s="7" t="str">
        <f t="shared" si="77"/>
        <v/>
      </c>
      <c r="HM7" s="7" t="str">
        <f t="shared" si="78"/>
        <v/>
      </c>
      <c r="HN7" s="7" t="str">
        <f t="shared" si="79"/>
        <v/>
      </c>
      <c r="HO7" s="7" t="str">
        <f t="shared" si="80"/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 t="shared" si="81"/>
        <v/>
      </c>
      <c r="IF7" s="9" t="str">
        <f t="shared" si="82"/>
        <v/>
      </c>
      <c r="IG7" s="9" t="str">
        <f t="shared" si="83"/>
        <v/>
      </c>
      <c r="IH7" s="9" t="str">
        <f t="shared" si="84"/>
        <v/>
      </c>
      <c r="II7" s="9" t="str">
        <f t="shared" si="85"/>
        <v/>
      </c>
      <c r="IJ7" s="9" t="str">
        <f t="shared" si="86"/>
        <v/>
      </c>
      <c r="IK7" s="9" t="str">
        <f t="shared" si="87"/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 t="shared" si="88"/>
        <v/>
      </c>
      <c r="JB7" s="7" t="str">
        <f t="shared" si="89"/>
        <v/>
      </c>
      <c r="JC7" s="7" t="str">
        <f t="shared" si="90"/>
        <v/>
      </c>
      <c r="JD7" s="7" t="str">
        <f t="shared" si="91"/>
        <v/>
      </c>
      <c r="JE7" s="7" t="str">
        <f t="shared" si="92"/>
        <v/>
      </c>
      <c r="JF7" s="7" t="str">
        <f t="shared" si="93"/>
        <v/>
      </c>
      <c r="JG7" s="7" t="str">
        <f t="shared" si="94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 t="shared" si="95"/>
        <v/>
      </c>
      <c r="JX7" s="9" t="str">
        <f t="shared" si="96"/>
        <v/>
      </c>
      <c r="JY7" s="9" t="str">
        <f t="shared" si="97"/>
        <v/>
      </c>
      <c r="JZ7" s="9" t="str">
        <f t="shared" si="98"/>
        <v/>
      </c>
      <c r="KA7" s="9" t="str">
        <f t="shared" si="99"/>
        <v/>
      </c>
      <c r="KB7" s="9" t="str">
        <f t="shared" si="100"/>
        <v/>
      </c>
      <c r="KC7" s="9" t="str">
        <f t="shared" si="101"/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 t="shared" si="102"/>
        <v/>
      </c>
      <c r="KT7" s="7" t="str">
        <f t="shared" si="103"/>
        <v/>
      </c>
      <c r="KU7" s="7" t="str">
        <f t="shared" si="104"/>
        <v/>
      </c>
      <c r="KV7" s="7" t="str">
        <f t="shared" si="105"/>
        <v/>
      </c>
      <c r="KW7" s="7" t="str">
        <f t="shared" si="106"/>
        <v/>
      </c>
      <c r="KX7" s="7" t="str">
        <f t="shared" si="107"/>
        <v/>
      </c>
      <c r="KY7" s="7" t="str">
        <f t="shared" si="108"/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 t="shared" si="109"/>
        <v/>
      </c>
      <c r="LP7" s="9" t="str">
        <f t="shared" si="110"/>
        <v/>
      </c>
      <c r="LQ7" s="9" t="str">
        <f t="shared" si="111"/>
        <v/>
      </c>
      <c r="LR7" s="9" t="str">
        <f t="shared" si="112"/>
        <v/>
      </c>
      <c r="LS7" s="9" t="str">
        <f t="shared" si="113"/>
        <v/>
      </c>
      <c r="LT7" s="9" t="str">
        <f t="shared" si="114"/>
        <v/>
      </c>
      <c r="LU7" s="9" t="str">
        <f t="shared" si="115"/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 t="shared" si="116"/>
        <v/>
      </c>
      <c r="ML7" s="7" t="str">
        <f t="shared" si="117"/>
        <v/>
      </c>
      <c r="MM7" s="7" t="str">
        <f t="shared" si="118"/>
        <v/>
      </c>
      <c r="MN7" s="7" t="str">
        <f t="shared" si="119"/>
        <v/>
      </c>
      <c r="MO7" s="7" t="str">
        <f t="shared" si="120"/>
        <v/>
      </c>
      <c r="MP7" s="7" t="str">
        <f t="shared" si="121"/>
        <v/>
      </c>
      <c r="MQ7" s="7" t="str">
        <f t="shared" si="122"/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 t="shared" si="123"/>
        <v/>
      </c>
      <c r="NH7" s="9" t="str">
        <f t="shared" si="124"/>
        <v/>
      </c>
      <c r="NI7" s="9" t="str">
        <f t="shared" si="125"/>
        <v/>
      </c>
      <c r="NJ7" s="9" t="str">
        <f t="shared" si="126"/>
        <v/>
      </c>
      <c r="NK7" s="9" t="str">
        <f t="shared" si="127"/>
        <v/>
      </c>
      <c r="NL7" s="9" t="str">
        <f t="shared" si="128"/>
        <v/>
      </c>
      <c r="NM7" s="9" t="str">
        <f t="shared" si="129"/>
        <v/>
      </c>
      <c r="NN7" s="27">
        <f t="shared" si="130"/>
        <v>16.2</v>
      </c>
      <c r="NO7" s="27">
        <f t="shared" si="130"/>
        <v>9.4499999999999993</v>
      </c>
      <c r="NP7" s="27">
        <f t="shared" si="130"/>
        <v>0</v>
      </c>
      <c r="NQ7" s="27">
        <f t="shared" si="130"/>
        <v>14.19</v>
      </c>
      <c r="NR7" s="27">
        <f t="shared" si="130"/>
        <v>0</v>
      </c>
      <c r="NS7" s="27">
        <f t="shared" si="130"/>
        <v>13.55</v>
      </c>
      <c r="NT7" s="27">
        <f t="shared" si="130"/>
        <v>9.1999999999999993</v>
      </c>
      <c r="NU7" s="27">
        <f t="shared" si="130"/>
        <v>11</v>
      </c>
      <c r="NV7" s="27">
        <f t="shared" si="130"/>
        <v>13.629999999999999</v>
      </c>
      <c r="NW7" s="27">
        <f t="shared" si="130"/>
        <v>0</v>
      </c>
      <c r="NX7" s="27">
        <f t="shared" si="131"/>
        <v>0</v>
      </c>
      <c r="NY7" s="27">
        <f t="shared" si="131"/>
        <v>0</v>
      </c>
      <c r="NZ7" s="27">
        <f t="shared" si="131"/>
        <v>0</v>
      </c>
      <c r="OA7" s="27">
        <f t="shared" si="131"/>
        <v>0</v>
      </c>
      <c r="OB7" s="27">
        <f t="shared" si="131"/>
        <v>0</v>
      </c>
      <c r="OC7" s="27">
        <f t="shared" si="131"/>
        <v>12.95</v>
      </c>
      <c r="OD7" s="27">
        <f t="shared" si="131"/>
        <v>9.3000000000000007</v>
      </c>
      <c r="OE7" s="27">
        <f t="shared" si="131"/>
        <v>10.95</v>
      </c>
      <c r="OF7" s="27">
        <f t="shared" si="131"/>
        <v>13.09</v>
      </c>
      <c r="OG7" s="27">
        <f t="shared" si="131"/>
        <v>0</v>
      </c>
      <c r="OH7" s="32" t="s">
        <v>44</v>
      </c>
      <c r="OI7" s="7">
        <f t="shared" si="132"/>
        <v>39.839999999999996</v>
      </c>
      <c r="OJ7" s="7">
        <f t="shared" si="133"/>
        <v>11</v>
      </c>
      <c r="OK7" s="7">
        <f t="shared" si="134"/>
        <v>47.379999999999995</v>
      </c>
      <c r="OL7" s="7" t="str">
        <f t="shared" si="135"/>
        <v/>
      </c>
      <c r="OM7" s="7" t="str">
        <f t="shared" si="136"/>
        <v/>
      </c>
      <c r="ON7" s="7">
        <f t="shared" si="137"/>
        <v>87.22</v>
      </c>
      <c r="OO7" s="7">
        <f t="shared" si="138"/>
        <v>10.95</v>
      </c>
      <c r="OP7" s="7">
        <f t="shared" ref="OP7" si="145">IF(SUM(OC7:OF7)-OG7&gt;0,SUM(OC7:OF7)-OG7,"")</f>
        <v>46.290000000000006</v>
      </c>
      <c r="OQ7" s="7">
        <f t="shared" ref="OQ7" si="146">IF(SUM(ON7,OP7)&gt;0,SUM(ON7,OP7),"")</f>
        <v>133.51</v>
      </c>
    </row>
    <row r="8" spans="1:407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90</v>
      </c>
      <c r="C8" s="4" t="s">
        <v>66</v>
      </c>
      <c r="D8" s="4">
        <v>2008</v>
      </c>
      <c r="E8" s="10">
        <f t="shared" si="0"/>
        <v>205.64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80.010000000000005</v>
      </c>
      <c r="J8" s="9" t="str">
        <f t="shared" si="5"/>
        <v>2023 Nationals</v>
      </c>
      <c r="K8" s="9">
        <f t="shared" si="6"/>
        <v>38.69</v>
      </c>
      <c r="L8" s="9" t="str">
        <f t="shared" si="7"/>
        <v>2023 Elite Canada</v>
      </c>
      <c r="M8" s="9">
        <f t="shared" si="8"/>
        <v>18.71</v>
      </c>
      <c r="N8" s="9" t="str">
        <f t="shared" si="9"/>
        <v>2023 3rd Domestic Trial</v>
      </c>
      <c r="O8" s="9">
        <f t="shared" si="10"/>
        <v>45.879999999999995</v>
      </c>
      <c r="P8" s="9" t="str">
        <f t="shared" si="11"/>
        <v>2023 3rd Domestic Trial</v>
      </c>
      <c r="Q8" s="9">
        <f t="shared" si="12"/>
        <v>22.35</v>
      </c>
      <c r="R8" s="14" t="str">
        <f t="shared" si="13"/>
        <v>(Vol 2)</v>
      </c>
      <c r="S8" s="9" t="str">
        <f t="shared" si="14"/>
        <v>2023 WAGC (Nov 16)</v>
      </c>
      <c r="T8" s="27">
        <v>16.2</v>
      </c>
      <c r="U8" s="27">
        <v>9.6</v>
      </c>
      <c r="V8" s="27">
        <v>0</v>
      </c>
      <c r="W8" s="27">
        <v>12.89</v>
      </c>
      <c r="X8" s="27">
        <v>0</v>
      </c>
      <c r="Y8" s="27">
        <v>2.6</v>
      </c>
      <c r="Z8" s="27">
        <v>1.8</v>
      </c>
      <c r="AA8" s="27">
        <v>1.9</v>
      </c>
      <c r="AB8" s="27">
        <v>2.54</v>
      </c>
      <c r="AC8" s="27">
        <v>0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>
        <f t="shared" si="15"/>
        <v>38.69</v>
      </c>
      <c r="AP8" s="7">
        <f t="shared" si="16"/>
        <v>1.9</v>
      </c>
      <c r="AQ8" s="7">
        <f t="shared" si="17"/>
        <v>8.84</v>
      </c>
      <c r="AR8" s="7" t="str">
        <f t="shared" si="18"/>
        <v/>
      </c>
      <c r="AS8" s="7" t="str">
        <f t="shared" si="19"/>
        <v/>
      </c>
      <c r="AT8" s="7">
        <f t="shared" si="20"/>
        <v>47.53</v>
      </c>
      <c r="AU8" s="7" t="str">
        <f t="shared" si="21"/>
        <v/>
      </c>
      <c r="AV8" s="7" t="str">
        <f t="shared" si="22"/>
        <v/>
      </c>
      <c r="AW8" s="7">
        <f t="shared" si="23"/>
        <v>47.53</v>
      </c>
      <c r="AX8" s="31">
        <v>15.1</v>
      </c>
      <c r="AY8" s="31">
        <v>9.5</v>
      </c>
      <c r="AZ8" s="31">
        <v>0</v>
      </c>
      <c r="BA8" s="31">
        <v>12.85</v>
      </c>
      <c r="BB8" s="31">
        <v>0</v>
      </c>
      <c r="BC8" s="31">
        <v>11</v>
      </c>
      <c r="BD8" s="31">
        <v>9.1</v>
      </c>
      <c r="BE8" s="31">
        <v>9.8000000000000007</v>
      </c>
      <c r="BF8" s="31">
        <v>12.66</v>
      </c>
      <c r="BG8" s="31">
        <v>0</v>
      </c>
      <c r="BH8" s="31"/>
      <c r="BI8" s="31"/>
      <c r="BJ8" s="31"/>
      <c r="BK8" s="31"/>
      <c r="BL8" s="31"/>
      <c r="BM8" s="31">
        <v>6.9</v>
      </c>
      <c r="BN8" s="31">
        <v>4.5999999999999996</v>
      </c>
      <c r="BO8" s="31">
        <v>5.4</v>
      </c>
      <c r="BP8" s="31">
        <v>6.48</v>
      </c>
      <c r="BQ8" s="31">
        <v>0</v>
      </c>
      <c r="BR8" s="33"/>
      <c r="BS8" s="9">
        <f t="shared" si="24"/>
        <v>37.450000000000003</v>
      </c>
      <c r="BT8" s="9">
        <f t="shared" si="25"/>
        <v>9.8000000000000007</v>
      </c>
      <c r="BU8" s="9">
        <f t="shared" si="26"/>
        <v>42.56</v>
      </c>
      <c r="BV8" s="9" t="str">
        <f t="shared" si="27"/>
        <v/>
      </c>
      <c r="BW8" s="9" t="str">
        <f t="shared" si="28"/>
        <v/>
      </c>
      <c r="BX8" s="9">
        <f t="shared" si="29"/>
        <v>80.010000000000005</v>
      </c>
      <c r="BY8" s="9">
        <f t="shared" si="30"/>
        <v>5.4</v>
      </c>
      <c r="BZ8" s="9">
        <f t="shared" si="31"/>
        <v>23.38</v>
      </c>
      <c r="CA8" s="9">
        <f t="shared" si="32"/>
        <v>103.39</v>
      </c>
      <c r="CB8" s="27">
        <v>15.5</v>
      </c>
      <c r="CC8" s="27">
        <v>9.3000000000000007</v>
      </c>
      <c r="CD8" s="27">
        <v>0</v>
      </c>
      <c r="CE8" s="27">
        <v>13.67</v>
      </c>
      <c r="CF8" s="27">
        <v>0</v>
      </c>
      <c r="CG8" s="27">
        <v>5.4</v>
      </c>
      <c r="CH8" s="27">
        <v>3.5</v>
      </c>
      <c r="CI8" s="27">
        <v>4.3</v>
      </c>
      <c r="CJ8" s="27">
        <v>5.51</v>
      </c>
      <c r="CK8" s="27">
        <v>0</v>
      </c>
      <c r="CL8" s="27"/>
      <c r="CM8" s="27"/>
      <c r="CN8" s="27"/>
      <c r="CO8" s="27"/>
      <c r="CP8" s="27"/>
      <c r="CQ8" s="27">
        <v>14.1</v>
      </c>
      <c r="CR8" s="27">
        <v>8.6999999999999993</v>
      </c>
      <c r="CS8" s="27">
        <v>9.8000000000000007</v>
      </c>
      <c r="CT8" s="27">
        <v>13.28</v>
      </c>
      <c r="CU8" s="27">
        <v>0</v>
      </c>
      <c r="CV8" s="32"/>
      <c r="CW8" s="7">
        <f t="shared" si="33"/>
        <v>38.47</v>
      </c>
      <c r="CX8" s="7">
        <f t="shared" si="34"/>
        <v>4.3</v>
      </c>
      <c r="CY8" s="7">
        <f t="shared" si="35"/>
        <v>18.71</v>
      </c>
      <c r="CZ8" s="7" t="str">
        <f t="shared" si="36"/>
        <v/>
      </c>
      <c r="DA8" s="7" t="str">
        <f t="shared" si="37"/>
        <v/>
      </c>
      <c r="DB8" s="7">
        <f t="shared" si="38"/>
        <v>57.18</v>
      </c>
      <c r="DC8" s="7">
        <f t="shared" si="39"/>
        <v>9.8000000000000007</v>
      </c>
      <c r="DD8" s="7">
        <f t="shared" si="40"/>
        <v>45.879999999999995</v>
      </c>
      <c r="DE8" s="7">
        <f t="shared" si="41"/>
        <v>103.06</v>
      </c>
      <c r="DF8" s="13" t="str">
        <f t="shared" si="42"/>
        <v/>
      </c>
      <c r="DG8" s="13">
        <f t="shared" si="43"/>
        <v>22.35</v>
      </c>
      <c r="DH8" s="13" t="str">
        <f t="shared" si="44"/>
        <v/>
      </c>
      <c r="DI8" s="13" t="str">
        <f t="shared" si="45"/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 t="shared" si="46"/>
        <v/>
      </c>
      <c r="DZ8" s="7" t="str">
        <f t="shared" si="47"/>
        <v/>
      </c>
      <c r="EA8" s="7" t="str">
        <f t="shared" si="48"/>
        <v/>
      </c>
      <c r="EB8" s="7" t="str">
        <f t="shared" si="49"/>
        <v/>
      </c>
      <c r="EC8" s="7" t="str">
        <f t="shared" si="50"/>
        <v/>
      </c>
      <c r="ED8" s="7" t="str">
        <f t="shared" si="51"/>
        <v/>
      </c>
      <c r="EE8" s="7" t="str">
        <f t="shared" si="52"/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 t="shared" si="53"/>
        <v/>
      </c>
      <c r="EV8" s="9" t="str">
        <f t="shared" si="54"/>
        <v/>
      </c>
      <c r="EW8" s="9" t="str">
        <f t="shared" si="55"/>
        <v/>
      </c>
      <c r="EX8" s="9" t="str">
        <f t="shared" si="56"/>
        <v/>
      </c>
      <c r="EY8" s="9" t="str">
        <f t="shared" si="57"/>
        <v/>
      </c>
      <c r="EZ8" s="9" t="str">
        <f t="shared" si="58"/>
        <v/>
      </c>
      <c r="FA8" s="9" t="str">
        <f t="shared" si="59"/>
        <v/>
      </c>
      <c r="FB8" s="18">
        <v>15</v>
      </c>
      <c r="FC8" s="18">
        <v>9.6</v>
      </c>
      <c r="FD8" s="18">
        <v>0</v>
      </c>
      <c r="FE8" s="18">
        <v>13.61</v>
      </c>
      <c r="FF8" s="18">
        <v>0</v>
      </c>
      <c r="FG8" s="18">
        <v>12.3</v>
      </c>
      <c r="FH8" s="18">
        <v>8.4</v>
      </c>
      <c r="FI8" s="18">
        <v>8.4</v>
      </c>
      <c r="FJ8" s="18">
        <v>11.96</v>
      </c>
      <c r="FK8" s="18">
        <v>0</v>
      </c>
      <c r="FL8" s="18"/>
      <c r="FM8" s="18"/>
      <c r="FN8" s="18"/>
      <c r="FO8" s="18"/>
      <c r="FP8" s="18"/>
      <c r="FQ8" s="7">
        <f t="shared" si="60"/>
        <v>8.4</v>
      </c>
      <c r="FR8" s="7">
        <f t="shared" si="61"/>
        <v>38.21</v>
      </c>
      <c r="FS8" s="7">
        <f t="shared" si="62"/>
        <v>41.06</v>
      </c>
      <c r="FT8" s="7">
        <f t="shared" si="63"/>
        <v>79.27000000000001</v>
      </c>
      <c r="FU8" s="7" t="str">
        <f t="shared" si="64"/>
        <v/>
      </c>
      <c r="FV8" s="7" t="str">
        <f t="shared" si="65"/>
        <v/>
      </c>
      <c r="FW8" s="7">
        <f t="shared" si="66"/>
        <v>79.27000000000001</v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 t="shared" si="67"/>
        <v/>
      </c>
      <c r="GN8" s="9" t="str">
        <f t="shared" si="68"/>
        <v/>
      </c>
      <c r="GO8" s="9" t="str">
        <f t="shared" si="69"/>
        <v/>
      </c>
      <c r="GP8" s="9" t="str">
        <f t="shared" si="70"/>
        <v/>
      </c>
      <c r="GQ8" s="9" t="str">
        <f t="shared" si="71"/>
        <v/>
      </c>
      <c r="GR8" s="9" t="str">
        <f t="shared" si="72"/>
        <v/>
      </c>
      <c r="GS8" s="9" t="str">
        <f t="shared" si="73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 t="shared" si="74"/>
        <v/>
      </c>
      <c r="HJ8" s="7" t="str">
        <f t="shared" si="75"/>
        <v/>
      </c>
      <c r="HK8" s="7" t="str">
        <f t="shared" si="76"/>
        <v/>
      </c>
      <c r="HL8" s="7" t="str">
        <f t="shared" si="77"/>
        <v/>
      </c>
      <c r="HM8" s="7" t="str">
        <f t="shared" si="78"/>
        <v/>
      </c>
      <c r="HN8" s="7" t="str">
        <f t="shared" si="79"/>
        <v/>
      </c>
      <c r="HO8" s="7" t="str">
        <f t="shared" si="80"/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 t="shared" si="81"/>
        <v/>
      </c>
      <c r="IF8" s="9" t="str">
        <f t="shared" si="82"/>
        <v/>
      </c>
      <c r="IG8" s="9" t="str">
        <f t="shared" si="83"/>
        <v/>
      </c>
      <c r="IH8" s="9" t="str">
        <f t="shared" si="84"/>
        <v/>
      </c>
      <c r="II8" s="9" t="str">
        <f t="shared" si="85"/>
        <v/>
      </c>
      <c r="IJ8" s="9" t="str">
        <f t="shared" si="86"/>
        <v/>
      </c>
      <c r="IK8" s="9" t="str">
        <f t="shared" si="87"/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 t="shared" si="88"/>
        <v/>
      </c>
      <c r="JB8" s="7" t="str">
        <f t="shared" si="89"/>
        <v/>
      </c>
      <c r="JC8" s="7" t="str">
        <f t="shared" si="90"/>
        <v/>
      </c>
      <c r="JD8" s="7" t="str">
        <f t="shared" si="91"/>
        <v/>
      </c>
      <c r="JE8" s="7" t="str">
        <f t="shared" si="92"/>
        <v/>
      </c>
      <c r="JF8" s="7" t="str">
        <f t="shared" si="93"/>
        <v/>
      </c>
      <c r="JG8" s="7" t="str">
        <f t="shared" si="94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 t="shared" si="95"/>
        <v/>
      </c>
      <c r="JX8" s="9" t="str">
        <f t="shared" si="96"/>
        <v/>
      </c>
      <c r="JY8" s="9" t="str">
        <f t="shared" si="97"/>
        <v/>
      </c>
      <c r="JZ8" s="9" t="str">
        <f t="shared" si="98"/>
        <v/>
      </c>
      <c r="KA8" s="9" t="str">
        <f t="shared" si="99"/>
        <v/>
      </c>
      <c r="KB8" s="9" t="str">
        <f t="shared" si="100"/>
        <v/>
      </c>
      <c r="KC8" s="9" t="str">
        <f t="shared" si="101"/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 t="shared" si="102"/>
        <v/>
      </c>
      <c r="KT8" s="7" t="str">
        <f t="shared" si="103"/>
        <v/>
      </c>
      <c r="KU8" s="7" t="str">
        <f t="shared" si="104"/>
        <v/>
      </c>
      <c r="KV8" s="7" t="str">
        <f t="shared" si="105"/>
        <v/>
      </c>
      <c r="KW8" s="7" t="str">
        <f t="shared" si="106"/>
        <v/>
      </c>
      <c r="KX8" s="7" t="str">
        <f t="shared" si="107"/>
        <v/>
      </c>
      <c r="KY8" s="7" t="str">
        <f t="shared" si="108"/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 t="shared" si="109"/>
        <v/>
      </c>
      <c r="LP8" s="9" t="str">
        <f t="shared" si="110"/>
        <v/>
      </c>
      <c r="LQ8" s="9" t="str">
        <f t="shared" si="111"/>
        <v/>
      </c>
      <c r="LR8" s="9" t="str">
        <f t="shared" si="112"/>
        <v/>
      </c>
      <c r="LS8" s="9" t="str">
        <f t="shared" si="113"/>
        <v/>
      </c>
      <c r="LT8" s="9" t="str">
        <f t="shared" si="114"/>
        <v/>
      </c>
      <c r="LU8" s="9" t="str">
        <f t="shared" si="115"/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 t="shared" si="116"/>
        <v/>
      </c>
      <c r="ML8" s="7" t="str">
        <f t="shared" si="117"/>
        <v/>
      </c>
      <c r="MM8" s="7" t="str">
        <f t="shared" si="118"/>
        <v/>
      </c>
      <c r="MN8" s="7" t="str">
        <f t="shared" si="119"/>
        <v/>
      </c>
      <c r="MO8" s="7" t="str">
        <f t="shared" si="120"/>
        <v/>
      </c>
      <c r="MP8" s="7" t="str">
        <f t="shared" si="121"/>
        <v/>
      </c>
      <c r="MQ8" s="7" t="str">
        <f t="shared" si="122"/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 t="shared" si="123"/>
        <v/>
      </c>
      <c r="NH8" s="9" t="str">
        <f t="shared" si="124"/>
        <v/>
      </c>
      <c r="NI8" s="9" t="str">
        <f t="shared" si="125"/>
        <v/>
      </c>
      <c r="NJ8" s="9" t="str">
        <f t="shared" si="126"/>
        <v/>
      </c>
      <c r="NK8" s="9" t="str">
        <f t="shared" si="127"/>
        <v/>
      </c>
      <c r="NL8" s="9" t="str">
        <f t="shared" si="128"/>
        <v/>
      </c>
      <c r="NM8" s="9" t="str">
        <f t="shared" si="129"/>
        <v/>
      </c>
      <c r="NN8" s="27">
        <f t="shared" si="130"/>
        <v>15.3</v>
      </c>
      <c r="NO8" s="27">
        <f t="shared" si="130"/>
        <v>9.4</v>
      </c>
      <c r="NP8" s="27">
        <f t="shared" si="130"/>
        <v>0</v>
      </c>
      <c r="NQ8" s="27">
        <f t="shared" si="130"/>
        <v>13.26</v>
      </c>
      <c r="NR8" s="27">
        <f t="shared" si="130"/>
        <v>0</v>
      </c>
      <c r="NS8" s="27">
        <f t="shared" si="130"/>
        <v>8.1999999999999993</v>
      </c>
      <c r="NT8" s="27">
        <f t="shared" si="130"/>
        <v>6.3</v>
      </c>
      <c r="NU8" s="27">
        <f t="shared" si="130"/>
        <v>7.0500000000000007</v>
      </c>
      <c r="NV8" s="27">
        <f t="shared" si="130"/>
        <v>9.0850000000000009</v>
      </c>
      <c r="NW8" s="27">
        <f t="shared" si="130"/>
        <v>0</v>
      </c>
      <c r="NX8" s="27">
        <f t="shared" si="131"/>
        <v>0</v>
      </c>
      <c r="NY8" s="27">
        <f t="shared" si="131"/>
        <v>0</v>
      </c>
      <c r="NZ8" s="27">
        <f t="shared" si="131"/>
        <v>0</v>
      </c>
      <c r="OA8" s="27">
        <f t="shared" si="131"/>
        <v>0</v>
      </c>
      <c r="OB8" s="27">
        <f t="shared" si="131"/>
        <v>0</v>
      </c>
      <c r="OC8" s="27">
        <f t="shared" si="131"/>
        <v>10.5</v>
      </c>
      <c r="OD8" s="27">
        <f t="shared" si="131"/>
        <v>6.6499999999999995</v>
      </c>
      <c r="OE8" s="27">
        <f t="shared" si="131"/>
        <v>7.6000000000000005</v>
      </c>
      <c r="OF8" s="27">
        <f t="shared" si="131"/>
        <v>9.879999999999999</v>
      </c>
      <c r="OG8" s="27">
        <f t="shared" si="131"/>
        <v>0</v>
      </c>
      <c r="OH8" s="32" t="s">
        <v>44</v>
      </c>
      <c r="OI8" s="7">
        <f t="shared" si="132"/>
        <v>37.96</v>
      </c>
      <c r="OJ8" s="7">
        <f t="shared" si="133"/>
        <v>7.0500000000000007</v>
      </c>
      <c r="OK8" s="7">
        <f t="shared" si="134"/>
        <v>30.635000000000002</v>
      </c>
      <c r="OL8" s="7" t="str">
        <f t="shared" si="135"/>
        <v/>
      </c>
      <c r="OM8" s="7" t="str">
        <f t="shared" si="136"/>
        <v/>
      </c>
      <c r="ON8" s="7">
        <f t="shared" si="137"/>
        <v>68.594999999999999</v>
      </c>
      <c r="OO8" s="7">
        <f t="shared" si="138"/>
        <v>7.6000000000000005</v>
      </c>
      <c r="OP8" s="7">
        <f t="shared" ref="OP8" si="147">IF(SUM(OC8:OF8)-OG8&gt;0,SUM(OC8:OF8)-OG8,"")</f>
        <v>34.629999999999995</v>
      </c>
      <c r="OQ8" s="7">
        <f t="shared" ref="OQ8" si="148">IF(SUM(ON8,OP8)&gt;0,SUM(ON8,OP8),"")</f>
        <v>103.22499999999999</v>
      </c>
    </row>
    <row r="9" spans="1:407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94</v>
      </c>
      <c r="C9" s="4" t="s">
        <v>66</v>
      </c>
      <c r="D9" s="4">
        <v>2008</v>
      </c>
      <c r="E9" s="10">
        <f t="shared" si="0"/>
        <v>179.3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83.289999999999992</v>
      </c>
      <c r="J9" s="9" t="str">
        <f t="shared" si="5"/>
        <v>2023 Nationals</v>
      </c>
      <c r="K9" s="9">
        <f t="shared" si="6"/>
        <v>7.9</v>
      </c>
      <c r="L9" s="9" t="str">
        <f t="shared" si="7"/>
        <v>2023 3rd Domestic Trial</v>
      </c>
      <c r="M9" s="9">
        <f t="shared" si="8"/>
        <v>41.53</v>
      </c>
      <c r="N9" s="9" t="str">
        <f t="shared" si="9"/>
        <v>2023 3rd Domestic Trial</v>
      </c>
      <c r="O9" s="9">
        <f t="shared" si="10"/>
        <v>46.58</v>
      </c>
      <c r="P9" s="9" t="str">
        <f t="shared" si="11"/>
        <v>2023 Nationals</v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 t="shared" si="15"/>
        <v/>
      </c>
      <c r="AP9" s="7" t="str">
        <f t="shared" si="16"/>
        <v/>
      </c>
      <c r="AQ9" s="7" t="str">
        <f t="shared" si="17"/>
        <v/>
      </c>
      <c r="AR9" s="7" t="str">
        <f t="shared" si="18"/>
        <v/>
      </c>
      <c r="AS9" s="7" t="str">
        <f t="shared" si="19"/>
        <v/>
      </c>
      <c r="AT9" s="7" t="str">
        <f t="shared" si="20"/>
        <v/>
      </c>
      <c r="AU9" s="7" t="str">
        <f t="shared" si="21"/>
        <v/>
      </c>
      <c r="AV9" s="7" t="str">
        <f t="shared" si="22"/>
        <v/>
      </c>
      <c r="AW9" s="7" t="str">
        <f t="shared" si="23"/>
        <v/>
      </c>
      <c r="AX9" s="31">
        <v>15.5</v>
      </c>
      <c r="AY9" s="31">
        <v>9.4</v>
      </c>
      <c r="AZ9" s="31">
        <v>0</v>
      </c>
      <c r="BA9" s="31">
        <v>14.14</v>
      </c>
      <c r="BB9" s="31">
        <v>0</v>
      </c>
      <c r="BC9" s="31">
        <v>12.6</v>
      </c>
      <c r="BD9" s="31">
        <v>8.9</v>
      </c>
      <c r="BE9" s="31">
        <v>9.6</v>
      </c>
      <c r="BF9" s="31">
        <v>13.15</v>
      </c>
      <c r="BG9" s="31">
        <v>0</v>
      </c>
      <c r="BH9" s="31"/>
      <c r="BI9" s="31"/>
      <c r="BJ9" s="31"/>
      <c r="BK9" s="31"/>
      <c r="BL9" s="31"/>
      <c r="BM9" s="31">
        <v>14.3</v>
      </c>
      <c r="BN9" s="31">
        <v>9.1</v>
      </c>
      <c r="BO9" s="31">
        <v>9.6</v>
      </c>
      <c r="BP9" s="31">
        <v>13.58</v>
      </c>
      <c r="BQ9" s="31">
        <v>0</v>
      </c>
      <c r="BR9" s="33"/>
      <c r="BS9" s="9">
        <f t="shared" si="24"/>
        <v>39.04</v>
      </c>
      <c r="BT9" s="9">
        <f t="shared" si="25"/>
        <v>9.6</v>
      </c>
      <c r="BU9" s="9">
        <f t="shared" si="26"/>
        <v>44.25</v>
      </c>
      <c r="BV9" s="9" t="str">
        <f t="shared" si="27"/>
        <v/>
      </c>
      <c r="BW9" s="9" t="str">
        <f t="shared" si="28"/>
        <v/>
      </c>
      <c r="BX9" s="9">
        <f t="shared" si="29"/>
        <v>83.289999999999992</v>
      </c>
      <c r="BY9" s="9">
        <f t="shared" si="30"/>
        <v>9.6</v>
      </c>
      <c r="BZ9" s="9">
        <f t="shared" si="31"/>
        <v>46.58</v>
      </c>
      <c r="CA9" s="9">
        <f t="shared" si="32"/>
        <v>129.87</v>
      </c>
      <c r="CB9" s="27">
        <v>3.2</v>
      </c>
      <c r="CC9" s="27">
        <v>1.8</v>
      </c>
      <c r="CD9" s="27">
        <v>0</v>
      </c>
      <c r="CE9" s="27">
        <v>2.9</v>
      </c>
      <c r="CF9" s="27">
        <v>0</v>
      </c>
      <c r="CG9" s="27">
        <v>12.1</v>
      </c>
      <c r="CH9" s="27">
        <v>7.9</v>
      </c>
      <c r="CI9" s="27">
        <v>8.8999999999999986</v>
      </c>
      <c r="CJ9" s="27">
        <v>12.63</v>
      </c>
      <c r="CK9" s="27">
        <v>0</v>
      </c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32"/>
      <c r="CW9" s="7">
        <f t="shared" si="33"/>
        <v>7.9</v>
      </c>
      <c r="CX9" s="7">
        <f t="shared" si="34"/>
        <v>8.8999999999999986</v>
      </c>
      <c r="CY9" s="7">
        <f t="shared" si="35"/>
        <v>41.53</v>
      </c>
      <c r="CZ9" s="7" t="str">
        <f t="shared" si="36"/>
        <v/>
      </c>
      <c r="DA9" s="7" t="str">
        <f t="shared" si="37"/>
        <v/>
      </c>
      <c r="DB9" s="7">
        <f t="shared" si="38"/>
        <v>49.43</v>
      </c>
      <c r="DC9" s="7" t="str">
        <f t="shared" si="39"/>
        <v/>
      </c>
      <c r="DD9" s="7" t="str">
        <f t="shared" si="40"/>
        <v/>
      </c>
      <c r="DE9" s="7">
        <f t="shared" si="41"/>
        <v>49.43</v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 t="shared" si="46"/>
        <v/>
      </c>
      <c r="DZ9" s="7" t="str">
        <f t="shared" si="47"/>
        <v/>
      </c>
      <c r="EA9" s="7" t="str">
        <f t="shared" si="48"/>
        <v/>
      </c>
      <c r="EB9" s="7" t="str">
        <f t="shared" si="49"/>
        <v/>
      </c>
      <c r="EC9" s="7" t="str">
        <f t="shared" si="50"/>
        <v/>
      </c>
      <c r="ED9" s="7" t="str">
        <f t="shared" si="51"/>
        <v/>
      </c>
      <c r="EE9" s="7" t="str">
        <f t="shared" si="52"/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 t="shared" si="53"/>
        <v/>
      </c>
      <c r="EV9" s="9" t="str">
        <f t="shared" si="54"/>
        <v/>
      </c>
      <c r="EW9" s="9" t="str">
        <f t="shared" si="55"/>
        <v/>
      </c>
      <c r="EX9" s="9" t="str">
        <f t="shared" si="56"/>
        <v/>
      </c>
      <c r="EY9" s="9" t="str">
        <f t="shared" si="57"/>
        <v/>
      </c>
      <c r="EZ9" s="9" t="str">
        <f t="shared" si="58"/>
        <v/>
      </c>
      <c r="FA9" s="9" t="str">
        <f t="shared" si="59"/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 t="shared" si="60"/>
        <v/>
      </c>
      <c r="FR9" s="7" t="str">
        <f t="shared" si="61"/>
        <v/>
      </c>
      <c r="FS9" s="7" t="str">
        <f t="shared" si="62"/>
        <v/>
      </c>
      <c r="FT9" s="7" t="str">
        <f t="shared" si="63"/>
        <v/>
      </c>
      <c r="FU9" s="7" t="str">
        <f t="shared" si="64"/>
        <v/>
      </c>
      <c r="FV9" s="7" t="str">
        <f t="shared" si="65"/>
        <v/>
      </c>
      <c r="FW9" s="7" t="str">
        <f t="shared" si="66"/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 t="shared" si="67"/>
        <v/>
      </c>
      <c r="GN9" s="9" t="str">
        <f t="shared" si="68"/>
        <v/>
      </c>
      <c r="GO9" s="9" t="str">
        <f t="shared" si="69"/>
        <v/>
      </c>
      <c r="GP9" s="9" t="str">
        <f t="shared" si="70"/>
        <v/>
      </c>
      <c r="GQ9" s="9" t="str">
        <f t="shared" si="71"/>
        <v/>
      </c>
      <c r="GR9" s="9" t="str">
        <f t="shared" si="72"/>
        <v/>
      </c>
      <c r="GS9" s="9" t="str">
        <f t="shared" si="73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 t="shared" si="74"/>
        <v/>
      </c>
      <c r="HJ9" s="7" t="str">
        <f t="shared" si="75"/>
        <v/>
      </c>
      <c r="HK9" s="7" t="str">
        <f t="shared" si="76"/>
        <v/>
      </c>
      <c r="HL9" s="7" t="str">
        <f t="shared" si="77"/>
        <v/>
      </c>
      <c r="HM9" s="7" t="str">
        <f t="shared" si="78"/>
        <v/>
      </c>
      <c r="HN9" s="7" t="str">
        <f t="shared" si="79"/>
        <v/>
      </c>
      <c r="HO9" s="7" t="str">
        <f t="shared" si="80"/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 t="shared" si="81"/>
        <v/>
      </c>
      <c r="IF9" s="9" t="str">
        <f t="shared" si="82"/>
        <v/>
      </c>
      <c r="IG9" s="9" t="str">
        <f t="shared" si="83"/>
        <v/>
      </c>
      <c r="IH9" s="9" t="str">
        <f t="shared" si="84"/>
        <v/>
      </c>
      <c r="II9" s="9" t="str">
        <f t="shared" si="85"/>
        <v/>
      </c>
      <c r="IJ9" s="9" t="str">
        <f t="shared" si="86"/>
        <v/>
      </c>
      <c r="IK9" s="9" t="str">
        <f t="shared" si="87"/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 t="shared" si="88"/>
        <v/>
      </c>
      <c r="JB9" s="7" t="str">
        <f t="shared" si="89"/>
        <v/>
      </c>
      <c r="JC9" s="7" t="str">
        <f t="shared" si="90"/>
        <v/>
      </c>
      <c r="JD9" s="7" t="str">
        <f t="shared" si="91"/>
        <v/>
      </c>
      <c r="JE9" s="7" t="str">
        <f t="shared" si="92"/>
        <v/>
      </c>
      <c r="JF9" s="7" t="str">
        <f t="shared" si="93"/>
        <v/>
      </c>
      <c r="JG9" s="7" t="str">
        <f t="shared" si="94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 t="shared" si="95"/>
        <v/>
      </c>
      <c r="JX9" s="9" t="str">
        <f t="shared" si="96"/>
        <v/>
      </c>
      <c r="JY9" s="9" t="str">
        <f t="shared" si="97"/>
        <v/>
      </c>
      <c r="JZ9" s="9" t="str">
        <f t="shared" si="98"/>
        <v/>
      </c>
      <c r="KA9" s="9" t="str">
        <f t="shared" si="99"/>
        <v/>
      </c>
      <c r="KB9" s="9" t="str">
        <f t="shared" si="100"/>
        <v/>
      </c>
      <c r="KC9" s="9" t="str">
        <f t="shared" si="101"/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 t="shared" si="102"/>
        <v/>
      </c>
      <c r="KT9" s="7" t="str">
        <f t="shared" si="103"/>
        <v/>
      </c>
      <c r="KU9" s="7" t="str">
        <f t="shared" si="104"/>
        <v/>
      </c>
      <c r="KV9" s="7" t="str">
        <f t="shared" si="105"/>
        <v/>
      </c>
      <c r="KW9" s="7" t="str">
        <f t="shared" si="106"/>
        <v/>
      </c>
      <c r="KX9" s="7" t="str">
        <f t="shared" si="107"/>
        <v/>
      </c>
      <c r="KY9" s="7" t="str">
        <f t="shared" si="108"/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 t="shared" si="109"/>
        <v/>
      </c>
      <c r="LP9" s="9" t="str">
        <f t="shared" si="110"/>
        <v/>
      </c>
      <c r="LQ9" s="9" t="str">
        <f t="shared" si="111"/>
        <v/>
      </c>
      <c r="LR9" s="9" t="str">
        <f t="shared" si="112"/>
        <v/>
      </c>
      <c r="LS9" s="9" t="str">
        <f t="shared" si="113"/>
        <v/>
      </c>
      <c r="LT9" s="9" t="str">
        <f t="shared" si="114"/>
        <v/>
      </c>
      <c r="LU9" s="9" t="str">
        <f t="shared" si="115"/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 t="shared" si="116"/>
        <v/>
      </c>
      <c r="ML9" s="7" t="str">
        <f t="shared" si="117"/>
        <v/>
      </c>
      <c r="MM9" s="7" t="str">
        <f t="shared" si="118"/>
        <v/>
      </c>
      <c r="MN9" s="7" t="str">
        <f t="shared" si="119"/>
        <v/>
      </c>
      <c r="MO9" s="7" t="str">
        <f t="shared" si="120"/>
        <v/>
      </c>
      <c r="MP9" s="7" t="str">
        <f t="shared" si="121"/>
        <v/>
      </c>
      <c r="MQ9" s="7" t="str">
        <f t="shared" si="122"/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 t="shared" si="123"/>
        <v/>
      </c>
      <c r="NH9" s="9" t="str">
        <f t="shared" si="124"/>
        <v/>
      </c>
      <c r="NI9" s="9" t="str">
        <f t="shared" si="125"/>
        <v/>
      </c>
      <c r="NJ9" s="9" t="str">
        <f t="shared" si="126"/>
        <v/>
      </c>
      <c r="NK9" s="9" t="str">
        <f t="shared" si="127"/>
        <v/>
      </c>
      <c r="NL9" s="9" t="str">
        <f t="shared" si="128"/>
        <v/>
      </c>
      <c r="NM9" s="9" t="str">
        <f t="shared" si="129"/>
        <v/>
      </c>
      <c r="NN9" s="27">
        <f t="shared" si="130"/>
        <v>9.35</v>
      </c>
      <c r="NO9" s="27">
        <f t="shared" si="130"/>
        <v>5.6000000000000005</v>
      </c>
      <c r="NP9" s="27">
        <f t="shared" si="130"/>
        <v>0</v>
      </c>
      <c r="NQ9" s="27">
        <f t="shared" si="130"/>
        <v>8.52</v>
      </c>
      <c r="NR9" s="27">
        <f t="shared" si="130"/>
        <v>0</v>
      </c>
      <c r="NS9" s="27">
        <f t="shared" si="130"/>
        <v>12.35</v>
      </c>
      <c r="NT9" s="27">
        <f t="shared" si="130"/>
        <v>8.4</v>
      </c>
      <c r="NU9" s="27">
        <f t="shared" si="130"/>
        <v>9.25</v>
      </c>
      <c r="NV9" s="27">
        <f t="shared" si="130"/>
        <v>12.89</v>
      </c>
      <c r="NW9" s="27">
        <f t="shared" si="130"/>
        <v>0</v>
      </c>
      <c r="NX9" s="27">
        <f t="shared" si="131"/>
        <v>0</v>
      </c>
      <c r="NY9" s="27">
        <f t="shared" si="131"/>
        <v>0</v>
      </c>
      <c r="NZ9" s="27">
        <f t="shared" si="131"/>
        <v>0</v>
      </c>
      <c r="OA9" s="27">
        <f t="shared" si="131"/>
        <v>0</v>
      </c>
      <c r="OB9" s="27">
        <f t="shared" si="131"/>
        <v>0</v>
      </c>
      <c r="OC9" s="27">
        <f t="shared" si="131"/>
        <v>7.15</v>
      </c>
      <c r="OD9" s="27">
        <f t="shared" si="131"/>
        <v>4.55</v>
      </c>
      <c r="OE9" s="27">
        <f t="shared" si="131"/>
        <v>4.8</v>
      </c>
      <c r="OF9" s="27">
        <f t="shared" si="131"/>
        <v>6.79</v>
      </c>
      <c r="OG9" s="27">
        <f t="shared" si="131"/>
        <v>0</v>
      </c>
      <c r="OH9" s="32" t="s">
        <v>44</v>
      </c>
      <c r="OI9" s="7">
        <f t="shared" si="132"/>
        <v>23.47</v>
      </c>
      <c r="OJ9" s="7">
        <f t="shared" si="133"/>
        <v>9.25</v>
      </c>
      <c r="OK9" s="7">
        <f t="shared" si="134"/>
        <v>42.89</v>
      </c>
      <c r="OL9" s="7" t="str">
        <f t="shared" si="135"/>
        <v/>
      </c>
      <c r="OM9" s="7" t="str">
        <f t="shared" si="136"/>
        <v/>
      </c>
      <c r="ON9" s="7">
        <f t="shared" si="137"/>
        <v>66.36</v>
      </c>
      <c r="OO9" s="7">
        <f t="shared" si="138"/>
        <v>4.8</v>
      </c>
      <c r="OP9" s="7">
        <f t="shared" ref="OP9" si="149">IF(SUM(OC9:OF9)-OG9&gt;0,SUM(OC9:OF9)-OG9,"")</f>
        <v>23.29</v>
      </c>
      <c r="OQ9" s="7">
        <f t="shared" ref="OQ9" si="150">IF(SUM(ON9,OP9)&gt;0,SUM(ON9,OP9),"")</f>
        <v>89.65</v>
      </c>
    </row>
    <row r="10" spans="1:407" x14ac:dyDescent="0.2">
      <c r="B10" s="5"/>
      <c r="D10" s="1"/>
    </row>
    <row r="12" spans="1:407" x14ac:dyDescent="0.2">
      <c r="B12" s="28" t="s">
        <v>42</v>
      </c>
      <c r="C12" s="5"/>
      <c r="AP12" s="46"/>
      <c r="AQ12" s="46"/>
      <c r="AR12" s="46"/>
      <c r="AU12" s="2"/>
      <c r="AW12" s="24">
        <v>11.2</v>
      </c>
      <c r="BT12" s="46"/>
      <c r="BU12" s="46"/>
      <c r="BV12" s="46"/>
      <c r="BY12" s="2"/>
      <c r="CA12" s="24">
        <v>11.2</v>
      </c>
      <c r="CX12" s="46"/>
      <c r="CY12" s="46"/>
      <c r="CZ12" s="46"/>
      <c r="DC12" s="2"/>
      <c r="DE12" s="24">
        <v>11.2</v>
      </c>
      <c r="DY12" s="5"/>
      <c r="EC12" s="2"/>
      <c r="EE12" s="24">
        <v>11.2</v>
      </c>
      <c r="EU12" s="5"/>
      <c r="EY12" s="2"/>
      <c r="FA12" s="24">
        <v>11.2</v>
      </c>
      <c r="FQ12" s="5"/>
      <c r="FU12" s="2"/>
      <c r="FW12" s="24">
        <v>11.2</v>
      </c>
      <c r="GM12" s="5"/>
      <c r="GQ12" s="2"/>
      <c r="GS12" s="24">
        <v>11.2</v>
      </c>
      <c r="HI12" s="5"/>
      <c r="HM12" s="2"/>
      <c r="HO12" s="24">
        <v>11.2</v>
      </c>
      <c r="IE12" s="5"/>
      <c r="II12" s="2"/>
      <c r="IK12" s="24">
        <v>11.2</v>
      </c>
      <c r="JA12" s="5"/>
      <c r="JE12" s="2"/>
      <c r="JG12" s="24">
        <v>11.2</v>
      </c>
      <c r="JW12" s="5"/>
      <c r="KA12" s="2"/>
      <c r="KC12" s="24">
        <v>11.2</v>
      </c>
      <c r="KS12" s="5"/>
      <c r="KW12" s="2"/>
      <c r="KY12" s="24">
        <v>11.2</v>
      </c>
      <c r="LO12" s="5"/>
      <c r="LS12" s="2"/>
      <c r="LU12" s="24">
        <v>11.2</v>
      </c>
      <c r="MK12" s="5"/>
      <c r="MO12" s="2"/>
      <c r="MQ12" s="24">
        <v>11.2</v>
      </c>
      <c r="NG12" s="5"/>
      <c r="NK12" s="2"/>
      <c r="NM12" s="24">
        <v>11.2</v>
      </c>
    </row>
    <row r="13" spans="1:407" hidden="1" x14ac:dyDescent="0.2">
      <c r="B13" s="35" t="s">
        <v>41</v>
      </c>
      <c r="C13" s="5"/>
      <c r="AP13" s="46"/>
      <c r="AQ13" s="46"/>
      <c r="AR13" s="46"/>
      <c r="AU13" s="2"/>
      <c r="AW13" s="37">
        <v>11.2</v>
      </c>
      <c r="BT13" s="46"/>
      <c r="BU13" s="46"/>
      <c r="BV13" s="46"/>
      <c r="BY13" s="2"/>
      <c r="CA13" s="37">
        <v>11.2</v>
      </c>
      <c r="CX13" s="46"/>
      <c r="CY13" s="46"/>
      <c r="CZ13" s="46"/>
      <c r="DC13" s="2"/>
      <c r="DE13" s="37">
        <v>11.2</v>
      </c>
      <c r="DY13" s="5"/>
      <c r="EC13" s="2"/>
      <c r="EE13" s="37">
        <v>11.2</v>
      </c>
      <c r="EU13" s="5"/>
      <c r="EY13" s="2"/>
      <c r="FA13" s="37">
        <v>11.2</v>
      </c>
      <c r="FQ13" s="5"/>
      <c r="FU13" s="2"/>
      <c r="FW13" s="37">
        <v>11.2</v>
      </c>
      <c r="GM13" s="5"/>
      <c r="GQ13" s="2"/>
      <c r="GS13" s="37">
        <v>11.2</v>
      </c>
      <c r="HI13" s="5"/>
      <c r="HM13" s="2"/>
      <c r="HO13" s="37">
        <v>11.2</v>
      </c>
      <c r="IE13" s="5"/>
      <c r="II13" s="2"/>
      <c r="IK13" s="37">
        <v>11.2</v>
      </c>
      <c r="JA13" s="5"/>
      <c r="JE13" s="2"/>
      <c r="JG13" s="37">
        <v>11.2</v>
      </c>
      <c r="JW13" s="5"/>
      <c r="KA13" s="2"/>
      <c r="KC13" s="37">
        <v>11.2</v>
      </c>
      <c r="KS13" s="5"/>
      <c r="KW13" s="2"/>
      <c r="KY13" s="37">
        <v>11.2</v>
      </c>
      <c r="LO13" s="5"/>
      <c r="LS13" s="2"/>
      <c r="LU13" s="37">
        <v>11.2</v>
      </c>
      <c r="MK13" s="5"/>
      <c r="MO13" s="2"/>
      <c r="MQ13" s="37">
        <v>11.2</v>
      </c>
      <c r="NG13" s="5"/>
      <c r="NK13" s="2"/>
      <c r="NM13" s="37">
        <v>11.2</v>
      </c>
    </row>
    <row r="14" spans="1:407" x14ac:dyDescent="0.2">
      <c r="A14" s="5"/>
      <c r="B14" s="36" t="s">
        <v>54</v>
      </c>
      <c r="C14" s="5"/>
      <c r="AP14" s="46"/>
      <c r="AQ14" s="46"/>
      <c r="AR14" s="46"/>
      <c r="AT14" s="2"/>
      <c r="AU14" s="2"/>
      <c r="AV14" s="2"/>
      <c r="AW14" s="38">
        <v>11.2</v>
      </c>
      <c r="BT14" s="46"/>
      <c r="BU14" s="46"/>
      <c r="BV14" s="46"/>
      <c r="BY14" s="2"/>
      <c r="CA14" s="38">
        <v>11.2</v>
      </c>
      <c r="CX14" s="46"/>
      <c r="CY14" s="46"/>
      <c r="CZ14" s="46"/>
      <c r="DB14" s="2"/>
      <c r="DC14" s="2"/>
      <c r="DD14" s="2"/>
      <c r="DE14" s="38">
        <v>11.2</v>
      </c>
      <c r="DY14" s="5"/>
      <c r="EC14" s="2"/>
      <c r="EE14" s="38">
        <v>11.2</v>
      </c>
      <c r="EU14" s="5"/>
      <c r="EY14" s="2"/>
      <c r="FA14" s="38">
        <v>11.2</v>
      </c>
      <c r="FQ14" s="5"/>
      <c r="FU14" s="2"/>
      <c r="FW14" s="38">
        <v>11.2</v>
      </c>
      <c r="GM14" s="5"/>
      <c r="GQ14" s="2"/>
      <c r="GS14" s="38">
        <v>11.2</v>
      </c>
      <c r="HI14" s="5"/>
      <c r="HM14" s="2"/>
      <c r="HO14" s="38">
        <v>11.2</v>
      </c>
      <c r="IE14" s="5"/>
      <c r="II14" s="2"/>
      <c r="IK14" s="38">
        <v>11.2</v>
      </c>
      <c r="JA14" s="5"/>
      <c r="JE14" s="2"/>
      <c r="JG14" s="38">
        <v>11.2</v>
      </c>
      <c r="JW14" s="5"/>
      <c r="KA14" s="2"/>
      <c r="KC14" s="38">
        <v>11.2</v>
      </c>
      <c r="KS14" s="5"/>
      <c r="KW14" s="2"/>
      <c r="KY14" s="38">
        <v>11.2</v>
      </c>
      <c r="LO14" s="5"/>
      <c r="LS14" s="2"/>
      <c r="LU14" s="38">
        <v>11.2</v>
      </c>
      <c r="MK14" s="5"/>
      <c r="MO14" s="2"/>
      <c r="MQ14" s="38">
        <v>11.2</v>
      </c>
      <c r="NG14" s="5"/>
      <c r="NK14" s="2"/>
      <c r="NM14" s="38">
        <v>11.2</v>
      </c>
    </row>
    <row r="15" spans="1:407" x14ac:dyDescent="0.2">
      <c r="A15" s="5"/>
      <c r="B15" s="44" t="s">
        <v>59</v>
      </c>
      <c r="C15" s="5"/>
      <c r="AP15" s="46"/>
      <c r="AQ15" s="46"/>
      <c r="AR15" s="46"/>
      <c r="AT15" s="2"/>
      <c r="AU15" s="2"/>
      <c r="AV15" s="2"/>
      <c r="AW15" s="45">
        <v>11.2</v>
      </c>
      <c r="BT15" s="46"/>
      <c r="BU15" s="46"/>
      <c r="BV15" s="46"/>
      <c r="BY15" s="2"/>
      <c r="CA15" s="45">
        <v>11.2</v>
      </c>
      <c r="CX15" s="46"/>
      <c r="CY15" s="46"/>
      <c r="CZ15" s="46"/>
      <c r="DB15" s="2"/>
      <c r="DC15" s="2"/>
      <c r="DD15" s="2"/>
      <c r="DE15" s="45">
        <v>11.2</v>
      </c>
      <c r="DY15" s="5"/>
      <c r="EC15" s="2"/>
      <c r="EE15" s="45">
        <v>11.2</v>
      </c>
      <c r="EU15" s="5"/>
      <c r="EY15" s="2"/>
      <c r="FA15" s="45">
        <v>11.2</v>
      </c>
      <c r="FQ15" s="5"/>
      <c r="FU15" s="2"/>
      <c r="FW15" s="45">
        <v>11.2</v>
      </c>
      <c r="GM15" s="5"/>
      <c r="GQ15" s="2"/>
      <c r="GS15" s="45">
        <v>11.2</v>
      </c>
      <c r="HI15" s="5"/>
      <c r="HM15" s="2"/>
      <c r="HO15" s="45">
        <v>11.2</v>
      </c>
      <c r="IE15" s="5"/>
      <c r="II15" s="2"/>
      <c r="IK15" s="45">
        <v>11.2</v>
      </c>
      <c r="JA15" s="5"/>
      <c r="JE15" s="2"/>
      <c r="JG15" s="45">
        <v>11.2</v>
      </c>
      <c r="JW15" s="5"/>
      <c r="KA15" s="2"/>
      <c r="KC15" s="45">
        <v>11.2</v>
      </c>
      <c r="KS15" s="5"/>
      <c r="KW15" s="2"/>
      <c r="KY15" s="45">
        <v>11.2</v>
      </c>
      <c r="LO15" s="5"/>
      <c r="LS15" s="2"/>
      <c r="LU15" s="45">
        <v>11.2</v>
      </c>
      <c r="MK15" s="5"/>
      <c r="MO15" s="2"/>
      <c r="MQ15" s="45">
        <v>11.2</v>
      </c>
      <c r="NG15" s="5"/>
      <c r="NK15" s="2"/>
      <c r="NM15" s="45">
        <v>11.2</v>
      </c>
    </row>
    <row r="16" spans="1:407" x14ac:dyDescent="0.2">
      <c r="A16" s="5"/>
      <c r="B16" s="42" t="s">
        <v>39</v>
      </c>
      <c r="C16" s="5"/>
      <c r="M16" s="2"/>
      <c r="AP16" s="46"/>
      <c r="AQ16" s="46"/>
      <c r="AR16" s="46"/>
      <c r="AT16" s="2"/>
      <c r="AU16" s="2"/>
      <c r="AV16" s="2"/>
      <c r="AW16" s="43">
        <v>90.2</v>
      </c>
      <c r="BT16" s="46"/>
      <c r="BU16" s="46"/>
      <c r="BV16" s="46"/>
      <c r="BY16" s="2"/>
      <c r="CA16" s="43">
        <v>90.2</v>
      </c>
      <c r="CX16" s="46"/>
      <c r="CY16" s="46"/>
      <c r="CZ16" s="46"/>
      <c r="DB16" s="2"/>
      <c r="DC16" s="2"/>
      <c r="DD16" s="2"/>
      <c r="DE16" s="43">
        <v>90.2</v>
      </c>
      <c r="DY16" s="5"/>
      <c r="EC16" s="2"/>
      <c r="EE16" s="43">
        <v>90.2</v>
      </c>
      <c r="EU16" s="5"/>
      <c r="EY16" s="2"/>
      <c r="FA16" s="43">
        <v>90.2</v>
      </c>
      <c r="FQ16" s="5"/>
      <c r="FU16" s="2"/>
      <c r="FW16" s="43">
        <v>90.2</v>
      </c>
      <c r="GM16" s="5"/>
      <c r="GQ16" s="2"/>
      <c r="GS16" s="43">
        <v>90.2</v>
      </c>
      <c r="HI16" s="5"/>
      <c r="HM16" s="2"/>
      <c r="HO16" s="43">
        <v>90.2</v>
      </c>
      <c r="IE16" s="5"/>
      <c r="II16" s="2"/>
      <c r="IK16" s="43">
        <v>90.2</v>
      </c>
      <c r="JA16" s="5"/>
      <c r="JE16" s="2"/>
      <c r="JG16" s="43">
        <v>90.2</v>
      </c>
      <c r="JW16" s="5"/>
      <c r="KA16" s="2"/>
      <c r="KC16" s="43">
        <v>90.2</v>
      </c>
      <c r="KS16" s="5"/>
      <c r="KW16" s="2"/>
      <c r="KY16" s="43">
        <v>90.2</v>
      </c>
      <c r="LO16" s="5"/>
      <c r="LS16" s="2"/>
      <c r="LU16" s="43">
        <v>90.2</v>
      </c>
      <c r="MK16" s="5"/>
      <c r="MO16" s="2"/>
      <c r="MQ16" s="43">
        <v>90.2</v>
      </c>
      <c r="NG16" s="5"/>
      <c r="NK16" s="2"/>
      <c r="NM16" s="43">
        <v>90.2</v>
      </c>
    </row>
    <row r="17" spans="1:377" hidden="1" x14ac:dyDescent="0.2">
      <c r="A17" s="5"/>
      <c r="B17" s="29" t="s">
        <v>40</v>
      </c>
      <c r="C17" s="5"/>
      <c r="M17" s="2"/>
      <c r="AP17" s="46"/>
      <c r="AQ17" s="46"/>
      <c r="AR17" s="46"/>
      <c r="AT17" s="2"/>
      <c r="AU17" s="2"/>
      <c r="AV17" s="2"/>
      <c r="AW17" s="25">
        <v>93.1</v>
      </c>
      <c r="BT17" s="46"/>
      <c r="BU17" s="46"/>
      <c r="BV17" s="46"/>
      <c r="BY17" s="2"/>
      <c r="CA17" s="25">
        <v>93.1</v>
      </c>
      <c r="CX17" s="46"/>
      <c r="CY17" s="46"/>
      <c r="CZ17" s="46"/>
      <c r="DB17" s="2"/>
      <c r="DC17" s="2"/>
      <c r="DD17" s="2"/>
      <c r="DE17" s="25">
        <v>93.1</v>
      </c>
      <c r="DY17" s="5"/>
      <c r="EC17" s="2"/>
      <c r="EE17" s="25">
        <v>93.1</v>
      </c>
      <c r="EU17" s="5"/>
      <c r="EY17" s="2"/>
      <c r="FA17" s="25">
        <v>93.1</v>
      </c>
      <c r="FQ17" s="5"/>
      <c r="FU17" s="2"/>
      <c r="FW17" s="25">
        <v>93.1</v>
      </c>
      <c r="GM17" s="5"/>
      <c r="GQ17" s="2"/>
      <c r="GS17" s="25">
        <v>93.1</v>
      </c>
      <c r="HI17" s="5"/>
      <c r="HM17" s="2"/>
      <c r="HO17" s="25">
        <v>93.1</v>
      </c>
      <c r="IE17" s="5"/>
      <c r="II17" s="2"/>
      <c r="IK17" s="25">
        <v>93.1</v>
      </c>
      <c r="JA17" s="5"/>
      <c r="JE17" s="2"/>
      <c r="JG17" s="25">
        <v>93.1</v>
      </c>
      <c r="JW17" s="5"/>
      <c r="KA17" s="2"/>
      <c r="KC17" s="25">
        <v>93.1</v>
      </c>
      <c r="KS17" s="5"/>
      <c r="KW17" s="2"/>
      <c r="KY17" s="25">
        <v>93.1</v>
      </c>
      <c r="LO17" s="5"/>
      <c r="LS17" s="2"/>
      <c r="LU17" s="25">
        <v>93.1</v>
      </c>
      <c r="MK17" s="5"/>
      <c r="MO17" s="2"/>
      <c r="MQ17" s="25">
        <v>93.1</v>
      </c>
      <c r="NG17" s="5"/>
      <c r="NK17" s="2"/>
      <c r="NM17" s="25">
        <v>93.1</v>
      </c>
    </row>
    <row r="18" spans="1:377" x14ac:dyDescent="0.2">
      <c r="A18" s="5"/>
      <c r="B18" s="40" t="s">
        <v>53</v>
      </c>
      <c r="C18" s="5"/>
      <c r="AP18" s="46"/>
      <c r="AQ18" s="46"/>
      <c r="AR18" s="46"/>
      <c r="AT18" s="2"/>
      <c r="AU18" s="2"/>
      <c r="AV18" s="49"/>
      <c r="AW18" s="41">
        <v>93.1</v>
      </c>
      <c r="BT18" s="46"/>
      <c r="BU18" s="46"/>
      <c r="BV18" s="46"/>
      <c r="BY18" s="2"/>
      <c r="BZ18" s="48"/>
      <c r="CA18" s="41">
        <v>93.1</v>
      </c>
      <c r="CX18" s="46"/>
      <c r="CY18" s="46"/>
      <c r="CZ18" s="46"/>
      <c r="DB18" s="2"/>
      <c r="DC18" s="2"/>
      <c r="DD18" s="2"/>
      <c r="DE18" s="41">
        <v>93.1</v>
      </c>
      <c r="DY18" s="5"/>
      <c r="EC18" s="2"/>
      <c r="EE18" s="41">
        <v>93.1</v>
      </c>
      <c r="EU18" s="5"/>
      <c r="EY18" s="2"/>
      <c r="FA18" s="41">
        <v>93.1</v>
      </c>
      <c r="FQ18" s="5"/>
      <c r="FU18" s="2"/>
      <c r="FW18" s="41">
        <v>93.1</v>
      </c>
      <c r="GM18" s="5"/>
      <c r="GQ18" s="2"/>
      <c r="GR18" s="48"/>
      <c r="GS18" s="41">
        <v>93.1</v>
      </c>
      <c r="HI18" s="5"/>
      <c r="HM18" s="2"/>
      <c r="HN18" s="48"/>
      <c r="HO18" s="41">
        <v>93.1</v>
      </c>
      <c r="IE18" s="5"/>
      <c r="II18" s="2"/>
      <c r="IK18" s="41">
        <v>93.1</v>
      </c>
      <c r="JA18" s="5"/>
      <c r="JE18" s="2"/>
      <c r="JG18" s="41">
        <v>93.1</v>
      </c>
      <c r="JW18" s="5"/>
      <c r="KA18" s="2"/>
      <c r="KB18" s="50"/>
      <c r="KC18" s="41">
        <v>93.1</v>
      </c>
      <c r="KS18" s="5"/>
      <c r="KW18" s="2"/>
      <c r="KY18" s="41">
        <v>93.1</v>
      </c>
      <c r="LO18" s="5"/>
      <c r="LS18" s="2"/>
      <c r="LU18" s="41">
        <v>93.1</v>
      </c>
      <c r="MK18" s="5"/>
      <c r="MO18" s="2"/>
      <c r="MP18" s="50"/>
      <c r="MQ18" s="41">
        <v>93.1</v>
      </c>
      <c r="NG18" s="5"/>
      <c r="NK18" s="2"/>
      <c r="NM18" s="41">
        <v>93.1</v>
      </c>
    </row>
    <row r="19" spans="1:377" x14ac:dyDescent="0.2">
      <c r="A19" s="5"/>
      <c r="B19" s="30" t="s">
        <v>26</v>
      </c>
      <c r="C19" s="5"/>
      <c r="M19" s="2"/>
      <c r="AP19" s="46"/>
      <c r="AQ19" s="46"/>
      <c r="AR19" s="46"/>
      <c r="AT19" s="2"/>
      <c r="AU19" s="2"/>
      <c r="AV19" s="2"/>
      <c r="AW19" s="26">
        <v>51</v>
      </c>
      <c r="BT19" s="46"/>
      <c r="BU19" s="46"/>
      <c r="BV19" s="46"/>
      <c r="BY19" s="2"/>
      <c r="CA19" s="26">
        <v>51</v>
      </c>
      <c r="CX19" s="46"/>
      <c r="CY19" s="46"/>
      <c r="CZ19" s="46"/>
      <c r="DB19" s="2"/>
      <c r="DC19" s="2"/>
      <c r="DD19" s="2"/>
      <c r="DE19" s="26">
        <v>51</v>
      </c>
      <c r="DY19" s="5"/>
      <c r="EC19" s="2"/>
      <c r="EE19" s="26">
        <v>51</v>
      </c>
      <c r="EU19" s="5"/>
      <c r="EY19" s="2"/>
      <c r="FA19" s="26">
        <v>51</v>
      </c>
      <c r="FQ19" s="5"/>
      <c r="FU19" s="2"/>
      <c r="FW19" s="26">
        <v>51</v>
      </c>
      <c r="GM19" s="5"/>
      <c r="GQ19" s="2"/>
      <c r="GR19" s="48"/>
      <c r="GS19" s="26">
        <v>51</v>
      </c>
      <c r="HI19" s="5"/>
      <c r="HM19" s="2"/>
      <c r="HO19" s="26">
        <v>51</v>
      </c>
      <c r="IE19" s="5"/>
      <c r="II19" s="2"/>
      <c r="IK19" s="26">
        <v>51</v>
      </c>
      <c r="JA19" s="5"/>
      <c r="JE19" s="2"/>
      <c r="JG19" s="26">
        <v>51</v>
      </c>
      <c r="JW19" s="5"/>
      <c r="KA19" s="2"/>
      <c r="KC19" s="26">
        <v>51</v>
      </c>
      <c r="KS19" s="5"/>
      <c r="KW19" s="2"/>
      <c r="KY19" s="26">
        <v>51</v>
      </c>
      <c r="LO19" s="5"/>
      <c r="LS19" s="2"/>
      <c r="LU19" s="26">
        <v>51</v>
      </c>
      <c r="MK19" s="5"/>
      <c r="MO19" s="2"/>
      <c r="MQ19" s="26">
        <v>51</v>
      </c>
      <c r="NG19" s="5"/>
      <c r="NK19" s="2"/>
      <c r="NM19" s="26">
        <v>51</v>
      </c>
    </row>
    <row r="20" spans="1:377" x14ac:dyDescent="0.2">
      <c r="B20" s="34" t="s">
        <v>45</v>
      </c>
      <c r="C20" s="2"/>
      <c r="AS20" s="2"/>
      <c r="AT20" s="2"/>
      <c r="AV20" s="2"/>
      <c r="DA20" s="2"/>
      <c r="DB20" s="2"/>
      <c r="DD20" s="2"/>
      <c r="EV20" s="2"/>
    </row>
    <row r="21" spans="1:377" x14ac:dyDescent="0.2">
      <c r="A21" s="5"/>
      <c r="B21" s="5"/>
      <c r="C21" s="22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9">
      <sortCondition descending="1" ref="F1:F10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9">
    <cfRule type="expression" dxfId="151" priority="7" stopIfTrue="1">
      <formula>IF($AN4&lt;&gt;"",1,0)</formula>
    </cfRule>
  </conditionalFormatting>
  <conditionalFormatting sqref="AX4:CA9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9">
    <cfRule type="expression" dxfId="146" priority="16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5" priority="37585" operator="between">
      <formula>AW$19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53298" operator="between">
      <formula>AW$19</formula>
      <formula>1000</formula>
    </cfRule>
    <cfRule type="cellIs" dxfId="136" priority="53299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53388" operator="between">
      <formula>AW$18</formula>
      <formula>1000</formula>
    </cfRule>
    <cfRule type="cellIs" dxfId="134" priority="53389" operator="between">
      <formula>AW$17</formula>
      <formula>AW$18</formula>
    </cfRule>
    <cfRule type="cellIs" dxfId="133" priority="53390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53523" operator="between">
      <formula>EE$15</formula>
      <formula>1000</formula>
    </cfRule>
    <cfRule type="cellIs" dxfId="131" priority="53524" operator="between">
      <formula>EE$14</formula>
      <formula>EE$15</formula>
    </cfRule>
    <cfRule type="cellIs" dxfId="130" priority="53525" operator="between">
      <formula>EE$13</formula>
      <formula>EE$14</formula>
    </cfRule>
    <cfRule type="cellIs" dxfId="129" priority="53526" operator="between">
      <formula>EE$12</formula>
      <formula>EE$13</formula>
    </cfRule>
  </conditionalFormatting>
  <conditionalFormatting sqref="AP1:AP1048576 BT1:BT1048576 CX1:CX1048576">
    <cfRule type="cellIs" dxfId="128" priority="53667" operator="between">
      <formula>AW$15</formula>
      <formula>1000</formula>
    </cfRule>
    <cfRule type="cellIs" dxfId="127" priority="53668" operator="between">
      <formula>AW$14</formula>
      <formula>AW$15</formula>
    </cfRule>
    <cfRule type="cellIs" dxfId="126" priority="53669" operator="between">
      <formula>AW$13</formula>
      <formula>AW$14</formula>
    </cfRule>
    <cfRule type="cellIs" dxfId="125" priority="53670" operator="between">
      <formula>AW$12</formula>
      <formula>AW$13</formula>
    </cfRule>
  </conditionalFormatting>
  <conditionalFormatting sqref="AQ1:AQ1048576 BU1:BU1048576 CY1:CY1048576">
    <cfRule type="cellIs" dxfId="124" priority="53703" operator="between">
      <formula>AW$19</formula>
      <formula>1000</formula>
    </cfRule>
  </conditionalFormatting>
  <conditionalFormatting sqref="AR1:AR1048576 BV1:BV1048576 CZ1:CZ1048576">
    <cfRule type="cellIs" dxfId="123" priority="53712" operator="between">
      <formula>AW$15</formula>
      <formula>1000</formula>
    </cfRule>
    <cfRule type="cellIs" dxfId="122" priority="53713" operator="between">
      <formula>AW$14</formula>
      <formula>AW$15</formula>
    </cfRule>
    <cfRule type="cellIs" dxfId="121" priority="53714" operator="between">
      <formula>AW$13</formula>
      <formula>AW$14</formula>
    </cfRule>
    <cfRule type="cellIs" dxfId="120" priority="53715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53748" operator="between">
      <formula>AW$15</formula>
      <formula>1000</formula>
    </cfRule>
    <cfRule type="cellIs" dxfId="118" priority="53749" operator="between">
      <formula>AW$14</formula>
      <formula>AW$15</formula>
    </cfRule>
    <cfRule type="cellIs" dxfId="117" priority="53750" operator="between">
      <formula>AW$13</formula>
      <formula>AW$14</formula>
    </cfRule>
    <cfRule type="cellIs" dxfId="116" priority="53751" operator="between">
      <formula>AW$12</formula>
      <formula>AW$13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95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97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84</v>
      </c>
      <c r="C4" s="4" t="s">
        <v>66</v>
      </c>
      <c r="D4" s="4">
        <v>2008</v>
      </c>
      <c r="E4" s="10">
        <f>SUM(I4:O4)+SUM(I4:M4)*0.0000001+SUM(I4)*0.0000000000001</f>
        <v>134.60001308000466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46.7</v>
      </c>
      <c r="J4" s="9" t="str">
        <f>IF(I4=0,"",IF(I4=CP4,$BT$1,IF(I4=BO4,$AS$1,IF(I4=AN4,$R$1,""))))</f>
        <v>2023 3rd Domestic Trial</v>
      </c>
      <c r="K4" s="9">
        <f>IF(COUNT(AN4,BO4,CP4)&gt;1,LARGE((AN4,BO4,CP4),2),0)</f>
        <v>40.499999999999993</v>
      </c>
      <c r="L4" s="9" t="str">
        <f>IF(K4=0,"",IF(K4=CP4,$BT$1,IF(K4=BO4,$AS$1,IF(K4=AN4,$R$1,""))))</f>
        <v>2023 Nationals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>
        <f>IF(MAX(CU4:CV4)&gt;0,MAX(CU4:CV4),"")</f>
        <v>3.8000000000000043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15.9</v>
      </c>
      <c r="S4" s="20">
        <v>4.8</v>
      </c>
      <c r="T4" s="20">
        <v>0</v>
      </c>
      <c r="U4" s="20">
        <v>0.6</v>
      </c>
      <c r="V4" s="20">
        <v>13.4</v>
      </c>
      <c r="W4" s="20">
        <v>5.3</v>
      </c>
      <c r="X4" s="20">
        <v>0.2</v>
      </c>
      <c r="Y4" s="20">
        <v>0.6</v>
      </c>
      <c r="Z4" s="20">
        <v>15.6</v>
      </c>
      <c r="AA4" s="20">
        <v>4.5999999999999996</v>
      </c>
      <c r="AB4" s="20">
        <v>0</v>
      </c>
      <c r="AC4" s="20">
        <v>0.6</v>
      </c>
      <c r="AD4" s="20">
        <v>14.6</v>
      </c>
      <c r="AE4" s="20">
        <v>4.5999999999999996</v>
      </c>
      <c r="AF4" s="20">
        <v>0</v>
      </c>
      <c r="AG4" s="20">
        <v>0.6</v>
      </c>
      <c r="AH4" s="20">
        <v>16.600000000000001</v>
      </c>
      <c r="AI4" s="20">
        <v>4.5999999999999996</v>
      </c>
      <c r="AJ4" s="20">
        <v>0</v>
      </c>
      <c r="AK4" s="20">
        <v>0.6</v>
      </c>
      <c r="AL4" s="32"/>
      <c r="AM4" s="55">
        <f>IF(SUM(S4,W4)&gt;0,SUM(S4,W4),"")</f>
        <v>10.1</v>
      </c>
      <c r="AN4" s="55">
        <f>IF(SUM(R4:S4,U4:W4,Y4)-T4-X4&gt;0,SUM(R4:S4,U4:W4,Y4)-T4-X4,"")</f>
        <v>40.4</v>
      </c>
      <c r="AO4" s="55">
        <f>IF(SUM(Z4:AA4,AC4)-AB4&gt;0,SUM(Z4:AA4,AC4)-AB4,"")</f>
        <v>20.8</v>
      </c>
      <c r="AP4" s="55">
        <f>IF(SUM(AE4,AI4)&gt;0,SUM(AE4,AI4),"")</f>
        <v>9.1999999999999993</v>
      </c>
      <c r="AQ4" s="55">
        <f>IF(SUM(AD4:AE4,AG4:AI4,AK4)-SUM(AF4,AJ4)&gt;0,SUM(AD4:AE4,AG4:AI4,AK4)-SUM(AF4,AJ4),"")</f>
        <v>41.600000000000009</v>
      </c>
      <c r="AR4" s="55">
        <f>IF(SUM(AN4,AO4,AQ4)&gt;0,SUM(AN4,AO4,AQ4),"")</f>
        <v>102.80000000000001</v>
      </c>
      <c r="AS4" s="19">
        <v>14.8</v>
      </c>
      <c r="AT4" s="19">
        <v>4.8</v>
      </c>
      <c r="AU4" s="19">
        <v>0.2</v>
      </c>
      <c r="AV4" s="19">
        <v>0.6</v>
      </c>
      <c r="AW4" s="19">
        <v>15.9</v>
      </c>
      <c r="AX4" s="19">
        <v>4.3</v>
      </c>
      <c r="AY4" s="19">
        <v>0</v>
      </c>
      <c r="AZ4" s="19">
        <v>0.3</v>
      </c>
      <c r="BA4" s="19">
        <v>15.6</v>
      </c>
      <c r="BB4" s="19">
        <v>4.8</v>
      </c>
      <c r="BC4" s="19">
        <v>0</v>
      </c>
      <c r="BD4" s="19">
        <v>0.6</v>
      </c>
      <c r="BE4" s="19">
        <v>16.5</v>
      </c>
      <c r="BF4" s="19">
        <v>4.8</v>
      </c>
      <c r="BG4" s="19">
        <v>0.2</v>
      </c>
      <c r="BH4" s="19">
        <v>0.6</v>
      </c>
      <c r="BI4" s="19">
        <v>16</v>
      </c>
      <c r="BJ4" s="19">
        <v>5.3</v>
      </c>
      <c r="BK4" s="19">
        <v>0</v>
      </c>
      <c r="BL4" s="19">
        <v>0.6</v>
      </c>
      <c r="BM4" s="33"/>
      <c r="BN4" s="14">
        <f>IF(SUM(AT4,AX4)&gt;0,SUM(AT4,AX4),"")</f>
        <v>9.1</v>
      </c>
      <c r="BO4" s="14">
        <f>IF(SUM(AS4:AT4,AV4:AX4,AZ4)-AU4-AY4&gt;0,SUM(AS4:AT4,AV4:AX4,AZ4)-AU4-AY4,"")</f>
        <v>40.499999999999993</v>
      </c>
      <c r="BP4" s="14">
        <f>IF(SUM(BA4:BB4,BD4)-BC4&gt;0,SUM(BA4:BB4,BD4)-BC4,"")</f>
        <v>21</v>
      </c>
      <c r="BQ4" s="14">
        <f>IF(SUM(BF4,BJ4)&gt;0,SUM(BF4,BJ4),"")</f>
        <v>10.1</v>
      </c>
      <c r="BR4" s="14">
        <f>IF(SUM(BE4:BF4,BH4:BJ4,BL4)-SUM(BG4,BK4)&gt;0,SUM(BE4:BF4,BH4:BJ4,BL4)-SUM(BG4,BK4),"")</f>
        <v>43.6</v>
      </c>
      <c r="BS4" s="14">
        <f>IF(SUM(BO4,BP4,BR4)&gt;0,SUM(BO4,BP4,BR4),"")</f>
        <v>105.1</v>
      </c>
      <c r="BT4" s="20">
        <v>17.399999999999999</v>
      </c>
      <c r="BU4" s="20">
        <v>5.3</v>
      </c>
      <c r="BV4" s="20">
        <v>0</v>
      </c>
      <c r="BW4" s="20">
        <v>0.6</v>
      </c>
      <c r="BX4" s="20">
        <v>17.3</v>
      </c>
      <c r="BY4" s="20">
        <v>5.5</v>
      </c>
      <c r="BZ4" s="20">
        <v>0</v>
      </c>
      <c r="CA4" s="20">
        <v>0.6</v>
      </c>
      <c r="CB4" s="20">
        <v>17</v>
      </c>
      <c r="CC4" s="20">
        <v>5.5</v>
      </c>
      <c r="CD4" s="20">
        <v>0</v>
      </c>
      <c r="CE4" s="20">
        <v>0.6</v>
      </c>
      <c r="CF4" s="20">
        <v>17</v>
      </c>
      <c r="CG4" s="20">
        <v>5.3</v>
      </c>
      <c r="CH4" s="20">
        <v>0</v>
      </c>
      <c r="CI4" s="20">
        <v>0.6</v>
      </c>
      <c r="CJ4" s="20">
        <v>15.8</v>
      </c>
      <c r="CK4" s="20">
        <v>3.3</v>
      </c>
      <c r="CL4" s="20">
        <v>0</v>
      </c>
      <c r="CM4" s="20">
        <v>0.6</v>
      </c>
      <c r="CN4" s="32"/>
      <c r="CO4" s="55">
        <f>IF(SUM(BU4,BY4)&gt;0,SUM(BU4,BY4),"")</f>
        <v>10.8</v>
      </c>
      <c r="CP4" s="55">
        <f>IF(SUM(BT4:BU4,BW4:BY4,CA4)-BV4-BZ4&gt;0,SUM(BT4:BU4,BW4:BY4,CA4)-BV4-BZ4,"")</f>
        <v>46.7</v>
      </c>
      <c r="CQ4" s="55">
        <f>IF(SUM(CB4:CC4,CE4)-CD4&gt;0,SUM(CB4:CC4,CE4)-CD4,"")</f>
        <v>23.1</v>
      </c>
      <c r="CR4" s="55">
        <f>IF(SUM(CG4,CK4)&gt;0,SUM(CG4,CK4),"")</f>
        <v>8.6</v>
      </c>
      <c r="CS4" s="55">
        <f>IF(SUM(CF4:CG4,CI4:CK4,CM4)-SUM(CH4,CL4)&gt;0,SUM(CF4:CG4,CI4:CK4,CM4)-SUM(CH4,CL4),"")</f>
        <v>42.6</v>
      </c>
      <c r="CT4" s="55">
        <f>IF(SUM(CP4,CQ4,CS4)&gt;0,SUM(CP4,CQ4,CS4),"")</f>
        <v>112.4</v>
      </c>
      <c r="CU4" s="56">
        <f>IF(MAX(DR4,ER4,FR4,GR4,HR4,IR4,JR4,KR4,LR4,MR4,NR4,OR4)-IF(K4="",0,K4)&gt;0.001,MAX(DR4,ER4,FR4,GR4,HR4,IR4,JR4,KR4,LR4,MR4,NR4,OR4)-IF(K4="",0,K4),"")</f>
        <v>3.8000000000000043</v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5" si="0">IF($CN4="P",BT4,(BT4+AS4)/2)</f>
        <v>16.100000000000001</v>
      </c>
      <c r="OX4" s="27">
        <f t="shared" si="0"/>
        <v>5.05</v>
      </c>
      <c r="OY4" s="27">
        <f t="shared" si="0"/>
        <v>0.1</v>
      </c>
      <c r="OZ4" s="27">
        <f t="shared" si="0"/>
        <v>0.6</v>
      </c>
      <c r="PA4" s="27">
        <f t="shared" si="0"/>
        <v>16.600000000000001</v>
      </c>
      <c r="PB4" s="27">
        <f t="shared" si="0"/>
        <v>4.9000000000000004</v>
      </c>
      <c r="PC4" s="27">
        <f t="shared" si="0"/>
        <v>0</v>
      </c>
      <c r="PD4" s="27">
        <f t="shared" si="0"/>
        <v>0.44999999999999996</v>
      </c>
      <c r="PE4" s="27">
        <f t="shared" si="0"/>
        <v>16.3</v>
      </c>
      <c r="PF4" s="27">
        <f t="shared" si="0"/>
        <v>5.15</v>
      </c>
      <c r="PG4" s="27">
        <f t="shared" ref="PG4:PP5" si="1">IF($CN4="P",CD4,(CD4+BC4)/2)</f>
        <v>0</v>
      </c>
      <c r="PH4" s="27">
        <f t="shared" si="1"/>
        <v>0.6</v>
      </c>
      <c r="PI4" s="27">
        <f t="shared" si="1"/>
        <v>16.75</v>
      </c>
      <c r="PJ4" s="27">
        <f t="shared" si="1"/>
        <v>5.05</v>
      </c>
      <c r="PK4" s="27">
        <f t="shared" si="1"/>
        <v>0.1</v>
      </c>
      <c r="PL4" s="27">
        <f t="shared" si="1"/>
        <v>0.6</v>
      </c>
      <c r="PM4" s="27">
        <f t="shared" si="1"/>
        <v>15.9</v>
      </c>
      <c r="PN4" s="27">
        <f t="shared" si="1"/>
        <v>4.3</v>
      </c>
      <c r="PO4" s="27">
        <f t="shared" si="1"/>
        <v>0</v>
      </c>
      <c r="PP4" s="27">
        <f t="shared" si="1"/>
        <v>0.6</v>
      </c>
      <c r="PQ4" s="32" t="s">
        <v>44</v>
      </c>
      <c r="PR4" s="55">
        <f>IF(SUM(OX4,PB4)&gt;0,SUM(OX4,PB4),"")</f>
        <v>9.9499999999999993</v>
      </c>
      <c r="PS4" s="55">
        <f>IF(SUM(OW4:OX4,OZ4:PB4,PD4)-OY4-PC4&gt;0,SUM(OW4:OX4,OZ4:PB4,PD4)-OY4-PC4,"")</f>
        <v>43.600000000000009</v>
      </c>
      <c r="PT4" s="55">
        <f>IF(SUM(PE4:PF4,PH4)-PG4&gt;0,SUM(PE4:PF4,PH4)-PG4,"")</f>
        <v>22.050000000000004</v>
      </c>
      <c r="PU4" s="55">
        <f>IF(SUM(PJ4,PN4)&gt;0,SUM(PJ4,PN4),"")</f>
        <v>9.35</v>
      </c>
      <c r="PV4" s="55">
        <f>IF(SUM(PI4:PJ4,PL4:PN4,PP4)-SUM(PK4,PO4)&gt;0,SUM(PI4:PJ4,PL4:PN4,PP4)-SUM(PK4,PO4),"")</f>
        <v>43.1</v>
      </c>
      <c r="PW4" s="55">
        <f>IF(SUM(PS4,PT4,PV4)&gt;0,SUM(PS4,PT4,PV4),"")</f>
        <v>108.75</v>
      </c>
    </row>
    <row r="5" spans="1:439" x14ac:dyDescent="0.2">
      <c r="A5" s="4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>2</v>
      </c>
      <c r="B5" s="5" t="s">
        <v>80</v>
      </c>
      <c r="C5" s="4" t="s">
        <v>65</v>
      </c>
      <c r="D5" s="4">
        <v>2008</v>
      </c>
      <c r="E5" s="10">
        <f>SUM(I5:O5)+SUM(I5:M5)*0.0000001+SUM(I5)*0.0000000000001</f>
        <v>130.90001295000431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National Team</v>
      </c>
      <c r="I5" s="9">
        <f>IF(COUNT(AN5,BO5,CP5)&gt;0,LARGE((AN5,BO5,CP5),1),0)</f>
        <v>43.199999999999996</v>
      </c>
      <c r="J5" s="9" t="str">
        <f>IF(I5=0,"",IF(I5=CP5,$BT$1,IF(I5=BO5,$AS$1,IF(I5=AN5,$R$1,""))))</f>
        <v>2023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44.4</v>
      </c>
      <c r="N5" s="9" t="str">
        <f>IF(M5=0,"",IF(M5=CS5,$BT$1,IF(M5=BR5,$AS$1,IF(M5=AQ5,$R$1,""))))</f>
        <v>2023 Elite Canada</v>
      </c>
      <c r="O5" s="9">
        <f>IF(MAX(CU5:CV5)&gt;0,MAX(CU5:CV5),"")</f>
        <v>1.3999999999999915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16.2</v>
      </c>
      <c r="S5" s="20">
        <v>5.0999999999999996</v>
      </c>
      <c r="T5" s="20">
        <v>0</v>
      </c>
      <c r="U5" s="20">
        <v>0.3</v>
      </c>
      <c r="V5" s="20">
        <v>16</v>
      </c>
      <c r="W5" s="20">
        <v>5</v>
      </c>
      <c r="X5" s="20">
        <v>0</v>
      </c>
      <c r="Y5" s="20">
        <v>0.6</v>
      </c>
      <c r="Z5" s="20">
        <v>16.3</v>
      </c>
      <c r="AA5" s="20">
        <v>5</v>
      </c>
      <c r="AB5" s="20">
        <v>0</v>
      </c>
      <c r="AC5" s="20">
        <v>0.6</v>
      </c>
      <c r="AD5" s="20">
        <v>16.5</v>
      </c>
      <c r="AE5" s="20">
        <v>5</v>
      </c>
      <c r="AF5" s="20">
        <v>0</v>
      </c>
      <c r="AG5" s="20">
        <v>0.6</v>
      </c>
      <c r="AH5" s="20">
        <v>16.899999999999999</v>
      </c>
      <c r="AI5" s="20">
        <v>4.8</v>
      </c>
      <c r="AJ5" s="20">
        <v>0</v>
      </c>
      <c r="AK5" s="20">
        <v>0.6</v>
      </c>
      <c r="AL5" s="32"/>
      <c r="AM5" s="55">
        <f>IF(SUM(S5,W5)&gt;0,SUM(S5,W5),"")</f>
        <v>10.1</v>
      </c>
      <c r="AN5" s="55">
        <f>IF(SUM(R5:S5,U5:W5,Y5)-T5-X5&gt;0,SUM(R5:S5,U5:W5,Y5)-T5-X5,"")</f>
        <v>43.199999999999996</v>
      </c>
      <c r="AO5" s="55">
        <f>IF(SUM(Z5:AA5,AC5)-AB5&gt;0,SUM(Z5:AA5,AC5)-AB5,"")</f>
        <v>21.900000000000002</v>
      </c>
      <c r="AP5" s="55">
        <f>IF(SUM(AE5,AI5)&gt;0,SUM(AE5,AI5),"")</f>
        <v>9.8000000000000007</v>
      </c>
      <c r="AQ5" s="55">
        <f>IF(SUM(AD5:AE5,AG5:AI5,AK5)-SUM(AF5,AJ5)&gt;0,SUM(AD5:AE5,AG5:AI5,AK5)-SUM(AF5,AJ5),"")</f>
        <v>44.4</v>
      </c>
      <c r="AR5" s="55">
        <f>IF(SUM(AN5,AO5,AQ5)&gt;0,SUM(AN5,AO5,AQ5),"")</f>
        <v>109.5</v>
      </c>
      <c r="AS5" s="19">
        <v>15.5</v>
      </c>
      <c r="AT5" s="19">
        <v>5.0999999999999996</v>
      </c>
      <c r="AU5" s="19">
        <v>0</v>
      </c>
      <c r="AV5" s="19">
        <v>0.3</v>
      </c>
      <c r="AW5" s="19">
        <v>14.7</v>
      </c>
      <c r="AX5" s="19">
        <v>5.7</v>
      </c>
      <c r="AY5" s="19">
        <v>0</v>
      </c>
      <c r="AZ5" s="19">
        <v>0.6</v>
      </c>
      <c r="BA5" s="19">
        <v>15.9</v>
      </c>
      <c r="BB5" s="19">
        <v>5.0999999999999996</v>
      </c>
      <c r="BC5" s="19">
        <v>0</v>
      </c>
      <c r="BD5" s="19">
        <v>0.3</v>
      </c>
      <c r="BE5" s="19">
        <v>16.7</v>
      </c>
      <c r="BF5" s="19">
        <v>5.3</v>
      </c>
      <c r="BG5" s="19">
        <v>0</v>
      </c>
      <c r="BH5" s="19">
        <v>0.3</v>
      </c>
      <c r="BI5" s="19">
        <v>15.4</v>
      </c>
      <c r="BJ5" s="19">
        <v>5.5</v>
      </c>
      <c r="BK5" s="19">
        <v>0</v>
      </c>
      <c r="BL5" s="19">
        <v>0.6</v>
      </c>
      <c r="BM5" s="33"/>
      <c r="BN5" s="14">
        <f>IF(SUM(AT5,AX5)&gt;0,SUM(AT5,AX5),"")</f>
        <v>10.8</v>
      </c>
      <c r="BO5" s="14">
        <f>IF(SUM(AS5:AT5,AV5:AX5,AZ5)-AU5-AY5&gt;0,SUM(AS5:AT5,AV5:AX5,AZ5)-AU5-AY5,"")</f>
        <v>41.900000000000006</v>
      </c>
      <c r="BP5" s="14">
        <f>IF(SUM(BA5:BB5,BD5)-BC5&gt;0,SUM(BA5:BB5,BD5)-BC5,"")</f>
        <v>21.3</v>
      </c>
      <c r="BQ5" s="14">
        <f>IF(SUM(BF5,BJ5)&gt;0,SUM(BF5,BJ5),"")</f>
        <v>10.8</v>
      </c>
      <c r="BR5" s="14">
        <f>IF(SUM(BE5:BF5,BH5:BJ5,BL5)-SUM(BG5,BK5)&gt;0,SUM(BE5:BF5,BH5:BJ5,BL5)-SUM(BG5,BK5),"")</f>
        <v>43.800000000000004</v>
      </c>
      <c r="BS5" s="14">
        <f>IF(SUM(BO5,BP5,BR5)&gt;0,SUM(BO5,BP5,BR5),"")</f>
        <v>107</v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>
        <f>IF(MAX(DR5,ER5,FR5,GR5,HR5,IR5,JR5,KR5,LR5,MR5,NR5,OR5)-IF(K5="",0,K5)&gt;0.001,MAX(DR5,ER5,FR5,GR5,HR5,IR5,JR5,KR5,LR5,MR5,NR5,OR5)-IF(K5="",0,K5),"")</f>
        <v>1.3999999999999915</v>
      </c>
      <c r="CV5" s="56" t="str">
        <f>IF(MAX(DU5,EU5,FU5,GU5,HU5,IU5,JU5,KU5,LU5,MU5,NU5,OU5)-IF(M5="",0,M5)&gt;0.001,MAX(DU5,EU5,FU5,GU5,HU5,IU5,JU5,KU5,LU5,MU5,NU5,OU5)-IF(M5="",0,M5),"")</f>
        <v/>
      </c>
      <c r="CW5" s="18">
        <v>16.2</v>
      </c>
      <c r="CX5" s="18">
        <v>5.8</v>
      </c>
      <c r="CY5" s="18">
        <v>0</v>
      </c>
      <c r="CZ5" s="18">
        <v>0</v>
      </c>
      <c r="DA5" s="18">
        <v>16.3</v>
      </c>
      <c r="DB5" s="18">
        <v>5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10.8</v>
      </c>
      <c r="DR5" s="55">
        <f>IF(SUM(CW5:CX5,CZ5:DB5,DD5)-CY5-DC5&gt;0,SUM(CW5:CX5,CZ5:DB5,DD5)-CY5-DC5,"")</f>
        <v>43.3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7.75</v>
      </c>
      <c r="OX5" s="27">
        <f t="shared" si="0"/>
        <v>2.5499999999999998</v>
      </c>
      <c r="OY5" s="27">
        <f t="shared" si="0"/>
        <v>0</v>
      </c>
      <c r="OZ5" s="27">
        <f t="shared" si="0"/>
        <v>0.15</v>
      </c>
      <c r="PA5" s="27">
        <f t="shared" si="0"/>
        <v>7.35</v>
      </c>
      <c r="PB5" s="27">
        <f t="shared" si="0"/>
        <v>2.85</v>
      </c>
      <c r="PC5" s="27">
        <f t="shared" si="0"/>
        <v>0</v>
      </c>
      <c r="PD5" s="27">
        <f t="shared" si="0"/>
        <v>0.3</v>
      </c>
      <c r="PE5" s="27">
        <f t="shared" si="0"/>
        <v>7.95</v>
      </c>
      <c r="PF5" s="27">
        <f t="shared" si="0"/>
        <v>2.5499999999999998</v>
      </c>
      <c r="PG5" s="27">
        <f t="shared" si="1"/>
        <v>0</v>
      </c>
      <c r="PH5" s="27">
        <f t="shared" si="1"/>
        <v>0.15</v>
      </c>
      <c r="PI5" s="27">
        <f t="shared" si="1"/>
        <v>8.35</v>
      </c>
      <c r="PJ5" s="27">
        <f t="shared" si="1"/>
        <v>2.65</v>
      </c>
      <c r="PK5" s="27">
        <f t="shared" si="1"/>
        <v>0</v>
      </c>
      <c r="PL5" s="27">
        <f t="shared" si="1"/>
        <v>0.15</v>
      </c>
      <c r="PM5" s="27">
        <f t="shared" si="1"/>
        <v>7.7</v>
      </c>
      <c r="PN5" s="27">
        <f t="shared" si="1"/>
        <v>2.75</v>
      </c>
      <c r="PO5" s="27">
        <f t="shared" si="1"/>
        <v>0</v>
      </c>
      <c r="PP5" s="27">
        <f t="shared" si="1"/>
        <v>0.3</v>
      </c>
      <c r="PQ5" s="32" t="s">
        <v>44</v>
      </c>
      <c r="PR5" s="55">
        <f>IF(SUM(OX5,PB5)&gt;0,SUM(OX5,PB5),"")</f>
        <v>5.4</v>
      </c>
      <c r="PS5" s="55">
        <f>IF(SUM(OW5:OX5,OZ5:PB5,PD5)-OY5-PC5&gt;0,SUM(OW5:OX5,OZ5:PB5,PD5)-OY5-PC5,"")</f>
        <v>20.950000000000003</v>
      </c>
      <c r="PT5" s="55">
        <f>IF(SUM(PE5:PF5,PH5)-PG5&gt;0,SUM(PE5:PF5,PH5)-PG5,"")</f>
        <v>10.65</v>
      </c>
      <c r="PU5" s="55">
        <f>IF(SUM(PJ5,PN5)&gt;0,SUM(PJ5,PN5),"")</f>
        <v>5.4</v>
      </c>
      <c r="PV5" s="55">
        <f>IF(SUM(PI5:PJ5,PL5:PN5,PP5)-SUM(PK5,PO5)&gt;0,SUM(PI5:PJ5,PL5:PN5,PP5)-SUM(PK5,PO5),"")</f>
        <v>21.900000000000002</v>
      </c>
      <c r="PW5" s="55">
        <f>IF(SUM(PS5,PT5,PV5)&gt;0,SUM(PS5,PT5,PV5),"")</f>
        <v>53.5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8.6999999999999993</v>
      </c>
      <c r="BN8" s="4"/>
      <c r="BS8" s="57">
        <v>8.6999999999999993</v>
      </c>
      <c r="CO8" s="4"/>
      <c r="CT8" s="57">
        <v>8.6999999999999993</v>
      </c>
      <c r="DQ8" s="4"/>
      <c r="DV8" s="57">
        <v>8.6999999999999993</v>
      </c>
      <c r="EQ8" s="4"/>
      <c r="EV8" s="57">
        <v>8.6999999999999993</v>
      </c>
      <c r="FQ8" s="4"/>
      <c r="FV8" s="57">
        <v>8.6999999999999993</v>
      </c>
      <c r="GQ8" s="4"/>
      <c r="GV8" s="57">
        <v>8.6999999999999993</v>
      </c>
      <c r="HQ8" s="4"/>
      <c r="HV8" s="57">
        <v>8.6999999999999993</v>
      </c>
      <c r="IQ8" s="4"/>
      <c r="IV8" s="57">
        <v>8.6999999999999993</v>
      </c>
      <c r="JQ8" s="4"/>
      <c r="JV8" s="57">
        <v>8.6999999999999993</v>
      </c>
      <c r="KQ8" s="4"/>
      <c r="KV8" s="57">
        <v>8.6999999999999993</v>
      </c>
      <c r="LQ8" s="4"/>
      <c r="LV8" s="57">
        <v>8.6999999999999993</v>
      </c>
      <c r="MQ8" s="4"/>
      <c r="MV8" s="57">
        <v>8.6999999999999993</v>
      </c>
      <c r="NQ8" s="4"/>
      <c r="NV8" s="57">
        <v>8.6999999999999993</v>
      </c>
      <c r="OQ8" s="4"/>
      <c r="OV8" s="57">
        <v>8.6999999999999993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9.5</v>
      </c>
      <c r="BN9" s="4"/>
      <c r="BS9" s="58">
        <f>BS10</f>
        <v>9.5</v>
      </c>
      <c r="CO9" s="4"/>
      <c r="CT9" s="58">
        <f>CT10</f>
        <v>9.5</v>
      </c>
      <c r="DQ9" s="4"/>
      <c r="DV9" s="58">
        <f>DV10</f>
        <v>9.5</v>
      </c>
      <c r="EQ9" s="4"/>
      <c r="EV9" s="58">
        <f>EV10</f>
        <v>9.5</v>
      </c>
      <c r="FQ9" s="4"/>
      <c r="FV9" s="58">
        <f>FV10</f>
        <v>9.5</v>
      </c>
      <c r="GQ9" s="4"/>
      <c r="GV9" s="58">
        <f>GV10</f>
        <v>9.5</v>
      </c>
      <c r="HQ9" s="4"/>
      <c r="HV9" s="58">
        <f>HV10</f>
        <v>9.5</v>
      </c>
      <c r="IQ9" s="4"/>
      <c r="IV9" s="58">
        <f>IV10</f>
        <v>9.5</v>
      </c>
      <c r="JQ9" s="4"/>
      <c r="JV9" s="58">
        <f>JV10</f>
        <v>9.5</v>
      </c>
      <c r="KQ9" s="4"/>
      <c r="KV9" s="58">
        <f>KV10</f>
        <v>9.5</v>
      </c>
      <c r="LQ9" s="4"/>
      <c r="LV9" s="58">
        <f>LV10</f>
        <v>9.5</v>
      </c>
      <c r="MQ9" s="4"/>
      <c r="MV9" s="58">
        <f>MV10</f>
        <v>9.5</v>
      </c>
      <c r="NQ9" s="4"/>
      <c r="NV9" s="58">
        <f>NV10</f>
        <v>9.5</v>
      </c>
      <c r="OQ9" s="4"/>
      <c r="OV9" s="58">
        <f>OV10</f>
        <v>9.5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9.5</v>
      </c>
      <c r="BN10" s="4"/>
      <c r="BS10" s="59">
        <v>9.5</v>
      </c>
      <c r="CO10" s="4"/>
      <c r="CT10" s="59">
        <v>9.5</v>
      </c>
      <c r="DQ10" s="4"/>
      <c r="DV10" s="59">
        <v>9.5</v>
      </c>
      <c r="EQ10" s="4"/>
      <c r="EV10" s="59">
        <v>9.5</v>
      </c>
      <c r="FQ10" s="4"/>
      <c r="FV10" s="59">
        <v>9.5</v>
      </c>
      <c r="GQ10" s="4"/>
      <c r="GV10" s="59">
        <v>9.5</v>
      </c>
      <c r="HQ10" s="4"/>
      <c r="HV10" s="59">
        <v>9.5</v>
      </c>
      <c r="IQ10" s="4"/>
      <c r="IV10" s="59">
        <v>9.5</v>
      </c>
      <c r="JQ10" s="4"/>
      <c r="JV10" s="59">
        <v>9.5</v>
      </c>
      <c r="KQ10" s="4"/>
      <c r="KV10" s="59">
        <v>9.5</v>
      </c>
      <c r="LQ10" s="4"/>
      <c r="LV10" s="59">
        <v>9.5</v>
      </c>
      <c r="MQ10" s="4"/>
      <c r="MV10" s="59">
        <v>9.5</v>
      </c>
      <c r="NQ10" s="4"/>
      <c r="NV10" s="59">
        <v>9.5</v>
      </c>
      <c r="OQ10" s="4"/>
      <c r="OV10" s="59">
        <v>9.5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43.1</v>
      </c>
      <c r="BN12" s="4"/>
      <c r="BS12" s="61">
        <v>43.1</v>
      </c>
      <c r="CO12" s="4"/>
      <c r="CT12" s="61">
        <v>43.1</v>
      </c>
      <c r="DQ12" s="4"/>
      <c r="DV12" s="61">
        <v>43.1</v>
      </c>
      <c r="EQ12" s="4"/>
      <c r="EV12" s="61">
        <v>43.1</v>
      </c>
      <c r="FQ12" s="4"/>
      <c r="FV12" s="61">
        <v>43.1</v>
      </c>
      <c r="GQ12" s="4"/>
      <c r="GV12" s="61">
        <v>43.1</v>
      </c>
      <c r="HQ12" s="4"/>
      <c r="HV12" s="61">
        <v>43.1</v>
      </c>
      <c r="IQ12" s="4"/>
      <c r="IV12" s="61">
        <v>43.1</v>
      </c>
      <c r="JQ12" s="4"/>
      <c r="JV12" s="61">
        <v>43.1</v>
      </c>
      <c r="KQ12" s="4"/>
      <c r="KV12" s="61">
        <v>43.1</v>
      </c>
      <c r="LQ12" s="4"/>
      <c r="LV12" s="61">
        <v>43.1</v>
      </c>
      <c r="MQ12" s="4"/>
      <c r="MV12" s="61">
        <v>43.1</v>
      </c>
      <c r="NQ12" s="4"/>
      <c r="NV12" s="61">
        <v>43.1</v>
      </c>
      <c r="OQ12" s="4"/>
      <c r="OV12" s="61">
        <v>43.1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45.1</v>
      </c>
      <c r="BN13" s="4"/>
      <c r="BS13" s="62">
        <f>BS14</f>
        <v>45.1</v>
      </c>
      <c r="CO13" s="4"/>
      <c r="CT13" s="62">
        <f>CT14</f>
        <v>45.1</v>
      </c>
      <c r="DQ13" s="4"/>
      <c r="DV13" s="62">
        <f>DV14</f>
        <v>45.1</v>
      </c>
      <c r="EQ13" s="4"/>
      <c r="EV13" s="62">
        <f>EV14</f>
        <v>45.1</v>
      </c>
      <c r="FQ13" s="4"/>
      <c r="FV13" s="62">
        <f>FV14</f>
        <v>45.1</v>
      </c>
      <c r="GQ13" s="4"/>
      <c r="GV13" s="62">
        <f>GV14</f>
        <v>45.1</v>
      </c>
      <c r="HQ13" s="4"/>
      <c r="HV13" s="62">
        <f>HV14</f>
        <v>45.1</v>
      </c>
      <c r="IQ13" s="4"/>
      <c r="IV13" s="62">
        <f>IV14</f>
        <v>45.1</v>
      </c>
      <c r="JQ13" s="4"/>
      <c r="JV13" s="62">
        <f>JV14</f>
        <v>45.1</v>
      </c>
      <c r="KQ13" s="4"/>
      <c r="KV13" s="62">
        <f>KV14</f>
        <v>45.1</v>
      </c>
      <c r="LQ13" s="4"/>
      <c r="LV13" s="62">
        <f>LV14</f>
        <v>45.1</v>
      </c>
      <c r="MQ13" s="4"/>
      <c r="MV13" s="62">
        <f>MV14</f>
        <v>45.1</v>
      </c>
      <c r="NQ13" s="4"/>
      <c r="NV13" s="62">
        <f>NV14</f>
        <v>45.1</v>
      </c>
      <c r="OQ13" s="4"/>
      <c r="OV13" s="62">
        <f>OV14</f>
        <v>45.1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45.1</v>
      </c>
      <c r="BN14" s="4"/>
      <c r="BS14" s="63">
        <v>45.1</v>
      </c>
      <c r="CO14" s="4"/>
      <c r="CT14" s="63">
        <v>45.1</v>
      </c>
      <c r="DQ14" s="4"/>
      <c r="DV14" s="63">
        <v>45.1</v>
      </c>
      <c r="EQ14" s="4"/>
      <c r="EV14" s="63">
        <v>45.1</v>
      </c>
      <c r="FQ14" s="4"/>
      <c r="FV14" s="63">
        <v>45.1</v>
      </c>
      <c r="GQ14" s="4"/>
      <c r="GV14" s="63">
        <v>45.1</v>
      </c>
      <c r="HQ14" s="4"/>
      <c r="HV14" s="63">
        <v>45.1</v>
      </c>
      <c r="IQ14" s="4"/>
      <c r="IV14" s="63">
        <v>45.1</v>
      </c>
      <c r="JQ14" s="4"/>
      <c r="JV14" s="63">
        <v>45.1</v>
      </c>
      <c r="KQ14" s="4"/>
      <c r="KV14" s="63">
        <v>45.1</v>
      </c>
      <c r="LQ14" s="4"/>
      <c r="LV14" s="63">
        <v>45.1</v>
      </c>
      <c r="MQ14" s="4"/>
      <c r="MV14" s="63">
        <v>45.1</v>
      </c>
      <c r="NQ14" s="4"/>
      <c r="NV14" s="63">
        <v>45.1</v>
      </c>
      <c r="OQ14" s="4"/>
      <c r="OV14" s="63">
        <v>45.1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115" priority="2" stopIfTrue="1">
      <formula>IF($AL4&lt;&gt;"",1,0)</formula>
    </cfRule>
  </conditionalFormatting>
  <conditionalFormatting sqref="AS4:BS5">
    <cfRule type="expression" dxfId="114" priority="3" stopIfTrue="1">
      <formula>IF($BM4&lt;&gt;"",1,0)</formula>
    </cfRule>
  </conditionalFormatting>
  <conditionalFormatting sqref="J1:J1048576 L1:L1048576 N1:N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5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53803" operator="between">
      <formula>AR$11</formula>
      <formula>1000</formula>
    </cfRule>
    <cfRule type="cellIs" dxfId="101" priority="53804" operator="between">
      <formula>AR$10</formula>
      <formula>AR$11</formula>
    </cfRule>
    <cfRule type="cellIs" dxfId="100" priority="53805" operator="between">
      <formula>AR$9</formula>
      <formula>AR$10</formula>
    </cfRule>
    <cfRule type="cellIs" dxfId="99" priority="5380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53983" operator="between">
      <formula>AR$15</formula>
      <formula>1000</formula>
    </cfRule>
    <cfRule type="cellIs" dxfId="97" priority="53984" operator="between">
      <formula>AR$14</formula>
      <formula>AR$15</formula>
    </cfRule>
    <cfRule type="cellIs" dxfId="96" priority="53985" operator="between">
      <formula>AR$13</formula>
      <formula>AR$14</formula>
    </cfRule>
    <cfRule type="cellIs" dxfId="95" priority="53986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54163" operator="between">
      <formula>AR$8</formula>
      <formula>AR$9</formula>
    </cfRule>
    <cfRule type="cellIs" dxfId="93" priority="54164" operator="between">
      <formula>AR$9</formula>
      <formula>AR$10</formula>
    </cfRule>
    <cfRule type="cellIs" dxfId="92" priority="54165" operator="between">
      <formula>AR$10</formula>
      <formula>AR$11</formula>
    </cfRule>
    <cfRule type="cellIs" dxfId="91" priority="54166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54343" operator="between">
      <formula>AR$12</formula>
      <formula>AR$13</formula>
    </cfRule>
    <cfRule type="cellIs" dxfId="89" priority="54344" operator="between">
      <formula>AR$13</formula>
      <formula>AR$14</formula>
    </cfRule>
    <cfRule type="cellIs" dxfId="88" priority="54345" operator="between">
      <formula>AR$14</formula>
      <formula>AR$15</formula>
    </cfRule>
    <cfRule type="cellIs" dxfId="87" priority="54346" operator="between">
      <formula>AR$15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95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t="str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/>
      </c>
      <c r="B4" s="5" t="s">
        <v>100</v>
      </c>
      <c r="C4" s="4"/>
      <c r="D4" s="4"/>
      <c r="E4" s="10">
        <f>SUM(I4:O4)+SUM(I4:M4)*0.0000001+SUM(I4)*0.0000000000001</f>
        <v>0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/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/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/>
      </c>
      <c r="I4" s="9">
        <f>IF(COUNT(AN4,BO4,CP4)&gt;0,LARGE((AN4,BO4,CP4),1),0)</f>
        <v>0</v>
      </c>
      <c r="J4" s="9" t="str">
        <f>IF(I4=0,"",IF(I4=CP4,$BT$1,IF(I4=BO4,$AS$1,IF(I4=AN4,$R$1,""))))</f>
        <v/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0</v>
      </c>
      <c r="N4" s="9" t="str">
        <f>IF(M4=0,"",IF(M4=CS4,$BT$1,IF(M4=BR4,$AS$1,IF(M4=AQ4,$R$1,""))))</f>
        <v/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IF(SUM(CP4,CQ4,CS4)&gt;0,SUM(CP4,CQ4,CS4),"")</f>
        <v/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4" si="0">IF($CN4="P",BT4,(BT4+AS4)/2)</f>
        <v>0</v>
      </c>
      <c r="OX4" s="27">
        <f t="shared" si="0"/>
        <v>0</v>
      </c>
      <c r="OY4" s="27">
        <f t="shared" si="0"/>
        <v>0</v>
      </c>
      <c r="OZ4" s="27">
        <f t="shared" si="0"/>
        <v>0</v>
      </c>
      <c r="PA4" s="27">
        <f t="shared" si="0"/>
        <v>0</v>
      </c>
      <c r="PB4" s="27">
        <f t="shared" si="0"/>
        <v>0</v>
      </c>
      <c r="PC4" s="27">
        <f t="shared" si="0"/>
        <v>0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4" si="1">IF($CN4="P",CD4,(CD4+BC4)/2)</f>
        <v>0</v>
      </c>
      <c r="PH4" s="27">
        <f t="shared" si="1"/>
        <v>0</v>
      </c>
      <c r="PI4" s="27">
        <f t="shared" si="1"/>
        <v>0</v>
      </c>
      <c r="PJ4" s="27">
        <f t="shared" si="1"/>
        <v>0</v>
      </c>
      <c r="PK4" s="27">
        <f t="shared" si="1"/>
        <v>0</v>
      </c>
      <c r="PL4" s="27">
        <f t="shared" si="1"/>
        <v>0</v>
      </c>
      <c r="PM4" s="27">
        <f t="shared" si="1"/>
        <v>0</v>
      </c>
      <c r="PN4" s="27">
        <f t="shared" si="1"/>
        <v>0</v>
      </c>
      <c r="PO4" s="27">
        <f t="shared" si="1"/>
        <v>0</v>
      </c>
      <c r="PP4" s="27">
        <f t="shared" si="1"/>
        <v>0</v>
      </c>
      <c r="PQ4" s="32" t="s">
        <v>44</v>
      </c>
      <c r="PR4" s="55" t="str">
        <f>IF(SUM(OX4,PB4)&gt;0,SUM(OX4,PB4),"")</f>
        <v/>
      </c>
      <c r="PS4" s="55" t="str">
        <f>IF(SUM(OW4:OX4,OZ4:PB4,PD4)-OY4-PC4&gt;0,SUM(OW4:OX4,OZ4:PB4,PD4)-OY4-PC4,"")</f>
        <v/>
      </c>
      <c r="PT4" s="55" t="str">
        <f>IF(SUM(PE4:PF4,PH4)-PG4&gt;0,SUM(PE4:PF4,PH4)-PG4,"")</f>
        <v/>
      </c>
      <c r="PU4" s="55" t="str">
        <f>IF(SUM(PJ4,PN4)&gt;0,SUM(PJ4,PN4),"")</f>
        <v/>
      </c>
      <c r="PV4" s="55" t="str">
        <f>IF(SUM(PI4:PJ4,PL4:PN4,PP4)-SUM(PK4,PO4)&gt;0,SUM(PI4:PJ4,PL4:PN4,PP4)-SUM(PK4,PO4),"")</f>
        <v/>
      </c>
      <c r="PW4" s="55" t="str">
        <f>IF(SUM(PS4,PT4,PV4)&gt;0,SUM(PS4,PT4,PV4),"")</f>
        <v/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7.3</v>
      </c>
      <c r="BN7" s="4"/>
      <c r="BS7" s="57">
        <v>7.3</v>
      </c>
      <c r="CO7" s="4"/>
      <c r="CT7" s="57">
        <v>7.3</v>
      </c>
      <c r="DQ7" s="4"/>
      <c r="DV7" s="57">
        <v>7.3</v>
      </c>
      <c r="EQ7" s="4"/>
      <c r="EV7" s="57">
        <v>7.3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x14ac:dyDescent="0.2">
      <c r="B8" s="35" t="s">
        <v>41</v>
      </c>
      <c r="O8" s="11"/>
      <c r="P8" s="11"/>
      <c r="Q8" s="11"/>
      <c r="AM8" s="4"/>
      <c r="AR8" s="58">
        <v>7.2</v>
      </c>
      <c r="BN8" s="4"/>
      <c r="BS8" s="58">
        <v>8</v>
      </c>
      <c r="CO8" s="4"/>
      <c r="CT8" s="58">
        <v>8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8</v>
      </c>
      <c r="BN9" s="4"/>
      <c r="BS9" s="59">
        <v>8</v>
      </c>
      <c r="CO9" s="4"/>
      <c r="CT9" s="59">
        <v>8</v>
      </c>
      <c r="DQ9" s="4"/>
      <c r="DV9" s="59">
        <v>8</v>
      </c>
      <c r="EQ9" s="4"/>
      <c r="EV9" s="59">
        <v>8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41.7</v>
      </c>
      <c r="BN11" s="4"/>
      <c r="BS11" s="61">
        <v>41.7</v>
      </c>
      <c r="CO11" s="4"/>
      <c r="CT11" s="61">
        <v>41.7</v>
      </c>
      <c r="DQ11" s="4"/>
      <c r="DV11" s="61">
        <v>41.7</v>
      </c>
      <c r="EQ11" s="4"/>
      <c r="EV11" s="61">
        <v>41.7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42.5</v>
      </c>
      <c r="BN13" s="4"/>
      <c r="BS13" s="63">
        <v>42.5</v>
      </c>
      <c r="CO13" s="4"/>
      <c r="CT13" s="63">
        <v>42.5</v>
      </c>
      <c r="DQ13" s="4"/>
      <c r="DV13" s="63">
        <v>42.5</v>
      </c>
      <c r="EQ13" s="4"/>
      <c r="EV13" s="63">
        <v>42.5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4">
      <sortCondition descending="1" ref="F1:F5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4">
    <cfRule type="expression" dxfId="86" priority="6" stopIfTrue="1">
      <formula>IF($AL4&lt;&gt;"",1,0)</formula>
    </cfRule>
  </conditionalFormatting>
  <conditionalFormatting sqref="AS4:BS4">
    <cfRule type="expression" dxfId="85" priority="11" stopIfTrue="1">
      <formula>IF($BM4&lt;&gt;"",1,0)</formula>
    </cfRule>
  </conditionalFormatting>
  <conditionalFormatting sqref="J1:J1048576 L1:L1048576 N1:N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4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54396" operator="between">
      <formula>AR$10</formula>
      <formula>1000</formula>
    </cfRule>
    <cfRule type="cellIs" dxfId="72" priority="54397" operator="between">
      <formula>AR$9</formula>
      <formula>AR$10</formula>
    </cfRule>
    <cfRule type="cellIs" dxfId="71" priority="54398" operator="between">
      <formula>AR$8</formula>
      <formula>AR$9</formula>
    </cfRule>
    <cfRule type="cellIs" dxfId="70" priority="54399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54576" operator="between">
      <formula>AR$14</formula>
      <formula>1000</formula>
    </cfRule>
    <cfRule type="cellIs" dxfId="68" priority="54577" operator="between">
      <formula>AR$13</formula>
      <formula>AR$14</formula>
    </cfRule>
    <cfRule type="cellIs" dxfId="67" priority="54578" operator="between">
      <formula>AR$12</formula>
      <formula>AR$13</formula>
    </cfRule>
    <cfRule type="cellIs" dxfId="66" priority="54579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54756" operator="between">
      <formula>AR$7</formula>
      <formula>AR$8</formula>
    </cfRule>
    <cfRule type="cellIs" dxfId="64" priority="54757" operator="between">
      <formula>AR$8</formula>
      <formula>AR$9</formula>
    </cfRule>
    <cfRule type="cellIs" dxfId="63" priority="54758" operator="between">
      <formula>AR$9</formula>
      <formula>AR$10</formula>
    </cfRule>
    <cfRule type="cellIs" dxfId="62" priority="54759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54936" operator="between">
      <formula>AR$11</formula>
      <formula>AR$12</formula>
    </cfRule>
    <cfRule type="cellIs" dxfId="60" priority="54937" operator="between">
      <formula>AR$12</formula>
      <formula>AR$13</formula>
    </cfRule>
    <cfRule type="cellIs" dxfId="59" priority="54938" operator="between">
      <formula>AR$13</formula>
      <formula>AR$14</formula>
    </cfRule>
    <cfRule type="cellIs" dxfId="58" priority="54939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95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86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85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97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81</v>
      </c>
      <c r="C4" s="4" t="s">
        <v>66</v>
      </c>
      <c r="D4" s="4">
        <v>2008</v>
      </c>
      <c r="E4" s="10">
        <f>SUM(I4:O4)+SUM(I4:M4)*0.0000001+SUM(I4)*0.0000000000001</f>
        <v>154.00001478000496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49.4</v>
      </c>
      <c r="J4" s="9" t="str">
        <f>IF(I4=0,"",IF(I4=CP4,$BT$1,IF(I4=BO4,$AS$1,IF(I4=AN4,$R$1,""))))</f>
        <v>2023 Elite Canada</v>
      </c>
      <c r="K4" s="9">
        <f>IF(COUNT(AN4,BO4,CP4)&gt;1,LARGE((AN4,BO4,CP4),2),0)</f>
        <v>46.599999999999994</v>
      </c>
      <c r="L4" s="9" t="str">
        <f>IF(K4=0,"",IF(K4=CP4,$BT$1,IF(K4=BO4,$AS$1,IF(K4=AN4,$R$1,""))))</f>
        <v>2023 3rd Domestic Trial</v>
      </c>
      <c r="M4" s="9">
        <f>IF(MAX(AQ4,BR4,CS4)&gt;0,MAX(AQ4,BR4,CS4),0)</f>
        <v>51.8</v>
      </c>
      <c r="N4" s="9" t="str">
        <f>IF(M4=0,"",IF(M4=CS4,$BT$1,IF(M4=BR4,$AS$1,IF(M4=AQ4,$R$1,""))))</f>
        <v>2023 3rd Domestic Trial</v>
      </c>
      <c r="O4" s="9">
        <f>IF(MAX(CU4:CV4)&gt;0,MAX(CU4:CV4),"")</f>
        <v>6.2000000000000099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18.7</v>
      </c>
      <c r="S4" s="20">
        <v>6.8</v>
      </c>
      <c r="T4" s="20">
        <v>0.6</v>
      </c>
      <c r="U4" s="20">
        <v>0</v>
      </c>
      <c r="V4" s="20">
        <v>18.7</v>
      </c>
      <c r="W4" s="20">
        <v>6.4</v>
      </c>
      <c r="X4" s="20">
        <v>0.6</v>
      </c>
      <c r="Y4" s="20">
        <v>0</v>
      </c>
      <c r="Z4" s="20">
        <v>18</v>
      </c>
      <c r="AA4" s="20">
        <v>6.8</v>
      </c>
      <c r="AB4" s="20">
        <v>1</v>
      </c>
      <c r="AC4" s="20">
        <v>0</v>
      </c>
      <c r="AD4" s="20">
        <v>18.3</v>
      </c>
      <c r="AE4" s="20">
        <v>6.8</v>
      </c>
      <c r="AF4" s="20">
        <v>1</v>
      </c>
      <c r="AG4" s="20">
        <v>0</v>
      </c>
      <c r="AH4" s="20">
        <v>18.8</v>
      </c>
      <c r="AI4" s="20">
        <v>6.4</v>
      </c>
      <c r="AJ4" s="20">
        <v>0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49.4</v>
      </c>
      <c r="AO4" s="55">
        <f>IF(SUM(Z4:AA4,AC4)-AB4&gt;0,SUM(Z4:AA4,AC4)-AB4,"")</f>
        <v>23.8</v>
      </c>
      <c r="AP4" s="55">
        <f>IF(SUM(AE4,AI4)&gt;0,SUM(AE4,AI4),"")</f>
        <v>13.2</v>
      </c>
      <c r="AQ4" s="55">
        <f>IF(SUM(AD4:AE4,AG4:AI4,AK4)-SUM(AF4,AJ4)&gt;0,SUM(AD4:AE4,AG4:AI4,AK4)-SUM(AF4,AJ4),"")</f>
        <v>49.300000000000004</v>
      </c>
      <c r="AR4" s="55">
        <f>IF(SUM(AN4,AO4,AQ4)&gt;0,SUM(AN4,AO4,AQ4),"")</f>
        <v>122.5</v>
      </c>
      <c r="AS4" s="19">
        <v>17.399999999999999</v>
      </c>
      <c r="AT4" s="19">
        <v>2.8</v>
      </c>
      <c r="AU4" s="19">
        <v>0</v>
      </c>
      <c r="AV4" s="19">
        <v>0</v>
      </c>
      <c r="AW4" s="19">
        <v>17.600000000000001</v>
      </c>
      <c r="AX4" s="19">
        <v>4</v>
      </c>
      <c r="AY4" s="19">
        <v>0</v>
      </c>
      <c r="AZ4" s="19">
        <v>0</v>
      </c>
      <c r="BA4" s="19">
        <v>18.5</v>
      </c>
      <c r="BB4" s="19">
        <v>7.6</v>
      </c>
      <c r="BC4" s="19">
        <v>0</v>
      </c>
      <c r="BD4" s="19">
        <v>0</v>
      </c>
      <c r="BE4" s="19">
        <v>18.8</v>
      </c>
      <c r="BF4" s="19">
        <v>7.2</v>
      </c>
      <c r="BG4" s="19">
        <v>0.6</v>
      </c>
      <c r="BH4" s="19">
        <v>0</v>
      </c>
      <c r="BI4" s="19">
        <v>18.3</v>
      </c>
      <c r="BJ4" s="19">
        <v>6.8</v>
      </c>
      <c r="BK4" s="19">
        <v>0.2</v>
      </c>
      <c r="BL4" s="19">
        <v>0</v>
      </c>
      <c r="BM4" s="33"/>
      <c r="BN4" s="14">
        <f>IF(SUM(AT4,AX4)&gt;0,SUM(AT4,AX4),"")</f>
        <v>6.8</v>
      </c>
      <c r="BO4" s="14">
        <f>IF(SUM(AS4:AT4,AV4:AX4,AZ4)-AU4-AY4&gt;0,SUM(AS4:AT4,AV4:AX4,AZ4)-AU4-AY4,"")</f>
        <v>41.8</v>
      </c>
      <c r="BP4" s="14">
        <f>IF(SUM(BA4:BB4,BD4)-BC4&gt;0,SUM(BA4:BB4,BD4)-BC4,"")</f>
        <v>26.1</v>
      </c>
      <c r="BQ4" s="14">
        <f>IF(SUM(BF4,BJ4)&gt;0,SUM(BF4,BJ4),"")</f>
        <v>14</v>
      </c>
      <c r="BR4" s="14">
        <f>IF(SUM(BE4:BF4,BH4:BJ4,BL4)-SUM(BG4,BK4)&gt;0,SUM(BE4:BF4,BH4:BJ4,BL4)-SUM(BG4,BK4),"")</f>
        <v>50.3</v>
      </c>
      <c r="BS4" s="14">
        <f>IF(SUM(BO4,BP4,BR4)&gt;0,SUM(BO4,BP4,BR4),"")</f>
        <v>118.2</v>
      </c>
      <c r="BT4" s="20">
        <v>17.399999999999999</v>
      </c>
      <c r="BU4" s="20">
        <v>4</v>
      </c>
      <c r="BV4" s="20">
        <v>0</v>
      </c>
      <c r="BW4" s="20">
        <v>0</v>
      </c>
      <c r="BX4" s="20">
        <v>18.2</v>
      </c>
      <c r="BY4" s="20">
        <v>7.6000000000000005</v>
      </c>
      <c r="BZ4" s="20">
        <v>0.6</v>
      </c>
      <c r="CA4" s="20">
        <v>0</v>
      </c>
      <c r="CB4" s="20">
        <v>17.3</v>
      </c>
      <c r="CC4" s="20">
        <v>2.8</v>
      </c>
      <c r="CD4" s="20">
        <v>0</v>
      </c>
      <c r="CE4" s="20">
        <v>0</v>
      </c>
      <c r="CF4" s="20">
        <v>18.2</v>
      </c>
      <c r="CG4" s="20">
        <v>7.6</v>
      </c>
      <c r="CH4" s="20">
        <v>0</v>
      </c>
      <c r="CI4" s="20">
        <v>0</v>
      </c>
      <c r="CJ4" s="20">
        <v>18.399999999999999</v>
      </c>
      <c r="CK4" s="20">
        <v>7.6000000000000005</v>
      </c>
      <c r="CL4" s="20">
        <v>0</v>
      </c>
      <c r="CM4" s="20">
        <v>0</v>
      </c>
      <c r="CN4" s="32"/>
      <c r="CO4" s="55">
        <f>IF(SUM(BU4,BY4)&gt;0,SUM(BU4,BY4),"")</f>
        <v>11.600000000000001</v>
      </c>
      <c r="CP4" s="55">
        <f>IF(SUM(BT4:BU4,BW4:BY4,CA4)-BV4-BZ4&gt;0,SUM(BT4:BU4,BW4:BY4,CA4)-BV4-BZ4,"")</f>
        <v>46.599999999999994</v>
      </c>
      <c r="CQ4" s="55">
        <f>IF(SUM(CB4:CC4,CE4)-CD4&gt;0,SUM(CB4:CC4,CE4)-CD4,"")</f>
        <v>20.100000000000001</v>
      </c>
      <c r="CR4" s="55">
        <f>IF(SUM(CG4,CK4)&gt;0,SUM(CG4,CK4),"")</f>
        <v>15.2</v>
      </c>
      <c r="CS4" s="55">
        <f>IF(SUM(CF4:CG4,CI4:CK4,CM4)-SUM(CH4,CL4)&gt;0,SUM(CF4:CG4,CI4:CK4,CM4)-SUM(CH4,CL4),"")</f>
        <v>51.8</v>
      </c>
      <c r="CT4" s="55">
        <f>IF(SUM(CP4,CQ4,CS4)&gt;0,SUM(CP4,CQ4,CS4),"")</f>
        <v>118.49999999999999</v>
      </c>
      <c r="CU4" s="56">
        <f>IF(MAX(DR4,ER4,FR4,GR4,HR4,IR4,JR4,KR4,LR4,MR4,NR4,OR4)-IF(K4="",0,K4)&gt;0.001,MAX(DR4,ER4,FR4,GR4,HR4,IR4,JR4,KR4,LR4,MR4,NR4,OR4)-IF(K4="",0,K4),"")</f>
        <v>6.2000000000000099</v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>
        <v>19</v>
      </c>
      <c r="EX4" s="18">
        <v>7.6</v>
      </c>
      <c r="EY4" s="18">
        <v>0.6</v>
      </c>
      <c r="EZ4" s="18">
        <v>0</v>
      </c>
      <c r="FA4" s="18">
        <v>18.8</v>
      </c>
      <c r="FB4" s="18">
        <v>8</v>
      </c>
      <c r="FC4" s="18">
        <v>0</v>
      </c>
      <c r="FD4" s="18">
        <v>0</v>
      </c>
      <c r="FE4" s="18"/>
      <c r="FF4" s="18"/>
      <c r="FG4" s="18"/>
      <c r="FH4" s="18"/>
      <c r="FI4" s="18">
        <v>18.8</v>
      </c>
      <c r="FJ4" s="18">
        <v>8.4</v>
      </c>
      <c r="FK4" s="18">
        <v>0</v>
      </c>
      <c r="FL4" s="18">
        <v>0</v>
      </c>
      <c r="FM4" s="18">
        <v>0</v>
      </c>
      <c r="FN4" s="18">
        <v>0</v>
      </c>
      <c r="FO4" s="18">
        <v>0</v>
      </c>
      <c r="FP4" s="18">
        <v>0</v>
      </c>
      <c r="FQ4" s="55">
        <f>IF(SUM(EX4,FB4)&gt;0,SUM(EX4,FB4),"")</f>
        <v>15.6</v>
      </c>
      <c r="FR4" s="55">
        <f>IF(SUM(EW4:EX4,EZ4:FB4,FD4)-EY4-FC4&gt;0,SUM(EW4:EX4,EZ4:FB4,FD4)-EY4-FC4,"")</f>
        <v>52.800000000000004</v>
      </c>
      <c r="FS4" s="55" t="str">
        <f>IF(SUM(FE4:FF4,FH4)-FG4&gt;0,SUM(FE4:FF4,FH4)-FG4,"")</f>
        <v/>
      </c>
      <c r="FT4" s="55">
        <f>IF(SUM(FJ4,FN4)&gt;0,SUM(FJ4,FN4),"")</f>
        <v>8.4</v>
      </c>
      <c r="FU4" s="55">
        <f>IF(SUM(FI4:FJ4,FL4:FN4,FP4)-SUM(FK4,FO4)&gt;0,SUM(FI4:FJ4,FL4:FN4,FP4)-SUM(FK4,FO4),"")</f>
        <v>27.200000000000003</v>
      </c>
      <c r="FV4" s="55">
        <f>IF(SUM(FR4,FS4,FU4)&gt;0,SUM(FR4,FS4,FU4),"")</f>
        <v>80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5" si="0">IF($CN4="P",BT4,(BT4+AS4)/2)</f>
        <v>17.399999999999999</v>
      </c>
      <c r="OX4" s="27">
        <f t="shared" si="0"/>
        <v>3.4</v>
      </c>
      <c r="OY4" s="27">
        <f t="shared" si="0"/>
        <v>0</v>
      </c>
      <c r="OZ4" s="27">
        <f t="shared" si="0"/>
        <v>0</v>
      </c>
      <c r="PA4" s="27">
        <f t="shared" si="0"/>
        <v>17.899999999999999</v>
      </c>
      <c r="PB4" s="27">
        <f t="shared" si="0"/>
        <v>5.8000000000000007</v>
      </c>
      <c r="PC4" s="27">
        <f t="shared" si="0"/>
        <v>0.3</v>
      </c>
      <c r="PD4" s="27">
        <f t="shared" si="0"/>
        <v>0</v>
      </c>
      <c r="PE4" s="27">
        <f t="shared" si="0"/>
        <v>17.899999999999999</v>
      </c>
      <c r="PF4" s="27">
        <f t="shared" si="0"/>
        <v>5.1999999999999993</v>
      </c>
      <c r="PG4" s="27">
        <f t="shared" ref="PG4:PP5" si="1">IF($CN4="P",CD4,(CD4+BC4)/2)</f>
        <v>0</v>
      </c>
      <c r="PH4" s="27">
        <f t="shared" si="1"/>
        <v>0</v>
      </c>
      <c r="PI4" s="27">
        <f t="shared" si="1"/>
        <v>18.5</v>
      </c>
      <c r="PJ4" s="27">
        <f t="shared" si="1"/>
        <v>7.4</v>
      </c>
      <c r="PK4" s="27">
        <f t="shared" si="1"/>
        <v>0.3</v>
      </c>
      <c r="PL4" s="27">
        <f t="shared" si="1"/>
        <v>0</v>
      </c>
      <c r="PM4" s="27">
        <f t="shared" si="1"/>
        <v>18.350000000000001</v>
      </c>
      <c r="PN4" s="27">
        <f t="shared" si="1"/>
        <v>7.2</v>
      </c>
      <c r="PO4" s="27">
        <f t="shared" si="1"/>
        <v>0.1</v>
      </c>
      <c r="PP4" s="27">
        <f t="shared" si="1"/>
        <v>0</v>
      </c>
      <c r="PQ4" s="32" t="s">
        <v>44</v>
      </c>
      <c r="PR4" s="55">
        <f>IF(SUM(OX4,PB4)&gt;0,SUM(OX4,PB4),"")</f>
        <v>9.2000000000000011</v>
      </c>
      <c r="PS4" s="55">
        <f>IF(SUM(OW4:OX4,OZ4:PB4,PD4)-OY4-PC4&gt;0,SUM(OW4:OX4,OZ4:PB4,PD4)-OY4-PC4,"")</f>
        <v>44.2</v>
      </c>
      <c r="PT4" s="55">
        <f>IF(SUM(PE4:PF4,PH4)-PG4&gt;0,SUM(PE4:PF4,PH4)-PG4,"")</f>
        <v>23.099999999999998</v>
      </c>
      <c r="PU4" s="55">
        <f>IF(SUM(PJ4,PN4)&gt;0,SUM(PJ4,PN4),"")</f>
        <v>14.600000000000001</v>
      </c>
      <c r="PV4" s="55">
        <f>IF(SUM(PI4:PJ4,PL4:PN4,PP4)-SUM(PK4,PO4)&gt;0,SUM(PI4:PJ4,PL4:PN4,PP4)-SUM(PK4,PO4),"")</f>
        <v>51.050000000000004</v>
      </c>
      <c r="PW4" s="55">
        <f>IF(SUM(PS4,PT4,PV4)&gt;0,SUM(PS4,PT4,PV4),"")</f>
        <v>118.35</v>
      </c>
    </row>
    <row r="5" spans="1:439" x14ac:dyDescent="0.2">
      <c r="A5" s="4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>2</v>
      </c>
      <c r="B5" s="5" t="s">
        <v>93</v>
      </c>
      <c r="C5" s="4" t="s">
        <v>92</v>
      </c>
      <c r="D5" s="4">
        <v>2009</v>
      </c>
      <c r="E5" s="10">
        <f>SUM(I5:O5)+SUM(I5:M5)*0.0000001+SUM(I5)*0.0000000000001</f>
        <v>148.00001480000495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9">
        <f>IF(COUNT(AN5,BO5,CP5)&gt;0,LARGE((AN5,BO5,CP5),1),0)</f>
        <v>49.4</v>
      </c>
      <c r="J5" s="9" t="str">
        <f>IF(I5=0,"",IF(I5=CP5,$BT$1,IF(I5=BO5,$AS$1,IF(I5=AN5,$R$1,""))))</f>
        <v>2023 3rd Domestic Trial</v>
      </c>
      <c r="K5" s="9">
        <f>IF(COUNT(AN5,BO5,CP5)&gt;1,LARGE((AN5,BO5,CP5),2),0)</f>
        <v>49.4</v>
      </c>
      <c r="L5" s="9" t="str">
        <f>IF(K5=0,"",IF(K5=CP5,$BT$1,IF(K5=BO5,$AS$1,IF(K5=AN5,$R$1,""))))</f>
        <v>2023 3rd Domestic Trial</v>
      </c>
      <c r="M5" s="9">
        <f>IF(MAX(AQ5,BR5,CS5)&gt;0,MAX(AQ5,BR5,CS5),0)</f>
        <v>49.2</v>
      </c>
      <c r="N5" s="9" t="str">
        <f>IF(M5=0,"",IF(M5=CS5,$BT$1,IF(M5=BR5,$AS$1,IF(M5=AQ5,$R$1,""))))</f>
        <v>2023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18.8</v>
      </c>
      <c r="S5" s="20">
        <v>5.2</v>
      </c>
      <c r="T5" s="20">
        <v>0.6</v>
      </c>
      <c r="U5" s="20">
        <v>0</v>
      </c>
      <c r="V5" s="20">
        <v>18.2</v>
      </c>
      <c r="W5" s="20">
        <v>5.2</v>
      </c>
      <c r="X5" s="20">
        <v>0.2</v>
      </c>
      <c r="Y5" s="20">
        <v>0</v>
      </c>
      <c r="Z5" s="20"/>
      <c r="AA5" s="20"/>
      <c r="AB5" s="20"/>
      <c r="AC5" s="20"/>
      <c r="AD5" s="20">
        <v>18.8</v>
      </c>
      <c r="AE5" s="20">
        <v>4.8</v>
      </c>
      <c r="AF5" s="20">
        <v>0.6</v>
      </c>
      <c r="AG5" s="20">
        <v>0</v>
      </c>
      <c r="AH5" s="20">
        <v>18.2</v>
      </c>
      <c r="AI5" s="20">
        <v>4.4000000000000004</v>
      </c>
      <c r="AJ5" s="20">
        <v>0.2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46.6</v>
      </c>
      <c r="AO5" s="55" t="str">
        <f>IF(SUM(Z5:AA5,AC5)-AB5&gt;0,SUM(Z5:AA5,AC5)-AB5,"")</f>
        <v/>
      </c>
      <c r="AP5" s="55">
        <f>IF(SUM(AE5,AI5)&gt;0,SUM(AE5,AI5),"")</f>
        <v>9.1999999999999993</v>
      </c>
      <c r="AQ5" s="55">
        <f>IF(SUM(AD5:AE5,AG5:AI5,AK5)-SUM(AF5,AJ5)&gt;0,SUM(AD5:AE5,AG5:AI5,AK5)-SUM(AF5,AJ5),"")</f>
        <v>45.4</v>
      </c>
      <c r="AR5" s="55">
        <f>IF(SUM(AN5,AO5,AQ5)&gt;0,SUM(AN5,AO5,AQ5),"")</f>
        <v>92</v>
      </c>
      <c r="AS5" s="19">
        <v>19.100000000000001</v>
      </c>
      <c r="AT5" s="19">
        <v>5.6</v>
      </c>
      <c r="AU5" s="19">
        <v>0</v>
      </c>
      <c r="AV5" s="19">
        <v>0</v>
      </c>
      <c r="AW5" s="19">
        <v>18.899999999999999</v>
      </c>
      <c r="AX5" s="19">
        <v>6</v>
      </c>
      <c r="AY5" s="19">
        <v>0.2</v>
      </c>
      <c r="AZ5" s="19">
        <v>0</v>
      </c>
      <c r="BA5" s="19">
        <v>18.600000000000001</v>
      </c>
      <c r="BB5" s="19">
        <v>4</v>
      </c>
      <c r="BC5" s="19">
        <v>0.3</v>
      </c>
      <c r="BD5" s="19">
        <v>0</v>
      </c>
      <c r="BE5" s="19">
        <v>19</v>
      </c>
      <c r="BF5" s="19">
        <v>5.6</v>
      </c>
      <c r="BG5" s="19">
        <v>0</v>
      </c>
      <c r="BH5" s="19">
        <v>0</v>
      </c>
      <c r="BI5" s="19">
        <v>18.600000000000001</v>
      </c>
      <c r="BJ5" s="19">
        <v>6</v>
      </c>
      <c r="BK5" s="19">
        <v>0</v>
      </c>
      <c r="BL5" s="19">
        <v>0</v>
      </c>
      <c r="BM5" s="33"/>
      <c r="BN5" s="14">
        <f>IF(SUM(AT5,AX5)&gt;0,SUM(AT5,AX5),"")</f>
        <v>11.6</v>
      </c>
      <c r="BO5" s="14">
        <f>IF(SUM(AS5:AT5,AV5:AX5,AZ5)-AU5-AY5&gt;0,SUM(AS5:AT5,AV5:AX5,AZ5)-AU5-AY5,"")</f>
        <v>49.4</v>
      </c>
      <c r="BP5" s="14">
        <f>IF(SUM(BA5:BB5,BD5)-BC5&gt;0,SUM(BA5:BB5,BD5)-BC5,"")</f>
        <v>22.3</v>
      </c>
      <c r="BQ5" s="14">
        <f>IF(SUM(BF5,BJ5)&gt;0,SUM(BF5,BJ5),"")</f>
        <v>11.6</v>
      </c>
      <c r="BR5" s="14">
        <f>IF(SUM(BE5:BF5,BH5:BJ5,BL5)-SUM(BG5,BK5)&gt;0,SUM(BE5:BF5,BH5:BJ5,BL5)-SUM(BG5,BK5),"")</f>
        <v>49.2</v>
      </c>
      <c r="BS5" s="14">
        <f>IF(SUM(BO5,BP5,BR5)&gt;0,SUM(BO5,BP5,BR5),"")</f>
        <v>120.9</v>
      </c>
      <c r="BT5" s="20">
        <v>18.8</v>
      </c>
      <c r="BU5" s="20">
        <v>5.6</v>
      </c>
      <c r="BV5" s="20">
        <v>0</v>
      </c>
      <c r="BW5" s="20">
        <v>0</v>
      </c>
      <c r="BX5" s="20">
        <v>19</v>
      </c>
      <c r="BY5" s="20">
        <v>6</v>
      </c>
      <c r="BZ5" s="20">
        <v>0</v>
      </c>
      <c r="CA5" s="20">
        <v>0</v>
      </c>
      <c r="CB5" s="20">
        <v>18.399999999999999</v>
      </c>
      <c r="CC5" s="20">
        <v>5.6</v>
      </c>
      <c r="CD5" s="20">
        <v>0.8</v>
      </c>
      <c r="CE5" s="20">
        <v>0</v>
      </c>
      <c r="CF5" s="20">
        <v>19</v>
      </c>
      <c r="CG5" s="20">
        <v>6.4</v>
      </c>
      <c r="CH5" s="20">
        <v>0.6</v>
      </c>
      <c r="CI5" s="20">
        <v>0</v>
      </c>
      <c r="CJ5" s="20">
        <v>17.600000000000001</v>
      </c>
      <c r="CK5" s="20">
        <v>5.2</v>
      </c>
      <c r="CL5" s="20">
        <v>1</v>
      </c>
      <c r="CM5" s="20">
        <v>0</v>
      </c>
      <c r="CN5" s="32"/>
      <c r="CO5" s="55">
        <f>IF(SUM(BU5,BY5)&gt;0,SUM(BU5,BY5),"")</f>
        <v>11.6</v>
      </c>
      <c r="CP5" s="55">
        <f>IF(SUM(BT5:BU5,BW5:BY5,CA5)-BV5-BZ5&gt;0,SUM(BT5:BU5,BW5:BY5,CA5)-BV5-BZ5,"")</f>
        <v>49.4</v>
      </c>
      <c r="CQ5" s="55">
        <f>IF(SUM(CB5:CC5,CE5)-CD5&gt;0,SUM(CB5:CC5,CE5)-CD5,"")</f>
        <v>23.2</v>
      </c>
      <c r="CR5" s="55">
        <f>IF(SUM(CG5,CK5)&gt;0,SUM(CG5,CK5),"")</f>
        <v>11.600000000000001</v>
      </c>
      <c r="CS5" s="55">
        <f>IF(SUM(CF5:CG5,CI5:CK5,CM5)-SUM(CH5,CL5)&gt;0,SUM(CF5:CG5,CI5:CK5,CM5)-SUM(CH5,CL5),"")</f>
        <v>46.6</v>
      </c>
      <c r="CT5" s="55">
        <f>IF(SUM(CP5,CQ5,CS5)&gt;0,SUM(CP5,CQ5,CS5),"")</f>
        <v>119.19999999999999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>
        <v>18.600000000000001</v>
      </c>
      <c r="EX5" s="18">
        <v>6</v>
      </c>
      <c r="EY5" s="18">
        <v>0.6</v>
      </c>
      <c r="EZ5" s="18">
        <v>0</v>
      </c>
      <c r="FA5" s="18">
        <v>18.2</v>
      </c>
      <c r="FB5" s="18">
        <v>6.4</v>
      </c>
      <c r="FC5" s="18">
        <v>0.8</v>
      </c>
      <c r="FD5" s="18">
        <v>0</v>
      </c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>
        <f>IF(SUM(EX5,FB5)&gt;0,SUM(EX5,FB5),"")</f>
        <v>12.4</v>
      </c>
      <c r="FR5" s="55">
        <f>IF(SUM(EW5:EX5,EZ5:FB5,FD5)-EY5-FC5&gt;0,SUM(EW5:EX5,EZ5:FB5,FD5)-EY5-FC5,"")</f>
        <v>47.8</v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>
        <f>IF(SUM(FR5,FS5,FU5)&gt;0,SUM(FR5,FS5,FU5),"")</f>
        <v>47.8</v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18.950000000000003</v>
      </c>
      <c r="OX5" s="27">
        <f t="shared" si="0"/>
        <v>5.6</v>
      </c>
      <c r="OY5" s="27">
        <f t="shared" si="0"/>
        <v>0</v>
      </c>
      <c r="OZ5" s="27">
        <f t="shared" si="0"/>
        <v>0</v>
      </c>
      <c r="PA5" s="27">
        <f t="shared" si="0"/>
        <v>18.95</v>
      </c>
      <c r="PB5" s="27">
        <f t="shared" si="0"/>
        <v>6</v>
      </c>
      <c r="PC5" s="27">
        <f t="shared" si="0"/>
        <v>0.1</v>
      </c>
      <c r="PD5" s="27">
        <f t="shared" si="0"/>
        <v>0</v>
      </c>
      <c r="PE5" s="27">
        <f t="shared" si="0"/>
        <v>18.5</v>
      </c>
      <c r="PF5" s="27">
        <f t="shared" si="0"/>
        <v>4.8</v>
      </c>
      <c r="PG5" s="27">
        <f t="shared" si="1"/>
        <v>0.55000000000000004</v>
      </c>
      <c r="PH5" s="27">
        <f t="shared" si="1"/>
        <v>0</v>
      </c>
      <c r="PI5" s="27">
        <f t="shared" si="1"/>
        <v>19</v>
      </c>
      <c r="PJ5" s="27">
        <f t="shared" si="1"/>
        <v>6</v>
      </c>
      <c r="PK5" s="27">
        <f t="shared" si="1"/>
        <v>0.3</v>
      </c>
      <c r="PL5" s="27">
        <f t="shared" si="1"/>
        <v>0</v>
      </c>
      <c r="PM5" s="27">
        <f t="shared" si="1"/>
        <v>18.100000000000001</v>
      </c>
      <c r="PN5" s="27">
        <f t="shared" si="1"/>
        <v>5.6</v>
      </c>
      <c r="PO5" s="27">
        <f t="shared" si="1"/>
        <v>0.5</v>
      </c>
      <c r="PP5" s="27">
        <f t="shared" si="1"/>
        <v>0</v>
      </c>
      <c r="PQ5" s="32" t="s">
        <v>44</v>
      </c>
      <c r="PR5" s="55">
        <f>IF(SUM(OX5,PB5)&gt;0,SUM(OX5,PB5),"")</f>
        <v>11.6</v>
      </c>
      <c r="PS5" s="55">
        <f>IF(SUM(OW5:OX5,OZ5:PB5,PD5)-OY5-PC5&gt;0,SUM(OW5:OX5,OZ5:PB5,PD5)-OY5-PC5,"")</f>
        <v>49.4</v>
      </c>
      <c r="PT5" s="55">
        <f>IF(SUM(PE5:PF5,PH5)-PG5&gt;0,SUM(PE5:PF5,PH5)-PG5,"")</f>
        <v>22.75</v>
      </c>
      <c r="PU5" s="55">
        <f>IF(SUM(PJ5,PN5)&gt;0,SUM(PJ5,PN5),"")</f>
        <v>11.6</v>
      </c>
      <c r="PV5" s="55">
        <f>IF(SUM(PI5:PJ5,PL5:PN5,PP5)-SUM(PK5,PO5)&gt;0,SUM(PI5:PJ5,PL5:PN5,PP5)-SUM(PK5,PO5),"")</f>
        <v>47.900000000000006</v>
      </c>
      <c r="PW5" s="55">
        <f>IF(SUM(PS5,PT5,PV5)&gt;0,SUM(PS5,PT5,PV5),"")</f>
        <v>120.05000000000001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10.4</v>
      </c>
      <c r="BN8" s="4"/>
      <c r="BS8" s="57">
        <v>10.4</v>
      </c>
      <c r="CO8" s="4"/>
      <c r="CT8" s="57">
        <v>10.4</v>
      </c>
      <c r="DQ8" s="4"/>
      <c r="DV8" s="57">
        <v>10.4</v>
      </c>
      <c r="EQ8" s="4"/>
      <c r="EV8" s="57">
        <v>10.4</v>
      </c>
      <c r="FQ8" s="4"/>
      <c r="FV8" s="57">
        <v>10.4</v>
      </c>
      <c r="GQ8" s="4"/>
      <c r="GV8" s="57">
        <v>10.4</v>
      </c>
      <c r="HQ8" s="4"/>
      <c r="HV8" s="57">
        <v>10.4</v>
      </c>
      <c r="IQ8" s="4"/>
      <c r="IV8" s="57">
        <v>10.4</v>
      </c>
      <c r="JQ8" s="4"/>
      <c r="JV8" s="57">
        <v>10.4</v>
      </c>
      <c r="KQ8" s="4"/>
      <c r="KV8" s="57">
        <v>10.4</v>
      </c>
      <c r="LQ8" s="4"/>
      <c r="LV8" s="57">
        <v>10.4</v>
      </c>
      <c r="MQ8" s="4"/>
      <c r="MV8" s="57">
        <v>10.4</v>
      </c>
      <c r="NQ8" s="4"/>
      <c r="NV8" s="57">
        <v>10.4</v>
      </c>
      <c r="OQ8" s="4"/>
      <c r="OV8" s="57">
        <v>10.4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11.2</v>
      </c>
      <c r="BN9" s="4"/>
      <c r="BS9" s="58">
        <f>BS10</f>
        <v>11.2</v>
      </c>
      <c r="CO9" s="4"/>
      <c r="CT9" s="58">
        <f>CT10</f>
        <v>11.2</v>
      </c>
      <c r="DQ9" s="4"/>
      <c r="DV9" s="58">
        <f>DV10</f>
        <v>11.2</v>
      </c>
      <c r="EQ9" s="4"/>
      <c r="EV9" s="58">
        <f>EV10</f>
        <v>11.2</v>
      </c>
      <c r="FQ9" s="4"/>
      <c r="FV9" s="58">
        <f>FV10</f>
        <v>11.2</v>
      </c>
      <c r="GQ9" s="4"/>
      <c r="GV9" s="58">
        <f>GV10</f>
        <v>11.2</v>
      </c>
      <c r="HQ9" s="4"/>
      <c r="HV9" s="58">
        <f>HV10</f>
        <v>11.2</v>
      </c>
      <c r="IQ9" s="4"/>
      <c r="IV9" s="58">
        <f>IV10</f>
        <v>11.2</v>
      </c>
      <c r="JQ9" s="4"/>
      <c r="JV9" s="58">
        <f>JV10</f>
        <v>11.2</v>
      </c>
      <c r="KQ9" s="4"/>
      <c r="KV9" s="58">
        <f>KV10</f>
        <v>11.2</v>
      </c>
      <c r="LQ9" s="4"/>
      <c r="LV9" s="58">
        <f>LV10</f>
        <v>11.2</v>
      </c>
      <c r="MQ9" s="4"/>
      <c r="MV9" s="58">
        <f>MV10</f>
        <v>11.2</v>
      </c>
      <c r="NQ9" s="4"/>
      <c r="NV9" s="58">
        <f>NV10</f>
        <v>11.2</v>
      </c>
      <c r="OQ9" s="4"/>
      <c r="OV9" s="58">
        <f>OV10</f>
        <v>11.2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11.2</v>
      </c>
      <c r="BN10" s="4"/>
      <c r="BS10" s="59">
        <v>11.2</v>
      </c>
      <c r="CO10" s="4"/>
      <c r="CT10" s="59">
        <v>11.2</v>
      </c>
      <c r="DQ10" s="4"/>
      <c r="DV10" s="59">
        <v>11.2</v>
      </c>
      <c r="EQ10" s="4"/>
      <c r="EV10" s="59">
        <v>11.2</v>
      </c>
      <c r="FQ10" s="4"/>
      <c r="FV10" s="59">
        <v>11.2</v>
      </c>
      <c r="GQ10" s="4"/>
      <c r="GV10" s="59">
        <v>11.2</v>
      </c>
      <c r="HQ10" s="4"/>
      <c r="HV10" s="59">
        <v>11.2</v>
      </c>
      <c r="IQ10" s="4"/>
      <c r="IV10" s="59">
        <v>11.2</v>
      </c>
      <c r="JQ10" s="4"/>
      <c r="JV10" s="59">
        <v>11.2</v>
      </c>
      <c r="KQ10" s="4"/>
      <c r="KV10" s="59">
        <v>11.2</v>
      </c>
      <c r="LQ10" s="4"/>
      <c r="LV10" s="59">
        <v>11.2</v>
      </c>
      <c r="MQ10" s="4"/>
      <c r="MV10" s="59">
        <v>11.2</v>
      </c>
      <c r="NQ10" s="4"/>
      <c r="NV10" s="59">
        <v>11.2</v>
      </c>
      <c r="OQ10" s="4"/>
      <c r="OV10" s="59">
        <v>11.2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5">
        <v>1000</v>
      </c>
      <c r="BN11" s="4"/>
      <c r="BS11" s="65">
        <v>1000</v>
      </c>
      <c r="CO11" s="4"/>
      <c r="CT11" s="65">
        <v>1000</v>
      </c>
      <c r="DQ11" s="4"/>
      <c r="DV11" s="65">
        <v>1000</v>
      </c>
      <c r="EQ11" s="4"/>
      <c r="EV11" s="65">
        <v>1000</v>
      </c>
      <c r="FQ11" s="4"/>
      <c r="FV11" s="65">
        <v>1000</v>
      </c>
      <c r="GQ11" s="4"/>
      <c r="GV11" s="65">
        <v>1000</v>
      </c>
      <c r="HQ11" s="4"/>
      <c r="HV11" s="65">
        <v>1000</v>
      </c>
      <c r="IQ11" s="4"/>
      <c r="IV11" s="65">
        <v>1000</v>
      </c>
      <c r="JQ11" s="4"/>
      <c r="JV11" s="65">
        <v>1000</v>
      </c>
      <c r="KQ11" s="4"/>
      <c r="KV11" s="65">
        <v>1000</v>
      </c>
      <c r="LQ11" s="4"/>
      <c r="LV11" s="65">
        <v>1000</v>
      </c>
      <c r="MQ11" s="4"/>
      <c r="MV11" s="65">
        <v>1000</v>
      </c>
      <c r="NQ11" s="4"/>
      <c r="NV11" s="65">
        <v>1000</v>
      </c>
      <c r="OQ11" s="4"/>
      <c r="OV11" s="65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6">
        <v>47.2</v>
      </c>
      <c r="BN12" s="4"/>
      <c r="BS12" s="66">
        <v>47.2</v>
      </c>
      <c r="CO12" s="4"/>
      <c r="CT12" s="66">
        <v>47.2</v>
      </c>
      <c r="DQ12" s="4"/>
      <c r="DV12" s="66">
        <v>47.2</v>
      </c>
      <c r="EQ12" s="4"/>
      <c r="EV12" s="66">
        <v>47.2</v>
      </c>
      <c r="FQ12" s="4"/>
      <c r="FV12" s="66">
        <v>47.2</v>
      </c>
      <c r="GQ12" s="4"/>
      <c r="GV12" s="66">
        <v>47.2</v>
      </c>
      <c r="HQ12" s="4"/>
      <c r="HV12" s="66">
        <v>47.2</v>
      </c>
      <c r="IQ12" s="4"/>
      <c r="IV12" s="66">
        <v>47.2</v>
      </c>
      <c r="JQ12" s="4"/>
      <c r="JV12" s="66">
        <v>47.2</v>
      </c>
      <c r="KQ12" s="4"/>
      <c r="KV12" s="66">
        <v>47.2</v>
      </c>
      <c r="LQ12" s="4"/>
      <c r="LV12" s="66">
        <v>47.2</v>
      </c>
      <c r="MQ12" s="4"/>
      <c r="MV12" s="66">
        <v>47.2</v>
      </c>
      <c r="NQ12" s="4"/>
      <c r="NV12" s="66">
        <v>47.2</v>
      </c>
      <c r="OQ12" s="4"/>
      <c r="OV12" s="66">
        <v>47.2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47.6</v>
      </c>
      <c r="BN13" s="4"/>
      <c r="BS13" s="62">
        <f>BS14</f>
        <v>47.6</v>
      </c>
      <c r="CO13" s="4"/>
      <c r="CT13" s="62">
        <f>CT14</f>
        <v>47.6</v>
      </c>
      <c r="DQ13" s="4"/>
      <c r="DV13" s="62">
        <f>DV14</f>
        <v>47.6</v>
      </c>
      <c r="EQ13" s="4"/>
      <c r="EV13" s="62">
        <f>EV14</f>
        <v>47.6</v>
      </c>
      <c r="FQ13" s="4"/>
      <c r="FV13" s="62">
        <f>FV14</f>
        <v>47.6</v>
      </c>
      <c r="GQ13" s="4"/>
      <c r="GV13" s="62">
        <f>GV14</f>
        <v>47.6</v>
      </c>
      <c r="HQ13" s="4"/>
      <c r="HV13" s="62">
        <f>HV14</f>
        <v>47.6</v>
      </c>
      <c r="IQ13" s="4"/>
      <c r="IV13" s="62">
        <f>IV14</f>
        <v>47.6</v>
      </c>
      <c r="JQ13" s="4"/>
      <c r="JV13" s="62">
        <f>JV14</f>
        <v>47.6</v>
      </c>
      <c r="KQ13" s="4"/>
      <c r="KV13" s="62">
        <f>KV14</f>
        <v>47.6</v>
      </c>
      <c r="LQ13" s="4"/>
      <c r="LV13" s="62">
        <f>LV14</f>
        <v>47.6</v>
      </c>
      <c r="MQ13" s="4"/>
      <c r="MV13" s="62">
        <f>MV14</f>
        <v>47.6</v>
      </c>
      <c r="NQ13" s="4"/>
      <c r="NV13" s="62">
        <f>NV14</f>
        <v>47.6</v>
      </c>
      <c r="OQ13" s="4"/>
      <c r="OV13" s="62">
        <f>OV14</f>
        <v>47.6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47.6</v>
      </c>
      <c r="BN14" s="4"/>
      <c r="BS14" s="63">
        <v>47.6</v>
      </c>
      <c r="CO14" s="4"/>
      <c r="CT14" s="63">
        <v>47.6</v>
      </c>
      <c r="DQ14" s="4"/>
      <c r="DV14" s="63">
        <v>47.6</v>
      </c>
      <c r="EQ14" s="4"/>
      <c r="EV14" s="63">
        <v>47.6</v>
      </c>
      <c r="FQ14" s="4"/>
      <c r="FV14" s="63">
        <v>47.6</v>
      </c>
      <c r="GQ14" s="4"/>
      <c r="GV14" s="63">
        <v>47.6</v>
      </c>
      <c r="HQ14" s="4"/>
      <c r="HV14" s="63">
        <v>47.6</v>
      </c>
      <c r="IQ14" s="4"/>
      <c r="IV14" s="63">
        <v>47.6</v>
      </c>
      <c r="JQ14" s="4"/>
      <c r="JV14" s="63">
        <v>47.6</v>
      </c>
      <c r="KQ14" s="4"/>
      <c r="KV14" s="63">
        <v>47.6</v>
      </c>
      <c r="LQ14" s="4"/>
      <c r="LV14" s="63">
        <v>47.6</v>
      </c>
      <c r="MQ14" s="4"/>
      <c r="MV14" s="63">
        <v>47.6</v>
      </c>
      <c r="NQ14" s="4"/>
      <c r="NV14" s="63">
        <v>47.6</v>
      </c>
      <c r="OQ14" s="4"/>
      <c r="OV14" s="63">
        <v>47.6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57" priority="2" stopIfTrue="1">
      <formula>IF($AL4&lt;&gt;"",1,0)</formula>
    </cfRule>
  </conditionalFormatting>
  <conditionalFormatting sqref="AS4:BS5">
    <cfRule type="expression" dxfId="56" priority="3" stopIfTrue="1">
      <formula>IF($BM4&lt;&gt;"",1,0)</formula>
    </cfRule>
  </conditionalFormatting>
  <conditionalFormatting sqref="J1:J1048576 L1:L1048576 N1:N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5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57972" operator="between">
      <formula>AR$11</formula>
      <formula>1000</formula>
    </cfRule>
    <cfRule type="cellIs" dxfId="43" priority="57973" operator="between">
      <formula>AR$10</formula>
      <formula>AR$11</formula>
    </cfRule>
    <cfRule type="cellIs" dxfId="42" priority="57974" operator="between">
      <formula>AR$9</formula>
      <formula>AR$10</formula>
    </cfRule>
    <cfRule type="cellIs" dxfId="41" priority="57975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58152" operator="between">
      <formula>AR$15</formula>
      <formula>1000</formula>
    </cfRule>
    <cfRule type="cellIs" dxfId="39" priority="58153" operator="between">
      <formula>AR$14</formula>
      <formula>AR$15</formula>
    </cfRule>
    <cfRule type="cellIs" dxfId="38" priority="58154" operator="between">
      <formula>AR$13</formula>
      <formula>AR$14</formula>
    </cfRule>
    <cfRule type="cellIs" dxfId="37" priority="58155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58332" operator="between">
      <formula>AR$11</formula>
      <formula>1000</formula>
    </cfRule>
    <cfRule type="cellIs" dxfId="35" priority="58333" operator="between">
      <formula>AR$10</formula>
      <formula>AR$11</formula>
    </cfRule>
    <cfRule type="cellIs" dxfId="34" priority="58334" operator="between">
      <formula>AR$9</formula>
      <formula>AR$10</formula>
    </cfRule>
    <cfRule type="cellIs" dxfId="33" priority="58335" operator="between">
      <formula>AR$8</formula>
      <formula>AR$9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58512" operator="between">
      <formula>AR$12</formula>
      <formula>AR$13</formula>
    </cfRule>
    <cfRule type="cellIs" dxfId="31" priority="58513" operator="between">
      <formula>AR$13</formula>
      <formula>AR$14</formula>
    </cfRule>
    <cfRule type="cellIs" dxfId="30" priority="58514" operator="between">
      <formula>AR$14</formula>
      <formula>AR$15</formula>
    </cfRule>
    <cfRule type="cellIs" dxfId="29" priority="58515" operator="between">
      <formula>AR$15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95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86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85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97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 t="s">
        <v>98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151.80001503000511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48.900000000000006</v>
      </c>
      <c r="L4" s="9" t="str">
        <f>IF(K4=0,"",IF(K4=CP4,$BT$1,IF(K4=BO4,$AS$1,IF(K4=AN4,$R$1,""))))</f>
        <v>2023 Elite Canada</v>
      </c>
      <c r="M4" s="9">
        <f>IF(MAX(AQ4,BR4,CS4)&gt;0,MAX(AQ4,BR4,CS4),0)</f>
        <v>50.3</v>
      </c>
      <c r="N4" s="9" t="str">
        <f>IF(M4=0,"",IF(M4=CS4,$BT$1,IF(M4=BR4,$AS$1,IF(M4=AQ4,$R$1,""))))</f>
        <v>2023 Nationals</v>
      </c>
      <c r="O4" s="9">
        <f>IF(MAX(CU4:CV4)&gt;0,MAX(CU4:CV4),"")</f>
        <v>1.4999999999999929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18.600000000000001</v>
      </c>
      <c r="S4" s="20">
        <v>5.6</v>
      </c>
      <c r="T4" s="20">
        <v>0</v>
      </c>
      <c r="U4" s="20">
        <v>0</v>
      </c>
      <c r="V4" s="20">
        <v>18.7</v>
      </c>
      <c r="W4" s="20">
        <v>6</v>
      </c>
      <c r="X4" s="20">
        <v>0</v>
      </c>
      <c r="Y4" s="20">
        <v>0</v>
      </c>
      <c r="Z4" s="20">
        <v>9.1999999999999993</v>
      </c>
      <c r="AA4" s="20">
        <v>2.6</v>
      </c>
      <c r="AB4" s="20">
        <v>0</v>
      </c>
      <c r="AC4" s="20">
        <v>0</v>
      </c>
      <c r="AD4" s="20">
        <v>9.1999999999999993</v>
      </c>
      <c r="AE4" s="20">
        <v>2.8</v>
      </c>
      <c r="AF4" s="20">
        <v>0</v>
      </c>
      <c r="AG4" s="20">
        <v>0</v>
      </c>
      <c r="AH4" s="20">
        <v>9.3000000000000007</v>
      </c>
      <c r="AI4" s="20">
        <v>2.8</v>
      </c>
      <c r="AJ4" s="20">
        <v>0</v>
      </c>
      <c r="AK4" s="20">
        <v>0</v>
      </c>
      <c r="AL4" s="32"/>
      <c r="AM4" s="55">
        <f>IF(SUM(S4,W4)&gt;0,SUM(S4,W4),"")</f>
        <v>11.6</v>
      </c>
      <c r="AN4" s="55">
        <f>IF(SUM(R4:S4,U4:W4,Y4)-T4-X4&gt;0,SUM(R4:S4,U4:W4,Y4)-T4-X4,"")</f>
        <v>48.900000000000006</v>
      </c>
      <c r="AO4" s="55">
        <f>IF(SUM(Z4:AA4,AC4)-AB4&gt;0,SUM(Z4:AA4,AC4)-AB4,"")</f>
        <v>11.799999999999999</v>
      </c>
      <c r="AP4" s="55">
        <f>IF(SUM(AE4,AI4)&gt;0,SUM(AE4,AI4),"")</f>
        <v>5.6</v>
      </c>
      <c r="AQ4" s="55">
        <f>IF(SUM(AD4:AE4,AG4:AI4,AK4)-SUM(AF4,AJ4)&gt;0,SUM(AD4:AE4,AG4:AI4,AK4)-SUM(AF4,AJ4),"")</f>
        <v>24.1</v>
      </c>
      <c r="AR4" s="55">
        <f>IF(SUM(AN4,AO4,AQ4)&gt;0,SUM(AN4,AO4,AQ4),"")</f>
        <v>84.800000000000011</v>
      </c>
      <c r="AS4" s="19">
        <v>18.8</v>
      </c>
      <c r="AT4" s="19">
        <v>6.4</v>
      </c>
      <c r="AU4" s="19">
        <v>0</v>
      </c>
      <c r="AV4" s="19">
        <v>0</v>
      </c>
      <c r="AW4" s="19">
        <v>19.100000000000001</v>
      </c>
      <c r="AX4" s="19">
        <v>6.8</v>
      </c>
      <c r="AY4" s="19">
        <v>0</v>
      </c>
      <c r="AZ4" s="19">
        <v>0</v>
      </c>
      <c r="BA4" s="19">
        <v>18.7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6.4</v>
      </c>
      <c r="BG4" s="19">
        <v>0</v>
      </c>
      <c r="BH4" s="19">
        <v>0</v>
      </c>
      <c r="BI4" s="19">
        <v>18.7</v>
      </c>
      <c r="BJ4" s="19">
        <v>6.8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51.1</v>
      </c>
      <c r="BP4" s="14">
        <f>IF(SUM(BA4:BB4,BD4)-BC4&gt;0,SUM(BA4:BB4,BD4)-BC4,"")</f>
        <v>24.7</v>
      </c>
      <c r="BQ4" s="14">
        <f>IF(SUM(BF4,BJ4)&gt;0,SUM(BF4,BJ4),"")</f>
        <v>13.2</v>
      </c>
      <c r="BR4" s="14">
        <f>IF(SUM(BE4:BF4,BH4:BJ4,BL4)-SUM(BG4,BK4)&gt;0,SUM(BE4:BF4,BH4:BJ4,BL4)-SUM(BG4,BK4),"")</f>
        <v>50.3</v>
      </c>
      <c r="BS4" s="14">
        <f>IF(SUM(BO4,BP4,BR4)&gt;0,SUM(BO4,BP4,BR4),"")</f>
        <v>126.1</v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IF(SUM(CP4,CQ4,CS4)&gt;0,SUM(CP4,CQ4,CS4),"")</f>
        <v/>
      </c>
      <c r="CU4" s="56">
        <f>IF(MAX(DR4,ER4,FR4,GR4,HR4,IR4,JR4,KR4,LR4,MR4,NR4,OR4)-IF(K4="",0,K4)&gt;0.001,MAX(DR4,ER4,FR4,GR4,HR4,IR4,JR4,KR4,LR4,MR4,NR4,OR4)-IF(K4="",0,K4),"")</f>
        <v>1.4999999999999929</v>
      </c>
      <c r="CV4" s="56">
        <f>IF(MAX(DU4,EU4,FU4,GU4,HU4,IU4,JU4,KU4,LU4,MU4,NU4,OU4)-IF(M4="",0,M4)&gt;0.001,MAX(DU4,EU4,FU4,GU4,HU4,IU4,JU4,KU4,LU4,MU4,NU4,OU4)-IF(M4="",0,M4),"")</f>
        <v>0.29999999999999716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>
        <v>18.600000000000001</v>
      </c>
      <c r="DJ4" s="18">
        <v>6</v>
      </c>
      <c r="DK4" s="18">
        <v>0</v>
      </c>
      <c r="DL4" s="18">
        <v>0</v>
      </c>
      <c r="DM4" s="18">
        <v>18.7</v>
      </c>
      <c r="DN4" s="18">
        <v>5.6</v>
      </c>
      <c r="DO4" s="18">
        <v>0</v>
      </c>
      <c r="DP4" s="18">
        <v>0</v>
      </c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48.9</v>
      </c>
      <c r="DV4" s="55">
        <f>IF(SUM(DR4,DS4,DU4)&gt;0,SUM(DR4,DS4,DU4),"")</f>
        <v>48.9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IF(SUM(ER4,ES4,EU4)&gt;0,SUM(ER4,ES4,EU4),"")</f>
        <v>48.9</v>
      </c>
      <c r="EW4" s="18">
        <v>18.8</v>
      </c>
      <c r="EX4" s="18">
        <v>6.8</v>
      </c>
      <c r="EY4" s="18">
        <v>0.2</v>
      </c>
      <c r="EZ4" s="18">
        <v>0</v>
      </c>
      <c r="FA4" s="18">
        <v>18.600000000000001</v>
      </c>
      <c r="FB4" s="18">
        <v>6.4</v>
      </c>
      <c r="FC4" s="18">
        <v>0</v>
      </c>
      <c r="FD4" s="18">
        <v>0</v>
      </c>
      <c r="FE4" s="18"/>
      <c r="FF4" s="18"/>
      <c r="FG4" s="18"/>
      <c r="FH4" s="18"/>
      <c r="FI4" s="18">
        <v>18.600000000000001</v>
      </c>
      <c r="FJ4" s="18">
        <v>6.4</v>
      </c>
      <c r="FK4" s="18">
        <v>0</v>
      </c>
      <c r="FL4" s="18">
        <v>0</v>
      </c>
      <c r="FM4" s="18">
        <v>18.8</v>
      </c>
      <c r="FN4" s="18">
        <v>6.8</v>
      </c>
      <c r="FO4" s="18">
        <v>0</v>
      </c>
      <c r="FP4" s="18">
        <v>0</v>
      </c>
      <c r="FQ4" s="55">
        <f>IF(SUM(EX4,FB4)&gt;0,SUM(EX4,FB4),"")</f>
        <v>13.2</v>
      </c>
      <c r="FR4" s="55">
        <f>IF(SUM(EW4:EX4,EZ4:FB4,FD4)-EY4-FC4&gt;0,SUM(EW4:EX4,EZ4:FB4,FD4)-EY4-FC4,"")</f>
        <v>50.4</v>
      </c>
      <c r="FS4" s="55" t="str">
        <f>IF(SUM(FE4:FF4,FH4)-FG4&gt;0,SUM(FE4:FF4,FH4)-FG4,"")</f>
        <v/>
      </c>
      <c r="FT4" s="55">
        <f>IF(SUM(FJ4,FN4)&gt;0,SUM(FJ4,FN4),"")</f>
        <v>13.2</v>
      </c>
      <c r="FU4" s="55">
        <f>IF(SUM(FI4:FJ4,FL4:FN4,FP4)-SUM(FK4,FO4)&gt;0,SUM(FI4:FJ4,FL4:FN4,FP4)-SUM(FK4,FO4),"")</f>
        <v>50.599999999999994</v>
      </c>
      <c r="FV4" s="55">
        <f>IF(SUM(FR4,FS4,FU4)&gt;0,SUM(FR4,FS4,FU4),"")</f>
        <v>101</v>
      </c>
      <c r="FW4" s="19"/>
      <c r="FX4" s="19"/>
      <c r="FY4" s="19"/>
      <c r="FZ4" s="19"/>
      <c r="GA4" s="19"/>
      <c r="GB4" s="19"/>
      <c r="GC4" s="19"/>
      <c r="GD4" s="19"/>
      <c r="GE4" s="19">
        <v>17.2</v>
      </c>
      <c r="GF4" s="19">
        <v>2.8</v>
      </c>
      <c r="GG4" s="19">
        <v>0</v>
      </c>
      <c r="GH4" s="19">
        <v>0</v>
      </c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>
        <f>IF(SUM(GE4:GF4,GH4)-GG4&gt;0,SUM(GE4:GF4,GH4)-GG4,"")</f>
        <v>20</v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>
        <f>IF(SUM(GR4,GS4,GU4)&gt;0,SUM(GR4,GS4,GU4),"")</f>
        <v>20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5" si="0">IF($CN4="P",BT4,(BT4+AS4)/2)</f>
        <v>9.4</v>
      </c>
      <c r="OX4" s="27">
        <f t="shared" si="0"/>
        <v>3.2</v>
      </c>
      <c r="OY4" s="27">
        <f t="shared" si="0"/>
        <v>0</v>
      </c>
      <c r="OZ4" s="27">
        <f t="shared" si="0"/>
        <v>0</v>
      </c>
      <c r="PA4" s="27">
        <f t="shared" si="0"/>
        <v>9.5500000000000007</v>
      </c>
      <c r="PB4" s="27">
        <f t="shared" si="0"/>
        <v>3.4</v>
      </c>
      <c r="PC4" s="27">
        <f t="shared" si="0"/>
        <v>0</v>
      </c>
      <c r="PD4" s="27">
        <f t="shared" si="0"/>
        <v>0</v>
      </c>
      <c r="PE4" s="27">
        <f t="shared" si="0"/>
        <v>9.35</v>
      </c>
      <c r="PF4" s="27">
        <f t="shared" si="0"/>
        <v>3</v>
      </c>
      <c r="PG4" s="27">
        <f t="shared" ref="PG4:PP5" si="1">IF($CN4="P",CD4,(CD4+BC4)/2)</f>
        <v>0</v>
      </c>
      <c r="PH4" s="27">
        <f t="shared" si="1"/>
        <v>0</v>
      </c>
      <c r="PI4" s="27">
        <f t="shared" si="1"/>
        <v>9.1999999999999993</v>
      </c>
      <c r="PJ4" s="27">
        <f t="shared" si="1"/>
        <v>3.2</v>
      </c>
      <c r="PK4" s="27">
        <f t="shared" si="1"/>
        <v>0</v>
      </c>
      <c r="PL4" s="27">
        <f t="shared" si="1"/>
        <v>0</v>
      </c>
      <c r="PM4" s="27">
        <f t="shared" si="1"/>
        <v>9.35</v>
      </c>
      <c r="PN4" s="27">
        <f t="shared" si="1"/>
        <v>3.4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6.6</v>
      </c>
      <c r="PS4" s="55">
        <f>IF(SUM(OW4:OX4,OZ4:PB4,PD4)-OY4-PC4&gt;0,SUM(OW4:OX4,OZ4:PB4,PD4)-OY4-PC4,"")</f>
        <v>25.55</v>
      </c>
      <c r="PT4" s="55">
        <f>IF(SUM(PE4:PF4,PH4)-PG4&gt;0,SUM(PE4:PF4,PH4)-PG4,"")</f>
        <v>12.35</v>
      </c>
      <c r="PU4" s="55">
        <f>IF(SUM(PJ4,PN4)&gt;0,SUM(PJ4,PN4),"")</f>
        <v>6.6</v>
      </c>
      <c r="PV4" s="55">
        <f>IF(SUM(PI4:PJ4,PL4:PN4,PP4)-SUM(PK4,PO4)&gt;0,SUM(PI4:PJ4,PL4:PN4,PP4)-SUM(PK4,PO4),"")</f>
        <v>25.15</v>
      </c>
      <c r="PW4" s="55">
        <f>IF(SUM(PS4,PT4,PV4)&gt;0,SUM(PS4,PT4,PV4),"")</f>
        <v>63.05</v>
      </c>
    </row>
    <row r="5" spans="1:439" x14ac:dyDescent="0.2">
      <c r="A5" s="4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>2</v>
      </c>
      <c r="B5" s="5" t="s">
        <v>82</v>
      </c>
      <c r="C5" s="4" t="s">
        <v>68</v>
      </c>
      <c r="D5" s="4">
        <v>2008</v>
      </c>
      <c r="E5" s="10">
        <f>SUM(I5:O5)+SUM(I5:M5)*0.0000001+SUM(I5)*0.0000000000001</f>
        <v>144.40001415000472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9">
        <f>IF(COUNT(AN5,BO5,CP5)&gt;0,LARGE((AN5,BO5,CP5),1),0)</f>
        <v>47.099999999999994</v>
      </c>
      <c r="J5" s="9" t="str">
        <f>IF(I5=0,"",IF(I5=CP5,$BT$1,IF(I5=BO5,$AS$1,IF(I5=AN5,$R$1,""))))</f>
        <v>2023 Elite Canada</v>
      </c>
      <c r="K5" s="9">
        <f>IF(COUNT(AN5,BO5,CP5)&gt;1,LARGE((AN5,BO5,CP5),2),0)</f>
        <v>46.800000000000004</v>
      </c>
      <c r="L5" s="9" t="str">
        <f>IF(K5=0,"",IF(K5=CP5,$BT$1,IF(K5=BO5,$AS$1,IF(K5=AN5,$R$1,""))))</f>
        <v>2023 3rd Domestic Trial</v>
      </c>
      <c r="M5" s="9">
        <f>IF(MAX(AQ5,BR5,CS5)&gt;0,MAX(AQ5,BR5,CS5),0)</f>
        <v>47.599999999999994</v>
      </c>
      <c r="N5" s="9" t="str">
        <f>IF(M5=0,"",IF(M5=CS5,$BT$1,IF(M5=BR5,$AS$1,IF(M5=AQ5,$R$1,""))))</f>
        <v>2023 Nationals</v>
      </c>
      <c r="O5" s="9">
        <f>IF(MAX(CU5:CV5)&gt;0,MAX(CU5:CV5),"")</f>
        <v>2.8999999999999986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18.600000000000001</v>
      </c>
      <c r="S5" s="20">
        <v>5.2</v>
      </c>
      <c r="T5" s="20">
        <v>0.2</v>
      </c>
      <c r="U5" s="20">
        <v>0</v>
      </c>
      <c r="V5" s="20">
        <v>18.5</v>
      </c>
      <c r="W5" s="20">
        <v>5.2</v>
      </c>
      <c r="X5" s="20">
        <v>0.2</v>
      </c>
      <c r="Y5" s="20">
        <v>0</v>
      </c>
      <c r="Z5" s="20">
        <v>18.600000000000001</v>
      </c>
      <c r="AA5" s="20">
        <v>5.0999999999999996</v>
      </c>
      <c r="AB5" s="20">
        <v>0</v>
      </c>
      <c r="AC5" s="20">
        <v>0</v>
      </c>
      <c r="AD5" s="20">
        <v>17.8</v>
      </c>
      <c r="AE5" s="20">
        <v>5.6</v>
      </c>
      <c r="AF5" s="20">
        <v>0.2</v>
      </c>
      <c r="AG5" s="20">
        <v>0</v>
      </c>
      <c r="AH5" s="20">
        <v>18.3</v>
      </c>
      <c r="AI5" s="20">
        <v>5.6</v>
      </c>
      <c r="AJ5" s="20">
        <v>0.8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47.099999999999994</v>
      </c>
      <c r="AO5" s="55">
        <f>IF(SUM(Z5:AA5,AC5)-AB5&gt;0,SUM(Z5:AA5,AC5)-AB5,"")</f>
        <v>23.700000000000003</v>
      </c>
      <c r="AP5" s="55">
        <f>IF(SUM(AE5,AI5)&gt;0,SUM(AE5,AI5),"")</f>
        <v>11.2</v>
      </c>
      <c r="AQ5" s="55">
        <f>IF(SUM(AD5:AE5,AG5:AI5,AK5)-SUM(AF5,AJ5)&gt;0,SUM(AD5:AE5,AG5:AI5,AK5)-SUM(AF5,AJ5),"")</f>
        <v>46.300000000000004</v>
      </c>
      <c r="AR5" s="55">
        <f>IF(SUM(AN5,AO5,AQ5)&gt;0,SUM(AN5,AO5,AQ5),"")</f>
        <v>117.1</v>
      </c>
      <c r="AS5" s="19">
        <v>0</v>
      </c>
      <c r="AT5" s="19">
        <v>0</v>
      </c>
      <c r="AU5" s="19">
        <v>0</v>
      </c>
      <c r="AV5" s="19">
        <v>0</v>
      </c>
      <c r="AW5" s="19">
        <v>18</v>
      </c>
      <c r="AX5" s="19">
        <v>6</v>
      </c>
      <c r="AY5" s="19">
        <v>0.2</v>
      </c>
      <c r="AZ5" s="19">
        <v>0</v>
      </c>
      <c r="BA5" s="19">
        <v>18.2</v>
      </c>
      <c r="BB5" s="19">
        <v>5.2</v>
      </c>
      <c r="BC5" s="19">
        <v>1</v>
      </c>
      <c r="BD5" s="19">
        <v>0</v>
      </c>
      <c r="BE5" s="19">
        <v>18.8</v>
      </c>
      <c r="BF5" s="19">
        <v>5.6</v>
      </c>
      <c r="BG5" s="19">
        <v>0.6</v>
      </c>
      <c r="BH5" s="19">
        <v>0</v>
      </c>
      <c r="BI5" s="19">
        <v>18.2</v>
      </c>
      <c r="BJ5" s="19">
        <v>5.6</v>
      </c>
      <c r="BK5" s="19">
        <v>0</v>
      </c>
      <c r="BL5" s="19">
        <v>0</v>
      </c>
      <c r="BM5" s="33"/>
      <c r="BN5" s="14">
        <f>IF(SUM(AT5,AX5)&gt;0,SUM(AT5,AX5),"")</f>
        <v>6</v>
      </c>
      <c r="BO5" s="14">
        <f>IF(SUM(AS5:AT5,AV5:AX5,AZ5)-AU5-AY5&gt;0,SUM(AS5:AT5,AV5:AX5,AZ5)-AU5-AY5,"")</f>
        <v>23.8</v>
      </c>
      <c r="BP5" s="14">
        <f>IF(SUM(BA5:BB5,BD5)-BC5&gt;0,SUM(BA5:BB5,BD5)-BC5,"")</f>
        <v>22.4</v>
      </c>
      <c r="BQ5" s="14">
        <f>IF(SUM(BF5,BJ5)&gt;0,SUM(BF5,BJ5),"")</f>
        <v>11.2</v>
      </c>
      <c r="BR5" s="14">
        <f>IF(SUM(BE5:BF5,BH5:BJ5,BL5)-SUM(BG5,BK5)&gt;0,SUM(BE5:BF5,BH5:BJ5,BL5)-SUM(BG5,BK5),"")</f>
        <v>47.599999999999994</v>
      </c>
      <c r="BS5" s="14">
        <f>IF(SUM(BO5,BP5,BR5)&gt;0,SUM(BO5,BP5,BR5),"")</f>
        <v>93.8</v>
      </c>
      <c r="BT5" s="20">
        <v>18.600000000000001</v>
      </c>
      <c r="BU5" s="20">
        <v>5.1999999999999993</v>
      </c>
      <c r="BV5" s="20">
        <v>0.6</v>
      </c>
      <c r="BW5" s="20">
        <v>0</v>
      </c>
      <c r="BX5" s="20">
        <v>18.399999999999999</v>
      </c>
      <c r="BY5" s="20">
        <v>5.1999999999999993</v>
      </c>
      <c r="BZ5" s="20">
        <v>0</v>
      </c>
      <c r="CA5" s="20">
        <v>0</v>
      </c>
      <c r="CB5" s="20">
        <v>18.8</v>
      </c>
      <c r="CC5" s="20">
        <v>3.9000000000000004</v>
      </c>
      <c r="CD5" s="20">
        <v>0</v>
      </c>
      <c r="CE5" s="20">
        <v>0</v>
      </c>
      <c r="CF5" s="20">
        <v>18.100000000000001</v>
      </c>
      <c r="CG5" s="20">
        <v>5.6</v>
      </c>
      <c r="CH5" s="20">
        <v>0.2</v>
      </c>
      <c r="CI5" s="20">
        <v>0</v>
      </c>
      <c r="CJ5" s="20">
        <v>18.399999999999999</v>
      </c>
      <c r="CK5" s="20">
        <v>5.6</v>
      </c>
      <c r="CL5" s="20">
        <v>0.6</v>
      </c>
      <c r="CM5" s="20">
        <v>0</v>
      </c>
      <c r="CN5" s="32"/>
      <c r="CO5" s="55">
        <f>IF(SUM(BU5,BY5)&gt;0,SUM(BU5,BY5),"")</f>
        <v>10.399999999999999</v>
      </c>
      <c r="CP5" s="55">
        <f>IF(SUM(BT5:BU5,BW5:BY5,CA5)-BV5-BZ5&gt;0,SUM(BT5:BU5,BW5:BY5,CA5)-BV5-BZ5,"")</f>
        <v>46.800000000000004</v>
      </c>
      <c r="CQ5" s="55">
        <f>IF(SUM(CB5:CC5,CE5)-CD5&gt;0,SUM(CB5:CC5,CE5)-CD5,"")</f>
        <v>22.700000000000003</v>
      </c>
      <c r="CR5" s="55">
        <f>IF(SUM(CG5,CK5)&gt;0,SUM(CG5,CK5),"")</f>
        <v>11.2</v>
      </c>
      <c r="CS5" s="55">
        <f>IF(SUM(CF5:CG5,CI5:CK5,CM5)-SUM(CH5,CL5)&gt;0,SUM(CF5:CG5,CI5:CK5,CM5)-SUM(CH5,CL5),"")</f>
        <v>46.900000000000006</v>
      </c>
      <c r="CT5" s="55">
        <f>IF(SUM(CP5,CQ5,CS5)&gt;0,SUM(CP5,CQ5,CS5),"")</f>
        <v>116.4</v>
      </c>
      <c r="CU5" s="56">
        <f>IF(MAX(DR5,ER5,FR5,GR5,HR5,IR5,JR5,KR5,LR5,MR5,NR5,OR5)-IF(K5="",0,K5)&gt;0.001,MAX(DR5,ER5,FR5,GR5,HR5,IR5,JR5,KR5,LR5,MR5,NR5,OR5)-IF(K5="",0,K5),"")</f>
        <v>2.8999999999999986</v>
      </c>
      <c r="CV5" s="56">
        <f>IF(MAX(DU5,EU5,FU5,GU5,HU5,IU5,JU5,KU5,LU5,MU5,NU5,OU5)-IF(M5="",0,M5)&gt;0.001,MAX(DU5,EU5,FU5,GU5,HU5,IU5,JU5,KU5,LU5,MU5,NU5,OU5)-IF(M5="",0,M5),"")</f>
        <v>1</v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>
        <v>18.2</v>
      </c>
      <c r="EX5" s="18">
        <v>6.4</v>
      </c>
      <c r="EY5" s="18">
        <v>0</v>
      </c>
      <c r="EZ5" s="18">
        <v>0</v>
      </c>
      <c r="FA5" s="18">
        <v>18.3</v>
      </c>
      <c r="FB5" s="18">
        <v>6.8</v>
      </c>
      <c r="FC5" s="18">
        <v>0</v>
      </c>
      <c r="FD5" s="18">
        <v>0</v>
      </c>
      <c r="FE5" s="18"/>
      <c r="FF5" s="18"/>
      <c r="FG5" s="18"/>
      <c r="FH5" s="18"/>
      <c r="FI5" s="18">
        <v>18.2</v>
      </c>
      <c r="FJ5" s="18">
        <v>6.8</v>
      </c>
      <c r="FK5" s="18">
        <v>0.6</v>
      </c>
      <c r="FL5" s="18">
        <v>0</v>
      </c>
      <c r="FM5" s="18">
        <v>18.399999999999999</v>
      </c>
      <c r="FN5" s="18">
        <v>6.4</v>
      </c>
      <c r="FO5" s="18">
        <v>0.6</v>
      </c>
      <c r="FP5" s="18">
        <v>0</v>
      </c>
      <c r="FQ5" s="55">
        <f>IF(SUM(EX5,FB5)&gt;0,SUM(EX5,FB5),"")</f>
        <v>13.2</v>
      </c>
      <c r="FR5" s="55">
        <f>IF(SUM(EW5:EX5,EZ5:FB5,FD5)-EY5-FC5&gt;0,SUM(EW5:EX5,EZ5:FB5,FD5)-EY5-FC5,"")</f>
        <v>49.7</v>
      </c>
      <c r="FS5" s="55" t="str">
        <f>IF(SUM(FE5:FF5,FH5)-FG5&gt;0,SUM(FE5:FF5,FH5)-FG5,"")</f>
        <v/>
      </c>
      <c r="FT5" s="55">
        <f>IF(SUM(FJ5,FN5)&gt;0,SUM(FJ5,FN5),"")</f>
        <v>13.2</v>
      </c>
      <c r="FU5" s="55">
        <f>IF(SUM(FI5:FJ5,FL5:FN5,FP5)-SUM(FK5,FO5)&gt;0,SUM(FI5:FJ5,FL5:FN5,FP5)-SUM(FK5,FO5),"")</f>
        <v>48.599999999999994</v>
      </c>
      <c r="FV5" s="55">
        <f>IF(SUM(FR5,FS5,FU5)&gt;0,SUM(FR5,FS5,FU5),"")</f>
        <v>98.3</v>
      </c>
      <c r="FW5" s="19"/>
      <c r="FX5" s="19"/>
      <c r="FY5" s="19"/>
      <c r="FZ5" s="19"/>
      <c r="GA5" s="19"/>
      <c r="GB5" s="19"/>
      <c r="GC5" s="19"/>
      <c r="GD5" s="19"/>
      <c r="GE5" s="19">
        <v>18</v>
      </c>
      <c r="GF5" s="19">
        <v>6.4</v>
      </c>
      <c r="GG5" s="19">
        <v>0.2</v>
      </c>
      <c r="GH5" s="19">
        <v>0</v>
      </c>
      <c r="GI5" s="19">
        <v>17.8</v>
      </c>
      <c r="GJ5" s="19">
        <v>6</v>
      </c>
      <c r="GK5" s="19">
        <v>0.2</v>
      </c>
      <c r="GL5" s="19">
        <v>0</v>
      </c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>
        <f>IF(SUM(GE5:GF5,GH5)-GG5&gt;0,SUM(GE5:GF5,GH5)-GG5,"")</f>
        <v>24.2</v>
      </c>
      <c r="GT5" s="14">
        <f>IF(SUM(GJ5,GN5)&gt;0,SUM(GJ5,GN5),"")</f>
        <v>6</v>
      </c>
      <c r="GU5" s="14">
        <f>IF(SUM(GI5:GJ5,GL5:GN5,GP5)-SUM(GK5,GO5)&gt;0,SUM(GI5:GJ5,GL5:GN5,GP5)-SUM(GK5,GO5),"")</f>
        <v>23.6</v>
      </c>
      <c r="GV5" s="14">
        <f>IF(SUM(GR5,GS5,GU5)&gt;0,SUM(GR5,GS5,GU5),"")</f>
        <v>47.8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9.3000000000000007</v>
      </c>
      <c r="OX5" s="27">
        <f t="shared" si="0"/>
        <v>2.5999999999999996</v>
      </c>
      <c r="OY5" s="27">
        <f t="shared" si="0"/>
        <v>0.3</v>
      </c>
      <c r="OZ5" s="27">
        <f t="shared" si="0"/>
        <v>0</v>
      </c>
      <c r="PA5" s="27">
        <f t="shared" si="0"/>
        <v>18.2</v>
      </c>
      <c r="PB5" s="27">
        <f t="shared" si="0"/>
        <v>5.6</v>
      </c>
      <c r="PC5" s="27">
        <f t="shared" si="0"/>
        <v>0.1</v>
      </c>
      <c r="PD5" s="27">
        <f t="shared" si="0"/>
        <v>0</v>
      </c>
      <c r="PE5" s="27">
        <f t="shared" si="0"/>
        <v>18.5</v>
      </c>
      <c r="PF5" s="27">
        <f t="shared" si="0"/>
        <v>4.5500000000000007</v>
      </c>
      <c r="PG5" s="27">
        <f t="shared" si="1"/>
        <v>0.5</v>
      </c>
      <c r="PH5" s="27">
        <f t="shared" si="1"/>
        <v>0</v>
      </c>
      <c r="PI5" s="27">
        <f t="shared" si="1"/>
        <v>18.450000000000003</v>
      </c>
      <c r="PJ5" s="27">
        <f t="shared" si="1"/>
        <v>5.6</v>
      </c>
      <c r="PK5" s="27">
        <f t="shared" si="1"/>
        <v>0.4</v>
      </c>
      <c r="PL5" s="27">
        <f t="shared" si="1"/>
        <v>0</v>
      </c>
      <c r="PM5" s="27">
        <f t="shared" si="1"/>
        <v>18.299999999999997</v>
      </c>
      <c r="PN5" s="27">
        <f t="shared" si="1"/>
        <v>5.6</v>
      </c>
      <c r="PO5" s="27">
        <f t="shared" si="1"/>
        <v>0.3</v>
      </c>
      <c r="PP5" s="27">
        <f t="shared" si="1"/>
        <v>0</v>
      </c>
      <c r="PQ5" s="32" t="s">
        <v>44</v>
      </c>
      <c r="PR5" s="55">
        <f>IF(SUM(OX5,PB5)&gt;0,SUM(OX5,PB5),"")</f>
        <v>8.1999999999999993</v>
      </c>
      <c r="PS5" s="55">
        <f>IF(SUM(OW5:OX5,OZ5:PB5,PD5)-OY5-PC5&gt;0,SUM(OW5:OX5,OZ5:PB5,PD5)-OY5-PC5,"")</f>
        <v>35.300000000000004</v>
      </c>
      <c r="PT5" s="55">
        <f>IF(SUM(PE5:PF5,PH5)-PG5&gt;0,SUM(PE5:PF5,PH5)-PG5,"")</f>
        <v>22.55</v>
      </c>
      <c r="PU5" s="55">
        <f>IF(SUM(PJ5,PN5)&gt;0,SUM(PJ5,PN5),"")</f>
        <v>11.2</v>
      </c>
      <c r="PV5" s="55">
        <f>IF(SUM(PI5:PJ5,PL5:PN5,PP5)-SUM(PK5,PO5)&gt;0,SUM(PI5:PJ5,PL5:PN5,PP5)-SUM(PK5,PO5),"")</f>
        <v>47.25</v>
      </c>
      <c r="PW5" s="55">
        <f>IF(SUM(PS5,PT5,PV5)&gt;0,SUM(PS5,PT5,PV5),"")</f>
        <v>105.10000000000001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7.9</v>
      </c>
      <c r="BN8" s="4"/>
      <c r="BS8" s="57">
        <v>7.9</v>
      </c>
      <c r="CO8" s="4"/>
      <c r="CT8" s="57">
        <v>7.9</v>
      </c>
      <c r="DQ8" s="4"/>
      <c r="DV8" s="57">
        <v>7.9</v>
      </c>
      <c r="EQ8" s="4"/>
      <c r="EV8" s="57">
        <v>7.9</v>
      </c>
      <c r="FQ8" s="4"/>
      <c r="FV8" s="57">
        <v>7.9</v>
      </c>
      <c r="GQ8" s="4"/>
      <c r="GV8" s="57">
        <v>7.9</v>
      </c>
      <c r="HQ8" s="4"/>
      <c r="HV8" s="57">
        <v>7.9</v>
      </c>
      <c r="IQ8" s="4"/>
      <c r="IV8" s="57">
        <v>7.9</v>
      </c>
      <c r="JQ8" s="4"/>
      <c r="JV8" s="57">
        <v>7.9</v>
      </c>
      <c r="KQ8" s="4"/>
      <c r="KV8" s="57">
        <v>7.9</v>
      </c>
      <c r="LQ8" s="4"/>
      <c r="LV8" s="57">
        <v>7.9</v>
      </c>
      <c r="MQ8" s="4"/>
      <c r="MV8" s="57">
        <v>7.9</v>
      </c>
      <c r="NQ8" s="4"/>
      <c r="NV8" s="57">
        <v>7.9</v>
      </c>
      <c r="OQ8" s="4"/>
      <c r="OV8" s="57">
        <v>7.9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9.6</v>
      </c>
      <c r="BN9" s="4"/>
      <c r="BS9" s="58">
        <f>BS10</f>
        <v>9.6</v>
      </c>
      <c r="CO9" s="4"/>
      <c r="CT9" s="58">
        <f>CT10</f>
        <v>9.6</v>
      </c>
      <c r="DQ9" s="4"/>
      <c r="DV9" s="58">
        <f>DV10</f>
        <v>9.6</v>
      </c>
      <c r="EQ9" s="4"/>
      <c r="EV9" s="58">
        <f>EV10</f>
        <v>9.6</v>
      </c>
      <c r="FQ9" s="4"/>
      <c r="FV9" s="58">
        <f>FV10</f>
        <v>9.6</v>
      </c>
      <c r="GQ9" s="4"/>
      <c r="GV9" s="58">
        <f>GV10</f>
        <v>9.6</v>
      </c>
      <c r="HQ9" s="4"/>
      <c r="HV9" s="58">
        <f>HV10</f>
        <v>9.6</v>
      </c>
      <c r="IQ9" s="4"/>
      <c r="IV9" s="58">
        <f>IV10</f>
        <v>9.6</v>
      </c>
      <c r="JQ9" s="4"/>
      <c r="JV9" s="58">
        <f>JV10</f>
        <v>9.6</v>
      </c>
      <c r="KQ9" s="4"/>
      <c r="KV9" s="58">
        <f>KV10</f>
        <v>9.6</v>
      </c>
      <c r="LQ9" s="4"/>
      <c r="LV9" s="58">
        <f>LV10</f>
        <v>9.6</v>
      </c>
      <c r="MQ9" s="4"/>
      <c r="MV9" s="58">
        <f>MV10</f>
        <v>9.6</v>
      </c>
      <c r="NQ9" s="4"/>
      <c r="NV9" s="58">
        <f>NV10</f>
        <v>9.6</v>
      </c>
      <c r="OQ9" s="4"/>
      <c r="OV9" s="58">
        <f>OV10</f>
        <v>9.6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9.6</v>
      </c>
      <c r="BN10" s="4"/>
      <c r="BS10" s="59">
        <v>9.6</v>
      </c>
      <c r="CO10" s="4"/>
      <c r="CT10" s="59">
        <v>9.6</v>
      </c>
      <c r="DQ10" s="4"/>
      <c r="DV10" s="59">
        <v>9.6</v>
      </c>
      <c r="EQ10" s="4"/>
      <c r="EV10" s="59">
        <v>9.6</v>
      </c>
      <c r="FQ10" s="4"/>
      <c r="FV10" s="59">
        <v>9.6</v>
      </c>
      <c r="GQ10" s="4"/>
      <c r="GV10" s="59">
        <v>9.6</v>
      </c>
      <c r="HQ10" s="4"/>
      <c r="HV10" s="59">
        <v>9.6</v>
      </c>
      <c r="IQ10" s="4"/>
      <c r="IV10" s="59">
        <v>9.6</v>
      </c>
      <c r="JQ10" s="4"/>
      <c r="JV10" s="59">
        <v>9.6</v>
      </c>
      <c r="KQ10" s="4"/>
      <c r="KV10" s="59">
        <v>9.6</v>
      </c>
      <c r="LQ10" s="4"/>
      <c r="LV10" s="59">
        <v>9.6</v>
      </c>
      <c r="MQ10" s="4"/>
      <c r="MV10" s="59">
        <v>9.6</v>
      </c>
      <c r="NQ10" s="4"/>
      <c r="NV10" s="59">
        <v>9.6</v>
      </c>
      <c r="OQ10" s="4"/>
      <c r="OV10" s="59">
        <v>9.6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5">
        <v>1000</v>
      </c>
      <c r="BN11" s="4"/>
      <c r="BS11" s="65">
        <v>1000</v>
      </c>
      <c r="CO11" s="4"/>
      <c r="CT11" s="65">
        <v>1000</v>
      </c>
      <c r="DQ11" s="4"/>
      <c r="DV11" s="65">
        <v>1000</v>
      </c>
      <c r="EQ11" s="4"/>
      <c r="EV11" s="65">
        <v>1000</v>
      </c>
      <c r="FQ11" s="4"/>
      <c r="FV11" s="65">
        <v>1000</v>
      </c>
      <c r="GQ11" s="4"/>
      <c r="GV11" s="65">
        <v>1000</v>
      </c>
      <c r="HQ11" s="4"/>
      <c r="HV11" s="65">
        <v>1000</v>
      </c>
      <c r="IQ11" s="4"/>
      <c r="IV11" s="65">
        <v>1000</v>
      </c>
      <c r="JQ11" s="4"/>
      <c r="JV11" s="65">
        <v>1000</v>
      </c>
      <c r="KQ11" s="4"/>
      <c r="KV11" s="65">
        <v>1000</v>
      </c>
      <c r="LQ11" s="4"/>
      <c r="LV11" s="65">
        <v>1000</v>
      </c>
      <c r="MQ11" s="4"/>
      <c r="MV11" s="65">
        <v>1000</v>
      </c>
      <c r="NQ11" s="4"/>
      <c r="NV11" s="65">
        <v>1000</v>
      </c>
      <c r="OQ11" s="4"/>
      <c r="OV11" s="65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6">
        <v>45.5</v>
      </c>
      <c r="BN12" s="4"/>
      <c r="BS12" s="66">
        <v>45.5</v>
      </c>
      <c r="CO12" s="4"/>
      <c r="CT12" s="66">
        <v>45.5</v>
      </c>
      <c r="DQ12" s="4"/>
      <c r="DV12" s="66">
        <v>45.5</v>
      </c>
      <c r="EQ12" s="4"/>
      <c r="EV12" s="66">
        <v>45.5</v>
      </c>
      <c r="FQ12" s="4"/>
      <c r="FV12" s="66">
        <v>45.5</v>
      </c>
      <c r="GQ12" s="4"/>
      <c r="GV12" s="66">
        <v>45.5</v>
      </c>
      <c r="HQ12" s="4"/>
      <c r="HV12" s="66">
        <v>45.5</v>
      </c>
      <c r="IQ12" s="4"/>
      <c r="IV12" s="66">
        <v>45.5</v>
      </c>
      <c r="JQ12" s="4"/>
      <c r="JV12" s="66">
        <v>45.5</v>
      </c>
      <c r="KQ12" s="4"/>
      <c r="KV12" s="66">
        <v>45.5</v>
      </c>
      <c r="LQ12" s="4"/>
      <c r="LV12" s="66">
        <v>45.5</v>
      </c>
      <c r="MQ12" s="4"/>
      <c r="MV12" s="66">
        <v>45.5</v>
      </c>
      <c r="NQ12" s="4"/>
      <c r="NV12" s="66">
        <v>45.5</v>
      </c>
      <c r="OQ12" s="4"/>
      <c r="OV12" s="66">
        <v>45.5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47.1</v>
      </c>
      <c r="BN13" s="4"/>
      <c r="BS13" s="62">
        <f>BS14</f>
        <v>47.1</v>
      </c>
      <c r="CO13" s="4"/>
      <c r="CT13" s="62">
        <f>CT14</f>
        <v>47.1</v>
      </c>
      <c r="DQ13" s="4"/>
      <c r="DV13" s="62">
        <f>DV14</f>
        <v>47.1</v>
      </c>
      <c r="EQ13" s="4"/>
      <c r="EV13" s="62">
        <f>EV14</f>
        <v>47.1</v>
      </c>
      <c r="FQ13" s="4"/>
      <c r="FV13" s="62">
        <f>FV14</f>
        <v>47.1</v>
      </c>
      <c r="GQ13" s="4"/>
      <c r="GV13" s="62">
        <f>GV14</f>
        <v>47.1</v>
      </c>
      <c r="HQ13" s="4"/>
      <c r="HV13" s="62">
        <f>HV14</f>
        <v>47.1</v>
      </c>
      <c r="IQ13" s="4"/>
      <c r="IV13" s="62">
        <f>IV14</f>
        <v>47.1</v>
      </c>
      <c r="JQ13" s="4"/>
      <c r="JV13" s="62">
        <f>JV14</f>
        <v>47.1</v>
      </c>
      <c r="KQ13" s="4"/>
      <c r="KV13" s="62">
        <f>KV14</f>
        <v>47.1</v>
      </c>
      <c r="LQ13" s="4"/>
      <c r="LV13" s="62">
        <f>LV14</f>
        <v>47.1</v>
      </c>
      <c r="MQ13" s="4"/>
      <c r="MV13" s="62">
        <f>MV14</f>
        <v>47.1</v>
      </c>
      <c r="NQ13" s="4"/>
      <c r="NV13" s="62">
        <f>NV14</f>
        <v>47.1</v>
      </c>
      <c r="OQ13" s="4"/>
      <c r="OV13" s="62">
        <f>OV14</f>
        <v>47.1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47.1</v>
      </c>
      <c r="BN14" s="4"/>
      <c r="BS14" s="63">
        <v>47.1</v>
      </c>
      <c r="CO14" s="4"/>
      <c r="CT14" s="63">
        <v>47.1</v>
      </c>
      <c r="DQ14" s="4"/>
      <c r="DV14" s="63">
        <v>47.1</v>
      </c>
      <c r="EQ14" s="4"/>
      <c r="EV14" s="63">
        <v>47.1</v>
      </c>
      <c r="FQ14" s="4"/>
      <c r="FV14" s="63">
        <v>47.1</v>
      </c>
      <c r="GQ14" s="4"/>
      <c r="GV14" s="63">
        <v>47.1</v>
      </c>
      <c r="HQ14" s="4"/>
      <c r="HV14" s="63">
        <v>47.1</v>
      </c>
      <c r="IQ14" s="4"/>
      <c r="IV14" s="63">
        <v>47.1</v>
      </c>
      <c r="JQ14" s="4"/>
      <c r="JV14" s="63">
        <v>47.1</v>
      </c>
      <c r="KQ14" s="4"/>
      <c r="KV14" s="63">
        <v>47.1</v>
      </c>
      <c r="LQ14" s="4"/>
      <c r="LV14" s="63">
        <v>47.1</v>
      </c>
      <c r="MQ14" s="4"/>
      <c r="MV14" s="63">
        <v>47.1</v>
      </c>
      <c r="NQ14" s="4"/>
      <c r="NV14" s="63">
        <v>47.1</v>
      </c>
      <c r="OQ14" s="4"/>
      <c r="OV14" s="63">
        <v>47.1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28" priority="2" stopIfTrue="1">
      <formula>IF($AL4&lt;&gt;"",1,0)</formula>
    </cfRule>
  </conditionalFormatting>
  <conditionalFormatting sqref="AS4:BS5">
    <cfRule type="expression" dxfId="27" priority="3" stopIfTrue="1">
      <formula>IF($BM4&lt;&gt;"",1,0)</formula>
    </cfRule>
  </conditionalFormatting>
  <conditionalFormatting sqref="J1:J1048576 L1:L1048576 N1:N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5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58570" operator="between">
      <formula>AR$11</formula>
      <formula>1000</formula>
    </cfRule>
    <cfRule type="cellIs" dxfId="14" priority="58571" operator="between">
      <formula>AR$10</formula>
      <formula>AR$11</formula>
    </cfRule>
    <cfRule type="cellIs" dxfId="13" priority="58572" operator="between">
      <formula>AR$9</formula>
      <formula>AR$10</formula>
    </cfRule>
    <cfRule type="cellIs" dxfId="12" priority="58573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58750" operator="between">
      <formula>AR$15</formula>
      <formula>1000</formula>
    </cfRule>
    <cfRule type="cellIs" dxfId="10" priority="58751" operator="between">
      <formula>AR$14</formula>
      <formula>AR$15</formula>
    </cfRule>
    <cfRule type="cellIs" dxfId="9" priority="58752" operator="between">
      <formula>AR$13</formula>
      <formula>AR$14</formula>
    </cfRule>
    <cfRule type="cellIs" dxfId="8" priority="58753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58930" operator="between">
      <formula>AR$8</formula>
      <formula>AR$9</formula>
    </cfRule>
    <cfRule type="cellIs" dxfId="6" priority="58931" operator="between">
      <formula>AR$9</formula>
      <formula>AR$10</formula>
    </cfRule>
    <cfRule type="cellIs" dxfId="5" priority="58932" operator="between">
      <formula>AR$10</formula>
      <formula>AR$11</formula>
    </cfRule>
    <cfRule type="cellIs" dxfId="4" priority="58933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59110" operator="between">
      <formula>AR$12</formula>
      <formula>AR$13</formula>
    </cfRule>
    <cfRule type="cellIs" dxfId="2" priority="59111" operator="between">
      <formula>AR$13</formula>
      <formula>AR$14</formula>
    </cfRule>
    <cfRule type="cellIs" dxfId="1" priority="59112" operator="between">
      <formula>AR$14</formula>
      <formula>AR$15</formula>
    </cfRule>
    <cfRule type="cellIs" dxfId="0" priority="59113" operator="between">
      <formula>AR$15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2024-01-14T20:45:18Z</dcterms:modified>
</cp:coreProperties>
</file>