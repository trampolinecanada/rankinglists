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8D3BC210-9FE3-1043-935C-78EFE8C614DE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'DMT-W'!$A$1:$PW$5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4" i="14" l="1"/>
  <c r="OV13" i="17" l="1"/>
  <c r="OV9" i="17"/>
  <c r="NV13" i="17"/>
  <c r="NV9" i="17"/>
  <c r="MV13" i="17"/>
  <c r="MV9" i="17"/>
  <c r="LV13" i="17"/>
  <c r="LV9" i="17"/>
  <c r="KV13" i="17"/>
  <c r="KV9" i="17"/>
  <c r="JV13" i="17"/>
  <c r="JV9" i="17"/>
  <c r="IV13" i="17"/>
  <c r="IV9" i="17"/>
  <c r="HV13" i="17"/>
  <c r="HV9" i="17"/>
  <c r="GV13" i="17"/>
  <c r="GV9" i="17"/>
  <c r="FV13" i="17"/>
  <c r="FV9" i="17"/>
  <c r="EV13" i="17"/>
  <c r="EV9" i="17"/>
  <c r="DV13" i="17"/>
  <c r="DV9" i="17"/>
  <c r="CT13" i="17"/>
  <c r="CT9" i="17"/>
  <c r="BS13" i="17"/>
  <c r="BS9" i="17"/>
  <c r="AR13" i="17"/>
  <c r="AR9" i="17"/>
  <c r="PP4" i="17"/>
  <c r="PO4" i="17"/>
  <c r="PN4" i="17"/>
  <c r="PM4" i="17"/>
  <c r="PL4" i="17"/>
  <c r="PK4" i="17"/>
  <c r="PJ4" i="17"/>
  <c r="PU4" i="17" s="1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NU4" i="17"/>
  <c r="NT4" i="17"/>
  <c r="NS4" i="17"/>
  <c r="NR4" i="17"/>
  <c r="NQ4" i="17"/>
  <c r="MU4" i="17"/>
  <c r="MT4" i="17"/>
  <c r="MS4" i="17"/>
  <c r="MR4" i="17"/>
  <c r="MQ4" i="17"/>
  <c r="LU4" i="17"/>
  <c r="LT4" i="17"/>
  <c r="LS4" i="17"/>
  <c r="LR4" i="17"/>
  <c r="LQ4" i="17"/>
  <c r="KU4" i="17"/>
  <c r="KV4" i="17" s="1"/>
  <c r="KT4" i="17"/>
  <c r="KS4" i="17"/>
  <c r="KR4" i="17"/>
  <c r="KQ4" i="17"/>
  <c r="JU4" i="17"/>
  <c r="JT4" i="17"/>
  <c r="JS4" i="17"/>
  <c r="JR4" i="17"/>
  <c r="JQ4" i="17"/>
  <c r="IU4" i="17"/>
  <c r="IT4" i="17"/>
  <c r="IS4" i="17"/>
  <c r="IR4" i="17"/>
  <c r="IQ4" i="17"/>
  <c r="HU4" i="17"/>
  <c r="HT4" i="17"/>
  <c r="HS4" i="17"/>
  <c r="HR4" i="17"/>
  <c r="HQ4" i="17"/>
  <c r="GU4" i="17"/>
  <c r="GT4" i="17"/>
  <c r="GS4" i="17"/>
  <c r="GR4" i="17"/>
  <c r="GQ4" i="17"/>
  <c r="FU4" i="17"/>
  <c r="FT4" i="17"/>
  <c r="FS4" i="17"/>
  <c r="FR4" i="17"/>
  <c r="FQ4" i="17"/>
  <c r="EU4" i="17"/>
  <c r="ET4" i="17"/>
  <c r="ES4" i="17"/>
  <c r="ER4" i="17"/>
  <c r="EQ4" i="17"/>
  <c r="DU4" i="17"/>
  <c r="DT4" i="17"/>
  <c r="DS4" i="17"/>
  <c r="DR4" i="17"/>
  <c r="DQ4" i="17"/>
  <c r="CS4" i="17"/>
  <c r="CR4" i="17"/>
  <c r="CQ4" i="17"/>
  <c r="CP4" i="17"/>
  <c r="CO4" i="17"/>
  <c r="BR4" i="17"/>
  <c r="BQ4" i="17"/>
  <c r="BP4" i="17"/>
  <c r="BO4" i="17"/>
  <c r="BN4" i="17"/>
  <c r="AQ4" i="17"/>
  <c r="AP4" i="17"/>
  <c r="AO4" i="17"/>
  <c r="AN4" i="17"/>
  <c r="AM4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NU5" i="17"/>
  <c r="NV5" i="17" s="1"/>
  <c r="NT5" i="17"/>
  <c r="NS5" i="17"/>
  <c r="NR5" i="17"/>
  <c r="NQ5" i="17"/>
  <c r="MU5" i="17"/>
  <c r="MT5" i="17"/>
  <c r="MS5" i="17"/>
  <c r="MR5" i="17"/>
  <c r="MQ5" i="17"/>
  <c r="LU5" i="17"/>
  <c r="LT5" i="17"/>
  <c r="LS5" i="17"/>
  <c r="LR5" i="17"/>
  <c r="LQ5" i="17"/>
  <c r="KU5" i="17"/>
  <c r="KT5" i="17"/>
  <c r="KS5" i="17"/>
  <c r="KR5" i="17"/>
  <c r="KQ5" i="17"/>
  <c r="JU5" i="17"/>
  <c r="JT5" i="17"/>
  <c r="JS5" i="17"/>
  <c r="JR5" i="17"/>
  <c r="JQ5" i="17"/>
  <c r="IU5" i="17"/>
  <c r="IT5" i="17"/>
  <c r="IS5" i="17"/>
  <c r="IR5" i="17"/>
  <c r="IQ5" i="17"/>
  <c r="HU5" i="17"/>
  <c r="HT5" i="17"/>
  <c r="HS5" i="17"/>
  <c r="HR5" i="17"/>
  <c r="HQ5" i="17"/>
  <c r="GU5" i="17"/>
  <c r="GT5" i="17"/>
  <c r="GS5" i="17"/>
  <c r="GR5" i="17"/>
  <c r="GQ5" i="17"/>
  <c r="FU5" i="17"/>
  <c r="FT5" i="17"/>
  <c r="FS5" i="17"/>
  <c r="FR5" i="17"/>
  <c r="FQ5" i="17"/>
  <c r="EU5" i="17"/>
  <c r="ET5" i="17"/>
  <c r="ES5" i="17"/>
  <c r="ER5" i="17"/>
  <c r="EQ5" i="17"/>
  <c r="DU5" i="17"/>
  <c r="DT5" i="17"/>
  <c r="DS5" i="17"/>
  <c r="DR5" i="17"/>
  <c r="DQ5" i="17"/>
  <c r="CS5" i="17"/>
  <c r="CR5" i="17"/>
  <c r="CQ5" i="17"/>
  <c r="CP5" i="17"/>
  <c r="CO5" i="17"/>
  <c r="BR5" i="17"/>
  <c r="BQ5" i="17"/>
  <c r="BP5" i="17"/>
  <c r="BO5" i="17"/>
  <c r="BN5" i="17"/>
  <c r="AQ5" i="17"/>
  <c r="AP5" i="17"/>
  <c r="AO5" i="17"/>
  <c r="AN5" i="17"/>
  <c r="AM5" i="17"/>
  <c r="OV12" i="16"/>
  <c r="OV8" i="16"/>
  <c r="NV12" i="16"/>
  <c r="NV8" i="16"/>
  <c r="MV12" i="16"/>
  <c r="MV8" i="16"/>
  <c r="LV12" i="16"/>
  <c r="LV8" i="16"/>
  <c r="KV12" i="16"/>
  <c r="KV8" i="16"/>
  <c r="JV12" i="16"/>
  <c r="JV8" i="16"/>
  <c r="IV12" i="16"/>
  <c r="IV8" i="16"/>
  <c r="HV12" i="16"/>
  <c r="HV8" i="16"/>
  <c r="GV12" i="16"/>
  <c r="GV8" i="16"/>
  <c r="FV12" i="16"/>
  <c r="FV8" i="16"/>
  <c r="EV12" i="16"/>
  <c r="EV8" i="16"/>
  <c r="DV12" i="16"/>
  <c r="DV8" i="16"/>
  <c r="BS12" i="16"/>
  <c r="BS8" i="16"/>
  <c r="CT12" i="16"/>
  <c r="CT8" i="16"/>
  <c r="AR12" i="16"/>
  <c r="AR8" i="16"/>
  <c r="PP4" i="16"/>
  <c r="PO4" i="16"/>
  <c r="PN4" i="16"/>
  <c r="PM4" i="16"/>
  <c r="PL4" i="16"/>
  <c r="PK4" i="16"/>
  <c r="PJ4" i="16"/>
  <c r="PI4" i="16"/>
  <c r="PH4" i="16"/>
  <c r="PG4" i="16"/>
  <c r="PF4" i="16"/>
  <c r="PE4" i="16"/>
  <c r="PD4" i="16"/>
  <c r="PC4" i="16"/>
  <c r="PB4" i="16"/>
  <c r="PA4" i="16"/>
  <c r="OZ4" i="16"/>
  <c r="OY4" i="16"/>
  <c r="OX4" i="16"/>
  <c r="OW4" i="16"/>
  <c r="OU4" i="16"/>
  <c r="OV4" i="16" s="1"/>
  <c r="OT4" i="16"/>
  <c r="OS4" i="16"/>
  <c r="OR4" i="16"/>
  <c r="OQ4" i="16"/>
  <c r="NU4" i="16"/>
  <c r="NT4" i="16"/>
  <c r="NS4" i="16"/>
  <c r="NR4" i="16"/>
  <c r="NQ4" i="16"/>
  <c r="MU4" i="16"/>
  <c r="MT4" i="16"/>
  <c r="MS4" i="16"/>
  <c r="MR4" i="16"/>
  <c r="MV4" i="16" s="1"/>
  <c r="MQ4" i="16"/>
  <c r="LU4" i="16"/>
  <c r="LT4" i="16"/>
  <c r="LS4" i="16"/>
  <c r="LR4" i="16"/>
  <c r="LQ4" i="16"/>
  <c r="KU4" i="16"/>
  <c r="KT4" i="16"/>
  <c r="KS4" i="16"/>
  <c r="KR4" i="16"/>
  <c r="KV4" i="16" s="1"/>
  <c r="KQ4" i="16"/>
  <c r="JU4" i="16"/>
  <c r="JT4" i="16"/>
  <c r="JS4" i="16"/>
  <c r="JR4" i="16"/>
  <c r="JQ4" i="16"/>
  <c r="IU4" i="16"/>
  <c r="IT4" i="16"/>
  <c r="IS4" i="16"/>
  <c r="IR4" i="16"/>
  <c r="IQ4" i="16"/>
  <c r="HU4" i="16"/>
  <c r="HT4" i="16"/>
  <c r="HS4" i="16"/>
  <c r="HR4" i="16"/>
  <c r="HV4" i="16" s="1"/>
  <c r="HQ4" i="16"/>
  <c r="GU4" i="16"/>
  <c r="GT4" i="16"/>
  <c r="GS4" i="16"/>
  <c r="GR4" i="16"/>
  <c r="GV4" i="16" s="1"/>
  <c r="GQ4" i="16"/>
  <c r="FU4" i="16"/>
  <c r="FV4" i="16" s="1"/>
  <c r="FT4" i="16"/>
  <c r="FS4" i="16"/>
  <c r="FR4" i="16"/>
  <c r="FQ4" i="16"/>
  <c r="EU4" i="16"/>
  <c r="ET4" i="16"/>
  <c r="ES4" i="16"/>
  <c r="ER4" i="16"/>
  <c r="EV4" i="16" s="1"/>
  <c r="EQ4" i="16"/>
  <c r="DU4" i="16"/>
  <c r="DT4" i="16"/>
  <c r="DS4" i="16"/>
  <c r="DR4" i="16"/>
  <c r="DV4" i="16" s="1"/>
  <c r="DQ4" i="16"/>
  <c r="CS4" i="16"/>
  <c r="CR4" i="16"/>
  <c r="CQ4" i="16"/>
  <c r="CP4" i="16"/>
  <c r="CO4" i="16"/>
  <c r="BR4" i="16"/>
  <c r="BQ4" i="16"/>
  <c r="BP4" i="16"/>
  <c r="BO4" i="16"/>
  <c r="BS4" i="16" s="1"/>
  <c r="BN4" i="16"/>
  <c r="AQ4" i="16"/>
  <c r="AP4" i="16"/>
  <c r="AO4" i="16"/>
  <c r="AN4" i="16"/>
  <c r="AM4" i="16"/>
  <c r="BS13" i="15"/>
  <c r="BS9" i="15"/>
  <c r="AR13" i="15"/>
  <c r="AR9" i="15"/>
  <c r="PP5" i="15"/>
  <c r="PO5" i="15"/>
  <c r="PN5" i="15"/>
  <c r="PM5" i="15"/>
  <c r="PL5" i="15"/>
  <c r="PK5" i="15"/>
  <c r="PJ5" i="15"/>
  <c r="PI5" i="15"/>
  <c r="PH5" i="15"/>
  <c r="PG5" i="15"/>
  <c r="PF5" i="15"/>
  <c r="PE5" i="15"/>
  <c r="PD5" i="15"/>
  <c r="PC5" i="15"/>
  <c r="PB5" i="15"/>
  <c r="PA5" i="15"/>
  <c r="OZ5" i="15"/>
  <c r="OY5" i="15"/>
  <c r="OX5" i="15"/>
  <c r="OW5" i="15"/>
  <c r="OU5" i="15"/>
  <c r="OT5" i="15"/>
  <c r="OS5" i="15"/>
  <c r="OR5" i="15"/>
  <c r="OQ5" i="15"/>
  <c r="NU5" i="15"/>
  <c r="NT5" i="15"/>
  <c r="NS5" i="15"/>
  <c r="NR5" i="15"/>
  <c r="NQ5" i="15"/>
  <c r="MU5" i="15"/>
  <c r="MT5" i="15"/>
  <c r="MS5" i="15"/>
  <c r="MR5" i="15"/>
  <c r="MV5" i="15" s="1"/>
  <c r="MQ5" i="15"/>
  <c r="LU5" i="15"/>
  <c r="LT5" i="15"/>
  <c r="LS5" i="15"/>
  <c r="LR5" i="15"/>
  <c r="LQ5" i="15"/>
  <c r="KU5" i="15"/>
  <c r="KT5" i="15"/>
  <c r="KS5" i="15"/>
  <c r="KR5" i="15"/>
  <c r="KQ5" i="15"/>
  <c r="JU5" i="15"/>
  <c r="JT5" i="15"/>
  <c r="JS5" i="15"/>
  <c r="JR5" i="15"/>
  <c r="JQ5" i="15"/>
  <c r="IU5" i="15"/>
  <c r="IT5" i="15"/>
  <c r="IS5" i="15"/>
  <c r="IR5" i="15"/>
  <c r="IQ5" i="15"/>
  <c r="HU5" i="15"/>
  <c r="HT5" i="15"/>
  <c r="HS5" i="15"/>
  <c r="HR5" i="15"/>
  <c r="HQ5" i="15"/>
  <c r="GU5" i="15"/>
  <c r="GT5" i="15"/>
  <c r="GS5" i="15"/>
  <c r="GR5" i="15"/>
  <c r="GQ5" i="15"/>
  <c r="FU5" i="15"/>
  <c r="FT5" i="15"/>
  <c r="FS5" i="15"/>
  <c r="FR5" i="15"/>
  <c r="FQ5" i="15"/>
  <c r="EU5" i="15"/>
  <c r="ET5" i="15"/>
  <c r="ES5" i="15"/>
  <c r="ER5" i="15"/>
  <c r="EV5" i="15" s="1"/>
  <c r="EQ5" i="15"/>
  <c r="DU5" i="15"/>
  <c r="DT5" i="15"/>
  <c r="DS5" i="15"/>
  <c r="DR5" i="15"/>
  <c r="DQ5" i="15"/>
  <c r="CS5" i="15"/>
  <c r="CR5" i="15"/>
  <c r="CQ5" i="15"/>
  <c r="CP5" i="15"/>
  <c r="CO5" i="15"/>
  <c r="BR5" i="15"/>
  <c r="BQ5" i="15"/>
  <c r="BP5" i="15"/>
  <c r="BO5" i="15"/>
  <c r="BN5" i="15"/>
  <c r="AQ5" i="15"/>
  <c r="AP5" i="15"/>
  <c r="AO5" i="15"/>
  <c r="AN5" i="15"/>
  <c r="AM5" i="15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NU4" i="15"/>
  <c r="NT4" i="15"/>
  <c r="NS4" i="15"/>
  <c r="NR4" i="15"/>
  <c r="NQ4" i="15"/>
  <c r="MU4" i="15"/>
  <c r="MT4" i="15"/>
  <c r="MS4" i="15"/>
  <c r="MR4" i="15"/>
  <c r="MQ4" i="15"/>
  <c r="LU4" i="15"/>
  <c r="LT4" i="15"/>
  <c r="LS4" i="15"/>
  <c r="LR4" i="15"/>
  <c r="LQ4" i="15"/>
  <c r="KU4" i="15"/>
  <c r="KT4" i="15"/>
  <c r="KS4" i="15"/>
  <c r="KR4" i="15"/>
  <c r="KV4" i="15" s="1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V4" i="15" s="1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Q4" i="15"/>
  <c r="DU4" i="15"/>
  <c r="DT4" i="15"/>
  <c r="DS4" i="15"/>
  <c r="DR4" i="15"/>
  <c r="DQ4" i="15"/>
  <c r="CS4" i="15"/>
  <c r="CR4" i="15"/>
  <c r="CQ4" i="15"/>
  <c r="CP4" i="15"/>
  <c r="CO4" i="15"/>
  <c r="BR4" i="15"/>
  <c r="BQ4" i="15"/>
  <c r="BP4" i="15"/>
  <c r="BO4" i="15"/>
  <c r="BN4" i="15"/>
  <c r="AQ4" i="15"/>
  <c r="AP4" i="15"/>
  <c r="AO4" i="15"/>
  <c r="AN4" i="15"/>
  <c r="AM4" i="15"/>
  <c r="OV12" i="14"/>
  <c r="OV8" i="14"/>
  <c r="NV12" i="14"/>
  <c r="NV8" i="14"/>
  <c r="MV12" i="14"/>
  <c r="MV8" i="14"/>
  <c r="LV12" i="14"/>
  <c r="LV8" i="14"/>
  <c r="KV12" i="14"/>
  <c r="KV8" i="14"/>
  <c r="JV12" i="14"/>
  <c r="JV8" i="14"/>
  <c r="IV12" i="14"/>
  <c r="IV8" i="14"/>
  <c r="HV12" i="14"/>
  <c r="HV8" i="14"/>
  <c r="GV12" i="14"/>
  <c r="GV8" i="14"/>
  <c r="FV12" i="14"/>
  <c r="FV8" i="14"/>
  <c r="EV12" i="14"/>
  <c r="EV8" i="14"/>
  <c r="DV12" i="14"/>
  <c r="DV8" i="14"/>
  <c r="AR12" i="14"/>
  <c r="AR8" i="14"/>
  <c r="BS8" i="14"/>
  <c r="BS12" i="14"/>
  <c r="CT12" i="14"/>
  <c r="CT8" i="14"/>
  <c r="PP4" i="14"/>
  <c r="PO4" i="14"/>
  <c r="PN4" i="14"/>
  <c r="PM4" i="14"/>
  <c r="PL4" i="14"/>
  <c r="PK4" i="14"/>
  <c r="PJ4" i="14"/>
  <c r="PI4" i="14"/>
  <c r="PH4" i="14"/>
  <c r="PG4" i="14"/>
  <c r="PF4" i="14"/>
  <c r="PE4" i="14"/>
  <c r="PD4" i="14"/>
  <c r="PC4" i="14"/>
  <c r="PB4" i="14"/>
  <c r="PA4" i="14"/>
  <c r="OZ4" i="14"/>
  <c r="OY4" i="14"/>
  <c r="OX4" i="14"/>
  <c r="OW4" i="14"/>
  <c r="OU4" i="14"/>
  <c r="OT4" i="14"/>
  <c r="OS4" i="14"/>
  <c r="OR4" i="14"/>
  <c r="OQ4" i="14"/>
  <c r="NU4" i="14"/>
  <c r="NT4" i="14"/>
  <c r="NS4" i="14"/>
  <c r="NR4" i="14"/>
  <c r="NQ4" i="14"/>
  <c r="MU4" i="14"/>
  <c r="MT4" i="14"/>
  <c r="MS4" i="14"/>
  <c r="MR4" i="14"/>
  <c r="MQ4" i="14"/>
  <c r="LU4" i="14"/>
  <c r="LT4" i="14"/>
  <c r="LS4" i="14"/>
  <c r="LR4" i="14"/>
  <c r="LQ4" i="14"/>
  <c r="KU4" i="14"/>
  <c r="KT4" i="14"/>
  <c r="KS4" i="14"/>
  <c r="KR4" i="14"/>
  <c r="KQ4" i="14"/>
  <c r="JU4" i="14"/>
  <c r="JT4" i="14"/>
  <c r="JS4" i="14"/>
  <c r="JR4" i="14"/>
  <c r="JV4" i="14" s="1"/>
  <c r="JQ4" i="14"/>
  <c r="IU4" i="14"/>
  <c r="IV4" i="14" s="1"/>
  <c r="IT4" i="14"/>
  <c r="IS4" i="14"/>
  <c r="IR4" i="14"/>
  <c r="IQ4" i="14"/>
  <c r="HU4" i="14"/>
  <c r="HT4" i="14"/>
  <c r="HS4" i="14"/>
  <c r="HR4" i="14"/>
  <c r="HQ4" i="14"/>
  <c r="GU4" i="14"/>
  <c r="GT4" i="14"/>
  <c r="GS4" i="14"/>
  <c r="GR4" i="14"/>
  <c r="GQ4" i="14"/>
  <c r="FU4" i="14"/>
  <c r="FT4" i="14"/>
  <c r="FS4" i="14"/>
  <c r="FR4" i="14"/>
  <c r="FQ4" i="14"/>
  <c r="EU4" i="14"/>
  <c r="ET4" i="14"/>
  <c r="ES4" i="14"/>
  <c r="ER4" i="14"/>
  <c r="EQ4" i="14"/>
  <c r="DU4" i="14"/>
  <c r="DT4" i="14"/>
  <c r="DS4" i="14"/>
  <c r="DR4" i="14"/>
  <c r="DQ4" i="14"/>
  <c r="CS4" i="14"/>
  <c r="CR4" i="14"/>
  <c r="CQ4" i="14"/>
  <c r="CP4" i="14"/>
  <c r="CO4" i="14"/>
  <c r="BR4" i="14"/>
  <c r="BQ4" i="14"/>
  <c r="BP4" i="14"/>
  <c r="BO4" i="14"/>
  <c r="BN4" i="14"/>
  <c r="AQ4" i="14"/>
  <c r="AP4" i="14"/>
  <c r="AO4" i="14"/>
  <c r="AN4" i="14"/>
  <c r="AM4" i="14"/>
  <c r="DV5" i="17" l="1"/>
  <c r="LV5" i="17"/>
  <c r="IV4" i="17"/>
  <c r="GV5" i="17"/>
  <c r="OV5" i="17"/>
  <c r="DV4" i="17"/>
  <c r="LV4" i="17"/>
  <c r="MV5" i="17"/>
  <c r="EV4" i="17"/>
  <c r="FV4" i="17"/>
  <c r="MV4" i="17"/>
  <c r="NV4" i="17"/>
  <c r="G4" i="16"/>
  <c r="NV4" i="16"/>
  <c r="I4" i="16"/>
  <c r="PS4" i="16"/>
  <c r="PT4" i="16"/>
  <c r="IV4" i="16"/>
  <c r="JV4" i="16"/>
  <c r="LV4" i="16"/>
  <c r="M4" i="16"/>
  <c r="K4" i="16"/>
  <c r="HV4" i="14"/>
  <c r="KV4" i="14"/>
  <c r="FV4" i="14"/>
  <c r="DV5" i="15"/>
  <c r="IV4" i="15"/>
  <c r="EV5" i="17"/>
  <c r="IV5" i="17"/>
  <c r="JV5" i="17"/>
  <c r="BS4" i="17"/>
  <c r="JV4" i="17"/>
  <c r="GV4" i="17"/>
  <c r="OV4" i="17"/>
  <c r="HV5" i="17"/>
  <c r="KV5" i="17"/>
  <c r="M5" i="17"/>
  <c r="N5" i="17" s="1"/>
  <c r="FV5" i="17"/>
  <c r="AR4" i="17"/>
  <c r="HV4" i="17"/>
  <c r="BS4" i="15"/>
  <c r="JV4" i="15"/>
  <c r="NV4" i="15"/>
  <c r="LV5" i="15"/>
  <c r="FV4" i="15"/>
  <c r="GV4" i="15"/>
  <c r="DV4" i="15"/>
  <c r="IV5" i="15"/>
  <c r="AR4" i="15"/>
  <c r="FV5" i="15"/>
  <c r="GV5" i="15"/>
  <c r="NV5" i="15"/>
  <c r="OV5" i="15"/>
  <c r="AR5" i="17"/>
  <c r="PT4" i="17"/>
  <c r="CT4" i="17"/>
  <c r="G5" i="17"/>
  <c r="PT5" i="17"/>
  <c r="PR4" i="17"/>
  <c r="PR5" i="17"/>
  <c r="PS4" i="17"/>
  <c r="K4" i="17"/>
  <c r="CU4" i="17" s="1"/>
  <c r="PV5" i="17"/>
  <c r="I4" i="17"/>
  <c r="J4" i="17" s="1"/>
  <c r="PV4" i="17"/>
  <c r="CT5" i="17"/>
  <c r="PU5" i="17"/>
  <c r="PS5" i="17"/>
  <c r="I5" i="17"/>
  <c r="F4" i="17"/>
  <c r="K5" i="17"/>
  <c r="G4" i="17"/>
  <c r="M4" i="17"/>
  <c r="F5" i="17"/>
  <c r="BS5" i="17"/>
  <c r="PV4" i="16"/>
  <c r="PR4" i="16"/>
  <c r="PU4" i="16"/>
  <c r="J4" i="16"/>
  <c r="CV4" i="16"/>
  <c r="N4" i="16"/>
  <c r="CU4" i="16"/>
  <c r="O4" i="16" s="1"/>
  <c r="L4" i="16"/>
  <c r="AR4" i="16"/>
  <c r="CT4" i="16"/>
  <c r="F4" i="16"/>
  <c r="PT5" i="15"/>
  <c r="I5" i="15"/>
  <c r="J5" i="15" s="1"/>
  <c r="BS5" i="15"/>
  <c r="PR5" i="15"/>
  <c r="PR4" i="15"/>
  <c r="F4" i="15"/>
  <c r="G4" i="15"/>
  <c r="EV4" i="15"/>
  <c r="PS4" i="15"/>
  <c r="PT4" i="15"/>
  <c r="CT5" i="15"/>
  <c r="JV5" i="15"/>
  <c r="KV5" i="15"/>
  <c r="LV4" i="15"/>
  <c r="MV4" i="15"/>
  <c r="OV4" i="15"/>
  <c r="PV4" i="15"/>
  <c r="K5" i="15"/>
  <c r="CU5" i="15" s="1"/>
  <c r="HV5" i="15"/>
  <c r="PS5" i="15"/>
  <c r="PV5" i="15"/>
  <c r="M4" i="15"/>
  <c r="CV4" i="15" s="1"/>
  <c r="PU4" i="15"/>
  <c r="PU5" i="15"/>
  <c r="I4" i="15"/>
  <c r="F5" i="15"/>
  <c r="M5" i="15"/>
  <c r="K4" i="15"/>
  <c r="CT4" i="15"/>
  <c r="G5" i="15"/>
  <c r="AR5" i="15"/>
  <c r="CT4" i="14"/>
  <c r="M4" i="14"/>
  <c r="N4" i="14" s="1"/>
  <c r="PT4" i="14"/>
  <c r="PR4" i="14"/>
  <c r="NV4" i="14"/>
  <c r="PS4" i="14"/>
  <c r="AR4" i="14"/>
  <c r="K4" i="14"/>
  <c r="L4" i="14" s="1"/>
  <c r="DV4" i="14"/>
  <c r="EV4" i="14"/>
  <c r="GV4" i="14"/>
  <c r="G4" i="14"/>
  <c r="OV4" i="14"/>
  <c r="PV4" i="14"/>
  <c r="LV4" i="14"/>
  <c r="MV4" i="14"/>
  <c r="PU4" i="14"/>
  <c r="F4" i="14"/>
  <c r="BS4" i="14"/>
  <c r="I4" i="14"/>
  <c r="H4" i="15" l="1"/>
  <c r="H4" i="17"/>
  <c r="H5" i="15"/>
  <c r="H5" i="17"/>
  <c r="PW4" i="16"/>
  <c r="H4" i="16"/>
  <c r="CV4" i="14"/>
  <c r="L4" i="17"/>
  <c r="CV5" i="17"/>
  <c r="CU4" i="14"/>
  <c r="PW5" i="17"/>
  <c r="PW4" i="17"/>
  <c r="J5" i="17"/>
  <c r="N4" i="17"/>
  <c r="CV4" i="17"/>
  <c r="O4" i="17" s="1"/>
  <c r="CU5" i="17"/>
  <c r="L5" i="17"/>
  <c r="E4" i="16"/>
  <c r="A4" i="16"/>
  <c r="Q4" i="16"/>
  <c r="P4" i="16"/>
  <c r="N4" i="15"/>
  <c r="PW4" i="15"/>
  <c r="PW5" i="15"/>
  <c r="L5" i="15"/>
  <c r="N5" i="15"/>
  <c r="CV5" i="15"/>
  <c r="O5" i="15" s="1"/>
  <c r="J4" i="15"/>
  <c r="CU4" i="15"/>
  <c r="O4" i="15" s="1"/>
  <c r="L4" i="15"/>
  <c r="PW4" i="14"/>
  <c r="J4" i="14"/>
  <c r="O5" i="17" l="1"/>
  <c r="E5" i="17" s="1"/>
  <c r="A5" i="17" s="1"/>
  <c r="C19" i="11"/>
  <c r="D19" i="11"/>
  <c r="C20" i="11"/>
  <c r="D20" i="11"/>
  <c r="C21" i="11"/>
  <c r="D21" i="11"/>
  <c r="D18" i="11"/>
  <c r="C18" i="11"/>
  <c r="O4" i="14"/>
  <c r="E4" i="14" s="1"/>
  <c r="A4" i="14" s="1"/>
  <c r="Q4" i="17"/>
  <c r="P4" i="17"/>
  <c r="E4" i="17"/>
  <c r="P5" i="17"/>
  <c r="Q5" i="17"/>
  <c r="E5" i="15"/>
  <c r="A5" i="15" s="1"/>
  <c r="E4" i="15"/>
  <c r="A4" i="15" s="1"/>
  <c r="Q5" i="15"/>
  <c r="P5" i="15"/>
  <c r="P4" i="15"/>
  <c r="Q4" i="15"/>
  <c r="A4" i="17" l="1"/>
  <c r="D25" i="11" s="1"/>
  <c r="Q4" i="14"/>
  <c r="P4" i="14"/>
  <c r="C23" i="11"/>
  <c r="D24" i="11"/>
  <c r="C25" i="11"/>
  <c r="C15" i="11"/>
  <c r="C16" i="11"/>
  <c r="C17" i="11"/>
  <c r="C14" i="11"/>
  <c r="D15" i="11"/>
  <c r="D16" i="11"/>
  <c r="D17" i="11"/>
  <c r="D14" i="11"/>
  <c r="D12" i="11"/>
  <c r="C10" i="11"/>
  <c r="D13" i="11"/>
  <c r="C11" i="11"/>
  <c r="C13" i="11"/>
  <c r="D10" i="11"/>
  <c r="C12" i="11"/>
  <c r="D11" i="11"/>
  <c r="BZ4" i="13"/>
  <c r="BY4" i="13"/>
  <c r="BW4" i="13"/>
  <c r="BV4" i="13"/>
  <c r="BU4" i="13"/>
  <c r="BT4" i="13"/>
  <c r="BS4" i="13"/>
  <c r="BZ5" i="13"/>
  <c r="BY5" i="13"/>
  <c r="BW5" i="13"/>
  <c r="BV5" i="13"/>
  <c r="BU5" i="13"/>
  <c r="BT5" i="13"/>
  <c r="BS5" i="13"/>
  <c r="BZ6" i="13"/>
  <c r="BY6" i="13"/>
  <c r="BW6" i="13"/>
  <c r="BV6" i="13"/>
  <c r="BU6" i="13"/>
  <c r="BT6" i="13"/>
  <c r="BS6" i="13"/>
  <c r="AV4" i="13"/>
  <c r="AU4" i="13"/>
  <c r="AS4" i="13"/>
  <c r="AR4" i="13"/>
  <c r="AQ4" i="13"/>
  <c r="AP4" i="13"/>
  <c r="AO4" i="13"/>
  <c r="AV5" i="13"/>
  <c r="AU5" i="13"/>
  <c r="AS5" i="13"/>
  <c r="AR5" i="13"/>
  <c r="AQ5" i="13"/>
  <c r="AP5" i="13"/>
  <c r="AO5" i="13"/>
  <c r="AV6" i="13"/>
  <c r="AU6" i="13"/>
  <c r="AS6" i="13"/>
  <c r="AR6" i="13"/>
  <c r="AQ6" i="13"/>
  <c r="AP6" i="13"/>
  <c r="AO6" i="13"/>
  <c r="BZ4" i="4"/>
  <c r="BY4" i="4"/>
  <c r="BW4" i="4"/>
  <c r="BV4" i="4"/>
  <c r="BU4" i="4"/>
  <c r="BT4" i="4"/>
  <c r="BS4" i="4"/>
  <c r="AV4" i="4"/>
  <c r="AU4" i="4"/>
  <c r="AS4" i="4"/>
  <c r="AR4" i="4"/>
  <c r="AQ4" i="4"/>
  <c r="AP4" i="4"/>
  <c r="AO4" i="4"/>
  <c r="AT4" i="4" s="1"/>
  <c r="CW4" i="13"/>
  <c r="CX4" i="13"/>
  <c r="CY4" i="13"/>
  <c r="CZ4" i="13"/>
  <c r="DA4" i="13"/>
  <c r="DC4" i="13"/>
  <c r="DD4" i="13"/>
  <c r="DY4" i="13"/>
  <c r="DZ4" i="13"/>
  <c r="EA4" i="13"/>
  <c r="EC4" i="13"/>
  <c r="ED4" i="13"/>
  <c r="EU4" i="13"/>
  <c r="EV4" i="13"/>
  <c r="EW4" i="13"/>
  <c r="EY4" i="13"/>
  <c r="EZ4" i="13"/>
  <c r="FQ4" i="13"/>
  <c r="FR4" i="13"/>
  <c r="FS4" i="13"/>
  <c r="FU4" i="13"/>
  <c r="FV4" i="13"/>
  <c r="GM4" i="13"/>
  <c r="GN4" i="13"/>
  <c r="GO4" i="13"/>
  <c r="GQ4" i="13"/>
  <c r="GR4" i="13"/>
  <c r="HI4" i="13"/>
  <c r="HJ4" i="13"/>
  <c r="HK4" i="13"/>
  <c r="HM4" i="13"/>
  <c r="HN4" i="13"/>
  <c r="IE4" i="13"/>
  <c r="IF4" i="13"/>
  <c r="IG4" i="13"/>
  <c r="II4" i="13"/>
  <c r="IJ4" i="13"/>
  <c r="JA4" i="13"/>
  <c r="JB4" i="13"/>
  <c r="JC4" i="13"/>
  <c r="JE4" i="13"/>
  <c r="JF4" i="13"/>
  <c r="JW4" i="13"/>
  <c r="JX4" i="13"/>
  <c r="JY4" i="13"/>
  <c r="KA4" i="13"/>
  <c r="KB4" i="13"/>
  <c r="KS4" i="13"/>
  <c r="KT4" i="13"/>
  <c r="KU4" i="13"/>
  <c r="KW4" i="13"/>
  <c r="KX4" i="13"/>
  <c r="LO4" i="13"/>
  <c r="LP4" i="13"/>
  <c r="LQ4" i="13"/>
  <c r="LS4" i="13"/>
  <c r="LT4" i="13"/>
  <c r="MK4" i="13"/>
  <c r="ML4" i="13"/>
  <c r="MM4" i="13"/>
  <c r="MO4" i="13"/>
  <c r="MP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CW5" i="13"/>
  <c r="CX5" i="13"/>
  <c r="CY5" i="13"/>
  <c r="CZ5" i="13"/>
  <c r="DA5" i="13"/>
  <c r="DC5" i="13"/>
  <c r="DD5" i="13"/>
  <c r="DY5" i="13"/>
  <c r="DZ5" i="13"/>
  <c r="EA5" i="13"/>
  <c r="EC5" i="13"/>
  <c r="ED5" i="13"/>
  <c r="EU5" i="13"/>
  <c r="EV5" i="13"/>
  <c r="EW5" i="13"/>
  <c r="EY5" i="13"/>
  <c r="EZ5" i="13"/>
  <c r="FQ5" i="13"/>
  <c r="FR5" i="13"/>
  <c r="FS5" i="13"/>
  <c r="FU5" i="13"/>
  <c r="FV5" i="13"/>
  <c r="GM5" i="13"/>
  <c r="GN5" i="13"/>
  <c r="GO5" i="13"/>
  <c r="GQ5" i="13"/>
  <c r="GR5" i="13"/>
  <c r="HI5" i="13"/>
  <c r="HJ5" i="13"/>
  <c r="HK5" i="13"/>
  <c r="HM5" i="13"/>
  <c r="HN5" i="13"/>
  <c r="IE5" i="13"/>
  <c r="IF5" i="13"/>
  <c r="IG5" i="13"/>
  <c r="II5" i="13"/>
  <c r="IJ5" i="13"/>
  <c r="JA5" i="13"/>
  <c r="JB5" i="13"/>
  <c r="JC5" i="13"/>
  <c r="JE5" i="13"/>
  <c r="JF5" i="13"/>
  <c r="JW5" i="13"/>
  <c r="JX5" i="13"/>
  <c r="JY5" i="13"/>
  <c r="KA5" i="13"/>
  <c r="KB5" i="13"/>
  <c r="KS5" i="13"/>
  <c r="KT5" i="13"/>
  <c r="KU5" i="13"/>
  <c r="KW5" i="13"/>
  <c r="KX5" i="13"/>
  <c r="LO5" i="13"/>
  <c r="LP5" i="13"/>
  <c r="LQ5" i="13"/>
  <c r="LS5" i="13"/>
  <c r="LT5" i="13"/>
  <c r="MK5" i="13"/>
  <c r="ML5" i="13"/>
  <c r="MM5" i="13"/>
  <c r="MO5" i="13"/>
  <c r="MP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24" i="11" l="1"/>
  <c r="C22" i="11"/>
  <c r="D23" i="11"/>
  <c r="D22" i="11"/>
  <c r="H4" i="13"/>
  <c r="FT4" i="13"/>
  <c r="FW4" i="13" s="1"/>
  <c r="AW4" i="4"/>
  <c r="NJ4" i="13"/>
  <c r="NM4" i="13" s="1"/>
  <c r="GP4" i="13"/>
  <c r="LR4" i="13"/>
  <c r="LU4" i="13" s="1"/>
  <c r="GS4" i="13"/>
  <c r="LR5" i="13"/>
  <c r="LU5" i="13" s="1"/>
  <c r="EX5" i="13"/>
  <c r="FA5" i="13" s="1"/>
  <c r="AT6" i="13"/>
  <c r="JZ4" i="13"/>
  <c r="KC4" i="13" s="1"/>
  <c r="JZ5" i="13"/>
  <c r="KC5" i="13" s="1"/>
  <c r="HL4" i="13"/>
  <c r="HO4" i="13" s="1"/>
  <c r="NJ5" i="13"/>
  <c r="NM5" i="13" s="1"/>
  <c r="JD4" i="13"/>
  <c r="JG4" i="13" s="1"/>
  <c r="AT4" i="13"/>
  <c r="BX6" i="13"/>
  <c r="CA6" i="13" s="1"/>
  <c r="HL5" i="13"/>
  <c r="HO5" i="13" s="1"/>
  <c r="IH4" i="13"/>
  <c r="IK4" i="13" s="1"/>
  <c r="MN4" i="13"/>
  <c r="MQ4" i="13" s="1"/>
  <c r="AT5" i="13"/>
  <c r="BX5" i="13"/>
  <c r="CA5" i="13" s="1"/>
  <c r="BX4" i="13"/>
  <c r="CA4" i="13" s="1"/>
  <c r="BX4" i="4"/>
  <c r="CA4" i="4" s="1"/>
  <c r="OM4" i="13"/>
  <c r="OK4" i="13"/>
  <c r="KV4" i="13"/>
  <c r="KY4" i="13" s="1"/>
  <c r="EX4" i="13"/>
  <c r="FA4" i="13" s="1"/>
  <c r="EB4" i="13"/>
  <c r="EE4" i="13" s="1"/>
  <c r="DB4" i="13"/>
  <c r="DE4" i="13" s="1"/>
  <c r="OI4" i="13"/>
  <c r="O4" i="13"/>
  <c r="DI4" i="13" s="1"/>
  <c r="MN5" i="13"/>
  <c r="MQ5" i="13" s="1"/>
  <c r="KV5" i="13"/>
  <c r="KY5" i="13" s="1"/>
  <c r="JD5" i="13"/>
  <c r="JG5" i="13" s="1"/>
  <c r="FT5" i="13"/>
  <c r="FW5" i="13" s="1"/>
  <c r="EB5" i="13"/>
  <c r="EE5" i="13" s="1"/>
  <c r="OM5" i="13"/>
  <c r="O5" i="13"/>
  <c r="DI5" i="13" s="1"/>
  <c r="DB5" i="13"/>
  <c r="DE5" i="13" s="1"/>
  <c r="IH5" i="13"/>
  <c r="IK5" i="13" s="1"/>
  <c r="GP5" i="13"/>
  <c r="GS5" i="13" s="1"/>
  <c r="OI5" i="13"/>
  <c r="OP5" i="13"/>
  <c r="OK5" i="13"/>
  <c r="CW6" i="13"/>
  <c r="CX6" i="13"/>
  <c r="CY6" i="13"/>
  <c r="CZ6" i="13"/>
  <c r="DA6" i="13"/>
  <c r="DC6" i="13"/>
  <c r="DD6" i="13"/>
  <c r="DY6" i="13"/>
  <c r="DZ6" i="13"/>
  <c r="EA6" i="13"/>
  <c r="EC6" i="13"/>
  <c r="ED6" i="13"/>
  <c r="EU6" i="13"/>
  <c r="EV6" i="13"/>
  <c r="EW6" i="13"/>
  <c r="EY6" i="13"/>
  <c r="EZ6" i="13"/>
  <c r="FQ6" i="13"/>
  <c r="FR6" i="13"/>
  <c r="FS6" i="13"/>
  <c r="FU6" i="13"/>
  <c r="FV6" i="13"/>
  <c r="GM6" i="13"/>
  <c r="GN6" i="13"/>
  <c r="GO6" i="13"/>
  <c r="GQ6" i="13"/>
  <c r="GR6" i="13"/>
  <c r="HI6" i="13"/>
  <c r="HJ6" i="13"/>
  <c r="HK6" i="13"/>
  <c r="HM6" i="13"/>
  <c r="HN6" i="13"/>
  <c r="IE6" i="13"/>
  <c r="IF6" i="13"/>
  <c r="IG6" i="13"/>
  <c r="II6" i="13"/>
  <c r="IJ6" i="13"/>
  <c r="JA6" i="13"/>
  <c r="JB6" i="13"/>
  <c r="JC6" i="13"/>
  <c r="JE6" i="13"/>
  <c r="JF6" i="13"/>
  <c r="JW6" i="13"/>
  <c r="JX6" i="13"/>
  <c r="JY6" i="13"/>
  <c r="KA6" i="13"/>
  <c r="KB6" i="13"/>
  <c r="KS6" i="13"/>
  <c r="KT6" i="13"/>
  <c r="KU6" i="13"/>
  <c r="KW6" i="13"/>
  <c r="KX6" i="13"/>
  <c r="LO6" i="13"/>
  <c r="LP6" i="13"/>
  <c r="LQ6" i="13"/>
  <c r="LS6" i="13"/>
  <c r="LT6" i="13"/>
  <c r="MK6" i="13"/>
  <c r="ML6" i="13"/>
  <c r="MM6" i="13"/>
  <c r="MO6" i="13"/>
  <c r="MP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4" i="4"/>
  <c r="CX4" i="4"/>
  <c r="CY4" i="4"/>
  <c r="CZ4" i="4"/>
  <c r="DA4" i="4"/>
  <c r="DC4" i="4"/>
  <c r="DD4" i="4"/>
  <c r="DY4" i="4"/>
  <c r="DZ4" i="4"/>
  <c r="EA4" i="4"/>
  <c r="EC4" i="4"/>
  <c r="ED4" i="4"/>
  <c r="EU4" i="4"/>
  <c r="EV4" i="4"/>
  <c r="EW4" i="4"/>
  <c r="EY4" i="4"/>
  <c r="EZ4" i="4"/>
  <c r="FQ4" i="4"/>
  <c r="FR4" i="4"/>
  <c r="FS4" i="4"/>
  <c r="FU4" i="4"/>
  <c r="FV4" i="4"/>
  <c r="GM4" i="4"/>
  <c r="GN4" i="4"/>
  <c r="GO4" i="4"/>
  <c r="GQ4" i="4"/>
  <c r="GR4" i="4"/>
  <c r="HI4" i="4"/>
  <c r="HJ4" i="4"/>
  <c r="HK4" i="4"/>
  <c r="HM4" i="4"/>
  <c r="HN4" i="4"/>
  <c r="IE4" i="4"/>
  <c r="IF4" i="4"/>
  <c r="IG4" i="4"/>
  <c r="II4" i="4"/>
  <c r="IJ4" i="4"/>
  <c r="JA4" i="4"/>
  <c r="JB4" i="4"/>
  <c r="JC4" i="4"/>
  <c r="JE4" i="4"/>
  <c r="JF4" i="4"/>
  <c r="JW4" i="4"/>
  <c r="JX4" i="4"/>
  <c r="JY4" i="4"/>
  <c r="KA4" i="4"/>
  <c r="KB4" i="4"/>
  <c r="KS4" i="4"/>
  <c r="KT4" i="4"/>
  <c r="KU4" i="4"/>
  <c r="KW4" i="4"/>
  <c r="KX4" i="4"/>
  <c r="LO4" i="4"/>
  <c r="LP4" i="4"/>
  <c r="LQ4" i="4"/>
  <c r="LS4" i="4"/>
  <c r="LT4" i="4"/>
  <c r="MK4" i="4"/>
  <c r="ML4" i="4"/>
  <c r="MM4" i="4"/>
  <c r="MO4" i="4"/>
  <c r="MP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AW6" i="13" l="1"/>
  <c r="AW4" i="13"/>
  <c r="G4" i="13"/>
  <c r="F5" i="13"/>
  <c r="H5" i="13"/>
  <c r="AW5" i="13"/>
  <c r="G5" i="13"/>
  <c r="F4" i="13"/>
  <c r="FT4" i="4"/>
  <c r="EX6" i="13"/>
  <c r="FA6" i="13" s="1"/>
  <c r="MN6" i="13"/>
  <c r="MQ6" i="13" s="1"/>
  <c r="KV6" i="13"/>
  <c r="KY6" i="13" s="1"/>
  <c r="OP6" i="13"/>
  <c r="ON4" i="13"/>
  <c r="P4" i="13"/>
  <c r="I4" i="13"/>
  <c r="M4" i="13" s="1"/>
  <c r="JZ6" i="13"/>
  <c r="KC6" i="13" s="1"/>
  <c r="GP6" i="13"/>
  <c r="GS6" i="13" s="1"/>
  <c r="JD6" i="13"/>
  <c r="JG6" i="13" s="1"/>
  <c r="NJ4" i="4"/>
  <c r="EB4" i="4"/>
  <c r="EE4" i="4" s="1"/>
  <c r="P5" i="13"/>
  <c r="I5" i="13"/>
  <c r="DH5" i="13" s="1"/>
  <c r="DB6" i="13"/>
  <c r="DE6" i="13" s="1"/>
  <c r="ON5" i="13"/>
  <c r="OQ5" i="13" s="1"/>
  <c r="IH6" i="13"/>
  <c r="IK6" i="13" s="1"/>
  <c r="FT6" i="13"/>
  <c r="FW6" i="13" s="1"/>
  <c r="LR4" i="4"/>
  <c r="LU4" i="4" s="1"/>
  <c r="FW4" i="4"/>
  <c r="JZ4" i="4"/>
  <c r="KC4" i="4" s="1"/>
  <c r="EX4" i="4"/>
  <c r="FA4" i="4" s="1"/>
  <c r="OM4" i="4"/>
  <c r="KV4" i="4"/>
  <c r="KY4" i="4" s="1"/>
  <c r="MN4" i="4"/>
  <c r="MQ4" i="4" s="1"/>
  <c r="GP4" i="4"/>
  <c r="GS4" i="4" s="1"/>
  <c r="NM4" i="4"/>
  <c r="LR6" i="13"/>
  <c r="LU6" i="13" s="1"/>
  <c r="EB6" i="13"/>
  <c r="EE6" i="13" s="1"/>
  <c r="OM6" i="13"/>
  <c r="OP4" i="13"/>
  <c r="NJ6" i="13"/>
  <c r="NM6" i="13" s="1"/>
  <c r="HL6" i="13"/>
  <c r="HO6" i="13" s="1"/>
  <c r="OI6" i="13"/>
  <c r="OK6" i="13"/>
  <c r="O6" i="13"/>
  <c r="DI6" i="13" s="1"/>
  <c r="DB4" i="4"/>
  <c r="DE4" i="4" s="1"/>
  <c r="JD4" i="4"/>
  <c r="JG4" i="4" s="1"/>
  <c r="IH4" i="4"/>
  <c r="IK4" i="4" s="1"/>
  <c r="HL4" i="4"/>
  <c r="HO4" i="4" s="1"/>
  <c r="OI4" i="4"/>
  <c r="OK4" i="4"/>
  <c r="OP4" i="4"/>
  <c r="O4" i="4"/>
  <c r="DI4" i="4" s="1"/>
  <c r="F6" i="13" l="1"/>
  <c r="G6" i="13"/>
  <c r="H6" i="13"/>
  <c r="F4" i="4"/>
  <c r="A4" i="4" s="1" a="1"/>
  <c r="A4" i="4" s="1"/>
  <c r="G4" i="4"/>
  <c r="H4" i="4" s="1"/>
  <c r="J4" i="13"/>
  <c r="N4" i="13" s="1"/>
  <c r="DH4" i="13"/>
  <c r="K4" i="13"/>
  <c r="DG4" i="13"/>
  <c r="K5" i="13"/>
  <c r="DF5" i="13" s="1"/>
  <c r="I6" i="13"/>
  <c r="J6" i="13" s="1"/>
  <c r="M5" i="13"/>
  <c r="J5" i="13"/>
  <c r="ON6" i="13"/>
  <c r="OQ4" i="13" s="1"/>
  <c r="P6" i="13"/>
  <c r="P4" i="4"/>
  <c r="I4" i="4"/>
  <c r="DH4" i="4" s="1"/>
  <c r="ON4" i="4"/>
  <c r="OQ4" i="4" s="1"/>
  <c r="A6" i="13" l="1" a="1"/>
  <c r="A6" i="13" s="1"/>
  <c r="OQ6" i="13"/>
  <c r="L4" i="13"/>
  <c r="DF4" i="13"/>
  <c r="Q4" i="13" s="1"/>
  <c r="R4" i="13" s="1"/>
  <c r="N5" i="13"/>
  <c r="L5" i="13"/>
  <c r="DH6" i="13"/>
  <c r="M6" i="13"/>
  <c r="DG6" i="13" s="1"/>
  <c r="K6" i="13"/>
  <c r="L6" i="13" s="1"/>
  <c r="DG5" i="13"/>
  <c r="Q5" i="13" s="1"/>
  <c r="M4" i="4"/>
  <c r="DG4" i="4" s="1"/>
  <c r="K4" i="4"/>
  <c r="J4" i="4"/>
  <c r="E4" i="13" l="1"/>
  <c r="S4" i="13"/>
  <c r="E5" i="13"/>
  <c r="N6" i="13"/>
  <c r="DF6" i="13"/>
  <c r="Q6" i="13" s="1"/>
  <c r="S5" i="13"/>
  <c r="R5" i="13"/>
  <c r="N4" i="4"/>
  <c r="L4" i="4"/>
  <c r="DF4" i="4"/>
  <c r="Q4" i="4" s="1"/>
  <c r="E4" i="4" l="1"/>
  <c r="R6" i="13"/>
  <c r="S6" i="13"/>
  <c r="E6" i="13"/>
  <c r="A5" i="13" s="1" a="1"/>
  <c r="A5" i="13" s="1"/>
  <c r="S4" i="4"/>
  <c r="R4" i="4"/>
  <c r="A4" i="13" l="1" a="1"/>
  <c r="A4" i="13" s="1"/>
  <c r="C7" i="11" s="1"/>
  <c r="D9" i="11" l="1"/>
  <c r="C6" i="11"/>
  <c r="C9" i="11"/>
  <c r="D7" i="11"/>
  <c r="D8" i="11"/>
  <c r="C8" i="11"/>
  <c r="D6" i="11"/>
  <c r="D3" i="11" l="1"/>
  <c r="D4" i="11"/>
  <c r="C4" i="11"/>
  <c r="D5" i="11"/>
  <c r="C5" i="11"/>
  <c r="C3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<sst xmlns="http://schemas.openxmlformats.org/spreadsheetml/2006/main" count="3134" uniqueCount="92">
  <si>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</si>
  <si>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</si>
  <si>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</si>
  <si>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</si>
  <si>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</si>
  <si>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</si>
  <si>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</si>
  <si>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</si>
  <si>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</si>
  <si>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</si>
  <si>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</si>
  <si>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</si>
  <si>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</si>
  <si>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</si>
  <si>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</si>
  <si>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</si>
  <si>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</si>
  <si>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</si>
  <si>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</si>
  <si>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</si>
  <si>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</si>
  <si>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</si>
  <si>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</si>
  <si>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</si>
  <si>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</si>
  <si>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</si>
  <si>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</si>
  <si>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</si>
  <si>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</si>
  <si>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</si>
  <si>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</si>
  <si>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</si>
  <si>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</si>
  <si>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</si>
  <si>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</si>
  <si>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</si>
  <si>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</si>
  <si>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</si>
  <si>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</si>
  <si>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</si>
  <si>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</si>
  <si>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</si>
  <si>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</si>
  <si>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</si>
  <si>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</si>
  <si>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</si>
  <si>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</si>
  <si>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</si>
  <si>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</si>
  <si>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</si>
  <si>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</si>
  <si>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</si>
  <si>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</si>
  <si>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</si>
  <si>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</si>
  <si>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</si>
  <si>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</si>
  <si>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</si>
  <si>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</si>
  <si>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</si>
  <si>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</si>
  <si>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</si>
  <si>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</si>
  <si>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</si>
  <si>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</si>
  <si>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Level Empty</t>
  </si>
  <si>
    <t>ON</t>
  </si>
  <si>
    <t>AB</t>
  </si>
  <si>
    <t>ULMER, Lily-Ann</t>
  </si>
  <si>
    <t>MATTHEWS, Jared</t>
  </si>
  <si>
    <t>2021 Elite Canada</t>
  </si>
  <si>
    <t>2021 Canadian Championships</t>
  </si>
  <si>
    <t>Elite Canada</t>
  </si>
  <si>
    <t>HIGHSTEAD, Declan</t>
  </si>
  <si>
    <t>JAMES, Roshni</t>
  </si>
  <si>
    <t>ROY, Anne-Jolie</t>
  </si>
  <si>
    <t>2022 Elite Canada</t>
  </si>
  <si>
    <t>LEE-McMEEKEN, Brooklyn</t>
  </si>
  <si>
    <t>JACKSON, Claire</t>
  </si>
  <si>
    <t>BC</t>
  </si>
  <si>
    <t>2022 Rules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</si>
  <si>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</si>
  <si>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</si>
  <si>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</si>
  <si>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</si>
  <si>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</si>
  <si>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</si>
  <si>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</si>
  <si>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</si>
  <si>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</si>
  <si>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</si>
  <si>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*Scores removed but hit standards remain for 2022 rules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</si>
</sst>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15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 applyAlignme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0" borderId="0" xfId="0" applyAlignment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 applyAlignment="1"/>
    <xf numFmtId="0" fontId="10" fillId="7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 applyAlignment="1"/>
    <xf numFmtId="0" fontId="2" fillId="14" borderId="0" xfId="0" applyFont="1" applyFill="1" applyAlignment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164" fontId="20" fillId="15" borderId="0" xfId="0" applyNumberFormat="1" applyFont="1" applyFill="1" applyProtection="1">
      <protection locked="0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1" fillId="16" borderId="0" xfId="0" applyFont="1" applyFill="1" applyAlignment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 applyAlignment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 applyAlignment="1"/>
    <xf numFmtId="164" fontId="22" fillId="17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1" fillId="8" borderId="0" xfId="0" applyFont="1" applyFill="1"/>
    <xf numFmtId="0" fontId="2" fillId="14" borderId="0" xfId="0" applyFont="1" applyFill="1"/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17" fillId="6" borderId="0" xfId="0" applyFont="1" applyFill="1"/>
    <xf numFmtId="164" fontId="17" fillId="6" borderId="0" xfId="0" applyNumberFormat="1" applyFont="1" applyFill="1" applyAlignment="1" applyProtection="1">
      <alignment horizontal="center"/>
      <protection locked="0"/>
    </xf>
    <xf numFmtId="0" fontId="20" fillId="13" borderId="0" xfId="0" applyFont="1" applyFill="1"/>
    <xf numFmtId="164" fontId="20" fillId="13" borderId="0" xfId="0" applyNumberFormat="1" applyFont="1" applyFill="1" applyAlignment="1" applyProtection="1">
      <alignment horizontal="center"/>
      <protection locked="0"/>
    </xf>
    <xf numFmtId="164" fontId="6" fillId="0" borderId="0" xfId="0" applyNumberFormat="1" applyFont="1"/>
    <xf numFmtId="164" fontId="2" fillId="14" borderId="0" xfId="0" applyNumberFormat="1" applyFont="1" applyFill="1" applyAlignment="1" applyProtection="1">
      <alignment horizontal="center"/>
      <protection locked="0"/>
    </xf>
    <xf numFmtId="0" fontId="22" fillId="17" borderId="0" xfId="0" applyFont="1" applyFill="1"/>
    <xf numFmtId="164" fontId="22" fillId="17" borderId="0" xfId="0" applyNumberFormat="1" applyFont="1" applyFill="1" applyAlignment="1" applyProtection="1">
      <alignment horizontal="center"/>
      <protection locked="0"/>
    </xf>
    <xf numFmtId="0" fontId="23" fillId="5" borderId="0" xfId="0" applyFont="1" applyFill="1"/>
    <xf numFmtId="164" fontId="23" fillId="5" borderId="0" xfId="0" applyNumberFormat="1" applyFont="1" applyFill="1" applyAlignment="1" applyProtection="1">
      <alignment horizontal="center"/>
      <protection locked="0"/>
    </xf>
    <xf numFmtId="0" fontId="10" fillId="7" borderId="0" xfId="0" applyFont="1" applyFill="1"/>
    <xf numFmtId="164" fontId="10" fillId="7" borderId="0" xfId="0" applyNumberFormat="1" applyFont="1" applyFill="1" applyAlignment="1" applyProtection="1">
      <alignment horizontal="center"/>
      <protection locked="0"/>
    </xf>
    <xf numFmtId="0" fontId="21" fillId="16" borderId="0" xfId="0" applyFont="1" applyFill="1"/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2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39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30</v>
      </c>
      <c r="B1" t="s">
        <v>1</v>
      </c>
      <c r="C1" t="s">
        <v>32</v>
      </c>
      <c r="D1" s="67" t="s">
        <v>6</v>
      </c>
      <c r="E1" s="30"/>
      <c r="F1" s="30"/>
      <c r="J1" s="30"/>
      <c r="K1" s="30"/>
      <c r="L1" s="30"/>
    </row>
    <row r="2" spans="1:12" hidden="1" x14ac:dyDescent="0.2">
      <c r="A2" s="10" t="s">
        <v>31</v>
      </c>
      <c r="B2" s="10">
        <v>1</v>
      </c>
      <c r="C2" s="10" t="str">
        <f>IF(B2&gt;MAX('TRA-M'!A:A),"",INDEX('TRA-M'!B:B,MATCH(B2,'TRA-M'!A:A,0)))</f>
        <v/>
      </c>
      <c r="D2" s="64" t="str">
        <f>IF(B2&gt;MAX('TRA-M'!A:A),"",INDEX('TRA-M'!H:H,MATCH(B2,'TRA-M'!A:A,0)))</f>
        <v/>
      </c>
      <c r="E2" s="21"/>
      <c r="F2" s="21"/>
    </row>
    <row r="3" spans="1:12" hidden="1" x14ac:dyDescent="0.2">
      <c r="A3" s="10"/>
      <c r="B3" s="10">
        <v>2</v>
      </c>
      <c r="C3" s="10" t="str">
        <f>IF(B3&gt;MAX('TRA-M'!A:A),"",INDEX('TRA-M'!B:B,MATCH(B3,'TRA-M'!A:A,0)))</f>
        <v/>
      </c>
      <c r="D3" s="64" t="str">
        <f>IF(B3&gt;MAX('TRA-M'!A:A),"",INDEX('TRA-M'!H:H,MATCH(B3,'TRA-M'!A:A,0)))</f>
        <v/>
      </c>
      <c r="E3" s="21"/>
      <c r="F3" s="21"/>
    </row>
    <row r="4" spans="1:12" hidden="1" x14ac:dyDescent="0.2">
      <c r="A4" s="10"/>
      <c r="B4" s="10">
        <v>3</v>
      </c>
      <c r="C4" s="10" t="str">
        <f>IF(B4&gt;MAX('TRA-M'!A:A),"",INDEX('TRA-M'!B:B,MATCH(B4,'TRA-M'!A:A,0)))</f>
        <v/>
      </c>
      <c r="D4" s="64" t="str">
        <f>IF(B4&gt;MAX('TRA-M'!A:A),"",INDEX('TRA-M'!H:H,MATCH(B4,'TRA-M'!A:A,0)))</f>
        <v/>
      </c>
      <c r="E4" s="21"/>
      <c r="F4" s="21"/>
    </row>
    <row r="5" spans="1:12" hidden="1" x14ac:dyDescent="0.2">
      <c r="A5" s="10"/>
      <c r="B5" s="10">
        <v>4</v>
      </c>
      <c r="C5" s="10" t="str">
        <f>IF(B5&gt;MAX('TRA-M'!A:A),"",INDEX('TRA-M'!B:B,MATCH(B5,'TRA-M'!A:A,0)))</f>
        <v/>
      </c>
      <c r="D5" s="64" t="str">
        <f>IF(B5&gt;MAX('TRA-M'!A:A),"",INDEX('TRA-M'!H:H,MATCH(B5,'TRA-M'!A:A,0)))</f>
        <v/>
      </c>
    </row>
    <row r="6" spans="1:12" x14ac:dyDescent="0.2">
      <c r="A6" s="13" t="s">
        <v>34</v>
      </c>
      <c r="B6" s="13">
        <v>1</v>
      </c>
      <c r="C6" s="13" t="str">
        <f>IF(B2&gt;MAX('TRA-W'!A:A),"",INDEX('TRA-W'!B:B,MATCH(B2,'TRA-W'!A:A,0)))</f>
        <v>JAMES, Roshni</v>
      </c>
      <c r="D6" s="65" t="str">
        <f>IF(B2&gt;MAX('TRA-W'!A:A),"",INDEX('TRA-W'!H:H,MATCH(B2,'TRA-W'!A:A,0)))</f>
        <v>Merit</v>
      </c>
    </row>
    <row r="7" spans="1:12" x14ac:dyDescent="0.2">
      <c r="A7" s="13"/>
      <c r="B7" s="13">
        <v>2</v>
      </c>
      <c r="C7" s="13" t="str">
        <f>IF(B3&gt;MAX('TRA-W'!A:A),"",INDEX('TRA-W'!B:B,MATCH(B3,'TRA-W'!A:A,0)))</f>
        <v>ROY, Anne-Jolie</v>
      </c>
      <c r="D7" s="69" t="str">
        <f>IF(B3&gt;MAX('TRA-W'!A:A),"",INDEX('TRA-W'!H:H,MATCH(B3,'TRA-W'!A:A,0)))</f>
        <v>No DD</v>
      </c>
    </row>
    <row r="8" spans="1:12" hidden="1" x14ac:dyDescent="0.2">
      <c r="A8" s="13"/>
      <c r="B8" s="13">
        <v>3</v>
      </c>
      <c r="C8" s="13" t="str">
        <f>IF(B4&gt;MAX('TRA-W'!A:A),"",INDEX('TRA-W'!B:B,MATCH(B4,'TRA-W'!A:A,0)))</f>
        <v/>
      </c>
      <c r="D8" s="69" t="str">
        <f>IF(B4&gt;MAX('TRA-W'!A:A),"",INDEX('TRA-W'!H:H,MATCH(B4,'TRA-W'!A:A,0)))</f>
        <v/>
      </c>
    </row>
    <row r="9" spans="1:12" hidden="1" x14ac:dyDescent="0.2">
      <c r="A9" s="13"/>
      <c r="B9" s="13">
        <v>4</v>
      </c>
      <c r="C9" s="13" t="str">
        <f>IF(B5&gt;MAX('TRA-W'!A:A),"",INDEX('TRA-W'!B:B,MATCH(B5,'TRA-W'!A:A,0)))</f>
        <v/>
      </c>
      <c r="D9" s="69" t="str">
        <f>IF(B5&gt;MAX('TRA-W'!A:A),"",INDEX('TRA-W'!H:H,MATCH(B5,'TRA-W'!A:A,0)))</f>
        <v/>
      </c>
    </row>
    <row r="10" spans="1:12" x14ac:dyDescent="0.2">
      <c r="A10" s="10" t="s">
        <v>35</v>
      </c>
      <c r="B10" s="10">
        <v>1</v>
      </c>
      <c r="C10" s="10" t="str">
        <f>IF(B2&gt;MAX('TUM-M'!A:A),"",INDEX('TUM-M'!B:B,MATCH(B2,'TUM-M'!A:A,0)))</f>
        <v>MATTHEWS, Jared</v>
      </c>
      <c r="D10" s="64" t="str">
        <f>IF(B2&gt;MAX('TUM-M'!A:A),"",INDEX('TUM-M'!H:H,MATCH(B2,'TUM-M'!A:A,0)))</f>
        <v>Excellence</v>
      </c>
    </row>
    <row r="11" spans="1:12" hidden="1" x14ac:dyDescent="0.2">
      <c r="A11" s="10"/>
      <c r="B11" s="10">
        <v>2</v>
      </c>
      <c r="C11" s="10" t="str">
        <f>IF(B3&gt;MAX('TUM-M'!A:A),"",INDEX('TUM-M'!B:B,MATCH(B3,'TUM-M'!A:A,0)))</f>
        <v/>
      </c>
      <c r="D11" s="74" t="str">
        <f>IF(B3&gt;MAX('TUM-M'!A:A),"",INDEX('TUM-M'!H:H,MATCH(B3,'TUM-M'!A:A,0)))</f>
        <v/>
      </c>
    </row>
    <row r="12" spans="1:12" hidden="1" x14ac:dyDescent="0.2">
      <c r="A12" s="10"/>
      <c r="B12" s="10">
        <v>3</v>
      </c>
      <c r="C12" s="10" t="str">
        <f>IF(B4&gt;MAX('TUM-M'!A:A),"",INDEX('TUM-M'!B:B,MATCH(B4,'TUM-M'!A:A,0)))</f>
        <v/>
      </c>
      <c r="D12" s="74" t="str">
        <f>IF(B4&gt;MAX('TUM-M'!A:A),"",INDEX('TUM-M'!H:H,MATCH(B4,'TUM-M'!A:A,0)))</f>
        <v/>
      </c>
    </row>
    <row r="13" spans="1:12" hidden="1" x14ac:dyDescent="0.2">
      <c r="A13" s="10"/>
      <c r="B13" s="10">
        <v>4</v>
      </c>
      <c r="C13" s="10" t="str">
        <f>IF(B5&gt;MAX('TUM-M'!A:A),"",INDEX('TUM-M'!B:B,MATCH(B5,'TUM-M'!A:A,0)))</f>
        <v/>
      </c>
      <c r="D13" s="74" t="str">
        <f>IF(B5&gt;MAX('TUM-M'!A:A),"",INDEX('TUM-M'!H:H,MATCH(B5,'TUM-M'!A:A,0)))</f>
        <v/>
      </c>
    </row>
    <row r="14" spans="1:12" x14ac:dyDescent="0.2">
      <c r="A14" s="13" t="s">
        <v>36</v>
      </c>
      <c r="B14" s="13">
        <v>1</v>
      </c>
      <c r="C14" s="13" t="str">
        <f>IF(B2&gt;MAX('TUM-W'!A:A),"",INDEX('TUM-W'!B:B,MATCH(B2,'TUM-W'!A:A,0)))</f>
        <v>LEE-McMEEKEN, Brooklyn</v>
      </c>
      <c r="D14" s="65" t="str">
        <f>IF(B2&gt;MAX('TUM-W'!A:A),"",INDEX('TUM-W'!H:H,MATCH(B2,'TUM-W'!A:A,0)))</f>
        <v>National Team</v>
      </c>
    </row>
    <row r="15" spans="1:12" hidden="1" x14ac:dyDescent="0.2">
      <c r="A15" s="13"/>
      <c r="B15" s="13">
        <v>2</v>
      </c>
      <c r="C15" s="13" t="str">
        <f>IF(B3&gt;MAX('TUM-W'!A:A),"",INDEX('TUM-W'!B:B,MATCH(B3,'TUM-W'!A:A,0)))</f>
        <v/>
      </c>
      <c r="D15" s="73" t="str">
        <f>IF(B3&gt;MAX('TUM-W'!A:A),"",INDEX('TUM-W'!H:H,MATCH(B3,'TUM-W'!A:A,0)))</f>
        <v/>
      </c>
    </row>
    <row r="16" spans="1:12" hidden="1" x14ac:dyDescent="0.2">
      <c r="A16" s="13"/>
      <c r="B16" s="13">
        <v>3</v>
      </c>
      <c r="C16" s="13" t="str">
        <f>IF(B4&gt;MAX('TUM-W'!A:A),"",INDEX('TUM-W'!B:B,MATCH(B4,'TUM-W'!A:A,0)))</f>
        <v/>
      </c>
      <c r="D16" s="73" t="str">
        <f>IF(B4&gt;MAX('TUM-W'!A:A),"",INDEX('TUM-W'!H:H,MATCH(B4,'TUM-W'!A:A,0)))</f>
        <v/>
      </c>
    </row>
    <row r="17" spans="1:5" hidden="1" x14ac:dyDescent="0.2">
      <c r="A17" s="13"/>
      <c r="B17" s="13">
        <v>4</v>
      </c>
      <c r="C17" s="13" t="str">
        <f>IF(B5&gt;MAX('TUM-W'!A:A),"",INDEX('TUM-W'!B:B,MATCH(B5,'TUM-W'!A:A,0)))</f>
        <v/>
      </c>
      <c r="D17" s="73" t="str">
        <f>IF(B5&gt;MAX('TUM-W'!A:A),"",INDEX('TUM-W'!H:H,MATCH(B5,'TUM-W'!A:A,0)))</f>
        <v/>
      </c>
    </row>
    <row r="18" spans="1:5" hidden="1" x14ac:dyDescent="0.2">
      <c r="A18" s="10" t="s">
        <v>37</v>
      </c>
      <c r="B18" s="10">
        <v>1</v>
      </c>
      <c r="C18" s="10" t="str">
        <f>IF(B2&gt;MAX('DMT-M'!A:A),"",INDEX('DMT-M'!B:B,MATCH(B2,'DMT-M'!A:A,0)))</f>
        <v/>
      </c>
      <c r="D18" s="64" t="str">
        <f>IF(B2&gt;MAX('DMT-M'!A:A),"",INDEX('DMT-M'!H:H,MATCH(B2,'DMT-M'!A:A,0)))</f>
        <v/>
      </c>
    </row>
    <row r="19" spans="1:5" hidden="1" x14ac:dyDescent="0.2">
      <c r="A19" s="10"/>
      <c r="B19" s="10">
        <v>2</v>
      </c>
      <c r="C19" s="10" t="str">
        <f>IF(B3&gt;MAX('DMT-M'!A:A),"",INDEX('DMT-M'!B:B,MATCH(B3,'DMT-M'!A:A,0)))</f>
        <v/>
      </c>
      <c r="D19" s="74" t="str">
        <f>IF(B3&gt;MAX('DMT-M'!A:A),"",INDEX('DMT-M'!H:H,MATCH(B3,'DMT-M'!A:A,0)))</f>
        <v/>
      </c>
    </row>
    <row r="20" spans="1:5" hidden="1" x14ac:dyDescent="0.2">
      <c r="A20" s="10"/>
      <c r="B20" s="10">
        <v>3</v>
      </c>
      <c r="C20" s="10" t="str">
        <f>IF(B4&gt;MAX('DMT-M'!A:A),"",INDEX('DMT-M'!B:B,MATCH(B4,'DMT-M'!A:A,0)))</f>
        <v/>
      </c>
      <c r="D20" s="74" t="str">
        <f>IF(B4&gt;MAX('DMT-M'!A:A),"",INDEX('DMT-M'!H:H,MATCH(B4,'DMT-M'!A:A,0)))</f>
        <v/>
      </c>
    </row>
    <row r="21" spans="1:5" hidden="1" x14ac:dyDescent="0.2">
      <c r="A21" s="10"/>
      <c r="B21" s="10">
        <v>4</v>
      </c>
      <c r="C21" s="10" t="str">
        <f>IF(B5&gt;MAX('DMT-M'!A:A),"",INDEX('DMT-M'!B:B,MATCH(B5,'DMT-M'!A:A,0)))</f>
        <v/>
      </c>
      <c r="D21" s="74" t="str">
        <f>IF(B5&gt;MAX('DMT-M'!A:A),"",INDEX('DMT-M'!H:H,MATCH(B5,'DMT-M'!A:A,0)))</f>
        <v/>
      </c>
    </row>
    <row r="22" spans="1:5" x14ac:dyDescent="0.2">
      <c r="A22" s="13" t="s">
        <v>38</v>
      </c>
      <c r="B22" s="13">
        <v>1</v>
      </c>
      <c r="C22" s="13" t="str">
        <f>IF(B2&gt;MAX('DMT-W'!A:A),"",INDEX('DMT-W'!B:B,MATCH(B2,'DMT-W'!A:A,0)))</f>
        <v>JACKSON, Claire</v>
      </c>
      <c r="D22" s="65" t="str">
        <f>IF(B2&gt;MAX('DMT-W'!A:A),"",INDEX('DMT-W'!H:H,MATCH(B2,'DMT-W'!A:A,0)))</f>
        <v>National Team</v>
      </c>
    </row>
    <row r="23" spans="1:5" x14ac:dyDescent="0.2">
      <c r="A23" s="13"/>
      <c r="B23" s="13">
        <v>2</v>
      </c>
      <c r="C23" s="13" t="str">
        <f>IF(B3&gt;MAX('DMT-W'!A:A),"",INDEX('DMT-W'!B:B,MATCH(B3,'DMT-W'!A:A,0)))</f>
        <v>LEE-McMEEKEN, Brooklyn</v>
      </c>
      <c r="D23" s="73" t="str">
        <f>IF(B3&gt;MAX('DMT-W'!A:A),"",INDEX('DMT-W'!H:H,MATCH(B3,'DMT-W'!A:A,0)))</f>
        <v>National Team</v>
      </c>
    </row>
    <row r="24" spans="1:5" hidden="1" x14ac:dyDescent="0.2">
      <c r="A24" s="13"/>
      <c r="B24" s="13">
        <v>3</v>
      </c>
      <c r="C24" s="13" t="str">
        <f>IF(B4&gt;MAX('DMT-W'!A:A),"",INDEX('DMT-W'!B:B,MATCH(B4,'DMT-W'!A:A,0)))</f>
        <v/>
      </c>
      <c r="D24" s="73" t="str">
        <f>IF(B4&gt;MAX('DMT-W'!A:A),"",INDEX('DMT-W'!H:H,MATCH(B4,'DMT-W'!A:A,0)))</f>
        <v/>
      </c>
    </row>
    <row r="25" spans="1:5" hidden="1" x14ac:dyDescent="0.2">
      <c r="A25" s="13"/>
      <c r="B25" s="13">
        <v>4</v>
      </c>
      <c r="C25" s="13" t="str">
        <f>IF(B5&gt;MAX('DMT-W'!A:A),"",INDEX('DMT-W'!B:B,MATCH(B5,'DMT-W'!A:A,0)))</f>
        <v/>
      </c>
      <c r="D25" s="73" t="str">
        <f>IF(B5&gt;MAX('DMT-W'!A:A),"",INDEX('DMT-W'!H:H,MATCH(B5,'DMT-W'!A:A,0)))</f>
        <v/>
      </c>
    </row>
    <row r="26" spans="1:5" x14ac:dyDescent="0.2">
      <c r="D26" s="67"/>
    </row>
    <row r="27" spans="1:5" x14ac:dyDescent="0.2">
      <c r="B27" s="30" t="s">
        <v>29</v>
      </c>
    </row>
    <row r="28" spans="1:5" x14ac:dyDescent="0.2">
      <c r="B28" s="30" t="s">
        <v>27</v>
      </c>
    </row>
    <row r="29" spans="1:5" x14ac:dyDescent="0.2">
      <c r="B29" s="30" t="s">
        <v>28</v>
      </c>
    </row>
    <row r="30" spans="1:5" x14ac:dyDescent="0.2">
      <c r="B30" s="21" t="s">
        <v>49</v>
      </c>
      <c r="D30" s="30" t="s">
        <v>47</v>
      </c>
    </row>
    <row r="31" spans="1:5" x14ac:dyDescent="0.2">
      <c r="B31" s="21" t="s">
        <v>57</v>
      </c>
      <c r="D31" s="30" t="s">
        <v>47</v>
      </c>
      <c r="E31" t="s">
        <v>47</v>
      </c>
    </row>
    <row r="32" spans="1:5" x14ac:dyDescent="0.2">
      <c r="B32" s="30" t="s">
        <v>48</v>
      </c>
      <c r="D32" s="30"/>
    </row>
    <row r="33" spans="1:4" x14ac:dyDescent="0.2">
      <c r="B33" s="30" t="s">
        <v>58</v>
      </c>
      <c r="D33" s="30"/>
    </row>
    <row r="34" spans="1:4" x14ac:dyDescent="0.2">
      <c r="A34" t="s">
        <v>33</v>
      </c>
      <c r="B34" s="101">
        <v>44658</v>
      </c>
      <c r="C34" s="101"/>
    </row>
    <row r="35" spans="1:4" x14ac:dyDescent="0.2">
      <c r="B35" s="54" t="s">
        <v>72</v>
      </c>
    </row>
    <row r="36" spans="1:4" x14ac:dyDescent="0.2">
      <c r="B36" s="54" t="s">
        <v>80</v>
      </c>
    </row>
    <row r="37" spans="1:4" x14ac:dyDescent="0.2">
      <c r="B37" s="30"/>
    </row>
    <row r="38" spans="1:4" x14ac:dyDescent="0.2">
      <c r="B38" s="30"/>
    </row>
    <row r="39" spans="1:4" x14ac:dyDescent="0.2">
      <c r="B39" s="30"/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407" width="10.83203125" hidden="1" customWidth="1"/>
    <col min="408" max="409" width="10.83203125" customWidth="1"/>
  </cols>
  <sheetData>
    <row r="1" spans="1:407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07" t="s">
        <v>5</v>
      </c>
      <c r="H1" s="107" t="s">
        <v>6</v>
      </c>
      <c r="I1" s="108" t="s">
        <v>7</v>
      </c>
      <c r="J1" s="108" t="s">
        <v>24</v>
      </c>
      <c r="K1" s="108" t="s">
        <v>8</v>
      </c>
      <c r="L1" s="108" t="s">
        <v>24</v>
      </c>
      <c r="M1" s="108" t="s">
        <v>64</v>
      </c>
      <c r="N1" s="108" t="s">
        <v>24</v>
      </c>
      <c r="O1" s="108" t="s">
        <v>9</v>
      </c>
      <c r="P1" s="108" t="s">
        <v>24</v>
      </c>
      <c r="Q1" s="109" t="s">
        <v>10</v>
      </c>
      <c r="R1" s="108" t="s">
        <v>25</v>
      </c>
      <c r="S1" s="108" t="s">
        <v>24</v>
      </c>
      <c r="T1" s="104" t="s">
        <v>70</v>
      </c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5" t="s">
        <v>71</v>
      </c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4" t="s">
        <v>76</v>
      </c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6" t="s">
        <v>10</v>
      </c>
      <c r="DG1" s="106"/>
      <c r="DH1" s="106"/>
      <c r="DI1" s="106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5"/>
      <c r="EX1" s="105"/>
      <c r="EY1" s="105"/>
      <c r="EZ1" s="105"/>
      <c r="FA1" s="105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4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5"/>
      <c r="HQ1" s="105"/>
      <c r="HR1" s="105"/>
      <c r="HS1" s="105"/>
      <c r="HT1" s="105"/>
      <c r="HU1" s="105"/>
      <c r="HV1" s="105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5"/>
      <c r="JI1" s="105"/>
      <c r="JJ1" s="105"/>
      <c r="JK1" s="105"/>
      <c r="JL1" s="105"/>
      <c r="JM1" s="105"/>
      <c r="JN1" s="105"/>
      <c r="JO1" s="105"/>
      <c r="JP1" s="105"/>
      <c r="JQ1" s="105"/>
      <c r="JR1" s="105"/>
      <c r="JS1" s="105"/>
      <c r="JT1" s="105"/>
      <c r="JU1" s="105"/>
      <c r="JV1" s="105"/>
      <c r="JW1" s="105"/>
      <c r="JX1" s="105"/>
      <c r="JY1" s="105"/>
      <c r="JZ1" s="105"/>
      <c r="KA1" s="105"/>
      <c r="KB1" s="105"/>
      <c r="KC1" s="105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5"/>
      <c r="LA1" s="105"/>
      <c r="LB1" s="105"/>
      <c r="LC1" s="105"/>
      <c r="LD1" s="105"/>
      <c r="LE1" s="105"/>
      <c r="LF1" s="105"/>
      <c r="LG1" s="105"/>
      <c r="LH1" s="105"/>
      <c r="LI1" s="105"/>
      <c r="LJ1" s="105"/>
      <c r="LK1" s="105"/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104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5"/>
      <c r="MS1" s="105"/>
      <c r="MT1" s="105"/>
      <c r="MU1" s="105"/>
      <c r="MV1" s="105"/>
      <c r="MW1" s="105"/>
      <c r="MX1" s="105"/>
      <c r="MY1" s="105"/>
      <c r="MZ1" s="105"/>
      <c r="NA1" s="105"/>
      <c r="NB1" s="105"/>
      <c r="NC1" s="105"/>
      <c r="ND1" s="105"/>
      <c r="NE1" s="105"/>
      <c r="NF1" s="105"/>
      <c r="NG1" s="105"/>
      <c r="NH1" s="105"/>
      <c r="NI1" s="105"/>
      <c r="NJ1" s="105"/>
      <c r="NK1" s="105"/>
      <c r="NL1" s="105"/>
      <c r="NM1" s="105"/>
      <c r="NN1" s="104" t="s">
        <v>55</v>
      </c>
      <c r="NO1" s="104"/>
      <c r="NP1" s="104"/>
      <c r="NQ1" s="104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</row>
    <row r="2" spans="1:407" x14ac:dyDescent="0.2">
      <c r="A2" s="107"/>
      <c r="B2" s="107"/>
      <c r="C2" s="107"/>
      <c r="D2" s="107"/>
      <c r="E2" s="107"/>
      <c r="F2" s="110"/>
      <c r="G2" s="107"/>
      <c r="H2" s="107"/>
      <c r="I2" s="108"/>
      <c r="J2" s="108"/>
      <c r="K2" s="108"/>
      <c r="L2" s="108"/>
      <c r="M2" s="108"/>
      <c r="N2" s="108"/>
      <c r="O2" s="108"/>
      <c r="P2" s="108"/>
      <c r="Q2" s="109"/>
      <c r="R2" s="108"/>
      <c r="S2" s="108"/>
      <c r="T2" s="102" t="s">
        <v>15</v>
      </c>
      <c r="U2" s="102"/>
      <c r="V2" s="102"/>
      <c r="W2" s="102"/>
      <c r="X2" s="102"/>
      <c r="Y2" s="102" t="s">
        <v>16</v>
      </c>
      <c r="Z2" s="102"/>
      <c r="AA2" s="102"/>
      <c r="AB2" s="102"/>
      <c r="AC2" s="102"/>
      <c r="AD2" s="102" t="s">
        <v>60</v>
      </c>
      <c r="AE2" s="102"/>
      <c r="AF2" s="102"/>
      <c r="AG2" s="102"/>
      <c r="AH2" s="102"/>
      <c r="AI2" s="102" t="s">
        <v>19</v>
      </c>
      <c r="AJ2" s="102"/>
      <c r="AK2" s="102"/>
      <c r="AL2" s="102"/>
      <c r="AM2" s="102"/>
      <c r="AN2" s="44"/>
      <c r="AO2" s="9" t="s">
        <v>17</v>
      </c>
      <c r="AP2" s="9" t="s">
        <v>62</v>
      </c>
      <c r="AQ2" s="9" t="s">
        <v>18</v>
      </c>
      <c r="AR2" s="9" t="s">
        <v>63</v>
      </c>
      <c r="AS2" s="9" t="s">
        <v>61</v>
      </c>
      <c r="AT2" s="9" t="s">
        <v>20</v>
      </c>
      <c r="AU2" s="9" t="s">
        <v>56</v>
      </c>
      <c r="AV2" s="9" t="s">
        <v>19</v>
      </c>
      <c r="AW2" s="9" t="s">
        <v>14</v>
      </c>
      <c r="AX2" s="103" t="s">
        <v>15</v>
      </c>
      <c r="AY2" s="103"/>
      <c r="AZ2" s="103"/>
      <c r="BA2" s="103"/>
      <c r="BB2" s="103"/>
      <c r="BC2" s="103" t="s">
        <v>16</v>
      </c>
      <c r="BD2" s="103"/>
      <c r="BE2" s="103"/>
      <c r="BF2" s="103"/>
      <c r="BG2" s="103"/>
      <c r="BH2" s="103" t="s">
        <v>60</v>
      </c>
      <c r="BI2" s="103"/>
      <c r="BJ2" s="103"/>
      <c r="BK2" s="103"/>
      <c r="BL2" s="103"/>
      <c r="BM2" s="103" t="s">
        <v>19</v>
      </c>
      <c r="BN2" s="103"/>
      <c r="BO2" s="103"/>
      <c r="BP2" s="103"/>
      <c r="BQ2" s="103"/>
      <c r="BR2" s="43"/>
      <c r="BS2" s="12" t="s">
        <v>17</v>
      </c>
      <c r="BT2" s="12" t="s">
        <v>62</v>
      </c>
      <c r="BU2" s="12" t="s">
        <v>18</v>
      </c>
      <c r="BV2" s="12" t="s">
        <v>63</v>
      </c>
      <c r="BW2" s="12" t="s">
        <v>61</v>
      </c>
      <c r="BX2" s="12" t="s">
        <v>20</v>
      </c>
      <c r="BY2" s="12" t="s">
        <v>56</v>
      </c>
      <c r="BZ2" s="12" t="s">
        <v>19</v>
      </c>
      <c r="CA2" s="12" t="s">
        <v>14</v>
      </c>
      <c r="CB2" s="102" t="s">
        <v>15</v>
      </c>
      <c r="CC2" s="102"/>
      <c r="CD2" s="102"/>
      <c r="CE2" s="102"/>
      <c r="CF2" s="102"/>
      <c r="CG2" s="102" t="s">
        <v>16</v>
      </c>
      <c r="CH2" s="102"/>
      <c r="CI2" s="102"/>
      <c r="CJ2" s="102"/>
      <c r="CK2" s="102"/>
      <c r="CL2" s="102" t="s">
        <v>60</v>
      </c>
      <c r="CM2" s="102"/>
      <c r="CN2" s="102"/>
      <c r="CO2" s="102"/>
      <c r="CP2" s="102"/>
      <c r="CQ2" s="102" t="s">
        <v>19</v>
      </c>
      <c r="CR2" s="102"/>
      <c r="CS2" s="102"/>
      <c r="CT2" s="102"/>
      <c r="CU2" s="102"/>
      <c r="CV2" s="55"/>
      <c r="CW2" s="9" t="s">
        <v>17</v>
      </c>
      <c r="CX2" s="9" t="s">
        <v>62</v>
      </c>
      <c r="CY2" s="9" t="s">
        <v>18</v>
      </c>
      <c r="CZ2" s="9" t="s">
        <v>63</v>
      </c>
      <c r="DA2" s="9" t="s">
        <v>61</v>
      </c>
      <c r="DB2" s="9" t="s">
        <v>20</v>
      </c>
      <c r="DC2" s="9" t="s">
        <v>56</v>
      </c>
      <c r="DD2" s="9" t="s">
        <v>19</v>
      </c>
      <c r="DE2" s="9" t="s">
        <v>14</v>
      </c>
      <c r="DF2" s="17" t="s">
        <v>17</v>
      </c>
      <c r="DG2" s="17" t="s">
        <v>18</v>
      </c>
      <c r="DH2" s="17" t="s">
        <v>20</v>
      </c>
      <c r="DI2" s="17" t="s">
        <v>19</v>
      </c>
      <c r="DJ2" s="102" t="s">
        <v>15</v>
      </c>
      <c r="DK2" s="102"/>
      <c r="DL2" s="102"/>
      <c r="DM2" s="102"/>
      <c r="DN2" s="102"/>
      <c r="DO2" s="102" t="s">
        <v>16</v>
      </c>
      <c r="DP2" s="102"/>
      <c r="DQ2" s="102"/>
      <c r="DR2" s="102"/>
      <c r="DS2" s="102"/>
      <c r="DT2" s="102" t="s">
        <v>19</v>
      </c>
      <c r="DU2" s="102"/>
      <c r="DV2" s="102"/>
      <c r="DW2" s="102"/>
      <c r="DX2" s="102"/>
      <c r="DY2" s="22" t="s">
        <v>50</v>
      </c>
      <c r="DZ2" s="9" t="s">
        <v>17</v>
      </c>
      <c r="EA2" s="9" t="s">
        <v>18</v>
      </c>
      <c r="EB2" s="9" t="s">
        <v>20</v>
      </c>
      <c r="EC2" s="9" t="s">
        <v>56</v>
      </c>
      <c r="ED2" s="9" t="s">
        <v>19</v>
      </c>
      <c r="EE2" s="9" t="s">
        <v>14</v>
      </c>
      <c r="EF2" s="103" t="s">
        <v>15</v>
      </c>
      <c r="EG2" s="103"/>
      <c r="EH2" s="103"/>
      <c r="EI2" s="103"/>
      <c r="EJ2" s="103"/>
      <c r="EK2" s="103" t="s">
        <v>16</v>
      </c>
      <c r="EL2" s="103"/>
      <c r="EM2" s="103"/>
      <c r="EN2" s="103"/>
      <c r="EO2" s="103"/>
      <c r="EP2" s="103" t="s">
        <v>19</v>
      </c>
      <c r="EQ2" s="103"/>
      <c r="ER2" s="103"/>
      <c r="ES2" s="103"/>
      <c r="ET2" s="103"/>
      <c r="EU2" s="23" t="s">
        <v>50</v>
      </c>
      <c r="EV2" s="12" t="s">
        <v>17</v>
      </c>
      <c r="EW2" s="12" t="s">
        <v>18</v>
      </c>
      <c r="EX2" s="12" t="s">
        <v>20</v>
      </c>
      <c r="EY2" s="12" t="s">
        <v>56</v>
      </c>
      <c r="EZ2" s="12" t="s">
        <v>19</v>
      </c>
      <c r="FA2" s="12" t="s">
        <v>14</v>
      </c>
      <c r="FB2" s="102" t="s">
        <v>15</v>
      </c>
      <c r="FC2" s="102"/>
      <c r="FD2" s="102"/>
      <c r="FE2" s="102"/>
      <c r="FF2" s="102"/>
      <c r="FG2" s="102" t="s">
        <v>16</v>
      </c>
      <c r="FH2" s="102"/>
      <c r="FI2" s="102"/>
      <c r="FJ2" s="102"/>
      <c r="FK2" s="102"/>
      <c r="FL2" s="102" t="s">
        <v>19</v>
      </c>
      <c r="FM2" s="102"/>
      <c r="FN2" s="102"/>
      <c r="FO2" s="102"/>
      <c r="FP2" s="102"/>
      <c r="FQ2" s="22" t="s">
        <v>50</v>
      </c>
      <c r="FR2" s="9" t="s">
        <v>17</v>
      </c>
      <c r="FS2" s="9" t="s">
        <v>18</v>
      </c>
      <c r="FT2" s="9" t="s">
        <v>20</v>
      </c>
      <c r="FU2" s="9" t="s">
        <v>56</v>
      </c>
      <c r="FV2" s="9" t="s">
        <v>19</v>
      </c>
      <c r="FW2" s="9" t="s">
        <v>14</v>
      </c>
      <c r="FX2" s="103" t="s">
        <v>15</v>
      </c>
      <c r="FY2" s="103"/>
      <c r="FZ2" s="103"/>
      <c r="GA2" s="103"/>
      <c r="GB2" s="103"/>
      <c r="GC2" s="103" t="s">
        <v>16</v>
      </c>
      <c r="GD2" s="103"/>
      <c r="GE2" s="103"/>
      <c r="GF2" s="103"/>
      <c r="GG2" s="103"/>
      <c r="GH2" s="103" t="s">
        <v>19</v>
      </c>
      <c r="GI2" s="103"/>
      <c r="GJ2" s="103"/>
      <c r="GK2" s="103"/>
      <c r="GL2" s="103"/>
      <c r="GM2" s="23" t="s">
        <v>50</v>
      </c>
      <c r="GN2" s="12" t="s">
        <v>17</v>
      </c>
      <c r="GO2" s="12" t="s">
        <v>18</v>
      </c>
      <c r="GP2" s="12" t="s">
        <v>20</v>
      </c>
      <c r="GQ2" s="12" t="s">
        <v>56</v>
      </c>
      <c r="GR2" s="12" t="s">
        <v>19</v>
      </c>
      <c r="GS2" s="12" t="s">
        <v>14</v>
      </c>
      <c r="GT2" s="102" t="s">
        <v>15</v>
      </c>
      <c r="GU2" s="102"/>
      <c r="GV2" s="102"/>
      <c r="GW2" s="102"/>
      <c r="GX2" s="102"/>
      <c r="GY2" s="102" t="s">
        <v>16</v>
      </c>
      <c r="GZ2" s="102"/>
      <c r="HA2" s="102"/>
      <c r="HB2" s="102"/>
      <c r="HC2" s="102"/>
      <c r="HD2" s="102" t="s">
        <v>19</v>
      </c>
      <c r="HE2" s="102"/>
      <c r="HF2" s="102"/>
      <c r="HG2" s="102"/>
      <c r="HH2" s="102"/>
      <c r="HI2" s="22" t="s">
        <v>50</v>
      </c>
      <c r="HJ2" s="9" t="s">
        <v>17</v>
      </c>
      <c r="HK2" s="9" t="s">
        <v>18</v>
      </c>
      <c r="HL2" s="9" t="s">
        <v>20</v>
      </c>
      <c r="HM2" s="9" t="s">
        <v>56</v>
      </c>
      <c r="HN2" s="9" t="s">
        <v>19</v>
      </c>
      <c r="HO2" s="9" t="s">
        <v>14</v>
      </c>
      <c r="HP2" s="103" t="s">
        <v>15</v>
      </c>
      <c r="HQ2" s="103"/>
      <c r="HR2" s="103"/>
      <c r="HS2" s="103"/>
      <c r="HT2" s="103"/>
      <c r="HU2" s="103" t="s">
        <v>16</v>
      </c>
      <c r="HV2" s="103"/>
      <c r="HW2" s="103"/>
      <c r="HX2" s="103"/>
      <c r="HY2" s="103"/>
      <c r="HZ2" s="103" t="s">
        <v>19</v>
      </c>
      <c r="IA2" s="103"/>
      <c r="IB2" s="103"/>
      <c r="IC2" s="103"/>
      <c r="ID2" s="103"/>
      <c r="IE2" s="23" t="s">
        <v>50</v>
      </c>
      <c r="IF2" s="12" t="s">
        <v>17</v>
      </c>
      <c r="IG2" s="12" t="s">
        <v>18</v>
      </c>
      <c r="IH2" s="12" t="s">
        <v>20</v>
      </c>
      <c r="II2" s="12" t="s">
        <v>56</v>
      </c>
      <c r="IJ2" s="12" t="s">
        <v>19</v>
      </c>
      <c r="IK2" s="12" t="s">
        <v>14</v>
      </c>
      <c r="IL2" s="102" t="s">
        <v>15</v>
      </c>
      <c r="IM2" s="102"/>
      <c r="IN2" s="102"/>
      <c r="IO2" s="102"/>
      <c r="IP2" s="102"/>
      <c r="IQ2" s="102" t="s">
        <v>16</v>
      </c>
      <c r="IR2" s="102"/>
      <c r="IS2" s="102"/>
      <c r="IT2" s="102"/>
      <c r="IU2" s="102"/>
      <c r="IV2" s="102" t="s">
        <v>19</v>
      </c>
      <c r="IW2" s="102"/>
      <c r="IX2" s="102"/>
      <c r="IY2" s="102"/>
      <c r="IZ2" s="102"/>
      <c r="JA2" s="22" t="s">
        <v>50</v>
      </c>
      <c r="JB2" s="9" t="s">
        <v>17</v>
      </c>
      <c r="JC2" s="9" t="s">
        <v>18</v>
      </c>
      <c r="JD2" s="9" t="s">
        <v>20</v>
      </c>
      <c r="JE2" s="9" t="s">
        <v>56</v>
      </c>
      <c r="JF2" s="9" t="s">
        <v>19</v>
      </c>
      <c r="JG2" s="9" t="s">
        <v>14</v>
      </c>
      <c r="JH2" s="103" t="s">
        <v>15</v>
      </c>
      <c r="JI2" s="103"/>
      <c r="JJ2" s="103"/>
      <c r="JK2" s="103"/>
      <c r="JL2" s="103"/>
      <c r="JM2" s="103" t="s">
        <v>16</v>
      </c>
      <c r="JN2" s="103"/>
      <c r="JO2" s="103"/>
      <c r="JP2" s="103"/>
      <c r="JQ2" s="103"/>
      <c r="JR2" s="103" t="s">
        <v>19</v>
      </c>
      <c r="JS2" s="103"/>
      <c r="JT2" s="103"/>
      <c r="JU2" s="103"/>
      <c r="JV2" s="103"/>
      <c r="JW2" s="23" t="s">
        <v>50</v>
      </c>
      <c r="JX2" s="12" t="s">
        <v>17</v>
      </c>
      <c r="JY2" s="12" t="s">
        <v>18</v>
      </c>
      <c r="JZ2" s="12" t="s">
        <v>20</v>
      </c>
      <c r="KA2" s="12" t="s">
        <v>56</v>
      </c>
      <c r="KB2" s="12" t="s">
        <v>19</v>
      </c>
      <c r="KC2" s="12" t="s">
        <v>14</v>
      </c>
      <c r="KD2" s="102" t="s">
        <v>15</v>
      </c>
      <c r="KE2" s="102"/>
      <c r="KF2" s="102"/>
      <c r="KG2" s="102"/>
      <c r="KH2" s="102"/>
      <c r="KI2" s="102" t="s">
        <v>16</v>
      </c>
      <c r="KJ2" s="102"/>
      <c r="KK2" s="102"/>
      <c r="KL2" s="102"/>
      <c r="KM2" s="102"/>
      <c r="KN2" s="102" t="s">
        <v>19</v>
      </c>
      <c r="KO2" s="102"/>
      <c r="KP2" s="102"/>
      <c r="KQ2" s="102"/>
      <c r="KR2" s="102"/>
      <c r="KS2" s="22" t="s">
        <v>50</v>
      </c>
      <c r="KT2" s="9" t="s">
        <v>17</v>
      </c>
      <c r="KU2" s="9" t="s">
        <v>18</v>
      </c>
      <c r="KV2" s="9" t="s">
        <v>20</v>
      </c>
      <c r="KW2" s="9" t="s">
        <v>56</v>
      </c>
      <c r="KX2" s="9" t="s">
        <v>19</v>
      </c>
      <c r="KY2" s="9" t="s">
        <v>14</v>
      </c>
      <c r="KZ2" s="103" t="s">
        <v>15</v>
      </c>
      <c r="LA2" s="103"/>
      <c r="LB2" s="103"/>
      <c r="LC2" s="103"/>
      <c r="LD2" s="103"/>
      <c r="LE2" s="103" t="s">
        <v>16</v>
      </c>
      <c r="LF2" s="103"/>
      <c r="LG2" s="103"/>
      <c r="LH2" s="103"/>
      <c r="LI2" s="103"/>
      <c r="LJ2" s="103" t="s">
        <v>19</v>
      </c>
      <c r="LK2" s="103"/>
      <c r="LL2" s="103"/>
      <c r="LM2" s="103"/>
      <c r="LN2" s="103"/>
      <c r="LO2" s="23" t="s">
        <v>50</v>
      </c>
      <c r="LP2" s="12" t="s">
        <v>17</v>
      </c>
      <c r="LQ2" s="12" t="s">
        <v>18</v>
      </c>
      <c r="LR2" s="12" t="s">
        <v>20</v>
      </c>
      <c r="LS2" s="12" t="s">
        <v>56</v>
      </c>
      <c r="LT2" s="12" t="s">
        <v>19</v>
      </c>
      <c r="LU2" s="12" t="s">
        <v>14</v>
      </c>
      <c r="LV2" s="102" t="s">
        <v>15</v>
      </c>
      <c r="LW2" s="102"/>
      <c r="LX2" s="102"/>
      <c r="LY2" s="102"/>
      <c r="LZ2" s="102"/>
      <c r="MA2" s="102" t="s">
        <v>16</v>
      </c>
      <c r="MB2" s="102"/>
      <c r="MC2" s="102"/>
      <c r="MD2" s="102"/>
      <c r="ME2" s="102"/>
      <c r="MF2" s="102" t="s">
        <v>19</v>
      </c>
      <c r="MG2" s="102"/>
      <c r="MH2" s="102"/>
      <c r="MI2" s="102"/>
      <c r="MJ2" s="102"/>
      <c r="MK2" s="22" t="s">
        <v>50</v>
      </c>
      <c r="ML2" s="9" t="s">
        <v>17</v>
      </c>
      <c r="MM2" s="9" t="s">
        <v>18</v>
      </c>
      <c r="MN2" s="9" t="s">
        <v>20</v>
      </c>
      <c r="MO2" s="9" t="s">
        <v>56</v>
      </c>
      <c r="MP2" s="9" t="s">
        <v>19</v>
      </c>
      <c r="MQ2" s="9" t="s">
        <v>14</v>
      </c>
      <c r="MR2" s="103" t="s">
        <v>15</v>
      </c>
      <c r="MS2" s="103"/>
      <c r="MT2" s="103"/>
      <c r="MU2" s="103"/>
      <c r="MV2" s="103"/>
      <c r="MW2" s="103" t="s">
        <v>16</v>
      </c>
      <c r="MX2" s="103"/>
      <c r="MY2" s="103"/>
      <c r="MZ2" s="103"/>
      <c r="NA2" s="103"/>
      <c r="NB2" s="103" t="s">
        <v>19</v>
      </c>
      <c r="NC2" s="103"/>
      <c r="ND2" s="103"/>
      <c r="NE2" s="103"/>
      <c r="NF2" s="103"/>
      <c r="NG2" s="23" t="s">
        <v>50</v>
      </c>
      <c r="NH2" s="12" t="s">
        <v>17</v>
      </c>
      <c r="NI2" s="12" t="s">
        <v>18</v>
      </c>
      <c r="NJ2" s="12" t="s">
        <v>20</v>
      </c>
      <c r="NK2" s="12" t="s">
        <v>56</v>
      </c>
      <c r="NL2" s="12" t="s">
        <v>19</v>
      </c>
      <c r="NM2" s="12" t="s">
        <v>14</v>
      </c>
      <c r="NN2" s="102" t="s">
        <v>15</v>
      </c>
      <c r="NO2" s="102"/>
      <c r="NP2" s="102"/>
      <c r="NQ2" s="102"/>
      <c r="NR2" s="102"/>
      <c r="NS2" s="102" t="s">
        <v>16</v>
      </c>
      <c r="NT2" s="102"/>
      <c r="NU2" s="102"/>
      <c r="NV2" s="102"/>
      <c r="NW2" s="102"/>
      <c r="NX2" s="102" t="s">
        <v>60</v>
      </c>
      <c r="NY2" s="102"/>
      <c r="NZ2" s="102"/>
      <c r="OA2" s="102"/>
      <c r="OB2" s="102"/>
      <c r="OC2" s="102" t="s">
        <v>19</v>
      </c>
      <c r="OD2" s="102"/>
      <c r="OE2" s="102"/>
      <c r="OF2" s="102"/>
      <c r="OG2" s="102"/>
      <c r="OH2" s="52"/>
      <c r="OI2" s="9" t="s">
        <v>17</v>
      </c>
      <c r="OJ2" s="9" t="s">
        <v>62</v>
      </c>
      <c r="OK2" s="9" t="s">
        <v>18</v>
      </c>
      <c r="OL2" s="9" t="s">
        <v>63</v>
      </c>
      <c r="OM2" s="9" t="s">
        <v>61</v>
      </c>
      <c r="ON2" s="9" t="s">
        <v>20</v>
      </c>
      <c r="OO2" s="9" t="s">
        <v>56</v>
      </c>
      <c r="OP2" s="9" t="s">
        <v>19</v>
      </c>
      <c r="OQ2" s="9" t="s">
        <v>14</v>
      </c>
    </row>
    <row r="3" spans="1:407" x14ac:dyDescent="0.2">
      <c r="A3" s="107"/>
      <c r="B3" s="107"/>
      <c r="C3" s="107"/>
      <c r="D3" s="107"/>
      <c r="E3" s="107"/>
      <c r="F3" s="110"/>
      <c r="G3" s="107"/>
      <c r="H3" s="107"/>
      <c r="I3" s="108"/>
      <c r="J3" s="108"/>
      <c r="K3" s="108"/>
      <c r="L3" s="108"/>
      <c r="M3" s="108"/>
      <c r="N3" s="108"/>
      <c r="O3" s="108"/>
      <c r="P3" s="108"/>
      <c r="Q3" s="109"/>
      <c r="R3" s="108"/>
      <c r="S3" s="108"/>
      <c r="T3" s="22" t="s">
        <v>11</v>
      </c>
      <c r="U3" s="22" t="s">
        <v>12</v>
      </c>
      <c r="V3" s="22" t="s">
        <v>4</v>
      </c>
      <c r="W3" s="22" t="s">
        <v>13</v>
      </c>
      <c r="X3" s="27" t="s">
        <v>22</v>
      </c>
      <c r="Y3" s="56" t="s">
        <v>11</v>
      </c>
      <c r="Z3" s="56" t="s">
        <v>12</v>
      </c>
      <c r="AA3" s="56" t="s">
        <v>4</v>
      </c>
      <c r="AB3" s="56" t="s">
        <v>13</v>
      </c>
      <c r="AC3" s="56" t="s">
        <v>22</v>
      </c>
      <c r="AD3" s="22" t="s">
        <v>11</v>
      </c>
      <c r="AE3" s="22" t="s">
        <v>12</v>
      </c>
      <c r="AF3" s="22" t="s">
        <v>4</v>
      </c>
      <c r="AG3" s="22" t="s">
        <v>13</v>
      </c>
      <c r="AH3" s="27" t="s">
        <v>22</v>
      </c>
      <c r="AI3" s="22" t="s">
        <v>11</v>
      </c>
      <c r="AJ3" s="22" t="s">
        <v>12</v>
      </c>
      <c r="AK3" s="22" t="s">
        <v>4</v>
      </c>
      <c r="AL3" s="22" t="s">
        <v>13</v>
      </c>
      <c r="AM3" s="27" t="s">
        <v>22</v>
      </c>
      <c r="AN3" s="44" t="s">
        <v>43</v>
      </c>
      <c r="AO3" s="9"/>
      <c r="AP3" s="9"/>
      <c r="AQ3" s="9"/>
      <c r="AR3" s="9"/>
      <c r="AS3" s="9"/>
      <c r="AT3" s="9"/>
      <c r="AU3" s="9"/>
      <c r="AV3" s="10"/>
      <c r="AW3" s="10"/>
      <c r="AX3" s="23" t="s">
        <v>11</v>
      </c>
      <c r="AY3" s="23" t="s">
        <v>12</v>
      </c>
      <c r="AZ3" s="23" t="s">
        <v>4</v>
      </c>
      <c r="BA3" s="23" t="s">
        <v>13</v>
      </c>
      <c r="BB3" s="28" t="s">
        <v>22</v>
      </c>
      <c r="BC3" s="57" t="s">
        <v>11</v>
      </c>
      <c r="BD3" s="57" t="s">
        <v>12</v>
      </c>
      <c r="BE3" s="57" t="s">
        <v>4</v>
      </c>
      <c r="BF3" s="57" t="s">
        <v>13</v>
      </c>
      <c r="BG3" s="57" t="s">
        <v>22</v>
      </c>
      <c r="BH3" s="23" t="s">
        <v>11</v>
      </c>
      <c r="BI3" s="23" t="s">
        <v>12</v>
      </c>
      <c r="BJ3" s="23" t="s">
        <v>4</v>
      </c>
      <c r="BK3" s="23" t="s">
        <v>13</v>
      </c>
      <c r="BL3" s="28" t="s">
        <v>22</v>
      </c>
      <c r="BM3" s="23" t="s">
        <v>11</v>
      </c>
      <c r="BN3" s="23" t="s">
        <v>12</v>
      </c>
      <c r="BO3" s="23" t="s">
        <v>4</v>
      </c>
      <c r="BP3" s="28" t="s">
        <v>13</v>
      </c>
      <c r="BQ3" s="23" t="s">
        <v>22</v>
      </c>
      <c r="BR3" s="43" t="s">
        <v>43</v>
      </c>
      <c r="BS3" s="12"/>
      <c r="BT3" s="12"/>
      <c r="BU3" s="12"/>
      <c r="BV3" s="12"/>
      <c r="BW3" s="12"/>
      <c r="BX3" s="12"/>
      <c r="BY3" s="12"/>
      <c r="BZ3" s="13"/>
      <c r="CA3" s="13"/>
      <c r="CB3" s="55" t="s">
        <v>11</v>
      </c>
      <c r="CC3" s="55" t="s">
        <v>12</v>
      </c>
      <c r="CD3" s="55" t="s">
        <v>4</v>
      </c>
      <c r="CE3" s="55" t="s">
        <v>13</v>
      </c>
      <c r="CF3" s="55" t="s">
        <v>22</v>
      </c>
      <c r="CG3" s="56" t="s">
        <v>11</v>
      </c>
      <c r="CH3" s="56" t="s">
        <v>12</v>
      </c>
      <c r="CI3" s="56" t="s">
        <v>4</v>
      </c>
      <c r="CJ3" s="56" t="s">
        <v>13</v>
      </c>
      <c r="CK3" s="56" t="s">
        <v>22</v>
      </c>
      <c r="CL3" s="55" t="s">
        <v>11</v>
      </c>
      <c r="CM3" s="55" t="s">
        <v>12</v>
      </c>
      <c r="CN3" s="55" t="s">
        <v>4</v>
      </c>
      <c r="CO3" s="55" t="s">
        <v>13</v>
      </c>
      <c r="CP3" s="55" t="s">
        <v>22</v>
      </c>
      <c r="CQ3" s="55" t="s">
        <v>11</v>
      </c>
      <c r="CR3" s="55" t="s">
        <v>12</v>
      </c>
      <c r="CS3" s="55" t="s">
        <v>4</v>
      </c>
      <c r="CT3" s="55" t="s">
        <v>13</v>
      </c>
      <c r="CU3" s="55" t="s">
        <v>22</v>
      </c>
      <c r="CV3" s="55" t="s">
        <v>43</v>
      </c>
      <c r="CW3" s="9"/>
      <c r="CX3" s="9"/>
      <c r="CY3" s="9"/>
      <c r="CZ3" s="9"/>
      <c r="DA3" s="9"/>
      <c r="DB3" s="9"/>
      <c r="DC3" s="9"/>
      <c r="DD3" s="10"/>
      <c r="DE3" s="10"/>
      <c r="DF3" s="18"/>
      <c r="DG3" s="18"/>
      <c r="DH3" s="18"/>
      <c r="DI3" s="18"/>
      <c r="DJ3" s="22" t="s">
        <v>11</v>
      </c>
      <c r="DK3" s="22" t="s">
        <v>12</v>
      </c>
      <c r="DL3" s="22" t="s">
        <v>4</v>
      </c>
      <c r="DM3" s="22" t="s">
        <v>13</v>
      </c>
      <c r="DN3" s="27" t="s">
        <v>22</v>
      </c>
      <c r="DO3" s="22" t="s">
        <v>11</v>
      </c>
      <c r="DP3" s="22" t="s">
        <v>12</v>
      </c>
      <c r="DQ3" s="22" t="s">
        <v>4</v>
      </c>
      <c r="DR3" s="22" t="s">
        <v>13</v>
      </c>
      <c r="DS3" s="27" t="s">
        <v>22</v>
      </c>
      <c r="DT3" s="22" t="s">
        <v>11</v>
      </c>
      <c r="DU3" s="22" t="s">
        <v>12</v>
      </c>
      <c r="DV3" s="22" t="s">
        <v>4</v>
      </c>
      <c r="DW3" s="22" t="s">
        <v>13</v>
      </c>
      <c r="DX3" s="27" t="s">
        <v>22</v>
      </c>
      <c r="DY3" s="10"/>
      <c r="DZ3" s="9"/>
      <c r="EA3" s="9"/>
      <c r="EB3" s="9"/>
      <c r="EC3" s="9"/>
      <c r="ED3" s="10"/>
      <c r="EE3" s="10"/>
      <c r="EF3" s="23" t="s">
        <v>11</v>
      </c>
      <c r="EG3" s="23" t="s">
        <v>12</v>
      </c>
      <c r="EH3" s="23" t="s">
        <v>4</v>
      </c>
      <c r="EI3" s="23" t="s">
        <v>13</v>
      </c>
      <c r="EJ3" s="28" t="s">
        <v>22</v>
      </c>
      <c r="EK3" s="23" t="s">
        <v>11</v>
      </c>
      <c r="EL3" s="23" t="s">
        <v>12</v>
      </c>
      <c r="EM3" s="23" t="s">
        <v>4</v>
      </c>
      <c r="EN3" s="23" t="s">
        <v>13</v>
      </c>
      <c r="EO3" s="28" t="s">
        <v>22</v>
      </c>
      <c r="EP3" s="23" t="s">
        <v>11</v>
      </c>
      <c r="EQ3" s="23" t="s">
        <v>12</v>
      </c>
      <c r="ER3" s="23" t="s">
        <v>4</v>
      </c>
      <c r="ES3" s="23" t="s">
        <v>13</v>
      </c>
      <c r="ET3" s="29" t="s">
        <v>22</v>
      </c>
      <c r="EU3" s="13"/>
      <c r="EV3" s="12"/>
      <c r="EW3" s="12"/>
      <c r="EX3" s="12"/>
      <c r="EY3" s="12"/>
      <c r="EZ3" s="13"/>
      <c r="FA3" s="13"/>
      <c r="FB3" s="22" t="s">
        <v>11</v>
      </c>
      <c r="FC3" s="22" t="s">
        <v>12</v>
      </c>
      <c r="FD3" s="22" t="s">
        <v>4</v>
      </c>
      <c r="FE3" s="22" t="s">
        <v>13</v>
      </c>
      <c r="FF3" s="27" t="s">
        <v>22</v>
      </c>
      <c r="FG3" s="22" t="s">
        <v>11</v>
      </c>
      <c r="FH3" s="22" t="s">
        <v>12</v>
      </c>
      <c r="FI3" s="22" t="s">
        <v>4</v>
      </c>
      <c r="FJ3" s="22" t="s">
        <v>13</v>
      </c>
      <c r="FK3" s="27" t="s">
        <v>22</v>
      </c>
      <c r="FL3" s="22" t="s">
        <v>11</v>
      </c>
      <c r="FM3" s="22" t="s">
        <v>12</v>
      </c>
      <c r="FN3" s="22" t="s">
        <v>4</v>
      </c>
      <c r="FO3" s="22" t="s">
        <v>13</v>
      </c>
      <c r="FP3" s="27" t="s">
        <v>22</v>
      </c>
      <c r="FQ3" s="10"/>
      <c r="FR3" s="9"/>
      <c r="FS3" s="9"/>
      <c r="FT3" s="9"/>
      <c r="FU3" s="9"/>
      <c r="FV3" s="10"/>
      <c r="FW3" s="10"/>
      <c r="FX3" s="23" t="s">
        <v>11</v>
      </c>
      <c r="FY3" s="23" t="s">
        <v>12</v>
      </c>
      <c r="FZ3" s="23" t="s">
        <v>4</v>
      </c>
      <c r="GA3" s="23" t="s">
        <v>13</v>
      </c>
      <c r="GB3" s="28" t="s">
        <v>22</v>
      </c>
      <c r="GC3" s="23" t="s">
        <v>11</v>
      </c>
      <c r="GD3" s="23" t="s">
        <v>12</v>
      </c>
      <c r="GE3" s="23" t="s">
        <v>4</v>
      </c>
      <c r="GF3" s="23" t="s">
        <v>13</v>
      </c>
      <c r="GG3" s="28" t="s">
        <v>22</v>
      </c>
      <c r="GH3" s="23" t="s">
        <v>11</v>
      </c>
      <c r="GI3" s="23" t="s">
        <v>12</v>
      </c>
      <c r="GJ3" s="23" t="s">
        <v>4</v>
      </c>
      <c r="GK3" s="23" t="s">
        <v>13</v>
      </c>
      <c r="GL3" s="28" t="s">
        <v>22</v>
      </c>
      <c r="GM3" s="13"/>
      <c r="GN3" s="12"/>
      <c r="GO3" s="12"/>
      <c r="GP3" s="12"/>
      <c r="GQ3" s="12"/>
      <c r="GR3" s="13"/>
      <c r="GS3" s="13"/>
      <c r="GT3" s="22" t="s">
        <v>11</v>
      </c>
      <c r="GU3" s="22" t="s">
        <v>12</v>
      </c>
      <c r="GV3" s="22" t="s">
        <v>4</v>
      </c>
      <c r="GW3" s="22" t="s">
        <v>13</v>
      </c>
      <c r="GX3" s="27" t="s">
        <v>22</v>
      </c>
      <c r="GY3" s="22" t="s">
        <v>11</v>
      </c>
      <c r="GZ3" s="22" t="s">
        <v>12</v>
      </c>
      <c r="HA3" s="22" t="s">
        <v>4</v>
      </c>
      <c r="HB3" s="22" t="s">
        <v>13</v>
      </c>
      <c r="HC3" s="27" t="s">
        <v>22</v>
      </c>
      <c r="HD3" s="22" t="s">
        <v>11</v>
      </c>
      <c r="HE3" s="22" t="s">
        <v>12</v>
      </c>
      <c r="HF3" s="22" t="s">
        <v>4</v>
      </c>
      <c r="HG3" s="22" t="s">
        <v>13</v>
      </c>
      <c r="HH3" s="27" t="s">
        <v>22</v>
      </c>
      <c r="HI3" s="10"/>
      <c r="HJ3" s="9"/>
      <c r="HK3" s="9"/>
      <c r="HL3" s="9"/>
      <c r="HM3" s="9"/>
      <c r="HN3" s="10"/>
      <c r="HO3" s="10"/>
      <c r="HP3" s="23" t="s">
        <v>11</v>
      </c>
      <c r="HQ3" s="23" t="s">
        <v>12</v>
      </c>
      <c r="HR3" s="23" t="s">
        <v>4</v>
      </c>
      <c r="HS3" s="23" t="s">
        <v>13</v>
      </c>
      <c r="HT3" s="28" t="s">
        <v>22</v>
      </c>
      <c r="HU3" s="23" t="s">
        <v>11</v>
      </c>
      <c r="HV3" s="23" t="s">
        <v>12</v>
      </c>
      <c r="HW3" s="23" t="s">
        <v>4</v>
      </c>
      <c r="HX3" s="23" t="s">
        <v>13</v>
      </c>
      <c r="HY3" s="28" t="s">
        <v>22</v>
      </c>
      <c r="HZ3" s="23" t="s">
        <v>11</v>
      </c>
      <c r="IA3" s="23" t="s">
        <v>12</v>
      </c>
      <c r="IB3" s="23" t="s">
        <v>4</v>
      </c>
      <c r="IC3" s="23" t="s">
        <v>13</v>
      </c>
      <c r="ID3" s="28" t="s">
        <v>22</v>
      </c>
      <c r="IE3" s="13"/>
      <c r="IF3" s="12"/>
      <c r="IG3" s="12"/>
      <c r="IH3" s="12"/>
      <c r="II3" s="12"/>
      <c r="IJ3" s="13"/>
      <c r="IK3" s="13"/>
      <c r="IL3" s="22" t="s">
        <v>11</v>
      </c>
      <c r="IM3" s="22" t="s">
        <v>12</v>
      </c>
      <c r="IN3" s="22" t="s">
        <v>4</v>
      </c>
      <c r="IO3" s="22" t="s">
        <v>13</v>
      </c>
      <c r="IP3" s="27" t="s">
        <v>22</v>
      </c>
      <c r="IQ3" s="22" t="s">
        <v>11</v>
      </c>
      <c r="IR3" s="22" t="s">
        <v>12</v>
      </c>
      <c r="IS3" s="22" t="s">
        <v>4</v>
      </c>
      <c r="IT3" s="22" t="s">
        <v>13</v>
      </c>
      <c r="IU3" s="27" t="s">
        <v>22</v>
      </c>
      <c r="IV3" s="22" t="s">
        <v>11</v>
      </c>
      <c r="IW3" s="22" t="s">
        <v>12</v>
      </c>
      <c r="IX3" s="22" t="s">
        <v>4</v>
      </c>
      <c r="IY3" s="22" t="s">
        <v>13</v>
      </c>
      <c r="IZ3" s="27" t="s">
        <v>22</v>
      </c>
      <c r="JA3" s="10"/>
      <c r="JB3" s="9"/>
      <c r="JC3" s="9"/>
      <c r="JD3" s="9"/>
      <c r="JE3" s="9"/>
      <c r="JF3" s="10"/>
      <c r="JG3" s="10"/>
      <c r="JH3" s="23" t="s">
        <v>11</v>
      </c>
      <c r="JI3" s="23" t="s">
        <v>12</v>
      </c>
      <c r="JJ3" s="23" t="s">
        <v>4</v>
      </c>
      <c r="JK3" s="23" t="s">
        <v>13</v>
      </c>
      <c r="JL3" s="28" t="s">
        <v>22</v>
      </c>
      <c r="JM3" s="23" t="s">
        <v>11</v>
      </c>
      <c r="JN3" s="23" t="s">
        <v>12</v>
      </c>
      <c r="JO3" s="23" t="s">
        <v>4</v>
      </c>
      <c r="JP3" s="23" t="s">
        <v>13</v>
      </c>
      <c r="JQ3" s="28" t="s">
        <v>22</v>
      </c>
      <c r="JR3" s="23" t="s">
        <v>11</v>
      </c>
      <c r="JS3" s="23" t="s">
        <v>12</v>
      </c>
      <c r="JT3" s="23" t="s">
        <v>4</v>
      </c>
      <c r="JU3" s="23" t="s">
        <v>13</v>
      </c>
      <c r="JV3" s="28" t="s">
        <v>22</v>
      </c>
      <c r="JW3" s="13"/>
      <c r="JX3" s="12"/>
      <c r="JY3" s="12"/>
      <c r="JZ3" s="12"/>
      <c r="KA3" s="12"/>
      <c r="KB3" s="13"/>
      <c r="KC3" s="13"/>
      <c r="KD3" s="22" t="s">
        <v>11</v>
      </c>
      <c r="KE3" s="22" t="s">
        <v>12</v>
      </c>
      <c r="KF3" s="22" t="s">
        <v>4</v>
      </c>
      <c r="KG3" s="22" t="s">
        <v>13</v>
      </c>
      <c r="KH3" s="27" t="s">
        <v>22</v>
      </c>
      <c r="KI3" s="22" t="s">
        <v>11</v>
      </c>
      <c r="KJ3" s="22" t="s">
        <v>12</v>
      </c>
      <c r="KK3" s="22" t="s">
        <v>4</v>
      </c>
      <c r="KL3" s="22" t="s">
        <v>13</v>
      </c>
      <c r="KM3" s="27" t="s">
        <v>22</v>
      </c>
      <c r="KN3" s="22" t="s">
        <v>11</v>
      </c>
      <c r="KO3" s="22" t="s">
        <v>12</v>
      </c>
      <c r="KP3" s="22" t="s">
        <v>4</v>
      </c>
      <c r="KQ3" s="22" t="s">
        <v>13</v>
      </c>
      <c r="KR3" s="27" t="s">
        <v>22</v>
      </c>
      <c r="KS3" s="10"/>
      <c r="KT3" s="9"/>
      <c r="KU3" s="9"/>
      <c r="KV3" s="9"/>
      <c r="KW3" s="9"/>
      <c r="KX3" s="10"/>
      <c r="KY3" s="10"/>
      <c r="KZ3" s="23" t="s">
        <v>11</v>
      </c>
      <c r="LA3" s="23" t="s">
        <v>12</v>
      </c>
      <c r="LB3" s="23" t="s">
        <v>4</v>
      </c>
      <c r="LC3" s="23" t="s">
        <v>13</v>
      </c>
      <c r="LD3" s="28" t="s">
        <v>22</v>
      </c>
      <c r="LE3" s="23" t="s">
        <v>11</v>
      </c>
      <c r="LF3" s="23" t="s">
        <v>12</v>
      </c>
      <c r="LG3" s="23" t="s">
        <v>4</v>
      </c>
      <c r="LH3" s="23" t="s">
        <v>13</v>
      </c>
      <c r="LI3" s="28" t="s">
        <v>22</v>
      </c>
      <c r="LJ3" s="23" t="s">
        <v>11</v>
      </c>
      <c r="LK3" s="23" t="s">
        <v>12</v>
      </c>
      <c r="LL3" s="23" t="s">
        <v>4</v>
      </c>
      <c r="LM3" s="23" t="s">
        <v>13</v>
      </c>
      <c r="LN3" s="28" t="s">
        <v>22</v>
      </c>
      <c r="LO3" s="13"/>
      <c r="LP3" s="12"/>
      <c r="LQ3" s="12"/>
      <c r="LR3" s="12"/>
      <c r="LS3" s="12"/>
      <c r="LT3" s="13"/>
      <c r="LU3" s="13"/>
      <c r="LV3" s="22" t="s">
        <v>11</v>
      </c>
      <c r="LW3" s="22" t="s">
        <v>12</v>
      </c>
      <c r="LX3" s="22" t="s">
        <v>4</v>
      </c>
      <c r="LY3" s="22" t="s">
        <v>13</v>
      </c>
      <c r="LZ3" s="27" t="s">
        <v>22</v>
      </c>
      <c r="MA3" s="22" t="s">
        <v>11</v>
      </c>
      <c r="MB3" s="22" t="s">
        <v>12</v>
      </c>
      <c r="MC3" s="22" t="s">
        <v>4</v>
      </c>
      <c r="MD3" s="22" t="s">
        <v>13</v>
      </c>
      <c r="ME3" s="27" t="s">
        <v>22</v>
      </c>
      <c r="MF3" s="22" t="s">
        <v>11</v>
      </c>
      <c r="MG3" s="22" t="s">
        <v>12</v>
      </c>
      <c r="MH3" s="22" t="s">
        <v>4</v>
      </c>
      <c r="MI3" s="22" t="s">
        <v>13</v>
      </c>
      <c r="MJ3" s="27" t="s">
        <v>22</v>
      </c>
      <c r="MK3" s="10"/>
      <c r="ML3" s="9"/>
      <c r="MM3" s="9"/>
      <c r="MN3" s="9"/>
      <c r="MO3" s="9"/>
      <c r="MP3" s="10"/>
      <c r="MQ3" s="10"/>
      <c r="MR3" s="23" t="s">
        <v>11</v>
      </c>
      <c r="MS3" s="23" t="s">
        <v>12</v>
      </c>
      <c r="MT3" s="23" t="s">
        <v>4</v>
      </c>
      <c r="MU3" s="23" t="s">
        <v>13</v>
      </c>
      <c r="MV3" s="28" t="s">
        <v>22</v>
      </c>
      <c r="MW3" s="23" t="s">
        <v>11</v>
      </c>
      <c r="MX3" s="23" t="s">
        <v>12</v>
      </c>
      <c r="MY3" s="23" t="s">
        <v>4</v>
      </c>
      <c r="MZ3" s="23" t="s">
        <v>13</v>
      </c>
      <c r="NA3" s="28" t="s">
        <v>22</v>
      </c>
      <c r="NB3" s="23" t="s">
        <v>11</v>
      </c>
      <c r="NC3" s="23" t="s">
        <v>12</v>
      </c>
      <c r="ND3" s="23" t="s">
        <v>4</v>
      </c>
      <c r="NE3" s="23" t="s">
        <v>13</v>
      </c>
      <c r="NF3" s="28" t="s">
        <v>22</v>
      </c>
      <c r="NG3" s="13"/>
      <c r="NH3" s="12"/>
      <c r="NI3" s="12"/>
      <c r="NJ3" s="12"/>
      <c r="NK3" s="12"/>
      <c r="NL3" s="13"/>
      <c r="NM3" s="13"/>
      <c r="NN3" s="52" t="s">
        <v>11</v>
      </c>
      <c r="NO3" s="52" t="s">
        <v>12</v>
      </c>
      <c r="NP3" s="52" t="s">
        <v>4</v>
      </c>
      <c r="NQ3" s="52" t="s">
        <v>13</v>
      </c>
      <c r="NR3" s="52" t="s">
        <v>22</v>
      </c>
      <c r="NS3" s="56" t="s">
        <v>11</v>
      </c>
      <c r="NT3" s="56" t="s">
        <v>12</v>
      </c>
      <c r="NU3" s="56" t="s">
        <v>4</v>
      </c>
      <c r="NV3" s="56" t="s">
        <v>13</v>
      </c>
      <c r="NW3" s="56" t="s">
        <v>22</v>
      </c>
      <c r="NX3" s="52" t="s">
        <v>11</v>
      </c>
      <c r="NY3" s="52" t="s">
        <v>12</v>
      </c>
      <c r="NZ3" s="52" t="s">
        <v>4</v>
      </c>
      <c r="OA3" s="52" t="s">
        <v>13</v>
      </c>
      <c r="OB3" s="52" t="s">
        <v>22</v>
      </c>
      <c r="OC3" s="52" t="s">
        <v>11</v>
      </c>
      <c r="OD3" s="52" t="s">
        <v>12</v>
      </c>
      <c r="OE3" s="52" t="s">
        <v>4</v>
      </c>
      <c r="OF3" s="52" t="s">
        <v>13</v>
      </c>
      <c r="OG3" s="52" t="s">
        <v>22</v>
      </c>
      <c r="OH3" s="52" t="s">
        <v>43</v>
      </c>
      <c r="OI3" s="9"/>
      <c r="OJ3" s="9"/>
      <c r="OK3" s="9"/>
      <c r="OL3" s="9"/>
      <c r="OM3" s="9"/>
      <c r="ON3" s="9"/>
      <c r="OO3" s="9"/>
      <c r="OP3" s="10"/>
      <c r="OQ3" s="10"/>
    </row>
    <row r="4" spans="1:407" x14ac:dyDescent="0.2">
      <c r="A4" s="5" t="str" cm="1">
        <f t="array" ref="A4">IF(AND(F4&lt;&gt;"",G4&lt;&gt;""),SUMPRODUCT((F$4:F$5&lt;&gt;"")*(G$4:G$5&lt;&gt;"")*(E$4:E$5&gt;E4))+1,IF(G4&lt;&gt;"",SUMPRODUCT((H$4:H$5="No DD")*(E$4:E$5&gt;E4))+1+SUMPRODUCT((F$4:F$5&lt;&gt;"")*(G$4:G$5&lt;&gt;"")),""))</f>
        <v/>
      </c>
      <c r="B4" s="8" t="s">
        <v>73</v>
      </c>
      <c r="C4" s="4" t="s">
        <v>66</v>
      </c>
      <c r="D4" s="7">
        <v>2006</v>
      </c>
      <c r="E4" s="15">
        <f>SUM(I4:Q4)</f>
        <v>227.90500000000003</v>
      </c>
      <c r="F4" s="3" t="str">
        <f>IF(OR(AND(AP4&gt;=AW$7,AT4&gt;=AW$11,AO4&lt;&gt;"",AN4=""),AND(BT4&gt;=CA$7,BX4&gt;=CA$11,BS4&lt;&gt;"",BR4=""),AND(CX4&gt;=DE$7,DB4&gt;=DE$11,CW4&lt;&gt;"",CV4=""),AND(DY4&gt;=EE$7,EB4&gt;=EE$11,DY4&lt;&gt;""),AND(EU4&gt;=FA$7,EX4&gt;=FA$11,EU4&lt;&gt;""),AND(FQ4&gt;=FW$7,FT4&gt;=FW$11,FQ4&lt;&gt;""),AND(GM4&gt;=GS$7,GP4&gt;=GS$11,GM4&lt;&gt;""),AND(HI4&gt;=HO$7,HL4&gt;=HO$11,HI4&lt;&gt;""),AND(IE4&gt;=IK$7,IH4&gt;=IK$11,IE4&lt;&gt;""),AND(JA4&gt;=JG$7,JD4&gt;=JG$11,JA4&lt;&gt;""),AND(JW4&gt;=KC$7,JZ4&gt;=KC$11,JW4&lt;&gt;""),AND(KS4&gt;=KY$7,KV4&gt;=KY$11,KS4&lt;&gt;""),AND(LO4&gt;=LU$7,LR4&gt;=LU$11,LO4&lt;&gt;""),AND(MK4&gt;=MQ$7,MN4&gt;=MQ$11,MK4&lt;&gt;""),AND(NG4&gt;=NM$7,NJ4&gt;=NM$11,NG4&lt;&gt;"")),"P","")</f>
        <v/>
      </c>
      <c r="G4" s="3" t="str">
        <f>IF(OR(AND(AT4&gt;=AW$11,AO4&lt;&gt;"",AN4=""),AND(BX4&gt;=CA$11,BS4&lt;&gt;"",BR4=""),AND(DB4&gt;=DE$11,CW4&lt;&gt;"",CV4=""),AND(EB4&gt;=EE$11,DY4&lt;&gt;""),AND(EX4&gt;=FA$11,EU4&lt;&gt;""),AND(FT4&gt;=FW$11,FQ4&lt;&gt;""),AND(GP4&gt;=GS$11,GM4&lt;&gt;""),AND(HL4&gt;=HO$11,HI4&lt;&gt;""),AND(IH4&gt;=IK$11,IE4&lt;&gt;""),AND(JD4&gt;=JG$11,JA4&lt;&gt;""),AND(JZ4&gt;=KC$11,JW4&lt;&gt;""),AND(KV4&gt;=KY$11,KS4&lt;&gt;""),AND(LR4&gt;=LU$11,LO4&lt;&gt;""),AND(MN4&gt;=MQ$11,MK4&lt;&gt;""),AND(NJ4&gt;=NM$11,NG4&lt;&gt;"")),"P","")</f>
        <v/>
      </c>
      <c r="H4" s="67" t="str">
        <f>IF(OR(AND(AP4&gt;=AW$10,AQ4&gt;=AW$14,AP4&lt;&gt;"",AN4=""),AND(AU4&gt;=AW$10,AV4&gt;=AW$14,AU4&lt;&gt;"",AN4=""),AND(BT4&gt;=CA$10,BU4&gt;=CA$14,BT4&lt;&gt;"",BR4=""),AND(BY4&gt;=CA$10,BZ4&gt;=CA$14,BY4&lt;&gt;"",BR4=""),AND(CX4&gt;=DE$10,CY4&gt;=DE$14,CX4&lt;&gt;"",CV4=""),AND(DC4&gt;=DE$10,DD4&gt;=DE$14,DC4&lt;&gt;"",CV4=""),AND(DY4&gt;=EE$10,EA4&gt;=EE$14,DY4&lt;&gt;""),AND(EC4&gt;=EE$10,ED4&gt;=EE$14,EC4&lt;&gt;""),AND(EU4&gt;=FA$10,EW4&gt;=FA$14,EU4&lt;&gt;""),AND(EY4&gt;=FA$10,EZ4&gt;=FA$14,EY4&lt;&gt;""),AND(FQ4&gt;=FW$10,FS4&gt;=FW$14,FQ4&lt;&gt;""),AND(FU4&gt;=FW$10,FV4&gt;=FW$14,FU4&lt;&gt;""),AND(GM4&gt;=GS$10,GO4&gt;=GS$14,GM4&lt;&gt;""),AND(GQ4&gt;=GS$10,GR4&gt;=GS$14,GQ4&lt;&gt;""),AND(HI4&gt;=HO$10,HK4&gt;=HO$14,HI4&lt;&gt;""),AND(HM4&gt;=HO$10,HN4&gt;=HO$14,HM4&lt;&gt;""),AND(IE4&gt;=IK$10,IG4&gt;=IK$14,IE4&lt;&gt;""),AND(II4&gt;=IK$10,IJ4&gt;=IK$14,II4&lt;&gt;""),AND(JA4&gt;=JG$10,JC4&gt;=JG$14,JA4&lt;&gt;""),AND(JE4&gt;=JG$10,JF4&gt;=JG$14,JE4&lt;&gt;""),AND(JW4&gt;=KC$10,JY4&gt;=KC$14,JW4&lt;&gt;""),AND(KA4&gt;=KC$10,KB4&gt;=KC$14,KA4&lt;&gt;""),AND(KS4&gt;=KY$10,KU4&gt;=KY$14,KS4&lt;&gt;""),AND(KW4&gt;=KY$10,KX4&gt;=KY$14,KW4&lt;&gt;""),AND(LO4&gt;=LU$10,LQ4&gt;=LU$14,LO4&lt;&gt;""),AND(LS4&gt;=LU$10,LT4&gt;=LU$14,LS4&lt;&gt;""),AND(MK4&gt;=MQ$10,MM4&gt;=MQ$14,MK4&lt;&gt;""),AND(MO4&gt;=MQ$10,MP4&gt;=MQ$14,MO4&lt;&gt;""),AND(NG4&gt;=NM$10,NI4&gt;=NM$14,NG4&lt;&gt;""),AND(NK4&gt;=NM$10,NL4&gt;=NM$14,NK4&lt;&gt;"")),"Merit",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Excellence",IF(OR(AND(AP4&gt;=AW$7,AT4&gt;=AW$11,AO4&lt;&gt;"",AN4=""),AND(BT4&gt;=CA$7,BX4&gt;=CA$11,BS4&lt;&gt;"",BR4=""),AND(CX4&gt;=DE$7,DB4&gt;=DE$11,CW4&lt;&gt;"",CV4=""),AND(DY4&gt;=EE$7,EB4&gt;=EE$11,DY4&lt;&gt;""),AND(EU4&gt;=FA$7,EX4&gt;=FA$11,EU4&lt;&gt;""),AND(FQ4&gt;=FW$7,FT4&gt;=FW$11,FQ4&lt;&gt;""),AND(GM4&gt;=GS$7,GP4&gt;=GS$11,GM4&lt;&gt;""),AND(HI4&gt;=HO$7,HL4&gt;=HO$11,HI4&lt;&gt;""),AND(IE4&gt;=IK$7,IH4&gt;=IK$11,IE4&lt;&gt;""),AND(JA4&gt;=JG$7,JD4&gt;=JG$11,JA4&lt;&gt;""),AND(JW4&gt;=KC$7,JZ4&gt;=KC$11,JW4&lt;&gt;""),AND(KS4&gt;=KY$7,KV4&gt;=KY$11,KS4&lt;&gt;""),AND(LO4&gt;=LU$7,LR4&gt;=LU$11,LO4&lt;&gt;""),AND(MK4&gt;=MQ$7,MN4&gt;=MQ$11,MK4&lt;&gt;""),AND(NG4&gt;=NM$7,NJ4&gt;=NM$11,NG4&lt;&gt;"")),"National Team",IF(G4="P","No DD",""))))</f>
        <v/>
      </c>
      <c r="I4" s="14">
        <f>IF(MAX(AT4,BX4,DB4)&gt;0,MAX(AT4,BX4,DB4),0)</f>
        <v>91.65</v>
      </c>
      <c r="J4" s="14" t="str">
        <f>IF(I4=0,"",IF(I4=DB4,$CB$1,IF(I4=BX4,$AX$1,IF(I4=AT4,$T$1,""))))</f>
        <v>2022 Elite Canada</v>
      </c>
      <c r="K4" s="14">
        <f>IF($I4=$AT4,MAX(BS4,CW4),IF($I4=$BX4,MAX(AO4,CW4),IF($I4=$DB4,MAX(AO4,BS4),MAX(AO4,BS4,CW4))))</f>
        <v>36.094999999999999</v>
      </c>
      <c r="L4" s="14" t="str">
        <f>IF(K4=0,"",IF(AND(K4=CW4,$J4&lt;&gt;$CB$1),$CB$1,IF(AND(K4=BS4,$J4&lt;&gt;$AX$1),$AX$1,IF(AND(K4=AO4,$J4&lt;&gt;$T$1),$T$1,""))))</f>
        <v>2021 Canadian Championships</v>
      </c>
      <c r="M4" s="14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50.335000000000001</v>
      </c>
      <c r="N4" s="14" t="str">
        <f>IF(M4=0,"",IF(AND(OR(M4=DA4,M4=CY4),$J4&lt;&gt;$CB$1),$CB$1,IF(AND(OR(M4=BW4,M4=BU4),$J4&lt;&gt;$AX$1),$AX$1,IF(AND(OR(M4=AS4,M4=AQ4),$J4&lt;&gt;$T$1),$T$1,""))))</f>
        <v>2021 Canadian Championships</v>
      </c>
      <c r="O4" s="14">
        <f>MAX(AV4,BZ4,DD4)</f>
        <v>49.825000000000003</v>
      </c>
      <c r="P4" s="14" t="str">
        <f>IF(O4=0,"",IF(O4=DD4,$CB$1,IF(O4=BZ4,$AX$1,IF(O4=AV4,$T$1,""))))</f>
        <v>2021 Canadian Championships</v>
      </c>
      <c r="Q4" s="14" t="str">
        <f>IF(MAX(DF4,DG4,DH4,DI4)&gt;0,MAX(DF4,DG4,DH4,DI4),"")</f>
        <v/>
      </c>
      <c r="R4" s="20" t="str">
        <f>IF(Q4="","",IF(Q4=DF4,"(Vol 1)",IF(Q4=DG4,"(Vol 2)",IF(Q4=DH4,"(Prelim)",IF(Q4=DI4,"(Final)")))))</f>
        <v/>
      </c>
      <c r="S4" s="14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45"/>
      <c r="AO4" s="11" t="str">
        <f>IF(SUM(T4:W4)-X4&gt;0,SUM(T4:W4)-X4,"")</f>
        <v/>
      </c>
      <c r="AP4" s="11" t="str">
        <f>IF(AA4&gt;0,AA4,"")</f>
        <v/>
      </c>
      <c r="AQ4" s="11" t="str">
        <f>IF(SUM(Y4:AB4)-AC4&gt;0,SUM(Y4:AB4)-AC4,"")</f>
        <v/>
      </c>
      <c r="AR4" s="11" t="str">
        <f>IF(AF4&gt;0,AF4,"")</f>
        <v/>
      </c>
      <c r="AS4" s="11" t="str">
        <f>IF(SUM(AD4:AG4)-AH4&gt;0,SUM(AD4:AG4)-AH4,"")</f>
        <v/>
      </c>
      <c r="AT4" s="11" t="str">
        <f>IF(AO4="",IF(MAX(AQ4,AS4)&gt;0,MAX(AQ4,AS4),""),MAX(AQ4,AS4)+AO4)</f>
        <v/>
      </c>
      <c r="AU4" s="11" t="str">
        <f>IF(AK4&gt;0,AK4,"")</f>
        <v/>
      </c>
      <c r="AV4" s="11" t="str">
        <f>IF(SUM(AI4:AL4)-AM4&gt;0,SUM(AI4:AL4)-AM4,"")</f>
        <v/>
      </c>
      <c r="AW4" s="11" t="str">
        <f>IF(SUM(AT4,AV4)&gt;0,SUM(AT4,AV4),"")</f>
        <v/>
      </c>
      <c r="AX4" s="34">
        <v>13.9</v>
      </c>
      <c r="AY4" s="34">
        <v>8.6999999999999993</v>
      </c>
      <c r="AZ4" s="34">
        <v>0</v>
      </c>
      <c r="BA4" s="34">
        <v>13.494999999999999</v>
      </c>
      <c r="BB4" s="34">
        <v>0</v>
      </c>
      <c r="BC4" s="34">
        <v>15.6</v>
      </c>
      <c r="BD4" s="34">
        <v>9.6</v>
      </c>
      <c r="BE4" s="34">
        <v>9.6999999999999993</v>
      </c>
      <c r="BF4" s="34">
        <v>15.435</v>
      </c>
      <c r="BG4" s="34">
        <v>0</v>
      </c>
      <c r="BH4" s="34"/>
      <c r="BI4" s="34"/>
      <c r="BJ4" s="34"/>
      <c r="BK4" s="34"/>
      <c r="BL4" s="34"/>
      <c r="BM4" s="34">
        <v>15.4</v>
      </c>
      <c r="BN4" s="34">
        <v>9.8000000000000007</v>
      </c>
      <c r="BO4" s="34">
        <v>9.6999999999999993</v>
      </c>
      <c r="BP4" s="34">
        <v>14.925000000000001</v>
      </c>
      <c r="BQ4" s="34">
        <v>0</v>
      </c>
      <c r="BR4" s="46"/>
      <c r="BS4" s="14">
        <f>IF(SUM(AX4:BA4)-BB4&gt;0,SUM(AX4:BA4)-BB4,"")</f>
        <v>36.094999999999999</v>
      </c>
      <c r="BT4" s="14">
        <f>IF(BE4&gt;0,BE4,"")</f>
        <v>9.6999999999999993</v>
      </c>
      <c r="BU4" s="14">
        <f>IF(SUM(BC4:BF4)-BG4&gt;0,SUM(BC4:BF4)-BG4,"")</f>
        <v>50.335000000000001</v>
      </c>
      <c r="BV4" s="14" t="str">
        <f>IF(BJ4&gt;0,BJ4,"")</f>
        <v/>
      </c>
      <c r="BW4" s="14" t="str">
        <f>IF(SUM(BH4:BK4)-BL4&gt;0,SUM(BH4:BK4)-BL4,"")</f>
        <v/>
      </c>
      <c r="BX4" s="14">
        <f>IF(BS4="",IF(MAX(BU4,BW4)&gt;0,MAX(BU4,BW4),""),MAX(BU4,BW4)+BS4)</f>
        <v>86.43</v>
      </c>
      <c r="BY4" s="14">
        <f>IF(BO4&gt;0,BO4,"")</f>
        <v>9.6999999999999993</v>
      </c>
      <c r="BZ4" s="14">
        <f>IF(SUM(BM4:BP4)-BQ4&gt;0,SUM(BM4:BP4)-BQ4,"")</f>
        <v>49.825000000000003</v>
      </c>
      <c r="CA4" s="14">
        <f>IF(SUM(BX4,BZ4)&gt;0,SUM(BX4,BZ4),"")</f>
        <v>136.255</v>
      </c>
      <c r="CB4" s="38">
        <v>16.899999999999999</v>
      </c>
      <c r="CC4" s="38">
        <v>9.3000000000000007</v>
      </c>
      <c r="CD4" s="38">
        <v>0</v>
      </c>
      <c r="CE4" s="38">
        <v>15.17</v>
      </c>
      <c r="CF4" s="38">
        <v>0</v>
      </c>
      <c r="CG4" s="38">
        <v>14.7</v>
      </c>
      <c r="CH4" s="38">
        <v>9.4</v>
      </c>
      <c r="CI4" s="38">
        <v>11.2</v>
      </c>
      <c r="CJ4" s="38">
        <v>14.98</v>
      </c>
      <c r="CK4" s="38">
        <v>0</v>
      </c>
      <c r="CL4" s="38"/>
      <c r="CM4" s="38"/>
      <c r="CN4" s="38"/>
      <c r="CO4" s="38"/>
      <c r="CP4" s="38"/>
      <c r="CQ4" s="38">
        <v>14.7</v>
      </c>
      <c r="CR4" s="38">
        <v>8.8000000000000007</v>
      </c>
      <c r="CS4" s="38">
        <v>11.2</v>
      </c>
      <c r="CT4" s="38">
        <v>15.1</v>
      </c>
      <c r="CU4" s="38">
        <v>0</v>
      </c>
      <c r="CV4" s="45"/>
      <c r="CW4" s="11">
        <f>IF(SUM(CB4:CE4)-CF4&gt;0,SUM(CB4:CE4)-CF4,"")</f>
        <v>41.37</v>
      </c>
      <c r="CX4" s="11">
        <f>IF(CI4&gt;0,CI4,"")</f>
        <v>11.2</v>
      </c>
      <c r="CY4" s="11">
        <f>IF(SUM(CG4:CJ4)-CK4&gt;0,SUM(CG4:CJ4)-CK4,"")</f>
        <v>50.28</v>
      </c>
      <c r="CZ4" s="11" t="str">
        <f>IF(CN4&gt;0,CN4,"")</f>
        <v/>
      </c>
      <c r="DA4" s="11" t="str">
        <f>IF(SUM(CL4:CO4)-CP4&gt;0,SUM(CL4:CO4)-CP4,"")</f>
        <v/>
      </c>
      <c r="DB4" s="11">
        <f>IF(CW4="",IF(MAX(CY4,DA4)&gt;0,MAX(CY4,DA4),""),MAX(CY4,DA4)+CW4)</f>
        <v>91.65</v>
      </c>
      <c r="DC4" s="11">
        <f>IF(CS4&gt;0,CS4,"")</f>
        <v>11.2</v>
      </c>
      <c r="DD4" s="11">
        <f>IF(SUM(CQ4:CT4)-CU4&gt;0,SUM(CQ4:CT4)-CU4,"")</f>
        <v>49.800000000000004</v>
      </c>
      <c r="DE4" s="11">
        <f>IF(SUM(DB4,DD4)&gt;0,SUM(DB4,DD4),"")</f>
        <v>141.45000000000002</v>
      </c>
      <c r="DF4" s="19" t="str">
        <f>IF(MAX(DZ4,EV4,FR4,GN4,HJ4,IF4,JB4,JX4,KT4,LP4,ML4,NH4)-IF(K4="",0,K4)&gt;0.001,MAX(DZ4,EV4,FR4,GN4,HJ4,IF4,JB4,JX4,KT4,LP4,ML4,NH4)-IF(K4="",0,K4),"")</f>
        <v/>
      </c>
      <c r="DG4" s="19" t="str">
        <f>IF(MAX(EA4,EW4,FS4,GO4,HK4,IG4,JC4,JY4,KU4,LQ4,MM4,NI4)-IF(M4="",0,M4)&gt;0.001,MAX(EA4,EW4,FS4,GO4,HK4,IG4,JC4,JY4,KU4,LQ4,MM4,NI4)-IF(M4="",0,M4),"")</f>
        <v/>
      </c>
      <c r="DH4" s="19" t="str">
        <f>IF(MAX(EB4,EX4,FT4,GP4,HL4,IH4,JD4,JZ4,KV4,LR4,MN4,NJ4)-IF(I4="",0,I4)&gt;0.001,MAX(EB4,EX4,FT4,GP4,HL4,IH4,JD4,JZ4,KV4,LR4,MN4,NJ4)-IF(I4="",0,I4),"")</f>
        <v/>
      </c>
      <c r="DI4" s="19" t="str">
        <f>IF(MAX(ED4,EZ4,FV4,GR4,HN4,IJ4,JF4,KB4,KX4,LT4,MP4,NL4)-IF(O4="",0,O4)&gt;0.001,MAX(ED4,EZ4,FV4,GR4,HN4,IJ4,JF4,KB4,KX4,LT4,MP4,NL4)-IF(O4="",0,O4),"")</f>
        <v/>
      </c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11" t="str">
        <f>IF(DQ4&gt;0,DQ4,"")</f>
        <v/>
      </c>
      <c r="DZ4" s="11" t="str">
        <f>IF(SUM(DJ4:DM4)-DN4&gt;0,SUM(DJ4:DM4)-DN4,"")</f>
        <v/>
      </c>
      <c r="EA4" s="11" t="str">
        <f>IF(SUM(DO4:DR4)-DS4&gt;0,SUM(DO4:DR4)-DS4,"")</f>
        <v/>
      </c>
      <c r="EB4" s="11" t="str">
        <f>IF(SUM(DZ4:EA4)&gt;0,SUM(DZ4:EA4),"")</f>
        <v/>
      </c>
      <c r="EC4" s="11" t="str">
        <f>IF(DV4&gt;0,DV4,"")</f>
        <v/>
      </c>
      <c r="ED4" s="11" t="str">
        <f>IF(SUM(DT4:DW4)-DX4&gt;0,SUM(DT4:DW4)-DX4,"")</f>
        <v/>
      </c>
      <c r="EE4" s="11" t="str">
        <f>IF(SUM(EB4,ED4)&gt;0,SUM(EB4,ED4),"")</f>
        <v/>
      </c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14" t="str">
        <f>IF(EM4&gt;0,EM4,"")</f>
        <v/>
      </c>
      <c r="EV4" s="14" t="str">
        <f>IF(SUM(EF4:EI4)-EJ4&gt;0,SUM(EF4:EI4)-EJ4,"")</f>
        <v/>
      </c>
      <c r="EW4" s="14" t="str">
        <f>IF(SUM(EK4:EN4)-EO4&gt;0,SUM(EK4:EN4)-EO4,"")</f>
        <v/>
      </c>
      <c r="EX4" s="14" t="str">
        <f>IF(SUM(EV4:EW4)&gt;0,SUM(EV4:EW4),"")</f>
        <v/>
      </c>
      <c r="EY4" s="14" t="str">
        <f>IF(ER4&gt;0,ER4,"")</f>
        <v/>
      </c>
      <c r="EZ4" s="14" t="str">
        <f>IF(SUM(EP4:ES4)-ET4&gt;0,SUM(EP4:ES4)-ET4,"")</f>
        <v/>
      </c>
      <c r="FA4" s="14" t="str">
        <f>IF(SUM(EX4,EZ4)&gt;0,SUM(EX4,EZ4),"")</f>
        <v/>
      </c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11" t="str">
        <f>IF(FI4&gt;0,FI4,"")</f>
        <v/>
      </c>
      <c r="FR4" s="11" t="str">
        <f>IF(SUM(FB4:FE4)-FF4&gt;0,SUM(FB4:FE4)-FF4,"")</f>
        <v/>
      </c>
      <c r="FS4" s="11" t="str">
        <f>IF(SUM(FG4:FJ4)-FK4&gt;0,SUM(FG4:FJ4)-FK4,"")</f>
        <v/>
      </c>
      <c r="FT4" s="11" t="str">
        <f>IF(SUM(FR4:FS4)&gt;0,SUM(FR4:FS4),"")</f>
        <v/>
      </c>
      <c r="FU4" s="11" t="str">
        <f>IF(FN4&gt;0,FN4,"")</f>
        <v/>
      </c>
      <c r="FV4" s="11" t="str">
        <f>IF(SUM(FL4:FO4)-FP4&gt;0,SUM(FL4:FO4)-FP4,"")</f>
        <v/>
      </c>
      <c r="FW4" s="11" t="str">
        <f>IF(SUM(FT4,FV4)&gt;0,SUM(FT4,FV4),"")</f>
        <v/>
      </c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14" t="str">
        <f>IF(GE4&gt;0,GE4,"")</f>
        <v/>
      </c>
      <c r="GN4" s="14" t="str">
        <f>IF(SUM(FX4:GA4)-GB4&gt;0,SUM(FX4:GA4)-GB4,"")</f>
        <v/>
      </c>
      <c r="GO4" s="14" t="str">
        <f>IF(SUM(GC4:GF4)-GG4&gt;0,SUM(GC4:GF4)-GG4,"")</f>
        <v/>
      </c>
      <c r="GP4" s="14" t="str">
        <f>IF(SUM(GN4:GO4)&gt;0,SUM(GN4:GO4),"")</f>
        <v/>
      </c>
      <c r="GQ4" s="14" t="str">
        <f>IF(GJ4&gt;0,GJ4,"")</f>
        <v/>
      </c>
      <c r="GR4" s="14" t="str">
        <f>IF(SUM(GH4:GK4)-GL4&gt;0,SUM(GH4:GK4)-GL4,"")</f>
        <v/>
      </c>
      <c r="GS4" s="14" t="str">
        <f>IF(SUM(GP4,GR4)&gt;0,SUM(GP4,GR4),"")</f>
        <v/>
      </c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11" t="str">
        <f>IF(HA4&gt;0,HA4,"")</f>
        <v/>
      </c>
      <c r="HJ4" s="11" t="str">
        <f>IF(SUM(GT4:GW4)-GX4&gt;0,SUM(GT4:GW4)-GX4,"")</f>
        <v/>
      </c>
      <c r="HK4" s="11" t="str">
        <f>IF(SUM(GY4:HB4)-HC4&gt;0,SUM(GY4:HB4)-HC4,"")</f>
        <v/>
      </c>
      <c r="HL4" s="11" t="str">
        <f>IF(SUM(HJ4:HK4)&gt;0,SUM(HJ4:HK4),"")</f>
        <v/>
      </c>
      <c r="HM4" s="11" t="str">
        <f>IF(HF4&gt;0,HF4,"")</f>
        <v/>
      </c>
      <c r="HN4" s="11" t="str">
        <f>IF(SUM(HD4:HG4)-HH4&gt;0,SUM(HD4:HG4)-HH4,"")</f>
        <v/>
      </c>
      <c r="HO4" s="11" t="str">
        <f>IF(SUM(HL4,HN4)&gt;0,SUM(HL4,HN4),"")</f>
        <v/>
      </c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14" t="str">
        <f>IF(HW4&gt;0,HW4,"")</f>
        <v/>
      </c>
      <c r="IF4" s="14" t="str">
        <f>IF(SUM(HP4:HS4)-HT4&gt;0,SUM(HP4:HS4)-HT4,"")</f>
        <v/>
      </c>
      <c r="IG4" s="14" t="str">
        <f>IF(SUM(HU4:HX4)-HY4&gt;0,SUM(HU4:HX4)-HY4,"")</f>
        <v/>
      </c>
      <c r="IH4" s="14" t="str">
        <f>IF(SUM(IF4:IG4)&gt;0,SUM(IF4:IG4),"")</f>
        <v/>
      </c>
      <c r="II4" s="14" t="str">
        <f>IF(IB4&gt;0,IB4,"")</f>
        <v/>
      </c>
      <c r="IJ4" s="14" t="str">
        <f>IF(SUM(HZ4:IC4)-ID4&gt;0,SUM(HZ4:IC4)-ID4,"")</f>
        <v/>
      </c>
      <c r="IK4" s="14" t="str">
        <f>IF(SUM(IH4,IJ4)&gt;0,SUM(IH4,IJ4),"")</f>
        <v/>
      </c>
      <c r="IL4" s="24"/>
      <c r="IM4" s="24"/>
      <c r="IN4" s="24"/>
      <c r="IO4" s="24"/>
      <c r="IP4" s="24"/>
      <c r="IQ4" s="24"/>
      <c r="IR4" s="24"/>
      <c r="IS4" s="24"/>
      <c r="IT4" s="24"/>
      <c r="IU4" s="24"/>
      <c r="IV4" s="24"/>
      <c r="IW4" s="24"/>
      <c r="IX4" s="24"/>
      <c r="IY4" s="24"/>
      <c r="IZ4" s="24"/>
      <c r="JA4" s="11" t="str">
        <f>IF(IS4&gt;0,IS4,"")</f>
        <v/>
      </c>
      <c r="JB4" s="11" t="str">
        <f>IF(SUM(IL4:IO4)-IP4&gt;0,SUM(IL4:IO4)-IP4,"")</f>
        <v/>
      </c>
      <c r="JC4" s="11" t="str">
        <f>IF(SUM(IQ4:IT4)-IU4&gt;0,SUM(IQ4:IT4)-IU4,"")</f>
        <v/>
      </c>
      <c r="JD4" s="11" t="str">
        <f>IF(SUM(JB4:JC4)&gt;0,SUM(JB4:JC4),"")</f>
        <v/>
      </c>
      <c r="JE4" s="11" t="str">
        <f>IF(IX4&gt;0,IX4,"")</f>
        <v/>
      </c>
      <c r="JF4" s="11" t="str">
        <f>IF(SUM(IV4:IY4)-IZ4&gt;0,SUM(IV4:IY4)-IZ4,"")</f>
        <v/>
      </c>
      <c r="JG4" s="11" t="str">
        <f>IF(SUM(JD4,JF4)&gt;0,SUM(JD4,JF4),"")</f>
        <v/>
      </c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14" t="str">
        <f>IF(JO4&gt;0,JO4,"")</f>
        <v/>
      </c>
      <c r="JX4" s="14" t="str">
        <f>IF(SUM(JH4:JK4)-JL4&gt;0,SUM(JH4:JK4)-JL4,"")</f>
        <v/>
      </c>
      <c r="JY4" s="14" t="str">
        <f>IF(SUM(JM4:JP4)-JQ4&gt;0,SUM(JM4:JP4)-JQ4,"")</f>
        <v/>
      </c>
      <c r="JZ4" s="14" t="str">
        <f>IF(SUM(JX4:JY4)&gt;0,SUM(JX4:JY4),"")</f>
        <v/>
      </c>
      <c r="KA4" s="14" t="str">
        <f>IF(JT4&gt;0,JT4,"")</f>
        <v/>
      </c>
      <c r="KB4" s="14" t="str">
        <f>IF(SUM(JR4:JU4)-JV4&gt;0,SUM(JR4:JU4)-JV4,"")</f>
        <v/>
      </c>
      <c r="KC4" s="14" t="str">
        <f>IF(SUM(JZ4,KB4)&gt;0,SUM(JZ4,KB4),"")</f>
        <v/>
      </c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24"/>
      <c r="KO4" s="24"/>
      <c r="KP4" s="24"/>
      <c r="KQ4" s="24"/>
      <c r="KR4" s="24"/>
      <c r="KS4" s="11" t="str">
        <f>IF(KK4&gt;0,KK4,"")</f>
        <v/>
      </c>
      <c r="KT4" s="11" t="str">
        <f>IF(SUM(KD4:KG4)-KH4&gt;0,SUM(KD4:KG4)-KH4,"")</f>
        <v/>
      </c>
      <c r="KU4" s="11" t="str">
        <f>IF(SUM(KI4:KL4)-KM4&gt;0,SUM(KI4:KL4)-KM4,"")</f>
        <v/>
      </c>
      <c r="KV4" s="11" t="str">
        <f>IF(SUM(KT4:KU4)&gt;0,SUM(KT4:KU4),"")</f>
        <v/>
      </c>
      <c r="KW4" s="11" t="str">
        <f>IF(KP4&gt;0,KP4,"")</f>
        <v/>
      </c>
      <c r="KX4" s="11" t="str">
        <f>IF(SUM(KN4:KQ4)-KR4&gt;0,SUM(KN4:KQ4)-KR4,"")</f>
        <v/>
      </c>
      <c r="KY4" s="11" t="str">
        <f>IF(SUM(KV4,KX4)&gt;0,SUM(KV4,KX4),"")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14" t="str">
        <f>IF(LG4&gt;0,LG4,"")</f>
        <v/>
      </c>
      <c r="LP4" s="14" t="str">
        <f>IF(SUM(KZ4:LC4)-LD4&gt;0,SUM(KZ4:LC4)-LD4,"")</f>
        <v/>
      </c>
      <c r="LQ4" s="14" t="str">
        <f>IF(SUM(LE4:LH4)-LI4&gt;0,SUM(LE4:LH4)-LI4,"")</f>
        <v/>
      </c>
      <c r="LR4" s="14" t="str">
        <f>IF(SUM(LP4:LQ4)&gt;0,SUM(LP4:LQ4),"")</f>
        <v/>
      </c>
      <c r="LS4" s="14" t="str">
        <f>IF(LL4&gt;0,LL4,"")</f>
        <v/>
      </c>
      <c r="LT4" s="14" t="str">
        <f>IF(SUM(LJ4:LM4)-LN4&gt;0,SUM(LJ4:LM4)-LN4,"")</f>
        <v/>
      </c>
      <c r="LU4" s="14" t="str">
        <f>IF(SUM(LR4,LT4)&gt;0,SUM(LR4,LT4),"")</f>
        <v/>
      </c>
      <c r="LV4" s="24"/>
      <c r="LW4" s="24"/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11" t="str">
        <f>IF(MC4&gt;0,MC4,"")</f>
        <v/>
      </c>
      <c r="ML4" s="11" t="str">
        <f>IF(SUM(LV4:LY4)-LZ4&gt;0,SUM(LV4:LY4)-LZ4,"")</f>
        <v/>
      </c>
      <c r="MM4" s="11" t="str">
        <f>IF(SUM(MA4:MD4)-ME4&gt;0,SUM(MA4:MD4)-ME4,"")</f>
        <v/>
      </c>
      <c r="MN4" s="11" t="str">
        <f>IF(SUM(ML4:MM4)&gt;0,SUM(ML4:MM4),"")</f>
        <v/>
      </c>
      <c r="MO4" s="11" t="str">
        <f>IF(MH4&gt;0,MH4,"")</f>
        <v/>
      </c>
      <c r="MP4" s="11" t="str">
        <f>IF(SUM(MF4:MI4)-MJ4&gt;0,SUM(MF4:MI4)-MJ4,"")</f>
        <v/>
      </c>
      <c r="MQ4" s="11" t="str">
        <f>IF(SUM(MN4,MP4)&gt;0,SUM(MN4,MP4),"")</f>
        <v/>
      </c>
      <c r="MR4" s="25"/>
      <c r="MS4" s="25"/>
      <c r="MT4" s="25"/>
      <c r="MU4" s="25"/>
      <c r="MV4" s="25"/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14" t="str">
        <f>IF(MY4&gt;0,MY4,"")</f>
        <v/>
      </c>
      <c r="NH4" s="14" t="str">
        <f>IF(SUM(MR4:MU4)-MV4&gt;0,SUM(MR4:MU4)-MV4,"")</f>
        <v/>
      </c>
      <c r="NI4" s="14" t="str">
        <f>IF(SUM(MW4:MZ4)-NA4&gt;0,SUM(MW4:MZ4)-NA4,"")</f>
        <v/>
      </c>
      <c r="NJ4" s="14" t="str">
        <f>IF(SUM(NH4:NI4)&gt;0,SUM(NH4:NI4),"")</f>
        <v/>
      </c>
      <c r="NK4" s="14" t="str">
        <f>IF(ND4&gt;0,ND4,"")</f>
        <v/>
      </c>
      <c r="NL4" s="14" t="str">
        <f>IF(SUM(NB4:NE4)-NF4&gt;0,SUM(NB4:NE4)-NF4,"")</f>
        <v/>
      </c>
      <c r="NM4" s="14" t="str">
        <f>IF(SUM(NJ4,NL4)&gt;0,SUM(NJ4,NL4),"")</f>
        <v/>
      </c>
      <c r="NN4" s="38">
        <f t="shared" ref="NN4:NW4" si="0">IF($CV4="P",CB4,(CB4+AX4)/2)</f>
        <v>15.399999999999999</v>
      </c>
      <c r="NO4" s="38">
        <f t="shared" si="0"/>
        <v>9</v>
      </c>
      <c r="NP4" s="38">
        <f t="shared" si="0"/>
        <v>0</v>
      </c>
      <c r="NQ4" s="38">
        <f t="shared" si="0"/>
        <v>14.3325</v>
      </c>
      <c r="NR4" s="38">
        <f t="shared" si="0"/>
        <v>0</v>
      </c>
      <c r="NS4" s="38">
        <f t="shared" si="0"/>
        <v>15.149999999999999</v>
      </c>
      <c r="NT4" s="38">
        <f t="shared" si="0"/>
        <v>9.5</v>
      </c>
      <c r="NU4" s="38">
        <f t="shared" si="0"/>
        <v>10.45</v>
      </c>
      <c r="NV4" s="38">
        <f t="shared" si="0"/>
        <v>15.2075</v>
      </c>
      <c r="NW4" s="38">
        <f t="shared" si="0"/>
        <v>0</v>
      </c>
      <c r="NX4" s="38">
        <f t="shared" ref="NX4:OG4" si="1">IF($CV4="P",CL4,(CL4+BH4)/2)</f>
        <v>0</v>
      </c>
      <c r="NY4" s="38">
        <f t="shared" si="1"/>
        <v>0</v>
      </c>
      <c r="NZ4" s="38">
        <f t="shared" si="1"/>
        <v>0</v>
      </c>
      <c r="OA4" s="38">
        <f t="shared" si="1"/>
        <v>0</v>
      </c>
      <c r="OB4" s="38">
        <f t="shared" si="1"/>
        <v>0</v>
      </c>
      <c r="OC4" s="38">
        <f t="shared" si="1"/>
        <v>15.05</v>
      </c>
      <c r="OD4" s="38">
        <f t="shared" si="1"/>
        <v>9.3000000000000007</v>
      </c>
      <c r="OE4" s="38">
        <f t="shared" si="1"/>
        <v>10.45</v>
      </c>
      <c r="OF4" s="38">
        <f t="shared" si="1"/>
        <v>15.012499999999999</v>
      </c>
      <c r="OG4" s="38">
        <f t="shared" si="1"/>
        <v>0</v>
      </c>
      <c r="OH4" s="45" t="s">
        <v>44</v>
      </c>
      <c r="OI4" s="11">
        <f>IF(SUM(NN4:NQ4)-NR4&gt;0,SUM(NN4:NQ4)-NR4,"")</f>
        <v>38.732500000000002</v>
      </c>
      <c r="OJ4" s="11">
        <f>IF(NU4&gt;0,NU4,"")</f>
        <v>10.45</v>
      </c>
      <c r="OK4" s="11">
        <f>IF(SUM(NS4:NV4)-NW4&gt;0,SUM(NS4:NV4)-NW4,"")</f>
        <v>50.30749999999999</v>
      </c>
      <c r="OL4" s="11" t="str">
        <f>IF(NZ4&gt;0,NZ4,"")</f>
        <v/>
      </c>
      <c r="OM4" s="11" t="str">
        <f>IF(SUM(NX4:OA4)-OB4&gt;0,SUM(NX4:OA4)-OB4,"")</f>
        <v/>
      </c>
      <c r="ON4" s="11">
        <f>IF(OR(OI4&lt;&gt;"",OK4&lt;&gt;"",OM4&lt;&gt;""),OI4+MAX(OK4,OM4),"")</f>
        <v>89.039999999999992</v>
      </c>
      <c r="OO4" s="11">
        <f>IF(OE4&gt;0,OE4,"")</f>
        <v>10.45</v>
      </c>
      <c r="OP4" s="11">
        <f t="shared" ref="OP4" si="2">IF(SUM(OC4:OF4)-OG4&gt;0,SUM(OC4:OF4)-OG4,"")</f>
        <v>49.8125</v>
      </c>
      <c r="OQ4" s="11">
        <f t="shared" ref="OQ4" si="3">IF(SUM(ON4,OP4)&gt;0,SUM(ON4,OP4),"")</f>
        <v>138.85249999999999</v>
      </c>
    </row>
    <row r="5" spans="1:407" x14ac:dyDescent="0.2">
      <c r="B5" s="6"/>
      <c r="D5" s="1"/>
    </row>
    <row r="7" spans="1:407" x14ac:dyDescent="0.2">
      <c r="B7" s="39" t="s">
        <v>42</v>
      </c>
      <c r="C7" s="33"/>
      <c r="AP7" s="66"/>
      <c r="AQ7" s="66"/>
      <c r="AR7" s="66"/>
      <c r="AU7" s="31"/>
      <c r="AW7" s="35">
        <v>13.5</v>
      </c>
      <c r="BT7" s="66"/>
      <c r="BU7" s="66"/>
      <c r="BV7" s="66"/>
      <c r="BY7" s="31"/>
      <c r="CA7" s="35">
        <v>13.5</v>
      </c>
      <c r="CX7" s="66"/>
      <c r="CY7" s="66"/>
      <c r="CZ7" s="66"/>
      <c r="DC7" s="31"/>
      <c r="DE7" s="35">
        <v>13.5</v>
      </c>
      <c r="DY7" s="33"/>
      <c r="EC7" s="31"/>
      <c r="EE7" s="35">
        <v>13.5</v>
      </c>
      <c r="EU7" s="33"/>
      <c r="EY7" s="31"/>
      <c r="FA7" s="35">
        <v>13.5</v>
      </c>
      <c r="FQ7" s="33"/>
      <c r="FU7" s="31"/>
      <c r="FW7" s="35">
        <v>13.5</v>
      </c>
      <c r="GM7" s="33"/>
      <c r="GQ7" s="31"/>
      <c r="GS7" s="35">
        <v>13.5</v>
      </c>
      <c r="HI7" s="33"/>
      <c r="HM7" s="31"/>
      <c r="HO7" s="35">
        <v>13.5</v>
      </c>
      <c r="IE7" s="33"/>
      <c r="II7" s="31"/>
      <c r="IK7" s="35">
        <v>13.5</v>
      </c>
      <c r="JA7" s="33"/>
      <c r="JE7" s="31"/>
      <c r="JG7" s="35">
        <v>13.5</v>
      </c>
      <c r="JW7" s="33"/>
      <c r="KA7" s="31"/>
      <c r="KC7" s="35">
        <v>13.5</v>
      </c>
      <c r="KS7" s="33"/>
      <c r="KW7" s="31"/>
      <c r="KY7" s="35">
        <v>13.5</v>
      </c>
      <c r="LO7" s="33"/>
      <c r="LS7" s="31"/>
      <c r="LU7" s="35">
        <v>13.5</v>
      </c>
      <c r="MK7" s="33"/>
      <c r="MO7" s="31"/>
      <c r="MQ7" s="35">
        <v>13.5</v>
      </c>
      <c r="NG7" s="33"/>
      <c r="NK7" s="31"/>
      <c r="NM7" s="35">
        <v>13.5</v>
      </c>
    </row>
    <row r="8" spans="1:407" hidden="1" x14ac:dyDescent="0.2">
      <c r="B8" s="48" t="s">
        <v>41</v>
      </c>
      <c r="C8" s="33"/>
      <c r="AP8" s="66"/>
      <c r="AQ8" s="66"/>
      <c r="AR8" s="66"/>
      <c r="AU8" s="31"/>
      <c r="AW8" s="53">
        <v>13.5</v>
      </c>
      <c r="BT8" s="66"/>
      <c r="BU8" s="66"/>
      <c r="BV8" s="66"/>
      <c r="BY8" s="31"/>
      <c r="CA8" s="53">
        <v>13.5</v>
      </c>
      <c r="CX8" s="66"/>
      <c r="CY8" s="66"/>
      <c r="CZ8" s="66"/>
      <c r="DC8" s="31"/>
      <c r="DE8" s="53">
        <v>13.5</v>
      </c>
      <c r="DY8" s="33"/>
      <c r="EC8" s="31"/>
      <c r="EE8" s="53">
        <v>13.5</v>
      </c>
      <c r="EU8" s="33"/>
      <c r="EY8" s="31"/>
      <c r="FA8" s="53">
        <v>13.5</v>
      </c>
      <c r="FQ8" s="33"/>
      <c r="FU8" s="31"/>
      <c r="FW8" s="53">
        <v>13.5</v>
      </c>
      <c r="GM8" s="33"/>
      <c r="GQ8" s="31"/>
      <c r="GS8" s="53">
        <v>13.5</v>
      </c>
      <c r="HI8" s="33"/>
      <c r="HM8" s="31"/>
      <c r="HO8" s="53">
        <v>13.5</v>
      </c>
      <c r="IE8" s="33"/>
      <c r="II8" s="31"/>
      <c r="IK8" s="53">
        <v>13.5</v>
      </c>
      <c r="JA8" s="33"/>
      <c r="JE8" s="31"/>
      <c r="JG8" s="53">
        <v>13.5</v>
      </c>
      <c r="JW8" s="33"/>
      <c r="KA8" s="31"/>
      <c r="KC8" s="53">
        <v>13.5</v>
      </c>
      <c r="KS8" s="33"/>
      <c r="KW8" s="31"/>
      <c r="KY8" s="53">
        <v>13.5</v>
      </c>
      <c r="LO8" s="33"/>
      <c r="LS8" s="31"/>
      <c r="LU8" s="53">
        <v>13.5</v>
      </c>
      <c r="MK8" s="33"/>
      <c r="MO8" s="31"/>
      <c r="MQ8" s="53">
        <v>13.5</v>
      </c>
      <c r="NG8" s="33"/>
      <c r="NK8" s="31"/>
      <c r="NM8" s="53">
        <v>13.5</v>
      </c>
    </row>
    <row r="9" spans="1:407" x14ac:dyDescent="0.2">
      <c r="A9" s="33"/>
      <c r="B9" s="49" t="s">
        <v>54</v>
      </c>
      <c r="C9" s="33"/>
      <c r="AP9" s="66"/>
      <c r="AQ9" s="66"/>
      <c r="AR9" s="66"/>
      <c r="AT9" s="31"/>
      <c r="AU9" s="31"/>
      <c r="AV9" s="31"/>
      <c r="AW9" s="51">
        <v>13.5</v>
      </c>
      <c r="BT9" s="66"/>
      <c r="BU9" s="66"/>
      <c r="BV9" s="66"/>
      <c r="BY9" s="31"/>
      <c r="CA9" s="51">
        <v>13.5</v>
      </c>
      <c r="CX9" s="66"/>
      <c r="CY9" s="66"/>
      <c r="CZ9" s="66"/>
      <c r="DB9" s="31"/>
      <c r="DC9" s="31"/>
      <c r="DD9" s="31"/>
      <c r="DE9" s="51">
        <v>13.5</v>
      </c>
      <c r="DY9" s="33"/>
      <c r="EC9" s="31"/>
      <c r="EE9" s="51">
        <v>13.5</v>
      </c>
      <c r="EU9" s="33"/>
      <c r="EY9" s="31"/>
      <c r="FA9" s="51">
        <v>13.5</v>
      </c>
      <c r="FQ9" s="33"/>
      <c r="FU9" s="31"/>
      <c r="FW9" s="51">
        <v>13.5</v>
      </c>
      <c r="GM9" s="33"/>
      <c r="GQ9" s="31"/>
      <c r="GS9" s="51">
        <v>13.5</v>
      </c>
      <c r="HI9" s="33"/>
      <c r="HM9" s="31"/>
      <c r="HO9" s="51">
        <v>13.5</v>
      </c>
      <c r="IE9" s="33"/>
      <c r="II9" s="31"/>
      <c r="IK9" s="51">
        <v>13.5</v>
      </c>
      <c r="JA9" s="33"/>
      <c r="JE9" s="31"/>
      <c r="JG9" s="51">
        <v>13.5</v>
      </c>
      <c r="JW9" s="33"/>
      <c r="KA9" s="31"/>
      <c r="KC9" s="51">
        <v>13.5</v>
      </c>
      <c r="KS9" s="33"/>
      <c r="KW9" s="31"/>
      <c r="KY9" s="51">
        <v>13.5</v>
      </c>
      <c r="LO9" s="33"/>
      <c r="LS9" s="31"/>
      <c r="LU9" s="51">
        <v>13.5</v>
      </c>
      <c r="MK9" s="33"/>
      <c r="MO9" s="31"/>
      <c r="MQ9" s="51">
        <v>13.5</v>
      </c>
      <c r="NG9" s="33"/>
      <c r="NK9" s="31"/>
      <c r="NM9" s="51">
        <v>13.5</v>
      </c>
    </row>
    <row r="10" spans="1:407" x14ac:dyDescent="0.2">
      <c r="A10" s="33"/>
      <c r="B10" s="62" t="s">
        <v>59</v>
      </c>
      <c r="C10" s="33"/>
      <c r="AP10" s="66"/>
      <c r="AQ10" s="66"/>
      <c r="AR10" s="66"/>
      <c r="AT10" s="31"/>
      <c r="AU10" s="31"/>
      <c r="AV10" s="31"/>
      <c r="AW10" s="63">
        <v>13.5</v>
      </c>
      <c r="BT10" s="66"/>
      <c r="BU10" s="66"/>
      <c r="BV10" s="66"/>
      <c r="BY10" s="31"/>
      <c r="CA10" s="63">
        <v>13.5</v>
      </c>
      <c r="CX10" s="66"/>
      <c r="CY10" s="66"/>
      <c r="CZ10" s="66"/>
      <c r="DB10" s="31"/>
      <c r="DC10" s="31"/>
      <c r="DD10" s="31"/>
      <c r="DE10" s="63">
        <v>13.5</v>
      </c>
      <c r="DY10" s="33"/>
      <c r="EC10" s="31"/>
      <c r="EE10" s="63">
        <v>13.5</v>
      </c>
      <c r="EU10" s="33"/>
      <c r="EY10" s="31"/>
      <c r="FA10" s="63">
        <v>13.5</v>
      </c>
      <c r="FQ10" s="33"/>
      <c r="FU10" s="31"/>
      <c r="FW10" s="63">
        <v>13.5</v>
      </c>
      <c r="GM10" s="33"/>
      <c r="GQ10" s="31"/>
      <c r="GS10" s="63">
        <v>13.5</v>
      </c>
      <c r="HI10" s="33"/>
      <c r="HM10" s="31"/>
      <c r="HO10" s="63">
        <v>13.5</v>
      </c>
      <c r="IE10" s="33"/>
      <c r="II10" s="31"/>
      <c r="IK10" s="63">
        <v>13.5</v>
      </c>
      <c r="JA10" s="33"/>
      <c r="JE10" s="31"/>
      <c r="JG10" s="63">
        <v>13.5</v>
      </c>
      <c r="JW10" s="33"/>
      <c r="KA10" s="31"/>
      <c r="KC10" s="63">
        <v>13.5</v>
      </c>
      <c r="KS10" s="33"/>
      <c r="KW10" s="31"/>
      <c r="KY10" s="63">
        <v>13.5</v>
      </c>
      <c r="LO10" s="33"/>
      <c r="LS10" s="31"/>
      <c r="LU10" s="63">
        <v>13.5</v>
      </c>
      <c r="MK10" s="33"/>
      <c r="MO10" s="31"/>
      <c r="MQ10" s="63">
        <v>13.5</v>
      </c>
      <c r="NG10" s="33"/>
      <c r="NK10" s="31"/>
      <c r="NM10" s="63">
        <v>13.5</v>
      </c>
    </row>
    <row r="11" spans="1:407" x14ac:dyDescent="0.2">
      <c r="A11" s="33"/>
      <c r="B11" s="60" t="s">
        <v>39</v>
      </c>
      <c r="C11" s="33"/>
      <c r="M11" s="2"/>
      <c r="AP11" s="66"/>
      <c r="AQ11" s="66"/>
      <c r="AR11" s="66"/>
      <c r="AT11" s="31"/>
      <c r="AU11" s="31"/>
      <c r="AV11" s="31"/>
      <c r="AW11" s="61">
        <v>96</v>
      </c>
      <c r="BT11" s="66"/>
      <c r="BU11" s="66"/>
      <c r="BV11" s="66"/>
      <c r="BY11" s="31"/>
      <c r="CA11" s="61">
        <v>96</v>
      </c>
      <c r="CX11" s="66"/>
      <c r="CY11" s="66"/>
      <c r="CZ11" s="66"/>
      <c r="DB11" s="31"/>
      <c r="DC11" s="31"/>
      <c r="DD11" s="31"/>
      <c r="DE11" s="61">
        <v>96</v>
      </c>
      <c r="DY11" s="33"/>
      <c r="EC11" s="31"/>
      <c r="EE11" s="61">
        <v>98</v>
      </c>
      <c r="EU11" s="33"/>
      <c r="EY11" s="31"/>
      <c r="FA11" s="61">
        <v>96</v>
      </c>
      <c r="FQ11" s="33"/>
      <c r="FU11" s="31"/>
      <c r="FW11" s="61">
        <v>96</v>
      </c>
      <c r="GM11" s="33"/>
      <c r="GQ11" s="31"/>
      <c r="GS11" s="61">
        <v>96</v>
      </c>
      <c r="HI11" s="33"/>
      <c r="HM11" s="31"/>
      <c r="HO11" s="61">
        <v>96</v>
      </c>
      <c r="IE11" s="33"/>
      <c r="II11" s="31"/>
      <c r="IK11" s="61">
        <v>96</v>
      </c>
      <c r="JA11" s="33"/>
      <c r="JE11" s="31"/>
      <c r="JG11" s="61">
        <v>96</v>
      </c>
      <c r="JW11" s="33"/>
      <c r="KA11" s="31"/>
      <c r="KC11" s="61">
        <v>96</v>
      </c>
      <c r="KS11" s="33"/>
      <c r="KW11" s="31"/>
      <c r="KY11" s="61">
        <v>96</v>
      </c>
      <c r="LO11" s="33"/>
      <c r="LS11" s="31"/>
      <c r="LU11" s="61">
        <v>96</v>
      </c>
      <c r="MK11" s="33"/>
      <c r="MO11" s="31"/>
      <c r="MQ11" s="61">
        <v>96</v>
      </c>
      <c r="NG11" s="33"/>
      <c r="NK11" s="31"/>
      <c r="NM11" s="61">
        <v>96</v>
      </c>
    </row>
    <row r="12" spans="1:407" hidden="1" x14ac:dyDescent="0.2">
      <c r="A12" s="33"/>
      <c r="B12" s="40" t="s">
        <v>40</v>
      </c>
      <c r="C12" s="33"/>
      <c r="M12" s="2"/>
      <c r="AP12" s="66"/>
      <c r="AQ12" s="66"/>
      <c r="AR12" s="66"/>
      <c r="AT12" s="31"/>
      <c r="AU12" s="31"/>
      <c r="AV12" s="31"/>
      <c r="AW12" s="36">
        <v>99.2</v>
      </c>
      <c r="BT12" s="66"/>
      <c r="BU12" s="66"/>
      <c r="BV12" s="66"/>
      <c r="BY12" s="31"/>
      <c r="CA12" s="36">
        <v>99.2</v>
      </c>
      <c r="CX12" s="66"/>
      <c r="CY12" s="66"/>
      <c r="CZ12" s="66"/>
      <c r="DB12" s="31"/>
      <c r="DC12" s="31"/>
      <c r="DD12" s="31"/>
      <c r="DE12" s="36">
        <v>99.2</v>
      </c>
      <c r="DY12" s="33"/>
      <c r="EC12" s="31"/>
      <c r="EE12" s="36">
        <v>101.2</v>
      </c>
      <c r="EU12" s="33"/>
      <c r="EY12" s="31"/>
      <c r="FA12" s="36">
        <v>99.2</v>
      </c>
      <c r="FQ12" s="33"/>
      <c r="FU12" s="31"/>
      <c r="FW12" s="36">
        <v>99.2</v>
      </c>
      <c r="GM12" s="33"/>
      <c r="GQ12" s="31"/>
      <c r="GS12" s="36">
        <v>99.2</v>
      </c>
      <c r="HI12" s="33"/>
      <c r="HM12" s="31"/>
      <c r="HO12" s="36">
        <v>99.2</v>
      </c>
      <c r="IE12" s="33"/>
      <c r="II12" s="31"/>
      <c r="IK12" s="36">
        <v>99.2</v>
      </c>
      <c r="JA12" s="33"/>
      <c r="JE12" s="31"/>
      <c r="JG12" s="36">
        <v>99.2</v>
      </c>
      <c r="JW12" s="33"/>
      <c r="KA12" s="31"/>
      <c r="KC12" s="36">
        <v>99.2</v>
      </c>
      <c r="KS12" s="33"/>
      <c r="KW12" s="31"/>
      <c r="KY12" s="36">
        <v>99.2</v>
      </c>
      <c r="LO12" s="33"/>
      <c r="LS12" s="31"/>
      <c r="LU12" s="36">
        <v>99.2</v>
      </c>
      <c r="MK12" s="33"/>
      <c r="MO12" s="31"/>
      <c r="MQ12" s="36">
        <v>99.2</v>
      </c>
      <c r="NG12" s="33"/>
      <c r="NK12" s="31"/>
      <c r="NM12" s="36">
        <v>99.2</v>
      </c>
    </row>
    <row r="13" spans="1:407" x14ac:dyDescent="0.2">
      <c r="A13" s="33"/>
      <c r="B13" s="58" t="s">
        <v>53</v>
      </c>
      <c r="C13" s="33"/>
      <c r="AP13" s="66"/>
      <c r="AQ13" s="66"/>
      <c r="AR13" s="66"/>
      <c r="AT13" s="31"/>
      <c r="AU13" s="31"/>
      <c r="AV13" s="31"/>
      <c r="AW13" s="59">
        <v>99.2</v>
      </c>
      <c r="BT13" s="66"/>
      <c r="BU13" s="66"/>
      <c r="BV13" s="66"/>
      <c r="BY13" s="31"/>
      <c r="BZ13" s="70"/>
      <c r="CA13" s="59">
        <v>99.2</v>
      </c>
      <c r="CX13" s="66"/>
      <c r="CY13" s="66"/>
      <c r="CZ13" s="66"/>
      <c r="DB13" s="31"/>
      <c r="DC13" s="31"/>
      <c r="DD13" s="31"/>
      <c r="DE13" s="59">
        <v>99.2</v>
      </c>
      <c r="DY13" s="33"/>
      <c r="EC13" s="31"/>
      <c r="ED13" s="70"/>
      <c r="EE13" s="59">
        <v>101.2</v>
      </c>
      <c r="EU13" s="33"/>
      <c r="EY13" s="31"/>
      <c r="FA13" s="59">
        <v>99.2</v>
      </c>
      <c r="FQ13" s="33"/>
      <c r="FU13" s="31"/>
      <c r="FW13" s="59">
        <v>99.2</v>
      </c>
      <c r="GM13" s="33"/>
      <c r="GQ13" s="31"/>
      <c r="GR13" s="70"/>
      <c r="GS13" s="59">
        <v>99.2</v>
      </c>
      <c r="HI13" s="33"/>
      <c r="HM13" s="31"/>
      <c r="HN13" s="70"/>
      <c r="HO13" s="59">
        <v>99.2</v>
      </c>
      <c r="IE13" s="33"/>
      <c r="II13" s="31"/>
      <c r="IJ13" s="70"/>
      <c r="IK13" s="59">
        <v>99.2</v>
      </c>
      <c r="JA13" s="33"/>
      <c r="JE13" s="31"/>
      <c r="JG13" s="59">
        <v>99.2</v>
      </c>
      <c r="JW13" s="33"/>
      <c r="KA13" s="31"/>
      <c r="KC13" s="59">
        <v>99.2</v>
      </c>
      <c r="KS13" s="33"/>
      <c r="KW13" s="31"/>
      <c r="KY13" s="59">
        <v>99.2</v>
      </c>
      <c r="LO13" s="33"/>
      <c r="LS13" s="31"/>
      <c r="LU13" s="59">
        <v>99.2</v>
      </c>
      <c r="MK13" s="33"/>
      <c r="MO13" s="31"/>
      <c r="MQ13" s="59">
        <v>99.2</v>
      </c>
      <c r="NG13" s="33"/>
      <c r="NK13" s="31"/>
      <c r="NM13" s="59">
        <v>99.2</v>
      </c>
    </row>
    <row r="14" spans="1:407" x14ac:dyDescent="0.2">
      <c r="A14" s="33"/>
      <c r="B14" s="41" t="s">
        <v>26</v>
      </c>
      <c r="C14" s="33"/>
      <c r="M14" s="2"/>
      <c r="AP14" s="66"/>
      <c r="AQ14" s="66"/>
      <c r="AR14" s="66"/>
      <c r="AT14" s="31"/>
      <c r="AU14" s="31"/>
      <c r="AV14" s="31"/>
      <c r="AW14" s="37">
        <v>56.7</v>
      </c>
      <c r="BT14" s="66"/>
      <c r="BU14" s="66"/>
      <c r="BV14" s="66"/>
      <c r="BY14" s="31"/>
      <c r="CA14" s="37">
        <v>56.7</v>
      </c>
      <c r="CX14" s="66"/>
      <c r="CY14" s="66"/>
      <c r="CZ14" s="66"/>
      <c r="DB14" s="31"/>
      <c r="DC14" s="31"/>
      <c r="DD14" s="31"/>
      <c r="DE14" s="37">
        <v>56</v>
      </c>
      <c r="DY14" s="33"/>
      <c r="EC14" s="31"/>
      <c r="EE14" s="37">
        <v>56</v>
      </c>
      <c r="EU14" s="33"/>
      <c r="EY14" s="31"/>
      <c r="FA14" s="37">
        <v>56</v>
      </c>
      <c r="FQ14" s="33"/>
      <c r="FU14" s="31"/>
      <c r="FW14" s="37">
        <v>56</v>
      </c>
      <c r="GM14" s="33"/>
      <c r="GQ14" s="31"/>
      <c r="GS14" s="37">
        <v>56</v>
      </c>
      <c r="HI14" s="33"/>
      <c r="HM14" s="31"/>
      <c r="HO14" s="37">
        <v>56</v>
      </c>
      <c r="IE14" s="33"/>
      <c r="II14" s="31"/>
      <c r="IJ14" s="70"/>
      <c r="IK14" s="37">
        <v>56</v>
      </c>
      <c r="JA14" s="33"/>
      <c r="JE14" s="31"/>
      <c r="JG14" s="37">
        <v>56</v>
      </c>
      <c r="JW14" s="33"/>
      <c r="KA14" s="31"/>
      <c r="KC14" s="37">
        <v>56</v>
      </c>
      <c r="KS14" s="33"/>
      <c r="KW14" s="31"/>
      <c r="KY14" s="37">
        <v>56</v>
      </c>
      <c r="LO14" s="33"/>
      <c r="LS14" s="31"/>
      <c r="LU14" s="37">
        <v>56</v>
      </c>
      <c r="MK14" s="33"/>
      <c r="MO14" s="31"/>
      <c r="MQ14" s="37">
        <v>56</v>
      </c>
      <c r="NG14" s="33"/>
      <c r="NK14" s="31"/>
      <c r="NM14" s="37">
        <v>56</v>
      </c>
    </row>
    <row r="15" spans="1:407" x14ac:dyDescent="0.2">
      <c r="B15" s="47" t="s">
        <v>45</v>
      </c>
      <c r="C15" s="2"/>
      <c r="AS15" s="31"/>
      <c r="AT15" s="31"/>
      <c r="AV15" s="31"/>
      <c r="DA15" s="31"/>
      <c r="DB15" s="31"/>
      <c r="DD15" s="31"/>
      <c r="EV15" s="31"/>
    </row>
    <row r="16" spans="1:407" x14ac:dyDescent="0.2">
      <c r="A16" s="33"/>
      <c r="B16" s="33"/>
      <c r="C16" s="32"/>
      <c r="AO16" s="31"/>
      <c r="AP16" s="31"/>
      <c r="AQ16" s="31"/>
      <c r="AR16" s="31"/>
      <c r="AS16" s="31"/>
      <c r="AT16" s="31"/>
      <c r="AV16" s="31"/>
      <c r="CW16" s="31"/>
      <c r="CX16" s="31"/>
      <c r="CY16" s="31"/>
      <c r="CZ16" s="31"/>
      <c r="DA16" s="31"/>
      <c r="DB16" s="31"/>
      <c r="DD16" s="31"/>
    </row>
    <row r="17" spans="1:108" ht="17" x14ac:dyDescent="0.2">
      <c r="A17" s="33"/>
      <c r="B17" s="33"/>
      <c r="C17" s="32"/>
      <c r="Q17" s="16"/>
      <c r="R17" s="16"/>
      <c r="AO17" s="31"/>
      <c r="AP17" s="31"/>
      <c r="AQ17" s="31"/>
      <c r="AR17" s="31"/>
      <c r="AS17" s="31"/>
      <c r="AT17" s="31"/>
      <c r="AV17" s="31"/>
      <c r="CW17" s="31"/>
      <c r="CX17" s="31"/>
      <c r="CY17" s="31"/>
      <c r="CZ17" s="31"/>
      <c r="DA17" s="31"/>
      <c r="DB17" s="31"/>
      <c r="DD17" s="31"/>
    </row>
    <row r="18" spans="1:108" ht="17" x14ac:dyDescent="0.2">
      <c r="A18" s="33"/>
      <c r="B18" s="33"/>
      <c r="C18" s="32"/>
      <c r="Q18" s="16"/>
      <c r="AO18" s="31"/>
      <c r="AP18" s="31"/>
      <c r="AQ18" s="31"/>
      <c r="AR18" s="31"/>
      <c r="AS18" s="31"/>
      <c r="AT18" s="31"/>
      <c r="AV18" s="31"/>
      <c r="CW18" s="31"/>
      <c r="CX18" s="31"/>
      <c r="CY18" s="31"/>
      <c r="CZ18" s="31"/>
      <c r="DA18" s="31"/>
      <c r="DB18" s="31"/>
      <c r="DD18" s="31"/>
    </row>
    <row r="19" spans="1:108" ht="17" x14ac:dyDescent="0.2">
      <c r="Q19" s="16"/>
      <c r="R19" s="16"/>
      <c r="AO19" s="31"/>
      <c r="AP19" s="31"/>
      <c r="AQ19" s="31"/>
      <c r="AR19" s="31"/>
      <c r="AS19" s="31"/>
      <c r="AT19" s="31"/>
      <c r="AV19" s="31"/>
      <c r="CW19" s="31"/>
      <c r="CX19" s="31"/>
      <c r="CY19" s="31"/>
      <c r="CZ19" s="31"/>
      <c r="DA19" s="31"/>
      <c r="DB19" s="31"/>
      <c r="DD19" s="31"/>
    </row>
    <row r="20" spans="1:108" ht="17" x14ac:dyDescent="0.2">
      <c r="Q20" s="16"/>
      <c r="R20" s="16"/>
      <c r="AO20" s="31"/>
      <c r="AP20" s="31"/>
      <c r="AQ20" s="31"/>
      <c r="AR20" s="31"/>
      <c r="AS20" s="31"/>
      <c r="AT20" s="31"/>
      <c r="AV20" s="31"/>
      <c r="CW20" s="31"/>
      <c r="CX20" s="31"/>
      <c r="CY20" s="31"/>
      <c r="CZ20" s="31"/>
      <c r="DA20" s="31"/>
      <c r="DB20" s="31"/>
      <c r="DD20" s="31"/>
    </row>
    <row r="21" spans="1:108" ht="17" x14ac:dyDescent="0.2">
      <c r="Q21" s="16"/>
      <c r="R21" s="16"/>
      <c r="AO21" s="31"/>
      <c r="AP21" s="31"/>
      <c r="AQ21" s="31"/>
      <c r="AR21" s="31"/>
      <c r="AS21" s="31"/>
      <c r="AT21" s="31"/>
      <c r="AV21" s="31"/>
      <c r="CW21" s="31"/>
      <c r="CX21" s="31"/>
      <c r="CY21" s="31"/>
      <c r="CZ21" s="31"/>
      <c r="DA21" s="31"/>
      <c r="DB21" s="31"/>
      <c r="DD21" s="31"/>
    </row>
    <row r="22" spans="1:108" ht="17" x14ac:dyDescent="0.2">
      <c r="Q22" s="16"/>
      <c r="R22" s="16"/>
      <c r="S22" s="16"/>
    </row>
    <row r="23" spans="1:108" ht="17" x14ac:dyDescent="0.2">
      <c r="Q23" s="16"/>
      <c r="R23" s="16"/>
      <c r="S23" s="16"/>
    </row>
    <row r="24" spans="1:108" ht="17" x14ac:dyDescent="0.2">
      <c r="Q24" s="16"/>
      <c r="R24" s="16"/>
      <c r="S24" s="16"/>
    </row>
    <row r="25" spans="1:108" ht="17" x14ac:dyDescent="0.2">
      <c r="Q25" s="16"/>
      <c r="R25" s="16"/>
      <c r="S25" s="16"/>
    </row>
    <row r="26" spans="1:108" ht="17" x14ac:dyDescent="0.2">
      <c r="Q26" s="16"/>
      <c r="R26" s="16"/>
      <c r="S26" s="16"/>
    </row>
    <row r="27" spans="1:108" ht="17" x14ac:dyDescent="0.2">
      <c r="Q27" s="16"/>
      <c r="R27" s="16"/>
      <c r="S27" s="16"/>
    </row>
    <row r="28" spans="1:108" ht="17" x14ac:dyDescent="0.2">
      <c r="Q28" s="16"/>
      <c r="R28" s="16"/>
      <c r="S28" s="16"/>
    </row>
    <row r="29" spans="1:108" ht="17" x14ac:dyDescent="0.2">
      <c r="Q29" s="16"/>
      <c r="R29" s="16"/>
      <c r="S29" s="16"/>
    </row>
    <row r="30" spans="1:108" ht="17" x14ac:dyDescent="0.2">
      <c r="Q30" s="16"/>
      <c r="R30" s="16"/>
      <c r="S30" s="16"/>
    </row>
    <row r="31" spans="1:108" ht="17" x14ac:dyDescent="0.2">
      <c r="Q31" s="16"/>
      <c r="R31" s="16"/>
      <c r="S31" s="16"/>
    </row>
    <row r="32" spans="1:108" ht="17" x14ac:dyDescent="0.2">
      <c r="Q32" s="16"/>
      <c r="R32" s="16"/>
      <c r="S32" s="16"/>
    </row>
    <row r="33" spans="17:19" ht="17" x14ac:dyDescent="0.2">
      <c r="Q33" s="16"/>
      <c r="R33" s="16"/>
      <c r="S33" s="16"/>
    </row>
    <row r="34" spans="17:19" ht="17" x14ac:dyDescent="0.2">
      <c r="Q34" s="16"/>
      <c r="R34" s="16"/>
      <c r="S34" s="16"/>
    </row>
    <row r="35" spans="17:19" ht="17" x14ac:dyDescent="0.2">
      <c r="Q35" s="16"/>
      <c r="R35" s="16"/>
      <c r="S35" s="16"/>
    </row>
    <row r="36" spans="17:19" ht="17" x14ac:dyDescent="0.2">
      <c r="Q36" s="16"/>
      <c r="R36" s="16"/>
      <c r="S36" s="16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4">
      <sortCondition descending="1" ref="F1:F5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T4:AW4">
    <cfRule type="expression" dxfId="181" priority="1" stopIfTrue="1">
      <formula>IF($AN4&lt;&gt;"",1,0)</formula>
    </cfRule>
  </conditionalFormatting>
  <conditionalFormatting sqref="AX4:CA4">
    <cfRule type="expression" dxfId="180" priority="3" stopIfTrue="1">
      <formula>IF($BR4&lt;&gt;"",1,0)</formula>
    </cfRule>
  </conditionalFormatting>
  <conditionalFormatting sqref="L1:L1048576 P1:P1048576 J1:J1048576 N1:N1048576">
    <cfRule type="expression" dxfId="179" priority="10">
      <formula>IF(J1=$CB$1,1,0)</formula>
    </cfRule>
    <cfRule type="expression" dxfId="178" priority="11">
      <formula>IF(J1=$AX$1,1,0)</formula>
    </cfRule>
    <cfRule type="expression" dxfId="177" priority="12">
      <formula>IF(J1=$T$1,1,0)</formula>
    </cfRule>
  </conditionalFormatting>
  <conditionalFormatting sqref="CB4:DE4">
    <cfRule type="expression" dxfId="176" priority="4" stopIfTrue="1">
      <formula>IF($CV4&lt;&gt;"",1,0)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5" priority="47012" operator="between">
      <formula>AW$14</formula>
      <formula>1000</formula>
    </cfRule>
    <cfRule type="cellIs" dxfId="174" priority="47013" operator="between">
      <formula>AW$13</formula>
      <formula>AW$14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3" priority="47102" operator="between">
      <formula>AW$13</formula>
      <formula>1000</formula>
    </cfRule>
    <cfRule type="cellIs" dxfId="172" priority="47103" operator="between">
      <formula>AW$12</formula>
      <formula>AW$13</formula>
    </cfRule>
    <cfRule type="cellIs" dxfId="171" priority="47104" operator="between">
      <formula>AW$11</formula>
      <formula>AW$12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0" priority="47237" operator="between">
      <formula>AW$14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69" priority="47282" operator="between">
      <formula>EE$10</formula>
      <formula>1000</formula>
    </cfRule>
    <cfRule type="cellIs" dxfId="168" priority="47283" operator="between">
      <formula>EE$9</formula>
      <formula>EE$10</formula>
    </cfRule>
    <cfRule type="cellIs" dxfId="167" priority="47284" operator="between">
      <formula>EE$8</formula>
      <formula>EE$9</formula>
    </cfRule>
    <cfRule type="cellIs" dxfId="166" priority="47285" operator="between">
      <formula>EE$7</formula>
      <formula>EE$8</formula>
    </cfRule>
  </conditionalFormatting>
  <conditionalFormatting sqref="AP1:AP1048576 BT1:BT1048576 CX1:CX1048576">
    <cfRule type="cellIs" dxfId="165" priority="47426" operator="between">
      <formula>AW$10</formula>
      <formula>1000</formula>
    </cfRule>
    <cfRule type="cellIs" dxfId="164" priority="47427" operator="between">
      <formula>AW$9</formula>
      <formula>AW$10</formula>
    </cfRule>
    <cfRule type="cellIs" dxfId="163" priority="47428" operator="between">
      <formula>AW$8</formula>
      <formula>AW$9</formula>
    </cfRule>
    <cfRule type="cellIs" dxfId="162" priority="47429" operator="between">
      <formula>AW$7</formula>
      <formula>AW$8</formula>
    </cfRule>
  </conditionalFormatting>
  <conditionalFormatting sqref="AQ1:AQ1048576 BU1:BU1048576 CY1:CY1048576">
    <cfRule type="cellIs" dxfId="161" priority="47462" operator="between">
      <formula>AW$14</formula>
      <formula>1000</formula>
    </cfRule>
  </conditionalFormatting>
  <conditionalFormatting sqref="AR1:AR1048576 BV1:BV1048576 CZ1:CZ1048576">
    <cfRule type="cellIs" dxfId="160" priority="47471" operator="between">
      <formula>AW$10</formula>
      <formula>1000</formula>
    </cfRule>
    <cfRule type="cellIs" dxfId="159" priority="47472" operator="between">
      <formula>AW$9</formula>
      <formula>AW$10</formula>
    </cfRule>
    <cfRule type="cellIs" dxfId="158" priority="47473" operator="between">
      <formula>AW$8</formula>
      <formula>AW$9</formula>
    </cfRule>
    <cfRule type="cellIs" dxfId="157" priority="47474" operator="between">
      <formula>AW$7</formula>
      <formula>AW$8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56" priority="47507" operator="between">
      <formula>AW$10</formula>
      <formula>1000</formula>
    </cfRule>
    <cfRule type="cellIs" dxfId="155" priority="47508" operator="between">
      <formula>AW$9</formula>
      <formula>AW$10</formula>
    </cfRule>
    <cfRule type="cellIs" dxfId="154" priority="47509" operator="between">
      <formula>AW$8</formula>
      <formula>AW$9</formula>
    </cfRule>
    <cfRule type="cellIs" dxfId="153" priority="47510" operator="between">
      <formula>AW$7</formula>
      <formula>AW$8</formula>
    </cfRule>
  </conditionalFormatting>
  <conditionalFormatting sqref="A1:A1048576">
    <cfRule type="expression" dxfId="152" priority="48704">
      <formula>AND(#REF!&lt;&gt;"",G1="")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style="100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407" width="10.83203125" hidden="1" customWidth="1"/>
    <col min="408" max="409" width="10.83203125" customWidth="1"/>
  </cols>
  <sheetData>
    <row r="1" spans="1:407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07" t="s">
        <v>5</v>
      </c>
      <c r="H1" s="107" t="s">
        <v>6</v>
      </c>
      <c r="I1" s="108" t="s">
        <v>7</v>
      </c>
      <c r="J1" s="108" t="s">
        <v>24</v>
      </c>
      <c r="K1" s="108" t="s">
        <v>8</v>
      </c>
      <c r="L1" s="108" t="s">
        <v>24</v>
      </c>
      <c r="M1" s="108" t="s">
        <v>64</v>
      </c>
      <c r="N1" s="108" t="s">
        <v>24</v>
      </c>
      <c r="O1" s="108" t="s">
        <v>9</v>
      </c>
      <c r="P1" s="108" t="s">
        <v>24</v>
      </c>
      <c r="Q1" s="109" t="s">
        <v>10</v>
      </c>
      <c r="R1" s="108" t="s">
        <v>25</v>
      </c>
      <c r="S1" s="108" t="s">
        <v>24</v>
      </c>
      <c r="T1" s="104" t="s">
        <v>70</v>
      </c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5" t="s">
        <v>71</v>
      </c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4" t="s">
        <v>76</v>
      </c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6" t="s">
        <v>10</v>
      </c>
      <c r="DG1" s="106"/>
      <c r="DH1" s="106"/>
      <c r="DI1" s="106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5"/>
      <c r="EX1" s="105"/>
      <c r="EY1" s="105"/>
      <c r="EZ1" s="105"/>
      <c r="FA1" s="105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4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5"/>
      <c r="HQ1" s="105"/>
      <c r="HR1" s="105"/>
      <c r="HS1" s="105"/>
      <c r="HT1" s="105"/>
      <c r="HU1" s="105"/>
      <c r="HV1" s="105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5"/>
      <c r="JI1" s="105"/>
      <c r="JJ1" s="105"/>
      <c r="JK1" s="105"/>
      <c r="JL1" s="105"/>
      <c r="JM1" s="105"/>
      <c r="JN1" s="105"/>
      <c r="JO1" s="105"/>
      <c r="JP1" s="105"/>
      <c r="JQ1" s="105"/>
      <c r="JR1" s="105"/>
      <c r="JS1" s="105"/>
      <c r="JT1" s="105"/>
      <c r="JU1" s="105"/>
      <c r="JV1" s="105"/>
      <c r="JW1" s="105"/>
      <c r="JX1" s="105"/>
      <c r="JY1" s="105"/>
      <c r="JZ1" s="105"/>
      <c r="KA1" s="105"/>
      <c r="KB1" s="105"/>
      <c r="KC1" s="105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5"/>
      <c r="LA1" s="105"/>
      <c r="LB1" s="105"/>
      <c r="LC1" s="105"/>
      <c r="LD1" s="105"/>
      <c r="LE1" s="105"/>
      <c r="LF1" s="105"/>
      <c r="LG1" s="105"/>
      <c r="LH1" s="105"/>
      <c r="LI1" s="105"/>
      <c r="LJ1" s="105"/>
      <c r="LK1" s="105"/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104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5"/>
      <c r="MS1" s="105"/>
      <c r="MT1" s="105"/>
      <c r="MU1" s="105"/>
      <c r="MV1" s="105"/>
      <c r="MW1" s="105"/>
      <c r="MX1" s="105"/>
      <c r="MY1" s="105"/>
      <c r="MZ1" s="105"/>
      <c r="NA1" s="105"/>
      <c r="NB1" s="105"/>
      <c r="NC1" s="105"/>
      <c r="ND1" s="105"/>
      <c r="NE1" s="105"/>
      <c r="NF1" s="105"/>
      <c r="NG1" s="105"/>
      <c r="NH1" s="105"/>
      <c r="NI1" s="105"/>
      <c r="NJ1" s="105"/>
      <c r="NK1" s="105"/>
      <c r="NL1" s="105"/>
      <c r="NM1" s="105"/>
      <c r="NN1" s="104" t="s">
        <v>55</v>
      </c>
      <c r="NO1" s="104"/>
      <c r="NP1" s="104"/>
      <c r="NQ1" s="104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</row>
    <row r="2" spans="1:407" x14ac:dyDescent="0.2">
      <c r="A2" s="107"/>
      <c r="B2" s="107"/>
      <c r="C2" s="107"/>
      <c r="D2" s="107"/>
      <c r="E2" s="107"/>
      <c r="F2" s="110"/>
      <c r="G2" s="107"/>
      <c r="H2" s="107"/>
      <c r="I2" s="108"/>
      <c r="J2" s="108"/>
      <c r="K2" s="108"/>
      <c r="L2" s="108"/>
      <c r="M2" s="108"/>
      <c r="N2" s="108"/>
      <c r="O2" s="108"/>
      <c r="P2" s="108"/>
      <c r="Q2" s="109"/>
      <c r="R2" s="108"/>
      <c r="S2" s="108"/>
      <c r="T2" s="102" t="s">
        <v>15</v>
      </c>
      <c r="U2" s="102"/>
      <c r="V2" s="102"/>
      <c r="W2" s="102"/>
      <c r="X2" s="102"/>
      <c r="Y2" s="102" t="s">
        <v>16</v>
      </c>
      <c r="Z2" s="102"/>
      <c r="AA2" s="102"/>
      <c r="AB2" s="102"/>
      <c r="AC2" s="102"/>
      <c r="AD2" s="102" t="s">
        <v>60</v>
      </c>
      <c r="AE2" s="102"/>
      <c r="AF2" s="102"/>
      <c r="AG2" s="102"/>
      <c r="AH2" s="102"/>
      <c r="AI2" s="102" t="s">
        <v>19</v>
      </c>
      <c r="AJ2" s="102"/>
      <c r="AK2" s="102"/>
      <c r="AL2" s="102"/>
      <c r="AM2" s="102"/>
      <c r="AN2" s="56"/>
      <c r="AO2" s="9" t="s">
        <v>17</v>
      </c>
      <c r="AP2" s="9" t="s">
        <v>62</v>
      </c>
      <c r="AQ2" s="9" t="s">
        <v>18</v>
      </c>
      <c r="AR2" s="9" t="s">
        <v>63</v>
      </c>
      <c r="AS2" s="9" t="s">
        <v>61</v>
      </c>
      <c r="AT2" s="9" t="s">
        <v>20</v>
      </c>
      <c r="AU2" s="9" t="s">
        <v>56</v>
      </c>
      <c r="AV2" s="9" t="s">
        <v>19</v>
      </c>
      <c r="AW2" s="9" t="s">
        <v>14</v>
      </c>
      <c r="AX2" s="103" t="s">
        <v>15</v>
      </c>
      <c r="AY2" s="103"/>
      <c r="AZ2" s="103"/>
      <c r="BA2" s="103"/>
      <c r="BB2" s="103"/>
      <c r="BC2" s="103" t="s">
        <v>16</v>
      </c>
      <c r="BD2" s="103"/>
      <c r="BE2" s="103"/>
      <c r="BF2" s="103"/>
      <c r="BG2" s="103"/>
      <c r="BH2" s="103" t="s">
        <v>60</v>
      </c>
      <c r="BI2" s="103"/>
      <c r="BJ2" s="103"/>
      <c r="BK2" s="103"/>
      <c r="BL2" s="103"/>
      <c r="BM2" s="103" t="s">
        <v>19</v>
      </c>
      <c r="BN2" s="103"/>
      <c r="BO2" s="103"/>
      <c r="BP2" s="103"/>
      <c r="BQ2" s="103"/>
      <c r="BR2" s="57"/>
      <c r="BS2" s="12" t="s">
        <v>17</v>
      </c>
      <c r="BT2" s="12" t="s">
        <v>62</v>
      </c>
      <c r="BU2" s="12" t="s">
        <v>18</v>
      </c>
      <c r="BV2" s="12" t="s">
        <v>63</v>
      </c>
      <c r="BW2" s="12" t="s">
        <v>61</v>
      </c>
      <c r="BX2" s="12" t="s">
        <v>20</v>
      </c>
      <c r="BY2" s="12" t="s">
        <v>56</v>
      </c>
      <c r="BZ2" s="12" t="s">
        <v>19</v>
      </c>
      <c r="CA2" s="12" t="s">
        <v>14</v>
      </c>
      <c r="CB2" s="102" t="s">
        <v>15</v>
      </c>
      <c r="CC2" s="102"/>
      <c r="CD2" s="102"/>
      <c r="CE2" s="102"/>
      <c r="CF2" s="102"/>
      <c r="CG2" s="102" t="s">
        <v>16</v>
      </c>
      <c r="CH2" s="102"/>
      <c r="CI2" s="102"/>
      <c r="CJ2" s="102"/>
      <c r="CK2" s="102"/>
      <c r="CL2" s="102" t="s">
        <v>60</v>
      </c>
      <c r="CM2" s="102"/>
      <c r="CN2" s="102"/>
      <c r="CO2" s="102"/>
      <c r="CP2" s="102"/>
      <c r="CQ2" s="102" t="s">
        <v>19</v>
      </c>
      <c r="CR2" s="102"/>
      <c r="CS2" s="102"/>
      <c r="CT2" s="102"/>
      <c r="CU2" s="102"/>
      <c r="CV2" s="56"/>
      <c r="CW2" s="9" t="s">
        <v>17</v>
      </c>
      <c r="CX2" s="9" t="s">
        <v>62</v>
      </c>
      <c r="CY2" s="9" t="s">
        <v>18</v>
      </c>
      <c r="CZ2" s="9" t="s">
        <v>63</v>
      </c>
      <c r="DA2" s="9" t="s">
        <v>61</v>
      </c>
      <c r="DB2" s="9" t="s">
        <v>20</v>
      </c>
      <c r="DC2" s="9" t="s">
        <v>56</v>
      </c>
      <c r="DD2" s="9" t="s">
        <v>19</v>
      </c>
      <c r="DE2" s="9" t="s">
        <v>14</v>
      </c>
      <c r="DF2" s="17" t="s">
        <v>17</v>
      </c>
      <c r="DG2" s="17" t="s">
        <v>18</v>
      </c>
      <c r="DH2" s="17" t="s">
        <v>20</v>
      </c>
      <c r="DI2" s="17" t="s">
        <v>19</v>
      </c>
      <c r="DJ2" s="102" t="s">
        <v>15</v>
      </c>
      <c r="DK2" s="102"/>
      <c r="DL2" s="102"/>
      <c r="DM2" s="102"/>
      <c r="DN2" s="102"/>
      <c r="DO2" s="102" t="s">
        <v>16</v>
      </c>
      <c r="DP2" s="102"/>
      <c r="DQ2" s="102"/>
      <c r="DR2" s="102"/>
      <c r="DS2" s="102"/>
      <c r="DT2" s="102" t="s">
        <v>19</v>
      </c>
      <c r="DU2" s="102"/>
      <c r="DV2" s="102"/>
      <c r="DW2" s="102"/>
      <c r="DX2" s="102"/>
      <c r="DY2" s="56" t="s">
        <v>50</v>
      </c>
      <c r="DZ2" s="9" t="s">
        <v>17</v>
      </c>
      <c r="EA2" s="9" t="s">
        <v>18</v>
      </c>
      <c r="EB2" s="9" t="s">
        <v>20</v>
      </c>
      <c r="EC2" s="9" t="s">
        <v>56</v>
      </c>
      <c r="ED2" s="9" t="s">
        <v>19</v>
      </c>
      <c r="EE2" s="9" t="s">
        <v>14</v>
      </c>
      <c r="EF2" s="103" t="s">
        <v>15</v>
      </c>
      <c r="EG2" s="103"/>
      <c r="EH2" s="103"/>
      <c r="EI2" s="103"/>
      <c r="EJ2" s="103"/>
      <c r="EK2" s="103" t="s">
        <v>16</v>
      </c>
      <c r="EL2" s="103"/>
      <c r="EM2" s="103"/>
      <c r="EN2" s="103"/>
      <c r="EO2" s="103"/>
      <c r="EP2" s="103" t="s">
        <v>19</v>
      </c>
      <c r="EQ2" s="103"/>
      <c r="ER2" s="103"/>
      <c r="ES2" s="103"/>
      <c r="ET2" s="103"/>
      <c r="EU2" s="57" t="s">
        <v>50</v>
      </c>
      <c r="EV2" s="12" t="s">
        <v>17</v>
      </c>
      <c r="EW2" s="12" t="s">
        <v>18</v>
      </c>
      <c r="EX2" s="12" t="s">
        <v>20</v>
      </c>
      <c r="EY2" s="12" t="s">
        <v>56</v>
      </c>
      <c r="EZ2" s="12" t="s">
        <v>19</v>
      </c>
      <c r="FA2" s="12" t="s">
        <v>14</v>
      </c>
      <c r="FB2" s="102" t="s">
        <v>15</v>
      </c>
      <c r="FC2" s="102"/>
      <c r="FD2" s="102"/>
      <c r="FE2" s="102"/>
      <c r="FF2" s="102"/>
      <c r="FG2" s="102" t="s">
        <v>16</v>
      </c>
      <c r="FH2" s="102"/>
      <c r="FI2" s="102"/>
      <c r="FJ2" s="102"/>
      <c r="FK2" s="102"/>
      <c r="FL2" s="102" t="s">
        <v>19</v>
      </c>
      <c r="FM2" s="102"/>
      <c r="FN2" s="102"/>
      <c r="FO2" s="102"/>
      <c r="FP2" s="102"/>
      <c r="FQ2" s="56" t="s">
        <v>50</v>
      </c>
      <c r="FR2" s="9" t="s">
        <v>17</v>
      </c>
      <c r="FS2" s="9" t="s">
        <v>18</v>
      </c>
      <c r="FT2" s="9" t="s">
        <v>20</v>
      </c>
      <c r="FU2" s="9" t="s">
        <v>56</v>
      </c>
      <c r="FV2" s="9" t="s">
        <v>19</v>
      </c>
      <c r="FW2" s="9" t="s">
        <v>14</v>
      </c>
      <c r="FX2" s="103" t="s">
        <v>15</v>
      </c>
      <c r="FY2" s="103"/>
      <c r="FZ2" s="103"/>
      <c r="GA2" s="103"/>
      <c r="GB2" s="103"/>
      <c r="GC2" s="103" t="s">
        <v>16</v>
      </c>
      <c r="GD2" s="103"/>
      <c r="GE2" s="103"/>
      <c r="GF2" s="103"/>
      <c r="GG2" s="103"/>
      <c r="GH2" s="103" t="s">
        <v>19</v>
      </c>
      <c r="GI2" s="103"/>
      <c r="GJ2" s="103"/>
      <c r="GK2" s="103"/>
      <c r="GL2" s="103"/>
      <c r="GM2" s="57" t="s">
        <v>50</v>
      </c>
      <c r="GN2" s="12" t="s">
        <v>17</v>
      </c>
      <c r="GO2" s="12" t="s">
        <v>18</v>
      </c>
      <c r="GP2" s="12" t="s">
        <v>20</v>
      </c>
      <c r="GQ2" s="12" t="s">
        <v>56</v>
      </c>
      <c r="GR2" s="12" t="s">
        <v>19</v>
      </c>
      <c r="GS2" s="12" t="s">
        <v>14</v>
      </c>
      <c r="GT2" s="102" t="s">
        <v>15</v>
      </c>
      <c r="GU2" s="102"/>
      <c r="GV2" s="102"/>
      <c r="GW2" s="102"/>
      <c r="GX2" s="102"/>
      <c r="GY2" s="102" t="s">
        <v>16</v>
      </c>
      <c r="GZ2" s="102"/>
      <c r="HA2" s="102"/>
      <c r="HB2" s="102"/>
      <c r="HC2" s="102"/>
      <c r="HD2" s="102" t="s">
        <v>19</v>
      </c>
      <c r="HE2" s="102"/>
      <c r="HF2" s="102"/>
      <c r="HG2" s="102"/>
      <c r="HH2" s="102"/>
      <c r="HI2" s="56" t="s">
        <v>50</v>
      </c>
      <c r="HJ2" s="9" t="s">
        <v>17</v>
      </c>
      <c r="HK2" s="9" t="s">
        <v>18</v>
      </c>
      <c r="HL2" s="9" t="s">
        <v>20</v>
      </c>
      <c r="HM2" s="9" t="s">
        <v>56</v>
      </c>
      <c r="HN2" s="9" t="s">
        <v>19</v>
      </c>
      <c r="HO2" s="9" t="s">
        <v>14</v>
      </c>
      <c r="HP2" s="103" t="s">
        <v>15</v>
      </c>
      <c r="HQ2" s="103"/>
      <c r="HR2" s="103"/>
      <c r="HS2" s="103"/>
      <c r="HT2" s="103"/>
      <c r="HU2" s="103" t="s">
        <v>16</v>
      </c>
      <c r="HV2" s="103"/>
      <c r="HW2" s="103"/>
      <c r="HX2" s="103"/>
      <c r="HY2" s="103"/>
      <c r="HZ2" s="103" t="s">
        <v>19</v>
      </c>
      <c r="IA2" s="103"/>
      <c r="IB2" s="103"/>
      <c r="IC2" s="103"/>
      <c r="ID2" s="103"/>
      <c r="IE2" s="57" t="s">
        <v>50</v>
      </c>
      <c r="IF2" s="12" t="s">
        <v>17</v>
      </c>
      <c r="IG2" s="12" t="s">
        <v>18</v>
      </c>
      <c r="IH2" s="12" t="s">
        <v>20</v>
      </c>
      <c r="II2" s="12" t="s">
        <v>56</v>
      </c>
      <c r="IJ2" s="12" t="s">
        <v>19</v>
      </c>
      <c r="IK2" s="12" t="s">
        <v>14</v>
      </c>
      <c r="IL2" s="102" t="s">
        <v>15</v>
      </c>
      <c r="IM2" s="102"/>
      <c r="IN2" s="102"/>
      <c r="IO2" s="102"/>
      <c r="IP2" s="102"/>
      <c r="IQ2" s="102" t="s">
        <v>16</v>
      </c>
      <c r="IR2" s="102"/>
      <c r="IS2" s="102"/>
      <c r="IT2" s="102"/>
      <c r="IU2" s="102"/>
      <c r="IV2" s="102" t="s">
        <v>19</v>
      </c>
      <c r="IW2" s="102"/>
      <c r="IX2" s="102"/>
      <c r="IY2" s="102"/>
      <c r="IZ2" s="102"/>
      <c r="JA2" s="56" t="s">
        <v>50</v>
      </c>
      <c r="JB2" s="9" t="s">
        <v>17</v>
      </c>
      <c r="JC2" s="9" t="s">
        <v>18</v>
      </c>
      <c r="JD2" s="9" t="s">
        <v>20</v>
      </c>
      <c r="JE2" s="9" t="s">
        <v>56</v>
      </c>
      <c r="JF2" s="9" t="s">
        <v>19</v>
      </c>
      <c r="JG2" s="9" t="s">
        <v>14</v>
      </c>
      <c r="JH2" s="103" t="s">
        <v>15</v>
      </c>
      <c r="JI2" s="103"/>
      <c r="JJ2" s="103"/>
      <c r="JK2" s="103"/>
      <c r="JL2" s="103"/>
      <c r="JM2" s="103" t="s">
        <v>16</v>
      </c>
      <c r="JN2" s="103"/>
      <c r="JO2" s="103"/>
      <c r="JP2" s="103"/>
      <c r="JQ2" s="103"/>
      <c r="JR2" s="103" t="s">
        <v>19</v>
      </c>
      <c r="JS2" s="103"/>
      <c r="JT2" s="103"/>
      <c r="JU2" s="103"/>
      <c r="JV2" s="103"/>
      <c r="JW2" s="57" t="s">
        <v>50</v>
      </c>
      <c r="JX2" s="12" t="s">
        <v>17</v>
      </c>
      <c r="JY2" s="12" t="s">
        <v>18</v>
      </c>
      <c r="JZ2" s="12" t="s">
        <v>20</v>
      </c>
      <c r="KA2" s="12" t="s">
        <v>56</v>
      </c>
      <c r="KB2" s="12" t="s">
        <v>19</v>
      </c>
      <c r="KC2" s="12" t="s">
        <v>14</v>
      </c>
      <c r="KD2" s="102" t="s">
        <v>15</v>
      </c>
      <c r="KE2" s="102"/>
      <c r="KF2" s="102"/>
      <c r="KG2" s="102"/>
      <c r="KH2" s="102"/>
      <c r="KI2" s="102" t="s">
        <v>16</v>
      </c>
      <c r="KJ2" s="102"/>
      <c r="KK2" s="102"/>
      <c r="KL2" s="102"/>
      <c r="KM2" s="102"/>
      <c r="KN2" s="102" t="s">
        <v>19</v>
      </c>
      <c r="KO2" s="102"/>
      <c r="KP2" s="102"/>
      <c r="KQ2" s="102"/>
      <c r="KR2" s="102"/>
      <c r="KS2" s="56" t="s">
        <v>50</v>
      </c>
      <c r="KT2" s="9" t="s">
        <v>17</v>
      </c>
      <c r="KU2" s="9" t="s">
        <v>18</v>
      </c>
      <c r="KV2" s="9" t="s">
        <v>20</v>
      </c>
      <c r="KW2" s="9" t="s">
        <v>56</v>
      </c>
      <c r="KX2" s="9" t="s">
        <v>19</v>
      </c>
      <c r="KY2" s="9" t="s">
        <v>14</v>
      </c>
      <c r="KZ2" s="103" t="s">
        <v>15</v>
      </c>
      <c r="LA2" s="103"/>
      <c r="LB2" s="103"/>
      <c r="LC2" s="103"/>
      <c r="LD2" s="103"/>
      <c r="LE2" s="103" t="s">
        <v>16</v>
      </c>
      <c r="LF2" s="103"/>
      <c r="LG2" s="103"/>
      <c r="LH2" s="103"/>
      <c r="LI2" s="103"/>
      <c r="LJ2" s="103" t="s">
        <v>19</v>
      </c>
      <c r="LK2" s="103"/>
      <c r="LL2" s="103"/>
      <c r="LM2" s="103"/>
      <c r="LN2" s="103"/>
      <c r="LO2" s="57" t="s">
        <v>50</v>
      </c>
      <c r="LP2" s="12" t="s">
        <v>17</v>
      </c>
      <c r="LQ2" s="12" t="s">
        <v>18</v>
      </c>
      <c r="LR2" s="12" t="s">
        <v>20</v>
      </c>
      <c r="LS2" s="12" t="s">
        <v>56</v>
      </c>
      <c r="LT2" s="12" t="s">
        <v>19</v>
      </c>
      <c r="LU2" s="12" t="s">
        <v>14</v>
      </c>
      <c r="LV2" s="102" t="s">
        <v>15</v>
      </c>
      <c r="LW2" s="102"/>
      <c r="LX2" s="102"/>
      <c r="LY2" s="102"/>
      <c r="LZ2" s="102"/>
      <c r="MA2" s="102" t="s">
        <v>16</v>
      </c>
      <c r="MB2" s="102"/>
      <c r="MC2" s="102"/>
      <c r="MD2" s="102"/>
      <c r="ME2" s="102"/>
      <c r="MF2" s="102" t="s">
        <v>19</v>
      </c>
      <c r="MG2" s="102"/>
      <c r="MH2" s="102"/>
      <c r="MI2" s="102"/>
      <c r="MJ2" s="102"/>
      <c r="MK2" s="56" t="s">
        <v>50</v>
      </c>
      <c r="ML2" s="9" t="s">
        <v>17</v>
      </c>
      <c r="MM2" s="9" t="s">
        <v>18</v>
      </c>
      <c r="MN2" s="9" t="s">
        <v>20</v>
      </c>
      <c r="MO2" s="9" t="s">
        <v>56</v>
      </c>
      <c r="MP2" s="9" t="s">
        <v>19</v>
      </c>
      <c r="MQ2" s="9" t="s">
        <v>14</v>
      </c>
      <c r="MR2" s="103" t="s">
        <v>15</v>
      </c>
      <c r="MS2" s="103"/>
      <c r="MT2" s="103"/>
      <c r="MU2" s="103"/>
      <c r="MV2" s="103"/>
      <c r="MW2" s="103" t="s">
        <v>16</v>
      </c>
      <c r="MX2" s="103"/>
      <c r="MY2" s="103"/>
      <c r="MZ2" s="103"/>
      <c r="NA2" s="103"/>
      <c r="NB2" s="103" t="s">
        <v>19</v>
      </c>
      <c r="NC2" s="103"/>
      <c r="ND2" s="103"/>
      <c r="NE2" s="103"/>
      <c r="NF2" s="103"/>
      <c r="NG2" s="57" t="s">
        <v>50</v>
      </c>
      <c r="NH2" s="12" t="s">
        <v>17</v>
      </c>
      <c r="NI2" s="12" t="s">
        <v>18</v>
      </c>
      <c r="NJ2" s="12" t="s">
        <v>20</v>
      </c>
      <c r="NK2" s="12" t="s">
        <v>56</v>
      </c>
      <c r="NL2" s="12" t="s">
        <v>19</v>
      </c>
      <c r="NM2" s="12" t="s">
        <v>14</v>
      </c>
      <c r="NN2" s="102" t="s">
        <v>15</v>
      </c>
      <c r="NO2" s="102"/>
      <c r="NP2" s="102"/>
      <c r="NQ2" s="102"/>
      <c r="NR2" s="102"/>
      <c r="NS2" s="102" t="s">
        <v>16</v>
      </c>
      <c r="NT2" s="102"/>
      <c r="NU2" s="102"/>
      <c r="NV2" s="102"/>
      <c r="NW2" s="102"/>
      <c r="NX2" s="102" t="s">
        <v>60</v>
      </c>
      <c r="NY2" s="102"/>
      <c r="NZ2" s="102"/>
      <c r="OA2" s="102"/>
      <c r="OB2" s="102"/>
      <c r="OC2" s="102" t="s">
        <v>19</v>
      </c>
      <c r="OD2" s="102"/>
      <c r="OE2" s="102"/>
      <c r="OF2" s="102"/>
      <c r="OG2" s="102"/>
      <c r="OH2" s="56"/>
      <c r="OI2" s="9" t="s">
        <v>17</v>
      </c>
      <c r="OJ2" s="9" t="s">
        <v>62</v>
      </c>
      <c r="OK2" s="9" t="s">
        <v>18</v>
      </c>
      <c r="OL2" s="9" t="s">
        <v>63</v>
      </c>
      <c r="OM2" s="9" t="s">
        <v>61</v>
      </c>
      <c r="ON2" s="9" t="s">
        <v>20</v>
      </c>
      <c r="OO2" s="9" t="s">
        <v>56</v>
      </c>
      <c r="OP2" s="9" t="s">
        <v>19</v>
      </c>
      <c r="OQ2" s="9" t="s">
        <v>14</v>
      </c>
    </row>
    <row r="3" spans="1:407" x14ac:dyDescent="0.2">
      <c r="A3" s="107"/>
      <c r="B3" s="107"/>
      <c r="C3" s="107"/>
      <c r="D3" s="107"/>
      <c r="E3" s="107"/>
      <c r="F3" s="110"/>
      <c r="G3" s="107"/>
      <c r="H3" s="107"/>
      <c r="I3" s="108"/>
      <c r="J3" s="108"/>
      <c r="K3" s="108"/>
      <c r="L3" s="108"/>
      <c r="M3" s="108"/>
      <c r="N3" s="108"/>
      <c r="O3" s="108"/>
      <c r="P3" s="108"/>
      <c r="Q3" s="109"/>
      <c r="R3" s="108"/>
      <c r="S3" s="108"/>
      <c r="T3" s="56" t="s">
        <v>11</v>
      </c>
      <c r="U3" s="56" t="s">
        <v>12</v>
      </c>
      <c r="V3" s="56" t="s">
        <v>4</v>
      </c>
      <c r="W3" s="56" t="s">
        <v>13</v>
      </c>
      <c r="X3" s="56" t="s">
        <v>22</v>
      </c>
      <c r="Y3" s="56" t="s">
        <v>11</v>
      </c>
      <c r="Z3" s="56" t="s">
        <v>12</v>
      </c>
      <c r="AA3" s="56" t="s">
        <v>4</v>
      </c>
      <c r="AB3" s="56" t="s">
        <v>13</v>
      </c>
      <c r="AC3" s="56" t="s">
        <v>22</v>
      </c>
      <c r="AD3" s="56" t="s">
        <v>11</v>
      </c>
      <c r="AE3" s="56" t="s">
        <v>12</v>
      </c>
      <c r="AF3" s="56" t="s">
        <v>4</v>
      </c>
      <c r="AG3" s="56" t="s">
        <v>13</v>
      </c>
      <c r="AH3" s="56" t="s">
        <v>22</v>
      </c>
      <c r="AI3" s="56" t="s">
        <v>11</v>
      </c>
      <c r="AJ3" s="56" t="s">
        <v>12</v>
      </c>
      <c r="AK3" s="56" t="s">
        <v>4</v>
      </c>
      <c r="AL3" s="56" t="s">
        <v>13</v>
      </c>
      <c r="AM3" s="56" t="s">
        <v>22</v>
      </c>
      <c r="AN3" s="56" t="s">
        <v>43</v>
      </c>
      <c r="AO3" s="9"/>
      <c r="AP3" s="9"/>
      <c r="AQ3" s="9"/>
      <c r="AR3" s="9"/>
      <c r="AS3" s="9"/>
      <c r="AT3" s="9"/>
      <c r="AU3" s="9"/>
      <c r="AV3" s="10"/>
      <c r="AW3" s="10"/>
      <c r="AX3" s="57" t="s">
        <v>11</v>
      </c>
      <c r="AY3" s="57" t="s">
        <v>12</v>
      </c>
      <c r="AZ3" s="57" t="s">
        <v>4</v>
      </c>
      <c r="BA3" s="57" t="s">
        <v>13</v>
      </c>
      <c r="BB3" s="57" t="s">
        <v>22</v>
      </c>
      <c r="BC3" s="57" t="s">
        <v>11</v>
      </c>
      <c r="BD3" s="57" t="s">
        <v>12</v>
      </c>
      <c r="BE3" s="57" t="s">
        <v>4</v>
      </c>
      <c r="BF3" s="57" t="s">
        <v>13</v>
      </c>
      <c r="BG3" s="57" t="s">
        <v>22</v>
      </c>
      <c r="BH3" s="57" t="s">
        <v>11</v>
      </c>
      <c r="BI3" s="57" t="s">
        <v>12</v>
      </c>
      <c r="BJ3" s="57" t="s">
        <v>4</v>
      </c>
      <c r="BK3" s="57" t="s">
        <v>13</v>
      </c>
      <c r="BL3" s="57" t="s">
        <v>22</v>
      </c>
      <c r="BM3" s="57" t="s">
        <v>11</v>
      </c>
      <c r="BN3" s="57" t="s">
        <v>12</v>
      </c>
      <c r="BO3" s="57" t="s">
        <v>4</v>
      </c>
      <c r="BP3" s="57" t="s">
        <v>13</v>
      </c>
      <c r="BQ3" s="57" t="s">
        <v>22</v>
      </c>
      <c r="BR3" s="57" t="s">
        <v>43</v>
      </c>
      <c r="BS3" s="12"/>
      <c r="BT3" s="12"/>
      <c r="BU3" s="12"/>
      <c r="BV3" s="12"/>
      <c r="BW3" s="12"/>
      <c r="BX3" s="12"/>
      <c r="BY3" s="12"/>
      <c r="BZ3" s="13"/>
      <c r="CA3" s="13"/>
      <c r="CB3" s="56" t="s">
        <v>11</v>
      </c>
      <c r="CC3" s="56" t="s">
        <v>12</v>
      </c>
      <c r="CD3" s="56" t="s">
        <v>4</v>
      </c>
      <c r="CE3" s="56" t="s">
        <v>13</v>
      </c>
      <c r="CF3" s="56" t="s">
        <v>22</v>
      </c>
      <c r="CG3" s="56" t="s">
        <v>11</v>
      </c>
      <c r="CH3" s="56" t="s">
        <v>12</v>
      </c>
      <c r="CI3" s="56" t="s">
        <v>4</v>
      </c>
      <c r="CJ3" s="56" t="s">
        <v>13</v>
      </c>
      <c r="CK3" s="56" t="s">
        <v>22</v>
      </c>
      <c r="CL3" s="56" t="s">
        <v>11</v>
      </c>
      <c r="CM3" s="56" t="s">
        <v>12</v>
      </c>
      <c r="CN3" s="56" t="s">
        <v>4</v>
      </c>
      <c r="CO3" s="56" t="s">
        <v>13</v>
      </c>
      <c r="CP3" s="56" t="s">
        <v>22</v>
      </c>
      <c r="CQ3" s="56" t="s">
        <v>11</v>
      </c>
      <c r="CR3" s="56" t="s">
        <v>12</v>
      </c>
      <c r="CS3" s="56" t="s">
        <v>4</v>
      </c>
      <c r="CT3" s="56" t="s">
        <v>13</v>
      </c>
      <c r="CU3" s="56" t="s">
        <v>22</v>
      </c>
      <c r="CV3" s="56" t="s">
        <v>43</v>
      </c>
      <c r="CW3" s="9"/>
      <c r="CX3" s="9"/>
      <c r="CY3" s="9"/>
      <c r="CZ3" s="9"/>
      <c r="DA3" s="9"/>
      <c r="DB3" s="9"/>
      <c r="DC3" s="9"/>
      <c r="DD3" s="10"/>
      <c r="DE3" s="10"/>
      <c r="DF3" s="18"/>
      <c r="DG3" s="18"/>
      <c r="DH3" s="18"/>
      <c r="DI3" s="18"/>
      <c r="DJ3" s="56" t="s">
        <v>11</v>
      </c>
      <c r="DK3" s="56" t="s">
        <v>12</v>
      </c>
      <c r="DL3" s="56" t="s">
        <v>4</v>
      </c>
      <c r="DM3" s="56" t="s">
        <v>13</v>
      </c>
      <c r="DN3" s="56" t="s">
        <v>22</v>
      </c>
      <c r="DO3" s="56" t="s">
        <v>11</v>
      </c>
      <c r="DP3" s="56" t="s">
        <v>12</v>
      </c>
      <c r="DQ3" s="56" t="s">
        <v>4</v>
      </c>
      <c r="DR3" s="56" t="s">
        <v>13</v>
      </c>
      <c r="DS3" s="56" t="s">
        <v>22</v>
      </c>
      <c r="DT3" s="56" t="s">
        <v>11</v>
      </c>
      <c r="DU3" s="56" t="s">
        <v>12</v>
      </c>
      <c r="DV3" s="56" t="s">
        <v>4</v>
      </c>
      <c r="DW3" s="56" t="s">
        <v>13</v>
      </c>
      <c r="DX3" s="56" t="s">
        <v>22</v>
      </c>
      <c r="DY3" s="10"/>
      <c r="DZ3" s="9"/>
      <c r="EA3" s="9"/>
      <c r="EB3" s="9"/>
      <c r="EC3" s="9"/>
      <c r="ED3" s="10"/>
      <c r="EE3" s="10"/>
      <c r="EF3" s="57" t="s">
        <v>11</v>
      </c>
      <c r="EG3" s="57" t="s">
        <v>12</v>
      </c>
      <c r="EH3" s="57" t="s">
        <v>4</v>
      </c>
      <c r="EI3" s="57" t="s">
        <v>13</v>
      </c>
      <c r="EJ3" s="57" t="s">
        <v>22</v>
      </c>
      <c r="EK3" s="57" t="s">
        <v>11</v>
      </c>
      <c r="EL3" s="57" t="s">
        <v>12</v>
      </c>
      <c r="EM3" s="57" t="s">
        <v>4</v>
      </c>
      <c r="EN3" s="57" t="s">
        <v>13</v>
      </c>
      <c r="EO3" s="57" t="s">
        <v>22</v>
      </c>
      <c r="EP3" s="57" t="s">
        <v>11</v>
      </c>
      <c r="EQ3" s="57" t="s">
        <v>12</v>
      </c>
      <c r="ER3" s="57" t="s">
        <v>4</v>
      </c>
      <c r="ES3" s="57" t="s">
        <v>13</v>
      </c>
      <c r="ET3" s="29" t="s">
        <v>22</v>
      </c>
      <c r="EU3" s="13"/>
      <c r="EV3" s="12"/>
      <c r="EW3" s="12"/>
      <c r="EX3" s="12"/>
      <c r="EY3" s="12"/>
      <c r="EZ3" s="13"/>
      <c r="FA3" s="13"/>
      <c r="FB3" s="56" t="s">
        <v>11</v>
      </c>
      <c r="FC3" s="56" t="s">
        <v>12</v>
      </c>
      <c r="FD3" s="56" t="s">
        <v>4</v>
      </c>
      <c r="FE3" s="56" t="s">
        <v>13</v>
      </c>
      <c r="FF3" s="56" t="s">
        <v>22</v>
      </c>
      <c r="FG3" s="56" t="s">
        <v>11</v>
      </c>
      <c r="FH3" s="56" t="s">
        <v>12</v>
      </c>
      <c r="FI3" s="56" t="s">
        <v>4</v>
      </c>
      <c r="FJ3" s="56" t="s">
        <v>13</v>
      </c>
      <c r="FK3" s="56" t="s">
        <v>22</v>
      </c>
      <c r="FL3" s="56" t="s">
        <v>11</v>
      </c>
      <c r="FM3" s="56" t="s">
        <v>12</v>
      </c>
      <c r="FN3" s="56" t="s">
        <v>4</v>
      </c>
      <c r="FO3" s="56" t="s">
        <v>13</v>
      </c>
      <c r="FP3" s="56" t="s">
        <v>22</v>
      </c>
      <c r="FQ3" s="10"/>
      <c r="FR3" s="9"/>
      <c r="FS3" s="9"/>
      <c r="FT3" s="9"/>
      <c r="FU3" s="9"/>
      <c r="FV3" s="10"/>
      <c r="FW3" s="10"/>
      <c r="FX3" s="57" t="s">
        <v>11</v>
      </c>
      <c r="FY3" s="57" t="s">
        <v>12</v>
      </c>
      <c r="FZ3" s="57" t="s">
        <v>4</v>
      </c>
      <c r="GA3" s="57" t="s">
        <v>13</v>
      </c>
      <c r="GB3" s="57" t="s">
        <v>22</v>
      </c>
      <c r="GC3" s="57" t="s">
        <v>11</v>
      </c>
      <c r="GD3" s="57" t="s">
        <v>12</v>
      </c>
      <c r="GE3" s="57" t="s">
        <v>4</v>
      </c>
      <c r="GF3" s="57" t="s">
        <v>13</v>
      </c>
      <c r="GG3" s="57" t="s">
        <v>22</v>
      </c>
      <c r="GH3" s="57" t="s">
        <v>11</v>
      </c>
      <c r="GI3" s="57" t="s">
        <v>12</v>
      </c>
      <c r="GJ3" s="57" t="s">
        <v>4</v>
      </c>
      <c r="GK3" s="57" t="s">
        <v>13</v>
      </c>
      <c r="GL3" s="57" t="s">
        <v>22</v>
      </c>
      <c r="GM3" s="13"/>
      <c r="GN3" s="12"/>
      <c r="GO3" s="12"/>
      <c r="GP3" s="12"/>
      <c r="GQ3" s="12"/>
      <c r="GR3" s="13"/>
      <c r="GS3" s="13"/>
      <c r="GT3" s="56" t="s">
        <v>11</v>
      </c>
      <c r="GU3" s="56" t="s">
        <v>12</v>
      </c>
      <c r="GV3" s="56" t="s">
        <v>4</v>
      </c>
      <c r="GW3" s="56" t="s">
        <v>13</v>
      </c>
      <c r="GX3" s="56" t="s">
        <v>22</v>
      </c>
      <c r="GY3" s="56" t="s">
        <v>11</v>
      </c>
      <c r="GZ3" s="56" t="s">
        <v>12</v>
      </c>
      <c r="HA3" s="56" t="s">
        <v>4</v>
      </c>
      <c r="HB3" s="56" t="s">
        <v>13</v>
      </c>
      <c r="HC3" s="56" t="s">
        <v>22</v>
      </c>
      <c r="HD3" s="56" t="s">
        <v>11</v>
      </c>
      <c r="HE3" s="56" t="s">
        <v>12</v>
      </c>
      <c r="HF3" s="56" t="s">
        <v>4</v>
      </c>
      <c r="HG3" s="56" t="s">
        <v>13</v>
      </c>
      <c r="HH3" s="56" t="s">
        <v>22</v>
      </c>
      <c r="HI3" s="10"/>
      <c r="HJ3" s="9"/>
      <c r="HK3" s="9"/>
      <c r="HL3" s="9"/>
      <c r="HM3" s="9"/>
      <c r="HN3" s="10"/>
      <c r="HO3" s="10"/>
      <c r="HP3" s="57" t="s">
        <v>11</v>
      </c>
      <c r="HQ3" s="57" t="s">
        <v>12</v>
      </c>
      <c r="HR3" s="57" t="s">
        <v>4</v>
      </c>
      <c r="HS3" s="57" t="s">
        <v>13</v>
      </c>
      <c r="HT3" s="57" t="s">
        <v>22</v>
      </c>
      <c r="HU3" s="57" t="s">
        <v>11</v>
      </c>
      <c r="HV3" s="57" t="s">
        <v>12</v>
      </c>
      <c r="HW3" s="57" t="s">
        <v>4</v>
      </c>
      <c r="HX3" s="57" t="s">
        <v>13</v>
      </c>
      <c r="HY3" s="57" t="s">
        <v>22</v>
      </c>
      <c r="HZ3" s="57" t="s">
        <v>11</v>
      </c>
      <c r="IA3" s="57" t="s">
        <v>12</v>
      </c>
      <c r="IB3" s="57" t="s">
        <v>4</v>
      </c>
      <c r="IC3" s="57" t="s">
        <v>13</v>
      </c>
      <c r="ID3" s="57" t="s">
        <v>22</v>
      </c>
      <c r="IE3" s="13"/>
      <c r="IF3" s="12"/>
      <c r="IG3" s="12"/>
      <c r="IH3" s="12"/>
      <c r="II3" s="12"/>
      <c r="IJ3" s="13"/>
      <c r="IK3" s="13"/>
      <c r="IL3" s="56" t="s">
        <v>11</v>
      </c>
      <c r="IM3" s="56" t="s">
        <v>12</v>
      </c>
      <c r="IN3" s="56" t="s">
        <v>4</v>
      </c>
      <c r="IO3" s="56" t="s">
        <v>13</v>
      </c>
      <c r="IP3" s="56" t="s">
        <v>22</v>
      </c>
      <c r="IQ3" s="56" t="s">
        <v>11</v>
      </c>
      <c r="IR3" s="56" t="s">
        <v>12</v>
      </c>
      <c r="IS3" s="56" t="s">
        <v>4</v>
      </c>
      <c r="IT3" s="56" t="s">
        <v>13</v>
      </c>
      <c r="IU3" s="56" t="s">
        <v>22</v>
      </c>
      <c r="IV3" s="56" t="s">
        <v>11</v>
      </c>
      <c r="IW3" s="56" t="s">
        <v>12</v>
      </c>
      <c r="IX3" s="56" t="s">
        <v>4</v>
      </c>
      <c r="IY3" s="56" t="s">
        <v>13</v>
      </c>
      <c r="IZ3" s="56" t="s">
        <v>22</v>
      </c>
      <c r="JA3" s="10"/>
      <c r="JB3" s="9"/>
      <c r="JC3" s="9"/>
      <c r="JD3" s="9"/>
      <c r="JE3" s="9"/>
      <c r="JF3" s="10"/>
      <c r="JG3" s="10"/>
      <c r="JH3" s="57" t="s">
        <v>11</v>
      </c>
      <c r="JI3" s="57" t="s">
        <v>12</v>
      </c>
      <c r="JJ3" s="57" t="s">
        <v>4</v>
      </c>
      <c r="JK3" s="57" t="s">
        <v>13</v>
      </c>
      <c r="JL3" s="57" t="s">
        <v>22</v>
      </c>
      <c r="JM3" s="57" t="s">
        <v>11</v>
      </c>
      <c r="JN3" s="57" t="s">
        <v>12</v>
      </c>
      <c r="JO3" s="57" t="s">
        <v>4</v>
      </c>
      <c r="JP3" s="57" t="s">
        <v>13</v>
      </c>
      <c r="JQ3" s="57" t="s">
        <v>22</v>
      </c>
      <c r="JR3" s="57" t="s">
        <v>11</v>
      </c>
      <c r="JS3" s="57" t="s">
        <v>12</v>
      </c>
      <c r="JT3" s="57" t="s">
        <v>4</v>
      </c>
      <c r="JU3" s="57" t="s">
        <v>13</v>
      </c>
      <c r="JV3" s="57" t="s">
        <v>22</v>
      </c>
      <c r="JW3" s="13"/>
      <c r="JX3" s="12"/>
      <c r="JY3" s="12"/>
      <c r="JZ3" s="12"/>
      <c r="KA3" s="12"/>
      <c r="KB3" s="13"/>
      <c r="KC3" s="13"/>
      <c r="KD3" s="56" t="s">
        <v>11</v>
      </c>
      <c r="KE3" s="56" t="s">
        <v>12</v>
      </c>
      <c r="KF3" s="56" t="s">
        <v>4</v>
      </c>
      <c r="KG3" s="56" t="s">
        <v>13</v>
      </c>
      <c r="KH3" s="56" t="s">
        <v>22</v>
      </c>
      <c r="KI3" s="56" t="s">
        <v>11</v>
      </c>
      <c r="KJ3" s="56" t="s">
        <v>12</v>
      </c>
      <c r="KK3" s="56" t="s">
        <v>4</v>
      </c>
      <c r="KL3" s="56" t="s">
        <v>13</v>
      </c>
      <c r="KM3" s="56" t="s">
        <v>22</v>
      </c>
      <c r="KN3" s="56" t="s">
        <v>11</v>
      </c>
      <c r="KO3" s="56" t="s">
        <v>12</v>
      </c>
      <c r="KP3" s="56" t="s">
        <v>4</v>
      </c>
      <c r="KQ3" s="56" t="s">
        <v>13</v>
      </c>
      <c r="KR3" s="56" t="s">
        <v>22</v>
      </c>
      <c r="KS3" s="10"/>
      <c r="KT3" s="9"/>
      <c r="KU3" s="9"/>
      <c r="KV3" s="9"/>
      <c r="KW3" s="9"/>
      <c r="KX3" s="10"/>
      <c r="KY3" s="10"/>
      <c r="KZ3" s="57" t="s">
        <v>11</v>
      </c>
      <c r="LA3" s="57" t="s">
        <v>12</v>
      </c>
      <c r="LB3" s="57" t="s">
        <v>4</v>
      </c>
      <c r="LC3" s="57" t="s">
        <v>13</v>
      </c>
      <c r="LD3" s="57" t="s">
        <v>22</v>
      </c>
      <c r="LE3" s="57" t="s">
        <v>11</v>
      </c>
      <c r="LF3" s="57" t="s">
        <v>12</v>
      </c>
      <c r="LG3" s="57" t="s">
        <v>4</v>
      </c>
      <c r="LH3" s="57" t="s">
        <v>13</v>
      </c>
      <c r="LI3" s="57" t="s">
        <v>22</v>
      </c>
      <c r="LJ3" s="57" t="s">
        <v>11</v>
      </c>
      <c r="LK3" s="57" t="s">
        <v>12</v>
      </c>
      <c r="LL3" s="57" t="s">
        <v>4</v>
      </c>
      <c r="LM3" s="57" t="s">
        <v>13</v>
      </c>
      <c r="LN3" s="57" t="s">
        <v>22</v>
      </c>
      <c r="LO3" s="13"/>
      <c r="LP3" s="12"/>
      <c r="LQ3" s="12"/>
      <c r="LR3" s="12"/>
      <c r="LS3" s="12"/>
      <c r="LT3" s="13"/>
      <c r="LU3" s="13"/>
      <c r="LV3" s="56" t="s">
        <v>11</v>
      </c>
      <c r="LW3" s="56" t="s">
        <v>12</v>
      </c>
      <c r="LX3" s="56" t="s">
        <v>4</v>
      </c>
      <c r="LY3" s="56" t="s">
        <v>13</v>
      </c>
      <c r="LZ3" s="56" t="s">
        <v>22</v>
      </c>
      <c r="MA3" s="56" t="s">
        <v>11</v>
      </c>
      <c r="MB3" s="56" t="s">
        <v>12</v>
      </c>
      <c r="MC3" s="56" t="s">
        <v>4</v>
      </c>
      <c r="MD3" s="56" t="s">
        <v>13</v>
      </c>
      <c r="ME3" s="56" t="s">
        <v>22</v>
      </c>
      <c r="MF3" s="56" t="s">
        <v>11</v>
      </c>
      <c r="MG3" s="56" t="s">
        <v>12</v>
      </c>
      <c r="MH3" s="56" t="s">
        <v>4</v>
      </c>
      <c r="MI3" s="56" t="s">
        <v>13</v>
      </c>
      <c r="MJ3" s="56" t="s">
        <v>22</v>
      </c>
      <c r="MK3" s="10"/>
      <c r="ML3" s="9"/>
      <c r="MM3" s="9"/>
      <c r="MN3" s="9"/>
      <c r="MO3" s="9"/>
      <c r="MP3" s="10"/>
      <c r="MQ3" s="10"/>
      <c r="MR3" s="57" t="s">
        <v>11</v>
      </c>
      <c r="MS3" s="57" t="s">
        <v>12</v>
      </c>
      <c r="MT3" s="57" t="s">
        <v>4</v>
      </c>
      <c r="MU3" s="57" t="s">
        <v>13</v>
      </c>
      <c r="MV3" s="57" t="s">
        <v>22</v>
      </c>
      <c r="MW3" s="57" t="s">
        <v>11</v>
      </c>
      <c r="MX3" s="57" t="s">
        <v>12</v>
      </c>
      <c r="MY3" s="57" t="s">
        <v>4</v>
      </c>
      <c r="MZ3" s="57" t="s">
        <v>13</v>
      </c>
      <c r="NA3" s="57" t="s">
        <v>22</v>
      </c>
      <c r="NB3" s="57" t="s">
        <v>11</v>
      </c>
      <c r="NC3" s="57" t="s">
        <v>12</v>
      </c>
      <c r="ND3" s="57" t="s">
        <v>4</v>
      </c>
      <c r="NE3" s="57" t="s">
        <v>13</v>
      </c>
      <c r="NF3" s="57" t="s">
        <v>22</v>
      </c>
      <c r="NG3" s="13"/>
      <c r="NH3" s="12"/>
      <c r="NI3" s="12"/>
      <c r="NJ3" s="12"/>
      <c r="NK3" s="12"/>
      <c r="NL3" s="13"/>
      <c r="NM3" s="13"/>
      <c r="NN3" s="56" t="s">
        <v>11</v>
      </c>
      <c r="NO3" s="56" t="s">
        <v>12</v>
      </c>
      <c r="NP3" s="56" t="s">
        <v>4</v>
      </c>
      <c r="NQ3" s="56" t="s">
        <v>13</v>
      </c>
      <c r="NR3" s="56" t="s">
        <v>22</v>
      </c>
      <c r="NS3" s="56" t="s">
        <v>11</v>
      </c>
      <c r="NT3" s="56" t="s">
        <v>12</v>
      </c>
      <c r="NU3" s="56" t="s">
        <v>4</v>
      </c>
      <c r="NV3" s="56" t="s">
        <v>13</v>
      </c>
      <c r="NW3" s="56" t="s">
        <v>22</v>
      </c>
      <c r="NX3" s="56" t="s">
        <v>11</v>
      </c>
      <c r="NY3" s="56" t="s">
        <v>12</v>
      </c>
      <c r="NZ3" s="56" t="s">
        <v>4</v>
      </c>
      <c r="OA3" s="56" t="s">
        <v>13</v>
      </c>
      <c r="OB3" s="56" t="s">
        <v>22</v>
      </c>
      <c r="OC3" s="56" t="s">
        <v>11</v>
      </c>
      <c r="OD3" s="56" t="s">
        <v>12</v>
      </c>
      <c r="OE3" s="56" t="s">
        <v>4</v>
      </c>
      <c r="OF3" s="56" t="s">
        <v>13</v>
      </c>
      <c r="OG3" s="56" t="s">
        <v>22</v>
      </c>
      <c r="OH3" s="56" t="s">
        <v>43</v>
      </c>
      <c r="OI3" s="9"/>
      <c r="OJ3" s="9"/>
      <c r="OK3" s="9"/>
      <c r="OL3" s="9"/>
      <c r="OM3" s="9"/>
      <c r="ON3" s="9"/>
      <c r="OO3" s="9"/>
      <c r="OP3" s="10"/>
      <c r="OQ3" s="10"/>
    </row>
    <row r="4" spans="1:407" x14ac:dyDescent="0.2">
      <c r="A4" s="5" cm="1">
        <f t="array" ref="A4">IF(AND(F4&lt;&gt;"",G4&lt;&gt;""),SUMPRODUCT((F$4:F$7&lt;&gt;"")*(G$4:G$7&lt;&gt;"")*(E$4:E$7&gt;E4))+1,IF(G4&lt;&gt;"",SUMPRODUCT((H$4:H$7="No DD")*(E$4:E$7&gt;E4))+1+SUMPRODUCT((F$4:F$7&lt;&gt;"")*(G$4:G$7&lt;&gt;"")),""))</f>
        <v>1</v>
      </c>
      <c r="B4" s="68" t="s">
        <v>74</v>
      </c>
      <c r="C4" s="5" t="s">
        <v>66</v>
      </c>
      <c r="D4" s="5">
        <v>2006</v>
      </c>
      <c r="E4" s="15">
        <f>SUM(I4:Q4)</f>
        <v>232.22</v>
      </c>
      <c r="F4" s="3" t="str">
        <f>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P","")</f>
        <v>P</v>
      </c>
      <c r="G4" s="3" t="str">
        <f>IF(OR(AND(AT4&gt;=AW$13,AO4&lt;&gt;"",AN4=""),AND(BX4&gt;=CA$13,BS4&lt;&gt;"",BR4=""),AND(DB4&gt;=DE$13,CW4&lt;&gt;"",CV4=""),AND(EB4&gt;=EE$13,DY4&lt;&gt;""),AND(EX4&gt;=FA$13,EU4&lt;&gt;""),AND(FT4&gt;=FW$13,FQ4&lt;&gt;""),AND(GP4&gt;=GS$13,GM4&lt;&gt;""),AND(HL4&gt;=HO$13,HI4&lt;&gt;""),AND(IH4&gt;=IK$13,IE4&lt;&gt;""),AND(JD4&gt;=JG$13,JA4&lt;&gt;""),AND(JZ4&gt;=KC$13,JW4&lt;&gt;""),AND(KV4&gt;=KY$13,KS4&lt;&gt;""),AND(LR4&gt;=LU$13,LO4&lt;&gt;""),AND(MN4&gt;=MQ$13,MK4&lt;&gt;""),AND(NJ4&gt;=NM$13,NG4&lt;&gt;"")),"P","")</f>
        <v>P</v>
      </c>
      <c r="H4" s="67" t="str">
        <f>IF(OR(AND(AP4&gt;=AW$12,AQ4&gt;=AW$16,AP4&lt;&gt;"",AN4=""),AND(AU4&gt;=AW$12,AV4&gt;=AW$16,AU4&lt;&gt;"",AN4=""),AND(BT4&gt;=CA$12,BU4&gt;=CA$16,BT4&lt;&gt;"",BR4=""),AND(BY4&gt;=CA$12,BZ4&gt;=CA$16,BY4&lt;&gt;"",BR4=""),AND(CX4&gt;=DE$12,CY4&gt;=DE$16,CX4&lt;&gt;"",CV4=""),AND(DC4&gt;=DE$12,DD4&gt;=DE$16,DC4&lt;&gt;"",CV4=""),AND(DY4&gt;=EE$12,EA4&gt;=EE$16,DY4&lt;&gt;""),AND(EC4&gt;=EE$12,ED4&gt;=EE$16,EC4&lt;&gt;""),AND(EU4&gt;=FA$12,EW4&gt;=FA$16,EU4&lt;&gt;""),AND(EY4&gt;=FA$12,EZ4&gt;=FA$16,EY4&lt;&gt;""),AND(FQ4&gt;=FW$12,FS4&gt;=FW$16,FQ4&lt;&gt;""),AND(FU4&gt;=FW$12,FV4&gt;=FW$16,FU4&lt;&gt;""),AND(GM4&gt;=GS$12,GO4&gt;=GS$16,GM4&lt;&gt;""),AND(GQ4&gt;=GS$12,GR4&gt;=GS$16,GQ4&lt;&gt;""),AND(HI4&gt;=HO$12,HK4&gt;=HO$16,HI4&lt;&gt;""),AND(HM4&gt;=HO$12,HN4&gt;=HO$16,HM4&lt;&gt;""),AND(IE4&gt;=IK$12,IG4&gt;=IK$16,IE4&lt;&gt;""),AND(II4&gt;=IK$12,IJ4&gt;=IK$16,II4&lt;&gt;""),AND(JA4&gt;=JG$12,JC4&gt;=JG$16,JA4&lt;&gt;""),AND(JE4&gt;=JG$12,JF4&gt;=JG$16,JE4&lt;&gt;""),AND(JW4&gt;=KC$12,JY4&gt;=KC$16,JW4&lt;&gt;""),AND(KA4&gt;=KC$12,KB4&gt;=KC$16,KA4&lt;&gt;""),AND(KS4&gt;=KY$12,KU4&gt;=KY$16,KS4&lt;&gt;""),AND(KW4&gt;=KY$12,KX4&gt;=KY$16,KW4&lt;&gt;""),AND(LO4&gt;=LU$12,LQ4&gt;=LU$16,LO4&lt;&gt;""),AND(LS4&gt;=LU$12,LT4&gt;=LU$16,LS4&lt;&gt;""),AND(MK4&gt;=MQ$12,MM4&gt;=MQ$16,MK4&lt;&gt;""),AND(MO4&gt;=MQ$12,MP4&gt;=MQ$16,MO4&lt;&gt;""),AND(NG4&gt;=NM$12,NI4&gt;=NM$16,NG4&lt;&gt;""),AND(NK4&gt;=NM$12,NL4&gt;=NM$16,NK4&lt;&gt;"")),"Merit",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Excellence",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National Team",IF(G4="P","No DD",""))))</f>
        <v>Merit</v>
      </c>
      <c r="I4" s="14">
        <f>IF(MAX(AT4,BX4,DB4)&gt;0,MAX(AT4,BX4,DB4),0)</f>
        <v>93.169999999999987</v>
      </c>
      <c r="J4" s="14" t="str">
        <f>IF(I4=0,"",IF(I4=DB4,$CB$1,IF(I4=BX4,$AX$1,IF(I4=AT4,$T$1,""))))</f>
        <v>2022 Elite Canada</v>
      </c>
      <c r="K4" s="14">
        <f>IF($I4=$AT4,MAX(BS4,CW4),IF($I4=$BX4,MAX(AO4,CW4),IF($I4=$DB4,MAX(AO4,BS4),MAX(AO4,BS4,CW4))))</f>
        <v>39.230000000000004</v>
      </c>
      <c r="L4" s="14" t="str">
        <f>IF(K4=0,"",IF(AND(K4=CW4,$J4&lt;&gt;$CB$1),$CB$1,IF(AND(K4=BS4,$J4&lt;&gt;$AX$1),$AX$1,IF(AND(K4=AO4,$J4&lt;&gt;$T$1),$T$1,""))))</f>
        <v>2021 Canadian Championships</v>
      </c>
      <c r="M4" s="14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49.17</v>
      </c>
      <c r="N4" s="14" t="str">
        <f>IF(M4=0,"",IF(AND(OR(M4=DA4,M4=CY4),$J4&lt;&gt;$CB$1),$CB$1,IF(AND(OR(M4=BW4,M4=BU4),$J4&lt;&gt;$AX$1),$AX$1,IF(AND(OR(M4=AS4,M4=AQ4),$J4&lt;&gt;$T$1),$T$1,""))))</f>
        <v>2021 Canadian Championships</v>
      </c>
      <c r="O4" s="14">
        <f>MAX(AV4,BZ4,DD4)</f>
        <v>50.65</v>
      </c>
      <c r="P4" s="14" t="str">
        <f>IF(O4=0,"",IF(O4=DD4,$CB$1,IF(O4=BZ4,$AX$1,IF(O4=AV4,$T$1,""))))</f>
        <v>2022 Elite Canada</v>
      </c>
      <c r="Q4" s="14" t="str">
        <f>IF(MAX(DF4,DG4,DH4,DI4)&gt;0,MAX(DF4,DG4,DH4,DI4),"")</f>
        <v/>
      </c>
      <c r="R4" s="20" t="str">
        <f>IF(Q4="","",IF(Q4=DF4,"(Vol 1)",IF(Q4=DG4,"(Vol 2)",IF(Q4=DH4,"(Prelim)",IF(Q4=DI4,"(Final)")))))</f>
        <v/>
      </c>
      <c r="S4" s="14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45"/>
      <c r="AO4" s="11" t="str">
        <f>IF(SUM(T4:W4)-X4&gt;0,SUM(T4:W4)-X4,"")</f>
        <v/>
      </c>
      <c r="AP4" s="11" t="str">
        <f>IF(AA4&gt;0,AA4,"")</f>
        <v/>
      </c>
      <c r="AQ4" s="11" t="str">
        <f>IF(SUM(Y4:AB4)-AC4&gt;0,SUM(Y4:AB4)-AC4,"")</f>
        <v/>
      </c>
      <c r="AR4" s="11" t="str">
        <f>IF(AF4&gt;0,AF4,"")</f>
        <v/>
      </c>
      <c r="AS4" s="11" t="str">
        <f>IF(SUM(AD4:AG4)-AH4&gt;0,SUM(AD4:AG4)-AH4,"")</f>
        <v/>
      </c>
      <c r="AT4" s="11" t="str">
        <f>IF(AO4="",IF(MAX(AQ4,AS4)&gt;0,MAX(AQ4,AS4),""),MAX(AQ4,AS4)+AO4)</f>
        <v/>
      </c>
      <c r="AU4" s="11" t="str">
        <f>IF(AK4&gt;0,AK4,"")</f>
        <v/>
      </c>
      <c r="AV4" s="11" t="str">
        <f>IF(SUM(AI4:AL4)-AM4&gt;0,SUM(AI4:AL4)-AM4,"")</f>
        <v/>
      </c>
      <c r="AW4" s="11" t="str">
        <f>IF(SUM(AT4,AV4)&gt;0,SUM(AT4,AV4),"")</f>
        <v/>
      </c>
      <c r="AX4" s="42">
        <v>17.100000000000001</v>
      </c>
      <c r="AY4" s="42">
        <v>9</v>
      </c>
      <c r="AZ4" s="42">
        <v>0</v>
      </c>
      <c r="BA4" s="42">
        <v>15.13</v>
      </c>
      <c r="BB4" s="42">
        <v>2</v>
      </c>
      <c r="BC4" s="42">
        <v>16.100000000000001</v>
      </c>
      <c r="BD4" s="42">
        <v>9.1999999999999993</v>
      </c>
      <c r="BE4" s="42">
        <v>9.6</v>
      </c>
      <c r="BF4" s="42">
        <v>14.27</v>
      </c>
      <c r="BG4" s="42">
        <v>0</v>
      </c>
      <c r="BH4" s="42"/>
      <c r="BI4" s="42"/>
      <c r="BJ4" s="42"/>
      <c r="BK4" s="42"/>
      <c r="BL4" s="42"/>
      <c r="BM4" s="42">
        <v>15.9</v>
      </c>
      <c r="BN4" s="42">
        <v>9.5</v>
      </c>
      <c r="BO4" s="42">
        <v>9.6</v>
      </c>
      <c r="BP4" s="42">
        <v>14.17</v>
      </c>
      <c r="BQ4" s="42">
        <v>0</v>
      </c>
      <c r="BR4" s="46"/>
      <c r="BS4" s="14">
        <f>IF(SUM(AX4:BA4)-BB4&gt;0,SUM(AX4:BA4)-BB4,"")</f>
        <v>39.230000000000004</v>
      </c>
      <c r="BT4" s="14">
        <f>IF(BE4&gt;0,BE4,"")</f>
        <v>9.6</v>
      </c>
      <c r="BU4" s="14">
        <f>IF(SUM(BC4:BF4)-BG4&gt;0,SUM(BC4:BF4)-BG4,"")</f>
        <v>49.17</v>
      </c>
      <c r="BV4" s="14" t="str">
        <f>IF(BJ4&gt;0,BJ4,"")</f>
        <v/>
      </c>
      <c r="BW4" s="14" t="str">
        <f>IF(SUM(BH4:BK4)-BL4&gt;0,SUM(BH4:BK4)-BL4,"")</f>
        <v/>
      </c>
      <c r="BX4" s="14">
        <f>IF(BS4="",IF(MAX(BU4,BW4)&gt;0,MAX(BU4,BW4),""),MAX(BU4,BW4)+BS4)</f>
        <v>88.4</v>
      </c>
      <c r="BY4" s="14">
        <f>IF(BO4&gt;0,BO4,"")</f>
        <v>9.6</v>
      </c>
      <c r="BZ4" s="14">
        <f>IF(SUM(BM4:BP4)-BQ4&gt;0,SUM(BM4:BP4)-BQ4,"")</f>
        <v>49.17</v>
      </c>
      <c r="CA4" s="14">
        <f>IF(SUM(BX4,BZ4)&gt;0,SUM(BX4,BZ4),"")</f>
        <v>137.57</v>
      </c>
      <c r="CB4" s="38">
        <v>17.399999999999999</v>
      </c>
      <c r="CC4" s="38">
        <v>9.3000000000000007</v>
      </c>
      <c r="CD4" s="38">
        <v>0</v>
      </c>
      <c r="CE4" s="38">
        <v>15.45</v>
      </c>
      <c r="CF4" s="38">
        <v>0</v>
      </c>
      <c r="CG4" s="38">
        <v>15.2</v>
      </c>
      <c r="CH4" s="38">
        <v>9.8000000000000007</v>
      </c>
      <c r="CI4" s="38">
        <v>11.4</v>
      </c>
      <c r="CJ4" s="38">
        <v>14.62</v>
      </c>
      <c r="CK4" s="38">
        <v>0</v>
      </c>
      <c r="CL4" s="38"/>
      <c r="CM4" s="38"/>
      <c r="CN4" s="38"/>
      <c r="CO4" s="38"/>
      <c r="CP4" s="38"/>
      <c r="CQ4" s="38">
        <v>15.5</v>
      </c>
      <c r="CR4" s="38">
        <v>9.1</v>
      </c>
      <c r="CS4" s="38">
        <v>11.4</v>
      </c>
      <c r="CT4" s="38">
        <v>14.65</v>
      </c>
      <c r="CU4" s="38">
        <v>0</v>
      </c>
      <c r="CV4" s="45"/>
      <c r="CW4" s="11">
        <f>IF(SUM(CB4:CE4)-CF4&gt;0,SUM(CB4:CE4)-CF4,"")</f>
        <v>42.15</v>
      </c>
      <c r="CX4" s="11">
        <f>IF(CI4&gt;0,CI4,"")</f>
        <v>11.4</v>
      </c>
      <c r="CY4" s="11">
        <f>IF(SUM(CG4:CJ4)-CK4&gt;0,SUM(CG4:CJ4)-CK4,"")</f>
        <v>51.019999999999996</v>
      </c>
      <c r="CZ4" s="11" t="str">
        <f>IF(CN4&gt;0,CN4,"")</f>
        <v/>
      </c>
      <c r="DA4" s="11" t="str">
        <f>IF(SUM(CL4:CO4)-CP4&gt;0,SUM(CL4:CO4)-CP4,"")</f>
        <v/>
      </c>
      <c r="DB4" s="11">
        <f>IF(CW4="",IF(MAX(CY4,DA4)&gt;0,MAX(CY4,DA4),""),MAX(CY4,DA4)+CW4)</f>
        <v>93.169999999999987</v>
      </c>
      <c r="DC4" s="11">
        <f>IF(CS4&gt;0,CS4,"")</f>
        <v>11.4</v>
      </c>
      <c r="DD4" s="11">
        <f>IF(SUM(CQ4:CT4)-CU4&gt;0,SUM(CQ4:CT4)-CU4,"")</f>
        <v>50.65</v>
      </c>
      <c r="DE4" s="11">
        <f>IF(SUM(DB4,DD4)&gt;0,SUM(DB4,DD4),"")</f>
        <v>143.82</v>
      </c>
      <c r="DF4" s="19" t="str">
        <f>IF(MAX(DZ4,EV4,FR4,GN4,HJ4,IF4,JB4,JX4,KT4,LP4,ML4,NH4)-IF(K4="",0,K4)&gt;0.001,MAX(DZ4,EV4,FR4,GN4,HJ4,IF4,JB4,JX4,KT4,LP4,ML4,NH4)-IF(K4="",0,K4),"")</f>
        <v/>
      </c>
      <c r="DG4" s="19" t="str">
        <f>IF(MAX(EA4,EW4,FS4,GO4,HK4,IG4,JC4,JY4,KU4,LQ4,MM4,NI4)-IF(M4="",0,M4)&gt;0.001,MAX(EA4,EW4,FS4,GO4,HK4,IG4,JC4,JY4,KU4,LQ4,MM4,NI4)-IF(M4="",0,M4),"")</f>
        <v/>
      </c>
      <c r="DH4" s="19" t="str">
        <f>IF(MAX(EB4,EX4,FT4,GP4,HL4,IH4,JD4,JZ4,KV4,LR4,MN4,NJ4)-IF(I4="",0,I4)&gt;0.001,MAX(EB4,EX4,FT4,GP4,HL4,IH4,JD4,JZ4,KV4,LR4,MN4,NJ4)-IF(I4="",0,I4),"")</f>
        <v/>
      </c>
      <c r="DI4" s="19" t="str">
        <f>IF(MAX(ED4,EZ4,FV4,GR4,HN4,IJ4,JF4,KB4,KX4,LT4,MP4,NL4)-IF(O4="",0,O4)&gt;0.001,MAX(ED4,EZ4,FV4,GR4,HN4,IJ4,JF4,KB4,KX4,LT4,MP4,NL4)-IF(O4="",0,O4),"")</f>
        <v/>
      </c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11" t="str">
        <f>IF(DQ4&gt;0,DQ4,"")</f>
        <v/>
      </c>
      <c r="DZ4" s="11" t="str">
        <f>IF(SUM(DJ4:DM4)-DN4&gt;0,SUM(DJ4:DM4)-DN4,"")</f>
        <v/>
      </c>
      <c r="EA4" s="11" t="str">
        <f>IF(SUM(DO4:DR4)-DS4&gt;0,SUM(DO4:DR4)-DS4,"")</f>
        <v/>
      </c>
      <c r="EB4" s="11" t="str">
        <f>IF(SUM(DZ4:EA4)&gt;0,SUM(DZ4:EA4),"")</f>
        <v/>
      </c>
      <c r="EC4" s="11" t="str">
        <f>IF(DV4&gt;0,DV4,"")</f>
        <v/>
      </c>
      <c r="ED4" s="11" t="str">
        <f>IF(SUM(DT4:DW4)-DX4&gt;0,SUM(DT4:DW4)-DX4,"")</f>
        <v/>
      </c>
      <c r="EE4" s="11" t="str">
        <f>IF(SUM(EB4,ED4)&gt;0,SUM(EB4,ED4),"")</f>
        <v/>
      </c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14" t="str">
        <f>IF(EM4&gt;0,EM4,"")</f>
        <v/>
      </c>
      <c r="EV4" s="14" t="str">
        <f>IF(SUM(EF4:EI4)-EJ4&gt;0,SUM(EF4:EI4)-EJ4,"")</f>
        <v/>
      </c>
      <c r="EW4" s="14" t="str">
        <f>IF(SUM(EK4:EN4)-EO4&gt;0,SUM(EK4:EN4)-EO4,"")</f>
        <v/>
      </c>
      <c r="EX4" s="14" t="str">
        <f>IF(SUM(EV4:EW4)&gt;0,SUM(EV4:EW4),"")</f>
        <v/>
      </c>
      <c r="EY4" s="14" t="str">
        <f>IF(ER4&gt;0,ER4,"")</f>
        <v/>
      </c>
      <c r="EZ4" s="14" t="str">
        <f>IF(SUM(EP4:ES4)-ET4&gt;0,SUM(EP4:ES4)-ET4,"")</f>
        <v/>
      </c>
      <c r="FA4" s="14" t="str">
        <f>IF(SUM(EX4,EZ4)&gt;0,SUM(EX4,EZ4),"")</f>
        <v/>
      </c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11" t="str">
        <f>IF(FI4&gt;0,FI4,"")</f>
        <v/>
      </c>
      <c r="FR4" s="11" t="str">
        <f>IF(SUM(FB4:FE4)-FF4&gt;0,SUM(FB4:FE4)-FF4,"")</f>
        <v/>
      </c>
      <c r="FS4" s="11" t="str">
        <f>IF(SUM(FG4:FJ4)-FK4&gt;0,SUM(FG4:FJ4)-FK4,"")</f>
        <v/>
      </c>
      <c r="FT4" s="11" t="str">
        <f>IF(SUM(FR4:FS4)&gt;0,SUM(FR4:FS4),"")</f>
        <v/>
      </c>
      <c r="FU4" s="11" t="str">
        <f>IF(FN4&gt;0,FN4,"")</f>
        <v/>
      </c>
      <c r="FV4" s="11" t="str">
        <f>IF(SUM(FL4:FO4)-FP4&gt;0,SUM(FL4:FO4)-FP4,"")</f>
        <v/>
      </c>
      <c r="FW4" s="11" t="str">
        <f>IF(SUM(FT4,FV4)&gt;0,SUM(FT4,FV4),"")</f>
        <v/>
      </c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14" t="str">
        <f>IF(GE4&gt;0,GE4,"")</f>
        <v/>
      </c>
      <c r="GN4" s="14" t="str">
        <f>IF(SUM(FX4:GA4)-GB4&gt;0,SUM(FX4:GA4)-GB4,"")</f>
        <v/>
      </c>
      <c r="GO4" s="14" t="str">
        <f>IF(SUM(GC4:GF4)-GG4&gt;0,SUM(GC4:GF4)-GG4,"")</f>
        <v/>
      </c>
      <c r="GP4" s="14" t="str">
        <f>IF(SUM(GN4:GO4)&gt;0,SUM(GN4:GO4),"")</f>
        <v/>
      </c>
      <c r="GQ4" s="14" t="str">
        <f>IF(GJ4&gt;0,GJ4,"")</f>
        <v/>
      </c>
      <c r="GR4" s="14" t="str">
        <f>IF(SUM(GH4:GK4)-GL4&gt;0,SUM(GH4:GK4)-GL4,"")</f>
        <v/>
      </c>
      <c r="GS4" s="14" t="str">
        <f>IF(SUM(GP4,GR4)&gt;0,SUM(GP4,GR4),"")</f>
        <v/>
      </c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11" t="str">
        <f>IF(HA4&gt;0,HA4,"")</f>
        <v/>
      </c>
      <c r="HJ4" s="11" t="str">
        <f>IF(SUM(GT4:GW4)-GX4&gt;0,SUM(GT4:GW4)-GX4,"")</f>
        <v/>
      </c>
      <c r="HK4" s="11" t="str">
        <f>IF(SUM(GY4:HB4)-HC4&gt;0,SUM(GY4:HB4)-HC4,"")</f>
        <v/>
      </c>
      <c r="HL4" s="11" t="str">
        <f>IF(SUM(HJ4:HK4)&gt;0,SUM(HJ4:HK4),"")</f>
        <v/>
      </c>
      <c r="HM4" s="11" t="str">
        <f>IF(HF4&gt;0,HF4,"")</f>
        <v/>
      </c>
      <c r="HN4" s="11" t="str">
        <f>IF(SUM(HD4:HG4)-HH4&gt;0,SUM(HD4:HG4)-HH4,"")</f>
        <v/>
      </c>
      <c r="HO4" s="11" t="str">
        <f>IF(SUM(HL4,HN4)&gt;0,SUM(HL4,HN4),"")</f>
        <v/>
      </c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14" t="str">
        <f>IF(HW4&gt;0,HW4,"")</f>
        <v/>
      </c>
      <c r="IF4" s="14" t="str">
        <f>IF(SUM(HP4:HS4)-HT4&gt;0,SUM(HP4:HS4)-HT4,"")</f>
        <v/>
      </c>
      <c r="IG4" s="14" t="str">
        <f>IF(SUM(HU4:HX4)-HY4&gt;0,SUM(HU4:HX4)-HY4,"")</f>
        <v/>
      </c>
      <c r="IH4" s="14" t="str">
        <f>IF(SUM(IF4:IG4)&gt;0,SUM(IF4:IG4),"")</f>
        <v/>
      </c>
      <c r="II4" s="14" t="str">
        <f>IF(IB4&gt;0,IB4,"")</f>
        <v/>
      </c>
      <c r="IJ4" s="14" t="str">
        <f>IF(SUM(HZ4:IC4)-ID4&gt;0,SUM(HZ4:IC4)-ID4,"")</f>
        <v/>
      </c>
      <c r="IK4" s="14" t="str">
        <f>IF(SUM(IH4,IJ4)&gt;0,SUM(IH4,IJ4),"")</f>
        <v/>
      </c>
      <c r="IL4" s="24"/>
      <c r="IM4" s="24"/>
      <c r="IN4" s="24"/>
      <c r="IO4" s="24"/>
      <c r="IP4" s="24"/>
      <c r="IQ4" s="24"/>
      <c r="IR4" s="24"/>
      <c r="IS4" s="24"/>
      <c r="IT4" s="24"/>
      <c r="IU4" s="24"/>
      <c r="IV4" s="24"/>
      <c r="IW4" s="24"/>
      <c r="IX4" s="24"/>
      <c r="IY4" s="24"/>
      <c r="IZ4" s="24"/>
      <c r="JA4" s="11" t="str">
        <f>IF(IS4&gt;0,IS4,"")</f>
        <v/>
      </c>
      <c r="JB4" s="11" t="str">
        <f>IF(SUM(IL4:IO4)-IP4&gt;0,SUM(IL4:IO4)-IP4,"")</f>
        <v/>
      </c>
      <c r="JC4" s="11" t="str">
        <f>IF(SUM(IQ4:IT4)-IU4&gt;0,SUM(IQ4:IT4)-IU4,"")</f>
        <v/>
      </c>
      <c r="JD4" s="11" t="str">
        <f>IF(SUM(JB4:JC4)&gt;0,SUM(JB4:JC4),"")</f>
        <v/>
      </c>
      <c r="JE4" s="11" t="str">
        <f>IF(IX4&gt;0,IX4,"")</f>
        <v/>
      </c>
      <c r="JF4" s="11" t="str">
        <f>IF(SUM(IV4:IY4)-IZ4&gt;0,SUM(IV4:IY4)-IZ4,"")</f>
        <v/>
      </c>
      <c r="JG4" s="11" t="str">
        <f>IF(SUM(JD4,JF4)&gt;0,SUM(JD4,JF4),"")</f>
        <v/>
      </c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14" t="str">
        <f>IF(JO4&gt;0,JO4,"")</f>
        <v/>
      </c>
      <c r="JX4" s="14" t="str">
        <f>IF(SUM(JH4:JK4)-JL4&gt;0,SUM(JH4:JK4)-JL4,"")</f>
        <v/>
      </c>
      <c r="JY4" s="14" t="str">
        <f>IF(SUM(JM4:JP4)-JQ4&gt;0,SUM(JM4:JP4)-JQ4,"")</f>
        <v/>
      </c>
      <c r="JZ4" s="14" t="str">
        <f>IF(SUM(JX4:JY4)&gt;0,SUM(JX4:JY4),"")</f>
        <v/>
      </c>
      <c r="KA4" s="14" t="str">
        <f>IF(JT4&gt;0,JT4,"")</f>
        <v/>
      </c>
      <c r="KB4" s="14" t="str">
        <f>IF(SUM(JR4:JU4)-JV4&gt;0,SUM(JR4:JU4)-JV4,"")</f>
        <v/>
      </c>
      <c r="KC4" s="14" t="str">
        <f>IF(SUM(JZ4,KB4)&gt;0,SUM(JZ4,KB4),"")</f>
        <v/>
      </c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24"/>
      <c r="KO4" s="24"/>
      <c r="KP4" s="24"/>
      <c r="KQ4" s="24"/>
      <c r="KR4" s="24"/>
      <c r="KS4" s="11" t="str">
        <f>IF(KK4&gt;0,KK4,"")</f>
        <v/>
      </c>
      <c r="KT4" s="11" t="str">
        <f>IF(SUM(KD4:KG4)-KH4&gt;0,SUM(KD4:KG4)-KH4,"")</f>
        <v/>
      </c>
      <c r="KU4" s="11" t="str">
        <f>IF(SUM(KI4:KL4)-KM4&gt;0,SUM(KI4:KL4)-KM4,"")</f>
        <v/>
      </c>
      <c r="KV4" s="11" t="str">
        <f>IF(SUM(KT4:KU4)&gt;0,SUM(KT4:KU4),"")</f>
        <v/>
      </c>
      <c r="KW4" s="11" t="str">
        <f>IF(KP4&gt;0,KP4,"")</f>
        <v/>
      </c>
      <c r="KX4" s="11" t="str">
        <f>IF(SUM(KN4:KQ4)-KR4&gt;0,SUM(KN4:KQ4)-KR4,"")</f>
        <v/>
      </c>
      <c r="KY4" s="11" t="str">
        <f>IF(SUM(KV4,KX4)&gt;0,SUM(KV4,KX4),"")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14" t="str">
        <f>IF(LG4&gt;0,LG4,"")</f>
        <v/>
      </c>
      <c r="LP4" s="14" t="str">
        <f>IF(SUM(KZ4:LC4)-LD4&gt;0,SUM(KZ4:LC4)-LD4,"")</f>
        <v/>
      </c>
      <c r="LQ4" s="14" t="str">
        <f>IF(SUM(LE4:LH4)-LI4&gt;0,SUM(LE4:LH4)-LI4,"")</f>
        <v/>
      </c>
      <c r="LR4" s="14" t="str">
        <f>IF(SUM(LP4:LQ4)&gt;0,SUM(LP4:LQ4),"")</f>
        <v/>
      </c>
      <c r="LS4" s="14" t="str">
        <f>IF(LL4&gt;0,LL4,"")</f>
        <v/>
      </c>
      <c r="LT4" s="14" t="str">
        <f>IF(SUM(LJ4:LM4)-LN4&gt;0,SUM(LJ4:LM4)-LN4,"")</f>
        <v/>
      </c>
      <c r="LU4" s="14" t="str">
        <f>IF(SUM(LR4,LT4)&gt;0,SUM(LR4,LT4),"")</f>
        <v/>
      </c>
      <c r="LV4" s="24"/>
      <c r="LW4" s="24"/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11" t="str">
        <f>IF(MC4&gt;0,MC4,"")</f>
        <v/>
      </c>
      <c r="ML4" s="11" t="str">
        <f>IF(SUM(LV4:LY4)-LZ4&gt;0,SUM(LV4:LY4)-LZ4,"")</f>
        <v/>
      </c>
      <c r="MM4" s="11" t="str">
        <f>IF(SUM(MA4:MD4)-ME4&gt;0,SUM(MA4:MD4)-ME4,"")</f>
        <v/>
      </c>
      <c r="MN4" s="11" t="str">
        <f>IF(SUM(ML4:MM4)&gt;0,SUM(ML4:MM4),"")</f>
        <v/>
      </c>
      <c r="MO4" s="11" t="str">
        <f>IF(MH4&gt;0,MH4,"")</f>
        <v/>
      </c>
      <c r="MP4" s="11" t="str">
        <f>IF(SUM(MF4:MI4)-MJ4&gt;0,SUM(MF4:MI4)-MJ4,"")</f>
        <v/>
      </c>
      <c r="MQ4" s="11" t="str">
        <f>IF(SUM(MN4,MP4)&gt;0,SUM(MN4,MP4),"")</f>
        <v/>
      </c>
      <c r="MR4" s="25"/>
      <c r="MS4" s="25"/>
      <c r="MT4" s="25"/>
      <c r="MU4" s="25"/>
      <c r="MV4" s="25"/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14" t="str">
        <f>IF(MY4&gt;0,MY4,"")</f>
        <v/>
      </c>
      <c r="NH4" s="14" t="str">
        <f>IF(SUM(MR4:MU4)-MV4&gt;0,SUM(MR4:MU4)-MV4,"")</f>
        <v/>
      </c>
      <c r="NI4" s="14" t="str">
        <f>IF(SUM(MW4:MZ4)-NA4&gt;0,SUM(MW4:MZ4)-NA4,"")</f>
        <v/>
      </c>
      <c r="NJ4" s="14" t="str">
        <f>IF(SUM(NH4:NI4)&gt;0,SUM(NH4:NI4),"")</f>
        <v/>
      </c>
      <c r="NK4" s="14" t="str">
        <f>IF(ND4&gt;0,ND4,"")</f>
        <v/>
      </c>
      <c r="NL4" s="14" t="str">
        <f>IF(SUM(NB4:NE4)-NF4&gt;0,SUM(NB4:NE4)-NF4,"")</f>
        <v/>
      </c>
      <c r="NM4" s="14" t="str">
        <f>IF(SUM(NJ4,NL4)&gt;0,SUM(NJ4,NL4),"")</f>
        <v/>
      </c>
      <c r="NN4" s="38">
        <f>IF($CV4="P",CB4,(CB4+AX4)/2)</f>
        <v>17.25</v>
      </c>
      <c r="NO4" s="38">
        <f>IF($CV4="P",CC4,(CC4+AY4)/2)</f>
        <v>9.15</v>
      </c>
      <c r="NP4" s="38">
        <f>IF($CV4="P",CD4,(CD4+AZ4)/2)</f>
        <v>0</v>
      </c>
      <c r="NQ4" s="38">
        <f>IF($CV4="P",CE4,(CE4+BA4)/2)</f>
        <v>15.29</v>
      </c>
      <c r="NR4" s="38">
        <f>IF($CV4="P",CF4,(CF4+BB4)/2)</f>
        <v>1</v>
      </c>
      <c r="NS4" s="38">
        <f>IF($CV4="P",CG4,(CG4+BC4)/2)</f>
        <v>15.65</v>
      </c>
      <c r="NT4" s="38">
        <f>IF($CV4="P",CH4,(CH4+BD4)/2)</f>
        <v>9.5</v>
      </c>
      <c r="NU4" s="38">
        <f>IF($CV4="P",CI4,(CI4+BE4)/2)</f>
        <v>10.5</v>
      </c>
      <c r="NV4" s="38">
        <f>IF($CV4="P",CJ4,(CJ4+BF4)/2)</f>
        <v>14.445</v>
      </c>
      <c r="NW4" s="38">
        <f>IF($CV4="P",CK4,(CK4+BG4)/2)</f>
        <v>0</v>
      </c>
      <c r="NX4" s="38">
        <f>IF($CV4="P",CL4,(CL4+BH4)/2)</f>
        <v>0</v>
      </c>
      <c r="NY4" s="38">
        <f>IF($CV4="P",CM4,(CM4+BI4)/2)</f>
        <v>0</v>
      </c>
      <c r="NZ4" s="38">
        <f>IF($CV4="P",CN4,(CN4+BJ4)/2)</f>
        <v>0</v>
      </c>
      <c r="OA4" s="38">
        <f>IF($CV4="P",CO4,(CO4+BK4)/2)</f>
        <v>0</v>
      </c>
      <c r="OB4" s="38">
        <f>IF($CV4="P",CP4,(CP4+BL4)/2)</f>
        <v>0</v>
      </c>
      <c r="OC4" s="38">
        <f>IF($CV4="P",CQ4,(CQ4+BM4)/2)</f>
        <v>15.7</v>
      </c>
      <c r="OD4" s="38">
        <f>IF($CV4="P",CR4,(CR4+BN4)/2)</f>
        <v>9.3000000000000007</v>
      </c>
      <c r="OE4" s="38">
        <f>IF($CV4="P",CS4,(CS4+BO4)/2)</f>
        <v>10.5</v>
      </c>
      <c r="OF4" s="38">
        <f>IF($CV4="P",CT4,(CT4+BP4)/2)</f>
        <v>14.41</v>
      </c>
      <c r="OG4" s="38">
        <f>IF($CV4="P",CU4,(CU4+BQ4)/2)</f>
        <v>0</v>
      </c>
      <c r="OH4" s="45" t="s">
        <v>44</v>
      </c>
      <c r="OI4" s="11">
        <f>IF(SUM(NN4:NQ4)-NR4&gt;0,SUM(NN4:NQ4)-NR4,"")</f>
        <v>40.69</v>
      </c>
      <c r="OJ4" s="11">
        <f>IF(NU4&gt;0,NU4,"")</f>
        <v>10.5</v>
      </c>
      <c r="OK4" s="11">
        <f>IF(SUM(NS4:NV4)-NW4&gt;0,SUM(NS4:NV4)-NW4,"")</f>
        <v>50.094999999999999</v>
      </c>
      <c r="OL4" s="11" t="str">
        <f>IF(NZ4&gt;0,NZ4,"")</f>
        <v/>
      </c>
      <c r="OM4" s="11" t="str">
        <f>IF(SUM(NX4:OA4)-OB4&gt;0,SUM(NX4:OA4)-OB4,"")</f>
        <v/>
      </c>
      <c r="ON4" s="11">
        <f>IF(OR(OI4&lt;&gt;"",OK4&lt;&gt;"",OM4&lt;&gt;""),OI4+MAX(OK4,OM4),"")</f>
        <v>90.784999999999997</v>
      </c>
      <c r="OO4" s="11">
        <f>IF(OE4&gt;0,OE4,"")</f>
        <v>10.5</v>
      </c>
      <c r="OP4" s="11">
        <f t="shared" ref="OP4" si="0">IF(SUM(OC4:OF4)-OG4&gt;0,SUM(OC4:OF4)-OG4,"")</f>
        <v>49.91</v>
      </c>
      <c r="OQ4" s="11">
        <f t="shared" ref="OQ4" si="1">IF(SUM(ON4,OP4)&gt;0,SUM(ON4,OP4),"")</f>
        <v>140.69499999999999</v>
      </c>
    </row>
    <row r="5" spans="1:407" x14ac:dyDescent="0.2">
      <c r="A5" s="5" cm="1">
        <f t="array" ref="A5">IF(AND(F5&lt;&gt;"",G5&lt;&gt;""),SUMPRODUCT((F$4:F$7&lt;&gt;"")*(G$4:G$7&lt;&gt;"")*(E$4:E$7&gt;E5))+1,IF(G5&lt;&gt;"",SUMPRODUCT((H$4:H$7="No DD")*(E$4:E$7&gt;E5))+1+SUMPRODUCT((F$4:F$7&lt;&gt;"")*(G$4:G$7&lt;&gt;"")),""))</f>
        <v>2</v>
      </c>
      <c r="B5" s="68" t="s">
        <v>75</v>
      </c>
      <c r="C5" s="5" t="s">
        <v>3</v>
      </c>
      <c r="D5" s="5">
        <v>2006</v>
      </c>
      <c r="E5" s="15">
        <f>SUM(I5:Q5)</f>
        <v>230.60499999999996</v>
      </c>
      <c r="F5" s="3" t="str">
        <f>IF(OR(AND(AP5&gt;=AW$9,AT5&gt;=AW$13,AO5&lt;&gt;"",AN5=""),AND(BT5&gt;=CA$9,BX5&gt;=CA$13,BS5&lt;&gt;"",BR5=""),AND(CX5&gt;=DE$9,DB5&gt;=DE$13,CW5&lt;&gt;"",CV5=""),AND(DY5&gt;=EE$9,EB5&gt;=EE$13,DY5&lt;&gt;""),AND(EU5&gt;=FA$9,EX5&gt;=FA$13,EU5&lt;&gt;""),AND(FQ5&gt;=FW$9,FT5&gt;=FW$13,FQ5&lt;&gt;""),AND(GM5&gt;=GS$9,GP5&gt;=GS$13,GM5&lt;&gt;""),AND(HI5&gt;=HO$9,HL5&gt;=HO$13,HI5&lt;&gt;""),AND(IE5&gt;=IK$9,IH5&gt;=IK$13,IE5&lt;&gt;""),AND(JA5&gt;=JG$9,JD5&gt;=JG$13,JA5&lt;&gt;""),AND(JW5&gt;=KC$9,JZ5&gt;=KC$13,JW5&lt;&gt;""),AND(KS5&gt;=KY$9,KV5&gt;=KY$13,KS5&lt;&gt;""),AND(LO5&gt;=LU$9,LR5&gt;=LU$13,LO5&lt;&gt;""),AND(MK5&gt;=MQ$9,MN5&gt;=MQ$13,MK5&lt;&gt;""),AND(NG5&gt;=NM$9,NJ5&gt;=NM$13,NG5&lt;&gt;"")),"P","")</f>
        <v/>
      </c>
      <c r="G5" s="3" t="str">
        <f>IF(OR(AND(AT5&gt;=AW$13,AO5&lt;&gt;"",AN5=""),AND(BX5&gt;=CA$13,BS5&lt;&gt;"",BR5=""),AND(DB5&gt;=DE$13,CW5&lt;&gt;"",CV5=""),AND(EB5&gt;=EE$13,DY5&lt;&gt;""),AND(EX5&gt;=FA$13,EU5&lt;&gt;""),AND(FT5&gt;=FW$13,FQ5&lt;&gt;""),AND(GP5&gt;=GS$13,GM5&lt;&gt;""),AND(HL5&gt;=HO$13,HI5&lt;&gt;""),AND(IH5&gt;=IK$13,IE5&lt;&gt;""),AND(JD5&gt;=JG$13,JA5&lt;&gt;""),AND(JZ5&gt;=KC$13,JW5&lt;&gt;""),AND(KV5&gt;=KY$13,KS5&lt;&gt;""),AND(LR5&gt;=LU$13,LO5&lt;&gt;""),AND(MN5&gt;=MQ$13,MK5&lt;&gt;""),AND(NJ5&gt;=NM$13,NG5&lt;&gt;"")),"P","")</f>
        <v>P</v>
      </c>
      <c r="H5" s="67" t="str">
        <f>IF(OR(AND(AP5&gt;=AW$12,AQ5&gt;=AW$16,AP5&lt;&gt;"",AN5=""),AND(AU5&gt;=AW$12,AV5&gt;=AW$16,AU5&lt;&gt;"",AN5=""),AND(BT5&gt;=CA$12,BU5&gt;=CA$16,BT5&lt;&gt;"",BR5=""),AND(BY5&gt;=CA$12,BZ5&gt;=CA$16,BY5&lt;&gt;"",BR5=""),AND(CX5&gt;=DE$12,CY5&gt;=DE$16,CX5&lt;&gt;"",CV5=""),AND(DC5&gt;=DE$12,DD5&gt;=DE$16,DC5&lt;&gt;"",CV5=""),AND(DY5&gt;=EE$12,EA5&gt;=EE$16,DY5&lt;&gt;""),AND(EC5&gt;=EE$12,ED5&gt;=EE$16,EC5&lt;&gt;""),AND(EU5&gt;=FA$12,EW5&gt;=FA$16,EU5&lt;&gt;""),AND(EY5&gt;=FA$12,EZ5&gt;=FA$16,EY5&lt;&gt;""),AND(FQ5&gt;=FW$12,FS5&gt;=FW$16,FQ5&lt;&gt;""),AND(FU5&gt;=FW$12,FV5&gt;=FW$16,FU5&lt;&gt;""),AND(GM5&gt;=GS$12,GO5&gt;=GS$16,GM5&lt;&gt;""),AND(GQ5&gt;=GS$12,GR5&gt;=GS$16,GQ5&lt;&gt;""),AND(HI5&gt;=HO$12,HK5&gt;=HO$16,HI5&lt;&gt;""),AND(HM5&gt;=HO$12,HN5&gt;=HO$16,HM5&lt;&gt;""),AND(IE5&gt;=IK$12,IG5&gt;=IK$16,IE5&lt;&gt;""),AND(II5&gt;=IK$12,IJ5&gt;=IK$16,II5&lt;&gt;""),AND(JA5&gt;=JG$12,JC5&gt;=JG$16,JA5&lt;&gt;""),AND(JE5&gt;=JG$12,JF5&gt;=JG$16,JE5&lt;&gt;""),AND(JW5&gt;=KC$12,JY5&gt;=KC$16,JW5&lt;&gt;""),AND(KA5&gt;=KC$12,KB5&gt;=KC$16,KA5&lt;&gt;""),AND(KS5&gt;=KY$12,KU5&gt;=KY$16,KS5&lt;&gt;""),AND(KW5&gt;=KY$12,KX5&gt;=KY$16,KW5&lt;&gt;""),AND(LO5&gt;=LU$12,LQ5&gt;=LU$16,LO5&lt;&gt;""),AND(LS5&gt;=LU$12,LT5&gt;=LU$16,LS5&lt;&gt;""),AND(MK5&gt;=MQ$12,MM5&gt;=MQ$16,MK5&lt;&gt;""),AND(MO5&gt;=MQ$12,MP5&gt;=MQ$16,MO5&lt;&gt;""),AND(NG5&gt;=NM$12,NI5&gt;=NM$16,NG5&lt;&gt;""),AND(NK5&gt;=NM$12,NL5&gt;=NM$16,NK5&lt;&gt;"")),"Merit",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Excellence",IF(OR(AND(AP5&gt;=AW$9,AT5&gt;=AW$13,AO5&lt;&gt;"",AN5=""),AND(BT5&gt;=CA$9,BX5&gt;=CA$13,BS5&lt;&gt;"",BR5=""),AND(CX5&gt;=DE$9,DB5&gt;=DE$13,CW5&lt;&gt;"",CV5=""),AND(DY5&gt;=EE$9,EB5&gt;=EE$13,DY5&lt;&gt;""),AND(EU5&gt;=FA$9,EX5&gt;=FA$13,EU5&lt;&gt;""),AND(FQ5&gt;=FW$9,FT5&gt;=FW$13,FQ5&lt;&gt;""),AND(GM5&gt;=GS$9,GP5&gt;=GS$13,GM5&lt;&gt;""),AND(HI5&gt;=HO$9,HL5&gt;=HO$13,HI5&lt;&gt;""),AND(IE5&gt;=IK$9,IH5&gt;=IK$13,IE5&lt;&gt;""),AND(JA5&gt;=JG$9,JD5&gt;=JG$13,JA5&lt;&gt;""),AND(JW5&gt;=KC$9,JZ5&gt;=KC$13,JW5&lt;&gt;""),AND(KS5&gt;=KY$9,KV5&gt;=KY$13,KS5&lt;&gt;""),AND(LO5&gt;=LU$9,LR5&gt;=LU$13,LO5&lt;&gt;""),AND(MK5&gt;=MQ$9,MN5&gt;=MQ$13,MK5&lt;&gt;""),AND(NG5&gt;=NM$9,NJ5&gt;=NM$13,NG5&lt;&gt;"")),"National Team",IF(G5="P","No DD",""))))</f>
        <v>No DD</v>
      </c>
      <c r="I5" s="14">
        <f>IF(MAX(AT5,BX5,DB5)&gt;0,MAX(AT5,BX5,DB5),0)</f>
        <v>91.09</v>
      </c>
      <c r="J5" s="14" t="str">
        <f>IF(I5=0,"",IF(I5=DB5,$CB$1,IF(I5=BX5,$AX$1,IF(I5=AT5,$T$1,""))))</f>
        <v>2022 Elite Canada</v>
      </c>
      <c r="K5" s="14">
        <f>IF($I5=$AT5,MAX(BS5,CW5),IF($I5=$BX5,MAX(AO5,CW5),IF($I5=$DB5,MAX(AO5,BS5),MAX(AO5,BS5,CW5))))</f>
        <v>41.61</v>
      </c>
      <c r="L5" s="14" t="str">
        <f>IF(K5=0,"",IF(AND(K5=CW5,$J5&lt;&gt;$CB$1),$CB$1,IF(AND(K5=BS5,$J5&lt;&gt;$AX$1),$AX$1,IF(AND(K5=AO5,$J5&lt;&gt;$T$1),$T$1,""))))</f>
        <v>2021 Canadian Championships</v>
      </c>
      <c r="M5" s="14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47.635000000000005</v>
      </c>
      <c r="N5" s="14" t="str">
        <f>IF(M5=0,"",IF(AND(OR(M5=DA5,M5=CY5),$J5&lt;&gt;$CB$1),$CB$1,IF(AND(OR(M5=BW5,M5=BU5),$J5&lt;&gt;$AX$1),$AX$1,IF(AND(OR(M5=AS5,M5=AQ5),$J5&lt;&gt;$T$1),$T$1,""))))</f>
        <v>2021 Elite Canada</v>
      </c>
      <c r="O5" s="14">
        <f>MAX(AV5,BZ5,DD5)</f>
        <v>50.269999999999996</v>
      </c>
      <c r="P5" s="14" t="str">
        <f>IF(O5=0,"",IF(O5=DD5,$CB$1,IF(O5=BZ5,$AX$1,IF(O5=AV5,$T$1,""))))</f>
        <v>2021 Canadian Championships</v>
      </c>
      <c r="Q5" s="14" t="str">
        <f>IF(MAX(DF5,DG5,DH5,DI5)&gt;0,MAX(DF5,DG5,DH5,DI5),"")</f>
        <v/>
      </c>
      <c r="R5" s="20" t="str">
        <f>IF(Q5="","",IF(Q5=DF5,"(Vol 1)",IF(Q5=DG5,"(Vol 2)",IF(Q5=DH5,"(Prelim)",IF(Q5=DI5,"(Final)")))))</f>
        <v/>
      </c>
      <c r="S5" s="14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38">
        <v>16.3</v>
      </c>
      <c r="U5" s="38">
        <v>9.1999999999999993</v>
      </c>
      <c r="V5" s="38">
        <v>0</v>
      </c>
      <c r="W5" s="38">
        <v>14.994999999999999</v>
      </c>
      <c r="X5" s="38">
        <v>0</v>
      </c>
      <c r="Y5" s="38">
        <v>14.8</v>
      </c>
      <c r="Z5" s="38">
        <v>9</v>
      </c>
      <c r="AA5" s="38">
        <v>9.4</v>
      </c>
      <c r="AB5" s="38">
        <v>14.435</v>
      </c>
      <c r="AC5" s="38">
        <v>0</v>
      </c>
      <c r="AD5" s="38"/>
      <c r="AE5" s="38"/>
      <c r="AF5" s="38"/>
      <c r="AG5" s="38"/>
      <c r="AH5" s="38"/>
      <c r="AI5" s="38">
        <v>14.2</v>
      </c>
      <c r="AJ5" s="38">
        <v>9</v>
      </c>
      <c r="AK5" s="38">
        <v>8.4</v>
      </c>
      <c r="AL5" s="38">
        <v>14.62</v>
      </c>
      <c r="AM5" s="38">
        <v>0.4</v>
      </c>
      <c r="AN5" s="45"/>
      <c r="AO5" s="11">
        <f>IF(SUM(T5:W5)-X5&gt;0,SUM(T5:W5)-X5,"")</f>
        <v>40.494999999999997</v>
      </c>
      <c r="AP5" s="11">
        <f>IF(AA5&gt;0,AA5,"")</f>
        <v>9.4</v>
      </c>
      <c r="AQ5" s="11">
        <f>IF(SUM(Y5:AB5)-AC5&gt;0,SUM(Y5:AB5)-AC5,"")</f>
        <v>47.635000000000005</v>
      </c>
      <c r="AR5" s="11" t="str">
        <f>IF(AF5&gt;0,AF5,"")</f>
        <v/>
      </c>
      <c r="AS5" s="11" t="str">
        <f>IF(SUM(AD5:AG5)-AH5&gt;0,SUM(AD5:AG5)-AH5,"")</f>
        <v/>
      </c>
      <c r="AT5" s="11">
        <f>IF(AO5="",IF(MAX(AQ5,AS5)&gt;0,MAX(AQ5,AS5),""),MAX(AQ5,AS5)+AO5)</f>
        <v>88.13</v>
      </c>
      <c r="AU5" s="11">
        <f>IF(AK5&gt;0,AK5,"")</f>
        <v>8.4</v>
      </c>
      <c r="AV5" s="11">
        <f>IF(SUM(AI5:AL5)-AM5&gt;0,SUM(AI5:AL5)-AM5,"")</f>
        <v>45.82</v>
      </c>
      <c r="AW5" s="11">
        <f>IF(SUM(AT5,AV5)&gt;0,SUM(AT5,AV5),"")</f>
        <v>133.94999999999999</v>
      </c>
      <c r="AX5" s="42">
        <v>17.2</v>
      </c>
      <c r="AY5" s="42">
        <v>9.5</v>
      </c>
      <c r="AZ5" s="42">
        <v>0</v>
      </c>
      <c r="BA5" s="42">
        <v>14.91</v>
      </c>
      <c r="BB5" s="42">
        <v>0</v>
      </c>
      <c r="BC5" s="42">
        <v>15.4</v>
      </c>
      <c r="BD5" s="42">
        <v>9.4</v>
      </c>
      <c r="BE5" s="42">
        <v>8.4</v>
      </c>
      <c r="BF5" s="42">
        <v>14.734999999999999</v>
      </c>
      <c r="BG5" s="42">
        <v>0.4</v>
      </c>
      <c r="BH5" s="42"/>
      <c r="BI5" s="42"/>
      <c r="BJ5" s="42"/>
      <c r="BK5" s="42"/>
      <c r="BL5" s="42"/>
      <c r="BM5" s="42">
        <v>16.2</v>
      </c>
      <c r="BN5" s="42">
        <v>9.6</v>
      </c>
      <c r="BO5" s="42">
        <v>9.8000000000000007</v>
      </c>
      <c r="BP5" s="42">
        <v>14.67</v>
      </c>
      <c r="BQ5" s="42">
        <v>0</v>
      </c>
      <c r="BR5" s="46"/>
      <c r="BS5" s="14">
        <f>IF(SUM(AX5:BA5)-BB5&gt;0,SUM(AX5:BA5)-BB5,"")</f>
        <v>41.61</v>
      </c>
      <c r="BT5" s="14">
        <f>IF(BE5&gt;0,BE5,"")</f>
        <v>8.4</v>
      </c>
      <c r="BU5" s="14">
        <f>IF(SUM(BC5:BF5)-BG5&gt;0,SUM(BC5:BF5)-BG5,"")</f>
        <v>47.535000000000004</v>
      </c>
      <c r="BV5" s="14" t="str">
        <f>IF(BJ5&gt;0,BJ5,"")</f>
        <v/>
      </c>
      <c r="BW5" s="14" t="str">
        <f>IF(SUM(BH5:BK5)-BL5&gt;0,SUM(BH5:BK5)-BL5,"")</f>
        <v/>
      </c>
      <c r="BX5" s="14">
        <f>IF(BS5="",IF(MAX(BU5,BW5)&gt;0,MAX(BU5,BW5),""),MAX(BU5,BW5)+BS5)</f>
        <v>89.14500000000001</v>
      </c>
      <c r="BY5" s="14">
        <f>IF(BO5&gt;0,BO5,"")</f>
        <v>9.8000000000000007</v>
      </c>
      <c r="BZ5" s="14">
        <f>IF(SUM(BM5:BP5)-BQ5&gt;0,SUM(BM5:BP5)-BQ5,"")</f>
        <v>50.269999999999996</v>
      </c>
      <c r="CA5" s="14">
        <f>IF(SUM(BX5,BZ5)&gt;0,SUM(BX5,BZ5),"")</f>
        <v>139.41500000000002</v>
      </c>
      <c r="CB5" s="38">
        <v>17.100000000000001</v>
      </c>
      <c r="CC5" s="38">
        <v>9.6</v>
      </c>
      <c r="CD5" s="38">
        <v>0</v>
      </c>
      <c r="CE5" s="38">
        <v>15.38</v>
      </c>
      <c r="CF5" s="38">
        <v>0</v>
      </c>
      <c r="CG5" s="38">
        <v>14.8</v>
      </c>
      <c r="CH5" s="38">
        <v>8.9</v>
      </c>
      <c r="CI5" s="38">
        <v>10.5</v>
      </c>
      <c r="CJ5" s="38">
        <v>14.81</v>
      </c>
      <c r="CK5" s="38">
        <v>0</v>
      </c>
      <c r="CL5" s="38"/>
      <c r="CM5" s="38"/>
      <c r="CN5" s="38"/>
      <c r="CO5" s="38"/>
      <c r="CP5" s="38"/>
      <c r="CQ5" s="38">
        <v>15</v>
      </c>
      <c r="CR5" s="38">
        <v>9</v>
      </c>
      <c r="CS5" s="38">
        <v>10.4</v>
      </c>
      <c r="CT5" s="38">
        <v>14.66</v>
      </c>
      <c r="CU5" s="38">
        <v>0</v>
      </c>
      <c r="CV5" s="45"/>
      <c r="CW5" s="11">
        <f>IF(SUM(CB5:CE5)-CF5&gt;0,SUM(CB5:CE5)-CF5,"")</f>
        <v>42.080000000000005</v>
      </c>
      <c r="CX5" s="11">
        <f>IF(CI5&gt;0,CI5,"")</f>
        <v>10.5</v>
      </c>
      <c r="CY5" s="11">
        <f>IF(SUM(CG5:CJ5)-CK5&gt;0,SUM(CG5:CJ5)-CK5,"")</f>
        <v>49.010000000000005</v>
      </c>
      <c r="CZ5" s="11" t="str">
        <f>IF(CN5&gt;0,CN5,"")</f>
        <v/>
      </c>
      <c r="DA5" s="11" t="str">
        <f>IF(SUM(CL5:CO5)-CP5&gt;0,SUM(CL5:CO5)-CP5,"")</f>
        <v/>
      </c>
      <c r="DB5" s="11">
        <f>IF(CW5="",IF(MAX(CY5,DA5)&gt;0,MAX(CY5,DA5),""),MAX(CY5,DA5)+CW5)</f>
        <v>91.09</v>
      </c>
      <c r="DC5" s="11">
        <f>IF(CS5&gt;0,CS5,"")</f>
        <v>10.4</v>
      </c>
      <c r="DD5" s="11">
        <f>IF(SUM(CQ5:CT5)-CU5&gt;0,SUM(CQ5:CT5)-CU5,"")</f>
        <v>49.06</v>
      </c>
      <c r="DE5" s="11">
        <f>IF(SUM(DB5,DD5)&gt;0,SUM(DB5,DD5),"")</f>
        <v>140.15</v>
      </c>
      <c r="DF5" s="19" t="str">
        <f>IF(MAX(DZ5,EV5,FR5,GN5,HJ5,IF5,JB5,JX5,KT5,LP5,ML5,NH5)-IF(K5="",0,K5)&gt;0.001,MAX(DZ5,EV5,FR5,GN5,HJ5,IF5,JB5,JX5,KT5,LP5,ML5,NH5)-IF(K5="",0,K5),"")</f>
        <v/>
      </c>
      <c r="DG5" s="19" t="str">
        <f>IF(MAX(EA5,EW5,FS5,GO5,HK5,IG5,JC5,JY5,KU5,LQ5,MM5,NI5)-IF(M5="",0,M5)&gt;0.001,MAX(EA5,EW5,FS5,GO5,HK5,IG5,JC5,JY5,KU5,LQ5,MM5,NI5)-IF(M5="",0,M5),"")</f>
        <v/>
      </c>
      <c r="DH5" s="19" t="str">
        <f>IF(MAX(EB5,EX5,FT5,GP5,HL5,IH5,JD5,JZ5,KV5,LR5,MN5,NJ5)-IF(I5="",0,I5)&gt;0.001,MAX(EB5,EX5,FT5,GP5,HL5,IH5,JD5,JZ5,KV5,LR5,MN5,NJ5)-IF(I5="",0,I5),"")</f>
        <v/>
      </c>
      <c r="DI5" s="19" t="str">
        <f>IF(MAX(ED5,EZ5,FV5,GR5,HN5,IJ5,JF5,KB5,KX5,LT5,MP5,NL5)-IF(O5="",0,O5)&gt;0.001,MAX(ED5,EZ5,FV5,GR5,HN5,IJ5,JF5,KB5,KX5,LT5,MP5,NL5)-IF(O5="",0,O5),"")</f>
        <v/>
      </c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11" t="str">
        <f>IF(DQ5&gt;0,DQ5,"")</f>
        <v/>
      </c>
      <c r="DZ5" s="11" t="str">
        <f>IF(SUM(DJ5:DM5)-DN5&gt;0,SUM(DJ5:DM5)-DN5,"")</f>
        <v/>
      </c>
      <c r="EA5" s="11" t="str">
        <f>IF(SUM(DO5:DR5)-DS5&gt;0,SUM(DO5:DR5)-DS5,"")</f>
        <v/>
      </c>
      <c r="EB5" s="11" t="str">
        <f>IF(SUM(DZ5:EA5)&gt;0,SUM(DZ5:EA5),"")</f>
        <v/>
      </c>
      <c r="EC5" s="11" t="str">
        <f>IF(DV5&gt;0,DV5,"")</f>
        <v/>
      </c>
      <c r="ED5" s="11" t="str">
        <f>IF(SUM(DT5:DW5)-DX5&gt;0,SUM(DT5:DW5)-DX5,"")</f>
        <v/>
      </c>
      <c r="EE5" s="11" t="str">
        <f>IF(SUM(EB5,ED5)&gt;0,SUM(EB5,ED5),"")</f>
        <v/>
      </c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14" t="str">
        <f>IF(EM5&gt;0,EM5,"")</f>
        <v/>
      </c>
      <c r="EV5" s="14" t="str">
        <f>IF(SUM(EF5:EI5)-EJ5&gt;0,SUM(EF5:EI5)-EJ5,"")</f>
        <v/>
      </c>
      <c r="EW5" s="14" t="str">
        <f>IF(SUM(EK5:EN5)-EO5&gt;0,SUM(EK5:EN5)-EO5,"")</f>
        <v/>
      </c>
      <c r="EX5" s="14" t="str">
        <f>IF(SUM(EV5:EW5)&gt;0,SUM(EV5:EW5),"")</f>
        <v/>
      </c>
      <c r="EY5" s="14" t="str">
        <f>IF(ER5&gt;0,ER5,"")</f>
        <v/>
      </c>
      <c r="EZ5" s="14" t="str">
        <f>IF(SUM(EP5:ES5)-ET5&gt;0,SUM(EP5:ES5)-ET5,"")</f>
        <v/>
      </c>
      <c r="FA5" s="14" t="str">
        <f>IF(SUM(EX5,EZ5)&gt;0,SUM(EX5,EZ5),"")</f>
        <v/>
      </c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11" t="str">
        <f>IF(FI5&gt;0,FI5,"")</f>
        <v/>
      </c>
      <c r="FR5" s="11" t="str">
        <f>IF(SUM(FB5:FE5)-FF5&gt;0,SUM(FB5:FE5)-FF5,"")</f>
        <v/>
      </c>
      <c r="FS5" s="11" t="str">
        <f>IF(SUM(FG5:FJ5)-FK5&gt;0,SUM(FG5:FJ5)-FK5,"")</f>
        <v/>
      </c>
      <c r="FT5" s="11" t="str">
        <f>IF(SUM(FR5:FS5)&gt;0,SUM(FR5:FS5),"")</f>
        <v/>
      </c>
      <c r="FU5" s="11" t="str">
        <f>IF(FN5&gt;0,FN5,"")</f>
        <v/>
      </c>
      <c r="FV5" s="11" t="str">
        <f>IF(SUM(FL5:FO5)-FP5&gt;0,SUM(FL5:FO5)-FP5,"")</f>
        <v/>
      </c>
      <c r="FW5" s="11" t="str">
        <f>IF(SUM(FT5,FV5)&gt;0,SUM(FT5,FV5),"")</f>
        <v/>
      </c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14" t="str">
        <f>IF(GE5&gt;0,GE5,"")</f>
        <v/>
      </c>
      <c r="GN5" s="14" t="str">
        <f>IF(SUM(FX5:GA5)-GB5&gt;0,SUM(FX5:GA5)-GB5,"")</f>
        <v/>
      </c>
      <c r="GO5" s="14" t="str">
        <f>IF(SUM(GC5:GF5)-GG5&gt;0,SUM(GC5:GF5)-GG5,"")</f>
        <v/>
      </c>
      <c r="GP5" s="14" t="str">
        <f>IF(SUM(GN5:GO5)&gt;0,SUM(GN5:GO5),"")</f>
        <v/>
      </c>
      <c r="GQ5" s="14" t="str">
        <f>IF(GJ5&gt;0,GJ5,"")</f>
        <v/>
      </c>
      <c r="GR5" s="14" t="str">
        <f>IF(SUM(GH5:GK5)-GL5&gt;0,SUM(GH5:GK5)-GL5,"")</f>
        <v/>
      </c>
      <c r="GS5" s="14" t="str">
        <f>IF(SUM(GP5,GR5)&gt;0,SUM(GP5,GR5),"")</f>
        <v/>
      </c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11" t="str">
        <f>IF(HA5&gt;0,HA5,"")</f>
        <v/>
      </c>
      <c r="HJ5" s="11" t="str">
        <f>IF(SUM(GT5:GW5)-GX5&gt;0,SUM(GT5:GW5)-GX5,"")</f>
        <v/>
      </c>
      <c r="HK5" s="11" t="str">
        <f>IF(SUM(GY5:HB5)-HC5&gt;0,SUM(GY5:HB5)-HC5,"")</f>
        <v/>
      </c>
      <c r="HL5" s="11" t="str">
        <f>IF(SUM(HJ5:HK5)&gt;0,SUM(HJ5:HK5),"")</f>
        <v/>
      </c>
      <c r="HM5" s="11" t="str">
        <f>IF(HF5&gt;0,HF5,"")</f>
        <v/>
      </c>
      <c r="HN5" s="11" t="str">
        <f>IF(SUM(HD5:HG5)-HH5&gt;0,SUM(HD5:HG5)-HH5,"")</f>
        <v/>
      </c>
      <c r="HO5" s="11" t="str">
        <f>IF(SUM(HL5,HN5)&gt;0,SUM(HL5,HN5),"")</f>
        <v/>
      </c>
      <c r="HP5" s="25"/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14" t="str">
        <f>IF(HW5&gt;0,HW5,"")</f>
        <v/>
      </c>
      <c r="IF5" s="14" t="str">
        <f>IF(SUM(HP5:HS5)-HT5&gt;0,SUM(HP5:HS5)-HT5,"")</f>
        <v/>
      </c>
      <c r="IG5" s="14" t="str">
        <f>IF(SUM(HU5:HX5)-HY5&gt;0,SUM(HU5:HX5)-HY5,"")</f>
        <v/>
      </c>
      <c r="IH5" s="14" t="str">
        <f>IF(SUM(IF5:IG5)&gt;0,SUM(IF5:IG5),"")</f>
        <v/>
      </c>
      <c r="II5" s="14" t="str">
        <f>IF(IB5&gt;0,IB5,"")</f>
        <v/>
      </c>
      <c r="IJ5" s="14" t="str">
        <f>IF(SUM(HZ5:IC5)-ID5&gt;0,SUM(HZ5:IC5)-ID5,"")</f>
        <v/>
      </c>
      <c r="IK5" s="14" t="str">
        <f>IF(SUM(IH5,IJ5)&gt;0,SUM(IH5,IJ5),"")</f>
        <v/>
      </c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11" t="str">
        <f>IF(IS5&gt;0,IS5,"")</f>
        <v/>
      </c>
      <c r="JB5" s="11" t="str">
        <f>IF(SUM(IL5:IO5)-IP5&gt;0,SUM(IL5:IO5)-IP5,"")</f>
        <v/>
      </c>
      <c r="JC5" s="11" t="str">
        <f>IF(SUM(IQ5:IT5)-IU5&gt;0,SUM(IQ5:IT5)-IU5,"")</f>
        <v/>
      </c>
      <c r="JD5" s="11" t="str">
        <f>IF(SUM(JB5:JC5)&gt;0,SUM(JB5:JC5),"")</f>
        <v/>
      </c>
      <c r="JE5" s="11" t="str">
        <f>IF(IX5&gt;0,IX5,"")</f>
        <v/>
      </c>
      <c r="JF5" s="11" t="str">
        <f>IF(SUM(IV5:IY5)-IZ5&gt;0,SUM(IV5:IY5)-IZ5,"")</f>
        <v/>
      </c>
      <c r="JG5" s="11" t="str">
        <f>IF(SUM(JD5,JF5)&gt;0,SUM(JD5,JF5),"")</f>
        <v/>
      </c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25"/>
      <c r="JS5" s="25"/>
      <c r="JT5" s="25"/>
      <c r="JU5" s="25"/>
      <c r="JV5" s="25"/>
      <c r="JW5" s="14" t="str">
        <f>IF(JO5&gt;0,JO5,"")</f>
        <v/>
      </c>
      <c r="JX5" s="14" t="str">
        <f>IF(SUM(JH5:JK5)-JL5&gt;0,SUM(JH5:JK5)-JL5,"")</f>
        <v/>
      </c>
      <c r="JY5" s="14" t="str">
        <f>IF(SUM(JM5:JP5)-JQ5&gt;0,SUM(JM5:JP5)-JQ5,"")</f>
        <v/>
      </c>
      <c r="JZ5" s="14" t="str">
        <f>IF(SUM(JX5:JY5)&gt;0,SUM(JX5:JY5),"")</f>
        <v/>
      </c>
      <c r="KA5" s="14" t="str">
        <f>IF(JT5&gt;0,JT5,"")</f>
        <v/>
      </c>
      <c r="KB5" s="14" t="str">
        <f>IF(SUM(JR5:JU5)-JV5&gt;0,SUM(JR5:JU5)-JV5,"")</f>
        <v/>
      </c>
      <c r="KC5" s="14" t="str">
        <f>IF(SUM(JZ5,KB5)&gt;0,SUM(JZ5,KB5),"")</f>
        <v/>
      </c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24"/>
      <c r="KO5" s="24"/>
      <c r="KP5" s="24"/>
      <c r="KQ5" s="24"/>
      <c r="KR5" s="24"/>
      <c r="KS5" s="11" t="str">
        <f>IF(KK5&gt;0,KK5,"")</f>
        <v/>
      </c>
      <c r="KT5" s="11" t="str">
        <f>IF(SUM(KD5:KG5)-KH5&gt;0,SUM(KD5:KG5)-KH5,"")</f>
        <v/>
      </c>
      <c r="KU5" s="11" t="str">
        <f>IF(SUM(KI5:KL5)-KM5&gt;0,SUM(KI5:KL5)-KM5,"")</f>
        <v/>
      </c>
      <c r="KV5" s="11" t="str">
        <f>IF(SUM(KT5:KU5)&gt;0,SUM(KT5:KU5),"")</f>
        <v/>
      </c>
      <c r="KW5" s="11" t="str">
        <f>IF(KP5&gt;0,KP5,"")</f>
        <v/>
      </c>
      <c r="KX5" s="11" t="str">
        <f>IF(SUM(KN5:KQ5)-KR5&gt;0,SUM(KN5:KQ5)-KR5,"")</f>
        <v/>
      </c>
      <c r="KY5" s="11" t="str">
        <f>IF(SUM(KV5,KX5)&gt;0,SUM(KV5,KX5),"")</f>
        <v/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14" t="str">
        <f>IF(LG5&gt;0,LG5,"")</f>
        <v/>
      </c>
      <c r="LP5" s="14" t="str">
        <f>IF(SUM(KZ5:LC5)-LD5&gt;0,SUM(KZ5:LC5)-LD5,"")</f>
        <v/>
      </c>
      <c r="LQ5" s="14" t="str">
        <f>IF(SUM(LE5:LH5)-LI5&gt;0,SUM(LE5:LH5)-LI5,"")</f>
        <v/>
      </c>
      <c r="LR5" s="14" t="str">
        <f>IF(SUM(LP5:LQ5)&gt;0,SUM(LP5:LQ5),"")</f>
        <v/>
      </c>
      <c r="LS5" s="14" t="str">
        <f>IF(LL5&gt;0,LL5,"")</f>
        <v/>
      </c>
      <c r="LT5" s="14" t="str">
        <f>IF(SUM(LJ5:LM5)-LN5&gt;0,SUM(LJ5:LM5)-LN5,"")</f>
        <v/>
      </c>
      <c r="LU5" s="14" t="str">
        <f>IF(SUM(LR5,LT5)&gt;0,SUM(LR5,LT5),"")</f>
        <v/>
      </c>
      <c r="LV5" s="24"/>
      <c r="LW5" s="24"/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11" t="str">
        <f>IF(MC5&gt;0,MC5,"")</f>
        <v/>
      </c>
      <c r="ML5" s="11" t="str">
        <f>IF(SUM(LV5:LY5)-LZ5&gt;0,SUM(LV5:LY5)-LZ5,"")</f>
        <v/>
      </c>
      <c r="MM5" s="11" t="str">
        <f>IF(SUM(MA5:MD5)-ME5&gt;0,SUM(MA5:MD5)-ME5,"")</f>
        <v/>
      </c>
      <c r="MN5" s="11" t="str">
        <f>IF(SUM(ML5:MM5)&gt;0,SUM(ML5:MM5),"")</f>
        <v/>
      </c>
      <c r="MO5" s="11" t="str">
        <f>IF(MH5&gt;0,MH5,"")</f>
        <v/>
      </c>
      <c r="MP5" s="11" t="str">
        <f>IF(SUM(MF5:MI5)-MJ5&gt;0,SUM(MF5:MI5)-MJ5,"")</f>
        <v/>
      </c>
      <c r="MQ5" s="11" t="str">
        <f>IF(SUM(MN5,MP5)&gt;0,SUM(MN5,MP5),"")</f>
        <v/>
      </c>
      <c r="MR5" s="25"/>
      <c r="MS5" s="25"/>
      <c r="MT5" s="25"/>
      <c r="MU5" s="25"/>
      <c r="MV5" s="25"/>
      <c r="MW5" s="25"/>
      <c r="MX5" s="25"/>
      <c r="MY5" s="25"/>
      <c r="MZ5" s="25"/>
      <c r="NA5" s="25"/>
      <c r="NB5" s="25"/>
      <c r="NC5" s="25"/>
      <c r="ND5" s="25"/>
      <c r="NE5" s="25"/>
      <c r="NF5" s="25"/>
      <c r="NG5" s="14" t="str">
        <f>IF(MY5&gt;0,MY5,"")</f>
        <v/>
      </c>
      <c r="NH5" s="14" t="str">
        <f>IF(SUM(MR5:MU5)-MV5&gt;0,SUM(MR5:MU5)-MV5,"")</f>
        <v/>
      </c>
      <c r="NI5" s="14" t="str">
        <f>IF(SUM(MW5:MZ5)-NA5&gt;0,SUM(MW5:MZ5)-NA5,"")</f>
        <v/>
      </c>
      <c r="NJ5" s="14" t="str">
        <f>IF(SUM(NH5:NI5)&gt;0,SUM(NH5:NI5),"")</f>
        <v/>
      </c>
      <c r="NK5" s="14" t="str">
        <f>IF(ND5&gt;0,ND5,"")</f>
        <v/>
      </c>
      <c r="NL5" s="14" t="str">
        <f>IF(SUM(NB5:NE5)-NF5&gt;0,SUM(NB5:NE5)-NF5,"")</f>
        <v/>
      </c>
      <c r="NM5" s="14" t="str">
        <f>IF(SUM(NJ5,NL5)&gt;0,SUM(NJ5,NL5),"")</f>
        <v/>
      </c>
      <c r="NN5" s="38">
        <f>IF($CV5="P",CB5,(CB5+AX5)/2)</f>
        <v>17.149999999999999</v>
      </c>
      <c r="NO5" s="38">
        <f>IF($CV5="P",CC5,(CC5+AY5)/2)</f>
        <v>9.5500000000000007</v>
      </c>
      <c r="NP5" s="38">
        <f>IF($CV5="P",CD5,(CD5+AZ5)/2)</f>
        <v>0</v>
      </c>
      <c r="NQ5" s="38">
        <f>IF($CV5="P",CE5,(CE5+BA5)/2)</f>
        <v>15.145</v>
      </c>
      <c r="NR5" s="38">
        <f>IF($CV5="P",CF5,(CF5+BB5)/2)</f>
        <v>0</v>
      </c>
      <c r="NS5" s="38">
        <f>IF($CV5="P",CG5,(CG5+BC5)/2)</f>
        <v>15.100000000000001</v>
      </c>
      <c r="NT5" s="38">
        <f>IF($CV5="P",CH5,(CH5+BD5)/2)</f>
        <v>9.15</v>
      </c>
      <c r="NU5" s="38">
        <f>IF($CV5="P",CI5,(CI5+BE5)/2)</f>
        <v>9.4499999999999993</v>
      </c>
      <c r="NV5" s="38">
        <f>IF($CV5="P",CJ5,(CJ5+BF5)/2)</f>
        <v>14.772500000000001</v>
      </c>
      <c r="NW5" s="38">
        <f>IF($CV5="P",CK5,(CK5+BG5)/2)</f>
        <v>0.2</v>
      </c>
      <c r="NX5" s="38">
        <f>IF($CV5="P",CL5,(CL5+BH5)/2)</f>
        <v>0</v>
      </c>
      <c r="NY5" s="38">
        <f>IF($CV5="P",CM5,(CM5+BI5)/2)</f>
        <v>0</v>
      </c>
      <c r="NZ5" s="38">
        <f>IF($CV5="P",CN5,(CN5+BJ5)/2)</f>
        <v>0</v>
      </c>
      <c r="OA5" s="38">
        <f>IF($CV5="P",CO5,(CO5+BK5)/2)</f>
        <v>0</v>
      </c>
      <c r="OB5" s="38">
        <f>IF($CV5="P",CP5,(CP5+BL5)/2)</f>
        <v>0</v>
      </c>
      <c r="OC5" s="38">
        <f>IF($CV5="P",CQ5,(CQ5+BM5)/2)</f>
        <v>15.6</v>
      </c>
      <c r="OD5" s="38">
        <f>IF($CV5="P",CR5,(CR5+BN5)/2)</f>
        <v>9.3000000000000007</v>
      </c>
      <c r="OE5" s="38">
        <f>IF($CV5="P",CS5,(CS5+BO5)/2)</f>
        <v>10.100000000000001</v>
      </c>
      <c r="OF5" s="38">
        <f>IF($CV5="P",CT5,(CT5+BP5)/2)</f>
        <v>14.664999999999999</v>
      </c>
      <c r="OG5" s="38">
        <f>IF($CV5="P",CU5,(CU5+BQ5)/2)</f>
        <v>0</v>
      </c>
      <c r="OH5" s="45" t="s">
        <v>44</v>
      </c>
      <c r="OI5" s="11">
        <f>IF(SUM(NN5:NQ5)-NR5&gt;0,SUM(NN5:NQ5)-NR5,"")</f>
        <v>41.844999999999999</v>
      </c>
      <c r="OJ5" s="11">
        <f>IF(NU5&gt;0,NU5,"")</f>
        <v>9.4499999999999993</v>
      </c>
      <c r="OK5" s="11">
        <f>IF(SUM(NS5:NV5)-NW5&gt;0,SUM(NS5:NV5)-NW5,"")</f>
        <v>48.272500000000001</v>
      </c>
      <c r="OL5" s="11" t="str">
        <f>IF(NZ5&gt;0,NZ5,"")</f>
        <v/>
      </c>
      <c r="OM5" s="11" t="str">
        <f>IF(SUM(NX5:OA5)-OB5&gt;0,SUM(NX5:OA5)-OB5,"")</f>
        <v/>
      </c>
      <c r="ON5" s="11">
        <f>IF(OR(OI5&lt;&gt;"",OK5&lt;&gt;"",OM5&lt;&gt;""),OI5+MAX(OK5,OM5),"")</f>
        <v>90.117500000000007</v>
      </c>
      <c r="OO5" s="11">
        <f>IF(OE5&gt;0,OE5,"")</f>
        <v>10.100000000000001</v>
      </c>
      <c r="OP5" s="11">
        <f t="shared" ref="OP5" si="2">IF(SUM(OC5:OF5)-OG5&gt;0,SUM(OC5:OF5)-OG5,"")</f>
        <v>49.664999999999999</v>
      </c>
      <c r="OQ5" s="11">
        <f t="shared" ref="OQ5" si="3">IF(SUM(ON5,OP5)&gt;0,SUM(ON5,OP5),"")</f>
        <v>139.7825</v>
      </c>
    </row>
    <row r="6" spans="1:407" x14ac:dyDescent="0.2">
      <c r="A6" s="5" t="str" cm="1">
        <f t="array" ref="A6">IF(AND(F6&lt;&gt;"",G6&lt;&gt;""),SUMPRODUCT((F$4:F$7&lt;&gt;"")*(G$4:G$7&lt;&gt;"")*(E$4:E$7&gt;E6))+1,IF(G6&lt;&gt;"",SUMPRODUCT((H$4:H$7="No DD")*(E$4:E$7&gt;E6))+1+SUMPRODUCT((F$4:F$7&lt;&gt;"")*(G$4:G$7&lt;&gt;"")),""))</f>
        <v/>
      </c>
      <c r="B6" s="68" t="s">
        <v>68</v>
      </c>
      <c r="C6" s="5" t="s">
        <v>67</v>
      </c>
      <c r="D6" s="5">
        <v>2006</v>
      </c>
      <c r="E6" s="15">
        <f>SUM(I6:Q6)</f>
        <v>221.59</v>
      </c>
      <c r="F6" s="3" t="str">
        <f>IF(OR(AND(AP6&gt;=AW$9,AT6&gt;=AW$13,AO6&lt;&gt;"",AN6=""),AND(BT6&gt;=CA$9,BX6&gt;=CA$13,BS6&lt;&gt;"",BR6=""),AND(CX6&gt;=DE$9,DB6&gt;=DE$13,CW6&lt;&gt;"",CV6=""),AND(DY6&gt;=EE$9,EB6&gt;=EE$13,DY6&lt;&gt;""),AND(EU6&gt;=FA$9,EX6&gt;=FA$13,EU6&lt;&gt;""),AND(FQ6&gt;=FW$9,FT6&gt;=FW$13,FQ6&lt;&gt;""),AND(GM6&gt;=GS$9,GP6&gt;=GS$13,GM6&lt;&gt;""),AND(HI6&gt;=HO$9,HL6&gt;=HO$13,HI6&lt;&gt;""),AND(IE6&gt;=IK$9,IH6&gt;=IK$13,IE6&lt;&gt;""),AND(JA6&gt;=JG$9,JD6&gt;=JG$13,JA6&lt;&gt;""),AND(JW6&gt;=KC$9,JZ6&gt;=KC$13,JW6&lt;&gt;""),AND(KS6&gt;=KY$9,KV6&gt;=KY$13,KS6&lt;&gt;""),AND(LO6&gt;=LU$9,LR6&gt;=LU$13,LO6&lt;&gt;""),AND(MK6&gt;=MQ$9,MN6&gt;=MQ$13,MK6&lt;&gt;""),AND(NG6&gt;=NM$9,NJ6&gt;=NM$13,NG6&lt;&gt;"")),"P","")</f>
        <v/>
      </c>
      <c r="G6" s="3" t="str">
        <f>IF(OR(AND(AT6&gt;=AW$13,AO6&lt;&gt;"",AN6=""),AND(BX6&gt;=CA$13,BS6&lt;&gt;"",BR6=""),AND(DB6&gt;=DE$13,CW6&lt;&gt;"",CV6=""),AND(EB6&gt;=EE$13,DY6&lt;&gt;""),AND(EX6&gt;=FA$13,EU6&lt;&gt;""),AND(FT6&gt;=FW$13,FQ6&lt;&gt;""),AND(GP6&gt;=GS$13,GM6&lt;&gt;""),AND(HL6&gt;=HO$13,HI6&lt;&gt;""),AND(IH6&gt;=IK$13,IE6&lt;&gt;""),AND(JD6&gt;=JG$13,JA6&lt;&gt;""),AND(JZ6&gt;=KC$13,JW6&lt;&gt;""),AND(KV6&gt;=KY$13,KS6&lt;&gt;""),AND(LR6&gt;=LU$13,LO6&lt;&gt;""),AND(MN6&gt;=MQ$13,MK6&lt;&gt;""),AND(NJ6&gt;=NM$13,NG6&lt;&gt;"")),"P","")</f>
        <v/>
      </c>
      <c r="H6" s="67" t="str">
        <f>IF(OR(AND(AP6&gt;=AW$12,AQ6&gt;=AW$16,AP6&lt;&gt;"",AN6=""),AND(AU6&gt;=AW$12,AV6&gt;=AW$16,AU6&lt;&gt;"",AN6=""),AND(BT6&gt;=CA$12,BU6&gt;=CA$16,BT6&lt;&gt;"",BR6=""),AND(BY6&gt;=CA$12,BZ6&gt;=CA$16,BY6&lt;&gt;"",BR6=""),AND(CX6&gt;=DE$12,CY6&gt;=DE$16,CX6&lt;&gt;"",CV6=""),AND(DC6&gt;=DE$12,DD6&gt;=DE$16,DC6&lt;&gt;"",CV6=""),AND(DY6&gt;=EE$12,EA6&gt;=EE$16,DY6&lt;&gt;""),AND(EC6&gt;=EE$12,ED6&gt;=EE$16,EC6&lt;&gt;""),AND(EU6&gt;=FA$12,EW6&gt;=FA$16,EU6&lt;&gt;""),AND(EY6&gt;=FA$12,EZ6&gt;=FA$16,EY6&lt;&gt;""),AND(FQ6&gt;=FW$12,FS6&gt;=FW$16,FQ6&lt;&gt;""),AND(FU6&gt;=FW$12,FV6&gt;=FW$16,FU6&lt;&gt;""),AND(GM6&gt;=GS$12,GO6&gt;=GS$16,GM6&lt;&gt;""),AND(GQ6&gt;=GS$12,GR6&gt;=GS$16,GQ6&lt;&gt;""),AND(HI6&gt;=HO$12,HK6&gt;=HO$16,HI6&lt;&gt;""),AND(HM6&gt;=HO$12,HN6&gt;=HO$16,HM6&lt;&gt;""),AND(IE6&gt;=IK$12,IG6&gt;=IK$16,IE6&lt;&gt;""),AND(II6&gt;=IK$12,IJ6&gt;=IK$16,II6&lt;&gt;""),AND(JA6&gt;=JG$12,JC6&gt;=JG$16,JA6&lt;&gt;""),AND(JE6&gt;=JG$12,JF6&gt;=JG$16,JE6&lt;&gt;""),AND(JW6&gt;=KC$12,JY6&gt;=KC$16,JW6&lt;&gt;""),AND(KA6&gt;=KC$12,KB6&gt;=KC$16,KA6&lt;&gt;""),AND(KS6&gt;=KY$12,KU6&gt;=KY$16,KS6&lt;&gt;""),AND(KW6&gt;=KY$12,KX6&gt;=KY$16,KW6&lt;&gt;""),AND(LO6&gt;=LU$12,LQ6&gt;=LU$16,LO6&lt;&gt;""),AND(LS6&gt;=LU$12,LT6&gt;=LU$16,LS6&lt;&gt;""),AND(MK6&gt;=MQ$12,MM6&gt;=MQ$16,MK6&lt;&gt;""),AND(MO6&gt;=MQ$12,MP6&gt;=MQ$16,MO6&lt;&gt;""),AND(NG6&gt;=NM$12,NI6&gt;=NM$16,NG6&lt;&gt;""),AND(NK6&gt;=NM$12,NL6&gt;=NM$16,NK6&lt;&gt;"")),"Merit",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Excellence",IF(OR(AND(AP6&gt;=AW$9,AT6&gt;=AW$13,AO6&lt;&gt;"",AN6=""),AND(BT6&gt;=CA$9,BX6&gt;=CA$13,BS6&lt;&gt;"",BR6=""),AND(CX6&gt;=DE$9,DB6&gt;=DE$13,CW6&lt;&gt;"",CV6=""),AND(DY6&gt;=EE$9,EB6&gt;=EE$13,DY6&lt;&gt;""),AND(EU6&gt;=FA$9,EX6&gt;=FA$13,EU6&lt;&gt;""),AND(FQ6&gt;=FW$9,FT6&gt;=FW$13,FQ6&lt;&gt;""),AND(GM6&gt;=GS$9,GP6&gt;=GS$13,GM6&lt;&gt;""),AND(HI6&gt;=HO$9,HL6&gt;=HO$13,HI6&lt;&gt;""),AND(IE6&gt;=IK$9,IH6&gt;=IK$13,IE6&lt;&gt;""),AND(JA6&gt;=JG$9,JD6&gt;=JG$13,JA6&lt;&gt;""),AND(JW6&gt;=KC$9,JZ6&gt;=KC$13,JW6&lt;&gt;""),AND(KS6&gt;=KY$9,KV6&gt;=KY$13,KS6&lt;&gt;""),AND(LO6&gt;=LU$9,LR6&gt;=LU$13,LO6&lt;&gt;""),AND(MK6&gt;=MQ$9,MN6&gt;=MQ$13,MK6&lt;&gt;""),AND(NG6&gt;=NM$9,NJ6&gt;=NM$13,NG6&lt;&gt;"")),"National Team",IF(G6="P","No DD",""))))</f>
        <v/>
      </c>
      <c r="I6" s="14">
        <f>IF(MAX(AT6,BX6,DB6)&gt;0,MAX(AT6,BX6,DB6),0)</f>
        <v>87.564999999999998</v>
      </c>
      <c r="J6" s="14" t="str">
        <f>IF(I6=0,"",IF(I6=DB6,$CB$1,IF(I6=BX6,$AX$1,IF(I6=AT6,$T$1,""))))</f>
        <v>2021 Canadian Championships</v>
      </c>
      <c r="K6" s="14">
        <f>IF($I6=$AT6,MAX(BS6,CW6),IF($I6=$BX6,MAX(AO6,CW6),IF($I6=$DB6,MAX(AO6,BS6),MAX(AO6,BS6,CW6))))</f>
        <v>39.625</v>
      </c>
      <c r="L6" s="14" t="str">
        <f>IF(K6=0,"",IF(AND(K6=CW6,$J6&lt;&gt;$CB$1),$CB$1,IF(AND(K6=BS6,$J6&lt;&gt;$AX$1),$AX$1,IF(AND(K6=AO6,$J6&lt;&gt;$T$1),$T$1,""))))</f>
        <v>2021 Elite Canada</v>
      </c>
      <c r="M6" s="14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47.589999999999996</v>
      </c>
      <c r="N6" s="14" t="str">
        <f>IF(M6=0,"",IF(AND(OR(M6=DA6,M6=CY6),$J6&lt;&gt;$CB$1),$CB$1,IF(AND(OR(M6=BW6,M6=BU6),$J6&lt;&gt;$AX$1),$AX$1,IF(AND(OR(M6=AS6,M6=AQ6),$J6&lt;&gt;$T$1),$T$1,""))))</f>
        <v>2021 Elite Canada</v>
      </c>
      <c r="O6" s="14">
        <f>MAX(AV6,BZ6,DD6)</f>
        <v>46.81</v>
      </c>
      <c r="P6" s="14" t="str">
        <f>IF(O6=0,"",IF(O6=DD6,$CB$1,IF(O6=BZ6,$AX$1,IF(O6=AV6,$T$1,""))))</f>
        <v>2021 Elite Canada</v>
      </c>
      <c r="Q6" s="14" t="str">
        <f>IF(MAX(DF6,DG6,DH6,DI6)&gt;0,MAX(DF6,DG6,DH6,DI6),"")</f>
        <v/>
      </c>
      <c r="R6" s="20" t="str">
        <f>IF(Q6="","",IF(Q6=DF6,"(Vol 1)",IF(Q6=DG6,"(Vol 2)",IF(Q6=DH6,"(Prelim)",IF(Q6=DI6,"(Final)")))))</f>
        <v/>
      </c>
      <c r="S6" s="14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38">
        <v>15.4</v>
      </c>
      <c r="U6" s="38">
        <v>9.1</v>
      </c>
      <c r="V6" s="38">
        <v>0</v>
      </c>
      <c r="W6" s="38">
        <v>15.125</v>
      </c>
      <c r="X6" s="38">
        <v>0</v>
      </c>
      <c r="Y6" s="38">
        <v>14.1</v>
      </c>
      <c r="Z6" s="38">
        <v>9.1999999999999993</v>
      </c>
      <c r="AA6" s="38">
        <v>9.8000000000000007</v>
      </c>
      <c r="AB6" s="38">
        <v>14.49</v>
      </c>
      <c r="AC6" s="38">
        <v>0</v>
      </c>
      <c r="AD6" s="38"/>
      <c r="AE6" s="38"/>
      <c r="AF6" s="38"/>
      <c r="AG6" s="38"/>
      <c r="AH6" s="38"/>
      <c r="AI6" s="38">
        <v>13.7</v>
      </c>
      <c r="AJ6" s="38">
        <v>9.1999999999999993</v>
      </c>
      <c r="AK6" s="38">
        <v>9.8000000000000007</v>
      </c>
      <c r="AL6" s="38">
        <v>14.11</v>
      </c>
      <c r="AM6" s="38">
        <v>0</v>
      </c>
      <c r="AN6" s="45"/>
      <c r="AO6" s="11">
        <f>IF(SUM(T6:W6)-X6&gt;0,SUM(T6:W6)-X6,"")</f>
        <v>39.625</v>
      </c>
      <c r="AP6" s="11">
        <f>IF(AA6&gt;0,AA6,"")</f>
        <v>9.8000000000000007</v>
      </c>
      <c r="AQ6" s="11">
        <f>IF(SUM(Y6:AB6)-AC6&gt;0,SUM(Y6:AB6)-AC6,"")</f>
        <v>47.589999999999996</v>
      </c>
      <c r="AR6" s="11" t="str">
        <f>IF(AF6&gt;0,AF6,"")</f>
        <v/>
      </c>
      <c r="AS6" s="11" t="str">
        <f>IF(SUM(AD6:AG6)-AH6&gt;0,SUM(AD6:AG6)-AH6,"")</f>
        <v/>
      </c>
      <c r="AT6" s="11">
        <f>IF(AO6="",IF(MAX(AQ6,AS6)&gt;0,MAX(AQ6,AS6),""),MAX(AQ6,AS6)+AO6)</f>
        <v>87.215000000000003</v>
      </c>
      <c r="AU6" s="11">
        <f>IF(AK6&gt;0,AK6,"")</f>
        <v>9.8000000000000007</v>
      </c>
      <c r="AV6" s="11">
        <f>IF(SUM(AI6:AL6)-AM6&gt;0,SUM(AI6:AL6)-AM6,"")</f>
        <v>46.81</v>
      </c>
      <c r="AW6" s="11">
        <f>IF(SUM(AT6,AV6)&gt;0,SUM(AT6,AV6),"")</f>
        <v>134.02500000000001</v>
      </c>
      <c r="AX6" s="42">
        <v>15.4</v>
      </c>
      <c r="AY6" s="42">
        <v>9.3000000000000007</v>
      </c>
      <c r="AZ6" s="42">
        <v>0</v>
      </c>
      <c r="BA6" s="42">
        <v>15.31</v>
      </c>
      <c r="BB6" s="42">
        <v>0</v>
      </c>
      <c r="BC6" s="42">
        <v>13.4</v>
      </c>
      <c r="BD6" s="42">
        <v>9.4</v>
      </c>
      <c r="BE6" s="42">
        <v>10.5</v>
      </c>
      <c r="BF6" s="42">
        <v>14.255000000000001</v>
      </c>
      <c r="BG6" s="42">
        <v>0</v>
      </c>
      <c r="BH6" s="42"/>
      <c r="BI6" s="42"/>
      <c r="BJ6" s="42"/>
      <c r="BK6" s="42"/>
      <c r="BL6" s="42"/>
      <c r="BM6" s="42">
        <v>13.4</v>
      </c>
      <c r="BN6" s="42">
        <v>9.1</v>
      </c>
      <c r="BO6" s="42">
        <v>8.4</v>
      </c>
      <c r="BP6" s="42">
        <v>14.234999999999999</v>
      </c>
      <c r="BQ6" s="42">
        <v>1.1000000000000001</v>
      </c>
      <c r="BR6" s="46"/>
      <c r="BS6" s="14">
        <f>IF(SUM(AX6:BA6)-BB6&gt;0,SUM(AX6:BA6)-BB6,"")</f>
        <v>40.010000000000005</v>
      </c>
      <c r="BT6" s="14">
        <f>IF(BE6&gt;0,BE6,"")</f>
        <v>10.5</v>
      </c>
      <c r="BU6" s="14">
        <f>IF(SUM(BC6:BF6)-BG6&gt;0,SUM(BC6:BF6)-BG6,"")</f>
        <v>47.555</v>
      </c>
      <c r="BV6" s="14" t="str">
        <f>IF(BJ6&gt;0,BJ6,"")</f>
        <v/>
      </c>
      <c r="BW6" s="14" t="str">
        <f>IF(SUM(BH6:BK6)-BL6&gt;0,SUM(BH6:BK6)-BL6,"")</f>
        <v/>
      </c>
      <c r="BX6" s="14">
        <f>IF(BS6="",IF(MAX(BU6,BW6)&gt;0,MAX(BU6,BW6),""),MAX(BU6,BW6)+BS6)</f>
        <v>87.564999999999998</v>
      </c>
      <c r="BY6" s="14">
        <f>IF(BO6&gt;0,BO6,"")</f>
        <v>8.4</v>
      </c>
      <c r="BZ6" s="14">
        <f>IF(SUM(BM6:BP6)-BQ6&gt;0,SUM(BM6:BP6)-BQ6,"")</f>
        <v>44.034999999999997</v>
      </c>
      <c r="CA6" s="14">
        <f>IF(SUM(BX6,BZ6)&gt;0,SUM(BX6,BZ6),"")</f>
        <v>131.6</v>
      </c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45"/>
      <c r="CW6" s="11" t="str">
        <f>IF(SUM(CB6:CE6)-CF6&gt;0,SUM(CB6:CE6)-CF6,"")</f>
        <v/>
      </c>
      <c r="CX6" s="11" t="str">
        <f>IF(CI6&gt;0,CI6,"")</f>
        <v/>
      </c>
      <c r="CY6" s="11" t="str">
        <f>IF(SUM(CG6:CJ6)-CK6&gt;0,SUM(CG6:CJ6)-CK6,"")</f>
        <v/>
      </c>
      <c r="CZ6" s="11" t="str">
        <f>IF(CN6&gt;0,CN6,"")</f>
        <v/>
      </c>
      <c r="DA6" s="11" t="str">
        <f>IF(SUM(CL6:CO6)-CP6&gt;0,SUM(CL6:CO6)-CP6,"")</f>
        <v/>
      </c>
      <c r="DB6" s="11" t="str">
        <f>IF(CW6="",IF(MAX(CY6,DA6)&gt;0,MAX(CY6,DA6),""),MAX(CY6,DA6)+CW6)</f>
        <v/>
      </c>
      <c r="DC6" s="11" t="str">
        <f>IF(CS6&gt;0,CS6,"")</f>
        <v/>
      </c>
      <c r="DD6" s="11" t="str">
        <f>IF(SUM(CQ6:CT6)-CU6&gt;0,SUM(CQ6:CT6)-CU6,"")</f>
        <v/>
      </c>
      <c r="DE6" s="11" t="str">
        <f>IF(SUM(DB6,DD6)&gt;0,SUM(DB6,DD6),"")</f>
        <v/>
      </c>
      <c r="DF6" s="19" t="str">
        <f>IF(MAX(DZ6,EV6,FR6,GN6,HJ6,IF6,JB6,JX6,KT6,LP6,ML6,NH6)-IF(K6="",0,K6)&gt;0.001,MAX(DZ6,EV6,FR6,GN6,HJ6,IF6,JB6,JX6,KT6,LP6,ML6,NH6)-IF(K6="",0,K6),"")</f>
        <v/>
      </c>
      <c r="DG6" s="19" t="str">
        <f>IF(MAX(EA6,EW6,FS6,GO6,HK6,IG6,JC6,JY6,KU6,LQ6,MM6,NI6)-IF(M6="",0,M6)&gt;0.001,MAX(EA6,EW6,FS6,GO6,HK6,IG6,JC6,JY6,KU6,LQ6,MM6,NI6)-IF(M6="",0,M6),"")</f>
        <v/>
      </c>
      <c r="DH6" s="19" t="str">
        <f>IF(MAX(EB6,EX6,FT6,GP6,HL6,IH6,JD6,JZ6,KV6,LR6,MN6,NJ6)-IF(I6="",0,I6)&gt;0.001,MAX(EB6,EX6,FT6,GP6,HL6,IH6,JD6,JZ6,KV6,LR6,MN6,NJ6)-IF(I6="",0,I6),"")</f>
        <v/>
      </c>
      <c r="DI6" s="19" t="str">
        <f>IF(MAX(ED6,EZ6,FV6,GR6,HN6,IJ6,JF6,KB6,KX6,LT6,MP6,NL6)-IF(O6="",0,O6)&gt;0.001,MAX(ED6,EZ6,FV6,GR6,HN6,IJ6,JF6,KB6,KX6,LT6,MP6,NL6)-IF(O6="",0,O6),"")</f>
        <v/>
      </c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11" t="str">
        <f>IF(DQ6&gt;0,DQ6,"")</f>
        <v/>
      </c>
      <c r="DZ6" s="11" t="str">
        <f>IF(SUM(DJ6:DM6)-DN6&gt;0,SUM(DJ6:DM6)-DN6,"")</f>
        <v/>
      </c>
      <c r="EA6" s="11" t="str">
        <f>IF(SUM(DO6:DR6)-DS6&gt;0,SUM(DO6:DR6)-DS6,"")</f>
        <v/>
      </c>
      <c r="EB6" s="11" t="str">
        <f>IF(SUM(DZ6:EA6)&gt;0,SUM(DZ6:EA6),"")</f>
        <v/>
      </c>
      <c r="EC6" s="11" t="str">
        <f>IF(DV6&gt;0,DV6,"")</f>
        <v/>
      </c>
      <c r="ED6" s="11" t="str">
        <f>IF(SUM(DT6:DW6)-DX6&gt;0,SUM(DT6:DW6)-DX6,"")</f>
        <v/>
      </c>
      <c r="EE6" s="11" t="str">
        <f>IF(SUM(EB6,ED6)&gt;0,SUM(EB6,ED6),"")</f>
        <v/>
      </c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14" t="str">
        <f>IF(EM6&gt;0,EM6,"")</f>
        <v/>
      </c>
      <c r="EV6" s="14" t="str">
        <f>IF(SUM(EF6:EI6)-EJ6&gt;0,SUM(EF6:EI6)-EJ6,"")</f>
        <v/>
      </c>
      <c r="EW6" s="14" t="str">
        <f>IF(SUM(EK6:EN6)-EO6&gt;0,SUM(EK6:EN6)-EO6,"")</f>
        <v/>
      </c>
      <c r="EX6" s="14" t="str">
        <f>IF(SUM(EV6:EW6)&gt;0,SUM(EV6:EW6),"")</f>
        <v/>
      </c>
      <c r="EY6" s="14" t="str">
        <f>IF(ER6&gt;0,ER6,"")</f>
        <v/>
      </c>
      <c r="EZ6" s="14" t="str">
        <f>IF(SUM(EP6:ES6)-ET6&gt;0,SUM(EP6:ES6)-ET6,"")</f>
        <v/>
      </c>
      <c r="FA6" s="14" t="str">
        <f>IF(SUM(EX6,EZ6)&gt;0,SUM(EX6,EZ6),"")</f>
        <v/>
      </c>
      <c r="FB6" s="24"/>
      <c r="FC6" s="24"/>
      <c r="FD6" s="24"/>
      <c r="FE6" s="24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11" t="str">
        <f>IF(FI6&gt;0,FI6,"")</f>
        <v/>
      </c>
      <c r="FR6" s="11" t="str">
        <f>IF(SUM(FB6:FE6)-FF6&gt;0,SUM(FB6:FE6)-FF6,"")</f>
        <v/>
      </c>
      <c r="FS6" s="11" t="str">
        <f>IF(SUM(FG6:FJ6)-FK6&gt;0,SUM(FG6:FJ6)-FK6,"")</f>
        <v/>
      </c>
      <c r="FT6" s="11" t="str">
        <f>IF(SUM(FR6:FS6)&gt;0,SUM(FR6:FS6),"")</f>
        <v/>
      </c>
      <c r="FU6" s="11" t="str">
        <f>IF(FN6&gt;0,FN6,"")</f>
        <v/>
      </c>
      <c r="FV6" s="11" t="str">
        <f>IF(SUM(FL6:FO6)-FP6&gt;0,SUM(FL6:FO6)-FP6,"")</f>
        <v/>
      </c>
      <c r="FW6" s="11" t="str">
        <f>IF(SUM(FT6,FV6)&gt;0,SUM(FT6,FV6),"")</f>
        <v/>
      </c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14" t="str">
        <f>IF(GE6&gt;0,GE6,"")</f>
        <v/>
      </c>
      <c r="GN6" s="14" t="str">
        <f>IF(SUM(FX6:GA6)-GB6&gt;0,SUM(FX6:GA6)-GB6,"")</f>
        <v/>
      </c>
      <c r="GO6" s="14" t="str">
        <f>IF(SUM(GC6:GF6)-GG6&gt;0,SUM(GC6:GF6)-GG6,"")</f>
        <v/>
      </c>
      <c r="GP6" s="14" t="str">
        <f>IF(SUM(GN6:GO6)&gt;0,SUM(GN6:GO6),"")</f>
        <v/>
      </c>
      <c r="GQ6" s="14" t="str">
        <f>IF(GJ6&gt;0,GJ6,"")</f>
        <v/>
      </c>
      <c r="GR6" s="14" t="str">
        <f>IF(SUM(GH6:GK6)-GL6&gt;0,SUM(GH6:GK6)-GL6,"")</f>
        <v/>
      </c>
      <c r="GS6" s="14" t="str">
        <f>IF(SUM(GP6,GR6)&gt;0,SUM(GP6,GR6),"")</f>
        <v/>
      </c>
      <c r="GT6" s="24"/>
      <c r="GU6" s="24"/>
      <c r="GV6" s="24"/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11" t="str">
        <f>IF(HA6&gt;0,HA6,"")</f>
        <v/>
      </c>
      <c r="HJ6" s="11" t="str">
        <f>IF(SUM(GT6:GW6)-GX6&gt;0,SUM(GT6:GW6)-GX6,"")</f>
        <v/>
      </c>
      <c r="HK6" s="11" t="str">
        <f>IF(SUM(GY6:HB6)-HC6&gt;0,SUM(GY6:HB6)-HC6,"")</f>
        <v/>
      </c>
      <c r="HL6" s="11" t="str">
        <f>IF(SUM(HJ6:HK6)&gt;0,SUM(HJ6:HK6),"")</f>
        <v/>
      </c>
      <c r="HM6" s="11" t="str">
        <f>IF(HF6&gt;0,HF6,"")</f>
        <v/>
      </c>
      <c r="HN6" s="11" t="str">
        <f>IF(SUM(HD6:HG6)-HH6&gt;0,SUM(HD6:HG6)-HH6,"")</f>
        <v/>
      </c>
      <c r="HO6" s="11" t="str">
        <f>IF(SUM(HL6,HN6)&gt;0,SUM(HL6,HN6),"")</f>
        <v/>
      </c>
      <c r="HP6" s="25"/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14" t="str">
        <f>IF(HW6&gt;0,HW6,"")</f>
        <v/>
      </c>
      <c r="IF6" s="14" t="str">
        <f>IF(SUM(HP6:HS6)-HT6&gt;0,SUM(HP6:HS6)-HT6,"")</f>
        <v/>
      </c>
      <c r="IG6" s="14" t="str">
        <f>IF(SUM(HU6:HX6)-HY6&gt;0,SUM(HU6:HX6)-HY6,"")</f>
        <v/>
      </c>
      <c r="IH6" s="14" t="str">
        <f>IF(SUM(IF6:IG6)&gt;0,SUM(IF6:IG6),"")</f>
        <v/>
      </c>
      <c r="II6" s="14" t="str">
        <f>IF(IB6&gt;0,IB6,"")</f>
        <v/>
      </c>
      <c r="IJ6" s="14" t="str">
        <f>IF(SUM(HZ6:IC6)-ID6&gt;0,SUM(HZ6:IC6)-ID6,"")</f>
        <v/>
      </c>
      <c r="IK6" s="14" t="str">
        <f>IF(SUM(IH6,IJ6)&gt;0,SUM(IH6,IJ6),"")</f>
        <v/>
      </c>
      <c r="IL6" s="24"/>
      <c r="IM6" s="24"/>
      <c r="IN6" s="24"/>
      <c r="IO6" s="24"/>
      <c r="IP6" s="24"/>
      <c r="IQ6" s="24"/>
      <c r="IR6" s="24"/>
      <c r="IS6" s="24"/>
      <c r="IT6" s="24"/>
      <c r="IU6" s="24"/>
      <c r="IV6" s="24"/>
      <c r="IW6" s="24"/>
      <c r="IX6" s="24"/>
      <c r="IY6" s="24"/>
      <c r="IZ6" s="24"/>
      <c r="JA6" s="11" t="str">
        <f>IF(IS6&gt;0,IS6,"")</f>
        <v/>
      </c>
      <c r="JB6" s="11" t="str">
        <f>IF(SUM(IL6:IO6)-IP6&gt;0,SUM(IL6:IO6)-IP6,"")</f>
        <v/>
      </c>
      <c r="JC6" s="11" t="str">
        <f>IF(SUM(IQ6:IT6)-IU6&gt;0,SUM(IQ6:IT6)-IU6,"")</f>
        <v/>
      </c>
      <c r="JD6" s="11" t="str">
        <f>IF(SUM(JB6:JC6)&gt;0,SUM(JB6:JC6),"")</f>
        <v/>
      </c>
      <c r="JE6" s="11" t="str">
        <f>IF(IX6&gt;0,IX6,"")</f>
        <v/>
      </c>
      <c r="JF6" s="11" t="str">
        <f>IF(SUM(IV6:IY6)-IZ6&gt;0,SUM(IV6:IY6)-IZ6,"")</f>
        <v/>
      </c>
      <c r="JG6" s="11" t="str">
        <f>IF(SUM(JD6,JF6)&gt;0,SUM(JD6,JF6),"")</f>
        <v/>
      </c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25"/>
      <c r="JS6" s="25"/>
      <c r="JT6" s="25"/>
      <c r="JU6" s="25"/>
      <c r="JV6" s="25"/>
      <c r="JW6" s="14" t="str">
        <f>IF(JO6&gt;0,JO6,"")</f>
        <v/>
      </c>
      <c r="JX6" s="14" t="str">
        <f>IF(SUM(JH6:JK6)-JL6&gt;0,SUM(JH6:JK6)-JL6,"")</f>
        <v/>
      </c>
      <c r="JY6" s="14" t="str">
        <f>IF(SUM(JM6:JP6)-JQ6&gt;0,SUM(JM6:JP6)-JQ6,"")</f>
        <v/>
      </c>
      <c r="JZ6" s="14" t="str">
        <f>IF(SUM(JX6:JY6)&gt;0,SUM(JX6:JY6),"")</f>
        <v/>
      </c>
      <c r="KA6" s="14" t="str">
        <f>IF(JT6&gt;0,JT6,"")</f>
        <v/>
      </c>
      <c r="KB6" s="14" t="str">
        <f>IF(SUM(JR6:JU6)-JV6&gt;0,SUM(JR6:JU6)-JV6,"")</f>
        <v/>
      </c>
      <c r="KC6" s="14" t="str">
        <f>IF(SUM(JZ6,KB6)&gt;0,SUM(JZ6,KB6),"")</f>
        <v/>
      </c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24"/>
      <c r="KO6" s="24"/>
      <c r="KP6" s="24"/>
      <c r="KQ6" s="24"/>
      <c r="KR6" s="24"/>
      <c r="KS6" s="11" t="str">
        <f>IF(KK6&gt;0,KK6,"")</f>
        <v/>
      </c>
      <c r="KT6" s="11" t="str">
        <f>IF(SUM(KD6:KG6)-KH6&gt;0,SUM(KD6:KG6)-KH6,"")</f>
        <v/>
      </c>
      <c r="KU6" s="11" t="str">
        <f>IF(SUM(KI6:KL6)-KM6&gt;0,SUM(KI6:KL6)-KM6,"")</f>
        <v/>
      </c>
      <c r="KV6" s="11" t="str">
        <f>IF(SUM(KT6:KU6)&gt;0,SUM(KT6:KU6),"")</f>
        <v/>
      </c>
      <c r="KW6" s="11" t="str">
        <f>IF(KP6&gt;0,KP6,"")</f>
        <v/>
      </c>
      <c r="KX6" s="11" t="str">
        <f>IF(SUM(KN6:KQ6)-KR6&gt;0,SUM(KN6:KQ6)-KR6,"")</f>
        <v/>
      </c>
      <c r="KY6" s="11" t="str">
        <f>IF(SUM(KV6,KX6)&gt;0,SUM(KV6,KX6),"")</f>
        <v/>
      </c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14" t="str">
        <f>IF(LG6&gt;0,LG6,"")</f>
        <v/>
      </c>
      <c r="LP6" s="14" t="str">
        <f>IF(SUM(KZ6:LC6)-LD6&gt;0,SUM(KZ6:LC6)-LD6,"")</f>
        <v/>
      </c>
      <c r="LQ6" s="14" t="str">
        <f>IF(SUM(LE6:LH6)-LI6&gt;0,SUM(LE6:LH6)-LI6,"")</f>
        <v/>
      </c>
      <c r="LR6" s="14" t="str">
        <f>IF(SUM(LP6:LQ6)&gt;0,SUM(LP6:LQ6),"")</f>
        <v/>
      </c>
      <c r="LS6" s="14" t="str">
        <f>IF(LL6&gt;0,LL6,"")</f>
        <v/>
      </c>
      <c r="LT6" s="14" t="str">
        <f>IF(SUM(LJ6:LM6)-LN6&gt;0,SUM(LJ6:LM6)-LN6,"")</f>
        <v/>
      </c>
      <c r="LU6" s="14" t="str">
        <f>IF(SUM(LR6,LT6)&gt;0,SUM(LR6,LT6),"")</f>
        <v/>
      </c>
      <c r="LV6" s="24"/>
      <c r="LW6" s="24"/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11" t="str">
        <f>IF(MC6&gt;0,MC6,"")</f>
        <v/>
      </c>
      <c r="ML6" s="11" t="str">
        <f>IF(SUM(LV6:LY6)-LZ6&gt;0,SUM(LV6:LY6)-LZ6,"")</f>
        <v/>
      </c>
      <c r="MM6" s="11" t="str">
        <f>IF(SUM(MA6:MD6)-ME6&gt;0,SUM(MA6:MD6)-ME6,"")</f>
        <v/>
      </c>
      <c r="MN6" s="11" t="str">
        <f>IF(SUM(ML6:MM6)&gt;0,SUM(ML6:MM6),"")</f>
        <v/>
      </c>
      <c r="MO6" s="11" t="str">
        <f>IF(MH6&gt;0,MH6,"")</f>
        <v/>
      </c>
      <c r="MP6" s="11" t="str">
        <f>IF(SUM(MF6:MI6)-MJ6&gt;0,SUM(MF6:MI6)-MJ6,"")</f>
        <v/>
      </c>
      <c r="MQ6" s="11" t="str">
        <f>IF(SUM(MN6,MP6)&gt;0,SUM(MN6,MP6),"")</f>
        <v/>
      </c>
      <c r="MR6" s="25"/>
      <c r="MS6" s="25"/>
      <c r="MT6" s="25"/>
      <c r="MU6" s="25"/>
      <c r="MV6" s="25"/>
      <c r="MW6" s="25"/>
      <c r="MX6" s="25"/>
      <c r="MY6" s="25"/>
      <c r="MZ6" s="25"/>
      <c r="NA6" s="25"/>
      <c r="NB6" s="25"/>
      <c r="NC6" s="25"/>
      <c r="ND6" s="25"/>
      <c r="NE6" s="25"/>
      <c r="NF6" s="25"/>
      <c r="NG6" s="14" t="str">
        <f>IF(MY6&gt;0,MY6,"")</f>
        <v/>
      </c>
      <c r="NH6" s="14" t="str">
        <f>IF(SUM(MR6:MU6)-MV6&gt;0,SUM(MR6:MU6)-MV6,"")</f>
        <v/>
      </c>
      <c r="NI6" s="14" t="str">
        <f>IF(SUM(MW6:MZ6)-NA6&gt;0,SUM(MW6:MZ6)-NA6,"")</f>
        <v/>
      </c>
      <c r="NJ6" s="14" t="str">
        <f>IF(SUM(NH6:NI6)&gt;0,SUM(NH6:NI6),"")</f>
        <v/>
      </c>
      <c r="NK6" s="14" t="str">
        <f>IF(ND6&gt;0,ND6,"")</f>
        <v/>
      </c>
      <c r="NL6" s="14" t="str">
        <f>IF(SUM(NB6:NE6)-NF6&gt;0,SUM(NB6:NE6)-NF6,"")</f>
        <v/>
      </c>
      <c r="NM6" s="14" t="str">
        <f>IF(SUM(NJ6,NL6)&gt;0,SUM(NJ6,NL6),"")</f>
        <v/>
      </c>
      <c r="NN6" s="38">
        <f>IF($CV6="P",CB6,(CB6+AX6)/2)</f>
        <v>7.7</v>
      </c>
      <c r="NO6" s="38">
        <f>IF($CV6="P",CC6,(CC6+AY6)/2)</f>
        <v>4.6500000000000004</v>
      </c>
      <c r="NP6" s="38">
        <f>IF($CV6="P",CD6,(CD6+AZ6)/2)</f>
        <v>0</v>
      </c>
      <c r="NQ6" s="38">
        <f>IF($CV6="P",CE6,(CE6+BA6)/2)</f>
        <v>7.6550000000000002</v>
      </c>
      <c r="NR6" s="38">
        <f>IF($CV6="P",CF6,(CF6+BB6)/2)</f>
        <v>0</v>
      </c>
      <c r="NS6" s="38">
        <f>IF($CV6="P",CG6,(CG6+BC6)/2)</f>
        <v>6.7</v>
      </c>
      <c r="NT6" s="38">
        <f>IF($CV6="P",CH6,(CH6+BD6)/2)</f>
        <v>4.7</v>
      </c>
      <c r="NU6" s="38">
        <f>IF($CV6="P",CI6,(CI6+BE6)/2)</f>
        <v>5.25</v>
      </c>
      <c r="NV6" s="38">
        <f>IF($CV6="P",CJ6,(CJ6+BF6)/2)</f>
        <v>7.1275000000000004</v>
      </c>
      <c r="NW6" s="38">
        <f>IF($CV6="P",CK6,(CK6+BG6)/2)</f>
        <v>0</v>
      </c>
      <c r="NX6" s="38">
        <f>IF($CV6="P",CL6,(CL6+BH6)/2)</f>
        <v>0</v>
      </c>
      <c r="NY6" s="38">
        <f>IF($CV6="P",CM6,(CM6+BI6)/2)</f>
        <v>0</v>
      </c>
      <c r="NZ6" s="38">
        <f>IF($CV6="P",CN6,(CN6+BJ6)/2)</f>
        <v>0</v>
      </c>
      <c r="OA6" s="38">
        <f>IF($CV6="P",CO6,(CO6+BK6)/2)</f>
        <v>0</v>
      </c>
      <c r="OB6" s="38">
        <f>IF($CV6="P",CP6,(CP6+BL6)/2)</f>
        <v>0</v>
      </c>
      <c r="OC6" s="38">
        <f>IF($CV6="P",CQ6,(CQ6+BM6)/2)</f>
        <v>6.7</v>
      </c>
      <c r="OD6" s="38">
        <f>IF($CV6="P",CR6,(CR6+BN6)/2)</f>
        <v>4.55</v>
      </c>
      <c r="OE6" s="38">
        <f>IF($CV6="P",CS6,(CS6+BO6)/2)</f>
        <v>4.2</v>
      </c>
      <c r="OF6" s="38">
        <f>IF($CV6="P",CT6,(CT6+BP6)/2)</f>
        <v>7.1174999999999997</v>
      </c>
      <c r="OG6" s="38">
        <f>IF($CV6="P",CU6,(CU6+BQ6)/2)</f>
        <v>0.55000000000000004</v>
      </c>
      <c r="OH6" s="45" t="s">
        <v>44</v>
      </c>
      <c r="OI6" s="11">
        <f>IF(SUM(NN6:NQ6)-NR6&gt;0,SUM(NN6:NQ6)-NR6,"")</f>
        <v>20.005000000000003</v>
      </c>
      <c r="OJ6" s="11">
        <f>IF(NU6&gt;0,NU6,"")</f>
        <v>5.25</v>
      </c>
      <c r="OK6" s="11">
        <f>IF(SUM(NS6:NV6)-NW6&gt;0,SUM(NS6:NV6)-NW6,"")</f>
        <v>23.7775</v>
      </c>
      <c r="OL6" s="11" t="str">
        <f>IF(NZ6&gt;0,NZ6,"")</f>
        <v/>
      </c>
      <c r="OM6" s="11" t="str">
        <f>IF(SUM(NX6:OA6)-OB6&gt;0,SUM(NX6:OA6)-OB6,"")</f>
        <v/>
      </c>
      <c r="ON6" s="11">
        <f>IF(OR(OI6&lt;&gt;"",OK6&lt;&gt;"",OM6&lt;&gt;""),OI6+MAX(OK6,OM6),"")</f>
        <v>43.782499999999999</v>
      </c>
      <c r="OO6" s="11">
        <f>IF(OE6&gt;0,OE6,"")</f>
        <v>4.2</v>
      </c>
      <c r="OP6" s="11">
        <f t="shared" ref="OP6" si="4">IF(SUM(OC6:OF6)-OG6&gt;0,SUM(OC6:OF6)-OG6,"")</f>
        <v>22.017499999999998</v>
      </c>
      <c r="OQ6" s="11">
        <f t="shared" ref="OQ6" si="5">IF(SUM(ON6,OP6)&gt;0,SUM(ON6,OP6),"")</f>
        <v>65.8</v>
      </c>
    </row>
    <row r="7" spans="1:407" x14ac:dyDescent="0.2">
      <c r="B7" s="6"/>
      <c r="D7" s="1"/>
    </row>
    <row r="9" spans="1:407" x14ac:dyDescent="0.2">
      <c r="B9" s="39" t="s">
        <v>42</v>
      </c>
      <c r="C9" s="33"/>
      <c r="AP9" s="66"/>
      <c r="AQ9" s="66"/>
      <c r="AR9" s="66"/>
      <c r="AU9" s="31"/>
      <c r="AW9" s="35">
        <v>11.2</v>
      </c>
      <c r="BT9" s="66"/>
      <c r="BU9" s="66"/>
      <c r="BV9" s="66"/>
      <c r="BY9" s="31"/>
      <c r="CA9" s="35">
        <v>11.2</v>
      </c>
      <c r="CX9" s="66"/>
      <c r="CY9" s="66"/>
      <c r="CZ9" s="66"/>
      <c r="DC9" s="31"/>
      <c r="DE9" s="35">
        <v>11.2</v>
      </c>
      <c r="DY9" s="33"/>
      <c r="EC9" s="31"/>
      <c r="EE9" s="35">
        <v>11.2</v>
      </c>
      <c r="EU9" s="33"/>
      <c r="EY9" s="31"/>
      <c r="FA9" s="35">
        <v>11.2</v>
      </c>
      <c r="FQ9" s="33"/>
      <c r="FU9" s="31"/>
      <c r="FW9" s="35">
        <v>11.2</v>
      </c>
      <c r="GM9" s="33"/>
      <c r="GQ9" s="31"/>
      <c r="GS9" s="35">
        <v>11.2</v>
      </c>
      <c r="HI9" s="33"/>
      <c r="HM9" s="31"/>
      <c r="HO9" s="35">
        <v>11.2</v>
      </c>
      <c r="IE9" s="33"/>
      <c r="II9" s="31"/>
      <c r="IK9" s="35">
        <v>11.2</v>
      </c>
      <c r="JA9" s="33"/>
      <c r="JE9" s="31"/>
      <c r="JG9" s="35">
        <v>11.2</v>
      </c>
      <c r="JW9" s="33"/>
      <c r="KA9" s="31"/>
      <c r="KC9" s="35">
        <v>11.2</v>
      </c>
      <c r="KS9" s="33"/>
      <c r="KW9" s="31"/>
      <c r="KY9" s="35">
        <v>11.2</v>
      </c>
      <c r="LO9" s="33"/>
      <c r="LS9" s="31"/>
      <c r="LU9" s="35">
        <v>11.2</v>
      </c>
      <c r="MK9" s="33"/>
      <c r="MO9" s="31"/>
      <c r="MQ9" s="35">
        <v>11.2</v>
      </c>
      <c r="NG9" s="33"/>
      <c r="NK9" s="31"/>
      <c r="NM9" s="35">
        <v>11.2</v>
      </c>
    </row>
    <row r="10" spans="1:407" hidden="1" x14ac:dyDescent="0.2">
      <c r="B10" s="48" t="s">
        <v>41</v>
      </c>
      <c r="C10" s="33"/>
      <c r="AP10" s="66"/>
      <c r="AQ10" s="66"/>
      <c r="AR10" s="66"/>
      <c r="AU10" s="31"/>
      <c r="AW10" s="50">
        <v>11.2</v>
      </c>
      <c r="BT10" s="66"/>
      <c r="BU10" s="66"/>
      <c r="BV10" s="66"/>
      <c r="BY10" s="31"/>
      <c r="CA10" s="50">
        <v>11.2</v>
      </c>
      <c r="CX10" s="66"/>
      <c r="CY10" s="66"/>
      <c r="CZ10" s="66"/>
      <c r="DC10" s="31"/>
      <c r="DE10" s="50">
        <v>11.2</v>
      </c>
      <c r="DY10" s="33"/>
      <c r="EC10" s="31"/>
      <c r="EE10" s="50">
        <v>11.2</v>
      </c>
      <c r="EU10" s="33"/>
      <c r="EY10" s="31"/>
      <c r="FA10" s="50">
        <v>11.2</v>
      </c>
      <c r="FQ10" s="33"/>
      <c r="FU10" s="31"/>
      <c r="FW10" s="50">
        <v>11.2</v>
      </c>
      <c r="GM10" s="33"/>
      <c r="GQ10" s="31"/>
      <c r="GS10" s="50">
        <v>11.2</v>
      </c>
      <c r="HI10" s="33"/>
      <c r="HM10" s="31"/>
      <c r="HO10" s="50">
        <v>11.2</v>
      </c>
      <c r="IE10" s="33"/>
      <c r="II10" s="31"/>
      <c r="IK10" s="50">
        <v>11.2</v>
      </c>
      <c r="JA10" s="33"/>
      <c r="JE10" s="31"/>
      <c r="JG10" s="50">
        <v>11.2</v>
      </c>
      <c r="JW10" s="33"/>
      <c r="KA10" s="31"/>
      <c r="KC10" s="50">
        <v>11.2</v>
      </c>
      <c r="KS10" s="33"/>
      <c r="KW10" s="31"/>
      <c r="KY10" s="50">
        <v>11.2</v>
      </c>
      <c r="LO10" s="33"/>
      <c r="LS10" s="31"/>
      <c r="LU10" s="50">
        <v>11.2</v>
      </c>
      <c r="MK10" s="33"/>
      <c r="MO10" s="31"/>
      <c r="MQ10" s="50">
        <v>11.2</v>
      </c>
      <c r="NG10" s="33"/>
      <c r="NK10" s="31"/>
      <c r="NM10" s="50">
        <v>11.2</v>
      </c>
    </row>
    <row r="11" spans="1:407" x14ac:dyDescent="0.2">
      <c r="A11" s="33"/>
      <c r="B11" s="49" t="s">
        <v>54</v>
      </c>
      <c r="C11" s="33"/>
      <c r="AP11" s="66"/>
      <c r="AQ11" s="66"/>
      <c r="AR11" s="66"/>
      <c r="AT11" s="31"/>
      <c r="AU11" s="31"/>
      <c r="AV11" s="31"/>
      <c r="AW11" s="51">
        <v>11.2</v>
      </c>
      <c r="BT11" s="66"/>
      <c r="BU11" s="66"/>
      <c r="BV11" s="66"/>
      <c r="BY11" s="31"/>
      <c r="CA11" s="51">
        <v>11.2</v>
      </c>
      <c r="CX11" s="66"/>
      <c r="CY11" s="66"/>
      <c r="CZ11" s="66"/>
      <c r="DB11" s="31"/>
      <c r="DC11" s="31"/>
      <c r="DD11" s="31"/>
      <c r="DE11" s="51">
        <v>11.2</v>
      </c>
      <c r="DY11" s="33"/>
      <c r="EC11" s="31"/>
      <c r="EE11" s="51">
        <v>11.2</v>
      </c>
      <c r="EU11" s="33"/>
      <c r="EY11" s="31"/>
      <c r="FA11" s="51">
        <v>11.2</v>
      </c>
      <c r="FQ11" s="33"/>
      <c r="FU11" s="31"/>
      <c r="FW11" s="51">
        <v>11.2</v>
      </c>
      <c r="GM11" s="33"/>
      <c r="GQ11" s="31"/>
      <c r="GS11" s="51">
        <v>11.2</v>
      </c>
      <c r="HI11" s="33"/>
      <c r="HM11" s="31"/>
      <c r="HO11" s="51">
        <v>11.2</v>
      </c>
      <c r="IE11" s="33"/>
      <c r="II11" s="31"/>
      <c r="IK11" s="51">
        <v>11.2</v>
      </c>
      <c r="JA11" s="33"/>
      <c r="JE11" s="31"/>
      <c r="JG11" s="51">
        <v>11.2</v>
      </c>
      <c r="JW11" s="33"/>
      <c r="KA11" s="31"/>
      <c r="KC11" s="51">
        <v>11.2</v>
      </c>
      <c r="KS11" s="33"/>
      <c r="KW11" s="31"/>
      <c r="KY11" s="51">
        <v>11.2</v>
      </c>
      <c r="LO11" s="33"/>
      <c r="LS11" s="31"/>
      <c r="LU11" s="51">
        <v>11.2</v>
      </c>
      <c r="MK11" s="33"/>
      <c r="MO11" s="31"/>
      <c r="MQ11" s="51">
        <v>11.2</v>
      </c>
      <c r="NG11" s="33"/>
      <c r="NK11" s="31"/>
      <c r="NM11" s="51">
        <v>11.2</v>
      </c>
    </row>
    <row r="12" spans="1:407" x14ac:dyDescent="0.2">
      <c r="A12" s="33"/>
      <c r="B12" s="62" t="s">
        <v>59</v>
      </c>
      <c r="C12" s="33"/>
      <c r="AP12" s="66"/>
      <c r="AQ12" s="66"/>
      <c r="AR12" s="66"/>
      <c r="AT12" s="31"/>
      <c r="AU12" s="31"/>
      <c r="AV12" s="31"/>
      <c r="AW12" s="63">
        <v>11.2</v>
      </c>
      <c r="BT12" s="66"/>
      <c r="BU12" s="66"/>
      <c r="BV12" s="66"/>
      <c r="BY12" s="31"/>
      <c r="CA12" s="63">
        <v>11.2</v>
      </c>
      <c r="CX12" s="66"/>
      <c r="CY12" s="66"/>
      <c r="CZ12" s="66"/>
      <c r="DB12" s="31"/>
      <c r="DC12" s="31"/>
      <c r="DD12" s="31"/>
      <c r="DE12" s="63">
        <v>11.2</v>
      </c>
      <c r="DY12" s="33"/>
      <c r="EC12" s="31"/>
      <c r="EE12" s="63">
        <v>11.2</v>
      </c>
      <c r="EU12" s="33"/>
      <c r="EY12" s="31"/>
      <c r="FA12" s="63">
        <v>11.2</v>
      </c>
      <c r="FQ12" s="33"/>
      <c r="FU12" s="31"/>
      <c r="FW12" s="63">
        <v>11.2</v>
      </c>
      <c r="GM12" s="33"/>
      <c r="GQ12" s="31"/>
      <c r="GS12" s="63">
        <v>11.2</v>
      </c>
      <c r="HI12" s="33"/>
      <c r="HM12" s="31"/>
      <c r="HO12" s="63">
        <v>11.2</v>
      </c>
      <c r="IE12" s="33"/>
      <c r="II12" s="31"/>
      <c r="IK12" s="63">
        <v>11.2</v>
      </c>
      <c r="JA12" s="33"/>
      <c r="JE12" s="31"/>
      <c r="JG12" s="63">
        <v>11.2</v>
      </c>
      <c r="JW12" s="33"/>
      <c r="KA12" s="31"/>
      <c r="KC12" s="63">
        <v>11.2</v>
      </c>
      <c r="KS12" s="33"/>
      <c r="KW12" s="31"/>
      <c r="KY12" s="63">
        <v>11.2</v>
      </c>
      <c r="LO12" s="33"/>
      <c r="LS12" s="31"/>
      <c r="LU12" s="63">
        <v>11.2</v>
      </c>
      <c r="MK12" s="33"/>
      <c r="MO12" s="31"/>
      <c r="MQ12" s="63">
        <v>11.2</v>
      </c>
      <c r="NG12" s="33"/>
      <c r="NK12" s="31"/>
      <c r="NM12" s="63">
        <v>11.2</v>
      </c>
    </row>
    <row r="13" spans="1:407" x14ac:dyDescent="0.2">
      <c r="A13" s="33"/>
      <c r="B13" s="60" t="s">
        <v>39</v>
      </c>
      <c r="C13" s="33"/>
      <c r="M13" s="2"/>
      <c r="AP13" s="66"/>
      <c r="AQ13" s="66"/>
      <c r="AR13" s="66"/>
      <c r="AT13" s="31"/>
      <c r="AU13" s="31"/>
      <c r="AV13" s="31"/>
      <c r="AW13" s="61">
        <v>90.2</v>
      </c>
      <c r="BT13" s="66"/>
      <c r="BU13" s="66"/>
      <c r="BV13" s="66"/>
      <c r="BY13" s="31"/>
      <c r="CA13" s="61">
        <v>90.2</v>
      </c>
      <c r="CX13" s="66"/>
      <c r="CY13" s="66"/>
      <c r="CZ13" s="66"/>
      <c r="DB13" s="31"/>
      <c r="DC13" s="31"/>
      <c r="DD13" s="31"/>
      <c r="DE13" s="61">
        <v>90.2</v>
      </c>
      <c r="DY13" s="33"/>
      <c r="EC13" s="31"/>
      <c r="EE13" s="61">
        <v>92.2</v>
      </c>
      <c r="EU13" s="33"/>
      <c r="EY13" s="31"/>
      <c r="FA13" s="61">
        <v>90.2</v>
      </c>
      <c r="FQ13" s="33"/>
      <c r="FU13" s="31"/>
      <c r="FW13" s="61">
        <v>90.2</v>
      </c>
      <c r="GM13" s="33"/>
      <c r="GQ13" s="31"/>
      <c r="GS13" s="61">
        <v>90.2</v>
      </c>
      <c r="HI13" s="33"/>
      <c r="HM13" s="31"/>
      <c r="HO13" s="61">
        <v>90.2</v>
      </c>
      <c r="IE13" s="33"/>
      <c r="II13" s="31"/>
      <c r="IK13" s="61">
        <v>90.2</v>
      </c>
      <c r="JA13" s="33"/>
      <c r="JE13" s="31"/>
      <c r="JG13" s="61">
        <v>90.2</v>
      </c>
      <c r="JW13" s="33"/>
      <c r="KA13" s="31"/>
      <c r="KC13" s="61">
        <v>90.2</v>
      </c>
      <c r="KS13" s="33"/>
      <c r="KW13" s="31"/>
      <c r="KY13" s="61">
        <v>90.2</v>
      </c>
      <c r="LO13" s="33"/>
      <c r="LS13" s="31"/>
      <c r="LU13" s="61">
        <v>90.2</v>
      </c>
      <c r="MK13" s="33"/>
      <c r="MO13" s="31"/>
      <c r="MQ13" s="61">
        <v>90.2</v>
      </c>
      <c r="NG13" s="33"/>
      <c r="NK13" s="31"/>
      <c r="NM13" s="61">
        <v>90.2</v>
      </c>
    </row>
    <row r="14" spans="1:407" hidden="1" x14ac:dyDescent="0.2">
      <c r="A14" s="33"/>
      <c r="B14" s="40" t="s">
        <v>40</v>
      </c>
      <c r="C14" s="33"/>
      <c r="M14" s="2"/>
      <c r="AP14" s="66"/>
      <c r="AQ14" s="66"/>
      <c r="AR14" s="66"/>
      <c r="AT14" s="31"/>
      <c r="AU14" s="31"/>
      <c r="AV14" s="31"/>
      <c r="AW14" s="36">
        <v>93.1</v>
      </c>
      <c r="BT14" s="66"/>
      <c r="BU14" s="66"/>
      <c r="BV14" s="66"/>
      <c r="BY14" s="31"/>
      <c r="CA14" s="36">
        <v>93.1</v>
      </c>
      <c r="CX14" s="66"/>
      <c r="CY14" s="66"/>
      <c r="CZ14" s="66"/>
      <c r="DB14" s="31"/>
      <c r="DC14" s="31"/>
      <c r="DD14" s="31"/>
      <c r="DE14" s="36">
        <v>93.1</v>
      </c>
      <c r="DY14" s="33"/>
      <c r="EC14" s="31"/>
      <c r="EE14" s="36">
        <v>95.1</v>
      </c>
      <c r="EU14" s="33"/>
      <c r="EY14" s="31"/>
      <c r="FA14" s="36">
        <v>93.1</v>
      </c>
      <c r="FQ14" s="33"/>
      <c r="FU14" s="31"/>
      <c r="FW14" s="36">
        <v>93.1</v>
      </c>
      <c r="GM14" s="33"/>
      <c r="GQ14" s="31"/>
      <c r="GS14" s="36">
        <v>93.1</v>
      </c>
      <c r="HI14" s="33"/>
      <c r="HM14" s="31"/>
      <c r="HO14" s="36">
        <v>93.1</v>
      </c>
      <c r="IE14" s="33"/>
      <c r="II14" s="31"/>
      <c r="IK14" s="36">
        <v>93.1</v>
      </c>
      <c r="JA14" s="33"/>
      <c r="JE14" s="31"/>
      <c r="JG14" s="36">
        <v>93.1</v>
      </c>
      <c r="JW14" s="33"/>
      <c r="KA14" s="31"/>
      <c r="KC14" s="36">
        <v>93.1</v>
      </c>
      <c r="KS14" s="33"/>
      <c r="KW14" s="31"/>
      <c r="KY14" s="36">
        <v>93.1</v>
      </c>
      <c r="LO14" s="33"/>
      <c r="LS14" s="31"/>
      <c r="LU14" s="36">
        <v>93.1</v>
      </c>
      <c r="MK14" s="33"/>
      <c r="MO14" s="31"/>
      <c r="MQ14" s="36">
        <v>93.1</v>
      </c>
      <c r="NG14" s="33"/>
      <c r="NK14" s="31"/>
      <c r="NM14" s="36">
        <v>93.1</v>
      </c>
    </row>
    <row r="15" spans="1:407" x14ac:dyDescent="0.2">
      <c r="A15" s="33"/>
      <c r="B15" s="58" t="s">
        <v>53</v>
      </c>
      <c r="C15" s="33"/>
      <c r="AP15" s="66"/>
      <c r="AQ15" s="66"/>
      <c r="AR15" s="66"/>
      <c r="AT15" s="31"/>
      <c r="AU15" s="31"/>
      <c r="AV15" s="71"/>
      <c r="AW15" s="59">
        <v>93.1</v>
      </c>
      <c r="BT15" s="66"/>
      <c r="BU15" s="66"/>
      <c r="BV15" s="66"/>
      <c r="BY15" s="31"/>
      <c r="BZ15" s="70"/>
      <c r="CA15" s="59">
        <v>93.1</v>
      </c>
      <c r="CX15" s="66"/>
      <c r="CY15" s="66"/>
      <c r="CZ15" s="66"/>
      <c r="DB15" s="31"/>
      <c r="DC15" s="31"/>
      <c r="DD15" s="31"/>
      <c r="DE15" s="59">
        <v>93.1</v>
      </c>
      <c r="DY15" s="33"/>
      <c r="EC15" s="31"/>
      <c r="EE15" s="59">
        <v>95.1</v>
      </c>
      <c r="EU15" s="33"/>
      <c r="EY15" s="31"/>
      <c r="FA15" s="59">
        <v>93.1</v>
      </c>
      <c r="FQ15" s="33"/>
      <c r="FU15" s="31"/>
      <c r="FW15" s="59">
        <v>93.1</v>
      </c>
      <c r="GM15" s="33"/>
      <c r="GQ15" s="31"/>
      <c r="GR15" s="70"/>
      <c r="GS15" s="59">
        <v>93.1</v>
      </c>
      <c r="HI15" s="33"/>
      <c r="HM15" s="31"/>
      <c r="HN15" s="70"/>
      <c r="HO15" s="59">
        <v>93.1</v>
      </c>
      <c r="IE15" s="33"/>
      <c r="II15" s="31"/>
      <c r="IK15" s="59">
        <v>93.1</v>
      </c>
      <c r="JA15" s="33"/>
      <c r="JE15" s="31"/>
      <c r="JG15" s="59">
        <v>93.1</v>
      </c>
      <c r="JW15" s="33"/>
      <c r="KA15" s="31"/>
      <c r="KB15" s="72"/>
      <c r="KC15" s="59">
        <v>93.1</v>
      </c>
      <c r="KS15" s="33"/>
      <c r="KW15" s="31"/>
      <c r="KY15" s="59">
        <v>93.1</v>
      </c>
      <c r="LO15" s="33"/>
      <c r="LS15" s="31"/>
      <c r="LU15" s="59">
        <v>93.1</v>
      </c>
      <c r="MK15" s="33"/>
      <c r="MO15" s="31"/>
      <c r="MP15" s="72"/>
      <c r="MQ15" s="59">
        <v>93.1</v>
      </c>
      <c r="NG15" s="33"/>
      <c r="NK15" s="31"/>
      <c r="NM15" s="59">
        <v>93.1</v>
      </c>
    </row>
    <row r="16" spans="1:407" x14ac:dyDescent="0.2">
      <c r="A16" s="33"/>
      <c r="B16" s="41" t="s">
        <v>26</v>
      </c>
      <c r="C16" s="33"/>
      <c r="M16" s="2"/>
      <c r="AP16" s="66"/>
      <c r="AQ16" s="66"/>
      <c r="AR16" s="66"/>
      <c r="AT16" s="31"/>
      <c r="AU16" s="31"/>
      <c r="AV16" s="31"/>
      <c r="AW16" s="37">
        <v>51.8</v>
      </c>
      <c r="BT16" s="66"/>
      <c r="BU16" s="66"/>
      <c r="BV16" s="66"/>
      <c r="BY16" s="31"/>
      <c r="CA16" s="37">
        <v>51.8</v>
      </c>
      <c r="CX16" s="66"/>
      <c r="CY16" s="66"/>
      <c r="CZ16" s="66"/>
      <c r="DB16" s="31"/>
      <c r="DC16" s="31"/>
      <c r="DD16" s="31"/>
      <c r="DE16" s="37">
        <v>51</v>
      </c>
      <c r="DY16" s="33"/>
      <c r="EC16" s="31"/>
      <c r="EE16" s="37">
        <v>51</v>
      </c>
      <c r="EU16" s="33"/>
      <c r="EY16" s="31"/>
      <c r="FA16" s="37">
        <v>51</v>
      </c>
      <c r="FQ16" s="33"/>
      <c r="FU16" s="31"/>
      <c r="FW16" s="37">
        <v>51</v>
      </c>
      <c r="GM16" s="33"/>
      <c r="GQ16" s="31"/>
      <c r="GR16" s="70"/>
      <c r="GS16" s="37">
        <v>51</v>
      </c>
      <c r="HI16" s="33"/>
      <c r="HM16" s="31"/>
      <c r="HO16" s="37">
        <v>51</v>
      </c>
      <c r="IE16" s="33"/>
      <c r="II16" s="31"/>
      <c r="IK16" s="37">
        <v>51</v>
      </c>
      <c r="JA16" s="33"/>
      <c r="JE16" s="31"/>
      <c r="JG16" s="37">
        <v>51</v>
      </c>
      <c r="JW16" s="33"/>
      <c r="KA16" s="31"/>
      <c r="KC16" s="37">
        <v>51</v>
      </c>
      <c r="KS16" s="33"/>
      <c r="KW16" s="31"/>
      <c r="KY16" s="37">
        <v>51</v>
      </c>
      <c r="LO16" s="33"/>
      <c r="LS16" s="31"/>
      <c r="LU16" s="37">
        <v>51</v>
      </c>
      <c r="MK16" s="33"/>
      <c r="MO16" s="31"/>
      <c r="MQ16" s="37">
        <v>51</v>
      </c>
      <c r="NG16" s="33"/>
      <c r="NK16" s="31"/>
      <c r="NM16" s="37">
        <v>51</v>
      </c>
    </row>
    <row r="17" spans="1:152" x14ac:dyDescent="0.2">
      <c r="B17" s="47" t="s">
        <v>45</v>
      </c>
      <c r="C17" s="2"/>
      <c r="AS17" s="31"/>
      <c r="AT17" s="31"/>
      <c r="AV17" s="31"/>
      <c r="DA17" s="31"/>
      <c r="DB17" s="31"/>
      <c r="DD17" s="31"/>
      <c r="EV17" s="31"/>
    </row>
    <row r="18" spans="1:152" x14ac:dyDescent="0.2">
      <c r="A18" s="33"/>
      <c r="B18" s="33"/>
      <c r="C18" s="32"/>
      <c r="AO18" s="31"/>
      <c r="AP18" s="31"/>
      <c r="AQ18" s="31"/>
      <c r="AR18" s="31"/>
      <c r="AS18" s="31"/>
      <c r="AT18" s="31"/>
      <c r="AV18" s="31"/>
      <c r="CW18" s="31"/>
      <c r="CX18" s="31"/>
      <c r="CY18" s="31"/>
      <c r="CZ18" s="31"/>
      <c r="DA18" s="31"/>
      <c r="DB18" s="31"/>
      <c r="DD18" s="31"/>
    </row>
    <row r="19" spans="1:152" ht="17" x14ac:dyDescent="0.2">
      <c r="A19" s="33"/>
      <c r="B19" s="33"/>
      <c r="C19" s="32"/>
      <c r="Q19" s="16"/>
      <c r="R19" s="16"/>
      <c r="AO19" s="31"/>
      <c r="AP19" s="31"/>
      <c r="AQ19" s="31"/>
      <c r="AR19" s="31"/>
      <c r="AS19" s="31"/>
      <c r="AT19" s="31"/>
      <c r="AV19" s="31"/>
      <c r="CW19" s="31"/>
      <c r="CX19" s="31"/>
      <c r="CY19" s="31"/>
      <c r="CZ19" s="31"/>
      <c r="DA19" s="31"/>
      <c r="DB19" s="31"/>
      <c r="DD19" s="31"/>
    </row>
    <row r="20" spans="1:152" ht="17" x14ac:dyDescent="0.2">
      <c r="A20" s="33"/>
      <c r="B20" s="33"/>
      <c r="C20" s="32"/>
      <c r="Q20" s="16"/>
      <c r="AO20" s="31"/>
      <c r="AP20" s="31"/>
      <c r="AQ20" s="31"/>
      <c r="AR20" s="31"/>
      <c r="AS20" s="31"/>
      <c r="AT20" s="31"/>
      <c r="AV20" s="31"/>
      <c r="CW20" s="31"/>
      <c r="CX20" s="31"/>
      <c r="CY20" s="31"/>
      <c r="CZ20" s="31"/>
      <c r="DA20" s="31"/>
      <c r="DB20" s="31"/>
      <c r="DD20" s="31"/>
    </row>
    <row r="21" spans="1:152" ht="17" x14ac:dyDescent="0.2">
      <c r="Q21" s="16"/>
      <c r="R21" s="16"/>
      <c r="AO21" s="31"/>
      <c r="AP21" s="31"/>
      <c r="AQ21" s="31"/>
      <c r="AR21" s="31"/>
      <c r="AS21" s="31"/>
      <c r="AT21" s="31"/>
      <c r="AV21" s="31"/>
      <c r="CW21" s="31"/>
      <c r="CX21" s="31"/>
      <c r="CY21" s="31"/>
      <c r="CZ21" s="31"/>
      <c r="DA21" s="31"/>
      <c r="DB21" s="31"/>
      <c r="DD21" s="31"/>
    </row>
    <row r="22" spans="1:152" ht="17" x14ac:dyDescent="0.2">
      <c r="Q22" s="16"/>
      <c r="R22" s="16"/>
      <c r="AO22" s="31"/>
      <c r="AP22" s="31"/>
      <c r="AQ22" s="31"/>
      <c r="AR22" s="31"/>
      <c r="AS22" s="31"/>
      <c r="AT22" s="31"/>
      <c r="AV22" s="31"/>
      <c r="CW22" s="31"/>
      <c r="CX22" s="31"/>
      <c r="CY22" s="31"/>
      <c r="CZ22" s="31"/>
      <c r="DA22" s="31"/>
      <c r="DB22" s="31"/>
      <c r="DD22" s="31"/>
    </row>
    <row r="23" spans="1:152" ht="17" x14ac:dyDescent="0.2">
      <c r="Q23" s="16"/>
      <c r="R23" s="16"/>
      <c r="AO23" s="31"/>
      <c r="AP23" s="31"/>
      <c r="AQ23" s="31"/>
      <c r="AR23" s="31"/>
      <c r="AS23" s="31"/>
      <c r="AT23" s="31"/>
      <c r="AV23" s="31"/>
      <c r="CW23" s="31"/>
      <c r="CX23" s="31"/>
      <c r="CY23" s="31"/>
      <c r="CZ23" s="31"/>
      <c r="DA23" s="31"/>
      <c r="DB23" s="31"/>
      <c r="DD23" s="31"/>
    </row>
    <row r="24" spans="1:152" ht="17" x14ac:dyDescent="0.2">
      <c r="Q24" s="16"/>
      <c r="R24" s="16"/>
      <c r="S24" s="16"/>
    </row>
    <row r="25" spans="1:152" ht="17" x14ac:dyDescent="0.2">
      <c r="Q25" s="16"/>
      <c r="R25" s="16"/>
      <c r="S25" s="16"/>
    </row>
    <row r="26" spans="1:152" ht="17" x14ac:dyDescent="0.2">
      <c r="Q26" s="16"/>
      <c r="R26" s="16"/>
      <c r="S26" s="16"/>
    </row>
    <row r="27" spans="1:152" ht="17" x14ac:dyDescent="0.2">
      <c r="Q27" s="16"/>
      <c r="R27" s="16"/>
      <c r="S27" s="16"/>
    </row>
    <row r="28" spans="1:152" ht="17" x14ac:dyDescent="0.2">
      <c r="Q28" s="16"/>
      <c r="R28" s="16"/>
      <c r="S28" s="16"/>
    </row>
    <row r="29" spans="1:152" ht="17" x14ac:dyDescent="0.2">
      <c r="Q29" s="16"/>
      <c r="R29" s="16"/>
      <c r="S29" s="16"/>
    </row>
    <row r="30" spans="1:152" ht="17" x14ac:dyDescent="0.2">
      <c r="Q30" s="16"/>
      <c r="R30" s="16"/>
      <c r="S30" s="16"/>
    </row>
    <row r="31" spans="1:152" ht="17" x14ac:dyDescent="0.2">
      <c r="Q31" s="16"/>
      <c r="R31" s="16"/>
      <c r="S31" s="16"/>
    </row>
    <row r="32" spans="1:152" ht="17" x14ac:dyDescent="0.2">
      <c r="Q32" s="16"/>
      <c r="R32" s="16"/>
      <c r="S32" s="16"/>
    </row>
    <row r="33" spans="17:19" ht="17" x14ac:dyDescent="0.2">
      <c r="Q33" s="16"/>
      <c r="R33" s="16"/>
      <c r="S33" s="16"/>
    </row>
    <row r="34" spans="17:19" ht="17" x14ac:dyDescent="0.2">
      <c r="Q34" s="16"/>
      <c r="R34" s="16"/>
      <c r="S34" s="16"/>
    </row>
    <row r="35" spans="17:19" ht="17" x14ac:dyDescent="0.2">
      <c r="Q35" s="16"/>
      <c r="R35" s="16"/>
      <c r="S35" s="16"/>
    </row>
    <row r="36" spans="17:19" ht="17" x14ac:dyDescent="0.2">
      <c r="Q36" s="16"/>
      <c r="R36" s="16"/>
      <c r="S36" s="16"/>
    </row>
    <row r="37" spans="17:19" ht="17" x14ac:dyDescent="0.2">
      <c r="Q37" s="16"/>
      <c r="R37" s="16"/>
      <c r="S37" s="16"/>
    </row>
    <row r="38" spans="17:19" ht="17" x14ac:dyDescent="0.2">
      <c r="Q38" s="16"/>
      <c r="R38" s="16"/>
      <c r="S38" s="16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6">
      <sortCondition descending="1" ref="F1:F7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1" priority="16" operator="containsText" text="No DD">
      <formula>NOT(ISERROR(SEARCH("No DD",H4)))</formula>
    </cfRule>
    <cfRule type="containsText" dxfId="150" priority="17" operator="containsText" text="Merit">
      <formula>NOT(ISERROR(SEARCH("Merit",H4)))</formula>
    </cfRule>
    <cfRule type="containsText" dxfId="149" priority="18" operator="containsText" text="Excellence">
      <formula>NOT(ISERROR(SEARCH("Excellence",H4)))</formula>
    </cfRule>
    <cfRule type="containsText" dxfId="148" priority="19" operator="containsText" text="Worlds Team">
      <formula>NOT(ISERROR(SEARCH("Worlds Team",H4)))</formula>
    </cfRule>
    <cfRule type="containsText" dxfId="147" priority="20" operator="containsText" text="National Team">
      <formula>NOT(ISERROR(SEARCH("National Team",H4)))</formula>
    </cfRule>
  </conditionalFormatting>
  <conditionalFormatting sqref="T4:AW6">
    <cfRule type="expression" dxfId="146" priority="6" stopIfTrue="1">
      <formula>IF($AN4&lt;&gt;"",1,0)</formula>
    </cfRule>
  </conditionalFormatting>
  <conditionalFormatting sqref="AX4:CA6">
    <cfRule type="expression" dxfId="145" priority="14" stopIfTrue="1">
      <formula>IF($BR4&lt;&gt;"",1,0)</formula>
    </cfRule>
  </conditionalFormatting>
  <conditionalFormatting sqref="L1:L1048576 P1:P1048576 J1:J1048576 N1:N1048576">
    <cfRule type="expression" dxfId="144" priority="21">
      <formula>IF(J1=$CB$1,1,0)</formula>
    </cfRule>
    <cfRule type="expression" dxfId="143" priority="22">
      <formula>IF(J1=$AX$1,1,0)</formula>
    </cfRule>
    <cfRule type="expression" dxfId="142" priority="23">
      <formula>IF(J1=$T$1,1,0)</formula>
    </cfRule>
  </conditionalFormatting>
  <conditionalFormatting sqref="CB4:DE6">
    <cfRule type="expression" dxfId="141" priority="15" stopIfTrue="1">
      <formula>IF($CV4&lt;&gt;"",1,0)</formula>
    </cfRule>
  </conditionalFormatting>
  <conditionalFormatting sqref="GR17:GR1048576 HN16:HN1048576 KB16:KB1048576 MP16:MP1048576 AV1:AV1048576 BZ1:BZ1048576 DD1:DD1048576 ED1:ED1048576 EZ1:EZ1048576 FV1:FV1048576 GR1:GR14 HN1:HN14 IJ1:IJ1048576 JF1:JF1048576 KB1:KB14 KX1:KX1048576 LT1:LT1048576 MP1:MP14 NL1:NL1048576">
    <cfRule type="cellIs" dxfId="140" priority="37584" operator="between">
      <formula>AW$16</formula>
      <formula>1000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9" priority="46506" operator="between">
      <formula>AW$16</formula>
      <formula>1000</formula>
    </cfRule>
    <cfRule type="cellIs" dxfId="138" priority="46507" operator="between">
      <formula>AW$15</formula>
      <formula>AW$16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7" priority="46596" operator="between">
      <formula>AW$15</formula>
      <formula>1000</formula>
    </cfRule>
    <cfRule type="cellIs" dxfId="136" priority="46597" operator="between">
      <formula>AW$14</formula>
      <formula>AW$15</formula>
    </cfRule>
    <cfRule type="cellIs" dxfId="135" priority="46598" operator="between">
      <formula>AW$13</formula>
      <formula>AW$14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4" priority="46731" operator="between">
      <formula>EE$12</formula>
      <formula>1000</formula>
    </cfRule>
    <cfRule type="cellIs" dxfId="133" priority="46732" operator="between">
      <formula>EE$11</formula>
      <formula>EE$12</formula>
    </cfRule>
    <cfRule type="cellIs" dxfId="132" priority="46733" operator="between">
      <formula>EE$10</formula>
      <formula>EE$11</formula>
    </cfRule>
    <cfRule type="cellIs" dxfId="131" priority="46734" operator="between">
      <formula>EE$9</formula>
      <formula>EE$10</formula>
    </cfRule>
  </conditionalFormatting>
  <conditionalFormatting sqref="AP1:AP1048576 BT1:BT1048576 CX1:CX1048576">
    <cfRule type="cellIs" dxfId="130" priority="46875" operator="between">
      <formula>AW$12</formula>
      <formula>1000</formula>
    </cfRule>
    <cfRule type="cellIs" dxfId="129" priority="46876" operator="between">
      <formula>AW$11</formula>
      <formula>AW$12</formula>
    </cfRule>
    <cfRule type="cellIs" dxfId="128" priority="46877" operator="between">
      <formula>AW$10</formula>
      <formula>AW$11</formula>
    </cfRule>
    <cfRule type="cellIs" dxfId="127" priority="46878" operator="between">
      <formula>AW$9</formula>
      <formula>AW$10</formula>
    </cfRule>
  </conditionalFormatting>
  <conditionalFormatting sqref="AQ1:AQ1048576 BU1:BU1048576 CY1:CY1048576">
    <cfRule type="cellIs" dxfId="126" priority="46911" operator="between">
      <formula>AW$16</formula>
      <formula>1000</formula>
    </cfRule>
  </conditionalFormatting>
  <conditionalFormatting sqref="AR1:AR1048576 BV1:BV1048576 CZ1:CZ1048576">
    <cfRule type="cellIs" dxfId="125" priority="46920" operator="between">
      <formula>AW$12</formula>
      <formula>1000</formula>
    </cfRule>
    <cfRule type="cellIs" dxfId="124" priority="46921" operator="between">
      <formula>AW$11</formula>
      <formula>AW$12</formula>
    </cfRule>
    <cfRule type="cellIs" dxfId="123" priority="46922" operator="between">
      <formula>AW$10</formula>
      <formula>AW$11</formula>
    </cfRule>
    <cfRule type="cellIs" dxfId="122" priority="46923" operator="between">
      <formula>AW$9</formula>
      <formula>AW$10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21" priority="46956" operator="between">
      <formula>AW$12</formula>
      <formula>1000</formula>
    </cfRule>
    <cfRule type="cellIs" dxfId="120" priority="46957" operator="between">
      <formula>AW$11</formula>
      <formula>AW$12</formula>
    </cfRule>
    <cfRule type="cellIs" dxfId="119" priority="46958" operator="between">
      <formula>AW$10</formula>
      <formula>AW$11</formula>
    </cfRule>
    <cfRule type="cellIs" dxfId="118" priority="46959" operator="between">
      <formula>AW$9</formula>
      <formula>AW$10</formula>
    </cfRule>
  </conditionalFormatting>
  <conditionalFormatting sqref="A1:A1048576">
    <cfRule type="expression" dxfId="117" priority="48719">
      <formula>AND(#REF!&lt;&gt;"",G1="")</formula>
    </cfRule>
  </conditionalFormatting>
  <conditionalFormatting sqref="H1:H3">
    <cfRule type="containsText" dxfId="116" priority="1" operator="containsText" text="No DD">
      <formula>NOT(ISERROR(SEARCH("No DD",H1)))</formula>
    </cfRule>
    <cfRule type="containsText" dxfId="115" priority="2" operator="containsText" text="Merit">
      <formula>NOT(ISERROR(SEARCH("Merit",H1)))</formula>
    </cfRule>
    <cfRule type="containsText" dxfId="114" priority="3" operator="containsText" text="Excellence">
      <formula>NOT(ISERROR(SEARCH("Excellence",H1)))</formula>
    </cfRule>
    <cfRule type="containsText" dxfId="113" priority="4" operator="containsText" text="Worlds Team">
      <formula>NOT(ISERROR(SEARCH("Worlds Team",H1)))</formula>
    </cfRule>
    <cfRule type="containsText" dxfId="112" priority="5" operator="containsText" text="National Team">
      <formula>NOT(ISERROR(SEARCH("National Team",H1)))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hidden="1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10" t="s">
        <v>5</v>
      </c>
      <c r="H1" s="107" t="s">
        <v>6</v>
      </c>
      <c r="I1" s="114" t="s">
        <v>81</v>
      </c>
      <c r="J1" s="108" t="s">
        <v>24</v>
      </c>
      <c r="K1" s="114" t="s">
        <v>82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4" t="s">
        <v>70</v>
      </c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 t="s">
        <v>71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4" t="s">
        <v>76</v>
      </c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6" t="s">
        <v>51</v>
      </c>
      <c r="CV1" s="106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4" t="s">
        <v>55</v>
      </c>
      <c r="OX1" s="104"/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</row>
    <row r="2" spans="1:439" x14ac:dyDescent="0.2">
      <c r="A2" s="107"/>
      <c r="B2" s="107"/>
      <c r="C2" s="107"/>
      <c r="D2" s="107"/>
      <c r="E2" s="107"/>
      <c r="F2" s="110"/>
      <c r="G2" s="110"/>
      <c r="H2" s="107"/>
      <c r="I2" s="114"/>
      <c r="J2" s="108"/>
      <c r="K2" s="114"/>
      <c r="L2" s="108"/>
      <c r="M2" s="108"/>
      <c r="N2" s="108"/>
      <c r="O2" s="109"/>
      <c r="P2" s="108"/>
      <c r="Q2" s="108"/>
      <c r="R2" s="102" t="s">
        <v>83</v>
      </c>
      <c r="S2" s="102"/>
      <c r="T2" s="102"/>
      <c r="U2" s="102"/>
      <c r="V2" s="102" t="s">
        <v>84</v>
      </c>
      <c r="W2" s="102"/>
      <c r="X2" s="102"/>
      <c r="Y2" s="102"/>
      <c r="Z2" s="102" t="s">
        <v>85</v>
      </c>
      <c r="AA2" s="102"/>
      <c r="AB2" s="102"/>
      <c r="AC2" s="102"/>
      <c r="AD2" s="102" t="s">
        <v>86</v>
      </c>
      <c r="AE2" s="102"/>
      <c r="AF2" s="102"/>
      <c r="AG2" s="102"/>
      <c r="AH2" s="111" t="s">
        <v>87</v>
      </c>
      <c r="AI2" s="111"/>
      <c r="AJ2" s="111"/>
      <c r="AK2" s="111"/>
      <c r="AL2" s="74"/>
      <c r="AM2" s="74" t="s">
        <v>88</v>
      </c>
      <c r="AN2" s="74" t="s">
        <v>89</v>
      </c>
      <c r="AO2" s="74" t="s">
        <v>85</v>
      </c>
      <c r="AP2" s="74" t="s">
        <v>56</v>
      </c>
      <c r="AQ2" s="74" t="s">
        <v>90</v>
      </c>
      <c r="AR2" s="74" t="s">
        <v>14</v>
      </c>
      <c r="AS2" s="103" t="s">
        <v>83</v>
      </c>
      <c r="AT2" s="103"/>
      <c r="AU2" s="103"/>
      <c r="AV2" s="103"/>
      <c r="AW2" s="103" t="s">
        <v>84</v>
      </c>
      <c r="AX2" s="103"/>
      <c r="AY2" s="103"/>
      <c r="AZ2" s="103"/>
      <c r="BA2" s="103" t="s">
        <v>85</v>
      </c>
      <c r="BB2" s="103"/>
      <c r="BC2" s="103"/>
      <c r="BD2" s="103"/>
      <c r="BE2" s="103" t="s">
        <v>86</v>
      </c>
      <c r="BF2" s="103"/>
      <c r="BG2" s="103"/>
      <c r="BH2" s="103"/>
      <c r="BI2" s="112" t="s">
        <v>87</v>
      </c>
      <c r="BJ2" s="112"/>
      <c r="BK2" s="112"/>
      <c r="BL2" s="112"/>
      <c r="BM2" s="73"/>
      <c r="BN2" s="73" t="s">
        <v>88</v>
      </c>
      <c r="BO2" s="73" t="s">
        <v>89</v>
      </c>
      <c r="BP2" s="73" t="s">
        <v>85</v>
      </c>
      <c r="BQ2" s="73" t="s">
        <v>56</v>
      </c>
      <c r="BR2" s="73" t="s">
        <v>90</v>
      </c>
      <c r="BS2" s="73" t="s">
        <v>14</v>
      </c>
      <c r="BT2" s="102" t="s">
        <v>83</v>
      </c>
      <c r="BU2" s="102"/>
      <c r="BV2" s="102"/>
      <c r="BW2" s="102"/>
      <c r="BX2" s="102" t="s">
        <v>84</v>
      </c>
      <c r="BY2" s="102"/>
      <c r="BZ2" s="102"/>
      <c r="CA2" s="102"/>
      <c r="CB2" s="102" t="s">
        <v>85</v>
      </c>
      <c r="CC2" s="102"/>
      <c r="CD2" s="102"/>
      <c r="CE2" s="102"/>
      <c r="CF2" s="102" t="s">
        <v>86</v>
      </c>
      <c r="CG2" s="102"/>
      <c r="CH2" s="102"/>
      <c r="CI2" s="102"/>
      <c r="CJ2" s="111" t="s">
        <v>87</v>
      </c>
      <c r="CK2" s="111"/>
      <c r="CL2" s="111"/>
      <c r="CM2" s="111"/>
      <c r="CN2" s="74"/>
      <c r="CO2" s="74" t="s">
        <v>88</v>
      </c>
      <c r="CP2" s="74" t="s">
        <v>89</v>
      </c>
      <c r="CQ2" s="74" t="s">
        <v>85</v>
      </c>
      <c r="CR2" s="74" t="s">
        <v>56</v>
      </c>
      <c r="CS2" s="74" t="s">
        <v>90</v>
      </c>
      <c r="CT2" s="74" t="s">
        <v>14</v>
      </c>
      <c r="CU2" s="80" t="s">
        <v>89</v>
      </c>
      <c r="CV2" s="80" t="s">
        <v>19</v>
      </c>
      <c r="CW2" s="102" t="s">
        <v>83</v>
      </c>
      <c r="CX2" s="102"/>
      <c r="CY2" s="102"/>
      <c r="CZ2" s="102"/>
      <c r="DA2" s="102" t="s">
        <v>84</v>
      </c>
      <c r="DB2" s="102"/>
      <c r="DC2" s="102"/>
      <c r="DD2" s="102"/>
      <c r="DE2" s="102" t="s">
        <v>85</v>
      </c>
      <c r="DF2" s="102"/>
      <c r="DG2" s="102"/>
      <c r="DH2" s="102"/>
      <c r="DI2" s="102" t="s">
        <v>86</v>
      </c>
      <c r="DJ2" s="102"/>
      <c r="DK2" s="102"/>
      <c r="DL2" s="102"/>
      <c r="DM2" s="113" t="s">
        <v>87</v>
      </c>
      <c r="DN2" s="113"/>
      <c r="DO2" s="113"/>
      <c r="DP2" s="113"/>
      <c r="DQ2" s="74" t="s">
        <v>88</v>
      </c>
      <c r="DR2" s="74" t="s">
        <v>89</v>
      </c>
      <c r="DS2" s="74" t="s">
        <v>85</v>
      </c>
      <c r="DT2" s="74" t="s">
        <v>56</v>
      </c>
      <c r="DU2" s="74" t="s">
        <v>90</v>
      </c>
      <c r="DV2" s="74" t="s">
        <v>14</v>
      </c>
      <c r="DW2" s="103" t="s">
        <v>83</v>
      </c>
      <c r="DX2" s="103"/>
      <c r="DY2" s="103"/>
      <c r="DZ2" s="103"/>
      <c r="EA2" s="103" t="s">
        <v>84</v>
      </c>
      <c r="EB2" s="103"/>
      <c r="EC2" s="103"/>
      <c r="ED2" s="103"/>
      <c r="EE2" s="103" t="s">
        <v>85</v>
      </c>
      <c r="EF2" s="103"/>
      <c r="EG2" s="103"/>
      <c r="EH2" s="103"/>
      <c r="EI2" s="103" t="s">
        <v>86</v>
      </c>
      <c r="EJ2" s="103"/>
      <c r="EK2" s="103"/>
      <c r="EL2" s="103"/>
      <c r="EM2" s="112" t="s">
        <v>87</v>
      </c>
      <c r="EN2" s="112"/>
      <c r="EO2" s="112"/>
      <c r="EP2" s="112"/>
      <c r="EQ2" s="73" t="s">
        <v>88</v>
      </c>
      <c r="ER2" s="73" t="s">
        <v>89</v>
      </c>
      <c r="ES2" s="73" t="s">
        <v>85</v>
      </c>
      <c r="ET2" s="73" t="s">
        <v>56</v>
      </c>
      <c r="EU2" s="73" t="s">
        <v>90</v>
      </c>
      <c r="EV2" s="73" t="s">
        <v>14</v>
      </c>
      <c r="EW2" s="102" t="s">
        <v>83</v>
      </c>
      <c r="EX2" s="102"/>
      <c r="EY2" s="102"/>
      <c r="EZ2" s="102"/>
      <c r="FA2" s="102" t="s">
        <v>84</v>
      </c>
      <c r="FB2" s="102"/>
      <c r="FC2" s="102"/>
      <c r="FD2" s="102"/>
      <c r="FE2" s="102" t="s">
        <v>85</v>
      </c>
      <c r="FF2" s="102"/>
      <c r="FG2" s="102"/>
      <c r="FH2" s="102"/>
      <c r="FI2" s="102" t="s">
        <v>86</v>
      </c>
      <c r="FJ2" s="102"/>
      <c r="FK2" s="102"/>
      <c r="FL2" s="102"/>
      <c r="FM2" s="113" t="s">
        <v>87</v>
      </c>
      <c r="FN2" s="113"/>
      <c r="FO2" s="113"/>
      <c r="FP2" s="113"/>
      <c r="FQ2" s="74" t="s">
        <v>88</v>
      </c>
      <c r="FR2" s="74" t="s">
        <v>89</v>
      </c>
      <c r="FS2" s="74" t="s">
        <v>85</v>
      </c>
      <c r="FT2" s="74" t="s">
        <v>56</v>
      </c>
      <c r="FU2" s="74" t="s">
        <v>90</v>
      </c>
      <c r="FV2" s="74" t="s">
        <v>14</v>
      </c>
      <c r="FW2" s="103" t="s">
        <v>83</v>
      </c>
      <c r="FX2" s="103"/>
      <c r="FY2" s="103"/>
      <c r="FZ2" s="103"/>
      <c r="GA2" s="103" t="s">
        <v>84</v>
      </c>
      <c r="GB2" s="103"/>
      <c r="GC2" s="103"/>
      <c r="GD2" s="103"/>
      <c r="GE2" s="103" t="s">
        <v>85</v>
      </c>
      <c r="GF2" s="103"/>
      <c r="GG2" s="103"/>
      <c r="GH2" s="103"/>
      <c r="GI2" s="103" t="s">
        <v>86</v>
      </c>
      <c r="GJ2" s="103"/>
      <c r="GK2" s="103"/>
      <c r="GL2" s="103"/>
      <c r="GM2" s="112" t="s">
        <v>87</v>
      </c>
      <c r="GN2" s="112"/>
      <c r="GO2" s="112"/>
      <c r="GP2" s="112"/>
      <c r="GQ2" s="73" t="s">
        <v>88</v>
      </c>
      <c r="GR2" s="73" t="s">
        <v>89</v>
      </c>
      <c r="GS2" s="73" t="s">
        <v>85</v>
      </c>
      <c r="GT2" s="73" t="s">
        <v>56</v>
      </c>
      <c r="GU2" s="73" t="s">
        <v>90</v>
      </c>
      <c r="GV2" s="73" t="s">
        <v>14</v>
      </c>
      <c r="GW2" s="102" t="s">
        <v>83</v>
      </c>
      <c r="GX2" s="102"/>
      <c r="GY2" s="102"/>
      <c r="GZ2" s="102"/>
      <c r="HA2" s="102" t="s">
        <v>84</v>
      </c>
      <c r="HB2" s="102"/>
      <c r="HC2" s="102"/>
      <c r="HD2" s="102"/>
      <c r="HE2" s="102" t="s">
        <v>85</v>
      </c>
      <c r="HF2" s="102"/>
      <c r="HG2" s="102"/>
      <c r="HH2" s="102"/>
      <c r="HI2" s="102" t="s">
        <v>86</v>
      </c>
      <c r="HJ2" s="102"/>
      <c r="HK2" s="102"/>
      <c r="HL2" s="102"/>
      <c r="HM2" s="113" t="s">
        <v>87</v>
      </c>
      <c r="HN2" s="113"/>
      <c r="HO2" s="113"/>
      <c r="HP2" s="113"/>
      <c r="HQ2" s="74" t="s">
        <v>88</v>
      </c>
      <c r="HR2" s="74" t="s">
        <v>89</v>
      </c>
      <c r="HS2" s="74" t="s">
        <v>85</v>
      </c>
      <c r="HT2" s="74" t="s">
        <v>56</v>
      </c>
      <c r="HU2" s="74" t="s">
        <v>90</v>
      </c>
      <c r="HV2" s="74" t="s">
        <v>14</v>
      </c>
      <c r="HW2" s="103" t="s">
        <v>83</v>
      </c>
      <c r="HX2" s="103"/>
      <c r="HY2" s="103"/>
      <c r="HZ2" s="103"/>
      <c r="IA2" s="103" t="s">
        <v>84</v>
      </c>
      <c r="IB2" s="103"/>
      <c r="IC2" s="103"/>
      <c r="ID2" s="103"/>
      <c r="IE2" s="103" t="s">
        <v>85</v>
      </c>
      <c r="IF2" s="103"/>
      <c r="IG2" s="103"/>
      <c r="IH2" s="103"/>
      <c r="II2" s="103" t="s">
        <v>86</v>
      </c>
      <c r="IJ2" s="103"/>
      <c r="IK2" s="103"/>
      <c r="IL2" s="103"/>
      <c r="IM2" s="112" t="s">
        <v>87</v>
      </c>
      <c r="IN2" s="112"/>
      <c r="IO2" s="112"/>
      <c r="IP2" s="112"/>
      <c r="IQ2" s="73" t="s">
        <v>88</v>
      </c>
      <c r="IR2" s="73" t="s">
        <v>89</v>
      </c>
      <c r="IS2" s="73" t="s">
        <v>85</v>
      </c>
      <c r="IT2" s="73" t="s">
        <v>56</v>
      </c>
      <c r="IU2" s="73" t="s">
        <v>90</v>
      </c>
      <c r="IV2" s="73" t="s">
        <v>14</v>
      </c>
      <c r="IW2" s="102" t="s">
        <v>83</v>
      </c>
      <c r="IX2" s="102"/>
      <c r="IY2" s="102"/>
      <c r="IZ2" s="102"/>
      <c r="JA2" s="102" t="s">
        <v>84</v>
      </c>
      <c r="JB2" s="102"/>
      <c r="JC2" s="102"/>
      <c r="JD2" s="102"/>
      <c r="JE2" s="102" t="s">
        <v>85</v>
      </c>
      <c r="JF2" s="102"/>
      <c r="JG2" s="102"/>
      <c r="JH2" s="102"/>
      <c r="JI2" s="102" t="s">
        <v>86</v>
      </c>
      <c r="JJ2" s="102"/>
      <c r="JK2" s="102"/>
      <c r="JL2" s="102"/>
      <c r="JM2" s="113" t="s">
        <v>87</v>
      </c>
      <c r="JN2" s="113"/>
      <c r="JO2" s="113"/>
      <c r="JP2" s="113"/>
      <c r="JQ2" s="74" t="s">
        <v>88</v>
      </c>
      <c r="JR2" s="74" t="s">
        <v>89</v>
      </c>
      <c r="JS2" s="74" t="s">
        <v>85</v>
      </c>
      <c r="JT2" s="74" t="s">
        <v>56</v>
      </c>
      <c r="JU2" s="74" t="s">
        <v>90</v>
      </c>
      <c r="JV2" s="74" t="s">
        <v>14</v>
      </c>
      <c r="JW2" s="103" t="s">
        <v>83</v>
      </c>
      <c r="JX2" s="103"/>
      <c r="JY2" s="103"/>
      <c r="JZ2" s="103"/>
      <c r="KA2" s="103" t="s">
        <v>84</v>
      </c>
      <c r="KB2" s="103"/>
      <c r="KC2" s="103"/>
      <c r="KD2" s="103"/>
      <c r="KE2" s="103" t="s">
        <v>85</v>
      </c>
      <c r="KF2" s="103"/>
      <c r="KG2" s="103"/>
      <c r="KH2" s="103"/>
      <c r="KI2" s="103" t="s">
        <v>86</v>
      </c>
      <c r="KJ2" s="103"/>
      <c r="KK2" s="103"/>
      <c r="KL2" s="103"/>
      <c r="KM2" s="112" t="s">
        <v>87</v>
      </c>
      <c r="KN2" s="112"/>
      <c r="KO2" s="112"/>
      <c r="KP2" s="112"/>
      <c r="KQ2" s="73" t="s">
        <v>88</v>
      </c>
      <c r="KR2" s="73" t="s">
        <v>89</v>
      </c>
      <c r="KS2" s="73" t="s">
        <v>85</v>
      </c>
      <c r="KT2" s="73" t="s">
        <v>56</v>
      </c>
      <c r="KU2" s="73" t="s">
        <v>90</v>
      </c>
      <c r="KV2" s="73" t="s">
        <v>14</v>
      </c>
      <c r="KW2" s="102" t="s">
        <v>83</v>
      </c>
      <c r="KX2" s="102"/>
      <c r="KY2" s="102"/>
      <c r="KZ2" s="102"/>
      <c r="LA2" s="102" t="s">
        <v>84</v>
      </c>
      <c r="LB2" s="102"/>
      <c r="LC2" s="102"/>
      <c r="LD2" s="102"/>
      <c r="LE2" s="102" t="s">
        <v>85</v>
      </c>
      <c r="LF2" s="102"/>
      <c r="LG2" s="102"/>
      <c r="LH2" s="102"/>
      <c r="LI2" s="102" t="s">
        <v>86</v>
      </c>
      <c r="LJ2" s="102"/>
      <c r="LK2" s="102"/>
      <c r="LL2" s="102"/>
      <c r="LM2" s="113" t="s">
        <v>87</v>
      </c>
      <c r="LN2" s="113"/>
      <c r="LO2" s="113"/>
      <c r="LP2" s="113"/>
      <c r="LQ2" s="74" t="s">
        <v>88</v>
      </c>
      <c r="LR2" s="74" t="s">
        <v>89</v>
      </c>
      <c r="LS2" s="74" t="s">
        <v>85</v>
      </c>
      <c r="LT2" s="74" t="s">
        <v>56</v>
      </c>
      <c r="LU2" s="74" t="s">
        <v>90</v>
      </c>
      <c r="LV2" s="74" t="s">
        <v>14</v>
      </c>
      <c r="LW2" s="103" t="s">
        <v>83</v>
      </c>
      <c r="LX2" s="103"/>
      <c r="LY2" s="103"/>
      <c r="LZ2" s="103"/>
      <c r="MA2" s="103" t="s">
        <v>84</v>
      </c>
      <c r="MB2" s="103"/>
      <c r="MC2" s="103"/>
      <c r="MD2" s="103"/>
      <c r="ME2" s="103" t="s">
        <v>85</v>
      </c>
      <c r="MF2" s="103"/>
      <c r="MG2" s="103"/>
      <c r="MH2" s="103"/>
      <c r="MI2" s="103" t="s">
        <v>86</v>
      </c>
      <c r="MJ2" s="103"/>
      <c r="MK2" s="103"/>
      <c r="ML2" s="103"/>
      <c r="MM2" s="112" t="s">
        <v>87</v>
      </c>
      <c r="MN2" s="112"/>
      <c r="MO2" s="112"/>
      <c r="MP2" s="112"/>
      <c r="MQ2" s="73" t="s">
        <v>88</v>
      </c>
      <c r="MR2" s="73" t="s">
        <v>89</v>
      </c>
      <c r="MS2" s="73" t="s">
        <v>85</v>
      </c>
      <c r="MT2" s="73" t="s">
        <v>56</v>
      </c>
      <c r="MU2" s="73" t="s">
        <v>90</v>
      </c>
      <c r="MV2" s="73" t="s">
        <v>14</v>
      </c>
      <c r="MW2" s="102" t="s">
        <v>83</v>
      </c>
      <c r="MX2" s="102"/>
      <c r="MY2" s="102"/>
      <c r="MZ2" s="102"/>
      <c r="NA2" s="102" t="s">
        <v>84</v>
      </c>
      <c r="NB2" s="102"/>
      <c r="NC2" s="102"/>
      <c r="ND2" s="102"/>
      <c r="NE2" s="102" t="s">
        <v>85</v>
      </c>
      <c r="NF2" s="102"/>
      <c r="NG2" s="102"/>
      <c r="NH2" s="102"/>
      <c r="NI2" s="102" t="s">
        <v>86</v>
      </c>
      <c r="NJ2" s="102"/>
      <c r="NK2" s="102"/>
      <c r="NL2" s="102"/>
      <c r="NM2" s="113" t="s">
        <v>87</v>
      </c>
      <c r="NN2" s="113"/>
      <c r="NO2" s="113"/>
      <c r="NP2" s="113"/>
      <c r="NQ2" s="74" t="s">
        <v>88</v>
      </c>
      <c r="NR2" s="74" t="s">
        <v>89</v>
      </c>
      <c r="NS2" s="74" t="s">
        <v>85</v>
      </c>
      <c r="NT2" s="74" t="s">
        <v>56</v>
      </c>
      <c r="NU2" s="74" t="s">
        <v>90</v>
      </c>
      <c r="NV2" s="74" t="s">
        <v>14</v>
      </c>
      <c r="NW2" s="103" t="s">
        <v>83</v>
      </c>
      <c r="NX2" s="103"/>
      <c r="NY2" s="103"/>
      <c r="NZ2" s="103"/>
      <c r="OA2" s="103" t="s">
        <v>84</v>
      </c>
      <c r="OB2" s="103"/>
      <c r="OC2" s="103"/>
      <c r="OD2" s="103"/>
      <c r="OE2" s="103" t="s">
        <v>85</v>
      </c>
      <c r="OF2" s="103"/>
      <c r="OG2" s="103"/>
      <c r="OH2" s="103"/>
      <c r="OI2" s="103" t="s">
        <v>86</v>
      </c>
      <c r="OJ2" s="103"/>
      <c r="OK2" s="103"/>
      <c r="OL2" s="103"/>
      <c r="OM2" s="112" t="s">
        <v>87</v>
      </c>
      <c r="ON2" s="112"/>
      <c r="OO2" s="112"/>
      <c r="OP2" s="112"/>
      <c r="OQ2" s="73" t="s">
        <v>88</v>
      </c>
      <c r="OR2" s="73" t="s">
        <v>89</v>
      </c>
      <c r="OS2" s="73" t="s">
        <v>85</v>
      </c>
      <c r="OT2" s="73" t="s">
        <v>56</v>
      </c>
      <c r="OU2" s="73" t="s">
        <v>90</v>
      </c>
      <c r="OV2" s="73" t="s">
        <v>14</v>
      </c>
      <c r="OW2" s="102" t="s">
        <v>83</v>
      </c>
      <c r="OX2" s="102"/>
      <c r="OY2" s="102"/>
      <c r="OZ2" s="102"/>
      <c r="PA2" s="102" t="s">
        <v>84</v>
      </c>
      <c r="PB2" s="102"/>
      <c r="PC2" s="102"/>
      <c r="PD2" s="102"/>
      <c r="PE2" s="102" t="s">
        <v>85</v>
      </c>
      <c r="PF2" s="102"/>
      <c r="PG2" s="102"/>
      <c r="PH2" s="102"/>
      <c r="PI2" s="102" t="s">
        <v>86</v>
      </c>
      <c r="PJ2" s="102"/>
      <c r="PK2" s="102"/>
      <c r="PL2" s="102"/>
      <c r="PM2" s="111" t="s">
        <v>87</v>
      </c>
      <c r="PN2" s="111"/>
      <c r="PO2" s="111"/>
      <c r="PP2" s="111"/>
      <c r="PQ2" s="74"/>
      <c r="PR2" s="74" t="s">
        <v>88</v>
      </c>
      <c r="PS2" s="74" t="s">
        <v>89</v>
      </c>
      <c r="PT2" s="74" t="s">
        <v>85</v>
      </c>
      <c r="PU2" s="74" t="s">
        <v>56</v>
      </c>
      <c r="PV2" s="74" t="s">
        <v>90</v>
      </c>
      <c r="PW2" s="74" t="s">
        <v>14</v>
      </c>
    </row>
    <row r="3" spans="1:439" x14ac:dyDescent="0.2">
      <c r="A3" s="107"/>
      <c r="B3" s="107"/>
      <c r="C3" s="107"/>
      <c r="D3" s="107"/>
      <c r="E3" s="107"/>
      <c r="F3" s="110"/>
      <c r="G3" s="110"/>
      <c r="H3" s="107"/>
      <c r="I3" s="114"/>
      <c r="J3" s="108"/>
      <c r="K3" s="114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IF(AND(F4="P",G4="P"),SUMPRODUCT((F$4:F$5="P")*(G$4:G$5="P")*(E$4:E$5&gt;E4))+1,IF(G4="P",SUMPRODUCT((F$4:F$5="")*(G$4:G$5="P")*(E$4:E$5&gt;E4))+1+SUMPRODUCT((F$4:F$5="P")*(G$4:G$5="P")),""))</f>
        <v>1</v>
      </c>
      <c r="B4" s="68" t="s">
        <v>69</v>
      </c>
      <c r="C4" s="5" t="s">
        <v>66</v>
      </c>
      <c r="D4" s="5">
        <v>2006</v>
      </c>
      <c r="E4" s="15">
        <f>SUM(I4:O4)+SUM(I4:M4)*0.0000001+SUM(I4)*0.0000000000001</f>
        <v>96.700009670004818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>P</v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>P</v>
      </c>
      <c r="H4" s="6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>Excellence</v>
      </c>
      <c r="I4" s="14">
        <f>IF(COUNT(AN4,BO4,CP4)&gt;0,LARGE((AN4,BO4,CP4),1),0)</f>
        <v>48.3</v>
      </c>
      <c r="J4" s="14" t="str">
        <f>IF(I4=0,"",IF(I4=CP4,$BT$1,IF(I4=BO4,$AS$1,IF(I4=AN4,$R$1,""))))</f>
        <v>2022 Elite Canada</v>
      </c>
      <c r="K4" s="14">
        <f>IF(COUNT(AN4,BO4,CP4)&gt;1,LARGE((AN4,BO4,CP4),2),0)</f>
        <v>0</v>
      </c>
      <c r="L4" s="14" t="str">
        <f>IF(K4=0,"",IF(K4=CP4,$BT$1,IF(K4=BO4,$AS$1,IF(K4=AN4,$R$1,""))))</f>
        <v/>
      </c>
      <c r="M4" s="14">
        <f>IF(MAX(AQ4,BR4,CS4)&gt;0,MAX(AQ4,BR4,CS4),0)</f>
        <v>48.399999999999991</v>
      </c>
      <c r="N4" s="14" t="str">
        <f>IF(M4=0,"",IF(M4=CS4,$BT$1,IF(M4=BR4,$AS$1,IF(M4=AQ4,$R$1,""))))</f>
        <v>2022 Elite Canada</v>
      </c>
      <c r="O4" s="14" t="str">
        <f>IF(MAX(CU4:CV4)&gt;0,MAX(CU4:CV4),"")</f>
        <v/>
      </c>
      <c r="P4" s="20" t="str">
        <f>IF(O4="","",IF(O4=CU4,"("&amp;CU$2&amp;")",IF(O4=CV4,"("&amp;CV$2&amp;")")))</f>
        <v/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5"/>
      <c r="AM4" s="81" t="str">
        <f>IF(SUM(S4,W4)&gt;0,SUM(S4,W4),"")</f>
        <v/>
      </c>
      <c r="AN4" s="81" t="str">
        <f>IF(SUM(R4:S4,U4:W4,Y4)-T4-X4&gt;0,SUM(R4:S4,U4:W4,Y4)-T4-X4,"")</f>
        <v/>
      </c>
      <c r="AO4" s="81" t="str">
        <f>IF(SUM(Z4:AA4,AC4)-AB4&gt;0,SUM(Z4:AA4,AC4)-AB4,"")</f>
        <v/>
      </c>
      <c r="AP4" s="81" t="str">
        <f>IF(SUM(AE4,AI4)&gt;0,SUM(AE4,AI4),"")</f>
        <v/>
      </c>
      <c r="AQ4" s="81" t="str">
        <f>IF(SUM(AD4:AE4,AG4:AI4,AK4)-SUM(AF4,AJ4)&gt;0,SUM(AD4:AE4,AG4:AI4,AK4)-SUM(AF4,AJ4),"")</f>
        <v/>
      </c>
      <c r="AR4" s="81" t="str">
        <f>IF(SUM(AN4,AQ4)&gt;0,SUM(AN4,AQ4),"")</f>
        <v/>
      </c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46"/>
      <c r="BN4" s="20" t="str">
        <f>IF(SUM(AT4,AX4)&gt;0,SUM(AT4,AX4),"")</f>
        <v/>
      </c>
      <c r="BO4" s="20" t="str">
        <f>IF(SUM(AS4:AT4,AV4:AX4,AZ4)-AU4-AY4&gt;0,SUM(AS4:AT4,AV4:AX4,AZ4)-AU4-AY4,"")</f>
        <v/>
      </c>
      <c r="BP4" s="20" t="str">
        <f>IF(SUM(BA4:BB4,BD4)-BC4&gt;0,SUM(BA4:BB4,BD4)-BC4,"")</f>
        <v/>
      </c>
      <c r="BQ4" s="20" t="str">
        <f>IF(SUM(BF4,BJ4)&gt;0,SUM(BF4,BJ4),"")</f>
        <v/>
      </c>
      <c r="BR4" s="20" t="str">
        <f>IF(SUM(BE4:BF4,BH4:BJ4,BL4)-SUM(BG4,BK4)&gt;0,SUM(BE4:BF4,BH4:BJ4,BL4)-SUM(BG4,BK4),"")</f>
        <v/>
      </c>
      <c r="BS4" s="20" t="str">
        <f>IF(SUM(BO4,BR4)&gt;0,SUM(BO4,BR4),"")</f>
        <v/>
      </c>
      <c r="BT4" s="26">
        <v>17.7</v>
      </c>
      <c r="BU4" s="26">
        <v>6.9</v>
      </c>
      <c r="BV4" s="26">
        <v>0.2</v>
      </c>
      <c r="BW4" s="26">
        <v>0.3</v>
      </c>
      <c r="BX4" s="26">
        <v>17</v>
      </c>
      <c r="BY4" s="26">
        <v>6.3</v>
      </c>
      <c r="BZ4" s="26">
        <v>0</v>
      </c>
      <c r="CA4" s="26">
        <v>0.3</v>
      </c>
      <c r="CB4" s="26"/>
      <c r="CC4" s="26"/>
      <c r="CD4" s="26"/>
      <c r="CE4" s="26"/>
      <c r="CF4" s="26">
        <v>17.7</v>
      </c>
      <c r="CG4" s="26">
        <v>6.5</v>
      </c>
      <c r="CH4" s="26">
        <v>0</v>
      </c>
      <c r="CI4" s="26">
        <v>0.3</v>
      </c>
      <c r="CJ4" s="26">
        <v>17.3</v>
      </c>
      <c r="CK4" s="26">
        <v>6.3</v>
      </c>
      <c r="CL4" s="26">
        <v>0</v>
      </c>
      <c r="CM4" s="26">
        <v>0.3</v>
      </c>
      <c r="CN4" s="45"/>
      <c r="CO4" s="81">
        <f>IF(SUM(BU4,BY4)&gt;0,SUM(BU4,BY4),"")</f>
        <v>13.2</v>
      </c>
      <c r="CP4" s="81">
        <f>IF(SUM(BT4:BU4,BW4:BY4,CA4)-BV4-BZ4&gt;0,SUM(BT4:BU4,BW4:BY4,CA4)-BV4-BZ4,"")</f>
        <v>48.3</v>
      </c>
      <c r="CQ4" s="81" t="str">
        <f>IF(SUM(CB4:CC4,CE4)-CD4&gt;0,SUM(CB4:CC4,CE4)-CD4,"")</f>
        <v/>
      </c>
      <c r="CR4" s="81">
        <f>IF(SUM(CG4,CK4)&gt;0,SUM(CG4,CK4),"")</f>
        <v>12.8</v>
      </c>
      <c r="CS4" s="81">
        <f>IF(SUM(CF4:CG4,CI4:CK4,CM4)-SUM(CH4,CL4)&gt;0,SUM(CF4:CG4,CI4:CK4,CM4)-SUM(CH4,CL4),"")</f>
        <v>48.399999999999991</v>
      </c>
      <c r="CT4" s="81">
        <f>IF(SUM(CP4,CS4)&gt;0,SUM(CP4,CS4),"")</f>
        <v>96.699999999999989</v>
      </c>
      <c r="CU4" s="82" t="str">
        <f>IF(MAX(DR4,ER4,FR4,GR4,HR4,IR4,JR4,KR4,LR4,MR4,NR4,OR4)-IF(K4="",0,K4)&gt;0.001,MAX(DR4,ER4,FR4,GR4,HR4,IR4,JR4,KR4,LR4,MR4,NR4,OR4)-IF(K4="",0,K4),"")</f>
        <v/>
      </c>
      <c r="CV4" s="82" t="str">
        <f>IF(MAX(DU4,EU4,FU4,GU4,HU4,IU4,JU4,KU4,LU4,MU4,NU4,OU4)-IF(M4="",0,M4)&gt;0.001,MAX(DU4,EU4,FU4,GU4,HU4,IU4,JU4,KU4,LU4,MU4,NU4,OU4)-IF(M4="",0,M4),"")</f>
        <v/>
      </c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81" t="str">
        <f>IF(SUM(CX4,DB4)&gt;0,SUM(CX4,DB4),"")</f>
        <v/>
      </c>
      <c r="DR4" s="81" t="str">
        <f>IF(SUM(CW4:CX4,CZ4:DB4,DD4)-CY4-DC4&gt;0,SUM(CW4:CX4,CZ4:DB4,DD4)-CY4-DC4,"")</f>
        <v/>
      </c>
      <c r="DS4" s="81" t="str">
        <f>IF(SUM(DE4:DF4,DH4)-DG4&gt;0,SUM(DE4:DF4,DH4)-DG4,"")</f>
        <v/>
      </c>
      <c r="DT4" s="81" t="str">
        <f>IF(SUM(DJ4,DN4)&gt;0,SUM(DJ4,DN4),"")</f>
        <v/>
      </c>
      <c r="DU4" s="81" t="str">
        <f>IF(SUM(DI4:DJ4,DL4:DN4,DP4)-SUM(DK4,DO4)&gt;0,SUM(DI4:DJ4,DL4:DN4,DP4)-SUM(DK4,DO4),"")</f>
        <v/>
      </c>
      <c r="DV4" s="81" t="str">
        <f>IF(SUM(DR4,DU4)&gt;0,SUM(DR4,DU4),"")</f>
        <v/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 t="shared" ref="OW4:PL4" si="0">IF($CN4="P",BT4,(BT4+AS4)/2)</f>
        <v>8.85</v>
      </c>
      <c r="OX4" s="38">
        <f t="shared" si="0"/>
        <v>3.45</v>
      </c>
      <c r="OY4" s="38">
        <f t="shared" si="0"/>
        <v>0.1</v>
      </c>
      <c r="OZ4" s="38">
        <f t="shared" si="0"/>
        <v>0.15</v>
      </c>
      <c r="PA4" s="38">
        <f t="shared" si="0"/>
        <v>8.5</v>
      </c>
      <c r="PB4" s="38">
        <f t="shared" si="0"/>
        <v>3.15</v>
      </c>
      <c r="PC4" s="38">
        <f t="shared" si="0"/>
        <v>0</v>
      </c>
      <c r="PD4" s="38">
        <f t="shared" si="0"/>
        <v>0.15</v>
      </c>
      <c r="PE4" s="38">
        <f t="shared" si="0"/>
        <v>0</v>
      </c>
      <c r="PF4" s="38">
        <f t="shared" si="0"/>
        <v>0</v>
      </c>
      <c r="PG4" s="38">
        <f t="shared" si="0"/>
        <v>0</v>
      </c>
      <c r="PH4" s="38">
        <f t="shared" si="0"/>
        <v>0</v>
      </c>
      <c r="PI4" s="38">
        <f t="shared" si="0"/>
        <v>8.85</v>
      </c>
      <c r="PJ4" s="38">
        <f t="shared" si="0"/>
        <v>3.25</v>
      </c>
      <c r="PK4" s="38">
        <f t="shared" si="0"/>
        <v>0</v>
      </c>
      <c r="PL4" s="38">
        <f t="shared" si="0"/>
        <v>0.15</v>
      </c>
      <c r="PM4" s="38">
        <f t="shared" ref="PM4:PP4" si="1">IF($CN4="P",CJ4,(CJ4+BI4)/2)</f>
        <v>8.65</v>
      </c>
      <c r="PN4" s="38">
        <f t="shared" si="1"/>
        <v>3.15</v>
      </c>
      <c r="PO4" s="38">
        <f t="shared" si="1"/>
        <v>0</v>
      </c>
      <c r="PP4" s="38">
        <f t="shared" si="1"/>
        <v>0.15</v>
      </c>
      <c r="PQ4" s="45" t="s">
        <v>44</v>
      </c>
      <c r="PR4" s="81">
        <f>IF(SUM(OX4,PB4)&gt;0,SUM(OX4,PB4),"")</f>
        <v>6.6</v>
      </c>
      <c r="PS4" s="81">
        <f>IF(SUM(OW4:OX4,OZ4:PB4,PD4)-OY4-PC4&gt;0,SUM(OW4:OX4,OZ4:PB4,PD4)-OY4-PC4,"")</f>
        <v>24.15</v>
      </c>
      <c r="PT4" s="81" t="str">
        <f>IF(SUM(PE4:PF4,PH4)-PG4&gt;0,SUM(PE4:PF4,PH4)-PG4,"")</f>
        <v/>
      </c>
      <c r="PU4" s="81">
        <f>IF(SUM(PJ4,PN4)&gt;0,SUM(PJ4,PN4),"")</f>
        <v>6.4</v>
      </c>
      <c r="PV4" s="81">
        <f>IF(SUM(PI4:PJ4,PL4:PN4,PP4)-SUM(PK4,PO4)&gt;0,SUM(PI4:PJ4,PL4:PN4,PP4)-SUM(PK4,PO4),"")</f>
        <v>24.199999999999996</v>
      </c>
      <c r="PW4" s="81">
        <f>IF(SUM(PS4,PV4)&gt;0,SUM(PS4,PV4),"")</f>
        <v>48.349999999999994</v>
      </c>
    </row>
    <row r="5" spans="1:439" ht="17" x14ac:dyDescent="0.2">
      <c r="O5" s="16"/>
      <c r="P5" s="16"/>
      <c r="Q5" s="16"/>
    </row>
    <row r="6" spans="1:439" ht="17" x14ac:dyDescent="0.2">
      <c r="O6" s="16"/>
      <c r="P6" s="16"/>
      <c r="Q6" s="16"/>
    </row>
    <row r="7" spans="1:439" ht="17" x14ac:dyDescent="0.2">
      <c r="B7" s="83" t="s">
        <v>42</v>
      </c>
      <c r="O7" s="16"/>
      <c r="P7" s="16"/>
      <c r="Q7" s="16"/>
      <c r="AM7" s="5"/>
      <c r="AR7" s="84">
        <v>7.6</v>
      </c>
      <c r="BN7" s="5"/>
      <c r="BS7" s="84">
        <v>7.6</v>
      </c>
      <c r="CO7" s="5"/>
      <c r="CT7" s="84">
        <v>8.4</v>
      </c>
      <c r="DQ7" s="5"/>
      <c r="DV7" s="84">
        <v>8.4</v>
      </c>
      <c r="EQ7" s="5"/>
      <c r="EV7" s="84">
        <v>8.4</v>
      </c>
      <c r="FQ7" s="5"/>
      <c r="FV7" s="84">
        <v>8.4</v>
      </c>
      <c r="GQ7" s="5"/>
      <c r="GV7" s="84">
        <v>8.4</v>
      </c>
      <c r="HQ7" s="5"/>
      <c r="HV7" s="84">
        <v>8.4</v>
      </c>
      <c r="IQ7" s="5"/>
      <c r="IV7" s="84">
        <v>8.4</v>
      </c>
      <c r="JQ7" s="5"/>
      <c r="JV7" s="84">
        <v>8.4</v>
      </c>
      <c r="KQ7" s="5"/>
      <c r="KV7" s="84">
        <v>8.4</v>
      </c>
      <c r="LQ7" s="5"/>
      <c r="LV7" s="84">
        <v>8.4</v>
      </c>
      <c r="MQ7" s="5"/>
      <c r="MV7" s="84">
        <v>8.4</v>
      </c>
      <c r="NQ7" s="5"/>
      <c r="NV7" s="84">
        <v>8.4</v>
      </c>
      <c r="OQ7" s="5"/>
      <c r="OV7" s="84">
        <v>8.4</v>
      </c>
    </row>
    <row r="8" spans="1:439" ht="17" hidden="1" x14ac:dyDescent="0.2">
      <c r="B8" s="85" t="s">
        <v>41</v>
      </c>
      <c r="O8" s="16"/>
      <c r="P8" s="16"/>
      <c r="Q8" s="16"/>
      <c r="AM8" s="5"/>
      <c r="AR8" s="86">
        <f>AR9</f>
        <v>9.1</v>
      </c>
      <c r="BN8" s="5"/>
      <c r="BS8" s="86">
        <f>BS9</f>
        <v>9.1</v>
      </c>
      <c r="CO8" s="5"/>
      <c r="CT8" s="86">
        <f>CT9</f>
        <v>9.4</v>
      </c>
      <c r="DQ8" s="5"/>
      <c r="DV8" s="86">
        <f>DV9</f>
        <v>9.4</v>
      </c>
      <c r="EQ8" s="5"/>
      <c r="EV8" s="86">
        <f>EV9</f>
        <v>9.4</v>
      </c>
      <c r="FQ8" s="5"/>
      <c r="FV8" s="86">
        <f>FV9</f>
        <v>9.4</v>
      </c>
      <c r="GQ8" s="5"/>
      <c r="GV8" s="86">
        <f>GV9</f>
        <v>9.4</v>
      </c>
      <c r="HQ8" s="5"/>
      <c r="HV8" s="86">
        <f>HV9</f>
        <v>9.4</v>
      </c>
      <c r="IQ8" s="5"/>
      <c r="IV8" s="86">
        <f>IV9</f>
        <v>9.4</v>
      </c>
      <c r="JQ8" s="5"/>
      <c r="JV8" s="86">
        <f>JV9</f>
        <v>9.4</v>
      </c>
      <c r="KQ8" s="5"/>
      <c r="KV8" s="86">
        <f>KV9</f>
        <v>9.4</v>
      </c>
      <c r="LQ8" s="5"/>
      <c r="LV8" s="86">
        <f>LV9</f>
        <v>9.4</v>
      </c>
      <c r="MQ8" s="5"/>
      <c r="MV8" s="86">
        <f>MV9</f>
        <v>9.4</v>
      </c>
      <c r="NQ8" s="5"/>
      <c r="NV8" s="86">
        <f>NV9</f>
        <v>9.4</v>
      </c>
      <c r="OQ8" s="5"/>
      <c r="OV8" s="86">
        <f>OV9</f>
        <v>9.4</v>
      </c>
    </row>
    <row r="9" spans="1:439" ht="17" x14ac:dyDescent="0.2">
      <c r="A9" s="68"/>
      <c r="B9" s="79" t="s">
        <v>54</v>
      </c>
      <c r="C9" s="87"/>
      <c r="O9" s="16"/>
      <c r="P9" s="16"/>
      <c r="Q9" s="16"/>
      <c r="AM9" s="5"/>
      <c r="AR9" s="88">
        <v>9.1</v>
      </c>
      <c r="BN9" s="5"/>
      <c r="BS9" s="88">
        <v>9.1</v>
      </c>
      <c r="CO9" s="5"/>
      <c r="CT9" s="88">
        <v>9.4</v>
      </c>
      <c r="DQ9" s="5"/>
      <c r="DV9" s="88">
        <v>9.4</v>
      </c>
      <c r="EQ9" s="5"/>
      <c r="EV9" s="88">
        <v>9.4</v>
      </c>
      <c r="FQ9" s="5"/>
      <c r="FV9" s="88">
        <v>9.4</v>
      </c>
      <c r="GQ9" s="5"/>
      <c r="GV9" s="88">
        <v>9.4</v>
      </c>
      <c r="HQ9" s="5"/>
      <c r="HV9" s="88">
        <v>9.4</v>
      </c>
      <c r="IQ9" s="5"/>
      <c r="IV9" s="88">
        <v>9.4</v>
      </c>
      <c r="JQ9" s="5"/>
      <c r="JV9" s="88">
        <v>9.4</v>
      </c>
      <c r="KQ9" s="5"/>
      <c r="KV9" s="88">
        <v>9.4</v>
      </c>
      <c r="LQ9" s="5"/>
      <c r="LV9" s="88">
        <v>9.4</v>
      </c>
      <c r="MQ9" s="5"/>
      <c r="MV9" s="88">
        <v>9.4</v>
      </c>
      <c r="NQ9" s="5"/>
      <c r="NV9" s="88">
        <v>9.4</v>
      </c>
      <c r="OQ9" s="5"/>
      <c r="OV9" s="88">
        <v>9.4</v>
      </c>
    </row>
    <row r="10" spans="1:439" ht="17" hidden="1" x14ac:dyDescent="0.2">
      <c r="A10" s="68"/>
      <c r="B10" s="89" t="s">
        <v>59</v>
      </c>
      <c r="C10" s="87"/>
      <c r="O10" s="16"/>
      <c r="P10" s="16"/>
      <c r="Q10" s="16"/>
      <c r="AM10" s="5"/>
      <c r="AR10" s="90">
        <v>1000</v>
      </c>
      <c r="BN10" s="5"/>
      <c r="BS10" s="90">
        <v>1000</v>
      </c>
      <c r="CO10" s="5"/>
      <c r="CT10" s="90">
        <v>1000</v>
      </c>
      <c r="DQ10" s="5"/>
      <c r="DV10" s="90">
        <v>1000</v>
      </c>
      <c r="EQ10" s="5"/>
      <c r="EV10" s="90">
        <v>1000</v>
      </c>
      <c r="FQ10" s="5"/>
      <c r="FV10" s="90">
        <v>1000</v>
      </c>
      <c r="GQ10" s="5"/>
      <c r="GV10" s="90">
        <v>1000</v>
      </c>
      <c r="HQ10" s="5"/>
      <c r="HV10" s="90">
        <v>1000</v>
      </c>
      <c r="IQ10" s="5"/>
      <c r="IV10" s="90">
        <v>1000</v>
      </c>
      <c r="JQ10" s="5"/>
      <c r="JV10" s="90">
        <v>1000</v>
      </c>
      <c r="KQ10" s="5"/>
      <c r="KV10" s="90">
        <v>1000</v>
      </c>
      <c r="LQ10" s="5"/>
      <c r="LV10" s="90">
        <v>1000</v>
      </c>
      <c r="MQ10" s="5"/>
      <c r="MV10" s="90">
        <v>1000</v>
      </c>
      <c r="NQ10" s="5"/>
      <c r="NV10" s="90">
        <v>1000</v>
      </c>
      <c r="OQ10" s="5"/>
      <c r="OV10" s="90">
        <v>1000</v>
      </c>
    </row>
    <row r="11" spans="1:439" ht="17" x14ac:dyDescent="0.2">
      <c r="A11" s="68"/>
      <c r="B11" s="91" t="s">
        <v>39</v>
      </c>
      <c r="C11" s="87"/>
      <c r="O11" s="16"/>
      <c r="P11" s="16"/>
      <c r="Q11" s="16"/>
      <c r="AM11" s="5"/>
      <c r="AR11" s="92">
        <v>61</v>
      </c>
      <c r="BN11" s="5"/>
      <c r="BS11" s="92">
        <v>61</v>
      </c>
      <c r="CO11" s="5"/>
      <c r="CT11" s="92">
        <v>43.6</v>
      </c>
      <c r="DQ11" s="5"/>
      <c r="DV11" s="92">
        <v>43.6</v>
      </c>
      <c r="EQ11" s="5"/>
      <c r="EV11" s="92">
        <v>43.6</v>
      </c>
      <c r="FQ11" s="5"/>
      <c r="FV11" s="92">
        <v>43.6</v>
      </c>
      <c r="GQ11" s="5"/>
      <c r="GV11" s="92">
        <v>43.6</v>
      </c>
      <c r="HQ11" s="5"/>
      <c r="HV11" s="92">
        <v>43.6</v>
      </c>
      <c r="IQ11" s="5"/>
      <c r="IV11" s="92">
        <v>43.6</v>
      </c>
      <c r="JQ11" s="5"/>
      <c r="JV11" s="92">
        <v>43.6</v>
      </c>
      <c r="KQ11" s="5"/>
      <c r="KV11" s="92">
        <v>43.6</v>
      </c>
      <c r="LQ11" s="5"/>
      <c r="LV11" s="92">
        <v>43.6</v>
      </c>
      <c r="MQ11" s="5"/>
      <c r="MV11" s="92">
        <v>43.6</v>
      </c>
      <c r="NQ11" s="5"/>
      <c r="NV11" s="92">
        <v>43.6</v>
      </c>
      <c r="OQ11" s="5"/>
      <c r="OV11" s="92">
        <v>43.6</v>
      </c>
    </row>
    <row r="12" spans="1:439" ht="17" hidden="1" x14ac:dyDescent="0.2">
      <c r="A12" s="68"/>
      <c r="B12" s="93" t="s">
        <v>40</v>
      </c>
      <c r="C12" s="87"/>
      <c r="O12" s="16"/>
      <c r="P12" s="16"/>
      <c r="Q12" s="16"/>
      <c r="AM12" s="5"/>
      <c r="AR12" s="94">
        <f>AR13</f>
        <v>62.5</v>
      </c>
      <c r="BN12" s="5"/>
      <c r="BS12" s="94">
        <f>BS13</f>
        <v>62.5</v>
      </c>
      <c r="CO12" s="5"/>
      <c r="CT12" s="94">
        <f>CT13</f>
        <v>44.6</v>
      </c>
      <c r="DQ12" s="5"/>
      <c r="DV12" s="94">
        <f>DV13</f>
        <v>44.6</v>
      </c>
      <c r="EQ12" s="5"/>
      <c r="EV12" s="94">
        <f>EV13</f>
        <v>44.6</v>
      </c>
      <c r="FQ12" s="5"/>
      <c r="FV12" s="94">
        <f>FV13</f>
        <v>44.6</v>
      </c>
      <c r="GQ12" s="5"/>
      <c r="GV12" s="94">
        <f>GV13</f>
        <v>44.6</v>
      </c>
      <c r="HQ12" s="5"/>
      <c r="HV12" s="94">
        <f>HV13</f>
        <v>44.6</v>
      </c>
      <c r="IQ12" s="5"/>
      <c r="IV12" s="94">
        <f>IV13</f>
        <v>44.6</v>
      </c>
      <c r="JQ12" s="5"/>
      <c r="JV12" s="94">
        <f>JV13</f>
        <v>44.6</v>
      </c>
      <c r="KQ12" s="5"/>
      <c r="KV12" s="94">
        <f>KV13</f>
        <v>44.6</v>
      </c>
      <c r="LQ12" s="5"/>
      <c r="LV12" s="94">
        <f>LV13</f>
        <v>44.6</v>
      </c>
      <c r="MQ12" s="5"/>
      <c r="MV12" s="94">
        <f>MV13</f>
        <v>44.6</v>
      </c>
      <c r="NQ12" s="5"/>
      <c r="NV12" s="94">
        <f>NV13</f>
        <v>44.6</v>
      </c>
      <c r="OQ12" s="5"/>
      <c r="OV12" s="94">
        <f>OV13</f>
        <v>44.6</v>
      </c>
    </row>
    <row r="13" spans="1:439" ht="17" x14ac:dyDescent="0.2">
      <c r="A13" s="68"/>
      <c r="B13" s="95" t="s">
        <v>53</v>
      </c>
      <c r="C13" s="87"/>
      <c r="O13" s="16"/>
      <c r="P13" s="16"/>
      <c r="Q13" s="16"/>
      <c r="AM13" s="5"/>
      <c r="AR13" s="96">
        <v>62.5</v>
      </c>
      <c r="BN13" s="5"/>
      <c r="BS13" s="96">
        <v>62.5</v>
      </c>
      <c r="CO13" s="5"/>
      <c r="CT13" s="96">
        <v>44.6</v>
      </c>
      <c r="DQ13" s="5"/>
      <c r="DV13" s="96">
        <v>44.6</v>
      </c>
      <c r="EQ13" s="5"/>
      <c r="EV13" s="96">
        <v>44.6</v>
      </c>
      <c r="FQ13" s="5"/>
      <c r="FV13" s="96">
        <v>44.6</v>
      </c>
      <c r="GQ13" s="5"/>
      <c r="GV13" s="96">
        <v>44.6</v>
      </c>
      <c r="HQ13" s="5"/>
      <c r="HV13" s="96">
        <v>44.6</v>
      </c>
      <c r="IQ13" s="5"/>
      <c r="IV13" s="96">
        <v>44.6</v>
      </c>
      <c r="JQ13" s="5"/>
      <c r="JV13" s="96">
        <v>44.6</v>
      </c>
      <c r="KQ13" s="5"/>
      <c r="KV13" s="96">
        <v>44.6</v>
      </c>
      <c r="LQ13" s="5"/>
      <c r="LV13" s="96">
        <v>44.6</v>
      </c>
      <c r="MQ13" s="5"/>
      <c r="MV13" s="96">
        <v>44.6</v>
      </c>
      <c r="NQ13" s="5"/>
      <c r="NV13" s="96">
        <v>44.6</v>
      </c>
      <c r="OQ13" s="5"/>
      <c r="OV13" s="96">
        <v>44.6</v>
      </c>
    </row>
    <row r="14" spans="1:439" ht="17" hidden="1" x14ac:dyDescent="0.2">
      <c r="A14" s="68"/>
      <c r="B14" s="78" t="s">
        <v>26</v>
      </c>
      <c r="C14" s="87"/>
      <c r="O14" s="16"/>
      <c r="P14" s="16"/>
      <c r="Q14" s="16"/>
      <c r="AM14" s="5"/>
      <c r="AR14" s="97">
        <v>1000</v>
      </c>
      <c r="BN14" s="5"/>
      <c r="BS14" s="97">
        <v>1000</v>
      </c>
      <c r="CO14" s="5"/>
      <c r="CT14" s="97">
        <v>1000</v>
      </c>
      <c r="DQ14" s="5"/>
      <c r="DV14" s="97">
        <v>1000</v>
      </c>
      <c r="EQ14" s="5"/>
      <c r="EV14" s="97">
        <v>1000</v>
      </c>
      <c r="FQ14" s="5"/>
      <c r="FV14" s="97">
        <v>1000</v>
      </c>
      <c r="GQ14" s="5"/>
      <c r="GV14" s="97">
        <v>1000</v>
      </c>
      <c r="HQ14" s="5"/>
      <c r="HV14" s="97">
        <v>1000</v>
      </c>
      <c r="IQ14" s="5"/>
      <c r="IV14" s="97">
        <v>1000</v>
      </c>
      <c r="JQ14" s="5"/>
      <c r="JV14" s="97">
        <v>1000</v>
      </c>
      <c r="KQ14" s="5"/>
      <c r="KV14" s="97">
        <v>1000</v>
      </c>
      <c r="LQ14" s="5"/>
      <c r="LV14" s="97">
        <v>1000</v>
      </c>
      <c r="MQ14" s="5"/>
      <c r="MV14" s="97">
        <v>1000</v>
      </c>
      <c r="NQ14" s="5"/>
      <c r="NV14" s="97">
        <v>1000</v>
      </c>
      <c r="OQ14" s="5"/>
      <c r="OV14" s="97">
        <v>1000</v>
      </c>
    </row>
    <row r="15" spans="1:439" x14ac:dyDescent="0.2">
      <c r="B15" s="47" t="s">
        <v>45</v>
      </c>
      <c r="C15" s="2"/>
    </row>
    <row r="16" spans="1:439" x14ac:dyDescent="0.2">
      <c r="A16" s="68"/>
      <c r="B16" s="68"/>
      <c r="C16" s="87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68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4">
      <sortCondition descending="1" ref="F1:F5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4">
    <cfRule type="expression" dxfId="111" priority="1" stopIfTrue="1">
      <formula>IF($AL4&lt;&gt;"",1,0)</formula>
    </cfRule>
  </conditionalFormatting>
  <conditionalFormatting sqref="AS4:BS4">
    <cfRule type="expression" dxfId="110" priority="2" stopIfTrue="1">
      <formula>IF($BM4&lt;&gt;"",1,0)</formula>
    </cfRule>
  </conditionalFormatting>
  <conditionalFormatting sqref="J1:J1048576 L1:L1048576 N1:N1048576">
    <cfRule type="expression" dxfId="109" priority="9">
      <formula>IF(J1=$BT$1,1,0)</formula>
    </cfRule>
    <cfRule type="expression" dxfId="108" priority="10">
      <formula>IF(J1=$AS$1,1,0)</formula>
    </cfRule>
    <cfRule type="expression" dxfId="107" priority="11">
      <formula>IF(J1=$R$1,1,0)</formula>
    </cfRule>
  </conditionalFormatting>
  <conditionalFormatting sqref="BT4:CT4">
    <cfRule type="expression" dxfId="106" priority="3" stopIfTrue="1">
      <formula>IF($CN4&lt;&gt;"",1,0)</formula>
    </cfRule>
  </conditionalFormatting>
  <conditionalFormatting sqref="A1:A1048576">
    <cfRule type="expression" dxfId="105" priority="12">
      <formula>AND(G1="P",F1="")</formula>
    </cfRule>
  </conditionalFormatting>
  <conditionalFormatting sqref="H1:H1048576">
    <cfRule type="containsText" dxfId="104" priority="4" operator="containsText" text="No DD">
      <formula>NOT(ISERROR(SEARCH("No DD",H1)))</formula>
    </cfRule>
    <cfRule type="containsText" dxfId="103" priority="5" operator="containsText" text="Merit">
      <formula>NOT(ISERROR(SEARCH("Merit",H1)))</formula>
    </cfRule>
    <cfRule type="containsText" dxfId="102" priority="6" operator="containsText" text="Excellence">
      <formula>NOT(ISERROR(SEARCH("Excellence",H1)))</formula>
    </cfRule>
    <cfRule type="containsText" dxfId="101" priority="7" operator="containsText" text="Worlds Team">
      <formula>NOT(ISERROR(SEARCH("Worlds Team",H1)))</formula>
    </cfRule>
    <cfRule type="containsText" dxfId="100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99" priority="47559" operator="between">
      <formula>AR$10</formula>
      <formula>1000</formula>
    </cfRule>
    <cfRule type="cellIs" dxfId="98" priority="47560" operator="between">
      <formula>AR$9</formula>
      <formula>AR$10</formula>
    </cfRule>
    <cfRule type="cellIs" dxfId="97" priority="47561" operator="between">
      <formula>AR$8</formula>
      <formula>AR$9</formula>
    </cfRule>
    <cfRule type="cellIs" dxfId="96" priority="47562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5" priority="47739" operator="between">
      <formula>AR$14</formula>
      <formula>1000</formula>
    </cfRule>
    <cfRule type="cellIs" dxfId="94" priority="47740" operator="between">
      <formula>AR$13</formula>
      <formula>AR$14</formula>
    </cfRule>
    <cfRule type="cellIs" dxfId="93" priority="47741" operator="between">
      <formula>AR$12</formula>
      <formula>AR$13</formula>
    </cfRule>
    <cfRule type="cellIs" dxfId="92" priority="47742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47919" operator="between">
      <formula>AR$7</formula>
      <formula>AR$8</formula>
    </cfRule>
    <cfRule type="cellIs" dxfId="90" priority="47920" operator="between">
      <formula>AR$8</formula>
      <formula>AR$9</formula>
    </cfRule>
    <cfRule type="cellIs" dxfId="89" priority="47921" operator="between">
      <formula>AR$9</formula>
      <formula>AR$10</formula>
    </cfRule>
    <cfRule type="cellIs" dxfId="88" priority="47922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48099" operator="between">
      <formula>AR$11</formula>
      <formula>AR$12</formula>
    </cfRule>
    <cfRule type="cellIs" dxfId="86" priority="48100" operator="between">
      <formula>AR$12</formula>
      <formula>AR$13</formula>
    </cfRule>
    <cfRule type="cellIs" dxfId="85" priority="48101" operator="between">
      <formula>AR$13</formula>
      <formula>AR$14</formula>
    </cfRule>
    <cfRule type="cellIs" dxfId="84" priority="48102" operator="between">
      <formula>AR$14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hidden="1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10" t="s">
        <v>5</v>
      </c>
      <c r="H1" s="107" t="s">
        <v>6</v>
      </c>
      <c r="I1" s="114" t="s">
        <v>81</v>
      </c>
      <c r="J1" s="108" t="s">
        <v>24</v>
      </c>
      <c r="K1" s="114" t="s">
        <v>82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4" t="s">
        <v>70</v>
      </c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 t="s">
        <v>71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4" t="s">
        <v>76</v>
      </c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6" t="s">
        <v>51</v>
      </c>
      <c r="CV1" s="106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4" t="s">
        <v>55</v>
      </c>
      <c r="OX1" s="104"/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</row>
    <row r="2" spans="1:439" x14ac:dyDescent="0.2">
      <c r="A2" s="107"/>
      <c r="B2" s="107"/>
      <c r="C2" s="107"/>
      <c r="D2" s="107"/>
      <c r="E2" s="107"/>
      <c r="F2" s="110"/>
      <c r="G2" s="110"/>
      <c r="H2" s="107"/>
      <c r="I2" s="114"/>
      <c r="J2" s="108"/>
      <c r="K2" s="114"/>
      <c r="L2" s="108"/>
      <c r="M2" s="108"/>
      <c r="N2" s="108"/>
      <c r="O2" s="109"/>
      <c r="P2" s="108"/>
      <c r="Q2" s="108"/>
      <c r="R2" s="102" t="s">
        <v>83</v>
      </c>
      <c r="S2" s="102"/>
      <c r="T2" s="102"/>
      <c r="U2" s="102"/>
      <c r="V2" s="102" t="s">
        <v>84</v>
      </c>
      <c r="W2" s="102"/>
      <c r="X2" s="102"/>
      <c r="Y2" s="102"/>
      <c r="Z2" s="102" t="s">
        <v>85</v>
      </c>
      <c r="AA2" s="102"/>
      <c r="AB2" s="102"/>
      <c r="AC2" s="102"/>
      <c r="AD2" s="102" t="s">
        <v>86</v>
      </c>
      <c r="AE2" s="102"/>
      <c r="AF2" s="102"/>
      <c r="AG2" s="102"/>
      <c r="AH2" s="111" t="s">
        <v>87</v>
      </c>
      <c r="AI2" s="111"/>
      <c r="AJ2" s="111"/>
      <c r="AK2" s="111"/>
      <c r="AL2" s="74"/>
      <c r="AM2" s="74" t="s">
        <v>88</v>
      </c>
      <c r="AN2" s="74" t="s">
        <v>89</v>
      </c>
      <c r="AO2" s="74" t="s">
        <v>85</v>
      </c>
      <c r="AP2" s="74" t="s">
        <v>56</v>
      </c>
      <c r="AQ2" s="74" t="s">
        <v>90</v>
      </c>
      <c r="AR2" s="74" t="s">
        <v>14</v>
      </c>
      <c r="AS2" s="103" t="s">
        <v>83</v>
      </c>
      <c r="AT2" s="103"/>
      <c r="AU2" s="103"/>
      <c r="AV2" s="103"/>
      <c r="AW2" s="103" t="s">
        <v>84</v>
      </c>
      <c r="AX2" s="103"/>
      <c r="AY2" s="103"/>
      <c r="AZ2" s="103"/>
      <c r="BA2" s="103" t="s">
        <v>85</v>
      </c>
      <c r="BB2" s="103"/>
      <c r="BC2" s="103"/>
      <c r="BD2" s="103"/>
      <c r="BE2" s="103" t="s">
        <v>86</v>
      </c>
      <c r="BF2" s="103"/>
      <c r="BG2" s="103"/>
      <c r="BH2" s="103"/>
      <c r="BI2" s="112" t="s">
        <v>87</v>
      </c>
      <c r="BJ2" s="112"/>
      <c r="BK2" s="112"/>
      <c r="BL2" s="112"/>
      <c r="BM2" s="73"/>
      <c r="BN2" s="73" t="s">
        <v>88</v>
      </c>
      <c r="BO2" s="73" t="s">
        <v>89</v>
      </c>
      <c r="BP2" s="73" t="s">
        <v>85</v>
      </c>
      <c r="BQ2" s="73" t="s">
        <v>56</v>
      </c>
      <c r="BR2" s="73" t="s">
        <v>90</v>
      </c>
      <c r="BS2" s="73" t="s">
        <v>14</v>
      </c>
      <c r="BT2" s="102" t="s">
        <v>83</v>
      </c>
      <c r="BU2" s="102"/>
      <c r="BV2" s="102"/>
      <c r="BW2" s="102"/>
      <c r="BX2" s="102" t="s">
        <v>84</v>
      </c>
      <c r="BY2" s="102"/>
      <c r="BZ2" s="102"/>
      <c r="CA2" s="102"/>
      <c r="CB2" s="102" t="s">
        <v>85</v>
      </c>
      <c r="CC2" s="102"/>
      <c r="CD2" s="102"/>
      <c r="CE2" s="102"/>
      <c r="CF2" s="102" t="s">
        <v>86</v>
      </c>
      <c r="CG2" s="102"/>
      <c r="CH2" s="102"/>
      <c r="CI2" s="102"/>
      <c r="CJ2" s="111" t="s">
        <v>87</v>
      </c>
      <c r="CK2" s="111"/>
      <c r="CL2" s="111"/>
      <c r="CM2" s="111"/>
      <c r="CN2" s="74"/>
      <c r="CO2" s="74" t="s">
        <v>88</v>
      </c>
      <c r="CP2" s="74" t="s">
        <v>89</v>
      </c>
      <c r="CQ2" s="74" t="s">
        <v>85</v>
      </c>
      <c r="CR2" s="74" t="s">
        <v>56</v>
      </c>
      <c r="CS2" s="74" t="s">
        <v>90</v>
      </c>
      <c r="CT2" s="74" t="s">
        <v>14</v>
      </c>
      <c r="CU2" s="80" t="s">
        <v>89</v>
      </c>
      <c r="CV2" s="80" t="s">
        <v>19</v>
      </c>
      <c r="CW2" s="102" t="s">
        <v>83</v>
      </c>
      <c r="CX2" s="102"/>
      <c r="CY2" s="102"/>
      <c r="CZ2" s="102"/>
      <c r="DA2" s="102" t="s">
        <v>84</v>
      </c>
      <c r="DB2" s="102"/>
      <c r="DC2" s="102"/>
      <c r="DD2" s="102"/>
      <c r="DE2" s="102" t="s">
        <v>85</v>
      </c>
      <c r="DF2" s="102"/>
      <c r="DG2" s="102"/>
      <c r="DH2" s="102"/>
      <c r="DI2" s="102" t="s">
        <v>86</v>
      </c>
      <c r="DJ2" s="102"/>
      <c r="DK2" s="102"/>
      <c r="DL2" s="102"/>
      <c r="DM2" s="113" t="s">
        <v>87</v>
      </c>
      <c r="DN2" s="113"/>
      <c r="DO2" s="113"/>
      <c r="DP2" s="113"/>
      <c r="DQ2" s="74" t="s">
        <v>88</v>
      </c>
      <c r="DR2" s="74" t="s">
        <v>89</v>
      </c>
      <c r="DS2" s="74" t="s">
        <v>85</v>
      </c>
      <c r="DT2" s="74" t="s">
        <v>56</v>
      </c>
      <c r="DU2" s="74" t="s">
        <v>90</v>
      </c>
      <c r="DV2" s="74" t="s">
        <v>14</v>
      </c>
      <c r="DW2" s="103" t="s">
        <v>83</v>
      </c>
      <c r="DX2" s="103"/>
      <c r="DY2" s="103"/>
      <c r="DZ2" s="103"/>
      <c r="EA2" s="103" t="s">
        <v>84</v>
      </c>
      <c r="EB2" s="103"/>
      <c r="EC2" s="103"/>
      <c r="ED2" s="103"/>
      <c r="EE2" s="103" t="s">
        <v>85</v>
      </c>
      <c r="EF2" s="103"/>
      <c r="EG2" s="103"/>
      <c r="EH2" s="103"/>
      <c r="EI2" s="103" t="s">
        <v>86</v>
      </c>
      <c r="EJ2" s="103"/>
      <c r="EK2" s="103"/>
      <c r="EL2" s="103"/>
      <c r="EM2" s="112" t="s">
        <v>87</v>
      </c>
      <c r="EN2" s="112"/>
      <c r="EO2" s="112"/>
      <c r="EP2" s="112"/>
      <c r="EQ2" s="73" t="s">
        <v>88</v>
      </c>
      <c r="ER2" s="73" t="s">
        <v>89</v>
      </c>
      <c r="ES2" s="73" t="s">
        <v>85</v>
      </c>
      <c r="ET2" s="73" t="s">
        <v>56</v>
      </c>
      <c r="EU2" s="73" t="s">
        <v>90</v>
      </c>
      <c r="EV2" s="73" t="s">
        <v>14</v>
      </c>
      <c r="EW2" s="102" t="s">
        <v>83</v>
      </c>
      <c r="EX2" s="102"/>
      <c r="EY2" s="102"/>
      <c r="EZ2" s="102"/>
      <c r="FA2" s="102" t="s">
        <v>84</v>
      </c>
      <c r="FB2" s="102"/>
      <c r="FC2" s="102"/>
      <c r="FD2" s="102"/>
      <c r="FE2" s="102" t="s">
        <v>85</v>
      </c>
      <c r="FF2" s="102"/>
      <c r="FG2" s="102"/>
      <c r="FH2" s="102"/>
      <c r="FI2" s="102" t="s">
        <v>86</v>
      </c>
      <c r="FJ2" s="102"/>
      <c r="FK2" s="102"/>
      <c r="FL2" s="102"/>
      <c r="FM2" s="113" t="s">
        <v>87</v>
      </c>
      <c r="FN2" s="113"/>
      <c r="FO2" s="113"/>
      <c r="FP2" s="113"/>
      <c r="FQ2" s="74" t="s">
        <v>88</v>
      </c>
      <c r="FR2" s="74" t="s">
        <v>89</v>
      </c>
      <c r="FS2" s="74" t="s">
        <v>85</v>
      </c>
      <c r="FT2" s="74" t="s">
        <v>56</v>
      </c>
      <c r="FU2" s="74" t="s">
        <v>90</v>
      </c>
      <c r="FV2" s="74" t="s">
        <v>14</v>
      </c>
      <c r="FW2" s="103" t="s">
        <v>83</v>
      </c>
      <c r="FX2" s="103"/>
      <c r="FY2" s="103"/>
      <c r="FZ2" s="103"/>
      <c r="GA2" s="103" t="s">
        <v>84</v>
      </c>
      <c r="GB2" s="103"/>
      <c r="GC2" s="103"/>
      <c r="GD2" s="103"/>
      <c r="GE2" s="103" t="s">
        <v>85</v>
      </c>
      <c r="GF2" s="103"/>
      <c r="GG2" s="103"/>
      <c r="GH2" s="103"/>
      <c r="GI2" s="103" t="s">
        <v>86</v>
      </c>
      <c r="GJ2" s="103"/>
      <c r="GK2" s="103"/>
      <c r="GL2" s="103"/>
      <c r="GM2" s="112" t="s">
        <v>87</v>
      </c>
      <c r="GN2" s="112"/>
      <c r="GO2" s="112"/>
      <c r="GP2" s="112"/>
      <c r="GQ2" s="73" t="s">
        <v>88</v>
      </c>
      <c r="GR2" s="73" t="s">
        <v>89</v>
      </c>
      <c r="GS2" s="73" t="s">
        <v>85</v>
      </c>
      <c r="GT2" s="73" t="s">
        <v>56</v>
      </c>
      <c r="GU2" s="73" t="s">
        <v>90</v>
      </c>
      <c r="GV2" s="73" t="s">
        <v>14</v>
      </c>
      <c r="GW2" s="102" t="s">
        <v>83</v>
      </c>
      <c r="GX2" s="102"/>
      <c r="GY2" s="102"/>
      <c r="GZ2" s="102"/>
      <c r="HA2" s="102" t="s">
        <v>84</v>
      </c>
      <c r="HB2" s="102"/>
      <c r="HC2" s="102"/>
      <c r="HD2" s="102"/>
      <c r="HE2" s="102" t="s">
        <v>85</v>
      </c>
      <c r="HF2" s="102"/>
      <c r="HG2" s="102"/>
      <c r="HH2" s="102"/>
      <c r="HI2" s="102" t="s">
        <v>86</v>
      </c>
      <c r="HJ2" s="102"/>
      <c r="HK2" s="102"/>
      <c r="HL2" s="102"/>
      <c r="HM2" s="113" t="s">
        <v>87</v>
      </c>
      <c r="HN2" s="113"/>
      <c r="HO2" s="113"/>
      <c r="HP2" s="113"/>
      <c r="HQ2" s="74" t="s">
        <v>88</v>
      </c>
      <c r="HR2" s="74" t="s">
        <v>89</v>
      </c>
      <c r="HS2" s="74" t="s">
        <v>85</v>
      </c>
      <c r="HT2" s="74" t="s">
        <v>56</v>
      </c>
      <c r="HU2" s="74" t="s">
        <v>90</v>
      </c>
      <c r="HV2" s="74" t="s">
        <v>14</v>
      </c>
      <c r="HW2" s="103" t="s">
        <v>83</v>
      </c>
      <c r="HX2" s="103"/>
      <c r="HY2" s="103"/>
      <c r="HZ2" s="103"/>
      <c r="IA2" s="103" t="s">
        <v>84</v>
      </c>
      <c r="IB2" s="103"/>
      <c r="IC2" s="103"/>
      <c r="ID2" s="103"/>
      <c r="IE2" s="103" t="s">
        <v>85</v>
      </c>
      <c r="IF2" s="103"/>
      <c r="IG2" s="103"/>
      <c r="IH2" s="103"/>
      <c r="II2" s="103" t="s">
        <v>86</v>
      </c>
      <c r="IJ2" s="103"/>
      <c r="IK2" s="103"/>
      <c r="IL2" s="103"/>
      <c r="IM2" s="112" t="s">
        <v>87</v>
      </c>
      <c r="IN2" s="112"/>
      <c r="IO2" s="112"/>
      <c r="IP2" s="112"/>
      <c r="IQ2" s="73" t="s">
        <v>88</v>
      </c>
      <c r="IR2" s="73" t="s">
        <v>89</v>
      </c>
      <c r="IS2" s="73" t="s">
        <v>85</v>
      </c>
      <c r="IT2" s="73" t="s">
        <v>56</v>
      </c>
      <c r="IU2" s="73" t="s">
        <v>90</v>
      </c>
      <c r="IV2" s="73" t="s">
        <v>14</v>
      </c>
      <c r="IW2" s="102" t="s">
        <v>83</v>
      </c>
      <c r="IX2" s="102"/>
      <c r="IY2" s="102"/>
      <c r="IZ2" s="102"/>
      <c r="JA2" s="102" t="s">
        <v>84</v>
      </c>
      <c r="JB2" s="102"/>
      <c r="JC2" s="102"/>
      <c r="JD2" s="102"/>
      <c r="JE2" s="102" t="s">
        <v>85</v>
      </c>
      <c r="JF2" s="102"/>
      <c r="JG2" s="102"/>
      <c r="JH2" s="102"/>
      <c r="JI2" s="102" t="s">
        <v>86</v>
      </c>
      <c r="JJ2" s="102"/>
      <c r="JK2" s="102"/>
      <c r="JL2" s="102"/>
      <c r="JM2" s="113" t="s">
        <v>87</v>
      </c>
      <c r="JN2" s="113"/>
      <c r="JO2" s="113"/>
      <c r="JP2" s="113"/>
      <c r="JQ2" s="74" t="s">
        <v>88</v>
      </c>
      <c r="JR2" s="74" t="s">
        <v>89</v>
      </c>
      <c r="JS2" s="74" t="s">
        <v>85</v>
      </c>
      <c r="JT2" s="74" t="s">
        <v>56</v>
      </c>
      <c r="JU2" s="74" t="s">
        <v>90</v>
      </c>
      <c r="JV2" s="74" t="s">
        <v>14</v>
      </c>
      <c r="JW2" s="103" t="s">
        <v>83</v>
      </c>
      <c r="JX2" s="103"/>
      <c r="JY2" s="103"/>
      <c r="JZ2" s="103"/>
      <c r="KA2" s="103" t="s">
        <v>84</v>
      </c>
      <c r="KB2" s="103"/>
      <c r="KC2" s="103"/>
      <c r="KD2" s="103"/>
      <c r="KE2" s="103" t="s">
        <v>85</v>
      </c>
      <c r="KF2" s="103"/>
      <c r="KG2" s="103"/>
      <c r="KH2" s="103"/>
      <c r="KI2" s="103" t="s">
        <v>86</v>
      </c>
      <c r="KJ2" s="103"/>
      <c r="KK2" s="103"/>
      <c r="KL2" s="103"/>
      <c r="KM2" s="112" t="s">
        <v>87</v>
      </c>
      <c r="KN2" s="112"/>
      <c r="KO2" s="112"/>
      <c r="KP2" s="112"/>
      <c r="KQ2" s="73" t="s">
        <v>88</v>
      </c>
      <c r="KR2" s="73" t="s">
        <v>89</v>
      </c>
      <c r="KS2" s="73" t="s">
        <v>85</v>
      </c>
      <c r="KT2" s="73" t="s">
        <v>56</v>
      </c>
      <c r="KU2" s="73" t="s">
        <v>90</v>
      </c>
      <c r="KV2" s="73" t="s">
        <v>14</v>
      </c>
      <c r="KW2" s="102" t="s">
        <v>83</v>
      </c>
      <c r="KX2" s="102"/>
      <c r="KY2" s="102"/>
      <c r="KZ2" s="102"/>
      <c r="LA2" s="102" t="s">
        <v>84</v>
      </c>
      <c r="LB2" s="102"/>
      <c r="LC2" s="102"/>
      <c r="LD2" s="102"/>
      <c r="LE2" s="102" t="s">
        <v>85</v>
      </c>
      <c r="LF2" s="102"/>
      <c r="LG2" s="102"/>
      <c r="LH2" s="102"/>
      <c r="LI2" s="102" t="s">
        <v>86</v>
      </c>
      <c r="LJ2" s="102"/>
      <c r="LK2" s="102"/>
      <c r="LL2" s="102"/>
      <c r="LM2" s="113" t="s">
        <v>87</v>
      </c>
      <c r="LN2" s="113"/>
      <c r="LO2" s="113"/>
      <c r="LP2" s="113"/>
      <c r="LQ2" s="74" t="s">
        <v>88</v>
      </c>
      <c r="LR2" s="74" t="s">
        <v>89</v>
      </c>
      <c r="LS2" s="74" t="s">
        <v>85</v>
      </c>
      <c r="LT2" s="74" t="s">
        <v>56</v>
      </c>
      <c r="LU2" s="74" t="s">
        <v>90</v>
      </c>
      <c r="LV2" s="74" t="s">
        <v>14</v>
      </c>
      <c r="LW2" s="103" t="s">
        <v>83</v>
      </c>
      <c r="LX2" s="103"/>
      <c r="LY2" s="103"/>
      <c r="LZ2" s="103"/>
      <c r="MA2" s="103" t="s">
        <v>84</v>
      </c>
      <c r="MB2" s="103"/>
      <c r="MC2" s="103"/>
      <c r="MD2" s="103"/>
      <c r="ME2" s="103" t="s">
        <v>85</v>
      </c>
      <c r="MF2" s="103"/>
      <c r="MG2" s="103"/>
      <c r="MH2" s="103"/>
      <c r="MI2" s="103" t="s">
        <v>86</v>
      </c>
      <c r="MJ2" s="103"/>
      <c r="MK2" s="103"/>
      <c r="ML2" s="103"/>
      <c r="MM2" s="112" t="s">
        <v>87</v>
      </c>
      <c r="MN2" s="112"/>
      <c r="MO2" s="112"/>
      <c r="MP2" s="112"/>
      <c r="MQ2" s="73" t="s">
        <v>88</v>
      </c>
      <c r="MR2" s="73" t="s">
        <v>89</v>
      </c>
      <c r="MS2" s="73" t="s">
        <v>85</v>
      </c>
      <c r="MT2" s="73" t="s">
        <v>56</v>
      </c>
      <c r="MU2" s="73" t="s">
        <v>90</v>
      </c>
      <c r="MV2" s="73" t="s">
        <v>14</v>
      </c>
      <c r="MW2" s="102" t="s">
        <v>83</v>
      </c>
      <c r="MX2" s="102"/>
      <c r="MY2" s="102"/>
      <c r="MZ2" s="102"/>
      <c r="NA2" s="102" t="s">
        <v>84</v>
      </c>
      <c r="NB2" s="102"/>
      <c r="NC2" s="102"/>
      <c r="ND2" s="102"/>
      <c r="NE2" s="102" t="s">
        <v>85</v>
      </c>
      <c r="NF2" s="102"/>
      <c r="NG2" s="102"/>
      <c r="NH2" s="102"/>
      <c r="NI2" s="102" t="s">
        <v>86</v>
      </c>
      <c r="NJ2" s="102"/>
      <c r="NK2" s="102"/>
      <c r="NL2" s="102"/>
      <c r="NM2" s="113" t="s">
        <v>87</v>
      </c>
      <c r="NN2" s="113"/>
      <c r="NO2" s="113"/>
      <c r="NP2" s="113"/>
      <c r="NQ2" s="74" t="s">
        <v>88</v>
      </c>
      <c r="NR2" s="74" t="s">
        <v>89</v>
      </c>
      <c r="NS2" s="74" t="s">
        <v>85</v>
      </c>
      <c r="NT2" s="74" t="s">
        <v>56</v>
      </c>
      <c r="NU2" s="74" t="s">
        <v>90</v>
      </c>
      <c r="NV2" s="74" t="s">
        <v>14</v>
      </c>
      <c r="NW2" s="103" t="s">
        <v>83</v>
      </c>
      <c r="NX2" s="103"/>
      <c r="NY2" s="103"/>
      <c r="NZ2" s="103"/>
      <c r="OA2" s="103" t="s">
        <v>84</v>
      </c>
      <c r="OB2" s="103"/>
      <c r="OC2" s="103"/>
      <c r="OD2" s="103"/>
      <c r="OE2" s="103" t="s">
        <v>85</v>
      </c>
      <c r="OF2" s="103"/>
      <c r="OG2" s="103"/>
      <c r="OH2" s="103"/>
      <c r="OI2" s="103" t="s">
        <v>86</v>
      </c>
      <c r="OJ2" s="103"/>
      <c r="OK2" s="103"/>
      <c r="OL2" s="103"/>
      <c r="OM2" s="112" t="s">
        <v>87</v>
      </c>
      <c r="ON2" s="112"/>
      <c r="OO2" s="112"/>
      <c r="OP2" s="112"/>
      <c r="OQ2" s="73" t="s">
        <v>88</v>
      </c>
      <c r="OR2" s="73" t="s">
        <v>89</v>
      </c>
      <c r="OS2" s="73" t="s">
        <v>85</v>
      </c>
      <c r="OT2" s="73" t="s">
        <v>56</v>
      </c>
      <c r="OU2" s="73" t="s">
        <v>90</v>
      </c>
      <c r="OV2" s="73" t="s">
        <v>14</v>
      </c>
      <c r="OW2" s="102" t="s">
        <v>83</v>
      </c>
      <c r="OX2" s="102"/>
      <c r="OY2" s="102"/>
      <c r="OZ2" s="102"/>
      <c r="PA2" s="102" t="s">
        <v>84</v>
      </c>
      <c r="PB2" s="102"/>
      <c r="PC2" s="102"/>
      <c r="PD2" s="102"/>
      <c r="PE2" s="102" t="s">
        <v>85</v>
      </c>
      <c r="PF2" s="102"/>
      <c r="PG2" s="102"/>
      <c r="PH2" s="102"/>
      <c r="PI2" s="102" t="s">
        <v>86</v>
      </c>
      <c r="PJ2" s="102"/>
      <c r="PK2" s="102"/>
      <c r="PL2" s="102"/>
      <c r="PM2" s="111" t="s">
        <v>87</v>
      </c>
      <c r="PN2" s="111"/>
      <c r="PO2" s="111"/>
      <c r="PP2" s="111"/>
      <c r="PQ2" s="74"/>
      <c r="PR2" s="74" t="s">
        <v>88</v>
      </c>
      <c r="PS2" s="74" t="s">
        <v>89</v>
      </c>
      <c r="PT2" s="74" t="s">
        <v>85</v>
      </c>
      <c r="PU2" s="74" t="s">
        <v>56</v>
      </c>
      <c r="PV2" s="74" t="s">
        <v>90</v>
      </c>
      <c r="PW2" s="74" t="s">
        <v>14</v>
      </c>
    </row>
    <row r="3" spans="1:439" x14ac:dyDescent="0.2">
      <c r="A3" s="107"/>
      <c r="B3" s="107"/>
      <c r="C3" s="107"/>
      <c r="D3" s="107"/>
      <c r="E3" s="107"/>
      <c r="F3" s="110"/>
      <c r="G3" s="110"/>
      <c r="H3" s="107"/>
      <c r="I3" s="114"/>
      <c r="J3" s="108"/>
      <c r="K3" s="114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8" t="s">
        <v>77</v>
      </c>
      <c r="C4" s="5" t="s">
        <v>79</v>
      </c>
      <c r="D4" s="5">
        <v>2009</v>
      </c>
      <c r="E4" s="15">
        <f>SUM(I4:O4)+SUM(I4:M4)*0.0000001+SUM(I4)*0.0000000000001</f>
        <v>84.900308490034305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6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National Team</v>
      </c>
      <c r="I4" s="14">
        <f>IF(COUNT(AN4,BO4,CP4)&gt;0,LARGE((AN4,BO4,CP4),1),0)</f>
        <v>42.900000000000006</v>
      </c>
      <c r="J4" s="14" t="str">
        <f>IF(I4=0,"",IF(I4=CP4,$BT$1,IF(I4=BO4,$AS$1,IF(I4=AN4,$R$1,""))))</f>
        <v>2022 Elite Canada</v>
      </c>
      <c r="K4" s="14">
        <f>IF(COUNT(AN4,BO4,CP4)&gt;1,LARGE((AN4,BO4,CP4),2),0)</f>
        <v>3.0000000000000003E-4</v>
      </c>
      <c r="L4" s="14" t="str">
        <f>IF(K4=0,"",IF(K4=CP4,$BT$1,IF(K4=BO4,$AS$1,IF(K4=AN4,$R$1,""))))</f>
        <v>2021 Canadian Championships</v>
      </c>
      <c r="M4" s="14">
        <f>IF(MAX(AQ4,BR4,CS4)&gt;0,MAX(AQ4,BR4,CS4),0)</f>
        <v>42</v>
      </c>
      <c r="N4" s="14" t="str">
        <f>IF(M4=0,"",IF(M4=CS4,$BT$1,IF(M4=BR4,$AS$1,IF(M4=AQ4,$R$1,""))))</f>
        <v>2022 Elite Canada</v>
      </c>
      <c r="O4" s="14" t="str">
        <f>IF(MAX(CU4:CV4)&gt;0,MAX(CU4:CV4),"")</f>
        <v/>
      </c>
      <c r="P4" s="20" t="str">
        <f>IF(O4="","",IF(O4=CU4,"("&amp;CU$2&amp;")",IF(O4=CV4,"("&amp;CV$2&amp;")")))</f>
        <v/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6">
        <v>1E-4</v>
      </c>
      <c r="S4" s="26">
        <v>2.0000000000000001E-4</v>
      </c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5"/>
      <c r="AM4" s="81">
        <f>IF(SUM(S4,W4)&gt;0,SUM(S4,W4),"")</f>
        <v>2.0000000000000001E-4</v>
      </c>
      <c r="AN4" s="81">
        <f>IF(SUM(R4:S4,U4:W4,Y4)-T4-X4&gt;0,SUM(R4:S4,U4:W4,Y4)-T4-X4,"")</f>
        <v>3.0000000000000003E-4</v>
      </c>
      <c r="AO4" s="81" t="str">
        <f>IF(SUM(Z4:AA4,AC4)-AB4&gt;0,SUM(Z4:AA4,AC4)-AB4,"")</f>
        <v/>
      </c>
      <c r="AP4" s="81" t="str">
        <f>IF(SUM(AE4,AI4)&gt;0,SUM(AE4,AI4),"")</f>
        <v/>
      </c>
      <c r="AQ4" s="81" t="str">
        <f>IF(SUM(AD4:AE4,AG4:AI4,AK4)-SUM(AF4,AJ4)&gt;0,SUM(AD4:AE4,AG4:AI4,AK4)-SUM(AF4,AJ4),"")</f>
        <v/>
      </c>
      <c r="AR4" s="81">
        <f>IF(SUM(AN4,AQ4)&gt;0,SUM(AN4,AQ4),"")</f>
        <v>3.0000000000000003E-4</v>
      </c>
      <c r="AS4" s="25">
        <v>1E-4</v>
      </c>
      <c r="AT4" s="25">
        <v>2.0000000000000001E-4</v>
      </c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46"/>
      <c r="BN4" s="20">
        <f>IF(SUM(AT4,AX4)&gt;0,SUM(AT4,AX4),"")</f>
        <v>2.0000000000000001E-4</v>
      </c>
      <c r="BO4" s="20">
        <f>IF(SUM(AS4:AT4,AV4:AX4,AZ4)-AU4-AY4&gt;0,SUM(AS4:AT4,AV4:AX4,AZ4)-AU4-AY4,"")</f>
        <v>3.0000000000000003E-4</v>
      </c>
      <c r="BP4" s="20" t="str">
        <f>IF(SUM(BA4:BB4,BD4)-BC4&gt;0,SUM(BA4:BB4,BD4)-BC4,"")</f>
        <v/>
      </c>
      <c r="BQ4" s="20" t="str">
        <f>IF(SUM(BF4,BJ4)&gt;0,SUM(BF4,BJ4),"")</f>
        <v/>
      </c>
      <c r="BR4" s="20" t="str">
        <f>IF(SUM(BE4:BF4,BH4:BJ4,BL4)-SUM(BG4,BK4)&gt;0,SUM(BE4:BF4,BH4:BJ4,BL4)-SUM(BG4,BK4),"")</f>
        <v/>
      </c>
      <c r="BS4" s="20">
        <f>IF(SUM(BO4,BR4)&gt;0,SUM(BO4,BR4),"")</f>
        <v>3.0000000000000003E-4</v>
      </c>
      <c r="BT4" s="26">
        <v>17.600000000000001</v>
      </c>
      <c r="BU4" s="26">
        <v>3.4</v>
      </c>
      <c r="BV4" s="26">
        <v>0</v>
      </c>
      <c r="BW4" s="26">
        <v>0</v>
      </c>
      <c r="BX4" s="26">
        <v>16.7</v>
      </c>
      <c r="BY4" s="26">
        <v>4.5999999999999996</v>
      </c>
      <c r="BZ4" s="26">
        <v>0</v>
      </c>
      <c r="CA4" s="26">
        <v>0.6</v>
      </c>
      <c r="CB4" s="26"/>
      <c r="CC4" s="26"/>
      <c r="CD4" s="26"/>
      <c r="CE4" s="26"/>
      <c r="CF4" s="26">
        <v>17.399999999999999</v>
      </c>
      <c r="CG4" s="26">
        <v>3.2</v>
      </c>
      <c r="CH4" s="26">
        <v>0.2</v>
      </c>
      <c r="CI4" s="26">
        <v>0</v>
      </c>
      <c r="CJ4" s="26">
        <v>16.399999999999999</v>
      </c>
      <c r="CK4" s="26">
        <v>4.8</v>
      </c>
      <c r="CL4" s="26">
        <v>0.2</v>
      </c>
      <c r="CM4" s="26">
        <v>0.6</v>
      </c>
      <c r="CN4" s="45"/>
      <c r="CO4" s="81">
        <f>IF(SUM(BU4,BY4)&gt;0,SUM(BU4,BY4),"")</f>
        <v>8</v>
      </c>
      <c r="CP4" s="81">
        <f>IF(SUM(BT4:BU4,BW4:BY4,CA4)-BV4-BZ4&gt;0,SUM(BT4:BU4,BW4:BY4,CA4)-BV4-BZ4,"")</f>
        <v>42.900000000000006</v>
      </c>
      <c r="CQ4" s="81" t="str">
        <f>IF(SUM(CB4:CC4,CE4)-CD4&gt;0,SUM(CB4:CC4,CE4)-CD4,"")</f>
        <v/>
      </c>
      <c r="CR4" s="81">
        <f>IF(SUM(CG4,CK4)&gt;0,SUM(CG4,CK4),"")</f>
        <v>8</v>
      </c>
      <c r="CS4" s="81">
        <f>IF(SUM(CF4:CG4,CI4:CK4,CM4)-SUM(CH4,CL4)&gt;0,SUM(CF4:CG4,CI4:CK4,CM4)-SUM(CH4,CL4),"")</f>
        <v>42</v>
      </c>
      <c r="CT4" s="81">
        <f>IF(SUM(CP4,CS4)&gt;0,SUM(CP4,CS4),"")</f>
        <v>84.9</v>
      </c>
      <c r="CU4" s="82" t="str">
        <f>IF(MAX(DR4,ER4,FR4,GR4,HR4,IR4,JR4,KR4,LR4,MR4,NR4,OR4)-IF(K4="",0,K4)&gt;0.001,MAX(DR4,ER4,FR4,GR4,HR4,IR4,JR4,KR4,LR4,MR4,NR4,OR4)-IF(K4="",0,K4),"")</f>
        <v/>
      </c>
      <c r="CV4" s="82" t="str">
        <f>IF(MAX(DU4,EU4,FU4,GU4,HU4,IU4,JU4,KU4,LU4,MU4,NU4,OU4)-IF(M4="",0,M4)&gt;0.001,MAX(DU4,EU4,FU4,GU4,HU4,IU4,JU4,KU4,LU4,MU4,NU4,OU4)-IF(M4="",0,M4),"")</f>
        <v/>
      </c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81" t="str">
        <f>IF(SUM(CX4,DB4)&gt;0,SUM(CX4,DB4),"")</f>
        <v/>
      </c>
      <c r="DR4" s="81" t="str">
        <f>IF(SUM(CW4:CX4,CZ4:DB4,DD4)-CY4-DC4&gt;0,SUM(CW4:CX4,CZ4:DB4,DD4)-CY4-DC4,"")</f>
        <v/>
      </c>
      <c r="DS4" s="81" t="str">
        <f>IF(SUM(DE4:DF4,DH4)-DG4&gt;0,SUM(DE4:DF4,DH4)-DG4,"")</f>
        <v/>
      </c>
      <c r="DT4" s="81" t="str">
        <f>IF(SUM(DJ4,DN4)&gt;0,SUM(DJ4,DN4),"")</f>
        <v/>
      </c>
      <c r="DU4" s="81" t="str">
        <f>IF(SUM(DI4:DJ4,DL4:DN4,DP4)-SUM(DK4,DO4)&gt;0,SUM(DI4:DJ4,DL4:DN4,DP4)-SUM(DK4,DO4),"")</f>
        <v/>
      </c>
      <c r="DV4" s="81" t="str">
        <f>IF(SUM(DR4,DU4)&gt;0,SUM(DR4,DU4),"")</f>
        <v/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>IF($CN4="P",BT4,(BT4+AS4)/2)</f>
        <v>8.8000500000000006</v>
      </c>
      <c r="OX4" s="38">
        <f>IF($CN4="P",BU4,(BU4+AT4)/2)</f>
        <v>1.7000999999999999</v>
      </c>
      <c r="OY4" s="38">
        <f>IF($CN4="P",BV4,(BV4+AU4)/2)</f>
        <v>0</v>
      </c>
      <c r="OZ4" s="38">
        <f>IF($CN4="P",BW4,(BW4+AV4)/2)</f>
        <v>0</v>
      </c>
      <c r="PA4" s="38">
        <f>IF($CN4="P",BX4,(BX4+AW4)/2)</f>
        <v>8.35</v>
      </c>
      <c r="PB4" s="38">
        <f>IF($CN4="P",BY4,(BY4+AX4)/2)</f>
        <v>2.2999999999999998</v>
      </c>
      <c r="PC4" s="38">
        <f>IF($CN4="P",BZ4,(BZ4+AY4)/2)</f>
        <v>0</v>
      </c>
      <c r="PD4" s="38">
        <f>IF($CN4="P",CA4,(CA4+AZ4)/2)</f>
        <v>0.3</v>
      </c>
      <c r="PE4" s="38">
        <f>IF($CN4="P",CB4,(CB4+BA4)/2)</f>
        <v>0</v>
      </c>
      <c r="PF4" s="38">
        <f>IF($CN4="P",CC4,(CC4+BB4)/2)</f>
        <v>0</v>
      </c>
      <c r="PG4" s="38">
        <f>IF($CN4="P",CD4,(CD4+BC4)/2)</f>
        <v>0</v>
      </c>
      <c r="PH4" s="38">
        <f>IF($CN4="P",CE4,(CE4+BD4)/2)</f>
        <v>0</v>
      </c>
      <c r="PI4" s="38">
        <f>IF($CN4="P",CF4,(CF4+BE4)/2)</f>
        <v>8.6999999999999993</v>
      </c>
      <c r="PJ4" s="38">
        <f>IF($CN4="P",CG4,(CG4+BF4)/2)</f>
        <v>1.6</v>
      </c>
      <c r="PK4" s="38">
        <f>IF($CN4="P",CH4,(CH4+BG4)/2)</f>
        <v>0.1</v>
      </c>
      <c r="PL4" s="38">
        <f>IF($CN4="P",CI4,(CI4+BH4)/2)</f>
        <v>0</v>
      </c>
      <c r="PM4" s="38">
        <f>IF($CN4="P",CJ4,(CJ4+BI4)/2)</f>
        <v>8.1999999999999993</v>
      </c>
      <c r="PN4" s="38">
        <f>IF($CN4="P",CK4,(CK4+BJ4)/2)</f>
        <v>2.4</v>
      </c>
      <c r="PO4" s="38">
        <f>IF($CN4="P",CL4,(CL4+BK4)/2)</f>
        <v>0.1</v>
      </c>
      <c r="PP4" s="38">
        <f>IF($CN4="P",CM4,(CM4+BL4)/2)</f>
        <v>0.3</v>
      </c>
      <c r="PQ4" s="45" t="s">
        <v>44</v>
      </c>
      <c r="PR4" s="81">
        <f>IF(SUM(OX4,PB4)&gt;0,SUM(OX4,PB4),"")</f>
        <v>4.0000999999999998</v>
      </c>
      <c r="PS4" s="81">
        <f>IF(SUM(OW4:OX4,OZ4:PB4,PD4)-OY4-PC4&gt;0,SUM(OW4:OX4,OZ4:PB4,PD4)-OY4-PC4,"")</f>
        <v>21.450150000000001</v>
      </c>
      <c r="PT4" s="81" t="str">
        <f>IF(SUM(PE4:PF4,PH4)-PG4&gt;0,SUM(PE4:PF4,PH4)-PG4,"")</f>
        <v/>
      </c>
      <c r="PU4" s="81">
        <f>IF(SUM(PJ4,PN4)&gt;0,SUM(PJ4,PN4),"")</f>
        <v>4</v>
      </c>
      <c r="PV4" s="81">
        <f>IF(SUM(PI4:PJ4,PL4:PN4,PP4)-SUM(PK4,PO4)&gt;0,SUM(PI4:PJ4,PL4:PN4,PP4)-SUM(PK4,PO4),"")</f>
        <v>21</v>
      </c>
      <c r="PW4" s="81">
        <f>IF(SUM(PS4,PV4)&gt;0,SUM(PS4,PV4),"")</f>
        <v>42.450150000000001</v>
      </c>
    </row>
    <row r="5" spans="1:439" x14ac:dyDescent="0.2">
      <c r="A5" s="5" t="str">
        <f>IF(AND(F5="P",G5="P"),SUMPRODUCT((F$4:F$6="P")*(G$4:G$6="P")*(E$4:E$6&gt;E5))+1,IF(G5="P",SUMPRODUCT((F$4:F$6="")*(G$4:G$6="P")*(E$4:E$6&gt;E5))+1+SUMPRODUCT((F$4:F$6="P")*(G$4:G$6="P")),""))</f>
        <v/>
      </c>
      <c r="B5" s="68" t="s">
        <v>78</v>
      </c>
      <c r="C5" s="5" t="s">
        <v>67</v>
      </c>
      <c r="D5" s="5">
        <v>2006</v>
      </c>
      <c r="E5" s="15">
        <f>SUM(I5:O5)+SUM(I5:M5)*0.0000001+SUM(I5)*0.0000000000001</f>
        <v>80.100008010003833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6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14">
        <f>IF(COUNT(AN5,BO5,CP5)&gt;0,LARGE((AN5,BO5,CP5),1),0)</f>
        <v>38.399999999999991</v>
      </c>
      <c r="J5" s="14" t="str">
        <f>IF(I5=0,"",IF(I5=CP5,$BT$1,IF(I5=BO5,$AS$1,IF(I5=AN5,$R$1,""))))</f>
        <v>2022 Elite Canada</v>
      </c>
      <c r="K5" s="14">
        <f>IF(COUNT(AN5,BO5,CP5)&gt;1,LARGE((AN5,BO5,CP5),2),0)</f>
        <v>0</v>
      </c>
      <c r="L5" s="14" t="str">
        <f>IF(K5=0,"",IF(K5=CP5,$BT$1,IF(K5=BO5,$AS$1,IF(K5=AN5,$R$1,""))))</f>
        <v/>
      </c>
      <c r="M5" s="14">
        <f>IF(MAX(AQ5,BR5,CS5)&gt;0,MAX(AQ5,BR5,CS5),0)</f>
        <v>41.699999999999996</v>
      </c>
      <c r="N5" s="14" t="str">
        <f>IF(M5=0,"",IF(M5=CS5,$BT$1,IF(M5=BR5,$AS$1,IF(M5=AQ5,$R$1,""))))</f>
        <v>2022 Elite Canada</v>
      </c>
      <c r="O5" s="14" t="str">
        <f>IF(MAX(CU5:CV5)&gt;0,MAX(CU5:CV5),"")</f>
        <v/>
      </c>
      <c r="P5" s="20" t="str">
        <f>IF(O5="","",IF(O5=CU5,"("&amp;CU$2&amp;")",IF(O5=CV5,"("&amp;CV$2&amp;")")))</f>
        <v/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5"/>
      <c r="AM5" s="81" t="str">
        <f>IF(SUM(S5,W5)&gt;0,SUM(S5,W5),"")</f>
        <v/>
      </c>
      <c r="AN5" s="81" t="str">
        <f>IF(SUM(R5:S5,U5:W5,Y5)-T5-X5&gt;0,SUM(R5:S5,U5:W5,Y5)-T5-X5,"")</f>
        <v/>
      </c>
      <c r="AO5" s="81" t="str">
        <f>IF(SUM(Z5:AA5,AC5)-AB5&gt;0,SUM(Z5:AA5,AC5)-AB5,"")</f>
        <v/>
      </c>
      <c r="AP5" s="81" t="str">
        <f>IF(SUM(AE5,AI5)&gt;0,SUM(AE5,AI5),"")</f>
        <v/>
      </c>
      <c r="AQ5" s="81" t="str">
        <f>IF(SUM(AD5:AE5,AG5:AI5,AK5)-SUM(AF5,AJ5)&gt;0,SUM(AD5:AE5,AG5:AI5,AK5)-SUM(AF5,AJ5),"")</f>
        <v/>
      </c>
      <c r="AR5" s="81" t="str">
        <f>IF(SUM(AN5,AQ5)&gt;0,SUM(AN5,AQ5),"")</f>
        <v/>
      </c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46"/>
      <c r="BN5" s="20" t="str">
        <f>IF(SUM(AT5,AX5)&gt;0,SUM(AT5,AX5),"")</f>
        <v/>
      </c>
      <c r="BO5" s="20" t="str">
        <f>IF(SUM(AS5:AT5,AV5:AX5,AZ5)-AU5-AY5&gt;0,SUM(AS5:AT5,AV5:AX5,AZ5)-AU5-AY5,"")</f>
        <v/>
      </c>
      <c r="BP5" s="20" t="str">
        <f>IF(SUM(BA5:BB5,BD5)-BC5&gt;0,SUM(BA5:BB5,BD5)-BC5,"")</f>
        <v/>
      </c>
      <c r="BQ5" s="20" t="str">
        <f>IF(SUM(BF5,BJ5)&gt;0,SUM(BF5,BJ5),"")</f>
        <v/>
      </c>
      <c r="BR5" s="20" t="str">
        <f>IF(SUM(BE5:BF5,BH5:BJ5,BL5)-SUM(BG5,BK5)&gt;0,SUM(BE5:BF5,BH5:BJ5,BL5)-SUM(BG5,BK5),"")</f>
        <v/>
      </c>
      <c r="BS5" s="20" t="str">
        <f>IF(SUM(BO5,BR5)&gt;0,SUM(BO5,BR5),"")</f>
        <v/>
      </c>
      <c r="BT5" s="26">
        <v>15.5</v>
      </c>
      <c r="BU5" s="26">
        <v>3.4</v>
      </c>
      <c r="BV5" s="26">
        <v>0.2</v>
      </c>
      <c r="BW5" s="26">
        <v>0</v>
      </c>
      <c r="BX5" s="26">
        <v>15.9</v>
      </c>
      <c r="BY5" s="26">
        <v>3.9</v>
      </c>
      <c r="BZ5" s="26">
        <v>0.4</v>
      </c>
      <c r="CA5" s="26">
        <v>0.3</v>
      </c>
      <c r="CB5" s="26"/>
      <c r="CC5" s="26"/>
      <c r="CD5" s="26"/>
      <c r="CE5" s="26"/>
      <c r="CF5" s="26">
        <v>17</v>
      </c>
      <c r="CG5" s="26">
        <v>3.4</v>
      </c>
      <c r="CH5" s="26">
        <v>0</v>
      </c>
      <c r="CI5" s="26">
        <v>0</v>
      </c>
      <c r="CJ5" s="26">
        <v>17.100000000000001</v>
      </c>
      <c r="CK5" s="26">
        <v>3.9</v>
      </c>
      <c r="CL5" s="26">
        <v>0</v>
      </c>
      <c r="CM5" s="26">
        <v>0.3</v>
      </c>
      <c r="CN5" s="45"/>
      <c r="CO5" s="81">
        <f>IF(SUM(BU5,BY5)&gt;0,SUM(BU5,BY5),"")</f>
        <v>7.3</v>
      </c>
      <c r="CP5" s="81">
        <f>IF(SUM(BT5:BU5,BW5:BY5,CA5)-BV5-BZ5&gt;0,SUM(BT5:BU5,BW5:BY5,CA5)-BV5-BZ5,"")</f>
        <v>38.399999999999991</v>
      </c>
      <c r="CQ5" s="81" t="str">
        <f>IF(SUM(CB5:CC5,CE5)-CD5&gt;0,SUM(CB5:CC5,CE5)-CD5,"")</f>
        <v/>
      </c>
      <c r="CR5" s="81">
        <f>IF(SUM(CG5,CK5)&gt;0,SUM(CG5,CK5),"")</f>
        <v>7.3</v>
      </c>
      <c r="CS5" s="81">
        <f>IF(SUM(CF5:CG5,CI5:CK5,CM5)-SUM(CH5,CL5)&gt;0,SUM(CF5:CG5,CI5:CK5,CM5)-SUM(CH5,CL5),"")</f>
        <v>41.699999999999996</v>
      </c>
      <c r="CT5" s="81">
        <f>IF(SUM(CP5,CS5)&gt;0,SUM(CP5,CS5),"")</f>
        <v>80.099999999999994</v>
      </c>
      <c r="CU5" s="82" t="str">
        <f>IF(MAX(DR5,ER5,FR5,GR5,HR5,IR5,JR5,KR5,LR5,MR5,NR5,OR5)-IF(K5="",0,K5)&gt;0.001,MAX(DR5,ER5,FR5,GR5,HR5,IR5,JR5,KR5,LR5,MR5,NR5,OR5)-IF(K5="",0,K5),"")</f>
        <v/>
      </c>
      <c r="CV5" s="82" t="str">
        <f>IF(MAX(DU5,EU5,FU5,GU5,HU5,IU5,JU5,KU5,LU5,MU5,NU5,OU5)-IF(M5="",0,M5)&gt;0.001,MAX(DU5,EU5,FU5,GU5,HU5,IU5,JU5,KU5,LU5,MU5,NU5,OU5)-IF(M5="",0,M5),"")</f>
        <v/>
      </c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81" t="str">
        <f>IF(SUM(CX5,DB5)&gt;0,SUM(CX5,DB5),"")</f>
        <v/>
      </c>
      <c r="DR5" s="81" t="str">
        <f>IF(SUM(CW5:CX5,CZ5:DB5,DD5)-CY5-DC5&gt;0,SUM(CW5:CX5,CZ5:DB5,DD5)-CY5-DC5,"")</f>
        <v/>
      </c>
      <c r="DS5" s="81" t="str">
        <f>IF(SUM(DE5:DF5,DH5)-DG5&gt;0,SUM(DE5:DF5,DH5)-DG5,"")</f>
        <v/>
      </c>
      <c r="DT5" s="81" t="str">
        <f>IF(SUM(DJ5,DN5)&gt;0,SUM(DJ5,DN5),"")</f>
        <v/>
      </c>
      <c r="DU5" s="81" t="str">
        <f>IF(SUM(DI5:DJ5,DL5:DN5,DP5)-SUM(DK5,DO5)&gt;0,SUM(DI5:DJ5,DL5:DN5,DP5)-SUM(DK5,DO5),"")</f>
        <v/>
      </c>
      <c r="DV5" s="81" t="str">
        <f>IF(SUM(DR5,DU5)&gt;0,SUM(DR5,DU5),"")</f>
        <v/>
      </c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0" t="str">
        <f>IF(SUM(DX5,EB5)&gt;0,SUM(DX5,EB5),"")</f>
        <v/>
      </c>
      <c r="ER5" s="20" t="str">
        <f>IF(SUM(DW5:DX5,DZ5:EB5,ED5)-DY5-EC5&gt;0,SUM(DW5:DX5,DZ5:EB5,ED5)-DY5-EC5,"")</f>
        <v/>
      </c>
      <c r="ES5" s="20" t="str">
        <f>IF(SUM(EE5:EF5,EH5)-EG5&gt;0,SUM(EE5:EF5,EH5)-EG5,"")</f>
        <v/>
      </c>
      <c r="ET5" s="20" t="str">
        <f>IF(SUM(EJ5,EN5)&gt;0,SUM(EJ5,EN5),"")</f>
        <v/>
      </c>
      <c r="EU5" s="20" t="str">
        <f>IF(SUM(EI5:EJ5,EL5:EN5,EP5)-SUM(EK5,EO5)&gt;0,SUM(EI5:EJ5,EL5:EN5,EP5)-SUM(EK5,EO5),"")</f>
        <v/>
      </c>
      <c r="EV5" s="20" t="str">
        <f>IF(SUM(ER5,EU5)&gt;0,SUM(ER5,EU5),"")</f>
        <v/>
      </c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81" t="str">
        <f>IF(SUM(EX5,FB5)&gt;0,SUM(EX5,FB5),"")</f>
        <v/>
      </c>
      <c r="FR5" s="81" t="str">
        <f>IF(SUM(EW5:EX5,EZ5:FB5,FD5)-EY5-FC5&gt;0,SUM(EW5:EX5,EZ5:FB5,FD5)-EY5-FC5,"")</f>
        <v/>
      </c>
      <c r="FS5" s="81" t="str">
        <f>IF(SUM(FE5:FF5,FH5)-FG5&gt;0,SUM(FE5:FF5,FH5)-FG5,"")</f>
        <v/>
      </c>
      <c r="FT5" s="81" t="str">
        <f>IF(SUM(FJ5,FN5)&gt;0,SUM(FJ5,FN5),"")</f>
        <v/>
      </c>
      <c r="FU5" s="81" t="str">
        <f>IF(SUM(FI5:FJ5,FL5:FN5,FP5)-SUM(FK5,FO5)&gt;0,SUM(FI5:FJ5,FL5:FN5,FP5)-SUM(FK5,FO5),"")</f>
        <v/>
      </c>
      <c r="FV5" s="81" t="str">
        <f>IF(SUM(FR5,FU5)&gt;0,SUM(FR5,FU5),"")</f>
        <v/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0" t="str">
        <f>IF(SUM(FX5,GB5)&gt;0,SUM(FX5,GB5),"")</f>
        <v/>
      </c>
      <c r="GR5" s="20" t="str">
        <f>IF(SUM(FW5:FX5,FZ5:GB5,GD5)-FY5-GC5&gt;0,SUM(FW5:FX5,FZ5:GB5,GD5)-FY5-GC5,"")</f>
        <v/>
      </c>
      <c r="GS5" s="20" t="str">
        <f>IF(SUM(GE5:GF5,GH5)-GG5&gt;0,SUM(GE5:GF5,GH5)-GG5,"")</f>
        <v/>
      </c>
      <c r="GT5" s="20" t="str">
        <f>IF(SUM(GJ5,GN5)&gt;0,SUM(GJ5,GN5),"")</f>
        <v/>
      </c>
      <c r="GU5" s="20" t="str">
        <f>IF(SUM(GI5:GJ5,GL5:GN5,GP5)-SUM(GK5,GO5)&gt;0,SUM(GI5:GJ5,GL5:GN5,GP5)-SUM(GK5,GO5),"")</f>
        <v/>
      </c>
      <c r="GV5" s="20" t="str">
        <f>IF(SUM(GR5,GU5)&gt;0,SUM(GR5,GU5),"")</f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81" t="str">
        <f>IF(SUM(GX5,HB5)&gt;0,SUM(GX5,HB5),"")</f>
        <v/>
      </c>
      <c r="HR5" s="81" t="str">
        <f>IF(SUM(GW5:GX5,GZ5:HB5,HD5)-GY5-HC5&gt;0,SUM(GW5:GX5,GZ5:HB5,HD5)-GY5-HC5,"")</f>
        <v/>
      </c>
      <c r="HS5" s="81" t="str">
        <f>IF(SUM(HE5:HF5,HH5)-HG5&gt;0,SUM(HE5:HF5,HH5)-HG5,"")</f>
        <v/>
      </c>
      <c r="HT5" s="81" t="str">
        <f>IF(SUM(HJ5,HN5)&gt;0,SUM(HJ5,HN5),"")</f>
        <v/>
      </c>
      <c r="HU5" s="81" t="str">
        <f>IF(SUM(HI5:HJ5,HL5:HN5,HP5)-SUM(HK5,HO5)&gt;0,SUM(HI5:HJ5,HL5:HN5,HP5)-SUM(HK5,HO5),"")</f>
        <v/>
      </c>
      <c r="HV5" s="81" t="str">
        <f>IF(SUM(HR5,HU5)&gt;0,SUM(HR5,HU5),"")</f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81" t="str">
        <f>IF(SUM(IX5,JB5)&gt;0,SUM(IX5,JB5),"")</f>
        <v/>
      </c>
      <c r="JR5" s="81" t="str">
        <f>IF(SUM(IW5:IX5,IZ5:JB5,JD5)-IY5-JC5&gt;0,SUM(IW5:IX5,IZ5:JB5,JD5)-IY5-JC5,"")</f>
        <v/>
      </c>
      <c r="JS5" s="81" t="str">
        <f>IF(SUM(JE5:JF5,JH5)-JG5&gt;0,SUM(JE5:JF5,JH5)-JG5,"")</f>
        <v/>
      </c>
      <c r="JT5" s="81" t="str">
        <f>IF(SUM(JJ5,JN5)&gt;0,SUM(JJ5,JN5),"")</f>
        <v/>
      </c>
      <c r="JU5" s="81" t="str">
        <f>IF(SUM(JI5:JJ5,JL5:JN5,JP5)-SUM(JK5,JO5)&gt;0,SUM(JI5:JJ5,JL5:JN5,JP5)-SUM(JK5,JO5),"")</f>
        <v/>
      </c>
      <c r="JV5" s="81" t="str">
        <f>IF(SUM(JR5,JU5)&gt;0,SUM(JR5,JU5),"")</f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81" t="str">
        <f>IF(SUM(KX5,LB5)&gt;0,SUM(KX5,LB5),"")</f>
        <v/>
      </c>
      <c r="LR5" s="81" t="str">
        <f>IF(SUM(KW5:KX5,KZ5:LB5,LD5)-KY5-LC5&gt;0,SUM(KW5:KX5,KZ5:LB5,LD5)-KY5-LC5,"")</f>
        <v/>
      </c>
      <c r="LS5" s="81" t="str">
        <f>IF(SUM(LE5:LF5,LH5)-LG5&gt;0,SUM(LE5:LF5,LH5)-LG5,"")</f>
        <v/>
      </c>
      <c r="LT5" s="81" t="str">
        <f>IF(SUM(LJ5,LN5)&gt;0,SUM(LJ5,LN5),"")</f>
        <v/>
      </c>
      <c r="LU5" s="81" t="str">
        <f>IF(SUM(LI5:LJ5,LL5:LN5,LP5)-SUM(LK5,LO5)&gt;0,SUM(LI5:LJ5,LL5:LN5,LP5)-SUM(LK5,LO5),"")</f>
        <v/>
      </c>
      <c r="LV5" s="81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81" t="str">
        <f>IF(SUM(MX5,NB5)&gt;0,SUM(MX5,NB5),"")</f>
        <v/>
      </c>
      <c r="NR5" s="81" t="str">
        <f>IF(SUM(MW5:MX5,MZ5:NB5,ND5)-MY5-NC5&gt;0,SUM(MW5:MX5,MZ5:NB5,ND5)-MY5-NC5,"")</f>
        <v/>
      </c>
      <c r="NS5" s="81" t="str">
        <f>IF(SUM(NE5:NF5,NH5)-NG5&gt;0,SUM(NE5:NF5,NH5)-NG5,"")</f>
        <v/>
      </c>
      <c r="NT5" s="81" t="str">
        <f>IF(SUM(NJ5,NN5)&gt;0,SUM(NJ5,NN5),"")</f>
        <v/>
      </c>
      <c r="NU5" s="81" t="str">
        <f>IF(SUM(NI5:NJ5,NL5:NN5,NP5)-SUM(NK5,NO5)&gt;0,SUM(NI5:NJ5,NL5:NN5,NP5)-SUM(NK5,NO5),"")</f>
        <v/>
      </c>
      <c r="NV5" s="81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>IF($CN5="P",BT5,(BT5+AS5)/2)</f>
        <v>7.75</v>
      </c>
      <c r="OX5" s="38">
        <f>IF($CN5="P",BU5,(BU5+AT5)/2)</f>
        <v>1.7</v>
      </c>
      <c r="OY5" s="38">
        <f>IF($CN5="P",BV5,(BV5+AU5)/2)</f>
        <v>0.1</v>
      </c>
      <c r="OZ5" s="38">
        <f>IF($CN5="P",BW5,(BW5+AV5)/2)</f>
        <v>0</v>
      </c>
      <c r="PA5" s="38">
        <f>IF($CN5="P",BX5,(BX5+AW5)/2)</f>
        <v>7.95</v>
      </c>
      <c r="PB5" s="38">
        <f>IF($CN5="P",BY5,(BY5+AX5)/2)</f>
        <v>1.95</v>
      </c>
      <c r="PC5" s="38">
        <f>IF($CN5="P",BZ5,(BZ5+AY5)/2)</f>
        <v>0.2</v>
      </c>
      <c r="PD5" s="38">
        <f>IF($CN5="P",CA5,(CA5+AZ5)/2)</f>
        <v>0.15</v>
      </c>
      <c r="PE5" s="38">
        <f>IF($CN5="P",CB5,(CB5+BA5)/2)</f>
        <v>0</v>
      </c>
      <c r="PF5" s="38">
        <f>IF($CN5="P",CC5,(CC5+BB5)/2)</f>
        <v>0</v>
      </c>
      <c r="PG5" s="38">
        <f>IF($CN5="P",CD5,(CD5+BC5)/2)</f>
        <v>0</v>
      </c>
      <c r="PH5" s="38">
        <f>IF($CN5="P",CE5,(CE5+BD5)/2)</f>
        <v>0</v>
      </c>
      <c r="PI5" s="38">
        <f>IF($CN5="P",CF5,(CF5+BE5)/2)</f>
        <v>8.5</v>
      </c>
      <c r="PJ5" s="38">
        <f>IF($CN5="P",CG5,(CG5+BF5)/2)</f>
        <v>1.7</v>
      </c>
      <c r="PK5" s="38">
        <f>IF($CN5="P",CH5,(CH5+BG5)/2)</f>
        <v>0</v>
      </c>
      <c r="PL5" s="38">
        <f>IF($CN5="P",CI5,(CI5+BH5)/2)</f>
        <v>0</v>
      </c>
      <c r="PM5" s="38">
        <f>IF($CN5="P",CJ5,(CJ5+BI5)/2)</f>
        <v>8.5500000000000007</v>
      </c>
      <c r="PN5" s="38">
        <f>IF($CN5="P",CK5,(CK5+BJ5)/2)</f>
        <v>1.95</v>
      </c>
      <c r="PO5" s="38">
        <f>IF($CN5="P",CL5,(CL5+BK5)/2)</f>
        <v>0</v>
      </c>
      <c r="PP5" s="38">
        <f>IF($CN5="P",CM5,(CM5+BL5)/2)</f>
        <v>0.15</v>
      </c>
      <c r="PQ5" s="45" t="s">
        <v>44</v>
      </c>
      <c r="PR5" s="81">
        <f>IF(SUM(OX5,PB5)&gt;0,SUM(OX5,PB5),"")</f>
        <v>3.65</v>
      </c>
      <c r="PS5" s="81">
        <f>IF(SUM(OW5:OX5,OZ5:PB5,PD5)-OY5-PC5&gt;0,SUM(OW5:OX5,OZ5:PB5,PD5)-OY5-PC5,"")</f>
        <v>19.199999999999996</v>
      </c>
      <c r="PT5" s="81" t="str">
        <f>IF(SUM(PE5:PF5,PH5)-PG5&gt;0,SUM(PE5:PF5,PH5)-PG5,"")</f>
        <v/>
      </c>
      <c r="PU5" s="81">
        <f>IF(SUM(PJ5,PN5)&gt;0,SUM(PJ5,PN5),"")</f>
        <v>3.65</v>
      </c>
      <c r="PV5" s="81">
        <f>IF(SUM(PI5:PJ5,PL5:PN5,PP5)-SUM(PK5,PO5)&gt;0,SUM(PI5:PJ5,PL5:PN5,PP5)-SUM(PK5,PO5),"")</f>
        <v>20.849999999999998</v>
      </c>
      <c r="PW5" s="81">
        <f>IF(SUM(PS5,PV5)&gt;0,SUM(PS5,PV5),"")</f>
        <v>40.049999999999997</v>
      </c>
    </row>
    <row r="6" spans="1:439" ht="17" x14ac:dyDescent="0.2">
      <c r="O6" s="16"/>
      <c r="P6" s="16"/>
      <c r="Q6" s="16"/>
    </row>
    <row r="7" spans="1:439" ht="17" x14ac:dyDescent="0.2">
      <c r="O7" s="16"/>
      <c r="P7" s="16"/>
      <c r="Q7" s="16"/>
    </row>
    <row r="8" spans="1:439" ht="17" x14ac:dyDescent="0.2">
      <c r="B8" s="83" t="s">
        <v>42</v>
      </c>
      <c r="O8" s="16"/>
      <c r="P8" s="16"/>
      <c r="Q8" s="16"/>
      <c r="AM8" s="5"/>
      <c r="AR8" s="84">
        <v>1E-4</v>
      </c>
      <c r="BN8" s="5"/>
      <c r="BS8" s="84">
        <v>1E-4</v>
      </c>
      <c r="CO8" s="5"/>
      <c r="CT8" s="84">
        <v>8.6</v>
      </c>
      <c r="DQ8" s="5"/>
      <c r="DV8" s="84">
        <v>1E-4</v>
      </c>
      <c r="EQ8" s="5"/>
      <c r="EV8" s="84">
        <v>8.6</v>
      </c>
      <c r="FQ8" s="5"/>
      <c r="FV8" s="84">
        <v>8.6</v>
      </c>
      <c r="GQ8" s="5"/>
      <c r="GV8" s="84">
        <v>8.6</v>
      </c>
      <c r="HQ8" s="5"/>
      <c r="HV8" s="84">
        <v>8.6</v>
      </c>
      <c r="IQ8" s="5"/>
      <c r="IV8" s="84">
        <v>8.6</v>
      </c>
      <c r="JQ8" s="5"/>
      <c r="JV8" s="84">
        <v>8.6</v>
      </c>
      <c r="KQ8" s="5"/>
      <c r="KV8" s="84">
        <v>8.6</v>
      </c>
      <c r="LQ8" s="5"/>
      <c r="LV8" s="84">
        <v>8.6</v>
      </c>
      <c r="MQ8" s="5"/>
      <c r="MV8" s="84">
        <v>8.6</v>
      </c>
      <c r="NQ8" s="5"/>
      <c r="NV8" s="84">
        <v>8.6</v>
      </c>
      <c r="OQ8" s="5"/>
      <c r="OV8" s="84">
        <v>8.6</v>
      </c>
    </row>
    <row r="9" spans="1:439" ht="17" hidden="1" x14ac:dyDescent="0.2">
      <c r="B9" s="85" t="s">
        <v>41</v>
      </c>
      <c r="O9" s="16"/>
      <c r="P9" s="16"/>
      <c r="Q9" s="16"/>
      <c r="AM9" s="5"/>
      <c r="AR9" s="86">
        <f>AR10</f>
        <v>2.0000000000000001E-4</v>
      </c>
      <c r="BN9" s="5"/>
      <c r="BS9" s="86">
        <f>BS10</f>
        <v>2.0000000000000001E-4</v>
      </c>
      <c r="CO9" s="5"/>
      <c r="CT9" s="86">
        <v>8.6</v>
      </c>
      <c r="DQ9" s="5"/>
      <c r="DV9" s="86">
        <v>2.0000000000000001E-4</v>
      </c>
      <c r="EQ9" s="5"/>
      <c r="EV9" s="86">
        <v>8.6</v>
      </c>
      <c r="FQ9" s="5"/>
      <c r="FV9" s="86">
        <v>8.6</v>
      </c>
      <c r="GQ9" s="5"/>
      <c r="GV9" s="86">
        <v>8.6</v>
      </c>
      <c r="HQ9" s="5"/>
      <c r="HV9" s="86">
        <v>8.6</v>
      </c>
      <c r="IQ9" s="5"/>
      <c r="IV9" s="86">
        <v>8.6</v>
      </c>
      <c r="JQ9" s="5"/>
      <c r="JV9" s="86">
        <v>8.6</v>
      </c>
      <c r="KQ9" s="5"/>
      <c r="KV9" s="86">
        <v>8.6</v>
      </c>
      <c r="LQ9" s="5"/>
      <c r="LV9" s="86">
        <v>8.6</v>
      </c>
      <c r="MQ9" s="5"/>
      <c r="MV9" s="86">
        <v>8.6</v>
      </c>
      <c r="NQ9" s="5"/>
      <c r="NV9" s="86">
        <v>8.6</v>
      </c>
      <c r="OQ9" s="5"/>
      <c r="OV9" s="86">
        <v>8.6</v>
      </c>
    </row>
    <row r="10" spans="1:439" ht="17" x14ac:dyDescent="0.2">
      <c r="A10" s="68"/>
      <c r="B10" s="79" t="s">
        <v>54</v>
      </c>
      <c r="C10" s="87"/>
      <c r="O10" s="16"/>
      <c r="P10" s="16"/>
      <c r="Q10" s="16"/>
      <c r="AM10" s="5"/>
      <c r="AR10" s="88">
        <v>2.0000000000000001E-4</v>
      </c>
      <c r="BN10" s="5"/>
      <c r="BS10" s="88">
        <v>2.0000000000000001E-4</v>
      </c>
      <c r="CO10" s="5"/>
      <c r="CT10" s="88">
        <v>8.6</v>
      </c>
      <c r="DQ10" s="5"/>
      <c r="DV10" s="88">
        <v>2.9999999999999997E-4</v>
      </c>
      <c r="EQ10" s="5"/>
      <c r="EV10" s="88">
        <v>8.6</v>
      </c>
      <c r="FQ10" s="5"/>
      <c r="FV10" s="88">
        <v>8.6</v>
      </c>
      <c r="GQ10" s="5"/>
      <c r="GV10" s="88">
        <v>8.6</v>
      </c>
      <c r="HQ10" s="5"/>
      <c r="HV10" s="88">
        <v>8.6</v>
      </c>
      <c r="IQ10" s="5"/>
      <c r="IV10" s="88">
        <v>8.6</v>
      </c>
      <c r="JQ10" s="5"/>
      <c r="JV10" s="88">
        <v>8.6</v>
      </c>
      <c r="KQ10" s="5"/>
      <c r="KV10" s="88">
        <v>8.6</v>
      </c>
      <c r="LQ10" s="5"/>
      <c r="LV10" s="88">
        <v>8.6</v>
      </c>
      <c r="MQ10" s="5"/>
      <c r="MV10" s="88">
        <v>8.6</v>
      </c>
      <c r="NQ10" s="5"/>
      <c r="NV10" s="88">
        <v>8.6</v>
      </c>
      <c r="OQ10" s="5"/>
      <c r="OV10" s="88">
        <v>8.6</v>
      </c>
    </row>
    <row r="11" spans="1:439" ht="17" hidden="1" x14ac:dyDescent="0.2">
      <c r="A11" s="68"/>
      <c r="B11" s="89" t="s">
        <v>59</v>
      </c>
      <c r="C11" s="87"/>
      <c r="O11" s="16"/>
      <c r="P11" s="16"/>
      <c r="Q11" s="16"/>
      <c r="AM11" s="5"/>
      <c r="AR11" s="90">
        <v>1000</v>
      </c>
      <c r="BN11" s="5"/>
      <c r="BS11" s="90">
        <v>1000</v>
      </c>
      <c r="CO11" s="5"/>
      <c r="CT11" s="90">
        <v>10.6</v>
      </c>
      <c r="DQ11" s="5"/>
      <c r="DV11" s="90">
        <v>2.9999999999999997E-4</v>
      </c>
      <c r="EQ11" s="5"/>
      <c r="EV11" s="90">
        <v>10.6</v>
      </c>
      <c r="FQ11" s="5"/>
      <c r="FV11" s="90">
        <v>10.6</v>
      </c>
      <c r="GQ11" s="5"/>
      <c r="GV11" s="90">
        <v>10.6</v>
      </c>
      <c r="HQ11" s="5"/>
      <c r="HV11" s="90">
        <v>10.6</v>
      </c>
      <c r="IQ11" s="5"/>
      <c r="IV11" s="90">
        <v>10.6</v>
      </c>
      <c r="JQ11" s="5"/>
      <c r="JV11" s="90">
        <v>10.6</v>
      </c>
      <c r="KQ11" s="5"/>
      <c r="KV11" s="90">
        <v>10.6</v>
      </c>
      <c r="LQ11" s="5"/>
      <c r="LV11" s="90">
        <v>10.6</v>
      </c>
      <c r="MQ11" s="5"/>
      <c r="MV11" s="90">
        <v>10.6</v>
      </c>
      <c r="NQ11" s="5"/>
      <c r="NV11" s="90">
        <v>10.6</v>
      </c>
      <c r="OQ11" s="5"/>
      <c r="OV11" s="90">
        <v>10.6</v>
      </c>
    </row>
    <row r="12" spans="1:439" ht="17" x14ac:dyDescent="0.2">
      <c r="A12" s="68"/>
      <c r="B12" s="91" t="s">
        <v>39</v>
      </c>
      <c r="C12" s="87"/>
      <c r="O12" s="16"/>
      <c r="P12" s="16"/>
      <c r="Q12" s="16"/>
      <c r="AM12" s="5"/>
      <c r="AR12" s="92">
        <v>2.9999999999999997E-4</v>
      </c>
      <c r="BN12" s="5"/>
      <c r="BS12" s="92">
        <v>2.9999999999999997E-4</v>
      </c>
      <c r="CO12" s="5"/>
      <c r="CT12" s="92">
        <v>42.6</v>
      </c>
      <c r="DQ12" s="5"/>
      <c r="DV12" s="92">
        <v>4.0000000000000002E-4</v>
      </c>
      <c r="EQ12" s="5"/>
      <c r="EV12" s="92">
        <v>42.6</v>
      </c>
      <c r="FQ12" s="5"/>
      <c r="FV12" s="92">
        <v>42.6</v>
      </c>
      <c r="GQ12" s="5"/>
      <c r="GV12" s="92">
        <v>42.6</v>
      </c>
      <c r="HQ12" s="5"/>
      <c r="HV12" s="92">
        <v>42.6</v>
      </c>
      <c r="IQ12" s="5"/>
      <c r="IV12" s="92">
        <v>42.6</v>
      </c>
      <c r="JQ12" s="5"/>
      <c r="JV12" s="92">
        <v>42.6</v>
      </c>
      <c r="KQ12" s="5"/>
      <c r="KV12" s="92">
        <v>42.6</v>
      </c>
      <c r="LQ12" s="5"/>
      <c r="LV12" s="92">
        <v>42.6</v>
      </c>
      <c r="MQ12" s="5"/>
      <c r="MV12" s="92">
        <v>42.6</v>
      </c>
      <c r="NQ12" s="5"/>
      <c r="NV12" s="92">
        <v>42.6</v>
      </c>
      <c r="OQ12" s="5"/>
      <c r="OV12" s="92">
        <v>42.6</v>
      </c>
    </row>
    <row r="13" spans="1:439" ht="17" hidden="1" x14ac:dyDescent="0.2">
      <c r="A13" s="68"/>
      <c r="B13" s="93" t="s">
        <v>40</v>
      </c>
      <c r="C13" s="87"/>
      <c r="O13" s="16"/>
      <c r="P13" s="16"/>
      <c r="Q13" s="16"/>
      <c r="AM13" s="5"/>
      <c r="AR13" s="94">
        <f>AR14</f>
        <v>4.0000000000000002E-4</v>
      </c>
      <c r="BN13" s="5"/>
      <c r="BS13" s="94">
        <f>BS14</f>
        <v>4.0000000000000002E-4</v>
      </c>
      <c r="CO13" s="5"/>
      <c r="CT13" s="94">
        <v>43.4</v>
      </c>
      <c r="DQ13" s="5"/>
      <c r="DV13" s="94">
        <v>4.0000000000000002E-4</v>
      </c>
      <c r="EQ13" s="5"/>
      <c r="EV13" s="94">
        <v>43.4</v>
      </c>
      <c r="FQ13" s="5"/>
      <c r="FV13" s="94">
        <v>43.4</v>
      </c>
      <c r="GQ13" s="5"/>
      <c r="GV13" s="94">
        <v>43.4</v>
      </c>
      <c r="HQ13" s="5"/>
      <c r="HV13" s="94">
        <v>43.4</v>
      </c>
      <c r="IQ13" s="5"/>
      <c r="IV13" s="94">
        <v>43.4</v>
      </c>
      <c r="JQ13" s="5"/>
      <c r="JV13" s="94">
        <v>43.4</v>
      </c>
      <c r="KQ13" s="5"/>
      <c r="KV13" s="94">
        <v>43.4</v>
      </c>
      <c r="LQ13" s="5"/>
      <c r="LV13" s="94">
        <v>43.4</v>
      </c>
      <c r="MQ13" s="5"/>
      <c r="MV13" s="94">
        <v>43.4</v>
      </c>
      <c r="NQ13" s="5"/>
      <c r="NV13" s="94">
        <v>43.4</v>
      </c>
      <c r="OQ13" s="5"/>
      <c r="OV13" s="94">
        <v>43.4</v>
      </c>
    </row>
    <row r="14" spans="1:439" ht="17" x14ac:dyDescent="0.2">
      <c r="A14" s="68"/>
      <c r="B14" s="95" t="s">
        <v>53</v>
      </c>
      <c r="C14" s="87"/>
      <c r="O14" s="16"/>
      <c r="P14" s="16"/>
      <c r="Q14" s="16"/>
      <c r="AM14" s="5"/>
      <c r="AO14" s="67" t="s">
        <v>91</v>
      </c>
      <c r="AR14" s="96">
        <v>4.0000000000000002E-4</v>
      </c>
      <c r="BN14" s="5"/>
      <c r="BP14" s="67" t="s">
        <v>91</v>
      </c>
      <c r="BS14" s="96">
        <v>4.0000000000000002E-4</v>
      </c>
      <c r="CO14" s="5"/>
      <c r="CT14" s="96">
        <v>44.6</v>
      </c>
      <c r="DQ14" s="5"/>
      <c r="DV14" s="96">
        <v>4.0000000000000002E-4</v>
      </c>
      <c r="EQ14" s="5"/>
      <c r="EV14" s="96">
        <v>44.6</v>
      </c>
      <c r="FQ14" s="5"/>
      <c r="FV14" s="96">
        <v>44.6</v>
      </c>
      <c r="GQ14" s="5"/>
      <c r="GV14" s="96">
        <v>44.6</v>
      </c>
      <c r="HQ14" s="5"/>
      <c r="HV14" s="96">
        <v>44.6</v>
      </c>
      <c r="IQ14" s="5"/>
      <c r="IV14" s="96">
        <v>44.6</v>
      </c>
      <c r="JQ14" s="5"/>
      <c r="JV14" s="96">
        <v>44.6</v>
      </c>
      <c r="KQ14" s="5"/>
      <c r="KV14" s="96">
        <v>44.6</v>
      </c>
      <c r="LQ14" s="5"/>
      <c r="LV14" s="96">
        <v>44.6</v>
      </c>
      <c r="MQ14" s="5"/>
      <c r="MV14" s="96">
        <v>44.6</v>
      </c>
      <c r="NQ14" s="5"/>
      <c r="NV14" s="96">
        <v>44.6</v>
      </c>
      <c r="OQ14" s="5"/>
      <c r="OV14" s="96">
        <v>44.6</v>
      </c>
    </row>
    <row r="15" spans="1:439" ht="17" hidden="1" x14ac:dyDescent="0.2">
      <c r="A15" s="68"/>
      <c r="B15" s="78" t="s">
        <v>26</v>
      </c>
      <c r="C15" s="87"/>
      <c r="O15" s="16"/>
      <c r="P15" s="16"/>
      <c r="Q15" s="16"/>
      <c r="AM15" s="5"/>
      <c r="AR15" s="97">
        <v>1000</v>
      </c>
      <c r="BN15" s="5"/>
      <c r="BS15" s="97">
        <v>1000</v>
      </c>
      <c r="CO15" s="5"/>
      <c r="CT15" s="97">
        <v>46</v>
      </c>
      <c r="DQ15" s="5"/>
      <c r="DV15" s="97">
        <v>4.0000000000000002E-4</v>
      </c>
      <c r="EQ15" s="5"/>
      <c r="EV15" s="97">
        <v>46</v>
      </c>
      <c r="FQ15" s="5"/>
      <c r="FV15" s="97">
        <v>46</v>
      </c>
      <c r="GQ15" s="5"/>
      <c r="GV15" s="97">
        <v>46</v>
      </c>
      <c r="HQ15" s="5"/>
      <c r="HV15" s="97">
        <v>46</v>
      </c>
      <c r="IQ15" s="5"/>
      <c r="IV15" s="97">
        <v>46</v>
      </c>
      <c r="JQ15" s="5"/>
      <c r="JV15" s="97">
        <v>46</v>
      </c>
      <c r="KQ15" s="5"/>
      <c r="KV15" s="97">
        <v>46</v>
      </c>
      <c r="LQ15" s="5"/>
      <c r="LV15" s="97">
        <v>46</v>
      </c>
      <c r="MQ15" s="5"/>
      <c r="MV15" s="97">
        <v>46</v>
      </c>
      <c r="NQ15" s="5"/>
      <c r="NV15" s="97">
        <v>46</v>
      </c>
      <c r="OQ15" s="5"/>
      <c r="OV15" s="97">
        <v>46</v>
      </c>
    </row>
    <row r="16" spans="1:439" x14ac:dyDescent="0.2">
      <c r="B16" s="47" t="s">
        <v>45</v>
      </c>
      <c r="C16" s="2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87"/>
    </row>
    <row r="20" spans="1:3" x14ac:dyDescent="0.2">
      <c r="A20" s="68"/>
      <c r="B20" s="68"/>
      <c r="C20" s="68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83" priority="5" stopIfTrue="1">
      <formula>IF($AL4&lt;&gt;"",1,0)</formula>
    </cfRule>
  </conditionalFormatting>
  <conditionalFormatting sqref="AS4:BS5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5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1" priority="48151" operator="between">
      <formula>AR$11</formula>
      <formula>1000</formula>
    </cfRule>
    <cfRule type="cellIs" dxfId="70" priority="48152" operator="between">
      <formula>AR$10</formula>
      <formula>AR$11</formula>
    </cfRule>
    <cfRule type="cellIs" dxfId="69" priority="48153" operator="between">
      <formula>AR$9</formula>
      <formula>AR$10</formula>
    </cfRule>
    <cfRule type="cellIs" dxfId="68" priority="48154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7" priority="48331" operator="between">
      <formula>AR$15</formula>
      <formula>1000</formula>
    </cfRule>
    <cfRule type="cellIs" dxfId="66" priority="48332" operator="between">
      <formula>AR$14</formula>
      <formula>AR$15</formula>
    </cfRule>
    <cfRule type="cellIs" dxfId="65" priority="48333" operator="between">
      <formula>AR$13</formula>
      <formula>AR$14</formula>
    </cfRule>
    <cfRule type="cellIs" dxfId="64" priority="48334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48511" operator="between">
      <formula>AR$8</formula>
      <formula>AR$9</formula>
    </cfRule>
    <cfRule type="cellIs" dxfId="62" priority="48512" operator="between">
      <formula>AR$9</formula>
      <formula>AR$10</formula>
    </cfRule>
    <cfRule type="cellIs" dxfId="61" priority="48513" operator="between">
      <formula>AR$10</formula>
      <formula>AR$11</formula>
    </cfRule>
    <cfRule type="cellIs" dxfId="60" priority="48514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48691" operator="between">
      <formula>AR$12</formula>
      <formula>AR$13</formula>
    </cfRule>
    <cfRule type="cellIs" dxfId="58" priority="48692" operator="between">
      <formula>AR$13</formula>
      <formula>AR$14</formula>
    </cfRule>
    <cfRule type="cellIs" dxfId="57" priority="48693" operator="between">
      <formula>AR$14</formula>
      <formula>AR$15</formula>
    </cfRule>
    <cfRule type="cellIs" dxfId="56" priority="48694" operator="between">
      <formula>AR$15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hidden="1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10" t="s">
        <v>5</v>
      </c>
      <c r="H1" s="107" t="s">
        <v>6</v>
      </c>
      <c r="I1" s="114" t="s">
        <v>81</v>
      </c>
      <c r="J1" s="108" t="s">
        <v>24</v>
      </c>
      <c r="K1" s="114" t="s">
        <v>82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4" t="s">
        <v>70</v>
      </c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 t="s">
        <v>71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4" t="s">
        <v>76</v>
      </c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6" t="s">
        <v>51</v>
      </c>
      <c r="CV1" s="106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4" t="s">
        <v>55</v>
      </c>
      <c r="OX1" s="104"/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</row>
    <row r="2" spans="1:439" x14ac:dyDescent="0.2">
      <c r="A2" s="107"/>
      <c r="B2" s="107"/>
      <c r="C2" s="107"/>
      <c r="D2" s="107"/>
      <c r="E2" s="107"/>
      <c r="F2" s="110"/>
      <c r="G2" s="110"/>
      <c r="H2" s="107"/>
      <c r="I2" s="114"/>
      <c r="J2" s="108"/>
      <c r="K2" s="114"/>
      <c r="L2" s="108"/>
      <c r="M2" s="108"/>
      <c r="N2" s="108"/>
      <c r="O2" s="109"/>
      <c r="P2" s="108"/>
      <c r="Q2" s="108"/>
      <c r="R2" s="102" t="s">
        <v>83</v>
      </c>
      <c r="S2" s="102"/>
      <c r="T2" s="102"/>
      <c r="U2" s="102"/>
      <c r="V2" s="102" t="s">
        <v>84</v>
      </c>
      <c r="W2" s="102"/>
      <c r="X2" s="102"/>
      <c r="Y2" s="102"/>
      <c r="Z2" s="102" t="s">
        <v>85</v>
      </c>
      <c r="AA2" s="102"/>
      <c r="AB2" s="102"/>
      <c r="AC2" s="102"/>
      <c r="AD2" s="102" t="s">
        <v>86</v>
      </c>
      <c r="AE2" s="102"/>
      <c r="AF2" s="102"/>
      <c r="AG2" s="102"/>
      <c r="AH2" s="111" t="s">
        <v>87</v>
      </c>
      <c r="AI2" s="111"/>
      <c r="AJ2" s="111"/>
      <c r="AK2" s="111"/>
      <c r="AL2" s="74"/>
      <c r="AM2" s="74" t="s">
        <v>88</v>
      </c>
      <c r="AN2" s="74" t="s">
        <v>89</v>
      </c>
      <c r="AO2" s="74" t="s">
        <v>85</v>
      </c>
      <c r="AP2" s="74" t="s">
        <v>56</v>
      </c>
      <c r="AQ2" s="74" t="s">
        <v>90</v>
      </c>
      <c r="AR2" s="74" t="s">
        <v>14</v>
      </c>
      <c r="AS2" s="103" t="s">
        <v>83</v>
      </c>
      <c r="AT2" s="103"/>
      <c r="AU2" s="103"/>
      <c r="AV2" s="103"/>
      <c r="AW2" s="103" t="s">
        <v>84</v>
      </c>
      <c r="AX2" s="103"/>
      <c r="AY2" s="103"/>
      <c r="AZ2" s="103"/>
      <c r="BA2" s="103" t="s">
        <v>85</v>
      </c>
      <c r="BB2" s="103"/>
      <c r="BC2" s="103"/>
      <c r="BD2" s="103"/>
      <c r="BE2" s="103" t="s">
        <v>86</v>
      </c>
      <c r="BF2" s="103"/>
      <c r="BG2" s="103"/>
      <c r="BH2" s="103"/>
      <c r="BI2" s="112" t="s">
        <v>87</v>
      </c>
      <c r="BJ2" s="112"/>
      <c r="BK2" s="112"/>
      <c r="BL2" s="112"/>
      <c r="BM2" s="73"/>
      <c r="BN2" s="73" t="s">
        <v>88</v>
      </c>
      <c r="BO2" s="73" t="s">
        <v>89</v>
      </c>
      <c r="BP2" s="73" t="s">
        <v>85</v>
      </c>
      <c r="BQ2" s="73" t="s">
        <v>56</v>
      </c>
      <c r="BR2" s="73" t="s">
        <v>90</v>
      </c>
      <c r="BS2" s="73" t="s">
        <v>14</v>
      </c>
      <c r="BT2" s="102" t="s">
        <v>83</v>
      </c>
      <c r="BU2" s="102"/>
      <c r="BV2" s="102"/>
      <c r="BW2" s="102"/>
      <c r="BX2" s="102" t="s">
        <v>84</v>
      </c>
      <c r="BY2" s="102"/>
      <c r="BZ2" s="102"/>
      <c r="CA2" s="102"/>
      <c r="CB2" s="102" t="s">
        <v>85</v>
      </c>
      <c r="CC2" s="102"/>
      <c r="CD2" s="102"/>
      <c r="CE2" s="102"/>
      <c r="CF2" s="102" t="s">
        <v>86</v>
      </c>
      <c r="CG2" s="102"/>
      <c r="CH2" s="102"/>
      <c r="CI2" s="102"/>
      <c r="CJ2" s="111" t="s">
        <v>87</v>
      </c>
      <c r="CK2" s="111"/>
      <c r="CL2" s="111"/>
      <c r="CM2" s="111"/>
      <c r="CN2" s="74"/>
      <c r="CO2" s="74" t="s">
        <v>88</v>
      </c>
      <c r="CP2" s="74" t="s">
        <v>89</v>
      </c>
      <c r="CQ2" s="74" t="s">
        <v>85</v>
      </c>
      <c r="CR2" s="74" t="s">
        <v>56</v>
      </c>
      <c r="CS2" s="74" t="s">
        <v>90</v>
      </c>
      <c r="CT2" s="74" t="s">
        <v>14</v>
      </c>
      <c r="CU2" s="80" t="s">
        <v>89</v>
      </c>
      <c r="CV2" s="80" t="s">
        <v>19</v>
      </c>
      <c r="CW2" s="102" t="s">
        <v>83</v>
      </c>
      <c r="CX2" s="102"/>
      <c r="CY2" s="102"/>
      <c r="CZ2" s="102"/>
      <c r="DA2" s="102" t="s">
        <v>84</v>
      </c>
      <c r="DB2" s="102"/>
      <c r="DC2" s="102"/>
      <c r="DD2" s="102"/>
      <c r="DE2" s="102" t="s">
        <v>85</v>
      </c>
      <c r="DF2" s="102"/>
      <c r="DG2" s="102"/>
      <c r="DH2" s="102"/>
      <c r="DI2" s="102" t="s">
        <v>86</v>
      </c>
      <c r="DJ2" s="102"/>
      <c r="DK2" s="102"/>
      <c r="DL2" s="102"/>
      <c r="DM2" s="113" t="s">
        <v>87</v>
      </c>
      <c r="DN2" s="113"/>
      <c r="DO2" s="113"/>
      <c r="DP2" s="113"/>
      <c r="DQ2" s="74" t="s">
        <v>88</v>
      </c>
      <c r="DR2" s="74" t="s">
        <v>89</v>
      </c>
      <c r="DS2" s="74" t="s">
        <v>85</v>
      </c>
      <c r="DT2" s="74" t="s">
        <v>56</v>
      </c>
      <c r="DU2" s="74" t="s">
        <v>90</v>
      </c>
      <c r="DV2" s="74" t="s">
        <v>14</v>
      </c>
      <c r="DW2" s="103" t="s">
        <v>83</v>
      </c>
      <c r="DX2" s="103"/>
      <c r="DY2" s="103"/>
      <c r="DZ2" s="103"/>
      <c r="EA2" s="103" t="s">
        <v>84</v>
      </c>
      <c r="EB2" s="103"/>
      <c r="EC2" s="103"/>
      <c r="ED2" s="103"/>
      <c r="EE2" s="103" t="s">
        <v>85</v>
      </c>
      <c r="EF2" s="103"/>
      <c r="EG2" s="103"/>
      <c r="EH2" s="103"/>
      <c r="EI2" s="103" t="s">
        <v>86</v>
      </c>
      <c r="EJ2" s="103"/>
      <c r="EK2" s="103"/>
      <c r="EL2" s="103"/>
      <c r="EM2" s="112" t="s">
        <v>87</v>
      </c>
      <c r="EN2" s="112"/>
      <c r="EO2" s="112"/>
      <c r="EP2" s="112"/>
      <c r="EQ2" s="73" t="s">
        <v>88</v>
      </c>
      <c r="ER2" s="73" t="s">
        <v>89</v>
      </c>
      <c r="ES2" s="73" t="s">
        <v>85</v>
      </c>
      <c r="ET2" s="73" t="s">
        <v>56</v>
      </c>
      <c r="EU2" s="73" t="s">
        <v>90</v>
      </c>
      <c r="EV2" s="73" t="s">
        <v>14</v>
      </c>
      <c r="EW2" s="102" t="s">
        <v>83</v>
      </c>
      <c r="EX2" s="102"/>
      <c r="EY2" s="102"/>
      <c r="EZ2" s="102"/>
      <c r="FA2" s="102" t="s">
        <v>84</v>
      </c>
      <c r="FB2" s="102"/>
      <c r="FC2" s="102"/>
      <c r="FD2" s="102"/>
      <c r="FE2" s="102" t="s">
        <v>85</v>
      </c>
      <c r="FF2" s="102"/>
      <c r="FG2" s="102"/>
      <c r="FH2" s="102"/>
      <c r="FI2" s="102" t="s">
        <v>86</v>
      </c>
      <c r="FJ2" s="102"/>
      <c r="FK2" s="102"/>
      <c r="FL2" s="102"/>
      <c r="FM2" s="113" t="s">
        <v>87</v>
      </c>
      <c r="FN2" s="113"/>
      <c r="FO2" s="113"/>
      <c r="FP2" s="113"/>
      <c r="FQ2" s="74" t="s">
        <v>88</v>
      </c>
      <c r="FR2" s="74" t="s">
        <v>89</v>
      </c>
      <c r="FS2" s="74" t="s">
        <v>85</v>
      </c>
      <c r="FT2" s="74" t="s">
        <v>56</v>
      </c>
      <c r="FU2" s="74" t="s">
        <v>90</v>
      </c>
      <c r="FV2" s="74" t="s">
        <v>14</v>
      </c>
      <c r="FW2" s="103" t="s">
        <v>83</v>
      </c>
      <c r="FX2" s="103"/>
      <c r="FY2" s="103"/>
      <c r="FZ2" s="103"/>
      <c r="GA2" s="103" t="s">
        <v>84</v>
      </c>
      <c r="GB2" s="103"/>
      <c r="GC2" s="103"/>
      <c r="GD2" s="103"/>
      <c r="GE2" s="103" t="s">
        <v>85</v>
      </c>
      <c r="GF2" s="103"/>
      <c r="GG2" s="103"/>
      <c r="GH2" s="103"/>
      <c r="GI2" s="103" t="s">
        <v>86</v>
      </c>
      <c r="GJ2" s="103"/>
      <c r="GK2" s="103"/>
      <c r="GL2" s="103"/>
      <c r="GM2" s="112" t="s">
        <v>87</v>
      </c>
      <c r="GN2" s="112"/>
      <c r="GO2" s="112"/>
      <c r="GP2" s="112"/>
      <c r="GQ2" s="73" t="s">
        <v>88</v>
      </c>
      <c r="GR2" s="73" t="s">
        <v>89</v>
      </c>
      <c r="GS2" s="73" t="s">
        <v>85</v>
      </c>
      <c r="GT2" s="73" t="s">
        <v>56</v>
      </c>
      <c r="GU2" s="73" t="s">
        <v>90</v>
      </c>
      <c r="GV2" s="73" t="s">
        <v>14</v>
      </c>
      <c r="GW2" s="102" t="s">
        <v>83</v>
      </c>
      <c r="GX2" s="102"/>
      <c r="GY2" s="102"/>
      <c r="GZ2" s="102"/>
      <c r="HA2" s="102" t="s">
        <v>84</v>
      </c>
      <c r="HB2" s="102"/>
      <c r="HC2" s="102"/>
      <c r="HD2" s="102"/>
      <c r="HE2" s="102" t="s">
        <v>85</v>
      </c>
      <c r="HF2" s="102"/>
      <c r="HG2" s="102"/>
      <c r="HH2" s="102"/>
      <c r="HI2" s="102" t="s">
        <v>86</v>
      </c>
      <c r="HJ2" s="102"/>
      <c r="HK2" s="102"/>
      <c r="HL2" s="102"/>
      <c r="HM2" s="113" t="s">
        <v>87</v>
      </c>
      <c r="HN2" s="113"/>
      <c r="HO2" s="113"/>
      <c r="HP2" s="113"/>
      <c r="HQ2" s="74" t="s">
        <v>88</v>
      </c>
      <c r="HR2" s="74" t="s">
        <v>89</v>
      </c>
      <c r="HS2" s="74" t="s">
        <v>85</v>
      </c>
      <c r="HT2" s="74" t="s">
        <v>56</v>
      </c>
      <c r="HU2" s="74" t="s">
        <v>90</v>
      </c>
      <c r="HV2" s="74" t="s">
        <v>14</v>
      </c>
      <c r="HW2" s="103" t="s">
        <v>83</v>
      </c>
      <c r="HX2" s="103"/>
      <c r="HY2" s="103"/>
      <c r="HZ2" s="103"/>
      <c r="IA2" s="103" t="s">
        <v>84</v>
      </c>
      <c r="IB2" s="103"/>
      <c r="IC2" s="103"/>
      <c r="ID2" s="103"/>
      <c r="IE2" s="103" t="s">
        <v>85</v>
      </c>
      <c r="IF2" s="103"/>
      <c r="IG2" s="103"/>
      <c r="IH2" s="103"/>
      <c r="II2" s="103" t="s">
        <v>86</v>
      </c>
      <c r="IJ2" s="103"/>
      <c r="IK2" s="103"/>
      <c r="IL2" s="103"/>
      <c r="IM2" s="112" t="s">
        <v>87</v>
      </c>
      <c r="IN2" s="112"/>
      <c r="IO2" s="112"/>
      <c r="IP2" s="112"/>
      <c r="IQ2" s="73" t="s">
        <v>88</v>
      </c>
      <c r="IR2" s="73" t="s">
        <v>89</v>
      </c>
      <c r="IS2" s="73" t="s">
        <v>85</v>
      </c>
      <c r="IT2" s="73" t="s">
        <v>56</v>
      </c>
      <c r="IU2" s="73" t="s">
        <v>90</v>
      </c>
      <c r="IV2" s="73" t="s">
        <v>14</v>
      </c>
      <c r="IW2" s="102" t="s">
        <v>83</v>
      </c>
      <c r="IX2" s="102"/>
      <c r="IY2" s="102"/>
      <c r="IZ2" s="102"/>
      <c r="JA2" s="102" t="s">
        <v>84</v>
      </c>
      <c r="JB2" s="102"/>
      <c r="JC2" s="102"/>
      <c r="JD2" s="102"/>
      <c r="JE2" s="102" t="s">
        <v>85</v>
      </c>
      <c r="JF2" s="102"/>
      <c r="JG2" s="102"/>
      <c r="JH2" s="102"/>
      <c r="JI2" s="102" t="s">
        <v>86</v>
      </c>
      <c r="JJ2" s="102"/>
      <c r="JK2" s="102"/>
      <c r="JL2" s="102"/>
      <c r="JM2" s="113" t="s">
        <v>87</v>
      </c>
      <c r="JN2" s="113"/>
      <c r="JO2" s="113"/>
      <c r="JP2" s="113"/>
      <c r="JQ2" s="74" t="s">
        <v>88</v>
      </c>
      <c r="JR2" s="74" t="s">
        <v>89</v>
      </c>
      <c r="JS2" s="74" t="s">
        <v>85</v>
      </c>
      <c r="JT2" s="74" t="s">
        <v>56</v>
      </c>
      <c r="JU2" s="74" t="s">
        <v>90</v>
      </c>
      <c r="JV2" s="74" t="s">
        <v>14</v>
      </c>
      <c r="JW2" s="103" t="s">
        <v>83</v>
      </c>
      <c r="JX2" s="103"/>
      <c r="JY2" s="103"/>
      <c r="JZ2" s="103"/>
      <c r="KA2" s="103" t="s">
        <v>84</v>
      </c>
      <c r="KB2" s="103"/>
      <c r="KC2" s="103"/>
      <c r="KD2" s="103"/>
      <c r="KE2" s="103" t="s">
        <v>85</v>
      </c>
      <c r="KF2" s="103"/>
      <c r="KG2" s="103"/>
      <c r="KH2" s="103"/>
      <c r="KI2" s="103" t="s">
        <v>86</v>
      </c>
      <c r="KJ2" s="103"/>
      <c r="KK2" s="103"/>
      <c r="KL2" s="103"/>
      <c r="KM2" s="112" t="s">
        <v>87</v>
      </c>
      <c r="KN2" s="112"/>
      <c r="KO2" s="112"/>
      <c r="KP2" s="112"/>
      <c r="KQ2" s="73" t="s">
        <v>88</v>
      </c>
      <c r="KR2" s="73" t="s">
        <v>89</v>
      </c>
      <c r="KS2" s="73" t="s">
        <v>85</v>
      </c>
      <c r="KT2" s="73" t="s">
        <v>56</v>
      </c>
      <c r="KU2" s="73" t="s">
        <v>90</v>
      </c>
      <c r="KV2" s="73" t="s">
        <v>14</v>
      </c>
      <c r="KW2" s="102" t="s">
        <v>83</v>
      </c>
      <c r="KX2" s="102"/>
      <c r="KY2" s="102"/>
      <c r="KZ2" s="102"/>
      <c r="LA2" s="102" t="s">
        <v>84</v>
      </c>
      <c r="LB2" s="102"/>
      <c r="LC2" s="102"/>
      <c r="LD2" s="102"/>
      <c r="LE2" s="102" t="s">
        <v>85</v>
      </c>
      <c r="LF2" s="102"/>
      <c r="LG2" s="102"/>
      <c r="LH2" s="102"/>
      <c r="LI2" s="102" t="s">
        <v>86</v>
      </c>
      <c r="LJ2" s="102"/>
      <c r="LK2" s="102"/>
      <c r="LL2" s="102"/>
      <c r="LM2" s="113" t="s">
        <v>87</v>
      </c>
      <c r="LN2" s="113"/>
      <c r="LO2" s="113"/>
      <c r="LP2" s="113"/>
      <c r="LQ2" s="74" t="s">
        <v>88</v>
      </c>
      <c r="LR2" s="74" t="s">
        <v>89</v>
      </c>
      <c r="LS2" s="74" t="s">
        <v>85</v>
      </c>
      <c r="LT2" s="74" t="s">
        <v>56</v>
      </c>
      <c r="LU2" s="74" t="s">
        <v>90</v>
      </c>
      <c r="LV2" s="74" t="s">
        <v>14</v>
      </c>
      <c r="LW2" s="103" t="s">
        <v>83</v>
      </c>
      <c r="LX2" s="103"/>
      <c r="LY2" s="103"/>
      <c r="LZ2" s="103"/>
      <c r="MA2" s="103" t="s">
        <v>84</v>
      </c>
      <c r="MB2" s="103"/>
      <c r="MC2" s="103"/>
      <c r="MD2" s="103"/>
      <c r="ME2" s="103" t="s">
        <v>85</v>
      </c>
      <c r="MF2" s="103"/>
      <c r="MG2" s="103"/>
      <c r="MH2" s="103"/>
      <c r="MI2" s="103" t="s">
        <v>86</v>
      </c>
      <c r="MJ2" s="103"/>
      <c r="MK2" s="103"/>
      <c r="ML2" s="103"/>
      <c r="MM2" s="112" t="s">
        <v>87</v>
      </c>
      <c r="MN2" s="112"/>
      <c r="MO2" s="112"/>
      <c r="MP2" s="112"/>
      <c r="MQ2" s="73" t="s">
        <v>88</v>
      </c>
      <c r="MR2" s="73" t="s">
        <v>89</v>
      </c>
      <c r="MS2" s="73" t="s">
        <v>85</v>
      </c>
      <c r="MT2" s="73" t="s">
        <v>56</v>
      </c>
      <c r="MU2" s="73" t="s">
        <v>90</v>
      </c>
      <c r="MV2" s="73" t="s">
        <v>14</v>
      </c>
      <c r="MW2" s="102" t="s">
        <v>83</v>
      </c>
      <c r="MX2" s="102"/>
      <c r="MY2" s="102"/>
      <c r="MZ2" s="102"/>
      <c r="NA2" s="102" t="s">
        <v>84</v>
      </c>
      <c r="NB2" s="102"/>
      <c r="NC2" s="102"/>
      <c r="ND2" s="102"/>
      <c r="NE2" s="102" t="s">
        <v>85</v>
      </c>
      <c r="NF2" s="102"/>
      <c r="NG2" s="102"/>
      <c r="NH2" s="102"/>
      <c r="NI2" s="102" t="s">
        <v>86</v>
      </c>
      <c r="NJ2" s="102"/>
      <c r="NK2" s="102"/>
      <c r="NL2" s="102"/>
      <c r="NM2" s="113" t="s">
        <v>87</v>
      </c>
      <c r="NN2" s="113"/>
      <c r="NO2" s="113"/>
      <c r="NP2" s="113"/>
      <c r="NQ2" s="74" t="s">
        <v>88</v>
      </c>
      <c r="NR2" s="74" t="s">
        <v>89</v>
      </c>
      <c r="NS2" s="74" t="s">
        <v>85</v>
      </c>
      <c r="NT2" s="74" t="s">
        <v>56</v>
      </c>
      <c r="NU2" s="74" t="s">
        <v>90</v>
      </c>
      <c r="NV2" s="74" t="s">
        <v>14</v>
      </c>
      <c r="NW2" s="103" t="s">
        <v>83</v>
      </c>
      <c r="NX2" s="103"/>
      <c r="NY2" s="103"/>
      <c r="NZ2" s="103"/>
      <c r="OA2" s="103" t="s">
        <v>84</v>
      </c>
      <c r="OB2" s="103"/>
      <c r="OC2" s="103"/>
      <c r="OD2" s="103"/>
      <c r="OE2" s="103" t="s">
        <v>85</v>
      </c>
      <c r="OF2" s="103"/>
      <c r="OG2" s="103"/>
      <c r="OH2" s="103"/>
      <c r="OI2" s="103" t="s">
        <v>86</v>
      </c>
      <c r="OJ2" s="103"/>
      <c r="OK2" s="103"/>
      <c r="OL2" s="103"/>
      <c r="OM2" s="112" t="s">
        <v>87</v>
      </c>
      <c r="ON2" s="112"/>
      <c r="OO2" s="112"/>
      <c r="OP2" s="112"/>
      <c r="OQ2" s="73" t="s">
        <v>88</v>
      </c>
      <c r="OR2" s="73" t="s">
        <v>89</v>
      </c>
      <c r="OS2" s="73" t="s">
        <v>85</v>
      </c>
      <c r="OT2" s="73" t="s">
        <v>56</v>
      </c>
      <c r="OU2" s="73" t="s">
        <v>90</v>
      </c>
      <c r="OV2" s="73" t="s">
        <v>14</v>
      </c>
      <c r="OW2" s="102" t="s">
        <v>83</v>
      </c>
      <c r="OX2" s="102"/>
      <c r="OY2" s="102"/>
      <c r="OZ2" s="102"/>
      <c r="PA2" s="102" t="s">
        <v>84</v>
      </c>
      <c r="PB2" s="102"/>
      <c r="PC2" s="102"/>
      <c r="PD2" s="102"/>
      <c r="PE2" s="102" t="s">
        <v>85</v>
      </c>
      <c r="PF2" s="102"/>
      <c r="PG2" s="102"/>
      <c r="PH2" s="102"/>
      <c r="PI2" s="102" t="s">
        <v>86</v>
      </c>
      <c r="PJ2" s="102"/>
      <c r="PK2" s="102"/>
      <c r="PL2" s="102"/>
      <c r="PM2" s="111" t="s">
        <v>87</v>
      </c>
      <c r="PN2" s="111"/>
      <c r="PO2" s="111"/>
      <c r="PP2" s="111"/>
      <c r="PQ2" s="74"/>
      <c r="PR2" s="74" t="s">
        <v>88</v>
      </c>
      <c r="PS2" s="74" t="s">
        <v>89</v>
      </c>
      <c r="PT2" s="74" t="s">
        <v>85</v>
      </c>
      <c r="PU2" s="74" t="s">
        <v>56</v>
      </c>
      <c r="PV2" s="74" t="s">
        <v>90</v>
      </c>
      <c r="PW2" s="74" t="s">
        <v>14</v>
      </c>
    </row>
    <row r="3" spans="1:439" x14ac:dyDescent="0.2">
      <c r="A3" s="107"/>
      <c r="B3" s="107"/>
      <c r="C3" s="107"/>
      <c r="D3" s="107"/>
      <c r="E3" s="107"/>
      <c r="F3" s="110"/>
      <c r="G3" s="110"/>
      <c r="H3" s="107"/>
      <c r="I3" s="114"/>
      <c r="J3" s="108"/>
      <c r="K3" s="114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 t="str">
        <f>IF(AND(F4="P",G4="P"),SUMPRODUCT((F$4:F$5="P")*(G$4:G$5="P")*(E$4:E$5&gt;E4))+1,IF(G4="P",SUMPRODUCT((F$4:F$5="")*(G$4:G$5="P")*(E$4:E$5&gt;E4))+1+SUMPRODUCT((F$4:F$5="P")*(G$4:G$5="P")),""))</f>
        <v/>
      </c>
      <c r="B4" s="68" t="s">
        <v>65</v>
      </c>
      <c r="C4" s="5"/>
      <c r="D4" s="5"/>
      <c r="E4" s="15">
        <f>SUM(I4:O4)+SUM(I4:M4)*0.0000001+SUM(I4)*0.0000000000001</f>
        <v>0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/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/>
      </c>
      <c r="H4" s="6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/>
      </c>
      <c r="I4" s="14">
        <f>IF(COUNT(AN4,BO4,CP4)&gt;0,LARGE((AN4,BO4,CP4),1),0)</f>
        <v>0</v>
      </c>
      <c r="J4" s="14" t="str">
        <f>IF(I4=0,"",IF(I4=CP4,$BT$1,IF(I4=BO4,$AS$1,IF(I4=AN4,$R$1,""))))</f>
        <v/>
      </c>
      <c r="K4" s="14">
        <f>IF(COUNT(AN4,BO4,CP4)&gt;1,LARGE((AN4,BO4,CP4),2),0)</f>
        <v>0</v>
      </c>
      <c r="L4" s="14" t="str">
        <f>IF(K4=0,"",IF(K4=CP4,$BT$1,IF(K4=BO4,$AS$1,IF(K4=AN4,$R$1,""))))</f>
        <v/>
      </c>
      <c r="M4" s="14">
        <f>IF(MAX(AQ4,BR4,CS4)&gt;0,MAX(AQ4,BR4,CS4),0)</f>
        <v>0</v>
      </c>
      <c r="N4" s="14" t="str">
        <f>IF(M4=0,"",IF(M4=CS4,$BT$1,IF(M4=BR4,$AS$1,IF(M4=AQ4,$R$1,""))))</f>
        <v/>
      </c>
      <c r="O4" s="14" t="str">
        <f>IF(MAX(CU4:CV4)&gt;0,MAX(CU4:CV4),"")</f>
        <v/>
      </c>
      <c r="P4" s="20" t="str">
        <f>IF(O4="","",IF(O4=CU4,"("&amp;CU$2&amp;")",IF(O4=CV4,"("&amp;CV$2&amp;")")))</f>
        <v/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5"/>
      <c r="AM4" s="81" t="str">
        <f>IF(SUM(S4,W4)&gt;0,SUM(S4,W4),"")</f>
        <v/>
      </c>
      <c r="AN4" s="81" t="str">
        <f>IF(SUM(R4:S4,U4:W4,Y4)-T4-X4&gt;0,SUM(R4:S4,U4:W4,Y4)-T4-X4,"")</f>
        <v/>
      </c>
      <c r="AO4" s="81" t="str">
        <f>IF(SUM(Z4:AA4,AC4)-AB4&gt;0,SUM(Z4:AA4,AC4)-AB4,"")</f>
        <v/>
      </c>
      <c r="AP4" s="81" t="str">
        <f>IF(SUM(AE4,AI4)&gt;0,SUM(AE4,AI4),"")</f>
        <v/>
      </c>
      <c r="AQ4" s="81" t="str">
        <f>IF(SUM(AD4:AE4,AG4:AI4,AK4)-SUM(AF4,AJ4)&gt;0,SUM(AD4:AE4,AG4:AI4,AK4)-SUM(AF4,AJ4),"")</f>
        <v/>
      </c>
      <c r="AR4" s="81" t="str">
        <f>IF(SUM(AN4,AQ4)&gt;0,SUM(AN4,AQ4),"")</f>
        <v/>
      </c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46"/>
      <c r="BN4" s="20" t="str">
        <f>IF(SUM(AT4,AX4)&gt;0,SUM(AT4,AX4),"")</f>
        <v/>
      </c>
      <c r="BO4" s="20" t="str">
        <f>IF(SUM(AS4:AT4,AV4:AX4,AZ4)-AU4-AY4&gt;0,SUM(AS4:AT4,AV4:AX4,AZ4)-AU4-AY4,"")</f>
        <v/>
      </c>
      <c r="BP4" s="20" t="str">
        <f>IF(SUM(BA4:BB4,BD4)-BC4&gt;0,SUM(BA4:BB4,BD4)-BC4,"")</f>
        <v/>
      </c>
      <c r="BQ4" s="20" t="str">
        <f>IF(SUM(BF4,BJ4)&gt;0,SUM(BF4,BJ4),"")</f>
        <v/>
      </c>
      <c r="BR4" s="20" t="str">
        <f>IF(SUM(BE4:BF4,BH4:BJ4,BL4)-SUM(BG4,BK4)&gt;0,SUM(BE4:BF4,BH4:BJ4,BL4)-SUM(BG4,BK4),"")</f>
        <v/>
      </c>
      <c r="BS4" s="20" t="str">
        <f>IF(SUM(BO4,BR4)&gt;0,SUM(BO4,BR4),"")</f>
        <v/>
      </c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45"/>
      <c r="CO4" s="81" t="str">
        <f>IF(SUM(BU4,BY4)&gt;0,SUM(BU4,BY4),"")</f>
        <v/>
      </c>
      <c r="CP4" s="81" t="str">
        <f>IF(SUM(BT4:BU4,BW4:BY4,CA4)-BV4-BZ4&gt;0,SUM(BT4:BU4,BW4:BY4,CA4)-BV4-BZ4,"")</f>
        <v/>
      </c>
      <c r="CQ4" s="81" t="str">
        <f>IF(SUM(CB4:CC4,CE4)-CD4&gt;0,SUM(CB4:CC4,CE4)-CD4,"")</f>
        <v/>
      </c>
      <c r="CR4" s="81" t="str">
        <f>IF(SUM(CG4,CK4)&gt;0,SUM(CG4,CK4),"")</f>
        <v/>
      </c>
      <c r="CS4" s="81" t="str">
        <f>IF(SUM(CF4:CG4,CI4:CK4,CM4)-SUM(CH4,CL4)&gt;0,SUM(CF4:CG4,CI4:CK4,CM4)-SUM(CH4,CL4),"")</f>
        <v/>
      </c>
      <c r="CT4" s="81" t="str">
        <f>IF(SUM(CP4,CS4)&gt;0,SUM(CP4,CS4),"")</f>
        <v/>
      </c>
      <c r="CU4" s="82" t="str">
        <f>IF(MAX(DR4,ER4,FR4,GR4,HR4,IR4,JR4,KR4,LR4,MR4,NR4,OR4)-IF(K4="",0,K4)&gt;0.001,MAX(DR4,ER4,FR4,GR4,HR4,IR4,JR4,KR4,LR4,MR4,NR4,OR4)-IF(K4="",0,K4),"")</f>
        <v/>
      </c>
      <c r="CV4" s="82" t="str">
        <f>IF(MAX(DU4,EU4,FU4,GU4,HU4,IU4,JU4,KU4,LU4,MU4,NU4,OU4)-IF(M4="",0,M4)&gt;0.001,MAX(DU4,EU4,FU4,GU4,HU4,IU4,JU4,KU4,LU4,MU4,NU4,OU4)-IF(M4="",0,M4),"")</f>
        <v/>
      </c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81" t="str">
        <f>IF(SUM(CX4,DB4)&gt;0,SUM(CX4,DB4),"")</f>
        <v/>
      </c>
      <c r="DR4" s="81" t="str">
        <f>IF(SUM(CW4:CX4,CZ4:DB4,DD4)-CY4-DC4&gt;0,SUM(CW4:CX4,CZ4:DB4,DD4)-CY4-DC4,"")</f>
        <v/>
      </c>
      <c r="DS4" s="81" t="str">
        <f>IF(SUM(DE4:DF4,DH4)-DG4&gt;0,SUM(DE4:DF4,DH4)-DG4,"")</f>
        <v/>
      </c>
      <c r="DT4" s="81" t="str">
        <f>IF(SUM(DJ4,DN4)&gt;0,SUM(DJ4,DN4),"")</f>
        <v/>
      </c>
      <c r="DU4" s="81" t="str">
        <f>IF(SUM(DI4:DJ4,DL4:DN4,DP4)-SUM(DK4,DO4)&gt;0,SUM(DI4:DJ4,DL4:DN4,DP4)-SUM(DK4,DO4),"")</f>
        <v/>
      </c>
      <c r="DV4" s="81" t="str">
        <f>IF(SUM(DR4,DU4)&gt;0,SUM(DR4,DU4),"")</f>
        <v/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 t="shared" ref="OW4:PP4" si="0">IF($CN4="P",BT4,(BT4+AS4)/2)</f>
        <v>0</v>
      </c>
      <c r="OX4" s="38">
        <f t="shared" si="0"/>
        <v>0</v>
      </c>
      <c r="OY4" s="38">
        <f t="shared" si="0"/>
        <v>0</v>
      </c>
      <c r="OZ4" s="38">
        <f t="shared" si="0"/>
        <v>0</v>
      </c>
      <c r="PA4" s="38">
        <f t="shared" si="0"/>
        <v>0</v>
      </c>
      <c r="PB4" s="38">
        <f t="shared" si="0"/>
        <v>0</v>
      </c>
      <c r="PC4" s="38">
        <f t="shared" si="0"/>
        <v>0</v>
      </c>
      <c r="PD4" s="38">
        <f t="shared" si="0"/>
        <v>0</v>
      </c>
      <c r="PE4" s="38">
        <f t="shared" si="0"/>
        <v>0</v>
      </c>
      <c r="PF4" s="38">
        <f t="shared" si="0"/>
        <v>0</v>
      </c>
      <c r="PG4" s="38">
        <f t="shared" si="0"/>
        <v>0</v>
      </c>
      <c r="PH4" s="38">
        <f t="shared" si="0"/>
        <v>0</v>
      </c>
      <c r="PI4" s="38">
        <f t="shared" si="0"/>
        <v>0</v>
      </c>
      <c r="PJ4" s="38">
        <f t="shared" si="0"/>
        <v>0</v>
      </c>
      <c r="PK4" s="38">
        <f t="shared" si="0"/>
        <v>0</v>
      </c>
      <c r="PL4" s="38">
        <f t="shared" si="0"/>
        <v>0</v>
      </c>
      <c r="PM4" s="38">
        <f t="shared" si="0"/>
        <v>0</v>
      </c>
      <c r="PN4" s="38">
        <f t="shared" si="0"/>
        <v>0</v>
      </c>
      <c r="PO4" s="38">
        <f t="shared" si="0"/>
        <v>0</v>
      </c>
      <c r="PP4" s="38">
        <f t="shared" si="0"/>
        <v>0</v>
      </c>
      <c r="PQ4" s="45" t="s">
        <v>44</v>
      </c>
      <c r="PR4" s="81" t="str">
        <f>IF(SUM(OX4,PB4)&gt;0,SUM(OX4,PB4),"")</f>
        <v/>
      </c>
      <c r="PS4" s="81" t="str">
        <f>IF(SUM(OW4:OX4,OZ4:PB4,PD4)-OY4-PC4&gt;0,SUM(OW4:OX4,OZ4:PB4,PD4)-OY4-PC4,"")</f>
        <v/>
      </c>
      <c r="PT4" s="81" t="str">
        <f>IF(SUM(PE4:PF4,PH4)-PG4&gt;0,SUM(PE4:PF4,PH4)-PG4,"")</f>
        <v/>
      </c>
      <c r="PU4" s="81" t="str">
        <f>IF(SUM(PJ4,PN4)&gt;0,SUM(PJ4,PN4),"")</f>
        <v/>
      </c>
      <c r="PV4" s="81" t="str">
        <f>IF(SUM(PI4:PJ4,PL4:PN4,PP4)-SUM(PK4,PO4)&gt;0,SUM(PI4:PJ4,PL4:PN4,PP4)-SUM(PK4,PO4),"")</f>
        <v/>
      </c>
      <c r="PW4" s="81" t="str">
        <f>IF(SUM(PS4,PV4)&gt;0,SUM(PS4,PV4),"")</f>
        <v/>
      </c>
    </row>
    <row r="5" spans="1:439" ht="17" x14ac:dyDescent="0.2">
      <c r="O5" s="16"/>
      <c r="P5" s="16"/>
      <c r="Q5" s="16"/>
    </row>
    <row r="6" spans="1:439" ht="17" x14ac:dyDescent="0.2">
      <c r="O6" s="16"/>
      <c r="P6" s="16"/>
      <c r="Q6" s="16"/>
    </row>
    <row r="7" spans="1:439" ht="17" x14ac:dyDescent="0.2">
      <c r="B7" s="83" t="s">
        <v>42</v>
      </c>
      <c r="O7" s="16"/>
      <c r="P7" s="16"/>
      <c r="Q7" s="16"/>
      <c r="AM7" s="5"/>
      <c r="AR7" s="84">
        <v>12</v>
      </c>
      <c r="BN7" s="5"/>
      <c r="BS7" s="84">
        <v>12</v>
      </c>
      <c r="CO7" s="5"/>
      <c r="CT7" s="84">
        <v>11.6</v>
      </c>
      <c r="DQ7" s="5"/>
      <c r="DV7" s="84">
        <v>11.6</v>
      </c>
      <c r="EQ7" s="5"/>
      <c r="EV7" s="84">
        <v>11.6</v>
      </c>
      <c r="FQ7" s="5"/>
      <c r="FV7" s="84">
        <v>11.6</v>
      </c>
      <c r="GQ7" s="5"/>
      <c r="GV7" s="84">
        <v>11.6</v>
      </c>
      <c r="HQ7" s="5"/>
      <c r="HV7" s="84">
        <v>11.6</v>
      </c>
      <c r="IQ7" s="5"/>
      <c r="IV7" s="84">
        <v>11.6</v>
      </c>
      <c r="JQ7" s="5"/>
      <c r="JV7" s="84">
        <v>11.6</v>
      </c>
      <c r="KQ7" s="5"/>
      <c r="KV7" s="84">
        <v>11.6</v>
      </c>
      <c r="LQ7" s="5"/>
      <c r="LV7" s="84">
        <v>11.6</v>
      </c>
      <c r="MQ7" s="5"/>
      <c r="MV7" s="84">
        <v>11.6</v>
      </c>
      <c r="NQ7" s="5"/>
      <c r="NV7" s="84">
        <v>11.6</v>
      </c>
      <c r="OQ7" s="5"/>
      <c r="OV7" s="84">
        <v>11.6</v>
      </c>
    </row>
    <row r="8" spans="1:439" ht="17" hidden="1" x14ac:dyDescent="0.2">
      <c r="B8" s="85" t="s">
        <v>41</v>
      </c>
      <c r="O8" s="16"/>
      <c r="P8" s="16"/>
      <c r="Q8" s="16"/>
      <c r="AM8" s="5"/>
      <c r="AR8" s="86">
        <f>AR9</f>
        <v>12</v>
      </c>
      <c r="BN8" s="5"/>
      <c r="BS8" s="86">
        <f>BS9</f>
        <v>12</v>
      </c>
      <c r="CO8" s="5"/>
      <c r="CT8" s="86">
        <f>CT9</f>
        <v>12</v>
      </c>
      <c r="DQ8" s="5"/>
      <c r="DV8" s="86">
        <f>DV9</f>
        <v>12</v>
      </c>
      <c r="EQ8" s="5"/>
      <c r="EV8" s="86">
        <f>EV9</f>
        <v>12</v>
      </c>
      <c r="FQ8" s="5"/>
      <c r="FV8" s="86">
        <f>FV9</f>
        <v>12</v>
      </c>
      <c r="GQ8" s="5"/>
      <c r="GV8" s="86">
        <f>GV9</f>
        <v>12</v>
      </c>
      <c r="HQ8" s="5"/>
      <c r="HV8" s="86">
        <f>HV9</f>
        <v>12</v>
      </c>
      <c r="IQ8" s="5"/>
      <c r="IV8" s="86">
        <f>IV9</f>
        <v>12</v>
      </c>
      <c r="JQ8" s="5"/>
      <c r="JV8" s="86">
        <f>JV9</f>
        <v>12</v>
      </c>
      <c r="KQ8" s="5"/>
      <c r="KV8" s="86">
        <f>KV9</f>
        <v>12</v>
      </c>
      <c r="LQ8" s="5"/>
      <c r="LV8" s="86">
        <f>LV9</f>
        <v>12</v>
      </c>
      <c r="MQ8" s="5"/>
      <c r="MV8" s="86">
        <f>MV9</f>
        <v>12</v>
      </c>
      <c r="NQ8" s="5"/>
      <c r="NV8" s="86">
        <f>NV9</f>
        <v>12</v>
      </c>
      <c r="OQ8" s="5"/>
      <c r="OV8" s="86">
        <f>OV9</f>
        <v>12</v>
      </c>
    </row>
    <row r="9" spans="1:439" ht="17" x14ac:dyDescent="0.2">
      <c r="A9" s="68"/>
      <c r="B9" s="79" t="s">
        <v>54</v>
      </c>
      <c r="C9" s="87"/>
      <c r="O9" s="16"/>
      <c r="P9" s="16"/>
      <c r="Q9" s="16"/>
      <c r="AM9" s="5"/>
      <c r="AR9" s="88">
        <v>12</v>
      </c>
      <c r="BN9" s="5"/>
      <c r="BS9" s="88">
        <v>12</v>
      </c>
      <c r="CO9" s="5"/>
      <c r="CT9" s="88">
        <v>12</v>
      </c>
      <c r="DQ9" s="5"/>
      <c r="DV9" s="88">
        <v>12</v>
      </c>
      <c r="EQ9" s="5"/>
      <c r="EV9" s="88">
        <v>12</v>
      </c>
      <c r="FQ9" s="5"/>
      <c r="FV9" s="88">
        <v>12</v>
      </c>
      <c r="GQ9" s="5"/>
      <c r="GV9" s="88">
        <v>12</v>
      </c>
      <c r="HQ9" s="5"/>
      <c r="HV9" s="88">
        <v>12</v>
      </c>
      <c r="IQ9" s="5"/>
      <c r="IV9" s="88">
        <v>12</v>
      </c>
      <c r="JQ9" s="5"/>
      <c r="JV9" s="88">
        <v>12</v>
      </c>
      <c r="KQ9" s="5"/>
      <c r="KV9" s="88">
        <v>12</v>
      </c>
      <c r="LQ9" s="5"/>
      <c r="LV9" s="88">
        <v>12</v>
      </c>
      <c r="MQ9" s="5"/>
      <c r="MV9" s="88">
        <v>12</v>
      </c>
      <c r="NQ9" s="5"/>
      <c r="NV9" s="88">
        <v>12</v>
      </c>
      <c r="OQ9" s="5"/>
      <c r="OV9" s="88">
        <v>12</v>
      </c>
    </row>
    <row r="10" spans="1:439" ht="17" hidden="1" x14ac:dyDescent="0.2">
      <c r="A10" s="68"/>
      <c r="B10" s="89" t="s">
        <v>59</v>
      </c>
      <c r="C10" s="87"/>
      <c r="O10" s="16"/>
      <c r="P10" s="16"/>
      <c r="Q10" s="16"/>
      <c r="AM10" s="5"/>
      <c r="AR10" s="98">
        <v>1000</v>
      </c>
      <c r="BN10" s="5"/>
      <c r="BS10" s="98">
        <v>1000</v>
      </c>
      <c r="CO10" s="5"/>
      <c r="CT10" s="98">
        <v>1000</v>
      </c>
      <c r="DQ10" s="5"/>
      <c r="DV10" s="98">
        <v>1000</v>
      </c>
      <c r="EQ10" s="5"/>
      <c r="EV10" s="98">
        <v>1000</v>
      </c>
      <c r="FQ10" s="5"/>
      <c r="FV10" s="98">
        <v>1000</v>
      </c>
      <c r="GQ10" s="5"/>
      <c r="GV10" s="98">
        <v>1000</v>
      </c>
      <c r="HQ10" s="5"/>
      <c r="HV10" s="98">
        <v>1000</v>
      </c>
      <c r="IQ10" s="5"/>
      <c r="IV10" s="98">
        <v>1000</v>
      </c>
      <c r="JQ10" s="5"/>
      <c r="JV10" s="98">
        <v>1000</v>
      </c>
      <c r="KQ10" s="5"/>
      <c r="KV10" s="98">
        <v>1000</v>
      </c>
      <c r="LQ10" s="5"/>
      <c r="LV10" s="98">
        <v>1000</v>
      </c>
      <c r="MQ10" s="5"/>
      <c r="MV10" s="98">
        <v>1000</v>
      </c>
      <c r="NQ10" s="5"/>
      <c r="NV10" s="98">
        <v>1000</v>
      </c>
      <c r="OQ10" s="5"/>
      <c r="OV10" s="98">
        <v>1000</v>
      </c>
    </row>
    <row r="11" spans="1:439" ht="17" x14ac:dyDescent="0.2">
      <c r="A11" s="68"/>
      <c r="B11" s="91" t="s">
        <v>39</v>
      </c>
      <c r="C11" s="87"/>
      <c r="O11" s="16"/>
      <c r="P11" s="16"/>
      <c r="Q11" s="16"/>
      <c r="AM11" s="5"/>
      <c r="AR11" s="99">
        <v>67.2</v>
      </c>
      <c r="BN11" s="5"/>
      <c r="BS11" s="99">
        <v>67.2</v>
      </c>
      <c r="CO11" s="5"/>
      <c r="CT11" s="99">
        <v>48.4</v>
      </c>
      <c r="DQ11" s="5"/>
      <c r="DV11" s="99">
        <v>48.4</v>
      </c>
      <c r="EQ11" s="5"/>
      <c r="EV11" s="99">
        <v>48.4</v>
      </c>
      <c r="FQ11" s="5"/>
      <c r="FV11" s="99">
        <v>48.4</v>
      </c>
      <c r="GQ11" s="5"/>
      <c r="GV11" s="99">
        <v>48.4</v>
      </c>
      <c r="HQ11" s="5"/>
      <c r="HV11" s="99">
        <v>48.4</v>
      </c>
      <c r="IQ11" s="5"/>
      <c r="IV11" s="99">
        <v>48.4</v>
      </c>
      <c r="JQ11" s="5"/>
      <c r="JV11" s="99">
        <v>48.4</v>
      </c>
      <c r="KQ11" s="5"/>
      <c r="KV11" s="99">
        <v>48.4</v>
      </c>
      <c r="LQ11" s="5"/>
      <c r="LV11" s="99">
        <v>48.4</v>
      </c>
      <c r="MQ11" s="5"/>
      <c r="MV11" s="99">
        <v>48.4</v>
      </c>
      <c r="NQ11" s="5"/>
      <c r="NV11" s="99">
        <v>48.4</v>
      </c>
      <c r="OQ11" s="5"/>
      <c r="OV11" s="99">
        <v>48.4</v>
      </c>
    </row>
    <row r="12" spans="1:439" ht="17" hidden="1" x14ac:dyDescent="0.2">
      <c r="A12" s="68"/>
      <c r="B12" s="93" t="s">
        <v>40</v>
      </c>
      <c r="C12" s="87"/>
      <c r="O12" s="16"/>
      <c r="P12" s="16"/>
      <c r="Q12" s="16"/>
      <c r="AM12" s="5"/>
      <c r="AR12" s="94">
        <f>AR13</f>
        <v>69.599999999999994</v>
      </c>
      <c r="BN12" s="5"/>
      <c r="BS12" s="94">
        <f>BS13</f>
        <v>69.599999999999994</v>
      </c>
      <c r="CO12" s="5"/>
      <c r="CT12" s="94">
        <f>CT13</f>
        <v>49.8</v>
      </c>
      <c r="DQ12" s="5"/>
      <c r="DV12" s="94">
        <f>DV13</f>
        <v>49.8</v>
      </c>
      <c r="EQ12" s="5"/>
      <c r="EV12" s="94">
        <f>EV13</f>
        <v>49.8</v>
      </c>
      <c r="FQ12" s="5"/>
      <c r="FV12" s="94">
        <f>FV13</f>
        <v>49.8</v>
      </c>
      <c r="GQ12" s="5"/>
      <c r="GV12" s="94">
        <f>GV13</f>
        <v>49.8</v>
      </c>
      <c r="HQ12" s="5"/>
      <c r="HV12" s="94">
        <f>HV13</f>
        <v>49.8</v>
      </c>
      <c r="IQ12" s="5"/>
      <c r="IV12" s="94">
        <f>IV13</f>
        <v>49.8</v>
      </c>
      <c r="JQ12" s="5"/>
      <c r="JV12" s="94">
        <f>JV13</f>
        <v>49.8</v>
      </c>
      <c r="KQ12" s="5"/>
      <c r="KV12" s="94">
        <f>KV13</f>
        <v>49.8</v>
      </c>
      <c r="LQ12" s="5"/>
      <c r="LV12" s="94">
        <f>LV13</f>
        <v>49.8</v>
      </c>
      <c r="MQ12" s="5"/>
      <c r="MV12" s="94">
        <f>MV13</f>
        <v>49.8</v>
      </c>
      <c r="NQ12" s="5"/>
      <c r="NV12" s="94">
        <f>NV13</f>
        <v>49.8</v>
      </c>
      <c r="OQ12" s="5"/>
      <c r="OV12" s="94">
        <f>OV13</f>
        <v>49.8</v>
      </c>
    </row>
    <row r="13" spans="1:439" ht="17" x14ac:dyDescent="0.2">
      <c r="A13" s="68"/>
      <c r="B13" s="95" t="s">
        <v>53</v>
      </c>
      <c r="C13" s="87"/>
      <c r="O13" s="16"/>
      <c r="P13" s="16"/>
      <c r="Q13" s="16"/>
      <c r="AM13" s="5"/>
      <c r="AR13" s="96">
        <v>69.599999999999994</v>
      </c>
      <c r="BN13" s="5"/>
      <c r="BS13" s="96">
        <v>69.599999999999994</v>
      </c>
      <c r="CO13" s="5"/>
      <c r="CT13" s="96">
        <v>49.8</v>
      </c>
      <c r="DQ13" s="5"/>
      <c r="DV13" s="96">
        <v>49.8</v>
      </c>
      <c r="EQ13" s="5"/>
      <c r="EV13" s="96">
        <v>49.8</v>
      </c>
      <c r="FQ13" s="5"/>
      <c r="FV13" s="96">
        <v>49.8</v>
      </c>
      <c r="GQ13" s="5"/>
      <c r="GV13" s="96">
        <v>49.8</v>
      </c>
      <c r="HQ13" s="5"/>
      <c r="HV13" s="96">
        <v>49.8</v>
      </c>
      <c r="IQ13" s="5"/>
      <c r="IV13" s="96">
        <v>49.8</v>
      </c>
      <c r="JQ13" s="5"/>
      <c r="JV13" s="96">
        <v>49.8</v>
      </c>
      <c r="KQ13" s="5"/>
      <c r="KV13" s="96">
        <v>49.8</v>
      </c>
      <c r="LQ13" s="5"/>
      <c r="LV13" s="96">
        <v>49.8</v>
      </c>
      <c r="MQ13" s="5"/>
      <c r="MV13" s="96">
        <v>49.8</v>
      </c>
      <c r="NQ13" s="5"/>
      <c r="NV13" s="96">
        <v>49.8</v>
      </c>
      <c r="OQ13" s="5"/>
      <c r="OV13" s="96">
        <v>49.8</v>
      </c>
    </row>
    <row r="14" spans="1:439" ht="17" hidden="1" x14ac:dyDescent="0.2">
      <c r="A14" s="68"/>
      <c r="B14" s="78" t="s">
        <v>26</v>
      </c>
      <c r="C14" s="87"/>
      <c r="O14" s="16"/>
      <c r="P14" s="16"/>
      <c r="Q14" s="16"/>
      <c r="AM14" s="5"/>
      <c r="AR14" s="97">
        <v>1000</v>
      </c>
      <c r="BN14" s="5"/>
      <c r="BS14" s="97">
        <v>1000</v>
      </c>
      <c r="CO14" s="5"/>
      <c r="CT14" s="97">
        <v>1000</v>
      </c>
      <c r="DQ14" s="5"/>
      <c r="DV14" s="97">
        <v>1000</v>
      </c>
      <c r="EQ14" s="5"/>
      <c r="EV14" s="97">
        <v>1000</v>
      </c>
      <c r="FQ14" s="5"/>
      <c r="FV14" s="97">
        <v>1000</v>
      </c>
      <c r="GQ14" s="5"/>
      <c r="GV14" s="97">
        <v>1000</v>
      </c>
      <c r="HQ14" s="5"/>
      <c r="HV14" s="97">
        <v>1000</v>
      </c>
      <c r="IQ14" s="5"/>
      <c r="IV14" s="97">
        <v>1000</v>
      </c>
      <c r="JQ14" s="5"/>
      <c r="JV14" s="97">
        <v>1000</v>
      </c>
      <c r="KQ14" s="5"/>
      <c r="KV14" s="97">
        <v>1000</v>
      </c>
      <c r="LQ14" s="5"/>
      <c r="LV14" s="97">
        <v>1000</v>
      </c>
      <c r="MQ14" s="5"/>
      <c r="MV14" s="97">
        <v>1000</v>
      </c>
      <c r="NQ14" s="5"/>
      <c r="NV14" s="97">
        <v>1000</v>
      </c>
      <c r="OQ14" s="5"/>
      <c r="OV14" s="97">
        <v>1000</v>
      </c>
    </row>
    <row r="15" spans="1:439" x14ac:dyDescent="0.2">
      <c r="B15" s="47" t="s">
        <v>45</v>
      </c>
      <c r="C15" s="2"/>
    </row>
    <row r="16" spans="1:439" x14ac:dyDescent="0.2">
      <c r="A16" s="68"/>
      <c r="B16" s="68"/>
      <c r="C16" s="87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68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4">
      <sortCondition descending="1" ref="F1:F5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4">
    <cfRule type="expression" dxfId="55" priority="1" stopIfTrue="1">
      <formula>IF($AL4&lt;&gt;"",1,0)</formula>
    </cfRule>
  </conditionalFormatting>
  <conditionalFormatting sqref="AS4:BS4">
    <cfRule type="expression" dxfId="54" priority="2" stopIfTrue="1">
      <formula>IF($BM4&lt;&gt;"",1,0)</formula>
    </cfRule>
  </conditionalFormatting>
  <conditionalFormatting sqref="J1:J1048576 L1:L1048576 N1:N1048576">
    <cfRule type="expression" dxfId="53" priority="9">
      <formula>IF(J1=$BT$1,1,0)</formula>
    </cfRule>
    <cfRule type="expression" dxfId="52" priority="10">
      <formula>IF(J1=$AS$1,1,0)</formula>
    </cfRule>
    <cfRule type="expression" dxfId="51" priority="11">
      <formula>IF(J1=$R$1,1,0)</formula>
    </cfRule>
  </conditionalFormatting>
  <conditionalFormatting sqref="BT4:CT4">
    <cfRule type="expression" dxfId="50" priority="3" stopIfTrue="1">
      <formula>IF($CN4&lt;&gt;"",1,0)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3" priority="13" operator="between">
      <formula>AR$10</formula>
      <formula>1000</formula>
    </cfRule>
    <cfRule type="cellIs" dxfId="42" priority="14" operator="between">
      <formula>AR$9</formula>
      <formula>AR$10</formula>
    </cfRule>
    <cfRule type="cellIs" dxfId="41" priority="15" operator="between">
      <formula>AR$8</formula>
      <formula>AR$9</formula>
    </cfRule>
    <cfRule type="cellIs" dxfId="40" priority="16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39" priority="17" operator="between">
      <formula>AR$14</formula>
      <formula>1000</formula>
    </cfRule>
    <cfRule type="cellIs" dxfId="38" priority="18" operator="between">
      <formula>AR$13</formula>
      <formula>AR$14</formula>
    </cfRule>
    <cfRule type="cellIs" dxfId="37" priority="19" operator="between">
      <formula>AR$12</formula>
      <formula>AR$13</formula>
    </cfRule>
    <cfRule type="cellIs" dxfId="36" priority="20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5" priority="21" operator="between">
      <formula>AR$7</formula>
      <formula>AR$8</formula>
    </cfRule>
    <cfRule type="cellIs" dxfId="34" priority="22" operator="between">
      <formula>AR$8</formula>
      <formula>AR$9</formula>
    </cfRule>
    <cfRule type="cellIs" dxfId="33" priority="23" operator="between">
      <formula>AR$9</formula>
      <formula>AR$10</formula>
    </cfRule>
    <cfRule type="cellIs" dxfId="32" priority="24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1" priority="25" operator="between">
      <formula>AR$11</formula>
      <formula>AR$12</formula>
    </cfRule>
    <cfRule type="cellIs" dxfId="30" priority="26" operator="between">
      <formula>AR$12</formula>
      <formula>AR$13</formula>
    </cfRule>
    <cfRule type="cellIs" dxfId="29" priority="27" operator="between">
      <formula>AR$13</formula>
      <formula>AR$14</formula>
    </cfRule>
    <cfRule type="cellIs" dxfId="28" priority="28" operator="between">
      <formula>AR$14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hidden="1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10" t="s">
        <v>5</v>
      </c>
      <c r="H1" s="107" t="s">
        <v>6</v>
      </c>
      <c r="I1" s="114" t="s">
        <v>81</v>
      </c>
      <c r="J1" s="108" t="s">
        <v>24</v>
      </c>
      <c r="K1" s="114" t="s">
        <v>82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4" t="s">
        <v>70</v>
      </c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 t="s">
        <v>71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4" t="s">
        <v>76</v>
      </c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6" t="s">
        <v>51</v>
      </c>
      <c r="CV1" s="106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4" t="s">
        <v>55</v>
      </c>
      <c r="OX1" s="104"/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</row>
    <row r="2" spans="1:439" x14ac:dyDescent="0.2">
      <c r="A2" s="107"/>
      <c r="B2" s="107"/>
      <c r="C2" s="107"/>
      <c r="D2" s="107"/>
      <c r="E2" s="107"/>
      <c r="F2" s="110"/>
      <c r="G2" s="110"/>
      <c r="H2" s="107"/>
      <c r="I2" s="114"/>
      <c r="J2" s="108"/>
      <c r="K2" s="114"/>
      <c r="L2" s="108"/>
      <c r="M2" s="108"/>
      <c r="N2" s="108"/>
      <c r="O2" s="109"/>
      <c r="P2" s="108"/>
      <c r="Q2" s="108"/>
      <c r="R2" s="102" t="s">
        <v>83</v>
      </c>
      <c r="S2" s="102"/>
      <c r="T2" s="102"/>
      <c r="U2" s="102"/>
      <c r="V2" s="102" t="s">
        <v>84</v>
      </c>
      <c r="W2" s="102"/>
      <c r="X2" s="102"/>
      <c r="Y2" s="102"/>
      <c r="Z2" s="102" t="s">
        <v>85</v>
      </c>
      <c r="AA2" s="102"/>
      <c r="AB2" s="102"/>
      <c r="AC2" s="102"/>
      <c r="AD2" s="102" t="s">
        <v>86</v>
      </c>
      <c r="AE2" s="102"/>
      <c r="AF2" s="102"/>
      <c r="AG2" s="102"/>
      <c r="AH2" s="111" t="s">
        <v>87</v>
      </c>
      <c r="AI2" s="111"/>
      <c r="AJ2" s="111"/>
      <c r="AK2" s="111"/>
      <c r="AL2" s="74"/>
      <c r="AM2" s="74" t="s">
        <v>88</v>
      </c>
      <c r="AN2" s="74" t="s">
        <v>89</v>
      </c>
      <c r="AO2" s="74" t="s">
        <v>85</v>
      </c>
      <c r="AP2" s="74" t="s">
        <v>56</v>
      </c>
      <c r="AQ2" s="74" t="s">
        <v>90</v>
      </c>
      <c r="AR2" s="74" t="s">
        <v>14</v>
      </c>
      <c r="AS2" s="103" t="s">
        <v>83</v>
      </c>
      <c r="AT2" s="103"/>
      <c r="AU2" s="103"/>
      <c r="AV2" s="103"/>
      <c r="AW2" s="103" t="s">
        <v>84</v>
      </c>
      <c r="AX2" s="103"/>
      <c r="AY2" s="103"/>
      <c r="AZ2" s="103"/>
      <c r="BA2" s="103" t="s">
        <v>85</v>
      </c>
      <c r="BB2" s="103"/>
      <c r="BC2" s="103"/>
      <c r="BD2" s="103"/>
      <c r="BE2" s="103" t="s">
        <v>86</v>
      </c>
      <c r="BF2" s="103"/>
      <c r="BG2" s="103"/>
      <c r="BH2" s="103"/>
      <c r="BI2" s="112" t="s">
        <v>87</v>
      </c>
      <c r="BJ2" s="112"/>
      <c r="BK2" s="112"/>
      <c r="BL2" s="112"/>
      <c r="BM2" s="73"/>
      <c r="BN2" s="73" t="s">
        <v>88</v>
      </c>
      <c r="BO2" s="73" t="s">
        <v>89</v>
      </c>
      <c r="BP2" s="73" t="s">
        <v>85</v>
      </c>
      <c r="BQ2" s="73" t="s">
        <v>56</v>
      </c>
      <c r="BR2" s="73" t="s">
        <v>90</v>
      </c>
      <c r="BS2" s="73" t="s">
        <v>14</v>
      </c>
      <c r="BT2" s="102" t="s">
        <v>83</v>
      </c>
      <c r="BU2" s="102"/>
      <c r="BV2" s="102"/>
      <c r="BW2" s="102"/>
      <c r="BX2" s="102" t="s">
        <v>84</v>
      </c>
      <c r="BY2" s="102"/>
      <c r="BZ2" s="102"/>
      <c r="CA2" s="102"/>
      <c r="CB2" s="102" t="s">
        <v>85</v>
      </c>
      <c r="CC2" s="102"/>
      <c r="CD2" s="102"/>
      <c r="CE2" s="102"/>
      <c r="CF2" s="102" t="s">
        <v>86</v>
      </c>
      <c r="CG2" s="102"/>
      <c r="CH2" s="102"/>
      <c r="CI2" s="102"/>
      <c r="CJ2" s="111" t="s">
        <v>87</v>
      </c>
      <c r="CK2" s="111"/>
      <c r="CL2" s="111"/>
      <c r="CM2" s="111"/>
      <c r="CN2" s="74"/>
      <c r="CO2" s="74" t="s">
        <v>88</v>
      </c>
      <c r="CP2" s="74" t="s">
        <v>89</v>
      </c>
      <c r="CQ2" s="74" t="s">
        <v>85</v>
      </c>
      <c r="CR2" s="74" t="s">
        <v>56</v>
      </c>
      <c r="CS2" s="74" t="s">
        <v>90</v>
      </c>
      <c r="CT2" s="74" t="s">
        <v>14</v>
      </c>
      <c r="CU2" s="80" t="s">
        <v>89</v>
      </c>
      <c r="CV2" s="80" t="s">
        <v>19</v>
      </c>
      <c r="CW2" s="102" t="s">
        <v>83</v>
      </c>
      <c r="CX2" s="102"/>
      <c r="CY2" s="102"/>
      <c r="CZ2" s="102"/>
      <c r="DA2" s="102" t="s">
        <v>84</v>
      </c>
      <c r="DB2" s="102"/>
      <c r="DC2" s="102"/>
      <c r="DD2" s="102"/>
      <c r="DE2" s="102" t="s">
        <v>85</v>
      </c>
      <c r="DF2" s="102"/>
      <c r="DG2" s="102"/>
      <c r="DH2" s="102"/>
      <c r="DI2" s="102" t="s">
        <v>86</v>
      </c>
      <c r="DJ2" s="102"/>
      <c r="DK2" s="102"/>
      <c r="DL2" s="102"/>
      <c r="DM2" s="113" t="s">
        <v>87</v>
      </c>
      <c r="DN2" s="113"/>
      <c r="DO2" s="113"/>
      <c r="DP2" s="113"/>
      <c r="DQ2" s="74" t="s">
        <v>88</v>
      </c>
      <c r="DR2" s="74" t="s">
        <v>89</v>
      </c>
      <c r="DS2" s="74" t="s">
        <v>85</v>
      </c>
      <c r="DT2" s="74" t="s">
        <v>56</v>
      </c>
      <c r="DU2" s="74" t="s">
        <v>90</v>
      </c>
      <c r="DV2" s="74" t="s">
        <v>14</v>
      </c>
      <c r="DW2" s="103" t="s">
        <v>83</v>
      </c>
      <c r="DX2" s="103"/>
      <c r="DY2" s="103"/>
      <c r="DZ2" s="103"/>
      <c r="EA2" s="103" t="s">
        <v>84</v>
      </c>
      <c r="EB2" s="103"/>
      <c r="EC2" s="103"/>
      <c r="ED2" s="103"/>
      <c r="EE2" s="103" t="s">
        <v>85</v>
      </c>
      <c r="EF2" s="103"/>
      <c r="EG2" s="103"/>
      <c r="EH2" s="103"/>
      <c r="EI2" s="103" t="s">
        <v>86</v>
      </c>
      <c r="EJ2" s="103"/>
      <c r="EK2" s="103"/>
      <c r="EL2" s="103"/>
      <c r="EM2" s="112" t="s">
        <v>87</v>
      </c>
      <c r="EN2" s="112"/>
      <c r="EO2" s="112"/>
      <c r="EP2" s="112"/>
      <c r="EQ2" s="73" t="s">
        <v>88</v>
      </c>
      <c r="ER2" s="73" t="s">
        <v>89</v>
      </c>
      <c r="ES2" s="73" t="s">
        <v>85</v>
      </c>
      <c r="ET2" s="73" t="s">
        <v>56</v>
      </c>
      <c r="EU2" s="73" t="s">
        <v>90</v>
      </c>
      <c r="EV2" s="73" t="s">
        <v>14</v>
      </c>
      <c r="EW2" s="102" t="s">
        <v>83</v>
      </c>
      <c r="EX2" s="102"/>
      <c r="EY2" s="102"/>
      <c r="EZ2" s="102"/>
      <c r="FA2" s="102" t="s">
        <v>84</v>
      </c>
      <c r="FB2" s="102"/>
      <c r="FC2" s="102"/>
      <c r="FD2" s="102"/>
      <c r="FE2" s="102" t="s">
        <v>85</v>
      </c>
      <c r="FF2" s="102"/>
      <c r="FG2" s="102"/>
      <c r="FH2" s="102"/>
      <c r="FI2" s="102" t="s">
        <v>86</v>
      </c>
      <c r="FJ2" s="102"/>
      <c r="FK2" s="102"/>
      <c r="FL2" s="102"/>
      <c r="FM2" s="113" t="s">
        <v>87</v>
      </c>
      <c r="FN2" s="113"/>
      <c r="FO2" s="113"/>
      <c r="FP2" s="113"/>
      <c r="FQ2" s="74" t="s">
        <v>88</v>
      </c>
      <c r="FR2" s="74" t="s">
        <v>89</v>
      </c>
      <c r="FS2" s="74" t="s">
        <v>85</v>
      </c>
      <c r="FT2" s="74" t="s">
        <v>56</v>
      </c>
      <c r="FU2" s="74" t="s">
        <v>90</v>
      </c>
      <c r="FV2" s="74" t="s">
        <v>14</v>
      </c>
      <c r="FW2" s="103" t="s">
        <v>83</v>
      </c>
      <c r="FX2" s="103"/>
      <c r="FY2" s="103"/>
      <c r="FZ2" s="103"/>
      <c r="GA2" s="103" t="s">
        <v>84</v>
      </c>
      <c r="GB2" s="103"/>
      <c r="GC2" s="103"/>
      <c r="GD2" s="103"/>
      <c r="GE2" s="103" t="s">
        <v>85</v>
      </c>
      <c r="GF2" s="103"/>
      <c r="GG2" s="103"/>
      <c r="GH2" s="103"/>
      <c r="GI2" s="103" t="s">
        <v>86</v>
      </c>
      <c r="GJ2" s="103"/>
      <c r="GK2" s="103"/>
      <c r="GL2" s="103"/>
      <c r="GM2" s="112" t="s">
        <v>87</v>
      </c>
      <c r="GN2" s="112"/>
      <c r="GO2" s="112"/>
      <c r="GP2" s="112"/>
      <c r="GQ2" s="73" t="s">
        <v>88</v>
      </c>
      <c r="GR2" s="73" t="s">
        <v>89</v>
      </c>
      <c r="GS2" s="73" t="s">
        <v>85</v>
      </c>
      <c r="GT2" s="73" t="s">
        <v>56</v>
      </c>
      <c r="GU2" s="73" t="s">
        <v>90</v>
      </c>
      <c r="GV2" s="73" t="s">
        <v>14</v>
      </c>
      <c r="GW2" s="102" t="s">
        <v>83</v>
      </c>
      <c r="GX2" s="102"/>
      <c r="GY2" s="102"/>
      <c r="GZ2" s="102"/>
      <c r="HA2" s="102" t="s">
        <v>84</v>
      </c>
      <c r="HB2" s="102"/>
      <c r="HC2" s="102"/>
      <c r="HD2" s="102"/>
      <c r="HE2" s="102" t="s">
        <v>85</v>
      </c>
      <c r="HF2" s="102"/>
      <c r="HG2" s="102"/>
      <c r="HH2" s="102"/>
      <c r="HI2" s="102" t="s">
        <v>86</v>
      </c>
      <c r="HJ2" s="102"/>
      <c r="HK2" s="102"/>
      <c r="HL2" s="102"/>
      <c r="HM2" s="113" t="s">
        <v>87</v>
      </c>
      <c r="HN2" s="113"/>
      <c r="HO2" s="113"/>
      <c r="HP2" s="113"/>
      <c r="HQ2" s="74" t="s">
        <v>88</v>
      </c>
      <c r="HR2" s="74" t="s">
        <v>89</v>
      </c>
      <c r="HS2" s="74" t="s">
        <v>85</v>
      </c>
      <c r="HT2" s="74" t="s">
        <v>56</v>
      </c>
      <c r="HU2" s="74" t="s">
        <v>90</v>
      </c>
      <c r="HV2" s="74" t="s">
        <v>14</v>
      </c>
      <c r="HW2" s="103" t="s">
        <v>83</v>
      </c>
      <c r="HX2" s="103"/>
      <c r="HY2" s="103"/>
      <c r="HZ2" s="103"/>
      <c r="IA2" s="103" t="s">
        <v>84</v>
      </c>
      <c r="IB2" s="103"/>
      <c r="IC2" s="103"/>
      <c r="ID2" s="103"/>
      <c r="IE2" s="103" t="s">
        <v>85</v>
      </c>
      <c r="IF2" s="103"/>
      <c r="IG2" s="103"/>
      <c r="IH2" s="103"/>
      <c r="II2" s="103" t="s">
        <v>86</v>
      </c>
      <c r="IJ2" s="103"/>
      <c r="IK2" s="103"/>
      <c r="IL2" s="103"/>
      <c r="IM2" s="112" t="s">
        <v>87</v>
      </c>
      <c r="IN2" s="112"/>
      <c r="IO2" s="112"/>
      <c r="IP2" s="112"/>
      <c r="IQ2" s="73" t="s">
        <v>88</v>
      </c>
      <c r="IR2" s="73" t="s">
        <v>89</v>
      </c>
      <c r="IS2" s="73" t="s">
        <v>85</v>
      </c>
      <c r="IT2" s="73" t="s">
        <v>56</v>
      </c>
      <c r="IU2" s="73" t="s">
        <v>90</v>
      </c>
      <c r="IV2" s="73" t="s">
        <v>14</v>
      </c>
      <c r="IW2" s="102" t="s">
        <v>83</v>
      </c>
      <c r="IX2" s="102"/>
      <c r="IY2" s="102"/>
      <c r="IZ2" s="102"/>
      <c r="JA2" s="102" t="s">
        <v>84</v>
      </c>
      <c r="JB2" s="102"/>
      <c r="JC2" s="102"/>
      <c r="JD2" s="102"/>
      <c r="JE2" s="102" t="s">
        <v>85</v>
      </c>
      <c r="JF2" s="102"/>
      <c r="JG2" s="102"/>
      <c r="JH2" s="102"/>
      <c r="JI2" s="102" t="s">
        <v>86</v>
      </c>
      <c r="JJ2" s="102"/>
      <c r="JK2" s="102"/>
      <c r="JL2" s="102"/>
      <c r="JM2" s="113" t="s">
        <v>87</v>
      </c>
      <c r="JN2" s="113"/>
      <c r="JO2" s="113"/>
      <c r="JP2" s="113"/>
      <c r="JQ2" s="74" t="s">
        <v>88</v>
      </c>
      <c r="JR2" s="74" t="s">
        <v>89</v>
      </c>
      <c r="JS2" s="74" t="s">
        <v>85</v>
      </c>
      <c r="JT2" s="74" t="s">
        <v>56</v>
      </c>
      <c r="JU2" s="74" t="s">
        <v>90</v>
      </c>
      <c r="JV2" s="74" t="s">
        <v>14</v>
      </c>
      <c r="JW2" s="103" t="s">
        <v>83</v>
      </c>
      <c r="JX2" s="103"/>
      <c r="JY2" s="103"/>
      <c r="JZ2" s="103"/>
      <c r="KA2" s="103" t="s">
        <v>84</v>
      </c>
      <c r="KB2" s="103"/>
      <c r="KC2" s="103"/>
      <c r="KD2" s="103"/>
      <c r="KE2" s="103" t="s">
        <v>85</v>
      </c>
      <c r="KF2" s="103"/>
      <c r="KG2" s="103"/>
      <c r="KH2" s="103"/>
      <c r="KI2" s="103" t="s">
        <v>86</v>
      </c>
      <c r="KJ2" s="103"/>
      <c r="KK2" s="103"/>
      <c r="KL2" s="103"/>
      <c r="KM2" s="112" t="s">
        <v>87</v>
      </c>
      <c r="KN2" s="112"/>
      <c r="KO2" s="112"/>
      <c r="KP2" s="112"/>
      <c r="KQ2" s="73" t="s">
        <v>88</v>
      </c>
      <c r="KR2" s="73" t="s">
        <v>89</v>
      </c>
      <c r="KS2" s="73" t="s">
        <v>85</v>
      </c>
      <c r="KT2" s="73" t="s">
        <v>56</v>
      </c>
      <c r="KU2" s="73" t="s">
        <v>90</v>
      </c>
      <c r="KV2" s="73" t="s">
        <v>14</v>
      </c>
      <c r="KW2" s="102" t="s">
        <v>83</v>
      </c>
      <c r="KX2" s="102"/>
      <c r="KY2" s="102"/>
      <c r="KZ2" s="102"/>
      <c r="LA2" s="102" t="s">
        <v>84</v>
      </c>
      <c r="LB2" s="102"/>
      <c r="LC2" s="102"/>
      <c r="LD2" s="102"/>
      <c r="LE2" s="102" t="s">
        <v>85</v>
      </c>
      <c r="LF2" s="102"/>
      <c r="LG2" s="102"/>
      <c r="LH2" s="102"/>
      <c r="LI2" s="102" t="s">
        <v>86</v>
      </c>
      <c r="LJ2" s="102"/>
      <c r="LK2" s="102"/>
      <c r="LL2" s="102"/>
      <c r="LM2" s="113" t="s">
        <v>87</v>
      </c>
      <c r="LN2" s="113"/>
      <c r="LO2" s="113"/>
      <c r="LP2" s="113"/>
      <c r="LQ2" s="74" t="s">
        <v>88</v>
      </c>
      <c r="LR2" s="74" t="s">
        <v>89</v>
      </c>
      <c r="LS2" s="74" t="s">
        <v>85</v>
      </c>
      <c r="LT2" s="74" t="s">
        <v>56</v>
      </c>
      <c r="LU2" s="74" t="s">
        <v>90</v>
      </c>
      <c r="LV2" s="74" t="s">
        <v>14</v>
      </c>
      <c r="LW2" s="103" t="s">
        <v>83</v>
      </c>
      <c r="LX2" s="103"/>
      <c r="LY2" s="103"/>
      <c r="LZ2" s="103"/>
      <c r="MA2" s="103" t="s">
        <v>84</v>
      </c>
      <c r="MB2" s="103"/>
      <c r="MC2" s="103"/>
      <c r="MD2" s="103"/>
      <c r="ME2" s="103" t="s">
        <v>85</v>
      </c>
      <c r="MF2" s="103"/>
      <c r="MG2" s="103"/>
      <c r="MH2" s="103"/>
      <c r="MI2" s="103" t="s">
        <v>86</v>
      </c>
      <c r="MJ2" s="103"/>
      <c r="MK2" s="103"/>
      <c r="ML2" s="103"/>
      <c r="MM2" s="112" t="s">
        <v>87</v>
      </c>
      <c r="MN2" s="112"/>
      <c r="MO2" s="112"/>
      <c r="MP2" s="112"/>
      <c r="MQ2" s="73" t="s">
        <v>88</v>
      </c>
      <c r="MR2" s="73" t="s">
        <v>89</v>
      </c>
      <c r="MS2" s="73" t="s">
        <v>85</v>
      </c>
      <c r="MT2" s="73" t="s">
        <v>56</v>
      </c>
      <c r="MU2" s="73" t="s">
        <v>90</v>
      </c>
      <c r="MV2" s="73" t="s">
        <v>14</v>
      </c>
      <c r="MW2" s="102" t="s">
        <v>83</v>
      </c>
      <c r="MX2" s="102"/>
      <c r="MY2" s="102"/>
      <c r="MZ2" s="102"/>
      <c r="NA2" s="102" t="s">
        <v>84</v>
      </c>
      <c r="NB2" s="102"/>
      <c r="NC2" s="102"/>
      <c r="ND2" s="102"/>
      <c r="NE2" s="102" t="s">
        <v>85</v>
      </c>
      <c r="NF2" s="102"/>
      <c r="NG2" s="102"/>
      <c r="NH2" s="102"/>
      <c r="NI2" s="102" t="s">
        <v>86</v>
      </c>
      <c r="NJ2" s="102"/>
      <c r="NK2" s="102"/>
      <c r="NL2" s="102"/>
      <c r="NM2" s="113" t="s">
        <v>87</v>
      </c>
      <c r="NN2" s="113"/>
      <c r="NO2" s="113"/>
      <c r="NP2" s="113"/>
      <c r="NQ2" s="74" t="s">
        <v>88</v>
      </c>
      <c r="NR2" s="74" t="s">
        <v>89</v>
      </c>
      <c r="NS2" s="74" t="s">
        <v>85</v>
      </c>
      <c r="NT2" s="74" t="s">
        <v>56</v>
      </c>
      <c r="NU2" s="74" t="s">
        <v>90</v>
      </c>
      <c r="NV2" s="74" t="s">
        <v>14</v>
      </c>
      <c r="NW2" s="103" t="s">
        <v>83</v>
      </c>
      <c r="NX2" s="103"/>
      <c r="NY2" s="103"/>
      <c r="NZ2" s="103"/>
      <c r="OA2" s="103" t="s">
        <v>84</v>
      </c>
      <c r="OB2" s="103"/>
      <c r="OC2" s="103"/>
      <c r="OD2" s="103"/>
      <c r="OE2" s="103" t="s">
        <v>85</v>
      </c>
      <c r="OF2" s="103"/>
      <c r="OG2" s="103"/>
      <c r="OH2" s="103"/>
      <c r="OI2" s="103" t="s">
        <v>86</v>
      </c>
      <c r="OJ2" s="103"/>
      <c r="OK2" s="103"/>
      <c r="OL2" s="103"/>
      <c r="OM2" s="112" t="s">
        <v>87</v>
      </c>
      <c r="ON2" s="112"/>
      <c r="OO2" s="112"/>
      <c r="OP2" s="112"/>
      <c r="OQ2" s="73" t="s">
        <v>88</v>
      </c>
      <c r="OR2" s="73" t="s">
        <v>89</v>
      </c>
      <c r="OS2" s="73" t="s">
        <v>85</v>
      </c>
      <c r="OT2" s="73" t="s">
        <v>56</v>
      </c>
      <c r="OU2" s="73" t="s">
        <v>90</v>
      </c>
      <c r="OV2" s="73" t="s">
        <v>14</v>
      </c>
      <c r="OW2" s="102" t="s">
        <v>83</v>
      </c>
      <c r="OX2" s="102"/>
      <c r="OY2" s="102"/>
      <c r="OZ2" s="102"/>
      <c r="PA2" s="102" t="s">
        <v>84</v>
      </c>
      <c r="PB2" s="102"/>
      <c r="PC2" s="102"/>
      <c r="PD2" s="102"/>
      <c r="PE2" s="102" t="s">
        <v>85</v>
      </c>
      <c r="PF2" s="102"/>
      <c r="PG2" s="102"/>
      <c r="PH2" s="102"/>
      <c r="PI2" s="102" t="s">
        <v>86</v>
      </c>
      <c r="PJ2" s="102"/>
      <c r="PK2" s="102"/>
      <c r="PL2" s="102"/>
      <c r="PM2" s="111" t="s">
        <v>87</v>
      </c>
      <c r="PN2" s="111"/>
      <c r="PO2" s="111"/>
      <c r="PP2" s="111"/>
      <c r="PQ2" s="74"/>
      <c r="PR2" s="74" t="s">
        <v>88</v>
      </c>
      <c r="PS2" s="74" t="s">
        <v>89</v>
      </c>
      <c r="PT2" s="74" t="s">
        <v>85</v>
      </c>
      <c r="PU2" s="74" t="s">
        <v>56</v>
      </c>
      <c r="PV2" s="74" t="s">
        <v>90</v>
      </c>
      <c r="PW2" s="74" t="s">
        <v>14</v>
      </c>
    </row>
    <row r="3" spans="1:439" x14ac:dyDescent="0.2">
      <c r="A3" s="107"/>
      <c r="B3" s="107"/>
      <c r="C3" s="107"/>
      <c r="D3" s="107"/>
      <c r="E3" s="107"/>
      <c r="F3" s="110"/>
      <c r="G3" s="110"/>
      <c r="H3" s="107"/>
      <c r="I3" s="114"/>
      <c r="J3" s="108"/>
      <c r="K3" s="114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8" t="s">
        <v>78</v>
      </c>
      <c r="C4" s="5" t="s">
        <v>67</v>
      </c>
      <c r="D4" s="5">
        <v>2006</v>
      </c>
      <c r="E4" s="15">
        <f>SUM(I4:O4)+SUM(I4:M4)*0.0000001+SUM(I4)*0.0000000000001</f>
        <v>94.100009410004674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6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National Team</v>
      </c>
      <c r="I4" s="14">
        <f>IF(COUNT(AN4,BO4,CP4)&gt;0,LARGE((AN4,BO4,CP4),1),0)</f>
        <v>46.8</v>
      </c>
      <c r="J4" s="14" t="str">
        <f>IF(I4=0,"",IF(I4=CP4,$BT$1,IF(I4=BO4,$AS$1,IF(I4=AN4,$R$1,""))))</f>
        <v>2022 Elite Canada</v>
      </c>
      <c r="K4" s="14">
        <f>IF(COUNT(AN4,BO4,CP4)&gt;1,LARGE((AN4,BO4,CP4),2),0)</f>
        <v>0</v>
      </c>
      <c r="L4" s="14" t="str">
        <f>IF(K4=0,"",IF(K4=CP4,$BT$1,IF(K4=BO4,$AS$1,IF(K4=AN4,$R$1,""))))</f>
        <v/>
      </c>
      <c r="M4" s="14">
        <f>IF(MAX(AQ4,BR4,CS4)&gt;0,MAX(AQ4,BR4,CS4),0)</f>
        <v>47.3</v>
      </c>
      <c r="N4" s="14" t="str">
        <f>IF(M4=0,"",IF(M4=CS4,$BT$1,IF(M4=BR4,$AS$1,IF(M4=AQ4,$R$1,""))))</f>
        <v>2022 Elite Canada</v>
      </c>
      <c r="O4" s="14" t="str">
        <f>IF(MAX(CU4:CV4)&gt;0,MAX(CU4:CV4),"")</f>
        <v/>
      </c>
      <c r="P4" s="20" t="str">
        <f>IF(O4="","",IF(O4=CU4,"("&amp;CU$2&amp;")",IF(O4=CV4,"("&amp;CV$2&amp;")")))</f>
        <v/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5"/>
      <c r="AM4" s="81" t="str">
        <f>IF(SUM(S4,W4)&gt;0,SUM(S4,W4),"")</f>
        <v/>
      </c>
      <c r="AN4" s="81" t="str">
        <f>IF(SUM(R4:S4,U4:W4,Y4)-T4-X4&gt;0,SUM(R4:S4,U4:W4,Y4)-T4-X4,"")</f>
        <v/>
      </c>
      <c r="AO4" s="81" t="str">
        <f>IF(SUM(Z4:AA4,AC4)-AB4&gt;0,SUM(Z4:AA4,AC4)-AB4,"")</f>
        <v/>
      </c>
      <c r="AP4" s="81" t="str">
        <f>IF(SUM(AE4,AI4)&gt;0,SUM(AE4,AI4),"")</f>
        <v/>
      </c>
      <c r="AQ4" s="81" t="str">
        <f>IF(SUM(AD4:AE4,AG4:AI4,AK4)-SUM(AF4,AJ4)&gt;0,SUM(AD4:AE4,AG4:AI4,AK4)-SUM(AF4,AJ4),"")</f>
        <v/>
      </c>
      <c r="AR4" s="81" t="str">
        <f>IF(SUM(AN4,AQ4)&gt;0,SUM(AN4,AQ4),"")</f>
        <v/>
      </c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46"/>
      <c r="BN4" s="20" t="str">
        <f>IF(SUM(AT4,AX4)&gt;0,SUM(AT4,AX4),"")</f>
        <v/>
      </c>
      <c r="BO4" s="20" t="str">
        <f>IF(SUM(AS4:AT4,AV4:AX4,AZ4)-AU4-AY4&gt;0,SUM(AS4:AT4,AV4:AX4,AZ4)-AU4-AY4,"")</f>
        <v/>
      </c>
      <c r="BP4" s="20" t="str">
        <f>IF(SUM(BA4:BB4,BD4)-BC4&gt;0,SUM(BA4:BB4,BD4)-BC4,"")</f>
        <v/>
      </c>
      <c r="BQ4" s="20" t="str">
        <f>IF(SUM(BF4,BJ4)&gt;0,SUM(BF4,BJ4),"")</f>
        <v/>
      </c>
      <c r="BR4" s="20" t="str">
        <f>IF(SUM(BE4:BF4,BH4:BJ4,BL4)-SUM(BG4,BK4)&gt;0,SUM(BE4:BF4,BH4:BJ4,BL4)-SUM(BG4,BK4),"")</f>
        <v/>
      </c>
      <c r="BS4" s="20" t="str">
        <f>IF(SUM(BO4,BR4)&gt;0,SUM(BO4,BR4),"")</f>
        <v/>
      </c>
      <c r="BT4" s="26">
        <v>18.8</v>
      </c>
      <c r="BU4" s="26">
        <v>5.2</v>
      </c>
      <c r="BV4" s="26">
        <v>0.6</v>
      </c>
      <c r="BW4" s="26">
        <v>0</v>
      </c>
      <c r="BX4" s="26">
        <v>18.8</v>
      </c>
      <c r="BY4" s="26">
        <v>5.2</v>
      </c>
      <c r="BZ4" s="26">
        <v>0.6</v>
      </c>
      <c r="CA4" s="26">
        <v>0</v>
      </c>
      <c r="CB4" s="26"/>
      <c r="CC4" s="26"/>
      <c r="CD4" s="26"/>
      <c r="CE4" s="26"/>
      <c r="CF4" s="26">
        <v>19</v>
      </c>
      <c r="CG4" s="26">
        <v>5.2</v>
      </c>
      <c r="CH4" s="26">
        <v>0</v>
      </c>
      <c r="CI4" s="26">
        <v>0</v>
      </c>
      <c r="CJ4" s="26">
        <v>18.3</v>
      </c>
      <c r="CK4" s="26">
        <v>4.8</v>
      </c>
      <c r="CL4" s="26">
        <v>0</v>
      </c>
      <c r="CM4" s="26">
        <v>0</v>
      </c>
      <c r="CN4" s="45"/>
      <c r="CO4" s="81">
        <f>IF(SUM(BU4,BY4)&gt;0,SUM(BU4,BY4),"")</f>
        <v>10.4</v>
      </c>
      <c r="CP4" s="81">
        <f>IF(SUM(BT4:BU4,BW4:BY4,CA4)-BV4-BZ4&gt;0,SUM(BT4:BU4,BW4:BY4,CA4)-BV4-BZ4,"")</f>
        <v>46.8</v>
      </c>
      <c r="CQ4" s="81" t="str">
        <f>IF(SUM(CB4:CC4,CE4)-CD4&gt;0,SUM(CB4:CC4,CE4)-CD4,"")</f>
        <v/>
      </c>
      <c r="CR4" s="81">
        <f>IF(SUM(CG4,CK4)&gt;0,SUM(CG4,CK4),"")</f>
        <v>10</v>
      </c>
      <c r="CS4" s="81">
        <f>IF(SUM(CF4:CG4,CI4:CK4,CM4)-SUM(CH4,CL4)&gt;0,SUM(CF4:CG4,CI4:CK4,CM4)-SUM(CH4,CL4),"")</f>
        <v>47.3</v>
      </c>
      <c r="CT4" s="81">
        <f>IF(SUM(CP4,CS4)&gt;0,SUM(CP4,CS4),"")</f>
        <v>94.1</v>
      </c>
      <c r="CU4" s="82" t="str">
        <f>IF(MAX(DR4,ER4,FR4,GR4,HR4,IR4,JR4,KR4,LR4,MR4,NR4,OR4)-IF(K4="",0,K4)&gt;0.001,MAX(DR4,ER4,FR4,GR4,HR4,IR4,JR4,KR4,LR4,MR4,NR4,OR4)-IF(K4="",0,K4),"")</f>
        <v/>
      </c>
      <c r="CV4" s="82" t="str">
        <f>IF(MAX(DU4,EU4,FU4,GU4,HU4,IU4,JU4,KU4,LU4,MU4,NU4,OU4)-IF(M4="",0,M4)&gt;0.001,MAX(DU4,EU4,FU4,GU4,HU4,IU4,JU4,KU4,LU4,MU4,NU4,OU4)-IF(M4="",0,M4),"")</f>
        <v/>
      </c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81" t="str">
        <f>IF(SUM(CX4,DB4)&gt;0,SUM(CX4,DB4),"")</f>
        <v/>
      </c>
      <c r="DR4" s="81" t="str">
        <f>IF(SUM(CW4:CX4,CZ4:DB4,DD4)-CY4-DC4&gt;0,SUM(CW4:CX4,CZ4:DB4,DD4)-CY4-DC4,"")</f>
        <v/>
      </c>
      <c r="DS4" s="81" t="str">
        <f>IF(SUM(DE4:DF4,DH4)-DG4&gt;0,SUM(DE4:DF4,DH4)-DG4,"")</f>
        <v/>
      </c>
      <c r="DT4" s="81" t="str">
        <f>IF(SUM(DJ4,DN4)&gt;0,SUM(DJ4,DN4),"")</f>
        <v/>
      </c>
      <c r="DU4" s="81" t="str">
        <f>IF(SUM(DI4:DJ4,DL4:DN4,DP4)-SUM(DK4,DO4)&gt;0,SUM(DI4:DJ4,DL4:DN4,DP4)-SUM(DK4,DO4),"")</f>
        <v/>
      </c>
      <c r="DV4" s="81" t="str">
        <f>IF(SUM(DR4,DU4)&gt;0,SUM(DR4,DU4),"")</f>
        <v/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>IF($CN4="P",BT4,(BT4+AS4)/2)</f>
        <v>9.4</v>
      </c>
      <c r="OX4" s="38">
        <f>IF($CN4="P",BU4,(BU4+AT4)/2)</f>
        <v>2.6</v>
      </c>
      <c r="OY4" s="38">
        <f>IF($CN4="P",BV4,(BV4+AU4)/2)</f>
        <v>0.3</v>
      </c>
      <c r="OZ4" s="38">
        <f>IF($CN4="P",BW4,(BW4+AV4)/2)</f>
        <v>0</v>
      </c>
      <c r="PA4" s="38">
        <f>IF($CN4="P",BX4,(BX4+AW4)/2)</f>
        <v>9.4</v>
      </c>
      <c r="PB4" s="38">
        <f>IF($CN4="P",BY4,(BY4+AX4)/2)</f>
        <v>2.6</v>
      </c>
      <c r="PC4" s="38">
        <f>IF($CN4="P",BZ4,(BZ4+AY4)/2)</f>
        <v>0.3</v>
      </c>
      <c r="PD4" s="38">
        <f>IF($CN4="P",CA4,(CA4+AZ4)/2)</f>
        <v>0</v>
      </c>
      <c r="PE4" s="38">
        <f>IF($CN4="P",CB4,(CB4+BA4)/2)</f>
        <v>0</v>
      </c>
      <c r="PF4" s="38">
        <f>IF($CN4="P",CC4,(CC4+BB4)/2)</f>
        <v>0</v>
      </c>
      <c r="PG4" s="38">
        <f>IF($CN4="P",CD4,(CD4+BC4)/2)</f>
        <v>0</v>
      </c>
      <c r="PH4" s="38">
        <f>IF($CN4="P",CE4,(CE4+BD4)/2)</f>
        <v>0</v>
      </c>
      <c r="PI4" s="38">
        <f>IF($CN4="P",CF4,(CF4+BE4)/2)</f>
        <v>9.5</v>
      </c>
      <c r="PJ4" s="38">
        <f>IF($CN4="P",CG4,(CG4+BF4)/2)</f>
        <v>2.6</v>
      </c>
      <c r="PK4" s="38">
        <f>IF($CN4="P",CH4,(CH4+BG4)/2)</f>
        <v>0</v>
      </c>
      <c r="PL4" s="38">
        <f>IF($CN4="P",CI4,(CI4+BH4)/2)</f>
        <v>0</v>
      </c>
      <c r="PM4" s="38">
        <f>IF($CN4="P",CJ4,(CJ4+BI4)/2)</f>
        <v>9.15</v>
      </c>
      <c r="PN4" s="38">
        <f>IF($CN4="P",CK4,(CK4+BJ4)/2)</f>
        <v>2.4</v>
      </c>
      <c r="PO4" s="38">
        <f>IF($CN4="P",CL4,(CL4+BK4)/2)</f>
        <v>0</v>
      </c>
      <c r="PP4" s="38">
        <f>IF($CN4="P",CM4,(CM4+BL4)/2)</f>
        <v>0</v>
      </c>
      <c r="PQ4" s="45" t="s">
        <v>44</v>
      </c>
      <c r="PR4" s="81">
        <f>IF(SUM(OX4,PB4)&gt;0,SUM(OX4,PB4),"")</f>
        <v>5.2</v>
      </c>
      <c r="PS4" s="81">
        <f>IF(SUM(OW4:OX4,OZ4:PB4,PD4)-OY4-PC4&gt;0,SUM(OW4:OX4,OZ4:PB4,PD4)-OY4-PC4,"")</f>
        <v>23.4</v>
      </c>
      <c r="PT4" s="81" t="str">
        <f>IF(SUM(PE4:PF4,PH4)-PG4&gt;0,SUM(PE4:PF4,PH4)-PG4,"")</f>
        <v/>
      </c>
      <c r="PU4" s="81">
        <f>IF(SUM(PJ4,PN4)&gt;0,SUM(PJ4,PN4),"")</f>
        <v>5</v>
      </c>
      <c r="PV4" s="81">
        <f>IF(SUM(PI4:PJ4,PL4:PN4,PP4)-SUM(PK4,PO4)&gt;0,SUM(PI4:PJ4,PL4:PN4,PP4)-SUM(PK4,PO4),"")</f>
        <v>23.65</v>
      </c>
      <c r="PW4" s="81">
        <f>IF(SUM(PS4,PV4)&gt;0,SUM(PS4,PV4),"")</f>
        <v>47.05</v>
      </c>
    </row>
    <row r="5" spans="1:439" x14ac:dyDescent="0.2">
      <c r="A5" s="5">
        <f>IF(AND(F5="P",G5="P"),SUMPRODUCT((F$4:F$6="P")*(G$4:G$6="P")*(E$4:E$6&gt;E5))+1,IF(G5="P",SUMPRODUCT((F$4:F$6="")*(G$4:G$6="P")*(E$4:E$6&gt;E5))+1+SUMPRODUCT((F$4:F$6="P")*(G$4:G$6="P")),""))</f>
        <v>2</v>
      </c>
      <c r="B5" s="68" t="s">
        <v>77</v>
      </c>
      <c r="C5" s="5" t="s">
        <v>79</v>
      </c>
      <c r="D5" s="5">
        <v>2009</v>
      </c>
      <c r="E5" s="15">
        <f>SUM(I5:O5)+SUM(I5:M5)*0.0000001+SUM(I5)*0.0000000000001</f>
        <v>92.820309282034657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>P</v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>P</v>
      </c>
      <c r="H5" s="6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>National Team</v>
      </c>
      <c r="I5" s="14">
        <f>IF(COUNT(AN5,BO5,CP5)&gt;0,LARGE((AN5,BO5,CP5),1),0)</f>
        <v>46.599999999999994</v>
      </c>
      <c r="J5" s="14" t="str">
        <f>IF(I5=0,"",IF(I5=CP5,$BT$1,IF(I5=BO5,$AS$1,IF(I5=AN5,$R$1,""))))</f>
        <v>2022 Elite Canada</v>
      </c>
      <c r="K5" s="14">
        <f>IF(COUNT(AN5,BO5,CP5)&gt;1,LARGE((AN5,BO5,CP5),2),0)</f>
        <v>3.0000000000000003E-4</v>
      </c>
      <c r="L5" s="14" t="str">
        <f>IF(K5=0,"",IF(K5=CP5,$BT$1,IF(K5=BO5,$AS$1,IF(K5=AN5,$R$1,""))))</f>
        <v>2021 Canadian Championships</v>
      </c>
      <c r="M5" s="14">
        <f>IF(MAX(AQ5,BR5,CS5)&gt;0,MAX(AQ5,BR5,CS5),0)</f>
        <v>46.219999999999992</v>
      </c>
      <c r="N5" s="14" t="str">
        <f>IF(M5=0,"",IF(M5=CS5,$BT$1,IF(M5=BR5,$AS$1,IF(M5=AQ5,$R$1,""))))</f>
        <v>2022 Elite Canada</v>
      </c>
      <c r="O5" s="14" t="str">
        <f>IF(MAX(CU5:CV5)&gt;0,MAX(CU5:CV5),"")</f>
        <v/>
      </c>
      <c r="P5" s="20" t="str">
        <f>IF(O5="","",IF(O5=CU5,"("&amp;CU$2&amp;")",IF(O5=CV5,"("&amp;CV$2&amp;")")))</f>
        <v/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6">
        <v>1E-4</v>
      </c>
      <c r="S5" s="26">
        <v>2.0000000000000001E-4</v>
      </c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5"/>
      <c r="AM5" s="81">
        <f>IF(SUM(S5,W5)&gt;0,SUM(S5,W5),"")</f>
        <v>2.0000000000000001E-4</v>
      </c>
      <c r="AN5" s="81">
        <f>IF(SUM(R5:S5,U5:W5,Y5)-T5-X5&gt;0,SUM(R5:S5,U5:W5,Y5)-T5-X5,"")</f>
        <v>3.0000000000000003E-4</v>
      </c>
      <c r="AO5" s="81" t="str">
        <f>IF(SUM(Z5:AA5,AC5)-AB5&gt;0,SUM(Z5:AA5,AC5)-AB5,"")</f>
        <v/>
      </c>
      <c r="AP5" s="81" t="str">
        <f>IF(SUM(AE5,AI5)&gt;0,SUM(AE5,AI5),"")</f>
        <v/>
      </c>
      <c r="AQ5" s="81" t="str">
        <f>IF(SUM(AD5:AE5,AG5:AI5,AK5)-SUM(AF5,AJ5)&gt;0,SUM(AD5:AE5,AG5:AI5,AK5)-SUM(AF5,AJ5),"")</f>
        <v/>
      </c>
      <c r="AR5" s="81">
        <f>IF(SUM(AN5,AQ5)&gt;0,SUM(AN5,AQ5),"")</f>
        <v>3.0000000000000003E-4</v>
      </c>
      <c r="AS5" s="25">
        <v>1E-4</v>
      </c>
      <c r="AT5" s="25">
        <v>2.0000000000000001E-4</v>
      </c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46"/>
      <c r="BN5" s="20">
        <f>IF(SUM(AT5,AX5)&gt;0,SUM(AT5,AX5),"")</f>
        <v>2.0000000000000001E-4</v>
      </c>
      <c r="BO5" s="20">
        <f>IF(SUM(AS5:AT5,AV5:AX5,AZ5)-AU5-AY5&gt;0,SUM(AS5:AT5,AV5:AX5,AZ5)-AU5-AY5,"")</f>
        <v>3.0000000000000003E-4</v>
      </c>
      <c r="BP5" s="20" t="str">
        <f>IF(SUM(BA5:BB5,BD5)-BC5&gt;0,SUM(BA5:BB5,BD5)-BC5,"")</f>
        <v/>
      </c>
      <c r="BQ5" s="20" t="str">
        <f>IF(SUM(BF5,BJ5)&gt;0,SUM(BF5,BJ5),"")</f>
        <v/>
      </c>
      <c r="BR5" s="20" t="str">
        <f>IF(SUM(BE5:BF5,BH5:BJ5,BL5)-SUM(BG5,BK5)&gt;0,SUM(BE5:BF5,BH5:BJ5,BL5)-SUM(BG5,BK5),"")</f>
        <v/>
      </c>
      <c r="BS5" s="20">
        <f>IF(SUM(BO5,BR5)&gt;0,SUM(BO5,BR5),"")</f>
        <v>3.0000000000000003E-4</v>
      </c>
      <c r="BT5" s="26">
        <v>18.399999999999999</v>
      </c>
      <c r="BU5" s="26">
        <v>5.2</v>
      </c>
      <c r="BV5" s="26">
        <v>0</v>
      </c>
      <c r="BW5" s="26">
        <v>0</v>
      </c>
      <c r="BX5" s="26">
        <v>18</v>
      </c>
      <c r="BY5" s="26">
        <v>5.2</v>
      </c>
      <c r="BZ5" s="26">
        <v>0.2</v>
      </c>
      <c r="CA5" s="26">
        <v>0</v>
      </c>
      <c r="CB5" s="26"/>
      <c r="CC5" s="26"/>
      <c r="CD5" s="26"/>
      <c r="CE5" s="26"/>
      <c r="CF5" s="26">
        <v>18.399999999999999</v>
      </c>
      <c r="CG5" s="26">
        <v>5.2</v>
      </c>
      <c r="CH5" s="26">
        <v>0.6</v>
      </c>
      <c r="CI5" s="26">
        <v>0</v>
      </c>
      <c r="CJ5" s="26">
        <v>18.420000000000002</v>
      </c>
      <c r="CK5" s="26">
        <v>4.8</v>
      </c>
      <c r="CL5" s="26">
        <v>0</v>
      </c>
      <c r="CM5" s="26">
        <v>0</v>
      </c>
      <c r="CN5" s="45"/>
      <c r="CO5" s="81">
        <f>IF(SUM(BU5,BY5)&gt;0,SUM(BU5,BY5),"")</f>
        <v>10.4</v>
      </c>
      <c r="CP5" s="81">
        <f>IF(SUM(BT5:BU5,BW5:BY5,CA5)-BV5-BZ5&gt;0,SUM(BT5:BU5,BW5:BY5,CA5)-BV5-BZ5,"")</f>
        <v>46.599999999999994</v>
      </c>
      <c r="CQ5" s="81" t="str">
        <f>IF(SUM(CB5:CC5,CE5)-CD5&gt;0,SUM(CB5:CC5,CE5)-CD5,"")</f>
        <v/>
      </c>
      <c r="CR5" s="81">
        <f>IF(SUM(CG5,CK5)&gt;0,SUM(CG5,CK5),"")</f>
        <v>10</v>
      </c>
      <c r="CS5" s="81">
        <f>IF(SUM(CF5:CG5,CI5:CK5,CM5)-SUM(CH5,CL5)&gt;0,SUM(CF5:CG5,CI5:CK5,CM5)-SUM(CH5,CL5),"")</f>
        <v>46.219999999999992</v>
      </c>
      <c r="CT5" s="81">
        <f>IF(SUM(CP5,CS5)&gt;0,SUM(CP5,CS5),"")</f>
        <v>92.82</v>
      </c>
      <c r="CU5" s="82" t="str">
        <f>IF(MAX(DR5,ER5,FR5,GR5,HR5,IR5,JR5,KR5,LR5,MR5,NR5,OR5)-IF(K5="",0,K5)&gt;0.001,MAX(DR5,ER5,FR5,GR5,HR5,IR5,JR5,KR5,LR5,MR5,NR5,OR5)-IF(K5="",0,K5),"")</f>
        <v/>
      </c>
      <c r="CV5" s="82" t="str">
        <f>IF(MAX(DU5,EU5,FU5,GU5,HU5,IU5,JU5,KU5,LU5,MU5,NU5,OU5)-IF(M5="",0,M5)&gt;0.001,MAX(DU5,EU5,FU5,GU5,HU5,IU5,JU5,KU5,LU5,MU5,NU5,OU5)-IF(M5="",0,M5),"")</f>
        <v/>
      </c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81" t="str">
        <f>IF(SUM(CX5,DB5)&gt;0,SUM(CX5,DB5),"")</f>
        <v/>
      </c>
      <c r="DR5" s="81" t="str">
        <f>IF(SUM(CW5:CX5,CZ5:DB5,DD5)-CY5-DC5&gt;0,SUM(CW5:CX5,CZ5:DB5,DD5)-CY5-DC5,"")</f>
        <v/>
      </c>
      <c r="DS5" s="81" t="str">
        <f>IF(SUM(DE5:DF5,DH5)-DG5&gt;0,SUM(DE5:DF5,DH5)-DG5,"")</f>
        <v/>
      </c>
      <c r="DT5" s="81" t="str">
        <f>IF(SUM(DJ5,DN5)&gt;0,SUM(DJ5,DN5),"")</f>
        <v/>
      </c>
      <c r="DU5" s="81" t="str">
        <f>IF(SUM(DI5:DJ5,DL5:DN5,DP5)-SUM(DK5,DO5)&gt;0,SUM(DI5:DJ5,DL5:DN5,DP5)-SUM(DK5,DO5),"")</f>
        <v/>
      </c>
      <c r="DV5" s="81" t="str">
        <f>IF(SUM(DR5,DU5)&gt;0,SUM(DR5,DU5),"")</f>
        <v/>
      </c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0" t="str">
        <f>IF(SUM(DX5,EB5)&gt;0,SUM(DX5,EB5),"")</f>
        <v/>
      </c>
      <c r="ER5" s="20" t="str">
        <f>IF(SUM(DW5:DX5,DZ5:EB5,ED5)-DY5-EC5&gt;0,SUM(DW5:DX5,DZ5:EB5,ED5)-DY5-EC5,"")</f>
        <v/>
      </c>
      <c r="ES5" s="20" t="str">
        <f>IF(SUM(EE5:EF5,EH5)-EG5&gt;0,SUM(EE5:EF5,EH5)-EG5,"")</f>
        <v/>
      </c>
      <c r="ET5" s="20" t="str">
        <f>IF(SUM(EJ5,EN5)&gt;0,SUM(EJ5,EN5),"")</f>
        <v/>
      </c>
      <c r="EU5" s="20" t="str">
        <f>IF(SUM(EI5:EJ5,EL5:EN5,EP5)-SUM(EK5,EO5)&gt;0,SUM(EI5:EJ5,EL5:EN5,EP5)-SUM(EK5,EO5),"")</f>
        <v/>
      </c>
      <c r="EV5" s="20" t="str">
        <f>IF(SUM(ER5,EU5)&gt;0,SUM(ER5,EU5),"")</f>
        <v/>
      </c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81" t="str">
        <f>IF(SUM(EX5,FB5)&gt;0,SUM(EX5,FB5),"")</f>
        <v/>
      </c>
      <c r="FR5" s="81" t="str">
        <f>IF(SUM(EW5:EX5,EZ5:FB5,FD5)-EY5-FC5&gt;0,SUM(EW5:EX5,EZ5:FB5,FD5)-EY5-FC5,"")</f>
        <v/>
      </c>
      <c r="FS5" s="81" t="str">
        <f>IF(SUM(FE5:FF5,FH5)-FG5&gt;0,SUM(FE5:FF5,FH5)-FG5,"")</f>
        <v/>
      </c>
      <c r="FT5" s="81" t="str">
        <f>IF(SUM(FJ5,FN5)&gt;0,SUM(FJ5,FN5),"")</f>
        <v/>
      </c>
      <c r="FU5" s="81" t="str">
        <f>IF(SUM(FI5:FJ5,FL5:FN5,FP5)-SUM(FK5,FO5)&gt;0,SUM(FI5:FJ5,FL5:FN5,FP5)-SUM(FK5,FO5),"")</f>
        <v/>
      </c>
      <c r="FV5" s="81" t="str">
        <f>IF(SUM(FR5,FU5)&gt;0,SUM(FR5,FU5),"")</f>
        <v/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0" t="str">
        <f>IF(SUM(FX5,GB5)&gt;0,SUM(FX5,GB5),"")</f>
        <v/>
      </c>
      <c r="GR5" s="20" t="str">
        <f>IF(SUM(FW5:FX5,FZ5:GB5,GD5)-FY5-GC5&gt;0,SUM(FW5:FX5,FZ5:GB5,GD5)-FY5-GC5,"")</f>
        <v/>
      </c>
      <c r="GS5" s="20" t="str">
        <f>IF(SUM(GE5:GF5,GH5)-GG5&gt;0,SUM(GE5:GF5,GH5)-GG5,"")</f>
        <v/>
      </c>
      <c r="GT5" s="20" t="str">
        <f>IF(SUM(GJ5,GN5)&gt;0,SUM(GJ5,GN5),"")</f>
        <v/>
      </c>
      <c r="GU5" s="20" t="str">
        <f>IF(SUM(GI5:GJ5,GL5:GN5,GP5)-SUM(GK5,GO5)&gt;0,SUM(GI5:GJ5,GL5:GN5,GP5)-SUM(GK5,GO5),"")</f>
        <v/>
      </c>
      <c r="GV5" s="20" t="str">
        <f>IF(SUM(GR5,GU5)&gt;0,SUM(GR5,GU5),"")</f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81" t="str">
        <f>IF(SUM(GX5,HB5)&gt;0,SUM(GX5,HB5),"")</f>
        <v/>
      </c>
      <c r="HR5" s="81" t="str">
        <f>IF(SUM(GW5:GX5,GZ5:HB5,HD5)-GY5-HC5&gt;0,SUM(GW5:GX5,GZ5:HB5,HD5)-GY5-HC5,"")</f>
        <v/>
      </c>
      <c r="HS5" s="81" t="str">
        <f>IF(SUM(HE5:HF5,HH5)-HG5&gt;0,SUM(HE5:HF5,HH5)-HG5,"")</f>
        <v/>
      </c>
      <c r="HT5" s="81" t="str">
        <f>IF(SUM(HJ5,HN5)&gt;0,SUM(HJ5,HN5),"")</f>
        <v/>
      </c>
      <c r="HU5" s="81" t="str">
        <f>IF(SUM(HI5:HJ5,HL5:HN5,HP5)-SUM(HK5,HO5)&gt;0,SUM(HI5:HJ5,HL5:HN5,HP5)-SUM(HK5,HO5),"")</f>
        <v/>
      </c>
      <c r="HV5" s="81" t="str">
        <f>IF(SUM(HR5,HU5)&gt;0,SUM(HR5,HU5),"")</f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81" t="str">
        <f>IF(SUM(IX5,JB5)&gt;0,SUM(IX5,JB5),"")</f>
        <v/>
      </c>
      <c r="JR5" s="81" t="str">
        <f>IF(SUM(IW5:IX5,IZ5:JB5,JD5)-IY5-JC5&gt;0,SUM(IW5:IX5,IZ5:JB5,JD5)-IY5-JC5,"")</f>
        <v/>
      </c>
      <c r="JS5" s="81" t="str">
        <f>IF(SUM(JE5:JF5,JH5)-JG5&gt;0,SUM(JE5:JF5,JH5)-JG5,"")</f>
        <v/>
      </c>
      <c r="JT5" s="81" t="str">
        <f>IF(SUM(JJ5,JN5)&gt;0,SUM(JJ5,JN5),"")</f>
        <v/>
      </c>
      <c r="JU5" s="81" t="str">
        <f>IF(SUM(JI5:JJ5,JL5:JN5,JP5)-SUM(JK5,JO5)&gt;0,SUM(JI5:JJ5,JL5:JN5,JP5)-SUM(JK5,JO5),"")</f>
        <v/>
      </c>
      <c r="JV5" s="81" t="str">
        <f>IF(SUM(JR5,JU5)&gt;0,SUM(JR5,JU5),"")</f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81" t="str">
        <f>IF(SUM(KX5,LB5)&gt;0,SUM(KX5,LB5),"")</f>
        <v/>
      </c>
      <c r="LR5" s="81" t="str">
        <f>IF(SUM(KW5:KX5,KZ5:LB5,LD5)-KY5-LC5&gt;0,SUM(KW5:KX5,KZ5:LB5,LD5)-KY5-LC5,"")</f>
        <v/>
      </c>
      <c r="LS5" s="81" t="str">
        <f>IF(SUM(LE5:LF5,LH5)-LG5&gt;0,SUM(LE5:LF5,LH5)-LG5,"")</f>
        <v/>
      </c>
      <c r="LT5" s="81" t="str">
        <f>IF(SUM(LJ5,LN5)&gt;0,SUM(LJ5,LN5),"")</f>
        <v/>
      </c>
      <c r="LU5" s="81" t="str">
        <f>IF(SUM(LI5:LJ5,LL5:LN5,LP5)-SUM(LK5,LO5)&gt;0,SUM(LI5:LJ5,LL5:LN5,LP5)-SUM(LK5,LO5),"")</f>
        <v/>
      </c>
      <c r="LV5" s="81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81" t="str">
        <f>IF(SUM(MX5,NB5)&gt;0,SUM(MX5,NB5),"")</f>
        <v/>
      </c>
      <c r="NR5" s="81" t="str">
        <f>IF(SUM(MW5:MX5,MZ5:NB5,ND5)-MY5-NC5&gt;0,SUM(MW5:MX5,MZ5:NB5,ND5)-MY5-NC5,"")</f>
        <v/>
      </c>
      <c r="NS5" s="81" t="str">
        <f>IF(SUM(NE5:NF5,NH5)-NG5&gt;0,SUM(NE5:NF5,NH5)-NG5,"")</f>
        <v/>
      </c>
      <c r="NT5" s="81" t="str">
        <f>IF(SUM(NJ5,NN5)&gt;0,SUM(NJ5,NN5),"")</f>
        <v/>
      </c>
      <c r="NU5" s="81" t="str">
        <f>IF(SUM(NI5:NJ5,NL5:NN5,NP5)-SUM(NK5,NO5)&gt;0,SUM(NI5:NJ5,NL5:NN5,NP5)-SUM(NK5,NO5),"")</f>
        <v/>
      </c>
      <c r="NV5" s="81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>IF($CN5="P",BT5,(BT5+AS5)/2)</f>
        <v>9.2000499999999992</v>
      </c>
      <c r="OX5" s="38">
        <f>IF($CN5="P",BU5,(BU5+AT5)/2)</f>
        <v>2.6001000000000003</v>
      </c>
      <c r="OY5" s="38">
        <f>IF($CN5="P",BV5,(BV5+AU5)/2)</f>
        <v>0</v>
      </c>
      <c r="OZ5" s="38">
        <f>IF($CN5="P",BW5,(BW5+AV5)/2)</f>
        <v>0</v>
      </c>
      <c r="PA5" s="38">
        <f>IF($CN5="P",BX5,(BX5+AW5)/2)</f>
        <v>9</v>
      </c>
      <c r="PB5" s="38">
        <f>IF($CN5="P",BY5,(BY5+AX5)/2)</f>
        <v>2.6</v>
      </c>
      <c r="PC5" s="38">
        <f>IF($CN5="P",BZ5,(BZ5+AY5)/2)</f>
        <v>0.1</v>
      </c>
      <c r="PD5" s="38">
        <f>IF($CN5="P",CA5,(CA5+AZ5)/2)</f>
        <v>0</v>
      </c>
      <c r="PE5" s="38">
        <f>IF($CN5="P",CB5,(CB5+BA5)/2)</f>
        <v>0</v>
      </c>
      <c r="PF5" s="38">
        <f>IF($CN5="P",CC5,(CC5+BB5)/2)</f>
        <v>0</v>
      </c>
      <c r="PG5" s="38">
        <f>IF($CN5="P",CD5,(CD5+BC5)/2)</f>
        <v>0</v>
      </c>
      <c r="PH5" s="38">
        <f>IF($CN5="P",CE5,(CE5+BD5)/2)</f>
        <v>0</v>
      </c>
      <c r="PI5" s="38">
        <f>IF($CN5="P",CF5,(CF5+BE5)/2)</f>
        <v>9.1999999999999993</v>
      </c>
      <c r="PJ5" s="38">
        <f>IF($CN5="P",CG5,(CG5+BF5)/2)</f>
        <v>2.6</v>
      </c>
      <c r="PK5" s="38">
        <f>IF($CN5="P",CH5,(CH5+BG5)/2)</f>
        <v>0.3</v>
      </c>
      <c r="PL5" s="38">
        <f>IF($CN5="P",CI5,(CI5+BH5)/2)</f>
        <v>0</v>
      </c>
      <c r="PM5" s="38">
        <f>IF($CN5="P",CJ5,(CJ5+BI5)/2)</f>
        <v>9.2100000000000009</v>
      </c>
      <c r="PN5" s="38">
        <f>IF($CN5="P",CK5,(CK5+BJ5)/2)</f>
        <v>2.4</v>
      </c>
      <c r="PO5" s="38">
        <f>IF($CN5="P",CL5,(CL5+BK5)/2)</f>
        <v>0</v>
      </c>
      <c r="PP5" s="38">
        <f>IF($CN5="P",CM5,(CM5+BL5)/2)</f>
        <v>0</v>
      </c>
      <c r="PQ5" s="45" t="s">
        <v>44</v>
      </c>
      <c r="PR5" s="81">
        <f>IF(SUM(OX5,PB5)&gt;0,SUM(OX5,PB5),"")</f>
        <v>5.2001000000000008</v>
      </c>
      <c r="PS5" s="81">
        <f>IF(SUM(OW5:OX5,OZ5:PB5,PD5)-OY5-PC5&gt;0,SUM(OW5:OX5,OZ5:PB5,PD5)-OY5-PC5,"")</f>
        <v>23.300149999999999</v>
      </c>
      <c r="PT5" s="81" t="str">
        <f>IF(SUM(PE5:PF5,PH5)-PG5&gt;0,SUM(PE5:PF5,PH5)-PG5,"")</f>
        <v/>
      </c>
      <c r="PU5" s="81">
        <f>IF(SUM(PJ5,PN5)&gt;0,SUM(PJ5,PN5),"")</f>
        <v>5</v>
      </c>
      <c r="PV5" s="81">
        <f>IF(SUM(PI5:PJ5,PL5:PN5,PP5)-SUM(PK5,PO5)&gt;0,SUM(PI5:PJ5,PL5:PN5,PP5)-SUM(PK5,PO5),"")</f>
        <v>23.109999999999996</v>
      </c>
      <c r="PW5" s="81">
        <f>IF(SUM(PS5,PV5)&gt;0,SUM(PS5,PV5),"")</f>
        <v>46.410149999999994</v>
      </c>
    </row>
    <row r="6" spans="1:439" ht="17" x14ac:dyDescent="0.2">
      <c r="O6" s="16"/>
      <c r="P6" s="16"/>
      <c r="Q6" s="16"/>
    </row>
    <row r="7" spans="1:439" ht="17" x14ac:dyDescent="0.2">
      <c r="O7" s="16"/>
      <c r="P7" s="16"/>
      <c r="Q7" s="16"/>
    </row>
    <row r="8" spans="1:439" ht="17" x14ac:dyDescent="0.2">
      <c r="B8" s="83" t="s">
        <v>42</v>
      </c>
      <c r="O8" s="16"/>
      <c r="P8" s="16"/>
      <c r="Q8" s="16"/>
      <c r="AM8" s="5"/>
      <c r="AR8" s="84">
        <v>1E-4</v>
      </c>
      <c r="BN8" s="5"/>
      <c r="BS8" s="84">
        <v>1E-4</v>
      </c>
      <c r="CO8" s="5"/>
      <c r="CT8" s="84">
        <v>9.6</v>
      </c>
      <c r="DQ8" s="5"/>
      <c r="DV8" s="84">
        <v>9.6</v>
      </c>
      <c r="EQ8" s="5"/>
      <c r="EV8" s="84">
        <v>9.6</v>
      </c>
      <c r="FQ8" s="5"/>
      <c r="FV8" s="84">
        <v>9.6</v>
      </c>
      <c r="GQ8" s="5"/>
      <c r="GV8" s="84">
        <v>9.6</v>
      </c>
      <c r="HQ8" s="5"/>
      <c r="HV8" s="84">
        <v>9.6</v>
      </c>
      <c r="IQ8" s="5"/>
      <c r="IV8" s="84">
        <v>9.6</v>
      </c>
      <c r="JQ8" s="5"/>
      <c r="JV8" s="84">
        <v>9.6</v>
      </c>
      <c r="KQ8" s="5"/>
      <c r="KV8" s="84">
        <v>9.6</v>
      </c>
      <c r="LQ8" s="5"/>
      <c r="LV8" s="84">
        <v>9.6</v>
      </c>
      <c r="MQ8" s="5"/>
      <c r="MV8" s="84">
        <v>9.6</v>
      </c>
      <c r="NQ8" s="5"/>
      <c r="NV8" s="84">
        <v>9.6</v>
      </c>
      <c r="OQ8" s="5"/>
      <c r="OV8" s="84">
        <v>9.6</v>
      </c>
    </row>
    <row r="9" spans="1:439" ht="17" hidden="1" x14ac:dyDescent="0.2">
      <c r="B9" s="85" t="s">
        <v>41</v>
      </c>
      <c r="O9" s="16"/>
      <c r="P9" s="16"/>
      <c r="Q9" s="16"/>
      <c r="AM9" s="5"/>
      <c r="AR9" s="86">
        <f>AR10</f>
        <v>2.0000000000000001E-4</v>
      </c>
      <c r="BN9" s="5"/>
      <c r="BS9" s="86">
        <f>BS10</f>
        <v>2.0000000000000001E-4</v>
      </c>
      <c r="CO9" s="5"/>
      <c r="CT9" s="86">
        <f>CT10</f>
        <v>10.4</v>
      </c>
      <c r="DQ9" s="5"/>
      <c r="DV9" s="86">
        <f>DV10</f>
        <v>10.4</v>
      </c>
      <c r="EQ9" s="5"/>
      <c r="EV9" s="86">
        <f>EV10</f>
        <v>10.4</v>
      </c>
      <c r="FQ9" s="5"/>
      <c r="FV9" s="86">
        <f>FV10</f>
        <v>10.4</v>
      </c>
      <c r="GQ9" s="5"/>
      <c r="GV9" s="86">
        <f>GV10</f>
        <v>10.4</v>
      </c>
      <c r="HQ9" s="5"/>
      <c r="HV9" s="86">
        <f>HV10</f>
        <v>10.4</v>
      </c>
      <c r="IQ9" s="5"/>
      <c r="IV9" s="86">
        <f>IV10</f>
        <v>10.4</v>
      </c>
      <c r="JQ9" s="5"/>
      <c r="JV9" s="86">
        <f>JV10</f>
        <v>10.4</v>
      </c>
      <c r="KQ9" s="5"/>
      <c r="KV9" s="86">
        <f>KV10</f>
        <v>10.4</v>
      </c>
      <c r="LQ9" s="5"/>
      <c r="LV9" s="86">
        <f>LV10</f>
        <v>10.4</v>
      </c>
      <c r="MQ9" s="5"/>
      <c r="MV9" s="86">
        <f>MV10</f>
        <v>10.4</v>
      </c>
      <c r="NQ9" s="5"/>
      <c r="NV9" s="86">
        <f>NV10</f>
        <v>10.4</v>
      </c>
      <c r="OQ9" s="5"/>
      <c r="OV9" s="86">
        <f>OV10</f>
        <v>10.4</v>
      </c>
    </row>
    <row r="10" spans="1:439" ht="17" x14ac:dyDescent="0.2">
      <c r="A10" s="68"/>
      <c r="B10" s="79" t="s">
        <v>54</v>
      </c>
      <c r="C10" s="87"/>
      <c r="O10" s="16"/>
      <c r="P10" s="16"/>
      <c r="Q10" s="16"/>
      <c r="AM10" s="5"/>
      <c r="AR10" s="88">
        <v>2.0000000000000001E-4</v>
      </c>
      <c r="BN10" s="5"/>
      <c r="BS10" s="88">
        <v>2.0000000000000001E-4</v>
      </c>
      <c r="CO10" s="5"/>
      <c r="CT10" s="88">
        <v>10.4</v>
      </c>
      <c r="DQ10" s="5"/>
      <c r="DV10" s="88">
        <v>10.4</v>
      </c>
      <c r="EQ10" s="5"/>
      <c r="EV10" s="88">
        <v>10.4</v>
      </c>
      <c r="FQ10" s="5"/>
      <c r="FV10" s="88">
        <v>10.4</v>
      </c>
      <c r="GQ10" s="5"/>
      <c r="GV10" s="88">
        <v>10.4</v>
      </c>
      <c r="HQ10" s="5"/>
      <c r="HV10" s="88">
        <v>10.4</v>
      </c>
      <c r="IQ10" s="5"/>
      <c r="IV10" s="88">
        <v>10.4</v>
      </c>
      <c r="JQ10" s="5"/>
      <c r="JV10" s="88">
        <v>10.4</v>
      </c>
      <c r="KQ10" s="5"/>
      <c r="KV10" s="88">
        <v>10.4</v>
      </c>
      <c r="LQ10" s="5"/>
      <c r="LV10" s="88">
        <v>10.4</v>
      </c>
      <c r="MQ10" s="5"/>
      <c r="MV10" s="88">
        <v>10.4</v>
      </c>
      <c r="NQ10" s="5"/>
      <c r="NV10" s="88">
        <v>10.4</v>
      </c>
      <c r="OQ10" s="5"/>
      <c r="OV10" s="88">
        <v>10.4</v>
      </c>
    </row>
    <row r="11" spans="1:439" ht="17" hidden="1" x14ac:dyDescent="0.2">
      <c r="A11" s="68"/>
      <c r="B11" s="89" t="s">
        <v>59</v>
      </c>
      <c r="C11" s="87"/>
      <c r="O11" s="16"/>
      <c r="P11" s="16"/>
      <c r="Q11" s="16"/>
      <c r="AM11" s="5"/>
      <c r="AR11" s="98">
        <v>1000</v>
      </c>
      <c r="BN11" s="5"/>
      <c r="BS11" s="98">
        <v>1000</v>
      </c>
      <c r="CO11" s="5"/>
      <c r="CT11" s="98">
        <v>1000</v>
      </c>
      <c r="DQ11" s="5"/>
      <c r="DV11" s="98">
        <v>1000</v>
      </c>
      <c r="EQ11" s="5"/>
      <c r="EV11" s="98">
        <v>1000</v>
      </c>
      <c r="FQ11" s="5"/>
      <c r="FV11" s="98">
        <v>1000</v>
      </c>
      <c r="GQ11" s="5"/>
      <c r="GV11" s="98">
        <v>1000</v>
      </c>
      <c r="HQ11" s="5"/>
      <c r="HV11" s="98">
        <v>1000</v>
      </c>
      <c r="IQ11" s="5"/>
      <c r="IV11" s="98">
        <v>1000</v>
      </c>
      <c r="JQ11" s="5"/>
      <c r="JV11" s="98">
        <v>1000</v>
      </c>
      <c r="KQ11" s="5"/>
      <c r="KV11" s="98">
        <v>1000</v>
      </c>
      <c r="LQ11" s="5"/>
      <c r="LV11" s="98">
        <v>1000</v>
      </c>
      <c r="MQ11" s="5"/>
      <c r="MV11" s="98">
        <v>1000</v>
      </c>
      <c r="NQ11" s="5"/>
      <c r="NV11" s="98">
        <v>1000</v>
      </c>
      <c r="OQ11" s="5"/>
      <c r="OV11" s="98">
        <v>1000</v>
      </c>
    </row>
    <row r="12" spans="1:439" ht="17" x14ac:dyDescent="0.2">
      <c r="A12" s="68"/>
      <c r="B12" s="91" t="s">
        <v>39</v>
      </c>
      <c r="C12" s="87"/>
      <c r="O12" s="16"/>
      <c r="P12" s="16"/>
      <c r="Q12" s="16"/>
      <c r="AM12" s="5"/>
      <c r="AR12" s="99">
        <v>2.9999999999999997E-4</v>
      </c>
      <c r="BN12" s="5"/>
      <c r="BS12" s="99">
        <v>2.9999999999999997E-4</v>
      </c>
      <c r="CO12" s="5"/>
      <c r="CT12" s="99">
        <v>46.4</v>
      </c>
      <c r="DQ12" s="5"/>
      <c r="DV12" s="99">
        <v>46.4</v>
      </c>
      <c r="EQ12" s="5"/>
      <c r="EV12" s="99">
        <v>46.4</v>
      </c>
      <c r="FQ12" s="5"/>
      <c r="FV12" s="99">
        <v>46.4</v>
      </c>
      <c r="GQ12" s="5"/>
      <c r="GV12" s="99">
        <v>46.4</v>
      </c>
      <c r="HQ12" s="5"/>
      <c r="HV12" s="99">
        <v>46.4</v>
      </c>
      <c r="IQ12" s="5"/>
      <c r="IV12" s="99">
        <v>46.4</v>
      </c>
      <c r="JQ12" s="5"/>
      <c r="JV12" s="99">
        <v>46.4</v>
      </c>
      <c r="KQ12" s="5"/>
      <c r="KV12" s="99">
        <v>46.4</v>
      </c>
      <c r="LQ12" s="5"/>
      <c r="LV12" s="99">
        <v>46.4</v>
      </c>
      <c r="MQ12" s="5"/>
      <c r="MV12" s="99">
        <v>46.4</v>
      </c>
      <c r="NQ12" s="5"/>
      <c r="NV12" s="99">
        <v>46.4</v>
      </c>
      <c r="OQ12" s="5"/>
      <c r="OV12" s="99">
        <v>46.4</v>
      </c>
    </row>
    <row r="13" spans="1:439" ht="17" hidden="1" x14ac:dyDescent="0.2">
      <c r="A13" s="68"/>
      <c r="B13" s="93" t="s">
        <v>40</v>
      </c>
      <c r="C13" s="87"/>
      <c r="O13" s="16"/>
      <c r="P13" s="16"/>
      <c r="Q13" s="16"/>
      <c r="AM13" s="5"/>
      <c r="AR13" s="94">
        <f>AR14</f>
        <v>4.0000000000000002E-4</v>
      </c>
      <c r="BN13" s="5"/>
      <c r="BS13" s="94">
        <f>BS14</f>
        <v>4.0000000000000002E-4</v>
      </c>
      <c r="CO13" s="5"/>
      <c r="CT13" s="94">
        <f>CT14</f>
        <v>48</v>
      </c>
      <c r="DQ13" s="5"/>
      <c r="DV13" s="94">
        <f>DV14</f>
        <v>48</v>
      </c>
      <c r="EQ13" s="5"/>
      <c r="EV13" s="94">
        <f>EV14</f>
        <v>48</v>
      </c>
      <c r="FQ13" s="5"/>
      <c r="FV13" s="94">
        <f>FV14</f>
        <v>48</v>
      </c>
      <c r="GQ13" s="5"/>
      <c r="GV13" s="94">
        <f>GV14</f>
        <v>48</v>
      </c>
      <c r="HQ13" s="5"/>
      <c r="HV13" s="94">
        <f>HV14</f>
        <v>48</v>
      </c>
      <c r="IQ13" s="5"/>
      <c r="IV13" s="94">
        <f>IV14</f>
        <v>48</v>
      </c>
      <c r="JQ13" s="5"/>
      <c r="JV13" s="94">
        <f>JV14</f>
        <v>48</v>
      </c>
      <c r="KQ13" s="5"/>
      <c r="KV13" s="94">
        <f>KV14</f>
        <v>48</v>
      </c>
      <c r="LQ13" s="5"/>
      <c r="LV13" s="94">
        <f>LV14</f>
        <v>48</v>
      </c>
      <c r="MQ13" s="5"/>
      <c r="MV13" s="94">
        <f>MV14</f>
        <v>48</v>
      </c>
      <c r="NQ13" s="5"/>
      <c r="NV13" s="94">
        <f>NV14</f>
        <v>48</v>
      </c>
      <c r="OQ13" s="5"/>
      <c r="OV13" s="94">
        <f>OV14</f>
        <v>48</v>
      </c>
    </row>
    <row r="14" spans="1:439" ht="17" x14ac:dyDescent="0.2">
      <c r="A14" s="68"/>
      <c r="B14" s="95" t="s">
        <v>53</v>
      </c>
      <c r="C14" s="87"/>
      <c r="O14" s="16"/>
      <c r="P14" s="16"/>
      <c r="Q14" s="16"/>
      <c r="AM14" s="5"/>
      <c r="AO14" s="67" t="s">
        <v>91</v>
      </c>
      <c r="AR14" s="96">
        <v>4.0000000000000002E-4</v>
      </c>
      <c r="BN14" s="5"/>
      <c r="BP14" s="67" t="s">
        <v>91</v>
      </c>
      <c r="BS14" s="96">
        <v>4.0000000000000002E-4</v>
      </c>
      <c r="CO14" s="5"/>
      <c r="CT14" s="96">
        <v>48</v>
      </c>
      <c r="DQ14" s="5"/>
      <c r="DV14" s="96">
        <v>48</v>
      </c>
      <c r="EQ14" s="5"/>
      <c r="EV14" s="96">
        <v>48</v>
      </c>
      <c r="FQ14" s="5"/>
      <c r="FV14" s="96">
        <v>48</v>
      </c>
      <c r="GQ14" s="5"/>
      <c r="GV14" s="96">
        <v>48</v>
      </c>
      <c r="HQ14" s="5"/>
      <c r="HV14" s="96">
        <v>48</v>
      </c>
      <c r="IQ14" s="5"/>
      <c r="IV14" s="96">
        <v>48</v>
      </c>
      <c r="JQ14" s="5"/>
      <c r="JV14" s="96">
        <v>48</v>
      </c>
      <c r="KQ14" s="5"/>
      <c r="KV14" s="96">
        <v>48</v>
      </c>
      <c r="LQ14" s="5"/>
      <c r="LV14" s="96">
        <v>48</v>
      </c>
      <c r="MQ14" s="5"/>
      <c r="MV14" s="96">
        <v>48</v>
      </c>
      <c r="NQ14" s="5"/>
      <c r="NV14" s="96">
        <v>48</v>
      </c>
      <c r="OQ14" s="5"/>
      <c r="OV14" s="96">
        <v>48</v>
      </c>
    </row>
    <row r="15" spans="1:439" ht="17" hidden="1" x14ac:dyDescent="0.2">
      <c r="A15" s="68"/>
      <c r="B15" s="78" t="s">
        <v>26</v>
      </c>
      <c r="C15" s="87"/>
      <c r="O15" s="16"/>
      <c r="P15" s="16"/>
      <c r="Q15" s="16"/>
      <c r="AM15" s="5"/>
      <c r="AR15" s="97">
        <v>1000</v>
      </c>
      <c r="BN15" s="5"/>
      <c r="BS15" s="97">
        <v>1000</v>
      </c>
      <c r="CO15" s="5"/>
      <c r="CT15" s="97">
        <v>1000</v>
      </c>
      <c r="DQ15" s="5"/>
      <c r="DV15" s="97">
        <v>1000</v>
      </c>
      <c r="EQ15" s="5"/>
      <c r="EV15" s="97">
        <v>1000</v>
      </c>
      <c r="FQ15" s="5"/>
      <c r="FV15" s="97">
        <v>1000</v>
      </c>
      <c r="GQ15" s="5"/>
      <c r="GV15" s="97">
        <v>1000</v>
      </c>
      <c r="HQ15" s="5"/>
      <c r="HV15" s="97">
        <v>1000</v>
      </c>
      <c r="IQ15" s="5"/>
      <c r="IV15" s="97">
        <v>1000</v>
      </c>
      <c r="JQ15" s="5"/>
      <c r="JV15" s="97">
        <v>1000</v>
      </c>
      <c r="KQ15" s="5"/>
      <c r="KV15" s="97">
        <v>1000</v>
      </c>
      <c r="LQ15" s="5"/>
      <c r="LV15" s="97">
        <v>1000</v>
      </c>
      <c r="MQ15" s="5"/>
      <c r="MV15" s="97">
        <v>1000</v>
      </c>
      <c r="NQ15" s="5"/>
      <c r="NV15" s="97">
        <v>1000</v>
      </c>
      <c r="OQ15" s="5"/>
      <c r="OV15" s="97">
        <v>1000</v>
      </c>
    </row>
    <row r="16" spans="1:439" x14ac:dyDescent="0.2">
      <c r="B16" s="47" t="s">
        <v>45</v>
      </c>
      <c r="C16" s="2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87"/>
    </row>
    <row r="20" spans="1:3" x14ac:dyDescent="0.2">
      <c r="A20" s="68"/>
      <c r="B20" s="68"/>
      <c r="C20" s="68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27" priority="1" stopIfTrue="1">
      <formula>IF($AL4&lt;&gt;"",1,0)</formula>
    </cfRule>
  </conditionalFormatting>
  <conditionalFormatting sqref="AS4:BS5">
    <cfRule type="expression" dxfId="26" priority="2" stopIfTrue="1">
      <formula>IF($BM4&lt;&gt;"",1,0)</formula>
    </cfRule>
  </conditionalFormatting>
  <conditionalFormatting sqref="J1:J1048576 L1:L1048576 N1:N1048576">
    <cfRule type="expression" dxfId="25" priority="9">
      <formula>IF(J1=$BT$1,1,0)</formula>
    </cfRule>
    <cfRule type="expression" dxfId="24" priority="10">
      <formula>IF(J1=$AS$1,1,0)</formula>
    </cfRule>
    <cfRule type="expression" dxfId="23" priority="11">
      <formula>IF(J1=$R$1,1,0)</formula>
    </cfRule>
  </conditionalFormatting>
  <conditionalFormatting sqref="BT4:CT5">
    <cfRule type="expression" dxfId="22" priority="3" stopIfTrue="1">
      <formula>IF($CN4&lt;&gt;"",1,0)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13" operator="between">
      <formula>AR$11</formula>
      <formula>1000</formula>
    </cfRule>
    <cfRule type="cellIs" dxfId="14" priority="14" operator="between">
      <formula>AR$10</formula>
      <formula>AR$11</formula>
    </cfRule>
    <cfRule type="cellIs" dxfId="13" priority="15" operator="between">
      <formula>AR$9</formula>
      <formula>AR$10</formula>
    </cfRule>
    <cfRule type="cellIs" dxfId="12" priority="16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17" operator="between">
      <formula>AR$15</formula>
      <formula>1000</formula>
    </cfRule>
    <cfRule type="cellIs" dxfId="10" priority="18" operator="between">
      <formula>AR$14</formula>
      <formula>AR$15</formula>
    </cfRule>
    <cfRule type="cellIs" dxfId="9" priority="19" operator="between">
      <formula>AR$13</formula>
      <formula>AR$14</formula>
    </cfRule>
    <cfRule type="cellIs" dxfId="8" priority="20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21" operator="between">
      <formula>AR$8</formula>
      <formula>AR$9</formula>
    </cfRule>
    <cfRule type="cellIs" dxfId="6" priority="22" operator="between">
      <formula>AR$9</formula>
      <formula>AR$10</formula>
    </cfRule>
    <cfRule type="cellIs" dxfId="5" priority="23" operator="between">
      <formula>AR$10</formula>
      <formula>AR$11</formula>
    </cfRule>
    <cfRule type="cellIs" dxfId="4" priority="24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25" operator="between">
      <formula>AR$12</formula>
      <formula>AR$13</formula>
    </cfRule>
    <cfRule type="cellIs" dxfId="2" priority="26" operator="between">
      <formula>AR$13</formula>
      <formula>AR$14</formula>
    </cfRule>
    <cfRule type="cellIs" dxfId="1" priority="27" operator="between">
      <formula>AR$14</formula>
      <formula>AR$15</formula>
    </cfRule>
    <cfRule type="cellIs" dxfId="0" priority="28" operator="between">
      <formula>AR$15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2022-04-08T02:34:02Z</dcterms:modified>
</cp:coreProperties>
</file>