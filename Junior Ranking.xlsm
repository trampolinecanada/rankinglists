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3D42B5D-ABA6-074E-9218-21DD31C4D164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'DMT-M'!$A$1:$PW$3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U16" i="17" l="1"/>
  <c r="NT16" i="17"/>
  <c r="NS16" i="17"/>
  <c r="NR16" i="17"/>
  <c r="NQ16" i="17"/>
  <c r="NU15" i="17"/>
  <c r="NT15" i="17"/>
  <c r="NS15" i="17"/>
  <c r="NR15" i="17"/>
  <c r="NV15" i="17" s="1"/>
  <c r="NQ15" i="17"/>
  <c r="NU14" i="17"/>
  <c r="NT14" i="17"/>
  <c r="NS14" i="17"/>
  <c r="NR14" i="17"/>
  <c r="NQ14" i="17"/>
  <c r="NU12" i="17"/>
  <c r="NT12" i="17"/>
  <c r="NS12" i="17"/>
  <c r="NR12" i="17"/>
  <c r="NV12" i="17" s="1"/>
  <c r="NQ12" i="17"/>
  <c r="NU11" i="17"/>
  <c r="NT11" i="17"/>
  <c r="NS11" i="17"/>
  <c r="NR11" i="17"/>
  <c r="NQ11" i="17"/>
  <c r="NU10" i="17"/>
  <c r="NT10" i="17"/>
  <c r="NS10" i="17"/>
  <c r="NR10" i="17"/>
  <c r="NQ10" i="17"/>
  <c r="NU9" i="17"/>
  <c r="NT9" i="17"/>
  <c r="NS9" i="17"/>
  <c r="NR9" i="17"/>
  <c r="NV9" i="17" s="1"/>
  <c r="NQ9" i="17"/>
  <c r="NU8" i="17"/>
  <c r="NT8" i="17"/>
  <c r="NS8" i="17"/>
  <c r="NR8" i="17"/>
  <c r="NV8" i="17" s="1"/>
  <c r="NQ8" i="17"/>
  <c r="NU13" i="17"/>
  <c r="NT13" i="17"/>
  <c r="NS13" i="17"/>
  <c r="NR13" i="17"/>
  <c r="NQ13" i="17"/>
  <c r="NU7" i="17"/>
  <c r="NT7" i="17"/>
  <c r="NS7" i="17"/>
  <c r="NR7" i="17"/>
  <c r="NQ7" i="17"/>
  <c r="NU6" i="17"/>
  <c r="NT6" i="17"/>
  <c r="NS6" i="17"/>
  <c r="NR6" i="17"/>
  <c r="NV6" i="17" s="1"/>
  <c r="NQ6" i="17"/>
  <c r="NU5" i="17"/>
  <c r="NT5" i="17"/>
  <c r="NS5" i="17"/>
  <c r="NR5" i="17"/>
  <c r="NQ5" i="17"/>
  <c r="NU4" i="17"/>
  <c r="NT4" i="17"/>
  <c r="NS4" i="17"/>
  <c r="NR4" i="17"/>
  <c r="NQ4" i="17"/>
  <c r="MU16" i="17"/>
  <c r="MT16" i="17"/>
  <c r="MS16" i="17"/>
  <c r="MR16" i="17"/>
  <c r="MV16" i="17" s="1"/>
  <c r="MQ16" i="17"/>
  <c r="MU15" i="17"/>
  <c r="MT15" i="17"/>
  <c r="MS15" i="17"/>
  <c r="MR15" i="17"/>
  <c r="MQ15" i="17"/>
  <c r="MU14" i="17"/>
  <c r="MT14" i="17"/>
  <c r="MS14" i="17"/>
  <c r="MR14" i="17"/>
  <c r="MQ14" i="17"/>
  <c r="MU12" i="17"/>
  <c r="MT12" i="17"/>
  <c r="MS12" i="17"/>
  <c r="MR12" i="17"/>
  <c r="MV12" i="17" s="1"/>
  <c r="MQ12" i="17"/>
  <c r="MU11" i="17"/>
  <c r="MT11" i="17"/>
  <c r="MS11" i="17"/>
  <c r="MR11" i="17"/>
  <c r="MQ11" i="17"/>
  <c r="MU10" i="17"/>
  <c r="MT10" i="17"/>
  <c r="MS10" i="17"/>
  <c r="MR10" i="17"/>
  <c r="MQ10" i="17"/>
  <c r="MU9" i="17"/>
  <c r="MT9" i="17"/>
  <c r="MS9" i="17"/>
  <c r="MR9" i="17"/>
  <c r="MQ9" i="17"/>
  <c r="MU8" i="17"/>
  <c r="MT8" i="17"/>
  <c r="MS8" i="17"/>
  <c r="MR8" i="17"/>
  <c r="MV8" i="17" s="1"/>
  <c r="MQ8" i="17"/>
  <c r="MU13" i="17"/>
  <c r="MT13" i="17"/>
  <c r="MS13" i="17"/>
  <c r="MR13" i="17"/>
  <c r="MV13" i="17" s="1"/>
  <c r="MQ13" i="17"/>
  <c r="MU7" i="17"/>
  <c r="MV7" i="17" s="1"/>
  <c r="MT7" i="17"/>
  <c r="MS7" i="17"/>
  <c r="MR7" i="17"/>
  <c r="MQ7" i="17"/>
  <c r="MU6" i="17"/>
  <c r="MT6" i="17"/>
  <c r="MS6" i="17"/>
  <c r="MR6" i="17"/>
  <c r="MV6" i="17" s="1"/>
  <c r="MQ6" i="17"/>
  <c r="MU5" i="17"/>
  <c r="MT5" i="17"/>
  <c r="MS5" i="17"/>
  <c r="MR5" i="17"/>
  <c r="MQ5" i="17"/>
  <c r="MU4" i="17"/>
  <c r="MT4" i="17"/>
  <c r="MS4" i="17"/>
  <c r="MR4" i="17"/>
  <c r="MQ4" i="17"/>
  <c r="LU16" i="17"/>
  <c r="LT16" i="17"/>
  <c r="LS16" i="17"/>
  <c r="LR16" i="17"/>
  <c r="LQ16" i="17"/>
  <c r="LU15" i="17"/>
  <c r="LT15" i="17"/>
  <c r="LS15" i="17"/>
  <c r="LR15" i="17"/>
  <c r="LV15" i="17" s="1"/>
  <c r="LQ15" i="17"/>
  <c r="LU14" i="17"/>
  <c r="LT14" i="17"/>
  <c r="LS14" i="17"/>
  <c r="LR14" i="17"/>
  <c r="LQ14" i="17"/>
  <c r="LU12" i="17"/>
  <c r="LT12" i="17"/>
  <c r="LS12" i="17"/>
  <c r="LR12" i="17"/>
  <c r="LV12" i="17" s="1"/>
  <c r="LQ12" i="17"/>
  <c r="LU11" i="17"/>
  <c r="LT11" i="17"/>
  <c r="LS11" i="17"/>
  <c r="LR11" i="17"/>
  <c r="LQ11" i="17"/>
  <c r="LU10" i="17"/>
  <c r="LT10" i="17"/>
  <c r="LS10" i="17"/>
  <c r="LR10" i="17"/>
  <c r="LV10" i="17" s="1"/>
  <c r="LQ10" i="17"/>
  <c r="LU9" i="17"/>
  <c r="LT9" i="17"/>
  <c r="LS9" i="17"/>
  <c r="LR9" i="17"/>
  <c r="LQ9" i="17"/>
  <c r="LU8" i="17"/>
  <c r="LT8" i="17"/>
  <c r="LS8" i="17"/>
  <c r="LR8" i="17"/>
  <c r="LQ8" i="17"/>
  <c r="LU13" i="17"/>
  <c r="LT13" i="17"/>
  <c r="LS13" i="17"/>
  <c r="LR13" i="17"/>
  <c r="LV13" i="17" s="1"/>
  <c r="LQ13" i="17"/>
  <c r="LU7" i="17"/>
  <c r="LT7" i="17"/>
  <c r="LS7" i="17"/>
  <c r="LR7" i="17"/>
  <c r="LQ7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V4" i="17" s="1"/>
  <c r="LQ4" i="17"/>
  <c r="KU16" i="17"/>
  <c r="KT16" i="17"/>
  <c r="KS16" i="17"/>
  <c r="KR16" i="17"/>
  <c r="KQ16" i="17"/>
  <c r="KU15" i="17"/>
  <c r="KT15" i="17"/>
  <c r="KS15" i="17"/>
  <c r="KR15" i="17"/>
  <c r="KQ15" i="17"/>
  <c r="KU14" i="17"/>
  <c r="KT14" i="17"/>
  <c r="KS14" i="17"/>
  <c r="KR14" i="17"/>
  <c r="KQ14" i="17"/>
  <c r="KU12" i="17"/>
  <c r="KT12" i="17"/>
  <c r="KS12" i="17"/>
  <c r="KR12" i="17"/>
  <c r="KQ12" i="17"/>
  <c r="KU11" i="17"/>
  <c r="KT11" i="17"/>
  <c r="KS11" i="17"/>
  <c r="KR11" i="17"/>
  <c r="KQ11" i="17"/>
  <c r="KU10" i="17"/>
  <c r="KT10" i="17"/>
  <c r="KS10" i="17"/>
  <c r="KR10" i="17"/>
  <c r="KV10" i="17" s="1"/>
  <c r="KQ10" i="17"/>
  <c r="KU9" i="17"/>
  <c r="KT9" i="17"/>
  <c r="KS9" i="17"/>
  <c r="KR9" i="17"/>
  <c r="KV9" i="17" s="1"/>
  <c r="KQ9" i="17"/>
  <c r="KU8" i="17"/>
  <c r="KT8" i="17"/>
  <c r="KS8" i="17"/>
  <c r="KR8" i="17"/>
  <c r="KQ8" i="17"/>
  <c r="KU13" i="17"/>
  <c r="KT13" i="17"/>
  <c r="KS13" i="17"/>
  <c r="KR13" i="17"/>
  <c r="KQ13" i="17"/>
  <c r="KU7" i="17"/>
  <c r="KT7" i="17"/>
  <c r="KS7" i="17"/>
  <c r="KR7" i="17"/>
  <c r="KQ7" i="17"/>
  <c r="KU6" i="17"/>
  <c r="KT6" i="17"/>
  <c r="KS6" i="17"/>
  <c r="KR6" i="17"/>
  <c r="KV6" i="17" s="1"/>
  <c r="KQ6" i="17"/>
  <c r="KU5" i="17"/>
  <c r="KT5" i="17"/>
  <c r="KS5" i="17"/>
  <c r="KR5" i="17"/>
  <c r="KQ5" i="17"/>
  <c r="KU4" i="17"/>
  <c r="KT4" i="17"/>
  <c r="KS4" i="17"/>
  <c r="KR4" i="17"/>
  <c r="KV4" i="17" s="1"/>
  <c r="KQ4" i="17"/>
  <c r="JU16" i="17"/>
  <c r="JT16" i="17"/>
  <c r="JS16" i="17"/>
  <c r="JR16" i="17"/>
  <c r="JV16" i="17" s="1"/>
  <c r="JQ16" i="17"/>
  <c r="JU15" i="17"/>
  <c r="JT15" i="17"/>
  <c r="JS15" i="17"/>
  <c r="JR15" i="17"/>
  <c r="JQ15" i="17"/>
  <c r="JU14" i="17"/>
  <c r="JT14" i="17"/>
  <c r="JS14" i="17"/>
  <c r="JR14" i="17"/>
  <c r="JQ14" i="17"/>
  <c r="JU12" i="17"/>
  <c r="JT12" i="17"/>
  <c r="JS12" i="17"/>
  <c r="JR12" i="17"/>
  <c r="JV12" i="17" s="1"/>
  <c r="JQ12" i="17"/>
  <c r="JU11" i="17"/>
  <c r="JT11" i="17"/>
  <c r="JS11" i="17"/>
  <c r="JR11" i="17"/>
  <c r="JQ11" i="17"/>
  <c r="JU10" i="17"/>
  <c r="JT10" i="17"/>
  <c r="JS10" i="17"/>
  <c r="JR10" i="17"/>
  <c r="JV10" i="17" s="1"/>
  <c r="JQ10" i="17"/>
  <c r="JU9" i="17"/>
  <c r="JT9" i="17"/>
  <c r="JS9" i="17"/>
  <c r="JR9" i="17"/>
  <c r="JV9" i="17" s="1"/>
  <c r="JQ9" i="17"/>
  <c r="JU8" i="17"/>
  <c r="JT8" i="17"/>
  <c r="JS8" i="17"/>
  <c r="JR8" i="17"/>
  <c r="JV8" i="17" s="1"/>
  <c r="JQ8" i="17"/>
  <c r="JU13" i="17"/>
  <c r="JT13" i="17"/>
  <c r="JS13" i="17"/>
  <c r="JR13" i="17"/>
  <c r="JQ13" i="17"/>
  <c r="JU7" i="17"/>
  <c r="JT7" i="17"/>
  <c r="JS7" i="17"/>
  <c r="JR7" i="17"/>
  <c r="JQ7" i="17"/>
  <c r="JU6" i="17"/>
  <c r="JT6" i="17"/>
  <c r="JS6" i="17"/>
  <c r="JR6" i="17"/>
  <c r="JV6" i="17" s="1"/>
  <c r="JQ6" i="17"/>
  <c r="JU5" i="17"/>
  <c r="JT5" i="17"/>
  <c r="JS5" i="17"/>
  <c r="JR5" i="17"/>
  <c r="JQ5" i="17"/>
  <c r="JU4" i="17"/>
  <c r="JT4" i="17"/>
  <c r="JS4" i="17"/>
  <c r="JR4" i="17"/>
  <c r="JQ4" i="17"/>
  <c r="IU16" i="17"/>
  <c r="IT16" i="17"/>
  <c r="IS16" i="17"/>
  <c r="IR16" i="17"/>
  <c r="IV16" i="17" s="1"/>
  <c r="IQ16" i="17"/>
  <c r="IU15" i="17"/>
  <c r="IT15" i="17"/>
  <c r="IS15" i="17"/>
  <c r="IR15" i="17"/>
  <c r="IV15" i="17" s="1"/>
  <c r="IQ15" i="17"/>
  <c r="IU14" i="17"/>
  <c r="IV14" i="17" s="1"/>
  <c r="IT14" i="17"/>
  <c r="IS14" i="17"/>
  <c r="IR14" i="17"/>
  <c r="IQ14" i="17"/>
  <c r="IU12" i="17"/>
  <c r="IT12" i="17"/>
  <c r="IS12" i="17"/>
  <c r="IR12" i="17"/>
  <c r="IQ12" i="17"/>
  <c r="IU11" i="17"/>
  <c r="IT11" i="17"/>
  <c r="IS11" i="17"/>
  <c r="IR11" i="17"/>
  <c r="IQ11" i="17"/>
  <c r="IU10" i="17"/>
  <c r="IT10" i="17"/>
  <c r="IS10" i="17"/>
  <c r="IR10" i="17"/>
  <c r="IQ10" i="17"/>
  <c r="IU9" i="17"/>
  <c r="IT9" i="17"/>
  <c r="IS9" i="17"/>
  <c r="IR9" i="17"/>
  <c r="IV9" i="17" s="1"/>
  <c r="IQ9" i="17"/>
  <c r="IU8" i="17"/>
  <c r="IT8" i="17"/>
  <c r="IS8" i="17"/>
  <c r="IR8" i="17"/>
  <c r="IV8" i="17" s="1"/>
  <c r="IQ8" i="17"/>
  <c r="IU13" i="17"/>
  <c r="IT13" i="17"/>
  <c r="IS13" i="17"/>
  <c r="IR13" i="17"/>
  <c r="IV13" i="17" s="1"/>
  <c r="IQ13" i="17"/>
  <c r="IU7" i="17"/>
  <c r="IT7" i="17"/>
  <c r="IS7" i="17"/>
  <c r="IR7" i="17"/>
  <c r="IQ7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V4" i="17" s="1"/>
  <c r="IQ4" i="17"/>
  <c r="HU16" i="17"/>
  <c r="HT16" i="17"/>
  <c r="HS16" i="17"/>
  <c r="HR16" i="17"/>
  <c r="HQ16" i="17"/>
  <c r="HU15" i="17"/>
  <c r="HT15" i="17"/>
  <c r="HS15" i="17"/>
  <c r="HR15" i="17"/>
  <c r="HV15" i="17" s="1"/>
  <c r="HQ15" i="17"/>
  <c r="HU14" i="17"/>
  <c r="HT14" i="17"/>
  <c r="HS14" i="17"/>
  <c r="HR14" i="17"/>
  <c r="HV14" i="17" s="1"/>
  <c r="HQ14" i="17"/>
  <c r="HU12" i="17"/>
  <c r="HT12" i="17"/>
  <c r="HS12" i="17"/>
  <c r="HR12" i="17"/>
  <c r="HQ12" i="17"/>
  <c r="HU11" i="17"/>
  <c r="HT11" i="17"/>
  <c r="HS11" i="17"/>
  <c r="HR11" i="17"/>
  <c r="HQ11" i="17"/>
  <c r="HU10" i="17"/>
  <c r="HT10" i="17"/>
  <c r="HS10" i="17"/>
  <c r="HR10" i="17"/>
  <c r="HV10" i="17" s="1"/>
  <c r="HQ10" i="17"/>
  <c r="HU9" i="17"/>
  <c r="HT9" i="17"/>
  <c r="HS9" i="17"/>
  <c r="HR9" i="17"/>
  <c r="HQ9" i="17"/>
  <c r="HU8" i="17"/>
  <c r="HT8" i="17"/>
  <c r="HS8" i="17"/>
  <c r="HR8" i="17"/>
  <c r="HQ8" i="17"/>
  <c r="HU13" i="17"/>
  <c r="HT13" i="17"/>
  <c r="HS13" i="17"/>
  <c r="HR13" i="17"/>
  <c r="HQ13" i="17"/>
  <c r="HU7" i="17"/>
  <c r="HT7" i="17"/>
  <c r="HS7" i="17"/>
  <c r="HR7" i="17"/>
  <c r="HQ7" i="17"/>
  <c r="HU6" i="17"/>
  <c r="HT6" i="17"/>
  <c r="HS6" i="17"/>
  <c r="HR6" i="17"/>
  <c r="HV6" i="17" s="1"/>
  <c r="HQ6" i="17"/>
  <c r="HU5" i="17"/>
  <c r="HT5" i="17"/>
  <c r="HS5" i="17"/>
  <c r="HR5" i="17"/>
  <c r="HQ5" i="17"/>
  <c r="HU4" i="17"/>
  <c r="HT4" i="17"/>
  <c r="HS4" i="17"/>
  <c r="HR4" i="17"/>
  <c r="HV4" i="17" s="1"/>
  <c r="HQ4" i="17"/>
  <c r="GU16" i="17"/>
  <c r="GT16" i="17"/>
  <c r="GS16" i="17"/>
  <c r="GR16" i="17"/>
  <c r="GV16" i="17" s="1"/>
  <c r="GQ16" i="17"/>
  <c r="GU15" i="17"/>
  <c r="GT15" i="17"/>
  <c r="GS15" i="17"/>
  <c r="GR15" i="17"/>
  <c r="GQ15" i="17"/>
  <c r="GU14" i="17"/>
  <c r="GT14" i="17"/>
  <c r="GS14" i="17"/>
  <c r="GR14" i="17"/>
  <c r="GQ14" i="17"/>
  <c r="GU12" i="17"/>
  <c r="GT12" i="17"/>
  <c r="GS12" i="17"/>
  <c r="GR12" i="17"/>
  <c r="GV12" i="17" s="1"/>
  <c r="GQ12" i="17"/>
  <c r="GU11" i="17"/>
  <c r="GT11" i="17"/>
  <c r="GS11" i="17"/>
  <c r="GR11" i="17"/>
  <c r="GQ11" i="17"/>
  <c r="GU10" i="17"/>
  <c r="GT10" i="17"/>
  <c r="GS10" i="17"/>
  <c r="GR10" i="17"/>
  <c r="GV10" i="17" s="1"/>
  <c r="GQ10" i="17"/>
  <c r="GU9" i="17"/>
  <c r="GT9" i="17"/>
  <c r="GS9" i="17"/>
  <c r="GR9" i="17"/>
  <c r="GV9" i="17" s="1"/>
  <c r="GQ9" i="17"/>
  <c r="GU8" i="17"/>
  <c r="GT8" i="17"/>
  <c r="GS8" i="17"/>
  <c r="GR8" i="17"/>
  <c r="GQ8" i="17"/>
  <c r="GU13" i="17"/>
  <c r="GT13" i="17"/>
  <c r="GS13" i="17"/>
  <c r="GR13" i="17"/>
  <c r="GQ13" i="17"/>
  <c r="GU7" i="17"/>
  <c r="GT7" i="17"/>
  <c r="GS7" i="17"/>
  <c r="GR7" i="17"/>
  <c r="GQ7" i="17"/>
  <c r="GU6" i="17"/>
  <c r="GT6" i="17"/>
  <c r="GS6" i="17"/>
  <c r="GR6" i="17"/>
  <c r="GV6" i="17" s="1"/>
  <c r="GQ6" i="17"/>
  <c r="GU5" i="17"/>
  <c r="GT5" i="17"/>
  <c r="GS5" i="17"/>
  <c r="GR5" i="17"/>
  <c r="GQ5" i="17"/>
  <c r="GU4" i="17"/>
  <c r="GT4" i="17"/>
  <c r="GS4" i="17"/>
  <c r="GR4" i="17"/>
  <c r="GQ4" i="17"/>
  <c r="FU16" i="17"/>
  <c r="FT16" i="17"/>
  <c r="FS16" i="17"/>
  <c r="FR16" i="17"/>
  <c r="FV16" i="17" s="1"/>
  <c r="FQ16" i="17"/>
  <c r="FU15" i="17"/>
  <c r="FT15" i="17"/>
  <c r="FS15" i="17"/>
  <c r="FR15" i="17"/>
  <c r="FV15" i="17" s="1"/>
  <c r="FQ15" i="17"/>
  <c r="FU14" i="17"/>
  <c r="FV14" i="17" s="1"/>
  <c r="FT14" i="17"/>
  <c r="FS14" i="17"/>
  <c r="FR14" i="17"/>
  <c r="FQ14" i="17"/>
  <c r="FU12" i="17"/>
  <c r="FT12" i="17"/>
  <c r="FS12" i="17"/>
  <c r="FR12" i="17"/>
  <c r="FQ12" i="17"/>
  <c r="FU11" i="17"/>
  <c r="FT11" i="17"/>
  <c r="FS11" i="17"/>
  <c r="FR11" i="17"/>
  <c r="FQ11" i="17"/>
  <c r="FU10" i="17"/>
  <c r="FT10" i="17"/>
  <c r="FS10" i="17"/>
  <c r="FR10" i="17"/>
  <c r="FQ10" i="17"/>
  <c r="FU9" i="17"/>
  <c r="FT9" i="17"/>
  <c r="FS9" i="17"/>
  <c r="FR9" i="17"/>
  <c r="FV9" i="17" s="1"/>
  <c r="FQ9" i="17"/>
  <c r="FU8" i="17"/>
  <c r="FT8" i="17"/>
  <c r="FS8" i="17"/>
  <c r="FR8" i="17"/>
  <c r="FV8" i="17" s="1"/>
  <c r="FQ8" i="17"/>
  <c r="FU13" i="17"/>
  <c r="FT13" i="17"/>
  <c r="FS13" i="17"/>
  <c r="FR13" i="17"/>
  <c r="FQ13" i="17"/>
  <c r="FU7" i="17"/>
  <c r="FT7" i="17"/>
  <c r="FS7" i="17"/>
  <c r="FR7" i="17"/>
  <c r="FQ7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V4" i="17" s="1"/>
  <c r="FQ4" i="17"/>
  <c r="EU16" i="17"/>
  <c r="ET16" i="17"/>
  <c r="ES16" i="17"/>
  <c r="ER16" i="17"/>
  <c r="EQ16" i="17"/>
  <c r="EU15" i="17"/>
  <c r="ET15" i="17"/>
  <c r="ES15" i="17"/>
  <c r="ER15" i="17"/>
  <c r="EV15" i="17" s="1"/>
  <c r="EQ15" i="17"/>
  <c r="EU14" i="17"/>
  <c r="ET14" i="17"/>
  <c r="ES14" i="17"/>
  <c r="ER14" i="17"/>
  <c r="EQ14" i="17"/>
  <c r="EU12" i="17"/>
  <c r="ET12" i="17"/>
  <c r="ES12" i="17"/>
  <c r="ER12" i="17"/>
  <c r="EQ12" i="17"/>
  <c r="EU11" i="17"/>
  <c r="ET11" i="17"/>
  <c r="ES11" i="17"/>
  <c r="ER11" i="17"/>
  <c r="EQ11" i="17"/>
  <c r="EU10" i="17"/>
  <c r="ET10" i="17"/>
  <c r="ES10" i="17"/>
  <c r="ER10" i="17"/>
  <c r="EV10" i="17" s="1"/>
  <c r="EQ10" i="17"/>
  <c r="EU9" i="17"/>
  <c r="ET9" i="17"/>
  <c r="ES9" i="17"/>
  <c r="ER9" i="17"/>
  <c r="EQ9" i="17"/>
  <c r="EU8" i="17"/>
  <c r="ET8" i="17"/>
  <c r="ES8" i="17"/>
  <c r="ER8" i="17"/>
  <c r="EV8" i="17" s="1"/>
  <c r="EQ8" i="17"/>
  <c r="EU13" i="17"/>
  <c r="ET13" i="17"/>
  <c r="ES13" i="17"/>
  <c r="ER13" i="17"/>
  <c r="EV13" i="17" s="1"/>
  <c r="EQ13" i="17"/>
  <c r="EU7" i="17"/>
  <c r="ET7" i="17"/>
  <c r="ES7" i="17"/>
  <c r="ER7" i="17"/>
  <c r="EQ7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V4" i="17" s="1"/>
  <c r="EQ4" i="17"/>
  <c r="DU16" i="17"/>
  <c r="DT16" i="17"/>
  <c r="DS16" i="17"/>
  <c r="DR16" i="17"/>
  <c r="DV16" i="17" s="1"/>
  <c r="DQ16" i="17"/>
  <c r="DU15" i="17"/>
  <c r="DT15" i="17"/>
  <c r="DS15" i="17"/>
  <c r="DR15" i="17"/>
  <c r="DQ15" i="17"/>
  <c r="DU14" i="17"/>
  <c r="DT14" i="17"/>
  <c r="DS14" i="17"/>
  <c r="DR14" i="17"/>
  <c r="DQ14" i="17"/>
  <c r="DU12" i="17"/>
  <c r="DT12" i="17"/>
  <c r="DS12" i="17"/>
  <c r="DR12" i="17"/>
  <c r="DV12" i="17" s="1"/>
  <c r="DQ12" i="17"/>
  <c r="DU11" i="17"/>
  <c r="DT11" i="17"/>
  <c r="DS11" i="17"/>
  <c r="DR11" i="17"/>
  <c r="DQ11" i="17"/>
  <c r="DU10" i="17"/>
  <c r="DT10" i="17"/>
  <c r="DS10" i="17"/>
  <c r="DR10" i="17"/>
  <c r="DQ10" i="17"/>
  <c r="DU9" i="17"/>
  <c r="DT9" i="17"/>
  <c r="DS9" i="17"/>
  <c r="DR9" i="17"/>
  <c r="DV9" i="17" s="1"/>
  <c r="DQ9" i="17"/>
  <c r="DU8" i="17"/>
  <c r="DT8" i="17"/>
  <c r="DS8" i="17"/>
  <c r="DR8" i="17"/>
  <c r="DQ8" i="17"/>
  <c r="DU13" i="17"/>
  <c r="DT13" i="17"/>
  <c r="DS13" i="17"/>
  <c r="DR13" i="17"/>
  <c r="DV13" i="17" s="1"/>
  <c r="DQ13" i="17"/>
  <c r="DU7" i="17"/>
  <c r="DT7" i="17"/>
  <c r="DS7" i="17"/>
  <c r="DR7" i="17"/>
  <c r="DQ7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U14" i="16"/>
  <c r="NT14" i="16"/>
  <c r="NS14" i="16"/>
  <c r="NR14" i="16"/>
  <c r="NQ14" i="16"/>
  <c r="NU13" i="16"/>
  <c r="NT13" i="16"/>
  <c r="NS13" i="16"/>
  <c r="NR13" i="16"/>
  <c r="NV13" i="16" s="1"/>
  <c r="NQ13" i="16"/>
  <c r="NU12" i="16"/>
  <c r="NT12" i="16"/>
  <c r="NS12" i="16"/>
  <c r="NR12" i="16"/>
  <c r="NQ12" i="16"/>
  <c r="NU11" i="16"/>
  <c r="NT11" i="16"/>
  <c r="NS11" i="16"/>
  <c r="NR11" i="16"/>
  <c r="NV11" i="16" s="1"/>
  <c r="NQ11" i="16"/>
  <c r="NU9" i="16"/>
  <c r="NT9" i="16"/>
  <c r="NS9" i="16"/>
  <c r="NR9" i="16"/>
  <c r="NQ9" i="16"/>
  <c r="NU8" i="16"/>
  <c r="NT8" i="16"/>
  <c r="NS8" i="16"/>
  <c r="NR8" i="16"/>
  <c r="NQ8" i="16"/>
  <c r="NU7" i="16"/>
  <c r="NT7" i="16"/>
  <c r="NS7" i="16"/>
  <c r="NR7" i="16"/>
  <c r="NV7" i="16" s="1"/>
  <c r="NQ7" i="16"/>
  <c r="NU10" i="16"/>
  <c r="NT10" i="16"/>
  <c r="NS10" i="16"/>
  <c r="NR10" i="16"/>
  <c r="NV10" i="16" s="1"/>
  <c r="NQ10" i="16"/>
  <c r="NU6" i="16"/>
  <c r="NT6" i="16"/>
  <c r="NS6" i="16"/>
  <c r="NR6" i="16"/>
  <c r="NQ6" i="16"/>
  <c r="NU5" i="16"/>
  <c r="NT5" i="16"/>
  <c r="NS5" i="16"/>
  <c r="NR5" i="16"/>
  <c r="NQ5" i="16"/>
  <c r="NU4" i="16"/>
  <c r="NT4" i="16"/>
  <c r="NS4" i="16"/>
  <c r="NR4" i="16"/>
  <c r="NQ4" i="16"/>
  <c r="MU14" i="16"/>
  <c r="MT14" i="16"/>
  <c r="MS14" i="16"/>
  <c r="MR14" i="16"/>
  <c r="MQ14" i="16"/>
  <c r="MU13" i="16"/>
  <c r="MT13" i="16"/>
  <c r="MS13" i="16"/>
  <c r="MR13" i="16"/>
  <c r="MQ13" i="16"/>
  <c r="MU12" i="16"/>
  <c r="MT12" i="16"/>
  <c r="MS12" i="16"/>
  <c r="MR12" i="16"/>
  <c r="MQ12" i="16"/>
  <c r="MU11" i="16"/>
  <c r="MT11" i="16"/>
  <c r="MS11" i="16"/>
  <c r="MR11" i="16"/>
  <c r="MQ11" i="16"/>
  <c r="MU9" i="16"/>
  <c r="MT9" i="16"/>
  <c r="MS9" i="16"/>
  <c r="MR9" i="16"/>
  <c r="MQ9" i="16"/>
  <c r="MU8" i="16"/>
  <c r="MT8" i="16"/>
  <c r="MS8" i="16"/>
  <c r="MR8" i="16"/>
  <c r="MQ8" i="16"/>
  <c r="MU7" i="16"/>
  <c r="MT7" i="16"/>
  <c r="MS7" i="16"/>
  <c r="MR7" i="16"/>
  <c r="MV7" i="16" s="1"/>
  <c r="MQ7" i="16"/>
  <c r="MU10" i="16"/>
  <c r="MT10" i="16"/>
  <c r="MS10" i="16"/>
  <c r="MR10" i="16"/>
  <c r="MQ10" i="16"/>
  <c r="MU6" i="16"/>
  <c r="MT6" i="16"/>
  <c r="MS6" i="16"/>
  <c r="MR6" i="16"/>
  <c r="MQ6" i="16"/>
  <c r="MU5" i="16"/>
  <c r="MT5" i="16"/>
  <c r="MS5" i="16"/>
  <c r="MR5" i="16"/>
  <c r="MQ5" i="16"/>
  <c r="MU4" i="16"/>
  <c r="MT4" i="16"/>
  <c r="MS4" i="16"/>
  <c r="MR4" i="16"/>
  <c r="MQ4" i="16"/>
  <c r="LU14" i="16"/>
  <c r="LT14" i="16"/>
  <c r="LS14" i="16"/>
  <c r="LR14" i="16"/>
  <c r="LQ14" i="16"/>
  <c r="LU13" i="16"/>
  <c r="LT13" i="16"/>
  <c r="LS13" i="16"/>
  <c r="LR13" i="16"/>
  <c r="LV13" i="16" s="1"/>
  <c r="LQ13" i="16"/>
  <c r="LU12" i="16"/>
  <c r="LT12" i="16"/>
  <c r="LS12" i="16"/>
  <c r="LR12" i="16"/>
  <c r="LQ12" i="16"/>
  <c r="LU11" i="16"/>
  <c r="LT11" i="16"/>
  <c r="LS11" i="16"/>
  <c r="LR11" i="16"/>
  <c r="LQ11" i="16"/>
  <c r="LU9" i="16"/>
  <c r="LT9" i="16"/>
  <c r="LS9" i="16"/>
  <c r="LR9" i="16"/>
  <c r="LQ9" i="16"/>
  <c r="LU8" i="16"/>
  <c r="LT8" i="16"/>
  <c r="LS8" i="16"/>
  <c r="LR8" i="16"/>
  <c r="LV8" i="16" s="1"/>
  <c r="LQ8" i="16"/>
  <c r="LU7" i="16"/>
  <c r="LT7" i="16"/>
  <c r="LS7" i="16"/>
  <c r="LR7" i="16"/>
  <c r="LQ7" i="16"/>
  <c r="LU10" i="16"/>
  <c r="LT10" i="16"/>
  <c r="LS10" i="16"/>
  <c r="LR10" i="16"/>
  <c r="LV10" i="16" s="1"/>
  <c r="LQ10" i="16"/>
  <c r="LU6" i="16"/>
  <c r="LT6" i="16"/>
  <c r="LS6" i="16"/>
  <c r="LR6" i="16"/>
  <c r="LQ6" i="16"/>
  <c r="LU5" i="16"/>
  <c r="LT5" i="16"/>
  <c r="LS5" i="16"/>
  <c r="LR5" i="16"/>
  <c r="LQ5" i="16"/>
  <c r="LU4" i="16"/>
  <c r="LT4" i="16"/>
  <c r="LS4" i="16"/>
  <c r="LR4" i="16"/>
  <c r="LQ4" i="16"/>
  <c r="KU14" i="16"/>
  <c r="KT14" i="16"/>
  <c r="KS14" i="16"/>
  <c r="KR14" i="16"/>
  <c r="KQ14" i="16"/>
  <c r="KU13" i="16"/>
  <c r="KT13" i="16"/>
  <c r="KS13" i="16"/>
  <c r="KR13" i="16"/>
  <c r="KQ13" i="16"/>
  <c r="KU12" i="16"/>
  <c r="KT12" i="16"/>
  <c r="KS12" i="16"/>
  <c r="KR12" i="16"/>
  <c r="KQ12" i="16"/>
  <c r="KU11" i="16"/>
  <c r="KT11" i="16"/>
  <c r="KS11" i="16"/>
  <c r="KR11" i="16"/>
  <c r="KQ11" i="16"/>
  <c r="KU9" i="16"/>
  <c r="KT9" i="16"/>
  <c r="KS9" i="16"/>
  <c r="KR9" i="16"/>
  <c r="KQ9" i="16"/>
  <c r="KU8" i="16"/>
  <c r="KT8" i="16"/>
  <c r="KS8" i="16"/>
  <c r="KR8" i="16"/>
  <c r="KQ8" i="16"/>
  <c r="KU7" i="16"/>
  <c r="KT7" i="16"/>
  <c r="KS7" i="16"/>
  <c r="KR7" i="16"/>
  <c r="KQ7" i="16"/>
  <c r="KU10" i="16"/>
  <c r="KT10" i="16"/>
  <c r="KS10" i="16"/>
  <c r="KR10" i="16"/>
  <c r="KV10" i="16" s="1"/>
  <c r="KQ10" i="16"/>
  <c r="KU6" i="16"/>
  <c r="KT6" i="16"/>
  <c r="KS6" i="16"/>
  <c r="KR6" i="16"/>
  <c r="KQ6" i="16"/>
  <c r="KU5" i="16"/>
  <c r="KT5" i="16"/>
  <c r="KS5" i="16"/>
  <c r="KR5" i="16"/>
  <c r="KQ5" i="16"/>
  <c r="KU4" i="16"/>
  <c r="KT4" i="16"/>
  <c r="KS4" i="16"/>
  <c r="KR4" i="16"/>
  <c r="KQ4" i="16"/>
  <c r="JU14" i="16"/>
  <c r="JT14" i="16"/>
  <c r="JS14" i="16"/>
  <c r="JR14" i="16"/>
  <c r="JQ14" i="16"/>
  <c r="JU13" i="16"/>
  <c r="JT13" i="16"/>
  <c r="JS13" i="16"/>
  <c r="JR13" i="16"/>
  <c r="JV13" i="16" s="1"/>
  <c r="JQ13" i="16"/>
  <c r="JU12" i="16"/>
  <c r="JT12" i="16"/>
  <c r="JS12" i="16"/>
  <c r="JR12" i="16"/>
  <c r="JQ12" i="16"/>
  <c r="JU11" i="16"/>
  <c r="JT11" i="16"/>
  <c r="JS11" i="16"/>
  <c r="JR11" i="16"/>
  <c r="JQ11" i="16"/>
  <c r="JU9" i="16"/>
  <c r="JT9" i="16"/>
  <c r="JS9" i="16"/>
  <c r="JR9" i="16"/>
  <c r="JQ9" i="16"/>
  <c r="JU8" i="16"/>
  <c r="JT8" i="16"/>
  <c r="JS8" i="16"/>
  <c r="JR8" i="16"/>
  <c r="JV8" i="16" s="1"/>
  <c r="JQ8" i="16"/>
  <c r="JU7" i="16"/>
  <c r="JT7" i="16"/>
  <c r="JS7" i="16"/>
  <c r="JR7" i="16"/>
  <c r="JQ7" i="16"/>
  <c r="JU10" i="16"/>
  <c r="JT10" i="16"/>
  <c r="JS10" i="16"/>
  <c r="JR10" i="16"/>
  <c r="JQ10" i="16"/>
  <c r="JU6" i="16"/>
  <c r="JT6" i="16"/>
  <c r="JS6" i="16"/>
  <c r="JR6" i="16"/>
  <c r="JV6" i="16" s="1"/>
  <c r="JQ6" i="16"/>
  <c r="JU5" i="16"/>
  <c r="JT5" i="16"/>
  <c r="JS5" i="16"/>
  <c r="JR5" i="16"/>
  <c r="JQ5" i="16"/>
  <c r="JU4" i="16"/>
  <c r="JT4" i="16"/>
  <c r="JS4" i="16"/>
  <c r="JR4" i="16"/>
  <c r="JQ4" i="16"/>
  <c r="IU14" i="16"/>
  <c r="IT14" i="16"/>
  <c r="IS14" i="16"/>
  <c r="IR14" i="16"/>
  <c r="IV14" i="16" s="1"/>
  <c r="IQ14" i="16"/>
  <c r="IU13" i="16"/>
  <c r="IT13" i="16"/>
  <c r="IS13" i="16"/>
  <c r="IR13" i="16"/>
  <c r="IQ13" i="16"/>
  <c r="IU12" i="16"/>
  <c r="IT12" i="16"/>
  <c r="IS12" i="16"/>
  <c r="IR12" i="16"/>
  <c r="IQ12" i="16"/>
  <c r="IU11" i="16"/>
  <c r="IT11" i="16"/>
  <c r="IS11" i="16"/>
  <c r="IR11" i="16"/>
  <c r="IQ11" i="16"/>
  <c r="IU9" i="16"/>
  <c r="IT9" i="16"/>
  <c r="IS9" i="16"/>
  <c r="IR9" i="16"/>
  <c r="IQ9" i="16"/>
  <c r="IU8" i="16"/>
  <c r="IT8" i="16"/>
  <c r="IS8" i="16"/>
  <c r="IR8" i="16"/>
  <c r="IQ8" i="16"/>
  <c r="IU7" i="16"/>
  <c r="IT7" i="16"/>
  <c r="IS7" i="16"/>
  <c r="IR7" i="16"/>
  <c r="IQ7" i="16"/>
  <c r="IU10" i="16"/>
  <c r="IT10" i="16"/>
  <c r="IS10" i="16"/>
  <c r="IR10" i="16"/>
  <c r="IV10" i="16" s="1"/>
  <c r="IQ10" i="16"/>
  <c r="IU6" i="16"/>
  <c r="IT6" i="16"/>
  <c r="IS6" i="16"/>
  <c r="IR6" i="16"/>
  <c r="IQ6" i="16"/>
  <c r="IU5" i="16"/>
  <c r="IT5" i="16"/>
  <c r="IS5" i="16"/>
  <c r="IR5" i="16"/>
  <c r="IQ5" i="16"/>
  <c r="IU4" i="16"/>
  <c r="IT4" i="16"/>
  <c r="IS4" i="16"/>
  <c r="IR4" i="16"/>
  <c r="IQ4" i="16"/>
  <c r="HU14" i="16"/>
  <c r="HT14" i="16"/>
  <c r="HS14" i="16"/>
  <c r="HR14" i="16"/>
  <c r="HQ14" i="16"/>
  <c r="HU13" i="16"/>
  <c r="HT13" i="16"/>
  <c r="HS13" i="16"/>
  <c r="HR13" i="16"/>
  <c r="HQ13" i="16"/>
  <c r="HU12" i="16"/>
  <c r="HT12" i="16"/>
  <c r="HS12" i="16"/>
  <c r="HR12" i="16"/>
  <c r="HQ12" i="16"/>
  <c r="HU11" i="16"/>
  <c r="HT11" i="16"/>
  <c r="HS11" i="16"/>
  <c r="HR11" i="16"/>
  <c r="HQ11" i="16"/>
  <c r="HU9" i="16"/>
  <c r="HT9" i="16"/>
  <c r="HS9" i="16"/>
  <c r="HR9" i="16"/>
  <c r="HQ9" i="16"/>
  <c r="HU8" i="16"/>
  <c r="HT8" i="16"/>
  <c r="HS8" i="16"/>
  <c r="HR8" i="16"/>
  <c r="HV8" i="16" s="1"/>
  <c r="HQ8" i="16"/>
  <c r="HU7" i="16"/>
  <c r="HT7" i="16"/>
  <c r="HS7" i="16"/>
  <c r="HR7" i="16"/>
  <c r="HQ7" i="16"/>
  <c r="HU10" i="16"/>
  <c r="HT10" i="16"/>
  <c r="HS10" i="16"/>
  <c r="HR10" i="16"/>
  <c r="HQ10" i="16"/>
  <c r="HU6" i="16"/>
  <c r="HT6" i="16"/>
  <c r="HS6" i="16"/>
  <c r="HR6" i="16"/>
  <c r="HV6" i="16" s="1"/>
  <c r="HQ6" i="16"/>
  <c r="HU5" i="16"/>
  <c r="HT5" i="16"/>
  <c r="HS5" i="16"/>
  <c r="HR5" i="16"/>
  <c r="HQ5" i="16"/>
  <c r="HU4" i="16"/>
  <c r="HT4" i="16"/>
  <c r="HS4" i="16"/>
  <c r="HR4" i="16"/>
  <c r="HQ4" i="16"/>
  <c r="GU14" i="16"/>
  <c r="GT14" i="16"/>
  <c r="GS14" i="16"/>
  <c r="GR14" i="16"/>
  <c r="GV14" i="16" s="1"/>
  <c r="GQ14" i="16"/>
  <c r="GU13" i="16"/>
  <c r="GT13" i="16"/>
  <c r="GS13" i="16"/>
  <c r="GR13" i="16"/>
  <c r="GQ13" i="16"/>
  <c r="GU12" i="16"/>
  <c r="GT12" i="16"/>
  <c r="GS12" i="16"/>
  <c r="GR12" i="16"/>
  <c r="GQ12" i="16"/>
  <c r="GU11" i="16"/>
  <c r="GT11" i="16"/>
  <c r="GS11" i="16"/>
  <c r="GR11" i="16"/>
  <c r="GV11" i="16" s="1"/>
  <c r="GQ11" i="16"/>
  <c r="GU9" i="16"/>
  <c r="GT9" i="16"/>
  <c r="GS9" i="16"/>
  <c r="GR9" i="16"/>
  <c r="GQ9" i="16"/>
  <c r="GU8" i="16"/>
  <c r="GT8" i="16"/>
  <c r="GS8" i="16"/>
  <c r="GR8" i="16"/>
  <c r="GQ8" i="16"/>
  <c r="GU7" i="16"/>
  <c r="GT7" i="16"/>
  <c r="GS7" i="16"/>
  <c r="GR7" i="16"/>
  <c r="GV7" i="16" s="1"/>
  <c r="GQ7" i="16"/>
  <c r="GU10" i="16"/>
  <c r="GT10" i="16"/>
  <c r="GS10" i="16"/>
  <c r="GR10" i="16"/>
  <c r="GQ10" i="16"/>
  <c r="GU6" i="16"/>
  <c r="GT6" i="16"/>
  <c r="GS6" i="16"/>
  <c r="GR6" i="16"/>
  <c r="GV6" i="16" s="1"/>
  <c r="GQ6" i="16"/>
  <c r="GU5" i="16"/>
  <c r="GT5" i="16"/>
  <c r="GS5" i="16"/>
  <c r="GR5" i="16"/>
  <c r="GQ5" i="16"/>
  <c r="GU4" i="16"/>
  <c r="GT4" i="16"/>
  <c r="GS4" i="16"/>
  <c r="GR4" i="16"/>
  <c r="GQ4" i="16"/>
  <c r="FU14" i="16"/>
  <c r="FT14" i="16"/>
  <c r="FS14" i="16"/>
  <c r="FR14" i="16"/>
  <c r="FQ14" i="16"/>
  <c r="FU13" i="16"/>
  <c r="FT13" i="16"/>
  <c r="FS13" i="16"/>
  <c r="FR13" i="16"/>
  <c r="FQ13" i="16"/>
  <c r="FU12" i="16"/>
  <c r="FT12" i="16"/>
  <c r="FS12" i="16"/>
  <c r="FR12" i="16"/>
  <c r="FQ12" i="16"/>
  <c r="FU11" i="16"/>
  <c r="FT11" i="16"/>
  <c r="FS11" i="16"/>
  <c r="FR11" i="16"/>
  <c r="FV11" i="16" s="1"/>
  <c r="FQ11" i="16"/>
  <c r="FU9" i="16"/>
  <c r="FT9" i="16"/>
  <c r="FS9" i="16"/>
  <c r="FR9" i="16"/>
  <c r="FQ9" i="16"/>
  <c r="FU8" i="16"/>
  <c r="FT8" i="16"/>
  <c r="FS8" i="16"/>
  <c r="FR8" i="16"/>
  <c r="FQ8" i="16"/>
  <c r="FU7" i="16"/>
  <c r="FT7" i="16"/>
  <c r="FS7" i="16"/>
  <c r="FR7" i="16"/>
  <c r="FV7" i="16" s="1"/>
  <c r="FQ7" i="16"/>
  <c r="FU10" i="16"/>
  <c r="FT10" i="16"/>
  <c r="FS10" i="16"/>
  <c r="FR10" i="16"/>
  <c r="FQ10" i="16"/>
  <c r="FU6" i="16"/>
  <c r="FT6" i="16"/>
  <c r="FS6" i="16"/>
  <c r="FR6" i="16"/>
  <c r="FV6" i="16" s="1"/>
  <c r="FQ6" i="16"/>
  <c r="FU5" i="16"/>
  <c r="FT5" i="16"/>
  <c r="FS5" i="16"/>
  <c r="FR5" i="16"/>
  <c r="FQ5" i="16"/>
  <c r="FU4" i="16"/>
  <c r="FT4" i="16"/>
  <c r="FS4" i="16"/>
  <c r="FR4" i="16"/>
  <c r="FQ4" i="16"/>
  <c r="EU14" i="16"/>
  <c r="ET14" i="16"/>
  <c r="ES14" i="16"/>
  <c r="ER14" i="16"/>
  <c r="EV14" i="16" s="1"/>
  <c r="EQ14" i="16"/>
  <c r="EU13" i="16"/>
  <c r="ET13" i="16"/>
  <c r="ES13" i="16"/>
  <c r="ER13" i="16"/>
  <c r="EQ13" i="16"/>
  <c r="EU12" i="16"/>
  <c r="ET12" i="16"/>
  <c r="ES12" i="16"/>
  <c r="ER12" i="16"/>
  <c r="EQ12" i="16"/>
  <c r="EU11" i="16"/>
  <c r="ET11" i="16"/>
  <c r="ES11" i="16"/>
  <c r="ER11" i="16"/>
  <c r="EQ11" i="16"/>
  <c r="EU9" i="16"/>
  <c r="ET9" i="16"/>
  <c r="ES9" i="16"/>
  <c r="ER9" i="16"/>
  <c r="EQ9" i="16"/>
  <c r="EU8" i="16"/>
  <c r="ET8" i="16"/>
  <c r="ES8" i="16"/>
  <c r="ER8" i="16"/>
  <c r="EV8" i="16" s="1"/>
  <c r="EQ8" i="16"/>
  <c r="EU7" i="16"/>
  <c r="ET7" i="16"/>
  <c r="ES7" i="16"/>
  <c r="ER7" i="16"/>
  <c r="EQ7" i="16"/>
  <c r="EU10" i="16"/>
  <c r="ET10" i="16"/>
  <c r="ES10" i="16"/>
  <c r="ER10" i="16"/>
  <c r="EQ10" i="16"/>
  <c r="EU6" i="16"/>
  <c r="ET6" i="16"/>
  <c r="ES6" i="16"/>
  <c r="ER6" i="16"/>
  <c r="EV6" i="16" s="1"/>
  <c r="EQ6" i="16"/>
  <c r="EU5" i="16"/>
  <c r="ET5" i="16"/>
  <c r="ES5" i="16"/>
  <c r="ER5" i="16"/>
  <c r="EQ5" i="16"/>
  <c r="EU4" i="16"/>
  <c r="ET4" i="16"/>
  <c r="ES4" i="16"/>
  <c r="ER4" i="16"/>
  <c r="EQ4" i="16"/>
  <c r="DU14" i="16"/>
  <c r="DT14" i="16"/>
  <c r="DS14" i="16"/>
  <c r="DR14" i="16"/>
  <c r="DV14" i="16" s="1"/>
  <c r="DQ14" i="16"/>
  <c r="DU13" i="16"/>
  <c r="DT13" i="16"/>
  <c r="DS13" i="16"/>
  <c r="DR13" i="16"/>
  <c r="DQ13" i="16"/>
  <c r="DU12" i="16"/>
  <c r="DT12" i="16"/>
  <c r="DS12" i="16"/>
  <c r="DR12" i="16"/>
  <c r="DQ12" i="16"/>
  <c r="DU11" i="16"/>
  <c r="DT11" i="16"/>
  <c r="DS11" i="16"/>
  <c r="DR11" i="16"/>
  <c r="DV11" i="16" s="1"/>
  <c r="DQ11" i="16"/>
  <c r="DU9" i="16"/>
  <c r="DT9" i="16"/>
  <c r="DS9" i="16"/>
  <c r="DR9" i="16"/>
  <c r="DQ9" i="16"/>
  <c r="DU8" i="16"/>
  <c r="DT8" i="16"/>
  <c r="DS8" i="16"/>
  <c r="DR8" i="16"/>
  <c r="DQ8" i="16"/>
  <c r="DU7" i="16"/>
  <c r="DT7" i="16"/>
  <c r="DS7" i="16"/>
  <c r="DR7" i="16"/>
  <c r="DV7" i="16" s="1"/>
  <c r="DQ7" i="16"/>
  <c r="DU10" i="16"/>
  <c r="DT10" i="16"/>
  <c r="DS10" i="16"/>
  <c r="DR10" i="16"/>
  <c r="DQ10" i="16"/>
  <c r="DU6" i="16"/>
  <c r="DT6" i="16"/>
  <c r="DS6" i="16"/>
  <c r="DR6" i="16"/>
  <c r="DQ6" i="16"/>
  <c r="DU5" i="16"/>
  <c r="DT5" i="16"/>
  <c r="DS5" i="16"/>
  <c r="DR5" i="16"/>
  <c r="DQ5" i="16"/>
  <c r="DU4" i="16"/>
  <c r="DT4" i="16"/>
  <c r="DS4" i="16"/>
  <c r="DR4" i="16"/>
  <c r="DQ4" i="16"/>
  <c r="NU8" i="15"/>
  <c r="NT8" i="15"/>
  <c r="NS8" i="15"/>
  <c r="NR8" i="15"/>
  <c r="NV8" i="15" s="1"/>
  <c r="NQ8" i="15"/>
  <c r="NU7" i="15"/>
  <c r="NT7" i="15"/>
  <c r="NS7" i="15"/>
  <c r="NR7" i="15"/>
  <c r="NV7" i="15" s="1"/>
  <c r="NQ7" i="15"/>
  <c r="NU6" i="15"/>
  <c r="NT6" i="15"/>
  <c r="NS6" i="15"/>
  <c r="NR6" i="15"/>
  <c r="NQ6" i="15"/>
  <c r="NU5" i="15"/>
  <c r="NT5" i="15"/>
  <c r="NS5" i="15"/>
  <c r="NR5" i="15"/>
  <c r="NV5" i="15" s="1"/>
  <c r="NQ5" i="15"/>
  <c r="NU4" i="15"/>
  <c r="NT4" i="15"/>
  <c r="NS4" i="15"/>
  <c r="NR4" i="15"/>
  <c r="NQ4" i="15"/>
  <c r="MU8" i="15"/>
  <c r="MT8" i="15"/>
  <c r="MS8" i="15"/>
  <c r="MR8" i="15"/>
  <c r="MV8" i="15" s="1"/>
  <c r="MQ8" i="15"/>
  <c r="MU7" i="15"/>
  <c r="MT7" i="15"/>
  <c r="MS7" i="15"/>
  <c r="MR7" i="15"/>
  <c r="MV7" i="15" s="1"/>
  <c r="MQ7" i="15"/>
  <c r="MU6" i="15"/>
  <c r="MT6" i="15"/>
  <c r="MS6" i="15"/>
  <c r="MR6" i="15"/>
  <c r="MQ6" i="15"/>
  <c r="MU5" i="15"/>
  <c r="MT5" i="15"/>
  <c r="MS5" i="15"/>
  <c r="MR5" i="15"/>
  <c r="MV5" i="15" s="1"/>
  <c r="MQ5" i="15"/>
  <c r="MU4" i="15"/>
  <c r="MT4" i="15"/>
  <c r="MS4" i="15"/>
  <c r="MR4" i="15"/>
  <c r="MQ4" i="15"/>
  <c r="LU8" i="15"/>
  <c r="LT8" i="15"/>
  <c r="LS8" i="15"/>
  <c r="LR8" i="15"/>
  <c r="LQ8" i="15"/>
  <c r="LU7" i="15"/>
  <c r="LT7" i="15"/>
  <c r="LS7" i="15"/>
  <c r="LR7" i="15"/>
  <c r="LV7" i="15" s="1"/>
  <c r="LQ7" i="15"/>
  <c r="LU6" i="15"/>
  <c r="LT6" i="15"/>
  <c r="LS6" i="15"/>
  <c r="LR6" i="15"/>
  <c r="LQ6" i="15"/>
  <c r="LU5" i="15"/>
  <c r="LT5" i="15"/>
  <c r="LS5" i="15"/>
  <c r="LR5" i="15"/>
  <c r="LQ5" i="15"/>
  <c r="LU4" i="15"/>
  <c r="LT4" i="15"/>
  <c r="LS4" i="15"/>
  <c r="LR4" i="15"/>
  <c r="LQ4" i="15"/>
  <c r="KU8" i="15"/>
  <c r="KT8" i="15"/>
  <c r="KS8" i="15"/>
  <c r="KR8" i="15"/>
  <c r="KV8" i="15" s="1"/>
  <c r="KQ8" i="15"/>
  <c r="KU7" i="15"/>
  <c r="KT7" i="15"/>
  <c r="KS7" i="15"/>
  <c r="KR7" i="15"/>
  <c r="KQ7" i="15"/>
  <c r="KU6" i="15"/>
  <c r="KT6" i="15"/>
  <c r="KS6" i="15"/>
  <c r="KR6" i="15"/>
  <c r="KQ6" i="15"/>
  <c r="KU5" i="15"/>
  <c r="KT5" i="15"/>
  <c r="KS5" i="15"/>
  <c r="KR5" i="15"/>
  <c r="KV5" i="15" s="1"/>
  <c r="KQ5" i="15"/>
  <c r="KU4" i="15"/>
  <c r="KT4" i="15"/>
  <c r="KS4" i="15"/>
  <c r="KR4" i="15"/>
  <c r="KQ4" i="15"/>
  <c r="JU8" i="15"/>
  <c r="JT8" i="15"/>
  <c r="JS8" i="15"/>
  <c r="JR8" i="15"/>
  <c r="JV8" i="15" s="1"/>
  <c r="JQ8" i="15"/>
  <c r="JU7" i="15"/>
  <c r="JT7" i="15"/>
  <c r="JS7" i="15"/>
  <c r="JR7" i="15"/>
  <c r="JQ7" i="15"/>
  <c r="JU6" i="15"/>
  <c r="JT6" i="15"/>
  <c r="JS6" i="15"/>
  <c r="JR6" i="15"/>
  <c r="JQ6" i="15"/>
  <c r="JU5" i="15"/>
  <c r="JT5" i="15"/>
  <c r="JS5" i="15"/>
  <c r="JR5" i="15"/>
  <c r="JV5" i="15" s="1"/>
  <c r="JQ5" i="15"/>
  <c r="JU4" i="15"/>
  <c r="JT4" i="15"/>
  <c r="JS4" i="15"/>
  <c r="JR4" i="15"/>
  <c r="JQ4" i="15"/>
  <c r="IU8" i="15"/>
  <c r="IT8" i="15"/>
  <c r="IS8" i="15"/>
  <c r="IR8" i="15"/>
  <c r="IQ8" i="15"/>
  <c r="IU7" i="15"/>
  <c r="IT7" i="15"/>
  <c r="IS7" i="15"/>
  <c r="IR7" i="15"/>
  <c r="IV7" i="15" s="1"/>
  <c r="IQ7" i="15"/>
  <c r="IU6" i="15"/>
  <c r="IV6" i="15" s="1"/>
  <c r="IT6" i="15"/>
  <c r="IS6" i="15"/>
  <c r="IR6" i="15"/>
  <c r="IQ6" i="15"/>
  <c r="IU5" i="15"/>
  <c r="IT5" i="15"/>
  <c r="IS5" i="15"/>
  <c r="IR5" i="15"/>
  <c r="IV5" i="15" s="1"/>
  <c r="IQ5" i="15"/>
  <c r="IU4" i="15"/>
  <c r="IT4" i="15"/>
  <c r="IS4" i="15"/>
  <c r="IR4" i="15"/>
  <c r="IQ4" i="15"/>
  <c r="HU8" i="15"/>
  <c r="HT8" i="15"/>
  <c r="HS8" i="15"/>
  <c r="HR8" i="15"/>
  <c r="HQ8" i="15"/>
  <c r="HU7" i="15"/>
  <c r="HT7" i="15"/>
  <c r="HS7" i="15"/>
  <c r="HR7" i="15"/>
  <c r="HV7" i="15" s="1"/>
  <c r="HQ7" i="15"/>
  <c r="HU6" i="15"/>
  <c r="HT6" i="15"/>
  <c r="HS6" i="15"/>
  <c r="HR6" i="15"/>
  <c r="HQ6" i="15"/>
  <c r="HU5" i="15"/>
  <c r="HT5" i="15"/>
  <c r="HS5" i="15"/>
  <c r="HR5" i="15"/>
  <c r="HV5" i="15" s="1"/>
  <c r="HQ5" i="15"/>
  <c r="HU4" i="15"/>
  <c r="HT4" i="15"/>
  <c r="HS4" i="15"/>
  <c r="HR4" i="15"/>
  <c r="HQ4" i="15"/>
  <c r="GU8" i="15"/>
  <c r="GT8" i="15"/>
  <c r="GS8" i="15"/>
  <c r="GR8" i="15"/>
  <c r="GQ8" i="15"/>
  <c r="GU7" i="15"/>
  <c r="GT7" i="15"/>
  <c r="GS7" i="15"/>
  <c r="GR7" i="15"/>
  <c r="GV7" i="15" s="1"/>
  <c r="GQ7" i="15"/>
  <c r="GU6" i="15"/>
  <c r="GT6" i="15"/>
  <c r="GS6" i="15"/>
  <c r="GR6" i="15"/>
  <c r="GQ6" i="15"/>
  <c r="GU5" i="15"/>
  <c r="GT5" i="15"/>
  <c r="GS5" i="15"/>
  <c r="GR5" i="15"/>
  <c r="GQ5" i="15"/>
  <c r="GU4" i="15"/>
  <c r="GT4" i="15"/>
  <c r="GS4" i="15"/>
  <c r="GR4" i="15"/>
  <c r="GQ4" i="15"/>
  <c r="FU8" i="15"/>
  <c r="FT8" i="15"/>
  <c r="FS8" i="15"/>
  <c r="FR8" i="15"/>
  <c r="FV8" i="15" s="1"/>
  <c r="FQ8" i="15"/>
  <c r="FU7" i="15"/>
  <c r="FT7" i="15"/>
  <c r="FS7" i="15"/>
  <c r="FR7" i="15"/>
  <c r="FQ7" i="15"/>
  <c r="FU6" i="15"/>
  <c r="FT6" i="15"/>
  <c r="FS6" i="15"/>
  <c r="FR6" i="15"/>
  <c r="FQ6" i="15"/>
  <c r="FU5" i="15"/>
  <c r="FT5" i="15"/>
  <c r="FS5" i="15"/>
  <c r="FR5" i="15"/>
  <c r="FV5" i="15" s="1"/>
  <c r="FQ5" i="15"/>
  <c r="FU4" i="15"/>
  <c r="FT4" i="15"/>
  <c r="FS4" i="15"/>
  <c r="FR4" i="15"/>
  <c r="FQ4" i="15"/>
  <c r="EU8" i="15"/>
  <c r="ET8" i="15"/>
  <c r="ES8" i="15"/>
  <c r="ER8" i="15"/>
  <c r="EV8" i="15" s="1"/>
  <c r="EQ8" i="15"/>
  <c r="EU7" i="15"/>
  <c r="ET7" i="15"/>
  <c r="ES7" i="15"/>
  <c r="ER7" i="15"/>
  <c r="EV7" i="15" s="1"/>
  <c r="EQ7" i="15"/>
  <c r="EU6" i="15"/>
  <c r="ET6" i="15"/>
  <c r="ES6" i="15"/>
  <c r="ER6" i="15"/>
  <c r="EQ6" i="15"/>
  <c r="EU5" i="15"/>
  <c r="ET5" i="15"/>
  <c r="ES5" i="15"/>
  <c r="ER5" i="15"/>
  <c r="EV5" i="15" s="1"/>
  <c r="EQ5" i="15"/>
  <c r="EU4" i="15"/>
  <c r="ET4" i="15"/>
  <c r="ES4" i="15"/>
  <c r="EV4" i="15" s="1"/>
  <c r="ER4" i="15"/>
  <c r="EQ4" i="15"/>
  <c r="DU8" i="15"/>
  <c r="DT8" i="15"/>
  <c r="DS8" i="15"/>
  <c r="DR8" i="15"/>
  <c r="DV8" i="15" s="1"/>
  <c r="DQ8" i="15"/>
  <c r="DU7" i="15"/>
  <c r="DT7" i="15"/>
  <c r="DS7" i="15"/>
  <c r="DR7" i="15"/>
  <c r="DV7" i="15" s="1"/>
  <c r="DQ7" i="15"/>
  <c r="DU6" i="15"/>
  <c r="DV6" i="15" s="1"/>
  <c r="DT6" i="15"/>
  <c r="DS6" i="15"/>
  <c r="DR6" i="15"/>
  <c r="DQ6" i="15"/>
  <c r="DU5" i="15"/>
  <c r="DT5" i="15"/>
  <c r="DS5" i="15"/>
  <c r="DR5" i="15"/>
  <c r="DQ5" i="15"/>
  <c r="DU4" i="15"/>
  <c r="DT4" i="15"/>
  <c r="DS4" i="15"/>
  <c r="DR4" i="15"/>
  <c r="DQ4" i="15"/>
  <c r="NU4" i="14"/>
  <c r="NT4" i="14"/>
  <c r="NS4" i="14"/>
  <c r="NR4" i="14"/>
  <c r="NQ4" i="14"/>
  <c r="NU5" i="14"/>
  <c r="NT5" i="14"/>
  <c r="NS5" i="14"/>
  <c r="NR5" i="14"/>
  <c r="NV5" i="14" s="1"/>
  <c r="NQ5" i="14"/>
  <c r="MU4" i="14"/>
  <c r="MT4" i="14"/>
  <c r="MS4" i="14"/>
  <c r="MR4" i="14"/>
  <c r="MV4" i="14" s="1"/>
  <c r="MQ4" i="14"/>
  <c r="MU5" i="14"/>
  <c r="MT5" i="14"/>
  <c r="MS5" i="14"/>
  <c r="MR5" i="14"/>
  <c r="MQ5" i="14"/>
  <c r="LU4" i="14"/>
  <c r="LT4" i="14"/>
  <c r="LS4" i="14"/>
  <c r="LR4" i="14"/>
  <c r="LV4" i="14" s="1"/>
  <c r="LQ4" i="14"/>
  <c r="LU5" i="14"/>
  <c r="LT5" i="14"/>
  <c r="LS5" i="14"/>
  <c r="LR5" i="14"/>
  <c r="LV5" i="14" s="1"/>
  <c r="LQ5" i="14"/>
  <c r="KU4" i="14"/>
  <c r="KT4" i="14"/>
  <c r="KS4" i="14"/>
  <c r="KR4" i="14"/>
  <c r="KV4" i="14" s="1"/>
  <c r="KQ4" i="14"/>
  <c r="KU5" i="14"/>
  <c r="KT5" i="14"/>
  <c r="KS5" i="14"/>
  <c r="KR5" i="14"/>
  <c r="KV5" i="14" s="1"/>
  <c r="KQ5" i="14"/>
  <c r="JU4" i="14"/>
  <c r="JT4" i="14"/>
  <c r="JS4" i="14"/>
  <c r="JR4" i="14"/>
  <c r="JQ4" i="14"/>
  <c r="JU5" i="14"/>
  <c r="JT5" i="14"/>
  <c r="JS5" i="14"/>
  <c r="JR5" i="14"/>
  <c r="JV5" i="14" s="1"/>
  <c r="JQ5" i="14"/>
  <c r="IU4" i="14"/>
  <c r="IT4" i="14"/>
  <c r="IS4" i="14"/>
  <c r="IR4" i="14"/>
  <c r="IV4" i="14" s="1"/>
  <c r="IQ4" i="14"/>
  <c r="IU5" i="14"/>
  <c r="IT5" i="14"/>
  <c r="IS5" i="14"/>
  <c r="IR5" i="14"/>
  <c r="IQ5" i="14"/>
  <c r="HU4" i="14"/>
  <c r="HT4" i="14"/>
  <c r="HS4" i="14"/>
  <c r="HR4" i="14"/>
  <c r="HV4" i="14" s="1"/>
  <c r="HQ4" i="14"/>
  <c r="HU5" i="14"/>
  <c r="HT5" i="14"/>
  <c r="HS5" i="14"/>
  <c r="HR5" i="14"/>
  <c r="HV5" i="14" s="1"/>
  <c r="HQ5" i="14"/>
  <c r="GU4" i="14"/>
  <c r="GT4" i="14"/>
  <c r="GS4" i="14"/>
  <c r="GR4" i="14"/>
  <c r="GQ4" i="14"/>
  <c r="GU5" i="14"/>
  <c r="GT5" i="14"/>
  <c r="GS5" i="14"/>
  <c r="GR5" i="14"/>
  <c r="GV5" i="14" s="1"/>
  <c r="GQ5" i="14"/>
  <c r="FU4" i="14"/>
  <c r="FT4" i="14"/>
  <c r="FS4" i="14"/>
  <c r="FR4" i="14"/>
  <c r="FV4" i="14" s="1"/>
  <c r="FQ4" i="14"/>
  <c r="FU5" i="14"/>
  <c r="FT5" i="14"/>
  <c r="FS5" i="14"/>
  <c r="FR5" i="14"/>
  <c r="FQ5" i="14"/>
  <c r="EU4" i="14"/>
  <c r="ET4" i="14"/>
  <c r="ES4" i="14"/>
  <c r="ER4" i="14"/>
  <c r="EV4" i="14" s="1"/>
  <c r="EQ4" i="14"/>
  <c r="EU5" i="14"/>
  <c r="ET5" i="14"/>
  <c r="ES5" i="14"/>
  <c r="ER5" i="14"/>
  <c r="EV5" i="14" s="1"/>
  <c r="EQ5" i="14"/>
  <c r="DU4" i="14"/>
  <c r="DT4" i="14"/>
  <c r="DS4" i="14"/>
  <c r="DR4" i="14"/>
  <c r="DV4" i="14" s="1"/>
  <c r="DQ4" i="14"/>
  <c r="DU5" i="14"/>
  <c r="DT5" i="14"/>
  <c r="DS5" i="14"/>
  <c r="DR5" i="14"/>
  <c r="DV5" i="14" s="1"/>
  <c r="DQ5" i="14"/>
  <c r="MP11" i="13"/>
  <c r="MO11" i="13"/>
  <c r="MM11" i="13"/>
  <c r="ML11" i="13"/>
  <c r="MK11" i="13"/>
  <c r="MP10" i="13"/>
  <c r="MO10" i="13"/>
  <c r="MM10" i="13"/>
  <c r="ML10" i="13"/>
  <c r="MN10" i="13" s="1"/>
  <c r="MQ10" i="13" s="1"/>
  <c r="MK10" i="13"/>
  <c r="MP9" i="13"/>
  <c r="MO9" i="13"/>
  <c r="MM9" i="13"/>
  <c r="ML9" i="13"/>
  <c r="MN9" i="13" s="1"/>
  <c r="MQ9" i="13" s="1"/>
  <c r="MK9" i="13"/>
  <c r="MP8" i="13"/>
  <c r="MO8" i="13"/>
  <c r="MM8" i="13"/>
  <c r="ML8" i="13"/>
  <c r="MN8" i="13" s="1"/>
  <c r="MK8" i="13"/>
  <c r="MP7" i="13"/>
  <c r="MO7" i="13"/>
  <c r="MM7" i="13"/>
  <c r="ML7" i="13"/>
  <c r="MK7" i="13"/>
  <c r="MP6" i="13"/>
  <c r="MO6" i="13"/>
  <c r="MM6" i="13"/>
  <c r="ML6" i="13"/>
  <c r="MN6" i="13" s="1"/>
  <c r="MQ6" i="13" s="1"/>
  <c r="MK6" i="13"/>
  <c r="MP5" i="13"/>
  <c r="MO5" i="13"/>
  <c r="MM5" i="13"/>
  <c r="ML5" i="13"/>
  <c r="MN5" i="13" s="1"/>
  <c r="MK5" i="13"/>
  <c r="MP4" i="13"/>
  <c r="MO4" i="13"/>
  <c r="MM4" i="13"/>
  <c r="ML4" i="13"/>
  <c r="MK4" i="13"/>
  <c r="LT11" i="13"/>
  <c r="LS11" i="13"/>
  <c r="LQ11" i="13"/>
  <c r="LP11" i="13"/>
  <c r="LR11" i="13" s="1"/>
  <c r="LU11" i="13" s="1"/>
  <c r="LO11" i="13"/>
  <c r="LT10" i="13"/>
  <c r="LS10" i="13"/>
  <c r="LQ10" i="13"/>
  <c r="LP10" i="13"/>
  <c r="LO10" i="13"/>
  <c r="LT9" i="13"/>
  <c r="LS9" i="13"/>
  <c r="LQ9" i="13"/>
  <c r="LP9" i="13"/>
  <c r="LO9" i="13"/>
  <c r="LT8" i="13"/>
  <c r="LS8" i="13"/>
  <c r="LQ8" i="13"/>
  <c r="LP8" i="13"/>
  <c r="LR8" i="13" s="1"/>
  <c r="LU8" i="13" s="1"/>
  <c r="LO8" i="13"/>
  <c r="LT7" i="13"/>
  <c r="LS7" i="13"/>
  <c r="LQ7" i="13"/>
  <c r="LP7" i="13"/>
  <c r="LR7" i="13" s="1"/>
  <c r="LU7" i="13" s="1"/>
  <c r="LO7" i="13"/>
  <c r="LT6" i="13"/>
  <c r="LS6" i="13"/>
  <c r="LQ6" i="13"/>
  <c r="LP6" i="13"/>
  <c r="LR6" i="13" s="1"/>
  <c r="LU6" i="13" s="1"/>
  <c r="LO6" i="13"/>
  <c r="LT5" i="13"/>
  <c r="LS5" i="13"/>
  <c r="LQ5" i="13"/>
  <c r="LP5" i="13"/>
  <c r="LO5" i="13"/>
  <c r="LT4" i="13"/>
  <c r="LS4" i="13"/>
  <c r="LQ4" i="13"/>
  <c r="LP4" i="13"/>
  <c r="LR4" i="13" s="1"/>
  <c r="LU4" i="13" s="1"/>
  <c r="LO4" i="13"/>
  <c r="KX11" i="13"/>
  <c r="KW11" i="13"/>
  <c r="KU11" i="13"/>
  <c r="KT11" i="13"/>
  <c r="KV11" i="13" s="1"/>
  <c r="KY11" i="13" s="1"/>
  <c r="KS11" i="13"/>
  <c r="KX10" i="13"/>
  <c r="KW10" i="13"/>
  <c r="KU10" i="13"/>
  <c r="KT10" i="13"/>
  <c r="KV10" i="13" s="1"/>
  <c r="KS10" i="13"/>
  <c r="KX9" i="13"/>
  <c r="KW9" i="13"/>
  <c r="KU9" i="13"/>
  <c r="KT9" i="13"/>
  <c r="KS9" i="13"/>
  <c r="KX8" i="13"/>
  <c r="KW8" i="13"/>
  <c r="KU8" i="13"/>
  <c r="KT8" i="13"/>
  <c r="KV8" i="13" s="1"/>
  <c r="KY8" i="13" s="1"/>
  <c r="KS8" i="13"/>
  <c r="KX7" i="13"/>
  <c r="KW7" i="13"/>
  <c r="KU7" i="13"/>
  <c r="KT7" i="13"/>
  <c r="KV7" i="13" s="1"/>
  <c r="KS7" i="13"/>
  <c r="KX6" i="13"/>
  <c r="KW6" i="13"/>
  <c r="KU6" i="13"/>
  <c r="KT6" i="13"/>
  <c r="KV6" i="13" s="1"/>
  <c r="KY6" i="13" s="1"/>
  <c r="KS6" i="13"/>
  <c r="KX5" i="13"/>
  <c r="KW5" i="13"/>
  <c r="KU5" i="13"/>
  <c r="KT5" i="13"/>
  <c r="KV5" i="13" s="1"/>
  <c r="KY5" i="13" s="1"/>
  <c r="KS5" i="13"/>
  <c r="KX4" i="13"/>
  <c r="KW4" i="13"/>
  <c r="KU4" i="13"/>
  <c r="KT4" i="13"/>
  <c r="KS4" i="13"/>
  <c r="KB11" i="13"/>
  <c r="KA11" i="13"/>
  <c r="JY11" i="13"/>
  <c r="JX11" i="13"/>
  <c r="JW11" i="13"/>
  <c r="KB10" i="13"/>
  <c r="KA10" i="13"/>
  <c r="JY10" i="13"/>
  <c r="JX10" i="13"/>
  <c r="JZ10" i="13" s="1"/>
  <c r="KC10" i="13" s="1"/>
  <c r="JW10" i="13"/>
  <c r="KB9" i="13"/>
  <c r="KA9" i="13"/>
  <c r="JY9" i="13"/>
  <c r="JX9" i="13"/>
  <c r="JZ9" i="13" s="1"/>
  <c r="KC9" i="13" s="1"/>
  <c r="JW9" i="13"/>
  <c r="KB8" i="13"/>
  <c r="KA8" i="13"/>
  <c r="JY8" i="13"/>
  <c r="JX8" i="13"/>
  <c r="JZ8" i="13" s="1"/>
  <c r="KC8" i="13" s="1"/>
  <c r="JW8" i="13"/>
  <c r="KB7" i="13"/>
  <c r="KA7" i="13"/>
  <c r="JY7" i="13"/>
  <c r="JX7" i="13"/>
  <c r="JW7" i="13"/>
  <c r="KB6" i="13"/>
  <c r="KA6" i="13"/>
  <c r="JY6" i="13"/>
  <c r="JX6" i="13"/>
  <c r="JZ6" i="13" s="1"/>
  <c r="KC6" i="13" s="1"/>
  <c r="JW6" i="13"/>
  <c r="KB5" i="13"/>
  <c r="KA5" i="13"/>
  <c r="JY5" i="13"/>
  <c r="JX5" i="13"/>
  <c r="JZ5" i="13" s="1"/>
  <c r="KC5" i="13" s="1"/>
  <c r="JW5" i="13"/>
  <c r="KB4" i="13"/>
  <c r="KA4" i="13"/>
  <c r="JY4" i="13"/>
  <c r="JX4" i="13"/>
  <c r="JZ4" i="13" s="1"/>
  <c r="JW4" i="13"/>
  <c r="JF11" i="13"/>
  <c r="JE11" i="13"/>
  <c r="JC11" i="13"/>
  <c r="JB11" i="13"/>
  <c r="JA11" i="13"/>
  <c r="JF10" i="13"/>
  <c r="JE10" i="13"/>
  <c r="JC10" i="13"/>
  <c r="JB10" i="13"/>
  <c r="JD10" i="13" s="1"/>
  <c r="JG10" i="13" s="1"/>
  <c r="JA10" i="13"/>
  <c r="JF9" i="13"/>
  <c r="JE9" i="13"/>
  <c r="JC9" i="13"/>
  <c r="JB9" i="13"/>
  <c r="JD9" i="13" s="1"/>
  <c r="JA9" i="13"/>
  <c r="JF8" i="13"/>
  <c r="JE8" i="13"/>
  <c r="JC8" i="13"/>
  <c r="JB8" i="13"/>
  <c r="JD8" i="13" s="1"/>
  <c r="JG8" i="13" s="1"/>
  <c r="JA8" i="13"/>
  <c r="JF7" i="13"/>
  <c r="JE7" i="13"/>
  <c r="JC7" i="13"/>
  <c r="JB7" i="13"/>
  <c r="JD7" i="13" s="1"/>
  <c r="JG7" i="13" s="1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D4" i="13" s="1"/>
  <c r="JG4" i="13" s="1"/>
  <c r="JA4" i="13"/>
  <c r="IJ11" i="13"/>
  <c r="II11" i="13"/>
  <c r="IG11" i="13"/>
  <c r="IF11" i="13"/>
  <c r="IH11" i="13" s="1"/>
  <c r="IK11" i="13" s="1"/>
  <c r="IE11" i="13"/>
  <c r="IJ10" i="13"/>
  <c r="II10" i="13"/>
  <c r="IG10" i="13"/>
  <c r="IF10" i="13"/>
  <c r="IH10" i="13" s="1"/>
  <c r="IK10" i="13" s="1"/>
  <c r="IE10" i="13"/>
  <c r="IJ9" i="13"/>
  <c r="II9" i="13"/>
  <c r="IG9" i="13"/>
  <c r="IF9" i="13"/>
  <c r="IE9" i="13"/>
  <c r="IJ8" i="13"/>
  <c r="II8" i="13"/>
  <c r="IG8" i="13"/>
  <c r="IF8" i="13"/>
  <c r="IH8" i="13" s="1"/>
  <c r="IK8" i="13" s="1"/>
  <c r="IE8" i="13"/>
  <c r="IJ7" i="13"/>
  <c r="II7" i="13"/>
  <c r="IG7" i="13"/>
  <c r="IF7" i="13"/>
  <c r="IH7" i="13" s="1"/>
  <c r="IK7" i="13" s="1"/>
  <c r="IE7" i="13"/>
  <c r="IJ6" i="13"/>
  <c r="II6" i="13"/>
  <c r="IG6" i="13"/>
  <c r="IF6" i="13"/>
  <c r="IH6" i="13" s="1"/>
  <c r="IE6" i="13"/>
  <c r="IJ5" i="13"/>
  <c r="II5" i="13"/>
  <c r="IG5" i="13"/>
  <c r="IF5" i="13"/>
  <c r="IE5" i="13"/>
  <c r="IJ4" i="13"/>
  <c r="II4" i="13"/>
  <c r="IG4" i="13"/>
  <c r="IF4" i="13"/>
  <c r="IH4" i="13" s="1"/>
  <c r="IK4" i="13" s="1"/>
  <c r="IE4" i="13"/>
  <c r="HN11" i="13"/>
  <c r="HM11" i="13"/>
  <c r="HK11" i="13"/>
  <c r="HJ11" i="13"/>
  <c r="HL11" i="13" s="1"/>
  <c r="HI11" i="13"/>
  <c r="HN10" i="13"/>
  <c r="HM10" i="13"/>
  <c r="HK10" i="13"/>
  <c r="HJ10" i="13"/>
  <c r="HL10" i="13" s="1"/>
  <c r="HO10" i="13" s="1"/>
  <c r="HI10" i="13"/>
  <c r="HN9" i="13"/>
  <c r="HM9" i="13"/>
  <c r="HK9" i="13"/>
  <c r="HJ9" i="13"/>
  <c r="HL9" i="13" s="1"/>
  <c r="HO9" i="13" s="1"/>
  <c r="HI9" i="13"/>
  <c r="HN8" i="13"/>
  <c r="HM8" i="13"/>
  <c r="HK8" i="13"/>
  <c r="HJ8" i="13"/>
  <c r="HI8" i="13"/>
  <c r="HN7" i="13"/>
  <c r="HM7" i="13"/>
  <c r="HK7" i="13"/>
  <c r="HJ7" i="13"/>
  <c r="HI7" i="13"/>
  <c r="HN6" i="13"/>
  <c r="HM6" i="13"/>
  <c r="HK6" i="13"/>
  <c r="HJ6" i="13"/>
  <c r="HL6" i="13" s="1"/>
  <c r="HO6" i="13" s="1"/>
  <c r="HI6" i="13"/>
  <c r="HN5" i="13"/>
  <c r="HM5" i="13"/>
  <c r="HK5" i="13"/>
  <c r="HJ5" i="13"/>
  <c r="HL5" i="13" s="1"/>
  <c r="HO5" i="13" s="1"/>
  <c r="HI5" i="13"/>
  <c r="HN4" i="13"/>
  <c r="HM4" i="13"/>
  <c r="HK4" i="13"/>
  <c r="HJ4" i="13"/>
  <c r="HL4" i="13" s="1"/>
  <c r="HO4" i="13" s="1"/>
  <c r="HI4" i="13"/>
  <c r="GR11" i="13"/>
  <c r="GQ11" i="13"/>
  <c r="GO11" i="13"/>
  <c r="GN11" i="13"/>
  <c r="GM11" i="13"/>
  <c r="GR10" i="13"/>
  <c r="GQ10" i="13"/>
  <c r="GO10" i="13"/>
  <c r="GN10" i="13"/>
  <c r="GP10" i="13" s="1"/>
  <c r="GS10" i="13" s="1"/>
  <c r="GM10" i="13"/>
  <c r="GR9" i="13"/>
  <c r="GQ9" i="13"/>
  <c r="GO9" i="13"/>
  <c r="GN9" i="13"/>
  <c r="GP9" i="13" s="1"/>
  <c r="GS9" i="13" s="1"/>
  <c r="GM9" i="13"/>
  <c r="GR8" i="13"/>
  <c r="GQ8" i="13"/>
  <c r="GO8" i="13"/>
  <c r="GN8" i="13"/>
  <c r="GP8" i="13" s="1"/>
  <c r="GM8" i="13"/>
  <c r="GR7" i="13"/>
  <c r="GQ7" i="13"/>
  <c r="GO7" i="13"/>
  <c r="GN7" i="13"/>
  <c r="GM7" i="13"/>
  <c r="GR6" i="13"/>
  <c r="GQ6" i="13"/>
  <c r="GO6" i="13"/>
  <c r="GN6" i="13"/>
  <c r="GP6" i="13" s="1"/>
  <c r="GS6" i="13" s="1"/>
  <c r="GM6" i="13"/>
  <c r="GR5" i="13"/>
  <c r="GQ5" i="13"/>
  <c r="GO5" i="13"/>
  <c r="GN5" i="13"/>
  <c r="GP5" i="13" s="1"/>
  <c r="GM5" i="13"/>
  <c r="GR4" i="13"/>
  <c r="GQ4" i="13"/>
  <c r="GO4" i="13"/>
  <c r="GN4" i="13"/>
  <c r="GP4" i="13" s="1"/>
  <c r="GS4" i="13" s="1"/>
  <c r="GM4" i="13"/>
  <c r="FV11" i="13"/>
  <c r="FU11" i="13"/>
  <c r="FS11" i="13"/>
  <c r="FR11" i="13"/>
  <c r="FT11" i="13" s="1"/>
  <c r="FW11" i="13" s="1"/>
  <c r="FQ11" i="13"/>
  <c r="FV10" i="13"/>
  <c r="FU10" i="13"/>
  <c r="FS10" i="13"/>
  <c r="FR10" i="13"/>
  <c r="FQ10" i="13"/>
  <c r="FV9" i="13"/>
  <c r="FU9" i="13"/>
  <c r="FS9" i="13"/>
  <c r="FR9" i="13"/>
  <c r="FQ9" i="13"/>
  <c r="FV8" i="13"/>
  <c r="FU8" i="13"/>
  <c r="FS8" i="13"/>
  <c r="FR8" i="13"/>
  <c r="FT8" i="13" s="1"/>
  <c r="FW8" i="13" s="1"/>
  <c r="FQ8" i="13"/>
  <c r="FV7" i="13"/>
  <c r="FU7" i="13"/>
  <c r="FS7" i="13"/>
  <c r="FR7" i="13"/>
  <c r="FT7" i="13" s="1"/>
  <c r="FW7" i="13" s="1"/>
  <c r="FQ7" i="13"/>
  <c r="FV6" i="13"/>
  <c r="FU6" i="13"/>
  <c r="FS6" i="13"/>
  <c r="FR6" i="13"/>
  <c r="FT6" i="13" s="1"/>
  <c r="FW6" i="13" s="1"/>
  <c r="FQ6" i="13"/>
  <c r="FV5" i="13"/>
  <c r="FU5" i="13"/>
  <c r="FS5" i="13"/>
  <c r="FR5" i="13"/>
  <c r="FQ5" i="13"/>
  <c r="FV4" i="13"/>
  <c r="FU4" i="13"/>
  <c r="FS4" i="13"/>
  <c r="FR4" i="13"/>
  <c r="FT4" i="13" s="1"/>
  <c r="FW4" i="13" s="1"/>
  <c r="FQ4" i="13"/>
  <c r="EZ11" i="13"/>
  <c r="EY11" i="13"/>
  <c r="EW11" i="13"/>
  <c r="EV11" i="13"/>
  <c r="EX11" i="13" s="1"/>
  <c r="FA11" i="13" s="1"/>
  <c r="EU11" i="13"/>
  <c r="EZ10" i="13"/>
  <c r="EY10" i="13"/>
  <c r="EW10" i="13"/>
  <c r="EV10" i="13"/>
  <c r="EX10" i="13" s="1"/>
  <c r="EU10" i="13"/>
  <c r="EZ9" i="13"/>
  <c r="EY9" i="13"/>
  <c r="EW9" i="13"/>
  <c r="EV9" i="13"/>
  <c r="EU9" i="13"/>
  <c r="EZ8" i="13"/>
  <c r="EY8" i="13"/>
  <c r="EW8" i="13"/>
  <c r="EV8" i="13"/>
  <c r="EX8" i="13" s="1"/>
  <c r="FA8" i="13" s="1"/>
  <c r="EU8" i="13"/>
  <c r="EZ7" i="13"/>
  <c r="EY7" i="13"/>
  <c r="EW7" i="13"/>
  <c r="EV7" i="13"/>
  <c r="EX7" i="13" s="1"/>
  <c r="EU7" i="13"/>
  <c r="EZ6" i="13"/>
  <c r="EY6" i="13"/>
  <c r="EW6" i="13"/>
  <c r="EV6" i="13"/>
  <c r="EX6" i="13" s="1"/>
  <c r="FA6" i="13" s="1"/>
  <c r="EU6" i="13"/>
  <c r="EZ5" i="13"/>
  <c r="EY5" i="13"/>
  <c r="EW5" i="13"/>
  <c r="EV5" i="13"/>
  <c r="EX5" i="13" s="1"/>
  <c r="FA5" i="13" s="1"/>
  <c r="EU5" i="13"/>
  <c r="EZ4" i="13"/>
  <c r="EY4" i="13"/>
  <c r="EW4" i="13"/>
  <c r="EV4" i="13"/>
  <c r="EU4" i="13"/>
  <c r="ED11" i="13"/>
  <c r="EC11" i="13"/>
  <c r="EA11" i="13"/>
  <c r="DZ11" i="13"/>
  <c r="DY11" i="13"/>
  <c r="ED10" i="13"/>
  <c r="EC10" i="13"/>
  <c r="EA10" i="13"/>
  <c r="DZ10" i="13"/>
  <c r="EB10" i="13" s="1"/>
  <c r="EE10" i="13" s="1"/>
  <c r="DY10" i="13"/>
  <c r="ED9" i="13"/>
  <c r="EC9" i="13"/>
  <c r="EA9" i="13"/>
  <c r="DZ9" i="13"/>
  <c r="EB9" i="13" s="1"/>
  <c r="EE9" i="13" s="1"/>
  <c r="DY9" i="13"/>
  <c r="ED8" i="13"/>
  <c r="EC8" i="13"/>
  <c r="EA8" i="13"/>
  <c r="DZ8" i="13"/>
  <c r="EB8" i="13" s="1"/>
  <c r="EE8" i="13" s="1"/>
  <c r="DY8" i="13"/>
  <c r="ED7" i="13"/>
  <c r="EC7" i="13"/>
  <c r="EA7" i="13"/>
  <c r="DZ7" i="13"/>
  <c r="DY7" i="13"/>
  <c r="ED6" i="13"/>
  <c r="EC6" i="13"/>
  <c r="EA6" i="13"/>
  <c r="DZ6" i="13"/>
  <c r="EB6" i="13" s="1"/>
  <c r="EE6" i="13" s="1"/>
  <c r="DY6" i="13"/>
  <c r="ED5" i="13"/>
  <c r="EC5" i="13"/>
  <c r="EA5" i="13"/>
  <c r="DZ5" i="13"/>
  <c r="EB5" i="13" s="1"/>
  <c r="EE5" i="13" s="1"/>
  <c r="DY5" i="13"/>
  <c r="ED4" i="13"/>
  <c r="EC4" i="13"/>
  <c r="EA4" i="13"/>
  <c r="DZ4" i="13"/>
  <c r="EB4" i="13" s="1"/>
  <c r="DY4" i="13"/>
  <c r="MP14" i="4"/>
  <c r="MO14" i="4"/>
  <c r="MM14" i="4"/>
  <c r="ML14" i="4"/>
  <c r="MN14" i="4" s="1"/>
  <c r="MQ14" i="4" s="1"/>
  <c r="MK14" i="4"/>
  <c r="MP13" i="4"/>
  <c r="MO13" i="4"/>
  <c r="MM13" i="4"/>
  <c r="ML13" i="4"/>
  <c r="MN13" i="4" s="1"/>
  <c r="MQ13" i="4" s="1"/>
  <c r="MK13" i="4"/>
  <c r="MP12" i="4"/>
  <c r="MO12" i="4"/>
  <c r="MM12" i="4"/>
  <c r="ML12" i="4"/>
  <c r="MN12" i="4" s="1"/>
  <c r="MK12" i="4"/>
  <c r="MP11" i="4"/>
  <c r="MO11" i="4"/>
  <c r="MM11" i="4"/>
  <c r="ML11" i="4"/>
  <c r="MK11" i="4"/>
  <c r="MP9" i="4"/>
  <c r="MO9" i="4"/>
  <c r="MM9" i="4"/>
  <c r="ML9" i="4"/>
  <c r="MN9" i="4" s="1"/>
  <c r="MQ9" i="4" s="1"/>
  <c r="MK9" i="4"/>
  <c r="MP8" i="4"/>
  <c r="MO8" i="4"/>
  <c r="MM8" i="4"/>
  <c r="ML8" i="4"/>
  <c r="MK8" i="4"/>
  <c r="MP7" i="4"/>
  <c r="MO7" i="4"/>
  <c r="MM7" i="4"/>
  <c r="ML7" i="4"/>
  <c r="MK7" i="4"/>
  <c r="MP10" i="4"/>
  <c r="MO10" i="4"/>
  <c r="MM10" i="4"/>
  <c r="ML10" i="4"/>
  <c r="MN10" i="4" s="1"/>
  <c r="MQ10" i="4" s="1"/>
  <c r="MK10" i="4"/>
  <c r="MP6" i="4"/>
  <c r="MO6" i="4"/>
  <c r="MM6" i="4"/>
  <c r="ML6" i="4"/>
  <c r="MN6" i="4" s="1"/>
  <c r="MQ6" i="4" s="1"/>
  <c r="MK6" i="4"/>
  <c r="MP5" i="4"/>
  <c r="MO5" i="4"/>
  <c r="MM5" i="4"/>
  <c r="ML5" i="4"/>
  <c r="MN5" i="4" s="1"/>
  <c r="MQ5" i="4" s="1"/>
  <c r="MK5" i="4"/>
  <c r="MP4" i="4"/>
  <c r="MO4" i="4"/>
  <c r="MM4" i="4"/>
  <c r="ML4" i="4"/>
  <c r="MK4" i="4"/>
  <c r="LT14" i="4"/>
  <c r="LS14" i="4"/>
  <c r="LQ14" i="4"/>
  <c r="LP14" i="4"/>
  <c r="LO14" i="4"/>
  <c r="LT13" i="4"/>
  <c r="LS13" i="4"/>
  <c r="LQ13" i="4"/>
  <c r="LP13" i="4"/>
  <c r="LR13" i="4" s="1"/>
  <c r="LU13" i="4" s="1"/>
  <c r="LO13" i="4"/>
  <c r="LT12" i="4"/>
  <c r="LS12" i="4"/>
  <c r="LQ12" i="4"/>
  <c r="LP12" i="4"/>
  <c r="LR12" i="4" s="1"/>
  <c r="LO12" i="4"/>
  <c r="LT11" i="4"/>
  <c r="LS11" i="4"/>
  <c r="LQ11" i="4"/>
  <c r="LP11" i="4"/>
  <c r="LR11" i="4" s="1"/>
  <c r="LU11" i="4" s="1"/>
  <c r="LO11" i="4"/>
  <c r="LT9" i="4"/>
  <c r="LS9" i="4"/>
  <c r="LQ9" i="4"/>
  <c r="LP9" i="4"/>
  <c r="LR9" i="4" s="1"/>
  <c r="LU9" i="4" s="1"/>
  <c r="LO9" i="4"/>
  <c r="LT8" i="4"/>
  <c r="LS8" i="4"/>
  <c r="LQ8" i="4"/>
  <c r="LP8" i="4"/>
  <c r="LR8" i="4" s="1"/>
  <c r="LO8" i="4"/>
  <c r="LT7" i="4"/>
  <c r="LS7" i="4"/>
  <c r="LQ7" i="4"/>
  <c r="LP7" i="4"/>
  <c r="LO7" i="4"/>
  <c r="LT10" i="4"/>
  <c r="LS10" i="4"/>
  <c r="LQ10" i="4"/>
  <c r="LP10" i="4"/>
  <c r="LR10" i="4" s="1"/>
  <c r="LU10" i="4" s="1"/>
  <c r="LO10" i="4"/>
  <c r="LT6" i="4"/>
  <c r="LS6" i="4"/>
  <c r="LQ6" i="4"/>
  <c r="LP6" i="4"/>
  <c r="LO6" i="4"/>
  <c r="LT5" i="4"/>
  <c r="LS5" i="4"/>
  <c r="LQ5" i="4"/>
  <c r="LP5" i="4"/>
  <c r="LO5" i="4"/>
  <c r="LT4" i="4"/>
  <c r="LS4" i="4"/>
  <c r="LQ4" i="4"/>
  <c r="LP4" i="4"/>
  <c r="LR4" i="4" s="1"/>
  <c r="LU4" i="4" s="1"/>
  <c r="LO4" i="4"/>
  <c r="KX14" i="4"/>
  <c r="KW14" i="4"/>
  <c r="KU14" i="4"/>
  <c r="KT14" i="4"/>
  <c r="KV14" i="4" s="1"/>
  <c r="KY14" i="4" s="1"/>
  <c r="KS14" i="4"/>
  <c r="KX13" i="4"/>
  <c r="KW13" i="4"/>
  <c r="KU13" i="4"/>
  <c r="KT13" i="4"/>
  <c r="KV13" i="4" s="1"/>
  <c r="KY13" i="4" s="1"/>
  <c r="KS13" i="4"/>
  <c r="KX12" i="4"/>
  <c r="KW12" i="4"/>
  <c r="KU12" i="4"/>
  <c r="KT12" i="4"/>
  <c r="KS12" i="4"/>
  <c r="KX11" i="4"/>
  <c r="KW11" i="4"/>
  <c r="KU11" i="4"/>
  <c r="KT11" i="4"/>
  <c r="KS11" i="4"/>
  <c r="KX9" i="4"/>
  <c r="KW9" i="4"/>
  <c r="KU9" i="4"/>
  <c r="KT9" i="4"/>
  <c r="KV9" i="4" s="1"/>
  <c r="KY9" i="4" s="1"/>
  <c r="KS9" i="4"/>
  <c r="KX8" i="4"/>
  <c r="KW8" i="4"/>
  <c r="KU8" i="4"/>
  <c r="KT8" i="4"/>
  <c r="KV8" i="4" s="1"/>
  <c r="KS8" i="4"/>
  <c r="KX7" i="4"/>
  <c r="KW7" i="4"/>
  <c r="KU7" i="4"/>
  <c r="KT7" i="4"/>
  <c r="KV7" i="4" s="1"/>
  <c r="KY7" i="4" s="1"/>
  <c r="KS7" i="4"/>
  <c r="KX10" i="4"/>
  <c r="KW10" i="4"/>
  <c r="KU10" i="4"/>
  <c r="KT10" i="4"/>
  <c r="KV10" i="4" s="1"/>
  <c r="KY10" i="4" s="1"/>
  <c r="KS10" i="4"/>
  <c r="KX6" i="4"/>
  <c r="KW6" i="4"/>
  <c r="KU6" i="4"/>
  <c r="KT6" i="4"/>
  <c r="KV6" i="4" s="1"/>
  <c r="KS6" i="4"/>
  <c r="KX5" i="4"/>
  <c r="KW5" i="4"/>
  <c r="KU5" i="4"/>
  <c r="KT5" i="4"/>
  <c r="KS5" i="4"/>
  <c r="KX4" i="4"/>
  <c r="KW4" i="4"/>
  <c r="KU4" i="4"/>
  <c r="KT4" i="4"/>
  <c r="KV4" i="4" s="1"/>
  <c r="KY4" i="4" s="1"/>
  <c r="KS4" i="4"/>
  <c r="KB14" i="4"/>
  <c r="KA14" i="4"/>
  <c r="JY14" i="4"/>
  <c r="JX14" i="4"/>
  <c r="JW14" i="4"/>
  <c r="KB13" i="4"/>
  <c r="KA13" i="4"/>
  <c r="JY13" i="4"/>
  <c r="JX13" i="4"/>
  <c r="JW13" i="4"/>
  <c r="KB12" i="4"/>
  <c r="KA12" i="4"/>
  <c r="JY12" i="4"/>
  <c r="JX12" i="4"/>
  <c r="JZ12" i="4" s="1"/>
  <c r="KC12" i="4" s="1"/>
  <c r="JW12" i="4"/>
  <c r="KB11" i="4"/>
  <c r="KA11" i="4"/>
  <c r="JY11" i="4"/>
  <c r="JX11" i="4"/>
  <c r="JZ11" i="4" s="1"/>
  <c r="KC11" i="4" s="1"/>
  <c r="JW11" i="4"/>
  <c r="KB9" i="4"/>
  <c r="KA9" i="4"/>
  <c r="JY9" i="4"/>
  <c r="JX9" i="4"/>
  <c r="JZ9" i="4" s="1"/>
  <c r="KC9" i="4" s="1"/>
  <c r="JW9" i="4"/>
  <c r="KB8" i="4"/>
  <c r="KA8" i="4"/>
  <c r="JY8" i="4"/>
  <c r="JX8" i="4"/>
  <c r="JW8" i="4"/>
  <c r="KB7" i="4"/>
  <c r="KA7" i="4"/>
  <c r="JY7" i="4"/>
  <c r="JX7" i="4"/>
  <c r="JW7" i="4"/>
  <c r="KB10" i="4"/>
  <c r="KA10" i="4"/>
  <c r="JY10" i="4"/>
  <c r="JX10" i="4"/>
  <c r="JZ10" i="4" s="1"/>
  <c r="KC10" i="4" s="1"/>
  <c r="JW10" i="4"/>
  <c r="KB6" i="4"/>
  <c r="KA6" i="4"/>
  <c r="JY6" i="4"/>
  <c r="JX6" i="4"/>
  <c r="JZ6" i="4" s="1"/>
  <c r="JW6" i="4"/>
  <c r="KB5" i="4"/>
  <c r="KA5" i="4"/>
  <c r="JY5" i="4"/>
  <c r="JX5" i="4"/>
  <c r="JZ5" i="4" s="1"/>
  <c r="KC5" i="4" s="1"/>
  <c r="JW5" i="4"/>
  <c r="KB4" i="4"/>
  <c r="KA4" i="4"/>
  <c r="JY4" i="4"/>
  <c r="JX4" i="4"/>
  <c r="JZ4" i="4" s="1"/>
  <c r="KC4" i="4" s="1"/>
  <c r="JW4" i="4"/>
  <c r="JF14" i="4"/>
  <c r="JE14" i="4"/>
  <c r="JC14" i="4"/>
  <c r="JB14" i="4"/>
  <c r="JD14" i="4" s="1"/>
  <c r="JA14" i="4"/>
  <c r="JF13" i="4"/>
  <c r="JE13" i="4"/>
  <c r="JC13" i="4"/>
  <c r="JB13" i="4"/>
  <c r="JA13" i="4"/>
  <c r="JF12" i="4"/>
  <c r="JE12" i="4"/>
  <c r="JC12" i="4"/>
  <c r="JB12" i="4"/>
  <c r="JD12" i="4" s="1"/>
  <c r="JG12" i="4" s="1"/>
  <c r="JA12" i="4"/>
  <c r="JF11" i="4"/>
  <c r="JE11" i="4"/>
  <c r="JC11" i="4"/>
  <c r="JB11" i="4"/>
  <c r="JA11" i="4"/>
  <c r="JF9" i="4"/>
  <c r="JE9" i="4"/>
  <c r="JC9" i="4"/>
  <c r="JB9" i="4"/>
  <c r="JA9" i="4"/>
  <c r="JF8" i="4"/>
  <c r="JE8" i="4"/>
  <c r="JC8" i="4"/>
  <c r="JB8" i="4"/>
  <c r="JD8" i="4" s="1"/>
  <c r="JG8" i="4" s="1"/>
  <c r="JA8" i="4"/>
  <c r="JF7" i="4"/>
  <c r="JE7" i="4"/>
  <c r="JC7" i="4"/>
  <c r="JB7" i="4"/>
  <c r="JD7" i="4" s="1"/>
  <c r="JG7" i="4" s="1"/>
  <c r="JA7" i="4"/>
  <c r="JF10" i="4"/>
  <c r="JE10" i="4"/>
  <c r="JC10" i="4"/>
  <c r="JB10" i="4"/>
  <c r="JD10" i="4" s="1"/>
  <c r="JG10" i="4" s="1"/>
  <c r="JA10" i="4"/>
  <c r="JF6" i="4"/>
  <c r="JE6" i="4"/>
  <c r="JC6" i="4"/>
  <c r="JB6" i="4"/>
  <c r="JA6" i="4"/>
  <c r="JF5" i="4"/>
  <c r="JE5" i="4"/>
  <c r="JC5" i="4"/>
  <c r="JB5" i="4"/>
  <c r="JA5" i="4"/>
  <c r="JF4" i="4"/>
  <c r="JE4" i="4"/>
  <c r="JC4" i="4"/>
  <c r="JB4" i="4"/>
  <c r="JD4" i="4" s="1"/>
  <c r="JG4" i="4" s="1"/>
  <c r="JA4" i="4"/>
  <c r="IJ14" i="4"/>
  <c r="II14" i="4"/>
  <c r="IG14" i="4"/>
  <c r="IF14" i="4"/>
  <c r="IH14" i="4" s="1"/>
  <c r="IE14" i="4"/>
  <c r="IJ13" i="4"/>
  <c r="II13" i="4"/>
  <c r="IG13" i="4"/>
  <c r="IF13" i="4"/>
  <c r="IH13" i="4" s="1"/>
  <c r="IK13" i="4" s="1"/>
  <c r="IE13" i="4"/>
  <c r="IJ12" i="4"/>
  <c r="II12" i="4"/>
  <c r="IG12" i="4"/>
  <c r="IF12" i="4"/>
  <c r="IH12" i="4" s="1"/>
  <c r="IK12" i="4" s="1"/>
  <c r="IE12" i="4"/>
  <c r="IJ11" i="4"/>
  <c r="II11" i="4"/>
  <c r="IG11" i="4"/>
  <c r="IF11" i="4"/>
  <c r="IH11" i="4" s="1"/>
  <c r="IE11" i="4"/>
  <c r="IJ9" i="4"/>
  <c r="II9" i="4"/>
  <c r="IG9" i="4"/>
  <c r="IF9" i="4"/>
  <c r="IE9" i="4"/>
  <c r="IJ8" i="4"/>
  <c r="II8" i="4"/>
  <c r="IG8" i="4"/>
  <c r="IF8" i="4"/>
  <c r="IH8" i="4" s="1"/>
  <c r="IK8" i="4" s="1"/>
  <c r="IE8" i="4"/>
  <c r="IJ7" i="4"/>
  <c r="II7" i="4"/>
  <c r="IG7" i="4"/>
  <c r="IF7" i="4"/>
  <c r="IE7" i="4"/>
  <c r="IJ10" i="4"/>
  <c r="II10" i="4"/>
  <c r="IG10" i="4"/>
  <c r="IF10" i="4"/>
  <c r="IE10" i="4"/>
  <c r="IJ6" i="4"/>
  <c r="II6" i="4"/>
  <c r="IG6" i="4"/>
  <c r="IF6" i="4"/>
  <c r="IH6" i="4" s="1"/>
  <c r="IK6" i="4" s="1"/>
  <c r="IE6" i="4"/>
  <c r="IJ5" i="4"/>
  <c r="II5" i="4"/>
  <c r="IG5" i="4"/>
  <c r="IF5" i="4"/>
  <c r="IH5" i="4" s="1"/>
  <c r="IK5" i="4" s="1"/>
  <c r="IE5" i="4"/>
  <c r="IJ4" i="4"/>
  <c r="II4" i="4"/>
  <c r="IG4" i="4"/>
  <c r="IF4" i="4"/>
  <c r="IH4" i="4" s="1"/>
  <c r="IK4" i="4" s="1"/>
  <c r="IE4" i="4"/>
  <c r="HN14" i="4"/>
  <c r="HM14" i="4"/>
  <c r="HK14" i="4"/>
  <c r="HJ14" i="4"/>
  <c r="HI14" i="4"/>
  <c r="HN13" i="4"/>
  <c r="HM13" i="4"/>
  <c r="HK13" i="4"/>
  <c r="HJ13" i="4"/>
  <c r="HI13" i="4"/>
  <c r="HN12" i="4"/>
  <c r="HM12" i="4"/>
  <c r="HK12" i="4"/>
  <c r="HJ12" i="4"/>
  <c r="HL12" i="4" s="1"/>
  <c r="HO12" i="4" s="1"/>
  <c r="HI12" i="4"/>
  <c r="HN11" i="4"/>
  <c r="HM11" i="4"/>
  <c r="HK11" i="4"/>
  <c r="HJ11" i="4"/>
  <c r="HL11" i="4" s="1"/>
  <c r="HI11" i="4"/>
  <c r="HN9" i="4"/>
  <c r="HM9" i="4"/>
  <c r="HK9" i="4"/>
  <c r="HJ9" i="4"/>
  <c r="HL9" i="4" s="1"/>
  <c r="HO9" i="4" s="1"/>
  <c r="HI9" i="4"/>
  <c r="HN8" i="4"/>
  <c r="HM8" i="4"/>
  <c r="HK8" i="4"/>
  <c r="HJ8" i="4"/>
  <c r="HL8" i="4" s="1"/>
  <c r="HO8" i="4" s="1"/>
  <c r="HI8" i="4"/>
  <c r="HN7" i="4"/>
  <c r="HM7" i="4"/>
  <c r="HK7" i="4"/>
  <c r="HJ7" i="4"/>
  <c r="HL7" i="4" s="1"/>
  <c r="HI7" i="4"/>
  <c r="HN10" i="4"/>
  <c r="HM10" i="4"/>
  <c r="HK10" i="4"/>
  <c r="HJ10" i="4"/>
  <c r="HI10" i="4"/>
  <c r="HN6" i="4"/>
  <c r="HM6" i="4"/>
  <c r="HK6" i="4"/>
  <c r="HJ6" i="4"/>
  <c r="HL6" i="4" s="1"/>
  <c r="HO6" i="4" s="1"/>
  <c r="HI6" i="4"/>
  <c r="HN5" i="4"/>
  <c r="HM5" i="4"/>
  <c r="HK5" i="4"/>
  <c r="HJ5" i="4"/>
  <c r="HI5" i="4"/>
  <c r="HN4" i="4"/>
  <c r="HM4" i="4"/>
  <c r="HK4" i="4"/>
  <c r="HJ4" i="4"/>
  <c r="HI4" i="4"/>
  <c r="GR14" i="4"/>
  <c r="GQ14" i="4"/>
  <c r="GO14" i="4"/>
  <c r="GN14" i="4"/>
  <c r="GP14" i="4" s="1"/>
  <c r="GS14" i="4" s="1"/>
  <c r="GM14" i="4"/>
  <c r="GR13" i="4"/>
  <c r="GQ13" i="4"/>
  <c r="GO13" i="4"/>
  <c r="GN13" i="4"/>
  <c r="GP13" i="4" s="1"/>
  <c r="GS13" i="4" s="1"/>
  <c r="GM13" i="4"/>
  <c r="GR12" i="4"/>
  <c r="GQ12" i="4"/>
  <c r="GO12" i="4"/>
  <c r="GN12" i="4"/>
  <c r="GP12" i="4" s="1"/>
  <c r="GS12" i="4" s="1"/>
  <c r="GM12" i="4"/>
  <c r="GR11" i="4"/>
  <c r="GQ11" i="4"/>
  <c r="GO11" i="4"/>
  <c r="GN11" i="4"/>
  <c r="GM11" i="4"/>
  <c r="GR9" i="4"/>
  <c r="GQ9" i="4"/>
  <c r="GO9" i="4"/>
  <c r="GN9" i="4"/>
  <c r="GM9" i="4"/>
  <c r="GR8" i="4"/>
  <c r="GQ8" i="4"/>
  <c r="GO8" i="4"/>
  <c r="GN8" i="4"/>
  <c r="GP8" i="4" s="1"/>
  <c r="GS8" i="4" s="1"/>
  <c r="GM8" i="4"/>
  <c r="GR7" i="4"/>
  <c r="GQ7" i="4"/>
  <c r="GO7" i="4"/>
  <c r="GN7" i="4"/>
  <c r="GP7" i="4" s="1"/>
  <c r="GM7" i="4"/>
  <c r="GR10" i="4"/>
  <c r="GQ10" i="4"/>
  <c r="GO10" i="4"/>
  <c r="GN10" i="4"/>
  <c r="GP10" i="4" s="1"/>
  <c r="GS10" i="4" s="1"/>
  <c r="GM10" i="4"/>
  <c r="GR6" i="4"/>
  <c r="GQ6" i="4"/>
  <c r="GO6" i="4"/>
  <c r="GN6" i="4"/>
  <c r="GP6" i="4" s="1"/>
  <c r="GS6" i="4" s="1"/>
  <c r="GM6" i="4"/>
  <c r="GR5" i="4"/>
  <c r="GQ5" i="4"/>
  <c r="GO5" i="4"/>
  <c r="GN5" i="4"/>
  <c r="GP5" i="4" s="1"/>
  <c r="GM5" i="4"/>
  <c r="GR4" i="4"/>
  <c r="GQ4" i="4"/>
  <c r="GO4" i="4"/>
  <c r="GN4" i="4"/>
  <c r="GP4" i="4" s="1"/>
  <c r="GS4" i="4" s="1"/>
  <c r="GM4" i="4"/>
  <c r="FV14" i="4"/>
  <c r="FU14" i="4"/>
  <c r="FS14" i="4"/>
  <c r="FR14" i="4"/>
  <c r="FT14" i="4" s="1"/>
  <c r="FW14" i="4" s="1"/>
  <c r="FQ14" i="4"/>
  <c r="FV13" i="4"/>
  <c r="FU13" i="4"/>
  <c r="FS13" i="4"/>
  <c r="FR13" i="4"/>
  <c r="FQ13" i="4"/>
  <c r="FV12" i="4"/>
  <c r="FU12" i="4"/>
  <c r="FS12" i="4"/>
  <c r="FR12" i="4"/>
  <c r="FQ12" i="4"/>
  <c r="FV11" i="4"/>
  <c r="FU11" i="4"/>
  <c r="FS11" i="4"/>
  <c r="FR11" i="4"/>
  <c r="FT11" i="4" s="1"/>
  <c r="FW11" i="4" s="1"/>
  <c r="FQ11" i="4"/>
  <c r="FV9" i="4"/>
  <c r="FU9" i="4"/>
  <c r="FS9" i="4"/>
  <c r="FR9" i="4"/>
  <c r="FT9" i="4" s="1"/>
  <c r="FW9" i="4" s="1"/>
  <c r="FQ9" i="4"/>
  <c r="FV8" i="4"/>
  <c r="FU8" i="4"/>
  <c r="FS8" i="4"/>
  <c r="FR8" i="4"/>
  <c r="FT8" i="4" s="1"/>
  <c r="FW8" i="4" s="1"/>
  <c r="FQ8" i="4"/>
  <c r="FV7" i="4"/>
  <c r="FU7" i="4"/>
  <c r="FS7" i="4"/>
  <c r="FR7" i="4"/>
  <c r="FQ7" i="4"/>
  <c r="FV10" i="4"/>
  <c r="FU10" i="4"/>
  <c r="FS10" i="4"/>
  <c r="FR10" i="4"/>
  <c r="FQ10" i="4"/>
  <c r="FV6" i="4"/>
  <c r="FU6" i="4"/>
  <c r="FS6" i="4"/>
  <c r="FR6" i="4"/>
  <c r="FT6" i="4" s="1"/>
  <c r="FW6" i="4" s="1"/>
  <c r="FQ6" i="4"/>
  <c r="FV5" i="4"/>
  <c r="FU5" i="4"/>
  <c r="FS5" i="4"/>
  <c r="FR5" i="4"/>
  <c r="FT5" i="4" s="1"/>
  <c r="FQ5" i="4"/>
  <c r="FV4" i="4"/>
  <c r="FU4" i="4"/>
  <c r="FS4" i="4"/>
  <c r="FR4" i="4"/>
  <c r="FT4" i="4" s="1"/>
  <c r="FW4" i="4" s="1"/>
  <c r="FQ4" i="4"/>
  <c r="EZ14" i="4"/>
  <c r="EY14" i="4"/>
  <c r="EW14" i="4"/>
  <c r="EV14" i="4"/>
  <c r="EX14" i="4" s="1"/>
  <c r="FA14" i="4" s="1"/>
  <c r="EU14" i="4"/>
  <c r="EZ13" i="4"/>
  <c r="EY13" i="4"/>
  <c r="EW13" i="4"/>
  <c r="EV13" i="4"/>
  <c r="EX13" i="4" s="1"/>
  <c r="EU13" i="4"/>
  <c r="EZ12" i="4"/>
  <c r="EY12" i="4"/>
  <c r="EW12" i="4"/>
  <c r="EV12" i="4"/>
  <c r="EX12" i="4" s="1"/>
  <c r="FA12" i="4" s="1"/>
  <c r="EU12" i="4"/>
  <c r="EZ11" i="4"/>
  <c r="EY11" i="4"/>
  <c r="EW11" i="4"/>
  <c r="EV11" i="4"/>
  <c r="EX11" i="4" s="1"/>
  <c r="FA11" i="4" s="1"/>
  <c r="EU11" i="4"/>
  <c r="EZ9" i="4"/>
  <c r="EY9" i="4"/>
  <c r="EW9" i="4"/>
  <c r="EV9" i="4"/>
  <c r="EU9" i="4"/>
  <c r="EZ8" i="4"/>
  <c r="EY8" i="4"/>
  <c r="EW8" i="4"/>
  <c r="EV8" i="4"/>
  <c r="EU8" i="4"/>
  <c r="EZ7" i="4"/>
  <c r="EY7" i="4"/>
  <c r="EW7" i="4"/>
  <c r="EV7" i="4"/>
  <c r="EX7" i="4" s="1"/>
  <c r="FA7" i="4" s="1"/>
  <c r="EU7" i="4"/>
  <c r="EZ10" i="4"/>
  <c r="EY10" i="4"/>
  <c r="EW10" i="4"/>
  <c r="EV10" i="4"/>
  <c r="EX10" i="4" s="1"/>
  <c r="FA10" i="4" s="1"/>
  <c r="EU10" i="4"/>
  <c r="EZ6" i="4"/>
  <c r="EY6" i="4"/>
  <c r="EW6" i="4"/>
  <c r="EV6" i="4"/>
  <c r="EX6" i="4" s="1"/>
  <c r="FA6" i="4" s="1"/>
  <c r="EU6" i="4"/>
  <c r="EZ5" i="4"/>
  <c r="EY5" i="4"/>
  <c r="EW5" i="4"/>
  <c r="EV5" i="4"/>
  <c r="EU5" i="4"/>
  <c r="EZ4" i="4"/>
  <c r="EY4" i="4"/>
  <c r="EW4" i="4"/>
  <c r="EV4" i="4"/>
  <c r="EU4" i="4"/>
  <c r="ED14" i="4"/>
  <c r="EC14" i="4"/>
  <c r="EA14" i="4"/>
  <c r="DZ14" i="4"/>
  <c r="EB14" i="4" s="1"/>
  <c r="EE14" i="4" s="1"/>
  <c r="DY14" i="4"/>
  <c r="ED13" i="4"/>
  <c r="EC13" i="4"/>
  <c r="EA13" i="4"/>
  <c r="DZ13" i="4"/>
  <c r="EB13" i="4" s="1"/>
  <c r="DY13" i="4"/>
  <c r="ED12" i="4"/>
  <c r="EC12" i="4"/>
  <c r="EA12" i="4"/>
  <c r="DZ12" i="4"/>
  <c r="EB12" i="4" s="1"/>
  <c r="EE12" i="4" s="1"/>
  <c r="DY12" i="4"/>
  <c r="ED11" i="4"/>
  <c r="EC11" i="4"/>
  <c r="EA11" i="4"/>
  <c r="DZ11" i="4"/>
  <c r="EB11" i="4" s="1"/>
  <c r="EE11" i="4" s="1"/>
  <c r="DY11" i="4"/>
  <c r="ED9" i="4"/>
  <c r="EC9" i="4"/>
  <c r="EA9" i="4"/>
  <c r="DZ9" i="4"/>
  <c r="EB9" i="4" s="1"/>
  <c r="DY9" i="4"/>
  <c r="ED8" i="4"/>
  <c r="EC8" i="4"/>
  <c r="EA8" i="4"/>
  <c r="DZ8" i="4"/>
  <c r="EB8" i="4" s="1"/>
  <c r="EE8" i="4" s="1"/>
  <c r="DY8" i="4"/>
  <c r="ED7" i="4"/>
  <c r="EC7" i="4"/>
  <c r="EA7" i="4"/>
  <c r="DZ7" i="4"/>
  <c r="EB7" i="4" s="1"/>
  <c r="EE7" i="4" s="1"/>
  <c r="DY7" i="4"/>
  <c r="ED10" i="4"/>
  <c r="EC10" i="4"/>
  <c r="EA10" i="4"/>
  <c r="DZ10" i="4"/>
  <c r="DY10" i="4"/>
  <c r="ED6" i="4"/>
  <c r="EC6" i="4"/>
  <c r="EA6" i="4"/>
  <c r="DZ6" i="4"/>
  <c r="DY6" i="4"/>
  <c r="ED5" i="4"/>
  <c r="EC5" i="4"/>
  <c r="EA5" i="4"/>
  <c r="DZ5" i="4"/>
  <c r="EB5" i="4" s="1"/>
  <c r="EE5" i="4" s="1"/>
  <c r="DY5" i="4"/>
  <c r="ED4" i="4"/>
  <c r="EC4" i="4"/>
  <c r="EA4" i="4"/>
  <c r="DZ4" i="4"/>
  <c r="EB4" i="4" s="1"/>
  <c r="EE4" i="4" s="1"/>
  <c r="DY4" i="4"/>
  <c r="AM16" i="17"/>
  <c r="AN16" i="17"/>
  <c r="AO16" i="17"/>
  <c r="AP16" i="17"/>
  <c r="AQ16" i="17"/>
  <c r="AR16" i="17"/>
  <c r="BN16" i="17"/>
  <c r="BO16" i="17"/>
  <c r="BP16" i="17"/>
  <c r="BQ16" i="17"/>
  <c r="BR16" i="17"/>
  <c r="CO16" i="17"/>
  <c r="CP16" i="17"/>
  <c r="CQ16" i="17"/>
  <c r="CR16" i="17"/>
  <c r="CS16" i="17"/>
  <c r="OQ16" i="17"/>
  <c r="OR16" i="17"/>
  <c r="OS16" i="17"/>
  <c r="OT16" i="17"/>
  <c r="OU16" i="17"/>
  <c r="OV16" i="17" s="1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AM15" i="17"/>
  <c r="AN15" i="17"/>
  <c r="AO15" i="17"/>
  <c r="AP15" i="17"/>
  <c r="AQ15" i="17"/>
  <c r="BN15" i="17"/>
  <c r="BO15" i="17"/>
  <c r="BP15" i="17"/>
  <c r="BQ15" i="17"/>
  <c r="BR15" i="17"/>
  <c r="CO15" i="17"/>
  <c r="CP15" i="17"/>
  <c r="CQ15" i="17"/>
  <c r="CR15" i="17"/>
  <c r="CS15" i="17"/>
  <c r="OQ15" i="17"/>
  <c r="OR15" i="17"/>
  <c r="OS15" i="17"/>
  <c r="OT15" i="17"/>
  <c r="OU15" i="17"/>
  <c r="OV15" i="17" s="1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AM14" i="17"/>
  <c r="AN14" i="17"/>
  <c r="AO14" i="17"/>
  <c r="AP14" i="17"/>
  <c r="AQ14" i="17"/>
  <c r="BN14" i="17"/>
  <c r="BO14" i="17"/>
  <c r="BP14" i="17"/>
  <c r="BQ14" i="17"/>
  <c r="BR14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AM12" i="17"/>
  <c r="AN12" i="17"/>
  <c r="AO12" i="17"/>
  <c r="AP12" i="17"/>
  <c r="AQ12" i="17"/>
  <c r="BN12" i="17"/>
  <c r="BO12" i="17"/>
  <c r="BP12" i="17"/>
  <c r="BQ12" i="17"/>
  <c r="BR12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AM13" i="16"/>
  <c r="AN13" i="16"/>
  <c r="AO13" i="16"/>
  <c r="AP13" i="16"/>
  <c r="AQ13" i="16"/>
  <c r="BN13" i="16"/>
  <c r="BO13" i="16"/>
  <c r="BP13" i="16"/>
  <c r="BQ13" i="16"/>
  <c r="BR13" i="16"/>
  <c r="CO13" i="16"/>
  <c r="CP13" i="16"/>
  <c r="CQ13" i="16"/>
  <c r="CR13" i="16"/>
  <c r="CS13" i="16"/>
  <c r="OQ13" i="16"/>
  <c r="OR13" i="16"/>
  <c r="OS13" i="16"/>
  <c r="OT13" i="16"/>
  <c r="OU13" i="16"/>
  <c r="OW13" i="16"/>
  <c r="OX13" i="16"/>
  <c r="OY13" i="16"/>
  <c r="OZ13" i="16"/>
  <c r="PA13" i="16"/>
  <c r="PB13" i="16"/>
  <c r="PC13" i="16"/>
  <c r="PD13" i="16"/>
  <c r="PE13" i="16"/>
  <c r="PF13" i="16"/>
  <c r="PG13" i="16"/>
  <c r="PH13" i="16"/>
  <c r="PI13" i="16"/>
  <c r="PJ13" i="16"/>
  <c r="PK13" i="16"/>
  <c r="PL13" i="16"/>
  <c r="PM13" i="16"/>
  <c r="PN13" i="16"/>
  <c r="PO13" i="16"/>
  <c r="PP13" i="16"/>
  <c r="AM12" i="16"/>
  <c r="AN12" i="16"/>
  <c r="AO12" i="16"/>
  <c r="AP12" i="16"/>
  <c r="AQ12" i="16"/>
  <c r="BN12" i="16"/>
  <c r="BO12" i="16"/>
  <c r="BP12" i="16"/>
  <c r="BQ12" i="16"/>
  <c r="BR12" i="16"/>
  <c r="CO12" i="16"/>
  <c r="CP12" i="16"/>
  <c r="CQ12" i="16"/>
  <c r="CR12" i="16"/>
  <c r="CS12" i="16"/>
  <c r="OQ12" i="16"/>
  <c r="OR12" i="16"/>
  <c r="OS12" i="16"/>
  <c r="OT12" i="16"/>
  <c r="OU12" i="16"/>
  <c r="OW12" i="16"/>
  <c r="OX12" i="16"/>
  <c r="OY12" i="16"/>
  <c r="OZ12" i="16"/>
  <c r="PA12" i="16"/>
  <c r="PB12" i="16"/>
  <c r="PC12" i="16"/>
  <c r="PD12" i="16"/>
  <c r="PE12" i="16"/>
  <c r="PF12" i="16"/>
  <c r="PG12" i="16"/>
  <c r="PH12" i="16"/>
  <c r="PI12" i="16"/>
  <c r="PJ12" i="16"/>
  <c r="PK12" i="16"/>
  <c r="PL12" i="16"/>
  <c r="PM12" i="16"/>
  <c r="PN12" i="16"/>
  <c r="PO12" i="16"/>
  <c r="PP12" i="16"/>
  <c r="AM11" i="16"/>
  <c r="AN11" i="16"/>
  <c r="AO11" i="16"/>
  <c r="AP11" i="16"/>
  <c r="AQ11" i="16"/>
  <c r="BN11" i="16"/>
  <c r="BO11" i="16"/>
  <c r="BP11" i="16"/>
  <c r="BQ11" i="16"/>
  <c r="BR11" i="16"/>
  <c r="CO11" i="16"/>
  <c r="CP11" i="16"/>
  <c r="CQ11" i="16"/>
  <c r="CR11" i="16"/>
  <c r="CS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AM10" i="16"/>
  <c r="AN10" i="16"/>
  <c r="AO10" i="16"/>
  <c r="AP10" i="16"/>
  <c r="AQ10" i="16"/>
  <c r="BN10" i="16"/>
  <c r="BO10" i="16"/>
  <c r="BP10" i="16"/>
  <c r="BQ10" i="16"/>
  <c r="BR10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AM8" i="15"/>
  <c r="AN8" i="15"/>
  <c r="AO8" i="15"/>
  <c r="AP8" i="15"/>
  <c r="AQ8" i="15"/>
  <c r="AR8" i="15"/>
  <c r="BN8" i="15"/>
  <c r="BO8" i="15"/>
  <c r="BP8" i="15"/>
  <c r="BQ8" i="15"/>
  <c r="BR8" i="15"/>
  <c r="CO8" i="15"/>
  <c r="CP8" i="15"/>
  <c r="CQ8" i="15"/>
  <c r="CR8" i="15"/>
  <c r="CS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AM7" i="15"/>
  <c r="AN7" i="15"/>
  <c r="AO7" i="15"/>
  <c r="AP7" i="15"/>
  <c r="AQ7" i="15"/>
  <c r="AR7" i="15"/>
  <c r="BN7" i="15"/>
  <c r="BO7" i="15"/>
  <c r="BP7" i="15"/>
  <c r="BQ7" i="15"/>
  <c r="BR7" i="15"/>
  <c r="CO7" i="15"/>
  <c r="CP7" i="15"/>
  <c r="CQ7" i="15"/>
  <c r="CR7" i="15"/>
  <c r="CS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AM5" i="14"/>
  <c r="AN5" i="14"/>
  <c r="AO5" i="14"/>
  <c r="AP5" i="14"/>
  <c r="AQ5" i="14"/>
  <c r="BN5" i="14"/>
  <c r="BO5" i="14"/>
  <c r="BP5" i="14"/>
  <c r="BQ5" i="14"/>
  <c r="BR5" i="14"/>
  <c r="CO5" i="14"/>
  <c r="CP5" i="14"/>
  <c r="CQ5" i="14"/>
  <c r="CR5" i="14"/>
  <c r="CS5" i="14"/>
  <c r="OQ5" i="14"/>
  <c r="OR5" i="14"/>
  <c r="OS5" i="14"/>
  <c r="OT5" i="14"/>
  <c r="OU5" i="14"/>
  <c r="OV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AO11" i="13"/>
  <c r="AP11" i="13"/>
  <c r="AQ11" i="13"/>
  <c r="AR11" i="13"/>
  <c r="AS11" i="13"/>
  <c r="AT11" i="13" s="1"/>
  <c r="AU11" i="13"/>
  <c r="AV11" i="13"/>
  <c r="BS11" i="13"/>
  <c r="BT11" i="13"/>
  <c r="BU11" i="13"/>
  <c r="BV11" i="13"/>
  <c r="BW11" i="13"/>
  <c r="BY11" i="13"/>
  <c r="BZ11" i="13"/>
  <c r="CW11" i="13"/>
  <c r="CX11" i="13"/>
  <c r="CY11" i="13"/>
  <c r="CZ11" i="13"/>
  <c r="DA11" i="13"/>
  <c r="DC11" i="13"/>
  <c r="DD11" i="13"/>
  <c r="NG11" i="13"/>
  <c r="NH11" i="13"/>
  <c r="NI11" i="13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AO8" i="4"/>
  <c r="AP8" i="4"/>
  <c r="AQ8" i="4"/>
  <c r="AR8" i="4"/>
  <c r="AS8" i="4"/>
  <c r="AU8" i="4"/>
  <c r="AV8" i="4"/>
  <c r="BS8" i="4"/>
  <c r="BT8" i="4"/>
  <c r="BU8" i="4"/>
  <c r="BV8" i="4"/>
  <c r="BW8" i="4"/>
  <c r="BY8" i="4"/>
  <c r="BZ8" i="4"/>
  <c r="CW8" i="4"/>
  <c r="CX8" i="4"/>
  <c r="CY8" i="4"/>
  <c r="CZ8" i="4"/>
  <c r="DA8" i="4"/>
  <c r="DC8" i="4"/>
  <c r="DD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L8" i="4" s="1"/>
  <c r="OA8" i="4"/>
  <c r="OB8" i="4"/>
  <c r="OC8" i="4"/>
  <c r="OD8" i="4"/>
  <c r="OE8" i="4"/>
  <c r="OO8" i="4" s="1"/>
  <c r="OF8" i="4"/>
  <c r="OG8" i="4"/>
  <c r="AO9" i="4"/>
  <c r="AP9" i="4"/>
  <c r="AQ9" i="4"/>
  <c r="AR9" i="4"/>
  <c r="AS9" i="4"/>
  <c r="AU9" i="4"/>
  <c r="AV9" i="4"/>
  <c r="BS9" i="4"/>
  <c r="BT9" i="4"/>
  <c r="BU9" i="4"/>
  <c r="BV9" i="4"/>
  <c r="BW9" i="4"/>
  <c r="BY9" i="4"/>
  <c r="BZ9" i="4"/>
  <c r="CW9" i="4"/>
  <c r="CX9" i="4"/>
  <c r="CY9" i="4"/>
  <c r="CZ9" i="4"/>
  <c r="DA9" i="4"/>
  <c r="DC9" i="4"/>
  <c r="DD9" i="4"/>
  <c r="NG9" i="4"/>
  <c r="NH9" i="4"/>
  <c r="NI9" i="4"/>
  <c r="NK9" i="4"/>
  <c r="NL9" i="4"/>
  <c r="NN9" i="4"/>
  <c r="NO9" i="4"/>
  <c r="NP9" i="4"/>
  <c r="NQ9" i="4"/>
  <c r="NR9" i="4"/>
  <c r="NS9" i="4"/>
  <c r="NT9" i="4"/>
  <c r="NU9" i="4"/>
  <c r="OJ9" i="4" s="1"/>
  <c r="NV9" i="4"/>
  <c r="NW9" i="4"/>
  <c r="NX9" i="4"/>
  <c r="NY9" i="4"/>
  <c r="NZ9" i="4"/>
  <c r="OL9" i="4" s="1"/>
  <c r="OA9" i="4"/>
  <c r="OB9" i="4"/>
  <c r="OC9" i="4"/>
  <c r="OD9" i="4"/>
  <c r="OE9" i="4"/>
  <c r="OO9" i="4" s="1"/>
  <c r="OF9" i="4"/>
  <c r="OG9" i="4"/>
  <c r="AO10" i="4"/>
  <c r="AP10" i="4"/>
  <c r="AQ10" i="4"/>
  <c r="AR10" i="4"/>
  <c r="AS10" i="4"/>
  <c r="AU10" i="4"/>
  <c r="AV10" i="4"/>
  <c r="BS10" i="4"/>
  <c r="BT10" i="4"/>
  <c r="BU10" i="4"/>
  <c r="BV10" i="4"/>
  <c r="BW10" i="4"/>
  <c r="BY10" i="4"/>
  <c r="BZ10" i="4"/>
  <c r="CW10" i="4"/>
  <c r="CX10" i="4"/>
  <c r="CY10" i="4"/>
  <c r="CZ10" i="4"/>
  <c r="DA10" i="4"/>
  <c r="DC10" i="4"/>
  <c r="DD10" i="4"/>
  <c r="NG10" i="4"/>
  <c r="NH10" i="4"/>
  <c r="NI10" i="4"/>
  <c r="NK10" i="4"/>
  <c r="NL10" i="4"/>
  <c r="NN10" i="4"/>
  <c r="NO10" i="4"/>
  <c r="NP10" i="4"/>
  <c r="NQ10" i="4"/>
  <c r="NR10" i="4"/>
  <c r="NS10" i="4"/>
  <c r="NT10" i="4"/>
  <c r="NU10" i="4"/>
  <c r="OJ10" i="4" s="1"/>
  <c r="NV10" i="4"/>
  <c r="NW10" i="4"/>
  <c r="NX10" i="4"/>
  <c r="NY10" i="4"/>
  <c r="NZ10" i="4"/>
  <c r="OL10" i="4" s="1"/>
  <c r="OA10" i="4"/>
  <c r="OB10" i="4"/>
  <c r="OC10" i="4"/>
  <c r="OD10" i="4"/>
  <c r="OE10" i="4"/>
  <c r="OO10" i="4" s="1"/>
  <c r="OF10" i="4"/>
  <c r="OG10" i="4"/>
  <c r="AO12" i="4"/>
  <c r="AP12" i="4"/>
  <c r="AQ12" i="4"/>
  <c r="AR12" i="4"/>
  <c r="AS12" i="4"/>
  <c r="AU12" i="4"/>
  <c r="AV12" i="4"/>
  <c r="BS12" i="4"/>
  <c r="BT12" i="4"/>
  <c r="BU12" i="4"/>
  <c r="BV12" i="4"/>
  <c r="BW12" i="4"/>
  <c r="BY12" i="4"/>
  <c r="BZ12" i="4"/>
  <c r="CW12" i="4"/>
  <c r="CX12" i="4"/>
  <c r="CY12" i="4"/>
  <c r="CZ12" i="4"/>
  <c r="DA12" i="4"/>
  <c r="DC12" i="4"/>
  <c r="DD12" i="4"/>
  <c r="NG12" i="4"/>
  <c r="NH12" i="4"/>
  <c r="NI12" i="4"/>
  <c r="NK12" i="4"/>
  <c r="NL12" i="4"/>
  <c r="NN12" i="4"/>
  <c r="NO12" i="4"/>
  <c r="NP12" i="4"/>
  <c r="NQ12" i="4"/>
  <c r="NR12" i="4"/>
  <c r="NS12" i="4"/>
  <c r="NT12" i="4"/>
  <c r="NU12" i="4"/>
  <c r="OJ12" i="4" s="1"/>
  <c r="NV12" i="4"/>
  <c r="NW12" i="4"/>
  <c r="NX12" i="4"/>
  <c r="NY12" i="4"/>
  <c r="NZ12" i="4"/>
  <c r="OL12" i="4" s="1"/>
  <c r="OA12" i="4"/>
  <c r="OB12" i="4"/>
  <c r="OC12" i="4"/>
  <c r="OD12" i="4"/>
  <c r="OE12" i="4"/>
  <c r="OO12" i="4" s="1"/>
  <c r="OF12" i="4"/>
  <c r="OG12" i="4"/>
  <c r="AO13" i="4"/>
  <c r="AP13" i="4"/>
  <c r="AQ13" i="4"/>
  <c r="AR13" i="4"/>
  <c r="AS13" i="4"/>
  <c r="AU13" i="4"/>
  <c r="AV13" i="4"/>
  <c r="BS13" i="4"/>
  <c r="BT13" i="4"/>
  <c r="BU13" i="4"/>
  <c r="BV13" i="4"/>
  <c r="BW13" i="4"/>
  <c r="BY13" i="4"/>
  <c r="BZ13" i="4"/>
  <c r="CW13" i="4"/>
  <c r="CX13" i="4"/>
  <c r="CY13" i="4"/>
  <c r="CZ13" i="4"/>
  <c r="DA13" i="4"/>
  <c r="DC13" i="4"/>
  <c r="DD13" i="4"/>
  <c r="NG13" i="4"/>
  <c r="NH13" i="4"/>
  <c r="NI13" i="4"/>
  <c r="NK13" i="4"/>
  <c r="NL13" i="4"/>
  <c r="NN13" i="4"/>
  <c r="NO13" i="4"/>
  <c r="NP13" i="4"/>
  <c r="NQ13" i="4"/>
  <c r="NR13" i="4"/>
  <c r="NS13" i="4"/>
  <c r="NT13" i="4"/>
  <c r="NU13" i="4"/>
  <c r="OJ13" i="4" s="1"/>
  <c r="NV13" i="4"/>
  <c r="NW13" i="4"/>
  <c r="NX13" i="4"/>
  <c r="NY13" i="4"/>
  <c r="NZ13" i="4"/>
  <c r="OL13" i="4" s="1"/>
  <c r="OA13" i="4"/>
  <c r="OB13" i="4"/>
  <c r="OC13" i="4"/>
  <c r="OD13" i="4"/>
  <c r="OE13" i="4"/>
  <c r="OO13" i="4" s="1"/>
  <c r="OF13" i="4"/>
  <c r="OG13" i="4"/>
  <c r="AO14" i="4"/>
  <c r="AP14" i="4"/>
  <c r="AQ14" i="4"/>
  <c r="AR14" i="4"/>
  <c r="AS14" i="4"/>
  <c r="AU14" i="4"/>
  <c r="AV14" i="4"/>
  <c r="BS14" i="4"/>
  <c r="BT14" i="4"/>
  <c r="BU14" i="4"/>
  <c r="BV14" i="4"/>
  <c r="BW14" i="4"/>
  <c r="BY14" i="4"/>
  <c r="BZ14" i="4"/>
  <c r="CW14" i="4"/>
  <c r="CX14" i="4"/>
  <c r="CY14" i="4"/>
  <c r="CZ14" i="4"/>
  <c r="DA14" i="4"/>
  <c r="DC14" i="4"/>
  <c r="DD14" i="4"/>
  <c r="NG14" i="4"/>
  <c r="NH14" i="4"/>
  <c r="NI14" i="4"/>
  <c r="NK14" i="4"/>
  <c r="NL14" i="4"/>
  <c r="NN14" i="4"/>
  <c r="NO14" i="4"/>
  <c r="NP14" i="4"/>
  <c r="NQ14" i="4"/>
  <c r="NR14" i="4"/>
  <c r="NS14" i="4"/>
  <c r="NT14" i="4"/>
  <c r="NU14" i="4"/>
  <c r="OJ14" i="4" s="1"/>
  <c r="NV14" i="4"/>
  <c r="NW14" i="4"/>
  <c r="NX14" i="4"/>
  <c r="NY14" i="4"/>
  <c r="NZ14" i="4"/>
  <c r="OL14" i="4" s="1"/>
  <c r="OA14" i="4"/>
  <c r="OB14" i="4"/>
  <c r="OC14" i="4"/>
  <c r="OD14" i="4"/>
  <c r="OE14" i="4"/>
  <c r="OO14" i="4" s="1"/>
  <c r="OF14" i="4"/>
  <c r="OG14" i="4"/>
  <c r="BR10" i="17"/>
  <c r="BQ10" i="17"/>
  <c r="BP10" i="17"/>
  <c r="BO10" i="17"/>
  <c r="BN10" i="17"/>
  <c r="BR8" i="17"/>
  <c r="BQ8" i="17"/>
  <c r="BP8" i="17"/>
  <c r="BO8" i="17"/>
  <c r="BN8" i="17"/>
  <c r="BR9" i="17"/>
  <c r="BQ9" i="17"/>
  <c r="BP9" i="17"/>
  <c r="BO9" i="17"/>
  <c r="BN9" i="17"/>
  <c r="BR13" i="17"/>
  <c r="BQ13" i="17"/>
  <c r="BP13" i="17"/>
  <c r="BO13" i="17"/>
  <c r="BN13" i="17"/>
  <c r="BR11" i="17"/>
  <c r="BQ11" i="17"/>
  <c r="BP11" i="17"/>
  <c r="BO11" i="17"/>
  <c r="BN11" i="17"/>
  <c r="BR6" i="17"/>
  <c r="BQ6" i="17"/>
  <c r="BP6" i="17"/>
  <c r="BO6" i="17"/>
  <c r="BN6" i="17"/>
  <c r="BR7" i="17"/>
  <c r="BQ7" i="17"/>
  <c r="BP7" i="17"/>
  <c r="BO7" i="17"/>
  <c r="BN7" i="17"/>
  <c r="BR5" i="17"/>
  <c r="BQ5" i="17"/>
  <c r="BP5" i="17"/>
  <c r="BO5" i="17"/>
  <c r="BN5" i="17"/>
  <c r="BR4" i="17"/>
  <c r="BQ4" i="17"/>
  <c r="BP4" i="17"/>
  <c r="BO4" i="17"/>
  <c r="BN4" i="17"/>
  <c r="AQ10" i="17"/>
  <c r="AP10" i="17"/>
  <c r="AO10" i="17"/>
  <c r="AN10" i="17"/>
  <c r="AM10" i="17"/>
  <c r="AQ8" i="17"/>
  <c r="AP8" i="17"/>
  <c r="AO8" i="17"/>
  <c r="AN8" i="17"/>
  <c r="AM8" i="17"/>
  <c r="AQ9" i="17"/>
  <c r="AP9" i="17"/>
  <c r="AO9" i="17"/>
  <c r="AN9" i="17"/>
  <c r="AM9" i="17"/>
  <c r="AQ13" i="17"/>
  <c r="AP13" i="17"/>
  <c r="AO13" i="17"/>
  <c r="AN13" i="17"/>
  <c r="AM13" i="17"/>
  <c r="AQ11" i="17"/>
  <c r="AP11" i="17"/>
  <c r="AO11" i="17"/>
  <c r="AN11" i="17"/>
  <c r="AM11" i="17"/>
  <c r="AQ6" i="17"/>
  <c r="AP6" i="17"/>
  <c r="AO6" i="17"/>
  <c r="AN6" i="17"/>
  <c r="AM6" i="17"/>
  <c r="AQ7" i="17"/>
  <c r="AP7" i="17"/>
  <c r="AO7" i="17"/>
  <c r="AN7" i="17"/>
  <c r="AM7" i="17"/>
  <c r="AQ5" i="17"/>
  <c r="AP5" i="17"/>
  <c r="AO5" i="17"/>
  <c r="AN5" i="17"/>
  <c r="AM5" i="17"/>
  <c r="AQ4" i="17"/>
  <c r="AP4" i="17"/>
  <c r="AO4" i="17"/>
  <c r="AN4" i="17"/>
  <c r="AM4" i="17"/>
  <c r="BR9" i="16"/>
  <c r="BQ9" i="16"/>
  <c r="BP9" i="16"/>
  <c r="BO9" i="16"/>
  <c r="BN9" i="16"/>
  <c r="BR14" i="16"/>
  <c r="BQ14" i="16"/>
  <c r="BP14" i="16"/>
  <c r="BO14" i="16"/>
  <c r="BN14" i="16"/>
  <c r="BR7" i="16"/>
  <c r="BQ7" i="16"/>
  <c r="BP7" i="16"/>
  <c r="BO7" i="16"/>
  <c r="BN7" i="16"/>
  <c r="BR4" i="16"/>
  <c r="BQ4" i="16"/>
  <c r="BP4" i="16"/>
  <c r="BO4" i="16"/>
  <c r="BN4" i="16"/>
  <c r="BR8" i="16"/>
  <c r="BQ8" i="16"/>
  <c r="BP8" i="16"/>
  <c r="BO8" i="16"/>
  <c r="BN8" i="16"/>
  <c r="BR5" i="16"/>
  <c r="BQ5" i="16"/>
  <c r="BP5" i="16"/>
  <c r="BO5" i="16"/>
  <c r="BN5" i="16"/>
  <c r="BR6" i="16"/>
  <c r="BQ6" i="16"/>
  <c r="BP6" i="16"/>
  <c r="BO6" i="16"/>
  <c r="BN6" i="16"/>
  <c r="AQ9" i="16"/>
  <c r="AP9" i="16"/>
  <c r="AO9" i="16"/>
  <c r="AN9" i="16"/>
  <c r="AM9" i="16"/>
  <c r="AQ14" i="16"/>
  <c r="AP14" i="16"/>
  <c r="AO14" i="16"/>
  <c r="AN14" i="16"/>
  <c r="AM14" i="16"/>
  <c r="AQ7" i="16"/>
  <c r="AP7" i="16"/>
  <c r="AO7" i="16"/>
  <c r="AN7" i="16"/>
  <c r="AM7" i="16"/>
  <c r="AQ4" i="16"/>
  <c r="AP4" i="16"/>
  <c r="AO4" i="16"/>
  <c r="AN4" i="16"/>
  <c r="AM4" i="16"/>
  <c r="AQ8" i="16"/>
  <c r="AP8" i="16"/>
  <c r="AO8" i="16"/>
  <c r="AN8" i="16"/>
  <c r="AM8" i="16"/>
  <c r="AQ5" i="16"/>
  <c r="AP5" i="16"/>
  <c r="AO5" i="16"/>
  <c r="AN5" i="16"/>
  <c r="AM5" i="16"/>
  <c r="AQ6" i="16"/>
  <c r="AP6" i="16"/>
  <c r="AO6" i="16"/>
  <c r="AN6" i="16"/>
  <c r="AM6" i="16"/>
  <c r="BR6" i="15"/>
  <c r="BQ6" i="15"/>
  <c r="BP6" i="15"/>
  <c r="BO6" i="15"/>
  <c r="BN6" i="15"/>
  <c r="BR5" i="15"/>
  <c r="BQ5" i="15"/>
  <c r="BP5" i="15"/>
  <c r="BO5" i="15"/>
  <c r="BN5" i="15"/>
  <c r="BR4" i="15"/>
  <c r="BQ4" i="15"/>
  <c r="BP4" i="15"/>
  <c r="BO4" i="15"/>
  <c r="BN4" i="15"/>
  <c r="AQ6" i="15"/>
  <c r="AP6" i="15"/>
  <c r="AO6" i="15"/>
  <c r="AN6" i="15"/>
  <c r="AM6" i="15"/>
  <c r="AQ5" i="15"/>
  <c r="AP5" i="15"/>
  <c r="AO5" i="15"/>
  <c r="AN5" i="15"/>
  <c r="AM5" i="15"/>
  <c r="AQ4" i="15"/>
  <c r="AP4" i="15"/>
  <c r="AO4" i="15"/>
  <c r="AN4" i="15"/>
  <c r="AM4" i="15"/>
  <c r="BR4" i="14"/>
  <c r="BQ4" i="14"/>
  <c r="BP4" i="14"/>
  <c r="BO4" i="14"/>
  <c r="BN4" i="14"/>
  <c r="AR13" i="14"/>
  <c r="AR9" i="14"/>
  <c r="AQ4" i="14"/>
  <c r="AP4" i="14"/>
  <c r="AO4" i="14"/>
  <c r="AN4" i="14"/>
  <c r="AM4" i="14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8" i="13"/>
  <c r="BY8" i="13"/>
  <c r="BW8" i="13"/>
  <c r="BV8" i="13"/>
  <c r="BU8" i="13"/>
  <c r="BT8" i="13"/>
  <c r="BS8" i="13"/>
  <c r="BZ10" i="13"/>
  <c r="BY10" i="13"/>
  <c r="BW10" i="13"/>
  <c r="BV10" i="13"/>
  <c r="BU10" i="13"/>
  <c r="BT10" i="13"/>
  <c r="BS10" i="13"/>
  <c r="BZ5" i="13"/>
  <c r="BY5" i="13"/>
  <c r="BW5" i="13"/>
  <c r="BV5" i="13"/>
  <c r="BU5" i="13"/>
  <c r="BT5" i="13"/>
  <c r="BS5" i="13"/>
  <c r="BZ7" i="13"/>
  <c r="BY7" i="13"/>
  <c r="BW7" i="13"/>
  <c r="BV7" i="13"/>
  <c r="BU7" i="13"/>
  <c r="BT7" i="13"/>
  <c r="BS7" i="13"/>
  <c r="BZ4" i="13"/>
  <c r="BY4" i="13"/>
  <c r="BW4" i="13"/>
  <c r="BV4" i="13"/>
  <c r="BU4" i="13"/>
  <c r="BT4" i="13"/>
  <c r="BS4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8" i="13"/>
  <c r="AU8" i="13"/>
  <c r="AS8" i="13"/>
  <c r="AR8" i="13"/>
  <c r="AQ8" i="13"/>
  <c r="AP8" i="13"/>
  <c r="AO8" i="13"/>
  <c r="AV10" i="13"/>
  <c r="AU10" i="13"/>
  <c r="AS10" i="13"/>
  <c r="AR10" i="13"/>
  <c r="AQ10" i="13"/>
  <c r="AP10" i="13"/>
  <c r="AO10" i="13"/>
  <c r="AV5" i="13"/>
  <c r="AU5" i="13"/>
  <c r="AS5" i="13"/>
  <c r="AR5" i="13"/>
  <c r="AQ5" i="13"/>
  <c r="AP5" i="13"/>
  <c r="AO5" i="13"/>
  <c r="AV7" i="13"/>
  <c r="AU7" i="13"/>
  <c r="AS7" i="13"/>
  <c r="AR7" i="13"/>
  <c r="AQ7" i="13"/>
  <c r="AP7" i="13"/>
  <c r="AO7" i="13"/>
  <c r="AV4" i="13"/>
  <c r="AU4" i="13"/>
  <c r="AS4" i="13"/>
  <c r="AR4" i="13"/>
  <c r="AQ4" i="13"/>
  <c r="AP4" i="13"/>
  <c r="AO4" i="13"/>
  <c r="BZ7" i="4"/>
  <c r="BY7" i="4"/>
  <c r="BW7" i="4"/>
  <c r="BV7" i="4"/>
  <c r="BU7" i="4"/>
  <c r="BT7" i="4"/>
  <c r="BS7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11" i="4"/>
  <c r="BY11" i="4"/>
  <c r="BW11" i="4"/>
  <c r="BV11" i="4"/>
  <c r="BU11" i="4"/>
  <c r="BT11" i="4"/>
  <c r="BS11" i="4"/>
  <c r="BZ4" i="4"/>
  <c r="BY4" i="4"/>
  <c r="BW4" i="4"/>
  <c r="BV4" i="4"/>
  <c r="BU4" i="4"/>
  <c r="BT4" i="4"/>
  <c r="BS4" i="4"/>
  <c r="AV7" i="4"/>
  <c r="AU7" i="4"/>
  <c r="AS7" i="4"/>
  <c r="AR7" i="4"/>
  <c r="AQ7" i="4"/>
  <c r="AP7" i="4"/>
  <c r="AO7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11" i="4"/>
  <c r="AU11" i="4"/>
  <c r="AS11" i="4"/>
  <c r="AR11" i="4"/>
  <c r="AQ11" i="4"/>
  <c r="AP11" i="4"/>
  <c r="AO11" i="4"/>
  <c r="AV4" i="4"/>
  <c r="AU4" i="4"/>
  <c r="AS4" i="4"/>
  <c r="AR4" i="4"/>
  <c r="AQ4" i="4"/>
  <c r="AP4" i="4"/>
  <c r="AO4" i="4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14" i="16"/>
  <c r="CP14" i="16"/>
  <c r="CQ14" i="16"/>
  <c r="CR14" i="16"/>
  <c r="CS14" i="16"/>
  <c r="OQ14" i="16"/>
  <c r="OR14" i="16"/>
  <c r="OS14" i="16"/>
  <c r="OT14" i="16"/>
  <c r="OU14" i="16"/>
  <c r="OW14" i="16"/>
  <c r="OX14" i="16"/>
  <c r="OY14" i="16"/>
  <c r="OZ14" i="16"/>
  <c r="PA14" i="16"/>
  <c r="PB14" i="16"/>
  <c r="PC14" i="16"/>
  <c r="PD14" i="16"/>
  <c r="PE14" i="16"/>
  <c r="PF14" i="16"/>
  <c r="PG14" i="16"/>
  <c r="PH14" i="16"/>
  <c r="PI14" i="16"/>
  <c r="PJ14" i="16"/>
  <c r="PK14" i="16"/>
  <c r="PL14" i="16"/>
  <c r="PM14" i="16"/>
  <c r="PN14" i="16"/>
  <c r="PO14" i="16"/>
  <c r="PP14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5" i="15"/>
  <c r="CP5" i="15"/>
  <c r="CQ5" i="15"/>
  <c r="CR5" i="15"/>
  <c r="CS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6" i="15"/>
  <c r="CP6" i="15"/>
  <c r="CQ6" i="15"/>
  <c r="CR6" i="15"/>
  <c r="CS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11" i="4"/>
  <c r="CX11" i="4"/>
  <c r="CY11" i="4"/>
  <c r="CZ11" i="4"/>
  <c r="DA11" i="4"/>
  <c r="DC11" i="4"/>
  <c r="DD11" i="4"/>
  <c r="NG11" i="4"/>
  <c r="NH11" i="4"/>
  <c r="NI11" i="4"/>
  <c r="NK11" i="4"/>
  <c r="NL11" i="4"/>
  <c r="NN11" i="4"/>
  <c r="NO11" i="4"/>
  <c r="NP11" i="4"/>
  <c r="NQ11" i="4"/>
  <c r="NR11" i="4"/>
  <c r="NS11" i="4"/>
  <c r="NT11" i="4"/>
  <c r="NU11" i="4"/>
  <c r="OJ11" i="4" s="1"/>
  <c r="NV11" i="4"/>
  <c r="NW11" i="4"/>
  <c r="NX11" i="4"/>
  <c r="NY11" i="4"/>
  <c r="NZ11" i="4"/>
  <c r="OL11" i="4" s="1"/>
  <c r="OA11" i="4"/>
  <c r="OB11" i="4"/>
  <c r="OC11" i="4"/>
  <c r="OD11" i="4"/>
  <c r="OE11" i="4"/>
  <c r="OO11" i="4" s="1"/>
  <c r="OF11" i="4"/>
  <c r="OG11" i="4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6" i="4"/>
  <c r="CX6" i="4"/>
  <c r="CY6" i="4"/>
  <c r="CZ6" i="4"/>
  <c r="DA6" i="4"/>
  <c r="DC6" i="4"/>
  <c r="DD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7" i="4"/>
  <c r="CX7" i="4"/>
  <c r="CY7" i="4"/>
  <c r="CZ7" i="4"/>
  <c r="DA7" i="4"/>
  <c r="DC7" i="4"/>
  <c r="DD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L7" i="4" s="1"/>
  <c r="OA7" i="4"/>
  <c r="OB7" i="4"/>
  <c r="OC7" i="4"/>
  <c r="OD7" i="4"/>
  <c r="OE7" i="4"/>
  <c r="OO7" i="4" s="1"/>
  <c r="OF7" i="4"/>
  <c r="OG7" i="4"/>
  <c r="DV6" i="17" l="1"/>
  <c r="FV13" i="17"/>
  <c r="GV8" i="17"/>
  <c r="HV9" i="17"/>
  <c r="IV10" i="17"/>
  <c r="KV12" i="17"/>
  <c r="MV15" i="17"/>
  <c r="NV16" i="17"/>
  <c r="GV10" i="16"/>
  <c r="MV11" i="16"/>
  <c r="NV14" i="16"/>
  <c r="HV8" i="15"/>
  <c r="KV7" i="15"/>
  <c r="MN4" i="13"/>
  <c r="MQ4" i="13" s="1"/>
  <c r="EX4" i="13"/>
  <c r="FA4" i="13" s="1"/>
  <c r="FT10" i="13"/>
  <c r="FW10" i="13" s="1"/>
  <c r="HL8" i="13"/>
  <c r="HO8" i="13" s="1"/>
  <c r="JD6" i="13"/>
  <c r="JG6" i="13" s="1"/>
  <c r="KV4" i="13"/>
  <c r="KY4" i="13" s="1"/>
  <c r="LR10" i="13"/>
  <c r="LU10" i="13" s="1"/>
  <c r="HL10" i="4"/>
  <c r="HO10" i="4" s="1"/>
  <c r="IH9" i="4"/>
  <c r="IK9" i="4" s="1"/>
  <c r="JD13" i="4"/>
  <c r="JG13" i="4" s="1"/>
  <c r="KV5" i="4"/>
  <c r="KY5" i="4" s="1"/>
  <c r="LR7" i="4"/>
  <c r="LU7" i="4" s="1"/>
  <c r="MN11" i="4"/>
  <c r="MQ11" i="4" s="1"/>
  <c r="HV13" i="16"/>
  <c r="KV7" i="16"/>
  <c r="FV5" i="14"/>
  <c r="MV5" i="14"/>
  <c r="EB10" i="4"/>
  <c r="EE10" i="4" s="1"/>
  <c r="EX9" i="4"/>
  <c r="FA9" i="4" s="1"/>
  <c r="FT13" i="4"/>
  <c r="FW13" i="4" s="1"/>
  <c r="HL5" i="4"/>
  <c r="HO5" i="4" s="1"/>
  <c r="IH7" i="4"/>
  <c r="IK7" i="4" s="1"/>
  <c r="JD11" i="4"/>
  <c r="JG11" i="4" s="1"/>
  <c r="JZ14" i="4"/>
  <c r="KC14" i="4" s="1"/>
  <c r="LR6" i="4"/>
  <c r="LU6" i="4" s="1"/>
  <c r="MN8" i="4"/>
  <c r="MQ8" i="4" s="1"/>
  <c r="GV12" i="16"/>
  <c r="EV5" i="16"/>
  <c r="EV10" i="16"/>
  <c r="GV13" i="16"/>
  <c r="KV11" i="16"/>
  <c r="LV5" i="16"/>
  <c r="LV14" i="16"/>
  <c r="NV6" i="16"/>
  <c r="NV12" i="16"/>
  <c r="HV4" i="16"/>
  <c r="DV10" i="16"/>
  <c r="IV7" i="16"/>
  <c r="KV14" i="16"/>
  <c r="MV6" i="16"/>
  <c r="EV13" i="16"/>
  <c r="HV7" i="16"/>
  <c r="IV11" i="16"/>
  <c r="JV14" i="16"/>
  <c r="LV6" i="16"/>
  <c r="MV8" i="16"/>
  <c r="EV11" i="17"/>
  <c r="BS15" i="17"/>
  <c r="FV7" i="17"/>
  <c r="IV7" i="17"/>
  <c r="DV8" i="17"/>
  <c r="EV9" i="17"/>
  <c r="FV10" i="17"/>
  <c r="HV12" i="17"/>
  <c r="BS16" i="17"/>
  <c r="EV5" i="17"/>
  <c r="EV6" i="17"/>
  <c r="GV5" i="17"/>
  <c r="GV13" i="17"/>
  <c r="HV8" i="17"/>
  <c r="JV5" i="17"/>
  <c r="JV13" i="17"/>
  <c r="KV8" i="17"/>
  <c r="KV14" i="17"/>
  <c r="LV9" i="17"/>
  <c r="MV10" i="17"/>
  <c r="DV5" i="17"/>
  <c r="EV14" i="17"/>
  <c r="NV11" i="17"/>
  <c r="NV14" i="17"/>
  <c r="DV10" i="17"/>
  <c r="FV12" i="17"/>
  <c r="HV11" i="17"/>
  <c r="IV12" i="17"/>
  <c r="KV11" i="17"/>
  <c r="KV15" i="17"/>
  <c r="LV7" i="17"/>
  <c r="LV16" i="17"/>
  <c r="NV4" i="17"/>
  <c r="FV11" i="17"/>
  <c r="DV7" i="17"/>
  <c r="CT16" i="17"/>
  <c r="LV5" i="17"/>
  <c r="MV14" i="17"/>
  <c r="JV7" i="17"/>
  <c r="MV5" i="17"/>
  <c r="FV5" i="17"/>
  <c r="GV14" i="17"/>
  <c r="IV5" i="17"/>
  <c r="JV14" i="17"/>
  <c r="DV14" i="17"/>
  <c r="MV11" i="17"/>
  <c r="NV7" i="17"/>
  <c r="GV7" i="17"/>
  <c r="AR12" i="17"/>
  <c r="M16" i="17"/>
  <c r="CV16" i="17" s="1"/>
  <c r="EV12" i="17"/>
  <c r="GV11" i="17"/>
  <c r="GV15" i="17"/>
  <c r="HV7" i="17"/>
  <c r="JV11" i="17"/>
  <c r="JV15" i="17"/>
  <c r="KV7" i="17"/>
  <c r="KV16" i="17"/>
  <c r="MV4" i="17"/>
  <c r="M15" i="17"/>
  <c r="CV15" i="17" s="1"/>
  <c r="DV11" i="17"/>
  <c r="DV15" i="17"/>
  <c r="EV7" i="17"/>
  <c r="EV16" i="17"/>
  <c r="GV4" i="17"/>
  <c r="HV16" i="17"/>
  <c r="JV4" i="17"/>
  <c r="LV6" i="17"/>
  <c r="NV5" i="17"/>
  <c r="NV13" i="17"/>
  <c r="LV11" i="17"/>
  <c r="IV11" i="17"/>
  <c r="DV4" i="17"/>
  <c r="FV6" i="17"/>
  <c r="HV5" i="17"/>
  <c r="HV13" i="17"/>
  <c r="IV6" i="17"/>
  <c r="KV5" i="17"/>
  <c r="KV13" i="17"/>
  <c r="LV8" i="17"/>
  <c r="LV14" i="17"/>
  <c r="MV9" i="17"/>
  <c r="NV10" i="17"/>
  <c r="FV14" i="16"/>
  <c r="IV6" i="16"/>
  <c r="JV7" i="16"/>
  <c r="MV14" i="16"/>
  <c r="DV13" i="16"/>
  <c r="HV10" i="16"/>
  <c r="IV8" i="16"/>
  <c r="JV11" i="16"/>
  <c r="KV13" i="16"/>
  <c r="FV8" i="16"/>
  <c r="AR10" i="16"/>
  <c r="IV5" i="16"/>
  <c r="FV5" i="16"/>
  <c r="IV4" i="16"/>
  <c r="MV5" i="16"/>
  <c r="LV4" i="16"/>
  <c r="KV12" i="16"/>
  <c r="DV9" i="16"/>
  <c r="HV12" i="16"/>
  <c r="KV9" i="16"/>
  <c r="FV4" i="16"/>
  <c r="JV5" i="16"/>
  <c r="MV4" i="16"/>
  <c r="NV9" i="16"/>
  <c r="EV12" i="16"/>
  <c r="HV9" i="16"/>
  <c r="LV12" i="16"/>
  <c r="DV12" i="16"/>
  <c r="GV5" i="16"/>
  <c r="JV4" i="16"/>
  <c r="NV5" i="16"/>
  <c r="JV9" i="16"/>
  <c r="EV4" i="16"/>
  <c r="GV9" i="16"/>
  <c r="EV9" i="16"/>
  <c r="IV12" i="16"/>
  <c r="LV9" i="16"/>
  <c r="DV5" i="16"/>
  <c r="GV4" i="16"/>
  <c r="KV5" i="16"/>
  <c r="NV4" i="16"/>
  <c r="AR13" i="16"/>
  <c r="FV10" i="16"/>
  <c r="FV12" i="16"/>
  <c r="GV8" i="16"/>
  <c r="HV11" i="16"/>
  <c r="IV9" i="16"/>
  <c r="IV13" i="16"/>
  <c r="MV10" i="16"/>
  <c r="MV12" i="16"/>
  <c r="NV8" i="16"/>
  <c r="DV4" i="16"/>
  <c r="DV6" i="16"/>
  <c r="EV7" i="16"/>
  <c r="HV5" i="16"/>
  <c r="HV14" i="16"/>
  <c r="KV4" i="16"/>
  <c r="KV6" i="16"/>
  <c r="LV7" i="16"/>
  <c r="DV8" i="16"/>
  <c r="EV11" i="16"/>
  <c r="FV9" i="16"/>
  <c r="FV13" i="16"/>
  <c r="JV10" i="16"/>
  <c r="JV12" i="16"/>
  <c r="KV8" i="16"/>
  <c r="LV11" i="16"/>
  <c r="MV9" i="16"/>
  <c r="MV13" i="16"/>
  <c r="IV4" i="15"/>
  <c r="MV4" i="15"/>
  <c r="HV4" i="15"/>
  <c r="LV6" i="15"/>
  <c r="MV6" i="15"/>
  <c r="GV6" i="15"/>
  <c r="HV6" i="15"/>
  <c r="DV5" i="15"/>
  <c r="IV8" i="15"/>
  <c r="LV4" i="15"/>
  <c r="GV4" i="15"/>
  <c r="KV6" i="15"/>
  <c r="FV6" i="15"/>
  <c r="KV4" i="15"/>
  <c r="FV4" i="15"/>
  <c r="FV7" i="15"/>
  <c r="JV6" i="15"/>
  <c r="LV5" i="15"/>
  <c r="EV6" i="15"/>
  <c r="GV5" i="15"/>
  <c r="LV8" i="15"/>
  <c r="NV4" i="15"/>
  <c r="DV4" i="15"/>
  <c r="OV8" i="15"/>
  <c r="GV8" i="15"/>
  <c r="JV4" i="15"/>
  <c r="JV7" i="15"/>
  <c r="NV6" i="15"/>
  <c r="GV4" i="14"/>
  <c r="NV4" i="14"/>
  <c r="IV5" i="14"/>
  <c r="JV4" i="14"/>
  <c r="EB11" i="13"/>
  <c r="EE11" i="13" s="1"/>
  <c r="FT9" i="13"/>
  <c r="FW9" i="13" s="1"/>
  <c r="HL7" i="13"/>
  <c r="HO7" i="13" s="1"/>
  <c r="JD5" i="13"/>
  <c r="JG5" i="13" s="1"/>
  <c r="JZ11" i="13"/>
  <c r="KC11" i="13" s="1"/>
  <c r="LR9" i="13"/>
  <c r="LU9" i="13" s="1"/>
  <c r="EX9" i="13"/>
  <c r="FA9" i="13" s="1"/>
  <c r="GP7" i="13"/>
  <c r="GS7" i="13" s="1"/>
  <c r="IH5" i="13"/>
  <c r="IK5" i="13" s="1"/>
  <c r="JD11" i="13"/>
  <c r="JG11" i="13" s="1"/>
  <c r="KV9" i="13"/>
  <c r="KY9" i="13" s="1"/>
  <c r="MN7" i="13"/>
  <c r="MQ7" i="13" s="1"/>
  <c r="FA7" i="13"/>
  <c r="GS5" i="13"/>
  <c r="HO11" i="13"/>
  <c r="JG9" i="13"/>
  <c r="KY7" i="13"/>
  <c r="MQ5" i="13"/>
  <c r="EE4" i="13"/>
  <c r="FA10" i="13"/>
  <c r="GS8" i="13"/>
  <c r="IK6" i="13"/>
  <c r="KC4" i="13"/>
  <c r="KY10" i="13"/>
  <c r="MQ8" i="13"/>
  <c r="NJ11" i="13"/>
  <c r="NM11" i="13" s="1"/>
  <c r="EB7" i="13"/>
  <c r="EE7" i="13" s="1"/>
  <c r="FT5" i="13"/>
  <c r="FW5" i="13" s="1"/>
  <c r="GP11" i="13"/>
  <c r="GS11" i="13" s="1"/>
  <c r="IH9" i="13"/>
  <c r="IK9" i="13" s="1"/>
  <c r="JZ7" i="13"/>
  <c r="KC7" i="13" s="1"/>
  <c r="LR5" i="13"/>
  <c r="LU5" i="13" s="1"/>
  <c r="MN11" i="13"/>
  <c r="MQ11" i="13" s="1"/>
  <c r="EB6" i="4"/>
  <c r="EE6" i="4" s="1"/>
  <c r="EX8" i="4"/>
  <c r="FA8" i="4" s="1"/>
  <c r="FT12" i="4"/>
  <c r="FW12" i="4" s="1"/>
  <c r="HL4" i="4"/>
  <c r="HO4" i="4" s="1"/>
  <c r="IH10" i="4"/>
  <c r="IK10" i="4" s="1"/>
  <c r="JD9" i="4"/>
  <c r="JG9" i="4" s="1"/>
  <c r="JZ13" i="4"/>
  <c r="KC13" i="4" s="1"/>
  <c r="LR5" i="4"/>
  <c r="LU5" i="4" s="1"/>
  <c r="MN7" i="4"/>
  <c r="MQ7" i="4" s="1"/>
  <c r="EX4" i="4"/>
  <c r="FA4" i="4" s="1"/>
  <c r="FT10" i="4"/>
  <c r="FW10" i="4" s="1"/>
  <c r="GP9" i="4"/>
  <c r="GS9" i="4" s="1"/>
  <c r="HL13" i="4"/>
  <c r="HO13" i="4" s="1"/>
  <c r="JD5" i="4"/>
  <c r="JG5" i="4" s="1"/>
  <c r="JZ7" i="4"/>
  <c r="KC7" i="4" s="1"/>
  <c r="KV11" i="4"/>
  <c r="KY11" i="4" s="1"/>
  <c r="LR14" i="4"/>
  <c r="LU14" i="4" s="1"/>
  <c r="NJ8" i="4"/>
  <c r="NM8" i="4" s="1"/>
  <c r="EE9" i="4"/>
  <c r="FA13" i="4"/>
  <c r="GS5" i="4"/>
  <c r="HO7" i="4"/>
  <c r="IK11" i="4"/>
  <c r="JG14" i="4"/>
  <c r="KY6" i="4"/>
  <c r="LU8" i="4"/>
  <c r="MQ12" i="4"/>
  <c r="EE13" i="4"/>
  <c r="FW5" i="4"/>
  <c r="GS7" i="4"/>
  <c r="HO11" i="4"/>
  <c r="IK14" i="4"/>
  <c r="KC6" i="4"/>
  <c r="KY8" i="4"/>
  <c r="LU12" i="4"/>
  <c r="EX5" i="4"/>
  <c r="FA5" i="4" s="1"/>
  <c r="FT7" i="4"/>
  <c r="FW7" i="4" s="1"/>
  <c r="GP11" i="4"/>
  <c r="GS11" i="4" s="1"/>
  <c r="HL14" i="4"/>
  <c r="HO14" i="4" s="1"/>
  <c r="JD6" i="4"/>
  <c r="JG6" i="4" s="1"/>
  <c r="JZ8" i="4"/>
  <c r="KC8" i="4" s="1"/>
  <c r="KV12" i="4"/>
  <c r="KY12" i="4" s="1"/>
  <c r="MN4" i="4"/>
  <c r="MQ4" i="4" s="1"/>
  <c r="BS4" i="17"/>
  <c r="M8" i="15"/>
  <c r="CV8" i="15" s="1"/>
  <c r="BS5" i="14"/>
  <c r="AR4" i="14"/>
  <c r="BX9" i="4"/>
  <c r="CA9" i="4" s="1"/>
  <c r="O13" i="4"/>
  <c r="DI13" i="4" s="1"/>
  <c r="DB10" i="4"/>
  <c r="DE10" i="4" s="1"/>
  <c r="AT8" i="4"/>
  <c r="AW8" i="4" s="1"/>
  <c r="NJ13" i="4"/>
  <c r="NM13" i="4" s="1"/>
  <c r="DB8" i="4"/>
  <c r="DE8" i="4" s="1"/>
  <c r="OM10" i="4"/>
  <c r="PU15" i="17"/>
  <c r="AR10" i="17"/>
  <c r="BS13" i="16"/>
  <c r="BS11" i="16"/>
  <c r="OV11" i="16"/>
  <c r="AR5" i="16"/>
  <c r="BS14" i="16"/>
  <c r="CT8" i="15"/>
  <c r="AW11" i="13"/>
  <c r="DB11" i="13"/>
  <c r="DE11" i="13" s="1"/>
  <c r="NJ6" i="13"/>
  <c r="NM6" i="13" s="1"/>
  <c r="OK11" i="13"/>
  <c r="NJ9" i="4"/>
  <c r="NM9" i="4" s="1"/>
  <c r="AT10" i="4"/>
  <c r="AW10" i="4" s="1"/>
  <c r="AT13" i="4"/>
  <c r="AW13" i="4" s="1"/>
  <c r="NJ12" i="4"/>
  <c r="NM12" i="4" s="1"/>
  <c r="O10" i="4"/>
  <c r="DI10" i="4" s="1"/>
  <c r="DB12" i="4"/>
  <c r="DE12" i="4" s="1"/>
  <c r="OI13" i="4"/>
  <c r="OK8" i="4"/>
  <c r="BX5" i="4"/>
  <c r="CA5" i="4" s="1"/>
  <c r="BX7" i="4"/>
  <c r="CA7" i="4" s="1"/>
  <c r="OP13" i="4"/>
  <c r="NJ10" i="4"/>
  <c r="NM10" i="4" s="1"/>
  <c r="AT11" i="4"/>
  <c r="AW11" i="4" s="1"/>
  <c r="NJ14" i="4"/>
  <c r="NM14" i="4" s="1"/>
  <c r="OK10" i="4"/>
  <c r="BS14" i="17"/>
  <c r="OV12" i="17"/>
  <c r="OV14" i="17"/>
  <c r="AR13" i="17"/>
  <c r="OV13" i="16"/>
  <c r="BS6" i="16"/>
  <c r="M11" i="16"/>
  <c r="CV11" i="16" s="1"/>
  <c r="M12" i="16"/>
  <c r="CV12" i="16" s="1"/>
  <c r="PU13" i="16"/>
  <c r="M13" i="16"/>
  <c r="CV13" i="16" s="1"/>
  <c r="AR11" i="16"/>
  <c r="BS8" i="15"/>
  <c r="OV7" i="15"/>
  <c r="OV5" i="15"/>
  <c r="BS4" i="14"/>
  <c r="AT4" i="13"/>
  <c r="AW4" i="13" s="1"/>
  <c r="AT8" i="13"/>
  <c r="AW8" i="13" s="1"/>
  <c r="AT9" i="13"/>
  <c r="AW9" i="13" s="1"/>
  <c r="BX7" i="13"/>
  <c r="CA7" i="13" s="1"/>
  <c r="BX10" i="13"/>
  <c r="CA10" i="13" s="1"/>
  <c r="OM11" i="13"/>
  <c r="DB14" i="4"/>
  <c r="DE14" i="4" s="1"/>
  <c r="AT14" i="4"/>
  <c r="AW14" i="4" s="1"/>
  <c r="OP10" i="4"/>
  <c r="BX12" i="4"/>
  <c r="CA12" i="4" s="1"/>
  <c r="DB9" i="4"/>
  <c r="DE9" i="4" s="1"/>
  <c r="O9" i="4"/>
  <c r="DI9" i="4" s="1"/>
  <c r="OK12" i="4"/>
  <c r="BX10" i="4"/>
  <c r="CA10" i="4" s="1"/>
  <c r="OI10" i="4"/>
  <c r="OM13" i="4"/>
  <c r="BX13" i="4"/>
  <c r="CA13" i="4" s="1"/>
  <c r="O12" i="4"/>
  <c r="P12" i="4" s="1"/>
  <c r="AT12" i="4"/>
  <c r="OP11" i="4"/>
  <c r="OM8" i="4"/>
  <c r="OI8" i="4"/>
  <c r="OK14" i="4"/>
  <c r="OP12" i="4"/>
  <c r="O8" i="4"/>
  <c r="P8" i="4" s="1"/>
  <c r="BX8" i="4"/>
  <c r="CA8" i="4" s="1"/>
  <c r="AT9" i="4"/>
  <c r="OM12" i="4"/>
  <c r="OI12" i="4"/>
  <c r="OK9" i="4"/>
  <c r="M14" i="17"/>
  <c r="CV14" i="17" s="1"/>
  <c r="PT16" i="17"/>
  <c r="I16" i="17"/>
  <c r="J16" i="17" s="1"/>
  <c r="PR16" i="17"/>
  <c r="G16" i="17"/>
  <c r="PU16" i="17"/>
  <c r="PV16" i="17"/>
  <c r="PS16" i="17"/>
  <c r="F16" i="17"/>
  <c r="K16" i="17"/>
  <c r="M12" i="17"/>
  <c r="CV12" i="17" s="1"/>
  <c r="CT15" i="17"/>
  <c r="AR7" i="17"/>
  <c r="BS8" i="17"/>
  <c r="BS12" i="17"/>
  <c r="K15" i="17"/>
  <c r="L15" i="17" s="1"/>
  <c r="PV15" i="17"/>
  <c r="PT15" i="17"/>
  <c r="G15" i="17"/>
  <c r="PR15" i="17"/>
  <c r="PS15" i="17"/>
  <c r="I15" i="17"/>
  <c r="J15" i="17" s="1"/>
  <c r="F15" i="17"/>
  <c r="AR15" i="17"/>
  <c r="PV14" i="17"/>
  <c r="CT14" i="17"/>
  <c r="AR8" i="17"/>
  <c r="CT12" i="17"/>
  <c r="BS5" i="17"/>
  <c r="I14" i="17"/>
  <c r="J14" i="17" s="1"/>
  <c r="PT14" i="17"/>
  <c r="G14" i="17"/>
  <c r="PS14" i="17"/>
  <c r="PR14" i="17"/>
  <c r="PU14" i="17"/>
  <c r="F14" i="17"/>
  <c r="K14" i="17"/>
  <c r="AR14" i="17"/>
  <c r="PT12" i="17"/>
  <c r="BS6" i="17"/>
  <c r="AR5" i="17"/>
  <c r="I12" i="17"/>
  <c r="J12" i="17" s="1"/>
  <c r="PS12" i="17"/>
  <c r="PR12" i="17"/>
  <c r="G12" i="17"/>
  <c r="PU12" i="17"/>
  <c r="PV12" i="17"/>
  <c r="F12" i="17"/>
  <c r="K12" i="17"/>
  <c r="BS9" i="17"/>
  <c r="AR9" i="17"/>
  <c r="AR11" i="17"/>
  <c r="BS7" i="17"/>
  <c r="BS11" i="17"/>
  <c r="AR4" i="17"/>
  <c r="BS13" i="17"/>
  <c r="AR6" i="17"/>
  <c r="BS10" i="17"/>
  <c r="I13" i="16"/>
  <c r="J13" i="16" s="1"/>
  <c r="CT13" i="16"/>
  <c r="PV13" i="16"/>
  <c r="F13" i="16"/>
  <c r="PS13" i="16"/>
  <c r="PT13" i="16"/>
  <c r="PR13" i="16"/>
  <c r="K13" i="16"/>
  <c r="G13" i="16"/>
  <c r="CT12" i="16"/>
  <c r="PU12" i="16"/>
  <c r="OV12" i="16"/>
  <c r="OV10" i="16"/>
  <c r="BS10" i="16"/>
  <c r="BS8" i="16"/>
  <c r="CT11" i="16"/>
  <c r="K12" i="16"/>
  <c r="CU12" i="16" s="1"/>
  <c r="PV12" i="16"/>
  <c r="PT12" i="16"/>
  <c r="BS12" i="16"/>
  <c r="G12" i="16"/>
  <c r="PS12" i="16"/>
  <c r="PR12" i="16"/>
  <c r="AR12" i="16"/>
  <c r="F12" i="16"/>
  <c r="I12" i="16"/>
  <c r="J12" i="16" s="1"/>
  <c r="PT11" i="16"/>
  <c r="CT10" i="16"/>
  <c r="AR6" i="16"/>
  <c r="M10" i="16"/>
  <c r="CV10" i="16" s="1"/>
  <c r="AR14" i="16"/>
  <c r="I11" i="16"/>
  <c r="J11" i="16" s="1"/>
  <c r="PS11" i="16"/>
  <c r="PR11" i="16"/>
  <c r="G11" i="16"/>
  <c r="PU11" i="16"/>
  <c r="PV11" i="16"/>
  <c r="F11" i="16"/>
  <c r="K11" i="16"/>
  <c r="PT10" i="16"/>
  <c r="BS4" i="16"/>
  <c r="OV8" i="16"/>
  <c r="AR8" i="16"/>
  <c r="BS9" i="16"/>
  <c r="I10" i="16"/>
  <c r="J10" i="16" s="1"/>
  <c r="PS10" i="16"/>
  <c r="PR10" i="16"/>
  <c r="G10" i="16"/>
  <c r="PU10" i="16"/>
  <c r="PV10" i="16"/>
  <c r="F10" i="16"/>
  <c r="K10" i="16"/>
  <c r="AR4" i="16"/>
  <c r="AR7" i="16"/>
  <c r="BS7" i="16"/>
  <c r="AR9" i="16"/>
  <c r="BS5" i="16"/>
  <c r="PT8" i="15"/>
  <c r="M7" i="15"/>
  <c r="CV7" i="15" s="1"/>
  <c r="I8" i="15"/>
  <c r="J8" i="15" s="1"/>
  <c r="PR8" i="15"/>
  <c r="G8" i="15"/>
  <c r="PU8" i="15"/>
  <c r="PS8" i="15"/>
  <c r="PV8" i="15"/>
  <c r="K8" i="15"/>
  <c r="CU8" i="15" s="1"/>
  <c r="F8" i="15"/>
  <c r="CT7" i="15"/>
  <c r="BS6" i="15"/>
  <c r="PT7" i="15"/>
  <c r="I7" i="15"/>
  <c r="J7" i="15" s="1"/>
  <c r="BS7" i="15"/>
  <c r="PR7" i="15"/>
  <c r="G7" i="15"/>
  <c r="F7" i="15"/>
  <c r="PU7" i="15"/>
  <c r="PV7" i="15"/>
  <c r="PS7" i="15"/>
  <c r="K7" i="15"/>
  <c r="AR6" i="15"/>
  <c r="AR4" i="15"/>
  <c r="BS4" i="15"/>
  <c r="AR5" i="15"/>
  <c r="BS5" i="15"/>
  <c r="CT5" i="14"/>
  <c r="I5" i="14"/>
  <c r="J5" i="14" s="1"/>
  <c r="PT5" i="14"/>
  <c r="PS5" i="14"/>
  <c r="G5" i="14"/>
  <c r="PR5" i="14"/>
  <c r="PV5" i="14"/>
  <c r="F5" i="14"/>
  <c r="M5" i="14"/>
  <c r="CV5" i="14" s="1"/>
  <c r="K5" i="14"/>
  <c r="AR5" i="14"/>
  <c r="PU5" i="14"/>
  <c r="OI11" i="13"/>
  <c r="O11" i="13"/>
  <c r="P11" i="13" s="1"/>
  <c r="BX11" i="13"/>
  <c r="CA11" i="13" s="1"/>
  <c r="OP11" i="13"/>
  <c r="BX5" i="13"/>
  <c r="CA5" i="13" s="1"/>
  <c r="AT5" i="13"/>
  <c r="AW5" i="13" s="1"/>
  <c r="BX6" i="13"/>
  <c r="CA6" i="13" s="1"/>
  <c r="BX8" i="13"/>
  <c r="CA8" i="13" s="1"/>
  <c r="AT6" i="13"/>
  <c r="AW6" i="13" s="1"/>
  <c r="AT7" i="13"/>
  <c r="AW7" i="13" s="1"/>
  <c r="AT10" i="13"/>
  <c r="AW10" i="13" s="1"/>
  <c r="BX4" i="13"/>
  <c r="CA4" i="13" s="1"/>
  <c r="BX9" i="13"/>
  <c r="CA9" i="13" s="1"/>
  <c r="DB13" i="4"/>
  <c r="DE13" i="4" s="1"/>
  <c r="OM14" i="4"/>
  <c r="OP9" i="4"/>
  <c r="OM9" i="4"/>
  <c r="OI9" i="4"/>
  <c r="OK13" i="4"/>
  <c r="AT4" i="4"/>
  <c r="AW4" i="4" s="1"/>
  <c r="BX6" i="4"/>
  <c r="CA6" i="4" s="1"/>
  <c r="OI14" i="4"/>
  <c r="O14" i="4"/>
  <c r="DI14" i="4" s="1"/>
  <c r="BX14" i="4"/>
  <c r="CA14" i="4" s="1"/>
  <c r="OP14" i="4"/>
  <c r="AT5" i="4"/>
  <c r="AW5" i="4" s="1"/>
  <c r="BX11" i="4"/>
  <c r="CA11" i="4" s="1"/>
  <c r="AT6" i="4"/>
  <c r="AW6" i="4" s="1"/>
  <c r="BX4" i="4"/>
  <c r="CA4" i="4" s="1"/>
  <c r="AT7" i="4"/>
  <c r="AW7" i="4" s="1"/>
  <c r="OM6" i="4"/>
  <c r="OV10" i="17"/>
  <c r="OV11" i="17"/>
  <c r="OV13" i="17"/>
  <c r="M6" i="16"/>
  <c r="N6" i="16" s="1"/>
  <c r="OV6" i="16"/>
  <c r="NJ11" i="4"/>
  <c r="NM11" i="4" s="1"/>
  <c r="NJ5" i="4"/>
  <c r="NM5" i="4" s="1"/>
  <c r="M10" i="17"/>
  <c r="CV10" i="17" s="1"/>
  <c r="M13" i="17"/>
  <c r="N13" i="17" s="1"/>
  <c r="OV9" i="17"/>
  <c r="OV8" i="17"/>
  <c r="CT13" i="17"/>
  <c r="CT9" i="17"/>
  <c r="CT14" i="16"/>
  <c r="OV9" i="16"/>
  <c r="CT6" i="16"/>
  <c r="M9" i="16"/>
  <c r="CV9" i="16" s="1"/>
  <c r="OV14" i="16"/>
  <c r="CT8" i="16"/>
  <c r="OV5" i="16"/>
  <c r="OV4" i="16"/>
  <c r="M8" i="16"/>
  <c r="N8" i="16" s="1"/>
  <c r="K4" i="16"/>
  <c r="OV7" i="16"/>
  <c r="OV6" i="15"/>
  <c r="NJ10" i="13"/>
  <c r="NM10" i="13" s="1"/>
  <c r="OM10" i="13"/>
  <c r="NJ8" i="13"/>
  <c r="NM8" i="13" s="1"/>
  <c r="OM6" i="13"/>
  <c r="NJ9" i="13"/>
  <c r="NM9" i="13" s="1"/>
  <c r="DB8" i="13"/>
  <c r="DE8" i="13" s="1"/>
  <c r="NJ6" i="4"/>
  <c r="NM6" i="4" s="1"/>
  <c r="PR8" i="17"/>
  <c r="OP6" i="4"/>
  <c r="OI6" i="4"/>
  <c r="DB10" i="13"/>
  <c r="DE10" i="13" s="1"/>
  <c r="PR5" i="16"/>
  <c r="CT8" i="17"/>
  <c r="PU8" i="17"/>
  <c r="PV8" i="17"/>
  <c r="CT11" i="17"/>
  <c r="PR9" i="17"/>
  <c r="PU9" i="17"/>
  <c r="PR13" i="17"/>
  <c r="G13" i="17"/>
  <c r="PS8" i="17"/>
  <c r="I11" i="17"/>
  <c r="J11" i="17" s="1"/>
  <c r="F11" i="17"/>
  <c r="PV9" i="17"/>
  <c r="PT9" i="17"/>
  <c r="K13" i="17"/>
  <c r="PR11" i="17"/>
  <c r="M9" i="17"/>
  <c r="CV9" i="17" s="1"/>
  <c r="CT10" i="17"/>
  <c r="F13" i="17"/>
  <c r="PU11" i="17"/>
  <c r="I8" i="17"/>
  <c r="J8" i="17" s="1"/>
  <c r="PS13" i="17"/>
  <c r="PS9" i="17"/>
  <c r="G11" i="17"/>
  <c r="F8" i="17"/>
  <c r="PV11" i="17"/>
  <c r="PU13" i="17"/>
  <c r="PV13" i="17"/>
  <c r="PT11" i="17"/>
  <c r="F9" i="17"/>
  <c r="M8" i="17"/>
  <c r="CV8" i="17" s="1"/>
  <c r="PT13" i="17"/>
  <c r="I9" i="17"/>
  <c r="J9" i="17" s="1"/>
  <c r="PT8" i="17"/>
  <c r="PS11" i="17"/>
  <c r="K9" i="17"/>
  <c r="M11" i="17"/>
  <c r="N11" i="17" s="1"/>
  <c r="K8" i="17"/>
  <c r="CT5" i="16"/>
  <c r="PU5" i="16"/>
  <c r="PV5" i="16"/>
  <c r="PR7" i="16"/>
  <c r="PR4" i="16"/>
  <c r="CT4" i="16"/>
  <c r="CT7" i="16"/>
  <c r="PS4" i="16"/>
  <c r="K7" i="16"/>
  <c r="PU4" i="16"/>
  <c r="PV4" i="16"/>
  <c r="PU6" i="16"/>
  <c r="PS7" i="16"/>
  <c r="M4" i="16"/>
  <c r="CV4" i="16" s="1"/>
  <c r="PU7" i="16"/>
  <c r="PR14" i="16"/>
  <c r="PV7" i="16"/>
  <c r="M5" i="16"/>
  <c r="N5" i="16" s="1"/>
  <c r="PT8" i="16"/>
  <c r="I8" i="16"/>
  <c r="J8" i="16" s="1"/>
  <c r="M14" i="16"/>
  <c r="N14" i="16" s="1"/>
  <c r="I6" i="16"/>
  <c r="J6" i="16" s="1"/>
  <c r="M6" i="15"/>
  <c r="CV6" i="15" s="1"/>
  <c r="CT5" i="15"/>
  <c r="PV5" i="15"/>
  <c r="M5" i="15"/>
  <c r="N5" i="15" s="1"/>
  <c r="OK10" i="13"/>
  <c r="OK8" i="13"/>
  <c r="OK9" i="13"/>
  <c r="DB9" i="13"/>
  <c r="DE9" i="13" s="1"/>
  <c r="DB6" i="13"/>
  <c r="DE6" i="13" s="1"/>
  <c r="OI10" i="13"/>
  <c r="OP9" i="13"/>
  <c r="DB11" i="4"/>
  <c r="DB5" i="4"/>
  <c r="DB7" i="4"/>
  <c r="DE7" i="4" s="1"/>
  <c r="OK11" i="4"/>
  <c r="OP7" i="4"/>
  <c r="O6" i="4"/>
  <c r="P6" i="4" s="1"/>
  <c r="G9" i="17"/>
  <c r="G8" i="17"/>
  <c r="K11" i="17"/>
  <c r="I13" i="17"/>
  <c r="PT10" i="17"/>
  <c r="OV6" i="17"/>
  <c r="M6" i="17"/>
  <c r="CV6" i="17" s="1"/>
  <c r="I10" i="17"/>
  <c r="J10" i="17" s="1"/>
  <c r="PS10" i="17"/>
  <c r="PR10" i="17"/>
  <c r="PU10" i="17"/>
  <c r="PV10" i="17"/>
  <c r="F10" i="17"/>
  <c r="K10" i="17"/>
  <c r="G10" i="17"/>
  <c r="CT6" i="17"/>
  <c r="PT6" i="17"/>
  <c r="I6" i="17"/>
  <c r="J6" i="17" s="1"/>
  <c r="PS6" i="17"/>
  <c r="PR6" i="17"/>
  <c r="G6" i="17"/>
  <c r="PU6" i="17"/>
  <c r="PV6" i="17"/>
  <c r="F6" i="17"/>
  <c r="K6" i="17"/>
  <c r="PS5" i="16"/>
  <c r="PT6" i="16"/>
  <c r="PV14" i="16"/>
  <c r="PT7" i="16"/>
  <c r="K5" i="16"/>
  <c r="PS14" i="16"/>
  <c r="PU14" i="16"/>
  <c r="PT14" i="16"/>
  <c r="PS8" i="16"/>
  <c r="PR8" i="16"/>
  <c r="G8" i="16"/>
  <c r="G6" i="16"/>
  <c r="PT4" i="16"/>
  <c r="F8" i="16"/>
  <c r="PV6" i="16"/>
  <c r="PU8" i="16"/>
  <c r="PS6" i="16"/>
  <c r="M7" i="16"/>
  <c r="N7" i="16" s="1"/>
  <c r="PV8" i="16"/>
  <c r="PT5" i="16"/>
  <c r="PR6" i="16"/>
  <c r="F5" i="16"/>
  <c r="I4" i="16"/>
  <c r="J4" i="16" s="1"/>
  <c r="I5" i="16"/>
  <c r="J5" i="16" s="1"/>
  <c r="I14" i="16"/>
  <c r="J14" i="16" s="1"/>
  <c r="F7" i="16"/>
  <c r="F6" i="16"/>
  <c r="G14" i="16"/>
  <c r="F14" i="16"/>
  <c r="I7" i="16"/>
  <c r="J7" i="16" s="1"/>
  <c r="F4" i="16"/>
  <c r="G4" i="16"/>
  <c r="G5" i="16"/>
  <c r="K14" i="16"/>
  <c r="K8" i="16"/>
  <c r="K6" i="16"/>
  <c r="G7" i="16"/>
  <c r="PU9" i="16"/>
  <c r="CT9" i="16"/>
  <c r="I9" i="16"/>
  <c r="J9" i="16" s="1"/>
  <c r="PV9" i="16"/>
  <c r="PT9" i="16"/>
  <c r="G9" i="16"/>
  <c r="PS9" i="16"/>
  <c r="PR9" i="16"/>
  <c r="F9" i="16"/>
  <c r="K9" i="16"/>
  <c r="I5" i="15"/>
  <c r="J5" i="15" s="1"/>
  <c r="PT5" i="15"/>
  <c r="G5" i="15"/>
  <c r="PS5" i="15"/>
  <c r="PR5" i="15"/>
  <c r="PU5" i="15"/>
  <c r="F5" i="15"/>
  <c r="K5" i="15"/>
  <c r="PV6" i="15"/>
  <c r="CT6" i="15"/>
  <c r="I6" i="15"/>
  <c r="J6" i="15" s="1"/>
  <c r="PT6" i="15"/>
  <c r="G6" i="15"/>
  <c r="PS6" i="15"/>
  <c r="PR6" i="15"/>
  <c r="PU6" i="15"/>
  <c r="F6" i="15"/>
  <c r="K6" i="15"/>
  <c r="OI6" i="13"/>
  <c r="O10" i="13"/>
  <c r="P10" i="13" s="1"/>
  <c r="OK6" i="13"/>
  <c r="O6" i="13"/>
  <c r="DI6" i="13" s="1"/>
  <c r="OM8" i="13"/>
  <c r="OI8" i="13"/>
  <c r="OM9" i="13"/>
  <c r="OI9" i="13"/>
  <c r="OP8" i="13"/>
  <c r="O8" i="13"/>
  <c r="P8" i="13" s="1"/>
  <c r="O9" i="13"/>
  <c r="OK5" i="4"/>
  <c r="DB6" i="4"/>
  <c r="DE6" i="4" s="1"/>
  <c r="O11" i="4"/>
  <c r="DI11" i="4" s="1"/>
  <c r="OM11" i="4"/>
  <c r="OI11" i="4"/>
  <c r="NJ7" i="4"/>
  <c r="NM7" i="4" s="1"/>
  <c r="O5" i="4"/>
  <c r="P5" i="4" s="1"/>
  <c r="OK6" i="4"/>
  <c r="OP5" i="4"/>
  <c r="OM5" i="4"/>
  <c r="OI5" i="4"/>
  <c r="OK7" i="4"/>
  <c r="OM7" i="4"/>
  <c r="OI7" i="4"/>
  <c r="O7" i="4"/>
  <c r="DI7" i="4" s="1"/>
  <c r="OP8" i="4"/>
  <c r="N15" i="17" l="1"/>
  <c r="P10" i="4"/>
  <c r="N16" i="17"/>
  <c r="N12" i="17"/>
  <c r="N8" i="15"/>
  <c r="P13" i="4"/>
  <c r="N14" i="17"/>
  <c r="H14" i="17"/>
  <c r="A14" i="17" s="1" a="1"/>
  <c r="A14" i="17" s="1"/>
  <c r="L9" i="17"/>
  <c r="DI8" i="4"/>
  <c r="G9" i="4"/>
  <c r="P9" i="4"/>
  <c r="H12" i="16"/>
  <c r="A12" i="16" s="1" a="1"/>
  <c r="A12" i="16" s="1"/>
  <c r="L8" i="17"/>
  <c r="N13" i="16"/>
  <c r="N5" i="14"/>
  <c r="ON11" i="13"/>
  <c r="OQ11" i="13" s="1"/>
  <c r="DI11" i="13"/>
  <c r="I8" i="4"/>
  <c r="J8" i="4" s="1"/>
  <c r="ON8" i="4"/>
  <c r="G8" i="4"/>
  <c r="H8" i="4" s="1"/>
  <c r="A8" i="4" s="1" a="1"/>
  <c r="A8" i="4" s="1"/>
  <c r="G12" i="4"/>
  <c r="H12" i="4" s="1"/>
  <c r="A12" i="4" s="1" a="1"/>
  <c r="A12" i="4" s="1"/>
  <c r="ON12" i="4"/>
  <c r="OQ12" i="4" s="1"/>
  <c r="ON10" i="4"/>
  <c r="OQ10" i="4" s="1"/>
  <c r="G10" i="4"/>
  <c r="H10" i="4" s="1"/>
  <c r="A10" i="4" s="1" a="1"/>
  <c r="A10" i="4" s="1"/>
  <c r="I9" i="4"/>
  <c r="J9" i="4" s="1"/>
  <c r="ON9" i="4"/>
  <c r="H9" i="4"/>
  <c r="A9" i="4" s="1" a="1"/>
  <c r="A9" i="4" s="1"/>
  <c r="AW9" i="4"/>
  <c r="H16" i="17"/>
  <c r="A16" i="17" s="1" a="1"/>
  <c r="A16" i="17" s="1"/>
  <c r="PW15" i="17"/>
  <c r="PW16" i="17"/>
  <c r="N12" i="16"/>
  <c r="L7" i="16"/>
  <c r="PW13" i="16"/>
  <c r="N11" i="16"/>
  <c r="N7" i="15"/>
  <c r="L8" i="15"/>
  <c r="I11" i="13"/>
  <c r="J11" i="13" s="1"/>
  <c r="F11" i="13"/>
  <c r="G11" i="13"/>
  <c r="H11" i="13" s="1"/>
  <c r="A11" i="13" s="1" a="1"/>
  <c r="A11" i="13" s="1"/>
  <c r="F9" i="4"/>
  <c r="G13" i="4"/>
  <c r="H13" i="4" s="1"/>
  <c r="A13" i="4" s="1" a="1"/>
  <c r="A13" i="4" s="1"/>
  <c r="F10" i="4"/>
  <c r="I13" i="4"/>
  <c r="DH13" i="4" s="1"/>
  <c r="F12" i="4"/>
  <c r="F8" i="4"/>
  <c r="F13" i="4"/>
  <c r="I10" i="4"/>
  <c r="K10" i="4" s="1"/>
  <c r="AW12" i="4"/>
  <c r="I12" i="4"/>
  <c r="J12" i="4" s="1"/>
  <c r="DI12" i="4"/>
  <c r="ON14" i="4"/>
  <c r="OQ14" i="4" s="1"/>
  <c r="I14" i="4"/>
  <c r="M14" i="4" s="1"/>
  <c r="ON13" i="4"/>
  <c r="OQ13" i="4" s="1"/>
  <c r="PW12" i="17"/>
  <c r="CU15" i="17"/>
  <c r="O15" i="17" s="1"/>
  <c r="E15" i="17" s="1"/>
  <c r="CU16" i="17"/>
  <c r="O16" i="17" s="1"/>
  <c r="L16" i="17"/>
  <c r="PW14" i="17"/>
  <c r="H15" i="17"/>
  <c r="A15" i="17" s="1" a="1"/>
  <c r="A15" i="17" s="1"/>
  <c r="H12" i="17"/>
  <c r="A12" i="17" s="1" a="1"/>
  <c r="A12" i="17" s="1"/>
  <c r="CU14" i="17"/>
  <c r="O14" i="17" s="1"/>
  <c r="L14" i="17"/>
  <c r="CV13" i="17"/>
  <c r="CU12" i="17"/>
  <c r="O12" i="17" s="1"/>
  <c r="L12" i="17"/>
  <c r="PW11" i="16"/>
  <c r="PW12" i="16"/>
  <c r="L5" i="16"/>
  <c r="N10" i="16"/>
  <c r="L12" i="16"/>
  <c r="H10" i="16"/>
  <c r="A10" i="16" s="1" a="1"/>
  <c r="A10" i="16" s="1"/>
  <c r="H13" i="16"/>
  <c r="A13" i="16" s="1" a="1"/>
  <c r="A13" i="16" s="1"/>
  <c r="CU13" i="16"/>
  <c r="O13" i="16" s="1"/>
  <c r="L13" i="16"/>
  <c r="O12" i="16"/>
  <c r="PW10" i="16"/>
  <c r="H11" i="16"/>
  <c r="A11" i="16" s="1" a="1"/>
  <c r="A11" i="16" s="1"/>
  <c r="CU11" i="16"/>
  <c r="O11" i="16" s="1"/>
  <c r="L11" i="16"/>
  <c r="CU10" i="16"/>
  <c r="O10" i="16" s="1"/>
  <c r="L10" i="16"/>
  <c r="PW7" i="15"/>
  <c r="H8" i="15"/>
  <c r="A8" i="15" s="1" a="1"/>
  <c r="A8" i="15" s="1"/>
  <c r="O8" i="15"/>
  <c r="PW8" i="15"/>
  <c r="H7" i="15"/>
  <c r="A7" i="15" s="1" a="1"/>
  <c r="A7" i="15" s="1"/>
  <c r="CU7" i="15"/>
  <c r="O7" i="15" s="1"/>
  <c r="L7" i="15"/>
  <c r="PW5" i="14"/>
  <c r="H5" i="14"/>
  <c r="A5" i="14" s="1" a="1"/>
  <c r="A5" i="14" s="1"/>
  <c r="CU5" i="14"/>
  <c r="O5" i="14" s="1"/>
  <c r="L5" i="14"/>
  <c r="P14" i="4"/>
  <c r="F14" i="4"/>
  <c r="G14" i="4"/>
  <c r="H14" i="4" s="1"/>
  <c r="A14" i="4" s="1" a="1"/>
  <c r="A14" i="4" s="1"/>
  <c r="L13" i="17"/>
  <c r="H13" i="17"/>
  <c r="A13" i="17" s="1" a="1"/>
  <c r="A13" i="17" s="1"/>
  <c r="L4" i="16"/>
  <c r="CV6" i="16"/>
  <c r="DI6" i="4"/>
  <c r="CU13" i="17"/>
  <c r="CU4" i="16"/>
  <c r="O4" i="16" s="1"/>
  <c r="ON6" i="4"/>
  <c r="N10" i="17"/>
  <c r="CV8" i="16"/>
  <c r="N9" i="16"/>
  <c r="CU7" i="16"/>
  <c r="G10" i="13"/>
  <c r="H10" i="13" s="1"/>
  <c r="I9" i="13"/>
  <c r="K9" i="13" s="1"/>
  <c r="ON10" i="13"/>
  <c r="F8" i="13"/>
  <c r="I8" i="13"/>
  <c r="K8" i="13" s="1"/>
  <c r="I10" i="13"/>
  <c r="J10" i="13" s="1"/>
  <c r="F10" i="13"/>
  <c r="F9" i="13"/>
  <c r="I5" i="4"/>
  <c r="J5" i="4" s="1"/>
  <c r="G11" i="4"/>
  <c r="H11" i="4" s="1"/>
  <c r="A11" i="4" s="1" a="1"/>
  <c r="A11" i="4" s="1"/>
  <c r="DE11" i="4"/>
  <c r="ON5" i="4"/>
  <c r="H5" i="15"/>
  <c r="A5" i="15" s="1" a="1"/>
  <c r="A5" i="15" s="1"/>
  <c r="DE5" i="4"/>
  <c r="G5" i="4"/>
  <c r="H5" i="4" s="1"/>
  <c r="A5" i="4" s="1" a="1"/>
  <c r="A5" i="4" s="1"/>
  <c r="I11" i="4"/>
  <c r="M11" i="4" s="1"/>
  <c r="ON11" i="4"/>
  <c r="OQ11" i="4" s="1"/>
  <c r="I6" i="13"/>
  <c r="K6" i="13" s="1"/>
  <c r="F6" i="13"/>
  <c r="PW5" i="15"/>
  <c r="N6" i="15"/>
  <c r="N4" i="16"/>
  <c r="PW9" i="17"/>
  <c r="PW10" i="17"/>
  <c r="H8" i="17"/>
  <c r="A8" i="17" s="1" a="1"/>
  <c r="A8" i="17" s="1"/>
  <c r="CV11" i="17"/>
  <c r="N9" i="17"/>
  <c r="PW11" i="17"/>
  <c r="CU9" i="17"/>
  <c r="O9" i="17" s="1"/>
  <c r="PW8" i="17"/>
  <c r="N6" i="17"/>
  <c r="H11" i="17"/>
  <c r="A11" i="17" s="1" a="1"/>
  <c r="A11" i="17" s="1"/>
  <c r="H9" i="17"/>
  <c r="A9" i="17" s="1" a="1"/>
  <c r="A9" i="17" s="1"/>
  <c r="CU8" i="17"/>
  <c r="O8" i="17" s="1"/>
  <c r="Q8" i="17" s="1"/>
  <c r="N8" i="17"/>
  <c r="PW13" i="17"/>
  <c r="CU5" i="16"/>
  <c r="CV5" i="16"/>
  <c r="PW14" i="16"/>
  <c r="H6" i="16"/>
  <c r="PW6" i="16"/>
  <c r="H8" i="16"/>
  <c r="PW9" i="16"/>
  <c r="PW4" i="16"/>
  <c r="PW7" i="16"/>
  <c r="CV14" i="16"/>
  <c r="PW8" i="16"/>
  <c r="H5" i="16"/>
  <c r="CV5" i="15"/>
  <c r="PW6" i="15"/>
  <c r="ON8" i="13"/>
  <c r="G6" i="13"/>
  <c r="H6" i="13" s="1"/>
  <c r="G9" i="13"/>
  <c r="H9" i="13" s="1"/>
  <c r="ON6" i="13"/>
  <c r="DI10" i="13"/>
  <c r="P11" i="4"/>
  <c r="G6" i="4"/>
  <c r="H6" i="4" s="1"/>
  <c r="A6" i="4" s="1" a="1"/>
  <c r="A6" i="4" s="1"/>
  <c r="J13" i="17"/>
  <c r="CU11" i="17"/>
  <c r="L11" i="17"/>
  <c r="PW6" i="17"/>
  <c r="H10" i="17"/>
  <c r="A10" i="17" s="1" a="1"/>
  <c r="A10" i="17" s="1"/>
  <c r="CU10" i="17"/>
  <c r="O10" i="17" s="1"/>
  <c r="L10" i="17"/>
  <c r="H6" i="17"/>
  <c r="CU6" i="17"/>
  <c r="O6" i="17" s="1"/>
  <c r="L6" i="17"/>
  <c r="H7" i="16"/>
  <c r="CV7" i="16"/>
  <c r="PW5" i="16"/>
  <c r="H14" i="16"/>
  <c r="H4" i="16"/>
  <c r="CU14" i="16"/>
  <c r="L14" i="16"/>
  <c r="CU6" i="16"/>
  <c r="L6" i="16"/>
  <c r="CU8" i="16"/>
  <c r="L8" i="16"/>
  <c r="H9" i="16"/>
  <c r="CU9" i="16"/>
  <c r="O9" i="16" s="1"/>
  <c r="L9" i="16"/>
  <c r="CU5" i="15"/>
  <c r="L5" i="15"/>
  <c r="H6" i="15"/>
  <c r="CU6" i="15"/>
  <c r="O6" i="15" s="1"/>
  <c r="L6" i="15"/>
  <c r="ON9" i="13"/>
  <c r="P6" i="13"/>
  <c r="G8" i="13"/>
  <c r="H8" i="13" s="1"/>
  <c r="DI8" i="13"/>
  <c r="DI9" i="13"/>
  <c r="P9" i="13"/>
  <c r="F5" i="4"/>
  <c r="F11" i="4"/>
  <c r="DI5" i="4"/>
  <c r="F6" i="4"/>
  <c r="ON7" i="4"/>
  <c r="OQ8" i="4" s="1"/>
  <c r="I6" i="4"/>
  <c r="M6" i="4" s="1"/>
  <c r="I7" i="4"/>
  <c r="M7" i="4" s="1"/>
  <c r="F7" i="4"/>
  <c r="G7" i="4"/>
  <c r="H7" i="4" s="1"/>
  <c r="A7" i="4" s="1" a="1"/>
  <c r="A7" i="4" s="1"/>
  <c r="P7" i="4"/>
  <c r="M8" i="4" l="1"/>
  <c r="DH8" i="4"/>
  <c r="K8" i="4"/>
  <c r="K13" i="4"/>
  <c r="M13" i="4"/>
  <c r="DG13" i="4" s="1"/>
  <c r="J13" i="4"/>
  <c r="OQ9" i="4"/>
  <c r="P15" i="17"/>
  <c r="Q15" i="17"/>
  <c r="E8" i="15"/>
  <c r="DH11" i="13"/>
  <c r="M11" i="13"/>
  <c r="DG11" i="13" s="1"/>
  <c r="K11" i="13"/>
  <c r="DF11" i="13" s="1"/>
  <c r="M9" i="4"/>
  <c r="N9" i="4" s="1"/>
  <c r="K14" i="4"/>
  <c r="DF14" i="4" s="1"/>
  <c r="K9" i="4"/>
  <c r="L9" i="4" s="1"/>
  <c r="J14" i="4"/>
  <c r="DH9" i="4"/>
  <c r="DH14" i="4"/>
  <c r="M10" i="4"/>
  <c r="N10" i="4" s="1"/>
  <c r="DH10" i="4"/>
  <c r="E12" i="16"/>
  <c r="O7" i="16"/>
  <c r="E7" i="16" s="1"/>
  <c r="P8" i="15"/>
  <c r="Q8" i="15"/>
  <c r="J10" i="4"/>
  <c r="OQ6" i="4"/>
  <c r="M12" i="4"/>
  <c r="DG12" i="4" s="1"/>
  <c r="DH12" i="4"/>
  <c r="OQ7" i="4"/>
  <c r="K12" i="4"/>
  <c r="DF12" i="4" s="1"/>
  <c r="OQ5" i="4"/>
  <c r="O13" i="17"/>
  <c r="Q13" i="17" s="1"/>
  <c r="E16" i="17"/>
  <c r="Q16" i="17"/>
  <c r="P16" i="17"/>
  <c r="E14" i="17"/>
  <c r="Q14" i="17"/>
  <c r="P14" i="17"/>
  <c r="E12" i="17"/>
  <c r="Q12" i="17"/>
  <c r="P12" i="17"/>
  <c r="E13" i="16"/>
  <c r="Q13" i="16"/>
  <c r="P13" i="16"/>
  <c r="P12" i="16"/>
  <c r="Q12" i="16"/>
  <c r="O6" i="16"/>
  <c r="Q6" i="16" s="1"/>
  <c r="E11" i="16"/>
  <c r="Q11" i="16"/>
  <c r="P11" i="16"/>
  <c r="E10" i="16"/>
  <c r="Q10" i="16"/>
  <c r="P10" i="16"/>
  <c r="E7" i="15"/>
  <c r="Q7" i="15"/>
  <c r="P7" i="15"/>
  <c r="E5" i="14"/>
  <c r="Q5" i="14"/>
  <c r="P5" i="14"/>
  <c r="OQ8" i="13"/>
  <c r="DF10" i="4"/>
  <c r="L10" i="4"/>
  <c r="DF13" i="4"/>
  <c r="L13" i="4"/>
  <c r="N13" i="4"/>
  <c r="N8" i="4"/>
  <c r="DG8" i="4"/>
  <c r="DF8" i="4"/>
  <c r="L8" i="4"/>
  <c r="DG14" i="4"/>
  <c r="N14" i="4"/>
  <c r="O8" i="16"/>
  <c r="E8" i="16" s="1"/>
  <c r="O11" i="17"/>
  <c r="E11" i="17" s="1"/>
  <c r="O5" i="16"/>
  <c r="P5" i="16" s="1"/>
  <c r="M9" i="13"/>
  <c r="DG9" i="13" s="1"/>
  <c r="K11" i="4"/>
  <c r="L11" i="4" s="1"/>
  <c r="J11" i="4"/>
  <c r="DH11" i="4"/>
  <c r="DH9" i="13"/>
  <c r="J9" i="13"/>
  <c r="L9" i="13" s="1"/>
  <c r="DH8" i="13"/>
  <c r="M8" i="13"/>
  <c r="DG8" i="13" s="1"/>
  <c r="J8" i="13"/>
  <c r="L8" i="13" s="1"/>
  <c r="DH5" i="4"/>
  <c r="M5" i="4"/>
  <c r="DG5" i="4" s="1"/>
  <c r="K5" i="4"/>
  <c r="L5" i="4" s="1"/>
  <c r="E4" i="16"/>
  <c r="M10" i="13"/>
  <c r="N10" i="13" s="1"/>
  <c r="J6" i="13"/>
  <c r="L6" i="13" s="1"/>
  <c r="K10" i="13"/>
  <c r="L10" i="13" s="1"/>
  <c r="DH6" i="13"/>
  <c r="DH10" i="13"/>
  <c r="M6" i="13"/>
  <c r="DG6" i="13" s="1"/>
  <c r="OQ9" i="13"/>
  <c r="O5" i="15"/>
  <c r="E5" i="15" s="1"/>
  <c r="Q4" i="16"/>
  <c r="P4" i="16"/>
  <c r="P8" i="17"/>
  <c r="E8" i="17"/>
  <c r="O14" i="16"/>
  <c r="Q14" i="16" s="1"/>
  <c r="K7" i="4"/>
  <c r="J7" i="4"/>
  <c r="N7" i="4" s="1"/>
  <c r="K6" i="4"/>
  <c r="DF6" i="4" s="1"/>
  <c r="DH7" i="4"/>
  <c r="P9" i="17"/>
  <c r="Q9" i="17"/>
  <c r="E9" i="17"/>
  <c r="E10" i="17"/>
  <c r="Q10" i="17"/>
  <c r="P10" i="17"/>
  <c r="E6" i="17"/>
  <c r="Q6" i="17"/>
  <c r="P6" i="17"/>
  <c r="E9" i="16"/>
  <c r="A9" i="16" s="1" a="1"/>
  <c r="A9" i="16" s="1"/>
  <c r="Q9" i="16"/>
  <c r="P9" i="16"/>
  <c r="E6" i="15"/>
  <c r="A6" i="15" s="1" a="1"/>
  <c r="A6" i="15" s="1"/>
  <c r="Q6" i="15"/>
  <c r="P6" i="15"/>
  <c r="DF6" i="13"/>
  <c r="DF8" i="13"/>
  <c r="DF9" i="13"/>
  <c r="J6" i="4"/>
  <c r="N6" i="4" s="1"/>
  <c r="DH6" i="4"/>
  <c r="DG11" i="4"/>
  <c r="N11" i="4"/>
  <c r="DG6" i="4"/>
  <c r="DG7" i="4"/>
  <c r="N11" i="13" l="1"/>
  <c r="L11" i="13"/>
  <c r="DG9" i="4"/>
  <c r="Q11" i="13"/>
  <c r="DF9" i="4"/>
  <c r="Q9" i="4" s="1"/>
  <c r="E9" i="4" s="1"/>
  <c r="L14" i="4"/>
  <c r="DG10" i="4"/>
  <c r="Q10" i="4" s="1"/>
  <c r="Q7" i="16"/>
  <c r="P7" i="16"/>
  <c r="N8" i="13"/>
  <c r="N12" i="4"/>
  <c r="E13" i="17"/>
  <c r="P13" i="17"/>
  <c r="E6" i="16"/>
  <c r="DF11" i="4"/>
  <c r="Q11" i="4" s="1"/>
  <c r="E11" i="4" s="1"/>
  <c r="L12" i="4"/>
  <c r="Q11" i="17"/>
  <c r="P11" i="17"/>
  <c r="P6" i="16"/>
  <c r="P8" i="16"/>
  <c r="Q8" i="16"/>
  <c r="E5" i="16"/>
  <c r="Q5" i="16"/>
  <c r="E11" i="13"/>
  <c r="R11" i="13"/>
  <c r="S11" i="13"/>
  <c r="N9" i="13"/>
  <c r="DG10" i="13"/>
  <c r="Q8" i="4"/>
  <c r="E8" i="4" s="1"/>
  <c r="Q12" i="4"/>
  <c r="R12" i="4" s="1"/>
  <c r="Q13" i="4"/>
  <c r="Q14" i="4"/>
  <c r="DF5" i="4"/>
  <c r="Q5" i="4" s="1"/>
  <c r="L7" i="4"/>
  <c r="N5" i="4"/>
  <c r="P5" i="15"/>
  <c r="Q5" i="15"/>
  <c r="DF10" i="13"/>
  <c r="E14" i="16"/>
  <c r="Q6" i="13"/>
  <c r="R6" i="13" s="1"/>
  <c r="N6" i="13"/>
  <c r="DF7" i="4"/>
  <c r="Q7" i="4" s="1"/>
  <c r="L6" i="4"/>
  <c r="P14" i="16"/>
  <c r="A7" i="16" a="1"/>
  <c r="A7" i="16" s="1"/>
  <c r="A14" i="16" a="1"/>
  <c r="A14" i="16" s="1"/>
  <c r="Q9" i="13"/>
  <c r="Q8" i="13"/>
  <c r="Q6" i="4"/>
  <c r="Q10" i="13" l="1"/>
  <c r="E8" i="13"/>
  <c r="E12" i="4"/>
  <c r="S9" i="4"/>
  <c r="R9" i="4"/>
  <c r="S12" i="4"/>
  <c r="E9" i="13"/>
  <c r="R8" i="4"/>
  <c r="S8" i="4"/>
  <c r="E7" i="4"/>
  <c r="R10" i="4"/>
  <c r="S10" i="4"/>
  <c r="R13" i="4"/>
  <c r="S13" i="4"/>
  <c r="E10" i="4"/>
  <c r="E13" i="4"/>
  <c r="E5" i="4"/>
  <c r="R14" i="4"/>
  <c r="S14" i="4"/>
  <c r="E14" i="4"/>
  <c r="E6" i="13"/>
  <c r="S6" i="13"/>
  <c r="R5" i="4"/>
  <c r="S5" i="4"/>
  <c r="S11" i="4"/>
  <c r="R11" i="4"/>
  <c r="S9" i="13"/>
  <c r="R9" i="13"/>
  <c r="R8" i="13"/>
  <c r="S8" i="13"/>
  <c r="R10" i="13"/>
  <c r="S10" i="13"/>
  <c r="E10" i="13"/>
  <c r="R6" i="4"/>
  <c r="S6" i="4"/>
  <c r="E6" i="4"/>
  <c r="S7" i="4"/>
  <c r="R7" i="4"/>
  <c r="A10" i="13" l="1" a="1"/>
  <c r="A10" i="13" s="1"/>
  <c r="A6" i="13" a="1"/>
  <c r="A6" i="13" s="1"/>
  <c r="A9" i="13" a="1"/>
  <c r="A9" i="13" s="1"/>
  <c r="A8" i="13" a="1"/>
  <c r="A8" i="13" s="1"/>
  <c r="CO7" i="17" l="1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4" i="15"/>
  <c r="CP4" i="15"/>
  <c r="CQ4" i="15"/>
  <c r="CR4" i="15"/>
  <c r="CS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I7" i="17" l="1"/>
  <c r="J7" i="17" s="1"/>
  <c r="M4" i="15"/>
  <c r="N4" i="15" s="1"/>
  <c r="OV7" i="17"/>
  <c r="M7" i="17"/>
  <c r="N7" i="17" s="1"/>
  <c r="CT7" i="17"/>
  <c r="PS7" i="17"/>
  <c r="K7" i="17"/>
  <c r="PT7" i="17"/>
  <c r="PU7" i="17"/>
  <c r="PR7" i="17"/>
  <c r="F7" i="17"/>
  <c r="G7" i="17"/>
  <c r="PV7" i="17"/>
  <c r="CT4" i="15"/>
  <c r="OV4" i="15"/>
  <c r="PV4" i="15"/>
  <c r="PU4" i="15"/>
  <c r="PR4" i="15"/>
  <c r="PT4" i="15"/>
  <c r="PS4" i="15"/>
  <c r="F4" i="15"/>
  <c r="I4" i="15"/>
  <c r="J4" i="15" s="1"/>
  <c r="G4" i="15"/>
  <c r="K4" i="15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4" i="14"/>
  <c r="CP4" i="14"/>
  <c r="CQ4" i="14"/>
  <c r="CR4" i="14"/>
  <c r="CS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L4" i="15" l="1"/>
  <c r="PW7" i="17"/>
  <c r="CV4" i="15"/>
  <c r="CU7" i="17"/>
  <c r="L7" i="17"/>
  <c r="CV7" i="17"/>
  <c r="H7" i="17"/>
  <c r="PW4" i="15"/>
  <c r="H4" i="15"/>
  <c r="CU4" i="15"/>
  <c r="CT5" i="17"/>
  <c r="PR5" i="17"/>
  <c r="OV5" i="17"/>
  <c r="PU5" i="17"/>
  <c r="M5" i="17"/>
  <c r="N5" i="17" s="1"/>
  <c r="PV5" i="17"/>
  <c r="PT5" i="17"/>
  <c r="PS5" i="17"/>
  <c r="K5" i="17"/>
  <c r="F5" i="17"/>
  <c r="I5" i="17"/>
  <c r="G5" i="17"/>
  <c r="CT4" i="14"/>
  <c r="OV4" i="14"/>
  <c r="DB4" i="13"/>
  <c r="DE4" i="13" s="1"/>
  <c r="DB5" i="13"/>
  <c r="DE5" i="13" s="1"/>
  <c r="OK4" i="13"/>
  <c r="NJ5" i="13"/>
  <c r="NM5" i="13" s="1"/>
  <c r="O4" i="13"/>
  <c r="DI4" i="13" s="1"/>
  <c r="NJ4" i="13"/>
  <c r="NM4" i="13" s="1"/>
  <c r="OM4" i="13"/>
  <c r="OI4" i="13"/>
  <c r="OM5" i="13"/>
  <c r="OK5" i="13"/>
  <c r="OI5" i="13"/>
  <c r="O5" i="13"/>
  <c r="P5" i="13" s="1"/>
  <c r="O4" i="4"/>
  <c r="P4" i="4" s="1"/>
  <c r="OP4" i="4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O4" i="15" l="1"/>
  <c r="E4" i="15" s="1"/>
  <c r="O7" i="17"/>
  <c r="E7" i="17" s="1"/>
  <c r="L5" i="17"/>
  <c r="L4" i="14"/>
  <c r="CV5" i="17"/>
  <c r="PW5" i="17"/>
  <c r="CU5" i="17"/>
  <c r="H5" i="17"/>
  <c r="J5" i="17"/>
  <c r="PW4" i="14"/>
  <c r="I4" i="4"/>
  <c r="J4" i="4" s="1"/>
  <c r="ON5" i="13"/>
  <c r="I4" i="13"/>
  <c r="DH4" i="13" s="1"/>
  <c r="F4" i="13"/>
  <c r="I5" i="13"/>
  <c r="M5" i="13" s="1"/>
  <c r="G5" i="13"/>
  <c r="H5" i="13" s="1"/>
  <c r="A5" i="13" s="1" a="1"/>
  <c r="A5" i="13" s="1"/>
  <c r="G4" i="13"/>
  <c r="H4" i="13" s="1"/>
  <c r="P4" i="13"/>
  <c r="ON4" i="13"/>
  <c r="F5" i="13"/>
  <c r="DI5" i="13"/>
  <c r="ON4" i="4"/>
  <c r="OQ4" i="4" s="1"/>
  <c r="DI4" i="4"/>
  <c r="F4" i="4"/>
  <c r="DE4" i="4"/>
  <c r="G4" i="4"/>
  <c r="H4" i="4" s="1"/>
  <c r="CV4" i="14"/>
  <c r="H4" i="14"/>
  <c r="J4" i="14"/>
  <c r="CU4" i="14"/>
  <c r="A5" i="16" l="1" a="1"/>
  <c r="A5" i="16" s="1"/>
  <c r="A8" i="16" a="1"/>
  <c r="A8" i="16" s="1"/>
  <c r="A6" i="16" a="1"/>
  <c r="A6" i="16" s="1"/>
  <c r="P4" i="15"/>
  <c r="Q4" i="15"/>
  <c r="Q7" i="17"/>
  <c r="P7" i="17"/>
  <c r="O5" i="17"/>
  <c r="P5" i="17" s="1"/>
  <c r="K4" i="4"/>
  <c r="DF4" i="4" s="1"/>
  <c r="DH4" i="4"/>
  <c r="M4" i="4"/>
  <c r="N4" i="4" s="1"/>
  <c r="K5" i="13"/>
  <c r="DF5" i="13" s="1"/>
  <c r="A4" i="16" a="1"/>
  <c r="A4" i="16" s="1"/>
  <c r="K4" i="13"/>
  <c r="DF4" i="13" s="1"/>
  <c r="M4" i="13"/>
  <c r="DG4" i="13" s="1"/>
  <c r="J4" i="13"/>
  <c r="DH5" i="13"/>
  <c r="J5" i="13"/>
  <c r="N5" i="13" s="1"/>
  <c r="DG5" i="13"/>
  <c r="O4" i="14"/>
  <c r="E4" i="14" s="1"/>
  <c r="Q5" i="17" l="1"/>
  <c r="E5" i="17"/>
  <c r="L4" i="4"/>
  <c r="DG4" i="4"/>
  <c r="Q4" i="4" s="1"/>
  <c r="L4" i="13"/>
  <c r="L5" i="13"/>
  <c r="Q4" i="14"/>
  <c r="P4" i="14"/>
  <c r="N4" i="13"/>
  <c r="Q4" i="13"/>
  <c r="S4" i="13" s="1"/>
  <c r="Q5" i="13"/>
  <c r="E4" i="4" l="1"/>
  <c r="E5" i="13"/>
  <c r="R4" i="13"/>
  <c r="E4" i="13"/>
  <c r="S5" i="13"/>
  <c r="R5" i="13"/>
  <c r="S4" i="4"/>
  <c r="R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OP7" i="13" l="1"/>
  <c r="OP6" i="13"/>
  <c r="OP10" i="13"/>
  <c r="OP5" i="13"/>
  <c r="OM7" i="13"/>
  <c r="NJ7" i="13"/>
  <c r="NM7" i="13" s="1"/>
  <c r="O7" i="13"/>
  <c r="DI7" i="13" s="1"/>
  <c r="DB7" i="13"/>
  <c r="DE7" i="13" s="1"/>
  <c r="OK7" i="13"/>
  <c r="OI7" i="13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4" i="17" l="1"/>
  <c r="OV4" i="17"/>
  <c r="A4" i="4" a="1"/>
  <c r="A4" i="4" s="1"/>
  <c r="P7" i="13"/>
  <c r="I7" i="13"/>
  <c r="ON7" i="13"/>
  <c r="F7" i="13"/>
  <c r="G7" i="13"/>
  <c r="H7" i="13" s="1"/>
  <c r="M4" i="17"/>
  <c r="CV4" i="17" s="1"/>
  <c r="G4" i="17"/>
  <c r="PT4" i="17"/>
  <c r="PR4" i="17"/>
  <c r="PV4" i="17"/>
  <c r="PU4" i="17"/>
  <c r="PS4" i="17"/>
  <c r="I4" i="17"/>
  <c r="K4" i="17"/>
  <c r="F4" i="17"/>
  <c r="OQ6" i="13" l="1"/>
  <c r="OQ7" i="13"/>
  <c r="CU4" i="17"/>
  <c r="L4" i="17"/>
  <c r="OQ5" i="13"/>
  <c r="OQ10" i="13"/>
  <c r="PW4" i="17"/>
  <c r="K7" i="13"/>
  <c r="DF7" i="13" s="1"/>
  <c r="DH7" i="13"/>
  <c r="J7" i="13"/>
  <c r="M7" i="13"/>
  <c r="DG7" i="13" s="1"/>
  <c r="N4" i="17"/>
  <c r="H4" i="17"/>
  <c r="J4" i="17"/>
  <c r="L7" i="13" l="1"/>
  <c r="N7" i="13"/>
  <c r="Q7" i="13"/>
  <c r="O4" i="17"/>
  <c r="E4" i="17" s="1"/>
  <c r="A6" i="17" s="1" a="1"/>
  <c r="A6" i="17" s="1"/>
  <c r="A4" i="15" l="1" a="1"/>
  <c r="A4" i="15" s="1"/>
  <c r="A7" i="17" a="1"/>
  <c r="A7" i="17" s="1"/>
  <c r="A5" i="17" a="1"/>
  <c r="A5" i="17" s="1"/>
  <c r="A4" i="17" a="1"/>
  <c r="A4" i="17" s="1"/>
  <c r="A4" i="14" a="1"/>
  <c r="A4" i="14" s="1"/>
  <c r="E7" i="13"/>
  <c r="A4" i="13" s="1" a="1"/>
  <c r="A4" i="13" s="1"/>
  <c r="R7" i="13"/>
  <c r="S7" i="13"/>
  <c r="Q4" i="17"/>
  <c r="P4" i="17"/>
  <c r="A7" i="13" l="1" a="1"/>
  <c r="A7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<sst xmlns="http://schemas.openxmlformats.org/spreadsheetml/2006/main" count="3250" uniqueCount="121">
  <si>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</si>
  <si>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</si>
  <si>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</si>
  <si>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</si>
  <si>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</si>
  <si>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</si>
  <si>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</si>
  <si>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</si>
  <si>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</si>
  <si>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</si>
  <si>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</si>
  <si>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</si>
  <si>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</si>
  <si>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</si>
  <si>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</si>
  <si>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</si>
  <si>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</si>
  <si>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</si>
  <si>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</si>
  <si>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</si>
  <si>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</si>
  <si>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</si>
  <si>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</si>
  <si>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</si>
  <si>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</si>
  <si>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</si>
  <si>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</si>
  <si>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</si>
  <si>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</si>
  <si>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</si>
  <si>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</si>
  <si>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</si>
  <si>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</si>
  <si>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</si>
  <si>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</si>
  <si>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</si>
  <si>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</si>
  <si>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</si>
  <si>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</si>
  <si>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</si>
  <si>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</si>
  <si>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</si>
  <si>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</si>
  <si>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</si>
  <si>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</si>
  <si>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</si>
  <si>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</si>
  <si>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</si>
  <si>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</si>
  <si>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</si>
  <si>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</si>
  <si>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</si>
  <si>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</si>
  <si>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</si>
  <si>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</si>
  <si>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</si>
  <si>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</si>
  <si>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</si>
  <si>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</si>
  <si>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</si>
  <si>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</si>
  <si>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</si>
  <si>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</si>
  <si>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</si>
  <si>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</si>
  <si>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</si>
  <si>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</si>
  <si>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</si>
  <si>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</si>
  <si>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</si>
  <si>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</si>
  <si>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</si>
  <si>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</si>
  <si>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</si>
  <si>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</si>
  <si>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</si>
  <si>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</si>
  <si>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</si>
  <si>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</si>
  <si>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GOOD, Hayden</t>
  </si>
  <si>
    <t>LEPORÉ, Amylia</t>
  </si>
  <si>
    <t>HUGHES, Arya</t>
  </si>
  <si>
    <t>JEAN-LOUIS, Jayda</t>
  </si>
  <si>
    <t>2024 3rd Domestic Trial</t>
  </si>
  <si>
    <t>2025 Elite Canada</t>
  </si>
  <si>
    <t>RENOU, Brayden</t>
  </si>
  <si>
    <t>LALIBERTÉ, Félix</t>
  </si>
  <si>
    <t>CAHILL, Benjamin</t>
  </si>
  <si>
    <t>OUGHTRED, Max</t>
  </si>
  <si>
    <t>NELSON, Cooper</t>
  </si>
  <si>
    <t>AB</t>
  </si>
  <si>
    <t>KURTZ, Lily</t>
  </si>
  <si>
    <t>MOBORG, Reese</t>
  </si>
  <si>
    <t>SLUGA, Arianna</t>
  </si>
  <si>
    <t>ALDOUS, Addison</t>
  </si>
  <si>
    <t>BEIRAM, Évita</t>
  </si>
  <si>
    <t>LEWIS, Jordyn</t>
  </si>
  <si>
    <t>LANQUETIN, Yannick</t>
  </si>
  <si>
    <t>KISKO, Roman</t>
  </si>
  <si>
    <t>MORRISON, Xavier</t>
  </si>
  <si>
    <t>MACINTOSH, Braxton</t>
  </si>
  <si>
    <t>SANDERSON, Aurora</t>
  </si>
  <si>
    <t>MACDOUGALL, Kira</t>
  </si>
  <si>
    <t>NOVOTNY, Ella</t>
  </si>
  <si>
    <t>2025 Nationals</t>
  </si>
  <si>
    <t>PATEL, Blaine</t>
  </si>
  <si>
    <t>MORNEAU, Benjamin</t>
  </si>
  <si>
    <t>JENKINSON, Bentley</t>
  </si>
  <si>
    <t>FORTINO, Louis</t>
  </si>
  <si>
    <t>NS</t>
  </si>
  <si>
    <t>LAURIN, Abby</t>
  </si>
  <si>
    <t>MCFARLANE, Michael</t>
  </si>
  <si>
    <t>MOSIER, Bella</t>
  </si>
  <si>
    <t>MILLIN, Declan</t>
  </si>
  <si>
    <t>BONDY, Philippe</t>
  </si>
  <si>
    <t>GORMICK, Liam</t>
  </si>
  <si>
    <t>MATHIEU, Angéline</t>
  </si>
  <si>
    <t>FLETCHER-BOSTWICK, Aja</t>
  </si>
  <si>
    <t>OLDFIELD, Isla</t>
  </si>
  <si>
    <t>BILO, Eva</t>
  </si>
  <si>
    <t>2025 Coimbra Gym Fest (July 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</si>
</sst>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4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LEPORÉ, Amylia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hidden="1" x14ac:dyDescent="0.2">
      <c r="A10" s="6" t="s">
        <v>35</v>
      </c>
      <c r="B10" s="6">
        <v>1</v>
      </c>
      <c r="C10" s="6" t="str">
        <f>IF(B2&gt;MAX('TUM-M'!A:A),"",INDEX('TUM-M'!B:B,MATCH(B2,'TUM-M'!A:A,0)))</f>
        <v/>
      </c>
      <c r="D10" s="16" t="str">
        <f>IF(B2&gt;MAX('TUM-M'!A:A),"",INDEX('TUM-M'!H:H,MATCH(B2,'TUM-M'!A:A,0)))</f>
        <v/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National Team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OUGHTRED, Max</v>
      </c>
      <c r="D18" s="16" t="str">
        <f>IF(B2&gt;MAX('DMT-M'!A:A),"",INDEX('DMT-M'!H:H,MATCH(B2,'DMT-M'!A:A,0)))</f>
        <v>National Team</v>
      </c>
    </row>
    <row r="19" spans="1:5" hidden="1" x14ac:dyDescent="0.2">
      <c r="A19" s="6"/>
      <c r="B19" s="6">
        <v>2</v>
      </c>
      <c r="C19" s="6" t="str">
        <f>IF(B3&gt;MAX('DMT-M'!A:A),"",INDEX('DMT-M'!B:B,MATCH(B3,'DMT-M'!A:A,0)))</f>
        <v/>
      </c>
      <c r="D19" s="16" t="str">
        <f>IF(B3&gt;MAX('DMT-M'!A:A),"",INDEX('DMT-M'!H:H,MATCH(B3,'DMT-M'!A:A,0)))</f>
        <v/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National Team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GOOD, Hayden</v>
      </c>
      <c r="D23" s="17" t="str">
        <f>IF(B3&gt;MAX('DMT-W'!A:A),"",INDEX('DMT-W'!H:H,MATCH(B3,'DMT-W'!A:A,0)))</f>
        <v>National Team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LEPORÉ, Amylia</v>
      </c>
      <c r="D24" s="17" t="str">
        <f>IF(B4&gt;MAX('DMT-W'!A:A),"",INDEX('DMT-W'!H:H,MATCH(B4,'DMT-W'!A:A,0)))</f>
        <v>National Team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JEAN-LOUIS, Jayda</v>
      </c>
      <c r="D25" s="17" t="str">
        <f>IF(B5&gt;MAX('DMT-W'!A:A),"",INDEX('DMT-W'!H:H,MATCH(B5,'DMT-W'!A:A,0)))</f>
        <v>National Team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45890</v>
      </c>
      <c r="C34" s="68"/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83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104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/>
      </c>
      <c r="B4" s="5" t="s">
        <v>85</v>
      </c>
      <c r="C4" s="4" t="s">
        <v>67</v>
      </c>
      <c r="D4" s="4">
        <v>2012</v>
      </c>
      <c r="E4" s="10">
        <f t="shared" ref="E4:E14" si="0">SUM(I4:Q4)</f>
        <v>228.08</v>
      </c>
      <c r="F4" s="3" t="str">
        <f t="shared" ref="F4:F14" si="1">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P","")</f>
        <v/>
      </c>
      <c r="G4" s="3" t="str">
        <f t="shared" ref="G4:G14" si="2">IF(OR(AND(AT4&gt;=AW$21,AO4&lt;&gt;"",AN4=""),AND(BX4&gt;=CA$21,BS4&lt;&gt;"",BR4=""),AND(DB4&gt;=DE$21,CW4&lt;&gt;"",CV4=""),AND(EB4&gt;=EE$21,DY4&lt;&gt;""),AND(EX4&gt;=FA$21,EU4&lt;&gt;""),AND(FT4&gt;=FW$21,FQ4&lt;&gt;""),AND(GP4&gt;=GS$21,GM4&lt;&gt;""),AND(HL4&gt;=HO$21,HI4&lt;&gt;""),AND(IH4&gt;=IK$21,IE4&lt;&gt;""),AND(JD4&gt;=JG$21,JA4&lt;&gt;""),AND(JZ4&gt;=KC$21,JW4&lt;&gt;""),AND(KV4&gt;=KY$21,KS4&lt;&gt;""),AND(LR4&gt;=LU$21,LO4&lt;&gt;""),AND(MN4&gt;=MQ$21,MK4&lt;&gt;""),AND(NJ4&gt;=NM$21,NG4&lt;&gt;"")),"P","")</f>
        <v/>
      </c>
      <c r="H4" s="47" t="str">
        <f t="shared" ref="H4:H14" si="3">IF(OR(AND(AP4&gt;=AW$20,AQ4&gt;=AW$24,AP4&lt;&gt;"",AN4=""),AND(AU4&gt;=AW$20,AV4&gt;=AW$24,AU4&lt;&gt;"",AN4=""),AND(BT4&gt;=CA$20,BU4&gt;=CA$24,BT4&lt;&gt;"",BR4=""),AND(BY4&gt;=CA$20,BZ4&gt;=CA$24,BY4&lt;&gt;"",BR4=""),AND(CX4&gt;=DE$20,CY4&gt;=DE$24,CX4&lt;&gt;"",CV4=""),AND(DC4&gt;=DE$20,DD4&gt;=DE$24,DC4&lt;&gt;"",CV4=""),AND(DY4&gt;=EE$20,EA4&gt;=EE$24,DY4&lt;&gt;""),AND(EC4&gt;=EE$20,ED4&gt;=EE$24,EC4&lt;&gt;""),AND(EU4&gt;=FA$20,EW4&gt;=FA$24,EU4&lt;&gt;""),AND(EY4&gt;=FA$20,EZ4&gt;=FA$24,EY4&lt;&gt;""),AND(FQ4&gt;=FW$20,FS4&gt;=FW$24,FQ4&lt;&gt;""),AND(FU4&gt;=FW$20,FV4&gt;=FW$24,FU4&lt;&gt;""),AND(GM4&gt;=GS$20,GO4&gt;=GS$24,GM4&lt;&gt;""),AND(GQ4&gt;=GS$20,GR4&gt;=GS$24,GQ4&lt;&gt;""),AND(HI4&gt;=HO$20,HK4&gt;=HO$24,HI4&lt;&gt;""),AND(HM4&gt;=HO$20,HN4&gt;=HO$24,HM4&lt;&gt;""),AND(IE4&gt;=IK$20,IG4&gt;=IK$24,IE4&lt;&gt;""),AND(II4&gt;=IK$20,IJ4&gt;=IK$24,II4&lt;&gt;""),AND(JA4&gt;=JG$20,JC4&gt;=JG$24,JA4&lt;&gt;""),AND(JE4&gt;=JG$20,JF4&gt;=JG$24,JE4&lt;&gt;""),AND(JW4&gt;=KC$20,JY4&gt;=KC$24,JW4&lt;&gt;""),AND(KA4&gt;=KC$20,KB4&gt;=KC$24,KA4&lt;&gt;""),AND(KS4&gt;=KY$20,KU4&gt;=KY$24,KS4&lt;&gt;""),AND(KW4&gt;=KY$20,KX4&gt;=KY$24,KW4&lt;&gt;""),AND(LO4&gt;=LU$20,LQ4&gt;=LU$24,LO4&lt;&gt;""),AND(LS4&gt;=LU$20,LT4&gt;=LU$24,LS4&lt;&gt;""),AND(MK4&gt;=MQ$20,MM4&gt;=MQ$24,MK4&lt;&gt;""),AND(MO4&gt;=MQ$20,MP4&gt;=MQ$24,MO4&lt;&gt;""),AND(NG4&gt;=NM$20,NI4&gt;=NM$24,NG4&lt;&gt;""),AND(NK4&gt;=NM$20,NL4&gt;=NM$24,NK4&lt;&gt;"")),"Merit",IF(OR(AND(AP4&gt;=AW$19,AT4&gt;=AW$23,AO4&lt;&gt;"",AN4=""),AND(BT4&gt;=CA$19,BX4&gt;=CA$23,BS4&lt;&gt;"",BR4=""),AND(CX4&gt;=DE$19,DB4&gt;=DE$23,CW4&lt;&gt;"",CV4=""),AND(DY4&gt;=EE$19,EB4&gt;=EE$23,DY4&lt;&gt;""),AND(EU4&gt;=FA$19,EX4&gt;=FA$23,EU4&lt;&gt;""),AND(FQ4&gt;=FW$19,FT4&gt;=FW$23,FQ4&lt;&gt;""),AND(GM4&gt;=GS$19,GP4&gt;=GS$23,GM4&lt;&gt;""),AND(HI4&gt;=HO$19,HL4&gt;=HO$23,HI4&lt;&gt;""),AND(IE4&gt;=IK$19,IH4&gt;=IK$23,IE4&lt;&gt;""),AND(JA4&gt;=JG$19,JD4&gt;=JG$23,JA4&lt;&gt;""),AND(JW4&gt;=KC$19,JZ4&gt;=KC$23,JW4&lt;&gt;""),AND(KS4&gt;=KY$19,KV4&gt;=KY$23,KS4&lt;&gt;""),AND(LO4&gt;=LU$19,LR4&gt;=LU$23,LO4&lt;&gt;""),AND(MK4&gt;=MQ$19,MN4&gt;=MQ$23,MK4&lt;&gt;""),AND(NG4&gt;=NM$19,NJ4&gt;=NM$23,NG4&lt;&gt;"")),"Excellence",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National Team",IF(G4="P","No DD",""))))</f>
        <v/>
      </c>
      <c r="I4" s="9">
        <f t="shared" ref="I4:I14" si="4">IF(MAX(AT4,BX4,DB4)&gt;0,MAX(AT4,BX4,DB4),0)</f>
        <v>90.070000000000007</v>
      </c>
      <c r="J4" s="9" t="str">
        <f t="shared" ref="J4:J14" si="5">IF(I4=0,"",IF(I4=DB4,$CB$1,IF(I4=BX4,$AX$1,IF(I4=AT4,$T$1,""))))</f>
        <v>2025 Nationals</v>
      </c>
      <c r="K4" s="9">
        <f t="shared" ref="K4:K14" si="6">IF($I4=$AT4,MAX(BS4,CW4),IF($I4=$BX4,MAX(AO4,CW4),IF($I4=$DB4,MAX(AO4,BS4),MAX(AO4,BS4,CW4))))</f>
        <v>40.130000000000003</v>
      </c>
      <c r="L4" s="9" t="str">
        <f t="shared" ref="L4:L14" si="7">IF(K4=0,"",IF(AND(K4=CW4,$J4&lt;&gt;$CB$1),$CB$1,IF(AND(K4=BS4,$J4&lt;&gt;$AX$1),$AX$1,IF(AND(K4=AO4,$J4&lt;&gt;$T$1),$T$1,""))))</f>
        <v>2025 Elite Canada</v>
      </c>
      <c r="M4" s="9">
        <f t="shared" ref="M4:M14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48.19</v>
      </c>
      <c r="N4" s="9" t="str">
        <f t="shared" ref="N4:N14" si="9">IF(M4=0,"",IF(AND(OR(M4=DA4,M4=CY4),$J4&lt;&gt;$CB$1),$CB$1,IF(AND(OR(M4=BW4,M4=BU4),$J4&lt;&gt;$AX$1),$AX$1,IF(AND(OR(M4=AS4,M4=AQ4),$J4&lt;&gt;$T$1),$T$1,""))))</f>
        <v>2025 Elite Canada</v>
      </c>
      <c r="O4" s="9">
        <f t="shared" ref="O4:O14" si="10">MAX(AV4,BZ4,DD4)</f>
        <v>49.69</v>
      </c>
      <c r="P4" s="9" t="str">
        <f t="shared" ref="P4:P14" si="11">IF(O4=0,"",IF(O4=DD4,$CB$1,IF(O4=BZ4,$AX$1,IF(O4=AV4,$T$1,""))))</f>
        <v>2025 Nationals</v>
      </c>
      <c r="Q4" s="9" t="str">
        <f t="shared" ref="Q4:Q14" si="12">IF(MAX(DF4,DG4,DH4,DI4)&gt;0,MAX(DF4,DG4,DH4,DI4),"")</f>
        <v/>
      </c>
      <c r="R4" s="14" t="str">
        <f t="shared" ref="R4:R14" si="13">IF(Q4="","",IF(Q4=DF4,"(Vol 1)",IF(Q4=DG4,"(Vol 2)",IF(Q4=DH4,"(Prelim)",IF(Q4=DI4,"(Final)")))))</f>
        <v/>
      </c>
      <c r="S4" s="9" t="str">
        <f t="shared" ref="S4:S14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 t="str">
        <f t="shared" ref="AO4:AO14" si="15">IF(SUM(T4:W4)-X4&gt;0,SUM(T4:W4)-X4,"")</f>
        <v/>
      </c>
      <c r="AP4" s="7" t="str">
        <f t="shared" ref="AP4:AP14" si="16">IF(AA4&gt;0,AA4,"")</f>
        <v/>
      </c>
      <c r="AQ4" s="7" t="str">
        <f t="shared" ref="AQ4:AQ14" si="17">IF(SUM(Y4:AB4)-AC4&gt;0,SUM(Y4:AB4)-AC4,"")</f>
        <v/>
      </c>
      <c r="AR4" s="7" t="str">
        <f t="shared" ref="AR4:AR14" si="18">IF(AF4&gt;0,AF4,"")</f>
        <v/>
      </c>
      <c r="AS4" s="7" t="str">
        <f t="shared" ref="AS4:AS14" si="19">IF(SUM(AD4:AG4)-AH4&gt;0,SUM(AD4:AG4)-AH4,"")</f>
        <v/>
      </c>
      <c r="AT4" s="7" t="str">
        <f t="shared" ref="AT4:AT14" si="20">IF(AO4="",IF(MAX(AQ4,AS4)&gt;0,MAX(AQ4,AS4),""),MAX(AQ4,AS4)+AO4)</f>
        <v/>
      </c>
      <c r="AU4" s="7" t="str">
        <f t="shared" ref="AU4:AU14" si="21">IF(AK4&gt;0,AK4,"")</f>
        <v/>
      </c>
      <c r="AV4" s="7" t="str">
        <f t="shared" ref="AV4:AV14" si="22">IF(SUM(AI4:AL4)-AM4&gt;0,SUM(AI4:AL4)-AM4,"")</f>
        <v/>
      </c>
      <c r="AW4" s="7" t="str">
        <f t="shared" ref="AW4:AW14" si="23">IF(SUM(AT4,AV4)&gt;0,SUM(AT4,AV4),"")</f>
        <v/>
      </c>
      <c r="AX4" s="23">
        <v>16.899999999999999</v>
      </c>
      <c r="AY4" s="23">
        <v>9.6</v>
      </c>
      <c r="AZ4" s="23">
        <v>0</v>
      </c>
      <c r="BA4" s="23">
        <v>13.63</v>
      </c>
      <c r="BB4" s="23">
        <v>0</v>
      </c>
      <c r="BC4" s="23">
        <v>14.4</v>
      </c>
      <c r="BD4" s="23">
        <v>9.6999999999999993</v>
      </c>
      <c r="BE4" s="23">
        <v>10.9</v>
      </c>
      <c r="BF4" s="23">
        <v>13.19</v>
      </c>
      <c r="BG4" s="23">
        <v>0</v>
      </c>
      <c r="BH4" s="23"/>
      <c r="BI4" s="23"/>
      <c r="BJ4" s="23"/>
      <c r="BK4" s="23"/>
      <c r="BL4" s="23"/>
      <c r="BM4" s="23">
        <v>15</v>
      </c>
      <c r="BN4" s="23">
        <v>9.6999999999999993</v>
      </c>
      <c r="BO4" s="23">
        <v>10.9</v>
      </c>
      <c r="BP4" s="23">
        <v>13.02</v>
      </c>
      <c r="BQ4" s="23">
        <v>0</v>
      </c>
      <c r="BR4" s="33"/>
      <c r="BS4" s="9">
        <f t="shared" ref="BS4:BS14" si="24">IF(SUM(AX4:BA4)-BB4&gt;0,SUM(AX4:BA4)-BB4,"")</f>
        <v>40.130000000000003</v>
      </c>
      <c r="BT4" s="9">
        <f t="shared" ref="BT4:BT14" si="25">IF(BE4&gt;0,BE4,"")</f>
        <v>10.9</v>
      </c>
      <c r="BU4" s="9">
        <f t="shared" ref="BU4:BU14" si="26">IF(SUM(BC4:BF4)-BG4&gt;0,SUM(BC4:BF4)-BG4,"")</f>
        <v>48.19</v>
      </c>
      <c r="BV4" s="9" t="str">
        <f t="shared" ref="BV4:BV14" si="27">IF(BJ4&gt;0,BJ4,"")</f>
        <v/>
      </c>
      <c r="BW4" s="9" t="str">
        <f t="shared" ref="BW4:BW14" si="28">IF(SUM(BH4:BK4)-BL4&gt;0,SUM(BH4:BK4)-BL4,"")</f>
        <v/>
      </c>
      <c r="BX4" s="9">
        <f t="shared" ref="BX4:BX14" si="29">IF(BS4="",IF(MAX(BU4,BW4)&gt;0,MAX(BU4,BW4),""),MAX(BU4,BW4)+BS4)</f>
        <v>88.32</v>
      </c>
      <c r="BY4" s="9">
        <f t="shared" ref="BY4:BY14" si="30">IF(BO4&gt;0,BO4,"")</f>
        <v>10.9</v>
      </c>
      <c r="BZ4" s="9">
        <f t="shared" ref="BZ4:BZ14" si="31">IF(SUM(BM4:BP4)-BQ4&gt;0,SUM(BM4:BP4)-BQ4,"")</f>
        <v>48.620000000000005</v>
      </c>
      <c r="CA4" s="9">
        <f t="shared" ref="CA4:CA14" si="32">IF(SUM(BX4,BZ4)&gt;0,SUM(BX4,BZ4),"")</f>
        <v>136.94</v>
      </c>
      <c r="CB4" s="27">
        <v>17.8</v>
      </c>
      <c r="CC4" s="27">
        <v>9.1</v>
      </c>
      <c r="CD4" s="27">
        <v>0</v>
      </c>
      <c r="CE4" s="27">
        <v>13.99</v>
      </c>
      <c r="CF4" s="27">
        <v>0</v>
      </c>
      <c r="CG4" s="27">
        <v>15.5</v>
      </c>
      <c r="CH4" s="27">
        <v>9.3000000000000007</v>
      </c>
      <c r="CI4" s="27">
        <v>10.9</v>
      </c>
      <c r="CJ4" s="27">
        <v>13.48</v>
      </c>
      <c r="CK4" s="27">
        <v>0</v>
      </c>
      <c r="CL4" s="27"/>
      <c r="CM4" s="27"/>
      <c r="CN4" s="27"/>
      <c r="CO4" s="27"/>
      <c r="CP4" s="27"/>
      <c r="CQ4" s="27">
        <v>15.8</v>
      </c>
      <c r="CR4" s="27">
        <v>9.6</v>
      </c>
      <c r="CS4" s="27">
        <v>10.9</v>
      </c>
      <c r="CT4" s="27">
        <v>13.39</v>
      </c>
      <c r="CU4" s="27">
        <v>0</v>
      </c>
      <c r="CV4" s="32"/>
      <c r="CW4" s="7">
        <f t="shared" ref="CW4:CW14" si="33">IF(SUM(CB4:CE4)-CF4&gt;0,SUM(CB4:CE4)-CF4,"")</f>
        <v>40.89</v>
      </c>
      <c r="CX4" s="7">
        <f t="shared" ref="CX4:CX14" si="34">IF(CI4&gt;0,CI4,"")</f>
        <v>10.9</v>
      </c>
      <c r="CY4" s="7">
        <f t="shared" ref="CY4:CY14" si="35">IF(SUM(CG4:CJ4)-CK4&gt;0,SUM(CG4:CJ4)-CK4,"")</f>
        <v>49.180000000000007</v>
      </c>
      <c r="CZ4" s="7" t="str">
        <f t="shared" ref="CZ4:CZ14" si="36">IF(CN4&gt;0,CN4,"")</f>
        <v/>
      </c>
      <c r="DA4" s="7" t="str">
        <f t="shared" ref="DA4:DA14" si="37">IF(SUM(CL4:CO4)-CP4&gt;0,SUM(CL4:CO4)-CP4,"")</f>
        <v/>
      </c>
      <c r="DB4" s="7">
        <f t="shared" ref="DB4:DB14" si="38">IF(CW4="",IF(MAX(CY4,DA4)&gt;0,MAX(CY4,DA4),""),MAX(CY4,DA4)+CW4)</f>
        <v>90.070000000000007</v>
      </c>
      <c r="DC4" s="7">
        <f t="shared" ref="DC4:DC14" si="39">IF(CS4&gt;0,CS4,"")</f>
        <v>10.9</v>
      </c>
      <c r="DD4" s="7">
        <f t="shared" ref="DD4:DD14" si="40">IF(SUM(CQ4:CT4)-CU4&gt;0,SUM(CQ4:CT4)-CU4,"")</f>
        <v>49.69</v>
      </c>
      <c r="DE4" s="7">
        <f t="shared" ref="DE4:DE14" si="41">IF(SUM(DB4,DD4)&gt;0,SUM(DB4,DD4),"")</f>
        <v>139.76</v>
      </c>
      <c r="DF4" s="13" t="str">
        <f t="shared" ref="DF4:DF14" si="42">IF(MAX(DZ4,EV4,FR4,GN4,HJ4,IF4,JB4,JX4,KT4,LP4,ML4,NH4)-IF(K4="",0,K4)&gt;0.001,MAX(DZ4,EV4,FR4,GN4,HJ4,IF4,JB4,JX4,KT4,LP4,ML4,NH4)-IF(K4="",0,K4),"")</f>
        <v/>
      </c>
      <c r="DG4" s="13" t="str">
        <f t="shared" ref="DG4:DG14" si="43">IF(MAX(EA4,EW4,FS4,GO4,HK4,IG4,JC4,JY4,KU4,LQ4,MM4,NI4)-IF(M4="",0,M4)&gt;0.001,MAX(EA4,EW4,FS4,GO4,HK4,IG4,JC4,JY4,KU4,LQ4,MM4,NI4)-IF(M4="",0,M4),"")</f>
        <v/>
      </c>
      <c r="DH4" s="13" t="str">
        <f t="shared" ref="DH4:DH14" si="44">IF(MAX(EB4,EX4,FT4,GP4,HL4,IH4,JD4,JZ4,KV4,LR4,MN4,NJ4)-IF(I4="",0,I4)&gt;0.001,MAX(EB4,EX4,FT4,GP4,HL4,IH4,JD4,JZ4,KV4,LR4,MN4,NJ4)-IF(I4="",0,I4),"")</f>
        <v/>
      </c>
      <c r="DI4" s="13" t="str">
        <f t="shared" ref="DI4:DI14" si="45"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 t="shared" ref="DY4:DY14" si="46">IF(DQ4&gt;0,DQ4,"")</f>
        <v/>
      </c>
      <c r="DZ4" s="7" t="str">
        <f t="shared" ref="DZ4:DZ14" si="47">IF(SUM(DJ4:DM4)-DN4&gt;0,SUM(DJ4:DM4)-DN4,"")</f>
        <v/>
      </c>
      <c r="EA4" s="7" t="str">
        <f t="shared" ref="EA4:EA14" si="48">IF(SUM(DO4:DR4)-DS4&gt;0,SUM(DO4:DR4)-DS4,"")</f>
        <v/>
      </c>
      <c r="EB4" s="7" t="str">
        <f t="shared" ref="EB4:EB14" si="49">IF(SUM(DZ4:EA4)&gt;0,SUM(DZ4:EA4),"")</f>
        <v/>
      </c>
      <c r="EC4" s="7" t="str">
        <f t="shared" ref="EC4:EC14" si="50">IF(DV4&gt;0,DV4,"")</f>
        <v/>
      </c>
      <c r="ED4" s="7" t="str">
        <f t="shared" ref="ED4:ED14" si="51">IF(SUM(DT4:DW4)-DX4&gt;0,SUM(DT4:DW4)-DX4,"")</f>
        <v/>
      </c>
      <c r="EE4" s="7" t="str">
        <f t="shared" ref="EE4:EE14" si="52"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 t="shared" ref="EU4:EU14" si="53">IF(EM4&gt;0,EM4,"")</f>
        <v/>
      </c>
      <c r="EV4" s="9" t="str">
        <f t="shared" ref="EV4:EV14" si="54">IF(SUM(EF4:EI4)-EJ4&gt;0,SUM(EF4:EI4)-EJ4,"")</f>
        <v/>
      </c>
      <c r="EW4" s="9" t="str">
        <f t="shared" ref="EW4:EW14" si="55">IF(SUM(EK4:EN4)-EO4&gt;0,SUM(EK4:EN4)-EO4,"")</f>
        <v/>
      </c>
      <c r="EX4" s="9" t="str">
        <f t="shared" ref="EX4:EX14" si="56">IF(SUM(EV4:EW4)&gt;0,SUM(EV4:EW4),"")</f>
        <v/>
      </c>
      <c r="EY4" s="9" t="str">
        <f t="shared" ref="EY4:EY14" si="57">IF(ER4&gt;0,ER4,"")</f>
        <v/>
      </c>
      <c r="EZ4" s="9" t="str">
        <f t="shared" ref="EZ4:EZ14" si="58">IF(SUM(EP4:ES4)-ET4&gt;0,SUM(EP4:ES4)-ET4,"")</f>
        <v/>
      </c>
      <c r="FA4" s="9" t="str">
        <f t="shared" ref="FA4:FA14" si="59"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 t="shared" ref="FQ4:FQ14" si="60">IF(FI4&gt;0,FI4,"")</f>
        <v/>
      </c>
      <c r="FR4" s="7" t="str">
        <f t="shared" ref="FR4:FR14" si="61">IF(SUM(FB4:FE4)-FF4&gt;0,SUM(FB4:FE4)-FF4,"")</f>
        <v/>
      </c>
      <c r="FS4" s="7" t="str">
        <f t="shared" ref="FS4:FS14" si="62">IF(SUM(FG4:FJ4)-FK4&gt;0,SUM(FG4:FJ4)-FK4,"")</f>
        <v/>
      </c>
      <c r="FT4" s="7" t="str">
        <f t="shared" ref="FT4:FT14" si="63">IF(SUM(FR4:FS4)&gt;0,SUM(FR4:FS4),"")</f>
        <v/>
      </c>
      <c r="FU4" s="7" t="str">
        <f t="shared" ref="FU4:FU14" si="64">IF(FN4&gt;0,FN4,"")</f>
        <v/>
      </c>
      <c r="FV4" s="7" t="str">
        <f t="shared" ref="FV4:FV14" si="65">IF(SUM(FL4:FO4)-FP4&gt;0,SUM(FL4:FO4)-FP4,"")</f>
        <v/>
      </c>
      <c r="FW4" s="7" t="str">
        <f t="shared" ref="FW4:FW14" si="66"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 t="shared" ref="GM4:GM14" si="67">IF(GE4&gt;0,GE4,"")</f>
        <v/>
      </c>
      <c r="GN4" s="9" t="str">
        <f t="shared" ref="GN4:GN14" si="68">IF(SUM(FX4:GA4)-GB4&gt;0,SUM(FX4:GA4)-GB4,"")</f>
        <v/>
      </c>
      <c r="GO4" s="9" t="str">
        <f t="shared" ref="GO4:GO14" si="69">IF(SUM(GC4:GF4)-GG4&gt;0,SUM(GC4:GF4)-GG4,"")</f>
        <v/>
      </c>
      <c r="GP4" s="9" t="str">
        <f t="shared" ref="GP4:GP14" si="70">IF(SUM(GN4:GO4)&gt;0,SUM(GN4:GO4),"")</f>
        <v/>
      </c>
      <c r="GQ4" s="9" t="str">
        <f t="shared" ref="GQ4:GQ14" si="71">IF(GJ4&gt;0,GJ4,"")</f>
        <v/>
      </c>
      <c r="GR4" s="9" t="str">
        <f t="shared" ref="GR4:GR14" si="72">IF(SUM(GH4:GK4)-GL4&gt;0,SUM(GH4:GK4)-GL4,"")</f>
        <v/>
      </c>
      <c r="GS4" s="9" t="str">
        <f t="shared" ref="GS4:GS14" si="73"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14" si="74">IF(HA4&gt;0,HA4,"")</f>
        <v/>
      </c>
      <c r="HJ4" s="7" t="str">
        <f t="shared" ref="HJ4:HJ14" si="75">IF(SUM(GT4:GW4)-GX4&gt;0,SUM(GT4:GW4)-GX4,"")</f>
        <v/>
      </c>
      <c r="HK4" s="7" t="str">
        <f t="shared" ref="HK4:HK14" si="76">IF(SUM(GY4:HB4)-HC4&gt;0,SUM(GY4:HB4)-HC4,"")</f>
        <v/>
      </c>
      <c r="HL4" s="7" t="str">
        <f t="shared" ref="HL4:HL14" si="77">IF(SUM(HJ4:HK4)&gt;0,SUM(HJ4:HK4),"")</f>
        <v/>
      </c>
      <c r="HM4" s="7" t="str">
        <f t="shared" ref="HM4:HM14" si="78">IF(HF4&gt;0,HF4,"")</f>
        <v/>
      </c>
      <c r="HN4" s="7" t="str">
        <f t="shared" ref="HN4:HN14" si="79">IF(SUM(HD4:HG4)-HH4&gt;0,SUM(HD4:HG4)-HH4,"")</f>
        <v/>
      </c>
      <c r="HO4" s="7" t="str">
        <f t="shared" ref="HO4:HO14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14" si="81">IF(HW4&gt;0,HW4,"")</f>
        <v/>
      </c>
      <c r="IF4" s="9" t="str">
        <f t="shared" ref="IF4:IF14" si="82">IF(SUM(HP4:HS4)-HT4&gt;0,SUM(HP4:HS4)-HT4,"")</f>
        <v/>
      </c>
      <c r="IG4" s="9" t="str">
        <f t="shared" ref="IG4:IG14" si="83">IF(SUM(HU4:HX4)-HY4&gt;0,SUM(HU4:HX4)-HY4,"")</f>
        <v/>
      </c>
      <c r="IH4" s="9" t="str">
        <f t="shared" ref="IH4:IH14" si="84">IF(SUM(IF4:IG4)&gt;0,SUM(IF4:IG4),"")</f>
        <v/>
      </c>
      <c r="II4" s="9" t="str">
        <f t="shared" ref="II4:II14" si="85">IF(IB4&gt;0,IB4,"")</f>
        <v/>
      </c>
      <c r="IJ4" s="9" t="str">
        <f t="shared" ref="IJ4:IJ14" si="86">IF(SUM(HZ4:IC4)-ID4&gt;0,SUM(HZ4:IC4)-ID4,"")</f>
        <v/>
      </c>
      <c r="IK4" s="9" t="str">
        <f t="shared" ref="IK4:IK14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14" si="88">IF(IS4&gt;0,IS4,"")</f>
        <v/>
      </c>
      <c r="JB4" s="7" t="str">
        <f t="shared" ref="JB4:JB14" si="89">IF(SUM(IL4:IO4)-IP4&gt;0,SUM(IL4:IO4)-IP4,"")</f>
        <v/>
      </c>
      <c r="JC4" s="7" t="str">
        <f t="shared" ref="JC4:JC14" si="90">IF(SUM(IQ4:IT4)-IU4&gt;0,SUM(IQ4:IT4)-IU4,"")</f>
        <v/>
      </c>
      <c r="JD4" s="7" t="str">
        <f t="shared" ref="JD4:JD14" si="91">IF(SUM(JB4:JC4)&gt;0,SUM(JB4:JC4),"")</f>
        <v/>
      </c>
      <c r="JE4" s="7" t="str">
        <f t="shared" ref="JE4:JE14" si="92">IF(IX4&gt;0,IX4,"")</f>
        <v/>
      </c>
      <c r="JF4" s="7" t="str">
        <f t="shared" ref="JF4:JF14" si="93">IF(SUM(IV4:IY4)-IZ4&gt;0,SUM(IV4:IY4)-IZ4,"")</f>
        <v/>
      </c>
      <c r="JG4" s="7" t="str">
        <f t="shared" ref="JG4:JG14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14" si="95">IF(JO4&gt;0,JO4,"")</f>
        <v/>
      </c>
      <c r="JX4" s="9" t="str">
        <f t="shared" ref="JX4:JX14" si="96">IF(SUM(JH4:JK4)-JL4&gt;0,SUM(JH4:JK4)-JL4,"")</f>
        <v/>
      </c>
      <c r="JY4" s="9" t="str">
        <f t="shared" ref="JY4:JY14" si="97">IF(SUM(JM4:JP4)-JQ4&gt;0,SUM(JM4:JP4)-JQ4,"")</f>
        <v/>
      </c>
      <c r="JZ4" s="9" t="str">
        <f t="shared" ref="JZ4:JZ14" si="98">IF(SUM(JX4:JY4)&gt;0,SUM(JX4:JY4),"")</f>
        <v/>
      </c>
      <c r="KA4" s="9" t="str">
        <f t="shared" ref="KA4:KA14" si="99">IF(JT4&gt;0,JT4,"")</f>
        <v/>
      </c>
      <c r="KB4" s="9" t="str">
        <f t="shared" ref="KB4:KB14" si="100">IF(SUM(JR4:JU4)-JV4&gt;0,SUM(JR4:JU4)-JV4,"")</f>
        <v/>
      </c>
      <c r="KC4" s="9" t="str">
        <f t="shared" ref="KC4:KC14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14" si="102">IF(KK4&gt;0,KK4,"")</f>
        <v/>
      </c>
      <c r="KT4" s="7" t="str">
        <f t="shared" ref="KT4:KT14" si="103">IF(SUM(KD4:KG4)-KH4&gt;0,SUM(KD4:KG4)-KH4,"")</f>
        <v/>
      </c>
      <c r="KU4" s="7" t="str">
        <f t="shared" ref="KU4:KU14" si="104">IF(SUM(KI4:KL4)-KM4&gt;0,SUM(KI4:KL4)-KM4,"")</f>
        <v/>
      </c>
      <c r="KV4" s="7" t="str">
        <f t="shared" ref="KV4:KV14" si="105">IF(SUM(KT4:KU4)&gt;0,SUM(KT4:KU4),"")</f>
        <v/>
      </c>
      <c r="KW4" s="7" t="str">
        <f t="shared" ref="KW4:KW14" si="106">IF(KP4&gt;0,KP4,"")</f>
        <v/>
      </c>
      <c r="KX4" s="7" t="str">
        <f t="shared" ref="KX4:KX14" si="107">IF(SUM(KN4:KQ4)-KR4&gt;0,SUM(KN4:KQ4)-KR4,"")</f>
        <v/>
      </c>
      <c r="KY4" s="7" t="str">
        <f t="shared" ref="KY4:KY14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14" si="109">IF(LG4&gt;0,LG4,"")</f>
        <v/>
      </c>
      <c r="LP4" s="9" t="str">
        <f t="shared" ref="LP4:LP14" si="110">IF(SUM(KZ4:LC4)-LD4&gt;0,SUM(KZ4:LC4)-LD4,"")</f>
        <v/>
      </c>
      <c r="LQ4" s="9" t="str">
        <f t="shared" ref="LQ4:LQ14" si="111">IF(SUM(LE4:LH4)-LI4&gt;0,SUM(LE4:LH4)-LI4,"")</f>
        <v/>
      </c>
      <c r="LR4" s="9" t="str">
        <f t="shared" ref="LR4:LR14" si="112">IF(SUM(LP4:LQ4)&gt;0,SUM(LP4:LQ4),"")</f>
        <v/>
      </c>
      <c r="LS4" s="9" t="str">
        <f t="shared" ref="LS4:LS14" si="113">IF(LL4&gt;0,LL4,"")</f>
        <v/>
      </c>
      <c r="LT4" s="9" t="str">
        <f t="shared" ref="LT4:LT14" si="114">IF(SUM(LJ4:LM4)-LN4&gt;0,SUM(LJ4:LM4)-LN4,"")</f>
        <v/>
      </c>
      <c r="LU4" s="9" t="str">
        <f t="shared" ref="LU4:LU14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14" si="116">IF(MC4&gt;0,MC4,"")</f>
        <v/>
      </c>
      <c r="ML4" s="7" t="str">
        <f t="shared" ref="ML4:ML14" si="117">IF(SUM(LV4:LY4)-LZ4&gt;0,SUM(LV4:LY4)-LZ4,"")</f>
        <v/>
      </c>
      <c r="MM4" s="7" t="str">
        <f t="shared" ref="MM4:MM14" si="118">IF(SUM(MA4:MD4)-ME4&gt;0,SUM(MA4:MD4)-ME4,"")</f>
        <v/>
      </c>
      <c r="MN4" s="7" t="str">
        <f t="shared" ref="MN4:MN14" si="119">IF(SUM(ML4:MM4)&gt;0,SUM(ML4:MM4),"")</f>
        <v/>
      </c>
      <c r="MO4" s="7" t="str">
        <f t="shared" ref="MO4:MO14" si="120">IF(MH4&gt;0,MH4,"")</f>
        <v/>
      </c>
      <c r="MP4" s="7" t="str">
        <f t="shared" ref="MP4:MP14" si="121">IF(SUM(MF4:MI4)-MJ4&gt;0,SUM(MF4:MI4)-MJ4,"")</f>
        <v/>
      </c>
      <c r="MQ4" s="7" t="str">
        <f t="shared" ref="MQ4:MQ14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14" si="123">IF(MY4&gt;0,MY4,"")</f>
        <v/>
      </c>
      <c r="NH4" s="9" t="str">
        <f t="shared" ref="NH4:NH14" si="124">IF(SUM(MR4:MU4)-MV4&gt;0,SUM(MR4:MU4)-MV4,"")</f>
        <v/>
      </c>
      <c r="NI4" s="9" t="str">
        <f t="shared" ref="NI4:NI14" si="125">IF(SUM(MW4:MZ4)-NA4&gt;0,SUM(MW4:MZ4)-NA4,"")</f>
        <v/>
      </c>
      <c r="NJ4" s="9" t="str">
        <f t="shared" ref="NJ4:NJ14" si="126">IF(SUM(NH4:NI4)&gt;0,SUM(NH4:NI4),"")</f>
        <v/>
      </c>
      <c r="NK4" s="9" t="str">
        <f t="shared" ref="NK4:NK14" si="127">IF(ND4&gt;0,ND4,"")</f>
        <v/>
      </c>
      <c r="NL4" s="9" t="str">
        <f t="shared" ref="NL4:NL14" si="128">IF(SUM(NB4:NE4)-NF4&gt;0,SUM(NB4:NE4)-NF4,"")</f>
        <v/>
      </c>
      <c r="NM4" s="9" t="str">
        <f t="shared" ref="NM4:NM14" si="129">IF(SUM(NJ4,NL4)&gt;0,SUM(NJ4,NL4),"")</f>
        <v/>
      </c>
      <c r="NN4" s="27">
        <f t="shared" ref="NN4:NN14" si="130">IF($CV4="P",CB4,(CB4+AX4)/2)</f>
        <v>17.350000000000001</v>
      </c>
      <c r="NO4" s="27">
        <f t="shared" ref="NO4:NO14" si="131">IF($CV4="P",CC4,(CC4+AY4)/2)</f>
        <v>9.35</v>
      </c>
      <c r="NP4" s="27">
        <f t="shared" ref="NP4:NP14" si="132">IF($CV4="P",CD4,(CD4+AZ4)/2)</f>
        <v>0</v>
      </c>
      <c r="NQ4" s="27">
        <f t="shared" ref="NQ4:NQ14" si="133">IF($CV4="P",CE4,(CE4+BA4)/2)</f>
        <v>13.81</v>
      </c>
      <c r="NR4" s="27">
        <f t="shared" ref="NR4:NR14" si="134">IF($CV4="P",CF4,(CF4+BB4)/2)</f>
        <v>0</v>
      </c>
      <c r="NS4" s="27">
        <f t="shared" ref="NS4:NS14" si="135">IF($CV4="P",CG4,(CG4+BC4)/2)</f>
        <v>14.95</v>
      </c>
      <c r="NT4" s="27">
        <f t="shared" ref="NT4:NT14" si="136">IF($CV4="P",CH4,(CH4+BD4)/2)</f>
        <v>9.5</v>
      </c>
      <c r="NU4" s="27">
        <f t="shared" ref="NU4:NU14" si="137">IF($CV4="P",CI4,(CI4+BE4)/2)</f>
        <v>10.9</v>
      </c>
      <c r="NV4" s="27">
        <f t="shared" ref="NV4:NV14" si="138">IF($CV4="P",CJ4,(CJ4+BF4)/2)</f>
        <v>13.335000000000001</v>
      </c>
      <c r="NW4" s="27">
        <f t="shared" ref="NW4:NW14" si="139">IF($CV4="P",CK4,(CK4+BG4)/2)</f>
        <v>0</v>
      </c>
      <c r="NX4" s="27">
        <f t="shared" ref="NX4:NX14" si="140">IF($CV4="P",CL4,(CL4+BH4)/2)</f>
        <v>0</v>
      </c>
      <c r="NY4" s="27">
        <f t="shared" ref="NY4:NY14" si="141">IF($CV4="P",CM4,(CM4+BI4)/2)</f>
        <v>0</v>
      </c>
      <c r="NZ4" s="27">
        <f t="shared" ref="NZ4:NZ14" si="142">IF($CV4="P",CN4,(CN4+BJ4)/2)</f>
        <v>0</v>
      </c>
      <c r="OA4" s="27">
        <f t="shared" ref="OA4:OA14" si="143">IF($CV4="P",CO4,(CO4+BK4)/2)</f>
        <v>0</v>
      </c>
      <c r="OB4" s="27">
        <f t="shared" ref="OB4:OB14" si="144">IF($CV4="P",CP4,(CP4+BL4)/2)</f>
        <v>0</v>
      </c>
      <c r="OC4" s="27">
        <f t="shared" ref="OC4:OC14" si="145">IF($CV4="P",CQ4,(CQ4+BM4)/2)</f>
        <v>15.4</v>
      </c>
      <c r="OD4" s="27">
        <f t="shared" ref="OD4:OD14" si="146">IF($CV4="P",CR4,(CR4+BN4)/2)</f>
        <v>9.6499999999999986</v>
      </c>
      <c r="OE4" s="27">
        <f t="shared" ref="OE4:OE14" si="147">IF($CV4="P",CS4,(CS4+BO4)/2)</f>
        <v>10.9</v>
      </c>
      <c r="OF4" s="27">
        <f t="shared" ref="OF4:OF14" si="148">IF($CV4="P",CT4,(CT4+BP4)/2)</f>
        <v>13.205</v>
      </c>
      <c r="OG4" s="27">
        <f t="shared" ref="OG4:OG14" si="149">IF($CV4="P",CU4,(CU4+BQ4)/2)</f>
        <v>0</v>
      </c>
      <c r="OH4" s="32" t="s">
        <v>44</v>
      </c>
      <c r="OI4" s="7">
        <f t="shared" ref="OI4:OI14" si="150">IF(SUM(NN4:NQ4)-NR4&gt;0,SUM(NN4:NQ4)-NR4,"")</f>
        <v>40.510000000000005</v>
      </c>
      <c r="OJ4" s="7">
        <f t="shared" ref="OJ4:OJ14" si="151">IF(NU4&gt;0,NU4,"")</f>
        <v>10.9</v>
      </c>
      <c r="OK4" s="7">
        <f t="shared" ref="OK4:OK14" si="152">IF(SUM(NS4:NV4)-NW4&gt;0,SUM(NS4:NV4)-NW4,"")</f>
        <v>48.685000000000002</v>
      </c>
      <c r="OL4" s="7" t="str">
        <f t="shared" ref="OL4:OL14" si="153">IF(NZ4&gt;0,NZ4,"")</f>
        <v/>
      </c>
      <c r="OM4" s="7" t="str">
        <f t="shared" ref="OM4:OM14" si="154">IF(SUM(NX4:OA4)-OB4&gt;0,SUM(NX4:OA4)-OB4,"")</f>
        <v/>
      </c>
      <c r="ON4" s="7">
        <f t="shared" ref="ON4:ON14" si="155">IF(OR(OI4&lt;&gt;"",OK4&lt;&gt;"",OM4&lt;&gt;""),OI4+MAX(OK4,OM4),"")</f>
        <v>89.195000000000007</v>
      </c>
      <c r="OO4" s="7">
        <f t="shared" ref="OO4:OO14" si="156">IF(OE4&gt;0,OE4,"")</f>
        <v>10.9</v>
      </c>
      <c r="OP4" s="7">
        <f t="shared" ref="OP4" si="157">IF(SUM(OC4:OF4)-OG4&gt;0,SUM(OC4:OF4)-OG4,"")</f>
        <v>49.154999999999994</v>
      </c>
      <c r="OQ4" s="7">
        <f t="shared" ref="OQ4" si="158">IF(SUM(ON4,OP4)&gt;0,SUM(ON4,OP4),"")</f>
        <v>138.35</v>
      </c>
    </row>
    <row r="5" spans="1:407" x14ac:dyDescent="0.2">
      <c r="A5" s="4" t="str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/>
      </c>
      <c r="B5" s="5" t="s">
        <v>87</v>
      </c>
      <c r="C5" s="4" t="s">
        <v>3</v>
      </c>
      <c r="D5" s="4">
        <v>2010</v>
      </c>
      <c r="E5" s="10">
        <f t="shared" si="0"/>
        <v>224.07999999999998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87.56</v>
      </c>
      <c r="J5" s="9" t="str">
        <f t="shared" si="5"/>
        <v>2025 Nationals</v>
      </c>
      <c r="K5" s="9">
        <f t="shared" si="6"/>
        <v>39.340000000000003</v>
      </c>
      <c r="L5" s="9" t="str">
        <f t="shared" si="7"/>
        <v>2025 Elite Canada</v>
      </c>
      <c r="M5" s="9">
        <f t="shared" si="8"/>
        <v>46.82</v>
      </c>
      <c r="N5" s="9" t="str">
        <f t="shared" si="9"/>
        <v>2025 Elite Canada</v>
      </c>
      <c r="O5" s="9">
        <f t="shared" si="10"/>
        <v>50.36</v>
      </c>
      <c r="P5" s="9" t="str">
        <f t="shared" si="11"/>
        <v>2025 Nationals</v>
      </c>
      <c r="Q5" s="9" t="str">
        <f t="shared" si="12"/>
        <v/>
      </c>
      <c r="R5" s="14" t="str">
        <f t="shared" si="13"/>
        <v/>
      </c>
      <c r="S5" s="9" t="str">
        <f t="shared" si="14"/>
        <v/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 t="shared" si="15"/>
        <v/>
      </c>
      <c r="AP5" s="7" t="str">
        <f t="shared" si="16"/>
        <v/>
      </c>
      <c r="AQ5" s="7" t="str">
        <f t="shared" si="17"/>
        <v/>
      </c>
      <c r="AR5" s="7" t="str">
        <f t="shared" si="18"/>
        <v/>
      </c>
      <c r="AS5" s="7" t="str">
        <f t="shared" si="19"/>
        <v/>
      </c>
      <c r="AT5" s="7" t="str">
        <f t="shared" si="20"/>
        <v/>
      </c>
      <c r="AU5" s="7" t="str">
        <f t="shared" si="21"/>
        <v/>
      </c>
      <c r="AV5" s="7" t="str">
        <f t="shared" si="22"/>
        <v/>
      </c>
      <c r="AW5" s="7" t="str">
        <f t="shared" si="23"/>
        <v/>
      </c>
      <c r="AX5" s="23">
        <v>15.3</v>
      </c>
      <c r="AY5" s="23">
        <v>9.5</v>
      </c>
      <c r="AZ5" s="23">
        <v>0</v>
      </c>
      <c r="BA5" s="23">
        <v>14.54</v>
      </c>
      <c r="BB5" s="23">
        <v>0</v>
      </c>
      <c r="BC5" s="23">
        <v>13.1</v>
      </c>
      <c r="BD5" s="23">
        <v>9.3000000000000007</v>
      </c>
      <c r="BE5" s="23">
        <v>10.1</v>
      </c>
      <c r="BF5" s="23">
        <v>14.32</v>
      </c>
      <c r="BG5" s="23">
        <v>0</v>
      </c>
      <c r="BH5" s="23"/>
      <c r="BI5" s="23"/>
      <c r="BJ5" s="23"/>
      <c r="BK5" s="23"/>
      <c r="BL5" s="23"/>
      <c r="BM5" s="23">
        <v>11.3</v>
      </c>
      <c r="BN5" s="23">
        <v>8.1</v>
      </c>
      <c r="BO5" s="23">
        <v>8.8000000000000007</v>
      </c>
      <c r="BP5" s="23">
        <v>12.91</v>
      </c>
      <c r="BQ5" s="23">
        <v>0</v>
      </c>
      <c r="BR5" s="33"/>
      <c r="BS5" s="9">
        <f t="shared" si="24"/>
        <v>39.340000000000003</v>
      </c>
      <c r="BT5" s="9">
        <f t="shared" si="25"/>
        <v>10.1</v>
      </c>
      <c r="BU5" s="9">
        <f t="shared" si="26"/>
        <v>46.82</v>
      </c>
      <c r="BV5" s="9" t="str">
        <f t="shared" si="27"/>
        <v/>
      </c>
      <c r="BW5" s="9" t="str">
        <f t="shared" si="28"/>
        <v/>
      </c>
      <c r="BX5" s="9">
        <f t="shared" si="29"/>
        <v>86.16</v>
      </c>
      <c r="BY5" s="9">
        <f t="shared" si="30"/>
        <v>8.8000000000000007</v>
      </c>
      <c r="BZ5" s="9">
        <f t="shared" si="31"/>
        <v>41.11</v>
      </c>
      <c r="CA5" s="9">
        <f t="shared" si="32"/>
        <v>127.27</v>
      </c>
      <c r="CB5" s="27">
        <v>16.100000000000001</v>
      </c>
      <c r="CC5" s="27">
        <v>9.3000000000000007</v>
      </c>
      <c r="CD5" s="27">
        <v>0</v>
      </c>
      <c r="CE5" s="27">
        <v>14.43</v>
      </c>
      <c r="CF5" s="27">
        <v>0</v>
      </c>
      <c r="CG5" s="27">
        <v>12.9</v>
      </c>
      <c r="CH5" s="27">
        <v>9.1999999999999993</v>
      </c>
      <c r="CI5" s="27">
        <v>11.6</v>
      </c>
      <c r="CJ5" s="27">
        <v>14.03</v>
      </c>
      <c r="CK5" s="27">
        <v>0</v>
      </c>
      <c r="CL5" s="27"/>
      <c r="CM5" s="27"/>
      <c r="CN5" s="27"/>
      <c r="CO5" s="27"/>
      <c r="CP5" s="27"/>
      <c r="CQ5" s="27">
        <v>15.2</v>
      </c>
      <c r="CR5" s="27">
        <v>9.1</v>
      </c>
      <c r="CS5" s="27">
        <v>11.6</v>
      </c>
      <c r="CT5" s="27">
        <v>14.46</v>
      </c>
      <c r="CU5" s="27">
        <v>0</v>
      </c>
      <c r="CV5" s="32"/>
      <c r="CW5" s="7">
        <f t="shared" si="33"/>
        <v>39.83</v>
      </c>
      <c r="CX5" s="7">
        <f t="shared" si="34"/>
        <v>11.6</v>
      </c>
      <c r="CY5" s="7">
        <f t="shared" si="35"/>
        <v>47.730000000000004</v>
      </c>
      <c r="CZ5" s="7" t="str">
        <f t="shared" si="36"/>
        <v/>
      </c>
      <c r="DA5" s="7" t="str">
        <f t="shared" si="37"/>
        <v/>
      </c>
      <c r="DB5" s="7">
        <f t="shared" si="38"/>
        <v>87.56</v>
      </c>
      <c r="DC5" s="7">
        <f t="shared" si="39"/>
        <v>11.6</v>
      </c>
      <c r="DD5" s="7">
        <f t="shared" si="40"/>
        <v>50.36</v>
      </c>
      <c r="DE5" s="7">
        <f t="shared" si="41"/>
        <v>137.92000000000002</v>
      </c>
      <c r="DF5" s="13" t="str">
        <f t="shared" si="42"/>
        <v/>
      </c>
      <c r="DG5" s="13" t="str">
        <f t="shared" si="43"/>
        <v/>
      </c>
      <c r="DH5" s="13" t="str">
        <f t="shared" si="44"/>
        <v/>
      </c>
      <c r="DI5" s="13" t="str">
        <f t="shared" si="45"/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 t="shared" si="46"/>
        <v/>
      </c>
      <c r="DZ5" s="7" t="str">
        <f t="shared" si="47"/>
        <v/>
      </c>
      <c r="EA5" s="7" t="str">
        <f t="shared" si="48"/>
        <v/>
      </c>
      <c r="EB5" s="7" t="str">
        <f t="shared" si="49"/>
        <v/>
      </c>
      <c r="EC5" s="7" t="str">
        <f t="shared" si="50"/>
        <v/>
      </c>
      <c r="ED5" s="7" t="str">
        <f t="shared" si="51"/>
        <v/>
      </c>
      <c r="EE5" s="7" t="str">
        <f t="shared" si="52"/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 t="shared" si="53"/>
        <v/>
      </c>
      <c r="EV5" s="9" t="str">
        <f t="shared" si="54"/>
        <v/>
      </c>
      <c r="EW5" s="9" t="str">
        <f t="shared" si="55"/>
        <v/>
      </c>
      <c r="EX5" s="9" t="str">
        <f t="shared" si="56"/>
        <v/>
      </c>
      <c r="EY5" s="9" t="str">
        <f t="shared" si="57"/>
        <v/>
      </c>
      <c r="EZ5" s="9" t="str">
        <f t="shared" si="58"/>
        <v/>
      </c>
      <c r="FA5" s="9" t="str">
        <f t="shared" si="59"/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 t="shared" si="60"/>
        <v/>
      </c>
      <c r="FR5" s="7" t="str">
        <f t="shared" si="61"/>
        <v/>
      </c>
      <c r="FS5" s="7" t="str">
        <f t="shared" si="62"/>
        <v/>
      </c>
      <c r="FT5" s="7" t="str">
        <f t="shared" si="63"/>
        <v/>
      </c>
      <c r="FU5" s="7" t="str">
        <f t="shared" si="64"/>
        <v/>
      </c>
      <c r="FV5" s="7" t="str">
        <f t="shared" si="65"/>
        <v/>
      </c>
      <c r="FW5" s="7" t="str">
        <f t="shared" si="66"/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 t="shared" si="67"/>
        <v/>
      </c>
      <c r="GN5" s="9" t="str">
        <f t="shared" si="68"/>
        <v/>
      </c>
      <c r="GO5" s="9" t="str">
        <f t="shared" si="69"/>
        <v/>
      </c>
      <c r="GP5" s="9" t="str">
        <f t="shared" si="70"/>
        <v/>
      </c>
      <c r="GQ5" s="9" t="str">
        <f t="shared" si="71"/>
        <v/>
      </c>
      <c r="GR5" s="9" t="str">
        <f t="shared" si="72"/>
        <v/>
      </c>
      <c r="GS5" s="9" t="str">
        <f t="shared" si="73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15.700000000000001</v>
      </c>
      <c r="NO5" s="27">
        <f t="shared" si="131"/>
        <v>9.4</v>
      </c>
      <c r="NP5" s="27">
        <f t="shared" si="132"/>
        <v>0</v>
      </c>
      <c r="NQ5" s="27">
        <f t="shared" si="133"/>
        <v>14.484999999999999</v>
      </c>
      <c r="NR5" s="27">
        <f t="shared" si="134"/>
        <v>0</v>
      </c>
      <c r="NS5" s="27">
        <f t="shared" si="135"/>
        <v>13</v>
      </c>
      <c r="NT5" s="27">
        <f t="shared" si="136"/>
        <v>9.25</v>
      </c>
      <c r="NU5" s="27">
        <f t="shared" si="137"/>
        <v>10.85</v>
      </c>
      <c r="NV5" s="27">
        <f t="shared" si="138"/>
        <v>14.175000000000001</v>
      </c>
      <c r="NW5" s="27">
        <f t="shared" si="139"/>
        <v>0</v>
      </c>
      <c r="NX5" s="27">
        <f t="shared" si="140"/>
        <v>0</v>
      </c>
      <c r="NY5" s="27">
        <f t="shared" si="141"/>
        <v>0</v>
      </c>
      <c r="NZ5" s="27">
        <f t="shared" si="142"/>
        <v>0</v>
      </c>
      <c r="OA5" s="27">
        <f t="shared" si="143"/>
        <v>0</v>
      </c>
      <c r="OB5" s="27">
        <f t="shared" si="144"/>
        <v>0</v>
      </c>
      <c r="OC5" s="27">
        <f t="shared" si="145"/>
        <v>13.25</v>
      </c>
      <c r="OD5" s="27">
        <f t="shared" si="146"/>
        <v>8.6</v>
      </c>
      <c r="OE5" s="27">
        <f t="shared" si="147"/>
        <v>10.199999999999999</v>
      </c>
      <c r="OF5" s="27">
        <f t="shared" si="148"/>
        <v>13.685</v>
      </c>
      <c r="OG5" s="27">
        <f t="shared" si="149"/>
        <v>0</v>
      </c>
      <c r="OH5" s="32" t="s">
        <v>44</v>
      </c>
      <c r="OI5" s="7">
        <f t="shared" si="150"/>
        <v>39.585000000000001</v>
      </c>
      <c r="OJ5" s="7">
        <f t="shared" si="151"/>
        <v>10.85</v>
      </c>
      <c r="OK5" s="7">
        <f t="shared" si="152"/>
        <v>47.275000000000006</v>
      </c>
      <c r="OL5" s="7" t="str">
        <f t="shared" si="153"/>
        <v/>
      </c>
      <c r="OM5" s="7" t="str">
        <f t="shared" si="154"/>
        <v/>
      </c>
      <c r="ON5" s="7">
        <f t="shared" si="155"/>
        <v>86.860000000000014</v>
      </c>
      <c r="OO5" s="7">
        <f t="shared" si="156"/>
        <v>10.199999999999999</v>
      </c>
      <c r="OP5" s="7">
        <f t="shared" ref="OP5:OP7" si="159">IF(SUM(OC5:OF5)-OG5&gt;0,SUM(OC5:OF5)-OG5,"")</f>
        <v>45.734999999999999</v>
      </c>
      <c r="OQ5" s="7">
        <f t="shared" ref="OQ5:OQ7" si="160">IF(SUM(ON5,OP5)&gt;0,SUM(ON5,OP5),"")</f>
        <v>132.59500000000003</v>
      </c>
    </row>
    <row r="6" spans="1:407" x14ac:dyDescent="0.2">
      <c r="A6" s="4" t="str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/>
      </c>
      <c r="B6" s="5" t="s">
        <v>88</v>
      </c>
      <c r="C6" s="4" t="s">
        <v>67</v>
      </c>
      <c r="D6" s="4">
        <v>2009</v>
      </c>
      <c r="E6" s="10">
        <f t="shared" si="0"/>
        <v>198.34000000000003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90.22</v>
      </c>
      <c r="J6" s="9" t="str">
        <f t="shared" si="5"/>
        <v>2025 Nationals</v>
      </c>
      <c r="K6" s="9">
        <f t="shared" si="6"/>
        <v>39.96</v>
      </c>
      <c r="L6" s="9" t="str">
        <f t="shared" si="7"/>
        <v>2025 Elite Canada</v>
      </c>
      <c r="M6" s="9">
        <f t="shared" si="8"/>
        <v>48.42</v>
      </c>
      <c r="N6" s="9" t="str">
        <f t="shared" si="9"/>
        <v>2025 Elite Canada</v>
      </c>
      <c r="O6" s="9">
        <f t="shared" si="10"/>
        <v>19.740000000000002</v>
      </c>
      <c r="P6" s="9" t="str">
        <f t="shared" si="11"/>
        <v>2025 Elite Canada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 t="shared" si="15"/>
        <v/>
      </c>
      <c r="AP6" s="7" t="str">
        <f t="shared" si="16"/>
        <v/>
      </c>
      <c r="AQ6" s="7" t="str">
        <f t="shared" si="17"/>
        <v/>
      </c>
      <c r="AR6" s="7" t="str">
        <f t="shared" si="18"/>
        <v/>
      </c>
      <c r="AS6" s="7" t="str">
        <f t="shared" si="19"/>
        <v/>
      </c>
      <c r="AT6" s="7" t="str">
        <f t="shared" si="20"/>
        <v/>
      </c>
      <c r="AU6" s="7" t="str">
        <f t="shared" si="21"/>
        <v/>
      </c>
      <c r="AV6" s="7" t="str">
        <f t="shared" si="22"/>
        <v/>
      </c>
      <c r="AW6" s="7" t="str">
        <f t="shared" si="23"/>
        <v/>
      </c>
      <c r="AX6" s="23">
        <v>15.8</v>
      </c>
      <c r="AY6" s="23">
        <v>9.4</v>
      </c>
      <c r="AZ6" s="23">
        <v>0</v>
      </c>
      <c r="BA6" s="23">
        <v>14.76</v>
      </c>
      <c r="BB6" s="23">
        <v>0</v>
      </c>
      <c r="BC6" s="23">
        <v>13.4</v>
      </c>
      <c r="BD6" s="23">
        <v>9.1999999999999993</v>
      </c>
      <c r="BE6" s="23">
        <v>11</v>
      </c>
      <c r="BF6" s="23">
        <v>14.82</v>
      </c>
      <c r="BG6" s="23">
        <v>0</v>
      </c>
      <c r="BH6" s="23"/>
      <c r="BI6" s="23"/>
      <c r="BJ6" s="23"/>
      <c r="BK6" s="23"/>
      <c r="BL6" s="23"/>
      <c r="BM6" s="23">
        <v>5</v>
      </c>
      <c r="BN6" s="23">
        <v>3.5</v>
      </c>
      <c r="BO6" s="23">
        <v>4.8</v>
      </c>
      <c r="BP6" s="23">
        <v>6.44</v>
      </c>
      <c r="BQ6" s="23">
        <v>0</v>
      </c>
      <c r="BR6" s="33"/>
      <c r="BS6" s="9">
        <f t="shared" si="24"/>
        <v>39.96</v>
      </c>
      <c r="BT6" s="9">
        <f t="shared" si="25"/>
        <v>11</v>
      </c>
      <c r="BU6" s="9">
        <f t="shared" si="26"/>
        <v>48.42</v>
      </c>
      <c r="BV6" s="9" t="str">
        <f t="shared" si="27"/>
        <v/>
      </c>
      <c r="BW6" s="9" t="str">
        <f t="shared" si="28"/>
        <v/>
      </c>
      <c r="BX6" s="9">
        <f t="shared" si="29"/>
        <v>88.38</v>
      </c>
      <c r="BY6" s="9">
        <f t="shared" si="30"/>
        <v>4.8</v>
      </c>
      <c r="BZ6" s="9">
        <f t="shared" si="31"/>
        <v>19.740000000000002</v>
      </c>
      <c r="CA6" s="9">
        <f t="shared" si="32"/>
        <v>108.12</v>
      </c>
      <c r="CB6" s="27">
        <v>17</v>
      </c>
      <c r="CC6" s="27">
        <v>9.5</v>
      </c>
      <c r="CD6" s="27">
        <v>0</v>
      </c>
      <c r="CE6" s="27">
        <v>15.02</v>
      </c>
      <c r="CF6" s="27">
        <v>0</v>
      </c>
      <c r="CG6" s="27">
        <v>13</v>
      </c>
      <c r="CH6" s="27">
        <v>9.1</v>
      </c>
      <c r="CI6" s="27">
        <v>11.2</v>
      </c>
      <c r="CJ6" s="27">
        <v>15.4</v>
      </c>
      <c r="CK6" s="27">
        <v>0</v>
      </c>
      <c r="CL6" s="27"/>
      <c r="CM6" s="27"/>
      <c r="CN6" s="27"/>
      <c r="CO6" s="27"/>
      <c r="CP6" s="27"/>
      <c r="CQ6" s="27">
        <v>1.6</v>
      </c>
      <c r="CR6" s="27">
        <v>1</v>
      </c>
      <c r="CS6" s="27">
        <v>1.7</v>
      </c>
      <c r="CT6" s="27">
        <v>1.69</v>
      </c>
      <c r="CU6" s="27">
        <v>0</v>
      </c>
      <c r="CV6" s="32"/>
      <c r="CW6" s="7">
        <f t="shared" si="33"/>
        <v>41.519999999999996</v>
      </c>
      <c r="CX6" s="7">
        <f t="shared" si="34"/>
        <v>11.2</v>
      </c>
      <c r="CY6" s="7">
        <f t="shared" si="35"/>
        <v>48.699999999999996</v>
      </c>
      <c r="CZ6" s="7" t="str">
        <f t="shared" si="36"/>
        <v/>
      </c>
      <c r="DA6" s="7" t="str">
        <f t="shared" si="37"/>
        <v/>
      </c>
      <c r="DB6" s="7">
        <f t="shared" si="38"/>
        <v>90.22</v>
      </c>
      <c r="DC6" s="7">
        <f t="shared" si="39"/>
        <v>1.7</v>
      </c>
      <c r="DD6" s="7">
        <f t="shared" si="40"/>
        <v>5.99</v>
      </c>
      <c r="DE6" s="7">
        <f t="shared" si="41"/>
        <v>96.21</v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 t="shared" si="46"/>
        <v/>
      </c>
      <c r="DZ6" s="7" t="str">
        <f t="shared" si="47"/>
        <v/>
      </c>
      <c r="EA6" s="7" t="str">
        <f t="shared" si="48"/>
        <v/>
      </c>
      <c r="EB6" s="7" t="str">
        <f t="shared" si="49"/>
        <v/>
      </c>
      <c r="EC6" s="7" t="str">
        <f t="shared" si="50"/>
        <v/>
      </c>
      <c r="ED6" s="7" t="str">
        <f t="shared" si="51"/>
        <v/>
      </c>
      <c r="EE6" s="7" t="str">
        <f t="shared" si="52"/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3"/>
        <v/>
      </c>
      <c r="EV6" s="9" t="str">
        <f t="shared" si="54"/>
        <v/>
      </c>
      <c r="EW6" s="9" t="str">
        <f t="shared" si="55"/>
        <v/>
      </c>
      <c r="EX6" s="9" t="str">
        <f t="shared" si="56"/>
        <v/>
      </c>
      <c r="EY6" s="9" t="str">
        <f t="shared" si="57"/>
        <v/>
      </c>
      <c r="EZ6" s="9" t="str">
        <f t="shared" si="58"/>
        <v/>
      </c>
      <c r="FA6" s="9" t="str">
        <f t="shared" si="59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60"/>
        <v/>
      </c>
      <c r="FR6" s="7" t="str">
        <f t="shared" si="61"/>
        <v/>
      </c>
      <c r="FS6" s="7" t="str">
        <f t="shared" si="62"/>
        <v/>
      </c>
      <c r="FT6" s="7" t="str">
        <f t="shared" si="63"/>
        <v/>
      </c>
      <c r="FU6" s="7" t="str">
        <f t="shared" si="64"/>
        <v/>
      </c>
      <c r="FV6" s="7" t="str">
        <f t="shared" si="65"/>
        <v/>
      </c>
      <c r="FW6" s="7" t="str">
        <f t="shared" si="66"/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7"/>
        <v/>
      </c>
      <c r="GN6" s="9" t="str">
        <f t="shared" si="68"/>
        <v/>
      </c>
      <c r="GO6" s="9" t="str">
        <f t="shared" si="69"/>
        <v/>
      </c>
      <c r="GP6" s="9" t="str">
        <f t="shared" si="70"/>
        <v/>
      </c>
      <c r="GQ6" s="9" t="str">
        <f t="shared" si="71"/>
        <v/>
      </c>
      <c r="GR6" s="9" t="str">
        <f t="shared" si="72"/>
        <v/>
      </c>
      <c r="GS6" s="9" t="str">
        <f t="shared" si="73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16.399999999999999</v>
      </c>
      <c r="NO6" s="27">
        <f t="shared" si="131"/>
        <v>9.4499999999999993</v>
      </c>
      <c r="NP6" s="27">
        <f t="shared" si="132"/>
        <v>0</v>
      </c>
      <c r="NQ6" s="27">
        <f t="shared" si="133"/>
        <v>14.89</v>
      </c>
      <c r="NR6" s="27">
        <f t="shared" si="134"/>
        <v>0</v>
      </c>
      <c r="NS6" s="27">
        <f t="shared" si="135"/>
        <v>13.2</v>
      </c>
      <c r="NT6" s="27">
        <f t="shared" si="136"/>
        <v>9.1499999999999986</v>
      </c>
      <c r="NU6" s="27">
        <f t="shared" si="137"/>
        <v>11.1</v>
      </c>
      <c r="NV6" s="27">
        <f t="shared" si="138"/>
        <v>15.11</v>
      </c>
      <c r="NW6" s="27">
        <f t="shared" si="139"/>
        <v>0</v>
      </c>
      <c r="NX6" s="27">
        <f t="shared" si="140"/>
        <v>0</v>
      </c>
      <c r="NY6" s="27">
        <f t="shared" si="141"/>
        <v>0</v>
      </c>
      <c r="NZ6" s="27">
        <f t="shared" si="142"/>
        <v>0</v>
      </c>
      <c r="OA6" s="27">
        <f t="shared" si="143"/>
        <v>0</v>
      </c>
      <c r="OB6" s="27">
        <f t="shared" si="144"/>
        <v>0</v>
      </c>
      <c r="OC6" s="27">
        <f t="shared" si="145"/>
        <v>3.3</v>
      </c>
      <c r="OD6" s="27">
        <f t="shared" si="146"/>
        <v>2.25</v>
      </c>
      <c r="OE6" s="27">
        <f t="shared" si="147"/>
        <v>3.25</v>
      </c>
      <c r="OF6" s="27">
        <f t="shared" si="148"/>
        <v>4.0650000000000004</v>
      </c>
      <c r="OG6" s="27">
        <f t="shared" si="149"/>
        <v>0</v>
      </c>
      <c r="OH6" s="32" t="s">
        <v>44</v>
      </c>
      <c r="OI6" s="7">
        <f t="shared" si="150"/>
        <v>40.739999999999995</v>
      </c>
      <c r="OJ6" s="7">
        <f t="shared" si="151"/>
        <v>11.1</v>
      </c>
      <c r="OK6" s="7">
        <f t="shared" si="152"/>
        <v>48.559999999999995</v>
      </c>
      <c r="OL6" s="7" t="str">
        <f t="shared" si="153"/>
        <v/>
      </c>
      <c r="OM6" s="7" t="str">
        <f t="shared" si="154"/>
        <v/>
      </c>
      <c r="ON6" s="7">
        <f t="shared" si="155"/>
        <v>89.299999999999983</v>
      </c>
      <c r="OO6" s="7">
        <f t="shared" si="156"/>
        <v>3.25</v>
      </c>
      <c r="OP6" s="7">
        <f t="shared" si="159"/>
        <v>12.865000000000002</v>
      </c>
      <c r="OQ6" s="7">
        <f t="shared" si="160"/>
        <v>102.16499999999999</v>
      </c>
    </row>
    <row r="7" spans="1:407" x14ac:dyDescent="0.2">
      <c r="A7" s="4" t="str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/>
      </c>
      <c r="B7" s="5" t="s">
        <v>89</v>
      </c>
      <c r="C7" s="4" t="s">
        <v>90</v>
      </c>
      <c r="D7" s="4">
        <v>2009</v>
      </c>
      <c r="E7" s="10">
        <f t="shared" si="0"/>
        <v>151.79000000000002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54.81</v>
      </c>
      <c r="J7" s="9" t="str">
        <f t="shared" si="5"/>
        <v>2025 Elite Canada</v>
      </c>
      <c r="K7" s="9">
        <f t="shared" si="6"/>
        <v>37.89</v>
      </c>
      <c r="L7" s="9" t="str">
        <f t="shared" si="7"/>
        <v>2025 Nationals</v>
      </c>
      <c r="M7" s="9">
        <f t="shared" si="8"/>
        <v>14.150000000000002</v>
      </c>
      <c r="N7" s="9" t="str">
        <f t="shared" si="9"/>
        <v>2025 Nationals</v>
      </c>
      <c r="O7" s="9">
        <f t="shared" si="10"/>
        <v>44.94</v>
      </c>
      <c r="P7" s="9" t="str">
        <f t="shared" si="11"/>
        <v>2025 Nationals</v>
      </c>
      <c r="Q7" s="9" t="str">
        <f t="shared" si="12"/>
        <v/>
      </c>
      <c r="R7" s="14" t="str">
        <f t="shared" si="13"/>
        <v/>
      </c>
      <c r="S7" s="9" t="str">
        <f t="shared" si="14"/>
        <v/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 t="shared" si="15"/>
        <v/>
      </c>
      <c r="AP7" s="7" t="str">
        <f t="shared" si="16"/>
        <v/>
      </c>
      <c r="AQ7" s="7" t="str">
        <f t="shared" si="17"/>
        <v/>
      </c>
      <c r="AR7" s="7" t="str">
        <f t="shared" si="18"/>
        <v/>
      </c>
      <c r="AS7" s="7" t="str">
        <f t="shared" si="19"/>
        <v/>
      </c>
      <c r="AT7" s="7" t="str">
        <f t="shared" si="20"/>
        <v/>
      </c>
      <c r="AU7" s="7" t="str">
        <f t="shared" si="21"/>
        <v/>
      </c>
      <c r="AV7" s="7" t="str">
        <f t="shared" si="22"/>
        <v/>
      </c>
      <c r="AW7" s="7" t="str">
        <f t="shared" si="23"/>
        <v/>
      </c>
      <c r="AX7" s="23">
        <v>12.3</v>
      </c>
      <c r="AY7" s="23">
        <v>9.1</v>
      </c>
      <c r="AZ7" s="23">
        <v>0</v>
      </c>
      <c r="BA7" s="23">
        <v>14.78</v>
      </c>
      <c r="BB7" s="23">
        <v>0</v>
      </c>
      <c r="BC7" s="23">
        <v>4.5999999999999996</v>
      </c>
      <c r="BD7" s="23">
        <v>3.3</v>
      </c>
      <c r="BE7" s="23">
        <v>5</v>
      </c>
      <c r="BF7" s="23">
        <v>5.73</v>
      </c>
      <c r="BG7" s="23">
        <v>0</v>
      </c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33"/>
      <c r="BS7" s="9">
        <f t="shared" si="24"/>
        <v>36.18</v>
      </c>
      <c r="BT7" s="9">
        <f t="shared" si="25"/>
        <v>5</v>
      </c>
      <c r="BU7" s="9">
        <f t="shared" si="26"/>
        <v>18.63</v>
      </c>
      <c r="BV7" s="9" t="str">
        <f t="shared" si="27"/>
        <v/>
      </c>
      <c r="BW7" s="9" t="str">
        <f t="shared" si="28"/>
        <v/>
      </c>
      <c r="BX7" s="9">
        <f t="shared" si="29"/>
        <v>54.81</v>
      </c>
      <c r="BY7" s="9" t="str">
        <f t="shared" si="30"/>
        <v/>
      </c>
      <c r="BZ7" s="9" t="str">
        <f t="shared" si="31"/>
        <v/>
      </c>
      <c r="CA7" s="9">
        <f t="shared" si="32"/>
        <v>54.81</v>
      </c>
      <c r="CB7" s="27">
        <v>13.7</v>
      </c>
      <c r="CC7" s="27">
        <v>9.4</v>
      </c>
      <c r="CD7" s="27">
        <v>0</v>
      </c>
      <c r="CE7" s="27">
        <v>14.79</v>
      </c>
      <c r="CF7" s="27">
        <v>0</v>
      </c>
      <c r="CG7" s="27">
        <v>3.6</v>
      </c>
      <c r="CH7" s="27">
        <v>2.7</v>
      </c>
      <c r="CI7" s="27">
        <v>3.4</v>
      </c>
      <c r="CJ7" s="27">
        <v>4.45</v>
      </c>
      <c r="CK7" s="27">
        <v>0</v>
      </c>
      <c r="CL7" s="27"/>
      <c r="CM7" s="27"/>
      <c r="CN7" s="27"/>
      <c r="CO7" s="27"/>
      <c r="CP7" s="27"/>
      <c r="CQ7" s="27">
        <v>10</v>
      </c>
      <c r="CR7" s="27">
        <v>8.8000000000000007</v>
      </c>
      <c r="CS7" s="27">
        <v>11.8</v>
      </c>
      <c r="CT7" s="27">
        <v>14.34</v>
      </c>
      <c r="CU7" s="27">
        <v>0</v>
      </c>
      <c r="CV7" s="32"/>
      <c r="CW7" s="7">
        <f t="shared" si="33"/>
        <v>37.89</v>
      </c>
      <c r="CX7" s="7">
        <f t="shared" si="34"/>
        <v>3.4</v>
      </c>
      <c r="CY7" s="7">
        <f t="shared" si="35"/>
        <v>14.150000000000002</v>
      </c>
      <c r="CZ7" s="7" t="str">
        <f t="shared" si="36"/>
        <v/>
      </c>
      <c r="DA7" s="7" t="str">
        <f t="shared" si="37"/>
        <v/>
      </c>
      <c r="DB7" s="7">
        <f t="shared" si="38"/>
        <v>52.040000000000006</v>
      </c>
      <c r="DC7" s="7">
        <f t="shared" si="39"/>
        <v>11.8</v>
      </c>
      <c r="DD7" s="7">
        <f t="shared" si="40"/>
        <v>44.94</v>
      </c>
      <c r="DE7" s="7">
        <f t="shared" si="41"/>
        <v>96.98</v>
      </c>
      <c r="DF7" s="13" t="str">
        <f t="shared" si="42"/>
        <v/>
      </c>
      <c r="DG7" s="13" t="str">
        <f t="shared" si="43"/>
        <v/>
      </c>
      <c r="DH7" s="13" t="str">
        <f t="shared" si="44"/>
        <v/>
      </c>
      <c r="DI7" s="13" t="str">
        <f t="shared" si="45"/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 t="shared" si="46"/>
        <v/>
      </c>
      <c r="DZ7" s="7" t="str">
        <f t="shared" si="47"/>
        <v/>
      </c>
      <c r="EA7" s="7" t="str">
        <f t="shared" si="48"/>
        <v/>
      </c>
      <c r="EB7" s="7" t="str">
        <f t="shared" si="49"/>
        <v/>
      </c>
      <c r="EC7" s="7" t="str">
        <f t="shared" si="50"/>
        <v/>
      </c>
      <c r="ED7" s="7" t="str">
        <f t="shared" si="51"/>
        <v/>
      </c>
      <c r="EE7" s="7" t="str">
        <f t="shared" si="52"/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 t="shared" si="60"/>
        <v/>
      </c>
      <c r="FR7" s="7" t="str">
        <f t="shared" si="61"/>
        <v/>
      </c>
      <c r="FS7" s="7" t="str">
        <f t="shared" si="62"/>
        <v/>
      </c>
      <c r="FT7" s="7" t="str">
        <f t="shared" si="63"/>
        <v/>
      </c>
      <c r="FU7" s="7" t="str">
        <f t="shared" si="64"/>
        <v/>
      </c>
      <c r="FV7" s="7" t="str">
        <f t="shared" si="65"/>
        <v/>
      </c>
      <c r="FW7" s="7" t="str">
        <f t="shared" si="66"/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13</v>
      </c>
      <c r="NO7" s="27">
        <f t="shared" si="131"/>
        <v>9.25</v>
      </c>
      <c r="NP7" s="27">
        <f t="shared" si="132"/>
        <v>0</v>
      </c>
      <c r="NQ7" s="27">
        <f t="shared" si="133"/>
        <v>14.785</v>
      </c>
      <c r="NR7" s="27">
        <f t="shared" si="134"/>
        <v>0</v>
      </c>
      <c r="NS7" s="27">
        <f t="shared" si="135"/>
        <v>4.0999999999999996</v>
      </c>
      <c r="NT7" s="27">
        <f t="shared" si="136"/>
        <v>3</v>
      </c>
      <c r="NU7" s="27">
        <f t="shared" si="137"/>
        <v>4.2</v>
      </c>
      <c r="NV7" s="27">
        <f t="shared" si="138"/>
        <v>5.09</v>
      </c>
      <c r="NW7" s="27">
        <f t="shared" si="139"/>
        <v>0</v>
      </c>
      <c r="NX7" s="27">
        <f t="shared" si="140"/>
        <v>0</v>
      </c>
      <c r="NY7" s="27">
        <f t="shared" si="141"/>
        <v>0</v>
      </c>
      <c r="NZ7" s="27">
        <f t="shared" si="142"/>
        <v>0</v>
      </c>
      <c r="OA7" s="27">
        <f t="shared" si="143"/>
        <v>0</v>
      </c>
      <c r="OB7" s="27">
        <f t="shared" si="144"/>
        <v>0</v>
      </c>
      <c r="OC7" s="27">
        <f t="shared" si="145"/>
        <v>5</v>
      </c>
      <c r="OD7" s="27">
        <f t="shared" si="146"/>
        <v>4.4000000000000004</v>
      </c>
      <c r="OE7" s="27">
        <f t="shared" si="147"/>
        <v>5.9</v>
      </c>
      <c r="OF7" s="27">
        <f t="shared" si="148"/>
        <v>7.17</v>
      </c>
      <c r="OG7" s="27">
        <f t="shared" si="149"/>
        <v>0</v>
      </c>
      <c r="OH7" s="32" t="s">
        <v>44</v>
      </c>
      <c r="OI7" s="7">
        <f t="shared" si="150"/>
        <v>37.034999999999997</v>
      </c>
      <c r="OJ7" s="7">
        <f t="shared" si="151"/>
        <v>4.2</v>
      </c>
      <c r="OK7" s="7">
        <f t="shared" si="152"/>
        <v>16.39</v>
      </c>
      <c r="OL7" s="7" t="str">
        <f t="shared" si="153"/>
        <v/>
      </c>
      <c r="OM7" s="7" t="str">
        <f t="shared" si="154"/>
        <v/>
      </c>
      <c r="ON7" s="7">
        <f t="shared" si="155"/>
        <v>53.424999999999997</v>
      </c>
      <c r="OO7" s="7">
        <f t="shared" si="156"/>
        <v>5.9</v>
      </c>
      <c r="OP7" s="7">
        <f t="shared" si="159"/>
        <v>22.47</v>
      </c>
      <c r="OQ7" s="7">
        <f t="shared" si="160"/>
        <v>75.894999999999996</v>
      </c>
    </row>
    <row r="8" spans="1:407" x14ac:dyDescent="0.2">
      <c r="A8" s="4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5" t="s">
        <v>105</v>
      </c>
      <c r="C8" s="4" t="s">
        <v>65</v>
      </c>
      <c r="D8" s="4">
        <v>2010</v>
      </c>
      <c r="E8" s="10">
        <f t="shared" si="0"/>
        <v>138.66000000000003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89.62</v>
      </c>
      <c r="J8" s="9" t="str">
        <f t="shared" si="5"/>
        <v>2025 Nationals</v>
      </c>
      <c r="K8" s="9">
        <f t="shared" si="6"/>
        <v>0</v>
      </c>
      <c r="L8" s="9" t="str">
        <f t="shared" si="7"/>
        <v/>
      </c>
      <c r="M8" s="9">
        <f t="shared" si="8"/>
        <v>0</v>
      </c>
      <c r="N8" s="9" t="str">
        <f t="shared" si="9"/>
        <v/>
      </c>
      <c r="O8" s="9">
        <f t="shared" si="10"/>
        <v>49.040000000000006</v>
      </c>
      <c r="P8" s="9" t="str">
        <f t="shared" si="11"/>
        <v>2025 Nationals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 t="shared" si="15"/>
        <v/>
      </c>
      <c r="AP8" s="7" t="str">
        <f t="shared" si="16"/>
        <v/>
      </c>
      <c r="AQ8" s="7" t="str">
        <f t="shared" si="17"/>
        <v/>
      </c>
      <c r="AR8" s="7" t="str">
        <f t="shared" si="18"/>
        <v/>
      </c>
      <c r="AS8" s="7" t="str">
        <f t="shared" si="19"/>
        <v/>
      </c>
      <c r="AT8" s="7" t="str">
        <f t="shared" si="20"/>
        <v/>
      </c>
      <c r="AU8" s="7" t="str">
        <f t="shared" si="21"/>
        <v/>
      </c>
      <c r="AV8" s="7" t="str">
        <f t="shared" si="22"/>
        <v/>
      </c>
      <c r="AW8" s="7" t="str">
        <f t="shared" si="23"/>
        <v/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33"/>
      <c r="BS8" s="9" t="str">
        <f t="shared" si="24"/>
        <v/>
      </c>
      <c r="BT8" s="9" t="str">
        <f t="shared" si="25"/>
        <v/>
      </c>
      <c r="BU8" s="9" t="str">
        <f t="shared" si="26"/>
        <v/>
      </c>
      <c r="BV8" s="9" t="str">
        <f t="shared" si="27"/>
        <v/>
      </c>
      <c r="BW8" s="9" t="str">
        <f t="shared" si="28"/>
        <v/>
      </c>
      <c r="BX8" s="9" t="str">
        <f t="shared" si="29"/>
        <v/>
      </c>
      <c r="BY8" s="9" t="str">
        <f t="shared" si="30"/>
        <v/>
      </c>
      <c r="BZ8" s="9" t="str">
        <f t="shared" si="31"/>
        <v/>
      </c>
      <c r="CA8" s="9" t="str">
        <f t="shared" si="32"/>
        <v/>
      </c>
      <c r="CB8" s="27">
        <v>16.8</v>
      </c>
      <c r="CC8" s="27">
        <v>9.5</v>
      </c>
      <c r="CD8" s="27">
        <v>0</v>
      </c>
      <c r="CE8" s="27">
        <v>14.95</v>
      </c>
      <c r="CF8" s="27">
        <v>0</v>
      </c>
      <c r="CG8" s="27">
        <v>12.7</v>
      </c>
      <c r="CH8" s="27">
        <v>9.1</v>
      </c>
      <c r="CI8" s="27">
        <v>12</v>
      </c>
      <c r="CJ8" s="27">
        <v>14.57</v>
      </c>
      <c r="CK8" s="27">
        <v>0</v>
      </c>
      <c r="CL8" s="27"/>
      <c r="CM8" s="27"/>
      <c r="CN8" s="27"/>
      <c r="CO8" s="27"/>
      <c r="CP8" s="27"/>
      <c r="CQ8" s="27">
        <v>13.5</v>
      </c>
      <c r="CR8" s="27">
        <v>9.1999999999999993</v>
      </c>
      <c r="CS8" s="27">
        <v>12</v>
      </c>
      <c r="CT8" s="27">
        <v>14.34</v>
      </c>
      <c r="CU8" s="27">
        <v>0</v>
      </c>
      <c r="CV8" s="32"/>
      <c r="CW8" s="7">
        <f t="shared" si="33"/>
        <v>41.25</v>
      </c>
      <c r="CX8" s="7">
        <f t="shared" si="34"/>
        <v>12</v>
      </c>
      <c r="CY8" s="7">
        <f t="shared" si="35"/>
        <v>48.37</v>
      </c>
      <c r="CZ8" s="7" t="str">
        <f t="shared" si="36"/>
        <v/>
      </c>
      <c r="DA8" s="7" t="str">
        <f t="shared" si="37"/>
        <v/>
      </c>
      <c r="DB8" s="7">
        <f t="shared" si="38"/>
        <v>89.62</v>
      </c>
      <c r="DC8" s="7">
        <f t="shared" si="39"/>
        <v>12</v>
      </c>
      <c r="DD8" s="7">
        <f t="shared" si="40"/>
        <v>49.040000000000006</v>
      </c>
      <c r="DE8" s="7">
        <f t="shared" si="41"/>
        <v>138.66000000000003</v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 t="shared" si="46"/>
        <v/>
      </c>
      <c r="DZ8" s="7" t="str">
        <f t="shared" si="47"/>
        <v/>
      </c>
      <c r="EA8" s="7" t="str">
        <f t="shared" si="48"/>
        <v/>
      </c>
      <c r="EB8" s="7" t="str">
        <f t="shared" si="49"/>
        <v/>
      </c>
      <c r="EC8" s="7" t="str">
        <f t="shared" si="50"/>
        <v/>
      </c>
      <c r="ED8" s="7" t="str">
        <f t="shared" si="51"/>
        <v/>
      </c>
      <c r="EE8" s="7" t="str">
        <f t="shared" si="52"/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60"/>
        <v/>
      </c>
      <c r="FR8" s="7" t="str">
        <f t="shared" si="61"/>
        <v/>
      </c>
      <c r="FS8" s="7" t="str">
        <f t="shared" si="62"/>
        <v/>
      </c>
      <c r="FT8" s="7" t="str">
        <f t="shared" si="63"/>
        <v/>
      </c>
      <c r="FU8" s="7" t="str">
        <f t="shared" si="64"/>
        <v/>
      </c>
      <c r="FV8" s="7" t="str">
        <f t="shared" si="65"/>
        <v/>
      </c>
      <c r="FW8" s="7" t="str">
        <f t="shared" si="66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8.4</v>
      </c>
      <c r="NO8" s="27">
        <f t="shared" si="131"/>
        <v>4.75</v>
      </c>
      <c r="NP8" s="27">
        <f t="shared" si="132"/>
        <v>0</v>
      </c>
      <c r="NQ8" s="27">
        <f t="shared" si="133"/>
        <v>7.4749999999999996</v>
      </c>
      <c r="NR8" s="27">
        <f t="shared" si="134"/>
        <v>0</v>
      </c>
      <c r="NS8" s="27">
        <f t="shared" si="135"/>
        <v>6.35</v>
      </c>
      <c r="NT8" s="27">
        <f t="shared" si="136"/>
        <v>4.55</v>
      </c>
      <c r="NU8" s="27">
        <f t="shared" si="137"/>
        <v>6</v>
      </c>
      <c r="NV8" s="27">
        <f t="shared" si="138"/>
        <v>7.2850000000000001</v>
      </c>
      <c r="NW8" s="27">
        <f t="shared" si="139"/>
        <v>0</v>
      </c>
      <c r="NX8" s="27">
        <f t="shared" si="140"/>
        <v>0</v>
      </c>
      <c r="NY8" s="27">
        <f t="shared" si="141"/>
        <v>0</v>
      </c>
      <c r="NZ8" s="27">
        <f t="shared" si="142"/>
        <v>0</v>
      </c>
      <c r="OA8" s="27">
        <f t="shared" si="143"/>
        <v>0</v>
      </c>
      <c r="OB8" s="27">
        <f t="shared" si="144"/>
        <v>0</v>
      </c>
      <c r="OC8" s="27">
        <f t="shared" si="145"/>
        <v>6.75</v>
      </c>
      <c r="OD8" s="27">
        <f t="shared" si="146"/>
        <v>4.5999999999999996</v>
      </c>
      <c r="OE8" s="27">
        <f t="shared" si="147"/>
        <v>6</v>
      </c>
      <c r="OF8" s="27">
        <f t="shared" si="148"/>
        <v>7.17</v>
      </c>
      <c r="OG8" s="27">
        <f t="shared" si="149"/>
        <v>0</v>
      </c>
      <c r="OH8" s="32" t="s">
        <v>44</v>
      </c>
      <c r="OI8" s="7">
        <f t="shared" si="150"/>
        <v>20.625</v>
      </c>
      <c r="OJ8" s="7">
        <f t="shared" si="151"/>
        <v>6</v>
      </c>
      <c r="OK8" s="7">
        <f t="shared" si="152"/>
        <v>24.184999999999999</v>
      </c>
      <c r="OL8" s="7" t="str">
        <f t="shared" si="153"/>
        <v/>
      </c>
      <c r="OM8" s="7" t="str">
        <f t="shared" si="154"/>
        <v/>
      </c>
      <c r="ON8" s="7">
        <f t="shared" si="155"/>
        <v>44.81</v>
      </c>
      <c r="OO8" s="7">
        <f t="shared" si="156"/>
        <v>6</v>
      </c>
      <c r="OP8" s="7">
        <f t="shared" ref="OP8:OP13" si="161">IF(SUM(OC8:OF8)-OG8&gt;0,SUM(OC8:OF8)-OG8,"")</f>
        <v>24.520000000000003</v>
      </c>
      <c r="OQ8" s="7">
        <f t="shared" ref="OQ8:OQ13" si="162">IF(SUM(ON8,OP8)&gt;0,SUM(ON8,OP8),"")</f>
        <v>69.330000000000013</v>
      </c>
    </row>
    <row r="9" spans="1:407" x14ac:dyDescent="0.2">
      <c r="A9" s="4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5" t="s">
        <v>106</v>
      </c>
      <c r="C9" s="4" t="s">
        <v>3</v>
      </c>
      <c r="D9" s="4">
        <v>2010</v>
      </c>
      <c r="E9" s="10">
        <f t="shared" si="0"/>
        <v>135.35999999999999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89.169999999999987</v>
      </c>
      <c r="J9" s="9" t="str">
        <f t="shared" si="5"/>
        <v>2025 Nationals</v>
      </c>
      <c r="K9" s="9">
        <f t="shared" si="6"/>
        <v>0</v>
      </c>
      <c r="L9" s="9" t="str">
        <f t="shared" si="7"/>
        <v/>
      </c>
      <c r="M9" s="9">
        <f t="shared" si="8"/>
        <v>0</v>
      </c>
      <c r="N9" s="9" t="str">
        <f t="shared" si="9"/>
        <v/>
      </c>
      <c r="O9" s="9">
        <f t="shared" si="10"/>
        <v>46.19</v>
      </c>
      <c r="P9" s="9" t="str">
        <f t="shared" si="11"/>
        <v>2025 Nationals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 t="shared" si="15"/>
        <v/>
      </c>
      <c r="AP9" s="7" t="str">
        <f t="shared" si="16"/>
        <v/>
      </c>
      <c r="AQ9" s="7" t="str">
        <f t="shared" si="17"/>
        <v/>
      </c>
      <c r="AR9" s="7" t="str">
        <f t="shared" si="18"/>
        <v/>
      </c>
      <c r="AS9" s="7" t="str">
        <f t="shared" si="19"/>
        <v/>
      </c>
      <c r="AT9" s="7" t="str">
        <f t="shared" si="20"/>
        <v/>
      </c>
      <c r="AU9" s="7" t="str">
        <f t="shared" si="21"/>
        <v/>
      </c>
      <c r="AV9" s="7" t="str">
        <f t="shared" si="22"/>
        <v/>
      </c>
      <c r="AW9" s="7" t="str">
        <f t="shared" si="23"/>
        <v/>
      </c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33"/>
      <c r="BS9" s="9" t="str">
        <f t="shared" si="24"/>
        <v/>
      </c>
      <c r="BT9" s="9" t="str">
        <f t="shared" si="25"/>
        <v/>
      </c>
      <c r="BU9" s="9" t="str">
        <f t="shared" si="26"/>
        <v/>
      </c>
      <c r="BV9" s="9" t="str">
        <f t="shared" si="27"/>
        <v/>
      </c>
      <c r="BW9" s="9" t="str">
        <f t="shared" si="28"/>
        <v/>
      </c>
      <c r="BX9" s="9" t="str">
        <f t="shared" si="29"/>
        <v/>
      </c>
      <c r="BY9" s="9" t="str">
        <f t="shared" si="30"/>
        <v/>
      </c>
      <c r="BZ9" s="9" t="str">
        <f t="shared" si="31"/>
        <v/>
      </c>
      <c r="CA9" s="9" t="str">
        <f t="shared" si="32"/>
        <v/>
      </c>
      <c r="CB9" s="27">
        <v>17.399999999999999</v>
      </c>
      <c r="CC9" s="27">
        <v>9.4</v>
      </c>
      <c r="CD9" s="27">
        <v>0</v>
      </c>
      <c r="CE9" s="27">
        <v>14.68</v>
      </c>
      <c r="CF9" s="27">
        <v>0</v>
      </c>
      <c r="CG9" s="27">
        <v>14.4</v>
      </c>
      <c r="CH9" s="27">
        <v>8.9</v>
      </c>
      <c r="CI9" s="27">
        <v>10.1</v>
      </c>
      <c r="CJ9" s="27">
        <v>14.29</v>
      </c>
      <c r="CK9" s="27">
        <v>0</v>
      </c>
      <c r="CL9" s="27"/>
      <c r="CM9" s="27"/>
      <c r="CN9" s="27"/>
      <c r="CO9" s="27"/>
      <c r="CP9" s="27"/>
      <c r="CQ9" s="27">
        <v>13.7</v>
      </c>
      <c r="CR9" s="27">
        <v>8.9</v>
      </c>
      <c r="CS9" s="27">
        <v>10.1</v>
      </c>
      <c r="CT9" s="27">
        <v>13.69</v>
      </c>
      <c r="CU9" s="27">
        <v>0.2</v>
      </c>
      <c r="CV9" s="32"/>
      <c r="CW9" s="7">
        <f t="shared" si="33"/>
        <v>41.48</v>
      </c>
      <c r="CX9" s="7">
        <f t="shared" si="34"/>
        <v>10.1</v>
      </c>
      <c r="CY9" s="7">
        <f t="shared" si="35"/>
        <v>47.69</v>
      </c>
      <c r="CZ9" s="7" t="str">
        <f t="shared" si="36"/>
        <v/>
      </c>
      <c r="DA9" s="7" t="str">
        <f t="shared" si="37"/>
        <v/>
      </c>
      <c r="DB9" s="7">
        <f t="shared" si="38"/>
        <v>89.169999999999987</v>
      </c>
      <c r="DC9" s="7">
        <f t="shared" si="39"/>
        <v>10.1</v>
      </c>
      <c r="DD9" s="7">
        <f t="shared" si="40"/>
        <v>46.19</v>
      </c>
      <c r="DE9" s="7">
        <f t="shared" si="41"/>
        <v>135.35999999999999</v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6"/>
        <v/>
      </c>
      <c r="DZ9" s="7" t="str">
        <f t="shared" si="47"/>
        <v/>
      </c>
      <c r="EA9" s="7" t="str">
        <f t="shared" si="48"/>
        <v/>
      </c>
      <c r="EB9" s="7" t="str">
        <f t="shared" si="49"/>
        <v/>
      </c>
      <c r="EC9" s="7" t="str">
        <f t="shared" si="50"/>
        <v/>
      </c>
      <c r="ED9" s="7" t="str">
        <f t="shared" si="51"/>
        <v/>
      </c>
      <c r="EE9" s="7" t="str">
        <f t="shared" si="52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8.6999999999999993</v>
      </c>
      <c r="NO9" s="27">
        <f t="shared" si="131"/>
        <v>4.7</v>
      </c>
      <c r="NP9" s="27">
        <f t="shared" si="132"/>
        <v>0</v>
      </c>
      <c r="NQ9" s="27">
        <f t="shared" si="133"/>
        <v>7.34</v>
      </c>
      <c r="NR9" s="27">
        <f t="shared" si="134"/>
        <v>0</v>
      </c>
      <c r="NS9" s="27">
        <f t="shared" si="135"/>
        <v>7.2</v>
      </c>
      <c r="NT9" s="27">
        <f t="shared" si="136"/>
        <v>4.45</v>
      </c>
      <c r="NU9" s="27">
        <f t="shared" si="137"/>
        <v>5.05</v>
      </c>
      <c r="NV9" s="27">
        <f t="shared" si="138"/>
        <v>7.1449999999999996</v>
      </c>
      <c r="NW9" s="27">
        <f t="shared" si="139"/>
        <v>0</v>
      </c>
      <c r="NX9" s="27">
        <f t="shared" si="140"/>
        <v>0</v>
      </c>
      <c r="NY9" s="27">
        <f t="shared" si="141"/>
        <v>0</v>
      </c>
      <c r="NZ9" s="27">
        <f t="shared" si="142"/>
        <v>0</v>
      </c>
      <c r="OA9" s="27">
        <f t="shared" si="143"/>
        <v>0</v>
      </c>
      <c r="OB9" s="27">
        <f t="shared" si="144"/>
        <v>0</v>
      </c>
      <c r="OC9" s="27">
        <f t="shared" si="145"/>
        <v>6.85</v>
      </c>
      <c r="OD9" s="27">
        <f t="shared" si="146"/>
        <v>4.45</v>
      </c>
      <c r="OE9" s="27">
        <f t="shared" si="147"/>
        <v>5.05</v>
      </c>
      <c r="OF9" s="27">
        <f t="shared" si="148"/>
        <v>6.8449999999999998</v>
      </c>
      <c r="OG9" s="27">
        <f t="shared" si="149"/>
        <v>0.1</v>
      </c>
      <c r="OH9" s="32" t="s">
        <v>44</v>
      </c>
      <c r="OI9" s="7">
        <f t="shared" si="150"/>
        <v>20.74</v>
      </c>
      <c r="OJ9" s="7">
        <f t="shared" si="151"/>
        <v>5.05</v>
      </c>
      <c r="OK9" s="7">
        <f t="shared" si="152"/>
        <v>23.844999999999999</v>
      </c>
      <c r="OL9" s="7" t="str">
        <f t="shared" si="153"/>
        <v/>
      </c>
      <c r="OM9" s="7" t="str">
        <f t="shared" si="154"/>
        <v/>
      </c>
      <c r="ON9" s="7">
        <f t="shared" si="155"/>
        <v>44.584999999999994</v>
      </c>
      <c r="OO9" s="7">
        <f t="shared" si="156"/>
        <v>5.05</v>
      </c>
      <c r="OP9" s="7">
        <f t="shared" si="161"/>
        <v>23.094999999999999</v>
      </c>
      <c r="OQ9" s="7">
        <f t="shared" si="162"/>
        <v>67.679999999999993</v>
      </c>
    </row>
    <row r="10" spans="1:407" x14ac:dyDescent="0.2">
      <c r="A10" s="4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5" t="s">
        <v>107</v>
      </c>
      <c r="C10" s="4" t="s">
        <v>109</v>
      </c>
      <c r="D10" s="4">
        <v>2010</v>
      </c>
      <c r="E10" s="10">
        <f t="shared" si="0"/>
        <v>131.66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 t="shared" si="4"/>
        <v>85.64</v>
      </c>
      <c r="J10" s="9" t="str">
        <f t="shared" si="5"/>
        <v>2025 Nationals</v>
      </c>
      <c r="K10" s="9">
        <f t="shared" si="6"/>
        <v>0</v>
      </c>
      <c r="L10" s="9" t="str">
        <f t="shared" si="7"/>
        <v/>
      </c>
      <c r="M10" s="9">
        <f t="shared" si="8"/>
        <v>0</v>
      </c>
      <c r="N10" s="9" t="str">
        <f t="shared" si="9"/>
        <v/>
      </c>
      <c r="O10" s="9">
        <f t="shared" si="10"/>
        <v>46.02</v>
      </c>
      <c r="P10" s="9" t="str">
        <f t="shared" si="11"/>
        <v>2025 Nationals</v>
      </c>
      <c r="Q10" s="9" t="str">
        <f t="shared" si="12"/>
        <v/>
      </c>
      <c r="R10" s="14" t="str">
        <f t="shared" si="13"/>
        <v/>
      </c>
      <c r="S10" s="9" t="str">
        <f t="shared" si="14"/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 t="shared" si="15"/>
        <v/>
      </c>
      <c r="AP10" s="7" t="str">
        <f t="shared" si="16"/>
        <v/>
      </c>
      <c r="AQ10" s="7" t="str">
        <f t="shared" si="17"/>
        <v/>
      </c>
      <c r="AR10" s="7" t="str">
        <f t="shared" si="18"/>
        <v/>
      </c>
      <c r="AS10" s="7" t="str">
        <f t="shared" si="19"/>
        <v/>
      </c>
      <c r="AT10" s="7" t="str">
        <f t="shared" si="20"/>
        <v/>
      </c>
      <c r="AU10" s="7" t="str">
        <f t="shared" si="21"/>
        <v/>
      </c>
      <c r="AV10" s="7" t="str">
        <f t="shared" si="22"/>
        <v/>
      </c>
      <c r="AW10" s="7" t="str">
        <f t="shared" si="23"/>
        <v/>
      </c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33"/>
      <c r="BS10" s="9" t="str">
        <f t="shared" si="24"/>
        <v/>
      </c>
      <c r="BT10" s="9" t="str">
        <f t="shared" si="25"/>
        <v/>
      </c>
      <c r="BU10" s="9" t="str">
        <f t="shared" si="26"/>
        <v/>
      </c>
      <c r="BV10" s="9" t="str">
        <f t="shared" si="27"/>
        <v/>
      </c>
      <c r="BW10" s="9" t="str">
        <f t="shared" si="28"/>
        <v/>
      </c>
      <c r="BX10" s="9" t="str">
        <f t="shared" si="29"/>
        <v/>
      </c>
      <c r="BY10" s="9" t="str">
        <f t="shared" si="30"/>
        <v/>
      </c>
      <c r="BZ10" s="9" t="str">
        <f t="shared" si="31"/>
        <v/>
      </c>
      <c r="CA10" s="9" t="str">
        <f t="shared" si="32"/>
        <v/>
      </c>
      <c r="CB10" s="27">
        <v>15.1</v>
      </c>
      <c r="CC10" s="27">
        <v>9.1999999999999993</v>
      </c>
      <c r="CD10" s="27">
        <v>0</v>
      </c>
      <c r="CE10" s="27">
        <v>14.09</v>
      </c>
      <c r="CF10" s="27">
        <v>0</v>
      </c>
      <c r="CG10" s="27">
        <v>12.4</v>
      </c>
      <c r="CH10" s="27">
        <v>9.1999999999999993</v>
      </c>
      <c r="CI10" s="27">
        <v>12.5</v>
      </c>
      <c r="CJ10" s="27">
        <v>13.15</v>
      </c>
      <c r="CK10" s="27">
        <v>0</v>
      </c>
      <c r="CL10" s="27"/>
      <c r="CM10" s="27"/>
      <c r="CN10" s="27"/>
      <c r="CO10" s="27"/>
      <c r="CP10" s="27"/>
      <c r="CQ10" s="27">
        <v>13.1</v>
      </c>
      <c r="CR10" s="27">
        <v>8.6</v>
      </c>
      <c r="CS10" s="27">
        <v>11</v>
      </c>
      <c r="CT10" s="27">
        <v>13.32</v>
      </c>
      <c r="CU10" s="27">
        <v>0</v>
      </c>
      <c r="CV10" s="32"/>
      <c r="CW10" s="7">
        <f t="shared" si="33"/>
        <v>38.39</v>
      </c>
      <c r="CX10" s="7">
        <f t="shared" si="34"/>
        <v>12.5</v>
      </c>
      <c r="CY10" s="7">
        <f t="shared" si="35"/>
        <v>47.25</v>
      </c>
      <c r="CZ10" s="7" t="str">
        <f t="shared" si="36"/>
        <v/>
      </c>
      <c r="DA10" s="7" t="str">
        <f t="shared" si="37"/>
        <v/>
      </c>
      <c r="DB10" s="7">
        <f t="shared" si="38"/>
        <v>85.64</v>
      </c>
      <c r="DC10" s="7">
        <f t="shared" si="39"/>
        <v>11</v>
      </c>
      <c r="DD10" s="7">
        <f t="shared" si="40"/>
        <v>46.02</v>
      </c>
      <c r="DE10" s="7">
        <f t="shared" si="41"/>
        <v>131.66</v>
      </c>
      <c r="DF10" s="13" t="str">
        <f t="shared" si="42"/>
        <v/>
      </c>
      <c r="DG10" s="13" t="str">
        <f t="shared" si="43"/>
        <v/>
      </c>
      <c r="DH10" s="13" t="str">
        <f t="shared" si="44"/>
        <v/>
      </c>
      <c r="DI10" s="13" t="str">
        <f t="shared" si="45"/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 t="shared" si="46"/>
        <v/>
      </c>
      <c r="DZ10" s="7" t="str">
        <f t="shared" si="47"/>
        <v/>
      </c>
      <c r="EA10" s="7" t="str">
        <f t="shared" si="48"/>
        <v/>
      </c>
      <c r="EB10" s="7" t="str">
        <f t="shared" si="49"/>
        <v/>
      </c>
      <c r="EC10" s="7" t="str">
        <f t="shared" si="50"/>
        <v/>
      </c>
      <c r="ED10" s="7" t="str">
        <f t="shared" si="51"/>
        <v/>
      </c>
      <c r="EE10" s="7" t="str">
        <f t="shared" si="52"/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 t="shared" si="53"/>
        <v/>
      </c>
      <c r="EV10" s="9" t="str">
        <f t="shared" si="54"/>
        <v/>
      </c>
      <c r="EW10" s="9" t="str">
        <f t="shared" si="55"/>
        <v/>
      </c>
      <c r="EX10" s="9" t="str">
        <f t="shared" si="56"/>
        <v/>
      </c>
      <c r="EY10" s="9" t="str">
        <f t="shared" si="57"/>
        <v/>
      </c>
      <c r="EZ10" s="9" t="str">
        <f t="shared" si="58"/>
        <v/>
      </c>
      <c r="FA10" s="9" t="str">
        <f t="shared" si="59"/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 t="shared" si="60"/>
        <v/>
      </c>
      <c r="FR10" s="7" t="str">
        <f t="shared" si="61"/>
        <v/>
      </c>
      <c r="FS10" s="7" t="str">
        <f t="shared" si="62"/>
        <v/>
      </c>
      <c r="FT10" s="7" t="str">
        <f t="shared" si="63"/>
        <v/>
      </c>
      <c r="FU10" s="7" t="str">
        <f t="shared" si="64"/>
        <v/>
      </c>
      <c r="FV10" s="7" t="str">
        <f t="shared" si="65"/>
        <v/>
      </c>
      <c r="FW10" s="7" t="str">
        <f t="shared" si="66"/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 t="shared" si="67"/>
        <v/>
      </c>
      <c r="GN10" s="9" t="str">
        <f t="shared" si="68"/>
        <v/>
      </c>
      <c r="GO10" s="9" t="str">
        <f t="shared" si="69"/>
        <v/>
      </c>
      <c r="GP10" s="9" t="str">
        <f t="shared" si="70"/>
        <v/>
      </c>
      <c r="GQ10" s="9" t="str">
        <f t="shared" si="71"/>
        <v/>
      </c>
      <c r="GR10" s="9" t="str">
        <f t="shared" si="72"/>
        <v/>
      </c>
      <c r="GS10" s="9" t="str">
        <f t="shared" si="73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 t="shared" si="74"/>
        <v/>
      </c>
      <c r="HJ10" s="7" t="str">
        <f t="shared" si="75"/>
        <v/>
      </c>
      <c r="HK10" s="7" t="str">
        <f t="shared" si="76"/>
        <v/>
      </c>
      <c r="HL10" s="7" t="str">
        <f t="shared" si="77"/>
        <v/>
      </c>
      <c r="HM10" s="7" t="str">
        <f t="shared" si="78"/>
        <v/>
      </c>
      <c r="HN10" s="7" t="str">
        <f t="shared" si="79"/>
        <v/>
      </c>
      <c r="HO10" s="7" t="str">
        <f t="shared" si="80"/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 t="shared" si="81"/>
        <v/>
      </c>
      <c r="IF10" s="9" t="str">
        <f t="shared" si="82"/>
        <v/>
      </c>
      <c r="IG10" s="9" t="str">
        <f t="shared" si="83"/>
        <v/>
      </c>
      <c r="IH10" s="9" t="str">
        <f t="shared" si="84"/>
        <v/>
      </c>
      <c r="II10" s="9" t="str">
        <f t="shared" si="85"/>
        <v/>
      </c>
      <c r="IJ10" s="9" t="str">
        <f t="shared" si="86"/>
        <v/>
      </c>
      <c r="IK10" s="9" t="str">
        <f t="shared" si="87"/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 t="shared" si="88"/>
        <v/>
      </c>
      <c r="JB10" s="7" t="str">
        <f t="shared" si="89"/>
        <v/>
      </c>
      <c r="JC10" s="7" t="str">
        <f t="shared" si="90"/>
        <v/>
      </c>
      <c r="JD10" s="7" t="str">
        <f t="shared" si="91"/>
        <v/>
      </c>
      <c r="JE10" s="7" t="str">
        <f t="shared" si="92"/>
        <v/>
      </c>
      <c r="JF10" s="7" t="str">
        <f t="shared" si="93"/>
        <v/>
      </c>
      <c r="JG10" s="7" t="str">
        <f t="shared" si="94"/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 t="shared" si="95"/>
        <v/>
      </c>
      <c r="JX10" s="9" t="str">
        <f t="shared" si="96"/>
        <v/>
      </c>
      <c r="JY10" s="9" t="str">
        <f t="shared" si="97"/>
        <v/>
      </c>
      <c r="JZ10" s="9" t="str">
        <f t="shared" si="98"/>
        <v/>
      </c>
      <c r="KA10" s="9" t="str">
        <f t="shared" si="99"/>
        <v/>
      </c>
      <c r="KB10" s="9" t="str">
        <f t="shared" si="100"/>
        <v/>
      </c>
      <c r="KC10" s="9" t="str">
        <f t="shared" si="101"/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 t="shared" si="102"/>
        <v/>
      </c>
      <c r="KT10" s="7" t="str">
        <f t="shared" si="103"/>
        <v/>
      </c>
      <c r="KU10" s="7" t="str">
        <f t="shared" si="104"/>
        <v/>
      </c>
      <c r="KV10" s="7" t="str">
        <f t="shared" si="105"/>
        <v/>
      </c>
      <c r="KW10" s="7" t="str">
        <f t="shared" si="106"/>
        <v/>
      </c>
      <c r="KX10" s="7" t="str">
        <f t="shared" si="107"/>
        <v/>
      </c>
      <c r="KY10" s="7" t="str">
        <f t="shared" si="108"/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 t="shared" si="109"/>
        <v/>
      </c>
      <c r="LP10" s="9" t="str">
        <f t="shared" si="110"/>
        <v/>
      </c>
      <c r="LQ10" s="9" t="str">
        <f t="shared" si="111"/>
        <v/>
      </c>
      <c r="LR10" s="9" t="str">
        <f t="shared" si="112"/>
        <v/>
      </c>
      <c r="LS10" s="9" t="str">
        <f t="shared" si="113"/>
        <v/>
      </c>
      <c r="LT10" s="9" t="str">
        <f t="shared" si="114"/>
        <v/>
      </c>
      <c r="LU10" s="9" t="str">
        <f t="shared" si="115"/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 t="shared" si="116"/>
        <v/>
      </c>
      <c r="ML10" s="7" t="str">
        <f t="shared" si="117"/>
        <v/>
      </c>
      <c r="MM10" s="7" t="str">
        <f t="shared" si="118"/>
        <v/>
      </c>
      <c r="MN10" s="7" t="str">
        <f t="shared" si="119"/>
        <v/>
      </c>
      <c r="MO10" s="7" t="str">
        <f t="shared" si="120"/>
        <v/>
      </c>
      <c r="MP10" s="7" t="str">
        <f t="shared" si="121"/>
        <v/>
      </c>
      <c r="MQ10" s="7" t="str">
        <f t="shared" si="122"/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 t="shared" si="123"/>
        <v/>
      </c>
      <c r="NH10" s="9" t="str">
        <f t="shared" si="124"/>
        <v/>
      </c>
      <c r="NI10" s="9" t="str">
        <f t="shared" si="125"/>
        <v/>
      </c>
      <c r="NJ10" s="9" t="str">
        <f t="shared" si="126"/>
        <v/>
      </c>
      <c r="NK10" s="9" t="str">
        <f t="shared" si="127"/>
        <v/>
      </c>
      <c r="NL10" s="9" t="str">
        <f t="shared" si="128"/>
        <v/>
      </c>
      <c r="NM10" s="9" t="str">
        <f t="shared" si="129"/>
        <v/>
      </c>
      <c r="NN10" s="27">
        <f t="shared" si="130"/>
        <v>7.55</v>
      </c>
      <c r="NO10" s="27">
        <f t="shared" si="131"/>
        <v>4.5999999999999996</v>
      </c>
      <c r="NP10" s="27">
        <f t="shared" si="132"/>
        <v>0</v>
      </c>
      <c r="NQ10" s="27">
        <f t="shared" si="133"/>
        <v>7.0449999999999999</v>
      </c>
      <c r="NR10" s="27">
        <f t="shared" si="134"/>
        <v>0</v>
      </c>
      <c r="NS10" s="27">
        <f t="shared" si="135"/>
        <v>6.2</v>
      </c>
      <c r="NT10" s="27">
        <f t="shared" si="136"/>
        <v>4.5999999999999996</v>
      </c>
      <c r="NU10" s="27">
        <f t="shared" si="137"/>
        <v>6.25</v>
      </c>
      <c r="NV10" s="27">
        <f t="shared" si="138"/>
        <v>6.5750000000000002</v>
      </c>
      <c r="NW10" s="27">
        <f t="shared" si="139"/>
        <v>0</v>
      </c>
      <c r="NX10" s="27">
        <f t="shared" si="140"/>
        <v>0</v>
      </c>
      <c r="NY10" s="27">
        <f t="shared" si="141"/>
        <v>0</v>
      </c>
      <c r="NZ10" s="27">
        <f t="shared" si="142"/>
        <v>0</v>
      </c>
      <c r="OA10" s="27">
        <f t="shared" si="143"/>
        <v>0</v>
      </c>
      <c r="OB10" s="27">
        <f t="shared" si="144"/>
        <v>0</v>
      </c>
      <c r="OC10" s="27">
        <f t="shared" si="145"/>
        <v>6.55</v>
      </c>
      <c r="OD10" s="27">
        <f t="shared" si="146"/>
        <v>4.3</v>
      </c>
      <c r="OE10" s="27">
        <f t="shared" si="147"/>
        <v>5.5</v>
      </c>
      <c r="OF10" s="27">
        <f t="shared" si="148"/>
        <v>6.66</v>
      </c>
      <c r="OG10" s="27">
        <f t="shared" si="149"/>
        <v>0</v>
      </c>
      <c r="OH10" s="32" t="s">
        <v>44</v>
      </c>
      <c r="OI10" s="7">
        <f t="shared" si="150"/>
        <v>19.195</v>
      </c>
      <c r="OJ10" s="7">
        <f t="shared" si="151"/>
        <v>6.25</v>
      </c>
      <c r="OK10" s="7">
        <f t="shared" si="152"/>
        <v>23.625</v>
      </c>
      <c r="OL10" s="7" t="str">
        <f t="shared" si="153"/>
        <v/>
      </c>
      <c r="OM10" s="7" t="str">
        <f t="shared" si="154"/>
        <v/>
      </c>
      <c r="ON10" s="7">
        <f t="shared" si="155"/>
        <v>42.82</v>
      </c>
      <c r="OO10" s="7">
        <f t="shared" si="156"/>
        <v>5.5</v>
      </c>
      <c r="OP10" s="7">
        <f t="shared" si="161"/>
        <v>23.01</v>
      </c>
      <c r="OQ10" s="7">
        <f t="shared" si="162"/>
        <v>65.83</v>
      </c>
    </row>
    <row r="11" spans="1:407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86</v>
      </c>
      <c r="C11" s="4" t="s">
        <v>3</v>
      </c>
      <c r="D11" s="4">
        <v>2009</v>
      </c>
      <c r="E11" s="10">
        <f t="shared" si="0"/>
        <v>131.35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 t="shared" si="4"/>
        <v>85.89</v>
      </c>
      <c r="J11" s="9" t="str">
        <f t="shared" si="5"/>
        <v>2025 Elite Canada</v>
      </c>
      <c r="K11" s="9">
        <f t="shared" si="6"/>
        <v>0</v>
      </c>
      <c r="L11" s="9" t="str">
        <f t="shared" si="7"/>
        <v/>
      </c>
      <c r="M11" s="9">
        <f t="shared" si="8"/>
        <v>0</v>
      </c>
      <c r="N11" s="9" t="str">
        <f t="shared" si="9"/>
        <v/>
      </c>
      <c r="O11" s="9">
        <f t="shared" si="10"/>
        <v>45.46</v>
      </c>
      <c r="P11" s="9" t="str">
        <f t="shared" si="11"/>
        <v>2025 Elite Canada</v>
      </c>
      <c r="Q11" s="9" t="str">
        <f t="shared" si="12"/>
        <v/>
      </c>
      <c r="R11" s="14" t="str">
        <f t="shared" si="13"/>
        <v/>
      </c>
      <c r="S11" s="9" t="str">
        <f t="shared" si="14"/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 t="shared" si="15"/>
        <v/>
      </c>
      <c r="AP11" s="7" t="str">
        <f t="shared" si="16"/>
        <v/>
      </c>
      <c r="AQ11" s="7" t="str">
        <f t="shared" si="17"/>
        <v/>
      </c>
      <c r="AR11" s="7" t="str">
        <f t="shared" si="18"/>
        <v/>
      </c>
      <c r="AS11" s="7" t="str">
        <f t="shared" si="19"/>
        <v/>
      </c>
      <c r="AT11" s="7" t="str">
        <f t="shared" si="20"/>
        <v/>
      </c>
      <c r="AU11" s="7" t="str">
        <f t="shared" si="21"/>
        <v/>
      </c>
      <c r="AV11" s="7" t="str">
        <f t="shared" si="22"/>
        <v/>
      </c>
      <c r="AW11" s="7" t="str">
        <f t="shared" si="23"/>
        <v/>
      </c>
      <c r="AX11" s="23">
        <v>14.7</v>
      </c>
      <c r="AY11" s="23">
        <v>9.1</v>
      </c>
      <c r="AZ11" s="23">
        <v>0</v>
      </c>
      <c r="BA11" s="23">
        <v>14.74</v>
      </c>
      <c r="BB11" s="23">
        <v>0</v>
      </c>
      <c r="BC11" s="23">
        <v>12.9</v>
      </c>
      <c r="BD11" s="23">
        <v>9.8000000000000007</v>
      </c>
      <c r="BE11" s="23">
        <v>10.3</v>
      </c>
      <c r="BF11" s="23">
        <v>14.35</v>
      </c>
      <c r="BG11" s="23">
        <v>0</v>
      </c>
      <c r="BH11" s="23"/>
      <c r="BI11" s="23"/>
      <c r="BJ11" s="23"/>
      <c r="BK11" s="23"/>
      <c r="BL11" s="23"/>
      <c r="BM11" s="23">
        <v>14.3</v>
      </c>
      <c r="BN11" s="23">
        <v>9.4</v>
      </c>
      <c r="BO11" s="23">
        <v>8.8000000000000007</v>
      </c>
      <c r="BP11" s="23">
        <v>14.26</v>
      </c>
      <c r="BQ11" s="23">
        <v>1.3</v>
      </c>
      <c r="BR11" s="33"/>
      <c r="BS11" s="9">
        <f t="shared" si="24"/>
        <v>38.54</v>
      </c>
      <c r="BT11" s="9">
        <f t="shared" si="25"/>
        <v>10.3</v>
      </c>
      <c r="BU11" s="9">
        <f t="shared" si="26"/>
        <v>47.35</v>
      </c>
      <c r="BV11" s="9" t="str">
        <f t="shared" si="27"/>
        <v/>
      </c>
      <c r="BW11" s="9" t="str">
        <f t="shared" si="28"/>
        <v/>
      </c>
      <c r="BX11" s="9">
        <f t="shared" si="29"/>
        <v>85.89</v>
      </c>
      <c r="BY11" s="9">
        <f t="shared" si="30"/>
        <v>8.8000000000000007</v>
      </c>
      <c r="BZ11" s="9">
        <f t="shared" si="31"/>
        <v>45.46</v>
      </c>
      <c r="CA11" s="9">
        <f t="shared" si="32"/>
        <v>131.35</v>
      </c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 t="str">
        <f t="shared" si="33"/>
        <v/>
      </c>
      <c r="CX11" s="7" t="str">
        <f t="shared" si="34"/>
        <v/>
      </c>
      <c r="CY11" s="7" t="str">
        <f t="shared" si="35"/>
        <v/>
      </c>
      <c r="CZ11" s="7" t="str">
        <f t="shared" si="36"/>
        <v/>
      </c>
      <c r="DA11" s="7" t="str">
        <f t="shared" si="37"/>
        <v/>
      </c>
      <c r="DB11" s="7" t="str">
        <f t="shared" si="38"/>
        <v/>
      </c>
      <c r="DC11" s="7" t="str">
        <f t="shared" si="39"/>
        <v/>
      </c>
      <c r="DD11" s="7" t="str">
        <f t="shared" si="40"/>
        <v/>
      </c>
      <c r="DE11" s="7" t="str">
        <f t="shared" si="41"/>
        <v/>
      </c>
      <c r="DF11" s="13" t="str">
        <f t="shared" si="42"/>
        <v/>
      </c>
      <c r="DG11" s="13" t="str">
        <f t="shared" si="43"/>
        <v/>
      </c>
      <c r="DH11" s="13" t="str">
        <f t="shared" si="44"/>
        <v/>
      </c>
      <c r="DI11" s="13" t="str">
        <f t="shared" si="45"/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 t="shared" si="46"/>
        <v/>
      </c>
      <c r="DZ11" s="7" t="str">
        <f t="shared" si="47"/>
        <v/>
      </c>
      <c r="EA11" s="7" t="str">
        <f t="shared" si="48"/>
        <v/>
      </c>
      <c r="EB11" s="7" t="str">
        <f t="shared" si="49"/>
        <v/>
      </c>
      <c r="EC11" s="7" t="str">
        <f t="shared" si="50"/>
        <v/>
      </c>
      <c r="ED11" s="7" t="str">
        <f t="shared" si="51"/>
        <v/>
      </c>
      <c r="EE11" s="7" t="str">
        <f t="shared" si="52"/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 t="shared" si="53"/>
        <v/>
      </c>
      <c r="EV11" s="9" t="str">
        <f t="shared" si="54"/>
        <v/>
      </c>
      <c r="EW11" s="9" t="str">
        <f t="shared" si="55"/>
        <v/>
      </c>
      <c r="EX11" s="9" t="str">
        <f t="shared" si="56"/>
        <v/>
      </c>
      <c r="EY11" s="9" t="str">
        <f t="shared" si="57"/>
        <v/>
      </c>
      <c r="EZ11" s="9" t="str">
        <f t="shared" si="58"/>
        <v/>
      </c>
      <c r="FA11" s="9" t="str">
        <f t="shared" si="59"/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 t="shared" si="60"/>
        <v/>
      </c>
      <c r="FR11" s="7" t="str">
        <f t="shared" si="61"/>
        <v/>
      </c>
      <c r="FS11" s="7" t="str">
        <f t="shared" si="62"/>
        <v/>
      </c>
      <c r="FT11" s="7" t="str">
        <f t="shared" si="63"/>
        <v/>
      </c>
      <c r="FU11" s="7" t="str">
        <f t="shared" si="64"/>
        <v/>
      </c>
      <c r="FV11" s="7" t="str">
        <f t="shared" si="65"/>
        <v/>
      </c>
      <c r="FW11" s="7" t="str">
        <f t="shared" si="66"/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 t="shared" si="67"/>
        <v/>
      </c>
      <c r="GN11" s="9" t="str">
        <f t="shared" si="68"/>
        <v/>
      </c>
      <c r="GO11" s="9" t="str">
        <f t="shared" si="69"/>
        <v/>
      </c>
      <c r="GP11" s="9" t="str">
        <f t="shared" si="70"/>
        <v/>
      </c>
      <c r="GQ11" s="9" t="str">
        <f t="shared" si="71"/>
        <v/>
      </c>
      <c r="GR11" s="9" t="str">
        <f t="shared" si="72"/>
        <v/>
      </c>
      <c r="GS11" s="9" t="str">
        <f t="shared" si="73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 t="shared" si="74"/>
        <v/>
      </c>
      <c r="HJ11" s="7" t="str">
        <f t="shared" si="75"/>
        <v/>
      </c>
      <c r="HK11" s="7" t="str">
        <f t="shared" si="76"/>
        <v/>
      </c>
      <c r="HL11" s="7" t="str">
        <f t="shared" si="77"/>
        <v/>
      </c>
      <c r="HM11" s="7" t="str">
        <f t="shared" si="78"/>
        <v/>
      </c>
      <c r="HN11" s="7" t="str">
        <f t="shared" si="79"/>
        <v/>
      </c>
      <c r="HO11" s="7" t="str">
        <f t="shared" si="80"/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 t="shared" si="81"/>
        <v/>
      </c>
      <c r="IF11" s="9" t="str">
        <f t="shared" si="82"/>
        <v/>
      </c>
      <c r="IG11" s="9" t="str">
        <f t="shared" si="83"/>
        <v/>
      </c>
      <c r="IH11" s="9" t="str">
        <f t="shared" si="84"/>
        <v/>
      </c>
      <c r="II11" s="9" t="str">
        <f t="shared" si="85"/>
        <v/>
      </c>
      <c r="IJ11" s="9" t="str">
        <f t="shared" si="86"/>
        <v/>
      </c>
      <c r="IK11" s="9" t="str">
        <f t="shared" si="87"/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 t="shared" si="88"/>
        <v/>
      </c>
      <c r="JB11" s="7" t="str">
        <f t="shared" si="89"/>
        <v/>
      </c>
      <c r="JC11" s="7" t="str">
        <f t="shared" si="90"/>
        <v/>
      </c>
      <c r="JD11" s="7" t="str">
        <f t="shared" si="91"/>
        <v/>
      </c>
      <c r="JE11" s="7" t="str">
        <f t="shared" si="92"/>
        <v/>
      </c>
      <c r="JF11" s="7" t="str">
        <f t="shared" si="93"/>
        <v/>
      </c>
      <c r="JG11" s="7" t="str">
        <f t="shared" si="94"/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 t="shared" si="95"/>
        <v/>
      </c>
      <c r="JX11" s="9" t="str">
        <f t="shared" si="96"/>
        <v/>
      </c>
      <c r="JY11" s="9" t="str">
        <f t="shared" si="97"/>
        <v/>
      </c>
      <c r="JZ11" s="9" t="str">
        <f t="shared" si="98"/>
        <v/>
      </c>
      <c r="KA11" s="9" t="str">
        <f t="shared" si="99"/>
        <v/>
      </c>
      <c r="KB11" s="9" t="str">
        <f t="shared" si="100"/>
        <v/>
      </c>
      <c r="KC11" s="9" t="str">
        <f t="shared" si="101"/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 t="shared" si="102"/>
        <v/>
      </c>
      <c r="KT11" s="7" t="str">
        <f t="shared" si="103"/>
        <v/>
      </c>
      <c r="KU11" s="7" t="str">
        <f t="shared" si="104"/>
        <v/>
      </c>
      <c r="KV11" s="7" t="str">
        <f t="shared" si="105"/>
        <v/>
      </c>
      <c r="KW11" s="7" t="str">
        <f t="shared" si="106"/>
        <v/>
      </c>
      <c r="KX11" s="7" t="str">
        <f t="shared" si="107"/>
        <v/>
      </c>
      <c r="KY11" s="7" t="str">
        <f t="shared" si="108"/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 t="shared" si="109"/>
        <v/>
      </c>
      <c r="LP11" s="9" t="str">
        <f t="shared" si="110"/>
        <v/>
      </c>
      <c r="LQ11" s="9" t="str">
        <f t="shared" si="111"/>
        <v/>
      </c>
      <c r="LR11" s="9" t="str">
        <f t="shared" si="112"/>
        <v/>
      </c>
      <c r="LS11" s="9" t="str">
        <f t="shared" si="113"/>
        <v/>
      </c>
      <c r="LT11" s="9" t="str">
        <f t="shared" si="114"/>
        <v/>
      </c>
      <c r="LU11" s="9" t="str">
        <f t="shared" si="115"/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 t="shared" si="116"/>
        <v/>
      </c>
      <c r="ML11" s="7" t="str">
        <f t="shared" si="117"/>
        <v/>
      </c>
      <c r="MM11" s="7" t="str">
        <f t="shared" si="118"/>
        <v/>
      </c>
      <c r="MN11" s="7" t="str">
        <f t="shared" si="119"/>
        <v/>
      </c>
      <c r="MO11" s="7" t="str">
        <f t="shared" si="120"/>
        <v/>
      </c>
      <c r="MP11" s="7" t="str">
        <f t="shared" si="121"/>
        <v/>
      </c>
      <c r="MQ11" s="7" t="str">
        <f t="shared" si="122"/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 t="shared" si="123"/>
        <v/>
      </c>
      <c r="NH11" s="9" t="str">
        <f t="shared" si="124"/>
        <v/>
      </c>
      <c r="NI11" s="9" t="str">
        <f t="shared" si="125"/>
        <v/>
      </c>
      <c r="NJ11" s="9" t="str">
        <f t="shared" si="126"/>
        <v/>
      </c>
      <c r="NK11" s="9" t="str">
        <f t="shared" si="127"/>
        <v/>
      </c>
      <c r="NL11" s="9" t="str">
        <f t="shared" si="128"/>
        <v/>
      </c>
      <c r="NM11" s="9" t="str">
        <f t="shared" si="129"/>
        <v/>
      </c>
      <c r="NN11" s="27">
        <f t="shared" si="130"/>
        <v>7.35</v>
      </c>
      <c r="NO11" s="27">
        <f t="shared" si="131"/>
        <v>4.55</v>
      </c>
      <c r="NP11" s="27">
        <f t="shared" si="132"/>
        <v>0</v>
      </c>
      <c r="NQ11" s="27">
        <f t="shared" si="133"/>
        <v>7.37</v>
      </c>
      <c r="NR11" s="27">
        <f t="shared" si="134"/>
        <v>0</v>
      </c>
      <c r="NS11" s="27">
        <f t="shared" si="135"/>
        <v>6.45</v>
      </c>
      <c r="NT11" s="27">
        <f t="shared" si="136"/>
        <v>4.9000000000000004</v>
      </c>
      <c r="NU11" s="27">
        <f t="shared" si="137"/>
        <v>5.15</v>
      </c>
      <c r="NV11" s="27">
        <f t="shared" si="138"/>
        <v>7.1749999999999998</v>
      </c>
      <c r="NW11" s="27">
        <f t="shared" si="139"/>
        <v>0</v>
      </c>
      <c r="NX11" s="27">
        <f t="shared" si="140"/>
        <v>0</v>
      </c>
      <c r="NY11" s="27">
        <f t="shared" si="141"/>
        <v>0</v>
      </c>
      <c r="NZ11" s="27">
        <f t="shared" si="142"/>
        <v>0</v>
      </c>
      <c r="OA11" s="27">
        <f t="shared" si="143"/>
        <v>0</v>
      </c>
      <c r="OB11" s="27">
        <f t="shared" si="144"/>
        <v>0</v>
      </c>
      <c r="OC11" s="27">
        <f t="shared" si="145"/>
        <v>7.15</v>
      </c>
      <c r="OD11" s="27">
        <f t="shared" si="146"/>
        <v>4.7</v>
      </c>
      <c r="OE11" s="27">
        <f t="shared" si="147"/>
        <v>4.4000000000000004</v>
      </c>
      <c r="OF11" s="27">
        <f t="shared" si="148"/>
        <v>7.13</v>
      </c>
      <c r="OG11" s="27">
        <f t="shared" si="149"/>
        <v>0.65</v>
      </c>
      <c r="OH11" s="32" t="s">
        <v>44</v>
      </c>
      <c r="OI11" s="7">
        <f t="shared" si="150"/>
        <v>19.27</v>
      </c>
      <c r="OJ11" s="7">
        <f t="shared" si="151"/>
        <v>5.15</v>
      </c>
      <c r="OK11" s="7">
        <f t="shared" si="152"/>
        <v>23.675000000000001</v>
      </c>
      <c r="OL11" s="7" t="str">
        <f t="shared" si="153"/>
        <v/>
      </c>
      <c r="OM11" s="7" t="str">
        <f t="shared" si="154"/>
        <v/>
      </c>
      <c r="ON11" s="7">
        <f t="shared" si="155"/>
        <v>42.945</v>
      </c>
      <c r="OO11" s="7">
        <f t="shared" si="156"/>
        <v>4.4000000000000004</v>
      </c>
      <c r="OP11" s="7">
        <f t="shared" si="161"/>
        <v>22.73</v>
      </c>
      <c r="OQ11" s="7">
        <f t="shared" si="162"/>
        <v>65.674999999999997</v>
      </c>
    </row>
    <row r="12" spans="1:407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108</v>
      </c>
      <c r="C12" s="4" t="s">
        <v>65</v>
      </c>
      <c r="D12" s="4">
        <v>2010</v>
      </c>
      <c r="E12" s="10">
        <f t="shared" si="0"/>
        <v>106.67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 t="shared" si="4"/>
        <v>56.040000000000006</v>
      </c>
      <c r="J12" s="9" t="str">
        <f t="shared" si="5"/>
        <v>2025 Nationals</v>
      </c>
      <c r="K12" s="9">
        <f t="shared" si="6"/>
        <v>0</v>
      </c>
      <c r="L12" s="9" t="str">
        <f t="shared" si="7"/>
        <v/>
      </c>
      <c r="M12" s="9">
        <f t="shared" si="8"/>
        <v>0</v>
      </c>
      <c r="N12" s="9" t="str">
        <f t="shared" si="9"/>
        <v/>
      </c>
      <c r="O12" s="9">
        <f t="shared" si="10"/>
        <v>50.629999999999995</v>
      </c>
      <c r="P12" s="9" t="str">
        <f t="shared" si="11"/>
        <v>2025 Nationals</v>
      </c>
      <c r="Q12" s="9" t="str">
        <f t="shared" si="12"/>
        <v/>
      </c>
      <c r="R12" s="14" t="str">
        <f t="shared" si="13"/>
        <v/>
      </c>
      <c r="S12" s="9" t="str">
        <f t="shared" si="14"/>
        <v/>
      </c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32"/>
      <c r="AO12" s="7" t="str">
        <f t="shared" si="15"/>
        <v/>
      </c>
      <c r="AP12" s="7" t="str">
        <f t="shared" si="16"/>
        <v/>
      </c>
      <c r="AQ12" s="7" t="str">
        <f t="shared" si="17"/>
        <v/>
      </c>
      <c r="AR12" s="7" t="str">
        <f t="shared" si="18"/>
        <v/>
      </c>
      <c r="AS12" s="7" t="str">
        <f t="shared" si="19"/>
        <v/>
      </c>
      <c r="AT12" s="7" t="str">
        <f t="shared" si="20"/>
        <v/>
      </c>
      <c r="AU12" s="7" t="str">
        <f t="shared" si="21"/>
        <v/>
      </c>
      <c r="AV12" s="7" t="str">
        <f t="shared" si="22"/>
        <v/>
      </c>
      <c r="AW12" s="7" t="str">
        <f t="shared" si="23"/>
        <v/>
      </c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33"/>
      <c r="BS12" s="9" t="str">
        <f t="shared" si="24"/>
        <v/>
      </c>
      <c r="BT12" s="9" t="str">
        <f t="shared" si="25"/>
        <v/>
      </c>
      <c r="BU12" s="9" t="str">
        <f t="shared" si="26"/>
        <v/>
      </c>
      <c r="BV12" s="9" t="str">
        <f t="shared" si="27"/>
        <v/>
      </c>
      <c r="BW12" s="9" t="str">
        <f t="shared" si="28"/>
        <v/>
      </c>
      <c r="BX12" s="9" t="str">
        <f t="shared" si="29"/>
        <v/>
      </c>
      <c r="BY12" s="9" t="str">
        <f t="shared" si="30"/>
        <v/>
      </c>
      <c r="BZ12" s="9" t="str">
        <f t="shared" si="31"/>
        <v/>
      </c>
      <c r="CA12" s="9" t="str">
        <f t="shared" si="32"/>
        <v/>
      </c>
      <c r="CB12" s="27">
        <v>16</v>
      </c>
      <c r="CC12" s="27">
        <v>9.3000000000000007</v>
      </c>
      <c r="CD12" s="27">
        <v>0</v>
      </c>
      <c r="CE12" s="27">
        <v>15.18</v>
      </c>
      <c r="CF12" s="27">
        <v>0</v>
      </c>
      <c r="CG12" s="27">
        <v>4.2</v>
      </c>
      <c r="CH12" s="27">
        <v>2.5</v>
      </c>
      <c r="CI12" s="27">
        <v>4.3</v>
      </c>
      <c r="CJ12" s="27">
        <v>4.5599999999999996</v>
      </c>
      <c r="CK12" s="27">
        <v>0</v>
      </c>
      <c r="CL12" s="27"/>
      <c r="CM12" s="27"/>
      <c r="CN12" s="27"/>
      <c r="CO12" s="27"/>
      <c r="CP12" s="27"/>
      <c r="CQ12" s="27">
        <v>13.1</v>
      </c>
      <c r="CR12" s="27">
        <v>9.1</v>
      </c>
      <c r="CS12" s="27">
        <v>13.6</v>
      </c>
      <c r="CT12" s="27">
        <v>14.83</v>
      </c>
      <c r="CU12" s="27">
        <v>0</v>
      </c>
      <c r="CV12" s="32"/>
      <c r="CW12" s="7">
        <f t="shared" si="33"/>
        <v>40.480000000000004</v>
      </c>
      <c r="CX12" s="7">
        <f t="shared" si="34"/>
        <v>4.3</v>
      </c>
      <c r="CY12" s="7">
        <f t="shared" si="35"/>
        <v>15.559999999999999</v>
      </c>
      <c r="CZ12" s="7" t="str">
        <f t="shared" si="36"/>
        <v/>
      </c>
      <c r="DA12" s="7" t="str">
        <f t="shared" si="37"/>
        <v/>
      </c>
      <c r="DB12" s="7">
        <f t="shared" si="38"/>
        <v>56.040000000000006</v>
      </c>
      <c r="DC12" s="7">
        <f t="shared" si="39"/>
        <v>13.6</v>
      </c>
      <c r="DD12" s="7">
        <f t="shared" si="40"/>
        <v>50.629999999999995</v>
      </c>
      <c r="DE12" s="7">
        <f t="shared" si="41"/>
        <v>106.67</v>
      </c>
      <c r="DF12" s="13" t="str">
        <f t="shared" si="42"/>
        <v/>
      </c>
      <c r="DG12" s="13" t="str">
        <f t="shared" si="43"/>
        <v/>
      </c>
      <c r="DH12" s="13" t="str">
        <f t="shared" si="44"/>
        <v/>
      </c>
      <c r="DI12" s="13" t="str">
        <f t="shared" si="45"/>
        <v/>
      </c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7" t="str">
        <f t="shared" si="46"/>
        <v/>
      </c>
      <c r="DZ12" s="7" t="str">
        <f t="shared" si="47"/>
        <v/>
      </c>
      <c r="EA12" s="7" t="str">
        <f t="shared" si="48"/>
        <v/>
      </c>
      <c r="EB12" s="7" t="str">
        <f t="shared" si="49"/>
        <v/>
      </c>
      <c r="EC12" s="7" t="str">
        <f t="shared" si="50"/>
        <v/>
      </c>
      <c r="ED12" s="7" t="str">
        <f t="shared" si="51"/>
        <v/>
      </c>
      <c r="EE12" s="7" t="str">
        <f t="shared" si="52"/>
        <v/>
      </c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9" t="str">
        <f t="shared" si="53"/>
        <v/>
      </c>
      <c r="EV12" s="9" t="str">
        <f t="shared" si="54"/>
        <v/>
      </c>
      <c r="EW12" s="9" t="str">
        <f t="shared" si="55"/>
        <v/>
      </c>
      <c r="EX12" s="9" t="str">
        <f t="shared" si="56"/>
        <v/>
      </c>
      <c r="EY12" s="9" t="str">
        <f t="shared" si="57"/>
        <v/>
      </c>
      <c r="EZ12" s="9" t="str">
        <f t="shared" si="58"/>
        <v/>
      </c>
      <c r="FA12" s="9" t="str">
        <f t="shared" si="59"/>
        <v/>
      </c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7" t="str">
        <f t="shared" si="60"/>
        <v/>
      </c>
      <c r="FR12" s="7" t="str">
        <f t="shared" si="61"/>
        <v/>
      </c>
      <c r="FS12" s="7" t="str">
        <f t="shared" si="62"/>
        <v/>
      </c>
      <c r="FT12" s="7" t="str">
        <f t="shared" si="63"/>
        <v/>
      </c>
      <c r="FU12" s="7" t="str">
        <f t="shared" si="64"/>
        <v/>
      </c>
      <c r="FV12" s="7" t="str">
        <f t="shared" si="65"/>
        <v/>
      </c>
      <c r="FW12" s="7" t="str">
        <f t="shared" si="66"/>
        <v/>
      </c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9" t="str">
        <f t="shared" si="67"/>
        <v/>
      </c>
      <c r="GN12" s="9" t="str">
        <f t="shared" si="68"/>
        <v/>
      </c>
      <c r="GO12" s="9" t="str">
        <f t="shared" si="69"/>
        <v/>
      </c>
      <c r="GP12" s="9" t="str">
        <f t="shared" si="70"/>
        <v/>
      </c>
      <c r="GQ12" s="9" t="str">
        <f t="shared" si="71"/>
        <v/>
      </c>
      <c r="GR12" s="9" t="str">
        <f t="shared" si="72"/>
        <v/>
      </c>
      <c r="GS12" s="9" t="str">
        <f t="shared" si="73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7" t="str">
        <f t="shared" si="74"/>
        <v/>
      </c>
      <c r="HJ12" s="7" t="str">
        <f t="shared" si="75"/>
        <v/>
      </c>
      <c r="HK12" s="7" t="str">
        <f t="shared" si="76"/>
        <v/>
      </c>
      <c r="HL12" s="7" t="str">
        <f t="shared" si="77"/>
        <v/>
      </c>
      <c r="HM12" s="7" t="str">
        <f t="shared" si="78"/>
        <v/>
      </c>
      <c r="HN12" s="7" t="str">
        <f t="shared" si="79"/>
        <v/>
      </c>
      <c r="HO12" s="7" t="str">
        <f t="shared" si="80"/>
        <v/>
      </c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9" t="str">
        <f t="shared" si="81"/>
        <v/>
      </c>
      <c r="IF12" s="9" t="str">
        <f t="shared" si="82"/>
        <v/>
      </c>
      <c r="IG12" s="9" t="str">
        <f t="shared" si="83"/>
        <v/>
      </c>
      <c r="IH12" s="9" t="str">
        <f t="shared" si="84"/>
        <v/>
      </c>
      <c r="II12" s="9" t="str">
        <f t="shared" si="85"/>
        <v/>
      </c>
      <c r="IJ12" s="9" t="str">
        <f t="shared" si="86"/>
        <v/>
      </c>
      <c r="IK12" s="9" t="str">
        <f t="shared" si="87"/>
        <v/>
      </c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7" t="str">
        <f t="shared" si="88"/>
        <v/>
      </c>
      <c r="JB12" s="7" t="str">
        <f t="shared" si="89"/>
        <v/>
      </c>
      <c r="JC12" s="7" t="str">
        <f t="shared" si="90"/>
        <v/>
      </c>
      <c r="JD12" s="7" t="str">
        <f t="shared" si="91"/>
        <v/>
      </c>
      <c r="JE12" s="7" t="str">
        <f t="shared" si="92"/>
        <v/>
      </c>
      <c r="JF12" s="7" t="str">
        <f t="shared" si="93"/>
        <v/>
      </c>
      <c r="JG12" s="7" t="str">
        <f t="shared" si="94"/>
        <v/>
      </c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9" t="str">
        <f t="shared" si="95"/>
        <v/>
      </c>
      <c r="JX12" s="9" t="str">
        <f t="shared" si="96"/>
        <v/>
      </c>
      <c r="JY12" s="9" t="str">
        <f t="shared" si="97"/>
        <v/>
      </c>
      <c r="JZ12" s="9" t="str">
        <f t="shared" si="98"/>
        <v/>
      </c>
      <c r="KA12" s="9" t="str">
        <f t="shared" si="99"/>
        <v/>
      </c>
      <c r="KB12" s="9" t="str">
        <f t="shared" si="100"/>
        <v/>
      </c>
      <c r="KC12" s="9" t="str">
        <f t="shared" si="101"/>
        <v/>
      </c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7" t="str">
        <f t="shared" si="102"/>
        <v/>
      </c>
      <c r="KT12" s="7" t="str">
        <f t="shared" si="103"/>
        <v/>
      </c>
      <c r="KU12" s="7" t="str">
        <f t="shared" si="104"/>
        <v/>
      </c>
      <c r="KV12" s="7" t="str">
        <f t="shared" si="105"/>
        <v/>
      </c>
      <c r="KW12" s="7" t="str">
        <f t="shared" si="106"/>
        <v/>
      </c>
      <c r="KX12" s="7" t="str">
        <f t="shared" si="107"/>
        <v/>
      </c>
      <c r="KY12" s="7" t="str">
        <f t="shared" si="108"/>
        <v/>
      </c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9" t="str">
        <f t="shared" si="109"/>
        <v/>
      </c>
      <c r="LP12" s="9" t="str">
        <f t="shared" si="110"/>
        <v/>
      </c>
      <c r="LQ12" s="9" t="str">
        <f t="shared" si="111"/>
        <v/>
      </c>
      <c r="LR12" s="9" t="str">
        <f t="shared" si="112"/>
        <v/>
      </c>
      <c r="LS12" s="9" t="str">
        <f t="shared" si="113"/>
        <v/>
      </c>
      <c r="LT12" s="9" t="str">
        <f t="shared" si="114"/>
        <v/>
      </c>
      <c r="LU12" s="9" t="str">
        <f t="shared" si="115"/>
        <v/>
      </c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7" t="str">
        <f t="shared" si="116"/>
        <v/>
      </c>
      <c r="ML12" s="7" t="str">
        <f t="shared" si="117"/>
        <v/>
      </c>
      <c r="MM12" s="7" t="str">
        <f t="shared" si="118"/>
        <v/>
      </c>
      <c r="MN12" s="7" t="str">
        <f t="shared" si="119"/>
        <v/>
      </c>
      <c r="MO12" s="7" t="str">
        <f t="shared" si="120"/>
        <v/>
      </c>
      <c r="MP12" s="7" t="str">
        <f t="shared" si="121"/>
        <v/>
      </c>
      <c r="MQ12" s="7" t="str">
        <f t="shared" si="122"/>
        <v/>
      </c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9" t="str">
        <f t="shared" si="123"/>
        <v/>
      </c>
      <c r="NH12" s="9" t="str">
        <f t="shared" si="124"/>
        <v/>
      </c>
      <c r="NI12" s="9" t="str">
        <f t="shared" si="125"/>
        <v/>
      </c>
      <c r="NJ12" s="9" t="str">
        <f t="shared" si="126"/>
        <v/>
      </c>
      <c r="NK12" s="9" t="str">
        <f t="shared" si="127"/>
        <v/>
      </c>
      <c r="NL12" s="9" t="str">
        <f t="shared" si="128"/>
        <v/>
      </c>
      <c r="NM12" s="9" t="str">
        <f t="shared" si="129"/>
        <v/>
      </c>
      <c r="NN12" s="27">
        <f t="shared" si="130"/>
        <v>8</v>
      </c>
      <c r="NO12" s="27">
        <f t="shared" si="131"/>
        <v>4.6500000000000004</v>
      </c>
      <c r="NP12" s="27">
        <f t="shared" si="132"/>
        <v>0</v>
      </c>
      <c r="NQ12" s="27">
        <f t="shared" si="133"/>
        <v>7.59</v>
      </c>
      <c r="NR12" s="27">
        <f t="shared" si="134"/>
        <v>0</v>
      </c>
      <c r="NS12" s="27">
        <f t="shared" si="135"/>
        <v>2.1</v>
      </c>
      <c r="NT12" s="27">
        <f t="shared" si="136"/>
        <v>1.25</v>
      </c>
      <c r="NU12" s="27">
        <f t="shared" si="137"/>
        <v>2.15</v>
      </c>
      <c r="NV12" s="27">
        <f t="shared" si="138"/>
        <v>2.2799999999999998</v>
      </c>
      <c r="NW12" s="27">
        <f t="shared" si="139"/>
        <v>0</v>
      </c>
      <c r="NX12" s="27">
        <f t="shared" si="140"/>
        <v>0</v>
      </c>
      <c r="NY12" s="27">
        <f t="shared" si="141"/>
        <v>0</v>
      </c>
      <c r="NZ12" s="27">
        <f t="shared" si="142"/>
        <v>0</v>
      </c>
      <c r="OA12" s="27">
        <f t="shared" si="143"/>
        <v>0</v>
      </c>
      <c r="OB12" s="27">
        <f t="shared" si="144"/>
        <v>0</v>
      </c>
      <c r="OC12" s="27">
        <f t="shared" si="145"/>
        <v>6.55</v>
      </c>
      <c r="OD12" s="27">
        <f t="shared" si="146"/>
        <v>4.55</v>
      </c>
      <c r="OE12" s="27">
        <f t="shared" si="147"/>
        <v>6.8</v>
      </c>
      <c r="OF12" s="27">
        <f t="shared" si="148"/>
        <v>7.415</v>
      </c>
      <c r="OG12" s="27">
        <f t="shared" si="149"/>
        <v>0</v>
      </c>
      <c r="OH12" s="32" t="s">
        <v>44</v>
      </c>
      <c r="OI12" s="7">
        <f t="shared" si="150"/>
        <v>20.240000000000002</v>
      </c>
      <c r="OJ12" s="7">
        <f t="shared" si="151"/>
        <v>2.15</v>
      </c>
      <c r="OK12" s="7">
        <f t="shared" si="152"/>
        <v>7.7799999999999994</v>
      </c>
      <c r="OL12" s="7" t="str">
        <f t="shared" si="153"/>
        <v/>
      </c>
      <c r="OM12" s="7" t="str">
        <f t="shared" si="154"/>
        <v/>
      </c>
      <c r="ON12" s="7">
        <f t="shared" si="155"/>
        <v>28.020000000000003</v>
      </c>
      <c r="OO12" s="7">
        <f t="shared" si="156"/>
        <v>6.8</v>
      </c>
      <c r="OP12" s="7">
        <f t="shared" si="161"/>
        <v>25.314999999999998</v>
      </c>
      <c r="OQ12" s="7">
        <f t="shared" si="162"/>
        <v>53.335000000000001</v>
      </c>
    </row>
    <row r="13" spans="1:407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99</v>
      </c>
      <c r="C13" s="4" t="s">
        <v>67</v>
      </c>
      <c r="D13" s="4">
        <v>2009</v>
      </c>
      <c r="E13" s="10">
        <f t="shared" si="0"/>
        <v>77.73</v>
      </c>
      <c r="F13" s="3" t="str">
        <f t="shared" si="1"/>
        <v/>
      </c>
      <c r="G13" s="3" t="str">
        <f t="shared" si="2"/>
        <v/>
      </c>
      <c r="H13" s="47" t="str">
        <f t="shared" si="3"/>
        <v/>
      </c>
      <c r="I13" s="9">
        <f t="shared" si="4"/>
        <v>59.040000000000006</v>
      </c>
      <c r="J13" s="9" t="str">
        <f t="shared" si="5"/>
        <v>2025 Nationals</v>
      </c>
      <c r="K13" s="9">
        <f t="shared" si="6"/>
        <v>0</v>
      </c>
      <c r="L13" s="9" t="str">
        <f t="shared" si="7"/>
        <v/>
      </c>
      <c r="M13" s="9">
        <f t="shared" si="8"/>
        <v>0</v>
      </c>
      <c r="N13" s="9" t="str">
        <f t="shared" si="9"/>
        <v/>
      </c>
      <c r="O13" s="9">
        <f t="shared" si="10"/>
        <v>18.690000000000001</v>
      </c>
      <c r="P13" s="9" t="str">
        <f t="shared" si="11"/>
        <v>2025 Nationals</v>
      </c>
      <c r="Q13" s="9" t="str">
        <f t="shared" si="12"/>
        <v/>
      </c>
      <c r="R13" s="14" t="str">
        <f t="shared" si="13"/>
        <v/>
      </c>
      <c r="S13" s="9" t="str">
        <f t="shared" si="14"/>
        <v/>
      </c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32"/>
      <c r="AO13" s="7" t="str">
        <f t="shared" si="15"/>
        <v/>
      </c>
      <c r="AP13" s="7" t="str">
        <f t="shared" si="16"/>
        <v/>
      </c>
      <c r="AQ13" s="7" t="str">
        <f t="shared" si="17"/>
        <v/>
      </c>
      <c r="AR13" s="7" t="str">
        <f t="shared" si="18"/>
        <v/>
      </c>
      <c r="AS13" s="7" t="str">
        <f t="shared" si="19"/>
        <v/>
      </c>
      <c r="AT13" s="7" t="str">
        <f t="shared" si="20"/>
        <v/>
      </c>
      <c r="AU13" s="7" t="str">
        <f t="shared" si="21"/>
        <v/>
      </c>
      <c r="AV13" s="7" t="str">
        <f t="shared" si="22"/>
        <v/>
      </c>
      <c r="AW13" s="7" t="str">
        <f t="shared" si="23"/>
        <v/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33"/>
      <c r="BS13" s="9" t="str">
        <f t="shared" si="24"/>
        <v/>
      </c>
      <c r="BT13" s="9" t="str">
        <f t="shared" si="25"/>
        <v/>
      </c>
      <c r="BU13" s="9" t="str">
        <f t="shared" si="26"/>
        <v/>
      </c>
      <c r="BV13" s="9" t="str">
        <f t="shared" si="27"/>
        <v/>
      </c>
      <c r="BW13" s="9" t="str">
        <f t="shared" si="28"/>
        <v/>
      </c>
      <c r="BX13" s="9" t="str">
        <f t="shared" si="29"/>
        <v/>
      </c>
      <c r="BY13" s="9" t="str">
        <f t="shared" si="30"/>
        <v/>
      </c>
      <c r="BZ13" s="9" t="str">
        <f t="shared" si="31"/>
        <v/>
      </c>
      <c r="CA13" s="9" t="str">
        <f t="shared" si="32"/>
        <v/>
      </c>
      <c r="CB13" s="27">
        <v>15.3</v>
      </c>
      <c r="CC13" s="27">
        <v>9.1999999999999993</v>
      </c>
      <c r="CD13" s="27">
        <v>0</v>
      </c>
      <c r="CE13" s="27">
        <v>14.95</v>
      </c>
      <c r="CF13" s="27">
        <v>0</v>
      </c>
      <c r="CG13" s="27">
        <v>4.5999999999999996</v>
      </c>
      <c r="CH13" s="27">
        <v>3.4</v>
      </c>
      <c r="CI13" s="27">
        <v>5.6</v>
      </c>
      <c r="CJ13" s="27">
        <v>5.99</v>
      </c>
      <c r="CK13" s="27">
        <v>0</v>
      </c>
      <c r="CL13" s="27"/>
      <c r="CM13" s="27"/>
      <c r="CN13" s="27"/>
      <c r="CO13" s="27"/>
      <c r="CP13" s="27"/>
      <c r="CQ13" s="27">
        <v>5.2</v>
      </c>
      <c r="CR13" s="27">
        <v>3.3</v>
      </c>
      <c r="CS13" s="27">
        <v>4.3</v>
      </c>
      <c r="CT13" s="27">
        <v>5.89</v>
      </c>
      <c r="CU13" s="27">
        <v>0</v>
      </c>
      <c r="CV13" s="32"/>
      <c r="CW13" s="7">
        <f t="shared" si="33"/>
        <v>39.450000000000003</v>
      </c>
      <c r="CX13" s="7">
        <f t="shared" si="34"/>
        <v>5.6</v>
      </c>
      <c r="CY13" s="7">
        <f t="shared" si="35"/>
        <v>19.59</v>
      </c>
      <c r="CZ13" s="7" t="str">
        <f t="shared" si="36"/>
        <v/>
      </c>
      <c r="DA13" s="7" t="str">
        <f t="shared" si="37"/>
        <v/>
      </c>
      <c r="DB13" s="7">
        <f t="shared" si="38"/>
        <v>59.040000000000006</v>
      </c>
      <c r="DC13" s="7">
        <f t="shared" si="39"/>
        <v>4.3</v>
      </c>
      <c r="DD13" s="7">
        <f t="shared" si="40"/>
        <v>18.690000000000001</v>
      </c>
      <c r="DE13" s="7">
        <f t="shared" si="41"/>
        <v>77.73</v>
      </c>
      <c r="DF13" s="13" t="str">
        <f t="shared" si="42"/>
        <v/>
      </c>
      <c r="DG13" s="13" t="str">
        <f t="shared" si="43"/>
        <v/>
      </c>
      <c r="DH13" s="13" t="str">
        <f t="shared" si="44"/>
        <v/>
      </c>
      <c r="DI13" s="13" t="str">
        <f t="shared" si="45"/>
        <v/>
      </c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7" t="str">
        <f t="shared" si="46"/>
        <v/>
      </c>
      <c r="DZ13" s="7" t="str">
        <f t="shared" si="47"/>
        <v/>
      </c>
      <c r="EA13" s="7" t="str">
        <f t="shared" si="48"/>
        <v/>
      </c>
      <c r="EB13" s="7" t="str">
        <f t="shared" si="49"/>
        <v/>
      </c>
      <c r="EC13" s="7" t="str">
        <f t="shared" si="50"/>
        <v/>
      </c>
      <c r="ED13" s="7" t="str">
        <f t="shared" si="51"/>
        <v/>
      </c>
      <c r="EE13" s="7" t="str">
        <f t="shared" si="52"/>
        <v/>
      </c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9" t="str">
        <f t="shared" si="53"/>
        <v/>
      </c>
      <c r="EV13" s="9" t="str">
        <f t="shared" si="54"/>
        <v/>
      </c>
      <c r="EW13" s="9" t="str">
        <f t="shared" si="55"/>
        <v/>
      </c>
      <c r="EX13" s="9" t="str">
        <f t="shared" si="56"/>
        <v/>
      </c>
      <c r="EY13" s="9" t="str">
        <f t="shared" si="57"/>
        <v/>
      </c>
      <c r="EZ13" s="9" t="str">
        <f t="shared" si="58"/>
        <v/>
      </c>
      <c r="FA13" s="9" t="str">
        <f t="shared" si="59"/>
        <v/>
      </c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7" t="str">
        <f t="shared" si="60"/>
        <v/>
      </c>
      <c r="FR13" s="7" t="str">
        <f t="shared" si="61"/>
        <v/>
      </c>
      <c r="FS13" s="7" t="str">
        <f t="shared" si="62"/>
        <v/>
      </c>
      <c r="FT13" s="7" t="str">
        <f t="shared" si="63"/>
        <v/>
      </c>
      <c r="FU13" s="7" t="str">
        <f t="shared" si="64"/>
        <v/>
      </c>
      <c r="FV13" s="7" t="str">
        <f t="shared" si="65"/>
        <v/>
      </c>
      <c r="FW13" s="7" t="str">
        <f t="shared" si="66"/>
        <v/>
      </c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9" t="str">
        <f t="shared" si="67"/>
        <v/>
      </c>
      <c r="GN13" s="9" t="str">
        <f t="shared" si="68"/>
        <v/>
      </c>
      <c r="GO13" s="9" t="str">
        <f t="shared" si="69"/>
        <v/>
      </c>
      <c r="GP13" s="9" t="str">
        <f t="shared" si="70"/>
        <v/>
      </c>
      <c r="GQ13" s="9" t="str">
        <f t="shared" si="71"/>
        <v/>
      </c>
      <c r="GR13" s="9" t="str">
        <f t="shared" si="72"/>
        <v/>
      </c>
      <c r="GS13" s="9" t="str">
        <f t="shared" si="73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7" t="str">
        <f t="shared" si="74"/>
        <v/>
      </c>
      <c r="HJ13" s="7" t="str">
        <f t="shared" si="75"/>
        <v/>
      </c>
      <c r="HK13" s="7" t="str">
        <f t="shared" si="76"/>
        <v/>
      </c>
      <c r="HL13" s="7" t="str">
        <f t="shared" si="77"/>
        <v/>
      </c>
      <c r="HM13" s="7" t="str">
        <f t="shared" si="78"/>
        <v/>
      </c>
      <c r="HN13" s="7" t="str">
        <f t="shared" si="79"/>
        <v/>
      </c>
      <c r="HO13" s="7" t="str">
        <f t="shared" si="80"/>
        <v/>
      </c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9" t="str">
        <f t="shared" si="81"/>
        <v/>
      </c>
      <c r="IF13" s="9" t="str">
        <f t="shared" si="82"/>
        <v/>
      </c>
      <c r="IG13" s="9" t="str">
        <f t="shared" si="83"/>
        <v/>
      </c>
      <c r="IH13" s="9" t="str">
        <f t="shared" si="84"/>
        <v/>
      </c>
      <c r="II13" s="9" t="str">
        <f t="shared" si="85"/>
        <v/>
      </c>
      <c r="IJ13" s="9" t="str">
        <f t="shared" si="86"/>
        <v/>
      </c>
      <c r="IK13" s="9" t="str">
        <f t="shared" si="87"/>
        <v/>
      </c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7" t="str">
        <f t="shared" si="88"/>
        <v/>
      </c>
      <c r="JB13" s="7" t="str">
        <f t="shared" si="89"/>
        <v/>
      </c>
      <c r="JC13" s="7" t="str">
        <f t="shared" si="90"/>
        <v/>
      </c>
      <c r="JD13" s="7" t="str">
        <f t="shared" si="91"/>
        <v/>
      </c>
      <c r="JE13" s="7" t="str">
        <f t="shared" si="92"/>
        <v/>
      </c>
      <c r="JF13" s="7" t="str">
        <f t="shared" si="93"/>
        <v/>
      </c>
      <c r="JG13" s="7" t="str">
        <f t="shared" si="94"/>
        <v/>
      </c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9" t="str">
        <f t="shared" si="95"/>
        <v/>
      </c>
      <c r="JX13" s="9" t="str">
        <f t="shared" si="96"/>
        <v/>
      </c>
      <c r="JY13" s="9" t="str">
        <f t="shared" si="97"/>
        <v/>
      </c>
      <c r="JZ13" s="9" t="str">
        <f t="shared" si="98"/>
        <v/>
      </c>
      <c r="KA13" s="9" t="str">
        <f t="shared" si="99"/>
        <v/>
      </c>
      <c r="KB13" s="9" t="str">
        <f t="shared" si="100"/>
        <v/>
      </c>
      <c r="KC13" s="9" t="str">
        <f t="shared" si="101"/>
        <v/>
      </c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7" t="str">
        <f t="shared" si="102"/>
        <v/>
      </c>
      <c r="KT13" s="7" t="str">
        <f t="shared" si="103"/>
        <v/>
      </c>
      <c r="KU13" s="7" t="str">
        <f t="shared" si="104"/>
        <v/>
      </c>
      <c r="KV13" s="7" t="str">
        <f t="shared" si="105"/>
        <v/>
      </c>
      <c r="KW13" s="7" t="str">
        <f t="shared" si="106"/>
        <v/>
      </c>
      <c r="KX13" s="7" t="str">
        <f t="shared" si="107"/>
        <v/>
      </c>
      <c r="KY13" s="7" t="str">
        <f t="shared" si="108"/>
        <v/>
      </c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9" t="str">
        <f t="shared" si="109"/>
        <v/>
      </c>
      <c r="LP13" s="9" t="str">
        <f t="shared" si="110"/>
        <v/>
      </c>
      <c r="LQ13" s="9" t="str">
        <f t="shared" si="111"/>
        <v/>
      </c>
      <c r="LR13" s="9" t="str">
        <f t="shared" si="112"/>
        <v/>
      </c>
      <c r="LS13" s="9" t="str">
        <f t="shared" si="113"/>
        <v/>
      </c>
      <c r="LT13" s="9" t="str">
        <f t="shared" si="114"/>
        <v/>
      </c>
      <c r="LU13" s="9" t="str">
        <f t="shared" si="115"/>
        <v/>
      </c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7" t="str">
        <f t="shared" si="116"/>
        <v/>
      </c>
      <c r="ML13" s="7" t="str">
        <f t="shared" si="117"/>
        <v/>
      </c>
      <c r="MM13" s="7" t="str">
        <f t="shared" si="118"/>
        <v/>
      </c>
      <c r="MN13" s="7" t="str">
        <f t="shared" si="119"/>
        <v/>
      </c>
      <c r="MO13" s="7" t="str">
        <f t="shared" si="120"/>
        <v/>
      </c>
      <c r="MP13" s="7" t="str">
        <f t="shared" si="121"/>
        <v/>
      </c>
      <c r="MQ13" s="7" t="str">
        <f t="shared" si="122"/>
        <v/>
      </c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9" t="str">
        <f t="shared" si="123"/>
        <v/>
      </c>
      <c r="NH13" s="9" t="str">
        <f t="shared" si="124"/>
        <v/>
      </c>
      <c r="NI13" s="9" t="str">
        <f t="shared" si="125"/>
        <v/>
      </c>
      <c r="NJ13" s="9" t="str">
        <f t="shared" si="126"/>
        <v/>
      </c>
      <c r="NK13" s="9" t="str">
        <f t="shared" si="127"/>
        <v/>
      </c>
      <c r="NL13" s="9" t="str">
        <f t="shared" si="128"/>
        <v/>
      </c>
      <c r="NM13" s="9" t="str">
        <f t="shared" si="129"/>
        <v/>
      </c>
      <c r="NN13" s="27">
        <f t="shared" si="130"/>
        <v>7.65</v>
      </c>
      <c r="NO13" s="27">
        <f t="shared" si="131"/>
        <v>4.5999999999999996</v>
      </c>
      <c r="NP13" s="27">
        <f t="shared" si="132"/>
        <v>0</v>
      </c>
      <c r="NQ13" s="27">
        <f t="shared" si="133"/>
        <v>7.4749999999999996</v>
      </c>
      <c r="NR13" s="27">
        <f t="shared" si="134"/>
        <v>0</v>
      </c>
      <c r="NS13" s="27">
        <f t="shared" si="135"/>
        <v>2.2999999999999998</v>
      </c>
      <c r="NT13" s="27">
        <f t="shared" si="136"/>
        <v>1.7</v>
      </c>
      <c r="NU13" s="27">
        <f t="shared" si="137"/>
        <v>2.8</v>
      </c>
      <c r="NV13" s="27">
        <f t="shared" si="138"/>
        <v>2.9950000000000001</v>
      </c>
      <c r="NW13" s="27">
        <f t="shared" si="139"/>
        <v>0</v>
      </c>
      <c r="NX13" s="27">
        <f t="shared" si="140"/>
        <v>0</v>
      </c>
      <c r="NY13" s="27">
        <f t="shared" si="141"/>
        <v>0</v>
      </c>
      <c r="NZ13" s="27">
        <f t="shared" si="142"/>
        <v>0</v>
      </c>
      <c r="OA13" s="27">
        <f t="shared" si="143"/>
        <v>0</v>
      </c>
      <c r="OB13" s="27">
        <f t="shared" si="144"/>
        <v>0</v>
      </c>
      <c r="OC13" s="27">
        <f t="shared" si="145"/>
        <v>2.6</v>
      </c>
      <c r="OD13" s="27">
        <f t="shared" si="146"/>
        <v>1.65</v>
      </c>
      <c r="OE13" s="27">
        <f t="shared" si="147"/>
        <v>2.15</v>
      </c>
      <c r="OF13" s="27">
        <f t="shared" si="148"/>
        <v>2.9449999999999998</v>
      </c>
      <c r="OG13" s="27">
        <f t="shared" si="149"/>
        <v>0</v>
      </c>
      <c r="OH13" s="32" t="s">
        <v>44</v>
      </c>
      <c r="OI13" s="7">
        <f t="shared" si="150"/>
        <v>19.725000000000001</v>
      </c>
      <c r="OJ13" s="7">
        <f t="shared" si="151"/>
        <v>2.8</v>
      </c>
      <c r="OK13" s="7">
        <f t="shared" si="152"/>
        <v>9.7949999999999999</v>
      </c>
      <c r="OL13" s="7" t="str">
        <f t="shared" si="153"/>
        <v/>
      </c>
      <c r="OM13" s="7" t="str">
        <f t="shared" si="154"/>
        <v/>
      </c>
      <c r="ON13" s="7">
        <f t="shared" si="155"/>
        <v>29.520000000000003</v>
      </c>
      <c r="OO13" s="7">
        <f t="shared" si="156"/>
        <v>2.15</v>
      </c>
      <c r="OP13" s="7">
        <f t="shared" si="161"/>
        <v>9.3450000000000006</v>
      </c>
      <c r="OQ13" s="7">
        <f t="shared" si="162"/>
        <v>38.865000000000002</v>
      </c>
    </row>
    <row r="14" spans="1:407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97</v>
      </c>
      <c r="C14" s="4" t="s">
        <v>90</v>
      </c>
      <c r="D14" s="4">
        <v>2009</v>
      </c>
      <c r="E14" s="10">
        <f t="shared" si="0"/>
        <v>73.61</v>
      </c>
      <c r="F14" s="3" t="str">
        <f t="shared" si="1"/>
        <v/>
      </c>
      <c r="G14" s="3" t="str">
        <f t="shared" si="2"/>
        <v/>
      </c>
      <c r="H14" s="47" t="str">
        <f t="shared" si="3"/>
        <v/>
      </c>
      <c r="I14" s="9">
        <f t="shared" si="4"/>
        <v>54.940000000000005</v>
      </c>
      <c r="J14" s="9" t="str">
        <f t="shared" si="5"/>
        <v>2025 Nationals</v>
      </c>
      <c r="K14" s="9">
        <f t="shared" si="6"/>
        <v>0</v>
      </c>
      <c r="L14" s="9" t="str">
        <f t="shared" si="7"/>
        <v/>
      </c>
      <c r="M14" s="9">
        <f t="shared" si="8"/>
        <v>0</v>
      </c>
      <c r="N14" s="9" t="str">
        <f t="shared" si="9"/>
        <v/>
      </c>
      <c r="O14" s="9">
        <f t="shared" si="10"/>
        <v>18.669999999999998</v>
      </c>
      <c r="P14" s="9" t="str">
        <f t="shared" si="11"/>
        <v>2025 Nationals</v>
      </c>
      <c r="Q14" s="9" t="str">
        <f t="shared" si="12"/>
        <v/>
      </c>
      <c r="R14" s="14" t="str">
        <f t="shared" si="13"/>
        <v/>
      </c>
      <c r="S14" s="9" t="str">
        <f t="shared" si="14"/>
        <v/>
      </c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32"/>
      <c r="AO14" s="7" t="str">
        <f t="shared" si="15"/>
        <v/>
      </c>
      <c r="AP14" s="7" t="str">
        <f t="shared" si="16"/>
        <v/>
      </c>
      <c r="AQ14" s="7" t="str">
        <f t="shared" si="17"/>
        <v/>
      </c>
      <c r="AR14" s="7" t="str">
        <f t="shared" si="18"/>
        <v/>
      </c>
      <c r="AS14" s="7" t="str">
        <f t="shared" si="19"/>
        <v/>
      </c>
      <c r="AT14" s="7" t="str">
        <f t="shared" si="20"/>
        <v/>
      </c>
      <c r="AU14" s="7" t="str">
        <f t="shared" si="21"/>
        <v/>
      </c>
      <c r="AV14" s="7" t="str">
        <f t="shared" si="22"/>
        <v/>
      </c>
      <c r="AW14" s="7" t="str">
        <f t="shared" si="23"/>
        <v/>
      </c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33"/>
      <c r="BS14" s="9" t="str">
        <f t="shared" si="24"/>
        <v/>
      </c>
      <c r="BT14" s="9" t="str">
        <f t="shared" si="25"/>
        <v/>
      </c>
      <c r="BU14" s="9" t="str">
        <f t="shared" si="26"/>
        <v/>
      </c>
      <c r="BV14" s="9" t="str">
        <f t="shared" si="27"/>
        <v/>
      </c>
      <c r="BW14" s="9" t="str">
        <f t="shared" si="28"/>
        <v/>
      </c>
      <c r="BX14" s="9" t="str">
        <f t="shared" si="29"/>
        <v/>
      </c>
      <c r="BY14" s="9" t="str">
        <f t="shared" si="30"/>
        <v/>
      </c>
      <c r="BZ14" s="9" t="str">
        <f t="shared" si="31"/>
        <v/>
      </c>
      <c r="CA14" s="9" t="str">
        <f t="shared" si="32"/>
        <v/>
      </c>
      <c r="CB14" s="27">
        <v>15.8</v>
      </c>
      <c r="CC14" s="27">
        <v>9.4</v>
      </c>
      <c r="CD14" s="27">
        <v>0</v>
      </c>
      <c r="CE14" s="27">
        <v>14.89</v>
      </c>
      <c r="CF14" s="27">
        <v>0</v>
      </c>
      <c r="CG14" s="27">
        <v>4.0999999999999996</v>
      </c>
      <c r="CH14" s="27">
        <v>2.7</v>
      </c>
      <c r="CI14" s="27">
        <v>3.6</v>
      </c>
      <c r="CJ14" s="27">
        <v>4.45</v>
      </c>
      <c r="CK14" s="27">
        <v>0</v>
      </c>
      <c r="CL14" s="27"/>
      <c r="CM14" s="27"/>
      <c r="CN14" s="27"/>
      <c r="CO14" s="27"/>
      <c r="CP14" s="27"/>
      <c r="CQ14" s="27">
        <v>5.2</v>
      </c>
      <c r="CR14" s="27">
        <v>3.2</v>
      </c>
      <c r="CS14" s="27">
        <v>4.3</v>
      </c>
      <c r="CT14" s="27">
        <v>5.97</v>
      </c>
      <c r="CU14" s="27">
        <v>0</v>
      </c>
      <c r="CV14" s="32"/>
      <c r="CW14" s="7">
        <f t="shared" si="33"/>
        <v>40.090000000000003</v>
      </c>
      <c r="CX14" s="7">
        <f t="shared" si="34"/>
        <v>3.6</v>
      </c>
      <c r="CY14" s="7">
        <f t="shared" si="35"/>
        <v>14.850000000000001</v>
      </c>
      <c r="CZ14" s="7" t="str">
        <f t="shared" si="36"/>
        <v/>
      </c>
      <c r="DA14" s="7" t="str">
        <f t="shared" si="37"/>
        <v/>
      </c>
      <c r="DB14" s="7">
        <f t="shared" si="38"/>
        <v>54.940000000000005</v>
      </c>
      <c r="DC14" s="7">
        <f t="shared" si="39"/>
        <v>4.3</v>
      </c>
      <c r="DD14" s="7">
        <f t="shared" si="40"/>
        <v>18.669999999999998</v>
      </c>
      <c r="DE14" s="7">
        <f t="shared" si="41"/>
        <v>73.61</v>
      </c>
      <c r="DF14" s="13" t="str">
        <f t="shared" si="42"/>
        <v/>
      </c>
      <c r="DG14" s="13" t="str">
        <f t="shared" si="43"/>
        <v/>
      </c>
      <c r="DH14" s="13" t="str">
        <f t="shared" si="44"/>
        <v/>
      </c>
      <c r="DI14" s="13" t="str">
        <f t="shared" si="45"/>
        <v/>
      </c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7" t="str">
        <f t="shared" si="46"/>
        <v/>
      </c>
      <c r="DZ14" s="7" t="str">
        <f t="shared" si="47"/>
        <v/>
      </c>
      <c r="EA14" s="7" t="str">
        <f t="shared" si="48"/>
        <v/>
      </c>
      <c r="EB14" s="7" t="str">
        <f t="shared" si="49"/>
        <v/>
      </c>
      <c r="EC14" s="7" t="str">
        <f t="shared" si="50"/>
        <v/>
      </c>
      <c r="ED14" s="7" t="str">
        <f t="shared" si="51"/>
        <v/>
      </c>
      <c r="EE14" s="7" t="str">
        <f t="shared" si="52"/>
        <v/>
      </c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9" t="str">
        <f t="shared" si="53"/>
        <v/>
      </c>
      <c r="EV14" s="9" t="str">
        <f t="shared" si="54"/>
        <v/>
      </c>
      <c r="EW14" s="9" t="str">
        <f t="shared" si="55"/>
        <v/>
      </c>
      <c r="EX14" s="9" t="str">
        <f t="shared" si="56"/>
        <v/>
      </c>
      <c r="EY14" s="9" t="str">
        <f t="shared" si="57"/>
        <v/>
      </c>
      <c r="EZ14" s="9" t="str">
        <f t="shared" si="58"/>
        <v/>
      </c>
      <c r="FA14" s="9" t="str">
        <f t="shared" si="59"/>
        <v/>
      </c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7" t="str">
        <f t="shared" si="60"/>
        <v/>
      </c>
      <c r="FR14" s="7" t="str">
        <f t="shared" si="61"/>
        <v/>
      </c>
      <c r="FS14" s="7" t="str">
        <f t="shared" si="62"/>
        <v/>
      </c>
      <c r="FT14" s="7" t="str">
        <f t="shared" si="63"/>
        <v/>
      </c>
      <c r="FU14" s="7" t="str">
        <f t="shared" si="64"/>
        <v/>
      </c>
      <c r="FV14" s="7" t="str">
        <f t="shared" si="65"/>
        <v/>
      </c>
      <c r="FW14" s="7" t="str">
        <f t="shared" si="66"/>
        <v/>
      </c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9" t="str">
        <f t="shared" si="67"/>
        <v/>
      </c>
      <c r="GN14" s="9" t="str">
        <f t="shared" si="68"/>
        <v/>
      </c>
      <c r="GO14" s="9" t="str">
        <f t="shared" si="69"/>
        <v/>
      </c>
      <c r="GP14" s="9" t="str">
        <f t="shared" si="70"/>
        <v/>
      </c>
      <c r="GQ14" s="9" t="str">
        <f t="shared" si="71"/>
        <v/>
      </c>
      <c r="GR14" s="9" t="str">
        <f t="shared" si="72"/>
        <v/>
      </c>
      <c r="GS14" s="9" t="str">
        <f t="shared" si="73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7" t="str">
        <f t="shared" si="74"/>
        <v/>
      </c>
      <c r="HJ14" s="7" t="str">
        <f t="shared" si="75"/>
        <v/>
      </c>
      <c r="HK14" s="7" t="str">
        <f t="shared" si="76"/>
        <v/>
      </c>
      <c r="HL14" s="7" t="str">
        <f t="shared" si="77"/>
        <v/>
      </c>
      <c r="HM14" s="7" t="str">
        <f t="shared" si="78"/>
        <v/>
      </c>
      <c r="HN14" s="7" t="str">
        <f t="shared" si="79"/>
        <v/>
      </c>
      <c r="HO14" s="7" t="str">
        <f t="shared" si="80"/>
        <v/>
      </c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9" t="str">
        <f t="shared" si="81"/>
        <v/>
      </c>
      <c r="IF14" s="9" t="str">
        <f t="shared" si="82"/>
        <v/>
      </c>
      <c r="IG14" s="9" t="str">
        <f t="shared" si="83"/>
        <v/>
      </c>
      <c r="IH14" s="9" t="str">
        <f t="shared" si="84"/>
        <v/>
      </c>
      <c r="II14" s="9" t="str">
        <f t="shared" si="85"/>
        <v/>
      </c>
      <c r="IJ14" s="9" t="str">
        <f t="shared" si="86"/>
        <v/>
      </c>
      <c r="IK14" s="9" t="str">
        <f t="shared" si="87"/>
        <v/>
      </c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7" t="str">
        <f t="shared" si="88"/>
        <v/>
      </c>
      <c r="JB14" s="7" t="str">
        <f t="shared" si="89"/>
        <v/>
      </c>
      <c r="JC14" s="7" t="str">
        <f t="shared" si="90"/>
        <v/>
      </c>
      <c r="JD14" s="7" t="str">
        <f t="shared" si="91"/>
        <v/>
      </c>
      <c r="JE14" s="7" t="str">
        <f t="shared" si="92"/>
        <v/>
      </c>
      <c r="JF14" s="7" t="str">
        <f t="shared" si="93"/>
        <v/>
      </c>
      <c r="JG14" s="7" t="str">
        <f t="shared" si="94"/>
        <v/>
      </c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9" t="str">
        <f t="shared" si="95"/>
        <v/>
      </c>
      <c r="JX14" s="9" t="str">
        <f t="shared" si="96"/>
        <v/>
      </c>
      <c r="JY14" s="9" t="str">
        <f t="shared" si="97"/>
        <v/>
      </c>
      <c r="JZ14" s="9" t="str">
        <f t="shared" si="98"/>
        <v/>
      </c>
      <c r="KA14" s="9" t="str">
        <f t="shared" si="99"/>
        <v/>
      </c>
      <c r="KB14" s="9" t="str">
        <f t="shared" si="100"/>
        <v/>
      </c>
      <c r="KC14" s="9" t="str">
        <f t="shared" si="101"/>
        <v/>
      </c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7" t="str">
        <f t="shared" si="102"/>
        <v/>
      </c>
      <c r="KT14" s="7" t="str">
        <f t="shared" si="103"/>
        <v/>
      </c>
      <c r="KU14" s="7" t="str">
        <f t="shared" si="104"/>
        <v/>
      </c>
      <c r="KV14" s="7" t="str">
        <f t="shared" si="105"/>
        <v/>
      </c>
      <c r="KW14" s="7" t="str">
        <f t="shared" si="106"/>
        <v/>
      </c>
      <c r="KX14" s="7" t="str">
        <f t="shared" si="107"/>
        <v/>
      </c>
      <c r="KY14" s="7" t="str">
        <f t="shared" si="108"/>
        <v/>
      </c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9" t="str">
        <f t="shared" si="109"/>
        <v/>
      </c>
      <c r="LP14" s="9" t="str">
        <f t="shared" si="110"/>
        <v/>
      </c>
      <c r="LQ14" s="9" t="str">
        <f t="shared" si="111"/>
        <v/>
      </c>
      <c r="LR14" s="9" t="str">
        <f t="shared" si="112"/>
        <v/>
      </c>
      <c r="LS14" s="9" t="str">
        <f t="shared" si="113"/>
        <v/>
      </c>
      <c r="LT14" s="9" t="str">
        <f t="shared" si="114"/>
        <v/>
      </c>
      <c r="LU14" s="9" t="str">
        <f t="shared" si="115"/>
        <v/>
      </c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7" t="str">
        <f t="shared" si="116"/>
        <v/>
      </c>
      <c r="ML14" s="7" t="str">
        <f t="shared" si="117"/>
        <v/>
      </c>
      <c r="MM14" s="7" t="str">
        <f t="shared" si="118"/>
        <v/>
      </c>
      <c r="MN14" s="7" t="str">
        <f t="shared" si="119"/>
        <v/>
      </c>
      <c r="MO14" s="7" t="str">
        <f t="shared" si="120"/>
        <v/>
      </c>
      <c r="MP14" s="7" t="str">
        <f t="shared" si="121"/>
        <v/>
      </c>
      <c r="MQ14" s="7" t="str">
        <f t="shared" si="122"/>
        <v/>
      </c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9" t="str">
        <f t="shared" si="123"/>
        <v/>
      </c>
      <c r="NH14" s="9" t="str">
        <f t="shared" si="124"/>
        <v/>
      </c>
      <c r="NI14" s="9" t="str">
        <f t="shared" si="125"/>
        <v/>
      </c>
      <c r="NJ14" s="9" t="str">
        <f t="shared" si="126"/>
        <v/>
      </c>
      <c r="NK14" s="9" t="str">
        <f t="shared" si="127"/>
        <v/>
      </c>
      <c r="NL14" s="9" t="str">
        <f t="shared" si="128"/>
        <v/>
      </c>
      <c r="NM14" s="9" t="str">
        <f t="shared" si="129"/>
        <v/>
      </c>
      <c r="NN14" s="27">
        <f t="shared" si="130"/>
        <v>7.9</v>
      </c>
      <c r="NO14" s="27">
        <f t="shared" si="131"/>
        <v>4.7</v>
      </c>
      <c r="NP14" s="27">
        <f t="shared" si="132"/>
        <v>0</v>
      </c>
      <c r="NQ14" s="27">
        <f t="shared" si="133"/>
        <v>7.4450000000000003</v>
      </c>
      <c r="NR14" s="27">
        <f t="shared" si="134"/>
        <v>0</v>
      </c>
      <c r="NS14" s="27">
        <f t="shared" si="135"/>
        <v>2.0499999999999998</v>
      </c>
      <c r="NT14" s="27">
        <f t="shared" si="136"/>
        <v>1.35</v>
      </c>
      <c r="NU14" s="27">
        <f t="shared" si="137"/>
        <v>1.8</v>
      </c>
      <c r="NV14" s="27">
        <f t="shared" si="138"/>
        <v>2.2250000000000001</v>
      </c>
      <c r="NW14" s="27">
        <f t="shared" si="139"/>
        <v>0</v>
      </c>
      <c r="NX14" s="27">
        <f t="shared" si="140"/>
        <v>0</v>
      </c>
      <c r="NY14" s="27">
        <f t="shared" si="141"/>
        <v>0</v>
      </c>
      <c r="NZ14" s="27">
        <f t="shared" si="142"/>
        <v>0</v>
      </c>
      <c r="OA14" s="27">
        <f t="shared" si="143"/>
        <v>0</v>
      </c>
      <c r="OB14" s="27">
        <f t="shared" si="144"/>
        <v>0</v>
      </c>
      <c r="OC14" s="27">
        <f t="shared" si="145"/>
        <v>2.6</v>
      </c>
      <c r="OD14" s="27">
        <f t="shared" si="146"/>
        <v>1.6</v>
      </c>
      <c r="OE14" s="27">
        <f t="shared" si="147"/>
        <v>2.15</v>
      </c>
      <c r="OF14" s="27">
        <f t="shared" si="148"/>
        <v>2.9849999999999999</v>
      </c>
      <c r="OG14" s="27">
        <f t="shared" si="149"/>
        <v>0</v>
      </c>
      <c r="OH14" s="32" t="s">
        <v>44</v>
      </c>
      <c r="OI14" s="7">
        <f t="shared" si="150"/>
        <v>20.045000000000002</v>
      </c>
      <c r="OJ14" s="7">
        <f t="shared" si="151"/>
        <v>1.8</v>
      </c>
      <c r="OK14" s="7">
        <f t="shared" si="152"/>
        <v>7.4250000000000007</v>
      </c>
      <c r="OL14" s="7" t="str">
        <f t="shared" si="153"/>
        <v/>
      </c>
      <c r="OM14" s="7" t="str">
        <f t="shared" si="154"/>
        <v/>
      </c>
      <c r="ON14" s="7">
        <f t="shared" si="155"/>
        <v>27.470000000000002</v>
      </c>
      <c r="OO14" s="7">
        <f t="shared" si="156"/>
        <v>2.15</v>
      </c>
      <c r="OP14" s="7">
        <f t="shared" ref="OP14" si="163">IF(SUM(OC14:OF14)-OG14&gt;0,SUM(OC14:OF14)-OG14,"")</f>
        <v>9.3349999999999991</v>
      </c>
      <c r="OQ14" s="7">
        <f t="shared" ref="OQ14" si="164">IF(SUM(ON14,OP14)&gt;0,SUM(ON14,OP14),"")</f>
        <v>36.805</v>
      </c>
    </row>
    <row r="15" spans="1:407" x14ac:dyDescent="0.2">
      <c r="B15" s="5"/>
      <c r="D15" s="1"/>
    </row>
    <row r="17" spans="1:377" x14ac:dyDescent="0.2">
      <c r="B17" s="28" t="s">
        <v>42</v>
      </c>
      <c r="C17" s="5"/>
      <c r="AP17" s="46"/>
      <c r="AQ17" s="46"/>
      <c r="AR17" s="46"/>
      <c r="AU17" s="2"/>
      <c r="AW17" s="24">
        <v>13.5</v>
      </c>
      <c r="BT17" s="46"/>
      <c r="BU17" s="46"/>
      <c r="BV17" s="46"/>
      <c r="BY17" s="2"/>
      <c r="CA17" s="24">
        <v>13.4</v>
      </c>
      <c r="CX17" s="46"/>
      <c r="CY17" s="46"/>
      <c r="CZ17" s="46"/>
      <c r="DC17" s="2"/>
      <c r="DE17" s="24">
        <v>13.4</v>
      </c>
      <c r="DY17" s="5"/>
      <c r="EC17" s="2"/>
      <c r="EE17" s="24">
        <v>13.4</v>
      </c>
      <c r="EU17" s="5"/>
      <c r="EY17" s="2"/>
      <c r="FA17" s="24">
        <v>13.4</v>
      </c>
      <c r="FQ17" s="5"/>
      <c r="FU17" s="2"/>
      <c r="FW17" s="24">
        <v>13.4</v>
      </c>
      <c r="GM17" s="5"/>
      <c r="GQ17" s="2"/>
      <c r="GS17" s="24">
        <v>13.4</v>
      </c>
      <c r="HI17" s="5"/>
      <c r="HM17" s="2"/>
      <c r="HO17" s="24">
        <v>13.4</v>
      </c>
      <c r="IE17" s="5"/>
      <c r="II17" s="2"/>
      <c r="IK17" s="24">
        <v>13.4</v>
      </c>
      <c r="JA17" s="5"/>
      <c r="JE17" s="2"/>
      <c r="JG17" s="24">
        <v>13.4</v>
      </c>
      <c r="JW17" s="5"/>
      <c r="KA17" s="2"/>
      <c r="KC17" s="24">
        <v>13.4</v>
      </c>
      <c r="KS17" s="5"/>
      <c r="KW17" s="2"/>
      <c r="KY17" s="24">
        <v>13.4</v>
      </c>
      <c r="LO17" s="5"/>
      <c r="LS17" s="2"/>
      <c r="LU17" s="24">
        <v>13.4</v>
      </c>
      <c r="MK17" s="5"/>
      <c r="MO17" s="2"/>
      <c r="MQ17" s="24">
        <v>13.4</v>
      </c>
      <c r="NG17" s="5"/>
      <c r="NK17" s="2"/>
      <c r="NM17" s="24">
        <v>13.4</v>
      </c>
    </row>
    <row r="18" spans="1:377" hidden="1" x14ac:dyDescent="0.2">
      <c r="B18" s="35" t="s">
        <v>41</v>
      </c>
      <c r="C18" s="5"/>
      <c r="AP18" s="46"/>
      <c r="AQ18" s="46"/>
      <c r="AR18" s="46"/>
      <c r="AU18" s="2"/>
      <c r="AW18" s="39">
        <v>13.5</v>
      </c>
      <c r="BT18" s="46"/>
      <c r="BU18" s="46"/>
      <c r="BV18" s="46"/>
      <c r="BY18" s="2"/>
      <c r="CA18" s="39">
        <v>1000</v>
      </c>
      <c r="CX18" s="46"/>
      <c r="CY18" s="46"/>
      <c r="CZ18" s="46"/>
      <c r="DC18" s="2"/>
      <c r="DE18" s="39">
        <v>1000</v>
      </c>
      <c r="DY18" s="5"/>
      <c r="EC18" s="2"/>
      <c r="EE18" s="39">
        <v>1000</v>
      </c>
      <c r="EU18" s="5"/>
      <c r="EY18" s="2"/>
      <c r="FA18" s="39">
        <v>1000</v>
      </c>
      <c r="FQ18" s="5"/>
      <c r="FU18" s="2"/>
      <c r="FW18" s="39">
        <v>1000</v>
      </c>
      <c r="GM18" s="5"/>
      <c r="GQ18" s="2"/>
      <c r="GS18" s="39">
        <v>1000</v>
      </c>
      <c r="HI18" s="5"/>
      <c r="HM18" s="2"/>
      <c r="HO18" s="39">
        <v>1000</v>
      </c>
      <c r="IE18" s="5"/>
      <c r="II18" s="2"/>
      <c r="IK18" s="39">
        <v>1000</v>
      </c>
      <c r="JA18" s="5"/>
      <c r="JE18" s="2"/>
      <c r="JG18" s="39">
        <v>1000</v>
      </c>
      <c r="JW18" s="5"/>
      <c r="KA18" s="2"/>
      <c r="KC18" s="39">
        <v>1000</v>
      </c>
      <c r="KS18" s="5"/>
      <c r="KW18" s="2"/>
      <c r="KY18" s="39">
        <v>1000</v>
      </c>
      <c r="LO18" s="5"/>
      <c r="LS18" s="2"/>
      <c r="LU18" s="39">
        <v>1000</v>
      </c>
      <c r="MK18" s="5"/>
      <c r="MO18" s="2"/>
      <c r="MQ18" s="39">
        <v>1000</v>
      </c>
      <c r="NG18" s="5"/>
      <c r="NK18" s="2"/>
      <c r="NM18" s="39">
        <v>1000</v>
      </c>
    </row>
    <row r="19" spans="1:377" hidden="1" x14ac:dyDescent="0.2">
      <c r="A19" s="5"/>
      <c r="B19" s="36" t="s">
        <v>54</v>
      </c>
      <c r="C19" s="5"/>
      <c r="AP19" s="46"/>
      <c r="AQ19" s="46"/>
      <c r="AR19" s="46"/>
      <c r="AT19" s="2"/>
      <c r="AU19" s="2"/>
      <c r="AV19" s="2"/>
      <c r="AW19" s="38">
        <v>13.5</v>
      </c>
      <c r="BT19" s="46"/>
      <c r="BU19" s="46"/>
      <c r="BV19" s="46"/>
      <c r="BY19" s="2"/>
      <c r="CA19" s="38">
        <v>1000</v>
      </c>
      <c r="CX19" s="46"/>
      <c r="CY19" s="46"/>
      <c r="CZ19" s="46"/>
      <c r="DB19" s="2"/>
      <c r="DC19" s="2"/>
      <c r="DD19" s="2"/>
      <c r="DE19" s="38">
        <v>1000</v>
      </c>
      <c r="DY19" s="5"/>
      <c r="EC19" s="2"/>
      <c r="EE19" s="38">
        <v>1000</v>
      </c>
      <c r="EU19" s="5"/>
      <c r="EY19" s="2"/>
      <c r="FA19" s="38">
        <v>1000</v>
      </c>
      <c r="FQ19" s="5"/>
      <c r="FU19" s="2"/>
      <c r="FW19" s="38">
        <v>1000</v>
      </c>
      <c r="GM19" s="5"/>
      <c r="GQ19" s="2"/>
      <c r="GS19" s="38">
        <v>1000</v>
      </c>
      <c r="HI19" s="5"/>
      <c r="HM19" s="2"/>
      <c r="HO19" s="38">
        <v>1000</v>
      </c>
      <c r="IE19" s="5"/>
      <c r="II19" s="2"/>
      <c r="IK19" s="38">
        <v>1000</v>
      </c>
      <c r="JA19" s="5"/>
      <c r="JE19" s="2"/>
      <c r="JG19" s="38">
        <v>1000</v>
      </c>
      <c r="JW19" s="5"/>
      <c r="KA19" s="2"/>
      <c r="KC19" s="38">
        <v>1000</v>
      </c>
      <c r="KS19" s="5"/>
      <c r="KW19" s="2"/>
      <c r="KY19" s="38">
        <v>1000</v>
      </c>
      <c r="LO19" s="5"/>
      <c r="LS19" s="2"/>
      <c r="LU19" s="38">
        <v>1000</v>
      </c>
      <c r="MK19" s="5"/>
      <c r="MO19" s="2"/>
      <c r="MQ19" s="38">
        <v>1000</v>
      </c>
      <c r="NG19" s="5"/>
      <c r="NK19" s="2"/>
      <c r="NM19" s="38">
        <v>1000</v>
      </c>
    </row>
    <row r="20" spans="1:377" hidden="1" x14ac:dyDescent="0.2">
      <c r="A20" s="5"/>
      <c r="B20" s="44" t="s">
        <v>59</v>
      </c>
      <c r="C20" s="5"/>
      <c r="AP20" s="46"/>
      <c r="AQ20" s="46"/>
      <c r="AR20" s="46"/>
      <c r="AT20" s="2"/>
      <c r="AU20" s="2"/>
      <c r="AV20" s="2"/>
      <c r="AW20" s="45">
        <v>13.5</v>
      </c>
      <c r="BT20" s="46"/>
      <c r="BU20" s="46"/>
      <c r="BV20" s="46"/>
      <c r="BY20" s="2"/>
      <c r="CA20" s="45">
        <v>1000</v>
      </c>
      <c r="CX20" s="46"/>
      <c r="CY20" s="46"/>
      <c r="CZ20" s="46"/>
      <c r="DB20" s="2"/>
      <c r="DC20" s="2"/>
      <c r="DD20" s="2"/>
      <c r="DE20" s="45">
        <v>1000</v>
      </c>
      <c r="DY20" s="5"/>
      <c r="EC20" s="2"/>
      <c r="EE20" s="45">
        <v>1000</v>
      </c>
      <c r="EU20" s="5"/>
      <c r="EY20" s="2"/>
      <c r="FA20" s="45">
        <v>1000</v>
      </c>
      <c r="FQ20" s="5"/>
      <c r="FU20" s="2"/>
      <c r="FW20" s="45">
        <v>1000</v>
      </c>
      <c r="GM20" s="5"/>
      <c r="GQ20" s="2"/>
      <c r="GS20" s="45">
        <v>1000</v>
      </c>
      <c r="HI20" s="5"/>
      <c r="HM20" s="2"/>
      <c r="HO20" s="45">
        <v>1000</v>
      </c>
      <c r="IE20" s="5"/>
      <c r="II20" s="2"/>
      <c r="IK20" s="45">
        <v>1000</v>
      </c>
      <c r="JA20" s="5"/>
      <c r="JE20" s="2"/>
      <c r="JG20" s="45">
        <v>1000</v>
      </c>
      <c r="JW20" s="5"/>
      <c r="KA20" s="2"/>
      <c r="KC20" s="45">
        <v>1000</v>
      </c>
      <c r="KS20" s="5"/>
      <c r="KW20" s="2"/>
      <c r="KY20" s="45">
        <v>1000</v>
      </c>
      <c r="LO20" s="5"/>
      <c r="LS20" s="2"/>
      <c r="LU20" s="45">
        <v>1000</v>
      </c>
      <c r="MK20" s="5"/>
      <c r="MO20" s="2"/>
      <c r="MQ20" s="45">
        <v>1000</v>
      </c>
      <c r="NG20" s="5"/>
      <c r="NK20" s="2"/>
      <c r="NM20" s="45">
        <v>1000</v>
      </c>
    </row>
    <row r="21" spans="1:377" x14ac:dyDescent="0.2">
      <c r="A21" s="5"/>
      <c r="B21" s="42" t="s">
        <v>39</v>
      </c>
      <c r="C21" s="5"/>
      <c r="M21" s="2"/>
      <c r="AP21" s="46"/>
      <c r="AQ21" s="46"/>
      <c r="AR21" s="46"/>
      <c r="AT21" s="2"/>
      <c r="AU21" s="2"/>
      <c r="AV21" s="2"/>
      <c r="AW21" s="43">
        <v>96</v>
      </c>
      <c r="BT21" s="46"/>
      <c r="BU21" s="46"/>
      <c r="BV21" s="46"/>
      <c r="BY21" s="2"/>
      <c r="CA21" s="43">
        <v>93.9</v>
      </c>
      <c r="CX21" s="46"/>
      <c r="CY21" s="46"/>
      <c r="CZ21" s="46"/>
      <c r="DB21" s="2"/>
      <c r="DC21" s="2"/>
      <c r="DD21" s="2"/>
      <c r="DE21" s="43">
        <v>93.9</v>
      </c>
      <c r="DY21" s="5"/>
      <c r="EC21" s="2"/>
      <c r="EE21" s="43">
        <v>93.9</v>
      </c>
      <c r="EU21" s="5"/>
      <c r="EY21" s="2"/>
      <c r="FA21" s="43">
        <v>93.9</v>
      </c>
      <c r="FQ21" s="5"/>
      <c r="FU21" s="2"/>
      <c r="FW21" s="43">
        <v>93.9</v>
      </c>
      <c r="GM21" s="5"/>
      <c r="GQ21" s="2"/>
      <c r="GS21" s="43">
        <v>93.9</v>
      </c>
      <c r="HI21" s="5"/>
      <c r="HM21" s="2"/>
      <c r="HO21" s="43">
        <v>93.9</v>
      </c>
      <c r="IE21" s="5"/>
      <c r="II21" s="2"/>
      <c r="IK21" s="43">
        <v>93.9</v>
      </c>
      <c r="JA21" s="5"/>
      <c r="JE21" s="2"/>
      <c r="JG21" s="43">
        <v>93.9</v>
      </c>
      <c r="JW21" s="5"/>
      <c r="KA21" s="2"/>
      <c r="KC21" s="43">
        <v>93.9</v>
      </c>
      <c r="KS21" s="5"/>
      <c r="KW21" s="2"/>
      <c r="KY21" s="43">
        <v>93.9</v>
      </c>
      <c r="LO21" s="5"/>
      <c r="LS21" s="2"/>
      <c r="LU21" s="43">
        <v>93.9</v>
      </c>
      <c r="MK21" s="5"/>
      <c r="MO21" s="2"/>
      <c r="MQ21" s="43">
        <v>93.9</v>
      </c>
      <c r="NG21" s="5"/>
      <c r="NK21" s="2"/>
      <c r="NM21" s="43">
        <v>93.9</v>
      </c>
    </row>
    <row r="22" spans="1:377" hidden="1" x14ac:dyDescent="0.2">
      <c r="A22" s="5"/>
      <c r="B22" s="29" t="s">
        <v>40</v>
      </c>
      <c r="C22" s="5"/>
      <c r="M22" s="2"/>
      <c r="AP22" s="46"/>
      <c r="AQ22" s="46"/>
      <c r="AR22" s="46"/>
      <c r="AT22" s="2"/>
      <c r="AU22" s="2"/>
      <c r="AV22" s="2"/>
      <c r="AW22" s="25">
        <v>99.2</v>
      </c>
      <c r="BT22" s="46"/>
      <c r="BU22" s="46"/>
      <c r="BV22" s="46"/>
      <c r="BY22" s="2"/>
      <c r="CA22" s="25">
        <v>1000</v>
      </c>
      <c r="CX22" s="46"/>
      <c r="CY22" s="46"/>
      <c r="CZ22" s="46"/>
      <c r="DB22" s="2"/>
      <c r="DC22" s="2"/>
      <c r="DD22" s="2"/>
      <c r="DE22" s="25">
        <v>1000</v>
      </c>
      <c r="DY22" s="5"/>
      <c r="EC22" s="2"/>
      <c r="EE22" s="25">
        <v>1000</v>
      </c>
      <c r="EU22" s="5"/>
      <c r="EY22" s="2"/>
      <c r="FA22" s="25">
        <v>1000</v>
      </c>
      <c r="FQ22" s="5"/>
      <c r="FU22" s="2"/>
      <c r="FW22" s="25">
        <v>1000</v>
      </c>
      <c r="GM22" s="5"/>
      <c r="GQ22" s="2"/>
      <c r="GS22" s="25">
        <v>1000</v>
      </c>
      <c r="HI22" s="5"/>
      <c r="HM22" s="2"/>
      <c r="HO22" s="25">
        <v>1000</v>
      </c>
      <c r="IE22" s="5"/>
      <c r="II22" s="2"/>
      <c r="IK22" s="25">
        <v>1000</v>
      </c>
      <c r="JA22" s="5"/>
      <c r="JE22" s="2"/>
      <c r="JG22" s="25">
        <v>1000</v>
      </c>
      <c r="JW22" s="5"/>
      <c r="KA22" s="2"/>
      <c r="KC22" s="25">
        <v>1000</v>
      </c>
      <c r="KS22" s="5"/>
      <c r="KW22" s="2"/>
      <c r="KY22" s="25">
        <v>1000</v>
      </c>
      <c r="LO22" s="5"/>
      <c r="LS22" s="2"/>
      <c r="LU22" s="25">
        <v>1000</v>
      </c>
      <c r="MK22" s="5"/>
      <c r="MO22" s="2"/>
      <c r="MQ22" s="25">
        <v>1000</v>
      </c>
      <c r="NG22" s="5"/>
      <c r="NK22" s="2"/>
      <c r="NM22" s="25">
        <v>1000</v>
      </c>
    </row>
    <row r="23" spans="1:377" hidden="1" x14ac:dyDescent="0.2">
      <c r="A23" s="5"/>
      <c r="B23" s="40" t="s">
        <v>53</v>
      </c>
      <c r="C23" s="5"/>
      <c r="AP23" s="46"/>
      <c r="AQ23" s="46"/>
      <c r="AR23" s="46"/>
      <c r="AT23" s="2"/>
      <c r="AU23" s="2"/>
      <c r="AV23" s="2"/>
      <c r="AW23" s="41">
        <v>99.2</v>
      </c>
      <c r="BT23" s="46"/>
      <c r="BU23" s="46"/>
      <c r="BV23" s="46"/>
      <c r="BY23" s="2"/>
      <c r="BZ23" s="48"/>
      <c r="CA23" s="41">
        <v>1000</v>
      </c>
      <c r="CX23" s="46"/>
      <c r="CY23" s="46"/>
      <c r="CZ23" s="46"/>
      <c r="DB23" s="2"/>
      <c r="DC23" s="2"/>
      <c r="DD23" s="2"/>
      <c r="DE23" s="41">
        <v>1000</v>
      </c>
      <c r="DY23" s="5"/>
      <c r="EC23" s="2"/>
      <c r="ED23" s="48"/>
      <c r="EE23" s="41">
        <v>1000</v>
      </c>
      <c r="EU23" s="5"/>
      <c r="EY23" s="2"/>
      <c r="FA23" s="41">
        <v>1000</v>
      </c>
      <c r="FQ23" s="5"/>
      <c r="FU23" s="2"/>
      <c r="FW23" s="41">
        <v>1000</v>
      </c>
      <c r="GM23" s="5"/>
      <c r="GQ23" s="2"/>
      <c r="GR23" s="48"/>
      <c r="GS23" s="41">
        <v>1000</v>
      </c>
      <c r="HI23" s="5"/>
      <c r="HM23" s="2"/>
      <c r="HN23" s="48"/>
      <c r="HO23" s="41">
        <v>1000</v>
      </c>
      <c r="IE23" s="5"/>
      <c r="II23" s="2"/>
      <c r="IJ23" s="48"/>
      <c r="IK23" s="41">
        <v>1000</v>
      </c>
      <c r="JA23" s="5"/>
      <c r="JE23" s="2"/>
      <c r="JG23" s="41">
        <v>1000</v>
      </c>
      <c r="JW23" s="5"/>
      <c r="KA23" s="2"/>
      <c r="KC23" s="41">
        <v>1000</v>
      </c>
      <c r="KS23" s="5"/>
      <c r="KW23" s="2"/>
      <c r="KY23" s="41">
        <v>1000</v>
      </c>
      <c r="LO23" s="5"/>
      <c r="LS23" s="2"/>
      <c r="LU23" s="41">
        <v>1000</v>
      </c>
      <c r="MK23" s="5"/>
      <c r="MO23" s="2"/>
      <c r="MQ23" s="41">
        <v>1000</v>
      </c>
      <c r="NG23" s="5"/>
      <c r="NK23" s="2"/>
      <c r="NM23" s="41">
        <v>1000</v>
      </c>
    </row>
    <row r="24" spans="1:377" hidden="1" x14ac:dyDescent="0.2">
      <c r="A24" s="5"/>
      <c r="B24" s="30" t="s">
        <v>26</v>
      </c>
      <c r="C24" s="5"/>
      <c r="M24" s="2"/>
      <c r="AP24" s="46"/>
      <c r="AQ24" s="46"/>
      <c r="AR24" s="46"/>
      <c r="AT24" s="2"/>
      <c r="AU24" s="2"/>
      <c r="AV24" s="2"/>
      <c r="AW24" s="26">
        <v>56</v>
      </c>
      <c r="BT24" s="46"/>
      <c r="BU24" s="46"/>
      <c r="BV24" s="46"/>
      <c r="BY24" s="2"/>
      <c r="CA24" s="26">
        <v>1000</v>
      </c>
      <c r="CX24" s="46"/>
      <c r="CY24" s="46"/>
      <c r="CZ24" s="46"/>
      <c r="DB24" s="2"/>
      <c r="DC24" s="2"/>
      <c r="DD24" s="2"/>
      <c r="DE24" s="26">
        <v>1000</v>
      </c>
      <c r="DY24" s="5"/>
      <c r="EC24" s="2"/>
      <c r="EE24" s="26">
        <v>1000</v>
      </c>
      <c r="EU24" s="5"/>
      <c r="EY24" s="2"/>
      <c r="FA24" s="26">
        <v>1000</v>
      </c>
      <c r="FQ24" s="5"/>
      <c r="FU24" s="2"/>
      <c r="FW24" s="26">
        <v>1000</v>
      </c>
      <c r="GM24" s="5"/>
      <c r="GQ24" s="2"/>
      <c r="GS24" s="26">
        <v>1000</v>
      </c>
      <c r="HI24" s="5"/>
      <c r="HM24" s="2"/>
      <c r="HO24" s="26">
        <v>1000</v>
      </c>
      <c r="IE24" s="5"/>
      <c r="II24" s="2"/>
      <c r="IJ24" s="48"/>
      <c r="IK24" s="26">
        <v>1000</v>
      </c>
      <c r="JA24" s="5"/>
      <c r="JE24" s="2"/>
      <c r="JG24" s="26">
        <v>1000</v>
      </c>
      <c r="JW24" s="5"/>
      <c r="KA24" s="2"/>
      <c r="KC24" s="26">
        <v>1000</v>
      </c>
      <c r="KS24" s="5"/>
      <c r="KW24" s="2"/>
      <c r="KY24" s="26">
        <v>1000</v>
      </c>
      <c r="LO24" s="5"/>
      <c r="LS24" s="2"/>
      <c r="LU24" s="26">
        <v>1000</v>
      </c>
      <c r="MK24" s="5"/>
      <c r="MO24" s="2"/>
      <c r="MQ24" s="26">
        <v>1000</v>
      </c>
      <c r="NG24" s="5"/>
      <c r="NK24" s="2"/>
      <c r="NM24" s="26">
        <v>1000</v>
      </c>
    </row>
    <row r="25" spans="1:377" x14ac:dyDescent="0.2">
      <c r="B25" s="34" t="s">
        <v>45</v>
      </c>
      <c r="C25" s="2"/>
      <c r="AS25" s="2"/>
      <c r="AT25" s="2"/>
      <c r="AV25" s="2"/>
      <c r="DA25" s="2"/>
      <c r="DB25" s="2"/>
      <c r="DD25" s="2"/>
      <c r="EV25" s="2"/>
    </row>
    <row r="26" spans="1:377" x14ac:dyDescent="0.2">
      <c r="A26" s="5"/>
      <c r="B26" s="5"/>
      <c r="C26" s="22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A27" s="5"/>
      <c r="B27" s="5"/>
      <c r="C27" s="22"/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A28" s="5"/>
      <c r="B28" s="5"/>
      <c r="C28" s="22"/>
      <c r="Q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AO29" s="2"/>
      <c r="AP29" s="2"/>
      <c r="AQ29" s="2"/>
      <c r="AR29" s="2"/>
      <c r="AS29" s="2"/>
      <c r="AT29" s="2"/>
      <c r="AV29" s="2"/>
      <c r="CW29" s="2"/>
      <c r="CX29" s="2"/>
      <c r="CY29" s="2"/>
      <c r="CZ29" s="2"/>
      <c r="DA29" s="2"/>
      <c r="DB29" s="2"/>
      <c r="DD29" s="2"/>
    </row>
    <row r="30" spans="1:377" ht="17" x14ac:dyDescent="0.2">
      <c r="Q30" s="11"/>
      <c r="R30" s="11"/>
      <c r="AO30" s="2"/>
      <c r="AP30" s="2"/>
      <c r="AQ30" s="2"/>
      <c r="AR30" s="2"/>
      <c r="AS30" s="2"/>
      <c r="AT30" s="2"/>
      <c r="AV30" s="2"/>
      <c r="CW30" s="2"/>
      <c r="CX30" s="2"/>
      <c r="CY30" s="2"/>
      <c r="CZ30" s="2"/>
      <c r="DA30" s="2"/>
      <c r="DB30" s="2"/>
      <c r="DD30" s="2"/>
    </row>
    <row r="31" spans="1:377" ht="17" x14ac:dyDescent="0.2">
      <c r="Q31" s="11"/>
      <c r="R31" s="11"/>
      <c r="AO31" s="2"/>
      <c r="AP31" s="2"/>
      <c r="AQ31" s="2"/>
      <c r="AR31" s="2"/>
      <c r="AS31" s="2"/>
      <c r="AT31" s="2"/>
      <c r="AV31" s="2"/>
      <c r="CW31" s="2"/>
      <c r="CX31" s="2"/>
      <c r="CY31" s="2"/>
      <c r="CZ31" s="2"/>
      <c r="DA31" s="2"/>
      <c r="DB31" s="2"/>
      <c r="DD31" s="2"/>
    </row>
    <row r="32" spans="1:377" ht="17" x14ac:dyDescent="0.2">
      <c r="Q32" s="11"/>
      <c r="R32" s="11"/>
      <c r="S32" s="11"/>
    </row>
    <row r="33" spans="10:19" ht="17" x14ac:dyDescent="0.2">
      <c r="Q33" s="11"/>
      <c r="R33" s="11"/>
      <c r="S33" s="11"/>
    </row>
    <row r="34" spans="10:19" ht="17" x14ac:dyDescent="0.2">
      <c r="Q34" s="11"/>
      <c r="R34" s="11"/>
      <c r="S34" s="11"/>
    </row>
    <row r="35" spans="10:19" ht="17" x14ac:dyDescent="0.2">
      <c r="Q35" s="11"/>
      <c r="R35" s="11"/>
      <c r="S35" s="11"/>
    </row>
    <row r="36" spans="10:19" ht="17" x14ac:dyDescent="0.2">
      <c r="Q36" s="11"/>
      <c r="R36" s="11"/>
      <c r="S36" s="11"/>
    </row>
    <row r="37" spans="10:19" ht="17" x14ac:dyDescent="0.2">
      <c r="Q37" s="11"/>
      <c r="R37" s="11"/>
      <c r="S37" s="11"/>
    </row>
    <row r="38" spans="10:19" ht="17" x14ac:dyDescent="0.2">
      <c r="J38" s="5"/>
      <c r="K38" s="4"/>
      <c r="L38" s="4"/>
      <c r="Q38" s="11"/>
      <c r="R38" s="11"/>
      <c r="S38" s="11"/>
    </row>
    <row r="39" spans="10:19" ht="17" x14ac:dyDescent="0.2">
      <c r="J39" s="5"/>
      <c r="K39" s="4"/>
      <c r="L39" s="4"/>
      <c r="Q39" s="11"/>
      <c r="R39" s="11"/>
      <c r="S39" s="11"/>
    </row>
    <row r="40" spans="10:19" ht="17" x14ac:dyDescent="0.2">
      <c r="J40" s="5"/>
      <c r="K40" s="4"/>
      <c r="L40" s="4"/>
      <c r="Q40" s="11"/>
      <c r="R40" s="11"/>
      <c r="S40" s="11"/>
    </row>
    <row r="41" spans="10:19" ht="17" x14ac:dyDescent="0.2">
      <c r="Q41" s="11"/>
      <c r="R41" s="11"/>
      <c r="S41" s="11"/>
    </row>
    <row r="42" spans="10:19" ht="17" x14ac:dyDescent="0.2">
      <c r="Q42" s="11"/>
      <c r="R42" s="11"/>
      <c r="S42" s="11"/>
    </row>
    <row r="43" spans="10:19" ht="17" x14ac:dyDescent="0.2">
      <c r="Q43" s="11"/>
      <c r="R43" s="11"/>
      <c r="S43" s="11"/>
    </row>
    <row r="44" spans="10:19" ht="17" x14ac:dyDescent="0.2">
      <c r="Q44" s="11"/>
      <c r="R44" s="11"/>
      <c r="S44" s="11"/>
    </row>
    <row r="45" spans="10:19" ht="17" x14ac:dyDescent="0.2">
      <c r="Q45" s="11"/>
      <c r="R45" s="11"/>
      <c r="S45" s="11"/>
    </row>
    <row r="46" spans="10:19" ht="17" x14ac:dyDescent="0.2">
      <c r="Q46" s="11"/>
      <c r="R46" s="11"/>
      <c r="S4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14">
      <sortCondition descending="1" ref="F1:F15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14">
    <cfRule type="expression" dxfId="187" priority="2" stopIfTrue="1">
      <formula>IF($AN4&lt;&gt;"",1,0)</formula>
    </cfRule>
  </conditionalFormatting>
  <conditionalFormatting sqref="AX4:CA14">
    <cfRule type="expression" dxfId="186" priority="4" stopIfTrue="1">
      <formula>IF($BR4&lt;&gt;"",1,0)</formula>
    </cfRule>
  </conditionalFormatting>
  <conditionalFormatting sqref="J41:J1048576 L41:L1048576 L1:L37 P1:P1048576 J1:J37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14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9174" operator="between">
      <formula>AW$24</formula>
      <formula>1000</formula>
    </cfRule>
    <cfRule type="cellIs" dxfId="178" priority="59175" operator="between">
      <formula>AW$23</formula>
      <formula>AW$24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9264" operator="between">
      <formula>AW$23</formula>
      <formula>1000</formula>
    </cfRule>
    <cfRule type="cellIs" dxfId="176" priority="59265" operator="between">
      <formula>AW$22</formula>
      <formula>AW$23</formula>
    </cfRule>
    <cfRule type="cellIs" dxfId="175" priority="59266" operator="between">
      <formula>AW$21</formula>
      <formula>AW$22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9399" operator="between">
      <formula>AW$24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9444" operator="between">
      <formula>EE$20</formula>
      <formula>1000</formula>
    </cfRule>
    <cfRule type="cellIs" dxfId="172" priority="59445" operator="between">
      <formula>EE$19</formula>
      <formula>EE$20</formula>
    </cfRule>
    <cfRule type="cellIs" dxfId="171" priority="59446" operator="between">
      <formula>EE$18</formula>
      <formula>EE$19</formula>
    </cfRule>
    <cfRule type="cellIs" dxfId="170" priority="59447" operator="between">
      <formula>EE$17</formula>
      <formula>EE$18</formula>
    </cfRule>
  </conditionalFormatting>
  <conditionalFormatting sqref="AP1:AP1048576 BT1:BT1048576 CX1:CX1048576">
    <cfRule type="cellIs" dxfId="169" priority="59588" operator="between">
      <formula>AW$20</formula>
      <formula>1000</formula>
    </cfRule>
    <cfRule type="cellIs" dxfId="168" priority="59589" operator="between">
      <formula>AW$19</formula>
      <formula>AW$20</formula>
    </cfRule>
    <cfRule type="cellIs" dxfId="167" priority="59590" operator="between">
      <formula>AW$18</formula>
      <formula>AW$19</formula>
    </cfRule>
    <cfRule type="cellIs" dxfId="166" priority="59591" operator="between">
      <formula>AW$17</formula>
      <formula>AW$18</formula>
    </cfRule>
  </conditionalFormatting>
  <conditionalFormatting sqref="AQ1:AQ1048576 BU1:BU1048576 CY1:CY1048576">
    <cfRule type="cellIs" dxfId="165" priority="59624" operator="between">
      <formula>AW$24</formula>
      <formula>1000</formula>
    </cfRule>
  </conditionalFormatting>
  <conditionalFormatting sqref="AR1:AR1048576 BV1:BV1048576 CZ1:CZ1048576">
    <cfRule type="cellIs" dxfId="164" priority="59633" operator="between">
      <formula>AW$20</formula>
      <formula>1000</formula>
    </cfRule>
    <cfRule type="cellIs" dxfId="163" priority="59634" operator="between">
      <formula>AW$19</formula>
      <formula>AW$20</formula>
    </cfRule>
    <cfRule type="cellIs" dxfId="162" priority="59635" operator="between">
      <formula>AW$18</formula>
      <formula>AW$19</formula>
    </cfRule>
    <cfRule type="cellIs" dxfId="161" priority="59636" operator="between">
      <formula>AW$17</formula>
      <formula>AW$18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9669" operator="between">
      <formula>AW$20</formula>
      <formula>1000</formula>
    </cfRule>
    <cfRule type="cellIs" dxfId="159" priority="59670" operator="between">
      <formula>AW$19</formula>
      <formula>AW$20</formula>
    </cfRule>
    <cfRule type="cellIs" dxfId="158" priority="59671" operator="between">
      <formula>AW$18</formula>
      <formula>AW$19</formula>
    </cfRule>
    <cfRule type="cellIs" dxfId="157" priority="59672" operator="between">
      <formula>AW$17</formula>
      <formula>AW$18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83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104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120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80</v>
      </c>
      <c r="C4" s="4" t="s">
        <v>3</v>
      </c>
      <c r="D4" s="4">
        <v>2009</v>
      </c>
      <c r="E4" s="10">
        <f t="shared" ref="E4:E11" si="0">SUM(I4:Q4)</f>
        <v>238.86</v>
      </c>
      <c r="F4" s="3" t="str">
        <f t="shared" ref="F4:F11" si="1"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 t="shared" ref="G4:G11" si="2"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 t="shared" ref="H4:H11" si="3"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 t="shared" ref="I4:I11" si="4">IF(MAX(AT4,BX4,DB4)&gt;0,MAX(AT4,BX4,DB4),0)</f>
        <v>94.62</v>
      </c>
      <c r="J4" s="9" t="str">
        <f t="shared" ref="J4:J11" si="5">IF(I4=0,"",IF(I4=DB4,$CB$1,IF(I4=BX4,$AX$1,IF(I4=AT4,$T$1,""))))</f>
        <v>2024 3rd Domestic Trial</v>
      </c>
      <c r="K4" s="9">
        <f t="shared" ref="K4:K11" si="6">IF($I4=$AT4,MAX(BS4,CW4),IF($I4=$BX4,MAX(AO4,CW4),IF($I4=$DB4,MAX(AO4,BS4),MAX(AO4,BS4,CW4))))</f>
        <v>42.839999999999996</v>
      </c>
      <c r="L4" s="9" t="str">
        <f t="shared" ref="L4:L11" si="7">IF(K4=0,"",IF(AND(K4=CW4,$J4&lt;&gt;$CB$1),$CB$1,IF(AND(K4=BS4,$J4&lt;&gt;$AX$1),$AX$1,IF(AND(K4=AO4,$J4&lt;&gt;$T$1),$T$1,""))))</f>
        <v>2025 Nationals</v>
      </c>
      <c r="M4" s="9">
        <f t="shared" ref="M4:M11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50.45</v>
      </c>
      <c r="N4" s="9" t="str">
        <f t="shared" ref="N4:N11" si="9">IF(M4=0,"",IF(AND(OR(M4=DA4,M4=CY4),$J4&lt;&gt;$CB$1),$CB$1,IF(AND(OR(M4=BW4,M4=BU4),$J4&lt;&gt;$AX$1),$AX$1,IF(AND(OR(M4=AS4,M4=AQ4),$J4&lt;&gt;$T$1),$T$1,""))))</f>
        <v>2025 Elite Canada</v>
      </c>
      <c r="O4" s="9">
        <f t="shared" ref="O4:O11" si="10">MAX(AV4,BZ4,DD4)</f>
        <v>50.95</v>
      </c>
      <c r="P4" s="9" t="str">
        <f t="shared" ref="P4:P11" si="11">IF(O4=0,"",IF(O4=DD4,$CB$1,IF(O4=BZ4,$AX$1,IF(O4=AV4,$T$1,""))))</f>
        <v>2025 Nationals</v>
      </c>
      <c r="Q4" s="9" t="str">
        <f t="shared" ref="Q4:Q11" si="12">IF(MAX(DF4,DG4,DH4,DI4)&gt;0,MAX(DF4,DG4,DH4,DI4),"")</f>
        <v/>
      </c>
      <c r="R4" s="14" t="str">
        <f t="shared" ref="R4:R11" si="13">IF(Q4="","",IF(Q4=DF4,"(Vol 1)",IF(Q4=DG4,"(Vol 2)",IF(Q4=DH4,"(Prelim)",IF(Q4=DI4,"(Final)")))))</f>
        <v/>
      </c>
      <c r="S4" s="9" t="str">
        <f t="shared" ref="S4:S11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18.100000000000001</v>
      </c>
      <c r="U4" s="27">
        <v>9.6999999999999993</v>
      </c>
      <c r="V4" s="27">
        <v>0</v>
      </c>
      <c r="W4" s="27">
        <v>15.17</v>
      </c>
      <c r="X4" s="27">
        <v>0</v>
      </c>
      <c r="Y4" s="27">
        <v>15.6</v>
      </c>
      <c r="Z4" s="27">
        <v>9.8000000000000007</v>
      </c>
      <c r="AA4" s="27">
        <v>11.5</v>
      </c>
      <c r="AB4" s="27">
        <v>14.75</v>
      </c>
      <c r="AC4" s="27">
        <v>0</v>
      </c>
      <c r="AD4" s="27"/>
      <c r="AE4" s="27"/>
      <c r="AF4" s="27"/>
      <c r="AG4" s="27"/>
      <c r="AH4" s="27"/>
      <c r="AI4" s="27">
        <v>14.9</v>
      </c>
      <c r="AJ4" s="27">
        <v>9</v>
      </c>
      <c r="AK4" s="27">
        <v>10.8</v>
      </c>
      <c r="AL4" s="27">
        <v>14.57</v>
      </c>
      <c r="AM4" s="27">
        <v>0</v>
      </c>
      <c r="AN4" s="32"/>
      <c r="AO4" s="7">
        <f t="shared" ref="AO4:AO11" si="15">IF(SUM(T4:W4)-X4&gt;0,SUM(T4:W4)-X4,"")</f>
        <v>42.97</v>
      </c>
      <c r="AP4" s="7">
        <f t="shared" ref="AP4:AP11" si="16">IF(AA4&gt;0,AA4,"")</f>
        <v>11.5</v>
      </c>
      <c r="AQ4" s="7">
        <f t="shared" ref="AQ4:AQ11" si="17">IF(SUM(Y4:AB4)-AC4&gt;0,SUM(Y4:AB4)-AC4,"")</f>
        <v>51.65</v>
      </c>
      <c r="AR4" s="7" t="str">
        <f t="shared" ref="AR4:AR11" si="18">IF(AF4&gt;0,AF4,"")</f>
        <v/>
      </c>
      <c r="AS4" s="7" t="str">
        <f t="shared" ref="AS4:AS11" si="19">IF(SUM(AD4:AG4)-AH4&gt;0,SUM(AD4:AG4)-AH4,"")</f>
        <v/>
      </c>
      <c r="AT4" s="7">
        <f t="shared" ref="AT4:AT11" si="20">IF(AO4="",IF(MAX(AQ4,AS4)&gt;0,MAX(AQ4,AS4),""),MAX(AQ4,AS4)+AO4)</f>
        <v>94.62</v>
      </c>
      <c r="AU4" s="7">
        <f t="shared" ref="AU4:AU11" si="21">IF(AK4&gt;0,AK4,"")</f>
        <v>10.8</v>
      </c>
      <c r="AV4" s="7">
        <f t="shared" ref="AV4:AV11" si="22">IF(SUM(AI4:AL4)-AM4&gt;0,SUM(AI4:AL4)-AM4,"")</f>
        <v>49.27</v>
      </c>
      <c r="AW4" s="7">
        <f t="shared" ref="AW4:AW11" si="23">IF(SUM(AT4,AV4)&gt;0,SUM(AT4,AV4),"")</f>
        <v>143.89000000000001</v>
      </c>
      <c r="AX4" s="31">
        <v>16.399999999999999</v>
      </c>
      <c r="AY4" s="31">
        <v>9.6</v>
      </c>
      <c r="AZ4" s="31">
        <v>0</v>
      </c>
      <c r="BA4" s="31">
        <v>14.52</v>
      </c>
      <c r="BB4" s="31">
        <v>0</v>
      </c>
      <c r="BC4" s="31">
        <v>15.7</v>
      </c>
      <c r="BD4" s="31">
        <v>9.4</v>
      </c>
      <c r="BE4" s="31">
        <v>11.3</v>
      </c>
      <c r="BF4" s="31">
        <v>14.05</v>
      </c>
      <c r="BG4" s="31">
        <v>0</v>
      </c>
      <c r="BH4" s="31"/>
      <c r="BI4" s="31"/>
      <c r="BJ4" s="31"/>
      <c r="BK4" s="31"/>
      <c r="BL4" s="31"/>
      <c r="BM4" s="31">
        <v>14.1</v>
      </c>
      <c r="BN4" s="31">
        <v>9</v>
      </c>
      <c r="BO4" s="31">
        <v>11.1</v>
      </c>
      <c r="BP4" s="31">
        <v>14.08</v>
      </c>
      <c r="BQ4" s="31">
        <v>0</v>
      </c>
      <c r="BR4" s="33"/>
      <c r="BS4" s="9">
        <f t="shared" ref="BS4:BS11" si="24">IF(SUM(AX4:BA4)-BB4&gt;0,SUM(AX4:BA4)-BB4,"")</f>
        <v>40.519999999999996</v>
      </c>
      <c r="BT4" s="9">
        <f t="shared" ref="BT4:BT11" si="25">IF(BE4&gt;0,BE4,"")</f>
        <v>11.3</v>
      </c>
      <c r="BU4" s="9">
        <f t="shared" ref="BU4:BU11" si="26">IF(SUM(BC4:BF4)-BG4&gt;0,SUM(BC4:BF4)-BG4,"")</f>
        <v>50.45</v>
      </c>
      <c r="BV4" s="9" t="str">
        <f t="shared" ref="BV4:BV11" si="27">IF(BJ4&gt;0,BJ4,"")</f>
        <v/>
      </c>
      <c r="BW4" s="9" t="str">
        <f t="shared" ref="BW4:BW11" si="28">IF(SUM(BH4:BK4)-BL4&gt;0,SUM(BH4:BK4)-BL4,"")</f>
        <v/>
      </c>
      <c r="BX4" s="9">
        <f t="shared" ref="BX4:BX11" si="29">IF(BS4="",IF(MAX(BU4,BW4)&gt;0,MAX(BU4,BW4),""),MAX(BU4,BW4)+BS4)</f>
        <v>90.97</v>
      </c>
      <c r="BY4" s="9">
        <f t="shared" ref="BY4:BY11" si="30">IF(BO4&gt;0,BO4,"")</f>
        <v>11.1</v>
      </c>
      <c r="BZ4" s="9">
        <f t="shared" ref="BZ4:BZ11" si="31">IF(SUM(BM4:BP4)-BQ4&gt;0,SUM(BM4:BP4)-BQ4,"")</f>
        <v>48.28</v>
      </c>
      <c r="CA4" s="9">
        <f t="shared" ref="CA4:CA11" si="32">IF(SUM(BX4,BZ4)&gt;0,SUM(BX4,BZ4),"")</f>
        <v>139.25</v>
      </c>
      <c r="CB4" s="27">
        <v>18.3</v>
      </c>
      <c r="CC4" s="27">
        <v>9.6</v>
      </c>
      <c r="CD4" s="27">
        <v>0</v>
      </c>
      <c r="CE4" s="27">
        <v>14.94</v>
      </c>
      <c r="CF4" s="27">
        <v>0</v>
      </c>
      <c r="CG4" s="27">
        <v>7.3</v>
      </c>
      <c r="CH4" s="27">
        <v>5.3</v>
      </c>
      <c r="CI4" s="27">
        <v>7.2</v>
      </c>
      <c r="CJ4" s="27">
        <v>8.5299999999999994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9.1999999999999993</v>
      </c>
      <c r="CS4" s="27">
        <v>13.1</v>
      </c>
      <c r="CT4" s="27">
        <v>14.25</v>
      </c>
      <c r="CU4" s="27">
        <v>0</v>
      </c>
      <c r="CV4" s="32"/>
      <c r="CW4" s="7">
        <f t="shared" ref="CW4:CW11" si="33">IF(SUM(CB4:CE4)-CF4&gt;0,SUM(CB4:CE4)-CF4,"")</f>
        <v>42.839999999999996</v>
      </c>
      <c r="CX4" s="7">
        <f t="shared" ref="CX4:CX11" si="34">IF(CI4&gt;0,CI4,"")</f>
        <v>7.2</v>
      </c>
      <c r="CY4" s="7">
        <f t="shared" ref="CY4:CY11" si="35">IF(SUM(CG4:CJ4)-CK4&gt;0,SUM(CG4:CJ4)-CK4,"")</f>
        <v>28.33</v>
      </c>
      <c r="CZ4" s="7" t="str">
        <f t="shared" ref="CZ4:CZ11" si="36">IF(CN4&gt;0,CN4,"")</f>
        <v/>
      </c>
      <c r="DA4" s="7" t="str">
        <f t="shared" ref="DA4:DA11" si="37">IF(SUM(CL4:CO4)-CP4&gt;0,SUM(CL4:CO4)-CP4,"")</f>
        <v/>
      </c>
      <c r="DB4" s="7">
        <f t="shared" ref="DB4:DB11" si="38">IF(CW4="",IF(MAX(CY4,DA4)&gt;0,MAX(CY4,DA4),""),MAX(CY4,DA4)+CW4)</f>
        <v>71.169999999999987</v>
      </c>
      <c r="DC4" s="7">
        <f t="shared" ref="DC4:DC11" si="39">IF(CS4&gt;0,CS4,"")</f>
        <v>13.1</v>
      </c>
      <c r="DD4" s="7">
        <f t="shared" ref="DD4:DD11" si="40">IF(SUM(CQ4:CT4)-CU4&gt;0,SUM(CQ4:CT4)-CU4,"")</f>
        <v>50.95</v>
      </c>
      <c r="DE4" s="7">
        <f t="shared" ref="DE4:DE11" si="41">IF(SUM(DB4,DD4)&gt;0,SUM(DB4,DD4),"")</f>
        <v>122.11999999999999</v>
      </c>
      <c r="DF4" s="13" t="str">
        <f t="shared" ref="DF4:DF11" si="42">IF(MAX(DZ4,EV4,FR4,GN4,HJ4,IF4,JB4,JX4,KT4,LP4,ML4,NH4)-IF(K4="",0,K4)&gt;0.001,MAX(DZ4,EV4,FR4,GN4,HJ4,IF4,JB4,JX4,KT4,LP4,ML4,NH4)-IF(K4="",0,K4),"")</f>
        <v/>
      </c>
      <c r="DG4" s="13" t="str">
        <f t="shared" ref="DG4:DG11" si="43">IF(MAX(EA4,EW4,FS4,GO4,HK4,IG4,JC4,JY4,KU4,LQ4,MM4,NI4)-IF(M4="",0,M4)&gt;0.001,MAX(EA4,EW4,FS4,GO4,HK4,IG4,JC4,JY4,KU4,LQ4,MM4,NI4)-IF(M4="",0,M4),"")</f>
        <v/>
      </c>
      <c r="DH4" s="13" t="str">
        <f t="shared" ref="DH4:DH11" si="44">IF(MAX(EB4,EX4,FT4,GP4,HL4,IH4,JD4,JZ4,KV4,LR4,MN4,NJ4)-IF(I4="",0,I4)&gt;0.001,MAX(EB4,EX4,FT4,GP4,HL4,IH4,JD4,JZ4,KV4,LR4,MN4,NJ4)-IF(I4="",0,I4),"")</f>
        <v/>
      </c>
      <c r="DI4" s="13" t="str">
        <f t="shared" ref="DI4:DI11" si="45">IF(MAX(ED4,EZ4,FV4,GR4,HN4,IJ4,JF4,KB4,KX4,LT4,MP4,NL4)-IF(O4="",0,O4)&gt;0.001,MAX(ED4,EZ4,FV4,GR4,HN4,IJ4,JF4,KB4,KX4,LT4,MP4,NL4)-IF(O4="",0,O4),"")</f>
        <v/>
      </c>
      <c r="DJ4" s="18">
        <v>17.3</v>
      </c>
      <c r="DK4" s="18">
        <v>0</v>
      </c>
      <c r="DL4" s="18">
        <v>9.6</v>
      </c>
      <c r="DM4" s="18">
        <v>15.05</v>
      </c>
      <c r="DN4" s="18">
        <v>0</v>
      </c>
      <c r="DO4" s="18">
        <v>8.1999999999999993</v>
      </c>
      <c r="DP4" s="18">
        <v>7.8</v>
      </c>
      <c r="DQ4" s="18">
        <v>5.5</v>
      </c>
      <c r="DR4" s="18">
        <v>8.83</v>
      </c>
      <c r="DS4" s="18">
        <v>0.2</v>
      </c>
      <c r="DT4" s="18"/>
      <c r="DU4" s="18"/>
      <c r="DV4" s="18"/>
      <c r="DW4" s="18"/>
      <c r="DX4" s="18"/>
      <c r="DY4" s="7">
        <f t="shared" ref="DY4:DY11" si="46">IF(DQ4&gt;0,DQ4,"")</f>
        <v>5.5</v>
      </c>
      <c r="DZ4" s="7">
        <f t="shared" ref="DZ4:DZ11" si="47">IF(SUM(DJ4:DM4)-DN4&gt;0,SUM(DJ4:DM4)-DN4,"")</f>
        <v>41.95</v>
      </c>
      <c r="EA4" s="7">
        <f t="shared" ref="EA4:EA11" si="48">IF(SUM(DO4:DR4)-DS4&gt;0,SUM(DO4:DR4)-DS4,"")</f>
        <v>30.13</v>
      </c>
      <c r="EB4" s="7">
        <f t="shared" ref="EB4:EB11" si="49">IF(SUM(DZ4:EA4)&gt;0,SUM(DZ4:EA4),"")</f>
        <v>72.08</v>
      </c>
      <c r="EC4" s="7" t="str">
        <f t="shared" ref="EC4:EC11" si="50">IF(DV4&gt;0,DV4,"")</f>
        <v/>
      </c>
      <c r="ED4" s="7" t="str">
        <f t="shared" ref="ED4:ED11" si="51">IF(SUM(DT4:DW4)-DX4&gt;0,SUM(DT4:DW4)-DX4,"")</f>
        <v/>
      </c>
      <c r="EE4" s="7">
        <f t="shared" ref="EE4:EE11" si="52">IF(SUM(EB4,ED4)&gt;0,SUM(EB4,ED4),"")</f>
        <v>72.08</v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 t="shared" ref="EU4:EU11" si="53">IF(EM4&gt;0,EM4,"")</f>
        <v/>
      </c>
      <c r="EV4" s="9" t="str">
        <f t="shared" ref="EV4:EV11" si="54">IF(SUM(EF4:EI4)-EJ4&gt;0,SUM(EF4:EI4)-EJ4,"")</f>
        <v/>
      </c>
      <c r="EW4" s="9" t="str">
        <f t="shared" ref="EW4:EW11" si="55">IF(SUM(EK4:EN4)-EO4&gt;0,SUM(EK4:EN4)-EO4,"")</f>
        <v/>
      </c>
      <c r="EX4" s="9" t="str">
        <f t="shared" ref="EX4:EX11" si="56">IF(SUM(EV4:EW4)&gt;0,SUM(EV4:EW4),"")</f>
        <v/>
      </c>
      <c r="EY4" s="9" t="str">
        <f t="shared" ref="EY4:EY11" si="57">IF(ER4&gt;0,ER4,"")</f>
        <v/>
      </c>
      <c r="EZ4" s="9" t="str">
        <f t="shared" ref="EZ4:EZ11" si="58">IF(SUM(EP4:ES4)-ET4&gt;0,SUM(EP4:ES4)-ET4,"")</f>
        <v/>
      </c>
      <c r="FA4" s="9" t="str">
        <f t="shared" ref="FA4:FA11" si="59"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 t="shared" ref="FQ4:FQ11" si="60">IF(FI4&gt;0,FI4,"")</f>
        <v/>
      </c>
      <c r="FR4" s="7" t="str">
        <f t="shared" ref="FR4:FR11" si="61">IF(SUM(FB4:FE4)-FF4&gt;0,SUM(FB4:FE4)-FF4,"")</f>
        <v/>
      </c>
      <c r="FS4" s="7" t="str">
        <f t="shared" ref="FS4:FS11" si="62">IF(SUM(FG4:FJ4)-FK4&gt;0,SUM(FG4:FJ4)-FK4,"")</f>
        <v/>
      </c>
      <c r="FT4" s="7" t="str">
        <f t="shared" ref="FT4:FT11" si="63">IF(SUM(FR4:FS4)&gt;0,SUM(FR4:FS4),"")</f>
        <v/>
      </c>
      <c r="FU4" s="7" t="str">
        <f t="shared" ref="FU4:FU11" si="64">IF(FN4&gt;0,FN4,"")</f>
        <v/>
      </c>
      <c r="FV4" s="7" t="str">
        <f t="shared" ref="FV4:FV11" si="65">IF(SUM(FL4:FO4)-FP4&gt;0,SUM(FL4:FO4)-FP4,"")</f>
        <v/>
      </c>
      <c r="FW4" s="7" t="str">
        <f t="shared" ref="FW4:FW11" si="66"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 t="shared" ref="GM4:GM11" si="67">IF(GE4&gt;0,GE4,"")</f>
        <v/>
      </c>
      <c r="GN4" s="9" t="str">
        <f t="shared" ref="GN4:GN11" si="68">IF(SUM(FX4:GA4)-GB4&gt;0,SUM(FX4:GA4)-GB4,"")</f>
        <v/>
      </c>
      <c r="GO4" s="9" t="str">
        <f t="shared" ref="GO4:GO11" si="69">IF(SUM(GC4:GF4)-GG4&gt;0,SUM(GC4:GF4)-GG4,"")</f>
        <v/>
      </c>
      <c r="GP4" s="9" t="str">
        <f t="shared" ref="GP4:GP11" si="70">IF(SUM(GN4:GO4)&gt;0,SUM(GN4:GO4),"")</f>
        <v/>
      </c>
      <c r="GQ4" s="9" t="str">
        <f t="shared" ref="GQ4:GQ11" si="71">IF(GJ4&gt;0,GJ4,"")</f>
        <v/>
      </c>
      <c r="GR4" s="9" t="str">
        <f t="shared" ref="GR4:GR11" si="72">IF(SUM(GH4:GK4)-GL4&gt;0,SUM(GH4:GK4)-GL4,"")</f>
        <v/>
      </c>
      <c r="GS4" s="9" t="str">
        <f t="shared" ref="GS4:GS11" si="73"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11" si="74">IF(HA4&gt;0,HA4,"")</f>
        <v/>
      </c>
      <c r="HJ4" s="7" t="str">
        <f t="shared" ref="HJ4:HJ11" si="75">IF(SUM(GT4:GW4)-GX4&gt;0,SUM(GT4:GW4)-GX4,"")</f>
        <v/>
      </c>
      <c r="HK4" s="7" t="str">
        <f t="shared" ref="HK4:HK11" si="76">IF(SUM(GY4:HB4)-HC4&gt;0,SUM(GY4:HB4)-HC4,"")</f>
        <v/>
      </c>
      <c r="HL4" s="7" t="str">
        <f t="shared" ref="HL4:HL11" si="77">IF(SUM(HJ4:HK4)&gt;0,SUM(HJ4:HK4),"")</f>
        <v/>
      </c>
      <c r="HM4" s="7" t="str">
        <f t="shared" ref="HM4:HM11" si="78">IF(HF4&gt;0,HF4,"")</f>
        <v/>
      </c>
      <c r="HN4" s="7" t="str">
        <f t="shared" ref="HN4:HN11" si="79">IF(SUM(HD4:HG4)-HH4&gt;0,SUM(HD4:HG4)-HH4,"")</f>
        <v/>
      </c>
      <c r="HO4" s="7" t="str">
        <f t="shared" ref="HO4:HO11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11" si="81">IF(HW4&gt;0,HW4,"")</f>
        <v/>
      </c>
      <c r="IF4" s="9" t="str">
        <f t="shared" ref="IF4:IF11" si="82">IF(SUM(HP4:HS4)-HT4&gt;0,SUM(HP4:HS4)-HT4,"")</f>
        <v/>
      </c>
      <c r="IG4" s="9" t="str">
        <f t="shared" ref="IG4:IG11" si="83">IF(SUM(HU4:HX4)-HY4&gt;0,SUM(HU4:HX4)-HY4,"")</f>
        <v/>
      </c>
      <c r="IH4" s="9" t="str">
        <f t="shared" ref="IH4:IH11" si="84">IF(SUM(IF4:IG4)&gt;0,SUM(IF4:IG4),"")</f>
        <v/>
      </c>
      <c r="II4" s="9" t="str">
        <f t="shared" ref="II4:II11" si="85">IF(IB4&gt;0,IB4,"")</f>
        <v/>
      </c>
      <c r="IJ4" s="9" t="str">
        <f t="shared" ref="IJ4:IJ11" si="86">IF(SUM(HZ4:IC4)-ID4&gt;0,SUM(HZ4:IC4)-ID4,"")</f>
        <v/>
      </c>
      <c r="IK4" s="9" t="str">
        <f t="shared" ref="IK4:IK11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11" si="88">IF(IS4&gt;0,IS4,"")</f>
        <v/>
      </c>
      <c r="JB4" s="7" t="str">
        <f t="shared" ref="JB4:JB11" si="89">IF(SUM(IL4:IO4)-IP4&gt;0,SUM(IL4:IO4)-IP4,"")</f>
        <v/>
      </c>
      <c r="JC4" s="7" t="str">
        <f t="shared" ref="JC4:JC11" si="90">IF(SUM(IQ4:IT4)-IU4&gt;0,SUM(IQ4:IT4)-IU4,"")</f>
        <v/>
      </c>
      <c r="JD4" s="7" t="str">
        <f t="shared" ref="JD4:JD11" si="91">IF(SUM(JB4:JC4)&gt;0,SUM(JB4:JC4),"")</f>
        <v/>
      </c>
      <c r="JE4" s="7" t="str">
        <f t="shared" ref="JE4:JE11" si="92">IF(IX4&gt;0,IX4,"")</f>
        <v/>
      </c>
      <c r="JF4" s="7" t="str">
        <f t="shared" ref="JF4:JF11" si="93">IF(SUM(IV4:IY4)-IZ4&gt;0,SUM(IV4:IY4)-IZ4,"")</f>
        <v/>
      </c>
      <c r="JG4" s="7" t="str">
        <f t="shared" ref="JG4:JG11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11" si="95">IF(JO4&gt;0,JO4,"")</f>
        <v/>
      </c>
      <c r="JX4" s="9" t="str">
        <f t="shared" ref="JX4:JX11" si="96">IF(SUM(JH4:JK4)-JL4&gt;0,SUM(JH4:JK4)-JL4,"")</f>
        <v/>
      </c>
      <c r="JY4" s="9" t="str">
        <f t="shared" ref="JY4:JY11" si="97">IF(SUM(JM4:JP4)-JQ4&gt;0,SUM(JM4:JP4)-JQ4,"")</f>
        <v/>
      </c>
      <c r="JZ4" s="9" t="str">
        <f t="shared" ref="JZ4:JZ11" si="98">IF(SUM(JX4:JY4)&gt;0,SUM(JX4:JY4),"")</f>
        <v/>
      </c>
      <c r="KA4" s="9" t="str">
        <f t="shared" ref="KA4:KA11" si="99">IF(JT4&gt;0,JT4,"")</f>
        <v/>
      </c>
      <c r="KB4" s="9" t="str">
        <f t="shared" ref="KB4:KB11" si="100">IF(SUM(JR4:JU4)-JV4&gt;0,SUM(JR4:JU4)-JV4,"")</f>
        <v/>
      </c>
      <c r="KC4" s="9" t="str">
        <f t="shared" ref="KC4:KC11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11" si="102">IF(KK4&gt;0,KK4,"")</f>
        <v/>
      </c>
      <c r="KT4" s="7" t="str">
        <f t="shared" ref="KT4:KT11" si="103">IF(SUM(KD4:KG4)-KH4&gt;0,SUM(KD4:KG4)-KH4,"")</f>
        <v/>
      </c>
      <c r="KU4" s="7" t="str">
        <f t="shared" ref="KU4:KU11" si="104">IF(SUM(KI4:KL4)-KM4&gt;0,SUM(KI4:KL4)-KM4,"")</f>
        <v/>
      </c>
      <c r="KV4" s="7" t="str">
        <f t="shared" ref="KV4:KV11" si="105">IF(SUM(KT4:KU4)&gt;0,SUM(KT4:KU4),"")</f>
        <v/>
      </c>
      <c r="KW4" s="7" t="str">
        <f t="shared" ref="KW4:KW11" si="106">IF(KP4&gt;0,KP4,"")</f>
        <v/>
      </c>
      <c r="KX4" s="7" t="str">
        <f t="shared" ref="KX4:KX11" si="107">IF(SUM(KN4:KQ4)-KR4&gt;0,SUM(KN4:KQ4)-KR4,"")</f>
        <v/>
      </c>
      <c r="KY4" s="7" t="str">
        <f t="shared" ref="KY4:KY11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11" si="109">IF(LG4&gt;0,LG4,"")</f>
        <v/>
      </c>
      <c r="LP4" s="9" t="str">
        <f t="shared" ref="LP4:LP11" si="110">IF(SUM(KZ4:LC4)-LD4&gt;0,SUM(KZ4:LC4)-LD4,"")</f>
        <v/>
      </c>
      <c r="LQ4" s="9" t="str">
        <f t="shared" ref="LQ4:LQ11" si="111">IF(SUM(LE4:LH4)-LI4&gt;0,SUM(LE4:LH4)-LI4,"")</f>
        <v/>
      </c>
      <c r="LR4" s="9" t="str">
        <f t="shared" ref="LR4:LR11" si="112">IF(SUM(LP4:LQ4)&gt;0,SUM(LP4:LQ4),"")</f>
        <v/>
      </c>
      <c r="LS4" s="9" t="str">
        <f t="shared" ref="LS4:LS11" si="113">IF(LL4&gt;0,LL4,"")</f>
        <v/>
      </c>
      <c r="LT4" s="9" t="str">
        <f t="shared" ref="LT4:LT11" si="114">IF(SUM(LJ4:LM4)-LN4&gt;0,SUM(LJ4:LM4)-LN4,"")</f>
        <v/>
      </c>
      <c r="LU4" s="9" t="str">
        <f t="shared" ref="LU4:LU11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11" si="116">IF(MC4&gt;0,MC4,"")</f>
        <v/>
      </c>
      <c r="ML4" s="7" t="str">
        <f t="shared" ref="ML4:ML11" si="117">IF(SUM(LV4:LY4)-LZ4&gt;0,SUM(LV4:LY4)-LZ4,"")</f>
        <v/>
      </c>
      <c r="MM4" s="7" t="str">
        <f t="shared" ref="MM4:MM11" si="118">IF(SUM(MA4:MD4)-ME4&gt;0,SUM(MA4:MD4)-ME4,"")</f>
        <v/>
      </c>
      <c r="MN4" s="7" t="str">
        <f t="shared" ref="MN4:MN11" si="119">IF(SUM(ML4:MM4)&gt;0,SUM(ML4:MM4),"")</f>
        <v/>
      </c>
      <c r="MO4" s="7" t="str">
        <f t="shared" ref="MO4:MO11" si="120">IF(MH4&gt;0,MH4,"")</f>
        <v/>
      </c>
      <c r="MP4" s="7" t="str">
        <f t="shared" ref="MP4:MP11" si="121">IF(SUM(MF4:MI4)-MJ4&gt;0,SUM(MF4:MI4)-MJ4,"")</f>
        <v/>
      </c>
      <c r="MQ4" s="7" t="str">
        <f t="shared" ref="MQ4:MQ11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11" si="123">IF(MY4&gt;0,MY4,"")</f>
        <v/>
      </c>
      <c r="NH4" s="9" t="str">
        <f t="shared" ref="NH4:NH11" si="124">IF(SUM(MR4:MU4)-MV4&gt;0,SUM(MR4:MU4)-MV4,"")</f>
        <v/>
      </c>
      <c r="NI4" s="9" t="str">
        <f t="shared" ref="NI4:NI11" si="125">IF(SUM(MW4:MZ4)-NA4&gt;0,SUM(MW4:MZ4)-NA4,"")</f>
        <v/>
      </c>
      <c r="NJ4" s="9" t="str">
        <f t="shared" ref="NJ4:NJ11" si="126">IF(SUM(NH4:NI4)&gt;0,SUM(NH4:NI4),"")</f>
        <v/>
      </c>
      <c r="NK4" s="9" t="str">
        <f t="shared" ref="NK4:NK11" si="127">IF(ND4&gt;0,ND4,"")</f>
        <v/>
      </c>
      <c r="NL4" s="9" t="str">
        <f t="shared" ref="NL4:NL11" si="128">IF(SUM(NB4:NE4)-NF4&gt;0,SUM(NB4:NE4)-NF4,"")</f>
        <v/>
      </c>
      <c r="NM4" s="9" t="str">
        <f t="shared" ref="NM4:NM11" si="129">IF(SUM(NJ4,NL4)&gt;0,SUM(NJ4,NL4),"")</f>
        <v/>
      </c>
      <c r="NN4" s="27">
        <f t="shared" ref="NN4:NW11" si="130">IF($CV4="P",CB4,(CB4+AX4)/2)</f>
        <v>17.350000000000001</v>
      </c>
      <c r="NO4" s="27">
        <f t="shared" si="130"/>
        <v>9.6</v>
      </c>
      <c r="NP4" s="27">
        <f t="shared" si="130"/>
        <v>0</v>
      </c>
      <c r="NQ4" s="27">
        <f t="shared" si="130"/>
        <v>14.73</v>
      </c>
      <c r="NR4" s="27">
        <f t="shared" si="130"/>
        <v>0</v>
      </c>
      <c r="NS4" s="27">
        <f t="shared" si="130"/>
        <v>11.5</v>
      </c>
      <c r="NT4" s="27">
        <f t="shared" si="130"/>
        <v>7.35</v>
      </c>
      <c r="NU4" s="27">
        <f t="shared" si="130"/>
        <v>9.25</v>
      </c>
      <c r="NV4" s="27">
        <f t="shared" si="130"/>
        <v>11.29</v>
      </c>
      <c r="NW4" s="27">
        <f t="shared" si="130"/>
        <v>0</v>
      </c>
      <c r="NX4" s="27">
        <f t="shared" ref="NX4:OG11" si="131">IF($CV4="P",CL4,(CL4+BH4)/2)</f>
        <v>0</v>
      </c>
      <c r="NY4" s="27">
        <f t="shared" si="131"/>
        <v>0</v>
      </c>
      <c r="NZ4" s="27">
        <f t="shared" si="131"/>
        <v>0</v>
      </c>
      <c r="OA4" s="27">
        <f t="shared" si="131"/>
        <v>0</v>
      </c>
      <c r="OB4" s="27">
        <f t="shared" si="131"/>
        <v>0</v>
      </c>
      <c r="OC4" s="27">
        <f t="shared" si="131"/>
        <v>14.25</v>
      </c>
      <c r="OD4" s="27">
        <f t="shared" si="131"/>
        <v>9.1</v>
      </c>
      <c r="OE4" s="27">
        <f t="shared" si="131"/>
        <v>12.1</v>
      </c>
      <c r="OF4" s="27">
        <f t="shared" si="131"/>
        <v>14.164999999999999</v>
      </c>
      <c r="OG4" s="27">
        <f t="shared" si="131"/>
        <v>0</v>
      </c>
      <c r="OH4" s="32" t="s">
        <v>44</v>
      </c>
      <c r="OI4" s="7">
        <f t="shared" ref="OI4:OI11" si="132">IF(SUM(NN4:NQ4)-NR4&gt;0,SUM(NN4:NQ4)-NR4,"")</f>
        <v>41.680000000000007</v>
      </c>
      <c r="OJ4" s="7">
        <f t="shared" ref="OJ4:OJ11" si="133">IF(NU4&gt;0,NU4,"")</f>
        <v>9.25</v>
      </c>
      <c r="OK4" s="7">
        <f t="shared" ref="OK4:OK11" si="134">IF(SUM(NS4:NV4)-NW4&gt;0,SUM(NS4:NV4)-NW4,"")</f>
        <v>39.39</v>
      </c>
      <c r="OL4" s="7" t="str">
        <f t="shared" ref="OL4:OL11" si="135">IF(NZ4&gt;0,NZ4,"")</f>
        <v/>
      </c>
      <c r="OM4" s="7" t="str">
        <f t="shared" ref="OM4:OM11" si="136">IF(SUM(NX4:OA4)-OB4&gt;0,SUM(NX4:OA4)-OB4,"")</f>
        <v/>
      </c>
      <c r="ON4" s="7">
        <f t="shared" ref="ON4:ON11" si="137">IF(OR(OI4&lt;&gt;"",OK4&lt;&gt;"",OM4&lt;&gt;""),OI4+MAX(OK4,OM4),"")</f>
        <v>81.070000000000007</v>
      </c>
      <c r="OO4" s="7">
        <f t="shared" ref="OO4:OO11" si="138">IF(OE4&gt;0,OE4,"")</f>
        <v>12.1</v>
      </c>
      <c r="OP4" s="7">
        <f t="shared" ref="OP4" si="139">IF(SUM(OC4:OF4)-OG4&gt;0,SUM(OC4:OF4)-OG4,"")</f>
        <v>49.615000000000002</v>
      </c>
      <c r="OQ4" s="7">
        <f t="shared" ref="OQ4" si="140">IF(SUM(ON4,OP4)&gt;0,SUM(ON4,OP4),"")</f>
        <v>130.685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79</v>
      </c>
      <c r="C5" s="4" t="s">
        <v>67</v>
      </c>
      <c r="D5" s="4">
        <v>2009</v>
      </c>
      <c r="E5" s="10">
        <f t="shared" si="0"/>
        <v>228.22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90.289999999999992</v>
      </c>
      <c r="J5" s="9" t="str">
        <f t="shared" si="5"/>
        <v>2025 Nationals</v>
      </c>
      <c r="K5" s="9">
        <f t="shared" si="6"/>
        <v>41.58</v>
      </c>
      <c r="L5" s="9" t="str">
        <f t="shared" si="7"/>
        <v>2024 3rd Domestic Trial</v>
      </c>
      <c r="M5" s="9">
        <f t="shared" si="8"/>
        <v>47.620000000000005</v>
      </c>
      <c r="N5" s="9" t="str">
        <f t="shared" si="9"/>
        <v>2024 3rd Domestic Trial</v>
      </c>
      <c r="O5" s="9">
        <f t="shared" si="10"/>
        <v>48.73</v>
      </c>
      <c r="P5" s="9" t="str">
        <f t="shared" si="11"/>
        <v>2025 Nationals</v>
      </c>
      <c r="Q5" s="9" t="str">
        <f t="shared" si="12"/>
        <v/>
      </c>
      <c r="R5" s="14" t="str">
        <f t="shared" si="13"/>
        <v/>
      </c>
      <c r="S5" s="9" t="str">
        <f t="shared" si="14"/>
        <v/>
      </c>
      <c r="T5" s="27">
        <v>16.899999999999999</v>
      </c>
      <c r="U5" s="27">
        <v>9.5</v>
      </c>
      <c r="V5" s="27">
        <v>0</v>
      </c>
      <c r="W5" s="27">
        <v>15.18</v>
      </c>
      <c r="X5" s="27">
        <v>0</v>
      </c>
      <c r="Y5" s="27">
        <v>13.5</v>
      </c>
      <c r="Z5" s="27">
        <v>8.6</v>
      </c>
      <c r="AA5" s="27">
        <v>11.3</v>
      </c>
      <c r="AB5" s="27">
        <v>14.22</v>
      </c>
      <c r="AC5" s="27">
        <v>0</v>
      </c>
      <c r="AD5" s="27"/>
      <c r="AE5" s="27"/>
      <c r="AF5" s="27"/>
      <c r="AG5" s="27"/>
      <c r="AH5" s="27"/>
      <c r="AI5" s="27">
        <v>14.2</v>
      </c>
      <c r="AJ5" s="27">
        <v>8.6</v>
      </c>
      <c r="AK5" s="27">
        <v>10.6</v>
      </c>
      <c r="AL5" s="27">
        <v>14.12</v>
      </c>
      <c r="AM5" s="27">
        <v>0</v>
      </c>
      <c r="AN5" s="32"/>
      <c r="AO5" s="7">
        <f t="shared" si="15"/>
        <v>41.58</v>
      </c>
      <c r="AP5" s="7">
        <f t="shared" si="16"/>
        <v>11.3</v>
      </c>
      <c r="AQ5" s="7">
        <f t="shared" si="17"/>
        <v>47.620000000000005</v>
      </c>
      <c r="AR5" s="7" t="str">
        <f t="shared" si="18"/>
        <v/>
      </c>
      <c r="AS5" s="7" t="str">
        <f t="shared" si="19"/>
        <v/>
      </c>
      <c r="AT5" s="7">
        <f t="shared" si="20"/>
        <v>89.2</v>
      </c>
      <c r="AU5" s="7">
        <f t="shared" si="21"/>
        <v>10.6</v>
      </c>
      <c r="AV5" s="7">
        <f t="shared" si="22"/>
        <v>47.519999999999996</v>
      </c>
      <c r="AW5" s="7">
        <f t="shared" si="23"/>
        <v>136.72</v>
      </c>
      <c r="AX5" s="31">
        <v>15.6</v>
      </c>
      <c r="AY5" s="31">
        <v>9.6</v>
      </c>
      <c r="AZ5" s="31">
        <v>0</v>
      </c>
      <c r="BA5" s="31">
        <v>14.33</v>
      </c>
      <c r="BB5" s="31">
        <v>0</v>
      </c>
      <c r="BC5" s="31">
        <v>11.4</v>
      </c>
      <c r="BD5" s="31">
        <v>8.8000000000000007</v>
      </c>
      <c r="BE5" s="31">
        <v>8.4</v>
      </c>
      <c r="BF5" s="31">
        <v>12.65</v>
      </c>
      <c r="BG5" s="31">
        <v>0</v>
      </c>
      <c r="BH5" s="31"/>
      <c r="BI5" s="31"/>
      <c r="BJ5" s="31"/>
      <c r="BK5" s="31"/>
      <c r="BL5" s="31"/>
      <c r="BM5" s="31">
        <v>12.7</v>
      </c>
      <c r="BN5" s="31">
        <v>9.6999999999999993</v>
      </c>
      <c r="BO5" s="31">
        <v>11</v>
      </c>
      <c r="BP5" s="31">
        <v>14.06</v>
      </c>
      <c r="BQ5" s="31">
        <v>0</v>
      </c>
      <c r="BR5" s="33"/>
      <c r="BS5" s="9">
        <f t="shared" si="24"/>
        <v>39.53</v>
      </c>
      <c r="BT5" s="9">
        <f t="shared" si="25"/>
        <v>8.4</v>
      </c>
      <c r="BU5" s="9">
        <f t="shared" si="26"/>
        <v>41.25</v>
      </c>
      <c r="BV5" s="9" t="str">
        <f t="shared" si="27"/>
        <v/>
      </c>
      <c r="BW5" s="9" t="str">
        <f t="shared" si="28"/>
        <v/>
      </c>
      <c r="BX5" s="9">
        <f t="shared" si="29"/>
        <v>80.78</v>
      </c>
      <c r="BY5" s="9">
        <f t="shared" si="30"/>
        <v>11</v>
      </c>
      <c r="BZ5" s="9">
        <f t="shared" si="31"/>
        <v>47.46</v>
      </c>
      <c r="CA5" s="9">
        <f t="shared" si="32"/>
        <v>128.24</v>
      </c>
      <c r="CB5" s="27">
        <v>17.5</v>
      </c>
      <c r="CC5" s="27">
        <v>9.8000000000000007</v>
      </c>
      <c r="CD5" s="27">
        <v>0</v>
      </c>
      <c r="CE5" s="27">
        <v>14.97</v>
      </c>
      <c r="CF5" s="27">
        <v>0</v>
      </c>
      <c r="CG5" s="27">
        <v>13.5</v>
      </c>
      <c r="CH5" s="27">
        <v>9.1999999999999993</v>
      </c>
      <c r="CI5" s="27">
        <v>10.8</v>
      </c>
      <c r="CJ5" s="27">
        <v>14.52</v>
      </c>
      <c r="CK5" s="27">
        <v>0</v>
      </c>
      <c r="CL5" s="27"/>
      <c r="CM5" s="27"/>
      <c r="CN5" s="27"/>
      <c r="CO5" s="27"/>
      <c r="CP5" s="27"/>
      <c r="CQ5" s="27">
        <v>13.5</v>
      </c>
      <c r="CR5" s="27">
        <v>9.1999999999999993</v>
      </c>
      <c r="CS5" s="27">
        <v>11.7</v>
      </c>
      <c r="CT5" s="27">
        <v>14.33</v>
      </c>
      <c r="CU5" s="27">
        <v>0</v>
      </c>
      <c r="CV5" s="32"/>
      <c r="CW5" s="7">
        <f t="shared" si="33"/>
        <v>42.27</v>
      </c>
      <c r="CX5" s="7">
        <f t="shared" si="34"/>
        <v>10.8</v>
      </c>
      <c r="CY5" s="7">
        <f t="shared" si="35"/>
        <v>48.019999999999996</v>
      </c>
      <c r="CZ5" s="7" t="str">
        <f t="shared" si="36"/>
        <v/>
      </c>
      <c r="DA5" s="7" t="str">
        <f t="shared" si="37"/>
        <v/>
      </c>
      <c r="DB5" s="7">
        <f t="shared" si="38"/>
        <v>90.289999999999992</v>
      </c>
      <c r="DC5" s="7">
        <f t="shared" si="39"/>
        <v>11.7</v>
      </c>
      <c r="DD5" s="7">
        <f t="shared" si="40"/>
        <v>48.73</v>
      </c>
      <c r="DE5" s="7">
        <f t="shared" si="41"/>
        <v>139.01999999999998</v>
      </c>
      <c r="DF5" s="13" t="str">
        <f t="shared" si="42"/>
        <v/>
      </c>
      <c r="DG5" s="13" t="str">
        <f t="shared" si="43"/>
        <v/>
      </c>
      <c r="DH5" s="13" t="str">
        <f t="shared" si="44"/>
        <v/>
      </c>
      <c r="DI5" s="13" t="str">
        <f t="shared" si="45"/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 t="shared" si="46"/>
        <v/>
      </c>
      <c r="DZ5" s="7" t="str">
        <f t="shared" si="47"/>
        <v/>
      </c>
      <c r="EA5" s="7" t="str">
        <f t="shared" si="48"/>
        <v/>
      </c>
      <c r="EB5" s="7" t="str">
        <f t="shared" si="49"/>
        <v/>
      </c>
      <c r="EC5" s="7" t="str">
        <f t="shared" si="50"/>
        <v/>
      </c>
      <c r="ED5" s="7" t="str">
        <f t="shared" si="51"/>
        <v/>
      </c>
      <c r="EE5" s="7" t="str">
        <f t="shared" si="52"/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 t="shared" si="53"/>
        <v/>
      </c>
      <c r="EV5" s="9" t="str">
        <f t="shared" si="54"/>
        <v/>
      </c>
      <c r="EW5" s="9" t="str">
        <f t="shared" si="55"/>
        <v/>
      </c>
      <c r="EX5" s="9" t="str">
        <f t="shared" si="56"/>
        <v/>
      </c>
      <c r="EY5" s="9" t="str">
        <f t="shared" si="57"/>
        <v/>
      </c>
      <c r="EZ5" s="9" t="str">
        <f t="shared" si="58"/>
        <v/>
      </c>
      <c r="FA5" s="9" t="str">
        <f t="shared" si="59"/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 t="shared" si="60"/>
        <v/>
      </c>
      <c r="FR5" s="7" t="str">
        <f t="shared" si="61"/>
        <v/>
      </c>
      <c r="FS5" s="7" t="str">
        <f t="shared" si="62"/>
        <v/>
      </c>
      <c r="FT5" s="7" t="str">
        <f t="shared" si="63"/>
        <v/>
      </c>
      <c r="FU5" s="7" t="str">
        <f t="shared" si="64"/>
        <v/>
      </c>
      <c r="FV5" s="7" t="str">
        <f t="shared" si="65"/>
        <v/>
      </c>
      <c r="FW5" s="7" t="str">
        <f t="shared" si="66"/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 t="shared" si="67"/>
        <v/>
      </c>
      <c r="GN5" s="9" t="str">
        <f t="shared" si="68"/>
        <v/>
      </c>
      <c r="GO5" s="9" t="str">
        <f t="shared" si="69"/>
        <v/>
      </c>
      <c r="GP5" s="9" t="str">
        <f t="shared" si="70"/>
        <v/>
      </c>
      <c r="GQ5" s="9" t="str">
        <f t="shared" si="71"/>
        <v/>
      </c>
      <c r="GR5" s="9" t="str">
        <f t="shared" si="72"/>
        <v/>
      </c>
      <c r="GS5" s="9" t="str">
        <f t="shared" si="73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16.55</v>
      </c>
      <c r="NO5" s="27">
        <f t="shared" si="130"/>
        <v>9.6999999999999993</v>
      </c>
      <c r="NP5" s="27">
        <f t="shared" si="130"/>
        <v>0</v>
      </c>
      <c r="NQ5" s="27">
        <f t="shared" si="130"/>
        <v>14.65</v>
      </c>
      <c r="NR5" s="27">
        <f t="shared" si="130"/>
        <v>0</v>
      </c>
      <c r="NS5" s="27">
        <f t="shared" si="130"/>
        <v>12.45</v>
      </c>
      <c r="NT5" s="27">
        <f t="shared" si="130"/>
        <v>9</v>
      </c>
      <c r="NU5" s="27">
        <f t="shared" si="130"/>
        <v>9.6000000000000014</v>
      </c>
      <c r="NV5" s="27">
        <f t="shared" si="130"/>
        <v>13.585000000000001</v>
      </c>
      <c r="NW5" s="27">
        <f t="shared" si="130"/>
        <v>0</v>
      </c>
      <c r="NX5" s="27">
        <f t="shared" si="131"/>
        <v>0</v>
      </c>
      <c r="NY5" s="27">
        <f t="shared" si="131"/>
        <v>0</v>
      </c>
      <c r="NZ5" s="27">
        <f t="shared" si="131"/>
        <v>0</v>
      </c>
      <c r="OA5" s="27">
        <f t="shared" si="131"/>
        <v>0</v>
      </c>
      <c r="OB5" s="27">
        <f t="shared" si="131"/>
        <v>0</v>
      </c>
      <c r="OC5" s="27">
        <f t="shared" si="131"/>
        <v>13.1</v>
      </c>
      <c r="OD5" s="27">
        <f t="shared" si="131"/>
        <v>9.4499999999999993</v>
      </c>
      <c r="OE5" s="27">
        <f t="shared" si="131"/>
        <v>11.35</v>
      </c>
      <c r="OF5" s="27">
        <f t="shared" si="131"/>
        <v>14.195</v>
      </c>
      <c r="OG5" s="27">
        <f t="shared" si="131"/>
        <v>0</v>
      </c>
      <c r="OH5" s="32" t="s">
        <v>44</v>
      </c>
      <c r="OI5" s="7">
        <f t="shared" si="132"/>
        <v>40.9</v>
      </c>
      <c r="OJ5" s="7">
        <f t="shared" si="133"/>
        <v>9.6000000000000014</v>
      </c>
      <c r="OK5" s="7">
        <f t="shared" si="134"/>
        <v>44.635000000000005</v>
      </c>
      <c r="OL5" s="7" t="str">
        <f t="shared" si="135"/>
        <v/>
      </c>
      <c r="OM5" s="7" t="str">
        <f t="shared" si="136"/>
        <v/>
      </c>
      <c r="ON5" s="7">
        <f t="shared" si="137"/>
        <v>85.534999999999997</v>
      </c>
      <c r="OO5" s="7">
        <f t="shared" si="138"/>
        <v>11.35</v>
      </c>
      <c r="OP5" s="7">
        <f t="shared" ref="OP5" si="141">IF(SUM(OC5:OF5)-OG5&gt;0,SUM(OC5:OF5)-OG5,"")</f>
        <v>48.094999999999999</v>
      </c>
      <c r="OQ5" s="7">
        <f t="shared" ref="OQ5" si="142">IF(SUM(ON5,OP5)&gt;0,SUM(ON5,OP5),"")</f>
        <v>133.63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93</v>
      </c>
      <c r="C6" s="4" t="s">
        <v>65</v>
      </c>
      <c r="D6" s="4">
        <v>2010</v>
      </c>
      <c r="E6" s="10">
        <f t="shared" si="0"/>
        <v>227.07999999999998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89.539999999999992</v>
      </c>
      <c r="J6" s="9" t="str">
        <f t="shared" si="5"/>
        <v>2025 Nationals</v>
      </c>
      <c r="K6" s="9">
        <f t="shared" si="6"/>
        <v>39.630000000000003</v>
      </c>
      <c r="L6" s="9" t="str">
        <f t="shared" si="7"/>
        <v>2025 Elite Canada</v>
      </c>
      <c r="M6" s="9">
        <f t="shared" si="8"/>
        <v>48.31</v>
      </c>
      <c r="N6" s="9" t="str">
        <f t="shared" si="9"/>
        <v>2025 Elite Canada</v>
      </c>
      <c r="O6" s="9">
        <f t="shared" si="10"/>
        <v>49.6</v>
      </c>
      <c r="P6" s="9" t="str">
        <f t="shared" si="11"/>
        <v>2025 Nationals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 t="shared" si="15"/>
        <v/>
      </c>
      <c r="AP6" s="7" t="str">
        <f t="shared" si="16"/>
        <v/>
      </c>
      <c r="AQ6" s="7" t="str">
        <f t="shared" si="17"/>
        <v/>
      </c>
      <c r="AR6" s="7" t="str">
        <f t="shared" si="18"/>
        <v/>
      </c>
      <c r="AS6" s="7" t="str">
        <f t="shared" si="19"/>
        <v/>
      </c>
      <c r="AT6" s="7" t="str">
        <f t="shared" si="20"/>
        <v/>
      </c>
      <c r="AU6" s="7" t="str">
        <f t="shared" si="21"/>
        <v/>
      </c>
      <c r="AV6" s="7" t="str">
        <f t="shared" si="22"/>
        <v/>
      </c>
      <c r="AW6" s="7" t="str">
        <f t="shared" si="23"/>
        <v/>
      </c>
      <c r="AX6" s="31">
        <v>16.600000000000001</v>
      </c>
      <c r="AY6" s="31">
        <v>9.4</v>
      </c>
      <c r="AZ6" s="31">
        <v>0</v>
      </c>
      <c r="BA6" s="31">
        <v>13.63</v>
      </c>
      <c r="BB6" s="31">
        <v>0</v>
      </c>
      <c r="BC6" s="31">
        <v>14.6</v>
      </c>
      <c r="BD6" s="31">
        <v>8.9</v>
      </c>
      <c r="BE6" s="31">
        <v>10.9</v>
      </c>
      <c r="BF6" s="31">
        <v>13.91</v>
      </c>
      <c r="BG6" s="31">
        <v>0</v>
      </c>
      <c r="BH6" s="31"/>
      <c r="BI6" s="31"/>
      <c r="BJ6" s="31"/>
      <c r="BK6" s="31"/>
      <c r="BL6" s="31"/>
      <c r="BM6" s="31">
        <v>1.4</v>
      </c>
      <c r="BN6" s="31">
        <v>0.9</v>
      </c>
      <c r="BO6" s="31">
        <v>1.5</v>
      </c>
      <c r="BP6" s="31">
        <v>1.44</v>
      </c>
      <c r="BQ6" s="31">
        <v>0</v>
      </c>
      <c r="BR6" s="33"/>
      <c r="BS6" s="9">
        <f t="shared" si="24"/>
        <v>39.630000000000003</v>
      </c>
      <c r="BT6" s="9">
        <f t="shared" si="25"/>
        <v>10.9</v>
      </c>
      <c r="BU6" s="9">
        <f t="shared" si="26"/>
        <v>48.31</v>
      </c>
      <c r="BV6" s="9" t="str">
        <f t="shared" si="27"/>
        <v/>
      </c>
      <c r="BW6" s="9" t="str">
        <f t="shared" si="28"/>
        <v/>
      </c>
      <c r="BX6" s="9">
        <f t="shared" si="29"/>
        <v>87.94</v>
      </c>
      <c r="BY6" s="9">
        <f t="shared" si="30"/>
        <v>1.5</v>
      </c>
      <c r="BZ6" s="9">
        <f t="shared" si="31"/>
        <v>5.24</v>
      </c>
      <c r="CA6" s="9">
        <f t="shared" si="32"/>
        <v>93.179999999999993</v>
      </c>
      <c r="CB6" s="27">
        <v>16.2</v>
      </c>
      <c r="CC6" s="27">
        <v>9.6</v>
      </c>
      <c r="CD6" s="27">
        <v>0</v>
      </c>
      <c r="CE6" s="27">
        <v>14.22</v>
      </c>
      <c r="CF6" s="27">
        <v>0</v>
      </c>
      <c r="CG6" s="27">
        <v>14.6</v>
      </c>
      <c r="CH6" s="27">
        <v>9.5</v>
      </c>
      <c r="CI6" s="27">
        <v>10.9</v>
      </c>
      <c r="CJ6" s="27">
        <v>14.52</v>
      </c>
      <c r="CK6" s="27">
        <v>0</v>
      </c>
      <c r="CL6" s="27"/>
      <c r="CM6" s="27"/>
      <c r="CN6" s="27"/>
      <c r="CO6" s="27"/>
      <c r="CP6" s="27"/>
      <c r="CQ6" s="27">
        <v>15.4</v>
      </c>
      <c r="CR6" s="27">
        <v>9.3000000000000007</v>
      </c>
      <c r="CS6" s="27">
        <v>10.9</v>
      </c>
      <c r="CT6" s="27">
        <v>14</v>
      </c>
      <c r="CU6" s="27">
        <v>0</v>
      </c>
      <c r="CV6" s="32"/>
      <c r="CW6" s="7">
        <f t="shared" si="33"/>
        <v>40.019999999999996</v>
      </c>
      <c r="CX6" s="7">
        <f t="shared" si="34"/>
        <v>10.9</v>
      </c>
      <c r="CY6" s="7">
        <f t="shared" si="35"/>
        <v>49.519999999999996</v>
      </c>
      <c r="CZ6" s="7" t="str">
        <f t="shared" si="36"/>
        <v/>
      </c>
      <c r="DA6" s="7" t="str">
        <f t="shared" si="37"/>
        <v/>
      </c>
      <c r="DB6" s="7">
        <f t="shared" si="38"/>
        <v>89.539999999999992</v>
      </c>
      <c r="DC6" s="7">
        <f t="shared" si="39"/>
        <v>10.9</v>
      </c>
      <c r="DD6" s="7">
        <f t="shared" si="40"/>
        <v>49.6</v>
      </c>
      <c r="DE6" s="7">
        <f t="shared" si="41"/>
        <v>139.13999999999999</v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 t="shared" si="46"/>
        <v/>
      </c>
      <c r="DZ6" s="7" t="str">
        <f t="shared" si="47"/>
        <v/>
      </c>
      <c r="EA6" s="7" t="str">
        <f t="shared" si="48"/>
        <v/>
      </c>
      <c r="EB6" s="7" t="str">
        <f t="shared" si="49"/>
        <v/>
      </c>
      <c r="EC6" s="7" t="str">
        <f t="shared" si="50"/>
        <v/>
      </c>
      <c r="ED6" s="7" t="str">
        <f t="shared" si="51"/>
        <v/>
      </c>
      <c r="EE6" s="7" t="str">
        <f t="shared" si="52"/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3"/>
        <v/>
      </c>
      <c r="EV6" s="9" t="str">
        <f t="shared" si="54"/>
        <v/>
      </c>
      <c r="EW6" s="9" t="str">
        <f t="shared" si="55"/>
        <v/>
      </c>
      <c r="EX6" s="9" t="str">
        <f t="shared" si="56"/>
        <v/>
      </c>
      <c r="EY6" s="9" t="str">
        <f t="shared" si="57"/>
        <v/>
      </c>
      <c r="EZ6" s="9" t="str">
        <f t="shared" si="58"/>
        <v/>
      </c>
      <c r="FA6" s="9" t="str">
        <f t="shared" si="59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60"/>
        <v/>
      </c>
      <c r="FR6" s="7" t="str">
        <f t="shared" si="61"/>
        <v/>
      </c>
      <c r="FS6" s="7" t="str">
        <f t="shared" si="62"/>
        <v/>
      </c>
      <c r="FT6" s="7" t="str">
        <f t="shared" si="63"/>
        <v/>
      </c>
      <c r="FU6" s="7" t="str">
        <f t="shared" si="64"/>
        <v/>
      </c>
      <c r="FV6" s="7" t="str">
        <f t="shared" si="65"/>
        <v/>
      </c>
      <c r="FW6" s="7" t="str">
        <f t="shared" si="66"/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7"/>
        <v/>
      </c>
      <c r="GN6" s="9" t="str">
        <f t="shared" si="68"/>
        <v/>
      </c>
      <c r="GO6" s="9" t="str">
        <f t="shared" si="69"/>
        <v/>
      </c>
      <c r="GP6" s="9" t="str">
        <f t="shared" si="70"/>
        <v/>
      </c>
      <c r="GQ6" s="9" t="str">
        <f t="shared" si="71"/>
        <v/>
      </c>
      <c r="GR6" s="9" t="str">
        <f t="shared" si="72"/>
        <v/>
      </c>
      <c r="GS6" s="9" t="str">
        <f t="shared" si="73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16.399999999999999</v>
      </c>
      <c r="NO6" s="27">
        <f t="shared" si="130"/>
        <v>9.5</v>
      </c>
      <c r="NP6" s="27">
        <f t="shared" si="130"/>
        <v>0</v>
      </c>
      <c r="NQ6" s="27">
        <f t="shared" si="130"/>
        <v>13.925000000000001</v>
      </c>
      <c r="NR6" s="27">
        <f t="shared" si="130"/>
        <v>0</v>
      </c>
      <c r="NS6" s="27">
        <f t="shared" si="130"/>
        <v>14.6</v>
      </c>
      <c r="NT6" s="27">
        <f t="shared" si="130"/>
        <v>9.1999999999999993</v>
      </c>
      <c r="NU6" s="27">
        <f t="shared" si="130"/>
        <v>10.9</v>
      </c>
      <c r="NV6" s="27">
        <f t="shared" si="130"/>
        <v>14.215</v>
      </c>
      <c r="NW6" s="27">
        <f t="shared" si="130"/>
        <v>0</v>
      </c>
      <c r="NX6" s="27">
        <f t="shared" si="131"/>
        <v>0</v>
      </c>
      <c r="NY6" s="27">
        <f t="shared" si="131"/>
        <v>0</v>
      </c>
      <c r="NZ6" s="27">
        <f t="shared" si="131"/>
        <v>0</v>
      </c>
      <c r="OA6" s="27">
        <f t="shared" si="131"/>
        <v>0</v>
      </c>
      <c r="OB6" s="27">
        <f t="shared" si="131"/>
        <v>0</v>
      </c>
      <c r="OC6" s="27">
        <f t="shared" si="131"/>
        <v>8.4</v>
      </c>
      <c r="OD6" s="27">
        <f t="shared" si="131"/>
        <v>5.1000000000000005</v>
      </c>
      <c r="OE6" s="27">
        <f t="shared" si="131"/>
        <v>6.2</v>
      </c>
      <c r="OF6" s="27">
        <f t="shared" si="131"/>
        <v>7.72</v>
      </c>
      <c r="OG6" s="27">
        <f t="shared" si="131"/>
        <v>0</v>
      </c>
      <c r="OH6" s="32" t="s">
        <v>44</v>
      </c>
      <c r="OI6" s="7">
        <f t="shared" si="132"/>
        <v>39.825000000000003</v>
      </c>
      <c r="OJ6" s="7">
        <f t="shared" si="133"/>
        <v>10.9</v>
      </c>
      <c r="OK6" s="7">
        <f t="shared" si="134"/>
        <v>48.914999999999992</v>
      </c>
      <c r="OL6" s="7" t="str">
        <f t="shared" si="135"/>
        <v/>
      </c>
      <c r="OM6" s="7" t="str">
        <f t="shared" si="136"/>
        <v/>
      </c>
      <c r="ON6" s="7">
        <f t="shared" si="137"/>
        <v>88.74</v>
      </c>
      <c r="OO6" s="7">
        <f t="shared" si="138"/>
        <v>6.2</v>
      </c>
      <c r="OP6" s="7">
        <f t="shared" ref="OP6:OP9" si="143">IF(SUM(OC6:OF6)-OG6&gt;0,SUM(OC6:OF6)-OG6,"")</f>
        <v>27.419999999999998</v>
      </c>
      <c r="OQ6" s="7">
        <f t="shared" ref="OQ6:OQ9" si="144">IF(SUM(ON6,OP6)&gt;0,SUM(ON6,OP6),"")</f>
        <v>116.16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78</v>
      </c>
      <c r="C7" s="4" t="s">
        <v>67</v>
      </c>
      <c r="D7" s="4">
        <v>2009</v>
      </c>
      <c r="E7" s="10">
        <f t="shared" si="0"/>
        <v>225.73000000000002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88.97999999999999</v>
      </c>
      <c r="J7" s="9" t="str">
        <f t="shared" si="5"/>
        <v>2025 Nationals</v>
      </c>
      <c r="K7" s="9">
        <f t="shared" si="6"/>
        <v>41.13</v>
      </c>
      <c r="L7" s="9" t="str">
        <f t="shared" si="7"/>
        <v>2025 Elite Canada</v>
      </c>
      <c r="M7" s="9">
        <f t="shared" si="8"/>
        <v>47.830000000000005</v>
      </c>
      <c r="N7" s="9" t="str">
        <f t="shared" si="9"/>
        <v>2025 Elite Canada</v>
      </c>
      <c r="O7" s="9">
        <f t="shared" si="10"/>
        <v>47.790000000000006</v>
      </c>
      <c r="P7" s="9" t="str">
        <f t="shared" si="11"/>
        <v>2025 Nationals</v>
      </c>
      <c r="Q7" s="9" t="str">
        <f t="shared" si="12"/>
        <v/>
      </c>
      <c r="R7" s="14" t="str">
        <f t="shared" si="13"/>
        <v/>
      </c>
      <c r="S7" s="9" t="str">
        <f t="shared" si="14"/>
        <v/>
      </c>
      <c r="T7" s="27">
        <v>7.9</v>
      </c>
      <c r="U7" s="27">
        <v>4.8</v>
      </c>
      <c r="V7" s="27">
        <v>0</v>
      </c>
      <c r="W7" s="27">
        <v>7.56</v>
      </c>
      <c r="X7" s="27">
        <v>0</v>
      </c>
      <c r="Y7" s="27">
        <v>10.8</v>
      </c>
      <c r="Z7" s="27">
        <v>6.9</v>
      </c>
      <c r="AA7" s="27">
        <v>7.8</v>
      </c>
      <c r="AB7" s="27">
        <v>11.73</v>
      </c>
      <c r="AC7" s="27">
        <v>0</v>
      </c>
      <c r="AD7" s="27"/>
      <c r="AE7" s="27"/>
      <c r="AF7" s="27"/>
      <c r="AG7" s="27"/>
      <c r="AH7" s="27"/>
      <c r="AI7" s="27">
        <v>7</v>
      </c>
      <c r="AJ7" s="27">
        <v>4.3</v>
      </c>
      <c r="AK7" s="27">
        <v>6.5</v>
      </c>
      <c r="AL7" s="27">
        <v>7.43</v>
      </c>
      <c r="AM7" s="27">
        <v>0</v>
      </c>
      <c r="AN7" s="32"/>
      <c r="AO7" s="7">
        <f t="shared" si="15"/>
        <v>20.259999999999998</v>
      </c>
      <c r="AP7" s="7">
        <f t="shared" si="16"/>
        <v>7.8</v>
      </c>
      <c r="AQ7" s="7">
        <f t="shared" si="17"/>
        <v>37.230000000000004</v>
      </c>
      <c r="AR7" s="7" t="str">
        <f t="shared" si="18"/>
        <v/>
      </c>
      <c r="AS7" s="7" t="str">
        <f t="shared" si="19"/>
        <v/>
      </c>
      <c r="AT7" s="7">
        <f t="shared" si="20"/>
        <v>57.49</v>
      </c>
      <c r="AU7" s="7">
        <f t="shared" si="21"/>
        <v>6.5</v>
      </c>
      <c r="AV7" s="7">
        <f t="shared" si="22"/>
        <v>25.23</v>
      </c>
      <c r="AW7" s="7">
        <f t="shared" si="23"/>
        <v>82.72</v>
      </c>
      <c r="AX7" s="31">
        <v>17.600000000000001</v>
      </c>
      <c r="AY7" s="31">
        <v>9.8000000000000007</v>
      </c>
      <c r="AZ7" s="31">
        <v>0</v>
      </c>
      <c r="BA7" s="31">
        <v>13.73</v>
      </c>
      <c r="BB7" s="31">
        <v>0</v>
      </c>
      <c r="BC7" s="31">
        <v>12.8</v>
      </c>
      <c r="BD7" s="31">
        <v>9.4</v>
      </c>
      <c r="BE7" s="31">
        <v>12</v>
      </c>
      <c r="BF7" s="31">
        <v>13.63</v>
      </c>
      <c r="BG7" s="31">
        <v>0</v>
      </c>
      <c r="BH7" s="31"/>
      <c r="BI7" s="31"/>
      <c r="BJ7" s="31"/>
      <c r="BK7" s="31"/>
      <c r="BL7" s="31"/>
      <c r="BM7" s="31">
        <v>12.5</v>
      </c>
      <c r="BN7" s="31">
        <v>9.3000000000000007</v>
      </c>
      <c r="BO7" s="31">
        <v>11.2</v>
      </c>
      <c r="BP7" s="31">
        <v>13.45</v>
      </c>
      <c r="BQ7" s="31">
        <v>0</v>
      </c>
      <c r="BR7" s="33"/>
      <c r="BS7" s="9">
        <f t="shared" si="24"/>
        <v>41.13</v>
      </c>
      <c r="BT7" s="9">
        <f t="shared" si="25"/>
        <v>12</v>
      </c>
      <c r="BU7" s="9">
        <f t="shared" si="26"/>
        <v>47.830000000000005</v>
      </c>
      <c r="BV7" s="9" t="str">
        <f t="shared" si="27"/>
        <v/>
      </c>
      <c r="BW7" s="9" t="str">
        <f t="shared" si="28"/>
        <v/>
      </c>
      <c r="BX7" s="9">
        <f t="shared" si="29"/>
        <v>88.960000000000008</v>
      </c>
      <c r="BY7" s="9">
        <f t="shared" si="30"/>
        <v>11.2</v>
      </c>
      <c r="BZ7" s="9">
        <f t="shared" si="31"/>
        <v>46.45</v>
      </c>
      <c r="CA7" s="9">
        <f t="shared" si="32"/>
        <v>135.41000000000003</v>
      </c>
      <c r="CB7" s="27">
        <v>17.899999999999999</v>
      </c>
      <c r="CC7" s="27">
        <v>9.9</v>
      </c>
      <c r="CD7" s="27">
        <v>0</v>
      </c>
      <c r="CE7" s="27">
        <v>14.26</v>
      </c>
      <c r="CF7" s="27">
        <v>0</v>
      </c>
      <c r="CG7" s="27">
        <v>12.9</v>
      </c>
      <c r="CH7" s="27">
        <v>8.9</v>
      </c>
      <c r="CI7" s="27">
        <v>11.5</v>
      </c>
      <c r="CJ7" s="27">
        <v>13.62</v>
      </c>
      <c r="CK7" s="27">
        <v>0</v>
      </c>
      <c r="CL7" s="27"/>
      <c r="CM7" s="27"/>
      <c r="CN7" s="27"/>
      <c r="CO7" s="27"/>
      <c r="CP7" s="27"/>
      <c r="CQ7" s="27">
        <v>13.9</v>
      </c>
      <c r="CR7" s="27">
        <v>8.6999999999999993</v>
      </c>
      <c r="CS7" s="27">
        <v>11.6</v>
      </c>
      <c r="CT7" s="27">
        <v>13.59</v>
      </c>
      <c r="CU7" s="27">
        <v>0</v>
      </c>
      <c r="CV7" s="32"/>
      <c r="CW7" s="7">
        <f t="shared" si="33"/>
        <v>42.059999999999995</v>
      </c>
      <c r="CX7" s="7">
        <f t="shared" si="34"/>
        <v>11.5</v>
      </c>
      <c r="CY7" s="7">
        <f t="shared" si="35"/>
        <v>46.919999999999995</v>
      </c>
      <c r="CZ7" s="7" t="str">
        <f t="shared" si="36"/>
        <v/>
      </c>
      <c r="DA7" s="7" t="str">
        <f t="shared" si="37"/>
        <v/>
      </c>
      <c r="DB7" s="7">
        <f t="shared" si="38"/>
        <v>88.97999999999999</v>
      </c>
      <c r="DC7" s="7">
        <f t="shared" si="39"/>
        <v>11.6</v>
      </c>
      <c r="DD7" s="7">
        <f t="shared" si="40"/>
        <v>47.790000000000006</v>
      </c>
      <c r="DE7" s="7">
        <f t="shared" si="41"/>
        <v>136.76999999999998</v>
      </c>
      <c r="DF7" s="13" t="str">
        <f t="shared" si="42"/>
        <v/>
      </c>
      <c r="DG7" s="13" t="str">
        <f t="shared" si="43"/>
        <v/>
      </c>
      <c r="DH7" s="13" t="str">
        <f t="shared" si="44"/>
        <v/>
      </c>
      <c r="DI7" s="13" t="str">
        <f t="shared" si="45"/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 t="shared" si="46"/>
        <v/>
      </c>
      <c r="DZ7" s="7" t="str">
        <f t="shared" si="47"/>
        <v/>
      </c>
      <c r="EA7" s="7" t="str">
        <f t="shared" si="48"/>
        <v/>
      </c>
      <c r="EB7" s="7" t="str">
        <f t="shared" si="49"/>
        <v/>
      </c>
      <c r="EC7" s="7" t="str">
        <f t="shared" si="50"/>
        <v/>
      </c>
      <c r="ED7" s="7" t="str">
        <f t="shared" si="51"/>
        <v/>
      </c>
      <c r="EE7" s="7" t="str">
        <f t="shared" si="52"/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 t="shared" si="60"/>
        <v/>
      </c>
      <c r="FR7" s="7" t="str">
        <f t="shared" si="61"/>
        <v/>
      </c>
      <c r="FS7" s="7" t="str">
        <f t="shared" si="62"/>
        <v/>
      </c>
      <c r="FT7" s="7" t="str">
        <f t="shared" si="63"/>
        <v/>
      </c>
      <c r="FU7" s="7" t="str">
        <f t="shared" si="64"/>
        <v/>
      </c>
      <c r="FV7" s="7" t="str">
        <f t="shared" si="65"/>
        <v/>
      </c>
      <c r="FW7" s="7" t="str">
        <f t="shared" si="66"/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17.75</v>
      </c>
      <c r="NO7" s="27">
        <f t="shared" si="130"/>
        <v>9.8500000000000014</v>
      </c>
      <c r="NP7" s="27">
        <f t="shared" si="130"/>
        <v>0</v>
      </c>
      <c r="NQ7" s="27">
        <f t="shared" si="130"/>
        <v>13.995000000000001</v>
      </c>
      <c r="NR7" s="27">
        <f t="shared" si="130"/>
        <v>0</v>
      </c>
      <c r="NS7" s="27">
        <f t="shared" si="130"/>
        <v>12.850000000000001</v>
      </c>
      <c r="NT7" s="27">
        <f t="shared" si="130"/>
        <v>9.15</v>
      </c>
      <c r="NU7" s="27">
        <f t="shared" si="130"/>
        <v>11.75</v>
      </c>
      <c r="NV7" s="27">
        <f t="shared" si="130"/>
        <v>13.625</v>
      </c>
      <c r="NW7" s="27">
        <f t="shared" si="130"/>
        <v>0</v>
      </c>
      <c r="NX7" s="27">
        <f t="shared" si="131"/>
        <v>0</v>
      </c>
      <c r="NY7" s="27">
        <f t="shared" si="131"/>
        <v>0</v>
      </c>
      <c r="NZ7" s="27">
        <f t="shared" si="131"/>
        <v>0</v>
      </c>
      <c r="OA7" s="27">
        <f t="shared" si="131"/>
        <v>0</v>
      </c>
      <c r="OB7" s="27">
        <f t="shared" si="131"/>
        <v>0</v>
      </c>
      <c r="OC7" s="27">
        <f t="shared" si="131"/>
        <v>13.2</v>
      </c>
      <c r="OD7" s="27">
        <f t="shared" si="131"/>
        <v>9</v>
      </c>
      <c r="OE7" s="27">
        <f t="shared" si="131"/>
        <v>11.399999999999999</v>
      </c>
      <c r="OF7" s="27">
        <f t="shared" si="131"/>
        <v>13.52</v>
      </c>
      <c r="OG7" s="27">
        <f t="shared" si="131"/>
        <v>0</v>
      </c>
      <c r="OH7" s="32" t="s">
        <v>44</v>
      </c>
      <c r="OI7" s="7">
        <f t="shared" si="132"/>
        <v>41.594999999999999</v>
      </c>
      <c r="OJ7" s="7">
        <f t="shared" si="133"/>
        <v>11.75</v>
      </c>
      <c r="OK7" s="7">
        <f t="shared" si="134"/>
        <v>47.375</v>
      </c>
      <c r="OL7" s="7" t="str">
        <f t="shared" si="135"/>
        <v/>
      </c>
      <c r="OM7" s="7" t="str">
        <f t="shared" si="136"/>
        <v/>
      </c>
      <c r="ON7" s="7">
        <f t="shared" si="137"/>
        <v>88.97</v>
      </c>
      <c r="OO7" s="7">
        <f t="shared" si="138"/>
        <v>11.399999999999999</v>
      </c>
      <c r="OP7" s="7">
        <f t="shared" si="143"/>
        <v>47.11999999999999</v>
      </c>
      <c r="OQ7" s="7">
        <f t="shared" si="144"/>
        <v>136.08999999999997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92</v>
      </c>
      <c r="C8" s="4" t="s">
        <v>90</v>
      </c>
      <c r="D8" s="4">
        <v>2010</v>
      </c>
      <c r="E8" s="10">
        <f t="shared" si="0"/>
        <v>213.22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85</v>
      </c>
      <c r="J8" s="9" t="str">
        <f t="shared" si="5"/>
        <v>2025 Nationals</v>
      </c>
      <c r="K8" s="9">
        <f t="shared" si="6"/>
        <v>37.29</v>
      </c>
      <c r="L8" s="9" t="str">
        <f t="shared" si="7"/>
        <v>2025 Elite Canada</v>
      </c>
      <c r="M8" s="9">
        <f t="shared" si="8"/>
        <v>45.47</v>
      </c>
      <c r="N8" s="9" t="str">
        <f t="shared" si="9"/>
        <v>2025 Elite Canada</v>
      </c>
      <c r="O8" s="9">
        <f t="shared" si="10"/>
        <v>45.46</v>
      </c>
      <c r="P8" s="9" t="str">
        <f t="shared" si="11"/>
        <v>2025 Elite Canada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 t="shared" si="15"/>
        <v/>
      </c>
      <c r="AP8" s="7" t="str">
        <f t="shared" si="16"/>
        <v/>
      </c>
      <c r="AQ8" s="7" t="str">
        <f t="shared" si="17"/>
        <v/>
      </c>
      <c r="AR8" s="7" t="str">
        <f t="shared" si="18"/>
        <v/>
      </c>
      <c r="AS8" s="7" t="str">
        <f t="shared" si="19"/>
        <v/>
      </c>
      <c r="AT8" s="7" t="str">
        <f t="shared" si="20"/>
        <v/>
      </c>
      <c r="AU8" s="7" t="str">
        <f t="shared" si="21"/>
        <v/>
      </c>
      <c r="AV8" s="7" t="str">
        <f t="shared" si="22"/>
        <v/>
      </c>
      <c r="AW8" s="7" t="str">
        <f t="shared" si="23"/>
        <v/>
      </c>
      <c r="AX8" s="31">
        <v>15</v>
      </c>
      <c r="AY8" s="31">
        <v>9.5</v>
      </c>
      <c r="AZ8" s="31">
        <v>0</v>
      </c>
      <c r="BA8" s="31">
        <v>12.79</v>
      </c>
      <c r="BB8" s="31">
        <v>0</v>
      </c>
      <c r="BC8" s="31">
        <v>13.4</v>
      </c>
      <c r="BD8" s="31">
        <v>9.1</v>
      </c>
      <c r="BE8" s="31">
        <v>10.1</v>
      </c>
      <c r="BF8" s="31">
        <v>12.87</v>
      </c>
      <c r="BG8" s="31">
        <v>0</v>
      </c>
      <c r="BH8" s="31"/>
      <c r="BI8" s="31"/>
      <c r="BJ8" s="31"/>
      <c r="BK8" s="31"/>
      <c r="BL8" s="31"/>
      <c r="BM8" s="31">
        <v>13.2</v>
      </c>
      <c r="BN8" s="31">
        <v>9.1</v>
      </c>
      <c r="BO8" s="31">
        <v>10.1</v>
      </c>
      <c r="BP8" s="31">
        <v>13.06</v>
      </c>
      <c r="BQ8" s="31">
        <v>0</v>
      </c>
      <c r="BR8" s="33"/>
      <c r="BS8" s="9">
        <f t="shared" si="24"/>
        <v>37.29</v>
      </c>
      <c r="BT8" s="9">
        <f t="shared" si="25"/>
        <v>10.1</v>
      </c>
      <c r="BU8" s="9">
        <f t="shared" si="26"/>
        <v>45.47</v>
      </c>
      <c r="BV8" s="9" t="str">
        <f t="shared" si="27"/>
        <v/>
      </c>
      <c r="BW8" s="9" t="str">
        <f t="shared" si="28"/>
        <v/>
      </c>
      <c r="BX8" s="9">
        <f t="shared" si="29"/>
        <v>82.759999999999991</v>
      </c>
      <c r="BY8" s="9">
        <f t="shared" si="30"/>
        <v>10.1</v>
      </c>
      <c r="BZ8" s="9">
        <f t="shared" si="31"/>
        <v>45.46</v>
      </c>
      <c r="CA8" s="9">
        <f t="shared" si="32"/>
        <v>128.22</v>
      </c>
      <c r="CB8" s="27">
        <v>15.7</v>
      </c>
      <c r="CC8" s="27">
        <v>9.6</v>
      </c>
      <c r="CD8" s="27">
        <v>0</v>
      </c>
      <c r="CE8" s="27">
        <v>12.17</v>
      </c>
      <c r="CF8" s="27">
        <v>0</v>
      </c>
      <c r="CG8" s="27">
        <v>14.7</v>
      </c>
      <c r="CH8" s="27">
        <v>9.1999999999999993</v>
      </c>
      <c r="CI8" s="27">
        <v>10.1</v>
      </c>
      <c r="CJ8" s="27">
        <v>13.53</v>
      </c>
      <c r="CK8" s="27">
        <v>0</v>
      </c>
      <c r="CL8" s="27"/>
      <c r="CM8" s="27"/>
      <c r="CN8" s="27"/>
      <c r="CO8" s="27"/>
      <c r="CP8" s="27"/>
      <c r="CQ8" s="27">
        <v>8.1</v>
      </c>
      <c r="CR8" s="27">
        <v>5.8</v>
      </c>
      <c r="CS8" s="27">
        <v>5.6</v>
      </c>
      <c r="CT8" s="27">
        <v>8.1</v>
      </c>
      <c r="CU8" s="27">
        <v>0</v>
      </c>
      <c r="CV8" s="32"/>
      <c r="CW8" s="7">
        <f t="shared" si="33"/>
        <v>37.47</v>
      </c>
      <c r="CX8" s="7">
        <f t="shared" si="34"/>
        <v>10.1</v>
      </c>
      <c r="CY8" s="7">
        <f t="shared" si="35"/>
        <v>47.53</v>
      </c>
      <c r="CZ8" s="7" t="str">
        <f t="shared" si="36"/>
        <v/>
      </c>
      <c r="DA8" s="7" t="str">
        <f t="shared" si="37"/>
        <v/>
      </c>
      <c r="DB8" s="7">
        <f t="shared" si="38"/>
        <v>85</v>
      </c>
      <c r="DC8" s="7">
        <f t="shared" si="39"/>
        <v>5.6</v>
      </c>
      <c r="DD8" s="7">
        <f t="shared" si="40"/>
        <v>27.6</v>
      </c>
      <c r="DE8" s="7">
        <f t="shared" si="41"/>
        <v>112.6</v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 t="shared" si="46"/>
        <v/>
      </c>
      <c r="DZ8" s="7" t="str">
        <f t="shared" si="47"/>
        <v/>
      </c>
      <c r="EA8" s="7" t="str">
        <f t="shared" si="48"/>
        <v/>
      </c>
      <c r="EB8" s="7" t="str">
        <f t="shared" si="49"/>
        <v/>
      </c>
      <c r="EC8" s="7" t="str">
        <f t="shared" si="50"/>
        <v/>
      </c>
      <c r="ED8" s="7" t="str">
        <f t="shared" si="51"/>
        <v/>
      </c>
      <c r="EE8" s="7" t="str">
        <f t="shared" si="52"/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60"/>
        <v/>
      </c>
      <c r="FR8" s="7" t="str">
        <f t="shared" si="61"/>
        <v/>
      </c>
      <c r="FS8" s="7" t="str">
        <f t="shared" si="62"/>
        <v/>
      </c>
      <c r="FT8" s="7" t="str">
        <f t="shared" si="63"/>
        <v/>
      </c>
      <c r="FU8" s="7" t="str">
        <f t="shared" si="64"/>
        <v/>
      </c>
      <c r="FV8" s="7" t="str">
        <f t="shared" si="65"/>
        <v/>
      </c>
      <c r="FW8" s="7" t="str">
        <f t="shared" si="66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15.35</v>
      </c>
      <c r="NO8" s="27">
        <f t="shared" si="130"/>
        <v>9.5500000000000007</v>
      </c>
      <c r="NP8" s="27">
        <f t="shared" si="130"/>
        <v>0</v>
      </c>
      <c r="NQ8" s="27">
        <f t="shared" si="130"/>
        <v>12.48</v>
      </c>
      <c r="NR8" s="27">
        <f t="shared" si="130"/>
        <v>0</v>
      </c>
      <c r="NS8" s="27">
        <f t="shared" si="130"/>
        <v>14.05</v>
      </c>
      <c r="NT8" s="27">
        <f t="shared" si="130"/>
        <v>9.1499999999999986</v>
      </c>
      <c r="NU8" s="27">
        <f t="shared" si="130"/>
        <v>10.1</v>
      </c>
      <c r="NV8" s="27">
        <f t="shared" si="130"/>
        <v>13.2</v>
      </c>
      <c r="NW8" s="27">
        <f t="shared" si="130"/>
        <v>0</v>
      </c>
      <c r="NX8" s="27">
        <f t="shared" si="131"/>
        <v>0</v>
      </c>
      <c r="NY8" s="27">
        <f t="shared" si="131"/>
        <v>0</v>
      </c>
      <c r="NZ8" s="27">
        <f t="shared" si="131"/>
        <v>0</v>
      </c>
      <c r="OA8" s="27">
        <f t="shared" si="131"/>
        <v>0</v>
      </c>
      <c r="OB8" s="27">
        <f t="shared" si="131"/>
        <v>0</v>
      </c>
      <c r="OC8" s="27">
        <f t="shared" si="131"/>
        <v>10.649999999999999</v>
      </c>
      <c r="OD8" s="27">
        <f t="shared" si="131"/>
        <v>7.4499999999999993</v>
      </c>
      <c r="OE8" s="27">
        <f t="shared" si="131"/>
        <v>7.85</v>
      </c>
      <c r="OF8" s="27">
        <f t="shared" si="131"/>
        <v>10.58</v>
      </c>
      <c r="OG8" s="27">
        <f t="shared" si="131"/>
        <v>0</v>
      </c>
      <c r="OH8" s="32" t="s">
        <v>44</v>
      </c>
      <c r="OI8" s="7">
        <f t="shared" si="132"/>
        <v>37.379999999999995</v>
      </c>
      <c r="OJ8" s="7">
        <f t="shared" si="133"/>
        <v>10.1</v>
      </c>
      <c r="OK8" s="7">
        <f t="shared" si="134"/>
        <v>46.5</v>
      </c>
      <c r="OL8" s="7" t="str">
        <f t="shared" si="135"/>
        <v/>
      </c>
      <c r="OM8" s="7" t="str">
        <f t="shared" si="136"/>
        <v/>
      </c>
      <c r="ON8" s="7">
        <f t="shared" si="137"/>
        <v>83.88</v>
      </c>
      <c r="OO8" s="7">
        <f t="shared" si="138"/>
        <v>7.85</v>
      </c>
      <c r="OP8" s="7">
        <f t="shared" si="143"/>
        <v>36.529999999999994</v>
      </c>
      <c r="OQ8" s="7">
        <f t="shared" si="144"/>
        <v>120.41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94</v>
      </c>
      <c r="C9" s="4" t="s">
        <v>90</v>
      </c>
      <c r="D9" s="4">
        <v>2009</v>
      </c>
      <c r="E9" s="10">
        <f t="shared" si="0"/>
        <v>205.32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80.88</v>
      </c>
      <c r="J9" s="9" t="str">
        <f t="shared" si="5"/>
        <v>2025 Nationals</v>
      </c>
      <c r="K9" s="9">
        <f t="shared" si="6"/>
        <v>37.64</v>
      </c>
      <c r="L9" s="9" t="str">
        <f t="shared" si="7"/>
        <v>2025 Elite Canada</v>
      </c>
      <c r="M9" s="9">
        <f t="shared" si="8"/>
        <v>41.000000000000007</v>
      </c>
      <c r="N9" s="9" t="str">
        <f t="shared" si="9"/>
        <v>2025 Elite Canada</v>
      </c>
      <c r="O9" s="9">
        <f t="shared" si="10"/>
        <v>45.8</v>
      </c>
      <c r="P9" s="9" t="str">
        <f t="shared" si="11"/>
        <v>2025 Nationals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 t="shared" si="15"/>
        <v/>
      </c>
      <c r="AP9" s="7" t="str">
        <f t="shared" si="16"/>
        <v/>
      </c>
      <c r="AQ9" s="7" t="str">
        <f t="shared" si="17"/>
        <v/>
      </c>
      <c r="AR9" s="7" t="str">
        <f t="shared" si="18"/>
        <v/>
      </c>
      <c r="AS9" s="7" t="str">
        <f t="shared" si="19"/>
        <v/>
      </c>
      <c r="AT9" s="7" t="str">
        <f t="shared" si="20"/>
        <v/>
      </c>
      <c r="AU9" s="7" t="str">
        <f t="shared" si="21"/>
        <v/>
      </c>
      <c r="AV9" s="7" t="str">
        <f t="shared" si="22"/>
        <v/>
      </c>
      <c r="AW9" s="7" t="str">
        <f t="shared" si="23"/>
        <v/>
      </c>
      <c r="AX9" s="31">
        <v>15.1</v>
      </c>
      <c r="AY9" s="31">
        <v>9.1999999999999993</v>
      </c>
      <c r="AZ9" s="31">
        <v>0</v>
      </c>
      <c r="BA9" s="31">
        <v>13.34</v>
      </c>
      <c r="BB9" s="31">
        <v>0</v>
      </c>
      <c r="BC9" s="31">
        <v>11.4</v>
      </c>
      <c r="BD9" s="31">
        <v>9.3000000000000007</v>
      </c>
      <c r="BE9" s="31">
        <v>8.3000000000000007</v>
      </c>
      <c r="BF9" s="31">
        <v>12.9</v>
      </c>
      <c r="BG9" s="31">
        <v>0.9</v>
      </c>
      <c r="BH9" s="31"/>
      <c r="BI9" s="31"/>
      <c r="BJ9" s="31"/>
      <c r="BK9" s="31"/>
      <c r="BL9" s="31"/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3"/>
      <c r="BS9" s="9">
        <f t="shared" si="24"/>
        <v>37.64</v>
      </c>
      <c r="BT9" s="9">
        <f t="shared" si="25"/>
        <v>8.3000000000000007</v>
      </c>
      <c r="BU9" s="9">
        <f t="shared" si="26"/>
        <v>41.000000000000007</v>
      </c>
      <c r="BV9" s="9" t="str">
        <f t="shared" si="27"/>
        <v/>
      </c>
      <c r="BW9" s="9" t="str">
        <f t="shared" si="28"/>
        <v/>
      </c>
      <c r="BX9" s="9">
        <f t="shared" si="29"/>
        <v>78.640000000000015</v>
      </c>
      <c r="BY9" s="9" t="str">
        <f t="shared" si="30"/>
        <v/>
      </c>
      <c r="BZ9" s="9" t="str">
        <f t="shared" si="31"/>
        <v/>
      </c>
      <c r="CA9" s="9">
        <f t="shared" si="32"/>
        <v>78.640000000000015</v>
      </c>
      <c r="CB9" s="27">
        <v>15.5</v>
      </c>
      <c r="CC9" s="27">
        <v>9.5</v>
      </c>
      <c r="CD9" s="27">
        <v>0</v>
      </c>
      <c r="CE9" s="27">
        <v>13.88</v>
      </c>
      <c r="CF9" s="27">
        <v>0</v>
      </c>
      <c r="CG9" s="27">
        <v>11.5</v>
      </c>
      <c r="CH9" s="27">
        <v>9</v>
      </c>
      <c r="CI9" s="27">
        <v>8.6999999999999993</v>
      </c>
      <c r="CJ9" s="27">
        <v>13.3</v>
      </c>
      <c r="CK9" s="27">
        <v>0.5</v>
      </c>
      <c r="CL9" s="27"/>
      <c r="CM9" s="27"/>
      <c r="CN9" s="27"/>
      <c r="CO9" s="27"/>
      <c r="CP9" s="27"/>
      <c r="CQ9" s="27">
        <v>13.3</v>
      </c>
      <c r="CR9" s="27">
        <v>9.6</v>
      </c>
      <c r="CS9" s="27">
        <v>9.6</v>
      </c>
      <c r="CT9" s="27">
        <v>13.3</v>
      </c>
      <c r="CU9" s="27">
        <v>0</v>
      </c>
      <c r="CV9" s="32"/>
      <c r="CW9" s="7">
        <f t="shared" si="33"/>
        <v>38.880000000000003</v>
      </c>
      <c r="CX9" s="7">
        <f t="shared" si="34"/>
        <v>8.6999999999999993</v>
      </c>
      <c r="CY9" s="7">
        <f t="shared" si="35"/>
        <v>42</v>
      </c>
      <c r="CZ9" s="7" t="str">
        <f t="shared" si="36"/>
        <v/>
      </c>
      <c r="DA9" s="7" t="str">
        <f t="shared" si="37"/>
        <v/>
      </c>
      <c r="DB9" s="7">
        <f t="shared" si="38"/>
        <v>80.88</v>
      </c>
      <c r="DC9" s="7">
        <f t="shared" si="39"/>
        <v>9.6</v>
      </c>
      <c r="DD9" s="7">
        <f t="shared" si="40"/>
        <v>45.8</v>
      </c>
      <c r="DE9" s="7">
        <f t="shared" si="41"/>
        <v>126.67999999999999</v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6"/>
        <v/>
      </c>
      <c r="DZ9" s="7" t="str">
        <f t="shared" si="47"/>
        <v/>
      </c>
      <c r="EA9" s="7" t="str">
        <f t="shared" si="48"/>
        <v/>
      </c>
      <c r="EB9" s="7" t="str">
        <f t="shared" si="49"/>
        <v/>
      </c>
      <c r="EC9" s="7" t="str">
        <f t="shared" si="50"/>
        <v/>
      </c>
      <c r="ED9" s="7" t="str">
        <f t="shared" si="51"/>
        <v/>
      </c>
      <c r="EE9" s="7" t="str">
        <f t="shared" si="52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15.3</v>
      </c>
      <c r="NO9" s="27">
        <f t="shared" si="130"/>
        <v>9.35</v>
      </c>
      <c r="NP9" s="27">
        <f t="shared" si="130"/>
        <v>0</v>
      </c>
      <c r="NQ9" s="27">
        <f t="shared" si="130"/>
        <v>13.61</v>
      </c>
      <c r="NR9" s="27">
        <f t="shared" si="130"/>
        <v>0</v>
      </c>
      <c r="NS9" s="27">
        <f t="shared" si="130"/>
        <v>11.45</v>
      </c>
      <c r="NT9" s="27">
        <f t="shared" si="130"/>
        <v>9.15</v>
      </c>
      <c r="NU9" s="27">
        <f t="shared" si="130"/>
        <v>8.5</v>
      </c>
      <c r="NV9" s="27">
        <f t="shared" si="130"/>
        <v>13.100000000000001</v>
      </c>
      <c r="NW9" s="27">
        <f t="shared" si="130"/>
        <v>0.7</v>
      </c>
      <c r="NX9" s="27">
        <f t="shared" si="131"/>
        <v>0</v>
      </c>
      <c r="NY9" s="27">
        <f t="shared" si="131"/>
        <v>0</v>
      </c>
      <c r="NZ9" s="27">
        <f t="shared" si="131"/>
        <v>0</v>
      </c>
      <c r="OA9" s="27">
        <f t="shared" si="131"/>
        <v>0</v>
      </c>
      <c r="OB9" s="27">
        <f t="shared" si="131"/>
        <v>0</v>
      </c>
      <c r="OC9" s="27">
        <f t="shared" si="131"/>
        <v>6.65</v>
      </c>
      <c r="OD9" s="27">
        <f t="shared" si="131"/>
        <v>4.8</v>
      </c>
      <c r="OE9" s="27">
        <f t="shared" si="131"/>
        <v>4.8</v>
      </c>
      <c r="OF9" s="27">
        <f t="shared" si="131"/>
        <v>6.65</v>
      </c>
      <c r="OG9" s="27">
        <f t="shared" si="131"/>
        <v>0</v>
      </c>
      <c r="OH9" s="32" t="s">
        <v>44</v>
      </c>
      <c r="OI9" s="7">
        <f t="shared" si="132"/>
        <v>38.26</v>
      </c>
      <c r="OJ9" s="7">
        <f t="shared" si="133"/>
        <v>8.5</v>
      </c>
      <c r="OK9" s="7">
        <f t="shared" si="134"/>
        <v>41.5</v>
      </c>
      <c r="OL9" s="7" t="str">
        <f t="shared" si="135"/>
        <v/>
      </c>
      <c r="OM9" s="7" t="str">
        <f t="shared" si="136"/>
        <v/>
      </c>
      <c r="ON9" s="7">
        <f t="shared" si="137"/>
        <v>79.759999999999991</v>
      </c>
      <c r="OO9" s="7">
        <f t="shared" si="138"/>
        <v>4.8</v>
      </c>
      <c r="OP9" s="7">
        <f t="shared" si="143"/>
        <v>22.9</v>
      </c>
      <c r="OQ9" s="7">
        <f t="shared" si="144"/>
        <v>102.66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91</v>
      </c>
      <c r="C10" s="4" t="s">
        <v>65</v>
      </c>
      <c r="D10" s="4">
        <v>2009</v>
      </c>
      <c r="E10" s="10">
        <f t="shared" si="0"/>
        <v>182.97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 t="shared" si="4"/>
        <v>83.52</v>
      </c>
      <c r="J10" s="9" t="str">
        <f t="shared" si="5"/>
        <v>2025 Elite Canada</v>
      </c>
      <c r="K10" s="9">
        <f t="shared" si="6"/>
        <v>39.29</v>
      </c>
      <c r="L10" s="9" t="str">
        <f t="shared" si="7"/>
        <v>2025 Nationals</v>
      </c>
      <c r="M10" s="9">
        <f t="shared" si="8"/>
        <v>14.129999999999999</v>
      </c>
      <c r="N10" s="9" t="str">
        <f t="shared" si="9"/>
        <v>2025 Nationals</v>
      </c>
      <c r="O10" s="9">
        <f t="shared" si="10"/>
        <v>46.029999999999994</v>
      </c>
      <c r="P10" s="9" t="str">
        <f t="shared" si="11"/>
        <v>2025 Elite Canada</v>
      </c>
      <c r="Q10" s="9" t="str">
        <f t="shared" si="12"/>
        <v/>
      </c>
      <c r="R10" s="14" t="str">
        <f t="shared" si="13"/>
        <v/>
      </c>
      <c r="S10" s="9" t="str">
        <f t="shared" si="14"/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 t="shared" si="15"/>
        <v/>
      </c>
      <c r="AP10" s="7" t="str">
        <f t="shared" si="16"/>
        <v/>
      </c>
      <c r="AQ10" s="7" t="str">
        <f t="shared" si="17"/>
        <v/>
      </c>
      <c r="AR10" s="7" t="str">
        <f t="shared" si="18"/>
        <v/>
      </c>
      <c r="AS10" s="7" t="str">
        <f t="shared" si="19"/>
        <v/>
      </c>
      <c r="AT10" s="7" t="str">
        <f t="shared" si="20"/>
        <v/>
      </c>
      <c r="AU10" s="7" t="str">
        <f t="shared" si="21"/>
        <v/>
      </c>
      <c r="AV10" s="7" t="str">
        <f t="shared" si="22"/>
        <v/>
      </c>
      <c r="AW10" s="7" t="str">
        <f t="shared" si="23"/>
        <v/>
      </c>
      <c r="AX10" s="31">
        <v>16.600000000000001</v>
      </c>
      <c r="AY10" s="31">
        <v>9.5</v>
      </c>
      <c r="AZ10" s="31">
        <v>0</v>
      </c>
      <c r="BA10" s="31">
        <v>13.25</v>
      </c>
      <c r="BB10" s="31">
        <v>0</v>
      </c>
      <c r="BC10" s="31">
        <v>13.5</v>
      </c>
      <c r="BD10" s="31">
        <v>8.6999999999999993</v>
      </c>
      <c r="BE10" s="31">
        <v>9</v>
      </c>
      <c r="BF10" s="31">
        <v>13.17</v>
      </c>
      <c r="BG10" s="31">
        <v>0.2</v>
      </c>
      <c r="BH10" s="31"/>
      <c r="BI10" s="31"/>
      <c r="BJ10" s="31"/>
      <c r="BK10" s="31"/>
      <c r="BL10" s="31"/>
      <c r="BM10" s="31">
        <v>15.3</v>
      </c>
      <c r="BN10" s="31">
        <v>9</v>
      </c>
      <c r="BO10" s="31">
        <v>9</v>
      </c>
      <c r="BP10" s="31">
        <v>12.93</v>
      </c>
      <c r="BQ10" s="31">
        <v>0.2</v>
      </c>
      <c r="BR10" s="33"/>
      <c r="BS10" s="9">
        <f t="shared" si="24"/>
        <v>39.35</v>
      </c>
      <c r="BT10" s="9">
        <f t="shared" si="25"/>
        <v>9</v>
      </c>
      <c r="BU10" s="9">
        <f t="shared" si="26"/>
        <v>44.169999999999995</v>
      </c>
      <c r="BV10" s="9" t="str">
        <f t="shared" si="27"/>
        <v/>
      </c>
      <c r="BW10" s="9" t="str">
        <f t="shared" si="28"/>
        <v/>
      </c>
      <c r="BX10" s="9">
        <f t="shared" si="29"/>
        <v>83.52</v>
      </c>
      <c r="BY10" s="9">
        <f t="shared" si="30"/>
        <v>9</v>
      </c>
      <c r="BZ10" s="9">
        <f t="shared" si="31"/>
        <v>46.029999999999994</v>
      </c>
      <c r="CA10" s="9">
        <f t="shared" si="32"/>
        <v>129.54999999999998</v>
      </c>
      <c r="CB10" s="27">
        <v>16.8</v>
      </c>
      <c r="CC10" s="27">
        <v>9.3000000000000007</v>
      </c>
      <c r="CD10" s="27">
        <v>0</v>
      </c>
      <c r="CE10" s="27">
        <v>13.19</v>
      </c>
      <c r="CF10" s="27">
        <v>0</v>
      </c>
      <c r="CG10" s="27">
        <v>4.0999999999999996</v>
      </c>
      <c r="CH10" s="27">
        <v>2.6</v>
      </c>
      <c r="CI10" s="27">
        <v>3.4</v>
      </c>
      <c r="CJ10" s="27">
        <v>4.03</v>
      </c>
      <c r="CK10" s="27">
        <v>0</v>
      </c>
      <c r="CL10" s="27"/>
      <c r="CM10" s="27"/>
      <c r="CN10" s="27"/>
      <c r="CO10" s="27"/>
      <c r="CP10" s="27"/>
      <c r="CQ10" s="27">
        <v>11.8</v>
      </c>
      <c r="CR10" s="27">
        <v>9.1999999999999993</v>
      </c>
      <c r="CS10" s="27">
        <v>9.3000000000000007</v>
      </c>
      <c r="CT10" s="27">
        <v>12.66</v>
      </c>
      <c r="CU10" s="27">
        <v>0</v>
      </c>
      <c r="CV10" s="32"/>
      <c r="CW10" s="7">
        <f t="shared" si="33"/>
        <v>39.29</v>
      </c>
      <c r="CX10" s="7">
        <f t="shared" si="34"/>
        <v>3.4</v>
      </c>
      <c r="CY10" s="7">
        <f t="shared" si="35"/>
        <v>14.129999999999999</v>
      </c>
      <c r="CZ10" s="7" t="str">
        <f t="shared" si="36"/>
        <v/>
      </c>
      <c r="DA10" s="7" t="str">
        <f t="shared" si="37"/>
        <v/>
      </c>
      <c r="DB10" s="7">
        <f t="shared" si="38"/>
        <v>53.42</v>
      </c>
      <c r="DC10" s="7">
        <f t="shared" si="39"/>
        <v>9.3000000000000007</v>
      </c>
      <c r="DD10" s="7">
        <f t="shared" si="40"/>
        <v>42.96</v>
      </c>
      <c r="DE10" s="7">
        <f t="shared" si="41"/>
        <v>96.38</v>
      </c>
      <c r="DF10" s="13" t="str">
        <f t="shared" si="42"/>
        <v/>
      </c>
      <c r="DG10" s="13" t="str">
        <f t="shared" si="43"/>
        <v/>
      </c>
      <c r="DH10" s="13" t="str">
        <f t="shared" si="44"/>
        <v/>
      </c>
      <c r="DI10" s="13" t="str">
        <f t="shared" si="45"/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 t="shared" si="46"/>
        <v/>
      </c>
      <c r="DZ10" s="7" t="str">
        <f t="shared" si="47"/>
        <v/>
      </c>
      <c r="EA10" s="7" t="str">
        <f t="shared" si="48"/>
        <v/>
      </c>
      <c r="EB10" s="7" t="str">
        <f t="shared" si="49"/>
        <v/>
      </c>
      <c r="EC10" s="7" t="str">
        <f t="shared" si="50"/>
        <v/>
      </c>
      <c r="ED10" s="7" t="str">
        <f t="shared" si="51"/>
        <v/>
      </c>
      <c r="EE10" s="7" t="str">
        <f t="shared" si="52"/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 t="shared" si="53"/>
        <v/>
      </c>
      <c r="EV10" s="9" t="str">
        <f t="shared" si="54"/>
        <v/>
      </c>
      <c r="EW10" s="9" t="str">
        <f t="shared" si="55"/>
        <v/>
      </c>
      <c r="EX10" s="9" t="str">
        <f t="shared" si="56"/>
        <v/>
      </c>
      <c r="EY10" s="9" t="str">
        <f t="shared" si="57"/>
        <v/>
      </c>
      <c r="EZ10" s="9" t="str">
        <f t="shared" si="58"/>
        <v/>
      </c>
      <c r="FA10" s="9" t="str">
        <f t="shared" si="59"/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 t="shared" si="60"/>
        <v/>
      </c>
      <c r="FR10" s="7" t="str">
        <f t="shared" si="61"/>
        <v/>
      </c>
      <c r="FS10" s="7" t="str">
        <f t="shared" si="62"/>
        <v/>
      </c>
      <c r="FT10" s="7" t="str">
        <f t="shared" si="63"/>
        <v/>
      </c>
      <c r="FU10" s="7" t="str">
        <f t="shared" si="64"/>
        <v/>
      </c>
      <c r="FV10" s="7" t="str">
        <f t="shared" si="65"/>
        <v/>
      </c>
      <c r="FW10" s="7" t="str">
        <f t="shared" si="66"/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 t="shared" si="67"/>
        <v/>
      </c>
      <c r="GN10" s="9" t="str">
        <f t="shared" si="68"/>
        <v/>
      </c>
      <c r="GO10" s="9" t="str">
        <f t="shared" si="69"/>
        <v/>
      </c>
      <c r="GP10" s="9" t="str">
        <f t="shared" si="70"/>
        <v/>
      </c>
      <c r="GQ10" s="9" t="str">
        <f t="shared" si="71"/>
        <v/>
      </c>
      <c r="GR10" s="9" t="str">
        <f t="shared" si="72"/>
        <v/>
      </c>
      <c r="GS10" s="9" t="str">
        <f t="shared" si="73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 t="shared" si="74"/>
        <v/>
      </c>
      <c r="HJ10" s="7" t="str">
        <f t="shared" si="75"/>
        <v/>
      </c>
      <c r="HK10" s="7" t="str">
        <f t="shared" si="76"/>
        <v/>
      </c>
      <c r="HL10" s="7" t="str">
        <f t="shared" si="77"/>
        <v/>
      </c>
      <c r="HM10" s="7" t="str">
        <f t="shared" si="78"/>
        <v/>
      </c>
      <c r="HN10" s="7" t="str">
        <f t="shared" si="79"/>
        <v/>
      </c>
      <c r="HO10" s="7" t="str">
        <f t="shared" si="80"/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 t="shared" si="81"/>
        <v/>
      </c>
      <c r="IF10" s="9" t="str">
        <f t="shared" si="82"/>
        <v/>
      </c>
      <c r="IG10" s="9" t="str">
        <f t="shared" si="83"/>
        <v/>
      </c>
      <c r="IH10" s="9" t="str">
        <f t="shared" si="84"/>
        <v/>
      </c>
      <c r="II10" s="9" t="str">
        <f t="shared" si="85"/>
        <v/>
      </c>
      <c r="IJ10" s="9" t="str">
        <f t="shared" si="86"/>
        <v/>
      </c>
      <c r="IK10" s="9" t="str">
        <f t="shared" si="87"/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 t="shared" si="88"/>
        <v/>
      </c>
      <c r="JB10" s="7" t="str">
        <f t="shared" si="89"/>
        <v/>
      </c>
      <c r="JC10" s="7" t="str">
        <f t="shared" si="90"/>
        <v/>
      </c>
      <c r="JD10" s="7" t="str">
        <f t="shared" si="91"/>
        <v/>
      </c>
      <c r="JE10" s="7" t="str">
        <f t="shared" si="92"/>
        <v/>
      </c>
      <c r="JF10" s="7" t="str">
        <f t="shared" si="93"/>
        <v/>
      </c>
      <c r="JG10" s="7" t="str">
        <f t="shared" si="94"/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 t="shared" si="95"/>
        <v/>
      </c>
      <c r="JX10" s="9" t="str">
        <f t="shared" si="96"/>
        <v/>
      </c>
      <c r="JY10" s="9" t="str">
        <f t="shared" si="97"/>
        <v/>
      </c>
      <c r="JZ10" s="9" t="str">
        <f t="shared" si="98"/>
        <v/>
      </c>
      <c r="KA10" s="9" t="str">
        <f t="shared" si="99"/>
        <v/>
      </c>
      <c r="KB10" s="9" t="str">
        <f t="shared" si="100"/>
        <v/>
      </c>
      <c r="KC10" s="9" t="str">
        <f t="shared" si="101"/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 t="shared" si="102"/>
        <v/>
      </c>
      <c r="KT10" s="7" t="str">
        <f t="shared" si="103"/>
        <v/>
      </c>
      <c r="KU10" s="7" t="str">
        <f t="shared" si="104"/>
        <v/>
      </c>
      <c r="KV10" s="7" t="str">
        <f t="shared" si="105"/>
        <v/>
      </c>
      <c r="KW10" s="7" t="str">
        <f t="shared" si="106"/>
        <v/>
      </c>
      <c r="KX10" s="7" t="str">
        <f t="shared" si="107"/>
        <v/>
      </c>
      <c r="KY10" s="7" t="str">
        <f t="shared" si="108"/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 t="shared" si="109"/>
        <v/>
      </c>
      <c r="LP10" s="9" t="str">
        <f t="shared" si="110"/>
        <v/>
      </c>
      <c r="LQ10" s="9" t="str">
        <f t="shared" si="111"/>
        <v/>
      </c>
      <c r="LR10" s="9" t="str">
        <f t="shared" si="112"/>
        <v/>
      </c>
      <c r="LS10" s="9" t="str">
        <f t="shared" si="113"/>
        <v/>
      </c>
      <c r="LT10" s="9" t="str">
        <f t="shared" si="114"/>
        <v/>
      </c>
      <c r="LU10" s="9" t="str">
        <f t="shared" si="115"/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 t="shared" si="116"/>
        <v/>
      </c>
      <c r="ML10" s="7" t="str">
        <f t="shared" si="117"/>
        <v/>
      </c>
      <c r="MM10" s="7" t="str">
        <f t="shared" si="118"/>
        <v/>
      </c>
      <c r="MN10" s="7" t="str">
        <f t="shared" si="119"/>
        <v/>
      </c>
      <c r="MO10" s="7" t="str">
        <f t="shared" si="120"/>
        <v/>
      </c>
      <c r="MP10" s="7" t="str">
        <f t="shared" si="121"/>
        <v/>
      </c>
      <c r="MQ10" s="7" t="str">
        <f t="shared" si="122"/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 t="shared" si="123"/>
        <v/>
      </c>
      <c r="NH10" s="9" t="str">
        <f t="shared" si="124"/>
        <v/>
      </c>
      <c r="NI10" s="9" t="str">
        <f t="shared" si="125"/>
        <v/>
      </c>
      <c r="NJ10" s="9" t="str">
        <f t="shared" si="126"/>
        <v/>
      </c>
      <c r="NK10" s="9" t="str">
        <f t="shared" si="127"/>
        <v/>
      </c>
      <c r="NL10" s="9" t="str">
        <f t="shared" si="128"/>
        <v/>
      </c>
      <c r="NM10" s="9" t="str">
        <f t="shared" si="129"/>
        <v/>
      </c>
      <c r="NN10" s="27">
        <f t="shared" si="130"/>
        <v>16.700000000000003</v>
      </c>
      <c r="NO10" s="27">
        <f t="shared" si="130"/>
        <v>9.4</v>
      </c>
      <c r="NP10" s="27">
        <f t="shared" si="130"/>
        <v>0</v>
      </c>
      <c r="NQ10" s="27">
        <f t="shared" si="130"/>
        <v>13.219999999999999</v>
      </c>
      <c r="NR10" s="27">
        <f t="shared" si="130"/>
        <v>0</v>
      </c>
      <c r="NS10" s="27">
        <f t="shared" si="130"/>
        <v>8.8000000000000007</v>
      </c>
      <c r="NT10" s="27">
        <f t="shared" si="130"/>
        <v>5.6499999999999995</v>
      </c>
      <c r="NU10" s="27">
        <f t="shared" si="130"/>
        <v>6.2</v>
      </c>
      <c r="NV10" s="27">
        <f t="shared" si="130"/>
        <v>8.6</v>
      </c>
      <c r="NW10" s="27">
        <f t="shared" si="130"/>
        <v>0.1</v>
      </c>
      <c r="NX10" s="27">
        <f t="shared" si="131"/>
        <v>0</v>
      </c>
      <c r="NY10" s="27">
        <f t="shared" si="131"/>
        <v>0</v>
      </c>
      <c r="NZ10" s="27">
        <f t="shared" si="131"/>
        <v>0</v>
      </c>
      <c r="OA10" s="27">
        <f t="shared" si="131"/>
        <v>0</v>
      </c>
      <c r="OB10" s="27">
        <f t="shared" si="131"/>
        <v>0</v>
      </c>
      <c r="OC10" s="27">
        <f t="shared" si="131"/>
        <v>13.55</v>
      </c>
      <c r="OD10" s="27">
        <f t="shared" si="131"/>
        <v>9.1</v>
      </c>
      <c r="OE10" s="27">
        <f t="shared" si="131"/>
        <v>9.15</v>
      </c>
      <c r="OF10" s="27">
        <f t="shared" si="131"/>
        <v>12.795</v>
      </c>
      <c r="OG10" s="27">
        <f t="shared" si="131"/>
        <v>0.1</v>
      </c>
      <c r="OH10" s="32" t="s">
        <v>44</v>
      </c>
      <c r="OI10" s="7">
        <f t="shared" si="132"/>
        <v>39.32</v>
      </c>
      <c r="OJ10" s="7">
        <f t="shared" si="133"/>
        <v>6.2</v>
      </c>
      <c r="OK10" s="7">
        <f t="shared" si="134"/>
        <v>29.15</v>
      </c>
      <c r="OL10" s="7" t="str">
        <f t="shared" si="135"/>
        <v/>
      </c>
      <c r="OM10" s="7" t="str">
        <f t="shared" si="136"/>
        <v/>
      </c>
      <c r="ON10" s="7">
        <f t="shared" si="137"/>
        <v>68.47</v>
      </c>
      <c r="OO10" s="7">
        <f t="shared" si="138"/>
        <v>9.15</v>
      </c>
      <c r="OP10" s="7">
        <f t="shared" ref="OP10" si="145">IF(SUM(OC10:OF10)-OG10&gt;0,SUM(OC10:OF10)-OG10,"")</f>
        <v>44.494999999999997</v>
      </c>
      <c r="OQ10" s="7">
        <f t="shared" ref="OQ10" si="146">IF(SUM(ON10,OP10)&gt;0,SUM(ON10,OP10),"")</f>
        <v>112.965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110</v>
      </c>
      <c r="C11" s="4" t="s">
        <v>65</v>
      </c>
      <c r="D11" s="4">
        <v>2009</v>
      </c>
      <c r="E11" s="10">
        <f t="shared" si="0"/>
        <v>134.28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 t="shared" si="4"/>
        <v>86.61</v>
      </c>
      <c r="J11" s="9" t="str">
        <f t="shared" si="5"/>
        <v>2025 Nationals</v>
      </c>
      <c r="K11" s="9">
        <f t="shared" si="6"/>
        <v>0</v>
      </c>
      <c r="L11" s="9" t="str">
        <f t="shared" si="7"/>
        <v/>
      </c>
      <c r="M11" s="9">
        <f t="shared" si="8"/>
        <v>0</v>
      </c>
      <c r="N11" s="9" t="str">
        <f t="shared" si="9"/>
        <v/>
      </c>
      <c r="O11" s="9">
        <f t="shared" si="10"/>
        <v>47.669999999999995</v>
      </c>
      <c r="P11" s="9" t="str">
        <f t="shared" si="11"/>
        <v>2025 Nationals</v>
      </c>
      <c r="Q11" s="9" t="str">
        <f t="shared" si="12"/>
        <v/>
      </c>
      <c r="R11" s="14" t="str">
        <f t="shared" si="13"/>
        <v/>
      </c>
      <c r="S11" s="9" t="str">
        <f t="shared" si="14"/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 t="shared" si="15"/>
        <v/>
      </c>
      <c r="AP11" s="7" t="str">
        <f t="shared" si="16"/>
        <v/>
      </c>
      <c r="AQ11" s="7" t="str">
        <f t="shared" si="17"/>
        <v/>
      </c>
      <c r="AR11" s="7" t="str">
        <f t="shared" si="18"/>
        <v/>
      </c>
      <c r="AS11" s="7" t="str">
        <f t="shared" si="19"/>
        <v/>
      </c>
      <c r="AT11" s="7" t="str">
        <f t="shared" si="20"/>
        <v/>
      </c>
      <c r="AU11" s="7" t="str">
        <f t="shared" si="21"/>
        <v/>
      </c>
      <c r="AV11" s="7" t="str">
        <f t="shared" si="22"/>
        <v/>
      </c>
      <c r="AW11" s="7" t="str">
        <f t="shared" si="23"/>
        <v/>
      </c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3"/>
      <c r="BS11" s="9" t="str">
        <f t="shared" si="24"/>
        <v/>
      </c>
      <c r="BT11" s="9" t="str">
        <f t="shared" si="25"/>
        <v/>
      </c>
      <c r="BU11" s="9" t="str">
        <f t="shared" si="26"/>
        <v/>
      </c>
      <c r="BV11" s="9" t="str">
        <f t="shared" si="27"/>
        <v/>
      </c>
      <c r="BW11" s="9" t="str">
        <f t="shared" si="28"/>
        <v/>
      </c>
      <c r="BX11" s="9" t="str">
        <f t="shared" si="29"/>
        <v/>
      </c>
      <c r="BY11" s="9" t="str">
        <f t="shared" si="30"/>
        <v/>
      </c>
      <c r="BZ11" s="9" t="str">
        <f t="shared" si="31"/>
        <v/>
      </c>
      <c r="CA11" s="9" t="str">
        <f t="shared" si="32"/>
        <v/>
      </c>
      <c r="CB11" s="27">
        <v>16.8</v>
      </c>
      <c r="CC11" s="27">
        <v>9.3000000000000007</v>
      </c>
      <c r="CD11" s="27">
        <v>0</v>
      </c>
      <c r="CE11" s="27">
        <v>14.37</v>
      </c>
      <c r="CF11" s="27">
        <v>0</v>
      </c>
      <c r="CG11" s="27">
        <v>13.3</v>
      </c>
      <c r="CH11" s="27">
        <v>9.1999999999999993</v>
      </c>
      <c r="CI11" s="27">
        <v>9.1999999999999993</v>
      </c>
      <c r="CJ11" s="27">
        <v>14.44</v>
      </c>
      <c r="CK11" s="27">
        <v>0</v>
      </c>
      <c r="CL11" s="27"/>
      <c r="CM11" s="27"/>
      <c r="CN11" s="27"/>
      <c r="CO11" s="27"/>
      <c r="CP11" s="27"/>
      <c r="CQ11" s="27">
        <v>14.9</v>
      </c>
      <c r="CR11" s="27">
        <v>9.1999999999999993</v>
      </c>
      <c r="CS11" s="27">
        <v>9.1999999999999993</v>
      </c>
      <c r="CT11" s="27">
        <v>14.37</v>
      </c>
      <c r="CU11" s="27">
        <v>0</v>
      </c>
      <c r="CV11" s="32"/>
      <c r="CW11" s="7">
        <f t="shared" si="33"/>
        <v>40.47</v>
      </c>
      <c r="CX11" s="7">
        <f t="shared" si="34"/>
        <v>9.1999999999999993</v>
      </c>
      <c r="CY11" s="7">
        <f t="shared" si="35"/>
        <v>46.14</v>
      </c>
      <c r="CZ11" s="7" t="str">
        <f t="shared" si="36"/>
        <v/>
      </c>
      <c r="DA11" s="7" t="str">
        <f t="shared" si="37"/>
        <v/>
      </c>
      <c r="DB11" s="7">
        <f t="shared" si="38"/>
        <v>86.61</v>
      </c>
      <c r="DC11" s="7">
        <f t="shared" si="39"/>
        <v>9.1999999999999993</v>
      </c>
      <c r="DD11" s="7">
        <f t="shared" si="40"/>
        <v>47.669999999999995</v>
      </c>
      <c r="DE11" s="7">
        <f t="shared" si="41"/>
        <v>134.28</v>
      </c>
      <c r="DF11" s="13" t="str">
        <f t="shared" si="42"/>
        <v/>
      </c>
      <c r="DG11" s="13" t="str">
        <f t="shared" si="43"/>
        <v/>
      </c>
      <c r="DH11" s="13" t="str">
        <f t="shared" si="44"/>
        <v/>
      </c>
      <c r="DI11" s="13" t="str">
        <f t="shared" si="45"/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 t="shared" si="46"/>
        <v/>
      </c>
      <c r="DZ11" s="7" t="str">
        <f t="shared" si="47"/>
        <v/>
      </c>
      <c r="EA11" s="7" t="str">
        <f t="shared" si="48"/>
        <v/>
      </c>
      <c r="EB11" s="7" t="str">
        <f t="shared" si="49"/>
        <v/>
      </c>
      <c r="EC11" s="7" t="str">
        <f t="shared" si="50"/>
        <v/>
      </c>
      <c r="ED11" s="7" t="str">
        <f t="shared" si="51"/>
        <v/>
      </c>
      <c r="EE11" s="7" t="str">
        <f t="shared" si="52"/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 t="shared" si="53"/>
        <v/>
      </c>
      <c r="EV11" s="9" t="str">
        <f t="shared" si="54"/>
        <v/>
      </c>
      <c r="EW11" s="9" t="str">
        <f t="shared" si="55"/>
        <v/>
      </c>
      <c r="EX11" s="9" t="str">
        <f t="shared" si="56"/>
        <v/>
      </c>
      <c r="EY11" s="9" t="str">
        <f t="shared" si="57"/>
        <v/>
      </c>
      <c r="EZ11" s="9" t="str">
        <f t="shared" si="58"/>
        <v/>
      </c>
      <c r="FA11" s="9" t="str">
        <f t="shared" si="59"/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 t="shared" si="60"/>
        <v/>
      </c>
      <c r="FR11" s="7" t="str">
        <f t="shared" si="61"/>
        <v/>
      </c>
      <c r="FS11" s="7" t="str">
        <f t="shared" si="62"/>
        <v/>
      </c>
      <c r="FT11" s="7" t="str">
        <f t="shared" si="63"/>
        <v/>
      </c>
      <c r="FU11" s="7" t="str">
        <f t="shared" si="64"/>
        <v/>
      </c>
      <c r="FV11" s="7" t="str">
        <f t="shared" si="65"/>
        <v/>
      </c>
      <c r="FW11" s="7" t="str">
        <f t="shared" si="66"/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 t="shared" si="67"/>
        <v/>
      </c>
      <c r="GN11" s="9" t="str">
        <f t="shared" si="68"/>
        <v/>
      </c>
      <c r="GO11" s="9" t="str">
        <f t="shared" si="69"/>
        <v/>
      </c>
      <c r="GP11" s="9" t="str">
        <f t="shared" si="70"/>
        <v/>
      </c>
      <c r="GQ11" s="9" t="str">
        <f t="shared" si="71"/>
        <v/>
      </c>
      <c r="GR11" s="9" t="str">
        <f t="shared" si="72"/>
        <v/>
      </c>
      <c r="GS11" s="9" t="str">
        <f t="shared" si="73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 t="shared" si="74"/>
        <v/>
      </c>
      <c r="HJ11" s="7" t="str">
        <f t="shared" si="75"/>
        <v/>
      </c>
      <c r="HK11" s="7" t="str">
        <f t="shared" si="76"/>
        <v/>
      </c>
      <c r="HL11" s="7" t="str">
        <f t="shared" si="77"/>
        <v/>
      </c>
      <c r="HM11" s="7" t="str">
        <f t="shared" si="78"/>
        <v/>
      </c>
      <c r="HN11" s="7" t="str">
        <f t="shared" si="79"/>
        <v/>
      </c>
      <c r="HO11" s="7" t="str">
        <f t="shared" si="80"/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 t="shared" si="81"/>
        <v/>
      </c>
      <c r="IF11" s="9" t="str">
        <f t="shared" si="82"/>
        <v/>
      </c>
      <c r="IG11" s="9" t="str">
        <f t="shared" si="83"/>
        <v/>
      </c>
      <c r="IH11" s="9" t="str">
        <f t="shared" si="84"/>
        <v/>
      </c>
      <c r="II11" s="9" t="str">
        <f t="shared" si="85"/>
        <v/>
      </c>
      <c r="IJ11" s="9" t="str">
        <f t="shared" si="86"/>
        <v/>
      </c>
      <c r="IK11" s="9" t="str">
        <f t="shared" si="87"/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 t="shared" si="88"/>
        <v/>
      </c>
      <c r="JB11" s="7" t="str">
        <f t="shared" si="89"/>
        <v/>
      </c>
      <c r="JC11" s="7" t="str">
        <f t="shared" si="90"/>
        <v/>
      </c>
      <c r="JD11" s="7" t="str">
        <f t="shared" si="91"/>
        <v/>
      </c>
      <c r="JE11" s="7" t="str">
        <f t="shared" si="92"/>
        <v/>
      </c>
      <c r="JF11" s="7" t="str">
        <f t="shared" si="93"/>
        <v/>
      </c>
      <c r="JG11" s="7" t="str">
        <f t="shared" si="94"/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 t="shared" si="95"/>
        <v/>
      </c>
      <c r="JX11" s="9" t="str">
        <f t="shared" si="96"/>
        <v/>
      </c>
      <c r="JY11" s="9" t="str">
        <f t="shared" si="97"/>
        <v/>
      </c>
      <c r="JZ11" s="9" t="str">
        <f t="shared" si="98"/>
        <v/>
      </c>
      <c r="KA11" s="9" t="str">
        <f t="shared" si="99"/>
        <v/>
      </c>
      <c r="KB11" s="9" t="str">
        <f t="shared" si="100"/>
        <v/>
      </c>
      <c r="KC11" s="9" t="str">
        <f t="shared" si="101"/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 t="shared" si="102"/>
        <v/>
      </c>
      <c r="KT11" s="7" t="str">
        <f t="shared" si="103"/>
        <v/>
      </c>
      <c r="KU11" s="7" t="str">
        <f t="shared" si="104"/>
        <v/>
      </c>
      <c r="KV11" s="7" t="str">
        <f t="shared" si="105"/>
        <v/>
      </c>
      <c r="KW11" s="7" t="str">
        <f t="shared" si="106"/>
        <v/>
      </c>
      <c r="KX11" s="7" t="str">
        <f t="shared" si="107"/>
        <v/>
      </c>
      <c r="KY11" s="7" t="str">
        <f t="shared" si="108"/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 t="shared" si="109"/>
        <v/>
      </c>
      <c r="LP11" s="9" t="str">
        <f t="shared" si="110"/>
        <v/>
      </c>
      <c r="LQ11" s="9" t="str">
        <f t="shared" si="111"/>
        <v/>
      </c>
      <c r="LR11" s="9" t="str">
        <f t="shared" si="112"/>
        <v/>
      </c>
      <c r="LS11" s="9" t="str">
        <f t="shared" si="113"/>
        <v/>
      </c>
      <c r="LT11" s="9" t="str">
        <f t="shared" si="114"/>
        <v/>
      </c>
      <c r="LU11" s="9" t="str">
        <f t="shared" si="115"/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 t="shared" si="116"/>
        <v/>
      </c>
      <c r="ML11" s="7" t="str">
        <f t="shared" si="117"/>
        <v/>
      </c>
      <c r="MM11" s="7" t="str">
        <f t="shared" si="118"/>
        <v/>
      </c>
      <c r="MN11" s="7" t="str">
        <f t="shared" si="119"/>
        <v/>
      </c>
      <c r="MO11" s="7" t="str">
        <f t="shared" si="120"/>
        <v/>
      </c>
      <c r="MP11" s="7" t="str">
        <f t="shared" si="121"/>
        <v/>
      </c>
      <c r="MQ11" s="7" t="str">
        <f t="shared" si="122"/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 t="shared" si="123"/>
        <v/>
      </c>
      <c r="NH11" s="9" t="str">
        <f t="shared" si="124"/>
        <v/>
      </c>
      <c r="NI11" s="9" t="str">
        <f t="shared" si="125"/>
        <v/>
      </c>
      <c r="NJ11" s="9" t="str">
        <f t="shared" si="126"/>
        <v/>
      </c>
      <c r="NK11" s="9" t="str">
        <f t="shared" si="127"/>
        <v/>
      </c>
      <c r="NL11" s="9" t="str">
        <f t="shared" si="128"/>
        <v/>
      </c>
      <c r="NM11" s="9" t="str">
        <f t="shared" si="129"/>
        <v/>
      </c>
      <c r="NN11" s="27">
        <f t="shared" si="130"/>
        <v>8.4</v>
      </c>
      <c r="NO11" s="27">
        <f t="shared" si="130"/>
        <v>4.6500000000000004</v>
      </c>
      <c r="NP11" s="27">
        <f t="shared" si="130"/>
        <v>0</v>
      </c>
      <c r="NQ11" s="27">
        <f t="shared" si="130"/>
        <v>7.1849999999999996</v>
      </c>
      <c r="NR11" s="27">
        <f t="shared" si="130"/>
        <v>0</v>
      </c>
      <c r="NS11" s="27">
        <f t="shared" si="130"/>
        <v>6.65</v>
      </c>
      <c r="NT11" s="27">
        <f t="shared" si="130"/>
        <v>4.5999999999999996</v>
      </c>
      <c r="NU11" s="27">
        <f t="shared" si="130"/>
        <v>4.5999999999999996</v>
      </c>
      <c r="NV11" s="27">
        <f t="shared" si="130"/>
        <v>7.22</v>
      </c>
      <c r="NW11" s="27">
        <f t="shared" si="130"/>
        <v>0</v>
      </c>
      <c r="NX11" s="27">
        <f t="shared" si="131"/>
        <v>0</v>
      </c>
      <c r="NY11" s="27">
        <f t="shared" si="131"/>
        <v>0</v>
      </c>
      <c r="NZ11" s="27">
        <f t="shared" si="131"/>
        <v>0</v>
      </c>
      <c r="OA11" s="27">
        <f t="shared" si="131"/>
        <v>0</v>
      </c>
      <c r="OB11" s="27">
        <f t="shared" si="131"/>
        <v>0</v>
      </c>
      <c r="OC11" s="27">
        <f t="shared" si="131"/>
        <v>7.45</v>
      </c>
      <c r="OD11" s="27">
        <f t="shared" si="131"/>
        <v>4.5999999999999996</v>
      </c>
      <c r="OE11" s="27">
        <f t="shared" si="131"/>
        <v>4.5999999999999996</v>
      </c>
      <c r="OF11" s="27">
        <f t="shared" si="131"/>
        <v>7.1849999999999996</v>
      </c>
      <c r="OG11" s="27">
        <f t="shared" si="131"/>
        <v>0</v>
      </c>
      <c r="OH11" s="32" t="s">
        <v>44</v>
      </c>
      <c r="OI11" s="7">
        <f t="shared" si="132"/>
        <v>20.234999999999999</v>
      </c>
      <c r="OJ11" s="7">
        <f t="shared" si="133"/>
        <v>4.5999999999999996</v>
      </c>
      <c r="OK11" s="7">
        <f t="shared" si="134"/>
        <v>23.07</v>
      </c>
      <c r="OL11" s="7" t="str">
        <f t="shared" si="135"/>
        <v/>
      </c>
      <c r="OM11" s="7" t="str">
        <f t="shared" si="136"/>
        <v/>
      </c>
      <c r="ON11" s="7">
        <f t="shared" si="137"/>
        <v>43.305</v>
      </c>
      <c r="OO11" s="7">
        <f t="shared" si="138"/>
        <v>4.5999999999999996</v>
      </c>
      <c r="OP11" s="7">
        <f t="shared" ref="OP11" si="147">IF(SUM(OC11:OF11)-OG11&gt;0,SUM(OC11:OF11)-OG11,"")</f>
        <v>23.834999999999997</v>
      </c>
      <c r="OQ11" s="7">
        <f t="shared" ref="OQ11" si="148">IF(SUM(ON11,OP11)&gt;0,SUM(ON11,OP11),"")</f>
        <v>67.14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11.6</v>
      </c>
      <c r="CX14" s="46"/>
      <c r="CY14" s="46"/>
      <c r="CZ14" s="46"/>
      <c r="DC14" s="2"/>
      <c r="DE14" s="24">
        <v>11.6</v>
      </c>
      <c r="DY14" s="5"/>
      <c r="EC14" s="2"/>
      <c r="EE14" s="24">
        <v>11.6</v>
      </c>
      <c r="EU14" s="5"/>
      <c r="EY14" s="2"/>
      <c r="FA14" s="24">
        <v>11.6</v>
      </c>
      <c r="FQ14" s="5"/>
      <c r="FU14" s="2"/>
      <c r="FW14" s="24">
        <v>11.6</v>
      </c>
      <c r="GM14" s="5"/>
      <c r="GQ14" s="2"/>
      <c r="GS14" s="24">
        <v>11.6</v>
      </c>
      <c r="HI14" s="5"/>
      <c r="HM14" s="2"/>
      <c r="HO14" s="24">
        <v>11.6</v>
      </c>
      <c r="IE14" s="5"/>
      <c r="II14" s="2"/>
      <c r="IK14" s="24">
        <v>11.6</v>
      </c>
      <c r="JA14" s="5"/>
      <c r="JE14" s="2"/>
      <c r="JG14" s="24">
        <v>11.6</v>
      </c>
      <c r="JW14" s="5"/>
      <c r="KA14" s="2"/>
      <c r="KC14" s="24">
        <v>11.6</v>
      </c>
      <c r="KS14" s="5"/>
      <c r="KW14" s="2"/>
      <c r="KY14" s="24">
        <v>11.6</v>
      </c>
      <c r="LO14" s="5"/>
      <c r="LS14" s="2"/>
      <c r="LU14" s="24">
        <v>11.6</v>
      </c>
      <c r="MK14" s="5"/>
      <c r="MO14" s="2"/>
      <c r="MQ14" s="24">
        <v>11.6</v>
      </c>
      <c r="NG14" s="5"/>
      <c r="NK14" s="2"/>
      <c r="NM14" s="24">
        <v>11.6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1000</v>
      </c>
      <c r="BT15" s="46"/>
      <c r="BU15" s="46"/>
      <c r="BV15" s="46"/>
      <c r="BY15" s="2"/>
      <c r="CA15" s="37">
        <v>1000</v>
      </c>
      <c r="CX15" s="46"/>
      <c r="CY15" s="46"/>
      <c r="CZ15" s="46"/>
      <c r="DC15" s="2"/>
      <c r="DE15" s="37">
        <v>1000</v>
      </c>
      <c r="DY15" s="5"/>
      <c r="EC15" s="2"/>
      <c r="EE15" s="37">
        <v>1000</v>
      </c>
      <c r="EU15" s="5"/>
      <c r="EY15" s="2"/>
      <c r="FA15" s="37">
        <v>1000</v>
      </c>
      <c r="FQ15" s="5"/>
      <c r="FU15" s="2"/>
      <c r="FW15" s="37">
        <v>1000</v>
      </c>
      <c r="GM15" s="5"/>
      <c r="GQ15" s="2"/>
      <c r="GS15" s="37">
        <v>1000</v>
      </c>
      <c r="HI15" s="5"/>
      <c r="HM15" s="2"/>
      <c r="HO15" s="37">
        <v>1000</v>
      </c>
      <c r="IE15" s="5"/>
      <c r="II15" s="2"/>
      <c r="IK15" s="37">
        <v>1000</v>
      </c>
      <c r="JA15" s="5"/>
      <c r="JE15" s="2"/>
      <c r="JG15" s="37">
        <v>1000</v>
      </c>
      <c r="JW15" s="5"/>
      <c r="KA15" s="2"/>
      <c r="KC15" s="37">
        <v>1000</v>
      </c>
      <c r="KS15" s="5"/>
      <c r="KW15" s="2"/>
      <c r="KY15" s="37">
        <v>1000</v>
      </c>
      <c r="LO15" s="5"/>
      <c r="LS15" s="2"/>
      <c r="LU15" s="37">
        <v>1000</v>
      </c>
      <c r="MK15" s="5"/>
      <c r="MO15" s="2"/>
      <c r="MQ15" s="37">
        <v>1000</v>
      </c>
      <c r="NG15" s="5"/>
      <c r="NK15" s="2"/>
      <c r="NM15" s="37">
        <v>1000</v>
      </c>
    </row>
    <row r="16" spans="1:407" hidden="1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1000</v>
      </c>
      <c r="BT16" s="46"/>
      <c r="BU16" s="46"/>
      <c r="BV16" s="46"/>
      <c r="BY16" s="2"/>
      <c r="CA16" s="38">
        <v>1000</v>
      </c>
      <c r="CX16" s="46"/>
      <c r="CY16" s="46"/>
      <c r="CZ16" s="46"/>
      <c r="DB16" s="2"/>
      <c r="DC16" s="2"/>
      <c r="DD16" s="2"/>
      <c r="DE16" s="38">
        <v>1000</v>
      </c>
      <c r="DY16" s="5"/>
      <c r="EC16" s="2"/>
      <c r="EE16" s="38">
        <v>1000</v>
      </c>
      <c r="EU16" s="5"/>
      <c r="EY16" s="2"/>
      <c r="FA16" s="38">
        <v>1000</v>
      </c>
      <c r="FQ16" s="5"/>
      <c r="FU16" s="2"/>
      <c r="FW16" s="38">
        <v>1000</v>
      </c>
      <c r="GM16" s="5"/>
      <c r="GQ16" s="2"/>
      <c r="GS16" s="38">
        <v>1000</v>
      </c>
      <c r="HI16" s="5"/>
      <c r="HM16" s="2"/>
      <c r="HO16" s="38">
        <v>1000</v>
      </c>
      <c r="IE16" s="5"/>
      <c r="II16" s="2"/>
      <c r="IK16" s="38">
        <v>1000</v>
      </c>
      <c r="JA16" s="5"/>
      <c r="JE16" s="2"/>
      <c r="JG16" s="38">
        <v>1000</v>
      </c>
      <c r="JW16" s="5"/>
      <c r="KA16" s="2"/>
      <c r="KC16" s="38">
        <v>1000</v>
      </c>
      <c r="KS16" s="5"/>
      <c r="KW16" s="2"/>
      <c r="KY16" s="38">
        <v>1000</v>
      </c>
      <c r="LO16" s="5"/>
      <c r="LS16" s="2"/>
      <c r="LU16" s="38">
        <v>1000</v>
      </c>
      <c r="MK16" s="5"/>
      <c r="MO16" s="2"/>
      <c r="MQ16" s="38">
        <v>1000</v>
      </c>
      <c r="NG16" s="5"/>
      <c r="NK16" s="2"/>
      <c r="NM16" s="38">
        <v>1000</v>
      </c>
    </row>
    <row r="17" spans="1:377" hidden="1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1000</v>
      </c>
      <c r="BT17" s="46"/>
      <c r="BU17" s="46"/>
      <c r="BV17" s="46"/>
      <c r="BY17" s="2"/>
      <c r="CA17" s="45">
        <v>1000</v>
      </c>
      <c r="CX17" s="46"/>
      <c r="CY17" s="46"/>
      <c r="CZ17" s="46"/>
      <c r="DB17" s="2"/>
      <c r="DC17" s="2"/>
      <c r="DD17" s="2"/>
      <c r="DE17" s="45">
        <v>1000</v>
      </c>
      <c r="DY17" s="5"/>
      <c r="EC17" s="2"/>
      <c r="EE17" s="45">
        <v>1000</v>
      </c>
      <c r="EU17" s="5"/>
      <c r="EY17" s="2"/>
      <c r="FA17" s="45">
        <v>1000</v>
      </c>
      <c r="FQ17" s="5"/>
      <c r="FU17" s="2"/>
      <c r="FW17" s="45">
        <v>1000</v>
      </c>
      <c r="GM17" s="5"/>
      <c r="GQ17" s="2"/>
      <c r="GS17" s="45">
        <v>1000</v>
      </c>
      <c r="HI17" s="5"/>
      <c r="HM17" s="2"/>
      <c r="HO17" s="45">
        <v>1000</v>
      </c>
      <c r="IE17" s="5"/>
      <c r="II17" s="2"/>
      <c r="IK17" s="45">
        <v>1000</v>
      </c>
      <c r="JA17" s="5"/>
      <c r="JE17" s="2"/>
      <c r="JG17" s="45">
        <v>1000</v>
      </c>
      <c r="JW17" s="5"/>
      <c r="KA17" s="2"/>
      <c r="KC17" s="45">
        <v>1000</v>
      </c>
      <c r="KS17" s="5"/>
      <c r="KW17" s="2"/>
      <c r="KY17" s="45">
        <v>1000</v>
      </c>
      <c r="LO17" s="5"/>
      <c r="LS17" s="2"/>
      <c r="LU17" s="45">
        <v>1000</v>
      </c>
      <c r="MK17" s="5"/>
      <c r="MO17" s="2"/>
      <c r="MQ17" s="45">
        <v>1000</v>
      </c>
      <c r="NG17" s="5"/>
      <c r="NK17" s="2"/>
      <c r="NM17" s="45">
        <v>1000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92</v>
      </c>
      <c r="CX18" s="46"/>
      <c r="CY18" s="46"/>
      <c r="CZ18" s="46"/>
      <c r="DB18" s="2"/>
      <c r="DC18" s="2"/>
      <c r="DD18" s="2"/>
      <c r="DE18" s="43">
        <v>92</v>
      </c>
      <c r="DY18" s="5"/>
      <c r="EC18" s="2"/>
      <c r="EE18" s="43">
        <v>92</v>
      </c>
      <c r="EU18" s="5"/>
      <c r="EY18" s="2"/>
      <c r="FA18" s="43">
        <v>92</v>
      </c>
      <c r="FQ18" s="5"/>
      <c r="FU18" s="2"/>
      <c r="FW18" s="43">
        <v>92</v>
      </c>
      <c r="GM18" s="5"/>
      <c r="GQ18" s="2"/>
      <c r="GS18" s="43">
        <v>92</v>
      </c>
      <c r="HI18" s="5"/>
      <c r="HM18" s="2"/>
      <c r="HO18" s="43">
        <v>92</v>
      </c>
      <c r="IE18" s="5"/>
      <c r="II18" s="2"/>
      <c r="IK18" s="43">
        <v>92</v>
      </c>
      <c r="JA18" s="5"/>
      <c r="JE18" s="2"/>
      <c r="JG18" s="43">
        <v>92</v>
      </c>
      <c r="JW18" s="5"/>
      <c r="KA18" s="2"/>
      <c r="KC18" s="43">
        <v>92</v>
      </c>
      <c r="KS18" s="5"/>
      <c r="KW18" s="2"/>
      <c r="KY18" s="43">
        <v>92</v>
      </c>
      <c r="LO18" s="5"/>
      <c r="LS18" s="2"/>
      <c r="LU18" s="43">
        <v>92</v>
      </c>
      <c r="MK18" s="5"/>
      <c r="MO18" s="2"/>
      <c r="MQ18" s="43">
        <v>92</v>
      </c>
      <c r="NG18" s="5"/>
      <c r="NK18" s="2"/>
      <c r="NM18" s="43">
        <v>92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1000</v>
      </c>
      <c r="BT19" s="46"/>
      <c r="BU19" s="46"/>
      <c r="BV19" s="46"/>
      <c r="BY19" s="2"/>
      <c r="CA19" s="25">
        <v>1000</v>
      </c>
      <c r="CX19" s="46"/>
      <c r="CY19" s="46"/>
      <c r="CZ19" s="46"/>
      <c r="DB19" s="2"/>
      <c r="DC19" s="2"/>
      <c r="DD19" s="2"/>
      <c r="DE19" s="25">
        <v>1000</v>
      </c>
      <c r="DY19" s="5"/>
      <c r="EC19" s="2"/>
      <c r="EE19" s="25">
        <v>1000</v>
      </c>
      <c r="EU19" s="5"/>
      <c r="EY19" s="2"/>
      <c r="FA19" s="25">
        <v>1000</v>
      </c>
      <c r="FQ19" s="5"/>
      <c r="FU19" s="2"/>
      <c r="FW19" s="25">
        <v>1000</v>
      </c>
      <c r="GM19" s="5"/>
      <c r="GQ19" s="2"/>
      <c r="GS19" s="25">
        <v>1000</v>
      </c>
      <c r="HI19" s="5"/>
      <c r="HM19" s="2"/>
      <c r="HO19" s="25">
        <v>1000</v>
      </c>
      <c r="IE19" s="5"/>
      <c r="II19" s="2"/>
      <c r="IK19" s="25">
        <v>1000</v>
      </c>
      <c r="JA19" s="5"/>
      <c r="JE19" s="2"/>
      <c r="JG19" s="25">
        <v>1000</v>
      </c>
      <c r="JW19" s="5"/>
      <c r="KA19" s="2"/>
      <c r="KC19" s="25">
        <v>1000</v>
      </c>
      <c r="KS19" s="5"/>
      <c r="KW19" s="2"/>
      <c r="KY19" s="25">
        <v>1000</v>
      </c>
      <c r="LO19" s="5"/>
      <c r="LS19" s="2"/>
      <c r="LU19" s="25">
        <v>1000</v>
      </c>
      <c r="MK19" s="5"/>
      <c r="MO19" s="2"/>
      <c r="MQ19" s="25">
        <v>1000</v>
      </c>
      <c r="NG19" s="5"/>
      <c r="NK19" s="2"/>
      <c r="NM19" s="25">
        <v>1000</v>
      </c>
    </row>
    <row r="20" spans="1:377" hidden="1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1000</v>
      </c>
      <c r="BT20" s="46"/>
      <c r="BU20" s="46"/>
      <c r="BV20" s="46"/>
      <c r="BY20" s="2"/>
      <c r="BZ20" s="48"/>
      <c r="CA20" s="41">
        <v>1000</v>
      </c>
      <c r="CX20" s="46"/>
      <c r="CY20" s="46"/>
      <c r="CZ20" s="46"/>
      <c r="DB20" s="2"/>
      <c r="DC20" s="2"/>
      <c r="DD20" s="2"/>
      <c r="DE20" s="41">
        <v>1000</v>
      </c>
      <c r="DY20" s="5"/>
      <c r="EC20" s="2"/>
      <c r="EE20" s="41">
        <v>1000</v>
      </c>
      <c r="EU20" s="5"/>
      <c r="EY20" s="2"/>
      <c r="FA20" s="41">
        <v>1000</v>
      </c>
      <c r="FQ20" s="5"/>
      <c r="FU20" s="2"/>
      <c r="FW20" s="41">
        <v>1000</v>
      </c>
      <c r="GM20" s="5"/>
      <c r="GQ20" s="2"/>
      <c r="GR20" s="48"/>
      <c r="GS20" s="41">
        <v>1000</v>
      </c>
      <c r="HI20" s="5"/>
      <c r="HM20" s="2"/>
      <c r="HN20" s="48"/>
      <c r="HO20" s="41">
        <v>1000</v>
      </c>
      <c r="IE20" s="5"/>
      <c r="II20" s="2"/>
      <c r="IK20" s="41">
        <v>1000</v>
      </c>
      <c r="JA20" s="5"/>
      <c r="JE20" s="2"/>
      <c r="JG20" s="41">
        <v>1000</v>
      </c>
      <c r="JW20" s="5"/>
      <c r="KA20" s="2"/>
      <c r="KB20" s="50"/>
      <c r="KC20" s="41">
        <v>1000</v>
      </c>
      <c r="KS20" s="5"/>
      <c r="KW20" s="2"/>
      <c r="KY20" s="41">
        <v>1000</v>
      </c>
      <c r="LO20" s="5"/>
      <c r="LS20" s="2"/>
      <c r="LU20" s="41">
        <v>1000</v>
      </c>
      <c r="MK20" s="5"/>
      <c r="MO20" s="2"/>
      <c r="MP20" s="50"/>
      <c r="MQ20" s="41">
        <v>1000</v>
      </c>
      <c r="NG20" s="5"/>
      <c r="NK20" s="2"/>
      <c r="NM20" s="41">
        <v>1000</v>
      </c>
    </row>
    <row r="21" spans="1:377" hidden="1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1000</v>
      </c>
      <c r="BT21" s="46"/>
      <c r="BU21" s="46"/>
      <c r="BV21" s="46"/>
      <c r="BY21" s="2"/>
      <c r="CA21" s="26">
        <v>1000</v>
      </c>
      <c r="CX21" s="46"/>
      <c r="CY21" s="46"/>
      <c r="CZ21" s="46"/>
      <c r="DB21" s="2"/>
      <c r="DC21" s="2"/>
      <c r="DD21" s="2"/>
      <c r="DE21" s="26">
        <v>1000</v>
      </c>
      <c r="DY21" s="5"/>
      <c r="EC21" s="2"/>
      <c r="EE21" s="26">
        <v>1000</v>
      </c>
      <c r="EU21" s="5"/>
      <c r="EY21" s="2"/>
      <c r="FA21" s="26">
        <v>1000</v>
      </c>
      <c r="FQ21" s="5"/>
      <c r="FU21" s="2"/>
      <c r="FW21" s="26">
        <v>1000</v>
      </c>
      <c r="GM21" s="5"/>
      <c r="GQ21" s="2"/>
      <c r="GR21" s="48"/>
      <c r="GS21" s="26">
        <v>1000</v>
      </c>
      <c r="HI21" s="5"/>
      <c r="HM21" s="2"/>
      <c r="HO21" s="26">
        <v>1000</v>
      </c>
      <c r="IE21" s="5"/>
      <c r="II21" s="2"/>
      <c r="IK21" s="26">
        <v>1000</v>
      </c>
      <c r="JA21" s="5"/>
      <c r="JE21" s="2"/>
      <c r="JG21" s="26">
        <v>1000</v>
      </c>
      <c r="JW21" s="5"/>
      <c r="KA21" s="2"/>
      <c r="KC21" s="26">
        <v>1000</v>
      </c>
      <c r="KS21" s="5"/>
      <c r="KW21" s="2"/>
      <c r="KY21" s="26">
        <v>1000</v>
      </c>
      <c r="LO21" s="5"/>
      <c r="LS21" s="2"/>
      <c r="LU21" s="26">
        <v>1000</v>
      </c>
      <c r="MK21" s="5"/>
      <c r="MO21" s="2"/>
      <c r="MQ21" s="26">
        <v>1000</v>
      </c>
      <c r="NG21" s="5"/>
      <c r="NK21" s="2"/>
      <c r="NM21" s="26">
        <v>1000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11">
      <sortCondition descending="1" ref="F1:F12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11">
    <cfRule type="expression" dxfId="151" priority="7" stopIfTrue="1">
      <formula>IF($AN4&lt;&gt;"",1,0)</formula>
    </cfRule>
  </conditionalFormatting>
  <conditionalFormatting sqref="AX4:CA11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11">
    <cfRule type="expression" dxfId="146" priority="16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5" priority="37585" operator="between">
      <formula>AW$21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60893" operator="between">
      <formula>AW$21</formula>
      <formula>1000</formula>
    </cfRule>
    <cfRule type="cellIs" dxfId="136" priority="60894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60983" operator="between">
      <formula>AW$20</formula>
      <formula>1000</formula>
    </cfRule>
    <cfRule type="cellIs" dxfId="134" priority="60984" operator="between">
      <formula>AW$19</formula>
      <formula>AW$20</formula>
    </cfRule>
    <cfRule type="cellIs" dxfId="133" priority="60985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61118" operator="between">
      <formula>EE$17</formula>
      <formula>1000</formula>
    </cfRule>
    <cfRule type="cellIs" dxfId="131" priority="61119" operator="between">
      <formula>EE$16</formula>
      <formula>EE$17</formula>
    </cfRule>
    <cfRule type="cellIs" dxfId="130" priority="61120" operator="between">
      <formula>EE$15</formula>
      <formula>EE$16</formula>
    </cfRule>
    <cfRule type="cellIs" dxfId="129" priority="61121" operator="between">
      <formula>EE$14</formula>
      <formula>EE$15</formula>
    </cfRule>
  </conditionalFormatting>
  <conditionalFormatting sqref="AP1:AP1048576 BT1:BT1048576 CX1:CX1048576">
    <cfRule type="cellIs" dxfId="128" priority="61262" operator="between">
      <formula>AW$17</formula>
      <formula>1000</formula>
    </cfRule>
    <cfRule type="cellIs" dxfId="127" priority="61263" operator="between">
      <formula>AW$16</formula>
      <formula>AW$17</formula>
    </cfRule>
    <cfRule type="cellIs" dxfId="126" priority="61264" operator="between">
      <formula>AW$15</formula>
      <formula>AW$16</formula>
    </cfRule>
    <cfRule type="cellIs" dxfId="125" priority="61265" operator="between">
      <formula>AW$14</formula>
      <formula>AW$15</formula>
    </cfRule>
  </conditionalFormatting>
  <conditionalFormatting sqref="AQ1:AQ1048576 BU1:BU1048576 CY1:CY1048576">
    <cfRule type="cellIs" dxfId="124" priority="61298" operator="between">
      <formula>AW$21</formula>
      <formula>1000</formula>
    </cfRule>
  </conditionalFormatting>
  <conditionalFormatting sqref="AR1:AR1048576 BV1:BV1048576 CZ1:CZ1048576">
    <cfRule type="cellIs" dxfId="123" priority="61307" operator="between">
      <formula>AW$17</formula>
      <formula>1000</formula>
    </cfRule>
    <cfRule type="cellIs" dxfId="122" priority="61308" operator="between">
      <formula>AW$16</formula>
      <formula>AW$17</formula>
    </cfRule>
    <cfRule type="cellIs" dxfId="121" priority="61309" operator="between">
      <formula>AW$15</formula>
      <formula>AW$16</formula>
    </cfRule>
    <cfRule type="cellIs" dxfId="120" priority="61310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61343" operator="between">
      <formula>AW$17</formula>
      <formula>1000</formula>
    </cfRule>
    <cfRule type="cellIs" dxfId="118" priority="61344" operator="between">
      <formula>AW$16</formula>
      <formula>AW$17</formula>
    </cfRule>
    <cfRule type="cellIs" dxfId="117" priority="61345" operator="between">
      <formula>AW$15</formula>
      <formula>AW$16</formula>
    </cfRule>
    <cfRule type="cellIs" dxfId="116" priority="61346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85</v>
      </c>
      <c r="C4" s="4" t="s">
        <v>67</v>
      </c>
      <c r="D4" s="4">
        <v>2012</v>
      </c>
      <c r="E4" s="10">
        <f>SUM(I4:O4)+SUM(I4:M4)*0.0000001+SUM(I4)*0.0000000000001</f>
        <v>120.40001204000416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/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/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/>
      </c>
      <c r="I4" s="9">
        <f>IF(COUNT(AN4,BO4,CP4)&gt;0,LARGE((AN4,BO4,CP4),1),0)</f>
        <v>41.500000000000007</v>
      </c>
      <c r="J4" s="9" t="str">
        <f>IF(I4=0,"",IF(I4=CP4,$BT$1,IF(I4=BO4,$AS$1,IF(I4=AN4,$R$1,""))))</f>
        <v>2025 Nationals</v>
      </c>
      <c r="K4" s="9">
        <f>IF(COUNT(AN4,BO4,CP4)&gt;1,LARGE((AN4,BO4,CP4),2),0)</f>
        <v>38.800000000000004</v>
      </c>
      <c r="L4" s="9" t="str">
        <f>IF(K4=0,"",IF(AND(K4=I4,K4=AN4,K4=BO4),$R$1,IF(AND(K4=I4,K4=AN4,K4=CP4),$R$1,IF(AND(K4=I4,K4=CP4,K4=BO4),$AS$1,IF(K4=CP4,$BT$1,IF(K4=BO4,$AS$1,IF(K4=AN4,$R$1,"")))))))</f>
        <v>2025 Elite Canada</v>
      </c>
      <c r="M4" s="9">
        <f>IF(MAX(AQ4,BR4,CS4)&gt;0,MAX(AQ4,BR4,CS4),0)</f>
        <v>40.1</v>
      </c>
      <c r="N4" s="9" t="str">
        <f>IF(M4=0,"",IF(M4=CS4,$BT$1,IF(M4=BR4,$AS$1,IF(M4=AQ4,$R$1,""))))</f>
        <v>2025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16.600000000000001</v>
      </c>
      <c r="AT4" s="19">
        <v>1.3</v>
      </c>
      <c r="AU4" s="19">
        <v>0</v>
      </c>
      <c r="AV4" s="19">
        <v>0</v>
      </c>
      <c r="AW4" s="19">
        <v>16.600000000000001</v>
      </c>
      <c r="AX4" s="19">
        <v>4.7</v>
      </c>
      <c r="AY4" s="19">
        <v>0.4</v>
      </c>
      <c r="AZ4" s="19">
        <v>0</v>
      </c>
      <c r="BA4" s="19"/>
      <c r="BB4" s="19"/>
      <c r="BC4" s="19"/>
      <c r="BD4" s="19"/>
      <c r="BE4" s="19">
        <v>17.5</v>
      </c>
      <c r="BF4" s="19">
        <v>3.5</v>
      </c>
      <c r="BG4" s="19">
        <v>0.4</v>
      </c>
      <c r="BH4" s="19">
        <v>0</v>
      </c>
      <c r="BI4" s="19">
        <v>15.5</v>
      </c>
      <c r="BJ4" s="19">
        <v>4</v>
      </c>
      <c r="BK4" s="19">
        <v>0</v>
      </c>
      <c r="BL4" s="19">
        <v>0</v>
      </c>
      <c r="BM4" s="33"/>
      <c r="BN4" s="14">
        <f>IF(SUM(AT4,AX4)&gt;0,SUM(AT4,AX4),"")</f>
        <v>6</v>
      </c>
      <c r="BO4" s="14">
        <f>IF(SUM(AS4:AT4,AV4:AX4,AZ4)-AU4-AY4&gt;0,SUM(AS4:AT4,AV4:AX4,AZ4)-AU4-AY4,"")</f>
        <v>38.800000000000004</v>
      </c>
      <c r="BP4" s="14" t="str">
        <f>IF(SUM(BA4:BB4,BD4)-BC4&gt;0,SUM(BA4:BB4,BD4)-BC4,"")</f>
        <v/>
      </c>
      <c r="BQ4" s="14">
        <f>IF(SUM(BF4,BJ4)&gt;0,SUM(BF4,BJ4),"")</f>
        <v>7.5</v>
      </c>
      <c r="BR4" s="14">
        <f>IF(SUM(BE4:BF4,BH4:BJ4,BL4)-SUM(BG4,BK4)&gt;0,SUM(BE4:BF4,BH4:BJ4,BL4)-SUM(BG4,BK4),"")</f>
        <v>40.1</v>
      </c>
      <c r="BS4" s="14">
        <f>IF(SUM(BO4,BP4,BR4)&gt;0,SUM(BO4,BP4,BR4),"")</f>
        <v>78.900000000000006</v>
      </c>
      <c r="BT4" s="20">
        <v>17.2</v>
      </c>
      <c r="BU4" s="20">
        <v>3.5</v>
      </c>
      <c r="BV4" s="20">
        <v>0.4</v>
      </c>
      <c r="BW4" s="20">
        <v>0</v>
      </c>
      <c r="BX4" s="20">
        <v>16.5</v>
      </c>
      <c r="BY4" s="20">
        <v>4.7</v>
      </c>
      <c r="BZ4" s="20">
        <v>0</v>
      </c>
      <c r="CA4" s="20">
        <v>0</v>
      </c>
      <c r="CB4" s="20"/>
      <c r="CC4" s="20"/>
      <c r="CD4" s="20"/>
      <c r="CE4" s="20"/>
      <c r="CF4" s="20">
        <v>17</v>
      </c>
      <c r="CG4" s="20">
        <v>3.5</v>
      </c>
      <c r="CH4" s="20">
        <v>0.4</v>
      </c>
      <c r="CI4" s="20">
        <v>0</v>
      </c>
      <c r="CJ4" s="20">
        <v>15.8</v>
      </c>
      <c r="CK4" s="20">
        <v>4</v>
      </c>
      <c r="CL4" s="20">
        <v>0</v>
      </c>
      <c r="CM4" s="20">
        <v>0</v>
      </c>
      <c r="CN4" s="32"/>
      <c r="CO4" s="55">
        <f>IF(SUM(BU4,BY4)&gt;0,SUM(BU4,BY4),"")</f>
        <v>8.1999999999999993</v>
      </c>
      <c r="CP4" s="55">
        <f>IF(SUM(BT4:BU4,BW4:BY4,CA4)-BV4-BZ4&gt;0,SUM(BT4:BU4,BW4:BY4,CA4)-BV4-BZ4,"")</f>
        <v>41.500000000000007</v>
      </c>
      <c r="CQ4" s="55" t="str">
        <f>IF(SUM(CB4:CC4,CE4)-CD4&gt;0,SUM(CB4:CC4,CE4)-CD4,"")</f>
        <v/>
      </c>
      <c r="CR4" s="55">
        <f>IF(SUM(CG4,CK4)&gt;0,SUM(CG4,CK4),"")</f>
        <v>7.5</v>
      </c>
      <c r="CS4" s="55">
        <f>IF(SUM(CF4:CG4,CI4:CK4,CM4)-SUM(CH4,CL4)&gt;0,SUM(CF4:CG4,CI4:CK4,CM4)-SUM(CH4,CL4),"")</f>
        <v>39.9</v>
      </c>
      <c r="CT4" s="55">
        <f>IF(SUM(CP4,CQ4,CS4)&gt;0,SUM(CP4,CQ4,CS4),"")</f>
        <v>81.400000000000006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5" si="0">IF($CN4="P",BT4,(BT4+AS4)/2)</f>
        <v>16.899999999999999</v>
      </c>
      <c r="OX4" s="27">
        <f t="shared" si="0"/>
        <v>2.4</v>
      </c>
      <c r="OY4" s="27">
        <f t="shared" si="0"/>
        <v>0.2</v>
      </c>
      <c r="OZ4" s="27">
        <f t="shared" si="0"/>
        <v>0</v>
      </c>
      <c r="PA4" s="27">
        <f t="shared" si="0"/>
        <v>16.55</v>
      </c>
      <c r="PB4" s="27">
        <f t="shared" si="0"/>
        <v>4.7</v>
      </c>
      <c r="PC4" s="27">
        <f t="shared" si="0"/>
        <v>0.2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5" si="1">IF($CN4="P",CD4,(CD4+BC4)/2)</f>
        <v>0</v>
      </c>
      <c r="PH4" s="27">
        <f t="shared" si="1"/>
        <v>0</v>
      </c>
      <c r="PI4" s="27">
        <f t="shared" si="1"/>
        <v>17.25</v>
      </c>
      <c r="PJ4" s="27">
        <f t="shared" si="1"/>
        <v>3.5</v>
      </c>
      <c r="PK4" s="27">
        <f t="shared" si="1"/>
        <v>0.4</v>
      </c>
      <c r="PL4" s="27">
        <f t="shared" si="1"/>
        <v>0</v>
      </c>
      <c r="PM4" s="27">
        <f t="shared" si="1"/>
        <v>15.65</v>
      </c>
      <c r="PN4" s="27">
        <f t="shared" si="1"/>
        <v>4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7.1</v>
      </c>
      <c r="PS4" s="55">
        <f>IF(SUM(OW4:OX4,OZ4:PB4,PD4)-OY4-PC4&gt;0,SUM(OW4:OX4,OZ4:PB4,PD4)-OY4-PC4,"")</f>
        <v>40.149999999999991</v>
      </c>
      <c r="PT4" s="55" t="str">
        <f>IF(SUM(PE4:PF4,PH4)-PG4&gt;0,SUM(PE4:PF4,PH4)-PG4,"")</f>
        <v/>
      </c>
      <c r="PU4" s="55">
        <f>IF(SUM(PJ4,PN4)&gt;0,SUM(PJ4,PN4),"")</f>
        <v>7.5</v>
      </c>
      <c r="PV4" s="55">
        <f>IF(SUM(PI4:PJ4,PL4:PN4,PP4)-SUM(PK4,PO4)&gt;0,SUM(PI4:PJ4,PL4:PN4,PP4)-SUM(PK4,PO4),"")</f>
        <v>40</v>
      </c>
      <c r="PW4" s="55">
        <f>IF(SUM(PS4,PT4,PV4)&gt;0,SUM(PS4,PT4,PV4),"")</f>
        <v>80.149999999999991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111</v>
      </c>
      <c r="C5" s="4" t="s">
        <v>65</v>
      </c>
      <c r="D5" s="4">
        <v>2010</v>
      </c>
      <c r="E5" s="10">
        <f>SUM(I5:O5)+SUM(I5:M5)*0.0000001+SUM(I5)*0.0000000000001</f>
        <v>86.100008610004309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43.199999999999996</v>
      </c>
      <c r="J5" s="9" t="str">
        <f>IF(I5=0,"",IF(I5=CP5,$BT$1,IF(I5=BO5,$AS$1,IF(I5=AN5,$R$1,""))))</f>
        <v>2025 Nationals</v>
      </c>
      <c r="K5" s="9">
        <f>IF(COUNT(AN5,BO5,CP5)&gt;1,LARGE((AN5,BO5,CP5),2),0)</f>
        <v>0</v>
      </c>
      <c r="L5" s="9" t="str">
        <f>IF(K5=0,"",IF(AND(K5=I5,K5=AN5,K5=BO5),$R$1,IF(AND(K5=I5,K5=AN5,K5=CP5),$R$1,IF(AND(K5=I5,K5=CP5,K5=BO5),$AS$1,IF(K5=CP5,$BT$1,IF(K5=BO5,$AS$1,IF(K5=AN5,$R$1,"")))))))</f>
        <v/>
      </c>
      <c r="M5" s="9">
        <f>IF(MAX(AQ5,BR5,CS5)&gt;0,MAX(AQ5,BR5,CS5),0)</f>
        <v>42.9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17.2</v>
      </c>
      <c r="BU5" s="20">
        <v>4.5999999999999996</v>
      </c>
      <c r="BV5" s="20">
        <v>0</v>
      </c>
      <c r="BW5" s="20">
        <v>0</v>
      </c>
      <c r="BX5" s="20">
        <v>17.5</v>
      </c>
      <c r="BY5" s="20">
        <v>3.9</v>
      </c>
      <c r="BZ5" s="20">
        <v>0</v>
      </c>
      <c r="CA5" s="20">
        <v>0</v>
      </c>
      <c r="CB5" s="20"/>
      <c r="CC5" s="20"/>
      <c r="CD5" s="20"/>
      <c r="CE5" s="20"/>
      <c r="CF5" s="20">
        <v>17</v>
      </c>
      <c r="CG5" s="20">
        <v>4.5999999999999996</v>
      </c>
      <c r="CH5" s="20">
        <v>0</v>
      </c>
      <c r="CI5" s="20">
        <v>0</v>
      </c>
      <c r="CJ5" s="20">
        <v>16.5</v>
      </c>
      <c r="CK5" s="20">
        <v>4.8</v>
      </c>
      <c r="CL5" s="20">
        <v>0</v>
      </c>
      <c r="CM5" s="20">
        <v>0</v>
      </c>
      <c r="CN5" s="32"/>
      <c r="CO5" s="55">
        <f>IF(SUM(BU5,BY5)&gt;0,SUM(BU5,BY5),"")</f>
        <v>8.5</v>
      </c>
      <c r="CP5" s="55">
        <f>IF(SUM(BT5:BU5,BW5:BY5,CA5)-BV5-BZ5&gt;0,SUM(BT5:BU5,BW5:BY5,CA5)-BV5-BZ5,"")</f>
        <v>43.199999999999996</v>
      </c>
      <c r="CQ5" s="55" t="str">
        <f>IF(SUM(CB5:CC5,CE5)-CD5&gt;0,SUM(CB5:CC5,CE5)-CD5,"")</f>
        <v/>
      </c>
      <c r="CR5" s="55">
        <f>IF(SUM(CG5,CK5)&gt;0,SUM(CG5,CK5),"")</f>
        <v>9.3999999999999986</v>
      </c>
      <c r="CS5" s="55">
        <f>IF(SUM(CF5:CG5,CI5:CK5,CM5)-SUM(CH5,CL5)&gt;0,SUM(CF5:CG5,CI5:CK5,CM5)-SUM(CH5,CL5),"")</f>
        <v>42.9</v>
      </c>
      <c r="CT5" s="55">
        <f>IF(SUM(CP5,CQ5,CS5)&gt;0,SUM(CP5,CQ5,CS5),"")</f>
        <v>86.1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8.6</v>
      </c>
      <c r="OX5" s="27">
        <f t="shared" si="0"/>
        <v>2.2999999999999998</v>
      </c>
      <c r="OY5" s="27">
        <f t="shared" si="0"/>
        <v>0</v>
      </c>
      <c r="OZ5" s="27">
        <f t="shared" si="0"/>
        <v>0</v>
      </c>
      <c r="PA5" s="27">
        <f t="shared" si="0"/>
        <v>8.75</v>
      </c>
      <c r="PB5" s="27">
        <f t="shared" si="0"/>
        <v>1.95</v>
      </c>
      <c r="PC5" s="27">
        <f t="shared" si="0"/>
        <v>0</v>
      </c>
      <c r="PD5" s="27">
        <f t="shared" si="0"/>
        <v>0</v>
      </c>
      <c r="PE5" s="27">
        <f t="shared" si="0"/>
        <v>0</v>
      </c>
      <c r="PF5" s="27">
        <f t="shared" si="0"/>
        <v>0</v>
      </c>
      <c r="PG5" s="27">
        <f t="shared" si="1"/>
        <v>0</v>
      </c>
      <c r="PH5" s="27">
        <f t="shared" si="1"/>
        <v>0</v>
      </c>
      <c r="PI5" s="27">
        <f t="shared" si="1"/>
        <v>8.5</v>
      </c>
      <c r="PJ5" s="27">
        <f t="shared" si="1"/>
        <v>2.2999999999999998</v>
      </c>
      <c r="PK5" s="27">
        <f t="shared" si="1"/>
        <v>0</v>
      </c>
      <c r="PL5" s="27">
        <f t="shared" si="1"/>
        <v>0</v>
      </c>
      <c r="PM5" s="27">
        <f t="shared" si="1"/>
        <v>8.25</v>
      </c>
      <c r="PN5" s="27">
        <f t="shared" si="1"/>
        <v>2.4</v>
      </c>
      <c r="PO5" s="27">
        <f t="shared" si="1"/>
        <v>0</v>
      </c>
      <c r="PP5" s="27">
        <f t="shared" si="1"/>
        <v>0</v>
      </c>
      <c r="PQ5" s="32" t="s">
        <v>44</v>
      </c>
      <c r="PR5" s="55">
        <f>IF(SUM(OX5,PB5)&gt;0,SUM(OX5,PB5),"")</f>
        <v>4.25</v>
      </c>
      <c r="PS5" s="55">
        <f>IF(SUM(OW5:OX5,OZ5:PB5,PD5)-OY5-PC5&gt;0,SUM(OW5:OX5,OZ5:PB5,PD5)-OY5-PC5,"")</f>
        <v>21.599999999999998</v>
      </c>
      <c r="PT5" s="55" t="str">
        <f>IF(SUM(PE5:PF5,PH5)-PG5&gt;0,SUM(PE5:PF5,PH5)-PG5,"")</f>
        <v/>
      </c>
      <c r="PU5" s="55">
        <f>IF(SUM(PJ5,PN5)&gt;0,SUM(PJ5,PN5),"")</f>
        <v>4.6999999999999993</v>
      </c>
      <c r="PV5" s="55">
        <f>IF(SUM(PI5:PJ5,PL5:PN5,PP5)-SUM(PK5,PO5)&gt;0,SUM(PI5:PJ5,PL5:PN5,PP5)-SUM(PK5,PO5),"")</f>
        <v>21.45</v>
      </c>
      <c r="PW5" s="55">
        <f>IF(SUM(PS5,PT5,PV5)&gt;0,SUM(PS5,PT5,PV5),"")</f>
        <v>43.05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8.6999999999999993</v>
      </c>
      <c r="BN8" s="4"/>
      <c r="BS8" s="57">
        <v>8.6</v>
      </c>
      <c r="CO8" s="4"/>
      <c r="CT8" s="57">
        <v>8.6</v>
      </c>
      <c r="DQ8" s="4"/>
      <c r="DV8" s="57">
        <v>8.6</v>
      </c>
      <c r="EQ8" s="4"/>
      <c r="EV8" s="57">
        <v>8.6</v>
      </c>
      <c r="FQ8" s="4"/>
      <c r="FV8" s="57">
        <v>8.6</v>
      </c>
      <c r="GQ8" s="4"/>
      <c r="GV8" s="57">
        <v>8.6</v>
      </c>
      <c r="HQ8" s="4"/>
      <c r="HV8" s="57">
        <v>8.6</v>
      </c>
      <c r="IQ8" s="4"/>
      <c r="IV8" s="57">
        <v>8.6</v>
      </c>
      <c r="JQ8" s="4"/>
      <c r="JV8" s="57">
        <v>8.6</v>
      </c>
      <c r="KQ8" s="4"/>
      <c r="KV8" s="57">
        <v>8.6</v>
      </c>
      <c r="LQ8" s="4"/>
      <c r="LV8" s="57">
        <v>8.6</v>
      </c>
      <c r="MQ8" s="4"/>
      <c r="MV8" s="57">
        <v>8.6</v>
      </c>
      <c r="NQ8" s="4"/>
      <c r="NV8" s="57">
        <v>8.6</v>
      </c>
      <c r="OQ8" s="4"/>
      <c r="OV8" s="57">
        <v>8.6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9.5</v>
      </c>
      <c r="BN9" s="4"/>
      <c r="BS9" s="58">
        <v>1000</v>
      </c>
      <c r="CO9" s="4"/>
      <c r="CT9" s="58">
        <v>1000</v>
      </c>
      <c r="DQ9" s="4"/>
      <c r="DV9" s="58">
        <v>1000</v>
      </c>
      <c r="EQ9" s="4"/>
      <c r="EV9" s="58">
        <v>1000</v>
      </c>
      <c r="FQ9" s="4"/>
      <c r="FV9" s="58">
        <v>1000</v>
      </c>
      <c r="GQ9" s="4"/>
      <c r="GV9" s="58">
        <v>1000</v>
      </c>
      <c r="HQ9" s="4"/>
      <c r="HV9" s="58">
        <v>1000</v>
      </c>
      <c r="IQ9" s="4"/>
      <c r="IV9" s="58">
        <v>1000</v>
      </c>
      <c r="JQ9" s="4"/>
      <c r="JV9" s="58">
        <v>1000</v>
      </c>
      <c r="KQ9" s="4"/>
      <c r="KV9" s="58">
        <v>1000</v>
      </c>
      <c r="LQ9" s="4"/>
      <c r="LV9" s="58">
        <v>1000</v>
      </c>
      <c r="MQ9" s="4"/>
      <c r="MV9" s="58">
        <v>1000</v>
      </c>
      <c r="NQ9" s="4"/>
      <c r="NV9" s="58">
        <v>1000</v>
      </c>
      <c r="OQ9" s="4"/>
      <c r="OV9" s="58">
        <v>1000</v>
      </c>
    </row>
    <row r="10" spans="1:439" ht="17" hidden="1" x14ac:dyDescent="0.2">
      <c r="A10" s="5"/>
      <c r="B10" s="36" t="s">
        <v>54</v>
      </c>
      <c r="C10" s="22"/>
      <c r="O10" s="11"/>
      <c r="P10" s="11"/>
      <c r="Q10" s="11"/>
      <c r="AM10" s="4"/>
      <c r="AR10" s="59">
        <v>9.5</v>
      </c>
      <c r="BN10" s="4"/>
      <c r="BS10" s="59">
        <v>1000</v>
      </c>
      <c r="CO10" s="4"/>
      <c r="CT10" s="59">
        <v>1000</v>
      </c>
      <c r="DQ10" s="4"/>
      <c r="DV10" s="59">
        <v>1000</v>
      </c>
      <c r="EQ10" s="4"/>
      <c r="EV10" s="59">
        <v>1000</v>
      </c>
      <c r="FQ10" s="4"/>
      <c r="FV10" s="59">
        <v>1000</v>
      </c>
      <c r="GQ10" s="4"/>
      <c r="GV10" s="59">
        <v>1000</v>
      </c>
      <c r="HQ10" s="4"/>
      <c r="HV10" s="59">
        <v>1000</v>
      </c>
      <c r="IQ10" s="4"/>
      <c r="IV10" s="59">
        <v>1000</v>
      </c>
      <c r="JQ10" s="4"/>
      <c r="JV10" s="59">
        <v>1000</v>
      </c>
      <c r="KQ10" s="4"/>
      <c r="KV10" s="59">
        <v>1000</v>
      </c>
      <c r="LQ10" s="4"/>
      <c r="LV10" s="59">
        <v>1000</v>
      </c>
      <c r="MQ10" s="4"/>
      <c r="MV10" s="59">
        <v>1000</v>
      </c>
      <c r="NQ10" s="4"/>
      <c r="NV10" s="59">
        <v>1000</v>
      </c>
      <c r="OQ10" s="4"/>
      <c r="OV10" s="59">
        <v>1000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43.1</v>
      </c>
      <c r="BN12" s="4"/>
      <c r="BS12" s="61">
        <v>43.8</v>
      </c>
      <c r="CO12" s="4"/>
      <c r="CT12" s="61">
        <v>43.8</v>
      </c>
      <c r="DQ12" s="4"/>
      <c r="DV12" s="61">
        <v>43.8</v>
      </c>
      <c r="EQ12" s="4"/>
      <c r="EV12" s="61">
        <v>43.8</v>
      </c>
      <c r="FQ12" s="4"/>
      <c r="FV12" s="61">
        <v>43.8</v>
      </c>
      <c r="GQ12" s="4"/>
      <c r="GV12" s="61">
        <v>43.8</v>
      </c>
      <c r="HQ12" s="4"/>
      <c r="HV12" s="61">
        <v>43.8</v>
      </c>
      <c r="IQ12" s="4"/>
      <c r="IV12" s="61">
        <v>43.8</v>
      </c>
      <c r="JQ12" s="4"/>
      <c r="JV12" s="61">
        <v>43.8</v>
      </c>
      <c r="KQ12" s="4"/>
      <c r="KV12" s="61">
        <v>43.8</v>
      </c>
      <c r="LQ12" s="4"/>
      <c r="LV12" s="61">
        <v>43.8</v>
      </c>
      <c r="MQ12" s="4"/>
      <c r="MV12" s="61">
        <v>43.8</v>
      </c>
      <c r="NQ12" s="4"/>
      <c r="NV12" s="61">
        <v>43.8</v>
      </c>
      <c r="OQ12" s="4"/>
      <c r="OV12" s="61">
        <v>43.8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45.1</v>
      </c>
      <c r="BN13" s="4"/>
      <c r="BS13" s="62">
        <v>1000</v>
      </c>
      <c r="CO13" s="4"/>
      <c r="CT13" s="62">
        <v>1000</v>
      </c>
      <c r="DQ13" s="4"/>
      <c r="DV13" s="62">
        <v>1000</v>
      </c>
      <c r="EQ13" s="4"/>
      <c r="EV13" s="62">
        <v>1000</v>
      </c>
      <c r="FQ13" s="4"/>
      <c r="FV13" s="62">
        <v>1000</v>
      </c>
      <c r="GQ13" s="4"/>
      <c r="GV13" s="62">
        <v>1000</v>
      </c>
      <c r="HQ13" s="4"/>
      <c r="HV13" s="62">
        <v>1000</v>
      </c>
      <c r="IQ13" s="4"/>
      <c r="IV13" s="62">
        <v>1000</v>
      </c>
      <c r="JQ13" s="4"/>
      <c r="JV13" s="62">
        <v>1000</v>
      </c>
      <c r="KQ13" s="4"/>
      <c r="KV13" s="62">
        <v>1000</v>
      </c>
      <c r="LQ13" s="4"/>
      <c r="LV13" s="62">
        <v>1000</v>
      </c>
      <c r="MQ13" s="4"/>
      <c r="MV13" s="62">
        <v>1000</v>
      </c>
      <c r="NQ13" s="4"/>
      <c r="NV13" s="62">
        <v>1000</v>
      </c>
      <c r="OQ13" s="4"/>
      <c r="OV13" s="62">
        <v>1000</v>
      </c>
    </row>
    <row r="14" spans="1:439" ht="17" hidden="1" x14ac:dyDescent="0.2">
      <c r="A14" s="5"/>
      <c r="B14" s="40" t="s">
        <v>53</v>
      </c>
      <c r="C14" s="22"/>
      <c r="O14" s="11"/>
      <c r="P14" s="11"/>
      <c r="Q14" s="11"/>
      <c r="AM14" s="4"/>
      <c r="AR14" s="63">
        <v>45.1</v>
      </c>
      <c r="BN14" s="4"/>
      <c r="BS14" s="63">
        <v>1000</v>
      </c>
      <c r="CO14" s="4"/>
      <c r="CT14" s="63">
        <v>1000</v>
      </c>
      <c r="DQ14" s="4"/>
      <c r="DV14" s="63">
        <v>1000</v>
      </c>
      <c r="EQ14" s="4"/>
      <c r="EV14" s="63">
        <v>1000</v>
      </c>
      <c r="FQ14" s="4"/>
      <c r="FV14" s="63">
        <v>1000</v>
      </c>
      <c r="GQ14" s="4"/>
      <c r="GV14" s="63">
        <v>1000</v>
      </c>
      <c r="HQ14" s="4"/>
      <c r="HV14" s="63">
        <v>1000</v>
      </c>
      <c r="IQ14" s="4"/>
      <c r="IV14" s="63">
        <v>1000</v>
      </c>
      <c r="JQ14" s="4"/>
      <c r="JV14" s="63">
        <v>1000</v>
      </c>
      <c r="KQ14" s="4"/>
      <c r="KV14" s="63">
        <v>1000</v>
      </c>
      <c r="LQ14" s="4"/>
      <c r="LV14" s="63">
        <v>1000</v>
      </c>
      <c r="MQ14" s="4"/>
      <c r="MV14" s="63">
        <v>1000</v>
      </c>
      <c r="NQ14" s="4"/>
      <c r="NV14" s="63">
        <v>1000</v>
      </c>
      <c r="OQ14" s="4"/>
      <c r="OV14" s="63">
        <v>1000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115" priority="2" stopIfTrue="1">
      <formula>IF($AL4&lt;&gt;"",1,0)</formula>
    </cfRule>
  </conditionalFormatting>
  <conditionalFormatting sqref="AS4:BS5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5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61993" operator="between">
      <formula>AR$11</formula>
      <formula>1000</formula>
    </cfRule>
    <cfRule type="cellIs" dxfId="101" priority="61994" operator="between">
      <formula>AR$10</formula>
      <formula>AR$11</formula>
    </cfRule>
    <cfRule type="cellIs" dxfId="100" priority="61995" operator="between">
      <formula>AR$9</formula>
      <formula>AR$10</formula>
    </cfRule>
    <cfRule type="cellIs" dxfId="99" priority="6199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62173" operator="between">
      <formula>AR$15</formula>
      <formula>1000</formula>
    </cfRule>
    <cfRule type="cellIs" dxfId="97" priority="62174" operator="between">
      <formula>AR$14</formula>
      <formula>AR$15</formula>
    </cfRule>
    <cfRule type="cellIs" dxfId="96" priority="62175" operator="between">
      <formula>AR$13</formula>
      <formula>AR$14</formula>
    </cfRule>
    <cfRule type="cellIs" dxfId="95" priority="62176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62353" operator="between">
      <formula>AR$8</formula>
      <formula>AR$9</formula>
    </cfRule>
    <cfRule type="cellIs" dxfId="93" priority="62354" operator="between">
      <formula>AR$9</formula>
      <formula>AR$10</formula>
    </cfRule>
    <cfRule type="cellIs" dxfId="92" priority="62355" operator="between">
      <formula>AR$10</formula>
      <formula>AR$11</formula>
    </cfRule>
    <cfRule type="cellIs" dxfId="91" priority="62356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62533" operator="between">
      <formula>AR$12</formula>
      <formula>AR$13</formula>
    </cfRule>
    <cfRule type="cellIs" dxfId="89" priority="62534" operator="between">
      <formula>AR$13</formula>
      <formula>AR$14</formula>
    </cfRule>
    <cfRule type="cellIs" dxfId="88" priority="62535" operator="between">
      <formula>AR$14</formula>
      <formula>AR$15</formula>
    </cfRule>
    <cfRule type="cellIs" dxfId="87" priority="62536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65</v>
      </c>
      <c r="D4" s="4">
        <v>2010</v>
      </c>
      <c r="E4" s="10">
        <f>SUM(I4:O4)+SUM(I4:M4)*0.0000001+SUM(I4)*0.0000000000001</f>
        <v>124.60001246000411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National Team</v>
      </c>
      <c r="I4" s="9">
        <f>IF(COUNT(AN4,BO4,CP4)&gt;0,LARGE((AN4,BO4,CP4),1),0)</f>
        <v>41.1</v>
      </c>
      <c r="J4" s="9" t="str">
        <f>IF(I4=0,"",IF(I4=CP4,$BT$1,IF(I4=BO4,$AS$1,IF(I4=AN4,$R$1,""))))</f>
        <v>2025 Nationals</v>
      </c>
      <c r="K4" s="9">
        <f>IF(COUNT(AN4,BO4,CP4)&gt;1,LARGE((AN4,BO4,CP4),2),0)</f>
        <v>40.799999999999997</v>
      </c>
      <c r="L4" s="9" t="str">
        <f>IF(K4=0,"",IF(AND(K4=I4,K4=AN4,K4=BO4),$R$1,IF(AND(K4=I4,K4=AN4,K4=CP4),$R$1,IF(AND(K4=I4,K4=CP4,K4=BO4),$AS$1,IF(K4=CP4,$BT$1,IF(K4=BO4,$AS$1,IF(K4=AN4,$R$1,"")))))))</f>
        <v>2024 3rd Domestic Trial</v>
      </c>
      <c r="M4" s="9">
        <f>IF(MAX(AQ4,BR4,CS4)&gt;0,MAX(AQ4,BR4,CS4),0)</f>
        <v>42.7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16.7</v>
      </c>
      <c r="S4" s="20">
        <v>3.9</v>
      </c>
      <c r="T4" s="20">
        <v>0</v>
      </c>
      <c r="U4" s="20">
        <v>0.3</v>
      </c>
      <c r="V4" s="20">
        <v>15.5</v>
      </c>
      <c r="W4" s="20">
        <v>4.0999999999999996</v>
      </c>
      <c r="X4" s="20">
        <v>0</v>
      </c>
      <c r="Y4" s="20">
        <v>0.3</v>
      </c>
      <c r="Z4" s="20">
        <v>17.899999999999999</v>
      </c>
      <c r="AA4" s="20">
        <v>3.6</v>
      </c>
      <c r="AB4" s="20">
        <v>0</v>
      </c>
      <c r="AC4" s="20">
        <v>0</v>
      </c>
      <c r="AD4" s="20">
        <v>17.3</v>
      </c>
      <c r="AE4" s="20">
        <v>4.0999999999999996</v>
      </c>
      <c r="AF4" s="20">
        <v>0.4</v>
      </c>
      <c r="AG4" s="20">
        <v>0.3</v>
      </c>
      <c r="AH4" s="20">
        <v>16.5</v>
      </c>
      <c r="AI4" s="20">
        <v>1.9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40.799999999999997</v>
      </c>
      <c r="AO4" s="55">
        <f>IF(SUM(Z4:AA4,AC4)-AB4&gt;0,SUM(Z4:AA4,AC4)-AB4,"")</f>
        <v>21.5</v>
      </c>
      <c r="AP4" s="55">
        <f>IF(SUM(AE4,AI4)&gt;0,SUM(AE4,AI4),"")</f>
        <v>6</v>
      </c>
      <c r="AQ4" s="55">
        <f>IF(SUM(AD4:AE4,AG4:AI4,AK4)-SUM(AF4,AJ4)&gt;0,SUM(AD4:AE4,AG4:AI4,AK4)-SUM(AF4,AJ4),"")</f>
        <v>40</v>
      </c>
      <c r="AR4" s="55">
        <f>IF(SUM(AN4,AO4,AQ4)&gt;0,SUM(AN4,AO4,AQ4),"")</f>
        <v>102.3</v>
      </c>
      <c r="AS4" s="19">
        <v>15.1</v>
      </c>
      <c r="AT4" s="19">
        <v>3.9</v>
      </c>
      <c r="AU4" s="19">
        <v>0.2</v>
      </c>
      <c r="AV4" s="19">
        <v>0</v>
      </c>
      <c r="AW4" s="19">
        <v>16.899999999999999</v>
      </c>
      <c r="AX4" s="19">
        <v>2.8</v>
      </c>
      <c r="AY4" s="19">
        <v>0.2</v>
      </c>
      <c r="AZ4" s="19">
        <v>0</v>
      </c>
      <c r="BA4" s="19"/>
      <c r="BB4" s="19"/>
      <c r="BC4" s="19"/>
      <c r="BD4" s="19"/>
      <c r="BE4" s="19">
        <v>17.2</v>
      </c>
      <c r="BF4" s="19">
        <v>3.9</v>
      </c>
      <c r="BG4" s="19">
        <v>0</v>
      </c>
      <c r="BH4" s="19">
        <v>0</v>
      </c>
      <c r="BI4" s="19">
        <v>17.5</v>
      </c>
      <c r="BJ4" s="19">
        <v>3.4</v>
      </c>
      <c r="BK4" s="19">
        <v>0</v>
      </c>
      <c r="BL4" s="19">
        <v>0</v>
      </c>
      <c r="BM4" s="33"/>
      <c r="BN4" s="14">
        <f>IF(SUM(AT4,AX4)&gt;0,SUM(AT4,AX4),"")</f>
        <v>6.6999999999999993</v>
      </c>
      <c r="BO4" s="14">
        <f>IF(SUM(AS4:AT4,AV4:AX4,AZ4)-AU4-AY4&gt;0,SUM(AS4:AT4,AV4:AX4,AZ4)-AU4-AY4,"")</f>
        <v>38.29999999999999</v>
      </c>
      <c r="BP4" s="14" t="str">
        <f>IF(SUM(BA4:BB4,BD4)-BC4&gt;0,SUM(BA4:BB4,BD4)-BC4,"")</f>
        <v/>
      </c>
      <c r="BQ4" s="14">
        <f>IF(SUM(BF4,BJ4)&gt;0,SUM(BF4,BJ4),"")</f>
        <v>7.3</v>
      </c>
      <c r="BR4" s="14">
        <f>IF(SUM(BE4:BF4,BH4:BJ4,BL4)-SUM(BG4,BK4)&gt;0,SUM(BE4:BF4,BH4:BJ4,BL4)-SUM(BG4,BK4),"")</f>
        <v>41.999999999999993</v>
      </c>
      <c r="BS4" s="14">
        <f>IF(SUM(BO4,BP4,BR4)&gt;0,SUM(BO4,BP4,BR4),"")</f>
        <v>80.299999999999983</v>
      </c>
      <c r="BT4" s="20">
        <v>17.3</v>
      </c>
      <c r="BU4" s="20">
        <v>3.9</v>
      </c>
      <c r="BV4" s="20">
        <v>0</v>
      </c>
      <c r="BW4" s="20">
        <v>0</v>
      </c>
      <c r="BX4" s="20">
        <v>15.8</v>
      </c>
      <c r="BY4" s="20">
        <v>4.0999999999999996</v>
      </c>
      <c r="BZ4" s="20">
        <v>0</v>
      </c>
      <c r="CA4" s="20">
        <v>0</v>
      </c>
      <c r="CB4" s="20"/>
      <c r="CC4" s="20"/>
      <c r="CD4" s="20"/>
      <c r="CE4" s="20"/>
      <c r="CF4" s="20">
        <v>17.399999999999999</v>
      </c>
      <c r="CG4" s="20">
        <v>4.0999999999999996</v>
      </c>
      <c r="CH4" s="20">
        <v>0</v>
      </c>
      <c r="CI4" s="20">
        <v>0</v>
      </c>
      <c r="CJ4" s="20">
        <v>18</v>
      </c>
      <c r="CK4" s="20">
        <v>3.2</v>
      </c>
      <c r="CL4" s="20">
        <v>0</v>
      </c>
      <c r="CM4" s="20">
        <v>0</v>
      </c>
      <c r="CN4" s="32"/>
      <c r="CO4" s="55">
        <f>IF(SUM(BU4,BY4)&gt;0,SUM(BU4,BY4),"")</f>
        <v>8</v>
      </c>
      <c r="CP4" s="55">
        <f>IF(SUM(BT4:BU4,BW4:BY4,CA4)-BV4-BZ4&gt;0,SUM(BT4:BU4,BW4:BY4,CA4)-BV4-BZ4,"")</f>
        <v>41.1</v>
      </c>
      <c r="CQ4" s="55" t="str">
        <f>IF(SUM(CB4:CC4,CE4)-CD4&gt;0,SUM(CB4:CC4,CE4)-CD4,"")</f>
        <v/>
      </c>
      <c r="CR4" s="55">
        <f>IF(SUM(CG4,CK4)&gt;0,SUM(CG4,CK4),"")</f>
        <v>7.3</v>
      </c>
      <c r="CS4" s="55">
        <f>IF(SUM(CF4:CG4,CI4:CK4,CM4)-SUM(CH4,CL4)&gt;0,SUM(CF4:CG4,CI4:CK4,CM4)-SUM(CH4,CL4),"")</f>
        <v>42.7</v>
      </c>
      <c r="CT4" s="55">
        <f>IF(SUM(CP4,CQ4,CS4)&gt;0,SUM(CP4,CQ4,CS4),"")</f>
        <v>83.800000000000011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8" si="0">IF($CN4="P",BT4,(BT4+AS4)/2)</f>
        <v>16.2</v>
      </c>
      <c r="OX4" s="27">
        <f t="shared" si="0"/>
        <v>3.9</v>
      </c>
      <c r="OY4" s="27">
        <f t="shared" si="0"/>
        <v>0.1</v>
      </c>
      <c r="OZ4" s="27">
        <f t="shared" si="0"/>
        <v>0</v>
      </c>
      <c r="PA4" s="27">
        <f t="shared" si="0"/>
        <v>16.350000000000001</v>
      </c>
      <c r="PB4" s="27">
        <f t="shared" si="0"/>
        <v>3.4499999999999997</v>
      </c>
      <c r="PC4" s="27">
        <f t="shared" si="0"/>
        <v>0.1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8" si="1">IF($CN4="P",CD4,(CD4+BC4)/2)</f>
        <v>0</v>
      </c>
      <c r="PH4" s="27">
        <f t="shared" si="1"/>
        <v>0</v>
      </c>
      <c r="PI4" s="27">
        <f t="shared" si="1"/>
        <v>17.299999999999997</v>
      </c>
      <c r="PJ4" s="27">
        <f t="shared" si="1"/>
        <v>4</v>
      </c>
      <c r="PK4" s="27">
        <f t="shared" si="1"/>
        <v>0</v>
      </c>
      <c r="PL4" s="27">
        <f t="shared" si="1"/>
        <v>0</v>
      </c>
      <c r="PM4" s="27">
        <f t="shared" si="1"/>
        <v>17.75</v>
      </c>
      <c r="PN4" s="27">
        <f t="shared" si="1"/>
        <v>3.3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7.35</v>
      </c>
      <c r="PS4" s="55">
        <f>IF(SUM(OW4:OX4,OZ4:PB4,PD4)-OY4-PC4&gt;0,SUM(OW4:OX4,OZ4:PB4,PD4)-OY4-PC4,"")</f>
        <v>39.700000000000003</v>
      </c>
      <c r="PT4" s="55" t="str">
        <f>IF(SUM(PE4:PF4,PH4)-PG4&gt;0,SUM(PE4:PF4,PH4)-PG4,"")</f>
        <v/>
      </c>
      <c r="PU4" s="55">
        <f>IF(SUM(PJ4,PN4)&gt;0,SUM(PJ4,PN4),"")</f>
        <v>7.3</v>
      </c>
      <c r="PV4" s="55">
        <f>IF(SUM(PI4:PJ4,PL4:PN4,PP4)-SUM(PK4,PO4)&gt;0,SUM(PI4:PJ4,PL4:PN4,PP4)-SUM(PK4,PO4),"")</f>
        <v>42.349999999999994</v>
      </c>
      <c r="PW4" s="55">
        <f>IF(SUM(PS4,PT4,PV4)&gt;0,SUM(PS4,PT4,PV4),"")</f>
        <v>82.05</v>
      </c>
    </row>
    <row r="5" spans="1:439" x14ac:dyDescent="0.2">
      <c r="A5" s="4" t="str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/>
      </c>
      <c r="B5" s="5" t="s">
        <v>95</v>
      </c>
      <c r="C5" s="4" t="s">
        <v>3</v>
      </c>
      <c r="D5" s="4">
        <v>2009</v>
      </c>
      <c r="E5" s="10">
        <f>SUM(I5:O5)+SUM(I5:M5)*0.0000001+SUM(I5)*0.0000000000001</f>
        <v>118.80001188000388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/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/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/>
      </c>
      <c r="I5" s="9">
        <f>IF(COUNT(AN5,BO5,CP5)&gt;0,LARGE((AN5,BO5,CP5),1),0)</f>
        <v>38.899999999999991</v>
      </c>
      <c r="J5" s="9" t="str">
        <f>IF(I5=0,"",IF(I5=CP5,$BT$1,IF(I5=BO5,$AS$1,IF(I5=AN5,$R$1,""))))</f>
        <v>2025 Elite Canada</v>
      </c>
      <c r="K5" s="9">
        <f>IF(COUNT(AN5,BO5,CP5)&gt;1,LARGE((AN5,BO5,CP5),2),0)</f>
        <v>38.299999999999997</v>
      </c>
      <c r="L5" s="9" t="str">
        <f>IF(K5=0,"",IF(AND(K5=I5,K5=AN5,K5=BO5),$R$1,IF(AND(K5=I5,K5=AN5,K5=CP5),$R$1,IF(AND(K5=I5,K5=CP5,K5=BO5),$AS$1,IF(K5=CP5,$BT$1,IF(K5=BO5,$AS$1,IF(K5=AN5,$R$1,"")))))))</f>
        <v>2025 Nationals</v>
      </c>
      <c r="M5" s="9">
        <f>IF(MAX(AQ5,BR5,CS5)&gt;0,MAX(AQ5,BR5,CS5),0)</f>
        <v>41.6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14.7</v>
      </c>
      <c r="AT5" s="19">
        <v>4.0999999999999996</v>
      </c>
      <c r="AU5" s="19">
        <v>0.2</v>
      </c>
      <c r="AV5" s="19">
        <v>0</v>
      </c>
      <c r="AW5" s="19">
        <v>16.399999999999999</v>
      </c>
      <c r="AX5" s="19">
        <v>3.9</v>
      </c>
      <c r="AY5" s="19">
        <v>0</v>
      </c>
      <c r="AZ5" s="19">
        <v>0</v>
      </c>
      <c r="BA5" s="19"/>
      <c r="BB5" s="19"/>
      <c r="BC5" s="19"/>
      <c r="BD5" s="19"/>
      <c r="BE5" s="19">
        <v>14.7</v>
      </c>
      <c r="BF5" s="19">
        <v>3.9</v>
      </c>
      <c r="BG5" s="19">
        <v>0.2</v>
      </c>
      <c r="BH5" s="19">
        <v>0</v>
      </c>
      <c r="BI5" s="19">
        <v>16.100000000000001</v>
      </c>
      <c r="BJ5" s="19">
        <v>2.4</v>
      </c>
      <c r="BK5" s="19">
        <v>0.6</v>
      </c>
      <c r="BL5" s="19">
        <v>0</v>
      </c>
      <c r="BM5" s="33"/>
      <c r="BN5" s="14">
        <f>IF(SUM(AT5,AX5)&gt;0,SUM(AT5,AX5),"")</f>
        <v>8</v>
      </c>
      <c r="BO5" s="14">
        <f>IF(SUM(AS5:AT5,AV5:AX5,AZ5)-AU5-AY5&gt;0,SUM(AS5:AT5,AV5:AX5,AZ5)-AU5-AY5,"")</f>
        <v>38.899999999999991</v>
      </c>
      <c r="BP5" s="14" t="str">
        <f>IF(SUM(BA5:BB5,BD5)-BC5&gt;0,SUM(BA5:BB5,BD5)-BC5,"")</f>
        <v/>
      </c>
      <c r="BQ5" s="14">
        <f>IF(SUM(BF5,BJ5)&gt;0,SUM(BF5,BJ5),"")</f>
        <v>6.3</v>
      </c>
      <c r="BR5" s="14">
        <f>IF(SUM(BE5:BF5,BH5:BJ5,BL5)-SUM(BG5,BK5)&gt;0,SUM(BE5:BF5,BH5:BJ5,BL5)-SUM(BG5,BK5),"")</f>
        <v>36.300000000000004</v>
      </c>
      <c r="BS5" s="14">
        <f>IF(SUM(BO5,BP5,BR5)&gt;0,SUM(BO5,BP5,BR5),"")</f>
        <v>75.199999999999989</v>
      </c>
      <c r="BT5" s="20">
        <v>16.600000000000001</v>
      </c>
      <c r="BU5" s="20">
        <v>3.9</v>
      </c>
      <c r="BV5" s="20">
        <v>0</v>
      </c>
      <c r="BW5" s="20">
        <v>0</v>
      </c>
      <c r="BX5" s="20">
        <v>15.9</v>
      </c>
      <c r="BY5" s="20">
        <v>1.9</v>
      </c>
      <c r="BZ5" s="20">
        <v>0</v>
      </c>
      <c r="CA5" s="20">
        <v>0</v>
      </c>
      <c r="CB5" s="20"/>
      <c r="CC5" s="20"/>
      <c r="CD5" s="20"/>
      <c r="CE5" s="20"/>
      <c r="CF5" s="20">
        <v>16.899999999999999</v>
      </c>
      <c r="CG5" s="20">
        <v>3.9</v>
      </c>
      <c r="CH5" s="20">
        <v>0</v>
      </c>
      <c r="CI5" s="20">
        <v>0</v>
      </c>
      <c r="CJ5" s="20">
        <v>16.7</v>
      </c>
      <c r="CK5" s="20">
        <v>4.0999999999999996</v>
      </c>
      <c r="CL5" s="20">
        <v>0</v>
      </c>
      <c r="CM5" s="20">
        <v>0</v>
      </c>
      <c r="CN5" s="32"/>
      <c r="CO5" s="55">
        <f>IF(SUM(BU5,BY5)&gt;0,SUM(BU5,BY5),"")</f>
        <v>5.8</v>
      </c>
      <c r="CP5" s="55">
        <f>IF(SUM(BT5:BU5,BW5:BY5,CA5)-BV5-BZ5&gt;0,SUM(BT5:BU5,BW5:BY5,CA5)-BV5-BZ5,"")</f>
        <v>38.299999999999997</v>
      </c>
      <c r="CQ5" s="55" t="str">
        <f>IF(SUM(CB5:CC5,CE5)-CD5&gt;0,SUM(CB5:CC5,CE5)-CD5,"")</f>
        <v/>
      </c>
      <c r="CR5" s="55">
        <f>IF(SUM(CG5,CK5)&gt;0,SUM(CG5,CK5),"")</f>
        <v>8</v>
      </c>
      <c r="CS5" s="55">
        <f>IF(SUM(CF5:CG5,CI5:CK5,CM5)-SUM(CH5,CL5)&gt;0,SUM(CF5:CG5,CI5:CK5,CM5)-SUM(CH5,CL5),"")</f>
        <v>41.6</v>
      </c>
      <c r="CT5" s="55">
        <f>IF(SUM(CP5,CQ5,CS5)&gt;0,SUM(CP5,CQ5,CS5),"")</f>
        <v>79.900000000000006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15.65</v>
      </c>
      <c r="OX5" s="27">
        <f t="shared" si="0"/>
        <v>4</v>
      </c>
      <c r="OY5" s="27">
        <f t="shared" si="0"/>
        <v>0.1</v>
      </c>
      <c r="OZ5" s="27">
        <f t="shared" si="0"/>
        <v>0</v>
      </c>
      <c r="PA5" s="27">
        <f t="shared" si="0"/>
        <v>16.149999999999999</v>
      </c>
      <c r="PB5" s="27">
        <f t="shared" si="0"/>
        <v>2.9</v>
      </c>
      <c r="PC5" s="27">
        <f t="shared" si="0"/>
        <v>0</v>
      </c>
      <c r="PD5" s="27">
        <f t="shared" si="0"/>
        <v>0</v>
      </c>
      <c r="PE5" s="27">
        <f t="shared" si="0"/>
        <v>0</v>
      </c>
      <c r="PF5" s="27">
        <f t="shared" si="0"/>
        <v>0</v>
      </c>
      <c r="PG5" s="27">
        <f t="shared" si="1"/>
        <v>0</v>
      </c>
      <c r="PH5" s="27">
        <f t="shared" si="1"/>
        <v>0</v>
      </c>
      <c r="PI5" s="27">
        <f t="shared" si="1"/>
        <v>15.799999999999999</v>
      </c>
      <c r="PJ5" s="27">
        <f t="shared" si="1"/>
        <v>3.9</v>
      </c>
      <c r="PK5" s="27">
        <f t="shared" si="1"/>
        <v>0.1</v>
      </c>
      <c r="PL5" s="27">
        <f t="shared" si="1"/>
        <v>0</v>
      </c>
      <c r="PM5" s="27">
        <f t="shared" si="1"/>
        <v>16.399999999999999</v>
      </c>
      <c r="PN5" s="27">
        <f t="shared" si="1"/>
        <v>3.25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6.9</v>
      </c>
      <c r="PS5" s="55">
        <f>IF(SUM(OW5:OX5,OZ5:PB5,PD5)-OY5-PC5&gt;0,SUM(OW5:OX5,OZ5:PB5,PD5)-OY5-PC5,"")</f>
        <v>38.599999999999994</v>
      </c>
      <c r="PT5" s="55" t="str">
        <f>IF(SUM(PE5:PF5,PH5)-PG5&gt;0,SUM(PE5:PF5,PH5)-PG5,"")</f>
        <v/>
      </c>
      <c r="PU5" s="55">
        <f>IF(SUM(PJ5,PN5)&gt;0,SUM(PJ5,PN5),"")</f>
        <v>7.15</v>
      </c>
      <c r="PV5" s="55">
        <f>IF(SUM(PI5:PJ5,PL5:PN5,PP5)-SUM(PK5,PO5)&gt;0,SUM(PI5:PJ5,PL5:PN5,PP5)-SUM(PK5,PO5),"")</f>
        <v>38.949999999999996</v>
      </c>
      <c r="PW5" s="55">
        <f>IF(SUM(PS5,PT5,PV5)&gt;0,SUM(PS5,PT5,PV5),"")</f>
        <v>77.549999999999983</v>
      </c>
    </row>
    <row r="6" spans="1:439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96</v>
      </c>
      <c r="C6" s="4" t="s">
        <v>65</v>
      </c>
      <c r="D6" s="4">
        <v>2009</v>
      </c>
      <c r="E6" s="10">
        <f>SUM(I6:O6)+SUM(I6:M6)*0.0000001+SUM(I6)*0.0000000000001</f>
        <v>110.80001108000366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/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/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/>
      </c>
      <c r="I6" s="9">
        <f>IF(COUNT(AN6,BO6,CP6)&gt;0,LARGE((AN6,BO6,CP6),1),0)</f>
        <v>36.6</v>
      </c>
      <c r="J6" s="9" t="str">
        <f>IF(I6=0,"",IF(I6=CP6,$BT$1,IF(I6=BO6,$AS$1,IF(I6=AN6,$R$1,""))))</f>
        <v>2025 Nationals</v>
      </c>
      <c r="K6" s="9">
        <f>IF(COUNT(AN6,BO6,CP6)&gt;1,LARGE((AN6,BO6,CP6),2),0)</f>
        <v>36.599999999999994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37.600000000000009</v>
      </c>
      <c r="N6" s="9" t="str">
        <f>IF(M6=0,"",IF(M6=CS6,$BT$1,IF(M6=BR6,$AS$1,IF(M6=AQ6,$R$1,""))))</f>
        <v>2025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17.399999999999999</v>
      </c>
      <c r="AT6" s="19">
        <v>1.8</v>
      </c>
      <c r="AU6" s="19">
        <v>1</v>
      </c>
      <c r="AV6" s="19">
        <v>0</v>
      </c>
      <c r="AW6" s="19">
        <v>17.2</v>
      </c>
      <c r="AX6" s="19">
        <v>3.2</v>
      </c>
      <c r="AY6" s="19">
        <v>2</v>
      </c>
      <c r="AZ6" s="19">
        <v>0</v>
      </c>
      <c r="BA6" s="19"/>
      <c r="BB6" s="19"/>
      <c r="BC6" s="19"/>
      <c r="BD6" s="19"/>
      <c r="BE6" s="19">
        <v>16.600000000000001</v>
      </c>
      <c r="BF6" s="19">
        <v>1.2</v>
      </c>
      <c r="BG6" s="19">
        <v>0</v>
      </c>
      <c r="BH6" s="19">
        <v>0</v>
      </c>
      <c r="BI6" s="19">
        <v>16.600000000000001</v>
      </c>
      <c r="BJ6" s="19">
        <v>3.2</v>
      </c>
      <c r="BK6" s="19">
        <v>0</v>
      </c>
      <c r="BL6" s="19">
        <v>0</v>
      </c>
      <c r="BM6" s="33"/>
      <c r="BN6" s="14">
        <f>IF(SUM(AT6,AX6)&gt;0,SUM(AT6,AX6),"")</f>
        <v>5</v>
      </c>
      <c r="BO6" s="14">
        <f>IF(SUM(AS6:AT6,AV6:AX6,AZ6)-AU6-AY6&gt;0,SUM(AS6:AT6,AV6:AX6,AZ6)-AU6-AY6,"")</f>
        <v>36.6</v>
      </c>
      <c r="BP6" s="14" t="str">
        <f>IF(SUM(BA6:BB6,BD6)-BC6&gt;0,SUM(BA6:BB6,BD6)-BC6,"")</f>
        <v/>
      </c>
      <c r="BQ6" s="14">
        <f>IF(SUM(BF6,BJ6)&gt;0,SUM(BF6,BJ6),"")</f>
        <v>4.4000000000000004</v>
      </c>
      <c r="BR6" s="14">
        <f>IF(SUM(BE6:BF6,BH6:BJ6,BL6)-SUM(BG6,BK6)&gt;0,SUM(BE6:BF6,BH6:BJ6,BL6)-SUM(BG6,BK6),"")</f>
        <v>37.600000000000009</v>
      </c>
      <c r="BS6" s="14">
        <f>IF(SUM(BO6,BP6,BR6)&gt;0,SUM(BO6,BP6,BR6),"")</f>
        <v>74.200000000000017</v>
      </c>
      <c r="BT6" s="20">
        <v>16</v>
      </c>
      <c r="BU6" s="20">
        <v>1.2</v>
      </c>
      <c r="BV6" s="20">
        <v>0</v>
      </c>
      <c r="BW6" s="20">
        <v>0</v>
      </c>
      <c r="BX6" s="20">
        <v>16.8</v>
      </c>
      <c r="BY6" s="20">
        <v>2.8</v>
      </c>
      <c r="BZ6" s="20">
        <v>0.2</v>
      </c>
      <c r="CA6" s="20">
        <v>0</v>
      </c>
      <c r="CB6" s="20"/>
      <c r="CC6" s="20"/>
      <c r="CD6" s="20"/>
      <c r="CE6" s="20"/>
      <c r="CF6" s="20">
        <v>17.3</v>
      </c>
      <c r="CG6" s="20">
        <v>2.8</v>
      </c>
      <c r="CH6" s="20">
        <v>0.2</v>
      </c>
      <c r="CI6" s="20">
        <v>0</v>
      </c>
      <c r="CJ6" s="20">
        <v>16.5</v>
      </c>
      <c r="CK6" s="20">
        <v>1.2</v>
      </c>
      <c r="CL6" s="20">
        <v>0</v>
      </c>
      <c r="CM6" s="20">
        <v>0</v>
      </c>
      <c r="CN6" s="32"/>
      <c r="CO6" s="55">
        <f>IF(SUM(BU6,BY6)&gt;0,SUM(BU6,BY6),"")</f>
        <v>4</v>
      </c>
      <c r="CP6" s="55">
        <f>IF(SUM(BT6:BU6,BW6:BY6,CA6)-BV6-BZ6&gt;0,SUM(BT6:BU6,BW6:BY6,CA6)-BV6-BZ6,"")</f>
        <v>36.599999999999994</v>
      </c>
      <c r="CQ6" s="55" t="str">
        <f>IF(SUM(CB6:CC6,CE6)-CD6&gt;0,SUM(CB6:CC6,CE6)-CD6,"")</f>
        <v/>
      </c>
      <c r="CR6" s="55">
        <f>IF(SUM(CG6,CK6)&gt;0,SUM(CG6,CK6),"")</f>
        <v>4</v>
      </c>
      <c r="CS6" s="55">
        <f>IF(SUM(CF6:CG6,CI6:CK6,CM6)-SUM(CH6,CL6)&gt;0,SUM(CF6:CG6,CI6:CK6,CM6)-SUM(CH6,CL6),"")</f>
        <v>37.6</v>
      </c>
      <c r="CT6" s="55">
        <f>IF(SUM(CP6,CQ6,CS6)&gt;0,SUM(CP6,CQ6,CS6),"")</f>
        <v>74.199999999999989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16.7</v>
      </c>
      <c r="OX6" s="27">
        <f t="shared" si="0"/>
        <v>1.5</v>
      </c>
      <c r="OY6" s="27">
        <f t="shared" si="0"/>
        <v>0.5</v>
      </c>
      <c r="OZ6" s="27">
        <f t="shared" si="0"/>
        <v>0</v>
      </c>
      <c r="PA6" s="27">
        <f t="shared" si="0"/>
        <v>17</v>
      </c>
      <c r="PB6" s="27">
        <f t="shared" si="0"/>
        <v>3</v>
      </c>
      <c r="PC6" s="27">
        <f t="shared" si="0"/>
        <v>1.1000000000000001</v>
      </c>
      <c r="PD6" s="27">
        <f t="shared" si="0"/>
        <v>0</v>
      </c>
      <c r="PE6" s="27">
        <f t="shared" si="0"/>
        <v>0</v>
      </c>
      <c r="PF6" s="27">
        <f t="shared" si="0"/>
        <v>0</v>
      </c>
      <c r="PG6" s="27">
        <f t="shared" si="1"/>
        <v>0</v>
      </c>
      <c r="PH6" s="27">
        <f t="shared" si="1"/>
        <v>0</v>
      </c>
      <c r="PI6" s="27">
        <f t="shared" si="1"/>
        <v>16.950000000000003</v>
      </c>
      <c r="PJ6" s="27">
        <f t="shared" si="1"/>
        <v>2</v>
      </c>
      <c r="PK6" s="27">
        <f t="shared" si="1"/>
        <v>0.1</v>
      </c>
      <c r="PL6" s="27">
        <f t="shared" si="1"/>
        <v>0</v>
      </c>
      <c r="PM6" s="27">
        <f t="shared" si="1"/>
        <v>16.55</v>
      </c>
      <c r="PN6" s="27">
        <f t="shared" si="1"/>
        <v>2.2000000000000002</v>
      </c>
      <c r="PO6" s="27">
        <f t="shared" si="1"/>
        <v>0</v>
      </c>
      <c r="PP6" s="27">
        <f t="shared" si="1"/>
        <v>0</v>
      </c>
      <c r="PQ6" s="32" t="s">
        <v>44</v>
      </c>
      <c r="PR6" s="55">
        <f>IF(SUM(OX6,PB6)&gt;0,SUM(OX6,PB6),"")</f>
        <v>4.5</v>
      </c>
      <c r="PS6" s="55">
        <f>IF(SUM(OW6:OX6,OZ6:PB6,PD6)-OY6-PC6&gt;0,SUM(OW6:OX6,OZ6:PB6,PD6)-OY6-PC6,"")</f>
        <v>36.6</v>
      </c>
      <c r="PT6" s="55" t="str">
        <f>IF(SUM(PE6:PF6,PH6)-PG6&gt;0,SUM(PE6:PF6,PH6)-PG6,"")</f>
        <v/>
      </c>
      <c r="PU6" s="55">
        <f>IF(SUM(PJ6,PN6)&gt;0,SUM(PJ6,PN6),"")</f>
        <v>4.2</v>
      </c>
      <c r="PV6" s="55">
        <f>IF(SUM(PI6:PJ6,PL6:PN6,PP6)-SUM(PK6,PO6)&gt;0,SUM(PI6:PJ6,PL6:PN6,PP6)-SUM(PK6,PO6),"")</f>
        <v>37.6</v>
      </c>
      <c r="PW6" s="55">
        <f>IF(SUM(PS6,PT6,PV6)&gt;0,SUM(PS6,PT6,PV6),"")</f>
        <v>74.2</v>
      </c>
    </row>
    <row r="7" spans="1:439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112</v>
      </c>
      <c r="C7" s="4" t="s">
        <v>90</v>
      </c>
      <c r="D7" s="4">
        <v>2011</v>
      </c>
      <c r="E7" s="10">
        <f>SUM(I7:O7)+SUM(I7:M7)*0.0000001+SUM(I7)*0.0000000000001</f>
        <v>79.600007960003879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/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/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/>
      </c>
      <c r="I7" s="9">
        <f>IF(COUNT(AN7,BO7,CP7)&gt;0,LARGE((AN7,BO7,CP7),1),0)</f>
        <v>38.799999999999997</v>
      </c>
      <c r="J7" s="9" t="str">
        <f>IF(I7=0,"",IF(I7=CP7,$BT$1,IF(I7=BO7,$AS$1,IF(I7=AN7,$R$1,""))))</f>
        <v>2025 Nationals</v>
      </c>
      <c r="K7" s="9">
        <f>IF(COUNT(AN7,BO7,CP7)&gt;1,LARGE((AN7,BO7,CP7),2),0)</f>
        <v>0</v>
      </c>
      <c r="L7" s="9" t="str">
        <f>IF(K7=0,"",IF(AND(K7=I7,K7=AN7,K7=BO7),$R$1,IF(AND(K7=I7,K7=AN7,K7=CP7),$R$1,IF(AND(K7=I7,K7=CP7,K7=BO7),$AS$1,IF(K7=CP7,$BT$1,IF(K7=BO7,$AS$1,IF(K7=AN7,$R$1,"")))))))</f>
        <v/>
      </c>
      <c r="M7" s="9">
        <f>IF(MAX(AQ7,BR7,CS7)&gt;0,MAX(AQ7,BR7,CS7),0)</f>
        <v>40.799999999999997</v>
      </c>
      <c r="N7" s="9" t="str">
        <f>IF(M7=0,"",IF(M7=CS7,$BT$1,IF(M7=BR7,$AS$1,IF(M7=AQ7,$R$1,""))))</f>
        <v>2025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16.3</v>
      </c>
      <c r="BU7" s="20">
        <v>3.4</v>
      </c>
      <c r="BV7" s="20">
        <v>0</v>
      </c>
      <c r="BW7" s="20">
        <v>0</v>
      </c>
      <c r="BX7" s="20">
        <v>15.4</v>
      </c>
      <c r="BY7" s="20">
        <v>3.9</v>
      </c>
      <c r="BZ7" s="20">
        <v>0.2</v>
      </c>
      <c r="CA7" s="20">
        <v>0</v>
      </c>
      <c r="CB7" s="20"/>
      <c r="CC7" s="20"/>
      <c r="CD7" s="20"/>
      <c r="CE7" s="20"/>
      <c r="CF7" s="20">
        <v>16.5</v>
      </c>
      <c r="CG7" s="20">
        <v>3.4</v>
      </c>
      <c r="CH7" s="20">
        <v>0</v>
      </c>
      <c r="CI7" s="20">
        <v>0</v>
      </c>
      <c r="CJ7" s="20">
        <v>17</v>
      </c>
      <c r="CK7" s="20">
        <v>3.9</v>
      </c>
      <c r="CL7" s="20">
        <v>0</v>
      </c>
      <c r="CM7" s="20">
        <v>0</v>
      </c>
      <c r="CN7" s="32"/>
      <c r="CO7" s="55">
        <f>IF(SUM(BU7,BY7)&gt;0,SUM(BU7,BY7),"")</f>
        <v>7.3</v>
      </c>
      <c r="CP7" s="55">
        <f>IF(SUM(BT7:BU7,BW7:BY7,CA7)-BV7-BZ7&gt;0,SUM(BT7:BU7,BW7:BY7,CA7)-BV7-BZ7,"")</f>
        <v>38.799999999999997</v>
      </c>
      <c r="CQ7" s="55" t="str">
        <f>IF(SUM(CB7:CC7,CE7)-CD7&gt;0,SUM(CB7:CC7,CE7)-CD7,"")</f>
        <v/>
      </c>
      <c r="CR7" s="55">
        <f>IF(SUM(CG7,CK7)&gt;0,SUM(CG7,CK7),"")</f>
        <v>7.3</v>
      </c>
      <c r="CS7" s="55">
        <f>IF(SUM(CF7:CG7,CI7:CK7,CM7)-SUM(CH7,CL7)&gt;0,SUM(CF7:CG7,CI7:CK7,CM7)-SUM(CH7,CL7),"")</f>
        <v>40.799999999999997</v>
      </c>
      <c r="CT7" s="55">
        <f>IF(SUM(CP7,CQ7,CS7)&gt;0,SUM(CP7,CQ7,CS7),"")</f>
        <v>79.599999999999994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 t="shared" si="0"/>
        <v>8.15</v>
      </c>
      <c r="OX7" s="27">
        <f t="shared" si="0"/>
        <v>1.7</v>
      </c>
      <c r="OY7" s="27">
        <f t="shared" si="0"/>
        <v>0</v>
      </c>
      <c r="OZ7" s="27">
        <f t="shared" si="0"/>
        <v>0</v>
      </c>
      <c r="PA7" s="27">
        <f t="shared" si="0"/>
        <v>7.7</v>
      </c>
      <c r="PB7" s="27">
        <f t="shared" si="0"/>
        <v>1.95</v>
      </c>
      <c r="PC7" s="27">
        <f t="shared" si="0"/>
        <v>0.1</v>
      </c>
      <c r="PD7" s="27">
        <f t="shared" si="0"/>
        <v>0</v>
      </c>
      <c r="PE7" s="27">
        <f t="shared" si="0"/>
        <v>0</v>
      </c>
      <c r="PF7" s="27">
        <f t="shared" si="0"/>
        <v>0</v>
      </c>
      <c r="PG7" s="27">
        <f t="shared" si="1"/>
        <v>0</v>
      </c>
      <c r="PH7" s="27">
        <f t="shared" si="1"/>
        <v>0</v>
      </c>
      <c r="PI7" s="27">
        <f t="shared" si="1"/>
        <v>8.25</v>
      </c>
      <c r="PJ7" s="27">
        <f t="shared" si="1"/>
        <v>1.7</v>
      </c>
      <c r="PK7" s="27">
        <f t="shared" si="1"/>
        <v>0</v>
      </c>
      <c r="PL7" s="27">
        <f t="shared" si="1"/>
        <v>0</v>
      </c>
      <c r="PM7" s="27">
        <f t="shared" si="1"/>
        <v>8.5</v>
      </c>
      <c r="PN7" s="27">
        <f t="shared" si="1"/>
        <v>1.95</v>
      </c>
      <c r="PO7" s="27">
        <f t="shared" si="1"/>
        <v>0</v>
      </c>
      <c r="PP7" s="27">
        <f t="shared" si="1"/>
        <v>0</v>
      </c>
      <c r="PQ7" s="32" t="s">
        <v>44</v>
      </c>
      <c r="PR7" s="55">
        <f>IF(SUM(OX7,PB7)&gt;0,SUM(OX7,PB7),"")</f>
        <v>3.65</v>
      </c>
      <c r="PS7" s="55">
        <f>IF(SUM(OW7:OX7,OZ7:PB7,PD7)-OY7-PC7&gt;0,SUM(OW7:OX7,OZ7:PB7,PD7)-OY7-PC7,"")</f>
        <v>19.399999999999999</v>
      </c>
      <c r="PT7" s="55" t="str">
        <f>IF(SUM(PE7:PF7,PH7)-PG7&gt;0,SUM(PE7:PF7,PH7)-PG7,"")</f>
        <v/>
      </c>
      <c r="PU7" s="55">
        <f>IF(SUM(PJ7,PN7)&gt;0,SUM(PJ7,PN7),"")</f>
        <v>3.65</v>
      </c>
      <c r="PV7" s="55">
        <f>IF(SUM(PI7:PJ7,PL7:PN7,PP7)-SUM(PK7,PO7)&gt;0,SUM(PI7:PJ7,PL7:PN7,PP7)-SUM(PK7,PO7),"")</f>
        <v>20.399999999999999</v>
      </c>
      <c r="PW7" s="55">
        <f>IF(SUM(PS7,PT7,PV7)&gt;0,SUM(PS7,PT7,PV7),"")</f>
        <v>39.799999999999997</v>
      </c>
    </row>
    <row r="8" spans="1:439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82</v>
      </c>
      <c r="C8" s="4" t="s">
        <v>90</v>
      </c>
      <c r="D8" s="4">
        <v>2009</v>
      </c>
      <c r="E8" s="10">
        <f>SUM(I8:O8)+SUM(I8:M8)*0.0000001+SUM(I8)*0.0000000000001</f>
        <v>76.200007620003873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/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/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/>
      </c>
      <c r="I8" s="9">
        <f>IF(COUNT(AN8,BO8,CP8)&gt;0,LARGE((AN8,BO8,CP8),1),0)</f>
        <v>38.799999999999997</v>
      </c>
      <c r="J8" s="9" t="str">
        <f>IF(I8=0,"",IF(I8=CP8,$BT$1,IF(I8=BO8,$AS$1,IF(I8=AN8,$R$1,""))))</f>
        <v>2025 Nationals</v>
      </c>
      <c r="K8" s="9">
        <f>IF(COUNT(AN8,BO8,CP8)&gt;1,LARGE((AN8,BO8,CP8),2),0)</f>
        <v>0</v>
      </c>
      <c r="L8" s="9" t="str">
        <f>IF(K8=0,"",IF(AND(K8=I8,K8=AN8,K8=BO8),$R$1,IF(AND(K8=I8,K8=AN8,K8=CP8),$R$1,IF(AND(K8=I8,K8=CP8,K8=BO8),$AS$1,IF(K8=CP8,$BT$1,IF(K8=BO8,$AS$1,IF(K8=AN8,$R$1,"")))))))</f>
        <v/>
      </c>
      <c r="M8" s="9">
        <f>IF(MAX(AQ8,BR8,CS8)&gt;0,MAX(AQ8,BR8,CS8),0)</f>
        <v>37.4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16.399999999999999</v>
      </c>
      <c r="BU8" s="20">
        <v>3.2</v>
      </c>
      <c r="BV8" s="20">
        <v>0</v>
      </c>
      <c r="BW8" s="20">
        <v>0</v>
      </c>
      <c r="BX8" s="20">
        <v>16.399999999999999</v>
      </c>
      <c r="BY8" s="20">
        <v>2.9</v>
      </c>
      <c r="BZ8" s="20">
        <v>0.1</v>
      </c>
      <c r="CA8" s="20">
        <v>0</v>
      </c>
      <c r="CB8" s="20"/>
      <c r="CC8" s="20"/>
      <c r="CD8" s="20"/>
      <c r="CE8" s="20"/>
      <c r="CF8" s="20">
        <v>15.8</v>
      </c>
      <c r="CG8" s="20">
        <v>2.2000000000000002</v>
      </c>
      <c r="CH8" s="20">
        <v>0.8</v>
      </c>
      <c r="CI8" s="20">
        <v>0</v>
      </c>
      <c r="CJ8" s="20">
        <v>16.3</v>
      </c>
      <c r="CK8" s="20">
        <v>3.9</v>
      </c>
      <c r="CL8" s="20">
        <v>0</v>
      </c>
      <c r="CM8" s="20">
        <v>0</v>
      </c>
      <c r="CN8" s="32"/>
      <c r="CO8" s="55">
        <f>IF(SUM(BU8,BY8)&gt;0,SUM(BU8,BY8),"")</f>
        <v>6.1</v>
      </c>
      <c r="CP8" s="55">
        <f>IF(SUM(BT8:BU8,BW8:BY8,CA8)-BV8-BZ8&gt;0,SUM(BT8:BU8,BW8:BY8,CA8)-BV8-BZ8,"")</f>
        <v>38.799999999999997</v>
      </c>
      <c r="CQ8" s="55" t="str">
        <f>IF(SUM(CB8:CC8,CE8)-CD8&gt;0,SUM(CB8:CC8,CE8)-CD8,"")</f>
        <v/>
      </c>
      <c r="CR8" s="55">
        <f>IF(SUM(CG8,CK8)&gt;0,SUM(CG8,CK8),"")</f>
        <v>6.1</v>
      </c>
      <c r="CS8" s="55">
        <f>IF(SUM(CF8:CG8,CI8:CK8,CM8)-SUM(CH8,CL8)&gt;0,SUM(CF8:CG8,CI8:CK8,CM8)-SUM(CH8,CL8),"")</f>
        <v>37.4</v>
      </c>
      <c r="CT8" s="55">
        <f>IF(SUM(CP8,CQ8,CS8)&gt;0,SUM(CP8,CQ8,CS8),"")</f>
        <v>76.199999999999989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 t="shared" si="0"/>
        <v>8.1999999999999993</v>
      </c>
      <c r="OX8" s="27">
        <f t="shared" si="0"/>
        <v>1.6</v>
      </c>
      <c r="OY8" s="27">
        <f t="shared" si="0"/>
        <v>0</v>
      </c>
      <c r="OZ8" s="27">
        <f t="shared" si="0"/>
        <v>0</v>
      </c>
      <c r="PA8" s="27">
        <f t="shared" si="0"/>
        <v>8.1999999999999993</v>
      </c>
      <c r="PB8" s="27">
        <f t="shared" si="0"/>
        <v>1.45</v>
      </c>
      <c r="PC8" s="27">
        <f t="shared" si="0"/>
        <v>0.05</v>
      </c>
      <c r="PD8" s="27">
        <f t="shared" si="0"/>
        <v>0</v>
      </c>
      <c r="PE8" s="27">
        <f t="shared" si="0"/>
        <v>0</v>
      </c>
      <c r="PF8" s="27">
        <f t="shared" si="0"/>
        <v>0</v>
      </c>
      <c r="PG8" s="27">
        <f t="shared" si="1"/>
        <v>0</v>
      </c>
      <c r="PH8" s="27">
        <f t="shared" si="1"/>
        <v>0</v>
      </c>
      <c r="PI8" s="27">
        <f t="shared" si="1"/>
        <v>7.9</v>
      </c>
      <c r="PJ8" s="27">
        <f t="shared" si="1"/>
        <v>1.1000000000000001</v>
      </c>
      <c r="PK8" s="27">
        <f t="shared" si="1"/>
        <v>0.4</v>
      </c>
      <c r="PL8" s="27">
        <f t="shared" si="1"/>
        <v>0</v>
      </c>
      <c r="PM8" s="27">
        <f t="shared" si="1"/>
        <v>8.15</v>
      </c>
      <c r="PN8" s="27">
        <f t="shared" si="1"/>
        <v>1.95</v>
      </c>
      <c r="PO8" s="27">
        <f t="shared" si="1"/>
        <v>0</v>
      </c>
      <c r="PP8" s="27">
        <f t="shared" si="1"/>
        <v>0</v>
      </c>
      <c r="PQ8" s="32" t="s">
        <v>44</v>
      </c>
      <c r="PR8" s="55">
        <f>IF(SUM(OX8,PB8)&gt;0,SUM(OX8,PB8),"")</f>
        <v>3.05</v>
      </c>
      <c r="PS8" s="55">
        <f>IF(SUM(OW8:OX8,OZ8:PB8,PD8)-OY8-PC8&gt;0,SUM(OW8:OX8,OZ8:PB8,PD8)-OY8-PC8,"")</f>
        <v>19.399999999999999</v>
      </c>
      <c r="PT8" s="55" t="str">
        <f>IF(SUM(PE8:PF8,PH8)-PG8&gt;0,SUM(PE8:PF8,PH8)-PG8,"")</f>
        <v/>
      </c>
      <c r="PU8" s="55">
        <f>IF(SUM(PJ8,PN8)&gt;0,SUM(PJ8,PN8),"")</f>
        <v>3.05</v>
      </c>
      <c r="PV8" s="55">
        <f>IF(SUM(PI8:PJ8,PL8:PN8,PP8)-SUM(PK8,PO8)&gt;0,SUM(PI8:PJ8,PL8:PN8,PP8)-SUM(PK8,PO8),"")</f>
        <v>18.7</v>
      </c>
      <c r="PW8" s="55">
        <f>IF(SUM(PS8,PT8,PV8)&gt;0,SUM(PS8,PT8,PV8),"")</f>
        <v>38.099999999999994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7.3</v>
      </c>
      <c r="BN11" s="4"/>
      <c r="BS11" s="57">
        <v>7.3</v>
      </c>
      <c r="CO11" s="4"/>
      <c r="CT11" s="57">
        <v>7.3</v>
      </c>
      <c r="DQ11" s="4"/>
      <c r="DV11" s="57">
        <v>7.3</v>
      </c>
      <c r="EQ11" s="4"/>
      <c r="EV11" s="57">
        <v>7.3</v>
      </c>
      <c r="FQ11" s="4"/>
      <c r="FV11" s="57">
        <v>7.3</v>
      </c>
      <c r="GQ11" s="4"/>
      <c r="GV11" s="57">
        <v>7.3</v>
      </c>
      <c r="HQ11" s="4"/>
      <c r="HV11" s="57">
        <v>7.3</v>
      </c>
      <c r="IQ11" s="4"/>
      <c r="IV11" s="57">
        <v>7.3</v>
      </c>
      <c r="JQ11" s="4"/>
      <c r="JV11" s="57">
        <v>7.3</v>
      </c>
      <c r="KQ11" s="4"/>
      <c r="KV11" s="57">
        <v>7.3</v>
      </c>
      <c r="LQ11" s="4"/>
      <c r="LV11" s="57">
        <v>7.3</v>
      </c>
      <c r="MQ11" s="4"/>
      <c r="MV11" s="57">
        <v>7.3</v>
      </c>
      <c r="NQ11" s="4"/>
      <c r="NV11" s="57">
        <v>7.3</v>
      </c>
      <c r="OQ11" s="4"/>
      <c r="OV11" s="57">
        <v>7.3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v>1000</v>
      </c>
      <c r="BN12" s="4"/>
      <c r="BS12" s="58">
        <v>1000</v>
      </c>
      <c r="CO12" s="4"/>
      <c r="CT12" s="58">
        <v>1000</v>
      </c>
      <c r="DQ12" s="4"/>
      <c r="DV12" s="58">
        <v>1000</v>
      </c>
      <c r="EQ12" s="4"/>
      <c r="EV12" s="58">
        <v>1000</v>
      </c>
      <c r="FQ12" s="4"/>
      <c r="FV12" s="58">
        <v>1000</v>
      </c>
      <c r="GQ12" s="4"/>
      <c r="GV12" s="58">
        <v>1000</v>
      </c>
      <c r="HQ12" s="4"/>
      <c r="HV12" s="58">
        <v>1000</v>
      </c>
      <c r="IQ12" s="4"/>
      <c r="IV12" s="58">
        <v>1000</v>
      </c>
      <c r="JQ12" s="4"/>
      <c r="JV12" s="58">
        <v>1000</v>
      </c>
      <c r="KQ12" s="4"/>
      <c r="KV12" s="58">
        <v>1000</v>
      </c>
      <c r="LQ12" s="4"/>
      <c r="LV12" s="58">
        <v>1000</v>
      </c>
      <c r="MQ12" s="4"/>
      <c r="MV12" s="58">
        <v>1000</v>
      </c>
      <c r="NQ12" s="4"/>
      <c r="NV12" s="58">
        <v>1000</v>
      </c>
      <c r="OQ12" s="4"/>
      <c r="OV12" s="58">
        <v>1000</v>
      </c>
    </row>
    <row r="13" spans="1:439" ht="17" hidden="1" x14ac:dyDescent="0.2">
      <c r="A13" s="5"/>
      <c r="B13" s="36" t="s">
        <v>54</v>
      </c>
      <c r="C13" s="22"/>
      <c r="O13" s="11"/>
      <c r="P13" s="11"/>
      <c r="Q13" s="11"/>
      <c r="AM13" s="4"/>
      <c r="AR13" s="59">
        <v>1000</v>
      </c>
      <c r="BN13" s="4"/>
      <c r="BS13" s="59">
        <v>1000</v>
      </c>
      <c r="CO13" s="4"/>
      <c r="CT13" s="59">
        <v>1000</v>
      </c>
      <c r="DQ13" s="4"/>
      <c r="DV13" s="59">
        <v>1000</v>
      </c>
      <c r="EQ13" s="4"/>
      <c r="EV13" s="59">
        <v>1000</v>
      </c>
      <c r="FQ13" s="4"/>
      <c r="FV13" s="59">
        <v>1000</v>
      </c>
      <c r="GQ13" s="4"/>
      <c r="GV13" s="59">
        <v>1000</v>
      </c>
      <c r="HQ13" s="4"/>
      <c r="HV13" s="59">
        <v>1000</v>
      </c>
      <c r="IQ13" s="4"/>
      <c r="IV13" s="59">
        <v>1000</v>
      </c>
      <c r="JQ13" s="4"/>
      <c r="JV13" s="59">
        <v>1000</v>
      </c>
      <c r="KQ13" s="4"/>
      <c r="KV13" s="59">
        <v>1000</v>
      </c>
      <c r="LQ13" s="4"/>
      <c r="LV13" s="59">
        <v>1000</v>
      </c>
      <c r="MQ13" s="4"/>
      <c r="MV13" s="59">
        <v>1000</v>
      </c>
      <c r="NQ13" s="4"/>
      <c r="NV13" s="59">
        <v>1000</v>
      </c>
      <c r="OQ13" s="4"/>
      <c r="OV13" s="59">
        <v>1000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0">
        <v>1000</v>
      </c>
      <c r="BN14" s="4"/>
      <c r="BS14" s="60">
        <v>1000</v>
      </c>
      <c r="CO14" s="4"/>
      <c r="CT14" s="60">
        <v>1000</v>
      </c>
      <c r="DQ14" s="4"/>
      <c r="DV14" s="60">
        <v>1000</v>
      </c>
      <c r="EQ14" s="4"/>
      <c r="EV14" s="60">
        <v>1000</v>
      </c>
      <c r="FQ14" s="4"/>
      <c r="FV14" s="60">
        <v>1000</v>
      </c>
      <c r="GQ14" s="4"/>
      <c r="GV14" s="60">
        <v>1000</v>
      </c>
      <c r="HQ14" s="4"/>
      <c r="HV14" s="60">
        <v>1000</v>
      </c>
      <c r="IQ14" s="4"/>
      <c r="IV14" s="60">
        <v>1000</v>
      </c>
      <c r="JQ14" s="4"/>
      <c r="JV14" s="60">
        <v>1000</v>
      </c>
      <c r="KQ14" s="4"/>
      <c r="KV14" s="60">
        <v>1000</v>
      </c>
      <c r="LQ14" s="4"/>
      <c r="LV14" s="60">
        <v>1000</v>
      </c>
      <c r="MQ14" s="4"/>
      <c r="MV14" s="60">
        <v>1000</v>
      </c>
      <c r="NQ14" s="4"/>
      <c r="NV14" s="60">
        <v>1000</v>
      </c>
      <c r="OQ14" s="4"/>
      <c r="OV14" s="60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1">
        <v>41.7</v>
      </c>
      <c r="BN15" s="4"/>
      <c r="BS15" s="61">
        <v>42.5</v>
      </c>
      <c r="CO15" s="4"/>
      <c r="CT15" s="61">
        <v>42.5</v>
      </c>
      <c r="DQ15" s="4"/>
      <c r="DV15" s="61">
        <v>42.5</v>
      </c>
      <c r="EQ15" s="4"/>
      <c r="EV15" s="61">
        <v>42.5</v>
      </c>
      <c r="FQ15" s="4"/>
      <c r="FV15" s="61">
        <v>42.5</v>
      </c>
      <c r="GQ15" s="4"/>
      <c r="GV15" s="61">
        <v>42.5</v>
      </c>
      <c r="HQ15" s="4"/>
      <c r="HV15" s="61">
        <v>42.5</v>
      </c>
      <c r="IQ15" s="4"/>
      <c r="IV15" s="61">
        <v>42.5</v>
      </c>
      <c r="JQ15" s="4"/>
      <c r="JV15" s="61">
        <v>42.5</v>
      </c>
      <c r="KQ15" s="4"/>
      <c r="KV15" s="61">
        <v>42.5</v>
      </c>
      <c r="LQ15" s="4"/>
      <c r="LV15" s="61">
        <v>42.5</v>
      </c>
      <c r="MQ15" s="4"/>
      <c r="MV15" s="61">
        <v>42.5</v>
      </c>
      <c r="NQ15" s="4"/>
      <c r="NV15" s="61">
        <v>42.5</v>
      </c>
      <c r="OQ15" s="4"/>
      <c r="OV15" s="61">
        <v>42.5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v>1000</v>
      </c>
      <c r="BN16" s="4"/>
      <c r="BS16" s="62">
        <v>1000</v>
      </c>
      <c r="CO16" s="4"/>
      <c r="CT16" s="62">
        <v>1000</v>
      </c>
      <c r="DQ16" s="4"/>
      <c r="DV16" s="62">
        <v>1000</v>
      </c>
      <c r="EQ16" s="4"/>
      <c r="EV16" s="62">
        <v>1000</v>
      </c>
      <c r="FQ16" s="4"/>
      <c r="FV16" s="62">
        <v>1000</v>
      </c>
      <c r="GQ16" s="4"/>
      <c r="GV16" s="62">
        <v>1000</v>
      </c>
      <c r="HQ16" s="4"/>
      <c r="HV16" s="62">
        <v>1000</v>
      </c>
      <c r="IQ16" s="4"/>
      <c r="IV16" s="62">
        <v>1000</v>
      </c>
      <c r="JQ16" s="4"/>
      <c r="JV16" s="62">
        <v>1000</v>
      </c>
      <c r="KQ16" s="4"/>
      <c r="KV16" s="62">
        <v>1000</v>
      </c>
      <c r="LQ16" s="4"/>
      <c r="LV16" s="62">
        <v>1000</v>
      </c>
      <c r="MQ16" s="4"/>
      <c r="MV16" s="62">
        <v>1000</v>
      </c>
      <c r="NQ16" s="4"/>
      <c r="NV16" s="62">
        <v>1000</v>
      </c>
      <c r="OQ16" s="4"/>
      <c r="OV16" s="62">
        <v>1000</v>
      </c>
    </row>
    <row r="17" spans="1:412" ht="17" hidden="1" x14ac:dyDescent="0.2">
      <c r="A17" s="5"/>
      <c r="B17" s="40" t="s">
        <v>53</v>
      </c>
      <c r="C17" s="22"/>
      <c r="O17" s="11"/>
      <c r="P17" s="11"/>
      <c r="Q17" s="11"/>
      <c r="AM17" s="4"/>
      <c r="AR17" s="63">
        <v>1000</v>
      </c>
      <c r="BN17" s="4"/>
      <c r="BS17" s="63">
        <v>1000</v>
      </c>
      <c r="CO17" s="4"/>
      <c r="CT17" s="63">
        <v>1000</v>
      </c>
      <c r="DQ17" s="4"/>
      <c r="DV17" s="63">
        <v>1000</v>
      </c>
      <c r="EQ17" s="4"/>
      <c r="EV17" s="63">
        <v>1000</v>
      </c>
      <c r="FQ17" s="4"/>
      <c r="FV17" s="63">
        <v>1000</v>
      </c>
      <c r="GQ17" s="4"/>
      <c r="GV17" s="63">
        <v>1000</v>
      </c>
      <c r="HQ17" s="4"/>
      <c r="HV17" s="63">
        <v>1000</v>
      </c>
      <c r="IQ17" s="4"/>
      <c r="IV17" s="63">
        <v>1000</v>
      </c>
      <c r="JQ17" s="4"/>
      <c r="JV17" s="63">
        <v>1000</v>
      </c>
      <c r="KQ17" s="4"/>
      <c r="KV17" s="63">
        <v>1000</v>
      </c>
      <c r="LQ17" s="4"/>
      <c r="LV17" s="63">
        <v>1000</v>
      </c>
      <c r="MQ17" s="4"/>
      <c r="MV17" s="63">
        <v>1000</v>
      </c>
      <c r="NQ17" s="4"/>
      <c r="NV17" s="63">
        <v>1000</v>
      </c>
      <c r="OQ17" s="4"/>
      <c r="OV17" s="63">
        <v>1000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8">
      <sortCondition descending="1" ref="F1:F9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8">
    <cfRule type="expression" dxfId="86" priority="6" stopIfTrue="1">
      <formula>IF($AL4&lt;&gt;"",1,0)</formula>
    </cfRule>
  </conditionalFormatting>
  <conditionalFormatting sqref="AS4:BS8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8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63183" operator="between">
      <formula>AR$14</formula>
      <formula>1000</formula>
    </cfRule>
    <cfRule type="cellIs" dxfId="72" priority="63184" operator="between">
      <formula>AR$13</formula>
      <formula>AR$14</formula>
    </cfRule>
    <cfRule type="cellIs" dxfId="71" priority="63185" operator="between">
      <formula>AR$12</formula>
      <formula>AR$13</formula>
    </cfRule>
    <cfRule type="cellIs" dxfId="70" priority="63186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63363" operator="between">
      <formula>AR$18</formula>
      <formula>1000</formula>
    </cfRule>
    <cfRule type="cellIs" dxfId="68" priority="63364" operator="between">
      <formula>AR$17</formula>
      <formula>AR$18</formula>
    </cfRule>
    <cfRule type="cellIs" dxfId="67" priority="63365" operator="between">
      <formula>AR$16</formula>
      <formula>AR$17</formula>
    </cfRule>
    <cfRule type="cellIs" dxfId="66" priority="63366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63543" operator="between">
      <formula>AR$11</formula>
      <formula>AR$12</formula>
    </cfRule>
    <cfRule type="cellIs" dxfId="64" priority="63544" operator="between">
      <formula>AR$12</formula>
      <formula>AR$13</formula>
    </cfRule>
    <cfRule type="cellIs" dxfId="63" priority="63545" operator="between">
      <formula>AR$13</formula>
      <formula>AR$14</formula>
    </cfRule>
    <cfRule type="cellIs" dxfId="62" priority="63546" operator="between">
      <formula>AR$14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63723" operator="between">
      <formula>AR$15</formula>
      <formula>AR$16</formula>
    </cfRule>
    <cfRule type="cellIs" dxfId="60" priority="63724" operator="between">
      <formula>AR$16</formula>
      <formula>AR$17</formula>
    </cfRule>
    <cfRule type="cellIs" dxfId="59" priority="63725" operator="between">
      <formula>AR$17</formula>
      <formula>AR$18</formula>
    </cfRule>
    <cfRule type="cellIs" dxfId="58" priority="63726" operator="between">
      <formula>AR$18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88</v>
      </c>
      <c r="C4" s="4" t="s">
        <v>67</v>
      </c>
      <c r="D4" s="4">
        <v>2009</v>
      </c>
      <c r="E4" s="10">
        <f t="shared" ref="E4:E14" si="0">SUM(I4:O4)+SUM(I4:M4)*0.0000001+SUM(I4)*0.0000000000001</f>
        <v>145.40001454000506</v>
      </c>
      <c r="F4" s="3" t="str">
        <f t="shared" ref="F4:F14" si="1">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P","")</f>
        <v>P</v>
      </c>
      <c r="G4" s="3" t="str">
        <f t="shared" ref="G4:G14" si="2">IF(OR(AND(AN4&gt;=AR$21,AN4&lt;&gt;"",AL4=""),AND(AQ4&gt;=AR$21,AQ4&lt;&gt;"",AL4=""),AND(BO4&gt;=BS$21,BO4&lt;&gt;"",BM4=""),AND(BR4&gt;=BS$21,BR4&lt;&gt;"",BM4=""),AND(CP4&gt;=CT$21,CP4&lt;&gt;"",CN4=""),AND(CS4&gt;=CT$21,CS4&lt;&gt;"",CN4=""),AND(DR4&gt;=DV$21,DR4&lt;&gt;""),AND(DU4&gt;=DV$21,DU4&lt;&gt;""),AND(ER4&gt;=EV$21,ER4&lt;&gt;""),AND(EU4&gt;=EV$21,EU4&lt;&gt;""),AND(FR4&gt;=FV$21,FR4&lt;&gt;""),AND(FU4&gt;=FV$21,FU4&lt;&gt;""),AND(GR4&gt;=GV$21,GR4&lt;&gt;""),AND(GU4&gt;=GV$21,GU4&lt;&gt;""),AND(HR4&gt;=HV$21,HR4&lt;&gt;""),AND(HU4&gt;=HV$21,HU4&lt;&gt;""),AND(IR4&gt;=IV$21,IR4&lt;&gt;""),AND(IU4&gt;=IV$21,IU4&lt;&gt;""),AND(JR4&gt;=JV$21,JR4&lt;&gt;""),AND(JU4&gt;=JV$21,JU4&lt;&gt;""),AND(KR4&gt;=KV$21,KR4&lt;&gt;""),AND(KU4&gt;=KV$21,KU4&lt;&gt;""),AND(LR4&gt;=LV$21,LR4&lt;&gt;""),AND(LU4&gt;=LV$21,LU4&lt;&gt;""),AND(MR4&gt;=MV$21,MR4&lt;&gt;""),AND(MU4&gt;=MV$21,MU4&lt;&gt;""),AND(NR4&gt;=NV$21,NR4&lt;&gt;""),AND(NU4&gt;=NV$21,NU4&lt;&gt;""),AND(OR4&gt;=OV$21,OR4&lt;&gt;""),AND(OU4&gt;=OV$21,OU4&lt;&gt;"")),"P","")</f>
        <v>P</v>
      </c>
      <c r="H4" s="47" t="str">
        <f t="shared" ref="H4:H14" si="3">IF(AND(G4="P",F4=""),"No DD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Merit",IF(OR(AND(AM4&gt;=AR$19,AN4&gt;=AR$23,AM4&lt;&gt;"",AL4=""),AND(AP4&gt;=AR$19,AQ4&gt;=AR$23,AP4&lt;&gt;"",AL4=""),AND(BN4&gt;=BS$19,BO4&gt;=BS$23,BN4&lt;&gt;"",BM4=""),AND(BQ4&gt;=BS$19,BR4&gt;=BS$23,BQ4&lt;&gt;"",BM4=""),AND(CO4&gt;=CT$19,CP4&gt;=CT$23,CO4&lt;&gt;"",CN4=""),AND(CR4&gt;=CT$19,CS4&gt;=CT$23,CR4&lt;&gt;""),AND(DQ4&gt;=DV$19,DR4&gt;=DV$23,DQ4&lt;&gt;""),AND(DT4&gt;=DV$19,DU4&gt;=DV$23,DT4&lt;&gt;""),AND(EQ4&gt;=EV$19,ER4&gt;=EV$23,EQ4&lt;&gt;""),AND(ET4&gt;=EV$19,EU4&gt;=EV$23,ET4&lt;&gt;""),AND(FQ4&gt;=FV$19,FR4&gt;=FV$23,FQ4&lt;&gt;""),AND(FT4&gt;=FV$19,FU4&gt;=FV$23,FT4&lt;&gt;""),AND(GQ4&gt;=GV$19,GR4&gt;=GV$23,GQ4&lt;&gt;""),AND(GT4&gt;=GV$19,GU4&gt;=GV$23,GT4&lt;&gt;""),AND(HQ4&gt;=HV$19,HR4&gt;=HV$23,HQ4&lt;&gt;""),AND(HT4&gt;=HV$19,HU4&gt;=HV$23,HT4&lt;&gt;""),AND(IQ4&gt;=IV$19,IR4&gt;=IV$23,IQ4&lt;&gt;""),AND(IT4&gt;=IV$19,IU4&gt;=IV$23,IT4&lt;&gt;""),AND(JQ4&gt;=JV$19,JR4&gt;=JV$23,JQ4&lt;&gt;""),AND(JT4&gt;=JV$19,JU4&gt;=JV$23,JT4&lt;&gt;""),AND(KQ4&gt;=KV$19,KR4&gt;=KV$23,KQ4&lt;&gt;""),AND(KT4&gt;=KV$19,KU4&gt;=KV$23,KT4&lt;&gt;""),AND(LQ4&gt;=LV$19,LR4&gt;=LV$23,LQ4&lt;&gt;""),AND(LT4&gt;=LV$19,LU4&gt;=LV$23,LT4&lt;&gt;""),AND(MQ4&gt;=MV$19,MR4&gt;=MV$23,MQ4&lt;&gt;""),AND(MT4&gt;=MV$19,MU4&gt;=MV$23,MT4&lt;&gt;""),AND(NQ4&gt;=NV$19,NR4&gt;=NV$23,NQ4&lt;&gt;""),AND(NT4&gt;=NV$19,NU4&gt;=NV$23,NT4&lt;&gt;""),AND(OQ4&gt;=OV$19,OR4&gt;=OV$23,OQ4&lt;&gt;""),AND(OT4&gt;=OV$19,OU4&gt;=OV$23,OT4&lt;&gt;"")),"Excellence",IF(F4="P","National Team",""))))</f>
        <v>National Team</v>
      </c>
      <c r="I4" s="9">
        <f>IF(COUNT(AN4,BO4,CP4)&gt;0,LARGE((AN4,BO4,CP4),1),0)</f>
        <v>50.599999999999994</v>
      </c>
      <c r="J4" s="9" t="str">
        <f t="shared" ref="J4:J14" si="4">IF(I4=0,"",IF(I4=CP4,$BT$1,IF(I4=BO4,$AS$1,IF(I4=AN4,$R$1,""))))</f>
        <v>2025 Nationals</v>
      </c>
      <c r="K4" s="9">
        <f>IF(COUNT(AN4,BO4,CP4)&gt;1,LARGE((AN4,BO4,CP4),2),0)</f>
        <v>44.4</v>
      </c>
      <c r="L4" s="9" t="str">
        <f t="shared" ref="L4:L14" si="5">IF(K4=0,"",IF(AND(K4=I4,K4=AN4,K4=BO4),$R$1,IF(AND(K4=I4,K4=AN4,K4=CP4),$R$1,IF(AND(K4=I4,K4=CP4,K4=BO4),$AS$1,IF(K4=CP4,$BT$1,IF(K4=BO4,$AS$1,IF(K4=AN4,$R$1,"")))))))</f>
        <v>2025 Elite Canada</v>
      </c>
      <c r="M4" s="9">
        <f t="shared" ref="M4:M14" si="6">IF(MAX(AQ4,BR4,CS4)&gt;0,MAX(AQ4,BR4,CS4),0)</f>
        <v>50.4</v>
      </c>
      <c r="N4" s="9" t="str">
        <f t="shared" ref="N4:N14" si="7">IF(M4=0,"",IF(M4=CS4,$BT$1,IF(M4=BR4,$AS$1,IF(M4=AQ4,$R$1,""))))</f>
        <v>2025 Nationals</v>
      </c>
      <c r="O4" s="9" t="str">
        <f t="shared" ref="O4:O14" si="8">IF(MAX(CU4:CV4)&gt;0,MAX(CU4:CV4),"")</f>
        <v/>
      </c>
      <c r="P4" s="14" t="str">
        <f t="shared" ref="P4:P14" si="9">IF(O4="","",IF(O4=CU4,"("&amp;CU$2&amp;")",IF(O4=CV4,"("&amp;CV$2&amp;")")))</f>
        <v/>
      </c>
      <c r="Q4" s="9" t="str">
        <f t="shared" ref="Q4:Q14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 t="shared" ref="AM4:AM14" si="11">IF(SUM(S4,W4)&gt;0,SUM(S4,W4),"")</f>
        <v/>
      </c>
      <c r="AN4" s="55" t="str">
        <f t="shared" ref="AN4:AN14" si="12">IF(SUM(R4:S4,U4:W4,Y4)-T4-X4&gt;0,SUM(R4:S4,U4:W4,Y4)-T4-X4,"")</f>
        <v/>
      </c>
      <c r="AO4" s="55" t="str">
        <f t="shared" ref="AO4:AO14" si="13">IF(SUM(Z4:AA4,AC4)-AB4&gt;0,SUM(Z4:AA4,AC4)-AB4,"")</f>
        <v/>
      </c>
      <c r="AP4" s="55" t="str">
        <f t="shared" ref="AP4:AP14" si="14">IF(SUM(AE4,AI4)&gt;0,SUM(AE4,AI4),"")</f>
        <v/>
      </c>
      <c r="AQ4" s="55" t="str">
        <f t="shared" ref="AQ4:AQ14" si="15">IF(SUM(AD4:AE4,AG4:AI4,AK4)-SUM(AF4,AJ4)&gt;0,SUM(AD4:AE4,AG4:AI4,AK4)-SUM(AF4,AJ4),"")</f>
        <v/>
      </c>
      <c r="AR4" s="55" t="str">
        <f t="shared" ref="AR4:AR14" si="16">IF(SUM(AN4,AO4,AQ4)&gt;0,SUM(AN4,AO4,AQ4),"")</f>
        <v/>
      </c>
      <c r="AS4" s="19">
        <v>16.5</v>
      </c>
      <c r="AT4" s="19">
        <v>6</v>
      </c>
      <c r="AU4" s="19">
        <v>0</v>
      </c>
      <c r="AV4" s="19">
        <v>0</v>
      </c>
      <c r="AW4" s="19">
        <v>17.899999999999999</v>
      </c>
      <c r="AX4" s="19">
        <v>4.8</v>
      </c>
      <c r="AY4" s="19">
        <v>0.8</v>
      </c>
      <c r="AZ4" s="19">
        <v>0</v>
      </c>
      <c r="BA4" s="19"/>
      <c r="BB4" s="19"/>
      <c r="BC4" s="19"/>
      <c r="BD4" s="19"/>
      <c r="BE4" s="19">
        <v>18</v>
      </c>
      <c r="BF4" s="19">
        <v>6</v>
      </c>
      <c r="BG4" s="19">
        <v>0.6</v>
      </c>
      <c r="BH4" s="19">
        <v>0</v>
      </c>
      <c r="BI4" s="19">
        <v>18.8</v>
      </c>
      <c r="BJ4" s="19">
        <v>5.6</v>
      </c>
      <c r="BK4" s="19">
        <v>0.6</v>
      </c>
      <c r="BL4" s="19">
        <v>0</v>
      </c>
      <c r="BM4" s="33"/>
      <c r="BN4" s="14">
        <f t="shared" ref="BN4:BN14" si="17">IF(SUM(AT4,AX4)&gt;0,SUM(AT4,AX4),"")</f>
        <v>10.8</v>
      </c>
      <c r="BO4" s="14">
        <f t="shared" ref="BO4:BO14" si="18">IF(SUM(AS4:AT4,AV4:AX4,AZ4)-AU4-AY4&gt;0,SUM(AS4:AT4,AV4:AX4,AZ4)-AU4-AY4,"")</f>
        <v>44.4</v>
      </c>
      <c r="BP4" s="14" t="str">
        <f t="shared" ref="BP4:BP14" si="19">IF(SUM(BA4:BB4,BD4)-BC4&gt;0,SUM(BA4:BB4,BD4)-BC4,"")</f>
        <v/>
      </c>
      <c r="BQ4" s="14">
        <f t="shared" ref="BQ4:BQ14" si="20">IF(SUM(BF4,BJ4)&gt;0,SUM(BF4,BJ4),"")</f>
        <v>11.6</v>
      </c>
      <c r="BR4" s="14">
        <f t="shared" ref="BR4:BR14" si="21">IF(SUM(BE4:BF4,BH4:BJ4,BL4)-SUM(BG4,BK4)&gt;0,SUM(BE4:BF4,BH4:BJ4,BL4)-SUM(BG4,BK4),"")</f>
        <v>47.199999999999996</v>
      </c>
      <c r="BS4" s="14">
        <f t="shared" ref="BS4:BS14" si="22">IF(SUM(BO4,BP4,BR4)&gt;0,SUM(BO4,BP4,BR4),"")</f>
        <v>91.6</v>
      </c>
      <c r="BT4" s="20">
        <v>18.8</v>
      </c>
      <c r="BU4" s="20">
        <v>6.4</v>
      </c>
      <c r="BV4" s="20">
        <v>0.2</v>
      </c>
      <c r="BW4" s="20">
        <v>0</v>
      </c>
      <c r="BX4" s="20">
        <v>18.8</v>
      </c>
      <c r="BY4" s="20">
        <v>6.8</v>
      </c>
      <c r="BZ4" s="20">
        <v>0</v>
      </c>
      <c r="CA4" s="20">
        <v>0</v>
      </c>
      <c r="CB4" s="20"/>
      <c r="CC4" s="20"/>
      <c r="CD4" s="20"/>
      <c r="CE4" s="20"/>
      <c r="CF4" s="20">
        <v>19</v>
      </c>
      <c r="CG4" s="20">
        <v>6.4</v>
      </c>
      <c r="CH4" s="20">
        <v>0.2</v>
      </c>
      <c r="CI4" s="20">
        <v>0</v>
      </c>
      <c r="CJ4" s="20">
        <v>19</v>
      </c>
      <c r="CK4" s="20">
        <v>6.8</v>
      </c>
      <c r="CL4" s="20">
        <v>0.6</v>
      </c>
      <c r="CM4" s="20">
        <v>0</v>
      </c>
      <c r="CN4" s="32"/>
      <c r="CO4" s="55">
        <f t="shared" ref="CO4:CO14" si="23">IF(SUM(BU4,BY4)&gt;0,SUM(BU4,BY4),"")</f>
        <v>13.2</v>
      </c>
      <c r="CP4" s="55">
        <f t="shared" ref="CP4:CP14" si="24">IF(SUM(BT4:BU4,BW4:BY4,CA4)-BV4-BZ4&gt;0,SUM(BT4:BU4,BW4:BY4,CA4)-BV4-BZ4,"")</f>
        <v>50.599999999999994</v>
      </c>
      <c r="CQ4" s="55" t="str">
        <f t="shared" ref="CQ4:CQ14" si="25">IF(SUM(CB4:CC4,CE4)-CD4&gt;0,SUM(CB4:CC4,CE4)-CD4,"")</f>
        <v/>
      </c>
      <c r="CR4" s="55">
        <f t="shared" ref="CR4:CR14" si="26">IF(SUM(CG4,CK4)&gt;0,SUM(CG4,CK4),"")</f>
        <v>13.2</v>
      </c>
      <c r="CS4" s="55">
        <f t="shared" ref="CS4:CS14" si="27">IF(SUM(CF4:CG4,CI4:CK4,CM4)-SUM(CH4,CL4)&gt;0,SUM(CF4:CG4,CI4:CK4,CM4)-SUM(CH4,CL4),"")</f>
        <v>50.4</v>
      </c>
      <c r="CT4" s="55">
        <f t="shared" ref="CT4:CT14" si="28">IF(SUM(CP4,CQ4,CS4)&gt;0,SUM(CP4,CQ4,CS4),"")</f>
        <v>101</v>
      </c>
      <c r="CU4" s="56" t="str">
        <f t="shared" ref="CU4:CU14" si="29">IF(MAX(DR4,ER4,FR4,GR4,HR4,IR4,JR4,KR4,LR4,MR4,NR4,OR4)-IF(K4="",0,K4)&gt;0.001,MAX(DR4,ER4,FR4,GR4,HR4,IR4,JR4,KR4,LR4,MR4,NR4,OR4)-IF(K4="",0,K4),"")</f>
        <v/>
      </c>
      <c r="CV4" s="56" t="str">
        <f t="shared" ref="CV4:CV14" si="30"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 t="shared" ref="DQ4:DQ14" si="31">IF(SUM(CX4,DB4)&gt;0,SUM(CX4,DB4),"")</f>
        <v/>
      </c>
      <c r="DR4" s="55" t="str">
        <f t="shared" ref="DR4:DR14" si="32">IF(SUM(CW4:CX4,CZ4:DB4,DD4)-CY4-DC4&gt;0,SUM(CW4:CX4,CZ4:DB4,DD4)-CY4-DC4,"")</f>
        <v/>
      </c>
      <c r="DS4" s="55" t="str">
        <f t="shared" ref="DS4:DS14" si="33">IF(SUM(DE4:DF4,DH4)-DG4&gt;0,SUM(DE4:DF4,DH4)-DG4,"")</f>
        <v/>
      </c>
      <c r="DT4" s="55" t="str">
        <f t="shared" ref="DT4:DT14" si="34">IF(SUM(DJ4,DN4)&gt;0,SUM(DJ4,DN4),"")</f>
        <v/>
      </c>
      <c r="DU4" s="55" t="str">
        <f t="shared" ref="DU4:DU14" si="35">IF(SUM(DI4:DJ4,DL4:DN4,DP4)-SUM(DK4,DO4)&gt;0,SUM(DI4:DJ4,DL4:DN4,DP4)-SUM(DK4,DO4),"")</f>
        <v/>
      </c>
      <c r="DV4" s="55" t="str">
        <f t="shared" ref="DV4:DV14" si="36"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 t="shared" ref="EQ4:EQ14" si="37">IF(SUM(DX4,EB4)&gt;0,SUM(DX4,EB4),"")</f>
        <v/>
      </c>
      <c r="ER4" s="14" t="str">
        <f t="shared" ref="ER4:ER14" si="38">IF(SUM(DW4:DX4,DZ4:EB4,ED4)-DY4-EC4&gt;0,SUM(DW4:DX4,DZ4:EB4,ED4)-DY4-EC4,"")</f>
        <v/>
      </c>
      <c r="ES4" s="14" t="str">
        <f t="shared" ref="ES4:ES14" si="39">IF(SUM(EE4:EF4,EH4)-EG4&gt;0,SUM(EE4:EF4,EH4)-EG4,"")</f>
        <v/>
      </c>
      <c r="ET4" s="14" t="str">
        <f t="shared" ref="ET4:ET14" si="40">IF(SUM(EJ4,EN4)&gt;0,SUM(EJ4,EN4),"")</f>
        <v/>
      </c>
      <c r="EU4" s="14" t="str">
        <f t="shared" ref="EU4:EU14" si="41">IF(SUM(EI4:EJ4,EL4:EN4,EP4)-SUM(EK4,EO4)&gt;0,SUM(EI4:EJ4,EL4:EN4,EP4)-SUM(EK4,EO4),"")</f>
        <v/>
      </c>
      <c r="EV4" s="14" t="str">
        <f t="shared" ref="EV4:EV14" si="42"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 t="shared" ref="FQ4:FQ14" si="43">IF(SUM(EX4,FB4)&gt;0,SUM(EX4,FB4),"")</f>
        <v/>
      </c>
      <c r="FR4" s="55" t="str">
        <f t="shared" ref="FR4:FR14" si="44">IF(SUM(EW4:EX4,EZ4:FB4,FD4)-EY4-FC4&gt;0,SUM(EW4:EX4,EZ4:FB4,FD4)-EY4-FC4,"")</f>
        <v/>
      </c>
      <c r="FS4" s="55" t="str">
        <f t="shared" ref="FS4:FS14" si="45">IF(SUM(FE4:FF4,FH4)-FG4&gt;0,SUM(FE4:FF4,FH4)-FG4,"")</f>
        <v/>
      </c>
      <c r="FT4" s="55" t="str">
        <f t="shared" ref="FT4:FT14" si="46">IF(SUM(FJ4,FN4)&gt;0,SUM(FJ4,FN4),"")</f>
        <v/>
      </c>
      <c r="FU4" s="55" t="str">
        <f t="shared" ref="FU4:FU14" si="47">IF(SUM(FI4:FJ4,FL4:FN4,FP4)-SUM(FK4,FO4)&gt;0,SUM(FI4:FJ4,FL4:FN4,FP4)-SUM(FK4,FO4),"")</f>
        <v/>
      </c>
      <c r="FV4" s="55" t="str">
        <f t="shared" ref="FV4:FV14" si="48"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 t="shared" ref="GQ4:GQ14" si="49">IF(SUM(FX4,GB4)&gt;0,SUM(FX4,GB4),"")</f>
        <v/>
      </c>
      <c r="GR4" s="14" t="str">
        <f t="shared" ref="GR4:GR14" si="50">IF(SUM(FW4:FX4,FZ4:GB4,GD4)-FY4-GC4&gt;0,SUM(FW4:FX4,FZ4:GB4,GD4)-FY4-GC4,"")</f>
        <v/>
      </c>
      <c r="GS4" s="14" t="str">
        <f t="shared" ref="GS4:GS14" si="51">IF(SUM(GE4:GF4,GH4)-GG4&gt;0,SUM(GE4:GF4,GH4)-GG4,"")</f>
        <v/>
      </c>
      <c r="GT4" s="14" t="str">
        <f t="shared" ref="GT4:GT14" si="52">IF(SUM(GJ4,GN4)&gt;0,SUM(GJ4,GN4),"")</f>
        <v/>
      </c>
      <c r="GU4" s="14" t="str">
        <f t="shared" ref="GU4:GU14" si="53">IF(SUM(GI4:GJ4,GL4:GN4,GP4)-SUM(GK4,GO4)&gt;0,SUM(GI4:GJ4,GL4:GN4,GP4)-SUM(GK4,GO4),"")</f>
        <v/>
      </c>
      <c r="GV4" s="14" t="str">
        <f t="shared" ref="GV4:GV14" si="54"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14" si="55">IF(SUM(GX4,HB4)&gt;0,SUM(GX4,HB4),"")</f>
        <v/>
      </c>
      <c r="HR4" s="55" t="str">
        <f t="shared" ref="HR4:HR14" si="56">IF(SUM(GW4:GX4,GZ4:HB4,HD4)-GY4-HC4&gt;0,SUM(GW4:GX4,GZ4:HB4,HD4)-GY4-HC4,"")</f>
        <v/>
      </c>
      <c r="HS4" s="55" t="str">
        <f t="shared" ref="HS4:HS14" si="57">IF(SUM(HE4:HF4,HH4)-HG4&gt;0,SUM(HE4:HF4,HH4)-HG4,"")</f>
        <v/>
      </c>
      <c r="HT4" s="55" t="str">
        <f t="shared" ref="HT4:HT14" si="58">IF(SUM(HJ4,HN4)&gt;0,SUM(HJ4,HN4),"")</f>
        <v/>
      </c>
      <c r="HU4" s="55" t="str">
        <f t="shared" ref="HU4:HU14" si="59">IF(SUM(HI4:HJ4,HL4:HN4,HP4)-SUM(HK4,HO4)&gt;0,SUM(HI4:HJ4,HL4:HN4,HP4)-SUM(HK4,HO4),"")</f>
        <v/>
      </c>
      <c r="HV4" s="55" t="str">
        <f t="shared" ref="HV4:HV14" si="60"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14" si="61">IF(SUM(HX4,IB4)&gt;0,SUM(HX4,IB4),"")</f>
        <v/>
      </c>
      <c r="IR4" s="14" t="str">
        <f t="shared" ref="IR4:IR14" si="62">IF(SUM(HW4:HX4,HZ4:IB4,ID4)-HY4-IC4&gt;0,SUM(HW4:HX4,HZ4:IB4,ID4)-HY4-IC4,"")</f>
        <v/>
      </c>
      <c r="IS4" s="14" t="str">
        <f t="shared" ref="IS4:IS14" si="63">IF(SUM(IE4:IF4,IH4)-IG4&gt;0,SUM(IE4:IF4,IH4)-IG4,"")</f>
        <v/>
      </c>
      <c r="IT4" s="14" t="str">
        <f t="shared" ref="IT4:IT14" si="64">IF(SUM(IJ4,IN4)&gt;0,SUM(IJ4,IN4),"")</f>
        <v/>
      </c>
      <c r="IU4" s="14" t="str">
        <f t="shared" ref="IU4:IU14" si="65">IF(SUM(II4:IJ4,IL4:IN4,IP4)-SUM(IK4,IO4)&gt;0,SUM(II4:IJ4,IL4:IN4,IP4)-SUM(IK4,IO4),"")</f>
        <v/>
      </c>
      <c r="IV4" s="14" t="str">
        <f t="shared" ref="IV4:IV14" si="66"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14" si="67">IF(SUM(IX4,JB4)&gt;0,SUM(IX4,JB4),"")</f>
        <v/>
      </c>
      <c r="JR4" s="55" t="str">
        <f t="shared" ref="JR4:JR14" si="68">IF(SUM(IW4:IX4,IZ4:JB4,JD4)-IY4-JC4&gt;0,SUM(IW4:IX4,IZ4:JB4,JD4)-IY4-JC4,"")</f>
        <v/>
      </c>
      <c r="JS4" s="55" t="str">
        <f t="shared" ref="JS4:JS14" si="69">IF(SUM(JE4:JF4,JH4)-JG4&gt;0,SUM(JE4:JF4,JH4)-JG4,"")</f>
        <v/>
      </c>
      <c r="JT4" s="55" t="str">
        <f t="shared" ref="JT4:JT14" si="70">IF(SUM(JJ4,JN4)&gt;0,SUM(JJ4,JN4),"")</f>
        <v/>
      </c>
      <c r="JU4" s="55" t="str">
        <f t="shared" ref="JU4:JU14" si="71">IF(SUM(JI4:JJ4,JL4:JN4,JP4)-SUM(JK4,JO4)&gt;0,SUM(JI4:JJ4,JL4:JN4,JP4)-SUM(JK4,JO4),"")</f>
        <v/>
      </c>
      <c r="JV4" s="55" t="str">
        <f t="shared" ref="JV4:JV14" si="72"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14" si="73">IF(SUM(JX4,KB4)&gt;0,SUM(JX4,KB4),"")</f>
        <v/>
      </c>
      <c r="KR4" s="14" t="str">
        <f t="shared" ref="KR4:KR14" si="74">IF(SUM(JW4:JX4,JZ4:KB4,KD4)-JY4-KC4&gt;0,SUM(JW4:JX4,JZ4:KB4,KD4)-JY4-KC4,"")</f>
        <v/>
      </c>
      <c r="KS4" s="14" t="str">
        <f t="shared" ref="KS4:KS14" si="75">IF(SUM(KE4:KF4,KH4)-KG4&gt;0,SUM(KE4:KF4,KH4)-KG4,"")</f>
        <v/>
      </c>
      <c r="KT4" s="14" t="str">
        <f t="shared" ref="KT4:KT14" si="76">IF(SUM(KJ4,KN4)&gt;0,SUM(KJ4,KN4),"")</f>
        <v/>
      </c>
      <c r="KU4" s="14" t="str">
        <f t="shared" ref="KU4:KU14" si="77">IF(SUM(KI4:KJ4,KL4:KN4,KP4)-SUM(KK4,KO4)&gt;0,SUM(KI4:KJ4,KL4:KN4,KP4)-SUM(KK4,KO4),"")</f>
        <v/>
      </c>
      <c r="KV4" s="14" t="str">
        <f t="shared" ref="KV4:KV14" si="78"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14" si="79">IF(SUM(KX4,LB4)&gt;0,SUM(KX4,LB4),"")</f>
        <v/>
      </c>
      <c r="LR4" s="55" t="str">
        <f t="shared" ref="LR4:LR14" si="80">IF(SUM(KW4:KX4,KZ4:LB4,LD4)-KY4-LC4&gt;0,SUM(KW4:KX4,KZ4:LB4,LD4)-KY4-LC4,"")</f>
        <v/>
      </c>
      <c r="LS4" s="55" t="str">
        <f t="shared" ref="LS4:LS14" si="81">IF(SUM(LE4:LF4,LH4)-LG4&gt;0,SUM(LE4:LF4,LH4)-LG4,"")</f>
        <v/>
      </c>
      <c r="LT4" s="55" t="str">
        <f t="shared" ref="LT4:LT14" si="82">IF(SUM(LJ4,LN4)&gt;0,SUM(LJ4,LN4),"")</f>
        <v/>
      </c>
      <c r="LU4" s="55" t="str">
        <f t="shared" ref="LU4:LU14" si="83">IF(SUM(LI4:LJ4,LL4:LN4,LP4)-SUM(LK4,LO4)&gt;0,SUM(LI4:LJ4,LL4:LN4,LP4)-SUM(LK4,LO4),"")</f>
        <v/>
      </c>
      <c r="LV4" s="55" t="str">
        <f t="shared" ref="LV4:LV14" si="84"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14" si="85">IF(SUM(LX4,MB4)&gt;0,SUM(LX4,MB4),"")</f>
        <v/>
      </c>
      <c r="MR4" s="14" t="str">
        <f t="shared" ref="MR4:MR14" si="86">IF(SUM(LW4:LX4,LZ4:MB4,MD4)-LY4-MC4&gt;0,SUM(LW4:LX4,LZ4:MB4,MD4)-LY4-MC4,"")</f>
        <v/>
      </c>
      <c r="MS4" s="14" t="str">
        <f t="shared" ref="MS4:MS14" si="87">IF(SUM(ME4:MF4,MH4)-MG4&gt;0,SUM(ME4:MF4,MH4)-MG4,"")</f>
        <v/>
      </c>
      <c r="MT4" s="14" t="str">
        <f t="shared" ref="MT4:MT14" si="88">IF(SUM(MJ4,MN4)&gt;0,SUM(MJ4,MN4),"")</f>
        <v/>
      </c>
      <c r="MU4" s="14" t="str">
        <f t="shared" ref="MU4:MU14" si="89">IF(SUM(MI4:MJ4,ML4:MN4,MP4)-SUM(MK4,MO4)&gt;0,SUM(MI4:MJ4,ML4:MN4,MP4)-SUM(MK4,MO4),"")</f>
        <v/>
      </c>
      <c r="MV4" s="14" t="str">
        <f t="shared" ref="MV4:MV14" si="90"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14" si="91">IF(SUM(MX4,NB4)&gt;0,SUM(MX4,NB4),"")</f>
        <v/>
      </c>
      <c r="NR4" s="55" t="str">
        <f t="shared" ref="NR4:NR14" si="92">IF(SUM(MW4:MX4,MZ4:NB4,ND4)-MY4-NC4&gt;0,SUM(MW4:MX4,MZ4:NB4,ND4)-MY4-NC4,"")</f>
        <v/>
      </c>
      <c r="NS4" s="55" t="str">
        <f t="shared" ref="NS4:NS14" si="93">IF(SUM(NE4:NF4,NH4)-NG4&gt;0,SUM(NE4:NF4,NH4)-NG4,"")</f>
        <v/>
      </c>
      <c r="NT4" s="55" t="str">
        <f t="shared" ref="NT4:NT14" si="94">IF(SUM(NJ4,NN4)&gt;0,SUM(NJ4,NN4),"")</f>
        <v/>
      </c>
      <c r="NU4" s="55" t="str">
        <f t="shared" ref="NU4:NU14" si="95">IF(SUM(NI4:NJ4,NL4:NN4,NP4)-SUM(NK4,NO4)&gt;0,SUM(NI4:NJ4,NL4:NN4,NP4)-SUM(NK4,NO4),"")</f>
        <v/>
      </c>
      <c r="NV4" s="55" t="str">
        <f t="shared" ref="NV4:NV14" si="96"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14" si="97">IF(SUM(NX4,OB4)&gt;0,SUM(NX4,OB4),"")</f>
        <v/>
      </c>
      <c r="OR4" s="14" t="str">
        <f t="shared" ref="OR4:OR14" si="98">IF(SUM(NW4:NX4,NZ4:OB4,OD4)-NY4-OC4&gt;0,SUM(NW4:NX4,NZ4:OB4,OD4)-NY4-OC4,"")</f>
        <v/>
      </c>
      <c r="OS4" s="14" t="str">
        <f t="shared" ref="OS4:OS14" si="99">IF(SUM(OE4:OF4,OH4)-OG4&gt;0,SUM(OE4:OF4,OH4)-OG4,"")</f>
        <v/>
      </c>
      <c r="OT4" s="14" t="str">
        <f t="shared" ref="OT4:OT14" si="100">IF(SUM(OJ4,ON4)&gt;0,SUM(OJ4,ON4),"")</f>
        <v/>
      </c>
      <c r="OU4" s="14" t="str">
        <f t="shared" ref="OU4:OU14" si="101">IF(SUM(OI4:OJ4,OL4:ON4,OP4)-SUM(OK4,OO4)&gt;0,SUM(OI4:OJ4,OL4:ON4,OP4)-SUM(OK4,OO4),"")</f>
        <v/>
      </c>
      <c r="OV4" s="14" t="str">
        <f t="shared" ref="OV4:OV14" si="102">IF(SUM(OR4,OS4,OU4)&gt;0,SUM(OR4,OS4,OU4),"")</f>
        <v/>
      </c>
      <c r="OW4" s="27">
        <f t="shared" ref="OW4:OW14" si="103">IF($CN4="P",BT4,(BT4+AS4)/2)</f>
        <v>17.649999999999999</v>
      </c>
      <c r="OX4" s="27">
        <f t="shared" ref="OX4:OX14" si="104">IF($CN4="P",BU4,(BU4+AT4)/2)</f>
        <v>6.2</v>
      </c>
      <c r="OY4" s="27">
        <f t="shared" ref="OY4:OY14" si="105">IF($CN4="P",BV4,(BV4+AU4)/2)</f>
        <v>0.1</v>
      </c>
      <c r="OZ4" s="27">
        <f t="shared" ref="OZ4:OZ14" si="106">IF($CN4="P",BW4,(BW4+AV4)/2)</f>
        <v>0</v>
      </c>
      <c r="PA4" s="27">
        <f t="shared" ref="PA4:PA14" si="107">IF($CN4="P",BX4,(BX4+AW4)/2)</f>
        <v>18.350000000000001</v>
      </c>
      <c r="PB4" s="27">
        <f t="shared" ref="PB4:PB14" si="108">IF($CN4="P",BY4,(BY4+AX4)/2)</f>
        <v>5.8</v>
      </c>
      <c r="PC4" s="27">
        <f t="shared" ref="PC4:PC14" si="109">IF($CN4="P",BZ4,(BZ4+AY4)/2)</f>
        <v>0.4</v>
      </c>
      <c r="PD4" s="27">
        <f t="shared" ref="PD4:PD14" si="110">IF($CN4="P",CA4,(CA4+AZ4)/2)</f>
        <v>0</v>
      </c>
      <c r="PE4" s="27">
        <f t="shared" ref="PE4:PE14" si="111">IF($CN4="P",CB4,(CB4+BA4)/2)</f>
        <v>0</v>
      </c>
      <c r="PF4" s="27">
        <f t="shared" ref="PF4:PF14" si="112">IF($CN4="P",CC4,(CC4+BB4)/2)</f>
        <v>0</v>
      </c>
      <c r="PG4" s="27">
        <f t="shared" ref="PG4:PG14" si="113">IF($CN4="P",CD4,(CD4+BC4)/2)</f>
        <v>0</v>
      </c>
      <c r="PH4" s="27">
        <f t="shared" ref="PH4:PH14" si="114">IF($CN4="P",CE4,(CE4+BD4)/2)</f>
        <v>0</v>
      </c>
      <c r="PI4" s="27">
        <f t="shared" ref="PI4:PI14" si="115">IF($CN4="P",CF4,(CF4+BE4)/2)</f>
        <v>18.5</v>
      </c>
      <c r="PJ4" s="27">
        <f t="shared" ref="PJ4:PJ14" si="116">IF($CN4="P",CG4,(CG4+BF4)/2)</f>
        <v>6.2</v>
      </c>
      <c r="PK4" s="27">
        <f t="shared" ref="PK4:PK14" si="117">IF($CN4="P",CH4,(CH4+BG4)/2)</f>
        <v>0.4</v>
      </c>
      <c r="PL4" s="27">
        <f t="shared" ref="PL4:PL14" si="118">IF($CN4="P",CI4,(CI4+BH4)/2)</f>
        <v>0</v>
      </c>
      <c r="PM4" s="27">
        <f t="shared" ref="PM4:PM14" si="119">IF($CN4="P",CJ4,(CJ4+BI4)/2)</f>
        <v>18.899999999999999</v>
      </c>
      <c r="PN4" s="27">
        <f t="shared" ref="PN4:PN14" si="120">IF($CN4="P",CK4,(CK4+BJ4)/2)</f>
        <v>6.1999999999999993</v>
      </c>
      <c r="PO4" s="27">
        <f t="shared" ref="PO4:PO14" si="121">IF($CN4="P",CL4,(CL4+BK4)/2)</f>
        <v>0.6</v>
      </c>
      <c r="PP4" s="27">
        <f t="shared" ref="PP4:PP14" si="122">IF($CN4="P",CM4,(CM4+BL4)/2)</f>
        <v>0</v>
      </c>
      <c r="PQ4" s="32" t="s">
        <v>44</v>
      </c>
      <c r="PR4" s="55">
        <f t="shared" ref="PR4:PR14" si="123">IF(SUM(OX4,PB4)&gt;0,SUM(OX4,PB4),"")</f>
        <v>12</v>
      </c>
      <c r="PS4" s="55">
        <f t="shared" ref="PS4:PS14" si="124">IF(SUM(OW4:OX4,OZ4:PB4,PD4)-OY4-PC4&gt;0,SUM(OW4:OX4,OZ4:PB4,PD4)-OY4-PC4,"")</f>
        <v>47.5</v>
      </c>
      <c r="PT4" s="55" t="str">
        <f t="shared" ref="PT4:PT14" si="125">IF(SUM(PE4:PF4,PH4)-PG4&gt;0,SUM(PE4:PF4,PH4)-PG4,"")</f>
        <v/>
      </c>
      <c r="PU4" s="55">
        <f t="shared" ref="PU4:PU14" si="126">IF(SUM(PJ4,PN4)&gt;0,SUM(PJ4,PN4),"")</f>
        <v>12.399999999999999</v>
      </c>
      <c r="PV4" s="55">
        <f t="shared" ref="PV4:PV14" si="127">IF(SUM(PI4:PJ4,PL4:PN4,PP4)-SUM(PK4,PO4)&gt;0,SUM(PI4:PJ4,PL4:PN4,PP4)-SUM(PK4,PO4),"")</f>
        <v>48.8</v>
      </c>
      <c r="PW4" s="55">
        <f t="shared" ref="PW4:PW14" si="128">IF(SUM(PS4,PT4,PV4)&gt;0,SUM(PS4,PT4,PV4),"")</f>
        <v>96.3</v>
      </c>
    </row>
    <row r="5" spans="1:439" x14ac:dyDescent="0.2">
      <c r="A5" s="4" t="str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/>
      </c>
      <c r="B5" s="5" t="s">
        <v>97</v>
      </c>
      <c r="C5" s="4" t="s">
        <v>65</v>
      </c>
      <c r="D5" s="4">
        <v>2009</v>
      </c>
      <c r="E5" s="10">
        <f t="shared" si="0"/>
        <v>147.20001472000499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>IF(COUNT(AN5,BO5,CP5)&gt;0,LARGE((AN5,BO5,CP5),1),0)</f>
        <v>49.6</v>
      </c>
      <c r="J5" s="9" t="str">
        <f t="shared" si="4"/>
        <v>2025 Nationals</v>
      </c>
      <c r="K5" s="9">
        <f>IF(COUNT(AN5,BO5,CP5)&gt;1,LARGE((AN5,BO5,CP5),2),0)</f>
        <v>48.7</v>
      </c>
      <c r="L5" s="9" t="str">
        <f t="shared" si="5"/>
        <v>2025 Elite Canada</v>
      </c>
      <c r="M5" s="9">
        <f t="shared" si="6"/>
        <v>48.900000000000006</v>
      </c>
      <c r="N5" s="9" t="str">
        <f t="shared" si="7"/>
        <v>2025 Nationals</v>
      </c>
      <c r="O5" s="9" t="str">
        <f t="shared" si="8"/>
        <v/>
      </c>
      <c r="P5" s="14" t="str">
        <f t="shared" si="9"/>
        <v/>
      </c>
      <c r="Q5" s="9" t="str">
        <f t="shared" si="10"/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 t="shared" si="11"/>
        <v/>
      </c>
      <c r="AN5" s="55" t="str">
        <f t="shared" si="12"/>
        <v/>
      </c>
      <c r="AO5" s="55" t="str">
        <f t="shared" si="13"/>
        <v/>
      </c>
      <c r="AP5" s="55" t="str">
        <f t="shared" si="14"/>
        <v/>
      </c>
      <c r="AQ5" s="55" t="str">
        <f t="shared" si="15"/>
        <v/>
      </c>
      <c r="AR5" s="55" t="str">
        <f t="shared" si="16"/>
        <v/>
      </c>
      <c r="AS5" s="19">
        <v>18.3</v>
      </c>
      <c r="AT5" s="19">
        <v>6.4</v>
      </c>
      <c r="AU5" s="19">
        <v>0</v>
      </c>
      <c r="AV5" s="19">
        <v>0</v>
      </c>
      <c r="AW5" s="19">
        <v>18.2</v>
      </c>
      <c r="AX5" s="19">
        <v>6</v>
      </c>
      <c r="AY5" s="19">
        <v>0.2</v>
      </c>
      <c r="AZ5" s="19">
        <v>0</v>
      </c>
      <c r="BA5" s="19"/>
      <c r="BB5" s="19"/>
      <c r="BC5" s="19"/>
      <c r="BD5" s="19"/>
      <c r="BE5" s="19">
        <v>18.600000000000001</v>
      </c>
      <c r="BF5" s="19">
        <v>6.4</v>
      </c>
      <c r="BG5" s="19">
        <v>0.2</v>
      </c>
      <c r="BH5" s="19">
        <v>0</v>
      </c>
      <c r="BI5" s="19">
        <v>18.3</v>
      </c>
      <c r="BJ5" s="19">
        <v>5.2</v>
      </c>
      <c r="BK5" s="19">
        <v>0</v>
      </c>
      <c r="BL5" s="19">
        <v>0</v>
      </c>
      <c r="BM5" s="33"/>
      <c r="BN5" s="14">
        <f t="shared" si="17"/>
        <v>12.4</v>
      </c>
      <c r="BO5" s="14">
        <f t="shared" si="18"/>
        <v>48.7</v>
      </c>
      <c r="BP5" s="14" t="str">
        <f t="shared" si="19"/>
        <v/>
      </c>
      <c r="BQ5" s="14">
        <f t="shared" si="20"/>
        <v>11.600000000000001</v>
      </c>
      <c r="BR5" s="14">
        <f t="shared" si="21"/>
        <v>48.3</v>
      </c>
      <c r="BS5" s="14">
        <f t="shared" si="22"/>
        <v>97</v>
      </c>
      <c r="BT5" s="20">
        <v>18.5</v>
      </c>
      <c r="BU5" s="20">
        <v>7.2</v>
      </c>
      <c r="BV5" s="20">
        <v>0.8</v>
      </c>
      <c r="BW5" s="20">
        <v>0</v>
      </c>
      <c r="BX5" s="20">
        <v>18.7</v>
      </c>
      <c r="BY5" s="20">
        <v>6.8</v>
      </c>
      <c r="BZ5" s="20">
        <v>0.8</v>
      </c>
      <c r="CA5" s="20">
        <v>0</v>
      </c>
      <c r="CB5" s="20"/>
      <c r="CC5" s="20"/>
      <c r="CD5" s="20"/>
      <c r="CE5" s="20"/>
      <c r="CF5" s="20">
        <v>18.100000000000001</v>
      </c>
      <c r="CG5" s="20">
        <v>6</v>
      </c>
      <c r="CH5" s="20">
        <v>0.6</v>
      </c>
      <c r="CI5" s="20">
        <v>0</v>
      </c>
      <c r="CJ5" s="20">
        <v>19</v>
      </c>
      <c r="CK5" s="20">
        <v>7.2</v>
      </c>
      <c r="CL5" s="20">
        <v>0.8</v>
      </c>
      <c r="CM5" s="20">
        <v>0</v>
      </c>
      <c r="CN5" s="32"/>
      <c r="CO5" s="55">
        <f t="shared" si="23"/>
        <v>14</v>
      </c>
      <c r="CP5" s="55">
        <f t="shared" si="24"/>
        <v>49.6</v>
      </c>
      <c r="CQ5" s="55" t="str">
        <f t="shared" si="25"/>
        <v/>
      </c>
      <c r="CR5" s="55">
        <f t="shared" si="26"/>
        <v>13.2</v>
      </c>
      <c r="CS5" s="55">
        <f t="shared" si="27"/>
        <v>48.900000000000006</v>
      </c>
      <c r="CT5" s="55">
        <f t="shared" si="28"/>
        <v>98.5</v>
      </c>
      <c r="CU5" s="56" t="str">
        <f t="shared" si="29"/>
        <v/>
      </c>
      <c r="CV5" s="56" t="str">
        <f t="shared" si="30"/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 t="shared" si="31"/>
        <v/>
      </c>
      <c r="DR5" s="55" t="str">
        <f t="shared" si="32"/>
        <v/>
      </c>
      <c r="DS5" s="55" t="str">
        <f t="shared" si="33"/>
        <v/>
      </c>
      <c r="DT5" s="55" t="str">
        <f t="shared" si="34"/>
        <v/>
      </c>
      <c r="DU5" s="55" t="str">
        <f t="shared" si="35"/>
        <v/>
      </c>
      <c r="DV5" s="55" t="str">
        <f t="shared" si="36"/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 t="shared" si="37"/>
        <v/>
      </c>
      <c r="ER5" s="14" t="str">
        <f t="shared" si="38"/>
        <v/>
      </c>
      <c r="ES5" s="14" t="str">
        <f t="shared" si="39"/>
        <v/>
      </c>
      <c r="ET5" s="14" t="str">
        <f t="shared" si="40"/>
        <v/>
      </c>
      <c r="EU5" s="14" t="str">
        <f t="shared" si="41"/>
        <v/>
      </c>
      <c r="EV5" s="14" t="str">
        <f t="shared" si="42"/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 t="shared" si="43"/>
        <v/>
      </c>
      <c r="FR5" s="55" t="str">
        <f t="shared" si="44"/>
        <v/>
      </c>
      <c r="FS5" s="55" t="str">
        <f t="shared" si="45"/>
        <v/>
      </c>
      <c r="FT5" s="55" t="str">
        <f t="shared" si="46"/>
        <v/>
      </c>
      <c r="FU5" s="55" t="str">
        <f t="shared" si="47"/>
        <v/>
      </c>
      <c r="FV5" s="55" t="str">
        <f t="shared" si="48"/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9"/>
        <v/>
      </c>
      <c r="GR5" s="14" t="str">
        <f t="shared" si="50"/>
        <v/>
      </c>
      <c r="GS5" s="14" t="str">
        <f t="shared" si="51"/>
        <v/>
      </c>
      <c r="GT5" s="14" t="str">
        <f t="shared" si="52"/>
        <v/>
      </c>
      <c r="GU5" s="14" t="str">
        <f t="shared" si="53"/>
        <v/>
      </c>
      <c r="GV5" s="14" t="str">
        <f t="shared" si="54"/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55"/>
        <v/>
      </c>
      <c r="HR5" s="55" t="str">
        <f t="shared" si="56"/>
        <v/>
      </c>
      <c r="HS5" s="55" t="str">
        <f t="shared" si="57"/>
        <v/>
      </c>
      <c r="HT5" s="55" t="str">
        <f t="shared" si="58"/>
        <v/>
      </c>
      <c r="HU5" s="55" t="str">
        <f t="shared" si="59"/>
        <v/>
      </c>
      <c r="HV5" s="55" t="str">
        <f t="shared" si="60"/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61"/>
        <v/>
      </c>
      <c r="IR5" s="14" t="str">
        <f t="shared" si="62"/>
        <v/>
      </c>
      <c r="IS5" s="14" t="str">
        <f t="shared" si="63"/>
        <v/>
      </c>
      <c r="IT5" s="14" t="str">
        <f t="shared" si="64"/>
        <v/>
      </c>
      <c r="IU5" s="14" t="str">
        <f t="shared" si="65"/>
        <v/>
      </c>
      <c r="IV5" s="14" t="str">
        <f t="shared" si="66"/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67"/>
        <v/>
      </c>
      <c r="JR5" s="55" t="str">
        <f t="shared" si="68"/>
        <v/>
      </c>
      <c r="JS5" s="55" t="str">
        <f t="shared" si="69"/>
        <v/>
      </c>
      <c r="JT5" s="55" t="str">
        <f t="shared" si="70"/>
        <v/>
      </c>
      <c r="JU5" s="55" t="str">
        <f t="shared" si="71"/>
        <v/>
      </c>
      <c r="JV5" s="55" t="str">
        <f t="shared" si="72"/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73"/>
        <v/>
      </c>
      <c r="KR5" s="14" t="str">
        <f t="shared" si="74"/>
        <v/>
      </c>
      <c r="KS5" s="14" t="str">
        <f t="shared" si="75"/>
        <v/>
      </c>
      <c r="KT5" s="14" t="str">
        <f t="shared" si="76"/>
        <v/>
      </c>
      <c r="KU5" s="14" t="str">
        <f t="shared" si="77"/>
        <v/>
      </c>
      <c r="KV5" s="14" t="str">
        <f t="shared" si="78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79"/>
        <v/>
      </c>
      <c r="LR5" s="55" t="str">
        <f t="shared" si="80"/>
        <v/>
      </c>
      <c r="LS5" s="55" t="str">
        <f t="shared" si="81"/>
        <v/>
      </c>
      <c r="LT5" s="55" t="str">
        <f t="shared" si="82"/>
        <v/>
      </c>
      <c r="LU5" s="55" t="str">
        <f t="shared" si="83"/>
        <v/>
      </c>
      <c r="LV5" s="55" t="str">
        <f t="shared" si="84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85"/>
        <v/>
      </c>
      <c r="MR5" s="14" t="str">
        <f t="shared" si="86"/>
        <v/>
      </c>
      <c r="MS5" s="14" t="str">
        <f t="shared" si="87"/>
        <v/>
      </c>
      <c r="MT5" s="14" t="str">
        <f t="shared" si="88"/>
        <v/>
      </c>
      <c r="MU5" s="14" t="str">
        <f t="shared" si="89"/>
        <v/>
      </c>
      <c r="MV5" s="14" t="str">
        <f t="shared" si="90"/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91"/>
        <v/>
      </c>
      <c r="NR5" s="55" t="str">
        <f t="shared" si="92"/>
        <v/>
      </c>
      <c r="NS5" s="55" t="str">
        <f t="shared" si="93"/>
        <v/>
      </c>
      <c r="NT5" s="55" t="str">
        <f t="shared" si="94"/>
        <v/>
      </c>
      <c r="NU5" s="55" t="str">
        <f t="shared" si="95"/>
        <v/>
      </c>
      <c r="NV5" s="55" t="str">
        <f t="shared" si="96"/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97"/>
        <v/>
      </c>
      <c r="OR5" s="14" t="str">
        <f t="shared" si="98"/>
        <v/>
      </c>
      <c r="OS5" s="14" t="str">
        <f t="shared" si="99"/>
        <v/>
      </c>
      <c r="OT5" s="14" t="str">
        <f t="shared" si="100"/>
        <v/>
      </c>
      <c r="OU5" s="14" t="str">
        <f t="shared" si="101"/>
        <v/>
      </c>
      <c r="OV5" s="14" t="str">
        <f t="shared" si="102"/>
        <v/>
      </c>
      <c r="OW5" s="27">
        <f t="shared" si="103"/>
        <v>18.399999999999999</v>
      </c>
      <c r="OX5" s="27">
        <f t="shared" si="104"/>
        <v>6.8000000000000007</v>
      </c>
      <c r="OY5" s="27">
        <f t="shared" si="105"/>
        <v>0.4</v>
      </c>
      <c r="OZ5" s="27">
        <f t="shared" si="106"/>
        <v>0</v>
      </c>
      <c r="PA5" s="27">
        <f t="shared" si="107"/>
        <v>18.45</v>
      </c>
      <c r="PB5" s="27">
        <f t="shared" si="108"/>
        <v>6.4</v>
      </c>
      <c r="PC5" s="27">
        <f t="shared" si="109"/>
        <v>0.5</v>
      </c>
      <c r="PD5" s="27">
        <f t="shared" si="110"/>
        <v>0</v>
      </c>
      <c r="PE5" s="27">
        <f t="shared" si="111"/>
        <v>0</v>
      </c>
      <c r="PF5" s="27">
        <f t="shared" si="112"/>
        <v>0</v>
      </c>
      <c r="PG5" s="27">
        <f t="shared" si="113"/>
        <v>0</v>
      </c>
      <c r="PH5" s="27">
        <f t="shared" si="114"/>
        <v>0</v>
      </c>
      <c r="PI5" s="27">
        <f t="shared" si="115"/>
        <v>18.350000000000001</v>
      </c>
      <c r="PJ5" s="27">
        <f t="shared" si="116"/>
        <v>6.2</v>
      </c>
      <c r="PK5" s="27">
        <f t="shared" si="117"/>
        <v>0.4</v>
      </c>
      <c r="PL5" s="27">
        <f t="shared" si="118"/>
        <v>0</v>
      </c>
      <c r="PM5" s="27">
        <f t="shared" si="119"/>
        <v>18.649999999999999</v>
      </c>
      <c r="PN5" s="27">
        <f t="shared" si="120"/>
        <v>6.2</v>
      </c>
      <c r="PO5" s="27">
        <f t="shared" si="121"/>
        <v>0.4</v>
      </c>
      <c r="PP5" s="27">
        <f t="shared" si="122"/>
        <v>0</v>
      </c>
      <c r="PQ5" s="32" t="s">
        <v>44</v>
      </c>
      <c r="PR5" s="55">
        <f t="shared" si="123"/>
        <v>13.200000000000001</v>
      </c>
      <c r="PS5" s="55">
        <f t="shared" si="124"/>
        <v>49.15</v>
      </c>
      <c r="PT5" s="55" t="str">
        <f t="shared" si="125"/>
        <v/>
      </c>
      <c r="PU5" s="55">
        <f t="shared" si="126"/>
        <v>12.4</v>
      </c>
      <c r="PV5" s="55">
        <f t="shared" si="127"/>
        <v>48.600000000000009</v>
      </c>
      <c r="PW5" s="55">
        <f t="shared" si="128"/>
        <v>97.75</v>
      </c>
    </row>
    <row r="6" spans="1:439" x14ac:dyDescent="0.2">
      <c r="A6" s="4" t="str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/>
      </c>
      <c r="B6" s="5" t="s">
        <v>85</v>
      </c>
      <c r="C6" s="4" t="s">
        <v>67</v>
      </c>
      <c r="D6" s="4">
        <v>2012</v>
      </c>
      <c r="E6" s="10">
        <f t="shared" si="0"/>
        <v>147.20001472000493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>IF(COUNT(AN6,BO6,CP6)&gt;0,LARGE((AN6,BO6,CP6),1),0)</f>
        <v>49.1</v>
      </c>
      <c r="J6" s="9" t="str">
        <f t="shared" si="4"/>
        <v>2025 Nationals</v>
      </c>
      <c r="K6" s="9">
        <f>IF(COUNT(AN6,BO6,CP6)&gt;1,LARGE((AN6,BO6,CP6),2),0)</f>
        <v>48.500000000000007</v>
      </c>
      <c r="L6" s="9" t="str">
        <f t="shared" si="5"/>
        <v>2025 Elite Canada</v>
      </c>
      <c r="M6" s="9">
        <f t="shared" si="6"/>
        <v>49.6</v>
      </c>
      <c r="N6" s="9" t="str">
        <f t="shared" si="7"/>
        <v>2025 Nationals</v>
      </c>
      <c r="O6" s="9" t="str">
        <f t="shared" si="8"/>
        <v/>
      </c>
      <c r="P6" s="14" t="str">
        <f t="shared" si="9"/>
        <v/>
      </c>
      <c r="Q6" s="9" t="str">
        <f t="shared" si="10"/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 t="shared" si="11"/>
        <v/>
      </c>
      <c r="AN6" s="55" t="str">
        <f t="shared" si="12"/>
        <v/>
      </c>
      <c r="AO6" s="55" t="str">
        <f t="shared" si="13"/>
        <v/>
      </c>
      <c r="AP6" s="55" t="str">
        <f t="shared" si="14"/>
        <v/>
      </c>
      <c r="AQ6" s="55" t="str">
        <f t="shared" si="15"/>
        <v/>
      </c>
      <c r="AR6" s="55" t="str">
        <f t="shared" si="16"/>
        <v/>
      </c>
      <c r="AS6" s="19">
        <v>19.100000000000001</v>
      </c>
      <c r="AT6" s="19">
        <v>5.2</v>
      </c>
      <c r="AU6" s="19">
        <v>0</v>
      </c>
      <c r="AV6" s="19">
        <v>0</v>
      </c>
      <c r="AW6" s="19">
        <v>18.600000000000001</v>
      </c>
      <c r="AX6" s="19">
        <v>5.6</v>
      </c>
      <c r="AY6" s="19">
        <v>0</v>
      </c>
      <c r="AZ6" s="19">
        <v>0</v>
      </c>
      <c r="BA6" s="19"/>
      <c r="BB6" s="19"/>
      <c r="BC6" s="19"/>
      <c r="BD6" s="19"/>
      <c r="BE6" s="19">
        <v>19</v>
      </c>
      <c r="BF6" s="19">
        <v>6</v>
      </c>
      <c r="BG6" s="19">
        <v>0</v>
      </c>
      <c r="BH6" s="19">
        <v>0</v>
      </c>
      <c r="BI6" s="19">
        <v>18.600000000000001</v>
      </c>
      <c r="BJ6" s="19">
        <v>5.6</v>
      </c>
      <c r="BK6" s="19">
        <v>0.2</v>
      </c>
      <c r="BL6" s="19">
        <v>0</v>
      </c>
      <c r="BM6" s="33"/>
      <c r="BN6" s="14">
        <f t="shared" si="17"/>
        <v>10.8</v>
      </c>
      <c r="BO6" s="14">
        <f t="shared" si="18"/>
        <v>48.500000000000007</v>
      </c>
      <c r="BP6" s="14" t="str">
        <f t="shared" si="19"/>
        <v/>
      </c>
      <c r="BQ6" s="14">
        <f t="shared" si="20"/>
        <v>11.6</v>
      </c>
      <c r="BR6" s="14">
        <f t="shared" si="21"/>
        <v>49</v>
      </c>
      <c r="BS6" s="14">
        <f t="shared" si="22"/>
        <v>97.5</v>
      </c>
      <c r="BT6" s="20">
        <v>19</v>
      </c>
      <c r="BU6" s="20">
        <v>6</v>
      </c>
      <c r="BV6" s="20">
        <v>0.6</v>
      </c>
      <c r="BW6" s="20">
        <v>0</v>
      </c>
      <c r="BX6" s="20">
        <v>19.100000000000001</v>
      </c>
      <c r="BY6" s="20">
        <v>5.6</v>
      </c>
      <c r="BZ6" s="20">
        <v>0</v>
      </c>
      <c r="CA6" s="20">
        <v>0</v>
      </c>
      <c r="CB6" s="20"/>
      <c r="CC6" s="20"/>
      <c r="CD6" s="20"/>
      <c r="CE6" s="20"/>
      <c r="CF6" s="20">
        <v>19.2</v>
      </c>
      <c r="CG6" s="20">
        <v>6</v>
      </c>
      <c r="CH6" s="20">
        <v>0</v>
      </c>
      <c r="CI6" s="20">
        <v>0</v>
      </c>
      <c r="CJ6" s="20">
        <v>18.8</v>
      </c>
      <c r="CK6" s="20">
        <v>5.6</v>
      </c>
      <c r="CL6" s="20">
        <v>0</v>
      </c>
      <c r="CM6" s="20">
        <v>0</v>
      </c>
      <c r="CN6" s="32"/>
      <c r="CO6" s="55">
        <f t="shared" si="23"/>
        <v>11.6</v>
      </c>
      <c r="CP6" s="55">
        <f t="shared" si="24"/>
        <v>49.1</v>
      </c>
      <c r="CQ6" s="55" t="str">
        <f t="shared" si="25"/>
        <v/>
      </c>
      <c r="CR6" s="55">
        <f t="shared" si="26"/>
        <v>11.6</v>
      </c>
      <c r="CS6" s="55">
        <f t="shared" si="27"/>
        <v>49.6</v>
      </c>
      <c r="CT6" s="55">
        <f t="shared" si="28"/>
        <v>98.7</v>
      </c>
      <c r="CU6" s="56" t="str">
        <f t="shared" si="29"/>
        <v/>
      </c>
      <c r="CV6" s="56" t="str">
        <f t="shared" si="30"/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 t="shared" si="31"/>
        <v/>
      </c>
      <c r="DR6" s="55" t="str">
        <f t="shared" si="32"/>
        <v/>
      </c>
      <c r="DS6" s="55" t="str">
        <f t="shared" si="33"/>
        <v/>
      </c>
      <c r="DT6" s="55" t="str">
        <f t="shared" si="34"/>
        <v/>
      </c>
      <c r="DU6" s="55" t="str">
        <f t="shared" si="35"/>
        <v/>
      </c>
      <c r="DV6" s="55" t="str">
        <f t="shared" si="36"/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7"/>
        <v/>
      </c>
      <c r="ER6" s="14" t="str">
        <f t="shared" si="38"/>
        <v/>
      </c>
      <c r="ES6" s="14" t="str">
        <f t="shared" si="39"/>
        <v/>
      </c>
      <c r="ET6" s="14" t="str">
        <f t="shared" si="40"/>
        <v/>
      </c>
      <c r="EU6" s="14" t="str">
        <f t="shared" si="41"/>
        <v/>
      </c>
      <c r="EV6" s="14" t="str">
        <f t="shared" si="42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43"/>
        <v/>
      </c>
      <c r="FR6" s="55" t="str">
        <f t="shared" si="44"/>
        <v/>
      </c>
      <c r="FS6" s="55" t="str">
        <f t="shared" si="45"/>
        <v/>
      </c>
      <c r="FT6" s="55" t="str">
        <f t="shared" si="46"/>
        <v/>
      </c>
      <c r="FU6" s="55" t="str">
        <f t="shared" si="47"/>
        <v/>
      </c>
      <c r="FV6" s="55" t="str">
        <f t="shared" si="48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9"/>
        <v/>
      </c>
      <c r="GR6" s="14" t="str">
        <f t="shared" si="50"/>
        <v/>
      </c>
      <c r="GS6" s="14" t="str">
        <f t="shared" si="51"/>
        <v/>
      </c>
      <c r="GT6" s="14" t="str">
        <f t="shared" si="52"/>
        <v/>
      </c>
      <c r="GU6" s="14" t="str">
        <f t="shared" si="53"/>
        <v/>
      </c>
      <c r="GV6" s="14" t="str">
        <f t="shared" si="54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55"/>
        <v/>
      </c>
      <c r="HR6" s="55" t="str">
        <f t="shared" si="56"/>
        <v/>
      </c>
      <c r="HS6" s="55" t="str">
        <f t="shared" si="57"/>
        <v/>
      </c>
      <c r="HT6" s="55" t="str">
        <f t="shared" si="58"/>
        <v/>
      </c>
      <c r="HU6" s="55" t="str">
        <f t="shared" si="59"/>
        <v/>
      </c>
      <c r="HV6" s="55" t="str">
        <f t="shared" si="60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61"/>
        <v/>
      </c>
      <c r="IR6" s="14" t="str">
        <f t="shared" si="62"/>
        <v/>
      </c>
      <c r="IS6" s="14" t="str">
        <f t="shared" si="63"/>
        <v/>
      </c>
      <c r="IT6" s="14" t="str">
        <f t="shared" si="64"/>
        <v/>
      </c>
      <c r="IU6" s="14" t="str">
        <f t="shared" si="65"/>
        <v/>
      </c>
      <c r="IV6" s="14" t="str">
        <f t="shared" si="66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67"/>
        <v/>
      </c>
      <c r="JR6" s="55" t="str">
        <f t="shared" si="68"/>
        <v/>
      </c>
      <c r="JS6" s="55" t="str">
        <f t="shared" si="69"/>
        <v/>
      </c>
      <c r="JT6" s="55" t="str">
        <f t="shared" si="70"/>
        <v/>
      </c>
      <c r="JU6" s="55" t="str">
        <f t="shared" si="71"/>
        <v/>
      </c>
      <c r="JV6" s="55" t="str">
        <f t="shared" si="72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73"/>
        <v/>
      </c>
      <c r="KR6" s="14" t="str">
        <f t="shared" si="74"/>
        <v/>
      </c>
      <c r="KS6" s="14" t="str">
        <f t="shared" si="75"/>
        <v/>
      </c>
      <c r="KT6" s="14" t="str">
        <f t="shared" si="76"/>
        <v/>
      </c>
      <c r="KU6" s="14" t="str">
        <f t="shared" si="77"/>
        <v/>
      </c>
      <c r="KV6" s="14" t="str">
        <f t="shared" si="78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79"/>
        <v/>
      </c>
      <c r="LR6" s="55" t="str">
        <f t="shared" si="80"/>
        <v/>
      </c>
      <c r="LS6" s="55" t="str">
        <f t="shared" si="81"/>
        <v/>
      </c>
      <c r="LT6" s="55" t="str">
        <f t="shared" si="82"/>
        <v/>
      </c>
      <c r="LU6" s="55" t="str">
        <f t="shared" si="83"/>
        <v/>
      </c>
      <c r="LV6" s="55" t="str">
        <f t="shared" si="84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85"/>
        <v/>
      </c>
      <c r="MR6" s="14" t="str">
        <f t="shared" si="86"/>
        <v/>
      </c>
      <c r="MS6" s="14" t="str">
        <f t="shared" si="87"/>
        <v/>
      </c>
      <c r="MT6" s="14" t="str">
        <f t="shared" si="88"/>
        <v/>
      </c>
      <c r="MU6" s="14" t="str">
        <f t="shared" si="89"/>
        <v/>
      </c>
      <c r="MV6" s="14" t="str">
        <f t="shared" si="90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91"/>
        <v/>
      </c>
      <c r="NR6" s="55" t="str">
        <f t="shared" si="92"/>
        <v/>
      </c>
      <c r="NS6" s="55" t="str">
        <f t="shared" si="93"/>
        <v/>
      </c>
      <c r="NT6" s="55" t="str">
        <f t="shared" si="94"/>
        <v/>
      </c>
      <c r="NU6" s="55" t="str">
        <f t="shared" si="95"/>
        <v/>
      </c>
      <c r="NV6" s="55" t="str">
        <f t="shared" si="96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97"/>
        <v/>
      </c>
      <c r="OR6" s="14" t="str">
        <f t="shared" si="98"/>
        <v/>
      </c>
      <c r="OS6" s="14" t="str">
        <f t="shared" si="99"/>
        <v/>
      </c>
      <c r="OT6" s="14" t="str">
        <f t="shared" si="100"/>
        <v/>
      </c>
      <c r="OU6" s="14" t="str">
        <f t="shared" si="101"/>
        <v/>
      </c>
      <c r="OV6" s="14" t="str">
        <f t="shared" si="102"/>
        <v/>
      </c>
      <c r="OW6" s="27">
        <f t="shared" si="103"/>
        <v>19.05</v>
      </c>
      <c r="OX6" s="27">
        <f t="shared" si="104"/>
        <v>5.6</v>
      </c>
      <c r="OY6" s="27">
        <f t="shared" si="105"/>
        <v>0.3</v>
      </c>
      <c r="OZ6" s="27">
        <f t="shared" si="106"/>
        <v>0</v>
      </c>
      <c r="PA6" s="27">
        <f t="shared" si="107"/>
        <v>18.850000000000001</v>
      </c>
      <c r="PB6" s="27">
        <f t="shared" si="108"/>
        <v>5.6</v>
      </c>
      <c r="PC6" s="27">
        <f t="shared" si="109"/>
        <v>0</v>
      </c>
      <c r="PD6" s="27">
        <f t="shared" si="110"/>
        <v>0</v>
      </c>
      <c r="PE6" s="27">
        <f t="shared" si="111"/>
        <v>0</v>
      </c>
      <c r="PF6" s="27">
        <f t="shared" si="112"/>
        <v>0</v>
      </c>
      <c r="PG6" s="27">
        <f t="shared" si="113"/>
        <v>0</v>
      </c>
      <c r="PH6" s="27">
        <f t="shared" si="114"/>
        <v>0</v>
      </c>
      <c r="PI6" s="27">
        <f t="shared" si="115"/>
        <v>19.100000000000001</v>
      </c>
      <c r="PJ6" s="27">
        <f t="shared" si="116"/>
        <v>6</v>
      </c>
      <c r="PK6" s="27">
        <f t="shared" si="117"/>
        <v>0</v>
      </c>
      <c r="PL6" s="27">
        <f t="shared" si="118"/>
        <v>0</v>
      </c>
      <c r="PM6" s="27">
        <f t="shared" si="119"/>
        <v>18.700000000000003</v>
      </c>
      <c r="PN6" s="27">
        <f t="shared" si="120"/>
        <v>5.6</v>
      </c>
      <c r="PO6" s="27">
        <f t="shared" si="121"/>
        <v>0.1</v>
      </c>
      <c r="PP6" s="27">
        <f t="shared" si="122"/>
        <v>0</v>
      </c>
      <c r="PQ6" s="32" t="s">
        <v>44</v>
      </c>
      <c r="PR6" s="55">
        <f t="shared" si="123"/>
        <v>11.2</v>
      </c>
      <c r="PS6" s="55">
        <f t="shared" si="124"/>
        <v>48.800000000000004</v>
      </c>
      <c r="PT6" s="55" t="str">
        <f t="shared" si="125"/>
        <v/>
      </c>
      <c r="PU6" s="55">
        <f t="shared" si="126"/>
        <v>11.6</v>
      </c>
      <c r="PV6" s="55">
        <f t="shared" si="127"/>
        <v>49.300000000000004</v>
      </c>
      <c r="PW6" s="55">
        <f t="shared" si="128"/>
        <v>98.100000000000009</v>
      </c>
    </row>
    <row r="7" spans="1:439" x14ac:dyDescent="0.2">
      <c r="A7" s="4" t="str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/>
      </c>
      <c r="B7" s="5" t="s">
        <v>99</v>
      </c>
      <c r="C7" s="4" t="s">
        <v>67</v>
      </c>
      <c r="D7" s="4">
        <v>2009</v>
      </c>
      <c r="E7" s="10">
        <f t="shared" si="0"/>
        <v>135.60001356000456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>IF(COUNT(AN7,BO7,CP7)&gt;0,LARGE((AN7,BO7,CP7),1),0)</f>
        <v>45.6</v>
      </c>
      <c r="J7" s="9" t="str">
        <f t="shared" si="4"/>
        <v>2025 Elite Canada</v>
      </c>
      <c r="K7" s="9">
        <f>IF(COUNT(AN7,BO7,CP7)&gt;1,LARGE((AN7,BO7,CP7),2),0)</f>
        <v>41.5</v>
      </c>
      <c r="L7" s="9" t="str">
        <f t="shared" si="5"/>
        <v>2025 Nationals</v>
      </c>
      <c r="M7" s="9">
        <f t="shared" si="6"/>
        <v>48.5</v>
      </c>
      <c r="N7" s="9" t="str">
        <f t="shared" si="7"/>
        <v>2025 Nationals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 t="shared" si="11"/>
        <v/>
      </c>
      <c r="AN7" s="55" t="str">
        <f t="shared" si="12"/>
        <v/>
      </c>
      <c r="AO7" s="55" t="str">
        <f t="shared" si="13"/>
        <v/>
      </c>
      <c r="AP7" s="55" t="str">
        <f t="shared" si="14"/>
        <v/>
      </c>
      <c r="AQ7" s="55" t="str">
        <f t="shared" si="15"/>
        <v/>
      </c>
      <c r="AR7" s="55" t="str">
        <f t="shared" si="16"/>
        <v/>
      </c>
      <c r="AS7" s="19">
        <v>18.2</v>
      </c>
      <c r="AT7" s="19">
        <v>4.8</v>
      </c>
      <c r="AU7" s="19">
        <v>0.6</v>
      </c>
      <c r="AV7" s="19">
        <v>0</v>
      </c>
      <c r="AW7" s="19">
        <v>18</v>
      </c>
      <c r="AX7" s="19">
        <v>6</v>
      </c>
      <c r="AY7" s="19">
        <v>0.8</v>
      </c>
      <c r="AZ7" s="19">
        <v>0</v>
      </c>
      <c r="BA7" s="19"/>
      <c r="BB7" s="19"/>
      <c r="BC7" s="19"/>
      <c r="BD7" s="19"/>
      <c r="BE7" s="19">
        <v>17.100000000000001</v>
      </c>
      <c r="BF7" s="19">
        <v>6.4</v>
      </c>
      <c r="BG7" s="19">
        <v>0.8</v>
      </c>
      <c r="BH7" s="19">
        <v>0</v>
      </c>
      <c r="BI7" s="19">
        <v>17.5</v>
      </c>
      <c r="BJ7" s="19">
        <v>6</v>
      </c>
      <c r="BK7" s="19">
        <v>0.8</v>
      </c>
      <c r="BL7" s="19">
        <v>0</v>
      </c>
      <c r="BM7" s="33"/>
      <c r="BN7" s="14">
        <f t="shared" si="17"/>
        <v>10.8</v>
      </c>
      <c r="BO7" s="14">
        <f t="shared" si="18"/>
        <v>45.6</v>
      </c>
      <c r="BP7" s="14" t="str">
        <f t="shared" si="19"/>
        <v/>
      </c>
      <c r="BQ7" s="14">
        <f t="shared" si="20"/>
        <v>12.4</v>
      </c>
      <c r="BR7" s="14">
        <f t="shared" si="21"/>
        <v>45.4</v>
      </c>
      <c r="BS7" s="14">
        <f t="shared" si="22"/>
        <v>91</v>
      </c>
      <c r="BT7" s="20">
        <v>15.4</v>
      </c>
      <c r="BU7" s="20">
        <v>2.4</v>
      </c>
      <c r="BV7" s="20">
        <v>0</v>
      </c>
      <c r="BW7" s="20">
        <v>0</v>
      </c>
      <c r="BX7" s="20">
        <v>18.3</v>
      </c>
      <c r="BY7" s="20">
        <v>5.6</v>
      </c>
      <c r="BZ7" s="20">
        <v>0.2</v>
      </c>
      <c r="CA7" s="20">
        <v>0</v>
      </c>
      <c r="CB7" s="20"/>
      <c r="CC7" s="20"/>
      <c r="CD7" s="20"/>
      <c r="CE7" s="20"/>
      <c r="CF7" s="20">
        <v>18.7</v>
      </c>
      <c r="CG7" s="20">
        <v>6.8</v>
      </c>
      <c r="CH7" s="20">
        <v>0.8</v>
      </c>
      <c r="CI7" s="20">
        <v>0</v>
      </c>
      <c r="CJ7" s="20">
        <v>18.399999999999999</v>
      </c>
      <c r="CK7" s="20">
        <v>5.6</v>
      </c>
      <c r="CL7" s="20">
        <v>0.2</v>
      </c>
      <c r="CM7" s="20">
        <v>0</v>
      </c>
      <c r="CN7" s="32"/>
      <c r="CO7" s="55">
        <f t="shared" si="23"/>
        <v>8</v>
      </c>
      <c r="CP7" s="55">
        <f t="shared" si="24"/>
        <v>41.5</v>
      </c>
      <c r="CQ7" s="55" t="str">
        <f t="shared" si="25"/>
        <v/>
      </c>
      <c r="CR7" s="55">
        <f t="shared" si="26"/>
        <v>12.399999999999999</v>
      </c>
      <c r="CS7" s="55">
        <f t="shared" si="27"/>
        <v>48.5</v>
      </c>
      <c r="CT7" s="55">
        <f t="shared" si="28"/>
        <v>90</v>
      </c>
      <c r="CU7" s="56" t="str">
        <f t="shared" si="29"/>
        <v/>
      </c>
      <c r="CV7" s="56" t="str">
        <f t="shared" si="30"/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 t="shared" si="31"/>
        <v/>
      </c>
      <c r="DR7" s="55" t="str">
        <f t="shared" si="32"/>
        <v/>
      </c>
      <c r="DS7" s="55" t="str">
        <f t="shared" si="33"/>
        <v/>
      </c>
      <c r="DT7" s="55" t="str">
        <f t="shared" si="34"/>
        <v/>
      </c>
      <c r="DU7" s="55" t="str">
        <f t="shared" si="35"/>
        <v/>
      </c>
      <c r="DV7" s="55" t="str">
        <f t="shared" si="36"/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7"/>
        <v/>
      </c>
      <c r="ER7" s="14" t="str">
        <f t="shared" si="38"/>
        <v/>
      </c>
      <c r="ES7" s="14" t="str">
        <f t="shared" si="39"/>
        <v/>
      </c>
      <c r="ET7" s="14" t="str">
        <f t="shared" si="40"/>
        <v/>
      </c>
      <c r="EU7" s="14" t="str">
        <f t="shared" si="41"/>
        <v/>
      </c>
      <c r="EV7" s="14" t="str">
        <f t="shared" si="42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43"/>
        <v/>
      </c>
      <c r="FR7" s="55" t="str">
        <f t="shared" si="44"/>
        <v/>
      </c>
      <c r="FS7" s="55" t="str">
        <f t="shared" si="45"/>
        <v/>
      </c>
      <c r="FT7" s="55" t="str">
        <f t="shared" si="46"/>
        <v/>
      </c>
      <c r="FU7" s="55" t="str">
        <f t="shared" si="47"/>
        <v/>
      </c>
      <c r="FV7" s="55" t="str">
        <f t="shared" si="48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9"/>
        <v/>
      </c>
      <c r="GR7" s="14" t="str">
        <f t="shared" si="50"/>
        <v/>
      </c>
      <c r="GS7" s="14" t="str">
        <f t="shared" si="51"/>
        <v/>
      </c>
      <c r="GT7" s="14" t="str">
        <f t="shared" si="52"/>
        <v/>
      </c>
      <c r="GU7" s="14" t="str">
        <f t="shared" si="53"/>
        <v/>
      </c>
      <c r="GV7" s="14" t="str">
        <f t="shared" si="54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55"/>
        <v/>
      </c>
      <c r="HR7" s="55" t="str">
        <f t="shared" si="56"/>
        <v/>
      </c>
      <c r="HS7" s="55" t="str">
        <f t="shared" si="57"/>
        <v/>
      </c>
      <c r="HT7" s="55" t="str">
        <f t="shared" si="58"/>
        <v/>
      </c>
      <c r="HU7" s="55" t="str">
        <f t="shared" si="59"/>
        <v/>
      </c>
      <c r="HV7" s="55" t="str">
        <f t="shared" si="60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61"/>
        <v/>
      </c>
      <c r="IR7" s="14" t="str">
        <f t="shared" si="62"/>
        <v/>
      </c>
      <c r="IS7" s="14" t="str">
        <f t="shared" si="63"/>
        <v/>
      </c>
      <c r="IT7" s="14" t="str">
        <f t="shared" si="64"/>
        <v/>
      </c>
      <c r="IU7" s="14" t="str">
        <f t="shared" si="65"/>
        <v/>
      </c>
      <c r="IV7" s="14" t="str">
        <f t="shared" si="66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67"/>
        <v/>
      </c>
      <c r="JR7" s="55" t="str">
        <f t="shared" si="68"/>
        <v/>
      </c>
      <c r="JS7" s="55" t="str">
        <f t="shared" si="69"/>
        <v/>
      </c>
      <c r="JT7" s="55" t="str">
        <f t="shared" si="70"/>
        <v/>
      </c>
      <c r="JU7" s="55" t="str">
        <f t="shared" si="71"/>
        <v/>
      </c>
      <c r="JV7" s="55" t="str">
        <f t="shared" si="72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73"/>
        <v/>
      </c>
      <c r="KR7" s="14" t="str">
        <f t="shared" si="74"/>
        <v/>
      </c>
      <c r="KS7" s="14" t="str">
        <f t="shared" si="75"/>
        <v/>
      </c>
      <c r="KT7" s="14" t="str">
        <f t="shared" si="76"/>
        <v/>
      </c>
      <c r="KU7" s="14" t="str">
        <f t="shared" si="77"/>
        <v/>
      </c>
      <c r="KV7" s="14" t="str">
        <f t="shared" si="78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79"/>
        <v/>
      </c>
      <c r="LR7" s="55" t="str">
        <f t="shared" si="80"/>
        <v/>
      </c>
      <c r="LS7" s="55" t="str">
        <f t="shared" si="81"/>
        <v/>
      </c>
      <c r="LT7" s="55" t="str">
        <f t="shared" si="82"/>
        <v/>
      </c>
      <c r="LU7" s="55" t="str">
        <f t="shared" si="83"/>
        <v/>
      </c>
      <c r="LV7" s="55" t="str">
        <f t="shared" si="84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85"/>
        <v/>
      </c>
      <c r="MR7" s="14" t="str">
        <f t="shared" si="86"/>
        <v/>
      </c>
      <c r="MS7" s="14" t="str">
        <f t="shared" si="87"/>
        <v/>
      </c>
      <c r="MT7" s="14" t="str">
        <f t="shared" si="88"/>
        <v/>
      </c>
      <c r="MU7" s="14" t="str">
        <f t="shared" si="89"/>
        <v/>
      </c>
      <c r="MV7" s="14" t="str">
        <f t="shared" si="90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91"/>
        <v/>
      </c>
      <c r="NR7" s="55" t="str">
        <f t="shared" si="92"/>
        <v/>
      </c>
      <c r="NS7" s="55" t="str">
        <f t="shared" si="93"/>
        <v/>
      </c>
      <c r="NT7" s="55" t="str">
        <f t="shared" si="94"/>
        <v/>
      </c>
      <c r="NU7" s="55" t="str">
        <f t="shared" si="95"/>
        <v/>
      </c>
      <c r="NV7" s="55" t="str">
        <f t="shared" si="96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97"/>
        <v/>
      </c>
      <c r="OR7" s="14" t="str">
        <f t="shared" si="98"/>
        <v/>
      </c>
      <c r="OS7" s="14" t="str">
        <f t="shared" si="99"/>
        <v/>
      </c>
      <c r="OT7" s="14" t="str">
        <f t="shared" si="100"/>
        <v/>
      </c>
      <c r="OU7" s="14" t="str">
        <f t="shared" si="101"/>
        <v/>
      </c>
      <c r="OV7" s="14" t="str">
        <f t="shared" si="102"/>
        <v/>
      </c>
      <c r="OW7" s="27">
        <f t="shared" si="103"/>
        <v>16.8</v>
      </c>
      <c r="OX7" s="27">
        <f t="shared" si="104"/>
        <v>3.5999999999999996</v>
      </c>
      <c r="OY7" s="27">
        <f t="shared" si="105"/>
        <v>0.3</v>
      </c>
      <c r="OZ7" s="27">
        <f t="shared" si="106"/>
        <v>0</v>
      </c>
      <c r="PA7" s="27">
        <f t="shared" si="107"/>
        <v>18.149999999999999</v>
      </c>
      <c r="PB7" s="27">
        <f t="shared" si="108"/>
        <v>5.8</v>
      </c>
      <c r="PC7" s="27">
        <f t="shared" si="109"/>
        <v>0.5</v>
      </c>
      <c r="PD7" s="27">
        <f t="shared" si="110"/>
        <v>0</v>
      </c>
      <c r="PE7" s="27">
        <f t="shared" si="111"/>
        <v>0</v>
      </c>
      <c r="PF7" s="27">
        <f t="shared" si="112"/>
        <v>0</v>
      </c>
      <c r="PG7" s="27">
        <f t="shared" si="113"/>
        <v>0</v>
      </c>
      <c r="PH7" s="27">
        <f t="shared" si="114"/>
        <v>0</v>
      </c>
      <c r="PI7" s="27">
        <f t="shared" si="115"/>
        <v>17.899999999999999</v>
      </c>
      <c r="PJ7" s="27">
        <f t="shared" si="116"/>
        <v>6.6</v>
      </c>
      <c r="PK7" s="27">
        <f t="shared" si="117"/>
        <v>0.8</v>
      </c>
      <c r="PL7" s="27">
        <f t="shared" si="118"/>
        <v>0</v>
      </c>
      <c r="PM7" s="27">
        <f t="shared" si="119"/>
        <v>17.95</v>
      </c>
      <c r="PN7" s="27">
        <f t="shared" si="120"/>
        <v>5.8</v>
      </c>
      <c r="PO7" s="27">
        <f t="shared" si="121"/>
        <v>0.5</v>
      </c>
      <c r="PP7" s="27">
        <f t="shared" si="122"/>
        <v>0</v>
      </c>
      <c r="PQ7" s="32" t="s">
        <v>44</v>
      </c>
      <c r="PR7" s="55">
        <f t="shared" si="123"/>
        <v>9.3999999999999986</v>
      </c>
      <c r="PS7" s="55">
        <f t="shared" si="124"/>
        <v>43.55</v>
      </c>
      <c r="PT7" s="55" t="str">
        <f t="shared" si="125"/>
        <v/>
      </c>
      <c r="PU7" s="55">
        <f t="shared" si="126"/>
        <v>12.399999999999999</v>
      </c>
      <c r="PV7" s="55">
        <f t="shared" si="127"/>
        <v>46.95</v>
      </c>
      <c r="PW7" s="55">
        <f t="shared" si="128"/>
        <v>90.5</v>
      </c>
    </row>
    <row r="8" spans="1:439" x14ac:dyDescent="0.2">
      <c r="A8" s="4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5" t="s">
        <v>98</v>
      </c>
      <c r="C8" s="4" t="s">
        <v>65</v>
      </c>
      <c r="D8" s="4">
        <v>2009</v>
      </c>
      <c r="E8" s="10">
        <f t="shared" si="0"/>
        <v>134.70001347000462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IF(COUNT(AN8,BO8,CP8)&gt;0,LARGE((AN8,BO8,CP8),1),0)</f>
        <v>46.000000000000007</v>
      </c>
      <c r="J8" s="9" t="str">
        <f t="shared" si="4"/>
        <v>2025 Elite Canada</v>
      </c>
      <c r="K8" s="9">
        <f>IF(COUNT(AN8,BO8,CP8)&gt;1,LARGE((AN8,BO8,CP8),2),0)</f>
        <v>41.000000000000007</v>
      </c>
      <c r="L8" s="9" t="str">
        <f t="shared" si="5"/>
        <v>2025 Nationals</v>
      </c>
      <c r="M8" s="9">
        <f t="shared" si="6"/>
        <v>47.7</v>
      </c>
      <c r="N8" s="9" t="str">
        <f t="shared" si="7"/>
        <v>2025 Nationals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 t="shared" si="11"/>
        <v/>
      </c>
      <c r="AN8" s="55" t="str">
        <f t="shared" si="12"/>
        <v/>
      </c>
      <c r="AO8" s="55" t="str">
        <f t="shared" si="13"/>
        <v/>
      </c>
      <c r="AP8" s="55" t="str">
        <f t="shared" si="14"/>
        <v/>
      </c>
      <c r="AQ8" s="55" t="str">
        <f t="shared" si="15"/>
        <v/>
      </c>
      <c r="AR8" s="55" t="str">
        <f t="shared" si="16"/>
        <v/>
      </c>
      <c r="AS8" s="19">
        <v>18.600000000000001</v>
      </c>
      <c r="AT8" s="19">
        <v>5.2</v>
      </c>
      <c r="AU8" s="19">
        <v>0.8</v>
      </c>
      <c r="AV8" s="19">
        <v>0</v>
      </c>
      <c r="AW8" s="19">
        <v>18.2</v>
      </c>
      <c r="AX8" s="19">
        <v>5.6</v>
      </c>
      <c r="AY8" s="19">
        <v>0.8</v>
      </c>
      <c r="AZ8" s="19">
        <v>0</v>
      </c>
      <c r="BA8" s="19"/>
      <c r="BB8" s="19"/>
      <c r="BC8" s="19"/>
      <c r="BD8" s="19"/>
      <c r="BE8" s="19">
        <v>18.2</v>
      </c>
      <c r="BF8" s="19">
        <v>5.6</v>
      </c>
      <c r="BG8" s="19">
        <v>0.2</v>
      </c>
      <c r="BH8" s="19">
        <v>0</v>
      </c>
      <c r="BI8" s="19">
        <v>18.2</v>
      </c>
      <c r="BJ8" s="19">
        <v>6</v>
      </c>
      <c r="BK8" s="19">
        <v>0.4</v>
      </c>
      <c r="BL8" s="19">
        <v>0</v>
      </c>
      <c r="BM8" s="33"/>
      <c r="BN8" s="14">
        <f t="shared" si="17"/>
        <v>10.8</v>
      </c>
      <c r="BO8" s="14">
        <f t="shared" si="18"/>
        <v>46.000000000000007</v>
      </c>
      <c r="BP8" s="14" t="str">
        <f t="shared" si="19"/>
        <v/>
      </c>
      <c r="BQ8" s="14">
        <f t="shared" si="20"/>
        <v>11.6</v>
      </c>
      <c r="BR8" s="14">
        <f t="shared" si="21"/>
        <v>47.4</v>
      </c>
      <c r="BS8" s="14">
        <f t="shared" si="22"/>
        <v>93.4</v>
      </c>
      <c r="BT8" s="20">
        <v>17.899999999999999</v>
      </c>
      <c r="BU8" s="20">
        <v>5.6</v>
      </c>
      <c r="BV8" s="20">
        <v>0.8</v>
      </c>
      <c r="BW8" s="20">
        <v>0</v>
      </c>
      <c r="BX8" s="20">
        <v>15.1</v>
      </c>
      <c r="BY8" s="20">
        <v>3.2</v>
      </c>
      <c r="BZ8" s="20">
        <v>0</v>
      </c>
      <c r="CA8" s="20">
        <v>0</v>
      </c>
      <c r="CB8" s="20"/>
      <c r="CC8" s="20"/>
      <c r="CD8" s="20"/>
      <c r="CE8" s="20"/>
      <c r="CF8" s="20">
        <v>18</v>
      </c>
      <c r="CG8" s="20">
        <v>6.8</v>
      </c>
      <c r="CH8" s="20">
        <v>1</v>
      </c>
      <c r="CI8" s="20">
        <v>0</v>
      </c>
      <c r="CJ8" s="20">
        <v>17.899999999999999</v>
      </c>
      <c r="CK8" s="20">
        <v>6</v>
      </c>
      <c r="CL8" s="20">
        <v>0</v>
      </c>
      <c r="CM8" s="20">
        <v>0</v>
      </c>
      <c r="CN8" s="32"/>
      <c r="CO8" s="55">
        <f t="shared" si="23"/>
        <v>8.8000000000000007</v>
      </c>
      <c r="CP8" s="55">
        <f t="shared" si="24"/>
        <v>41.000000000000007</v>
      </c>
      <c r="CQ8" s="55" t="str">
        <f t="shared" si="25"/>
        <v/>
      </c>
      <c r="CR8" s="55">
        <f t="shared" si="26"/>
        <v>12.8</v>
      </c>
      <c r="CS8" s="55">
        <f t="shared" si="27"/>
        <v>47.7</v>
      </c>
      <c r="CT8" s="55">
        <f t="shared" si="28"/>
        <v>88.700000000000017</v>
      </c>
      <c r="CU8" s="56" t="str">
        <f t="shared" si="29"/>
        <v/>
      </c>
      <c r="CV8" s="56" t="str">
        <f t="shared" si="30"/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 t="shared" si="31"/>
        <v/>
      </c>
      <c r="DR8" s="55" t="str">
        <f t="shared" si="32"/>
        <v/>
      </c>
      <c r="DS8" s="55" t="str">
        <f t="shared" si="33"/>
        <v/>
      </c>
      <c r="DT8" s="55" t="str">
        <f t="shared" si="34"/>
        <v/>
      </c>
      <c r="DU8" s="55" t="str">
        <f t="shared" si="35"/>
        <v/>
      </c>
      <c r="DV8" s="55" t="str">
        <f t="shared" si="36"/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 t="shared" si="37"/>
        <v/>
      </c>
      <c r="ER8" s="14" t="str">
        <f t="shared" si="38"/>
        <v/>
      </c>
      <c r="ES8" s="14" t="str">
        <f t="shared" si="39"/>
        <v/>
      </c>
      <c r="ET8" s="14" t="str">
        <f t="shared" si="40"/>
        <v/>
      </c>
      <c r="EU8" s="14" t="str">
        <f t="shared" si="41"/>
        <v/>
      </c>
      <c r="EV8" s="14" t="str">
        <f t="shared" si="42"/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 t="shared" si="43"/>
        <v/>
      </c>
      <c r="FR8" s="55" t="str">
        <f t="shared" si="44"/>
        <v/>
      </c>
      <c r="FS8" s="55" t="str">
        <f t="shared" si="45"/>
        <v/>
      </c>
      <c r="FT8" s="55" t="str">
        <f t="shared" si="46"/>
        <v/>
      </c>
      <c r="FU8" s="55" t="str">
        <f t="shared" si="47"/>
        <v/>
      </c>
      <c r="FV8" s="55" t="str">
        <f t="shared" si="48"/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9"/>
        <v/>
      </c>
      <c r="GR8" s="14" t="str">
        <f t="shared" si="50"/>
        <v/>
      </c>
      <c r="GS8" s="14" t="str">
        <f t="shared" si="51"/>
        <v/>
      </c>
      <c r="GT8" s="14" t="str">
        <f t="shared" si="52"/>
        <v/>
      </c>
      <c r="GU8" s="14" t="str">
        <f t="shared" si="53"/>
        <v/>
      </c>
      <c r="GV8" s="14" t="str">
        <f t="shared" si="54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55"/>
        <v/>
      </c>
      <c r="HR8" s="55" t="str">
        <f t="shared" si="56"/>
        <v/>
      </c>
      <c r="HS8" s="55" t="str">
        <f t="shared" si="57"/>
        <v/>
      </c>
      <c r="HT8" s="55" t="str">
        <f t="shared" si="58"/>
        <v/>
      </c>
      <c r="HU8" s="55" t="str">
        <f t="shared" si="59"/>
        <v/>
      </c>
      <c r="HV8" s="55" t="str">
        <f t="shared" si="60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61"/>
        <v/>
      </c>
      <c r="IR8" s="14" t="str">
        <f t="shared" si="62"/>
        <v/>
      </c>
      <c r="IS8" s="14" t="str">
        <f t="shared" si="63"/>
        <v/>
      </c>
      <c r="IT8" s="14" t="str">
        <f t="shared" si="64"/>
        <v/>
      </c>
      <c r="IU8" s="14" t="str">
        <f t="shared" si="65"/>
        <v/>
      </c>
      <c r="IV8" s="14" t="str">
        <f t="shared" si="66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67"/>
        <v/>
      </c>
      <c r="JR8" s="55" t="str">
        <f t="shared" si="68"/>
        <v/>
      </c>
      <c r="JS8" s="55" t="str">
        <f t="shared" si="69"/>
        <v/>
      </c>
      <c r="JT8" s="55" t="str">
        <f t="shared" si="70"/>
        <v/>
      </c>
      <c r="JU8" s="55" t="str">
        <f t="shared" si="71"/>
        <v/>
      </c>
      <c r="JV8" s="55" t="str">
        <f t="shared" si="72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73"/>
        <v/>
      </c>
      <c r="KR8" s="14" t="str">
        <f t="shared" si="74"/>
        <v/>
      </c>
      <c r="KS8" s="14" t="str">
        <f t="shared" si="75"/>
        <v/>
      </c>
      <c r="KT8" s="14" t="str">
        <f t="shared" si="76"/>
        <v/>
      </c>
      <c r="KU8" s="14" t="str">
        <f t="shared" si="77"/>
        <v/>
      </c>
      <c r="KV8" s="14" t="str">
        <f t="shared" si="78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79"/>
        <v/>
      </c>
      <c r="LR8" s="55" t="str">
        <f t="shared" si="80"/>
        <v/>
      </c>
      <c r="LS8" s="55" t="str">
        <f t="shared" si="81"/>
        <v/>
      </c>
      <c r="LT8" s="55" t="str">
        <f t="shared" si="82"/>
        <v/>
      </c>
      <c r="LU8" s="55" t="str">
        <f t="shared" si="83"/>
        <v/>
      </c>
      <c r="LV8" s="55" t="str">
        <f t="shared" si="84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85"/>
        <v/>
      </c>
      <c r="MR8" s="14" t="str">
        <f t="shared" si="86"/>
        <v/>
      </c>
      <c r="MS8" s="14" t="str">
        <f t="shared" si="87"/>
        <v/>
      </c>
      <c r="MT8" s="14" t="str">
        <f t="shared" si="88"/>
        <v/>
      </c>
      <c r="MU8" s="14" t="str">
        <f t="shared" si="89"/>
        <v/>
      </c>
      <c r="MV8" s="14" t="str">
        <f t="shared" si="90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91"/>
        <v/>
      </c>
      <c r="NR8" s="55" t="str">
        <f t="shared" si="92"/>
        <v/>
      </c>
      <c r="NS8" s="55" t="str">
        <f t="shared" si="93"/>
        <v/>
      </c>
      <c r="NT8" s="55" t="str">
        <f t="shared" si="94"/>
        <v/>
      </c>
      <c r="NU8" s="55" t="str">
        <f t="shared" si="95"/>
        <v/>
      </c>
      <c r="NV8" s="55" t="str">
        <f t="shared" si="96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97"/>
        <v/>
      </c>
      <c r="OR8" s="14" t="str">
        <f t="shared" si="98"/>
        <v/>
      </c>
      <c r="OS8" s="14" t="str">
        <f t="shared" si="99"/>
        <v/>
      </c>
      <c r="OT8" s="14" t="str">
        <f t="shared" si="100"/>
        <v/>
      </c>
      <c r="OU8" s="14" t="str">
        <f t="shared" si="101"/>
        <v/>
      </c>
      <c r="OV8" s="14" t="str">
        <f t="shared" si="102"/>
        <v/>
      </c>
      <c r="OW8" s="27">
        <f t="shared" si="103"/>
        <v>18.25</v>
      </c>
      <c r="OX8" s="27">
        <f t="shared" si="104"/>
        <v>5.4</v>
      </c>
      <c r="OY8" s="27">
        <f t="shared" si="105"/>
        <v>0.8</v>
      </c>
      <c r="OZ8" s="27">
        <f t="shared" si="106"/>
        <v>0</v>
      </c>
      <c r="PA8" s="27">
        <f t="shared" si="107"/>
        <v>16.649999999999999</v>
      </c>
      <c r="PB8" s="27">
        <f t="shared" si="108"/>
        <v>4.4000000000000004</v>
      </c>
      <c r="PC8" s="27">
        <f t="shared" si="109"/>
        <v>0.4</v>
      </c>
      <c r="PD8" s="27">
        <f t="shared" si="110"/>
        <v>0</v>
      </c>
      <c r="PE8" s="27">
        <f t="shared" si="111"/>
        <v>0</v>
      </c>
      <c r="PF8" s="27">
        <f t="shared" si="112"/>
        <v>0</v>
      </c>
      <c r="PG8" s="27">
        <f t="shared" si="113"/>
        <v>0</v>
      </c>
      <c r="PH8" s="27">
        <f t="shared" si="114"/>
        <v>0</v>
      </c>
      <c r="PI8" s="27">
        <f t="shared" si="115"/>
        <v>18.100000000000001</v>
      </c>
      <c r="PJ8" s="27">
        <f t="shared" si="116"/>
        <v>6.1999999999999993</v>
      </c>
      <c r="PK8" s="27">
        <f t="shared" si="117"/>
        <v>0.6</v>
      </c>
      <c r="PL8" s="27">
        <f t="shared" si="118"/>
        <v>0</v>
      </c>
      <c r="PM8" s="27">
        <f t="shared" si="119"/>
        <v>18.049999999999997</v>
      </c>
      <c r="PN8" s="27">
        <f t="shared" si="120"/>
        <v>6</v>
      </c>
      <c r="PO8" s="27">
        <f t="shared" si="121"/>
        <v>0.2</v>
      </c>
      <c r="PP8" s="27">
        <f t="shared" si="122"/>
        <v>0</v>
      </c>
      <c r="PQ8" s="32" t="s">
        <v>44</v>
      </c>
      <c r="PR8" s="55">
        <f t="shared" si="123"/>
        <v>9.8000000000000007</v>
      </c>
      <c r="PS8" s="55">
        <f t="shared" si="124"/>
        <v>43.5</v>
      </c>
      <c r="PT8" s="55" t="str">
        <f t="shared" si="125"/>
        <v/>
      </c>
      <c r="PU8" s="55">
        <f t="shared" si="126"/>
        <v>12.2</v>
      </c>
      <c r="PV8" s="55">
        <f t="shared" si="127"/>
        <v>47.55</v>
      </c>
      <c r="PW8" s="55">
        <f t="shared" si="128"/>
        <v>91.05</v>
      </c>
    </row>
    <row r="9" spans="1:439" x14ac:dyDescent="0.2">
      <c r="A9" s="4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5" t="s">
        <v>89</v>
      </c>
      <c r="C9" s="4" t="s">
        <v>90</v>
      </c>
      <c r="D9" s="4">
        <v>2009</v>
      </c>
      <c r="E9" s="10">
        <f t="shared" si="0"/>
        <v>104.90001049000415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IF(COUNT(AN9,BO9,CP9)&gt;0,LARGE((AN9,BO9,CP9),1),0)</f>
        <v>41.699999999999996</v>
      </c>
      <c r="J9" s="9" t="str">
        <f t="shared" si="4"/>
        <v>2025 Nationals</v>
      </c>
      <c r="K9" s="9">
        <f>IF(COUNT(AN9,BO9,CP9)&gt;1,LARGE((AN9,BO9,CP9),2),0)</f>
        <v>22.9</v>
      </c>
      <c r="L9" s="9" t="str">
        <f t="shared" si="5"/>
        <v>2025 Elite Canada</v>
      </c>
      <c r="M9" s="9">
        <f t="shared" si="6"/>
        <v>40.299999999999997</v>
      </c>
      <c r="N9" s="9" t="str">
        <f t="shared" si="7"/>
        <v>2025 Nationals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 t="shared" si="11"/>
        <v/>
      </c>
      <c r="AN9" s="55" t="str">
        <f t="shared" si="12"/>
        <v/>
      </c>
      <c r="AO9" s="55" t="str">
        <f t="shared" si="13"/>
        <v/>
      </c>
      <c r="AP9" s="55" t="str">
        <f t="shared" si="14"/>
        <v/>
      </c>
      <c r="AQ9" s="55" t="str">
        <f t="shared" si="15"/>
        <v/>
      </c>
      <c r="AR9" s="55" t="str">
        <f t="shared" si="16"/>
        <v/>
      </c>
      <c r="AS9" s="19">
        <v>0</v>
      </c>
      <c r="AT9" s="19">
        <v>0</v>
      </c>
      <c r="AU9" s="19">
        <v>0</v>
      </c>
      <c r="AV9" s="19">
        <v>0</v>
      </c>
      <c r="AW9" s="19">
        <v>16.5</v>
      </c>
      <c r="AX9" s="19">
        <v>6.4</v>
      </c>
      <c r="AY9" s="19">
        <v>0</v>
      </c>
      <c r="AZ9" s="19">
        <v>0</v>
      </c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33"/>
      <c r="BN9" s="14">
        <f t="shared" si="17"/>
        <v>6.4</v>
      </c>
      <c r="BO9" s="14">
        <f t="shared" si="18"/>
        <v>22.9</v>
      </c>
      <c r="BP9" s="14" t="str">
        <f t="shared" si="19"/>
        <v/>
      </c>
      <c r="BQ9" s="14" t="str">
        <f t="shared" si="20"/>
        <v/>
      </c>
      <c r="BR9" s="14" t="str">
        <f t="shared" si="21"/>
        <v/>
      </c>
      <c r="BS9" s="14">
        <f t="shared" si="22"/>
        <v>22.9</v>
      </c>
      <c r="BT9" s="20">
        <v>15.3</v>
      </c>
      <c r="BU9" s="20">
        <v>2.4</v>
      </c>
      <c r="BV9" s="20">
        <v>0</v>
      </c>
      <c r="BW9" s="20">
        <v>0</v>
      </c>
      <c r="BX9" s="20">
        <v>18.399999999999999</v>
      </c>
      <c r="BY9" s="20">
        <v>6.4</v>
      </c>
      <c r="BZ9" s="20">
        <v>0.8</v>
      </c>
      <c r="CA9" s="20">
        <v>0</v>
      </c>
      <c r="CB9" s="20"/>
      <c r="CC9" s="20"/>
      <c r="CD9" s="20"/>
      <c r="CE9" s="20"/>
      <c r="CF9" s="20">
        <v>18.100000000000001</v>
      </c>
      <c r="CG9" s="20">
        <v>5.2</v>
      </c>
      <c r="CH9" s="20">
        <v>0.8</v>
      </c>
      <c r="CI9" s="20">
        <v>0</v>
      </c>
      <c r="CJ9" s="20">
        <v>15.2</v>
      </c>
      <c r="CK9" s="20">
        <v>2.8</v>
      </c>
      <c r="CL9" s="20">
        <v>0.2</v>
      </c>
      <c r="CM9" s="20">
        <v>0</v>
      </c>
      <c r="CN9" s="32"/>
      <c r="CO9" s="55">
        <f t="shared" si="23"/>
        <v>8.8000000000000007</v>
      </c>
      <c r="CP9" s="55">
        <f t="shared" si="24"/>
        <v>41.699999999999996</v>
      </c>
      <c r="CQ9" s="55" t="str">
        <f t="shared" si="25"/>
        <v/>
      </c>
      <c r="CR9" s="55">
        <f t="shared" si="26"/>
        <v>8</v>
      </c>
      <c r="CS9" s="55">
        <f t="shared" si="27"/>
        <v>40.299999999999997</v>
      </c>
      <c r="CT9" s="55">
        <f t="shared" si="28"/>
        <v>82</v>
      </c>
      <c r="CU9" s="56" t="str">
        <f t="shared" si="29"/>
        <v/>
      </c>
      <c r="CV9" s="56" t="str">
        <f t="shared" si="30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31"/>
        <v/>
      </c>
      <c r="DR9" s="55" t="str">
        <f t="shared" si="32"/>
        <v/>
      </c>
      <c r="DS9" s="55" t="str">
        <f t="shared" si="33"/>
        <v/>
      </c>
      <c r="DT9" s="55" t="str">
        <f t="shared" si="34"/>
        <v/>
      </c>
      <c r="DU9" s="55" t="str">
        <f t="shared" si="35"/>
        <v/>
      </c>
      <c r="DV9" s="55" t="str">
        <f t="shared" si="36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7"/>
        <v/>
      </c>
      <c r="ER9" s="14" t="str">
        <f t="shared" si="38"/>
        <v/>
      </c>
      <c r="ES9" s="14" t="str">
        <f t="shared" si="39"/>
        <v/>
      </c>
      <c r="ET9" s="14" t="str">
        <f t="shared" si="40"/>
        <v/>
      </c>
      <c r="EU9" s="14" t="str">
        <f t="shared" si="41"/>
        <v/>
      </c>
      <c r="EV9" s="14" t="str">
        <f t="shared" si="42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43"/>
        <v/>
      </c>
      <c r="FR9" s="55" t="str">
        <f t="shared" si="44"/>
        <v/>
      </c>
      <c r="FS9" s="55" t="str">
        <f t="shared" si="45"/>
        <v/>
      </c>
      <c r="FT9" s="55" t="str">
        <f t="shared" si="46"/>
        <v/>
      </c>
      <c r="FU9" s="55" t="str">
        <f t="shared" si="47"/>
        <v/>
      </c>
      <c r="FV9" s="55" t="str">
        <f t="shared" si="48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9"/>
        <v/>
      </c>
      <c r="GR9" s="14" t="str">
        <f t="shared" si="50"/>
        <v/>
      </c>
      <c r="GS9" s="14" t="str">
        <f t="shared" si="51"/>
        <v/>
      </c>
      <c r="GT9" s="14" t="str">
        <f t="shared" si="52"/>
        <v/>
      </c>
      <c r="GU9" s="14" t="str">
        <f t="shared" si="53"/>
        <v/>
      </c>
      <c r="GV9" s="14" t="str">
        <f t="shared" si="54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55"/>
        <v/>
      </c>
      <c r="HR9" s="55" t="str">
        <f t="shared" si="56"/>
        <v/>
      </c>
      <c r="HS9" s="55" t="str">
        <f t="shared" si="57"/>
        <v/>
      </c>
      <c r="HT9" s="55" t="str">
        <f t="shared" si="58"/>
        <v/>
      </c>
      <c r="HU9" s="55" t="str">
        <f t="shared" si="59"/>
        <v/>
      </c>
      <c r="HV9" s="55" t="str">
        <f t="shared" si="60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61"/>
        <v/>
      </c>
      <c r="IR9" s="14" t="str">
        <f t="shared" si="62"/>
        <v/>
      </c>
      <c r="IS9" s="14" t="str">
        <f t="shared" si="63"/>
        <v/>
      </c>
      <c r="IT9" s="14" t="str">
        <f t="shared" si="64"/>
        <v/>
      </c>
      <c r="IU9" s="14" t="str">
        <f t="shared" si="65"/>
        <v/>
      </c>
      <c r="IV9" s="14" t="str">
        <f t="shared" si="66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67"/>
        <v/>
      </c>
      <c r="JR9" s="55" t="str">
        <f t="shared" si="68"/>
        <v/>
      </c>
      <c r="JS9" s="55" t="str">
        <f t="shared" si="69"/>
        <v/>
      </c>
      <c r="JT9" s="55" t="str">
        <f t="shared" si="70"/>
        <v/>
      </c>
      <c r="JU9" s="55" t="str">
        <f t="shared" si="71"/>
        <v/>
      </c>
      <c r="JV9" s="55" t="str">
        <f t="shared" si="72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73"/>
        <v/>
      </c>
      <c r="KR9" s="14" t="str">
        <f t="shared" si="74"/>
        <v/>
      </c>
      <c r="KS9" s="14" t="str">
        <f t="shared" si="75"/>
        <v/>
      </c>
      <c r="KT9" s="14" t="str">
        <f t="shared" si="76"/>
        <v/>
      </c>
      <c r="KU9" s="14" t="str">
        <f t="shared" si="77"/>
        <v/>
      </c>
      <c r="KV9" s="14" t="str">
        <f t="shared" si="78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79"/>
        <v/>
      </c>
      <c r="LR9" s="55" t="str">
        <f t="shared" si="80"/>
        <v/>
      </c>
      <c r="LS9" s="55" t="str">
        <f t="shared" si="81"/>
        <v/>
      </c>
      <c r="LT9" s="55" t="str">
        <f t="shared" si="82"/>
        <v/>
      </c>
      <c r="LU9" s="55" t="str">
        <f t="shared" si="83"/>
        <v/>
      </c>
      <c r="LV9" s="55" t="str">
        <f t="shared" si="84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85"/>
        <v/>
      </c>
      <c r="MR9" s="14" t="str">
        <f t="shared" si="86"/>
        <v/>
      </c>
      <c r="MS9" s="14" t="str">
        <f t="shared" si="87"/>
        <v/>
      </c>
      <c r="MT9" s="14" t="str">
        <f t="shared" si="88"/>
        <v/>
      </c>
      <c r="MU9" s="14" t="str">
        <f t="shared" si="89"/>
        <v/>
      </c>
      <c r="MV9" s="14" t="str">
        <f t="shared" si="90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91"/>
        <v/>
      </c>
      <c r="NR9" s="55" t="str">
        <f t="shared" si="92"/>
        <v/>
      </c>
      <c r="NS9" s="55" t="str">
        <f t="shared" si="93"/>
        <v/>
      </c>
      <c r="NT9" s="55" t="str">
        <f t="shared" si="94"/>
        <v/>
      </c>
      <c r="NU9" s="55" t="str">
        <f t="shared" si="95"/>
        <v/>
      </c>
      <c r="NV9" s="55" t="str">
        <f t="shared" si="96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97"/>
        <v/>
      </c>
      <c r="OR9" s="14" t="str">
        <f t="shared" si="98"/>
        <v/>
      </c>
      <c r="OS9" s="14" t="str">
        <f t="shared" si="99"/>
        <v/>
      </c>
      <c r="OT9" s="14" t="str">
        <f t="shared" si="100"/>
        <v/>
      </c>
      <c r="OU9" s="14" t="str">
        <f t="shared" si="101"/>
        <v/>
      </c>
      <c r="OV9" s="14" t="str">
        <f t="shared" si="102"/>
        <v/>
      </c>
      <c r="OW9" s="27">
        <f t="shared" si="103"/>
        <v>7.65</v>
      </c>
      <c r="OX9" s="27">
        <f t="shared" si="104"/>
        <v>1.2</v>
      </c>
      <c r="OY9" s="27">
        <f t="shared" si="105"/>
        <v>0</v>
      </c>
      <c r="OZ9" s="27">
        <f t="shared" si="106"/>
        <v>0</v>
      </c>
      <c r="PA9" s="27">
        <f t="shared" si="107"/>
        <v>17.45</v>
      </c>
      <c r="PB9" s="27">
        <f t="shared" si="108"/>
        <v>6.4</v>
      </c>
      <c r="PC9" s="27">
        <f t="shared" si="109"/>
        <v>0.4</v>
      </c>
      <c r="PD9" s="27">
        <f t="shared" si="110"/>
        <v>0</v>
      </c>
      <c r="PE9" s="27">
        <f t="shared" si="111"/>
        <v>0</v>
      </c>
      <c r="PF9" s="27">
        <f t="shared" si="112"/>
        <v>0</v>
      </c>
      <c r="PG9" s="27">
        <f t="shared" si="113"/>
        <v>0</v>
      </c>
      <c r="PH9" s="27">
        <f t="shared" si="114"/>
        <v>0</v>
      </c>
      <c r="PI9" s="27">
        <f t="shared" si="115"/>
        <v>9.0500000000000007</v>
      </c>
      <c r="PJ9" s="27">
        <f t="shared" si="116"/>
        <v>2.6</v>
      </c>
      <c r="PK9" s="27">
        <f t="shared" si="117"/>
        <v>0.4</v>
      </c>
      <c r="PL9" s="27">
        <f t="shared" si="118"/>
        <v>0</v>
      </c>
      <c r="PM9" s="27">
        <f t="shared" si="119"/>
        <v>7.6</v>
      </c>
      <c r="PN9" s="27">
        <f t="shared" si="120"/>
        <v>1.4</v>
      </c>
      <c r="PO9" s="27">
        <f t="shared" si="121"/>
        <v>0.1</v>
      </c>
      <c r="PP9" s="27">
        <f t="shared" si="122"/>
        <v>0</v>
      </c>
      <c r="PQ9" s="32" t="s">
        <v>44</v>
      </c>
      <c r="PR9" s="55">
        <f t="shared" si="123"/>
        <v>7.6000000000000005</v>
      </c>
      <c r="PS9" s="55">
        <f t="shared" si="124"/>
        <v>32.299999999999997</v>
      </c>
      <c r="PT9" s="55" t="str">
        <f t="shared" si="125"/>
        <v/>
      </c>
      <c r="PU9" s="55">
        <f t="shared" si="126"/>
        <v>4</v>
      </c>
      <c r="PV9" s="55">
        <f t="shared" si="127"/>
        <v>20.149999999999999</v>
      </c>
      <c r="PW9" s="55">
        <f t="shared" si="128"/>
        <v>52.449999999999996</v>
      </c>
    </row>
    <row r="10" spans="1:439" x14ac:dyDescent="0.2">
      <c r="A10" s="4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5" t="s">
        <v>107</v>
      </c>
      <c r="C10" s="4" t="s">
        <v>109</v>
      </c>
      <c r="D10" s="4">
        <v>2010</v>
      </c>
      <c r="E10" s="10">
        <f t="shared" si="0"/>
        <v>96.700009670004832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>IF(COUNT(AN10,BO10,CP10)&gt;0,LARGE((AN10,BO10,CP10),1),0)</f>
        <v>48.499999999999993</v>
      </c>
      <c r="J10" s="9" t="str">
        <f t="shared" si="4"/>
        <v>2025 Nationals</v>
      </c>
      <c r="K10" s="9">
        <f>IF(COUNT(AN10,BO10,CP10)&gt;1,LARGE((AN10,BO10,CP10),2),0)</f>
        <v>0</v>
      </c>
      <c r="L10" s="9" t="str">
        <f t="shared" si="5"/>
        <v/>
      </c>
      <c r="M10" s="9">
        <f t="shared" si="6"/>
        <v>48.2</v>
      </c>
      <c r="N10" s="9" t="str">
        <f t="shared" si="7"/>
        <v>2025 Nationals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 t="shared" si="11"/>
        <v/>
      </c>
      <c r="AN10" s="55" t="str">
        <f t="shared" si="12"/>
        <v/>
      </c>
      <c r="AO10" s="55" t="str">
        <f t="shared" si="13"/>
        <v/>
      </c>
      <c r="AP10" s="55" t="str">
        <f t="shared" si="14"/>
        <v/>
      </c>
      <c r="AQ10" s="55" t="str">
        <f t="shared" si="15"/>
        <v/>
      </c>
      <c r="AR10" s="55" t="str">
        <f t="shared" si="16"/>
        <v/>
      </c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33"/>
      <c r="BN10" s="14" t="str">
        <f t="shared" si="17"/>
        <v/>
      </c>
      <c r="BO10" s="14" t="str">
        <f t="shared" si="18"/>
        <v/>
      </c>
      <c r="BP10" s="14" t="str">
        <f t="shared" si="19"/>
        <v/>
      </c>
      <c r="BQ10" s="14" t="str">
        <f t="shared" si="20"/>
        <v/>
      </c>
      <c r="BR10" s="14" t="str">
        <f t="shared" si="21"/>
        <v/>
      </c>
      <c r="BS10" s="14" t="str">
        <f t="shared" si="22"/>
        <v/>
      </c>
      <c r="BT10" s="20">
        <v>18.600000000000001</v>
      </c>
      <c r="BU10" s="20">
        <v>6</v>
      </c>
      <c r="BV10" s="20">
        <v>0.2</v>
      </c>
      <c r="BW10" s="20">
        <v>0</v>
      </c>
      <c r="BX10" s="20">
        <v>18.7</v>
      </c>
      <c r="BY10" s="20">
        <v>6</v>
      </c>
      <c r="BZ10" s="20">
        <v>0.6</v>
      </c>
      <c r="CA10" s="20">
        <v>0</v>
      </c>
      <c r="CB10" s="20"/>
      <c r="CC10" s="20"/>
      <c r="CD10" s="20"/>
      <c r="CE10" s="20"/>
      <c r="CF10" s="20">
        <v>18.8</v>
      </c>
      <c r="CG10" s="20">
        <v>6</v>
      </c>
      <c r="CH10" s="20">
        <v>0.6</v>
      </c>
      <c r="CI10" s="20">
        <v>0</v>
      </c>
      <c r="CJ10" s="20">
        <v>18.600000000000001</v>
      </c>
      <c r="CK10" s="20">
        <v>6</v>
      </c>
      <c r="CL10" s="20">
        <v>0.6</v>
      </c>
      <c r="CM10" s="20">
        <v>0</v>
      </c>
      <c r="CN10" s="32"/>
      <c r="CO10" s="55">
        <f t="shared" si="23"/>
        <v>12</v>
      </c>
      <c r="CP10" s="55">
        <f t="shared" si="24"/>
        <v>48.499999999999993</v>
      </c>
      <c r="CQ10" s="55" t="str">
        <f t="shared" si="25"/>
        <v/>
      </c>
      <c r="CR10" s="55">
        <f t="shared" si="26"/>
        <v>12</v>
      </c>
      <c r="CS10" s="55">
        <f t="shared" si="27"/>
        <v>48.2</v>
      </c>
      <c r="CT10" s="55">
        <f t="shared" si="28"/>
        <v>96.699999999999989</v>
      </c>
      <c r="CU10" s="56" t="str">
        <f t="shared" si="29"/>
        <v/>
      </c>
      <c r="CV10" s="56" t="str">
        <f t="shared" si="30"/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 t="shared" si="31"/>
        <v/>
      </c>
      <c r="DR10" s="55" t="str">
        <f t="shared" si="32"/>
        <v/>
      </c>
      <c r="DS10" s="55" t="str">
        <f t="shared" si="33"/>
        <v/>
      </c>
      <c r="DT10" s="55" t="str">
        <f t="shared" si="34"/>
        <v/>
      </c>
      <c r="DU10" s="55" t="str">
        <f t="shared" si="35"/>
        <v/>
      </c>
      <c r="DV10" s="55" t="str">
        <f t="shared" si="36"/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 t="shared" si="37"/>
        <v/>
      </c>
      <c r="ER10" s="14" t="str">
        <f t="shared" si="38"/>
        <v/>
      </c>
      <c r="ES10" s="14" t="str">
        <f t="shared" si="39"/>
        <v/>
      </c>
      <c r="ET10" s="14" t="str">
        <f t="shared" si="40"/>
        <v/>
      </c>
      <c r="EU10" s="14" t="str">
        <f t="shared" si="41"/>
        <v/>
      </c>
      <c r="EV10" s="14" t="str">
        <f t="shared" si="42"/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 t="shared" si="43"/>
        <v/>
      </c>
      <c r="FR10" s="55" t="str">
        <f t="shared" si="44"/>
        <v/>
      </c>
      <c r="FS10" s="55" t="str">
        <f t="shared" si="45"/>
        <v/>
      </c>
      <c r="FT10" s="55" t="str">
        <f t="shared" si="46"/>
        <v/>
      </c>
      <c r="FU10" s="55" t="str">
        <f t="shared" si="47"/>
        <v/>
      </c>
      <c r="FV10" s="55" t="str">
        <f t="shared" si="48"/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 t="shared" si="49"/>
        <v/>
      </c>
      <c r="GR10" s="14" t="str">
        <f t="shared" si="50"/>
        <v/>
      </c>
      <c r="GS10" s="14" t="str">
        <f t="shared" si="51"/>
        <v/>
      </c>
      <c r="GT10" s="14" t="str">
        <f t="shared" si="52"/>
        <v/>
      </c>
      <c r="GU10" s="14" t="str">
        <f t="shared" si="53"/>
        <v/>
      </c>
      <c r="GV10" s="14" t="str">
        <f t="shared" si="54"/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 t="shared" si="55"/>
        <v/>
      </c>
      <c r="HR10" s="55" t="str">
        <f t="shared" si="56"/>
        <v/>
      </c>
      <c r="HS10" s="55" t="str">
        <f t="shared" si="57"/>
        <v/>
      </c>
      <c r="HT10" s="55" t="str">
        <f t="shared" si="58"/>
        <v/>
      </c>
      <c r="HU10" s="55" t="str">
        <f t="shared" si="59"/>
        <v/>
      </c>
      <c r="HV10" s="55" t="str">
        <f t="shared" si="60"/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 t="shared" si="61"/>
        <v/>
      </c>
      <c r="IR10" s="14" t="str">
        <f t="shared" si="62"/>
        <v/>
      </c>
      <c r="IS10" s="14" t="str">
        <f t="shared" si="63"/>
        <v/>
      </c>
      <c r="IT10" s="14" t="str">
        <f t="shared" si="64"/>
        <v/>
      </c>
      <c r="IU10" s="14" t="str">
        <f t="shared" si="65"/>
        <v/>
      </c>
      <c r="IV10" s="14" t="str">
        <f t="shared" si="66"/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 t="shared" si="67"/>
        <v/>
      </c>
      <c r="JR10" s="55" t="str">
        <f t="shared" si="68"/>
        <v/>
      </c>
      <c r="JS10" s="55" t="str">
        <f t="shared" si="69"/>
        <v/>
      </c>
      <c r="JT10" s="55" t="str">
        <f t="shared" si="70"/>
        <v/>
      </c>
      <c r="JU10" s="55" t="str">
        <f t="shared" si="71"/>
        <v/>
      </c>
      <c r="JV10" s="55" t="str">
        <f t="shared" si="72"/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 t="shared" si="73"/>
        <v/>
      </c>
      <c r="KR10" s="14" t="str">
        <f t="shared" si="74"/>
        <v/>
      </c>
      <c r="KS10" s="14" t="str">
        <f t="shared" si="75"/>
        <v/>
      </c>
      <c r="KT10" s="14" t="str">
        <f t="shared" si="76"/>
        <v/>
      </c>
      <c r="KU10" s="14" t="str">
        <f t="shared" si="77"/>
        <v/>
      </c>
      <c r="KV10" s="14" t="str">
        <f t="shared" si="78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 t="shared" si="79"/>
        <v/>
      </c>
      <c r="LR10" s="55" t="str">
        <f t="shared" si="80"/>
        <v/>
      </c>
      <c r="LS10" s="55" t="str">
        <f t="shared" si="81"/>
        <v/>
      </c>
      <c r="LT10" s="55" t="str">
        <f t="shared" si="82"/>
        <v/>
      </c>
      <c r="LU10" s="55" t="str">
        <f t="shared" si="83"/>
        <v/>
      </c>
      <c r="LV10" s="55" t="str">
        <f t="shared" si="84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 t="shared" si="85"/>
        <v/>
      </c>
      <c r="MR10" s="14" t="str">
        <f t="shared" si="86"/>
        <v/>
      </c>
      <c r="MS10" s="14" t="str">
        <f t="shared" si="87"/>
        <v/>
      </c>
      <c r="MT10" s="14" t="str">
        <f t="shared" si="88"/>
        <v/>
      </c>
      <c r="MU10" s="14" t="str">
        <f t="shared" si="89"/>
        <v/>
      </c>
      <c r="MV10" s="14" t="str">
        <f t="shared" si="90"/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 t="shared" si="91"/>
        <v/>
      </c>
      <c r="NR10" s="55" t="str">
        <f t="shared" si="92"/>
        <v/>
      </c>
      <c r="NS10" s="55" t="str">
        <f t="shared" si="93"/>
        <v/>
      </c>
      <c r="NT10" s="55" t="str">
        <f t="shared" si="94"/>
        <v/>
      </c>
      <c r="NU10" s="55" t="str">
        <f t="shared" si="95"/>
        <v/>
      </c>
      <c r="NV10" s="55" t="str">
        <f t="shared" si="96"/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 t="shared" si="97"/>
        <v/>
      </c>
      <c r="OR10" s="14" t="str">
        <f t="shared" si="98"/>
        <v/>
      </c>
      <c r="OS10" s="14" t="str">
        <f t="shared" si="99"/>
        <v/>
      </c>
      <c r="OT10" s="14" t="str">
        <f t="shared" si="100"/>
        <v/>
      </c>
      <c r="OU10" s="14" t="str">
        <f t="shared" si="101"/>
        <v/>
      </c>
      <c r="OV10" s="14" t="str">
        <f t="shared" si="102"/>
        <v/>
      </c>
      <c r="OW10" s="27">
        <f t="shared" si="103"/>
        <v>9.3000000000000007</v>
      </c>
      <c r="OX10" s="27">
        <f t="shared" si="104"/>
        <v>3</v>
      </c>
      <c r="OY10" s="27">
        <f t="shared" si="105"/>
        <v>0.1</v>
      </c>
      <c r="OZ10" s="27">
        <f t="shared" si="106"/>
        <v>0</v>
      </c>
      <c r="PA10" s="27">
        <f t="shared" si="107"/>
        <v>9.35</v>
      </c>
      <c r="PB10" s="27">
        <f t="shared" si="108"/>
        <v>3</v>
      </c>
      <c r="PC10" s="27">
        <f t="shared" si="109"/>
        <v>0.3</v>
      </c>
      <c r="PD10" s="27">
        <f t="shared" si="110"/>
        <v>0</v>
      </c>
      <c r="PE10" s="27">
        <f t="shared" si="111"/>
        <v>0</v>
      </c>
      <c r="PF10" s="27">
        <f t="shared" si="112"/>
        <v>0</v>
      </c>
      <c r="PG10" s="27">
        <f t="shared" si="113"/>
        <v>0</v>
      </c>
      <c r="PH10" s="27">
        <f t="shared" si="114"/>
        <v>0</v>
      </c>
      <c r="PI10" s="27">
        <f t="shared" si="115"/>
        <v>9.4</v>
      </c>
      <c r="PJ10" s="27">
        <f t="shared" si="116"/>
        <v>3</v>
      </c>
      <c r="PK10" s="27">
        <f t="shared" si="117"/>
        <v>0.3</v>
      </c>
      <c r="PL10" s="27">
        <f t="shared" si="118"/>
        <v>0</v>
      </c>
      <c r="PM10" s="27">
        <f t="shared" si="119"/>
        <v>9.3000000000000007</v>
      </c>
      <c r="PN10" s="27">
        <f t="shared" si="120"/>
        <v>3</v>
      </c>
      <c r="PO10" s="27">
        <f t="shared" si="121"/>
        <v>0.3</v>
      </c>
      <c r="PP10" s="27">
        <f t="shared" si="122"/>
        <v>0</v>
      </c>
      <c r="PQ10" s="32" t="s">
        <v>44</v>
      </c>
      <c r="PR10" s="55">
        <f t="shared" si="123"/>
        <v>6</v>
      </c>
      <c r="PS10" s="55">
        <f t="shared" si="124"/>
        <v>24.249999999999996</v>
      </c>
      <c r="PT10" s="55" t="str">
        <f t="shared" si="125"/>
        <v/>
      </c>
      <c r="PU10" s="55">
        <f t="shared" si="126"/>
        <v>6</v>
      </c>
      <c r="PV10" s="55">
        <f t="shared" si="127"/>
        <v>24.1</v>
      </c>
      <c r="PW10" s="55">
        <f t="shared" si="128"/>
        <v>48.349999999999994</v>
      </c>
    </row>
    <row r="11" spans="1:439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113</v>
      </c>
      <c r="C11" s="4" t="s">
        <v>67</v>
      </c>
      <c r="D11" s="4">
        <v>2012</v>
      </c>
      <c r="E11" s="10">
        <f t="shared" si="0"/>
        <v>95.100009510004739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>IF(COUNT(AN11,BO11,CP11)&gt;0,LARGE((AN11,BO11,CP11),1),0)</f>
        <v>47.5</v>
      </c>
      <c r="J11" s="9" t="str">
        <f t="shared" si="4"/>
        <v>2025 Nationals</v>
      </c>
      <c r="K11" s="9">
        <f>IF(COUNT(AN11,BO11,CP11)&gt;1,LARGE((AN11,BO11,CP11),2),0)</f>
        <v>0</v>
      </c>
      <c r="L11" s="9" t="str">
        <f t="shared" si="5"/>
        <v/>
      </c>
      <c r="M11" s="9">
        <f t="shared" si="6"/>
        <v>47.599999999999994</v>
      </c>
      <c r="N11" s="9" t="str">
        <f t="shared" si="7"/>
        <v>2025 Nationals</v>
      </c>
      <c r="O11" s="9" t="str">
        <f t="shared" si="8"/>
        <v/>
      </c>
      <c r="P11" s="14" t="str">
        <f t="shared" si="9"/>
        <v/>
      </c>
      <c r="Q11" s="9" t="str">
        <f t="shared" si="10"/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 t="shared" si="11"/>
        <v/>
      </c>
      <c r="AN11" s="55" t="str">
        <f t="shared" si="12"/>
        <v/>
      </c>
      <c r="AO11" s="55" t="str">
        <f t="shared" si="13"/>
        <v/>
      </c>
      <c r="AP11" s="55" t="str">
        <f t="shared" si="14"/>
        <v/>
      </c>
      <c r="AQ11" s="55" t="str">
        <f t="shared" si="15"/>
        <v/>
      </c>
      <c r="AR11" s="55" t="str">
        <f t="shared" si="16"/>
        <v/>
      </c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33"/>
      <c r="BN11" s="14" t="str">
        <f t="shared" si="17"/>
        <v/>
      </c>
      <c r="BO11" s="14" t="str">
        <f t="shared" si="18"/>
        <v/>
      </c>
      <c r="BP11" s="14" t="str">
        <f t="shared" si="19"/>
        <v/>
      </c>
      <c r="BQ11" s="14" t="str">
        <f t="shared" si="20"/>
        <v/>
      </c>
      <c r="BR11" s="14" t="str">
        <f t="shared" si="21"/>
        <v/>
      </c>
      <c r="BS11" s="14" t="str">
        <f t="shared" si="22"/>
        <v/>
      </c>
      <c r="BT11" s="20">
        <v>18.3</v>
      </c>
      <c r="BU11" s="20">
        <v>5.6</v>
      </c>
      <c r="BV11" s="20">
        <v>0</v>
      </c>
      <c r="BW11" s="20">
        <v>0</v>
      </c>
      <c r="BX11" s="20">
        <v>18.8</v>
      </c>
      <c r="BY11" s="20">
        <v>4.8</v>
      </c>
      <c r="BZ11" s="20">
        <v>0</v>
      </c>
      <c r="CA11" s="20">
        <v>0</v>
      </c>
      <c r="CB11" s="20"/>
      <c r="CC11" s="20"/>
      <c r="CD11" s="20"/>
      <c r="CE11" s="20"/>
      <c r="CF11" s="20">
        <v>18.7</v>
      </c>
      <c r="CG11" s="20">
        <v>5.6</v>
      </c>
      <c r="CH11" s="20">
        <v>0</v>
      </c>
      <c r="CI11" s="20">
        <v>0</v>
      </c>
      <c r="CJ11" s="20">
        <v>18.5</v>
      </c>
      <c r="CK11" s="20">
        <v>4.8</v>
      </c>
      <c r="CL11" s="20">
        <v>0</v>
      </c>
      <c r="CM11" s="20">
        <v>0</v>
      </c>
      <c r="CN11" s="32"/>
      <c r="CO11" s="55">
        <f t="shared" si="23"/>
        <v>10.399999999999999</v>
      </c>
      <c r="CP11" s="55">
        <f t="shared" si="24"/>
        <v>47.5</v>
      </c>
      <c r="CQ11" s="55" t="str">
        <f t="shared" si="25"/>
        <v/>
      </c>
      <c r="CR11" s="55">
        <f t="shared" si="26"/>
        <v>10.399999999999999</v>
      </c>
      <c r="CS11" s="55">
        <f t="shared" si="27"/>
        <v>47.599999999999994</v>
      </c>
      <c r="CT11" s="55">
        <f t="shared" si="28"/>
        <v>95.1</v>
      </c>
      <c r="CU11" s="56" t="str">
        <f t="shared" si="29"/>
        <v/>
      </c>
      <c r="CV11" s="56" t="str">
        <f t="shared" si="30"/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 t="shared" si="31"/>
        <v/>
      </c>
      <c r="DR11" s="55" t="str">
        <f t="shared" si="32"/>
        <v/>
      </c>
      <c r="DS11" s="55" t="str">
        <f t="shared" si="33"/>
        <v/>
      </c>
      <c r="DT11" s="55" t="str">
        <f t="shared" si="34"/>
        <v/>
      </c>
      <c r="DU11" s="55" t="str">
        <f t="shared" si="35"/>
        <v/>
      </c>
      <c r="DV11" s="55" t="str">
        <f t="shared" si="36"/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 t="shared" si="37"/>
        <v/>
      </c>
      <c r="ER11" s="14" t="str">
        <f t="shared" si="38"/>
        <v/>
      </c>
      <c r="ES11" s="14" t="str">
        <f t="shared" si="39"/>
        <v/>
      </c>
      <c r="ET11" s="14" t="str">
        <f t="shared" si="40"/>
        <v/>
      </c>
      <c r="EU11" s="14" t="str">
        <f t="shared" si="41"/>
        <v/>
      </c>
      <c r="EV11" s="14" t="str">
        <f t="shared" si="42"/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 t="shared" si="43"/>
        <v/>
      </c>
      <c r="FR11" s="55" t="str">
        <f t="shared" si="44"/>
        <v/>
      </c>
      <c r="FS11" s="55" t="str">
        <f t="shared" si="45"/>
        <v/>
      </c>
      <c r="FT11" s="55" t="str">
        <f t="shared" si="46"/>
        <v/>
      </c>
      <c r="FU11" s="55" t="str">
        <f t="shared" si="47"/>
        <v/>
      </c>
      <c r="FV11" s="55" t="str">
        <f t="shared" si="48"/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 t="shared" si="49"/>
        <v/>
      </c>
      <c r="GR11" s="14" t="str">
        <f t="shared" si="50"/>
        <v/>
      </c>
      <c r="GS11" s="14" t="str">
        <f t="shared" si="51"/>
        <v/>
      </c>
      <c r="GT11" s="14" t="str">
        <f t="shared" si="52"/>
        <v/>
      </c>
      <c r="GU11" s="14" t="str">
        <f t="shared" si="53"/>
        <v/>
      </c>
      <c r="GV11" s="14" t="str">
        <f t="shared" si="54"/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 t="shared" si="55"/>
        <v/>
      </c>
      <c r="HR11" s="55" t="str">
        <f t="shared" si="56"/>
        <v/>
      </c>
      <c r="HS11" s="55" t="str">
        <f t="shared" si="57"/>
        <v/>
      </c>
      <c r="HT11" s="55" t="str">
        <f t="shared" si="58"/>
        <v/>
      </c>
      <c r="HU11" s="55" t="str">
        <f t="shared" si="59"/>
        <v/>
      </c>
      <c r="HV11" s="55" t="str">
        <f t="shared" si="60"/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 t="shared" si="61"/>
        <v/>
      </c>
      <c r="IR11" s="14" t="str">
        <f t="shared" si="62"/>
        <v/>
      </c>
      <c r="IS11" s="14" t="str">
        <f t="shared" si="63"/>
        <v/>
      </c>
      <c r="IT11" s="14" t="str">
        <f t="shared" si="64"/>
        <v/>
      </c>
      <c r="IU11" s="14" t="str">
        <f t="shared" si="65"/>
        <v/>
      </c>
      <c r="IV11" s="14" t="str">
        <f t="shared" si="66"/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 t="shared" si="67"/>
        <v/>
      </c>
      <c r="JR11" s="55" t="str">
        <f t="shared" si="68"/>
        <v/>
      </c>
      <c r="JS11" s="55" t="str">
        <f t="shared" si="69"/>
        <v/>
      </c>
      <c r="JT11" s="55" t="str">
        <f t="shared" si="70"/>
        <v/>
      </c>
      <c r="JU11" s="55" t="str">
        <f t="shared" si="71"/>
        <v/>
      </c>
      <c r="JV11" s="55" t="str">
        <f t="shared" si="72"/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 t="shared" si="73"/>
        <v/>
      </c>
      <c r="KR11" s="14" t="str">
        <f t="shared" si="74"/>
        <v/>
      </c>
      <c r="KS11" s="14" t="str">
        <f t="shared" si="75"/>
        <v/>
      </c>
      <c r="KT11" s="14" t="str">
        <f t="shared" si="76"/>
        <v/>
      </c>
      <c r="KU11" s="14" t="str">
        <f t="shared" si="77"/>
        <v/>
      </c>
      <c r="KV11" s="14" t="str">
        <f t="shared" si="78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 t="shared" si="79"/>
        <v/>
      </c>
      <c r="LR11" s="55" t="str">
        <f t="shared" si="80"/>
        <v/>
      </c>
      <c r="LS11" s="55" t="str">
        <f t="shared" si="81"/>
        <v/>
      </c>
      <c r="LT11" s="55" t="str">
        <f t="shared" si="82"/>
        <v/>
      </c>
      <c r="LU11" s="55" t="str">
        <f t="shared" si="83"/>
        <v/>
      </c>
      <c r="LV11" s="55" t="str">
        <f t="shared" si="84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 t="shared" si="85"/>
        <v/>
      </c>
      <c r="MR11" s="14" t="str">
        <f t="shared" si="86"/>
        <v/>
      </c>
      <c r="MS11" s="14" t="str">
        <f t="shared" si="87"/>
        <v/>
      </c>
      <c r="MT11" s="14" t="str">
        <f t="shared" si="88"/>
        <v/>
      </c>
      <c r="MU11" s="14" t="str">
        <f t="shared" si="89"/>
        <v/>
      </c>
      <c r="MV11" s="14" t="str">
        <f t="shared" si="90"/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 t="shared" si="91"/>
        <v/>
      </c>
      <c r="NR11" s="55" t="str">
        <f t="shared" si="92"/>
        <v/>
      </c>
      <c r="NS11" s="55" t="str">
        <f t="shared" si="93"/>
        <v/>
      </c>
      <c r="NT11" s="55" t="str">
        <f t="shared" si="94"/>
        <v/>
      </c>
      <c r="NU11" s="55" t="str">
        <f t="shared" si="95"/>
        <v/>
      </c>
      <c r="NV11" s="55" t="str">
        <f t="shared" si="96"/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 t="shared" si="97"/>
        <v/>
      </c>
      <c r="OR11" s="14" t="str">
        <f t="shared" si="98"/>
        <v/>
      </c>
      <c r="OS11" s="14" t="str">
        <f t="shared" si="99"/>
        <v/>
      </c>
      <c r="OT11" s="14" t="str">
        <f t="shared" si="100"/>
        <v/>
      </c>
      <c r="OU11" s="14" t="str">
        <f t="shared" si="101"/>
        <v/>
      </c>
      <c r="OV11" s="14" t="str">
        <f t="shared" si="102"/>
        <v/>
      </c>
      <c r="OW11" s="27">
        <f t="shared" si="103"/>
        <v>9.15</v>
      </c>
      <c r="OX11" s="27">
        <f t="shared" si="104"/>
        <v>2.8</v>
      </c>
      <c r="OY11" s="27">
        <f t="shared" si="105"/>
        <v>0</v>
      </c>
      <c r="OZ11" s="27">
        <f t="shared" si="106"/>
        <v>0</v>
      </c>
      <c r="PA11" s="27">
        <f t="shared" si="107"/>
        <v>9.4</v>
      </c>
      <c r="PB11" s="27">
        <f t="shared" si="108"/>
        <v>2.4</v>
      </c>
      <c r="PC11" s="27">
        <f t="shared" si="109"/>
        <v>0</v>
      </c>
      <c r="PD11" s="27">
        <f t="shared" si="110"/>
        <v>0</v>
      </c>
      <c r="PE11" s="27">
        <f t="shared" si="111"/>
        <v>0</v>
      </c>
      <c r="PF11" s="27">
        <f t="shared" si="112"/>
        <v>0</v>
      </c>
      <c r="PG11" s="27">
        <f t="shared" si="113"/>
        <v>0</v>
      </c>
      <c r="PH11" s="27">
        <f t="shared" si="114"/>
        <v>0</v>
      </c>
      <c r="PI11" s="27">
        <f t="shared" si="115"/>
        <v>9.35</v>
      </c>
      <c r="PJ11" s="27">
        <f t="shared" si="116"/>
        <v>2.8</v>
      </c>
      <c r="PK11" s="27">
        <f t="shared" si="117"/>
        <v>0</v>
      </c>
      <c r="PL11" s="27">
        <f t="shared" si="118"/>
        <v>0</v>
      </c>
      <c r="PM11" s="27">
        <f t="shared" si="119"/>
        <v>9.25</v>
      </c>
      <c r="PN11" s="27">
        <f t="shared" si="120"/>
        <v>2.4</v>
      </c>
      <c r="PO11" s="27">
        <f t="shared" si="121"/>
        <v>0</v>
      </c>
      <c r="PP11" s="27">
        <f t="shared" si="122"/>
        <v>0</v>
      </c>
      <c r="PQ11" s="32" t="s">
        <v>44</v>
      </c>
      <c r="PR11" s="55">
        <f t="shared" si="123"/>
        <v>5.1999999999999993</v>
      </c>
      <c r="PS11" s="55">
        <f t="shared" si="124"/>
        <v>23.75</v>
      </c>
      <c r="PT11" s="55" t="str">
        <f t="shared" si="125"/>
        <v/>
      </c>
      <c r="PU11" s="55">
        <f t="shared" si="126"/>
        <v>5.1999999999999993</v>
      </c>
      <c r="PV11" s="55">
        <f t="shared" si="127"/>
        <v>23.799999999999997</v>
      </c>
      <c r="PW11" s="55">
        <f t="shared" si="128"/>
        <v>47.55</v>
      </c>
    </row>
    <row r="12" spans="1:439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114</v>
      </c>
      <c r="C12" s="4" t="s">
        <v>65</v>
      </c>
      <c r="D12" s="4">
        <v>2009</v>
      </c>
      <c r="E12" s="10">
        <f t="shared" si="0"/>
        <v>92.000009200004484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>IF(COUNT(AN12,BO12,CP12)&gt;0,LARGE((AN12,BO12,CP12),1),0)</f>
        <v>44.900000000000006</v>
      </c>
      <c r="J12" s="9" t="str">
        <f t="shared" si="4"/>
        <v>2025 Nationals</v>
      </c>
      <c r="K12" s="9">
        <f>IF(COUNT(AN12,BO12,CP12)&gt;1,LARGE((AN12,BO12,CP12),2),0)</f>
        <v>0</v>
      </c>
      <c r="L12" s="9" t="str">
        <f t="shared" si="5"/>
        <v/>
      </c>
      <c r="M12" s="9">
        <f t="shared" si="6"/>
        <v>47.1</v>
      </c>
      <c r="N12" s="9" t="str">
        <f t="shared" si="7"/>
        <v>2025 Nationals</v>
      </c>
      <c r="O12" s="9" t="str">
        <f t="shared" si="8"/>
        <v/>
      </c>
      <c r="P12" s="14" t="str">
        <f t="shared" si="9"/>
        <v/>
      </c>
      <c r="Q12" s="9" t="str">
        <f t="shared" si="10"/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 t="shared" si="11"/>
        <v/>
      </c>
      <c r="AN12" s="55" t="str">
        <f t="shared" si="12"/>
        <v/>
      </c>
      <c r="AO12" s="55" t="str">
        <f t="shared" si="13"/>
        <v/>
      </c>
      <c r="AP12" s="55" t="str">
        <f t="shared" si="14"/>
        <v/>
      </c>
      <c r="AQ12" s="55" t="str">
        <f t="shared" si="15"/>
        <v/>
      </c>
      <c r="AR12" s="55" t="str">
        <f t="shared" si="16"/>
        <v/>
      </c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33"/>
      <c r="BN12" s="14" t="str">
        <f t="shared" si="17"/>
        <v/>
      </c>
      <c r="BO12" s="14" t="str">
        <f t="shared" si="18"/>
        <v/>
      </c>
      <c r="BP12" s="14" t="str">
        <f t="shared" si="19"/>
        <v/>
      </c>
      <c r="BQ12" s="14" t="str">
        <f t="shared" si="20"/>
        <v/>
      </c>
      <c r="BR12" s="14" t="str">
        <f t="shared" si="21"/>
        <v/>
      </c>
      <c r="BS12" s="14" t="str">
        <f t="shared" si="22"/>
        <v/>
      </c>
      <c r="BT12" s="20">
        <v>18.399999999999999</v>
      </c>
      <c r="BU12" s="20">
        <v>6</v>
      </c>
      <c r="BV12" s="20">
        <v>0</v>
      </c>
      <c r="BW12" s="20">
        <v>0</v>
      </c>
      <c r="BX12" s="20">
        <v>16.3</v>
      </c>
      <c r="BY12" s="20">
        <v>5.2</v>
      </c>
      <c r="BZ12" s="20">
        <v>1</v>
      </c>
      <c r="CA12" s="20">
        <v>0</v>
      </c>
      <c r="CB12" s="20"/>
      <c r="CC12" s="20"/>
      <c r="CD12" s="20"/>
      <c r="CE12" s="20"/>
      <c r="CF12" s="20">
        <v>18.5</v>
      </c>
      <c r="CG12" s="20">
        <v>6.4</v>
      </c>
      <c r="CH12" s="20">
        <v>0</v>
      </c>
      <c r="CI12" s="20">
        <v>0</v>
      </c>
      <c r="CJ12" s="20">
        <v>18</v>
      </c>
      <c r="CK12" s="20">
        <v>5.2</v>
      </c>
      <c r="CL12" s="20">
        <v>1</v>
      </c>
      <c r="CM12" s="20">
        <v>0</v>
      </c>
      <c r="CN12" s="32"/>
      <c r="CO12" s="55">
        <f t="shared" si="23"/>
        <v>11.2</v>
      </c>
      <c r="CP12" s="55">
        <f t="shared" si="24"/>
        <v>44.900000000000006</v>
      </c>
      <c r="CQ12" s="55" t="str">
        <f t="shared" si="25"/>
        <v/>
      </c>
      <c r="CR12" s="55">
        <f t="shared" si="26"/>
        <v>11.600000000000001</v>
      </c>
      <c r="CS12" s="55">
        <f t="shared" si="27"/>
        <v>47.1</v>
      </c>
      <c r="CT12" s="55">
        <f t="shared" si="28"/>
        <v>92</v>
      </c>
      <c r="CU12" s="56" t="str">
        <f t="shared" si="29"/>
        <v/>
      </c>
      <c r="CV12" s="56" t="str">
        <f t="shared" si="30"/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 t="shared" si="31"/>
        <v/>
      </c>
      <c r="DR12" s="55" t="str">
        <f t="shared" si="32"/>
        <v/>
      </c>
      <c r="DS12" s="55" t="str">
        <f t="shared" si="33"/>
        <v/>
      </c>
      <c r="DT12" s="55" t="str">
        <f t="shared" si="34"/>
        <v/>
      </c>
      <c r="DU12" s="55" t="str">
        <f t="shared" si="35"/>
        <v/>
      </c>
      <c r="DV12" s="55" t="str">
        <f t="shared" si="36"/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 t="shared" si="37"/>
        <v/>
      </c>
      <c r="ER12" s="14" t="str">
        <f t="shared" si="38"/>
        <v/>
      </c>
      <c r="ES12" s="14" t="str">
        <f t="shared" si="39"/>
        <v/>
      </c>
      <c r="ET12" s="14" t="str">
        <f t="shared" si="40"/>
        <v/>
      </c>
      <c r="EU12" s="14" t="str">
        <f t="shared" si="41"/>
        <v/>
      </c>
      <c r="EV12" s="14" t="str">
        <f t="shared" si="42"/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 t="shared" si="43"/>
        <v/>
      </c>
      <c r="FR12" s="55" t="str">
        <f t="shared" si="44"/>
        <v/>
      </c>
      <c r="FS12" s="55" t="str">
        <f t="shared" si="45"/>
        <v/>
      </c>
      <c r="FT12" s="55" t="str">
        <f t="shared" si="46"/>
        <v/>
      </c>
      <c r="FU12" s="55" t="str">
        <f t="shared" si="47"/>
        <v/>
      </c>
      <c r="FV12" s="55" t="str">
        <f t="shared" si="48"/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 t="shared" si="49"/>
        <v/>
      </c>
      <c r="GR12" s="14" t="str">
        <f t="shared" si="50"/>
        <v/>
      </c>
      <c r="GS12" s="14" t="str">
        <f t="shared" si="51"/>
        <v/>
      </c>
      <c r="GT12" s="14" t="str">
        <f t="shared" si="52"/>
        <v/>
      </c>
      <c r="GU12" s="14" t="str">
        <f t="shared" si="53"/>
        <v/>
      </c>
      <c r="GV12" s="14" t="str">
        <f t="shared" si="54"/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 t="shared" si="55"/>
        <v/>
      </c>
      <c r="HR12" s="55" t="str">
        <f t="shared" si="56"/>
        <v/>
      </c>
      <c r="HS12" s="55" t="str">
        <f t="shared" si="57"/>
        <v/>
      </c>
      <c r="HT12" s="55" t="str">
        <f t="shared" si="58"/>
        <v/>
      </c>
      <c r="HU12" s="55" t="str">
        <f t="shared" si="59"/>
        <v/>
      </c>
      <c r="HV12" s="55" t="str">
        <f t="shared" si="60"/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 t="shared" si="61"/>
        <v/>
      </c>
      <c r="IR12" s="14" t="str">
        <f t="shared" si="62"/>
        <v/>
      </c>
      <c r="IS12" s="14" t="str">
        <f t="shared" si="63"/>
        <v/>
      </c>
      <c r="IT12" s="14" t="str">
        <f t="shared" si="64"/>
        <v/>
      </c>
      <c r="IU12" s="14" t="str">
        <f t="shared" si="65"/>
        <v/>
      </c>
      <c r="IV12" s="14" t="str">
        <f t="shared" si="66"/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 t="shared" si="67"/>
        <v/>
      </c>
      <c r="JR12" s="55" t="str">
        <f t="shared" si="68"/>
        <v/>
      </c>
      <c r="JS12" s="55" t="str">
        <f t="shared" si="69"/>
        <v/>
      </c>
      <c r="JT12" s="55" t="str">
        <f t="shared" si="70"/>
        <v/>
      </c>
      <c r="JU12" s="55" t="str">
        <f t="shared" si="71"/>
        <v/>
      </c>
      <c r="JV12" s="55" t="str">
        <f t="shared" si="72"/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 t="shared" si="73"/>
        <v/>
      </c>
      <c r="KR12" s="14" t="str">
        <f t="shared" si="74"/>
        <v/>
      </c>
      <c r="KS12" s="14" t="str">
        <f t="shared" si="75"/>
        <v/>
      </c>
      <c r="KT12" s="14" t="str">
        <f t="shared" si="76"/>
        <v/>
      </c>
      <c r="KU12" s="14" t="str">
        <f t="shared" si="77"/>
        <v/>
      </c>
      <c r="KV12" s="14" t="str">
        <f t="shared" si="78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 t="shared" si="79"/>
        <v/>
      </c>
      <c r="LR12" s="55" t="str">
        <f t="shared" si="80"/>
        <v/>
      </c>
      <c r="LS12" s="55" t="str">
        <f t="shared" si="81"/>
        <v/>
      </c>
      <c r="LT12" s="55" t="str">
        <f t="shared" si="82"/>
        <v/>
      </c>
      <c r="LU12" s="55" t="str">
        <f t="shared" si="83"/>
        <v/>
      </c>
      <c r="LV12" s="55" t="str">
        <f t="shared" si="84"/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 t="shared" si="85"/>
        <v/>
      </c>
      <c r="MR12" s="14" t="str">
        <f t="shared" si="86"/>
        <v/>
      </c>
      <c r="MS12" s="14" t="str">
        <f t="shared" si="87"/>
        <v/>
      </c>
      <c r="MT12" s="14" t="str">
        <f t="shared" si="88"/>
        <v/>
      </c>
      <c r="MU12" s="14" t="str">
        <f t="shared" si="89"/>
        <v/>
      </c>
      <c r="MV12" s="14" t="str">
        <f t="shared" si="90"/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 t="shared" si="91"/>
        <v/>
      </c>
      <c r="NR12" s="55" t="str">
        <f t="shared" si="92"/>
        <v/>
      </c>
      <c r="NS12" s="55" t="str">
        <f t="shared" si="93"/>
        <v/>
      </c>
      <c r="NT12" s="55" t="str">
        <f t="shared" si="94"/>
        <v/>
      </c>
      <c r="NU12" s="55" t="str">
        <f t="shared" si="95"/>
        <v/>
      </c>
      <c r="NV12" s="55" t="str">
        <f t="shared" si="96"/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 t="shared" si="97"/>
        <v/>
      </c>
      <c r="OR12" s="14" t="str">
        <f t="shared" si="98"/>
        <v/>
      </c>
      <c r="OS12" s="14" t="str">
        <f t="shared" si="99"/>
        <v/>
      </c>
      <c r="OT12" s="14" t="str">
        <f t="shared" si="100"/>
        <v/>
      </c>
      <c r="OU12" s="14" t="str">
        <f t="shared" si="101"/>
        <v/>
      </c>
      <c r="OV12" s="14" t="str">
        <f t="shared" si="102"/>
        <v/>
      </c>
      <c r="OW12" s="27">
        <f t="shared" si="103"/>
        <v>9.1999999999999993</v>
      </c>
      <c r="OX12" s="27">
        <f t="shared" si="104"/>
        <v>3</v>
      </c>
      <c r="OY12" s="27">
        <f t="shared" si="105"/>
        <v>0</v>
      </c>
      <c r="OZ12" s="27">
        <f t="shared" si="106"/>
        <v>0</v>
      </c>
      <c r="PA12" s="27">
        <f t="shared" si="107"/>
        <v>8.15</v>
      </c>
      <c r="PB12" s="27">
        <f t="shared" si="108"/>
        <v>2.6</v>
      </c>
      <c r="PC12" s="27">
        <f t="shared" si="109"/>
        <v>0.5</v>
      </c>
      <c r="PD12" s="27">
        <f t="shared" si="110"/>
        <v>0</v>
      </c>
      <c r="PE12" s="27">
        <f t="shared" si="111"/>
        <v>0</v>
      </c>
      <c r="PF12" s="27">
        <f t="shared" si="112"/>
        <v>0</v>
      </c>
      <c r="PG12" s="27">
        <f t="shared" si="113"/>
        <v>0</v>
      </c>
      <c r="PH12" s="27">
        <f t="shared" si="114"/>
        <v>0</v>
      </c>
      <c r="PI12" s="27">
        <f t="shared" si="115"/>
        <v>9.25</v>
      </c>
      <c r="PJ12" s="27">
        <f t="shared" si="116"/>
        <v>3.2</v>
      </c>
      <c r="PK12" s="27">
        <f t="shared" si="117"/>
        <v>0</v>
      </c>
      <c r="PL12" s="27">
        <f t="shared" si="118"/>
        <v>0</v>
      </c>
      <c r="PM12" s="27">
        <f t="shared" si="119"/>
        <v>9</v>
      </c>
      <c r="PN12" s="27">
        <f t="shared" si="120"/>
        <v>2.6</v>
      </c>
      <c r="PO12" s="27">
        <f t="shared" si="121"/>
        <v>0.5</v>
      </c>
      <c r="PP12" s="27">
        <f t="shared" si="122"/>
        <v>0</v>
      </c>
      <c r="PQ12" s="32" t="s">
        <v>44</v>
      </c>
      <c r="PR12" s="55">
        <f t="shared" si="123"/>
        <v>5.6</v>
      </c>
      <c r="PS12" s="55">
        <f t="shared" si="124"/>
        <v>22.450000000000003</v>
      </c>
      <c r="PT12" s="55" t="str">
        <f t="shared" si="125"/>
        <v/>
      </c>
      <c r="PU12" s="55">
        <f t="shared" si="126"/>
        <v>5.8000000000000007</v>
      </c>
      <c r="PV12" s="55">
        <f t="shared" si="127"/>
        <v>23.55</v>
      </c>
      <c r="PW12" s="55">
        <f t="shared" si="128"/>
        <v>46</v>
      </c>
    </row>
    <row r="13" spans="1:439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115</v>
      </c>
      <c r="C13" s="4" t="s">
        <v>67</v>
      </c>
      <c r="D13" s="4">
        <v>2012</v>
      </c>
      <c r="E13" s="10">
        <f t="shared" si="0"/>
        <v>86.800008680004098</v>
      </c>
      <c r="F13" s="3" t="str">
        <f t="shared" si="1"/>
        <v/>
      </c>
      <c r="G13" s="3" t="str">
        <f t="shared" si="2"/>
        <v/>
      </c>
      <c r="H13" s="47" t="str">
        <f t="shared" si="3"/>
        <v/>
      </c>
      <c r="I13" s="9">
        <f>IF(COUNT(AN13,BO13,CP13)&gt;0,LARGE((AN13,BO13,CP13),1),0)</f>
        <v>41.099999999999994</v>
      </c>
      <c r="J13" s="9" t="str">
        <f t="shared" si="4"/>
        <v>2025 Nationals</v>
      </c>
      <c r="K13" s="9">
        <f>IF(COUNT(AN13,BO13,CP13)&gt;1,LARGE((AN13,BO13,CP13),2),0)</f>
        <v>0</v>
      </c>
      <c r="L13" s="9" t="str">
        <f t="shared" si="5"/>
        <v/>
      </c>
      <c r="M13" s="9">
        <f t="shared" si="6"/>
        <v>45.7</v>
      </c>
      <c r="N13" s="9" t="str">
        <f t="shared" si="7"/>
        <v>2025 Nationals</v>
      </c>
      <c r="O13" s="9" t="str">
        <f t="shared" si="8"/>
        <v/>
      </c>
      <c r="P13" s="14" t="str">
        <f t="shared" si="9"/>
        <v/>
      </c>
      <c r="Q13" s="9" t="str">
        <f t="shared" si="10"/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32"/>
      <c r="AM13" s="55" t="str">
        <f t="shared" si="11"/>
        <v/>
      </c>
      <c r="AN13" s="55" t="str">
        <f t="shared" si="12"/>
        <v/>
      </c>
      <c r="AO13" s="55" t="str">
        <f t="shared" si="13"/>
        <v/>
      </c>
      <c r="AP13" s="55" t="str">
        <f t="shared" si="14"/>
        <v/>
      </c>
      <c r="AQ13" s="55" t="str">
        <f t="shared" si="15"/>
        <v/>
      </c>
      <c r="AR13" s="55" t="str">
        <f t="shared" si="16"/>
        <v/>
      </c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33"/>
      <c r="BN13" s="14" t="str">
        <f t="shared" si="17"/>
        <v/>
      </c>
      <c r="BO13" s="14" t="str">
        <f t="shared" si="18"/>
        <v/>
      </c>
      <c r="BP13" s="14" t="str">
        <f t="shared" si="19"/>
        <v/>
      </c>
      <c r="BQ13" s="14" t="str">
        <f t="shared" si="20"/>
        <v/>
      </c>
      <c r="BR13" s="14" t="str">
        <f t="shared" si="21"/>
        <v/>
      </c>
      <c r="BS13" s="14" t="str">
        <f t="shared" si="22"/>
        <v/>
      </c>
      <c r="BT13" s="20">
        <v>17.899999999999999</v>
      </c>
      <c r="BU13" s="20">
        <v>5.2</v>
      </c>
      <c r="BV13" s="20">
        <v>0.2</v>
      </c>
      <c r="BW13" s="20">
        <v>0</v>
      </c>
      <c r="BX13" s="20">
        <v>15</v>
      </c>
      <c r="BY13" s="20">
        <v>3.2</v>
      </c>
      <c r="BZ13" s="20">
        <v>0</v>
      </c>
      <c r="CA13" s="20">
        <v>0</v>
      </c>
      <c r="CB13" s="20"/>
      <c r="CC13" s="20"/>
      <c r="CD13" s="20"/>
      <c r="CE13" s="20"/>
      <c r="CF13" s="20">
        <v>18.399999999999999</v>
      </c>
      <c r="CG13" s="20">
        <v>5.2</v>
      </c>
      <c r="CH13" s="20">
        <v>0.2</v>
      </c>
      <c r="CI13" s="20">
        <v>0</v>
      </c>
      <c r="CJ13" s="20">
        <v>18.100000000000001</v>
      </c>
      <c r="CK13" s="20">
        <v>4.8</v>
      </c>
      <c r="CL13" s="20">
        <v>0.6</v>
      </c>
      <c r="CM13" s="20">
        <v>0</v>
      </c>
      <c r="CN13" s="32"/>
      <c r="CO13" s="55">
        <f t="shared" si="23"/>
        <v>8.4</v>
      </c>
      <c r="CP13" s="55">
        <f t="shared" si="24"/>
        <v>41.099999999999994</v>
      </c>
      <c r="CQ13" s="55" t="str">
        <f t="shared" si="25"/>
        <v/>
      </c>
      <c r="CR13" s="55">
        <f t="shared" si="26"/>
        <v>10</v>
      </c>
      <c r="CS13" s="55">
        <f t="shared" si="27"/>
        <v>45.7</v>
      </c>
      <c r="CT13" s="55">
        <f t="shared" si="28"/>
        <v>86.8</v>
      </c>
      <c r="CU13" s="56" t="str">
        <f t="shared" si="29"/>
        <v/>
      </c>
      <c r="CV13" s="56" t="str">
        <f t="shared" si="30"/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 t="shared" si="31"/>
        <v/>
      </c>
      <c r="DR13" s="55" t="str">
        <f t="shared" si="32"/>
        <v/>
      </c>
      <c r="DS13" s="55" t="str">
        <f t="shared" si="33"/>
        <v/>
      </c>
      <c r="DT13" s="55" t="str">
        <f t="shared" si="34"/>
        <v/>
      </c>
      <c r="DU13" s="55" t="str">
        <f t="shared" si="35"/>
        <v/>
      </c>
      <c r="DV13" s="55" t="str">
        <f t="shared" si="36"/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 t="shared" si="37"/>
        <v/>
      </c>
      <c r="ER13" s="14" t="str">
        <f t="shared" si="38"/>
        <v/>
      </c>
      <c r="ES13" s="14" t="str">
        <f t="shared" si="39"/>
        <v/>
      </c>
      <c r="ET13" s="14" t="str">
        <f t="shared" si="40"/>
        <v/>
      </c>
      <c r="EU13" s="14" t="str">
        <f t="shared" si="41"/>
        <v/>
      </c>
      <c r="EV13" s="14" t="str">
        <f t="shared" si="42"/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 t="shared" si="43"/>
        <v/>
      </c>
      <c r="FR13" s="55" t="str">
        <f t="shared" si="44"/>
        <v/>
      </c>
      <c r="FS13" s="55" t="str">
        <f t="shared" si="45"/>
        <v/>
      </c>
      <c r="FT13" s="55" t="str">
        <f t="shared" si="46"/>
        <v/>
      </c>
      <c r="FU13" s="55" t="str">
        <f t="shared" si="47"/>
        <v/>
      </c>
      <c r="FV13" s="55" t="str">
        <f t="shared" si="48"/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 t="shared" si="49"/>
        <v/>
      </c>
      <c r="GR13" s="14" t="str">
        <f t="shared" si="50"/>
        <v/>
      </c>
      <c r="GS13" s="14" t="str">
        <f t="shared" si="51"/>
        <v/>
      </c>
      <c r="GT13" s="14" t="str">
        <f t="shared" si="52"/>
        <v/>
      </c>
      <c r="GU13" s="14" t="str">
        <f t="shared" si="53"/>
        <v/>
      </c>
      <c r="GV13" s="14" t="str">
        <f t="shared" si="54"/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 t="shared" si="55"/>
        <v/>
      </c>
      <c r="HR13" s="55" t="str">
        <f t="shared" si="56"/>
        <v/>
      </c>
      <c r="HS13" s="55" t="str">
        <f t="shared" si="57"/>
        <v/>
      </c>
      <c r="HT13" s="55" t="str">
        <f t="shared" si="58"/>
        <v/>
      </c>
      <c r="HU13" s="55" t="str">
        <f t="shared" si="59"/>
        <v/>
      </c>
      <c r="HV13" s="55" t="str">
        <f t="shared" si="60"/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 t="shared" si="61"/>
        <v/>
      </c>
      <c r="IR13" s="14" t="str">
        <f t="shared" si="62"/>
        <v/>
      </c>
      <c r="IS13" s="14" t="str">
        <f t="shared" si="63"/>
        <v/>
      </c>
      <c r="IT13" s="14" t="str">
        <f t="shared" si="64"/>
        <v/>
      </c>
      <c r="IU13" s="14" t="str">
        <f t="shared" si="65"/>
        <v/>
      </c>
      <c r="IV13" s="14" t="str">
        <f t="shared" si="66"/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 t="shared" si="67"/>
        <v/>
      </c>
      <c r="JR13" s="55" t="str">
        <f t="shared" si="68"/>
        <v/>
      </c>
      <c r="JS13" s="55" t="str">
        <f t="shared" si="69"/>
        <v/>
      </c>
      <c r="JT13" s="55" t="str">
        <f t="shared" si="70"/>
        <v/>
      </c>
      <c r="JU13" s="55" t="str">
        <f t="shared" si="71"/>
        <v/>
      </c>
      <c r="JV13" s="55" t="str">
        <f t="shared" si="72"/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 t="shared" si="73"/>
        <v/>
      </c>
      <c r="KR13" s="14" t="str">
        <f t="shared" si="74"/>
        <v/>
      </c>
      <c r="KS13" s="14" t="str">
        <f t="shared" si="75"/>
        <v/>
      </c>
      <c r="KT13" s="14" t="str">
        <f t="shared" si="76"/>
        <v/>
      </c>
      <c r="KU13" s="14" t="str">
        <f t="shared" si="77"/>
        <v/>
      </c>
      <c r="KV13" s="14" t="str">
        <f t="shared" si="78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 t="shared" si="79"/>
        <v/>
      </c>
      <c r="LR13" s="55" t="str">
        <f t="shared" si="80"/>
        <v/>
      </c>
      <c r="LS13" s="55" t="str">
        <f t="shared" si="81"/>
        <v/>
      </c>
      <c r="LT13" s="55" t="str">
        <f t="shared" si="82"/>
        <v/>
      </c>
      <c r="LU13" s="55" t="str">
        <f t="shared" si="83"/>
        <v/>
      </c>
      <c r="LV13" s="55" t="str">
        <f t="shared" si="84"/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 t="shared" si="85"/>
        <v/>
      </c>
      <c r="MR13" s="14" t="str">
        <f t="shared" si="86"/>
        <v/>
      </c>
      <c r="MS13" s="14" t="str">
        <f t="shared" si="87"/>
        <v/>
      </c>
      <c r="MT13" s="14" t="str">
        <f t="shared" si="88"/>
        <v/>
      </c>
      <c r="MU13" s="14" t="str">
        <f t="shared" si="89"/>
        <v/>
      </c>
      <c r="MV13" s="14" t="str">
        <f t="shared" si="90"/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 t="shared" si="91"/>
        <v/>
      </c>
      <c r="NR13" s="55" t="str">
        <f t="shared" si="92"/>
        <v/>
      </c>
      <c r="NS13" s="55" t="str">
        <f t="shared" si="93"/>
        <v/>
      </c>
      <c r="NT13" s="55" t="str">
        <f t="shared" si="94"/>
        <v/>
      </c>
      <c r="NU13" s="55" t="str">
        <f t="shared" si="95"/>
        <v/>
      </c>
      <c r="NV13" s="55" t="str">
        <f t="shared" si="96"/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 t="shared" si="97"/>
        <v/>
      </c>
      <c r="OR13" s="14" t="str">
        <f t="shared" si="98"/>
        <v/>
      </c>
      <c r="OS13" s="14" t="str">
        <f t="shared" si="99"/>
        <v/>
      </c>
      <c r="OT13" s="14" t="str">
        <f t="shared" si="100"/>
        <v/>
      </c>
      <c r="OU13" s="14" t="str">
        <f t="shared" si="101"/>
        <v/>
      </c>
      <c r="OV13" s="14" t="str">
        <f t="shared" si="102"/>
        <v/>
      </c>
      <c r="OW13" s="27">
        <f t="shared" si="103"/>
        <v>8.9499999999999993</v>
      </c>
      <c r="OX13" s="27">
        <f t="shared" si="104"/>
        <v>2.6</v>
      </c>
      <c r="OY13" s="27">
        <f t="shared" si="105"/>
        <v>0.1</v>
      </c>
      <c r="OZ13" s="27">
        <f t="shared" si="106"/>
        <v>0</v>
      </c>
      <c r="PA13" s="27">
        <f t="shared" si="107"/>
        <v>7.5</v>
      </c>
      <c r="PB13" s="27">
        <f t="shared" si="108"/>
        <v>1.6</v>
      </c>
      <c r="PC13" s="27">
        <f t="shared" si="109"/>
        <v>0</v>
      </c>
      <c r="PD13" s="27">
        <f t="shared" si="110"/>
        <v>0</v>
      </c>
      <c r="PE13" s="27">
        <f t="shared" si="111"/>
        <v>0</v>
      </c>
      <c r="PF13" s="27">
        <f t="shared" si="112"/>
        <v>0</v>
      </c>
      <c r="PG13" s="27">
        <f t="shared" si="113"/>
        <v>0</v>
      </c>
      <c r="PH13" s="27">
        <f t="shared" si="114"/>
        <v>0</v>
      </c>
      <c r="PI13" s="27">
        <f t="shared" si="115"/>
        <v>9.1999999999999993</v>
      </c>
      <c r="PJ13" s="27">
        <f t="shared" si="116"/>
        <v>2.6</v>
      </c>
      <c r="PK13" s="27">
        <f t="shared" si="117"/>
        <v>0.1</v>
      </c>
      <c r="PL13" s="27">
        <f t="shared" si="118"/>
        <v>0</v>
      </c>
      <c r="PM13" s="27">
        <f t="shared" si="119"/>
        <v>9.0500000000000007</v>
      </c>
      <c r="PN13" s="27">
        <f t="shared" si="120"/>
        <v>2.4</v>
      </c>
      <c r="PO13" s="27">
        <f t="shared" si="121"/>
        <v>0.3</v>
      </c>
      <c r="PP13" s="27">
        <f t="shared" si="122"/>
        <v>0</v>
      </c>
      <c r="PQ13" s="32" t="s">
        <v>44</v>
      </c>
      <c r="PR13" s="55">
        <f t="shared" si="123"/>
        <v>4.2</v>
      </c>
      <c r="PS13" s="55">
        <f t="shared" si="124"/>
        <v>20.549999999999997</v>
      </c>
      <c r="PT13" s="55" t="str">
        <f t="shared" si="125"/>
        <v/>
      </c>
      <c r="PU13" s="55">
        <f t="shared" si="126"/>
        <v>5</v>
      </c>
      <c r="PV13" s="55">
        <f t="shared" si="127"/>
        <v>22.85</v>
      </c>
      <c r="PW13" s="55">
        <f t="shared" si="128"/>
        <v>43.4</v>
      </c>
    </row>
    <row r="14" spans="1:439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100</v>
      </c>
      <c r="C14" s="4" t="s">
        <v>65</v>
      </c>
      <c r="D14" s="4">
        <v>2010</v>
      </c>
      <c r="E14" s="10">
        <f t="shared" si="0"/>
        <v>83.930008393004471</v>
      </c>
      <c r="F14" s="3" t="str">
        <f t="shared" si="1"/>
        <v/>
      </c>
      <c r="G14" s="3" t="str">
        <f t="shared" si="2"/>
        <v/>
      </c>
      <c r="H14" s="47" t="str">
        <f t="shared" si="3"/>
        <v/>
      </c>
      <c r="I14" s="9">
        <f>IF(COUNT(AN14,BO14,CP14)&gt;0,LARGE((AN14,BO14,CP14),1),0)</f>
        <v>44.63</v>
      </c>
      <c r="J14" s="9" t="str">
        <f t="shared" si="4"/>
        <v>2025 Elite Canada</v>
      </c>
      <c r="K14" s="9">
        <f>IF(COUNT(AN14,BO14,CP14)&gt;1,LARGE((AN14,BO14,CP14),2),0)</f>
        <v>0</v>
      </c>
      <c r="L14" s="9" t="str">
        <f t="shared" si="5"/>
        <v/>
      </c>
      <c r="M14" s="9">
        <f t="shared" si="6"/>
        <v>39.299999999999997</v>
      </c>
      <c r="N14" s="9" t="str">
        <f t="shared" si="7"/>
        <v>2025 Elite Canada</v>
      </c>
      <c r="O14" s="9" t="str">
        <f t="shared" si="8"/>
        <v/>
      </c>
      <c r="P14" s="14" t="str">
        <f t="shared" si="9"/>
        <v/>
      </c>
      <c r="Q14" s="9" t="str">
        <f t="shared" si="10"/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32"/>
      <c r="AM14" s="55" t="str">
        <f t="shared" si="11"/>
        <v/>
      </c>
      <c r="AN14" s="55" t="str">
        <f t="shared" si="12"/>
        <v/>
      </c>
      <c r="AO14" s="55" t="str">
        <f t="shared" si="13"/>
        <v/>
      </c>
      <c r="AP14" s="55" t="str">
        <f t="shared" si="14"/>
        <v/>
      </c>
      <c r="AQ14" s="55" t="str">
        <f t="shared" si="15"/>
        <v/>
      </c>
      <c r="AR14" s="55" t="str">
        <f t="shared" si="16"/>
        <v/>
      </c>
      <c r="AS14" s="19">
        <v>17.63</v>
      </c>
      <c r="AT14" s="19">
        <v>4.4000000000000004</v>
      </c>
      <c r="AU14" s="19">
        <v>0.8</v>
      </c>
      <c r="AV14" s="19">
        <v>0</v>
      </c>
      <c r="AW14" s="19">
        <v>18</v>
      </c>
      <c r="AX14" s="19">
        <v>5.6</v>
      </c>
      <c r="AY14" s="19">
        <v>0.2</v>
      </c>
      <c r="AZ14" s="19">
        <v>0</v>
      </c>
      <c r="BA14" s="19"/>
      <c r="BB14" s="19"/>
      <c r="BC14" s="19"/>
      <c r="BD14" s="19"/>
      <c r="BE14" s="19">
        <v>15.2</v>
      </c>
      <c r="BF14" s="19">
        <v>2.8</v>
      </c>
      <c r="BG14" s="19">
        <v>0</v>
      </c>
      <c r="BH14" s="19">
        <v>0</v>
      </c>
      <c r="BI14" s="19">
        <v>16.3</v>
      </c>
      <c r="BJ14" s="19">
        <v>5.2</v>
      </c>
      <c r="BK14" s="19">
        <v>0.2</v>
      </c>
      <c r="BL14" s="19">
        <v>0</v>
      </c>
      <c r="BM14" s="33"/>
      <c r="BN14" s="14">
        <f t="shared" si="17"/>
        <v>10</v>
      </c>
      <c r="BO14" s="14">
        <f t="shared" si="18"/>
        <v>44.63</v>
      </c>
      <c r="BP14" s="14" t="str">
        <f t="shared" si="19"/>
        <v/>
      </c>
      <c r="BQ14" s="14">
        <f t="shared" si="20"/>
        <v>8</v>
      </c>
      <c r="BR14" s="14">
        <f t="shared" si="21"/>
        <v>39.299999999999997</v>
      </c>
      <c r="BS14" s="14">
        <f t="shared" si="22"/>
        <v>83.93</v>
      </c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32"/>
      <c r="CO14" s="55" t="str">
        <f t="shared" si="23"/>
        <v/>
      </c>
      <c r="CP14" s="55" t="str">
        <f t="shared" si="24"/>
        <v/>
      </c>
      <c r="CQ14" s="55" t="str">
        <f t="shared" si="25"/>
        <v/>
      </c>
      <c r="CR14" s="55" t="str">
        <f t="shared" si="26"/>
        <v/>
      </c>
      <c r="CS14" s="55" t="str">
        <f t="shared" si="27"/>
        <v/>
      </c>
      <c r="CT14" s="55" t="str">
        <f t="shared" si="28"/>
        <v/>
      </c>
      <c r="CU14" s="56" t="str">
        <f t="shared" si="29"/>
        <v/>
      </c>
      <c r="CV14" s="56" t="str">
        <f t="shared" si="30"/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 t="shared" si="31"/>
        <v/>
      </c>
      <c r="DR14" s="55" t="str">
        <f t="shared" si="32"/>
        <v/>
      </c>
      <c r="DS14" s="55" t="str">
        <f t="shared" si="33"/>
        <v/>
      </c>
      <c r="DT14" s="55" t="str">
        <f t="shared" si="34"/>
        <v/>
      </c>
      <c r="DU14" s="55" t="str">
        <f t="shared" si="35"/>
        <v/>
      </c>
      <c r="DV14" s="55" t="str">
        <f t="shared" si="36"/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 t="shared" si="37"/>
        <v/>
      </c>
      <c r="ER14" s="14" t="str">
        <f t="shared" si="38"/>
        <v/>
      </c>
      <c r="ES14" s="14" t="str">
        <f t="shared" si="39"/>
        <v/>
      </c>
      <c r="ET14" s="14" t="str">
        <f t="shared" si="40"/>
        <v/>
      </c>
      <c r="EU14" s="14" t="str">
        <f t="shared" si="41"/>
        <v/>
      </c>
      <c r="EV14" s="14" t="str">
        <f t="shared" si="42"/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 t="shared" si="43"/>
        <v/>
      </c>
      <c r="FR14" s="55" t="str">
        <f t="shared" si="44"/>
        <v/>
      </c>
      <c r="FS14" s="55" t="str">
        <f t="shared" si="45"/>
        <v/>
      </c>
      <c r="FT14" s="55" t="str">
        <f t="shared" si="46"/>
        <v/>
      </c>
      <c r="FU14" s="55" t="str">
        <f t="shared" si="47"/>
        <v/>
      </c>
      <c r="FV14" s="55" t="str">
        <f t="shared" si="48"/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 t="shared" si="49"/>
        <v/>
      </c>
      <c r="GR14" s="14" t="str">
        <f t="shared" si="50"/>
        <v/>
      </c>
      <c r="GS14" s="14" t="str">
        <f t="shared" si="51"/>
        <v/>
      </c>
      <c r="GT14" s="14" t="str">
        <f t="shared" si="52"/>
        <v/>
      </c>
      <c r="GU14" s="14" t="str">
        <f t="shared" si="53"/>
        <v/>
      </c>
      <c r="GV14" s="14" t="str">
        <f t="shared" si="54"/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 t="shared" si="55"/>
        <v/>
      </c>
      <c r="HR14" s="55" t="str">
        <f t="shared" si="56"/>
        <v/>
      </c>
      <c r="HS14" s="55" t="str">
        <f t="shared" si="57"/>
        <v/>
      </c>
      <c r="HT14" s="55" t="str">
        <f t="shared" si="58"/>
        <v/>
      </c>
      <c r="HU14" s="55" t="str">
        <f t="shared" si="59"/>
        <v/>
      </c>
      <c r="HV14" s="55" t="str">
        <f t="shared" si="60"/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 t="shared" si="61"/>
        <v/>
      </c>
      <c r="IR14" s="14" t="str">
        <f t="shared" si="62"/>
        <v/>
      </c>
      <c r="IS14" s="14" t="str">
        <f t="shared" si="63"/>
        <v/>
      </c>
      <c r="IT14" s="14" t="str">
        <f t="shared" si="64"/>
        <v/>
      </c>
      <c r="IU14" s="14" t="str">
        <f t="shared" si="65"/>
        <v/>
      </c>
      <c r="IV14" s="14" t="str">
        <f t="shared" si="66"/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 t="shared" si="67"/>
        <v/>
      </c>
      <c r="JR14" s="55" t="str">
        <f t="shared" si="68"/>
        <v/>
      </c>
      <c r="JS14" s="55" t="str">
        <f t="shared" si="69"/>
        <v/>
      </c>
      <c r="JT14" s="55" t="str">
        <f t="shared" si="70"/>
        <v/>
      </c>
      <c r="JU14" s="55" t="str">
        <f t="shared" si="71"/>
        <v/>
      </c>
      <c r="JV14" s="55" t="str">
        <f t="shared" si="72"/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 t="shared" si="73"/>
        <v/>
      </c>
      <c r="KR14" s="14" t="str">
        <f t="shared" si="74"/>
        <v/>
      </c>
      <c r="KS14" s="14" t="str">
        <f t="shared" si="75"/>
        <v/>
      </c>
      <c r="KT14" s="14" t="str">
        <f t="shared" si="76"/>
        <v/>
      </c>
      <c r="KU14" s="14" t="str">
        <f t="shared" si="77"/>
        <v/>
      </c>
      <c r="KV14" s="14" t="str">
        <f t="shared" si="78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 t="shared" si="79"/>
        <v/>
      </c>
      <c r="LR14" s="55" t="str">
        <f t="shared" si="80"/>
        <v/>
      </c>
      <c r="LS14" s="55" t="str">
        <f t="shared" si="81"/>
        <v/>
      </c>
      <c r="LT14" s="55" t="str">
        <f t="shared" si="82"/>
        <v/>
      </c>
      <c r="LU14" s="55" t="str">
        <f t="shared" si="83"/>
        <v/>
      </c>
      <c r="LV14" s="55" t="str">
        <f t="shared" si="84"/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 t="shared" si="85"/>
        <v/>
      </c>
      <c r="MR14" s="14" t="str">
        <f t="shared" si="86"/>
        <v/>
      </c>
      <c r="MS14" s="14" t="str">
        <f t="shared" si="87"/>
        <v/>
      </c>
      <c r="MT14" s="14" t="str">
        <f t="shared" si="88"/>
        <v/>
      </c>
      <c r="MU14" s="14" t="str">
        <f t="shared" si="89"/>
        <v/>
      </c>
      <c r="MV14" s="14" t="str">
        <f t="shared" si="90"/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 t="shared" si="91"/>
        <v/>
      </c>
      <c r="NR14" s="55" t="str">
        <f t="shared" si="92"/>
        <v/>
      </c>
      <c r="NS14" s="55" t="str">
        <f t="shared" si="93"/>
        <v/>
      </c>
      <c r="NT14" s="55" t="str">
        <f t="shared" si="94"/>
        <v/>
      </c>
      <c r="NU14" s="55" t="str">
        <f t="shared" si="95"/>
        <v/>
      </c>
      <c r="NV14" s="55" t="str">
        <f t="shared" si="96"/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 t="shared" si="97"/>
        <v/>
      </c>
      <c r="OR14" s="14" t="str">
        <f t="shared" si="98"/>
        <v/>
      </c>
      <c r="OS14" s="14" t="str">
        <f t="shared" si="99"/>
        <v/>
      </c>
      <c r="OT14" s="14" t="str">
        <f t="shared" si="100"/>
        <v/>
      </c>
      <c r="OU14" s="14" t="str">
        <f t="shared" si="101"/>
        <v/>
      </c>
      <c r="OV14" s="14" t="str">
        <f t="shared" si="102"/>
        <v/>
      </c>
      <c r="OW14" s="27">
        <f t="shared" si="103"/>
        <v>8.8149999999999995</v>
      </c>
      <c r="OX14" s="27">
        <f t="shared" si="104"/>
        <v>2.2000000000000002</v>
      </c>
      <c r="OY14" s="27">
        <f t="shared" si="105"/>
        <v>0.4</v>
      </c>
      <c r="OZ14" s="27">
        <f t="shared" si="106"/>
        <v>0</v>
      </c>
      <c r="PA14" s="27">
        <f t="shared" si="107"/>
        <v>9</v>
      </c>
      <c r="PB14" s="27">
        <f t="shared" si="108"/>
        <v>2.8</v>
      </c>
      <c r="PC14" s="27">
        <f t="shared" si="109"/>
        <v>0.1</v>
      </c>
      <c r="PD14" s="27">
        <f t="shared" si="110"/>
        <v>0</v>
      </c>
      <c r="PE14" s="27">
        <f t="shared" si="111"/>
        <v>0</v>
      </c>
      <c r="PF14" s="27">
        <f t="shared" si="112"/>
        <v>0</v>
      </c>
      <c r="PG14" s="27">
        <f t="shared" si="113"/>
        <v>0</v>
      </c>
      <c r="PH14" s="27">
        <f t="shared" si="114"/>
        <v>0</v>
      </c>
      <c r="PI14" s="27">
        <f t="shared" si="115"/>
        <v>7.6</v>
      </c>
      <c r="PJ14" s="27">
        <f t="shared" si="116"/>
        <v>1.4</v>
      </c>
      <c r="PK14" s="27">
        <f t="shared" si="117"/>
        <v>0</v>
      </c>
      <c r="PL14" s="27">
        <f t="shared" si="118"/>
        <v>0</v>
      </c>
      <c r="PM14" s="27">
        <f t="shared" si="119"/>
        <v>8.15</v>
      </c>
      <c r="PN14" s="27">
        <f t="shared" si="120"/>
        <v>2.6</v>
      </c>
      <c r="PO14" s="27">
        <f t="shared" si="121"/>
        <v>0.1</v>
      </c>
      <c r="PP14" s="27">
        <f t="shared" si="122"/>
        <v>0</v>
      </c>
      <c r="PQ14" s="32" t="s">
        <v>44</v>
      </c>
      <c r="PR14" s="55">
        <f t="shared" si="123"/>
        <v>5</v>
      </c>
      <c r="PS14" s="55">
        <f t="shared" si="124"/>
        <v>22.315000000000001</v>
      </c>
      <c r="PT14" s="55" t="str">
        <f t="shared" si="125"/>
        <v/>
      </c>
      <c r="PU14" s="55">
        <f t="shared" si="126"/>
        <v>4</v>
      </c>
      <c r="PV14" s="55">
        <f t="shared" si="127"/>
        <v>19.649999999999999</v>
      </c>
      <c r="PW14" s="55">
        <f t="shared" si="128"/>
        <v>41.965000000000003</v>
      </c>
    </row>
    <row r="15" spans="1:439" ht="17" x14ac:dyDescent="0.2">
      <c r="O15" s="11"/>
      <c r="P15" s="11"/>
      <c r="Q15" s="11"/>
    </row>
    <row r="16" spans="1:439" ht="17" x14ac:dyDescent="0.2">
      <c r="O16" s="11"/>
      <c r="P16" s="11"/>
      <c r="Q16" s="11"/>
    </row>
    <row r="17" spans="1:412" ht="17" x14ac:dyDescent="0.2">
      <c r="B17" s="28" t="s">
        <v>42</v>
      </c>
      <c r="O17" s="11"/>
      <c r="P17" s="11"/>
      <c r="Q17" s="11"/>
      <c r="AM17" s="4"/>
      <c r="AR17" s="57">
        <v>10.4</v>
      </c>
      <c r="BN17" s="4"/>
      <c r="BS17" s="57">
        <v>13.2</v>
      </c>
      <c r="CO17" s="4"/>
      <c r="CT17" s="57">
        <v>13.2</v>
      </c>
      <c r="DQ17" s="4"/>
      <c r="DV17" s="57">
        <v>13.2</v>
      </c>
      <c r="EQ17" s="4"/>
      <c r="EV17" s="57">
        <v>13.2</v>
      </c>
      <c r="FQ17" s="4"/>
      <c r="FV17" s="57">
        <v>13.2</v>
      </c>
      <c r="GQ17" s="4"/>
      <c r="GV17" s="57">
        <v>13.2</v>
      </c>
      <c r="HQ17" s="4"/>
      <c r="HV17" s="57">
        <v>13.2</v>
      </c>
      <c r="IQ17" s="4"/>
      <c r="IV17" s="57">
        <v>13.2</v>
      </c>
      <c r="JQ17" s="4"/>
      <c r="JV17" s="57">
        <v>13.2</v>
      </c>
      <c r="KQ17" s="4"/>
      <c r="KV17" s="57">
        <v>13.2</v>
      </c>
      <c r="LQ17" s="4"/>
      <c r="LV17" s="57">
        <v>13.2</v>
      </c>
      <c r="MQ17" s="4"/>
      <c r="MV17" s="57">
        <v>13.2</v>
      </c>
      <c r="NQ17" s="4"/>
      <c r="NV17" s="57">
        <v>13.2</v>
      </c>
      <c r="OQ17" s="4"/>
      <c r="OV17" s="57">
        <v>13.2</v>
      </c>
    </row>
    <row r="18" spans="1:412" ht="17" hidden="1" x14ac:dyDescent="0.2">
      <c r="B18" s="35" t="s">
        <v>41</v>
      </c>
      <c r="O18" s="11"/>
      <c r="P18" s="11"/>
      <c r="Q18" s="11"/>
      <c r="AM18" s="4"/>
      <c r="AR18" s="58">
        <v>1000</v>
      </c>
      <c r="BN18" s="4"/>
      <c r="BS18" s="58">
        <v>1000</v>
      </c>
      <c r="CO18" s="4"/>
      <c r="CT18" s="58">
        <v>1000</v>
      </c>
      <c r="DQ18" s="4"/>
      <c r="DV18" s="58">
        <v>1000</v>
      </c>
      <c r="EQ18" s="4"/>
      <c r="EV18" s="58">
        <v>1000</v>
      </c>
      <c r="FQ18" s="4"/>
      <c r="FV18" s="58">
        <v>1000</v>
      </c>
      <c r="GQ18" s="4"/>
      <c r="GV18" s="58">
        <v>1000</v>
      </c>
      <c r="HQ18" s="4"/>
      <c r="HV18" s="58">
        <v>1000</v>
      </c>
      <c r="IQ18" s="4"/>
      <c r="IV18" s="58">
        <v>1000</v>
      </c>
      <c r="JQ18" s="4"/>
      <c r="JV18" s="58">
        <v>1000</v>
      </c>
      <c r="KQ18" s="4"/>
      <c r="KV18" s="58">
        <v>1000</v>
      </c>
      <c r="LQ18" s="4"/>
      <c r="LV18" s="58">
        <v>1000</v>
      </c>
      <c r="MQ18" s="4"/>
      <c r="MV18" s="58">
        <v>1000</v>
      </c>
      <c r="NQ18" s="4"/>
      <c r="NV18" s="58">
        <v>1000</v>
      </c>
      <c r="OQ18" s="4"/>
      <c r="OV18" s="58">
        <v>1000</v>
      </c>
    </row>
    <row r="19" spans="1:412" ht="17" hidden="1" x14ac:dyDescent="0.2">
      <c r="A19" s="5"/>
      <c r="B19" s="36" t="s">
        <v>54</v>
      </c>
      <c r="C19" s="22"/>
      <c r="O19" s="11"/>
      <c r="P19" s="11"/>
      <c r="Q19" s="11"/>
      <c r="AM19" s="4"/>
      <c r="AR19" s="59">
        <v>1000</v>
      </c>
      <c r="BN19" s="4"/>
      <c r="BS19" s="59">
        <v>1000</v>
      </c>
      <c r="CO19" s="4"/>
      <c r="CT19" s="59">
        <v>1000</v>
      </c>
      <c r="DQ19" s="4"/>
      <c r="DV19" s="59">
        <v>1000</v>
      </c>
      <c r="EQ19" s="4"/>
      <c r="EV19" s="59">
        <v>1000</v>
      </c>
      <c r="FQ19" s="4"/>
      <c r="FV19" s="59">
        <v>1000</v>
      </c>
      <c r="GQ19" s="4"/>
      <c r="GV19" s="59">
        <v>1000</v>
      </c>
      <c r="HQ19" s="4"/>
      <c r="HV19" s="59">
        <v>1000</v>
      </c>
      <c r="IQ19" s="4"/>
      <c r="IV19" s="59">
        <v>1000</v>
      </c>
      <c r="JQ19" s="4"/>
      <c r="JV19" s="59">
        <v>1000</v>
      </c>
      <c r="KQ19" s="4"/>
      <c r="KV19" s="59">
        <v>1000</v>
      </c>
      <c r="LQ19" s="4"/>
      <c r="LV19" s="59">
        <v>1000</v>
      </c>
      <c r="MQ19" s="4"/>
      <c r="MV19" s="59">
        <v>1000</v>
      </c>
      <c r="NQ19" s="4"/>
      <c r="NV19" s="59">
        <v>1000</v>
      </c>
      <c r="OQ19" s="4"/>
      <c r="OV19" s="59">
        <v>1000</v>
      </c>
    </row>
    <row r="20" spans="1:412" ht="17" hidden="1" x14ac:dyDescent="0.2">
      <c r="A20" s="5"/>
      <c r="B20" s="44" t="s">
        <v>59</v>
      </c>
      <c r="C20" s="22"/>
      <c r="O20" s="11"/>
      <c r="P20" s="11"/>
      <c r="Q20" s="11"/>
      <c r="AM20" s="4"/>
      <c r="AR20" s="65">
        <v>1000</v>
      </c>
      <c r="BN20" s="4"/>
      <c r="BS20" s="65">
        <v>1000</v>
      </c>
      <c r="CO20" s="4"/>
      <c r="CT20" s="65">
        <v>1000</v>
      </c>
      <c r="DQ20" s="4"/>
      <c r="DV20" s="65">
        <v>1000</v>
      </c>
      <c r="EQ20" s="4"/>
      <c r="EV20" s="65">
        <v>1000</v>
      </c>
      <c r="FQ20" s="4"/>
      <c r="FV20" s="65">
        <v>1000</v>
      </c>
      <c r="GQ20" s="4"/>
      <c r="GV20" s="65">
        <v>1000</v>
      </c>
      <c r="HQ20" s="4"/>
      <c r="HV20" s="65">
        <v>1000</v>
      </c>
      <c r="IQ20" s="4"/>
      <c r="IV20" s="65">
        <v>1000</v>
      </c>
      <c r="JQ20" s="4"/>
      <c r="JV20" s="65">
        <v>1000</v>
      </c>
      <c r="KQ20" s="4"/>
      <c r="KV20" s="65">
        <v>1000</v>
      </c>
      <c r="LQ20" s="4"/>
      <c r="LV20" s="65">
        <v>1000</v>
      </c>
      <c r="MQ20" s="4"/>
      <c r="MV20" s="65">
        <v>1000</v>
      </c>
      <c r="NQ20" s="4"/>
      <c r="NV20" s="65">
        <v>1000</v>
      </c>
      <c r="OQ20" s="4"/>
      <c r="OV20" s="65">
        <v>1000</v>
      </c>
    </row>
    <row r="21" spans="1:412" ht="17" x14ac:dyDescent="0.2">
      <c r="A21" s="5"/>
      <c r="B21" s="42" t="s">
        <v>39</v>
      </c>
      <c r="C21" s="22"/>
      <c r="O21" s="11"/>
      <c r="P21" s="11"/>
      <c r="Q21" s="11"/>
      <c r="AM21" s="4"/>
      <c r="AR21" s="66">
        <v>47.2</v>
      </c>
      <c r="BN21" s="4"/>
      <c r="BS21" s="66">
        <v>50</v>
      </c>
      <c r="CO21" s="4"/>
      <c r="CT21" s="66">
        <v>50</v>
      </c>
      <c r="DQ21" s="4"/>
      <c r="DV21" s="66">
        <v>50</v>
      </c>
      <c r="EQ21" s="4"/>
      <c r="EV21" s="66">
        <v>50</v>
      </c>
      <c r="FQ21" s="4"/>
      <c r="FV21" s="66">
        <v>50</v>
      </c>
      <c r="GQ21" s="4"/>
      <c r="GV21" s="66">
        <v>50</v>
      </c>
      <c r="HQ21" s="4"/>
      <c r="HV21" s="66">
        <v>50</v>
      </c>
      <c r="IQ21" s="4"/>
      <c r="IV21" s="66">
        <v>50</v>
      </c>
      <c r="JQ21" s="4"/>
      <c r="JV21" s="66">
        <v>50</v>
      </c>
      <c r="KQ21" s="4"/>
      <c r="KV21" s="66">
        <v>50</v>
      </c>
      <c r="LQ21" s="4"/>
      <c r="LV21" s="66">
        <v>50</v>
      </c>
      <c r="MQ21" s="4"/>
      <c r="MV21" s="66">
        <v>50</v>
      </c>
      <c r="NQ21" s="4"/>
      <c r="NV21" s="66">
        <v>50</v>
      </c>
      <c r="OQ21" s="4"/>
      <c r="OV21" s="66">
        <v>50</v>
      </c>
    </row>
    <row r="22" spans="1:412" ht="17" hidden="1" x14ac:dyDescent="0.2">
      <c r="A22" s="5"/>
      <c r="B22" s="29" t="s">
        <v>40</v>
      </c>
      <c r="C22" s="22"/>
      <c r="O22" s="11"/>
      <c r="P22" s="11"/>
      <c r="Q22" s="11"/>
      <c r="AM22" s="4"/>
      <c r="AR22" s="62">
        <v>1000</v>
      </c>
      <c r="BN22" s="4"/>
      <c r="BS22" s="62">
        <v>1000</v>
      </c>
      <c r="CO22" s="4"/>
      <c r="CT22" s="62">
        <v>1000</v>
      </c>
      <c r="DQ22" s="4"/>
      <c r="DV22" s="62">
        <v>1000</v>
      </c>
      <c r="EQ22" s="4"/>
      <c r="EV22" s="62">
        <v>1000</v>
      </c>
      <c r="FQ22" s="4"/>
      <c r="FV22" s="62">
        <v>1000</v>
      </c>
      <c r="GQ22" s="4"/>
      <c r="GV22" s="62">
        <v>1000</v>
      </c>
      <c r="HQ22" s="4"/>
      <c r="HV22" s="62">
        <v>1000</v>
      </c>
      <c r="IQ22" s="4"/>
      <c r="IV22" s="62">
        <v>1000</v>
      </c>
      <c r="JQ22" s="4"/>
      <c r="JV22" s="62">
        <v>1000</v>
      </c>
      <c r="KQ22" s="4"/>
      <c r="KV22" s="62">
        <v>1000</v>
      </c>
      <c r="LQ22" s="4"/>
      <c r="LV22" s="62">
        <v>1000</v>
      </c>
      <c r="MQ22" s="4"/>
      <c r="MV22" s="62">
        <v>1000</v>
      </c>
      <c r="NQ22" s="4"/>
      <c r="NV22" s="62">
        <v>1000</v>
      </c>
      <c r="OQ22" s="4"/>
      <c r="OV22" s="62">
        <v>1000</v>
      </c>
    </row>
    <row r="23" spans="1:412" ht="17" hidden="1" x14ac:dyDescent="0.2">
      <c r="A23" s="5"/>
      <c r="B23" s="40" t="s">
        <v>53</v>
      </c>
      <c r="C23" s="22"/>
      <c r="O23" s="11"/>
      <c r="P23" s="11"/>
      <c r="Q23" s="11"/>
      <c r="AM23" s="4"/>
      <c r="AR23" s="63">
        <v>1000</v>
      </c>
      <c r="BN23" s="4"/>
      <c r="BS23" s="63">
        <v>1000</v>
      </c>
      <c r="CO23" s="4"/>
      <c r="CT23" s="63">
        <v>1000</v>
      </c>
      <c r="DQ23" s="4"/>
      <c r="DV23" s="63">
        <v>1000</v>
      </c>
      <c r="EQ23" s="4"/>
      <c r="EV23" s="63">
        <v>1000</v>
      </c>
      <c r="FQ23" s="4"/>
      <c r="FV23" s="63">
        <v>1000</v>
      </c>
      <c r="GQ23" s="4"/>
      <c r="GV23" s="63">
        <v>1000</v>
      </c>
      <c r="HQ23" s="4"/>
      <c r="HV23" s="63">
        <v>1000</v>
      </c>
      <c r="IQ23" s="4"/>
      <c r="IV23" s="63">
        <v>1000</v>
      </c>
      <c r="JQ23" s="4"/>
      <c r="JV23" s="63">
        <v>1000</v>
      </c>
      <c r="KQ23" s="4"/>
      <c r="KV23" s="63">
        <v>1000</v>
      </c>
      <c r="LQ23" s="4"/>
      <c r="LV23" s="63">
        <v>1000</v>
      </c>
      <c r="MQ23" s="4"/>
      <c r="MV23" s="63">
        <v>1000</v>
      </c>
      <c r="NQ23" s="4"/>
      <c r="NV23" s="63">
        <v>1000</v>
      </c>
      <c r="OQ23" s="4"/>
      <c r="OV23" s="63">
        <v>1000</v>
      </c>
    </row>
    <row r="24" spans="1:412" ht="17" hidden="1" x14ac:dyDescent="0.2">
      <c r="A24" s="5"/>
      <c r="B24" s="30" t="s">
        <v>26</v>
      </c>
      <c r="C24" s="22"/>
      <c r="O24" s="11"/>
      <c r="P24" s="11"/>
      <c r="Q24" s="11"/>
      <c r="AM24" s="4"/>
      <c r="AR24" s="64">
        <v>1000</v>
      </c>
      <c r="BN24" s="4"/>
      <c r="BS24" s="64">
        <v>1000</v>
      </c>
      <c r="CO24" s="4"/>
      <c r="CT24" s="64">
        <v>1000</v>
      </c>
      <c r="DQ24" s="4"/>
      <c r="DV24" s="64">
        <v>1000</v>
      </c>
      <c r="EQ24" s="4"/>
      <c r="EV24" s="64">
        <v>1000</v>
      </c>
      <c r="FQ24" s="4"/>
      <c r="FV24" s="64">
        <v>1000</v>
      </c>
      <c r="GQ24" s="4"/>
      <c r="GV24" s="64">
        <v>1000</v>
      </c>
      <c r="HQ24" s="4"/>
      <c r="HV24" s="64">
        <v>1000</v>
      </c>
      <c r="IQ24" s="4"/>
      <c r="IV24" s="64">
        <v>1000</v>
      </c>
      <c r="JQ24" s="4"/>
      <c r="JV24" s="64">
        <v>1000</v>
      </c>
      <c r="KQ24" s="4"/>
      <c r="KV24" s="64">
        <v>1000</v>
      </c>
      <c r="LQ24" s="4"/>
      <c r="LV24" s="64">
        <v>1000</v>
      </c>
      <c r="MQ24" s="4"/>
      <c r="MV24" s="64">
        <v>1000</v>
      </c>
      <c r="NQ24" s="4"/>
      <c r="NV24" s="64">
        <v>1000</v>
      </c>
      <c r="OQ24" s="4"/>
      <c r="OV24" s="64">
        <v>1000</v>
      </c>
    </row>
    <row r="25" spans="1:412" x14ac:dyDescent="0.2">
      <c r="B25" s="34" t="s">
        <v>45</v>
      </c>
      <c r="C25" s="2"/>
    </row>
    <row r="26" spans="1:412" x14ac:dyDescent="0.2">
      <c r="A26" s="5"/>
      <c r="B26" s="5"/>
      <c r="C26" s="22"/>
    </row>
    <row r="27" spans="1:412" x14ac:dyDescent="0.2">
      <c r="A27" s="5"/>
      <c r="B27" s="5"/>
      <c r="C27" s="22"/>
    </row>
    <row r="28" spans="1:412" x14ac:dyDescent="0.2">
      <c r="A28" s="5"/>
      <c r="B28" s="5"/>
      <c r="C28" s="22"/>
    </row>
    <row r="29" spans="1:412" x14ac:dyDescent="0.2">
      <c r="A29" s="5"/>
      <c r="B29" s="5"/>
      <c r="C2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4">
      <sortCondition descending="1" ref="F1:F1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4">
    <cfRule type="expression" dxfId="57" priority="2" stopIfTrue="1">
      <formula>IF($AL4&lt;&gt;"",1,0)</formula>
    </cfRule>
  </conditionalFormatting>
  <conditionalFormatting sqref="AS4:BS14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14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69741" operator="between">
      <formula>AR$20</formula>
      <formula>1000</formula>
    </cfRule>
    <cfRule type="cellIs" dxfId="43" priority="69742" operator="between">
      <formula>AR$19</formula>
      <formula>AR$20</formula>
    </cfRule>
    <cfRule type="cellIs" dxfId="42" priority="69743" operator="between">
      <formula>AR$18</formula>
      <formula>AR$19</formula>
    </cfRule>
    <cfRule type="cellIs" dxfId="41" priority="69744" operator="between">
      <formula>AR$17</formula>
      <formula>AR$18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69921" operator="between">
      <formula>AR$24</formula>
      <formula>1000</formula>
    </cfRule>
    <cfRule type="cellIs" dxfId="39" priority="69922" operator="between">
      <formula>AR$23</formula>
      <formula>AR$24</formula>
    </cfRule>
    <cfRule type="cellIs" dxfId="38" priority="69923" operator="between">
      <formula>AR$22</formula>
      <formula>AR$23</formula>
    </cfRule>
    <cfRule type="cellIs" dxfId="37" priority="69924" operator="between">
      <formula>AR$21</formula>
      <formula>AR$22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70101" operator="between">
      <formula>AR$20</formula>
      <formula>1000</formula>
    </cfRule>
    <cfRule type="cellIs" dxfId="35" priority="70102" operator="between">
      <formula>AR$19</formula>
      <formula>AR$20</formula>
    </cfRule>
    <cfRule type="cellIs" dxfId="34" priority="70103" operator="between">
      <formula>AR$18</formula>
      <formula>AR$19</formula>
    </cfRule>
    <cfRule type="cellIs" dxfId="33" priority="70104" operator="between">
      <formula>AR$17</formula>
      <formula>AR$18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70281" operator="between">
      <formula>AR$21</formula>
      <formula>AR$22</formula>
    </cfRule>
    <cfRule type="cellIs" dxfId="31" priority="70282" operator="between">
      <formula>AR$22</formula>
      <formula>AR$23</formula>
    </cfRule>
    <cfRule type="cellIs" dxfId="30" priority="70283" operator="between">
      <formula>AR$23</formula>
      <formula>AR$24</formula>
    </cfRule>
    <cfRule type="cellIs" dxfId="29" priority="70284" operator="between">
      <formula>AR$24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83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66</v>
      </c>
      <c r="C4" s="4" t="s">
        <v>67</v>
      </c>
      <c r="D4" s="4">
        <v>2009</v>
      </c>
      <c r="E4" s="10">
        <f t="shared" ref="E4:E16" si="0">SUM(I4:O4)+SUM(I4:M4)*0.0000001+SUM(I4)*0.0000000000001</f>
        <v>154.20001542000512</v>
      </c>
      <c r="F4" s="3" t="str">
        <f t="shared" ref="F4:F16" si="1">IF(OR(AND(AM4&gt;=AR$19,AN4&gt;=AR$23,AM4&lt;&gt;"",AL4=""),AND(AP4&gt;=AR$19,AQ4&gt;=AR$23,AP4&lt;&gt;"",AL4=""),AND(BN4&gt;=BS$19,BO4&gt;=BS$23,BN4&lt;&gt;"",BM4=""),AND(BQ4&gt;=BS$19,BR4&gt;=BS$23,BQ4&lt;&gt;"",BM4=""),AND(CO4&gt;=CT$19,CP4&gt;=CT$23,CO4&lt;&gt;"",CN4=""),AND(CR4&gt;=CT$19,CS4&gt;=CT$23,CR4&lt;&gt;""),AND(DQ4&gt;=DV$19,DR4&gt;=DV$23,DQ4&lt;&gt;""),AND(DT4&gt;=DV$19,DU4&gt;=DV$23,DT4&lt;&gt;""),AND(EQ4&gt;=EV$19,ER4&gt;=EV$23,EQ4&lt;&gt;""),AND(ET4&gt;=EV$19,EU4&gt;=EV$23,ET4&lt;&gt;""),AND(FQ4&gt;=FV$19,FR4&gt;=FV$23,FQ4&lt;&gt;""),AND(FT4&gt;=FV$19,FU4&gt;=FV$23,FT4&lt;&gt;""),AND(GQ4&gt;=GV$19,GR4&gt;=GV$23,GQ4&lt;&gt;""),AND(GT4&gt;=GV$19,GU4&gt;=GV$23,GT4&lt;&gt;""),AND(HQ4&gt;=HV$19,HR4&gt;=HV$23,HQ4&lt;&gt;""),AND(HT4&gt;=HV$19,HU4&gt;=HV$23,HT4&lt;&gt;""),AND(IQ4&gt;=IV$19,IR4&gt;=IV$23,IQ4&lt;&gt;""),AND(IT4&gt;=IV$19,IU4&gt;=IV$23,IT4&lt;&gt;""),AND(JQ4&gt;=JV$19,JR4&gt;=JV$23,JQ4&lt;&gt;""),AND(JT4&gt;=JV$19,JU4&gt;=JV$23,JT4&lt;&gt;""),AND(KQ4&gt;=KV$19,KR4&gt;=KV$23,KQ4&lt;&gt;""),AND(KT4&gt;=KV$19,KU4&gt;=KV$23,KT4&lt;&gt;""),AND(LQ4&gt;=LV$19,LR4&gt;=LV$23,LQ4&lt;&gt;""),AND(LT4&gt;=LV$19,LU4&gt;=LV$23,LT4&lt;&gt;""),AND(MQ4&gt;=MV$19,MR4&gt;=MV$23,MQ4&lt;&gt;""),AND(MT4&gt;=MV$19,MU4&gt;=MV$23,MT4&lt;&gt;""),AND(NQ4&gt;=NV$19,NR4&gt;=NV$23,NQ4&lt;&gt;""),AND(NT4&gt;=NV$19,NU4&gt;=NV$23,NT4&lt;&gt;""),AND(OQ4&gt;=OV$19,OR4&gt;=OV$23,OQ4&lt;&gt;""),AND(OT4&gt;=OV$19,OU4&gt;=OV$23,OT4&lt;&gt;"")),"P","")</f>
        <v>P</v>
      </c>
      <c r="G4" s="3" t="str">
        <f t="shared" ref="G4:G16" si="2">IF(OR(AND(AN4&gt;=AR$23,AN4&lt;&gt;"",AL4=""),AND(AQ4&gt;=AR$23,AQ4&lt;&gt;"",AL4=""),AND(BO4&gt;=BS$23,BO4&lt;&gt;"",BM4=""),AND(BR4&gt;=BS$23,BR4&lt;&gt;"",BM4=""),AND(CP4&gt;=CT$23,CP4&lt;&gt;"",CN4=""),AND(CS4&gt;=CT$23,CS4&lt;&gt;"",CN4=""),AND(DR4&gt;=DV$23,DR4&lt;&gt;""),AND(DU4&gt;=DV$23,DU4&lt;&gt;""),AND(ER4&gt;=EV$23,ER4&lt;&gt;""),AND(EU4&gt;=EV$23,EU4&lt;&gt;""),AND(FR4&gt;=FV$23,FR4&lt;&gt;""),AND(FU4&gt;=FV$23,FU4&lt;&gt;""),AND(GR4&gt;=GV$23,GR4&lt;&gt;""),AND(GU4&gt;=GV$23,GU4&lt;&gt;""),AND(HR4&gt;=HV$23,HR4&lt;&gt;""),AND(HU4&gt;=HV$23,HU4&lt;&gt;""),AND(IR4&gt;=IV$23,IR4&lt;&gt;""),AND(IU4&gt;=IV$23,IU4&lt;&gt;""),AND(JR4&gt;=JV$23,JR4&lt;&gt;""),AND(JU4&gt;=JV$23,JU4&lt;&gt;""),AND(KR4&gt;=KV$23,KR4&lt;&gt;""),AND(KU4&gt;=KV$23,KU4&lt;&gt;""),AND(LR4&gt;=LV$23,LR4&lt;&gt;""),AND(LU4&gt;=LV$23,LU4&lt;&gt;""),AND(MR4&gt;=MV$23,MR4&lt;&gt;""),AND(MU4&gt;=MV$23,MU4&lt;&gt;""),AND(NR4&gt;=NV$23,NR4&lt;&gt;""),AND(NU4&gt;=NV$23,NU4&lt;&gt;""),AND(OR4&gt;=OV$23,OR4&lt;&gt;""),AND(OU4&gt;=OV$23,OU4&lt;&gt;"")),"P","")</f>
        <v>P</v>
      </c>
      <c r="H4" s="47" t="str">
        <f t="shared" ref="H4:H16" si="3">IF(AND(G4="P",F4=""),"No DD",IF(OR(AND(AM4&gt;=AR$22,AN4&gt;=AR$26,AM4&lt;&gt;"",AL4=""),AND(AP4&gt;=AR$22,AQ4&gt;=AR$26,AP4&lt;&gt;"",AL4=""),AND(BN4&gt;=BS$22,BO4&gt;=BS$26,BN4&lt;&gt;"",BM4=""),AND(BQ4&gt;=BS$22,BR4&gt;=BS$26,BQ4&lt;&gt;"",BM4=""),AND(CO4&gt;=CT$22,CP4&gt;=CT$26,CO4&lt;&gt;"",CN4=""),AND(CR4&gt;=CT$22,CS4&gt;=CT$26,CR4&lt;&gt;""),AND(DQ4&gt;=DV$22,DR4&gt;=DV$26,DQ4&lt;&gt;""),AND(DT4&gt;=DV$22,DU4&gt;=DV$26,DT4&lt;&gt;""),AND(EQ4&gt;=EV$22,ER4&gt;=EV$26,EQ4&lt;&gt;""),AND(ET4&gt;=EV$22,EU4&gt;=EV$26,ET4&lt;&gt;""),AND(FQ4&gt;=FV$22,FR4&gt;=FV$26,FQ4&lt;&gt;""),AND(FT4&gt;=FV$22,FU4&gt;=FV$26,FT4&lt;&gt;""),AND(GQ4&gt;=GV$22,GR4&gt;=GV$26,GQ4&lt;&gt;""),AND(GT4&gt;=GV$22,GU4&gt;=GV$26,GT4&lt;&gt;""),AND(HQ4&gt;=HV$22,HR4&gt;=HV$26,HQ4&lt;&gt;""),AND(HT4&gt;=HV$22,HU4&gt;=HV$26,HT4&lt;&gt;""),AND(IQ4&gt;=IV$22,IR4&gt;=IV$26,IQ4&lt;&gt;""),AND(IT4&gt;=IV$22,IU4&gt;=IV$26,IT4&lt;&gt;""),AND(JQ4&gt;=JV$22,JR4&gt;=JV$26,JQ4&lt;&gt;""),AND(JT4&gt;=JV$22,JU4&gt;=JV$26,JT4&lt;&gt;""),AND(KQ4&gt;=KV$22,KR4&gt;=KV$26,KQ4&lt;&gt;""),AND(KT4&gt;=KV$22,KU4&gt;=KV$26,KT4&lt;&gt;""),AND(LQ4&gt;=LV$22,LR4&gt;=LV$26,LQ4&lt;&gt;""),AND(LT4&gt;=LV$22,LU4&gt;=LV$26,LT4&lt;&gt;""),AND(MQ4&gt;=MV$22,MR4&gt;=MV$26,MQ4&lt;&gt;""),AND(MT4&gt;=MV$22,MU4&gt;=MV$26,MT4&lt;&gt;""),AND(NQ4&gt;=NV$22,NR4&gt;=NV$26,NQ4&lt;&gt;""),AND(NT4&gt;=NV$22,NU4&gt;=NV$26,NT4&lt;&gt;""),AND(OQ4&gt;=OV$22,OR4&gt;=OV$26,OQ4&lt;&gt;""),AND(OT4&gt;=OV$22,OU4&gt;=OV$26,OT4&lt;&gt;"")),"Merit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Excellence",IF(F4="P","National Team",""))))</f>
        <v>National Team</v>
      </c>
      <c r="I4" s="9">
        <f>IF(COUNT(AN4,BO4,CP4)&gt;0,LARGE((AN4,BO4,CP4),1),0)</f>
        <v>51.199999999999996</v>
      </c>
      <c r="J4" s="9" t="str">
        <f t="shared" ref="J4:J16" si="4">IF(I4=0,"",IF(I4=CP4,$BT$1,IF(I4=BO4,$AS$1,IF(I4=AN4,$R$1,""))))</f>
        <v>2025 Elite Canada</v>
      </c>
      <c r="K4" s="9">
        <f>IF(COUNT(AN4,BO4,CP4)&gt;1,LARGE((AN4,BO4,CP4),2),0)</f>
        <v>50.9</v>
      </c>
      <c r="L4" s="9" t="str">
        <f t="shared" ref="L4:L16" si="5">IF(K4=0,"",IF(AND(K4=I4,K4=AN4,K4=BO4),$R$1,IF(AND(K4=I4,K4=AN4,K4=CP4),$R$1,IF(AND(K4=I4,K4=CP4,K4=BO4),$AS$1,IF(K4=CP4,$BT$1,IF(K4=BO4,$AS$1,IF(K4=AN4,$R$1,"")))))))</f>
        <v>2025 Nationals</v>
      </c>
      <c r="M4" s="9">
        <f t="shared" ref="M4:M16" si="6">IF(MAX(AQ4,BR4,CS4)&gt;0,MAX(AQ4,BR4,CS4),0)</f>
        <v>52.1</v>
      </c>
      <c r="N4" s="9" t="str">
        <f t="shared" ref="N4:N16" si="7">IF(M4=0,"",IF(M4=CS4,$BT$1,IF(M4=BR4,$AS$1,IF(M4=AQ4,$R$1,""))))</f>
        <v>2025 Nationals</v>
      </c>
      <c r="O4" s="9" t="str">
        <f t="shared" ref="O4:O16" si="8">IF(MAX(CU4:CV4)&gt;0,MAX(CU4:CV4),"")</f>
        <v/>
      </c>
      <c r="P4" s="14" t="str">
        <f t="shared" ref="P4:P16" si="9">IF(O4="","",IF(O4=CU4,"("&amp;CU$2&amp;")",IF(O4=CV4,"("&amp;CV$2&amp;")")))</f>
        <v/>
      </c>
      <c r="Q4" s="9" t="str">
        <f t="shared" ref="Q4:Q16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18.8</v>
      </c>
      <c r="S4" s="20">
        <v>6.8</v>
      </c>
      <c r="T4" s="20">
        <v>0</v>
      </c>
      <c r="U4" s="20">
        <v>0</v>
      </c>
      <c r="V4" s="20">
        <v>18.8</v>
      </c>
      <c r="W4" s="20">
        <v>6.4</v>
      </c>
      <c r="X4" s="20">
        <v>0.6</v>
      </c>
      <c r="Y4" s="20">
        <v>0</v>
      </c>
      <c r="Z4" s="20">
        <v>19</v>
      </c>
      <c r="AA4" s="20">
        <v>6</v>
      </c>
      <c r="AB4" s="20">
        <v>0</v>
      </c>
      <c r="AC4" s="20">
        <v>0</v>
      </c>
      <c r="AD4" s="20">
        <v>18.600000000000001</v>
      </c>
      <c r="AE4" s="20">
        <v>6.8</v>
      </c>
      <c r="AF4" s="20">
        <v>0.6</v>
      </c>
      <c r="AG4" s="20">
        <v>0</v>
      </c>
      <c r="AH4" s="20">
        <v>17.600000000000001</v>
      </c>
      <c r="AI4" s="20">
        <v>2.4</v>
      </c>
      <c r="AJ4" s="20">
        <v>0</v>
      </c>
      <c r="AK4" s="20">
        <v>0</v>
      </c>
      <c r="AL4" s="32"/>
      <c r="AM4" s="55">
        <f t="shared" ref="AM4:AM16" si="11">IF(SUM(S4,W4)&gt;0,SUM(S4,W4),"")</f>
        <v>13.2</v>
      </c>
      <c r="AN4" s="55">
        <f t="shared" ref="AN4:AN16" si="12">IF(SUM(R4:S4,U4:W4,Y4)-T4-X4&gt;0,SUM(R4:S4,U4:W4,Y4)-T4-X4,"")</f>
        <v>50.2</v>
      </c>
      <c r="AO4" s="55">
        <f t="shared" ref="AO4:AO16" si="13">IF(SUM(Z4:AA4,AC4)-AB4&gt;0,SUM(Z4:AA4,AC4)-AB4,"")</f>
        <v>25</v>
      </c>
      <c r="AP4" s="55">
        <f t="shared" ref="AP4:AP16" si="14">IF(SUM(AE4,AI4)&gt;0,SUM(AE4,AI4),"")</f>
        <v>9.1999999999999993</v>
      </c>
      <c r="AQ4" s="55">
        <f t="shared" ref="AQ4:AQ16" si="15">IF(SUM(AD4:AE4,AG4:AI4,AK4)-SUM(AF4,AJ4)&gt;0,SUM(AD4:AE4,AG4:AI4,AK4)-SUM(AF4,AJ4),"")</f>
        <v>44.8</v>
      </c>
      <c r="AR4" s="55">
        <f t="shared" ref="AR4:AR16" si="16">IF(SUM(AN4,AO4,AQ4)&gt;0,SUM(AN4,AO4,AQ4),"")</f>
        <v>120</v>
      </c>
      <c r="AS4" s="19">
        <v>19</v>
      </c>
      <c r="AT4" s="19">
        <v>6.4</v>
      </c>
      <c r="AU4" s="19">
        <v>0</v>
      </c>
      <c r="AV4" s="19">
        <v>0</v>
      </c>
      <c r="AW4" s="19">
        <v>19</v>
      </c>
      <c r="AX4" s="19">
        <v>6.8</v>
      </c>
      <c r="AY4" s="19">
        <v>0</v>
      </c>
      <c r="AZ4" s="19">
        <v>0</v>
      </c>
      <c r="BA4" s="19"/>
      <c r="BB4" s="19"/>
      <c r="BC4" s="19"/>
      <c r="BD4" s="19"/>
      <c r="BE4" s="19">
        <v>18.7</v>
      </c>
      <c r="BF4" s="19">
        <v>6.4</v>
      </c>
      <c r="BG4" s="19">
        <v>0</v>
      </c>
      <c r="BH4" s="19">
        <v>0</v>
      </c>
      <c r="BI4" s="19">
        <v>18.5</v>
      </c>
      <c r="BJ4" s="19">
        <v>7.6</v>
      </c>
      <c r="BK4" s="19">
        <v>0.2</v>
      </c>
      <c r="BL4" s="19">
        <v>0</v>
      </c>
      <c r="BM4" s="33"/>
      <c r="BN4" s="14">
        <f t="shared" ref="BN4:BN16" si="17">IF(SUM(AT4,AX4)&gt;0,SUM(AT4,AX4),"")</f>
        <v>13.2</v>
      </c>
      <c r="BO4" s="14">
        <f t="shared" ref="BO4:BO16" si="18">IF(SUM(AS4:AT4,AV4:AX4,AZ4)-AU4-AY4&gt;0,SUM(AS4:AT4,AV4:AX4,AZ4)-AU4-AY4,"")</f>
        <v>51.199999999999996</v>
      </c>
      <c r="BP4" s="14" t="str">
        <f t="shared" ref="BP4:BP16" si="19">IF(SUM(BA4:BB4,BD4)-BC4&gt;0,SUM(BA4:BB4,BD4)-BC4,"")</f>
        <v/>
      </c>
      <c r="BQ4" s="14">
        <f t="shared" ref="BQ4:BQ16" si="20">IF(SUM(BF4,BJ4)&gt;0,SUM(BF4,BJ4),"")</f>
        <v>14</v>
      </c>
      <c r="BR4" s="14">
        <f t="shared" ref="BR4:BR16" si="21">IF(SUM(BE4:BF4,BH4:BJ4,BL4)-SUM(BG4,BK4)&gt;0,SUM(BE4:BF4,BH4:BJ4,BL4)-SUM(BG4,BK4),"")</f>
        <v>51</v>
      </c>
      <c r="BS4" s="14">
        <f t="shared" ref="BS4:BS16" si="22">IF(SUM(BO4,BP4,BR4)&gt;0,SUM(BO4,BP4,BR4),"")</f>
        <v>102.19999999999999</v>
      </c>
      <c r="BT4" s="20">
        <v>19.2</v>
      </c>
      <c r="BU4" s="20">
        <v>6.4</v>
      </c>
      <c r="BV4" s="20">
        <v>0</v>
      </c>
      <c r="BW4" s="20">
        <v>0</v>
      </c>
      <c r="BX4" s="20">
        <v>19.100000000000001</v>
      </c>
      <c r="BY4" s="20">
        <v>6.8</v>
      </c>
      <c r="BZ4" s="20">
        <v>0.6</v>
      </c>
      <c r="CA4" s="20">
        <v>0</v>
      </c>
      <c r="CB4" s="20"/>
      <c r="CC4" s="20"/>
      <c r="CD4" s="20"/>
      <c r="CE4" s="20"/>
      <c r="CF4" s="20">
        <v>18.7</v>
      </c>
      <c r="CG4" s="20">
        <v>6.8</v>
      </c>
      <c r="CH4" s="20">
        <v>0</v>
      </c>
      <c r="CI4" s="20">
        <v>0</v>
      </c>
      <c r="CJ4" s="20">
        <v>18.600000000000001</v>
      </c>
      <c r="CK4" s="20">
        <v>8</v>
      </c>
      <c r="CL4" s="20">
        <v>0</v>
      </c>
      <c r="CM4" s="20">
        <v>0</v>
      </c>
      <c r="CN4" s="32"/>
      <c r="CO4" s="55">
        <f t="shared" ref="CO4:CO16" si="23">IF(SUM(BU4,BY4)&gt;0,SUM(BU4,BY4),"")</f>
        <v>13.2</v>
      </c>
      <c r="CP4" s="55">
        <f t="shared" ref="CP4:CP16" si="24">IF(SUM(BT4:BU4,BW4:BY4,CA4)-BV4-BZ4&gt;0,SUM(BT4:BU4,BW4:BY4,CA4)-BV4-BZ4,"")</f>
        <v>50.9</v>
      </c>
      <c r="CQ4" s="55" t="str">
        <f t="shared" ref="CQ4:CQ16" si="25">IF(SUM(CB4:CC4,CE4)-CD4&gt;0,SUM(CB4:CC4,CE4)-CD4,"")</f>
        <v/>
      </c>
      <c r="CR4" s="55">
        <f t="shared" ref="CR4:CR16" si="26">IF(SUM(CG4,CK4)&gt;0,SUM(CG4,CK4),"")</f>
        <v>14.8</v>
      </c>
      <c r="CS4" s="55">
        <f t="shared" ref="CS4:CS16" si="27">IF(SUM(CF4:CG4,CI4:CK4,CM4)-SUM(CH4,CL4)&gt;0,SUM(CF4:CG4,CI4:CK4,CM4)-SUM(CH4,CL4),"")</f>
        <v>52.1</v>
      </c>
      <c r="CT4" s="55">
        <f t="shared" ref="CT4:CT16" si="28">IF(SUM(CP4,CQ4,CS4)&gt;0,SUM(CP4,CQ4,CS4),"")</f>
        <v>103</v>
      </c>
      <c r="CU4" s="56" t="str">
        <f t="shared" ref="CU4:CU16" si="29">IF(MAX(DR4,ER4,FR4,GR4,HR4,IR4,JR4,KR4,LR4,MR4,NR4,OR4)-IF(K4="",0,K4)&gt;0.001,MAX(DR4,ER4,FR4,GR4,HR4,IR4,JR4,KR4,LR4,MR4,NR4,OR4)-IF(K4="",0,K4),"")</f>
        <v/>
      </c>
      <c r="CV4" s="56" t="str">
        <f t="shared" ref="CV4:CV16" si="30"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 t="shared" ref="DQ4:DQ16" si="31">IF(SUM(CX4,DB4)&gt;0,SUM(CX4,DB4),"")</f>
        <v/>
      </c>
      <c r="DR4" s="55" t="str">
        <f t="shared" ref="DR4:DR16" si="32">IF(SUM(CW4:CX4,CZ4:DB4,DD4)-CY4-DC4&gt;0,SUM(CW4:CX4,CZ4:DB4,DD4)-CY4-DC4,"")</f>
        <v/>
      </c>
      <c r="DS4" s="55" t="str">
        <f t="shared" ref="DS4:DS16" si="33">IF(SUM(DE4:DF4,DH4)-DG4&gt;0,SUM(DE4:DF4,DH4)-DG4,"")</f>
        <v/>
      </c>
      <c r="DT4" s="55" t="str">
        <f t="shared" ref="DT4:DT16" si="34">IF(SUM(DJ4,DN4)&gt;0,SUM(DJ4,DN4),"")</f>
        <v/>
      </c>
      <c r="DU4" s="55" t="str">
        <f t="shared" ref="DU4:DU16" si="35">IF(SUM(DI4:DJ4,DL4:DN4,DP4)-SUM(DK4,DO4)&gt;0,SUM(DI4:DJ4,DL4:DN4,DP4)-SUM(DK4,DO4),"")</f>
        <v/>
      </c>
      <c r="DV4" s="55" t="str">
        <f t="shared" ref="DV4:DV16" si="36"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 t="shared" ref="EQ4:EQ16" si="37">IF(SUM(DX4,EB4)&gt;0,SUM(DX4,EB4),"")</f>
        <v/>
      </c>
      <c r="ER4" s="14" t="str">
        <f t="shared" ref="ER4:ER16" si="38">IF(SUM(DW4:DX4,DZ4:EB4,ED4)-DY4-EC4&gt;0,SUM(DW4:DX4,DZ4:EB4,ED4)-DY4-EC4,"")</f>
        <v/>
      </c>
      <c r="ES4" s="14" t="str">
        <f t="shared" ref="ES4:ES16" si="39">IF(SUM(EE4:EF4,EH4)-EG4&gt;0,SUM(EE4:EF4,EH4)-EG4,"")</f>
        <v/>
      </c>
      <c r="ET4" s="14" t="str">
        <f t="shared" ref="ET4:ET16" si="40">IF(SUM(EJ4,EN4)&gt;0,SUM(EJ4,EN4),"")</f>
        <v/>
      </c>
      <c r="EU4" s="14" t="str">
        <f t="shared" ref="EU4:EU16" si="41">IF(SUM(EI4:EJ4,EL4:EN4,EP4)-SUM(EK4,EO4)&gt;0,SUM(EI4:EJ4,EL4:EN4,EP4)-SUM(EK4,EO4),"")</f>
        <v/>
      </c>
      <c r="EV4" s="14" t="str">
        <f t="shared" ref="EV4:EV16" si="42"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 t="shared" ref="FQ4:FQ16" si="43">IF(SUM(EX4,FB4)&gt;0,SUM(EX4,FB4),"")</f>
        <v/>
      </c>
      <c r="FR4" s="55" t="str">
        <f t="shared" ref="FR4:FR16" si="44">IF(SUM(EW4:EX4,EZ4:FB4,FD4)-EY4-FC4&gt;0,SUM(EW4:EX4,EZ4:FB4,FD4)-EY4-FC4,"")</f>
        <v/>
      </c>
      <c r="FS4" s="55" t="str">
        <f t="shared" ref="FS4:FS16" si="45">IF(SUM(FE4:FF4,FH4)-FG4&gt;0,SUM(FE4:FF4,FH4)-FG4,"")</f>
        <v/>
      </c>
      <c r="FT4" s="55" t="str">
        <f t="shared" ref="FT4:FT16" si="46">IF(SUM(FJ4,FN4)&gt;0,SUM(FJ4,FN4),"")</f>
        <v/>
      </c>
      <c r="FU4" s="55" t="str">
        <f t="shared" ref="FU4:FU16" si="47">IF(SUM(FI4:FJ4,FL4:FN4,FP4)-SUM(FK4,FO4)&gt;0,SUM(FI4:FJ4,FL4:FN4,FP4)-SUM(FK4,FO4),"")</f>
        <v/>
      </c>
      <c r="FV4" s="55" t="str">
        <f t="shared" ref="FV4:FV16" si="48"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 t="shared" ref="GQ4:GQ16" si="49">IF(SUM(FX4,GB4)&gt;0,SUM(FX4,GB4),"")</f>
        <v/>
      </c>
      <c r="GR4" s="14" t="str">
        <f t="shared" ref="GR4:GR16" si="50">IF(SUM(FW4:FX4,FZ4:GB4,GD4)-FY4-GC4&gt;0,SUM(FW4:FX4,FZ4:GB4,GD4)-FY4-GC4,"")</f>
        <v/>
      </c>
      <c r="GS4" s="14" t="str">
        <f t="shared" ref="GS4:GS16" si="51">IF(SUM(GE4:GF4,GH4)-GG4&gt;0,SUM(GE4:GF4,GH4)-GG4,"")</f>
        <v/>
      </c>
      <c r="GT4" s="14" t="str">
        <f t="shared" ref="GT4:GT16" si="52">IF(SUM(GJ4,GN4)&gt;0,SUM(GJ4,GN4),"")</f>
        <v/>
      </c>
      <c r="GU4" s="14" t="str">
        <f t="shared" ref="GU4:GU16" si="53">IF(SUM(GI4:GJ4,GL4:GN4,GP4)-SUM(GK4,GO4)&gt;0,SUM(GI4:GJ4,GL4:GN4,GP4)-SUM(GK4,GO4),"")</f>
        <v/>
      </c>
      <c r="GV4" s="14" t="str">
        <f t="shared" ref="GV4:GV16" si="54"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16" si="55">IF(SUM(GX4,HB4)&gt;0,SUM(GX4,HB4),"")</f>
        <v/>
      </c>
      <c r="HR4" s="55" t="str">
        <f t="shared" ref="HR4:HR16" si="56">IF(SUM(GW4:GX4,GZ4:HB4,HD4)-GY4-HC4&gt;0,SUM(GW4:GX4,GZ4:HB4,HD4)-GY4-HC4,"")</f>
        <v/>
      </c>
      <c r="HS4" s="55" t="str">
        <f t="shared" ref="HS4:HS16" si="57">IF(SUM(HE4:HF4,HH4)-HG4&gt;0,SUM(HE4:HF4,HH4)-HG4,"")</f>
        <v/>
      </c>
      <c r="HT4" s="55" t="str">
        <f t="shared" ref="HT4:HT16" si="58">IF(SUM(HJ4,HN4)&gt;0,SUM(HJ4,HN4),"")</f>
        <v/>
      </c>
      <c r="HU4" s="55" t="str">
        <f t="shared" ref="HU4:HU16" si="59">IF(SUM(HI4:HJ4,HL4:HN4,HP4)-SUM(HK4,HO4)&gt;0,SUM(HI4:HJ4,HL4:HN4,HP4)-SUM(HK4,HO4),"")</f>
        <v/>
      </c>
      <c r="HV4" s="55" t="str">
        <f t="shared" ref="HV4:HV16" si="60"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16" si="61">IF(SUM(HX4,IB4)&gt;0,SUM(HX4,IB4),"")</f>
        <v/>
      </c>
      <c r="IR4" s="14" t="str">
        <f t="shared" ref="IR4:IR16" si="62">IF(SUM(HW4:HX4,HZ4:IB4,ID4)-HY4-IC4&gt;0,SUM(HW4:HX4,HZ4:IB4,ID4)-HY4-IC4,"")</f>
        <v/>
      </c>
      <c r="IS4" s="14" t="str">
        <f t="shared" ref="IS4:IS16" si="63">IF(SUM(IE4:IF4,IH4)-IG4&gt;0,SUM(IE4:IF4,IH4)-IG4,"")</f>
        <v/>
      </c>
      <c r="IT4" s="14" t="str">
        <f t="shared" ref="IT4:IT16" si="64">IF(SUM(IJ4,IN4)&gt;0,SUM(IJ4,IN4),"")</f>
        <v/>
      </c>
      <c r="IU4" s="14" t="str">
        <f t="shared" ref="IU4:IU16" si="65">IF(SUM(II4:IJ4,IL4:IN4,IP4)-SUM(IK4,IO4)&gt;0,SUM(II4:IJ4,IL4:IN4,IP4)-SUM(IK4,IO4),"")</f>
        <v/>
      </c>
      <c r="IV4" s="14" t="str">
        <f t="shared" ref="IV4:IV16" si="66"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16" si="67">IF(SUM(IX4,JB4)&gt;0,SUM(IX4,JB4),"")</f>
        <v/>
      </c>
      <c r="JR4" s="55" t="str">
        <f t="shared" ref="JR4:JR16" si="68">IF(SUM(IW4:IX4,IZ4:JB4,JD4)-IY4-JC4&gt;0,SUM(IW4:IX4,IZ4:JB4,JD4)-IY4-JC4,"")</f>
        <v/>
      </c>
      <c r="JS4" s="55" t="str">
        <f t="shared" ref="JS4:JS16" si="69">IF(SUM(JE4:JF4,JH4)-JG4&gt;0,SUM(JE4:JF4,JH4)-JG4,"")</f>
        <v/>
      </c>
      <c r="JT4" s="55" t="str">
        <f t="shared" ref="JT4:JT16" si="70">IF(SUM(JJ4,JN4)&gt;0,SUM(JJ4,JN4),"")</f>
        <v/>
      </c>
      <c r="JU4" s="55" t="str">
        <f t="shared" ref="JU4:JU16" si="71">IF(SUM(JI4:JJ4,JL4:JN4,JP4)-SUM(JK4,JO4)&gt;0,SUM(JI4:JJ4,JL4:JN4,JP4)-SUM(JK4,JO4),"")</f>
        <v/>
      </c>
      <c r="JV4" s="55" t="str">
        <f t="shared" ref="JV4:JV16" si="72"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16" si="73">IF(SUM(JX4,KB4)&gt;0,SUM(JX4,KB4),"")</f>
        <v/>
      </c>
      <c r="KR4" s="14" t="str">
        <f t="shared" ref="KR4:KR16" si="74">IF(SUM(JW4:JX4,JZ4:KB4,KD4)-JY4-KC4&gt;0,SUM(JW4:JX4,JZ4:KB4,KD4)-JY4-KC4,"")</f>
        <v/>
      </c>
      <c r="KS4" s="14" t="str">
        <f t="shared" ref="KS4:KS16" si="75">IF(SUM(KE4:KF4,KH4)-KG4&gt;0,SUM(KE4:KF4,KH4)-KG4,"")</f>
        <v/>
      </c>
      <c r="KT4" s="14" t="str">
        <f t="shared" ref="KT4:KT16" si="76">IF(SUM(KJ4,KN4)&gt;0,SUM(KJ4,KN4),"")</f>
        <v/>
      </c>
      <c r="KU4" s="14" t="str">
        <f t="shared" ref="KU4:KU16" si="77">IF(SUM(KI4:KJ4,KL4:KN4,KP4)-SUM(KK4,KO4)&gt;0,SUM(KI4:KJ4,KL4:KN4,KP4)-SUM(KK4,KO4),"")</f>
        <v/>
      </c>
      <c r="KV4" s="14" t="str">
        <f t="shared" ref="KV4:KV16" si="78"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16" si="79">IF(SUM(KX4,LB4)&gt;0,SUM(KX4,LB4),"")</f>
        <v/>
      </c>
      <c r="LR4" s="55" t="str">
        <f t="shared" ref="LR4:LR16" si="80">IF(SUM(KW4:KX4,KZ4:LB4,LD4)-KY4-LC4&gt;0,SUM(KW4:KX4,KZ4:LB4,LD4)-KY4-LC4,"")</f>
        <v/>
      </c>
      <c r="LS4" s="55" t="str">
        <f t="shared" ref="LS4:LS16" si="81">IF(SUM(LE4:LF4,LH4)-LG4&gt;0,SUM(LE4:LF4,LH4)-LG4,"")</f>
        <v/>
      </c>
      <c r="LT4" s="55" t="str">
        <f t="shared" ref="LT4:LT16" si="82">IF(SUM(LJ4,LN4)&gt;0,SUM(LJ4,LN4),"")</f>
        <v/>
      </c>
      <c r="LU4" s="55" t="str">
        <f t="shared" ref="LU4:LU16" si="83">IF(SUM(LI4:LJ4,LL4:LN4,LP4)-SUM(LK4,LO4)&gt;0,SUM(LI4:LJ4,LL4:LN4,LP4)-SUM(LK4,LO4),"")</f>
        <v/>
      </c>
      <c r="LV4" s="55" t="str">
        <f t="shared" ref="LV4:LV16" si="84"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16" si="85">IF(SUM(LX4,MB4)&gt;0,SUM(LX4,MB4),"")</f>
        <v/>
      </c>
      <c r="MR4" s="14" t="str">
        <f t="shared" ref="MR4:MR16" si="86">IF(SUM(LW4:LX4,LZ4:MB4,MD4)-LY4-MC4&gt;0,SUM(LW4:LX4,LZ4:MB4,MD4)-LY4-MC4,"")</f>
        <v/>
      </c>
      <c r="MS4" s="14" t="str">
        <f t="shared" ref="MS4:MS16" si="87">IF(SUM(ME4:MF4,MH4)-MG4&gt;0,SUM(ME4:MF4,MH4)-MG4,"")</f>
        <v/>
      </c>
      <c r="MT4" s="14" t="str">
        <f t="shared" ref="MT4:MT16" si="88">IF(SUM(MJ4,MN4)&gt;0,SUM(MJ4,MN4),"")</f>
        <v/>
      </c>
      <c r="MU4" s="14" t="str">
        <f t="shared" ref="MU4:MU16" si="89">IF(SUM(MI4:MJ4,ML4:MN4,MP4)-SUM(MK4,MO4)&gt;0,SUM(MI4:MJ4,ML4:MN4,MP4)-SUM(MK4,MO4),"")</f>
        <v/>
      </c>
      <c r="MV4" s="14" t="str">
        <f t="shared" ref="MV4:MV16" si="90"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16" si="91">IF(SUM(MX4,NB4)&gt;0,SUM(MX4,NB4),"")</f>
        <v/>
      </c>
      <c r="NR4" s="55" t="str">
        <f t="shared" ref="NR4:NR16" si="92">IF(SUM(MW4:MX4,MZ4:NB4,ND4)-MY4-NC4&gt;0,SUM(MW4:MX4,MZ4:NB4,ND4)-MY4-NC4,"")</f>
        <v/>
      </c>
      <c r="NS4" s="55" t="str">
        <f t="shared" ref="NS4:NS16" si="93">IF(SUM(NE4:NF4,NH4)-NG4&gt;0,SUM(NE4:NF4,NH4)-NG4,"")</f>
        <v/>
      </c>
      <c r="NT4" s="55" t="str">
        <f t="shared" ref="NT4:NT16" si="94">IF(SUM(NJ4,NN4)&gt;0,SUM(NJ4,NN4),"")</f>
        <v/>
      </c>
      <c r="NU4" s="55" t="str">
        <f t="shared" ref="NU4:NU16" si="95">IF(SUM(NI4:NJ4,NL4:NN4,NP4)-SUM(NK4,NO4)&gt;0,SUM(NI4:NJ4,NL4:NN4,NP4)-SUM(NK4,NO4),"")</f>
        <v/>
      </c>
      <c r="NV4" s="55" t="str">
        <f t="shared" ref="NV4:NV16" si="96"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16" si="97">IF(SUM(NX4,OB4)&gt;0,SUM(NX4,OB4),"")</f>
        <v/>
      </c>
      <c r="OR4" s="14" t="str">
        <f t="shared" ref="OR4:OR16" si="98">IF(SUM(NW4:NX4,NZ4:OB4,OD4)-NY4-OC4&gt;0,SUM(NW4:NX4,NZ4:OB4,OD4)-NY4-OC4,"")</f>
        <v/>
      </c>
      <c r="OS4" s="14" t="str">
        <f t="shared" ref="OS4:OS16" si="99">IF(SUM(OE4:OF4,OH4)-OG4&gt;0,SUM(OE4:OF4,OH4)-OG4,"")</f>
        <v/>
      </c>
      <c r="OT4" s="14" t="str">
        <f t="shared" ref="OT4:OT16" si="100">IF(SUM(OJ4,ON4)&gt;0,SUM(OJ4,ON4),"")</f>
        <v/>
      </c>
      <c r="OU4" s="14" t="str">
        <f t="shared" ref="OU4:OU16" si="101">IF(SUM(OI4:OJ4,OL4:ON4,OP4)-SUM(OK4,OO4)&gt;0,SUM(OI4:OJ4,OL4:ON4,OP4)-SUM(OK4,OO4),"")</f>
        <v/>
      </c>
      <c r="OV4" s="14" t="str">
        <f t="shared" ref="OV4:OV16" si="102">IF(SUM(OR4,OS4,OU4)&gt;0,SUM(OR4,OS4,OU4),"")</f>
        <v/>
      </c>
      <c r="OW4" s="27">
        <f t="shared" ref="OW4:OW16" si="103">IF($CN4="P",BT4,(BT4+AS4)/2)</f>
        <v>19.100000000000001</v>
      </c>
      <c r="OX4" s="27">
        <f t="shared" ref="OX4:OX16" si="104">IF($CN4="P",BU4,(BU4+AT4)/2)</f>
        <v>6.4</v>
      </c>
      <c r="OY4" s="27">
        <f t="shared" ref="OY4:OY16" si="105">IF($CN4="P",BV4,(BV4+AU4)/2)</f>
        <v>0</v>
      </c>
      <c r="OZ4" s="27">
        <f t="shared" ref="OZ4:OZ16" si="106">IF($CN4="P",BW4,(BW4+AV4)/2)</f>
        <v>0</v>
      </c>
      <c r="PA4" s="27">
        <f t="shared" ref="PA4:PA16" si="107">IF($CN4="P",BX4,(BX4+AW4)/2)</f>
        <v>19.05</v>
      </c>
      <c r="PB4" s="27">
        <f t="shared" ref="PB4:PB16" si="108">IF($CN4="P",BY4,(BY4+AX4)/2)</f>
        <v>6.8</v>
      </c>
      <c r="PC4" s="27">
        <f t="shared" ref="PC4:PC16" si="109">IF($CN4="P",BZ4,(BZ4+AY4)/2)</f>
        <v>0.3</v>
      </c>
      <c r="PD4" s="27">
        <f t="shared" ref="PD4:PD16" si="110">IF($CN4="P",CA4,(CA4+AZ4)/2)</f>
        <v>0</v>
      </c>
      <c r="PE4" s="27">
        <f t="shared" ref="PE4:PE16" si="111">IF($CN4="P",CB4,(CB4+BA4)/2)</f>
        <v>0</v>
      </c>
      <c r="PF4" s="27">
        <f t="shared" ref="PF4:PF16" si="112">IF($CN4="P",CC4,(CC4+BB4)/2)</f>
        <v>0</v>
      </c>
      <c r="PG4" s="27">
        <f t="shared" ref="PG4:PG16" si="113">IF($CN4="P",CD4,(CD4+BC4)/2)</f>
        <v>0</v>
      </c>
      <c r="PH4" s="27">
        <f t="shared" ref="PH4:PH16" si="114">IF($CN4="P",CE4,(CE4+BD4)/2)</f>
        <v>0</v>
      </c>
      <c r="PI4" s="27">
        <f t="shared" ref="PI4:PI16" si="115">IF($CN4="P",CF4,(CF4+BE4)/2)</f>
        <v>18.7</v>
      </c>
      <c r="PJ4" s="27">
        <f t="shared" ref="PJ4:PJ16" si="116">IF($CN4="P",CG4,(CG4+BF4)/2)</f>
        <v>6.6</v>
      </c>
      <c r="PK4" s="27">
        <f t="shared" ref="PK4:PK16" si="117">IF($CN4="P",CH4,(CH4+BG4)/2)</f>
        <v>0</v>
      </c>
      <c r="PL4" s="27">
        <f t="shared" ref="PL4:PL16" si="118">IF($CN4="P",CI4,(CI4+BH4)/2)</f>
        <v>0</v>
      </c>
      <c r="PM4" s="27">
        <f t="shared" ref="PM4:PM16" si="119">IF($CN4="P",CJ4,(CJ4+BI4)/2)</f>
        <v>18.55</v>
      </c>
      <c r="PN4" s="27">
        <f t="shared" ref="PN4:PN16" si="120">IF($CN4="P",CK4,(CK4+BJ4)/2)</f>
        <v>7.8</v>
      </c>
      <c r="PO4" s="27">
        <f t="shared" ref="PO4:PO16" si="121">IF($CN4="P",CL4,(CL4+BK4)/2)</f>
        <v>0.1</v>
      </c>
      <c r="PP4" s="27">
        <f t="shared" ref="PP4:PP16" si="122">IF($CN4="P",CM4,(CM4+BL4)/2)</f>
        <v>0</v>
      </c>
      <c r="PQ4" s="32" t="s">
        <v>44</v>
      </c>
      <c r="PR4" s="55">
        <f t="shared" ref="PR4:PR16" si="123">IF(SUM(OX4,PB4)&gt;0,SUM(OX4,PB4),"")</f>
        <v>13.2</v>
      </c>
      <c r="PS4" s="55">
        <f t="shared" ref="PS4:PS16" si="124">IF(SUM(OW4:OX4,OZ4:PB4,PD4)-OY4-PC4&gt;0,SUM(OW4:OX4,OZ4:PB4,PD4)-OY4-PC4,"")</f>
        <v>51.05</v>
      </c>
      <c r="PT4" s="55" t="str">
        <f t="shared" ref="PT4:PT16" si="125">IF(SUM(PE4:PF4,PH4)-PG4&gt;0,SUM(PE4:PF4,PH4)-PG4,"")</f>
        <v/>
      </c>
      <c r="PU4" s="55">
        <f t="shared" ref="PU4:PU16" si="126">IF(SUM(PJ4,PN4)&gt;0,SUM(PJ4,PN4),"")</f>
        <v>14.399999999999999</v>
      </c>
      <c r="PV4" s="55">
        <f t="shared" ref="PV4:PV16" si="127">IF(SUM(PI4:PJ4,PL4:PN4,PP4)-SUM(PK4,PO4)&gt;0,SUM(PI4:PJ4,PL4:PN4,PP4)-SUM(PK4,PO4),"")</f>
        <v>51.54999999999999</v>
      </c>
      <c r="PW4" s="55">
        <f t="shared" ref="PW4:PW16" si="128">IF(SUM(PS4,PT4,PV4)&gt;0,SUM(PS4,PT4,PV4),"")</f>
        <v>102.6</v>
      </c>
    </row>
    <row r="5" spans="1:43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79</v>
      </c>
      <c r="C5" s="4" t="s">
        <v>67</v>
      </c>
      <c r="D5" s="4">
        <v>2009</v>
      </c>
      <c r="E5" s="10">
        <f t="shared" si="0"/>
        <v>144.5000144500049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>IF(COUNT(AN5,BO5,CP5)&gt;0,LARGE((AN5,BO5,CP5),1),0)</f>
        <v>48.800000000000004</v>
      </c>
      <c r="J5" s="9" t="str">
        <f t="shared" si="4"/>
        <v>2025 Elite Canada</v>
      </c>
      <c r="K5" s="9">
        <f>IF(COUNT(AN5,BO5,CP5)&gt;1,LARGE((AN5,BO5,CP5),2),0)</f>
        <v>47.4</v>
      </c>
      <c r="L5" s="9" t="str">
        <f t="shared" si="5"/>
        <v>2024 3rd Domestic Trial</v>
      </c>
      <c r="M5" s="9">
        <f t="shared" si="6"/>
        <v>48.3</v>
      </c>
      <c r="N5" s="9" t="str">
        <f t="shared" si="7"/>
        <v>2025 Nationals</v>
      </c>
      <c r="O5" s="9" t="str">
        <f t="shared" si="8"/>
        <v/>
      </c>
      <c r="P5" s="14" t="str">
        <f t="shared" si="9"/>
        <v/>
      </c>
      <c r="Q5" s="9" t="str">
        <f t="shared" si="10"/>
        <v/>
      </c>
      <c r="R5" s="20">
        <v>17.899999999999999</v>
      </c>
      <c r="S5" s="20">
        <v>5.2</v>
      </c>
      <c r="T5" s="20">
        <v>0.6</v>
      </c>
      <c r="U5" s="20">
        <v>0</v>
      </c>
      <c r="V5" s="20">
        <v>18.899999999999999</v>
      </c>
      <c r="W5" s="20">
        <v>6</v>
      </c>
      <c r="X5" s="20">
        <v>0</v>
      </c>
      <c r="Y5" s="20">
        <v>0</v>
      </c>
      <c r="Z5" s="20">
        <v>18</v>
      </c>
      <c r="AA5" s="20">
        <v>2.4</v>
      </c>
      <c r="AB5" s="20">
        <v>1</v>
      </c>
      <c r="AC5" s="20">
        <v>0</v>
      </c>
      <c r="AD5" s="20">
        <v>0</v>
      </c>
      <c r="AE5" s="20">
        <v>0</v>
      </c>
      <c r="AF5" s="20">
        <v>0</v>
      </c>
      <c r="AG5" s="20">
        <v>0</v>
      </c>
      <c r="AH5" s="20">
        <v>17.3</v>
      </c>
      <c r="AI5" s="20">
        <v>2.4</v>
      </c>
      <c r="AJ5" s="20">
        <v>0</v>
      </c>
      <c r="AK5" s="20">
        <v>0</v>
      </c>
      <c r="AL5" s="32"/>
      <c r="AM5" s="55">
        <f t="shared" si="11"/>
        <v>11.2</v>
      </c>
      <c r="AN5" s="55">
        <f t="shared" si="12"/>
        <v>47.4</v>
      </c>
      <c r="AO5" s="55">
        <f t="shared" si="13"/>
        <v>19.399999999999999</v>
      </c>
      <c r="AP5" s="55">
        <f t="shared" si="14"/>
        <v>2.4</v>
      </c>
      <c r="AQ5" s="55">
        <f t="shared" si="15"/>
        <v>19.7</v>
      </c>
      <c r="AR5" s="55">
        <f t="shared" si="16"/>
        <v>86.5</v>
      </c>
      <c r="AS5" s="19">
        <v>18.600000000000001</v>
      </c>
      <c r="AT5" s="19">
        <v>5.6</v>
      </c>
      <c r="AU5" s="19">
        <v>0</v>
      </c>
      <c r="AV5" s="19">
        <v>0</v>
      </c>
      <c r="AW5" s="19">
        <v>18.600000000000001</v>
      </c>
      <c r="AX5" s="19">
        <v>6</v>
      </c>
      <c r="AY5" s="19">
        <v>0</v>
      </c>
      <c r="AZ5" s="19">
        <v>0</v>
      </c>
      <c r="BA5" s="19"/>
      <c r="BB5" s="19"/>
      <c r="BC5" s="19"/>
      <c r="BD5" s="19"/>
      <c r="BE5" s="19">
        <v>18.2</v>
      </c>
      <c r="BF5" s="19">
        <v>5.6</v>
      </c>
      <c r="BG5" s="19">
        <v>0.2</v>
      </c>
      <c r="BH5" s="19">
        <v>0</v>
      </c>
      <c r="BI5" s="19">
        <v>18</v>
      </c>
      <c r="BJ5" s="19">
        <v>5.2</v>
      </c>
      <c r="BK5" s="19">
        <v>0.2</v>
      </c>
      <c r="BL5" s="19">
        <v>0</v>
      </c>
      <c r="BM5" s="33"/>
      <c r="BN5" s="14">
        <f t="shared" si="17"/>
        <v>11.6</v>
      </c>
      <c r="BO5" s="14">
        <f t="shared" si="18"/>
        <v>48.800000000000004</v>
      </c>
      <c r="BP5" s="14" t="str">
        <f t="shared" si="19"/>
        <v/>
      </c>
      <c r="BQ5" s="14">
        <f t="shared" si="20"/>
        <v>10.8</v>
      </c>
      <c r="BR5" s="14">
        <f t="shared" si="21"/>
        <v>46.6</v>
      </c>
      <c r="BS5" s="14">
        <f t="shared" si="22"/>
        <v>95.4</v>
      </c>
      <c r="BT5" s="20">
        <v>17.899999999999999</v>
      </c>
      <c r="BU5" s="20">
        <v>5.6</v>
      </c>
      <c r="BV5" s="20">
        <v>0.2</v>
      </c>
      <c r="BW5" s="20">
        <v>0</v>
      </c>
      <c r="BX5" s="20">
        <v>18.3</v>
      </c>
      <c r="BY5" s="20">
        <v>6</v>
      </c>
      <c r="BZ5" s="20">
        <v>0.8</v>
      </c>
      <c r="CA5" s="20">
        <v>0</v>
      </c>
      <c r="CB5" s="20"/>
      <c r="CC5" s="20"/>
      <c r="CD5" s="20"/>
      <c r="CE5" s="20"/>
      <c r="CF5" s="20">
        <v>18.7</v>
      </c>
      <c r="CG5" s="20">
        <v>5.6</v>
      </c>
      <c r="CH5" s="20">
        <v>0</v>
      </c>
      <c r="CI5" s="20">
        <v>0</v>
      </c>
      <c r="CJ5" s="20">
        <v>18.2</v>
      </c>
      <c r="CK5" s="20">
        <v>6</v>
      </c>
      <c r="CL5" s="20">
        <v>0.2</v>
      </c>
      <c r="CM5" s="20">
        <v>0</v>
      </c>
      <c r="CN5" s="32"/>
      <c r="CO5" s="55">
        <f t="shared" si="23"/>
        <v>11.6</v>
      </c>
      <c r="CP5" s="55">
        <f t="shared" si="24"/>
        <v>46.8</v>
      </c>
      <c r="CQ5" s="55" t="str">
        <f t="shared" si="25"/>
        <v/>
      </c>
      <c r="CR5" s="55">
        <f t="shared" si="26"/>
        <v>11.6</v>
      </c>
      <c r="CS5" s="55">
        <f t="shared" si="27"/>
        <v>48.3</v>
      </c>
      <c r="CT5" s="55">
        <f t="shared" si="28"/>
        <v>95.1</v>
      </c>
      <c r="CU5" s="56" t="str">
        <f t="shared" si="29"/>
        <v/>
      </c>
      <c r="CV5" s="56" t="str">
        <f t="shared" si="30"/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 t="shared" si="31"/>
        <v/>
      </c>
      <c r="DR5" s="55" t="str">
        <f t="shared" si="32"/>
        <v/>
      </c>
      <c r="DS5" s="55" t="str">
        <f t="shared" si="33"/>
        <v/>
      </c>
      <c r="DT5" s="55" t="str">
        <f t="shared" si="34"/>
        <v/>
      </c>
      <c r="DU5" s="55" t="str">
        <f t="shared" si="35"/>
        <v/>
      </c>
      <c r="DV5" s="55" t="str">
        <f t="shared" si="36"/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 t="shared" si="37"/>
        <v/>
      </c>
      <c r="ER5" s="14" t="str">
        <f t="shared" si="38"/>
        <v/>
      </c>
      <c r="ES5" s="14" t="str">
        <f t="shared" si="39"/>
        <v/>
      </c>
      <c r="ET5" s="14" t="str">
        <f t="shared" si="40"/>
        <v/>
      </c>
      <c r="EU5" s="14" t="str">
        <f t="shared" si="41"/>
        <v/>
      </c>
      <c r="EV5" s="14" t="str">
        <f t="shared" si="42"/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 t="shared" si="43"/>
        <v/>
      </c>
      <c r="FR5" s="55" t="str">
        <f t="shared" si="44"/>
        <v/>
      </c>
      <c r="FS5" s="55" t="str">
        <f t="shared" si="45"/>
        <v/>
      </c>
      <c r="FT5" s="55" t="str">
        <f t="shared" si="46"/>
        <v/>
      </c>
      <c r="FU5" s="55" t="str">
        <f t="shared" si="47"/>
        <v/>
      </c>
      <c r="FV5" s="55" t="str">
        <f t="shared" si="48"/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9"/>
        <v/>
      </c>
      <c r="GR5" s="14" t="str">
        <f t="shared" si="50"/>
        <v/>
      </c>
      <c r="GS5" s="14" t="str">
        <f t="shared" si="51"/>
        <v/>
      </c>
      <c r="GT5" s="14" t="str">
        <f t="shared" si="52"/>
        <v/>
      </c>
      <c r="GU5" s="14" t="str">
        <f t="shared" si="53"/>
        <v/>
      </c>
      <c r="GV5" s="14" t="str">
        <f t="shared" si="54"/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55"/>
        <v/>
      </c>
      <c r="HR5" s="55" t="str">
        <f t="shared" si="56"/>
        <v/>
      </c>
      <c r="HS5" s="55" t="str">
        <f t="shared" si="57"/>
        <v/>
      </c>
      <c r="HT5" s="55" t="str">
        <f t="shared" si="58"/>
        <v/>
      </c>
      <c r="HU5" s="55" t="str">
        <f t="shared" si="59"/>
        <v/>
      </c>
      <c r="HV5" s="55" t="str">
        <f t="shared" si="60"/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61"/>
        <v/>
      </c>
      <c r="IR5" s="14" t="str">
        <f t="shared" si="62"/>
        <v/>
      </c>
      <c r="IS5" s="14" t="str">
        <f t="shared" si="63"/>
        <v/>
      </c>
      <c r="IT5" s="14" t="str">
        <f t="shared" si="64"/>
        <v/>
      </c>
      <c r="IU5" s="14" t="str">
        <f t="shared" si="65"/>
        <v/>
      </c>
      <c r="IV5" s="14" t="str">
        <f t="shared" si="66"/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67"/>
        <v/>
      </c>
      <c r="JR5" s="55" t="str">
        <f t="shared" si="68"/>
        <v/>
      </c>
      <c r="JS5" s="55" t="str">
        <f t="shared" si="69"/>
        <v/>
      </c>
      <c r="JT5" s="55" t="str">
        <f t="shared" si="70"/>
        <v/>
      </c>
      <c r="JU5" s="55" t="str">
        <f t="shared" si="71"/>
        <v/>
      </c>
      <c r="JV5" s="55" t="str">
        <f t="shared" si="72"/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73"/>
        <v/>
      </c>
      <c r="KR5" s="14" t="str">
        <f t="shared" si="74"/>
        <v/>
      </c>
      <c r="KS5" s="14" t="str">
        <f t="shared" si="75"/>
        <v/>
      </c>
      <c r="KT5" s="14" t="str">
        <f t="shared" si="76"/>
        <v/>
      </c>
      <c r="KU5" s="14" t="str">
        <f t="shared" si="77"/>
        <v/>
      </c>
      <c r="KV5" s="14" t="str">
        <f t="shared" si="78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79"/>
        <v/>
      </c>
      <c r="LR5" s="55" t="str">
        <f t="shared" si="80"/>
        <v/>
      </c>
      <c r="LS5" s="55" t="str">
        <f t="shared" si="81"/>
        <v/>
      </c>
      <c r="LT5" s="55" t="str">
        <f t="shared" si="82"/>
        <v/>
      </c>
      <c r="LU5" s="55" t="str">
        <f t="shared" si="83"/>
        <v/>
      </c>
      <c r="LV5" s="55" t="str">
        <f t="shared" si="84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85"/>
        <v/>
      </c>
      <c r="MR5" s="14" t="str">
        <f t="shared" si="86"/>
        <v/>
      </c>
      <c r="MS5" s="14" t="str">
        <f t="shared" si="87"/>
        <v/>
      </c>
      <c r="MT5" s="14" t="str">
        <f t="shared" si="88"/>
        <v/>
      </c>
      <c r="MU5" s="14" t="str">
        <f t="shared" si="89"/>
        <v/>
      </c>
      <c r="MV5" s="14" t="str">
        <f t="shared" si="90"/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91"/>
        <v/>
      </c>
      <c r="NR5" s="55" t="str">
        <f t="shared" si="92"/>
        <v/>
      </c>
      <c r="NS5" s="55" t="str">
        <f t="shared" si="93"/>
        <v/>
      </c>
      <c r="NT5" s="55" t="str">
        <f t="shared" si="94"/>
        <v/>
      </c>
      <c r="NU5" s="55" t="str">
        <f t="shared" si="95"/>
        <v/>
      </c>
      <c r="NV5" s="55" t="str">
        <f t="shared" si="96"/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97"/>
        <v/>
      </c>
      <c r="OR5" s="14" t="str">
        <f t="shared" si="98"/>
        <v/>
      </c>
      <c r="OS5" s="14" t="str">
        <f t="shared" si="99"/>
        <v/>
      </c>
      <c r="OT5" s="14" t="str">
        <f t="shared" si="100"/>
        <v/>
      </c>
      <c r="OU5" s="14" t="str">
        <f t="shared" si="101"/>
        <v/>
      </c>
      <c r="OV5" s="14" t="str">
        <f t="shared" si="102"/>
        <v/>
      </c>
      <c r="OW5" s="27">
        <f t="shared" si="103"/>
        <v>18.25</v>
      </c>
      <c r="OX5" s="27">
        <f t="shared" si="104"/>
        <v>5.6</v>
      </c>
      <c r="OY5" s="27">
        <f t="shared" si="105"/>
        <v>0.1</v>
      </c>
      <c r="OZ5" s="27">
        <f t="shared" si="106"/>
        <v>0</v>
      </c>
      <c r="PA5" s="27">
        <f t="shared" si="107"/>
        <v>18.450000000000003</v>
      </c>
      <c r="PB5" s="27">
        <f t="shared" si="108"/>
        <v>6</v>
      </c>
      <c r="PC5" s="27">
        <f t="shared" si="109"/>
        <v>0.4</v>
      </c>
      <c r="PD5" s="27">
        <f t="shared" si="110"/>
        <v>0</v>
      </c>
      <c r="PE5" s="27">
        <f t="shared" si="111"/>
        <v>0</v>
      </c>
      <c r="PF5" s="27">
        <f t="shared" si="112"/>
        <v>0</v>
      </c>
      <c r="PG5" s="27">
        <f t="shared" si="113"/>
        <v>0</v>
      </c>
      <c r="PH5" s="27">
        <f t="shared" si="114"/>
        <v>0</v>
      </c>
      <c r="PI5" s="27">
        <f t="shared" si="115"/>
        <v>18.45</v>
      </c>
      <c r="PJ5" s="27">
        <f t="shared" si="116"/>
        <v>5.6</v>
      </c>
      <c r="PK5" s="27">
        <f t="shared" si="117"/>
        <v>0.1</v>
      </c>
      <c r="PL5" s="27">
        <f t="shared" si="118"/>
        <v>0</v>
      </c>
      <c r="PM5" s="27">
        <f t="shared" si="119"/>
        <v>18.100000000000001</v>
      </c>
      <c r="PN5" s="27">
        <f t="shared" si="120"/>
        <v>5.6</v>
      </c>
      <c r="PO5" s="27">
        <f t="shared" si="121"/>
        <v>0.2</v>
      </c>
      <c r="PP5" s="27">
        <f t="shared" si="122"/>
        <v>0</v>
      </c>
      <c r="PQ5" s="32" t="s">
        <v>44</v>
      </c>
      <c r="PR5" s="55">
        <f t="shared" si="123"/>
        <v>11.6</v>
      </c>
      <c r="PS5" s="55">
        <f t="shared" si="124"/>
        <v>47.800000000000004</v>
      </c>
      <c r="PT5" s="55" t="str">
        <f t="shared" si="125"/>
        <v/>
      </c>
      <c r="PU5" s="55">
        <f t="shared" si="126"/>
        <v>11.2</v>
      </c>
      <c r="PV5" s="55">
        <f t="shared" si="127"/>
        <v>47.45</v>
      </c>
      <c r="PW5" s="55">
        <f t="shared" si="128"/>
        <v>95.25</v>
      </c>
    </row>
    <row r="6" spans="1:43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80</v>
      </c>
      <c r="C6" s="4" t="s">
        <v>3</v>
      </c>
      <c r="D6" s="4">
        <v>2009</v>
      </c>
      <c r="E6" s="10">
        <f t="shared" si="0"/>
        <v>139.5000139500047</v>
      </c>
      <c r="F6" s="3" t="str">
        <f t="shared" si="1"/>
        <v>P</v>
      </c>
      <c r="G6" s="3" t="str">
        <f t="shared" si="2"/>
        <v>P</v>
      </c>
      <c r="H6" s="47" t="str">
        <f t="shared" si="3"/>
        <v>National Team</v>
      </c>
      <c r="I6" s="9">
        <f>IF(COUNT(AN6,BO6,CP6)&gt;0,LARGE((AN6,BO6,CP6),1),0)</f>
        <v>47</v>
      </c>
      <c r="J6" s="9" t="str">
        <f t="shared" si="4"/>
        <v>2025 Nationals</v>
      </c>
      <c r="K6" s="9">
        <f>IF(COUNT(AN6,BO6,CP6)&gt;1,LARGE((AN6,BO6,CP6),2),0)</f>
        <v>46.099999999999994</v>
      </c>
      <c r="L6" s="9" t="str">
        <f t="shared" si="5"/>
        <v>2025 Elite Canada</v>
      </c>
      <c r="M6" s="9">
        <f t="shared" si="6"/>
        <v>46.4</v>
      </c>
      <c r="N6" s="9" t="str">
        <f t="shared" si="7"/>
        <v>2025 Nationals</v>
      </c>
      <c r="O6" s="9" t="str">
        <f t="shared" si="8"/>
        <v/>
      </c>
      <c r="P6" s="14" t="str">
        <f t="shared" si="9"/>
        <v/>
      </c>
      <c r="Q6" s="9" t="str">
        <f t="shared" si="10"/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 t="shared" si="11"/>
        <v/>
      </c>
      <c r="AN6" s="55" t="str">
        <f t="shared" si="12"/>
        <v/>
      </c>
      <c r="AO6" s="55" t="str">
        <f t="shared" si="13"/>
        <v/>
      </c>
      <c r="AP6" s="55" t="str">
        <f t="shared" si="14"/>
        <v/>
      </c>
      <c r="AQ6" s="55" t="str">
        <f t="shared" si="15"/>
        <v/>
      </c>
      <c r="AR6" s="55" t="str">
        <f t="shared" si="16"/>
        <v/>
      </c>
      <c r="AS6" s="19">
        <v>18.7</v>
      </c>
      <c r="AT6" s="19">
        <v>3.9</v>
      </c>
      <c r="AU6" s="19">
        <v>0.2</v>
      </c>
      <c r="AV6" s="19">
        <v>0</v>
      </c>
      <c r="AW6" s="19">
        <v>18.5</v>
      </c>
      <c r="AX6" s="19">
        <v>5.2</v>
      </c>
      <c r="AY6" s="19">
        <v>0</v>
      </c>
      <c r="AZ6" s="19">
        <v>0</v>
      </c>
      <c r="BA6" s="19"/>
      <c r="BB6" s="19"/>
      <c r="BC6" s="19"/>
      <c r="BD6" s="19"/>
      <c r="BE6" s="19">
        <v>18.3</v>
      </c>
      <c r="BF6" s="19">
        <v>4.8</v>
      </c>
      <c r="BG6" s="19">
        <v>0.2</v>
      </c>
      <c r="BH6" s="19">
        <v>0</v>
      </c>
      <c r="BI6" s="19">
        <v>18.3</v>
      </c>
      <c r="BJ6" s="19">
        <v>5.2</v>
      </c>
      <c r="BK6" s="19">
        <v>1</v>
      </c>
      <c r="BL6" s="19">
        <v>0</v>
      </c>
      <c r="BM6" s="33"/>
      <c r="BN6" s="14">
        <f t="shared" si="17"/>
        <v>9.1</v>
      </c>
      <c r="BO6" s="14">
        <f t="shared" si="18"/>
        <v>46.099999999999994</v>
      </c>
      <c r="BP6" s="14" t="str">
        <f t="shared" si="19"/>
        <v/>
      </c>
      <c r="BQ6" s="14">
        <f t="shared" si="20"/>
        <v>10</v>
      </c>
      <c r="BR6" s="14">
        <f t="shared" si="21"/>
        <v>45.400000000000006</v>
      </c>
      <c r="BS6" s="14">
        <f t="shared" si="22"/>
        <v>91.5</v>
      </c>
      <c r="BT6" s="20">
        <v>18.5</v>
      </c>
      <c r="BU6" s="20">
        <v>4.3</v>
      </c>
      <c r="BV6" s="20">
        <v>0</v>
      </c>
      <c r="BW6" s="20">
        <v>0</v>
      </c>
      <c r="BX6" s="20">
        <v>18.8</v>
      </c>
      <c r="BY6" s="20">
        <v>5.6</v>
      </c>
      <c r="BZ6" s="20">
        <v>0.2</v>
      </c>
      <c r="CA6" s="20">
        <v>0</v>
      </c>
      <c r="CB6" s="20"/>
      <c r="CC6" s="20"/>
      <c r="CD6" s="20"/>
      <c r="CE6" s="20"/>
      <c r="CF6" s="20">
        <v>18.600000000000001</v>
      </c>
      <c r="CG6" s="20">
        <v>5.2</v>
      </c>
      <c r="CH6" s="20">
        <v>0</v>
      </c>
      <c r="CI6" s="20">
        <v>0</v>
      </c>
      <c r="CJ6" s="20">
        <v>18.899999999999999</v>
      </c>
      <c r="CK6" s="20">
        <v>4.3</v>
      </c>
      <c r="CL6" s="20">
        <v>0.6</v>
      </c>
      <c r="CM6" s="20">
        <v>0</v>
      </c>
      <c r="CN6" s="32"/>
      <c r="CO6" s="55">
        <f t="shared" si="23"/>
        <v>9.8999999999999986</v>
      </c>
      <c r="CP6" s="55">
        <f t="shared" si="24"/>
        <v>47</v>
      </c>
      <c r="CQ6" s="55" t="str">
        <f t="shared" si="25"/>
        <v/>
      </c>
      <c r="CR6" s="55">
        <f t="shared" si="26"/>
        <v>9.5</v>
      </c>
      <c r="CS6" s="55">
        <f t="shared" si="27"/>
        <v>46.4</v>
      </c>
      <c r="CT6" s="55">
        <f t="shared" si="28"/>
        <v>93.4</v>
      </c>
      <c r="CU6" s="56" t="str">
        <f t="shared" si="29"/>
        <v/>
      </c>
      <c r="CV6" s="56" t="str">
        <f t="shared" si="30"/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 t="shared" si="31"/>
        <v/>
      </c>
      <c r="DR6" s="55" t="str">
        <f t="shared" si="32"/>
        <v/>
      </c>
      <c r="DS6" s="55" t="str">
        <f t="shared" si="33"/>
        <v/>
      </c>
      <c r="DT6" s="55" t="str">
        <f t="shared" si="34"/>
        <v/>
      </c>
      <c r="DU6" s="55" t="str">
        <f t="shared" si="35"/>
        <v/>
      </c>
      <c r="DV6" s="55" t="str">
        <f t="shared" si="36"/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7"/>
        <v/>
      </c>
      <c r="ER6" s="14" t="str">
        <f t="shared" si="38"/>
        <v/>
      </c>
      <c r="ES6" s="14" t="str">
        <f t="shared" si="39"/>
        <v/>
      </c>
      <c r="ET6" s="14" t="str">
        <f t="shared" si="40"/>
        <v/>
      </c>
      <c r="EU6" s="14" t="str">
        <f t="shared" si="41"/>
        <v/>
      </c>
      <c r="EV6" s="14" t="str">
        <f t="shared" si="42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43"/>
        <v/>
      </c>
      <c r="FR6" s="55" t="str">
        <f t="shared" si="44"/>
        <v/>
      </c>
      <c r="FS6" s="55" t="str">
        <f t="shared" si="45"/>
        <v/>
      </c>
      <c r="FT6" s="55" t="str">
        <f t="shared" si="46"/>
        <v/>
      </c>
      <c r="FU6" s="55" t="str">
        <f t="shared" si="47"/>
        <v/>
      </c>
      <c r="FV6" s="55" t="str">
        <f t="shared" si="48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9"/>
        <v/>
      </c>
      <c r="GR6" s="14" t="str">
        <f t="shared" si="50"/>
        <v/>
      </c>
      <c r="GS6" s="14" t="str">
        <f t="shared" si="51"/>
        <v/>
      </c>
      <c r="GT6" s="14" t="str">
        <f t="shared" si="52"/>
        <v/>
      </c>
      <c r="GU6" s="14" t="str">
        <f t="shared" si="53"/>
        <v/>
      </c>
      <c r="GV6" s="14" t="str">
        <f t="shared" si="54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55"/>
        <v/>
      </c>
      <c r="HR6" s="55" t="str">
        <f t="shared" si="56"/>
        <v/>
      </c>
      <c r="HS6" s="55" t="str">
        <f t="shared" si="57"/>
        <v/>
      </c>
      <c r="HT6" s="55" t="str">
        <f t="shared" si="58"/>
        <v/>
      </c>
      <c r="HU6" s="55" t="str">
        <f t="shared" si="59"/>
        <v/>
      </c>
      <c r="HV6" s="55" t="str">
        <f t="shared" si="60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61"/>
        <v/>
      </c>
      <c r="IR6" s="14" t="str">
        <f t="shared" si="62"/>
        <v/>
      </c>
      <c r="IS6" s="14" t="str">
        <f t="shared" si="63"/>
        <v/>
      </c>
      <c r="IT6" s="14" t="str">
        <f t="shared" si="64"/>
        <v/>
      </c>
      <c r="IU6" s="14" t="str">
        <f t="shared" si="65"/>
        <v/>
      </c>
      <c r="IV6" s="14" t="str">
        <f t="shared" si="66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67"/>
        <v/>
      </c>
      <c r="JR6" s="55" t="str">
        <f t="shared" si="68"/>
        <v/>
      </c>
      <c r="JS6" s="55" t="str">
        <f t="shared" si="69"/>
        <v/>
      </c>
      <c r="JT6" s="55" t="str">
        <f t="shared" si="70"/>
        <v/>
      </c>
      <c r="JU6" s="55" t="str">
        <f t="shared" si="71"/>
        <v/>
      </c>
      <c r="JV6" s="55" t="str">
        <f t="shared" si="72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73"/>
        <v/>
      </c>
      <c r="KR6" s="14" t="str">
        <f t="shared" si="74"/>
        <v/>
      </c>
      <c r="KS6" s="14" t="str">
        <f t="shared" si="75"/>
        <v/>
      </c>
      <c r="KT6" s="14" t="str">
        <f t="shared" si="76"/>
        <v/>
      </c>
      <c r="KU6" s="14" t="str">
        <f t="shared" si="77"/>
        <v/>
      </c>
      <c r="KV6" s="14" t="str">
        <f t="shared" si="78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79"/>
        <v/>
      </c>
      <c r="LR6" s="55" t="str">
        <f t="shared" si="80"/>
        <v/>
      </c>
      <c r="LS6" s="55" t="str">
        <f t="shared" si="81"/>
        <v/>
      </c>
      <c r="LT6" s="55" t="str">
        <f t="shared" si="82"/>
        <v/>
      </c>
      <c r="LU6" s="55" t="str">
        <f t="shared" si="83"/>
        <v/>
      </c>
      <c r="LV6" s="55" t="str">
        <f t="shared" si="84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85"/>
        <v/>
      </c>
      <c r="MR6" s="14" t="str">
        <f t="shared" si="86"/>
        <v/>
      </c>
      <c r="MS6" s="14" t="str">
        <f t="shared" si="87"/>
        <v/>
      </c>
      <c r="MT6" s="14" t="str">
        <f t="shared" si="88"/>
        <v/>
      </c>
      <c r="MU6" s="14" t="str">
        <f t="shared" si="89"/>
        <v/>
      </c>
      <c r="MV6" s="14" t="str">
        <f t="shared" si="90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91"/>
        <v/>
      </c>
      <c r="NR6" s="55" t="str">
        <f t="shared" si="92"/>
        <v/>
      </c>
      <c r="NS6" s="55" t="str">
        <f t="shared" si="93"/>
        <v/>
      </c>
      <c r="NT6" s="55" t="str">
        <f t="shared" si="94"/>
        <v/>
      </c>
      <c r="NU6" s="55" t="str">
        <f t="shared" si="95"/>
        <v/>
      </c>
      <c r="NV6" s="55" t="str">
        <f t="shared" si="96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97"/>
        <v/>
      </c>
      <c r="OR6" s="14" t="str">
        <f t="shared" si="98"/>
        <v/>
      </c>
      <c r="OS6" s="14" t="str">
        <f t="shared" si="99"/>
        <v/>
      </c>
      <c r="OT6" s="14" t="str">
        <f t="shared" si="100"/>
        <v/>
      </c>
      <c r="OU6" s="14" t="str">
        <f t="shared" si="101"/>
        <v/>
      </c>
      <c r="OV6" s="14" t="str">
        <f t="shared" si="102"/>
        <v/>
      </c>
      <c r="OW6" s="27">
        <f t="shared" si="103"/>
        <v>18.600000000000001</v>
      </c>
      <c r="OX6" s="27">
        <f t="shared" si="104"/>
        <v>4.0999999999999996</v>
      </c>
      <c r="OY6" s="27">
        <f t="shared" si="105"/>
        <v>0.1</v>
      </c>
      <c r="OZ6" s="27">
        <f t="shared" si="106"/>
        <v>0</v>
      </c>
      <c r="PA6" s="27">
        <f t="shared" si="107"/>
        <v>18.649999999999999</v>
      </c>
      <c r="PB6" s="27">
        <f t="shared" si="108"/>
        <v>5.4</v>
      </c>
      <c r="PC6" s="27">
        <f t="shared" si="109"/>
        <v>0.1</v>
      </c>
      <c r="PD6" s="27">
        <f t="shared" si="110"/>
        <v>0</v>
      </c>
      <c r="PE6" s="27">
        <f t="shared" si="111"/>
        <v>0</v>
      </c>
      <c r="PF6" s="27">
        <f t="shared" si="112"/>
        <v>0</v>
      </c>
      <c r="PG6" s="27">
        <f t="shared" si="113"/>
        <v>0</v>
      </c>
      <c r="PH6" s="27">
        <f t="shared" si="114"/>
        <v>0</v>
      </c>
      <c r="PI6" s="27">
        <f t="shared" si="115"/>
        <v>18.450000000000003</v>
      </c>
      <c r="PJ6" s="27">
        <f t="shared" si="116"/>
        <v>5</v>
      </c>
      <c r="PK6" s="27">
        <f t="shared" si="117"/>
        <v>0.1</v>
      </c>
      <c r="PL6" s="27">
        <f t="shared" si="118"/>
        <v>0</v>
      </c>
      <c r="PM6" s="27">
        <f t="shared" si="119"/>
        <v>18.600000000000001</v>
      </c>
      <c r="PN6" s="27">
        <f t="shared" si="120"/>
        <v>4.75</v>
      </c>
      <c r="PO6" s="27">
        <f t="shared" si="121"/>
        <v>0.8</v>
      </c>
      <c r="PP6" s="27">
        <f t="shared" si="122"/>
        <v>0</v>
      </c>
      <c r="PQ6" s="32" t="s">
        <v>44</v>
      </c>
      <c r="PR6" s="55">
        <f t="shared" si="123"/>
        <v>9.5</v>
      </c>
      <c r="PS6" s="55">
        <f t="shared" si="124"/>
        <v>46.55</v>
      </c>
      <c r="PT6" s="55" t="str">
        <f t="shared" si="125"/>
        <v/>
      </c>
      <c r="PU6" s="55">
        <f t="shared" si="126"/>
        <v>9.75</v>
      </c>
      <c r="PV6" s="55">
        <f t="shared" si="127"/>
        <v>45.900000000000006</v>
      </c>
      <c r="PW6" s="55">
        <f t="shared" si="128"/>
        <v>92.45</v>
      </c>
    </row>
    <row r="7" spans="1:43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82</v>
      </c>
      <c r="C7" s="4" t="s">
        <v>67</v>
      </c>
      <c r="D7" s="4">
        <v>2009</v>
      </c>
      <c r="E7" s="10">
        <f t="shared" si="0"/>
        <v>134.80001348000445</v>
      </c>
      <c r="F7" s="3" t="str">
        <f t="shared" si="1"/>
        <v>P</v>
      </c>
      <c r="G7" s="3" t="str">
        <f t="shared" si="2"/>
        <v>P</v>
      </c>
      <c r="H7" s="47" t="str">
        <f t="shared" si="3"/>
        <v>National Team</v>
      </c>
      <c r="I7" s="9">
        <f>IF(COUNT(AN7,BO7,CP7)&gt;0,LARGE((AN7,BO7,CP7),1),0)</f>
        <v>44.699999999999996</v>
      </c>
      <c r="J7" s="9" t="str">
        <f t="shared" si="4"/>
        <v>2025 Nationals</v>
      </c>
      <c r="K7" s="9">
        <f>IF(COUNT(AN7,BO7,CP7)&gt;1,LARGE((AN7,BO7,CP7),2),0)</f>
        <v>43.699999999999996</v>
      </c>
      <c r="L7" s="9" t="str">
        <f t="shared" si="5"/>
        <v>2024 3rd Domestic Trial</v>
      </c>
      <c r="M7" s="9">
        <f t="shared" si="6"/>
        <v>46.4</v>
      </c>
      <c r="N7" s="9" t="str">
        <f t="shared" si="7"/>
        <v>2025 Elite Canada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>
        <v>17.899999999999999</v>
      </c>
      <c r="S7" s="20">
        <v>4.4000000000000004</v>
      </c>
      <c r="T7" s="20">
        <v>0.2</v>
      </c>
      <c r="U7" s="20">
        <v>0</v>
      </c>
      <c r="V7" s="20">
        <v>16.399999999999999</v>
      </c>
      <c r="W7" s="20">
        <v>5.2</v>
      </c>
      <c r="X7" s="20">
        <v>0</v>
      </c>
      <c r="Y7" s="20">
        <v>0</v>
      </c>
      <c r="Z7" s="20">
        <v>18.600000000000001</v>
      </c>
      <c r="AA7" s="20">
        <v>3.5</v>
      </c>
      <c r="AB7" s="20">
        <v>0.6</v>
      </c>
      <c r="AC7" s="20">
        <v>0</v>
      </c>
      <c r="AD7" s="20">
        <v>17.899999999999999</v>
      </c>
      <c r="AE7" s="20">
        <v>4.4000000000000004</v>
      </c>
      <c r="AF7" s="20">
        <v>0.8</v>
      </c>
      <c r="AG7" s="20">
        <v>0</v>
      </c>
      <c r="AH7" s="20">
        <v>17.8</v>
      </c>
      <c r="AI7" s="20">
        <v>5.2</v>
      </c>
      <c r="AJ7" s="20">
        <v>0.2</v>
      </c>
      <c r="AK7" s="20">
        <v>0</v>
      </c>
      <c r="AL7" s="32"/>
      <c r="AM7" s="55">
        <f t="shared" si="11"/>
        <v>9.6000000000000014</v>
      </c>
      <c r="AN7" s="55">
        <f t="shared" si="12"/>
        <v>43.699999999999996</v>
      </c>
      <c r="AO7" s="55">
        <f t="shared" si="13"/>
        <v>21.5</v>
      </c>
      <c r="AP7" s="55">
        <f t="shared" si="14"/>
        <v>9.6000000000000014</v>
      </c>
      <c r="AQ7" s="55">
        <f t="shared" si="15"/>
        <v>44.3</v>
      </c>
      <c r="AR7" s="55">
        <f t="shared" si="16"/>
        <v>109.49999999999999</v>
      </c>
      <c r="AS7" s="19">
        <v>18</v>
      </c>
      <c r="AT7" s="19">
        <v>6</v>
      </c>
      <c r="AU7" s="19">
        <v>0.6</v>
      </c>
      <c r="AV7" s="19">
        <v>0</v>
      </c>
      <c r="AW7" s="19">
        <v>15.2</v>
      </c>
      <c r="AX7" s="19">
        <v>2.8</v>
      </c>
      <c r="AY7" s="19">
        <v>0</v>
      </c>
      <c r="AZ7" s="19">
        <v>0</v>
      </c>
      <c r="BA7" s="19"/>
      <c r="BB7" s="19"/>
      <c r="BC7" s="19"/>
      <c r="BD7" s="19"/>
      <c r="BE7" s="19">
        <v>18.399999999999999</v>
      </c>
      <c r="BF7" s="19">
        <v>5.2</v>
      </c>
      <c r="BG7" s="19">
        <v>0.2</v>
      </c>
      <c r="BH7" s="19">
        <v>0</v>
      </c>
      <c r="BI7" s="19">
        <v>18</v>
      </c>
      <c r="BJ7" s="19">
        <v>5.2</v>
      </c>
      <c r="BK7" s="19">
        <v>0.2</v>
      </c>
      <c r="BL7" s="19">
        <v>0</v>
      </c>
      <c r="BM7" s="33"/>
      <c r="BN7" s="14">
        <f t="shared" si="17"/>
        <v>8.8000000000000007</v>
      </c>
      <c r="BO7" s="14">
        <f t="shared" si="18"/>
        <v>41.4</v>
      </c>
      <c r="BP7" s="14" t="str">
        <f t="shared" si="19"/>
        <v/>
      </c>
      <c r="BQ7" s="14">
        <f t="shared" si="20"/>
        <v>10.4</v>
      </c>
      <c r="BR7" s="14">
        <f t="shared" si="21"/>
        <v>46.4</v>
      </c>
      <c r="BS7" s="14">
        <f t="shared" si="22"/>
        <v>87.8</v>
      </c>
      <c r="BT7" s="20">
        <v>16.7</v>
      </c>
      <c r="BU7" s="20">
        <v>5.2</v>
      </c>
      <c r="BV7" s="20">
        <v>0.2</v>
      </c>
      <c r="BW7" s="20">
        <v>0</v>
      </c>
      <c r="BX7" s="20">
        <v>18</v>
      </c>
      <c r="BY7" s="20">
        <v>5.2</v>
      </c>
      <c r="BZ7" s="20">
        <v>0.2</v>
      </c>
      <c r="CA7" s="20">
        <v>0</v>
      </c>
      <c r="CB7" s="20"/>
      <c r="CC7" s="20"/>
      <c r="CD7" s="20"/>
      <c r="CE7" s="20"/>
      <c r="CF7" s="20">
        <v>15.4</v>
      </c>
      <c r="CG7" s="20">
        <v>2.4</v>
      </c>
      <c r="CH7" s="20">
        <v>0</v>
      </c>
      <c r="CI7" s="20">
        <v>0</v>
      </c>
      <c r="CJ7" s="20">
        <v>18.2</v>
      </c>
      <c r="CK7" s="20">
        <v>5.2</v>
      </c>
      <c r="CL7" s="20">
        <v>0</v>
      </c>
      <c r="CM7" s="20">
        <v>0</v>
      </c>
      <c r="CN7" s="32"/>
      <c r="CO7" s="55">
        <f t="shared" si="23"/>
        <v>10.4</v>
      </c>
      <c r="CP7" s="55">
        <f t="shared" si="24"/>
        <v>44.699999999999996</v>
      </c>
      <c r="CQ7" s="55" t="str">
        <f t="shared" si="25"/>
        <v/>
      </c>
      <c r="CR7" s="55">
        <f t="shared" si="26"/>
        <v>7.6</v>
      </c>
      <c r="CS7" s="55">
        <f t="shared" si="27"/>
        <v>41.2</v>
      </c>
      <c r="CT7" s="55">
        <f t="shared" si="28"/>
        <v>85.9</v>
      </c>
      <c r="CU7" s="56" t="str">
        <f t="shared" si="29"/>
        <v/>
      </c>
      <c r="CV7" s="56" t="str">
        <f t="shared" si="30"/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 t="shared" si="31"/>
        <v/>
      </c>
      <c r="DR7" s="55" t="str">
        <f t="shared" si="32"/>
        <v/>
      </c>
      <c r="DS7" s="55" t="str">
        <f t="shared" si="33"/>
        <v/>
      </c>
      <c r="DT7" s="55" t="str">
        <f t="shared" si="34"/>
        <v/>
      </c>
      <c r="DU7" s="55" t="str">
        <f t="shared" si="35"/>
        <v/>
      </c>
      <c r="DV7" s="55" t="str">
        <f t="shared" si="36"/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7"/>
        <v/>
      </c>
      <c r="ER7" s="14" t="str">
        <f t="shared" si="38"/>
        <v/>
      </c>
      <c r="ES7" s="14" t="str">
        <f t="shared" si="39"/>
        <v/>
      </c>
      <c r="ET7" s="14" t="str">
        <f t="shared" si="40"/>
        <v/>
      </c>
      <c r="EU7" s="14" t="str">
        <f t="shared" si="41"/>
        <v/>
      </c>
      <c r="EV7" s="14" t="str">
        <f t="shared" si="42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43"/>
        <v/>
      </c>
      <c r="FR7" s="55" t="str">
        <f t="shared" si="44"/>
        <v/>
      </c>
      <c r="FS7" s="55" t="str">
        <f t="shared" si="45"/>
        <v/>
      </c>
      <c r="FT7" s="55" t="str">
        <f t="shared" si="46"/>
        <v/>
      </c>
      <c r="FU7" s="55" t="str">
        <f t="shared" si="47"/>
        <v/>
      </c>
      <c r="FV7" s="55" t="str">
        <f t="shared" si="48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9"/>
        <v/>
      </c>
      <c r="GR7" s="14" t="str">
        <f t="shared" si="50"/>
        <v/>
      </c>
      <c r="GS7" s="14" t="str">
        <f t="shared" si="51"/>
        <v/>
      </c>
      <c r="GT7" s="14" t="str">
        <f t="shared" si="52"/>
        <v/>
      </c>
      <c r="GU7" s="14" t="str">
        <f t="shared" si="53"/>
        <v/>
      </c>
      <c r="GV7" s="14" t="str">
        <f t="shared" si="54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55"/>
        <v/>
      </c>
      <c r="HR7" s="55" t="str">
        <f t="shared" si="56"/>
        <v/>
      </c>
      <c r="HS7" s="55" t="str">
        <f t="shared" si="57"/>
        <v/>
      </c>
      <c r="HT7" s="55" t="str">
        <f t="shared" si="58"/>
        <v/>
      </c>
      <c r="HU7" s="55" t="str">
        <f t="shared" si="59"/>
        <v/>
      </c>
      <c r="HV7" s="55" t="str">
        <f t="shared" si="60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61"/>
        <v/>
      </c>
      <c r="IR7" s="14" t="str">
        <f t="shared" si="62"/>
        <v/>
      </c>
      <c r="IS7" s="14" t="str">
        <f t="shared" si="63"/>
        <v/>
      </c>
      <c r="IT7" s="14" t="str">
        <f t="shared" si="64"/>
        <v/>
      </c>
      <c r="IU7" s="14" t="str">
        <f t="shared" si="65"/>
        <v/>
      </c>
      <c r="IV7" s="14" t="str">
        <f t="shared" si="66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67"/>
        <v/>
      </c>
      <c r="JR7" s="55" t="str">
        <f t="shared" si="68"/>
        <v/>
      </c>
      <c r="JS7" s="55" t="str">
        <f t="shared" si="69"/>
        <v/>
      </c>
      <c r="JT7" s="55" t="str">
        <f t="shared" si="70"/>
        <v/>
      </c>
      <c r="JU7" s="55" t="str">
        <f t="shared" si="71"/>
        <v/>
      </c>
      <c r="JV7" s="55" t="str">
        <f t="shared" si="72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73"/>
        <v/>
      </c>
      <c r="KR7" s="14" t="str">
        <f t="shared" si="74"/>
        <v/>
      </c>
      <c r="KS7" s="14" t="str">
        <f t="shared" si="75"/>
        <v/>
      </c>
      <c r="KT7" s="14" t="str">
        <f t="shared" si="76"/>
        <v/>
      </c>
      <c r="KU7" s="14" t="str">
        <f t="shared" si="77"/>
        <v/>
      </c>
      <c r="KV7" s="14" t="str">
        <f t="shared" si="78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79"/>
        <v/>
      </c>
      <c r="LR7" s="55" t="str">
        <f t="shared" si="80"/>
        <v/>
      </c>
      <c r="LS7" s="55" t="str">
        <f t="shared" si="81"/>
        <v/>
      </c>
      <c r="LT7" s="55" t="str">
        <f t="shared" si="82"/>
        <v/>
      </c>
      <c r="LU7" s="55" t="str">
        <f t="shared" si="83"/>
        <v/>
      </c>
      <c r="LV7" s="55" t="str">
        <f t="shared" si="84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85"/>
        <v/>
      </c>
      <c r="MR7" s="14" t="str">
        <f t="shared" si="86"/>
        <v/>
      </c>
      <c r="MS7" s="14" t="str">
        <f t="shared" si="87"/>
        <v/>
      </c>
      <c r="MT7" s="14" t="str">
        <f t="shared" si="88"/>
        <v/>
      </c>
      <c r="MU7" s="14" t="str">
        <f t="shared" si="89"/>
        <v/>
      </c>
      <c r="MV7" s="14" t="str">
        <f t="shared" si="90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91"/>
        <v/>
      </c>
      <c r="NR7" s="55" t="str">
        <f t="shared" si="92"/>
        <v/>
      </c>
      <c r="NS7" s="55" t="str">
        <f t="shared" si="93"/>
        <v/>
      </c>
      <c r="NT7" s="55" t="str">
        <f t="shared" si="94"/>
        <v/>
      </c>
      <c r="NU7" s="55" t="str">
        <f t="shared" si="95"/>
        <v/>
      </c>
      <c r="NV7" s="55" t="str">
        <f t="shared" si="96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97"/>
        <v/>
      </c>
      <c r="OR7" s="14" t="str">
        <f t="shared" si="98"/>
        <v/>
      </c>
      <c r="OS7" s="14" t="str">
        <f t="shared" si="99"/>
        <v/>
      </c>
      <c r="OT7" s="14" t="str">
        <f t="shared" si="100"/>
        <v/>
      </c>
      <c r="OU7" s="14" t="str">
        <f t="shared" si="101"/>
        <v/>
      </c>
      <c r="OV7" s="14" t="str">
        <f t="shared" si="102"/>
        <v/>
      </c>
      <c r="OW7" s="27">
        <f t="shared" si="103"/>
        <v>17.350000000000001</v>
      </c>
      <c r="OX7" s="27">
        <f t="shared" si="104"/>
        <v>5.6</v>
      </c>
      <c r="OY7" s="27">
        <f t="shared" si="105"/>
        <v>0.4</v>
      </c>
      <c r="OZ7" s="27">
        <f t="shared" si="106"/>
        <v>0</v>
      </c>
      <c r="PA7" s="27">
        <f t="shared" si="107"/>
        <v>16.600000000000001</v>
      </c>
      <c r="PB7" s="27">
        <f t="shared" si="108"/>
        <v>4</v>
      </c>
      <c r="PC7" s="27">
        <f t="shared" si="109"/>
        <v>0.1</v>
      </c>
      <c r="PD7" s="27">
        <f t="shared" si="110"/>
        <v>0</v>
      </c>
      <c r="PE7" s="27">
        <f t="shared" si="111"/>
        <v>0</v>
      </c>
      <c r="PF7" s="27">
        <f t="shared" si="112"/>
        <v>0</v>
      </c>
      <c r="PG7" s="27">
        <f t="shared" si="113"/>
        <v>0</v>
      </c>
      <c r="PH7" s="27">
        <f t="shared" si="114"/>
        <v>0</v>
      </c>
      <c r="PI7" s="27">
        <f t="shared" si="115"/>
        <v>16.899999999999999</v>
      </c>
      <c r="PJ7" s="27">
        <f t="shared" si="116"/>
        <v>3.8</v>
      </c>
      <c r="PK7" s="27">
        <f t="shared" si="117"/>
        <v>0.1</v>
      </c>
      <c r="PL7" s="27">
        <f t="shared" si="118"/>
        <v>0</v>
      </c>
      <c r="PM7" s="27">
        <f t="shared" si="119"/>
        <v>18.100000000000001</v>
      </c>
      <c r="PN7" s="27">
        <f t="shared" si="120"/>
        <v>5.2</v>
      </c>
      <c r="PO7" s="27">
        <f t="shared" si="121"/>
        <v>0.1</v>
      </c>
      <c r="PP7" s="27">
        <f t="shared" si="122"/>
        <v>0</v>
      </c>
      <c r="PQ7" s="32" t="s">
        <v>44</v>
      </c>
      <c r="PR7" s="55">
        <f t="shared" si="123"/>
        <v>9.6</v>
      </c>
      <c r="PS7" s="55">
        <f t="shared" si="124"/>
        <v>43.050000000000004</v>
      </c>
      <c r="PT7" s="55" t="str">
        <f t="shared" si="125"/>
        <v/>
      </c>
      <c r="PU7" s="55">
        <f t="shared" si="126"/>
        <v>9</v>
      </c>
      <c r="PV7" s="55">
        <f t="shared" si="127"/>
        <v>43.8</v>
      </c>
      <c r="PW7" s="55">
        <f t="shared" si="128"/>
        <v>86.85</v>
      </c>
    </row>
    <row r="8" spans="1:439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94</v>
      </c>
      <c r="C8" s="4" t="s">
        <v>90</v>
      </c>
      <c r="D8" s="4">
        <v>2009</v>
      </c>
      <c r="E8" s="10">
        <f t="shared" si="0"/>
        <v>129.30001293000447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IF(COUNT(AN8,BO8,CP8)&gt;0,LARGE((AN8,BO8,CP8),1),0)</f>
        <v>44.699999999999996</v>
      </c>
      <c r="J8" s="9" t="str">
        <f t="shared" si="4"/>
        <v>2025 Nationals</v>
      </c>
      <c r="K8" s="9">
        <f>IF(COUNT(AN8,BO8,CP8)&gt;1,LARGE((AN8,BO8,CP8),2),0)</f>
        <v>40.700000000000003</v>
      </c>
      <c r="L8" s="9" t="str">
        <f t="shared" si="5"/>
        <v>2025 Elite Canada</v>
      </c>
      <c r="M8" s="9">
        <f t="shared" si="6"/>
        <v>43.9</v>
      </c>
      <c r="N8" s="9" t="str">
        <f t="shared" si="7"/>
        <v>2025 Nationals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 t="shared" si="11"/>
        <v/>
      </c>
      <c r="AN8" s="55" t="str">
        <f t="shared" si="12"/>
        <v/>
      </c>
      <c r="AO8" s="55" t="str">
        <f t="shared" si="13"/>
        <v/>
      </c>
      <c r="AP8" s="55" t="str">
        <f t="shared" si="14"/>
        <v/>
      </c>
      <c r="AQ8" s="55" t="str">
        <f t="shared" si="15"/>
        <v/>
      </c>
      <c r="AR8" s="55" t="str">
        <f t="shared" si="16"/>
        <v/>
      </c>
      <c r="AS8" s="19">
        <v>18.2</v>
      </c>
      <c r="AT8" s="19">
        <v>3.5</v>
      </c>
      <c r="AU8" s="19">
        <v>0.6</v>
      </c>
      <c r="AV8" s="19">
        <v>0</v>
      </c>
      <c r="AW8" s="19">
        <v>16</v>
      </c>
      <c r="AX8" s="19">
        <v>4.4000000000000004</v>
      </c>
      <c r="AY8" s="19">
        <v>0.8</v>
      </c>
      <c r="AZ8" s="19">
        <v>0</v>
      </c>
      <c r="BA8" s="19"/>
      <c r="BB8" s="19"/>
      <c r="BC8" s="19"/>
      <c r="BD8" s="19"/>
      <c r="BE8" s="19">
        <v>15.6</v>
      </c>
      <c r="BF8" s="19">
        <v>0.7</v>
      </c>
      <c r="BG8" s="19">
        <v>0</v>
      </c>
      <c r="BH8" s="19">
        <v>0</v>
      </c>
      <c r="BI8" s="19">
        <v>17.899999999999999</v>
      </c>
      <c r="BJ8" s="19">
        <v>4.4000000000000004</v>
      </c>
      <c r="BK8" s="19">
        <v>0</v>
      </c>
      <c r="BL8" s="19">
        <v>0</v>
      </c>
      <c r="BM8" s="33"/>
      <c r="BN8" s="14">
        <f t="shared" si="17"/>
        <v>7.9</v>
      </c>
      <c r="BO8" s="14">
        <f t="shared" si="18"/>
        <v>40.700000000000003</v>
      </c>
      <c r="BP8" s="14" t="str">
        <f t="shared" si="19"/>
        <v/>
      </c>
      <c r="BQ8" s="14">
        <f t="shared" si="20"/>
        <v>5.1000000000000005</v>
      </c>
      <c r="BR8" s="14">
        <f t="shared" si="21"/>
        <v>38.6</v>
      </c>
      <c r="BS8" s="14">
        <f t="shared" si="22"/>
        <v>79.300000000000011</v>
      </c>
      <c r="BT8" s="20">
        <v>18.600000000000001</v>
      </c>
      <c r="BU8" s="20">
        <v>3.5</v>
      </c>
      <c r="BV8" s="20">
        <v>0</v>
      </c>
      <c r="BW8" s="20">
        <v>0</v>
      </c>
      <c r="BX8" s="20">
        <v>18.2</v>
      </c>
      <c r="BY8" s="20">
        <v>4.4000000000000004</v>
      </c>
      <c r="BZ8" s="20">
        <v>0</v>
      </c>
      <c r="CA8" s="20">
        <v>0</v>
      </c>
      <c r="CB8" s="20"/>
      <c r="CC8" s="20"/>
      <c r="CD8" s="20"/>
      <c r="CE8" s="20"/>
      <c r="CF8" s="20">
        <v>18.600000000000001</v>
      </c>
      <c r="CG8" s="20">
        <v>3.5</v>
      </c>
      <c r="CH8" s="20">
        <v>0</v>
      </c>
      <c r="CI8" s="20">
        <v>0</v>
      </c>
      <c r="CJ8" s="20">
        <v>18</v>
      </c>
      <c r="CK8" s="20">
        <v>4.4000000000000004</v>
      </c>
      <c r="CL8" s="20">
        <v>0.6</v>
      </c>
      <c r="CM8" s="20">
        <v>0</v>
      </c>
      <c r="CN8" s="32"/>
      <c r="CO8" s="55">
        <f t="shared" si="23"/>
        <v>7.9</v>
      </c>
      <c r="CP8" s="55">
        <f t="shared" si="24"/>
        <v>44.699999999999996</v>
      </c>
      <c r="CQ8" s="55" t="str">
        <f t="shared" si="25"/>
        <v/>
      </c>
      <c r="CR8" s="55">
        <f t="shared" si="26"/>
        <v>7.9</v>
      </c>
      <c r="CS8" s="55">
        <f t="shared" si="27"/>
        <v>43.9</v>
      </c>
      <c r="CT8" s="55">
        <f t="shared" si="28"/>
        <v>88.6</v>
      </c>
      <c r="CU8" s="56" t="str">
        <f t="shared" si="29"/>
        <v/>
      </c>
      <c r="CV8" s="56" t="str">
        <f t="shared" si="30"/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 t="shared" si="31"/>
        <v/>
      </c>
      <c r="DR8" s="55" t="str">
        <f t="shared" si="32"/>
        <v/>
      </c>
      <c r="DS8" s="55" t="str">
        <f t="shared" si="33"/>
        <v/>
      </c>
      <c r="DT8" s="55" t="str">
        <f t="shared" si="34"/>
        <v/>
      </c>
      <c r="DU8" s="55" t="str">
        <f t="shared" si="35"/>
        <v/>
      </c>
      <c r="DV8" s="55" t="str">
        <f t="shared" si="36"/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 t="shared" si="37"/>
        <v/>
      </c>
      <c r="ER8" s="14" t="str">
        <f t="shared" si="38"/>
        <v/>
      </c>
      <c r="ES8" s="14" t="str">
        <f t="shared" si="39"/>
        <v/>
      </c>
      <c r="ET8" s="14" t="str">
        <f t="shared" si="40"/>
        <v/>
      </c>
      <c r="EU8" s="14" t="str">
        <f t="shared" si="41"/>
        <v/>
      </c>
      <c r="EV8" s="14" t="str">
        <f t="shared" si="42"/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 t="shared" si="43"/>
        <v/>
      </c>
      <c r="FR8" s="55" t="str">
        <f t="shared" si="44"/>
        <v/>
      </c>
      <c r="FS8" s="55" t="str">
        <f t="shared" si="45"/>
        <v/>
      </c>
      <c r="FT8" s="55" t="str">
        <f t="shared" si="46"/>
        <v/>
      </c>
      <c r="FU8" s="55" t="str">
        <f t="shared" si="47"/>
        <v/>
      </c>
      <c r="FV8" s="55" t="str">
        <f t="shared" si="48"/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9"/>
        <v/>
      </c>
      <c r="GR8" s="14" t="str">
        <f t="shared" si="50"/>
        <v/>
      </c>
      <c r="GS8" s="14" t="str">
        <f t="shared" si="51"/>
        <v/>
      </c>
      <c r="GT8" s="14" t="str">
        <f t="shared" si="52"/>
        <v/>
      </c>
      <c r="GU8" s="14" t="str">
        <f t="shared" si="53"/>
        <v/>
      </c>
      <c r="GV8" s="14" t="str">
        <f t="shared" si="54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55"/>
        <v/>
      </c>
      <c r="HR8" s="55" t="str">
        <f t="shared" si="56"/>
        <v/>
      </c>
      <c r="HS8" s="55" t="str">
        <f t="shared" si="57"/>
        <v/>
      </c>
      <c r="HT8" s="55" t="str">
        <f t="shared" si="58"/>
        <v/>
      </c>
      <c r="HU8" s="55" t="str">
        <f t="shared" si="59"/>
        <v/>
      </c>
      <c r="HV8" s="55" t="str">
        <f t="shared" si="60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61"/>
        <v/>
      </c>
      <c r="IR8" s="14" t="str">
        <f t="shared" si="62"/>
        <v/>
      </c>
      <c r="IS8" s="14" t="str">
        <f t="shared" si="63"/>
        <v/>
      </c>
      <c r="IT8" s="14" t="str">
        <f t="shared" si="64"/>
        <v/>
      </c>
      <c r="IU8" s="14" t="str">
        <f t="shared" si="65"/>
        <v/>
      </c>
      <c r="IV8" s="14" t="str">
        <f t="shared" si="66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67"/>
        <v/>
      </c>
      <c r="JR8" s="55" t="str">
        <f t="shared" si="68"/>
        <v/>
      </c>
      <c r="JS8" s="55" t="str">
        <f t="shared" si="69"/>
        <v/>
      </c>
      <c r="JT8" s="55" t="str">
        <f t="shared" si="70"/>
        <v/>
      </c>
      <c r="JU8" s="55" t="str">
        <f t="shared" si="71"/>
        <v/>
      </c>
      <c r="JV8" s="55" t="str">
        <f t="shared" si="72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73"/>
        <v/>
      </c>
      <c r="KR8" s="14" t="str">
        <f t="shared" si="74"/>
        <v/>
      </c>
      <c r="KS8" s="14" t="str">
        <f t="shared" si="75"/>
        <v/>
      </c>
      <c r="KT8" s="14" t="str">
        <f t="shared" si="76"/>
        <v/>
      </c>
      <c r="KU8" s="14" t="str">
        <f t="shared" si="77"/>
        <v/>
      </c>
      <c r="KV8" s="14" t="str">
        <f t="shared" si="78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79"/>
        <v/>
      </c>
      <c r="LR8" s="55" t="str">
        <f t="shared" si="80"/>
        <v/>
      </c>
      <c r="LS8" s="55" t="str">
        <f t="shared" si="81"/>
        <v/>
      </c>
      <c r="LT8" s="55" t="str">
        <f t="shared" si="82"/>
        <v/>
      </c>
      <c r="LU8" s="55" t="str">
        <f t="shared" si="83"/>
        <v/>
      </c>
      <c r="LV8" s="55" t="str">
        <f t="shared" si="84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85"/>
        <v/>
      </c>
      <c r="MR8" s="14" t="str">
        <f t="shared" si="86"/>
        <v/>
      </c>
      <c r="MS8" s="14" t="str">
        <f t="shared" si="87"/>
        <v/>
      </c>
      <c r="MT8" s="14" t="str">
        <f t="shared" si="88"/>
        <v/>
      </c>
      <c r="MU8" s="14" t="str">
        <f t="shared" si="89"/>
        <v/>
      </c>
      <c r="MV8" s="14" t="str">
        <f t="shared" si="90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91"/>
        <v/>
      </c>
      <c r="NR8" s="55" t="str">
        <f t="shared" si="92"/>
        <v/>
      </c>
      <c r="NS8" s="55" t="str">
        <f t="shared" si="93"/>
        <v/>
      </c>
      <c r="NT8" s="55" t="str">
        <f t="shared" si="94"/>
        <v/>
      </c>
      <c r="NU8" s="55" t="str">
        <f t="shared" si="95"/>
        <v/>
      </c>
      <c r="NV8" s="55" t="str">
        <f t="shared" si="96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97"/>
        <v/>
      </c>
      <c r="OR8" s="14" t="str">
        <f t="shared" si="98"/>
        <v/>
      </c>
      <c r="OS8" s="14" t="str">
        <f t="shared" si="99"/>
        <v/>
      </c>
      <c r="OT8" s="14" t="str">
        <f t="shared" si="100"/>
        <v/>
      </c>
      <c r="OU8" s="14" t="str">
        <f t="shared" si="101"/>
        <v/>
      </c>
      <c r="OV8" s="14" t="str">
        <f t="shared" si="102"/>
        <v/>
      </c>
      <c r="OW8" s="27">
        <f t="shared" si="103"/>
        <v>18.399999999999999</v>
      </c>
      <c r="OX8" s="27">
        <f t="shared" si="104"/>
        <v>3.5</v>
      </c>
      <c r="OY8" s="27">
        <f t="shared" si="105"/>
        <v>0.3</v>
      </c>
      <c r="OZ8" s="27">
        <f t="shared" si="106"/>
        <v>0</v>
      </c>
      <c r="PA8" s="27">
        <f t="shared" si="107"/>
        <v>17.100000000000001</v>
      </c>
      <c r="PB8" s="27">
        <f t="shared" si="108"/>
        <v>4.4000000000000004</v>
      </c>
      <c r="PC8" s="27">
        <f t="shared" si="109"/>
        <v>0.4</v>
      </c>
      <c r="PD8" s="27">
        <f t="shared" si="110"/>
        <v>0</v>
      </c>
      <c r="PE8" s="27">
        <f t="shared" si="111"/>
        <v>0</v>
      </c>
      <c r="PF8" s="27">
        <f t="shared" si="112"/>
        <v>0</v>
      </c>
      <c r="PG8" s="27">
        <f t="shared" si="113"/>
        <v>0</v>
      </c>
      <c r="PH8" s="27">
        <f t="shared" si="114"/>
        <v>0</v>
      </c>
      <c r="PI8" s="27">
        <f t="shared" si="115"/>
        <v>17.100000000000001</v>
      </c>
      <c r="PJ8" s="27">
        <f t="shared" si="116"/>
        <v>2.1</v>
      </c>
      <c r="PK8" s="27">
        <f t="shared" si="117"/>
        <v>0</v>
      </c>
      <c r="PL8" s="27">
        <f t="shared" si="118"/>
        <v>0</v>
      </c>
      <c r="PM8" s="27">
        <f t="shared" si="119"/>
        <v>17.95</v>
      </c>
      <c r="PN8" s="27">
        <f t="shared" si="120"/>
        <v>4.4000000000000004</v>
      </c>
      <c r="PO8" s="27">
        <f t="shared" si="121"/>
        <v>0.3</v>
      </c>
      <c r="PP8" s="27">
        <f t="shared" si="122"/>
        <v>0</v>
      </c>
      <c r="PQ8" s="32" t="s">
        <v>44</v>
      </c>
      <c r="PR8" s="55">
        <f t="shared" si="123"/>
        <v>7.9</v>
      </c>
      <c r="PS8" s="55">
        <f t="shared" si="124"/>
        <v>42.7</v>
      </c>
      <c r="PT8" s="55" t="str">
        <f t="shared" si="125"/>
        <v/>
      </c>
      <c r="PU8" s="55">
        <f t="shared" si="126"/>
        <v>6.5</v>
      </c>
      <c r="PV8" s="55">
        <f t="shared" si="127"/>
        <v>41.250000000000007</v>
      </c>
      <c r="PW8" s="55">
        <f t="shared" si="128"/>
        <v>83.950000000000017</v>
      </c>
    </row>
    <row r="9" spans="1:439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101</v>
      </c>
      <c r="C9" s="4" t="s">
        <v>67</v>
      </c>
      <c r="D9" s="4">
        <v>2010</v>
      </c>
      <c r="E9" s="10">
        <f t="shared" si="0"/>
        <v>126.60001266000444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IF(COUNT(AN9,BO9,CP9)&gt;0,LARGE((AN9,BO9,CP9),1),0)</f>
        <v>44.499999999999993</v>
      </c>
      <c r="J9" s="9" t="str">
        <f t="shared" si="4"/>
        <v>2025 Nationals</v>
      </c>
      <c r="K9" s="9">
        <f>IF(COUNT(AN9,BO9,CP9)&gt;1,LARGE((AN9,BO9,CP9),2),0)</f>
        <v>38.099999999999994</v>
      </c>
      <c r="L9" s="9" t="str">
        <f t="shared" si="5"/>
        <v>2025 Elite Canada</v>
      </c>
      <c r="M9" s="9">
        <f t="shared" si="6"/>
        <v>44</v>
      </c>
      <c r="N9" s="9" t="str">
        <f t="shared" si="7"/>
        <v>2025 Elite Canada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 t="shared" si="11"/>
        <v/>
      </c>
      <c r="AN9" s="55" t="str">
        <f t="shared" si="12"/>
        <v/>
      </c>
      <c r="AO9" s="55" t="str">
        <f t="shared" si="13"/>
        <v/>
      </c>
      <c r="AP9" s="55" t="str">
        <f t="shared" si="14"/>
        <v/>
      </c>
      <c r="AQ9" s="55" t="str">
        <f t="shared" si="15"/>
        <v/>
      </c>
      <c r="AR9" s="55" t="str">
        <f t="shared" si="16"/>
        <v/>
      </c>
      <c r="AS9" s="19">
        <v>15.4</v>
      </c>
      <c r="AT9" s="19">
        <v>1.2</v>
      </c>
      <c r="AU9" s="19">
        <v>0</v>
      </c>
      <c r="AV9" s="19">
        <v>0</v>
      </c>
      <c r="AW9" s="19">
        <v>17.7</v>
      </c>
      <c r="AX9" s="19">
        <v>4.4000000000000004</v>
      </c>
      <c r="AY9" s="19">
        <v>0.6</v>
      </c>
      <c r="AZ9" s="19">
        <v>0</v>
      </c>
      <c r="BA9" s="19"/>
      <c r="BB9" s="19"/>
      <c r="BC9" s="19"/>
      <c r="BD9" s="19"/>
      <c r="BE9" s="19">
        <v>18.5</v>
      </c>
      <c r="BF9" s="19">
        <v>3.6</v>
      </c>
      <c r="BG9" s="19">
        <v>0</v>
      </c>
      <c r="BH9" s="19">
        <v>0</v>
      </c>
      <c r="BI9" s="19">
        <v>18.100000000000001</v>
      </c>
      <c r="BJ9" s="19">
        <v>4.4000000000000004</v>
      </c>
      <c r="BK9" s="19">
        <v>0.6</v>
      </c>
      <c r="BL9" s="19">
        <v>0</v>
      </c>
      <c r="BM9" s="33"/>
      <c r="BN9" s="14">
        <f t="shared" si="17"/>
        <v>5.6000000000000005</v>
      </c>
      <c r="BO9" s="14">
        <f t="shared" si="18"/>
        <v>38.099999999999994</v>
      </c>
      <c r="BP9" s="14" t="str">
        <f t="shared" si="19"/>
        <v/>
      </c>
      <c r="BQ9" s="14">
        <f t="shared" si="20"/>
        <v>8</v>
      </c>
      <c r="BR9" s="14">
        <f t="shared" si="21"/>
        <v>44</v>
      </c>
      <c r="BS9" s="14">
        <f t="shared" si="22"/>
        <v>82.1</v>
      </c>
      <c r="BT9" s="20">
        <v>18.399999999999999</v>
      </c>
      <c r="BU9" s="20">
        <v>4.4000000000000004</v>
      </c>
      <c r="BV9" s="20">
        <v>0</v>
      </c>
      <c r="BW9" s="20">
        <v>0</v>
      </c>
      <c r="BX9" s="20">
        <v>18.3</v>
      </c>
      <c r="BY9" s="20">
        <v>3.6</v>
      </c>
      <c r="BZ9" s="20">
        <v>0.2</v>
      </c>
      <c r="CA9" s="20">
        <v>0</v>
      </c>
      <c r="CB9" s="20"/>
      <c r="CC9" s="20"/>
      <c r="CD9" s="20"/>
      <c r="CE9" s="20"/>
      <c r="CF9" s="20">
        <v>18.2</v>
      </c>
      <c r="CG9" s="20">
        <v>4.4000000000000004</v>
      </c>
      <c r="CH9" s="20">
        <v>0.8</v>
      </c>
      <c r="CI9" s="20">
        <v>0</v>
      </c>
      <c r="CJ9" s="20">
        <v>0</v>
      </c>
      <c r="CK9" s="20">
        <v>0</v>
      </c>
      <c r="CL9" s="20">
        <v>0</v>
      </c>
      <c r="CM9" s="20">
        <v>0</v>
      </c>
      <c r="CN9" s="32"/>
      <c r="CO9" s="55">
        <f t="shared" si="23"/>
        <v>8</v>
      </c>
      <c r="CP9" s="55">
        <f t="shared" si="24"/>
        <v>44.499999999999993</v>
      </c>
      <c r="CQ9" s="55" t="str">
        <f t="shared" si="25"/>
        <v/>
      </c>
      <c r="CR9" s="55">
        <f t="shared" si="26"/>
        <v>4.4000000000000004</v>
      </c>
      <c r="CS9" s="55">
        <f t="shared" si="27"/>
        <v>21.8</v>
      </c>
      <c r="CT9" s="55">
        <f t="shared" si="28"/>
        <v>66.3</v>
      </c>
      <c r="CU9" s="56" t="str">
        <f t="shared" si="29"/>
        <v/>
      </c>
      <c r="CV9" s="56" t="str">
        <f t="shared" si="30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31"/>
        <v/>
      </c>
      <c r="DR9" s="55" t="str">
        <f t="shared" si="32"/>
        <v/>
      </c>
      <c r="DS9" s="55" t="str">
        <f t="shared" si="33"/>
        <v/>
      </c>
      <c r="DT9" s="55" t="str">
        <f t="shared" si="34"/>
        <v/>
      </c>
      <c r="DU9" s="55" t="str">
        <f t="shared" si="35"/>
        <v/>
      </c>
      <c r="DV9" s="55" t="str">
        <f t="shared" si="36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7"/>
        <v/>
      </c>
      <c r="ER9" s="14" t="str">
        <f t="shared" si="38"/>
        <v/>
      </c>
      <c r="ES9" s="14" t="str">
        <f t="shared" si="39"/>
        <v/>
      </c>
      <c r="ET9" s="14" t="str">
        <f t="shared" si="40"/>
        <v/>
      </c>
      <c r="EU9" s="14" t="str">
        <f t="shared" si="41"/>
        <v/>
      </c>
      <c r="EV9" s="14" t="str">
        <f t="shared" si="42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43"/>
        <v/>
      </c>
      <c r="FR9" s="55" t="str">
        <f t="shared" si="44"/>
        <v/>
      </c>
      <c r="FS9" s="55" t="str">
        <f t="shared" si="45"/>
        <v/>
      </c>
      <c r="FT9" s="55" t="str">
        <f t="shared" si="46"/>
        <v/>
      </c>
      <c r="FU9" s="55" t="str">
        <f t="shared" si="47"/>
        <v/>
      </c>
      <c r="FV9" s="55" t="str">
        <f t="shared" si="48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9"/>
        <v/>
      </c>
      <c r="GR9" s="14" t="str">
        <f t="shared" si="50"/>
        <v/>
      </c>
      <c r="GS9" s="14" t="str">
        <f t="shared" si="51"/>
        <v/>
      </c>
      <c r="GT9" s="14" t="str">
        <f t="shared" si="52"/>
        <v/>
      </c>
      <c r="GU9" s="14" t="str">
        <f t="shared" si="53"/>
        <v/>
      </c>
      <c r="GV9" s="14" t="str">
        <f t="shared" si="54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55"/>
        <v/>
      </c>
      <c r="HR9" s="55" t="str">
        <f t="shared" si="56"/>
        <v/>
      </c>
      <c r="HS9" s="55" t="str">
        <f t="shared" si="57"/>
        <v/>
      </c>
      <c r="HT9" s="55" t="str">
        <f t="shared" si="58"/>
        <v/>
      </c>
      <c r="HU9" s="55" t="str">
        <f t="shared" si="59"/>
        <v/>
      </c>
      <c r="HV9" s="55" t="str">
        <f t="shared" si="60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61"/>
        <v/>
      </c>
      <c r="IR9" s="14" t="str">
        <f t="shared" si="62"/>
        <v/>
      </c>
      <c r="IS9" s="14" t="str">
        <f t="shared" si="63"/>
        <v/>
      </c>
      <c r="IT9" s="14" t="str">
        <f t="shared" si="64"/>
        <v/>
      </c>
      <c r="IU9" s="14" t="str">
        <f t="shared" si="65"/>
        <v/>
      </c>
      <c r="IV9" s="14" t="str">
        <f t="shared" si="66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67"/>
        <v/>
      </c>
      <c r="JR9" s="55" t="str">
        <f t="shared" si="68"/>
        <v/>
      </c>
      <c r="JS9" s="55" t="str">
        <f t="shared" si="69"/>
        <v/>
      </c>
      <c r="JT9" s="55" t="str">
        <f t="shared" si="70"/>
        <v/>
      </c>
      <c r="JU9" s="55" t="str">
        <f t="shared" si="71"/>
        <v/>
      </c>
      <c r="JV9" s="55" t="str">
        <f t="shared" si="72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73"/>
        <v/>
      </c>
      <c r="KR9" s="14" t="str">
        <f t="shared" si="74"/>
        <v/>
      </c>
      <c r="KS9" s="14" t="str">
        <f t="shared" si="75"/>
        <v/>
      </c>
      <c r="KT9" s="14" t="str">
        <f t="shared" si="76"/>
        <v/>
      </c>
      <c r="KU9" s="14" t="str">
        <f t="shared" si="77"/>
        <v/>
      </c>
      <c r="KV9" s="14" t="str">
        <f t="shared" si="78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79"/>
        <v/>
      </c>
      <c r="LR9" s="55" t="str">
        <f t="shared" si="80"/>
        <v/>
      </c>
      <c r="LS9" s="55" t="str">
        <f t="shared" si="81"/>
        <v/>
      </c>
      <c r="LT9" s="55" t="str">
        <f t="shared" si="82"/>
        <v/>
      </c>
      <c r="LU9" s="55" t="str">
        <f t="shared" si="83"/>
        <v/>
      </c>
      <c r="LV9" s="55" t="str">
        <f t="shared" si="84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85"/>
        <v/>
      </c>
      <c r="MR9" s="14" t="str">
        <f t="shared" si="86"/>
        <v/>
      </c>
      <c r="MS9" s="14" t="str">
        <f t="shared" si="87"/>
        <v/>
      </c>
      <c r="MT9" s="14" t="str">
        <f t="shared" si="88"/>
        <v/>
      </c>
      <c r="MU9" s="14" t="str">
        <f t="shared" si="89"/>
        <v/>
      </c>
      <c r="MV9" s="14" t="str">
        <f t="shared" si="90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91"/>
        <v/>
      </c>
      <c r="NR9" s="55" t="str">
        <f t="shared" si="92"/>
        <v/>
      </c>
      <c r="NS9" s="55" t="str">
        <f t="shared" si="93"/>
        <v/>
      </c>
      <c r="NT9" s="55" t="str">
        <f t="shared" si="94"/>
        <v/>
      </c>
      <c r="NU9" s="55" t="str">
        <f t="shared" si="95"/>
        <v/>
      </c>
      <c r="NV9" s="55" t="str">
        <f t="shared" si="96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97"/>
        <v/>
      </c>
      <c r="OR9" s="14" t="str">
        <f t="shared" si="98"/>
        <v/>
      </c>
      <c r="OS9" s="14" t="str">
        <f t="shared" si="99"/>
        <v/>
      </c>
      <c r="OT9" s="14" t="str">
        <f t="shared" si="100"/>
        <v/>
      </c>
      <c r="OU9" s="14" t="str">
        <f t="shared" si="101"/>
        <v/>
      </c>
      <c r="OV9" s="14" t="str">
        <f t="shared" si="102"/>
        <v/>
      </c>
      <c r="OW9" s="27">
        <f t="shared" si="103"/>
        <v>16.899999999999999</v>
      </c>
      <c r="OX9" s="27">
        <f t="shared" si="104"/>
        <v>2.8000000000000003</v>
      </c>
      <c r="OY9" s="27">
        <f t="shared" si="105"/>
        <v>0</v>
      </c>
      <c r="OZ9" s="27">
        <f t="shared" si="106"/>
        <v>0</v>
      </c>
      <c r="PA9" s="27">
        <f t="shared" si="107"/>
        <v>18</v>
      </c>
      <c r="PB9" s="27">
        <f t="shared" si="108"/>
        <v>4</v>
      </c>
      <c r="PC9" s="27">
        <f t="shared" si="109"/>
        <v>0.4</v>
      </c>
      <c r="PD9" s="27">
        <f t="shared" si="110"/>
        <v>0</v>
      </c>
      <c r="PE9" s="27">
        <f t="shared" si="111"/>
        <v>0</v>
      </c>
      <c r="PF9" s="27">
        <f t="shared" si="112"/>
        <v>0</v>
      </c>
      <c r="PG9" s="27">
        <f t="shared" si="113"/>
        <v>0</v>
      </c>
      <c r="PH9" s="27">
        <f t="shared" si="114"/>
        <v>0</v>
      </c>
      <c r="PI9" s="27">
        <f t="shared" si="115"/>
        <v>18.350000000000001</v>
      </c>
      <c r="PJ9" s="27">
        <f t="shared" si="116"/>
        <v>4</v>
      </c>
      <c r="PK9" s="27">
        <f t="shared" si="117"/>
        <v>0.4</v>
      </c>
      <c r="PL9" s="27">
        <f t="shared" si="118"/>
        <v>0</v>
      </c>
      <c r="PM9" s="27">
        <f t="shared" si="119"/>
        <v>9.0500000000000007</v>
      </c>
      <c r="PN9" s="27">
        <f t="shared" si="120"/>
        <v>2.2000000000000002</v>
      </c>
      <c r="PO9" s="27">
        <f t="shared" si="121"/>
        <v>0.3</v>
      </c>
      <c r="PP9" s="27">
        <f t="shared" si="122"/>
        <v>0</v>
      </c>
      <c r="PQ9" s="32" t="s">
        <v>44</v>
      </c>
      <c r="PR9" s="55">
        <f t="shared" si="123"/>
        <v>6.8000000000000007</v>
      </c>
      <c r="PS9" s="55">
        <f t="shared" si="124"/>
        <v>41.300000000000004</v>
      </c>
      <c r="PT9" s="55" t="str">
        <f t="shared" si="125"/>
        <v/>
      </c>
      <c r="PU9" s="55">
        <f t="shared" si="126"/>
        <v>6.2</v>
      </c>
      <c r="PV9" s="55">
        <f t="shared" si="127"/>
        <v>32.9</v>
      </c>
      <c r="PW9" s="55">
        <f t="shared" si="128"/>
        <v>74.2</v>
      </c>
    </row>
    <row r="10" spans="1:439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103</v>
      </c>
      <c r="C10" s="4" t="s">
        <v>90</v>
      </c>
      <c r="D10" s="4">
        <v>2009</v>
      </c>
      <c r="E10" s="10">
        <f t="shared" si="0"/>
        <v>122.80001228000448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>IF(COUNT(AN10,BO10,CP10)&gt;0,LARGE((AN10,BO10,CP10),1),0)</f>
        <v>44.6</v>
      </c>
      <c r="J10" s="9" t="str">
        <f t="shared" si="4"/>
        <v>2025 Nationals</v>
      </c>
      <c r="K10" s="9">
        <f>IF(COUNT(AN10,BO10,CP10)&gt;1,LARGE((AN10,BO10,CP10),2),0)</f>
        <v>33.1</v>
      </c>
      <c r="L10" s="9" t="str">
        <f t="shared" si="5"/>
        <v>2025 Elite Canada</v>
      </c>
      <c r="M10" s="9">
        <f t="shared" si="6"/>
        <v>45.1</v>
      </c>
      <c r="N10" s="9" t="str">
        <f t="shared" si="7"/>
        <v>2025 Nationals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 t="shared" si="11"/>
        <v/>
      </c>
      <c r="AN10" s="55" t="str">
        <f t="shared" si="12"/>
        <v/>
      </c>
      <c r="AO10" s="55" t="str">
        <f t="shared" si="13"/>
        <v/>
      </c>
      <c r="AP10" s="55" t="str">
        <f t="shared" si="14"/>
        <v/>
      </c>
      <c r="AQ10" s="55" t="str">
        <f t="shared" si="15"/>
        <v/>
      </c>
      <c r="AR10" s="55" t="str">
        <f t="shared" si="16"/>
        <v/>
      </c>
      <c r="AS10" s="19">
        <v>15.8</v>
      </c>
      <c r="AT10" s="19">
        <v>0.7</v>
      </c>
      <c r="AU10" s="19">
        <v>0</v>
      </c>
      <c r="AV10" s="19">
        <v>0</v>
      </c>
      <c r="AW10" s="19">
        <v>15.4</v>
      </c>
      <c r="AX10" s="19">
        <v>1.2</v>
      </c>
      <c r="AY10" s="19">
        <v>0</v>
      </c>
      <c r="AZ10" s="19">
        <v>0</v>
      </c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33"/>
      <c r="BN10" s="14">
        <f t="shared" si="17"/>
        <v>1.9</v>
      </c>
      <c r="BO10" s="14">
        <f t="shared" si="18"/>
        <v>33.1</v>
      </c>
      <c r="BP10" s="14" t="str">
        <f t="shared" si="19"/>
        <v/>
      </c>
      <c r="BQ10" s="14" t="str">
        <f t="shared" si="20"/>
        <v/>
      </c>
      <c r="BR10" s="14" t="str">
        <f t="shared" si="21"/>
        <v/>
      </c>
      <c r="BS10" s="14">
        <f t="shared" si="22"/>
        <v>33.1</v>
      </c>
      <c r="BT10" s="20">
        <v>19</v>
      </c>
      <c r="BU10" s="20">
        <v>3.6</v>
      </c>
      <c r="BV10" s="20">
        <v>0</v>
      </c>
      <c r="BW10" s="20">
        <v>0</v>
      </c>
      <c r="BX10" s="20">
        <v>19.100000000000001</v>
      </c>
      <c r="BY10" s="20">
        <v>3.5</v>
      </c>
      <c r="BZ10" s="20">
        <v>0.6</v>
      </c>
      <c r="CA10" s="20">
        <v>0</v>
      </c>
      <c r="CB10" s="20"/>
      <c r="CC10" s="20"/>
      <c r="CD10" s="20"/>
      <c r="CE10" s="20"/>
      <c r="CF10" s="20">
        <v>18.8</v>
      </c>
      <c r="CG10" s="20">
        <v>3.6</v>
      </c>
      <c r="CH10" s="20">
        <v>0</v>
      </c>
      <c r="CI10" s="20">
        <v>0</v>
      </c>
      <c r="CJ10" s="20">
        <v>19.2</v>
      </c>
      <c r="CK10" s="20">
        <v>3.5</v>
      </c>
      <c r="CL10" s="20">
        <v>0</v>
      </c>
      <c r="CM10" s="20">
        <v>0</v>
      </c>
      <c r="CN10" s="32"/>
      <c r="CO10" s="55">
        <f t="shared" si="23"/>
        <v>7.1</v>
      </c>
      <c r="CP10" s="55">
        <f t="shared" si="24"/>
        <v>44.6</v>
      </c>
      <c r="CQ10" s="55" t="str">
        <f t="shared" si="25"/>
        <v/>
      </c>
      <c r="CR10" s="55">
        <f t="shared" si="26"/>
        <v>7.1</v>
      </c>
      <c r="CS10" s="55">
        <f t="shared" si="27"/>
        <v>45.1</v>
      </c>
      <c r="CT10" s="55">
        <f t="shared" si="28"/>
        <v>89.7</v>
      </c>
      <c r="CU10" s="56" t="str">
        <f t="shared" si="29"/>
        <v/>
      </c>
      <c r="CV10" s="56" t="str">
        <f t="shared" si="30"/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 t="shared" si="31"/>
        <v/>
      </c>
      <c r="DR10" s="55" t="str">
        <f t="shared" si="32"/>
        <v/>
      </c>
      <c r="DS10" s="55" t="str">
        <f t="shared" si="33"/>
        <v/>
      </c>
      <c r="DT10" s="55" t="str">
        <f t="shared" si="34"/>
        <v/>
      </c>
      <c r="DU10" s="55" t="str">
        <f t="shared" si="35"/>
        <v/>
      </c>
      <c r="DV10" s="55" t="str">
        <f t="shared" si="36"/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 t="shared" si="37"/>
        <v/>
      </c>
      <c r="ER10" s="14" t="str">
        <f t="shared" si="38"/>
        <v/>
      </c>
      <c r="ES10" s="14" t="str">
        <f t="shared" si="39"/>
        <v/>
      </c>
      <c r="ET10" s="14" t="str">
        <f t="shared" si="40"/>
        <v/>
      </c>
      <c r="EU10" s="14" t="str">
        <f t="shared" si="41"/>
        <v/>
      </c>
      <c r="EV10" s="14" t="str">
        <f t="shared" si="42"/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 t="shared" si="43"/>
        <v/>
      </c>
      <c r="FR10" s="55" t="str">
        <f t="shared" si="44"/>
        <v/>
      </c>
      <c r="FS10" s="55" t="str">
        <f t="shared" si="45"/>
        <v/>
      </c>
      <c r="FT10" s="55" t="str">
        <f t="shared" si="46"/>
        <v/>
      </c>
      <c r="FU10" s="55" t="str">
        <f t="shared" si="47"/>
        <v/>
      </c>
      <c r="FV10" s="55" t="str">
        <f t="shared" si="48"/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 t="shared" si="49"/>
        <v/>
      </c>
      <c r="GR10" s="14" t="str">
        <f t="shared" si="50"/>
        <v/>
      </c>
      <c r="GS10" s="14" t="str">
        <f t="shared" si="51"/>
        <v/>
      </c>
      <c r="GT10" s="14" t="str">
        <f t="shared" si="52"/>
        <v/>
      </c>
      <c r="GU10" s="14" t="str">
        <f t="shared" si="53"/>
        <v/>
      </c>
      <c r="GV10" s="14" t="str">
        <f t="shared" si="54"/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 t="shared" si="55"/>
        <v/>
      </c>
      <c r="HR10" s="55" t="str">
        <f t="shared" si="56"/>
        <v/>
      </c>
      <c r="HS10" s="55" t="str">
        <f t="shared" si="57"/>
        <v/>
      </c>
      <c r="HT10" s="55" t="str">
        <f t="shared" si="58"/>
        <v/>
      </c>
      <c r="HU10" s="55" t="str">
        <f t="shared" si="59"/>
        <v/>
      </c>
      <c r="HV10" s="55" t="str">
        <f t="shared" si="60"/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 t="shared" si="61"/>
        <v/>
      </c>
      <c r="IR10" s="14" t="str">
        <f t="shared" si="62"/>
        <v/>
      </c>
      <c r="IS10" s="14" t="str">
        <f t="shared" si="63"/>
        <v/>
      </c>
      <c r="IT10" s="14" t="str">
        <f t="shared" si="64"/>
        <v/>
      </c>
      <c r="IU10" s="14" t="str">
        <f t="shared" si="65"/>
        <v/>
      </c>
      <c r="IV10" s="14" t="str">
        <f t="shared" si="66"/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 t="shared" si="67"/>
        <v/>
      </c>
      <c r="JR10" s="55" t="str">
        <f t="shared" si="68"/>
        <v/>
      </c>
      <c r="JS10" s="55" t="str">
        <f t="shared" si="69"/>
        <v/>
      </c>
      <c r="JT10" s="55" t="str">
        <f t="shared" si="70"/>
        <v/>
      </c>
      <c r="JU10" s="55" t="str">
        <f t="shared" si="71"/>
        <v/>
      </c>
      <c r="JV10" s="55" t="str">
        <f t="shared" si="72"/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 t="shared" si="73"/>
        <v/>
      </c>
      <c r="KR10" s="14" t="str">
        <f t="shared" si="74"/>
        <v/>
      </c>
      <c r="KS10" s="14" t="str">
        <f t="shared" si="75"/>
        <v/>
      </c>
      <c r="KT10" s="14" t="str">
        <f t="shared" si="76"/>
        <v/>
      </c>
      <c r="KU10" s="14" t="str">
        <f t="shared" si="77"/>
        <v/>
      </c>
      <c r="KV10" s="14" t="str">
        <f t="shared" si="78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 t="shared" si="79"/>
        <v/>
      </c>
      <c r="LR10" s="55" t="str">
        <f t="shared" si="80"/>
        <v/>
      </c>
      <c r="LS10" s="55" t="str">
        <f t="shared" si="81"/>
        <v/>
      </c>
      <c r="LT10" s="55" t="str">
        <f t="shared" si="82"/>
        <v/>
      </c>
      <c r="LU10" s="55" t="str">
        <f t="shared" si="83"/>
        <v/>
      </c>
      <c r="LV10" s="55" t="str">
        <f t="shared" si="84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 t="shared" si="85"/>
        <v/>
      </c>
      <c r="MR10" s="14" t="str">
        <f t="shared" si="86"/>
        <v/>
      </c>
      <c r="MS10" s="14" t="str">
        <f t="shared" si="87"/>
        <v/>
      </c>
      <c r="MT10" s="14" t="str">
        <f t="shared" si="88"/>
        <v/>
      </c>
      <c r="MU10" s="14" t="str">
        <f t="shared" si="89"/>
        <v/>
      </c>
      <c r="MV10" s="14" t="str">
        <f t="shared" si="90"/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 t="shared" si="91"/>
        <v/>
      </c>
      <c r="NR10" s="55" t="str">
        <f t="shared" si="92"/>
        <v/>
      </c>
      <c r="NS10" s="55" t="str">
        <f t="shared" si="93"/>
        <v/>
      </c>
      <c r="NT10" s="55" t="str">
        <f t="shared" si="94"/>
        <v/>
      </c>
      <c r="NU10" s="55" t="str">
        <f t="shared" si="95"/>
        <v/>
      </c>
      <c r="NV10" s="55" t="str">
        <f t="shared" si="96"/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 t="shared" si="97"/>
        <v/>
      </c>
      <c r="OR10" s="14" t="str">
        <f t="shared" si="98"/>
        <v/>
      </c>
      <c r="OS10" s="14" t="str">
        <f t="shared" si="99"/>
        <v/>
      </c>
      <c r="OT10" s="14" t="str">
        <f t="shared" si="100"/>
        <v/>
      </c>
      <c r="OU10" s="14" t="str">
        <f t="shared" si="101"/>
        <v/>
      </c>
      <c r="OV10" s="14" t="str">
        <f t="shared" si="102"/>
        <v/>
      </c>
      <c r="OW10" s="27">
        <f t="shared" si="103"/>
        <v>17.399999999999999</v>
      </c>
      <c r="OX10" s="27">
        <f t="shared" si="104"/>
        <v>2.15</v>
      </c>
      <c r="OY10" s="27">
        <f t="shared" si="105"/>
        <v>0</v>
      </c>
      <c r="OZ10" s="27">
        <f t="shared" si="106"/>
        <v>0</v>
      </c>
      <c r="PA10" s="27">
        <f t="shared" si="107"/>
        <v>17.25</v>
      </c>
      <c r="PB10" s="27">
        <f t="shared" si="108"/>
        <v>2.35</v>
      </c>
      <c r="PC10" s="27">
        <f t="shared" si="109"/>
        <v>0.3</v>
      </c>
      <c r="PD10" s="27">
        <f t="shared" si="110"/>
        <v>0</v>
      </c>
      <c r="PE10" s="27">
        <f t="shared" si="111"/>
        <v>0</v>
      </c>
      <c r="PF10" s="27">
        <f t="shared" si="112"/>
        <v>0</v>
      </c>
      <c r="PG10" s="27">
        <f t="shared" si="113"/>
        <v>0</v>
      </c>
      <c r="PH10" s="27">
        <f t="shared" si="114"/>
        <v>0</v>
      </c>
      <c r="PI10" s="27">
        <f t="shared" si="115"/>
        <v>9.4</v>
      </c>
      <c r="PJ10" s="27">
        <f t="shared" si="116"/>
        <v>1.8</v>
      </c>
      <c r="PK10" s="27">
        <f t="shared" si="117"/>
        <v>0</v>
      </c>
      <c r="PL10" s="27">
        <f t="shared" si="118"/>
        <v>0</v>
      </c>
      <c r="PM10" s="27">
        <f t="shared" si="119"/>
        <v>9.6</v>
      </c>
      <c r="PN10" s="27">
        <f t="shared" si="120"/>
        <v>1.75</v>
      </c>
      <c r="PO10" s="27">
        <f t="shared" si="121"/>
        <v>0</v>
      </c>
      <c r="PP10" s="27">
        <f t="shared" si="122"/>
        <v>0</v>
      </c>
      <c r="PQ10" s="32" t="s">
        <v>44</v>
      </c>
      <c r="PR10" s="55">
        <f t="shared" si="123"/>
        <v>4.5</v>
      </c>
      <c r="PS10" s="55">
        <f t="shared" si="124"/>
        <v>38.85</v>
      </c>
      <c r="PT10" s="55" t="str">
        <f t="shared" si="125"/>
        <v/>
      </c>
      <c r="PU10" s="55">
        <f t="shared" si="126"/>
        <v>3.55</v>
      </c>
      <c r="PV10" s="55">
        <f t="shared" si="127"/>
        <v>22.55</v>
      </c>
      <c r="PW10" s="55">
        <f t="shared" si="128"/>
        <v>61.400000000000006</v>
      </c>
    </row>
    <row r="11" spans="1:43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92</v>
      </c>
      <c r="C11" s="4" t="s">
        <v>90</v>
      </c>
      <c r="D11" s="4">
        <v>2010</v>
      </c>
      <c r="E11" s="10">
        <f t="shared" si="0"/>
        <v>122.30001223000438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>IF(COUNT(AN11,BO11,CP11)&gt;0,LARGE((AN11,BO11,CP11),1),0)</f>
        <v>43.7</v>
      </c>
      <c r="J11" s="9" t="str">
        <f t="shared" si="4"/>
        <v>2025 Elite Canada</v>
      </c>
      <c r="K11" s="9">
        <f>IF(COUNT(AN11,BO11,CP11)&gt;1,LARGE((AN11,BO11,CP11),2),0)</f>
        <v>34.1</v>
      </c>
      <c r="L11" s="9" t="str">
        <f t="shared" si="5"/>
        <v>2025 Nationals</v>
      </c>
      <c r="M11" s="9">
        <f t="shared" si="6"/>
        <v>44.499999999999993</v>
      </c>
      <c r="N11" s="9" t="str">
        <f t="shared" si="7"/>
        <v>2025 Elite Canada</v>
      </c>
      <c r="O11" s="9" t="str">
        <f t="shared" si="8"/>
        <v/>
      </c>
      <c r="P11" s="14" t="str">
        <f t="shared" si="9"/>
        <v/>
      </c>
      <c r="Q11" s="9" t="str">
        <f t="shared" si="10"/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 t="shared" si="11"/>
        <v/>
      </c>
      <c r="AN11" s="55" t="str">
        <f t="shared" si="12"/>
        <v/>
      </c>
      <c r="AO11" s="55" t="str">
        <f t="shared" si="13"/>
        <v/>
      </c>
      <c r="AP11" s="55" t="str">
        <f t="shared" si="14"/>
        <v/>
      </c>
      <c r="AQ11" s="55" t="str">
        <f t="shared" si="15"/>
        <v/>
      </c>
      <c r="AR11" s="55" t="str">
        <f t="shared" si="16"/>
        <v/>
      </c>
      <c r="AS11" s="19">
        <v>18.600000000000001</v>
      </c>
      <c r="AT11" s="19">
        <v>3.5</v>
      </c>
      <c r="AU11" s="19">
        <v>0</v>
      </c>
      <c r="AV11" s="19">
        <v>0</v>
      </c>
      <c r="AW11" s="19">
        <v>17.8</v>
      </c>
      <c r="AX11" s="19">
        <v>4.4000000000000004</v>
      </c>
      <c r="AY11" s="19">
        <v>0.6</v>
      </c>
      <c r="AZ11" s="19">
        <v>0</v>
      </c>
      <c r="BA11" s="19"/>
      <c r="BB11" s="19"/>
      <c r="BC11" s="19"/>
      <c r="BD11" s="19"/>
      <c r="BE11" s="19">
        <v>18.399999999999999</v>
      </c>
      <c r="BF11" s="19">
        <v>3.5</v>
      </c>
      <c r="BG11" s="19">
        <v>0</v>
      </c>
      <c r="BH11" s="19">
        <v>0</v>
      </c>
      <c r="BI11" s="19">
        <v>18.2</v>
      </c>
      <c r="BJ11" s="19">
        <v>4.4000000000000004</v>
      </c>
      <c r="BK11" s="19">
        <v>0</v>
      </c>
      <c r="BL11" s="19">
        <v>0</v>
      </c>
      <c r="BM11" s="33"/>
      <c r="BN11" s="14">
        <f t="shared" si="17"/>
        <v>7.9</v>
      </c>
      <c r="BO11" s="14">
        <f t="shared" si="18"/>
        <v>43.7</v>
      </c>
      <c r="BP11" s="14" t="str">
        <f t="shared" si="19"/>
        <v/>
      </c>
      <c r="BQ11" s="14">
        <f t="shared" si="20"/>
        <v>7.9</v>
      </c>
      <c r="BR11" s="14">
        <f t="shared" si="21"/>
        <v>44.499999999999993</v>
      </c>
      <c r="BS11" s="14">
        <f t="shared" si="22"/>
        <v>88.199999999999989</v>
      </c>
      <c r="BT11" s="20">
        <v>15.8</v>
      </c>
      <c r="BU11" s="20">
        <v>0.7</v>
      </c>
      <c r="BV11" s="20">
        <v>0</v>
      </c>
      <c r="BW11" s="20">
        <v>0</v>
      </c>
      <c r="BX11" s="20">
        <v>15.2</v>
      </c>
      <c r="BY11" s="20">
        <v>2.4</v>
      </c>
      <c r="BZ11" s="20">
        <v>0</v>
      </c>
      <c r="CA11" s="20">
        <v>0</v>
      </c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32"/>
      <c r="CO11" s="55">
        <f t="shared" si="23"/>
        <v>3.0999999999999996</v>
      </c>
      <c r="CP11" s="55">
        <f t="shared" si="24"/>
        <v>34.1</v>
      </c>
      <c r="CQ11" s="55" t="str">
        <f t="shared" si="25"/>
        <v/>
      </c>
      <c r="CR11" s="55" t="str">
        <f t="shared" si="26"/>
        <v/>
      </c>
      <c r="CS11" s="55" t="str">
        <f t="shared" si="27"/>
        <v/>
      </c>
      <c r="CT11" s="55">
        <f t="shared" si="28"/>
        <v>34.1</v>
      </c>
      <c r="CU11" s="56" t="str">
        <f t="shared" si="29"/>
        <v/>
      </c>
      <c r="CV11" s="56" t="str">
        <f t="shared" si="30"/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 t="shared" si="31"/>
        <v/>
      </c>
      <c r="DR11" s="55" t="str">
        <f t="shared" si="32"/>
        <v/>
      </c>
      <c r="DS11" s="55" t="str">
        <f t="shared" si="33"/>
        <v/>
      </c>
      <c r="DT11" s="55" t="str">
        <f t="shared" si="34"/>
        <v/>
      </c>
      <c r="DU11" s="55" t="str">
        <f t="shared" si="35"/>
        <v/>
      </c>
      <c r="DV11" s="55" t="str">
        <f t="shared" si="36"/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 t="shared" si="37"/>
        <v/>
      </c>
      <c r="ER11" s="14" t="str">
        <f t="shared" si="38"/>
        <v/>
      </c>
      <c r="ES11" s="14" t="str">
        <f t="shared" si="39"/>
        <v/>
      </c>
      <c r="ET11" s="14" t="str">
        <f t="shared" si="40"/>
        <v/>
      </c>
      <c r="EU11" s="14" t="str">
        <f t="shared" si="41"/>
        <v/>
      </c>
      <c r="EV11" s="14" t="str">
        <f t="shared" si="42"/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 t="shared" si="43"/>
        <v/>
      </c>
      <c r="FR11" s="55" t="str">
        <f t="shared" si="44"/>
        <v/>
      </c>
      <c r="FS11" s="55" t="str">
        <f t="shared" si="45"/>
        <v/>
      </c>
      <c r="FT11" s="55" t="str">
        <f t="shared" si="46"/>
        <v/>
      </c>
      <c r="FU11" s="55" t="str">
        <f t="shared" si="47"/>
        <v/>
      </c>
      <c r="FV11" s="55" t="str">
        <f t="shared" si="48"/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 t="shared" si="49"/>
        <v/>
      </c>
      <c r="GR11" s="14" t="str">
        <f t="shared" si="50"/>
        <v/>
      </c>
      <c r="GS11" s="14" t="str">
        <f t="shared" si="51"/>
        <v/>
      </c>
      <c r="GT11" s="14" t="str">
        <f t="shared" si="52"/>
        <v/>
      </c>
      <c r="GU11" s="14" t="str">
        <f t="shared" si="53"/>
        <v/>
      </c>
      <c r="GV11" s="14" t="str">
        <f t="shared" si="54"/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 t="shared" si="55"/>
        <v/>
      </c>
      <c r="HR11" s="55" t="str">
        <f t="shared" si="56"/>
        <v/>
      </c>
      <c r="HS11" s="55" t="str">
        <f t="shared" si="57"/>
        <v/>
      </c>
      <c r="HT11" s="55" t="str">
        <f t="shared" si="58"/>
        <v/>
      </c>
      <c r="HU11" s="55" t="str">
        <f t="shared" si="59"/>
        <v/>
      </c>
      <c r="HV11" s="55" t="str">
        <f t="shared" si="60"/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 t="shared" si="61"/>
        <v/>
      </c>
      <c r="IR11" s="14" t="str">
        <f t="shared" si="62"/>
        <v/>
      </c>
      <c r="IS11" s="14" t="str">
        <f t="shared" si="63"/>
        <v/>
      </c>
      <c r="IT11" s="14" t="str">
        <f t="shared" si="64"/>
        <v/>
      </c>
      <c r="IU11" s="14" t="str">
        <f t="shared" si="65"/>
        <v/>
      </c>
      <c r="IV11" s="14" t="str">
        <f t="shared" si="66"/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 t="shared" si="67"/>
        <v/>
      </c>
      <c r="JR11" s="55" t="str">
        <f t="shared" si="68"/>
        <v/>
      </c>
      <c r="JS11" s="55" t="str">
        <f t="shared" si="69"/>
        <v/>
      </c>
      <c r="JT11" s="55" t="str">
        <f t="shared" si="70"/>
        <v/>
      </c>
      <c r="JU11" s="55" t="str">
        <f t="shared" si="71"/>
        <v/>
      </c>
      <c r="JV11" s="55" t="str">
        <f t="shared" si="72"/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 t="shared" si="73"/>
        <v/>
      </c>
      <c r="KR11" s="14" t="str">
        <f t="shared" si="74"/>
        <v/>
      </c>
      <c r="KS11" s="14" t="str">
        <f t="shared" si="75"/>
        <v/>
      </c>
      <c r="KT11" s="14" t="str">
        <f t="shared" si="76"/>
        <v/>
      </c>
      <c r="KU11" s="14" t="str">
        <f t="shared" si="77"/>
        <v/>
      </c>
      <c r="KV11" s="14" t="str">
        <f t="shared" si="78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 t="shared" si="79"/>
        <v/>
      </c>
      <c r="LR11" s="55" t="str">
        <f t="shared" si="80"/>
        <v/>
      </c>
      <c r="LS11" s="55" t="str">
        <f t="shared" si="81"/>
        <v/>
      </c>
      <c r="LT11" s="55" t="str">
        <f t="shared" si="82"/>
        <v/>
      </c>
      <c r="LU11" s="55" t="str">
        <f t="shared" si="83"/>
        <v/>
      </c>
      <c r="LV11" s="55" t="str">
        <f t="shared" si="84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 t="shared" si="85"/>
        <v/>
      </c>
      <c r="MR11" s="14" t="str">
        <f t="shared" si="86"/>
        <v/>
      </c>
      <c r="MS11" s="14" t="str">
        <f t="shared" si="87"/>
        <v/>
      </c>
      <c r="MT11" s="14" t="str">
        <f t="shared" si="88"/>
        <v/>
      </c>
      <c r="MU11" s="14" t="str">
        <f t="shared" si="89"/>
        <v/>
      </c>
      <c r="MV11" s="14" t="str">
        <f t="shared" si="90"/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 t="shared" si="91"/>
        <v/>
      </c>
      <c r="NR11" s="55" t="str">
        <f t="shared" si="92"/>
        <v/>
      </c>
      <c r="NS11" s="55" t="str">
        <f t="shared" si="93"/>
        <v/>
      </c>
      <c r="NT11" s="55" t="str">
        <f t="shared" si="94"/>
        <v/>
      </c>
      <c r="NU11" s="55" t="str">
        <f t="shared" si="95"/>
        <v/>
      </c>
      <c r="NV11" s="55" t="str">
        <f t="shared" si="96"/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 t="shared" si="97"/>
        <v/>
      </c>
      <c r="OR11" s="14" t="str">
        <f t="shared" si="98"/>
        <v/>
      </c>
      <c r="OS11" s="14" t="str">
        <f t="shared" si="99"/>
        <v/>
      </c>
      <c r="OT11" s="14" t="str">
        <f t="shared" si="100"/>
        <v/>
      </c>
      <c r="OU11" s="14" t="str">
        <f t="shared" si="101"/>
        <v/>
      </c>
      <c r="OV11" s="14" t="str">
        <f t="shared" si="102"/>
        <v/>
      </c>
      <c r="OW11" s="27">
        <f t="shared" si="103"/>
        <v>17.200000000000003</v>
      </c>
      <c r="OX11" s="27">
        <f t="shared" si="104"/>
        <v>2.1</v>
      </c>
      <c r="OY11" s="27">
        <f t="shared" si="105"/>
        <v>0</v>
      </c>
      <c r="OZ11" s="27">
        <f t="shared" si="106"/>
        <v>0</v>
      </c>
      <c r="PA11" s="27">
        <f t="shared" si="107"/>
        <v>16.5</v>
      </c>
      <c r="PB11" s="27">
        <f t="shared" si="108"/>
        <v>3.4000000000000004</v>
      </c>
      <c r="PC11" s="27">
        <f t="shared" si="109"/>
        <v>0.3</v>
      </c>
      <c r="PD11" s="27">
        <f t="shared" si="110"/>
        <v>0</v>
      </c>
      <c r="PE11" s="27">
        <f t="shared" si="111"/>
        <v>0</v>
      </c>
      <c r="PF11" s="27">
        <f t="shared" si="112"/>
        <v>0</v>
      </c>
      <c r="PG11" s="27">
        <f t="shared" si="113"/>
        <v>0</v>
      </c>
      <c r="PH11" s="27">
        <f t="shared" si="114"/>
        <v>0</v>
      </c>
      <c r="PI11" s="27">
        <f t="shared" si="115"/>
        <v>9.1999999999999993</v>
      </c>
      <c r="PJ11" s="27">
        <f t="shared" si="116"/>
        <v>1.75</v>
      </c>
      <c r="PK11" s="27">
        <f t="shared" si="117"/>
        <v>0</v>
      </c>
      <c r="PL11" s="27">
        <f t="shared" si="118"/>
        <v>0</v>
      </c>
      <c r="PM11" s="27">
        <f t="shared" si="119"/>
        <v>9.1</v>
      </c>
      <c r="PN11" s="27">
        <f t="shared" si="120"/>
        <v>2.2000000000000002</v>
      </c>
      <c r="PO11" s="27">
        <f t="shared" si="121"/>
        <v>0</v>
      </c>
      <c r="PP11" s="27">
        <f t="shared" si="122"/>
        <v>0</v>
      </c>
      <c r="PQ11" s="32" t="s">
        <v>44</v>
      </c>
      <c r="PR11" s="55">
        <f t="shared" si="123"/>
        <v>5.5</v>
      </c>
      <c r="PS11" s="55">
        <f t="shared" si="124"/>
        <v>38.900000000000006</v>
      </c>
      <c r="PT11" s="55" t="str">
        <f t="shared" si="125"/>
        <v/>
      </c>
      <c r="PU11" s="55">
        <f t="shared" si="126"/>
        <v>3.95</v>
      </c>
      <c r="PV11" s="55">
        <f t="shared" si="127"/>
        <v>22.249999999999996</v>
      </c>
      <c r="PW11" s="55">
        <f t="shared" si="128"/>
        <v>61.150000000000006</v>
      </c>
    </row>
    <row r="12" spans="1:43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116</v>
      </c>
      <c r="C12" s="4" t="s">
        <v>3</v>
      </c>
      <c r="D12" s="4">
        <v>2009</v>
      </c>
      <c r="E12" s="10">
        <f t="shared" si="0"/>
        <v>89.100008910004505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>IF(COUNT(AN12,BO12,CP12)&gt;0,LARGE((AN12,BO12,CP12),1),0)</f>
        <v>45.099999999999994</v>
      </c>
      <c r="J12" s="9" t="str">
        <f t="shared" si="4"/>
        <v>2025 Nationals</v>
      </c>
      <c r="K12" s="9">
        <f>IF(COUNT(AN12,BO12,CP12)&gt;1,LARGE((AN12,BO12,CP12),2),0)</f>
        <v>0</v>
      </c>
      <c r="L12" s="9" t="str">
        <f t="shared" si="5"/>
        <v/>
      </c>
      <c r="M12" s="9">
        <f t="shared" si="6"/>
        <v>44</v>
      </c>
      <c r="N12" s="9" t="str">
        <f t="shared" si="7"/>
        <v>2025 Nationals</v>
      </c>
      <c r="O12" s="9" t="str">
        <f t="shared" si="8"/>
        <v/>
      </c>
      <c r="P12" s="14" t="str">
        <f t="shared" si="9"/>
        <v/>
      </c>
      <c r="Q12" s="9" t="str">
        <f t="shared" si="10"/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 t="shared" si="11"/>
        <v/>
      </c>
      <c r="AN12" s="55" t="str">
        <f t="shared" si="12"/>
        <v/>
      </c>
      <c r="AO12" s="55" t="str">
        <f t="shared" si="13"/>
        <v/>
      </c>
      <c r="AP12" s="55" t="str">
        <f t="shared" si="14"/>
        <v/>
      </c>
      <c r="AQ12" s="55" t="str">
        <f t="shared" si="15"/>
        <v/>
      </c>
      <c r="AR12" s="55" t="str">
        <f t="shared" si="16"/>
        <v/>
      </c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33"/>
      <c r="BN12" s="14" t="str">
        <f t="shared" si="17"/>
        <v/>
      </c>
      <c r="BO12" s="14" t="str">
        <f t="shared" si="18"/>
        <v/>
      </c>
      <c r="BP12" s="14" t="str">
        <f t="shared" si="19"/>
        <v/>
      </c>
      <c r="BQ12" s="14" t="str">
        <f t="shared" si="20"/>
        <v/>
      </c>
      <c r="BR12" s="14" t="str">
        <f t="shared" si="21"/>
        <v/>
      </c>
      <c r="BS12" s="14" t="str">
        <f t="shared" si="22"/>
        <v/>
      </c>
      <c r="BT12" s="20">
        <v>19</v>
      </c>
      <c r="BU12" s="20">
        <v>3.7</v>
      </c>
      <c r="BV12" s="20">
        <v>0</v>
      </c>
      <c r="BW12" s="20">
        <v>0</v>
      </c>
      <c r="BX12" s="20">
        <v>18.899999999999999</v>
      </c>
      <c r="BY12" s="20">
        <v>3.5</v>
      </c>
      <c r="BZ12" s="20">
        <v>0</v>
      </c>
      <c r="CA12" s="20">
        <v>0</v>
      </c>
      <c r="CB12" s="20"/>
      <c r="CC12" s="20"/>
      <c r="CD12" s="20"/>
      <c r="CE12" s="20"/>
      <c r="CF12" s="20">
        <v>18.8</v>
      </c>
      <c r="CG12" s="20">
        <v>3.7</v>
      </c>
      <c r="CH12" s="20">
        <v>0</v>
      </c>
      <c r="CI12" s="20">
        <v>0</v>
      </c>
      <c r="CJ12" s="20">
        <v>18.600000000000001</v>
      </c>
      <c r="CK12" s="20">
        <v>3.5</v>
      </c>
      <c r="CL12" s="20">
        <v>0.6</v>
      </c>
      <c r="CM12" s="20">
        <v>0</v>
      </c>
      <c r="CN12" s="32"/>
      <c r="CO12" s="55">
        <f t="shared" si="23"/>
        <v>7.2</v>
      </c>
      <c r="CP12" s="55">
        <f t="shared" si="24"/>
        <v>45.099999999999994</v>
      </c>
      <c r="CQ12" s="55" t="str">
        <f t="shared" si="25"/>
        <v/>
      </c>
      <c r="CR12" s="55">
        <f t="shared" si="26"/>
        <v>7.2</v>
      </c>
      <c r="CS12" s="55">
        <f t="shared" si="27"/>
        <v>44</v>
      </c>
      <c r="CT12" s="55">
        <f t="shared" si="28"/>
        <v>89.1</v>
      </c>
      <c r="CU12" s="56" t="str">
        <f t="shared" si="29"/>
        <v/>
      </c>
      <c r="CV12" s="56" t="str">
        <f t="shared" si="30"/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 t="shared" si="31"/>
        <v/>
      </c>
      <c r="DR12" s="55" t="str">
        <f t="shared" si="32"/>
        <v/>
      </c>
      <c r="DS12" s="55" t="str">
        <f t="shared" si="33"/>
        <v/>
      </c>
      <c r="DT12" s="55" t="str">
        <f t="shared" si="34"/>
        <v/>
      </c>
      <c r="DU12" s="55" t="str">
        <f t="shared" si="35"/>
        <v/>
      </c>
      <c r="DV12" s="55" t="str">
        <f t="shared" si="36"/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 t="shared" si="37"/>
        <v/>
      </c>
      <c r="ER12" s="14" t="str">
        <f t="shared" si="38"/>
        <v/>
      </c>
      <c r="ES12" s="14" t="str">
        <f t="shared" si="39"/>
        <v/>
      </c>
      <c r="ET12" s="14" t="str">
        <f t="shared" si="40"/>
        <v/>
      </c>
      <c r="EU12" s="14" t="str">
        <f t="shared" si="41"/>
        <v/>
      </c>
      <c r="EV12" s="14" t="str">
        <f t="shared" si="42"/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 t="shared" si="43"/>
        <v/>
      </c>
      <c r="FR12" s="55" t="str">
        <f t="shared" si="44"/>
        <v/>
      </c>
      <c r="FS12" s="55" t="str">
        <f t="shared" si="45"/>
        <v/>
      </c>
      <c r="FT12" s="55" t="str">
        <f t="shared" si="46"/>
        <v/>
      </c>
      <c r="FU12" s="55" t="str">
        <f t="shared" si="47"/>
        <v/>
      </c>
      <c r="FV12" s="55" t="str">
        <f t="shared" si="48"/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 t="shared" si="49"/>
        <v/>
      </c>
      <c r="GR12" s="14" t="str">
        <f t="shared" si="50"/>
        <v/>
      </c>
      <c r="GS12" s="14" t="str">
        <f t="shared" si="51"/>
        <v/>
      </c>
      <c r="GT12" s="14" t="str">
        <f t="shared" si="52"/>
        <v/>
      </c>
      <c r="GU12" s="14" t="str">
        <f t="shared" si="53"/>
        <v/>
      </c>
      <c r="GV12" s="14" t="str">
        <f t="shared" si="54"/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 t="shared" si="55"/>
        <v/>
      </c>
      <c r="HR12" s="55" t="str">
        <f t="shared" si="56"/>
        <v/>
      </c>
      <c r="HS12" s="55" t="str">
        <f t="shared" si="57"/>
        <v/>
      </c>
      <c r="HT12" s="55" t="str">
        <f t="shared" si="58"/>
        <v/>
      </c>
      <c r="HU12" s="55" t="str">
        <f t="shared" si="59"/>
        <v/>
      </c>
      <c r="HV12" s="55" t="str">
        <f t="shared" si="60"/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 t="shared" si="61"/>
        <v/>
      </c>
      <c r="IR12" s="14" t="str">
        <f t="shared" si="62"/>
        <v/>
      </c>
      <c r="IS12" s="14" t="str">
        <f t="shared" si="63"/>
        <v/>
      </c>
      <c r="IT12" s="14" t="str">
        <f t="shared" si="64"/>
        <v/>
      </c>
      <c r="IU12" s="14" t="str">
        <f t="shared" si="65"/>
        <v/>
      </c>
      <c r="IV12" s="14" t="str">
        <f t="shared" si="66"/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 t="shared" si="67"/>
        <v/>
      </c>
      <c r="JR12" s="55" t="str">
        <f t="shared" si="68"/>
        <v/>
      </c>
      <c r="JS12" s="55" t="str">
        <f t="shared" si="69"/>
        <v/>
      </c>
      <c r="JT12" s="55" t="str">
        <f t="shared" si="70"/>
        <v/>
      </c>
      <c r="JU12" s="55" t="str">
        <f t="shared" si="71"/>
        <v/>
      </c>
      <c r="JV12" s="55" t="str">
        <f t="shared" si="72"/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 t="shared" si="73"/>
        <v/>
      </c>
      <c r="KR12" s="14" t="str">
        <f t="shared" si="74"/>
        <v/>
      </c>
      <c r="KS12" s="14" t="str">
        <f t="shared" si="75"/>
        <v/>
      </c>
      <c r="KT12" s="14" t="str">
        <f t="shared" si="76"/>
        <v/>
      </c>
      <c r="KU12" s="14" t="str">
        <f t="shared" si="77"/>
        <v/>
      </c>
      <c r="KV12" s="14" t="str">
        <f t="shared" si="78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 t="shared" si="79"/>
        <v/>
      </c>
      <c r="LR12" s="55" t="str">
        <f t="shared" si="80"/>
        <v/>
      </c>
      <c r="LS12" s="55" t="str">
        <f t="shared" si="81"/>
        <v/>
      </c>
      <c r="LT12" s="55" t="str">
        <f t="shared" si="82"/>
        <v/>
      </c>
      <c r="LU12" s="55" t="str">
        <f t="shared" si="83"/>
        <v/>
      </c>
      <c r="LV12" s="55" t="str">
        <f t="shared" si="84"/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 t="shared" si="85"/>
        <v/>
      </c>
      <c r="MR12" s="14" t="str">
        <f t="shared" si="86"/>
        <v/>
      </c>
      <c r="MS12" s="14" t="str">
        <f t="shared" si="87"/>
        <v/>
      </c>
      <c r="MT12" s="14" t="str">
        <f t="shared" si="88"/>
        <v/>
      </c>
      <c r="MU12" s="14" t="str">
        <f t="shared" si="89"/>
        <v/>
      </c>
      <c r="MV12" s="14" t="str">
        <f t="shared" si="90"/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 t="shared" si="91"/>
        <v/>
      </c>
      <c r="NR12" s="55" t="str">
        <f t="shared" si="92"/>
        <v/>
      </c>
      <c r="NS12" s="55" t="str">
        <f t="shared" si="93"/>
        <v/>
      </c>
      <c r="NT12" s="55" t="str">
        <f t="shared" si="94"/>
        <v/>
      </c>
      <c r="NU12" s="55" t="str">
        <f t="shared" si="95"/>
        <v/>
      </c>
      <c r="NV12" s="55" t="str">
        <f t="shared" si="96"/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 t="shared" si="97"/>
        <v/>
      </c>
      <c r="OR12" s="14" t="str">
        <f t="shared" si="98"/>
        <v/>
      </c>
      <c r="OS12" s="14" t="str">
        <f t="shared" si="99"/>
        <v/>
      </c>
      <c r="OT12" s="14" t="str">
        <f t="shared" si="100"/>
        <v/>
      </c>
      <c r="OU12" s="14" t="str">
        <f t="shared" si="101"/>
        <v/>
      </c>
      <c r="OV12" s="14" t="str">
        <f t="shared" si="102"/>
        <v/>
      </c>
      <c r="OW12" s="27">
        <f t="shared" si="103"/>
        <v>9.5</v>
      </c>
      <c r="OX12" s="27">
        <f t="shared" si="104"/>
        <v>1.85</v>
      </c>
      <c r="OY12" s="27">
        <f t="shared" si="105"/>
        <v>0</v>
      </c>
      <c r="OZ12" s="27">
        <f t="shared" si="106"/>
        <v>0</v>
      </c>
      <c r="PA12" s="27">
        <f t="shared" si="107"/>
        <v>9.4499999999999993</v>
      </c>
      <c r="PB12" s="27">
        <f t="shared" si="108"/>
        <v>1.75</v>
      </c>
      <c r="PC12" s="27">
        <f t="shared" si="109"/>
        <v>0</v>
      </c>
      <c r="PD12" s="27">
        <f t="shared" si="110"/>
        <v>0</v>
      </c>
      <c r="PE12" s="27">
        <f t="shared" si="111"/>
        <v>0</v>
      </c>
      <c r="PF12" s="27">
        <f t="shared" si="112"/>
        <v>0</v>
      </c>
      <c r="PG12" s="27">
        <f t="shared" si="113"/>
        <v>0</v>
      </c>
      <c r="PH12" s="27">
        <f t="shared" si="114"/>
        <v>0</v>
      </c>
      <c r="PI12" s="27">
        <f t="shared" si="115"/>
        <v>9.4</v>
      </c>
      <c r="PJ12" s="27">
        <f t="shared" si="116"/>
        <v>1.85</v>
      </c>
      <c r="PK12" s="27">
        <f t="shared" si="117"/>
        <v>0</v>
      </c>
      <c r="PL12" s="27">
        <f t="shared" si="118"/>
        <v>0</v>
      </c>
      <c r="PM12" s="27">
        <f t="shared" si="119"/>
        <v>9.3000000000000007</v>
      </c>
      <c r="PN12" s="27">
        <f t="shared" si="120"/>
        <v>1.75</v>
      </c>
      <c r="PO12" s="27">
        <f t="shared" si="121"/>
        <v>0.3</v>
      </c>
      <c r="PP12" s="27">
        <f t="shared" si="122"/>
        <v>0</v>
      </c>
      <c r="PQ12" s="32" t="s">
        <v>44</v>
      </c>
      <c r="PR12" s="55">
        <f t="shared" si="123"/>
        <v>3.6</v>
      </c>
      <c r="PS12" s="55">
        <f t="shared" si="124"/>
        <v>22.549999999999997</v>
      </c>
      <c r="PT12" s="55" t="str">
        <f t="shared" si="125"/>
        <v/>
      </c>
      <c r="PU12" s="55">
        <f t="shared" si="126"/>
        <v>3.6</v>
      </c>
      <c r="PV12" s="55">
        <f t="shared" si="127"/>
        <v>22</v>
      </c>
      <c r="PW12" s="55">
        <f t="shared" si="128"/>
        <v>44.55</v>
      </c>
    </row>
    <row r="13" spans="1:43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102</v>
      </c>
      <c r="C13" s="4" t="s">
        <v>67</v>
      </c>
      <c r="D13" s="4">
        <v>2010</v>
      </c>
      <c r="E13" s="10">
        <f t="shared" si="0"/>
        <v>86.700008670004507</v>
      </c>
      <c r="F13" s="3" t="str">
        <f t="shared" si="1"/>
        <v/>
      </c>
      <c r="G13" s="3" t="str">
        <f t="shared" si="2"/>
        <v/>
      </c>
      <c r="H13" s="47" t="str">
        <f t="shared" si="3"/>
        <v/>
      </c>
      <c r="I13" s="9">
        <f>IF(COUNT(AN13,BO13,CP13)&gt;0,LARGE((AN13,BO13,CP13),1),0)</f>
        <v>45.199999999999996</v>
      </c>
      <c r="J13" s="9" t="str">
        <f t="shared" si="4"/>
        <v>2025 Elite Canada</v>
      </c>
      <c r="K13" s="9">
        <f>IF(COUNT(AN13,BO13,CP13)&gt;1,LARGE((AN13,BO13,CP13),2),0)</f>
        <v>0</v>
      </c>
      <c r="L13" s="9" t="str">
        <f t="shared" si="5"/>
        <v/>
      </c>
      <c r="M13" s="9">
        <f t="shared" si="6"/>
        <v>41.5</v>
      </c>
      <c r="N13" s="9" t="str">
        <f t="shared" si="7"/>
        <v>2025 Elite Canada</v>
      </c>
      <c r="O13" s="9" t="str">
        <f t="shared" si="8"/>
        <v/>
      </c>
      <c r="P13" s="14" t="str">
        <f t="shared" si="9"/>
        <v/>
      </c>
      <c r="Q13" s="9" t="str">
        <f t="shared" si="10"/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32"/>
      <c r="AM13" s="55" t="str">
        <f t="shared" si="11"/>
        <v/>
      </c>
      <c r="AN13" s="55" t="str">
        <f t="shared" si="12"/>
        <v/>
      </c>
      <c r="AO13" s="55" t="str">
        <f t="shared" si="13"/>
        <v/>
      </c>
      <c r="AP13" s="55" t="str">
        <f t="shared" si="14"/>
        <v/>
      </c>
      <c r="AQ13" s="55" t="str">
        <f t="shared" si="15"/>
        <v/>
      </c>
      <c r="AR13" s="55" t="str">
        <f t="shared" si="16"/>
        <v/>
      </c>
      <c r="AS13" s="19">
        <v>19</v>
      </c>
      <c r="AT13" s="19">
        <v>3.5</v>
      </c>
      <c r="AU13" s="19">
        <v>0</v>
      </c>
      <c r="AV13" s="19">
        <v>0</v>
      </c>
      <c r="AW13" s="19">
        <v>17.899999999999999</v>
      </c>
      <c r="AX13" s="19">
        <v>4.8</v>
      </c>
      <c r="AY13" s="19">
        <v>0</v>
      </c>
      <c r="AZ13" s="19">
        <v>0</v>
      </c>
      <c r="BA13" s="19"/>
      <c r="BB13" s="19"/>
      <c r="BC13" s="19"/>
      <c r="BD13" s="19"/>
      <c r="BE13" s="19">
        <v>18.600000000000001</v>
      </c>
      <c r="BF13" s="19">
        <v>4</v>
      </c>
      <c r="BG13" s="19">
        <v>0</v>
      </c>
      <c r="BH13" s="19">
        <v>0</v>
      </c>
      <c r="BI13" s="19">
        <v>17.399999999999999</v>
      </c>
      <c r="BJ13" s="19">
        <v>2.9</v>
      </c>
      <c r="BK13" s="19">
        <v>1.4</v>
      </c>
      <c r="BL13" s="19">
        <v>0</v>
      </c>
      <c r="BM13" s="33"/>
      <c r="BN13" s="14">
        <f t="shared" si="17"/>
        <v>8.3000000000000007</v>
      </c>
      <c r="BO13" s="14">
        <f t="shared" si="18"/>
        <v>45.199999999999996</v>
      </c>
      <c r="BP13" s="14" t="str">
        <f t="shared" si="19"/>
        <v/>
      </c>
      <c r="BQ13" s="14">
        <f t="shared" si="20"/>
        <v>6.9</v>
      </c>
      <c r="BR13" s="14">
        <f t="shared" si="21"/>
        <v>41.5</v>
      </c>
      <c r="BS13" s="14">
        <f t="shared" si="22"/>
        <v>86.699999999999989</v>
      </c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32"/>
      <c r="CO13" s="55" t="str">
        <f t="shared" si="23"/>
        <v/>
      </c>
      <c r="CP13" s="55" t="str">
        <f t="shared" si="24"/>
        <v/>
      </c>
      <c r="CQ13" s="55" t="str">
        <f t="shared" si="25"/>
        <v/>
      </c>
      <c r="CR13" s="55" t="str">
        <f t="shared" si="26"/>
        <v/>
      </c>
      <c r="CS13" s="55" t="str">
        <f t="shared" si="27"/>
        <v/>
      </c>
      <c r="CT13" s="55" t="str">
        <f t="shared" si="28"/>
        <v/>
      </c>
      <c r="CU13" s="56" t="str">
        <f t="shared" si="29"/>
        <v/>
      </c>
      <c r="CV13" s="56" t="str">
        <f t="shared" si="30"/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 t="shared" si="31"/>
        <v/>
      </c>
      <c r="DR13" s="55" t="str">
        <f t="shared" si="32"/>
        <v/>
      </c>
      <c r="DS13" s="55" t="str">
        <f t="shared" si="33"/>
        <v/>
      </c>
      <c r="DT13" s="55" t="str">
        <f t="shared" si="34"/>
        <v/>
      </c>
      <c r="DU13" s="55" t="str">
        <f t="shared" si="35"/>
        <v/>
      </c>
      <c r="DV13" s="55" t="str">
        <f t="shared" si="36"/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 t="shared" si="37"/>
        <v/>
      </c>
      <c r="ER13" s="14" t="str">
        <f t="shared" si="38"/>
        <v/>
      </c>
      <c r="ES13" s="14" t="str">
        <f t="shared" si="39"/>
        <v/>
      </c>
      <c r="ET13" s="14" t="str">
        <f t="shared" si="40"/>
        <v/>
      </c>
      <c r="EU13" s="14" t="str">
        <f t="shared" si="41"/>
        <v/>
      </c>
      <c r="EV13" s="14" t="str">
        <f t="shared" si="42"/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 t="shared" si="43"/>
        <v/>
      </c>
      <c r="FR13" s="55" t="str">
        <f t="shared" si="44"/>
        <v/>
      </c>
      <c r="FS13" s="55" t="str">
        <f t="shared" si="45"/>
        <v/>
      </c>
      <c r="FT13" s="55" t="str">
        <f t="shared" si="46"/>
        <v/>
      </c>
      <c r="FU13" s="55" t="str">
        <f t="shared" si="47"/>
        <v/>
      </c>
      <c r="FV13" s="55" t="str">
        <f t="shared" si="48"/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 t="shared" si="49"/>
        <v/>
      </c>
      <c r="GR13" s="14" t="str">
        <f t="shared" si="50"/>
        <v/>
      </c>
      <c r="GS13" s="14" t="str">
        <f t="shared" si="51"/>
        <v/>
      </c>
      <c r="GT13" s="14" t="str">
        <f t="shared" si="52"/>
        <v/>
      </c>
      <c r="GU13" s="14" t="str">
        <f t="shared" si="53"/>
        <v/>
      </c>
      <c r="GV13" s="14" t="str">
        <f t="shared" si="54"/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 t="shared" si="55"/>
        <v/>
      </c>
      <c r="HR13" s="55" t="str">
        <f t="shared" si="56"/>
        <v/>
      </c>
      <c r="HS13" s="55" t="str">
        <f t="shared" si="57"/>
        <v/>
      </c>
      <c r="HT13" s="55" t="str">
        <f t="shared" si="58"/>
        <v/>
      </c>
      <c r="HU13" s="55" t="str">
        <f t="shared" si="59"/>
        <v/>
      </c>
      <c r="HV13" s="55" t="str">
        <f t="shared" si="60"/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 t="shared" si="61"/>
        <v/>
      </c>
      <c r="IR13" s="14" t="str">
        <f t="shared" si="62"/>
        <v/>
      </c>
      <c r="IS13" s="14" t="str">
        <f t="shared" si="63"/>
        <v/>
      </c>
      <c r="IT13" s="14" t="str">
        <f t="shared" si="64"/>
        <v/>
      </c>
      <c r="IU13" s="14" t="str">
        <f t="shared" si="65"/>
        <v/>
      </c>
      <c r="IV13" s="14" t="str">
        <f t="shared" si="66"/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 t="shared" si="67"/>
        <v/>
      </c>
      <c r="JR13" s="55" t="str">
        <f t="shared" si="68"/>
        <v/>
      </c>
      <c r="JS13" s="55" t="str">
        <f t="shared" si="69"/>
        <v/>
      </c>
      <c r="JT13" s="55" t="str">
        <f t="shared" si="70"/>
        <v/>
      </c>
      <c r="JU13" s="55" t="str">
        <f t="shared" si="71"/>
        <v/>
      </c>
      <c r="JV13" s="55" t="str">
        <f t="shared" si="72"/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 t="shared" si="73"/>
        <v/>
      </c>
      <c r="KR13" s="14" t="str">
        <f t="shared" si="74"/>
        <v/>
      </c>
      <c r="KS13" s="14" t="str">
        <f t="shared" si="75"/>
        <v/>
      </c>
      <c r="KT13" s="14" t="str">
        <f t="shared" si="76"/>
        <v/>
      </c>
      <c r="KU13" s="14" t="str">
        <f t="shared" si="77"/>
        <v/>
      </c>
      <c r="KV13" s="14" t="str">
        <f t="shared" si="78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 t="shared" si="79"/>
        <v/>
      </c>
      <c r="LR13" s="55" t="str">
        <f t="shared" si="80"/>
        <v/>
      </c>
      <c r="LS13" s="55" t="str">
        <f t="shared" si="81"/>
        <v/>
      </c>
      <c r="LT13" s="55" t="str">
        <f t="shared" si="82"/>
        <v/>
      </c>
      <c r="LU13" s="55" t="str">
        <f t="shared" si="83"/>
        <v/>
      </c>
      <c r="LV13" s="55" t="str">
        <f t="shared" si="84"/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 t="shared" si="85"/>
        <v/>
      </c>
      <c r="MR13" s="14" t="str">
        <f t="shared" si="86"/>
        <v/>
      </c>
      <c r="MS13" s="14" t="str">
        <f t="shared" si="87"/>
        <v/>
      </c>
      <c r="MT13" s="14" t="str">
        <f t="shared" si="88"/>
        <v/>
      </c>
      <c r="MU13" s="14" t="str">
        <f t="shared" si="89"/>
        <v/>
      </c>
      <c r="MV13" s="14" t="str">
        <f t="shared" si="90"/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 t="shared" si="91"/>
        <v/>
      </c>
      <c r="NR13" s="55" t="str">
        <f t="shared" si="92"/>
        <v/>
      </c>
      <c r="NS13" s="55" t="str">
        <f t="shared" si="93"/>
        <v/>
      </c>
      <c r="NT13" s="55" t="str">
        <f t="shared" si="94"/>
        <v/>
      </c>
      <c r="NU13" s="55" t="str">
        <f t="shared" si="95"/>
        <v/>
      </c>
      <c r="NV13" s="55" t="str">
        <f t="shared" si="96"/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 t="shared" si="97"/>
        <v/>
      </c>
      <c r="OR13" s="14" t="str">
        <f t="shared" si="98"/>
        <v/>
      </c>
      <c r="OS13" s="14" t="str">
        <f t="shared" si="99"/>
        <v/>
      </c>
      <c r="OT13" s="14" t="str">
        <f t="shared" si="100"/>
        <v/>
      </c>
      <c r="OU13" s="14" t="str">
        <f t="shared" si="101"/>
        <v/>
      </c>
      <c r="OV13" s="14" t="str">
        <f t="shared" si="102"/>
        <v/>
      </c>
      <c r="OW13" s="27">
        <f t="shared" si="103"/>
        <v>9.5</v>
      </c>
      <c r="OX13" s="27">
        <f t="shared" si="104"/>
        <v>1.75</v>
      </c>
      <c r="OY13" s="27">
        <f t="shared" si="105"/>
        <v>0</v>
      </c>
      <c r="OZ13" s="27">
        <f t="shared" si="106"/>
        <v>0</v>
      </c>
      <c r="PA13" s="27">
        <f t="shared" si="107"/>
        <v>8.9499999999999993</v>
      </c>
      <c r="PB13" s="27">
        <f t="shared" si="108"/>
        <v>2.4</v>
      </c>
      <c r="PC13" s="27">
        <f t="shared" si="109"/>
        <v>0</v>
      </c>
      <c r="PD13" s="27">
        <f t="shared" si="110"/>
        <v>0</v>
      </c>
      <c r="PE13" s="27">
        <f t="shared" si="111"/>
        <v>0</v>
      </c>
      <c r="PF13" s="27">
        <f t="shared" si="112"/>
        <v>0</v>
      </c>
      <c r="PG13" s="27">
        <f t="shared" si="113"/>
        <v>0</v>
      </c>
      <c r="PH13" s="27">
        <f t="shared" si="114"/>
        <v>0</v>
      </c>
      <c r="PI13" s="27">
        <f t="shared" si="115"/>
        <v>9.3000000000000007</v>
      </c>
      <c r="PJ13" s="27">
        <f t="shared" si="116"/>
        <v>2</v>
      </c>
      <c r="PK13" s="27">
        <f t="shared" si="117"/>
        <v>0</v>
      </c>
      <c r="PL13" s="27">
        <f t="shared" si="118"/>
        <v>0</v>
      </c>
      <c r="PM13" s="27">
        <f t="shared" si="119"/>
        <v>8.6999999999999993</v>
      </c>
      <c r="PN13" s="27">
        <f t="shared" si="120"/>
        <v>1.45</v>
      </c>
      <c r="PO13" s="27">
        <f t="shared" si="121"/>
        <v>0.7</v>
      </c>
      <c r="PP13" s="27">
        <f t="shared" si="122"/>
        <v>0</v>
      </c>
      <c r="PQ13" s="32" t="s">
        <v>44</v>
      </c>
      <c r="PR13" s="55">
        <f t="shared" si="123"/>
        <v>4.1500000000000004</v>
      </c>
      <c r="PS13" s="55">
        <f t="shared" si="124"/>
        <v>22.599999999999998</v>
      </c>
      <c r="PT13" s="55" t="str">
        <f t="shared" si="125"/>
        <v/>
      </c>
      <c r="PU13" s="55">
        <f t="shared" si="126"/>
        <v>3.45</v>
      </c>
      <c r="PV13" s="55">
        <f t="shared" si="127"/>
        <v>20.75</v>
      </c>
      <c r="PW13" s="55">
        <f t="shared" si="128"/>
        <v>43.349999999999994</v>
      </c>
    </row>
    <row r="14" spans="1:43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117</v>
      </c>
      <c r="C14" s="4" t="s">
        <v>67</v>
      </c>
      <c r="D14" s="4">
        <v>2009</v>
      </c>
      <c r="E14" s="10">
        <f t="shared" si="0"/>
        <v>85.900008590004148</v>
      </c>
      <c r="F14" s="3" t="str">
        <f t="shared" si="1"/>
        <v/>
      </c>
      <c r="G14" s="3" t="str">
        <f t="shared" si="2"/>
        <v/>
      </c>
      <c r="H14" s="47" t="str">
        <f t="shared" si="3"/>
        <v/>
      </c>
      <c r="I14" s="9">
        <f>IF(COUNT(AN14,BO14,CP14)&gt;0,LARGE((AN14,BO14,CP14),1),0)</f>
        <v>41.699999999999996</v>
      </c>
      <c r="J14" s="9" t="str">
        <f t="shared" si="4"/>
        <v>2025 Nationals</v>
      </c>
      <c r="K14" s="9">
        <f>IF(COUNT(AN14,BO14,CP14)&gt;1,LARGE((AN14,BO14,CP14),2),0)</f>
        <v>0</v>
      </c>
      <c r="L14" s="9" t="str">
        <f t="shared" si="5"/>
        <v/>
      </c>
      <c r="M14" s="9">
        <f t="shared" si="6"/>
        <v>44.199999999999996</v>
      </c>
      <c r="N14" s="9" t="str">
        <f t="shared" si="7"/>
        <v>2025 Nationals</v>
      </c>
      <c r="O14" s="9" t="str">
        <f t="shared" si="8"/>
        <v/>
      </c>
      <c r="P14" s="14" t="str">
        <f t="shared" si="9"/>
        <v/>
      </c>
      <c r="Q14" s="9" t="str">
        <f t="shared" si="10"/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32"/>
      <c r="AM14" s="55" t="str">
        <f t="shared" si="11"/>
        <v/>
      </c>
      <c r="AN14" s="55" t="str">
        <f t="shared" si="12"/>
        <v/>
      </c>
      <c r="AO14" s="55" t="str">
        <f t="shared" si="13"/>
        <v/>
      </c>
      <c r="AP14" s="55" t="str">
        <f t="shared" si="14"/>
        <v/>
      </c>
      <c r="AQ14" s="55" t="str">
        <f t="shared" si="15"/>
        <v/>
      </c>
      <c r="AR14" s="55" t="str">
        <f t="shared" si="16"/>
        <v/>
      </c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33"/>
      <c r="BN14" s="14" t="str">
        <f t="shared" si="17"/>
        <v/>
      </c>
      <c r="BO14" s="14" t="str">
        <f t="shared" si="18"/>
        <v/>
      </c>
      <c r="BP14" s="14" t="str">
        <f t="shared" si="19"/>
        <v/>
      </c>
      <c r="BQ14" s="14" t="str">
        <f t="shared" si="20"/>
        <v/>
      </c>
      <c r="BR14" s="14" t="str">
        <f t="shared" si="21"/>
        <v/>
      </c>
      <c r="BS14" s="14" t="str">
        <f t="shared" si="22"/>
        <v/>
      </c>
      <c r="BT14" s="20">
        <v>18.7</v>
      </c>
      <c r="BU14" s="20">
        <v>3.5</v>
      </c>
      <c r="BV14" s="20">
        <v>0.2</v>
      </c>
      <c r="BW14" s="20">
        <v>0</v>
      </c>
      <c r="BX14" s="20">
        <v>16.3</v>
      </c>
      <c r="BY14" s="20">
        <v>4.4000000000000004</v>
      </c>
      <c r="BZ14" s="20">
        <v>1</v>
      </c>
      <c r="CA14" s="20">
        <v>0</v>
      </c>
      <c r="CB14" s="20"/>
      <c r="CC14" s="20"/>
      <c r="CD14" s="20"/>
      <c r="CE14" s="20"/>
      <c r="CF14" s="20">
        <v>18.399999999999999</v>
      </c>
      <c r="CG14" s="20">
        <v>3.5</v>
      </c>
      <c r="CH14" s="20">
        <v>0</v>
      </c>
      <c r="CI14" s="20">
        <v>0</v>
      </c>
      <c r="CJ14" s="20">
        <v>18.100000000000001</v>
      </c>
      <c r="CK14" s="20">
        <v>4.8</v>
      </c>
      <c r="CL14" s="20">
        <v>0.6</v>
      </c>
      <c r="CM14" s="20">
        <v>0</v>
      </c>
      <c r="CN14" s="32"/>
      <c r="CO14" s="55">
        <f t="shared" si="23"/>
        <v>7.9</v>
      </c>
      <c r="CP14" s="55">
        <f t="shared" si="24"/>
        <v>41.699999999999996</v>
      </c>
      <c r="CQ14" s="55" t="str">
        <f t="shared" si="25"/>
        <v/>
      </c>
      <c r="CR14" s="55">
        <f t="shared" si="26"/>
        <v>8.3000000000000007</v>
      </c>
      <c r="CS14" s="55">
        <f t="shared" si="27"/>
        <v>44.199999999999996</v>
      </c>
      <c r="CT14" s="55">
        <f t="shared" si="28"/>
        <v>85.899999999999991</v>
      </c>
      <c r="CU14" s="56" t="str">
        <f t="shared" si="29"/>
        <v/>
      </c>
      <c r="CV14" s="56" t="str">
        <f t="shared" si="30"/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 t="shared" si="31"/>
        <v/>
      </c>
      <c r="DR14" s="55" t="str">
        <f t="shared" si="32"/>
        <v/>
      </c>
      <c r="DS14" s="55" t="str">
        <f t="shared" si="33"/>
        <v/>
      </c>
      <c r="DT14" s="55" t="str">
        <f t="shared" si="34"/>
        <v/>
      </c>
      <c r="DU14" s="55" t="str">
        <f t="shared" si="35"/>
        <v/>
      </c>
      <c r="DV14" s="55" t="str">
        <f t="shared" si="36"/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 t="shared" si="37"/>
        <v/>
      </c>
      <c r="ER14" s="14" t="str">
        <f t="shared" si="38"/>
        <v/>
      </c>
      <c r="ES14" s="14" t="str">
        <f t="shared" si="39"/>
        <v/>
      </c>
      <c r="ET14" s="14" t="str">
        <f t="shared" si="40"/>
        <v/>
      </c>
      <c r="EU14" s="14" t="str">
        <f t="shared" si="41"/>
        <v/>
      </c>
      <c r="EV14" s="14" t="str">
        <f t="shared" si="42"/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 t="shared" si="43"/>
        <v/>
      </c>
      <c r="FR14" s="55" t="str">
        <f t="shared" si="44"/>
        <v/>
      </c>
      <c r="FS14" s="55" t="str">
        <f t="shared" si="45"/>
        <v/>
      </c>
      <c r="FT14" s="55" t="str">
        <f t="shared" si="46"/>
        <v/>
      </c>
      <c r="FU14" s="55" t="str">
        <f t="shared" si="47"/>
        <v/>
      </c>
      <c r="FV14" s="55" t="str">
        <f t="shared" si="48"/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 t="shared" si="49"/>
        <v/>
      </c>
      <c r="GR14" s="14" t="str">
        <f t="shared" si="50"/>
        <v/>
      </c>
      <c r="GS14" s="14" t="str">
        <f t="shared" si="51"/>
        <v/>
      </c>
      <c r="GT14" s="14" t="str">
        <f t="shared" si="52"/>
        <v/>
      </c>
      <c r="GU14" s="14" t="str">
        <f t="shared" si="53"/>
        <v/>
      </c>
      <c r="GV14" s="14" t="str">
        <f t="shared" si="54"/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 t="shared" si="55"/>
        <v/>
      </c>
      <c r="HR14" s="55" t="str">
        <f t="shared" si="56"/>
        <v/>
      </c>
      <c r="HS14" s="55" t="str">
        <f t="shared" si="57"/>
        <v/>
      </c>
      <c r="HT14" s="55" t="str">
        <f t="shared" si="58"/>
        <v/>
      </c>
      <c r="HU14" s="55" t="str">
        <f t="shared" si="59"/>
        <v/>
      </c>
      <c r="HV14" s="55" t="str">
        <f t="shared" si="60"/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 t="shared" si="61"/>
        <v/>
      </c>
      <c r="IR14" s="14" t="str">
        <f t="shared" si="62"/>
        <v/>
      </c>
      <c r="IS14" s="14" t="str">
        <f t="shared" si="63"/>
        <v/>
      </c>
      <c r="IT14" s="14" t="str">
        <f t="shared" si="64"/>
        <v/>
      </c>
      <c r="IU14" s="14" t="str">
        <f t="shared" si="65"/>
        <v/>
      </c>
      <c r="IV14" s="14" t="str">
        <f t="shared" si="66"/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 t="shared" si="67"/>
        <v/>
      </c>
      <c r="JR14" s="55" t="str">
        <f t="shared" si="68"/>
        <v/>
      </c>
      <c r="JS14" s="55" t="str">
        <f t="shared" si="69"/>
        <v/>
      </c>
      <c r="JT14" s="55" t="str">
        <f t="shared" si="70"/>
        <v/>
      </c>
      <c r="JU14" s="55" t="str">
        <f t="shared" si="71"/>
        <v/>
      </c>
      <c r="JV14" s="55" t="str">
        <f t="shared" si="72"/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 t="shared" si="73"/>
        <v/>
      </c>
      <c r="KR14" s="14" t="str">
        <f t="shared" si="74"/>
        <v/>
      </c>
      <c r="KS14" s="14" t="str">
        <f t="shared" si="75"/>
        <v/>
      </c>
      <c r="KT14" s="14" t="str">
        <f t="shared" si="76"/>
        <v/>
      </c>
      <c r="KU14" s="14" t="str">
        <f t="shared" si="77"/>
        <v/>
      </c>
      <c r="KV14" s="14" t="str">
        <f t="shared" si="78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 t="shared" si="79"/>
        <v/>
      </c>
      <c r="LR14" s="55" t="str">
        <f t="shared" si="80"/>
        <v/>
      </c>
      <c r="LS14" s="55" t="str">
        <f t="shared" si="81"/>
        <v/>
      </c>
      <c r="LT14" s="55" t="str">
        <f t="shared" si="82"/>
        <v/>
      </c>
      <c r="LU14" s="55" t="str">
        <f t="shared" si="83"/>
        <v/>
      </c>
      <c r="LV14" s="55" t="str">
        <f t="shared" si="84"/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 t="shared" si="85"/>
        <v/>
      </c>
      <c r="MR14" s="14" t="str">
        <f t="shared" si="86"/>
        <v/>
      </c>
      <c r="MS14" s="14" t="str">
        <f t="shared" si="87"/>
        <v/>
      </c>
      <c r="MT14" s="14" t="str">
        <f t="shared" si="88"/>
        <v/>
      </c>
      <c r="MU14" s="14" t="str">
        <f t="shared" si="89"/>
        <v/>
      </c>
      <c r="MV14" s="14" t="str">
        <f t="shared" si="90"/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 t="shared" si="91"/>
        <v/>
      </c>
      <c r="NR14" s="55" t="str">
        <f t="shared" si="92"/>
        <v/>
      </c>
      <c r="NS14" s="55" t="str">
        <f t="shared" si="93"/>
        <v/>
      </c>
      <c r="NT14" s="55" t="str">
        <f t="shared" si="94"/>
        <v/>
      </c>
      <c r="NU14" s="55" t="str">
        <f t="shared" si="95"/>
        <v/>
      </c>
      <c r="NV14" s="55" t="str">
        <f t="shared" si="96"/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 t="shared" si="97"/>
        <v/>
      </c>
      <c r="OR14" s="14" t="str">
        <f t="shared" si="98"/>
        <v/>
      </c>
      <c r="OS14" s="14" t="str">
        <f t="shared" si="99"/>
        <v/>
      </c>
      <c r="OT14" s="14" t="str">
        <f t="shared" si="100"/>
        <v/>
      </c>
      <c r="OU14" s="14" t="str">
        <f t="shared" si="101"/>
        <v/>
      </c>
      <c r="OV14" s="14" t="str">
        <f t="shared" si="102"/>
        <v/>
      </c>
      <c r="OW14" s="27">
        <f t="shared" si="103"/>
        <v>9.35</v>
      </c>
      <c r="OX14" s="27">
        <f t="shared" si="104"/>
        <v>1.75</v>
      </c>
      <c r="OY14" s="27">
        <f t="shared" si="105"/>
        <v>0.1</v>
      </c>
      <c r="OZ14" s="27">
        <f t="shared" si="106"/>
        <v>0</v>
      </c>
      <c r="PA14" s="27">
        <f t="shared" si="107"/>
        <v>8.15</v>
      </c>
      <c r="PB14" s="27">
        <f t="shared" si="108"/>
        <v>2.2000000000000002</v>
      </c>
      <c r="PC14" s="27">
        <f t="shared" si="109"/>
        <v>0.5</v>
      </c>
      <c r="PD14" s="27">
        <f t="shared" si="110"/>
        <v>0</v>
      </c>
      <c r="PE14" s="27">
        <f t="shared" si="111"/>
        <v>0</v>
      </c>
      <c r="PF14" s="27">
        <f t="shared" si="112"/>
        <v>0</v>
      </c>
      <c r="PG14" s="27">
        <f t="shared" si="113"/>
        <v>0</v>
      </c>
      <c r="PH14" s="27">
        <f t="shared" si="114"/>
        <v>0</v>
      </c>
      <c r="PI14" s="27">
        <f t="shared" si="115"/>
        <v>9.1999999999999993</v>
      </c>
      <c r="PJ14" s="27">
        <f t="shared" si="116"/>
        <v>1.75</v>
      </c>
      <c r="PK14" s="27">
        <f t="shared" si="117"/>
        <v>0</v>
      </c>
      <c r="PL14" s="27">
        <f t="shared" si="118"/>
        <v>0</v>
      </c>
      <c r="PM14" s="27">
        <f t="shared" si="119"/>
        <v>9.0500000000000007</v>
      </c>
      <c r="PN14" s="27">
        <f t="shared" si="120"/>
        <v>2.4</v>
      </c>
      <c r="PO14" s="27">
        <f t="shared" si="121"/>
        <v>0.3</v>
      </c>
      <c r="PP14" s="27">
        <f t="shared" si="122"/>
        <v>0</v>
      </c>
      <c r="PQ14" s="32" t="s">
        <v>44</v>
      </c>
      <c r="PR14" s="55">
        <f t="shared" si="123"/>
        <v>3.95</v>
      </c>
      <c r="PS14" s="55">
        <f t="shared" si="124"/>
        <v>20.849999999999998</v>
      </c>
      <c r="PT14" s="55" t="str">
        <f t="shared" si="125"/>
        <v/>
      </c>
      <c r="PU14" s="55">
        <f t="shared" si="126"/>
        <v>4.1500000000000004</v>
      </c>
      <c r="PV14" s="55">
        <f t="shared" si="127"/>
        <v>22.099999999999998</v>
      </c>
      <c r="PW14" s="55">
        <f t="shared" si="128"/>
        <v>42.949999999999996</v>
      </c>
    </row>
    <row r="15" spans="1:43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118</v>
      </c>
      <c r="C15" s="4" t="s">
        <v>67</v>
      </c>
      <c r="D15" s="4">
        <v>2009</v>
      </c>
      <c r="E15" s="10">
        <f t="shared" si="0"/>
        <v>78.100007810004428</v>
      </c>
      <c r="F15" s="3" t="str">
        <f t="shared" si="1"/>
        <v/>
      </c>
      <c r="G15" s="3" t="str">
        <f t="shared" si="2"/>
        <v/>
      </c>
      <c r="H15" s="47" t="str">
        <f t="shared" si="3"/>
        <v/>
      </c>
      <c r="I15" s="9">
        <f>IF(COUNT(AN15,BO15,CP15)&gt;0,LARGE((AN15,BO15,CP15),1),0)</f>
        <v>44.4</v>
      </c>
      <c r="J15" s="9" t="str">
        <f t="shared" si="4"/>
        <v>2025 Nationals</v>
      </c>
      <c r="K15" s="9">
        <f>IF(COUNT(AN15,BO15,CP15)&gt;1,LARGE((AN15,BO15,CP15),2),0)</f>
        <v>0</v>
      </c>
      <c r="L15" s="9" t="str">
        <f t="shared" si="5"/>
        <v/>
      </c>
      <c r="M15" s="9">
        <f t="shared" si="6"/>
        <v>33.700000000000003</v>
      </c>
      <c r="N15" s="9" t="str">
        <f t="shared" si="7"/>
        <v>2025 Nationals</v>
      </c>
      <c r="O15" s="9" t="str">
        <f t="shared" si="8"/>
        <v/>
      </c>
      <c r="P15" s="14" t="str">
        <f t="shared" si="9"/>
        <v/>
      </c>
      <c r="Q15" s="9" t="str">
        <f t="shared" si="10"/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32"/>
      <c r="AM15" s="55" t="str">
        <f t="shared" si="11"/>
        <v/>
      </c>
      <c r="AN15" s="55" t="str">
        <f t="shared" si="12"/>
        <v/>
      </c>
      <c r="AO15" s="55" t="str">
        <f t="shared" si="13"/>
        <v/>
      </c>
      <c r="AP15" s="55" t="str">
        <f t="shared" si="14"/>
        <v/>
      </c>
      <c r="AQ15" s="55" t="str">
        <f t="shared" si="15"/>
        <v/>
      </c>
      <c r="AR15" s="55" t="str">
        <f t="shared" si="16"/>
        <v/>
      </c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33"/>
      <c r="BN15" s="14" t="str">
        <f t="shared" si="17"/>
        <v/>
      </c>
      <c r="BO15" s="14" t="str">
        <f t="shared" si="18"/>
        <v/>
      </c>
      <c r="BP15" s="14" t="str">
        <f t="shared" si="19"/>
        <v/>
      </c>
      <c r="BQ15" s="14" t="str">
        <f t="shared" si="20"/>
        <v/>
      </c>
      <c r="BR15" s="14" t="str">
        <f t="shared" si="21"/>
        <v/>
      </c>
      <c r="BS15" s="14" t="str">
        <f t="shared" si="22"/>
        <v/>
      </c>
      <c r="BT15" s="20">
        <v>18.5</v>
      </c>
      <c r="BU15" s="20">
        <v>3.5</v>
      </c>
      <c r="BV15" s="20">
        <v>0.2</v>
      </c>
      <c r="BW15" s="20">
        <v>0</v>
      </c>
      <c r="BX15" s="20">
        <v>18.2</v>
      </c>
      <c r="BY15" s="20">
        <v>4.4000000000000004</v>
      </c>
      <c r="BZ15" s="20">
        <v>0</v>
      </c>
      <c r="CA15" s="20">
        <v>0</v>
      </c>
      <c r="CB15" s="20"/>
      <c r="CC15" s="20"/>
      <c r="CD15" s="20"/>
      <c r="CE15" s="20"/>
      <c r="CF15" s="20">
        <v>15.6</v>
      </c>
      <c r="CG15" s="20">
        <v>0.7</v>
      </c>
      <c r="CH15" s="20">
        <v>0</v>
      </c>
      <c r="CI15" s="20">
        <v>0</v>
      </c>
      <c r="CJ15" s="20">
        <v>15</v>
      </c>
      <c r="CK15" s="20">
        <v>2.4</v>
      </c>
      <c r="CL15" s="20">
        <v>0</v>
      </c>
      <c r="CM15" s="20">
        <v>0</v>
      </c>
      <c r="CN15" s="32"/>
      <c r="CO15" s="55">
        <f t="shared" si="23"/>
        <v>7.9</v>
      </c>
      <c r="CP15" s="55">
        <f t="shared" si="24"/>
        <v>44.4</v>
      </c>
      <c r="CQ15" s="55" t="str">
        <f t="shared" si="25"/>
        <v/>
      </c>
      <c r="CR15" s="55">
        <f t="shared" si="26"/>
        <v>3.0999999999999996</v>
      </c>
      <c r="CS15" s="55">
        <f t="shared" si="27"/>
        <v>33.700000000000003</v>
      </c>
      <c r="CT15" s="55">
        <f t="shared" si="28"/>
        <v>78.099999999999994</v>
      </c>
      <c r="CU15" s="56" t="str">
        <f t="shared" si="29"/>
        <v/>
      </c>
      <c r="CV15" s="56" t="str">
        <f t="shared" si="30"/>
        <v/>
      </c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55" t="str">
        <f t="shared" si="31"/>
        <v/>
      </c>
      <c r="DR15" s="55" t="str">
        <f t="shared" si="32"/>
        <v/>
      </c>
      <c r="DS15" s="55" t="str">
        <f t="shared" si="33"/>
        <v/>
      </c>
      <c r="DT15" s="55" t="str">
        <f t="shared" si="34"/>
        <v/>
      </c>
      <c r="DU15" s="55" t="str">
        <f t="shared" si="35"/>
        <v/>
      </c>
      <c r="DV15" s="55" t="str">
        <f t="shared" si="36"/>
        <v/>
      </c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4" t="str">
        <f t="shared" si="37"/>
        <v/>
      </c>
      <c r="ER15" s="14" t="str">
        <f t="shared" si="38"/>
        <v/>
      </c>
      <c r="ES15" s="14" t="str">
        <f t="shared" si="39"/>
        <v/>
      </c>
      <c r="ET15" s="14" t="str">
        <f t="shared" si="40"/>
        <v/>
      </c>
      <c r="EU15" s="14" t="str">
        <f t="shared" si="41"/>
        <v/>
      </c>
      <c r="EV15" s="14" t="str">
        <f t="shared" si="42"/>
        <v/>
      </c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55" t="str">
        <f t="shared" si="43"/>
        <v/>
      </c>
      <c r="FR15" s="55" t="str">
        <f t="shared" si="44"/>
        <v/>
      </c>
      <c r="FS15" s="55" t="str">
        <f t="shared" si="45"/>
        <v/>
      </c>
      <c r="FT15" s="55" t="str">
        <f t="shared" si="46"/>
        <v/>
      </c>
      <c r="FU15" s="55" t="str">
        <f t="shared" si="47"/>
        <v/>
      </c>
      <c r="FV15" s="55" t="str">
        <f t="shared" si="48"/>
        <v/>
      </c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4" t="str">
        <f t="shared" si="49"/>
        <v/>
      </c>
      <c r="GR15" s="14" t="str">
        <f t="shared" si="50"/>
        <v/>
      </c>
      <c r="GS15" s="14" t="str">
        <f t="shared" si="51"/>
        <v/>
      </c>
      <c r="GT15" s="14" t="str">
        <f t="shared" si="52"/>
        <v/>
      </c>
      <c r="GU15" s="14" t="str">
        <f t="shared" si="53"/>
        <v/>
      </c>
      <c r="GV15" s="14" t="str">
        <f t="shared" si="54"/>
        <v/>
      </c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55" t="str">
        <f t="shared" si="55"/>
        <v/>
      </c>
      <c r="HR15" s="55" t="str">
        <f t="shared" si="56"/>
        <v/>
      </c>
      <c r="HS15" s="55" t="str">
        <f t="shared" si="57"/>
        <v/>
      </c>
      <c r="HT15" s="55" t="str">
        <f t="shared" si="58"/>
        <v/>
      </c>
      <c r="HU15" s="55" t="str">
        <f t="shared" si="59"/>
        <v/>
      </c>
      <c r="HV15" s="55" t="str">
        <f t="shared" si="60"/>
        <v/>
      </c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4" t="str">
        <f t="shared" si="61"/>
        <v/>
      </c>
      <c r="IR15" s="14" t="str">
        <f t="shared" si="62"/>
        <v/>
      </c>
      <c r="IS15" s="14" t="str">
        <f t="shared" si="63"/>
        <v/>
      </c>
      <c r="IT15" s="14" t="str">
        <f t="shared" si="64"/>
        <v/>
      </c>
      <c r="IU15" s="14" t="str">
        <f t="shared" si="65"/>
        <v/>
      </c>
      <c r="IV15" s="14" t="str">
        <f t="shared" si="66"/>
        <v/>
      </c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55" t="str">
        <f t="shared" si="67"/>
        <v/>
      </c>
      <c r="JR15" s="55" t="str">
        <f t="shared" si="68"/>
        <v/>
      </c>
      <c r="JS15" s="55" t="str">
        <f t="shared" si="69"/>
        <v/>
      </c>
      <c r="JT15" s="55" t="str">
        <f t="shared" si="70"/>
        <v/>
      </c>
      <c r="JU15" s="55" t="str">
        <f t="shared" si="71"/>
        <v/>
      </c>
      <c r="JV15" s="55" t="str">
        <f t="shared" si="72"/>
        <v/>
      </c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4" t="str">
        <f t="shared" si="73"/>
        <v/>
      </c>
      <c r="KR15" s="14" t="str">
        <f t="shared" si="74"/>
        <v/>
      </c>
      <c r="KS15" s="14" t="str">
        <f t="shared" si="75"/>
        <v/>
      </c>
      <c r="KT15" s="14" t="str">
        <f t="shared" si="76"/>
        <v/>
      </c>
      <c r="KU15" s="14" t="str">
        <f t="shared" si="77"/>
        <v/>
      </c>
      <c r="KV15" s="14" t="str">
        <f t="shared" si="78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55" t="str">
        <f t="shared" si="79"/>
        <v/>
      </c>
      <c r="LR15" s="55" t="str">
        <f t="shared" si="80"/>
        <v/>
      </c>
      <c r="LS15" s="55" t="str">
        <f t="shared" si="81"/>
        <v/>
      </c>
      <c r="LT15" s="55" t="str">
        <f t="shared" si="82"/>
        <v/>
      </c>
      <c r="LU15" s="55" t="str">
        <f t="shared" si="83"/>
        <v/>
      </c>
      <c r="LV15" s="55" t="str">
        <f t="shared" si="84"/>
        <v/>
      </c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4" t="str">
        <f t="shared" si="85"/>
        <v/>
      </c>
      <c r="MR15" s="14" t="str">
        <f t="shared" si="86"/>
        <v/>
      </c>
      <c r="MS15" s="14" t="str">
        <f t="shared" si="87"/>
        <v/>
      </c>
      <c r="MT15" s="14" t="str">
        <f t="shared" si="88"/>
        <v/>
      </c>
      <c r="MU15" s="14" t="str">
        <f t="shared" si="89"/>
        <v/>
      </c>
      <c r="MV15" s="14" t="str">
        <f t="shared" si="90"/>
        <v/>
      </c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55" t="str">
        <f t="shared" si="91"/>
        <v/>
      </c>
      <c r="NR15" s="55" t="str">
        <f t="shared" si="92"/>
        <v/>
      </c>
      <c r="NS15" s="55" t="str">
        <f t="shared" si="93"/>
        <v/>
      </c>
      <c r="NT15" s="55" t="str">
        <f t="shared" si="94"/>
        <v/>
      </c>
      <c r="NU15" s="55" t="str">
        <f t="shared" si="95"/>
        <v/>
      </c>
      <c r="NV15" s="55" t="str">
        <f t="shared" si="96"/>
        <v/>
      </c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4" t="str">
        <f t="shared" si="97"/>
        <v/>
      </c>
      <c r="OR15" s="14" t="str">
        <f t="shared" si="98"/>
        <v/>
      </c>
      <c r="OS15" s="14" t="str">
        <f t="shared" si="99"/>
        <v/>
      </c>
      <c r="OT15" s="14" t="str">
        <f t="shared" si="100"/>
        <v/>
      </c>
      <c r="OU15" s="14" t="str">
        <f t="shared" si="101"/>
        <v/>
      </c>
      <c r="OV15" s="14" t="str">
        <f t="shared" si="102"/>
        <v/>
      </c>
      <c r="OW15" s="27">
        <f t="shared" si="103"/>
        <v>9.25</v>
      </c>
      <c r="OX15" s="27">
        <f t="shared" si="104"/>
        <v>1.75</v>
      </c>
      <c r="OY15" s="27">
        <f t="shared" si="105"/>
        <v>0.1</v>
      </c>
      <c r="OZ15" s="27">
        <f t="shared" si="106"/>
        <v>0</v>
      </c>
      <c r="PA15" s="27">
        <f t="shared" si="107"/>
        <v>9.1</v>
      </c>
      <c r="PB15" s="27">
        <f t="shared" si="108"/>
        <v>2.2000000000000002</v>
      </c>
      <c r="PC15" s="27">
        <f t="shared" si="109"/>
        <v>0</v>
      </c>
      <c r="PD15" s="27">
        <f t="shared" si="110"/>
        <v>0</v>
      </c>
      <c r="PE15" s="27">
        <f t="shared" si="111"/>
        <v>0</v>
      </c>
      <c r="PF15" s="27">
        <f t="shared" si="112"/>
        <v>0</v>
      </c>
      <c r="PG15" s="27">
        <f t="shared" si="113"/>
        <v>0</v>
      </c>
      <c r="PH15" s="27">
        <f t="shared" si="114"/>
        <v>0</v>
      </c>
      <c r="PI15" s="27">
        <f t="shared" si="115"/>
        <v>7.8</v>
      </c>
      <c r="PJ15" s="27">
        <f t="shared" si="116"/>
        <v>0.35</v>
      </c>
      <c r="PK15" s="27">
        <f t="shared" si="117"/>
        <v>0</v>
      </c>
      <c r="PL15" s="27">
        <f t="shared" si="118"/>
        <v>0</v>
      </c>
      <c r="PM15" s="27">
        <f t="shared" si="119"/>
        <v>7.5</v>
      </c>
      <c r="PN15" s="27">
        <f t="shared" si="120"/>
        <v>1.2</v>
      </c>
      <c r="PO15" s="27">
        <f t="shared" si="121"/>
        <v>0</v>
      </c>
      <c r="PP15" s="27">
        <f t="shared" si="122"/>
        <v>0</v>
      </c>
      <c r="PQ15" s="32" t="s">
        <v>44</v>
      </c>
      <c r="PR15" s="55">
        <f t="shared" si="123"/>
        <v>3.95</v>
      </c>
      <c r="PS15" s="55">
        <f t="shared" si="124"/>
        <v>22.2</v>
      </c>
      <c r="PT15" s="55" t="str">
        <f t="shared" si="125"/>
        <v/>
      </c>
      <c r="PU15" s="55">
        <f t="shared" si="126"/>
        <v>1.5499999999999998</v>
      </c>
      <c r="PV15" s="55">
        <f t="shared" si="127"/>
        <v>16.850000000000001</v>
      </c>
      <c r="PW15" s="55">
        <f t="shared" si="128"/>
        <v>39.049999999999997</v>
      </c>
    </row>
    <row r="16" spans="1:43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119</v>
      </c>
      <c r="C16" s="4" t="s">
        <v>90</v>
      </c>
      <c r="D16" s="4">
        <v>2011</v>
      </c>
      <c r="E16" s="10">
        <f t="shared" si="0"/>
        <v>39.900003990003995</v>
      </c>
      <c r="F16" s="3" t="str">
        <f t="shared" si="1"/>
        <v/>
      </c>
      <c r="G16" s="3" t="str">
        <f t="shared" si="2"/>
        <v/>
      </c>
      <c r="H16" s="47" t="str">
        <f t="shared" si="3"/>
        <v/>
      </c>
      <c r="I16" s="9">
        <f>IF(COUNT(AN16,BO16,CP16)&gt;0,LARGE((AN16,BO16,CP16),1),0)</f>
        <v>39.9</v>
      </c>
      <c r="J16" s="9" t="str">
        <f t="shared" si="4"/>
        <v>2025 Nationals</v>
      </c>
      <c r="K16" s="9">
        <f>IF(COUNT(AN16,BO16,CP16)&gt;1,LARGE((AN16,BO16,CP16),2),0)</f>
        <v>0</v>
      </c>
      <c r="L16" s="9" t="str">
        <f t="shared" si="5"/>
        <v/>
      </c>
      <c r="M16" s="9">
        <f t="shared" si="6"/>
        <v>0</v>
      </c>
      <c r="N16" s="9" t="str">
        <f t="shared" si="7"/>
        <v/>
      </c>
      <c r="O16" s="9" t="str">
        <f t="shared" si="8"/>
        <v/>
      </c>
      <c r="P16" s="14" t="str">
        <f t="shared" si="9"/>
        <v/>
      </c>
      <c r="Q16" s="9" t="str">
        <f t="shared" si="10"/>
        <v/>
      </c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32"/>
      <c r="AM16" s="55" t="str">
        <f t="shared" si="11"/>
        <v/>
      </c>
      <c r="AN16" s="55" t="str">
        <f t="shared" si="12"/>
        <v/>
      </c>
      <c r="AO16" s="55" t="str">
        <f t="shared" si="13"/>
        <v/>
      </c>
      <c r="AP16" s="55" t="str">
        <f t="shared" si="14"/>
        <v/>
      </c>
      <c r="AQ16" s="55" t="str">
        <f t="shared" si="15"/>
        <v/>
      </c>
      <c r="AR16" s="55" t="str">
        <f t="shared" si="16"/>
        <v/>
      </c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33"/>
      <c r="BN16" s="14" t="str">
        <f t="shared" si="17"/>
        <v/>
      </c>
      <c r="BO16" s="14" t="str">
        <f t="shared" si="18"/>
        <v/>
      </c>
      <c r="BP16" s="14" t="str">
        <f t="shared" si="19"/>
        <v/>
      </c>
      <c r="BQ16" s="14" t="str">
        <f t="shared" si="20"/>
        <v/>
      </c>
      <c r="BR16" s="14" t="str">
        <f t="shared" si="21"/>
        <v/>
      </c>
      <c r="BS16" s="14" t="str">
        <f t="shared" si="22"/>
        <v/>
      </c>
      <c r="BT16" s="20">
        <v>18.8</v>
      </c>
      <c r="BU16" s="20">
        <v>3.5</v>
      </c>
      <c r="BV16" s="20">
        <v>0</v>
      </c>
      <c r="BW16" s="20">
        <v>0</v>
      </c>
      <c r="BX16" s="20">
        <v>15.2</v>
      </c>
      <c r="BY16" s="20">
        <v>2.4</v>
      </c>
      <c r="BZ16" s="20">
        <v>0</v>
      </c>
      <c r="CA16" s="20">
        <v>0</v>
      </c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32"/>
      <c r="CO16" s="55">
        <f t="shared" si="23"/>
        <v>5.9</v>
      </c>
      <c r="CP16" s="55">
        <f t="shared" si="24"/>
        <v>39.9</v>
      </c>
      <c r="CQ16" s="55" t="str">
        <f t="shared" si="25"/>
        <v/>
      </c>
      <c r="CR16" s="55" t="str">
        <f t="shared" si="26"/>
        <v/>
      </c>
      <c r="CS16" s="55" t="str">
        <f t="shared" si="27"/>
        <v/>
      </c>
      <c r="CT16" s="55">
        <f t="shared" si="28"/>
        <v>39.9</v>
      </c>
      <c r="CU16" s="56" t="str">
        <f t="shared" si="29"/>
        <v/>
      </c>
      <c r="CV16" s="56" t="str">
        <f t="shared" si="30"/>
        <v/>
      </c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55" t="str">
        <f t="shared" si="31"/>
        <v/>
      </c>
      <c r="DR16" s="55" t="str">
        <f t="shared" si="32"/>
        <v/>
      </c>
      <c r="DS16" s="55" t="str">
        <f t="shared" si="33"/>
        <v/>
      </c>
      <c r="DT16" s="55" t="str">
        <f t="shared" si="34"/>
        <v/>
      </c>
      <c r="DU16" s="55" t="str">
        <f t="shared" si="35"/>
        <v/>
      </c>
      <c r="DV16" s="55" t="str">
        <f t="shared" si="36"/>
        <v/>
      </c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4" t="str">
        <f t="shared" si="37"/>
        <v/>
      </c>
      <c r="ER16" s="14" t="str">
        <f t="shared" si="38"/>
        <v/>
      </c>
      <c r="ES16" s="14" t="str">
        <f t="shared" si="39"/>
        <v/>
      </c>
      <c r="ET16" s="14" t="str">
        <f t="shared" si="40"/>
        <v/>
      </c>
      <c r="EU16" s="14" t="str">
        <f t="shared" si="41"/>
        <v/>
      </c>
      <c r="EV16" s="14" t="str">
        <f t="shared" si="42"/>
        <v/>
      </c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55" t="str">
        <f t="shared" si="43"/>
        <v/>
      </c>
      <c r="FR16" s="55" t="str">
        <f t="shared" si="44"/>
        <v/>
      </c>
      <c r="FS16" s="55" t="str">
        <f t="shared" si="45"/>
        <v/>
      </c>
      <c r="FT16" s="55" t="str">
        <f t="shared" si="46"/>
        <v/>
      </c>
      <c r="FU16" s="55" t="str">
        <f t="shared" si="47"/>
        <v/>
      </c>
      <c r="FV16" s="55" t="str">
        <f t="shared" si="48"/>
        <v/>
      </c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4" t="str">
        <f t="shared" si="49"/>
        <v/>
      </c>
      <c r="GR16" s="14" t="str">
        <f t="shared" si="50"/>
        <v/>
      </c>
      <c r="GS16" s="14" t="str">
        <f t="shared" si="51"/>
        <v/>
      </c>
      <c r="GT16" s="14" t="str">
        <f t="shared" si="52"/>
        <v/>
      </c>
      <c r="GU16" s="14" t="str">
        <f t="shared" si="53"/>
        <v/>
      </c>
      <c r="GV16" s="14" t="str">
        <f t="shared" si="54"/>
        <v/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55" t="str">
        <f t="shared" si="55"/>
        <v/>
      </c>
      <c r="HR16" s="55" t="str">
        <f t="shared" si="56"/>
        <v/>
      </c>
      <c r="HS16" s="55" t="str">
        <f t="shared" si="57"/>
        <v/>
      </c>
      <c r="HT16" s="55" t="str">
        <f t="shared" si="58"/>
        <v/>
      </c>
      <c r="HU16" s="55" t="str">
        <f t="shared" si="59"/>
        <v/>
      </c>
      <c r="HV16" s="55" t="str">
        <f t="shared" si="60"/>
        <v/>
      </c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4" t="str">
        <f t="shared" si="61"/>
        <v/>
      </c>
      <c r="IR16" s="14" t="str">
        <f t="shared" si="62"/>
        <v/>
      </c>
      <c r="IS16" s="14" t="str">
        <f t="shared" si="63"/>
        <v/>
      </c>
      <c r="IT16" s="14" t="str">
        <f t="shared" si="64"/>
        <v/>
      </c>
      <c r="IU16" s="14" t="str">
        <f t="shared" si="65"/>
        <v/>
      </c>
      <c r="IV16" s="14" t="str">
        <f t="shared" si="66"/>
        <v/>
      </c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55" t="str">
        <f t="shared" si="67"/>
        <v/>
      </c>
      <c r="JR16" s="55" t="str">
        <f t="shared" si="68"/>
        <v/>
      </c>
      <c r="JS16" s="55" t="str">
        <f t="shared" si="69"/>
        <v/>
      </c>
      <c r="JT16" s="55" t="str">
        <f t="shared" si="70"/>
        <v/>
      </c>
      <c r="JU16" s="55" t="str">
        <f t="shared" si="71"/>
        <v/>
      </c>
      <c r="JV16" s="55" t="str">
        <f t="shared" si="72"/>
        <v/>
      </c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4" t="str">
        <f t="shared" si="73"/>
        <v/>
      </c>
      <c r="KR16" s="14" t="str">
        <f t="shared" si="74"/>
        <v/>
      </c>
      <c r="KS16" s="14" t="str">
        <f t="shared" si="75"/>
        <v/>
      </c>
      <c r="KT16" s="14" t="str">
        <f t="shared" si="76"/>
        <v/>
      </c>
      <c r="KU16" s="14" t="str">
        <f t="shared" si="77"/>
        <v/>
      </c>
      <c r="KV16" s="14" t="str">
        <f t="shared" si="78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55" t="str">
        <f t="shared" si="79"/>
        <v/>
      </c>
      <c r="LR16" s="55" t="str">
        <f t="shared" si="80"/>
        <v/>
      </c>
      <c r="LS16" s="55" t="str">
        <f t="shared" si="81"/>
        <v/>
      </c>
      <c r="LT16" s="55" t="str">
        <f t="shared" si="82"/>
        <v/>
      </c>
      <c r="LU16" s="55" t="str">
        <f t="shared" si="83"/>
        <v/>
      </c>
      <c r="LV16" s="55" t="str">
        <f t="shared" si="84"/>
        <v/>
      </c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4" t="str">
        <f t="shared" si="85"/>
        <v/>
      </c>
      <c r="MR16" s="14" t="str">
        <f t="shared" si="86"/>
        <v/>
      </c>
      <c r="MS16" s="14" t="str">
        <f t="shared" si="87"/>
        <v/>
      </c>
      <c r="MT16" s="14" t="str">
        <f t="shared" si="88"/>
        <v/>
      </c>
      <c r="MU16" s="14" t="str">
        <f t="shared" si="89"/>
        <v/>
      </c>
      <c r="MV16" s="14" t="str">
        <f t="shared" si="90"/>
        <v/>
      </c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55" t="str">
        <f t="shared" si="91"/>
        <v/>
      </c>
      <c r="NR16" s="55" t="str">
        <f t="shared" si="92"/>
        <v/>
      </c>
      <c r="NS16" s="55" t="str">
        <f t="shared" si="93"/>
        <v/>
      </c>
      <c r="NT16" s="55" t="str">
        <f t="shared" si="94"/>
        <v/>
      </c>
      <c r="NU16" s="55" t="str">
        <f t="shared" si="95"/>
        <v/>
      </c>
      <c r="NV16" s="55" t="str">
        <f t="shared" si="96"/>
        <v/>
      </c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4" t="str">
        <f t="shared" si="97"/>
        <v/>
      </c>
      <c r="OR16" s="14" t="str">
        <f t="shared" si="98"/>
        <v/>
      </c>
      <c r="OS16" s="14" t="str">
        <f t="shared" si="99"/>
        <v/>
      </c>
      <c r="OT16" s="14" t="str">
        <f t="shared" si="100"/>
        <v/>
      </c>
      <c r="OU16" s="14" t="str">
        <f t="shared" si="101"/>
        <v/>
      </c>
      <c r="OV16" s="14" t="str">
        <f t="shared" si="102"/>
        <v/>
      </c>
      <c r="OW16" s="27">
        <f t="shared" si="103"/>
        <v>9.4</v>
      </c>
      <c r="OX16" s="27">
        <f t="shared" si="104"/>
        <v>1.75</v>
      </c>
      <c r="OY16" s="27">
        <f t="shared" si="105"/>
        <v>0</v>
      </c>
      <c r="OZ16" s="27">
        <f t="shared" si="106"/>
        <v>0</v>
      </c>
      <c r="PA16" s="27">
        <f t="shared" si="107"/>
        <v>7.6</v>
      </c>
      <c r="PB16" s="27">
        <f t="shared" si="108"/>
        <v>1.2</v>
      </c>
      <c r="PC16" s="27">
        <f t="shared" si="109"/>
        <v>0</v>
      </c>
      <c r="PD16" s="27">
        <f t="shared" si="110"/>
        <v>0</v>
      </c>
      <c r="PE16" s="27">
        <f t="shared" si="111"/>
        <v>0</v>
      </c>
      <c r="PF16" s="27">
        <f t="shared" si="112"/>
        <v>0</v>
      </c>
      <c r="PG16" s="27">
        <f t="shared" si="113"/>
        <v>0</v>
      </c>
      <c r="PH16" s="27">
        <f t="shared" si="114"/>
        <v>0</v>
      </c>
      <c r="PI16" s="27">
        <f t="shared" si="115"/>
        <v>0</v>
      </c>
      <c r="PJ16" s="27">
        <f t="shared" si="116"/>
        <v>0</v>
      </c>
      <c r="PK16" s="27">
        <f t="shared" si="117"/>
        <v>0</v>
      </c>
      <c r="PL16" s="27">
        <f t="shared" si="118"/>
        <v>0</v>
      </c>
      <c r="PM16" s="27">
        <f t="shared" si="119"/>
        <v>0</v>
      </c>
      <c r="PN16" s="27">
        <f t="shared" si="120"/>
        <v>0</v>
      </c>
      <c r="PO16" s="27">
        <f t="shared" si="121"/>
        <v>0</v>
      </c>
      <c r="PP16" s="27">
        <f t="shared" si="122"/>
        <v>0</v>
      </c>
      <c r="PQ16" s="32" t="s">
        <v>44</v>
      </c>
      <c r="PR16" s="55">
        <f t="shared" si="123"/>
        <v>2.95</v>
      </c>
      <c r="PS16" s="55">
        <f t="shared" si="124"/>
        <v>19.95</v>
      </c>
      <c r="PT16" s="55" t="str">
        <f t="shared" si="125"/>
        <v/>
      </c>
      <c r="PU16" s="55" t="str">
        <f t="shared" si="126"/>
        <v/>
      </c>
      <c r="PV16" s="55" t="str">
        <f t="shared" si="127"/>
        <v/>
      </c>
      <c r="PW16" s="55">
        <f t="shared" si="128"/>
        <v>19.95</v>
      </c>
    </row>
    <row r="17" spans="1:412" ht="17" x14ac:dyDescent="0.2">
      <c r="O17" s="11"/>
      <c r="P17" s="11"/>
      <c r="Q17" s="11"/>
    </row>
    <row r="18" spans="1:412" ht="17" x14ac:dyDescent="0.2">
      <c r="O18" s="11"/>
      <c r="P18" s="11"/>
      <c r="Q18" s="11"/>
    </row>
    <row r="19" spans="1:412" ht="17" x14ac:dyDescent="0.2">
      <c r="B19" s="28" t="s">
        <v>42</v>
      </c>
      <c r="O19" s="11"/>
      <c r="P19" s="11"/>
      <c r="Q19" s="11"/>
      <c r="AM19" s="4"/>
      <c r="AR19" s="57">
        <v>7.9</v>
      </c>
      <c r="BN19" s="4"/>
      <c r="BS19" s="57">
        <v>9.6</v>
      </c>
      <c r="CO19" s="4"/>
      <c r="CT19" s="57">
        <v>9.6</v>
      </c>
      <c r="DQ19" s="4"/>
      <c r="DV19" s="57">
        <v>9.6</v>
      </c>
      <c r="EQ19" s="4"/>
      <c r="EV19" s="57">
        <v>9.6</v>
      </c>
      <c r="FQ19" s="4"/>
      <c r="FV19" s="57">
        <v>9.6</v>
      </c>
      <c r="GQ19" s="4"/>
      <c r="GV19" s="57">
        <v>9.6</v>
      </c>
      <c r="HQ19" s="4"/>
      <c r="HV19" s="57">
        <v>9.6</v>
      </c>
      <c r="IQ19" s="4"/>
      <c r="IV19" s="57">
        <v>9.6</v>
      </c>
      <c r="JQ19" s="4"/>
      <c r="JV19" s="57">
        <v>9.6</v>
      </c>
      <c r="KQ19" s="4"/>
      <c r="KV19" s="57">
        <v>9.6</v>
      </c>
      <c r="LQ19" s="4"/>
      <c r="LV19" s="57">
        <v>9.6</v>
      </c>
      <c r="MQ19" s="4"/>
      <c r="MV19" s="57">
        <v>9.6</v>
      </c>
      <c r="NQ19" s="4"/>
      <c r="NV19" s="57">
        <v>9.6</v>
      </c>
      <c r="OQ19" s="4"/>
      <c r="OV19" s="57">
        <v>9.6</v>
      </c>
    </row>
    <row r="20" spans="1:412" ht="17" hidden="1" x14ac:dyDescent="0.2">
      <c r="B20" s="35" t="s">
        <v>41</v>
      </c>
      <c r="O20" s="11"/>
      <c r="P20" s="11"/>
      <c r="Q20" s="11"/>
      <c r="AM20" s="4"/>
      <c r="AR20" s="58">
        <v>1000</v>
      </c>
      <c r="BN20" s="4"/>
      <c r="BS20" s="58">
        <v>1000</v>
      </c>
      <c r="CO20" s="4"/>
      <c r="CT20" s="58">
        <v>1000</v>
      </c>
      <c r="DQ20" s="4"/>
      <c r="DV20" s="58">
        <v>1000</v>
      </c>
      <c r="EQ20" s="4"/>
      <c r="EV20" s="58">
        <v>1000</v>
      </c>
      <c r="FQ20" s="4"/>
      <c r="FV20" s="58">
        <v>1000</v>
      </c>
      <c r="GQ20" s="4"/>
      <c r="GV20" s="58">
        <v>1000</v>
      </c>
      <c r="HQ20" s="4"/>
      <c r="HV20" s="58">
        <v>1000</v>
      </c>
      <c r="IQ20" s="4"/>
      <c r="IV20" s="58">
        <v>1000</v>
      </c>
      <c r="JQ20" s="4"/>
      <c r="JV20" s="58">
        <v>1000</v>
      </c>
      <c r="KQ20" s="4"/>
      <c r="KV20" s="58">
        <v>1000</v>
      </c>
      <c r="LQ20" s="4"/>
      <c r="LV20" s="58">
        <v>1000</v>
      </c>
      <c r="MQ20" s="4"/>
      <c r="MV20" s="58">
        <v>1000</v>
      </c>
      <c r="NQ20" s="4"/>
      <c r="NV20" s="58">
        <v>1000</v>
      </c>
      <c r="OQ20" s="4"/>
      <c r="OV20" s="58">
        <v>1000</v>
      </c>
    </row>
    <row r="21" spans="1:412" ht="17" hidden="1" x14ac:dyDescent="0.2">
      <c r="A21" s="5"/>
      <c r="B21" s="36" t="s">
        <v>54</v>
      </c>
      <c r="C21" s="22"/>
      <c r="O21" s="11"/>
      <c r="P21" s="11"/>
      <c r="Q21" s="11"/>
      <c r="AM21" s="4"/>
      <c r="AR21" s="59">
        <v>1000</v>
      </c>
      <c r="BN21" s="4"/>
      <c r="BS21" s="59">
        <v>1000</v>
      </c>
      <c r="CO21" s="4"/>
      <c r="CT21" s="59">
        <v>1000</v>
      </c>
      <c r="DQ21" s="4"/>
      <c r="DV21" s="59">
        <v>1000</v>
      </c>
      <c r="EQ21" s="4"/>
      <c r="EV21" s="59">
        <v>1000</v>
      </c>
      <c r="FQ21" s="4"/>
      <c r="FV21" s="59">
        <v>1000</v>
      </c>
      <c r="GQ21" s="4"/>
      <c r="GV21" s="59">
        <v>1000</v>
      </c>
      <c r="HQ21" s="4"/>
      <c r="HV21" s="59">
        <v>1000</v>
      </c>
      <c r="IQ21" s="4"/>
      <c r="IV21" s="59">
        <v>1000</v>
      </c>
      <c r="JQ21" s="4"/>
      <c r="JV21" s="59">
        <v>1000</v>
      </c>
      <c r="KQ21" s="4"/>
      <c r="KV21" s="59">
        <v>1000</v>
      </c>
      <c r="LQ21" s="4"/>
      <c r="LV21" s="59">
        <v>1000</v>
      </c>
      <c r="MQ21" s="4"/>
      <c r="MV21" s="59">
        <v>1000</v>
      </c>
      <c r="NQ21" s="4"/>
      <c r="NV21" s="59">
        <v>1000</v>
      </c>
      <c r="OQ21" s="4"/>
      <c r="OV21" s="59">
        <v>1000</v>
      </c>
    </row>
    <row r="22" spans="1:412" ht="17" hidden="1" x14ac:dyDescent="0.2">
      <c r="A22" s="5"/>
      <c r="B22" s="44" t="s">
        <v>59</v>
      </c>
      <c r="C22" s="22"/>
      <c r="O22" s="11"/>
      <c r="P22" s="11"/>
      <c r="Q22" s="11"/>
      <c r="AM22" s="4"/>
      <c r="AR22" s="65">
        <v>1000</v>
      </c>
      <c r="BN22" s="4"/>
      <c r="BS22" s="65">
        <v>1000</v>
      </c>
      <c r="CO22" s="4"/>
      <c r="CT22" s="65">
        <v>1000</v>
      </c>
      <c r="DQ22" s="4"/>
      <c r="DV22" s="65">
        <v>1000</v>
      </c>
      <c r="EQ22" s="4"/>
      <c r="EV22" s="65">
        <v>1000</v>
      </c>
      <c r="FQ22" s="4"/>
      <c r="FV22" s="65">
        <v>1000</v>
      </c>
      <c r="GQ22" s="4"/>
      <c r="GV22" s="65">
        <v>1000</v>
      </c>
      <c r="HQ22" s="4"/>
      <c r="HV22" s="65">
        <v>1000</v>
      </c>
      <c r="IQ22" s="4"/>
      <c r="IV22" s="65">
        <v>1000</v>
      </c>
      <c r="JQ22" s="4"/>
      <c r="JV22" s="65">
        <v>1000</v>
      </c>
      <c r="KQ22" s="4"/>
      <c r="KV22" s="65">
        <v>1000</v>
      </c>
      <c r="LQ22" s="4"/>
      <c r="LV22" s="65">
        <v>1000</v>
      </c>
      <c r="MQ22" s="4"/>
      <c r="MV22" s="65">
        <v>1000</v>
      </c>
      <c r="NQ22" s="4"/>
      <c r="NV22" s="65">
        <v>1000</v>
      </c>
      <c r="OQ22" s="4"/>
      <c r="OV22" s="65">
        <v>1000</v>
      </c>
    </row>
    <row r="23" spans="1:412" ht="17" x14ac:dyDescent="0.2">
      <c r="A23" s="5"/>
      <c r="B23" s="42" t="s">
        <v>39</v>
      </c>
      <c r="C23" s="22"/>
      <c r="O23" s="11"/>
      <c r="P23" s="11"/>
      <c r="Q23" s="11"/>
      <c r="AM23" s="4"/>
      <c r="AR23" s="66">
        <v>45.5</v>
      </c>
      <c r="BN23" s="4"/>
      <c r="BS23" s="66">
        <v>46</v>
      </c>
      <c r="CO23" s="4"/>
      <c r="CT23" s="66">
        <v>46</v>
      </c>
      <c r="DQ23" s="4"/>
      <c r="DV23" s="66">
        <v>46</v>
      </c>
      <c r="EQ23" s="4"/>
      <c r="EV23" s="66">
        <v>46</v>
      </c>
      <c r="FQ23" s="4"/>
      <c r="FV23" s="66">
        <v>46</v>
      </c>
      <c r="GQ23" s="4"/>
      <c r="GV23" s="66">
        <v>46</v>
      </c>
      <c r="HQ23" s="4"/>
      <c r="HV23" s="66">
        <v>46</v>
      </c>
      <c r="IQ23" s="4"/>
      <c r="IV23" s="66">
        <v>46</v>
      </c>
      <c r="JQ23" s="4"/>
      <c r="JV23" s="66">
        <v>46</v>
      </c>
      <c r="KQ23" s="4"/>
      <c r="KV23" s="66">
        <v>46</v>
      </c>
      <c r="LQ23" s="4"/>
      <c r="LV23" s="66">
        <v>46</v>
      </c>
      <c r="MQ23" s="4"/>
      <c r="MV23" s="66">
        <v>46</v>
      </c>
      <c r="NQ23" s="4"/>
      <c r="NV23" s="66">
        <v>46</v>
      </c>
      <c r="OQ23" s="4"/>
      <c r="OV23" s="66">
        <v>46</v>
      </c>
    </row>
    <row r="24" spans="1:412" ht="17" hidden="1" x14ac:dyDescent="0.2">
      <c r="A24" s="5"/>
      <c r="B24" s="29" t="s">
        <v>40</v>
      </c>
      <c r="C24" s="22"/>
      <c r="O24" s="11"/>
      <c r="P24" s="11"/>
      <c r="Q24" s="11"/>
      <c r="AM24" s="4"/>
      <c r="AR24" s="62">
        <v>1000</v>
      </c>
      <c r="BN24" s="4"/>
      <c r="BS24" s="62">
        <v>1000</v>
      </c>
      <c r="CO24" s="4"/>
      <c r="CT24" s="62">
        <v>1000</v>
      </c>
      <c r="DQ24" s="4"/>
      <c r="DV24" s="62">
        <v>1000</v>
      </c>
      <c r="EQ24" s="4"/>
      <c r="EV24" s="62">
        <v>1000</v>
      </c>
      <c r="FQ24" s="4"/>
      <c r="FV24" s="62">
        <v>1000</v>
      </c>
      <c r="GQ24" s="4"/>
      <c r="GV24" s="62">
        <v>1000</v>
      </c>
      <c r="HQ24" s="4"/>
      <c r="HV24" s="62">
        <v>1000</v>
      </c>
      <c r="IQ24" s="4"/>
      <c r="IV24" s="62">
        <v>1000</v>
      </c>
      <c r="JQ24" s="4"/>
      <c r="JV24" s="62">
        <v>1000</v>
      </c>
      <c r="KQ24" s="4"/>
      <c r="KV24" s="62">
        <v>1000</v>
      </c>
      <c r="LQ24" s="4"/>
      <c r="LV24" s="62">
        <v>1000</v>
      </c>
      <c r="MQ24" s="4"/>
      <c r="MV24" s="62">
        <v>1000</v>
      </c>
      <c r="NQ24" s="4"/>
      <c r="NV24" s="62">
        <v>1000</v>
      </c>
      <c r="OQ24" s="4"/>
      <c r="OV24" s="62">
        <v>1000</v>
      </c>
    </row>
    <row r="25" spans="1:412" ht="17" hidden="1" x14ac:dyDescent="0.2">
      <c r="A25" s="5"/>
      <c r="B25" s="40" t="s">
        <v>53</v>
      </c>
      <c r="C25" s="22"/>
      <c r="O25" s="11"/>
      <c r="P25" s="11"/>
      <c r="Q25" s="11"/>
      <c r="AM25" s="4"/>
      <c r="AR25" s="63">
        <v>1000</v>
      </c>
      <c r="BN25" s="4"/>
      <c r="BS25" s="63">
        <v>1000</v>
      </c>
      <c r="CO25" s="4"/>
      <c r="CT25" s="63">
        <v>1000</v>
      </c>
      <c r="DQ25" s="4"/>
      <c r="DV25" s="63">
        <v>1000</v>
      </c>
      <c r="EQ25" s="4"/>
      <c r="EV25" s="63">
        <v>1000</v>
      </c>
      <c r="FQ25" s="4"/>
      <c r="FV25" s="63">
        <v>1000</v>
      </c>
      <c r="GQ25" s="4"/>
      <c r="GV25" s="63">
        <v>1000</v>
      </c>
      <c r="HQ25" s="4"/>
      <c r="HV25" s="63">
        <v>1000</v>
      </c>
      <c r="IQ25" s="4"/>
      <c r="IV25" s="63">
        <v>1000</v>
      </c>
      <c r="JQ25" s="4"/>
      <c r="JV25" s="63">
        <v>1000</v>
      </c>
      <c r="KQ25" s="4"/>
      <c r="KV25" s="63">
        <v>1000</v>
      </c>
      <c r="LQ25" s="4"/>
      <c r="LV25" s="63">
        <v>1000</v>
      </c>
      <c r="MQ25" s="4"/>
      <c r="MV25" s="63">
        <v>1000</v>
      </c>
      <c r="NQ25" s="4"/>
      <c r="NV25" s="63">
        <v>1000</v>
      </c>
      <c r="OQ25" s="4"/>
      <c r="OV25" s="63">
        <v>1000</v>
      </c>
    </row>
    <row r="26" spans="1:412" ht="17" hidden="1" x14ac:dyDescent="0.2">
      <c r="A26" s="5"/>
      <c r="B26" s="30" t="s">
        <v>26</v>
      </c>
      <c r="C26" s="22"/>
      <c r="O26" s="11"/>
      <c r="P26" s="11"/>
      <c r="Q26" s="11"/>
      <c r="AM26" s="4"/>
      <c r="AR26" s="64">
        <v>1000</v>
      </c>
      <c r="BN26" s="4"/>
      <c r="BS26" s="64">
        <v>1000</v>
      </c>
      <c r="CO26" s="4"/>
      <c r="CT26" s="64">
        <v>1000</v>
      </c>
      <c r="DQ26" s="4"/>
      <c r="DV26" s="64">
        <v>1000</v>
      </c>
      <c r="EQ26" s="4"/>
      <c r="EV26" s="64">
        <v>1000</v>
      </c>
      <c r="FQ26" s="4"/>
      <c r="FV26" s="64">
        <v>1000</v>
      </c>
      <c r="GQ26" s="4"/>
      <c r="GV26" s="64">
        <v>1000</v>
      </c>
      <c r="HQ26" s="4"/>
      <c r="HV26" s="64">
        <v>1000</v>
      </c>
      <c r="IQ26" s="4"/>
      <c r="IV26" s="64">
        <v>1000</v>
      </c>
      <c r="JQ26" s="4"/>
      <c r="JV26" s="64">
        <v>1000</v>
      </c>
      <c r="KQ26" s="4"/>
      <c r="KV26" s="64">
        <v>1000</v>
      </c>
      <c r="LQ26" s="4"/>
      <c r="LV26" s="64">
        <v>1000</v>
      </c>
      <c r="MQ26" s="4"/>
      <c r="MV26" s="64">
        <v>1000</v>
      </c>
      <c r="NQ26" s="4"/>
      <c r="NV26" s="64">
        <v>1000</v>
      </c>
      <c r="OQ26" s="4"/>
      <c r="OV26" s="64">
        <v>1000</v>
      </c>
    </row>
    <row r="27" spans="1:412" x14ac:dyDescent="0.2">
      <c r="B27" s="34" t="s">
        <v>45</v>
      </c>
      <c r="C27" s="2"/>
    </row>
    <row r="28" spans="1:412" x14ac:dyDescent="0.2">
      <c r="A28" s="5"/>
      <c r="B28" s="5"/>
      <c r="C28" s="22"/>
    </row>
    <row r="29" spans="1:412" x14ac:dyDescent="0.2">
      <c r="A29" s="5"/>
      <c r="B29" s="5"/>
      <c r="C29" s="22"/>
    </row>
    <row r="30" spans="1:412" x14ac:dyDescent="0.2">
      <c r="A30" s="5"/>
      <c r="B30" s="5"/>
      <c r="C30" s="22"/>
    </row>
    <row r="31" spans="1:412" x14ac:dyDescent="0.2">
      <c r="A31" s="5"/>
      <c r="B31" s="5"/>
      <c r="C3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6">
      <sortCondition descending="1" ref="F1:F1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6">
    <cfRule type="expression" dxfId="28" priority="2" stopIfTrue="1">
      <formula>IF($AL4&lt;&gt;"",1,0)</formula>
    </cfRule>
  </conditionalFormatting>
  <conditionalFormatting sqref="AS4:BS16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16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67950" operator="between">
      <formula>AR$22</formula>
      <formula>1000</formula>
    </cfRule>
    <cfRule type="cellIs" dxfId="14" priority="67951" operator="between">
      <formula>AR$21</formula>
      <formula>AR$22</formula>
    </cfRule>
    <cfRule type="cellIs" dxfId="13" priority="67952" operator="between">
      <formula>AR$20</formula>
      <formula>AR$21</formula>
    </cfRule>
    <cfRule type="cellIs" dxfId="12" priority="67953" operator="between">
      <formula>AR$19</formula>
      <formula>AR$20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68130" operator="between">
      <formula>AR$26</formula>
      <formula>1000</formula>
    </cfRule>
    <cfRule type="cellIs" dxfId="10" priority="68131" operator="between">
      <formula>AR$25</formula>
      <formula>AR$26</formula>
    </cfRule>
    <cfRule type="cellIs" dxfId="9" priority="68132" operator="between">
      <formula>AR$24</formula>
      <formula>AR$25</formula>
    </cfRule>
    <cfRule type="cellIs" dxfId="8" priority="68133" operator="between">
      <formula>AR$23</formula>
      <formula>AR$24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68310" operator="between">
      <formula>AR$19</formula>
      <formula>AR$20</formula>
    </cfRule>
    <cfRule type="cellIs" dxfId="6" priority="68311" operator="between">
      <formula>AR$20</formula>
      <formula>AR$21</formula>
    </cfRule>
    <cfRule type="cellIs" dxfId="5" priority="68312" operator="between">
      <formula>AR$21</formula>
      <formula>AR$22</formula>
    </cfRule>
    <cfRule type="cellIs" dxfId="4" priority="68313" operator="between">
      <formula>AR$22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68490" operator="between">
      <formula>AR$23</formula>
      <formula>AR$24</formula>
    </cfRule>
    <cfRule type="cellIs" dxfId="2" priority="68491" operator="between">
      <formula>AR$24</formula>
      <formula>AR$25</formula>
    </cfRule>
    <cfRule type="cellIs" dxfId="1" priority="68492" operator="between">
      <formula>AR$25</formula>
      <formula>AR$26</formula>
    </cfRule>
    <cfRule type="cellIs" dxfId="0" priority="68493" operator="between">
      <formula>AR$26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2025-08-21T12:43:27Z</dcterms:modified>
</cp:coreProperties>
</file>